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Geometry" state="visible" r:id="rId5"/>
    <sheet sheetId="3" name="Mesh" state="visible" r:id="rId6"/>
    <sheet sheetId="4" name="PM_Angle" state="visible" r:id="rId7"/>
    <sheet sheetId="5" name="Concrete" state="visible" r:id="rId8"/>
    <sheet sheetId="6" name="Steel" state="visible" r:id="rId9"/>
    <sheet sheetId="7" name="MxMy_FixedP" state="visible" r:id="rId10"/>
  </sheets>
  <definedNames>
    <definedName name="fck">Input!$C$7</definedName>
    <definedName name="alpha">Input!$C$8</definedName>
    <definedName name="eco">Input!$C$9</definedName>
    <definedName name="ecu">Input!$C$10</definedName>
    <definedName name="n">Input!$C$11</definedName>
    <definedName name="Es">Input!$C$15</definedName>
    <definedName name="fy">Input!$C$16</definedName>
    <definedName name="theta">Input!$C$21</definedName>
    <definedName name="etu">Input!$C$22</definedName>
    <definedName name="xc">Input!$C$23</definedName>
    <definedName name="yc">Input!$C$24</definedName>
    <definedName name="Pu">Input!$C$29</definedName>
    <definedName name="Mux">Input!$C$30</definedName>
    <definedName name="Muy">Input!$C$31</definedName>
    <definedName name="Geom_Area">Geometry!$D$62</definedName>
    <definedName name="u_max">Geometry!$D$63</definedName>
    <definedName name="u_min">Geometry!$D$64</definedName>
    <definedName name="u_bar">Geometry!$D$65</definedName>
    <definedName name="C1_len">Geometry!$D$66</definedName>
    <definedName name="As_tot">Geometry!$D$68</definedName>
    <definedName name="Mesh_X">Mesh!$B$5:$B$1261</definedName>
    <definedName name="Mesh_Y">Mesh!$C$5:$C$1261</definedName>
    <definedName name="Mesh_A">Mesh!$D$5:$D$1261</definedName>
    <definedName name="St_e0">'PM_Angle'!$J$7:$J$25</definedName>
    <definedName name="St_kx">'PM_Angle'!$K$7:$K$25</definedName>
    <definedName name="St_ky">'PM_Angle'!$L$7:$L$25</definedName>
    <definedName name="Det">Concrete!$C$4</definedName>
    <definedName name="St_P">'PM_Angle'!$S$7:$S$25</definedName>
    <definedName name="St_Mx">'PM_Angle'!$T$7:$T$25</definedName>
    <definedName name="St_My">'PM_Angle'!$U$7:$U$25</definedName>
  </definedNames>
  <calcPr calcId="171027" fullCalcOnLoad="1"/>
</workbook>
</file>

<file path=xl/sharedStrings.xml><?xml version="1.0" encoding="utf-8"?>
<sst xmlns="http://schemas.openxmlformats.org/spreadsheetml/2006/main" count="592" uniqueCount="184">
  <si>
    <t>P–M SECTION CALCULATION — NOMINAL RESISTANCE</t>
  </si>
  <si>
    <t>Project</t>
  </si>
  <si>
    <t>PM-advanced (7) 2D reference case</t>
  </si>
  <si>
    <t>Every value on a shaded input cell drives live formulas on the other sheets. Only the Mesh, Geometry and bar tables hold engine-computed constants.</t>
  </si>
  <si>
    <t>Section</t>
  </si>
  <si>
    <t>PM-advanced (7) 2D — 1500x1200 chamfered section, two voids</t>
  </si>
  <si>
    <t>Generated</t>
  </si>
  <si>
    <t>2026-07-23 07:28:14</t>
  </si>
  <si>
    <t>Concrete</t>
  </si>
  <si>
    <t>fck</t>
  </si>
  <si>
    <t>MPa</t>
  </si>
  <si>
    <t>KDS C30 (workbook Input)</t>
  </si>
  <si>
    <t>alpha</t>
  </si>
  <si>
    <t>-</t>
  </si>
  <si>
    <t>stress-block factor</t>
  </si>
  <si>
    <t>eps_co</t>
  </si>
  <si>
    <t>eps_cu</t>
  </si>
  <si>
    <t>n</t>
  </si>
  <si>
    <t>law</t>
  </si>
  <si>
    <t>KDS parabola-rectangle, fc = alpha*fck*(1-(1-eps/eco)^n) up to eco, then alpha*fck</t>
  </si>
  <si>
    <t/>
  </si>
  <si>
    <t>Reinforcement</t>
  </si>
  <si>
    <t>Es</t>
  </si>
  <si>
    <t>SD400 (workbook Input)</t>
  </si>
  <si>
    <t>fy</t>
  </si>
  <si>
    <t>eps_y = fy/Es</t>
  </si>
  <si>
    <t>used by the fs/fy stations</t>
  </si>
  <si>
    <t>Elastic - perfectly plastic, fs = clamp(Es*eps, -fy, +fy)</t>
  </si>
  <si>
    <t>Analysis</t>
  </si>
  <si>
    <t>theta</t>
  </si>
  <si>
    <t>deg</t>
  </si>
  <si>
    <t>direction of the vertical slice</t>
  </si>
  <si>
    <t>eps_tu</t>
  </si>
  <si>
    <t>uniform strain used for station P18</t>
  </si>
  <si>
    <t>xc</t>
  </si>
  <si>
    <t>mm</t>
  </si>
  <si>
    <t>analysis origin = net concrete centroid</t>
  </si>
  <si>
    <t>yc</t>
  </si>
  <si>
    <t>all X, Y below are measured from it</t>
  </si>
  <si>
    <t>mesh cell size</t>
  </si>
  <si>
    <t>clipped-cell grid, docs/02 §5</t>
  </si>
  <si>
    <t>mesh points</t>
  </si>
  <si>
    <t>3-point degree-2 rule per clipped triangle</t>
  </si>
  <si>
    <t>Demand</t>
  </si>
  <si>
    <t>Pu</t>
  </si>
  <si>
    <t>kN</t>
  </si>
  <si>
    <t>ULS-1 workbook Newton demand (on the 15 deg surface)</t>
  </si>
  <si>
    <t>Mux</t>
  </si>
  <si>
    <t>kN·m</t>
  </si>
  <si>
    <t>Muy</t>
  </si>
  <si>
    <t>Net concrete area (from mesh)</t>
  </si>
  <si>
    <t>mm²</t>
  </si>
  <si>
    <t>GEOMETRY ABOUT THE ANALYSIS ORIGIN</t>
  </si>
  <si>
    <t>Coordinates are engine constants, already translated by (xc, yc). Everything else on this sheet is a formula.</t>
  </si>
  <si>
    <t>Solid 1 outer</t>
  </si>
  <si>
    <t>No.</t>
  </si>
  <si>
    <t>Ring</t>
  </si>
  <si>
    <t>X (mm)</t>
  </si>
  <si>
    <t>Y (mm)</t>
  </si>
  <si>
    <t>D_i</t>
  </si>
  <si>
    <t>u = Y·cosθ + X·sinθ</t>
  </si>
  <si>
    <t>Area = ½·Σ D_i</t>
  </si>
  <si>
    <t>Solid 1 hole 1</t>
  </si>
  <si>
    <t>Solid 1 hole 2</t>
  </si>
  <si>
    <t>Dia (mm)</t>
  </si>
  <si>
    <t>As (mm²)</t>
  </si>
  <si>
    <t>Derived properties (all formulas)</t>
  </si>
  <si>
    <t>Net area A</t>
  </si>
  <si>
    <t>shoelace over every ring</t>
  </si>
  <si>
    <t>u_max</t>
  </si>
  <si>
    <t>extreme compression fibre, outer rings only</t>
  </si>
  <si>
    <t>u_min</t>
  </si>
  <si>
    <t>u_s,tension</t>
  </si>
  <si>
    <t>farthest tension bar</t>
  </si>
  <si>
    <t>C1 = u_max − u_s,tension</t>
  </si>
  <si>
    <t>Depth h = u_max − u_min</t>
  </si>
  <si>
    <t>Total As</t>
  </si>
  <si>
    <t>CONCRETE INTEGRATION MESH — ENGINE CONSTANTS</t>
  </si>
  <si>
    <t>Quadrature points of the clipped-cell mesh (docs/02 §5). X, Y are measured from the analysis origin; A is the tributary area. These four columns are the only geometric constants the workbook needs.</t>
  </si>
  <si>
    <t>A (mm²)</t>
  </si>
  <si>
    <t>P–M ENVELOPE AT THETA — 19 STATIONS, NOMINAL</t>
  </si>
  <si>
    <t>Direction theta = 15.0 deg. Shaded cells are the station schedule; everything else is a formula driven by Input, Geometry, Concrete and Steel.</t>
  </si>
  <si>
    <t>Station definition</t>
  </si>
  <si>
    <t>Strain plane (formula)</t>
  </si>
  <si>
    <t>Steel</t>
  </si>
  <si>
    <t>Total (nominal)</t>
  </si>
  <si>
    <t>Engine check</t>
  </si>
  <si>
    <t>Point</t>
  </si>
  <si>
    <t>C/C1</t>
  </si>
  <si>
    <t>fs/fy</t>
  </si>
  <si>
    <t>eps_s</t>
  </si>
  <si>
    <t>u_ctrl (mm)</t>
  </si>
  <si>
    <t>eps_ctrl</t>
  </si>
  <si>
    <t>c (mm)</t>
  </si>
  <si>
    <t>kappa (1/mm)</t>
  </si>
  <si>
    <t>eps_0</t>
  </si>
  <si>
    <t>kx (1/mm)</t>
  </si>
  <si>
    <t>ky (1/mm)</t>
  </si>
  <si>
    <t>P (kN)</t>
  </si>
  <si>
    <t>Mx (kN·m)</t>
  </si>
  <si>
    <t>My (kN·m)</t>
  </si>
  <si>
    <t>|M| (kN·m)</t>
  </si>
  <si>
    <t>P engine (kN)</t>
  </si>
  <si>
    <t>Δ P (%)</t>
  </si>
  <si>
    <t>P0</t>
  </si>
  <si>
    <t>—</t>
  </si>
  <si>
    <t>n/a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</si>
  <si>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</si>
  <si>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</si>
  <si>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</si>
  <si>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</si>
  <si>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</si>
  <si>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</si>
  <si>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</si>
  <si>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</si>
  <si>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</si>
  <si>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</si>
  <si>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</si>
  <si>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</si>
  <si>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</si>
  <si>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</si>
  <si>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</si>
  <si>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</si>
  <si>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</si>
  <si>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</si>
  <si>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Demand point and utilisation along the theta slice</t>
  </si>
  <si>
    <t>Mu resultant</t>
  </si>
  <si>
    <t>Bracketing station k</t>
  </si>
  <si>
    <t>t (interpolation)</t>
  </si>
  <si>
    <t>Mx capacity at Pu</t>
  </si>
  <si>
    <t>My capacity at Pu</t>
  </si>
  <si>
    <t>M capacity resultant</t>
  </si>
  <si>
    <t>Utilisation Mu / Mn</t>
  </si>
  <si>
    <t>CONCRETE — FIBRE STRAIN AND STRESS PER STATION</t>
  </si>
  <si>
    <t>eps = eps_0 + kx·Y + ky·X    |    fc = KDS parabola-rectangle, fc = alpha*fck*(1-(1-eps/eco)^n) up to eco, then alpha*fck</t>
  </si>
  <si>
    <t>Columns A–D mirror the Mesh sheet. Columns E–I expand the full force/moment ledger for the station chosen in cell C4. Columns J onward hold eps and fc for all 19 stations, which the PM_Angle totals integrate.</t>
  </si>
  <si>
    <t>Detail station (0…18)</t>
  </si>
  <si>
    <t>eps</t>
  </si>
  <si>
    <t>fc (MPa)</t>
  </si>
  <si>
    <t>Fc (N)</t>
  </si>
  <si>
    <t>Mcx (N·mm)</t>
  </si>
  <si>
    <t>Mcy (N·mm)</t>
  </si>
  <si>
    <t>SUM</t>
  </si>
  <si>
    <t>REINFORCEMENT — PER BAR, ALL 19 STATIONS</t>
  </si>
  <si>
    <t>fs = Elastic - perfectly plastic, fs = clamp(Es*eps, -fy, +fy). The bar force uses fs,eff = fs − fc so the concrete displaced by the bar is not counted twice (docs/11 §3.3).</t>
  </si>
  <si>
    <t>fs (MPa)</t>
  </si>
  <si>
    <t>fs,eff (MPa)</t>
  </si>
  <si>
    <t>Fs (N)</t>
  </si>
  <si>
    <t>Msx (N·mm)</t>
  </si>
  <si>
    <t>Msy (N·mm)</t>
  </si>
  <si>
    <t>Mx–My INTERACTION CONTOUR AT P = Pu</t>
  </si>
  <si>
    <t>Each of the 24 directions repeats the 19-station schedule, then interpolates the two stations that bracket Pu. Concrete integrals use the same Mesh table through SUMPRODUCT; nothing here is a pasted number.</t>
  </si>
  <si>
    <t>Direction</t>
  </si>
  <si>
    <t>P0 plane</t>
  </si>
  <si>
    <t>P1 plane</t>
  </si>
  <si>
    <t>P2 plane</t>
  </si>
  <si>
    <t>P3 plane</t>
  </si>
  <si>
    <t>P4 plane</t>
  </si>
  <si>
    <t>P5 plane</t>
  </si>
  <si>
    <t>P6 plane</t>
  </si>
  <si>
    <t>P7 plane</t>
  </si>
  <si>
    <t>P8 plane</t>
  </si>
  <si>
    <t>P9 plane</t>
  </si>
  <si>
    <t>P10 plane</t>
  </si>
  <si>
    <t>P11 plane</t>
  </si>
  <si>
    <t>P12 plane</t>
  </si>
  <si>
    <t>P13 plane</t>
  </si>
  <si>
    <t>P14 plane</t>
  </si>
  <si>
    <t>P15 plane</t>
  </si>
  <si>
    <t>P16 plane</t>
  </si>
  <si>
    <t>P17 plane</t>
  </si>
  <si>
    <t>P18 plane</t>
  </si>
  <si>
    <t>Station P (kN)</t>
  </si>
  <si>
    <t>Station Mx (kN·m)</t>
  </si>
  <si>
    <t>Station My (kN·m)</t>
  </si>
  <si>
    <t>Contour at P = Pu</t>
  </si>
  <si>
    <t>beta (deg)</t>
  </si>
  <si>
    <t>u_max (mm)</t>
  </si>
  <si>
    <t>u_bar (mm)</t>
  </si>
  <si>
    <t>C1 (mm)</t>
  </si>
  <si>
    <t>kx</t>
  </si>
  <si>
    <t>ky</t>
  </si>
  <si>
    <t>k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</si>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</sst>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,##0.000"/>
    <numFmt numFmtId="165" formatCode="0.000000"/>
    <numFmt numFmtId="166" formatCode="#,##0.0"/>
    <numFmt numFmtId="167" formatCode="#,##0.0000"/>
    <numFmt numFmtId="168" formatCode="0.####"/>
    <numFmt numFmtId="169" formatCode="0.000E+00"/>
    <numFmt numFmtId="170" formatCode="0.0000&quot;%&quot;"/>
    <numFmt numFmtId="171" formatCode="0.0000"/>
    <numFmt numFmtId="172" formatCode="0.000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F3864"/>
      <sz val="11"/>
    </font>
    <font>
      <i/>
      <color rgb="FF6B7280"/>
    </font>
    <font>
      <b/>
      <sz val="10"/>
    </font>
    <font>
      <b/>
    </font>
    <font>
      <b/>
      <color rgb="FFFFFFFF"/>
      <sz val="12"/>
    </font>
    <font>
      <b/>
      <color rgb="FF1F3864"/>
      <sz val="10"/>
    </font>
    <font/>
    <font>
      <b/>
      <color rgb="FFB91C1C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5"/>
      </patternFill>
    </fill>
    <fill>
      <patternFill patternType="solid">
        <fgColor rgb="FFFFF3CD"/>
      </patternFill>
    </fill>
    <fill>
      <patternFill patternType="solid">
        <fgColor rgb="FFE8EEF7"/>
      </patternFill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/>
      <bottom style="thin"/>
      <diagonal/>
    </border>
    <border>
      <left/>
      <right/>
      <top style="hair"/>
      <bottom style="hair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/>
    <xf numFmtId="164" fontId="0" fillId="4" borderId="1" xfId="0" applyNumberFormat="1" applyFill="1" applyBorder="1"/>
    <xf numFmtId="0" fontId="3" fillId="0" borderId="0" xfId="0" applyFont="1"/>
    <xf numFmtId="165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166" fontId="0" fillId="0" borderId="0" xfId="0" applyNumberFormat="1"/>
    <xf numFmtId="0" fontId="4" fillId="5" borderId="2" xfId="0" applyFont="1" applyFill="1" applyBorder="1" applyAlignment="1">
      <alignment horizontal="center" wrapText="1"/>
    </xf>
    <xf numFmtId="164" fontId="0" fillId="6" borderId="0" xfId="0" applyNumberFormat="1" applyFill="1"/>
    <xf numFmtId="3" fontId="0" fillId="0" borderId="0" xfId="0" applyNumberFormat="1"/>
    <xf numFmtId="164" fontId="0" fillId="0" borderId="0" xfId="0" applyNumberFormat="1"/>
    <xf numFmtId="166" fontId="5" fillId="0" borderId="0" xfId="0" applyNumberFormat="1" applyFont="1"/>
    <xf numFmtId="164" fontId="5" fillId="0" borderId="0" xfId="0" applyNumberFormat="1" applyFont="1"/>
    <xf numFmtId="0" fontId="6" fillId="2" borderId="0" xfId="0" applyFont="1" applyFill="1"/>
    <xf numFmtId="0" fontId="4" fillId="5" borderId="2" xfId="0" applyFont="1" applyFill="1" applyBorder="1" applyAlignment="1">
      <alignment horizontal="center"/>
    </xf>
    <xf numFmtId="167" fontId="0" fillId="0" borderId="0" xfId="0" applyNumberFormat="1"/>
    <xf numFmtId="0" fontId="7" fillId="3" borderId="0" xfId="0" applyFont="1" applyFill="1" applyAlignment="1">
      <alignment horizontal="center"/>
    </xf>
    <xf numFmtId="0" fontId="5" fillId="0" borderId="3" xfId="0" applyFont="1" applyBorder="1"/>
    <xf numFmtId="168" fontId="0" fillId="4" borderId="3" xfId="0" applyNumberFormat="1" applyFill="1" applyBorder="1" applyAlignment="1">
      <alignment horizontal="center"/>
    </xf>
    <xf numFmtId="164" fontId="0" fillId="0" borderId="3" xfId="0" applyNumberFormat="1" applyBorder="1"/>
    <xf numFmtId="165" fontId="0" fillId="0" borderId="3" xfId="0" applyNumberFormat="1" applyBorder="1"/>
    <xf numFmtId="166" fontId="0" fillId="0" borderId="3" xfId="0" applyNumberFormat="1" applyBorder="1"/>
    <xf numFmtId="169" fontId="0" fillId="0" borderId="3" xfId="0" applyNumberFormat="1" applyBorder="1"/>
    <xf numFmtId="4" fontId="0" fillId="0" borderId="3" xfId="0" applyNumberFormat="1" applyBorder="1"/>
    <xf numFmtId="4" fontId="5" fillId="0" borderId="3" xfId="0" applyNumberFormat="1" applyFont="1" applyBorder="1"/>
    <xf numFmtId="170" fontId="0" fillId="0" borderId="3" xfId="0" applyNumberFormat="1" applyBorder="1"/>
    <xf numFmtId="0" fontId="5" fillId="0" borderId="0" xfId="0" applyFont="1"/>
    <xf numFmtId="168" fontId="0" fillId="4" borderId="0" xfId="0" applyNumberFormat="1" applyFill="1" applyAlignment="1">
      <alignment horizontal="center"/>
    </xf>
    <xf numFmtId="165" fontId="0" fillId="0" borderId="0" xfId="0" applyNumberFormat="1"/>
    <xf numFmtId="169" fontId="0" fillId="0" borderId="0" xfId="0" applyNumberFormat="1"/>
    <xf numFmtId="4" fontId="0" fillId="0" borderId="0" xfId="0" applyNumberFormat="1"/>
    <xf numFmtId="4" fontId="5" fillId="0" borderId="0" xfId="0" applyNumberFormat="1" applyFont="1"/>
    <xf numFmtId="170" fontId="0" fillId="0" borderId="0" xfId="0" applyNumberFormat="1"/>
    <xf numFmtId="4" fontId="8" fillId="0" borderId="0" xfId="0" applyNumberFormat="1" applyFont="1"/>
    <xf numFmtId="1" fontId="8" fillId="0" borderId="0" xfId="0" applyNumberFormat="1" applyFont="1"/>
    <xf numFmtId="171" fontId="8" fillId="0" borderId="0" xfId="0" applyNumberFormat="1" applyFont="1"/>
    <xf numFmtId="172" fontId="5" fillId="0" borderId="0" xfId="0" applyNumberFormat="1" applyFont="1"/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3" fontId="5" fillId="0" borderId="0" xfId="0" applyNumberFormat="1" applyFont="1"/>
    <xf numFmtId="0" fontId="4" fillId="3" borderId="2" xfId="0" applyFont="1" applyFill="1" applyBorder="1" applyAlignment="1">
      <alignment horizontal="center" wrapText="1"/>
    </xf>
    <xf numFmtId="1" fontId="0" fillId="4" borderId="0" xfId="0" applyNumberFormat="1" applyFill="1"/>
    <xf numFmtId="11" fontId="0" fillId="0" borderId="0" xfId="0" applyNumberFormat="1"/>
    <xf numFmtId="1" fontId="0" fillId="0" borderId="0" xfId="0" applyNumberFormat="1"/>
    <xf numFmtId="171" fontId="0" fillId="0" borderId="0" xfId="0" applyNumberFormat="1"/>
    <xf numFmtId="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18" customWidth="1"/>
    <col min="4" max="4" width="10" customWidth="1"/>
    <col min="5" max="5" width="62" customWidth="1"/>
  </cols>
  <sheetData>
    <row r="1" ht="22" customHeight="1" spans="2:5" x14ac:dyDescent="0.25">
      <c r="B1" s="1" t="s">
        <v>0</v>
      </c>
      <c r="C1" s="1"/>
      <c r="D1" s="1"/>
      <c r="E1" s="1"/>
    </row>
    <row r="2" spans="2:5" x14ac:dyDescent="0.25">
      <c r="B2" t="s">
        <v>1</v>
      </c>
      <c r="C2" t="s">
        <v>2</v>
      </c>
      <c r="E2" s="2" t="s">
        <v>3</v>
      </c>
    </row>
    <row r="3" spans="2:5" x14ac:dyDescent="0.25">
      <c r="B3" t="s">
        <v>4</v>
      </c>
      <c r="C3" t="s">
        <v>5</v>
      </c>
      <c r="E3" s="2"/>
    </row>
    <row r="4" spans="2:5" x14ac:dyDescent="0.25">
      <c r="B4" t="s">
        <v>6</v>
      </c>
      <c r="C4" t="s">
        <v>7</v>
      </c>
      <c r="E4" s="2"/>
    </row>
    <row r="6" spans="2:5" x14ac:dyDescent="0.25">
      <c r="B6" s="3" t="s">
        <v>8</v>
      </c>
      <c r="C6" s="3"/>
      <c r="D6" s="3"/>
      <c r="E6" s="3"/>
    </row>
    <row r="7" spans="2:5" x14ac:dyDescent="0.25">
      <c r="B7" t="s">
        <v>9</v>
      </c>
      <c r="C7" s="4">
        <v>30</v>
      </c>
      <c r="D7" t="s">
        <v>10</v>
      </c>
      <c r="E7" s="5" t="s">
        <v>11</v>
      </c>
    </row>
    <row r="8" spans="2:5" x14ac:dyDescent="0.25">
      <c r="B8" t="s">
        <v>12</v>
      </c>
      <c r="C8" s="4">
        <v>0.85</v>
      </c>
      <c r="D8" t="s">
        <v>13</v>
      </c>
      <c r="E8" s="5" t="s">
        <v>14</v>
      </c>
    </row>
    <row r="9" spans="2:4" x14ac:dyDescent="0.25">
      <c r="B9" t="s">
        <v>15</v>
      </c>
      <c r="C9" s="6">
        <v>0.002</v>
      </c>
      <c r="D9" t="s">
        <v>13</v>
      </c>
    </row>
    <row r="10" spans="2:4" x14ac:dyDescent="0.25">
      <c r="B10" t="s">
        <v>16</v>
      </c>
      <c r="C10" s="6">
        <v>0.0033</v>
      </c>
      <c r="D10" t="s">
        <v>13</v>
      </c>
    </row>
    <row r="11" spans="2:4" x14ac:dyDescent="0.25">
      <c r="B11" t="s">
        <v>17</v>
      </c>
      <c r="C11" s="4">
        <v>2</v>
      </c>
      <c r="D11" t="s">
        <v>13</v>
      </c>
    </row>
    <row r="12" spans="2:4" x14ac:dyDescent="0.25">
      <c r="B12" t="s">
        <v>18</v>
      </c>
      <c r="C12" s="7" t="s">
        <v>19</v>
      </c>
      <c r="D12" t="s">
        <v>20</v>
      </c>
    </row>
    <row r="14" spans="2:5" x14ac:dyDescent="0.25">
      <c r="B14" s="3" t="s">
        <v>21</v>
      </c>
      <c r="C14" s="3"/>
      <c r="D14" s="3"/>
      <c r="E14" s="3"/>
    </row>
    <row r="15" spans="2:5" x14ac:dyDescent="0.25">
      <c r="B15" t="s">
        <v>22</v>
      </c>
      <c r="C15" s="4">
        <v>200000</v>
      </c>
      <c r="D15" t="s">
        <v>10</v>
      </c>
      <c r="E15" s="5" t="s">
        <v>23</v>
      </c>
    </row>
    <row r="16" spans="2:4" x14ac:dyDescent="0.25">
      <c r="B16" t="s">
        <v>24</v>
      </c>
      <c r="C16" s="4">
        <v>400</v>
      </c>
      <c r="D16" t="s">
        <v>10</v>
      </c>
    </row>
    <row r="17" spans="2:5" x14ac:dyDescent="0.25">
      <c r="B17" t="s">
        <v>25</v>
      </c>
      <c r="C17" s="6">
        <v>0.002</v>
      </c>
      <c r="D17" t="s">
        <v>13</v>
      </c>
      <c r="E17" s="5" t="s">
        <v>26</v>
      </c>
    </row>
    <row r="18" spans="2:4" x14ac:dyDescent="0.25">
      <c r="B18" t="s">
        <v>18</v>
      </c>
      <c r="C18" s="7" t="s">
        <v>27</v>
      </c>
      <c r="D18" t="s">
        <v>20</v>
      </c>
    </row>
    <row r="20" spans="2:5" x14ac:dyDescent="0.25">
      <c r="B20" s="3" t="s">
        <v>28</v>
      </c>
      <c r="C20" s="3"/>
      <c r="D20" s="3"/>
      <c r="E20" s="3"/>
    </row>
    <row r="21" spans="2:5" x14ac:dyDescent="0.25">
      <c r="B21" t="s">
        <v>29</v>
      </c>
      <c r="C21" s="4">
        <v>15</v>
      </c>
      <c r="D21" t="s">
        <v>30</v>
      </c>
      <c r="E21" s="5" t="s">
        <v>31</v>
      </c>
    </row>
    <row r="22" spans="2:5" x14ac:dyDescent="0.25">
      <c r="B22" t="s">
        <v>32</v>
      </c>
      <c r="C22" s="4">
        <v>-0.05</v>
      </c>
      <c r="D22" t="s">
        <v>13</v>
      </c>
      <c r="E22" s="5" t="s">
        <v>33</v>
      </c>
    </row>
    <row r="23" spans="2:5" x14ac:dyDescent="0.25">
      <c r="B23" t="s">
        <v>34</v>
      </c>
      <c r="C23" s="4">
        <v>0</v>
      </c>
      <c r="D23" t="s">
        <v>35</v>
      </c>
      <c r="E23" s="5" t="s">
        <v>36</v>
      </c>
    </row>
    <row r="24" spans="2:5" x14ac:dyDescent="0.25">
      <c r="B24" t="s">
        <v>37</v>
      </c>
      <c r="C24" s="4">
        <v>0</v>
      </c>
      <c r="D24" t="s">
        <v>35</v>
      </c>
      <c r="E24" s="5" t="s">
        <v>38</v>
      </c>
    </row>
    <row r="25" spans="2:5" x14ac:dyDescent="0.25">
      <c r="B25" t="s">
        <v>39</v>
      </c>
      <c r="C25" s="4">
        <v>87.2429259309888</v>
      </c>
      <c r="D25" t="s">
        <v>35</v>
      </c>
      <c r="E25" s="5" t="s">
        <v>40</v>
      </c>
    </row>
    <row r="26" spans="2:5" x14ac:dyDescent="0.25">
      <c r="B26" t="s">
        <v>41</v>
      </c>
      <c r="C26" s="4">
        <v>1257</v>
      </c>
      <c r="D26" t="s">
        <v>13</v>
      </c>
      <c r="E26" s="5" t="s">
        <v>42</v>
      </c>
    </row>
    <row r="28" spans="2:5" x14ac:dyDescent="0.25">
      <c r="B28" s="3" t="s">
        <v>43</v>
      </c>
      <c r="C28" s="3"/>
      <c r="D28" s="3"/>
      <c r="E28" s="3"/>
    </row>
    <row r="29" spans="2:5" x14ac:dyDescent="0.25">
      <c r="B29" t="s">
        <v>44</v>
      </c>
      <c r="C29" s="4">
        <v>24942.922102452183</v>
      </c>
      <c r="D29" t="s">
        <v>45</v>
      </c>
      <c r="E29" s="5" t="s">
        <v>46</v>
      </c>
    </row>
    <row r="30" spans="2:4" x14ac:dyDescent="0.25">
      <c r="B30" t="s">
        <v>47</v>
      </c>
      <c r="C30" s="4">
        <v>3714.165943842699</v>
      </c>
      <c r="D30" t="s">
        <v>48</v>
      </c>
    </row>
    <row r="31" spans="2:4" x14ac:dyDescent="0.25">
      <c r="B31" t="s">
        <v>49</v>
      </c>
      <c r="C31" s="4">
        <v>1431.7807276950741</v>
      </c>
      <c r="D31" t="s">
        <v>48</v>
      </c>
    </row>
    <row r="33" spans="2:5" x14ac:dyDescent="0.25">
      <c r="B33" t="s">
        <v>50</v>
      </c>
      <c r="C33" s="8">
        <f>SUM(Mesh_A)</f>
      </c>
      <c r="D33" t="s">
        <v>51</v>
      </c>
      <c r="E33" s="5">
        <f>IF(ABS(C33-Geom_Area)&lt;=0.000001*Geom_Area,"OK — matches the exact polygon area","CHECK — mesh and polygon areas differ")</f>
      </c>
    </row>
  </sheetData>
  <mergeCells count="6">
    <mergeCell ref="B1:E1"/>
    <mergeCell ref="E2:E4"/>
    <mergeCell ref="B6:E6"/>
    <mergeCell ref="B14:E14"/>
    <mergeCell ref="B20:E20"/>
    <mergeCell ref="B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" customWidth="1"/>
    <col min="3" max="3" width="8" customWidth="1"/>
    <col min="4" max="6" width="14" customWidth="1"/>
    <col min="7" max="8" width="16" customWidth="1"/>
    <col min="9" max="9" width="46" customWidth="1"/>
  </cols>
  <sheetData>
    <row r="1" ht="22" customHeight="1" spans="2:8" x14ac:dyDescent="0.25">
      <c r="B1" s="1" t="s">
        <v>52</v>
      </c>
      <c r="C1" s="1"/>
      <c r="D1" s="1"/>
      <c r="E1" s="1"/>
      <c r="F1" s="1"/>
      <c r="G1" s="1"/>
      <c r="H1" s="1"/>
    </row>
    <row r="2" spans="2:2" x14ac:dyDescent="0.25">
      <c r="B2" s="5" t="s">
        <v>53</v>
      </c>
    </row>
    <row r="4" spans="2:8" x14ac:dyDescent="0.25">
      <c r="B4" s="3" t="s">
        <v>54</v>
      </c>
      <c r="C4" s="3"/>
      <c r="D4" s="3"/>
      <c r="E4" s="3"/>
      <c r="F4" s="3"/>
      <c r="G4" s="3"/>
      <c r="H4" s="3"/>
    </row>
    <row r="5" spans="2:7" x14ac:dyDescent="0.25">
      <c r="B5" s="9" t="s">
        <v>55</v>
      </c>
      <c r="C5" s="9" t="s">
        <v>56</v>
      </c>
      <c r="D5" s="9" t="s">
        <v>57</v>
      </c>
      <c r="E5" s="9" t="s">
        <v>58</v>
      </c>
      <c r="F5" s="9" t="s">
        <v>59</v>
      </c>
      <c r="G5" s="9" t="s">
        <v>60</v>
      </c>
    </row>
    <row r="6" spans="2:7" x14ac:dyDescent="0.25">
      <c r="B6">
        <v>1</v>
      </c>
      <c r="C6" t="s">
        <v>54</v>
      </c>
      <c r="D6" s="10">
        <v>-550</v>
      </c>
      <c r="E6" s="10">
        <v>600</v>
      </c>
      <c r="F6" s="11">
        <f>D6*E7-D7*E6</f>
      </c>
      <c r="G6" s="12">
        <f>E6*COS(RADIANS(theta))+D6*SIN(RADIANS(theta))</f>
      </c>
    </row>
    <row r="7" spans="2:7" x14ac:dyDescent="0.25">
      <c r="B7">
        <v>2</v>
      </c>
      <c r="C7" t="s">
        <v>54</v>
      </c>
      <c r="D7" s="10">
        <v>550</v>
      </c>
      <c r="E7" s="10">
        <v>600</v>
      </c>
      <c r="F7" s="11">
        <f>D7*E8-D8*E7</f>
      </c>
      <c r="G7" s="12">
        <f>E7*COS(RADIANS(theta))+D7*SIN(RADIANS(theta))</f>
      </c>
    </row>
    <row r="8" spans="2:7" x14ac:dyDescent="0.25">
      <c r="B8">
        <v>3</v>
      </c>
      <c r="C8" t="s">
        <v>54</v>
      </c>
      <c r="D8" s="10">
        <v>750</v>
      </c>
      <c r="E8" s="10">
        <v>400</v>
      </c>
      <c r="F8" s="11">
        <f>D8*E9-D9*E8</f>
      </c>
      <c r="G8" s="12">
        <f>E8*COS(RADIANS(theta))+D8*SIN(RADIANS(theta))</f>
      </c>
    </row>
    <row r="9" spans="2:7" x14ac:dyDescent="0.25">
      <c r="B9">
        <v>4</v>
      </c>
      <c r="C9" t="s">
        <v>54</v>
      </c>
      <c r="D9" s="10">
        <v>750</v>
      </c>
      <c r="E9" s="10">
        <v>-400</v>
      </c>
      <c r="F9" s="11">
        <f>D9*E10-D10*E9</f>
      </c>
      <c r="G9" s="12">
        <f>E9*COS(RADIANS(theta))+D9*SIN(RADIANS(theta))</f>
      </c>
    </row>
    <row r="10" spans="2:7" x14ac:dyDescent="0.25">
      <c r="B10">
        <v>5</v>
      </c>
      <c r="C10" t="s">
        <v>54</v>
      </c>
      <c r="D10" s="10">
        <v>550</v>
      </c>
      <c r="E10" s="10">
        <v>-600</v>
      </c>
      <c r="F10" s="11">
        <f>D10*E11-D11*E10</f>
      </c>
      <c r="G10" s="12">
        <f>E10*COS(RADIANS(theta))+D10*SIN(RADIANS(theta))</f>
      </c>
    </row>
    <row r="11" spans="2:7" x14ac:dyDescent="0.25">
      <c r="B11">
        <v>6</v>
      </c>
      <c r="C11" t="s">
        <v>54</v>
      </c>
      <c r="D11" s="10">
        <v>-550</v>
      </c>
      <c r="E11" s="10">
        <v>-600</v>
      </c>
      <c r="F11" s="11">
        <f>D11*E12-D12*E11</f>
      </c>
      <c r="G11" s="12">
        <f>E11*COS(RADIANS(theta))+D11*SIN(RADIANS(theta))</f>
      </c>
    </row>
    <row r="12" spans="2:7" x14ac:dyDescent="0.25">
      <c r="B12">
        <v>7</v>
      </c>
      <c r="C12" t="s">
        <v>54</v>
      </c>
      <c r="D12" s="10">
        <v>-750</v>
      </c>
      <c r="E12" s="10">
        <v>-400</v>
      </c>
      <c r="F12" s="11">
        <f>D12*E13-D13*E12</f>
      </c>
      <c r="G12" s="12">
        <f>E12*COS(RADIANS(theta))+D12*SIN(RADIANS(theta))</f>
      </c>
    </row>
    <row r="13" spans="2:7" x14ac:dyDescent="0.25">
      <c r="B13">
        <v>8</v>
      </c>
      <c r="C13" t="s">
        <v>54</v>
      </c>
      <c r="D13" s="10">
        <v>-750</v>
      </c>
      <c r="E13" s="10">
        <v>400</v>
      </c>
      <c r="F13" s="11">
        <f>D13*E6-D6*E13</f>
      </c>
      <c r="G13" s="12">
        <f>E13*COS(RADIANS(theta))+D13*SIN(RADIANS(theta))</f>
      </c>
    </row>
    <row r="14" spans="3:6" x14ac:dyDescent="0.25">
      <c r="C14" t="s">
        <v>61</v>
      </c>
      <c r="F14" s="13">
        <f>SUM(F6:F13)/2</f>
      </c>
    </row>
    <row r="16" spans="2:8" x14ac:dyDescent="0.25">
      <c r="B16" s="3" t="s">
        <v>62</v>
      </c>
      <c r="C16" s="3"/>
      <c r="D16" s="3"/>
      <c r="E16" s="3"/>
      <c r="F16" s="3"/>
      <c r="G16" s="3"/>
      <c r="H16" s="3"/>
    </row>
    <row r="17" spans="2:7" x14ac:dyDescent="0.25">
      <c r="B17" s="9" t="s">
        <v>55</v>
      </c>
      <c r="C17" s="9" t="s">
        <v>56</v>
      </c>
      <c r="D17" s="9" t="s">
        <v>57</v>
      </c>
      <c r="E17" s="9" t="s">
        <v>58</v>
      </c>
      <c r="F17" s="9" t="s">
        <v>59</v>
      </c>
      <c r="G17" s="9" t="s">
        <v>60</v>
      </c>
    </row>
    <row r="18" spans="2:7" x14ac:dyDescent="0.25">
      <c r="B18">
        <v>1</v>
      </c>
      <c r="C18" t="s">
        <v>62</v>
      </c>
      <c r="D18" s="10">
        <v>-450</v>
      </c>
      <c r="E18" s="10">
        <v>400</v>
      </c>
      <c r="F18" s="11">
        <f>D18*E19-D19*E18</f>
      </c>
      <c r="G18" s="12">
        <f>E18*COS(RADIANS(theta))+D18*SIN(RADIANS(theta))</f>
      </c>
    </row>
    <row r="19" spans="2:7" x14ac:dyDescent="0.25">
      <c r="B19">
        <v>2</v>
      </c>
      <c r="C19" t="s">
        <v>62</v>
      </c>
      <c r="D19" s="10">
        <v>-250</v>
      </c>
      <c r="E19" s="10">
        <v>400</v>
      </c>
      <c r="F19" s="11">
        <f>D19*E20-D20*E19</f>
      </c>
      <c r="G19" s="12">
        <f>E19*COS(RADIANS(theta))+D19*SIN(RADIANS(theta))</f>
      </c>
    </row>
    <row r="20" spans="2:7" x14ac:dyDescent="0.25">
      <c r="B20">
        <v>3</v>
      </c>
      <c r="C20" t="s">
        <v>62</v>
      </c>
      <c r="D20" s="10">
        <v>-150</v>
      </c>
      <c r="E20" s="10">
        <v>300</v>
      </c>
      <c r="F20" s="11">
        <f>D20*E21-D21*E20</f>
      </c>
      <c r="G20" s="12">
        <f>E20*COS(RADIANS(theta))+D20*SIN(RADIANS(theta))</f>
      </c>
    </row>
    <row r="21" spans="2:7" x14ac:dyDescent="0.25">
      <c r="B21">
        <v>4</v>
      </c>
      <c r="C21" t="s">
        <v>62</v>
      </c>
      <c r="D21" s="10">
        <v>-150</v>
      </c>
      <c r="E21" s="10">
        <v>-300</v>
      </c>
      <c r="F21" s="11">
        <f>D21*E22-D22*E21</f>
      </c>
      <c r="G21" s="12">
        <f>E21*COS(RADIANS(theta))+D21*SIN(RADIANS(theta))</f>
      </c>
    </row>
    <row r="22" spans="2:7" x14ac:dyDescent="0.25">
      <c r="B22">
        <v>5</v>
      </c>
      <c r="C22" t="s">
        <v>62</v>
      </c>
      <c r="D22" s="10">
        <v>-250</v>
      </c>
      <c r="E22" s="10">
        <v>-400</v>
      </c>
      <c r="F22" s="11">
        <f>D22*E23-D23*E22</f>
      </c>
      <c r="G22" s="12">
        <f>E22*COS(RADIANS(theta))+D22*SIN(RADIANS(theta))</f>
      </c>
    </row>
    <row r="23" spans="2:7" x14ac:dyDescent="0.25">
      <c r="B23">
        <v>6</v>
      </c>
      <c r="C23" t="s">
        <v>62</v>
      </c>
      <c r="D23" s="10">
        <v>-450</v>
      </c>
      <c r="E23" s="10">
        <v>-400</v>
      </c>
      <c r="F23" s="11">
        <f>D23*E24-D24*E23</f>
      </c>
      <c r="G23" s="12">
        <f>E23*COS(RADIANS(theta))+D23*SIN(RADIANS(theta))</f>
      </c>
    </row>
    <row r="24" spans="2:7" x14ac:dyDescent="0.25">
      <c r="B24">
        <v>7</v>
      </c>
      <c r="C24" t="s">
        <v>62</v>
      </c>
      <c r="D24" s="10">
        <v>-550</v>
      </c>
      <c r="E24" s="10">
        <v>-300</v>
      </c>
      <c r="F24" s="11">
        <f>D24*E25-D25*E24</f>
      </c>
      <c r="G24" s="12">
        <f>E24*COS(RADIANS(theta))+D24*SIN(RADIANS(theta))</f>
      </c>
    </row>
    <row r="25" spans="2:7" x14ac:dyDescent="0.25">
      <c r="B25">
        <v>8</v>
      </c>
      <c r="C25" t="s">
        <v>62</v>
      </c>
      <c r="D25" s="10">
        <v>-550</v>
      </c>
      <c r="E25" s="10">
        <v>300</v>
      </c>
      <c r="F25" s="11">
        <f>D25*E18-D18*E25</f>
      </c>
      <c r="G25" s="12">
        <f>E25*COS(RADIANS(theta))+D25*SIN(RADIANS(theta))</f>
      </c>
    </row>
    <row r="26" spans="3:6" x14ac:dyDescent="0.25">
      <c r="C26" t="s">
        <v>61</v>
      </c>
      <c r="F26" s="13">
        <f>SUM(F18:F25)/2</f>
      </c>
    </row>
    <row r="28" spans="2:8" x14ac:dyDescent="0.25">
      <c r="B28" s="3" t="s">
        <v>63</v>
      </c>
      <c r="C28" s="3"/>
      <c r="D28" s="3"/>
      <c r="E28" s="3"/>
      <c r="F28" s="3"/>
      <c r="G28" s="3"/>
      <c r="H28" s="3"/>
    </row>
    <row r="29" spans="2:7" x14ac:dyDescent="0.25">
      <c r="B29" s="9" t="s">
        <v>55</v>
      </c>
      <c r="C29" s="9" t="s">
        <v>56</v>
      </c>
      <c r="D29" s="9" t="s">
        <v>57</v>
      </c>
      <c r="E29" s="9" t="s">
        <v>58</v>
      </c>
      <c r="F29" s="9" t="s">
        <v>59</v>
      </c>
      <c r="G29" s="9" t="s">
        <v>60</v>
      </c>
    </row>
    <row r="30" spans="2:7" x14ac:dyDescent="0.25">
      <c r="B30">
        <v>1</v>
      </c>
      <c r="C30" t="s">
        <v>63</v>
      </c>
      <c r="D30" s="10">
        <v>250</v>
      </c>
      <c r="E30" s="10">
        <v>400</v>
      </c>
      <c r="F30" s="11">
        <f>D30*E31-D31*E30</f>
      </c>
      <c r="G30" s="12">
        <f>E30*COS(RADIANS(theta))+D30*SIN(RADIANS(theta))</f>
      </c>
    </row>
    <row r="31" spans="2:7" x14ac:dyDescent="0.25">
      <c r="B31">
        <v>2</v>
      </c>
      <c r="C31" t="s">
        <v>63</v>
      </c>
      <c r="D31" s="10">
        <v>450</v>
      </c>
      <c r="E31" s="10">
        <v>400</v>
      </c>
      <c r="F31" s="11">
        <f>D31*E32-D32*E31</f>
      </c>
      <c r="G31" s="12">
        <f>E31*COS(RADIANS(theta))+D31*SIN(RADIANS(theta))</f>
      </c>
    </row>
    <row r="32" spans="2:7" x14ac:dyDescent="0.25">
      <c r="B32">
        <v>3</v>
      </c>
      <c r="C32" t="s">
        <v>63</v>
      </c>
      <c r="D32" s="10">
        <v>550</v>
      </c>
      <c r="E32" s="10">
        <v>300</v>
      </c>
      <c r="F32" s="11">
        <f>D32*E33-D33*E32</f>
      </c>
      <c r="G32" s="12">
        <f>E32*COS(RADIANS(theta))+D32*SIN(RADIANS(theta))</f>
      </c>
    </row>
    <row r="33" spans="2:7" x14ac:dyDescent="0.25">
      <c r="B33">
        <v>4</v>
      </c>
      <c r="C33" t="s">
        <v>63</v>
      </c>
      <c r="D33" s="10">
        <v>550</v>
      </c>
      <c r="E33" s="10">
        <v>-300</v>
      </c>
      <c r="F33" s="11">
        <f>D33*E34-D34*E33</f>
      </c>
      <c r="G33" s="12">
        <f>E33*COS(RADIANS(theta))+D33*SIN(RADIANS(theta))</f>
      </c>
    </row>
    <row r="34" spans="2:7" x14ac:dyDescent="0.25">
      <c r="B34">
        <v>5</v>
      </c>
      <c r="C34" t="s">
        <v>63</v>
      </c>
      <c r="D34" s="10">
        <v>450</v>
      </c>
      <c r="E34" s="10">
        <v>-400</v>
      </c>
      <c r="F34" s="11">
        <f>D34*E35-D35*E34</f>
      </c>
      <c r="G34" s="12">
        <f>E34*COS(RADIANS(theta))+D34*SIN(RADIANS(theta))</f>
      </c>
    </row>
    <row r="35" spans="2:7" x14ac:dyDescent="0.25">
      <c r="B35">
        <v>6</v>
      </c>
      <c r="C35" t="s">
        <v>63</v>
      </c>
      <c r="D35" s="10">
        <v>250</v>
      </c>
      <c r="E35" s="10">
        <v>-400</v>
      </c>
      <c r="F35" s="11">
        <f>D35*E36-D36*E35</f>
      </c>
      <c r="G35" s="12">
        <f>E35*COS(RADIANS(theta))+D35*SIN(RADIANS(theta))</f>
      </c>
    </row>
    <row r="36" spans="2:7" x14ac:dyDescent="0.25">
      <c r="B36">
        <v>7</v>
      </c>
      <c r="C36" t="s">
        <v>63</v>
      </c>
      <c r="D36" s="10">
        <v>150</v>
      </c>
      <c r="E36" s="10">
        <v>-300</v>
      </c>
      <c r="F36" s="11">
        <f>D36*E37-D37*E36</f>
      </c>
      <c r="G36" s="12">
        <f>E36*COS(RADIANS(theta))+D36*SIN(RADIANS(theta))</f>
      </c>
    </row>
    <row r="37" spans="2:7" x14ac:dyDescent="0.25">
      <c r="B37">
        <v>8</v>
      </c>
      <c r="C37" t="s">
        <v>63</v>
      </c>
      <c r="D37" s="10">
        <v>150</v>
      </c>
      <c r="E37" s="10">
        <v>300</v>
      </c>
      <c r="F37" s="11">
        <f>D37*E30-D30*E37</f>
      </c>
      <c r="G37" s="12">
        <f>E37*COS(RADIANS(theta))+D37*SIN(RADIANS(theta))</f>
      </c>
    </row>
    <row r="38" spans="3:6" x14ac:dyDescent="0.25">
      <c r="C38" t="s">
        <v>61</v>
      </c>
      <c r="F38" s="13">
        <f>SUM(F30:F37)/2</f>
      </c>
    </row>
    <row r="40" spans="2:8" x14ac:dyDescent="0.25">
      <c r="B40" s="3" t="s">
        <v>21</v>
      </c>
      <c r="C40" s="3"/>
      <c r="D40" s="3"/>
      <c r="E40" s="3"/>
      <c r="F40" s="3"/>
      <c r="G40" s="3"/>
      <c r="H40" s="3"/>
    </row>
    <row r="41" spans="2:7" x14ac:dyDescent="0.25">
      <c r="B41" s="9" t="s">
        <v>55</v>
      </c>
      <c r="C41" s="9" t="s">
        <v>64</v>
      </c>
      <c r="D41" s="9" t="s">
        <v>57</v>
      </c>
      <c r="E41" s="9" t="s">
        <v>58</v>
      </c>
      <c r="F41" s="9" t="s">
        <v>65</v>
      </c>
      <c r="G41" s="9" t="s">
        <v>60</v>
      </c>
    </row>
    <row r="42" spans="2:7" x14ac:dyDescent="0.25">
      <c r="B42">
        <v>1</v>
      </c>
      <c r="C42" s="10">
        <v>32</v>
      </c>
      <c r="D42" s="10">
        <v>-400</v>
      </c>
      <c r="E42" s="10">
        <v>530</v>
      </c>
      <c r="F42" s="12">
        <f>PI()*C42^2/4</f>
      </c>
      <c r="G42" s="12">
        <f>E42*COS(RADIANS(theta))+D42*SIN(RADIANS(theta))</f>
      </c>
    </row>
    <row r="43" spans="2:7" x14ac:dyDescent="0.25">
      <c r="B43">
        <v>2</v>
      </c>
      <c r="C43" s="10">
        <v>32</v>
      </c>
      <c r="D43" s="10">
        <v>-200</v>
      </c>
      <c r="E43" s="10">
        <v>530</v>
      </c>
      <c r="F43" s="12">
        <f>PI()*C43^2/4</f>
      </c>
      <c r="G43" s="12">
        <f>E43*COS(RADIANS(theta))+D43*SIN(RADIANS(theta))</f>
      </c>
    </row>
    <row r="44" spans="2:7" x14ac:dyDescent="0.25">
      <c r="B44">
        <v>3</v>
      </c>
      <c r="C44" s="10">
        <v>32</v>
      </c>
      <c r="D44" s="10">
        <v>0</v>
      </c>
      <c r="E44" s="10">
        <v>530</v>
      </c>
      <c r="F44" s="12">
        <f>PI()*C44^2/4</f>
      </c>
      <c r="G44" s="12">
        <f>E44*COS(RADIANS(theta))+D44*SIN(RADIANS(theta))</f>
      </c>
    </row>
    <row r="45" spans="2:7" x14ac:dyDescent="0.25">
      <c r="B45">
        <v>4</v>
      </c>
      <c r="C45" s="10">
        <v>32</v>
      </c>
      <c r="D45" s="10">
        <v>200</v>
      </c>
      <c r="E45" s="10">
        <v>530</v>
      </c>
      <c r="F45" s="12">
        <f>PI()*C45^2/4</f>
      </c>
      <c r="G45" s="12">
        <f>E45*COS(RADIANS(theta))+D45*SIN(RADIANS(theta))</f>
      </c>
    </row>
    <row r="46" spans="2:7" x14ac:dyDescent="0.25">
      <c r="B46">
        <v>5</v>
      </c>
      <c r="C46" s="10">
        <v>32</v>
      </c>
      <c r="D46" s="10">
        <v>400</v>
      </c>
      <c r="E46" s="10">
        <v>530</v>
      </c>
      <c r="F46" s="12">
        <f>PI()*C46^2/4</f>
      </c>
      <c r="G46" s="12">
        <f>E46*COS(RADIANS(theta))+D46*SIN(RADIANS(theta))</f>
      </c>
    </row>
    <row r="47" spans="2:7" x14ac:dyDescent="0.25">
      <c r="B47">
        <v>6</v>
      </c>
      <c r="C47" s="10">
        <v>32</v>
      </c>
      <c r="D47" s="10">
        <v>-400</v>
      </c>
      <c r="E47" s="10">
        <v>-530</v>
      </c>
      <c r="F47" s="12">
        <f>PI()*C47^2/4</f>
      </c>
      <c r="G47" s="12">
        <f>E47*COS(RADIANS(theta))+D47*SIN(RADIANS(theta))</f>
      </c>
    </row>
    <row r="48" spans="2:7" x14ac:dyDescent="0.25">
      <c r="B48">
        <v>7</v>
      </c>
      <c r="C48" s="10">
        <v>32</v>
      </c>
      <c r="D48" s="10">
        <v>-200</v>
      </c>
      <c r="E48" s="10">
        <v>-530</v>
      </c>
      <c r="F48" s="12">
        <f>PI()*C48^2/4</f>
      </c>
      <c r="G48" s="12">
        <f>E48*COS(RADIANS(theta))+D48*SIN(RADIANS(theta))</f>
      </c>
    </row>
    <row r="49" spans="2:7" x14ac:dyDescent="0.25">
      <c r="B49">
        <v>8</v>
      </c>
      <c r="C49" s="10">
        <v>32</v>
      </c>
      <c r="D49" s="10">
        <v>0</v>
      </c>
      <c r="E49" s="10">
        <v>-530</v>
      </c>
      <c r="F49" s="12">
        <f>PI()*C49^2/4</f>
      </c>
      <c r="G49" s="12">
        <f>E49*COS(RADIANS(theta))+D49*SIN(RADIANS(theta))</f>
      </c>
    </row>
    <row r="50" spans="2:7" x14ac:dyDescent="0.25">
      <c r="B50">
        <v>9</v>
      </c>
      <c r="C50" s="10">
        <v>32</v>
      </c>
      <c r="D50" s="10">
        <v>200</v>
      </c>
      <c r="E50" s="10">
        <v>-530</v>
      </c>
      <c r="F50" s="12">
        <f>PI()*C50^2/4</f>
      </c>
      <c r="G50" s="12">
        <f>E50*COS(RADIANS(theta))+D50*SIN(RADIANS(theta))</f>
      </c>
    </row>
    <row r="51" spans="2:7" x14ac:dyDescent="0.25">
      <c r="B51">
        <v>10</v>
      </c>
      <c r="C51" s="10">
        <v>32</v>
      </c>
      <c r="D51" s="10">
        <v>400</v>
      </c>
      <c r="E51" s="10">
        <v>-530</v>
      </c>
      <c r="F51" s="12">
        <f>PI()*C51^2/4</f>
      </c>
      <c r="G51" s="12">
        <f>E51*COS(RADIANS(theta))+D51*SIN(RADIANS(theta))</f>
      </c>
    </row>
    <row r="52" spans="2:7" x14ac:dyDescent="0.25">
      <c r="B52">
        <v>11</v>
      </c>
      <c r="C52" s="10">
        <v>32</v>
      </c>
      <c r="D52" s="10">
        <v>-680</v>
      </c>
      <c r="E52" s="10">
        <v>300</v>
      </c>
      <c r="F52" s="12">
        <f>PI()*C52^2/4</f>
      </c>
      <c r="G52" s="12">
        <f>E52*COS(RADIANS(theta))+D52*SIN(RADIANS(theta))</f>
      </c>
    </row>
    <row r="53" spans="2:7" x14ac:dyDescent="0.25">
      <c r="B53">
        <v>12</v>
      </c>
      <c r="C53" s="10">
        <v>32</v>
      </c>
      <c r="D53" s="10">
        <v>-680</v>
      </c>
      <c r="E53" s="10">
        <v>100</v>
      </c>
      <c r="F53" s="12">
        <f>PI()*C53^2/4</f>
      </c>
      <c r="G53" s="12">
        <f>E53*COS(RADIANS(theta))+D53*SIN(RADIANS(theta))</f>
      </c>
    </row>
    <row r="54" spans="2:7" x14ac:dyDescent="0.25">
      <c r="B54">
        <v>13</v>
      </c>
      <c r="C54" s="10">
        <v>32</v>
      </c>
      <c r="D54" s="10">
        <v>-680</v>
      </c>
      <c r="E54" s="10">
        <v>-100</v>
      </c>
      <c r="F54" s="12">
        <f>PI()*C54^2/4</f>
      </c>
      <c r="G54" s="12">
        <f>E54*COS(RADIANS(theta))+D54*SIN(RADIANS(theta))</f>
      </c>
    </row>
    <row r="55" spans="2:7" x14ac:dyDescent="0.25">
      <c r="B55">
        <v>14</v>
      </c>
      <c r="C55" s="10">
        <v>32</v>
      </c>
      <c r="D55" s="10">
        <v>-680</v>
      </c>
      <c r="E55" s="10">
        <v>-300</v>
      </c>
      <c r="F55" s="12">
        <f>PI()*C55^2/4</f>
      </c>
      <c r="G55" s="12">
        <f>E55*COS(RADIANS(theta))+D55*SIN(RADIANS(theta))</f>
      </c>
    </row>
    <row r="56" spans="2:7" x14ac:dyDescent="0.25">
      <c r="B56">
        <v>15</v>
      </c>
      <c r="C56" s="10">
        <v>32</v>
      </c>
      <c r="D56" s="10">
        <v>680</v>
      </c>
      <c r="E56" s="10">
        <v>300</v>
      </c>
      <c r="F56" s="12">
        <f>PI()*C56^2/4</f>
      </c>
      <c r="G56" s="12">
        <f>E56*COS(RADIANS(theta))+D56*SIN(RADIANS(theta))</f>
      </c>
    </row>
    <row r="57" spans="2:7" x14ac:dyDescent="0.25">
      <c r="B57">
        <v>16</v>
      </c>
      <c r="C57" s="10">
        <v>32</v>
      </c>
      <c r="D57" s="10">
        <v>680</v>
      </c>
      <c r="E57" s="10">
        <v>100</v>
      </c>
      <c r="F57" s="12">
        <f>PI()*C57^2/4</f>
      </c>
      <c r="G57" s="12">
        <f>E57*COS(RADIANS(theta))+D57*SIN(RADIANS(theta))</f>
      </c>
    </row>
    <row r="58" spans="2:7" x14ac:dyDescent="0.25">
      <c r="B58">
        <v>17</v>
      </c>
      <c r="C58" s="10">
        <v>32</v>
      </c>
      <c r="D58" s="10">
        <v>680</v>
      </c>
      <c r="E58" s="10">
        <v>-100</v>
      </c>
      <c r="F58" s="12">
        <f>PI()*C58^2/4</f>
      </c>
      <c r="G58" s="12">
        <f>E58*COS(RADIANS(theta))+D58*SIN(RADIANS(theta))</f>
      </c>
    </row>
    <row r="59" spans="2:7" x14ac:dyDescent="0.25">
      <c r="B59">
        <v>18</v>
      </c>
      <c r="C59" s="10">
        <v>32</v>
      </c>
      <c r="D59" s="10">
        <v>680</v>
      </c>
      <c r="E59" s="10">
        <v>-300</v>
      </c>
      <c r="F59" s="12">
        <f>PI()*C59^2/4</f>
      </c>
      <c r="G59" s="12">
        <f>E59*COS(RADIANS(theta))+D59*SIN(RADIANS(theta))</f>
      </c>
    </row>
    <row r="61" spans="2:8" x14ac:dyDescent="0.25">
      <c r="B61" s="3" t="s">
        <v>66</v>
      </c>
      <c r="C61" s="3"/>
      <c r="D61" s="3"/>
      <c r="E61" s="3"/>
      <c r="F61" s="3"/>
      <c r="G61" s="3"/>
      <c r="H61" s="3"/>
    </row>
    <row r="62" spans="2:7" x14ac:dyDescent="0.25">
      <c r="B62" t="s">
        <v>67</v>
      </c>
      <c r="D62" s="13">
        <f>ABS(SUM(F6:F13)/2)+-ABS(SUM(F18:F25)/2)+-ABS(SUM(F30:F37)/2)</f>
      </c>
      <c r="E62" t="s">
        <v>51</v>
      </c>
      <c r="G62" s="5" t="s">
        <v>68</v>
      </c>
    </row>
    <row r="63" spans="2:7" x14ac:dyDescent="0.25">
      <c r="B63" t="s">
        <v>69</v>
      </c>
      <c r="D63" s="14">
        <f>MAX(SUMPRODUCT(MAX((E6:E13)*COS(RADIANS(theta))+(D6:D13)*SIN(RADIANS(theta)))))</f>
      </c>
      <c r="E63" t="s">
        <v>35</v>
      </c>
      <c r="G63" s="5" t="s">
        <v>70</v>
      </c>
    </row>
    <row r="64" spans="2:5" x14ac:dyDescent="0.25">
      <c r="B64" t="s">
        <v>71</v>
      </c>
      <c r="D64" s="14">
        <f>MIN(SUMPRODUCT(MIN((E6:E13)*COS(RADIANS(theta))+(D6:D13)*SIN(RADIANS(theta)))))</f>
      </c>
      <c r="E64" t="s">
        <v>35</v>
      </c>
    </row>
    <row r="65" spans="2:7" x14ac:dyDescent="0.25">
      <c r="B65" t="s">
        <v>72</v>
      </c>
      <c r="D65" s="14">
        <f>SUMPRODUCT(MIN(G42:G59))</f>
      </c>
      <c r="E65" t="s">
        <v>35</v>
      </c>
      <c r="G65" s="5" t="s">
        <v>73</v>
      </c>
    </row>
    <row r="66" spans="2:5" x14ac:dyDescent="0.25">
      <c r="B66" t="s">
        <v>74</v>
      </c>
      <c r="D66" s="14">
        <f>u_max-u_bar</f>
      </c>
      <c r="E66" t="s">
        <v>35</v>
      </c>
    </row>
    <row r="67" spans="2:5" x14ac:dyDescent="0.25">
      <c r="B67" t="s">
        <v>75</v>
      </c>
      <c r="D67" s="14">
        <f>u_max-u_min</f>
      </c>
      <c r="E67" t="s">
        <v>35</v>
      </c>
    </row>
    <row r="68" spans="2:5" x14ac:dyDescent="0.25">
      <c r="B68" t="s">
        <v>76</v>
      </c>
      <c r="D68" s="13">
        <f>SUM(F42:F59)</f>
      </c>
      <c r="E68" t="s">
        <v>51</v>
      </c>
    </row>
  </sheetData>
  <mergeCells count="6">
    <mergeCell ref="B1:H1"/>
    <mergeCell ref="B4:H4"/>
    <mergeCell ref="B16:H16"/>
    <mergeCell ref="B28:H28"/>
    <mergeCell ref="B40:H40"/>
    <mergeCell ref="B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4" customWidth="1"/>
  </cols>
  <sheetData>
    <row r="1" spans="1:4" x14ac:dyDescent="0.25">
      <c r="A1" s="15" t="s">
        <v>77</v>
      </c>
      <c r="B1" s="15"/>
      <c r="C1" s="15"/>
      <c r="D1" s="15"/>
    </row>
    <row r="2" ht="30" customHeight="1" spans="1:4" x14ac:dyDescent="0.25">
      <c r="A2" s="2" t="s">
        <v>78</v>
      </c>
      <c r="B2" s="2"/>
      <c r="C2" s="2"/>
      <c r="D2" s="2"/>
    </row>
    <row r="4" spans="1:4" x14ac:dyDescent="0.25">
      <c r="A4" s="16" t="s">
        <v>55</v>
      </c>
      <c r="B4" s="16" t="s">
        <v>57</v>
      </c>
      <c r="C4" s="16" t="s">
        <v>58</v>
      </c>
      <c r="D4" s="16" t="s">
        <v>79</v>
      </c>
    </row>
    <row r="5" spans="1:4" x14ac:dyDescent="0.25">
      <c r="A5">
        <v>1</v>
      </c>
      <c r="B5" s="17">
        <v>-703.9095925976554</v>
      </c>
      <c r="C5" s="17">
        <v>-435.8022777701834</v>
      </c>
      <c r="D5" s="17">
        <v>635.0736679689038</v>
      </c>
    </row>
    <row r="6" spans="1:4" x14ac:dyDescent="0.25">
      <c r="A6">
        <v>2</v>
      </c>
      <c r="B6" s="17">
        <v>-673.0452037011722</v>
      </c>
      <c r="C6" s="17">
        <v>-466.66666666666663</v>
      </c>
      <c r="D6" s="17">
        <v>635.0736679689038</v>
      </c>
    </row>
    <row r="7" spans="1:4" x14ac:dyDescent="0.25">
      <c r="A7">
        <v>3</v>
      </c>
      <c r="B7" s="17">
        <v>-673.0452037011722</v>
      </c>
      <c r="C7" s="17">
        <v>-435.8022777701834</v>
      </c>
      <c r="D7" s="17">
        <v>635.0736679689038</v>
      </c>
    </row>
    <row r="8" spans="1:4" x14ac:dyDescent="0.25">
      <c r="A8">
        <v>4</v>
      </c>
      <c r="B8" s="17">
        <v>-745.7476419769963</v>
      </c>
      <c r="C8" s="17">
        <v>-363.0998394943594</v>
      </c>
      <c r="D8" s="17">
        <v>262.49286349813536</v>
      </c>
    </row>
    <row r="9" spans="1:4" x14ac:dyDescent="0.25">
      <c r="A9">
        <v>5</v>
      </c>
      <c r="B9" s="17">
        <v>-745.7476419769963</v>
      </c>
      <c r="C9" s="17">
        <v>-393.9642283908426</v>
      </c>
      <c r="D9" s="17">
        <v>262.49286349813536</v>
      </c>
    </row>
    <row r="10" spans="1:4" x14ac:dyDescent="0.25">
      <c r="A10">
        <v>6</v>
      </c>
      <c r="B10" s="17">
        <v>-732.990567907985</v>
      </c>
      <c r="C10" s="17">
        <v>-406.72130245985386</v>
      </c>
      <c r="D10" s="17">
        <v>262.49286349813536</v>
      </c>
    </row>
    <row r="11" spans="1:4" x14ac:dyDescent="0.25">
      <c r="A11">
        <v>7</v>
      </c>
      <c r="B11" s="17">
        <v>-731.2071543218315</v>
      </c>
      <c r="C11" s="17">
        <v>-367.35219751736315</v>
      </c>
      <c r="D11" s="17">
        <v>897.5665314670392</v>
      </c>
    </row>
    <row r="12" spans="1:4" x14ac:dyDescent="0.25">
      <c r="A12">
        <v>8</v>
      </c>
      <c r="B12" s="17">
        <v>-718.4500802528202</v>
      </c>
      <c r="C12" s="17">
        <v>-410.97366048285755</v>
      </c>
      <c r="D12" s="17">
        <v>897.5665314670392</v>
      </c>
    </row>
    <row r="13" spans="1:4" x14ac:dyDescent="0.25">
      <c r="A13">
        <v>9</v>
      </c>
      <c r="B13" s="17">
        <v>-687.5856913563371</v>
      </c>
      <c r="C13" s="17">
        <v>-410.97366048285755</v>
      </c>
      <c r="D13" s="17">
        <v>897.5665314670392</v>
      </c>
    </row>
    <row r="14" spans="1:4" x14ac:dyDescent="0.25">
      <c r="A14">
        <v>10</v>
      </c>
      <c r="B14" s="17">
        <v>-677.2975617241759</v>
      </c>
      <c r="C14" s="17">
        <v>-396.4331728276928</v>
      </c>
      <c r="D14" s="17">
        <v>1268.5546874999998</v>
      </c>
    </row>
    <row r="15" spans="1:4" x14ac:dyDescent="0.25">
      <c r="A15">
        <v>11</v>
      </c>
      <c r="B15" s="17">
        <v>-677.2975617241759</v>
      </c>
      <c r="C15" s="17">
        <v>-352.81170986219837</v>
      </c>
      <c r="D15" s="17">
        <v>1268.5546874999998</v>
      </c>
    </row>
    <row r="16" spans="1:4" x14ac:dyDescent="0.25">
      <c r="A16">
        <v>12</v>
      </c>
      <c r="B16" s="17">
        <v>-720.9190246896703</v>
      </c>
      <c r="C16" s="17">
        <v>-352.81170986219837</v>
      </c>
      <c r="D16" s="17">
        <v>1268.5546874999998</v>
      </c>
    </row>
    <row r="17" spans="1:4" x14ac:dyDescent="0.25">
      <c r="A17">
        <v>13</v>
      </c>
      <c r="B17" s="17">
        <v>-735.4595123448352</v>
      </c>
      <c r="C17" s="17">
        <v>-280.10927158637435</v>
      </c>
      <c r="D17" s="17">
        <v>1268.5546874999998</v>
      </c>
    </row>
    <row r="18" spans="1:4" x14ac:dyDescent="0.25">
      <c r="A18">
        <v>14</v>
      </c>
      <c r="B18" s="17">
        <v>-735.4595123448352</v>
      </c>
      <c r="C18" s="17">
        <v>-323.7307345518688</v>
      </c>
      <c r="D18" s="17">
        <v>1268.5546874999998</v>
      </c>
    </row>
    <row r="19" spans="1:4" x14ac:dyDescent="0.25">
      <c r="A19">
        <v>15</v>
      </c>
      <c r="B19" s="17">
        <v>-691.8380493793408</v>
      </c>
      <c r="C19" s="17">
        <v>-323.73073455186875</v>
      </c>
      <c r="D19" s="17">
        <v>1268.5546874999998</v>
      </c>
    </row>
    <row r="20" spans="1:4" x14ac:dyDescent="0.25">
      <c r="A20">
        <v>16</v>
      </c>
      <c r="B20" s="17">
        <v>-677.2975617241759</v>
      </c>
      <c r="C20" s="17">
        <v>-309.190246896704</v>
      </c>
      <c r="D20" s="17">
        <v>1268.5546874999998</v>
      </c>
    </row>
    <row r="21" spans="1:4" x14ac:dyDescent="0.25">
      <c r="A21">
        <v>17</v>
      </c>
      <c r="B21" s="17">
        <v>-677.2975617241759</v>
      </c>
      <c r="C21" s="17">
        <v>-265.56878393120957</v>
      </c>
      <c r="D21" s="17">
        <v>1268.5546874999998</v>
      </c>
    </row>
    <row r="22" spans="1:4" x14ac:dyDescent="0.25">
      <c r="A22">
        <v>18</v>
      </c>
      <c r="B22" s="17">
        <v>-720.9190246896703</v>
      </c>
      <c r="C22" s="17">
        <v>-265.56878393120957</v>
      </c>
      <c r="D22" s="17">
        <v>1268.5546874999998</v>
      </c>
    </row>
    <row r="23" spans="1:4" x14ac:dyDescent="0.25">
      <c r="A23">
        <v>19</v>
      </c>
      <c r="B23" s="17">
        <v>-735.4595123448352</v>
      </c>
      <c r="C23" s="17">
        <v>-192.86634565538557</v>
      </c>
      <c r="D23" s="17">
        <v>1268.5546874999998</v>
      </c>
    </row>
    <row r="24" spans="1:4" x14ac:dyDescent="0.25">
      <c r="A24">
        <v>20</v>
      </c>
      <c r="B24" s="17">
        <v>-735.4595123448352</v>
      </c>
      <c r="C24" s="17">
        <v>-236.48780862087997</v>
      </c>
      <c r="D24" s="17">
        <v>1268.5546874999998</v>
      </c>
    </row>
    <row r="25" spans="1:4" x14ac:dyDescent="0.25">
      <c r="A25">
        <v>21</v>
      </c>
      <c r="B25" s="17">
        <v>-691.8380493793408</v>
      </c>
      <c r="C25" s="17">
        <v>-236.48780862087997</v>
      </c>
      <c r="D25" s="17">
        <v>1268.5546874999998</v>
      </c>
    </row>
    <row r="26" spans="1:4" x14ac:dyDescent="0.25">
      <c r="A26">
        <v>22</v>
      </c>
      <c r="B26" s="17">
        <v>-677.2975617241759</v>
      </c>
      <c r="C26" s="17">
        <v>-221.9473209657152</v>
      </c>
      <c r="D26" s="17">
        <v>1268.5546874999998</v>
      </c>
    </row>
    <row r="27" spans="1:4" x14ac:dyDescent="0.25">
      <c r="A27">
        <v>23</v>
      </c>
      <c r="B27" s="17">
        <v>-677.2975617241759</v>
      </c>
      <c r="C27" s="17">
        <v>-178.3258580002208</v>
      </c>
      <c r="D27" s="17">
        <v>1268.5546874999998</v>
      </c>
    </row>
    <row r="28" spans="1:4" x14ac:dyDescent="0.25">
      <c r="A28">
        <v>24</v>
      </c>
      <c r="B28" s="17">
        <v>-720.9190246896703</v>
      </c>
      <c r="C28" s="17">
        <v>-178.32585800022076</v>
      </c>
      <c r="D28" s="17">
        <v>1268.5546874999998</v>
      </c>
    </row>
    <row r="29" spans="1:4" x14ac:dyDescent="0.25">
      <c r="A29">
        <v>25</v>
      </c>
      <c r="B29" s="17">
        <v>-735.4595123448352</v>
      </c>
      <c r="C29" s="17">
        <v>-105.62341972439677</v>
      </c>
      <c r="D29" s="17">
        <v>1268.5546874999998</v>
      </c>
    </row>
    <row r="30" spans="1:4" x14ac:dyDescent="0.25">
      <c r="A30">
        <v>26</v>
      </c>
      <c r="B30" s="17">
        <v>-735.4595123448352</v>
      </c>
      <c r="C30" s="17">
        <v>-149.24488268989117</v>
      </c>
      <c r="D30" s="17">
        <v>1268.5546874999998</v>
      </c>
    </row>
    <row r="31" spans="1:4" x14ac:dyDescent="0.25">
      <c r="A31">
        <v>27</v>
      </c>
      <c r="B31" s="17">
        <v>-691.8380493793408</v>
      </c>
      <c r="C31" s="17">
        <v>-149.24488268989117</v>
      </c>
      <c r="D31" s="17">
        <v>1268.5546874999998</v>
      </c>
    </row>
    <row r="32" spans="1:4" x14ac:dyDescent="0.25">
      <c r="A32">
        <v>28</v>
      </c>
      <c r="B32" s="17">
        <v>-677.2975617241759</v>
      </c>
      <c r="C32" s="17">
        <v>-134.70439503472636</v>
      </c>
      <c r="D32" s="17">
        <v>1268.5546874999998</v>
      </c>
    </row>
    <row r="33" spans="1:4" x14ac:dyDescent="0.25">
      <c r="A33">
        <v>29</v>
      </c>
      <c r="B33" s="17">
        <v>-677.2975617241759</v>
      </c>
      <c r="C33" s="17">
        <v>-91.08293206923197</v>
      </c>
      <c r="D33" s="17">
        <v>1268.5546874999998</v>
      </c>
    </row>
    <row r="34" spans="1:4" x14ac:dyDescent="0.25">
      <c r="A34">
        <v>30</v>
      </c>
      <c r="B34" s="17">
        <v>-720.9190246896703</v>
      </c>
      <c r="C34" s="17">
        <v>-91.08293206923197</v>
      </c>
      <c r="D34" s="17">
        <v>1268.5546874999998</v>
      </c>
    </row>
    <row r="35" spans="1:4" x14ac:dyDescent="0.25">
      <c r="A35">
        <v>31</v>
      </c>
      <c r="B35" s="17">
        <v>-735.4595123448352</v>
      </c>
      <c r="C35" s="17">
        <v>-18.380493793407975</v>
      </c>
      <c r="D35" s="17">
        <v>1268.5546874999998</v>
      </c>
    </row>
    <row r="36" spans="1:4" x14ac:dyDescent="0.25">
      <c r="A36">
        <v>32</v>
      </c>
      <c r="B36" s="17">
        <v>-735.4595123448352</v>
      </c>
      <c r="C36" s="17">
        <v>-62.001956758902374</v>
      </c>
      <c r="D36" s="17">
        <v>1268.5546874999998</v>
      </c>
    </row>
    <row r="37" spans="1:4" x14ac:dyDescent="0.25">
      <c r="A37">
        <v>33</v>
      </c>
      <c r="B37" s="17">
        <v>-691.8380493793408</v>
      </c>
      <c r="C37" s="17">
        <v>-62.001956758902374</v>
      </c>
      <c r="D37" s="17">
        <v>1268.5546874999998</v>
      </c>
    </row>
    <row r="38" spans="1:4" x14ac:dyDescent="0.25">
      <c r="A38">
        <v>34</v>
      </c>
      <c r="B38" s="17">
        <v>-677.2975617241759</v>
      </c>
      <c r="C38" s="17">
        <v>-47.46146910373757</v>
      </c>
      <c r="D38" s="17">
        <v>1268.5546874999998</v>
      </c>
    </row>
    <row r="39" spans="1:4" x14ac:dyDescent="0.25">
      <c r="A39">
        <v>35</v>
      </c>
      <c r="B39" s="17">
        <v>-677.2975617241759</v>
      </c>
      <c r="C39" s="17">
        <v>-3.840006138243174</v>
      </c>
      <c r="D39" s="17">
        <v>1268.5546874999998</v>
      </c>
    </row>
    <row r="40" spans="1:4" x14ac:dyDescent="0.25">
      <c r="A40">
        <v>36</v>
      </c>
      <c r="B40" s="17">
        <v>-720.9190246896703</v>
      </c>
      <c r="C40" s="17">
        <v>-3.840006138243173</v>
      </c>
      <c r="D40" s="17">
        <v>1268.5546874999998</v>
      </c>
    </row>
    <row r="41" spans="1:4" x14ac:dyDescent="0.25">
      <c r="A41">
        <v>37</v>
      </c>
      <c r="B41" s="17">
        <v>-735.4595123448352</v>
      </c>
      <c r="C41" s="17">
        <v>68.86243213758081</v>
      </c>
      <c r="D41" s="17">
        <v>1268.5546874999998</v>
      </c>
    </row>
    <row r="42" spans="1:4" x14ac:dyDescent="0.25">
      <c r="A42">
        <v>38</v>
      </c>
      <c r="B42" s="17">
        <v>-735.4595123448352</v>
      </c>
      <c r="C42" s="17">
        <v>25.240969172086423</v>
      </c>
      <c r="D42" s="17">
        <v>1268.5546874999998</v>
      </c>
    </row>
    <row r="43" spans="1:4" x14ac:dyDescent="0.25">
      <c r="A43">
        <v>39</v>
      </c>
      <c r="B43" s="17">
        <v>-691.8380493793408</v>
      </c>
      <c r="C43" s="17">
        <v>25.240969172086423</v>
      </c>
      <c r="D43" s="17">
        <v>1268.5546874999998</v>
      </c>
    </row>
    <row r="44" spans="1:4" x14ac:dyDescent="0.25">
      <c r="A44">
        <v>40</v>
      </c>
      <c r="B44" s="17">
        <v>-677.2975617241759</v>
      </c>
      <c r="C44" s="17">
        <v>39.78145682725122</v>
      </c>
      <c r="D44" s="17">
        <v>1268.5546874999998</v>
      </c>
    </row>
    <row r="45" spans="1:4" x14ac:dyDescent="0.25">
      <c r="A45">
        <v>41</v>
      </c>
      <c r="B45" s="17">
        <v>-677.2975617241759</v>
      </c>
      <c r="C45" s="17">
        <v>83.40291979274562</v>
      </c>
      <c r="D45" s="17">
        <v>1268.5546874999998</v>
      </c>
    </row>
    <row r="46" spans="1:4" x14ac:dyDescent="0.25">
      <c r="A46">
        <v>42</v>
      </c>
      <c r="B46" s="17">
        <v>-720.9190246896703</v>
      </c>
      <c r="C46" s="17">
        <v>83.40291979274562</v>
      </c>
      <c r="D46" s="17">
        <v>1268.5546874999998</v>
      </c>
    </row>
    <row r="47" spans="1:4" x14ac:dyDescent="0.25">
      <c r="A47">
        <v>43</v>
      </c>
      <c r="B47" s="17">
        <v>-735.4595123448352</v>
      </c>
      <c r="C47" s="17">
        <v>156.10535806856961</v>
      </c>
      <c r="D47" s="17">
        <v>1268.5546874999998</v>
      </c>
    </row>
    <row r="48" spans="1:4" x14ac:dyDescent="0.25">
      <c r="A48">
        <v>44</v>
      </c>
      <c r="B48" s="17">
        <v>-735.4595123448352</v>
      </c>
      <c r="C48" s="17">
        <v>112.48389510307521</v>
      </c>
      <c r="D48" s="17">
        <v>1268.5546874999998</v>
      </c>
    </row>
    <row r="49" spans="1:4" x14ac:dyDescent="0.25">
      <c r="A49">
        <v>45</v>
      </c>
      <c r="B49" s="17">
        <v>-691.8380493793408</v>
      </c>
      <c r="C49" s="17">
        <v>112.48389510307521</v>
      </c>
      <c r="D49" s="17">
        <v>1268.5546874999998</v>
      </c>
    </row>
    <row r="50" spans="1:4" x14ac:dyDescent="0.25">
      <c r="A50">
        <v>46</v>
      </c>
      <c r="B50" s="17">
        <v>-677.2975617241759</v>
      </c>
      <c r="C50" s="17">
        <v>127.02438275824002</v>
      </c>
      <c r="D50" s="17">
        <v>1268.5546874999998</v>
      </c>
    </row>
    <row r="51" spans="1:4" x14ac:dyDescent="0.25">
      <c r="A51">
        <v>47</v>
      </c>
      <c r="B51" s="17">
        <v>-677.2975617241759</v>
      </c>
      <c r="C51" s="17">
        <v>170.64584572373442</v>
      </c>
      <c r="D51" s="17">
        <v>1268.5546874999998</v>
      </c>
    </row>
    <row r="52" spans="1:4" x14ac:dyDescent="0.25">
      <c r="A52">
        <v>48</v>
      </c>
      <c r="B52" s="17">
        <v>-720.9190246896703</v>
      </c>
      <c r="C52" s="17">
        <v>170.64584572373442</v>
      </c>
      <c r="D52" s="17">
        <v>1268.5546874999998</v>
      </c>
    </row>
    <row r="53" spans="1:4" x14ac:dyDescent="0.25">
      <c r="A53">
        <v>49</v>
      </c>
      <c r="B53" s="17">
        <v>-735.4595123448352</v>
      </c>
      <c r="C53" s="17">
        <v>243.34828399955842</v>
      </c>
      <c r="D53" s="17">
        <v>1268.5546874999998</v>
      </c>
    </row>
    <row r="54" spans="1:4" x14ac:dyDescent="0.25">
      <c r="A54">
        <v>50</v>
      </c>
      <c r="B54" s="17">
        <v>-735.4595123448352</v>
      </c>
      <c r="C54" s="17">
        <v>199.72682103406402</v>
      </c>
      <c r="D54" s="17">
        <v>1268.5546874999998</v>
      </c>
    </row>
    <row r="55" spans="1:4" x14ac:dyDescent="0.25">
      <c r="A55">
        <v>51</v>
      </c>
      <c r="B55" s="17">
        <v>-691.8380493793408</v>
      </c>
      <c r="C55" s="17">
        <v>199.72682103406402</v>
      </c>
      <c r="D55" s="17">
        <v>1268.5546874999998</v>
      </c>
    </row>
    <row r="56" spans="1:4" x14ac:dyDescent="0.25">
      <c r="A56">
        <v>52</v>
      </c>
      <c r="B56" s="17">
        <v>-677.2975617241759</v>
      </c>
      <c r="C56" s="17">
        <v>214.2673086892288</v>
      </c>
      <c r="D56" s="17">
        <v>1268.5546874999998</v>
      </c>
    </row>
    <row r="57" spans="1:4" x14ac:dyDescent="0.25">
      <c r="A57">
        <v>53</v>
      </c>
      <c r="B57" s="17">
        <v>-677.2975617241759</v>
      </c>
      <c r="C57" s="17">
        <v>257.8887716547232</v>
      </c>
      <c r="D57" s="17">
        <v>1268.5546874999998</v>
      </c>
    </row>
    <row r="58" spans="1:4" x14ac:dyDescent="0.25">
      <c r="A58">
        <v>54</v>
      </c>
      <c r="B58" s="17">
        <v>-720.9190246896703</v>
      </c>
      <c r="C58" s="17">
        <v>257.8887716547232</v>
      </c>
      <c r="D58" s="17">
        <v>1268.5546874999998</v>
      </c>
    </row>
    <row r="59" spans="1:4" x14ac:dyDescent="0.25">
      <c r="A59">
        <v>55</v>
      </c>
      <c r="B59" s="17">
        <v>-735.4595123448352</v>
      </c>
      <c r="C59" s="17">
        <v>330.5912099305472</v>
      </c>
      <c r="D59" s="17">
        <v>1268.5546874999998</v>
      </c>
    </row>
    <row r="60" spans="1:4" x14ac:dyDescent="0.25">
      <c r="A60">
        <v>56</v>
      </c>
      <c r="B60" s="17">
        <v>-735.4595123448352</v>
      </c>
      <c r="C60" s="17">
        <v>286.9697469650528</v>
      </c>
      <c r="D60" s="17">
        <v>1268.5546874999998</v>
      </c>
    </row>
    <row r="61" spans="1:4" x14ac:dyDescent="0.25">
      <c r="A61">
        <v>57</v>
      </c>
      <c r="B61" s="17">
        <v>-691.8380493793408</v>
      </c>
      <c r="C61" s="17">
        <v>286.9697469650528</v>
      </c>
      <c r="D61" s="17">
        <v>1268.5546874999998</v>
      </c>
    </row>
    <row r="62" spans="1:4" x14ac:dyDescent="0.25">
      <c r="A62">
        <v>58</v>
      </c>
      <c r="B62" s="17">
        <v>-677.2975617241759</v>
      </c>
      <c r="C62" s="17">
        <v>301.5102346202176</v>
      </c>
      <c r="D62" s="17">
        <v>1268.5546874999998</v>
      </c>
    </row>
    <row r="63" spans="1:4" x14ac:dyDescent="0.25">
      <c r="A63">
        <v>59</v>
      </c>
      <c r="B63" s="17">
        <v>-677.2975617241759</v>
      </c>
      <c r="C63" s="17">
        <v>345.13169758571206</v>
      </c>
      <c r="D63" s="17">
        <v>1268.5546874999998</v>
      </c>
    </row>
    <row r="64" spans="1:4" x14ac:dyDescent="0.25">
      <c r="A64">
        <v>60</v>
      </c>
      <c r="B64" s="17">
        <v>-720.9190246896703</v>
      </c>
      <c r="C64" s="17">
        <v>345.131697585712</v>
      </c>
      <c r="D64" s="17">
        <v>1268.5546874999998</v>
      </c>
    </row>
    <row r="65" spans="1:4" x14ac:dyDescent="0.25">
      <c r="A65">
        <v>61</v>
      </c>
      <c r="B65" s="17">
        <v>-735.4595123448352</v>
      </c>
      <c r="C65" s="17">
        <v>386.5573950802923</v>
      </c>
      <c r="D65" s="17">
        <v>586.3860926648032</v>
      </c>
    </row>
    <row r="66" spans="1:4" x14ac:dyDescent="0.25">
      <c r="A66">
        <v>62</v>
      </c>
      <c r="B66" s="17">
        <v>-735.4595123448352</v>
      </c>
      <c r="C66" s="17">
        <v>366.3934877007307</v>
      </c>
      <c r="D66" s="17">
        <v>586.3860926648032</v>
      </c>
    </row>
    <row r="67" spans="1:4" x14ac:dyDescent="0.25">
      <c r="A67">
        <v>63</v>
      </c>
      <c r="B67" s="17">
        <v>-691.8380493793408</v>
      </c>
      <c r="C67" s="17">
        <v>366.3934877007307</v>
      </c>
      <c r="D67" s="17">
        <v>586.3860926648032</v>
      </c>
    </row>
    <row r="68" spans="1:4" x14ac:dyDescent="0.25">
      <c r="A68">
        <v>64</v>
      </c>
      <c r="B68" s="17">
        <v>-720.9190246896703</v>
      </c>
      <c r="C68" s="17">
        <v>401.09788273545706</v>
      </c>
      <c r="D68" s="17">
        <v>1268.5546874999998</v>
      </c>
    </row>
    <row r="69" spans="1:4" x14ac:dyDescent="0.25">
      <c r="A69">
        <v>65</v>
      </c>
      <c r="B69" s="17">
        <v>-677.2975617241759</v>
      </c>
      <c r="C69" s="17">
        <v>380.9339753558955</v>
      </c>
      <c r="D69" s="17">
        <v>1268.5546874999998</v>
      </c>
    </row>
    <row r="70" spans="1:4" x14ac:dyDescent="0.25">
      <c r="A70">
        <v>66</v>
      </c>
      <c r="B70" s="17">
        <v>-677.2975617241759</v>
      </c>
      <c r="C70" s="17">
        <v>424.5554383213899</v>
      </c>
      <c r="D70" s="17">
        <v>1268.5546874999998</v>
      </c>
    </row>
    <row r="71" spans="1:4" x14ac:dyDescent="0.25">
      <c r="A71">
        <v>67</v>
      </c>
      <c r="B71" s="17">
        <v>-684.0188641840298</v>
      </c>
      <c r="C71" s="17">
        <v>439.09592597655467</v>
      </c>
      <c r="D71" s="17">
        <v>315.33065212377784</v>
      </c>
    </row>
    <row r="72" spans="1:4" x14ac:dyDescent="0.25">
      <c r="A72">
        <v>68</v>
      </c>
      <c r="B72" s="17">
        <v>-704.1827715635914</v>
      </c>
      <c r="C72" s="17">
        <v>439.09592597655467</v>
      </c>
      <c r="D72" s="17">
        <v>315.33065212377784</v>
      </c>
    </row>
    <row r="73" spans="1:4" x14ac:dyDescent="0.25">
      <c r="A73">
        <v>69</v>
      </c>
      <c r="B73" s="17">
        <v>-727.6403271495242</v>
      </c>
      <c r="C73" s="17">
        <v>415.63837039062184</v>
      </c>
      <c r="D73" s="17">
        <v>315.33065212377784</v>
      </c>
    </row>
    <row r="74" spans="1:4" x14ac:dyDescent="0.25">
      <c r="A74">
        <v>70</v>
      </c>
      <c r="B74" s="17">
        <v>-689.6422839084265</v>
      </c>
      <c r="C74" s="17">
        <v>453.6364136317195</v>
      </c>
      <c r="D74" s="17">
        <v>271.05544054102523</v>
      </c>
    </row>
    <row r="75" spans="1:4" x14ac:dyDescent="0.25">
      <c r="A75">
        <v>71</v>
      </c>
      <c r="B75" s="17">
        <v>-669.4783765288649</v>
      </c>
      <c r="C75" s="17">
        <v>453.6364136317195</v>
      </c>
      <c r="D75" s="17">
        <v>271.05544054102523</v>
      </c>
    </row>
    <row r="76" spans="1:4" x14ac:dyDescent="0.25">
      <c r="A76">
        <v>72</v>
      </c>
      <c r="B76" s="17">
        <v>-669.478376528865</v>
      </c>
      <c r="C76" s="17">
        <v>473.8003210112811</v>
      </c>
      <c r="D76" s="17">
        <v>271.05544054102523</v>
      </c>
    </row>
    <row r="77" spans="1:4" x14ac:dyDescent="0.25">
      <c r="A77">
        <v>73</v>
      </c>
      <c r="B77" s="17">
        <v>-616.6666666666667</v>
      </c>
      <c r="C77" s="17">
        <v>-523.0452037011722</v>
      </c>
      <c r="D77" s="17">
        <v>635.0736679689038</v>
      </c>
    </row>
    <row r="78" spans="1:4" x14ac:dyDescent="0.25">
      <c r="A78">
        <v>74</v>
      </c>
      <c r="B78" s="17">
        <v>-585.8022777701834</v>
      </c>
      <c r="C78" s="17">
        <v>-553.9095925976554</v>
      </c>
      <c r="D78" s="17">
        <v>635.0736679689038</v>
      </c>
    </row>
    <row r="79" spans="1:4" x14ac:dyDescent="0.25">
      <c r="A79">
        <v>75</v>
      </c>
      <c r="B79" s="17">
        <v>-585.8022777701834</v>
      </c>
      <c r="C79" s="17">
        <v>-523.0452037011722</v>
      </c>
      <c r="D79" s="17">
        <v>635.0736679689038</v>
      </c>
    </row>
    <row r="80" spans="1:4" x14ac:dyDescent="0.25">
      <c r="A80">
        <v>76</v>
      </c>
      <c r="B80" s="17">
        <v>-658.5047160460074</v>
      </c>
      <c r="C80" s="17">
        <v>-450.34276542534826</v>
      </c>
      <c r="D80" s="17">
        <v>262.49286349813536</v>
      </c>
    </row>
    <row r="81" spans="1:4" x14ac:dyDescent="0.25">
      <c r="A81">
        <v>77</v>
      </c>
      <c r="B81" s="17">
        <v>-658.5047160460074</v>
      </c>
      <c r="C81" s="17">
        <v>-481.20715432183147</v>
      </c>
      <c r="D81" s="17">
        <v>262.49286349813536</v>
      </c>
    </row>
    <row r="82" spans="1:4" x14ac:dyDescent="0.25">
      <c r="A82">
        <v>78</v>
      </c>
      <c r="B82" s="17">
        <v>-645.7476419769962</v>
      </c>
      <c r="C82" s="17">
        <v>-493.9642283908426</v>
      </c>
      <c r="D82" s="17">
        <v>262.49286349813536</v>
      </c>
    </row>
    <row r="83" spans="1:4" x14ac:dyDescent="0.25">
      <c r="A83">
        <v>79</v>
      </c>
      <c r="B83" s="17">
        <v>-643.9642283908427</v>
      </c>
      <c r="C83" s="17">
        <v>-454.59512344835196</v>
      </c>
      <c r="D83" s="17">
        <v>897.5665314670392</v>
      </c>
    </row>
    <row r="84" spans="1:4" x14ac:dyDescent="0.25">
      <c r="A84">
        <v>80</v>
      </c>
      <c r="B84" s="17">
        <v>-631.2071543218315</v>
      </c>
      <c r="C84" s="17">
        <v>-498.21658641384636</v>
      </c>
      <c r="D84" s="17">
        <v>897.5665314670392</v>
      </c>
    </row>
    <row r="85" spans="1:4" x14ac:dyDescent="0.25">
      <c r="A85">
        <v>81</v>
      </c>
      <c r="B85" s="17">
        <v>-600.3427654253483</v>
      </c>
      <c r="C85" s="17">
        <v>-498.21658641384636</v>
      </c>
      <c r="D85" s="17">
        <v>897.5665314670392</v>
      </c>
    </row>
    <row r="86" spans="1:4" x14ac:dyDescent="0.25">
      <c r="A86">
        <v>82</v>
      </c>
      <c r="B86" s="17">
        <v>-590.0546357931871</v>
      </c>
      <c r="C86" s="17">
        <v>-483.6760987586815</v>
      </c>
      <c r="D86" s="17">
        <v>1268.5546874999998</v>
      </c>
    </row>
    <row r="87" spans="1:4" x14ac:dyDescent="0.25">
      <c r="A87">
        <v>83</v>
      </c>
      <c r="B87" s="17">
        <v>-590.0546357931871</v>
      </c>
      <c r="C87" s="17">
        <v>-440.0546357931872</v>
      </c>
      <c r="D87" s="17">
        <v>1268.5546874999998</v>
      </c>
    </row>
    <row r="88" spans="1:4" x14ac:dyDescent="0.25">
      <c r="A88">
        <v>84</v>
      </c>
      <c r="B88" s="17">
        <v>-633.6760987586815</v>
      </c>
      <c r="C88" s="17">
        <v>-440.0546357931872</v>
      </c>
      <c r="D88" s="17">
        <v>1268.5546874999998</v>
      </c>
    </row>
    <row r="89" spans="1:4" x14ac:dyDescent="0.25">
      <c r="A89">
        <v>85</v>
      </c>
      <c r="B89" s="17">
        <v>-648.2165864138464</v>
      </c>
      <c r="C89" s="17">
        <v>-367.35219751736315</v>
      </c>
      <c r="D89" s="17">
        <v>1268.5546874999998</v>
      </c>
    </row>
    <row r="90" spans="1:4" x14ac:dyDescent="0.25">
      <c r="A90">
        <v>86</v>
      </c>
      <c r="B90" s="17">
        <v>-648.2165864138464</v>
      </c>
      <c r="C90" s="17">
        <v>-410.97366048285755</v>
      </c>
      <c r="D90" s="17">
        <v>1268.5546874999998</v>
      </c>
    </row>
    <row r="91" spans="1:4" x14ac:dyDescent="0.25">
      <c r="A91">
        <v>87</v>
      </c>
      <c r="B91" s="17">
        <v>-604.595123448352</v>
      </c>
      <c r="C91" s="17">
        <v>-410.97366048285755</v>
      </c>
      <c r="D91" s="17">
        <v>1268.5546874999998</v>
      </c>
    </row>
    <row r="92" spans="1:4" x14ac:dyDescent="0.25">
      <c r="A92">
        <v>88</v>
      </c>
      <c r="B92" s="17">
        <v>-590.0546357931871</v>
      </c>
      <c r="C92" s="17">
        <v>-396.4331728276928</v>
      </c>
      <c r="D92" s="17">
        <v>1268.5546874999998</v>
      </c>
    </row>
    <row r="93" spans="1:4" x14ac:dyDescent="0.25">
      <c r="A93">
        <v>89</v>
      </c>
      <c r="B93" s="17">
        <v>-590.0546357931871</v>
      </c>
      <c r="C93" s="17">
        <v>-352.81170986219837</v>
      </c>
      <c r="D93" s="17">
        <v>1268.5546874999998</v>
      </c>
    </row>
    <row r="94" spans="1:4" x14ac:dyDescent="0.25">
      <c r="A94">
        <v>90</v>
      </c>
      <c r="B94" s="17">
        <v>-633.6760987586815</v>
      </c>
      <c r="C94" s="17">
        <v>-352.81170986219837</v>
      </c>
      <c r="D94" s="17">
        <v>1268.5546874999998</v>
      </c>
    </row>
    <row r="95" spans="1:4" x14ac:dyDescent="0.25">
      <c r="A95">
        <v>91</v>
      </c>
      <c r="B95" s="17">
        <v>-648.2165864138464</v>
      </c>
      <c r="C95" s="17">
        <v>-280.10927158637435</v>
      </c>
      <c r="D95" s="17">
        <v>1268.5546874999998</v>
      </c>
    </row>
    <row r="96" spans="1:4" x14ac:dyDescent="0.25">
      <c r="A96">
        <v>92</v>
      </c>
      <c r="B96" s="17">
        <v>-648.2165864138464</v>
      </c>
      <c r="C96" s="17">
        <v>-323.7307345518688</v>
      </c>
      <c r="D96" s="17">
        <v>1268.5546874999998</v>
      </c>
    </row>
    <row r="97" spans="1:4" x14ac:dyDescent="0.25">
      <c r="A97">
        <v>93</v>
      </c>
      <c r="B97" s="17">
        <v>-604.595123448352</v>
      </c>
      <c r="C97" s="17">
        <v>-323.73073455186875</v>
      </c>
      <c r="D97" s="17">
        <v>1268.5546874999998</v>
      </c>
    </row>
    <row r="98" spans="1:4" x14ac:dyDescent="0.25">
      <c r="A98">
        <v>94</v>
      </c>
      <c r="B98" s="17">
        <v>-590.0546357931871</v>
      </c>
      <c r="C98" s="17">
        <v>-309.190246896704</v>
      </c>
      <c r="D98" s="17">
        <v>1268.5546874999998</v>
      </c>
    </row>
    <row r="99" spans="1:4" x14ac:dyDescent="0.25">
      <c r="A99">
        <v>95</v>
      </c>
      <c r="B99" s="17">
        <v>-590.0546357931871</v>
      </c>
      <c r="C99" s="17">
        <v>-265.56878393120957</v>
      </c>
      <c r="D99" s="17">
        <v>1268.5546874999998</v>
      </c>
    </row>
    <row r="100" spans="1:4" x14ac:dyDescent="0.25">
      <c r="A100">
        <v>96</v>
      </c>
      <c r="B100" s="17">
        <v>-633.6760987586815</v>
      </c>
      <c r="C100" s="17">
        <v>-265.56878393120957</v>
      </c>
      <c r="D100" s="17">
        <v>1268.5546874999998</v>
      </c>
    </row>
    <row r="101" spans="1:4" x14ac:dyDescent="0.25">
      <c r="A101">
        <v>97</v>
      </c>
      <c r="B101" s="17">
        <v>-648.2165864138464</v>
      </c>
      <c r="C101" s="17">
        <v>-192.86634565538557</v>
      </c>
      <c r="D101" s="17">
        <v>1268.5546874999998</v>
      </c>
    </row>
    <row r="102" spans="1:4" x14ac:dyDescent="0.25">
      <c r="A102">
        <v>98</v>
      </c>
      <c r="B102" s="17">
        <v>-648.2165864138464</v>
      </c>
      <c r="C102" s="17">
        <v>-236.48780862087997</v>
      </c>
      <c r="D102" s="17">
        <v>1268.5546874999998</v>
      </c>
    </row>
    <row r="103" spans="1:4" x14ac:dyDescent="0.25">
      <c r="A103">
        <v>99</v>
      </c>
      <c r="B103" s="17">
        <v>-604.595123448352</v>
      </c>
      <c r="C103" s="17">
        <v>-236.48780862087997</v>
      </c>
      <c r="D103" s="17">
        <v>1268.5546874999998</v>
      </c>
    </row>
    <row r="104" spans="1:4" x14ac:dyDescent="0.25">
      <c r="A104">
        <v>100</v>
      </c>
      <c r="B104" s="17">
        <v>-590.0546357931871</v>
      </c>
      <c r="C104" s="17">
        <v>-221.9473209657152</v>
      </c>
      <c r="D104" s="17">
        <v>1268.5546874999998</v>
      </c>
    </row>
    <row r="105" spans="1:4" x14ac:dyDescent="0.25">
      <c r="A105">
        <v>101</v>
      </c>
      <c r="B105" s="17">
        <v>-590.0546357931871</v>
      </c>
      <c r="C105" s="17">
        <v>-178.3258580002208</v>
      </c>
      <c r="D105" s="17">
        <v>1268.5546874999998</v>
      </c>
    </row>
    <row r="106" spans="1:4" x14ac:dyDescent="0.25">
      <c r="A106">
        <v>102</v>
      </c>
      <c r="B106" s="17">
        <v>-633.6760987586815</v>
      </c>
      <c r="C106" s="17">
        <v>-178.32585800022076</v>
      </c>
      <c r="D106" s="17">
        <v>1268.5546874999998</v>
      </c>
    </row>
    <row r="107" spans="1:4" x14ac:dyDescent="0.25">
      <c r="A107">
        <v>103</v>
      </c>
      <c r="B107" s="17">
        <v>-648.2165864138464</v>
      </c>
      <c r="C107" s="17">
        <v>-105.62341972439677</v>
      </c>
      <c r="D107" s="17">
        <v>1268.5546874999998</v>
      </c>
    </row>
    <row r="108" spans="1:4" x14ac:dyDescent="0.25">
      <c r="A108">
        <v>104</v>
      </c>
      <c r="B108" s="17">
        <v>-648.2165864138464</v>
      </c>
      <c r="C108" s="17">
        <v>-149.24488268989117</v>
      </c>
      <c r="D108" s="17">
        <v>1268.5546874999998</v>
      </c>
    </row>
    <row r="109" spans="1:4" x14ac:dyDescent="0.25">
      <c r="A109">
        <v>105</v>
      </c>
      <c r="B109" s="17">
        <v>-604.595123448352</v>
      </c>
      <c r="C109" s="17">
        <v>-149.24488268989117</v>
      </c>
      <c r="D109" s="17">
        <v>1268.5546874999998</v>
      </c>
    </row>
    <row r="110" spans="1:4" x14ac:dyDescent="0.25">
      <c r="A110">
        <v>106</v>
      </c>
      <c r="B110" s="17">
        <v>-590.0546357931871</v>
      </c>
      <c r="C110" s="17">
        <v>-134.70439503472636</v>
      </c>
      <c r="D110" s="17">
        <v>1268.5546874999998</v>
      </c>
    </row>
    <row r="111" spans="1:4" x14ac:dyDescent="0.25">
      <c r="A111">
        <v>107</v>
      </c>
      <c r="B111" s="17">
        <v>-590.0546357931871</v>
      </c>
      <c r="C111" s="17">
        <v>-91.08293206923197</v>
      </c>
      <c r="D111" s="17">
        <v>1268.5546874999998</v>
      </c>
    </row>
    <row r="112" spans="1:4" x14ac:dyDescent="0.25">
      <c r="A112">
        <v>108</v>
      </c>
      <c r="B112" s="17">
        <v>-633.6760987586815</v>
      </c>
      <c r="C112" s="17">
        <v>-91.08293206923197</v>
      </c>
      <c r="D112" s="17">
        <v>1268.5546874999998</v>
      </c>
    </row>
    <row r="113" spans="1:4" x14ac:dyDescent="0.25">
      <c r="A113">
        <v>109</v>
      </c>
      <c r="B113" s="17">
        <v>-648.2165864138464</v>
      </c>
      <c r="C113" s="17">
        <v>-18.380493793407975</v>
      </c>
      <c r="D113" s="17">
        <v>1268.5546874999998</v>
      </c>
    </row>
    <row r="114" spans="1:4" x14ac:dyDescent="0.25">
      <c r="A114">
        <v>110</v>
      </c>
      <c r="B114" s="17">
        <v>-648.2165864138464</v>
      </c>
      <c r="C114" s="17">
        <v>-62.001956758902374</v>
      </c>
      <c r="D114" s="17">
        <v>1268.5546874999998</v>
      </c>
    </row>
    <row r="115" spans="1:4" x14ac:dyDescent="0.25">
      <c r="A115">
        <v>111</v>
      </c>
      <c r="B115" s="17">
        <v>-604.595123448352</v>
      </c>
      <c r="C115" s="17">
        <v>-62.001956758902374</v>
      </c>
      <c r="D115" s="17">
        <v>1268.5546874999998</v>
      </c>
    </row>
    <row r="116" spans="1:4" x14ac:dyDescent="0.25">
      <c r="A116">
        <v>112</v>
      </c>
      <c r="B116" s="17">
        <v>-590.0546357931871</v>
      </c>
      <c r="C116" s="17">
        <v>-47.46146910373757</v>
      </c>
      <c r="D116" s="17">
        <v>1268.5546874999998</v>
      </c>
    </row>
    <row r="117" spans="1:4" x14ac:dyDescent="0.25">
      <c r="A117">
        <v>113</v>
      </c>
      <c r="B117" s="17">
        <v>-590.0546357931871</v>
      </c>
      <c r="C117" s="17">
        <v>-3.840006138243174</v>
      </c>
      <c r="D117" s="17">
        <v>1268.5546874999998</v>
      </c>
    </row>
    <row r="118" spans="1:4" x14ac:dyDescent="0.25">
      <c r="A118">
        <v>114</v>
      </c>
      <c r="B118" s="17">
        <v>-633.6760987586815</v>
      </c>
      <c r="C118" s="17">
        <v>-3.840006138243173</v>
      </c>
      <c r="D118" s="17">
        <v>1268.5546874999998</v>
      </c>
    </row>
    <row r="119" spans="1:4" x14ac:dyDescent="0.25">
      <c r="A119">
        <v>115</v>
      </c>
      <c r="B119" s="17">
        <v>-648.2165864138464</v>
      </c>
      <c r="C119" s="17">
        <v>68.86243213758081</v>
      </c>
      <c r="D119" s="17">
        <v>1268.5546874999998</v>
      </c>
    </row>
    <row r="120" spans="1:4" x14ac:dyDescent="0.25">
      <c r="A120">
        <v>116</v>
      </c>
      <c r="B120" s="17">
        <v>-648.2165864138464</v>
      </c>
      <c r="C120" s="17">
        <v>25.240969172086423</v>
      </c>
      <c r="D120" s="17">
        <v>1268.5546874999998</v>
      </c>
    </row>
    <row r="121" spans="1:4" x14ac:dyDescent="0.25">
      <c r="A121">
        <v>117</v>
      </c>
      <c r="B121" s="17">
        <v>-604.595123448352</v>
      </c>
      <c r="C121" s="17">
        <v>25.240969172086423</v>
      </c>
      <c r="D121" s="17">
        <v>1268.5546874999998</v>
      </c>
    </row>
    <row r="122" spans="1:4" x14ac:dyDescent="0.25">
      <c r="A122">
        <v>118</v>
      </c>
      <c r="B122" s="17">
        <v>-590.0546357931871</v>
      </c>
      <c r="C122" s="17">
        <v>39.78145682725122</v>
      </c>
      <c r="D122" s="17">
        <v>1268.5546874999998</v>
      </c>
    </row>
    <row r="123" spans="1:4" x14ac:dyDescent="0.25">
      <c r="A123">
        <v>119</v>
      </c>
      <c r="B123" s="17">
        <v>-590.0546357931871</v>
      </c>
      <c r="C123" s="17">
        <v>83.40291979274562</v>
      </c>
      <c r="D123" s="17">
        <v>1268.5546874999998</v>
      </c>
    </row>
    <row r="124" spans="1:4" x14ac:dyDescent="0.25">
      <c r="A124">
        <v>120</v>
      </c>
      <c r="B124" s="17">
        <v>-633.6760987586815</v>
      </c>
      <c r="C124" s="17">
        <v>83.40291979274562</v>
      </c>
      <c r="D124" s="17">
        <v>1268.5546874999998</v>
      </c>
    </row>
    <row r="125" spans="1:4" x14ac:dyDescent="0.25">
      <c r="A125">
        <v>121</v>
      </c>
      <c r="B125" s="17">
        <v>-648.2165864138464</v>
      </c>
      <c r="C125" s="17">
        <v>156.10535806856961</v>
      </c>
      <c r="D125" s="17">
        <v>1268.5546874999998</v>
      </c>
    </row>
    <row r="126" spans="1:4" x14ac:dyDescent="0.25">
      <c r="A126">
        <v>122</v>
      </c>
      <c r="B126" s="17">
        <v>-648.2165864138464</v>
      </c>
      <c r="C126" s="17">
        <v>112.48389510307521</v>
      </c>
      <c r="D126" s="17">
        <v>1268.5546874999998</v>
      </c>
    </row>
    <row r="127" spans="1:4" x14ac:dyDescent="0.25">
      <c r="A127">
        <v>123</v>
      </c>
      <c r="B127" s="17">
        <v>-604.595123448352</v>
      </c>
      <c r="C127" s="17">
        <v>112.48389510307521</v>
      </c>
      <c r="D127" s="17">
        <v>1268.5546874999998</v>
      </c>
    </row>
    <row r="128" spans="1:4" x14ac:dyDescent="0.25">
      <c r="A128">
        <v>124</v>
      </c>
      <c r="B128" s="17">
        <v>-590.0546357931871</v>
      </c>
      <c r="C128" s="17">
        <v>127.02438275824002</v>
      </c>
      <c r="D128" s="17">
        <v>1268.5546874999998</v>
      </c>
    </row>
    <row r="129" spans="1:4" x14ac:dyDescent="0.25">
      <c r="A129">
        <v>125</v>
      </c>
      <c r="B129" s="17">
        <v>-590.0546357931871</v>
      </c>
      <c r="C129" s="17">
        <v>170.64584572373442</v>
      </c>
      <c r="D129" s="17">
        <v>1268.5546874999998</v>
      </c>
    </row>
    <row r="130" spans="1:4" x14ac:dyDescent="0.25">
      <c r="A130">
        <v>126</v>
      </c>
      <c r="B130" s="17">
        <v>-633.6760987586815</v>
      </c>
      <c r="C130" s="17">
        <v>170.64584572373442</v>
      </c>
      <c r="D130" s="17">
        <v>1268.5546874999998</v>
      </c>
    </row>
    <row r="131" spans="1:4" x14ac:dyDescent="0.25">
      <c r="A131">
        <v>127</v>
      </c>
      <c r="B131" s="17">
        <v>-648.2165864138464</v>
      </c>
      <c r="C131" s="17">
        <v>243.34828399955842</v>
      </c>
      <c r="D131" s="17">
        <v>1268.5546874999998</v>
      </c>
    </row>
    <row r="132" spans="1:4" x14ac:dyDescent="0.25">
      <c r="A132">
        <v>128</v>
      </c>
      <c r="B132" s="17">
        <v>-648.2165864138464</v>
      </c>
      <c r="C132" s="17">
        <v>199.72682103406402</v>
      </c>
      <c r="D132" s="17">
        <v>1268.5546874999998</v>
      </c>
    </row>
    <row r="133" spans="1:4" x14ac:dyDescent="0.25">
      <c r="A133">
        <v>129</v>
      </c>
      <c r="B133" s="17">
        <v>-604.595123448352</v>
      </c>
      <c r="C133" s="17">
        <v>199.72682103406402</v>
      </c>
      <c r="D133" s="17">
        <v>1268.5546874999998</v>
      </c>
    </row>
    <row r="134" spans="1:4" x14ac:dyDescent="0.25">
      <c r="A134">
        <v>130</v>
      </c>
      <c r="B134" s="17">
        <v>-590.0546357931871</v>
      </c>
      <c r="C134" s="17">
        <v>214.2673086892288</v>
      </c>
      <c r="D134" s="17">
        <v>1268.5546874999998</v>
      </c>
    </row>
    <row r="135" spans="1:4" x14ac:dyDescent="0.25">
      <c r="A135">
        <v>131</v>
      </c>
      <c r="B135" s="17">
        <v>-590.0546357931871</v>
      </c>
      <c r="C135" s="17">
        <v>257.8887716547232</v>
      </c>
      <c r="D135" s="17">
        <v>1268.5546874999998</v>
      </c>
    </row>
    <row r="136" spans="1:4" x14ac:dyDescent="0.25">
      <c r="A136">
        <v>132</v>
      </c>
      <c r="B136" s="17">
        <v>-633.6760987586815</v>
      </c>
      <c r="C136" s="17">
        <v>257.8887716547232</v>
      </c>
      <c r="D136" s="17">
        <v>1268.5546874999998</v>
      </c>
    </row>
    <row r="137" spans="1:4" x14ac:dyDescent="0.25">
      <c r="A137">
        <v>133</v>
      </c>
      <c r="B137" s="17">
        <v>-648.2165864138464</v>
      </c>
      <c r="C137" s="17">
        <v>330.5912099305472</v>
      </c>
      <c r="D137" s="17">
        <v>1268.5546874999998</v>
      </c>
    </row>
    <row r="138" spans="1:4" x14ac:dyDescent="0.25">
      <c r="A138">
        <v>134</v>
      </c>
      <c r="B138" s="17">
        <v>-648.2165864138464</v>
      </c>
      <c r="C138" s="17">
        <v>286.9697469650528</v>
      </c>
      <c r="D138" s="17">
        <v>1268.5546874999998</v>
      </c>
    </row>
    <row r="139" spans="1:4" x14ac:dyDescent="0.25">
      <c r="A139">
        <v>135</v>
      </c>
      <c r="B139" s="17">
        <v>-604.595123448352</v>
      </c>
      <c r="C139" s="17">
        <v>286.9697469650528</v>
      </c>
      <c r="D139" s="17">
        <v>1268.5546874999998</v>
      </c>
    </row>
    <row r="140" spans="1:4" x14ac:dyDescent="0.25">
      <c r="A140">
        <v>136</v>
      </c>
      <c r="B140" s="17">
        <v>-590.0546357931871</v>
      </c>
      <c r="C140" s="17">
        <v>301.5102346202176</v>
      </c>
      <c r="D140" s="17">
        <v>1268.5546874999998</v>
      </c>
    </row>
    <row r="141" spans="1:4" x14ac:dyDescent="0.25">
      <c r="A141">
        <v>137</v>
      </c>
      <c r="B141" s="17">
        <v>-590.0546357931871</v>
      </c>
      <c r="C141" s="17">
        <v>345.13169758571206</v>
      </c>
      <c r="D141" s="17">
        <v>1268.5546874999998</v>
      </c>
    </row>
    <row r="142" spans="1:4" x14ac:dyDescent="0.25">
      <c r="A142">
        <v>138</v>
      </c>
      <c r="B142" s="17">
        <v>-633.6760987586815</v>
      </c>
      <c r="C142" s="17">
        <v>345.131697585712</v>
      </c>
      <c r="D142" s="17">
        <v>1268.5546874999998</v>
      </c>
    </row>
    <row r="143" spans="1:4" x14ac:dyDescent="0.25">
      <c r="A143">
        <v>139</v>
      </c>
      <c r="B143" s="17">
        <v>-648.2165864138464</v>
      </c>
      <c r="C143" s="17">
        <v>417.8341358615361</v>
      </c>
      <c r="D143" s="17">
        <v>1268.5546874999998</v>
      </c>
    </row>
    <row r="144" spans="1:4" x14ac:dyDescent="0.25">
      <c r="A144">
        <v>140</v>
      </c>
      <c r="B144" s="17">
        <v>-648.2165864138464</v>
      </c>
      <c r="C144" s="17">
        <v>374.2126728960416</v>
      </c>
      <c r="D144" s="17">
        <v>1268.5546874999998</v>
      </c>
    </row>
    <row r="145" spans="1:4" x14ac:dyDescent="0.25">
      <c r="A145">
        <v>141</v>
      </c>
      <c r="B145" s="17">
        <v>-604.595123448352</v>
      </c>
      <c r="C145" s="17">
        <v>374.2126728960416</v>
      </c>
      <c r="D145" s="17">
        <v>1268.5546874999998</v>
      </c>
    </row>
    <row r="146" spans="1:4" x14ac:dyDescent="0.25">
      <c r="A146">
        <v>142</v>
      </c>
      <c r="B146" s="17">
        <v>-590.0546357931871</v>
      </c>
      <c r="C146" s="17">
        <v>388.7531605512064</v>
      </c>
      <c r="D146" s="17">
        <v>1268.5546874999998</v>
      </c>
    </row>
    <row r="147" spans="1:4" x14ac:dyDescent="0.25">
      <c r="A147">
        <v>143</v>
      </c>
      <c r="B147" s="17">
        <v>-590.0546357931871</v>
      </c>
      <c r="C147" s="17">
        <v>432.37462351670086</v>
      </c>
      <c r="D147" s="17">
        <v>1268.5546874999998</v>
      </c>
    </row>
    <row r="148" spans="1:4" x14ac:dyDescent="0.25">
      <c r="A148">
        <v>144</v>
      </c>
      <c r="B148" s="17">
        <v>-633.6760987586815</v>
      </c>
      <c r="C148" s="17">
        <v>432.3746235167008</v>
      </c>
      <c r="D148" s="17">
        <v>1268.5546874999998</v>
      </c>
    </row>
    <row r="149" spans="1:4" x14ac:dyDescent="0.25">
      <c r="A149">
        <v>145</v>
      </c>
      <c r="B149" s="17">
        <v>-648.2165864138464</v>
      </c>
      <c r="C149" s="17">
        <v>473.8003210112811</v>
      </c>
      <c r="D149" s="17">
        <v>586.3860926648032</v>
      </c>
    </row>
    <row r="150" spans="1:4" x14ac:dyDescent="0.25">
      <c r="A150">
        <v>146</v>
      </c>
      <c r="B150" s="17">
        <v>-648.2165864138464</v>
      </c>
      <c r="C150" s="17">
        <v>453.6364136317195</v>
      </c>
      <c r="D150" s="17">
        <v>586.3860926648032</v>
      </c>
    </row>
    <row r="151" spans="1:4" x14ac:dyDescent="0.25">
      <c r="A151">
        <v>147</v>
      </c>
      <c r="B151" s="17">
        <v>-604.595123448352</v>
      </c>
      <c r="C151" s="17">
        <v>453.6364136317195</v>
      </c>
      <c r="D151" s="17">
        <v>586.3860926648032</v>
      </c>
    </row>
    <row r="152" spans="1:4" x14ac:dyDescent="0.25">
      <c r="A152">
        <v>148</v>
      </c>
      <c r="B152" s="17">
        <v>-633.6760987586816</v>
      </c>
      <c r="C152" s="17">
        <v>488.34080866644587</v>
      </c>
      <c r="D152" s="17">
        <v>1268.5546874999998</v>
      </c>
    </row>
    <row r="153" spans="1:4" x14ac:dyDescent="0.25">
      <c r="A153">
        <v>149</v>
      </c>
      <c r="B153" s="17">
        <v>-590.0546357931872</v>
      </c>
      <c r="C153" s="17">
        <v>468.1769012868843</v>
      </c>
      <c r="D153" s="17">
        <v>1268.5546874999998</v>
      </c>
    </row>
    <row r="154" spans="1:4" x14ac:dyDescent="0.25">
      <c r="A154">
        <v>150</v>
      </c>
      <c r="B154" s="17">
        <v>-590.0546357931871</v>
      </c>
      <c r="C154" s="17">
        <v>511.7983642523787</v>
      </c>
      <c r="D154" s="17">
        <v>1268.5546874999998</v>
      </c>
    </row>
    <row r="155" spans="1:4" x14ac:dyDescent="0.25">
      <c r="A155">
        <v>151</v>
      </c>
      <c r="B155" s="17">
        <v>-596.775938253041</v>
      </c>
      <c r="C155" s="17">
        <v>526.3388519075435</v>
      </c>
      <c r="D155" s="17">
        <v>315.33065212377784</v>
      </c>
    </row>
    <row r="156" spans="1:4" x14ac:dyDescent="0.25">
      <c r="A156">
        <v>152</v>
      </c>
      <c r="B156" s="17">
        <v>-616.9398456326026</v>
      </c>
      <c r="C156" s="17">
        <v>526.3388519075435</v>
      </c>
      <c r="D156" s="17">
        <v>315.33065212377784</v>
      </c>
    </row>
    <row r="157" spans="1:4" x14ac:dyDescent="0.25">
      <c r="A157">
        <v>153</v>
      </c>
      <c r="B157" s="17">
        <v>-640.3974012185354</v>
      </c>
      <c r="C157" s="17">
        <v>502.88129632161065</v>
      </c>
      <c r="D157" s="17">
        <v>315.33065212377784</v>
      </c>
    </row>
    <row r="158" spans="1:4" x14ac:dyDescent="0.25">
      <c r="A158">
        <v>154</v>
      </c>
      <c r="B158" s="17">
        <v>-602.3993579774378</v>
      </c>
      <c r="C158" s="17">
        <v>540.8793395627083</v>
      </c>
      <c r="D158" s="17">
        <v>271.05544054102523</v>
      </c>
    </row>
    <row r="159" spans="1:4" x14ac:dyDescent="0.25">
      <c r="A159">
        <v>155</v>
      </c>
      <c r="B159" s="17">
        <v>-582.2354505978763</v>
      </c>
      <c r="C159" s="17">
        <v>540.8793395627083</v>
      </c>
      <c r="D159" s="17">
        <v>271.05544054102523</v>
      </c>
    </row>
    <row r="160" spans="1:4" x14ac:dyDescent="0.25">
      <c r="A160">
        <v>156</v>
      </c>
      <c r="B160" s="17">
        <v>-582.2354505978763</v>
      </c>
      <c r="C160" s="17">
        <v>561.0432469422699</v>
      </c>
      <c r="D160" s="17">
        <v>271.05544054102523</v>
      </c>
    </row>
    <row r="161" spans="1:4" x14ac:dyDescent="0.25">
      <c r="A161">
        <v>157</v>
      </c>
      <c r="B161" s="17">
        <v>-571.2617901150186</v>
      </c>
      <c r="C161" s="17">
        <v>-537.5856913563371</v>
      </c>
      <c r="D161" s="17">
        <v>262.49286349813536</v>
      </c>
    </row>
    <row r="162" spans="1:4" x14ac:dyDescent="0.25">
      <c r="A162">
        <v>158</v>
      </c>
      <c r="B162" s="17">
        <v>-571.2617901150186</v>
      </c>
      <c r="C162" s="17">
        <v>-568.4500802528203</v>
      </c>
      <c r="D162" s="17">
        <v>262.49286349813536</v>
      </c>
    </row>
    <row r="163" spans="1:4" x14ac:dyDescent="0.25">
      <c r="A163">
        <v>159</v>
      </c>
      <c r="B163" s="17">
        <v>-558.5047160460074</v>
      </c>
      <c r="C163" s="17">
        <v>-581.2071543218315</v>
      </c>
      <c r="D163" s="17">
        <v>262.49286349813536</v>
      </c>
    </row>
    <row r="164" spans="1:4" x14ac:dyDescent="0.25">
      <c r="A164">
        <v>160</v>
      </c>
      <c r="B164" s="17">
        <v>-556.7213024598539</v>
      </c>
      <c r="C164" s="17">
        <v>-541.8380493793408</v>
      </c>
      <c r="D164" s="17">
        <v>897.5665314670392</v>
      </c>
    </row>
    <row r="165" spans="1:4" x14ac:dyDescent="0.25">
      <c r="A165">
        <v>161</v>
      </c>
      <c r="B165" s="17">
        <v>-543.9642283908427</v>
      </c>
      <c r="C165" s="17">
        <v>-585.4595123448352</v>
      </c>
      <c r="D165" s="17">
        <v>897.5665314670392</v>
      </c>
    </row>
    <row r="166" spans="1:4" x14ac:dyDescent="0.25">
      <c r="A166">
        <v>162</v>
      </c>
      <c r="B166" s="17">
        <v>-513.0998394943595</v>
      </c>
      <c r="C166" s="17">
        <v>-585.4595123448352</v>
      </c>
      <c r="D166" s="17">
        <v>897.5665314670392</v>
      </c>
    </row>
    <row r="167" spans="1:4" x14ac:dyDescent="0.25">
      <c r="A167">
        <v>163</v>
      </c>
      <c r="B167" s="17">
        <v>-502.81170986219837</v>
      </c>
      <c r="C167" s="17">
        <v>-570.9190246896703</v>
      </c>
      <c r="D167" s="17">
        <v>1268.5546874999998</v>
      </c>
    </row>
    <row r="168" spans="1:4" x14ac:dyDescent="0.25">
      <c r="A168">
        <v>164</v>
      </c>
      <c r="B168" s="17">
        <v>-502.81170986219837</v>
      </c>
      <c r="C168" s="17">
        <v>-527.2975617241759</v>
      </c>
      <c r="D168" s="17">
        <v>1268.5546874999998</v>
      </c>
    </row>
    <row r="169" spans="1:4" x14ac:dyDescent="0.25">
      <c r="A169">
        <v>165</v>
      </c>
      <c r="B169" s="17">
        <v>-546.4331728276927</v>
      </c>
      <c r="C169" s="17">
        <v>-527.2975617241759</v>
      </c>
      <c r="D169" s="17">
        <v>1268.5546874999998</v>
      </c>
    </row>
    <row r="170" spans="1:4" x14ac:dyDescent="0.25">
      <c r="A170">
        <v>166</v>
      </c>
      <c r="B170" s="17">
        <v>-560.9736604828576</v>
      </c>
      <c r="C170" s="17">
        <v>-454.59512344835196</v>
      </c>
      <c r="D170" s="17">
        <v>1268.5546874999998</v>
      </c>
    </row>
    <row r="171" spans="1:4" x14ac:dyDescent="0.25">
      <c r="A171">
        <v>167</v>
      </c>
      <c r="B171" s="17">
        <v>-560.9736604828576</v>
      </c>
      <c r="C171" s="17">
        <v>-498.21658641384636</v>
      </c>
      <c r="D171" s="17">
        <v>1268.5546874999998</v>
      </c>
    </row>
    <row r="172" spans="1:4" x14ac:dyDescent="0.25">
      <c r="A172">
        <v>168</v>
      </c>
      <c r="B172" s="17">
        <v>-517.3521975173632</v>
      </c>
      <c r="C172" s="17">
        <v>-498.21658641384636</v>
      </c>
      <c r="D172" s="17">
        <v>1268.5546874999998</v>
      </c>
    </row>
    <row r="173" spans="1:4" x14ac:dyDescent="0.25">
      <c r="A173">
        <v>169</v>
      </c>
      <c r="B173" s="17">
        <v>-502.81170986219837</v>
      </c>
      <c r="C173" s="17">
        <v>-483.6760987586815</v>
      </c>
      <c r="D173" s="17">
        <v>1268.5546874999998</v>
      </c>
    </row>
    <row r="174" spans="1:4" x14ac:dyDescent="0.25">
      <c r="A174">
        <v>170</v>
      </c>
      <c r="B174" s="17">
        <v>-502.81170986219837</v>
      </c>
      <c r="C174" s="17">
        <v>-440.0546357931872</v>
      </c>
      <c r="D174" s="17">
        <v>1268.5546874999998</v>
      </c>
    </row>
    <row r="175" spans="1:4" x14ac:dyDescent="0.25">
      <c r="A175">
        <v>171</v>
      </c>
      <c r="B175" s="17">
        <v>-546.4331728276927</v>
      </c>
      <c r="C175" s="17">
        <v>-440.0546357931872</v>
      </c>
      <c r="D175" s="17">
        <v>1268.5546874999998</v>
      </c>
    </row>
    <row r="176" spans="1:4" x14ac:dyDescent="0.25">
      <c r="A176">
        <v>172</v>
      </c>
      <c r="B176" s="17">
        <v>-560.9736604828576</v>
      </c>
      <c r="C176" s="17">
        <v>-367.35219751736315</v>
      </c>
      <c r="D176" s="17">
        <v>1268.5546874999998</v>
      </c>
    </row>
    <row r="177" spans="1:4" x14ac:dyDescent="0.25">
      <c r="A177">
        <v>173</v>
      </c>
      <c r="B177" s="17">
        <v>-560.9736604828576</v>
      </c>
      <c r="C177" s="17">
        <v>-410.97366048285755</v>
      </c>
      <c r="D177" s="17">
        <v>1268.5546874999998</v>
      </c>
    </row>
    <row r="178" spans="1:4" x14ac:dyDescent="0.25">
      <c r="A178">
        <v>174</v>
      </c>
      <c r="B178" s="17">
        <v>-517.3521975173632</v>
      </c>
      <c r="C178" s="17">
        <v>-410.97366048285755</v>
      </c>
      <c r="D178" s="17">
        <v>1268.5546874999998</v>
      </c>
    </row>
    <row r="179" spans="1:4" x14ac:dyDescent="0.25">
      <c r="A179">
        <v>175</v>
      </c>
      <c r="B179" s="17">
        <v>-546.4331728276927</v>
      </c>
      <c r="C179" s="17">
        <v>-356.72130245985386</v>
      </c>
      <c r="D179" s="17">
        <v>927.4703900824015</v>
      </c>
    </row>
    <row r="180" spans="1:4" x14ac:dyDescent="0.25">
      <c r="A180">
        <v>176</v>
      </c>
      <c r="B180" s="17">
        <v>-502.81170986219837</v>
      </c>
      <c r="C180" s="17">
        <v>-400.34276542534826</v>
      </c>
      <c r="D180" s="17">
        <v>927.4703900824015</v>
      </c>
    </row>
    <row r="181" spans="1:4" x14ac:dyDescent="0.25">
      <c r="A181">
        <v>177</v>
      </c>
      <c r="B181" s="17">
        <v>-502.81170986219837</v>
      </c>
      <c r="C181" s="17">
        <v>-368.45008025282027</v>
      </c>
      <c r="D181" s="17">
        <v>927.4703900824015</v>
      </c>
    </row>
    <row r="182" spans="1:4" x14ac:dyDescent="0.25">
      <c r="A182">
        <v>178</v>
      </c>
      <c r="B182" s="17">
        <v>-506.7213024598538</v>
      </c>
      <c r="C182" s="17">
        <v>-353.90959259765543</v>
      </c>
      <c r="D182" s="17">
        <v>249.37481173974365</v>
      </c>
    </row>
    <row r="183" spans="1:4" x14ac:dyDescent="0.25">
      <c r="A183">
        <v>179</v>
      </c>
      <c r="B183" s="17">
        <v>-518.4500802528203</v>
      </c>
      <c r="C183" s="17">
        <v>-342.1808148046891</v>
      </c>
      <c r="D183" s="17">
        <v>249.37481173974365</v>
      </c>
    </row>
    <row r="184" spans="1:4" x14ac:dyDescent="0.25">
      <c r="A184">
        <v>180</v>
      </c>
      <c r="B184" s="17">
        <v>-550.3427654253483</v>
      </c>
      <c r="C184" s="17">
        <v>-342.180814804689</v>
      </c>
      <c r="D184" s="17">
        <v>249.37481173974365</v>
      </c>
    </row>
    <row r="185" spans="1:4" x14ac:dyDescent="0.25">
      <c r="A185">
        <v>181</v>
      </c>
      <c r="B185" s="17">
        <v>-560.6308950575093</v>
      </c>
      <c r="C185" s="17">
        <v>-331.892685172528</v>
      </c>
      <c r="D185" s="17">
        <v>406.8573470055947</v>
      </c>
    </row>
    <row r="186" spans="1:4" x14ac:dyDescent="0.25">
      <c r="A186">
        <v>182</v>
      </c>
      <c r="B186" s="17">
        <v>-528.7382098849813</v>
      </c>
      <c r="C186" s="17">
        <v>-331.892685172528</v>
      </c>
      <c r="D186" s="17">
        <v>406.8573470055947</v>
      </c>
    </row>
    <row r="187" spans="1:4" x14ac:dyDescent="0.25">
      <c r="A187">
        <v>183</v>
      </c>
      <c r="B187" s="17">
        <v>-547.8738209884981</v>
      </c>
      <c r="C187" s="17">
        <v>-312.7570740690112</v>
      </c>
      <c r="D187" s="17">
        <v>406.8573470055947</v>
      </c>
    </row>
    <row r="188" spans="1:4" x14ac:dyDescent="0.25">
      <c r="A188">
        <v>184</v>
      </c>
      <c r="B188" s="17">
        <v>-571.2617901150186</v>
      </c>
      <c r="C188" s="17">
        <v>-273.73073455186875</v>
      </c>
      <c r="D188" s="17">
        <v>370.9881560329606</v>
      </c>
    </row>
    <row r="189" spans="1:4" x14ac:dyDescent="0.25">
      <c r="A189">
        <v>185</v>
      </c>
      <c r="B189" s="17">
        <v>-571.2617901150186</v>
      </c>
      <c r="C189" s="17">
        <v>-317.3521975173632</v>
      </c>
      <c r="D189" s="17">
        <v>370.9881560329606</v>
      </c>
    </row>
    <row r="190" spans="1:4" x14ac:dyDescent="0.25">
      <c r="A190">
        <v>186</v>
      </c>
      <c r="B190" s="17">
        <v>-558.5047160460074</v>
      </c>
      <c r="C190" s="17">
        <v>-298.21658641384636</v>
      </c>
      <c r="D190" s="17">
        <v>370.9881560329606</v>
      </c>
    </row>
    <row r="191" spans="1:4" x14ac:dyDescent="0.25">
      <c r="A191">
        <v>187</v>
      </c>
      <c r="B191" s="17">
        <v>-554.2523580230037</v>
      </c>
      <c r="C191" s="17">
        <v>-283.6760987586816</v>
      </c>
      <c r="D191" s="17">
        <v>208.2452172307227</v>
      </c>
    </row>
    <row r="192" spans="1:4" x14ac:dyDescent="0.25">
      <c r="A192">
        <v>188</v>
      </c>
      <c r="B192" s="17">
        <v>-554.2523580230037</v>
      </c>
      <c r="C192" s="17">
        <v>-259.19024689670397</v>
      </c>
      <c r="D192" s="17">
        <v>208.2452172307227</v>
      </c>
    </row>
    <row r="193" spans="1:4" x14ac:dyDescent="0.25">
      <c r="A193">
        <v>189</v>
      </c>
      <c r="B193" s="17">
        <v>-567.0094320920149</v>
      </c>
      <c r="C193" s="17">
        <v>-259.19024689670397</v>
      </c>
      <c r="D193" s="17">
        <v>208.2452172307227</v>
      </c>
    </row>
    <row r="194" spans="1:4" x14ac:dyDescent="0.25">
      <c r="A194">
        <v>190</v>
      </c>
      <c r="B194" s="17">
        <v>-571.2617901150186</v>
      </c>
      <c r="C194" s="17">
        <v>-192.86634565538557</v>
      </c>
      <c r="D194" s="17">
        <v>370.9881560329606</v>
      </c>
    </row>
    <row r="195" spans="1:4" x14ac:dyDescent="0.25">
      <c r="A195">
        <v>191</v>
      </c>
      <c r="B195" s="17">
        <v>-571.2617901150186</v>
      </c>
      <c r="C195" s="17">
        <v>-236.48780862087997</v>
      </c>
      <c r="D195" s="17">
        <v>370.9881560329606</v>
      </c>
    </row>
    <row r="196" spans="1:4" x14ac:dyDescent="0.25">
      <c r="A196">
        <v>192</v>
      </c>
      <c r="B196" s="17">
        <v>-558.5047160460074</v>
      </c>
      <c r="C196" s="17">
        <v>-236.48780862087997</v>
      </c>
      <c r="D196" s="17">
        <v>370.9881560329606</v>
      </c>
    </row>
    <row r="197" spans="1:4" x14ac:dyDescent="0.25">
      <c r="A197">
        <v>193</v>
      </c>
      <c r="B197" s="17">
        <v>-554.2523580230037</v>
      </c>
      <c r="C197" s="17">
        <v>-221.9473209657152</v>
      </c>
      <c r="D197" s="17">
        <v>370.9881560329606</v>
      </c>
    </row>
    <row r="198" spans="1:4" x14ac:dyDescent="0.25">
      <c r="A198">
        <v>194</v>
      </c>
      <c r="B198" s="17">
        <v>-554.2523580230037</v>
      </c>
      <c r="C198" s="17">
        <v>-178.3258580002208</v>
      </c>
      <c r="D198" s="17">
        <v>370.9881560329606</v>
      </c>
    </row>
    <row r="199" spans="1:4" x14ac:dyDescent="0.25">
      <c r="A199">
        <v>195</v>
      </c>
      <c r="B199" s="17">
        <v>-567.0094320920149</v>
      </c>
      <c r="C199" s="17">
        <v>-178.32585800022076</v>
      </c>
      <c r="D199" s="17">
        <v>370.9881560329606</v>
      </c>
    </row>
    <row r="200" spans="1:4" x14ac:dyDescent="0.25">
      <c r="A200">
        <v>196</v>
      </c>
      <c r="B200" s="17">
        <v>-571.2617901150186</v>
      </c>
      <c r="C200" s="17">
        <v>-105.62341972439677</v>
      </c>
      <c r="D200" s="17">
        <v>370.9881560329606</v>
      </c>
    </row>
    <row r="201" spans="1:4" x14ac:dyDescent="0.25">
      <c r="A201">
        <v>197</v>
      </c>
      <c r="B201" s="17">
        <v>-571.2617901150186</v>
      </c>
      <c r="C201" s="17">
        <v>-149.24488268989117</v>
      </c>
      <c r="D201" s="17">
        <v>370.9881560329606</v>
      </c>
    </row>
    <row r="202" spans="1:4" x14ac:dyDescent="0.25">
      <c r="A202">
        <v>198</v>
      </c>
      <c r="B202" s="17">
        <v>-558.5047160460074</v>
      </c>
      <c r="C202" s="17">
        <v>-149.24488268989117</v>
      </c>
      <c r="D202" s="17">
        <v>370.9881560329606</v>
      </c>
    </row>
    <row r="203" spans="1:4" x14ac:dyDescent="0.25">
      <c r="A203">
        <v>199</v>
      </c>
      <c r="B203" s="17">
        <v>-554.2523580230037</v>
      </c>
      <c r="C203" s="17">
        <v>-134.70439503472636</v>
      </c>
      <c r="D203" s="17">
        <v>370.9881560329606</v>
      </c>
    </row>
    <row r="204" spans="1:4" x14ac:dyDescent="0.25">
      <c r="A204">
        <v>200</v>
      </c>
      <c r="B204" s="17">
        <v>-554.2523580230037</v>
      </c>
      <c r="C204" s="17">
        <v>-91.08293206923197</v>
      </c>
      <c r="D204" s="17">
        <v>370.9881560329606</v>
      </c>
    </row>
    <row r="205" spans="1:4" x14ac:dyDescent="0.25">
      <c r="A205">
        <v>201</v>
      </c>
      <c r="B205" s="17">
        <v>-567.0094320920149</v>
      </c>
      <c r="C205" s="17">
        <v>-91.08293206923197</v>
      </c>
      <c r="D205" s="17">
        <v>370.9881560329606</v>
      </c>
    </row>
    <row r="206" spans="1:4" x14ac:dyDescent="0.25">
      <c r="A206">
        <v>202</v>
      </c>
      <c r="B206" s="17">
        <v>-571.2617901150186</v>
      </c>
      <c r="C206" s="17">
        <v>-18.380493793407975</v>
      </c>
      <c r="D206" s="17">
        <v>370.9881560329606</v>
      </c>
    </row>
    <row r="207" spans="1:4" x14ac:dyDescent="0.25">
      <c r="A207">
        <v>203</v>
      </c>
      <c r="B207" s="17">
        <v>-571.2617901150186</v>
      </c>
      <c r="C207" s="17">
        <v>-62.001956758902374</v>
      </c>
      <c r="D207" s="17">
        <v>370.9881560329606</v>
      </c>
    </row>
    <row r="208" spans="1:4" x14ac:dyDescent="0.25">
      <c r="A208">
        <v>204</v>
      </c>
      <c r="B208" s="17">
        <v>-558.5047160460074</v>
      </c>
      <c r="C208" s="17">
        <v>-62.001956758902374</v>
      </c>
      <c r="D208" s="17">
        <v>370.9881560329606</v>
      </c>
    </row>
    <row r="209" spans="1:4" x14ac:dyDescent="0.25">
      <c r="A209">
        <v>205</v>
      </c>
      <c r="B209" s="17">
        <v>-554.2523580230037</v>
      </c>
      <c r="C209" s="17">
        <v>-47.46146910373757</v>
      </c>
      <c r="D209" s="17">
        <v>370.9881560329606</v>
      </c>
    </row>
    <row r="210" spans="1:4" x14ac:dyDescent="0.25">
      <c r="A210">
        <v>206</v>
      </c>
      <c r="B210" s="17">
        <v>-554.2523580230037</v>
      </c>
      <c r="C210" s="17">
        <v>-3.840006138243174</v>
      </c>
      <c r="D210" s="17">
        <v>370.9881560329606</v>
      </c>
    </row>
    <row r="211" spans="1:4" x14ac:dyDescent="0.25">
      <c r="A211">
        <v>207</v>
      </c>
      <c r="B211" s="17">
        <v>-567.0094320920149</v>
      </c>
      <c r="C211" s="17">
        <v>-3.840006138243173</v>
      </c>
      <c r="D211" s="17">
        <v>370.9881560329606</v>
      </c>
    </row>
    <row r="212" spans="1:4" x14ac:dyDescent="0.25">
      <c r="A212">
        <v>208</v>
      </c>
      <c r="B212" s="17">
        <v>-571.2617901150186</v>
      </c>
      <c r="C212" s="17">
        <v>68.86243213758081</v>
      </c>
      <c r="D212" s="17">
        <v>370.9881560329606</v>
      </c>
    </row>
    <row r="213" spans="1:4" x14ac:dyDescent="0.25">
      <c r="A213">
        <v>209</v>
      </c>
      <c r="B213" s="17">
        <v>-571.2617901150186</v>
      </c>
      <c r="C213" s="17">
        <v>25.240969172086423</v>
      </c>
      <c r="D213" s="17">
        <v>370.9881560329606</v>
      </c>
    </row>
    <row r="214" spans="1:4" x14ac:dyDescent="0.25">
      <c r="A214">
        <v>210</v>
      </c>
      <c r="B214" s="17">
        <v>-558.5047160460074</v>
      </c>
      <c r="C214" s="17">
        <v>25.240969172086423</v>
      </c>
      <c r="D214" s="17">
        <v>370.9881560329606</v>
      </c>
    </row>
    <row r="215" spans="1:4" x14ac:dyDescent="0.25">
      <c r="A215">
        <v>211</v>
      </c>
      <c r="B215" s="17">
        <v>-554.2523580230037</v>
      </c>
      <c r="C215" s="17">
        <v>39.78145682725122</v>
      </c>
      <c r="D215" s="17">
        <v>370.9881560329606</v>
      </c>
    </row>
    <row r="216" spans="1:4" x14ac:dyDescent="0.25">
      <c r="A216">
        <v>212</v>
      </c>
      <c r="B216" s="17">
        <v>-554.2523580230037</v>
      </c>
      <c r="C216" s="17">
        <v>83.40291979274562</v>
      </c>
      <c r="D216" s="17">
        <v>370.9881560329606</v>
      </c>
    </row>
    <row r="217" spans="1:4" x14ac:dyDescent="0.25">
      <c r="A217">
        <v>213</v>
      </c>
      <c r="B217" s="17">
        <v>-567.0094320920149</v>
      </c>
      <c r="C217" s="17">
        <v>83.40291979274562</v>
      </c>
      <c r="D217" s="17">
        <v>370.9881560329606</v>
      </c>
    </row>
    <row r="218" spans="1:4" x14ac:dyDescent="0.25">
      <c r="A218">
        <v>214</v>
      </c>
      <c r="B218" s="17">
        <v>-571.2617901150186</v>
      </c>
      <c r="C218" s="17">
        <v>156.10535806856961</v>
      </c>
      <c r="D218" s="17">
        <v>370.9881560329606</v>
      </c>
    </row>
    <row r="219" spans="1:4" x14ac:dyDescent="0.25">
      <c r="A219">
        <v>215</v>
      </c>
      <c r="B219" s="17">
        <v>-571.2617901150186</v>
      </c>
      <c r="C219" s="17">
        <v>112.48389510307521</v>
      </c>
      <c r="D219" s="17">
        <v>370.9881560329606</v>
      </c>
    </row>
    <row r="220" spans="1:4" x14ac:dyDescent="0.25">
      <c r="A220">
        <v>216</v>
      </c>
      <c r="B220" s="17">
        <v>-558.5047160460074</v>
      </c>
      <c r="C220" s="17">
        <v>112.48389510307521</v>
      </c>
      <c r="D220" s="17">
        <v>370.9881560329606</v>
      </c>
    </row>
    <row r="221" spans="1:4" x14ac:dyDescent="0.25">
      <c r="A221">
        <v>217</v>
      </c>
      <c r="B221" s="17">
        <v>-554.2523580230037</v>
      </c>
      <c r="C221" s="17">
        <v>127.02438275824002</v>
      </c>
      <c r="D221" s="17">
        <v>370.9881560329606</v>
      </c>
    </row>
    <row r="222" spans="1:4" x14ac:dyDescent="0.25">
      <c r="A222">
        <v>218</v>
      </c>
      <c r="B222" s="17">
        <v>-554.2523580230037</v>
      </c>
      <c r="C222" s="17">
        <v>170.64584572373442</v>
      </c>
      <c r="D222" s="17">
        <v>370.9881560329606</v>
      </c>
    </row>
    <row r="223" spans="1:4" x14ac:dyDescent="0.25">
      <c r="A223">
        <v>219</v>
      </c>
      <c r="B223" s="17">
        <v>-567.0094320920149</v>
      </c>
      <c r="C223" s="17">
        <v>170.64584572373442</v>
      </c>
      <c r="D223" s="17">
        <v>370.9881560329606</v>
      </c>
    </row>
    <row r="224" spans="1:4" x14ac:dyDescent="0.25">
      <c r="A224">
        <v>220</v>
      </c>
      <c r="B224" s="17">
        <v>-571.2617901150186</v>
      </c>
      <c r="C224" s="17">
        <v>243.34828399955842</v>
      </c>
      <c r="D224" s="17">
        <v>370.9881560329606</v>
      </c>
    </row>
    <row r="225" spans="1:4" x14ac:dyDescent="0.25">
      <c r="A225">
        <v>221</v>
      </c>
      <c r="B225" s="17">
        <v>-571.2617901150186</v>
      </c>
      <c r="C225" s="17">
        <v>199.72682103406402</v>
      </c>
      <c r="D225" s="17">
        <v>370.9881560329606</v>
      </c>
    </row>
    <row r="226" spans="1:4" x14ac:dyDescent="0.25">
      <c r="A226">
        <v>222</v>
      </c>
      <c r="B226" s="17">
        <v>-558.5047160460074</v>
      </c>
      <c r="C226" s="17">
        <v>199.72682103406402</v>
      </c>
      <c r="D226" s="17">
        <v>370.9881560329606</v>
      </c>
    </row>
    <row r="227" spans="1:4" x14ac:dyDescent="0.25">
      <c r="A227">
        <v>223</v>
      </c>
      <c r="B227" s="17">
        <v>-554.2523580230037</v>
      </c>
      <c r="C227" s="17">
        <v>214.2673086892288</v>
      </c>
      <c r="D227" s="17">
        <v>370.9881560329606</v>
      </c>
    </row>
    <row r="228" spans="1:4" x14ac:dyDescent="0.25">
      <c r="A228">
        <v>224</v>
      </c>
      <c r="B228" s="17">
        <v>-554.2523580230037</v>
      </c>
      <c r="C228" s="17">
        <v>257.8887716547232</v>
      </c>
      <c r="D228" s="17">
        <v>370.9881560329606</v>
      </c>
    </row>
    <row r="229" spans="1:4" x14ac:dyDescent="0.25">
      <c r="A229">
        <v>225</v>
      </c>
      <c r="B229" s="17">
        <v>-567.0094320920149</v>
      </c>
      <c r="C229" s="17">
        <v>257.8887716547232</v>
      </c>
      <c r="D229" s="17">
        <v>370.9881560329606</v>
      </c>
    </row>
    <row r="230" spans="1:4" x14ac:dyDescent="0.25">
      <c r="A230">
        <v>226</v>
      </c>
      <c r="B230" s="17">
        <v>-571.2617901150186</v>
      </c>
      <c r="C230" s="17">
        <v>330.5912099305472</v>
      </c>
      <c r="D230" s="17">
        <v>370.9881560329606</v>
      </c>
    </row>
    <row r="231" spans="1:4" x14ac:dyDescent="0.25">
      <c r="A231">
        <v>227</v>
      </c>
      <c r="B231" s="17">
        <v>-571.2617901150186</v>
      </c>
      <c r="C231" s="17">
        <v>286.9697469650528</v>
      </c>
      <c r="D231" s="17">
        <v>370.9881560329606</v>
      </c>
    </row>
    <row r="232" spans="1:4" x14ac:dyDescent="0.25">
      <c r="A232">
        <v>228</v>
      </c>
      <c r="B232" s="17">
        <v>-558.5047160460074</v>
      </c>
      <c r="C232" s="17">
        <v>286.9697469650528</v>
      </c>
      <c r="D232" s="17">
        <v>370.9881560329606</v>
      </c>
    </row>
    <row r="233" spans="1:4" x14ac:dyDescent="0.25">
      <c r="A233">
        <v>229</v>
      </c>
      <c r="B233" s="17">
        <v>-567.0094320920149</v>
      </c>
      <c r="C233" s="17">
        <v>335.18633337889923</v>
      </c>
      <c r="D233" s="17">
        <v>117.24066037375307</v>
      </c>
    </row>
    <row r="234" spans="1:4" x14ac:dyDescent="0.25">
      <c r="A234">
        <v>230</v>
      </c>
      <c r="B234" s="17">
        <v>-554.2523580230037</v>
      </c>
      <c r="C234" s="17">
        <v>291.56487041340483</v>
      </c>
      <c r="D234" s="17">
        <v>117.24066037375307</v>
      </c>
    </row>
    <row r="235" spans="1:4" x14ac:dyDescent="0.25">
      <c r="A235">
        <v>231</v>
      </c>
      <c r="B235" s="17">
        <v>-554.2523580230037</v>
      </c>
      <c r="C235" s="17">
        <v>305.3502407584608</v>
      </c>
      <c r="D235" s="17">
        <v>117.24066037375307</v>
      </c>
    </row>
    <row r="236" spans="1:4" x14ac:dyDescent="0.25">
      <c r="A236">
        <v>232</v>
      </c>
      <c r="B236" s="17">
        <v>-544.3069938161909</v>
      </c>
      <c r="C236" s="17">
        <v>319.89072841362565</v>
      </c>
      <c r="D236" s="17">
        <v>847.2091108961276</v>
      </c>
    </row>
    <row r="237" spans="1:4" x14ac:dyDescent="0.25">
      <c r="A237">
        <v>233</v>
      </c>
      <c r="B237" s="17">
        <v>-514.4709011957525</v>
      </c>
      <c r="C237" s="17">
        <v>349.726821034064</v>
      </c>
      <c r="D237" s="17">
        <v>847.2091108961276</v>
      </c>
    </row>
    <row r="238" spans="1:4" x14ac:dyDescent="0.25">
      <c r="A238">
        <v>234</v>
      </c>
      <c r="B238" s="17">
        <v>-557.0640678852021</v>
      </c>
      <c r="C238" s="17">
        <v>349.726821034064</v>
      </c>
      <c r="D238" s="17">
        <v>847.2091108961276</v>
      </c>
    </row>
    <row r="239" spans="1:4" x14ac:dyDescent="0.25">
      <c r="A239">
        <v>235</v>
      </c>
      <c r="B239" s="17">
        <v>-561.3164259082058</v>
      </c>
      <c r="C239" s="17">
        <v>417.8341358615361</v>
      </c>
      <c r="D239" s="17">
        <v>1238.6508288846376</v>
      </c>
    </row>
    <row r="240" spans="1:4" x14ac:dyDescent="0.25">
      <c r="A240">
        <v>236</v>
      </c>
      <c r="B240" s="17">
        <v>-561.3164259082058</v>
      </c>
      <c r="C240" s="17">
        <v>374.2126728960416</v>
      </c>
      <c r="D240" s="17">
        <v>1238.6508288846376</v>
      </c>
    </row>
    <row r="241" spans="1:4" x14ac:dyDescent="0.25">
      <c r="A241">
        <v>237</v>
      </c>
      <c r="B241" s="17">
        <v>-518.7232592187562</v>
      </c>
      <c r="C241" s="17">
        <v>374.2126728960416</v>
      </c>
      <c r="D241" s="17">
        <v>1238.6508288846376</v>
      </c>
    </row>
    <row r="242" spans="1:4" x14ac:dyDescent="0.25">
      <c r="A242">
        <v>238</v>
      </c>
      <c r="B242" s="17">
        <v>-546.775938253041</v>
      </c>
      <c r="C242" s="17">
        <v>418.17690128688434</v>
      </c>
      <c r="D242" s="17">
        <v>59.102788409839526</v>
      </c>
    </row>
    <row r="243" spans="1:4" x14ac:dyDescent="0.25">
      <c r="A243">
        <v>239</v>
      </c>
      <c r="B243" s="17">
        <v>-504.1827715635914</v>
      </c>
      <c r="C243" s="17">
        <v>374.5554383213899</v>
      </c>
      <c r="D243" s="17">
        <v>59.102788409839526</v>
      </c>
    </row>
    <row r="244" spans="1:4" x14ac:dyDescent="0.25">
      <c r="A244">
        <v>240</v>
      </c>
      <c r="B244" s="17">
        <v>-503.15447528754663</v>
      </c>
      <c r="C244" s="17">
        <v>375.58373459743467</v>
      </c>
      <c r="D244" s="17">
        <v>59.102788409839526</v>
      </c>
    </row>
    <row r="245" spans="1:4" x14ac:dyDescent="0.25">
      <c r="A245">
        <v>241</v>
      </c>
      <c r="B245" s="17">
        <v>-502.81170986219837</v>
      </c>
      <c r="C245" s="17">
        <v>390.12422225259945</v>
      </c>
      <c r="D245" s="17">
        <v>1238.6508288846376</v>
      </c>
    </row>
    <row r="246" spans="1:4" x14ac:dyDescent="0.25">
      <c r="A246">
        <v>242</v>
      </c>
      <c r="B246" s="17">
        <v>-502.81170986219837</v>
      </c>
      <c r="C246" s="17">
        <v>432.7173889420491</v>
      </c>
      <c r="D246" s="17">
        <v>1238.6508288846376</v>
      </c>
    </row>
    <row r="247" spans="1:4" x14ac:dyDescent="0.25">
      <c r="A247">
        <v>243</v>
      </c>
      <c r="B247" s="17">
        <v>-546.4331728276927</v>
      </c>
      <c r="C247" s="17">
        <v>432.71738894204907</v>
      </c>
      <c r="D247" s="17">
        <v>1238.6508288846376</v>
      </c>
    </row>
    <row r="248" spans="1:4" x14ac:dyDescent="0.25">
      <c r="A248">
        <v>244</v>
      </c>
      <c r="B248" s="17">
        <v>-560.9736604828576</v>
      </c>
      <c r="C248" s="17">
        <v>505.07706179252483</v>
      </c>
      <c r="D248" s="17">
        <v>1268.5546874999998</v>
      </c>
    </row>
    <row r="249" spans="1:4" x14ac:dyDescent="0.25">
      <c r="A249">
        <v>245</v>
      </c>
      <c r="B249" s="17">
        <v>-560.9736604828576</v>
      </c>
      <c r="C249" s="17">
        <v>461.4555988270304</v>
      </c>
      <c r="D249" s="17">
        <v>1268.5546874999998</v>
      </c>
    </row>
    <row r="250" spans="1:4" x14ac:dyDescent="0.25">
      <c r="A250">
        <v>246</v>
      </c>
      <c r="B250" s="17">
        <v>-517.3521975173632</v>
      </c>
      <c r="C250" s="17">
        <v>461.4555988270304</v>
      </c>
      <c r="D250" s="17">
        <v>1268.5546874999998</v>
      </c>
    </row>
    <row r="251" spans="1:4" x14ac:dyDescent="0.25">
      <c r="A251">
        <v>247</v>
      </c>
      <c r="B251" s="17">
        <v>-502.81170986219837</v>
      </c>
      <c r="C251" s="17">
        <v>475.9960864821952</v>
      </c>
      <c r="D251" s="17">
        <v>1268.5546874999998</v>
      </c>
    </row>
    <row r="252" spans="1:4" x14ac:dyDescent="0.25">
      <c r="A252">
        <v>248</v>
      </c>
      <c r="B252" s="17">
        <v>-502.81170986219837</v>
      </c>
      <c r="C252" s="17">
        <v>519.6175494476896</v>
      </c>
      <c r="D252" s="17">
        <v>1268.5546874999998</v>
      </c>
    </row>
    <row r="253" spans="1:4" x14ac:dyDescent="0.25">
      <c r="A253">
        <v>249</v>
      </c>
      <c r="B253" s="17">
        <v>-546.4331728276927</v>
      </c>
      <c r="C253" s="17">
        <v>519.6175494476896</v>
      </c>
      <c r="D253" s="17">
        <v>1268.5546874999998</v>
      </c>
    </row>
    <row r="254" spans="1:4" x14ac:dyDescent="0.25">
      <c r="A254">
        <v>250</v>
      </c>
      <c r="B254" s="17">
        <v>-560.9736604828576</v>
      </c>
      <c r="C254" s="17">
        <v>561.0432469422699</v>
      </c>
      <c r="D254" s="17">
        <v>586.3860926648032</v>
      </c>
    </row>
    <row r="255" spans="1:4" x14ac:dyDescent="0.25">
      <c r="A255">
        <v>251</v>
      </c>
      <c r="B255" s="17">
        <v>-560.9736604828576</v>
      </c>
      <c r="C255" s="17">
        <v>540.8793395627083</v>
      </c>
      <c r="D255" s="17">
        <v>586.3860926648032</v>
      </c>
    </row>
    <row r="256" spans="1:4" x14ac:dyDescent="0.25">
      <c r="A256">
        <v>252</v>
      </c>
      <c r="B256" s="17">
        <v>-517.3521975173632</v>
      </c>
      <c r="C256" s="17">
        <v>540.8793395627083</v>
      </c>
      <c r="D256" s="17">
        <v>586.3860926648032</v>
      </c>
    </row>
    <row r="257" spans="1:4" x14ac:dyDescent="0.25">
      <c r="A257">
        <v>253</v>
      </c>
      <c r="B257" s="17">
        <v>-546.4331728276927</v>
      </c>
      <c r="C257" s="17">
        <v>572.0169074251274</v>
      </c>
      <c r="D257" s="17">
        <v>957.3742486977638</v>
      </c>
    </row>
    <row r="258" spans="1:4" x14ac:dyDescent="0.25">
      <c r="A258">
        <v>254</v>
      </c>
      <c r="B258" s="17">
        <v>-502.81170986219837</v>
      </c>
      <c r="C258" s="17">
        <v>551.8530000455659</v>
      </c>
      <c r="D258" s="17">
        <v>957.3742486977638</v>
      </c>
    </row>
    <row r="259" spans="1:4" x14ac:dyDescent="0.25">
      <c r="A259">
        <v>255</v>
      </c>
      <c r="B259" s="17">
        <v>-502.81170986219837</v>
      </c>
      <c r="C259" s="17">
        <v>584.7739814941386</v>
      </c>
      <c r="D259" s="17">
        <v>957.3742486977638</v>
      </c>
    </row>
    <row r="260" spans="1:4" x14ac:dyDescent="0.25">
      <c r="A260">
        <v>256</v>
      </c>
      <c r="B260" s="17">
        <v>-513.0998394943595</v>
      </c>
      <c r="C260" s="17">
        <v>595.7476419769963</v>
      </c>
      <c r="D260" s="17">
        <v>262.49286349813536</v>
      </c>
    </row>
    <row r="261" spans="1:4" x14ac:dyDescent="0.25">
      <c r="A261">
        <v>257</v>
      </c>
      <c r="B261" s="17">
        <v>-543.9642283908427</v>
      </c>
      <c r="C261" s="17">
        <v>595.7476419769963</v>
      </c>
      <c r="D261" s="17">
        <v>262.49286349813536</v>
      </c>
    </row>
    <row r="262" spans="1:4" x14ac:dyDescent="0.25">
      <c r="A262">
        <v>258</v>
      </c>
      <c r="B262" s="17">
        <v>-556.7213024598539</v>
      </c>
      <c r="C262" s="17">
        <v>582.990567907985</v>
      </c>
      <c r="D262" s="17">
        <v>262.49286349813536</v>
      </c>
    </row>
    <row r="263" spans="1:4" x14ac:dyDescent="0.25">
      <c r="A263">
        <v>259</v>
      </c>
      <c r="B263" s="17">
        <v>-473.73073455186875</v>
      </c>
      <c r="C263" s="17">
        <v>-541.8380493793408</v>
      </c>
      <c r="D263" s="17">
        <v>1268.5546874999998</v>
      </c>
    </row>
    <row r="264" spans="1:4" x14ac:dyDescent="0.25">
      <c r="A264">
        <v>260</v>
      </c>
      <c r="B264" s="17">
        <v>-473.73073455186875</v>
      </c>
      <c r="C264" s="17">
        <v>-585.4595123448352</v>
      </c>
      <c r="D264" s="17">
        <v>1268.5546874999998</v>
      </c>
    </row>
    <row r="265" spans="1:4" x14ac:dyDescent="0.25">
      <c r="A265">
        <v>261</v>
      </c>
      <c r="B265" s="17">
        <v>-430.10927158637435</v>
      </c>
      <c r="C265" s="17">
        <v>-585.4595123448352</v>
      </c>
      <c r="D265" s="17">
        <v>1268.5546874999998</v>
      </c>
    </row>
    <row r="266" spans="1:4" x14ac:dyDescent="0.25">
      <c r="A266">
        <v>262</v>
      </c>
      <c r="B266" s="17">
        <v>-415.5687839312095</v>
      </c>
      <c r="C266" s="17">
        <v>-570.9190246896703</v>
      </c>
      <c r="D266" s="17">
        <v>1268.5546874999998</v>
      </c>
    </row>
    <row r="267" spans="1:4" x14ac:dyDescent="0.25">
      <c r="A267">
        <v>263</v>
      </c>
      <c r="B267" s="17">
        <v>-415.5687839312095</v>
      </c>
      <c r="C267" s="17">
        <v>-527.2975617241759</v>
      </c>
      <c r="D267" s="17">
        <v>1268.5546874999998</v>
      </c>
    </row>
    <row r="268" spans="1:4" x14ac:dyDescent="0.25">
      <c r="A268">
        <v>264</v>
      </c>
      <c r="B268" s="17">
        <v>-459.19024689670397</v>
      </c>
      <c r="C268" s="17">
        <v>-527.2975617241759</v>
      </c>
      <c r="D268" s="17">
        <v>1268.5546874999998</v>
      </c>
    </row>
    <row r="269" spans="1:4" x14ac:dyDescent="0.25">
      <c r="A269">
        <v>265</v>
      </c>
      <c r="B269" s="17">
        <v>-473.73073455186875</v>
      </c>
      <c r="C269" s="17">
        <v>-454.59512344835196</v>
      </c>
      <c r="D269" s="17">
        <v>1268.5546874999998</v>
      </c>
    </row>
    <row r="270" spans="1:4" x14ac:dyDescent="0.25">
      <c r="A270">
        <v>266</v>
      </c>
      <c r="B270" s="17">
        <v>-473.73073455186875</v>
      </c>
      <c r="C270" s="17">
        <v>-498.21658641384636</v>
      </c>
      <c r="D270" s="17">
        <v>1268.5546874999998</v>
      </c>
    </row>
    <row r="271" spans="1:4" x14ac:dyDescent="0.25">
      <c r="A271">
        <v>267</v>
      </c>
      <c r="B271" s="17">
        <v>-430.10927158637435</v>
      </c>
      <c r="C271" s="17">
        <v>-498.21658641384636</v>
      </c>
      <c r="D271" s="17">
        <v>1268.5546874999998</v>
      </c>
    </row>
    <row r="272" spans="1:4" x14ac:dyDescent="0.25">
      <c r="A272">
        <v>268</v>
      </c>
      <c r="B272" s="17">
        <v>-415.5687839312095</v>
      </c>
      <c r="C272" s="17">
        <v>-483.6760987586815</v>
      </c>
      <c r="D272" s="17">
        <v>1268.5546874999998</v>
      </c>
    </row>
    <row r="273" spans="1:4" x14ac:dyDescent="0.25">
      <c r="A273">
        <v>269</v>
      </c>
      <c r="B273" s="17">
        <v>-415.5687839312095</v>
      </c>
      <c r="C273" s="17">
        <v>-440.0546357931872</v>
      </c>
      <c r="D273" s="17">
        <v>1268.5546874999998</v>
      </c>
    </row>
    <row r="274" spans="1:4" x14ac:dyDescent="0.25">
      <c r="A274">
        <v>270</v>
      </c>
      <c r="B274" s="17">
        <v>-459.19024689670397</v>
      </c>
      <c r="C274" s="17">
        <v>-440.0546357931872</v>
      </c>
      <c r="D274" s="17">
        <v>1268.5546874999998</v>
      </c>
    </row>
    <row r="275" spans="1:4" x14ac:dyDescent="0.25">
      <c r="A275">
        <v>271</v>
      </c>
      <c r="B275" s="17">
        <v>-459.1902468967039</v>
      </c>
      <c r="C275" s="17">
        <v>-421.2617901150186</v>
      </c>
      <c r="D275" s="17">
        <v>370.9881560329606</v>
      </c>
    </row>
    <row r="276" spans="1:4" x14ac:dyDescent="0.25">
      <c r="A276">
        <v>272</v>
      </c>
      <c r="B276" s="17">
        <v>-415.5687839312095</v>
      </c>
      <c r="C276" s="17">
        <v>-421.2617901150186</v>
      </c>
      <c r="D276" s="17">
        <v>370.9881560329606</v>
      </c>
    </row>
    <row r="277" spans="1:4" x14ac:dyDescent="0.25">
      <c r="A277">
        <v>273</v>
      </c>
      <c r="B277" s="17">
        <v>-415.5687839312095</v>
      </c>
      <c r="C277" s="17">
        <v>-408.5047160460074</v>
      </c>
      <c r="D277" s="17">
        <v>370.9881560329606</v>
      </c>
    </row>
    <row r="278" spans="1:4" x14ac:dyDescent="0.25">
      <c r="A278">
        <v>274</v>
      </c>
      <c r="B278" s="17">
        <v>-467.35219751736315</v>
      </c>
      <c r="C278" s="17">
        <v>-417.0094320920149</v>
      </c>
      <c r="D278" s="17">
        <v>208.24521723072272</v>
      </c>
    </row>
    <row r="279" spans="1:4" x14ac:dyDescent="0.25">
      <c r="A279">
        <v>275</v>
      </c>
      <c r="B279" s="17">
        <v>-423.73073455186875</v>
      </c>
      <c r="C279" s="17">
        <v>-404.2523580230037</v>
      </c>
      <c r="D279" s="17">
        <v>208.24521723072272</v>
      </c>
    </row>
    <row r="280" spans="1:4" x14ac:dyDescent="0.25">
      <c r="A280">
        <v>276</v>
      </c>
      <c r="B280" s="17">
        <v>-448.21658641384636</v>
      </c>
      <c r="C280" s="17">
        <v>-404.2523580230037</v>
      </c>
      <c r="D280" s="17">
        <v>208.24521723072272</v>
      </c>
    </row>
    <row r="281" spans="1:4" x14ac:dyDescent="0.25">
      <c r="A281">
        <v>277</v>
      </c>
      <c r="B281" s="17">
        <v>-481.892685172528</v>
      </c>
      <c r="C281" s="17">
        <v>-410.63089505750935</v>
      </c>
      <c r="D281" s="17">
        <v>406.8573470055947</v>
      </c>
    </row>
    <row r="282" spans="1:4" x14ac:dyDescent="0.25">
      <c r="A282">
        <v>278</v>
      </c>
      <c r="B282" s="17">
        <v>-462.7570740690112</v>
      </c>
      <c r="C282" s="17">
        <v>-397.8738209884981</v>
      </c>
      <c r="D282" s="17">
        <v>406.8573470055947</v>
      </c>
    </row>
    <row r="283" spans="1:4" x14ac:dyDescent="0.25">
      <c r="A283">
        <v>279</v>
      </c>
      <c r="B283" s="17">
        <v>-481.892685172528</v>
      </c>
      <c r="C283" s="17">
        <v>-378.7382098849813</v>
      </c>
      <c r="D283" s="17">
        <v>406.8573470055947</v>
      </c>
    </row>
    <row r="284" spans="1:4" x14ac:dyDescent="0.25">
      <c r="A284">
        <v>280</v>
      </c>
      <c r="B284" s="17">
        <v>-481.892685172528</v>
      </c>
      <c r="C284" s="17">
        <v>424.8982037467382</v>
      </c>
      <c r="D284" s="17">
        <v>543.3641822910491</v>
      </c>
    </row>
    <row r="285" spans="1:4" x14ac:dyDescent="0.25">
      <c r="A285">
        <v>281</v>
      </c>
      <c r="B285" s="17">
        <v>-481.892685172528</v>
      </c>
      <c r="C285" s="17">
        <v>382.3050370572885</v>
      </c>
      <c r="D285" s="17">
        <v>543.3641822910491</v>
      </c>
    </row>
    <row r="286" spans="1:4" x14ac:dyDescent="0.25">
      <c r="A286">
        <v>282</v>
      </c>
      <c r="B286" s="17">
        <v>-462.7570740690112</v>
      </c>
      <c r="C286" s="17">
        <v>401.44064816080527</v>
      </c>
      <c r="D286" s="17">
        <v>543.3641822910491</v>
      </c>
    </row>
    <row r="287" spans="1:4" x14ac:dyDescent="0.25">
      <c r="A287">
        <v>283</v>
      </c>
      <c r="B287" s="17">
        <v>-467.35219751736315</v>
      </c>
      <c r="C287" s="17">
        <v>431.2767407812437</v>
      </c>
      <c r="D287" s="17">
        <v>382.9188207475043</v>
      </c>
    </row>
    <row r="288" spans="1:4" x14ac:dyDescent="0.25">
      <c r="A288">
        <v>284</v>
      </c>
      <c r="B288" s="17">
        <v>-448.21658641384636</v>
      </c>
      <c r="C288" s="17">
        <v>407.81918519531087</v>
      </c>
      <c r="D288" s="17">
        <v>382.9188207475043</v>
      </c>
    </row>
    <row r="289" spans="1:4" x14ac:dyDescent="0.25">
      <c r="A289">
        <v>285</v>
      </c>
      <c r="B289" s="17">
        <v>-423.73073455186875</v>
      </c>
      <c r="C289" s="17">
        <v>407.81918519531087</v>
      </c>
      <c r="D289" s="17">
        <v>382.9188207475043</v>
      </c>
    </row>
    <row r="290" spans="1:4" x14ac:dyDescent="0.25">
      <c r="A290">
        <v>286</v>
      </c>
      <c r="B290" s="17">
        <v>-415.5687839312095</v>
      </c>
      <c r="C290" s="17">
        <v>415.63837039062184</v>
      </c>
      <c r="D290" s="17">
        <v>682.1685948351966</v>
      </c>
    </row>
    <row r="291" spans="1:4" x14ac:dyDescent="0.25">
      <c r="A291">
        <v>287</v>
      </c>
      <c r="B291" s="17">
        <v>-415.5687839312095</v>
      </c>
      <c r="C291" s="17">
        <v>439.09592597655467</v>
      </c>
      <c r="D291" s="17">
        <v>682.1685948351966</v>
      </c>
    </row>
    <row r="292" spans="1:4" x14ac:dyDescent="0.25">
      <c r="A292">
        <v>288</v>
      </c>
      <c r="B292" s="17">
        <v>-459.19024689670397</v>
      </c>
      <c r="C292" s="17">
        <v>439.09592597655467</v>
      </c>
      <c r="D292" s="17">
        <v>682.1685948351966</v>
      </c>
    </row>
    <row r="293" spans="1:4" x14ac:dyDescent="0.25">
      <c r="A293">
        <v>289</v>
      </c>
      <c r="B293" s="17">
        <v>-473.73073455186875</v>
      </c>
      <c r="C293" s="17">
        <v>505.07706179252483</v>
      </c>
      <c r="D293" s="17">
        <v>1268.5546874999998</v>
      </c>
    </row>
    <row r="294" spans="1:4" x14ac:dyDescent="0.25">
      <c r="A294">
        <v>290</v>
      </c>
      <c r="B294" s="17">
        <v>-473.73073455186875</v>
      </c>
      <c r="C294" s="17">
        <v>461.4555988270304</v>
      </c>
      <c r="D294" s="17">
        <v>1268.5546874999998</v>
      </c>
    </row>
    <row r="295" spans="1:4" x14ac:dyDescent="0.25">
      <c r="A295">
        <v>291</v>
      </c>
      <c r="B295" s="17">
        <v>-430.10927158637435</v>
      </c>
      <c r="C295" s="17">
        <v>461.4555988270304</v>
      </c>
      <c r="D295" s="17">
        <v>1268.5546874999998</v>
      </c>
    </row>
    <row r="296" spans="1:4" x14ac:dyDescent="0.25">
      <c r="A296">
        <v>292</v>
      </c>
      <c r="B296" s="17">
        <v>-415.5687839312095</v>
      </c>
      <c r="C296" s="17">
        <v>475.9960864821952</v>
      </c>
      <c r="D296" s="17">
        <v>1268.5546874999998</v>
      </c>
    </row>
    <row r="297" spans="1:4" x14ac:dyDescent="0.25">
      <c r="A297">
        <v>293</v>
      </c>
      <c r="B297" s="17">
        <v>-415.5687839312095</v>
      </c>
      <c r="C297" s="17">
        <v>519.6175494476896</v>
      </c>
      <c r="D297" s="17">
        <v>1268.5546874999998</v>
      </c>
    </row>
    <row r="298" spans="1:4" x14ac:dyDescent="0.25">
      <c r="A298">
        <v>294</v>
      </c>
      <c r="B298" s="17">
        <v>-459.19024689670397</v>
      </c>
      <c r="C298" s="17">
        <v>519.6175494476896</v>
      </c>
      <c r="D298" s="17">
        <v>1268.5546874999998</v>
      </c>
    </row>
    <row r="299" spans="1:4" x14ac:dyDescent="0.25">
      <c r="A299">
        <v>295</v>
      </c>
      <c r="B299" s="17">
        <v>-473.73073455186875</v>
      </c>
      <c r="C299" s="17">
        <v>578.0526790342848</v>
      </c>
      <c r="D299" s="17">
        <v>957.3742486977636</v>
      </c>
    </row>
    <row r="300" spans="1:4" x14ac:dyDescent="0.25">
      <c r="A300">
        <v>296</v>
      </c>
      <c r="B300" s="17">
        <v>-473.73073455186875</v>
      </c>
      <c r="C300" s="17">
        <v>545.131697585712</v>
      </c>
      <c r="D300" s="17">
        <v>957.3742486977636</v>
      </c>
    </row>
    <row r="301" spans="1:4" x14ac:dyDescent="0.25">
      <c r="A301">
        <v>297</v>
      </c>
      <c r="B301" s="17">
        <v>-430.10927158637435</v>
      </c>
      <c r="C301" s="17">
        <v>545.131697585712</v>
      </c>
      <c r="D301" s="17">
        <v>957.3742486977636</v>
      </c>
    </row>
    <row r="302" spans="1:4" x14ac:dyDescent="0.25">
      <c r="A302">
        <v>298</v>
      </c>
      <c r="B302" s="17">
        <v>-415.5687839312095</v>
      </c>
      <c r="C302" s="17">
        <v>556.1053580685696</v>
      </c>
      <c r="D302" s="17">
        <v>957.3742486977636</v>
      </c>
    </row>
    <row r="303" spans="1:4" x14ac:dyDescent="0.25">
      <c r="A303">
        <v>299</v>
      </c>
      <c r="B303" s="17">
        <v>-415.5687839312095</v>
      </c>
      <c r="C303" s="17">
        <v>589.0263395171423</v>
      </c>
      <c r="D303" s="17">
        <v>957.3742486977636</v>
      </c>
    </row>
    <row r="304" spans="1:4" x14ac:dyDescent="0.25">
      <c r="A304">
        <v>300</v>
      </c>
      <c r="B304" s="17">
        <v>-459.19024689670397</v>
      </c>
      <c r="C304" s="17">
        <v>589.0263395171423</v>
      </c>
      <c r="D304" s="17">
        <v>957.3742486977636</v>
      </c>
    </row>
    <row r="305" spans="1:4" x14ac:dyDescent="0.25">
      <c r="A305">
        <v>301</v>
      </c>
      <c r="B305" s="17">
        <v>-386.4878086208799</v>
      </c>
      <c r="C305" s="17">
        <v>-541.8380493793408</v>
      </c>
      <c r="D305" s="17">
        <v>1268.5546874999998</v>
      </c>
    </row>
    <row r="306" spans="1:4" x14ac:dyDescent="0.25">
      <c r="A306">
        <v>302</v>
      </c>
      <c r="B306" s="17">
        <v>-386.4878086208799</v>
      </c>
      <c r="C306" s="17">
        <v>-585.4595123448352</v>
      </c>
      <c r="D306" s="17">
        <v>1268.5546874999998</v>
      </c>
    </row>
    <row r="307" spans="1:4" x14ac:dyDescent="0.25">
      <c r="A307">
        <v>303</v>
      </c>
      <c r="B307" s="17">
        <v>-342.86634565538554</v>
      </c>
      <c r="C307" s="17">
        <v>-585.4595123448352</v>
      </c>
      <c r="D307" s="17">
        <v>1268.5546874999998</v>
      </c>
    </row>
    <row r="308" spans="1:4" x14ac:dyDescent="0.25">
      <c r="A308">
        <v>304</v>
      </c>
      <c r="B308" s="17">
        <v>-328.3258580002207</v>
      </c>
      <c r="C308" s="17">
        <v>-570.9190246896703</v>
      </c>
      <c r="D308" s="17">
        <v>1268.5546874999998</v>
      </c>
    </row>
    <row r="309" spans="1:4" x14ac:dyDescent="0.25">
      <c r="A309">
        <v>305</v>
      </c>
      <c r="B309" s="17">
        <v>-328.3258580002207</v>
      </c>
      <c r="C309" s="17">
        <v>-527.2975617241759</v>
      </c>
      <c r="D309" s="17">
        <v>1268.5546874999998</v>
      </c>
    </row>
    <row r="310" spans="1:4" x14ac:dyDescent="0.25">
      <c r="A310">
        <v>306</v>
      </c>
      <c r="B310" s="17">
        <v>-371.9473209657151</v>
      </c>
      <c r="C310" s="17">
        <v>-527.2975617241759</v>
      </c>
      <c r="D310" s="17">
        <v>1268.5546874999998</v>
      </c>
    </row>
    <row r="311" spans="1:4" x14ac:dyDescent="0.25">
      <c r="A311">
        <v>307</v>
      </c>
      <c r="B311" s="17">
        <v>-386.4878086208799</v>
      </c>
      <c r="C311" s="17">
        <v>-454.59512344835196</v>
      </c>
      <c r="D311" s="17">
        <v>1268.5546874999998</v>
      </c>
    </row>
    <row r="312" spans="1:4" x14ac:dyDescent="0.25">
      <c r="A312">
        <v>308</v>
      </c>
      <c r="B312" s="17">
        <v>-386.4878086208799</v>
      </c>
      <c r="C312" s="17">
        <v>-498.21658641384636</v>
      </c>
      <c r="D312" s="17">
        <v>1268.5546874999998</v>
      </c>
    </row>
    <row r="313" spans="1:4" x14ac:dyDescent="0.25">
      <c r="A313">
        <v>309</v>
      </c>
      <c r="B313" s="17">
        <v>-342.86634565538554</v>
      </c>
      <c r="C313" s="17">
        <v>-498.21658641384636</v>
      </c>
      <c r="D313" s="17">
        <v>1268.5546874999998</v>
      </c>
    </row>
    <row r="314" spans="1:4" x14ac:dyDescent="0.25">
      <c r="A314">
        <v>310</v>
      </c>
      <c r="B314" s="17">
        <v>-328.3258580002207</v>
      </c>
      <c r="C314" s="17">
        <v>-483.6760987586815</v>
      </c>
      <c r="D314" s="17">
        <v>1268.5546874999998</v>
      </c>
    </row>
    <row r="315" spans="1:4" x14ac:dyDescent="0.25">
      <c r="A315">
        <v>311</v>
      </c>
      <c r="B315" s="17">
        <v>-328.3258580002207</v>
      </c>
      <c r="C315" s="17">
        <v>-440.0546357931872</v>
      </c>
      <c r="D315" s="17">
        <v>1268.5546874999998</v>
      </c>
    </row>
    <row r="316" spans="1:4" x14ac:dyDescent="0.25">
      <c r="A316">
        <v>312</v>
      </c>
      <c r="B316" s="17">
        <v>-371.9473209657151</v>
      </c>
      <c r="C316" s="17">
        <v>-440.0546357931872</v>
      </c>
      <c r="D316" s="17">
        <v>1268.5546874999998</v>
      </c>
    </row>
    <row r="317" spans="1:4" x14ac:dyDescent="0.25">
      <c r="A317">
        <v>313</v>
      </c>
      <c r="B317" s="17">
        <v>-386.4878086208799</v>
      </c>
      <c r="C317" s="17">
        <v>-408.5047160460074</v>
      </c>
      <c r="D317" s="17">
        <v>370.9881560329606</v>
      </c>
    </row>
    <row r="318" spans="1:4" x14ac:dyDescent="0.25">
      <c r="A318">
        <v>314</v>
      </c>
      <c r="B318" s="17">
        <v>-386.4878086208799</v>
      </c>
      <c r="C318" s="17">
        <v>-421.26179011501864</v>
      </c>
      <c r="D318" s="17">
        <v>370.9881560329606</v>
      </c>
    </row>
    <row r="319" spans="1:4" x14ac:dyDescent="0.25">
      <c r="A319">
        <v>315</v>
      </c>
      <c r="B319" s="17">
        <v>-342.86634565538554</v>
      </c>
      <c r="C319" s="17">
        <v>-421.26179011501864</v>
      </c>
      <c r="D319" s="17">
        <v>370.9881560329606</v>
      </c>
    </row>
    <row r="320" spans="1:4" x14ac:dyDescent="0.25">
      <c r="A320">
        <v>316</v>
      </c>
      <c r="B320" s="17">
        <v>-328.3258580002207</v>
      </c>
      <c r="C320" s="17">
        <v>-417.0094320920149</v>
      </c>
      <c r="D320" s="17">
        <v>370.9881560329606</v>
      </c>
    </row>
    <row r="321" spans="1:4" x14ac:dyDescent="0.25">
      <c r="A321">
        <v>317</v>
      </c>
      <c r="B321" s="17">
        <v>-328.3258580002207</v>
      </c>
      <c r="C321" s="17">
        <v>-404.2523580230037</v>
      </c>
      <c r="D321" s="17">
        <v>370.9881560329606</v>
      </c>
    </row>
    <row r="322" spans="1:4" x14ac:dyDescent="0.25">
      <c r="A322">
        <v>318</v>
      </c>
      <c r="B322" s="17">
        <v>-371.9473209657151</v>
      </c>
      <c r="C322" s="17">
        <v>-404.2523580230037</v>
      </c>
      <c r="D322" s="17">
        <v>370.9881560329606</v>
      </c>
    </row>
    <row r="323" spans="1:4" x14ac:dyDescent="0.25">
      <c r="A323">
        <v>319</v>
      </c>
      <c r="B323" s="17">
        <v>-386.4878086208799</v>
      </c>
      <c r="C323" s="17">
        <v>431.2767407812437</v>
      </c>
      <c r="D323" s="17">
        <v>682.1685948351966</v>
      </c>
    </row>
    <row r="324" spans="1:4" x14ac:dyDescent="0.25">
      <c r="A324">
        <v>320</v>
      </c>
      <c r="B324" s="17">
        <v>-386.4878086208799</v>
      </c>
      <c r="C324" s="17">
        <v>407.81918519531087</v>
      </c>
      <c r="D324" s="17">
        <v>682.1685948351966</v>
      </c>
    </row>
    <row r="325" spans="1:4" x14ac:dyDescent="0.25">
      <c r="A325">
        <v>321</v>
      </c>
      <c r="B325" s="17">
        <v>-342.86634565538554</v>
      </c>
      <c r="C325" s="17">
        <v>407.81918519531087</v>
      </c>
      <c r="D325" s="17">
        <v>682.1685948351966</v>
      </c>
    </row>
    <row r="326" spans="1:4" x14ac:dyDescent="0.25">
      <c r="A326">
        <v>322</v>
      </c>
      <c r="B326" s="17">
        <v>-328.3258580002207</v>
      </c>
      <c r="C326" s="17">
        <v>415.63837039062184</v>
      </c>
      <c r="D326" s="17">
        <v>682.1685948351966</v>
      </c>
    </row>
    <row r="327" spans="1:4" x14ac:dyDescent="0.25">
      <c r="A327">
        <v>323</v>
      </c>
      <c r="B327" s="17">
        <v>-328.3258580002207</v>
      </c>
      <c r="C327" s="17">
        <v>439.09592597655467</v>
      </c>
      <c r="D327" s="17">
        <v>682.1685948351966</v>
      </c>
    </row>
    <row r="328" spans="1:4" x14ac:dyDescent="0.25">
      <c r="A328">
        <v>324</v>
      </c>
      <c r="B328" s="17">
        <v>-371.9473209657151</v>
      </c>
      <c r="C328" s="17">
        <v>439.09592597655467</v>
      </c>
      <c r="D328" s="17">
        <v>682.1685948351966</v>
      </c>
    </row>
    <row r="329" spans="1:4" x14ac:dyDescent="0.25">
      <c r="A329">
        <v>325</v>
      </c>
      <c r="B329" s="17">
        <v>-386.4878086208799</v>
      </c>
      <c r="C329" s="17">
        <v>505.07706179252483</v>
      </c>
      <c r="D329" s="17">
        <v>1268.5546874999998</v>
      </c>
    </row>
    <row r="330" spans="1:4" x14ac:dyDescent="0.25">
      <c r="A330">
        <v>326</v>
      </c>
      <c r="B330" s="17">
        <v>-386.4878086208799</v>
      </c>
      <c r="C330" s="17">
        <v>461.4555988270304</v>
      </c>
      <c r="D330" s="17">
        <v>1268.5546874999998</v>
      </c>
    </row>
    <row r="331" spans="1:4" x14ac:dyDescent="0.25">
      <c r="A331">
        <v>327</v>
      </c>
      <c r="B331" s="17">
        <v>-342.86634565538554</v>
      </c>
      <c r="C331" s="17">
        <v>461.4555988270304</v>
      </c>
      <c r="D331" s="17">
        <v>1268.5546874999998</v>
      </c>
    </row>
    <row r="332" spans="1:4" x14ac:dyDescent="0.25">
      <c r="A332">
        <v>328</v>
      </c>
      <c r="B332" s="17">
        <v>-328.3258580002207</v>
      </c>
      <c r="C332" s="17">
        <v>475.9960864821952</v>
      </c>
      <c r="D332" s="17">
        <v>1268.5546874999998</v>
      </c>
    </row>
    <row r="333" spans="1:4" x14ac:dyDescent="0.25">
      <c r="A333">
        <v>329</v>
      </c>
      <c r="B333" s="17">
        <v>-328.3258580002207</v>
      </c>
      <c r="C333" s="17">
        <v>519.6175494476896</v>
      </c>
      <c r="D333" s="17">
        <v>1268.5546874999998</v>
      </c>
    </row>
    <row r="334" spans="1:4" x14ac:dyDescent="0.25">
      <c r="A334">
        <v>330</v>
      </c>
      <c r="B334" s="17">
        <v>-371.9473209657151</v>
      </c>
      <c r="C334" s="17">
        <v>519.6175494476896</v>
      </c>
      <c r="D334" s="17">
        <v>1268.5546874999998</v>
      </c>
    </row>
    <row r="335" spans="1:4" x14ac:dyDescent="0.25">
      <c r="A335">
        <v>331</v>
      </c>
      <c r="B335" s="17">
        <v>-386.4878086208799</v>
      </c>
      <c r="C335" s="17">
        <v>578.0526790342848</v>
      </c>
      <c r="D335" s="17">
        <v>957.3742486977636</v>
      </c>
    </row>
    <row r="336" spans="1:4" x14ac:dyDescent="0.25">
      <c r="A336">
        <v>332</v>
      </c>
      <c r="B336" s="17">
        <v>-386.4878086208799</v>
      </c>
      <c r="C336" s="17">
        <v>545.131697585712</v>
      </c>
      <c r="D336" s="17">
        <v>957.3742486977636</v>
      </c>
    </row>
    <row r="337" spans="1:4" x14ac:dyDescent="0.25">
      <c r="A337">
        <v>333</v>
      </c>
      <c r="B337" s="17">
        <v>-342.86634565538554</v>
      </c>
      <c r="C337" s="17">
        <v>545.131697585712</v>
      </c>
      <c r="D337" s="17">
        <v>957.3742486977636</v>
      </c>
    </row>
    <row r="338" spans="1:4" x14ac:dyDescent="0.25">
      <c r="A338">
        <v>334</v>
      </c>
      <c r="B338" s="17">
        <v>-328.3258580002207</v>
      </c>
      <c r="C338" s="17">
        <v>556.1053580685696</v>
      </c>
      <c r="D338" s="17">
        <v>957.3742486977636</v>
      </c>
    </row>
    <row r="339" spans="1:4" x14ac:dyDescent="0.25">
      <c r="A339">
        <v>335</v>
      </c>
      <c r="B339" s="17">
        <v>-328.3258580002207</v>
      </c>
      <c r="C339" s="17">
        <v>589.0263395171423</v>
      </c>
      <c r="D339" s="17">
        <v>957.3742486977636</v>
      </c>
    </row>
    <row r="340" spans="1:4" x14ac:dyDescent="0.25">
      <c r="A340">
        <v>336</v>
      </c>
      <c r="B340" s="17">
        <v>-371.9473209657151</v>
      </c>
      <c r="C340" s="17">
        <v>589.0263395171423</v>
      </c>
      <c r="D340" s="17">
        <v>957.3742486977636</v>
      </c>
    </row>
    <row r="341" spans="1:4" x14ac:dyDescent="0.25">
      <c r="A341">
        <v>337</v>
      </c>
      <c r="B341" s="17">
        <v>-299.24488268989114</v>
      </c>
      <c r="C341" s="17">
        <v>-541.8380493793408</v>
      </c>
      <c r="D341" s="17">
        <v>1268.5546874999998</v>
      </c>
    </row>
    <row r="342" spans="1:4" x14ac:dyDescent="0.25">
      <c r="A342">
        <v>338</v>
      </c>
      <c r="B342" s="17">
        <v>-299.24488268989114</v>
      </c>
      <c r="C342" s="17">
        <v>-585.4595123448352</v>
      </c>
      <c r="D342" s="17">
        <v>1268.5546874999998</v>
      </c>
    </row>
    <row r="343" spans="1:4" x14ac:dyDescent="0.25">
      <c r="A343">
        <v>339</v>
      </c>
      <c r="B343" s="17">
        <v>-255.62341972439677</v>
      </c>
      <c r="C343" s="17">
        <v>-585.4595123448352</v>
      </c>
      <c r="D343" s="17">
        <v>1268.5546874999998</v>
      </c>
    </row>
    <row r="344" spans="1:4" x14ac:dyDescent="0.25">
      <c r="A344">
        <v>340</v>
      </c>
      <c r="B344" s="17">
        <v>-241.08293206923196</v>
      </c>
      <c r="C344" s="17">
        <v>-570.9190246896703</v>
      </c>
      <c r="D344" s="17">
        <v>1268.5546874999998</v>
      </c>
    </row>
    <row r="345" spans="1:4" x14ac:dyDescent="0.25">
      <c r="A345">
        <v>341</v>
      </c>
      <c r="B345" s="17">
        <v>-241.08293206923196</v>
      </c>
      <c r="C345" s="17">
        <v>-527.2975617241759</v>
      </c>
      <c r="D345" s="17">
        <v>1268.5546874999998</v>
      </c>
    </row>
    <row r="346" spans="1:4" x14ac:dyDescent="0.25">
      <c r="A346">
        <v>342</v>
      </c>
      <c r="B346" s="17">
        <v>-284.70439503472636</v>
      </c>
      <c r="C346" s="17">
        <v>-527.2975617241759</v>
      </c>
      <c r="D346" s="17">
        <v>1268.5546874999998</v>
      </c>
    </row>
    <row r="347" spans="1:4" x14ac:dyDescent="0.25">
      <c r="A347">
        <v>343</v>
      </c>
      <c r="B347" s="17">
        <v>-299.24488268989114</v>
      </c>
      <c r="C347" s="17">
        <v>-454.59512344835196</v>
      </c>
      <c r="D347" s="17">
        <v>1268.5546874999998</v>
      </c>
    </row>
    <row r="348" spans="1:4" x14ac:dyDescent="0.25">
      <c r="A348">
        <v>344</v>
      </c>
      <c r="B348" s="17">
        <v>-299.24488268989114</v>
      </c>
      <c r="C348" s="17">
        <v>-498.21658641384636</v>
      </c>
      <c r="D348" s="17">
        <v>1268.5546874999998</v>
      </c>
    </row>
    <row r="349" spans="1:4" x14ac:dyDescent="0.25">
      <c r="A349">
        <v>345</v>
      </c>
      <c r="B349" s="17">
        <v>-255.62341972439677</v>
      </c>
      <c r="C349" s="17">
        <v>-498.21658641384636</v>
      </c>
      <c r="D349" s="17">
        <v>1268.5546874999998</v>
      </c>
    </row>
    <row r="350" spans="1:4" x14ac:dyDescent="0.25">
      <c r="A350">
        <v>346</v>
      </c>
      <c r="B350" s="17">
        <v>-241.08293206923196</v>
      </c>
      <c r="C350" s="17">
        <v>-483.6760987586815</v>
      </c>
      <c r="D350" s="17">
        <v>1268.5546874999998</v>
      </c>
    </row>
    <row r="351" spans="1:4" x14ac:dyDescent="0.25">
      <c r="A351">
        <v>347</v>
      </c>
      <c r="B351" s="17">
        <v>-241.08293206923196</v>
      </c>
      <c r="C351" s="17">
        <v>-440.0546357931872</v>
      </c>
      <c r="D351" s="17">
        <v>1268.5546874999998</v>
      </c>
    </row>
    <row r="352" spans="1:4" x14ac:dyDescent="0.25">
      <c r="A352">
        <v>348</v>
      </c>
      <c r="B352" s="17">
        <v>-284.70439503472636</v>
      </c>
      <c r="C352" s="17">
        <v>-440.0546357931872</v>
      </c>
      <c r="D352" s="17">
        <v>1268.5546874999998</v>
      </c>
    </row>
    <row r="353" spans="1:4" x14ac:dyDescent="0.25">
      <c r="A353">
        <v>349</v>
      </c>
      <c r="B353" s="17">
        <v>-299.24488268989114</v>
      </c>
      <c r="C353" s="17">
        <v>-408.5047160460074</v>
      </c>
      <c r="D353" s="17">
        <v>370.9881560329606</v>
      </c>
    </row>
    <row r="354" spans="1:4" x14ac:dyDescent="0.25">
      <c r="A354">
        <v>350</v>
      </c>
      <c r="B354" s="17">
        <v>-299.24488268989114</v>
      </c>
      <c r="C354" s="17">
        <v>-421.26179011501864</v>
      </c>
      <c r="D354" s="17">
        <v>370.9881560329606</v>
      </c>
    </row>
    <row r="355" spans="1:4" x14ac:dyDescent="0.25">
      <c r="A355">
        <v>351</v>
      </c>
      <c r="B355" s="17">
        <v>-255.62341972439677</v>
      </c>
      <c r="C355" s="17">
        <v>-421.26179011501864</v>
      </c>
      <c r="D355" s="17">
        <v>370.9881560329606</v>
      </c>
    </row>
    <row r="356" spans="1:4" x14ac:dyDescent="0.25">
      <c r="A356">
        <v>352</v>
      </c>
      <c r="B356" s="17">
        <v>-230.45203701172264</v>
      </c>
      <c r="C356" s="17">
        <v>-413.09983949435946</v>
      </c>
      <c r="D356" s="17">
        <v>191.45941037375215</v>
      </c>
    </row>
    <row r="357" spans="1:4" x14ac:dyDescent="0.25">
      <c r="A357">
        <v>353</v>
      </c>
      <c r="B357" s="17">
        <v>-230.45203701172264</v>
      </c>
      <c r="C357" s="17">
        <v>-388.61398763238185</v>
      </c>
      <c r="D357" s="17">
        <v>191.45941037375215</v>
      </c>
    </row>
    <row r="358" spans="1:4" x14ac:dyDescent="0.25">
      <c r="A358">
        <v>354</v>
      </c>
      <c r="B358" s="17">
        <v>-242.18081480468905</v>
      </c>
      <c r="C358" s="17">
        <v>-400.3427654253482</v>
      </c>
      <c r="D358" s="17">
        <v>191.45941037375215</v>
      </c>
    </row>
    <row r="359" spans="1:4" x14ac:dyDescent="0.25">
      <c r="A359">
        <v>355</v>
      </c>
      <c r="B359" s="17">
        <v>-244.99252466688745</v>
      </c>
      <c r="C359" s="17">
        <v>-417.0094320920149</v>
      </c>
      <c r="D359" s="17">
        <v>271.23823133706316</v>
      </c>
    </row>
    <row r="360" spans="1:4" x14ac:dyDescent="0.25">
      <c r="A360">
        <v>356</v>
      </c>
      <c r="B360" s="17">
        <v>-256.72130245985386</v>
      </c>
      <c r="C360" s="17">
        <v>-404.2523580230037</v>
      </c>
      <c r="D360" s="17">
        <v>271.23823133706316</v>
      </c>
    </row>
    <row r="361" spans="1:4" x14ac:dyDescent="0.25">
      <c r="A361">
        <v>357</v>
      </c>
      <c r="B361" s="17">
        <v>-288.61398763238185</v>
      </c>
      <c r="C361" s="17">
        <v>-404.2523580230037</v>
      </c>
      <c r="D361" s="17">
        <v>271.23823133706316</v>
      </c>
    </row>
    <row r="362" spans="1:4" x14ac:dyDescent="0.25">
      <c r="A362">
        <v>358</v>
      </c>
      <c r="B362" s="17">
        <v>-303.15447528754663</v>
      </c>
      <c r="C362" s="17">
        <v>431.2767407812437</v>
      </c>
      <c r="D362" s="17">
        <v>498.7496234794873</v>
      </c>
    </row>
    <row r="363" spans="1:4" x14ac:dyDescent="0.25">
      <c r="A363">
        <v>359</v>
      </c>
      <c r="B363" s="17">
        <v>-303.15447528754663</v>
      </c>
      <c r="C363" s="17">
        <v>407.81918519531087</v>
      </c>
      <c r="D363" s="17">
        <v>498.7496234794873</v>
      </c>
    </row>
    <row r="364" spans="1:4" x14ac:dyDescent="0.25">
      <c r="A364">
        <v>360</v>
      </c>
      <c r="B364" s="17">
        <v>-271.26179011501864</v>
      </c>
      <c r="C364" s="17">
        <v>407.81918519531087</v>
      </c>
      <c r="D364" s="17">
        <v>498.7496234794873</v>
      </c>
    </row>
    <row r="365" spans="1:4" x14ac:dyDescent="0.25">
      <c r="A365">
        <v>361</v>
      </c>
      <c r="B365" s="17">
        <v>-242.18081480468905</v>
      </c>
      <c r="C365" s="17">
        <v>403.90959259765543</v>
      </c>
      <c r="D365" s="17">
        <v>275.1284570335641</v>
      </c>
    </row>
    <row r="366" spans="1:4" x14ac:dyDescent="0.25">
      <c r="A366">
        <v>362</v>
      </c>
      <c r="B366" s="17">
        <v>-230.45203701172264</v>
      </c>
      <c r="C366" s="17">
        <v>392.180814804689</v>
      </c>
      <c r="D366" s="17">
        <v>275.1284570335641</v>
      </c>
    </row>
    <row r="367" spans="1:4" x14ac:dyDescent="0.25">
      <c r="A367">
        <v>363</v>
      </c>
      <c r="B367" s="17">
        <v>-230.45203701172264</v>
      </c>
      <c r="C367" s="17">
        <v>427.36714818358826</v>
      </c>
      <c r="D367" s="17">
        <v>275.1284570335641</v>
      </c>
    </row>
    <row r="368" spans="1:4" x14ac:dyDescent="0.25">
      <c r="A368">
        <v>364</v>
      </c>
      <c r="B368" s="17">
        <v>-256.72130245985386</v>
      </c>
      <c r="C368" s="17">
        <v>415.63837039062184</v>
      </c>
      <c r="D368" s="17">
        <v>682.1685948351966</v>
      </c>
    </row>
    <row r="369" spans="1:4" x14ac:dyDescent="0.25">
      <c r="A369">
        <v>365</v>
      </c>
      <c r="B369" s="17">
        <v>-244.99252466688745</v>
      </c>
      <c r="C369" s="17">
        <v>439.09592597655467</v>
      </c>
      <c r="D369" s="17">
        <v>682.1685948351966</v>
      </c>
    </row>
    <row r="370" spans="1:4" x14ac:dyDescent="0.25">
      <c r="A370">
        <v>366</v>
      </c>
      <c r="B370" s="17">
        <v>-288.61398763238185</v>
      </c>
      <c r="C370" s="17">
        <v>439.09592597655467</v>
      </c>
      <c r="D370" s="17">
        <v>682.1685948351966</v>
      </c>
    </row>
    <row r="371" spans="1:4" x14ac:dyDescent="0.25">
      <c r="A371">
        <v>367</v>
      </c>
      <c r="B371" s="17">
        <v>-299.24488268989114</v>
      </c>
      <c r="C371" s="17">
        <v>505.07706179252483</v>
      </c>
      <c r="D371" s="17">
        <v>1268.5546874999998</v>
      </c>
    </row>
    <row r="372" spans="1:4" x14ac:dyDescent="0.25">
      <c r="A372">
        <v>368</v>
      </c>
      <c r="B372" s="17">
        <v>-299.24488268989114</v>
      </c>
      <c r="C372" s="17">
        <v>461.4555988270304</v>
      </c>
      <c r="D372" s="17">
        <v>1268.5546874999998</v>
      </c>
    </row>
    <row r="373" spans="1:4" x14ac:dyDescent="0.25">
      <c r="A373">
        <v>369</v>
      </c>
      <c r="B373" s="17">
        <v>-255.62341972439677</v>
      </c>
      <c r="C373" s="17">
        <v>461.4555988270304</v>
      </c>
      <c r="D373" s="17">
        <v>1268.5546874999998</v>
      </c>
    </row>
    <row r="374" spans="1:4" x14ac:dyDescent="0.25">
      <c r="A374">
        <v>370</v>
      </c>
      <c r="B374" s="17">
        <v>-241.08293206923196</v>
      </c>
      <c r="C374" s="17">
        <v>475.9960864821952</v>
      </c>
      <c r="D374" s="17">
        <v>1268.5546874999998</v>
      </c>
    </row>
    <row r="375" spans="1:4" x14ac:dyDescent="0.25">
      <c r="A375">
        <v>371</v>
      </c>
      <c r="B375" s="17">
        <v>-241.08293206923196</v>
      </c>
      <c r="C375" s="17">
        <v>519.6175494476896</v>
      </c>
      <c r="D375" s="17">
        <v>1268.5546874999998</v>
      </c>
    </row>
    <row r="376" spans="1:4" x14ac:dyDescent="0.25">
      <c r="A376">
        <v>372</v>
      </c>
      <c r="B376" s="17">
        <v>-284.70439503472636</v>
      </c>
      <c r="C376" s="17">
        <v>519.6175494476896</v>
      </c>
      <c r="D376" s="17">
        <v>1268.5546874999998</v>
      </c>
    </row>
    <row r="377" spans="1:4" x14ac:dyDescent="0.25">
      <c r="A377">
        <v>373</v>
      </c>
      <c r="B377" s="17">
        <v>-299.24488268989114</v>
      </c>
      <c r="C377" s="17">
        <v>578.0526790342848</v>
      </c>
      <c r="D377" s="17">
        <v>957.3742486977636</v>
      </c>
    </row>
    <row r="378" spans="1:4" x14ac:dyDescent="0.25">
      <c r="A378">
        <v>374</v>
      </c>
      <c r="B378" s="17">
        <v>-299.24488268989114</v>
      </c>
      <c r="C378" s="17">
        <v>545.131697585712</v>
      </c>
      <c r="D378" s="17">
        <v>957.3742486977636</v>
      </c>
    </row>
    <row r="379" spans="1:4" x14ac:dyDescent="0.25">
      <c r="A379">
        <v>375</v>
      </c>
      <c r="B379" s="17">
        <v>-255.62341972439677</v>
      </c>
      <c r="C379" s="17">
        <v>545.131697585712</v>
      </c>
      <c r="D379" s="17">
        <v>957.3742486977636</v>
      </c>
    </row>
    <row r="380" spans="1:4" x14ac:dyDescent="0.25">
      <c r="A380">
        <v>376</v>
      </c>
      <c r="B380" s="17">
        <v>-241.08293206923196</v>
      </c>
      <c r="C380" s="17">
        <v>556.1053580685696</v>
      </c>
      <c r="D380" s="17">
        <v>957.3742486977636</v>
      </c>
    </row>
    <row r="381" spans="1:4" x14ac:dyDescent="0.25">
      <c r="A381">
        <v>377</v>
      </c>
      <c r="B381" s="17">
        <v>-241.08293206923196</v>
      </c>
      <c r="C381" s="17">
        <v>589.0263395171423</v>
      </c>
      <c r="D381" s="17">
        <v>957.3742486977636</v>
      </c>
    </row>
    <row r="382" spans="1:4" x14ac:dyDescent="0.25">
      <c r="A382">
        <v>378</v>
      </c>
      <c r="B382" s="17">
        <v>-284.70439503472636</v>
      </c>
      <c r="C382" s="17">
        <v>589.0263395171423</v>
      </c>
      <c r="D382" s="17">
        <v>957.3742486977636</v>
      </c>
    </row>
    <row r="383" spans="1:4" x14ac:dyDescent="0.25">
      <c r="A383">
        <v>379</v>
      </c>
      <c r="B383" s="17">
        <v>-212.00195675890237</v>
      </c>
      <c r="C383" s="17">
        <v>-541.8380493793408</v>
      </c>
      <c r="D383" s="17">
        <v>1268.5546874999998</v>
      </c>
    </row>
    <row r="384" spans="1:4" x14ac:dyDescent="0.25">
      <c r="A384">
        <v>380</v>
      </c>
      <c r="B384" s="17">
        <v>-212.00195675890237</v>
      </c>
      <c r="C384" s="17">
        <v>-585.4595123448352</v>
      </c>
      <c r="D384" s="17">
        <v>1268.5546874999998</v>
      </c>
    </row>
    <row r="385" spans="1:4" x14ac:dyDescent="0.25">
      <c r="A385">
        <v>381</v>
      </c>
      <c r="B385" s="17">
        <v>-168.38049379340796</v>
      </c>
      <c r="C385" s="17">
        <v>-585.4595123448352</v>
      </c>
      <c r="D385" s="17">
        <v>1268.5546874999998</v>
      </c>
    </row>
    <row r="386" spans="1:4" x14ac:dyDescent="0.25">
      <c r="A386">
        <v>382</v>
      </c>
      <c r="B386" s="17">
        <v>-153.84000613824315</v>
      </c>
      <c r="C386" s="17">
        <v>-570.9190246896703</v>
      </c>
      <c r="D386" s="17">
        <v>1268.5546874999998</v>
      </c>
    </row>
    <row r="387" spans="1:4" x14ac:dyDescent="0.25">
      <c r="A387">
        <v>383</v>
      </c>
      <c r="B387" s="17">
        <v>-153.84000613824315</v>
      </c>
      <c r="C387" s="17">
        <v>-527.2975617241759</v>
      </c>
      <c r="D387" s="17">
        <v>1268.5546874999998</v>
      </c>
    </row>
    <row r="388" spans="1:4" x14ac:dyDescent="0.25">
      <c r="A388">
        <v>384</v>
      </c>
      <c r="B388" s="17">
        <v>-197.46146910373756</v>
      </c>
      <c r="C388" s="17">
        <v>-527.2975617241759</v>
      </c>
      <c r="D388" s="17">
        <v>1268.5546874999998</v>
      </c>
    </row>
    <row r="389" spans="1:4" x14ac:dyDescent="0.25">
      <c r="A389">
        <v>385</v>
      </c>
      <c r="B389" s="17">
        <v>-212.00195675890237</v>
      </c>
      <c r="C389" s="17">
        <v>-454.59512344835196</v>
      </c>
      <c r="D389" s="17">
        <v>1268.5546874999998</v>
      </c>
    </row>
    <row r="390" spans="1:4" x14ac:dyDescent="0.25">
      <c r="A390">
        <v>386</v>
      </c>
      <c r="B390" s="17">
        <v>-212.00195675890237</v>
      </c>
      <c r="C390" s="17">
        <v>-498.21658641384636</v>
      </c>
      <c r="D390" s="17">
        <v>1268.5546874999998</v>
      </c>
    </row>
    <row r="391" spans="1:4" x14ac:dyDescent="0.25">
      <c r="A391">
        <v>387</v>
      </c>
      <c r="B391" s="17">
        <v>-168.38049379340796</v>
      </c>
      <c r="C391" s="17">
        <v>-498.21658641384636</v>
      </c>
      <c r="D391" s="17">
        <v>1268.5546874999998</v>
      </c>
    </row>
    <row r="392" spans="1:4" x14ac:dyDescent="0.25">
      <c r="A392">
        <v>388</v>
      </c>
      <c r="B392" s="17">
        <v>-153.84000613824315</v>
      </c>
      <c r="C392" s="17">
        <v>-483.6760987586815</v>
      </c>
      <c r="D392" s="17">
        <v>1268.5546874999998</v>
      </c>
    </row>
    <row r="393" spans="1:4" x14ac:dyDescent="0.25">
      <c r="A393">
        <v>389</v>
      </c>
      <c r="B393" s="17">
        <v>-153.84000613824315</v>
      </c>
      <c r="C393" s="17">
        <v>-440.0546357931872</v>
      </c>
      <c r="D393" s="17">
        <v>1268.5546874999998</v>
      </c>
    </row>
    <row r="394" spans="1:4" x14ac:dyDescent="0.25">
      <c r="A394">
        <v>390</v>
      </c>
      <c r="B394" s="17">
        <v>-197.46146910373756</v>
      </c>
      <c r="C394" s="17">
        <v>-440.0546357931872</v>
      </c>
      <c r="D394" s="17">
        <v>1268.5546874999998</v>
      </c>
    </row>
    <row r="395" spans="1:4" x14ac:dyDescent="0.25">
      <c r="A395">
        <v>391</v>
      </c>
      <c r="B395" s="17">
        <v>-212.00195675890237</v>
      </c>
      <c r="C395" s="17">
        <v>-392.86634565538554</v>
      </c>
      <c r="D395" s="17">
        <v>712.0724534505589</v>
      </c>
    </row>
    <row r="396" spans="1:4" x14ac:dyDescent="0.25">
      <c r="A396">
        <v>392</v>
      </c>
      <c r="B396" s="17">
        <v>-212.00195675890237</v>
      </c>
      <c r="C396" s="17">
        <v>-417.35219751736315</v>
      </c>
      <c r="D396" s="17">
        <v>712.0724534505589</v>
      </c>
    </row>
    <row r="397" spans="1:4" x14ac:dyDescent="0.25">
      <c r="A397">
        <v>393</v>
      </c>
      <c r="B397" s="17">
        <v>-168.38049379340796</v>
      </c>
      <c r="C397" s="17">
        <v>-417.35219751736315</v>
      </c>
      <c r="D397" s="17">
        <v>712.0724534505589</v>
      </c>
    </row>
    <row r="398" spans="1:4" x14ac:dyDescent="0.25">
      <c r="A398">
        <v>394</v>
      </c>
      <c r="B398" s="17">
        <v>-197.46146910373756</v>
      </c>
      <c r="C398" s="17">
        <v>-378.32585800022076</v>
      </c>
      <c r="D398" s="17">
        <v>1268.5546874999998</v>
      </c>
    </row>
    <row r="399" spans="1:4" x14ac:dyDescent="0.25">
      <c r="A399">
        <v>395</v>
      </c>
      <c r="B399" s="17">
        <v>-153.84000613824315</v>
      </c>
      <c r="C399" s="17">
        <v>-402.81170986219837</v>
      </c>
      <c r="D399" s="17">
        <v>1268.5546874999998</v>
      </c>
    </row>
    <row r="400" spans="1:4" x14ac:dyDescent="0.25">
      <c r="A400">
        <v>396</v>
      </c>
      <c r="B400" s="17">
        <v>-153.84000613824315</v>
      </c>
      <c r="C400" s="17">
        <v>-359.19024689670397</v>
      </c>
      <c r="D400" s="17">
        <v>1268.5546874999998</v>
      </c>
    </row>
    <row r="401" spans="1:4" x14ac:dyDescent="0.25">
      <c r="A401">
        <v>397</v>
      </c>
      <c r="B401" s="17">
        <v>-162.00195675890237</v>
      </c>
      <c r="C401" s="17">
        <v>-344.6497592415392</v>
      </c>
      <c r="D401" s="17">
        <v>312.36782584608403</v>
      </c>
    </row>
    <row r="402" spans="1:4" x14ac:dyDescent="0.25">
      <c r="A402">
        <v>398</v>
      </c>
      <c r="B402" s="17">
        <v>-186.48780862087997</v>
      </c>
      <c r="C402" s="17">
        <v>-344.6497592415392</v>
      </c>
      <c r="D402" s="17">
        <v>312.36782584608403</v>
      </c>
    </row>
    <row r="403" spans="1:4" x14ac:dyDescent="0.25">
      <c r="A403">
        <v>399</v>
      </c>
      <c r="B403" s="17">
        <v>-205.62341972439677</v>
      </c>
      <c r="C403" s="17">
        <v>-363.785370345056</v>
      </c>
      <c r="D403" s="17">
        <v>312.36782584608403</v>
      </c>
    </row>
    <row r="404" spans="1:4" x14ac:dyDescent="0.25">
      <c r="A404">
        <v>400</v>
      </c>
      <c r="B404" s="17">
        <v>-154.59512344835198</v>
      </c>
      <c r="C404" s="17">
        <v>-312.7570740690112</v>
      </c>
      <c r="D404" s="17">
        <v>312.3678258460841</v>
      </c>
    </row>
    <row r="405" spans="1:4" x14ac:dyDescent="0.25">
      <c r="A405">
        <v>401</v>
      </c>
      <c r="B405" s="17">
        <v>-173.73073455186878</v>
      </c>
      <c r="C405" s="17">
        <v>-331.892685172528</v>
      </c>
      <c r="D405" s="17">
        <v>312.3678258460841</v>
      </c>
    </row>
    <row r="406" spans="1:4" x14ac:dyDescent="0.25">
      <c r="A406">
        <v>402</v>
      </c>
      <c r="B406" s="17">
        <v>-149.24488268989117</v>
      </c>
      <c r="C406" s="17">
        <v>-331.892685172528</v>
      </c>
      <c r="D406" s="17">
        <v>312.3678258460841</v>
      </c>
    </row>
    <row r="407" spans="1:4" x14ac:dyDescent="0.25">
      <c r="A407">
        <v>403</v>
      </c>
      <c r="B407" s="17">
        <v>-146.43317282769277</v>
      </c>
      <c r="C407" s="17">
        <v>-298.2165864138464</v>
      </c>
      <c r="D407" s="17">
        <v>155.59021940111805</v>
      </c>
    </row>
    <row r="408" spans="1:4" x14ac:dyDescent="0.25">
      <c r="A408">
        <v>404</v>
      </c>
      <c r="B408" s="17">
        <v>-141.08293206923196</v>
      </c>
      <c r="C408" s="17">
        <v>-317.3521975173632</v>
      </c>
      <c r="D408" s="17">
        <v>155.59021940111805</v>
      </c>
    </row>
    <row r="409" spans="1:4" x14ac:dyDescent="0.25">
      <c r="A409">
        <v>405</v>
      </c>
      <c r="B409" s="17">
        <v>-141.08293206923196</v>
      </c>
      <c r="C409" s="17">
        <v>-273.73073455186875</v>
      </c>
      <c r="D409" s="17">
        <v>155.59021940111805</v>
      </c>
    </row>
    <row r="410" spans="1:4" x14ac:dyDescent="0.25">
      <c r="A410">
        <v>406</v>
      </c>
      <c r="B410" s="17">
        <v>-142.86634565538557</v>
      </c>
      <c r="C410" s="17">
        <v>-259.19024689670397</v>
      </c>
      <c r="D410" s="17">
        <v>87.33680175839079</v>
      </c>
    </row>
    <row r="411" spans="1:4" x14ac:dyDescent="0.25">
      <c r="A411">
        <v>407</v>
      </c>
      <c r="B411" s="17">
        <v>-148.2165864138464</v>
      </c>
      <c r="C411" s="17">
        <v>-259.19024689670397</v>
      </c>
      <c r="D411" s="17">
        <v>87.33680175839079</v>
      </c>
    </row>
    <row r="412" spans="1:4" x14ac:dyDescent="0.25">
      <c r="A412">
        <v>408</v>
      </c>
      <c r="B412" s="17">
        <v>-148.2165864138464</v>
      </c>
      <c r="C412" s="17">
        <v>-283.6760987586816</v>
      </c>
      <c r="D412" s="17">
        <v>87.33680175839079</v>
      </c>
    </row>
    <row r="413" spans="1:4" x14ac:dyDescent="0.25">
      <c r="A413">
        <v>409</v>
      </c>
      <c r="B413" s="17">
        <v>-148.2165864138464</v>
      </c>
      <c r="C413" s="17">
        <v>-192.86634565538557</v>
      </c>
      <c r="D413" s="17">
        <v>155.59021940111805</v>
      </c>
    </row>
    <row r="414" spans="1:4" x14ac:dyDescent="0.25">
      <c r="A414">
        <v>410</v>
      </c>
      <c r="B414" s="17">
        <v>-148.2165864138464</v>
      </c>
      <c r="C414" s="17">
        <v>-236.48780862087997</v>
      </c>
      <c r="D414" s="17">
        <v>155.59021940111805</v>
      </c>
    </row>
    <row r="415" spans="1:4" x14ac:dyDescent="0.25">
      <c r="A415">
        <v>411</v>
      </c>
      <c r="B415" s="17">
        <v>-142.86634565538557</v>
      </c>
      <c r="C415" s="17">
        <v>-236.48780862087997</v>
      </c>
      <c r="D415" s="17">
        <v>155.59021940111805</v>
      </c>
    </row>
    <row r="416" spans="1:4" x14ac:dyDescent="0.25">
      <c r="A416">
        <v>412</v>
      </c>
      <c r="B416" s="17">
        <v>-141.08293206923196</v>
      </c>
      <c r="C416" s="17">
        <v>-221.9473209657152</v>
      </c>
      <c r="D416" s="17">
        <v>155.59021940111805</v>
      </c>
    </row>
    <row r="417" spans="1:4" x14ac:dyDescent="0.25">
      <c r="A417">
        <v>413</v>
      </c>
      <c r="B417" s="17">
        <v>-141.08293206923196</v>
      </c>
      <c r="C417" s="17">
        <v>-178.3258580002208</v>
      </c>
      <c r="D417" s="17">
        <v>155.59021940111805</v>
      </c>
    </row>
    <row r="418" spans="1:4" x14ac:dyDescent="0.25">
      <c r="A418">
        <v>414</v>
      </c>
      <c r="B418" s="17">
        <v>-146.43317282769277</v>
      </c>
      <c r="C418" s="17">
        <v>-178.32585800022076</v>
      </c>
      <c r="D418" s="17">
        <v>155.59021940111805</v>
      </c>
    </row>
    <row r="419" spans="1:4" x14ac:dyDescent="0.25">
      <c r="A419">
        <v>415</v>
      </c>
      <c r="B419" s="17">
        <v>-148.2165864138464</v>
      </c>
      <c r="C419" s="17">
        <v>-105.62341972439677</v>
      </c>
      <c r="D419" s="17">
        <v>155.59021940111805</v>
      </c>
    </row>
    <row r="420" spans="1:4" x14ac:dyDescent="0.25">
      <c r="A420">
        <v>416</v>
      </c>
      <c r="B420" s="17">
        <v>-148.2165864138464</v>
      </c>
      <c r="C420" s="17">
        <v>-149.24488268989117</v>
      </c>
      <c r="D420" s="17">
        <v>155.59021940111805</v>
      </c>
    </row>
    <row r="421" spans="1:4" x14ac:dyDescent="0.25">
      <c r="A421">
        <v>417</v>
      </c>
      <c r="B421" s="17">
        <v>-142.86634565538557</v>
      </c>
      <c r="C421" s="17">
        <v>-149.24488268989117</v>
      </c>
      <c r="D421" s="17">
        <v>155.59021940111805</v>
      </c>
    </row>
    <row r="422" spans="1:4" x14ac:dyDescent="0.25">
      <c r="A422">
        <v>418</v>
      </c>
      <c r="B422" s="17">
        <v>-141.08293206923196</v>
      </c>
      <c r="C422" s="17">
        <v>-134.70439503472636</v>
      </c>
      <c r="D422" s="17">
        <v>155.59021940111805</v>
      </c>
    </row>
    <row r="423" spans="1:4" x14ac:dyDescent="0.25">
      <c r="A423">
        <v>419</v>
      </c>
      <c r="B423" s="17">
        <v>-141.08293206923196</v>
      </c>
      <c r="C423" s="17">
        <v>-91.08293206923197</v>
      </c>
      <c r="D423" s="17">
        <v>155.59021940111805</v>
      </c>
    </row>
    <row r="424" spans="1:4" x14ac:dyDescent="0.25">
      <c r="A424">
        <v>420</v>
      </c>
      <c r="B424" s="17">
        <v>-146.43317282769277</v>
      </c>
      <c r="C424" s="17">
        <v>-91.08293206923197</v>
      </c>
      <c r="D424" s="17">
        <v>155.59021940111805</v>
      </c>
    </row>
    <row r="425" spans="1:4" x14ac:dyDescent="0.25">
      <c r="A425">
        <v>421</v>
      </c>
      <c r="B425" s="17">
        <v>-148.2165864138464</v>
      </c>
      <c r="C425" s="17">
        <v>-18.380493793407975</v>
      </c>
      <c r="D425" s="17">
        <v>155.59021940111805</v>
      </c>
    </row>
    <row r="426" spans="1:4" x14ac:dyDescent="0.25">
      <c r="A426">
        <v>422</v>
      </c>
      <c r="B426" s="17">
        <v>-148.2165864138464</v>
      </c>
      <c r="C426" s="17">
        <v>-62.001956758902374</v>
      </c>
      <c r="D426" s="17">
        <v>155.59021940111805</v>
      </c>
    </row>
    <row r="427" spans="1:4" x14ac:dyDescent="0.25">
      <c r="A427">
        <v>423</v>
      </c>
      <c r="B427" s="17">
        <v>-142.86634565538557</v>
      </c>
      <c r="C427" s="17">
        <v>-62.001956758902374</v>
      </c>
      <c r="D427" s="17">
        <v>155.59021940111805</v>
      </c>
    </row>
    <row r="428" spans="1:4" x14ac:dyDescent="0.25">
      <c r="A428">
        <v>424</v>
      </c>
      <c r="B428" s="17">
        <v>-141.08293206923196</v>
      </c>
      <c r="C428" s="17">
        <v>-47.46146910373757</v>
      </c>
      <c r="D428" s="17">
        <v>155.59021940111805</v>
      </c>
    </row>
    <row r="429" spans="1:4" x14ac:dyDescent="0.25">
      <c r="A429">
        <v>425</v>
      </c>
      <c r="B429" s="17">
        <v>-141.08293206923196</v>
      </c>
      <c r="C429" s="17">
        <v>-3.840006138243174</v>
      </c>
      <c r="D429" s="17">
        <v>155.59021940111805</v>
      </c>
    </row>
    <row r="430" spans="1:4" x14ac:dyDescent="0.25">
      <c r="A430">
        <v>426</v>
      </c>
      <c r="B430" s="17">
        <v>-146.43317282769277</v>
      </c>
      <c r="C430" s="17">
        <v>-3.840006138243173</v>
      </c>
      <c r="D430" s="17">
        <v>155.59021940111805</v>
      </c>
    </row>
    <row r="431" spans="1:4" x14ac:dyDescent="0.25">
      <c r="A431">
        <v>427</v>
      </c>
      <c r="B431" s="17">
        <v>-148.2165864138464</v>
      </c>
      <c r="C431" s="17">
        <v>68.86243213758081</v>
      </c>
      <c r="D431" s="17">
        <v>155.59021940111805</v>
      </c>
    </row>
    <row r="432" spans="1:4" x14ac:dyDescent="0.25">
      <c r="A432">
        <v>428</v>
      </c>
      <c r="B432" s="17">
        <v>-148.2165864138464</v>
      </c>
      <c r="C432" s="17">
        <v>25.240969172086423</v>
      </c>
      <c r="D432" s="17">
        <v>155.59021940111805</v>
      </c>
    </row>
    <row r="433" spans="1:4" x14ac:dyDescent="0.25">
      <c r="A433">
        <v>429</v>
      </c>
      <c r="B433" s="17">
        <v>-142.86634565538557</v>
      </c>
      <c r="C433" s="17">
        <v>25.240969172086423</v>
      </c>
      <c r="D433" s="17">
        <v>155.59021940111805</v>
      </c>
    </row>
    <row r="434" spans="1:4" x14ac:dyDescent="0.25">
      <c r="A434">
        <v>430</v>
      </c>
      <c r="B434" s="17">
        <v>-141.08293206923196</v>
      </c>
      <c r="C434" s="17">
        <v>39.78145682725122</v>
      </c>
      <c r="D434" s="17">
        <v>155.59021940111805</v>
      </c>
    </row>
    <row r="435" spans="1:4" x14ac:dyDescent="0.25">
      <c r="A435">
        <v>431</v>
      </c>
      <c r="B435" s="17">
        <v>-141.08293206923196</v>
      </c>
      <c r="C435" s="17">
        <v>83.40291979274562</v>
      </c>
      <c r="D435" s="17">
        <v>155.59021940111805</v>
      </c>
    </row>
    <row r="436" spans="1:4" x14ac:dyDescent="0.25">
      <c r="A436">
        <v>432</v>
      </c>
      <c r="B436" s="17">
        <v>-146.43317282769277</v>
      </c>
      <c r="C436" s="17">
        <v>83.40291979274562</v>
      </c>
      <c r="D436" s="17">
        <v>155.59021940111805</v>
      </c>
    </row>
    <row r="437" spans="1:4" x14ac:dyDescent="0.25">
      <c r="A437">
        <v>433</v>
      </c>
      <c r="B437" s="17">
        <v>-148.2165864138464</v>
      </c>
      <c r="C437" s="17">
        <v>156.10535806856961</v>
      </c>
      <c r="D437" s="17">
        <v>155.59021940111805</v>
      </c>
    </row>
    <row r="438" spans="1:4" x14ac:dyDescent="0.25">
      <c r="A438">
        <v>434</v>
      </c>
      <c r="B438" s="17">
        <v>-148.2165864138464</v>
      </c>
      <c r="C438" s="17">
        <v>112.48389510307521</v>
      </c>
      <c r="D438" s="17">
        <v>155.59021940111805</v>
      </c>
    </row>
    <row r="439" spans="1:4" x14ac:dyDescent="0.25">
      <c r="A439">
        <v>435</v>
      </c>
      <c r="B439" s="17">
        <v>-142.86634565538557</v>
      </c>
      <c r="C439" s="17">
        <v>112.48389510307521</v>
      </c>
      <c r="D439" s="17">
        <v>155.59021940111805</v>
      </c>
    </row>
    <row r="440" spans="1:4" x14ac:dyDescent="0.25">
      <c r="A440">
        <v>436</v>
      </c>
      <c r="B440" s="17">
        <v>-141.08293206923196</v>
      </c>
      <c r="C440" s="17">
        <v>127.02438275824002</v>
      </c>
      <c r="D440" s="17">
        <v>155.59021940111805</v>
      </c>
    </row>
    <row r="441" spans="1:4" x14ac:dyDescent="0.25">
      <c r="A441">
        <v>437</v>
      </c>
      <c r="B441" s="17">
        <v>-141.08293206923196</v>
      </c>
      <c r="C441" s="17">
        <v>170.64584572373442</v>
      </c>
      <c r="D441" s="17">
        <v>155.59021940111805</v>
      </c>
    </row>
    <row r="442" spans="1:4" x14ac:dyDescent="0.25">
      <c r="A442">
        <v>438</v>
      </c>
      <c r="B442" s="17">
        <v>-146.43317282769277</v>
      </c>
      <c r="C442" s="17">
        <v>170.64584572373442</v>
      </c>
      <c r="D442" s="17">
        <v>155.59021940111805</v>
      </c>
    </row>
    <row r="443" spans="1:4" x14ac:dyDescent="0.25">
      <c r="A443">
        <v>439</v>
      </c>
      <c r="B443" s="17">
        <v>-148.2165864138464</v>
      </c>
      <c r="C443" s="17">
        <v>243.34828399955842</v>
      </c>
      <c r="D443" s="17">
        <v>155.59021940111805</v>
      </c>
    </row>
    <row r="444" spans="1:4" x14ac:dyDescent="0.25">
      <c r="A444">
        <v>440</v>
      </c>
      <c r="B444" s="17">
        <v>-148.2165864138464</v>
      </c>
      <c r="C444" s="17">
        <v>199.72682103406402</v>
      </c>
      <c r="D444" s="17">
        <v>155.59021940111805</v>
      </c>
    </row>
    <row r="445" spans="1:4" x14ac:dyDescent="0.25">
      <c r="A445">
        <v>441</v>
      </c>
      <c r="B445" s="17">
        <v>-142.86634565538557</v>
      </c>
      <c r="C445" s="17">
        <v>199.72682103406402</v>
      </c>
      <c r="D445" s="17">
        <v>155.59021940111805</v>
      </c>
    </row>
    <row r="446" spans="1:4" x14ac:dyDescent="0.25">
      <c r="A446">
        <v>442</v>
      </c>
      <c r="B446" s="17">
        <v>-141.08293206923196</v>
      </c>
      <c r="C446" s="17">
        <v>214.2673086892288</v>
      </c>
      <c r="D446" s="17">
        <v>155.59021940111805</v>
      </c>
    </row>
    <row r="447" spans="1:4" x14ac:dyDescent="0.25">
      <c r="A447">
        <v>443</v>
      </c>
      <c r="B447" s="17">
        <v>-141.08293206923196</v>
      </c>
      <c r="C447" s="17">
        <v>257.8887716547232</v>
      </c>
      <c r="D447" s="17">
        <v>155.59021940111805</v>
      </c>
    </row>
    <row r="448" spans="1:4" x14ac:dyDescent="0.25">
      <c r="A448">
        <v>444</v>
      </c>
      <c r="B448" s="17">
        <v>-146.43317282769277</v>
      </c>
      <c r="C448" s="17">
        <v>257.8887716547232</v>
      </c>
      <c r="D448" s="17">
        <v>155.59021940111805</v>
      </c>
    </row>
    <row r="449" spans="1:4" x14ac:dyDescent="0.25">
      <c r="A449">
        <v>445</v>
      </c>
      <c r="B449" s="17">
        <v>-152.81170986219837</v>
      </c>
      <c r="C449" s="17">
        <v>349.726821034064</v>
      </c>
      <c r="D449" s="17">
        <v>699.8818011109744</v>
      </c>
    </row>
    <row r="450" spans="1:4" x14ac:dyDescent="0.25">
      <c r="A450">
        <v>446</v>
      </c>
      <c r="B450" s="17">
        <v>-187.9980432410976</v>
      </c>
      <c r="C450" s="17">
        <v>349.726821034064</v>
      </c>
      <c r="D450" s="17">
        <v>699.8818011109744</v>
      </c>
    </row>
    <row r="451" spans="1:4" x14ac:dyDescent="0.25">
      <c r="A451">
        <v>447</v>
      </c>
      <c r="B451" s="17">
        <v>-158.16195062065918</v>
      </c>
      <c r="C451" s="17">
        <v>319.8907284136256</v>
      </c>
      <c r="D451" s="17">
        <v>699.8818011109744</v>
      </c>
    </row>
    <row r="452" spans="1:4" x14ac:dyDescent="0.25">
      <c r="A452">
        <v>448</v>
      </c>
      <c r="B452" s="17">
        <v>-142.86634565538557</v>
      </c>
      <c r="C452" s="17">
        <v>335.1863333788992</v>
      </c>
      <c r="D452" s="17">
        <v>49.17003352706367</v>
      </c>
    </row>
    <row r="453" spans="1:4" x14ac:dyDescent="0.25">
      <c r="A453">
        <v>449</v>
      </c>
      <c r="B453" s="17">
        <v>-148.2165864138464</v>
      </c>
      <c r="C453" s="17">
        <v>305.3502407584608</v>
      </c>
      <c r="D453" s="17">
        <v>49.17003352706367</v>
      </c>
    </row>
    <row r="454" spans="1:4" x14ac:dyDescent="0.25">
      <c r="A454">
        <v>450</v>
      </c>
      <c r="B454" s="17">
        <v>-148.2165864138464</v>
      </c>
      <c r="C454" s="17">
        <v>291.56487041340483</v>
      </c>
      <c r="D454" s="17">
        <v>49.17003352706367</v>
      </c>
    </row>
    <row r="455" spans="1:4" x14ac:dyDescent="0.25">
      <c r="A455">
        <v>451</v>
      </c>
      <c r="B455" s="17">
        <v>-146.43317282769277</v>
      </c>
      <c r="C455" s="17">
        <v>286.9697469650528</v>
      </c>
      <c r="D455" s="17">
        <v>155.59021940111805</v>
      </c>
    </row>
    <row r="456" spans="1:4" x14ac:dyDescent="0.25">
      <c r="A456">
        <v>452</v>
      </c>
      <c r="B456" s="17">
        <v>-141.08293206923196</v>
      </c>
      <c r="C456" s="17">
        <v>286.9697469650528</v>
      </c>
      <c r="D456" s="17">
        <v>155.59021940111805</v>
      </c>
    </row>
    <row r="457" spans="1:4" x14ac:dyDescent="0.25">
      <c r="A457">
        <v>453</v>
      </c>
      <c r="B457" s="17">
        <v>-141.08293206923196</v>
      </c>
      <c r="C457" s="17">
        <v>330.5912099305472</v>
      </c>
      <c r="D457" s="17">
        <v>155.59021940111805</v>
      </c>
    </row>
    <row r="458" spans="1:4" x14ac:dyDescent="0.25">
      <c r="A458">
        <v>454</v>
      </c>
      <c r="B458" s="17">
        <v>-223.73073455186878</v>
      </c>
      <c r="C458" s="17">
        <v>420.64584572373445</v>
      </c>
      <c r="D458" s="17">
        <v>197.86752115210268</v>
      </c>
    </row>
    <row r="459" spans="1:4" x14ac:dyDescent="0.25">
      <c r="A459">
        <v>455</v>
      </c>
      <c r="B459" s="17">
        <v>-223.73073455186878</v>
      </c>
      <c r="C459" s="17">
        <v>385.4595123448352</v>
      </c>
      <c r="D459" s="17">
        <v>197.86752115210268</v>
      </c>
    </row>
    <row r="460" spans="1:4" x14ac:dyDescent="0.25">
      <c r="A460">
        <v>456</v>
      </c>
      <c r="B460" s="17">
        <v>-215.2956049652736</v>
      </c>
      <c r="C460" s="17">
        <v>377.02438275824</v>
      </c>
      <c r="D460" s="17">
        <v>197.86752115210268</v>
      </c>
    </row>
    <row r="461" spans="1:4" x14ac:dyDescent="0.25">
      <c r="A461">
        <v>457</v>
      </c>
      <c r="B461" s="17">
        <v>-209.19024689670397</v>
      </c>
      <c r="C461" s="17">
        <v>417.8341358615361</v>
      </c>
      <c r="D461" s="17">
        <v>1023.252892252795</v>
      </c>
    </row>
    <row r="462" spans="1:4" x14ac:dyDescent="0.25">
      <c r="A462">
        <v>458</v>
      </c>
      <c r="B462" s="17">
        <v>-200.7551173101088</v>
      </c>
      <c r="C462" s="17">
        <v>374.2126728960416</v>
      </c>
      <c r="D462" s="17">
        <v>1023.252892252795</v>
      </c>
    </row>
    <row r="463" spans="1:4" x14ac:dyDescent="0.25">
      <c r="A463">
        <v>459</v>
      </c>
      <c r="B463" s="17">
        <v>-165.56878393120957</v>
      </c>
      <c r="C463" s="17">
        <v>374.2126728960416</v>
      </c>
      <c r="D463" s="17">
        <v>1023.252892252795</v>
      </c>
    </row>
    <row r="464" spans="1:4" x14ac:dyDescent="0.25">
      <c r="A464">
        <v>460</v>
      </c>
      <c r="B464" s="17">
        <v>-153.84000613824315</v>
      </c>
      <c r="C464" s="17">
        <v>388.7531605512064</v>
      </c>
      <c r="D464" s="17">
        <v>1268.5546874999998</v>
      </c>
    </row>
    <row r="465" spans="1:4" x14ac:dyDescent="0.25">
      <c r="A465">
        <v>461</v>
      </c>
      <c r="B465" s="17">
        <v>-153.84000613824315</v>
      </c>
      <c r="C465" s="17">
        <v>432.37462351670086</v>
      </c>
      <c r="D465" s="17">
        <v>1268.5546874999998</v>
      </c>
    </row>
    <row r="466" spans="1:4" x14ac:dyDescent="0.25">
      <c r="A466">
        <v>462</v>
      </c>
      <c r="B466" s="17">
        <v>-197.46146910373756</v>
      </c>
      <c r="C466" s="17">
        <v>432.3746235167008</v>
      </c>
      <c r="D466" s="17">
        <v>1268.5546874999998</v>
      </c>
    </row>
    <row r="467" spans="1:4" x14ac:dyDescent="0.25">
      <c r="A467">
        <v>463</v>
      </c>
      <c r="B467" s="17">
        <v>-212.00195675890237</v>
      </c>
      <c r="C467" s="17">
        <v>505.07706179252483</v>
      </c>
      <c r="D467" s="17">
        <v>1268.5546874999998</v>
      </c>
    </row>
    <row r="468" spans="1:4" x14ac:dyDescent="0.25">
      <c r="A468">
        <v>464</v>
      </c>
      <c r="B468" s="17">
        <v>-212.00195675890237</v>
      </c>
      <c r="C468" s="17">
        <v>461.4555988270304</v>
      </c>
      <c r="D468" s="17">
        <v>1268.5546874999998</v>
      </c>
    </row>
    <row r="469" spans="1:4" x14ac:dyDescent="0.25">
      <c r="A469">
        <v>465</v>
      </c>
      <c r="B469" s="17">
        <v>-168.38049379340796</v>
      </c>
      <c r="C469" s="17">
        <v>461.4555988270304</v>
      </c>
      <c r="D469" s="17">
        <v>1268.5546874999998</v>
      </c>
    </row>
    <row r="470" spans="1:4" x14ac:dyDescent="0.25">
      <c r="A470">
        <v>466</v>
      </c>
      <c r="B470" s="17">
        <v>-153.84000613824315</v>
      </c>
      <c r="C470" s="17">
        <v>475.9960864821952</v>
      </c>
      <c r="D470" s="17">
        <v>1268.5546874999998</v>
      </c>
    </row>
    <row r="471" spans="1:4" x14ac:dyDescent="0.25">
      <c r="A471">
        <v>467</v>
      </c>
      <c r="B471" s="17">
        <v>-153.84000613824315</v>
      </c>
      <c r="C471" s="17">
        <v>519.6175494476896</v>
      </c>
      <c r="D471" s="17">
        <v>1268.5546874999998</v>
      </c>
    </row>
    <row r="472" spans="1:4" x14ac:dyDescent="0.25">
      <c r="A472">
        <v>468</v>
      </c>
      <c r="B472" s="17">
        <v>-197.46146910373756</v>
      </c>
      <c r="C472" s="17">
        <v>519.6175494476896</v>
      </c>
      <c r="D472" s="17">
        <v>1268.5546874999998</v>
      </c>
    </row>
    <row r="473" spans="1:4" x14ac:dyDescent="0.25">
      <c r="A473">
        <v>469</v>
      </c>
      <c r="B473" s="17">
        <v>-212.00195675890237</v>
      </c>
      <c r="C473" s="17">
        <v>578.0526790342848</v>
      </c>
      <c r="D473" s="17">
        <v>957.3742486977636</v>
      </c>
    </row>
    <row r="474" spans="1:4" x14ac:dyDescent="0.25">
      <c r="A474">
        <v>470</v>
      </c>
      <c r="B474" s="17">
        <v>-212.00195675890237</v>
      </c>
      <c r="C474" s="17">
        <v>545.131697585712</v>
      </c>
      <c r="D474" s="17">
        <v>957.3742486977636</v>
      </c>
    </row>
    <row r="475" spans="1:4" x14ac:dyDescent="0.25">
      <c r="A475">
        <v>471</v>
      </c>
      <c r="B475" s="17">
        <v>-168.38049379340796</v>
      </c>
      <c r="C475" s="17">
        <v>545.131697585712</v>
      </c>
      <c r="D475" s="17">
        <v>957.3742486977636</v>
      </c>
    </row>
    <row r="476" spans="1:4" x14ac:dyDescent="0.25">
      <c r="A476">
        <v>472</v>
      </c>
      <c r="B476" s="17">
        <v>-153.84000613824315</v>
      </c>
      <c r="C476" s="17">
        <v>556.1053580685696</v>
      </c>
      <c r="D476" s="17">
        <v>957.3742486977636</v>
      </c>
    </row>
    <row r="477" spans="1:4" x14ac:dyDescent="0.25">
      <c r="A477">
        <v>473</v>
      </c>
      <c r="B477" s="17">
        <v>-153.84000613824315</v>
      </c>
      <c r="C477" s="17">
        <v>589.0263395171423</v>
      </c>
      <c r="D477" s="17">
        <v>957.3742486977636</v>
      </c>
    </row>
    <row r="478" spans="1:4" x14ac:dyDescent="0.25">
      <c r="A478">
        <v>474</v>
      </c>
      <c r="B478" s="17">
        <v>-197.46146910373756</v>
      </c>
      <c r="C478" s="17">
        <v>589.0263395171423</v>
      </c>
      <c r="D478" s="17">
        <v>957.3742486977636</v>
      </c>
    </row>
    <row r="479" spans="1:4" x14ac:dyDescent="0.25">
      <c r="A479">
        <v>475</v>
      </c>
      <c r="B479" s="17">
        <v>-124.75903082791355</v>
      </c>
      <c r="C479" s="17">
        <v>-541.8380493793408</v>
      </c>
      <c r="D479" s="17">
        <v>1268.5546874999998</v>
      </c>
    </row>
    <row r="480" spans="1:4" x14ac:dyDescent="0.25">
      <c r="A480">
        <v>476</v>
      </c>
      <c r="B480" s="17">
        <v>-124.75903082791355</v>
      </c>
      <c r="C480" s="17">
        <v>-585.4595123448352</v>
      </c>
      <c r="D480" s="17">
        <v>1268.5546874999998</v>
      </c>
    </row>
    <row r="481" spans="1:4" x14ac:dyDescent="0.25">
      <c r="A481">
        <v>477</v>
      </c>
      <c r="B481" s="17">
        <v>-81.13756786241916</v>
      </c>
      <c r="C481" s="17">
        <v>-585.4595123448352</v>
      </c>
      <c r="D481" s="17">
        <v>1268.5546874999998</v>
      </c>
    </row>
    <row r="482" spans="1:4" x14ac:dyDescent="0.25">
      <c r="A482">
        <v>478</v>
      </c>
      <c r="B482" s="17">
        <v>-66.59708020725435</v>
      </c>
      <c r="C482" s="17">
        <v>-570.9190246896703</v>
      </c>
      <c r="D482" s="17">
        <v>1268.5546874999998</v>
      </c>
    </row>
    <row r="483" spans="1:4" x14ac:dyDescent="0.25">
      <c r="A483">
        <v>479</v>
      </c>
      <c r="B483" s="17">
        <v>-66.59708020725435</v>
      </c>
      <c r="C483" s="17">
        <v>-527.2975617241759</v>
      </c>
      <c r="D483" s="17">
        <v>1268.5546874999998</v>
      </c>
    </row>
    <row r="484" spans="1:4" x14ac:dyDescent="0.25">
      <c r="A484">
        <v>480</v>
      </c>
      <c r="B484" s="17">
        <v>-110.21854317274875</v>
      </c>
      <c r="C484" s="17">
        <v>-527.2975617241759</v>
      </c>
      <c r="D484" s="17">
        <v>1268.5546874999998</v>
      </c>
    </row>
    <row r="485" spans="1:4" x14ac:dyDescent="0.25">
      <c r="A485">
        <v>481</v>
      </c>
      <c r="B485" s="17">
        <v>-124.75903082791355</v>
      </c>
      <c r="C485" s="17">
        <v>-454.59512344835196</v>
      </c>
      <c r="D485" s="17">
        <v>1268.5546874999998</v>
      </c>
    </row>
    <row r="486" spans="1:4" x14ac:dyDescent="0.25">
      <c r="A486">
        <v>482</v>
      </c>
      <c r="B486" s="17">
        <v>-124.75903082791355</v>
      </c>
      <c r="C486" s="17">
        <v>-498.21658641384636</v>
      </c>
      <c r="D486" s="17">
        <v>1268.5546874999998</v>
      </c>
    </row>
    <row r="487" spans="1:4" x14ac:dyDescent="0.25">
      <c r="A487">
        <v>483</v>
      </c>
      <c r="B487" s="17">
        <v>-81.13756786241916</v>
      </c>
      <c r="C487" s="17">
        <v>-498.21658641384636</v>
      </c>
      <c r="D487" s="17">
        <v>1268.5546874999998</v>
      </c>
    </row>
    <row r="488" spans="1:4" x14ac:dyDescent="0.25">
      <c r="A488">
        <v>484</v>
      </c>
      <c r="B488" s="17">
        <v>-66.59708020725435</v>
      </c>
      <c r="C488" s="17">
        <v>-483.6760987586815</v>
      </c>
      <c r="D488" s="17">
        <v>1268.5546874999998</v>
      </c>
    </row>
    <row r="489" spans="1:4" x14ac:dyDescent="0.25">
      <c r="A489">
        <v>485</v>
      </c>
      <c r="B489" s="17">
        <v>-66.59708020725435</v>
      </c>
      <c r="C489" s="17">
        <v>-440.0546357931872</v>
      </c>
      <c r="D489" s="17">
        <v>1268.5546874999998</v>
      </c>
    </row>
    <row r="490" spans="1:4" x14ac:dyDescent="0.25">
      <c r="A490">
        <v>486</v>
      </c>
      <c r="B490" s="17">
        <v>-110.21854317274875</v>
      </c>
      <c r="C490" s="17">
        <v>-440.0546357931872</v>
      </c>
      <c r="D490" s="17">
        <v>1268.5546874999998</v>
      </c>
    </row>
    <row r="491" spans="1:4" x14ac:dyDescent="0.25">
      <c r="A491">
        <v>487</v>
      </c>
      <c r="B491" s="17">
        <v>-124.75903082791355</v>
      </c>
      <c r="C491" s="17">
        <v>-367.35219751736315</v>
      </c>
      <c r="D491" s="17">
        <v>1268.5546874999998</v>
      </c>
    </row>
    <row r="492" spans="1:4" x14ac:dyDescent="0.25">
      <c r="A492">
        <v>488</v>
      </c>
      <c r="B492" s="17">
        <v>-124.75903082791355</v>
      </c>
      <c r="C492" s="17">
        <v>-410.97366048285755</v>
      </c>
      <c r="D492" s="17">
        <v>1268.5546874999998</v>
      </c>
    </row>
    <row r="493" spans="1:4" x14ac:dyDescent="0.25">
      <c r="A493">
        <v>489</v>
      </c>
      <c r="B493" s="17">
        <v>-81.13756786241916</v>
      </c>
      <c r="C493" s="17">
        <v>-410.97366048285755</v>
      </c>
      <c r="D493" s="17">
        <v>1268.5546874999998</v>
      </c>
    </row>
    <row r="494" spans="1:4" x14ac:dyDescent="0.25">
      <c r="A494">
        <v>490</v>
      </c>
      <c r="B494" s="17">
        <v>-66.59708020725435</v>
      </c>
      <c r="C494" s="17">
        <v>-396.4331728276928</v>
      </c>
      <c r="D494" s="17">
        <v>1268.5546874999998</v>
      </c>
    </row>
    <row r="495" spans="1:4" x14ac:dyDescent="0.25">
      <c r="A495">
        <v>491</v>
      </c>
      <c r="B495" s="17">
        <v>-66.59708020725435</v>
      </c>
      <c r="C495" s="17">
        <v>-352.81170986219837</v>
      </c>
      <c r="D495" s="17">
        <v>1268.5546874999998</v>
      </c>
    </row>
    <row r="496" spans="1:4" x14ac:dyDescent="0.25">
      <c r="A496">
        <v>492</v>
      </c>
      <c r="B496" s="17">
        <v>-110.21854317274875</v>
      </c>
      <c r="C496" s="17">
        <v>-352.81170986219837</v>
      </c>
      <c r="D496" s="17">
        <v>1268.5546874999998</v>
      </c>
    </row>
    <row r="497" spans="1:4" x14ac:dyDescent="0.25">
      <c r="A497">
        <v>493</v>
      </c>
      <c r="B497" s="17">
        <v>-124.75903082791355</v>
      </c>
      <c r="C497" s="17">
        <v>-280.10927158637435</v>
      </c>
      <c r="D497" s="17">
        <v>1268.5546874999998</v>
      </c>
    </row>
    <row r="498" spans="1:4" x14ac:dyDescent="0.25">
      <c r="A498">
        <v>494</v>
      </c>
      <c r="B498" s="17">
        <v>-124.75903082791355</v>
      </c>
      <c r="C498" s="17">
        <v>-323.7307345518688</v>
      </c>
      <c r="D498" s="17">
        <v>1268.5546874999998</v>
      </c>
    </row>
    <row r="499" spans="1:4" x14ac:dyDescent="0.25">
      <c r="A499">
        <v>495</v>
      </c>
      <c r="B499" s="17">
        <v>-81.13756786241916</v>
      </c>
      <c r="C499" s="17">
        <v>-323.73073455186875</v>
      </c>
      <c r="D499" s="17">
        <v>1268.5546874999998</v>
      </c>
    </row>
    <row r="500" spans="1:4" x14ac:dyDescent="0.25">
      <c r="A500">
        <v>496</v>
      </c>
      <c r="B500" s="17">
        <v>-66.59708020725435</v>
      </c>
      <c r="C500" s="17">
        <v>-309.190246896704</v>
      </c>
      <c r="D500" s="17">
        <v>1268.5546874999998</v>
      </c>
    </row>
    <row r="501" spans="1:4" x14ac:dyDescent="0.25">
      <c r="A501">
        <v>497</v>
      </c>
      <c r="B501" s="17">
        <v>-66.59708020725435</v>
      </c>
      <c r="C501" s="17">
        <v>-265.56878393120957</v>
      </c>
      <c r="D501" s="17">
        <v>1268.5546874999998</v>
      </c>
    </row>
    <row r="502" spans="1:4" x14ac:dyDescent="0.25">
      <c r="A502">
        <v>498</v>
      </c>
      <c r="B502" s="17">
        <v>-110.21854317274875</v>
      </c>
      <c r="C502" s="17">
        <v>-265.56878393120957</v>
      </c>
      <c r="D502" s="17">
        <v>1268.5546874999998</v>
      </c>
    </row>
    <row r="503" spans="1:4" x14ac:dyDescent="0.25">
      <c r="A503">
        <v>499</v>
      </c>
      <c r="B503" s="17">
        <v>-124.75903082791355</v>
      </c>
      <c r="C503" s="17">
        <v>-192.86634565538557</v>
      </c>
      <c r="D503" s="17">
        <v>1268.5546874999998</v>
      </c>
    </row>
    <row r="504" spans="1:4" x14ac:dyDescent="0.25">
      <c r="A504">
        <v>500</v>
      </c>
      <c r="B504" s="17">
        <v>-124.75903082791355</v>
      </c>
      <c r="C504" s="17">
        <v>-236.48780862087997</v>
      </c>
      <c r="D504" s="17">
        <v>1268.5546874999998</v>
      </c>
    </row>
    <row r="505" spans="1:4" x14ac:dyDescent="0.25">
      <c r="A505">
        <v>501</v>
      </c>
      <c r="B505" s="17">
        <v>-81.13756786241916</v>
      </c>
      <c r="C505" s="17">
        <v>-236.48780862087997</v>
      </c>
      <c r="D505" s="17">
        <v>1268.5546874999998</v>
      </c>
    </row>
    <row r="506" spans="1:4" x14ac:dyDescent="0.25">
      <c r="A506">
        <v>502</v>
      </c>
      <c r="B506" s="17">
        <v>-66.59708020725435</v>
      </c>
      <c r="C506" s="17">
        <v>-221.9473209657152</v>
      </c>
      <c r="D506" s="17">
        <v>1268.5546874999998</v>
      </c>
    </row>
    <row r="507" spans="1:4" x14ac:dyDescent="0.25">
      <c r="A507">
        <v>503</v>
      </c>
      <c r="B507" s="17">
        <v>-66.59708020725435</v>
      </c>
      <c r="C507" s="17">
        <v>-178.3258580002208</v>
      </c>
      <c r="D507" s="17">
        <v>1268.5546874999998</v>
      </c>
    </row>
    <row r="508" spans="1:4" x14ac:dyDescent="0.25">
      <c r="A508">
        <v>504</v>
      </c>
      <c r="B508" s="17">
        <v>-110.21854317274875</v>
      </c>
      <c r="C508" s="17">
        <v>-178.32585800022076</v>
      </c>
      <c r="D508" s="17">
        <v>1268.5546874999998</v>
      </c>
    </row>
    <row r="509" spans="1:4" x14ac:dyDescent="0.25">
      <c r="A509">
        <v>505</v>
      </c>
      <c r="B509" s="17">
        <v>-124.75903082791355</v>
      </c>
      <c r="C509" s="17">
        <v>-105.62341972439677</v>
      </c>
      <c r="D509" s="17">
        <v>1268.5546874999998</v>
      </c>
    </row>
    <row r="510" spans="1:4" x14ac:dyDescent="0.25">
      <c r="A510">
        <v>506</v>
      </c>
      <c r="B510" s="17">
        <v>-124.75903082791355</v>
      </c>
      <c r="C510" s="17">
        <v>-149.24488268989117</v>
      </c>
      <c r="D510" s="17">
        <v>1268.5546874999998</v>
      </c>
    </row>
    <row r="511" spans="1:4" x14ac:dyDescent="0.25">
      <c r="A511">
        <v>507</v>
      </c>
      <c r="B511" s="17">
        <v>-81.13756786241916</v>
      </c>
      <c r="C511" s="17">
        <v>-149.24488268989117</v>
      </c>
      <c r="D511" s="17">
        <v>1268.5546874999998</v>
      </c>
    </row>
    <row r="512" spans="1:4" x14ac:dyDescent="0.25">
      <c r="A512">
        <v>508</v>
      </c>
      <c r="B512" s="17">
        <v>-66.59708020725435</v>
      </c>
      <c r="C512" s="17">
        <v>-134.70439503472636</v>
      </c>
      <c r="D512" s="17">
        <v>1268.5546874999998</v>
      </c>
    </row>
    <row r="513" spans="1:4" x14ac:dyDescent="0.25">
      <c r="A513">
        <v>509</v>
      </c>
      <c r="B513" s="17">
        <v>-66.59708020725435</v>
      </c>
      <c r="C513" s="17">
        <v>-91.08293206923197</v>
      </c>
      <c r="D513" s="17">
        <v>1268.5546874999998</v>
      </c>
    </row>
    <row r="514" spans="1:4" x14ac:dyDescent="0.25">
      <c r="A514">
        <v>510</v>
      </c>
      <c r="B514" s="17">
        <v>-110.21854317274875</v>
      </c>
      <c r="C514" s="17">
        <v>-91.08293206923197</v>
      </c>
      <c r="D514" s="17">
        <v>1268.5546874999998</v>
      </c>
    </row>
    <row r="515" spans="1:4" x14ac:dyDescent="0.25">
      <c r="A515">
        <v>511</v>
      </c>
      <c r="B515" s="17">
        <v>-124.75903082791355</v>
      </c>
      <c r="C515" s="17">
        <v>-18.380493793407975</v>
      </c>
      <c r="D515" s="17">
        <v>1268.5546874999998</v>
      </c>
    </row>
    <row r="516" spans="1:4" x14ac:dyDescent="0.25">
      <c r="A516">
        <v>512</v>
      </c>
      <c r="B516" s="17">
        <v>-124.75903082791355</v>
      </c>
      <c r="C516" s="17">
        <v>-62.001956758902374</v>
      </c>
      <c r="D516" s="17">
        <v>1268.5546874999998</v>
      </c>
    </row>
    <row r="517" spans="1:4" x14ac:dyDescent="0.25">
      <c r="A517">
        <v>513</v>
      </c>
      <c r="B517" s="17">
        <v>-81.13756786241916</v>
      </c>
      <c r="C517" s="17">
        <v>-62.001956758902374</v>
      </c>
      <c r="D517" s="17">
        <v>1268.5546874999998</v>
      </c>
    </row>
    <row r="518" spans="1:4" x14ac:dyDescent="0.25">
      <c r="A518">
        <v>514</v>
      </c>
      <c r="B518" s="17">
        <v>-66.59708020725435</v>
      </c>
      <c r="C518" s="17">
        <v>-47.46146910373757</v>
      </c>
      <c r="D518" s="17">
        <v>1268.5546874999998</v>
      </c>
    </row>
    <row r="519" spans="1:4" x14ac:dyDescent="0.25">
      <c r="A519">
        <v>515</v>
      </c>
      <c r="B519" s="17">
        <v>-66.59708020725435</v>
      </c>
      <c r="C519" s="17">
        <v>-3.840006138243174</v>
      </c>
      <c r="D519" s="17">
        <v>1268.5546874999998</v>
      </c>
    </row>
    <row r="520" spans="1:4" x14ac:dyDescent="0.25">
      <c r="A520">
        <v>516</v>
      </c>
      <c r="B520" s="17">
        <v>-110.21854317274875</v>
      </c>
      <c r="C520" s="17">
        <v>-3.840006138243173</v>
      </c>
      <c r="D520" s="17">
        <v>1268.5546874999998</v>
      </c>
    </row>
    <row r="521" spans="1:4" x14ac:dyDescent="0.25">
      <c r="A521">
        <v>517</v>
      </c>
      <c r="B521" s="17">
        <v>-124.75903082791355</v>
      </c>
      <c r="C521" s="17">
        <v>68.86243213758081</v>
      </c>
      <c r="D521" s="17">
        <v>1268.5546874999998</v>
      </c>
    </row>
    <row r="522" spans="1:4" x14ac:dyDescent="0.25">
      <c r="A522">
        <v>518</v>
      </c>
      <c r="B522" s="17">
        <v>-124.75903082791355</v>
      </c>
      <c r="C522" s="17">
        <v>25.240969172086423</v>
      </c>
      <c r="D522" s="17">
        <v>1268.5546874999998</v>
      </c>
    </row>
    <row r="523" spans="1:4" x14ac:dyDescent="0.25">
      <c r="A523">
        <v>519</v>
      </c>
      <c r="B523" s="17">
        <v>-81.13756786241916</v>
      </c>
      <c r="C523" s="17">
        <v>25.240969172086423</v>
      </c>
      <c r="D523" s="17">
        <v>1268.5546874999998</v>
      </c>
    </row>
    <row r="524" spans="1:4" x14ac:dyDescent="0.25">
      <c r="A524">
        <v>520</v>
      </c>
      <c r="B524" s="17">
        <v>-66.59708020725435</v>
      </c>
      <c r="C524" s="17">
        <v>39.78145682725122</v>
      </c>
      <c r="D524" s="17">
        <v>1268.5546874999998</v>
      </c>
    </row>
    <row r="525" spans="1:4" x14ac:dyDescent="0.25">
      <c r="A525">
        <v>521</v>
      </c>
      <c r="B525" s="17">
        <v>-66.59708020725435</v>
      </c>
      <c r="C525" s="17">
        <v>83.40291979274562</v>
      </c>
      <c r="D525" s="17">
        <v>1268.5546874999998</v>
      </c>
    </row>
    <row r="526" spans="1:4" x14ac:dyDescent="0.25">
      <c r="A526">
        <v>522</v>
      </c>
      <c r="B526" s="17">
        <v>-110.21854317274875</v>
      </c>
      <c r="C526" s="17">
        <v>83.40291979274562</v>
      </c>
      <c r="D526" s="17">
        <v>1268.5546874999998</v>
      </c>
    </row>
    <row r="527" spans="1:4" x14ac:dyDescent="0.25">
      <c r="A527">
        <v>523</v>
      </c>
      <c r="B527" s="17">
        <v>-124.75903082791355</v>
      </c>
      <c r="C527" s="17">
        <v>156.10535806856961</v>
      </c>
      <c r="D527" s="17">
        <v>1268.5546874999998</v>
      </c>
    </row>
    <row r="528" spans="1:4" x14ac:dyDescent="0.25">
      <c r="A528">
        <v>524</v>
      </c>
      <c r="B528" s="17">
        <v>-124.75903082791355</v>
      </c>
      <c r="C528" s="17">
        <v>112.48389510307521</v>
      </c>
      <c r="D528" s="17">
        <v>1268.5546874999998</v>
      </c>
    </row>
    <row r="529" spans="1:4" x14ac:dyDescent="0.25">
      <c r="A529">
        <v>525</v>
      </c>
      <c r="B529" s="17">
        <v>-81.13756786241916</v>
      </c>
      <c r="C529" s="17">
        <v>112.48389510307521</v>
      </c>
      <c r="D529" s="17">
        <v>1268.5546874999998</v>
      </c>
    </row>
    <row r="530" spans="1:4" x14ac:dyDescent="0.25">
      <c r="A530">
        <v>526</v>
      </c>
      <c r="B530" s="17">
        <v>-66.59708020725435</v>
      </c>
      <c r="C530" s="17">
        <v>127.02438275824002</v>
      </c>
      <c r="D530" s="17">
        <v>1268.5546874999998</v>
      </c>
    </row>
    <row r="531" spans="1:4" x14ac:dyDescent="0.25">
      <c r="A531">
        <v>527</v>
      </c>
      <c r="B531" s="17">
        <v>-66.59708020725435</v>
      </c>
      <c r="C531" s="17">
        <v>170.64584572373442</v>
      </c>
      <c r="D531" s="17">
        <v>1268.5546874999998</v>
      </c>
    </row>
    <row r="532" spans="1:4" x14ac:dyDescent="0.25">
      <c r="A532">
        <v>528</v>
      </c>
      <c r="B532" s="17">
        <v>-110.21854317274875</v>
      </c>
      <c r="C532" s="17">
        <v>170.64584572373442</v>
      </c>
      <c r="D532" s="17">
        <v>1268.5546874999998</v>
      </c>
    </row>
    <row r="533" spans="1:4" x14ac:dyDescent="0.25">
      <c r="A533">
        <v>529</v>
      </c>
      <c r="B533" s="17">
        <v>-124.75903082791355</v>
      </c>
      <c r="C533" s="17">
        <v>243.34828399955842</v>
      </c>
      <c r="D533" s="17">
        <v>1268.5546874999998</v>
      </c>
    </row>
    <row r="534" spans="1:4" x14ac:dyDescent="0.25">
      <c r="A534">
        <v>530</v>
      </c>
      <c r="B534" s="17">
        <v>-124.75903082791355</v>
      </c>
      <c r="C534" s="17">
        <v>199.72682103406402</v>
      </c>
      <c r="D534" s="17">
        <v>1268.5546874999998</v>
      </c>
    </row>
    <row r="535" spans="1:4" x14ac:dyDescent="0.25">
      <c r="A535">
        <v>531</v>
      </c>
      <c r="B535" s="17">
        <v>-81.13756786241916</v>
      </c>
      <c r="C535" s="17">
        <v>199.72682103406402</v>
      </c>
      <c r="D535" s="17">
        <v>1268.5546874999998</v>
      </c>
    </row>
    <row r="536" spans="1:4" x14ac:dyDescent="0.25">
      <c r="A536">
        <v>532</v>
      </c>
      <c r="B536" s="17">
        <v>-66.59708020725435</v>
      </c>
      <c r="C536" s="17">
        <v>214.2673086892288</v>
      </c>
      <c r="D536" s="17">
        <v>1268.5546874999998</v>
      </c>
    </row>
    <row r="537" spans="1:4" x14ac:dyDescent="0.25">
      <c r="A537">
        <v>533</v>
      </c>
      <c r="B537" s="17">
        <v>-66.59708020725435</v>
      </c>
      <c r="C537" s="17">
        <v>257.8887716547232</v>
      </c>
      <c r="D537" s="17">
        <v>1268.5546874999998</v>
      </c>
    </row>
    <row r="538" spans="1:4" x14ac:dyDescent="0.25">
      <c r="A538">
        <v>534</v>
      </c>
      <c r="B538" s="17">
        <v>-110.21854317274875</v>
      </c>
      <c r="C538" s="17">
        <v>257.8887716547232</v>
      </c>
      <c r="D538" s="17">
        <v>1268.5546874999998</v>
      </c>
    </row>
    <row r="539" spans="1:4" x14ac:dyDescent="0.25">
      <c r="A539">
        <v>535</v>
      </c>
      <c r="B539" s="17">
        <v>-124.75903082791355</v>
      </c>
      <c r="C539" s="17">
        <v>330.5912099305472</v>
      </c>
      <c r="D539" s="17">
        <v>1268.5546874999998</v>
      </c>
    </row>
    <row r="540" spans="1:4" x14ac:dyDescent="0.25">
      <c r="A540">
        <v>536</v>
      </c>
      <c r="B540" s="17">
        <v>-124.75903082791355</v>
      </c>
      <c r="C540" s="17">
        <v>286.9697469650528</v>
      </c>
      <c r="D540" s="17">
        <v>1268.5546874999998</v>
      </c>
    </row>
    <row r="541" spans="1:4" x14ac:dyDescent="0.25">
      <c r="A541">
        <v>537</v>
      </c>
      <c r="B541" s="17">
        <v>-81.13756786241916</v>
      </c>
      <c r="C541" s="17">
        <v>286.9697469650528</v>
      </c>
      <c r="D541" s="17">
        <v>1268.5546874999998</v>
      </c>
    </row>
    <row r="542" spans="1:4" x14ac:dyDescent="0.25">
      <c r="A542">
        <v>538</v>
      </c>
      <c r="B542" s="17">
        <v>-66.59708020725435</v>
      </c>
      <c r="C542" s="17">
        <v>301.5102346202176</v>
      </c>
      <c r="D542" s="17">
        <v>1268.5546874999998</v>
      </c>
    </row>
    <row r="543" spans="1:4" x14ac:dyDescent="0.25">
      <c r="A543">
        <v>539</v>
      </c>
      <c r="B543" s="17">
        <v>-66.59708020725435</v>
      </c>
      <c r="C543" s="17">
        <v>345.13169758571206</v>
      </c>
      <c r="D543" s="17">
        <v>1268.5546874999998</v>
      </c>
    </row>
    <row r="544" spans="1:4" x14ac:dyDescent="0.25">
      <c r="A544">
        <v>540</v>
      </c>
      <c r="B544" s="17">
        <v>-110.21854317274875</v>
      </c>
      <c r="C544" s="17">
        <v>345.131697585712</v>
      </c>
      <c r="D544" s="17">
        <v>1268.5546874999998</v>
      </c>
    </row>
    <row r="545" spans="1:4" x14ac:dyDescent="0.25">
      <c r="A545">
        <v>541</v>
      </c>
      <c r="B545" s="17">
        <v>-124.75903082791355</v>
      </c>
      <c r="C545" s="17">
        <v>417.8341358615361</v>
      </c>
      <c r="D545" s="17">
        <v>1268.5546874999998</v>
      </c>
    </row>
    <row r="546" spans="1:4" x14ac:dyDescent="0.25">
      <c r="A546">
        <v>542</v>
      </c>
      <c r="B546" s="17">
        <v>-124.75903082791355</v>
      </c>
      <c r="C546" s="17">
        <v>374.2126728960416</v>
      </c>
      <c r="D546" s="17">
        <v>1268.5546874999998</v>
      </c>
    </row>
    <row r="547" spans="1:4" x14ac:dyDescent="0.25">
      <c r="A547">
        <v>543</v>
      </c>
      <c r="B547" s="17">
        <v>-81.13756786241916</v>
      </c>
      <c r="C547" s="17">
        <v>374.2126728960416</v>
      </c>
      <c r="D547" s="17">
        <v>1268.5546874999998</v>
      </c>
    </row>
    <row r="548" spans="1:4" x14ac:dyDescent="0.25">
      <c r="A548">
        <v>544</v>
      </c>
      <c r="B548" s="17">
        <v>-66.59708020725435</v>
      </c>
      <c r="C548" s="17">
        <v>388.7531605512064</v>
      </c>
      <c r="D548" s="17">
        <v>1268.5546874999998</v>
      </c>
    </row>
    <row r="549" spans="1:4" x14ac:dyDescent="0.25">
      <c r="A549">
        <v>545</v>
      </c>
      <c r="B549" s="17">
        <v>-66.59708020725435</v>
      </c>
      <c r="C549" s="17">
        <v>432.37462351670086</v>
      </c>
      <c r="D549" s="17">
        <v>1268.5546874999998</v>
      </c>
    </row>
    <row r="550" spans="1:4" x14ac:dyDescent="0.25">
      <c r="A550">
        <v>546</v>
      </c>
      <c r="B550" s="17">
        <v>-110.21854317274875</v>
      </c>
      <c r="C550" s="17">
        <v>432.3746235167008</v>
      </c>
      <c r="D550" s="17">
        <v>1268.5546874999998</v>
      </c>
    </row>
    <row r="551" spans="1:4" x14ac:dyDescent="0.25">
      <c r="A551">
        <v>547</v>
      </c>
      <c r="B551" s="17">
        <v>-124.75903082791355</v>
      </c>
      <c r="C551" s="17">
        <v>505.07706179252483</v>
      </c>
      <c r="D551" s="17">
        <v>1268.5546874999998</v>
      </c>
    </row>
    <row r="552" spans="1:4" x14ac:dyDescent="0.25">
      <c r="A552">
        <v>548</v>
      </c>
      <c r="B552" s="17">
        <v>-124.75903082791355</v>
      </c>
      <c r="C552" s="17">
        <v>461.4555988270304</v>
      </c>
      <c r="D552" s="17">
        <v>1268.5546874999998</v>
      </c>
    </row>
    <row r="553" spans="1:4" x14ac:dyDescent="0.25">
      <c r="A553">
        <v>549</v>
      </c>
      <c r="B553" s="17">
        <v>-81.13756786241916</v>
      </c>
      <c r="C553" s="17">
        <v>461.4555988270304</v>
      </c>
      <c r="D553" s="17">
        <v>1268.5546874999998</v>
      </c>
    </row>
    <row r="554" spans="1:4" x14ac:dyDescent="0.25">
      <c r="A554">
        <v>550</v>
      </c>
      <c r="B554" s="17">
        <v>-66.59708020725435</v>
      </c>
      <c r="C554" s="17">
        <v>475.9960864821952</v>
      </c>
      <c r="D554" s="17">
        <v>1268.5546874999998</v>
      </c>
    </row>
    <row r="555" spans="1:4" x14ac:dyDescent="0.25">
      <c r="A555">
        <v>551</v>
      </c>
      <c r="B555" s="17">
        <v>-66.59708020725435</v>
      </c>
      <c r="C555" s="17">
        <v>519.6175494476896</v>
      </c>
      <c r="D555" s="17">
        <v>1268.5546874999998</v>
      </c>
    </row>
    <row r="556" spans="1:4" x14ac:dyDescent="0.25">
      <c r="A556">
        <v>552</v>
      </c>
      <c r="B556" s="17">
        <v>-110.21854317274875</v>
      </c>
      <c r="C556" s="17">
        <v>519.6175494476896</v>
      </c>
      <c r="D556" s="17">
        <v>1268.5546874999998</v>
      </c>
    </row>
    <row r="557" spans="1:4" x14ac:dyDescent="0.25">
      <c r="A557">
        <v>553</v>
      </c>
      <c r="B557" s="17">
        <v>-124.75903082791355</v>
      </c>
      <c r="C557" s="17">
        <v>578.0526790342848</v>
      </c>
      <c r="D557" s="17">
        <v>957.3742486977636</v>
      </c>
    </row>
    <row r="558" spans="1:4" x14ac:dyDescent="0.25">
      <c r="A558">
        <v>554</v>
      </c>
      <c r="B558" s="17">
        <v>-124.75903082791355</v>
      </c>
      <c r="C558" s="17">
        <v>545.131697585712</v>
      </c>
      <c r="D558" s="17">
        <v>957.3742486977636</v>
      </c>
    </row>
    <row r="559" spans="1:4" x14ac:dyDescent="0.25">
      <c r="A559">
        <v>555</v>
      </c>
      <c r="B559" s="17">
        <v>-81.13756786241916</v>
      </c>
      <c r="C559" s="17">
        <v>545.131697585712</v>
      </c>
      <c r="D559" s="17">
        <v>957.3742486977636</v>
      </c>
    </row>
    <row r="560" spans="1:4" x14ac:dyDescent="0.25">
      <c r="A560">
        <v>556</v>
      </c>
      <c r="B560" s="17">
        <v>-66.59708020725435</v>
      </c>
      <c r="C560" s="17">
        <v>556.1053580685696</v>
      </c>
      <c r="D560" s="17">
        <v>957.3742486977636</v>
      </c>
    </row>
    <row r="561" spans="1:4" x14ac:dyDescent="0.25">
      <c r="A561">
        <v>557</v>
      </c>
      <c r="B561" s="17">
        <v>-66.59708020725435</v>
      </c>
      <c r="C561" s="17">
        <v>589.0263395171423</v>
      </c>
      <c r="D561" s="17">
        <v>957.3742486977636</v>
      </c>
    </row>
    <row r="562" spans="1:4" x14ac:dyDescent="0.25">
      <c r="A562">
        <v>558</v>
      </c>
      <c r="B562" s="17">
        <v>-110.21854317274875</v>
      </c>
      <c r="C562" s="17">
        <v>589.0263395171423</v>
      </c>
      <c r="D562" s="17">
        <v>957.3742486977636</v>
      </c>
    </row>
    <row r="563" spans="1:4" x14ac:dyDescent="0.25">
      <c r="A563">
        <v>559</v>
      </c>
      <c r="B563" s="17">
        <v>-37.51610489692476</v>
      </c>
      <c r="C563" s="17">
        <v>-541.8380493793408</v>
      </c>
      <c r="D563" s="17">
        <v>1268.5546874999998</v>
      </c>
    </row>
    <row r="564" spans="1:4" x14ac:dyDescent="0.25">
      <c r="A564">
        <v>560</v>
      </c>
      <c r="B564" s="17">
        <v>-37.51610489692476</v>
      </c>
      <c r="C564" s="17">
        <v>-585.4595123448352</v>
      </c>
      <c r="D564" s="17">
        <v>1268.5546874999998</v>
      </c>
    </row>
    <row r="565" spans="1:4" x14ac:dyDescent="0.25">
      <c r="A565">
        <v>561</v>
      </c>
      <c r="B565" s="17">
        <v>6.105358068569636</v>
      </c>
      <c r="C565" s="17">
        <v>-585.4595123448352</v>
      </c>
      <c r="D565" s="17">
        <v>1268.5546874999998</v>
      </c>
    </row>
    <row r="566" spans="1:4" x14ac:dyDescent="0.25">
      <c r="A566">
        <v>562</v>
      </c>
      <c r="B566" s="17">
        <v>20.645845723734435</v>
      </c>
      <c r="C566" s="17">
        <v>-570.9190246896703</v>
      </c>
      <c r="D566" s="17">
        <v>1268.5546874999998</v>
      </c>
    </row>
    <row r="567" spans="1:4" x14ac:dyDescent="0.25">
      <c r="A567">
        <v>563</v>
      </c>
      <c r="B567" s="17">
        <v>20.645845723734435</v>
      </c>
      <c r="C567" s="17">
        <v>-527.2975617241759</v>
      </c>
      <c r="D567" s="17">
        <v>1268.5546874999998</v>
      </c>
    </row>
    <row r="568" spans="1:4" x14ac:dyDescent="0.25">
      <c r="A568">
        <v>564</v>
      </c>
      <c r="B568" s="17">
        <v>-22.975617241759963</v>
      </c>
      <c r="C568" s="17">
        <v>-527.2975617241759</v>
      </c>
      <c r="D568" s="17">
        <v>1268.5546874999998</v>
      </c>
    </row>
    <row r="569" spans="1:4" x14ac:dyDescent="0.25">
      <c r="A569">
        <v>565</v>
      </c>
      <c r="B569" s="17">
        <v>-37.51610489692476</v>
      </c>
      <c r="C569" s="17">
        <v>-454.59512344835196</v>
      </c>
      <c r="D569" s="17">
        <v>1268.5546874999998</v>
      </c>
    </row>
    <row r="570" spans="1:4" x14ac:dyDescent="0.25">
      <c r="A570">
        <v>566</v>
      </c>
      <c r="B570" s="17">
        <v>-37.51610489692476</v>
      </c>
      <c r="C570" s="17">
        <v>-498.21658641384636</v>
      </c>
      <c r="D570" s="17">
        <v>1268.5546874999998</v>
      </c>
    </row>
    <row r="571" spans="1:4" x14ac:dyDescent="0.25">
      <c r="A571">
        <v>567</v>
      </c>
      <c r="B571" s="17">
        <v>6.105358068569636</v>
      </c>
      <c r="C571" s="17">
        <v>-498.21658641384636</v>
      </c>
      <c r="D571" s="17">
        <v>1268.5546874999998</v>
      </c>
    </row>
    <row r="572" spans="1:4" x14ac:dyDescent="0.25">
      <c r="A572">
        <v>568</v>
      </c>
      <c r="B572" s="17">
        <v>20.645845723734435</v>
      </c>
      <c r="C572" s="17">
        <v>-483.6760987586815</v>
      </c>
      <c r="D572" s="17">
        <v>1268.5546874999998</v>
      </c>
    </row>
    <row r="573" spans="1:4" x14ac:dyDescent="0.25">
      <c r="A573">
        <v>569</v>
      </c>
      <c r="B573" s="17">
        <v>20.645845723734435</v>
      </c>
      <c r="C573" s="17">
        <v>-440.0546357931872</v>
      </c>
      <c r="D573" s="17">
        <v>1268.5546874999998</v>
      </c>
    </row>
    <row r="574" spans="1:4" x14ac:dyDescent="0.25">
      <c r="A574">
        <v>570</v>
      </c>
      <c r="B574" s="17">
        <v>-22.975617241759963</v>
      </c>
      <c r="C574" s="17">
        <v>-440.0546357931872</v>
      </c>
      <c r="D574" s="17">
        <v>1268.5546874999998</v>
      </c>
    </row>
    <row r="575" spans="1:4" x14ac:dyDescent="0.25">
      <c r="A575">
        <v>571</v>
      </c>
      <c r="B575" s="17">
        <v>-37.51610489692476</v>
      </c>
      <c r="C575" s="17">
        <v>-367.35219751736315</v>
      </c>
      <c r="D575" s="17">
        <v>1268.5546874999998</v>
      </c>
    </row>
    <row r="576" spans="1:4" x14ac:dyDescent="0.25">
      <c r="A576">
        <v>572</v>
      </c>
      <c r="B576" s="17">
        <v>-37.51610489692476</v>
      </c>
      <c r="C576" s="17">
        <v>-410.97366048285755</v>
      </c>
      <c r="D576" s="17">
        <v>1268.5546874999998</v>
      </c>
    </row>
    <row r="577" spans="1:4" x14ac:dyDescent="0.25">
      <c r="A577">
        <v>573</v>
      </c>
      <c r="B577" s="17">
        <v>6.105358068569636</v>
      </c>
      <c r="C577" s="17">
        <v>-410.97366048285755</v>
      </c>
      <c r="D577" s="17">
        <v>1268.5546874999998</v>
      </c>
    </row>
    <row r="578" spans="1:4" x14ac:dyDescent="0.25">
      <c r="A578">
        <v>574</v>
      </c>
      <c r="B578" s="17">
        <v>20.645845723734435</v>
      </c>
      <c r="C578" s="17">
        <v>-396.4331728276928</v>
      </c>
      <c r="D578" s="17">
        <v>1268.5546874999998</v>
      </c>
    </row>
    <row r="579" spans="1:4" x14ac:dyDescent="0.25">
      <c r="A579">
        <v>575</v>
      </c>
      <c r="B579" s="17">
        <v>20.645845723734435</v>
      </c>
      <c r="C579" s="17">
        <v>-352.81170986219837</v>
      </c>
      <c r="D579" s="17">
        <v>1268.5546874999998</v>
      </c>
    </row>
    <row r="580" spans="1:4" x14ac:dyDescent="0.25">
      <c r="A580">
        <v>576</v>
      </c>
      <c r="B580" s="17">
        <v>-22.975617241759963</v>
      </c>
      <c r="C580" s="17">
        <v>-352.81170986219837</v>
      </c>
      <c r="D580" s="17">
        <v>1268.5546874999998</v>
      </c>
    </row>
    <row r="581" spans="1:4" x14ac:dyDescent="0.25">
      <c r="A581">
        <v>577</v>
      </c>
      <c r="B581" s="17">
        <v>-37.51610489692476</v>
      </c>
      <c r="C581" s="17">
        <v>-280.10927158637435</v>
      </c>
      <c r="D581" s="17">
        <v>1268.5546874999998</v>
      </c>
    </row>
    <row r="582" spans="1:4" x14ac:dyDescent="0.25">
      <c r="A582">
        <v>578</v>
      </c>
      <c r="B582" s="17">
        <v>-37.51610489692476</v>
      </c>
      <c r="C582" s="17">
        <v>-323.7307345518688</v>
      </c>
      <c r="D582" s="17">
        <v>1268.5546874999998</v>
      </c>
    </row>
    <row r="583" spans="1:4" x14ac:dyDescent="0.25">
      <c r="A583">
        <v>579</v>
      </c>
      <c r="B583" s="17">
        <v>6.105358068569636</v>
      </c>
      <c r="C583" s="17">
        <v>-323.73073455186875</v>
      </c>
      <c r="D583" s="17">
        <v>1268.5546874999998</v>
      </c>
    </row>
    <row r="584" spans="1:4" x14ac:dyDescent="0.25">
      <c r="A584">
        <v>580</v>
      </c>
      <c r="B584" s="17">
        <v>20.645845723734435</v>
      </c>
      <c r="C584" s="17">
        <v>-309.190246896704</v>
      </c>
      <c r="D584" s="17">
        <v>1268.5546874999998</v>
      </c>
    </row>
    <row r="585" spans="1:4" x14ac:dyDescent="0.25">
      <c r="A585">
        <v>581</v>
      </c>
      <c r="B585" s="17">
        <v>20.645845723734435</v>
      </c>
      <c r="C585" s="17">
        <v>-265.56878393120957</v>
      </c>
      <c r="D585" s="17">
        <v>1268.5546874999998</v>
      </c>
    </row>
    <row r="586" spans="1:4" x14ac:dyDescent="0.25">
      <c r="A586">
        <v>582</v>
      </c>
      <c r="B586" s="17">
        <v>-22.975617241759963</v>
      </c>
      <c r="C586" s="17">
        <v>-265.56878393120957</v>
      </c>
      <c r="D586" s="17">
        <v>1268.5546874999998</v>
      </c>
    </row>
    <row r="587" spans="1:4" x14ac:dyDescent="0.25">
      <c r="A587">
        <v>583</v>
      </c>
      <c r="B587" s="17">
        <v>-37.51610489692476</v>
      </c>
      <c r="C587" s="17">
        <v>-192.86634565538557</v>
      </c>
      <c r="D587" s="17">
        <v>1268.5546874999998</v>
      </c>
    </row>
    <row r="588" spans="1:4" x14ac:dyDescent="0.25">
      <c r="A588">
        <v>584</v>
      </c>
      <c r="B588" s="17">
        <v>-37.51610489692476</v>
      </c>
      <c r="C588" s="17">
        <v>-236.48780862087997</v>
      </c>
      <c r="D588" s="17">
        <v>1268.5546874999998</v>
      </c>
    </row>
    <row r="589" spans="1:4" x14ac:dyDescent="0.25">
      <c r="A589">
        <v>585</v>
      </c>
      <c r="B589" s="17">
        <v>6.105358068569636</v>
      </c>
      <c r="C589" s="17">
        <v>-236.48780862087997</v>
      </c>
      <c r="D589" s="17">
        <v>1268.5546874999998</v>
      </c>
    </row>
    <row r="590" spans="1:4" x14ac:dyDescent="0.25">
      <c r="A590">
        <v>586</v>
      </c>
      <c r="B590" s="17">
        <v>20.645845723734435</v>
      </c>
      <c r="C590" s="17">
        <v>-221.9473209657152</v>
      </c>
      <c r="D590" s="17">
        <v>1268.5546874999998</v>
      </c>
    </row>
    <row r="591" spans="1:4" x14ac:dyDescent="0.25">
      <c r="A591">
        <v>587</v>
      </c>
      <c r="B591" s="17">
        <v>20.645845723734435</v>
      </c>
      <c r="C591" s="17">
        <v>-178.3258580002208</v>
      </c>
      <c r="D591" s="17">
        <v>1268.5546874999998</v>
      </c>
    </row>
    <row r="592" spans="1:4" x14ac:dyDescent="0.25">
      <c r="A592">
        <v>588</v>
      </c>
      <c r="B592" s="17">
        <v>-22.975617241759963</v>
      </c>
      <c r="C592" s="17">
        <v>-178.32585800022076</v>
      </c>
      <c r="D592" s="17">
        <v>1268.5546874999998</v>
      </c>
    </row>
    <row r="593" spans="1:4" x14ac:dyDescent="0.25">
      <c r="A593">
        <v>589</v>
      </c>
      <c r="B593" s="17">
        <v>-37.51610489692476</v>
      </c>
      <c r="C593" s="17">
        <v>-105.62341972439677</v>
      </c>
      <c r="D593" s="17">
        <v>1268.5546874999998</v>
      </c>
    </row>
    <row r="594" spans="1:4" x14ac:dyDescent="0.25">
      <c r="A594">
        <v>590</v>
      </c>
      <c r="B594" s="17">
        <v>-37.51610489692476</v>
      </c>
      <c r="C594" s="17">
        <v>-149.24488268989117</v>
      </c>
      <c r="D594" s="17">
        <v>1268.5546874999998</v>
      </c>
    </row>
    <row r="595" spans="1:4" x14ac:dyDescent="0.25">
      <c r="A595">
        <v>591</v>
      </c>
      <c r="B595" s="17">
        <v>6.105358068569636</v>
      </c>
      <c r="C595" s="17">
        <v>-149.24488268989117</v>
      </c>
      <c r="D595" s="17">
        <v>1268.5546874999998</v>
      </c>
    </row>
    <row r="596" spans="1:4" x14ac:dyDescent="0.25">
      <c r="A596">
        <v>592</v>
      </c>
      <c r="B596" s="17">
        <v>20.645845723734435</v>
      </c>
      <c r="C596" s="17">
        <v>-134.70439503472636</v>
      </c>
      <c r="D596" s="17">
        <v>1268.5546874999998</v>
      </c>
    </row>
    <row r="597" spans="1:4" x14ac:dyDescent="0.25">
      <c r="A597">
        <v>593</v>
      </c>
      <c r="B597" s="17">
        <v>20.645845723734435</v>
      </c>
      <c r="C597" s="17">
        <v>-91.08293206923197</v>
      </c>
      <c r="D597" s="17">
        <v>1268.5546874999998</v>
      </c>
    </row>
    <row r="598" spans="1:4" x14ac:dyDescent="0.25">
      <c r="A598">
        <v>594</v>
      </c>
      <c r="B598" s="17">
        <v>-22.975617241759963</v>
      </c>
      <c r="C598" s="17">
        <v>-91.08293206923197</v>
      </c>
      <c r="D598" s="17">
        <v>1268.5546874999998</v>
      </c>
    </row>
    <row r="599" spans="1:4" x14ac:dyDescent="0.25">
      <c r="A599">
        <v>595</v>
      </c>
      <c r="B599" s="17">
        <v>-37.51610489692476</v>
      </c>
      <c r="C599" s="17">
        <v>-18.380493793407975</v>
      </c>
      <c r="D599" s="17">
        <v>1268.5546874999998</v>
      </c>
    </row>
    <row r="600" spans="1:4" x14ac:dyDescent="0.25">
      <c r="A600">
        <v>596</v>
      </c>
      <c r="B600" s="17">
        <v>-37.51610489692476</v>
      </c>
      <c r="C600" s="17">
        <v>-62.001956758902374</v>
      </c>
      <c r="D600" s="17">
        <v>1268.5546874999998</v>
      </c>
    </row>
    <row r="601" spans="1:4" x14ac:dyDescent="0.25">
      <c r="A601">
        <v>597</v>
      </c>
      <c r="B601" s="17">
        <v>6.105358068569636</v>
      </c>
      <c r="C601" s="17">
        <v>-62.001956758902374</v>
      </c>
      <c r="D601" s="17">
        <v>1268.5546874999998</v>
      </c>
    </row>
    <row r="602" spans="1:4" x14ac:dyDescent="0.25">
      <c r="A602">
        <v>598</v>
      </c>
      <c r="B602" s="17">
        <v>20.645845723734435</v>
      </c>
      <c r="C602" s="17">
        <v>-47.46146910373757</v>
      </c>
      <c r="D602" s="17">
        <v>1268.5546874999998</v>
      </c>
    </row>
    <row r="603" spans="1:4" x14ac:dyDescent="0.25">
      <c r="A603">
        <v>599</v>
      </c>
      <c r="B603" s="17">
        <v>20.645845723734435</v>
      </c>
      <c r="C603" s="17">
        <v>-3.840006138243174</v>
      </c>
      <c r="D603" s="17">
        <v>1268.5546874999998</v>
      </c>
    </row>
    <row r="604" spans="1:4" x14ac:dyDescent="0.25">
      <c r="A604">
        <v>600</v>
      </c>
      <c r="B604" s="17">
        <v>-22.975617241759963</v>
      </c>
      <c r="C604" s="17">
        <v>-3.840006138243173</v>
      </c>
      <c r="D604" s="17">
        <v>1268.5546874999998</v>
      </c>
    </row>
    <row r="605" spans="1:4" x14ac:dyDescent="0.25">
      <c r="A605">
        <v>601</v>
      </c>
      <c r="B605" s="17">
        <v>-37.51610489692476</v>
      </c>
      <c r="C605" s="17">
        <v>68.86243213758081</v>
      </c>
      <c r="D605" s="17">
        <v>1268.5546874999998</v>
      </c>
    </row>
    <row r="606" spans="1:4" x14ac:dyDescent="0.25">
      <c r="A606">
        <v>602</v>
      </c>
      <c r="B606" s="17">
        <v>-37.51610489692476</v>
      </c>
      <c r="C606" s="17">
        <v>25.240969172086423</v>
      </c>
      <c r="D606" s="17">
        <v>1268.5546874999998</v>
      </c>
    </row>
    <row r="607" spans="1:4" x14ac:dyDescent="0.25">
      <c r="A607">
        <v>603</v>
      </c>
      <c r="B607" s="17">
        <v>6.105358068569636</v>
      </c>
      <c r="C607" s="17">
        <v>25.240969172086423</v>
      </c>
      <c r="D607" s="17">
        <v>1268.5546874999998</v>
      </c>
    </row>
    <row r="608" spans="1:4" x14ac:dyDescent="0.25">
      <c r="A608">
        <v>604</v>
      </c>
      <c r="B608" s="17">
        <v>20.645845723734435</v>
      </c>
      <c r="C608" s="17">
        <v>39.78145682725122</v>
      </c>
      <c r="D608" s="17">
        <v>1268.5546874999998</v>
      </c>
    </row>
    <row r="609" spans="1:4" x14ac:dyDescent="0.25">
      <c r="A609">
        <v>605</v>
      </c>
      <c r="B609" s="17">
        <v>20.645845723734435</v>
      </c>
      <c r="C609" s="17">
        <v>83.40291979274562</v>
      </c>
      <c r="D609" s="17">
        <v>1268.5546874999998</v>
      </c>
    </row>
    <row r="610" spans="1:4" x14ac:dyDescent="0.25">
      <c r="A610">
        <v>606</v>
      </c>
      <c r="B610" s="17">
        <v>-22.975617241759963</v>
      </c>
      <c r="C610" s="17">
        <v>83.40291979274562</v>
      </c>
      <c r="D610" s="17">
        <v>1268.5546874999998</v>
      </c>
    </row>
    <row r="611" spans="1:4" x14ac:dyDescent="0.25">
      <c r="A611">
        <v>607</v>
      </c>
      <c r="B611" s="17">
        <v>-37.51610489692476</v>
      </c>
      <c r="C611" s="17">
        <v>156.10535806856961</v>
      </c>
      <c r="D611" s="17">
        <v>1268.5546874999998</v>
      </c>
    </row>
    <row r="612" spans="1:4" x14ac:dyDescent="0.25">
      <c r="A612">
        <v>608</v>
      </c>
      <c r="B612" s="17">
        <v>-37.51610489692476</v>
      </c>
      <c r="C612" s="17">
        <v>112.48389510307521</v>
      </c>
      <c r="D612" s="17">
        <v>1268.5546874999998</v>
      </c>
    </row>
    <row r="613" spans="1:4" x14ac:dyDescent="0.25">
      <c r="A613">
        <v>609</v>
      </c>
      <c r="B613" s="17">
        <v>6.105358068569636</v>
      </c>
      <c r="C613" s="17">
        <v>112.48389510307521</v>
      </c>
      <c r="D613" s="17">
        <v>1268.5546874999998</v>
      </c>
    </row>
    <row r="614" spans="1:4" x14ac:dyDescent="0.25">
      <c r="A614">
        <v>610</v>
      </c>
      <c r="B614" s="17">
        <v>20.645845723734435</v>
      </c>
      <c r="C614" s="17">
        <v>127.02438275824002</v>
      </c>
      <c r="D614" s="17">
        <v>1268.5546874999998</v>
      </c>
    </row>
    <row r="615" spans="1:4" x14ac:dyDescent="0.25">
      <c r="A615">
        <v>611</v>
      </c>
      <c r="B615" s="17">
        <v>20.645845723734435</v>
      </c>
      <c r="C615" s="17">
        <v>170.64584572373442</v>
      </c>
      <c r="D615" s="17">
        <v>1268.5546874999998</v>
      </c>
    </row>
    <row r="616" spans="1:4" x14ac:dyDescent="0.25">
      <c r="A616">
        <v>612</v>
      </c>
      <c r="B616" s="17">
        <v>-22.975617241759963</v>
      </c>
      <c r="C616" s="17">
        <v>170.64584572373442</v>
      </c>
      <c r="D616" s="17">
        <v>1268.5546874999998</v>
      </c>
    </row>
    <row r="617" spans="1:4" x14ac:dyDescent="0.25">
      <c r="A617">
        <v>613</v>
      </c>
      <c r="B617" s="17">
        <v>-37.51610489692476</v>
      </c>
      <c r="C617" s="17">
        <v>243.34828399955842</v>
      </c>
      <c r="D617" s="17">
        <v>1268.5546874999998</v>
      </c>
    </row>
    <row r="618" spans="1:4" x14ac:dyDescent="0.25">
      <c r="A618">
        <v>614</v>
      </c>
      <c r="B618" s="17">
        <v>-37.51610489692476</v>
      </c>
      <c r="C618" s="17">
        <v>199.72682103406402</v>
      </c>
      <c r="D618" s="17">
        <v>1268.5546874999998</v>
      </c>
    </row>
    <row r="619" spans="1:4" x14ac:dyDescent="0.25">
      <c r="A619">
        <v>615</v>
      </c>
      <c r="B619" s="17">
        <v>6.105358068569636</v>
      </c>
      <c r="C619" s="17">
        <v>199.72682103406402</v>
      </c>
      <c r="D619" s="17">
        <v>1268.5546874999998</v>
      </c>
    </row>
    <row r="620" spans="1:4" x14ac:dyDescent="0.25">
      <c r="A620">
        <v>616</v>
      </c>
      <c r="B620" s="17">
        <v>20.645845723734435</v>
      </c>
      <c r="C620" s="17">
        <v>214.2673086892288</v>
      </c>
      <c r="D620" s="17">
        <v>1268.5546874999998</v>
      </c>
    </row>
    <row r="621" spans="1:4" x14ac:dyDescent="0.25">
      <c r="A621">
        <v>617</v>
      </c>
      <c r="B621" s="17">
        <v>20.645845723734435</v>
      </c>
      <c r="C621" s="17">
        <v>257.8887716547232</v>
      </c>
      <c r="D621" s="17">
        <v>1268.5546874999998</v>
      </c>
    </row>
    <row r="622" spans="1:4" x14ac:dyDescent="0.25">
      <c r="A622">
        <v>618</v>
      </c>
      <c r="B622" s="17">
        <v>-22.975617241759963</v>
      </c>
      <c r="C622" s="17">
        <v>257.8887716547232</v>
      </c>
      <c r="D622" s="17">
        <v>1268.5546874999998</v>
      </c>
    </row>
    <row r="623" spans="1:4" x14ac:dyDescent="0.25">
      <c r="A623">
        <v>619</v>
      </c>
      <c r="B623" s="17">
        <v>-37.51610489692476</v>
      </c>
      <c r="C623" s="17">
        <v>330.5912099305472</v>
      </c>
      <c r="D623" s="17">
        <v>1268.5546874999998</v>
      </c>
    </row>
    <row r="624" spans="1:4" x14ac:dyDescent="0.25">
      <c r="A624">
        <v>620</v>
      </c>
      <c r="B624" s="17">
        <v>-37.51610489692476</v>
      </c>
      <c r="C624" s="17">
        <v>286.9697469650528</v>
      </c>
      <c r="D624" s="17">
        <v>1268.5546874999998</v>
      </c>
    </row>
    <row r="625" spans="1:4" x14ac:dyDescent="0.25">
      <c r="A625">
        <v>621</v>
      </c>
      <c r="B625" s="17">
        <v>6.105358068569636</v>
      </c>
      <c r="C625" s="17">
        <v>286.9697469650528</v>
      </c>
      <c r="D625" s="17">
        <v>1268.5546874999998</v>
      </c>
    </row>
    <row r="626" spans="1:4" x14ac:dyDescent="0.25">
      <c r="A626">
        <v>622</v>
      </c>
      <c r="B626" s="17">
        <v>20.645845723734435</v>
      </c>
      <c r="C626" s="17">
        <v>301.5102346202176</v>
      </c>
      <c r="D626" s="17">
        <v>1268.5546874999998</v>
      </c>
    </row>
    <row r="627" spans="1:4" x14ac:dyDescent="0.25">
      <c r="A627">
        <v>623</v>
      </c>
      <c r="B627" s="17">
        <v>20.645845723734435</v>
      </c>
      <c r="C627" s="17">
        <v>345.13169758571206</v>
      </c>
      <c r="D627" s="17">
        <v>1268.5546874999998</v>
      </c>
    </row>
    <row r="628" spans="1:4" x14ac:dyDescent="0.25">
      <c r="A628">
        <v>624</v>
      </c>
      <c r="B628" s="17">
        <v>-22.975617241759963</v>
      </c>
      <c r="C628" s="17">
        <v>345.131697585712</v>
      </c>
      <c r="D628" s="17">
        <v>1268.5546874999998</v>
      </c>
    </row>
    <row r="629" spans="1:4" x14ac:dyDescent="0.25">
      <c r="A629">
        <v>625</v>
      </c>
      <c r="B629" s="17">
        <v>-37.51610489692476</v>
      </c>
      <c r="C629" s="17">
        <v>417.8341358615361</v>
      </c>
      <c r="D629" s="17">
        <v>1268.5546874999998</v>
      </c>
    </row>
    <row r="630" spans="1:4" x14ac:dyDescent="0.25">
      <c r="A630">
        <v>626</v>
      </c>
      <c r="B630" s="17">
        <v>-37.51610489692476</v>
      </c>
      <c r="C630" s="17">
        <v>374.2126728960416</v>
      </c>
      <c r="D630" s="17">
        <v>1268.5546874999998</v>
      </c>
    </row>
    <row r="631" spans="1:4" x14ac:dyDescent="0.25">
      <c r="A631">
        <v>627</v>
      </c>
      <c r="B631" s="17">
        <v>6.105358068569636</v>
      </c>
      <c r="C631" s="17">
        <v>374.2126728960416</v>
      </c>
      <c r="D631" s="17">
        <v>1268.5546874999998</v>
      </c>
    </row>
    <row r="632" spans="1:4" x14ac:dyDescent="0.25">
      <c r="A632">
        <v>628</v>
      </c>
      <c r="B632" s="17">
        <v>20.645845723734435</v>
      </c>
      <c r="C632" s="17">
        <v>388.7531605512064</v>
      </c>
      <c r="D632" s="17">
        <v>1268.5546874999998</v>
      </c>
    </row>
    <row r="633" spans="1:4" x14ac:dyDescent="0.25">
      <c r="A633">
        <v>629</v>
      </c>
      <c r="B633" s="17">
        <v>20.645845723734435</v>
      </c>
      <c r="C633" s="17">
        <v>432.37462351670086</v>
      </c>
      <c r="D633" s="17">
        <v>1268.5546874999998</v>
      </c>
    </row>
    <row r="634" spans="1:4" x14ac:dyDescent="0.25">
      <c r="A634">
        <v>630</v>
      </c>
      <c r="B634" s="17">
        <v>-22.975617241759963</v>
      </c>
      <c r="C634" s="17">
        <v>432.3746235167008</v>
      </c>
      <c r="D634" s="17">
        <v>1268.5546874999998</v>
      </c>
    </row>
    <row r="635" spans="1:4" x14ac:dyDescent="0.25">
      <c r="A635">
        <v>631</v>
      </c>
      <c r="B635" s="17">
        <v>-37.51610489692476</v>
      </c>
      <c r="C635" s="17">
        <v>505.07706179252483</v>
      </c>
      <c r="D635" s="17">
        <v>1268.5546874999998</v>
      </c>
    </row>
    <row r="636" spans="1:4" x14ac:dyDescent="0.25">
      <c r="A636">
        <v>632</v>
      </c>
      <c r="B636" s="17">
        <v>-37.51610489692476</v>
      </c>
      <c r="C636" s="17">
        <v>461.4555988270304</v>
      </c>
      <c r="D636" s="17">
        <v>1268.5546874999998</v>
      </c>
    </row>
    <row r="637" spans="1:4" x14ac:dyDescent="0.25">
      <c r="A637">
        <v>633</v>
      </c>
      <c r="B637" s="17">
        <v>6.105358068569636</v>
      </c>
      <c r="C637" s="17">
        <v>461.4555988270304</v>
      </c>
      <c r="D637" s="17">
        <v>1268.5546874999998</v>
      </c>
    </row>
    <row r="638" spans="1:4" x14ac:dyDescent="0.25">
      <c r="A638">
        <v>634</v>
      </c>
      <c r="B638" s="17">
        <v>20.645845723734435</v>
      </c>
      <c r="C638" s="17">
        <v>475.9960864821952</v>
      </c>
      <c r="D638" s="17">
        <v>1268.5546874999998</v>
      </c>
    </row>
    <row r="639" spans="1:4" x14ac:dyDescent="0.25">
      <c r="A639">
        <v>635</v>
      </c>
      <c r="B639" s="17">
        <v>20.645845723734435</v>
      </c>
      <c r="C639" s="17">
        <v>519.6175494476896</v>
      </c>
      <c r="D639" s="17">
        <v>1268.5546874999998</v>
      </c>
    </row>
    <row r="640" spans="1:4" x14ac:dyDescent="0.25">
      <c r="A640">
        <v>636</v>
      </c>
      <c r="B640" s="17">
        <v>-22.975617241759963</v>
      </c>
      <c r="C640" s="17">
        <v>519.6175494476896</v>
      </c>
      <c r="D640" s="17">
        <v>1268.5546874999998</v>
      </c>
    </row>
    <row r="641" spans="1:4" x14ac:dyDescent="0.25">
      <c r="A641">
        <v>637</v>
      </c>
      <c r="B641" s="17">
        <v>-37.51610489692476</v>
      </c>
      <c r="C641" s="17">
        <v>578.0526790342848</v>
      </c>
      <c r="D641" s="17">
        <v>957.3742486977636</v>
      </c>
    </row>
    <row r="642" spans="1:4" x14ac:dyDescent="0.25">
      <c r="A642">
        <v>638</v>
      </c>
      <c r="B642" s="17">
        <v>-37.51610489692476</v>
      </c>
      <c r="C642" s="17">
        <v>545.131697585712</v>
      </c>
      <c r="D642" s="17">
        <v>957.3742486977636</v>
      </c>
    </row>
    <row r="643" spans="1:4" x14ac:dyDescent="0.25">
      <c r="A643">
        <v>639</v>
      </c>
      <c r="B643" s="17">
        <v>6.105358068569636</v>
      </c>
      <c r="C643" s="17">
        <v>545.131697585712</v>
      </c>
      <c r="D643" s="17">
        <v>957.3742486977636</v>
      </c>
    </row>
    <row r="644" spans="1:4" x14ac:dyDescent="0.25">
      <c r="A644">
        <v>640</v>
      </c>
      <c r="B644" s="17">
        <v>20.645845723734435</v>
      </c>
      <c r="C644" s="17">
        <v>556.1053580685696</v>
      </c>
      <c r="D644" s="17">
        <v>957.3742486977636</v>
      </c>
    </row>
    <row r="645" spans="1:4" x14ac:dyDescent="0.25">
      <c r="A645">
        <v>641</v>
      </c>
      <c r="B645" s="17">
        <v>20.645845723734435</v>
      </c>
      <c r="C645" s="17">
        <v>589.0263395171423</v>
      </c>
      <c r="D645" s="17">
        <v>957.3742486977636</v>
      </c>
    </row>
    <row r="646" spans="1:4" x14ac:dyDescent="0.25">
      <c r="A646">
        <v>642</v>
      </c>
      <c r="B646" s="17">
        <v>-22.975617241759963</v>
      </c>
      <c r="C646" s="17">
        <v>589.0263395171423</v>
      </c>
      <c r="D646" s="17">
        <v>957.3742486977636</v>
      </c>
    </row>
    <row r="647" spans="1:4" x14ac:dyDescent="0.25">
      <c r="A647">
        <v>643</v>
      </c>
      <c r="B647" s="17">
        <v>49.72682103406403</v>
      </c>
      <c r="C647" s="17">
        <v>-541.8380493793408</v>
      </c>
      <c r="D647" s="17">
        <v>1268.5546874999998</v>
      </c>
    </row>
    <row r="648" spans="1:4" x14ac:dyDescent="0.25">
      <c r="A648">
        <v>644</v>
      </c>
      <c r="B648" s="17">
        <v>49.72682103406403</v>
      </c>
      <c r="C648" s="17">
        <v>-585.4595123448352</v>
      </c>
      <c r="D648" s="17">
        <v>1268.5546874999998</v>
      </c>
    </row>
    <row r="649" spans="1:4" x14ac:dyDescent="0.25">
      <c r="A649">
        <v>645</v>
      </c>
      <c r="B649" s="17">
        <v>93.34828399955843</v>
      </c>
      <c r="C649" s="17">
        <v>-585.4595123448352</v>
      </c>
      <c r="D649" s="17">
        <v>1268.5546874999998</v>
      </c>
    </row>
    <row r="650" spans="1:4" x14ac:dyDescent="0.25">
      <c r="A650">
        <v>646</v>
      </c>
      <c r="B650" s="17">
        <v>107.88877165472323</v>
      </c>
      <c r="C650" s="17">
        <v>-570.9190246896703</v>
      </c>
      <c r="D650" s="17">
        <v>1268.5546874999998</v>
      </c>
    </row>
    <row r="651" spans="1:4" x14ac:dyDescent="0.25">
      <c r="A651">
        <v>647</v>
      </c>
      <c r="B651" s="17">
        <v>107.88877165472323</v>
      </c>
      <c r="C651" s="17">
        <v>-527.2975617241759</v>
      </c>
      <c r="D651" s="17">
        <v>1268.5546874999998</v>
      </c>
    </row>
    <row r="652" spans="1:4" x14ac:dyDescent="0.25">
      <c r="A652">
        <v>648</v>
      </c>
      <c r="B652" s="17">
        <v>64.26730868922883</v>
      </c>
      <c r="C652" s="17">
        <v>-527.2975617241759</v>
      </c>
      <c r="D652" s="17">
        <v>1268.5546874999998</v>
      </c>
    </row>
    <row r="653" spans="1:4" x14ac:dyDescent="0.25">
      <c r="A653">
        <v>649</v>
      </c>
      <c r="B653" s="17">
        <v>49.72682103406403</v>
      </c>
      <c r="C653" s="17">
        <v>-454.59512344835196</v>
      </c>
      <c r="D653" s="17">
        <v>1268.5546874999998</v>
      </c>
    </row>
    <row r="654" spans="1:4" x14ac:dyDescent="0.25">
      <c r="A654">
        <v>650</v>
      </c>
      <c r="B654" s="17">
        <v>49.72682103406403</v>
      </c>
      <c r="C654" s="17">
        <v>-498.21658641384636</v>
      </c>
      <c r="D654" s="17">
        <v>1268.5546874999998</v>
      </c>
    </row>
    <row r="655" spans="1:4" x14ac:dyDescent="0.25">
      <c r="A655">
        <v>651</v>
      </c>
      <c r="B655" s="17">
        <v>93.34828399955843</v>
      </c>
      <c r="C655" s="17">
        <v>-498.21658641384636</v>
      </c>
      <c r="D655" s="17">
        <v>1268.5546874999998</v>
      </c>
    </row>
    <row r="656" spans="1:4" x14ac:dyDescent="0.25">
      <c r="A656">
        <v>652</v>
      </c>
      <c r="B656" s="17">
        <v>107.88877165472323</v>
      </c>
      <c r="C656" s="17">
        <v>-483.6760987586815</v>
      </c>
      <c r="D656" s="17">
        <v>1268.5546874999998</v>
      </c>
    </row>
    <row r="657" spans="1:4" x14ac:dyDescent="0.25">
      <c r="A657">
        <v>653</v>
      </c>
      <c r="B657" s="17">
        <v>107.88877165472323</v>
      </c>
      <c r="C657" s="17">
        <v>-440.0546357931872</v>
      </c>
      <c r="D657" s="17">
        <v>1268.5546874999998</v>
      </c>
    </row>
    <row r="658" spans="1:4" x14ac:dyDescent="0.25">
      <c r="A658">
        <v>654</v>
      </c>
      <c r="B658" s="17">
        <v>64.26730868922883</v>
      </c>
      <c r="C658" s="17">
        <v>-440.0546357931872</v>
      </c>
      <c r="D658" s="17">
        <v>1268.5546874999998</v>
      </c>
    </row>
    <row r="659" spans="1:4" x14ac:dyDescent="0.25">
      <c r="A659">
        <v>655</v>
      </c>
      <c r="B659" s="17">
        <v>49.72682103406403</v>
      </c>
      <c r="C659" s="17">
        <v>-367.35219751736315</v>
      </c>
      <c r="D659" s="17">
        <v>1268.5546874999998</v>
      </c>
    </row>
    <row r="660" spans="1:4" x14ac:dyDescent="0.25">
      <c r="A660">
        <v>656</v>
      </c>
      <c r="B660" s="17">
        <v>49.72682103406403</v>
      </c>
      <c r="C660" s="17">
        <v>-410.97366048285755</v>
      </c>
      <c r="D660" s="17">
        <v>1268.5546874999998</v>
      </c>
    </row>
    <row r="661" spans="1:4" x14ac:dyDescent="0.25">
      <c r="A661">
        <v>657</v>
      </c>
      <c r="B661" s="17">
        <v>93.34828399955843</v>
      </c>
      <c r="C661" s="17">
        <v>-410.97366048285755</v>
      </c>
      <c r="D661" s="17">
        <v>1268.5546874999998</v>
      </c>
    </row>
    <row r="662" spans="1:4" x14ac:dyDescent="0.25">
      <c r="A662">
        <v>658</v>
      </c>
      <c r="B662" s="17">
        <v>107.88877165472323</v>
      </c>
      <c r="C662" s="17">
        <v>-396.4331728276928</v>
      </c>
      <c r="D662" s="17">
        <v>1268.5546874999998</v>
      </c>
    </row>
    <row r="663" spans="1:4" x14ac:dyDescent="0.25">
      <c r="A663">
        <v>659</v>
      </c>
      <c r="B663" s="17">
        <v>107.88877165472323</v>
      </c>
      <c r="C663" s="17">
        <v>-352.81170986219837</v>
      </c>
      <c r="D663" s="17">
        <v>1268.5546874999998</v>
      </c>
    </row>
    <row r="664" spans="1:4" x14ac:dyDescent="0.25">
      <c r="A664">
        <v>660</v>
      </c>
      <c r="B664" s="17">
        <v>64.26730868922883</v>
      </c>
      <c r="C664" s="17">
        <v>-352.81170986219837</v>
      </c>
      <c r="D664" s="17">
        <v>1268.5546874999998</v>
      </c>
    </row>
    <row r="665" spans="1:4" x14ac:dyDescent="0.25">
      <c r="A665">
        <v>661</v>
      </c>
      <c r="B665" s="17">
        <v>49.72682103406403</v>
      </c>
      <c r="C665" s="17">
        <v>-280.10927158637435</v>
      </c>
      <c r="D665" s="17">
        <v>1268.5546874999998</v>
      </c>
    </row>
    <row r="666" spans="1:4" x14ac:dyDescent="0.25">
      <c r="A666">
        <v>662</v>
      </c>
      <c r="B666" s="17">
        <v>49.72682103406403</v>
      </c>
      <c r="C666" s="17">
        <v>-323.7307345518688</v>
      </c>
      <c r="D666" s="17">
        <v>1268.5546874999998</v>
      </c>
    </row>
    <row r="667" spans="1:4" x14ac:dyDescent="0.25">
      <c r="A667">
        <v>663</v>
      </c>
      <c r="B667" s="17">
        <v>93.34828399955843</v>
      </c>
      <c r="C667" s="17">
        <v>-323.73073455186875</v>
      </c>
      <c r="D667" s="17">
        <v>1268.5546874999998</v>
      </c>
    </row>
    <row r="668" spans="1:4" x14ac:dyDescent="0.25">
      <c r="A668">
        <v>664</v>
      </c>
      <c r="B668" s="17">
        <v>107.88877165472323</v>
      </c>
      <c r="C668" s="17">
        <v>-309.190246896704</v>
      </c>
      <c r="D668" s="17">
        <v>1268.5546874999998</v>
      </c>
    </row>
    <row r="669" spans="1:4" x14ac:dyDescent="0.25">
      <c r="A669">
        <v>665</v>
      </c>
      <c r="B669" s="17">
        <v>107.88877165472323</v>
      </c>
      <c r="C669" s="17">
        <v>-265.56878393120957</v>
      </c>
      <c r="D669" s="17">
        <v>1268.5546874999998</v>
      </c>
    </row>
    <row r="670" spans="1:4" x14ac:dyDescent="0.25">
      <c r="A670">
        <v>666</v>
      </c>
      <c r="B670" s="17">
        <v>64.26730868922883</v>
      </c>
      <c r="C670" s="17">
        <v>-265.56878393120957</v>
      </c>
      <c r="D670" s="17">
        <v>1268.5546874999998</v>
      </c>
    </row>
    <row r="671" spans="1:4" x14ac:dyDescent="0.25">
      <c r="A671">
        <v>667</v>
      </c>
      <c r="B671" s="17">
        <v>49.72682103406403</v>
      </c>
      <c r="C671" s="17">
        <v>-192.86634565538557</v>
      </c>
      <c r="D671" s="17">
        <v>1268.5546874999998</v>
      </c>
    </row>
    <row r="672" spans="1:4" x14ac:dyDescent="0.25">
      <c r="A672">
        <v>668</v>
      </c>
      <c r="B672" s="17">
        <v>49.72682103406403</v>
      </c>
      <c r="C672" s="17">
        <v>-236.48780862087997</v>
      </c>
      <c r="D672" s="17">
        <v>1268.5546874999998</v>
      </c>
    </row>
    <row r="673" spans="1:4" x14ac:dyDescent="0.25">
      <c r="A673">
        <v>669</v>
      </c>
      <c r="B673" s="17">
        <v>93.34828399955843</v>
      </c>
      <c r="C673" s="17">
        <v>-236.48780862087997</v>
      </c>
      <c r="D673" s="17">
        <v>1268.5546874999998</v>
      </c>
    </row>
    <row r="674" spans="1:4" x14ac:dyDescent="0.25">
      <c r="A674">
        <v>670</v>
      </c>
      <c r="B674" s="17">
        <v>107.88877165472323</v>
      </c>
      <c r="C674" s="17">
        <v>-221.9473209657152</v>
      </c>
      <c r="D674" s="17">
        <v>1268.5546874999998</v>
      </c>
    </row>
    <row r="675" spans="1:4" x14ac:dyDescent="0.25">
      <c r="A675">
        <v>671</v>
      </c>
      <c r="B675" s="17">
        <v>107.88877165472323</v>
      </c>
      <c r="C675" s="17">
        <v>-178.3258580002208</v>
      </c>
      <c r="D675" s="17">
        <v>1268.5546874999998</v>
      </c>
    </row>
    <row r="676" spans="1:4" x14ac:dyDescent="0.25">
      <c r="A676">
        <v>672</v>
      </c>
      <c r="B676" s="17">
        <v>64.26730868922883</v>
      </c>
      <c r="C676" s="17">
        <v>-178.32585800022076</v>
      </c>
      <c r="D676" s="17">
        <v>1268.5546874999998</v>
      </c>
    </row>
    <row r="677" spans="1:4" x14ac:dyDescent="0.25">
      <c r="A677">
        <v>673</v>
      </c>
      <c r="B677" s="17">
        <v>49.72682103406403</v>
      </c>
      <c r="C677" s="17">
        <v>-105.62341972439677</v>
      </c>
      <c r="D677" s="17">
        <v>1268.5546874999998</v>
      </c>
    </row>
    <row r="678" spans="1:4" x14ac:dyDescent="0.25">
      <c r="A678">
        <v>674</v>
      </c>
      <c r="B678" s="17">
        <v>49.72682103406403</v>
      </c>
      <c r="C678" s="17">
        <v>-149.24488268989117</v>
      </c>
      <c r="D678" s="17">
        <v>1268.5546874999998</v>
      </c>
    </row>
    <row r="679" spans="1:4" x14ac:dyDescent="0.25">
      <c r="A679">
        <v>675</v>
      </c>
      <c r="B679" s="17">
        <v>93.34828399955843</v>
      </c>
      <c r="C679" s="17">
        <v>-149.24488268989117</v>
      </c>
      <c r="D679" s="17">
        <v>1268.5546874999998</v>
      </c>
    </row>
    <row r="680" spans="1:4" x14ac:dyDescent="0.25">
      <c r="A680">
        <v>676</v>
      </c>
      <c r="B680" s="17">
        <v>107.88877165472323</v>
      </c>
      <c r="C680" s="17">
        <v>-134.70439503472636</v>
      </c>
      <c r="D680" s="17">
        <v>1268.5546874999998</v>
      </c>
    </row>
    <row r="681" spans="1:4" x14ac:dyDescent="0.25">
      <c r="A681">
        <v>677</v>
      </c>
      <c r="B681" s="17">
        <v>107.88877165472323</v>
      </c>
      <c r="C681" s="17">
        <v>-91.08293206923197</v>
      </c>
      <c r="D681" s="17">
        <v>1268.5546874999998</v>
      </c>
    </row>
    <row r="682" spans="1:4" x14ac:dyDescent="0.25">
      <c r="A682">
        <v>678</v>
      </c>
      <c r="B682" s="17">
        <v>64.26730868922883</v>
      </c>
      <c r="C682" s="17">
        <v>-91.08293206923197</v>
      </c>
      <c r="D682" s="17">
        <v>1268.5546874999998</v>
      </c>
    </row>
    <row r="683" spans="1:4" x14ac:dyDescent="0.25">
      <c r="A683">
        <v>679</v>
      </c>
      <c r="B683" s="17">
        <v>49.72682103406403</v>
      </c>
      <c r="C683" s="17">
        <v>-18.380493793407975</v>
      </c>
      <c r="D683" s="17">
        <v>1268.5546874999998</v>
      </c>
    </row>
    <row r="684" spans="1:4" x14ac:dyDescent="0.25">
      <c r="A684">
        <v>680</v>
      </c>
      <c r="B684" s="17">
        <v>49.72682103406403</v>
      </c>
      <c r="C684" s="17">
        <v>-62.001956758902374</v>
      </c>
      <c r="D684" s="17">
        <v>1268.5546874999998</v>
      </c>
    </row>
    <row r="685" spans="1:4" x14ac:dyDescent="0.25">
      <c r="A685">
        <v>681</v>
      </c>
      <c r="B685" s="17">
        <v>93.34828399955843</v>
      </c>
      <c r="C685" s="17">
        <v>-62.001956758902374</v>
      </c>
      <c r="D685" s="17">
        <v>1268.5546874999998</v>
      </c>
    </row>
    <row r="686" spans="1:4" x14ac:dyDescent="0.25">
      <c r="A686">
        <v>682</v>
      </c>
      <c r="B686" s="17">
        <v>107.88877165472323</v>
      </c>
      <c r="C686" s="17">
        <v>-47.46146910373757</v>
      </c>
      <c r="D686" s="17">
        <v>1268.5546874999998</v>
      </c>
    </row>
    <row r="687" spans="1:4" x14ac:dyDescent="0.25">
      <c r="A687">
        <v>683</v>
      </c>
      <c r="B687" s="17">
        <v>107.88877165472323</v>
      </c>
      <c r="C687" s="17">
        <v>-3.840006138243174</v>
      </c>
      <c r="D687" s="17">
        <v>1268.5546874999998</v>
      </c>
    </row>
    <row r="688" spans="1:4" x14ac:dyDescent="0.25">
      <c r="A688">
        <v>684</v>
      </c>
      <c r="B688" s="17">
        <v>64.26730868922883</v>
      </c>
      <c r="C688" s="17">
        <v>-3.840006138243173</v>
      </c>
      <c r="D688" s="17">
        <v>1268.5546874999998</v>
      </c>
    </row>
    <row r="689" spans="1:4" x14ac:dyDescent="0.25">
      <c r="A689">
        <v>685</v>
      </c>
      <c r="B689" s="17">
        <v>49.72682103406403</v>
      </c>
      <c r="C689" s="17">
        <v>68.86243213758081</v>
      </c>
      <c r="D689" s="17">
        <v>1268.5546874999998</v>
      </c>
    </row>
    <row r="690" spans="1:4" x14ac:dyDescent="0.25">
      <c r="A690">
        <v>686</v>
      </c>
      <c r="B690" s="17">
        <v>49.72682103406403</v>
      </c>
      <c r="C690" s="17">
        <v>25.240969172086423</v>
      </c>
      <c r="D690" s="17">
        <v>1268.5546874999998</v>
      </c>
    </row>
    <row r="691" spans="1:4" x14ac:dyDescent="0.25">
      <c r="A691">
        <v>687</v>
      </c>
      <c r="B691" s="17">
        <v>93.34828399955843</v>
      </c>
      <c r="C691" s="17">
        <v>25.240969172086423</v>
      </c>
      <c r="D691" s="17">
        <v>1268.5546874999998</v>
      </c>
    </row>
    <row r="692" spans="1:4" x14ac:dyDescent="0.25">
      <c r="A692">
        <v>688</v>
      </c>
      <c r="B692" s="17">
        <v>107.88877165472323</v>
      </c>
      <c r="C692" s="17">
        <v>39.78145682725122</v>
      </c>
      <c r="D692" s="17">
        <v>1268.5546874999998</v>
      </c>
    </row>
    <row r="693" spans="1:4" x14ac:dyDescent="0.25">
      <c r="A693">
        <v>689</v>
      </c>
      <c r="B693" s="17">
        <v>107.88877165472323</v>
      </c>
      <c r="C693" s="17">
        <v>83.40291979274562</v>
      </c>
      <c r="D693" s="17">
        <v>1268.5546874999998</v>
      </c>
    </row>
    <row r="694" spans="1:4" x14ac:dyDescent="0.25">
      <c r="A694">
        <v>690</v>
      </c>
      <c r="B694" s="17">
        <v>64.26730868922883</v>
      </c>
      <c r="C694" s="17">
        <v>83.40291979274562</v>
      </c>
      <c r="D694" s="17">
        <v>1268.5546874999998</v>
      </c>
    </row>
    <row r="695" spans="1:4" x14ac:dyDescent="0.25">
      <c r="A695">
        <v>691</v>
      </c>
      <c r="B695" s="17">
        <v>49.72682103406403</v>
      </c>
      <c r="C695" s="17">
        <v>156.10535806856961</v>
      </c>
      <c r="D695" s="17">
        <v>1268.5546874999998</v>
      </c>
    </row>
    <row r="696" spans="1:4" x14ac:dyDescent="0.25">
      <c r="A696">
        <v>692</v>
      </c>
      <c r="B696" s="17">
        <v>49.72682103406403</v>
      </c>
      <c r="C696" s="17">
        <v>112.48389510307521</v>
      </c>
      <c r="D696" s="17">
        <v>1268.5546874999998</v>
      </c>
    </row>
    <row r="697" spans="1:4" x14ac:dyDescent="0.25">
      <c r="A697">
        <v>693</v>
      </c>
      <c r="B697" s="17">
        <v>93.34828399955843</v>
      </c>
      <c r="C697" s="17">
        <v>112.48389510307521</v>
      </c>
      <c r="D697" s="17">
        <v>1268.5546874999998</v>
      </c>
    </row>
    <row r="698" spans="1:4" x14ac:dyDescent="0.25">
      <c r="A698">
        <v>694</v>
      </c>
      <c r="B698" s="17">
        <v>107.88877165472323</v>
      </c>
      <c r="C698" s="17">
        <v>127.02438275824002</v>
      </c>
      <c r="D698" s="17">
        <v>1268.5546874999998</v>
      </c>
    </row>
    <row r="699" spans="1:4" x14ac:dyDescent="0.25">
      <c r="A699">
        <v>695</v>
      </c>
      <c r="B699" s="17">
        <v>107.88877165472323</v>
      </c>
      <c r="C699" s="17">
        <v>170.64584572373442</v>
      </c>
      <c r="D699" s="17">
        <v>1268.5546874999998</v>
      </c>
    </row>
    <row r="700" spans="1:4" x14ac:dyDescent="0.25">
      <c r="A700">
        <v>696</v>
      </c>
      <c r="B700" s="17">
        <v>64.26730868922883</v>
      </c>
      <c r="C700" s="17">
        <v>170.64584572373442</v>
      </c>
      <c r="D700" s="17">
        <v>1268.5546874999998</v>
      </c>
    </row>
    <row r="701" spans="1:4" x14ac:dyDescent="0.25">
      <c r="A701">
        <v>697</v>
      </c>
      <c r="B701" s="17">
        <v>49.72682103406403</v>
      </c>
      <c r="C701" s="17">
        <v>243.34828399955842</v>
      </c>
      <c r="D701" s="17">
        <v>1268.5546874999998</v>
      </c>
    </row>
    <row r="702" spans="1:4" x14ac:dyDescent="0.25">
      <c r="A702">
        <v>698</v>
      </c>
      <c r="B702" s="17">
        <v>49.72682103406403</v>
      </c>
      <c r="C702" s="17">
        <v>199.72682103406402</v>
      </c>
      <c r="D702" s="17">
        <v>1268.5546874999998</v>
      </c>
    </row>
    <row r="703" spans="1:4" x14ac:dyDescent="0.25">
      <c r="A703">
        <v>699</v>
      </c>
      <c r="B703" s="17">
        <v>93.34828399955843</v>
      </c>
      <c r="C703" s="17">
        <v>199.72682103406402</v>
      </c>
      <c r="D703" s="17">
        <v>1268.5546874999998</v>
      </c>
    </row>
    <row r="704" spans="1:4" x14ac:dyDescent="0.25">
      <c r="A704">
        <v>700</v>
      </c>
      <c r="B704" s="17">
        <v>107.88877165472323</v>
      </c>
      <c r="C704" s="17">
        <v>214.2673086892288</v>
      </c>
      <c r="D704" s="17">
        <v>1268.5546874999998</v>
      </c>
    </row>
    <row r="705" spans="1:4" x14ac:dyDescent="0.25">
      <c r="A705">
        <v>701</v>
      </c>
      <c r="B705" s="17">
        <v>107.88877165472323</v>
      </c>
      <c r="C705" s="17">
        <v>257.8887716547232</v>
      </c>
      <c r="D705" s="17">
        <v>1268.5546874999998</v>
      </c>
    </row>
    <row r="706" spans="1:4" x14ac:dyDescent="0.25">
      <c r="A706">
        <v>702</v>
      </c>
      <c r="B706" s="17">
        <v>64.26730868922883</v>
      </c>
      <c r="C706" s="17">
        <v>257.8887716547232</v>
      </c>
      <c r="D706" s="17">
        <v>1268.5546874999998</v>
      </c>
    </row>
    <row r="707" spans="1:4" x14ac:dyDescent="0.25">
      <c r="A707">
        <v>703</v>
      </c>
      <c r="B707" s="17">
        <v>49.72682103406403</v>
      </c>
      <c r="C707" s="17">
        <v>330.5912099305472</v>
      </c>
      <c r="D707" s="17">
        <v>1268.5546874999998</v>
      </c>
    </row>
    <row r="708" spans="1:4" x14ac:dyDescent="0.25">
      <c r="A708">
        <v>704</v>
      </c>
      <c r="B708" s="17">
        <v>49.72682103406403</v>
      </c>
      <c r="C708" s="17">
        <v>286.9697469650528</v>
      </c>
      <c r="D708" s="17">
        <v>1268.5546874999998</v>
      </c>
    </row>
    <row r="709" spans="1:4" x14ac:dyDescent="0.25">
      <c r="A709">
        <v>705</v>
      </c>
      <c r="B709" s="17">
        <v>93.34828399955843</v>
      </c>
      <c r="C709" s="17">
        <v>286.9697469650528</v>
      </c>
      <c r="D709" s="17">
        <v>1268.5546874999998</v>
      </c>
    </row>
    <row r="710" spans="1:4" x14ac:dyDescent="0.25">
      <c r="A710">
        <v>706</v>
      </c>
      <c r="B710" s="17">
        <v>107.88877165472323</v>
      </c>
      <c r="C710" s="17">
        <v>301.5102346202176</v>
      </c>
      <c r="D710" s="17">
        <v>1268.5546874999998</v>
      </c>
    </row>
    <row r="711" spans="1:4" x14ac:dyDescent="0.25">
      <c r="A711">
        <v>707</v>
      </c>
      <c r="B711" s="17">
        <v>107.88877165472323</v>
      </c>
      <c r="C711" s="17">
        <v>345.13169758571206</v>
      </c>
      <c r="D711" s="17">
        <v>1268.5546874999998</v>
      </c>
    </row>
    <row r="712" spans="1:4" x14ac:dyDescent="0.25">
      <c r="A712">
        <v>708</v>
      </c>
      <c r="B712" s="17">
        <v>64.26730868922883</v>
      </c>
      <c r="C712" s="17">
        <v>345.131697585712</v>
      </c>
      <c r="D712" s="17">
        <v>1268.5546874999998</v>
      </c>
    </row>
    <row r="713" spans="1:4" x14ac:dyDescent="0.25">
      <c r="A713">
        <v>709</v>
      </c>
      <c r="B713" s="17">
        <v>49.72682103406403</v>
      </c>
      <c r="C713" s="17">
        <v>417.8341358615361</v>
      </c>
      <c r="D713" s="17">
        <v>1268.5546874999998</v>
      </c>
    </row>
    <row r="714" spans="1:4" x14ac:dyDescent="0.25">
      <c r="A714">
        <v>710</v>
      </c>
      <c r="B714" s="17">
        <v>49.72682103406403</v>
      </c>
      <c r="C714" s="17">
        <v>374.2126728960416</v>
      </c>
      <c r="D714" s="17">
        <v>1268.5546874999998</v>
      </c>
    </row>
    <row r="715" spans="1:4" x14ac:dyDescent="0.25">
      <c r="A715">
        <v>711</v>
      </c>
      <c r="B715" s="17">
        <v>93.34828399955843</v>
      </c>
      <c r="C715" s="17">
        <v>374.2126728960416</v>
      </c>
      <c r="D715" s="17">
        <v>1268.5546874999998</v>
      </c>
    </row>
    <row r="716" spans="1:4" x14ac:dyDescent="0.25">
      <c r="A716">
        <v>712</v>
      </c>
      <c r="B716" s="17">
        <v>107.88877165472323</v>
      </c>
      <c r="C716" s="17">
        <v>388.7531605512064</v>
      </c>
      <c r="D716" s="17">
        <v>1268.5546874999998</v>
      </c>
    </row>
    <row r="717" spans="1:4" x14ac:dyDescent="0.25">
      <c r="A717">
        <v>713</v>
      </c>
      <c r="B717" s="17">
        <v>107.88877165472323</v>
      </c>
      <c r="C717" s="17">
        <v>432.37462351670086</v>
      </c>
      <c r="D717" s="17">
        <v>1268.5546874999998</v>
      </c>
    </row>
    <row r="718" spans="1:4" x14ac:dyDescent="0.25">
      <c r="A718">
        <v>714</v>
      </c>
      <c r="B718" s="17">
        <v>64.26730868922883</v>
      </c>
      <c r="C718" s="17">
        <v>432.3746235167008</v>
      </c>
      <c r="D718" s="17">
        <v>1268.5546874999998</v>
      </c>
    </row>
    <row r="719" spans="1:4" x14ac:dyDescent="0.25">
      <c r="A719">
        <v>715</v>
      </c>
      <c r="B719" s="17">
        <v>49.72682103406403</v>
      </c>
      <c r="C719" s="17">
        <v>505.07706179252483</v>
      </c>
      <c r="D719" s="17">
        <v>1268.5546874999998</v>
      </c>
    </row>
    <row r="720" spans="1:4" x14ac:dyDescent="0.25">
      <c r="A720">
        <v>716</v>
      </c>
      <c r="B720" s="17">
        <v>49.72682103406403</v>
      </c>
      <c r="C720" s="17">
        <v>461.4555988270304</v>
      </c>
      <c r="D720" s="17">
        <v>1268.5546874999998</v>
      </c>
    </row>
    <row r="721" spans="1:4" x14ac:dyDescent="0.25">
      <c r="A721">
        <v>717</v>
      </c>
      <c r="B721" s="17">
        <v>93.34828399955843</v>
      </c>
      <c r="C721" s="17">
        <v>461.4555988270304</v>
      </c>
      <c r="D721" s="17">
        <v>1268.5546874999998</v>
      </c>
    </row>
    <row r="722" spans="1:4" x14ac:dyDescent="0.25">
      <c r="A722">
        <v>718</v>
      </c>
      <c r="B722" s="17">
        <v>107.88877165472323</v>
      </c>
      <c r="C722" s="17">
        <v>475.9960864821952</v>
      </c>
      <c r="D722" s="17">
        <v>1268.5546874999998</v>
      </c>
    </row>
    <row r="723" spans="1:4" x14ac:dyDescent="0.25">
      <c r="A723">
        <v>719</v>
      </c>
      <c r="B723" s="17">
        <v>107.88877165472323</v>
      </c>
      <c r="C723" s="17">
        <v>519.6175494476896</v>
      </c>
      <c r="D723" s="17">
        <v>1268.5546874999998</v>
      </c>
    </row>
    <row r="724" spans="1:4" x14ac:dyDescent="0.25">
      <c r="A724">
        <v>720</v>
      </c>
      <c r="B724" s="17">
        <v>64.26730868922883</v>
      </c>
      <c r="C724" s="17">
        <v>519.6175494476896</v>
      </c>
      <c r="D724" s="17">
        <v>1268.5546874999998</v>
      </c>
    </row>
    <row r="725" spans="1:4" x14ac:dyDescent="0.25">
      <c r="A725">
        <v>721</v>
      </c>
      <c r="B725" s="17">
        <v>49.72682103406403</v>
      </c>
      <c r="C725" s="17">
        <v>578.0526790342848</v>
      </c>
      <c r="D725" s="17">
        <v>957.3742486977636</v>
      </c>
    </row>
    <row r="726" spans="1:4" x14ac:dyDescent="0.25">
      <c r="A726">
        <v>722</v>
      </c>
      <c r="B726" s="17">
        <v>49.72682103406403</v>
      </c>
      <c r="C726" s="17">
        <v>545.131697585712</v>
      </c>
      <c r="D726" s="17">
        <v>957.3742486977636</v>
      </c>
    </row>
    <row r="727" spans="1:4" x14ac:dyDescent="0.25">
      <c r="A727">
        <v>723</v>
      </c>
      <c r="B727" s="17">
        <v>93.34828399955843</v>
      </c>
      <c r="C727" s="17">
        <v>545.131697585712</v>
      </c>
      <c r="D727" s="17">
        <v>957.3742486977636</v>
      </c>
    </row>
    <row r="728" spans="1:4" x14ac:dyDescent="0.25">
      <c r="A728">
        <v>724</v>
      </c>
      <c r="B728" s="17">
        <v>107.88877165472323</v>
      </c>
      <c r="C728" s="17">
        <v>556.1053580685696</v>
      </c>
      <c r="D728" s="17">
        <v>957.3742486977636</v>
      </c>
    </row>
    <row r="729" spans="1:4" x14ac:dyDescent="0.25">
      <c r="A729">
        <v>725</v>
      </c>
      <c r="B729" s="17">
        <v>107.88877165472323</v>
      </c>
      <c r="C729" s="17">
        <v>589.0263395171423</v>
      </c>
      <c r="D729" s="17">
        <v>957.3742486977636</v>
      </c>
    </row>
    <row r="730" spans="1:4" x14ac:dyDescent="0.25">
      <c r="A730">
        <v>726</v>
      </c>
      <c r="B730" s="17">
        <v>64.26730868922883</v>
      </c>
      <c r="C730" s="17">
        <v>589.0263395171423</v>
      </c>
      <c r="D730" s="17">
        <v>957.3742486977636</v>
      </c>
    </row>
    <row r="731" spans="1:4" x14ac:dyDescent="0.25">
      <c r="A731">
        <v>727</v>
      </c>
      <c r="B731" s="17">
        <v>136.96974696505282</v>
      </c>
      <c r="C731" s="17">
        <v>-541.8380493793408</v>
      </c>
      <c r="D731" s="17">
        <v>1268.5546874999998</v>
      </c>
    </row>
    <row r="732" spans="1:4" x14ac:dyDescent="0.25">
      <c r="A732">
        <v>728</v>
      </c>
      <c r="B732" s="17">
        <v>136.96974696505282</v>
      </c>
      <c r="C732" s="17">
        <v>-585.4595123448352</v>
      </c>
      <c r="D732" s="17">
        <v>1268.5546874999998</v>
      </c>
    </row>
    <row r="733" spans="1:4" x14ac:dyDescent="0.25">
      <c r="A733">
        <v>729</v>
      </c>
      <c r="B733" s="17">
        <v>180.59120993054722</v>
      </c>
      <c r="C733" s="17">
        <v>-585.4595123448352</v>
      </c>
      <c r="D733" s="17">
        <v>1268.5546874999998</v>
      </c>
    </row>
    <row r="734" spans="1:4" x14ac:dyDescent="0.25">
      <c r="A734">
        <v>730</v>
      </c>
      <c r="B734" s="17">
        <v>195.13169758571203</v>
      </c>
      <c r="C734" s="17">
        <v>-570.9190246896703</v>
      </c>
      <c r="D734" s="17">
        <v>1268.5546874999998</v>
      </c>
    </row>
    <row r="735" spans="1:4" x14ac:dyDescent="0.25">
      <c r="A735">
        <v>731</v>
      </c>
      <c r="B735" s="17">
        <v>195.13169758571203</v>
      </c>
      <c r="C735" s="17">
        <v>-527.2975617241759</v>
      </c>
      <c r="D735" s="17">
        <v>1268.5546874999998</v>
      </c>
    </row>
    <row r="736" spans="1:4" x14ac:dyDescent="0.25">
      <c r="A736">
        <v>732</v>
      </c>
      <c r="B736" s="17">
        <v>151.51023462021763</v>
      </c>
      <c r="C736" s="17">
        <v>-527.2975617241759</v>
      </c>
      <c r="D736" s="17">
        <v>1268.5546874999998</v>
      </c>
    </row>
    <row r="737" spans="1:4" x14ac:dyDescent="0.25">
      <c r="A737">
        <v>733</v>
      </c>
      <c r="B737" s="17">
        <v>136.96974696505282</v>
      </c>
      <c r="C737" s="17">
        <v>-454.59512344835196</v>
      </c>
      <c r="D737" s="17">
        <v>1268.5546874999998</v>
      </c>
    </row>
    <row r="738" spans="1:4" x14ac:dyDescent="0.25">
      <c r="A738">
        <v>734</v>
      </c>
      <c r="B738" s="17">
        <v>136.96974696505282</v>
      </c>
      <c r="C738" s="17">
        <v>-498.21658641384636</v>
      </c>
      <c r="D738" s="17">
        <v>1268.5546874999998</v>
      </c>
    </row>
    <row r="739" spans="1:4" x14ac:dyDescent="0.25">
      <c r="A739">
        <v>735</v>
      </c>
      <c r="B739" s="17">
        <v>180.59120993054722</v>
      </c>
      <c r="C739" s="17">
        <v>-498.21658641384636</v>
      </c>
      <c r="D739" s="17">
        <v>1268.5546874999998</v>
      </c>
    </row>
    <row r="740" spans="1:4" x14ac:dyDescent="0.25">
      <c r="A740">
        <v>736</v>
      </c>
      <c r="B740" s="17">
        <v>195.13169758571203</v>
      </c>
      <c r="C740" s="17">
        <v>-483.6760987586815</v>
      </c>
      <c r="D740" s="17">
        <v>1268.5546874999998</v>
      </c>
    </row>
    <row r="741" spans="1:4" x14ac:dyDescent="0.25">
      <c r="A741">
        <v>737</v>
      </c>
      <c r="B741" s="17">
        <v>195.13169758571203</v>
      </c>
      <c r="C741" s="17">
        <v>-440.0546357931872</v>
      </c>
      <c r="D741" s="17">
        <v>1268.5546874999998</v>
      </c>
    </row>
    <row r="742" spans="1:4" x14ac:dyDescent="0.25">
      <c r="A742">
        <v>738</v>
      </c>
      <c r="B742" s="17">
        <v>151.51023462021763</v>
      </c>
      <c r="C742" s="17">
        <v>-440.0546357931872</v>
      </c>
      <c r="D742" s="17">
        <v>1268.5546874999998</v>
      </c>
    </row>
    <row r="743" spans="1:4" x14ac:dyDescent="0.25">
      <c r="A743">
        <v>739</v>
      </c>
      <c r="B743" s="17">
        <v>136.96974696505282</v>
      </c>
      <c r="C743" s="17">
        <v>-367.35219751736315</v>
      </c>
      <c r="D743" s="17">
        <v>1268.5546874999998</v>
      </c>
    </row>
    <row r="744" spans="1:4" x14ac:dyDescent="0.25">
      <c r="A744">
        <v>740</v>
      </c>
      <c r="B744" s="17">
        <v>136.96974696505282</v>
      </c>
      <c r="C744" s="17">
        <v>-410.97366048285755</v>
      </c>
      <c r="D744" s="17">
        <v>1268.5546874999998</v>
      </c>
    </row>
    <row r="745" spans="1:4" x14ac:dyDescent="0.25">
      <c r="A745">
        <v>741</v>
      </c>
      <c r="B745" s="17">
        <v>180.59120993054722</v>
      </c>
      <c r="C745" s="17">
        <v>-410.97366048285755</v>
      </c>
      <c r="D745" s="17">
        <v>1268.5546874999998</v>
      </c>
    </row>
    <row r="746" spans="1:4" x14ac:dyDescent="0.25">
      <c r="A746">
        <v>742</v>
      </c>
      <c r="B746" s="17">
        <v>151.51023462021763</v>
      </c>
      <c r="C746" s="17">
        <v>-356.3785370345056</v>
      </c>
      <c r="D746" s="17">
        <v>957.3742486977638</v>
      </c>
    </row>
    <row r="747" spans="1:4" x14ac:dyDescent="0.25">
      <c r="A747">
        <v>743</v>
      </c>
      <c r="B747" s="17">
        <v>195.13169758571203</v>
      </c>
      <c r="C747" s="17">
        <v>-400</v>
      </c>
      <c r="D747" s="17">
        <v>957.3742486977638</v>
      </c>
    </row>
    <row r="748" spans="1:4" x14ac:dyDescent="0.25">
      <c r="A748">
        <v>744</v>
      </c>
      <c r="B748" s="17">
        <v>195.13169758571203</v>
      </c>
      <c r="C748" s="17">
        <v>-367.0790185514272</v>
      </c>
      <c r="D748" s="17">
        <v>957.3742486977638</v>
      </c>
    </row>
    <row r="749" spans="1:4" x14ac:dyDescent="0.25">
      <c r="A749">
        <v>745</v>
      </c>
      <c r="B749" s="17">
        <v>191.56487041340483</v>
      </c>
      <c r="C749" s="17">
        <v>-352.5385308962624</v>
      </c>
      <c r="D749" s="17">
        <v>234.84690233958182</v>
      </c>
    </row>
    <row r="750" spans="1:4" x14ac:dyDescent="0.25">
      <c r="A750">
        <v>746</v>
      </c>
      <c r="B750" s="17">
        <v>180.8643888964832</v>
      </c>
      <c r="C750" s="17">
        <v>-341.8380493793408</v>
      </c>
      <c r="D750" s="17">
        <v>234.84690233958182</v>
      </c>
    </row>
    <row r="751" spans="1:4" x14ac:dyDescent="0.25">
      <c r="A751">
        <v>747</v>
      </c>
      <c r="B751" s="17">
        <v>147.94340744791043</v>
      </c>
      <c r="C751" s="17">
        <v>-341.83804937934076</v>
      </c>
      <c r="D751" s="17">
        <v>234.84690233958182</v>
      </c>
    </row>
    <row r="752" spans="1:4" x14ac:dyDescent="0.25">
      <c r="A752">
        <v>748</v>
      </c>
      <c r="B752" s="17">
        <v>137.9980432410976</v>
      </c>
      <c r="C752" s="17">
        <v>-331.892685172528</v>
      </c>
      <c r="D752" s="17">
        <v>419.97539876398633</v>
      </c>
    </row>
    <row r="753" spans="1:4" x14ac:dyDescent="0.25">
      <c r="A753">
        <v>749</v>
      </c>
      <c r="B753" s="17">
        <v>170.9190246896704</v>
      </c>
      <c r="C753" s="17">
        <v>-331.892685172528</v>
      </c>
      <c r="D753" s="17">
        <v>419.97539876398633</v>
      </c>
    </row>
    <row r="754" spans="1:4" x14ac:dyDescent="0.25">
      <c r="A754">
        <v>750</v>
      </c>
      <c r="B754" s="17">
        <v>151.78341358615359</v>
      </c>
      <c r="C754" s="17">
        <v>-312.7570740690112</v>
      </c>
      <c r="D754" s="17">
        <v>419.97539876398633</v>
      </c>
    </row>
    <row r="755" spans="1:4" x14ac:dyDescent="0.25">
      <c r="A755">
        <v>751</v>
      </c>
      <c r="B755" s="17">
        <v>127.02438275824002</v>
      </c>
      <c r="C755" s="17">
        <v>-273.73073455186875</v>
      </c>
      <c r="D755" s="17">
        <v>400.89201464832286</v>
      </c>
    </row>
    <row r="756" spans="1:4" x14ac:dyDescent="0.25">
      <c r="A756">
        <v>752</v>
      </c>
      <c r="B756" s="17">
        <v>127.02438275824002</v>
      </c>
      <c r="C756" s="17">
        <v>-317.3521975173632</v>
      </c>
      <c r="D756" s="17">
        <v>400.89201464832286</v>
      </c>
    </row>
    <row r="757" spans="1:4" x14ac:dyDescent="0.25">
      <c r="A757">
        <v>753</v>
      </c>
      <c r="B757" s="17">
        <v>140.809753103296</v>
      </c>
      <c r="C757" s="17">
        <v>-298.21658641384636</v>
      </c>
      <c r="D757" s="17">
        <v>400.89201464832286</v>
      </c>
    </row>
    <row r="758" spans="1:4" x14ac:dyDescent="0.25">
      <c r="A758">
        <v>754</v>
      </c>
      <c r="B758" s="17">
        <v>145.40487655164802</v>
      </c>
      <c r="C758" s="17">
        <v>-283.6760987586816</v>
      </c>
      <c r="D758" s="17">
        <v>225.03102408769325</v>
      </c>
    </row>
    <row r="759" spans="1:4" x14ac:dyDescent="0.25">
      <c r="A759">
        <v>755</v>
      </c>
      <c r="B759" s="17">
        <v>145.40487655164802</v>
      </c>
      <c r="C759" s="17">
        <v>-259.19024689670397</v>
      </c>
      <c r="D759" s="17">
        <v>225.03102408769325</v>
      </c>
    </row>
    <row r="760" spans="1:4" x14ac:dyDescent="0.25">
      <c r="A760">
        <v>756</v>
      </c>
      <c r="B760" s="17">
        <v>131.619506206592</v>
      </c>
      <c r="C760" s="17">
        <v>-259.19024689670397</v>
      </c>
      <c r="D760" s="17">
        <v>225.03102408769325</v>
      </c>
    </row>
    <row r="761" spans="1:4" x14ac:dyDescent="0.25">
      <c r="A761">
        <v>757</v>
      </c>
      <c r="B761" s="17">
        <v>127.02438275824002</v>
      </c>
      <c r="C761" s="17">
        <v>-192.86634565538557</v>
      </c>
      <c r="D761" s="17">
        <v>400.89201464832286</v>
      </c>
    </row>
    <row r="762" spans="1:4" x14ac:dyDescent="0.25">
      <c r="A762">
        <v>758</v>
      </c>
      <c r="B762" s="17">
        <v>127.02438275824002</v>
      </c>
      <c r="C762" s="17">
        <v>-236.48780862087997</v>
      </c>
      <c r="D762" s="17">
        <v>400.89201464832286</v>
      </c>
    </row>
    <row r="763" spans="1:4" x14ac:dyDescent="0.25">
      <c r="A763">
        <v>759</v>
      </c>
      <c r="B763" s="17">
        <v>140.809753103296</v>
      </c>
      <c r="C763" s="17">
        <v>-236.48780862087997</v>
      </c>
      <c r="D763" s="17">
        <v>400.89201464832286</v>
      </c>
    </row>
    <row r="764" spans="1:4" x14ac:dyDescent="0.25">
      <c r="A764">
        <v>760</v>
      </c>
      <c r="B764" s="17">
        <v>145.40487655164802</v>
      </c>
      <c r="C764" s="17">
        <v>-221.9473209657152</v>
      </c>
      <c r="D764" s="17">
        <v>400.89201464832286</v>
      </c>
    </row>
    <row r="765" spans="1:4" x14ac:dyDescent="0.25">
      <c r="A765">
        <v>761</v>
      </c>
      <c r="B765" s="17">
        <v>145.40487655164802</v>
      </c>
      <c r="C765" s="17">
        <v>-178.3258580002208</v>
      </c>
      <c r="D765" s="17">
        <v>400.89201464832286</v>
      </c>
    </row>
    <row r="766" spans="1:4" x14ac:dyDescent="0.25">
      <c r="A766">
        <v>762</v>
      </c>
      <c r="B766" s="17">
        <v>131.619506206592</v>
      </c>
      <c r="C766" s="17">
        <v>-178.32585800022076</v>
      </c>
      <c r="D766" s="17">
        <v>400.89201464832286</v>
      </c>
    </row>
    <row r="767" spans="1:4" x14ac:dyDescent="0.25">
      <c r="A767">
        <v>763</v>
      </c>
      <c r="B767" s="17">
        <v>127.02438275824002</v>
      </c>
      <c r="C767" s="17">
        <v>-105.62341972439677</v>
      </c>
      <c r="D767" s="17">
        <v>400.89201464832286</v>
      </c>
    </row>
    <row r="768" spans="1:4" x14ac:dyDescent="0.25">
      <c r="A768">
        <v>764</v>
      </c>
      <c r="B768" s="17">
        <v>127.02438275824002</v>
      </c>
      <c r="C768" s="17">
        <v>-149.24488268989117</v>
      </c>
      <c r="D768" s="17">
        <v>400.89201464832286</v>
      </c>
    </row>
    <row r="769" spans="1:4" x14ac:dyDescent="0.25">
      <c r="A769">
        <v>765</v>
      </c>
      <c r="B769" s="17">
        <v>140.809753103296</v>
      </c>
      <c r="C769" s="17">
        <v>-149.24488268989117</v>
      </c>
      <c r="D769" s="17">
        <v>400.89201464832286</v>
      </c>
    </row>
    <row r="770" spans="1:4" x14ac:dyDescent="0.25">
      <c r="A770">
        <v>766</v>
      </c>
      <c r="B770" s="17">
        <v>145.40487655164802</v>
      </c>
      <c r="C770" s="17">
        <v>-134.70439503472636</v>
      </c>
      <c r="D770" s="17">
        <v>400.89201464832286</v>
      </c>
    </row>
    <row r="771" spans="1:4" x14ac:dyDescent="0.25">
      <c r="A771">
        <v>767</v>
      </c>
      <c r="B771" s="17">
        <v>145.40487655164802</v>
      </c>
      <c r="C771" s="17">
        <v>-91.08293206923197</v>
      </c>
      <c r="D771" s="17">
        <v>400.89201464832286</v>
      </c>
    </row>
    <row r="772" spans="1:4" x14ac:dyDescent="0.25">
      <c r="A772">
        <v>768</v>
      </c>
      <c r="B772" s="17">
        <v>131.619506206592</v>
      </c>
      <c r="C772" s="17">
        <v>-91.08293206923197</v>
      </c>
      <c r="D772" s="17">
        <v>400.89201464832286</v>
      </c>
    </row>
    <row r="773" spans="1:4" x14ac:dyDescent="0.25">
      <c r="A773">
        <v>769</v>
      </c>
      <c r="B773" s="17">
        <v>127.02438275824002</v>
      </c>
      <c r="C773" s="17">
        <v>-18.380493793407975</v>
      </c>
      <c r="D773" s="17">
        <v>400.89201464832286</v>
      </c>
    </row>
    <row r="774" spans="1:4" x14ac:dyDescent="0.25">
      <c r="A774">
        <v>770</v>
      </c>
      <c r="B774" s="17">
        <v>127.02438275824002</v>
      </c>
      <c r="C774" s="17">
        <v>-62.001956758902374</v>
      </c>
      <c r="D774" s="17">
        <v>400.89201464832286</v>
      </c>
    </row>
    <row r="775" spans="1:4" x14ac:dyDescent="0.25">
      <c r="A775">
        <v>771</v>
      </c>
      <c r="B775" s="17">
        <v>140.809753103296</v>
      </c>
      <c r="C775" s="17">
        <v>-62.001956758902374</v>
      </c>
      <c r="D775" s="17">
        <v>400.89201464832286</v>
      </c>
    </row>
    <row r="776" spans="1:4" x14ac:dyDescent="0.25">
      <c r="A776">
        <v>772</v>
      </c>
      <c r="B776" s="17">
        <v>145.40487655164802</v>
      </c>
      <c r="C776" s="17">
        <v>-47.46146910373757</v>
      </c>
      <c r="D776" s="17">
        <v>400.89201464832286</v>
      </c>
    </row>
    <row r="777" spans="1:4" x14ac:dyDescent="0.25">
      <c r="A777">
        <v>773</v>
      </c>
      <c r="B777" s="17">
        <v>145.40487655164802</v>
      </c>
      <c r="C777" s="17">
        <v>-3.840006138243174</v>
      </c>
      <c r="D777" s="17">
        <v>400.89201464832286</v>
      </c>
    </row>
    <row r="778" spans="1:4" x14ac:dyDescent="0.25">
      <c r="A778">
        <v>774</v>
      </c>
      <c r="B778" s="17">
        <v>131.619506206592</v>
      </c>
      <c r="C778" s="17">
        <v>-3.840006138243173</v>
      </c>
      <c r="D778" s="17">
        <v>400.89201464832286</v>
      </c>
    </row>
    <row r="779" spans="1:4" x14ac:dyDescent="0.25">
      <c r="A779">
        <v>775</v>
      </c>
      <c r="B779" s="17">
        <v>127.02438275824002</v>
      </c>
      <c r="C779" s="17">
        <v>68.86243213758081</v>
      </c>
      <c r="D779" s="17">
        <v>400.89201464832286</v>
      </c>
    </row>
    <row r="780" spans="1:4" x14ac:dyDescent="0.25">
      <c r="A780">
        <v>776</v>
      </c>
      <c r="B780" s="17">
        <v>127.02438275824002</v>
      </c>
      <c r="C780" s="17">
        <v>25.240969172086423</v>
      </c>
      <c r="D780" s="17">
        <v>400.89201464832286</v>
      </c>
    </row>
    <row r="781" spans="1:4" x14ac:dyDescent="0.25">
      <c r="A781">
        <v>777</v>
      </c>
      <c r="B781" s="17">
        <v>140.809753103296</v>
      </c>
      <c r="C781" s="17">
        <v>25.240969172086423</v>
      </c>
      <c r="D781" s="17">
        <v>400.89201464832286</v>
      </c>
    </row>
    <row r="782" spans="1:4" x14ac:dyDescent="0.25">
      <c r="A782">
        <v>778</v>
      </c>
      <c r="B782" s="17">
        <v>145.40487655164802</v>
      </c>
      <c r="C782" s="17">
        <v>39.78145682725122</v>
      </c>
      <c r="D782" s="17">
        <v>400.89201464832286</v>
      </c>
    </row>
    <row r="783" spans="1:4" x14ac:dyDescent="0.25">
      <c r="A783">
        <v>779</v>
      </c>
      <c r="B783" s="17">
        <v>145.40487655164802</v>
      </c>
      <c r="C783" s="17">
        <v>83.40291979274562</v>
      </c>
      <c r="D783" s="17">
        <v>400.89201464832286</v>
      </c>
    </row>
    <row r="784" spans="1:4" x14ac:dyDescent="0.25">
      <c r="A784">
        <v>780</v>
      </c>
      <c r="B784" s="17">
        <v>131.619506206592</v>
      </c>
      <c r="C784" s="17">
        <v>83.40291979274562</v>
      </c>
      <c r="D784" s="17">
        <v>400.89201464832286</v>
      </c>
    </row>
    <row r="785" spans="1:4" x14ac:dyDescent="0.25">
      <c r="A785">
        <v>781</v>
      </c>
      <c r="B785" s="17">
        <v>127.02438275824002</v>
      </c>
      <c r="C785" s="17">
        <v>156.10535806856961</v>
      </c>
      <c r="D785" s="17">
        <v>400.89201464832286</v>
      </c>
    </row>
    <row r="786" spans="1:4" x14ac:dyDescent="0.25">
      <c r="A786">
        <v>782</v>
      </c>
      <c r="B786" s="17">
        <v>127.02438275824002</v>
      </c>
      <c r="C786" s="17">
        <v>112.48389510307521</v>
      </c>
      <c r="D786" s="17">
        <v>400.89201464832286</v>
      </c>
    </row>
    <row r="787" spans="1:4" x14ac:dyDescent="0.25">
      <c r="A787">
        <v>783</v>
      </c>
      <c r="B787" s="17">
        <v>140.809753103296</v>
      </c>
      <c r="C787" s="17">
        <v>112.48389510307521</v>
      </c>
      <c r="D787" s="17">
        <v>400.89201464832286</v>
      </c>
    </row>
    <row r="788" spans="1:4" x14ac:dyDescent="0.25">
      <c r="A788">
        <v>784</v>
      </c>
      <c r="B788" s="17">
        <v>145.40487655164802</v>
      </c>
      <c r="C788" s="17">
        <v>127.02438275824002</v>
      </c>
      <c r="D788" s="17">
        <v>400.89201464832286</v>
      </c>
    </row>
    <row r="789" spans="1:4" x14ac:dyDescent="0.25">
      <c r="A789">
        <v>785</v>
      </c>
      <c r="B789" s="17">
        <v>145.40487655164802</v>
      </c>
      <c r="C789" s="17">
        <v>170.64584572373442</v>
      </c>
      <c r="D789" s="17">
        <v>400.89201464832286</v>
      </c>
    </row>
    <row r="790" spans="1:4" x14ac:dyDescent="0.25">
      <c r="A790">
        <v>786</v>
      </c>
      <c r="B790" s="17">
        <v>131.619506206592</v>
      </c>
      <c r="C790" s="17">
        <v>170.64584572373442</v>
      </c>
      <c r="D790" s="17">
        <v>400.89201464832286</v>
      </c>
    </row>
    <row r="791" spans="1:4" x14ac:dyDescent="0.25">
      <c r="A791">
        <v>787</v>
      </c>
      <c r="B791" s="17">
        <v>127.02438275824002</v>
      </c>
      <c r="C791" s="17">
        <v>243.34828399955842</v>
      </c>
      <c r="D791" s="17">
        <v>400.89201464832286</v>
      </c>
    </row>
    <row r="792" spans="1:4" x14ac:dyDescent="0.25">
      <c r="A792">
        <v>788</v>
      </c>
      <c r="B792" s="17">
        <v>127.02438275824002</v>
      </c>
      <c r="C792" s="17">
        <v>199.72682103406402</v>
      </c>
      <c r="D792" s="17">
        <v>400.89201464832286</v>
      </c>
    </row>
    <row r="793" spans="1:4" x14ac:dyDescent="0.25">
      <c r="A793">
        <v>789</v>
      </c>
      <c r="B793" s="17">
        <v>140.809753103296</v>
      </c>
      <c r="C793" s="17">
        <v>199.72682103406402</v>
      </c>
      <c r="D793" s="17">
        <v>400.89201464832286</v>
      </c>
    </row>
    <row r="794" spans="1:4" x14ac:dyDescent="0.25">
      <c r="A794">
        <v>790</v>
      </c>
      <c r="B794" s="17">
        <v>145.40487655164802</v>
      </c>
      <c r="C794" s="17">
        <v>214.2673086892288</v>
      </c>
      <c r="D794" s="17">
        <v>400.89201464832286</v>
      </c>
    </row>
    <row r="795" spans="1:4" x14ac:dyDescent="0.25">
      <c r="A795">
        <v>791</v>
      </c>
      <c r="B795" s="17">
        <v>145.40487655164802</v>
      </c>
      <c r="C795" s="17">
        <v>257.8887716547232</v>
      </c>
      <c r="D795" s="17">
        <v>400.89201464832286</v>
      </c>
    </row>
    <row r="796" spans="1:4" x14ac:dyDescent="0.25">
      <c r="A796">
        <v>792</v>
      </c>
      <c r="B796" s="17">
        <v>131.619506206592</v>
      </c>
      <c r="C796" s="17">
        <v>257.8887716547232</v>
      </c>
      <c r="D796" s="17">
        <v>400.89201464832286</v>
      </c>
    </row>
    <row r="797" spans="1:4" x14ac:dyDescent="0.25">
      <c r="A797">
        <v>793</v>
      </c>
      <c r="B797" s="17">
        <v>127.02438275824002</v>
      </c>
      <c r="C797" s="17">
        <v>330.5912099305472</v>
      </c>
      <c r="D797" s="17">
        <v>400.89201464832286</v>
      </c>
    </row>
    <row r="798" spans="1:4" x14ac:dyDescent="0.25">
      <c r="A798">
        <v>794</v>
      </c>
      <c r="B798" s="17">
        <v>127.02438275824002</v>
      </c>
      <c r="C798" s="17">
        <v>286.9697469650528</v>
      </c>
      <c r="D798" s="17">
        <v>400.89201464832286</v>
      </c>
    </row>
    <row r="799" spans="1:4" x14ac:dyDescent="0.25">
      <c r="A799">
        <v>795</v>
      </c>
      <c r="B799" s="17">
        <v>140.809753103296</v>
      </c>
      <c r="C799" s="17">
        <v>286.9697469650528</v>
      </c>
      <c r="D799" s="17">
        <v>400.89201464832286</v>
      </c>
    </row>
    <row r="800" spans="1:4" x14ac:dyDescent="0.25">
      <c r="A800">
        <v>796</v>
      </c>
      <c r="B800" s="17">
        <v>131.619506206592</v>
      </c>
      <c r="C800" s="17">
        <v>335.18633337889923</v>
      </c>
      <c r="D800" s="17">
        <v>126.69095703356591</v>
      </c>
    </row>
    <row r="801" spans="1:4" x14ac:dyDescent="0.25">
      <c r="A801">
        <v>797</v>
      </c>
      <c r="B801" s="17">
        <v>145.404876551648</v>
      </c>
      <c r="C801" s="17">
        <v>291.56487041340483</v>
      </c>
      <c r="D801" s="17">
        <v>126.69095703356591</v>
      </c>
    </row>
    <row r="802" spans="1:4" x14ac:dyDescent="0.25">
      <c r="A802">
        <v>798</v>
      </c>
      <c r="B802" s="17">
        <v>145.404876551648</v>
      </c>
      <c r="C802" s="17">
        <v>305.3502407584608</v>
      </c>
      <c r="D802" s="17">
        <v>126.69095703356591</v>
      </c>
    </row>
    <row r="803" spans="1:4" x14ac:dyDescent="0.25">
      <c r="A803">
        <v>799</v>
      </c>
      <c r="B803" s="17">
        <v>155.3502407584608</v>
      </c>
      <c r="C803" s="17">
        <v>319.89072841362565</v>
      </c>
      <c r="D803" s="17">
        <v>867.662672851677</v>
      </c>
    </row>
    <row r="804" spans="1:4" x14ac:dyDescent="0.25">
      <c r="A804">
        <v>800</v>
      </c>
      <c r="B804" s="17">
        <v>185.18633337889923</v>
      </c>
      <c r="C804" s="17">
        <v>349.726821034064</v>
      </c>
      <c r="D804" s="17">
        <v>867.662672851677</v>
      </c>
    </row>
    <row r="805" spans="1:4" x14ac:dyDescent="0.25">
      <c r="A805">
        <v>801</v>
      </c>
      <c r="B805" s="17">
        <v>141.56487041340483</v>
      </c>
      <c r="C805" s="17">
        <v>349.726821034064</v>
      </c>
      <c r="D805" s="17">
        <v>867.662672851677</v>
      </c>
    </row>
    <row r="806" spans="1:4" x14ac:dyDescent="0.25">
      <c r="A806">
        <v>802</v>
      </c>
      <c r="B806" s="17">
        <v>136.96974696505282</v>
      </c>
      <c r="C806" s="17">
        <v>417.8341358615361</v>
      </c>
      <c r="D806" s="17">
        <v>1268.5546874999998</v>
      </c>
    </row>
    <row r="807" spans="1:4" x14ac:dyDescent="0.25">
      <c r="A807">
        <v>803</v>
      </c>
      <c r="B807" s="17">
        <v>136.96974696505282</v>
      </c>
      <c r="C807" s="17">
        <v>374.2126728960416</v>
      </c>
      <c r="D807" s="17">
        <v>1268.5546874999998</v>
      </c>
    </row>
    <row r="808" spans="1:4" x14ac:dyDescent="0.25">
      <c r="A808">
        <v>804</v>
      </c>
      <c r="B808" s="17">
        <v>180.59120993054722</v>
      </c>
      <c r="C808" s="17">
        <v>374.2126728960416</v>
      </c>
      <c r="D808" s="17">
        <v>1268.5546874999998</v>
      </c>
    </row>
    <row r="809" spans="1:4" x14ac:dyDescent="0.25">
      <c r="A809">
        <v>805</v>
      </c>
      <c r="B809" s="17">
        <v>195.13169758571203</v>
      </c>
      <c r="C809" s="17">
        <v>388.7531605512064</v>
      </c>
      <c r="D809" s="17">
        <v>1268.5546874999998</v>
      </c>
    </row>
    <row r="810" spans="1:4" x14ac:dyDescent="0.25">
      <c r="A810">
        <v>806</v>
      </c>
      <c r="B810" s="17">
        <v>195.13169758571203</v>
      </c>
      <c r="C810" s="17">
        <v>432.37462351670086</v>
      </c>
      <c r="D810" s="17">
        <v>1268.5546874999998</v>
      </c>
    </row>
    <row r="811" spans="1:4" x14ac:dyDescent="0.25">
      <c r="A811">
        <v>807</v>
      </c>
      <c r="B811" s="17">
        <v>151.51023462021763</v>
      </c>
      <c r="C811" s="17">
        <v>432.3746235167008</v>
      </c>
      <c r="D811" s="17">
        <v>1268.5546874999998</v>
      </c>
    </row>
    <row r="812" spans="1:4" x14ac:dyDescent="0.25">
      <c r="A812">
        <v>808</v>
      </c>
      <c r="B812" s="17">
        <v>136.96974696505282</v>
      </c>
      <c r="C812" s="17">
        <v>505.07706179252483</v>
      </c>
      <c r="D812" s="17">
        <v>1268.5546874999998</v>
      </c>
    </row>
    <row r="813" spans="1:4" x14ac:dyDescent="0.25">
      <c r="A813">
        <v>809</v>
      </c>
      <c r="B813" s="17">
        <v>136.96974696505282</v>
      </c>
      <c r="C813" s="17">
        <v>461.4555988270304</v>
      </c>
      <c r="D813" s="17">
        <v>1268.5546874999998</v>
      </c>
    </row>
    <row r="814" spans="1:4" x14ac:dyDescent="0.25">
      <c r="A814">
        <v>810</v>
      </c>
      <c r="B814" s="17">
        <v>180.59120993054722</v>
      </c>
      <c r="C814" s="17">
        <v>461.4555988270304</v>
      </c>
      <c r="D814" s="17">
        <v>1268.5546874999998</v>
      </c>
    </row>
    <row r="815" spans="1:4" x14ac:dyDescent="0.25">
      <c r="A815">
        <v>811</v>
      </c>
      <c r="B815" s="17">
        <v>195.13169758571203</v>
      </c>
      <c r="C815" s="17">
        <v>475.9960864821952</v>
      </c>
      <c r="D815" s="17">
        <v>1268.5546874999998</v>
      </c>
    </row>
    <row r="816" spans="1:4" x14ac:dyDescent="0.25">
      <c r="A816">
        <v>812</v>
      </c>
      <c r="B816" s="17">
        <v>195.13169758571203</v>
      </c>
      <c r="C816" s="17">
        <v>519.6175494476896</v>
      </c>
      <c r="D816" s="17">
        <v>1268.5546874999998</v>
      </c>
    </row>
    <row r="817" spans="1:4" x14ac:dyDescent="0.25">
      <c r="A817">
        <v>813</v>
      </c>
      <c r="B817" s="17">
        <v>151.51023462021763</v>
      </c>
      <c r="C817" s="17">
        <v>519.6175494476896</v>
      </c>
      <c r="D817" s="17">
        <v>1268.5546874999998</v>
      </c>
    </row>
    <row r="818" spans="1:4" x14ac:dyDescent="0.25">
      <c r="A818">
        <v>814</v>
      </c>
      <c r="B818" s="17">
        <v>136.96974696505282</v>
      </c>
      <c r="C818" s="17">
        <v>578.0526790342848</v>
      </c>
      <c r="D818" s="17">
        <v>957.3742486977636</v>
      </c>
    </row>
    <row r="819" spans="1:4" x14ac:dyDescent="0.25">
      <c r="A819">
        <v>815</v>
      </c>
      <c r="B819" s="17">
        <v>136.96974696505282</v>
      </c>
      <c r="C819" s="17">
        <v>545.131697585712</v>
      </c>
      <c r="D819" s="17">
        <v>957.3742486977636</v>
      </c>
    </row>
    <row r="820" spans="1:4" x14ac:dyDescent="0.25">
      <c r="A820">
        <v>816</v>
      </c>
      <c r="B820" s="17">
        <v>180.59120993054722</v>
      </c>
      <c r="C820" s="17">
        <v>545.131697585712</v>
      </c>
      <c r="D820" s="17">
        <v>957.3742486977636</v>
      </c>
    </row>
    <row r="821" spans="1:4" x14ac:dyDescent="0.25">
      <c r="A821">
        <v>817</v>
      </c>
      <c r="B821" s="17">
        <v>195.13169758571203</v>
      </c>
      <c r="C821" s="17">
        <v>556.1053580685696</v>
      </c>
      <c r="D821" s="17">
        <v>957.3742486977636</v>
      </c>
    </row>
    <row r="822" spans="1:4" x14ac:dyDescent="0.25">
      <c r="A822">
        <v>818</v>
      </c>
      <c r="B822" s="17">
        <v>195.13169758571203</v>
      </c>
      <c r="C822" s="17">
        <v>589.0263395171423</v>
      </c>
      <c r="D822" s="17">
        <v>957.3742486977636</v>
      </c>
    </row>
    <row r="823" spans="1:4" x14ac:dyDescent="0.25">
      <c r="A823">
        <v>819</v>
      </c>
      <c r="B823" s="17">
        <v>151.51023462021763</v>
      </c>
      <c r="C823" s="17">
        <v>589.0263395171423</v>
      </c>
      <c r="D823" s="17">
        <v>957.3742486977636</v>
      </c>
    </row>
    <row r="824" spans="1:4" x14ac:dyDescent="0.25">
      <c r="A824">
        <v>820</v>
      </c>
      <c r="B824" s="17">
        <v>224.21267289604162</v>
      </c>
      <c r="C824" s="17">
        <v>-541.8380493793408</v>
      </c>
      <c r="D824" s="17">
        <v>1268.5546874999998</v>
      </c>
    </row>
    <row r="825" spans="1:4" x14ac:dyDescent="0.25">
      <c r="A825">
        <v>821</v>
      </c>
      <c r="B825" s="17">
        <v>224.21267289604162</v>
      </c>
      <c r="C825" s="17">
        <v>-585.4595123448352</v>
      </c>
      <c r="D825" s="17">
        <v>1268.5546874999998</v>
      </c>
    </row>
    <row r="826" spans="1:4" x14ac:dyDescent="0.25">
      <c r="A826">
        <v>822</v>
      </c>
      <c r="B826" s="17">
        <v>267.834135861536</v>
      </c>
      <c r="C826" s="17">
        <v>-585.4595123448352</v>
      </c>
      <c r="D826" s="17">
        <v>1268.5546874999998</v>
      </c>
    </row>
    <row r="827" spans="1:4" x14ac:dyDescent="0.25">
      <c r="A827">
        <v>823</v>
      </c>
      <c r="B827" s="17">
        <v>282.37462351670086</v>
      </c>
      <c r="C827" s="17">
        <v>-570.9190246896703</v>
      </c>
      <c r="D827" s="17">
        <v>1268.5546874999998</v>
      </c>
    </row>
    <row r="828" spans="1:4" x14ac:dyDescent="0.25">
      <c r="A828">
        <v>824</v>
      </c>
      <c r="B828" s="17">
        <v>282.37462351670086</v>
      </c>
      <c r="C828" s="17">
        <v>-527.2975617241759</v>
      </c>
      <c r="D828" s="17">
        <v>1268.5546874999998</v>
      </c>
    </row>
    <row r="829" spans="1:4" x14ac:dyDescent="0.25">
      <c r="A829">
        <v>825</v>
      </c>
      <c r="B829" s="17">
        <v>238.75316055120643</v>
      </c>
      <c r="C829" s="17">
        <v>-527.2975617241759</v>
      </c>
      <c r="D829" s="17">
        <v>1268.5546874999998</v>
      </c>
    </row>
    <row r="830" spans="1:4" x14ac:dyDescent="0.25">
      <c r="A830">
        <v>826</v>
      </c>
      <c r="B830" s="17">
        <v>224.21267289604162</v>
      </c>
      <c r="C830" s="17">
        <v>-454.59512344835196</v>
      </c>
      <c r="D830" s="17">
        <v>1268.5546874999998</v>
      </c>
    </row>
    <row r="831" spans="1:4" x14ac:dyDescent="0.25">
      <c r="A831">
        <v>827</v>
      </c>
      <c r="B831" s="17">
        <v>224.21267289604162</v>
      </c>
      <c r="C831" s="17">
        <v>-498.21658641384636</v>
      </c>
      <c r="D831" s="17">
        <v>1268.5546874999998</v>
      </c>
    </row>
    <row r="832" spans="1:4" x14ac:dyDescent="0.25">
      <c r="A832">
        <v>828</v>
      </c>
      <c r="B832" s="17">
        <v>267.834135861536</v>
      </c>
      <c r="C832" s="17">
        <v>-498.21658641384636</v>
      </c>
      <c r="D832" s="17">
        <v>1268.5546874999998</v>
      </c>
    </row>
    <row r="833" spans="1:4" x14ac:dyDescent="0.25">
      <c r="A833">
        <v>829</v>
      </c>
      <c r="B833" s="17">
        <v>282.37462351670086</v>
      </c>
      <c r="C833" s="17">
        <v>-483.6760987586815</v>
      </c>
      <c r="D833" s="17">
        <v>1268.5546874999998</v>
      </c>
    </row>
    <row r="834" spans="1:4" x14ac:dyDescent="0.25">
      <c r="A834">
        <v>830</v>
      </c>
      <c r="B834" s="17">
        <v>282.37462351670086</v>
      </c>
      <c r="C834" s="17">
        <v>-440.0546357931872</v>
      </c>
      <c r="D834" s="17">
        <v>1268.5546874999998</v>
      </c>
    </row>
    <row r="835" spans="1:4" x14ac:dyDescent="0.25">
      <c r="A835">
        <v>831</v>
      </c>
      <c r="B835" s="17">
        <v>238.75316055120643</v>
      </c>
      <c r="C835" s="17">
        <v>-440.0546357931872</v>
      </c>
      <c r="D835" s="17">
        <v>1268.5546874999998</v>
      </c>
    </row>
    <row r="836" spans="1:4" x14ac:dyDescent="0.25">
      <c r="A836">
        <v>832</v>
      </c>
      <c r="B836" s="17">
        <v>238.75316055120643</v>
      </c>
      <c r="C836" s="17">
        <v>-421.2617901150186</v>
      </c>
      <c r="D836" s="17">
        <v>370.9881560329606</v>
      </c>
    </row>
    <row r="837" spans="1:4" x14ac:dyDescent="0.25">
      <c r="A837">
        <v>833</v>
      </c>
      <c r="B837" s="17">
        <v>282.3746235167008</v>
      </c>
      <c r="C837" s="17">
        <v>-421.2617901150186</v>
      </c>
      <c r="D837" s="17">
        <v>370.9881560329606</v>
      </c>
    </row>
    <row r="838" spans="1:4" x14ac:dyDescent="0.25">
      <c r="A838">
        <v>834</v>
      </c>
      <c r="B838" s="17">
        <v>282.3746235167008</v>
      </c>
      <c r="C838" s="17">
        <v>-408.5047160460074</v>
      </c>
      <c r="D838" s="17">
        <v>370.9881560329606</v>
      </c>
    </row>
    <row r="839" spans="1:4" x14ac:dyDescent="0.25">
      <c r="A839">
        <v>835</v>
      </c>
      <c r="B839" s="17">
        <v>230.93397535589548</v>
      </c>
      <c r="C839" s="17">
        <v>-417.0094320920149</v>
      </c>
      <c r="D839" s="17">
        <v>199.4998493917949</v>
      </c>
    </row>
    <row r="840" spans="1:4" x14ac:dyDescent="0.25">
      <c r="A840">
        <v>836</v>
      </c>
      <c r="B840" s="17">
        <v>274.5554383213899</v>
      </c>
      <c r="C840" s="17">
        <v>-404.2523580230037</v>
      </c>
      <c r="D840" s="17">
        <v>199.4998493917949</v>
      </c>
    </row>
    <row r="841" spans="1:4" x14ac:dyDescent="0.25">
      <c r="A841">
        <v>837</v>
      </c>
      <c r="B841" s="17">
        <v>251.09788273545706</v>
      </c>
      <c r="C841" s="17">
        <v>-404.2523580230037</v>
      </c>
      <c r="D841" s="17">
        <v>199.4998493917949</v>
      </c>
    </row>
    <row r="842" spans="1:4" x14ac:dyDescent="0.25">
      <c r="A842">
        <v>838</v>
      </c>
      <c r="B842" s="17">
        <v>216.39348770073067</v>
      </c>
      <c r="C842" s="17">
        <v>-410.2881296321611</v>
      </c>
      <c r="D842" s="17">
        <v>442.5437471821909</v>
      </c>
    </row>
    <row r="843" spans="1:4" x14ac:dyDescent="0.25">
      <c r="A843">
        <v>839</v>
      </c>
      <c r="B843" s="17">
        <v>236.55739508029225</v>
      </c>
      <c r="C843" s="17">
        <v>-397.53105556314983</v>
      </c>
      <c r="D843" s="17">
        <v>442.5437471821909</v>
      </c>
    </row>
    <row r="844" spans="1:4" x14ac:dyDescent="0.25">
      <c r="A844">
        <v>840</v>
      </c>
      <c r="B844" s="17">
        <v>216.3934877007307</v>
      </c>
      <c r="C844" s="17">
        <v>-377.36714818358826</v>
      </c>
      <c r="D844" s="17">
        <v>442.5437471821909</v>
      </c>
    </row>
    <row r="845" spans="1:4" x14ac:dyDescent="0.25">
      <c r="A845">
        <v>841</v>
      </c>
      <c r="B845" s="17">
        <v>216.39348770073067</v>
      </c>
      <c r="C845" s="17">
        <v>424.55543832138994</v>
      </c>
      <c r="D845" s="17">
        <v>586.3860926648032</v>
      </c>
    </row>
    <row r="846" spans="1:4" x14ac:dyDescent="0.25">
      <c r="A846">
        <v>842</v>
      </c>
      <c r="B846" s="17">
        <v>216.39348770073067</v>
      </c>
      <c r="C846" s="17">
        <v>380.9339753558954</v>
      </c>
      <c r="D846" s="17">
        <v>586.3860926648032</v>
      </c>
    </row>
    <row r="847" spans="1:4" x14ac:dyDescent="0.25">
      <c r="A847">
        <v>843</v>
      </c>
      <c r="B847" s="17">
        <v>236.55739508029228</v>
      </c>
      <c r="C847" s="17">
        <v>401.097882735457</v>
      </c>
      <c r="D847" s="17">
        <v>586.3860926648032</v>
      </c>
    </row>
    <row r="848" spans="1:4" x14ac:dyDescent="0.25">
      <c r="A848">
        <v>844</v>
      </c>
      <c r="B848" s="17">
        <v>230.93397535589548</v>
      </c>
      <c r="C848" s="17">
        <v>431.2767407812437</v>
      </c>
      <c r="D848" s="17">
        <v>366.83794271141875</v>
      </c>
    </row>
    <row r="849" spans="1:4" x14ac:dyDescent="0.25">
      <c r="A849">
        <v>845</v>
      </c>
      <c r="B849" s="17">
        <v>251.09788273545706</v>
      </c>
      <c r="C849" s="17">
        <v>407.81918519531087</v>
      </c>
      <c r="D849" s="17">
        <v>366.83794271141875</v>
      </c>
    </row>
    <row r="850" spans="1:4" x14ac:dyDescent="0.25">
      <c r="A850">
        <v>846</v>
      </c>
      <c r="B850" s="17">
        <v>274.5554383213899</v>
      </c>
      <c r="C850" s="17">
        <v>407.81918519531087</v>
      </c>
      <c r="D850" s="17">
        <v>366.83794271141875</v>
      </c>
    </row>
    <row r="851" spans="1:4" x14ac:dyDescent="0.25">
      <c r="A851">
        <v>847</v>
      </c>
      <c r="B851" s="17">
        <v>282.37462351670086</v>
      </c>
      <c r="C851" s="17">
        <v>415.63837039062184</v>
      </c>
      <c r="D851" s="17">
        <v>682.1685948351966</v>
      </c>
    </row>
    <row r="852" spans="1:4" x14ac:dyDescent="0.25">
      <c r="A852">
        <v>848</v>
      </c>
      <c r="B852" s="17">
        <v>282.37462351670086</v>
      </c>
      <c r="C852" s="17">
        <v>439.09592597655467</v>
      </c>
      <c r="D852" s="17">
        <v>682.1685948351966</v>
      </c>
    </row>
    <row r="853" spans="1:4" x14ac:dyDescent="0.25">
      <c r="A853">
        <v>849</v>
      </c>
      <c r="B853" s="17">
        <v>238.75316055120643</v>
      </c>
      <c r="C853" s="17">
        <v>439.09592597655467</v>
      </c>
      <c r="D853" s="17">
        <v>682.1685948351966</v>
      </c>
    </row>
    <row r="854" spans="1:4" x14ac:dyDescent="0.25">
      <c r="A854">
        <v>850</v>
      </c>
      <c r="B854" s="17">
        <v>224.21267289604162</v>
      </c>
      <c r="C854" s="17">
        <v>505.07706179252483</v>
      </c>
      <c r="D854" s="17">
        <v>1268.5546874999998</v>
      </c>
    </row>
    <row r="855" spans="1:4" x14ac:dyDescent="0.25">
      <c r="A855">
        <v>851</v>
      </c>
      <c r="B855" s="17">
        <v>224.21267289604162</v>
      </c>
      <c r="C855" s="17">
        <v>461.4555988270304</v>
      </c>
      <c r="D855" s="17">
        <v>1268.5546874999998</v>
      </c>
    </row>
    <row r="856" spans="1:4" x14ac:dyDescent="0.25">
      <c r="A856">
        <v>852</v>
      </c>
      <c r="B856" s="17">
        <v>267.834135861536</v>
      </c>
      <c r="C856" s="17">
        <v>461.4555988270304</v>
      </c>
      <c r="D856" s="17">
        <v>1268.5546874999998</v>
      </c>
    </row>
    <row r="857" spans="1:4" x14ac:dyDescent="0.25">
      <c r="A857">
        <v>853</v>
      </c>
      <c r="B857" s="17">
        <v>282.37462351670086</v>
      </c>
      <c r="C857" s="17">
        <v>475.9960864821952</v>
      </c>
      <c r="D857" s="17">
        <v>1268.5546874999998</v>
      </c>
    </row>
    <row r="858" spans="1:4" x14ac:dyDescent="0.25">
      <c r="A858">
        <v>854</v>
      </c>
      <c r="B858" s="17">
        <v>282.37462351670086</v>
      </c>
      <c r="C858" s="17">
        <v>519.6175494476896</v>
      </c>
      <c r="D858" s="17">
        <v>1268.5546874999998</v>
      </c>
    </row>
    <row r="859" spans="1:4" x14ac:dyDescent="0.25">
      <c r="A859">
        <v>855</v>
      </c>
      <c r="B859" s="17">
        <v>238.75316055120643</v>
      </c>
      <c r="C859" s="17">
        <v>519.6175494476896</v>
      </c>
      <c r="D859" s="17">
        <v>1268.5546874999998</v>
      </c>
    </row>
    <row r="860" spans="1:4" x14ac:dyDescent="0.25">
      <c r="A860">
        <v>856</v>
      </c>
      <c r="B860" s="17">
        <v>224.21267289604162</v>
      </c>
      <c r="C860" s="17">
        <v>578.0526790342848</v>
      </c>
      <c r="D860" s="17">
        <v>957.3742486977636</v>
      </c>
    </row>
    <row r="861" spans="1:4" x14ac:dyDescent="0.25">
      <c r="A861">
        <v>857</v>
      </c>
      <c r="B861" s="17">
        <v>224.21267289604162</v>
      </c>
      <c r="C861" s="17">
        <v>545.131697585712</v>
      </c>
      <c r="D861" s="17">
        <v>957.3742486977636</v>
      </c>
    </row>
    <row r="862" spans="1:4" x14ac:dyDescent="0.25">
      <c r="A862">
        <v>858</v>
      </c>
      <c r="B862" s="17">
        <v>267.834135861536</v>
      </c>
      <c r="C862" s="17">
        <v>545.131697585712</v>
      </c>
      <c r="D862" s="17">
        <v>957.3742486977636</v>
      </c>
    </row>
    <row r="863" spans="1:4" x14ac:dyDescent="0.25">
      <c r="A863">
        <v>859</v>
      </c>
      <c r="B863" s="17">
        <v>282.37462351670086</v>
      </c>
      <c r="C863" s="17">
        <v>556.1053580685696</v>
      </c>
      <c r="D863" s="17">
        <v>957.3742486977636</v>
      </c>
    </row>
    <row r="864" spans="1:4" x14ac:dyDescent="0.25">
      <c r="A864">
        <v>860</v>
      </c>
      <c r="B864" s="17">
        <v>282.37462351670086</v>
      </c>
      <c r="C864" s="17">
        <v>589.0263395171423</v>
      </c>
      <c r="D864" s="17">
        <v>957.3742486977636</v>
      </c>
    </row>
    <row r="865" spans="1:4" x14ac:dyDescent="0.25">
      <c r="A865">
        <v>861</v>
      </c>
      <c r="B865" s="17">
        <v>238.75316055120643</v>
      </c>
      <c r="C865" s="17">
        <v>589.0263395171423</v>
      </c>
      <c r="D865" s="17">
        <v>957.3742486977636</v>
      </c>
    </row>
    <row r="866" spans="1:4" x14ac:dyDescent="0.25">
      <c r="A866">
        <v>862</v>
      </c>
      <c r="B866" s="17">
        <v>311.4555988270304</v>
      </c>
      <c r="C866" s="17">
        <v>-541.8380493793408</v>
      </c>
      <c r="D866" s="17">
        <v>1268.5546874999998</v>
      </c>
    </row>
    <row r="867" spans="1:4" x14ac:dyDescent="0.25">
      <c r="A867">
        <v>863</v>
      </c>
      <c r="B867" s="17">
        <v>311.4555988270304</v>
      </c>
      <c r="C867" s="17">
        <v>-585.4595123448352</v>
      </c>
      <c r="D867" s="17">
        <v>1268.5546874999998</v>
      </c>
    </row>
    <row r="868" spans="1:4" x14ac:dyDescent="0.25">
      <c r="A868">
        <v>864</v>
      </c>
      <c r="B868" s="17">
        <v>355.07706179252483</v>
      </c>
      <c r="C868" s="17">
        <v>-585.4595123448352</v>
      </c>
      <c r="D868" s="17">
        <v>1268.5546874999998</v>
      </c>
    </row>
    <row r="869" spans="1:4" x14ac:dyDescent="0.25">
      <c r="A869">
        <v>865</v>
      </c>
      <c r="B869" s="17">
        <v>369.6175494476896</v>
      </c>
      <c r="C869" s="17">
        <v>-570.9190246896703</v>
      </c>
      <c r="D869" s="17">
        <v>1268.5546874999998</v>
      </c>
    </row>
    <row r="870" spans="1:4" x14ac:dyDescent="0.25">
      <c r="A870">
        <v>866</v>
      </c>
      <c r="B870" s="17">
        <v>369.6175494476896</v>
      </c>
      <c r="C870" s="17">
        <v>-527.2975617241759</v>
      </c>
      <c r="D870" s="17">
        <v>1268.5546874999998</v>
      </c>
    </row>
    <row r="871" spans="1:4" x14ac:dyDescent="0.25">
      <c r="A871">
        <v>867</v>
      </c>
      <c r="B871" s="17">
        <v>325.9960864821952</v>
      </c>
      <c r="C871" s="17">
        <v>-527.2975617241759</v>
      </c>
      <c r="D871" s="17">
        <v>1268.5546874999998</v>
      </c>
    </row>
    <row r="872" spans="1:4" x14ac:dyDescent="0.25">
      <c r="A872">
        <v>868</v>
      </c>
      <c r="B872" s="17">
        <v>311.4555988270304</v>
      </c>
      <c r="C872" s="17">
        <v>-454.59512344835196</v>
      </c>
      <c r="D872" s="17">
        <v>1268.5546874999998</v>
      </c>
    </row>
    <row r="873" spans="1:4" x14ac:dyDescent="0.25">
      <c r="A873">
        <v>869</v>
      </c>
      <c r="B873" s="17">
        <v>311.4555988270304</v>
      </c>
      <c r="C873" s="17">
        <v>-498.21658641384636</v>
      </c>
      <c r="D873" s="17">
        <v>1268.5546874999998</v>
      </c>
    </row>
    <row r="874" spans="1:4" x14ac:dyDescent="0.25">
      <c r="A874">
        <v>870</v>
      </c>
      <c r="B874" s="17">
        <v>355.07706179252483</v>
      </c>
      <c r="C874" s="17">
        <v>-498.21658641384636</v>
      </c>
      <c r="D874" s="17">
        <v>1268.5546874999998</v>
      </c>
    </row>
    <row r="875" spans="1:4" x14ac:dyDescent="0.25">
      <c r="A875">
        <v>871</v>
      </c>
      <c r="B875" s="17">
        <v>369.6175494476896</v>
      </c>
      <c r="C875" s="17">
        <v>-483.6760987586815</v>
      </c>
      <c r="D875" s="17">
        <v>1268.5546874999998</v>
      </c>
    </row>
    <row r="876" spans="1:4" x14ac:dyDescent="0.25">
      <c r="A876">
        <v>872</v>
      </c>
      <c r="B876" s="17">
        <v>369.6175494476896</v>
      </c>
      <c r="C876" s="17">
        <v>-440.0546357931872</v>
      </c>
      <c r="D876" s="17">
        <v>1268.5546874999998</v>
      </c>
    </row>
    <row r="877" spans="1:4" x14ac:dyDescent="0.25">
      <c r="A877">
        <v>873</v>
      </c>
      <c r="B877" s="17">
        <v>325.9960864821952</v>
      </c>
      <c r="C877" s="17">
        <v>-440.0546357931872</v>
      </c>
      <c r="D877" s="17">
        <v>1268.5546874999998</v>
      </c>
    </row>
    <row r="878" spans="1:4" x14ac:dyDescent="0.25">
      <c r="A878">
        <v>874</v>
      </c>
      <c r="B878" s="17">
        <v>311.4555988270304</v>
      </c>
      <c r="C878" s="17">
        <v>-408.5047160460074</v>
      </c>
      <c r="D878" s="17">
        <v>370.9881560329606</v>
      </c>
    </row>
    <row r="879" spans="1:4" x14ac:dyDescent="0.25">
      <c r="A879">
        <v>875</v>
      </c>
      <c r="B879" s="17">
        <v>311.4555988270304</v>
      </c>
      <c r="C879" s="17">
        <v>-421.26179011501864</v>
      </c>
      <c r="D879" s="17">
        <v>370.9881560329606</v>
      </c>
    </row>
    <row r="880" spans="1:4" x14ac:dyDescent="0.25">
      <c r="A880">
        <v>876</v>
      </c>
      <c r="B880" s="17">
        <v>355.07706179252483</v>
      </c>
      <c r="C880" s="17">
        <v>-421.26179011501864</v>
      </c>
      <c r="D880" s="17">
        <v>370.9881560329606</v>
      </c>
    </row>
    <row r="881" spans="1:4" x14ac:dyDescent="0.25">
      <c r="A881">
        <v>877</v>
      </c>
      <c r="B881" s="17">
        <v>369.6175494476896</v>
      </c>
      <c r="C881" s="17">
        <v>-417.0094320920149</v>
      </c>
      <c r="D881" s="17">
        <v>370.9881560329606</v>
      </c>
    </row>
    <row r="882" spans="1:4" x14ac:dyDescent="0.25">
      <c r="A882">
        <v>878</v>
      </c>
      <c r="B882" s="17">
        <v>369.6175494476896</v>
      </c>
      <c r="C882" s="17">
        <v>-404.2523580230037</v>
      </c>
      <c r="D882" s="17">
        <v>370.9881560329606</v>
      </c>
    </row>
    <row r="883" spans="1:4" x14ac:dyDescent="0.25">
      <c r="A883">
        <v>879</v>
      </c>
      <c r="B883" s="17">
        <v>325.9960864821952</v>
      </c>
      <c r="C883" s="17">
        <v>-404.2523580230037</v>
      </c>
      <c r="D883" s="17">
        <v>370.9881560329606</v>
      </c>
    </row>
    <row r="884" spans="1:4" x14ac:dyDescent="0.25">
      <c r="A884">
        <v>880</v>
      </c>
      <c r="B884" s="17">
        <v>311.4555988270304</v>
      </c>
      <c r="C884" s="17">
        <v>431.2767407812437</v>
      </c>
      <c r="D884" s="17">
        <v>682.1685948351966</v>
      </c>
    </row>
    <row r="885" spans="1:4" x14ac:dyDescent="0.25">
      <c r="A885">
        <v>881</v>
      </c>
      <c r="B885" s="17">
        <v>311.4555988270304</v>
      </c>
      <c r="C885" s="17">
        <v>407.81918519531087</v>
      </c>
      <c r="D885" s="17">
        <v>682.1685948351966</v>
      </c>
    </row>
    <row r="886" spans="1:4" x14ac:dyDescent="0.25">
      <c r="A886">
        <v>882</v>
      </c>
      <c r="B886" s="17">
        <v>355.07706179252483</v>
      </c>
      <c r="C886" s="17">
        <v>407.81918519531087</v>
      </c>
      <c r="D886" s="17">
        <v>682.1685948351966</v>
      </c>
    </row>
    <row r="887" spans="1:4" x14ac:dyDescent="0.25">
      <c r="A887">
        <v>883</v>
      </c>
      <c r="B887" s="17">
        <v>369.6175494476896</v>
      </c>
      <c r="C887" s="17">
        <v>415.63837039062184</v>
      </c>
      <c r="D887" s="17">
        <v>682.1685948351966</v>
      </c>
    </row>
    <row r="888" spans="1:4" x14ac:dyDescent="0.25">
      <c r="A888">
        <v>884</v>
      </c>
      <c r="B888" s="17">
        <v>369.6175494476896</v>
      </c>
      <c r="C888" s="17">
        <v>439.09592597655467</v>
      </c>
      <c r="D888" s="17">
        <v>682.1685948351966</v>
      </c>
    </row>
    <row r="889" spans="1:4" x14ac:dyDescent="0.25">
      <c r="A889">
        <v>885</v>
      </c>
      <c r="B889" s="17">
        <v>325.9960864821952</v>
      </c>
      <c r="C889" s="17">
        <v>439.09592597655467</v>
      </c>
      <c r="D889" s="17">
        <v>682.1685948351966</v>
      </c>
    </row>
    <row r="890" spans="1:4" x14ac:dyDescent="0.25">
      <c r="A890">
        <v>886</v>
      </c>
      <c r="B890" s="17">
        <v>311.4555988270304</v>
      </c>
      <c r="C890" s="17">
        <v>505.07706179252483</v>
      </c>
      <c r="D890" s="17">
        <v>1268.5546874999998</v>
      </c>
    </row>
    <row r="891" spans="1:4" x14ac:dyDescent="0.25">
      <c r="A891">
        <v>887</v>
      </c>
      <c r="B891" s="17">
        <v>311.4555988270304</v>
      </c>
      <c r="C891" s="17">
        <v>461.4555988270304</v>
      </c>
      <c r="D891" s="17">
        <v>1268.5546874999998</v>
      </c>
    </row>
    <row r="892" spans="1:4" x14ac:dyDescent="0.25">
      <c r="A892">
        <v>888</v>
      </c>
      <c r="B892" s="17">
        <v>355.07706179252483</v>
      </c>
      <c r="C892" s="17">
        <v>461.4555988270304</v>
      </c>
      <c r="D892" s="17">
        <v>1268.5546874999998</v>
      </c>
    </row>
    <row r="893" spans="1:4" x14ac:dyDescent="0.25">
      <c r="A893">
        <v>889</v>
      </c>
      <c r="B893" s="17">
        <v>369.6175494476896</v>
      </c>
      <c r="C893" s="17">
        <v>475.9960864821952</v>
      </c>
      <c r="D893" s="17">
        <v>1268.5546874999998</v>
      </c>
    </row>
    <row r="894" spans="1:4" x14ac:dyDescent="0.25">
      <c r="A894">
        <v>890</v>
      </c>
      <c r="B894" s="17">
        <v>369.6175494476896</v>
      </c>
      <c r="C894" s="17">
        <v>519.6175494476896</v>
      </c>
      <c r="D894" s="17">
        <v>1268.5546874999998</v>
      </c>
    </row>
    <row r="895" spans="1:4" x14ac:dyDescent="0.25">
      <c r="A895">
        <v>891</v>
      </c>
      <c r="B895" s="17">
        <v>325.9960864821952</v>
      </c>
      <c r="C895" s="17">
        <v>519.6175494476896</v>
      </c>
      <c r="D895" s="17">
        <v>1268.5546874999998</v>
      </c>
    </row>
    <row r="896" spans="1:4" x14ac:dyDescent="0.25">
      <c r="A896">
        <v>892</v>
      </c>
      <c r="B896" s="17">
        <v>311.4555988270304</v>
      </c>
      <c r="C896" s="17">
        <v>578.0526790342848</v>
      </c>
      <c r="D896" s="17">
        <v>957.3742486977636</v>
      </c>
    </row>
    <row r="897" spans="1:4" x14ac:dyDescent="0.25">
      <c r="A897">
        <v>893</v>
      </c>
      <c r="B897" s="17">
        <v>311.4555988270304</v>
      </c>
      <c r="C897" s="17">
        <v>545.131697585712</v>
      </c>
      <c r="D897" s="17">
        <v>957.3742486977636</v>
      </c>
    </row>
    <row r="898" spans="1:4" x14ac:dyDescent="0.25">
      <c r="A898">
        <v>894</v>
      </c>
      <c r="B898" s="17">
        <v>355.07706179252483</v>
      </c>
      <c r="C898" s="17">
        <v>545.131697585712</v>
      </c>
      <c r="D898" s="17">
        <v>957.3742486977636</v>
      </c>
    </row>
    <row r="899" spans="1:4" x14ac:dyDescent="0.25">
      <c r="A899">
        <v>895</v>
      </c>
      <c r="B899" s="17">
        <v>369.6175494476896</v>
      </c>
      <c r="C899" s="17">
        <v>556.1053580685696</v>
      </c>
      <c r="D899" s="17">
        <v>957.3742486977636</v>
      </c>
    </row>
    <row r="900" spans="1:4" x14ac:dyDescent="0.25">
      <c r="A900">
        <v>896</v>
      </c>
      <c r="B900" s="17">
        <v>369.6175494476896</v>
      </c>
      <c r="C900" s="17">
        <v>589.0263395171423</v>
      </c>
      <c r="D900" s="17">
        <v>957.3742486977636</v>
      </c>
    </row>
    <row r="901" spans="1:4" x14ac:dyDescent="0.25">
      <c r="A901">
        <v>897</v>
      </c>
      <c r="B901" s="17">
        <v>325.9960864821952</v>
      </c>
      <c r="C901" s="17">
        <v>589.0263395171423</v>
      </c>
      <c r="D901" s="17">
        <v>957.3742486977636</v>
      </c>
    </row>
    <row r="902" spans="1:4" x14ac:dyDescent="0.25">
      <c r="A902">
        <v>898</v>
      </c>
      <c r="B902" s="17">
        <v>398.6985247580192</v>
      </c>
      <c r="C902" s="17">
        <v>-541.8380493793408</v>
      </c>
      <c r="D902" s="17">
        <v>1268.5546874999998</v>
      </c>
    </row>
    <row r="903" spans="1:4" x14ac:dyDescent="0.25">
      <c r="A903">
        <v>899</v>
      </c>
      <c r="B903" s="17">
        <v>398.6985247580192</v>
      </c>
      <c r="C903" s="17">
        <v>-585.4595123448352</v>
      </c>
      <c r="D903" s="17">
        <v>1268.5546874999998</v>
      </c>
    </row>
    <row r="904" spans="1:4" x14ac:dyDescent="0.25">
      <c r="A904">
        <v>900</v>
      </c>
      <c r="B904" s="17">
        <v>442.3199877235136</v>
      </c>
      <c r="C904" s="17">
        <v>-585.4595123448352</v>
      </c>
      <c r="D904" s="17">
        <v>1268.5546874999998</v>
      </c>
    </row>
    <row r="905" spans="1:4" x14ac:dyDescent="0.25">
      <c r="A905">
        <v>901</v>
      </c>
      <c r="B905" s="17">
        <v>456.86047537867836</v>
      </c>
      <c r="C905" s="17">
        <v>-570.9190246896703</v>
      </c>
      <c r="D905" s="17">
        <v>1268.5546874999998</v>
      </c>
    </row>
    <row r="906" spans="1:4" x14ac:dyDescent="0.25">
      <c r="A906">
        <v>902</v>
      </c>
      <c r="B906" s="17">
        <v>456.86047537867836</v>
      </c>
      <c r="C906" s="17">
        <v>-527.2975617241759</v>
      </c>
      <c r="D906" s="17">
        <v>1268.5546874999998</v>
      </c>
    </row>
    <row r="907" spans="1:4" x14ac:dyDescent="0.25">
      <c r="A907">
        <v>903</v>
      </c>
      <c r="B907" s="17">
        <v>413.239012413184</v>
      </c>
      <c r="C907" s="17">
        <v>-527.2975617241759</v>
      </c>
      <c r="D907" s="17">
        <v>1268.5546874999998</v>
      </c>
    </row>
    <row r="908" spans="1:4" x14ac:dyDescent="0.25">
      <c r="A908">
        <v>904</v>
      </c>
      <c r="B908" s="17">
        <v>398.6985247580192</v>
      </c>
      <c r="C908" s="17">
        <v>-454.59512344835196</v>
      </c>
      <c r="D908" s="17">
        <v>1268.5546874999998</v>
      </c>
    </row>
    <row r="909" spans="1:4" x14ac:dyDescent="0.25">
      <c r="A909">
        <v>905</v>
      </c>
      <c r="B909" s="17">
        <v>398.6985247580192</v>
      </c>
      <c r="C909" s="17">
        <v>-498.21658641384636</v>
      </c>
      <c r="D909" s="17">
        <v>1268.5546874999998</v>
      </c>
    </row>
    <row r="910" spans="1:4" x14ac:dyDescent="0.25">
      <c r="A910">
        <v>906</v>
      </c>
      <c r="B910" s="17">
        <v>442.3199877235136</v>
      </c>
      <c r="C910" s="17">
        <v>-498.21658641384636</v>
      </c>
      <c r="D910" s="17">
        <v>1268.5546874999998</v>
      </c>
    </row>
    <row r="911" spans="1:4" x14ac:dyDescent="0.25">
      <c r="A911">
        <v>907</v>
      </c>
      <c r="B911" s="17">
        <v>456.86047537867836</v>
      </c>
      <c r="C911" s="17">
        <v>-483.6760987586815</v>
      </c>
      <c r="D911" s="17">
        <v>1268.5546874999998</v>
      </c>
    </row>
    <row r="912" spans="1:4" x14ac:dyDescent="0.25">
      <c r="A912">
        <v>908</v>
      </c>
      <c r="B912" s="17">
        <v>456.86047537867836</v>
      </c>
      <c r="C912" s="17">
        <v>-440.0546357931872</v>
      </c>
      <c r="D912" s="17">
        <v>1268.5546874999998</v>
      </c>
    </row>
    <row r="913" spans="1:4" x14ac:dyDescent="0.25">
      <c r="A913">
        <v>909</v>
      </c>
      <c r="B913" s="17">
        <v>413.239012413184</v>
      </c>
      <c r="C913" s="17">
        <v>-440.0546357931872</v>
      </c>
      <c r="D913" s="17">
        <v>1268.5546874999998</v>
      </c>
    </row>
    <row r="914" spans="1:4" x14ac:dyDescent="0.25">
      <c r="A914">
        <v>910</v>
      </c>
      <c r="B914" s="17">
        <v>398.6985247580192</v>
      </c>
      <c r="C914" s="17">
        <v>-408.5047160460074</v>
      </c>
      <c r="D914" s="17">
        <v>370.9881560329606</v>
      </c>
    </row>
    <row r="915" spans="1:4" x14ac:dyDescent="0.25">
      <c r="A915">
        <v>911</v>
      </c>
      <c r="B915" s="17">
        <v>398.6985247580192</v>
      </c>
      <c r="C915" s="17">
        <v>-421.26179011501864</v>
      </c>
      <c r="D915" s="17">
        <v>370.9881560329606</v>
      </c>
    </row>
    <row r="916" spans="1:4" x14ac:dyDescent="0.25">
      <c r="A916">
        <v>912</v>
      </c>
      <c r="B916" s="17">
        <v>442.3199877235136</v>
      </c>
      <c r="C916" s="17">
        <v>-421.26179011501864</v>
      </c>
      <c r="D916" s="17">
        <v>370.9881560329606</v>
      </c>
    </row>
    <row r="917" spans="1:4" x14ac:dyDescent="0.25">
      <c r="A917">
        <v>913</v>
      </c>
      <c r="B917" s="17">
        <v>467.83413586153597</v>
      </c>
      <c r="C917" s="17">
        <v>-413.4426049197077</v>
      </c>
      <c r="D917" s="17">
        <v>167.33809331962388</v>
      </c>
    </row>
    <row r="918" spans="1:4" x14ac:dyDescent="0.25">
      <c r="A918">
        <v>914</v>
      </c>
      <c r="B918" s="17">
        <v>467.83413586153597</v>
      </c>
      <c r="C918" s="17">
        <v>-389.9850493337749</v>
      </c>
      <c r="D918" s="17">
        <v>167.33809331962388</v>
      </c>
    </row>
    <row r="919" spans="1:4" x14ac:dyDescent="0.25">
      <c r="A919">
        <v>915</v>
      </c>
      <c r="B919" s="17">
        <v>457.1336543446144</v>
      </c>
      <c r="C919" s="17">
        <v>-400.68553085069647</v>
      </c>
      <c r="D919" s="17">
        <v>167.33809331962388</v>
      </c>
    </row>
    <row r="920" spans="1:4" x14ac:dyDescent="0.25">
      <c r="A920">
        <v>916</v>
      </c>
      <c r="B920" s="17">
        <v>453.2936482063712</v>
      </c>
      <c r="C920" s="17">
        <v>-417.0094320920149</v>
      </c>
      <c r="D920" s="17">
        <v>279.98359917599095</v>
      </c>
    </row>
    <row r="921" spans="1:4" x14ac:dyDescent="0.25">
      <c r="A921">
        <v>917</v>
      </c>
      <c r="B921" s="17">
        <v>442.59316668944956</v>
      </c>
      <c r="C921" s="17">
        <v>-404.2523580230037</v>
      </c>
      <c r="D921" s="17">
        <v>279.98359917599095</v>
      </c>
    </row>
    <row r="922" spans="1:4" x14ac:dyDescent="0.25">
      <c r="A922">
        <v>918</v>
      </c>
      <c r="B922" s="17">
        <v>409.67218524087684</v>
      </c>
      <c r="C922" s="17">
        <v>-404.2523580230037</v>
      </c>
      <c r="D922" s="17">
        <v>279.98359917599095</v>
      </c>
    </row>
    <row r="923" spans="1:4" x14ac:dyDescent="0.25">
      <c r="A923">
        <v>919</v>
      </c>
      <c r="B923" s="17">
        <v>395.131697585712</v>
      </c>
      <c r="C923" s="17">
        <v>431.2767407812437</v>
      </c>
      <c r="D923" s="17">
        <v>514.8305015155728</v>
      </c>
    </row>
    <row r="924" spans="1:4" x14ac:dyDescent="0.25">
      <c r="A924">
        <v>920</v>
      </c>
      <c r="B924" s="17">
        <v>395.131697585712</v>
      </c>
      <c r="C924" s="17">
        <v>407.81918519531087</v>
      </c>
      <c r="D924" s="17">
        <v>514.8305015155728</v>
      </c>
    </row>
    <row r="925" spans="1:4" x14ac:dyDescent="0.25">
      <c r="A925">
        <v>921</v>
      </c>
      <c r="B925" s="17">
        <v>428.0526790342848</v>
      </c>
      <c r="C925" s="17">
        <v>407.81918519531087</v>
      </c>
      <c r="D925" s="17">
        <v>514.8305015155728</v>
      </c>
    </row>
    <row r="926" spans="1:4" x14ac:dyDescent="0.25">
      <c r="A926">
        <v>922</v>
      </c>
      <c r="B926" s="17">
        <v>457.13365434461434</v>
      </c>
      <c r="C926" s="17">
        <v>404.2523580230037</v>
      </c>
      <c r="D926" s="17">
        <v>243.67162978227813</v>
      </c>
    </row>
    <row r="927" spans="1:4" x14ac:dyDescent="0.25">
      <c r="A927">
        <v>923</v>
      </c>
      <c r="B927" s="17">
        <v>467.83413586153597</v>
      </c>
      <c r="C927" s="17">
        <v>393.55187650608207</v>
      </c>
      <c r="D927" s="17">
        <v>243.67162978227813</v>
      </c>
    </row>
    <row r="928" spans="1:4" x14ac:dyDescent="0.25">
      <c r="A928">
        <v>924</v>
      </c>
      <c r="B928" s="17">
        <v>467.83413586153597</v>
      </c>
      <c r="C928" s="17">
        <v>427.7099136089365</v>
      </c>
      <c r="D928" s="17">
        <v>243.67162978227813</v>
      </c>
    </row>
    <row r="929" spans="1:4" x14ac:dyDescent="0.25">
      <c r="A929">
        <v>925</v>
      </c>
      <c r="B929" s="17">
        <v>442.59316668944956</v>
      </c>
      <c r="C929" s="17">
        <v>415.63837039062184</v>
      </c>
      <c r="D929" s="17">
        <v>682.1685948351966</v>
      </c>
    </row>
    <row r="930" spans="1:4" x14ac:dyDescent="0.25">
      <c r="A930">
        <v>926</v>
      </c>
      <c r="B930" s="17">
        <v>453.2936482063712</v>
      </c>
      <c r="C930" s="17">
        <v>439.09592597655467</v>
      </c>
      <c r="D930" s="17">
        <v>682.1685948351966</v>
      </c>
    </row>
    <row r="931" spans="1:4" x14ac:dyDescent="0.25">
      <c r="A931">
        <v>927</v>
      </c>
      <c r="B931" s="17">
        <v>409.67218524087684</v>
      </c>
      <c r="C931" s="17">
        <v>439.09592597655467</v>
      </c>
      <c r="D931" s="17">
        <v>682.1685948351966</v>
      </c>
    </row>
    <row r="932" spans="1:4" x14ac:dyDescent="0.25">
      <c r="A932">
        <v>928</v>
      </c>
      <c r="B932" s="17">
        <v>398.6985247580192</v>
      </c>
      <c r="C932" s="17">
        <v>505.07706179252483</v>
      </c>
      <c r="D932" s="17">
        <v>1268.5546874999998</v>
      </c>
    </row>
    <row r="933" spans="1:4" x14ac:dyDescent="0.25">
      <c r="A933">
        <v>929</v>
      </c>
      <c r="B933" s="17">
        <v>398.6985247580192</v>
      </c>
      <c r="C933" s="17">
        <v>461.4555988270304</v>
      </c>
      <c r="D933" s="17">
        <v>1268.5546874999998</v>
      </c>
    </row>
    <row r="934" spans="1:4" x14ac:dyDescent="0.25">
      <c r="A934">
        <v>930</v>
      </c>
      <c r="B934" s="17">
        <v>442.3199877235136</v>
      </c>
      <c r="C934" s="17">
        <v>461.4555988270304</v>
      </c>
      <c r="D934" s="17">
        <v>1268.5546874999998</v>
      </c>
    </row>
    <row r="935" spans="1:4" x14ac:dyDescent="0.25">
      <c r="A935">
        <v>931</v>
      </c>
      <c r="B935" s="17">
        <v>456.86047537867836</v>
      </c>
      <c r="C935" s="17">
        <v>475.9960864821952</v>
      </c>
      <c r="D935" s="17">
        <v>1268.5546874999998</v>
      </c>
    </row>
    <row r="936" spans="1:4" x14ac:dyDescent="0.25">
      <c r="A936">
        <v>932</v>
      </c>
      <c r="B936" s="17">
        <v>456.86047537867836</v>
      </c>
      <c r="C936" s="17">
        <v>519.6175494476896</v>
      </c>
      <c r="D936" s="17">
        <v>1268.5546874999998</v>
      </c>
    </row>
    <row r="937" spans="1:4" x14ac:dyDescent="0.25">
      <c r="A937">
        <v>933</v>
      </c>
      <c r="B937" s="17">
        <v>413.239012413184</v>
      </c>
      <c r="C937" s="17">
        <v>519.6175494476896</v>
      </c>
      <c r="D937" s="17">
        <v>1268.5546874999998</v>
      </c>
    </row>
    <row r="938" spans="1:4" x14ac:dyDescent="0.25">
      <c r="A938">
        <v>934</v>
      </c>
      <c r="B938" s="17">
        <v>398.6985247580192</v>
      </c>
      <c r="C938" s="17">
        <v>578.0526790342848</v>
      </c>
      <c r="D938" s="17">
        <v>957.3742486977636</v>
      </c>
    </row>
    <row r="939" spans="1:4" x14ac:dyDescent="0.25">
      <c r="A939">
        <v>935</v>
      </c>
      <c r="B939" s="17">
        <v>398.6985247580192</v>
      </c>
      <c r="C939" s="17">
        <v>545.131697585712</v>
      </c>
      <c r="D939" s="17">
        <v>957.3742486977636</v>
      </c>
    </row>
    <row r="940" spans="1:4" x14ac:dyDescent="0.25">
      <c r="A940">
        <v>936</v>
      </c>
      <c r="B940" s="17">
        <v>442.3199877235136</v>
      </c>
      <c r="C940" s="17">
        <v>545.131697585712</v>
      </c>
      <c r="D940" s="17">
        <v>957.3742486977636</v>
      </c>
    </row>
    <row r="941" spans="1:4" x14ac:dyDescent="0.25">
      <c r="A941">
        <v>937</v>
      </c>
      <c r="B941" s="17">
        <v>456.86047537867836</v>
      </c>
      <c r="C941" s="17">
        <v>556.1053580685696</v>
      </c>
      <c r="D941" s="17">
        <v>957.3742486977636</v>
      </c>
    </row>
    <row r="942" spans="1:4" x14ac:dyDescent="0.25">
      <c r="A942">
        <v>938</v>
      </c>
      <c r="B942" s="17">
        <v>456.86047537867836</v>
      </c>
      <c r="C942" s="17">
        <v>589.0263395171423</v>
      </c>
      <c r="D942" s="17">
        <v>957.3742486977636</v>
      </c>
    </row>
    <row r="943" spans="1:4" x14ac:dyDescent="0.25">
      <c r="A943">
        <v>939</v>
      </c>
      <c r="B943" s="17">
        <v>413.239012413184</v>
      </c>
      <c r="C943" s="17">
        <v>589.0263395171423</v>
      </c>
      <c r="D943" s="17">
        <v>957.3742486977636</v>
      </c>
    </row>
    <row r="944" spans="1:4" x14ac:dyDescent="0.25">
      <c r="A944">
        <v>940</v>
      </c>
      <c r="B944" s="17">
        <v>484.5008025282026</v>
      </c>
      <c r="C944" s="17">
        <v>-541.8380493793408</v>
      </c>
      <c r="D944" s="17">
        <v>1142.868326714244</v>
      </c>
    </row>
    <row r="945" spans="1:4" x14ac:dyDescent="0.25">
      <c r="A945">
        <v>941</v>
      </c>
      <c r="B945" s="17">
        <v>484.5008025282026</v>
      </c>
      <c r="C945" s="17">
        <v>-585.4595123448352</v>
      </c>
      <c r="D945" s="17">
        <v>1142.868326714244</v>
      </c>
    </row>
    <row r="946" spans="1:4" x14ac:dyDescent="0.25">
      <c r="A946">
        <v>942</v>
      </c>
      <c r="B946" s="17">
        <v>523.8003210112811</v>
      </c>
      <c r="C946" s="17">
        <v>-585.4595123448352</v>
      </c>
      <c r="D946" s="17">
        <v>1142.868326714244</v>
      </c>
    </row>
    <row r="947" spans="1:4" x14ac:dyDescent="0.25">
      <c r="A947">
        <v>943</v>
      </c>
      <c r="B947" s="17">
        <v>499.04129018336744</v>
      </c>
      <c r="C947" s="17">
        <v>-540.3974012185354</v>
      </c>
      <c r="D947" s="17">
        <v>238.91991883212071</v>
      </c>
    </row>
    <row r="948" spans="1:4" x14ac:dyDescent="0.25">
      <c r="A948">
        <v>944</v>
      </c>
      <c r="B948" s="17">
        <v>538.3408086664458</v>
      </c>
      <c r="C948" s="17">
        <v>-584.0188641840298</v>
      </c>
      <c r="D948" s="17">
        <v>238.91991883212071</v>
      </c>
    </row>
    <row r="949" spans="1:4" x14ac:dyDescent="0.25">
      <c r="A949">
        <v>945</v>
      </c>
      <c r="B949" s="17">
        <v>542.6627531488618</v>
      </c>
      <c r="C949" s="17">
        <v>-579.6969197016138</v>
      </c>
      <c r="D949" s="17">
        <v>238.91991883212071</v>
      </c>
    </row>
    <row r="950" spans="1:4" x14ac:dyDescent="0.25">
      <c r="A950">
        <v>946</v>
      </c>
      <c r="B950" s="17">
        <v>544.1034013096672</v>
      </c>
      <c r="C950" s="17">
        <v>-565.1564320464489</v>
      </c>
      <c r="D950" s="17">
        <v>1142.868326714244</v>
      </c>
    </row>
    <row r="951" spans="1:4" x14ac:dyDescent="0.25">
      <c r="A951">
        <v>947</v>
      </c>
      <c r="B951" s="17">
        <v>544.1034013096672</v>
      </c>
      <c r="C951" s="17">
        <v>-525.8569135633705</v>
      </c>
      <c r="D951" s="17">
        <v>1142.868326714244</v>
      </c>
    </row>
    <row r="952" spans="1:4" x14ac:dyDescent="0.25">
      <c r="A952">
        <v>948</v>
      </c>
      <c r="B952" s="17">
        <v>500.4819383441728</v>
      </c>
      <c r="C952" s="17">
        <v>-525.8569135633707</v>
      </c>
      <c r="D952" s="17">
        <v>1142.868326714244</v>
      </c>
    </row>
    <row r="953" spans="1:4" x14ac:dyDescent="0.25">
      <c r="A953">
        <v>949</v>
      </c>
      <c r="B953" s="17">
        <v>485.941450689008</v>
      </c>
      <c r="C953" s="17">
        <v>-454.59512344835196</v>
      </c>
      <c r="D953" s="17">
        <v>1268.5546874999998</v>
      </c>
    </row>
    <row r="954" spans="1:4" x14ac:dyDescent="0.25">
      <c r="A954">
        <v>950</v>
      </c>
      <c r="B954" s="17">
        <v>485.941450689008</v>
      </c>
      <c r="C954" s="17">
        <v>-498.21658641384636</v>
      </c>
      <c r="D954" s="17">
        <v>1268.5546874999998</v>
      </c>
    </row>
    <row r="955" spans="1:4" x14ac:dyDescent="0.25">
      <c r="A955">
        <v>951</v>
      </c>
      <c r="B955" s="17">
        <v>529.5629136545024</v>
      </c>
      <c r="C955" s="17">
        <v>-498.21658641384636</v>
      </c>
      <c r="D955" s="17">
        <v>1268.5546874999998</v>
      </c>
    </row>
    <row r="956" spans="1:4" x14ac:dyDescent="0.25">
      <c r="A956">
        <v>952</v>
      </c>
      <c r="B956" s="17">
        <v>544.1034013096672</v>
      </c>
      <c r="C956" s="17">
        <v>-483.6760987586815</v>
      </c>
      <c r="D956" s="17">
        <v>1268.5546874999998</v>
      </c>
    </row>
    <row r="957" spans="1:4" x14ac:dyDescent="0.25">
      <c r="A957">
        <v>953</v>
      </c>
      <c r="B957" s="17">
        <v>544.1034013096672</v>
      </c>
      <c r="C957" s="17">
        <v>-440.0546357931872</v>
      </c>
      <c r="D957" s="17">
        <v>1268.5546874999998</v>
      </c>
    </row>
    <row r="958" spans="1:4" x14ac:dyDescent="0.25">
      <c r="A958">
        <v>954</v>
      </c>
      <c r="B958" s="17">
        <v>500.4819383441728</v>
      </c>
      <c r="C958" s="17">
        <v>-440.0546357931872</v>
      </c>
      <c r="D958" s="17">
        <v>1268.5546874999998</v>
      </c>
    </row>
    <row r="959" spans="1:4" x14ac:dyDescent="0.25">
      <c r="A959">
        <v>955</v>
      </c>
      <c r="B959" s="17">
        <v>485.941450689008</v>
      </c>
      <c r="C959" s="17">
        <v>-394.2374073567786</v>
      </c>
      <c r="D959" s="17">
        <v>682.1685948351966</v>
      </c>
    </row>
    <row r="960" spans="1:4" x14ac:dyDescent="0.25">
      <c r="A960">
        <v>956</v>
      </c>
      <c r="B960" s="17">
        <v>485.941450689008</v>
      </c>
      <c r="C960" s="17">
        <v>-417.6949629427114</v>
      </c>
      <c r="D960" s="17">
        <v>682.1685948351966</v>
      </c>
    </row>
    <row r="961" spans="1:4" x14ac:dyDescent="0.25">
      <c r="A961">
        <v>957</v>
      </c>
      <c r="B961" s="17">
        <v>529.5629136545024</v>
      </c>
      <c r="C961" s="17">
        <v>-417.6949629427114</v>
      </c>
      <c r="D961" s="17">
        <v>682.1685948351966</v>
      </c>
    </row>
    <row r="962" spans="1:4" x14ac:dyDescent="0.25">
      <c r="A962">
        <v>958</v>
      </c>
      <c r="B962" s="17">
        <v>500.4819383441728</v>
      </c>
      <c r="C962" s="17">
        <v>-379.6969197016138</v>
      </c>
      <c r="D962" s="17">
        <v>1268.5546874999998</v>
      </c>
    </row>
    <row r="963" spans="1:4" x14ac:dyDescent="0.25">
      <c r="A963">
        <v>959</v>
      </c>
      <c r="B963" s="17">
        <v>544.1034013096672</v>
      </c>
      <c r="C963" s="17">
        <v>-403.15447528754663</v>
      </c>
      <c r="D963" s="17">
        <v>1268.5546874999998</v>
      </c>
    </row>
    <row r="964" spans="1:4" x14ac:dyDescent="0.25">
      <c r="A964">
        <v>960</v>
      </c>
      <c r="B964" s="17">
        <v>544.1034013096672</v>
      </c>
      <c r="C964" s="17">
        <v>-359.53301232205223</v>
      </c>
      <c r="D964" s="17">
        <v>1268.5546874999998</v>
      </c>
    </row>
    <row r="965" spans="1:4" x14ac:dyDescent="0.25">
      <c r="A965">
        <v>961</v>
      </c>
      <c r="B965" s="17">
        <v>536.2842161143562</v>
      </c>
      <c r="C965" s="17">
        <v>-344.99252466688745</v>
      </c>
      <c r="D965" s="17">
        <v>315.33065212377784</v>
      </c>
    </row>
    <row r="966" spans="1:4" x14ac:dyDescent="0.25">
      <c r="A966">
        <v>962</v>
      </c>
      <c r="B966" s="17">
        <v>512.8266605284234</v>
      </c>
      <c r="C966" s="17">
        <v>-344.99252466688745</v>
      </c>
      <c r="D966" s="17">
        <v>315.33065212377784</v>
      </c>
    </row>
    <row r="967" spans="1:4" x14ac:dyDescent="0.25">
      <c r="A967">
        <v>963</v>
      </c>
      <c r="B967" s="17">
        <v>492.66275314886184</v>
      </c>
      <c r="C967" s="17">
        <v>-365.156432046449</v>
      </c>
      <c r="D967" s="17">
        <v>315.33065212377784</v>
      </c>
    </row>
    <row r="968" spans="1:4" x14ac:dyDescent="0.25">
      <c r="A968">
        <v>964</v>
      </c>
      <c r="B968" s="17">
        <v>545.0621111262997</v>
      </c>
      <c r="C968" s="17">
        <v>-312.7570740690112</v>
      </c>
      <c r="D968" s="17">
        <v>299.2497740876924</v>
      </c>
    </row>
    <row r="969" spans="1:4" x14ac:dyDescent="0.25">
      <c r="A969">
        <v>965</v>
      </c>
      <c r="B969" s="17">
        <v>525.9265000227829</v>
      </c>
      <c r="C969" s="17">
        <v>-331.892685172528</v>
      </c>
      <c r="D969" s="17">
        <v>299.2497740876924</v>
      </c>
    </row>
    <row r="970" spans="1:4" x14ac:dyDescent="0.25">
      <c r="A970">
        <v>966</v>
      </c>
      <c r="B970" s="17">
        <v>549.3840556087157</v>
      </c>
      <c r="C970" s="17">
        <v>-331.892685172528</v>
      </c>
      <c r="D970" s="17">
        <v>299.2497740876924</v>
      </c>
    </row>
    <row r="971" spans="1:4" x14ac:dyDescent="0.25">
      <c r="A971">
        <v>967</v>
      </c>
      <c r="B971" s="17">
        <v>552.8812963216106</v>
      </c>
      <c r="C971" s="17">
        <v>-298.2165864138464</v>
      </c>
      <c r="D971" s="17">
        <v>125.68636078575578</v>
      </c>
    </row>
    <row r="972" spans="1:4" x14ac:dyDescent="0.25">
      <c r="A972">
        <v>968</v>
      </c>
      <c r="B972" s="17">
        <v>557.2032408040267</v>
      </c>
      <c r="C972" s="17">
        <v>-317.3521975173632</v>
      </c>
      <c r="D972" s="17">
        <v>125.68636078575578</v>
      </c>
    </row>
    <row r="973" spans="1:4" x14ac:dyDescent="0.25">
      <c r="A973">
        <v>969</v>
      </c>
      <c r="B973" s="17">
        <v>557.2032408040267</v>
      </c>
      <c r="C973" s="17">
        <v>-273.73073455186875</v>
      </c>
      <c r="D973" s="17">
        <v>125.68636078575578</v>
      </c>
    </row>
    <row r="974" spans="1:4" x14ac:dyDescent="0.25">
      <c r="A974">
        <v>970</v>
      </c>
      <c r="B974" s="17">
        <v>555.7625926432213</v>
      </c>
      <c r="C974" s="17">
        <v>-259.19024689670397</v>
      </c>
      <c r="D974" s="17">
        <v>70.55099490142025</v>
      </c>
    </row>
    <row r="975" spans="1:4" x14ac:dyDescent="0.25">
      <c r="A975">
        <v>971</v>
      </c>
      <c r="B975" s="17">
        <v>551.4406481608053</v>
      </c>
      <c r="C975" s="17">
        <v>-259.19024689670397</v>
      </c>
      <c r="D975" s="17">
        <v>70.55099490142025</v>
      </c>
    </row>
    <row r="976" spans="1:4" x14ac:dyDescent="0.25">
      <c r="A976">
        <v>972</v>
      </c>
      <c r="B976" s="17">
        <v>551.4406481608053</v>
      </c>
      <c r="C976" s="17">
        <v>-283.6760987586816</v>
      </c>
      <c r="D976" s="17">
        <v>70.55099490142025</v>
      </c>
    </row>
    <row r="977" spans="1:4" x14ac:dyDescent="0.25">
      <c r="A977">
        <v>973</v>
      </c>
      <c r="B977" s="17">
        <v>551.4406481608053</v>
      </c>
      <c r="C977" s="17">
        <v>-192.86634565538557</v>
      </c>
      <c r="D977" s="17">
        <v>125.68636078575578</v>
      </c>
    </row>
    <row r="978" spans="1:4" x14ac:dyDescent="0.25">
      <c r="A978">
        <v>974</v>
      </c>
      <c r="B978" s="17">
        <v>551.4406481608053</v>
      </c>
      <c r="C978" s="17">
        <v>-236.48780862087997</v>
      </c>
      <c r="D978" s="17">
        <v>125.68636078575578</v>
      </c>
    </row>
    <row r="979" spans="1:4" x14ac:dyDescent="0.25">
      <c r="A979">
        <v>975</v>
      </c>
      <c r="B979" s="17">
        <v>555.7625926432213</v>
      </c>
      <c r="C979" s="17">
        <v>-236.48780862087997</v>
      </c>
      <c r="D979" s="17">
        <v>125.68636078575578</v>
      </c>
    </row>
    <row r="980" spans="1:4" x14ac:dyDescent="0.25">
      <c r="A980">
        <v>976</v>
      </c>
      <c r="B980" s="17">
        <v>557.2032408040267</v>
      </c>
      <c r="C980" s="17">
        <v>-221.9473209657152</v>
      </c>
      <c r="D980" s="17">
        <v>125.68636078575578</v>
      </c>
    </row>
    <row r="981" spans="1:4" x14ac:dyDescent="0.25">
      <c r="A981">
        <v>977</v>
      </c>
      <c r="B981" s="17">
        <v>557.2032408040267</v>
      </c>
      <c r="C981" s="17">
        <v>-178.3258580002208</v>
      </c>
      <c r="D981" s="17">
        <v>125.68636078575578</v>
      </c>
    </row>
    <row r="982" spans="1:4" x14ac:dyDescent="0.25">
      <c r="A982">
        <v>978</v>
      </c>
      <c r="B982" s="17">
        <v>552.8812963216106</v>
      </c>
      <c r="C982" s="17">
        <v>-178.32585800022076</v>
      </c>
      <c r="D982" s="17">
        <v>125.68636078575578</v>
      </c>
    </row>
    <row r="983" spans="1:4" x14ac:dyDescent="0.25">
      <c r="A983">
        <v>979</v>
      </c>
      <c r="B983" s="17">
        <v>551.4406481608053</v>
      </c>
      <c r="C983" s="17">
        <v>-105.62341972439677</v>
      </c>
      <c r="D983" s="17">
        <v>125.68636078575578</v>
      </c>
    </row>
    <row r="984" spans="1:4" x14ac:dyDescent="0.25">
      <c r="A984">
        <v>980</v>
      </c>
      <c r="B984" s="17">
        <v>551.4406481608053</v>
      </c>
      <c r="C984" s="17">
        <v>-149.24488268989117</v>
      </c>
      <c r="D984" s="17">
        <v>125.68636078575578</v>
      </c>
    </row>
    <row r="985" spans="1:4" x14ac:dyDescent="0.25">
      <c r="A985">
        <v>981</v>
      </c>
      <c r="B985" s="17">
        <v>555.7625926432213</v>
      </c>
      <c r="C985" s="17">
        <v>-149.24488268989117</v>
      </c>
      <c r="D985" s="17">
        <v>125.68636078575578</v>
      </c>
    </row>
    <row r="986" spans="1:4" x14ac:dyDescent="0.25">
      <c r="A986">
        <v>982</v>
      </c>
      <c r="B986" s="17">
        <v>557.2032408040267</v>
      </c>
      <c r="C986" s="17">
        <v>-134.70439503472636</v>
      </c>
      <c r="D986" s="17">
        <v>125.68636078575578</v>
      </c>
    </row>
    <row r="987" spans="1:4" x14ac:dyDescent="0.25">
      <c r="A987">
        <v>983</v>
      </c>
      <c r="B987" s="17">
        <v>557.2032408040267</v>
      </c>
      <c r="C987" s="17">
        <v>-91.08293206923197</v>
      </c>
      <c r="D987" s="17">
        <v>125.68636078575578</v>
      </c>
    </row>
    <row r="988" spans="1:4" x14ac:dyDescent="0.25">
      <c r="A988">
        <v>984</v>
      </c>
      <c r="B988" s="17">
        <v>552.8812963216106</v>
      </c>
      <c r="C988" s="17">
        <v>-91.08293206923197</v>
      </c>
      <c r="D988" s="17">
        <v>125.68636078575578</v>
      </c>
    </row>
    <row r="989" spans="1:4" x14ac:dyDescent="0.25">
      <c r="A989">
        <v>985</v>
      </c>
      <c r="B989" s="17">
        <v>551.4406481608053</v>
      </c>
      <c r="C989" s="17">
        <v>-18.380493793407975</v>
      </c>
      <c r="D989" s="17">
        <v>125.68636078575578</v>
      </c>
    </row>
    <row r="990" spans="1:4" x14ac:dyDescent="0.25">
      <c r="A990">
        <v>986</v>
      </c>
      <c r="B990" s="17">
        <v>551.4406481608053</v>
      </c>
      <c r="C990" s="17">
        <v>-62.001956758902374</v>
      </c>
      <c r="D990" s="17">
        <v>125.68636078575578</v>
      </c>
    </row>
    <row r="991" spans="1:4" x14ac:dyDescent="0.25">
      <c r="A991">
        <v>987</v>
      </c>
      <c r="B991" s="17">
        <v>555.7625926432213</v>
      </c>
      <c r="C991" s="17">
        <v>-62.001956758902374</v>
      </c>
      <c r="D991" s="17">
        <v>125.68636078575578</v>
      </c>
    </row>
    <row r="992" spans="1:4" x14ac:dyDescent="0.25">
      <c r="A992">
        <v>988</v>
      </c>
      <c r="B992" s="17">
        <v>557.2032408040267</v>
      </c>
      <c r="C992" s="17">
        <v>-47.46146910373757</v>
      </c>
      <c r="D992" s="17">
        <v>125.68636078575578</v>
      </c>
    </row>
    <row r="993" spans="1:4" x14ac:dyDescent="0.25">
      <c r="A993">
        <v>989</v>
      </c>
      <c r="B993" s="17">
        <v>557.2032408040267</v>
      </c>
      <c r="C993" s="17">
        <v>-3.840006138243174</v>
      </c>
      <c r="D993" s="17">
        <v>125.68636078575578</v>
      </c>
    </row>
    <row r="994" spans="1:4" x14ac:dyDescent="0.25">
      <c r="A994">
        <v>990</v>
      </c>
      <c r="B994" s="17">
        <v>552.8812963216106</v>
      </c>
      <c r="C994" s="17">
        <v>-3.840006138243173</v>
      </c>
      <c r="D994" s="17">
        <v>125.68636078575578</v>
      </c>
    </row>
    <row r="995" spans="1:4" x14ac:dyDescent="0.25">
      <c r="A995">
        <v>991</v>
      </c>
      <c r="B995" s="17">
        <v>551.4406481608053</v>
      </c>
      <c r="C995" s="17">
        <v>68.86243213758081</v>
      </c>
      <c r="D995" s="17">
        <v>125.68636078575578</v>
      </c>
    </row>
    <row r="996" spans="1:4" x14ac:dyDescent="0.25">
      <c r="A996">
        <v>992</v>
      </c>
      <c r="B996" s="17">
        <v>551.4406481608053</v>
      </c>
      <c r="C996" s="17">
        <v>25.240969172086423</v>
      </c>
      <c r="D996" s="17">
        <v>125.68636078575578</v>
      </c>
    </row>
    <row r="997" spans="1:4" x14ac:dyDescent="0.25">
      <c r="A997">
        <v>993</v>
      </c>
      <c r="B997" s="17">
        <v>555.7625926432213</v>
      </c>
      <c r="C997" s="17">
        <v>25.240969172086423</v>
      </c>
      <c r="D997" s="17">
        <v>125.68636078575578</v>
      </c>
    </row>
    <row r="998" spans="1:4" x14ac:dyDescent="0.25">
      <c r="A998">
        <v>994</v>
      </c>
      <c r="B998" s="17">
        <v>557.2032408040267</v>
      </c>
      <c r="C998" s="17">
        <v>39.78145682725122</v>
      </c>
      <c r="D998" s="17">
        <v>125.68636078575578</v>
      </c>
    </row>
    <row r="999" spans="1:4" x14ac:dyDescent="0.25">
      <c r="A999">
        <v>995</v>
      </c>
      <c r="B999" s="17">
        <v>557.2032408040267</v>
      </c>
      <c r="C999" s="17">
        <v>83.40291979274562</v>
      </c>
      <c r="D999" s="17">
        <v>125.68636078575578</v>
      </c>
    </row>
    <row r="1000" spans="1:4" x14ac:dyDescent="0.25">
      <c r="A1000">
        <v>996</v>
      </c>
      <c r="B1000" s="17">
        <v>552.8812963216106</v>
      </c>
      <c r="C1000" s="17">
        <v>83.40291979274562</v>
      </c>
      <c r="D1000" s="17">
        <v>125.68636078575578</v>
      </c>
    </row>
    <row r="1001" spans="1:4" x14ac:dyDescent="0.25">
      <c r="A1001">
        <v>997</v>
      </c>
      <c r="B1001" s="17">
        <v>551.4406481608053</v>
      </c>
      <c r="C1001" s="17">
        <v>156.10535806856961</v>
      </c>
      <c r="D1001" s="17">
        <v>125.68636078575578</v>
      </c>
    </row>
    <row r="1002" spans="1:4" x14ac:dyDescent="0.25">
      <c r="A1002">
        <v>998</v>
      </c>
      <c r="B1002" s="17">
        <v>551.4406481608053</v>
      </c>
      <c r="C1002" s="17">
        <v>112.48389510307521</v>
      </c>
      <c r="D1002" s="17">
        <v>125.68636078575578</v>
      </c>
    </row>
    <row r="1003" spans="1:4" x14ac:dyDescent="0.25">
      <c r="A1003">
        <v>999</v>
      </c>
      <c r="B1003" s="17">
        <v>555.7625926432213</v>
      </c>
      <c r="C1003" s="17">
        <v>112.48389510307521</v>
      </c>
      <c r="D1003" s="17">
        <v>125.68636078575578</v>
      </c>
    </row>
    <row r="1004" spans="1:4" x14ac:dyDescent="0.25">
      <c r="A1004">
        <v>1000</v>
      </c>
      <c r="B1004" s="17">
        <v>557.2032408040267</v>
      </c>
      <c r="C1004" s="17">
        <v>127.02438275824002</v>
      </c>
      <c r="D1004" s="17">
        <v>125.68636078575578</v>
      </c>
    </row>
    <row r="1005" spans="1:4" x14ac:dyDescent="0.25">
      <c r="A1005">
        <v>1001</v>
      </c>
      <c r="B1005" s="17">
        <v>557.2032408040267</v>
      </c>
      <c r="C1005" s="17">
        <v>170.64584572373442</v>
      </c>
      <c r="D1005" s="17">
        <v>125.68636078575578</v>
      </c>
    </row>
    <row r="1006" spans="1:4" x14ac:dyDescent="0.25">
      <c r="A1006">
        <v>1002</v>
      </c>
      <c r="B1006" s="17">
        <v>552.8812963216106</v>
      </c>
      <c r="C1006" s="17">
        <v>170.64584572373442</v>
      </c>
      <c r="D1006" s="17">
        <v>125.68636078575578</v>
      </c>
    </row>
    <row r="1007" spans="1:4" x14ac:dyDescent="0.25">
      <c r="A1007">
        <v>1003</v>
      </c>
      <c r="B1007" s="17">
        <v>551.4406481608053</v>
      </c>
      <c r="C1007" s="17">
        <v>243.34828399955842</v>
      </c>
      <c r="D1007" s="17">
        <v>125.68636078575578</v>
      </c>
    </row>
    <row r="1008" spans="1:4" x14ac:dyDescent="0.25">
      <c r="A1008">
        <v>1004</v>
      </c>
      <c r="B1008" s="17">
        <v>551.4406481608053</v>
      </c>
      <c r="C1008" s="17">
        <v>199.72682103406402</v>
      </c>
      <c r="D1008" s="17">
        <v>125.68636078575578</v>
      </c>
    </row>
    <row r="1009" spans="1:4" x14ac:dyDescent="0.25">
      <c r="A1009">
        <v>1005</v>
      </c>
      <c r="B1009" s="17">
        <v>555.7625926432213</v>
      </c>
      <c r="C1009" s="17">
        <v>199.72682103406402</v>
      </c>
      <c r="D1009" s="17">
        <v>125.68636078575578</v>
      </c>
    </row>
    <row r="1010" spans="1:4" x14ac:dyDescent="0.25">
      <c r="A1010">
        <v>1006</v>
      </c>
      <c r="B1010" s="17">
        <v>557.2032408040267</v>
      </c>
      <c r="C1010" s="17">
        <v>214.2673086892288</v>
      </c>
      <c r="D1010" s="17">
        <v>125.68636078575578</v>
      </c>
    </row>
    <row r="1011" spans="1:4" x14ac:dyDescent="0.25">
      <c r="A1011">
        <v>1007</v>
      </c>
      <c r="B1011" s="17">
        <v>557.2032408040267</v>
      </c>
      <c r="C1011" s="17">
        <v>257.8887716547232</v>
      </c>
      <c r="D1011" s="17">
        <v>125.68636078575578</v>
      </c>
    </row>
    <row r="1012" spans="1:4" x14ac:dyDescent="0.25">
      <c r="A1012">
        <v>1008</v>
      </c>
      <c r="B1012" s="17">
        <v>552.8812963216106</v>
      </c>
      <c r="C1012" s="17">
        <v>257.8887716547232</v>
      </c>
      <c r="D1012" s="17">
        <v>125.68636078575578</v>
      </c>
    </row>
    <row r="1013" spans="1:4" x14ac:dyDescent="0.25">
      <c r="A1013">
        <v>1009</v>
      </c>
      <c r="B1013" s="17">
        <v>545.8172284364085</v>
      </c>
      <c r="C1013" s="17">
        <v>349.726821034064</v>
      </c>
      <c r="D1013" s="17">
        <v>679.428239155425</v>
      </c>
    </row>
    <row r="1014" spans="1:4" x14ac:dyDescent="0.25">
      <c r="A1014">
        <v>1010</v>
      </c>
      <c r="B1014" s="17">
        <v>511.6591913335541</v>
      </c>
      <c r="C1014" s="17">
        <v>349.726821034064</v>
      </c>
      <c r="D1014" s="17">
        <v>679.428239155425</v>
      </c>
    </row>
    <row r="1015" spans="1:4" x14ac:dyDescent="0.25">
      <c r="A1015">
        <v>1011</v>
      </c>
      <c r="B1015" s="17">
        <v>541.4952839539925</v>
      </c>
      <c r="C1015" s="17">
        <v>319.8907284136256</v>
      </c>
      <c r="D1015" s="17">
        <v>679.428239155425</v>
      </c>
    </row>
    <row r="1016" spans="1:4" x14ac:dyDescent="0.25">
      <c r="A1016">
        <v>1012</v>
      </c>
      <c r="B1016" s="17">
        <v>555.7625926432213</v>
      </c>
      <c r="C1016" s="17">
        <v>335.1863333788992</v>
      </c>
      <c r="D1016" s="17">
        <v>39.71973686725082</v>
      </c>
    </row>
    <row r="1017" spans="1:4" x14ac:dyDescent="0.25">
      <c r="A1017">
        <v>1013</v>
      </c>
      <c r="B1017" s="17">
        <v>551.4406481608053</v>
      </c>
      <c r="C1017" s="17">
        <v>305.3502407584608</v>
      </c>
      <c r="D1017" s="17">
        <v>39.71973686725082</v>
      </c>
    </row>
    <row r="1018" spans="1:4" x14ac:dyDescent="0.25">
      <c r="A1018">
        <v>1014</v>
      </c>
      <c r="B1018" s="17">
        <v>551.4406481608053</v>
      </c>
      <c r="C1018" s="17">
        <v>291.56487041340483</v>
      </c>
      <c r="D1018" s="17">
        <v>39.71973686725082</v>
      </c>
    </row>
    <row r="1019" spans="1:4" x14ac:dyDescent="0.25">
      <c r="A1019">
        <v>1015</v>
      </c>
      <c r="B1019" s="17">
        <v>552.8812963216106</v>
      </c>
      <c r="C1019" s="17">
        <v>286.9697469650528</v>
      </c>
      <c r="D1019" s="17">
        <v>125.68636078575578</v>
      </c>
    </row>
    <row r="1020" spans="1:4" x14ac:dyDescent="0.25">
      <c r="A1020">
        <v>1016</v>
      </c>
      <c r="B1020" s="17">
        <v>557.2032408040267</v>
      </c>
      <c r="C1020" s="17">
        <v>286.9697469650528</v>
      </c>
      <c r="D1020" s="17">
        <v>125.68636078575578</v>
      </c>
    </row>
    <row r="1021" spans="1:4" x14ac:dyDescent="0.25">
      <c r="A1021">
        <v>1017</v>
      </c>
      <c r="B1021" s="17">
        <v>557.2032408040267</v>
      </c>
      <c r="C1021" s="17">
        <v>330.5912099305472</v>
      </c>
      <c r="D1021" s="17">
        <v>125.68636078575578</v>
      </c>
    </row>
    <row r="1022" spans="1:4" x14ac:dyDescent="0.25">
      <c r="A1022">
        <v>1018</v>
      </c>
      <c r="B1022" s="17">
        <v>474.55543832138983</v>
      </c>
      <c r="C1022" s="17">
        <v>420.9886111490827</v>
      </c>
      <c r="D1022" s="17">
        <v>215.5013678241119</v>
      </c>
    </row>
    <row r="1023" spans="1:4" x14ac:dyDescent="0.25">
      <c r="A1023">
        <v>1019</v>
      </c>
      <c r="B1023" s="17">
        <v>474.55543832138983</v>
      </c>
      <c r="C1023" s="17">
        <v>386.83057404622826</v>
      </c>
      <c r="D1023" s="17">
        <v>215.5013678241119</v>
      </c>
    </row>
    <row r="1024" spans="1:4" x14ac:dyDescent="0.25">
      <c r="A1024">
        <v>1020</v>
      </c>
      <c r="B1024" s="17">
        <v>484.01886418402984</v>
      </c>
      <c r="C1024" s="17">
        <v>377.36714818358826</v>
      </c>
      <c r="D1024" s="17">
        <v>215.5013678241119</v>
      </c>
    </row>
    <row r="1025" spans="1:4" x14ac:dyDescent="0.25">
      <c r="A1025">
        <v>1021</v>
      </c>
      <c r="B1025" s="17">
        <v>489.09592597655467</v>
      </c>
      <c r="C1025" s="17">
        <v>417.8341358615361</v>
      </c>
      <c r="D1025" s="17">
        <v>993.3490336374329</v>
      </c>
    </row>
    <row r="1026" spans="1:4" x14ac:dyDescent="0.25">
      <c r="A1026">
        <v>1022</v>
      </c>
      <c r="B1026" s="17">
        <v>498.5593518391946</v>
      </c>
      <c r="C1026" s="17">
        <v>374.2126728960416</v>
      </c>
      <c r="D1026" s="17">
        <v>993.3490336374329</v>
      </c>
    </row>
    <row r="1027" spans="1:4" x14ac:dyDescent="0.25">
      <c r="A1027">
        <v>1023</v>
      </c>
      <c r="B1027" s="17">
        <v>532.7173889420491</v>
      </c>
      <c r="C1027" s="17">
        <v>374.2126728960416</v>
      </c>
      <c r="D1027" s="17">
        <v>993.3490336374329</v>
      </c>
    </row>
    <row r="1028" spans="1:4" x14ac:dyDescent="0.25">
      <c r="A1028">
        <v>1024</v>
      </c>
      <c r="B1028" s="17">
        <v>544.1034013096672</v>
      </c>
      <c r="C1028" s="17">
        <v>388.7531605512064</v>
      </c>
      <c r="D1028" s="17">
        <v>1268.5546874999998</v>
      </c>
    </row>
    <row r="1029" spans="1:4" x14ac:dyDescent="0.25">
      <c r="A1029">
        <v>1025</v>
      </c>
      <c r="B1029" s="17">
        <v>544.1034013096672</v>
      </c>
      <c r="C1029" s="17">
        <v>432.37462351670086</v>
      </c>
      <c r="D1029" s="17">
        <v>1268.5546874999998</v>
      </c>
    </row>
    <row r="1030" spans="1:4" x14ac:dyDescent="0.25">
      <c r="A1030">
        <v>1026</v>
      </c>
      <c r="B1030" s="17">
        <v>500.4819383441728</v>
      </c>
      <c r="C1030" s="17">
        <v>432.3746235167008</v>
      </c>
      <c r="D1030" s="17">
        <v>1268.5546874999998</v>
      </c>
    </row>
    <row r="1031" spans="1:4" x14ac:dyDescent="0.25">
      <c r="A1031">
        <v>1027</v>
      </c>
      <c r="B1031" s="17">
        <v>485.941450689008</v>
      </c>
      <c r="C1031" s="17">
        <v>505.07706179252483</v>
      </c>
      <c r="D1031" s="17">
        <v>1268.5546874999998</v>
      </c>
    </row>
    <row r="1032" spans="1:4" x14ac:dyDescent="0.25">
      <c r="A1032">
        <v>1028</v>
      </c>
      <c r="B1032" s="17">
        <v>485.941450689008</v>
      </c>
      <c r="C1032" s="17">
        <v>461.4555988270304</v>
      </c>
      <c r="D1032" s="17">
        <v>1268.5546874999998</v>
      </c>
    </row>
    <row r="1033" spans="1:4" x14ac:dyDescent="0.25">
      <c r="A1033">
        <v>1029</v>
      </c>
      <c r="B1033" s="17">
        <v>529.5629136545024</v>
      </c>
      <c r="C1033" s="17">
        <v>461.4555988270304</v>
      </c>
      <c r="D1033" s="17">
        <v>1268.5546874999998</v>
      </c>
    </row>
    <row r="1034" spans="1:4" x14ac:dyDescent="0.25">
      <c r="A1034">
        <v>1030</v>
      </c>
      <c r="B1034" s="17">
        <v>544.1034013096672</v>
      </c>
      <c r="C1034" s="17">
        <v>475.9960864821952</v>
      </c>
      <c r="D1034" s="17">
        <v>1268.5546874999998</v>
      </c>
    </row>
    <row r="1035" spans="1:4" x14ac:dyDescent="0.25">
      <c r="A1035">
        <v>1031</v>
      </c>
      <c r="B1035" s="17">
        <v>544.1034013096672</v>
      </c>
      <c r="C1035" s="17">
        <v>519.6175494476896</v>
      </c>
      <c r="D1035" s="17">
        <v>1268.5546874999998</v>
      </c>
    </row>
    <row r="1036" spans="1:4" x14ac:dyDescent="0.25">
      <c r="A1036">
        <v>1032</v>
      </c>
      <c r="B1036" s="17">
        <v>500.4819383441728</v>
      </c>
      <c r="C1036" s="17">
        <v>519.6175494476896</v>
      </c>
      <c r="D1036" s="17">
        <v>1268.5546874999998</v>
      </c>
    </row>
    <row r="1037" spans="1:4" x14ac:dyDescent="0.25">
      <c r="A1037">
        <v>1033</v>
      </c>
      <c r="B1037" s="17">
        <v>485.941450689008</v>
      </c>
      <c r="C1037" s="17">
        <v>578.0526790342848</v>
      </c>
      <c r="D1037" s="17">
        <v>957.3742486977636</v>
      </c>
    </row>
    <row r="1038" spans="1:4" x14ac:dyDescent="0.25">
      <c r="A1038">
        <v>1034</v>
      </c>
      <c r="B1038" s="17">
        <v>485.941450689008</v>
      </c>
      <c r="C1038" s="17">
        <v>545.131697585712</v>
      </c>
      <c r="D1038" s="17">
        <v>957.3742486977636</v>
      </c>
    </row>
    <row r="1039" spans="1:4" x14ac:dyDescent="0.25">
      <c r="A1039">
        <v>1035</v>
      </c>
      <c r="B1039" s="17">
        <v>529.5629136545024</v>
      </c>
      <c r="C1039" s="17">
        <v>545.131697585712</v>
      </c>
      <c r="D1039" s="17">
        <v>957.3742486977636</v>
      </c>
    </row>
    <row r="1040" spans="1:4" x14ac:dyDescent="0.25">
      <c r="A1040">
        <v>1036</v>
      </c>
      <c r="B1040" s="17">
        <v>500.4819383441728</v>
      </c>
      <c r="C1040" s="17">
        <v>587.5856913563371</v>
      </c>
      <c r="D1040" s="17">
        <v>831.6878879120078</v>
      </c>
    </row>
    <row r="1041" spans="1:4" x14ac:dyDescent="0.25">
      <c r="A1041">
        <v>1037</v>
      </c>
      <c r="B1041" s="17">
        <v>544.1034013096672</v>
      </c>
      <c r="C1041" s="17">
        <v>554.6647099077643</v>
      </c>
      <c r="D1041" s="17">
        <v>831.6878879120078</v>
      </c>
    </row>
    <row r="1042" spans="1:4" x14ac:dyDescent="0.25">
      <c r="A1042">
        <v>1038</v>
      </c>
      <c r="B1042" s="17">
        <v>544.1034013096672</v>
      </c>
      <c r="C1042" s="17">
        <v>583.263746873921</v>
      </c>
      <c r="D1042" s="17">
        <v>831.6878879120078</v>
      </c>
    </row>
    <row r="1043" spans="1:4" x14ac:dyDescent="0.25">
      <c r="A1043">
        <v>1039</v>
      </c>
      <c r="B1043" s="17">
        <v>542.6627531488618</v>
      </c>
      <c r="C1043" s="17">
        <v>594.2374073567786</v>
      </c>
      <c r="D1043" s="17">
        <v>113.23355804636488</v>
      </c>
    </row>
    <row r="1044" spans="1:4" x14ac:dyDescent="0.25">
      <c r="A1044">
        <v>1040</v>
      </c>
      <c r="B1044" s="17">
        <v>538.3408086664458</v>
      </c>
      <c r="C1044" s="17">
        <v>598.5593518391946</v>
      </c>
      <c r="D1044" s="17">
        <v>113.23355804636488</v>
      </c>
    </row>
    <row r="1045" spans="1:4" x14ac:dyDescent="0.25">
      <c r="A1045">
        <v>1041</v>
      </c>
      <c r="B1045" s="17">
        <v>499.04129018336744</v>
      </c>
      <c r="C1045" s="17">
        <v>598.5593518391946</v>
      </c>
      <c r="D1045" s="17">
        <v>113.23355804636488</v>
      </c>
    </row>
    <row r="1046" spans="1:4" x14ac:dyDescent="0.25">
      <c r="A1046">
        <v>1042</v>
      </c>
      <c r="B1046" s="17">
        <v>571.7437284591915</v>
      </c>
      <c r="C1046" s="17">
        <v>-565.1564320464489</v>
      </c>
      <c r="D1046" s="17">
        <v>1029.6347686678791</v>
      </c>
    </row>
    <row r="1047" spans="1:4" x14ac:dyDescent="0.25">
      <c r="A1047">
        <v>1043</v>
      </c>
      <c r="B1047" s="17">
        <v>611.0432469422699</v>
      </c>
      <c r="C1047" s="17">
        <v>-525.8569135633705</v>
      </c>
      <c r="D1047" s="17">
        <v>1029.6347686678791</v>
      </c>
    </row>
    <row r="1048" spans="1:4" x14ac:dyDescent="0.25">
      <c r="A1048">
        <v>1044</v>
      </c>
      <c r="B1048" s="17">
        <v>571.7437284591915</v>
      </c>
      <c r="C1048" s="17">
        <v>-525.8569135633707</v>
      </c>
      <c r="D1048" s="17">
        <v>1029.6347686678791</v>
      </c>
    </row>
    <row r="1049" spans="1:4" x14ac:dyDescent="0.25">
      <c r="A1049">
        <v>1045</v>
      </c>
      <c r="B1049" s="17">
        <v>571.7437284591915</v>
      </c>
      <c r="C1049" s="17">
        <v>-454.59512344835196</v>
      </c>
      <c r="D1049" s="17">
        <v>1142.868326714244</v>
      </c>
    </row>
    <row r="1050" spans="1:4" x14ac:dyDescent="0.25">
      <c r="A1050">
        <v>1046</v>
      </c>
      <c r="B1050" s="17">
        <v>571.7437284591915</v>
      </c>
      <c r="C1050" s="17">
        <v>-498.21658641384636</v>
      </c>
      <c r="D1050" s="17">
        <v>1142.868326714244</v>
      </c>
    </row>
    <row r="1051" spans="1:4" x14ac:dyDescent="0.25">
      <c r="A1051">
        <v>1047</v>
      </c>
      <c r="B1051" s="17">
        <v>611.0432469422699</v>
      </c>
      <c r="C1051" s="17">
        <v>-498.21658641384636</v>
      </c>
      <c r="D1051" s="17">
        <v>1142.868326714244</v>
      </c>
    </row>
    <row r="1052" spans="1:4" x14ac:dyDescent="0.25">
      <c r="A1052">
        <v>1048</v>
      </c>
      <c r="B1052" s="17">
        <v>586.2842161143564</v>
      </c>
      <c r="C1052" s="17">
        <v>-453.15447528754663</v>
      </c>
      <c r="D1052" s="17">
        <v>238.91991883212071</v>
      </c>
    </row>
    <row r="1053" spans="1:4" x14ac:dyDescent="0.25">
      <c r="A1053">
        <v>1049</v>
      </c>
      <c r="B1053" s="17">
        <v>625.5837345974347</v>
      </c>
      <c r="C1053" s="17">
        <v>-496.775938253041</v>
      </c>
      <c r="D1053" s="17">
        <v>238.91991883212071</v>
      </c>
    </row>
    <row r="1054" spans="1:4" x14ac:dyDescent="0.25">
      <c r="A1054">
        <v>1050</v>
      </c>
      <c r="B1054" s="17">
        <v>629.9056790798506</v>
      </c>
      <c r="C1054" s="17">
        <v>-492.453993770625</v>
      </c>
      <c r="D1054" s="17">
        <v>238.91991883212071</v>
      </c>
    </row>
    <row r="1055" spans="1:4" x14ac:dyDescent="0.25">
      <c r="A1055">
        <v>1051</v>
      </c>
      <c r="B1055" s="17">
        <v>631.346327240656</v>
      </c>
      <c r="C1055" s="17">
        <v>-477.91350611546017</v>
      </c>
      <c r="D1055" s="17">
        <v>1142.868326714244</v>
      </c>
    </row>
    <row r="1056" spans="1:4" x14ac:dyDescent="0.25">
      <c r="A1056">
        <v>1052</v>
      </c>
      <c r="B1056" s="17">
        <v>631.346327240656</v>
      </c>
      <c r="C1056" s="17">
        <v>-438.6139876323818</v>
      </c>
      <c r="D1056" s="17">
        <v>1142.868326714244</v>
      </c>
    </row>
    <row r="1057" spans="1:4" x14ac:dyDescent="0.25">
      <c r="A1057">
        <v>1053</v>
      </c>
      <c r="B1057" s="17">
        <v>587.7248642751616</v>
      </c>
      <c r="C1057" s="17">
        <v>-438.61398763238185</v>
      </c>
      <c r="D1057" s="17">
        <v>1142.868326714244</v>
      </c>
    </row>
    <row r="1058" spans="1:4" x14ac:dyDescent="0.25">
      <c r="A1058">
        <v>1054</v>
      </c>
      <c r="B1058" s="17">
        <v>573.1843766199969</v>
      </c>
      <c r="C1058" s="17">
        <v>-367.35219751736315</v>
      </c>
      <c r="D1058" s="17">
        <v>1268.5546874999998</v>
      </c>
    </row>
    <row r="1059" spans="1:4" x14ac:dyDescent="0.25">
      <c r="A1059">
        <v>1055</v>
      </c>
      <c r="B1059" s="17">
        <v>573.1843766199969</v>
      </c>
      <c r="C1059" s="17">
        <v>-410.97366048285755</v>
      </c>
      <c r="D1059" s="17">
        <v>1268.5546874999998</v>
      </c>
    </row>
    <row r="1060" spans="1:4" x14ac:dyDescent="0.25">
      <c r="A1060">
        <v>1056</v>
      </c>
      <c r="B1060" s="17">
        <v>616.8058395854912</v>
      </c>
      <c r="C1060" s="17">
        <v>-410.97366048285755</v>
      </c>
      <c r="D1060" s="17">
        <v>1268.5546874999998</v>
      </c>
    </row>
    <row r="1061" spans="1:4" x14ac:dyDescent="0.25">
      <c r="A1061">
        <v>1057</v>
      </c>
      <c r="B1061" s="17">
        <v>631.346327240656</v>
      </c>
      <c r="C1061" s="17">
        <v>-396.4331728276928</v>
      </c>
      <c r="D1061" s="17">
        <v>1268.5546874999998</v>
      </c>
    </row>
    <row r="1062" spans="1:4" x14ac:dyDescent="0.25">
      <c r="A1062">
        <v>1058</v>
      </c>
      <c r="B1062" s="17">
        <v>631.346327240656</v>
      </c>
      <c r="C1062" s="17">
        <v>-352.81170986219837</v>
      </c>
      <c r="D1062" s="17">
        <v>1268.5546874999998</v>
      </c>
    </row>
    <row r="1063" spans="1:4" x14ac:dyDescent="0.25">
      <c r="A1063">
        <v>1059</v>
      </c>
      <c r="B1063" s="17">
        <v>587.7248642751616</v>
      </c>
      <c r="C1063" s="17">
        <v>-352.81170986219837</v>
      </c>
      <c r="D1063" s="17">
        <v>1268.5546874999998</v>
      </c>
    </row>
    <row r="1064" spans="1:4" x14ac:dyDescent="0.25">
      <c r="A1064">
        <v>1060</v>
      </c>
      <c r="B1064" s="17">
        <v>573.1843766199969</v>
      </c>
      <c r="C1064" s="17">
        <v>-280.10927158637435</v>
      </c>
      <c r="D1064" s="17">
        <v>1268.5546874999998</v>
      </c>
    </row>
    <row r="1065" spans="1:4" x14ac:dyDescent="0.25">
      <c r="A1065">
        <v>1061</v>
      </c>
      <c r="B1065" s="17">
        <v>573.1843766199969</v>
      </c>
      <c r="C1065" s="17">
        <v>-323.7307345518688</v>
      </c>
      <c r="D1065" s="17">
        <v>1268.5546874999998</v>
      </c>
    </row>
    <row r="1066" spans="1:4" x14ac:dyDescent="0.25">
      <c r="A1066">
        <v>1062</v>
      </c>
      <c r="B1066" s="17">
        <v>616.8058395854912</v>
      </c>
      <c r="C1066" s="17">
        <v>-323.73073455186875</v>
      </c>
      <c r="D1066" s="17">
        <v>1268.5546874999998</v>
      </c>
    </row>
    <row r="1067" spans="1:4" x14ac:dyDescent="0.25">
      <c r="A1067">
        <v>1063</v>
      </c>
      <c r="B1067" s="17">
        <v>631.346327240656</v>
      </c>
      <c r="C1067" s="17">
        <v>-309.190246896704</v>
      </c>
      <c r="D1067" s="17">
        <v>1268.5546874999998</v>
      </c>
    </row>
    <row r="1068" spans="1:4" x14ac:dyDescent="0.25">
      <c r="A1068">
        <v>1064</v>
      </c>
      <c r="B1068" s="17">
        <v>631.346327240656</v>
      </c>
      <c r="C1068" s="17">
        <v>-265.56878393120957</v>
      </c>
      <c r="D1068" s="17">
        <v>1268.5546874999998</v>
      </c>
    </row>
    <row r="1069" spans="1:4" x14ac:dyDescent="0.25">
      <c r="A1069">
        <v>1065</v>
      </c>
      <c r="B1069" s="17">
        <v>587.7248642751616</v>
      </c>
      <c r="C1069" s="17">
        <v>-265.56878393120957</v>
      </c>
      <c r="D1069" s="17">
        <v>1268.5546874999998</v>
      </c>
    </row>
    <row r="1070" spans="1:4" x14ac:dyDescent="0.25">
      <c r="A1070">
        <v>1066</v>
      </c>
      <c r="B1070" s="17">
        <v>573.1843766199969</v>
      </c>
      <c r="C1070" s="17">
        <v>-192.86634565538557</v>
      </c>
      <c r="D1070" s="17">
        <v>1268.5546874999998</v>
      </c>
    </row>
    <row r="1071" spans="1:4" x14ac:dyDescent="0.25">
      <c r="A1071">
        <v>1067</v>
      </c>
      <c r="B1071" s="17">
        <v>573.1843766199969</v>
      </c>
      <c r="C1071" s="17">
        <v>-236.48780862087997</v>
      </c>
      <c r="D1071" s="17">
        <v>1268.5546874999998</v>
      </c>
    </row>
    <row r="1072" spans="1:4" x14ac:dyDescent="0.25">
      <c r="A1072">
        <v>1068</v>
      </c>
      <c r="B1072" s="17">
        <v>616.8058395854912</v>
      </c>
      <c r="C1072" s="17">
        <v>-236.48780862087997</v>
      </c>
      <c r="D1072" s="17">
        <v>1268.5546874999998</v>
      </c>
    </row>
    <row r="1073" spans="1:4" x14ac:dyDescent="0.25">
      <c r="A1073">
        <v>1069</v>
      </c>
      <c r="B1073" s="17">
        <v>631.346327240656</v>
      </c>
      <c r="C1073" s="17">
        <v>-221.9473209657152</v>
      </c>
      <c r="D1073" s="17">
        <v>1268.5546874999998</v>
      </c>
    </row>
    <row r="1074" spans="1:4" x14ac:dyDescent="0.25">
      <c r="A1074">
        <v>1070</v>
      </c>
      <c r="B1074" s="17">
        <v>631.346327240656</v>
      </c>
      <c r="C1074" s="17">
        <v>-178.3258580002208</v>
      </c>
      <c r="D1074" s="17">
        <v>1268.5546874999998</v>
      </c>
    </row>
    <row r="1075" spans="1:4" x14ac:dyDescent="0.25">
      <c r="A1075">
        <v>1071</v>
      </c>
      <c r="B1075" s="17">
        <v>587.7248642751616</v>
      </c>
      <c r="C1075" s="17">
        <v>-178.32585800022076</v>
      </c>
      <c r="D1075" s="17">
        <v>1268.5546874999998</v>
      </c>
    </row>
    <row r="1076" spans="1:4" x14ac:dyDescent="0.25">
      <c r="A1076">
        <v>1072</v>
      </c>
      <c r="B1076" s="17">
        <v>573.1843766199969</v>
      </c>
      <c r="C1076" s="17">
        <v>-105.62341972439677</v>
      </c>
      <c r="D1076" s="17">
        <v>1268.5546874999998</v>
      </c>
    </row>
    <row r="1077" spans="1:4" x14ac:dyDescent="0.25">
      <c r="A1077">
        <v>1073</v>
      </c>
      <c r="B1077" s="17">
        <v>573.1843766199969</v>
      </c>
      <c r="C1077" s="17">
        <v>-149.24488268989117</v>
      </c>
      <c r="D1077" s="17">
        <v>1268.5546874999998</v>
      </c>
    </row>
    <row r="1078" spans="1:4" x14ac:dyDescent="0.25">
      <c r="A1078">
        <v>1074</v>
      </c>
      <c r="B1078" s="17">
        <v>616.8058395854912</v>
      </c>
      <c r="C1078" s="17">
        <v>-149.24488268989117</v>
      </c>
      <c r="D1078" s="17">
        <v>1268.5546874999998</v>
      </c>
    </row>
    <row r="1079" spans="1:4" x14ac:dyDescent="0.25">
      <c r="A1079">
        <v>1075</v>
      </c>
      <c r="B1079" s="17">
        <v>631.346327240656</v>
      </c>
      <c r="C1079" s="17">
        <v>-134.70439503472636</v>
      </c>
      <c r="D1079" s="17">
        <v>1268.5546874999998</v>
      </c>
    </row>
    <row r="1080" spans="1:4" x14ac:dyDescent="0.25">
      <c r="A1080">
        <v>1076</v>
      </c>
      <c r="B1080" s="17">
        <v>631.346327240656</v>
      </c>
      <c r="C1080" s="17">
        <v>-91.08293206923197</v>
      </c>
      <c r="D1080" s="17">
        <v>1268.5546874999998</v>
      </c>
    </row>
    <row r="1081" spans="1:4" x14ac:dyDescent="0.25">
      <c r="A1081">
        <v>1077</v>
      </c>
      <c r="B1081" s="17">
        <v>587.7248642751616</v>
      </c>
      <c r="C1081" s="17">
        <v>-91.08293206923197</v>
      </c>
      <c r="D1081" s="17">
        <v>1268.5546874999998</v>
      </c>
    </row>
    <row r="1082" spans="1:4" x14ac:dyDescent="0.25">
      <c r="A1082">
        <v>1078</v>
      </c>
      <c r="B1082" s="17">
        <v>573.1843766199969</v>
      </c>
      <c r="C1082" s="17">
        <v>-18.380493793407975</v>
      </c>
      <c r="D1082" s="17">
        <v>1268.5546874999998</v>
      </c>
    </row>
    <row r="1083" spans="1:4" x14ac:dyDescent="0.25">
      <c r="A1083">
        <v>1079</v>
      </c>
      <c r="B1083" s="17">
        <v>573.1843766199969</v>
      </c>
      <c r="C1083" s="17">
        <v>-62.001956758902374</v>
      </c>
      <c r="D1083" s="17">
        <v>1268.5546874999998</v>
      </c>
    </row>
    <row r="1084" spans="1:4" x14ac:dyDescent="0.25">
      <c r="A1084">
        <v>1080</v>
      </c>
      <c r="B1084" s="17">
        <v>616.8058395854912</v>
      </c>
      <c r="C1084" s="17">
        <v>-62.001956758902374</v>
      </c>
      <c r="D1084" s="17">
        <v>1268.5546874999998</v>
      </c>
    </row>
    <row r="1085" spans="1:4" x14ac:dyDescent="0.25">
      <c r="A1085">
        <v>1081</v>
      </c>
      <c r="B1085" s="17">
        <v>631.346327240656</v>
      </c>
      <c r="C1085" s="17">
        <v>-47.46146910373757</v>
      </c>
      <c r="D1085" s="17">
        <v>1268.5546874999998</v>
      </c>
    </row>
    <row r="1086" spans="1:4" x14ac:dyDescent="0.25">
      <c r="A1086">
        <v>1082</v>
      </c>
      <c r="B1086" s="17">
        <v>631.346327240656</v>
      </c>
      <c r="C1086" s="17">
        <v>-3.840006138243174</v>
      </c>
      <c r="D1086" s="17">
        <v>1268.5546874999998</v>
      </c>
    </row>
    <row r="1087" spans="1:4" x14ac:dyDescent="0.25">
      <c r="A1087">
        <v>1083</v>
      </c>
      <c r="B1087" s="17">
        <v>587.7248642751616</v>
      </c>
      <c r="C1087" s="17">
        <v>-3.840006138243173</v>
      </c>
      <c r="D1087" s="17">
        <v>1268.5546874999998</v>
      </c>
    </row>
    <row r="1088" spans="1:4" x14ac:dyDescent="0.25">
      <c r="A1088">
        <v>1084</v>
      </c>
      <c r="B1088" s="17">
        <v>573.1843766199969</v>
      </c>
      <c r="C1088" s="17">
        <v>68.86243213758081</v>
      </c>
      <c r="D1088" s="17">
        <v>1268.5546874999998</v>
      </c>
    </row>
    <row r="1089" spans="1:4" x14ac:dyDescent="0.25">
      <c r="A1089">
        <v>1085</v>
      </c>
      <c r="B1089" s="17">
        <v>573.1843766199969</v>
      </c>
      <c r="C1089" s="17">
        <v>25.240969172086423</v>
      </c>
      <c r="D1089" s="17">
        <v>1268.5546874999998</v>
      </c>
    </row>
    <row r="1090" spans="1:4" x14ac:dyDescent="0.25">
      <c r="A1090">
        <v>1086</v>
      </c>
      <c r="B1090" s="17">
        <v>616.8058395854912</v>
      </c>
      <c r="C1090" s="17">
        <v>25.240969172086423</v>
      </c>
      <c r="D1090" s="17">
        <v>1268.5546874999998</v>
      </c>
    </row>
    <row r="1091" spans="1:4" x14ac:dyDescent="0.25">
      <c r="A1091">
        <v>1087</v>
      </c>
      <c r="B1091" s="17">
        <v>631.346327240656</v>
      </c>
      <c r="C1091" s="17">
        <v>39.78145682725122</v>
      </c>
      <c r="D1091" s="17">
        <v>1268.5546874999998</v>
      </c>
    </row>
    <row r="1092" spans="1:4" x14ac:dyDescent="0.25">
      <c r="A1092">
        <v>1088</v>
      </c>
      <c r="B1092" s="17">
        <v>631.346327240656</v>
      </c>
      <c r="C1092" s="17">
        <v>83.40291979274562</v>
      </c>
      <c r="D1092" s="17">
        <v>1268.5546874999998</v>
      </c>
    </row>
    <row r="1093" spans="1:4" x14ac:dyDescent="0.25">
      <c r="A1093">
        <v>1089</v>
      </c>
      <c r="B1093" s="17">
        <v>587.7248642751616</v>
      </c>
      <c r="C1093" s="17">
        <v>83.40291979274562</v>
      </c>
      <c r="D1093" s="17">
        <v>1268.5546874999998</v>
      </c>
    </row>
    <row r="1094" spans="1:4" x14ac:dyDescent="0.25">
      <c r="A1094">
        <v>1090</v>
      </c>
      <c r="B1094" s="17">
        <v>573.1843766199969</v>
      </c>
      <c r="C1094" s="17">
        <v>156.10535806856961</v>
      </c>
      <c r="D1094" s="17">
        <v>1268.5546874999998</v>
      </c>
    </row>
    <row r="1095" spans="1:4" x14ac:dyDescent="0.25">
      <c r="A1095">
        <v>1091</v>
      </c>
      <c r="B1095" s="17">
        <v>573.1843766199969</v>
      </c>
      <c r="C1095" s="17">
        <v>112.48389510307521</v>
      </c>
      <c r="D1095" s="17">
        <v>1268.5546874999998</v>
      </c>
    </row>
    <row r="1096" spans="1:4" x14ac:dyDescent="0.25">
      <c r="A1096">
        <v>1092</v>
      </c>
      <c r="B1096" s="17">
        <v>616.8058395854912</v>
      </c>
      <c r="C1096" s="17">
        <v>112.48389510307521</v>
      </c>
      <c r="D1096" s="17">
        <v>1268.5546874999998</v>
      </c>
    </row>
    <row r="1097" spans="1:4" x14ac:dyDescent="0.25">
      <c r="A1097">
        <v>1093</v>
      </c>
      <c r="B1097" s="17">
        <v>631.346327240656</v>
      </c>
      <c r="C1097" s="17">
        <v>127.02438275824002</v>
      </c>
      <c r="D1097" s="17">
        <v>1268.5546874999998</v>
      </c>
    </row>
    <row r="1098" spans="1:4" x14ac:dyDescent="0.25">
      <c r="A1098">
        <v>1094</v>
      </c>
      <c r="B1098" s="17">
        <v>631.346327240656</v>
      </c>
      <c r="C1098" s="17">
        <v>170.64584572373442</v>
      </c>
      <c r="D1098" s="17">
        <v>1268.5546874999998</v>
      </c>
    </row>
    <row r="1099" spans="1:4" x14ac:dyDescent="0.25">
      <c r="A1099">
        <v>1095</v>
      </c>
      <c r="B1099" s="17">
        <v>587.7248642751616</v>
      </c>
      <c r="C1099" s="17">
        <v>170.64584572373442</v>
      </c>
      <c r="D1099" s="17">
        <v>1268.5546874999998</v>
      </c>
    </row>
    <row r="1100" spans="1:4" x14ac:dyDescent="0.25">
      <c r="A1100">
        <v>1096</v>
      </c>
      <c r="B1100" s="17">
        <v>573.1843766199969</v>
      </c>
      <c r="C1100" s="17">
        <v>243.34828399955842</v>
      </c>
      <c r="D1100" s="17">
        <v>1268.5546874999998</v>
      </c>
    </row>
    <row r="1101" spans="1:4" x14ac:dyDescent="0.25">
      <c r="A1101">
        <v>1097</v>
      </c>
      <c r="B1101" s="17">
        <v>573.1843766199969</v>
      </c>
      <c r="C1101" s="17">
        <v>199.72682103406402</v>
      </c>
      <c r="D1101" s="17">
        <v>1268.5546874999998</v>
      </c>
    </row>
    <row r="1102" spans="1:4" x14ac:dyDescent="0.25">
      <c r="A1102">
        <v>1098</v>
      </c>
      <c r="B1102" s="17">
        <v>616.8058395854912</v>
      </c>
      <c r="C1102" s="17">
        <v>199.72682103406402</v>
      </c>
      <c r="D1102" s="17">
        <v>1268.5546874999998</v>
      </c>
    </row>
    <row r="1103" spans="1:4" x14ac:dyDescent="0.25">
      <c r="A1103">
        <v>1099</v>
      </c>
      <c r="B1103" s="17">
        <v>631.346327240656</v>
      </c>
      <c r="C1103" s="17">
        <v>214.2673086892288</v>
      </c>
      <c r="D1103" s="17">
        <v>1268.5546874999998</v>
      </c>
    </row>
    <row r="1104" spans="1:4" x14ac:dyDescent="0.25">
      <c r="A1104">
        <v>1100</v>
      </c>
      <c r="B1104" s="17">
        <v>631.346327240656</v>
      </c>
      <c r="C1104" s="17">
        <v>257.8887716547232</v>
      </c>
      <c r="D1104" s="17">
        <v>1268.5546874999998</v>
      </c>
    </row>
    <row r="1105" spans="1:4" x14ac:dyDescent="0.25">
      <c r="A1105">
        <v>1101</v>
      </c>
      <c r="B1105" s="17">
        <v>587.7248642751616</v>
      </c>
      <c r="C1105" s="17">
        <v>257.8887716547232</v>
      </c>
      <c r="D1105" s="17">
        <v>1268.5546874999998</v>
      </c>
    </row>
    <row r="1106" spans="1:4" x14ac:dyDescent="0.25">
      <c r="A1106">
        <v>1102</v>
      </c>
      <c r="B1106" s="17">
        <v>573.1843766199969</v>
      </c>
      <c r="C1106" s="17">
        <v>330.5912099305472</v>
      </c>
      <c r="D1106" s="17">
        <v>1268.5546874999998</v>
      </c>
    </row>
    <row r="1107" spans="1:4" x14ac:dyDescent="0.25">
      <c r="A1107">
        <v>1103</v>
      </c>
      <c r="B1107" s="17">
        <v>573.1843766199969</v>
      </c>
      <c r="C1107" s="17">
        <v>286.9697469650528</v>
      </c>
      <c r="D1107" s="17">
        <v>1268.5546874999998</v>
      </c>
    </row>
    <row r="1108" spans="1:4" x14ac:dyDescent="0.25">
      <c r="A1108">
        <v>1104</v>
      </c>
      <c r="B1108" s="17">
        <v>616.8058395854912</v>
      </c>
      <c r="C1108" s="17">
        <v>286.9697469650528</v>
      </c>
      <c r="D1108" s="17">
        <v>1268.5546874999998</v>
      </c>
    </row>
    <row r="1109" spans="1:4" x14ac:dyDescent="0.25">
      <c r="A1109">
        <v>1105</v>
      </c>
      <c r="B1109" s="17">
        <v>631.346327240656</v>
      </c>
      <c r="C1109" s="17">
        <v>301.5102346202176</v>
      </c>
      <c r="D1109" s="17">
        <v>1268.5546874999998</v>
      </c>
    </row>
    <row r="1110" spans="1:4" x14ac:dyDescent="0.25">
      <c r="A1110">
        <v>1106</v>
      </c>
      <c r="B1110" s="17">
        <v>631.346327240656</v>
      </c>
      <c r="C1110" s="17">
        <v>345.13169758571206</v>
      </c>
      <c r="D1110" s="17">
        <v>1268.5546874999998</v>
      </c>
    </row>
    <row r="1111" spans="1:4" x14ac:dyDescent="0.25">
      <c r="A1111">
        <v>1107</v>
      </c>
      <c r="B1111" s="17">
        <v>587.7248642751616</v>
      </c>
      <c r="C1111" s="17">
        <v>345.131697585712</v>
      </c>
      <c r="D1111" s="17">
        <v>1268.5546874999998</v>
      </c>
    </row>
    <row r="1112" spans="1:4" x14ac:dyDescent="0.25">
      <c r="A1112">
        <v>1108</v>
      </c>
      <c r="B1112" s="17">
        <v>573.1843766199969</v>
      </c>
      <c r="C1112" s="17">
        <v>417.8341358615361</v>
      </c>
      <c r="D1112" s="17">
        <v>1268.5546874999998</v>
      </c>
    </row>
    <row r="1113" spans="1:4" x14ac:dyDescent="0.25">
      <c r="A1113">
        <v>1109</v>
      </c>
      <c r="B1113" s="17">
        <v>573.1843766199969</v>
      </c>
      <c r="C1113" s="17">
        <v>374.2126728960416</v>
      </c>
      <c r="D1113" s="17">
        <v>1268.5546874999998</v>
      </c>
    </row>
    <row r="1114" spans="1:4" x14ac:dyDescent="0.25">
      <c r="A1114">
        <v>1110</v>
      </c>
      <c r="B1114" s="17">
        <v>616.8058395854912</v>
      </c>
      <c r="C1114" s="17">
        <v>374.2126728960416</v>
      </c>
      <c r="D1114" s="17">
        <v>1268.5546874999998</v>
      </c>
    </row>
    <row r="1115" spans="1:4" x14ac:dyDescent="0.25">
      <c r="A1115">
        <v>1111</v>
      </c>
      <c r="B1115" s="17">
        <v>631.346327240656</v>
      </c>
      <c r="C1115" s="17">
        <v>388.7531605512064</v>
      </c>
      <c r="D1115" s="17">
        <v>1268.5546874999998</v>
      </c>
    </row>
    <row r="1116" spans="1:4" x14ac:dyDescent="0.25">
      <c r="A1116">
        <v>1112</v>
      </c>
      <c r="B1116" s="17">
        <v>631.346327240656</v>
      </c>
      <c r="C1116" s="17">
        <v>432.37462351670086</v>
      </c>
      <c r="D1116" s="17">
        <v>1268.5546874999998</v>
      </c>
    </row>
    <row r="1117" spans="1:4" x14ac:dyDescent="0.25">
      <c r="A1117">
        <v>1113</v>
      </c>
      <c r="B1117" s="17">
        <v>587.7248642751616</v>
      </c>
      <c r="C1117" s="17">
        <v>432.3746235167008</v>
      </c>
      <c r="D1117" s="17">
        <v>1268.5546874999998</v>
      </c>
    </row>
    <row r="1118" spans="1:4" x14ac:dyDescent="0.25">
      <c r="A1118">
        <v>1114</v>
      </c>
      <c r="B1118" s="17">
        <v>573.1843766199969</v>
      </c>
      <c r="C1118" s="17">
        <v>505.07706179252483</v>
      </c>
      <c r="D1118" s="17">
        <v>1268.5546874999998</v>
      </c>
    </row>
    <row r="1119" spans="1:4" x14ac:dyDescent="0.25">
      <c r="A1119">
        <v>1115</v>
      </c>
      <c r="B1119" s="17">
        <v>573.1843766199969</v>
      </c>
      <c r="C1119" s="17">
        <v>461.4555988270304</v>
      </c>
      <c r="D1119" s="17">
        <v>1268.5546874999998</v>
      </c>
    </row>
    <row r="1120" spans="1:4" x14ac:dyDescent="0.25">
      <c r="A1120">
        <v>1116</v>
      </c>
      <c r="B1120" s="17">
        <v>616.8058395854912</v>
      </c>
      <c r="C1120" s="17">
        <v>461.4555988270304</v>
      </c>
      <c r="D1120" s="17">
        <v>1268.5546874999998</v>
      </c>
    </row>
    <row r="1121" spans="1:4" x14ac:dyDescent="0.25">
      <c r="A1121">
        <v>1117</v>
      </c>
      <c r="B1121" s="17">
        <v>587.7248642751616</v>
      </c>
      <c r="C1121" s="17">
        <v>514.6100741145771</v>
      </c>
      <c r="D1121" s="17">
        <v>831.687887912008</v>
      </c>
    </row>
    <row r="1122" spans="1:4" x14ac:dyDescent="0.25">
      <c r="A1122">
        <v>1118</v>
      </c>
      <c r="B1122" s="17">
        <v>631.346327240656</v>
      </c>
      <c r="C1122" s="17">
        <v>470.98861114908266</v>
      </c>
      <c r="D1122" s="17">
        <v>831.687887912008</v>
      </c>
    </row>
    <row r="1123" spans="1:4" x14ac:dyDescent="0.25">
      <c r="A1123">
        <v>1119</v>
      </c>
      <c r="B1123" s="17">
        <v>631.346327240656</v>
      </c>
      <c r="C1123" s="17">
        <v>499.5876481152394</v>
      </c>
      <c r="D1123" s="17">
        <v>831.687887912008</v>
      </c>
    </row>
    <row r="1124" spans="1:4" x14ac:dyDescent="0.25">
      <c r="A1124">
        <v>1120</v>
      </c>
      <c r="B1124" s="17">
        <v>626.3388519075435</v>
      </c>
      <c r="C1124" s="17">
        <v>514.1281357704042</v>
      </c>
      <c r="D1124" s="17">
        <v>286.41794431760786</v>
      </c>
    </row>
    <row r="1125" spans="1:4" x14ac:dyDescent="0.25">
      <c r="A1125">
        <v>1121</v>
      </c>
      <c r="B1125" s="17">
        <v>611.3164259082058</v>
      </c>
      <c r="C1125" s="17">
        <v>529.1505617697419</v>
      </c>
      <c r="D1125" s="17">
        <v>286.41794431760786</v>
      </c>
    </row>
    <row r="1126" spans="1:4" x14ac:dyDescent="0.25">
      <c r="A1126">
        <v>1122</v>
      </c>
      <c r="B1126" s="17">
        <v>582.7173889420491</v>
      </c>
      <c r="C1126" s="17">
        <v>529.1505617697419</v>
      </c>
      <c r="D1126" s="17">
        <v>286.41794431760786</v>
      </c>
    </row>
    <row r="1127" spans="1:4" x14ac:dyDescent="0.25">
      <c r="A1127">
        <v>1123</v>
      </c>
      <c r="B1127" s="17">
        <v>568.1769012868842</v>
      </c>
      <c r="C1127" s="17">
        <v>543.6910494249066</v>
      </c>
      <c r="D1127" s="17">
        <v>545.2699435944</v>
      </c>
    </row>
    <row r="1128" spans="1:4" x14ac:dyDescent="0.25">
      <c r="A1128">
        <v>1124</v>
      </c>
      <c r="B1128" s="17">
        <v>596.775938253041</v>
      </c>
      <c r="C1128" s="17">
        <v>543.6910494249066</v>
      </c>
      <c r="D1128" s="17">
        <v>545.2699435944</v>
      </c>
    </row>
    <row r="1129" spans="1:4" x14ac:dyDescent="0.25">
      <c r="A1129">
        <v>1125</v>
      </c>
      <c r="B1129" s="17">
        <v>568.1769012868842</v>
      </c>
      <c r="C1129" s="17">
        <v>572.2900863910634</v>
      </c>
      <c r="D1129" s="17">
        <v>545.2699435944</v>
      </c>
    </row>
    <row r="1130" spans="1:4" x14ac:dyDescent="0.25">
      <c r="A1130">
        <v>1126</v>
      </c>
      <c r="B1130" s="17">
        <v>658.9866543901803</v>
      </c>
      <c r="C1130" s="17">
        <v>-477.91350611546017</v>
      </c>
      <c r="D1130" s="17">
        <v>1029.6347686678791</v>
      </c>
    </row>
    <row r="1131" spans="1:4" x14ac:dyDescent="0.25">
      <c r="A1131">
        <v>1127</v>
      </c>
      <c r="B1131" s="17">
        <v>698.2861728732587</v>
      </c>
      <c r="C1131" s="17">
        <v>-438.6139876323818</v>
      </c>
      <c r="D1131" s="17">
        <v>1029.6347686678791</v>
      </c>
    </row>
    <row r="1132" spans="1:4" x14ac:dyDescent="0.25">
      <c r="A1132">
        <v>1128</v>
      </c>
      <c r="B1132" s="17">
        <v>658.9866543901803</v>
      </c>
      <c r="C1132" s="17">
        <v>-438.61398763238185</v>
      </c>
      <c r="D1132" s="17">
        <v>1029.6347686678791</v>
      </c>
    </row>
    <row r="1133" spans="1:4" x14ac:dyDescent="0.25">
      <c r="A1133">
        <v>1129</v>
      </c>
      <c r="B1133" s="17">
        <v>658.9866543901803</v>
      </c>
      <c r="C1133" s="17">
        <v>-367.35219751736315</v>
      </c>
      <c r="D1133" s="17">
        <v>1142.868326714244</v>
      </c>
    </row>
    <row r="1134" spans="1:4" x14ac:dyDescent="0.25">
      <c r="A1134">
        <v>1130</v>
      </c>
      <c r="B1134" s="17">
        <v>658.9866543901803</v>
      </c>
      <c r="C1134" s="17">
        <v>-410.97366048285755</v>
      </c>
      <c r="D1134" s="17">
        <v>1142.868326714244</v>
      </c>
    </row>
    <row r="1135" spans="1:4" x14ac:dyDescent="0.25">
      <c r="A1135">
        <v>1131</v>
      </c>
      <c r="B1135" s="17">
        <v>698.2861728732587</v>
      </c>
      <c r="C1135" s="17">
        <v>-410.97366048285755</v>
      </c>
      <c r="D1135" s="17">
        <v>1142.868326714244</v>
      </c>
    </row>
    <row r="1136" spans="1:4" x14ac:dyDescent="0.25">
      <c r="A1136">
        <v>1132</v>
      </c>
      <c r="B1136" s="17">
        <v>673.527142045345</v>
      </c>
      <c r="C1136" s="17">
        <v>-365.9115493565578</v>
      </c>
      <c r="D1136" s="17">
        <v>238.91991883212071</v>
      </c>
    </row>
    <row r="1137" spans="1:4" x14ac:dyDescent="0.25">
      <c r="A1137">
        <v>1133</v>
      </c>
      <c r="B1137" s="17">
        <v>712.8266605284234</v>
      </c>
      <c r="C1137" s="17">
        <v>-409.53301232205223</v>
      </c>
      <c r="D1137" s="17">
        <v>238.91991883212071</v>
      </c>
    </row>
    <row r="1138" spans="1:4" x14ac:dyDescent="0.25">
      <c r="A1138">
        <v>1134</v>
      </c>
      <c r="B1138" s="17">
        <v>717.1486050108394</v>
      </c>
      <c r="C1138" s="17">
        <v>-405.2110678396362</v>
      </c>
      <c r="D1138" s="17">
        <v>238.91991883212071</v>
      </c>
    </row>
    <row r="1139" spans="1:4" x14ac:dyDescent="0.25">
      <c r="A1139">
        <v>1135</v>
      </c>
      <c r="B1139" s="17">
        <v>718.5892531716448</v>
      </c>
      <c r="C1139" s="17">
        <v>-390.6705801844714</v>
      </c>
      <c r="D1139" s="17">
        <v>1142.868326714244</v>
      </c>
    </row>
    <row r="1140" spans="1:4" x14ac:dyDescent="0.25">
      <c r="A1140">
        <v>1136</v>
      </c>
      <c r="B1140" s="17">
        <v>718.5892531716448</v>
      </c>
      <c r="C1140" s="17">
        <v>-351.37106170139305</v>
      </c>
      <c r="D1140" s="17">
        <v>1142.868326714244</v>
      </c>
    </row>
    <row r="1141" spans="1:4" x14ac:dyDescent="0.25">
      <c r="A1141">
        <v>1137</v>
      </c>
      <c r="B1141" s="17">
        <v>674.9677902061504</v>
      </c>
      <c r="C1141" s="17">
        <v>-351.37106170139305</v>
      </c>
      <c r="D1141" s="17">
        <v>1142.868326714244</v>
      </c>
    </row>
    <row r="1142" spans="1:4" x14ac:dyDescent="0.25">
      <c r="A1142">
        <v>1138</v>
      </c>
      <c r="B1142" s="17">
        <v>660.4273025509856</v>
      </c>
      <c r="C1142" s="17">
        <v>-280.10927158637435</v>
      </c>
      <c r="D1142" s="17">
        <v>1268.5546874999998</v>
      </c>
    </row>
    <row r="1143" spans="1:4" x14ac:dyDescent="0.25">
      <c r="A1143">
        <v>1139</v>
      </c>
      <c r="B1143" s="17">
        <v>660.4273025509856</v>
      </c>
      <c r="C1143" s="17">
        <v>-323.7307345518688</v>
      </c>
      <c r="D1143" s="17">
        <v>1268.5546874999998</v>
      </c>
    </row>
    <row r="1144" spans="1:4" x14ac:dyDescent="0.25">
      <c r="A1144">
        <v>1140</v>
      </c>
      <c r="B1144" s="17">
        <v>704.04876551648</v>
      </c>
      <c r="C1144" s="17">
        <v>-323.73073455186875</v>
      </c>
      <c r="D1144" s="17">
        <v>1268.5546874999998</v>
      </c>
    </row>
    <row r="1145" spans="1:4" x14ac:dyDescent="0.25">
      <c r="A1145">
        <v>1141</v>
      </c>
      <c r="B1145" s="17">
        <v>718.5892531716448</v>
      </c>
      <c r="C1145" s="17">
        <v>-309.190246896704</v>
      </c>
      <c r="D1145" s="17">
        <v>1268.5546874999998</v>
      </c>
    </row>
    <row r="1146" spans="1:4" x14ac:dyDescent="0.25">
      <c r="A1146">
        <v>1142</v>
      </c>
      <c r="B1146" s="17">
        <v>718.5892531716448</v>
      </c>
      <c r="C1146" s="17">
        <v>-265.56878393120957</v>
      </c>
      <c r="D1146" s="17">
        <v>1268.5546874999998</v>
      </c>
    </row>
    <row r="1147" spans="1:4" x14ac:dyDescent="0.25">
      <c r="A1147">
        <v>1143</v>
      </c>
      <c r="B1147" s="17">
        <v>674.9677902061504</v>
      </c>
      <c r="C1147" s="17">
        <v>-265.56878393120957</v>
      </c>
      <c r="D1147" s="17">
        <v>1268.5546874999998</v>
      </c>
    </row>
    <row r="1148" spans="1:4" x14ac:dyDescent="0.25">
      <c r="A1148">
        <v>1144</v>
      </c>
      <c r="B1148" s="17">
        <v>660.4273025509856</v>
      </c>
      <c r="C1148" s="17">
        <v>-192.86634565538557</v>
      </c>
      <c r="D1148" s="17">
        <v>1268.5546874999998</v>
      </c>
    </row>
    <row r="1149" spans="1:4" x14ac:dyDescent="0.25">
      <c r="A1149">
        <v>1145</v>
      </c>
      <c r="B1149" s="17">
        <v>660.4273025509856</v>
      </c>
      <c r="C1149" s="17">
        <v>-236.48780862087997</v>
      </c>
      <c r="D1149" s="17">
        <v>1268.5546874999998</v>
      </c>
    </row>
    <row r="1150" spans="1:4" x14ac:dyDescent="0.25">
      <c r="A1150">
        <v>1146</v>
      </c>
      <c r="B1150" s="17">
        <v>704.04876551648</v>
      </c>
      <c r="C1150" s="17">
        <v>-236.48780862087997</v>
      </c>
      <c r="D1150" s="17">
        <v>1268.5546874999998</v>
      </c>
    </row>
    <row r="1151" spans="1:4" x14ac:dyDescent="0.25">
      <c r="A1151">
        <v>1147</v>
      </c>
      <c r="B1151" s="17">
        <v>718.5892531716448</v>
      </c>
      <c r="C1151" s="17">
        <v>-221.9473209657152</v>
      </c>
      <c r="D1151" s="17">
        <v>1268.5546874999998</v>
      </c>
    </row>
    <row r="1152" spans="1:4" x14ac:dyDescent="0.25">
      <c r="A1152">
        <v>1148</v>
      </c>
      <c r="B1152" s="17">
        <v>718.5892531716448</v>
      </c>
      <c r="C1152" s="17">
        <v>-178.3258580002208</v>
      </c>
      <c r="D1152" s="17">
        <v>1268.5546874999998</v>
      </c>
    </row>
    <row r="1153" spans="1:4" x14ac:dyDescent="0.25">
      <c r="A1153">
        <v>1149</v>
      </c>
      <c r="B1153" s="17">
        <v>674.9677902061504</v>
      </c>
      <c r="C1153" s="17">
        <v>-178.32585800022076</v>
      </c>
      <c r="D1153" s="17">
        <v>1268.5546874999998</v>
      </c>
    </row>
    <row r="1154" spans="1:4" x14ac:dyDescent="0.25">
      <c r="A1154">
        <v>1150</v>
      </c>
      <c r="B1154" s="17">
        <v>660.4273025509856</v>
      </c>
      <c r="C1154" s="17">
        <v>-105.62341972439677</v>
      </c>
      <c r="D1154" s="17">
        <v>1268.5546874999998</v>
      </c>
    </row>
    <row r="1155" spans="1:4" x14ac:dyDescent="0.25">
      <c r="A1155">
        <v>1151</v>
      </c>
      <c r="B1155" s="17">
        <v>660.4273025509856</v>
      </c>
      <c r="C1155" s="17">
        <v>-149.24488268989117</v>
      </c>
      <c r="D1155" s="17">
        <v>1268.5546874999998</v>
      </c>
    </row>
    <row r="1156" spans="1:4" x14ac:dyDescent="0.25">
      <c r="A1156">
        <v>1152</v>
      </c>
      <c r="B1156" s="17">
        <v>704.04876551648</v>
      </c>
      <c r="C1156" s="17">
        <v>-149.24488268989117</v>
      </c>
      <c r="D1156" s="17">
        <v>1268.5546874999998</v>
      </c>
    </row>
    <row r="1157" spans="1:4" x14ac:dyDescent="0.25">
      <c r="A1157">
        <v>1153</v>
      </c>
      <c r="B1157" s="17">
        <v>718.5892531716448</v>
      </c>
      <c r="C1157" s="17">
        <v>-134.70439503472636</v>
      </c>
      <c r="D1157" s="17">
        <v>1268.5546874999998</v>
      </c>
    </row>
    <row r="1158" spans="1:4" x14ac:dyDescent="0.25">
      <c r="A1158">
        <v>1154</v>
      </c>
      <c r="B1158" s="17">
        <v>718.5892531716448</v>
      </c>
      <c r="C1158" s="17">
        <v>-91.08293206923197</v>
      </c>
      <c r="D1158" s="17">
        <v>1268.5546874999998</v>
      </c>
    </row>
    <row r="1159" spans="1:4" x14ac:dyDescent="0.25">
      <c r="A1159">
        <v>1155</v>
      </c>
      <c r="B1159" s="17">
        <v>674.9677902061504</v>
      </c>
      <c r="C1159" s="17">
        <v>-91.08293206923197</v>
      </c>
      <c r="D1159" s="17">
        <v>1268.5546874999998</v>
      </c>
    </row>
    <row r="1160" spans="1:4" x14ac:dyDescent="0.25">
      <c r="A1160">
        <v>1156</v>
      </c>
      <c r="B1160" s="17">
        <v>660.4273025509856</v>
      </c>
      <c r="C1160" s="17">
        <v>-18.380493793407975</v>
      </c>
      <c r="D1160" s="17">
        <v>1268.5546874999998</v>
      </c>
    </row>
    <row r="1161" spans="1:4" x14ac:dyDescent="0.25">
      <c r="A1161">
        <v>1157</v>
      </c>
      <c r="B1161" s="17">
        <v>660.4273025509856</v>
      </c>
      <c r="C1161" s="17">
        <v>-62.001956758902374</v>
      </c>
      <c r="D1161" s="17">
        <v>1268.5546874999998</v>
      </c>
    </row>
    <row r="1162" spans="1:4" x14ac:dyDescent="0.25">
      <c r="A1162">
        <v>1158</v>
      </c>
      <c r="B1162" s="17">
        <v>704.04876551648</v>
      </c>
      <c r="C1162" s="17">
        <v>-62.001956758902374</v>
      </c>
      <c r="D1162" s="17">
        <v>1268.5546874999998</v>
      </c>
    </row>
    <row r="1163" spans="1:4" x14ac:dyDescent="0.25">
      <c r="A1163">
        <v>1159</v>
      </c>
      <c r="B1163" s="17">
        <v>718.5892531716448</v>
      </c>
      <c r="C1163" s="17">
        <v>-47.46146910373757</v>
      </c>
      <c r="D1163" s="17">
        <v>1268.5546874999998</v>
      </c>
    </row>
    <row r="1164" spans="1:4" x14ac:dyDescent="0.25">
      <c r="A1164">
        <v>1160</v>
      </c>
      <c r="B1164" s="17">
        <v>718.5892531716448</v>
      </c>
      <c r="C1164" s="17">
        <v>-3.840006138243174</v>
      </c>
      <c r="D1164" s="17">
        <v>1268.5546874999998</v>
      </c>
    </row>
    <row r="1165" spans="1:4" x14ac:dyDescent="0.25">
      <c r="A1165">
        <v>1161</v>
      </c>
      <c r="B1165" s="17">
        <v>674.9677902061504</v>
      </c>
      <c r="C1165" s="17">
        <v>-3.840006138243173</v>
      </c>
      <c r="D1165" s="17">
        <v>1268.5546874999998</v>
      </c>
    </row>
    <row r="1166" spans="1:4" x14ac:dyDescent="0.25">
      <c r="A1166">
        <v>1162</v>
      </c>
      <c r="B1166" s="17">
        <v>660.4273025509856</v>
      </c>
      <c r="C1166" s="17">
        <v>68.86243213758081</v>
      </c>
      <c r="D1166" s="17">
        <v>1268.5546874999998</v>
      </c>
    </row>
    <row r="1167" spans="1:4" x14ac:dyDescent="0.25">
      <c r="A1167">
        <v>1163</v>
      </c>
      <c r="B1167" s="17">
        <v>660.4273025509856</v>
      </c>
      <c r="C1167" s="17">
        <v>25.240969172086423</v>
      </c>
      <c r="D1167" s="17">
        <v>1268.5546874999998</v>
      </c>
    </row>
    <row r="1168" spans="1:4" x14ac:dyDescent="0.25">
      <c r="A1168">
        <v>1164</v>
      </c>
      <c r="B1168" s="17">
        <v>704.04876551648</v>
      </c>
      <c r="C1168" s="17">
        <v>25.240969172086423</v>
      </c>
      <c r="D1168" s="17">
        <v>1268.5546874999998</v>
      </c>
    </row>
    <row r="1169" spans="1:4" x14ac:dyDescent="0.25">
      <c r="A1169">
        <v>1165</v>
      </c>
      <c r="B1169" s="17">
        <v>718.5892531716448</v>
      </c>
      <c r="C1169" s="17">
        <v>39.78145682725122</v>
      </c>
      <c r="D1169" s="17">
        <v>1268.5546874999998</v>
      </c>
    </row>
    <row r="1170" spans="1:4" x14ac:dyDescent="0.25">
      <c r="A1170">
        <v>1166</v>
      </c>
      <c r="B1170" s="17">
        <v>718.5892531716448</v>
      </c>
      <c r="C1170" s="17">
        <v>83.40291979274562</v>
      </c>
      <c r="D1170" s="17">
        <v>1268.5546874999998</v>
      </c>
    </row>
    <row r="1171" spans="1:4" x14ac:dyDescent="0.25">
      <c r="A1171">
        <v>1167</v>
      </c>
      <c r="B1171" s="17">
        <v>674.9677902061504</v>
      </c>
      <c r="C1171" s="17">
        <v>83.40291979274562</v>
      </c>
      <c r="D1171" s="17">
        <v>1268.5546874999998</v>
      </c>
    </row>
    <row r="1172" spans="1:4" x14ac:dyDescent="0.25">
      <c r="A1172">
        <v>1168</v>
      </c>
      <c r="B1172" s="17">
        <v>660.4273025509856</v>
      </c>
      <c r="C1172" s="17">
        <v>156.10535806856961</v>
      </c>
      <c r="D1172" s="17">
        <v>1268.5546874999998</v>
      </c>
    </row>
    <row r="1173" spans="1:4" x14ac:dyDescent="0.25">
      <c r="A1173">
        <v>1169</v>
      </c>
      <c r="B1173" s="17">
        <v>660.4273025509856</v>
      </c>
      <c r="C1173" s="17">
        <v>112.48389510307521</v>
      </c>
      <c r="D1173" s="17">
        <v>1268.5546874999998</v>
      </c>
    </row>
    <row r="1174" spans="1:4" x14ac:dyDescent="0.25">
      <c r="A1174">
        <v>1170</v>
      </c>
      <c r="B1174" s="17">
        <v>704.04876551648</v>
      </c>
      <c r="C1174" s="17">
        <v>112.48389510307521</v>
      </c>
      <c r="D1174" s="17">
        <v>1268.5546874999998</v>
      </c>
    </row>
    <row r="1175" spans="1:4" x14ac:dyDescent="0.25">
      <c r="A1175">
        <v>1171</v>
      </c>
      <c r="B1175" s="17">
        <v>718.5892531716448</v>
      </c>
      <c r="C1175" s="17">
        <v>127.02438275824002</v>
      </c>
      <c r="D1175" s="17">
        <v>1268.5546874999998</v>
      </c>
    </row>
    <row r="1176" spans="1:4" x14ac:dyDescent="0.25">
      <c r="A1176">
        <v>1172</v>
      </c>
      <c r="B1176" s="17">
        <v>718.5892531716448</v>
      </c>
      <c r="C1176" s="17">
        <v>170.64584572373442</v>
      </c>
      <c r="D1176" s="17">
        <v>1268.5546874999998</v>
      </c>
    </row>
    <row r="1177" spans="1:4" x14ac:dyDescent="0.25">
      <c r="A1177">
        <v>1173</v>
      </c>
      <c r="B1177" s="17">
        <v>674.9677902061504</v>
      </c>
      <c r="C1177" s="17">
        <v>170.64584572373442</v>
      </c>
      <c r="D1177" s="17">
        <v>1268.5546874999998</v>
      </c>
    </row>
    <row r="1178" spans="1:4" x14ac:dyDescent="0.25">
      <c r="A1178">
        <v>1174</v>
      </c>
      <c r="B1178" s="17">
        <v>660.4273025509856</v>
      </c>
      <c r="C1178" s="17">
        <v>243.34828399955842</v>
      </c>
      <c r="D1178" s="17">
        <v>1268.5546874999998</v>
      </c>
    </row>
    <row r="1179" spans="1:4" x14ac:dyDescent="0.25">
      <c r="A1179">
        <v>1175</v>
      </c>
      <c r="B1179" s="17">
        <v>660.4273025509856</v>
      </c>
      <c r="C1179" s="17">
        <v>199.72682103406402</v>
      </c>
      <c r="D1179" s="17">
        <v>1268.5546874999998</v>
      </c>
    </row>
    <row r="1180" spans="1:4" x14ac:dyDescent="0.25">
      <c r="A1180">
        <v>1176</v>
      </c>
      <c r="B1180" s="17">
        <v>704.04876551648</v>
      </c>
      <c r="C1180" s="17">
        <v>199.72682103406402</v>
      </c>
      <c r="D1180" s="17">
        <v>1268.5546874999998</v>
      </c>
    </row>
    <row r="1181" spans="1:4" x14ac:dyDescent="0.25">
      <c r="A1181">
        <v>1177</v>
      </c>
      <c r="B1181" s="17">
        <v>718.5892531716448</v>
      </c>
      <c r="C1181" s="17">
        <v>214.2673086892288</v>
      </c>
      <c r="D1181" s="17">
        <v>1268.5546874999998</v>
      </c>
    </row>
    <row r="1182" spans="1:4" x14ac:dyDescent="0.25">
      <c r="A1182">
        <v>1178</v>
      </c>
      <c r="B1182" s="17">
        <v>718.5892531716448</v>
      </c>
      <c r="C1182" s="17">
        <v>257.8887716547232</v>
      </c>
      <c r="D1182" s="17">
        <v>1268.5546874999998</v>
      </c>
    </row>
    <row r="1183" spans="1:4" x14ac:dyDescent="0.25">
      <c r="A1183">
        <v>1179</v>
      </c>
      <c r="B1183" s="17">
        <v>674.9677902061504</v>
      </c>
      <c r="C1183" s="17">
        <v>257.8887716547232</v>
      </c>
      <c r="D1183" s="17">
        <v>1268.5546874999998</v>
      </c>
    </row>
    <row r="1184" spans="1:4" x14ac:dyDescent="0.25">
      <c r="A1184">
        <v>1180</v>
      </c>
      <c r="B1184" s="17">
        <v>660.4273025509856</v>
      </c>
      <c r="C1184" s="17">
        <v>330.5912099305472</v>
      </c>
      <c r="D1184" s="17">
        <v>1268.5546874999998</v>
      </c>
    </row>
    <row r="1185" spans="1:4" x14ac:dyDescent="0.25">
      <c r="A1185">
        <v>1181</v>
      </c>
      <c r="B1185" s="17">
        <v>660.4273025509856</v>
      </c>
      <c r="C1185" s="17">
        <v>286.9697469650528</v>
      </c>
      <c r="D1185" s="17">
        <v>1268.5546874999998</v>
      </c>
    </row>
    <row r="1186" spans="1:4" x14ac:dyDescent="0.25">
      <c r="A1186">
        <v>1182</v>
      </c>
      <c r="B1186" s="17">
        <v>704.04876551648</v>
      </c>
      <c r="C1186" s="17">
        <v>286.9697469650528</v>
      </c>
      <c r="D1186" s="17">
        <v>1268.5546874999998</v>
      </c>
    </row>
    <row r="1187" spans="1:4" x14ac:dyDescent="0.25">
      <c r="A1187">
        <v>1183</v>
      </c>
      <c r="B1187" s="17">
        <v>718.5892531716448</v>
      </c>
      <c r="C1187" s="17">
        <v>301.5102346202176</v>
      </c>
      <c r="D1187" s="17">
        <v>1268.5546874999998</v>
      </c>
    </row>
    <row r="1188" spans="1:4" x14ac:dyDescent="0.25">
      <c r="A1188">
        <v>1184</v>
      </c>
      <c r="B1188" s="17">
        <v>718.5892531716448</v>
      </c>
      <c r="C1188" s="17">
        <v>345.13169758571206</v>
      </c>
      <c r="D1188" s="17">
        <v>1268.5546874999998</v>
      </c>
    </row>
    <row r="1189" spans="1:4" x14ac:dyDescent="0.25">
      <c r="A1189">
        <v>1185</v>
      </c>
      <c r="B1189" s="17">
        <v>674.9677902061504</v>
      </c>
      <c r="C1189" s="17">
        <v>345.131697585712</v>
      </c>
      <c r="D1189" s="17">
        <v>1268.5546874999998</v>
      </c>
    </row>
    <row r="1190" spans="1:4" x14ac:dyDescent="0.25">
      <c r="A1190">
        <v>1186</v>
      </c>
      <c r="B1190" s="17">
        <v>660.4273025509856</v>
      </c>
      <c r="C1190" s="17">
        <v>417.8341358615361</v>
      </c>
      <c r="D1190" s="17">
        <v>1268.5546874999998</v>
      </c>
    </row>
    <row r="1191" spans="1:4" x14ac:dyDescent="0.25">
      <c r="A1191">
        <v>1187</v>
      </c>
      <c r="B1191" s="17">
        <v>660.4273025509856</v>
      </c>
      <c r="C1191" s="17">
        <v>374.2126728960416</v>
      </c>
      <c r="D1191" s="17">
        <v>1268.5546874999998</v>
      </c>
    </row>
    <row r="1192" spans="1:4" x14ac:dyDescent="0.25">
      <c r="A1192">
        <v>1188</v>
      </c>
      <c r="B1192" s="17">
        <v>704.04876551648</v>
      </c>
      <c r="C1192" s="17">
        <v>374.2126728960416</v>
      </c>
      <c r="D1192" s="17">
        <v>1268.5546874999998</v>
      </c>
    </row>
    <row r="1193" spans="1:4" x14ac:dyDescent="0.25">
      <c r="A1193">
        <v>1189</v>
      </c>
      <c r="B1193" s="17">
        <v>674.9677902061504</v>
      </c>
      <c r="C1193" s="17">
        <v>427.3671481835883</v>
      </c>
      <c r="D1193" s="17">
        <v>831.687887912008</v>
      </c>
    </row>
    <row r="1194" spans="1:4" x14ac:dyDescent="0.25">
      <c r="A1194">
        <v>1190</v>
      </c>
      <c r="B1194" s="17">
        <v>718.5892531716448</v>
      </c>
      <c r="C1194" s="17">
        <v>383.74568521809385</v>
      </c>
      <c r="D1194" s="17">
        <v>831.687887912008</v>
      </c>
    </row>
    <row r="1195" spans="1:4" x14ac:dyDescent="0.25">
      <c r="A1195">
        <v>1191</v>
      </c>
      <c r="B1195" s="17">
        <v>718.5892531716448</v>
      </c>
      <c r="C1195" s="17">
        <v>412.3447221842506</v>
      </c>
      <c r="D1195" s="17">
        <v>831.687887912008</v>
      </c>
    </row>
    <row r="1196" spans="1:4" x14ac:dyDescent="0.25">
      <c r="A1196">
        <v>1192</v>
      </c>
      <c r="B1196" s="17">
        <v>713.5817778385323</v>
      </c>
      <c r="C1196" s="17">
        <v>426.88520983941544</v>
      </c>
      <c r="D1196" s="17">
        <v>286.41794431760786</v>
      </c>
    </row>
    <row r="1197" spans="1:4" x14ac:dyDescent="0.25">
      <c r="A1197">
        <v>1193</v>
      </c>
      <c r="B1197" s="17">
        <v>698.5593518391946</v>
      </c>
      <c r="C1197" s="17">
        <v>441.9076358387531</v>
      </c>
      <c r="D1197" s="17">
        <v>286.41794431760786</v>
      </c>
    </row>
    <row r="1198" spans="1:4" x14ac:dyDescent="0.25">
      <c r="A1198">
        <v>1194</v>
      </c>
      <c r="B1198" s="17">
        <v>669.9603148730379</v>
      </c>
      <c r="C1198" s="17">
        <v>441.9076358387531</v>
      </c>
      <c r="D1198" s="17">
        <v>286.41794431760786</v>
      </c>
    </row>
    <row r="1199" spans="1:4" x14ac:dyDescent="0.25">
      <c r="A1199">
        <v>1195</v>
      </c>
      <c r="B1199" s="17">
        <v>655.4198272178731</v>
      </c>
      <c r="C1199" s="17">
        <v>456.4481234939179</v>
      </c>
      <c r="D1199" s="17">
        <v>545.2699435944</v>
      </c>
    </row>
    <row r="1200" spans="1:4" x14ac:dyDescent="0.25">
      <c r="A1200">
        <v>1196</v>
      </c>
      <c r="B1200" s="17">
        <v>684.0188641840299</v>
      </c>
      <c r="C1200" s="17">
        <v>456.4481234939179</v>
      </c>
      <c r="D1200" s="17">
        <v>545.2699435944</v>
      </c>
    </row>
    <row r="1201" spans="1:4" x14ac:dyDescent="0.25">
      <c r="A1201">
        <v>1197</v>
      </c>
      <c r="B1201" s="17">
        <v>655.419827217873</v>
      </c>
      <c r="C1201" s="17">
        <v>485.0471604600746</v>
      </c>
      <c r="D1201" s="17">
        <v>545.2699435944</v>
      </c>
    </row>
    <row r="1202" spans="1:4" x14ac:dyDescent="0.25">
      <c r="A1202">
        <v>1198</v>
      </c>
      <c r="B1202" s="17">
        <v>735.941450689008</v>
      </c>
      <c r="C1202" s="17">
        <v>-361.6591913335541</v>
      </c>
      <c r="D1202" s="17">
        <v>220.99768739703867</v>
      </c>
    </row>
    <row r="1203" spans="1:4" x14ac:dyDescent="0.25">
      <c r="A1203">
        <v>1199</v>
      </c>
      <c r="B1203" s="17">
        <v>735.941450689008</v>
      </c>
      <c r="C1203" s="17">
        <v>-400.95870981663245</v>
      </c>
      <c r="D1203" s="17">
        <v>220.99768739703867</v>
      </c>
    </row>
    <row r="1204" spans="1:4" x14ac:dyDescent="0.25">
      <c r="A1204">
        <v>1200</v>
      </c>
      <c r="B1204" s="17">
        <v>744.3765802756031</v>
      </c>
      <c r="C1204" s="17">
        <v>-392.5235802300373</v>
      </c>
      <c r="D1204" s="17">
        <v>220.99768739703867</v>
      </c>
    </row>
    <row r="1205" spans="1:4" x14ac:dyDescent="0.25">
      <c r="A1205">
        <v>1201</v>
      </c>
      <c r="B1205" s="17">
        <v>747.1882901378016</v>
      </c>
      <c r="C1205" s="17">
        <v>-379.4237407356778</v>
      </c>
      <c r="D1205" s="17">
        <v>173.56341330193655</v>
      </c>
    </row>
    <row r="1206" spans="1:4" x14ac:dyDescent="0.25">
      <c r="A1206">
        <v>1202</v>
      </c>
      <c r="B1206" s="17">
        <v>747.1882901378016</v>
      </c>
      <c r="C1206" s="17">
        <v>-348.5593518391946</v>
      </c>
      <c r="D1206" s="17">
        <v>173.56341330193655</v>
      </c>
    </row>
    <row r="1207" spans="1:4" x14ac:dyDescent="0.25">
      <c r="A1207">
        <v>1203</v>
      </c>
      <c r="B1207" s="17">
        <v>738.7531605512064</v>
      </c>
      <c r="C1207" s="17">
        <v>-348.5593518391946</v>
      </c>
      <c r="D1207" s="17">
        <v>173.56341330193655</v>
      </c>
    </row>
    <row r="1208" spans="1:4" x14ac:dyDescent="0.25">
      <c r="A1208">
        <v>1204</v>
      </c>
      <c r="B1208" s="17">
        <v>735.941450689008</v>
      </c>
      <c r="C1208" s="17">
        <v>-280.10927158637435</v>
      </c>
      <c r="D1208" s="17">
        <v>245.3017952472048</v>
      </c>
    </row>
    <row r="1209" spans="1:4" x14ac:dyDescent="0.25">
      <c r="A1209">
        <v>1205</v>
      </c>
      <c r="B1209" s="17">
        <v>735.941450689008</v>
      </c>
      <c r="C1209" s="17">
        <v>-323.7307345518688</v>
      </c>
      <c r="D1209" s="17">
        <v>245.3017952472048</v>
      </c>
    </row>
    <row r="1210" spans="1:4" x14ac:dyDescent="0.25">
      <c r="A1210">
        <v>1206</v>
      </c>
      <c r="B1210" s="17">
        <v>744.3765802756031</v>
      </c>
      <c r="C1210" s="17">
        <v>-323.73073455186875</v>
      </c>
      <c r="D1210" s="17">
        <v>245.3017952472048</v>
      </c>
    </row>
    <row r="1211" spans="1:4" x14ac:dyDescent="0.25">
      <c r="A1211">
        <v>1207</v>
      </c>
      <c r="B1211" s="17">
        <v>747.1882901378016</v>
      </c>
      <c r="C1211" s="17">
        <v>-309.190246896704</v>
      </c>
      <c r="D1211" s="17">
        <v>245.3017952472048</v>
      </c>
    </row>
    <row r="1212" spans="1:4" x14ac:dyDescent="0.25">
      <c r="A1212">
        <v>1208</v>
      </c>
      <c r="B1212" s="17">
        <v>747.1882901378016</v>
      </c>
      <c r="C1212" s="17">
        <v>-265.56878393120957</v>
      </c>
      <c r="D1212" s="17">
        <v>245.3017952472048</v>
      </c>
    </row>
    <row r="1213" spans="1:4" x14ac:dyDescent="0.25">
      <c r="A1213">
        <v>1209</v>
      </c>
      <c r="B1213" s="17">
        <v>738.7531605512064</v>
      </c>
      <c r="C1213" s="17">
        <v>-265.56878393120957</v>
      </c>
      <c r="D1213" s="17">
        <v>245.3017952472048</v>
      </c>
    </row>
    <row r="1214" spans="1:4" x14ac:dyDescent="0.25">
      <c r="A1214">
        <v>1210</v>
      </c>
      <c r="B1214" s="17">
        <v>735.941450689008</v>
      </c>
      <c r="C1214" s="17">
        <v>-192.86634565538557</v>
      </c>
      <c r="D1214" s="17">
        <v>245.3017952472048</v>
      </c>
    </row>
    <row r="1215" spans="1:4" x14ac:dyDescent="0.25">
      <c r="A1215">
        <v>1211</v>
      </c>
      <c r="B1215" s="17">
        <v>735.941450689008</v>
      </c>
      <c r="C1215" s="17">
        <v>-236.48780862087997</v>
      </c>
      <c r="D1215" s="17">
        <v>245.3017952472048</v>
      </c>
    </row>
    <row r="1216" spans="1:4" x14ac:dyDescent="0.25">
      <c r="A1216">
        <v>1212</v>
      </c>
      <c r="B1216" s="17">
        <v>744.3765802756031</v>
      </c>
      <c r="C1216" s="17">
        <v>-236.48780862087997</v>
      </c>
      <c r="D1216" s="17">
        <v>245.3017952472048</v>
      </c>
    </row>
    <row r="1217" spans="1:4" x14ac:dyDescent="0.25">
      <c r="A1217">
        <v>1213</v>
      </c>
      <c r="B1217" s="17">
        <v>747.1882901378016</v>
      </c>
      <c r="C1217" s="17">
        <v>-221.9473209657152</v>
      </c>
      <c r="D1217" s="17">
        <v>245.3017952472048</v>
      </c>
    </row>
    <row r="1218" spans="1:4" x14ac:dyDescent="0.25">
      <c r="A1218">
        <v>1214</v>
      </c>
      <c r="B1218" s="17">
        <v>747.1882901378016</v>
      </c>
      <c r="C1218" s="17">
        <v>-178.3258580002208</v>
      </c>
      <c r="D1218" s="17">
        <v>245.3017952472048</v>
      </c>
    </row>
    <row r="1219" spans="1:4" x14ac:dyDescent="0.25">
      <c r="A1219">
        <v>1215</v>
      </c>
      <c r="B1219" s="17">
        <v>738.7531605512064</v>
      </c>
      <c r="C1219" s="17">
        <v>-178.32585800022076</v>
      </c>
      <c r="D1219" s="17">
        <v>245.3017952472048</v>
      </c>
    </row>
    <row r="1220" spans="1:4" x14ac:dyDescent="0.25">
      <c r="A1220">
        <v>1216</v>
      </c>
      <c r="B1220" s="17">
        <v>735.941450689008</v>
      </c>
      <c r="C1220" s="17">
        <v>-105.62341972439677</v>
      </c>
      <c r="D1220" s="17">
        <v>245.3017952472048</v>
      </c>
    </row>
    <row r="1221" spans="1:4" x14ac:dyDescent="0.25">
      <c r="A1221">
        <v>1217</v>
      </c>
      <c r="B1221" s="17">
        <v>735.941450689008</v>
      </c>
      <c r="C1221" s="17">
        <v>-149.24488268989117</v>
      </c>
      <c r="D1221" s="17">
        <v>245.3017952472048</v>
      </c>
    </row>
    <row r="1222" spans="1:4" x14ac:dyDescent="0.25">
      <c r="A1222">
        <v>1218</v>
      </c>
      <c r="B1222" s="17">
        <v>744.3765802756031</v>
      </c>
      <c r="C1222" s="17">
        <v>-149.24488268989117</v>
      </c>
      <c r="D1222" s="17">
        <v>245.3017952472048</v>
      </c>
    </row>
    <row r="1223" spans="1:4" x14ac:dyDescent="0.25">
      <c r="A1223">
        <v>1219</v>
      </c>
      <c r="B1223" s="17">
        <v>747.1882901378016</v>
      </c>
      <c r="C1223" s="17">
        <v>-134.70439503472636</v>
      </c>
      <c r="D1223" s="17">
        <v>245.3017952472048</v>
      </c>
    </row>
    <row r="1224" spans="1:4" x14ac:dyDescent="0.25">
      <c r="A1224">
        <v>1220</v>
      </c>
      <c r="B1224" s="17">
        <v>747.1882901378016</v>
      </c>
      <c r="C1224" s="17">
        <v>-91.08293206923197</v>
      </c>
      <c r="D1224" s="17">
        <v>245.3017952472048</v>
      </c>
    </row>
    <row r="1225" spans="1:4" x14ac:dyDescent="0.25">
      <c r="A1225">
        <v>1221</v>
      </c>
      <c r="B1225" s="17">
        <v>738.7531605512064</v>
      </c>
      <c r="C1225" s="17">
        <v>-91.08293206923197</v>
      </c>
      <c r="D1225" s="17">
        <v>245.3017952472048</v>
      </c>
    </row>
    <row r="1226" spans="1:4" x14ac:dyDescent="0.25">
      <c r="A1226">
        <v>1222</v>
      </c>
      <c r="B1226" s="17">
        <v>735.941450689008</v>
      </c>
      <c r="C1226" s="17">
        <v>-18.380493793407975</v>
      </c>
      <c r="D1226" s="17">
        <v>245.3017952472048</v>
      </c>
    </row>
    <row r="1227" spans="1:4" x14ac:dyDescent="0.25">
      <c r="A1227">
        <v>1223</v>
      </c>
      <c r="B1227" s="17">
        <v>735.941450689008</v>
      </c>
      <c r="C1227" s="17">
        <v>-62.001956758902374</v>
      </c>
      <c r="D1227" s="17">
        <v>245.3017952472048</v>
      </c>
    </row>
    <row r="1228" spans="1:4" x14ac:dyDescent="0.25">
      <c r="A1228">
        <v>1224</v>
      </c>
      <c r="B1228" s="17">
        <v>744.3765802756031</v>
      </c>
      <c r="C1228" s="17">
        <v>-62.001956758902374</v>
      </c>
      <c r="D1228" s="17">
        <v>245.3017952472048</v>
      </c>
    </row>
    <row r="1229" spans="1:4" x14ac:dyDescent="0.25">
      <c r="A1229">
        <v>1225</v>
      </c>
      <c r="B1229" s="17">
        <v>747.1882901378016</v>
      </c>
      <c r="C1229" s="17">
        <v>-47.46146910373757</v>
      </c>
      <c r="D1229" s="17">
        <v>245.3017952472048</v>
      </c>
    </row>
    <row r="1230" spans="1:4" x14ac:dyDescent="0.25">
      <c r="A1230">
        <v>1226</v>
      </c>
      <c r="B1230" s="17">
        <v>747.1882901378016</v>
      </c>
      <c r="C1230" s="17">
        <v>-3.840006138243174</v>
      </c>
      <c r="D1230" s="17">
        <v>245.3017952472048</v>
      </c>
    </row>
    <row r="1231" spans="1:4" x14ac:dyDescent="0.25">
      <c r="A1231">
        <v>1227</v>
      </c>
      <c r="B1231" s="17">
        <v>738.7531605512064</v>
      </c>
      <c r="C1231" s="17">
        <v>-3.840006138243173</v>
      </c>
      <c r="D1231" s="17">
        <v>245.3017952472048</v>
      </c>
    </row>
    <row r="1232" spans="1:4" x14ac:dyDescent="0.25">
      <c r="A1232">
        <v>1228</v>
      </c>
      <c r="B1232" s="17">
        <v>735.941450689008</v>
      </c>
      <c r="C1232" s="17">
        <v>68.86243213758081</v>
      </c>
      <c r="D1232" s="17">
        <v>245.3017952472048</v>
      </c>
    </row>
    <row r="1233" spans="1:4" x14ac:dyDescent="0.25">
      <c r="A1233">
        <v>1229</v>
      </c>
      <c r="B1233" s="17">
        <v>735.941450689008</v>
      </c>
      <c r="C1233" s="17">
        <v>25.240969172086423</v>
      </c>
      <c r="D1233" s="17">
        <v>245.3017952472048</v>
      </c>
    </row>
    <row r="1234" spans="1:4" x14ac:dyDescent="0.25">
      <c r="A1234">
        <v>1230</v>
      </c>
      <c r="B1234" s="17">
        <v>744.3765802756031</v>
      </c>
      <c r="C1234" s="17">
        <v>25.240969172086423</v>
      </c>
      <c r="D1234" s="17">
        <v>245.3017952472048</v>
      </c>
    </row>
    <row r="1235" spans="1:4" x14ac:dyDescent="0.25">
      <c r="A1235">
        <v>1231</v>
      </c>
      <c r="B1235" s="17">
        <v>747.1882901378016</v>
      </c>
      <c r="C1235" s="17">
        <v>39.78145682725122</v>
      </c>
      <c r="D1235" s="17">
        <v>245.3017952472048</v>
      </c>
    </row>
    <row r="1236" spans="1:4" x14ac:dyDescent="0.25">
      <c r="A1236">
        <v>1232</v>
      </c>
      <c r="B1236" s="17">
        <v>747.1882901378016</v>
      </c>
      <c r="C1236" s="17">
        <v>83.40291979274562</v>
      </c>
      <c r="D1236" s="17">
        <v>245.3017952472048</v>
      </c>
    </row>
    <row r="1237" spans="1:4" x14ac:dyDescent="0.25">
      <c r="A1237">
        <v>1233</v>
      </c>
      <c r="B1237" s="17">
        <v>738.7531605512064</v>
      </c>
      <c r="C1237" s="17">
        <v>83.40291979274562</v>
      </c>
      <c r="D1237" s="17">
        <v>245.3017952472048</v>
      </c>
    </row>
    <row r="1238" spans="1:4" x14ac:dyDescent="0.25">
      <c r="A1238">
        <v>1234</v>
      </c>
      <c r="B1238" s="17">
        <v>735.941450689008</v>
      </c>
      <c r="C1238" s="17">
        <v>156.10535806856961</v>
      </c>
      <c r="D1238" s="17">
        <v>245.3017952472048</v>
      </c>
    </row>
    <row r="1239" spans="1:4" x14ac:dyDescent="0.25">
      <c r="A1239">
        <v>1235</v>
      </c>
      <c r="B1239" s="17">
        <v>735.941450689008</v>
      </c>
      <c r="C1239" s="17">
        <v>112.48389510307521</v>
      </c>
      <c r="D1239" s="17">
        <v>245.3017952472048</v>
      </c>
    </row>
    <row r="1240" spans="1:4" x14ac:dyDescent="0.25">
      <c r="A1240">
        <v>1236</v>
      </c>
      <c r="B1240" s="17">
        <v>744.3765802756031</v>
      </c>
      <c r="C1240" s="17">
        <v>112.48389510307521</v>
      </c>
      <c r="D1240" s="17">
        <v>245.3017952472048</v>
      </c>
    </row>
    <row r="1241" spans="1:4" x14ac:dyDescent="0.25">
      <c r="A1241">
        <v>1237</v>
      </c>
      <c r="B1241" s="17">
        <v>747.1882901378016</v>
      </c>
      <c r="C1241" s="17">
        <v>127.02438275824002</v>
      </c>
      <c r="D1241" s="17">
        <v>245.3017952472048</v>
      </c>
    </row>
    <row r="1242" spans="1:4" x14ac:dyDescent="0.25">
      <c r="A1242">
        <v>1238</v>
      </c>
      <c r="B1242" s="17">
        <v>747.1882901378016</v>
      </c>
      <c r="C1242" s="17">
        <v>170.64584572373442</v>
      </c>
      <c r="D1242" s="17">
        <v>245.3017952472048</v>
      </c>
    </row>
    <row r="1243" spans="1:4" x14ac:dyDescent="0.25">
      <c r="A1243">
        <v>1239</v>
      </c>
      <c r="B1243" s="17">
        <v>738.7531605512064</v>
      </c>
      <c r="C1243" s="17">
        <v>170.64584572373442</v>
      </c>
      <c r="D1243" s="17">
        <v>245.3017952472048</v>
      </c>
    </row>
    <row r="1244" spans="1:4" x14ac:dyDescent="0.25">
      <c r="A1244">
        <v>1240</v>
      </c>
      <c r="B1244" s="17">
        <v>735.941450689008</v>
      </c>
      <c r="C1244" s="17">
        <v>243.34828399955842</v>
      </c>
      <c r="D1244" s="17">
        <v>245.3017952472048</v>
      </c>
    </row>
    <row r="1245" spans="1:4" x14ac:dyDescent="0.25">
      <c r="A1245">
        <v>1241</v>
      </c>
      <c r="B1245" s="17">
        <v>735.941450689008</v>
      </c>
      <c r="C1245" s="17">
        <v>199.72682103406402</v>
      </c>
      <c r="D1245" s="17">
        <v>245.3017952472048</v>
      </c>
    </row>
    <row r="1246" spans="1:4" x14ac:dyDescent="0.25">
      <c r="A1246">
        <v>1242</v>
      </c>
      <c r="B1246" s="17">
        <v>744.3765802756031</v>
      </c>
      <c r="C1246" s="17">
        <v>199.72682103406402</v>
      </c>
      <c r="D1246" s="17">
        <v>245.3017952472048</v>
      </c>
    </row>
    <row r="1247" spans="1:4" x14ac:dyDescent="0.25">
      <c r="A1247">
        <v>1243</v>
      </c>
      <c r="B1247" s="17">
        <v>747.1882901378016</v>
      </c>
      <c r="C1247" s="17">
        <v>214.2673086892288</v>
      </c>
      <c r="D1247" s="17">
        <v>245.3017952472048</v>
      </c>
    </row>
    <row r="1248" spans="1:4" x14ac:dyDescent="0.25">
      <c r="A1248">
        <v>1244</v>
      </c>
      <c r="B1248" s="17">
        <v>747.1882901378016</v>
      </c>
      <c r="C1248" s="17">
        <v>257.8887716547232</v>
      </c>
      <c r="D1248" s="17">
        <v>245.3017952472048</v>
      </c>
    </row>
    <row r="1249" spans="1:4" x14ac:dyDescent="0.25">
      <c r="A1249">
        <v>1245</v>
      </c>
      <c r="B1249" s="17">
        <v>738.7531605512064</v>
      </c>
      <c r="C1249" s="17">
        <v>257.8887716547232</v>
      </c>
      <c r="D1249" s="17">
        <v>245.3017952472048</v>
      </c>
    </row>
    <row r="1250" spans="1:4" x14ac:dyDescent="0.25">
      <c r="A1250">
        <v>1246</v>
      </c>
      <c r="B1250" s="17">
        <v>735.941450689008</v>
      </c>
      <c r="C1250" s="17">
        <v>330.5912099305472</v>
      </c>
      <c r="D1250" s="17">
        <v>245.3017952472048</v>
      </c>
    </row>
    <row r="1251" spans="1:4" x14ac:dyDescent="0.25">
      <c r="A1251">
        <v>1247</v>
      </c>
      <c r="B1251" s="17">
        <v>735.941450689008</v>
      </c>
      <c r="C1251" s="17">
        <v>286.9697469650528</v>
      </c>
      <c r="D1251" s="17">
        <v>245.3017952472048</v>
      </c>
    </row>
    <row r="1252" spans="1:4" x14ac:dyDescent="0.25">
      <c r="A1252">
        <v>1248</v>
      </c>
      <c r="B1252" s="17">
        <v>744.3765802756031</v>
      </c>
      <c r="C1252" s="17">
        <v>286.9697469650528</v>
      </c>
      <c r="D1252" s="17">
        <v>245.3017952472048</v>
      </c>
    </row>
    <row r="1253" spans="1:4" x14ac:dyDescent="0.25">
      <c r="A1253">
        <v>1249</v>
      </c>
      <c r="B1253" s="17">
        <v>747.1882901378016</v>
      </c>
      <c r="C1253" s="17">
        <v>301.5102346202176</v>
      </c>
      <c r="D1253" s="17">
        <v>245.3017952472048</v>
      </c>
    </row>
    <row r="1254" spans="1:4" x14ac:dyDescent="0.25">
      <c r="A1254">
        <v>1250</v>
      </c>
      <c r="B1254" s="17">
        <v>747.1882901378016</v>
      </c>
      <c r="C1254" s="17">
        <v>345.13169758571206</v>
      </c>
      <c r="D1254" s="17">
        <v>245.3017952472048</v>
      </c>
    </row>
    <row r="1255" spans="1:4" x14ac:dyDescent="0.25">
      <c r="A1255">
        <v>1251</v>
      </c>
      <c r="B1255" s="17">
        <v>738.7531605512064</v>
      </c>
      <c r="C1255" s="17">
        <v>345.131697585712</v>
      </c>
      <c r="D1255" s="17">
        <v>245.3017952472048</v>
      </c>
    </row>
    <row r="1256" spans="1:4" x14ac:dyDescent="0.25">
      <c r="A1256">
        <v>1252</v>
      </c>
      <c r="B1256" s="17">
        <v>735.941450689008</v>
      </c>
      <c r="C1256" s="17">
        <v>397.8042345290859</v>
      </c>
      <c r="D1256" s="17">
        <v>160.82438857423844</v>
      </c>
    </row>
    <row r="1257" spans="1:4" x14ac:dyDescent="0.25">
      <c r="A1257">
        <v>1253</v>
      </c>
      <c r="B1257" s="17">
        <v>735.941450689008</v>
      </c>
      <c r="C1257" s="17">
        <v>369.2051975629291</v>
      </c>
      <c r="D1257" s="17">
        <v>160.82438857423844</v>
      </c>
    </row>
    <row r="1258" spans="1:4" x14ac:dyDescent="0.25">
      <c r="A1258">
        <v>1254</v>
      </c>
      <c r="B1258" s="17">
        <v>744.3765802756031</v>
      </c>
      <c r="C1258" s="17">
        <v>369.2051975629291</v>
      </c>
      <c r="D1258" s="17">
        <v>160.82438857423844</v>
      </c>
    </row>
    <row r="1259" spans="1:4" x14ac:dyDescent="0.25">
      <c r="A1259">
        <v>1255</v>
      </c>
      <c r="B1259" s="17">
        <v>747.1882901378016</v>
      </c>
      <c r="C1259" s="17">
        <v>375.92650002278293</v>
      </c>
      <c r="D1259" s="17">
        <v>113.39011447913633</v>
      </c>
    </row>
    <row r="1260" spans="1:4" x14ac:dyDescent="0.25">
      <c r="A1260">
        <v>1256</v>
      </c>
      <c r="B1260" s="17">
        <v>747.1882901378016</v>
      </c>
      <c r="C1260" s="17">
        <v>396.0904074023445</v>
      </c>
      <c r="D1260" s="17">
        <v>113.39011447913633</v>
      </c>
    </row>
    <row r="1261" spans="1:4" x14ac:dyDescent="0.25">
      <c r="A1261">
        <v>1257</v>
      </c>
      <c r="B1261" s="17">
        <v>738.7531605512064</v>
      </c>
      <c r="C1261" s="17">
        <v>404.5255369889397</v>
      </c>
      <c r="D1261" s="17">
        <v>113.39011447913633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2" max="2" width="8" customWidth="1"/>
    <col min="3" max="24" width="13" customWidth="1"/>
  </cols>
  <sheetData>
    <row r="1" ht="22" customHeight="1" spans="2:21" x14ac:dyDescent="0.25">
      <c r="B1" s="1" t="s">
        <v>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" x14ac:dyDescent="0.25">
      <c r="B2" s="5" t="s">
        <v>81</v>
      </c>
    </row>
    <row r="4" spans="2:24" x14ac:dyDescent="0.25">
      <c r="B4" s="18" t="s">
        <v>82</v>
      </c>
      <c r="C4" s="18"/>
      <c r="D4" s="18"/>
      <c r="E4" s="18"/>
      <c r="F4" s="18" t="s">
        <v>83</v>
      </c>
      <c r="G4" s="18"/>
      <c r="H4" s="18"/>
      <c r="I4" s="18"/>
      <c r="J4" s="18"/>
      <c r="K4" s="18"/>
      <c r="L4" s="18"/>
      <c r="M4" s="18" t="s">
        <v>8</v>
      </c>
      <c r="N4" s="18"/>
      <c r="O4" s="18"/>
      <c r="P4" s="18" t="s">
        <v>84</v>
      </c>
      <c r="Q4" s="18"/>
      <c r="R4" s="18"/>
      <c r="S4" s="18" t="s">
        <v>85</v>
      </c>
      <c r="T4" s="18"/>
      <c r="U4" s="18"/>
      <c r="V4" s="18"/>
      <c r="W4" s="18" t="s">
        <v>86</v>
      </c>
      <c r="X4" s="18"/>
    </row>
    <row r="5" ht="30" customHeight="1" spans="2:24" x14ac:dyDescent="0.25">
      <c r="B5" s="9" t="s">
        <v>87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92</v>
      </c>
      <c r="H5" s="9" t="s">
        <v>93</v>
      </c>
      <c r="I5" s="9" t="s">
        <v>94</v>
      </c>
      <c r="J5" s="9" t="s">
        <v>95</v>
      </c>
      <c r="K5" s="9" t="s">
        <v>96</v>
      </c>
      <c r="L5" s="9" t="s">
        <v>97</v>
      </c>
      <c r="M5" s="9" t="s">
        <v>98</v>
      </c>
      <c r="N5" s="9" t="s">
        <v>99</v>
      </c>
      <c r="O5" s="9" t="s">
        <v>100</v>
      </c>
      <c r="P5" s="9" t="s">
        <v>98</v>
      </c>
      <c r="Q5" s="9" t="s">
        <v>99</v>
      </c>
      <c r="R5" s="9" t="s">
        <v>100</v>
      </c>
      <c r="S5" s="9" t="s">
        <v>98</v>
      </c>
      <c r="T5" s="9" t="s">
        <v>99</v>
      </c>
      <c r="U5" s="9" t="s">
        <v>100</v>
      </c>
      <c r="V5" s="9" t="s">
        <v>101</v>
      </c>
      <c r="W5" s="9" t="s">
        <v>102</v>
      </c>
      <c r="X5" s="9" t="s">
        <v>103</v>
      </c>
    </row>
    <row r="7" spans="2:24" x14ac:dyDescent="0.25">
      <c r="B7" s="19" t="s">
        <v>104</v>
      </c>
      <c r="C7" s="20"/>
      <c r="D7" s="20"/>
      <c r="E7" s="20"/>
      <c r="F7" s="21" t="s">
        <v>105</v>
      </c>
      <c r="G7" s="22">
        <f>ecu</f>
      </c>
      <c r="H7" s="23" t="s">
        <v>106</v>
      </c>
      <c r="I7" s="24">
        <v>0</v>
      </c>
      <c r="J7" s="22">
        <f>ecu</f>
      </c>
      <c r="K7" s="24">
        <f>I7*COS(RADIANS(theta))</f>
      </c>
      <c r="L7" s="24">
        <f>I7*SIN(RADIANS(theta))</f>
      </c>
      <c r="M7" s="25">
        <f>SUMPRODUCT(Concrete!$K$8:$K$1264,Mesh_A)/1000</f>
      </c>
      <c r="N7" s="25">
        <f>SUMPRODUCT(Concrete!$K$8:$K$1264,Mesh_A,Mesh_Y)/1000000</f>
      </c>
      <c r="O7" s="25">
        <f>SUMPRODUCT(Concrete!$K$8:$K$1264,Mesh_A,Mesh_X)/1000000</f>
      </c>
      <c r="P7" s="25">
        <f>Steel!J6/1000</f>
      </c>
      <c r="Q7" s="25">
        <f>Steel!K6/1000000</f>
      </c>
      <c r="R7" s="25">
        <f>Steel!L6/1000000</f>
      </c>
      <c r="S7" s="26">
        <f>M7+P7</f>
      </c>
      <c r="T7" s="26">
        <f>N7+Q7</f>
      </c>
      <c r="U7" s="26">
        <f>O7+R7</f>
      </c>
      <c r="V7" s="25">
        <f>SQRT(T7^2+U7^2)</f>
      </c>
      <c r="W7" s="25">
        <v>33981.43387592912</v>
      </c>
      <c r="X7" s="27">
        <f>IF(ABS(W7)&lt;0.000000001,0,(S7-W7)/W7*100)</f>
      </c>
    </row>
    <row r="8" spans="2:24" x14ac:dyDescent="0.25">
      <c r="B8" s="28" t="s">
        <v>107</v>
      </c>
      <c r="C8" s="29">
        <v>3</v>
      </c>
      <c r="D8" s="29"/>
      <c r="E8" s="29"/>
      <c r="F8" s="12">
        <f>u_max-C8*C1_len</f>
      </c>
      <c r="G8" s="30">
        <f>0</f>
      </c>
      <c r="H8" s="8">
        <f>ecu/I8</f>
      </c>
      <c r="I8" s="31">
        <f>(ecu-G8)/(u_max-F8)</f>
      </c>
      <c r="J8" s="30">
        <f>ecu-I8*u_max</f>
      </c>
      <c r="K8" s="31">
        <f>I8*COS(RADIANS(theta))</f>
      </c>
      <c r="L8" s="31">
        <f>I8*SIN(RADIANS(theta))</f>
      </c>
      <c r="M8" s="32">
        <f>SUMPRODUCT(Concrete!$M$8:$M$1264,Mesh_A)/1000</f>
      </c>
      <c r="N8" s="32">
        <f>SUMPRODUCT(Concrete!$M$8:$M$1264,Mesh_A,Mesh_Y)/1000000</f>
      </c>
      <c r="O8" s="32">
        <f>SUMPRODUCT(Concrete!$M$8:$M$1264,Mesh_A,Mesh_X)/1000000</f>
      </c>
      <c r="P8" s="32">
        <f>Steel!Q6/1000</f>
      </c>
      <c r="Q8" s="32">
        <f>Steel!R6/1000000</f>
      </c>
      <c r="R8" s="32">
        <f>Steel!S6/1000000</f>
      </c>
      <c r="S8" s="33">
        <f>M8+P8</f>
      </c>
      <c r="T8" s="33">
        <f>N8+Q8</f>
      </c>
      <c r="U8" s="33">
        <f>O8+R8</f>
      </c>
      <c r="V8" s="32">
        <f>SQRT(T8^2+U8^2)</f>
      </c>
      <c r="W8" s="32">
        <v>33981.43387592912</v>
      </c>
      <c r="X8" s="34">
        <f>IF(ABS(W8)&lt;0.000000001,0,(S8-W8)/W8*100)</f>
      </c>
    </row>
    <row r="9" spans="2:24" x14ac:dyDescent="0.25">
      <c r="B9" s="28" t="s">
        <v>108</v>
      </c>
      <c r="C9" s="29">
        <v>2</v>
      </c>
      <c r="D9" s="29"/>
      <c r="E9" s="29"/>
      <c r="F9" s="12">
        <f>u_max-C9*C1_len</f>
      </c>
      <c r="G9" s="30">
        <f>0</f>
      </c>
      <c r="H9" s="8">
        <f>ecu/I9</f>
      </c>
      <c r="I9" s="31">
        <f>(ecu-G9)/(u_max-F9)</f>
      </c>
      <c r="J9" s="30">
        <f>ecu-I9*u_max</f>
      </c>
      <c r="K9" s="31">
        <f>I9*COS(RADIANS(theta))</f>
      </c>
      <c r="L9" s="31">
        <f>I9*SIN(RADIANS(theta))</f>
      </c>
      <c r="M9" s="32">
        <f>SUMPRODUCT(Concrete!$O$8:$O$1264,Mesh_A)/1000</f>
      </c>
      <c r="N9" s="32">
        <f>SUMPRODUCT(Concrete!$O$8:$O$1264,Mesh_A,Mesh_Y)/1000000</f>
      </c>
      <c r="O9" s="32">
        <f>SUMPRODUCT(Concrete!$O$8:$O$1264,Mesh_A,Mesh_X)/1000000</f>
      </c>
      <c r="P9" s="32">
        <f>Steel!X6/1000</f>
      </c>
      <c r="Q9" s="32">
        <f>Steel!Y6/1000000</f>
      </c>
      <c r="R9" s="32">
        <f>Steel!Z6/1000000</f>
      </c>
      <c r="S9" s="33">
        <f>M9+P9</f>
      </c>
      <c r="T9" s="33">
        <f>N9+Q9</f>
      </c>
      <c r="U9" s="33">
        <f>O9+R9</f>
      </c>
      <c r="V9" s="32">
        <f>SQRT(T9^2+U9^2)</f>
      </c>
      <c r="W9" s="32">
        <v>33683.33834920623</v>
      </c>
      <c r="X9" s="34">
        <f>IF(ABS(W9)&lt;0.000000001,0,(S9-W9)/W9*100)</f>
      </c>
    </row>
    <row r="10" spans="2:24" x14ac:dyDescent="0.25">
      <c r="B10" s="28" t="s">
        <v>109</v>
      </c>
      <c r="C10" s="29">
        <v>1.5</v>
      </c>
      <c r="D10" s="29"/>
      <c r="E10" s="29"/>
      <c r="F10" s="12">
        <f>u_max-C10*C1_len</f>
      </c>
      <c r="G10" s="30">
        <f>0</f>
      </c>
      <c r="H10" s="8">
        <f>ecu/I10</f>
      </c>
      <c r="I10" s="31">
        <f>(ecu-G10)/(u_max-F10)</f>
      </c>
      <c r="J10" s="30">
        <f>ecu-I10*u_max</f>
      </c>
      <c r="K10" s="31">
        <f>I10*COS(RADIANS(theta))</f>
      </c>
      <c r="L10" s="31">
        <f>I10*SIN(RADIANS(theta))</f>
      </c>
      <c r="M10" s="32">
        <f>SUMPRODUCT(Concrete!$Q$8:$Q$1264,Mesh_A)/1000</f>
      </c>
      <c r="N10" s="32">
        <f>SUMPRODUCT(Concrete!$Q$8:$Q$1264,Mesh_A,Mesh_Y)/1000000</f>
      </c>
      <c r="O10" s="32">
        <f>SUMPRODUCT(Concrete!$Q$8:$Q$1264,Mesh_A,Mesh_X)/1000000</f>
      </c>
      <c r="P10" s="32">
        <f>Steel!AE6/1000</f>
      </c>
      <c r="Q10" s="32">
        <f>Steel!AF6/1000000</f>
      </c>
      <c r="R10" s="32">
        <f>Steel!AG6/1000000</f>
      </c>
      <c r="S10" s="33">
        <f>M10+P10</f>
      </c>
      <c r="T10" s="33">
        <f>N10+Q10</f>
      </c>
      <c r="U10" s="33">
        <f>O10+R10</f>
      </c>
      <c r="V10" s="32">
        <f>SQRT(T10^2+U10^2)</f>
      </c>
      <c r="W10" s="32">
        <v>32195.887925811847</v>
      </c>
      <c r="X10" s="34">
        <f>IF(ABS(W10)&lt;0.000000001,0,(S10-W10)/W10*100)</f>
      </c>
    </row>
    <row r="11" spans="2:24" x14ac:dyDescent="0.25">
      <c r="B11" s="28" t="s">
        <v>110</v>
      </c>
      <c r="C11" s="29">
        <v>1.2</v>
      </c>
      <c r="D11" s="29"/>
      <c r="E11" s="29"/>
      <c r="F11" s="12">
        <f>u_max-C11*C1_len</f>
      </c>
      <c r="G11" s="30">
        <f>0</f>
      </c>
      <c r="H11" s="8">
        <f>ecu/I11</f>
      </c>
      <c r="I11" s="31">
        <f>(ecu-G11)/(u_max-F11)</f>
      </c>
      <c r="J11" s="30">
        <f>ecu-I11*u_max</f>
      </c>
      <c r="K11" s="31">
        <f>I11*COS(RADIANS(theta))</f>
      </c>
      <c r="L11" s="31">
        <f>I11*SIN(RADIANS(theta))</f>
      </c>
      <c r="M11" s="32">
        <f>SUMPRODUCT(Concrete!$S$8:$S$1264,Mesh_A)/1000</f>
      </c>
      <c r="N11" s="32">
        <f>SUMPRODUCT(Concrete!$S$8:$S$1264,Mesh_A,Mesh_Y)/1000000</f>
      </c>
      <c r="O11" s="32">
        <f>SUMPRODUCT(Concrete!$S$8:$S$1264,Mesh_A,Mesh_X)/1000000</f>
      </c>
      <c r="P11" s="32">
        <f>Steel!AL6/1000</f>
      </c>
      <c r="Q11" s="32">
        <f>Steel!AM6/1000000</f>
      </c>
      <c r="R11" s="32">
        <f>Steel!AN6/1000000</f>
      </c>
      <c r="S11" s="33">
        <f>M11+P11</f>
      </c>
      <c r="T11" s="33">
        <f>N11+Q11</f>
      </c>
      <c r="U11" s="33">
        <f>O11+R11</f>
      </c>
      <c r="V11" s="32">
        <f>SQRT(T11^2+U11^2)</f>
      </c>
      <c r="W11" s="32">
        <v>29291.135869918773</v>
      </c>
      <c r="X11" s="34">
        <f>IF(ABS(W11)&lt;0.000000001,0,(S11-W11)/W11*100)</f>
      </c>
    </row>
    <row r="12" spans="2:24" x14ac:dyDescent="0.25">
      <c r="B12" s="28" t="s">
        <v>111</v>
      </c>
      <c r="C12" s="29"/>
      <c r="D12" s="29">
        <v>0</v>
      </c>
      <c r="E12" s="29"/>
      <c r="F12" s="12">
        <f>u_bar</f>
      </c>
      <c r="G12" s="30">
        <f>-E12</f>
      </c>
      <c r="H12" s="8">
        <f>ecu/I12</f>
      </c>
      <c r="I12" s="31">
        <f>(ecu-G12)/(u_max-F12)</f>
      </c>
      <c r="J12" s="30">
        <f>ecu-I12*u_max</f>
      </c>
      <c r="K12" s="31">
        <f>I12*COS(RADIANS(theta))</f>
      </c>
      <c r="L12" s="31">
        <f>I12*SIN(RADIANS(theta))</f>
      </c>
      <c r="M12" s="32">
        <f>SUMPRODUCT(Concrete!$U$8:$U$1264,Mesh_A)/1000</f>
      </c>
      <c r="N12" s="32">
        <f>SUMPRODUCT(Concrete!$U$8:$U$1264,Mesh_A,Mesh_Y)/1000000</f>
      </c>
      <c r="O12" s="32">
        <f>SUMPRODUCT(Concrete!$U$8:$U$1264,Mesh_A,Mesh_X)/1000000</f>
      </c>
      <c r="P12" s="32">
        <f>Steel!AS6/1000</f>
      </c>
      <c r="Q12" s="32">
        <f>Steel!AT6/1000000</f>
      </c>
      <c r="R12" s="32">
        <f>Steel!AU6/1000000</f>
      </c>
      <c r="S12" s="33">
        <f>M12+P12</f>
      </c>
      <c r="T12" s="33">
        <f>N12+Q12</f>
      </c>
      <c r="U12" s="33">
        <f>O12+R12</f>
      </c>
      <c r="V12" s="32">
        <f>SQRT(T12^2+U12^2)</f>
      </c>
      <c r="W12" s="32">
        <v>24941.453505539637</v>
      </c>
      <c r="X12" s="34">
        <f>IF(ABS(W12)&lt;0.000000001,0,(S12-W12)/W12*100)</f>
      </c>
    </row>
    <row r="13" spans="2:24" x14ac:dyDescent="0.25">
      <c r="B13" s="28" t="s">
        <v>112</v>
      </c>
      <c r="C13" s="29"/>
      <c r="D13" s="29">
        <v>0.25</v>
      </c>
      <c r="E13" s="29"/>
      <c r="F13" s="12">
        <f>u_bar</f>
      </c>
      <c r="G13" s="30">
        <f>-D13*fy/Es</f>
      </c>
      <c r="H13" s="8">
        <f>ecu/I13</f>
      </c>
      <c r="I13" s="31">
        <f>(ecu-G13)/(u_max-F13)</f>
      </c>
      <c r="J13" s="30">
        <f>ecu-I13*u_max</f>
      </c>
      <c r="K13" s="31">
        <f>I13*COS(RADIANS(theta))</f>
      </c>
      <c r="L13" s="31">
        <f>I13*SIN(RADIANS(theta))</f>
      </c>
      <c r="M13" s="32">
        <f>SUMPRODUCT(Concrete!$W$8:$W$1264,Mesh_A)/1000</f>
      </c>
      <c r="N13" s="32">
        <f>SUMPRODUCT(Concrete!$W$8:$W$1264,Mesh_A,Mesh_Y)/1000000</f>
      </c>
      <c r="O13" s="32">
        <f>SUMPRODUCT(Concrete!$W$8:$W$1264,Mesh_A,Mesh_X)/1000000</f>
      </c>
      <c r="P13" s="32">
        <f>Steel!AZ6/1000</f>
      </c>
      <c r="Q13" s="32">
        <f>Steel!BA6/1000000</f>
      </c>
      <c r="R13" s="32">
        <f>Steel!BB6/1000000</f>
      </c>
      <c r="S13" s="33">
        <f>M13+P13</f>
      </c>
      <c r="T13" s="33">
        <f>N13+Q13</f>
      </c>
      <c r="U13" s="33">
        <f>O13+R13</f>
      </c>
      <c r="V13" s="32">
        <f>SQRT(T13^2+U13^2)</f>
      </c>
      <c r="W13" s="32">
        <v>21079.019157045306</v>
      </c>
      <c r="X13" s="34">
        <f>IF(ABS(W13)&lt;0.000000001,0,(S13-W13)/W13*100)</f>
      </c>
    </row>
    <row r="14" spans="2:24" x14ac:dyDescent="0.25">
      <c r="B14" s="28" t="s">
        <v>113</v>
      </c>
      <c r="C14" s="29"/>
      <c r="D14" s="29">
        <v>0.5</v>
      </c>
      <c r="E14" s="29"/>
      <c r="F14" s="12">
        <f>u_bar</f>
      </c>
      <c r="G14" s="30">
        <f>-D14*fy/Es</f>
      </c>
      <c r="H14" s="8">
        <f>ecu/I14</f>
      </c>
      <c r="I14" s="31">
        <f>(ecu-G14)/(u_max-F14)</f>
      </c>
      <c r="J14" s="30">
        <f>ecu-I14*u_max</f>
      </c>
      <c r="K14" s="31">
        <f>I14*COS(RADIANS(theta))</f>
      </c>
      <c r="L14" s="31">
        <f>I14*SIN(RADIANS(theta))</f>
      </c>
      <c r="M14" s="32">
        <f>SUMPRODUCT(Concrete!$Y$8:$Y$1264,Mesh_A)/1000</f>
      </c>
      <c r="N14" s="32">
        <f>SUMPRODUCT(Concrete!$Y$8:$Y$1264,Mesh_A,Mesh_Y)/1000000</f>
      </c>
      <c r="O14" s="32">
        <f>SUMPRODUCT(Concrete!$Y$8:$Y$1264,Mesh_A,Mesh_X)/1000000</f>
      </c>
      <c r="P14" s="32">
        <f>Steel!BG6/1000</f>
      </c>
      <c r="Q14" s="32">
        <f>Steel!BH6/1000000</f>
      </c>
      <c r="R14" s="32">
        <f>Steel!BI6/1000000</f>
      </c>
      <c r="S14" s="33">
        <f>M14+P14</f>
      </c>
      <c r="T14" s="33">
        <f>N14+Q14</f>
      </c>
      <c r="U14" s="33">
        <f>O14+R14</f>
      </c>
      <c r="V14" s="32">
        <f>SQRT(T14^2+U14^2)</f>
      </c>
      <c r="W14" s="32">
        <v>18153.31005527712</v>
      </c>
      <c r="X14" s="34">
        <f>IF(ABS(W14)&lt;0.000000001,0,(S14-W14)/W14*100)</f>
      </c>
    </row>
    <row r="15" spans="2:24" x14ac:dyDescent="0.25">
      <c r="B15" s="28" t="s">
        <v>114</v>
      </c>
      <c r="C15" s="29"/>
      <c r="D15" s="29">
        <v>0.75</v>
      </c>
      <c r="E15" s="29"/>
      <c r="F15" s="12">
        <f>u_bar</f>
      </c>
      <c r="G15" s="30">
        <f>-D15*fy/Es</f>
      </c>
      <c r="H15" s="8">
        <f>ecu/I15</f>
      </c>
      <c r="I15" s="31">
        <f>(ecu-G15)/(u_max-F15)</f>
      </c>
      <c r="J15" s="30">
        <f>ecu-I15*u_max</f>
      </c>
      <c r="K15" s="31">
        <f>I15*COS(RADIANS(theta))</f>
      </c>
      <c r="L15" s="31">
        <f>I15*SIN(RADIANS(theta))</f>
      </c>
      <c r="M15" s="32">
        <f>SUMPRODUCT(Concrete!$AA$8:$AA$1264,Mesh_A)/1000</f>
      </c>
      <c r="N15" s="32">
        <f>SUMPRODUCT(Concrete!$AA$8:$AA$1264,Mesh_A,Mesh_Y)/1000000</f>
      </c>
      <c r="O15" s="32">
        <f>SUMPRODUCT(Concrete!$AA$8:$AA$1264,Mesh_A,Mesh_X)/1000000</f>
      </c>
      <c r="P15" s="32">
        <f>Steel!BN6/1000</f>
      </c>
      <c r="Q15" s="32">
        <f>Steel!BO6/1000000</f>
      </c>
      <c r="R15" s="32">
        <f>Steel!BP6/1000000</f>
      </c>
      <c r="S15" s="33">
        <f>M15+P15</f>
      </c>
      <c r="T15" s="33">
        <f>N15+Q15</f>
      </c>
      <c r="U15" s="33">
        <f>O15+R15</f>
      </c>
      <c r="V15" s="32">
        <f>SQRT(T15^2+U15^2)</f>
      </c>
      <c r="W15" s="32">
        <v>15853.978475694379</v>
      </c>
      <c r="X15" s="34">
        <f>IF(ABS(W15)&lt;0.000000001,0,(S15-W15)/W15*100)</f>
      </c>
    </row>
    <row r="16" spans="2:24" x14ac:dyDescent="0.25">
      <c r="B16" s="28" t="s">
        <v>115</v>
      </c>
      <c r="C16" s="29"/>
      <c r="D16" s="29">
        <v>1</v>
      </c>
      <c r="E16" s="29"/>
      <c r="F16" s="12">
        <f>u_bar</f>
      </c>
      <c r="G16" s="30">
        <f>-D16*fy/Es</f>
      </c>
      <c r="H16" s="8">
        <f>ecu/I16</f>
      </c>
      <c r="I16" s="31">
        <f>(ecu-G16)/(u_max-F16)</f>
      </c>
      <c r="J16" s="30">
        <f>ecu-I16*u_max</f>
      </c>
      <c r="K16" s="31">
        <f>I16*COS(RADIANS(theta))</f>
      </c>
      <c r="L16" s="31">
        <f>I16*SIN(RADIANS(theta))</f>
      </c>
      <c r="M16" s="32">
        <f>SUMPRODUCT(Concrete!$AC$8:$AC$1264,Mesh_A)/1000</f>
      </c>
      <c r="N16" s="32">
        <f>SUMPRODUCT(Concrete!$AC$8:$AC$1264,Mesh_A,Mesh_Y)/1000000</f>
      </c>
      <c r="O16" s="32">
        <f>SUMPRODUCT(Concrete!$AC$8:$AC$1264,Mesh_A,Mesh_X)/1000000</f>
      </c>
      <c r="P16" s="32">
        <f>Steel!BU6/1000</f>
      </c>
      <c r="Q16" s="32">
        <f>Steel!BV6/1000000</f>
      </c>
      <c r="R16" s="32">
        <f>Steel!BW6/1000000</f>
      </c>
      <c r="S16" s="33">
        <f>M16+P16</f>
      </c>
      <c r="T16" s="33">
        <f>N16+Q16</f>
      </c>
      <c r="U16" s="33">
        <f>O16+R16</f>
      </c>
      <c r="V16" s="32">
        <f>SQRT(T16^2+U16^2)</f>
      </c>
      <c r="W16" s="32">
        <v>13872.542689247419</v>
      </c>
      <c r="X16" s="34">
        <f>IF(ABS(W16)&lt;0.000000001,0,(S16-W16)/W16*100)</f>
      </c>
    </row>
    <row r="17" spans="2:24" x14ac:dyDescent="0.25">
      <c r="B17" s="28" t="s">
        <v>116</v>
      </c>
      <c r="C17" s="29"/>
      <c r="D17" s="29"/>
      <c r="E17" s="29">
        <v>0.003</v>
      </c>
      <c r="F17" s="12">
        <f>u_bar</f>
      </c>
      <c r="G17" s="30">
        <f>-E17</f>
      </c>
      <c r="H17" s="8">
        <f>ecu/I17</f>
      </c>
      <c r="I17" s="31">
        <f>(ecu-G17)/(u_max-F17)</f>
      </c>
      <c r="J17" s="30">
        <f>ecu-I17*u_max</f>
      </c>
      <c r="K17" s="31">
        <f>I17*COS(RADIANS(theta))</f>
      </c>
      <c r="L17" s="31">
        <f>I17*SIN(RADIANS(theta))</f>
      </c>
      <c r="M17" s="32">
        <f>SUMPRODUCT(Concrete!$AE$8:$AE$1264,Mesh_A)/1000</f>
      </c>
      <c r="N17" s="32">
        <f>SUMPRODUCT(Concrete!$AE$8:$AE$1264,Mesh_A,Mesh_Y)/1000000</f>
      </c>
      <c r="O17" s="32">
        <f>SUMPRODUCT(Concrete!$AE$8:$AE$1264,Mesh_A,Mesh_X)/1000000</f>
      </c>
      <c r="P17" s="32">
        <f>Steel!CB6/1000</f>
      </c>
      <c r="Q17" s="32">
        <f>Steel!CC6/1000000</f>
      </c>
      <c r="R17" s="32">
        <f>Steel!CD6/1000000</f>
      </c>
      <c r="S17" s="33">
        <f>M17+P17</f>
      </c>
      <c r="T17" s="33">
        <f>N17+Q17</f>
      </c>
      <c r="U17" s="33">
        <f>O17+R17</f>
      </c>
      <c r="V17" s="32">
        <f>SQRT(T17^2+U17^2)</f>
      </c>
      <c r="W17" s="32">
        <v>10905.321204451915</v>
      </c>
      <c r="X17" s="34">
        <f>IF(ABS(W17)&lt;0.000000001,0,(S17-W17)/W17*100)</f>
      </c>
    </row>
    <row r="18" spans="2:24" x14ac:dyDescent="0.25">
      <c r="B18" s="28" t="s">
        <v>117</v>
      </c>
      <c r="C18" s="29"/>
      <c r="D18" s="29"/>
      <c r="E18" s="29">
        <v>0.005</v>
      </c>
      <c r="F18" s="12">
        <f>u_bar</f>
      </c>
      <c r="G18" s="30">
        <f>-E18</f>
      </c>
      <c r="H18" s="8">
        <f>ecu/I18</f>
      </c>
      <c r="I18" s="31">
        <f>(ecu-G18)/(u_max-F18)</f>
      </c>
      <c r="J18" s="30">
        <f>ecu-I18*u_max</f>
      </c>
      <c r="K18" s="31">
        <f>I18*COS(RADIANS(theta))</f>
      </c>
      <c r="L18" s="31">
        <f>I18*SIN(RADIANS(theta))</f>
      </c>
      <c r="M18" s="32">
        <f>SUMPRODUCT(Concrete!$AG$8:$AG$1264,Mesh_A)/1000</f>
      </c>
      <c r="N18" s="32">
        <f>SUMPRODUCT(Concrete!$AG$8:$AG$1264,Mesh_A,Mesh_Y)/1000000</f>
      </c>
      <c r="O18" s="32">
        <f>SUMPRODUCT(Concrete!$AG$8:$AG$1264,Mesh_A,Mesh_X)/1000000</f>
      </c>
      <c r="P18" s="32">
        <f>Steel!CI6/1000</f>
      </c>
      <c r="Q18" s="32">
        <f>Steel!CJ6/1000000</f>
      </c>
      <c r="R18" s="32">
        <f>Steel!CK6/1000000</f>
      </c>
      <c r="S18" s="33">
        <f>M18+P18</f>
      </c>
      <c r="T18" s="33">
        <f>N18+Q18</f>
      </c>
      <c r="U18" s="33">
        <f>O18+R18</f>
      </c>
      <c r="V18" s="32">
        <f>SQRT(T18^2+U18^2)</f>
      </c>
      <c r="W18" s="32">
        <v>7089.749963110848</v>
      </c>
      <c r="X18" s="34">
        <f>IF(ABS(W18)&lt;0.000000001,0,(S18-W18)/W18*100)</f>
      </c>
    </row>
    <row r="19" spans="2:24" x14ac:dyDescent="0.25">
      <c r="B19" s="28" t="s">
        <v>118</v>
      </c>
      <c r="C19" s="29"/>
      <c r="D19" s="29"/>
      <c r="E19" s="29">
        <v>0.0075</v>
      </c>
      <c r="F19" s="12">
        <f>u_bar</f>
      </c>
      <c r="G19" s="30">
        <f>-E19</f>
      </c>
      <c r="H19" s="8">
        <f>ecu/I19</f>
      </c>
      <c r="I19" s="31">
        <f>(ecu-G19)/(u_max-F19)</f>
      </c>
      <c r="J19" s="30">
        <f>ecu-I19*u_max</f>
      </c>
      <c r="K19" s="31">
        <f>I19*COS(RADIANS(theta))</f>
      </c>
      <c r="L19" s="31">
        <f>I19*SIN(RADIANS(theta))</f>
      </c>
      <c r="M19" s="32">
        <f>SUMPRODUCT(Concrete!$AI$8:$AI$1264,Mesh_A)/1000</f>
      </c>
      <c r="N19" s="32">
        <f>SUMPRODUCT(Concrete!$AI$8:$AI$1264,Mesh_A,Mesh_Y)/1000000</f>
      </c>
      <c r="O19" s="32">
        <f>SUMPRODUCT(Concrete!$AI$8:$AI$1264,Mesh_A,Mesh_X)/1000000</f>
      </c>
      <c r="P19" s="32">
        <f>Steel!CP6/1000</f>
      </c>
      <c r="Q19" s="32">
        <f>Steel!CQ6/1000000</f>
      </c>
      <c r="R19" s="32">
        <f>Steel!CR6/1000000</f>
      </c>
      <c r="S19" s="33">
        <f>M19+P19</f>
      </c>
      <c r="T19" s="33">
        <f>N19+Q19</f>
      </c>
      <c r="U19" s="33">
        <f>O19+R19</f>
      </c>
      <c r="V19" s="32">
        <f>SQRT(T19^2+U19^2)</f>
      </c>
      <c r="W19" s="32">
        <v>3844.8512713785385</v>
      </c>
      <c r="X19" s="34">
        <f>IF(ABS(W19)&lt;0.000000001,0,(S19-W19)/W19*100)</f>
      </c>
    </row>
    <row r="20" spans="2:24" x14ac:dyDescent="0.25">
      <c r="B20" s="28" t="s">
        <v>119</v>
      </c>
      <c r="C20" s="29"/>
      <c r="D20" s="29"/>
      <c r="E20" s="29">
        <v>0.01</v>
      </c>
      <c r="F20" s="12">
        <f>u_bar</f>
      </c>
      <c r="G20" s="30">
        <f>-E20</f>
      </c>
      <c r="H20" s="8">
        <f>ecu/I20</f>
      </c>
      <c r="I20" s="31">
        <f>(ecu-G20)/(u_max-F20)</f>
      </c>
      <c r="J20" s="30">
        <f>ecu-I20*u_max</f>
      </c>
      <c r="K20" s="31">
        <f>I20*COS(RADIANS(theta))</f>
      </c>
      <c r="L20" s="31">
        <f>I20*SIN(RADIANS(theta))</f>
      </c>
      <c r="M20" s="32">
        <f>SUMPRODUCT(Concrete!$AK$8:$AK$1264,Mesh_A)/1000</f>
      </c>
      <c r="N20" s="32">
        <f>SUMPRODUCT(Concrete!$AK$8:$AK$1264,Mesh_A,Mesh_Y)/1000000</f>
      </c>
      <c r="O20" s="32">
        <f>SUMPRODUCT(Concrete!$AK$8:$AK$1264,Mesh_A,Mesh_X)/1000000</f>
      </c>
      <c r="P20" s="32">
        <f>Steel!CW6/1000</f>
      </c>
      <c r="Q20" s="32">
        <f>Steel!CX6/1000000</f>
      </c>
      <c r="R20" s="32">
        <f>Steel!CY6/1000000</f>
      </c>
      <c r="S20" s="33">
        <f>M20+P20</f>
      </c>
      <c r="T20" s="33">
        <f>N20+Q20</f>
      </c>
      <c r="U20" s="33">
        <f>O20+R20</f>
      </c>
      <c r="V20" s="32">
        <f>SQRT(T20^2+U20^2)</f>
      </c>
      <c r="W20" s="32">
        <v>1694.8502135948982</v>
      </c>
      <c r="X20" s="34">
        <f>IF(ABS(W20)&lt;0.000000001,0,(S20-W20)/W20*100)</f>
      </c>
    </row>
    <row r="21" spans="2:24" x14ac:dyDescent="0.25">
      <c r="B21" s="28" t="s">
        <v>120</v>
      </c>
      <c r="C21" s="29"/>
      <c r="D21" s="29"/>
      <c r="E21" s="29">
        <v>0.015</v>
      </c>
      <c r="F21" s="12">
        <f>u_bar</f>
      </c>
      <c r="G21" s="30">
        <f>-E21</f>
      </c>
      <c r="H21" s="8">
        <f>ecu/I21</f>
      </c>
      <c r="I21" s="31">
        <f>(ecu-G21)/(u_max-F21)</f>
      </c>
      <c r="J21" s="30">
        <f>ecu-I21*u_max</f>
      </c>
      <c r="K21" s="31">
        <f>I21*COS(RADIANS(theta))</f>
      </c>
      <c r="L21" s="31">
        <f>I21*SIN(RADIANS(theta))</f>
      </c>
      <c r="M21" s="32">
        <f>SUMPRODUCT(Concrete!$AM$8:$AM$1264,Mesh_A)/1000</f>
      </c>
      <c r="N21" s="32">
        <f>SUMPRODUCT(Concrete!$AM$8:$AM$1264,Mesh_A,Mesh_Y)/1000000</f>
      </c>
      <c r="O21" s="32">
        <f>SUMPRODUCT(Concrete!$AM$8:$AM$1264,Mesh_A,Mesh_X)/1000000</f>
      </c>
      <c r="P21" s="32">
        <f>Steel!DD6/1000</f>
      </c>
      <c r="Q21" s="32">
        <f>Steel!DE6/1000000</f>
      </c>
      <c r="R21" s="32">
        <f>Steel!DF6/1000000</f>
      </c>
      <c r="S21" s="33">
        <f>M21+P21</f>
      </c>
      <c r="T21" s="33">
        <f>N21+Q21</f>
      </c>
      <c r="U21" s="33">
        <f>O21+R21</f>
      </c>
      <c r="V21" s="32">
        <f>SQRT(T21^2+U21^2)</f>
      </c>
      <c r="W21" s="32">
        <v>-1005.0490032452154</v>
      </c>
      <c r="X21" s="34">
        <f>IF(ABS(W21)&lt;0.000000001,0,(S21-W21)/W21*100)</f>
      </c>
    </row>
    <row r="22" spans="2:24" x14ac:dyDescent="0.25">
      <c r="B22" s="28" t="s">
        <v>121</v>
      </c>
      <c r="C22" s="29"/>
      <c r="D22" s="29"/>
      <c r="E22" s="29">
        <v>0.025</v>
      </c>
      <c r="F22" s="12">
        <f>u_bar</f>
      </c>
      <c r="G22" s="30">
        <f>-E22</f>
      </c>
      <c r="H22" s="8">
        <f>ecu/I22</f>
      </c>
      <c r="I22" s="31">
        <f>(ecu-G22)/(u_max-F22)</f>
      </c>
      <c r="J22" s="30">
        <f>ecu-I22*u_max</f>
      </c>
      <c r="K22" s="31">
        <f>I22*COS(RADIANS(theta))</f>
      </c>
      <c r="L22" s="31">
        <f>I22*SIN(RADIANS(theta))</f>
      </c>
      <c r="M22" s="32">
        <f>SUMPRODUCT(Concrete!$AO$8:$AO$1264,Mesh_A)/1000</f>
      </c>
      <c r="N22" s="32">
        <f>SUMPRODUCT(Concrete!$AO$8:$AO$1264,Mesh_A,Mesh_Y)/1000000</f>
      </c>
      <c r="O22" s="32">
        <f>SUMPRODUCT(Concrete!$AO$8:$AO$1264,Mesh_A,Mesh_X)/1000000</f>
      </c>
      <c r="P22" s="32">
        <f>Steel!DK6/1000</f>
      </c>
      <c r="Q22" s="32">
        <f>Steel!DL6/1000000</f>
      </c>
      <c r="R22" s="32">
        <f>Steel!DM6/1000000</f>
      </c>
      <c r="S22" s="33">
        <f>M22+P22</f>
      </c>
      <c r="T22" s="33">
        <f>N22+Q22</f>
      </c>
      <c r="U22" s="33">
        <f>O22+R22</f>
      </c>
      <c r="V22" s="32">
        <f>SQRT(T22^2+U22^2)</f>
      </c>
      <c r="W22" s="32">
        <v>-3748.2840444667568</v>
      </c>
      <c r="X22" s="34">
        <f>IF(ABS(W22)&lt;0.000000001,0,(S22-W22)/W22*100)</f>
      </c>
    </row>
    <row r="23" spans="2:24" x14ac:dyDescent="0.25">
      <c r="B23" s="28" t="s">
        <v>122</v>
      </c>
      <c r="C23" s="29"/>
      <c r="D23" s="29"/>
      <c r="E23" s="29">
        <v>0.03</v>
      </c>
      <c r="F23" s="12">
        <f>u_bar</f>
      </c>
      <c r="G23" s="30">
        <f>-E23</f>
      </c>
      <c r="H23" s="8">
        <f>ecu/I23</f>
      </c>
      <c r="I23" s="31">
        <f>(ecu-G23)/(u_max-F23)</f>
      </c>
      <c r="J23" s="30">
        <f>ecu-I23*u_max</f>
      </c>
      <c r="K23" s="31">
        <f>I23*COS(RADIANS(theta))</f>
      </c>
      <c r="L23" s="31">
        <f>I23*SIN(RADIANS(theta))</f>
      </c>
      <c r="M23" s="32">
        <f>SUMPRODUCT(Concrete!$AQ$8:$AQ$1264,Mesh_A)/1000</f>
      </c>
      <c r="N23" s="32">
        <f>SUMPRODUCT(Concrete!$AQ$8:$AQ$1264,Mesh_A,Mesh_Y)/1000000</f>
      </c>
      <c r="O23" s="32">
        <f>SUMPRODUCT(Concrete!$AQ$8:$AQ$1264,Mesh_A,Mesh_X)/1000000</f>
      </c>
      <c r="P23" s="32">
        <f>Steel!DR6/1000</f>
      </c>
      <c r="Q23" s="32">
        <f>Steel!DS6/1000000</f>
      </c>
      <c r="R23" s="32">
        <f>Steel!DT6/1000000</f>
      </c>
      <c r="S23" s="33">
        <f>M23+P23</f>
      </c>
      <c r="T23" s="33">
        <f>N23+Q23</f>
      </c>
      <c r="U23" s="33">
        <f>O23+R23</f>
      </c>
      <c r="V23" s="32">
        <f>SQRT(T23^2+U23^2)</f>
      </c>
      <c r="W23" s="32">
        <v>-4342.297402819011</v>
      </c>
      <c r="X23" s="34">
        <f>IF(ABS(W23)&lt;0.000000001,0,(S23-W23)/W23*100)</f>
      </c>
    </row>
    <row r="24" spans="2:24" x14ac:dyDescent="0.25">
      <c r="B24" s="28" t="s">
        <v>123</v>
      </c>
      <c r="C24" s="29"/>
      <c r="D24" s="29"/>
      <c r="E24" s="29">
        <v>0.05</v>
      </c>
      <c r="F24" s="12">
        <f>u_bar</f>
      </c>
      <c r="G24" s="30">
        <f>-E24</f>
      </c>
      <c r="H24" s="8">
        <f>ecu/I24</f>
      </c>
      <c r="I24" s="31">
        <f>(ecu-G24)/(u_max-F24)</f>
      </c>
      <c r="J24" s="30">
        <f>ecu-I24*u_max</f>
      </c>
      <c r="K24" s="31">
        <f>I24*COS(RADIANS(theta))</f>
      </c>
      <c r="L24" s="31">
        <f>I24*SIN(RADIANS(theta))</f>
      </c>
      <c r="M24" s="32">
        <f>SUMPRODUCT(Concrete!$AS$8:$AS$1264,Mesh_A)/1000</f>
      </c>
      <c r="N24" s="32">
        <f>SUMPRODUCT(Concrete!$AS$8:$AS$1264,Mesh_A,Mesh_Y)/1000000</f>
      </c>
      <c r="O24" s="32">
        <f>SUMPRODUCT(Concrete!$AS$8:$AS$1264,Mesh_A,Mesh_X)/1000000</f>
      </c>
      <c r="P24" s="32">
        <f>Steel!DY6/1000</f>
      </c>
      <c r="Q24" s="32">
        <f>Steel!DZ6/1000000</f>
      </c>
      <c r="R24" s="32">
        <f>Steel!EA6/1000000</f>
      </c>
      <c r="S24" s="33">
        <f>M24+P24</f>
      </c>
      <c r="T24" s="33">
        <f>N24+Q24</f>
      </c>
      <c r="U24" s="33">
        <f>O24+R24</f>
      </c>
      <c r="V24" s="32">
        <f>SQRT(T24^2+U24^2)</f>
      </c>
      <c r="W24" s="32">
        <v>-5310.77508325461</v>
      </c>
      <c r="X24" s="34">
        <f>IF(ABS(W24)&lt;0.000000001,0,(S24-W24)/W24*100)</f>
      </c>
    </row>
    <row r="25" spans="2:24" x14ac:dyDescent="0.25">
      <c r="B25" s="19" t="s">
        <v>124</v>
      </c>
      <c r="C25" s="20"/>
      <c r="D25" s="20"/>
      <c r="E25" s="20"/>
      <c r="F25" s="21" t="s">
        <v>105</v>
      </c>
      <c r="G25" s="22">
        <f>etu</f>
      </c>
      <c r="H25" s="23" t="s">
        <v>106</v>
      </c>
      <c r="I25" s="24">
        <v>0</v>
      </c>
      <c r="J25" s="22">
        <f>etu</f>
      </c>
      <c r="K25" s="24">
        <f>I25*COS(RADIANS(theta))</f>
      </c>
      <c r="L25" s="24">
        <f>I25*SIN(RADIANS(theta))</f>
      </c>
      <c r="M25" s="25">
        <f>SUMPRODUCT(Concrete!$AU$8:$AU$1264,Mesh_A)/1000</f>
      </c>
      <c r="N25" s="25">
        <f>SUMPRODUCT(Concrete!$AU$8:$AU$1264,Mesh_A,Mesh_Y)/1000000</f>
      </c>
      <c r="O25" s="25">
        <f>SUMPRODUCT(Concrete!$AU$8:$AU$1264,Mesh_A,Mesh_X)/1000000</f>
      </c>
      <c r="P25" s="25">
        <f>Steel!EF6/1000</f>
      </c>
      <c r="Q25" s="25">
        <f>Steel!EG6/1000000</f>
      </c>
      <c r="R25" s="25">
        <f>Steel!EH6/1000000</f>
      </c>
      <c r="S25" s="26">
        <f>M25+P25</f>
      </c>
      <c r="T25" s="26">
        <f>N25+Q25</f>
      </c>
      <c r="U25" s="26">
        <f>O25+R25</f>
      </c>
      <c r="V25" s="25">
        <f>SQRT(T25^2+U25^2)</f>
      </c>
      <c r="W25" s="25">
        <v>-5790.583579096708</v>
      </c>
      <c r="X25" s="27">
        <f>IF(ABS(W25)&lt;0.000000001,0,(S25-W25)/W25*100)</f>
      </c>
    </row>
    <row r="27" spans="2:11" x14ac:dyDescent="0.25">
      <c r="B27" s="3" t="s">
        <v>125</v>
      </c>
      <c r="C27" s="3"/>
      <c r="D27" s="3"/>
      <c r="E27" s="3"/>
      <c r="F27" s="3"/>
      <c r="G27" s="3"/>
      <c r="H27" s="3"/>
      <c r="I27" s="3"/>
      <c r="J27" s="3"/>
      <c r="K27" s="3"/>
    </row>
    <row r="28" spans="2:3" x14ac:dyDescent="0.25">
      <c r="B28" s="35">
        <f>Pu</f>
      </c>
      <c r="C28" t="s">
        <v>44</v>
      </c>
    </row>
    <row r="29" spans="2:3" x14ac:dyDescent="0.25">
      <c r="B29" s="35">
        <f>Mux</f>
      </c>
      <c r="C29" t="s">
        <v>47</v>
      </c>
    </row>
    <row r="30" spans="2:3" x14ac:dyDescent="0.25">
      <c r="B30" s="35">
        <f>Muy</f>
      </c>
      <c r="C30" t="s">
        <v>49</v>
      </c>
    </row>
    <row r="31" spans="2:3" x14ac:dyDescent="0.25">
      <c r="B31" s="35">
        <f>SQRT(Mux^2+Muy^2)</f>
      </c>
      <c r="C31" t="s">
        <v>126</v>
      </c>
    </row>
    <row r="32" spans="2:3" x14ac:dyDescent="0.25">
      <c r="B32" s="36">
        <f>MAX(1,MIN(18,SUMPRODUCT(--(St_P&gt;=Pu))))</f>
      </c>
      <c r="C32" t="s">
        <v>127</v>
      </c>
    </row>
    <row r="33" spans="2:3" x14ac:dyDescent="0.25">
      <c r="B33" s="37">
        <f>(Pu-INDEX(St_P,B32,1))/(INDEX(St_P,B32+1,1)-INDEX(St_P,B32,1))</f>
      </c>
      <c r="C33" t="s">
        <v>128</v>
      </c>
    </row>
    <row r="34" spans="2:3" x14ac:dyDescent="0.25">
      <c r="B34" s="35">
        <f>INDEX(St_Mx,B32,1)+B33*(INDEX(St_Mx,B32+1,1)-INDEX(St_Mx,B32,1))</f>
      </c>
      <c r="C34" t="s">
        <v>129</v>
      </c>
    </row>
    <row r="35" spans="2:3" x14ac:dyDescent="0.25">
      <c r="B35" s="35">
        <f>INDEX(St_My,B32,1)+B33*(INDEX(St_My,B32+1,1)-INDEX(St_My,B32,1))</f>
      </c>
      <c r="C35" t="s">
        <v>130</v>
      </c>
    </row>
    <row r="36" spans="2:3" x14ac:dyDescent="0.25">
      <c r="B36" s="35">
        <f>SQRT(B34^2+B35^2)</f>
      </c>
      <c r="C36" t="s">
        <v>131</v>
      </c>
    </row>
    <row r="37" spans="2:3" x14ac:dyDescent="0.25">
      <c r="B37" s="38">
        <f>IF(B36&lt;=0,"n/a",B31/B36)</f>
      </c>
      <c r="C37" t="s">
        <v>132</v>
      </c>
    </row>
  </sheetData>
  <mergeCells count="8">
    <mergeCell ref="B1:U1"/>
    <mergeCell ref="B4:E4"/>
    <mergeCell ref="F4:L4"/>
    <mergeCell ref="M4:O4"/>
    <mergeCell ref="P4:R4"/>
    <mergeCell ref="S4:V4"/>
    <mergeCell ref="W4:X4"/>
    <mergeCell ref="B27:K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64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9" width="15" customWidth="1"/>
    <col min="10" max="47" width="12" customWidth="1"/>
  </cols>
  <sheetData>
    <row r="1" spans="1:9" x14ac:dyDescent="0.25">
      <c r="A1" s="15" t="s">
        <v>133</v>
      </c>
      <c r="B1" s="15"/>
      <c r="C1" s="15"/>
      <c r="D1" s="15"/>
      <c r="E1" s="15"/>
      <c r="F1" s="15"/>
      <c r="G1" s="15"/>
      <c r="H1" s="15"/>
      <c r="I1" s="15"/>
    </row>
    <row r="2" spans="1:1" x14ac:dyDescent="0.25">
      <c r="A2" s="5" t="s">
        <v>134</v>
      </c>
    </row>
    <row r="3" ht="28" customHeight="1" spans="1:9" x14ac:dyDescent="0.25">
      <c r="A3" s="2" t="s">
        <v>135</v>
      </c>
      <c r="B3" s="2"/>
      <c r="C3" s="2"/>
      <c r="D3" s="2"/>
      <c r="E3" s="2"/>
      <c r="F3" s="2"/>
      <c r="G3" s="2"/>
      <c r="H3" s="2"/>
      <c r="I3" s="2"/>
    </row>
    <row r="4" spans="1:4" x14ac:dyDescent="0.25">
      <c r="A4" t="s">
        <v>136</v>
      </c>
      <c r="C4" s="39">
        <v>5</v>
      </c>
      <c r="D4" s="5">
        <f>"detail shown for station P"&amp;C4</f>
      </c>
    </row>
    <row r="5" spans="10:47" x14ac:dyDescent="0.25">
      <c r="J5" s="18" t="s">
        <v>104</v>
      </c>
      <c r="K5" s="18"/>
      <c r="L5" s="18" t="s">
        <v>107</v>
      </c>
      <c r="M5" s="18"/>
      <c r="N5" s="18" t="s">
        <v>108</v>
      </c>
      <c r="O5" s="18"/>
      <c r="P5" s="18" t="s">
        <v>109</v>
      </c>
      <c r="Q5" s="18"/>
      <c r="R5" s="18" t="s">
        <v>110</v>
      </c>
      <c r="S5" s="18"/>
      <c r="T5" s="18" t="s">
        <v>111</v>
      </c>
      <c r="U5" s="18"/>
      <c r="V5" s="18" t="s">
        <v>112</v>
      </c>
      <c r="W5" s="18"/>
      <c r="X5" s="18" t="s">
        <v>113</v>
      </c>
      <c r="Y5" s="18"/>
      <c r="Z5" s="18" t="s">
        <v>114</v>
      </c>
      <c r="AA5" s="18"/>
      <c r="AB5" s="18" t="s">
        <v>115</v>
      </c>
      <c r="AC5" s="18"/>
      <c r="AD5" s="18" t="s">
        <v>116</v>
      </c>
      <c r="AE5" s="18"/>
      <c r="AF5" s="18" t="s">
        <v>117</v>
      </c>
      <c r="AG5" s="18"/>
      <c r="AH5" s="18" t="s">
        <v>118</v>
      </c>
      <c r="AI5" s="18"/>
      <c r="AJ5" s="18" t="s">
        <v>119</v>
      </c>
      <c r="AK5" s="18"/>
      <c r="AL5" s="18" t="s">
        <v>120</v>
      </c>
      <c r="AM5" s="18"/>
      <c r="AN5" s="18" t="s">
        <v>121</v>
      </c>
      <c r="AO5" s="18"/>
      <c r="AP5" s="18" t="s">
        <v>122</v>
      </c>
      <c r="AQ5" s="18"/>
      <c r="AR5" s="18" t="s">
        <v>123</v>
      </c>
      <c r="AS5" s="18"/>
      <c r="AT5" s="18" t="s">
        <v>124</v>
      </c>
      <c r="AU5" s="18"/>
    </row>
    <row r="6" spans="1:47" x14ac:dyDescent="0.25">
      <c r="A6" s="9" t="s">
        <v>55</v>
      </c>
      <c r="B6" s="9" t="s">
        <v>57</v>
      </c>
      <c r="C6" s="9" t="s">
        <v>58</v>
      </c>
      <c r="D6" s="9" t="s">
        <v>79</v>
      </c>
      <c r="E6" s="9" t="s">
        <v>137</v>
      </c>
      <c r="F6" s="9" t="s">
        <v>138</v>
      </c>
      <c r="G6" s="9" t="s">
        <v>139</v>
      </c>
      <c r="H6" s="9" t="s">
        <v>140</v>
      </c>
      <c r="I6" s="9" t="s">
        <v>141</v>
      </c>
      <c r="J6" s="40" t="s">
        <v>137</v>
      </c>
      <c r="K6" s="40" t="s">
        <v>138</v>
      </c>
      <c r="L6" s="40" t="s">
        <v>137</v>
      </c>
      <c r="M6" s="40" t="s">
        <v>138</v>
      </c>
      <c r="N6" s="40" t="s">
        <v>137</v>
      </c>
      <c r="O6" s="40" t="s">
        <v>138</v>
      </c>
      <c r="P6" s="40" t="s">
        <v>137</v>
      </c>
      <c r="Q6" s="40" t="s">
        <v>138</v>
      </c>
      <c r="R6" s="40" t="s">
        <v>137</v>
      </c>
      <c r="S6" s="40" t="s">
        <v>138</v>
      </c>
      <c r="T6" s="40" t="s">
        <v>137</v>
      </c>
      <c r="U6" s="40" t="s">
        <v>138</v>
      </c>
      <c r="V6" s="40" t="s">
        <v>137</v>
      </c>
      <c r="W6" s="40" t="s">
        <v>138</v>
      </c>
      <c r="X6" s="40" t="s">
        <v>137</v>
      </c>
      <c r="Y6" s="40" t="s">
        <v>138</v>
      </c>
      <c r="Z6" s="40" t="s">
        <v>137</v>
      </c>
      <c r="AA6" s="40" t="s">
        <v>138</v>
      </c>
      <c r="AB6" s="40" t="s">
        <v>137</v>
      </c>
      <c r="AC6" s="40" t="s">
        <v>138</v>
      </c>
      <c r="AD6" s="40" t="s">
        <v>137</v>
      </c>
      <c r="AE6" s="40" t="s">
        <v>138</v>
      </c>
      <c r="AF6" s="40" t="s">
        <v>137</v>
      </c>
      <c r="AG6" s="40" t="s">
        <v>138</v>
      </c>
      <c r="AH6" s="40" t="s">
        <v>137</v>
      </c>
      <c r="AI6" s="40" t="s">
        <v>138</v>
      </c>
      <c r="AJ6" s="40" t="s">
        <v>137</v>
      </c>
      <c r="AK6" s="40" t="s">
        <v>138</v>
      </c>
      <c r="AL6" s="40" t="s">
        <v>137</v>
      </c>
      <c r="AM6" s="40" t="s">
        <v>138</v>
      </c>
      <c r="AN6" s="40" t="s">
        <v>137</v>
      </c>
      <c r="AO6" s="40" t="s">
        <v>138</v>
      </c>
      <c r="AP6" s="40" t="s">
        <v>137</v>
      </c>
      <c r="AQ6" s="40" t="s">
        <v>138</v>
      </c>
      <c r="AR6" s="40" t="s">
        <v>137</v>
      </c>
      <c r="AS6" s="40" t="s">
        <v>138</v>
      </c>
      <c r="AT6" s="40" t="s">
        <v>137</v>
      </c>
      <c r="AU6" s="40" t="s">
        <v>138</v>
      </c>
    </row>
    <row r="7" spans="1:9" x14ac:dyDescent="0.25">
      <c r="A7" s="28" t="s">
        <v>142</v>
      </c>
      <c r="D7" s="41">
        <f>SUM(D8:D1264)</f>
      </c>
      <c r="G7" s="41">
        <f>SUM(G8:G1264)</f>
      </c>
      <c r="H7" s="41">
        <f>SUM(H8:H1264)</f>
      </c>
      <c r="I7" s="41">
        <f>SUM(I8:I1264)</f>
      </c>
    </row>
    <row r="8" spans="1:47" x14ac:dyDescent="0.25">
      <c r="A8">
        <f>Mesh!A5</f>
      </c>
      <c r="B8" s="12">
        <f>Mesh!B5</f>
      </c>
      <c r="C8" s="12">
        <f>Mesh!C5</f>
      </c>
      <c r="D8" s="12">
        <f>Mesh!D5</f>
      </c>
      <c r="E8" s="30">
        <f>INDEX(St_e0,Det+1)+INDEX(St_kx,Det+1)*C8+INDEX(St_ky,Det+1)*B8</f>
      </c>
      <c r="F8" s="12">
        <f>IF(E8&gt;0,IF(E8&lt;=eco,alpha*fck*(1-(1-E8/eco)^n),alpha*fck),0)</f>
      </c>
      <c r="G8" s="11">
        <f>F8*D8</f>
      </c>
      <c r="H8" s="11">
        <f>G8*C8</f>
      </c>
      <c r="I8" s="11">
        <f>G8*B8</f>
      </c>
      <c r="J8" s="30">
        <f>PM_Angle!$J$7+PM_Angle!$K$7*$C8+PM_Angle!$L$7*$B8</f>
      </c>
      <c r="K8" s="12">
        <f>IF(J8&gt;0,IF(J8&lt;=eco,alpha*fck*(1-(1-J8/eco)^n),alpha*fck),0)</f>
      </c>
      <c r="L8" s="30">
        <f>PM_Angle!$J$8+PM_Angle!$K$8*$C8+PM_Angle!$L$8*$B8</f>
      </c>
      <c r="M8" s="12">
        <f>IF(L8&gt;0,IF(L8&lt;=eco,alpha*fck*(1-(1-L8/eco)^n),alpha*fck),0)</f>
      </c>
      <c r="N8" s="30">
        <f>PM_Angle!$J$9+PM_Angle!$K$9*$C8+PM_Angle!$L$9*$B8</f>
      </c>
      <c r="O8" s="12">
        <f>IF(N8&gt;0,IF(N8&lt;=eco,alpha*fck*(1-(1-N8/eco)^n),alpha*fck),0)</f>
      </c>
      <c r="P8" s="30">
        <f>PM_Angle!$J$10+PM_Angle!$K$10*$C8+PM_Angle!$L$10*$B8</f>
      </c>
      <c r="Q8" s="12">
        <f>IF(P8&gt;0,IF(P8&lt;=eco,alpha*fck*(1-(1-P8/eco)^n),alpha*fck),0)</f>
      </c>
      <c r="R8" s="30">
        <f>PM_Angle!$J$11+PM_Angle!$K$11*$C8+PM_Angle!$L$11*$B8</f>
      </c>
      <c r="S8" s="12">
        <f>IF(R8&gt;0,IF(R8&lt;=eco,alpha*fck*(1-(1-R8/eco)^n),alpha*fck),0)</f>
      </c>
      <c r="T8" s="30">
        <f>PM_Angle!$J$12+PM_Angle!$K$12*$C8+PM_Angle!$L$12*$B8</f>
      </c>
      <c r="U8" s="12">
        <f>IF(T8&gt;0,IF(T8&lt;=eco,alpha*fck*(1-(1-T8/eco)^n),alpha*fck),0)</f>
      </c>
      <c r="V8" s="30">
        <f>PM_Angle!$J$13+PM_Angle!$K$13*$C8+PM_Angle!$L$13*$B8</f>
      </c>
      <c r="W8" s="12">
        <f>IF(V8&gt;0,IF(V8&lt;=eco,alpha*fck*(1-(1-V8/eco)^n),alpha*fck),0)</f>
      </c>
      <c r="X8" s="30">
        <f>PM_Angle!$J$14+PM_Angle!$K$14*$C8+PM_Angle!$L$14*$B8</f>
      </c>
      <c r="Y8" s="12">
        <f>IF(X8&gt;0,IF(X8&lt;=eco,alpha*fck*(1-(1-X8/eco)^n),alpha*fck),0)</f>
      </c>
      <c r="Z8" s="30">
        <f>PM_Angle!$J$15+PM_Angle!$K$15*$C8+PM_Angle!$L$15*$B8</f>
      </c>
      <c r="AA8" s="12">
        <f>IF(Z8&gt;0,IF(Z8&lt;=eco,alpha*fck*(1-(1-Z8/eco)^n),alpha*fck),0)</f>
      </c>
      <c r="AB8" s="30">
        <f>PM_Angle!$J$16+PM_Angle!$K$16*$C8+PM_Angle!$L$16*$B8</f>
      </c>
      <c r="AC8" s="12">
        <f>IF(AB8&gt;0,IF(AB8&lt;=eco,alpha*fck*(1-(1-AB8/eco)^n),alpha*fck),0)</f>
      </c>
      <c r="AD8" s="30">
        <f>PM_Angle!$J$17+PM_Angle!$K$17*$C8+PM_Angle!$L$17*$B8</f>
      </c>
      <c r="AE8" s="12">
        <f>IF(AD8&gt;0,IF(AD8&lt;=eco,alpha*fck*(1-(1-AD8/eco)^n),alpha*fck),0)</f>
      </c>
      <c r="AF8" s="30">
        <f>PM_Angle!$J$18+PM_Angle!$K$18*$C8+PM_Angle!$L$18*$B8</f>
      </c>
      <c r="AG8" s="12">
        <f>IF(AF8&gt;0,IF(AF8&lt;=eco,alpha*fck*(1-(1-AF8/eco)^n),alpha*fck),0)</f>
      </c>
      <c r="AH8" s="30">
        <f>PM_Angle!$J$19+PM_Angle!$K$19*$C8+PM_Angle!$L$19*$B8</f>
      </c>
      <c r="AI8" s="12">
        <f>IF(AH8&gt;0,IF(AH8&lt;=eco,alpha*fck*(1-(1-AH8/eco)^n),alpha*fck),0)</f>
      </c>
      <c r="AJ8" s="30">
        <f>PM_Angle!$J$20+PM_Angle!$K$20*$C8+PM_Angle!$L$20*$B8</f>
      </c>
      <c r="AK8" s="12">
        <f>IF(AJ8&gt;0,IF(AJ8&lt;=eco,alpha*fck*(1-(1-AJ8/eco)^n),alpha*fck),0)</f>
      </c>
      <c r="AL8" s="30">
        <f>PM_Angle!$J$21+PM_Angle!$K$21*$C8+PM_Angle!$L$21*$B8</f>
      </c>
      <c r="AM8" s="12">
        <f>IF(AL8&gt;0,IF(AL8&lt;=eco,alpha*fck*(1-(1-AL8/eco)^n),alpha*fck),0)</f>
      </c>
      <c r="AN8" s="30">
        <f>PM_Angle!$J$22+PM_Angle!$K$22*$C8+PM_Angle!$L$22*$B8</f>
      </c>
      <c r="AO8" s="12">
        <f>IF(AN8&gt;0,IF(AN8&lt;=eco,alpha*fck*(1-(1-AN8/eco)^n),alpha*fck),0)</f>
      </c>
      <c r="AP8" s="30">
        <f>PM_Angle!$J$23+PM_Angle!$K$23*$C8+PM_Angle!$L$23*$B8</f>
      </c>
      <c r="AQ8" s="12">
        <f>IF(AP8&gt;0,IF(AP8&lt;=eco,alpha*fck*(1-(1-AP8/eco)^n),alpha*fck),0)</f>
      </c>
      <c r="AR8" s="30">
        <f>PM_Angle!$J$24+PM_Angle!$K$24*$C8+PM_Angle!$L$24*$B8</f>
      </c>
      <c r="AS8" s="12">
        <f>IF(AR8&gt;0,IF(AR8&lt;=eco,alpha*fck*(1-(1-AR8/eco)^n),alpha*fck),0)</f>
      </c>
      <c r="AT8" s="30">
        <f>PM_Angle!$J$25+PM_Angle!$K$25*$C8+PM_Angle!$L$25*$B8</f>
      </c>
      <c r="AU8" s="12">
        <f>IF(AT8&gt;0,IF(AT8&lt;=eco,alpha*fck*(1-(1-AT8/eco)^n),alpha*fck),0)</f>
      </c>
    </row>
    <row r="9" spans="1:47" x14ac:dyDescent="0.25">
      <c r="A9">
        <f>Mesh!A6</f>
      </c>
      <c r="B9" s="12">
        <f>Mesh!B6</f>
      </c>
      <c r="C9" s="12">
        <f>Mesh!C6</f>
      </c>
      <c r="D9" s="12">
        <f>Mesh!D6</f>
      </c>
      <c r="E9" s="30">
        <f>INDEX(St_e0,Det+1)+INDEX(St_kx,Det+1)*C9+INDEX(St_ky,Det+1)*B9</f>
      </c>
      <c r="F9" s="12">
        <f>IF(E9&gt;0,IF(E9&lt;=eco,alpha*fck*(1-(1-E9/eco)^n),alpha*fck),0)</f>
      </c>
      <c r="G9" s="11">
        <f>F9*D9</f>
      </c>
      <c r="H9" s="11">
        <f>G9*C9</f>
      </c>
      <c r="I9" s="11">
        <f>G9*B9</f>
      </c>
      <c r="J9" s="30">
        <f>PM_Angle!$J$7+PM_Angle!$K$7*$C9+PM_Angle!$L$7*$B9</f>
      </c>
      <c r="K9" s="12">
        <f>IF(J9&gt;0,IF(J9&lt;=eco,alpha*fck*(1-(1-J9/eco)^n),alpha*fck),0)</f>
      </c>
      <c r="L9" s="30">
        <f>PM_Angle!$J$8+PM_Angle!$K$8*$C9+PM_Angle!$L$8*$B9</f>
      </c>
      <c r="M9" s="12">
        <f>IF(L9&gt;0,IF(L9&lt;=eco,alpha*fck*(1-(1-L9/eco)^n),alpha*fck),0)</f>
      </c>
      <c r="N9" s="30">
        <f>PM_Angle!$J$9+PM_Angle!$K$9*$C9+PM_Angle!$L$9*$B9</f>
      </c>
      <c r="O9" s="12">
        <f>IF(N9&gt;0,IF(N9&lt;=eco,alpha*fck*(1-(1-N9/eco)^n),alpha*fck),0)</f>
      </c>
      <c r="P9" s="30">
        <f>PM_Angle!$J$10+PM_Angle!$K$10*$C9+PM_Angle!$L$10*$B9</f>
      </c>
      <c r="Q9" s="12">
        <f>IF(P9&gt;0,IF(P9&lt;=eco,alpha*fck*(1-(1-P9/eco)^n),alpha*fck),0)</f>
      </c>
      <c r="R9" s="30">
        <f>PM_Angle!$J$11+PM_Angle!$K$11*$C9+PM_Angle!$L$11*$B9</f>
      </c>
      <c r="S9" s="12">
        <f>IF(R9&gt;0,IF(R9&lt;=eco,alpha*fck*(1-(1-R9/eco)^n),alpha*fck),0)</f>
      </c>
      <c r="T9" s="30">
        <f>PM_Angle!$J$12+PM_Angle!$K$12*$C9+PM_Angle!$L$12*$B9</f>
      </c>
      <c r="U9" s="12">
        <f>IF(T9&gt;0,IF(T9&lt;=eco,alpha*fck*(1-(1-T9/eco)^n),alpha*fck),0)</f>
      </c>
      <c r="V9" s="30">
        <f>PM_Angle!$J$13+PM_Angle!$K$13*$C9+PM_Angle!$L$13*$B9</f>
      </c>
      <c r="W9" s="12">
        <f>IF(V9&gt;0,IF(V9&lt;=eco,alpha*fck*(1-(1-V9/eco)^n),alpha*fck),0)</f>
      </c>
      <c r="X9" s="30">
        <f>PM_Angle!$J$14+PM_Angle!$K$14*$C9+PM_Angle!$L$14*$B9</f>
      </c>
      <c r="Y9" s="12">
        <f>IF(X9&gt;0,IF(X9&lt;=eco,alpha*fck*(1-(1-X9/eco)^n),alpha*fck),0)</f>
      </c>
      <c r="Z9" s="30">
        <f>PM_Angle!$J$15+PM_Angle!$K$15*$C9+PM_Angle!$L$15*$B9</f>
      </c>
      <c r="AA9" s="12">
        <f>IF(Z9&gt;0,IF(Z9&lt;=eco,alpha*fck*(1-(1-Z9/eco)^n),alpha*fck),0)</f>
      </c>
      <c r="AB9" s="30">
        <f>PM_Angle!$J$16+PM_Angle!$K$16*$C9+PM_Angle!$L$16*$B9</f>
      </c>
      <c r="AC9" s="12">
        <f>IF(AB9&gt;0,IF(AB9&lt;=eco,alpha*fck*(1-(1-AB9/eco)^n),alpha*fck),0)</f>
      </c>
      <c r="AD9" s="30">
        <f>PM_Angle!$J$17+PM_Angle!$K$17*$C9+PM_Angle!$L$17*$B9</f>
      </c>
      <c r="AE9" s="12">
        <f>IF(AD9&gt;0,IF(AD9&lt;=eco,alpha*fck*(1-(1-AD9/eco)^n),alpha*fck),0)</f>
      </c>
      <c r="AF9" s="30">
        <f>PM_Angle!$J$18+PM_Angle!$K$18*$C9+PM_Angle!$L$18*$B9</f>
      </c>
      <c r="AG9" s="12">
        <f>IF(AF9&gt;0,IF(AF9&lt;=eco,alpha*fck*(1-(1-AF9/eco)^n),alpha*fck),0)</f>
      </c>
      <c r="AH9" s="30">
        <f>PM_Angle!$J$19+PM_Angle!$K$19*$C9+PM_Angle!$L$19*$B9</f>
      </c>
      <c r="AI9" s="12">
        <f>IF(AH9&gt;0,IF(AH9&lt;=eco,alpha*fck*(1-(1-AH9/eco)^n),alpha*fck),0)</f>
      </c>
      <c r="AJ9" s="30">
        <f>PM_Angle!$J$20+PM_Angle!$K$20*$C9+PM_Angle!$L$20*$B9</f>
      </c>
      <c r="AK9" s="12">
        <f>IF(AJ9&gt;0,IF(AJ9&lt;=eco,alpha*fck*(1-(1-AJ9/eco)^n),alpha*fck),0)</f>
      </c>
      <c r="AL9" s="30">
        <f>PM_Angle!$J$21+PM_Angle!$K$21*$C9+PM_Angle!$L$21*$B9</f>
      </c>
      <c r="AM9" s="12">
        <f>IF(AL9&gt;0,IF(AL9&lt;=eco,alpha*fck*(1-(1-AL9/eco)^n),alpha*fck),0)</f>
      </c>
      <c r="AN9" s="30">
        <f>PM_Angle!$J$22+PM_Angle!$K$22*$C9+PM_Angle!$L$22*$B9</f>
      </c>
      <c r="AO9" s="12">
        <f>IF(AN9&gt;0,IF(AN9&lt;=eco,alpha*fck*(1-(1-AN9/eco)^n),alpha*fck),0)</f>
      </c>
      <c r="AP9" s="30">
        <f>PM_Angle!$J$23+PM_Angle!$K$23*$C9+PM_Angle!$L$23*$B9</f>
      </c>
      <c r="AQ9" s="12">
        <f>IF(AP9&gt;0,IF(AP9&lt;=eco,alpha*fck*(1-(1-AP9/eco)^n),alpha*fck),0)</f>
      </c>
      <c r="AR9" s="30">
        <f>PM_Angle!$J$24+PM_Angle!$K$24*$C9+PM_Angle!$L$24*$B9</f>
      </c>
      <c r="AS9" s="12">
        <f>IF(AR9&gt;0,IF(AR9&lt;=eco,alpha*fck*(1-(1-AR9/eco)^n),alpha*fck),0)</f>
      </c>
      <c r="AT9" s="30">
        <f>PM_Angle!$J$25+PM_Angle!$K$25*$C9+PM_Angle!$L$25*$B9</f>
      </c>
      <c r="AU9" s="12">
        <f>IF(AT9&gt;0,IF(AT9&lt;=eco,alpha*fck*(1-(1-AT9/eco)^n),alpha*fck),0)</f>
      </c>
    </row>
    <row r="10" spans="1:47" x14ac:dyDescent="0.25">
      <c r="A10">
        <f>Mesh!A7</f>
      </c>
      <c r="B10" s="12">
        <f>Mesh!B7</f>
      </c>
      <c r="C10" s="12">
        <f>Mesh!C7</f>
      </c>
      <c r="D10" s="12">
        <f>Mesh!D7</f>
      </c>
      <c r="E10" s="30">
        <f>INDEX(St_e0,Det+1)+INDEX(St_kx,Det+1)*C10+INDEX(St_ky,Det+1)*B10</f>
      </c>
      <c r="F10" s="12">
        <f>IF(E10&gt;0,IF(E10&lt;=eco,alpha*fck*(1-(1-E10/eco)^n),alpha*fck),0)</f>
      </c>
      <c r="G10" s="11">
        <f>F10*D10</f>
      </c>
      <c r="H10" s="11">
        <f>G10*C10</f>
      </c>
      <c r="I10" s="11">
        <f>G10*B10</f>
      </c>
      <c r="J10" s="30">
        <f>PM_Angle!$J$7+PM_Angle!$K$7*$C10+PM_Angle!$L$7*$B10</f>
      </c>
      <c r="K10" s="12">
        <f>IF(J10&gt;0,IF(J10&lt;=eco,alpha*fck*(1-(1-J10/eco)^n),alpha*fck),0)</f>
      </c>
      <c r="L10" s="30">
        <f>PM_Angle!$J$8+PM_Angle!$K$8*$C10+PM_Angle!$L$8*$B10</f>
      </c>
      <c r="M10" s="12">
        <f>IF(L10&gt;0,IF(L10&lt;=eco,alpha*fck*(1-(1-L10/eco)^n),alpha*fck),0)</f>
      </c>
      <c r="N10" s="30">
        <f>PM_Angle!$J$9+PM_Angle!$K$9*$C10+PM_Angle!$L$9*$B10</f>
      </c>
      <c r="O10" s="12">
        <f>IF(N10&gt;0,IF(N10&lt;=eco,alpha*fck*(1-(1-N10/eco)^n),alpha*fck),0)</f>
      </c>
      <c r="P10" s="30">
        <f>PM_Angle!$J$10+PM_Angle!$K$10*$C10+PM_Angle!$L$10*$B10</f>
      </c>
      <c r="Q10" s="12">
        <f>IF(P10&gt;0,IF(P10&lt;=eco,alpha*fck*(1-(1-P10/eco)^n),alpha*fck),0)</f>
      </c>
      <c r="R10" s="30">
        <f>PM_Angle!$J$11+PM_Angle!$K$11*$C10+PM_Angle!$L$11*$B10</f>
      </c>
      <c r="S10" s="12">
        <f>IF(R10&gt;0,IF(R10&lt;=eco,alpha*fck*(1-(1-R10/eco)^n),alpha*fck),0)</f>
      </c>
      <c r="T10" s="30">
        <f>PM_Angle!$J$12+PM_Angle!$K$12*$C10+PM_Angle!$L$12*$B10</f>
      </c>
      <c r="U10" s="12">
        <f>IF(T10&gt;0,IF(T10&lt;=eco,alpha*fck*(1-(1-T10/eco)^n),alpha*fck),0)</f>
      </c>
      <c r="V10" s="30">
        <f>PM_Angle!$J$13+PM_Angle!$K$13*$C10+PM_Angle!$L$13*$B10</f>
      </c>
      <c r="W10" s="12">
        <f>IF(V10&gt;0,IF(V10&lt;=eco,alpha*fck*(1-(1-V10/eco)^n),alpha*fck),0)</f>
      </c>
      <c r="X10" s="30">
        <f>PM_Angle!$J$14+PM_Angle!$K$14*$C10+PM_Angle!$L$14*$B10</f>
      </c>
      <c r="Y10" s="12">
        <f>IF(X10&gt;0,IF(X10&lt;=eco,alpha*fck*(1-(1-X10/eco)^n),alpha*fck),0)</f>
      </c>
      <c r="Z10" s="30">
        <f>PM_Angle!$J$15+PM_Angle!$K$15*$C10+PM_Angle!$L$15*$B10</f>
      </c>
      <c r="AA10" s="12">
        <f>IF(Z10&gt;0,IF(Z10&lt;=eco,alpha*fck*(1-(1-Z10/eco)^n),alpha*fck),0)</f>
      </c>
      <c r="AB10" s="30">
        <f>PM_Angle!$J$16+PM_Angle!$K$16*$C10+PM_Angle!$L$16*$B10</f>
      </c>
      <c r="AC10" s="12">
        <f>IF(AB10&gt;0,IF(AB10&lt;=eco,alpha*fck*(1-(1-AB10/eco)^n),alpha*fck),0)</f>
      </c>
      <c r="AD10" s="30">
        <f>PM_Angle!$J$17+PM_Angle!$K$17*$C10+PM_Angle!$L$17*$B10</f>
      </c>
      <c r="AE10" s="12">
        <f>IF(AD10&gt;0,IF(AD10&lt;=eco,alpha*fck*(1-(1-AD10/eco)^n),alpha*fck),0)</f>
      </c>
      <c r="AF10" s="30">
        <f>PM_Angle!$J$18+PM_Angle!$K$18*$C10+PM_Angle!$L$18*$B10</f>
      </c>
      <c r="AG10" s="12">
        <f>IF(AF10&gt;0,IF(AF10&lt;=eco,alpha*fck*(1-(1-AF10/eco)^n),alpha*fck),0)</f>
      </c>
      <c r="AH10" s="30">
        <f>PM_Angle!$J$19+PM_Angle!$K$19*$C10+PM_Angle!$L$19*$B10</f>
      </c>
      <c r="AI10" s="12">
        <f>IF(AH10&gt;0,IF(AH10&lt;=eco,alpha*fck*(1-(1-AH10/eco)^n),alpha*fck),0)</f>
      </c>
      <c r="AJ10" s="30">
        <f>PM_Angle!$J$20+PM_Angle!$K$20*$C10+PM_Angle!$L$20*$B10</f>
      </c>
      <c r="AK10" s="12">
        <f>IF(AJ10&gt;0,IF(AJ10&lt;=eco,alpha*fck*(1-(1-AJ10/eco)^n),alpha*fck),0)</f>
      </c>
      <c r="AL10" s="30">
        <f>PM_Angle!$J$21+PM_Angle!$K$21*$C10+PM_Angle!$L$21*$B10</f>
      </c>
      <c r="AM10" s="12">
        <f>IF(AL10&gt;0,IF(AL10&lt;=eco,alpha*fck*(1-(1-AL10/eco)^n),alpha*fck),0)</f>
      </c>
      <c r="AN10" s="30">
        <f>PM_Angle!$J$22+PM_Angle!$K$22*$C10+PM_Angle!$L$22*$B10</f>
      </c>
      <c r="AO10" s="12">
        <f>IF(AN10&gt;0,IF(AN10&lt;=eco,alpha*fck*(1-(1-AN10/eco)^n),alpha*fck),0)</f>
      </c>
      <c r="AP10" s="30">
        <f>PM_Angle!$J$23+PM_Angle!$K$23*$C10+PM_Angle!$L$23*$B10</f>
      </c>
      <c r="AQ10" s="12">
        <f>IF(AP10&gt;0,IF(AP10&lt;=eco,alpha*fck*(1-(1-AP10/eco)^n),alpha*fck),0)</f>
      </c>
      <c r="AR10" s="30">
        <f>PM_Angle!$J$24+PM_Angle!$K$24*$C10+PM_Angle!$L$24*$B10</f>
      </c>
      <c r="AS10" s="12">
        <f>IF(AR10&gt;0,IF(AR10&lt;=eco,alpha*fck*(1-(1-AR10/eco)^n),alpha*fck),0)</f>
      </c>
      <c r="AT10" s="30">
        <f>PM_Angle!$J$25+PM_Angle!$K$25*$C10+PM_Angle!$L$25*$B10</f>
      </c>
      <c r="AU10" s="12">
        <f>IF(AT10&gt;0,IF(AT10&lt;=eco,alpha*fck*(1-(1-AT10/eco)^n),alpha*fck),0)</f>
      </c>
    </row>
    <row r="11" spans="1:47" x14ac:dyDescent="0.25">
      <c r="A11">
        <f>Mesh!A8</f>
      </c>
      <c r="B11" s="12">
        <f>Mesh!B8</f>
      </c>
      <c r="C11" s="12">
        <f>Mesh!C8</f>
      </c>
      <c r="D11" s="12">
        <f>Mesh!D8</f>
      </c>
      <c r="E11" s="30">
        <f>INDEX(St_e0,Det+1)+INDEX(St_kx,Det+1)*C11+INDEX(St_ky,Det+1)*B11</f>
      </c>
      <c r="F11" s="12">
        <f>IF(E11&gt;0,IF(E11&lt;=eco,alpha*fck*(1-(1-E11/eco)^n),alpha*fck),0)</f>
      </c>
      <c r="G11" s="11">
        <f>F11*D11</f>
      </c>
      <c r="H11" s="11">
        <f>G11*C11</f>
      </c>
      <c r="I11" s="11">
        <f>G11*B11</f>
      </c>
      <c r="J11" s="30">
        <f>PM_Angle!$J$7+PM_Angle!$K$7*$C11+PM_Angle!$L$7*$B11</f>
      </c>
      <c r="K11" s="12">
        <f>IF(J11&gt;0,IF(J11&lt;=eco,alpha*fck*(1-(1-J11/eco)^n),alpha*fck),0)</f>
      </c>
      <c r="L11" s="30">
        <f>PM_Angle!$J$8+PM_Angle!$K$8*$C11+PM_Angle!$L$8*$B11</f>
      </c>
      <c r="M11" s="12">
        <f>IF(L11&gt;0,IF(L11&lt;=eco,alpha*fck*(1-(1-L11/eco)^n),alpha*fck),0)</f>
      </c>
      <c r="N11" s="30">
        <f>PM_Angle!$J$9+PM_Angle!$K$9*$C11+PM_Angle!$L$9*$B11</f>
      </c>
      <c r="O11" s="12">
        <f>IF(N11&gt;0,IF(N11&lt;=eco,alpha*fck*(1-(1-N11/eco)^n),alpha*fck),0)</f>
      </c>
      <c r="P11" s="30">
        <f>PM_Angle!$J$10+PM_Angle!$K$10*$C11+PM_Angle!$L$10*$B11</f>
      </c>
      <c r="Q11" s="12">
        <f>IF(P11&gt;0,IF(P11&lt;=eco,alpha*fck*(1-(1-P11/eco)^n),alpha*fck),0)</f>
      </c>
      <c r="R11" s="30">
        <f>PM_Angle!$J$11+PM_Angle!$K$11*$C11+PM_Angle!$L$11*$B11</f>
      </c>
      <c r="S11" s="12">
        <f>IF(R11&gt;0,IF(R11&lt;=eco,alpha*fck*(1-(1-R11/eco)^n),alpha*fck),0)</f>
      </c>
      <c r="T11" s="30">
        <f>PM_Angle!$J$12+PM_Angle!$K$12*$C11+PM_Angle!$L$12*$B11</f>
      </c>
      <c r="U11" s="12">
        <f>IF(T11&gt;0,IF(T11&lt;=eco,alpha*fck*(1-(1-T11/eco)^n),alpha*fck),0)</f>
      </c>
      <c r="V11" s="30">
        <f>PM_Angle!$J$13+PM_Angle!$K$13*$C11+PM_Angle!$L$13*$B11</f>
      </c>
      <c r="W11" s="12">
        <f>IF(V11&gt;0,IF(V11&lt;=eco,alpha*fck*(1-(1-V11/eco)^n),alpha*fck),0)</f>
      </c>
      <c r="X11" s="30">
        <f>PM_Angle!$J$14+PM_Angle!$K$14*$C11+PM_Angle!$L$14*$B11</f>
      </c>
      <c r="Y11" s="12">
        <f>IF(X11&gt;0,IF(X11&lt;=eco,alpha*fck*(1-(1-X11/eco)^n),alpha*fck),0)</f>
      </c>
      <c r="Z11" s="30">
        <f>PM_Angle!$J$15+PM_Angle!$K$15*$C11+PM_Angle!$L$15*$B11</f>
      </c>
      <c r="AA11" s="12">
        <f>IF(Z11&gt;0,IF(Z11&lt;=eco,alpha*fck*(1-(1-Z11/eco)^n),alpha*fck),0)</f>
      </c>
      <c r="AB11" s="30">
        <f>PM_Angle!$J$16+PM_Angle!$K$16*$C11+PM_Angle!$L$16*$B11</f>
      </c>
      <c r="AC11" s="12">
        <f>IF(AB11&gt;0,IF(AB11&lt;=eco,alpha*fck*(1-(1-AB11/eco)^n),alpha*fck),0)</f>
      </c>
      <c r="AD11" s="30">
        <f>PM_Angle!$J$17+PM_Angle!$K$17*$C11+PM_Angle!$L$17*$B11</f>
      </c>
      <c r="AE11" s="12">
        <f>IF(AD11&gt;0,IF(AD11&lt;=eco,alpha*fck*(1-(1-AD11/eco)^n),alpha*fck),0)</f>
      </c>
      <c r="AF11" s="30">
        <f>PM_Angle!$J$18+PM_Angle!$K$18*$C11+PM_Angle!$L$18*$B11</f>
      </c>
      <c r="AG11" s="12">
        <f>IF(AF11&gt;0,IF(AF11&lt;=eco,alpha*fck*(1-(1-AF11/eco)^n),alpha*fck),0)</f>
      </c>
      <c r="AH11" s="30">
        <f>PM_Angle!$J$19+PM_Angle!$K$19*$C11+PM_Angle!$L$19*$B11</f>
      </c>
      <c r="AI11" s="12">
        <f>IF(AH11&gt;0,IF(AH11&lt;=eco,alpha*fck*(1-(1-AH11/eco)^n),alpha*fck),0)</f>
      </c>
      <c r="AJ11" s="30">
        <f>PM_Angle!$J$20+PM_Angle!$K$20*$C11+PM_Angle!$L$20*$B11</f>
      </c>
      <c r="AK11" s="12">
        <f>IF(AJ11&gt;0,IF(AJ11&lt;=eco,alpha*fck*(1-(1-AJ11/eco)^n),alpha*fck),0)</f>
      </c>
      <c r="AL11" s="30">
        <f>PM_Angle!$J$21+PM_Angle!$K$21*$C11+PM_Angle!$L$21*$B11</f>
      </c>
      <c r="AM11" s="12">
        <f>IF(AL11&gt;0,IF(AL11&lt;=eco,alpha*fck*(1-(1-AL11/eco)^n),alpha*fck),0)</f>
      </c>
      <c r="AN11" s="30">
        <f>PM_Angle!$J$22+PM_Angle!$K$22*$C11+PM_Angle!$L$22*$B11</f>
      </c>
      <c r="AO11" s="12">
        <f>IF(AN11&gt;0,IF(AN11&lt;=eco,alpha*fck*(1-(1-AN11/eco)^n),alpha*fck),0)</f>
      </c>
      <c r="AP11" s="30">
        <f>PM_Angle!$J$23+PM_Angle!$K$23*$C11+PM_Angle!$L$23*$B11</f>
      </c>
      <c r="AQ11" s="12">
        <f>IF(AP11&gt;0,IF(AP11&lt;=eco,alpha*fck*(1-(1-AP11/eco)^n),alpha*fck),0)</f>
      </c>
      <c r="AR11" s="30">
        <f>PM_Angle!$J$24+PM_Angle!$K$24*$C11+PM_Angle!$L$24*$B11</f>
      </c>
      <c r="AS11" s="12">
        <f>IF(AR11&gt;0,IF(AR11&lt;=eco,alpha*fck*(1-(1-AR11/eco)^n),alpha*fck),0)</f>
      </c>
      <c r="AT11" s="30">
        <f>PM_Angle!$J$25+PM_Angle!$K$25*$C11+PM_Angle!$L$25*$B11</f>
      </c>
      <c r="AU11" s="12">
        <f>IF(AT11&gt;0,IF(AT11&lt;=eco,alpha*fck*(1-(1-AT11/eco)^n),alpha*fck),0)</f>
      </c>
    </row>
    <row r="12" spans="1:47" x14ac:dyDescent="0.25">
      <c r="A12">
        <f>Mesh!A9</f>
      </c>
      <c r="B12" s="12">
        <f>Mesh!B9</f>
      </c>
      <c r="C12" s="12">
        <f>Mesh!C9</f>
      </c>
      <c r="D12" s="12">
        <f>Mesh!D9</f>
      </c>
      <c r="E12" s="30">
        <f>INDEX(St_e0,Det+1)+INDEX(St_kx,Det+1)*C12+INDEX(St_ky,Det+1)*B12</f>
      </c>
      <c r="F12" s="12">
        <f>IF(E12&gt;0,IF(E12&lt;=eco,alpha*fck*(1-(1-E12/eco)^n),alpha*fck),0)</f>
      </c>
      <c r="G12" s="11">
        <f>F12*D12</f>
      </c>
      <c r="H12" s="11">
        <f>G12*C12</f>
      </c>
      <c r="I12" s="11">
        <f>G12*B12</f>
      </c>
      <c r="J12" s="30">
        <f>PM_Angle!$J$7+PM_Angle!$K$7*$C12+PM_Angle!$L$7*$B12</f>
      </c>
      <c r="K12" s="12">
        <f>IF(J12&gt;0,IF(J12&lt;=eco,alpha*fck*(1-(1-J12/eco)^n),alpha*fck),0)</f>
      </c>
      <c r="L12" s="30">
        <f>PM_Angle!$J$8+PM_Angle!$K$8*$C12+PM_Angle!$L$8*$B12</f>
      </c>
      <c r="M12" s="12">
        <f>IF(L12&gt;0,IF(L12&lt;=eco,alpha*fck*(1-(1-L12/eco)^n),alpha*fck),0)</f>
      </c>
      <c r="N12" s="30">
        <f>PM_Angle!$J$9+PM_Angle!$K$9*$C12+PM_Angle!$L$9*$B12</f>
      </c>
      <c r="O12" s="12">
        <f>IF(N12&gt;0,IF(N12&lt;=eco,alpha*fck*(1-(1-N12/eco)^n),alpha*fck),0)</f>
      </c>
      <c r="P12" s="30">
        <f>PM_Angle!$J$10+PM_Angle!$K$10*$C12+PM_Angle!$L$10*$B12</f>
      </c>
      <c r="Q12" s="12">
        <f>IF(P12&gt;0,IF(P12&lt;=eco,alpha*fck*(1-(1-P12/eco)^n),alpha*fck),0)</f>
      </c>
      <c r="R12" s="30">
        <f>PM_Angle!$J$11+PM_Angle!$K$11*$C12+PM_Angle!$L$11*$B12</f>
      </c>
      <c r="S12" s="12">
        <f>IF(R12&gt;0,IF(R12&lt;=eco,alpha*fck*(1-(1-R12/eco)^n),alpha*fck),0)</f>
      </c>
      <c r="T12" s="30">
        <f>PM_Angle!$J$12+PM_Angle!$K$12*$C12+PM_Angle!$L$12*$B12</f>
      </c>
      <c r="U12" s="12">
        <f>IF(T12&gt;0,IF(T12&lt;=eco,alpha*fck*(1-(1-T12/eco)^n),alpha*fck),0)</f>
      </c>
      <c r="V12" s="30">
        <f>PM_Angle!$J$13+PM_Angle!$K$13*$C12+PM_Angle!$L$13*$B12</f>
      </c>
      <c r="W12" s="12">
        <f>IF(V12&gt;0,IF(V12&lt;=eco,alpha*fck*(1-(1-V12/eco)^n),alpha*fck),0)</f>
      </c>
      <c r="X12" s="30">
        <f>PM_Angle!$J$14+PM_Angle!$K$14*$C12+PM_Angle!$L$14*$B12</f>
      </c>
      <c r="Y12" s="12">
        <f>IF(X12&gt;0,IF(X12&lt;=eco,alpha*fck*(1-(1-X12/eco)^n),alpha*fck),0)</f>
      </c>
      <c r="Z12" s="30">
        <f>PM_Angle!$J$15+PM_Angle!$K$15*$C12+PM_Angle!$L$15*$B12</f>
      </c>
      <c r="AA12" s="12">
        <f>IF(Z12&gt;0,IF(Z12&lt;=eco,alpha*fck*(1-(1-Z12/eco)^n),alpha*fck),0)</f>
      </c>
      <c r="AB12" s="30">
        <f>PM_Angle!$J$16+PM_Angle!$K$16*$C12+PM_Angle!$L$16*$B12</f>
      </c>
      <c r="AC12" s="12">
        <f>IF(AB12&gt;0,IF(AB12&lt;=eco,alpha*fck*(1-(1-AB12/eco)^n),alpha*fck),0)</f>
      </c>
      <c r="AD12" s="30">
        <f>PM_Angle!$J$17+PM_Angle!$K$17*$C12+PM_Angle!$L$17*$B12</f>
      </c>
      <c r="AE12" s="12">
        <f>IF(AD12&gt;0,IF(AD12&lt;=eco,alpha*fck*(1-(1-AD12/eco)^n),alpha*fck),0)</f>
      </c>
      <c r="AF12" s="30">
        <f>PM_Angle!$J$18+PM_Angle!$K$18*$C12+PM_Angle!$L$18*$B12</f>
      </c>
      <c r="AG12" s="12">
        <f>IF(AF12&gt;0,IF(AF12&lt;=eco,alpha*fck*(1-(1-AF12/eco)^n),alpha*fck),0)</f>
      </c>
      <c r="AH12" s="30">
        <f>PM_Angle!$J$19+PM_Angle!$K$19*$C12+PM_Angle!$L$19*$B12</f>
      </c>
      <c r="AI12" s="12">
        <f>IF(AH12&gt;0,IF(AH12&lt;=eco,alpha*fck*(1-(1-AH12/eco)^n),alpha*fck),0)</f>
      </c>
      <c r="AJ12" s="30">
        <f>PM_Angle!$J$20+PM_Angle!$K$20*$C12+PM_Angle!$L$20*$B12</f>
      </c>
      <c r="AK12" s="12">
        <f>IF(AJ12&gt;0,IF(AJ12&lt;=eco,alpha*fck*(1-(1-AJ12/eco)^n),alpha*fck),0)</f>
      </c>
      <c r="AL12" s="30">
        <f>PM_Angle!$J$21+PM_Angle!$K$21*$C12+PM_Angle!$L$21*$B12</f>
      </c>
      <c r="AM12" s="12">
        <f>IF(AL12&gt;0,IF(AL12&lt;=eco,alpha*fck*(1-(1-AL12/eco)^n),alpha*fck),0)</f>
      </c>
      <c r="AN12" s="30">
        <f>PM_Angle!$J$22+PM_Angle!$K$22*$C12+PM_Angle!$L$22*$B12</f>
      </c>
      <c r="AO12" s="12">
        <f>IF(AN12&gt;0,IF(AN12&lt;=eco,alpha*fck*(1-(1-AN12/eco)^n),alpha*fck),0)</f>
      </c>
      <c r="AP12" s="30">
        <f>PM_Angle!$J$23+PM_Angle!$K$23*$C12+PM_Angle!$L$23*$B12</f>
      </c>
      <c r="AQ12" s="12">
        <f>IF(AP12&gt;0,IF(AP12&lt;=eco,alpha*fck*(1-(1-AP12/eco)^n),alpha*fck),0)</f>
      </c>
      <c r="AR12" s="30">
        <f>PM_Angle!$J$24+PM_Angle!$K$24*$C12+PM_Angle!$L$24*$B12</f>
      </c>
      <c r="AS12" s="12">
        <f>IF(AR12&gt;0,IF(AR12&lt;=eco,alpha*fck*(1-(1-AR12/eco)^n),alpha*fck),0)</f>
      </c>
      <c r="AT12" s="30">
        <f>PM_Angle!$J$25+PM_Angle!$K$25*$C12+PM_Angle!$L$25*$B12</f>
      </c>
      <c r="AU12" s="12">
        <f>IF(AT12&gt;0,IF(AT12&lt;=eco,alpha*fck*(1-(1-AT12/eco)^n),alpha*fck),0)</f>
      </c>
    </row>
    <row r="13" spans="1:47" x14ac:dyDescent="0.25">
      <c r="A13">
        <f>Mesh!A10</f>
      </c>
      <c r="B13" s="12">
        <f>Mesh!B10</f>
      </c>
      <c r="C13" s="12">
        <f>Mesh!C10</f>
      </c>
      <c r="D13" s="12">
        <f>Mesh!D10</f>
      </c>
      <c r="E13" s="30">
        <f>INDEX(St_e0,Det+1)+INDEX(St_kx,Det+1)*C13+INDEX(St_ky,Det+1)*B13</f>
      </c>
      <c r="F13" s="12">
        <f>IF(E13&gt;0,IF(E13&lt;=eco,alpha*fck*(1-(1-E13/eco)^n),alpha*fck),0)</f>
      </c>
      <c r="G13" s="11">
        <f>F13*D13</f>
      </c>
      <c r="H13" s="11">
        <f>G13*C13</f>
      </c>
      <c r="I13" s="11">
        <f>G13*B13</f>
      </c>
      <c r="J13" s="30">
        <f>PM_Angle!$J$7+PM_Angle!$K$7*$C13+PM_Angle!$L$7*$B13</f>
      </c>
      <c r="K13" s="12">
        <f>IF(J13&gt;0,IF(J13&lt;=eco,alpha*fck*(1-(1-J13/eco)^n),alpha*fck),0)</f>
      </c>
      <c r="L13" s="30">
        <f>PM_Angle!$J$8+PM_Angle!$K$8*$C13+PM_Angle!$L$8*$B13</f>
      </c>
      <c r="M13" s="12">
        <f>IF(L13&gt;0,IF(L13&lt;=eco,alpha*fck*(1-(1-L13/eco)^n),alpha*fck),0)</f>
      </c>
      <c r="N13" s="30">
        <f>PM_Angle!$J$9+PM_Angle!$K$9*$C13+PM_Angle!$L$9*$B13</f>
      </c>
      <c r="O13" s="12">
        <f>IF(N13&gt;0,IF(N13&lt;=eco,alpha*fck*(1-(1-N13/eco)^n),alpha*fck),0)</f>
      </c>
      <c r="P13" s="30">
        <f>PM_Angle!$J$10+PM_Angle!$K$10*$C13+PM_Angle!$L$10*$B13</f>
      </c>
      <c r="Q13" s="12">
        <f>IF(P13&gt;0,IF(P13&lt;=eco,alpha*fck*(1-(1-P13/eco)^n),alpha*fck),0)</f>
      </c>
      <c r="R13" s="30">
        <f>PM_Angle!$J$11+PM_Angle!$K$11*$C13+PM_Angle!$L$11*$B13</f>
      </c>
      <c r="S13" s="12">
        <f>IF(R13&gt;0,IF(R13&lt;=eco,alpha*fck*(1-(1-R13/eco)^n),alpha*fck),0)</f>
      </c>
      <c r="T13" s="30">
        <f>PM_Angle!$J$12+PM_Angle!$K$12*$C13+PM_Angle!$L$12*$B13</f>
      </c>
      <c r="U13" s="12">
        <f>IF(T13&gt;0,IF(T13&lt;=eco,alpha*fck*(1-(1-T13/eco)^n),alpha*fck),0)</f>
      </c>
      <c r="V13" s="30">
        <f>PM_Angle!$J$13+PM_Angle!$K$13*$C13+PM_Angle!$L$13*$B13</f>
      </c>
      <c r="W13" s="12">
        <f>IF(V13&gt;0,IF(V13&lt;=eco,alpha*fck*(1-(1-V13/eco)^n),alpha*fck),0)</f>
      </c>
      <c r="X13" s="30">
        <f>PM_Angle!$J$14+PM_Angle!$K$14*$C13+PM_Angle!$L$14*$B13</f>
      </c>
      <c r="Y13" s="12">
        <f>IF(X13&gt;0,IF(X13&lt;=eco,alpha*fck*(1-(1-X13/eco)^n),alpha*fck),0)</f>
      </c>
      <c r="Z13" s="30">
        <f>PM_Angle!$J$15+PM_Angle!$K$15*$C13+PM_Angle!$L$15*$B13</f>
      </c>
      <c r="AA13" s="12">
        <f>IF(Z13&gt;0,IF(Z13&lt;=eco,alpha*fck*(1-(1-Z13/eco)^n),alpha*fck),0)</f>
      </c>
      <c r="AB13" s="30">
        <f>PM_Angle!$J$16+PM_Angle!$K$16*$C13+PM_Angle!$L$16*$B13</f>
      </c>
      <c r="AC13" s="12">
        <f>IF(AB13&gt;0,IF(AB13&lt;=eco,alpha*fck*(1-(1-AB13/eco)^n),alpha*fck),0)</f>
      </c>
      <c r="AD13" s="30">
        <f>PM_Angle!$J$17+PM_Angle!$K$17*$C13+PM_Angle!$L$17*$B13</f>
      </c>
      <c r="AE13" s="12">
        <f>IF(AD13&gt;0,IF(AD13&lt;=eco,alpha*fck*(1-(1-AD13/eco)^n),alpha*fck),0)</f>
      </c>
      <c r="AF13" s="30">
        <f>PM_Angle!$J$18+PM_Angle!$K$18*$C13+PM_Angle!$L$18*$B13</f>
      </c>
      <c r="AG13" s="12">
        <f>IF(AF13&gt;0,IF(AF13&lt;=eco,alpha*fck*(1-(1-AF13/eco)^n),alpha*fck),0)</f>
      </c>
      <c r="AH13" s="30">
        <f>PM_Angle!$J$19+PM_Angle!$K$19*$C13+PM_Angle!$L$19*$B13</f>
      </c>
      <c r="AI13" s="12">
        <f>IF(AH13&gt;0,IF(AH13&lt;=eco,alpha*fck*(1-(1-AH13/eco)^n),alpha*fck),0)</f>
      </c>
      <c r="AJ13" s="30">
        <f>PM_Angle!$J$20+PM_Angle!$K$20*$C13+PM_Angle!$L$20*$B13</f>
      </c>
      <c r="AK13" s="12">
        <f>IF(AJ13&gt;0,IF(AJ13&lt;=eco,alpha*fck*(1-(1-AJ13/eco)^n),alpha*fck),0)</f>
      </c>
      <c r="AL13" s="30">
        <f>PM_Angle!$J$21+PM_Angle!$K$21*$C13+PM_Angle!$L$21*$B13</f>
      </c>
      <c r="AM13" s="12">
        <f>IF(AL13&gt;0,IF(AL13&lt;=eco,alpha*fck*(1-(1-AL13/eco)^n),alpha*fck),0)</f>
      </c>
      <c r="AN13" s="30">
        <f>PM_Angle!$J$22+PM_Angle!$K$22*$C13+PM_Angle!$L$22*$B13</f>
      </c>
      <c r="AO13" s="12">
        <f>IF(AN13&gt;0,IF(AN13&lt;=eco,alpha*fck*(1-(1-AN13/eco)^n),alpha*fck),0)</f>
      </c>
      <c r="AP13" s="30">
        <f>PM_Angle!$J$23+PM_Angle!$K$23*$C13+PM_Angle!$L$23*$B13</f>
      </c>
      <c r="AQ13" s="12">
        <f>IF(AP13&gt;0,IF(AP13&lt;=eco,alpha*fck*(1-(1-AP13/eco)^n),alpha*fck),0)</f>
      </c>
      <c r="AR13" s="30">
        <f>PM_Angle!$J$24+PM_Angle!$K$24*$C13+PM_Angle!$L$24*$B13</f>
      </c>
      <c r="AS13" s="12">
        <f>IF(AR13&gt;0,IF(AR13&lt;=eco,alpha*fck*(1-(1-AR13/eco)^n),alpha*fck),0)</f>
      </c>
      <c r="AT13" s="30">
        <f>PM_Angle!$J$25+PM_Angle!$K$25*$C13+PM_Angle!$L$25*$B13</f>
      </c>
      <c r="AU13" s="12">
        <f>IF(AT13&gt;0,IF(AT13&lt;=eco,alpha*fck*(1-(1-AT13/eco)^n),alpha*fck),0)</f>
      </c>
    </row>
    <row r="14" spans="1:47" x14ac:dyDescent="0.25">
      <c r="A14">
        <f>Mesh!A11</f>
      </c>
      <c r="B14" s="12">
        <f>Mesh!B11</f>
      </c>
      <c r="C14" s="12">
        <f>Mesh!C11</f>
      </c>
      <c r="D14" s="12">
        <f>Mesh!D11</f>
      </c>
      <c r="E14" s="30">
        <f>INDEX(St_e0,Det+1)+INDEX(St_kx,Det+1)*C14+INDEX(St_ky,Det+1)*B14</f>
      </c>
      <c r="F14" s="12">
        <f>IF(E14&gt;0,IF(E14&lt;=eco,alpha*fck*(1-(1-E14/eco)^n),alpha*fck),0)</f>
      </c>
      <c r="G14" s="11">
        <f>F14*D14</f>
      </c>
      <c r="H14" s="11">
        <f>G14*C14</f>
      </c>
      <c r="I14" s="11">
        <f>G14*B14</f>
      </c>
      <c r="J14" s="30">
        <f>PM_Angle!$J$7+PM_Angle!$K$7*$C14+PM_Angle!$L$7*$B14</f>
      </c>
      <c r="K14" s="12">
        <f>IF(J14&gt;0,IF(J14&lt;=eco,alpha*fck*(1-(1-J14/eco)^n),alpha*fck),0)</f>
      </c>
      <c r="L14" s="30">
        <f>PM_Angle!$J$8+PM_Angle!$K$8*$C14+PM_Angle!$L$8*$B14</f>
      </c>
      <c r="M14" s="12">
        <f>IF(L14&gt;0,IF(L14&lt;=eco,alpha*fck*(1-(1-L14/eco)^n),alpha*fck),0)</f>
      </c>
      <c r="N14" s="30">
        <f>PM_Angle!$J$9+PM_Angle!$K$9*$C14+PM_Angle!$L$9*$B14</f>
      </c>
      <c r="O14" s="12">
        <f>IF(N14&gt;0,IF(N14&lt;=eco,alpha*fck*(1-(1-N14/eco)^n),alpha*fck),0)</f>
      </c>
      <c r="P14" s="30">
        <f>PM_Angle!$J$10+PM_Angle!$K$10*$C14+PM_Angle!$L$10*$B14</f>
      </c>
      <c r="Q14" s="12">
        <f>IF(P14&gt;0,IF(P14&lt;=eco,alpha*fck*(1-(1-P14/eco)^n),alpha*fck),0)</f>
      </c>
      <c r="R14" s="30">
        <f>PM_Angle!$J$11+PM_Angle!$K$11*$C14+PM_Angle!$L$11*$B14</f>
      </c>
      <c r="S14" s="12">
        <f>IF(R14&gt;0,IF(R14&lt;=eco,alpha*fck*(1-(1-R14/eco)^n),alpha*fck),0)</f>
      </c>
      <c r="T14" s="30">
        <f>PM_Angle!$J$12+PM_Angle!$K$12*$C14+PM_Angle!$L$12*$B14</f>
      </c>
      <c r="U14" s="12">
        <f>IF(T14&gt;0,IF(T14&lt;=eco,alpha*fck*(1-(1-T14/eco)^n),alpha*fck),0)</f>
      </c>
      <c r="V14" s="30">
        <f>PM_Angle!$J$13+PM_Angle!$K$13*$C14+PM_Angle!$L$13*$B14</f>
      </c>
      <c r="W14" s="12">
        <f>IF(V14&gt;0,IF(V14&lt;=eco,alpha*fck*(1-(1-V14/eco)^n),alpha*fck),0)</f>
      </c>
      <c r="X14" s="30">
        <f>PM_Angle!$J$14+PM_Angle!$K$14*$C14+PM_Angle!$L$14*$B14</f>
      </c>
      <c r="Y14" s="12">
        <f>IF(X14&gt;0,IF(X14&lt;=eco,alpha*fck*(1-(1-X14/eco)^n),alpha*fck),0)</f>
      </c>
      <c r="Z14" s="30">
        <f>PM_Angle!$J$15+PM_Angle!$K$15*$C14+PM_Angle!$L$15*$B14</f>
      </c>
      <c r="AA14" s="12">
        <f>IF(Z14&gt;0,IF(Z14&lt;=eco,alpha*fck*(1-(1-Z14/eco)^n),alpha*fck),0)</f>
      </c>
      <c r="AB14" s="30">
        <f>PM_Angle!$J$16+PM_Angle!$K$16*$C14+PM_Angle!$L$16*$B14</f>
      </c>
      <c r="AC14" s="12">
        <f>IF(AB14&gt;0,IF(AB14&lt;=eco,alpha*fck*(1-(1-AB14/eco)^n),alpha*fck),0)</f>
      </c>
      <c r="AD14" s="30">
        <f>PM_Angle!$J$17+PM_Angle!$K$17*$C14+PM_Angle!$L$17*$B14</f>
      </c>
      <c r="AE14" s="12">
        <f>IF(AD14&gt;0,IF(AD14&lt;=eco,alpha*fck*(1-(1-AD14/eco)^n),alpha*fck),0)</f>
      </c>
      <c r="AF14" s="30">
        <f>PM_Angle!$J$18+PM_Angle!$K$18*$C14+PM_Angle!$L$18*$B14</f>
      </c>
      <c r="AG14" s="12">
        <f>IF(AF14&gt;0,IF(AF14&lt;=eco,alpha*fck*(1-(1-AF14/eco)^n),alpha*fck),0)</f>
      </c>
      <c r="AH14" s="30">
        <f>PM_Angle!$J$19+PM_Angle!$K$19*$C14+PM_Angle!$L$19*$B14</f>
      </c>
      <c r="AI14" s="12">
        <f>IF(AH14&gt;0,IF(AH14&lt;=eco,alpha*fck*(1-(1-AH14/eco)^n),alpha*fck),0)</f>
      </c>
      <c r="AJ14" s="30">
        <f>PM_Angle!$J$20+PM_Angle!$K$20*$C14+PM_Angle!$L$20*$B14</f>
      </c>
      <c r="AK14" s="12">
        <f>IF(AJ14&gt;0,IF(AJ14&lt;=eco,alpha*fck*(1-(1-AJ14/eco)^n),alpha*fck),0)</f>
      </c>
      <c r="AL14" s="30">
        <f>PM_Angle!$J$21+PM_Angle!$K$21*$C14+PM_Angle!$L$21*$B14</f>
      </c>
      <c r="AM14" s="12">
        <f>IF(AL14&gt;0,IF(AL14&lt;=eco,alpha*fck*(1-(1-AL14/eco)^n),alpha*fck),0)</f>
      </c>
      <c r="AN14" s="30">
        <f>PM_Angle!$J$22+PM_Angle!$K$22*$C14+PM_Angle!$L$22*$B14</f>
      </c>
      <c r="AO14" s="12">
        <f>IF(AN14&gt;0,IF(AN14&lt;=eco,alpha*fck*(1-(1-AN14/eco)^n),alpha*fck),0)</f>
      </c>
      <c r="AP14" s="30">
        <f>PM_Angle!$J$23+PM_Angle!$K$23*$C14+PM_Angle!$L$23*$B14</f>
      </c>
      <c r="AQ14" s="12">
        <f>IF(AP14&gt;0,IF(AP14&lt;=eco,alpha*fck*(1-(1-AP14/eco)^n),alpha*fck),0)</f>
      </c>
      <c r="AR14" s="30">
        <f>PM_Angle!$J$24+PM_Angle!$K$24*$C14+PM_Angle!$L$24*$B14</f>
      </c>
      <c r="AS14" s="12">
        <f>IF(AR14&gt;0,IF(AR14&lt;=eco,alpha*fck*(1-(1-AR14/eco)^n),alpha*fck),0)</f>
      </c>
      <c r="AT14" s="30">
        <f>PM_Angle!$J$25+PM_Angle!$K$25*$C14+PM_Angle!$L$25*$B14</f>
      </c>
      <c r="AU14" s="12">
        <f>IF(AT14&gt;0,IF(AT14&lt;=eco,alpha*fck*(1-(1-AT14/eco)^n),alpha*fck),0)</f>
      </c>
    </row>
    <row r="15" spans="1:47" x14ac:dyDescent="0.25">
      <c r="A15">
        <f>Mesh!A12</f>
      </c>
      <c r="B15" s="12">
        <f>Mesh!B12</f>
      </c>
      <c r="C15" s="12">
        <f>Mesh!C12</f>
      </c>
      <c r="D15" s="12">
        <f>Mesh!D12</f>
      </c>
      <c r="E15" s="30">
        <f>INDEX(St_e0,Det+1)+INDEX(St_kx,Det+1)*C15+INDEX(St_ky,Det+1)*B15</f>
      </c>
      <c r="F15" s="12">
        <f>IF(E15&gt;0,IF(E15&lt;=eco,alpha*fck*(1-(1-E15/eco)^n),alpha*fck),0)</f>
      </c>
      <c r="G15" s="11">
        <f>F15*D15</f>
      </c>
      <c r="H15" s="11">
        <f>G15*C15</f>
      </c>
      <c r="I15" s="11">
        <f>G15*B15</f>
      </c>
      <c r="J15" s="30">
        <f>PM_Angle!$J$7+PM_Angle!$K$7*$C15+PM_Angle!$L$7*$B15</f>
      </c>
      <c r="K15" s="12">
        <f>IF(J15&gt;0,IF(J15&lt;=eco,alpha*fck*(1-(1-J15/eco)^n),alpha*fck),0)</f>
      </c>
      <c r="L15" s="30">
        <f>PM_Angle!$J$8+PM_Angle!$K$8*$C15+PM_Angle!$L$8*$B15</f>
      </c>
      <c r="M15" s="12">
        <f>IF(L15&gt;0,IF(L15&lt;=eco,alpha*fck*(1-(1-L15/eco)^n),alpha*fck),0)</f>
      </c>
      <c r="N15" s="30">
        <f>PM_Angle!$J$9+PM_Angle!$K$9*$C15+PM_Angle!$L$9*$B15</f>
      </c>
      <c r="O15" s="12">
        <f>IF(N15&gt;0,IF(N15&lt;=eco,alpha*fck*(1-(1-N15/eco)^n),alpha*fck),0)</f>
      </c>
      <c r="P15" s="30">
        <f>PM_Angle!$J$10+PM_Angle!$K$10*$C15+PM_Angle!$L$10*$B15</f>
      </c>
      <c r="Q15" s="12">
        <f>IF(P15&gt;0,IF(P15&lt;=eco,alpha*fck*(1-(1-P15/eco)^n),alpha*fck),0)</f>
      </c>
      <c r="R15" s="30">
        <f>PM_Angle!$J$11+PM_Angle!$K$11*$C15+PM_Angle!$L$11*$B15</f>
      </c>
      <c r="S15" s="12">
        <f>IF(R15&gt;0,IF(R15&lt;=eco,alpha*fck*(1-(1-R15/eco)^n),alpha*fck),0)</f>
      </c>
      <c r="T15" s="30">
        <f>PM_Angle!$J$12+PM_Angle!$K$12*$C15+PM_Angle!$L$12*$B15</f>
      </c>
      <c r="U15" s="12">
        <f>IF(T15&gt;0,IF(T15&lt;=eco,alpha*fck*(1-(1-T15/eco)^n),alpha*fck),0)</f>
      </c>
      <c r="V15" s="30">
        <f>PM_Angle!$J$13+PM_Angle!$K$13*$C15+PM_Angle!$L$13*$B15</f>
      </c>
      <c r="W15" s="12">
        <f>IF(V15&gt;0,IF(V15&lt;=eco,alpha*fck*(1-(1-V15/eco)^n),alpha*fck),0)</f>
      </c>
      <c r="X15" s="30">
        <f>PM_Angle!$J$14+PM_Angle!$K$14*$C15+PM_Angle!$L$14*$B15</f>
      </c>
      <c r="Y15" s="12">
        <f>IF(X15&gt;0,IF(X15&lt;=eco,alpha*fck*(1-(1-X15/eco)^n),alpha*fck),0)</f>
      </c>
      <c r="Z15" s="30">
        <f>PM_Angle!$J$15+PM_Angle!$K$15*$C15+PM_Angle!$L$15*$B15</f>
      </c>
      <c r="AA15" s="12">
        <f>IF(Z15&gt;0,IF(Z15&lt;=eco,alpha*fck*(1-(1-Z15/eco)^n),alpha*fck),0)</f>
      </c>
      <c r="AB15" s="30">
        <f>PM_Angle!$J$16+PM_Angle!$K$16*$C15+PM_Angle!$L$16*$B15</f>
      </c>
      <c r="AC15" s="12">
        <f>IF(AB15&gt;0,IF(AB15&lt;=eco,alpha*fck*(1-(1-AB15/eco)^n),alpha*fck),0)</f>
      </c>
      <c r="AD15" s="30">
        <f>PM_Angle!$J$17+PM_Angle!$K$17*$C15+PM_Angle!$L$17*$B15</f>
      </c>
      <c r="AE15" s="12">
        <f>IF(AD15&gt;0,IF(AD15&lt;=eco,alpha*fck*(1-(1-AD15/eco)^n),alpha*fck),0)</f>
      </c>
      <c r="AF15" s="30">
        <f>PM_Angle!$J$18+PM_Angle!$K$18*$C15+PM_Angle!$L$18*$B15</f>
      </c>
      <c r="AG15" s="12">
        <f>IF(AF15&gt;0,IF(AF15&lt;=eco,alpha*fck*(1-(1-AF15/eco)^n),alpha*fck),0)</f>
      </c>
      <c r="AH15" s="30">
        <f>PM_Angle!$J$19+PM_Angle!$K$19*$C15+PM_Angle!$L$19*$B15</f>
      </c>
      <c r="AI15" s="12">
        <f>IF(AH15&gt;0,IF(AH15&lt;=eco,alpha*fck*(1-(1-AH15/eco)^n),alpha*fck),0)</f>
      </c>
      <c r="AJ15" s="30">
        <f>PM_Angle!$J$20+PM_Angle!$K$20*$C15+PM_Angle!$L$20*$B15</f>
      </c>
      <c r="AK15" s="12">
        <f>IF(AJ15&gt;0,IF(AJ15&lt;=eco,alpha*fck*(1-(1-AJ15/eco)^n),alpha*fck),0)</f>
      </c>
      <c r="AL15" s="30">
        <f>PM_Angle!$J$21+PM_Angle!$K$21*$C15+PM_Angle!$L$21*$B15</f>
      </c>
      <c r="AM15" s="12">
        <f>IF(AL15&gt;0,IF(AL15&lt;=eco,alpha*fck*(1-(1-AL15/eco)^n),alpha*fck),0)</f>
      </c>
      <c r="AN15" s="30">
        <f>PM_Angle!$J$22+PM_Angle!$K$22*$C15+PM_Angle!$L$22*$B15</f>
      </c>
      <c r="AO15" s="12">
        <f>IF(AN15&gt;0,IF(AN15&lt;=eco,alpha*fck*(1-(1-AN15/eco)^n),alpha*fck),0)</f>
      </c>
      <c r="AP15" s="30">
        <f>PM_Angle!$J$23+PM_Angle!$K$23*$C15+PM_Angle!$L$23*$B15</f>
      </c>
      <c r="AQ15" s="12">
        <f>IF(AP15&gt;0,IF(AP15&lt;=eco,alpha*fck*(1-(1-AP15/eco)^n),alpha*fck),0)</f>
      </c>
      <c r="AR15" s="30">
        <f>PM_Angle!$J$24+PM_Angle!$K$24*$C15+PM_Angle!$L$24*$B15</f>
      </c>
      <c r="AS15" s="12">
        <f>IF(AR15&gt;0,IF(AR15&lt;=eco,alpha*fck*(1-(1-AR15/eco)^n),alpha*fck),0)</f>
      </c>
      <c r="AT15" s="30">
        <f>PM_Angle!$J$25+PM_Angle!$K$25*$C15+PM_Angle!$L$25*$B15</f>
      </c>
      <c r="AU15" s="12">
        <f>IF(AT15&gt;0,IF(AT15&lt;=eco,alpha*fck*(1-(1-AT15/eco)^n),alpha*fck),0)</f>
      </c>
    </row>
    <row r="16" spans="1:47" x14ac:dyDescent="0.25">
      <c r="A16">
        <f>Mesh!A13</f>
      </c>
      <c r="B16" s="12">
        <f>Mesh!B13</f>
      </c>
      <c r="C16" s="12">
        <f>Mesh!C13</f>
      </c>
      <c r="D16" s="12">
        <f>Mesh!D13</f>
      </c>
      <c r="E16" s="30">
        <f>INDEX(St_e0,Det+1)+INDEX(St_kx,Det+1)*C16+INDEX(St_ky,Det+1)*B16</f>
      </c>
      <c r="F16" s="12">
        <f>IF(E16&gt;0,IF(E16&lt;=eco,alpha*fck*(1-(1-E16/eco)^n),alpha*fck),0)</f>
      </c>
      <c r="G16" s="11">
        <f>F16*D16</f>
      </c>
      <c r="H16" s="11">
        <f>G16*C16</f>
      </c>
      <c r="I16" s="11">
        <f>G16*B16</f>
      </c>
      <c r="J16" s="30">
        <f>PM_Angle!$J$7+PM_Angle!$K$7*$C16+PM_Angle!$L$7*$B16</f>
      </c>
      <c r="K16" s="12">
        <f>IF(J16&gt;0,IF(J16&lt;=eco,alpha*fck*(1-(1-J16/eco)^n),alpha*fck),0)</f>
      </c>
      <c r="L16" s="30">
        <f>PM_Angle!$J$8+PM_Angle!$K$8*$C16+PM_Angle!$L$8*$B16</f>
      </c>
      <c r="M16" s="12">
        <f>IF(L16&gt;0,IF(L16&lt;=eco,alpha*fck*(1-(1-L16/eco)^n),alpha*fck),0)</f>
      </c>
      <c r="N16" s="30">
        <f>PM_Angle!$J$9+PM_Angle!$K$9*$C16+PM_Angle!$L$9*$B16</f>
      </c>
      <c r="O16" s="12">
        <f>IF(N16&gt;0,IF(N16&lt;=eco,alpha*fck*(1-(1-N16/eco)^n),alpha*fck),0)</f>
      </c>
      <c r="P16" s="30">
        <f>PM_Angle!$J$10+PM_Angle!$K$10*$C16+PM_Angle!$L$10*$B16</f>
      </c>
      <c r="Q16" s="12">
        <f>IF(P16&gt;0,IF(P16&lt;=eco,alpha*fck*(1-(1-P16/eco)^n),alpha*fck),0)</f>
      </c>
      <c r="R16" s="30">
        <f>PM_Angle!$J$11+PM_Angle!$K$11*$C16+PM_Angle!$L$11*$B16</f>
      </c>
      <c r="S16" s="12">
        <f>IF(R16&gt;0,IF(R16&lt;=eco,alpha*fck*(1-(1-R16/eco)^n),alpha*fck),0)</f>
      </c>
      <c r="T16" s="30">
        <f>PM_Angle!$J$12+PM_Angle!$K$12*$C16+PM_Angle!$L$12*$B16</f>
      </c>
      <c r="U16" s="12">
        <f>IF(T16&gt;0,IF(T16&lt;=eco,alpha*fck*(1-(1-T16/eco)^n),alpha*fck),0)</f>
      </c>
      <c r="V16" s="30">
        <f>PM_Angle!$J$13+PM_Angle!$K$13*$C16+PM_Angle!$L$13*$B16</f>
      </c>
      <c r="W16" s="12">
        <f>IF(V16&gt;0,IF(V16&lt;=eco,alpha*fck*(1-(1-V16/eco)^n),alpha*fck),0)</f>
      </c>
      <c r="X16" s="30">
        <f>PM_Angle!$J$14+PM_Angle!$K$14*$C16+PM_Angle!$L$14*$B16</f>
      </c>
      <c r="Y16" s="12">
        <f>IF(X16&gt;0,IF(X16&lt;=eco,alpha*fck*(1-(1-X16/eco)^n),alpha*fck),0)</f>
      </c>
      <c r="Z16" s="30">
        <f>PM_Angle!$J$15+PM_Angle!$K$15*$C16+PM_Angle!$L$15*$B16</f>
      </c>
      <c r="AA16" s="12">
        <f>IF(Z16&gt;0,IF(Z16&lt;=eco,alpha*fck*(1-(1-Z16/eco)^n),alpha*fck),0)</f>
      </c>
      <c r="AB16" s="30">
        <f>PM_Angle!$J$16+PM_Angle!$K$16*$C16+PM_Angle!$L$16*$B16</f>
      </c>
      <c r="AC16" s="12">
        <f>IF(AB16&gt;0,IF(AB16&lt;=eco,alpha*fck*(1-(1-AB16/eco)^n),alpha*fck),0)</f>
      </c>
      <c r="AD16" s="30">
        <f>PM_Angle!$J$17+PM_Angle!$K$17*$C16+PM_Angle!$L$17*$B16</f>
      </c>
      <c r="AE16" s="12">
        <f>IF(AD16&gt;0,IF(AD16&lt;=eco,alpha*fck*(1-(1-AD16/eco)^n),alpha*fck),0)</f>
      </c>
      <c r="AF16" s="30">
        <f>PM_Angle!$J$18+PM_Angle!$K$18*$C16+PM_Angle!$L$18*$B16</f>
      </c>
      <c r="AG16" s="12">
        <f>IF(AF16&gt;0,IF(AF16&lt;=eco,alpha*fck*(1-(1-AF16/eco)^n),alpha*fck),0)</f>
      </c>
      <c r="AH16" s="30">
        <f>PM_Angle!$J$19+PM_Angle!$K$19*$C16+PM_Angle!$L$19*$B16</f>
      </c>
      <c r="AI16" s="12">
        <f>IF(AH16&gt;0,IF(AH16&lt;=eco,alpha*fck*(1-(1-AH16/eco)^n),alpha*fck),0)</f>
      </c>
      <c r="AJ16" s="30">
        <f>PM_Angle!$J$20+PM_Angle!$K$20*$C16+PM_Angle!$L$20*$B16</f>
      </c>
      <c r="AK16" s="12">
        <f>IF(AJ16&gt;0,IF(AJ16&lt;=eco,alpha*fck*(1-(1-AJ16/eco)^n),alpha*fck),0)</f>
      </c>
      <c r="AL16" s="30">
        <f>PM_Angle!$J$21+PM_Angle!$K$21*$C16+PM_Angle!$L$21*$B16</f>
      </c>
      <c r="AM16" s="12">
        <f>IF(AL16&gt;0,IF(AL16&lt;=eco,alpha*fck*(1-(1-AL16/eco)^n),alpha*fck),0)</f>
      </c>
      <c r="AN16" s="30">
        <f>PM_Angle!$J$22+PM_Angle!$K$22*$C16+PM_Angle!$L$22*$B16</f>
      </c>
      <c r="AO16" s="12">
        <f>IF(AN16&gt;0,IF(AN16&lt;=eco,alpha*fck*(1-(1-AN16/eco)^n),alpha*fck),0)</f>
      </c>
      <c r="AP16" s="30">
        <f>PM_Angle!$J$23+PM_Angle!$K$23*$C16+PM_Angle!$L$23*$B16</f>
      </c>
      <c r="AQ16" s="12">
        <f>IF(AP16&gt;0,IF(AP16&lt;=eco,alpha*fck*(1-(1-AP16/eco)^n),alpha*fck),0)</f>
      </c>
      <c r="AR16" s="30">
        <f>PM_Angle!$J$24+PM_Angle!$K$24*$C16+PM_Angle!$L$24*$B16</f>
      </c>
      <c r="AS16" s="12">
        <f>IF(AR16&gt;0,IF(AR16&lt;=eco,alpha*fck*(1-(1-AR16/eco)^n),alpha*fck),0)</f>
      </c>
      <c r="AT16" s="30">
        <f>PM_Angle!$J$25+PM_Angle!$K$25*$C16+PM_Angle!$L$25*$B16</f>
      </c>
      <c r="AU16" s="12">
        <f>IF(AT16&gt;0,IF(AT16&lt;=eco,alpha*fck*(1-(1-AT16/eco)^n),alpha*fck),0)</f>
      </c>
    </row>
    <row r="17" spans="1:47" x14ac:dyDescent="0.25">
      <c r="A17">
        <f>Mesh!A14</f>
      </c>
      <c r="B17" s="12">
        <f>Mesh!B14</f>
      </c>
      <c r="C17" s="12">
        <f>Mesh!C14</f>
      </c>
      <c r="D17" s="12">
        <f>Mesh!D14</f>
      </c>
      <c r="E17" s="30">
        <f>INDEX(St_e0,Det+1)+INDEX(St_kx,Det+1)*C17+INDEX(St_ky,Det+1)*B17</f>
      </c>
      <c r="F17" s="12">
        <f>IF(E17&gt;0,IF(E17&lt;=eco,alpha*fck*(1-(1-E17/eco)^n),alpha*fck),0)</f>
      </c>
      <c r="G17" s="11">
        <f>F17*D17</f>
      </c>
      <c r="H17" s="11">
        <f>G17*C17</f>
      </c>
      <c r="I17" s="11">
        <f>G17*B17</f>
      </c>
      <c r="J17" s="30">
        <f>PM_Angle!$J$7+PM_Angle!$K$7*$C17+PM_Angle!$L$7*$B17</f>
      </c>
      <c r="K17" s="12">
        <f>IF(J17&gt;0,IF(J17&lt;=eco,alpha*fck*(1-(1-J17/eco)^n),alpha*fck),0)</f>
      </c>
      <c r="L17" s="30">
        <f>PM_Angle!$J$8+PM_Angle!$K$8*$C17+PM_Angle!$L$8*$B17</f>
      </c>
      <c r="M17" s="12">
        <f>IF(L17&gt;0,IF(L17&lt;=eco,alpha*fck*(1-(1-L17/eco)^n),alpha*fck),0)</f>
      </c>
      <c r="N17" s="30">
        <f>PM_Angle!$J$9+PM_Angle!$K$9*$C17+PM_Angle!$L$9*$B17</f>
      </c>
      <c r="O17" s="12">
        <f>IF(N17&gt;0,IF(N17&lt;=eco,alpha*fck*(1-(1-N17/eco)^n),alpha*fck),0)</f>
      </c>
      <c r="P17" s="30">
        <f>PM_Angle!$J$10+PM_Angle!$K$10*$C17+PM_Angle!$L$10*$B17</f>
      </c>
      <c r="Q17" s="12">
        <f>IF(P17&gt;0,IF(P17&lt;=eco,alpha*fck*(1-(1-P17/eco)^n),alpha*fck),0)</f>
      </c>
      <c r="R17" s="30">
        <f>PM_Angle!$J$11+PM_Angle!$K$11*$C17+PM_Angle!$L$11*$B17</f>
      </c>
      <c r="S17" s="12">
        <f>IF(R17&gt;0,IF(R17&lt;=eco,alpha*fck*(1-(1-R17/eco)^n),alpha*fck),0)</f>
      </c>
      <c r="T17" s="30">
        <f>PM_Angle!$J$12+PM_Angle!$K$12*$C17+PM_Angle!$L$12*$B17</f>
      </c>
      <c r="U17" s="12">
        <f>IF(T17&gt;0,IF(T17&lt;=eco,alpha*fck*(1-(1-T17/eco)^n),alpha*fck),0)</f>
      </c>
      <c r="V17" s="30">
        <f>PM_Angle!$J$13+PM_Angle!$K$13*$C17+PM_Angle!$L$13*$B17</f>
      </c>
      <c r="W17" s="12">
        <f>IF(V17&gt;0,IF(V17&lt;=eco,alpha*fck*(1-(1-V17/eco)^n),alpha*fck),0)</f>
      </c>
      <c r="X17" s="30">
        <f>PM_Angle!$J$14+PM_Angle!$K$14*$C17+PM_Angle!$L$14*$B17</f>
      </c>
      <c r="Y17" s="12">
        <f>IF(X17&gt;0,IF(X17&lt;=eco,alpha*fck*(1-(1-X17/eco)^n),alpha*fck),0)</f>
      </c>
      <c r="Z17" s="30">
        <f>PM_Angle!$J$15+PM_Angle!$K$15*$C17+PM_Angle!$L$15*$B17</f>
      </c>
      <c r="AA17" s="12">
        <f>IF(Z17&gt;0,IF(Z17&lt;=eco,alpha*fck*(1-(1-Z17/eco)^n),alpha*fck),0)</f>
      </c>
      <c r="AB17" s="30">
        <f>PM_Angle!$J$16+PM_Angle!$K$16*$C17+PM_Angle!$L$16*$B17</f>
      </c>
      <c r="AC17" s="12">
        <f>IF(AB17&gt;0,IF(AB17&lt;=eco,alpha*fck*(1-(1-AB17/eco)^n),alpha*fck),0)</f>
      </c>
      <c r="AD17" s="30">
        <f>PM_Angle!$J$17+PM_Angle!$K$17*$C17+PM_Angle!$L$17*$B17</f>
      </c>
      <c r="AE17" s="12">
        <f>IF(AD17&gt;0,IF(AD17&lt;=eco,alpha*fck*(1-(1-AD17/eco)^n),alpha*fck),0)</f>
      </c>
      <c r="AF17" s="30">
        <f>PM_Angle!$J$18+PM_Angle!$K$18*$C17+PM_Angle!$L$18*$B17</f>
      </c>
      <c r="AG17" s="12">
        <f>IF(AF17&gt;0,IF(AF17&lt;=eco,alpha*fck*(1-(1-AF17/eco)^n),alpha*fck),0)</f>
      </c>
      <c r="AH17" s="30">
        <f>PM_Angle!$J$19+PM_Angle!$K$19*$C17+PM_Angle!$L$19*$B17</f>
      </c>
      <c r="AI17" s="12">
        <f>IF(AH17&gt;0,IF(AH17&lt;=eco,alpha*fck*(1-(1-AH17/eco)^n),alpha*fck),0)</f>
      </c>
      <c r="AJ17" s="30">
        <f>PM_Angle!$J$20+PM_Angle!$K$20*$C17+PM_Angle!$L$20*$B17</f>
      </c>
      <c r="AK17" s="12">
        <f>IF(AJ17&gt;0,IF(AJ17&lt;=eco,alpha*fck*(1-(1-AJ17/eco)^n),alpha*fck),0)</f>
      </c>
      <c r="AL17" s="30">
        <f>PM_Angle!$J$21+PM_Angle!$K$21*$C17+PM_Angle!$L$21*$B17</f>
      </c>
      <c r="AM17" s="12">
        <f>IF(AL17&gt;0,IF(AL17&lt;=eco,alpha*fck*(1-(1-AL17/eco)^n),alpha*fck),0)</f>
      </c>
      <c r="AN17" s="30">
        <f>PM_Angle!$J$22+PM_Angle!$K$22*$C17+PM_Angle!$L$22*$B17</f>
      </c>
      <c r="AO17" s="12">
        <f>IF(AN17&gt;0,IF(AN17&lt;=eco,alpha*fck*(1-(1-AN17/eco)^n),alpha*fck),0)</f>
      </c>
      <c r="AP17" s="30">
        <f>PM_Angle!$J$23+PM_Angle!$K$23*$C17+PM_Angle!$L$23*$B17</f>
      </c>
      <c r="AQ17" s="12">
        <f>IF(AP17&gt;0,IF(AP17&lt;=eco,alpha*fck*(1-(1-AP17/eco)^n),alpha*fck),0)</f>
      </c>
      <c r="AR17" s="30">
        <f>PM_Angle!$J$24+PM_Angle!$K$24*$C17+PM_Angle!$L$24*$B17</f>
      </c>
      <c r="AS17" s="12">
        <f>IF(AR17&gt;0,IF(AR17&lt;=eco,alpha*fck*(1-(1-AR17/eco)^n),alpha*fck),0)</f>
      </c>
      <c r="AT17" s="30">
        <f>PM_Angle!$J$25+PM_Angle!$K$25*$C17+PM_Angle!$L$25*$B17</f>
      </c>
      <c r="AU17" s="12">
        <f>IF(AT17&gt;0,IF(AT17&lt;=eco,alpha*fck*(1-(1-AT17/eco)^n),alpha*fck),0)</f>
      </c>
    </row>
    <row r="18" spans="1:47" x14ac:dyDescent="0.25">
      <c r="A18">
        <f>Mesh!A15</f>
      </c>
      <c r="B18" s="12">
        <f>Mesh!B15</f>
      </c>
      <c r="C18" s="12">
        <f>Mesh!C15</f>
      </c>
      <c r="D18" s="12">
        <f>Mesh!D15</f>
      </c>
      <c r="E18" s="30">
        <f>INDEX(St_e0,Det+1)+INDEX(St_kx,Det+1)*C18+INDEX(St_ky,Det+1)*B18</f>
      </c>
      <c r="F18" s="12">
        <f>IF(E18&gt;0,IF(E18&lt;=eco,alpha*fck*(1-(1-E18/eco)^n),alpha*fck),0)</f>
      </c>
      <c r="G18" s="11">
        <f>F18*D18</f>
      </c>
      <c r="H18" s="11">
        <f>G18*C18</f>
      </c>
      <c r="I18" s="11">
        <f>G18*B18</f>
      </c>
      <c r="J18" s="30">
        <f>PM_Angle!$J$7+PM_Angle!$K$7*$C18+PM_Angle!$L$7*$B18</f>
      </c>
      <c r="K18" s="12">
        <f>IF(J18&gt;0,IF(J18&lt;=eco,alpha*fck*(1-(1-J18/eco)^n),alpha*fck),0)</f>
      </c>
      <c r="L18" s="30">
        <f>PM_Angle!$J$8+PM_Angle!$K$8*$C18+PM_Angle!$L$8*$B18</f>
      </c>
      <c r="M18" s="12">
        <f>IF(L18&gt;0,IF(L18&lt;=eco,alpha*fck*(1-(1-L18/eco)^n),alpha*fck),0)</f>
      </c>
      <c r="N18" s="30">
        <f>PM_Angle!$J$9+PM_Angle!$K$9*$C18+PM_Angle!$L$9*$B18</f>
      </c>
      <c r="O18" s="12">
        <f>IF(N18&gt;0,IF(N18&lt;=eco,alpha*fck*(1-(1-N18/eco)^n),alpha*fck),0)</f>
      </c>
      <c r="P18" s="30">
        <f>PM_Angle!$J$10+PM_Angle!$K$10*$C18+PM_Angle!$L$10*$B18</f>
      </c>
      <c r="Q18" s="12">
        <f>IF(P18&gt;0,IF(P18&lt;=eco,alpha*fck*(1-(1-P18/eco)^n),alpha*fck),0)</f>
      </c>
      <c r="R18" s="30">
        <f>PM_Angle!$J$11+PM_Angle!$K$11*$C18+PM_Angle!$L$11*$B18</f>
      </c>
      <c r="S18" s="12">
        <f>IF(R18&gt;0,IF(R18&lt;=eco,alpha*fck*(1-(1-R18/eco)^n),alpha*fck),0)</f>
      </c>
      <c r="T18" s="30">
        <f>PM_Angle!$J$12+PM_Angle!$K$12*$C18+PM_Angle!$L$12*$B18</f>
      </c>
      <c r="U18" s="12">
        <f>IF(T18&gt;0,IF(T18&lt;=eco,alpha*fck*(1-(1-T18/eco)^n),alpha*fck),0)</f>
      </c>
      <c r="V18" s="30">
        <f>PM_Angle!$J$13+PM_Angle!$K$13*$C18+PM_Angle!$L$13*$B18</f>
      </c>
      <c r="W18" s="12">
        <f>IF(V18&gt;0,IF(V18&lt;=eco,alpha*fck*(1-(1-V18/eco)^n),alpha*fck),0)</f>
      </c>
      <c r="X18" s="30">
        <f>PM_Angle!$J$14+PM_Angle!$K$14*$C18+PM_Angle!$L$14*$B18</f>
      </c>
      <c r="Y18" s="12">
        <f>IF(X18&gt;0,IF(X18&lt;=eco,alpha*fck*(1-(1-X18/eco)^n),alpha*fck),0)</f>
      </c>
      <c r="Z18" s="30">
        <f>PM_Angle!$J$15+PM_Angle!$K$15*$C18+PM_Angle!$L$15*$B18</f>
      </c>
      <c r="AA18" s="12">
        <f>IF(Z18&gt;0,IF(Z18&lt;=eco,alpha*fck*(1-(1-Z18/eco)^n),alpha*fck),0)</f>
      </c>
      <c r="AB18" s="30">
        <f>PM_Angle!$J$16+PM_Angle!$K$16*$C18+PM_Angle!$L$16*$B18</f>
      </c>
      <c r="AC18" s="12">
        <f>IF(AB18&gt;0,IF(AB18&lt;=eco,alpha*fck*(1-(1-AB18/eco)^n),alpha*fck),0)</f>
      </c>
      <c r="AD18" s="30">
        <f>PM_Angle!$J$17+PM_Angle!$K$17*$C18+PM_Angle!$L$17*$B18</f>
      </c>
      <c r="AE18" s="12">
        <f>IF(AD18&gt;0,IF(AD18&lt;=eco,alpha*fck*(1-(1-AD18/eco)^n),alpha*fck),0)</f>
      </c>
      <c r="AF18" s="30">
        <f>PM_Angle!$J$18+PM_Angle!$K$18*$C18+PM_Angle!$L$18*$B18</f>
      </c>
      <c r="AG18" s="12">
        <f>IF(AF18&gt;0,IF(AF18&lt;=eco,alpha*fck*(1-(1-AF18/eco)^n),alpha*fck),0)</f>
      </c>
      <c r="AH18" s="30">
        <f>PM_Angle!$J$19+PM_Angle!$K$19*$C18+PM_Angle!$L$19*$B18</f>
      </c>
      <c r="AI18" s="12">
        <f>IF(AH18&gt;0,IF(AH18&lt;=eco,alpha*fck*(1-(1-AH18/eco)^n),alpha*fck),0)</f>
      </c>
      <c r="AJ18" s="30">
        <f>PM_Angle!$J$20+PM_Angle!$K$20*$C18+PM_Angle!$L$20*$B18</f>
      </c>
      <c r="AK18" s="12">
        <f>IF(AJ18&gt;0,IF(AJ18&lt;=eco,alpha*fck*(1-(1-AJ18/eco)^n),alpha*fck),0)</f>
      </c>
      <c r="AL18" s="30">
        <f>PM_Angle!$J$21+PM_Angle!$K$21*$C18+PM_Angle!$L$21*$B18</f>
      </c>
      <c r="AM18" s="12">
        <f>IF(AL18&gt;0,IF(AL18&lt;=eco,alpha*fck*(1-(1-AL18/eco)^n),alpha*fck),0)</f>
      </c>
      <c r="AN18" s="30">
        <f>PM_Angle!$J$22+PM_Angle!$K$22*$C18+PM_Angle!$L$22*$B18</f>
      </c>
      <c r="AO18" s="12">
        <f>IF(AN18&gt;0,IF(AN18&lt;=eco,alpha*fck*(1-(1-AN18/eco)^n),alpha*fck),0)</f>
      </c>
      <c r="AP18" s="30">
        <f>PM_Angle!$J$23+PM_Angle!$K$23*$C18+PM_Angle!$L$23*$B18</f>
      </c>
      <c r="AQ18" s="12">
        <f>IF(AP18&gt;0,IF(AP18&lt;=eco,alpha*fck*(1-(1-AP18/eco)^n),alpha*fck),0)</f>
      </c>
      <c r="AR18" s="30">
        <f>PM_Angle!$J$24+PM_Angle!$K$24*$C18+PM_Angle!$L$24*$B18</f>
      </c>
      <c r="AS18" s="12">
        <f>IF(AR18&gt;0,IF(AR18&lt;=eco,alpha*fck*(1-(1-AR18/eco)^n),alpha*fck),0)</f>
      </c>
      <c r="AT18" s="30">
        <f>PM_Angle!$J$25+PM_Angle!$K$25*$C18+PM_Angle!$L$25*$B18</f>
      </c>
      <c r="AU18" s="12">
        <f>IF(AT18&gt;0,IF(AT18&lt;=eco,alpha*fck*(1-(1-AT18/eco)^n),alpha*fck),0)</f>
      </c>
    </row>
    <row r="19" spans="1:47" x14ac:dyDescent="0.25">
      <c r="A19">
        <f>Mesh!A16</f>
      </c>
      <c r="B19" s="12">
        <f>Mesh!B16</f>
      </c>
      <c r="C19" s="12">
        <f>Mesh!C16</f>
      </c>
      <c r="D19" s="12">
        <f>Mesh!D16</f>
      </c>
      <c r="E19" s="30">
        <f>INDEX(St_e0,Det+1)+INDEX(St_kx,Det+1)*C19+INDEX(St_ky,Det+1)*B19</f>
      </c>
      <c r="F19" s="12">
        <f>IF(E19&gt;0,IF(E19&lt;=eco,alpha*fck*(1-(1-E19/eco)^n),alpha*fck),0)</f>
      </c>
      <c r="G19" s="11">
        <f>F19*D19</f>
      </c>
      <c r="H19" s="11">
        <f>G19*C19</f>
      </c>
      <c r="I19" s="11">
        <f>G19*B19</f>
      </c>
      <c r="J19" s="30">
        <f>PM_Angle!$J$7+PM_Angle!$K$7*$C19+PM_Angle!$L$7*$B19</f>
      </c>
      <c r="K19" s="12">
        <f>IF(J19&gt;0,IF(J19&lt;=eco,alpha*fck*(1-(1-J19/eco)^n),alpha*fck),0)</f>
      </c>
      <c r="L19" s="30">
        <f>PM_Angle!$J$8+PM_Angle!$K$8*$C19+PM_Angle!$L$8*$B19</f>
      </c>
      <c r="M19" s="12">
        <f>IF(L19&gt;0,IF(L19&lt;=eco,alpha*fck*(1-(1-L19/eco)^n),alpha*fck),0)</f>
      </c>
      <c r="N19" s="30">
        <f>PM_Angle!$J$9+PM_Angle!$K$9*$C19+PM_Angle!$L$9*$B19</f>
      </c>
      <c r="O19" s="12">
        <f>IF(N19&gt;0,IF(N19&lt;=eco,alpha*fck*(1-(1-N19/eco)^n),alpha*fck),0)</f>
      </c>
      <c r="P19" s="30">
        <f>PM_Angle!$J$10+PM_Angle!$K$10*$C19+PM_Angle!$L$10*$B19</f>
      </c>
      <c r="Q19" s="12">
        <f>IF(P19&gt;0,IF(P19&lt;=eco,alpha*fck*(1-(1-P19/eco)^n),alpha*fck),0)</f>
      </c>
      <c r="R19" s="30">
        <f>PM_Angle!$J$11+PM_Angle!$K$11*$C19+PM_Angle!$L$11*$B19</f>
      </c>
      <c r="S19" s="12">
        <f>IF(R19&gt;0,IF(R19&lt;=eco,alpha*fck*(1-(1-R19/eco)^n),alpha*fck),0)</f>
      </c>
      <c r="T19" s="30">
        <f>PM_Angle!$J$12+PM_Angle!$K$12*$C19+PM_Angle!$L$12*$B19</f>
      </c>
      <c r="U19" s="12">
        <f>IF(T19&gt;0,IF(T19&lt;=eco,alpha*fck*(1-(1-T19/eco)^n),alpha*fck),0)</f>
      </c>
      <c r="V19" s="30">
        <f>PM_Angle!$J$13+PM_Angle!$K$13*$C19+PM_Angle!$L$13*$B19</f>
      </c>
      <c r="W19" s="12">
        <f>IF(V19&gt;0,IF(V19&lt;=eco,alpha*fck*(1-(1-V19/eco)^n),alpha*fck),0)</f>
      </c>
      <c r="X19" s="30">
        <f>PM_Angle!$J$14+PM_Angle!$K$14*$C19+PM_Angle!$L$14*$B19</f>
      </c>
      <c r="Y19" s="12">
        <f>IF(X19&gt;0,IF(X19&lt;=eco,alpha*fck*(1-(1-X19/eco)^n),alpha*fck),0)</f>
      </c>
      <c r="Z19" s="30">
        <f>PM_Angle!$J$15+PM_Angle!$K$15*$C19+PM_Angle!$L$15*$B19</f>
      </c>
      <c r="AA19" s="12">
        <f>IF(Z19&gt;0,IF(Z19&lt;=eco,alpha*fck*(1-(1-Z19/eco)^n),alpha*fck),0)</f>
      </c>
      <c r="AB19" s="30">
        <f>PM_Angle!$J$16+PM_Angle!$K$16*$C19+PM_Angle!$L$16*$B19</f>
      </c>
      <c r="AC19" s="12">
        <f>IF(AB19&gt;0,IF(AB19&lt;=eco,alpha*fck*(1-(1-AB19/eco)^n),alpha*fck),0)</f>
      </c>
      <c r="AD19" s="30">
        <f>PM_Angle!$J$17+PM_Angle!$K$17*$C19+PM_Angle!$L$17*$B19</f>
      </c>
      <c r="AE19" s="12">
        <f>IF(AD19&gt;0,IF(AD19&lt;=eco,alpha*fck*(1-(1-AD19/eco)^n),alpha*fck),0)</f>
      </c>
      <c r="AF19" s="30">
        <f>PM_Angle!$J$18+PM_Angle!$K$18*$C19+PM_Angle!$L$18*$B19</f>
      </c>
      <c r="AG19" s="12">
        <f>IF(AF19&gt;0,IF(AF19&lt;=eco,alpha*fck*(1-(1-AF19/eco)^n),alpha*fck),0)</f>
      </c>
      <c r="AH19" s="30">
        <f>PM_Angle!$J$19+PM_Angle!$K$19*$C19+PM_Angle!$L$19*$B19</f>
      </c>
      <c r="AI19" s="12">
        <f>IF(AH19&gt;0,IF(AH19&lt;=eco,alpha*fck*(1-(1-AH19/eco)^n),alpha*fck),0)</f>
      </c>
      <c r="AJ19" s="30">
        <f>PM_Angle!$J$20+PM_Angle!$K$20*$C19+PM_Angle!$L$20*$B19</f>
      </c>
      <c r="AK19" s="12">
        <f>IF(AJ19&gt;0,IF(AJ19&lt;=eco,alpha*fck*(1-(1-AJ19/eco)^n),alpha*fck),0)</f>
      </c>
      <c r="AL19" s="30">
        <f>PM_Angle!$J$21+PM_Angle!$K$21*$C19+PM_Angle!$L$21*$B19</f>
      </c>
      <c r="AM19" s="12">
        <f>IF(AL19&gt;0,IF(AL19&lt;=eco,alpha*fck*(1-(1-AL19/eco)^n),alpha*fck),0)</f>
      </c>
      <c r="AN19" s="30">
        <f>PM_Angle!$J$22+PM_Angle!$K$22*$C19+PM_Angle!$L$22*$B19</f>
      </c>
      <c r="AO19" s="12">
        <f>IF(AN19&gt;0,IF(AN19&lt;=eco,alpha*fck*(1-(1-AN19/eco)^n),alpha*fck),0)</f>
      </c>
      <c r="AP19" s="30">
        <f>PM_Angle!$J$23+PM_Angle!$K$23*$C19+PM_Angle!$L$23*$B19</f>
      </c>
      <c r="AQ19" s="12">
        <f>IF(AP19&gt;0,IF(AP19&lt;=eco,alpha*fck*(1-(1-AP19/eco)^n),alpha*fck),0)</f>
      </c>
      <c r="AR19" s="30">
        <f>PM_Angle!$J$24+PM_Angle!$K$24*$C19+PM_Angle!$L$24*$B19</f>
      </c>
      <c r="AS19" s="12">
        <f>IF(AR19&gt;0,IF(AR19&lt;=eco,alpha*fck*(1-(1-AR19/eco)^n),alpha*fck),0)</f>
      </c>
      <c r="AT19" s="30">
        <f>PM_Angle!$J$25+PM_Angle!$K$25*$C19+PM_Angle!$L$25*$B19</f>
      </c>
      <c r="AU19" s="12">
        <f>IF(AT19&gt;0,IF(AT19&lt;=eco,alpha*fck*(1-(1-AT19/eco)^n),alpha*fck),0)</f>
      </c>
    </row>
    <row r="20" spans="1:47" x14ac:dyDescent="0.25">
      <c r="A20">
        <f>Mesh!A17</f>
      </c>
      <c r="B20" s="12">
        <f>Mesh!B17</f>
      </c>
      <c r="C20" s="12">
        <f>Mesh!C17</f>
      </c>
      <c r="D20" s="12">
        <f>Mesh!D17</f>
      </c>
      <c r="E20" s="30">
        <f>INDEX(St_e0,Det+1)+INDEX(St_kx,Det+1)*C20+INDEX(St_ky,Det+1)*B20</f>
      </c>
      <c r="F20" s="12">
        <f>IF(E20&gt;0,IF(E20&lt;=eco,alpha*fck*(1-(1-E20/eco)^n),alpha*fck),0)</f>
      </c>
      <c r="G20" s="11">
        <f>F20*D20</f>
      </c>
      <c r="H20" s="11">
        <f>G20*C20</f>
      </c>
      <c r="I20" s="11">
        <f>G20*B20</f>
      </c>
      <c r="J20" s="30">
        <f>PM_Angle!$J$7+PM_Angle!$K$7*$C20+PM_Angle!$L$7*$B20</f>
      </c>
      <c r="K20" s="12">
        <f>IF(J20&gt;0,IF(J20&lt;=eco,alpha*fck*(1-(1-J20/eco)^n),alpha*fck),0)</f>
      </c>
      <c r="L20" s="30">
        <f>PM_Angle!$J$8+PM_Angle!$K$8*$C20+PM_Angle!$L$8*$B20</f>
      </c>
      <c r="M20" s="12">
        <f>IF(L20&gt;0,IF(L20&lt;=eco,alpha*fck*(1-(1-L20/eco)^n),alpha*fck),0)</f>
      </c>
      <c r="N20" s="30">
        <f>PM_Angle!$J$9+PM_Angle!$K$9*$C20+PM_Angle!$L$9*$B20</f>
      </c>
      <c r="O20" s="12">
        <f>IF(N20&gt;0,IF(N20&lt;=eco,alpha*fck*(1-(1-N20/eco)^n),alpha*fck),0)</f>
      </c>
      <c r="P20" s="30">
        <f>PM_Angle!$J$10+PM_Angle!$K$10*$C20+PM_Angle!$L$10*$B20</f>
      </c>
      <c r="Q20" s="12">
        <f>IF(P20&gt;0,IF(P20&lt;=eco,alpha*fck*(1-(1-P20/eco)^n),alpha*fck),0)</f>
      </c>
      <c r="R20" s="30">
        <f>PM_Angle!$J$11+PM_Angle!$K$11*$C20+PM_Angle!$L$11*$B20</f>
      </c>
      <c r="S20" s="12">
        <f>IF(R20&gt;0,IF(R20&lt;=eco,alpha*fck*(1-(1-R20/eco)^n),alpha*fck),0)</f>
      </c>
      <c r="T20" s="30">
        <f>PM_Angle!$J$12+PM_Angle!$K$12*$C20+PM_Angle!$L$12*$B20</f>
      </c>
      <c r="U20" s="12">
        <f>IF(T20&gt;0,IF(T20&lt;=eco,alpha*fck*(1-(1-T20/eco)^n),alpha*fck),0)</f>
      </c>
      <c r="V20" s="30">
        <f>PM_Angle!$J$13+PM_Angle!$K$13*$C20+PM_Angle!$L$13*$B20</f>
      </c>
      <c r="W20" s="12">
        <f>IF(V20&gt;0,IF(V20&lt;=eco,alpha*fck*(1-(1-V20/eco)^n),alpha*fck),0)</f>
      </c>
      <c r="X20" s="30">
        <f>PM_Angle!$J$14+PM_Angle!$K$14*$C20+PM_Angle!$L$14*$B20</f>
      </c>
      <c r="Y20" s="12">
        <f>IF(X20&gt;0,IF(X20&lt;=eco,alpha*fck*(1-(1-X20/eco)^n),alpha*fck),0)</f>
      </c>
      <c r="Z20" s="30">
        <f>PM_Angle!$J$15+PM_Angle!$K$15*$C20+PM_Angle!$L$15*$B20</f>
      </c>
      <c r="AA20" s="12">
        <f>IF(Z20&gt;0,IF(Z20&lt;=eco,alpha*fck*(1-(1-Z20/eco)^n),alpha*fck),0)</f>
      </c>
      <c r="AB20" s="30">
        <f>PM_Angle!$J$16+PM_Angle!$K$16*$C20+PM_Angle!$L$16*$B20</f>
      </c>
      <c r="AC20" s="12">
        <f>IF(AB20&gt;0,IF(AB20&lt;=eco,alpha*fck*(1-(1-AB20/eco)^n),alpha*fck),0)</f>
      </c>
      <c r="AD20" s="30">
        <f>PM_Angle!$J$17+PM_Angle!$K$17*$C20+PM_Angle!$L$17*$B20</f>
      </c>
      <c r="AE20" s="12">
        <f>IF(AD20&gt;0,IF(AD20&lt;=eco,alpha*fck*(1-(1-AD20/eco)^n),alpha*fck),0)</f>
      </c>
      <c r="AF20" s="30">
        <f>PM_Angle!$J$18+PM_Angle!$K$18*$C20+PM_Angle!$L$18*$B20</f>
      </c>
      <c r="AG20" s="12">
        <f>IF(AF20&gt;0,IF(AF20&lt;=eco,alpha*fck*(1-(1-AF20/eco)^n),alpha*fck),0)</f>
      </c>
      <c r="AH20" s="30">
        <f>PM_Angle!$J$19+PM_Angle!$K$19*$C20+PM_Angle!$L$19*$B20</f>
      </c>
      <c r="AI20" s="12">
        <f>IF(AH20&gt;0,IF(AH20&lt;=eco,alpha*fck*(1-(1-AH20/eco)^n),alpha*fck),0)</f>
      </c>
      <c r="AJ20" s="30">
        <f>PM_Angle!$J$20+PM_Angle!$K$20*$C20+PM_Angle!$L$20*$B20</f>
      </c>
      <c r="AK20" s="12">
        <f>IF(AJ20&gt;0,IF(AJ20&lt;=eco,alpha*fck*(1-(1-AJ20/eco)^n),alpha*fck),0)</f>
      </c>
      <c r="AL20" s="30">
        <f>PM_Angle!$J$21+PM_Angle!$K$21*$C20+PM_Angle!$L$21*$B20</f>
      </c>
      <c r="AM20" s="12">
        <f>IF(AL20&gt;0,IF(AL20&lt;=eco,alpha*fck*(1-(1-AL20/eco)^n),alpha*fck),0)</f>
      </c>
      <c r="AN20" s="30">
        <f>PM_Angle!$J$22+PM_Angle!$K$22*$C20+PM_Angle!$L$22*$B20</f>
      </c>
      <c r="AO20" s="12">
        <f>IF(AN20&gt;0,IF(AN20&lt;=eco,alpha*fck*(1-(1-AN20/eco)^n),alpha*fck),0)</f>
      </c>
      <c r="AP20" s="30">
        <f>PM_Angle!$J$23+PM_Angle!$K$23*$C20+PM_Angle!$L$23*$B20</f>
      </c>
      <c r="AQ20" s="12">
        <f>IF(AP20&gt;0,IF(AP20&lt;=eco,alpha*fck*(1-(1-AP20/eco)^n),alpha*fck),0)</f>
      </c>
      <c r="AR20" s="30">
        <f>PM_Angle!$J$24+PM_Angle!$K$24*$C20+PM_Angle!$L$24*$B20</f>
      </c>
      <c r="AS20" s="12">
        <f>IF(AR20&gt;0,IF(AR20&lt;=eco,alpha*fck*(1-(1-AR20/eco)^n),alpha*fck),0)</f>
      </c>
      <c r="AT20" s="30">
        <f>PM_Angle!$J$25+PM_Angle!$K$25*$C20+PM_Angle!$L$25*$B20</f>
      </c>
      <c r="AU20" s="12">
        <f>IF(AT20&gt;0,IF(AT20&lt;=eco,alpha*fck*(1-(1-AT20/eco)^n),alpha*fck),0)</f>
      </c>
    </row>
    <row r="21" spans="1:47" x14ac:dyDescent="0.25">
      <c r="A21">
        <f>Mesh!A18</f>
      </c>
      <c r="B21" s="12">
        <f>Mesh!B18</f>
      </c>
      <c r="C21" s="12">
        <f>Mesh!C18</f>
      </c>
      <c r="D21" s="12">
        <f>Mesh!D18</f>
      </c>
      <c r="E21" s="30">
        <f>INDEX(St_e0,Det+1)+INDEX(St_kx,Det+1)*C21+INDEX(St_ky,Det+1)*B21</f>
      </c>
      <c r="F21" s="12">
        <f>IF(E21&gt;0,IF(E21&lt;=eco,alpha*fck*(1-(1-E21/eco)^n),alpha*fck),0)</f>
      </c>
      <c r="G21" s="11">
        <f>F21*D21</f>
      </c>
      <c r="H21" s="11">
        <f>G21*C21</f>
      </c>
      <c r="I21" s="11">
        <f>G21*B21</f>
      </c>
      <c r="J21" s="30">
        <f>PM_Angle!$J$7+PM_Angle!$K$7*$C21+PM_Angle!$L$7*$B21</f>
      </c>
      <c r="K21" s="12">
        <f>IF(J21&gt;0,IF(J21&lt;=eco,alpha*fck*(1-(1-J21/eco)^n),alpha*fck),0)</f>
      </c>
      <c r="L21" s="30">
        <f>PM_Angle!$J$8+PM_Angle!$K$8*$C21+PM_Angle!$L$8*$B21</f>
      </c>
      <c r="M21" s="12">
        <f>IF(L21&gt;0,IF(L21&lt;=eco,alpha*fck*(1-(1-L21/eco)^n),alpha*fck),0)</f>
      </c>
      <c r="N21" s="30">
        <f>PM_Angle!$J$9+PM_Angle!$K$9*$C21+PM_Angle!$L$9*$B21</f>
      </c>
      <c r="O21" s="12">
        <f>IF(N21&gt;0,IF(N21&lt;=eco,alpha*fck*(1-(1-N21/eco)^n),alpha*fck),0)</f>
      </c>
      <c r="P21" s="30">
        <f>PM_Angle!$J$10+PM_Angle!$K$10*$C21+PM_Angle!$L$10*$B21</f>
      </c>
      <c r="Q21" s="12">
        <f>IF(P21&gt;0,IF(P21&lt;=eco,alpha*fck*(1-(1-P21/eco)^n),alpha*fck),0)</f>
      </c>
      <c r="R21" s="30">
        <f>PM_Angle!$J$11+PM_Angle!$K$11*$C21+PM_Angle!$L$11*$B21</f>
      </c>
      <c r="S21" s="12">
        <f>IF(R21&gt;0,IF(R21&lt;=eco,alpha*fck*(1-(1-R21/eco)^n),alpha*fck),0)</f>
      </c>
      <c r="T21" s="30">
        <f>PM_Angle!$J$12+PM_Angle!$K$12*$C21+PM_Angle!$L$12*$B21</f>
      </c>
      <c r="U21" s="12">
        <f>IF(T21&gt;0,IF(T21&lt;=eco,alpha*fck*(1-(1-T21/eco)^n),alpha*fck),0)</f>
      </c>
      <c r="V21" s="30">
        <f>PM_Angle!$J$13+PM_Angle!$K$13*$C21+PM_Angle!$L$13*$B21</f>
      </c>
      <c r="W21" s="12">
        <f>IF(V21&gt;0,IF(V21&lt;=eco,alpha*fck*(1-(1-V21/eco)^n),alpha*fck),0)</f>
      </c>
      <c r="X21" s="30">
        <f>PM_Angle!$J$14+PM_Angle!$K$14*$C21+PM_Angle!$L$14*$B21</f>
      </c>
      <c r="Y21" s="12">
        <f>IF(X21&gt;0,IF(X21&lt;=eco,alpha*fck*(1-(1-X21/eco)^n),alpha*fck),0)</f>
      </c>
      <c r="Z21" s="30">
        <f>PM_Angle!$J$15+PM_Angle!$K$15*$C21+PM_Angle!$L$15*$B21</f>
      </c>
      <c r="AA21" s="12">
        <f>IF(Z21&gt;0,IF(Z21&lt;=eco,alpha*fck*(1-(1-Z21/eco)^n),alpha*fck),0)</f>
      </c>
      <c r="AB21" s="30">
        <f>PM_Angle!$J$16+PM_Angle!$K$16*$C21+PM_Angle!$L$16*$B21</f>
      </c>
      <c r="AC21" s="12">
        <f>IF(AB21&gt;0,IF(AB21&lt;=eco,alpha*fck*(1-(1-AB21/eco)^n),alpha*fck),0)</f>
      </c>
      <c r="AD21" s="30">
        <f>PM_Angle!$J$17+PM_Angle!$K$17*$C21+PM_Angle!$L$17*$B21</f>
      </c>
      <c r="AE21" s="12">
        <f>IF(AD21&gt;0,IF(AD21&lt;=eco,alpha*fck*(1-(1-AD21/eco)^n),alpha*fck),0)</f>
      </c>
      <c r="AF21" s="30">
        <f>PM_Angle!$J$18+PM_Angle!$K$18*$C21+PM_Angle!$L$18*$B21</f>
      </c>
      <c r="AG21" s="12">
        <f>IF(AF21&gt;0,IF(AF21&lt;=eco,alpha*fck*(1-(1-AF21/eco)^n),alpha*fck),0)</f>
      </c>
      <c r="AH21" s="30">
        <f>PM_Angle!$J$19+PM_Angle!$K$19*$C21+PM_Angle!$L$19*$B21</f>
      </c>
      <c r="AI21" s="12">
        <f>IF(AH21&gt;0,IF(AH21&lt;=eco,alpha*fck*(1-(1-AH21/eco)^n),alpha*fck),0)</f>
      </c>
      <c r="AJ21" s="30">
        <f>PM_Angle!$J$20+PM_Angle!$K$20*$C21+PM_Angle!$L$20*$B21</f>
      </c>
      <c r="AK21" s="12">
        <f>IF(AJ21&gt;0,IF(AJ21&lt;=eco,alpha*fck*(1-(1-AJ21/eco)^n),alpha*fck),0)</f>
      </c>
      <c r="AL21" s="30">
        <f>PM_Angle!$J$21+PM_Angle!$K$21*$C21+PM_Angle!$L$21*$B21</f>
      </c>
      <c r="AM21" s="12">
        <f>IF(AL21&gt;0,IF(AL21&lt;=eco,alpha*fck*(1-(1-AL21/eco)^n),alpha*fck),0)</f>
      </c>
      <c r="AN21" s="30">
        <f>PM_Angle!$J$22+PM_Angle!$K$22*$C21+PM_Angle!$L$22*$B21</f>
      </c>
      <c r="AO21" s="12">
        <f>IF(AN21&gt;0,IF(AN21&lt;=eco,alpha*fck*(1-(1-AN21/eco)^n),alpha*fck),0)</f>
      </c>
      <c r="AP21" s="30">
        <f>PM_Angle!$J$23+PM_Angle!$K$23*$C21+PM_Angle!$L$23*$B21</f>
      </c>
      <c r="AQ21" s="12">
        <f>IF(AP21&gt;0,IF(AP21&lt;=eco,alpha*fck*(1-(1-AP21/eco)^n),alpha*fck),0)</f>
      </c>
      <c r="AR21" s="30">
        <f>PM_Angle!$J$24+PM_Angle!$K$24*$C21+PM_Angle!$L$24*$B21</f>
      </c>
      <c r="AS21" s="12">
        <f>IF(AR21&gt;0,IF(AR21&lt;=eco,alpha*fck*(1-(1-AR21/eco)^n),alpha*fck),0)</f>
      </c>
      <c r="AT21" s="30">
        <f>PM_Angle!$J$25+PM_Angle!$K$25*$C21+PM_Angle!$L$25*$B21</f>
      </c>
      <c r="AU21" s="12">
        <f>IF(AT21&gt;0,IF(AT21&lt;=eco,alpha*fck*(1-(1-AT21/eco)^n),alpha*fck),0)</f>
      </c>
    </row>
    <row r="22" spans="1:47" x14ac:dyDescent="0.25">
      <c r="A22">
        <f>Mesh!A19</f>
      </c>
      <c r="B22" s="12">
        <f>Mesh!B19</f>
      </c>
      <c r="C22" s="12">
        <f>Mesh!C19</f>
      </c>
      <c r="D22" s="12">
        <f>Mesh!D19</f>
      </c>
      <c r="E22" s="30">
        <f>INDEX(St_e0,Det+1)+INDEX(St_kx,Det+1)*C22+INDEX(St_ky,Det+1)*B22</f>
      </c>
      <c r="F22" s="12">
        <f>IF(E22&gt;0,IF(E22&lt;=eco,alpha*fck*(1-(1-E22/eco)^n),alpha*fck),0)</f>
      </c>
      <c r="G22" s="11">
        <f>F22*D22</f>
      </c>
      <c r="H22" s="11">
        <f>G22*C22</f>
      </c>
      <c r="I22" s="11">
        <f>G22*B22</f>
      </c>
      <c r="J22" s="30">
        <f>PM_Angle!$J$7+PM_Angle!$K$7*$C22+PM_Angle!$L$7*$B22</f>
      </c>
      <c r="K22" s="12">
        <f>IF(J22&gt;0,IF(J22&lt;=eco,alpha*fck*(1-(1-J22/eco)^n),alpha*fck),0)</f>
      </c>
      <c r="L22" s="30">
        <f>PM_Angle!$J$8+PM_Angle!$K$8*$C22+PM_Angle!$L$8*$B22</f>
      </c>
      <c r="M22" s="12">
        <f>IF(L22&gt;0,IF(L22&lt;=eco,alpha*fck*(1-(1-L22/eco)^n),alpha*fck),0)</f>
      </c>
      <c r="N22" s="30">
        <f>PM_Angle!$J$9+PM_Angle!$K$9*$C22+PM_Angle!$L$9*$B22</f>
      </c>
      <c r="O22" s="12">
        <f>IF(N22&gt;0,IF(N22&lt;=eco,alpha*fck*(1-(1-N22/eco)^n),alpha*fck),0)</f>
      </c>
      <c r="P22" s="30">
        <f>PM_Angle!$J$10+PM_Angle!$K$10*$C22+PM_Angle!$L$10*$B22</f>
      </c>
      <c r="Q22" s="12">
        <f>IF(P22&gt;0,IF(P22&lt;=eco,alpha*fck*(1-(1-P22/eco)^n),alpha*fck),0)</f>
      </c>
      <c r="R22" s="30">
        <f>PM_Angle!$J$11+PM_Angle!$K$11*$C22+PM_Angle!$L$11*$B22</f>
      </c>
      <c r="S22" s="12">
        <f>IF(R22&gt;0,IF(R22&lt;=eco,alpha*fck*(1-(1-R22/eco)^n),alpha*fck),0)</f>
      </c>
      <c r="T22" s="30">
        <f>PM_Angle!$J$12+PM_Angle!$K$12*$C22+PM_Angle!$L$12*$B22</f>
      </c>
      <c r="U22" s="12">
        <f>IF(T22&gt;0,IF(T22&lt;=eco,alpha*fck*(1-(1-T22/eco)^n),alpha*fck),0)</f>
      </c>
      <c r="V22" s="30">
        <f>PM_Angle!$J$13+PM_Angle!$K$13*$C22+PM_Angle!$L$13*$B22</f>
      </c>
      <c r="W22" s="12">
        <f>IF(V22&gt;0,IF(V22&lt;=eco,alpha*fck*(1-(1-V22/eco)^n),alpha*fck),0)</f>
      </c>
      <c r="X22" s="30">
        <f>PM_Angle!$J$14+PM_Angle!$K$14*$C22+PM_Angle!$L$14*$B22</f>
      </c>
      <c r="Y22" s="12">
        <f>IF(X22&gt;0,IF(X22&lt;=eco,alpha*fck*(1-(1-X22/eco)^n),alpha*fck),0)</f>
      </c>
      <c r="Z22" s="30">
        <f>PM_Angle!$J$15+PM_Angle!$K$15*$C22+PM_Angle!$L$15*$B22</f>
      </c>
      <c r="AA22" s="12">
        <f>IF(Z22&gt;0,IF(Z22&lt;=eco,alpha*fck*(1-(1-Z22/eco)^n),alpha*fck),0)</f>
      </c>
      <c r="AB22" s="30">
        <f>PM_Angle!$J$16+PM_Angle!$K$16*$C22+PM_Angle!$L$16*$B22</f>
      </c>
      <c r="AC22" s="12">
        <f>IF(AB22&gt;0,IF(AB22&lt;=eco,alpha*fck*(1-(1-AB22/eco)^n),alpha*fck),0)</f>
      </c>
      <c r="AD22" s="30">
        <f>PM_Angle!$J$17+PM_Angle!$K$17*$C22+PM_Angle!$L$17*$B22</f>
      </c>
      <c r="AE22" s="12">
        <f>IF(AD22&gt;0,IF(AD22&lt;=eco,alpha*fck*(1-(1-AD22/eco)^n),alpha*fck),0)</f>
      </c>
      <c r="AF22" s="30">
        <f>PM_Angle!$J$18+PM_Angle!$K$18*$C22+PM_Angle!$L$18*$B22</f>
      </c>
      <c r="AG22" s="12">
        <f>IF(AF22&gt;0,IF(AF22&lt;=eco,alpha*fck*(1-(1-AF22/eco)^n),alpha*fck),0)</f>
      </c>
      <c r="AH22" s="30">
        <f>PM_Angle!$J$19+PM_Angle!$K$19*$C22+PM_Angle!$L$19*$B22</f>
      </c>
      <c r="AI22" s="12">
        <f>IF(AH22&gt;0,IF(AH22&lt;=eco,alpha*fck*(1-(1-AH22/eco)^n),alpha*fck),0)</f>
      </c>
      <c r="AJ22" s="30">
        <f>PM_Angle!$J$20+PM_Angle!$K$20*$C22+PM_Angle!$L$20*$B22</f>
      </c>
      <c r="AK22" s="12">
        <f>IF(AJ22&gt;0,IF(AJ22&lt;=eco,alpha*fck*(1-(1-AJ22/eco)^n),alpha*fck),0)</f>
      </c>
      <c r="AL22" s="30">
        <f>PM_Angle!$J$21+PM_Angle!$K$21*$C22+PM_Angle!$L$21*$B22</f>
      </c>
      <c r="AM22" s="12">
        <f>IF(AL22&gt;0,IF(AL22&lt;=eco,alpha*fck*(1-(1-AL22/eco)^n),alpha*fck),0)</f>
      </c>
      <c r="AN22" s="30">
        <f>PM_Angle!$J$22+PM_Angle!$K$22*$C22+PM_Angle!$L$22*$B22</f>
      </c>
      <c r="AO22" s="12">
        <f>IF(AN22&gt;0,IF(AN22&lt;=eco,alpha*fck*(1-(1-AN22/eco)^n),alpha*fck),0)</f>
      </c>
      <c r="AP22" s="30">
        <f>PM_Angle!$J$23+PM_Angle!$K$23*$C22+PM_Angle!$L$23*$B22</f>
      </c>
      <c r="AQ22" s="12">
        <f>IF(AP22&gt;0,IF(AP22&lt;=eco,alpha*fck*(1-(1-AP22/eco)^n),alpha*fck),0)</f>
      </c>
      <c r="AR22" s="30">
        <f>PM_Angle!$J$24+PM_Angle!$K$24*$C22+PM_Angle!$L$24*$B22</f>
      </c>
      <c r="AS22" s="12">
        <f>IF(AR22&gt;0,IF(AR22&lt;=eco,alpha*fck*(1-(1-AR22/eco)^n),alpha*fck),0)</f>
      </c>
      <c r="AT22" s="30">
        <f>PM_Angle!$J$25+PM_Angle!$K$25*$C22+PM_Angle!$L$25*$B22</f>
      </c>
      <c r="AU22" s="12">
        <f>IF(AT22&gt;0,IF(AT22&lt;=eco,alpha*fck*(1-(1-AT22/eco)^n),alpha*fck),0)</f>
      </c>
    </row>
    <row r="23" spans="1:47" x14ac:dyDescent="0.25">
      <c r="A23">
        <f>Mesh!A20</f>
      </c>
      <c r="B23" s="12">
        <f>Mesh!B20</f>
      </c>
      <c r="C23" s="12">
        <f>Mesh!C20</f>
      </c>
      <c r="D23" s="12">
        <f>Mesh!D20</f>
      </c>
      <c r="E23" s="30">
        <f>INDEX(St_e0,Det+1)+INDEX(St_kx,Det+1)*C23+INDEX(St_ky,Det+1)*B23</f>
      </c>
      <c r="F23" s="12">
        <f>IF(E23&gt;0,IF(E23&lt;=eco,alpha*fck*(1-(1-E23/eco)^n),alpha*fck),0)</f>
      </c>
      <c r="G23" s="11">
        <f>F23*D23</f>
      </c>
      <c r="H23" s="11">
        <f>G23*C23</f>
      </c>
      <c r="I23" s="11">
        <f>G23*B23</f>
      </c>
      <c r="J23" s="30">
        <f>PM_Angle!$J$7+PM_Angle!$K$7*$C23+PM_Angle!$L$7*$B23</f>
      </c>
      <c r="K23" s="12">
        <f>IF(J23&gt;0,IF(J23&lt;=eco,alpha*fck*(1-(1-J23/eco)^n),alpha*fck),0)</f>
      </c>
      <c r="L23" s="30">
        <f>PM_Angle!$J$8+PM_Angle!$K$8*$C23+PM_Angle!$L$8*$B23</f>
      </c>
      <c r="M23" s="12">
        <f>IF(L23&gt;0,IF(L23&lt;=eco,alpha*fck*(1-(1-L23/eco)^n),alpha*fck),0)</f>
      </c>
      <c r="N23" s="30">
        <f>PM_Angle!$J$9+PM_Angle!$K$9*$C23+PM_Angle!$L$9*$B23</f>
      </c>
      <c r="O23" s="12">
        <f>IF(N23&gt;0,IF(N23&lt;=eco,alpha*fck*(1-(1-N23/eco)^n),alpha*fck),0)</f>
      </c>
      <c r="P23" s="30">
        <f>PM_Angle!$J$10+PM_Angle!$K$10*$C23+PM_Angle!$L$10*$B23</f>
      </c>
      <c r="Q23" s="12">
        <f>IF(P23&gt;0,IF(P23&lt;=eco,alpha*fck*(1-(1-P23/eco)^n),alpha*fck),0)</f>
      </c>
      <c r="R23" s="30">
        <f>PM_Angle!$J$11+PM_Angle!$K$11*$C23+PM_Angle!$L$11*$B23</f>
      </c>
      <c r="S23" s="12">
        <f>IF(R23&gt;0,IF(R23&lt;=eco,alpha*fck*(1-(1-R23/eco)^n),alpha*fck),0)</f>
      </c>
      <c r="T23" s="30">
        <f>PM_Angle!$J$12+PM_Angle!$K$12*$C23+PM_Angle!$L$12*$B23</f>
      </c>
      <c r="U23" s="12">
        <f>IF(T23&gt;0,IF(T23&lt;=eco,alpha*fck*(1-(1-T23/eco)^n),alpha*fck),0)</f>
      </c>
      <c r="V23" s="30">
        <f>PM_Angle!$J$13+PM_Angle!$K$13*$C23+PM_Angle!$L$13*$B23</f>
      </c>
      <c r="W23" s="12">
        <f>IF(V23&gt;0,IF(V23&lt;=eco,alpha*fck*(1-(1-V23/eco)^n),alpha*fck),0)</f>
      </c>
      <c r="X23" s="30">
        <f>PM_Angle!$J$14+PM_Angle!$K$14*$C23+PM_Angle!$L$14*$B23</f>
      </c>
      <c r="Y23" s="12">
        <f>IF(X23&gt;0,IF(X23&lt;=eco,alpha*fck*(1-(1-X23/eco)^n),alpha*fck),0)</f>
      </c>
      <c r="Z23" s="30">
        <f>PM_Angle!$J$15+PM_Angle!$K$15*$C23+PM_Angle!$L$15*$B23</f>
      </c>
      <c r="AA23" s="12">
        <f>IF(Z23&gt;0,IF(Z23&lt;=eco,alpha*fck*(1-(1-Z23/eco)^n),alpha*fck),0)</f>
      </c>
      <c r="AB23" s="30">
        <f>PM_Angle!$J$16+PM_Angle!$K$16*$C23+PM_Angle!$L$16*$B23</f>
      </c>
      <c r="AC23" s="12">
        <f>IF(AB23&gt;0,IF(AB23&lt;=eco,alpha*fck*(1-(1-AB23/eco)^n),alpha*fck),0)</f>
      </c>
      <c r="AD23" s="30">
        <f>PM_Angle!$J$17+PM_Angle!$K$17*$C23+PM_Angle!$L$17*$B23</f>
      </c>
      <c r="AE23" s="12">
        <f>IF(AD23&gt;0,IF(AD23&lt;=eco,alpha*fck*(1-(1-AD23/eco)^n),alpha*fck),0)</f>
      </c>
      <c r="AF23" s="30">
        <f>PM_Angle!$J$18+PM_Angle!$K$18*$C23+PM_Angle!$L$18*$B23</f>
      </c>
      <c r="AG23" s="12">
        <f>IF(AF23&gt;0,IF(AF23&lt;=eco,alpha*fck*(1-(1-AF23/eco)^n),alpha*fck),0)</f>
      </c>
      <c r="AH23" s="30">
        <f>PM_Angle!$J$19+PM_Angle!$K$19*$C23+PM_Angle!$L$19*$B23</f>
      </c>
      <c r="AI23" s="12">
        <f>IF(AH23&gt;0,IF(AH23&lt;=eco,alpha*fck*(1-(1-AH23/eco)^n),alpha*fck),0)</f>
      </c>
      <c r="AJ23" s="30">
        <f>PM_Angle!$J$20+PM_Angle!$K$20*$C23+PM_Angle!$L$20*$B23</f>
      </c>
      <c r="AK23" s="12">
        <f>IF(AJ23&gt;0,IF(AJ23&lt;=eco,alpha*fck*(1-(1-AJ23/eco)^n),alpha*fck),0)</f>
      </c>
      <c r="AL23" s="30">
        <f>PM_Angle!$J$21+PM_Angle!$K$21*$C23+PM_Angle!$L$21*$B23</f>
      </c>
      <c r="AM23" s="12">
        <f>IF(AL23&gt;0,IF(AL23&lt;=eco,alpha*fck*(1-(1-AL23/eco)^n),alpha*fck),0)</f>
      </c>
      <c r="AN23" s="30">
        <f>PM_Angle!$J$22+PM_Angle!$K$22*$C23+PM_Angle!$L$22*$B23</f>
      </c>
      <c r="AO23" s="12">
        <f>IF(AN23&gt;0,IF(AN23&lt;=eco,alpha*fck*(1-(1-AN23/eco)^n),alpha*fck),0)</f>
      </c>
      <c r="AP23" s="30">
        <f>PM_Angle!$J$23+PM_Angle!$K$23*$C23+PM_Angle!$L$23*$B23</f>
      </c>
      <c r="AQ23" s="12">
        <f>IF(AP23&gt;0,IF(AP23&lt;=eco,alpha*fck*(1-(1-AP23/eco)^n),alpha*fck),0)</f>
      </c>
      <c r="AR23" s="30">
        <f>PM_Angle!$J$24+PM_Angle!$K$24*$C23+PM_Angle!$L$24*$B23</f>
      </c>
      <c r="AS23" s="12">
        <f>IF(AR23&gt;0,IF(AR23&lt;=eco,alpha*fck*(1-(1-AR23/eco)^n),alpha*fck),0)</f>
      </c>
      <c r="AT23" s="30">
        <f>PM_Angle!$J$25+PM_Angle!$K$25*$C23+PM_Angle!$L$25*$B23</f>
      </c>
      <c r="AU23" s="12">
        <f>IF(AT23&gt;0,IF(AT23&lt;=eco,alpha*fck*(1-(1-AT23/eco)^n),alpha*fck),0)</f>
      </c>
    </row>
    <row r="24" spans="1:47" x14ac:dyDescent="0.25">
      <c r="A24">
        <f>Mesh!A21</f>
      </c>
      <c r="B24" s="12">
        <f>Mesh!B21</f>
      </c>
      <c r="C24" s="12">
        <f>Mesh!C21</f>
      </c>
      <c r="D24" s="12">
        <f>Mesh!D21</f>
      </c>
      <c r="E24" s="30">
        <f>INDEX(St_e0,Det+1)+INDEX(St_kx,Det+1)*C24+INDEX(St_ky,Det+1)*B24</f>
      </c>
      <c r="F24" s="12">
        <f>IF(E24&gt;0,IF(E24&lt;=eco,alpha*fck*(1-(1-E24/eco)^n),alpha*fck),0)</f>
      </c>
      <c r="G24" s="11">
        <f>F24*D24</f>
      </c>
      <c r="H24" s="11">
        <f>G24*C24</f>
      </c>
      <c r="I24" s="11">
        <f>G24*B24</f>
      </c>
      <c r="J24" s="30">
        <f>PM_Angle!$J$7+PM_Angle!$K$7*$C24+PM_Angle!$L$7*$B24</f>
      </c>
      <c r="K24" s="12">
        <f>IF(J24&gt;0,IF(J24&lt;=eco,alpha*fck*(1-(1-J24/eco)^n),alpha*fck),0)</f>
      </c>
      <c r="L24" s="30">
        <f>PM_Angle!$J$8+PM_Angle!$K$8*$C24+PM_Angle!$L$8*$B24</f>
      </c>
      <c r="M24" s="12">
        <f>IF(L24&gt;0,IF(L24&lt;=eco,alpha*fck*(1-(1-L24/eco)^n),alpha*fck),0)</f>
      </c>
      <c r="N24" s="30">
        <f>PM_Angle!$J$9+PM_Angle!$K$9*$C24+PM_Angle!$L$9*$B24</f>
      </c>
      <c r="O24" s="12">
        <f>IF(N24&gt;0,IF(N24&lt;=eco,alpha*fck*(1-(1-N24/eco)^n),alpha*fck),0)</f>
      </c>
      <c r="P24" s="30">
        <f>PM_Angle!$J$10+PM_Angle!$K$10*$C24+PM_Angle!$L$10*$B24</f>
      </c>
      <c r="Q24" s="12">
        <f>IF(P24&gt;0,IF(P24&lt;=eco,alpha*fck*(1-(1-P24/eco)^n),alpha*fck),0)</f>
      </c>
      <c r="R24" s="30">
        <f>PM_Angle!$J$11+PM_Angle!$K$11*$C24+PM_Angle!$L$11*$B24</f>
      </c>
      <c r="S24" s="12">
        <f>IF(R24&gt;0,IF(R24&lt;=eco,alpha*fck*(1-(1-R24/eco)^n),alpha*fck),0)</f>
      </c>
      <c r="T24" s="30">
        <f>PM_Angle!$J$12+PM_Angle!$K$12*$C24+PM_Angle!$L$12*$B24</f>
      </c>
      <c r="U24" s="12">
        <f>IF(T24&gt;0,IF(T24&lt;=eco,alpha*fck*(1-(1-T24/eco)^n),alpha*fck),0)</f>
      </c>
      <c r="V24" s="30">
        <f>PM_Angle!$J$13+PM_Angle!$K$13*$C24+PM_Angle!$L$13*$B24</f>
      </c>
      <c r="W24" s="12">
        <f>IF(V24&gt;0,IF(V24&lt;=eco,alpha*fck*(1-(1-V24/eco)^n),alpha*fck),0)</f>
      </c>
      <c r="X24" s="30">
        <f>PM_Angle!$J$14+PM_Angle!$K$14*$C24+PM_Angle!$L$14*$B24</f>
      </c>
      <c r="Y24" s="12">
        <f>IF(X24&gt;0,IF(X24&lt;=eco,alpha*fck*(1-(1-X24/eco)^n),alpha*fck),0)</f>
      </c>
      <c r="Z24" s="30">
        <f>PM_Angle!$J$15+PM_Angle!$K$15*$C24+PM_Angle!$L$15*$B24</f>
      </c>
      <c r="AA24" s="12">
        <f>IF(Z24&gt;0,IF(Z24&lt;=eco,alpha*fck*(1-(1-Z24/eco)^n),alpha*fck),0)</f>
      </c>
      <c r="AB24" s="30">
        <f>PM_Angle!$J$16+PM_Angle!$K$16*$C24+PM_Angle!$L$16*$B24</f>
      </c>
      <c r="AC24" s="12">
        <f>IF(AB24&gt;0,IF(AB24&lt;=eco,alpha*fck*(1-(1-AB24/eco)^n),alpha*fck),0)</f>
      </c>
      <c r="AD24" s="30">
        <f>PM_Angle!$J$17+PM_Angle!$K$17*$C24+PM_Angle!$L$17*$B24</f>
      </c>
      <c r="AE24" s="12">
        <f>IF(AD24&gt;0,IF(AD24&lt;=eco,alpha*fck*(1-(1-AD24/eco)^n),alpha*fck),0)</f>
      </c>
      <c r="AF24" s="30">
        <f>PM_Angle!$J$18+PM_Angle!$K$18*$C24+PM_Angle!$L$18*$B24</f>
      </c>
      <c r="AG24" s="12">
        <f>IF(AF24&gt;0,IF(AF24&lt;=eco,alpha*fck*(1-(1-AF24/eco)^n),alpha*fck),0)</f>
      </c>
      <c r="AH24" s="30">
        <f>PM_Angle!$J$19+PM_Angle!$K$19*$C24+PM_Angle!$L$19*$B24</f>
      </c>
      <c r="AI24" s="12">
        <f>IF(AH24&gt;0,IF(AH24&lt;=eco,alpha*fck*(1-(1-AH24/eco)^n),alpha*fck),0)</f>
      </c>
      <c r="AJ24" s="30">
        <f>PM_Angle!$J$20+PM_Angle!$K$20*$C24+PM_Angle!$L$20*$B24</f>
      </c>
      <c r="AK24" s="12">
        <f>IF(AJ24&gt;0,IF(AJ24&lt;=eco,alpha*fck*(1-(1-AJ24/eco)^n),alpha*fck),0)</f>
      </c>
      <c r="AL24" s="30">
        <f>PM_Angle!$J$21+PM_Angle!$K$21*$C24+PM_Angle!$L$21*$B24</f>
      </c>
      <c r="AM24" s="12">
        <f>IF(AL24&gt;0,IF(AL24&lt;=eco,alpha*fck*(1-(1-AL24/eco)^n),alpha*fck),0)</f>
      </c>
      <c r="AN24" s="30">
        <f>PM_Angle!$J$22+PM_Angle!$K$22*$C24+PM_Angle!$L$22*$B24</f>
      </c>
      <c r="AO24" s="12">
        <f>IF(AN24&gt;0,IF(AN24&lt;=eco,alpha*fck*(1-(1-AN24/eco)^n),alpha*fck),0)</f>
      </c>
      <c r="AP24" s="30">
        <f>PM_Angle!$J$23+PM_Angle!$K$23*$C24+PM_Angle!$L$23*$B24</f>
      </c>
      <c r="AQ24" s="12">
        <f>IF(AP24&gt;0,IF(AP24&lt;=eco,alpha*fck*(1-(1-AP24/eco)^n),alpha*fck),0)</f>
      </c>
      <c r="AR24" s="30">
        <f>PM_Angle!$J$24+PM_Angle!$K$24*$C24+PM_Angle!$L$24*$B24</f>
      </c>
      <c r="AS24" s="12">
        <f>IF(AR24&gt;0,IF(AR24&lt;=eco,alpha*fck*(1-(1-AR24/eco)^n),alpha*fck),0)</f>
      </c>
      <c r="AT24" s="30">
        <f>PM_Angle!$J$25+PM_Angle!$K$25*$C24+PM_Angle!$L$25*$B24</f>
      </c>
      <c r="AU24" s="12">
        <f>IF(AT24&gt;0,IF(AT24&lt;=eco,alpha*fck*(1-(1-AT24/eco)^n),alpha*fck),0)</f>
      </c>
    </row>
    <row r="25" spans="1:47" x14ac:dyDescent="0.25">
      <c r="A25">
        <f>Mesh!A22</f>
      </c>
      <c r="B25" s="12">
        <f>Mesh!B22</f>
      </c>
      <c r="C25" s="12">
        <f>Mesh!C22</f>
      </c>
      <c r="D25" s="12">
        <f>Mesh!D22</f>
      </c>
      <c r="E25" s="30">
        <f>INDEX(St_e0,Det+1)+INDEX(St_kx,Det+1)*C25+INDEX(St_ky,Det+1)*B25</f>
      </c>
      <c r="F25" s="12">
        <f>IF(E25&gt;0,IF(E25&lt;=eco,alpha*fck*(1-(1-E25/eco)^n),alpha*fck),0)</f>
      </c>
      <c r="G25" s="11">
        <f>F25*D25</f>
      </c>
      <c r="H25" s="11">
        <f>G25*C25</f>
      </c>
      <c r="I25" s="11">
        <f>G25*B25</f>
      </c>
      <c r="J25" s="30">
        <f>PM_Angle!$J$7+PM_Angle!$K$7*$C25+PM_Angle!$L$7*$B25</f>
      </c>
      <c r="K25" s="12">
        <f>IF(J25&gt;0,IF(J25&lt;=eco,alpha*fck*(1-(1-J25/eco)^n),alpha*fck),0)</f>
      </c>
      <c r="L25" s="30">
        <f>PM_Angle!$J$8+PM_Angle!$K$8*$C25+PM_Angle!$L$8*$B25</f>
      </c>
      <c r="M25" s="12">
        <f>IF(L25&gt;0,IF(L25&lt;=eco,alpha*fck*(1-(1-L25/eco)^n),alpha*fck),0)</f>
      </c>
      <c r="N25" s="30">
        <f>PM_Angle!$J$9+PM_Angle!$K$9*$C25+PM_Angle!$L$9*$B25</f>
      </c>
      <c r="O25" s="12">
        <f>IF(N25&gt;0,IF(N25&lt;=eco,alpha*fck*(1-(1-N25/eco)^n),alpha*fck),0)</f>
      </c>
      <c r="P25" s="30">
        <f>PM_Angle!$J$10+PM_Angle!$K$10*$C25+PM_Angle!$L$10*$B25</f>
      </c>
      <c r="Q25" s="12">
        <f>IF(P25&gt;0,IF(P25&lt;=eco,alpha*fck*(1-(1-P25/eco)^n),alpha*fck),0)</f>
      </c>
      <c r="R25" s="30">
        <f>PM_Angle!$J$11+PM_Angle!$K$11*$C25+PM_Angle!$L$11*$B25</f>
      </c>
      <c r="S25" s="12">
        <f>IF(R25&gt;0,IF(R25&lt;=eco,alpha*fck*(1-(1-R25/eco)^n),alpha*fck),0)</f>
      </c>
      <c r="T25" s="30">
        <f>PM_Angle!$J$12+PM_Angle!$K$12*$C25+PM_Angle!$L$12*$B25</f>
      </c>
      <c r="U25" s="12">
        <f>IF(T25&gt;0,IF(T25&lt;=eco,alpha*fck*(1-(1-T25/eco)^n),alpha*fck),0)</f>
      </c>
      <c r="V25" s="30">
        <f>PM_Angle!$J$13+PM_Angle!$K$13*$C25+PM_Angle!$L$13*$B25</f>
      </c>
      <c r="W25" s="12">
        <f>IF(V25&gt;0,IF(V25&lt;=eco,alpha*fck*(1-(1-V25/eco)^n),alpha*fck),0)</f>
      </c>
      <c r="X25" s="30">
        <f>PM_Angle!$J$14+PM_Angle!$K$14*$C25+PM_Angle!$L$14*$B25</f>
      </c>
      <c r="Y25" s="12">
        <f>IF(X25&gt;0,IF(X25&lt;=eco,alpha*fck*(1-(1-X25/eco)^n),alpha*fck),0)</f>
      </c>
      <c r="Z25" s="30">
        <f>PM_Angle!$J$15+PM_Angle!$K$15*$C25+PM_Angle!$L$15*$B25</f>
      </c>
      <c r="AA25" s="12">
        <f>IF(Z25&gt;0,IF(Z25&lt;=eco,alpha*fck*(1-(1-Z25/eco)^n),alpha*fck),0)</f>
      </c>
      <c r="AB25" s="30">
        <f>PM_Angle!$J$16+PM_Angle!$K$16*$C25+PM_Angle!$L$16*$B25</f>
      </c>
      <c r="AC25" s="12">
        <f>IF(AB25&gt;0,IF(AB25&lt;=eco,alpha*fck*(1-(1-AB25/eco)^n),alpha*fck),0)</f>
      </c>
      <c r="AD25" s="30">
        <f>PM_Angle!$J$17+PM_Angle!$K$17*$C25+PM_Angle!$L$17*$B25</f>
      </c>
      <c r="AE25" s="12">
        <f>IF(AD25&gt;0,IF(AD25&lt;=eco,alpha*fck*(1-(1-AD25/eco)^n),alpha*fck),0)</f>
      </c>
      <c r="AF25" s="30">
        <f>PM_Angle!$J$18+PM_Angle!$K$18*$C25+PM_Angle!$L$18*$B25</f>
      </c>
      <c r="AG25" s="12">
        <f>IF(AF25&gt;0,IF(AF25&lt;=eco,alpha*fck*(1-(1-AF25/eco)^n),alpha*fck),0)</f>
      </c>
      <c r="AH25" s="30">
        <f>PM_Angle!$J$19+PM_Angle!$K$19*$C25+PM_Angle!$L$19*$B25</f>
      </c>
      <c r="AI25" s="12">
        <f>IF(AH25&gt;0,IF(AH25&lt;=eco,alpha*fck*(1-(1-AH25/eco)^n),alpha*fck),0)</f>
      </c>
      <c r="AJ25" s="30">
        <f>PM_Angle!$J$20+PM_Angle!$K$20*$C25+PM_Angle!$L$20*$B25</f>
      </c>
      <c r="AK25" s="12">
        <f>IF(AJ25&gt;0,IF(AJ25&lt;=eco,alpha*fck*(1-(1-AJ25/eco)^n),alpha*fck),0)</f>
      </c>
      <c r="AL25" s="30">
        <f>PM_Angle!$J$21+PM_Angle!$K$21*$C25+PM_Angle!$L$21*$B25</f>
      </c>
      <c r="AM25" s="12">
        <f>IF(AL25&gt;0,IF(AL25&lt;=eco,alpha*fck*(1-(1-AL25/eco)^n),alpha*fck),0)</f>
      </c>
      <c r="AN25" s="30">
        <f>PM_Angle!$J$22+PM_Angle!$K$22*$C25+PM_Angle!$L$22*$B25</f>
      </c>
      <c r="AO25" s="12">
        <f>IF(AN25&gt;0,IF(AN25&lt;=eco,alpha*fck*(1-(1-AN25/eco)^n),alpha*fck),0)</f>
      </c>
      <c r="AP25" s="30">
        <f>PM_Angle!$J$23+PM_Angle!$K$23*$C25+PM_Angle!$L$23*$B25</f>
      </c>
      <c r="AQ25" s="12">
        <f>IF(AP25&gt;0,IF(AP25&lt;=eco,alpha*fck*(1-(1-AP25/eco)^n),alpha*fck),0)</f>
      </c>
      <c r="AR25" s="30">
        <f>PM_Angle!$J$24+PM_Angle!$K$24*$C25+PM_Angle!$L$24*$B25</f>
      </c>
      <c r="AS25" s="12">
        <f>IF(AR25&gt;0,IF(AR25&lt;=eco,alpha*fck*(1-(1-AR25/eco)^n),alpha*fck),0)</f>
      </c>
      <c r="AT25" s="30">
        <f>PM_Angle!$J$25+PM_Angle!$K$25*$C25+PM_Angle!$L$25*$B25</f>
      </c>
      <c r="AU25" s="12">
        <f>IF(AT25&gt;0,IF(AT25&lt;=eco,alpha*fck*(1-(1-AT25/eco)^n),alpha*fck),0)</f>
      </c>
    </row>
    <row r="26" spans="1:47" x14ac:dyDescent="0.25">
      <c r="A26">
        <f>Mesh!A23</f>
      </c>
      <c r="B26" s="12">
        <f>Mesh!B23</f>
      </c>
      <c r="C26" s="12">
        <f>Mesh!C23</f>
      </c>
      <c r="D26" s="12">
        <f>Mesh!D23</f>
      </c>
      <c r="E26" s="30">
        <f>INDEX(St_e0,Det+1)+INDEX(St_kx,Det+1)*C26+INDEX(St_ky,Det+1)*B26</f>
      </c>
      <c r="F26" s="12">
        <f>IF(E26&gt;0,IF(E26&lt;=eco,alpha*fck*(1-(1-E26/eco)^n),alpha*fck),0)</f>
      </c>
      <c r="G26" s="11">
        <f>F26*D26</f>
      </c>
      <c r="H26" s="11">
        <f>G26*C26</f>
      </c>
      <c r="I26" s="11">
        <f>G26*B26</f>
      </c>
      <c r="J26" s="30">
        <f>PM_Angle!$J$7+PM_Angle!$K$7*$C26+PM_Angle!$L$7*$B26</f>
      </c>
      <c r="K26" s="12">
        <f>IF(J26&gt;0,IF(J26&lt;=eco,alpha*fck*(1-(1-J26/eco)^n),alpha*fck),0)</f>
      </c>
      <c r="L26" s="30">
        <f>PM_Angle!$J$8+PM_Angle!$K$8*$C26+PM_Angle!$L$8*$B26</f>
      </c>
      <c r="M26" s="12">
        <f>IF(L26&gt;0,IF(L26&lt;=eco,alpha*fck*(1-(1-L26/eco)^n),alpha*fck),0)</f>
      </c>
      <c r="N26" s="30">
        <f>PM_Angle!$J$9+PM_Angle!$K$9*$C26+PM_Angle!$L$9*$B26</f>
      </c>
      <c r="O26" s="12">
        <f>IF(N26&gt;0,IF(N26&lt;=eco,alpha*fck*(1-(1-N26/eco)^n),alpha*fck),0)</f>
      </c>
      <c r="P26" s="30">
        <f>PM_Angle!$J$10+PM_Angle!$K$10*$C26+PM_Angle!$L$10*$B26</f>
      </c>
      <c r="Q26" s="12">
        <f>IF(P26&gt;0,IF(P26&lt;=eco,alpha*fck*(1-(1-P26/eco)^n),alpha*fck),0)</f>
      </c>
      <c r="R26" s="30">
        <f>PM_Angle!$J$11+PM_Angle!$K$11*$C26+PM_Angle!$L$11*$B26</f>
      </c>
      <c r="S26" s="12">
        <f>IF(R26&gt;0,IF(R26&lt;=eco,alpha*fck*(1-(1-R26/eco)^n),alpha*fck),0)</f>
      </c>
      <c r="T26" s="30">
        <f>PM_Angle!$J$12+PM_Angle!$K$12*$C26+PM_Angle!$L$12*$B26</f>
      </c>
      <c r="U26" s="12">
        <f>IF(T26&gt;0,IF(T26&lt;=eco,alpha*fck*(1-(1-T26/eco)^n),alpha*fck),0)</f>
      </c>
      <c r="V26" s="30">
        <f>PM_Angle!$J$13+PM_Angle!$K$13*$C26+PM_Angle!$L$13*$B26</f>
      </c>
      <c r="W26" s="12">
        <f>IF(V26&gt;0,IF(V26&lt;=eco,alpha*fck*(1-(1-V26/eco)^n),alpha*fck),0)</f>
      </c>
      <c r="X26" s="30">
        <f>PM_Angle!$J$14+PM_Angle!$K$14*$C26+PM_Angle!$L$14*$B26</f>
      </c>
      <c r="Y26" s="12">
        <f>IF(X26&gt;0,IF(X26&lt;=eco,alpha*fck*(1-(1-X26/eco)^n),alpha*fck),0)</f>
      </c>
      <c r="Z26" s="30">
        <f>PM_Angle!$J$15+PM_Angle!$K$15*$C26+PM_Angle!$L$15*$B26</f>
      </c>
      <c r="AA26" s="12">
        <f>IF(Z26&gt;0,IF(Z26&lt;=eco,alpha*fck*(1-(1-Z26/eco)^n),alpha*fck),0)</f>
      </c>
      <c r="AB26" s="30">
        <f>PM_Angle!$J$16+PM_Angle!$K$16*$C26+PM_Angle!$L$16*$B26</f>
      </c>
      <c r="AC26" s="12">
        <f>IF(AB26&gt;0,IF(AB26&lt;=eco,alpha*fck*(1-(1-AB26/eco)^n),alpha*fck),0)</f>
      </c>
      <c r="AD26" s="30">
        <f>PM_Angle!$J$17+PM_Angle!$K$17*$C26+PM_Angle!$L$17*$B26</f>
      </c>
      <c r="AE26" s="12">
        <f>IF(AD26&gt;0,IF(AD26&lt;=eco,alpha*fck*(1-(1-AD26/eco)^n),alpha*fck),0)</f>
      </c>
      <c r="AF26" s="30">
        <f>PM_Angle!$J$18+PM_Angle!$K$18*$C26+PM_Angle!$L$18*$B26</f>
      </c>
      <c r="AG26" s="12">
        <f>IF(AF26&gt;0,IF(AF26&lt;=eco,alpha*fck*(1-(1-AF26/eco)^n),alpha*fck),0)</f>
      </c>
      <c r="AH26" s="30">
        <f>PM_Angle!$J$19+PM_Angle!$K$19*$C26+PM_Angle!$L$19*$B26</f>
      </c>
      <c r="AI26" s="12">
        <f>IF(AH26&gt;0,IF(AH26&lt;=eco,alpha*fck*(1-(1-AH26/eco)^n),alpha*fck),0)</f>
      </c>
      <c r="AJ26" s="30">
        <f>PM_Angle!$J$20+PM_Angle!$K$20*$C26+PM_Angle!$L$20*$B26</f>
      </c>
      <c r="AK26" s="12">
        <f>IF(AJ26&gt;0,IF(AJ26&lt;=eco,alpha*fck*(1-(1-AJ26/eco)^n),alpha*fck),0)</f>
      </c>
      <c r="AL26" s="30">
        <f>PM_Angle!$J$21+PM_Angle!$K$21*$C26+PM_Angle!$L$21*$B26</f>
      </c>
      <c r="AM26" s="12">
        <f>IF(AL26&gt;0,IF(AL26&lt;=eco,alpha*fck*(1-(1-AL26/eco)^n),alpha*fck),0)</f>
      </c>
      <c r="AN26" s="30">
        <f>PM_Angle!$J$22+PM_Angle!$K$22*$C26+PM_Angle!$L$22*$B26</f>
      </c>
      <c r="AO26" s="12">
        <f>IF(AN26&gt;0,IF(AN26&lt;=eco,alpha*fck*(1-(1-AN26/eco)^n),alpha*fck),0)</f>
      </c>
      <c r="AP26" s="30">
        <f>PM_Angle!$J$23+PM_Angle!$K$23*$C26+PM_Angle!$L$23*$B26</f>
      </c>
      <c r="AQ26" s="12">
        <f>IF(AP26&gt;0,IF(AP26&lt;=eco,alpha*fck*(1-(1-AP26/eco)^n),alpha*fck),0)</f>
      </c>
      <c r="AR26" s="30">
        <f>PM_Angle!$J$24+PM_Angle!$K$24*$C26+PM_Angle!$L$24*$B26</f>
      </c>
      <c r="AS26" s="12">
        <f>IF(AR26&gt;0,IF(AR26&lt;=eco,alpha*fck*(1-(1-AR26/eco)^n),alpha*fck),0)</f>
      </c>
      <c r="AT26" s="30">
        <f>PM_Angle!$J$25+PM_Angle!$K$25*$C26+PM_Angle!$L$25*$B26</f>
      </c>
      <c r="AU26" s="12">
        <f>IF(AT26&gt;0,IF(AT26&lt;=eco,alpha*fck*(1-(1-AT26/eco)^n),alpha*fck),0)</f>
      </c>
    </row>
    <row r="27" spans="1:47" x14ac:dyDescent="0.25">
      <c r="A27">
        <f>Mesh!A24</f>
      </c>
      <c r="B27" s="12">
        <f>Mesh!B24</f>
      </c>
      <c r="C27" s="12">
        <f>Mesh!C24</f>
      </c>
      <c r="D27" s="12">
        <f>Mesh!D24</f>
      </c>
      <c r="E27" s="30">
        <f>INDEX(St_e0,Det+1)+INDEX(St_kx,Det+1)*C27+INDEX(St_ky,Det+1)*B27</f>
      </c>
      <c r="F27" s="12">
        <f>IF(E27&gt;0,IF(E27&lt;=eco,alpha*fck*(1-(1-E27/eco)^n),alpha*fck),0)</f>
      </c>
      <c r="G27" s="11">
        <f>F27*D27</f>
      </c>
      <c r="H27" s="11">
        <f>G27*C27</f>
      </c>
      <c r="I27" s="11">
        <f>G27*B27</f>
      </c>
      <c r="J27" s="30">
        <f>PM_Angle!$J$7+PM_Angle!$K$7*$C27+PM_Angle!$L$7*$B27</f>
      </c>
      <c r="K27" s="12">
        <f>IF(J27&gt;0,IF(J27&lt;=eco,alpha*fck*(1-(1-J27/eco)^n),alpha*fck),0)</f>
      </c>
      <c r="L27" s="30">
        <f>PM_Angle!$J$8+PM_Angle!$K$8*$C27+PM_Angle!$L$8*$B27</f>
      </c>
      <c r="M27" s="12">
        <f>IF(L27&gt;0,IF(L27&lt;=eco,alpha*fck*(1-(1-L27/eco)^n),alpha*fck),0)</f>
      </c>
      <c r="N27" s="30">
        <f>PM_Angle!$J$9+PM_Angle!$K$9*$C27+PM_Angle!$L$9*$B27</f>
      </c>
      <c r="O27" s="12">
        <f>IF(N27&gt;0,IF(N27&lt;=eco,alpha*fck*(1-(1-N27/eco)^n),alpha*fck),0)</f>
      </c>
      <c r="P27" s="30">
        <f>PM_Angle!$J$10+PM_Angle!$K$10*$C27+PM_Angle!$L$10*$B27</f>
      </c>
      <c r="Q27" s="12">
        <f>IF(P27&gt;0,IF(P27&lt;=eco,alpha*fck*(1-(1-P27/eco)^n),alpha*fck),0)</f>
      </c>
      <c r="R27" s="30">
        <f>PM_Angle!$J$11+PM_Angle!$K$11*$C27+PM_Angle!$L$11*$B27</f>
      </c>
      <c r="S27" s="12">
        <f>IF(R27&gt;0,IF(R27&lt;=eco,alpha*fck*(1-(1-R27/eco)^n),alpha*fck),0)</f>
      </c>
      <c r="T27" s="30">
        <f>PM_Angle!$J$12+PM_Angle!$K$12*$C27+PM_Angle!$L$12*$B27</f>
      </c>
      <c r="U27" s="12">
        <f>IF(T27&gt;0,IF(T27&lt;=eco,alpha*fck*(1-(1-T27/eco)^n),alpha*fck),0)</f>
      </c>
      <c r="V27" s="30">
        <f>PM_Angle!$J$13+PM_Angle!$K$13*$C27+PM_Angle!$L$13*$B27</f>
      </c>
      <c r="W27" s="12">
        <f>IF(V27&gt;0,IF(V27&lt;=eco,alpha*fck*(1-(1-V27/eco)^n),alpha*fck),0)</f>
      </c>
      <c r="X27" s="30">
        <f>PM_Angle!$J$14+PM_Angle!$K$14*$C27+PM_Angle!$L$14*$B27</f>
      </c>
      <c r="Y27" s="12">
        <f>IF(X27&gt;0,IF(X27&lt;=eco,alpha*fck*(1-(1-X27/eco)^n),alpha*fck),0)</f>
      </c>
      <c r="Z27" s="30">
        <f>PM_Angle!$J$15+PM_Angle!$K$15*$C27+PM_Angle!$L$15*$B27</f>
      </c>
      <c r="AA27" s="12">
        <f>IF(Z27&gt;0,IF(Z27&lt;=eco,alpha*fck*(1-(1-Z27/eco)^n),alpha*fck),0)</f>
      </c>
      <c r="AB27" s="30">
        <f>PM_Angle!$J$16+PM_Angle!$K$16*$C27+PM_Angle!$L$16*$B27</f>
      </c>
      <c r="AC27" s="12">
        <f>IF(AB27&gt;0,IF(AB27&lt;=eco,alpha*fck*(1-(1-AB27/eco)^n),alpha*fck),0)</f>
      </c>
      <c r="AD27" s="30">
        <f>PM_Angle!$J$17+PM_Angle!$K$17*$C27+PM_Angle!$L$17*$B27</f>
      </c>
      <c r="AE27" s="12">
        <f>IF(AD27&gt;0,IF(AD27&lt;=eco,alpha*fck*(1-(1-AD27/eco)^n),alpha*fck),0)</f>
      </c>
      <c r="AF27" s="30">
        <f>PM_Angle!$J$18+PM_Angle!$K$18*$C27+PM_Angle!$L$18*$B27</f>
      </c>
      <c r="AG27" s="12">
        <f>IF(AF27&gt;0,IF(AF27&lt;=eco,alpha*fck*(1-(1-AF27/eco)^n),alpha*fck),0)</f>
      </c>
      <c r="AH27" s="30">
        <f>PM_Angle!$J$19+PM_Angle!$K$19*$C27+PM_Angle!$L$19*$B27</f>
      </c>
      <c r="AI27" s="12">
        <f>IF(AH27&gt;0,IF(AH27&lt;=eco,alpha*fck*(1-(1-AH27/eco)^n),alpha*fck),0)</f>
      </c>
      <c r="AJ27" s="30">
        <f>PM_Angle!$J$20+PM_Angle!$K$20*$C27+PM_Angle!$L$20*$B27</f>
      </c>
      <c r="AK27" s="12">
        <f>IF(AJ27&gt;0,IF(AJ27&lt;=eco,alpha*fck*(1-(1-AJ27/eco)^n),alpha*fck),0)</f>
      </c>
      <c r="AL27" s="30">
        <f>PM_Angle!$J$21+PM_Angle!$K$21*$C27+PM_Angle!$L$21*$B27</f>
      </c>
      <c r="AM27" s="12">
        <f>IF(AL27&gt;0,IF(AL27&lt;=eco,alpha*fck*(1-(1-AL27/eco)^n),alpha*fck),0)</f>
      </c>
      <c r="AN27" s="30">
        <f>PM_Angle!$J$22+PM_Angle!$K$22*$C27+PM_Angle!$L$22*$B27</f>
      </c>
      <c r="AO27" s="12">
        <f>IF(AN27&gt;0,IF(AN27&lt;=eco,alpha*fck*(1-(1-AN27/eco)^n),alpha*fck),0)</f>
      </c>
      <c r="AP27" s="30">
        <f>PM_Angle!$J$23+PM_Angle!$K$23*$C27+PM_Angle!$L$23*$B27</f>
      </c>
      <c r="AQ27" s="12">
        <f>IF(AP27&gt;0,IF(AP27&lt;=eco,alpha*fck*(1-(1-AP27/eco)^n),alpha*fck),0)</f>
      </c>
      <c r="AR27" s="30">
        <f>PM_Angle!$J$24+PM_Angle!$K$24*$C27+PM_Angle!$L$24*$B27</f>
      </c>
      <c r="AS27" s="12">
        <f>IF(AR27&gt;0,IF(AR27&lt;=eco,alpha*fck*(1-(1-AR27/eco)^n),alpha*fck),0)</f>
      </c>
      <c r="AT27" s="30">
        <f>PM_Angle!$J$25+PM_Angle!$K$25*$C27+PM_Angle!$L$25*$B27</f>
      </c>
      <c r="AU27" s="12">
        <f>IF(AT27&gt;0,IF(AT27&lt;=eco,alpha*fck*(1-(1-AT27/eco)^n),alpha*fck),0)</f>
      </c>
    </row>
    <row r="28" spans="1:47" x14ac:dyDescent="0.25">
      <c r="A28">
        <f>Mesh!A25</f>
      </c>
      <c r="B28" s="12">
        <f>Mesh!B25</f>
      </c>
      <c r="C28" s="12">
        <f>Mesh!C25</f>
      </c>
      <c r="D28" s="12">
        <f>Mesh!D25</f>
      </c>
      <c r="E28" s="30">
        <f>INDEX(St_e0,Det+1)+INDEX(St_kx,Det+1)*C28+INDEX(St_ky,Det+1)*B28</f>
      </c>
      <c r="F28" s="12">
        <f>IF(E28&gt;0,IF(E28&lt;=eco,alpha*fck*(1-(1-E28/eco)^n),alpha*fck),0)</f>
      </c>
      <c r="G28" s="11">
        <f>F28*D28</f>
      </c>
      <c r="H28" s="11">
        <f>G28*C28</f>
      </c>
      <c r="I28" s="11">
        <f>G28*B28</f>
      </c>
      <c r="J28" s="30">
        <f>PM_Angle!$J$7+PM_Angle!$K$7*$C28+PM_Angle!$L$7*$B28</f>
      </c>
      <c r="K28" s="12">
        <f>IF(J28&gt;0,IF(J28&lt;=eco,alpha*fck*(1-(1-J28/eco)^n),alpha*fck),0)</f>
      </c>
      <c r="L28" s="30">
        <f>PM_Angle!$J$8+PM_Angle!$K$8*$C28+PM_Angle!$L$8*$B28</f>
      </c>
      <c r="M28" s="12">
        <f>IF(L28&gt;0,IF(L28&lt;=eco,alpha*fck*(1-(1-L28/eco)^n),alpha*fck),0)</f>
      </c>
      <c r="N28" s="30">
        <f>PM_Angle!$J$9+PM_Angle!$K$9*$C28+PM_Angle!$L$9*$B28</f>
      </c>
      <c r="O28" s="12">
        <f>IF(N28&gt;0,IF(N28&lt;=eco,alpha*fck*(1-(1-N28/eco)^n),alpha*fck),0)</f>
      </c>
      <c r="P28" s="30">
        <f>PM_Angle!$J$10+PM_Angle!$K$10*$C28+PM_Angle!$L$10*$B28</f>
      </c>
      <c r="Q28" s="12">
        <f>IF(P28&gt;0,IF(P28&lt;=eco,alpha*fck*(1-(1-P28/eco)^n),alpha*fck),0)</f>
      </c>
      <c r="R28" s="30">
        <f>PM_Angle!$J$11+PM_Angle!$K$11*$C28+PM_Angle!$L$11*$B28</f>
      </c>
      <c r="S28" s="12">
        <f>IF(R28&gt;0,IF(R28&lt;=eco,alpha*fck*(1-(1-R28/eco)^n),alpha*fck),0)</f>
      </c>
      <c r="T28" s="30">
        <f>PM_Angle!$J$12+PM_Angle!$K$12*$C28+PM_Angle!$L$12*$B28</f>
      </c>
      <c r="U28" s="12">
        <f>IF(T28&gt;0,IF(T28&lt;=eco,alpha*fck*(1-(1-T28/eco)^n),alpha*fck),0)</f>
      </c>
      <c r="V28" s="30">
        <f>PM_Angle!$J$13+PM_Angle!$K$13*$C28+PM_Angle!$L$13*$B28</f>
      </c>
      <c r="W28" s="12">
        <f>IF(V28&gt;0,IF(V28&lt;=eco,alpha*fck*(1-(1-V28/eco)^n),alpha*fck),0)</f>
      </c>
      <c r="X28" s="30">
        <f>PM_Angle!$J$14+PM_Angle!$K$14*$C28+PM_Angle!$L$14*$B28</f>
      </c>
      <c r="Y28" s="12">
        <f>IF(X28&gt;0,IF(X28&lt;=eco,alpha*fck*(1-(1-X28/eco)^n),alpha*fck),0)</f>
      </c>
      <c r="Z28" s="30">
        <f>PM_Angle!$J$15+PM_Angle!$K$15*$C28+PM_Angle!$L$15*$B28</f>
      </c>
      <c r="AA28" s="12">
        <f>IF(Z28&gt;0,IF(Z28&lt;=eco,alpha*fck*(1-(1-Z28/eco)^n),alpha*fck),0)</f>
      </c>
      <c r="AB28" s="30">
        <f>PM_Angle!$J$16+PM_Angle!$K$16*$C28+PM_Angle!$L$16*$B28</f>
      </c>
      <c r="AC28" s="12">
        <f>IF(AB28&gt;0,IF(AB28&lt;=eco,alpha*fck*(1-(1-AB28/eco)^n),alpha*fck),0)</f>
      </c>
      <c r="AD28" s="30">
        <f>PM_Angle!$J$17+PM_Angle!$K$17*$C28+PM_Angle!$L$17*$B28</f>
      </c>
      <c r="AE28" s="12">
        <f>IF(AD28&gt;0,IF(AD28&lt;=eco,alpha*fck*(1-(1-AD28/eco)^n),alpha*fck),0)</f>
      </c>
      <c r="AF28" s="30">
        <f>PM_Angle!$J$18+PM_Angle!$K$18*$C28+PM_Angle!$L$18*$B28</f>
      </c>
      <c r="AG28" s="12">
        <f>IF(AF28&gt;0,IF(AF28&lt;=eco,alpha*fck*(1-(1-AF28/eco)^n),alpha*fck),0)</f>
      </c>
      <c r="AH28" s="30">
        <f>PM_Angle!$J$19+PM_Angle!$K$19*$C28+PM_Angle!$L$19*$B28</f>
      </c>
      <c r="AI28" s="12">
        <f>IF(AH28&gt;0,IF(AH28&lt;=eco,alpha*fck*(1-(1-AH28/eco)^n),alpha*fck),0)</f>
      </c>
      <c r="AJ28" s="30">
        <f>PM_Angle!$J$20+PM_Angle!$K$20*$C28+PM_Angle!$L$20*$B28</f>
      </c>
      <c r="AK28" s="12">
        <f>IF(AJ28&gt;0,IF(AJ28&lt;=eco,alpha*fck*(1-(1-AJ28/eco)^n),alpha*fck),0)</f>
      </c>
      <c r="AL28" s="30">
        <f>PM_Angle!$J$21+PM_Angle!$K$21*$C28+PM_Angle!$L$21*$B28</f>
      </c>
      <c r="AM28" s="12">
        <f>IF(AL28&gt;0,IF(AL28&lt;=eco,alpha*fck*(1-(1-AL28/eco)^n),alpha*fck),0)</f>
      </c>
      <c r="AN28" s="30">
        <f>PM_Angle!$J$22+PM_Angle!$K$22*$C28+PM_Angle!$L$22*$B28</f>
      </c>
      <c r="AO28" s="12">
        <f>IF(AN28&gt;0,IF(AN28&lt;=eco,alpha*fck*(1-(1-AN28/eco)^n),alpha*fck),0)</f>
      </c>
      <c r="AP28" s="30">
        <f>PM_Angle!$J$23+PM_Angle!$K$23*$C28+PM_Angle!$L$23*$B28</f>
      </c>
      <c r="AQ28" s="12">
        <f>IF(AP28&gt;0,IF(AP28&lt;=eco,alpha*fck*(1-(1-AP28/eco)^n),alpha*fck),0)</f>
      </c>
      <c r="AR28" s="30">
        <f>PM_Angle!$J$24+PM_Angle!$K$24*$C28+PM_Angle!$L$24*$B28</f>
      </c>
      <c r="AS28" s="12">
        <f>IF(AR28&gt;0,IF(AR28&lt;=eco,alpha*fck*(1-(1-AR28/eco)^n),alpha*fck),0)</f>
      </c>
      <c r="AT28" s="30">
        <f>PM_Angle!$J$25+PM_Angle!$K$25*$C28+PM_Angle!$L$25*$B28</f>
      </c>
      <c r="AU28" s="12">
        <f>IF(AT28&gt;0,IF(AT28&lt;=eco,alpha*fck*(1-(1-AT28/eco)^n),alpha*fck),0)</f>
      </c>
    </row>
    <row r="29" spans="1:47" x14ac:dyDescent="0.25">
      <c r="A29">
        <f>Mesh!A26</f>
      </c>
      <c r="B29" s="12">
        <f>Mesh!B26</f>
      </c>
      <c r="C29" s="12">
        <f>Mesh!C26</f>
      </c>
      <c r="D29" s="12">
        <f>Mesh!D26</f>
      </c>
      <c r="E29" s="30">
        <f>INDEX(St_e0,Det+1)+INDEX(St_kx,Det+1)*C29+INDEX(St_ky,Det+1)*B29</f>
      </c>
      <c r="F29" s="12">
        <f>IF(E29&gt;0,IF(E29&lt;=eco,alpha*fck*(1-(1-E29/eco)^n),alpha*fck),0)</f>
      </c>
      <c r="G29" s="11">
        <f>F29*D29</f>
      </c>
      <c r="H29" s="11">
        <f>G29*C29</f>
      </c>
      <c r="I29" s="11">
        <f>G29*B29</f>
      </c>
      <c r="J29" s="30">
        <f>PM_Angle!$J$7+PM_Angle!$K$7*$C29+PM_Angle!$L$7*$B29</f>
      </c>
      <c r="K29" s="12">
        <f>IF(J29&gt;0,IF(J29&lt;=eco,alpha*fck*(1-(1-J29/eco)^n),alpha*fck),0)</f>
      </c>
      <c r="L29" s="30">
        <f>PM_Angle!$J$8+PM_Angle!$K$8*$C29+PM_Angle!$L$8*$B29</f>
      </c>
      <c r="M29" s="12">
        <f>IF(L29&gt;0,IF(L29&lt;=eco,alpha*fck*(1-(1-L29/eco)^n),alpha*fck),0)</f>
      </c>
      <c r="N29" s="30">
        <f>PM_Angle!$J$9+PM_Angle!$K$9*$C29+PM_Angle!$L$9*$B29</f>
      </c>
      <c r="O29" s="12">
        <f>IF(N29&gt;0,IF(N29&lt;=eco,alpha*fck*(1-(1-N29/eco)^n),alpha*fck),0)</f>
      </c>
      <c r="P29" s="30">
        <f>PM_Angle!$J$10+PM_Angle!$K$10*$C29+PM_Angle!$L$10*$B29</f>
      </c>
      <c r="Q29" s="12">
        <f>IF(P29&gt;0,IF(P29&lt;=eco,alpha*fck*(1-(1-P29/eco)^n),alpha*fck),0)</f>
      </c>
      <c r="R29" s="30">
        <f>PM_Angle!$J$11+PM_Angle!$K$11*$C29+PM_Angle!$L$11*$B29</f>
      </c>
      <c r="S29" s="12">
        <f>IF(R29&gt;0,IF(R29&lt;=eco,alpha*fck*(1-(1-R29/eco)^n),alpha*fck),0)</f>
      </c>
      <c r="T29" s="30">
        <f>PM_Angle!$J$12+PM_Angle!$K$12*$C29+PM_Angle!$L$12*$B29</f>
      </c>
      <c r="U29" s="12">
        <f>IF(T29&gt;0,IF(T29&lt;=eco,alpha*fck*(1-(1-T29/eco)^n),alpha*fck),0)</f>
      </c>
      <c r="V29" s="30">
        <f>PM_Angle!$J$13+PM_Angle!$K$13*$C29+PM_Angle!$L$13*$B29</f>
      </c>
      <c r="W29" s="12">
        <f>IF(V29&gt;0,IF(V29&lt;=eco,alpha*fck*(1-(1-V29/eco)^n),alpha*fck),0)</f>
      </c>
      <c r="X29" s="30">
        <f>PM_Angle!$J$14+PM_Angle!$K$14*$C29+PM_Angle!$L$14*$B29</f>
      </c>
      <c r="Y29" s="12">
        <f>IF(X29&gt;0,IF(X29&lt;=eco,alpha*fck*(1-(1-X29/eco)^n),alpha*fck),0)</f>
      </c>
      <c r="Z29" s="30">
        <f>PM_Angle!$J$15+PM_Angle!$K$15*$C29+PM_Angle!$L$15*$B29</f>
      </c>
      <c r="AA29" s="12">
        <f>IF(Z29&gt;0,IF(Z29&lt;=eco,alpha*fck*(1-(1-Z29/eco)^n),alpha*fck),0)</f>
      </c>
      <c r="AB29" s="30">
        <f>PM_Angle!$J$16+PM_Angle!$K$16*$C29+PM_Angle!$L$16*$B29</f>
      </c>
      <c r="AC29" s="12">
        <f>IF(AB29&gt;0,IF(AB29&lt;=eco,alpha*fck*(1-(1-AB29/eco)^n),alpha*fck),0)</f>
      </c>
      <c r="AD29" s="30">
        <f>PM_Angle!$J$17+PM_Angle!$K$17*$C29+PM_Angle!$L$17*$B29</f>
      </c>
      <c r="AE29" s="12">
        <f>IF(AD29&gt;0,IF(AD29&lt;=eco,alpha*fck*(1-(1-AD29/eco)^n),alpha*fck),0)</f>
      </c>
      <c r="AF29" s="30">
        <f>PM_Angle!$J$18+PM_Angle!$K$18*$C29+PM_Angle!$L$18*$B29</f>
      </c>
      <c r="AG29" s="12">
        <f>IF(AF29&gt;0,IF(AF29&lt;=eco,alpha*fck*(1-(1-AF29/eco)^n),alpha*fck),0)</f>
      </c>
      <c r="AH29" s="30">
        <f>PM_Angle!$J$19+PM_Angle!$K$19*$C29+PM_Angle!$L$19*$B29</f>
      </c>
      <c r="AI29" s="12">
        <f>IF(AH29&gt;0,IF(AH29&lt;=eco,alpha*fck*(1-(1-AH29/eco)^n),alpha*fck),0)</f>
      </c>
      <c r="AJ29" s="30">
        <f>PM_Angle!$J$20+PM_Angle!$K$20*$C29+PM_Angle!$L$20*$B29</f>
      </c>
      <c r="AK29" s="12">
        <f>IF(AJ29&gt;0,IF(AJ29&lt;=eco,alpha*fck*(1-(1-AJ29/eco)^n),alpha*fck),0)</f>
      </c>
      <c r="AL29" s="30">
        <f>PM_Angle!$J$21+PM_Angle!$K$21*$C29+PM_Angle!$L$21*$B29</f>
      </c>
      <c r="AM29" s="12">
        <f>IF(AL29&gt;0,IF(AL29&lt;=eco,alpha*fck*(1-(1-AL29/eco)^n),alpha*fck),0)</f>
      </c>
      <c r="AN29" s="30">
        <f>PM_Angle!$J$22+PM_Angle!$K$22*$C29+PM_Angle!$L$22*$B29</f>
      </c>
      <c r="AO29" s="12">
        <f>IF(AN29&gt;0,IF(AN29&lt;=eco,alpha*fck*(1-(1-AN29/eco)^n),alpha*fck),0)</f>
      </c>
      <c r="AP29" s="30">
        <f>PM_Angle!$J$23+PM_Angle!$K$23*$C29+PM_Angle!$L$23*$B29</f>
      </c>
      <c r="AQ29" s="12">
        <f>IF(AP29&gt;0,IF(AP29&lt;=eco,alpha*fck*(1-(1-AP29/eco)^n),alpha*fck),0)</f>
      </c>
      <c r="AR29" s="30">
        <f>PM_Angle!$J$24+PM_Angle!$K$24*$C29+PM_Angle!$L$24*$B29</f>
      </c>
      <c r="AS29" s="12">
        <f>IF(AR29&gt;0,IF(AR29&lt;=eco,alpha*fck*(1-(1-AR29/eco)^n),alpha*fck),0)</f>
      </c>
      <c r="AT29" s="30">
        <f>PM_Angle!$J$25+PM_Angle!$K$25*$C29+PM_Angle!$L$25*$B29</f>
      </c>
      <c r="AU29" s="12">
        <f>IF(AT29&gt;0,IF(AT29&lt;=eco,alpha*fck*(1-(1-AT29/eco)^n),alpha*fck),0)</f>
      </c>
    </row>
    <row r="30" spans="1:47" x14ac:dyDescent="0.25">
      <c r="A30">
        <f>Mesh!A27</f>
      </c>
      <c r="B30" s="12">
        <f>Mesh!B27</f>
      </c>
      <c r="C30" s="12">
        <f>Mesh!C27</f>
      </c>
      <c r="D30" s="12">
        <f>Mesh!D27</f>
      </c>
      <c r="E30" s="30">
        <f>INDEX(St_e0,Det+1)+INDEX(St_kx,Det+1)*C30+INDEX(St_ky,Det+1)*B30</f>
      </c>
      <c r="F30" s="12">
        <f>IF(E30&gt;0,IF(E30&lt;=eco,alpha*fck*(1-(1-E30/eco)^n),alpha*fck),0)</f>
      </c>
      <c r="G30" s="11">
        <f>F30*D30</f>
      </c>
      <c r="H30" s="11">
        <f>G30*C30</f>
      </c>
      <c r="I30" s="11">
        <f>G30*B30</f>
      </c>
      <c r="J30" s="30">
        <f>PM_Angle!$J$7+PM_Angle!$K$7*$C30+PM_Angle!$L$7*$B30</f>
      </c>
      <c r="K30" s="12">
        <f>IF(J30&gt;0,IF(J30&lt;=eco,alpha*fck*(1-(1-J30/eco)^n),alpha*fck),0)</f>
      </c>
      <c r="L30" s="30">
        <f>PM_Angle!$J$8+PM_Angle!$K$8*$C30+PM_Angle!$L$8*$B30</f>
      </c>
      <c r="M30" s="12">
        <f>IF(L30&gt;0,IF(L30&lt;=eco,alpha*fck*(1-(1-L30/eco)^n),alpha*fck),0)</f>
      </c>
      <c r="N30" s="30">
        <f>PM_Angle!$J$9+PM_Angle!$K$9*$C30+PM_Angle!$L$9*$B30</f>
      </c>
      <c r="O30" s="12">
        <f>IF(N30&gt;0,IF(N30&lt;=eco,alpha*fck*(1-(1-N30/eco)^n),alpha*fck),0)</f>
      </c>
      <c r="P30" s="30">
        <f>PM_Angle!$J$10+PM_Angle!$K$10*$C30+PM_Angle!$L$10*$B30</f>
      </c>
      <c r="Q30" s="12">
        <f>IF(P30&gt;0,IF(P30&lt;=eco,alpha*fck*(1-(1-P30/eco)^n),alpha*fck),0)</f>
      </c>
      <c r="R30" s="30">
        <f>PM_Angle!$J$11+PM_Angle!$K$11*$C30+PM_Angle!$L$11*$B30</f>
      </c>
      <c r="S30" s="12">
        <f>IF(R30&gt;0,IF(R30&lt;=eco,alpha*fck*(1-(1-R30/eco)^n),alpha*fck),0)</f>
      </c>
      <c r="T30" s="30">
        <f>PM_Angle!$J$12+PM_Angle!$K$12*$C30+PM_Angle!$L$12*$B30</f>
      </c>
      <c r="U30" s="12">
        <f>IF(T30&gt;0,IF(T30&lt;=eco,alpha*fck*(1-(1-T30/eco)^n),alpha*fck),0)</f>
      </c>
      <c r="V30" s="30">
        <f>PM_Angle!$J$13+PM_Angle!$K$13*$C30+PM_Angle!$L$13*$B30</f>
      </c>
      <c r="W30" s="12">
        <f>IF(V30&gt;0,IF(V30&lt;=eco,alpha*fck*(1-(1-V30/eco)^n),alpha*fck),0)</f>
      </c>
      <c r="X30" s="30">
        <f>PM_Angle!$J$14+PM_Angle!$K$14*$C30+PM_Angle!$L$14*$B30</f>
      </c>
      <c r="Y30" s="12">
        <f>IF(X30&gt;0,IF(X30&lt;=eco,alpha*fck*(1-(1-X30/eco)^n),alpha*fck),0)</f>
      </c>
      <c r="Z30" s="30">
        <f>PM_Angle!$J$15+PM_Angle!$K$15*$C30+PM_Angle!$L$15*$B30</f>
      </c>
      <c r="AA30" s="12">
        <f>IF(Z30&gt;0,IF(Z30&lt;=eco,alpha*fck*(1-(1-Z30/eco)^n),alpha*fck),0)</f>
      </c>
      <c r="AB30" s="30">
        <f>PM_Angle!$J$16+PM_Angle!$K$16*$C30+PM_Angle!$L$16*$B30</f>
      </c>
      <c r="AC30" s="12">
        <f>IF(AB30&gt;0,IF(AB30&lt;=eco,alpha*fck*(1-(1-AB30/eco)^n),alpha*fck),0)</f>
      </c>
      <c r="AD30" s="30">
        <f>PM_Angle!$J$17+PM_Angle!$K$17*$C30+PM_Angle!$L$17*$B30</f>
      </c>
      <c r="AE30" s="12">
        <f>IF(AD30&gt;0,IF(AD30&lt;=eco,alpha*fck*(1-(1-AD30/eco)^n),alpha*fck),0)</f>
      </c>
      <c r="AF30" s="30">
        <f>PM_Angle!$J$18+PM_Angle!$K$18*$C30+PM_Angle!$L$18*$B30</f>
      </c>
      <c r="AG30" s="12">
        <f>IF(AF30&gt;0,IF(AF30&lt;=eco,alpha*fck*(1-(1-AF30/eco)^n),alpha*fck),0)</f>
      </c>
      <c r="AH30" s="30">
        <f>PM_Angle!$J$19+PM_Angle!$K$19*$C30+PM_Angle!$L$19*$B30</f>
      </c>
      <c r="AI30" s="12">
        <f>IF(AH30&gt;0,IF(AH30&lt;=eco,alpha*fck*(1-(1-AH30/eco)^n),alpha*fck),0)</f>
      </c>
      <c r="AJ30" s="30">
        <f>PM_Angle!$J$20+PM_Angle!$K$20*$C30+PM_Angle!$L$20*$B30</f>
      </c>
      <c r="AK30" s="12">
        <f>IF(AJ30&gt;0,IF(AJ30&lt;=eco,alpha*fck*(1-(1-AJ30/eco)^n),alpha*fck),0)</f>
      </c>
      <c r="AL30" s="30">
        <f>PM_Angle!$J$21+PM_Angle!$K$21*$C30+PM_Angle!$L$21*$B30</f>
      </c>
      <c r="AM30" s="12">
        <f>IF(AL30&gt;0,IF(AL30&lt;=eco,alpha*fck*(1-(1-AL30/eco)^n),alpha*fck),0)</f>
      </c>
      <c r="AN30" s="30">
        <f>PM_Angle!$J$22+PM_Angle!$K$22*$C30+PM_Angle!$L$22*$B30</f>
      </c>
      <c r="AO30" s="12">
        <f>IF(AN30&gt;0,IF(AN30&lt;=eco,alpha*fck*(1-(1-AN30/eco)^n),alpha*fck),0)</f>
      </c>
      <c r="AP30" s="30">
        <f>PM_Angle!$J$23+PM_Angle!$K$23*$C30+PM_Angle!$L$23*$B30</f>
      </c>
      <c r="AQ30" s="12">
        <f>IF(AP30&gt;0,IF(AP30&lt;=eco,alpha*fck*(1-(1-AP30/eco)^n),alpha*fck),0)</f>
      </c>
      <c r="AR30" s="30">
        <f>PM_Angle!$J$24+PM_Angle!$K$24*$C30+PM_Angle!$L$24*$B30</f>
      </c>
      <c r="AS30" s="12">
        <f>IF(AR30&gt;0,IF(AR30&lt;=eco,alpha*fck*(1-(1-AR30/eco)^n),alpha*fck),0)</f>
      </c>
      <c r="AT30" s="30">
        <f>PM_Angle!$J$25+PM_Angle!$K$25*$C30+PM_Angle!$L$25*$B30</f>
      </c>
      <c r="AU30" s="12">
        <f>IF(AT30&gt;0,IF(AT30&lt;=eco,alpha*fck*(1-(1-AT30/eco)^n),alpha*fck),0)</f>
      </c>
    </row>
    <row r="31" spans="1:47" x14ac:dyDescent="0.25">
      <c r="A31">
        <f>Mesh!A28</f>
      </c>
      <c r="B31" s="12">
        <f>Mesh!B28</f>
      </c>
      <c r="C31" s="12">
        <f>Mesh!C28</f>
      </c>
      <c r="D31" s="12">
        <f>Mesh!D28</f>
      </c>
      <c r="E31" s="30">
        <f>INDEX(St_e0,Det+1)+INDEX(St_kx,Det+1)*C31+INDEX(St_ky,Det+1)*B31</f>
      </c>
      <c r="F31" s="12">
        <f>IF(E31&gt;0,IF(E31&lt;=eco,alpha*fck*(1-(1-E31/eco)^n),alpha*fck),0)</f>
      </c>
      <c r="G31" s="11">
        <f>F31*D31</f>
      </c>
      <c r="H31" s="11">
        <f>G31*C31</f>
      </c>
      <c r="I31" s="11">
        <f>G31*B31</f>
      </c>
      <c r="J31" s="30">
        <f>PM_Angle!$J$7+PM_Angle!$K$7*$C31+PM_Angle!$L$7*$B31</f>
      </c>
      <c r="K31" s="12">
        <f>IF(J31&gt;0,IF(J31&lt;=eco,alpha*fck*(1-(1-J31/eco)^n),alpha*fck),0)</f>
      </c>
      <c r="L31" s="30">
        <f>PM_Angle!$J$8+PM_Angle!$K$8*$C31+PM_Angle!$L$8*$B31</f>
      </c>
      <c r="M31" s="12">
        <f>IF(L31&gt;0,IF(L31&lt;=eco,alpha*fck*(1-(1-L31/eco)^n),alpha*fck),0)</f>
      </c>
      <c r="N31" s="30">
        <f>PM_Angle!$J$9+PM_Angle!$K$9*$C31+PM_Angle!$L$9*$B31</f>
      </c>
      <c r="O31" s="12">
        <f>IF(N31&gt;0,IF(N31&lt;=eco,alpha*fck*(1-(1-N31/eco)^n),alpha*fck),0)</f>
      </c>
      <c r="P31" s="30">
        <f>PM_Angle!$J$10+PM_Angle!$K$10*$C31+PM_Angle!$L$10*$B31</f>
      </c>
      <c r="Q31" s="12">
        <f>IF(P31&gt;0,IF(P31&lt;=eco,alpha*fck*(1-(1-P31/eco)^n),alpha*fck),0)</f>
      </c>
      <c r="R31" s="30">
        <f>PM_Angle!$J$11+PM_Angle!$K$11*$C31+PM_Angle!$L$11*$B31</f>
      </c>
      <c r="S31" s="12">
        <f>IF(R31&gt;0,IF(R31&lt;=eco,alpha*fck*(1-(1-R31/eco)^n),alpha*fck),0)</f>
      </c>
      <c r="T31" s="30">
        <f>PM_Angle!$J$12+PM_Angle!$K$12*$C31+PM_Angle!$L$12*$B31</f>
      </c>
      <c r="U31" s="12">
        <f>IF(T31&gt;0,IF(T31&lt;=eco,alpha*fck*(1-(1-T31/eco)^n),alpha*fck),0)</f>
      </c>
      <c r="V31" s="30">
        <f>PM_Angle!$J$13+PM_Angle!$K$13*$C31+PM_Angle!$L$13*$B31</f>
      </c>
      <c r="W31" s="12">
        <f>IF(V31&gt;0,IF(V31&lt;=eco,alpha*fck*(1-(1-V31/eco)^n),alpha*fck),0)</f>
      </c>
      <c r="X31" s="30">
        <f>PM_Angle!$J$14+PM_Angle!$K$14*$C31+PM_Angle!$L$14*$B31</f>
      </c>
      <c r="Y31" s="12">
        <f>IF(X31&gt;0,IF(X31&lt;=eco,alpha*fck*(1-(1-X31/eco)^n),alpha*fck),0)</f>
      </c>
      <c r="Z31" s="30">
        <f>PM_Angle!$J$15+PM_Angle!$K$15*$C31+PM_Angle!$L$15*$B31</f>
      </c>
      <c r="AA31" s="12">
        <f>IF(Z31&gt;0,IF(Z31&lt;=eco,alpha*fck*(1-(1-Z31/eco)^n),alpha*fck),0)</f>
      </c>
      <c r="AB31" s="30">
        <f>PM_Angle!$J$16+PM_Angle!$K$16*$C31+PM_Angle!$L$16*$B31</f>
      </c>
      <c r="AC31" s="12">
        <f>IF(AB31&gt;0,IF(AB31&lt;=eco,alpha*fck*(1-(1-AB31/eco)^n),alpha*fck),0)</f>
      </c>
      <c r="AD31" s="30">
        <f>PM_Angle!$J$17+PM_Angle!$K$17*$C31+PM_Angle!$L$17*$B31</f>
      </c>
      <c r="AE31" s="12">
        <f>IF(AD31&gt;0,IF(AD31&lt;=eco,alpha*fck*(1-(1-AD31/eco)^n),alpha*fck),0)</f>
      </c>
      <c r="AF31" s="30">
        <f>PM_Angle!$J$18+PM_Angle!$K$18*$C31+PM_Angle!$L$18*$B31</f>
      </c>
      <c r="AG31" s="12">
        <f>IF(AF31&gt;0,IF(AF31&lt;=eco,alpha*fck*(1-(1-AF31/eco)^n),alpha*fck),0)</f>
      </c>
      <c r="AH31" s="30">
        <f>PM_Angle!$J$19+PM_Angle!$K$19*$C31+PM_Angle!$L$19*$B31</f>
      </c>
      <c r="AI31" s="12">
        <f>IF(AH31&gt;0,IF(AH31&lt;=eco,alpha*fck*(1-(1-AH31/eco)^n),alpha*fck),0)</f>
      </c>
      <c r="AJ31" s="30">
        <f>PM_Angle!$J$20+PM_Angle!$K$20*$C31+PM_Angle!$L$20*$B31</f>
      </c>
      <c r="AK31" s="12">
        <f>IF(AJ31&gt;0,IF(AJ31&lt;=eco,alpha*fck*(1-(1-AJ31/eco)^n),alpha*fck),0)</f>
      </c>
      <c r="AL31" s="30">
        <f>PM_Angle!$J$21+PM_Angle!$K$21*$C31+PM_Angle!$L$21*$B31</f>
      </c>
      <c r="AM31" s="12">
        <f>IF(AL31&gt;0,IF(AL31&lt;=eco,alpha*fck*(1-(1-AL31/eco)^n),alpha*fck),0)</f>
      </c>
      <c r="AN31" s="30">
        <f>PM_Angle!$J$22+PM_Angle!$K$22*$C31+PM_Angle!$L$22*$B31</f>
      </c>
      <c r="AO31" s="12">
        <f>IF(AN31&gt;0,IF(AN31&lt;=eco,alpha*fck*(1-(1-AN31/eco)^n),alpha*fck),0)</f>
      </c>
      <c r="AP31" s="30">
        <f>PM_Angle!$J$23+PM_Angle!$K$23*$C31+PM_Angle!$L$23*$B31</f>
      </c>
      <c r="AQ31" s="12">
        <f>IF(AP31&gt;0,IF(AP31&lt;=eco,alpha*fck*(1-(1-AP31/eco)^n),alpha*fck),0)</f>
      </c>
      <c r="AR31" s="30">
        <f>PM_Angle!$J$24+PM_Angle!$K$24*$C31+PM_Angle!$L$24*$B31</f>
      </c>
      <c r="AS31" s="12">
        <f>IF(AR31&gt;0,IF(AR31&lt;=eco,alpha*fck*(1-(1-AR31/eco)^n),alpha*fck),0)</f>
      </c>
      <c r="AT31" s="30">
        <f>PM_Angle!$J$25+PM_Angle!$K$25*$C31+PM_Angle!$L$25*$B31</f>
      </c>
      <c r="AU31" s="12">
        <f>IF(AT31&gt;0,IF(AT31&lt;=eco,alpha*fck*(1-(1-AT31/eco)^n),alpha*fck),0)</f>
      </c>
    </row>
    <row r="32" spans="1:47" x14ac:dyDescent="0.25">
      <c r="A32">
        <f>Mesh!A29</f>
      </c>
      <c r="B32" s="12">
        <f>Mesh!B29</f>
      </c>
      <c r="C32" s="12">
        <f>Mesh!C29</f>
      </c>
      <c r="D32" s="12">
        <f>Mesh!D29</f>
      </c>
      <c r="E32" s="30">
        <f>INDEX(St_e0,Det+1)+INDEX(St_kx,Det+1)*C32+INDEX(St_ky,Det+1)*B32</f>
      </c>
      <c r="F32" s="12">
        <f>IF(E32&gt;0,IF(E32&lt;=eco,alpha*fck*(1-(1-E32/eco)^n),alpha*fck),0)</f>
      </c>
      <c r="G32" s="11">
        <f>F32*D32</f>
      </c>
      <c r="H32" s="11">
        <f>G32*C32</f>
      </c>
      <c r="I32" s="11">
        <f>G32*B32</f>
      </c>
      <c r="J32" s="30">
        <f>PM_Angle!$J$7+PM_Angle!$K$7*$C32+PM_Angle!$L$7*$B32</f>
      </c>
      <c r="K32" s="12">
        <f>IF(J32&gt;0,IF(J32&lt;=eco,alpha*fck*(1-(1-J32/eco)^n),alpha*fck),0)</f>
      </c>
      <c r="L32" s="30">
        <f>PM_Angle!$J$8+PM_Angle!$K$8*$C32+PM_Angle!$L$8*$B32</f>
      </c>
      <c r="M32" s="12">
        <f>IF(L32&gt;0,IF(L32&lt;=eco,alpha*fck*(1-(1-L32/eco)^n),alpha*fck),0)</f>
      </c>
      <c r="N32" s="30">
        <f>PM_Angle!$J$9+PM_Angle!$K$9*$C32+PM_Angle!$L$9*$B32</f>
      </c>
      <c r="O32" s="12">
        <f>IF(N32&gt;0,IF(N32&lt;=eco,alpha*fck*(1-(1-N32/eco)^n),alpha*fck),0)</f>
      </c>
      <c r="P32" s="30">
        <f>PM_Angle!$J$10+PM_Angle!$K$10*$C32+PM_Angle!$L$10*$B32</f>
      </c>
      <c r="Q32" s="12">
        <f>IF(P32&gt;0,IF(P32&lt;=eco,alpha*fck*(1-(1-P32/eco)^n),alpha*fck),0)</f>
      </c>
      <c r="R32" s="30">
        <f>PM_Angle!$J$11+PM_Angle!$K$11*$C32+PM_Angle!$L$11*$B32</f>
      </c>
      <c r="S32" s="12">
        <f>IF(R32&gt;0,IF(R32&lt;=eco,alpha*fck*(1-(1-R32/eco)^n),alpha*fck),0)</f>
      </c>
      <c r="T32" s="30">
        <f>PM_Angle!$J$12+PM_Angle!$K$12*$C32+PM_Angle!$L$12*$B32</f>
      </c>
      <c r="U32" s="12">
        <f>IF(T32&gt;0,IF(T32&lt;=eco,alpha*fck*(1-(1-T32/eco)^n),alpha*fck),0)</f>
      </c>
      <c r="V32" s="30">
        <f>PM_Angle!$J$13+PM_Angle!$K$13*$C32+PM_Angle!$L$13*$B32</f>
      </c>
      <c r="W32" s="12">
        <f>IF(V32&gt;0,IF(V32&lt;=eco,alpha*fck*(1-(1-V32/eco)^n),alpha*fck),0)</f>
      </c>
      <c r="X32" s="30">
        <f>PM_Angle!$J$14+PM_Angle!$K$14*$C32+PM_Angle!$L$14*$B32</f>
      </c>
      <c r="Y32" s="12">
        <f>IF(X32&gt;0,IF(X32&lt;=eco,alpha*fck*(1-(1-X32/eco)^n),alpha*fck),0)</f>
      </c>
      <c r="Z32" s="30">
        <f>PM_Angle!$J$15+PM_Angle!$K$15*$C32+PM_Angle!$L$15*$B32</f>
      </c>
      <c r="AA32" s="12">
        <f>IF(Z32&gt;0,IF(Z32&lt;=eco,alpha*fck*(1-(1-Z32/eco)^n),alpha*fck),0)</f>
      </c>
      <c r="AB32" s="30">
        <f>PM_Angle!$J$16+PM_Angle!$K$16*$C32+PM_Angle!$L$16*$B32</f>
      </c>
      <c r="AC32" s="12">
        <f>IF(AB32&gt;0,IF(AB32&lt;=eco,alpha*fck*(1-(1-AB32/eco)^n),alpha*fck),0)</f>
      </c>
      <c r="AD32" s="30">
        <f>PM_Angle!$J$17+PM_Angle!$K$17*$C32+PM_Angle!$L$17*$B32</f>
      </c>
      <c r="AE32" s="12">
        <f>IF(AD32&gt;0,IF(AD32&lt;=eco,alpha*fck*(1-(1-AD32/eco)^n),alpha*fck),0)</f>
      </c>
      <c r="AF32" s="30">
        <f>PM_Angle!$J$18+PM_Angle!$K$18*$C32+PM_Angle!$L$18*$B32</f>
      </c>
      <c r="AG32" s="12">
        <f>IF(AF32&gt;0,IF(AF32&lt;=eco,alpha*fck*(1-(1-AF32/eco)^n),alpha*fck),0)</f>
      </c>
      <c r="AH32" s="30">
        <f>PM_Angle!$J$19+PM_Angle!$K$19*$C32+PM_Angle!$L$19*$B32</f>
      </c>
      <c r="AI32" s="12">
        <f>IF(AH32&gt;0,IF(AH32&lt;=eco,alpha*fck*(1-(1-AH32/eco)^n),alpha*fck),0)</f>
      </c>
      <c r="AJ32" s="30">
        <f>PM_Angle!$J$20+PM_Angle!$K$20*$C32+PM_Angle!$L$20*$B32</f>
      </c>
      <c r="AK32" s="12">
        <f>IF(AJ32&gt;0,IF(AJ32&lt;=eco,alpha*fck*(1-(1-AJ32/eco)^n),alpha*fck),0)</f>
      </c>
      <c r="AL32" s="30">
        <f>PM_Angle!$J$21+PM_Angle!$K$21*$C32+PM_Angle!$L$21*$B32</f>
      </c>
      <c r="AM32" s="12">
        <f>IF(AL32&gt;0,IF(AL32&lt;=eco,alpha*fck*(1-(1-AL32/eco)^n),alpha*fck),0)</f>
      </c>
      <c r="AN32" s="30">
        <f>PM_Angle!$J$22+PM_Angle!$K$22*$C32+PM_Angle!$L$22*$B32</f>
      </c>
      <c r="AO32" s="12">
        <f>IF(AN32&gt;0,IF(AN32&lt;=eco,alpha*fck*(1-(1-AN32/eco)^n),alpha*fck),0)</f>
      </c>
      <c r="AP32" s="30">
        <f>PM_Angle!$J$23+PM_Angle!$K$23*$C32+PM_Angle!$L$23*$B32</f>
      </c>
      <c r="AQ32" s="12">
        <f>IF(AP32&gt;0,IF(AP32&lt;=eco,alpha*fck*(1-(1-AP32/eco)^n),alpha*fck),0)</f>
      </c>
      <c r="AR32" s="30">
        <f>PM_Angle!$J$24+PM_Angle!$K$24*$C32+PM_Angle!$L$24*$B32</f>
      </c>
      <c r="AS32" s="12">
        <f>IF(AR32&gt;0,IF(AR32&lt;=eco,alpha*fck*(1-(1-AR32/eco)^n),alpha*fck),0)</f>
      </c>
      <c r="AT32" s="30">
        <f>PM_Angle!$J$25+PM_Angle!$K$25*$C32+PM_Angle!$L$25*$B32</f>
      </c>
      <c r="AU32" s="12">
        <f>IF(AT32&gt;0,IF(AT32&lt;=eco,alpha*fck*(1-(1-AT32/eco)^n),alpha*fck),0)</f>
      </c>
    </row>
    <row r="33" spans="1:47" x14ac:dyDescent="0.25">
      <c r="A33">
        <f>Mesh!A30</f>
      </c>
      <c r="B33" s="12">
        <f>Mesh!B30</f>
      </c>
      <c r="C33" s="12">
        <f>Mesh!C30</f>
      </c>
      <c r="D33" s="12">
        <f>Mesh!D30</f>
      </c>
      <c r="E33" s="30">
        <f>INDEX(St_e0,Det+1)+INDEX(St_kx,Det+1)*C33+INDEX(St_ky,Det+1)*B33</f>
      </c>
      <c r="F33" s="12">
        <f>IF(E33&gt;0,IF(E33&lt;=eco,alpha*fck*(1-(1-E33/eco)^n),alpha*fck),0)</f>
      </c>
      <c r="G33" s="11">
        <f>F33*D33</f>
      </c>
      <c r="H33" s="11">
        <f>G33*C33</f>
      </c>
      <c r="I33" s="11">
        <f>G33*B33</f>
      </c>
      <c r="J33" s="30">
        <f>PM_Angle!$J$7+PM_Angle!$K$7*$C33+PM_Angle!$L$7*$B33</f>
      </c>
      <c r="K33" s="12">
        <f>IF(J33&gt;0,IF(J33&lt;=eco,alpha*fck*(1-(1-J33/eco)^n),alpha*fck),0)</f>
      </c>
      <c r="L33" s="30">
        <f>PM_Angle!$J$8+PM_Angle!$K$8*$C33+PM_Angle!$L$8*$B33</f>
      </c>
      <c r="M33" s="12">
        <f>IF(L33&gt;0,IF(L33&lt;=eco,alpha*fck*(1-(1-L33/eco)^n),alpha*fck),0)</f>
      </c>
      <c r="N33" s="30">
        <f>PM_Angle!$J$9+PM_Angle!$K$9*$C33+PM_Angle!$L$9*$B33</f>
      </c>
      <c r="O33" s="12">
        <f>IF(N33&gt;0,IF(N33&lt;=eco,alpha*fck*(1-(1-N33/eco)^n),alpha*fck),0)</f>
      </c>
      <c r="P33" s="30">
        <f>PM_Angle!$J$10+PM_Angle!$K$10*$C33+PM_Angle!$L$10*$B33</f>
      </c>
      <c r="Q33" s="12">
        <f>IF(P33&gt;0,IF(P33&lt;=eco,alpha*fck*(1-(1-P33/eco)^n),alpha*fck),0)</f>
      </c>
      <c r="R33" s="30">
        <f>PM_Angle!$J$11+PM_Angle!$K$11*$C33+PM_Angle!$L$11*$B33</f>
      </c>
      <c r="S33" s="12">
        <f>IF(R33&gt;0,IF(R33&lt;=eco,alpha*fck*(1-(1-R33/eco)^n),alpha*fck),0)</f>
      </c>
      <c r="T33" s="30">
        <f>PM_Angle!$J$12+PM_Angle!$K$12*$C33+PM_Angle!$L$12*$B33</f>
      </c>
      <c r="U33" s="12">
        <f>IF(T33&gt;0,IF(T33&lt;=eco,alpha*fck*(1-(1-T33/eco)^n),alpha*fck),0)</f>
      </c>
      <c r="V33" s="30">
        <f>PM_Angle!$J$13+PM_Angle!$K$13*$C33+PM_Angle!$L$13*$B33</f>
      </c>
      <c r="W33" s="12">
        <f>IF(V33&gt;0,IF(V33&lt;=eco,alpha*fck*(1-(1-V33/eco)^n),alpha*fck),0)</f>
      </c>
      <c r="X33" s="30">
        <f>PM_Angle!$J$14+PM_Angle!$K$14*$C33+PM_Angle!$L$14*$B33</f>
      </c>
      <c r="Y33" s="12">
        <f>IF(X33&gt;0,IF(X33&lt;=eco,alpha*fck*(1-(1-X33/eco)^n),alpha*fck),0)</f>
      </c>
      <c r="Z33" s="30">
        <f>PM_Angle!$J$15+PM_Angle!$K$15*$C33+PM_Angle!$L$15*$B33</f>
      </c>
      <c r="AA33" s="12">
        <f>IF(Z33&gt;0,IF(Z33&lt;=eco,alpha*fck*(1-(1-Z33/eco)^n),alpha*fck),0)</f>
      </c>
      <c r="AB33" s="30">
        <f>PM_Angle!$J$16+PM_Angle!$K$16*$C33+PM_Angle!$L$16*$B33</f>
      </c>
      <c r="AC33" s="12">
        <f>IF(AB33&gt;0,IF(AB33&lt;=eco,alpha*fck*(1-(1-AB33/eco)^n),alpha*fck),0)</f>
      </c>
      <c r="AD33" s="30">
        <f>PM_Angle!$J$17+PM_Angle!$K$17*$C33+PM_Angle!$L$17*$B33</f>
      </c>
      <c r="AE33" s="12">
        <f>IF(AD33&gt;0,IF(AD33&lt;=eco,alpha*fck*(1-(1-AD33/eco)^n),alpha*fck),0)</f>
      </c>
      <c r="AF33" s="30">
        <f>PM_Angle!$J$18+PM_Angle!$K$18*$C33+PM_Angle!$L$18*$B33</f>
      </c>
      <c r="AG33" s="12">
        <f>IF(AF33&gt;0,IF(AF33&lt;=eco,alpha*fck*(1-(1-AF33/eco)^n),alpha*fck),0)</f>
      </c>
      <c r="AH33" s="30">
        <f>PM_Angle!$J$19+PM_Angle!$K$19*$C33+PM_Angle!$L$19*$B33</f>
      </c>
      <c r="AI33" s="12">
        <f>IF(AH33&gt;0,IF(AH33&lt;=eco,alpha*fck*(1-(1-AH33/eco)^n),alpha*fck),0)</f>
      </c>
      <c r="AJ33" s="30">
        <f>PM_Angle!$J$20+PM_Angle!$K$20*$C33+PM_Angle!$L$20*$B33</f>
      </c>
      <c r="AK33" s="12">
        <f>IF(AJ33&gt;0,IF(AJ33&lt;=eco,alpha*fck*(1-(1-AJ33/eco)^n),alpha*fck),0)</f>
      </c>
      <c r="AL33" s="30">
        <f>PM_Angle!$J$21+PM_Angle!$K$21*$C33+PM_Angle!$L$21*$B33</f>
      </c>
      <c r="AM33" s="12">
        <f>IF(AL33&gt;0,IF(AL33&lt;=eco,alpha*fck*(1-(1-AL33/eco)^n),alpha*fck),0)</f>
      </c>
      <c r="AN33" s="30">
        <f>PM_Angle!$J$22+PM_Angle!$K$22*$C33+PM_Angle!$L$22*$B33</f>
      </c>
      <c r="AO33" s="12">
        <f>IF(AN33&gt;0,IF(AN33&lt;=eco,alpha*fck*(1-(1-AN33/eco)^n),alpha*fck),0)</f>
      </c>
      <c r="AP33" s="30">
        <f>PM_Angle!$J$23+PM_Angle!$K$23*$C33+PM_Angle!$L$23*$B33</f>
      </c>
      <c r="AQ33" s="12">
        <f>IF(AP33&gt;0,IF(AP33&lt;=eco,alpha*fck*(1-(1-AP33/eco)^n),alpha*fck),0)</f>
      </c>
      <c r="AR33" s="30">
        <f>PM_Angle!$J$24+PM_Angle!$K$24*$C33+PM_Angle!$L$24*$B33</f>
      </c>
      <c r="AS33" s="12">
        <f>IF(AR33&gt;0,IF(AR33&lt;=eco,alpha*fck*(1-(1-AR33/eco)^n),alpha*fck),0)</f>
      </c>
      <c r="AT33" s="30">
        <f>PM_Angle!$J$25+PM_Angle!$K$25*$C33+PM_Angle!$L$25*$B33</f>
      </c>
      <c r="AU33" s="12">
        <f>IF(AT33&gt;0,IF(AT33&lt;=eco,alpha*fck*(1-(1-AT33/eco)^n),alpha*fck),0)</f>
      </c>
    </row>
    <row r="34" spans="1:47" x14ac:dyDescent="0.25">
      <c r="A34">
        <f>Mesh!A31</f>
      </c>
      <c r="B34" s="12">
        <f>Mesh!B31</f>
      </c>
      <c r="C34" s="12">
        <f>Mesh!C31</f>
      </c>
      <c r="D34" s="12">
        <f>Mesh!D31</f>
      </c>
      <c r="E34" s="30">
        <f>INDEX(St_e0,Det+1)+INDEX(St_kx,Det+1)*C34+INDEX(St_ky,Det+1)*B34</f>
      </c>
      <c r="F34" s="12">
        <f>IF(E34&gt;0,IF(E34&lt;=eco,alpha*fck*(1-(1-E34/eco)^n),alpha*fck),0)</f>
      </c>
      <c r="G34" s="11">
        <f>F34*D34</f>
      </c>
      <c r="H34" s="11">
        <f>G34*C34</f>
      </c>
      <c r="I34" s="11">
        <f>G34*B34</f>
      </c>
      <c r="J34" s="30">
        <f>PM_Angle!$J$7+PM_Angle!$K$7*$C34+PM_Angle!$L$7*$B34</f>
      </c>
      <c r="K34" s="12">
        <f>IF(J34&gt;0,IF(J34&lt;=eco,alpha*fck*(1-(1-J34/eco)^n),alpha*fck),0)</f>
      </c>
      <c r="L34" s="30">
        <f>PM_Angle!$J$8+PM_Angle!$K$8*$C34+PM_Angle!$L$8*$B34</f>
      </c>
      <c r="M34" s="12">
        <f>IF(L34&gt;0,IF(L34&lt;=eco,alpha*fck*(1-(1-L34/eco)^n),alpha*fck),0)</f>
      </c>
      <c r="N34" s="30">
        <f>PM_Angle!$J$9+PM_Angle!$K$9*$C34+PM_Angle!$L$9*$B34</f>
      </c>
      <c r="O34" s="12">
        <f>IF(N34&gt;0,IF(N34&lt;=eco,alpha*fck*(1-(1-N34/eco)^n),alpha*fck),0)</f>
      </c>
      <c r="P34" s="30">
        <f>PM_Angle!$J$10+PM_Angle!$K$10*$C34+PM_Angle!$L$10*$B34</f>
      </c>
      <c r="Q34" s="12">
        <f>IF(P34&gt;0,IF(P34&lt;=eco,alpha*fck*(1-(1-P34/eco)^n),alpha*fck),0)</f>
      </c>
      <c r="R34" s="30">
        <f>PM_Angle!$J$11+PM_Angle!$K$11*$C34+PM_Angle!$L$11*$B34</f>
      </c>
      <c r="S34" s="12">
        <f>IF(R34&gt;0,IF(R34&lt;=eco,alpha*fck*(1-(1-R34/eco)^n),alpha*fck),0)</f>
      </c>
      <c r="T34" s="30">
        <f>PM_Angle!$J$12+PM_Angle!$K$12*$C34+PM_Angle!$L$12*$B34</f>
      </c>
      <c r="U34" s="12">
        <f>IF(T34&gt;0,IF(T34&lt;=eco,alpha*fck*(1-(1-T34/eco)^n),alpha*fck),0)</f>
      </c>
      <c r="V34" s="30">
        <f>PM_Angle!$J$13+PM_Angle!$K$13*$C34+PM_Angle!$L$13*$B34</f>
      </c>
      <c r="W34" s="12">
        <f>IF(V34&gt;0,IF(V34&lt;=eco,alpha*fck*(1-(1-V34/eco)^n),alpha*fck),0)</f>
      </c>
      <c r="X34" s="30">
        <f>PM_Angle!$J$14+PM_Angle!$K$14*$C34+PM_Angle!$L$14*$B34</f>
      </c>
      <c r="Y34" s="12">
        <f>IF(X34&gt;0,IF(X34&lt;=eco,alpha*fck*(1-(1-X34/eco)^n),alpha*fck),0)</f>
      </c>
      <c r="Z34" s="30">
        <f>PM_Angle!$J$15+PM_Angle!$K$15*$C34+PM_Angle!$L$15*$B34</f>
      </c>
      <c r="AA34" s="12">
        <f>IF(Z34&gt;0,IF(Z34&lt;=eco,alpha*fck*(1-(1-Z34/eco)^n),alpha*fck),0)</f>
      </c>
      <c r="AB34" s="30">
        <f>PM_Angle!$J$16+PM_Angle!$K$16*$C34+PM_Angle!$L$16*$B34</f>
      </c>
      <c r="AC34" s="12">
        <f>IF(AB34&gt;0,IF(AB34&lt;=eco,alpha*fck*(1-(1-AB34/eco)^n),alpha*fck),0)</f>
      </c>
      <c r="AD34" s="30">
        <f>PM_Angle!$J$17+PM_Angle!$K$17*$C34+PM_Angle!$L$17*$B34</f>
      </c>
      <c r="AE34" s="12">
        <f>IF(AD34&gt;0,IF(AD34&lt;=eco,alpha*fck*(1-(1-AD34/eco)^n),alpha*fck),0)</f>
      </c>
      <c r="AF34" s="30">
        <f>PM_Angle!$J$18+PM_Angle!$K$18*$C34+PM_Angle!$L$18*$B34</f>
      </c>
      <c r="AG34" s="12">
        <f>IF(AF34&gt;0,IF(AF34&lt;=eco,alpha*fck*(1-(1-AF34/eco)^n),alpha*fck),0)</f>
      </c>
      <c r="AH34" s="30">
        <f>PM_Angle!$J$19+PM_Angle!$K$19*$C34+PM_Angle!$L$19*$B34</f>
      </c>
      <c r="AI34" s="12">
        <f>IF(AH34&gt;0,IF(AH34&lt;=eco,alpha*fck*(1-(1-AH34/eco)^n),alpha*fck),0)</f>
      </c>
      <c r="AJ34" s="30">
        <f>PM_Angle!$J$20+PM_Angle!$K$20*$C34+PM_Angle!$L$20*$B34</f>
      </c>
      <c r="AK34" s="12">
        <f>IF(AJ34&gt;0,IF(AJ34&lt;=eco,alpha*fck*(1-(1-AJ34/eco)^n),alpha*fck),0)</f>
      </c>
      <c r="AL34" s="30">
        <f>PM_Angle!$J$21+PM_Angle!$K$21*$C34+PM_Angle!$L$21*$B34</f>
      </c>
      <c r="AM34" s="12">
        <f>IF(AL34&gt;0,IF(AL34&lt;=eco,alpha*fck*(1-(1-AL34/eco)^n),alpha*fck),0)</f>
      </c>
      <c r="AN34" s="30">
        <f>PM_Angle!$J$22+PM_Angle!$K$22*$C34+PM_Angle!$L$22*$B34</f>
      </c>
      <c r="AO34" s="12">
        <f>IF(AN34&gt;0,IF(AN34&lt;=eco,alpha*fck*(1-(1-AN34/eco)^n),alpha*fck),0)</f>
      </c>
      <c r="AP34" s="30">
        <f>PM_Angle!$J$23+PM_Angle!$K$23*$C34+PM_Angle!$L$23*$B34</f>
      </c>
      <c r="AQ34" s="12">
        <f>IF(AP34&gt;0,IF(AP34&lt;=eco,alpha*fck*(1-(1-AP34/eco)^n),alpha*fck),0)</f>
      </c>
      <c r="AR34" s="30">
        <f>PM_Angle!$J$24+PM_Angle!$K$24*$C34+PM_Angle!$L$24*$B34</f>
      </c>
      <c r="AS34" s="12">
        <f>IF(AR34&gt;0,IF(AR34&lt;=eco,alpha*fck*(1-(1-AR34/eco)^n),alpha*fck),0)</f>
      </c>
      <c r="AT34" s="30">
        <f>PM_Angle!$J$25+PM_Angle!$K$25*$C34+PM_Angle!$L$25*$B34</f>
      </c>
      <c r="AU34" s="12">
        <f>IF(AT34&gt;0,IF(AT34&lt;=eco,alpha*fck*(1-(1-AT34/eco)^n),alpha*fck),0)</f>
      </c>
    </row>
    <row r="35" spans="1:47" x14ac:dyDescent="0.25">
      <c r="A35">
        <f>Mesh!A32</f>
      </c>
      <c r="B35" s="12">
        <f>Mesh!B32</f>
      </c>
      <c r="C35" s="12">
        <f>Mesh!C32</f>
      </c>
      <c r="D35" s="12">
        <f>Mesh!D32</f>
      </c>
      <c r="E35" s="30">
        <f>INDEX(St_e0,Det+1)+INDEX(St_kx,Det+1)*C35+INDEX(St_ky,Det+1)*B35</f>
      </c>
      <c r="F35" s="12">
        <f>IF(E35&gt;0,IF(E35&lt;=eco,alpha*fck*(1-(1-E35/eco)^n),alpha*fck),0)</f>
      </c>
      <c r="G35" s="11">
        <f>F35*D35</f>
      </c>
      <c r="H35" s="11">
        <f>G35*C35</f>
      </c>
      <c r="I35" s="11">
        <f>G35*B35</f>
      </c>
      <c r="J35" s="30">
        <f>PM_Angle!$J$7+PM_Angle!$K$7*$C35+PM_Angle!$L$7*$B35</f>
      </c>
      <c r="K35" s="12">
        <f>IF(J35&gt;0,IF(J35&lt;=eco,alpha*fck*(1-(1-J35/eco)^n),alpha*fck),0)</f>
      </c>
      <c r="L35" s="30">
        <f>PM_Angle!$J$8+PM_Angle!$K$8*$C35+PM_Angle!$L$8*$B35</f>
      </c>
      <c r="M35" s="12">
        <f>IF(L35&gt;0,IF(L35&lt;=eco,alpha*fck*(1-(1-L35/eco)^n),alpha*fck),0)</f>
      </c>
      <c r="N35" s="30">
        <f>PM_Angle!$J$9+PM_Angle!$K$9*$C35+PM_Angle!$L$9*$B35</f>
      </c>
      <c r="O35" s="12">
        <f>IF(N35&gt;0,IF(N35&lt;=eco,alpha*fck*(1-(1-N35/eco)^n),alpha*fck),0)</f>
      </c>
      <c r="P35" s="30">
        <f>PM_Angle!$J$10+PM_Angle!$K$10*$C35+PM_Angle!$L$10*$B35</f>
      </c>
      <c r="Q35" s="12">
        <f>IF(P35&gt;0,IF(P35&lt;=eco,alpha*fck*(1-(1-P35/eco)^n),alpha*fck),0)</f>
      </c>
      <c r="R35" s="30">
        <f>PM_Angle!$J$11+PM_Angle!$K$11*$C35+PM_Angle!$L$11*$B35</f>
      </c>
      <c r="S35" s="12">
        <f>IF(R35&gt;0,IF(R35&lt;=eco,alpha*fck*(1-(1-R35/eco)^n),alpha*fck),0)</f>
      </c>
      <c r="T35" s="30">
        <f>PM_Angle!$J$12+PM_Angle!$K$12*$C35+PM_Angle!$L$12*$B35</f>
      </c>
      <c r="U35" s="12">
        <f>IF(T35&gt;0,IF(T35&lt;=eco,alpha*fck*(1-(1-T35/eco)^n),alpha*fck),0)</f>
      </c>
      <c r="V35" s="30">
        <f>PM_Angle!$J$13+PM_Angle!$K$13*$C35+PM_Angle!$L$13*$B35</f>
      </c>
      <c r="W35" s="12">
        <f>IF(V35&gt;0,IF(V35&lt;=eco,alpha*fck*(1-(1-V35/eco)^n),alpha*fck),0)</f>
      </c>
      <c r="X35" s="30">
        <f>PM_Angle!$J$14+PM_Angle!$K$14*$C35+PM_Angle!$L$14*$B35</f>
      </c>
      <c r="Y35" s="12">
        <f>IF(X35&gt;0,IF(X35&lt;=eco,alpha*fck*(1-(1-X35/eco)^n),alpha*fck),0)</f>
      </c>
      <c r="Z35" s="30">
        <f>PM_Angle!$J$15+PM_Angle!$K$15*$C35+PM_Angle!$L$15*$B35</f>
      </c>
      <c r="AA35" s="12">
        <f>IF(Z35&gt;0,IF(Z35&lt;=eco,alpha*fck*(1-(1-Z35/eco)^n),alpha*fck),0)</f>
      </c>
      <c r="AB35" s="30">
        <f>PM_Angle!$J$16+PM_Angle!$K$16*$C35+PM_Angle!$L$16*$B35</f>
      </c>
      <c r="AC35" s="12">
        <f>IF(AB35&gt;0,IF(AB35&lt;=eco,alpha*fck*(1-(1-AB35/eco)^n),alpha*fck),0)</f>
      </c>
      <c r="AD35" s="30">
        <f>PM_Angle!$J$17+PM_Angle!$K$17*$C35+PM_Angle!$L$17*$B35</f>
      </c>
      <c r="AE35" s="12">
        <f>IF(AD35&gt;0,IF(AD35&lt;=eco,alpha*fck*(1-(1-AD35/eco)^n),alpha*fck),0)</f>
      </c>
      <c r="AF35" s="30">
        <f>PM_Angle!$J$18+PM_Angle!$K$18*$C35+PM_Angle!$L$18*$B35</f>
      </c>
      <c r="AG35" s="12">
        <f>IF(AF35&gt;0,IF(AF35&lt;=eco,alpha*fck*(1-(1-AF35/eco)^n),alpha*fck),0)</f>
      </c>
      <c r="AH35" s="30">
        <f>PM_Angle!$J$19+PM_Angle!$K$19*$C35+PM_Angle!$L$19*$B35</f>
      </c>
      <c r="AI35" s="12">
        <f>IF(AH35&gt;0,IF(AH35&lt;=eco,alpha*fck*(1-(1-AH35/eco)^n),alpha*fck),0)</f>
      </c>
      <c r="AJ35" s="30">
        <f>PM_Angle!$J$20+PM_Angle!$K$20*$C35+PM_Angle!$L$20*$B35</f>
      </c>
      <c r="AK35" s="12">
        <f>IF(AJ35&gt;0,IF(AJ35&lt;=eco,alpha*fck*(1-(1-AJ35/eco)^n),alpha*fck),0)</f>
      </c>
      <c r="AL35" s="30">
        <f>PM_Angle!$J$21+PM_Angle!$K$21*$C35+PM_Angle!$L$21*$B35</f>
      </c>
      <c r="AM35" s="12">
        <f>IF(AL35&gt;0,IF(AL35&lt;=eco,alpha*fck*(1-(1-AL35/eco)^n),alpha*fck),0)</f>
      </c>
      <c r="AN35" s="30">
        <f>PM_Angle!$J$22+PM_Angle!$K$22*$C35+PM_Angle!$L$22*$B35</f>
      </c>
      <c r="AO35" s="12">
        <f>IF(AN35&gt;0,IF(AN35&lt;=eco,alpha*fck*(1-(1-AN35/eco)^n),alpha*fck),0)</f>
      </c>
      <c r="AP35" s="30">
        <f>PM_Angle!$J$23+PM_Angle!$K$23*$C35+PM_Angle!$L$23*$B35</f>
      </c>
      <c r="AQ35" s="12">
        <f>IF(AP35&gt;0,IF(AP35&lt;=eco,alpha*fck*(1-(1-AP35/eco)^n),alpha*fck),0)</f>
      </c>
      <c r="AR35" s="30">
        <f>PM_Angle!$J$24+PM_Angle!$K$24*$C35+PM_Angle!$L$24*$B35</f>
      </c>
      <c r="AS35" s="12">
        <f>IF(AR35&gt;0,IF(AR35&lt;=eco,alpha*fck*(1-(1-AR35/eco)^n),alpha*fck),0)</f>
      </c>
      <c r="AT35" s="30">
        <f>PM_Angle!$J$25+PM_Angle!$K$25*$C35+PM_Angle!$L$25*$B35</f>
      </c>
      <c r="AU35" s="12">
        <f>IF(AT35&gt;0,IF(AT35&lt;=eco,alpha*fck*(1-(1-AT35/eco)^n),alpha*fck),0)</f>
      </c>
    </row>
    <row r="36" spans="1:47" x14ac:dyDescent="0.25">
      <c r="A36">
        <f>Mesh!A33</f>
      </c>
      <c r="B36" s="12">
        <f>Mesh!B33</f>
      </c>
      <c r="C36" s="12">
        <f>Mesh!C33</f>
      </c>
      <c r="D36" s="12">
        <f>Mesh!D33</f>
      </c>
      <c r="E36" s="30">
        <f>INDEX(St_e0,Det+1)+INDEX(St_kx,Det+1)*C36+INDEX(St_ky,Det+1)*B36</f>
      </c>
      <c r="F36" s="12">
        <f>IF(E36&gt;0,IF(E36&lt;=eco,alpha*fck*(1-(1-E36/eco)^n),alpha*fck),0)</f>
      </c>
      <c r="G36" s="11">
        <f>F36*D36</f>
      </c>
      <c r="H36" s="11">
        <f>G36*C36</f>
      </c>
      <c r="I36" s="11">
        <f>G36*B36</f>
      </c>
      <c r="J36" s="30">
        <f>PM_Angle!$J$7+PM_Angle!$K$7*$C36+PM_Angle!$L$7*$B36</f>
      </c>
      <c r="K36" s="12">
        <f>IF(J36&gt;0,IF(J36&lt;=eco,alpha*fck*(1-(1-J36/eco)^n),alpha*fck),0)</f>
      </c>
      <c r="L36" s="30">
        <f>PM_Angle!$J$8+PM_Angle!$K$8*$C36+PM_Angle!$L$8*$B36</f>
      </c>
      <c r="M36" s="12">
        <f>IF(L36&gt;0,IF(L36&lt;=eco,alpha*fck*(1-(1-L36/eco)^n),alpha*fck),0)</f>
      </c>
      <c r="N36" s="30">
        <f>PM_Angle!$J$9+PM_Angle!$K$9*$C36+PM_Angle!$L$9*$B36</f>
      </c>
      <c r="O36" s="12">
        <f>IF(N36&gt;0,IF(N36&lt;=eco,alpha*fck*(1-(1-N36/eco)^n),alpha*fck),0)</f>
      </c>
      <c r="P36" s="30">
        <f>PM_Angle!$J$10+PM_Angle!$K$10*$C36+PM_Angle!$L$10*$B36</f>
      </c>
      <c r="Q36" s="12">
        <f>IF(P36&gt;0,IF(P36&lt;=eco,alpha*fck*(1-(1-P36/eco)^n),alpha*fck),0)</f>
      </c>
      <c r="R36" s="30">
        <f>PM_Angle!$J$11+PM_Angle!$K$11*$C36+PM_Angle!$L$11*$B36</f>
      </c>
      <c r="S36" s="12">
        <f>IF(R36&gt;0,IF(R36&lt;=eco,alpha*fck*(1-(1-R36/eco)^n),alpha*fck),0)</f>
      </c>
      <c r="T36" s="30">
        <f>PM_Angle!$J$12+PM_Angle!$K$12*$C36+PM_Angle!$L$12*$B36</f>
      </c>
      <c r="U36" s="12">
        <f>IF(T36&gt;0,IF(T36&lt;=eco,alpha*fck*(1-(1-T36/eco)^n),alpha*fck),0)</f>
      </c>
      <c r="V36" s="30">
        <f>PM_Angle!$J$13+PM_Angle!$K$13*$C36+PM_Angle!$L$13*$B36</f>
      </c>
      <c r="W36" s="12">
        <f>IF(V36&gt;0,IF(V36&lt;=eco,alpha*fck*(1-(1-V36/eco)^n),alpha*fck),0)</f>
      </c>
      <c r="X36" s="30">
        <f>PM_Angle!$J$14+PM_Angle!$K$14*$C36+PM_Angle!$L$14*$B36</f>
      </c>
      <c r="Y36" s="12">
        <f>IF(X36&gt;0,IF(X36&lt;=eco,alpha*fck*(1-(1-X36/eco)^n),alpha*fck),0)</f>
      </c>
      <c r="Z36" s="30">
        <f>PM_Angle!$J$15+PM_Angle!$K$15*$C36+PM_Angle!$L$15*$B36</f>
      </c>
      <c r="AA36" s="12">
        <f>IF(Z36&gt;0,IF(Z36&lt;=eco,alpha*fck*(1-(1-Z36/eco)^n),alpha*fck),0)</f>
      </c>
      <c r="AB36" s="30">
        <f>PM_Angle!$J$16+PM_Angle!$K$16*$C36+PM_Angle!$L$16*$B36</f>
      </c>
      <c r="AC36" s="12">
        <f>IF(AB36&gt;0,IF(AB36&lt;=eco,alpha*fck*(1-(1-AB36/eco)^n),alpha*fck),0)</f>
      </c>
      <c r="AD36" s="30">
        <f>PM_Angle!$J$17+PM_Angle!$K$17*$C36+PM_Angle!$L$17*$B36</f>
      </c>
      <c r="AE36" s="12">
        <f>IF(AD36&gt;0,IF(AD36&lt;=eco,alpha*fck*(1-(1-AD36/eco)^n),alpha*fck),0)</f>
      </c>
      <c r="AF36" s="30">
        <f>PM_Angle!$J$18+PM_Angle!$K$18*$C36+PM_Angle!$L$18*$B36</f>
      </c>
      <c r="AG36" s="12">
        <f>IF(AF36&gt;0,IF(AF36&lt;=eco,alpha*fck*(1-(1-AF36/eco)^n),alpha*fck),0)</f>
      </c>
      <c r="AH36" s="30">
        <f>PM_Angle!$J$19+PM_Angle!$K$19*$C36+PM_Angle!$L$19*$B36</f>
      </c>
      <c r="AI36" s="12">
        <f>IF(AH36&gt;0,IF(AH36&lt;=eco,alpha*fck*(1-(1-AH36/eco)^n),alpha*fck),0)</f>
      </c>
      <c r="AJ36" s="30">
        <f>PM_Angle!$J$20+PM_Angle!$K$20*$C36+PM_Angle!$L$20*$B36</f>
      </c>
      <c r="AK36" s="12">
        <f>IF(AJ36&gt;0,IF(AJ36&lt;=eco,alpha*fck*(1-(1-AJ36/eco)^n),alpha*fck),0)</f>
      </c>
      <c r="AL36" s="30">
        <f>PM_Angle!$J$21+PM_Angle!$K$21*$C36+PM_Angle!$L$21*$B36</f>
      </c>
      <c r="AM36" s="12">
        <f>IF(AL36&gt;0,IF(AL36&lt;=eco,alpha*fck*(1-(1-AL36/eco)^n),alpha*fck),0)</f>
      </c>
      <c r="AN36" s="30">
        <f>PM_Angle!$J$22+PM_Angle!$K$22*$C36+PM_Angle!$L$22*$B36</f>
      </c>
      <c r="AO36" s="12">
        <f>IF(AN36&gt;0,IF(AN36&lt;=eco,alpha*fck*(1-(1-AN36/eco)^n),alpha*fck),0)</f>
      </c>
      <c r="AP36" s="30">
        <f>PM_Angle!$J$23+PM_Angle!$K$23*$C36+PM_Angle!$L$23*$B36</f>
      </c>
      <c r="AQ36" s="12">
        <f>IF(AP36&gt;0,IF(AP36&lt;=eco,alpha*fck*(1-(1-AP36/eco)^n),alpha*fck),0)</f>
      </c>
      <c r="AR36" s="30">
        <f>PM_Angle!$J$24+PM_Angle!$K$24*$C36+PM_Angle!$L$24*$B36</f>
      </c>
      <c r="AS36" s="12">
        <f>IF(AR36&gt;0,IF(AR36&lt;=eco,alpha*fck*(1-(1-AR36/eco)^n),alpha*fck),0)</f>
      </c>
      <c r="AT36" s="30">
        <f>PM_Angle!$J$25+PM_Angle!$K$25*$C36+PM_Angle!$L$25*$B36</f>
      </c>
      <c r="AU36" s="12">
        <f>IF(AT36&gt;0,IF(AT36&lt;=eco,alpha*fck*(1-(1-AT36/eco)^n),alpha*fck),0)</f>
      </c>
    </row>
    <row r="37" spans="1:47" x14ac:dyDescent="0.25">
      <c r="A37">
        <f>Mesh!A34</f>
      </c>
      <c r="B37" s="12">
        <f>Mesh!B34</f>
      </c>
      <c r="C37" s="12">
        <f>Mesh!C34</f>
      </c>
      <c r="D37" s="12">
        <f>Mesh!D34</f>
      </c>
      <c r="E37" s="30">
        <f>INDEX(St_e0,Det+1)+INDEX(St_kx,Det+1)*C37+INDEX(St_ky,Det+1)*B37</f>
      </c>
      <c r="F37" s="12">
        <f>IF(E37&gt;0,IF(E37&lt;=eco,alpha*fck*(1-(1-E37/eco)^n),alpha*fck),0)</f>
      </c>
      <c r="G37" s="11">
        <f>F37*D37</f>
      </c>
      <c r="H37" s="11">
        <f>G37*C37</f>
      </c>
      <c r="I37" s="11">
        <f>G37*B37</f>
      </c>
      <c r="J37" s="30">
        <f>PM_Angle!$J$7+PM_Angle!$K$7*$C37+PM_Angle!$L$7*$B37</f>
      </c>
      <c r="K37" s="12">
        <f>IF(J37&gt;0,IF(J37&lt;=eco,alpha*fck*(1-(1-J37/eco)^n),alpha*fck),0)</f>
      </c>
      <c r="L37" s="30">
        <f>PM_Angle!$J$8+PM_Angle!$K$8*$C37+PM_Angle!$L$8*$B37</f>
      </c>
      <c r="M37" s="12">
        <f>IF(L37&gt;0,IF(L37&lt;=eco,alpha*fck*(1-(1-L37/eco)^n),alpha*fck),0)</f>
      </c>
      <c r="N37" s="30">
        <f>PM_Angle!$J$9+PM_Angle!$K$9*$C37+PM_Angle!$L$9*$B37</f>
      </c>
      <c r="O37" s="12">
        <f>IF(N37&gt;0,IF(N37&lt;=eco,alpha*fck*(1-(1-N37/eco)^n),alpha*fck),0)</f>
      </c>
      <c r="P37" s="30">
        <f>PM_Angle!$J$10+PM_Angle!$K$10*$C37+PM_Angle!$L$10*$B37</f>
      </c>
      <c r="Q37" s="12">
        <f>IF(P37&gt;0,IF(P37&lt;=eco,alpha*fck*(1-(1-P37/eco)^n),alpha*fck),0)</f>
      </c>
      <c r="R37" s="30">
        <f>PM_Angle!$J$11+PM_Angle!$K$11*$C37+PM_Angle!$L$11*$B37</f>
      </c>
      <c r="S37" s="12">
        <f>IF(R37&gt;0,IF(R37&lt;=eco,alpha*fck*(1-(1-R37/eco)^n),alpha*fck),0)</f>
      </c>
      <c r="T37" s="30">
        <f>PM_Angle!$J$12+PM_Angle!$K$12*$C37+PM_Angle!$L$12*$B37</f>
      </c>
      <c r="U37" s="12">
        <f>IF(T37&gt;0,IF(T37&lt;=eco,alpha*fck*(1-(1-T37/eco)^n),alpha*fck),0)</f>
      </c>
      <c r="V37" s="30">
        <f>PM_Angle!$J$13+PM_Angle!$K$13*$C37+PM_Angle!$L$13*$B37</f>
      </c>
      <c r="W37" s="12">
        <f>IF(V37&gt;0,IF(V37&lt;=eco,alpha*fck*(1-(1-V37/eco)^n),alpha*fck),0)</f>
      </c>
      <c r="X37" s="30">
        <f>PM_Angle!$J$14+PM_Angle!$K$14*$C37+PM_Angle!$L$14*$B37</f>
      </c>
      <c r="Y37" s="12">
        <f>IF(X37&gt;0,IF(X37&lt;=eco,alpha*fck*(1-(1-X37/eco)^n),alpha*fck),0)</f>
      </c>
      <c r="Z37" s="30">
        <f>PM_Angle!$J$15+PM_Angle!$K$15*$C37+PM_Angle!$L$15*$B37</f>
      </c>
      <c r="AA37" s="12">
        <f>IF(Z37&gt;0,IF(Z37&lt;=eco,alpha*fck*(1-(1-Z37/eco)^n),alpha*fck),0)</f>
      </c>
      <c r="AB37" s="30">
        <f>PM_Angle!$J$16+PM_Angle!$K$16*$C37+PM_Angle!$L$16*$B37</f>
      </c>
      <c r="AC37" s="12">
        <f>IF(AB37&gt;0,IF(AB37&lt;=eco,alpha*fck*(1-(1-AB37/eco)^n),alpha*fck),0)</f>
      </c>
      <c r="AD37" s="30">
        <f>PM_Angle!$J$17+PM_Angle!$K$17*$C37+PM_Angle!$L$17*$B37</f>
      </c>
      <c r="AE37" s="12">
        <f>IF(AD37&gt;0,IF(AD37&lt;=eco,alpha*fck*(1-(1-AD37/eco)^n),alpha*fck),0)</f>
      </c>
      <c r="AF37" s="30">
        <f>PM_Angle!$J$18+PM_Angle!$K$18*$C37+PM_Angle!$L$18*$B37</f>
      </c>
      <c r="AG37" s="12">
        <f>IF(AF37&gt;0,IF(AF37&lt;=eco,alpha*fck*(1-(1-AF37/eco)^n),alpha*fck),0)</f>
      </c>
      <c r="AH37" s="30">
        <f>PM_Angle!$J$19+PM_Angle!$K$19*$C37+PM_Angle!$L$19*$B37</f>
      </c>
      <c r="AI37" s="12">
        <f>IF(AH37&gt;0,IF(AH37&lt;=eco,alpha*fck*(1-(1-AH37/eco)^n),alpha*fck),0)</f>
      </c>
      <c r="AJ37" s="30">
        <f>PM_Angle!$J$20+PM_Angle!$K$20*$C37+PM_Angle!$L$20*$B37</f>
      </c>
      <c r="AK37" s="12">
        <f>IF(AJ37&gt;0,IF(AJ37&lt;=eco,alpha*fck*(1-(1-AJ37/eco)^n),alpha*fck),0)</f>
      </c>
      <c r="AL37" s="30">
        <f>PM_Angle!$J$21+PM_Angle!$K$21*$C37+PM_Angle!$L$21*$B37</f>
      </c>
      <c r="AM37" s="12">
        <f>IF(AL37&gt;0,IF(AL37&lt;=eco,alpha*fck*(1-(1-AL37/eco)^n),alpha*fck),0)</f>
      </c>
      <c r="AN37" s="30">
        <f>PM_Angle!$J$22+PM_Angle!$K$22*$C37+PM_Angle!$L$22*$B37</f>
      </c>
      <c r="AO37" s="12">
        <f>IF(AN37&gt;0,IF(AN37&lt;=eco,alpha*fck*(1-(1-AN37/eco)^n),alpha*fck),0)</f>
      </c>
      <c r="AP37" s="30">
        <f>PM_Angle!$J$23+PM_Angle!$K$23*$C37+PM_Angle!$L$23*$B37</f>
      </c>
      <c r="AQ37" s="12">
        <f>IF(AP37&gt;0,IF(AP37&lt;=eco,alpha*fck*(1-(1-AP37/eco)^n),alpha*fck),0)</f>
      </c>
      <c r="AR37" s="30">
        <f>PM_Angle!$J$24+PM_Angle!$K$24*$C37+PM_Angle!$L$24*$B37</f>
      </c>
      <c r="AS37" s="12">
        <f>IF(AR37&gt;0,IF(AR37&lt;=eco,alpha*fck*(1-(1-AR37/eco)^n),alpha*fck),0)</f>
      </c>
      <c r="AT37" s="30">
        <f>PM_Angle!$J$25+PM_Angle!$K$25*$C37+PM_Angle!$L$25*$B37</f>
      </c>
      <c r="AU37" s="12">
        <f>IF(AT37&gt;0,IF(AT37&lt;=eco,alpha*fck*(1-(1-AT37/eco)^n),alpha*fck),0)</f>
      </c>
    </row>
    <row r="38" spans="1:47" x14ac:dyDescent="0.25">
      <c r="A38">
        <f>Mesh!A35</f>
      </c>
      <c r="B38" s="12">
        <f>Mesh!B35</f>
      </c>
      <c r="C38" s="12">
        <f>Mesh!C35</f>
      </c>
      <c r="D38" s="12">
        <f>Mesh!D35</f>
      </c>
      <c r="E38" s="30">
        <f>INDEX(St_e0,Det+1)+INDEX(St_kx,Det+1)*C38+INDEX(St_ky,Det+1)*B38</f>
      </c>
      <c r="F38" s="12">
        <f>IF(E38&gt;0,IF(E38&lt;=eco,alpha*fck*(1-(1-E38/eco)^n),alpha*fck),0)</f>
      </c>
      <c r="G38" s="11">
        <f>F38*D38</f>
      </c>
      <c r="H38" s="11">
        <f>G38*C38</f>
      </c>
      <c r="I38" s="11">
        <f>G38*B38</f>
      </c>
      <c r="J38" s="30">
        <f>PM_Angle!$J$7+PM_Angle!$K$7*$C38+PM_Angle!$L$7*$B38</f>
      </c>
      <c r="K38" s="12">
        <f>IF(J38&gt;0,IF(J38&lt;=eco,alpha*fck*(1-(1-J38/eco)^n),alpha*fck),0)</f>
      </c>
      <c r="L38" s="30">
        <f>PM_Angle!$J$8+PM_Angle!$K$8*$C38+PM_Angle!$L$8*$B38</f>
      </c>
      <c r="M38" s="12">
        <f>IF(L38&gt;0,IF(L38&lt;=eco,alpha*fck*(1-(1-L38/eco)^n),alpha*fck),0)</f>
      </c>
      <c r="N38" s="30">
        <f>PM_Angle!$J$9+PM_Angle!$K$9*$C38+PM_Angle!$L$9*$B38</f>
      </c>
      <c r="O38" s="12">
        <f>IF(N38&gt;0,IF(N38&lt;=eco,alpha*fck*(1-(1-N38/eco)^n),alpha*fck),0)</f>
      </c>
      <c r="P38" s="30">
        <f>PM_Angle!$J$10+PM_Angle!$K$10*$C38+PM_Angle!$L$10*$B38</f>
      </c>
      <c r="Q38" s="12">
        <f>IF(P38&gt;0,IF(P38&lt;=eco,alpha*fck*(1-(1-P38/eco)^n),alpha*fck),0)</f>
      </c>
      <c r="R38" s="30">
        <f>PM_Angle!$J$11+PM_Angle!$K$11*$C38+PM_Angle!$L$11*$B38</f>
      </c>
      <c r="S38" s="12">
        <f>IF(R38&gt;0,IF(R38&lt;=eco,alpha*fck*(1-(1-R38/eco)^n),alpha*fck),0)</f>
      </c>
      <c r="T38" s="30">
        <f>PM_Angle!$J$12+PM_Angle!$K$12*$C38+PM_Angle!$L$12*$B38</f>
      </c>
      <c r="U38" s="12">
        <f>IF(T38&gt;0,IF(T38&lt;=eco,alpha*fck*(1-(1-T38/eco)^n),alpha*fck),0)</f>
      </c>
      <c r="V38" s="30">
        <f>PM_Angle!$J$13+PM_Angle!$K$13*$C38+PM_Angle!$L$13*$B38</f>
      </c>
      <c r="W38" s="12">
        <f>IF(V38&gt;0,IF(V38&lt;=eco,alpha*fck*(1-(1-V38/eco)^n),alpha*fck),0)</f>
      </c>
      <c r="X38" s="30">
        <f>PM_Angle!$J$14+PM_Angle!$K$14*$C38+PM_Angle!$L$14*$B38</f>
      </c>
      <c r="Y38" s="12">
        <f>IF(X38&gt;0,IF(X38&lt;=eco,alpha*fck*(1-(1-X38/eco)^n),alpha*fck),0)</f>
      </c>
      <c r="Z38" s="30">
        <f>PM_Angle!$J$15+PM_Angle!$K$15*$C38+PM_Angle!$L$15*$B38</f>
      </c>
      <c r="AA38" s="12">
        <f>IF(Z38&gt;0,IF(Z38&lt;=eco,alpha*fck*(1-(1-Z38/eco)^n),alpha*fck),0)</f>
      </c>
      <c r="AB38" s="30">
        <f>PM_Angle!$J$16+PM_Angle!$K$16*$C38+PM_Angle!$L$16*$B38</f>
      </c>
      <c r="AC38" s="12">
        <f>IF(AB38&gt;0,IF(AB38&lt;=eco,alpha*fck*(1-(1-AB38/eco)^n),alpha*fck),0)</f>
      </c>
      <c r="AD38" s="30">
        <f>PM_Angle!$J$17+PM_Angle!$K$17*$C38+PM_Angle!$L$17*$B38</f>
      </c>
      <c r="AE38" s="12">
        <f>IF(AD38&gt;0,IF(AD38&lt;=eco,alpha*fck*(1-(1-AD38/eco)^n),alpha*fck),0)</f>
      </c>
      <c r="AF38" s="30">
        <f>PM_Angle!$J$18+PM_Angle!$K$18*$C38+PM_Angle!$L$18*$B38</f>
      </c>
      <c r="AG38" s="12">
        <f>IF(AF38&gt;0,IF(AF38&lt;=eco,alpha*fck*(1-(1-AF38/eco)^n),alpha*fck),0)</f>
      </c>
      <c r="AH38" s="30">
        <f>PM_Angle!$J$19+PM_Angle!$K$19*$C38+PM_Angle!$L$19*$B38</f>
      </c>
      <c r="AI38" s="12">
        <f>IF(AH38&gt;0,IF(AH38&lt;=eco,alpha*fck*(1-(1-AH38/eco)^n),alpha*fck),0)</f>
      </c>
      <c r="AJ38" s="30">
        <f>PM_Angle!$J$20+PM_Angle!$K$20*$C38+PM_Angle!$L$20*$B38</f>
      </c>
      <c r="AK38" s="12">
        <f>IF(AJ38&gt;0,IF(AJ38&lt;=eco,alpha*fck*(1-(1-AJ38/eco)^n),alpha*fck),0)</f>
      </c>
      <c r="AL38" s="30">
        <f>PM_Angle!$J$21+PM_Angle!$K$21*$C38+PM_Angle!$L$21*$B38</f>
      </c>
      <c r="AM38" s="12">
        <f>IF(AL38&gt;0,IF(AL38&lt;=eco,alpha*fck*(1-(1-AL38/eco)^n),alpha*fck),0)</f>
      </c>
      <c r="AN38" s="30">
        <f>PM_Angle!$J$22+PM_Angle!$K$22*$C38+PM_Angle!$L$22*$B38</f>
      </c>
      <c r="AO38" s="12">
        <f>IF(AN38&gt;0,IF(AN38&lt;=eco,alpha*fck*(1-(1-AN38/eco)^n),alpha*fck),0)</f>
      </c>
      <c r="AP38" s="30">
        <f>PM_Angle!$J$23+PM_Angle!$K$23*$C38+PM_Angle!$L$23*$B38</f>
      </c>
      <c r="AQ38" s="12">
        <f>IF(AP38&gt;0,IF(AP38&lt;=eco,alpha*fck*(1-(1-AP38/eco)^n),alpha*fck),0)</f>
      </c>
      <c r="AR38" s="30">
        <f>PM_Angle!$J$24+PM_Angle!$K$24*$C38+PM_Angle!$L$24*$B38</f>
      </c>
      <c r="AS38" s="12">
        <f>IF(AR38&gt;0,IF(AR38&lt;=eco,alpha*fck*(1-(1-AR38/eco)^n),alpha*fck),0)</f>
      </c>
      <c r="AT38" s="30">
        <f>PM_Angle!$J$25+PM_Angle!$K$25*$C38+PM_Angle!$L$25*$B38</f>
      </c>
      <c r="AU38" s="12">
        <f>IF(AT38&gt;0,IF(AT38&lt;=eco,alpha*fck*(1-(1-AT38/eco)^n),alpha*fck),0)</f>
      </c>
    </row>
    <row r="39" spans="1:47" x14ac:dyDescent="0.25">
      <c r="A39">
        <f>Mesh!A36</f>
      </c>
      <c r="B39" s="12">
        <f>Mesh!B36</f>
      </c>
      <c r="C39" s="12">
        <f>Mesh!C36</f>
      </c>
      <c r="D39" s="12">
        <f>Mesh!D36</f>
      </c>
      <c r="E39" s="30">
        <f>INDEX(St_e0,Det+1)+INDEX(St_kx,Det+1)*C39+INDEX(St_ky,Det+1)*B39</f>
      </c>
      <c r="F39" s="12">
        <f>IF(E39&gt;0,IF(E39&lt;=eco,alpha*fck*(1-(1-E39/eco)^n),alpha*fck),0)</f>
      </c>
      <c r="G39" s="11">
        <f>F39*D39</f>
      </c>
      <c r="H39" s="11">
        <f>G39*C39</f>
      </c>
      <c r="I39" s="11">
        <f>G39*B39</f>
      </c>
      <c r="J39" s="30">
        <f>PM_Angle!$J$7+PM_Angle!$K$7*$C39+PM_Angle!$L$7*$B39</f>
      </c>
      <c r="K39" s="12">
        <f>IF(J39&gt;0,IF(J39&lt;=eco,alpha*fck*(1-(1-J39/eco)^n),alpha*fck),0)</f>
      </c>
      <c r="L39" s="30">
        <f>PM_Angle!$J$8+PM_Angle!$K$8*$C39+PM_Angle!$L$8*$B39</f>
      </c>
      <c r="M39" s="12">
        <f>IF(L39&gt;0,IF(L39&lt;=eco,alpha*fck*(1-(1-L39/eco)^n),alpha*fck),0)</f>
      </c>
      <c r="N39" s="30">
        <f>PM_Angle!$J$9+PM_Angle!$K$9*$C39+PM_Angle!$L$9*$B39</f>
      </c>
      <c r="O39" s="12">
        <f>IF(N39&gt;0,IF(N39&lt;=eco,alpha*fck*(1-(1-N39/eco)^n),alpha*fck),0)</f>
      </c>
      <c r="P39" s="30">
        <f>PM_Angle!$J$10+PM_Angle!$K$10*$C39+PM_Angle!$L$10*$B39</f>
      </c>
      <c r="Q39" s="12">
        <f>IF(P39&gt;0,IF(P39&lt;=eco,alpha*fck*(1-(1-P39/eco)^n),alpha*fck),0)</f>
      </c>
      <c r="R39" s="30">
        <f>PM_Angle!$J$11+PM_Angle!$K$11*$C39+PM_Angle!$L$11*$B39</f>
      </c>
      <c r="S39" s="12">
        <f>IF(R39&gt;0,IF(R39&lt;=eco,alpha*fck*(1-(1-R39/eco)^n),alpha*fck),0)</f>
      </c>
      <c r="T39" s="30">
        <f>PM_Angle!$J$12+PM_Angle!$K$12*$C39+PM_Angle!$L$12*$B39</f>
      </c>
      <c r="U39" s="12">
        <f>IF(T39&gt;0,IF(T39&lt;=eco,alpha*fck*(1-(1-T39/eco)^n),alpha*fck),0)</f>
      </c>
      <c r="V39" s="30">
        <f>PM_Angle!$J$13+PM_Angle!$K$13*$C39+PM_Angle!$L$13*$B39</f>
      </c>
      <c r="W39" s="12">
        <f>IF(V39&gt;0,IF(V39&lt;=eco,alpha*fck*(1-(1-V39/eco)^n),alpha*fck),0)</f>
      </c>
      <c r="X39" s="30">
        <f>PM_Angle!$J$14+PM_Angle!$K$14*$C39+PM_Angle!$L$14*$B39</f>
      </c>
      <c r="Y39" s="12">
        <f>IF(X39&gt;0,IF(X39&lt;=eco,alpha*fck*(1-(1-X39/eco)^n),alpha*fck),0)</f>
      </c>
      <c r="Z39" s="30">
        <f>PM_Angle!$J$15+PM_Angle!$K$15*$C39+PM_Angle!$L$15*$B39</f>
      </c>
      <c r="AA39" s="12">
        <f>IF(Z39&gt;0,IF(Z39&lt;=eco,alpha*fck*(1-(1-Z39/eco)^n),alpha*fck),0)</f>
      </c>
      <c r="AB39" s="30">
        <f>PM_Angle!$J$16+PM_Angle!$K$16*$C39+PM_Angle!$L$16*$B39</f>
      </c>
      <c r="AC39" s="12">
        <f>IF(AB39&gt;0,IF(AB39&lt;=eco,alpha*fck*(1-(1-AB39/eco)^n),alpha*fck),0)</f>
      </c>
      <c r="AD39" s="30">
        <f>PM_Angle!$J$17+PM_Angle!$K$17*$C39+PM_Angle!$L$17*$B39</f>
      </c>
      <c r="AE39" s="12">
        <f>IF(AD39&gt;0,IF(AD39&lt;=eco,alpha*fck*(1-(1-AD39/eco)^n),alpha*fck),0)</f>
      </c>
      <c r="AF39" s="30">
        <f>PM_Angle!$J$18+PM_Angle!$K$18*$C39+PM_Angle!$L$18*$B39</f>
      </c>
      <c r="AG39" s="12">
        <f>IF(AF39&gt;0,IF(AF39&lt;=eco,alpha*fck*(1-(1-AF39/eco)^n),alpha*fck),0)</f>
      </c>
      <c r="AH39" s="30">
        <f>PM_Angle!$J$19+PM_Angle!$K$19*$C39+PM_Angle!$L$19*$B39</f>
      </c>
      <c r="AI39" s="12">
        <f>IF(AH39&gt;0,IF(AH39&lt;=eco,alpha*fck*(1-(1-AH39/eco)^n),alpha*fck),0)</f>
      </c>
      <c r="AJ39" s="30">
        <f>PM_Angle!$J$20+PM_Angle!$K$20*$C39+PM_Angle!$L$20*$B39</f>
      </c>
      <c r="AK39" s="12">
        <f>IF(AJ39&gt;0,IF(AJ39&lt;=eco,alpha*fck*(1-(1-AJ39/eco)^n),alpha*fck),0)</f>
      </c>
      <c r="AL39" s="30">
        <f>PM_Angle!$J$21+PM_Angle!$K$21*$C39+PM_Angle!$L$21*$B39</f>
      </c>
      <c r="AM39" s="12">
        <f>IF(AL39&gt;0,IF(AL39&lt;=eco,alpha*fck*(1-(1-AL39/eco)^n),alpha*fck),0)</f>
      </c>
      <c r="AN39" s="30">
        <f>PM_Angle!$J$22+PM_Angle!$K$22*$C39+PM_Angle!$L$22*$B39</f>
      </c>
      <c r="AO39" s="12">
        <f>IF(AN39&gt;0,IF(AN39&lt;=eco,alpha*fck*(1-(1-AN39/eco)^n),alpha*fck),0)</f>
      </c>
      <c r="AP39" s="30">
        <f>PM_Angle!$J$23+PM_Angle!$K$23*$C39+PM_Angle!$L$23*$B39</f>
      </c>
      <c r="AQ39" s="12">
        <f>IF(AP39&gt;0,IF(AP39&lt;=eco,alpha*fck*(1-(1-AP39/eco)^n),alpha*fck),0)</f>
      </c>
      <c r="AR39" s="30">
        <f>PM_Angle!$J$24+PM_Angle!$K$24*$C39+PM_Angle!$L$24*$B39</f>
      </c>
      <c r="AS39" s="12">
        <f>IF(AR39&gt;0,IF(AR39&lt;=eco,alpha*fck*(1-(1-AR39/eco)^n),alpha*fck),0)</f>
      </c>
      <c r="AT39" s="30">
        <f>PM_Angle!$J$25+PM_Angle!$K$25*$C39+PM_Angle!$L$25*$B39</f>
      </c>
      <c r="AU39" s="12">
        <f>IF(AT39&gt;0,IF(AT39&lt;=eco,alpha*fck*(1-(1-AT39/eco)^n),alpha*fck),0)</f>
      </c>
    </row>
    <row r="40" spans="1:47" x14ac:dyDescent="0.25">
      <c r="A40">
        <f>Mesh!A37</f>
      </c>
      <c r="B40" s="12">
        <f>Mesh!B37</f>
      </c>
      <c r="C40" s="12">
        <f>Mesh!C37</f>
      </c>
      <c r="D40" s="12">
        <f>Mesh!D37</f>
      </c>
      <c r="E40" s="30">
        <f>INDEX(St_e0,Det+1)+INDEX(St_kx,Det+1)*C40+INDEX(St_ky,Det+1)*B40</f>
      </c>
      <c r="F40" s="12">
        <f>IF(E40&gt;0,IF(E40&lt;=eco,alpha*fck*(1-(1-E40/eco)^n),alpha*fck),0)</f>
      </c>
      <c r="G40" s="11">
        <f>F40*D40</f>
      </c>
      <c r="H40" s="11">
        <f>G40*C40</f>
      </c>
      <c r="I40" s="11">
        <f>G40*B40</f>
      </c>
      <c r="J40" s="30">
        <f>PM_Angle!$J$7+PM_Angle!$K$7*$C40+PM_Angle!$L$7*$B40</f>
      </c>
      <c r="K40" s="12">
        <f>IF(J40&gt;0,IF(J40&lt;=eco,alpha*fck*(1-(1-J40/eco)^n),alpha*fck),0)</f>
      </c>
      <c r="L40" s="30">
        <f>PM_Angle!$J$8+PM_Angle!$K$8*$C40+PM_Angle!$L$8*$B40</f>
      </c>
      <c r="M40" s="12">
        <f>IF(L40&gt;0,IF(L40&lt;=eco,alpha*fck*(1-(1-L40/eco)^n),alpha*fck),0)</f>
      </c>
      <c r="N40" s="30">
        <f>PM_Angle!$J$9+PM_Angle!$K$9*$C40+PM_Angle!$L$9*$B40</f>
      </c>
      <c r="O40" s="12">
        <f>IF(N40&gt;0,IF(N40&lt;=eco,alpha*fck*(1-(1-N40/eco)^n),alpha*fck),0)</f>
      </c>
      <c r="P40" s="30">
        <f>PM_Angle!$J$10+PM_Angle!$K$10*$C40+PM_Angle!$L$10*$B40</f>
      </c>
      <c r="Q40" s="12">
        <f>IF(P40&gt;0,IF(P40&lt;=eco,alpha*fck*(1-(1-P40/eco)^n),alpha*fck),0)</f>
      </c>
      <c r="R40" s="30">
        <f>PM_Angle!$J$11+PM_Angle!$K$11*$C40+PM_Angle!$L$11*$B40</f>
      </c>
      <c r="S40" s="12">
        <f>IF(R40&gt;0,IF(R40&lt;=eco,alpha*fck*(1-(1-R40/eco)^n),alpha*fck),0)</f>
      </c>
      <c r="T40" s="30">
        <f>PM_Angle!$J$12+PM_Angle!$K$12*$C40+PM_Angle!$L$12*$B40</f>
      </c>
      <c r="U40" s="12">
        <f>IF(T40&gt;0,IF(T40&lt;=eco,alpha*fck*(1-(1-T40/eco)^n),alpha*fck),0)</f>
      </c>
      <c r="V40" s="30">
        <f>PM_Angle!$J$13+PM_Angle!$K$13*$C40+PM_Angle!$L$13*$B40</f>
      </c>
      <c r="W40" s="12">
        <f>IF(V40&gt;0,IF(V40&lt;=eco,alpha*fck*(1-(1-V40/eco)^n),alpha*fck),0)</f>
      </c>
      <c r="X40" s="30">
        <f>PM_Angle!$J$14+PM_Angle!$K$14*$C40+PM_Angle!$L$14*$B40</f>
      </c>
      <c r="Y40" s="12">
        <f>IF(X40&gt;0,IF(X40&lt;=eco,alpha*fck*(1-(1-X40/eco)^n),alpha*fck),0)</f>
      </c>
      <c r="Z40" s="30">
        <f>PM_Angle!$J$15+PM_Angle!$K$15*$C40+PM_Angle!$L$15*$B40</f>
      </c>
      <c r="AA40" s="12">
        <f>IF(Z40&gt;0,IF(Z40&lt;=eco,alpha*fck*(1-(1-Z40/eco)^n),alpha*fck),0)</f>
      </c>
      <c r="AB40" s="30">
        <f>PM_Angle!$J$16+PM_Angle!$K$16*$C40+PM_Angle!$L$16*$B40</f>
      </c>
      <c r="AC40" s="12">
        <f>IF(AB40&gt;0,IF(AB40&lt;=eco,alpha*fck*(1-(1-AB40/eco)^n),alpha*fck),0)</f>
      </c>
      <c r="AD40" s="30">
        <f>PM_Angle!$J$17+PM_Angle!$K$17*$C40+PM_Angle!$L$17*$B40</f>
      </c>
      <c r="AE40" s="12">
        <f>IF(AD40&gt;0,IF(AD40&lt;=eco,alpha*fck*(1-(1-AD40/eco)^n),alpha*fck),0)</f>
      </c>
      <c r="AF40" s="30">
        <f>PM_Angle!$J$18+PM_Angle!$K$18*$C40+PM_Angle!$L$18*$B40</f>
      </c>
      <c r="AG40" s="12">
        <f>IF(AF40&gt;0,IF(AF40&lt;=eco,alpha*fck*(1-(1-AF40/eco)^n),alpha*fck),0)</f>
      </c>
      <c r="AH40" s="30">
        <f>PM_Angle!$J$19+PM_Angle!$K$19*$C40+PM_Angle!$L$19*$B40</f>
      </c>
      <c r="AI40" s="12">
        <f>IF(AH40&gt;0,IF(AH40&lt;=eco,alpha*fck*(1-(1-AH40/eco)^n),alpha*fck),0)</f>
      </c>
      <c r="AJ40" s="30">
        <f>PM_Angle!$J$20+PM_Angle!$K$20*$C40+PM_Angle!$L$20*$B40</f>
      </c>
      <c r="AK40" s="12">
        <f>IF(AJ40&gt;0,IF(AJ40&lt;=eco,alpha*fck*(1-(1-AJ40/eco)^n),alpha*fck),0)</f>
      </c>
      <c r="AL40" s="30">
        <f>PM_Angle!$J$21+PM_Angle!$K$21*$C40+PM_Angle!$L$21*$B40</f>
      </c>
      <c r="AM40" s="12">
        <f>IF(AL40&gt;0,IF(AL40&lt;=eco,alpha*fck*(1-(1-AL40/eco)^n),alpha*fck),0)</f>
      </c>
      <c r="AN40" s="30">
        <f>PM_Angle!$J$22+PM_Angle!$K$22*$C40+PM_Angle!$L$22*$B40</f>
      </c>
      <c r="AO40" s="12">
        <f>IF(AN40&gt;0,IF(AN40&lt;=eco,alpha*fck*(1-(1-AN40/eco)^n),alpha*fck),0)</f>
      </c>
      <c r="AP40" s="30">
        <f>PM_Angle!$J$23+PM_Angle!$K$23*$C40+PM_Angle!$L$23*$B40</f>
      </c>
      <c r="AQ40" s="12">
        <f>IF(AP40&gt;0,IF(AP40&lt;=eco,alpha*fck*(1-(1-AP40/eco)^n),alpha*fck),0)</f>
      </c>
      <c r="AR40" s="30">
        <f>PM_Angle!$J$24+PM_Angle!$K$24*$C40+PM_Angle!$L$24*$B40</f>
      </c>
      <c r="AS40" s="12">
        <f>IF(AR40&gt;0,IF(AR40&lt;=eco,alpha*fck*(1-(1-AR40/eco)^n),alpha*fck),0)</f>
      </c>
      <c r="AT40" s="30">
        <f>PM_Angle!$J$25+PM_Angle!$K$25*$C40+PM_Angle!$L$25*$B40</f>
      </c>
      <c r="AU40" s="12">
        <f>IF(AT40&gt;0,IF(AT40&lt;=eco,alpha*fck*(1-(1-AT40/eco)^n),alpha*fck),0)</f>
      </c>
    </row>
    <row r="41" spans="1:47" x14ac:dyDescent="0.25">
      <c r="A41">
        <f>Mesh!A38</f>
      </c>
      <c r="B41" s="12">
        <f>Mesh!B38</f>
      </c>
      <c r="C41" s="12">
        <f>Mesh!C38</f>
      </c>
      <c r="D41" s="12">
        <f>Mesh!D38</f>
      </c>
      <c r="E41" s="30">
        <f>INDEX(St_e0,Det+1)+INDEX(St_kx,Det+1)*C41+INDEX(St_ky,Det+1)*B41</f>
      </c>
      <c r="F41" s="12">
        <f>IF(E41&gt;0,IF(E41&lt;=eco,alpha*fck*(1-(1-E41/eco)^n),alpha*fck),0)</f>
      </c>
      <c r="G41" s="11">
        <f>F41*D41</f>
      </c>
      <c r="H41" s="11">
        <f>G41*C41</f>
      </c>
      <c r="I41" s="11">
        <f>G41*B41</f>
      </c>
      <c r="J41" s="30">
        <f>PM_Angle!$J$7+PM_Angle!$K$7*$C41+PM_Angle!$L$7*$B41</f>
      </c>
      <c r="K41" s="12">
        <f>IF(J41&gt;0,IF(J41&lt;=eco,alpha*fck*(1-(1-J41/eco)^n),alpha*fck),0)</f>
      </c>
      <c r="L41" s="30">
        <f>PM_Angle!$J$8+PM_Angle!$K$8*$C41+PM_Angle!$L$8*$B41</f>
      </c>
      <c r="M41" s="12">
        <f>IF(L41&gt;0,IF(L41&lt;=eco,alpha*fck*(1-(1-L41/eco)^n),alpha*fck),0)</f>
      </c>
      <c r="N41" s="30">
        <f>PM_Angle!$J$9+PM_Angle!$K$9*$C41+PM_Angle!$L$9*$B41</f>
      </c>
      <c r="O41" s="12">
        <f>IF(N41&gt;0,IF(N41&lt;=eco,alpha*fck*(1-(1-N41/eco)^n),alpha*fck),0)</f>
      </c>
      <c r="P41" s="30">
        <f>PM_Angle!$J$10+PM_Angle!$K$10*$C41+PM_Angle!$L$10*$B41</f>
      </c>
      <c r="Q41" s="12">
        <f>IF(P41&gt;0,IF(P41&lt;=eco,alpha*fck*(1-(1-P41/eco)^n),alpha*fck),0)</f>
      </c>
      <c r="R41" s="30">
        <f>PM_Angle!$J$11+PM_Angle!$K$11*$C41+PM_Angle!$L$11*$B41</f>
      </c>
      <c r="S41" s="12">
        <f>IF(R41&gt;0,IF(R41&lt;=eco,alpha*fck*(1-(1-R41/eco)^n),alpha*fck),0)</f>
      </c>
      <c r="T41" s="30">
        <f>PM_Angle!$J$12+PM_Angle!$K$12*$C41+PM_Angle!$L$12*$B41</f>
      </c>
      <c r="U41" s="12">
        <f>IF(T41&gt;0,IF(T41&lt;=eco,alpha*fck*(1-(1-T41/eco)^n),alpha*fck),0)</f>
      </c>
      <c r="V41" s="30">
        <f>PM_Angle!$J$13+PM_Angle!$K$13*$C41+PM_Angle!$L$13*$B41</f>
      </c>
      <c r="W41" s="12">
        <f>IF(V41&gt;0,IF(V41&lt;=eco,alpha*fck*(1-(1-V41/eco)^n),alpha*fck),0)</f>
      </c>
      <c r="X41" s="30">
        <f>PM_Angle!$J$14+PM_Angle!$K$14*$C41+PM_Angle!$L$14*$B41</f>
      </c>
      <c r="Y41" s="12">
        <f>IF(X41&gt;0,IF(X41&lt;=eco,alpha*fck*(1-(1-X41/eco)^n),alpha*fck),0)</f>
      </c>
      <c r="Z41" s="30">
        <f>PM_Angle!$J$15+PM_Angle!$K$15*$C41+PM_Angle!$L$15*$B41</f>
      </c>
      <c r="AA41" s="12">
        <f>IF(Z41&gt;0,IF(Z41&lt;=eco,alpha*fck*(1-(1-Z41/eco)^n),alpha*fck),0)</f>
      </c>
      <c r="AB41" s="30">
        <f>PM_Angle!$J$16+PM_Angle!$K$16*$C41+PM_Angle!$L$16*$B41</f>
      </c>
      <c r="AC41" s="12">
        <f>IF(AB41&gt;0,IF(AB41&lt;=eco,alpha*fck*(1-(1-AB41/eco)^n),alpha*fck),0)</f>
      </c>
      <c r="AD41" s="30">
        <f>PM_Angle!$J$17+PM_Angle!$K$17*$C41+PM_Angle!$L$17*$B41</f>
      </c>
      <c r="AE41" s="12">
        <f>IF(AD41&gt;0,IF(AD41&lt;=eco,alpha*fck*(1-(1-AD41/eco)^n),alpha*fck),0)</f>
      </c>
      <c r="AF41" s="30">
        <f>PM_Angle!$J$18+PM_Angle!$K$18*$C41+PM_Angle!$L$18*$B41</f>
      </c>
      <c r="AG41" s="12">
        <f>IF(AF41&gt;0,IF(AF41&lt;=eco,alpha*fck*(1-(1-AF41/eco)^n),alpha*fck),0)</f>
      </c>
      <c r="AH41" s="30">
        <f>PM_Angle!$J$19+PM_Angle!$K$19*$C41+PM_Angle!$L$19*$B41</f>
      </c>
      <c r="AI41" s="12">
        <f>IF(AH41&gt;0,IF(AH41&lt;=eco,alpha*fck*(1-(1-AH41/eco)^n),alpha*fck),0)</f>
      </c>
      <c r="AJ41" s="30">
        <f>PM_Angle!$J$20+PM_Angle!$K$20*$C41+PM_Angle!$L$20*$B41</f>
      </c>
      <c r="AK41" s="12">
        <f>IF(AJ41&gt;0,IF(AJ41&lt;=eco,alpha*fck*(1-(1-AJ41/eco)^n),alpha*fck),0)</f>
      </c>
      <c r="AL41" s="30">
        <f>PM_Angle!$J$21+PM_Angle!$K$21*$C41+PM_Angle!$L$21*$B41</f>
      </c>
      <c r="AM41" s="12">
        <f>IF(AL41&gt;0,IF(AL41&lt;=eco,alpha*fck*(1-(1-AL41/eco)^n),alpha*fck),0)</f>
      </c>
      <c r="AN41" s="30">
        <f>PM_Angle!$J$22+PM_Angle!$K$22*$C41+PM_Angle!$L$22*$B41</f>
      </c>
      <c r="AO41" s="12">
        <f>IF(AN41&gt;0,IF(AN41&lt;=eco,alpha*fck*(1-(1-AN41/eco)^n),alpha*fck),0)</f>
      </c>
      <c r="AP41" s="30">
        <f>PM_Angle!$J$23+PM_Angle!$K$23*$C41+PM_Angle!$L$23*$B41</f>
      </c>
      <c r="AQ41" s="12">
        <f>IF(AP41&gt;0,IF(AP41&lt;=eco,alpha*fck*(1-(1-AP41/eco)^n),alpha*fck),0)</f>
      </c>
      <c r="AR41" s="30">
        <f>PM_Angle!$J$24+PM_Angle!$K$24*$C41+PM_Angle!$L$24*$B41</f>
      </c>
      <c r="AS41" s="12">
        <f>IF(AR41&gt;0,IF(AR41&lt;=eco,alpha*fck*(1-(1-AR41/eco)^n),alpha*fck),0)</f>
      </c>
      <c r="AT41" s="30">
        <f>PM_Angle!$J$25+PM_Angle!$K$25*$C41+PM_Angle!$L$25*$B41</f>
      </c>
      <c r="AU41" s="12">
        <f>IF(AT41&gt;0,IF(AT41&lt;=eco,alpha*fck*(1-(1-AT41/eco)^n),alpha*fck),0)</f>
      </c>
    </row>
    <row r="42" spans="1:47" x14ac:dyDescent="0.25">
      <c r="A42">
        <f>Mesh!A39</f>
      </c>
      <c r="B42" s="12">
        <f>Mesh!B39</f>
      </c>
      <c r="C42" s="12">
        <f>Mesh!C39</f>
      </c>
      <c r="D42" s="12">
        <f>Mesh!D39</f>
      </c>
      <c r="E42" s="30">
        <f>INDEX(St_e0,Det+1)+INDEX(St_kx,Det+1)*C42+INDEX(St_ky,Det+1)*B42</f>
      </c>
      <c r="F42" s="12">
        <f>IF(E42&gt;0,IF(E42&lt;=eco,alpha*fck*(1-(1-E42/eco)^n),alpha*fck),0)</f>
      </c>
      <c r="G42" s="11">
        <f>F42*D42</f>
      </c>
      <c r="H42" s="11">
        <f>G42*C42</f>
      </c>
      <c r="I42" s="11">
        <f>G42*B42</f>
      </c>
      <c r="J42" s="30">
        <f>PM_Angle!$J$7+PM_Angle!$K$7*$C42+PM_Angle!$L$7*$B42</f>
      </c>
      <c r="K42" s="12">
        <f>IF(J42&gt;0,IF(J42&lt;=eco,alpha*fck*(1-(1-J42/eco)^n),alpha*fck),0)</f>
      </c>
      <c r="L42" s="30">
        <f>PM_Angle!$J$8+PM_Angle!$K$8*$C42+PM_Angle!$L$8*$B42</f>
      </c>
      <c r="M42" s="12">
        <f>IF(L42&gt;0,IF(L42&lt;=eco,alpha*fck*(1-(1-L42/eco)^n),alpha*fck),0)</f>
      </c>
      <c r="N42" s="30">
        <f>PM_Angle!$J$9+PM_Angle!$K$9*$C42+PM_Angle!$L$9*$B42</f>
      </c>
      <c r="O42" s="12">
        <f>IF(N42&gt;0,IF(N42&lt;=eco,alpha*fck*(1-(1-N42/eco)^n),alpha*fck),0)</f>
      </c>
      <c r="P42" s="30">
        <f>PM_Angle!$J$10+PM_Angle!$K$10*$C42+PM_Angle!$L$10*$B42</f>
      </c>
      <c r="Q42" s="12">
        <f>IF(P42&gt;0,IF(P42&lt;=eco,alpha*fck*(1-(1-P42/eco)^n),alpha*fck),0)</f>
      </c>
      <c r="R42" s="30">
        <f>PM_Angle!$J$11+PM_Angle!$K$11*$C42+PM_Angle!$L$11*$B42</f>
      </c>
      <c r="S42" s="12">
        <f>IF(R42&gt;0,IF(R42&lt;=eco,alpha*fck*(1-(1-R42/eco)^n),alpha*fck),0)</f>
      </c>
      <c r="T42" s="30">
        <f>PM_Angle!$J$12+PM_Angle!$K$12*$C42+PM_Angle!$L$12*$B42</f>
      </c>
      <c r="U42" s="12">
        <f>IF(T42&gt;0,IF(T42&lt;=eco,alpha*fck*(1-(1-T42/eco)^n),alpha*fck),0)</f>
      </c>
      <c r="V42" s="30">
        <f>PM_Angle!$J$13+PM_Angle!$K$13*$C42+PM_Angle!$L$13*$B42</f>
      </c>
      <c r="W42" s="12">
        <f>IF(V42&gt;0,IF(V42&lt;=eco,alpha*fck*(1-(1-V42/eco)^n),alpha*fck),0)</f>
      </c>
      <c r="X42" s="30">
        <f>PM_Angle!$J$14+PM_Angle!$K$14*$C42+PM_Angle!$L$14*$B42</f>
      </c>
      <c r="Y42" s="12">
        <f>IF(X42&gt;0,IF(X42&lt;=eco,alpha*fck*(1-(1-X42/eco)^n),alpha*fck),0)</f>
      </c>
      <c r="Z42" s="30">
        <f>PM_Angle!$J$15+PM_Angle!$K$15*$C42+PM_Angle!$L$15*$B42</f>
      </c>
      <c r="AA42" s="12">
        <f>IF(Z42&gt;0,IF(Z42&lt;=eco,alpha*fck*(1-(1-Z42/eco)^n),alpha*fck),0)</f>
      </c>
      <c r="AB42" s="30">
        <f>PM_Angle!$J$16+PM_Angle!$K$16*$C42+PM_Angle!$L$16*$B42</f>
      </c>
      <c r="AC42" s="12">
        <f>IF(AB42&gt;0,IF(AB42&lt;=eco,alpha*fck*(1-(1-AB42/eco)^n),alpha*fck),0)</f>
      </c>
      <c r="AD42" s="30">
        <f>PM_Angle!$J$17+PM_Angle!$K$17*$C42+PM_Angle!$L$17*$B42</f>
      </c>
      <c r="AE42" s="12">
        <f>IF(AD42&gt;0,IF(AD42&lt;=eco,alpha*fck*(1-(1-AD42/eco)^n),alpha*fck),0)</f>
      </c>
      <c r="AF42" s="30">
        <f>PM_Angle!$J$18+PM_Angle!$K$18*$C42+PM_Angle!$L$18*$B42</f>
      </c>
      <c r="AG42" s="12">
        <f>IF(AF42&gt;0,IF(AF42&lt;=eco,alpha*fck*(1-(1-AF42/eco)^n),alpha*fck),0)</f>
      </c>
      <c r="AH42" s="30">
        <f>PM_Angle!$J$19+PM_Angle!$K$19*$C42+PM_Angle!$L$19*$B42</f>
      </c>
      <c r="AI42" s="12">
        <f>IF(AH42&gt;0,IF(AH42&lt;=eco,alpha*fck*(1-(1-AH42/eco)^n),alpha*fck),0)</f>
      </c>
      <c r="AJ42" s="30">
        <f>PM_Angle!$J$20+PM_Angle!$K$20*$C42+PM_Angle!$L$20*$B42</f>
      </c>
      <c r="AK42" s="12">
        <f>IF(AJ42&gt;0,IF(AJ42&lt;=eco,alpha*fck*(1-(1-AJ42/eco)^n),alpha*fck),0)</f>
      </c>
      <c r="AL42" s="30">
        <f>PM_Angle!$J$21+PM_Angle!$K$21*$C42+PM_Angle!$L$21*$B42</f>
      </c>
      <c r="AM42" s="12">
        <f>IF(AL42&gt;0,IF(AL42&lt;=eco,alpha*fck*(1-(1-AL42/eco)^n),alpha*fck),0)</f>
      </c>
      <c r="AN42" s="30">
        <f>PM_Angle!$J$22+PM_Angle!$K$22*$C42+PM_Angle!$L$22*$B42</f>
      </c>
      <c r="AO42" s="12">
        <f>IF(AN42&gt;0,IF(AN42&lt;=eco,alpha*fck*(1-(1-AN42/eco)^n),alpha*fck),0)</f>
      </c>
      <c r="AP42" s="30">
        <f>PM_Angle!$J$23+PM_Angle!$K$23*$C42+PM_Angle!$L$23*$B42</f>
      </c>
      <c r="AQ42" s="12">
        <f>IF(AP42&gt;0,IF(AP42&lt;=eco,alpha*fck*(1-(1-AP42/eco)^n),alpha*fck),0)</f>
      </c>
      <c r="AR42" s="30">
        <f>PM_Angle!$J$24+PM_Angle!$K$24*$C42+PM_Angle!$L$24*$B42</f>
      </c>
      <c r="AS42" s="12">
        <f>IF(AR42&gt;0,IF(AR42&lt;=eco,alpha*fck*(1-(1-AR42/eco)^n),alpha*fck),0)</f>
      </c>
      <c r="AT42" s="30">
        <f>PM_Angle!$J$25+PM_Angle!$K$25*$C42+PM_Angle!$L$25*$B42</f>
      </c>
      <c r="AU42" s="12">
        <f>IF(AT42&gt;0,IF(AT42&lt;=eco,alpha*fck*(1-(1-AT42/eco)^n),alpha*fck),0)</f>
      </c>
    </row>
    <row r="43" spans="1:47" x14ac:dyDescent="0.25">
      <c r="A43">
        <f>Mesh!A40</f>
      </c>
      <c r="B43" s="12">
        <f>Mesh!B40</f>
      </c>
      <c r="C43" s="12">
        <f>Mesh!C40</f>
      </c>
      <c r="D43" s="12">
        <f>Mesh!D40</f>
      </c>
      <c r="E43" s="30">
        <f>INDEX(St_e0,Det+1)+INDEX(St_kx,Det+1)*C43+INDEX(St_ky,Det+1)*B43</f>
      </c>
      <c r="F43" s="12">
        <f>IF(E43&gt;0,IF(E43&lt;=eco,alpha*fck*(1-(1-E43/eco)^n),alpha*fck),0)</f>
      </c>
      <c r="G43" s="11">
        <f>F43*D43</f>
      </c>
      <c r="H43" s="11">
        <f>G43*C43</f>
      </c>
      <c r="I43" s="11">
        <f>G43*B43</f>
      </c>
      <c r="J43" s="30">
        <f>PM_Angle!$J$7+PM_Angle!$K$7*$C43+PM_Angle!$L$7*$B43</f>
      </c>
      <c r="K43" s="12">
        <f>IF(J43&gt;0,IF(J43&lt;=eco,alpha*fck*(1-(1-J43/eco)^n),alpha*fck),0)</f>
      </c>
      <c r="L43" s="30">
        <f>PM_Angle!$J$8+PM_Angle!$K$8*$C43+PM_Angle!$L$8*$B43</f>
      </c>
      <c r="M43" s="12">
        <f>IF(L43&gt;0,IF(L43&lt;=eco,alpha*fck*(1-(1-L43/eco)^n),alpha*fck),0)</f>
      </c>
      <c r="N43" s="30">
        <f>PM_Angle!$J$9+PM_Angle!$K$9*$C43+PM_Angle!$L$9*$B43</f>
      </c>
      <c r="O43" s="12">
        <f>IF(N43&gt;0,IF(N43&lt;=eco,alpha*fck*(1-(1-N43/eco)^n),alpha*fck),0)</f>
      </c>
      <c r="P43" s="30">
        <f>PM_Angle!$J$10+PM_Angle!$K$10*$C43+PM_Angle!$L$10*$B43</f>
      </c>
      <c r="Q43" s="12">
        <f>IF(P43&gt;0,IF(P43&lt;=eco,alpha*fck*(1-(1-P43/eco)^n),alpha*fck),0)</f>
      </c>
      <c r="R43" s="30">
        <f>PM_Angle!$J$11+PM_Angle!$K$11*$C43+PM_Angle!$L$11*$B43</f>
      </c>
      <c r="S43" s="12">
        <f>IF(R43&gt;0,IF(R43&lt;=eco,alpha*fck*(1-(1-R43/eco)^n),alpha*fck),0)</f>
      </c>
      <c r="T43" s="30">
        <f>PM_Angle!$J$12+PM_Angle!$K$12*$C43+PM_Angle!$L$12*$B43</f>
      </c>
      <c r="U43" s="12">
        <f>IF(T43&gt;0,IF(T43&lt;=eco,alpha*fck*(1-(1-T43/eco)^n),alpha*fck),0)</f>
      </c>
      <c r="V43" s="30">
        <f>PM_Angle!$J$13+PM_Angle!$K$13*$C43+PM_Angle!$L$13*$B43</f>
      </c>
      <c r="W43" s="12">
        <f>IF(V43&gt;0,IF(V43&lt;=eco,alpha*fck*(1-(1-V43/eco)^n),alpha*fck),0)</f>
      </c>
      <c r="X43" s="30">
        <f>PM_Angle!$J$14+PM_Angle!$K$14*$C43+PM_Angle!$L$14*$B43</f>
      </c>
      <c r="Y43" s="12">
        <f>IF(X43&gt;0,IF(X43&lt;=eco,alpha*fck*(1-(1-X43/eco)^n),alpha*fck),0)</f>
      </c>
      <c r="Z43" s="30">
        <f>PM_Angle!$J$15+PM_Angle!$K$15*$C43+PM_Angle!$L$15*$B43</f>
      </c>
      <c r="AA43" s="12">
        <f>IF(Z43&gt;0,IF(Z43&lt;=eco,alpha*fck*(1-(1-Z43/eco)^n),alpha*fck),0)</f>
      </c>
      <c r="AB43" s="30">
        <f>PM_Angle!$J$16+PM_Angle!$K$16*$C43+PM_Angle!$L$16*$B43</f>
      </c>
      <c r="AC43" s="12">
        <f>IF(AB43&gt;0,IF(AB43&lt;=eco,alpha*fck*(1-(1-AB43/eco)^n),alpha*fck),0)</f>
      </c>
      <c r="AD43" s="30">
        <f>PM_Angle!$J$17+PM_Angle!$K$17*$C43+PM_Angle!$L$17*$B43</f>
      </c>
      <c r="AE43" s="12">
        <f>IF(AD43&gt;0,IF(AD43&lt;=eco,alpha*fck*(1-(1-AD43/eco)^n),alpha*fck),0)</f>
      </c>
      <c r="AF43" s="30">
        <f>PM_Angle!$J$18+PM_Angle!$K$18*$C43+PM_Angle!$L$18*$B43</f>
      </c>
      <c r="AG43" s="12">
        <f>IF(AF43&gt;0,IF(AF43&lt;=eco,alpha*fck*(1-(1-AF43/eco)^n),alpha*fck),0)</f>
      </c>
      <c r="AH43" s="30">
        <f>PM_Angle!$J$19+PM_Angle!$K$19*$C43+PM_Angle!$L$19*$B43</f>
      </c>
      <c r="AI43" s="12">
        <f>IF(AH43&gt;0,IF(AH43&lt;=eco,alpha*fck*(1-(1-AH43/eco)^n),alpha*fck),0)</f>
      </c>
      <c r="AJ43" s="30">
        <f>PM_Angle!$J$20+PM_Angle!$K$20*$C43+PM_Angle!$L$20*$B43</f>
      </c>
      <c r="AK43" s="12">
        <f>IF(AJ43&gt;0,IF(AJ43&lt;=eco,alpha*fck*(1-(1-AJ43/eco)^n),alpha*fck),0)</f>
      </c>
      <c r="AL43" s="30">
        <f>PM_Angle!$J$21+PM_Angle!$K$21*$C43+PM_Angle!$L$21*$B43</f>
      </c>
      <c r="AM43" s="12">
        <f>IF(AL43&gt;0,IF(AL43&lt;=eco,alpha*fck*(1-(1-AL43/eco)^n),alpha*fck),0)</f>
      </c>
      <c r="AN43" s="30">
        <f>PM_Angle!$J$22+PM_Angle!$K$22*$C43+PM_Angle!$L$22*$B43</f>
      </c>
      <c r="AO43" s="12">
        <f>IF(AN43&gt;0,IF(AN43&lt;=eco,alpha*fck*(1-(1-AN43/eco)^n),alpha*fck),0)</f>
      </c>
      <c r="AP43" s="30">
        <f>PM_Angle!$J$23+PM_Angle!$K$23*$C43+PM_Angle!$L$23*$B43</f>
      </c>
      <c r="AQ43" s="12">
        <f>IF(AP43&gt;0,IF(AP43&lt;=eco,alpha*fck*(1-(1-AP43/eco)^n),alpha*fck),0)</f>
      </c>
      <c r="AR43" s="30">
        <f>PM_Angle!$J$24+PM_Angle!$K$24*$C43+PM_Angle!$L$24*$B43</f>
      </c>
      <c r="AS43" s="12">
        <f>IF(AR43&gt;0,IF(AR43&lt;=eco,alpha*fck*(1-(1-AR43/eco)^n),alpha*fck),0)</f>
      </c>
      <c r="AT43" s="30">
        <f>PM_Angle!$J$25+PM_Angle!$K$25*$C43+PM_Angle!$L$25*$B43</f>
      </c>
      <c r="AU43" s="12">
        <f>IF(AT43&gt;0,IF(AT43&lt;=eco,alpha*fck*(1-(1-AT43/eco)^n),alpha*fck),0)</f>
      </c>
    </row>
    <row r="44" spans="1:47" x14ac:dyDescent="0.25">
      <c r="A44">
        <f>Mesh!A41</f>
      </c>
      <c r="B44" s="12">
        <f>Mesh!B41</f>
      </c>
      <c r="C44" s="12">
        <f>Mesh!C41</f>
      </c>
      <c r="D44" s="12">
        <f>Mesh!D41</f>
      </c>
      <c r="E44" s="30">
        <f>INDEX(St_e0,Det+1)+INDEX(St_kx,Det+1)*C44+INDEX(St_ky,Det+1)*B44</f>
      </c>
      <c r="F44" s="12">
        <f>IF(E44&gt;0,IF(E44&lt;=eco,alpha*fck*(1-(1-E44/eco)^n),alpha*fck),0)</f>
      </c>
      <c r="G44" s="11">
        <f>F44*D44</f>
      </c>
      <c r="H44" s="11">
        <f>G44*C44</f>
      </c>
      <c r="I44" s="11">
        <f>G44*B44</f>
      </c>
      <c r="J44" s="30">
        <f>PM_Angle!$J$7+PM_Angle!$K$7*$C44+PM_Angle!$L$7*$B44</f>
      </c>
      <c r="K44" s="12">
        <f>IF(J44&gt;0,IF(J44&lt;=eco,alpha*fck*(1-(1-J44/eco)^n),alpha*fck),0)</f>
      </c>
      <c r="L44" s="30">
        <f>PM_Angle!$J$8+PM_Angle!$K$8*$C44+PM_Angle!$L$8*$B44</f>
      </c>
      <c r="M44" s="12">
        <f>IF(L44&gt;0,IF(L44&lt;=eco,alpha*fck*(1-(1-L44/eco)^n),alpha*fck),0)</f>
      </c>
      <c r="N44" s="30">
        <f>PM_Angle!$J$9+PM_Angle!$K$9*$C44+PM_Angle!$L$9*$B44</f>
      </c>
      <c r="O44" s="12">
        <f>IF(N44&gt;0,IF(N44&lt;=eco,alpha*fck*(1-(1-N44/eco)^n),alpha*fck),0)</f>
      </c>
      <c r="P44" s="30">
        <f>PM_Angle!$J$10+PM_Angle!$K$10*$C44+PM_Angle!$L$10*$B44</f>
      </c>
      <c r="Q44" s="12">
        <f>IF(P44&gt;0,IF(P44&lt;=eco,alpha*fck*(1-(1-P44/eco)^n),alpha*fck),0)</f>
      </c>
      <c r="R44" s="30">
        <f>PM_Angle!$J$11+PM_Angle!$K$11*$C44+PM_Angle!$L$11*$B44</f>
      </c>
      <c r="S44" s="12">
        <f>IF(R44&gt;0,IF(R44&lt;=eco,alpha*fck*(1-(1-R44/eco)^n),alpha*fck),0)</f>
      </c>
      <c r="T44" s="30">
        <f>PM_Angle!$J$12+PM_Angle!$K$12*$C44+PM_Angle!$L$12*$B44</f>
      </c>
      <c r="U44" s="12">
        <f>IF(T44&gt;0,IF(T44&lt;=eco,alpha*fck*(1-(1-T44/eco)^n),alpha*fck),0)</f>
      </c>
      <c r="V44" s="30">
        <f>PM_Angle!$J$13+PM_Angle!$K$13*$C44+PM_Angle!$L$13*$B44</f>
      </c>
      <c r="W44" s="12">
        <f>IF(V44&gt;0,IF(V44&lt;=eco,alpha*fck*(1-(1-V44/eco)^n),alpha*fck),0)</f>
      </c>
      <c r="X44" s="30">
        <f>PM_Angle!$J$14+PM_Angle!$K$14*$C44+PM_Angle!$L$14*$B44</f>
      </c>
      <c r="Y44" s="12">
        <f>IF(X44&gt;0,IF(X44&lt;=eco,alpha*fck*(1-(1-X44/eco)^n),alpha*fck),0)</f>
      </c>
      <c r="Z44" s="30">
        <f>PM_Angle!$J$15+PM_Angle!$K$15*$C44+PM_Angle!$L$15*$B44</f>
      </c>
      <c r="AA44" s="12">
        <f>IF(Z44&gt;0,IF(Z44&lt;=eco,alpha*fck*(1-(1-Z44/eco)^n),alpha*fck),0)</f>
      </c>
      <c r="AB44" s="30">
        <f>PM_Angle!$J$16+PM_Angle!$K$16*$C44+PM_Angle!$L$16*$B44</f>
      </c>
      <c r="AC44" s="12">
        <f>IF(AB44&gt;0,IF(AB44&lt;=eco,alpha*fck*(1-(1-AB44/eco)^n),alpha*fck),0)</f>
      </c>
      <c r="AD44" s="30">
        <f>PM_Angle!$J$17+PM_Angle!$K$17*$C44+PM_Angle!$L$17*$B44</f>
      </c>
      <c r="AE44" s="12">
        <f>IF(AD44&gt;0,IF(AD44&lt;=eco,alpha*fck*(1-(1-AD44/eco)^n),alpha*fck),0)</f>
      </c>
      <c r="AF44" s="30">
        <f>PM_Angle!$J$18+PM_Angle!$K$18*$C44+PM_Angle!$L$18*$B44</f>
      </c>
      <c r="AG44" s="12">
        <f>IF(AF44&gt;0,IF(AF44&lt;=eco,alpha*fck*(1-(1-AF44/eco)^n),alpha*fck),0)</f>
      </c>
      <c r="AH44" s="30">
        <f>PM_Angle!$J$19+PM_Angle!$K$19*$C44+PM_Angle!$L$19*$B44</f>
      </c>
      <c r="AI44" s="12">
        <f>IF(AH44&gt;0,IF(AH44&lt;=eco,alpha*fck*(1-(1-AH44/eco)^n),alpha*fck),0)</f>
      </c>
      <c r="AJ44" s="30">
        <f>PM_Angle!$J$20+PM_Angle!$K$20*$C44+PM_Angle!$L$20*$B44</f>
      </c>
      <c r="AK44" s="12">
        <f>IF(AJ44&gt;0,IF(AJ44&lt;=eco,alpha*fck*(1-(1-AJ44/eco)^n),alpha*fck),0)</f>
      </c>
      <c r="AL44" s="30">
        <f>PM_Angle!$J$21+PM_Angle!$K$21*$C44+PM_Angle!$L$21*$B44</f>
      </c>
      <c r="AM44" s="12">
        <f>IF(AL44&gt;0,IF(AL44&lt;=eco,alpha*fck*(1-(1-AL44/eco)^n),alpha*fck),0)</f>
      </c>
      <c r="AN44" s="30">
        <f>PM_Angle!$J$22+PM_Angle!$K$22*$C44+PM_Angle!$L$22*$B44</f>
      </c>
      <c r="AO44" s="12">
        <f>IF(AN44&gt;0,IF(AN44&lt;=eco,alpha*fck*(1-(1-AN44/eco)^n),alpha*fck),0)</f>
      </c>
      <c r="AP44" s="30">
        <f>PM_Angle!$J$23+PM_Angle!$K$23*$C44+PM_Angle!$L$23*$B44</f>
      </c>
      <c r="AQ44" s="12">
        <f>IF(AP44&gt;0,IF(AP44&lt;=eco,alpha*fck*(1-(1-AP44/eco)^n),alpha*fck),0)</f>
      </c>
      <c r="AR44" s="30">
        <f>PM_Angle!$J$24+PM_Angle!$K$24*$C44+PM_Angle!$L$24*$B44</f>
      </c>
      <c r="AS44" s="12">
        <f>IF(AR44&gt;0,IF(AR44&lt;=eco,alpha*fck*(1-(1-AR44/eco)^n),alpha*fck),0)</f>
      </c>
      <c r="AT44" s="30">
        <f>PM_Angle!$J$25+PM_Angle!$K$25*$C44+PM_Angle!$L$25*$B44</f>
      </c>
      <c r="AU44" s="12">
        <f>IF(AT44&gt;0,IF(AT44&lt;=eco,alpha*fck*(1-(1-AT44/eco)^n),alpha*fck),0)</f>
      </c>
    </row>
    <row r="45" spans="1:47" x14ac:dyDescent="0.25">
      <c r="A45">
        <f>Mesh!A42</f>
      </c>
      <c r="B45" s="12">
        <f>Mesh!B42</f>
      </c>
      <c r="C45" s="12">
        <f>Mesh!C42</f>
      </c>
      <c r="D45" s="12">
        <f>Mesh!D42</f>
      </c>
      <c r="E45" s="30">
        <f>INDEX(St_e0,Det+1)+INDEX(St_kx,Det+1)*C45+INDEX(St_ky,Det+1)*B45</f>
      </c>
      <c r="F45" s="12">
        <f>IF(E45&gt;0,IF(E45&lt;=eco,alpha*fck*(1-(1-E45/eco)^n),alpha*fck),0)</f>
      </c>
      <c r="G45" s="11">
        <f>F45*D45</f>
      </c>
      <c r="H45" s="11">
        <f>G45*C45</f>
      </c>
      <c r="I45" s="11">
        <f>G45*B45</f>
      </c>
      <c r="J45" s="30">
        <f>PM_Angle!$J$7+PM_Angle!$K$7*$C45+PM_Angle!$L$7*$B45</f>
      </c>
      <c r="K45" s="12">
        <f>IF(J45&gt;0,IF(J45&lt;=eco,alpha*fck*(1-(1-J45/eco)^n),alpha*fck),0)</f>
      </c>
      <c r="L45" s="30">
        <f>PM_Angle!$J$8+PM_Angle!$K$8*$C45+PM_Angle!$L$8*$B45</f>
      </c>
      <c r="M45" s="12">
        <f>IF(L45&gt;0,IF(L45&lt;=eco,alpha*fck*(1-(1-L45/eco)^n),alpha*fck),0)</f>
      </c>
      <c r="N45" s="30">
        <f>PM_Angle!$J$9+PM_Angle!$K$9*$C45+PM_Angle!$L$9*$B45</f>
      </c>
      <c r="O45" s="12">
        <f>IF(N45&gt;0,IF(N45&lt;=eco,alpha*fck*(1-(1-N45/eco)^n),alpha*fck),0)</f>
      </c>
      <c r="P45" s="30">
        <f>PM_Angle!$J$10+PM_Angle!$K$10*$C45+PM_Angle!$L$10*$B45</f>
      </c>
      <c r="Q45" s="12">
        <f>IF(P45&gt;0,IF(P45&lt;=eco,alpha*fck*(1-(1-P45/eco)^n),alpha*fck),0)</f>
      </c>
      <c r="R45" s="30">
        <f>PM_Angle!$J$11+PM_Angle!$K$11*$C45+PM_Angle!$L$11*$B45</f>
      </c>
      <c r="S45" s="12">
        <f>IF(R45&gt;0,IF(R45&lt;=eco,alpha*fck*(1-(1-R45/eco)^n),alpha*fck),0)</f>
      </c>
      <c r="T45" s="30">
        <f>PM_Angle!$J$12+PM_Angle!$K$12*$C45+PM_Angle!$L$12*$B45</f>
      </c>
      <c r="U45" s="12">
        <f>IF(T45&gt;0,IF(T45&lt;=eco,alpha*fck*(1-(1-T45/eco)^n),alpha*fck),0)</f>
      </c>
      <c r="V45" s="30">
        <f>PM_Angle!$J$13+PM_Angle!$K$13*$C45+PM_Angle!$L$13*$B45</f>
      </c>
      <c r="W45" s="12">
        <f>IF(V45&gt;0,IF(V45&lt;=eco,alpha*fck*(1-(1-V45/eco)^n),alpha*fck),0)</f>
      </c>
      <c r="X45" s="30">
        <f>PM_Angle!$J$14+PM_Angle!$K$14*$C45+PM_Angle!$L$14*$B45</f>
      </c>
      <c r="Y45" s="12">
        <f>IF(X45&gt;0,IF(X45&lt;=eco,alpha*fck*(1-(1-X45/eco)^n),alpha*fck),0)</f>
      </c>
      <c r="Z45" s="30">
        <f>PM_Angle!$J$15+PM_Angle!$K$15*$C45+PM_Angle!$L$15*$B45</f>
      </c>
      <c r="AA45" s="12">
        <f>IF(Z45&gt;0,IF(Z45&lt;=eco,alpha*fck*(1-(1-Z45/eco)^n),alpha*fck),0)</f>
      </c>
      <c r="AB45" s="30">
        <f>PM_Angle!$J$16+PM_Angle!$K$16*$C45+PM_Angle!$L$16*$B45</f>
      </c>
      <c r="AC45" s="12">
        <f>IF(AB45&gt;0,IF(AB45&lt;=eco,alpha*fck*(1-(1-AB45/eco)^n),alpha*fck),0)</f>
      </c>
      <c r="AD45" s="30">
        <f>PM_Angle!$J$17+PM_Angle!$K$17*$C45+PM_Angle!$L$17*$B45</f>
      </c>
      <c r="AE45" s="12">
        <f>IF(AD45&gt;0,IF(AD45&lt;=eco,alpha*fck*(1-(1-AD45/eco)^n),alpha*fck),0)</f>
      </c>
      <c r="AF45" s="30">
        <f>PM_Angle!$J$18+PM_Angle!$K$18*$C45+PM_Angle!$L$18*$B45</f>
      </c>
      <c r="AG45" s="12">
        <f>IF(AF45&gt;0,IF(AF45&lt;=eco,alpha*fck*(1-(1-AF45/eco)^n),alpha*fck),0)</f>
      </c>
      <c r="AH45" s="30">
        <f>PM_Angle!$J$19+PM_Angle!$K$19*$C45+PM_Angle!$L$19*$B45</f>
      </c>
      <c r="AI45" s="12">
        <f>IF(AH45&gt;0,IF(AH45&lt;=eco,alpha*fck*(1-(1-AH45/eco)^n),alpha*fck),0)</f>
      </c>
      <c r="AJ45" s="30">
        <f>PM_Angle!$J$20+PM_Angle!$K$20*$C45+PM_Angle!$L$20*$B45</f>
      </c>
      <c r="AK45" s="12">
        <f>IF(AJ45&gt;0,IF(AJ45&lt;=eco,alpha*fck*(1-(1-AJ45/eco)^n),alpha*fck),0)</f>
      </c>
      <c r="AL45" s="30">
        <f>PM_Angle!$J$21+PM_Angle!$K$21*$C45+PM_Angle!$L$21*$B45</f>
      </c>
      <c r="AM45" s="12">
        <f>IF(AL45&gt;0,IF(AL45&lt;=eco,alpha*fck*(1-(1-AL45/eco)^n),alpha*fck),0)</f>
      </c>
      <c r="AN45" s="30">
        <f>PM_Angle!$J$22+PM_Angle!$K$22*$C45+PM_Angle!$L$22*$B45</f>
      </c>
      <c r="AO45" s="12">
        <f>IF(AN45&gt;0,IF(AN45&lt;=eco,alpha*fck*(1-(1-AN45/eco)^n),alpha*fck),0)</f>
      </c>
      <c r="AP45" s="30">
        <f>PM_Angle!$J$23+PM_Angle!$K$23*$C45+PM_Angle!$L$23*$B45</f>
      </c>
      <c r="AQ45" s="12">
        <f>IF(AP45&gt;0,IF(AP45&lt;=eco,alpha*fck*(1-(1-AP45/eco)^n),alpha*fck),0)</f>
      </c>
      <c r="AR45" s="30">
        <f>PM_Angle!$J$24+PM_Angle!$K$24*$C45+PM_Angle!$L$24*$B45</f>
      </c>
      <c r="AS45" s="12">
        <f>IF(AR45&gt;0,IF(AR45&lt;=eco,alpha*fck*(1-(1-AR45/eco)^n),alpha*fck),0)</f>
      </c>
      <c r="AT45" s="30">
        <f>PM_Angle!$J$25+PM_Angle!$K$25*$C45+PM_Angle!$L$25*$B45</f>
      </c>
      <c r="AU45" s="12">
        <f>IF(AT45&gt;0,IF(AT45&lt;=eco,alpha*fck*(1-(1-AT45/eco)^n),alpha*fck),0)</f>
      </c>
    </row>
    <row r="46" spans="1:47" x14ac:dyDescent="0.25">
      <c r="A46">
        <f>Mesh!A43</f>
      </c>
      <c r="B46" s="12">
        <f>Mesh!B43</f>
      </c>
      <c r="C46" s="12">
        <f>Mesh!C43</f>
      </c>
      <c r="D46" s="12">
        <f>Mesh!D43</f>
      </c>
      <c r="E46" s="30">
        <f>INDEX(St_e0,Det+1)+INDEX(St_kx,Det+1)*C46+INDEX(St_ky,Det+1)*B46</f>
      </c>
      <c r="F46" s="12">
        <f>IF(E46&gt;0,IF(E46&lt;=eco,alpha*fck*(1-(1-E46/eco)^n),alpha*fck),0)</f>
      </c>
      <c r="G46" s="11">
        <f>F46*D46</f>
      </c>
      <c r="H46" s="11">
        <f>G46*C46</f>
      </c>
      <c r="I46" s="11">
        <f>G46*B46</f>
      </c>
      <c r="J46" s="30">
        <f>PM_Angle!$J$7+PM_Angle!$K$7*$C46+PM_Angle!$L$7*$B46</f>
      </c>
      <c r="K46" s="12">
        <f>IF(J46&gt;0,IF(J46&lt;=eco,alpha*fck*(1-(1-J46/eco)^n),alpha*fck),0)</f>
      </c>
      <c r="L46" s="30">
        <f>PM_Angle!$J$8+PM_Angle!$K$8*$C46+PM_Angle!$L$8*$B46</f>
      </c>
      <c r="M46" s="12">
        <f>IF(L46&gt;0,IF(L46&lt;=eco,alpha*fck*(1-(1-L46/eco)^n),alpha*fck),0)</f>
      </c>
      <c r="N46" s="30">
        <f>PM_Angle!$J$9+PM_Angle!$K$9*$C46+PM_Angle!$L$9*$B46</f>
      </c>
      <c r="O46" s="12">
        <f>IF(N46&gt;0,IF(N46&lt;=eco,alpha*fck*(1-(1-N46/eco)^n),alpha*fck),0)</f>
      </c>
      <c r="P46" s="30">
        <f>PM_Angle!$J$10+PM_Angle!$K$10*$C46+PM_Angle!$L$10*$B46</f>
      </c>
      <c r="Q46" s="12">
        <f>IF(P46&gt;0,IF(P46&lt;=eco,alpha*fck*(1-(1-P46/eco)^n),alpha*fck),0)</f>
      </c>
      <c r="R46" s="30">
        <f>PM_Angle!$J$11+PM_Angle!$K$11*$C46+PM_Angle!$L$11*$B46</f>
      </c>
      <c r="S46" s="12">
        <f>IF(R46&gt;0,IF(R46&lt;=eco,alpha*fck*(1-(1-R46/eco)^n),alpha*fck),0)</f>
      </c>
      <c r="T46" s="30">
        <f>PM_Angle!$J$12+PM_Angle!$K$12*$C46+PM_Angle!$L$12*$B46</f>
      </c>
      <c r="U46" s="12">
        <f>IF(T46&gt;0,IF(T46&lt;=eco,alpha*fck*(1-(1-T46/eco)^n),alpha*fck),0)</f>
      </c>
      <c r="V46" s="30">
        <f>PM_Angle!$J$13+PM_Angle!$K$13*$C46+PM_Angle!$L$13*$B46</f>
      </c>
      <c r="W46" s="12">
        <f>IF(V46&gt;0,IF(V46&lt;=eco,alpha*fck*(1-(1-V46/eco)^n),alpha*fck),0)</f>
      </c>
      <c r="X46" s="30">
        <f>PM_Angle!$J$14+PM_Angle!$K$14*$C46+PM_Angle!$L$14*$B46</f>
      </c>
      <c r="Y46" s="12">
        <f>IF(X46&gt;0,IF(X46&lt;=eco,alpha*fck*(1-(1-X46/eco)^n),alpha*fck),0)</f>
      </c>
      <c r="Z46" s="30">
        <f>PM_Angle!$J$15+PM_Angle!$K$15*$C46+PM_Angle!$L$15*$B46</f>
      </c>
      <c r="AA46" s="12">
        <f>IF(Z46&gt;0,IF(Z46&lt;=eco,alpha*fck*(1-(1-Z46/eco)^n),alpha*fck),0)</f>
      </c>
      <c r="AB46" s="30">
        <f>PM_Angle!$J$16+PM_Angle!$K$16*$C46+PM_Angle!$L$16*$B46</f>
      </c>
      <c r="AC46" s="12">
        <f>IF(AB46&gt;0,IF(AB46&lt;=eco,alpha*fck*(1-(1-AB46/eco)^n),alpha*fck),0)</f>
      </c>
      <c r="AD46" s="30">
        <f>PM_Angle!$J$17+PM_Angle!$K$17*$C46+PM_Angle!$L$17*$B46</f>
      </c>
      <c r="AE46" s="12">
        <f>IF(AD46&gt;0,IF(AD46&lt;=eco,alpha*fck*(1-(1-AD46/eco)^n),alpha*fck),0)</f>
      </c>
      <c r="AF46" s="30">
        <f>PM_Angle!$J$18+PM_Angle!$K$18*$C46+PM_Angle!$L$18*$B46</f>
      </c>
      <c r="AG46" s="12">
        <f>IF(AF46&gt;0,IF(AF46&lt;=eco,alpha*fck*(1-(1-AF46/eco)^n),alpha*fck),0)</f>
      </c>
      <c r="AH46" s="30">
        <f>PM_Angle!$J$19+PM_Angle!$K$19*$C46+PM_Angle!$L$19*$B46</f>
      </c>
      <c r="AI46" s="12">
        <f>IF(AH46&gt;0,IF(AH46&lt;=eco,alpha*fck*(1-(1-AH46/eco)^n),alpha*fck),0)</f>
      </c>
      <c r="AJ46" s="30">
        <f>PM_Angle!$J$20+PM_Angle!$K$20*$C46+PM_Angle!$L$20*$B46</f>
      </c>
      <c r="AK46" s="12">
        <f>IF(AJ46&gt;0,IF(AJ46&lt;=eco,alpha*fck*(1-(1-AJ46/eco)^n),alpha*fck),0)</f>
      </c>
      <c r="AL46" s="30">
        <f>PM_Angle!$J$21+PM_Angle!$K$21*$C46+PM_Angle!$L$21*$B46</f>
      </c>
      <c r="AM46" s="12">
        <f>IF(AL46&gt;0,IF(AL46&lt;=eco,alpha*fck*(1-(1-AL46/eco)^n),alpha*fck),0)</f>
      </c>
      <c r="AN46" s="30">
        <f>PM_Angle!$J$22+PM_Angle!$K$22*$C46+PM_Angle!$L$22*$B46</f>
      </c>
      <c r="AO46" s="12">
        <f>IF(AN46&gt;0,IF(AN46&lt;=eco,alpha*fck*(1-(1-AN46/eco)^n),alpha*fck),0)</f>
      </c>
      <c r="AP46" s="30">
        <f>PM_Angle!$J$23+PM_Angle!$K$23*$C46+PM_Angle!$L$23*$B46</f>
      </c>
      <c r="AQ46" s="12">
        <f>IF(AP46&gt;0,IF(AP46&lt;=eco,alpha*fck*(1-(1-AP46/eco)^n),alpha*fck),0)</f>
      </c>
      <c r="AR46" s="30">
        <f>PM_Angle!$J$24+PM_Angle!$K$24*$C46+PM_Angle!$L$24*$B46</f>
      </c>
      <c r="AS46" s="12">
        <f>IF(AR46&gt;0,IF(AR46&lt;=eco,alpha*fck*(1-(1-AR46/eco)^n),alpha*fck),0)</f>
      </c>
      <c r="AT46" s="30">
        <f>PM_Angle!$J$25+PM_Angle!$K$25*$C46+PM_Angle!$L$25*$B46</f>
      </c>
      <c r="AU46" s="12">
        <f>IF(AT46&gt;0,IF(AT46&lt;=eco,alpha*fck*(1-(1-AT46/eco)^n),alpha*fck),0)</f>
      </c>
    </row>
    <row r="47" spans="1:47" x14ac:dyDescent="0.25">
      <c r="A47">
        <f>Mesh!A44</f>
      </c>
      <c r="B47" s="12">
        <f>Mesh!B44</f>
      </c>
      <c r="C47" s="12">
        <f>Mesh!C44</f>
      </c>
      <c r="D47" s="12">
        <f>Mesh!D44</f>
      </c>
      <c r="E47" s="30">
        <f>INDEX(St_e0,Det+1)+INDEX(St_kx,Det+1)*C47+INDEX(St_ky,Det+1)*B47</f>
      </c>
      <c r="F47" s="12">
        <f>IF(E47&gt;0,IF(E47&lt;=eco,alpha*fck*(1-(1-E47/eco)^n),alpha*fck),0)</f>
      </c>
      <c r="G47" s="11">
        <f>F47*D47</f>
      </c>
      <c r="H47" s="11">
        <f>G47*C47</f>
      </c>
      <c r="I47" s="11">
        <f>G47*B47</f>
      </c>
      <c r="J47" s="30">
        <f>PM_Angle!$J$7+PM_Angle!$K$7*$C47+PM_Angle!$L$7*$B47</f>
      </c>
      <c r="K47" s="12">
        <f>IF(J47&gt;0,IF(J47&lt;=eco,alpha*fck*(1-(1-J47/eco)^n),alpha*fck),0)</f>
      </c>
      <c r="L47" s="30">
        <f>PM_Angle!$J$8+PM_Angle!$K$8*$C47+PM_Angle!$L$8*$B47</f>
      </c>
      <c r="M47" s="12">
        <f>IF(L47&gt;0,IF(L47&lt;=eco,alpha*fck*(1-(1-L47/eco)^n),alpha*fck),0)</f>
      </c>
      <c r="N47" s="30">
        <f>PM_Angle!$J$9+PM_Angle!$K$9*$C47+PM_Angle!$L$9*$B47</f>
      </c>
      <c r="O47" s="12">
        <f>IF(N47&gt;0,IF(N47&lt;=eco,alpha*fck*(1-(1-N47/eco)^n),alpha*fck),0)</f>
      </c>
      <c r="P47" s="30">
        <f>PM_Angle!$J$10+PM_Angle!$K$10*$C47+PM_Angle!$L$10*$B47</f>
      </c>
      <c r="Q47" s="12">
        <f>IF(P47&gt;0,IF(P47&lt;=eco,alpha*fck*(1-(1-P47/eco)^n),alpha*fck),0)</f>
      </c>
      <c r="R47" s="30">
        <f>PM_Angle!$J$11+PM_Angle!$K$11*$C47+PM_Angle!$L$11*$B47</f>
      </c>
      <c r="S47" s="12">
        <f>IF(R47&gt;0,IF(R47&lt;=eco,alpha*fck*(1-(1-R47/eco)^n),alpha*fck),0)</f>
      </c>
      <c r="T47" s="30">
        <f>PM_Angle!$J$12+PM_Angle!$K$12*$C47+PM_Angle!$L$12*$B47</f>
      </c>
      <c r="U47" s="12">
        <f>IF(T47&gt;0,IF(T47&lt;=eco,alpha*fck*(1-(1-T47/eco)^n),alpha*fck),0)</f>
      </c>
      <c r="V47" s="30">
        <f>PM_Angle!$J$13+PM_Angle!$K$13*$C47+PM_Angle!$L$13*$B47</f>
      </c>
      <c r="W47" s="12">
        <f>IF(V47&gt;0,IF(V47&lt;=eco,alpha*fck*(1-(1-V47/eco)^n),alpha*fck),0)</f>
      </c>
      <c r="X47" s="30">
        <f>PM_Angle!$J$14+PM_Angle!$K$14*$C47+PM_Angle!$L$14*$B47</f>
      </c>
      <c r="Y47" s="12">
        <f>IF(X47&gt;0,IF(X47&lt;=eco,alpha*fck*(1-(1-X47/eco)^n),alpha*fck),0)</f>
      </c>
      <c r="Z47" s="30">
        <f>PM_Angle!$J$15+PM_Angle!$K$15*$C47+PM_Angle!$L$15*$B47</f>
      </c>
      <c r="AA47" s="12">
        <f>IF(Z47&gt;0,IF(Z47&lt;=eco,alpha*fck*(1-(1-Z47/eco)^n),alpha*fck),0)</f>
      </c>
      <c r="AB47" s="30">
        <f>PM_Angle!$J$16+PM_Angle!$K$16*$C47+PM_Angle!$L$16*$B47</f>
      </c>
      <c r="AC47" s="12">
        <f>IF(AB47&gt;0,IF(AB47&lt;=eco,alpha*fck*(1-(1-AB47/eco)^n),alpha*fck),0)</f>
      </c>
      <c r="AD47" s="30">
        <f>PM_Angle!$J$17+PM_Angle!$K$17*$C47+PM_Angle!$L$17*$B47</f>
      </c>
      <c r="AE47" s="12">
        <f>IF(AD47&gt;0,IF(AD47&lt;=eco,alpha*fck*(1-(1-AD47/eco)^n),alpha*fck),0)</f>
      </c>
      <c r="AF47" s="30">
        <f>PM_Angle!$J$18+PM_Angle!$K$18*$C47+PM_Angle!$L$18*$B47</f>
      </c>
      <c r="AG47" s="12">
        <f>IF(AF47&gt;0,IF(AF47&lt;=eco,alpha*fck*(1-(1-AF47/eco)^n),alpha*fck),0)</f>
      </c>
      <c r="AH47" s="30">
        <f>PM_Angle!$J$19+PM_Angle!$K$19*$C47+PM_Angle!$L$19*$B47</f>
      </c>
      <c r="AI47" s="12">
        <f>IF(AH47&gt;0,IF(AH47&lt;=eco,alpha*fck*(1-(1-AH47/eco)^n),alpha*fck),0)</f>
      </c>
      <c r="AJ47" s="30">
        <f>PM_Angle!$J$20+PM_Angle!$K$20*$C47+PM_Angle!$L$20*$B47</f>
      </c>
      <c r="AK47" s="12">
        <f>IF(AJ47&gt;0,IF(AJ47&lt;=eco,alpha*fck*(1-(1-AJ47/eco)^n),alpha*fck),0)</f>
      </c>
      <c r="AL47" s="30">
        <f>PM_Angle!$J$21+PM_Angle!$K$21*$C47+PM_Angle!$L$21*$B47</f>
      </c>
      <c r="AM47" s="12">
        <f>IF(AL47&gt;0,IF(AL47&lt;=eco,alpha*fck*(1-(1-AL47/eco)^n),alpha*fck),0)</f>
      </c>
      <c r="AN47" s="30">
        <f>PM_Angle!$J$22+PM_Angle!$K$22*$C47+PM_Angle!$L$22*$B47</f>
      </c>
      <c r="AO47" s="12">
        <f>IF(AN47&gt;0,IF(AN47&lt;=eco,alpha*fck*(1-(1-AN47/eco)^n),alpha*fck),0)</f>
      </c>
      <c r="AP47" s="30">
        <f>PM_Angle!$J$23+PM_Angle!$K$23*$C47+PM_Angle!$L$23*$B47</f>
      </c>
      <c r="AQ47" s="12">
        <f>IF(AP47&gt;0,IF(AP47&lt;=eco,alpha*fck*(1-(1-AP47/eco)^n),alpha*fck),0)</f>
      </c>
      <c r="AR47" s="30">
        <f>PM_Angle!$J$24+PM_Angle!$K$24*$C47+PM_Angle!$L$24*$B47</f>
      </c>
      <c r="AS47" s="12">
        <f>IF(AR47&gt;0,IF(AR47&lt;=eco,alpha*fck*(1-(1-AR47/eco)^n),alpha*fck),0)</f>
      </c>
      <c r="AT47" s="30">
        <f>PM_Angle!$J$25+PM_Angle!$K$25*$C47+PM_Angle!$L$25*$B47</f>
      </c>
      <c r="AU47" s="12">
        <f>IF(AT47&gt;0,IF(AT47&lt;=eco,alpha*fck*(1-(1-AT47/eco)^n),alpha*fck),0)</f>
      </c>
    </row>
    <row r="48" spans="1:47" x14ac:dyDescent="0.25">
      <c r="A48">
        <f>Mesh!A45</f>
      </c>
      <c r="B48" s="12">
        <f>Mesh!B45</f>
      </c>
      <c r="C48" s="12">
        <f>Mesh!C45</f>
      </c>
      <c r="D48" s="12">
        <f>Mesh!D45</f>
      </c>
      <c r="E48" s="30">
        <f>INDEX(St_e0,Det+1)+INDEX(St_kx,Det+1)*C48+INDEX(St_ky,Det+1)*B48</f>
      </c>
      <c r="F48" s="12">
        <f>IF(E48&gt;0,IF(E48&lt;=eco,alpha*fck*(1-(1-E48/eco)^n),alpha*fck),0)</f>
      </c>
      <c r="G48" s="11">
        <f>F48*D48</f>
      </c>
      <c r="H48" s="11">
        <f>G48*C48</f>
      </c>
      <c r="I48" s="11">
        <f>G48*B48</f>
      </c>
      <c r="J48" s="30">
        <f>PM_Angle!$J$7+PM_Angle!$K$7*$C48+PM_Angle!$L$7*$B48</f>
      </c>
      <c r="K48" s="12">
        <f>IF(J48&gt;0,IF(J48&lt;=eco,alpha*fck*(1-(1-J48/eco)^n),alpha*fck),0)</f>
      </c>
      <c r="L48" s="30">
        <f>PM_Angle!$J$8+PM_Angle!$K$8*$C48+PM_Angle!$L$8*$B48</f>
      </c>
      <c r="M48" s="12">
        <f>IF(L48&gt;0,IF(L48&lt;=eco,alpha*fck*(1-(1-L48/eco)^n),alpha*fck),0)</f>
      </c>
      <c r="N48" s="30">
        <f>PM_Angle!$J$9+PM_Angle!$K$9*$C48+PM_Angle!$L$9*$B48</f>
      </c>
      <c r="O48" s="12">
        <f>IF(N48&gt;0,IF(N48&lt;=eco,alpha*fck*(1-(1-N48/eco)^n),alpha*fck),0)</f>
      </c>
      <c r="P48" s="30">
        <f>PM_Angle!$J$10+PM_Angle!$K$10*$C48+PM_Angle!$L$10*$B48</f>
      </c>
      <c r="Q48" s="12">
        <f>IF(P48&gt;0,IF(P48&lt;=eco,alpha*fck*(1-(1-P48/eco)^n),alpha*fck),0)</f>
      </c>
      <c r="R48" s="30">
        <f>PM_Angle!$J$11+PM_Angle!$K$11*$C48+PM_Angle!$L$11*$B48</f>
      </c>
      <c r="S48" s="12">
        <f>IF(R48&gt;0,IF(R48&lt;=eco,alpha*fck*(1-(1-R48/eco)^n),alpha*fck),0)</f>
      </c>
      <c r="T48" s="30">
        <f>PM_Angle!$J$12+PM_Angle!$K$12*$C48+PM_Angle!$L$12*$B48</f>
      </c>
      <c r="U48" s="12">
        <f>IF(T48&gt;0,IF(T48&lt;=eco,alpha*fck*(1-(1-T48/eco)^n),alpha*fck),0)</f>
      </c>
      <c r="V48" s="30">
        <f>PM_Angle!$J$13+PM_Angle!$K$13*$C48+PM_Angle!$L$13*$B48</f>
      </c>
      <c r="W48" s="12">
        <f>IF(V48&gt;0,IF(V48&lt;=eco,alpha*fck*(1-(1-V48/eco)^n),alpha*fck),0)</f>
      </c>
      <c r="X48" s="30">
        <f>PM_Angle!$J$14+PM_Angle!$K$14*$C48+PM_Angle!$L$14*$B48</f>
      </c>
      <c r="Y48" s="12">
        <f>IF(X48&gt;0,IF(X48&lt;=eco,alpha*fck*(1-(1-X48/eco)^n),alpha*fck),0)</f>
      </c>
      <c r="Z48" s="30">
        <f>PM_Angle!$J$15+PM_Angle!$K$15*$C48+PM_Angle!$L$15*$B48</f>
      </c>
      <c r="AA48" s="12">
        <f>IF(Z48&gt;0,IF(Z48&lt;=eco,alpha*fck*(1-(1-Z48/eco)^n),alpha*fck),0)</f>
      </c>
      <c r="AB48" s="30">
        <f>PM_Angle!$J$16+PM_Angle!$K$16*$C48+PM_Angle!$L$16*$B48</f>
      </c>
      <c r="AC48" s="12">
        <f>IF(AB48&gt;0,IF(AB48&lt;=eco,alpha*fck*(1-(1-AB48/eco)^n),alpha*fck),0)</f>
      </c>
      <c r="AD48" s="30">
        <f>PM_Angle!$J$17+PM_Angle!$K$17*$C48+PM_Angle!$L$17*$B48</f>
      </c>
      <c r="AE48" s="12">
        <f>IF(AD48&gt;0,IF(AD48&lt;=eco,alpha*fck*(1-(1-AD48/eco)^n),alpha*fck),0)</f>
      </c>
      <c r="AF48" s="30">
        <f>PM_Angle!$J$18+PM_Angle!$K$18*$C48+PM_Angle!$L$18*$B48</f>
      </c>
      <c r="AG48" s="12">
        <f>IF(AF48&gt;0,IF(AF48&lt;=eco,alpha*fck*(1-(1-AF48/eco)^n),alpha*fck),0)</f>
      </c>
      <c r="AH48" s="30">
        <f>PM_Angle!$J$19+PM_Angle!$K$19*$C48+PM_Angle!$L$19*$B48</f>
      </c>
      <c r="AI48" s="12">
        <f>IF(AH48&gt;0,IF(AH48&lt;=eco,alpha*fck*(1-(1-AH48/eco)^n),alpha*fck),0)</f>
      </c>
      <c r="AJ48" s="30">
        <f>PM_Angle!$J$20+PM_Angle!$K$20*$C48+PM_Angle!$L$20*$B48</f>
      </c>
      <c r="AK48" s="12">
        <f>IF(AJ48&gt;0,IF(AJ48&lt;=eco,alpha*fck*(1-(1-AJ48/eco)^n),alpha*fck),0)</f>
      </c>
      <c r="AL48" s="30">
        <f>PM_Angle!$J$21+PM_Angle!$K$21*$C48+PM_Angle!$L$21*$B48</f>
      </c>
      <c r="AM48" s="12">
        <f>IF(AL48&gt;0,IF(AL48&lt;=eco,alpha*fck*(1-(1-AL48/eco)^n),alpha*fck),0)</f>
      </c>
      <c r="AN48" s="30">
        <f>PM_Angle!$J$22+PM_Angle!$K$22*$C48+PM_Angle!$L$22*$B48</f>
      </c>
      <c r="AO48" s="12">
        <f>IF(AN48&gt;0,IF(AN48&lt;=eco,alpha*fck*(1-(1-AN48/eco)^n),alpha*fck),0)</f>
      </c>
      <c r="AP48" s="30">
        <f>PM_Angle!$J$23+PM_Angle!$K$23*$C48+PM_Angle!$L$23*$B48</f>
      </c>
      <c r="AQ48" s="12">
        <f>IF(AP48&gt;0,IF(AP48&lt;=eco,alpha*fck*(1-(1-AP48/eco)^n),alpha*fck),0)</f>
      </c>
      <c r="AR48" s="30">
        <f>PM_Angle!$J$24+PM_Angle!$K$24*$C48+PM_Angle!$L$24*$B48</f>
      </c>
      <c r="AS48" s="12">
        <f>IF(AR48&gt;0,IF(AR48&lt;=eco,alpha*fck*(1-(1-AR48/eco)^n),alpha*fck),0)</f>
      </c>
      <c r="AT48" s="30">
        <f>PM_Angle!$J$25+PM_Angle!$K$25*$C48+PM_Angle!$L$25*$B48</f>
      </c>
      <c r="AU48" s="12">
        <f>IF(AT48&gt;0,IF(AT48&lt;=eco,alpha*fck*(1-(1-AT48/eco)^n),alpha*fck),0)</f>
      </c>
    </row>
    <row r="49" spans="1:47" x14ac:dyDescent="0.25">
      <c r="A49">
        <f>Mesh!A46</f>
      </c>
      <c r="B49" s="12">
        <f>Mesh!B46</f>
      </c>
      <c r="C49" s="12">
        <f>Mesh!C46</f>
      </c>
      <c r="D49" s="12">
        <f>Mesh!D46</f>
      </c>
      <c r="E49" s="30">
        <f>INDEX(St_e0,Det+1)+INDEX(St_kx,Det+1)*C49+INDEX(St_ky,Det+1)*B49</f>
      </c>
      <c r="F49" s="12">
        <f>IF(E49&gt;0,IF(E49&lt;=eco,alpha*fck*(1-(1-E49/eco)^n),alpha*fck),0)</f>
      </c>
      <c r="G49" s="11">
        <f>F49*D49</f>
      </c>
      <c r="H49" s="11">
        <f>G49*C49</f>
      </c>
      <c r="I49" s="11">
        <f>G49*B49</f>
      </c>
      <c r="J49" s="30">
        <f>PM_Angle!$J$7+PM_Angle!$K$7*$C49+PM_Angle!$L$7*$B49</f>
      </c>
      <c r="K49" s="12">
        <f>IF(J49&gt;0,IF(J49&lt;=eco,alpha*fck*(1-(1-J49/eco)^n),alpha*fck),0)</f>
      </c>
      <c r="L49" s="30">
        <f>PM_Angle!$J$8+PM_Angle!$K$8*$C49+PM_Angle!$L$8*$B49</f>
      </c>
      <c r="M49" s="12">
        <f>IF(L49&gt;0,IF(L49&lt;=eco,alpha*fck*(1-(1-L49/eco)^n),alpha*fck),0)</f>
      </c>
      <c r="N49" s="30">
        <f>PM_Angle!$J$9+PM_Angle!$K$9*$C49+PM_Angle!$L$9*$B49</f>
      </c>
      <c r="O49" s="12">
        <f>IF(N49&gt;0,IF(N49&lt;=eco,alpha*fck*(1-(1-N49/eco)^n),alpha*fck),0)</f>
      </c>
      <c r="P49" s="30">
        <f>PM_Angle!$J$10+PM_Angle!$K$10*$C49+PM_Angle!$L$10*$B49</f>
      </c>
      <c r="Q49" s="12">
        <f>IF(P49&gt;0,IF(P49&lt;=eco,alpha*fck*(1-(1-P49/eco)^n),alpha*fck),0)</f>
      </c>
      <c r="R49" s="30">
        <f>PM_Angle!$J$11+PM_Angle!$K$11*$C49+PM_Angle!$L$11*$B49</f>
      </c>
      <c r="S49" s="12">
        <f>IF(R49&gt;0,IF(R49&lt;=eco,alpha*fck*(1-(1-R49/eco)^n),alpha*fck),0)</f>
      </c>
      <c r="T49" s="30">
        <f>PM_Angle!$J$12+PM_Angle!$K$12*$C49+PM_Angle!$L$12*$B49</f>
      </c>
      <c r="U49" s="12">
        <f>IF(T49&gt;0,IF(T49&lt;=eco,alpha*fck*(1-(1-T49/eco)^n),alpha*fck),0)</f>
      </c>
      <c r="V49" s="30">
        <f>PM_Angle!$J$13+PM_Angle!$K$13*$C49+PM_Angle!$L$13*$B49</f>
      </c>
      <c r="W49" s="12">
        <f>IF(V49&gt;0,IF(V49&lt;=eco,alpha*fck*(1-(1-V49/eco)^n),alpha*fck),0)</f>
      </c>
      <c r="X49" s="30">
        <f>PM_Angle!$J$14+PM_Angle!$K$14*$C49+PM_Angle!$L$14*$B49</f>
      </c>
      <c r="Y49" s="12">
        <f>IF(X49&gt;0,IF(X49&lt;=eco,alpha*fck*(1-(1-X49/eco)^n),alpha*fck),0)</f>
      </c>
      <c r="Z49" s="30">
        <f>PM_Angle!$J$15+PM_Angle!$K$15*$C49+PM_Angle!$L$15*$B49</f>
      </c>
      <c r="AA49" s="12">
        <f>IF(Z49&gt;0,IF(Z49&lt;=eco,alpha*fck*(1-(1-Z49/eco)^n),alpha*fck),0)</f>
      </c>
      <c r="AB49" s="30">
        <f>PM_Angle!$J$16+PM_Angle!$K$16*$C49+PM_Angle!$L$16*$B49</f>
      </c>
      <c r="AC49" s="12">
        <f>IF(AB49&gt;0,IF(AB49&lt;=eco,alpha*fck*(1-(1-AB49/eco)^n),alpha*fck),0)</f>
      </c>
      <c r="AD49" s="30">
        <f>PM_Angle!$J$17+PM_Angle!$K$17*$C49+PM_Angle!$L$17*$B49</f>
      </c>
      <c r="AE49" s="12">
        <f>IF(AD49&gt;0,IF(AD49&lt;=eco,alpha*fck*(1-(1-AD49/eco)^n),alpha*fck),0)</f>
      </c>
      <c r="AF49" s="30">
        <f>PM_Angle!$J$18+PM_Angle!$K$18*$C49+PM_Angle!$L$18*$B49</f>
      </c>
      <c r="AG49" s="12">
        <f>IF(AF49&gt;0,IF(AF49&lt;=eco,alpha*fck*(1-(1-AF49/eco)^n),alpha*fck),0)</f>
      </c>
      <c r="AH49" s="30">
        <f>PM_Angle!$J$19+PM_Angle!$K$19*$C49+PM_Angle!$L$19*$B49</f>
      </c>
      <c r="AI49" s="12">
        <f>IF(AH49&gt;0,IF(AH49&lt;=eco,alpha*fck*(1-(1-AH49/eco)^n),alpha*fck),0)</f>
      </c>
      <c r="AJ49" s="30">
        <f>PM_Angle!$J$20+PM_Angle!$K$20*$C49+PM_Angle!$L$20*$B49</f>
      </c>
      <c r="AK49" s="12">
        <f>IF(AJ49&gt;0,IF(AJ49&lt;=eco,alpha*fck*(1-(1-AJ49/eco)^n),alpha*fck),0)</f>
      </c>
      <c r="AL49" s="30">
        <f>PM_Angle!$J$21+PM_Angle!$K$21*$C49+PM_Angle!$L$21*$B49</f>
      </c>
      <c r="AM49" s="12">
        <f>IF(AL49&gt;0,IF(AL49&lt;=eco,alpha*fck*(1-(1-AL49/eco)^n),alpha*fck),0)</f>
      </c>
      <c r="AN49" s="30">
        <f>PM_Angle!$J$22+PM_Angle!$K$22*$C49+PM_Angle!$L$22*$B49</f>
      </c>
      <c r="AO49" s="12">
        <f>IF(AN49&gt;0,IF(AN49&lt;=eco,alpha*fck*(1-(1-AN49/eco)^n),alpha*fck),0)</f>
      </c>
      <c r="AP49" s="30">
        <f>PM_Angle!$J$23+PM_Angle!$K$23*$C49+PM_Angle!$L$23*$B49</f>
      </c>
      <c r="AQ49" s="12">
        <f>IF(AP49&gt;0,IF(AP49&lt;=eco,alpha*fck*(1-(1-AP49/eco)^n),alpha*fck),0)</f>
      </c>
      <c r="AR49" s="30">
        <f>PM_Angle!$J$24+PM_Angle!$K$24*$C49+PM_Angle!$L$24*$B49</f>
      </c>
      <c r="AS49" s="12">
        <f>IF(AR49&gt;0,IF(AR49&lt;=eco,alpha*fck*(1-(1-AR49/eco)^n),alpha*fck),0)</f>
      </c>
      <c r="AT49" s="30">
        <f>PM_Angle!$J$25+PM_Angle!$K$25*$C49+PM_Angle!$L$25*$B49</f>
      </c>
      <c r="AU49" s="12">
        <f>IF(AT49&gt;0,IF(AT49&lt;=eco,alpha*fck*(1-(1-AT49/eco)^n),alpha*fck),0)</f>
      </c>
    </row>
    <row r="50" spans="1:47" x14ac:dyDescent="0.25">
      <c r="A50">
        <f>Mesh!A47</f>
      </c>
      <c r="B50" s="12">
        <f>Mesh!B47</f>
      </c>
      <c r="C50" s="12">
        <f>Mesh!C47</f>
      </c>
      <c r="D50" s="12">
        <f>Mesh!D47</f>
      </c>
      <c r="E50" s="30">
        <f>INDEX(St_e0,Det+1)+INDEX(St_kx,Det+1)*C50+INDEX(St_ky,Det+1)*B50</f>
      </c>
      <c r="F50" s="12">
        <f>IF(E50&gt;0,IF(E50&lt;=eco,alpha*fck*(1-(1-E50/eco)^n),alpha*fck),0)</f>
      </c>
      <c r="G50" s="11">
        <f>F50*D50</f>
      </c>
      <c r="H50" s="11">
        <f>G50*C50</f>
      </c>
      <c r="I50" s="11">
        <f>G50*B50</f>
      </c>
      <c r="J50" s="30">
        <f>PM_Angle!$J$7+PM_Angle!$K$7*$C50+PM_Angle!$L$7*$B50</f>
      </c>
      <c r="K50" s="12">
        <f>IF(J50&gt;0,IF(J50&lt;=eco,alpha*fck*(1-(1-J50/eco)^n),alpha*fck),0)</f>
      </c>
      <c r="L50" s="30">
        <f>PM_Angle!$J$8+PM_Angle!$K$8*$C50+PM_Angle!$L$8*$B50</f>
      </c>
      <c r="M50" s="12">
        <f>IF(L50&gt;0,IF(L50&lt;=eco,alpha*fck*(1-(1-L50/eco)^n),alpha*fck),0)</f>
      </c>
      <c r="N50" s="30">
        <f>PM_Angle!$J$9+PM_Angle!$K$9*$C50+PM_Angle!$L$9*$B50</f>
      </c>
      <c r="O50" s="12">
        <f>IF(N50&gt;0,IF(N50&lt;=eco,alpha*fck*(1-(1-N50/eco)^n),alpha*fck),0)</f>
      </c>
      <c r="P50" s="30">
        <f>PM_Angle!$J$10+PM_Angle!$K$10*$C50+PM_Angle!$L$10*$B50</f>
      </c>
      <c r="Q50" s="12">
        <f>IF(P50&gt;0,IF(P50&lt;=eco,alpha*fck*(1-(1-P50/eco)^n),alpha*fck),0)</f>
      </c>
      <c r="R50" s="30">
        <f>PM_Angle!$J$11+PM_Angle!$K$11*$C50+PM_Angle!$L$11*$B50</f>
      </c>
      <c r="S50" s="12">
        <f>IF(R50&gt;0,IF(R50&lt;=eco,alpha*fck*(1-(1-R50/eco)^n),alpha*fck),0)</f>
      </c>
      <c r="T50" s="30">
        <f>PM_Angle!$J$12+PM_Angle!$K$12*$C50+PM_Angle!$L$12*$B50</f>
      </c>
      <c r="U50" s="12">
        <f>IF(T50&gt;0,IF(T50&lt;=eco,alpha*fck*(1-(1-T50/eco)^n),alpha*fck),0)</f>
      </c>
      <c r="V50" s="30">
        <f>PM_Angle!$J$13+PM_Angle!$K$13*$C50+PM_Angle!$L$13*$B50</f>
      </c>
      <c r="W50" s="12">
        <f>IF(V50&gt;0,IF(V50&lt;=eco,alpha*fck*(1-(1-V50/eco)^n),alpha*fck),0)</f>
      </c>
      <c r="X50" s="30">
        <f>PM_Angle!$J$14+PM_Angle!$K$14*$C50+PM_Angle!$L$14*$B50</f>
      </c>
      <c r="Y50" s="12">
        <f>IF(X50&gt;0,IF(X50&lt;=eco,alpha*fck*(1-(1-X50/eco)^n),alpha*fck),0)</f>
      </c>
      <c r="Z50" s="30">
        <f>PM_Angle!$J$15+PM_Angle!$K$15*$C50+PM_Angle!$L$15*$B50</f>
      </c>
      <c r="AA50" s="12">
        <f>IF(Z50&gt;0,IF(Z50&lt;=eco,alpha*fck*(1-(1-Z50/eco)^n),alpha*fck),0)</f>
      </c>
      <c r="AB50" s="30">
        <f>PM_Angle!$J$16+PM_Angle!$K$16*$C50+PM_Angle!$L$16*$B50</f>
      </c>
      <c r="AC50" s="12">
        <f>IF(AB50&gt;0,IF(AB50&lt;=eco,alpha*fck*(1-(1-AB50/eco)^n),alpha*fck),0)</f>
      </c>
      <c r="AD50" s="30">
        <f>PM_Angle!$J$17+PM_Angle!$K$17*$C50+PM_Angle!$L$17*$B50</f>
      </c>
      <c r="AE50" s="12">
        <f>IF(AD50&gt;0,IF(AD50&lt;=eco,alpha*fck*(1-(1-AD50/eco)^n),alpha*fck),0)</f>
      </c>
      <c r="AF50" s="30">
        <f>PM_Angle!$J$18+PM_Angle!$K$18*$C50+PM_Angle!$L$18*$B50</f>
      </c>
      <c r="AG50" s="12">
        <f>IF(AF50&gt;0,IF(AF50&lt;=eco,alpha*fck*(1-(1-AF50/eco)^n),alpha*fck),0)</f>
      </c>
      <c r="AH50" s="30">
        <f>PM_Angle!$J$19+PM_Angle!$K$19*$C50+PM_Angle!$L$19*$B50</f>
      </c>
      <c r="AI50" s="12">
        <f>IF(AH50&gt;0,IF(AH50&lt;=eco,alpha*fck*(1-(1-AH50/eco)^n),alpha*fck),0)</f>
      </c>
      <c r="AJ50" s="30">
        <f>PM_Angle!$J$20+PM_Angle!$K$20*$C50+PM_Angle!$L$20*$B50</f>
      </c>
      <c r="AK50" s="12">
        <f>IF(AJ50&gt;0,IF(AJ50&lt;=eco,alpha*fck*(1-(1-AJ50/eco)^n),alpha*fck),0)</f>
      </c>
      <c r="AL50" s="30">
        <f>PM_Angle!$J$21+PM_Angle!$K$21*$C50+PM_Angle!$L$21*$B50</f>
      </c>
      <c r="AM50" s="12">
        <f>IF(AL50&gt;0,IF(AL50&lt;=eco,alpha*fck*(1-(1-AL50/eco)^n),alpha*fck),0)</f>
      </c>
      <c r="AN50" s="30">
        <f>PM_Angle!$J$22+PM_Angle!$K$22*$C50+PM_Angle!$L$22*$B50</f>
      </c>
      <c r="AO50" s="12">
        <f>IF(AN50&gt;0,IF(AN50&lt;=eco,alpha*fck*(1-(1-AN50/eco)^n),alpha*fck),0)</f>
      </c>
      <c r="AP50" s="30">
        <f>PM_Angle!$J$23+PM_Angle!$K$23*$C50+PM_Angle!$L$23*$B50</f>
      </c>
      <c r="AQ50" s="12">
        <f>IF(AP50&gt;0,IF(AP50&lt;=eco,alpha*fck*(1-(1-AP50/eco)^n),alpha*fck),0)</f>
      </c>
      <c r="AR50" s="30">
        <f>PM_Angle!$J$24+PM_Angle!$K$24*$C50+PM_Angle!$L$24*$B50</f>
      </c>
      <c r="AS50" s="12">
        <f>IF(AR50&gt;0,IF(AR50&lt;=eco,alpha*fck*(1-(1-AR50/eco)^n),alpha*fck),0)</f>
      </c>
      <c r="AT50" s="30">
        <f>PM_Angle!$J$25+PM_Angle!$K$25*$C50+PM_Angle!$L$25*$B50</f>
      </c>
      <c r="AU50" s="12">
        <f>IF(AT50&gt;0,IF(AT50&lt;=eco,alpha*fck*(1-(1-AT50/eco)^n),alpha*fck),0)</f>
      </c>
    </row>
    <row r="51" spans="1:47" x14ac:dyDescent="0.25">
      <c r="A51">
        <f>Mesh!A48</f>
      </c>
      <c r="B51" s="12">
        <f>Mesh!B48</f>
      </c>
      <c r="C51" s="12">
        <f>Mesh!C48</f>
      </c>
      <c r="D51" s="12">
        <f>Mesh!D48</f>
      </c>
      <c r="E51" s="30">
        <f>INDEX(St_e0,Det+1)+INDEX(St_kx,Det+1)*C51+INDEX(St_ky,Det+1)*B51</f>
      </c>
      <c r="F51" s="12">
        <f>IF(E51&gt;0,IF(E51&lt;=eco,alpha*fck*(1-(1-E51/eco)^n),alpha*fck),0)</f>
      </c>
      <c r="G51" s="11">
        <f>F51*D51</f>
      </c>
      <c r="H51" s="11">
        <f>G51*C51</f>
      </c>
      <c r="I51" s="11">
        <f>G51*B51</f>
      </c>
      <c r="J51" s="30">
        <f>PM_Angle!$J$7+PM_Angle!$K$7*$C51+PM_Angle!$L$7*$B51</f>
      </c>
      <c r="K51" s="12">
        <f>IF(J51&gt;0,IF(J51&lt;=eco,alpha*fck*(1-(1-J51/eco)^n),alpha*fck),0)</f>
      </c>
      <c r="L51" s="30">
        <f>PM_Angle!$J$8+PM_Angle!$K$8*$C51+PM_Angle!$L$8*$B51</f>
      </c>
      <c r="M51" s="12">
        <f>IF(L51&gt;0,IF(L51&lt;=eco,alpha*fck*(1-(1-L51/eco)^n),alpha*fck),0)</f>
      </c>
      <c r="N51" s="30">
        <f>PM_Angle!$J$9+PM_Angle!$K$9*$C51+PM_Angle!$L$9*$B51</f>
      </c>
      <c r="O51" s="12">
        <f>IF(N51&gt;0,IF(N51&lt;=eco,alpha*fck*(1-(1-N51/eco)^n),alpha*fck),0)</f>
      </c>
      <c r="P51" s="30">
        <f>PM_Angle!$J$10+PM_Angle!$K$10*$C51+PM_Angle!$L$10*$B51</f>
      </c>
      <c r="Q51" s="12">
        <f>IF(P51&gt;0,IF(P51&lt;=eco,alpha*fck*(1-(1-P51/eco)^n),alpha*fck),0)</f>
      </c>
      <c r="R51" s="30">
        <f>PM_Angle!$J$11+PM_Angle!$K$11*$C51+PM_Angle!$L$11*$B51</f>
      </c>
      <c r="S51" s="12">
        <f>IF(R51&gt;0,IF(R51&lt;=eco,alpha*fck*(1-(1-R51/eco)^n),alpha*fck),0)</f>
      </c>
      <c r="T51" s="30">
        <f>PM_Angle!$J$12+PM_Angle!$K$12*$C51+PM_Angle!$L$12*$B51</f>
      </c>
      <c r="U51" s="12">
        <f>IF(T51&gt;0,IF(T51&lt;=eco,alpha*fck*(1-(1-T51/eco)^n),alpha*fck),0)</f>
      </c>
      <c r="V51" s="30">
        <f>PM_Angle!$J$13+PM_Angle!$K$13*$C51+PM_Angle!$L$13*$B51</f>
      </c>
      <c r="W51" s="12">
        <f>IF(V51&gt;0,IF(V51&lt;=eco,alpha*fck*(1-(1-V51/eco)^n),alpha*fck),0)</f>
      </c>
      <c r="X51" s="30">
        <f>PM_Angle!$J$14+PM_Angle!$K$14*$C51+PM_Angle!$L$14*$B51</f>
      </c>
      <c r="Y51" s="12">
        <f>IF(X51&gt;0,IF(X51&lt;=eco,alpha*fck*(1-(1-X51/eco)^n),alpha*fck),0)</f>
      </c>
      <c r="Z51" s="30">
        <f>PM_Angle!$J$15+PM_Angle!$K$15*$C51+PM_Angle!$L$15*$B51</f>
      </c>
      <c r="AA51" s="12">
        <f>IF(Z51&gt;0,IF(Z51&lt;=eco,alpha*fck*(1-(1-Z51/eco)^n),alpha*fck),0)</f>
      </c>
      <c r="AB51" s="30">
        <f>PM_Angle!$J$16+PM_Angle!$K$16*$C51+PM_Angle!$L$16*$B51</f>
      </c>
      <c r="AC51" s="12">
        <f>IF(AB51&gt;0,IF(AB51&lt;=eco,alpha*fck*(1-(1-AB51/eco)^n),alpha*fck),0)</f>
      </c>
      <c r="AD51" s="30">
        <f>PM_Angle!$J$17+PM_Angle!$K$17*$C51+PM_Angle!$L$17*$B51</f>
      </c>
      <c r="AE51" s="12">
        <f>IF(AD51&gt;0,IF(AD51&lt;=eco,alpha*fck*(1-(1-AD51/eco)^n),alpha*fck),0)</f>
      </c>
      <c r="AF51" s="30">
        <f>PM_Angle!$J$18+PM_Angle!$K$18*$C51+PM_Angle!$L$18*$B51</f>
      </c>
      <c r="AG51" s="12">
        <f>IF(AF51&gt;0,IF(AF51&lt;=eco,alpha*fck*(1-(1-AF51/eco)^n),alpha*fck),0)</f>
      </c>
      <c r="AH51" s="30">
        <f>PM_Angle!$J$19+PM_Angle!$K$19*$C51+PM_Angle!$L$19*$B51</f>
      </c>
      <c r="AI51" s="12">
        <f>IF(AH51&gt;0,IF(AH51&lt;=eco,alpha*fck*(1-(1-AH51/eco)^n),alpha*fck),0)</f>
      </c>
      <c r="AJ51" s="30">
        <f>PM_Angle!$J$20+PM_Angle!$K$20*$C51+PM_Angle!$L$20*$B51</f>
      </c>
      <c r="AK51" s="12">
        <f>IF(AJ51&gt;0,IF(AJ51&lt;=eco,alpha*fck*(1-(1-AJ51/eco)^n),alpha*fck),0)</f>
      </c>
      <c r="AL51" s="30">
        <f>PM_Angle!$J$21+PM_Angle!$K$21*$C51+PM_Angle!$L$21*$B51</f>
      </c>
      <c r="AM51" s="12">
        <f>IF(AL51&gt;0,IF(AL51&lt;=eco,alpha*fck*(1-(1-AL51/eco)^n),alpha*fck),0)</f>
      </c>
      <c r="AN51" s="30">
        <f>PM_Angle!$J$22+PM_Angle!$K$22*$C51+PM_Angle!$L$22*$B51</f>
      </c>
      <c r="AO51" s="12">
        <f>IF(AN51&gt;0,IF(AN51&lt;=eco,alpha*fck*(1-(1-AN51/eco)^n),alpha*fck),0)</f>
      </c>
      <c r="AP51" s="30">
        <f>PM_Angle!$J$23+PM_Angle!$K$23*$C51+PM_Angle!$L$23*$B51</f>
      </c>
      <c r="AQ51" s="12">
        <f>IF(AP51&gt;0,IF(AP51&lt;=eco,alpha*fck*(1-(1-AP51/eco)^n),alpha*fck),0)</f>
      </c>
      <c r="AR51" s="30">
        <f>PM_Angle!$J$24+PM_Angle!$K$24*$C51+PM_Angle!$L$24*$B51</f>
      </c>
      <c r="AS51" s="12">
        <f>IF(AR51&gt;0,IF(AR51&lt;=eco,alpha*fck*(1-(1-AR51/eco)^n),alpha*fck),0)</f>
      </c>
      <c r="AT51" s="30">
        <f>PM_Angle!$J$25+PM_Angle!$K$25*$C51+PM_Angle!$L$25*$B51</f>
      </c>
      <c r="AU51" s="12">
        <f>IF(AT51&gt;0,IF(AT51&lt;=eco,alpha*fck*(1-(1-AT51/eco)^n),alpha*fck),0)</f>
      </c>
    </row>
    <row r="52" spans="1:47" x14ac:dyDescent="0.25">
      <c r="A52">
        <f>Mesh!A49</f>
      </c>
      <c r="B52" s="12">
        <f>Mesh!B49</f>
      </c>
      <c r="C52" s="12">
        <f>Mesh!C49</f>
      </c>
      <c r="D52" s="12">
        <f>Mesh!D49</f>
      </c>
      <c r="E52" s="30">
        <f>INDEX(St_e0,Det+1)+INDEX(St_kx,Det+1)*C52+INDEX(St_ky,Det+1)*B52</f>
      </c>
      <c r="F52" s="12">
        <f>IF(E52&gt;0,IF(E52&lt;=eco,alpha*fck*(1-(1-E52/eco)^n),alpha*fck),0)</f>
      </c>
      <c r="G52" s="11">
        <f>F52*D52</f>
      </c>
      <c r="H52" s="11">
        <f>G52*C52</f>
      </c>
      <c r="I52" s="11">
        <f>G52*B52</f>
      </c>
      <c r="J52" s="30">
        <f>PM_Angle!$J$7+PM_Angle!$K$7*$C52+PM_Angle!$L$7*$B52</f>
      </c>
      <c r="K52" s="12">
        <f>IF(J52&gt;0,IF(J52&lt;=eco,alpha*fck*(1-(1-J52/eco)^n),alpha*fck),0)</f>
      </c>
      <c r="L52" s="30">
        <f>PM_Angle!$J$8+PM_Angle!$K$8*$C52+PM_Angle!$L$8*$B52</f>
      </c>
      <c r="M52" s="12">
        <f>IF(L52&gt;0,IF(L52&lt;=eco,alpha*fck*(1-(1-L52/eco)^n),alpha*fck),0)</f>
      </c>
      <c r="N52" s="30">
        <f>PM_Angle!$J$9+PM_Angle!$K$9*$C52+PM_Angle!$L$9*$B52</f>
      </c>
      <c r="O52" s="12">
        <f>IF(N52&gt;0,IF(N52&lt;=eco,alpha*fck*(1-(1-N52/eco)^n),alpha*fck),0)</f>
      </c>
      <c r="P52" s="30">
        <f>PM_Angle!$J$10+PM_Angle!$K$10*$C52+PM_Angle!$L$10*$B52</f>
      </c>
      <c r="Q52" s="12">
        <f>IF(P52&gt;0,IF(P52&lt;=eco,alpha*fck*(1-(1-P52/eco)^n),alpha*fck),0)</f>
      </c>
      <c r="R52" s="30">
        <f>PM_Angle!$J$11+PM_Angle!$K$11*$C52+PM_Angle!$L$11*$B52</f>
      </c>
      <c r="S52" s="12">
        <f>IF(R52&gt;0,IF(R52&lt;=eco,alpha*fck*(1-(1-R52/eco)^n),alpha*fck),0)</f>
      </c>
      <c r="T52" s="30">
        <f>PM_Angle!$J$12+PM_Angle!$K$12*$C52+PM_Angle!$L$12*$B52</f>
      </c>
      <c r="U52" s="12">
        <f>IF(T52&gt;0,IF(T52&lt;=eco,alpha*fck*(1-(1-T52/eco)^n),alpha*fck),0)</f>
      </c>
      <c r="V52" s="30">
        <f>PM_Angle!$J$13+PM_Angle!$K$13*$C52+PM_Angle!$L$13*$B52</f>
      </c>
      <c r="W52" s="12">
        <f>IF(V52&gt;0,IF(V52&lt;=eco,alpha*fck*(1-(1-V52/eco)^n),alpha*fck),0)</f>
      </c>
      <c r="X52" s="30">
        <f>PM_Angle!$J$14+PM_Angle!$K$14*$C52+PM_Angle!$L$14*$B52</f>
      </c>
      <c r="Y52" s="12">
        <f>IF(X52&gt;0,IF(X52&lt;=eco,alpha*fck*(1-(1-X52/eco)^n),alpha*fck),0)</f>
      </c>
      <c r="Z52" s="30">
        <f>PM_Angle!$J$15+PM_Angle!$K$15*$C52+PM_Angle!$L$15*$B52</f>
      </c>
      <c r="AA52" s="12">
        <f>IF(Z52&gt;0,IF(Z52&lt;=eco,alpha*fck*(1-(1-Z52/eco)^n),alpha*fck),0)</f>
      </c>
      <c r="AB52" s="30">
        <f>PM_Angle!$J$16+PM_Angle!$K$16*$C52+PM_Angle!$L$16*$B52</f>
      </c>
      <c r="AC52" s="12">
        <f>IF(AB52&gt;0,IF(AB52&lt;=eco,alpha*fck*(1-(1-AB52/eco)^n),alpha*fck),0)</f>
      </c>
      <c r="AD52" s="30">
        <f>PM_Angle!$J$17+PM_Angle!$K$17*$C52+PM_Angle!$L$17*$B52</f>
      </c>
      <c r="AE52" s="12">
        <f>IF(AD52&gt;0,IF(AD52&lt;=eco,alpha*fck*(1-(1-AD52/eco)^n),alpha*fck),0)</f>
      </c>
      <c r="AF52" s="30">
        <f>PM_Angle!$J$18+PM_Angle!$K$18*$C52+PM_Angle!$L$18*$B52</f>
      </c>
      <c r="AG52" s="12">
        <f>IF(AF52&gt;0,IF(AF52&lt;=eco,alpha*fck*(1-(1-AF52/eco)^n),alpha*fck),0)</f>
      </c>
      <c r="AH52" s="30">
        <f>PM_Angle!$J$19+PM_Angle!$K$19*$C52+PM_Angle!$L$19*$B52</f>
      </c>
      <c r="AI52" s="12">
        <f>IF(AH52&gt;0,IF(AH52&lt;=eco,alpha*fck*(1-(1-AH52/eco)^n),alpha*fck),0)</f>
      </c>
      <c r="AJ52" s="30">
        <f>PM_Angle!$J$20+PM_Angle!$K$20*$C52+PM_Angle!$L$20*$B52</f>
      </c>
      <c r="AK52" s="12">
        <f>IF(AJ52&gt;0,IF(AJ52&lt;=eco,alpha*fck*(1-(1-AJ52/eco)^n),alpha*fck),0)</f>
      </c>
      <c r="AL52" s="30">
        <f>PM_Angle!$J$21+PM_Angle!$K$21*$C52+PM_Angle!$L$21*$B52</f>
      </c>
      <c r="AM52" s="12">
        <f>IF(AL52&gt;0,IF(AL52&lt;=eco,alpha*fck*(1-(1-AL52/eco)^n),alpha*fck),0)</f>
      </c>
      <c r="AN52" s="30">
        <f>PM_Angle!$J$22+PM_Angle!$K$22*$C52+PM_Angle!$L$22*$B52</f>
      </c>
      <c r="AO52" s="12">
        <f>IF(AN52&gt;0,IF(AN52&lt;=eco,alpha*fck*(1-(1-AN52/eco)^n),alpha*fck),0)</f>
      </c>
      <c r="AP52" s="30">
        <f>PM_Angle!$J$23+PM_Angle!$K$23*$C52+PM_Angle!$L$23*$B52</f>
      </c>
      <c r="AQ52" s="12">
        <f>IF(AP52&gt;0,IF(AP52&lt;=eco,alpha*fck*(1-(1-AP52/eco)^n),alpha*fck),0)</f>
      </c>
      <c r="AR52" s="30">
        <f>PM_Angle!$J$24+PM_Angle!$K$24*$C52+PM_Angle!$L$24*$B52</f>
      </c>
      <c r="AS52" s="12">
        <f>IF(AR52&gt;0,IF(AR52&lt;=eco,alpha*fck*(1-(1-AR52/eco)^n),alpha*fck),0)</f>
      </c>
      <c r="AT52" s="30">
        <f>PM_Angle!$J$25+PM_Angle!$K$25*$C52+PM_Angle!$L$25*$B52</f>
      </c>
      <c r="AU52" s="12">
        <f>IF(AT52&gt;0,IF(AT52&lt;=eco,alpha*fck*(1-(1-AT52/eco)^n),alpha*fck),0)</f>
      </c>
    </row>
    <row r="53" spans="1:47" x14ac:dyDescent="0.25">
      <c r="A53">
        <f>Mesh!A50</f>
      </c>
      <c r="B53" s="12">
        <f>Mesh!B50</f>
      </c>
      <c r="C53" s="12">
        <f>Mesh!C50</f>
      </c>
      <c r="D53" s="12">
        <f>Mesh!D50</f>
      </c>
      <c r="E53" s="30">
        <f>INDEX(St_e0,Det+1)+INDEX(St_kx,Det+1)*C53+INDEX(St_ky,Det+1)*B53</f>
      </c>
      <c r="F53" s="12">
        <f>IF(E53&gt;0,IF(E53&lt;=eco,alpha*fck*(1-(1-E53/eco)^n),alpha*fck),0)</f>
      </c>
      <c r="G53" s="11">
        <f>F53*D53</f>
      </c>
      <c r="H53" s="11">
        <f>G53*C53</f>
      </c>
      <c r="I53" s="11">
        <f>G53*B53</f>
      </c>
      <c r="J53" s="30">
        <f>PM_Angle!$J$7+PM_Angle!$K$7*$C53+PM_Angle!$L$7*$B53</f>
      </c>
      <c r="K53" s="12">
        <f>IF(J53&gt;0,IF(J53&lt;=eco,alpha*fck*(1-(1-J53/eco)^n),alpha*fck),0)</f>
      </c>
      <c r="L53" s="30">
        <f>PM_Angle!$J$8+PM_Angle!$K$8*$C53+PM_Angle!$L$8*$B53</f>
      </c>
      <c r="M53" s="12">
        <f>IF(L53&gt;0,IF(L53&lt;=eco,alpha*fck*(1-(1-L53/eco)^n),alpha*fck),0)</f>
      </c>
      <c r="N53" s="30">
        <f>PM_Angle!$J$9+PM_Angle!$K$9*$C53+PM_Angle!$L$9*$B53</f>
      </c>
      <c r="O53" s="12">
        <f>IF(N53&gt;0,IF(N53&lt;=eco,alpha*fck*(1-(1-N53/eco)^n),alpha*fck),0)</f>
      </c>
      <c r="P53" s="30">
        <f>PM_Angle!$J$10+PM_Angle!$K$10*$C53+PM_Angle!$L$10*$B53</f>
      </c>
      <c r="Q53" s="12">
        <f>IF(P53&gt;0,IF(P53&lt;=eco,alpha*fck*(1-(1-P53/eco)^n),alpha*fck),0)</f>
      </c>
      <c r="R53" s="30">
        <f>PM_Angle!$J$11+PM_Angle!$K$11*$C53+PM_Angle!$L$11*$B53</f>
      </c>
      <c r="S53" s="12">
        <f>IF(R53&gt;0,IF(R53&lt;=eco,alpha*fck*(1-(1-R53/eco)^n),alpha*fck),0)</f>
      </c>
      <c r="T53" s="30">
        <f>PM_Angle!$J$12+PM_Angle!$K$12*$C53+PM_Angle!$L$12*$B53</f>
      </c>
      <c r="U53" s="12">
        <f>IF(T53&gt;0,IF(T53&lt;=eco,alpha*fck*(1-(1-T53/eco)^n),alpha*fck),0)</f>
      </c>
      <c r="V53" s="30">
        <f>PM_Angle!$J$13+PM_Angle!$K$13*$C53+PM_Angle!$L$13*$B53</f>
      </c>
      <c r="W53" s="12">
        <f>IF(V53&gt;0,IF(V53&lt;=eco,alpha*fck*(1-(1-V53/eco)^n),alpha*fck),0)</f>
      </c>
      <c r="X53" s="30">
        <f>PM_Angle!$J$14+PM_Angle!$K$14*$C53+PM_Angle!$L$14*$B53</f>
      </c>
      <c r="Y53" s="12">
        <f>IF(X53&gt;0,IF(X53&lt;=eco,alpha*fck*(1-(1-X53/eco)^n),alpha*fck),0)</f>
      </c>
      <c r="Z53" s="30">
        <f>PM_Angle!$J$15+PM_Angle!$K$15*$C53+PM_Angle!$L$15*$B53</f>
      </c>
      <c r="AA53" s="12">
        <f>IF(Z53&gt;0,IF(Z53&lt;=eco,alpha*fck*(1-(1-Z53/eco)^n),alpha*fck),0)</f>
      </c>
      <c r="AB53" s="30">
        <f>PM_Angle!$J$16+PM_Angle!$K$16*$C53+PM_Angle!$L$16*$B53</f>
      </c>
      <c r="AC53" s="12">
        <f>IF(AB53&gt;0,IF(AB53&lt;=eco,alpha*fck*(1-(1-AB53/eco)^n),alpha*fck),0)</f>
      </c>
      <c r="AD53" s="30">
        <f>PM_Angle!$J$17+PM_Angle!$K$17*$C53+PM_Angle!$L$17*$B53</f>
      </c>
      <c r="AE53" s="12">
        <f>IF(AD53&gt;0,IF(AD53&lt;=eco,alpha*fck*(1-(1-AD53/eco)^n),alpha*fck),0)</f>
      </c>
      <c r="AF53" s="30">
        <f>PM_Angle!$J$18+PM_Angle!$K$18*$C53+PM_Angle!$L$18*$B53</f>
      </c>
      <c r="AG53" s="12">
        <f>IF(AF53&gt;0,IF(AF53&lt;=eco,alpha*fck*(1-(1-AF53/eco)^n),alpha*fck),0)</f>
      </c>
      <c r="AH53" s="30">
        <f>PM_Angle!$J$19+PM_Angle!$K$19*$C53+PM_Angle!$L$19*$B53</f>
      </c>
      <c r="AI53" s="12">
        <f>IF(AH53&gt;0,IF(AH53&lt;=eco,alpha*fck*(1-(1-AH53/eco)^n),alpha*fck),0)</f>
      </c>
      <c r="AJ53" s="30">
        <f>PM_Angle!$J$20+PM_Angle!$K$20*$C53+PM_Angle!$L$20*$B53</f>
      </c>
      <c r="AK53" s="12">
        <f>IF(AJ53&gt;0,IF(AJ53&lt;=eco,alpha*fck*(1-(1-AJ53/eco)^n),alpha*fck),0)</f>
      </c>
      <c r="AL53" s="30">
        <f>PM_Angle!$J$21+PM_Angle!$K$21*$C53+PM_Angle!$L$21*$B53</f>
      </c>
      <c r="AM53" s="12">
        <f>IF(AL53&gt;0,IF(AL53&lt;=eco,alpha*fck*(1-(1-AL53/eco)^n),alpha*fck),0)</f>
      </c>
      <c r="AN53" s="30">
        <f>PM_Angle!$J$22+PM_Angle!$K$22*$C53+PM_Angle!$L$22*$B53</f>
      </c>
      <c r="AO53" s="12">
        <f>IF(AN53&gt;0,IF(AN53&lt;=eco,alpha*fck*(1-(1-AN53/eco)^n),alpha*fck),0)</f>
      </c>
      <c r="AP53" s="30">
        <f>PM_Angle!$J$23+PM_Angle!$K$23*$C53+PM_Angle!$L$23*$B53</f>
      </c>
      <c r="AQ53" s="12">
        <f>IF(AP53&gt;0,IF(AP53&lt;=eco,alpha*fck*(1-(1-AP53/eco)^n),alpha*fck),0)</f>
      </c>
      <c r="AR53" s="30">
        <f>PM_Angle!$J$24+PM_Angle!$K$24*$C53+PM_Angle!$L$24*$B53</f>
      </c>
      <c r="AS53" s="12">
        <f>IF(AR53&gt;0,IF(AR53&lt;=eco,alpha*fck*(1-(1-AR53/eco)^n),alpha*fck),0)</f>
      </c>
      <c r="AT53" s="30">
        <f>PM_Angle!$J$25+PM_Angle!$K$25*$C53+PM_Angle!$L$25*$B53</f>
      </c>
      <c r="AU53" s="12">
        <f>IF(AT53&gt;0,IF(AT53&lt;=eco,alpha*fck*(1-(1-AT53/eco)^n),alpha*fck),0)</f>
      </c>
    </row>
    <row r="54" spans="1:47" x14ac:dyDescent="0.25">
      <c r="A54">
        <f>Mesh!A51</f>
      </c>
      <c r="B54" s="12">
        <f>Mesh!B51</f>
      </c>
      <c r="C54" s="12">
        <f>Mesh!C51</f>
      </c>
      <c r="D54" s="12">
        <f>Mesh!D51</f>
      </c>
      <c r="E54" s="30">
        <f>INDEX(St_e0,Det+1)+INDEX(St_kx,Det+1)*C54+INDEX(St_ky,Det+1)*B54</f>
      </c>
      <c r="F54" s="12">
        <f>IF(E54&gt;0,IF(E54&lt;=eco,alpha*fck*(1-(1-E54/eco)^n),alpha*fck),0)</f>
      </c>
      <c r="G54" s="11">
        <f>F54*D54</f>
      </c>
      <c r="H54" s="11">
        <f>G54*C54</f>
      </c>
      <c r="I54" s="11">
        <f>G54*B54</f>
      </c>
      <c r="J54" s="30">
        <f>PM_Angle!$J$7+PM_Angle!$K$7*$C54+PM_Angle!$L$7*$B54</f>
      </c>
      <c r="K54" s="12">
        <f>IF(J54&gt;0,IF(J54&lt;=eco,alpha*fck*(1-(1-J54/eco)^n),alpha*fck),0)</f>
      </c>
      <c r="L54" s="30">
        <f>PM_Angle!$J$8+PM_Angle!$K$8*$C54+PM_Angle!$L$8*$B54</f>
      </c>
      <c r="M54" s="12">
        <f>IF(L54&gt;0,IF(L54&lt;=eco,alpha*fck*(1-(1-L54/eco)^n),alpha*fck),0)</f>
      </c>
      <c r="N54" s="30">
        <f>PM_Angle!$J$9+PM_Angle!$K$9*$C54+PM_Angle!$L$9*$B54</f>
      </c>
      <c r="O54" s="12">
        <f>IF(N54&gt;0,IF(N54&lt;=eco,alpha*fck*(1-(1-N54/eco)^n),alpha*fck),0)</f>
      </c>
      <c r="P54" s="30">
        <f>PM_Angle!$J$10+PM_Angle!$K$10*$C54+PM_Angle!$L$10*$B54</f>
      </c>
      <c r="Q54" s="12">
        <f>IF(P54&gt;0,IF(P54&lt;=eco,alpha*fck*(1-(1-P54/eco)^n),alpha*fck),0)</f>
      </c>
      <c r="R54" s="30">
        <f>PM_Angle!$J$11+PM_Angle!$K$11*$C54+PM_Angle!$L$11*$B54</f>
      </c>
      <c r="S54" s="12">
        <f>IF(R54&gt;0,IF(R54&lt;=eco,alpha*fck*(1-(1-R54/eco)^n),alpha*fck),0)</f>
      </c>
      <c r="T54" s="30">
        <f>PM_Angle!$J$12+PM_Angle!$K$12*$C54+PM_Angle!$L$12*$B54</f>
      </c>
      <c r="U54" s="12">
        <f>IF(T54&gt;0,IF(T54&lt;=eco,alpha*fck*(1-(1-T54/eco)^n),alpha*fck),0)</f>
      </c>
      <c r="V54" s="30">
        <f>PM_Angle!$J$13+PM_Angle!$K$13*$C54+PM_Angle!$L$13*$B54</f>
      </c>
      <c r="W54" s="12">
        <f>IF(V54&gt;0,IF(V54&lt;=eco,alpha*fck*(1-(1-V54/eco)^n),alpha*fck),0)</f>
      </c>
      <c r="X54" s="30">
        <f>PM_Angle!$J$14+PM_Angle!$K$14*$C54+PM_Angle!$L$14*$B54</f>
      </c>
      <c r="Y54" s="12">
        <f>IF(X54&gt;0,IF(X54&lt;=eco,alpha*fck*(1-(1-X54/eco)^n),alpha*fck),0)</f>
      </c>
      <c r="Z54" s="30">
        <f>PM_Angle!$J$15+PM_Angle!$K$15*$C54+PM_Angle!$L$15*$B54</f>
      </c>
      <c r="AA54" s="12">
        <f>IF(Z54&gt;0,IF(Z54&lt;=eco,alpha*fck*(1-(1-Z54/eco)^n),alpha*fck),0)</f>
      </c>
      <c r="AB54" s="30">
        <f>PM_Angle!$J$16+PM_Angle!$K$16*$C54+PM_Angle!$L$16*$B54</f>
      </c>
      <c r="AC54" s="12">
        <f>IF(AB54&gt;0,IF(AB54&lt;=eco,alpha*fck*(1-(1-AB54/eco)^n),alpha*fck),0)</f>
      </c>
      <c r="AD54" s="30">
        <f>PM_Angle!$J$17+PM_Angle!$K$17*$C54+PM_Angle!$L$17*$B54</f>
      </c>
      <c r="AE54" s="12">
        <f>IF(AD54&gt;0,IF(AD54&lt;=eco,alpha*fck*(1-(1-AD54/eco)^n),alpha*fck),0)</f>
      </c>
      <c r="AF54" s="30">
        <f>PM_Angle!$J$18+PM_Angle!$K$18*$C54+PM_Angle!$L$18*$B54</f>
      </c>
      <c r="AG54" s="12">
        <f>IF(AF54&gt;0,IF(AF54&lt;=eco,alpha*fck*(1-(1-AF54/eco)^n),alpha*fck),0)</f>
      </c>
      <c r="AH54" s="30">
        <f>PM_Angle!$J$19+PM_Angle!$K$19*$C54+PM_Angle!$L$19*$B54</f>
      </c>
      <c r="AI54" s="12">
        <f>IF(AH54&gt;0,IF(AH54&lt;=eco,alpha*fck*(1-(1-AH54/eco)^n),alpha*fck),0)</f>
      </c>
      <c r="AJ54" s="30">
        <f>PM_Angle!$J$20+PM_Angle!$K$20*$C54+PM_Angle!$L$20*$B54</f>
      </c>
      <c r="AK54" s="12">
        <f>IF(AJ54&gt;0,IF(AJ54&lt;=eco,alpha*fck*(1-(1-AJ54/eco)^n),alpha*fck),0)</f>
      </c>
      <c r="AL54" s="30">
        <f>PM_Angle!$J$21+PM_Angle!$K$21*$C54+PM_Angle!$L$21*$B54</f>
      </c>
      <c r="AM54" s="12">
        <f>IF(AL54&gt;0,IF(AL54&lt;=eco,alpha*fck*(1-(1-AL54/eco)^n),alpha*fck),0)</f>
      </c>
      <c r="AN54" s="30">
        <f>PM_Angle!$J$22+PM_Angle!$K$22*$C54+PM_Angle!$L$22*$B54</f>
      </c>
      <c r="AO54" s="12">
        <f>IF(AN54&gt;0,IF(AN54&lt;=eco,alpha*fck*(1-(1-AN54/eco)^n),alpha*fck),0)</f>
      </c>
      <c r="AP54" s="30">
        <f>PM_Angle!$J$23+PM_Angle!$K$23*$C54+PM_Angle!$L$23*$B54</f>
      </c>
      <c r="AQ54" s="12">
        <f>IF(AP54&gt;0,IF(AP54&lt;=eco,alpha*fck*(1-(1-AP54/eco)^n),alpha*fck),0)</f>
      </c>
      <c r="AR54" s="30">
        <f>PM_Angle!$J$24+PM_Angle!$K$24*$C54+PM_Angle!$L$24*$B54</f>
      </c>
      <c r="AS54" s="12">
        <f>IF(AR54&gt;0,IF(AR54&lt;=eco,alpha*fck*(1-(1-AR54/eco)^n),alpha*fck),0)</f>
      </c>
      <c r="AT54" s="30">
        <f>PM_Angle!$J$25+PM_Angle!$K$25*$C54+PM_Angle!$L$25*$B54</f>
      </c>
      <c r="AU54" s="12">
        <f>IF(AT54&gt;0,IF(AT54&lt;=eco,alpha*fck*(1-(1-AT54/eco)^n),alpha*fck),0)</f>
      </c>
    </row>
    <row r="55" spans="1:47" x14ac:dyDescent="0.25">
      <c r="A55">
        <f>Mesh!A52</f>
      </c>
      <c r="B55" s="12">
        <f>Mesh!B52</f>
      </c>
      <c r="C55" s="12">
        <f>Mesh!C52</f>
      </c>
      <c r="D55" s="12">
        <f>Mesh!D52</f>
      </c>
      <c r="E55" s="30">
        <f>INDEX(St_e0,Det+1)+INDEX(St_kx,Det+1)*C55+INDEX(St_ky,Det+1)*B55</f>
      </c>
      <c r="F55" s="12">
        <f>IF(E55&gt;0,IF(E55&lt;=eco,alpha*fck*(1-(1-E55/eco)^n),alpha*fck),0)</f>
      </c>
      <c r="G55" s="11">
        <f>F55*D55</f>
      </c>
      <c r="H55" s="11">
        <f>G55*C55</f>
      </c>
      <c r="I55" s="11">
        <f>G55*B55</f>
      </c>
      <c r="J55" s="30">
        <f>PM_Angle!$J$7+PM_Angle!$K$7*$C55+PM_Angle!$L$7*$B55</f>
      </c>
      <c r="K55" s="12">
        <f>IF(J55&gt;0,IF(J55&lt;=eco,alpha*fck*(1-(1-J55/eco)^n),alpha*fck),0)</f>
      </c>
      <c r="L55" s="30">
        <f>PM_Angle!$J$8+PM_Angle!$K$8*$C55+PM_Angle!$L$8*$B55</f>
      </c>
      <c r="M55" s="12">
        <f>IF(L55&gt;0,IF(L55&lt;=eco,alpha*fck*(1-(1-L55/eco)^n),alpha*fck),0)</f>
      </c>
      <c r="N55" s="30">
        <f>PM_Angle!$J$9+PM_Angle!$K$9*$C55+PM_Angle!$L$9*$B55</f>
      </c>
      <c r="O55" s="12">
        <f>IF(N55&gt;0,IF(N55&lt;=eco,alpha*fck*(1-(1-N55/eco)^n),alpha*fck),0)</f>
      </c>
      <c r="P55" s="30">
        <f>PM_Angle!$J$10+PM_Angle!$K$10*$C55+PM_Angle!$L$10*$B55</f>
      </c>
      <c r="Q55" s="12">
        <f>IF(P55&gt;0,IF(P55&lt;=eco,alpha*fck*(1-(1-P55/eco)^n),alpha*fck),0)</f>
      </c>
      <c r="R55" s="30">
        <f>PM_Angle!$J$11+PM_Angle!$K$11*$C55+PM_Angle!$L$11*$B55</f>
      </c>
      <c r="S55" s="12">
        <f>IF(R55&gt;0,IF(R55&lt;=eco,alpha*fck*(1-(1-R55/eco)^n),alpha*fck),0)</f>
      </c>
      <c r="T55" s="30">
        <f>PM_Angle!$J$12+PM_Angle!$K$12*$C55+PM_Angle!$L$12*$B55</f>
      </c>
      <c r="U55" s="12">
        <f>IF(T55&gt;0,IF(T55&lt;=eco,alpha*fck*(1-(1-T55/eco)^n),alpha*fck),0)</f>
      </c>
      <c r="V55" s="30">
        <f>PM_Angle!$J$13+PM_Angle!$K$13*$C55+PM_Angle!$L$13*$B55</f>
      </c>
      <c r="W55" s="12">
        <f>IF(V55&gt;0,IF(V55&lt;=eco,alpha*fck*(1-(1-V55/eco)^n),alpha*fck),0)</f>
      </c>
      <c r="X55" s="30">
        <f>PM_Angle!$J$14+PM_Angle!$K$14*$C55+PM_Angle!$L$14*$B55</f>
      </c>
      <c r="Y55" s="12">
        <f>IF(X55&gt;0,IF(X55&lt;=eco,alpha*fck*(1-(1-X55/eco)^n),alpha*fck),0)</f>
      </c>
      <c r="Z55" s="30">
        <f>PM_Angle!$J$15+PM_Angle!$K$15*$C55+PM_Angle!$L$15*$B55</f>
      </c>
      <c r="AA55" s="12">
        <f>IF(Z55&gt;0,IF(Z55&lt;=eco,alpha*fck*(1-(1-Z55/eco)^n),alpha*fck),0)</f>
      </c>
      <c r="AB55" s="30">
        <f>PM_Angle!$J$16+PM_Angle!$K$16*$C55+PM_Angle!$L$16*$B55</f>
      </c>
      <c r="AC55" s="12">
        <f>IF(AB55&gt;0,IF(AB55&lt;=eco,alpha*fck*(1-(1-AB55/eco)^n),alpha*fck),0)</f>
      </c>
      <c r="AD55" s="30">
        <f>PM_Angle!$J$17+PM_Angle!$K$17*$C55+PM_Angle!$L$17*$B55</f>
      </c>
      <c r="AE55" s="12">
        <f>IF(AD55&gt;0,IF(AD55&lt;=eco,alpha*fck*(1-(1-AD55/eco)^n),alpha*fck),0)</f>
      </c>
      <c r="AF55" s="30">
        <f>PM_Angle!$J$18+PM_Angle!$K$18*$C55+PM_Angle!$L$18*$B55</f>
      </c>
      <c r="AG55" s="12">
        <f>IF(AF55&gt;0,IF(AF55&lt;=eco,alpha*fck*(1-(1-AF55/eco)^n),alpha*fck),0)</f>
      </c>
      <c r="AH55" s="30">
        <f>PM_Angle!$J$19+PM_Angle!$K$19*$C55+PM_Angle!$L$19*$B55</f>
      </c>
      <c r="AI55" s="12">
        <f>IF(AH55&gt;0,IF(AH55&lt;=eco,alpha*fck*(1-(1-AH55/eco)^n),alpha*fck),0)</f>
      </c>
      <c r="AJ55" s="30">
        <f>PM_Angle!$J$20+PM_Angle!$K$20*$C55+PM_Angle!$L$20*$B55</f>
      </c>
      <c r="AK55" s="12">
        <f>IF(AJ55&gt;0,IF(AJ55&lt;=eco,alpha*fck*(1-(1-AJ55/eco)^n),alpha*fck),0)</f>
      </c>
      <c r="AL55" s="30">
        <f>PM_Angle!$J$21+PM_Angle!$K$21*$C55+PM_Angle!$L$21*$B55</f>
      </c>
      <c r="AM55" s="12">
        <f>IF(AL55&gt;0,IF(AL55&lt;=eco,alpha*fck*(1-(1-AL55/eco)^n),alpha*fck),0)</f>
      </c>
      <c r="AN55" s="30">
        <f>PM_Angle!$J$22+PM_Angle!$K$22*$C55+PM_Angle!$L$22*$B55</f>
      </c>
      <c r="AO55" s="12">
        <f>IF(AN55&gt;0,IF(AN55&lt;=eco,alpha*fck*(1-(1-AN55/eco)^n),alpha*fck),0)</f>
      </c>
      <c r="AP55" s="30">
        <f>PM_Angle!$J$23+PM_Angle!$K$23*$C55+PM_Angle!$L$23*$B55</f>
      </c>
      <c r="AQ55" s="12">
        <f>IF(AP55&gt;0,IF(AP55&lt;=eco,alpha*fck*(1-(1-AP55/eco)^n),alpha*fck),0)</f>
      </c>
      <c r="AR55" s="30">
        <f>PM_Angle!$J$24+PM_Angle!$K$24*$C55+PM_Angle!$L$24*$B55</f>
      </c>
      <c r="AS55" s="12">
        <f>IF(AR55&gt;0,IF(AR55&lt;=eco,alpha*fck*(1-(1-AR55/eco)^n),alpha*fck),0)</f>
      </c>
      <c r="AT55" s="30">
        <f>PM_Angle!$J$25+PM_Angle!$K$25*$C55+PM_Angle!$L$25*$B55</f>
      </c>
      <c r="AU55" s="12">
        <f>IF(AT55&gt;0,IF(AT55&lt;=eco,alpha*fck*(1-(1-AT55/eco)^n),alpha*fck),0)</f>
      </c>
    </row>
    <row r="56" spans="1:47" x14ac:dyDescent="0.25">
      <c r="A56">
        <f>Mesh!A53</f>
      </c>
      <c r="B56" s="12">
        <f>Mesh!B53</f>
      </c>
      <c r="C56" s="12">
        <f>Mesh!C53</f>
      </c>
      <c r="D56" s="12">
        <f>Mesh!D53</f>
      </c>
      <c r="E56" s="30">
        <f>INDEX(St_e0,Det+1)+INDEX(St_kx,Det+1)*C56+INDEX(St_ky,Det+1)*B56</f>
      </c>
      <c r="F56" s="12">
        <f>IF(E56&gt;0,IF(E56&lt;=eco,alpha*fck*(1-(1-E56/eco)^n),alpha*fck),0)</f>
      </c>
      <c r="G56" s="11">
        <f>F56*D56</f>
      </c>
      <c r="H56" s="11">
        <f>G56*C56</f>
      </c>
      <c r="I56" s="11">
        <f>G56*B56</f>
      </c>
      <c r="J56" s="30">
        <f>PM_Angle!$J$7+PM_Angle!$K$7*$C56+PM_Angle!$L$7*$B56</f>
      </c>
      <c r="K56" s="12">
        <f>IF(J56&gt;0,IF(J56&lt;=eco,alpha*fck*(1-(1-J56/eco)^n),alpha*fck),0)</f>
      </c>
      <c r="L56" s="30">
        <f>PM_Angle!$J$8+PM_Angle!$K$8*$C56+PM_Angle!$L$8*$B56</f>
      </c>
      <c r="M56" s="12">
        <f>IF(L56&gt;0,IF(L56&lt;=eco,alpha*fck*(1-(1-L56/eco)^n),alpha*fck),0)</f>
      </c>
      <c r="N56" s="30">
        <f>PM_Angle!$J$9+PM_Angle!$K$9*$C56+PM_Angle!$L$9*$B56</f>
      </c>
      <c r="O56" s="12">
        <f>IF(N56&gt;0,IF(N56&lt;=eco,alpha*fck*(1-(1-N56/eco)^n),alpha*fck),0)</f>
      </c>
      <c r="P56" s="30">
        <f>PM_Angle!$J$10+PM_Angle!$K$10*$C56+PM_Angle!$L$10*$B56</f>
      </c>
      <c r="Q56" s="12">
        <f>IF(P56&gt;0,IF(P56&lt;=eco,alpha*fck*(1-(1-P56/eco)^n),alpha*fck),0)</f>
      </c>
      <c r="R56" s="30">
        <f>PM_Angle!$J$11+PM_Angle!$K$11*$C56+PM_Angle!$L$11*$B56</f>
      </c>
      <c r="S56" s="12">
        <f>IF(R56&gt;0,IF(R56&lt;=eco,alpha*fck*(1-(1-R56/eco)^n),alpha*fck),0)</f>
      </c>
      <c r="T56" s="30">
        <f>PM_Angle!$J$12+PM_Angle!$K$12*$C56+PM_Angle!$L$12*$B56</f>
      </c>
      <c r="U56" s="12">
        <f>IF(T56&gt;0,IF(T56&lt;=eco,alpha*fck*(1-(1-T56/eco)^n),alpha*fck),0)</f>
      </c>
      <c r="V56" s="30">
        <f>PM_Angle!$J$13+PM_Angle!$K$13*$C56+PM_Angle!$L$13*$B56</f>
      </c>
      <c r="W56" s="12">
        <f>IF(V56&gt;0,IF(V56&lt;=eco,alpha*fck*(1-(1-V56/eco)^n),alpha*fck),0)</f>
      </c>
      <c r="X56" s="30">
        <f>PM_Angle!$J$14+PM_Angle!$K$14*$C56+PM_Angle!$L$14*$B56</f>
      </c>
      <c r="Y56" s="12">
        <f>IF(X56&gt;0,IF(X56&lt;=eco,alpha*fck*(1-(1-X56/eco)^n),alpha*fck),0)</f>
      </c>
      <c r="Z56" s="30">
        <f>PM_Angle!$J$15+PM_Angle!$K$15*$C56+PM_Angle!$L$15*$B56</f>
      </c>
      <c r="AA56" s="12">
        <f>IF(Z56&gt;0,IF(Z56&lt;=eco,alpha*fck*(1-(1-Z56/eco)^n),alpha*fck),0)</f>
      </c>
      <c r="AB56" s="30">
        <f>PM_Angle!$J$16+PM_Angle!$K$16*$C56+PM_Angle!$L$16*$B56</f>
      </c>
      <c r="AC56" s="12">
        <f>IF(AB56&gt;0,IF(AB56&lt;=eco,alpha*fck*(1-(1-AB56/eco)^n),alpha*fck),0)</f>
      </c>
      <c r="AD56" s="30">
        <f>PM_Angle!$J$17+PM_Angle!$K$17*$C56+PM_Angle!$L$17*$B56</f>
      </c>
      <c r="AE56" s="12">
        <f>IF(AD56&gt;0,IF(AD56&lt;=eco,alpha*fck*(1-(1-AD56/eco)^n),alpha*fck),0)</f>
      </c>
      <c r="AF56" s="30">
        <f>PM_Angle!$J$18+PM_Angle!$K$18*$C56+PM_Angle!$L$18*$B56</f>
      </c>
      <c r="AG56" s="12">
        <f>IF(AF56&gt;0,IF(AF56&lt;=eco,alpha*fck*(1-(1-AF56/eco)^n),alpha*fck),0)</f>
      </c>
      <c r="AH56" s="30">
        <f>PM_Angle!$J$19+PM_Angle!$K$19*$C56+PM_Angle!$L$19*$B56</f>
      </c>
      <c r="AI56" s="12">
        <f>IF(AH56&gt;0,IF(AH56&lt;=eco,alpha*fck*(1-(1-AH56/eco)^n),alpha*fck),0)</f>
      </c>
      <c r="AJ56" s="30">
        <f>PM_Angle!$J$20+PM_Angle!$K$20*$C56+PM_Angle!$L$20*$B56</f>
      </c>
      <c r="AK56" s="12">
        <f>IF(AJ56&gt;0,IF(AJ56&lt;=eco,alpha*fck*(1-(1-AJ56/eco)^n),alpha*fck),0)</f>
      </c>
      <c r="AL56" s="30">
        <f>PM_Angle!$J$21+PM_Angle!$K$21*$C56+PM_Angle!$L$21*$B56</f>
      </c>
      <c r="AM56" s="12">
        <f>IF(AL56&gt;0,IF(AL56&lt;=eco,alpha*fck*(1-(1-AL56/eco)^n),alpha*fck),0)</f>
      </c>
      <c r="AN56" s="30">
        <f>PM_Angle!$J$22+PM_Angle!$K$22*$C56+PM_Angle!$L$22*$B56</f>
      </c>
      <c r="AO56" s="12">
        <f>IF(AN56&gt;0,IF(AN56&lt;=eco,alpha*fck*(1-(1-AN56/eco)^n),alpha*fck),0)</f>
      </c>
      <c r="AP56" s="30">
        <f>PM_Angle!$J$23+PM_Angle!$K$23*$C56+PM_Angle!$L$23*$B56</f>
      </c>
      <c r="AQ56" s="12">
        <f>IF(AP56&gt;0,IF(AP56&lt;=eco,alpha*fck*(1-(1-AP56/eco)^n),alpha*fck),0)</f>
      </c>
      <c r="AR56" s="30">
        <f>PM_Angle!$J$24+PM_Angle!$K$24*$C56+PM_Angle!$L$24*$B56</f>
      </c>
      <c r="AS56" s="12">
        <f>IF(AR56&gt;0,IF(AR56&lt;=eco,alpha*fck*(1-(1-AR56/eco)^n),alpha*fck),0)</f>
      </c>
      <c r="AT56" s="30">
        <f>PM_Angle!$J$25+PM_Angle!$K$25*$C56+PM_Angle!$L$25*$B56</f>
      </c>
      <c r="AU56" s="12">
        <f>IF(AT56&gt;0,IF(AT56&lt;=eco,alpha*fck*(1-(1-AT56/eco)^n),alpha*fck),0)</f>
      </c>
    </row>
    <row r="57" spans="1:47" x14ac:dyDescent="0.25">
      <c r="A57">
        <f>Mesh!A54</f>
      </c>
      <c r="B57" s="12">
        <f>Mesh!B54</f>
      </c>
      <c r="C57" s="12">
        <f>Mesh!C54</f>
      </c>
      <c r="D57" s="12">
        <f>Mesh!D54</f>
      </c>
      <c r="E57" s="30">
        <f>INDEX(St_e0,Det+1)+INDEX(St_kx,Det+1)*C57+INDEX(St_ky,Det+1)*B57</f>
      </c>
      <c r="F57" s="12">
        <f>IF(E57&gt;0,IF(E57&lt;=eco,alpha*fck*(1-(1-E57/eco)^n),alpha*fck),0)</f>
      </c>
      <c r="G57" s="11">
        <f>F57*D57</f>
      </c>
      <c r="H57" s="11">
        <f>G57*C57</f>
      </c>
      <c r="I57" s="11">
        <f>G57*B57</f>
      </c>
      <c r="J57" s="30">
        <f>PM_Angle!$J$7+PM_Angle!$K$7*$C57+PM_Angle!$L$7*$B57</f>
      </c>
      <c r="K57" s="12">
        <f>IF(J57&gt;0,IF(J57&lt;=eco,alpha*fck*(1-(1-J57/eco)^n),alpha*fck),0)</f>
      </c>
      <c r="L57" s="30">
        <f>PM_Angle!$J$8+PM_Angle!$K$8*$C57+PM_Angle!$L$8*$B57</f>
      </c>
      <c r="M57" s="12">
        <f>IF(L57&gt;0,IF(L57&lt;=eco,alpha*fck*(1-(1-L57/eco)^n),alpha*fck),0)</f>
      </c>
      <c r="N57" s="30">
        <f>PM_Angle!$J$9+PM_Angle!$K$9*$C57+PM_Angle!$L$9*$B57</f>
      </c>
      <c r="O57" s="12">
        <f>IF(N57&gt;0,IF(N57&lt;=eco,alpha*fck*(1-(1-N57/eco)^n),alpha*fck),0)</f>
      </c>
      <c r="P57" s="30">
        <f>PM_Angle!$J$10+PM_Angle!$K$10*$C57+PM_Angle!$L$10*$B57</f>
      </c>
      <c r="Q57" s="12">
        <f>IF(P57&gt;0,IF(P57&lt;=eco,alpha*fck*(1-(1-P57/eco)^n),alpha*fck),0)</f>
      </c>
      <c r="R57" s="30">
        <f>PM_Angle!$J$11+PM_Angle!$K$11*$C57+PM_Angle!$L$11*$B57</f>
      </c>
      <c r="S57" s="12">
        <f>IF(R57&gt;0,IF(R57&lt;=eco,alpha*fck*(1-(1-R57/eco)^n),alpha*fck),0)</f>
      </c>
      <c r="T57" s="30">
        <f>PM_Angle!$J$12+PM_Angle!$K$12*$C57+PM_Angle!$L$12*$B57</f>
      </c>
      <c r="U57" s="12">
        <f>IF(T57&gt;0,IF(T57&lt;=eco,alpha*fck*(1-(1-T57/eco)^n),alpha*fck),0)</f>
      </c>
      <c r="V57" s="30">
        <f>PM_Angle!$J$13+PM_Angle!$K$13*$C57+PM_Angle!$L$13*$B57</f>
      </c>
      <c r="W57" s="12">
        <f>IF(V57&gt;0,IF(V57&lt;=eco,alpha*fck*(1-(1-V57/eco)^n),alpha*fck),0)</f>
      </c>
      <c r="X57" s="30">
        <f>PM_Angle!$J$14+PM_Angle!$K$14*$C57+PM_Angle!$L$14*$B57</f>
      </c>
      <c r="Y57" s="12">
        <f>IF(X57&gt;0,IF(X57&lt;=eco,alpha*fck*(1-(1-X57/eco)^n),alpha*fck),0)</f>
      </c>
      <c r="Z57" s="30">
        <f>PM_Angle!$J$15+PM_Angle!$K$15*$C57+PM_Angle!$L$15*$B57</f>
      </c>
      <c r="AA57" s="12">
        <f>IF(Z57&gt;0,IF(Z57&lt;=eco,alpha*fck*(1-(1-Z57/eco)^n),alpha*fck),0)</f>
      </c>
      <c r="AB57" s="30">
        <f>PM_Angle!$J$16+PM_Angle!$K$16*$C57+PM_Angle!$L$16*$B57</f>
      </c>
      <c r="AC57" s="12">
        <f>IF(AB57&gt;0,IF(AB57&lt;=eco,alpha*fck*(1-(1-AB57/eco)^n),alpha*fck),0)</f>
      </c>
      <c r="AD57" s="30">
        <f>PM_Angle!$J$17+PM_Angle!$K$17*$C57+PM_Angle!$L$17*$B57</f>
      </c>
      <c r="AE57" s="12">
        <f>IF(AD57&gt;0,IF(AD57&lt;=eco,alpha*fck*(1-(1-AD57/eco)^n),alpha*fck),0)</f>
      </c>
      <c r="AF57" s="30">
        <f>PM_Angle!$J$18+PM_Angle!$K$18*$C57+PM_Angle!$L$18*$B57</f>
      </c>
      <c r="AG57" s="12">
        <f>IF(AF57&gt;0,IF(AF57&lt;=eco,alpha*fck*(1-(1-AF57/eco)^n),alpha*fck),0)</f>
      </c>
      <c r="AH57" s="30">
        <f>PM_Angle!$J$19+PM_Angle!$K$19*$C57+PM_Angle!$L$19*$B57</f>
      </c>
      <c r="AI57" s="12">
        <f>IF(AH57&gt;0,IF(AH57&lt;=eco,alpha*fck*(1-(1-AH57/eco)^n),alpha*fck),0)</f>
      </c>
      <c r="AJ57" s="30">
        <f>PM_Angle!$J$20+PM_Angle!$K$20*$C57+PM_Angle!$L$20*$B57</f>
      </c>
      <c r="AK57" s="12">
        <f>IF(AJ57&gt;0,IF(AJ57&lt;=eco,alpha*fck*(1-(1-AJ57/eco)^n),alpha*fck),0)</f>
      </c>
      <c r="AL57" s="30">
        <f>PM_Angle!$J$21+PM_Angle!$K$21*$C57+PM_Angle!$L$21*$B57</f>
      </c>
      <c r="AM57" s="12">
        <f>IF(AL57&gt;0,IF(AL57&lt;=eco,alpha*fck*(1-(1-AL57/eco)^n),alpha*fck),0)</f>
      </c>
      <c r="AN57" s="30">
        <f>PM_Angle!$J$22+PM_Angle!$K$22*$C57+PM_Angle!$L$22*$B57</f>
      </c>
      <c r="AO57" s="12">
        <f>IF(AN57&gt;0,IF(AN57&lt;=eco,alpha*fck*(1-(1-AN57/eco)^n),alpha*fck),0)</f>
      </c>
      <c r="AP57" s="30">
        <f>PM_Angle!$J$23+PM_Angle!$K$23*$C57+PM_Angle!$L$23*$B57</f>
      </c>
      <c r="AQ57" s="12">
        <f>IF(AP57&gt;0,IF(AP57&lt;=eco,alpha*fck*(1-(1-AP57/eco)^n),alpha*fck),0)</f>
      </c>
      <c r="AR57" s="30">
        <f>PM_Angle!$J$24+PM_Angle!$K$24*$C57+PM_Angle!$L$24*$B57</f>
      </c>
      <c r="AS57" s="12">
        <f>IF(AR57&gt;0,IF(AR57&lt;=eco,alpha*fck*(1-(1-AR57/eco)^n),alpha*fck),0)</f>
      </c>
      <c r="AT57" s="30">
        <f>PM_Angle!$J$25+PM_Angle!$K$25*$C57+PM_Angle!$L$25*$B57</f>
      </c>
      <c r="AU57" s="12">
        <f>IF(AT57&gt;0,IF(AT57&lt;=eco,alpha*fck*(1-(1-AT57/eco)^n),alpha*fck),0)</f>
      </c>
    </row>
    <row r="58" spans="1:47" x14ac:dyDescent="0.25">
      <c r="A58">
        <f>Mesh!A55</f>
      </c>
      <c r="B58" s="12">
        <f>Mesh!B55</f>
      </c>
      <c r="C58" s="12">
        <f>Mesh!C55</f>
      </c>
      <c r="D58" s="12">
        <f>Mesh!D55</f>
      </c>
      <c r="E58" s="30">
        <f>INDEX(St_e0,Det+1)+INDEX(St_kx,Det+1)*C58+INDEX(St_ky,Det+1)*B58</f>
      </c>
      <c r="F58" s="12">
        <f>IF(E58&gt;0,IF(E58&lt;=eco,alpha*fck*(1-(1-E58/eco)^n),alpha*fck),0)</f>
      </c>
      <c r="G58" s="11">
        <f>F58*D58</f>
      </c>
      <c r="H58" s="11">
        <f>G58*C58</f>
      </c>
      <c r="I58" s="11">
        <f>G58*B58</f>
      </c>
      <c r="J58" s="30">
        <f>PM_Angle!$J$7+PM_Angle!$K$7*$C58+PM_Angle!$L$7*$B58</f>
      </c>
      <c r="K58" s="12">
        <f>IF(J58&gt;0,IF(J58&lt;=eco,alpha*fck*(1-(1-J58/eco)^n),alpha*fck),0)</f>
      </c>
      <c r="L58" s="30">
        <f>PM_Angle!$J$8+PM_Angle!$K$8*$C58+PM_Angle!$L$8*$B58</f>
      </c>
      <c r="M58" s="12">
        <f>IF(L58&gt;0,IF(L58&lt;=eco,alpha*fck*(1-(1-L58/eco)^n),alpha*fck),0)</f>
      </c>
      <c r="N58" s="30">
        <f>PM_Angle!$J$9+PM_Angle!$K$9*$C58+PM_Angle!$L$9*$B58</f>
      </c>
      <c r="O58" s="12">
        <f>IF(N58&gt;0,IF(N58&lt;=eco,alpha*fck*(1-(1-N58/eco)^n),alpha*fck),0)</f>
      </c>
      <c r="P58" s="30">
        <f>PM_Angle!$J$10+PM_Angle!$K$10*$C58+PM_Angle!$L$10*$B58</f>
      </c>
      <c r="Q58" s="12">
        <f>IF(P58&gt;0,IF(P58&lt;=eco,alpha*fck*(1-(1-P58/eco)^n),alpha*fck),0)</f>
      </c>
      <c r="R58" s="30">
        <f>PM_Angle!$J$11+PM_Angle!$K$11*$C58+PM_Angle!$L$11*$B58</f>
      </c>
      <c r="S58" s="12">
        <f>IF(R58&gt;0,IF(R58&lt;=eco,alpha*fck*(1-(1-R58/eco)^n),alpha*fck),0)</f>
      </c>
      <c r="T58" s="30">
        <f>PM_Angle!$J$12+PM_Angle!$K$12*$C58+PM_Angle!$L$12*$B58</f>
      </c>
      <c r="U58" s="12">
        <f>IF(T58&gt;0,IF(T58&lt;=eco,alpha*fck*(1-(1-T58/eco)^n),alpha*fck),0)</f>
      </c>
      <c r="V58" s="30">
        <f>PM_Angle!$J$13+PM_Angle!$K$13*$C58+PM_Angle!$L$13*$B58</f>
      </c>
      <c r="W58" s="12">
        <f>IF(V58&gt;0,IF(V58&lt;=eco,alpha*fck*(1-(1-V58/eco)^n),alpha*fck),0)</f>
      </c>
      <c r="X58" s="30">
        <f>PM_Angle!$J$14+PM_Angle!$K$14*$C58+PM_Angle!$L$14*$B58</f>
      </c>
      <c r="Y58" s="12">
        <f>IF(X58&gt;0,IF(X58&lt;=eco,alpha*fck*(1-(1-X58/eco)^n),alpha*fck),0)</f>
      </c>
      <c r="Z58" s="30">
        <f>PM_Angle!$J$15+PM_Angle!$K$15*$C58+PM_Angle!$L$15*$B58</f>
      </c>
      <c r="AA58" s="12">
        <f>IF(Z58&gt;0,IF(Z58&lt;=eco,alpha*fck*(1-(1-Z58/eco)^n),alpha*fck),0)</f>
      </c>
      <c r="AB58" s="30">
        <f>PM_Angle!$J$16+PM_Angle!$K$16*$C58+PM_Angle!$L$16*$B58</f>
      </c>
      <c r="AC58" s="12">
        <f>IF(AB58&gt;0,IF(AB58&lt;=eco,alpha*fck*(1-(1-AB58/eco)^n),alpha*fck),0)</f>
      </c>
      <c r="AD58" s="30">
        <f>PM_Angle!$J$17+PM_Angle!$K$17*$C58+PM_Angle!$L$17*$B58</f>
      </c>
      <c r="AE58" s="12">
        <f>IF(AD58&gt;0,IF(AD58&lt;=eco,alpha*fck*(1-(1-AD58/eco)^n),alpha*fck),0)</f>
      </c>
      <c r="AF58" s="30">
        <f>PM_Angle!$J$18+PM_Angle!$K$18*$C58+PM_Angle!$L$18*$B58</f>
      </c>
      <c r="AG58" s="12">
        <f>IF(AF58&gt;0,IF(AF58&lt;=eco,alpha*fck*(1-(1-AF58/eco)^n),alpha*fck),0)</f>
      </c>
      <c r="AH58" s="30">
        <f>PM_Angle!$J$19+PM_Angle!$K$19*$C58+PM_Angle!$L$19*$B58</f>
      </c>
      <c r="AI58" s="12">
        <f>IF(AH58&gt;0,IF(AH58&lt;=eco,alpha*fck*(1-(1-AH58/eco)^n),alpha*fck),0)</f>
      </c>
      <c r="AJ58" s="30">
        <f>PM_Angle!$J$20+PM_Angle!$K$20*$C58+PM_Angle!$L$20*$B58</f>
      </c>
      <c r="AK58" s="12">
        <f>IF(AJ58&gt;0,IF(AJ58&lt;=eco,alpha*fck*(1-(1-AJ58/eco)^n),alpha*fck),0)</f>
      </c>
      <c r="AL58" s="30">
        <f>PM_Angle!$J$21+PM_Angle!$K$21*$C58+PM_Angle!$L$21*$B58</f>
      </c>
      <c r="AM58" s="12">
        <f>IF(AL58&gt;0,IF(AL58&lt;=eco,alpha*fck*(1-(1-AL58/eco)^n),alpha*fck),0)</f>
      </c>
      <c r="AN58" s="30">
        <f>PM_Angle!$J$22+PM_Angle!$K$22*$C58+PM_Angle!$L$22*$B58</f>
      </c>
      <c r="AO58" s="12">
        <f>IF(AN58&gt;0,IF(AN58&lt;=eco,alpha*fck*(1-(1-AN58/eco)^n),alpha*fck),0)</f>
      </c>
      <c r="AP58" s="30">
        <f>PM_Angle!$J$23+PM_Angle!$K$23*$C58+PM_Angle!$L$23*$B58</f>
      </c>
      <c r="AQ58" s="12">
        <f>IF(AP58&gt;0,IF(AP58&lt;=eco,alpha*fck*(1-(1-AP58/eco)^n),alpha*fck),0)</f>
      </c>
      <c r="AR58" s="30">
        <f>PM_Angle!$J$24+PM_Angle!$K$24*$C58+PM_Angle!$L$24*$B58</f>
      </c>
      <c r="AS58" s="12">
        <f>IF(AR58&gt;0,IF(AR58&lt;=eco,alpha*fck*(1-(1-AR58/eco)^n),alpha*fck),0)</f>
      </c>
      <c r="AT58" s="30">
        <f>PM_Angle!$J$25+PM_Angle!$K$25*$C58+PM_Angle!$L$25*$B58</f>
      </c>
      <c r="AU58" s="12">
        <f>IF(AT58&gt;0,IF(AT58&lt;=eco,alpha*fck*(1-(1-AT58/eco)^n),alpha*fck),0)</f>
      </c>
    </row>
    <row r="59" spans="1:47" x14ac:dyDescent="0.25">
      <c r="A59">
        <f>Mesh!A56</f>
      </c>
      <c r="B59" s="12">
        <f>Mesh!B56</f>
      </c>
      <c r="C59" s="12">
        <f>Mesh!C56</f>
      </c>
      <c r="D59" s="12">
        <f>Mesh!D56</f>
      </c>
      <c r="E59" s="30">
        <f>INDEX(St_e0,Det+1)+INDEX(St_kx,Det+1)*C59+INDEX(St_ky,Det+1)*B59</f>
      </c>
      <c r="F59" s="12">
        <f>IF(E59&gt;0,IF(E59&lt;=eco,alpha*fck*(1-(1-E59/eco)^n),alpha*fck),0)</f>
      </c>
      <c r="G59" s="11">
        <f>F59*D59</f>
      </c>
      <c r="H59" s="11">
        <f>G59*C59</f>
      </c>
      <c r="I59" s="11">
        <f>G59*B59</f>
      </c>
      <c r="J59" s="30">
        <f>PM_Angle!$J$7+PM_Angle!$K$7*$C59+PM_Angle!$L$7*$B59</f>
      </c>
      <c r="K59" s="12">
        <f>IF(J59&gt;0,IF(J59&lt;=eco,alpha*fck*(1-(1-J59/eco)^n),alpha*fck),0)</f>
      </c>
      <c r="L59" s="30">
        <f>PM_Angle!$J$8+PM_Angle!$K$8*$C59+PM_Angle!$L$8*$B59</f>
      </c>
      <c r="M59" s="12">
        <f>IF(L59&gt;0,IF(L59&lt;=eco,alpha*fck*(1-(1-L59/eco)^n),alpha*fck),0)</f>
      </c>
      <c r="N59" s="30">
        <f>PM_Angle!$J$9+PM_Angle!$K$9*$C59+PM_Angle!$L$9*$B59</f>
      </c>
      <c r="O59" s="12">
        <f>IF(N59&gt;0,IF(N59&lt;=eco,alpha*fck*(1-(1-N59/eco)^n),alpha*fck),0)</f>
      </c>
      <c r="P59" s="30">
        <f>PM_Angle!$J$10+PM_Angle!$K$10*$C59+PM_Angle!$L$10*$B59</f>
      </c>
      <c r="Q59" s="12">
        <f>IF(P59&gt;0,IF(P59&lt;=eco,alpha*fck*(1-(1-P59/eco)^n),alpha*fck),0)</f>
      </c>
      <c r="R59" s="30">
        <f>PM_Angle!$J$11+PM_Angle!$K$11*$C59+PM_Angle!$L$11*$B59</f>
      </c>
      <c r="S59" s="12">
        <f>IF(R59&gt;0,IF(R59&lt;=eco,alpha*fck*(1-(1-R59/eco)^n),alpha*fck),0)</f>
      </c>
      <c r="T59" s="30">
        <f>PM_Angle!$J$12+PM_Angle!$K$12*$C59+PM_Angle!$L$12*$B59</f>
      </c>
      <c r="U59" s="12">
        <f>IF(T59&gt;0,IF(T59&lt;=eco,alpha*fck*(1-(1-T59/eco)^n),alpha*fck),0)</f>
      </c>
      <c r="V59" s="30">
        <f>PM_Angle!$J$13+PM_Angle!$K$13*$C59+PM_Angle!$L$13*$B59</f>
      </c>
      <c r="W59" s="12">
        <f>IF(V59&gt;0,IF(V59&lt;=eco,alpha*fck*(1-(1-V59/eco)^n),alpha*fck),0)</f>
      </c>
      <c r="X59" s="30">
        <f>PM_Angle!$J$14+PM_Angle!$K$14*$C59+PM_Angle!$L$14*$B59</f>
      </c>
      <c r="Y59" s="12">
        <f>IF(X59&gt;0,IF(X59&lt;=eco,alpha*fck*(1-(1-X59/eco)^n),alpha*fck),0)</f>
      </c>
      <c r="Z59" s="30">
        <f>PM_Angle!$J$15+PM_Angle!$K$15*$C59+PM_Angle!$L$15*$B59</f>
      </c>
      <c r="AA59" s="12">
        <f>IF(Z59&gt;0,IF(Z59&lt;=eco,alpha*fck*(1-(1-Z59/eco)^n),alpha*fck),0)</f>
      </c>
      <c r="AB59" s="30">
        <f>PM_Angle!$J$16+PM_Angle!$K$16*$C59+PM_Angle!$L$16*$B59</f>
      </c>
      <c r="AC59" s="12">
        <f>IF(AB59&gt;0,IF(AB59&lt;=eco,alpha*fck*(1-(1-AB59/eco)^n),alpha*fck),0)</f>
      </c>
      <c r="AD59" s="30">
        <f>PM_Angle!$J$17+PM_Angle!$K$17*$C59+PM_Angle!$L$17*$B59</f>
      </c>
      <c r="AE59" s="12">
        <f>IF(AD59&gt;0,IF(AD59&lt;=eco,alpha*fck*(1-(1-AD59/eco)^n),alpha*fck),0)</f>
      </c>
      <c r="AF59" s="30">
        <f>PM_Angle!$J$18+PM_Angle!$K$18*$C59+PM_Angle!$L$18*$B59</f>
      </c>
      <c r="AG59" s="12">
        <f>IF(AF59&gt;0,IF(AF59&lt;=eco,alpha*fck*(1-(1-AF59/eco)^n),alpha*fck),0)</f>
      </c>
      <c r="AH59" s="30">
        <f>PM_Angle!$J$19+PM_Angle!$K$19*$C59+PM_Angle!$L$19*$B59</f>
      </c>
      <c r="AI59" s="12">
        <f>IF(AH59&gt;0,IF(AH59&lt;=eco,alpha*fck*(1-(1-AH59/eco)^n),alpha*fck),0)</f>
      </c>
      <c r="AJ59" s="30">
        <f>PM_Angle!$J$20+PM_Angle!$K$20*$C59+PM_Angle!$L$20*$B59</f>
      </c>
      <c r="AK59" s="12">
        <f>IF(AJ59&gt;0,IF(AJ59&lt;=eco,alpha*fck*(1-(1-AJ59/eco)^n),alpha*fck),0)</f>
      </c>
      <c r="AL59" s="30">
        <f>PM_Angle!$J$21+PM_Angle!$K$21*$C59+PM_Angle!$L$21*$B59</f>
      </c>
      <c r="AM59" s="12">
        <f>IF(AL59&gt;0,IF(AL59&lt;=eco,alpha*fck*(1-(1-AL59/eco)^n),alpha*fck),0)</f>
      </c>
      <c r="AN59" s="30">
        <f>PM_Angle!$J$22+PM_Angle!$K$22*$C59+PM_Angle!$L$22*$B59</f>
      </c>
      <c r="AO59" s="12">
        <f>IF(AN59&gt;0,IF(AN59&lt;=eco,alpha*fck*(1-(1-AN59/eco)^n),alpha*fck),0)</f>
      </c>
      <c r="AP59" s="30">
        <f>PM_Angle!$J$23+PM_Angle!$K$23*$C59+PM_Angle!$L$23*$B59</f>
      </c>
      <c r="AQ59" s="12">
        <f>IF(AP59&gt;0,IF(AP59&lt;=eco,alpha*fck*(1-(1-AP59/eco)^n),alpha*fck),0)</f>
      </c>
      <c r="AR59" s="30">
        <f>PM_Angle!$J$24+PM_Angle!$K$24*$C59+PM_Angle!$L$24*$B59</f>
      </c>
      <c r="AS59" s="12">
        <f>IF(AR59&gt;0,IF(AR59&lt;=eco,alpha*fck*(1-(1-AR59/eco)^n),alpha*fck),0)</f>
      </c>
      <c r="AT59" s="30">
        <f>PM_Angle!$J$25+PM_Angle!$K$25*$C59+PM_Angle!$L$25*$B59</f>
      </c>
      <c r="AU59" s="12">
        <f>IF(AT59&gt;0,IF(AT59&lt;=eco,alpha*fck*(1-(1-AT59/eco)^n),alpha*fck),0)</f>
      </c>
    </row>
    <row r="60" spans="1:47" x14ac:dyDescent="0.25">
      <c r="A60">
        <f>Mesh!A57</f>
      </c>
      <c r="B60" s="12">
        <f>Mesh!B57</f>
      </c>
      <c r="C60" s="12">
        <f>Mesh!C57</f>
      </c>
      <c r="D60" s="12">
        <f>Mesh!D57</f>
      </c>
      <c r="E60" s="30">
        <f>INDEX(St_e0,Det+1)+INDEX(St_kx,Det+1)*C60+INDEX(St_ky,Det+1)*B60</f>
      </c>
      <c r="F60" s="12">
        <f>IF(E60&gt;0,IF(E60&lt;=eco,alpha*fck*(1-(1-E60/eco)^n),alpha*fck),0)</f>
      </c>
      <c r="G60" s="11">
        <f>F60*D60</f>
      </c>
      <c r="H60" s="11">
        <f>G60*C60</f>
      </c>
      <c r="I60" s="11">
        <f>G60*B60</f>
      </c>
      <c r="J60" s="30">
        <f>PM_Angle!$J$7+PM_Angle!$K$7*$C60+PM_Angle!$L$7*$B60</f>
      </c>
      <c r="K60" s="12">
        <f>IF(J60&gt;0,IF(J60&lt;=eco,alpha*fck*(1-(1-J60/eco)^n),alpha*fck),0)</f>
      </c>
      <c r="L60" s="30">
        <f>PM_Angle!$J$8+PM_Angle!$K$8*$C60+PM_Angle!$L$8*$B60</f>
      </c>
      <c r="M60" s="12">
        <f>IF(L60&gt;0,IF(L60&lt;=eco,alpha*fck*(1-(1-L60/eco)^n),alpha*fck),0)</f>
      </c>
      <c r="N60" s="30">
        <f>PM_Angle!$J$9+PM_Angle!$K$9*$C60+PM_Angle!$L$9*$B60</f>
      </c>
      <c r="O60" s="12">
        <f>IF(N60&gt;0,IF(N60&lt;=eco,alpha*fck*(1-(1-N60/eco)^n),alpha*fck),0)</f>
      </c>
      <c r="P60" s="30">
        <f>PM_Angle!$J$10+PM_Angle!$K$10*$C60+PM_Angle!$L$10*$B60</f>
      </c>
      <c r="Q60" s="12">
        <f>IF(P60&gt;0,IF(P60&lt;=eco,alpha*fck*(1-(1-P60/eco)^n),alpha*fck),0)</f>
      </c>
      <c r="R60" s="30">
        <f>PM_Angle!$J$11+PM_Angle!$K$11*$C60+PM_Angle!$L$11*$B60</f>
      </c>
      <c r="S60" s="12">
        <f>IF(R60&gt;0,IF(R60&lt;=eco,alpha*fck*(1-(1-R60/eco)^n),alpha*fck),0)</f>
      </c>
      <c r="T60" s="30">
        <f>PM_Angle!$J$12+PM_Angle!$K$12*$C60+PM_Angle!$L$12*$B60</f>
      </c>
      <c r="U60" s="12">
        <f>IF(T60&gt;0,IF(T60&lt;=eco,alpha*fck*(1-(1-T60/eco)^n),alpha*fck),0)</f>
      </c>
      <c r="V60" s="30">
        <f>PM_Angle!$J$13+PM_Angle!$K$13*$C60+PM_Angle!$L$13*$B60</f>
      </c>
      <c r="W60" s="12">
        <f>IF(V60&gt;0,IF(V60&lt;=eco,alpha*fck*(1-(1-V60/eco)^n),alpha*fck),0)</f>
      </c>
      <c r="X60" s="30">
        <f>PM_Angle!$J$14+PM_Angle!$K$14*$C60+PM_Angle!$L$14*$B60</f>
      </c>
      <c r="Y60" s="12">
        <f>IF(X60&gt;0,IF(X60&lt;=eco,alpha*fck*(1-(1-X60/eco)^n),alpha*fck),0)</f>
      </c>
      <c r="Z60" s="30">
        <f>PM_Angle!$J$15+PM_Angle!$K$15*$C60+PM_Angle!$L$15*$B60</f>
      </c>
      <c r="AA60" s="12">
        <f>IF(Z60&gt;0,IF(Z60&lt;=eco,alpha*fck*(1-(1-Z60/eco)^n),alpha*fck),0)</f>
      </c>
      <c r="AB60" s="30">
        <f>PM_Angle!$J$16+PM_Angle!$K$16*$C60+PM_Angle!$L$16*$B60</f>
      </c>
      <c r="AC60" s="12">
        <f>IF(AB60&gt;0,IF(AB60&lt;=eco,alpha*fck*(1-(1-AB60/eco)^n),alpha*fck),0)</f>
      </c>
      <c r="AD60" s="30">
        <f>PM_Angle!$J$17+PM_Angle!$K$17*$C60+PM_Angle!$L$17*$B60</f>
      </c>
      <c r="AE60" s="12">
        <f>IF(AD60&gt;0,IF(AD60&lt;=eco,alpha*fck*(1-(1-AD60/eco)^n),alpha*fck),0)</f>
      </c>
      <c r="AF60" s="30">
        <f>PM_Angle!$J$18+PM_Angle!$K$18*$C60+PM_Angle!$L$18*$B60</f>
      </c>
      <c r="AG60" s="12">
        <f>IF(AF60&gt;0,IF(AF60&lt;=eco,alpha*fck*(1-(1-AF60/eco)^n),alpha*fck),0)</f>
      </c>
      <c r="AH60" s="30">
        <f>PM_Angle!$J$19+PM_Angle!$K$19*$C60+PM_Angle!$L$19*$B60</f>
      </c>
      <c r="AI60" s="12">
        <f>IF(AH60&gt;0,IF(AH60&lt;=eco,alpha*fck*(1-(1-AH60/eco)^n),alpha*fck),0)</f>
      </c>
      <c r="AJ60" s="30">
        <f>PM_Angle!$J$20+PM_Angle!$K$20*$C60+PM_Angle!$L$20*$B60</f>
      </c>
      <c r="AK60" s="12">
        <f>IF(AJ60&gt;0,IF(AJ60&lt;=eco,alpha*fck*(1-(1-AJ60/eco)^n),alpha*fck),0)</f>
      </c>
      <c r="AL60" s="30">
        <f>PM_Angle!$J$21+PM_Angle!$K$21*$C60+PM_Angle!$L$21*$B60</f>
      </c>
      <c r="AM60" s="12">
        <f>IF(AL60&gt;0,IF(AL60&lt;=eco,alpha*fck*(1-(1-AL60/eco)^n),alpha*fck),0)</f>
      </c>
      <c r="AN60" s="30">
        <f>PM_Angle!$J$22+PM_Angle!$K$22*$C60+PM_Angle!$L$22*$B60</f>
      </c>
      <c r="AO60" s="12">
        <f>IF(AN60&gt;0,IF(AN60&lt;=eco,alpha*fck*(1-(1-AN60/eco)^n),alpha*fck),0)</f>
      </c>
      <c r="AP60" s="30">
        <f>PM_Angle!$J$23+PM_Angle!$K$23*$C60+PM_Angle!$L$23*$B60</f>
      </c>
      <c r="AQ60" s="12">
        <f>IF(AP60&gt;0,IF(AP60&lt;=eco,alpha*fck*(1-(1-AP60/eco)^n),alpha*fck),0)</f>
      </c>
      <c r="AR60" s="30">
        <f>PM_Angle!$J$24+PM_Angle!$K$24*$C60+PM_Angle!$L$24*$B60</f>
      </c>
      <c r="AS60" s="12">
        <f>IF(AR60&gt;0,IF(AR60&lt;=eco,alpha*fck*(1-(1-AR60/eco)^n),alpha*fck),0)</f>
      </c>
      <c r="AT60" s="30">
        <f>PM_Angle!$J$25+PM_Angle!$K$25*$C60+PM_Angle!$L$25*$B60</f>
      </c>
      <c r="AU60" s="12">
        <f>IF(AT60&gt;0,IF(AT60&lt;=eco,alpha*fck*(1-(1-AT60/eco)^n),alpha*fck),0)</f>
      </c>
    </row>
    <row r="61" spans="1:47" x14ac:dyDescent="0.25">
      <c r="A61">
        <f>Mesh!A58</f>
      </c>
      <c r="B61" s="12">
        <f>Mesh!B58</f>
      </c>
      <c r="C61" s="12">
        <f>Mesh!C58</f>
      </c>
      <c r="D61" s="12">
        <f>Mesh!D58</f>
      </c>
      <c r="E61" s="30">
        <f>INDEX(St_e0,Det+1)+INDEX(St_kx,Det+1)*C61+INDEX(St_ky,Det+1)*B61</f>
      </c>
      <c r="F61" s="12">
        <f>IF(E61&gt;0,IF(E61&lt;=eco,alpha*fck*(1-(1-E61/eco)^n),alpha*fck),0)</f>
      </c>
      <c r="G61" s="11">
        <f>F61*D61</f>
      </c>
      <c r="H61" s="11">
        <f>G61*C61</f>
      </c>
      <c r="I61" s="11">
        <f>G61*B61</f>
      </c>
      <c r="J61" s="30">
        <f>PM_Angle!$J$7+PM_Angle!$K$7*$C61+PM_Angle!$L$7*$B61</f>
      </c>
      <c r="K61" s="12">
        <f>IF(J61&gt;0,IF(J61&lt;=eco,alpha*fck*(1-(1-J61/eco)^n),alpha*fck),0)</f>
      </c>
      <c r="L61" s="30">
        <f>PM_Angle!$J$8+PM_Angle!$K$8*$C61+PM_Angle!$L$8*$B61</f>
      </c>
      <c r="M61" s="12">
        <f>IF(L61&gt;0,IF(L61&lt;=eco,alpha*fck*(1-(1-L61/eco)^n),alpha*fck),0)</f>
      </c>
      <c r="N61" s="30">
        <f>PM_Angle!$J$9+PM_Angle!$K$9*$C61+PM_Angle!$L$9*$B61</f>
      </c>
      <c r="O61" s="12">
        <f>IF(N61&gt;0,IF(N61&lt;=eco,alpha*fck*(1-(1-N61/eco)^n),alpha*fck),0)</f>
      </c>
      <c r="P61" s="30">
        <f>PM_Angle!$J$10+PM_Angle!$K$10*$C61+PM_Angle!$L$10*$B61</f>
      </c>
      <c r="Q61" s="12">
        <f>IF(P61&gt;0,IF(P61&lt;=eco,alpha*fck*(1-(1-P61/eco)^n),alpha*fck),0)</f>
      </c>
      <c r="R61" s="30">
        <f>PM_Angle!$J$11+PM_Angle!$K$11*$C61+PM_Angle!$L$11*$B61</f>
      </c>
      <c r="S61" s="12">
        <f>IF(R61&gt;0,IF(R61&lt;=eco,alpha*fck*(1-(1-R61/eco)^n),alpha*fck),0)</f>
      </c>
      <c r="T61" s="30">
        <f>PM_Angle!$J$12+PM_Angle!$K$12*$C61+PM_Angle!$L$12*$B61</f>
      </c>
      <c r="U61" s="12">
        <f>IF(T61&gt;0,IF(T61&lt;=eco,alpha*fck*(1-(1-T61/eco)^n),alpha*fck),0)</f>
      </c>
      <c r="V61" s="30">
        <f>PM_Angle!$J$13+PM_Angle!$K$13*$C61+PM_Angle!$L$13*$B61</f>
      </c>
      <c r="W61" s="12">
        <f>IF(V61&gt;0,IF(V61&lt;=eco,alpha*fck*(1-(1-V61/eco)^n),alpha*fck),0)</f>
      </c>
      <c r="X61" s="30">
        <f>PM_Angle!$J$14+PM_Angle!$K$14*$C61+PM_Angle!$L$14*$B61</f>
      </c>
      <c r="Y61" s="12">
        <f>IF(X61&gt;0,IF(X61&lt;=eco,alpha*fck*(1-(1-X61/eco)^n),alpha*fck),0)</f>
      </c>
      <c r="Z61" s="30">
        <f>PM_Angle!$J$15+PM_Angle!$K$15*$C61+PM_Angle!$L$15*$B61</f>
      </c>
      <c r="AA61" s="12">
        <f>IF(Z61&gt;0,IF(Z61&lt;=eco,alpha*fck*(1-(1-Z61/eco)^n),alpha*fck),0)</f>
      </c>
      <c r="AB61" s="30">
        <f>PM_Angle!$J$16+PM_Angle!$K$16*$C61+PM_Angle!$L$16*$B61</f>
      </c>
      <c r="AC61" s="12">
        <f>IF(AB61&gt;0,IF(AB61&lt;=eco,alpha*fck*(1-(1-AB61/eco)^n),alpha*fck),0)</f>
      </c>
      <c r="AD61" s="30">
        <f>PM_Angle!$J$17+PM_Angle!$K$17*$C61+PM_Angle!$L$17*$B61</f>
      </c>
      <c r="AE61" s="12">
        <f>IF(AD61&gt;0,IF(AD61&lt;=eco,alpha*fck*(1-(1-AD61/eco)^n),alpha*fck),0)</f>
      </c>
      <c r="AF61" s="30">
        <f>PM_Angle!$J$18+PM_Angle!$K$18*$C61+PM_Angle!$L$18*$B61</f>
      </c>
      <c r="AG61" s="12">
        <f>IF(AF61&gt;0,IF(AF61&lt;=eco,alpha*fck*(1-(1-AF61/eco)^n),alpha*fck),0)</f>
      </c>
      <c r="AH61" s="30">
        <f>PM_Angle!$J$19+PM_Angle!$K$19*$C61+PM_Angle!$L$19*$B61</f>
      </c>
      <c r="AI61" s="12">
        <f>IF(AH61&gt;0,IF(AH61&lt;=eco,alpha*fck*(1-(1-AH61/eco)^n),alpha*fck),0)</f>
      </c>
      <c r="AJ61" s="30">
        <f>PM_Angle!$J$20+PM_Angle!$K$20*$C61+PM_Angle!$L$20*$B61</f>
      </c>
      <c r="AK61" s="12">
        <f>IF(AJ61&gt;0,IF(AJ61&lt;=eco,alpha*fck*(1-(1-AJ61/eco)^n),alpha*fck),0)</f>
      </c>
      <c r="AL61" s="30">
        <f>PM_Angle!$J$21+PM_Angle!$K$21*$C61+PM_Angle!$L$21*$B61</f>
      </c>
      <c r="AM61" s="12">
        <f>IF(AL61&gt;0,IF(AL61&lt;=eco,alpha*fck*(1-(1-AL61/eco)^n),alpha*fck),0)</f>
      </c>
      <c r="AN61" s="30">
        <f>PM_Angle!$J$22+PM_Angle!$K$22*$C61+PM_Angle!$L$22*$B61</f>
      </c>
      <c r="AO61" s="12">
        <f>IF(AN61&gt;0,IF(AN61&lt;=eco,alpha*fck*(1-(1-AN61/eco)^n),alpha*fck),0)</f>
      </c>
      <c r="AP61" s="30">
        <f>PM_Angle!$J$23+PM_Angle!$K$23*$C61+PM_Angle!$L$23*$B61</f>
      </c>
      <c r="AQ61" s="12">
        <f>IF(AP61&gt;0,IF(AP61&lt;=eco,alpha*fck*(1-(1-AP61/eco)^n),alpha*fck),0)</f>
      </c>
      <c r="AR61" s="30">
        <f>PM_Angle!$J$24+PM_Angle!$K$24*$C61+PM_Angle!$L$24*$B61</f>
      </c>
      <c r="AS61" s="12">
        <f>IF(AR61&gt;0,IF(AR61&lt;=eco,alpha*fck*(1-(1-AR61/eco)^n),alpha*fck),0)</f>
      </c>
      <c r="AT61" s="30">
        <f>PM_Angle!$J$25+PM_Angle!$K$25*$C61+PM_Angle!$L$25*$B61</f>
      </c>
      <c r="AU61" s="12">
        <f>IF(AT61&gt;0,IF(AT61&lt;=eco,alpha*fck*(1-(1-AT61/eco)^n),alpha*fck),0)</f>
      </c>
    </row>
    <row r="62" spans="1:47" x14ac:dyDescent="0.25">
      <c r="A62">
        <f>Mesh!A59</f>
      </c>
      <c r="B62" s="12">
        <f>Mesh!B59</f>
      </c>
      <c r="C62" s="12">
        <f>Mesh!C59</f>
      </c>
      <c r="D62" s="12">
        <f>Mesh!D59</f>
      </c>
      <c r="E62" s="30">
        <f>INDEX(St_e0,Det+1)+INDEX(St_kx,Det+1)*C62+INDEX(St_ky,Det+1)*B62</f>
      </c>
      <c r="F62" s="12">
        <f>IF(E62&gt;0,IF(E62&lt;=eco,alpha*fck*(1-(1-E62/eco)^n),alpha*fck),0)</f>
      </c>
      <c r="G62" s="11">
        <f>F62*D62</f>
      </c>
      <c r="H62" s="11">
        <f>G62*C62</f>
      </c>
      <c r="I62" s="11">
        <f>G62*B62</f>
      </c>
      <c r="J62" s="30">
        <f>PM_Angle!$J$7+PM_Angle!$K$7*$C62+PM_Angle!$L$7*$B62</f>
      </c>
      <c r="K62" s="12">
        <f>IF(J62&gt;0,IF(J62&lt;=eco,alpha*fck*(1-(1-J62/eco)^n),alpha*fck),0)</f>
      </c>
      <c r="L62" s="30">
        <f>PM_Angle!$J$8+PM_Angle!$K$8*$C62+PM_Angle!$L$8*$B62</f>
      </c>
      <c r="M62" s="12">
        <f>IF(L62&gt;0,IF(L62&lt;=eco,alpha*fck*(1-(1-L62/eco)^n),alpha*fck),0)</f>
      </c>
      <c r="N62" s="30">
        <f>PM_Angle!$J$9+PM_Angle!$K$9*$C62+PM_Angle!$L$9*$B62</f>
      </c>
      <c r="O62" s="12">
        <f>IF(N62&gt;0,IF(N62&lt;=eco,alpha*fck*(1-(1-N62/eco)^n),alpha*fck),0)</f>
      </c>
      <c r="P62" s="30">
        <f>PM_Angle!$J$10+PM_Angle!$K$10*$C62+PM_Angle!$L$10*$B62</f>
      </c>
      <c r="Q62" s="12">
        <f>IF(P62&gt;0,IF(P62&lt;=eco,alpha*fck*(1-(1-P62/eco)^n),alpha*fck),0)</f>
      </c>
      <c r="R62" s="30">
        <f>PM_Angle!$J$11+PM_Angle!$K$11*$C62+PM_Angle!$L$11*$B62</f>
      </c>
      <c r="S62" s="12">
        <f>IF(R62&gt;0,IF(R62&lt;=eco,alpha*fck*(1-(1-R62/eco)^n),alpha*fck),0)</f>
      </c>
      <c r="T62" s="30">
        <f>PM_Angle!$J$12+PM_Angle!$K$12*$C62+PM_Angle!$L$12*$B62</f>
      </c>
      <c r="U62" s="12">
        <f>IF(T62&gt;0,IF(T62&lt;=eco,alpha*fck*(1-(1-T62/eco)^n),alpha*fck),0)</f>
      </c>
      <c r="V62" s="30">
        <f>PM_Angle!$J$13+PM_Angle!$K$13*$C62+PM_Angle!$L$13*$B62</f>
      </c>
      <c r="W62" s="12">
        <f>IF(V62&gt;0,IF(V62&lt;=eco,alpha*fck*(1-(1-V62/eco)^n),alpha*fck),0)</f>
      </c>
      <c r="X62" s="30">
        <f>PM_Angle!$J$14+PM_Angle!$K$14*$C62+PM_Angle!$L$14*$B62</f>
      </c>
      <c r="Y62" s="12">
        <f>IF(X62&gt;0,IF(X62&lt;=eco,alpha*fck*(1-(1-X62/eco)^n),alpha*fck),0)</f>
      </c>
      <c r="Z62" s="30">
        <f>PM_Angle!$J$15+PM_Angle!$K$15*$C62+PM_Angle!$L$15*$B62</f>
      </c>
      <c r="AA62" s="12">
        <f>IF(Z62&gt;0,IF(Z62&lt;=eco,alpha*fck*(1-(1-Z62/eco)^n),alpha*fck),0)</f>
      </c>
      <c r="AB62" s="30">
        <f>PM_Angle!$J$16+PM_Angle!$K$16*$C62+PM_Angle!$L$16*$B62</f>
      </c>
      <c r="AC62" s="12">
        <f>IF(AB62&gt;0,IF(AB62&lt;=eco,alpha*fck*(1-(1-AB62/eco)^n),alpha*fck),0)</f>
      </c>
      <c r="AD62" s="30">
        <f>PM_Angle!$J$17+PM_Angle!$K$17*$C62+PM_Angle!$L$17*$B62</f>
      </c>
      <c r="AE62" s="12">
        <f>IF(AD62&gt;0,IF(AD62&lt;=eco,alpha*fck*(1-(1-AD62/eco)^n),alpha*fck),0)</f>
      </c>
      <c r="AF62" s="30">
        <f>PM_Angle!$J$18+PM_Angle!$K$18*$C62+PM_Angle!$L$18*$B62</f>
      </c>
      <c r="AG62" s="12">
        <f>IF(AF62&gt;0,IF(AF62&lt;=eco,alpha*fck*(1-(1-AF62/eco)^n),alpha*fck),0)</f>
      </c>
      <c r="AH62" s="30">
        <f>PM_Angle!$J$19+PM_Angle!$K$19*$C62+PM_Angle!$L$19*$B62</f>
      </c>
      <c r="AI62" s="12">
        <f>IF(AH62&gt;0,IF(AH62&lt;=eco,alpha*fck*(1-(1-AH62/eco)^n),alpha*fck),0)</f>
      </c>
      <c r="AJ62" s="30">
        <f>PM_Angle!$J$20+PM_Angle!$K$20*$C62+PM_Angle!$L$20*$B62</f>
      </c>
      <c r="AK62" s="12">
        <f>IF(AJ62&gt;0,IF(AJ62&lt;=eco,alpha*fck*(1-(1-AJ62/eco)^n),alpha*fck),0)</f>
      </c>
      <c r="AL62" s="30">
        <f>PM_Angle!$J$21+PM_Angle!$K$21*$C62+PM_Angle!$L$21*$B62</f>
      </c>
      <c r="AM62" s="12">
        <f>IF(AL62&gt;0,IF(AL62&lt;=eco,alpha*fck*(1-(1-AL62/eco)^n),alpha*fck),0)</f>
      </c>
      <c r="AN62" s="30">
        <f>PM_Angle!$J$22+PM_Angle!$K$22*$C62+PM_Angle!$L$22*$B62</f>
      </c>
      <c r="AO62" s="12">
        <f>IF(AN62&gt;0,IF(AN62&lt;=eco,alpha*fck*(1-(1-AN62/eco)^n),alpha*fck),0)</f>
      </c>
      <c r="AP62" s="30">
        <f>PM_Angle!$J$23+PM_Angle!$K$23*$C62+PM_Angle!$L$23*$B62</f>
      </c>
      <c r="AQ62" s="12">
        <f>IF(AP62&gt;0,IF(AP62&lt;=eco,alpha*fck*(1-(1-AP62/eco)^n),alpha*fck),0)</f>
      </c>
      <c r="AR62" s="30">
        <f>PM_Angle!$J$24+PM_Angle!$K$24*$C62+PM_Angle!$L$24*$B62</f>
      </c>
      <c r="AS62" s="12">
        <f>IF(AR62&gt;0,IF(AR62&lt;=eco,alpha*fck*(1-(1-AR62/eco)^n),alpha*fck),0)</f>
      </c>
      <c r="AT62" s="30">
        <f>PM_Angle!$J$25+PM_Angle!$K$25*$C62+PM_Angle!$L$25*$B62</f>
      </c>
      <c r="AU62" s="12">
        <f>IF(AT62&gt;0,IF(AT62&lt;=eco,alpha*fck*(1-(1-AT62/eco)^n),alpha*fck),0)</f>
      </c>
    </row>
    <row r="63" spans="1:47" x14ac:dyDescent="0.25">
      <c r="A63">
        <f>Mesh!A60</f>
      </c>
      <c r="B63" s="12">
        <f>Mesh!B60</f>
      </c>
      <c r="C63" s="12">
        <f>Mesh!C60</f>
      </c>
      <c r="D63" s="12">
        <f>Mesh!D60</f>
      </c>
      <c r="E63" s="30">
        <f>INDEX(St_e0,Det+1)+INDEX(St_kx,Det+1)*C63+INDEX(St_ky,Det+1)*B63</f>
      </c>
      <c r="F63" s="12">
        <f>IF(E63&gt;0,IF(E63&lt;=eco,alpha*fck*(1-(1-E63/eco)^n),alpha*fck),0)</f>
      </c>
      <c r="G63" s="11">
        <f>F63*D63</f>
      </c>
      <c r="H63" s="11">
        <f>G63*C63</f>
      </c>
      <c r="I63" s="11">
        <f>G63*B63</f>
      </c>
      <c r="J63" s="30">
        <f>PM_Angle!$J$7+PM_Angle!$K$7*$C63+PM_Angle!$L$7*$B63</f>
      </c>
      <c r="K63" s="12">
        <f>IF(J63&gt;0,IF(J63&lt;=eco,alpha*fck*(1-(1-J63/eco)^n),alpha*fck),0)</f>
      </c>
      <c r="L63" s="30">
        <f>PM_Angle!$J$8+PM_Angle!$K$8*$C63+PM_Angle!$L$8*$B63</f>
      </c>
      <c r="M63" s="12">
        <f>IF(L63&gt;0,IF(L63&lt;=eco,alpha*fck*(1-(1-L63/eco)^n),alpha*fck),0)</f>
      </c>
      <c r="N63" s="30">
        <f>PM_Angle!$J$9+PM_Angle!$K$9*$C63+PM_Angle!$L$9*$B63</f>
      </c>
      <c r="O63" s="12">
        <f>IF(N63&gt;0,IF(N63&lt;=eco,alpha*fck*(1-(1-N63/eco)^n),alpha*fck),0)</f>
      </c>
      <c r="P63" s="30">
        <f>PM_Angle!$J$10+PM_Angle!$K$10*$C63+PM_Angle!$L$10*$B63</f>
      </c>
      <c r="Q63" s="12">
        <f>IF(P63&gt;0,IF(P63&lt;=eco,alpha*fck*(1-(1-P63/eco)^n),alpha*fck),0)</f>
      </c>
      <c r="R63" s="30">
        <f>PM_Angle!$J$11+PM_Angle!$K$11*$C63+PM_Angle!$L$11*$B63</f>
      </c>
      <c r="S63" s="12">
        <f>IF(R63&gt;0,IF(R63&lt;=eco,alpha*fck*(1-(1-R63/eco)^n),alpha*fck),0)</f>
      </c>
      <c r="T63" s="30">
        <f>PM_Angle!$J$12+PM_Angle!$K$12*$C63+PM_Angle!$L$12*$B63</f>
      </c>
      <c r="U63" s="12">
        <f>IF(T63&gt;0,IF(T63&lt;=eco,alpha*fck*(1-(1-T63/eco)^n),alpha*fck),0)</f>
      </c>
      <c r="V63" s="30">
        <f>PM_Angle!$J$13+PM_Angle!$K$13*$C63+PM_Angle!$L$13*$B63</f>
      </c>
      <c r="W63" s="12">
        <f>IF(V63&gt;0,IF(V63&lt;=eco,alpha*fck*(1-(1-V63/eco)^n),alpha*fck),0)</f>
      </c>
      <c r="X63" s="30">
        <f>PM_Angle!$J$14+PM_Angle!$K$14*$C63+PM_Angle!$L$14*$B63</f>
      </c>
      <c r="Y63" s="12">
        <f>IF(X63&gt;0,IF(X63&lt;=eco,alpha*fck*(1-(1-X63/eco)^n),alpha*fck),0)</f>
      </c>
      <c r="Z63" s="30">
        <f>PM_Angle!$J$15+PM_Angle!$K$15*$C63+PM_Angle!$L$15*$B63</f>
      </c>
      <c r="AA63" s="12">
        <f>IF(Z63&gt;0,IF(Z63&lt;=eco,alpha*fck*(1-(1-Z63/eco)^n),alpha*fck),0)</f>
      </c>
      <c r="AB63" s="30">
        <f>PM_Angle!$J$16+PM_Angle!$K$16*$C63+PM_Angle!$L$16*$B63</f>
      </c>
      <c r="AC63" s="12">
        <f>IF(AB63&gt;0,IF(AB63&lt;=eco,alpha*fck*(1-(1-AB63/eco)^n),alpha*fck),0)</f>
      </c>
      <c r="AD63" s="30">
        <f>PM_Angle!$J$17+PM_Angle!$K$17*$C63+PM_Angle!$L$17*$B63</f>
      </c>
      <c r="AE63" s="12">
        <f>IF(AD63&gt;0,IF(AD63&lt;=eco,alpha*fck*(1-(1-AD63/eco)^n),alpha*fck),0)</f>
      </c>
      <c r="AF63" s="30">
        <f>PM_Angle!$J$18+PM_Angle!$K$18*$C63+PM_Angle!$L$18*$B63</f>
      </c>
      <c r="AG63" s="12">
        <f>IF(AF63&gt;0,IF(AF63&lt;=eco,alpha*fck*(1-(1-AF63/eco)^n),alpha*fck),0)</f>
      </c>
      <c r="AH63" s="30">
        <f>PM_Angle!$J$19+PM_Angle!$K$19*$C63+PM_Angle!$L$19*$B63</f>
      </c>
      <c r="AI63" s="12">
        <f>IF(AH63&gt;0,IF(AH63&lt;=eco,alpha*fck*(1-(1-AH63/eco)^n),alpha*fck),0)</f>
      </c>
      <c r="AJ63" s="30">
        <f>PM_Angle!$J$20+PM_Angle!$K$20*$C63+PM_Angle!$L$20*$B63</f>
      </c>
      <c r="AK63" s="12">
        <f>IF(AJ63&gt;0,IF(AJ63&lt;=eco,alpha*fck*(1-(1-AJ63/eco)^n),alpha*fck),0)</f>
      </c>
      <c r="AL63" s="30">
        <f>PM_Angle!$J$21+PM_Angle!$K$21*$C63+PM_Angle!$L$21*$B63</f>
      </c>
      <c r="AM63" s="12">
        <f>IF(AL63&gt;0,IF(AL63&lt;=eco,alpha*fck*(1-(1-AL63/eco)^n),alpha*fck),0)</f>
      </c>
      <c r="AN63" s="30">
        <f>PM_Angle!$J$22+PM_Angle!$K$22*$C63+PM_Angle!$L$22*$B63</f>
      </c>
      <c r="AO63" s="12">
        <f>IF(AN63&gt;0,IF(AN63&lt;=eco,alpha*fck*(1-(1-AN63/eco)^n),alpha*fck),0)</f>
      </c>
      <c r="AP63" s="30">
        <f>PM_Angle!$J$23+PM_Angle!$K$23*$C63+PM_Angle!$L$23*$B63</f>
      </c>
      <c r="AQ63" s="12">
        <f>IF(AP63&gt;0,IF(AP63&lt;=eco,alpha*fck*(1-(1-AP63/eco)^n),alpha*fck),0)</f>
      </c>
      <c r="AR63" s="30">
        <f>PM_Angle!$J$24+PM_Angle!$K$24*$C63+PM_Angle!$L$24*$B63</f>
      </c>
      <c r="AS63" s="12">
        <f>IF(AR63&gt;0,IF(AR63&lt;=eco,alpha*fck*(1-(1-AR63/eco)^n),alpha*fck),0)</f>
      </c>
      <c r="AT63" s="30">
        <f>PM_Angle!$J$25+PM_Angle!$K$25*$C63+PM_Angle!$L$25*$B63</f>
      </c>
      <c r="AU63" s="12">
        <f>IF(AT63&gt;0,IF(AT63&lt;=eco,alpha*fck*(1-(1-AT63/eco)^n),alpha*fck),0)</f>
      </c>
    </row>
    <row r="64" spans="1:47" x14ac:dyDescent="0.25">
      <c r="A64">
        <f>Mesh!A61</f>
      </c>
      <c r="B64" s="12">
        <f>Mesh!B61</f>
      </c>
      <c r="C64" s="12">
        <f>Mesh!C61</f>
      </c>
      <c r="D64" s="12">
        <f>Mesh!D61</f>
      </c>
      <c r="E64" s="30">
        <f>INDEX(St_e0,Det+1)+INDEX(St_kx,Det+1)*C64+INDEX(St_ky,Det+1)*B64</f>
      </c>
      <c r="F64" s="12">
        <f>IF(E64&gt;0,IF(E64&lt;=eco,alpha*fck*(1-(1-E64/eco)^n),alpha*fck),0)</f>
      </c>
      <c r="G64" s="11">
        <f>F64*D64</f>
      </c>
      <c r="H64" s="11">
        <f>G64*C64</f>
      </c>
      <c r="I64" s="11">
        <f>G64*B64</f>
      </c>
      <c r="J64" s="30">
        <f>PM_Angle!$J$7+PM_Angle!$K$7*$C64+PM_Angle!$L$7*$B64</f>
      </c>
      <c r="K64" s="12">
        <f>IF(J64&gt;0,IF(J64&lt;=eco,alpha*fck*(1-(1-J64/eco)^n),alpha*fck),0)</f>
      </c>
      <c r="L64" s="30">
        <f>PM_Angle!$J$8+PM_Angle!$K$8*$C64+PM_Angle!$L$8*$B64</f>
      </c>
      <c r="M64" s="12">
        <f>IF(L64&gt;0,IF(L64&lt;=eco,alpha*fck*(1-(1-L64/eco)^n),alpha*fck),0)</f>
      </c>
      <c r="N64" s="30">
        <f>PM_Angle!$J$9+PM_Angle!$K$9*$C64+PM_Angle!$L$9*$B64</f>
      </c>
      <c r="O64" s="12">
        <f>IF(N64&gt;0,IF(N64&lt;=eco,alpha*fck*(1-(1-N64/eco)^n),alpha*fck),0)</f>
      </c>
      <c r="P64" s="30">
        <f>PM_Angle!$J$10+PM_Angle!$K$10*$C64+PM_Angle!$L$10*$B64</f>
      </c>
      <c r="Q64" s="12">
        <f>IF(P64&gt;0,IF(P64&lt;=eco,alpha*fck*(1-(1-P64/eco)^n),alpha*fck),0)</f>
      </c>
      <c r="R64" s="30">
        <f>PM_Angle!$J$11+PM_Angle!$K$11*$C64+PM_Angle!$L$11*$B64</f>
      </c>
      <c r="S64" s="12">
        <f>IF(R64&gt;0,IF(R64&lt;=eco,alpha*fck*(1-(1-R64/eco)^n),alpha*fck),0)</f>
      </c>
      <c r="T64" s="30">
        <f>PM_Angle!$J$12+PM_Angle!$K$12*$C64+PM_Angle!$L$12*$B64</f>
      </c>
      <c r="U64" s="12">
        <f>IF(T64&gt;0,IF(T64&lt;=eco,alpha*fck*(1-(1-T64/eco)^n),alpha*fck),0)</f>
      </c>
      <c r="V64" s="30">
        <f>PM_Angle!$J$13+PM_Angle!$K$13*$C64+PM_Angle!$L$13*$B64</f>
      </c>
      <c r="W64" s="12">
        <f>IF(V64&gt;0,IF(V64&lt;=eco,alpha*fck*(1-(1-V64/eco)^n),alpha*fck),0)</f>
      </c>
      <c r="X64" s="30">
        <f>PM_Angle!$J$14+PM_Angle!$K$14*$C64+PM_Angle!$L$14*$B64</f>
      </c>
      <c r="Y64" s="12">
        <f>IF(X64&gt;0,IF(X64&lt;=eco,alpha*fck*(1-(1-X64/eco)^n),alpha*fck),0)</f>
      </c>
      <c r="Z64" s="30">
        <f>PM_Angle!$J$15+PM_Angle!$K$15*$C64+PM_Angle!$L$15*$B64</f>
      </c>
      <c r="AA64" s="12">
        <f>IF(Z64&gt;0,IF(Z64&lt;=eco,alpha*fck*(1-(1-Z64/eco)^n),alpha*fck),0)</f>
      </c>
      <c r="AB64" s="30">
        <f>PM_Angle!$J$16+PM_Angle!$K$16*$C64+PM_Angle!$L$16*$B64</f>
      </c>
      <c r="AC64" s="12">
        <f>IF(AB64&gt;0,IF(AB64&lt;=eco,alpha*fck*(1-(1-AB64/eco)^n),alpha*fck),0)</f>
      </c>
      <c r="AD64" s="30">
        <f>PM_Angle!$J$17+PM_Angle!$K$17*$C64+PM_Angle!$L$17*$B64</f>
      </c>
      <c r="AE64" s="12">
        <f>IF(AD64&gt;0,IF(AD64&lt;=eco,alpha*fck*(1-(1-AD64/eco)^n),alpha*fck),0)</f>
      </c>
      <c r="AF64" s="30">
        <f>PM_Angle!$J$18+PM_Angle!$K$18*$C64+PM_Angle!$L$18*$B64</f>
      </c>
      <c r="AG64" s="12">
        <f>IF(AF64&gt;0,IF(AF64&lt;=eco,alpha*fck*(1-(1-AF64/eco)^n),alpha*fck),0)</f>
      </c>
      <c r="AH64" s="30">
        <f>PM_Angle!$J$19+PM_Angle!$K$19*$C64+PM_Angle!$L$19*$B64</f>
      </c>
      <c r="AI64" s="12">
        <f>IF(AH64&gt;0,IF(AH64&lt;=eco,alpha*fck*(1-(1-AH64/eco)^n),alpha*fck),0)</f>
      </c>
      <c r="AJ64" s="30">
        <f>PM_Angle!$J$20+PM_Angle!$K$20*$C64+PM_Angle!$L$20*$B64</f>
      </c>
      <c r="AK64" s="12">
        <f>IF(AJ64&gt;0,IF(AJ64&lt;=eco,alpha*fck*(1-(1-AJ64/eco)^n),alpha*fck),0)</f>
      </c>
      <c r="AL64" s="30">
        <f>PM_Angle!$J$21+PM_Angle!$K$21*$C64+PM_Angle!$L$21*$B64</f>
      </c>
      <c r="AM64" s="12">
        <f>IF(AL64&gt;0,IF(AL64&lt;=eco,alpha*fck*(1-(1-AL64/eco)^n),alpha*fck),0)</f>
      </c>
      <c r="AN64" s="30">
        <f>PM_Angle!$J$22+PM_Angle!$K$22*$C64+PM_Angle!$L$22*$B64</f>
      </c>
      <c r="AO64" s="12">
        <f>IF(AN64&gt;0,IF(AN64&lt;=eco,alpha*fck*(1-(1-AN64/eco)^n),alpha*fck),0)</f>
      </c>
      <c r="AP64" s="30">
        <f>PM_Angle!$J$23+PM_Angle!$K$23*$C64+PM_Angle!$L$23*$B64</f>
      </c>
      <c r="AQ64" s="12">
        <f>IF(AP64&gt;0,IF(AP64&lt;=eco,alpha*fck*(1-(1-AP64/eco)^n),alpha*fck),0)</f>
      </c>
      <c r="AR64" s="30">
        <f>PM_Angle!$J$24+PM_Angle!$K$24*$C64+PM_Angle!$L$24*$B64</f>
      </c>
      <c r="AS64" s="12">
        <f>IF(AR64&gt;0,IF(AR64&lt;=eco,alpha*fck*(1-(1-AR64/eco)^n),alpha*fck),0)</f>
      </c>
      <c r="AT64" s="30">
        <f>PM_Angle!$J$25+PM_Angle!$K$25*$C64+PM_Angle!$L$25*$B64</f>
      </c>
      <c r="AU64" s="12">
        <f>IF(AT64&gt;0,IF(AT64&lt;=eco,alpha*fck*(1-(1-AT64/eco)^n),alpha*fck),0)</f>
      </c>
    </row>
    <row r="65" spans="1:47" x14ac:dyDescent="0.25">
      <c r="A65">
        <f>Mesh!A62</f>
      </c>
      <c r="B65" s="12">
        <f>Mesh!B62</f>
      </c>
      <c r="C65" s="12">
        <f>Mesh!C62</f>
      </c>
      <c r="D65" s="12">
        <f>Mesh!D62</f>
      </c>
      <c r="E65" s="30">
        <f>INDEX(St_e0,Det+1)+INDEX(St_kx,Det+1)*C65+INDEX(St_ky,Det+1)*B65</f>
      </c>
      <c r="F65" s="12">
        <f>IF(E65&gt;0,IF(E65&lt;=eco,alpha*fck*(1-(1-E65/eco)^n),alpha*fck),0)</f>
      </c>
      <c r="G65" s="11">
        <f>F65*D65</f>
      </c>
      <c r="H65" s="11">
        <f>G65*C65</f>
      </c>
      <c r="I65" s="11">
        <f>G65*B65</f>
      </c>
      <c r="J65" s="30">
        <f>PM_Angle!$J$7+PM_Angle!$K$7*$C65+PM_Angle!$L$7*$B65</f>
      </c>
      <c r="K65" s="12">
        <f>IF(J65&gt;0,IF(J65&lt;=eco,alpha*fck*(1-(1-J65/eco)^n),alpha*fck),0)</f>
      </c>
      <c r="L65" s="30">
        <f>PM_Angle!$J$8+PM_Angle!$K$8*$C65+PM_Angle!$L$8*$B65</f>
      </c>
      <c r="M65" s="12">
        <f>IF(L65&gt;0,IF(L65&lt;=eco,alpha*fck*(1-(1-L65/eco)^n),alpha*fck),0)</f>
      </c>
      <c r="N65" s="30">
        <f>PM_Angle!$J$9+PM_Angle!$K$9*$C65+PM_Angle!$L$9*$B65</f>
      </c>
      <c r="O65" s="12">
        <f>IF(N65&gt;0,IF(N65&lt;=eco,alpha*fck*(1-(1-N65/eco)^n),alpha*fck),0)</f>
      </c>
      <c r="P65" s="30">
        <f>PM_Angle!$J$10+PM_Angle!$K$10*$C65+PM_Angle!$L$10*$B65</f>
      </c>
      <c r="Q65" s="12">
        <f>IF(P65&gt;0,IF(P65&lt;=eco,alpha*fck*(1-(1-P65/eco)^n),alpha*fck),0)</f>
      </c>
      <c r="R65" s="30">
        <f>PM_Angle!$J$11+PM_Angle!$K$11*$C65+PM_Angle!$L$11*$B65</f>
      </c>
      <c r="S65" s="12">
        <f>IF(R65&gt;0,IF(R65&lt;=eco,alpha*fck*(1-(1-R65/eco)^n),alpha*fck),0)</f>
      </c>
      <c r="T65" s="30">
        <f>PM_Angle!$J$12+PM_Angle!$K$12*$C65+PM_Angle!$L$12*$B65</f>
      </c>
      <c r="U65" s="12">
        <f>IF(T65&gt;0,IF(T65&lt;=eco,alpha*fck*(1-(1-T65/eco)^n),alpha*fck),0)</f>
      </c>
      <c r="V65" s="30">
        <f>PM_Angle!$J$13+PM_Angle!$K$13*$C65+PM_Angle!$L$13*$B65</f>
      </c>
      <c r="W65" s="12">
        <f>IF(V65&gt;0,IF(V65&lt;=eco,alpha*fck*(1-(1-V65/eco)^n),alpha*fck),0)</f>
      </c>
      <c r="X65" s="30">
        <f>PM_Angle!$J$14+PM_Angle!$K$14*$C65+PM_Angle!$L$14*$B65</f>
      </c>
      <c r="Y65" s="12">
        <f>IF(X65&gt;0,IF(X65&lt;=eco,alpha*fck*(1-(1-X65/eco)^n),alpha*fck),0)</f>
      </c>
      <c r="Z65" s="30">
        <f>PM_Angle!$J$15+PM_Angle!$K$15*$C65+PM_Angle!$L$15*$B65</f>
      </c>
      <c r="AA65" s="12">
        <f>IF(Z65&gt;0,IF(Z65&lt;=eco,alpha*fck*(1-(1-Z65/eco)^n),alpha*fck),0)</f>
      </c>
      <c r="AB65" s="30">
        <f>PM_Angle!$J$16+PM_Angle!$K$16*$C65+PM_Angle!$L$16*$B65</f>
      </c>
      <c r="AC65" s="12">
        <f>IF(AB65&gt;0,IF(AB65&lt;=eco,alpha*fck*(1-(1-AB65/eco)^n),alpha*fck),0)</f>
      </c>
      <c r="AD65" s="30">
        <f>PM_Angle!$J$17+PM_Angle!$K$17*$C65+PM_Angle!$L$17*$B65</f>
      </c>
      <c r="AE65" s="12">
        <f>IF(AD65&gt;0,IF(AD65&lt;=eco,alpha*fck*(1-(1-AD65/eco)^n),alpha*fck),0)</f>
      </c>
      <c r="AF65" s="30">
        <f>PM_Angle!$J$18+PM_Angle!$K$18*$C65+PM_Angle!$L$18*$B65</f>
      </c>
      <c r="AG65" s="12">
        <f>IF(AF65&gt;0,IF(AF65&lt;=eco,alpha*fck*(1-(1-AF65/eco)^n),alpha*fck),0)</f>
      </c>
      <c r="AH65" s="30">
        <f>PM_Angle!$J$19+PM_Angle!$K$19*$C65+PM_Angle!$L$19*$B65</f>
      </c>
      <c r="AI65" s="12">
        <f>IF(AH65&gt;0,IF(AH65&lt;=eco,alpha*fck*(1-(1-AH65/eco)^n),alpha*fck),0)</f>
      </c>
      <c r="AJ65" s="30">
        <f>PM_Angle!$J$20+PM_Angle!$K$20*$C65+PM_Angle!$L$20*$B65</f>
      </c>
      <c r="AK65" s="12">
        <f>IF(AJ65&gt;0,IF(AJ65&lt;=eco,alpha*fck*(1-(1-AJ65/eco)^n),alpha*fck),0)</f>
      </c>
      <c r="AL65" s="30">
        <f>PM_Angle!$J$21+PM_Angle!$K$21*$C65+PM_Angle!$L$21*$B65</f>
      </c>
      <c r="AM65" s="12">
        <f>IF(AL65&gt;0,IF(AL65&lt;=eco,alpha*fck*(1-(1-AL65/eco)^n),alpha*fck),0)</f>
      </c>
      <c r="AN65" s="30">
        <f>PM_Angle!$J$22+PM_Angle!$K$22*$C65+PM_Angle!$L$22*$B65</f>
      </c>
      <c r="AO65" s="12">
        <f>IF(AN65&gt;0,IF(AN65&lt;=eco,alpha*fck*(1-(1-AN65/eco)^n),alpha*fck),0)</f>
      </c>
      <c r="AP65" s="30">
        <f>PM_Angle!$J$23+PM_Angle!$K$23*$C65+PM_Angle!$L$23*$B65</f>
      </c>
      <c r="AQ65" s="12">
        <f>IF(AP65&gt;0,IF(AP65&lt;=eco,alpha*fck*(1-(1-AP65/eco)^n),alpha*fck),0)</f>
      </c>
      <c r="AR65" s="30">
        <f>PM_Angle!$J$24+PM_Angle!$K$24*$C65+PM_Angle!$L$24*$B65</f>
      </c>
      <c r="AS65" s="12">
        <f>IF(AR65&gt;0,IF(AR65&lt;=eco,alpha*fck*(1-(1-AR65/eco)^n),alpha*fck),0)</f>
      </c>
      <c r="AT65" s="30">
        <f>PM_Angle!$J$25+PM_Angle!$K$25*$C65+PM_Angle!$L$25*$B65</f>
      </c>
      <c r="AU65" s="12">
        <f>IF(AT65&gt;0,IF(AT65&lt;=eco,alpha*fck*(1-(1-AT65/eco)^n),alpha*fck),0)</f>
      </c>
    </row>
    <row r="66" spans="1:47" x14ac:dyDescent="0.25">
      <c r="A66">
        <f>Mesh!A63</f>
      </c>
      <c r="B66" s="12">
        <f>Mesh!B63</f>
      </c>
      <c r="C66" s="12">
        <f>Mesh!C63</f>
      </c>
      <c r="D66" s="12">
        <f>Mesh!D63</f>
      </c>
      <c r="E66" s="30">
        <f>INDEX(St_e0,Det+1)+INDEX(St_kx,Det+1)*C66+INDEX(St_ky,Det+1)*B66</f>
      </c>
      <c r="F66" s="12">
        <f>IF(E66&gt;0,IF(E66&lt;=eco,alpha*fck*(1-(1-E66/eco)^n),alpha*fck),0)</f>
      </c>
      <c r="G66" s="11">
        <f>F66*D66</f>
      </c>
      <c r="H66" s="11">
        <f>G66*C66</f>
      </c>
      <c r="I66" s="11">
        <f>G66*B66</f>
      </c>
      <c r="J66" s="30">
        <f>PM_Angle!$J$7+PM_Angle!$K$7*$C66+PM_Angle!$L$7*$B66</f>
      </c>
      <c r="K66" s="12">
        <f>IF(J66&gt;0,IF(J66&lt;=eco,alpha*fck*(1-(1-J66/eco)^n),alpha*fck),0)</f>
      </c>
      <c r="L66" s="30">
        <f>PM_Angle!$J$8+PM_Angle!$K$8*$C66+PM_Angle!$L$8*$B66</f>
      </c>
      <c r="M66" s="12">
        <f>IF(L66&gt;0,IF(L66&lt;=eco,alpha*fck*(1-(1-L66/eco)^n),alpha*fck),0)</f>
      </c>
      <c r="N66" s="30">
        <f>PM_Angle!$J$9+PM_Angle!$K$9*$C66+PM_Angle!$L$9*$B66</f>
      </c>
      <c r="O66" s="12">
        <f>IF(N66&gt;0,IF(N66&lt;=eco,alpha*fck*(1-(1-N66/eco)^n),alpha*fck),0)</f>
      </c>
      <c r="P66" s="30">
        <f>PM_Angle!$J$10+PM_Angle!$K$10*$C66+PM_Angle!$L$10*$B66</f>
      </c>
      <c r="Q66" s="12">
        <f>IF(P66&gt;0,IF(P66&lt;=eco,alpha*fck*(1-(1-P66/eco)^n),alpha*fck),0)</f>
      </c>
      <c r="R66" s="30">
        <f>PM_Angle!$J$11+PM_Angle!$K$11*$C66+PM_Angle!$L$11*$B66</f>
      </c>
      <c r="S66" s="12">
        <f>IF(R66&gt;0,IF(R66&lt;=eco,alpha*fck*(1-(1-R66/eco)^n),alpha*fck),0)</f>
      </c>
      <c r="T66" s="30">
        <f>PM_Angle!$J$12+PM_Angle!$K$12*$C66+PM_Angle!$L$12*$B66</f>
      </c>
      <c r="U66" s="12">
        <f>IF(T66&gt;0,IF(T66&lt;=eco,alpha*fck*(1-(1-T66/eco)^n),alpha*fck),0)</f>
      </c>
      <c r="V66" s="30">
        <f>PM_Angle!$J$13+PM_Angle!$K$13*$C66+PM_Angle!$L$13*$B66</f>
      </c>
      <c r="W66" s="12">
        <f>IF(V66&gt;0,IF(V66&lt;=eco,alpha*fck*(1-(1-V66/eco)^n),alpha*fck),0)</f>
      </c>
      <c r="X66" s="30">
        <f>PM_Angle!$J$14+PM_Angle!$K$14*$C66+PM_Angle!$L$14*$B66</f>
      </c>
      <c r="Y66" s="12">
        <f>IF(X66&gt;0,IF(X66&lt;=eco,alpha*fck*(1-(1-X66/eco)^n),alpha*fck),0)</f>
      </c>
      <c r="Z66" s="30">
        <f>PM_Angle!$J$15+PM_Angle!$K$15*$C66+PM_Angle!$L$15*$B66</f>
      </c>
      <c r="AA66" s="12">
        <f>IF(Z66&gt;0,IF(Z66&lt;=eco,alpha*fck*(1-(1-Z66/eco)^n),alpha*fck),0)</f>
      </c>
      <c r="AB66" s="30">
        <f>PM_Angle!$J$16+PM_Angle!$K$16*$C66+PM_Angle!$L$16*$B66</f>
      </c>
      <c r="AC66" s="12">
        <f>IF(AB66&gt;0,IF(AB66&lt;=eco,alpha*fck*(1-(1-AB66/eco)^n),alpha*fck),0)</f>
      </c>
      <c r="AD66" s="30">
        <f>PM_Angle!$J$17+PM_Angle!$K$17*$C66+PM_Angle!$L$17*$B66</f>
      </c>
      <c r="AE66" s="12">
        <f>IF(AD66&gt;0,IF(AD66&lt;=eco,alpha*fck*(1-(1-AD66/eco)^n),alpha*fck),0)</f>
      </c>
      <c r="AF66" s="30">
        <f>PM_Angle!$J$18+PM_Angle!$K$18*$C66+PM_Angle!$L$18*$B66</f>
      </c>
      <c r="AG66" s="12">
        <f>IF(AF66&gt;0,IF(AF66&lt;=eco,alpha*fck*(1-(1-AF66/eco)^n),alpha*fck),0)</f>
      </c>
      <c r="AH66" s="30">
        <f>PM_Angle!$J$19+PM_Angle!$K$19*$C66+PM_Angle!$L$19*$B66</f>
      </c>
      <c r="AI66" s="12">
        <f>IF(AH66&gt;0,IF(AH66&lt;=eco,alpha*fck*(1-(1-AH66/eco)^n),alpha*fck),0)</f>
      </c>
      <c r="AJ66" s="30">
        <f>PM_Angle!$J$20+PM_Angle!$K$20*$C66+PM_Angle!$L$20*$B66</f>
      </c>
      <c r="AK66" s="12">
        <f>IF(AJ66&gt;0,IF(AJ66&lt;=eco,alpha*fck*(1-(1-AJ66/eco)^n),alpha*fck),0)</f>
      </c>
      <c r="AL66" s="30">
        <f>PM_Angle!$J$21+PM_Angle!$K$21*$C66+PM_Angle!$L$21*$B66</f>
      </c>
      <c r="AM66" s="12">
        <f>IF(AL66&gt;0,IF(AL66&lt;=eco,alpha*fck*(1-(1-AL66/eco)^n),alpha*fck),0)</f>
      </c>
      <c r="AN66" s="30">
        <f>PM_Angle!$J$22+PM_Angle!$K$22*$C66+PM_Angle!$L$22*$B66</f>
      </c>
      <c r="AO66" s="12">
        <f>IF(AN66&gt;0,IF(AN66&lt;=eco,alpha*fck*(1-(1-AN66/eco)^n),alpha*fck),0)</f>
      </c>
      <c r="AP66" s="30">
        <f>PM_Angle!$J$23+PM_Angle!$K$23*$C66+PM_Angle!$L$23*$B66</f>
      </c>
      <c r="AQ66" s="12">
        <f>IF(AP66&gt;0,IF(AP66&lt;=eco,alpha*fck*(1-(1-AP66/eco)^n),alpha*fck),0)</f>
      </c>
      <c r="AR66" s="30">
        <f>PM_Angle!$J$24+PM_Angle!$K$24*$C66+PM_Angle!$L$24*$B66</f>
      </c>
      <c r="AS66" s="12">
        <f>IF(AR66&gt;0,IF(AR66&lt;=eco,alpha*fck*(1-(1-AR66/eco)^n),alpha*fck),0)</f>
      </c>
      <c r="AT66" s="30">
        <f>PM_Angle!$J$25+PM_Angle!$K$25*$C66+PM_Angle!$L$25*$B66</f>
      </c>
      <c r="AU66" s="12">
        <f>IF(AT66&gt;0,IF(AT66&lt;=eco,alpha*fck*(1-(1-AT66/eco)^n),alpha*fck),0)</f>
      </c>
    </row>
    <row r="67" spans="1:47" x14ac:dyDescent="0.25">
      <c r="A67">
        <f>Mesh!A64</f>
      </c>
      <c r="B67" s="12">
        <f>Mesh!B64</f>
      </c>
      <c r="C67" s="12">
        <f>Mesh!C64</f>
      </c>
      <c r="D67" s="12">
        <f>Mesh!D64</f>
      </c>
      <c r="E67" s="30">
        <f>INDEX(St_e0,Det+1)+INDEX(St_kx,Det+1)*C67+INDEX(St_ky,Det+1)*B67</f>
      </c>
      <c r="F67" s="12">
        <f>IF(E67&gt;0,IF(E67&lt;=eco,alpha*fck*(1-(1-E67/eco)^n),alpha*fck),0)</f>
      </c>
      <c r="G67" s="11">
        <f>F67*D67</f>
      </c>
      <c r="H67" s="11">
        <f>G67*C67</f>
      </c>
      <c r="I67" s="11">
        <f>G67*B67</f>
      </c>
      <c r="J67" s="30">
        <f>PM_Angle!$J$7+PM_Angle!$K$7*$C67+PM_Angle!$L$7*$B67</f>
      </c>
      <c r="K67" s="12">
        <f>IF(J67&gt;0,IF(J67&lt;=eco,alpha*fck*(1-(1-J67/eco)^n),alpha*fck),0)</f>
      </c>
      <c r="L67" s="30">
        <f>PM_Angle!$J$8+PM_Angle!$K$8*$C67+PM_Angle!$L$8*$B67</f>
      </c>
      <c r="M67" s="12">
        <f>IF(L67&gt;0,IF(L67&lt;=eco,alpha*fck*(1-(1-L67/eco)^n),alpha*fck),0)</f>
      </c>
      <c r="N67" s="30">
        <f>PM_Angle!$J$9+PM_Angle!$K$9*$C67+PM_Angle!$L$9*$B67</f>
      </c>
      <c r="O67" s="12">
        <f>IF(N67&gt;0,IF(N67&lt;=eco,alpha*fck*(1-(1-N67/eco)^n),alpha*fck),0)</f>
      </c>
      <c r="P67" s="30">
        <f>PM_Angle!$J$10+PM_Angle!$K$10*$C67+PM_Angle!$L$10*$B67</f>
      </c>
      <c r="Q67" s="12">
        <f>IF(P67&gt;0,IF(P67&lt;=eco,alpha*fck*(1-(1-P67/eco)^n),alpha*fck),0)</f>
      </c>
      <c r="R67" s="30">
        <f>PM_Angle!$J$11+PM_Angle!$K$11*$C67+PM_Angle!$L$11*$B67</f>
      </c>
      <c r="S67" s="12">
        <f>IF(R67&gt;0,IF(R67&lt;=eco,alpha*fck*(1-(1-R67/eco)^n),alpha*fck),0)</f>
      </c>
      <c r="T67" s="30">
        <f>PM_Angle!$J$12+PM_Angle!$K$12*$C67+PM_Angle!$L$12*$B67</f>
      </c>
      <c r="U67" s="12">
        <f>IF(T67&gt;0,IF(T67&lt;=eco,alpha*fck*(1-(1-T67/eco)^n),alpha*fck),0)</f>
      </c>
      <c r="V67" s="30">
        <f>PM_Angle!$J$13+PM_Angle!$K$13*$C67+PM_Angle!$L$13*$B67</f>
      </c>
      <c r="W67" s="12">
        <f>IF(V67&gt;0,IF(V67&lt;=eco,alpha*fck*(1-(1-V67/eco)^n),alpha*fck),0)</f>
      </c>
      <c r="X67" s="30">
        <f>PM_Angle!$J$14+PM_Angle!$K$14*$C67+PM_Angle!$L$14*$B67</f>
      </c>
      <c r="Y67" s="12">
        <f>IF(X67&gt;0,IF(X67&lt;=eco,alpha*fck*(1-(1-X67/eco)^n),alpha*fck),0)</f>
      </c>
      <c r="Z67" s="30">
        <f>PM_Angle!$J$15+PM_Angle!$K$15*$C67+PM_Angle!$L$15*$B67</f>
      </c>
      <c r="AA67" s="12">
        <f>IF(Z67&gt;0,IF(Z67&lt;=eco,alpha*fck*(1-(1-Z67/eco)^n),alpha*fck),0)</f>
      </c>
      <c r="AB67" s="30">
        <f>PM_Angle!$J$16+PM_Angle!$K$16*$C67+PM_Angle!$L$16*$B67</f>
      </c>
      <c r="AC67" s="12">
        <f>IF(AB67&gt;0,IF(AB67&lt;=eco,alpha*fck*(1-(1-AB67/eco)^n),alpha*fck),0)</f>
      </c>
      <c r="AD67" s="30">
        <f>PM_Angle!$J$17+PM_Angle!$K$17*$C67+PM_Angle!$L$17*$B67</f>
      </c>
      <c r="AE67" s="12">
        <f>IF(AD67&gt;0,IF(AD67&lt;=eco,alpha*fck*(1-(1-AD67/eco)^n),alpha*fck),0)</f>
      </c>
      <c r="AF67" s="30">
        <f>PM_Angle!$J$18+PM_Angle!$K$18*$C67+PM_Angle!$L$18*$B67</f>
      </c>
      <c r="AG67" s="12">
        <f>IF(AF67&gt;0,IF(AF67&lt;=eco,alpha*fck*(1-(1-AF67/eco)^n),alpha*fck),0)</f>
      </c>
      <c r="AH67" s="30">
        <f>PM_Angle!$J$19+PM_Angle!$K$19*$C67+PM_Angle!$L$19*$B67</f>
      </c>
      <c r="AI67" s="12">
        <f>IF(AH67&gt;0,IF(AH67&lt;=eco,alpha*fck*(1-(1-AH67/eco)^n),alpha*fck),0)</f>
      </c>
      <c r="AJ67" s="30">
        <f>PM_Angle!$J$20+PM_Angle!$K$20*$C67+PM_Angle!$L$20*$B67</f>
      </c>
      <c r="AK67" s="12">
        <f>IF(AJ67&gt;0,IF(AJ67&lt;=eco,alpha*fck*(1-(1-AJ67/eco)^n),alpha*fck),0)</f>
      </c>
      <c r="AL67" s="30">
        <f>PM_Angle!$J$21+PM_Angle!$K$21*$C67+PM_Angle!$L$21*$B67</f>
      </c>
      <c r="AM67" s="12">
        <f>IF(AL67&gt;0,IF(AL67&lt;=eco,alpha*fck*(1-(1-AL67/eco)^n),alpha*fck),0)</f>
      </c>
      <c r="AN67" s="30">
        <f>PM_Angle!$J$22+PM_Angle!$K$22*$C67+PM_Angle!$L$22*$B67</f>
      </c>
      <c r="AO67" s="12">
        <f>IF(AN67&gt;0,IF(AN67&lt;=eco,alpha*fck*(1-(1-AN67/eco)^n),alpha*fck),0)</f>
      </c>
      <c r="AP67" s="30">
        <f>PM_Angle!$J$23+PM_Angle!$K$23*$C67+PM_Angle!$L$23*$B67</f>
      </c>
      <c r="AQ67" s="12">
        <f>IF(AP67&gt;0,IF(AP67&lt;=eco,alpha*fck*(1-(1-AP67/eco)^n),alpha*fck),0)</f>
      </c>
      <c r="AR67" s="30">
        <f>PM_Angle!$J$24+PM_Angle!$K$24*$C67+PM_Angle!$L$24*$B67</f>
      </c>
      <c r="AS67" s="12">
        <f>IF(AR67&gt;0,IF(AR67&lt;=eco,alpha*fck*(1-(1-AR67/eco)^n),alpha*fck),0)</f>
      </c>
      <c r="AT67" s="30">
        <f>PM_Angle!$J$25+PM_Angle!$K$25*$C67+PM_Angle!$L$25*$B67</f>
      </c>
      <c r="AU67" s="12">
        <f>IF(AT67&gt;0,IF(AT67&lt;=eco,alpha*fck*(1-(1-AT67/eco)^n),alpha*fck),0)</f>
      </c>
    </row>
    <row r="68" spans="1:47" x14ac:dyDescent="0.25">
      <c r="A68">
        <f>Mesh!A65</f>
      </c>
      <c r="B68" s="12">
        <f>Mesh!B65</f>
      </c>
      <c r="C68" s="12">
        <f>Mesh!C65</f>
      </c>
      <c r="D68" s="12">
        <f>Mesh!D65</f>
      </c>
      <c r="E68" s="30">
        <f>INDEX(St_e0,Det+1)+INDEX(St_kx,Det+1)*C68+INDEX(St_ky,Det+1)*B68</f>
      </c>
      <c r="F68" s="12">
        <f>IF(E68&gt;0,IF(E68&lt;=eco,alpha*fck*(1-(1-E68/eco)^n),alpha*fck),0)</f>
      </c>
      <c r="G68" s="11">
        <f>F68*D68</f>
      </c>
      <c r="H68" s="11">
        <f>G68*C68</f>
      </c>
      <c r="I68" s="11">
        <f>G68*B68</f>
      </c>
      <c r="J68" s="30">
        <f>PM_Angle!$J$7+PM_Angle!$K$7*$C68+PM_Angle!$L$7*$B68</f>
      </c>
      <c r="K68" s="12">
        <f>IF(J68&gt;0,IF(J68&lt;=eco,alpha*fck*(1-(1-J68/eco)^n),alpha*fck),0)</f>
      </c>
      <c r="L68" s="30">
        <f>PM_Angle!$J$8+PM_Angle!$K$8*$C68+PM_Angle!$L$8*$B68</f>
      </c>
      <c r="M68" s="12">
        <f>IF(L68&gt;0,IF(L68&lt;=eco,alpha*fck*(1-(1-L68/eco)^n),alpha*fck),0)</f>
      </c>
      <c r="N68" s="30">
        <f>PM_Angle!$J$9+PM_Angle!$K$9*$C68+PM_Angle!$L$9*$B68</f>
      </c>
      <c r="O68" s="12">
        <f>IF(N68&gt;0,IF(N68&lt;=eco,alpha*fck*(1-(1-N68/eco)^n),alpha*fck),0)</f>
      </c>
      <c r="P68" s="30">
        <f>PM_Angle!$J$10+PM_Angle!$K$10*$C68+PM_Angle!$L$10*$B68</f>
      </c>
      <c r="Q68" s="12">
        <f>IF(P68&gt;0,IF(P68&lt;=eco,alpha*fck*(1-(1-P68/eco)^n),alpha*fck),0)</f>
      </c>
      <c r="R68" s="30">
        <f>PM_Angle!$J$11+PM_Angle!$K$11*$C68+PM_Angle!$L$11*$B68</f>
      </c>
      <c r="S68" s="12">
        <f>IF(R68&gt;0,IF(R68&lt;=eco,alpha*fck*(1-(1-R68/eco)^n),alpha*fck),0)</f>
      </c>
      <c r="T68" s="30">
        <f>PM_Angle!$J$12+PM_Angle!$K$12*$C68+PM_Angle!$L$12*$B68</f>
      </c>
      <c r="U68" s="12">
        <f>IF(T68&gt;0,IF(T68&lt;=eco,alpha*fck*(1-(1-T68/eco)^n),alpha*fck),0)</f>
      </c>
      <c r="V68" s="30">
        <f>PM_Angle!$J$13+PM_Angle!$K$13*$C68+PM_Angle!$L$13*$B68</f>
      </c>
      <c r="W68" s="12">
        <f>IF(V68&gt;0,IF(V68&lt;=eco,alpha*fck*(1-(1-V68/eco)^n),alpha*fck),0)</f>
      </c>
      <c r="X68" s="30">
        <f>PM_Angle!$J$14+PM_Angle!$K$14*$C68+PM_Angle!$L$14*$B68</f>
      </c>
      <c r="Y68" s="12">
        <f>IF(X68&gt;0,IF(X68&lt;=eco,alpha*fck*(1-(1-X68/eco)^n),alpha*fck),0)</f>
      </c>
      <c r="Z68" s="30">
        <f>PM_Angle!$J$15+PM_Angle!$K$15*$C68+PM_Angle!$L$15*$B68</f>
      </c>
      <c r="AA68" s="12">
        <f>IF(Z68&gt;0,IF(Z68&lt;=eco,alpha*fck*(1-(1-Z68/eco)^n),alpha*fck),0)</f>
      </c>
      <c r="AB68" s="30">
        <f>PM_Angle!$J$16+PM_Angle!$K$16*$C68+PM_Angle!$L$16*$B68</f>
      </c>
      <c r="AC68" s="12">
        <f>IF(AB68&gt;0,IF(AB68&lt;=eco,alpha*fck*(1-(1-AB68/eco)^n),alpha*fck),0)</f>
      </c>
      <c r="AD68" s="30">
        <f>PM_Angle!$J$17+PM_Angle!$K$17*$C68+PM_Angle!$L$17*$B68</f>
      </c>
      <c r="AE68" s="12">
        <f>IF(AD68&gt;0,IF(AD68&lt;=eco,alpha*fck*(1-(1-AD68/eco)^n),alpha*fck),0)</f>
      </c>
      <c r="AF68" s="30">
        <f>PM_Angle!$J$18+PM_Angle!$K$18*$C68+PM_Angle!$L$18*$B68</f>
      </c>
      <c r="AG68" s="12">
        <f>IF(AF68&gt;0,IF(AF68&lt;=eco,alpha*fck*(1-(1-AF68/eco)^n),alpha*fck),0)</f>
      </c>
      <c r="AH68" s="30">
        <f>PM_Angle!$J$19+PM_Angle!$K$19*$C68+PM_Angle!$L$19*$B68</f>
      </c>
      <c r="AI68" s="12">
        <f>IF(AH68&gt;0,IF(AH68&lt;=eco,alpha*fck*(1-(1-AH68/eco)^n),alpha*fck),0)</f>
      </c>
      <c r="AJ68" s="30">
        <f>PM_Angle!$J$20+PM_Angle!$K$20*$C68+PM_Angle!$L$20*$B68</f>
      </c>
      <c r="AK68" s="12">
        <f>IF(AJ68&gt;0,IF(AJ68&lt;=eco,alpha*fck*(1-(1-AJ68/eco)^n),alpha*fck),0)</f>
      </c>
      <c r="AL68" s="30">
        <f>PM_Angle!$J$21+PM_Angle!$K$21*$C68+PM_Angle!$L$21*$B68</f>
      </c>
      <c r="AM68" s="12">
        <f>IF(AL68&gt;0,IF(AL68&lt;=eco,alpha*fck*(1-(1-AL68/eco)^n),alpha*fck),0)</f>
      </c>
      <c r="AN68" s="30">
        <f>PM_Angle!$J$22+PM_Angle!$K$22*$C68+PM_Angle!$L$22*$B68</f>
      </c>
      <c r="AO68" s="12">
        <f>IF(AN68&gt;0,IF(AN68&lt;=eco,alpha*fck*(1-(1-AN68/eco)^n),alpha*fck),0)</f>
      </c>
      <c r="AP68" s="30">
        <f>PM_Angle!$J$23+PM_Angle!$K$23*$C68+PM_Angle!$L$23*$B68</f>
      </c>
      <c r="AQ68" s="12">
        <f>IF(AP68&gt;0,IF(AP68&lt;=eco,alpha*fck*(1-(1-AP68/eco)^n),alpha*fck),0)</f>
      </c>
      <c r="AR68" s="30">
        <f>PM_Angle!$J$24+PM_Angle!$K$24*$C68+PM_Angle!$L$24*$B68</f>
      </c>
      <c r="AS68" s="12">
        <f>IF(AR68&gt;0,IF(AR68&lt;=eco,alpha*fck*(1-(1-AR68/eco)^n),alpha*fck),0)</f>
      </c>
      <c r="AT68" s="30">
        <f>PM_Angle!$J$25+PM_Angle!$K$25*$C68+PM_Angle!$L$25*$B68</f>
      </c>
      <c r="AU68" s="12">
        <f>IF(AT68&gt;0,IF(AT68&lt;=eco,alpha*fck*(1-(1-AT68/eco)^n),alpha*fck),0)</f>
      </c>
    </row>
    <row r="69" spans="1:47" x14ac:dyDescent="0.25">
      <c r="A69">
        <f>Mesh!A66</f>
      </c>
      <c r="B69" s="12">
        <f>Mesh!B66</f>
      </c>
      <c r="C69" s="12">
        <f>Mesh!C66</f>
      </c>
      <c r="D69" s="12">
        <f>Mesh!D66</f>
      </c>
      <c r="E69" s="30">
        <f>INDEX(St_e0,Det+1)+INDEX(St_kx,Det+1)*C69+INDEX(St_ky,Det+1)*B69</f>
      </c>
      <c r="F69" s="12">
        <f>IF(E69&gt;0,IF(E69&lt;=eco,alpha*fck*(1-(1-E69/eco)^n),alpha*fck),0)</f>
      </c>
      <c r="G69" s="11">
        <f>F69*D69</f>
      </c>
      <c r="H69" s="11">
        <f>G69*C69</f>
      </c>
      <c r="I69" s="11">
        <f>G69*B69</f>
      </c>
      <c r="J69" s="30">
        <f>PM_Angle!$J$7+PM_Angle!$K$7*$C69+PM_Angle!$L$7*$B69</f>
      </c>
      <c r="K69" s="12">
        <f>IF(J69&gt;0,IF(J69&lt;=eco,alpha*fck*(1-(1-J69/eco)^n),alpha*fck),0)</f>
      </c>
      <c r="L69" s="30">
        <f>PM_Angle!$J$8+PM_Angle!$K$8*$C69+PM_Angle!$L$8*$B69</f>
      </c>
      <c r="M69" s="12">
        <f>IF(L69&gt;0,IF(L69&lt;=eco,alpha*fck*(1-(1-L69/eco)^n),alpha*fck),0)</f>
      </c>
      <c r="N69" s="30">
        <f>PM_Angle!$J$9+PM_Angle!$K$9*$C69+PM_Angle!$L$9*$B69</f>
      </c>
      <c r="O69" s="12">
        <f>IF(N69&gt;0,IF(N69&lt;=eco,alpha*fck*(1-(1-N69/eco)^n),alpha*fck),0)</f>
      </c>
      <c r="P69" s="30">
        <f>PM_Angle!$J$10+PM_Angle!$K$10*$C69+PM_Angle!$L$10*$B69</f>
      </c>
      <c r="Q69" s="12">
        <f>IF(P69&gt;0,IF(P69&lt;=eco,alpha*fck*(1-(1-P69/eco)^n),alpha*fck),0)</f>
      </c>
      <c r="R69" s="30">
        <f>PM_Angle!$J$11+PM_Angle!$K$11*$C69+PM_Angle!$L$11*$B69</f>
      </c>
      <c r="S69" s="12">
        <f>IF(R69&gt;0,IF(R69&lt;=eco,alpha*fck*(1-(1-R69/eco)^n),alpha*fck),0)</f>
      </c>
      <c r="T69" s="30">
        <f>PM_Angle!$J$12+PM_Angle!$K$12*$C69+PM_Angle!$L$12*$B69</f>
      </c>
      <c r="U69" s="12">
        <f>IF(T69&gt;0,IF(T69&lt;=eco,alpha*fck*(1-(1-T69/eco)^n),alpha*fck),0)</f>
      </c>
      <c r="V69" s="30">
        <f>PM_Angle!$J$13+PM_Angle!$K$13*$C69+PM_Angle!$L$13*$B69</f>
      </c>
      <c r="W69" s="12">
        <f>IF(V69&gt;0,IF(V69&lt;=eco,alpha*fck*(1-(1-V69/eco)^n),alpha*fck),0)</f>
      </c>
      <c r="X69" s="30">
        <f>PM_Angle!$J$14+PM_Angle!$K$14*$C69+PM_Angle!$L$14*$B69</f>
      </c>
      <c r="Y69" s="12">
        <f>IF(X69&gt;0,IF(X69&lt;=eco,alpha*fck*(1-(1-X69/eco)^n),alpha*fck),0)</f>
      </c>
      <c r="Z69" s="30">
        <f>PM_Angle!$J$15+PM_Angle!$K$15*$C69+PM_Angle!$L$15*$B69</f>
      </c>
      <c r="AA69" s="12">
        <f>IF(Z69&gt;0,IF(Z69&lt;=eco,alpha*fck*(1-(1-Z69/eco)^n),alpha*fck),0)</f>
      </c>
      <c r="AB69" s="30">
        <f>PM_Angle!$J$16+PM_Angle!$K$16*$C69+PM_Angle!$L$16*$B69</f>
      </c>
      <c r="AC69" s="12">
        <f>IF(AB69&gt;0,IF(AB69&lt;=eco,alpha*fck*(1-(1-AB69/eco)^n),alpha*fck),0)</f>
      </c>
      <c r="AD69" s="30">
        <f>PM_Angle!$J$17+PM_Angle!$K$17*$C69+PM_Angle!$L$17*$B69</f>
      </c>
      <c r="AE69" s="12">
        <f>IF(AD69&gt;0,IF(AD69&lt;=eco,alpha*fck*(1-(1-AD69/eco)^n),alpha*fck),0)</f>
      </c>
      <c r="AF69" s="30">
        <f>PM_Angle!$J$18+PM_Angle!$K$18*$C69+PM_Angle!$L$18*$B69</f>
      </c>
      <c r="AG69" s="12">
        <f>IF(AF69&gt;0,IF(AF69&lt;=eco,alpha*fck*(1-(1-AF69/eco)^n),alpha*fck),0)</f>
      </c>
      <c r="AH69" s="30">
        <f>PM_Angle!$J$19+PM_Angle!$K$19*$C69+PM_Angle!$L$19*$B69</f>
      </c>
      <c r="AI69" s="12">
        <f>IF(AH69&gt;0,IF(AH69&lt;=eco,alpha*fck*(1-(1-AH69/eco)^n),alpha*fck),0)</f>
      </c>
      <c r="AJ69" s="30">
        <f>PM_Angle!$J$20+PM_Angle!$K$20*$C69+PM_Angle!$L$20*$B69</f>
      </c>
      <c r="AK69" s="12">
        <f>IF(AJ69&gt;0,IF(AJ69&lt;=eco,alpha*fck*(1-(1-AJ69/eco)^n),alpha*fck),0)</f>
      </c>
      <c r="AL69" s="30">
        <f>PM_Angle!$J$21+PM_Angle!$K$21*$C69+PM_Angle!$L$21*$B69</f>
      </c>
      <c r="AM69" s="12">
        <f>IF(AL69&gt;0,IF(AL69&lt;=eco,alpha*fck*(1-(1-AL69/eco)^n),alpha*fck),0)</f>
      </c>
      <c r="AN69" s="30">
        <f>PM_Angle!$J$22+PM_Angle!$K$22*$C69+PM_Angle!$L$22*$B69</f>
      </c>
      <c r="AO69" s="12">
        <f>IF(AN69&gt;0,IF(AN69&lt;=eco,alpha*fck*(1-(1-AN69/eco)^n),alpha*fck),0)</f>
      </c>
      <c r="AP69" s="30">
        <f>PM_Angle!$J$23+PM_Angle!$K$23*$C69+PM_Angle!$L$23*$B69</f>
      </c>
      <c r="AQ69" s="12">
        <f>IF(AP69&gt;0,IF(AP69&lt;=eco,alpha*fck*(1-(1-AP69/eco)^n),alpha*fck),0)</f>
      </c>
      <c r="AR69" s="30">
        <f>PM_Angle!$J$24+PM_Angle!$K$24*$C69+PM_Angle!$L$24*$B69</f>
      </c>
      <c r="AS69" s="12">
        <f>IF(AR69&gt;0,IF(AR69&lt;=eco,alpha*fck*(1-(1-AR69/eco)^n),alpha*fck),0)</f>
      </c>
      <c r="AT69" s="30">
        <f>PM_Angle!$J$25+PM_Angle!$K$25*$C69+PM_Angle!$L$25*$B69</f>
      </c>
      <c r="AU69" s="12">
        <f>IF(AT69&gt;0,IF(AT69&lt;=eco,alpha*fck*(1-(1-AT69/eco)^n),alpha*fck),0)</f>
      </c>
    </row>
    <row r="70" spans="1:47" x14ac:dyDescent="0.25">
      <c r="A70">
        <f>Mesh!A67</f>
      </c>
      <c r="B70" s="12">
        <f>Mesh!B67</f>
      </c>
      <c r="C70" s="12">
        <f>Mesh!C67</f>
      </c>
      <c r="D70" s="12">
        <f>Mesh!D67</f>
      </c>
      <c r="E70" s="30">
        <f>INDEX(St_e0,Det+1)+INDEX(St_kx,Det+1)*C70+INDEX(St_ky,Det+1)*B70</f>
      </c>
      <c r="F70" s="12">
        <f>IF(E70&gt;0,IF(E70&lt;=eco,alpha*fck*(1-(1-E70/eco)^n),alpha*fck),0)</f>
      </c>
      <c r="G70" s="11">
        <f>F70*D70</f>
      </c>
      <c r="H70" s="11">
        <f>G70*C70</f>
      </c>
      <c r="I70" s="11">
        <f>G70*B70</f>
      </c>
      <c r="J70" s="30">
        <f>PM_Angle!$J$7+PM_Angle!$K$7*$C70+PM_Angle!$L$7*$B70</f>
      </c>
      <c r="K70" s="12">
        <f>IF(J70&gt;0,IF(J70&lt;=eco,alpha*fck*(1-(1-J70/eco)^n),alpha*fck),0)</f>
      </c>
      <c r="L70" s="30">
        <f>PM_Angle!$J$8+PM_Angle!$K$8*$C70+PM_Angle!$L$8*$B70</f>
      </c>
      <c r="M70" s="12">
        <f>IF(L70&gt;0,IF(L70&lt;=eco,alpha*fck*(1-(1-L70/eco)^n),alpha*fck),0)</f>
      </c>
      <c r="N70" s="30">
        <f>PM_Angle!$J$9+PM_Angle!$K$9*$C70+PM_Angle!$L$9*$B70</f>
      </c>
      <c r="O70" s="12">
        <f>IF(N70&gt;0,IF(N70&lt;=eco,alpha*fck*(1-(1-N70/eco)^n),alpha*fck),0)</f>
      </c>
      <c r="P70" s="30">
        <f>PM_Angle!$J$10+PM_Angle!$K$10*$C70+PM_Angle!$L$10*$B70</f>
      </c>
      <c r="Q70" s="12">
        <f>IF(P70&gt;0,IF(P70&lt;=eco,alpha*fck*(1-(1-P70/eco)^n),alpha*fck),0)</f>
      </c>
      <c r="R70" s="30">
        <f>PM_Angle!$J$11+PM_Angle!$K$11*$C70+PM_Angle!$L$11*$B70</f>
      </c>
      <c r="S70" s="12">
        <f>IF(R70&gt;0,IF(R70&lt;=eco,alpha*fck*(1-(1-R70/eco)^n),alpha*fck),0)</f>
      </c>
      <c r="T70" s="30">
        <f>PM_Angle!$J$12+PM_Angle!$K$12*$C70+PM_Angle!$L$12*$B70</f>
      </c>
      <c r="U70" s="12">
        <f>IF(T70&gt;0,IF(T70&lt;=eco,alpha*fck*(1-(1-T70/eco)^n),alpha*fck),0)</f>
      </c>
      <c r="V70" s="30">
        <f>PM_Angle!$J$13+PM_Angle!$K$13*$C70+PM_Angle!$L$13*$B70</f>
      </c>
      <c r="W70" s="12">
        <f>IF(V70&gt;0,IF(V70&lt;=eco,alpha*fck*(1-(1-V70/eco)^n),alpha*fck),0)</f>
      </c>
      <c r="X70" s="30">
        <f>PM_Angle!$J$14+PM_Angle!$K$14*$C70+PM_Angle!$L$14*$B70</f>
      </c>
      <c r="Y70" s="12">
        <f>IF(X70&gt;0,IF(X70&lt;=eco,alpha*fck*(1-(1-X70/eco)^n),alpha*fck),0)</f>
      </c>
      <c r="Z70" s="30">
        <f>PM_Angle!$J$15+PM_Angle!$K$15*$C70+PM_Angle!$L$15*$B70</f>
      </c>
      <c r="AA70" s="12">
        <f>IF(Z70&gt;0,IF(Z70&lt;=eco,alpha*fck*(1-(1-Z70/eco)^n),alpha*fck),0)</f>
      </c>
      <c r="AB70" s="30">
        <f>PM_Angle!$J$16+PM_Angle!$K$16*$C70+PM_Angle!$L$16*$B70</f>
      </c>
      <c r="AC70" s="12">
        <f>IF(AB70&gt;0,IF(AB70&lt;=eco,alpha*fck*(1-(1-AB70/eco)^n),alpha*fck),0)</f>
      </c>
      <c r="AD70" s="30">
        <f>PM_Angle!$J$17+PM_Angle!$K$17*$C70+PM_Angle!$L$17*$B70</f>
      </c>
      <c r="AE70" s="12">
        <f>IF(AD70&gt;0,IF(AD70&lt;=eco,alpha*fck*(1-(1-AD70/eco)^n),alpha*fck),0)</f>
      </c>
      <c r="AF70" s="30">
        <f>PM_Angle!$J$18+PM_Angle!$K$18*$C70+PM_Angle!$L$18*$B70</f>
      </c>
      <c r="AG70" s="12">
        <f>IF(AF70&gt;0,IF(AF70&lt;=eco,alpha*fck*(1-(1-AF70/eco)^n),alpha*fck),0)</f>
      </c>
      <c r="AH70" s="30">
        <f>PM_Angle!$J$19+PM_Angle!$K$19*$C70+PM_Angle!$L$19*$B70</f>
      </c>
      <c r="AI70" s="12">
        <f>IF(AH70&gt;0,IF(AH70&lt;=eco,alpha*fck*(1-(1-AH70/eco)^n),alpha*fck),0)</f>
      </c>
      <c r="AJ70" s="30">
        <f>PM_Angle!$J$20+PM_Angle!$K$20*$C70+PM_Angle!$L$20*$B70</f>
      </c>
      <c r="AK70" s="12">
        <f>IF(AJ70&gt;0,IF(AJ70&lt;=eco,alpha*fck*(1-(1-AJ70/eco)^n),alpha*fck),0)</f>
      </c>
      <c r="AL70" s="30">
        <f>PM_Angle!$J$21+PM_Angle!$K$21*$C70+PM_Angle!$L$21*$B70</f>
      </c>
      <c r="AM70" s="12">
        <f>IF(AL70&gt;0,IF(AL70&lt;=eco,alpha*fck*(1-(1-AL70/eco)^n),alpha*fck),0)</f>
      </c>
      <c r="AN70" s="30">
        <f>PM_Angle!$J$22+PM_Angle!$K$22*$C70+PM_Angle!$L$22*$B70</f>
      </c>
      <c r="AO70" s="12">
        <f>IF(AN70&gt;0,IF(AN70&lt;=eco,alpha*fck*(1-(1-AN70/eco)^n),alpha*fck),0)</f>
      </c>
      <c r="AP70" s="30">
        <f>PM_Angle!$J$23+PM_Angle!$K$23*$C70+PM_Angle!$L$23*$B70</f>
      </c>
      <c r="AQ70" s="12">
        <f>IF(AP70&gt;0,IF(AP70&lt;=eco,alpha*fck*(1-(1-AP70/eco)^n),alpha*fck),0)</f>
      </c>
      <c r="AR70" s="30">
        <f>PM_Angle!$J$24+PM_Angle!$K$24*$C70+PM_Angle!$L$24*$B70</f>
      </c>
      <c r="AS70" s="12">
        <f>IF(AR70&gt;0,IF(AR70&lt;=eco,alpha*fck*(1-(1-AR70/eco)^n),alpha*fck),0)</f>
      </c>
      <c r="AT70" s="30">
        <f>PM_Angle!$J$25+PM_Angle!$K$25*$C70+PM_Angle!$L$25*$B70</f>
      </c>
      <c r="AU70" s="12">
        <f>IF(AT70&gt;0,IF(AT70&lt;=eco,alpha*fck*(1-(1-AT70/eco)^n),alpha*fck),0)</f>
      </c>
    </row>
    <row r="71" spans="1:47" x14ac:dyDescent="0.25">
      <c r="A71">
        <f>Mesh!A68</f>
      </c>
      <c r="B71" s="12">
        <f>Mesh!B68</f>
      </c>
      <c r="C71" s="12">
        <f>Mesh!C68</f>
      </c>
      <c r="D71" s="12">
        <f>Mesh!D68</f>
      </c>
      <c r="E71" s="30">
        <f>INDEX(St_e0,Det+1)+INDEX(St_kx,Det+1)*C71+INDEX(St_ky,Det+1)*B71</f>
      </c>
      <c r="F71" s="12">
        <f>IF(E71&gt;0,IF(E71&lt;=eco,alpha*fck*(1-(1-E71/eco)^n),alpha*fck),0)</f>
      </c>
      <c r="G71" s="11">
        <f>F71*D71</f>
      </c>
      <c r="H71" s="11">
        <f>G71*C71</f>
      </c>
      <c r="I71" s="11">
        <f>G71*B71</f>
      </c>
      <c r="J71" s="30">
        <f>PM_Angle!$J$7+PM_Angle!$K$7*$C71+PM_Angle!$L$7*$B71</f>
      </c>
      <c r="K71" s="12">
        <f>IF(J71&gt;0,IF(J71&lt;=eco,alpha*fck*(1-(1-J71/eco)^n),alpha*fck),0)</f>
      </c>
      <c r="L71" s="30">
        <f>PM_Angle!$J$8+PM_Angle!$K$8*$C71+PM_Angle!$L$8*$B71</f>
      </c>
      <c r="M71" s="12">
        <f>IF(L71&gt;0,IF(L71&lt;=eco,alpha*fck*(1-(1-L71/eco)^n),alpha*fck),0)</f>
      </c>
      <c r="N71" s="30">
        <f>PM_Angle!$J$9+PM_Angle!$K$9*$C71+PM_Angle!$L$9*$B71</f>
      </c>
      <c r="O71" s="12">
        <f>IF(N71&gt;0,IF(N71&lt;=eco,alpha*fck*(1-(1-N71/eco)^n),alpha*fck),0)</f>
      </c>
      <c r="P71" s="30">
        <f>PM_Angle!$J$10+PM_Angle!$K$10*$C71+PM_Angle!$L$10*$B71</f>
      </c>
      <c r="Q71" s="12">
        <f>IF(P71&gt;0,IF(P71&lt;=eco,alpha*fck*(1-(1-P71/eco)^n),alpha*fck),0)</f>
      </c>
      <c r="R71" s="30">
        <f>PM_Angle!$J$11+PM_Angle!$K$11*$C71+PM_Angle!$L$11*$B71</f>
      </c>
      <c r="S71" s="12">
        <f>IF(R71&gt;0,IF(R71&lt;=eco,alpha*fck*(1-(1-R71/eco)^n),alpha*fck),0)</f>
      </c>
      <c r="T71" s="30">
        <f>PM_Angle!$J$12+PM_Angle!$K$12*$C71+PM_Angle!$L$12*$B71</f>
      </c>
      <c r="U71" s="12">
        <f>IF(T71&gt;0,IF(T71&lt;=eco,alpha*fck*(1-(1-T71/eco)^n),alpha*fck),0)</f>
      </c>
      <c r="V71" s="30">
        <f>PM_Angle!$J$13+PM_Angle!$K$13*$C71+PM_Angle!$L$13*$B71</f>
      </c>
      <c r="W71" s="12">
        <f>IF(V71&gt;0,IF(V71&lt;=eco,alpha*fck*(1-(1-V71/eco)^n),alpha*fck),0)</f>
      </c>
      <c r="X71" s="30">
        <f>PM_Angle!$J$14+PM_Angle!$K$14*$C71+PM_Angle!$L$14*$B71</f>
      </c>
      <c r="Y71" s="12">
        <f>IF(X71&gt;0,IF(X71&lt;=eco,alpha*fck*(1-(1-X71/eco)^n),alpha*fck),0)</f>
      </c>
      <c r="Z71" s="30">
        <f>PM_Angle!$J$15+PM_Angle!$K$15*$C71+PM_Angle!$L$15*$B71</f>
      </c>
      <c r="AA71" s="12">
        <f>IF(Z71&gt;0,IF(Z71&lt;=eco,alpha*fck*(1-(1-Z71/eco)^n),alpha*fck),0)</f>
      </c>
      <c r="AB71" s="30">
        <f>PM_Angle!$J$16+PM_Angle!$K$16*$C71+PM_Angle!$L$16*$B71</f>
      </c>
      <c r="AC71" s="12">
        <f>IF(AB71&gt;0,IF(AB71&lt;=eco,alpha*fck*(1-(1-AB71/eco)^n),alpha*fck),0)</f>
      </c>
      <c r="AD71" s="30">
        <f>PM_Angle!$J$17+PM_Angle!$K$17*$C71+PM_Angle!$L$17*$B71</f>
      </c>
      <c r="AE71" s="12">
        <f>IF(AD71&gt;0,IF(AD71&lt;=eco,alpha*fck*(1-(1-AD71/eco)^n),alpha*fck),0)</f>
      </c>
      <c r="AF71" s="30">
        <f>PM_Angle!$J$18+PM_Angle!$K$18*$C71+PM_Angle!$L$18*$B71</f>
      </c>
      <c r="AG71" s="12">
        <f>IF(AF71&gt;0,IF(AF71&lt;=eco,alpha*fck*(1-(1-AF71/eco)^n),alpha*fck),0)</f>
      </c>
      <c r="AH71" s="30">
        <f>PM_Angle!$J$19+PM_Angle!$K$19*$C71+PM_Angle!$L$19*$B71</f>
      </c>
      <c r="AI71" s="12">
        <f>IF(AH71&gt;0,IF(AH71&lt;=eco,alpha*fck*(1-(1-AH71/eco)^n),alpha*fck),0)</f>
      </c>
      <c r="AJ71" s="30">
        <f>PM_Angle!$J$20+PM_Angle!$K$20*$C71+PM_Angle!$L$20*$B71</f>
      </c>
      <c r="AK71" s="12">
        <f>IF(AJ71&gt;0,IF(AJ71&lt;=eco,alpha*fck*(1-(1-AJ71/eco)^n),alpha*fck),0)</f>
      </c>
      <c r="AL71" s="30">
        <f>PM_Angle!$J$21+PM_Angle!$K$21*$C71+PM_Angle!$L$21*$B71</f>
      </c>
      <c r="AM71" s="12">
        <f>IF(AL71&gt;0,IF(AL71&lt;=eco,alpha*fck*(1-(1-AL71/eco)^n),alpha*fck),0)</f>
      </c>
      <c r="AN71" s="30">
        <f>PM_Angle!$J$22+PM_Angle!$K$22*$C71+PM_Angle!$L$22*$B71</f>
      </c>
      <c r="AO71" s="12">
        <f>IF(AN71&gt;0,IF(AN71&lt;=eco,alpha*fck*(1-(1-AN71/eco)^n),alpha*fck),0)</f>
      </c>
      <c r="AP71" s="30">
        <f>PM_Angle!$J$23+PM_Angle!$K$23*$C71+PM_Angle!$L$23*$B71</f>
      </c>
      <c r="AQ71" s="12">
        <f>IF(AP71&gt;0,IF(AP71&lt;=eco,alpha*fck*(1-(1-AP71/eco)^n),alpha*fck),0)</f>
      </c>
      <c r="AR71" s="30">
        <f>PM_Angle!$J$24+PM_Angle!$K$24*$C71+PM_Angle!$L$24*$B71</f>
      </c>
      <c r="AS71" s="12">
        <f>IF(AR71&gt;0,IF(AR71&lt;=eco,alpha*fck*(1-(1-AR71/eco)^n),alpha*fck),0)</f>
      </c>
      <c r="AT71" s="30">
        <f>PM_Angle!$J$25+PM_Angle!$K$25*$C71+PM_Angle!$L$25*$B71</f>
      </c>
      <c r="AU71" s="12">
        <f>IF(AT71&gt;0,IF(AT71&lt;=eco,alpha*fck*(1-(1-AT71/eco)^n),alpha*fck),0)</f>
      </c>
    </row>
    <row r="72" spans="1:47" x14ac:dyDescent="0.25">
      <c r="A72">
        <f>Mesh!A69</f>
      </c>
      <c r="B72" s="12">
        <f>Mesh!B69</f>
      </c>
      <c r="C72" s="12">
        <f>Mesh!C69</f>
      </c>
      <c r="D72" s="12">
        <f>Mesh!D69</f>
      </c>
      <c r="E72" s="30">
        <f>INDEX(St_e0,Det+1)+INDEX(St_kx,Det+1)*C72+INDEX(St_ky,Det+1)*B72</f>
      </c>
      <c r="F72" s="12">
        <f>IF(E72&gt;0,IF(E72&lt;=eco,alpha*fck*(1-(1-E72/eco)^n),alpha*fck),0)</f>
      </c>
      <c r="G72" s="11">
        <f>F72*D72</f>
      </c>
      <c r="H72" s="11">
        <f>G72*C72</f>
      </c>
      <c r="I72" s="11">
        <f>G72*B72</f>
      </c>
      <c r="J72" s="30">
        <f>PM_Angle!$J$7+PM_Angle!$K$7*$C72+PM_Angle!$L$7*$B72</f>
      </c>
      <c r="K72" s="12">
        <f>IF(J72&gt;0,IF(J72&lt;=eco,alpha*fck*(1-(1-J72/eco)^n),alpha*fck),0)</f>
      </c>
      <c r="L72" s="30">
        <f>PM_Angle!$J$8+PM_Angle!$K$8*$C72+PM_Angle!$L$8*$B72</f>
      </c>
      <c r="M72" s="12">
        <f>IF(L72&gt;0,IF(L72&lt;=eco,alpha*fck*(1-(1-L72/eco)^n),alpha*fck),0)</f>
      </c>
      <c r="N72" s="30">
        <f>PM_Angle!$J$9+PM_Angle!$K$9*$C72+PM_Angle!$L$9*$B72</f>
      </c>
      <c r="O72" s="12">
        <f>IF(N72&gt;0,IF(N72&lt;=eco,alpha*fck*(1-(1-N72/eco)^n),alpha*fck),0)</f>
      </c>
      <c r="P72" s="30">
        <f>PM_Angle!$J$10+PM_Angle!$K$10*$C72+PM_Angle!$L$10*$B72</f>
      </c>
      <c r="Q72" s="12">
        <f>IF(P72&gt;0,IF(P72&lt;=eco,alpha*fck*(1-(1-P72/eco)^n),alpha*fck),0)</f>
      </c>
      <c r="R72" s="30">
        <f>PM_Angle!$J$11+PM_Angle!$K$11*$C72+PM_Angle!$L$11*$B72</f>
      </c>
      <c r="S72" s="12">
        <f>IF(R72&gt;0,IF(R72&lt;=eco,alpha*fck*(1-(1-R72/eco)^n),alpha*fck),0)</f>
      </c>
      <c r="T72" s="30">
        <f>PM_Angle!$J$12+PM_Angle!$K$12*$C72+PM_Angle!$L$12*$B72</f>
      </c>
      <c r="U72" s="12">
        <f>IF(T72&gt;0,IF(T72&lt;=eco,alpha*fck*(1-(1-T72/eco)^n),alpha*fck),0)</f>
      </c>
      <c r="V72" s="30">
        <f>PM_Angle!$J$13+PM_Angle!$K$13*$C72+PM_Angle!$L$13*$B72</f>
      </c>
      <c r="W72" s="12">
        <f>IF(V72&gt;0,IF(V72&lt;=eco,alpha*fck*(1-(1-V72/eco)^n),alpha*fck),0)</f>
      </c>
      <c r="X72" s="30">
        <f>PM_Angle!$J$14+PM_Angle!$K$14*$C72+PM_Angle!$L$14*$B72</f>
      </c>
      <c r="Y72" s="12">
        <f>IF(X72&gt;0,IF(X72&lt;=eco,alpha*fck*(1-(1-X72/eco)^n),alpha*fck),0)</f>
      </c>
      <c r="Z72" s="30">
        <f>PM_Angle!$J$15+PM_Angle!$K$15*$C72+PM_Angle!$L$15*$B72</f>
      </c>
      <c r="AA72" s="12">
        <f>IF(Z72&gt;0,IF(Z72&lt;=eco,alpha*fck*(1-(1-Z72/eco)^n),alpha*fck),0)</f>
      </c>
      <c r="AB72" s="30">
        <f>PM_Angle!$J$16+PM_Angle!$K$16*$C72+PM_Angle!$L$16*$B72</f>
      </c>
      <c r="AC72" s="12">
        <f>IF(AB72&gt;0,IF(AB72&lt;=eco,alpha*fck*(1-(1-AB72/eco)^n),alpha*fck),0)</f>
      </c>
      <c r="AD72" s="30">
        <f>PM_Angle!$J$17+PM_Angle!$K$17*$C72+PM_Angle!$L$17*$B72</f>
      </c>
      <c r="AE72" s="12">
        <f>IF(AD72&gt;0,IF(AD72&lt;=eco,alpha*fck*(1-(1-AD72/eco)^n),alpha*fck),0)</f>
      </c>
      <c r="AF72" s="30">
        <f>PM_Angle!$J$18+PM_Angle!$K$18*$C72+PM_Angle!$L$18*$B72</f>
      </c>
      <c r="AG72" s="12">
        <f>IF(AF72&gt;0,IF(AF72&lt;=eco,alpha*fck*(1-(1-AF72/eco)^n),alpha*fck),0)</f>
      </c>
      <c r="AH72" s="30">
        <f>PM_Angle!$J$19+PM_Angle!$K$19*$C72+PM_Angle!$L$19*$B72</f>
      </c>
      <c r="AI72" s="12">
        <f>IF(AH72&gt;0,IF(AH72&lt;=eco,alpha*fck*(1-(1-AH72/eco)^n),alpha*fck),0)</f>
      </c>
      <c r="AJ72" s="30">
        <f>PM_Angle!$J$20+PM_Angle!$K$20*$C72+PM_Angle!$L$20*$B72</f>
      </c>
      <c r="AK72" s="12">
        <f>IF(AJ72&gt;0,IF(AJ72&lt;=eco,alpha*fck*(1-(1-AJ72/eco)^n),alpha*fck),0)</f>
      </c>
      <c r="AL72" s="30">
        <f>PM_Angle!$J$21+PM_Angle!$K$21*$C72+PM_Angle!$L$21*$B72</f>
      </c>
      <c r="AM72" s="12">
        <f>IF(AL72&gt;0,IF(AL72&lt;=eco,alpha*fck*(1-(1-AL72/eco)^n),alpha*fck),0)</f>
      </c>
      <c r="AN72" s="30">
        <f>PM_Angle!$J$22+PM_Angle!$K$22*$C72+PM_Angle!$L$22*$B72</f>
      </c>
      <c r="AO72" s="12">
        <f>IF(AN72&gt;0,IF(AN72&lt;=eco,alpha*fck*(1-(1-AN72/eco)^n),alpha*fck),0)</f>
      </c>
      <c r="AP72" s="30">
        <f>PM_Angle!$J$23+PM_Angle!$K$23*$C72+PM_Angle!$L$23*$B72</f>
      </c>
      <c r="AQ72" s="12">
        <f>IF(AP72&gt;0,IF(AP72&lt;=eco,alpha*fck*(1-(1-AP72/eco)^n),alpha*fck),0)</f>
      </c>
      <c r="AR72" s="30">
        <f>PM_Angle!$J$24+PM_Angle!$K$24*$C72+PM_Angle!$L$24*$B72</f>
      </c>
      <c r="AS72" s="12">
        <f>IF(AR72&gt;0,IF(AR72&lt;=eco,alpha*fck*(1-(1-AR72/eco)^n),alpha*fck),0)</f>
      </c>
      <c r="AT72" s="30">
        <f>PM_Angle!$J$25+PM_Angle!$K$25*$C72+PM_Angle!$L$25*$B72</f>
      </c>
      <c r="AU72" s="12">
        <f>IF(AT72&gt;0,IF(AT72&lt;=eco,alpha*fck*(1-(1-AT72/eco)^n),alpha*fck),0)</f>
      </c>
    </row>
    <row r="73" spans="1:47" x14ac:dyDescent="0.25">
      <c r="A73">
        <f>Mesh!A70</f>
      </c>
      <c r="B73" s="12">
        <f>Mesh!B70</f>
      </c>
      <c r="C73" s="12">
        <f>Mesh!C70</f>
      </c>
      <c r="D73" s="12">
        <f>Mesh!D70</f>
      </c>
      <c r="E73" s="30">
        <f>INDEX(St_e0,Det+1)+INDEX(St_kx,Det+1)*C73+INDEX(St_ky,Det+1)*B73</f>
      </c>
      <c r="F73" s="12">
        <f>IF(E73&gt;0,IF(E73&lt;=eco,alpha*fck*(1-(1-E73/eco)^n),alpha*fck),0)</f>
      </c>
      <c r="G73" s="11">
        <f>F73*D73</f>
      </c>
      <c r="H73" s="11">
        <f>G73*C73</f>
      </c>
      <c r="I73" s="11">
        <f>G73*B73</f>
      </c>
      <c r="J73" s="30">
        <f>PM_Angle!$J$7+PM_Angle!$K$7*$C73+PM_Angle!$L$7*$B73</f>
      </c>
      <c r="K73" s="12">
        <f>IF(J73&gt;0,IF(J73&lt;=eco,alpha*fck*(1-(1-J73/eco)^n),alpha*fck),0)</f>
      </c>
      <c r="L73" s="30">
        <f>PM_Angle!$J$8+PM_Angle!$K$8*$C73+PM_Angle!$L$8*$B73</f>
      </c>
      <c r="M73" s="12">
        <f>IF(L73&gt;0,IF(L73&lt;=eco,alpha*fck*(1-(1-L73/eco)^n),alpha*fck),0)</f>
      </c>
      <c r="N73" s="30">
        <f>PM_Angle!$J$9+PM_Angle!$K$9*$C73+PM_Angle!$L$9*$B73</f>
      </c>
      <c r="O73" s="12">
        <f>IF(N73&gt;0,IF(N73&lt;=eco,alpha*fck*(1-(1-N73/eco)^n),alpha*fck),0)</f>
      </c>
      <c r="P73" s="30">
        <f>PM_Angle!$J$10+PM_Angle!$K$10*$C73+PM_Angle!$L$10*$B73</f>
      </c>
      <c r="Q73" s="12">
        <f>IF(P73&gt;0,IF(P73&lt;=eco,alpha*fck*(1-(1-P73/eco)^n),alpha*fck),0)</f>
      </c>
      <c r="R73" s="30">
        <f>PM_Angle!$J$11+PM_Angle!$K$11*$C73+PM_Angle!$L$11*$B73</f>
      </c>
      <c r="S73" s="12">
        <f>IF(R73&gt;0,IF(R73&lt;=eco,alpha*fck*(1-(1-R73/eco)^n),alpha*fck),0)</f>
      </c>
      <c r="T73" s="30">
        <f>PM_Angle!$J$12+PM_Angle!$K$12*$C73+PM_Angle!$L$12*$B73</f>
      </c>
      <c r="U73" s="12">
        <f>IF(T73&gt;0,IF(T73&lt;=eco,alpha*fck*(1-(1-T73/eco)^n),alpha*fck),0)</f>
      </c>
      <c r="V73" s="30">
        <f>PM_Angle!$J$13+PM_Angle!$K$13*$C73+PM_Angle!$L$13*$B73</f>
      </c>
      <c r="W73" s="12">
        <f>IF(V73&gt;0,IF(V73&lt;=eco,alpha*fck*(1-(1-V73/eco)^n),alpha*fck),0)</f>
      </c>
      <c r="X73" s="30">
        <f>PM_Angle!$J$14+PM_Angle!$K$14*$C73+PM_Angle!$L$14*$B73</f>
      </c>
      <c r="Y73" s="12">
        <f>IF(X73&gt;0,IF(X73&lt;=eco,alpha*fck*(1-(1-X73/eco)^n),alpha*fck),0)</f>
      </c>
      <c r="Z73" s="30">
        <f>PM_Angle!$J$15+PM_Angle!$K$15*$C73+PM_Angle!$L$15*$B73</f>
      </c>
      <c r="AA73" s="12">
        <f>IF(Z73&gt;0,IF(Z73&lt;=eco,alpha*fck*(1-(1-Z73/eco)^n),alpha*fck),0)</f>
      </c>
      <c r="AB73" s="30">
        <f>PM_Angle!$J$16+PM_Angle!$K$16*$C73+PM_Angle!$L$16*$B73</f>
      </c>
      <c r="AC73" s="12">
        <f>IF(AB73&gt;0,IF(AB73&lt;=eco,alpha*fck*(1-(1-AB73/eco)^n),alpha*fck),0)</f>
      </c>
      <c r="AD73" s="30">
        <f>PM_Angle!$J$17+PM_Angle!$K$17*$C73+PM_Angle!$L$17*$B73</f>
      </c>
      <c r="AE73" s="12">
        <f>IF(AD73&gt;0,IF(AD73&lt;=eco,alpha*fck*(1-(1-AD73/eco)^n),alpha*fck),0)</f>
      </c>
      <c r="AF73" s="30">
        <f>PM_Angle!$J$18+PM_Angle!$K$18*$C73+PM_Angle!$L$18*$B73</f>
      </c>
      <c r="AG73" s="12">
        <f>IF(AF73&gt;0,IF(AF73&lt;=eco,alpha*fck*(1-(1-AF73/eco)^n),alpha*fck),0)</f>
      </c>
      <c r="AH73" s="30">
        <f>PM_Angle!$J$19+PM_Angle!$K$19*$C73+PM_Angle!$L$19*$B73</f>
      </c>
      <c r="AI73" s="12">
        <f>IF(AH73&gt;0,IF(AH73&lt;=eco,alpha*fck*(1-(1-AH73/eco)^n),alpha*fck),0)</f>
      </c>
      <c r="AJ73" s="30">
        <f>PM_Angle!$J$20+PM_Angle!$K$20*$C73+PM_Angle!$L$20*$B73</f>
      </c>
      <c r="AK73" s="12">
        <f>IF(AJ73&gt;0,IF(AJ73&lt;=eco,alpha*fck*(1-(1-AJ73/eco)^n),alpha*fck),0)</f>
      </c>
      <c r="AL73" s="30">
        <f>PM_Angle!$J$21+PM_Angle!$K$21*$C73+PM_Angle!$L$21*$B73</f>
      </c>
      <c r="AM73" s="12">
        <f>IF(AL73&gt;0,IF(AL73&lt;=eco,alpha*fck*(1-(1-AL73/eco)^n),alpha*fck),0)</f>
      </c>
      <c r="AN73" s="30">
        <f>PM_Angle!$J$22+PM_Angle!$K$22*$C73+PM_Angle!$L$22*$B73</f>
      </c>
      <c r="AO73" s="12">
        <f>IF(AN73&gt;0,IF(AN73&lt;=eco,alpha*fck*(1-(1-AN73/eco)^n),alpha*fck),0)</f>
      </c>
      <c r="AP73" s="30">
        <f>PM_Angle!$J$23+PM_Angle!$K$23*$C73+PM_Angle!$L$23*$B73</f>
      </c>
      <c r="AQ73" s="12">
        <f>IF(AP73&gt;0,IF(AP73&lt;=eco,alpha*fck*(1-(1-AP73/eco)^n),alpha*fck),0)</f>
      </c>
      <c r="AR73" s="30">
        <f>PM_Angle!$J$24+PM_Angle!$K$24*$C73+PM_Angle!$L$24*$B73</f>
      </c>
      <c r="AS73" s="12">
        <f>IF(AR73&gt;0,IF(AR73&lt;=eco,alpha*fck*(1-(1-AR73/eco)^n),alpha*fck),0)</f>
      </c>
      <c r="AT73" s="30">
        <f>PM_Angle!$J$25+PM_Angle!$K$25*$C73+PM_Angle!$L$25*$B73</f>
      </c>
      <c r="AU73" s="12">
        <f>IF(AT73&gt;0,IF(AT73&lt;=eco,alpha*fck*(1-(1-AT73/eco)^n),alpha*fck),0)</f>
      </c>
    </row>
    <row r="74" spans="1:47" x14ac:dyDescent="0.25">
      <c r="A74">
        <f>Mesh!A71</f>
      </c>
      <c r="B74" s="12">
        <f>Mesh!B71</f>
      </c>
      <c r="C74" s="12">
        <f>Mesh!C71</f>
      </c>
      <c r="D74" s="12">
        <f>Mesh!D71</f>
      </c>
      <c r="E74" s="30">
        <f>INDEX(St_e0,Det+1)+INDEX(St_kx,Det+1)*C74+INDEX(St_ky,Det+1)*B74</f>
      </c>
      <c r="F74" s="12">
        <f>IF(E74&gt;0,IF(E74&lt;=eco,alpha*fck*(1-(1-E74/eco)^n),alpha*fck),0)</f>
      </c>
      <c r="G74" s="11">
        <f>F74*D74</f>
      </c>
      <c r="H74" s="11">
        <f>G74*C74</f>
      </c>
      <c r="I74" s="11">
        <f>G74*B74</f>
      </c>
      <c r="J74" s="30">
        <f>PM_Angle!$J$7+PM_Angle!$K$7*$C74+PM_Angle!$L$7*$B74</f>
      </c>
      <c r="K74" s="12">
        <f>IF(J74&gt;0,IF(J74&lt;=eco,alpha*fck*(1-(1-J74/eco)^n),alpha*fck),0)</f>
      </c>
      <c r="L74" s="30">
        <f>PM_Angle!$J$8+PM_Angle!$K$8*$C74+PM_Angle!$L$8*$B74</f>
      </c>
      <c r="M74" s="12">
        <f>IF(L74&gt;0,IF(L74&lt;=eco,alpha*fck*(1-(1-L74/eco)^n),alpha*fck),0)</f>
      </c>
      <c r="N74" s="30">
        <f>PM_Angle!$J$9+PM_Angle!$K$9*$C74+PM_Angle!$L$9*$B74</f>
      </c>
      <c r="O74" s="12">
        <f>IF(N74&gt;0,IF(N74&lt;=eco,alpha*fck*(1-(1-N74/eco)^n),alpha*fck),0)</f>
      </c>
      <c r="P74" s="30">
        <f>PM_Angle!$J$10+PM_Angle!$K$10*$C74+PM_Angle!$L$10*$B74</f>
      </c>
      <c r="Q74" s="12">
        <f>IF(P74&gt;0,IF(P74&lt;=eco,alpha*fck*(1-(1-P74/eco)^n),alpha*fck),0)</f>
      </c>
      <c r="R74" s="30">
        <f>PM_Angle!$J$11+PM_Angle!$K$11*$C74+PM_Angle!$L$11*$B74</f>
      </c>
      <c r="S74" s="12">
        <f>IF(R74&gt;0,IF(R74&lt;=eco,alpha*fck*(1-(1-R74/eco)^n),alpha*fck),0)</f>
      </c>
      <c r="T74" s="30">
        <f>PM_Angle!$J$12+PM_Angle!$K$12*$C74+PM_Angle!$L$12*$B74</f>
      </c>
      <c r="U74" s="12">
        <f>IF(T74&gt;0,IF(T74&lt;=eco,alpha*fck*(1-(1-T74/eco)^n),alpha*fck),0)</f>
      </c>
      <c r="V74" s="30">
        <f>PM_Angle!$J$13+PM_Angle!$K$13*$C74+PM_Angle!$L$13*$B74</f>
      </c>
      <c r="W74" s="12">
        <f>IF(V74&gt;0,IF(V74&lt;=eco,alpha*fck*(1-(1-V74/eco)^n),alpha*fck),0)</f>
      </c>
      <c r="X74" s="30">
        <f>PM_Angle!$J$14+PM_Angle!$K$14*$C74+PM_Angle!$L$14*$B74</f>
      </c>
      <c r="Y74" s="12">
        <f>IF(X74&gt;0,IF(X74&lt;=eco,alpha*fck*(1-(1-X74/eco)^n),alpha*fck),0)</f>
      </c>
      <c r="Z74" s="30">
        <f>PM_Angle!$J$15+PM_Angle!$K$15*$C74+PM_Angle!$L$15*$B74</f>
      </c>
      <c r="AA74" s="12">
        <f>IF(Z74&gt;0,IF(Z74&lt;=eco,alpha*fck*(1-(1-Z74/eco)^n),alpha*fck),0)</f>
      </c>
      <c r="AB74" s="30">
        <f>PM_Angle!$J$16+PM_Angle!$K$16*$C74+PM_Angle!$L$16*$B74</f>
      </c>
      <c r="AC74" s="12">
        <f>IF(AB74&gt;0,IF(AB74&lt;=eco,alpha*fck*(1-(1-AB74/eco)^n),alpha*fck),0)</f>
      </c>
      <c r="AD74" s="30">
        <f>PM_Angle!$J$17+PM_Angle!$K$17*$C74+PM_Angle!$L$17*$B74</f>
      </c>
      <c r="AE74" s="12">
        <f>IF(AD74&gt;0,IF(AD74&lt;=eco,alpha*fck*(1-(1-AD74/eco)^n),alpha*fck),0)</f>
      </c>
      <c r="AF74" s="30">
        <f>PM_Angle!$J$18+PM_Angle!$K$18*$C74+PM_Angle!$L$18*$B74</f>
      </c>
      <c r="AG74" s="12">
        <f>IF(AF74&gt;0,IF(AF74&lt;=eco,alpha*fck*(1-(1-AF74/eco)^n),alpha*fck),0)</f>
      </c>
      <c r="AH74" s="30">
        <f>PM_Angle!$J$19+PM_Angle!$K$19*$C74+PM_Angle!$L$19*$B74</f>
      </c>
      <c r="AI74" s="12">
        <f>IF(AH74&gt;0,IF(AH74&lt;=eco,alpha*fck*(1-(1-AH74/eco)^n),alpha*fck),0)</f>
      </c>
      <c r="AJ74" s="30">
        <f>PM_Angle!$J$20+PM_Angle!$K$20*$C74+PM_Angle!$L$20*$B74</f>
      </c>
      <c r="AK74" s="12">
        <f>IF(AJ74&gt;0,IF(AJ74&lt;=eco,alpha*fck*(1-(1-AJ74/eco)^n),alpha*fck),0)</f>
      </c>
      <c r="AL74" s="30">
        <f>PM_Angle!$J$21+PM_Angle!$K$21*$C74+PM_Angle!$L$21*$B74</f>
      </c>
      <c r="AM74" s="12">
        <f>IF(AL74&gt;0,IF(AL74&lt;=eco,alpha*fck*(1-(1-AL74/eco)^n),alpha*fck),0)</f>
      </c>
      <c r="AN74" s="30">
        <f>PM_Angle!$J$22+PM_Angle!$K$22*$C74+PM_Angle!$L$22*$B74</f>
      </c>
      <c r="AO74" s="12">
        <f>IF(AN74&gt;0,IF(AN74&lt;=eco,alpha*fck*(1-(1-AN74/eco)^n),alpha*fck),0)</f>
      </c>
      <c r="AP74" s="30">
        <f>PM_Angle!$J$23+PM_Angle!$K$23*$C74+PM_Angle!$L$23*$B74</f>
      </c>
      <c r="AQ74" s="12">
        <f>IF(AP74&gt;0,IF(AP74&lt;=eco,alpha*fck*(1-(1-AP74/eco)^n),alpha*fck),0)</f>
      </c>
      <c r="AR74" s="30">
        <f>PM_Angle!$J$24+PM_Angle!$K$24*$C74+PM_Angle!$L$24*$B74</f>
      </c>
      <c r="AS74" s="12">
        <f>IF(AR74&gt;0,IF(AR74&lt;=eco,alpha*fck*(1-(1-AR74/eco)^n),alpha*fck),0)</f>
      </c>
      <c r="AT74" s="30">
        <f>PM_Angle!$J$25+PM_Angle!$K$25*$C74+PM_Angle!$L$25*$B74</f>
      </c>
      <c r="AU74" s="12">
        <f>IF(AT74&gt;0,IF(AT74&lt;=eco,alpha*fck*(1-(1-AT74/eco)^n),alpha*fck),0)</f>
      </c>
    </row>
    <row r="75" spans="1:47" x14ac:dyDescent="0.25">
      <c r="A75">
        <f>Mesh!A72</f>
      </c>
      <c r="B75" s="12">
        <f>Mesh!B72</f>
      </c>
      <c r="C75" s="12">
        <f>Mesh!C72</f>
      </c>
      <c r="D75" s="12">
        <f>Mesh!D72</f>
      </c>
      <c r="E75" s="30">
        <f>INDEX(St_e0,Det+1)+INDEX(St_kx,Det+1)*C75+INDEX(St_ky,Det+1)*B75</f>
      </c>
      <c r="F75" s="12">
        <f>IF(E75&gt;0,IF(E75&lt;=eco,alpha*fck*(1-(1-E75/eco)^n),alpha*fck),0)</f>
      </c>
      <c r="G75" s="11">
        <f>F75*D75</f>
      </c>
      <c r="H75" s="11">
        <f>G75*C75</f>
      </c>
      <c r="I75" s="11">
        <f>G75*B75</f>
      </c>
      <c r="J75" s="30">
        <f>PM_Angle!$J$7+PM_Angle!$K$7*$C75+PM_Angle!$L$7*$B75</f>
      </c>
      <c r="K75" s="12">
        <f>IF(J75&gt;0,IF(J75&lt;=eco,alpha*fck*(1-(1-J75/eco)^n),alpha*fck),0)</f>
      </c>
      <c r="L75" s="30">
        <f>PM_Angle!$J$8+PM_Angle!$K$8*$C75+PM_Angle!$L$8*$B75</f>
      </c>
      <c r="M75" s="12">
        <f>IF(L75&gt;0,IF(L75&lt;=eco,alpha*fck*(1-(1-L75/eco)^n),alpha*fck),0)</f>
      </c>
      <c r="N75" s="30">
        <f>PM_Angle!$J$9+PM_Angle!$K$9*$C75+PM_Angle!$L$9*$B75</f>
      </c>
      <c r="O75" s="12">
        <f>IF(N75&gt;0,IF(N75&lt;=eco,alpha*fck*(1-(1-N75/eco)^n),alpha*fck),0)</f>
      </c>
      <c r="P75" s="30">
        <f>PM_Angle!$J$10+PM_Angle!$K$10*$C75+PM_Angle!$L$10*$B75</f>
      </c>
      <c r="Q75" s="12">
        <f>IF(P75&gt;0,IF(P75&lt;=eco,alpha*fck*(1-(1-P75/eco)^n),alpha*fck),0)</f>
      </c>
      <c r="R75" s="30">
        <f>PM_Angle!$J$11+PM_Angle!$K$11*$C75+PM_Angle!$L$11*$B75</f>
      </c>
      <c r="S75" s="12">
        <f>IF(R75&gt;0,IF(R75&lt;=eco,alpha*fck*(1-(1-R75/eco)^n),alpha*fck),0)</f>
      </c>
      <c r="T75" s="30">
        <f>PM_Angle!$J$12+PM_Angle!$K$12*$C75+PM_Angle!$L$12*$B75</f>
      </c>
      <c r="U75" s="12">
        <f>IF(T75&gt;0,IF(T75&lt;=eco,alpha*fck*(1-(1-T75/eco)^n),alpha*fck),0)</f>
      </c>
      <c r="V75" s="30">
        <f>PM_Angle!$J$13+PM_Angle!$K$13*$C75+PM_Angle!$L$13*$B75</f>
      </c>
      <c r="W75" s="12">
        <f>IF(V75&gt;0,IF(V75&lt;=eco,alpha*fck*(1-(1-V75/eco)^n),alpha*fck),0)</f>
      </c>
      <c r="X75" s="30">
        <f>PM_Angle!$J$14+PM_Angle!$K$14*$C75+PM_Angle!$L$14*$B75</f>
      </c>
      <c r="Y75" s="12">
        <f>IF(X75&gt;0,IF(X75&lt;=eco,alpha*fck*(1-(1-X75/eco)^n),alpha*fck),0)</f>
      </c>
      <c r="Z75" s="30">
        <f>PM_Angle!$J$15+PM_Angle!$K$15*$C75+PM_Angle!$L$15*$B75</f>
      </c>
      <c r="AA75" s="12">
        <f>IF(Z75&gt;0,IF(Z75&lt;=eco,alpha*fck*(1-(1-Z75/eco)^n),alpha*fck),0)</f>
      </c>
      <c r="AB75" s="30">
        <f>PM_Angle!$J$16+PM_Angle!$K$16*$C75+PM_Angle!$L$16*$B75</f>
      </c>
      <c r="AC75" s="12">
        <f>IF(AB75&gt;0,IF(AB75&lt;=eco,alpha*fck*(1-(1-AB75/eco)^n),alpha*fck),0)</f>
      </c>
      <c r="AD75" s="30">
        <f>PM_Angle!$J$17+PM_Angle!$K$17*$C75+PM_Angle!$L$17*$B75</f>
      </c>
      <c r="AE75" s="12">
        <f>IF(AD75&gt;0,IF(AD75&lt;=eco,alpha*fck*(1-(1-AD75/eco)^n),alpha*fck),0)</f>
      </c>
      <c r="AF75" s="30">
        <f>PM_Angle!$J$18+PM_Angle!$K$18*$C75+PM_Angle!$L$18*$B75</f>
      </c>
      <c r="AG75" s="12">
        <f>IF(AF75&gt;0,IF(AF75&lt;=eco,alpha*fck*(1-(1-AF75/eco)^n),alpha*fck),0)</f>
      </c>
      <c r="AH75" s="30">
        <f>PM_Angle!$J$19+PM_Angle!$K$19*$C75+PM_Angle!$L$19*$B75</f>
      </c>
      <c r="AI75" s="12">
        <f>IF(AH75&gt;0,IF(AH75&lt;=eco,alpha*fck*(1-(1-AH75/eco)^n),alpha*fck),0)</f>
      </c>
      <c r="AJ75" s="30">
        <f>PM_Angle!$J$20+PM_Angle!$K$20*$C75+PM_Angle!$L$20*$B75</f>
      </c>
      <c r="AK75" s="12">
        <f>IF(AJ75&gt;0,IF(AJ75&lt;=eco,alpha*fck*(1-(1-AJ75/eco)^n),alpha*fck),0)</f>
      </c>
      <c r="AL75" s="30">
        <f>PM_Angle!$J$21+PM_Angle!$K$21*$C75+PM_Angle!$L$21*$B75</f>
      </c>
      <c r="AM75" s="12">
        <f>IF(AL75&gt;0,IF(AL75&lt;=eco,alpha*fck*(1-(1-AL75/eco)^n),alpha*fck),0)</f>
      </c>
      <c r="AN75" s="30">
        <f>PM_Angle!$J$22+PM_Angle!$K$22*$C75+PM_Angle!$L$22*$B75</f>
      </c>
      <c r="AO75" s="12">
        <f>IF(AN75&gt;0,IF(AN75&lt;=eco,alpha*fck*(1-(1-AN75/eco)^n),alpha*fck),0)</f>
      </c>
      <c r="AP75" s="30">
        <f>PM_Angle!$J$23+PM_Angle!$K$23*$C75+PM_Angle!$L$23*$B75</f>
      </c>
      <c r="AQ75" s="12">
        <f>IF(AP75&gt;0,IF(AP75&lt;=eco,alpha*fck*(1-(1-AP75/eco)^n),alpha*fck),0)</f>
      </c>
      <c r="AR75" s="30">
        <f>PM_Angle!$J$24+PM_Angle!$K$24*$C75+PM_Angle!$L$24*$B75</f>
      </c>
      <c r="AS75" s="12">
        <f>IF(AR75&gt;0,IF(AR75&lt;=eco,alpha*fck*(1-(1-AR75/eco)^n),alpha*fck),0)</f>
      </c>
      <c r="AT75" s="30">
        <f>PM_Angle!$J$25+PM_Angle!$K$25*$C75+PM_Angle!$L$25*$B75</f>
      </c>
      <c r="AU75" s="12">
        <f>IF(AT75&gt;0,IF(AT75&lt;=eco,alpha*fck*(1-(1-AT75/eco)^n),alpha*fck),0)</f>
      </c>
    </row>
    <row r="76" spans="1:47" x14ac:dyDescent="0.25">
      <c r="A76">
        <f>Mesh!A73</f>
      </c>
      <c r="B76" s="12">
        <f>Mesh!B73</f>
      </c>
      <c r="C76" s="12">
        <f>Mesh!C73</f>
      </c>
      <c r="D76" s="12">
        <f>Mesh!D73</f>
      </c>
      <c r="E76" s="30">
        <f>INDEX(St_e0,Det+1)+INDEX(St_kx,Det+1)*C76+INDEX(St_ky,Det+1)*B76</f>
      </c>
      <c r="F76" s="12">
        <f>IF(E76&gt;0,IF(E76&lt;=eco,alpha*fck*(1-(1-E76/eco)^n),alpha*fck),0)</f>
      </c>
      <c r="G76" s="11">
        <f>F76*D76</f>
      </c>
      <c r="H76" s="11">
        <f>G76*C76</f>
      </c>
      <c r="I76" s="11">
        <f>G76*B76</f>
      </c>
      <c r="J76" s="30">
        <f>PM_Angle!$J$7+PM_Angle!$K$7*$C76+PM_Angle!$L$7*$B76</f>
      </c>
      <c r="K76" s="12">
        <f>IF(J76&gt;0,IF(J76&lt;=eco,alpha*fck*(1-(1-J76/eco)^n),alpha*fck),0)</f>
      </c>
      <c r="L76" s="30">
        <f>PM_Angle!$J$8+PM_Angle!$K$8*$C76+PM_Angle!$L$8*$B76</f>
      </c>
      <c r="M76" s="12">
        <f>IF(L76&gt;0,IF(L76&lt;=eco,alpha*fck*(1-(1-L76/eco)^n),alpha*fck),0)</f>
      </c>
      <c r="N76" s="30">
        <f>PM_Angle!$J$9+PM_Angle!$K$9*$C76+PM_Angle!$L$9*$B76</f>
      </c>
      <c r="O76" s="12">
        <f>IF(N76&gt;0,IF(N76&lt;=eco,alpha*fck*(1-(1-N76/eco)^n),alpha*fck),0)</f>
      </c>
      <c r="P76" s="30">
        <f>PM_Angle!$J$10+PM_Angle!$K$10*$C76+PM_Angle!$L$10*$B76</f>
      </c>
      <c r="Q76" s="12">
        <f>IF(P76&gt;0,IF(P76&lt;=eco,alpha*fck*(1-(1-P76/eco)^n),alpha*fck),0)</f>
      </c>
      <c r="R76" s="30">
        <f>PM_Angle!$J$11+PM_Angle!$K$11*$C76+PM_Angle!$L$11*$B76</f>
      </c>
      <c r="S76" s="12">
        <f>IF(R76&gt;0,IF(R76&lt;=eco,alpha*fck*(1-(1-R76/eco)^n),alpha*fck),0)</f>
      </c>
      <c r="T76" s="30">
        <f>PM_Angle!$J$12+PM_Angle!$K$12*$C76+PM_Angle!$L$12*$B76</f>
      </c>
      <c r="U76" s="12">
        <f>IF(T76&gt;0,IF(T76&lt;=eco,alpha*fck*(1-(1-T76/eco)^n),alpha*fck),0)</f>
      </c>
      <c r="V76" s="30">
        <f>PM_Angle!$J$13+PM_Angle!$K$13*$C76+PM_Angle!$L$13*$B76</f>
      </c>
      <c r="W76" s="12">
        <f>IF(V76&gt;0,IF(V76&lt;=eco,alpha*fck*(1-(1-V76/eco)^n),alpha*fck),0)</f>
      </c>
      <c r="X76" s="30">
        <f>PM_Angle!$J$14+PM_Angle!$K$14*$C76+PM_Angle!$L$14*$B76</f>
      </c>
      <c r="Y76" s="12">
        <f>IF(X76&gt;0,IF(X76&lt;=eco,alpha*fck*(1-(1-X76/eco)^n),alpha*fck),0)</f>
      </c>
      <c r="Z76" s="30">
        <f>PM_Angle!$J$15+PM_Angle!$K$15*$C76+PM_Angle!$L$15*$B76</f>
      </c>
      <c r="AA76" s="12">
        <f>IF(Z76&gt;0,IF(Z76&lt;=eco,alpha*fck*(1-(1-Z76/eco)^n),alpha*fck),0)</f>
      </c>
      <c r="AB76" s="30">
        <f>PM_Angle!$J$16+PM_Angle!$K$16*$C76+PM_Angle!$L$16*$B76</f>
      </c>
      <c r="AC76" s="12">
        <f>IF(AB76&gt;0,IF(AB76&lt;=eco,alpha*fck*(1-(1-AB76/eco)^n),alpha*fck),0)</f>
      </c>
      <c r="AD76" s="30">
        <f>PM_Angle!$J$17+PM_Angle!$K$17*$C76+PM_Angle!$L$17*$B76</f>
      </c>
      <c r="AE76" s="12">
        <f>IF(AD76&gt;0,IF(AD76&lt;=eco,alpha*fck*(1-(1-AD76/eco)^n),alpha*fck),0)</f>
      </c>
      <c r="AF76" s="30">
        <f>PM_Angle!$J$18+PM_Angle!$K$18*$C76+PM_Angle!$L$18*$B76</f>
      </c>
      <c r="AG76" s="12">
        <f>IF(AF76&gt;0,IF(AF76&lt;=eco,alpha*fck*(1-(1-AF76/eco)^n),alpha*fck),0)</f>
      </c>
      <c r="AH76" s="30">
        <f>PM_Angle!$J$19+PM_Angle!$K$19*$C76+PM_Angle!$L$19*$B76</f>
      </c>
      <c r="AI76" s="12">
        <f>IF(AH76&gt;0,IF(AH76&lt;=eco,alpha*fck*(1-(1-AH76/eco)^n),alpha*fck),0)</f>
      </c>
      <c r="AJ76" s="30">
        <f>PM_Angle!$J$20+PM_Angle!$K$20*$C76+PM_Angle!$L$20*$B76</f>
      </c>
      <c r="AK76" s="12">
        <f>IF(AJ76&gt;0,IF(AJ76&lt;=eco,alpha*fck*(1-(1-AJ76/eco)^n),alpha*fck),0)</f>
      </c>
      <c r="AL76" s="30">
        <f>PM_Angle!$J$21+PM_Angle!$K$21*$C76+PM_Angle!$L$21*$B76</f>
      </c>
      <c r="AM76" s="12">
        <f>IF(AL76&gt;0,IF(AL76&lt;=eco,alpha*fck*(1-(1-AL76/eco)^n),alpha*fck),0)</f>
      </c>
      <c r="AN76" s="30">
        <f>PM_Angle!$J$22+PM_Angle!$K$22*$C76+PM_Angle!$L$22*$B76</f>
      </c>
      <c r="AO76" s="12">
        <f>IF(AN76&gt;0,IF(AN76&lt;=eco,alpha*fck*(1-(1-AN76/eco)^n),alpha*fck),0)</f>
      </c>
      <c r="AP76" s="30">
        <f>PM_Angle!$J$23+PM_Angle!$K$23*$C76+PM_Angle!$L$23*$B76</f>
      </c>
      <c r="AQ76" s="12">
        <f>IF(AP76&gt;0,IF(AP76&lt;=eco,alpha*fck*(1-(1-AP76/eco)^n),alpha*fck),0)</f>
      </c>
      <c r="AR76" s="30">
        <f>PM_Angle!$J$24+PM_Angle!$K$24*$C76+PM_Angle!$L$24*$B76</f>
      </c>
      <c r="AS76" s="12">
        <f>IF(AR76&gt;0,IF(AR76&lt;=eco,alpha*fck*(1-(1-AR76/eco)^n),alpha*fck),0)</f>
      </c>
      <c r="AT76" s="30">
        <f>PM_Angle!$J$25+PM_Angle!$K$25*$C76+PM_Angle!$L$25*$B76</f>
      </c>
      <c r="AU76" s="12">
        <f>IF(AT76&gt;0,IF(AT76&lt;=eco,alpha*fck*(1-(1-AT76/eco)^n),alpha*fck),0)</f>
      </c>
    </row>
    <row r="77" spans="1:47" x14ac:dyDescent="0.25">
      <c r="A77">
        <f>Mesh!A74</f>
      </c>
      <c r="B77" s="12">
        <f>Mesh!B74</f>
      </c>
      <c r="C77" s="12">
        <f>Mesh!C74</f>
      </c>
      <c r="D77" s="12">
        <f>Mesh!D74</f>
      </c>
      <c r="E77" s="30">
        <f>INDEX(St_e0,Det+1)+INDEX(St_kx,Det+1)*C77+INDEX(St_ky,Det+1)*B77</f>
      </c>
      <c r="F77" s="12">
        <f>IF(E77&gt;0,IF(E77&lt;=eco,alpha*fck*(1-(1-E77/eco)^n),alpha*fck),0)</f>
      </c>
      <c r="G77" s="11">
        <f>F77*D77</f>
      </c>
      <c r="H77" s="11">
        <f>G77*C77</f>
      </c>
      <c r="I77" s="11">
        <f>G77*B77</f>
      </c>
      <c r="J77" s="30">
        <f>PM_Angle!$J$7+PM_Angle!$K$7*$C77+PM_Angle!$L$7*$B77</f>
      </c>
      <c r="K77" s="12">
        <f>IF(J77&gt;0,IF(J77&lt;=eco,alpha*fck*(1-(1-J77/eco)^n),alpha*fck),0)</f>
      </c>
      <c r="L77" s="30">
        <f>PM_Angle!$J$8+PM_Angle!$K$8*$C77+PM_Angle!$L$8*$B77</f>
      </c>
      <c r="M77" s="12">
        <f>IF(L77&gt;0,IF(L77&lt;=eco,alpha*fck*(1-(1-L77/eco)^n),alpha*fck),0)</f>
      </c>
      <c r="N77" s="30">
        <f>PM_Angle!$J$9+PM_Angle!$K$9*$C77+PM_Angle!$L$9*$B77</f>
      </c>
      <c r="O77" s="12">
        <f>IF(N77&gt;0,IF(N77&lt;=eco,alpha*fck*(1-(1-N77/eco)^n),alpha*fck),0)</f>
      </c>
      <c r="P77" s="30">
        <f>PM_Angle!$J$10+PM_Angle!$K$10*$C77+PM_Angle!$L$10*$B77</f>
      </c>
      <c r="Q77" s="12">
        <f>IF(P77&gt;0,IF(P77&lt;=eco,alpha*fck*(1-(1-P77/eco)^n),alpha*fck),0)</f>
      </c>
      <c r="R77" s="30">
        <f>PM_Angle!$J$11+PM_Angle!$K$11*$C77+PM_Angle!$L$11*$B77</f>
      </c>
      <c r="S77" s="12">
        <f>IF(R77&gt;0,IF(R77&lt;=eco,alpha*fck*(1-(1-R77/eco)^n),alpha*fck),0)</f>
      </c>
      <c r="T77" s="30">
        <f>PM_Angle!$J$12+PM_Angle!$K$12*$C77+PM_Angle!$L$12*$B77</f>
      </c>
      <c r="U77" s="12">
        <f>IF(T77&gt;0,IF(T77&lt;=eco,alpha*fck*(1-(1-T77/eco)^n),alpha*fck),0)</f>
      </c>
      <c r="V77" s="30">
        <f>PM_Angle!$J$13+PM_Angle!$K$13*$C77+PM_Angle!$L$13*$B77</f>
      </c>
      <c r="W77" s="12">
        <f>IF(V77&gt;0,IF(V77&lt;=eco,alpha*fck*(1-(1-V77/eco)^n),alpha*fck),0)</f>
      </c>
      <c r="X77" s="30">
        <f>PM_Angle!$J$14+PM_Angle!$K$14*$C77+PM_Angle!$L$14*$B77</f>
      </c>
      <c r="Y77" s="12">
        <f>IF(X77&gt;0,IF(X77&lt;=eco,alpha*fck*(1-(1-X77/eco)^n),alpha*fck),0)</f>
      </c>
      <c r="Z77" s="30">
        <f>PM_Angle!$J$15+PM_Angle!$K$15*$C77+PM_Angle!$L$15*$B77</f>
      </c>
      <c r="AA77" s="12">
        <f>IF(Z77&gt;0,IF(Z77&lt;=eco,alpha*fck*(1-(1-Z77/eco)^n),alpha*fck),0)</f>
      </c>
      <c r="AB77" s="30">
        <f>PM_Angle!$J$16+PM_Angle!$K$16*$C77+PM_Angle!$L$16*$B77</f>
      </c>
      <c r="AC77" s="12">
        <f>IF(AB77&gt;0,IF(AB77&lt;=eco,alpha*fck*(1-(1-AB77/eco)^n),alpha*fck),0)</f>
      </c>
      <c r="AD77" s="30">
        <f>PM_Angle!$J$17+PM_Angle!$K$17*$C77+PM_Angle!$L$17*$B77</f>
      </c>
      <c r="AE77" s="12">
        <f>IF(AD77&gt;0,IF(AD77&lt;=eco,alpha*fck*(1-(1-AD77/eco)^n),alpha*fck),0)</f>
      </c>
      <c r="AF77" s="30">
        <f>PM_Angle!$J$18+PM_Angle!$K$18*$C77+PM_Angle!$L$18*$B77</f>
      </c>
      <c r="AG77" s="12">
        <f>IF(AF77&gt;0,IF(AF77&lt;=eco,alpha*fck*(1-(1-AF77/eco)^n),alpha*fck),0)</f>
      </c>
      <c r="AH77" s="30">
        <f>PM_Angle!$J$19+PM_Angle!$K$19*$C77+PM_Angle!$L$19*$B77</f>
      </c>
      <c r="AI77" s="12">
        <f>IF(AH77&gt;0,IF(AH77&lt;=eco,alpha*fck*(1-(1-AH77/eco)^n),alpha*fck),0)</f>
      </c>
      <c r="AJ77" s="30">
        <f>PM_Angle!$J$20+PM_Angle!$K$20*$C77+PM_Angle!$L$20*$B77</f>
      </c>
      <c r="AK77" s="12">
        <f>IF(AJ77&gt;0,IF(AJ77&lt;=eco,alpha*fck*(1-(1-AJ77/eco)^n),alpha*fck),0)</f>
      </c>
      <c r="AL77" s="30">
        <f>PM_Angle!$J$21+PM_Angle!$K$21*$C77+PM_Angle!$L$21*$B77</f>
      </c>
      <c r="AM77" s="12">
        <f>IF(AL77&gt;0,IF(AL77&lt;=eco,alpha*fck*(1-(1-AL77/eco)^n),alpha*fck),0)</f>
      </c>
      <c r="AN77" s="30">
        <f>PM_Angle!$J$22+PM_Angle!$K$22*$C77+PM_Angle!$L$22*$B77</f>
      </c>
      <c r="AO77" s="12">
        <f>IF(AN77&gt;0,IF(AN77&lt;=eco,alpha*fck*(1-(1-AN77/eco)^n),alpha*fck),0)</f>
      </c>
      <c r="AP77" s="30">
        <f>PM_Angle!$J$23+PM_Angle!$K$23*$C77+PM_Angle!$L$23*$B77</f>
      </c>
      <c r="AQ77" s="12">
        <f>IF(AP77&gt;0,IF(AP77&lt;=eco,alpha*fck*(1-(1-AP77/eco)^n),alpha*fck),0)</f>
      </c>
      <c r="AR77" s="30">
        <f>PM_Angle!$J$24+PM_Angle!$K$24*$C77+PM_Angle!$L$24*$B77</f>
      </c>
      <c r="AS77" s="12">
        <f>IF(AR77&gt;0,IF(AR77&lt;=eco,alpha*fck*(1-(1-AR77/eco)^n),alpha*fck),0)</f>
      </c>
      <c r="AT77" s="30">
        <f>PM_Angle!$J$25+PM_Angle!$K$25*$C77+PM_Angle!$L$25*$B77</f>
      </c>
      <c r="AU77" s="12">
        <f>IF(AT77&gt;0,IF(AT77&lt;=eco,alpha*fck*(1-(1-AT77/eco)^n),alpha*fck),0)</f>
      </c>
    </row>
    <row r="78" spans="1:47" x14ac:dyDescent="0.25">
      <c r="A78">
        <f>Mesh!A75</f>
      </c>
      <c r="B78" s="12">
        <f>Mesh!B75</f>
      </c>
      <c r="C78" s="12">
        <f>Mesh!C75</f>
      </c>
      <c r="D78" s="12">
        <f>Mesh!D75</f>
      </c>
      <c r="E78" s="30">
        <f>INDEX(St_e0,Det+1)+INDEX(St_kx,Det+1)*C78+INDEX(St_ky,Det+1)*B78</f>
      </c>
      <c r="F78" s="12">
        <f>IF(E78&gt;0,IF(E78&lt;=eco,alpha*fck*(1-(1-E78/eco)^n),alpha*fck),0)</f>
      </c>
      <c r="G78" s="11">
        <f>F78*D78</f>
      </c>
      <c r="H78" s="11">
        <f>G78*C78</f>
      </c>
      <c r="I78" s="11">
        <f>G78*B78</f>
      </c>
      <c r="J78" s="30">
        <f>PM_Angle!$J$7+PM_Angle!$K$7*$C78+PM_Angle!$L$7*$B78</f>
      </c>
      <c r="K78" s="12">
        <f>IF(J78&gt;0,IF(J78&lt;=eco,alpha*fck*(1-(1-J78/eco)^n),alpha*fck),0)</f>
      </c>
      <c r="L78" s="30">
        <f>PM_Angle!$J$8+PM_Angle!$K$8*$C78+PM_Angle!$L$8*$B78</f>
      </c>
      <c r="M78" s="12">
        <f>IF(L78&gt;0,IF(L78&lt;=eco,alpha*fck*(1-(1-L78/eco)^n),alpha*fck),0)</f>
      </c>
      <c r="N78" s="30">
        <f>PM_Angle!$J$9+PM_Angle!$K$9*$C78+PM_Angle!$L$9*$B78</f>
      </c>
      <c r="O78" s="12">
        <f>IF(N78&gt;0,IF(N78&lt;=eco,alpha*fck*(1-(1-N78/eco)^n),alpha*fck),0)</f>
      </c>
      <c r="P78" s="30">
        <f>PM_Angle!$J$10+PM_Angle!$K$10*$C78+PM_Angle!$L$10*$B78</f>
      </c>
      <c r="Q78" s="12">
        <f>IF(P78&gt;0,IF(P78&lt;=eco,alpha*fck*(1-(1-P78/eco)^n),alpha*fck),0)</f>
      </c>
      <c r="R78" s="30">
        <f>PM_Angle!$J$11+PM_Angle!$K$11*$C78+PM_Angle!$L$11*$B78</f>
      </c>
      <c r="S78" s="12">
        <f>IF(R78&gt;0,IF(R78&lt;=eco,alpha*fck*(1-(1-R78/eco)^n),alpha*fck),0)</f>
      </c>
      <c r="T78" s="30">
        <f>PM_Angle!$J$12+PM_Angle!$K$12*$C78+PM_Angle!$L$12*$B78</f>
      </c>
      <c r="U78" s="12">
        <f>IF(T78&gt;0,IF(T78&lt;=eco,alpha*fck*(1-(1-T78/eco)^n),alpha*fck),0)</f>
      </c>
      <c r="V78" s="30">
        <f>PM_Angle!$J$13+PM_Angle!$K$13*$C78+PM_Angle!$L$13*$B78</f>
      </c>
      <c r="W78" s="12">
        <f>IF(V78&gt;0,IF(V78&lt;=eco,alpha*fck*(1-(1-V78/eco)^n),alpha*fck),0)</f>
      </c>
      <c r="X78" s="30">
        <f>PM_Angle!$J$14+PM_Angle!$K$14*$C78+PM_Angle!$L$14*$B78</f>
      </c>
      <c r="Y78" s="12">
        <f>IF(X78&gt;0,IF(X78&lt;=eco,alpha*fck*(1-(1-X78/eco)^n),alpha*fck),0)</f>
      </c>
      <c r="Z78" s="30">
        <f>PM_Angle!$J$15+PM_Angle!$K$15*$C78+PM_Angle!$L$15*$B78</f>
      </c>
      <c r="AA78" s="12">
        <f>IF(Z78&gt;0,IF(Z78&lt;=eco,alpha*fck*(1-(1-Z78/eco)^n),alpha*fck),0)</f>
      </c>
      <c r="AB78" s="30">
        <f>PM_Angle!$J$16+PM_Angle!$K$16*$C78+PM_Angle!$L$16*$B78</f>
      </c>
      <c r="AC78" s="12">
        <f>IF(AB78&gt;0,IF(AB78&lt;=eco,alpha*fck*(1-(1-AB78/eco)^n),alpha*fck),0)</f>
      </c>
      <c r="AD78" s="30">
        <f>PM_Angle!$J$17+PM_Angle!$K$17*$C78+PM_Angle!$L$17*$B78</f>
      </c>
      <c r="AE78" s="12">
        <f>IF(AD78&gt;0,IF(AD78&lt;=eco,alpha*fck*(1-(1-AD78/eco)^n),alpha*fck),0)</f>
      </c>
      <c r="AF78" s="30">
        <f>PM_Angle!$J$18+PM_Angle!$K$18*$C78+PM_Angle!$L$18*$B78</f>
      </c>
      <c r="AG78" s="12">
        <f>IF(AF78&gt;0,IF(AF78&lt;=eco,alpha*fck*(1-(1-AF78/eco)^n),alpha*fck),0)</f>
      </c>
      <c r="AH78" s="30">
        <f>PM_Angle!$J$19+PM_Angle!$K$19*$C78+PM_Angle!$L$19*$B78</f>
      </c>
      <c r="AI78" s="12">
        <f>IF(AH78&gt;0,IF(AH78&lt;=eco,alpha*fck*(1-(1-AH78/eco)^n),alpha*fck),0)</f>
      </c>
      <c r="AJ78" s="30">
        <f>PM_Angle!$J$20+PM_Angle!$K$20*$C78+PM_Angle!$L$20*$B78</f>
      </c>
      <c r="AK78" s="12">
        <f>IF(AJ78&gt;0,IF(AJ78&lt;=eco,alpha*fck*(1-(1-AJ78/eco)^n),alpha*fck),0)</f>
      </c>
      <c r="AL78" s="30">
        <f>PM_Angle!$J$21+PM_Angle!$K$21*$C78+PM_Angle!$L$21*$B78</f>
      </c>
      <c r="AM78" s="12">
        <f>IF(AL78&gt;0,IF(AL78&lt;=eco,alpha*fck*(1-(1-AL78/eco)^n),alpha*fck),0)</f>
      </c>
      <c r="AN78" s="30">
        <f>PM_Angle!$J$22+PM_Angle!$K$22*$C78+PM_Angle!$L$22*$B78</f>
      </c>
      <c r="AO78" s="12">
        <f>IF(AN78&gt;0,IF(AN78&lt;=eco,alpha*fck*(1-(1-AN78/eco)^n),alpha*fck),0)</f>
      </c>
      <c r="AP78" s="30">
        <f>PM_Angle!$J$23+PM_Angle!$K$23*$C78+PM_Angle!$L$23*$B78</f>
      </c>
      <c r="AQ78" s="12">
        <f>IF(AP78&gt;0,IF(AP78&lt;=eco,alpha*fck*(1-(1-AP78/eco)^n),alpha*fck),0)</f>
      </c>
      <c r="AR78" s="30">
        <f>PM_Angle!$J$24+PM_Angle!$K$24*$C78+PM_Angle!$L$24*$B78</f>
      </c>
      <c r="AS78" s="12">
        <f>IF(AR78&gt;0,IF(AR78&lt;=eco,alpha*fck*(1-(1-AR78/eco)^n),alpha*fck),0)</f>
      </c>
      <c r="AT78" s="30">
        <f>PM_Angle!$J$25+PM_Angle!$K$25*$C78+PM_Angle!$L$25*$B78</f>
      </c>
      <c r="AU78" s="12">
        <f>IF(AT78&gt;0,IF(AT78&lt;=eco,alpha*fck*(1-(1-AT78/eco)^n),alpha*fck),0)</f>
      </c>
    </row>
    <row r="79" spans="1:47" x14ac:dyDescent="0.25">
      <c r="A79">
        <f>Mesh!A76</f>
      </c>
      <c r="B79" s="12">
        <f>Mesh!B76</f>
      </c>
      <c r="C79" s="12">
        <f>Mesh!C76</f>
      </c>
      <c r="D79" s="12">
        <f>Mesh!D76</f>
      </c>
      <c r="E79" s="30">
        <f>INDEX(St_e0,Det+1)+INDEX(St_kx,Det+1)*C79+INDEX(St_ky,Det+1)*B79</f>
      </c>
      <c r="F79" s="12">
        <f>IF(E79&gt;0,IF(E79&lt;=eco,alpha*fck*(1-(1-E79/eco)^n),alpha*fck),0)</f>
      </c>
      <c r="G79" s="11">
        <f>F79*D79</f>
      </c>
      <c r="H79" s="11">
        <f>G79*C79</f>
      </c>
      <c r="I79" s="11">
        <f>G79*B79</f>
      </c>
      <c r="J79" s="30">
        <f>PM_Angle!$J$7+PM_Angle!$K$7*$C79+PM_Angle!$L$7*$B79</f>
      </c>
      <c r="K79" s="12">
        <f>IF(J79&gt;0,IF(J79&lt;=eco,alpha*fck*(1-(1-J79/eco)^n),alpha*fck),0)</f>
      </c>
      <c r="L79" s="30">
        <f>PM_Angle!$J$8+PM_Angle!$K$8*$C79+PM_Angle!$L$8*$B79</f>
      </c>
      <c r="M79" s="12">
        <f>IF(L79&gt;0,IF(L79&lt;=eco,alpha*fck*(1-(1-L79/eco)^n),alpha*fck),0)</f>
      </c>
      <c r="N79" s="30">
        <f>PM_Angle!$J$9+PM_Angle!$K$9*$C79+PM_Angle!$L$9*$B79</f>
      </c>
      <c r="O79" s="12">
        <f>IF(N79&gt;0,IF(N79&lt;=eco,alpha*fck*(1-(1-N79/eco)^n),alpha*fck),0)</f>
      </c>
      <c r="P79" s="30">
        <f>PM_Angle!$J$10+PM_Angle!$K$10*$C79+PM_Angle!$L$10*$B79</f>
      </c>
      <c r="Q79" s="12">
        <f>IF(P79&gt;0,IF(P79&lt;=eco,alpha*fck*(1-(1-P79/eco)^n),alpha*fck),0)</f>
      </c>
      <c r="R79" s="30">
        <f>PM_Angle!$J$11+PM_Angle!$K$11*$C79+PM_Angle!$L$11*$B79</f>
      </c>
      <c r="S79" s="12">
        <f>IF(R79&gt;0,IF(R79&lt;=eco,alpha*fck*(1-(1-R79/eco)^n),alpha*fck),0)</f>
      </c>
      <c r="T79" s="30">
        <f>PM_Angle!$J$12+PM_Angle!$K$12*$C79+PM_Angle!$L$12*$B79</f>
      </c>
      <c r="U79" s="12">
        <f>IF(T79&gt;0,IF(T79&lt;=eco,alpha*fck*(1-(1-T79/eco)^n),alpha*fck),0)</f>
      </c>
      <c r="V79" s="30">
        <f>PM_Angle!$J$13+PM_Angle!$K$13*$C79+PM_Angle!$L$13*$B79</f>
      </c>
      <c r="W79" s="12">
        <f>IF(V79&gt;0,IF(V79&lt;=eco,alpha*fck*(1-(1-V79/eco)^n),alpha*fck),0)</f>
      </c>
      <c r="X79" s="30">
        <f>PM_Angle!$J$14+PM_Angle!$K$14*$C79+PM_Angle!$L$14*$B79</f>
      </c>
      <c r="Y79" s="12">
        <f>IF(X79&gt;0,IF(X79&lt;=eco,alpha*fck*(1-(1-X79/eco)^n),alpha*fck),0)</f>
      </c>
      <c r="Z79" s="30">
        <f>PM_Angle!$J$15+PM_Angle!$K$15*$C79+PM_Angle!$L$15*$B79</f>
      </c>
      <c r="AA79" s="12">
        <f>IF(Z79&gt;0,IF(Z79&lt;=eco,alpha*fck*(1-(1-Z79/eco)^n),alpha*fck),0)</f>
      </c>
      <c r="AB79" s="30">
        <f>PM_Angle!$J$16+PM_Angle!$K$16*$C79+PM_Angle!$L$16*$B79</f>
      </c>
      <c r="AC79" s="12">
        <f>IF(AB79&gt;0,IF(AB79&lt;=eco,alpha*fck*(1-(1-AB79/eco)^n),alpha*fck),0)</f>
      </c>
      <c r="AD79" s="30">
        <f>PM_Angle!$J$17+PM_Angle!$K$17*$C79+PM_Angle!$L$17*$B79</f>
      </c>
      <c r="AE79" s="12">
        <f>IF(AD79&gt;0,IF(AD79&lt;=eco,alpha*fck*(1-(1-AD79/eco)^n),alpha*fck),0)</f>
      </c>
      <c r="AF79" s="30">
        <f>PM_Angle!$J$18+PM_Angle!$K$18*$C79+PM_Angle!$L$18*$B79</f>
      </c>
      <c r="AG79" s="12">
        <f>IF(AF79&gt;0,IF(AF79&lt;=eco,alpha*fck*(1-(1-AF79/eco)^n),alpha*fck),0)</f>
      </c>
      <c r="AH79" s="30">
        <f>PM_Angle!$J$19+PM_Angle!$K$19*$C79+PM_Angle!$L$19*$B79</f>
      </c>
      <c r="AI79" s="12">
        <f>IF(AH79&gt;0,IF(AH79&lt;=eco,alpha*fck*(1-(1-AH79/eco)^n),alpha*fck),0)</f>
      </c>
      <c r="AJ79" s="30">
        <f>PM_Angle!$J$20+PM_Angle!$K$20*$C79+PM_Angle!$L$20*$B79</f>
      </c>
      <c r="AK79" s="12">
        <f>IF(AJ79&gt;0,IF(AJ79&lt;=eco,alpha*fck*(1-(1-AJ79/eco)^n),alpha*fck),0)</f>
      </c>
      <c r="AL79" s="30">
        <f>PM_Angle!$J$21+PM_Angle!$K$21*$C79+PM_Angle!$L$21*$B79</f>
      </c>
      <c r="AM79" s="12">
        <f>IF(AL79&gt;0,IF(AL79&lt;=eco,alpha*fck*(1-(1-AL79/eco)^n),alpha*fck),0)</f>
      </c>
      <c r="AN79" s="30">
        <f>PM_Angle!$J$22+PM_Angle!$K$22*$C79+PM_Angle!$L$22*$B79</f>
      </c>
      <c r="AO79" s="12">
        <f>IF(AN79&gt;0,IF(AN79&lt;=eco,alpha*fck*(1-(1-AN79/eco)^n),alpha*fck),0)</f>
      </c>
      <c r="AP79" s="30">
        <f>PM_Angle!$J$23+PM_Angle!$K$23*$C79+PM_Angle!$L$23*$B79</f>
      </c>
      <c r="AQ79" s="12">
        <f>IF(AP79&gt;0,IF(AP79&lt;=eco,alpha*fck*(1-(1-AP79/eco)^n),alpha*fck),0)</f>
      </c>
      <c r="AR79" s="30">
        <f>PM_Angle!$J$24+PM_Angle!$K$24*$C79+PM_Angle!$L$24*$B79</f>
      </c>
      <c r="AS79" s="12">
        <f>IF(AR79&gt;0,IF(AR79&lt;=eco,alpha*fck*(1-(1-AR79/eco)^n),alpha*fck),0)</f>
      </c>
      <c r="AT79" s="30">
        <f>PM_Angle!$J$25+PM_Angle!$K$25*$C79+PM_Angle!$L$25*$B79</f>
      </c>
      <c r="AU79" s="12">
        <f>IF(AT79&gt;0,IF(AT79&lt;=eco,alpha*fck*(1-(1-AT79/eco)^n),alpha*fck),0)</f>
      </c>
    </row>
    <row r="80" spans="1:47" x14ac:dyDescent="0.25">
      <c r="A80">
        <f>Mesh!A77</f>
      </c>
      <c r="B80" s="12">
        <f>Mesh!B77</f>
      </c>
      <c r="C80" s="12">
        <f>Mesh!C77</f>
      </c>
      <c r="D80" s="12">
        <f>Mesh!D77</f>
      </c>
      <c r="E80" s="30">
        <f>INDEX(St_e0,Det+1)+INDEX(St_kx,Det+1)*C80+INDEX(St_ky,Det+1)*B80</f>
      </c>
      <c r="F80" s="12">
        <f>IF(E80&gt;0,IF(E80&lt;=eco,alpha*fck*(1-(1-E80/eco)^n),alpha*fck),0)</f>
      </c>
      <c r="G80" s="11">
        <f>F80*D80</f>
      </c>
      <c r="H80" s="11">
        <f>G80*C80</f>
      </c>
      <c r="I80" s="11">
        <f>G80*B80</f>
      </c>
      <c r="J80" s="30">
        <f>PM_Angle!$J$7+PM_Angle!$K$7*$C80+PM_Angle!$L$7*$B80</f>
      </c>
      <c r="K80" s="12">
        <f>IF(J80&gt;0,IF(J80&lt;=eco,alpha*fck*(1-(1-J80/eco)^n),alpha*fck),0)</f>
      </c>
      <c r="L80" s="30">
        <f>PM_Angle!$J$8+PM_Angle!$K$8*$C80+PM_Angle!$L$8*$B80</f>
      </c>
      <c r="M80" s="12">
        <f>IF(L80&gt;0,IF(L80&lt;=eco,alpha*fck*(1-(1-L80/eco)^n),alpha*fck),0)</f>
      </c>
      <c r="N80" s="30">
        <f>PM_Angle!$J$9+PM_Angle!$K$9*$C80+PM_Angle!$L$9*$B80</f>
      </c>
      <c r="O80" s="12">
        <f>IF(N80&gt;0,IF(N80&lt;=eco,alpha*fck*(1-(1-N80/eco)^n),alpha*fck),0)</f>
      </c>
      <c r="P80" s="30">
        <f>PM_Angle!$J$10+PM_Angle!$K$10*$C80+PM_Angle!$L$10*$B80</f>
      </c>
      <c r="Q80" s="12">
        <f>IF(P80&gt;0,IF(P80&lt;=eco,alpha*fck*(1-(1-P80/eco)^n),alpha*fck),0)</f>
      </c>
      <c r="R80" s="30">
        <f>PM_Angle!$J$11+PM_Angle!$K$11*$C80+PM_Angle!$L$11*$B80</f>
      </c>
      <c r="S80" s="12">
        <f>IF(R80&gt;0,IF(R80&lt;=eco,alpha*fck*(1-(1-R80/eco)^n),alpha*fck),0)</f>
      </c>
      <c r="T80" s="30">
        <f>PM_Angle!$J$12+PM_Angle!$K$12*$C80+PM_Angle!$L$12*$B80</f>
      </c>
      <c r="U80" s="12">
        <f>IF(T80&gt;0,IF(T80&lt;=eco,alpha*fck*(1-(1-T80/eco)^n),alpha*fck),0)</f>
      </c>
      <c r="V80" s="30">
        <f>PM_Angle!$J$13+PM_Angle!$K$13*$C80+PM_Angle!$L$13*$B80</f>
      </c>
      <c r="W80" s="12">
        <f>IF(V80&gt;0,IF(V80&lt;=eco,alpha*fck*(1-(1-V80/eco)^n),alpha*fck),0)</f>
      </c>
      <c r="X80" s="30">
        <f>PM_Angle!$J$14+PM_Angle!$K$14*$C80+PM_Angle!$L$14*$B80</f>
      </c>
      <c r="Y80" s="12">
        <f>IF(X80&gt;0,IF(X80&lt;=eco,alpha*fck*(1-(1-X80/eco)^n),alpha*fck),0)</f>
      </c>
      <c r="Z80" s="30">
        <f>PM_Angle!$J$15+PM_Angle!$K$15*$C80+PM_Angle!$L$15*$B80</f>
      </c>
      <c r="AA80" s="12">
        <f>IF(Z80&gt;0,IF(Z80&lt;=eco,alpha*fck*(1-(1-Z80/eco)^n),alpha*fck),0)</f>
      </c>
      <c r="AB80" s="30">
        <f>PM_Angle!$J$16+PM_Angle!$K$16*$C80+PM_Angle!$L$16*$B80</f>
      </c>
      <c r="AC80" s="12">
        <f>IF(AB80&gt;0,IF(AB80&lt;=eco,alpha*fck*(1-(1-AB80/eco)^n),alpha*fck),0)</f>
      </c>
      <c r="AD80" s="30">
        <f>PM_Angle!$J$17+PM_Angle!$K$17*$C80+PM_Angle!$L$17*$B80</f>
      </c>
      <c r="AE80" s="12">
        <f>IF(AD80&gt;0,IF(AD80&lt;=eco,alpha*fck*(1-(1-AD80/eco)^n),alpha*fck),0)</f>
      </c>
      <c r="AF80" s="30">
        <f>PM_Angle!$J$18+PM_Angle!$K$18*$C80+PM_Angle!$L$18*$B80</f>
      </c>
      <c r="AG80" s="12">
        <f>IF(AF80&gt;0,IF(AF80&lt;=eco,alpha*fck*(1-(1-AF80/eco)^n),alpha*fck),0)</f>
      </c>
      <c r="AH80" s="30">
        <f>PM_Angle!$J$19+PM_Angle!$K$19*$C80+PM_Angle!$L$19*$B80</f>
      </c>
      <c r="AI80" s="12">
        <f>IF(AH80&gt;0,IF(AH80&lt;=eco,alpha*fck*(1-(1-AH80/eco)^n),alpha*fck),0)</f>
      </c>
      <c r="AJ80" s="30">
        <f>PM_Angle!$J$20+PM_Angle!$K$20*$C80+PM_Angle!$L$20*$B80</f>
      </c>
      <c r="AK80" s="12">
        <f>IF(AJ80&gt;0,IF(AJ80&lt;=eco,alpha*fck*(1-(1-AJ80/eco)^n),alpha*fck),0)</f>
      </c>
      <c r="AL80" s="30">
        <f>PM_Angle!$J$21+PM_Angle!$K$21*$C80+PM_Angle!$L$21*$B80</f>
      </c>
      <c r="AM80" s="12">
        <f>IF(AL80&gt;0,IF(AL80&lt;=eco,alpha*fck*(1-(1-AL80/eco)^n),alpha*fck),0)</f>
      </c>
      <c r="AN80" s="30">
        <f>PM_Angle!$J$22+PM_Angle!$K$22*$C80+PM_Angle!$L$22*$B80</f>
      </c>
      <c r="AO80" s="12">
        <f>IF(AN80&gt;0,IF(AN80&lt;=eco,alpha*fck*(1-(1-AN80/eco)^n),alpha*fck),0)</f>
      </c>
      <c r="AP80" s="30">
        <f>PM_Angle!$J$23+PM_Angle!$K$23*$C80+PM_Angle!$L$23*$B80</f>
      </c>
      <c r="AQ80" s="12">
        <f>IF(AP80&gt;0,IF(AP80&lt;=eco,alpha*fck*(1-(1-AP80/eco)^n),alpha*fck),0)</f>
      </c>
      <c r="AR80" s="30">
        <f>PM_Angle!$J$24+PM_Angle!$K$24*$C80+PM_Angle!$L$24*$B80</f>
      </c>
      <c r="AS80" s="12">
        <f>IF(AR80&gt;0,IF(AR80&lt;=eco,alpha*fck*(1-(1-AR80/eco)^n),alpha*fck),0)</f>
      </c>
      <c r="AT80" s="30">
        <f>PM_Angle!$J$25+PM_Angle!$K$25*$C80+PM_Angle!$L$25*$B80</f>
      </c>
      <c r="AU80" s="12">
        <f>IF(AT80&gt;0,IF(AT80&lt;=eco,alpha*fck*(1-(1-AT80/eco)^n),alpha*fck),0)</f>
      </c>
    </row>
    <row r="81" spans="1:47" x14ac:dyDescent="0.25">
      <c r="A81">
        <f>Mesh!A78</f>
      </c>
      <c r="B81" s="12">
        <f>Mesh!B78</f>
      </c>
      <c r="C81" s="12">
        <f>Mesh!C78</f>
      </c>
      <c r="D81" s="12">
        <f>Mesh!D78</f>
      </c>
      <c r="E81" s="30">
        <f>INDEX(St_e0,Det+1)+INDEX(St_kx,Det+1)*C81+INDEX(St_ky,Det+1)*B81</f>
      </c>
      <c r="F81" s="12">
        <f>IF(E81&gt;0,IF(E81&lt;=eco,alpha*fck*(1-(1-E81/eco)^n),alpha*fck),0)</f>
      </c>
      <c r="G81" s="11">
        <f>F81*D81</f>
      </c>
      <c r="H81" s="11">
        <f>G81*C81</f>
      </c>
      <c r="I81" s="11">
        <f>G81*B81</f>
      </c>
      <c r="J81" s="30">
        <f>PM_Angle!$J$7+PM_Angle!$K$7*$C81+PM_Angle!$L$7*$B81</f>
      </c>
      <c r="K81" s="12">
        <f>IF(J81&gt;0,IF(J81&lt;=eco,alpha*fck*(1-(1-J81/eco)^n),alpha*fck),0)</f>
      </c>
      <c r="L81" s="30">
        <f>PM_Angle!$J$8+PM_Angle!$K$8*$C81+PM_Angle!$L$8*$B81</f>
      </c>
      <c r="M81" s="12">
        <f>IF(L81&gt;0,IF(L81&lt;=eco,alpha*fck*(1-(1-L81/eco)^n),alpha*fck),0)</f>
      </c>
      <c r="N81" s="30">
        <f>PM_Angle!$J$9+PM_Angle!$K$9*$C81+PM_Angle!$L$9*$B81</f>
      </c>
      <c r="O81" s="12">
        <f>IF(N81&gt;0,IF(N81&lt;=eco,alpha*fck*(1-(1-N81/eco)^n),alpha*fck),0)</f>
      </c>
      <c r="P81" s="30">
        <f>PM_Angle!$J$10+PM_Angle!$K$10*$C81+PM_Angle!$L$10*$B81</f>
      </c>
      <c r="Q81" s="12">
        <f>IF(P81&gt;0,IF(P81&lt;=eco,alpha*fck*(1-(1-P81/eco)^n),alpha*fck),0)</f>
      </c>
      <c r="R81" s="30">
        <f>PM_Angle!$J$11+PM_Angle!$K$11*$C81+PM_Angle!$L$11*$B81</f>
      </c>
      <c r="S81" s="12">
        <f>IF(R81&gt;0,IF(R81&lt;=eco,alpha*fck*(1-(1-R81/eco)^n),alpha*fck),0)</f>
      </c>
      <c r="T81" s="30">
        <f>PM_Angle!$J$12+PM_Angle!$K$12*$C81+PM_Angle!$L$12*$B81</f>
      </c>
      <c r="U81" s="12">
        <f>IF(T81&gt;0,IF(T81&lt;=eco,alpha*fck*(1-(1-T81/eco)^n),alpha*fck),0)</f>
      </c>
      <c r="V81" s="30">
        <f>PM_Angle!$J$13+PM_Angle!$K$13*$C81+PM_Angle!$L$13*$B81</f>
      </c>
      <c r="W81" s="12">
        <f>IF(V81&gt;0,IF(V81&lt;=eco,alpha*fck*(1-(1-V81/eco)^n),alpha*fck),0)</f>
      </c>
      <c r="X81" s="30">
        <f>PM_Angle!$J$14+PM_Angle!$K$14*$C81+PM_Angle!$L$14*$B81</f>
      </c>
      <c r="Y81" s="12">
        <f>IF(X81&gt;0,IF(X81&lt;=eco,alpha*fck*(1-(1-X81/eco)^n),alpha*fck),0)</f>
      </c>
      <c r="Z81" s="30">
        <f>PM_Angle!$J$15+PM_Angle!$K$15*$C81+PM_Angle!$L$15*$B81</f>
      </c>
      <c r="AA81" s="12">
        <f>IF(Z81&gt;0,IF(Z81&lt;=eco,alpha*fck*(1-(1-Z81/eco)^n),alpha*fck),0)</f>
      </c>
      <c r="AB81" s="30">
        <f>PM_Angle!$J$16+PM_Angle!$K$16*$C81+PM_Angle!$L$16*$B81</f>
      </c>
      <c r="AC81" s="12">
        <f>IF(AB81&gt;0,IF(AB81&lt;=eco,alpha*fck*(1-(1-AB81/eco)^n),alpha*fck),0)</f>
      </c>
      <c r="AD81" s="30">
        <f>PM_Angle!$J$17+PM_Angle!$K$17*$C81+PM_Angle!$L$17*$B81</f>
      </c>
      <c r="AE81" s="12">
        <f>IF(AD81&gt;0,IF(AD81&lt;=eco,alpha*fck*(1-(1-AD81/eco)^n),alpha*fck),0)</f>
      </c>
      <c r="AF81" s="30">
        <f>PM_Angle!$J$18+PM_Angle!$K$18*$C81+PM_Angle!$L$18*$B81</f>
      </c>
      <c r="AG81" s="12">
        <f>IF(AF81&gt;0,IF(AF81&lt;=eco,alpha*fck*(1-(1-AF81/eco)^n),alpha*fck),0)</f>
      </c>
      <c r="AH81" s="30">
        <f>PM_Angle!$J$19+PM_Angle!$K$19*$C81+PM_Angle!$L$19*$B81</f>
      </c>
      <c r="AI81" s="12">
        <f>IF(AH81&gt;0,IF(AH81&lt;=eco,alpha*fck*(1-(1-AH81/eco)^n),alpha*fck),0)</f>
      </c>
      <c r="AJ81" s="30">
        <f>PM_Angle!$J$20+PM_Angle!$K$20*$C81+PM_Angle!$L$20*$B81</f>
      </c>
      <c r="AK81" s="12">
        <f>IF(AJ81&gt;0,IF(AJ81&lt;=eco,alpha*fck*(1-(1-AJ81/eco)^n),alpha*fck),0)</f>
      </c>
      <c r="AL81" s="30">
        <f>PM_Angle!$J$21+PM_Angle!$K$21*$C81+PM_Angle!$L$21*$B81</f>
      </c>
      <c r="AM81" s="12">
        <f>IF(AL81&gt;0,IF(AL81&lt;=eco,alpha*fck*(1-(1-AL81/eco)^n),alpha*fck),0)</f>
      </c>
      <c r="AN81" s="30">
        <f>PM_Angle!$J$22+PM_Angle!$K$22*$C81+PM_Angle!$L$22*$B81</f>
      </c>
      <c r="AO81" s="12">
        <f>IF(AN81&gt;0,IF(AN81&lt;=eco,alpha*fck*(1-(1-AN81/eco)^n),alpha*fck),0)</f>
      </c>
      <c r="AP81" s="30">
        <f>PM_Angle!$J$23+PM_Angle!$K$23*$C81+PM_Angle!$L$23*$B81</f>
      </c>
      <c r="AQ81" s="12">
        <f>IF(AP81&gt;0,IF(AP81&lt;=eco,alpha*fck*(1-(1-AP81/eco)^n),alpha*fck),0)</f>
      </c>
      <c r="AR81" s="30">
        <f>PM_Angle!$J$24+PM_Angle!$K$24*$C81+PM_Angle!$L$24*$B81</f>
      </c>
      <c r="AS81" s="12">
        <f>IF(AR81&gt;0,IF(AR81&lt;=eco,alpha*fck*(1-(1-AR81/eco)^n),alpha*fck),0)</f>
      </c>
      <c r="AT81" s="30">
        <f>PM_Angle!$J$25+PM_Angle!$K$25*$C81+PM_Angle!$L$25*$B81</f>
      </c>
      <c r="AU81" s="12">
        <f>IF(AT81&gt;0,IF(AT81&lt;=eco,alpha*fck*(1-(1-AT81/eco)^n),alpha*fck),0)</f>
      </c>
    </row>
    <row r="82" spans="1:47" x14ac:dyDescent="0.25">
      <c r="A82">
        <f>Mesh!A79</f>
      </c>
      <c r="B82" s="12">
        <f>Mesh!B79</f>
      </c>
      <c r="C82" s="12">
        <f>Mesh!C79</f>
      </c>
      <c r="D82" s="12">
        <f>Mesh!D79</f>
      </c>
      <c r="E82" s="30">
        <f>INDEX(St_e0,Det+1)+INDEX(St_kx,Det+1)*C82+INDEX(St_ky,Det+1)*B82</f>
      </c>
      <c r="F82" s="12">
        <f>IF(E82&gt;0,IF(E82&lt;=eco,alpha*fck*(1-(1-E82/eco)^n),alpha*fck),0)</f>
      </c>
      <c r="G82" s="11">
        <f>F82*D82</f>
      </c>
      <c r="H82" s="11">
        <f>G82*C82</f>
      </c>
      <c r="I82" s="11">
        <f>G82*B82</f>
      </c>
      <c r="J82" s="30">
        <f>PM_Angle!$J$7+PM_Angle!$K$7*$C82+PM_Angle!$L$7*$B82</f>
      </c>
      <c r="K82" s="12">
        <f>IF(J82&gt;0,IF(J82&lt;=eco,alpha*fck*(1-(1-J82/eco)^n),alpha*fck),0)</f>
      </c>
      <c r="L82" s="30">
        <f>PM_Angle!$J$8+PM_Angle!$K$8*$C82+PM_Angle!$L$8*$B82</f>
      </c>
      <c r="M82" s="12">
        <f>IF(L82&gt;0,IF(L82&lt;=eco,alpha*fck*(1-(1-L82/eco)^n),alpha*fck),0)</f>
      </c>
      <c r="N82" s="30">
        <f>PM_Angle!$J$9+PM_Angle!$K$9*$C82+PM_Angle!$L$9*$B82</f>
      </c>
      <c r="O82" s="12">
        <f>IF(N82&gt;0,IF(N82&lt;=eco,alpha*fck*(1-(1-N82/eco)^n),alpha*fck),0)</f>
      </c>
      <c r="P82" s="30">
        <f>PM_Angle!$J$10+PM_Angle!$K$10*$C82+PM_Angle!$L$10*$B82</f>
      </c>
      <c r="Q82" s="12">
        <f>IF(P82&gt;0,IF(P82&lt;=eco,alpha*fck*(1-(1-P82/eco)^n),alpha*fck),0)</f>
      </c>
      <c r="R82" s="30">
        <f>PM_Angle!$J$11+PM_Angle!$K$11*$C82+PM_Angle!$L$11*$B82</f>
      </c>
      <c r="S82" s="12">
        <f>IF(R82&gt;0,IF(R82&lt;=eco,alpha*fck*(1-(1-R82/eco)^n),alpha*fck),0)</f>
      </c>
      <c r="T82" s="30">
        <f>PM_Angle!$J$12+PM_Angle!$K$12*$C82+PM_Angle!$L$12*$B82</f>
      </c>
      <c r="U82" s="12">
        <f>IF(T82&gt;0,IF(T82&lt;=eco,alpha*fck*(1-(1-T82/eco)^n),alpha*fck),0)</f>
      </c>
      <c r="V82" s="30">
        <f>PM_Angle!$J$13+PM_Angle!$K$13*$C82+PM_Angle!$L$13*$B82</f>
      </c>
      <c r="W82" s="12">
        <f>IF(V82&gt;0,IF(V82&lt;=eco,alpha*fck*(1-(1-V82/eco)^n),alpha*fck),0)</f>
      </c>
      <c r="X82" s="30">
        <f>PM_Angle!$J$14+PM_Angle!$K$14*$C82+PM_Angle!$L$14*$B82</f>
      </c>
      <c r="Y82" s="12">
        <f>IF(X82&gt;0,IF(X82&lt;=eco,alpha*fck*(1-(1-X82/eco)^n),alpha*fck),0)</f>
      </c>
      <c r="Z82" s="30">
        <f>PM_Angle!$J$15+PM_Angle!$K$15*$C82+PM_Angle!$L$15*$B82</f>
      </c>
      <c r="AA82" s="12">
        <f>IF(Z82&gt;0,IF(Z82&lt;=eco,alpha*fck*(1-(1-Z82/eco)^n),alpha*fck),0)</f>
      </c>
      <c r="AB82" s="30">
        <f>PM_Angle!$J$16+PM_Angle!$K$16*$C82+PM_Angle!$L$16*$B82</f>
      </c>
      <c r="AC82" s="12">
        <f>IF(AB82&gt;0,IF(AB82&lt;=eco,alpha*fck*(1-(1-AB82/eco)^n),alpha*fck),0)</f>
      </c>
      <c r="AD82" s="30">
        <f>PM_Angle!$J$17+PM_Angle!$K$17*$C82+PM_Angle!$L$17*$B82</f>
      </c>
      <c r="AE82" s="12">
        <f>IF(AD82&gt;0,IF(AD82&lt;=eco,alpha*fck*(1-(1-AD82/eco)^n),alpha*fck),0)</f>
      </c>
      <c r="AF82" s="30">
        <f>PM_Angle!$J$18+PM_Angle!$K$18*$C82+PM_Angle!$L$18*$B82</f>
      </c>
      <c r="AG82" s="12">
        <f>IF(AF82&gt;0,IF(AF82&lt;=eco,alpha*fck*(1-(1-AF82/eco)^n),alpha*fck),0)</f>
      </c>
      <c r="AH82" s="30">
        <f>PM_Angle!$J$19+PM_Angle!$K$19*$C82+PM_Angle!$L$19*$B82</f>
      </c>
      <c r="AI82" s="12">
        <f>IF(AH82&gt;0,IF(AH82&lt;=eco,alpha*fck*(1-(1-AH82/eco)^n),alpha*fck),0)</f>
      </c>
      <c r="AJ82" s="30">
        <f>PM_Angle!$J$20+PM_Angle!$K$20*$C82+PM_Angle!$L$20*$B82</f>
      </c>
      <c r="AK82" s="12">
        <f>IF(AJ82&gt;0,IF(AJ82&lt;=eco,alpha*fck*(1-(1-AJ82/eco)^n),alpha*fck),0)</f>
      </c>
      <c r="AL82" s="30">
        <f>PM_Angle!$J$21+PM_Angle!$K$21*$C82+PM_Angle!$L$21*$B82</f>
      </c>
      <c r="AM82" s="12">
        <f>IF(AL82&gt;0,IF(AL82&lt;=eco,alpha*fck*(1-(1-AL82/eco)^n),alpha*fck),0)</f>
      </c>
      <c r="AN82" s="30">
        <f>PM_Angle!$J$22+PM_Angle!$K$22*$C82+PM_Angle!$L$22*$B82</f>
      </c>
      <c r="AO82" s="12">
        <f>IF(AN82&gt;0,IF(AN82&lt;=eco,alpha*fck*(1-(1-AN82/eco)^n),alpha*fck),0)</f>
      </c>
      <c r="AP82" s="30">
        <f>PM_Angle!$J$23+PM_Angle!$K$23*$C82+PM_Angle!$L$23*$B82</f>
      </c>
      <c r="AQ82" s="12">
        <f>IF(AP82&gt;0,IF(AP82&lt;=eco,alpha*fck*(1-(1-AP82/eco)^n),alpha*fck),0)</f>
      </c>
      <c r="AR82" s="30">
        <f>PM_Angle!$J$24+PM_Angle!$K$24*$C82+PM_Angle!$L$24*$B82</f>
      </c>
      <c r="AS82" s="12">
        <f>IF(AR82&gt;0,IF(AR82&lt;=eco,alpha*fck*(1-(1-AR82/eco)^n),alpha*fck),0)</f>
      </c>
      <c r="AT82" s="30">
        <f>PM_Angle!$J$25+PM_Angle!$K$25*$C82+PM_Angle!$L$25*$B82</f>
      </c>
      <c r="AU82" s="12">
        <f>IF(AT82&gt;0,IF(AT82&lt;=eco,alpha*fck*(1-(1-AT82/eco)^n),alpha*fck),0)</f>
      </c>
    </row>
    <row r="83" spans="1:47" x14ac:dyDescent="0.25">
      <c r="A83">
        <f>Mesh!A80</f>
      </c>
      <c r="B83" s="12">
        <f>Mesh!B80</f>
      </c>
      <c r="C83" s="12">
        <f>Mesh!C80</f>
      </c>
      <c r="D83" s="12">
        <f>Mesh!D80</f>
      </c>
      <c r="E83" s="30">
        <f>INDEX(St_e0,Det+1)+INDEX(St_kx,Det+1)*C83+INDEX(St_ky,Det+1)*B83</f>
      </c>
      <c r="F83" s="12">
        <f>IF(E83&gt;0,IF(E83&lt;=eco,alpha*fck*(1-(1-E83/eco)^n),alpha*fck),0)</f>
      </c>
      <c r="G83" s="11">
        <f>F83*D83</f>
      </c>
      <c r="H83" s="11">
        <f>G83*C83</f>
      </c>
      <c r="I83" s="11">
        <f>G83*B83</f>
      </c>
      <c r="J83" s="30">
        <f>PM_Angle!$J$7+PM_Angle!$K$7*$C83+PM_Angle!$L$7*$B83</f>
      </c>
      <c r="K83" s="12">
        <f>IF(J83&gt;0,IF(J83&lt;=eco,alpha*fck*(1-(1-J83/eco)^n),alpha*fck),0)</f>
      </c>
      <c r="L83" s="30">
        <f>PM_Angle!$J$8+PM_Angle!$K$8*$C83+PM_Angle!$L$8*$B83</f>
      </c>
      <c r="M83" s="12">
        <f>IF(L83&gt;0,IF(L83&lt;=eco,alpha*fck*(1-(1-L83/eco)^n),alpha*fck),0)</f>
      </c>
      <c r="N83" s="30">
        <f>PM_Angle!$J$9+PM_Angle!$K$9*$C83+PM_Angle!$L$9*$B83</f>
      </c>
      <c r="O83" s="12">
        <f>IF(N83&gt;0,IF(N83&lt;=eco,alpha*fck*(1-(1-N83/eco)^n),alpha*fck),0)</f>
      </c>
      <c r="P83" s="30">
        <f>PM_Angle!$J$10+PM_Angle!$K$10*$C83+PM_Angle!$L$10*$B83</f>
      </c>
      <c r="Q83" s="12">
        <f>IF(P83&gt;0,IF(P83&lt;=eco,alpha*fck*(1-(1-P83/eco)^n),alpha*fck),0)</f>
      </c>
      <c r="R83" s="30">
        <f>PM_Angle!$J$11+PM_Angle!$K$11*$C83+PM_Angle!$L$11*$B83</f>
      </c>
      <c r="S83" s="12">
        <f>IF(R83&gt;0,IF(R83&lt;=eco,alpha*fck*(1-(1-R83/eco)^n),alpha*fck),0)</f>
      </c>
      <c r="T83" s="30">
        <f>PM_Angle!$J$12+PM_Angle!$K$12*$C83+PM_Angle!$L$12*$B83</f>
      </c>
      <c r="U83" s="12">
        <f>IF(T83&gt;0,IF(T83&lt;=eco,alpha*fck*(1-(1-T83/eco)^n),alpha*fck),0)</f>
      </c>
      <c r="V83" s="30">
        <f>PM_Angle!$J$13+PM_Angle!$K$13*$C83+PM_Angle!$L$13*$B83</f>
      </c>
      <c r="W83" s="12">
        <f>IF(V83&gt;0,IF(V83&lt;=eco,alpha*fck*(1-(1-V83/eco)^n),alpha*fck),0)</f>
      </c>
      <c r="X83" s="30">
        <f>PM_Angle!$J$14+PM_Angle!$K$14*$C83+PM_Angle!$L$14*$B83</f>
      </c>
      <c r="Y83" s="12">
        <f>IF(X83&gt;0,IF(X83&lt;=eco,alpha*fck*(1-(1-X83/eco)^n),alpha*fck),0)</f>
      </c>
      <c r="Z83" s="30">
        <f>PM_Angle!$J$15+PM_Angle!$K$15*$C83+PM_Angle!$L$15*$B83</f>
      </c>
      <c r="AA83" s="12">
        <f>IF(Z83&gt;0,IF(Z83&lt;=eco,alpha*fck*(1-(1-Z83/eco)^n),alpha*fck),0)</f>
      </c>
      <c r="AB83" s="30">
        <f>PM_Angle!$J$16+PM_Angle!$K$16*$C83+PM_Angle!$L$16*$B83</f>
      </c>
      <c r="AC83" s="12">
        <f>IF(AB83&gt;0,IF(AB83&lt;=eco,alpha*fck*(1-(1-AB83/eco)^n),alpha*fck),0)</f>
      </c>
      <c r="AD83" s="30">
        <f>PM_Angle!$J$17+PM_Angle!$K$17*$C83+PM_Angle!$L$17*$B83</f>
      </c>
      <c r="AE83" s="12">
        <f>IF(AD83&gt;0,IF(AD83&lt;=eco,alpha*fck*(1-(1-AD83/eco)^n),alpha*fck),0)</f>
      </c>
      <c r="AF83" s="30">
        <f>PM_Angle!$J$18+PM_Angle!$K$18*$C83+PM_Angle!$L$18*$B83</f>
      </c>
      <c r="AG83" s="12">
        <f>IF(AF83&gt;0,IF(AF83&lt;=eco,alpha*fck*(1-(1-AF83/eco)^n),alpha*fck),0)</f>
      </c>
      <c r="AH83" s="30">
        <f>PM_Angle!$J$19+PM_Angle!$K$19*$C83+PM_Angle!$L$19*$B83</f>
      </c>
      <c r="AI83" s="12">
        <f>IF(AH83&gt;0,IF(AH83&lt;=eco,alpha*fck*(1-(1-AH83/eco)^n),alpha*fck),0)</f>
      </c>
      <c r="AJ83" s="30">
        <f>PM_Angle!$J$20+PM_Angle!$K$20*$C83+PM_Angle!$L$20*$B83</f>
      </c>
      <c r="AK83" s="12">
        <f>IF(AJ83&gt;0,IF(AJ83&lt;=eco,alpha*fck*(1-(1-AJ83/eco)^n),alpha*fck),0)</f>
      </c>
      <c r="AL83" s="30">
        <f>PM_Angle!$J$21+PM_Angle!$K$21*$C83+PM_Angle!$L$21*$B83</f>
      </c>
      <c r="AM83" s="12">
        <f>IF(AL83&gt;0,IF(AL83&lt;=eco,alpha*fck*(1-(1-AL83/eco)^n),alpha*fck),0)</f>
      </c>
      <c r="AN83" s="30">
        <f>PM_Angle!$J$22+PM_Angle!$K$22*$C83+PM_Angle!$L$22*$B83</f>
      </c>
      <c r="AO83" s="12">
        <f>IF(AN83&gt;0,IF(AN83&lt;=eco,alpha*fck*(1-(1-AN83/eco)^n),alpha*fck),0)</f>
      </c>
      <c r="AP83" s="30">
        <f>PM_Angle!$J$23+PM_Angle!$K$23*$C83+PM_Angle!$L$23*$B83</f>
      </c>
      <c r="AQ83" s="12">
        <f>IF(AP83&gt;0,IF(AP83&lt;=eco,alpha*fck*(1-(1-AP83/eco)^n),alpha*fck),0)</f>
      </c>
      <c r="AR83" s="30">
        <f>PM_Angle!$J$24+PM_Angle!$K$24*$C83+PM_Angle!$L$24*$B83</f>
      </c>
      <c r="AS83" s="12">
        <f>IF(AR83&gt;0,IF(AR83&lt;=eco,alpha*fck*(1-(1-AR83/eco)^n),alpha*fck),0)</f>
      </c>
      <c r="AT83" s="30">
        <f>PM_Angle!$J$25+PM_Angle!$K$25*$C83+PM_Angle!$L$25*$B83</f>
      </c>
      <c r="AU83" s="12">
        <f>IF(AT83&gt;0,IF(AT83&lt;=eco,alpha*fck*(1-(1-AT83/eco)^n),alpha*fck),0)</f>
      </c>
    </row>
    <row r="84" spans="1:47" x14ac:dyDescent="0.25">
      <c r="A84">
        <f>Mesh!A81</f>
      </c>
      <c r="B84" s="12">
        <f>Mesh!B81</f>
      </c>
      <c r="C84" s="12">
        <f>Mesh!C81</f>
      </c>
      <c r="D84" s="12">
        <f>Mesh!D81</f>
      </c>
      <c r="E84" s="30">
        <f>INDEX(St_e0,Det+1)+INDEX(St_kx,Det+1)*C84+INDEX(St_ky,Det+1)*B84</f>
      </c>
      <c r="F84" s="12">
        <f>IF(E84&gt;0,IF(E84&lt;=eco,alpha*fck*(1-(1-E84/eco)^n),alpha*fck),0)</f>
      </c>
      <c r="G84" s="11">
        <f>F84*D84</f>
      </c>
      <c r="H84" s="11">
        <f>G84*C84</f>
      </c>
      <c r="I84" s="11">
        <f>G84*B84</f>
      </c>
      <c r="J84" s="30">
        <f>PM_Angle!$J$7+PM_Angle!$K$7*$C84+PM_Angle!$L$7*$B84</f>
      </c>
      <c r="K84" s="12">
        <f>IF(J84&gt;0,IF(J84&lt;=eco,alpha*fck*(1-(1-J84/eco)^n),alpha*fck),0)</f>
      </c>
      <c r="L84" s="30">
        <f>PM_Angle!$J$8+PM_Angle!$K$8*$C84+PM_Angle!$L$8*$B84</f>
      </c>
      <c r="M84" s="12">
        <f>IF(L84&gt;0,IF(L84&lt;=eco,alpha*fck*(1-(1-L84/eco)^n),alpha*fck),0)</f>
      </c>
      <c r="N84" s="30">
        <f>PM_Angle!$J$9+PM_Angle!$K$9*$C84+PM_Angle!$L$9*$B84</f>
      </c>
      <c r="O84" s="12">
        <f>IF(N84&gt;0,IF(N84&lt;=eco,alpha*fck*(1-(1-N84/eco)^n),alpha*fck),0)</f>
      </c>
      <c r="P84" s="30">
        <f>PM_Angle!$J$10+PM_Angle!$K$10*$C84+PM_Angle!$L$10*$B84</f>
      </c>
      <c r="Q84" s="12">
        <f>IF(P84&gt;0,IF(P84&lt;=eco,alpha*fck*(1-(1-P84/eco)^n),alpha*fck),0)</f>
      </c>
      <c r="R84" s="30">
        <f>PM_Angle!$J$11+PM_Angle!$K$11*$C84+PM_Angle!$L$11*$B84</f>
      </c>
      <c r="S84" s="12">
        <f>IF(R84&gt;0,IF(R84&lt;=eco,alpha*fck*(1-(1-R84/eco)^n),alpha*fck),0)</f>
      </c>
      <c r="T84" s="30">
        <f>PM_Angle!$J$12+PM_Angle!$K$12*$C84+PM_Angle!$L$12*$B84</f>
      </c>
      <c r="U84" s="12">
        <f>IF(T84&gt;0,IF(T84&lt;=eco,alpha*fck*(1-(1-T84/eco)^n),alpha*fck),0)</f>
      </c>
      <c r="V84" s="30">
        <f>PM_Angle!$J$13+PM_Angle!$K$13*$C84+PM_Angle!$L$13*$B84</f>
      </c>
      <c r="W84" s="12">
        <f>IF(V84&gt;0,IF(V84&lt;=eco,alpha*fck*(1-(1-V84/eco)^n),alpha*fck),0)</f>
      </c>
      <c r="X84" s="30">
        <f>PM_Angle!$J$14+PM_Angle!$K$14*$C84+PM_Angle!$L$14*$B84</f>
      </c>
      <c r="Y84" s="12">
        <f>IF(X84&gt;0,IF(X84&lt;=eco,alpha*fck*(1-(1-X84/eco)^n),alpha*fck),0)</f>
      </c>
      <c r="Z84" s="30">
        <f>PM_Angle!$J$15+PM_Angle!$K$15*$C84+PM_Angle!$L$15*$B84</f>
      </c>
      <c r="AA84" s="12">
        <f>IF(Z84&gt;0,IF(Z84&lt;=eco,alpha*fck*(1-(1-Z84/eco)^n),alpha*fck),0)</f>
      </c>
      <c r="AB84" s="30">
        <f>PM_Angle!$J$16+PM_Angle!$K$16*$C84+PM_Angle!$L$16*$B84</f>
      </c>
      <c r="AC84" s="12">
        <f>IF(AB84&gt;0,IF(AB84&lt;=eco,alpha*fck*(1-(1-AB84/eco)^n),alpha*fck),0)</f>
      </c>
      <c r="AD84" s="30">
        <f>PM_Angle!$J$17+PM_Angle!$K$17*$C84+PM_Angle!$L$17*$B84</f>
      </c>
      <c r="AE84" s="12">
        <f>IF(AD84&gt;0,IF(AD84&lt;=eco,alpha*fck*(1-(1-AD84/eco)^n),alpha*fck),0)</f>
      </c>
      <c r="AF84" s="30">
        <f>PM_Angle!$J$18+PM_Angle!$K$18*$C84+PM_Angle!$L$18*$B84</f>
      </c>
      <c r="AG84" s="12">
        <f>IF(AF84&gt;0,IF(AF84&lt;=eco,alpha*fck*(1-(1-AF84/eco)^n),alpha*fck),0)</f>
      </c>
      <c r="AH84" s="30">
        <f>PM_Angle!$J$19+PM_Angle!$K$19*$C84+PM_Angle!$L$19*$B84</f>
      </c>
      <c r="AI84" s="12">
        <f>IF(AH84&gt;0,IF(AH84&lt;=eco,alpha*fck*(1-(1-AH84/eco)^n),alpha*fck),0)</f>
      </c>
      <c r="AJ84" s="30">
        <f>PM_Angle!$J$20+PM_Angle!$K$20*$C84+PM_Angle!$L$20*$B84</f>
      </c>
      <c r="AK84" s="12">
        <f>IF(AJ84&gt;0,IF(AJ84&lt;=eco,alpha*fck*(1-(1-AJ84/eco)^n),alpha*fck),0)</f>
      </c>
      <c r="AL84" s="30">
        <f>PM_Angle!$J$21+PM_Angle!$K$21*$C84+PM_Angle!$L$21*$B84</f>
      </c>
      <c r="AM84" s="12">
        <f>IF(AL84&gt;0,IF(AL84&lt;=eco,alpha*fck*(1-(1-AL84/eco)^n),alpha*fck),0)</f>
      </c>
      <c r="AN84" s="30">
        <f>PM_Angle!$J$22+PM_Angle!$K$22*$C84+PM_Angle!$L$22*$B84</f>
      </c>
      <c r="AO84" s="12">
        <f>IF(AN84&gt;0,IF(AN84&lt;=eco,alpha*fck*(1-(1-AN84/eco)^n),alpha*fck),0)</f>
      </c>
      <c r="AP84" s="30">
        <f>PM_Angle!$J$23+PM_Angle!$K$23*$C84+PM_Angle!$L$23*$B84</f>
      </c>
      <c r="AQ84" s="12">
        <f>IF(AP84&gt;0,IF(AP84&lt;=eco,alpha*fck*(1-(1-AP84/eco)^n),alpha*fck),0)</f>
      </c>
      <c r="AR84" s="30">
        <f>PM_Angle!$J$24+PM_Angle!$K$24*$C84+PM_Angle!$L$24*$B84</f>
      </c>
      <c r="AS84" s="12">
        <f>IF(AR84&gt;0,IF(AR84&lt;=eco,alpha*fck*(1-(1-AR84/eco)^n),alpha*fck),0)</f>
      </c>
      <c r="AT84" s="30">
        <f>PM_Angle!$J$25+PM_Angle!$K$25*$C84+PM_Angle!$L$25*$B84</f>
      </c>
      <c r="AU84" s="12">
        <f>IF(AT84&gt;0,IF(AT84&lt;=eco,alpha*fck*(1-(1-AT84/eco)^n),alpha*fck),0)</f>
      </c>
    </row>
    <row r="85" spans="1:47" x14ac:dyDescent="0.25">
      <c r="A85">
        <f>Mesh!A82</f>
      </c>
      <c r="B85" s="12">
        <f>Mesh!B82</f>
      </c>
      <c r="C85" s="12">
        <f>Mesh!C82</f>
      </c>
      <c r="D85" s="12">
        <f>Mesh!D82</f>
      </c>
      <c r="E85" s="30">
        <f>INDEX(St_e0,Det+1)+INDEX(St_kx,Det+1)*C85+INDEX(St_ky,Det+1)*B85</f>
      </c>
      <c r="F85" s="12">
        <f>IF(E85&gt;0,IF(E85&lt;=eco,alpha*fck*(1-(1-E85/eco)^n),alpha*fck),0)</f>
      </c>
      <c r="G85" s="11">
        <f>F85*D85</f>
      </c>
      <c r="H85" s="11">
        <f>G85*C85</f>
      </c>
      <c r="I85" s="11">
        <f>G85*B85</f>
      </c>
      <c r="J85" s="30">
        <f>PM_Angle!$J$7+PM_Angle!$K$7*$C85+PM_Angle!$L$7*$B85</f>
      </c>
      <c r="K85" s="12">
        <f>IF(J85&gt;0,IF(J85&lt;=eco,alpha*fck*(1-(1-J85/eco)^n),alpha*fck),0)</f>
      </c>
      <c r="L85" s="30">
        <f>PM_Angle!$J$8+PM_Angle!$K$8*$C85+PM_Angle!$L$8*$B85</f>
      </c>
      <c r="M85" s="12">
        <f>IF(L85&gt;0,IF(L85&lt;=eco,alpha*fck*(1-(1-L85/eco)^n),alpha*fck),0)</f>
      </c>
      <c r="N85" s="30">
        <f>PM_Angle!$J$9+PM_Angle!$K$9*$C85+PM_Angle!$L$9*$B85</f>
      </c>
      <c r="O85" s="12">
        <f>IF(N85&gt;0,IF(N85&lt;=eco,alpha*fck*(1-(1-N85/eco)^n),alpha*fck),0)</f>
      </c>
      <c r="P85" s="30">
        <f>PM_Angle!$J$10+PM_Angle!$K$10*$C85+PM_Angle!$L$10*$B85</f>
      </c>
      <c r="Q85" s="12">
        <f>IF(P85&gt;0,IF(P85&lt;=eco,alpha*fck*(1-(1-P85/eco)^n),alpha*fck),0)</f>
      </c>
      <c r="R85" s="30">
        <f>PM_Angle!$J$11+PM_Angle!$K$11*$C85+PM_Angle!$L$11*$B85</f>
      </c>
      <c r="S85" s="12">
        <f>IF(R85&gt;0,IF(R85&lt;=eco,alpha*fck*(1-(1-R85/eco)^n),alpha*fck),0)</f>
      </c>
      <c r="T85" s="30">
        <f>PM_Angle!$J$12+PM_Angle!$K$12*$C85+PM_Angle!$L$12*$B85</f>
      </c>
      <c r="U85" s="12">
        <f>IF(T85&gt;0,IF(T85&lt;=eco,alpha*fck*(1-(1-T85/eco)^n),alpha*fck),0)</f>
      </c>
      <c r="V85" s="30">
        <f>PM_Angle!$J$13+PM_Angle!$K$13*$C85+PM_Angle!$L$13*$B85</f>
      </c>
      <c r="W85" s="12">
        <f>IF(V85&gt;0,IF(V85&lt;=eco,alpha*fck*(1-(1-V85/eco)^n),alpha*fck),0)</f>
      </c>
      <c r="X85" s="30">
        <f>PM_Angle!$J$14+PM_Angle!$K$14*$C85+PM_Angle!$L$14*$B85</f>
      </c>
      <c r="Y85" s="12">
        <f>IF(X85&gt;0,IF(X85&lt;=eco,alpha*fck*(1-(1-X85/eco)^n),alpha*fck),0)</f>
      </c>
      <c r="Z85" s="30">
        <f>PM_Angle!$J$15+PM_Angle!$K$15*$C85+PM_Angle!$L$15*$B85</f>
      </c>
      <c r="AA85" s="12">
        <f>IF(Z85&gt;0,IF(Z85&lt;=eco,alpha*fck*(1-(1-Z85/eco)^n),alpha*fck),0)</f>
      </c>
      <c r="AB85" s="30">
        <f>PM_Angle!$J$16+PM_Angle!$K$16*$C85+PM_Angle!$L$16*$B85</f>
      </c>
      <c r="AC85" s="12">
        <f>IF(AB85&gt;0,IF(AB85&lt;=eco,alpha*fck*(1-(1-AB85/eco)^n),alpha*fck),0)</f>
      </c>
      <c r="AD85" s="30">
        <f>PM_Angle!$J$17+PM_Angle!$K$17*$C85+PM_Angle!$L$17*$B85</f>
      </c>
      <c r="AE85" s="12">
        <f>IF(AD85&gt;0,IF(AD85&lt;=eco,alpha*fck*(1-(1-AD85/eco)^n),alpha*fck),0)</f>
      </c>
      <c r="AF85" s="30">
        <f>PM_Angle!$J$18+PM_Angle!$K$18*$C85+PM_Angle!$L$18*$B85</f>
      </c>
      <c r="AG85" s="12">
        <f>IF(AF85&gt;0,IF(AF85&lt;=eco,alpha*fck*(1-(1-AF85/eco)^n),alpha*fck),0)</f>
      </c>
      <c r="AH85" s="30">
        <f>PM_Angle!$J$19+PM_Angle!$K$19*$C85+PM_Angle!$L$19*$B85</f>
      </c>
      <c r="AI85" s="12">
        <f>IF(AH85&gt;0,IF(AH85&lt;=eco,alpha*fck*(1-(1-AH85/eco)^n),alpha*fck),0)</f>
      </c>
      <c r="AJ85" s="30">
        <f>PM_Angle!$J$20+PM_Angle!$K$20*$C85+PM_Angle!$L$20*$B85</f>
      </c>
      <c r="AK85" s="12">
        <f>IF(AJ85&gt;0,IF(AJ85&lt;=eco,alpha*fck*(1-(1-AJ85/eco)^n),alpha*fck),0)</f>
      </c>
      <c r="AL85" s="30">
        <f>PM_Angle!$J$21+PM_Angle!$K$21*$C85+PM_Angle!$L$21*$B85</f>
      </c>
      <c r="AM85" s="12">
        <f>IF(AL85&gt;0,IF(AL85&lt;=eco,alpha*fck*(1-(1-AL85/eco)^n),alpha*fck),0)</f>
      </c>
      <c r="AN85" s="30">
        <f>PM_Angle!$J$22+PM_Angle!$K$22*$C85+PM_Angle!$L$22*$B85</f>
      </c>
      <c r="AO85" s="12">
        <f>IF(AN85&gt;0,IF(AN85&lt;=eco,alpha*fck*(1-(1-AN85/eco)^n),alpha*fck),0)</f>
      </c>
      <c r="AP85" s="30">
        <f>PM_Angle!$J$23+PM_Angle!$K$23*$C85+PM_Angle!$L$23*$B85</f>
      </c>
      <c r="AQ85" s="12">
        <f>IF(AP85&gt;0,IF(AP85&lt;=eco,alpha*fck*(1-(1-AP85/eco)^n),alpha*fck),0)</f>
      </c>
      <c r="AR85" s="30">
        <f>PM_Angle!$J$24+PM_Angle!$K$24*$C85+PM_Angle!$L$24*$B85</f>
      </c>
      <c r="AS85" s="12">
        <f>IF(AR85&gt;0,IF(AR85&lt;=eco,alpha*fck*(1-(1-AR85/eco)^n),alpha*fck),0)</f>
      </c>
      <c r="AT85" s="30">
        <f>PM_Angle!$J$25+PM_Angle!$K$25*$C85+PM_Angle!$L$25*$B85</f>
      </c>
      <c r="AU85" s="12">
        <f>IF(AT85&gt;0,IF(AT85&lt;=eco,alpha*fck*(1-(1-AT85/eco)^n),alpha*fck),0)</f>
      </c>
    </row>
    <row r="86" spans="1:47" x14ac:dyDescent="0.25">
      <c r="A86">
        <f>Mesh!A83</f>
      </c>
      <c r="B86" s="12">
        <f>Mesh!B83</f>
      </c>
      <c r="C86" s="12">
        <f>Mesh!C83</f>
      </c>
      <c r="D86" s="12">
        <f>Mesh!D83</f>
      </c>
      <c r="E86" s="30">
        <f>INDEX(St_e0,Det+1)+INDEX(St_kx,Det+1)*C86+INDEX(St_ky,Det+1)*B86</f>
      </c>
      <c r="F86" s="12">
        <f>IF(E86&gt;0,IF(E86&lt;=eco,alpha*fck*(1-(1-E86/eco)^n),alpha*fck),0)</f>
      </c>
      <c r="G86" s="11">
        <f>F86*D86</f>
      </c>
      <c r="H86" s="11">
        <f>G86*C86</f>
      </c>
      <c r="I86" s="11">
        <f>G86*B86</f>
      </c>
      <c r="J86" s="30">
        <f>PM_Angle!$J$7+PM_Angle!$K$7*$C86+PM_Angle!$L$7*$B86</f>
      </c>
      <c r="K86" s="12">
        <f>IF(J86&gt;0,IF(J86&lt;=eco,alpha*fck*(1-(1-J86/eco)^n),alpha*fck),0)</f>
      </c>
      <c r="L86" s="30">
        <f>PM_Angle!$J$8+PM_Angle!$K$8*$C86+PM_Angle!$L$8*$B86</f>
      </c>
      <c r="M86" s="12">
        <f>IF(L86&gt;0,IF(L86&lt;=eco,alpha*fck*(1-(1-L86/eco)^n),alpha*fck),0)</f>
      </c>
      <c r="N86" s="30">
        <f>PM_Angle!$J$9+PM_Angle!$K$9*$C86+PM_Angle!$L$9*$B86</f>
      </c>
      <c r="O86" s="12">
        <f>IF(N86&gt;0,IF(N86&lt;=eco,alpha*fck*(1-(1-N86/eco)^n),alpha*fck),0)</f>
      </c>
      <c r="P86" s="30">
        <f>PM_Angle!$J$10+PM_Angle!$K$10*$C86+PM_Angle!$L$10*$B86</f>
      </c>
      <c r="Q86" s="12">
        <f>IF(P86&gt;0,IF(P86&lt;=eco,alpha*fck*(1-(1-P86/eco)^n),alpha*fck),0)</f>
      </c>
      <c r="R86" s="30">
        <f>PM_Angle!$J$11+PM_Angle!$K$11*$C86+PM_Angle!$L$11*$B86</f>
      </c>
      <c r="S86" s="12">
        <f>IF(R86&gt;0,IF(R86&lt;=eco,alpha*fck*(1-(1-R86/eco)^n),alpha*fck),0)</f>
      </c>
      <c r="T86" s="30">
        <f>PM_Angle!$J$12+PM_Angle!$K$12*$C86+PM_Angle!$L$12*$B86</f>
      </c>
      <c r="U86" s="12">
        <f>IF(T86&gt;0,IF(T86&lt;=eco,alpha*fck*(1-(1-T86/eco)^n),alpha*fck),0)</f>
      </c>
      <c r="V86" s="30">
        <f>PM_Angle!$J$13+PM_Angle!$K$13*$C86+PM_Angle!$L$13*$B86</f>
      </c>
      <c r="W86" s="12">
        <f>IF(V86&gt;0,IF(V86&lt;=eco,alpha*fck*(1-(1-V86/eco)^n),alpha*fck),0)</f>
      </c>
      <c r="X86" s="30">
        <f>PM_Angle!$J$14+PM_Angle!$K$14*$C86+PM_Angle!$L$14*$B86</f>
      </c>
      <c r="Y86" s="12">
        <f>IF(X86&gt;0,IF(X86&lt;=eco,alpha*fck*(1-(1-X86/eco)^n),alpha*fck),0)</f>
      </c>
      <c r="Z86" s="30">
        <f>PM_Angle!$J$15+PM_Angle!$K$15*$C86+PM_Angle!$L$15*$B86</f>
      </c>
      <c r="AA86" s="12">
        <f>IF(Z86&gt;0,IF(Z86&lt;=eco,alpha*fck*(1-(1-Z86/eco)^n),alpha*fck),0)</f>
      </c>
      <c r="AB86" s="30">
        <f>PM_Angle!$J$16+PM_Angle!$K$16*$C86+PM_Angle!$L$16*$B86</f>
      </c>
      <c r="AC86" s="12">
        <f>IF(AB86&gt;0,IF(AB86&lt;=eco,alpha*fck*(1-(1-AB86/eco)^n),alpha*fck),0)</f>
      </c>
      <c r="AD86" s="30">
        <f>PM_Angle!$J$17+PM_Angle!$K$17*$C86+PM_Angle!$L$17*$B86</f>
      </c>
      <c r="AE86" s="12">
        <f>IF(AD86&gt;0,IF(AD86&lt;=eco,alpha*fck*(1-(1-AD86/eco)^n),alpha*fck),0)</f>
      </c>
      <c r="AF86" s="30">
        <f>PM_Angle!$J$18+PM_Angle!$K$18*$C86+PM_Angle!$L$18*$B86</f>
      </c>
      <c r="AG86" s="12">
        <f>IF(AF86&gt;0,IF(AF86&lt;=eco,alpha*fck*(1-(1-AF86/eco)^n),alpha*fck),0)</f>
      </c>
      <c r="AH86" s="30">
        <f>PM_Angle!$J$19+PM_Angle!$K$19*$C86+PM_Angle!$L$19*$B86</f>
      </c>
      <c r="AI86" s="12">
        <f>IF(AH86&gt;0,IF(AH86&lt;=eco,alpha*fck*(1-(1-AH86/eco)^n),alpha*fck),0)</f>
      </c>
      <c r="AJ86" s="30">
        <f>PM_Angle!$J$20+PM_Angle!$K$20*$C86+PM_Angle!$L$20*$B86</f>
      </c>
      <c r="AK86" s="12">
        <f>IF(AJ86&gt;0,IF(AJ86&lt;=eco,alpha*fck*(1-(1-AJ86/eco)^n),alpha*fck),0)</f>
      </c>
      <c r="AL86" s="30">
        <f>PM_Angle!$J$21+PM_Angle!$K$21*$C86+PM_Angle!$L$21*$B86</f>
      </c>
      <c r="AM86" s="12">
        <f>IF(AL86&gt;0,IF(AL86&lt;=eco,alpha*fck*(1-(1-AL86/eco)^n),alpha*fck),0)</f>
      </c>
      <c r="AN86" s="30">
        <f>PM_Angle!$J$22+PM_Angle!$K$22*$C86+PM_Angle!$L$22*$B86</f>
      </c>
      <c r="AO86" s="12">
        <f>IF(AN86&gt;0,IF(AN86&lt;=eco,alpha*fck*(1-(1-AN86/eco)^n),alpha*fck),0)</f>
      </c>
      <c r="AP86" s="30">
        <f>PM_Angle!$J$23+PM_Angle!$K$23*$C86+PM_Angle!$L$23*$B86</f>
      </c>
      <c r="AQ86" s="12">
        <f>IF(AP86&gt;0,IF(AP86&lt;=eco,alpha*fck*(1-(1-AP86/eco)^n),alpha*fck),0)</f>
      </c>
      <c r="AR86" s="30">
        <f>PM_Angle!$J$24+PM_Angle!$K$24*$C86+PM_Angle!$L$24*$B86</f>
      </c>
      <c r="AS86" s="12">
        <f>IF(AR86&gt;0,IF(AR86&lt;=eco,alpha*fck*(1-(1-AR86/eco)^n),alpha*fck),0)</f>
      </c>
      <c r="AT86" s="30">
        <f>PM_Angle!$J$25+PM_Angle!$K$25*$C86+PM_Angle!$L$25*$B86</f>
      </c>
      <c r="AU86" s="12">
        <f>IF(AT86&gt;0,IF(AT86&lt;=eco,alpha*fck*(1-(1-AT86/eco)^n),alpha*fck),0)</f>
      </c>
    </row>
    <row r="87" spans="1:47" x14ac:dyDescent="0.25">
      <c r="A87">
        <f>Mesh!A84</f>
      </c>
      <c r="B87" s="12">
        <f>Mesh!B84</f>
      </c>
      <c r="C87" s="12">
        <f>Mesh!C84</f>
      </c>
      <c r="D87" s="12">
        <f>Mesh!D84</f>
      </c>
      <c r="E87" s="30">
        <f>INDEX(St_e0,Det+1)+INDEX(St_kx,Det+1)*C87+INDEX(St_ky,Det+1)*B87</f>
      </c>
      <c r="F87" s="12">
        <f>IF(E87&gt;0,IF(E87&lt;=eco,alpha*fck*(1-(1-E87/eco)^n),alpha*fck),0)</f>
      </c>
      <c r="G87" s="11">
        <f>F87*D87</f>
      </c>
      <c r="H87" s="11">
        <f>G87*C87</f>
      </c>
      <c r="I87" s="11">
        <f>G87*B87</f>
      </c>
      <c r="J87" s="30">
        <f>PM_Angle!$J$7+PM_Angle!$K$7*$C87+PM_Angle!$L$7*$B87</f>
      </c>
      <c r="K87" s="12">
        <f>IF(J87&gt;0,IF(J87&lt;=eco,alpha*fck*(1-(1-J87/eco)^n),alpha*fck),0)</f>
      </c>
      <c r="L87" s="30">
        <f>PM_Angle!$J$8+PM_Angle!$K$8*$C87+PM_Angle!$L$8*$B87</f>
      </c>
      <c r="M87" s="12">
        <f>IF(L87&gt;0,IF(L87&lt;=eco,alpha*fck*(1-(1-L87/eco)^n),alpha*fck),0)</f>
      </c>
      <c r="N87" s="30">
        <f>PM_Angle!$J$9+PM_Angle!$K$9*$C87+PM_Angle!$L$9*$B87</f>
      </c>
      <c r="O87" s="12">
        <f>IF(N87&gt;0,IF(N87&lt;=eco,alpha*fck*(1-(1-N87/eco)^n),alpha*fck),0)</f>
      </c>
      <c r="P87" s="30">
        <f>PM_Angle!$J$10+PM_Angle!$K$10*$C87+PM_Angle!$L$10*$B87</f>
      </c>
      <c r="Q87" s="12">
        <f>IF(P87&gt;0,IF(P87&lt;=eco,alpha*fck*(1-(1-P87/eco)^n),alpha*fck),0)</f>
      </c>
      <c r="R87" s="30">
        <f>PM_Angle!$J$11+PM_Angle!$K$11*$C87+PM_Angle!$L$11*$B87</f>
      </c>
      <c r="S87" s="12">
        <f>IF(R87&gt;0,IF(R87&lt;=eco,alpha*fck*(1-(1-R87/eco)^n),alpha*fck),0)</f>
      </c>
      <c r="T87" s="30">
        <f>PM_Angle!$J$12+PM_Angle!$K$12*$C87+PM_Angle!$L$12*$B87</f>
      </c>
      <c r="U87" s="12">
        <f>IF(T87&gt;0,IF(T87&lt;=eco,alpha*fck*(1-(1-T87/eco)^n),alpha*fck),0)</f>
      </c>
      <c r="V87" s="30">
        <f>PM_Angle!$J$13+PM_Angle!$K$13*$C87+PM_Angle!$L$13*$B87</f>
      </c>
      <c r="W87" s="12">
        <f>IF(V87&gt;0,IF(V87&lt;=eco,alpha*fck*(1-(1-V87/eco)^n),alpha*fck),0)</f>
      </c>
      <c r="X87" s="30">
        <f>PM_Angle!$J$14+PM_Angle!$K$14*$C87+PM_Angle!$L$14*$B87</f>
      </c>
      <c r="Y87" s="12">
        <f>IF(X87&gt;0,IF(X87&lt;=eco,alpha*fck*(1-(1-X87/eco)^n),alpha*fck),0)</f>
      </c>
      <c r="Z87" s="30">
        <f>PM_Angle!$J$15+PM_Angle!$K$15*$C87+PM_Angle!$L$15*$B87</f>
      </c>
      <c r="AA87" s="12">
        <f>IF(Z87&gt;0,IF(Z87&lt;=eco,alpha*fck*(1-(1-Z87/eco)^n),alpha*fck),0)</f>
      </c>
      <c r="AB87" s="30">
        <f>PM_Angle!$J$16+PM_Angle!$K$16*$C87+PM_Angle!$L$16*$B87</f>
      </c>
      <c r="AC87" s="12">
        <f>IF(AB87&gt;0,IF(AB87&lt;=eco,alpha*fck*(1-(1-AB87/eco)^n),alpha*fck),0)</f>
      </c>
      <c r="AD87" s="30">
        <f>PM_Angle!$J$17+PM_Angle!$K$17*$C87+PM_Angle!$L$17*$B87</f>
      </c>
      <c r="AE87" s="12">
        <f>IF(AD87&gt;0,IF(AD87&lt;=eco,alpha*fck*(1-(1-AD87/eco)^n),alpha*fck),0)</f>
      </c>
      <c r="AF87" s="30">
        <f>PM_Angle!$J$18+PM_Angle!$K$18*$C87+PM_Angle!$L$18*$B87</f>
      </c>
      <c r="AG87" s="12">
        <f>IF(AF87&gt;0,IF(AF87&lt;=eco,alpha*fck*(1-(1-AF87/eco)^n),alpha*fck),0)</f>
      </c>
      <c r="AH87" s="30">
        <f>PM_Angle!$J$19+PM_Angle!$K$19*$C87+PM_Angle!$L$19*$B87</f>
      </c>
      <c r="AI87" s="12">
        <f>IF(AH87&gt;0,IF(AH87&lt;=eco,alpha*fck*(1-(1-AH87/eco)^n),alpha*fck),0)</f>
      </c>
      <c r="AJ87" s="30">
        <f>PM_Angle!$J$20+PM_Angle!$K$20*$C87+PM_Angle!$L$20*$B87</f>
      </c>
      <c r="AK87" s="12">
        <f>IF(AJ87&gt;0,IF(AJ87&lt;=eco,alpha*fck*(1-(1-AJ87/eco)^n),alpha*fck),0)</f>
      </c>
      <c r="AL87" s="30">
        <f>PM_Angle!$J$21+PM_Angle!$K$21*$C87+PM_Angle!$L$21*$B87</f>
      </c>
      <c r="AM87" s="12">
        <f>IF(AL87&gt;0,IF(AL87&lt;=eco,alpha*fck*(1-(1-AL87/eco)^n),alpha*fck),0)</f>
      </c>
      <c r="AN87" s="30">
        <f>PM_Angle!$J$22+PM_Angle!$K$22*$C87+PM_Angle!$L$22*$B87</f>
      </c>
      <c r="AO87" s="12">
        <f>IF(AN87&gt;0,IF(AN87&lt;=eco,alpha*fck*(1-(1-AN87/eco)^n),alpha*fck),0)</f>
      </c>
      <c r="AP87" s="30">
        <f>PM_Angle!$J$23+PM_Angle!$K$23*$C87+PM_Angle!$L$23*$B87</f>
      </c>
      <c r="AQ87" s="12">
        <f>IF(AP87&gt;0,IF(AP87&lt;=eco,alpha*fck*(1-(1-AP87/eco)^n),alpha*fck),0)</f>
      </c>
      <c r="AR87" s="30">
        <f>PM_Angle!$J$24+PM_Angle!$K$24*$C87+PM_Angle!$L$24*$B87</f>
      </c>
      <c r="AS87" s="12">
        <f>IF(AR87&gt;0,IF(AR87&lt;=eco,alpha*fck*(1-(1-AR87/eco)^n),alpha*fck),0)</f>
      </c>
      <c r="AT87" s="30">
        <f>PM_Angle!$J$25+PM_Angle!$K$25*$C87+PM_Angle!$L$25*$B87</f>
      </c>
      <c r="AU87" s="12">
        <f>IF(AT87&gt;0,IF(AT87&lt;=eco,alpha*fck*(1-(1-AT87/eco)^n),alpha*fck),0)</f>
      </c>
    </row>
    <row r="88" spans="1:47" x14ac:dyDescent="0.25">
      <c r="A88">
        <f>Mesh!A85</f>
      </c>
      <c r="B88" s="12">
        <f>Mesh!B85</f>
      </c>
      <c r="C88" s="12">
        <f>Mesh!C85</f>
      </c>
      <c r="D88" s="12">
        <f>Mesh!D85</f>
      </c>
      <c r="E88" s="30">
        <f>INDEX(St_e0,Det+1)+INDEX(St_kx,Det+1)*C88+INDEX(St_ky,Det+1)*B88</f>
      </c>
      <c r="F88" s="12">
        <f>IF(E88&gt;0,IF(E88&lt;=eco,alpha*fck*(1-(1-E88/eco)^n),alpha*fck),0)</f>
      </c>
      <c r="G88" s="11">
        <f>F88*D88</f>
      </c>
      <c r="H88" s="11">
        <f>G88*C88</f>
      </c>
      <c r="I88" s="11">
        <f>G88*B88</f>
      </c>
      <c r="J88" s="30">
        <f>PM_Angle!$J$7+PM_Angle!$K$7*$C88+PM_Angle!$L$7*$B88</f>
      </c>
      <c r="K88" s="12">
        <f>IF(J88&gt;0,IF(J88&lt;=eco,alpha*fck*(1-(1-J88/eco)^n),alpha*fck),0)</f>
      </c>
      <c r="L88" s="30">
        <f>PM_Angle!$J$8+PM_Angle!$K$8*$C88+PM_Angle!$L$8*$B88</f>
      </c>
      <c r="M88" s="12">
        <f>IF(L88&gt;0,IF(L88&lt;=eco,alpha*fck*(1-(1-L88/eco)^n),alpha*fck),0)</f>
      </c>
      <c r="N88" s="30">
        <f>PM_Angle!$J$9+PM_Angle!$K$9*$C88+PM_Angle!$L$9*$B88</f>
      </c>
      <c r="O88" s="12">
        <f>IF(N88&gt;0,IF(N88&lt;=eco,alpha*fck*(1-(1-N88/eco)^n),alpha*fck),0)</f>
      </c>
      <c r="P88" s="30">
        <f>PM_Angle!$J$10+PM_Angle!$K$10*$C88+PM_Angle!$L$10*$B88</f>
      </c>
      <c r="Q88" s="12">
        <f>IF(P88&gt;0,IF(P88&lt;=eco,alpha*fck*(1-(1-P88/eco)^n),alpha*fck),0)</f>
      </c>
      <c r="R88" s="30">
        <f>PM_Angle!$J$11+PM_Angle!$K$11*$C88+PM_Angle!$L$11*$B88</f>
      </c>
      <c r="S88" s="12">
        <f>IF(R88&gt;0,IF(R88&lt;=eco,alpha*fck*(1-(1-R88/eco)^n),alpha*fck),0)</f>
      </c>
      <c r="T88" s="30">
        <f>PM_Angle!$J$12+PM_Angle!$K$12*$C88+PM_Angle!$L$12*$B88</f>
      </c>
      <c r="U88" s="12">
        <f>IF(T88&gt;0,IF(T88&lt;=eco,alpha*fck*(1-(1-T88/eco)^n),alpha*fck),0)</f>
      </c>
      <c r="V88" s="30">
        <f>PM_Angle!$J$13+PM_Angle!$K$13*$C88+PM_Angle!$L$13*$B88</f>
      </c>
      <c r="W88" s="12">
        <f>IF(V88&gt;0,IF(V88&lt;=eco,alpha*fck*(1-(1-V88/eco)^n),alpha*fck),0)</f>
      </c>
      <c r="X88" s="30">
        <f>PM_Angle!$J$14+PM_Angle!$K$14*$C88+PM_Angle!$L$14*$B88</f>
      </c>
      <c r="Y88" s="12">
        <f>IF(X88&gt;0,IF(X88&lt;=eco,alpha*fck*(1-(1-X88/eco)^n),alpha*fck),0)</f>
      </c>
      <c r="Z88" s="30">
        <f>PM_Angle!$J$15+PM_Angle!$K$15*$C88+PM_Angle!$L$15*$B88</f>
      </c>
      <c r="AA88" s="12">
        <f>IF(Z88&gt;0,IF(Z88&lt;=eco,alpha*fck*(1-(1-Z88/eco)^n),alpha*fck),0)</f>
      </c>
      <c r="AB88" s="30">
        <f>PM_Angle!$J$16+PM_Angle!$K$16*$C88+PM_Angle!$L$16*$B88</f>
      </c>
      <c r="AC88" s="12">
        <f>IF(AB88&gt;0,IF(AB88&lt;=eco,alpha*fck*(1-(1-AB88/eco)^n),alpha*fck),0)</f>
      </c>
      <c r="AD88" s="30">
        <f>PM_Angle!$J$17+PM_Angle!$K$17*$C88+PM_Angle!$L$17*$B88</f>
      </c>
      <c r="AE88" s="12">
        <f>IF(AD88&gt;0,IF(AD88&lt;=eco,alpha*fck*(1-(1-AD88/eco)^n),alpha*fck),0)</f>
      </c>
      <c r="AF88" s="30">
        <f>PM_Angle!$J$18+PM_Angle!$K$18*$C88+PM_Angle!$L$18*$B88</f>
      </c>
      <c r="AG88" s="12">
        <f>IF(AF88&gt;0,IF(AF88&lt;=eco,alpha*fck*(1-(1-AF88/eco)^n),alpha*fck),0)</f>
      </c>
      <c r="AH88" s="30">
        <f>PM_Angle!$J$19+PM_Angle!$K$19*$C88+PM_Angle!$L$19*$B88</f>
      </c>
      <c r="AI88" s="12">
        <f>IF(AH88&gt;0,IF(AH88&lt;=eco,alpha*fck*(1-(1-AH88/eco)^n),alpha*fck),0)</f>
      </c>
      <c r="AJ88" s="30">
        <f>PM_Angle!$J$20+PM_Angle!$K$20*$C88+PM_Angle!$L$20*$B88</f>
      </c>
      <c r="AK88" s="12">
        <f>IF(AJ88&gt;0,IF(AJ88&lt;=eco,alpha*fck*(1-(1-AJ88/eco)^n),alpha*fck),0)</f>
      </c>
      <c r="AL88" s="30">
        <f>PM_Angle!$J$21+PM_Angle!$K$21*$C88+PM_Angle!$L$21*$B88</f>
      </c>
      <c r="AM88" s="12">
        <f>IF(AL88&gt;0,IF(AL88&lt;=eco,alpha*fck*(1-(1-AL88/eco)^n),alpha*fck),0)</f>
      </c>
      <c r="AN88" s="30">
        <f>PM_Angle!$J$22+PM_Angle!$K$22*$C88+PM_Angle!$L$22*$B88</f>
      </c>
      <c r="AO88" s="12">
        <f>IF(AN88&gt;0,IF(AN88&lt;=eco,alpha*fck*(1-(1-AN88/eco)^n),alpha*fck),0)</f>
      </c>
      <c r="AP88" s="30">
        <f>PM_Angle!$J$23+PM_Angle!$K$23*$C88+PM_Angle!$L$23*$B88</f>
      </c>
      <c r="AQ88" s="12">
        <f>IF(AP88&gt;0,IF(AP88&lt;=eco,alpha*fck*(1-(1-AP88/eco)^n),alpha*fck),0)</f>
      </c>
      <c r="AR88" s="30">
        <f>PM_Angle!$J$24+PM_Angle!$K$24*$C88+PM_Angle!$L$24*$B88</f>
      </c>
      <c r="AS88" s="12">
        <f>IF(AR88&gt;0,IF(AR88&lt;=eco,alpha*fck*(1-(1-AR88/eco)^n),alpha*fck),0)</f>
      </c>
      <c r="AT88" s="30">
        <f>PM_Angle!$J$25+PM_Angle!$K$25*$C88+PM_Angle!$L$25*$B88</f>
      </c>
      <c r="AU88" s="12">
        <f>IF(AT88&gt;0,IF(AT88&lt;=eco,alpha*fck*(1-(1-AT88/eco)^n),alpha*fck),0)</f>
      </c>
    </row>
    <row r="89" spans="1:47" x14ac:dyDescent="0.25">
      <c r="A89">
        <f>Mesh!A86</f>
      </c>
      <c r="B89" s="12">
        <f>Mesh!B86</f>
      </c>
      <c r="C89" s="12">
        <f>Mesh!C86</f>
      </c>
      <c r="D89" s="12">
        <f>Mesh!D86</f>
      </c>
      <c r="E89" s="30">
        <f>INDEX(St_e0,Det+1)+INDEX(St_kx,Det+1)*C89+INDEX(St_ky,Det+1)*B89</f>
      </c>
      <c r="F89" s="12">
        <f>IF(E89&gt;0,IF(E89&lt;=eco,alpha*fck*(1-(1-E89/eco)^n),alpha*fck),0)</f>
      </c>
      <c r="G89" s="11">
        <f>F89*D89</f>
      </c>
      <c r="H89" s="11">
        <f>G89*C89</f>
      </c>
      <c r="I89" s="11">
        <f>G89*B89</f>
      </c>
      <c r="J89" s="30">
        <f>PM_Angle!$J$7+PM_Angle!$K$7*$C89+PM_Angle!$L$7*$B89</f>
      </c>
      <c r="K89" s="12">
        <f>IF(J89&gt;0,IF(J89&lt;=eco,alpha*fck*(1-(1-J89/eco)^n),alpha*fck),0)</f>
      </c>
      <c r="L89" s="30">
        <f>PM_Angle!$J$8+PM_Angle!$K$8*$C89+PM_Angle!$L$8*$B89</f>
      </c>
      <c r="M89" s="12">
        <f>IF(L89&gt;0,IF(L89&lt;=eco,alpha*fck*(1-(1-L89/eco)^n),alpha*fck),0)</f>
      </c>
      <c r="N89" s="30">
        <f>PM_Angle!$J$9+PM_Angle!$K$9*$C89+PM_Angle!$L$9*$B89</f>
      </c>
      <c r="O89" s="12">
        <f>IF(N89&gt;0,IF(N89&lt;=eco,alpha*fck*(1-(1-N89/eco)^n),alpha*fck),0)</f>
      </c>
      <c r="P89" s="30">
        <f>PM_Angle!$J$10+PM_Angle!$K$10*$C89+PM_Angle!$L$10*$B89</f>
      </c>
      <c r="Q89" s="12">
        <f>IF(P89&gt;0,IF(P89&lt;=eco,alpha*fck*(1-(1-P89/eco)^n),alpha*fck),0)</f>
      </c>
      <c r="R89" s="30">
        <f>PM_Angle!$J$11+PM_Angle!$K$11*$C89+PM_Angle!$L$11*$B89</f>
      </c>
      <c r="S89" s="12">
        <f>IF(R89&gt;0,IF(R89&lt;=eco,alpha*fck*(1-(1-R89/eco)^n),alpha*fck),0)</f>
      </c>
      <c r="T89" s="30">
        <f>PM_Angle!$J$12+PM_Angle!$K$12*$C89+PM_Angle!$L$12*$B89</f>
      </c>
      <c r="U89" s="12">
        <f>IF(T89&gt;0,IF(T89&lt;=eco,alpha*fck*(1-(1-T89/eco)^n),alpha*fck),0)</f>
      </c>
      <c r="V89" s="30">
        <f>PM_Angle!$J$13+PM_Angle!$K$13*$C89+PM_Angle!$L$13*$B89</f>
      </c>
      <c r="W89" s="12">
        <f>IF(V89&gt;0,IF(V89&lt;=eco,alpha*fck*(1-(1-V89/eco)^n),alpha*fck),0)</f>
      </c>
      <c r="X89" s="30">
        <f>PM_Angle!$J$14+PM_Angle!$K$14*$C89+PM_Angle!$L$14*$B89</f>
      </c>
      <c r="Y89" s="12">
        <f>IF(X89&gt;0,IF(X89&lt;=eco,alpha*fck*(1-(1-X89/eco)^n),alpha*fck),0)</f>
      </c>
      <c r="Z89" s="30">
        <f>PM_Angle!$J$15+PM_Angle!$K$15*$C89+PM_Angle!$L$15*$B89</f>
      </c>
      <c r="AA89" s="12">
        <f>IF(Z89&gt;0,IF(Z89&lt;=eco,alpha*fck*(1-(1-Z89/eco)^n),alpha*fck),0)</f>
      </c>
      <c r="AB89" s="30">
        <f>PM_Angle!$J$16+PM_Angle!$K$16*$C89+PM_Angle!$L$16*$B89</f>
      </c>
      <c r="AC89" s="12">
        <f>IF(AB89&gt;0,IF(AB89&lt;=eco,alpha*fck*(1-(1-AB89/eco)^n),alpha*fck),0)</f>
      </c>
      <c r="AD89" s="30">
        <f>PM_Angle!$J$17+PM_Angle!$K$17*$C89+PM_Angle!$L$17*$B89</f>
      </c>
      <c r="AE89" s="12">
        <f>IF(AD89&gt;0,IF(AD89&lt;=eco,alpha*fck*(1-(1-AD89/eco)^n),alpha*fck),0)</f>
      </c>
      <c r="AF89" s="30">
        <f>PM_Angle!$J$18+PM_Angle!$K$18*$C89+PM_Angle!$L$18*$B89</f>
      </c>
      <c r="AG89" s="12">
        <f>IF(AF89&gt;0,IF(AF89&lt;=eco,alpha*fck*(1-(1-AF89/eco)^n),alpha*fck),0)</f>
      </c>
      <c r="AH89" s="30">
        <f>PM_Angle!$J$19+PM_Angle!$K$19*$C89+PM_Angle!$L$19*$B89</f>
      </c>
      <c r="AI89" s="12">
        <f>IF(AH89&gt;0,IF(AH89&lt;=eco,alpha*fck*(1-(1-AH89/eco)^n),alpha*fck),0)</f>
      </c>
      <c r="AJ89" s="30">
        <f>PM_Angle!$J$20+PM_Angle!$K$20*$C89+PM_Angle!$L$20*$B89</f>
      </c>
      <c r="AK89" s="12">
        <f>IF(AJ89&gt;0,IF(AJ89&lt;=eco,alpha*fck*(1-(1-AJ89/eco)^n),alpha*fck),0)</f>
      </c>
      <c r="AL89" s="30">
        <f>PM_Angle!$J$21+PM_Angle!$K$21*$C89+PM_Angle!$L$21*$B89</f>
      </c>
      <c r="AM89" s="12">
        <f>IF(AL89&gt;0,IF(AL89&lt;=eco,alpha*fck*(1-(1-AL89/eco)^n),alpha*fck),0)</f>
      </c>
      <c r="AN89" s="30">
        <f>PM_Angle!$J$22+PM_Angle!$K$22*$C89+PM_Angle!$L$22*$B89</f>
      </c>
      <c r="AO89" s="12">
        <f>IF(AN89&gt;0,IF(AN89&lt;=eco,alpha*fck*(1-(1-AN89/eco)^n),alpha*fck),0)</f>
      </c>
      <c r="AP89" s="30">
        <f>PM_Angle!$J$23+PM_Angle!$K$23*$C89+PM_Angle!$L$23*$B89</f>
      </c>
      <c r="AQ89" s="12">
        <f>IF(AP89&gt;0,IF(AP89&lt;=eco,alpha*fck*(1-(1-AP89/eco)^n),alpha*fck),0)</f>
      </c>
      <c r="AR89" s="30">
        <f>PM_Angle!$J$24+PM_Angle!$K$24*$C89+PM_Angle!$L$24*$B89</f>
      </c>
      <c r="AS89" s="12">
        <f>IF(AR89&gt;0,IF(AR89&lt;=eco,alpha*fck*(1-(1-AR89/eco)^n),alpha*fck),0)</f>
      </c>
      <c r="AT89" s="30">
        <f>PM_Angle!$J$25+PM_Angle!$K$25*$C89+PM_Angle!$L$25*$B89</f>
      </c>
      <c r="AU89" s="12">
        <f>IF(AT89&gt;0,IF(AT89&lt;=eco,alpha*fck*(1-(1-AT89/eco)^n),alpha*fck),0)</f>
      </c>
    </row>
    <row r="90" spans="1:47" x14ac:dyDescent="0.25">
      <c r="A90">
        <f>Mesh!A87</f>
      </c>
      <c r="B90" s="12">
        <f>Mesh!B87</f>
      </c>
      <c r="C90" s="12">
        <f>Mesh!C87</f>
      </c>
      <c r="D90" s="12">
        <f>Mesh!D87</f>
      </c>
      <c r="E90" s="30">
        <f>INDEX(St_e0,Det+1)+INDEX(St_kx,Det+1)*C90+INDEX(St_ky,Det+1)*B90</f>
      </c>
      <c r="F90" s="12">
        <f>IF(E90&gt;0,IF(E90&lt;=eco,alpha*fck*(1-(1-E90/eco)^n),alpha*fck),0)</f>
      </c>
      <c r="G90" s="11">
        <f>F90*D90</f>
      </c>
      <c r="H90" s="11">
        <f>G90*C90</f>
      </c>
      <c r="I90" s="11">
        <f>G90*B90</f>
      </c>
      <c r="J90" s="30">
        <f>PM_Angle!$J$7+PM_Angle!$K$7*$C90+PM_Angle!$L$7*$B90</f>
      </c>
      <c r="K90" s="12">
        <f>IF(J90&gt;0,IF(J90&lt;=eco,alpha*fck*(1-(1-J90/eco)^n),alpha*fck),0)</f>
      </c>
      <c r="L90" s="30">
        <f>PM_Angle!$J$8+PM_Angle!$K$8*$C90+PM_Angle!$L$8*$B90</f>
      </c>
      <c r="M90" s="12">
        <f>IF(L90&gt;0,IF(L90&lt;=eco,alpha*fck*(1-(1-L90/eco)^n),alpha*fck),0)</f>
      </c>
      <c r="N90" s="30">
        <f>PM_Angle!$J$9+PM_Angle!$K$9*$C90+PM_Angle!$L$9*$B90</f>
      </c>
      <c r="O90" s="12">
        <f>IF(N90&gt;0,IF(N90&lt;=eco,alpha*fck*(1-(1-N90/eco)^n),alpha*fck),0)</f>
      </c>
      <c r="P90" s="30">
        <f>PM_Angle!$J$10+PM_Angle!$K$10*$C90+PM_Angle!$L$10*$B90</f>
      </c>
      <c r="Q90" s="12">
        <f>IF(P90&gt;0,IF(P90&lt;=eco,alpha*fck*(1-(1-P90/eco)^n),alpha*fck),0)</f>
      </c>
      <c r="R90" s="30">
        <f>PM_Angle!$J$11+PM_Angle!$K$11*$C90+PM_Angle!$L$11*$B90</f>
      </c>
      <c r="S90" s="12">
        <f>IF(R90&gt;0,IF(R90&lt;=eco,alpha*fck*(1-(1-R90/eco)^n),alpha*fck),0)</f>
      </c>
      <c r="T90" s="30">
        <f>PM_Angle!$J$12+PM_Angle!$K$12*$C90+PM_Angle!$L$12*$B90</f>
      </c>
      <c r="U90" s="12">
        <f>IF(T90&gt;0,IF(T90&lt;=eco,alpha*fck*(1-(1-T90/eco)^n),alpha*fck),0)</f>
      </c>
      <c r="V90" s="30">
        <f>PM_Angle!$J$13+PM_Angle!$K$13*$C90+PM_Angle!$L$13*$B90</f>
      </c>
      <c r="W90" s="12">
        <f>IF(V90&gt;0,IF(V90&lt;=eco,alpha*fck*(1-(1-V90/eco)^n),alpha*fck),0)</f>
      </c>
      <c r="X90" s="30">
        <f>PM_Angle!$J$14+PM_Angle!$K$14*$C90+PM_Angle!$L$14*$B90</f>
      </c>
      <c r="Y90" s="12">
        <f>IF(X90&gt;0,IF(X90&lt;=eco,alpha*fck*(1-(1-X90/eco)^n),alpha*fck),0)</f>
      </c>
      <c r="Z90" s="30">
        <f>PM_Angle!$J$15+PM_Angle!$K$15*$C90+PM_Angle!$L$15*$B90</f>
      </c>
      <c r="AA90" s="12">
        <f>IF(Z90&gt;0,IF(Z90&lt;=eco,alpha*fck*(1-(1-Z90/eco)^n),alpha*fck),0)</f>
      </c>
      <c r="AB90" s="30">
        <f>PM_Angle!$J$16+PM_Angle!$K$16*$C90+PM_Angle!$L$16*$B90</f>
      </c>
      <c r="AC90" s="12">
        <f>IF(AB90&gt;0,IF(AB90&lt;=eco,alpha*fck*(1-(1-AB90/eco)^n),alpha*fck),0)</f>
      </c>
      <c r="AD90" s="30">
        <f>PM_Angle!$J$17+PM_Angle!$K$17*$C90+PM_Angle!$L$17*$B90</f>
      </c>
      <c r="AE90" s="12">
        <f>IF(AD90&gt;0,IF(AD90&lt;=eco,alpha*fck*(1-(1-AD90/eco)^n),alpha*fck),0)</f>
      </c>
      <c r="AF90" s="30">
        <f>PM_Angle!$J$18+PM_Angle!$K$18*$C90+PM_Angle!$L$18*$B90</f>
      </c>
      <c r="AG90" s="12">
        <f>IF(AF90&gt;0,IF(AF90&lt;=eco,alpha*fck*(1-(1-AF90/eco)^n),alpha*fck),0)</f>
      </c>
      <c r="AH90" s="30">
        <f>PM_Angle!$J$19+PM_Angle!$K$19*$C90+PM_Angle!$L$19*$B90</f>
      </c>
      <c r="AI90" s="12">
        <f>IF(AH90&gt;0,IF(AH90&lt;=eco,alpha*fck*(1-(1-AH90/eco)^n),alpha*fck),0)</f>
      </c>
      <c r="AJ90" s="30">
        <f>PM_Angle!$J$20+PM_Angle!$K$20*$C90+PM_Angle!$L$20*$B90</f>
      </c>
      <c r="AK90" s="12">
        <f>IF(AJ90&gt;0,IF(AJ90&lt;=eco,alpha*fck*(1-(1-AJ90/eco)^n),alpha*fck),0)</f>
      </c>
      <c r="AL90" s="30">
        <f>PM_Angle!$J$21+PM_Angle!$K$21*$C90+PM_Angle!$L$21*$B90</f>
      </c>
      <c r="AM90" s="12">
        <f>IF(AL90&gt;0,IF(AL90&lt;=eco,alpha*fck*(1-(1-AL90/eco)^n),alpha*fck),0)</f>
      </c>
      <c r="AN90" s="30">
        <f>PM_Angle!$J$22+PM_Angle!$K$22*$C90+PM_Angle!$L$22*$B90</f>
      </c>
      <c r="AO90" s="12">
        <f>IF(AN90&gt;0,IF(AN90&lt;=eco,alpha*fck*(1-(1-AN90/eco)^n),alpha*fck),0)</f>
      </c>
      <c r="AP90" s="30">
        <f>PM_Angle!$J$23+PM_Angle!$K$23*$C90+PM_Angle!$L$23*$B90</f>
      </c>
      <c r="AQ90" s="12">
        <f>IF(AP90&gt;0,IF(AP90&lt;=eco,alpha*fck*(1-(1-AP90/eco)^n),alpha*fck),0)</f>
      </c>
      <c r="AR90" s="30">
        <f>PM_Angle!$J$24+PM_Angle!$K$24*$C90+PM_Angle!$L$24*$B90</f>
      </c>
      <c r="AS90" s="12">
        <f>IF(AR90&gt;0,IF(AR90&lt;=eco,alpha*fck*(1-(1-AR90/eco)^n),alpha*fck),0)</f>
      </c>
      <c r="AT90" s="30">
        <f>PM_Angle!$J$25+PM_Angle!$K$25*$C90+PM_Angle!$L$25*$B90</f>
      </c>
      <c r="AU90" s="12">
        <f>IF(AT90&gt;0,IF(AT90&lt;=eco,alpha*fck*(1-(1-AT90/eco)^n),alpha*fck),0)</f>
      </c>
    </row>
    <row r="91" spans="1:47" x14ac:dyDescent="0.25">
      <c r="A91">
        <f>Mesh!A88</f>
      </c>
      <c r="B91" s="12">
        <f>Mesh!B88</f>
      </c>
      <c r="C91" s="12">
        <f>Mesh!C88</f>
      </c>
      <c r="D91" s="12">
        <f>Mesh!D88</f>
      </c>
      <c r="E91" s="30">
        <f>INDEX(St_e0,Det+1)+INDEX(St_kx,Det+1)*C91+INDEX(St_ky,Det+1)*B91</f>
      </c>
      <c r="F91" s="12">
        <f>IF(E91&gt;0,IF(E91&lt;=eco,alpha*fck*(1-(1-E91/eco)^n),alpha*fck),0)</f>
      </c>
      <c r="G91" s="11">
        <f>F91*D91</f>
      </c>
      <c r="H91" s="11">
        <f>G91*C91</f>
      </c>
      <c r="I91" s="11">
        <f>G91*B91</f>
      </c>
      <c r="J91" s="30">
        <f>PM_Angle!$J$7+PM_Angle!$K$7*$C91+PM_Angle!$L$7*$B91</f>
      </c>
      <c r="K91" s="12">
        <f>IF(J91&gt;0,IF(J91&lt;=eco,alpha*fck*(1-(1-J91/eco)^n),alpha*fck),0)</f>
      </c>
      <c r="L91" s="30">
        <f>PM_Angle!$J$8+PM_Angle!$K$8*$C91+PM_Angle!$L$8*$B91</f>
      </c>
      <c r="M91" s="12">
        <f>IF(L91&gt;0,IF(L91&lt;=eco,alpha*fck*(1-(1-L91/eco)^n),alpha*fck),0)</f>
      </c>
      <c r="N91" s="30">
        <f>PM_Angle!$J$9+PM_Angle!$K$9*$C91+PM_Angle!$L$9*$B91</f>
      </c>
      <c r="O91" s="12">
        <f>IF(N91&gt;0,IF(N91&lt;=eco,alpha*fck*(1-(1-N91/eco)^n),alpha*fck),0)</f>
      </c>
      <c r="P91" s="30">
        <f>PM_Angle!$J$10+PM_Angle!$K$10*$C91+PM_Angle!$L$10*$B91</f>
      </c>
      <c r="Q91" s="12">
        <f>IF(P91&gt;0,IF(P91&lt;=eco,alpha*fck*(1-(1-P91/eco)^n),alpha*fck),0)</f>
      </c>
      <c r="R91" s="30">
        <f>PM_Angle!$J$11+PM_Angle!$K$11*$C91+PM_Angle!$L$11*$B91</f>
      </c>
      <c r="S91" s="12">
        <f>IF(R91&gt;0,IF(R91&lt;=eco,alpha*fck*(1-(1-R91/eco)^n),alpha*fck),0)</f>
      </c>
      <c r="T91" s="30">
        <f>PM_Angle!$J$12+PM_Angle!$K$12*$C91+PM_Angle!$L$12*$B91</f>
      </c>
      <c r="U91" s="12">
        <f>IF(T91&gt;0,IF(T91&lt;=eco,alpha*fck*(1-(1-T91/eco)^n),alpha*fck),0)</f>
      </c>
      <c r="V91" s="30">
        <f>PM_Angle!$J$13+PM_Angle!$K$13*$C91+PM_Angle!$L$13*$B91</f>
      </c>
      <c r="W91" s="12">
        <f>IF(V91&gt;0,IF(V91&lt;=eco,alpha*fck*(1-(1-V91/eco)^n),alpha*fck),0)</f>
      </c>
      <c r="X91" s="30">
        <f>PM_Angle!$J$14+PM_Angle!$K$14*$C91+PM_Angle!$L$14*$B91</f>
      </c>
      <c r="Y91" s="12">
        <f>IF(X91&gt;0,IF(X91&lt;=eco,alpha*fck*(1-(1-X91/eco)^n),alpha*fck),0)</f>
      </c>
      <c r="Z91" s="30">
        <f>PM_Angle!$J$15+PM_Angle!$K$15*$C91+PM_Angle!$L$15*$B91</f>
      </c>
      <c r="AA91" s="12">
        <f>IF(Z91&gt;0,IF(Z91&lt;=eco,alpha*fck*(1-(1-Z91/eco)^n),alpha*fck),0)</f>
      </c>
      <c r="AB91" s="30">
        <f>PM_Angle!$J$16+PM_Angle!$K$16*$C91+PM_Angle!$L$16*$B91</f>
      </c>
      <c r="AC91" s="12">
        <f>IF(AB91&gt;0,IF(AB91&lt;=eco,alpha*fck*(1-(1-AB91/eco)^n),alpha*fck),0)</f>
      </c>
      <c r="AD91" s="30">
        <f>PM_Angle!$J$17+PM_Angle!$K$17*$C91+PM_Angle!$L$17*$B91</f>
      </c>
      <c r="AE91" s="12">
        <f>IF(AD91&gt;0,IF(AD91&lt;=eco,alpha*fck*(1-(1-AD91/eco)^n),alpha*fck),0)</f>
      </c>
      <c r="AF91" s="30">
        <f>PM_Angle!$J$18+PM_Angle!$K$18*$C91+PM_Angle!$L$18*$B91</f>
      </c>
      <c r="AG91" s="12">
        <f>IF(AF91&gt;0,IF(AF91&lt;=eco,alpha*fck*(1-(1-AF91/eco)^n),alpha*fck),0)</f>
      </c>
      <c r="AH91" s="30">
        <f>PM_Angle!$J$19+PM_Angle!$K$19*$C91+PM_Angle!$L$19*$B91</f>
      </c>
      <c r="AI91" s="12">
        <f>IF(AH91&gt;0,IF(AH91&lt;=eco,alpha*fck*(1-(1-AH91/eco)^n),alpha*fck),0)</f>
      </c>
      <c r="AJ91" s="30">
        <f>PM_Angle!$J$20+PM_Angle!$K$20*$C91+PM_Angle!$L$20*$B91</f>
      </c>
      <c r="AK91" s="12">
        <f>IF(AJ91&gt;0,IF(AJ91&lt;=eco,alpha*fck*(1-(1-AJ91/eco)^n),alpha*fck),0)</f>
      </c>
      <c r="AL91" s="30">
        <f>PM_Angle!$J$21+PM_Angle!$K$21*$C91+PM_Angle!$L$21*$B91</f>
      </c>
      <c r="AM91" s="12">
        <f>IF(AL91&gt;0,IF(AL91&lt;=eco,alpha*fck*(1-(1-AL91/eco)^n),alpha*fck),0)</f>
      </c>
      <c r="AN91" s="30">
        <f>PM_Angle!$J$22+PM_Angle!$K$22*$C91+PM_Angle!$L$22*$B91</f>
      </c>
      <c r="AO91" s="12">
        <f>IF(AN91&gt;0,IF(AN91&lt;=eco,alpha*fck*(1-(1-AN91/eco)^n),alpha*fck),0)</f>
      </c>
      <c r="AP91" s="30">
        <f>PM_Angle!$J$23+PM_Angle!$K$23*$C91+PM_Angle!$L$23*$B91</f>
      </c>
      <c r="AQ91" s="12">
        <f>IF(AP91&gt;0,IF(AP91&lt;=eco,alpha*fck*(1-(1-AP91/eco)^n),alpha*fck),0)</f>
      </c>
      <c r="AR91" s="30">
        <f>PM_Angle!$J$24+PM_Angle!$K$24*$C91+PM_Angle!$L$24*$B91</f>
      </c>
      <c r="AS91" s="12">
        <f>IF(AR91&gt;0,IF(AR91&lt;=eco,alpha*fck*(1-(1-AR91/eco)^n),alpha*fck),0)</f>
      </c>
      <c r="AT91" s="30">
        <f>PM_Angle!$J$25+PM_Angle!$K$25*$C91+PM_Angle!$L$25*$B91</f>
      </c>
      <c r="AU91" s="12">
        <f>IF(AT91&gt;0,IF(AT91&lt;=eco,alpha*fck*(1-(1-AT91/eco)^n),alpha*fck),0)</f>
      </c>
    </row>
    <row r="92" spans="1:47" x14ac:dyDescent="0.25">
      <c r="A92">
        <f>Mesh!A89</f>
      </c>
      <c r="B92" s="12">
        <f>Mesh!B89</f>
      </c>
      <c r="C92" s="12">
        <f>Mesh!C89</f>
      </c>
      <c r="D92" s="12">
        <f>Mesh!D89</f>
      </c>
      <c r="E92" s="30">
        <f>INDEX(St_e0,Det+1)+INDEX(St_kx,Det+1)*C92+INDEX(St_ky,Det+1)*B92</f>
      </c>
      <c r="F92" s="12">
        <f>IF(E92&gt;0,IF(E92&lt;=eco,alpha*fck*(1-(1-E92/eco)^n),alpha*fck),0)</f>
      </c>
      <c r="G92" s="11">
        <f>F92*D92</f>
      </c>
      <c r="H92" s="11">
        <f>G92*C92</f>
      </c>
      <c r="I92" s="11">
        <f>G92*B92</f>
      </c>
      <c r="J92" s="30">
        <f>PM_Angle!$J$7+PM_Angle!$K$7*$C92+PM_Angle!$L$7*$B92</f>
      </c>
      <c r="K92" s="12">
        <f>IF(J92&gt;0,IF(J92&lt;=eco,alpha*fck*(1-(1-J92/eco)^n),alpha*fck),0)</f>
      </c>
      <c r="L92" s="30">
        <f>PM_Angle!$J$8+PM_Angle!$K$8*$C92+PM_Angle!$L$8*$B92</f>
      </c>
      <c r="M92" s="12">
        <f>IF(L92&gt;0,IF(L92&lt;=eco,alpha*fck*(1-(1-L92/eco)^n),alpha*fck),0)</f>
      </c>
      <c r="N92" s="30">
        <f>PM_Angle!$J$9+PM_Angle!$K$9*$C92+PM_Angle!$L$9*$B92</f>
      </c>
      <c r="O92" s="12">
        <f>IF(N92&gt;0,IF(N92&lt;=eco,alpha*fck*(1-(1-N92/eco)^n),alpha*fck),0)</f>
      </c>
      <c r="P92" s="30">
        <f>PM_Angle!$J$10+PM_Angle!$K$10*$C92+PM_Angle!$L$10*$B92</f>
      </c>
      <c r="Q92" s="12">
        <f>IF(P92&gt;0,IF(P92&lt;=eco,alpha*fck*(1-(1-P92/eco)^n),alpha*fck),0)</f>
      </c>
      <c r="R92" s="30">
        <f>PM_Angle!$J$11+PM_Angle!$K$11*$C92+PM_Angle!$L$11*$B92</f>
      </c>
      <c r="S92" s="12">
        <f>IF(R92&gt;0,IF(R92&lt;=eco,alpha*fck*(1-(1-R92/eco)^n),alpha*fck),0)</f>
      </c>
      <c r="T92" s="30">
        <f>PM_Angle!$J$12+PM_Angle!$K$12*$C92+PM_Angle!$L$12*$B92</f>
      </c>
      <c r="U92" s="12">
        <f>IF(T92&gt;0,IF(T92&lt;=eco,alpha*fck*(1-(1-T92/eco)^n),alpha*fck),0)</f>
      </c>
      <c r="V92" s="30">
        <f>PM_Angle!$J$13+PM_Angle!$K$13*$C92+PM_Angle!$L$13*$B92</f>
      </c>
      <c r="W92" s="12">
        <f>IF(V92&gt;0,IF(V92&lt;=eco,alpha*fck*(1-(1-V92/eco)^n),alpha*fck),0)</f>
      </c>
      <c r="X92" s="30">
        <f>PM_Angle!$J$14+PM_Angle!$K$14*$C92+PM_Angle!$L$14*$B92</f>
      </c>
      <c r="Y92" s="12">
        <f>IF(X92&gt;0,IF(X92&lt;=eco,alpha*fck*(1-(1-X92/eco)^n),alpha*fck),0)</f>
      </c>
      <c r="Z92" s="30">
        <f>PM_Angle!$J$15+PM_Angle!$K$15*$C92+PM_Angle!$L$15*$B92</f>
      </c>
      <c r="AA92" s="12">
        <f>IF(Z92&gt;0,IF(Z92&lt;=eco,alpha*fck*(1-(1-Z92/eco)^n),alpha*fck),0)</f>
      </c>
      <c r="AB92" s="30">
        <f>PM_Angle!$J$16+PM_Angle!$K$16*$C92+PM_Angle!$L$16*$B92</f>
      </c>
      <c r="AC92" s="12">
        <f>IF(AB92&gt;0,IF(AB92&lt;=eco,alpha*fck*(1-(1-AB92/eco)^n),alpha*fck),0)</f>
      </c>
      <c r="AD92" s="30">
        <f>PM_Angle!$J$17+PM_Angle!$K$17*$C92+PM_Angle!$L$17*$B92</f>
      </c>
      <c r="AE92" s="12">
        <f>IF(AD92&gt;0,IF(AD92&lt;=eco,alpha*fck*(1-(1-AD92/eco)^n),alpha*fck),0)</f>
      </c>
      <c r="AF92" s="30">
        <f>PM_Angle!$J$18+PM_Angle!$K$18*$C92+PM_Angle!$L$18*$B92</f>
      </c>
      <c r="AG92" s="12">
        <f>IF(AF92&gt;0,IF(AF92&lt;=eco,alpha*fck*(1-(1-AF92/eco)^n),alpha*fck),0)</f>
      </c>
      <c r="AH92" s="30">
        <f>PM_Angle!$J$19+PM_Angle!$K$19*$C92+PM_Angle!$L$19*$B92</f>
      </c>
      <c r="AI92" s="12">
        <f>IF(AH92&gt;0,IF(AH92&lt;=eco,alpha*fck*(1-(1-AH92/eco)^n),alpha*fck),0)</f>
      </c>
      <c r="AJ92" s="30">
        <f>PM_Angle!$J$20+PM_Angle!$K$20*$C92+PM_Angle!$L$20*$B92</f>
      </c>
      <c r="AK92" s="12">
        <f>IF(AJ92&gt;0,IF(AJ92&lt;=eco,alpha*fck*(1-(1-AJ92/eco)^n),alpha*fck),0)</f>
      </c>
      <c r="AL92" s="30">
        <f>PM_Angle!$J$21+PM_Angle!$K$21*$C92+PM_Angle!$L$21*$B92</f>
      </c>
      <c r="AM92" s="12">
        <f>IF(AL92&gt;0,IF(AL92&lt;=eco,alpha*fck*(1-(1-AL92/eco)^n),alpha*fck),0)</f>
      </c>
      <c r="AN92" s="30">
        <f>PM_Angle!$J$22+PM_Angle!$K$22*$C92+PM_Angle!$L$22*$B92</f>
      </c>
      <c r="AO92" s="12">
        <f>IF(AN92&gt;0,IF(AN92&lt;=eco,alpha*fck*(1-(1-AN92/eco)^n),alpha*fck),0)</f>
      </c>
      <c r="AP92" s="30">
        <f>PM_Angle!$J$23+PM_Angle!$K$23*$C92+PM_Angle!$L$23*$B92</f>
      </c>
      <c r="AQ92" s="12">
        <f>IF(AP92&gt;0,IF(AP92&lt;=eco,alpha*fck*(1-(1-AP92/eco)^n),alpha*fck),0)</f>
      </c>
      <c r="AR92" s="30">
        <f>PM_Angle!$J$24+PM_Angle!$K$24*$C92+PM_Angle!$L$24*$B92</f>
      </c>
      <c r="AS92" s="12">
        <f>IF(AR92&gt;0,IF(AR92&lt;=eco,alpha*fck*(1-(1-AR92/eco)^n),alpha*fck),0)</f>
      </c>
      <c r="AT92" s="30">
        <f>PM_Angle!$J$25+PM_Angle!$K$25*$C92+PM_Angle!$L$25*$B92</f>
      </c>
      <c r="AU92" s="12">
        <f>IF(AT92&gt;0,IF(AT92&lt;=eco,alpha*fck*(1-(1-AT92/eco)^n),alpha*fck),0)</f>
      </c>
    </row>
    <row r="93" spans="1:47" x14ac:dyDescent="0.25">
      <c r="A93">
        <f>Mesh!A90</f>
      </c>
      <c r="B93" s="12">
        <f>Mesh!B90</f>
      </c>
      <c r="C93" s="12">
        <f>Mesh!C90</f>
      </c>
      <c r="D93" s="12">
        <f>Mesh!D90</f>
      </c>
      <c r="E93" s="30">
        <f>INDEX(St_e0,Det+1)+INDEX(St_kx,Det+1)*C93+INDEX(St_ky,Det+1)*B93</f>
      </c>
      <c r="F93" s="12">
        <f>IF(E93&gt;0,IF(E93&lt;=eco,alpha*fck*(1-(1-E93/eco)^n),alpha*fck),0)</f>
      </c>
      <c r="G93" s="11">
        <f>F93*D93</f>
      </c>
      <c r="H93" s="11">
        <f>G93*C93</f>
      </c>
      <c r="I93" s="11">
        <f>G93*B93</f>
      </c>
      <c r="J93" s="30">
        <f>PM_Angle!$J$7+PM_Angle!$K$7*$C93+PM_Angle!$L$7*$B93</f>
      </c>
      <c r="K93" s="12">
        <f>IF(J93&gt;0,IF(J93&lt;=eco,alpha*fck*(1-(1-J93/eco)^n),alpha*fck),0)</f>
      </c>
      <c r="L93" s="30">
        <f>PM_Angle!$J$8+PM_Angle!$K$8*$C93+PM_Angle!$L$8*$B93</f>
      </c>
      <c r="M93" s="12">
        <f>IF(L93&gt;0,IF(L93&lt;=eco,alpha*fck*(1-(1-L93/eco)^n),alpha*fck),0)</f>
      </c>
      <c r="N93" s="30">
        <f>PM_Angle!$J$9+PM_Angle!$K$9*$C93+PM_Angle!$L$9*$B93</f>
      </c>
      <c r="O93" s="12">
        <f>IF(N93&gt;0,IF(N93&lt;=eco,alpha*fck*(1-(1-N93/eco)^n),alpha*fck),0)</f>
      </c>
      <c r="P93" s="30">
        <f>PM_Angle!$J$10+PM_Angle!$K$10*$C93+PM_Angle!$L$10*$B93</f>
      </c>
      <c r="Q93" s="12">
        <f>IF(P93&gt;0,IF(P93&lt;=eco,alpha*fck*(1-(1-P93/eco)^n),alpha*fck),0)</f>
      </c>
      <c r="R93" s="30">
        <f>PM_Angle!$J$11+PM_Angle!$K$11*$C93+PM_Angle!$L$11*$B93</f>
      </c>
      <c r="S93" s="12">
        <f>IF(R93&gt;0,IF(R93&lt;=eco,alpha*fck*(1-(1-R93/eco)^n),alpha*fck),0)</f>
      </c>
      <c r="T93" s="30">
        <f>PM_Angle!$J$12+PM_Angle!$K$12*$C93+PM_Angle!$L$12*$B93</f>
      </c>
      <c r="U93" s="12">
        <f>IF(T93&gt;0,IF(T93&lt;=eco,alpha*fck*(1-(1-T93/eco)^n),alpha*fck),0)</f>
      </c>
      <c r="V93" s="30">
        <f>PM_Angle!$J$13+PM_Angle!$K$13*$C93+PM_Angle!$L$13*$B93</f>
      </c>
      <c r="W93" s="12">
        <f>IF(V93&gt;0,IF(V93&lt;=eco,alpha*fck*(1-(1-V93/eco)^n),alpha*fck),0)</f>
      </c>
      <c r="X93" s="30">
        <f>PM_Angle!$J$14+PM_Angle!$K$14*$C93+PM_Angle!$L$14*$B93</f>
      </c>
      <c r="Y93" s="12">
        <f>IF(X93&gt;0,IF(X93&lt;=eco,alpha*fck*(1-(1-X93/eco)^n),alpha*fck),0)</f>
      </c>
      <c r="Z93" s="30">
        <f>PM_Angle!$J$15+PM_Angle!$K$15*$C93+PM_Angle!$L$15*$B93</f>
      </c>
      <c r="AA93" s="12">
        <f>IF(Z93&gt;0,IF(Z93&lt;=eco,alpha*fck*(1-(1-Z93/eco)^n),alpha*fck),0)</f>
      </c>
      <c r="AB93" s="30">
        <f>PM_Angle!$J$16+PM_Angle!$K$16*$C93+PM_Angle!$L$16*$B93</f>
      </c>
      <c r="AC93" s="12">
        <f>IF(AB93&gt;0,IF(AB93&lt;=eco,alpha*fck*(1-(1-AB93/eco)^n),alpha*fck),0)</f>
      </c>
      <c r="AD93" s="30">
        <f>PM_Angle!$J$17+PM_Angle!$K$17*$C93+PM_Angle!$L$17*$B93</f>
      </c>
      <c r="AE93" s="12">
        <f>IF(AD93&gt;0,IF(AD93&lt;=eco,alpha*fck*(1-(1-AD93/eco)^n),alpha*fck),0)</f>
      </c>
      <c r="AF93" s="30">
        <f>PM_Angle!$J$18+PM_Angle!$K$18*$C93+PM_Angle!$L$18*$B93</f>
      </c>
      <c r="AG93" s="12">
        <f>IF(AF93&gt;0,IF(AF93&lt;=eco,alpha*fck*(1-(1-AF93/eco)^n),alpha*fck),0)</f>
      </c>
      <c r="AH93" s="30">
        <f>PM_Angle!$J$19+PM_Angle!$K$19*$C93+PM_Angle!$L$19*$B93</f>
      </c>
      <c r="AI93" s="12">
        <f>IF(AH93&gt;0,IF(AH93&lt;=eco,alpha*fck*(1-(1-AH93/eco)^n),alpha*fck),0)</f>
      </c>
      <c r="AJ93" s="30">
        <f>PM_Angle!$J$20+PM_Angle!$K$20*$C93+PM_Angle!$L$20*$B93</f>
      </c>
      <c r="AK93" s="12">
        <f>IF(AJ93&gt;0,IF(AJ93&lt;=eco,alpha*fck*(1-(1-AJ93/eco)^n),alpha*fck),0)</f>
      </c>
      <c r="AL93" s="30">
        <f>PM_Angle!$J$21+PM_Angle!$K$21*$C93+PM_Angle!$L$21*$B93</f>
      </c>
      <c r="AM93" s="12">
        <f>IF(AL93&gt;0,IF(AL93&lt;=eco,alpha*fck*(1-(1-AL93/eco)^n),alpha*fck),0)</f>
      </c>
      <c r="AN93" s="30">
        <f>PM_Angle!$J$22+PM_Angle!$K$22*$C93+PM_Angle!$L$22*$B93</f>
      </c>
      <c r="AO93" s="12">
        <f>IF(AN93&gt;0,IF(AN93&lt;=eco,alpha*fck*(1-(1-AN93/eco)^n),alpha*fck),0)</f>
      </c>
      <c r="AP93" s="30">
        <f>PM_Angle!$J$23+PM_Angle!$K$23*$C93+PM_Angle!$L$23*$B93</f>
      </c>
      <c r="AQ93" s="12">
        <f>IF(AP93&gt;0,IF(AP93&lt;=eco,alpha*fck*(1-(1-AP93/eco)^n),alpha*fck),0)</f>
      </c>
      <c r="AR93" s="30">
        <f>PM_Angle!$J$24+PM_Angle!$K$24*$C93+PM_Angle!$L$24*$B93</f>
      </c>
      <c r="AS93" s="12">
        <f>IF(AR93&gt;0,IF(AR93&lt;=eco,alpha*fck*(1-(1-AR93/eco)^n),alpha*fck),0)</f>
      </c>
      <c r="AT93" s="30">
        <f>PM_Angle!$J$25+PM_Angle!$K$25*$C93+PM_Angle!$L$25*$B93</f>
      </c>
      <c r="AU93" s="12">
        <f>IF(AT93&gt;0,IF(AT93&lt;=eco,alpha*fck*(1-(1-AT93/eco)^n),alpha*fck),0)</f>
      </c>
    </row>
    <row r="94" spans="1:47" x14ac:dyDescent="0.25">
      <c r="A94">
        <f>Mesh!A91</f>
      </c>
      <c r="B94" s="12">
        <f>Mesh!B91</f>
      </c>
      <c r="C94" s="12">
        <f>Mesh!C91</f>
      </c>
      <c r="D94" s="12">
        <f>Mesh!D91</f>
      </c>
      <c r="E94" s="30">
        <f>INDEX(St_e0,Det+1)+INDEX(St_kx,Det+1)*C94+INDEX(St_ky,Det+1)*B94</f>
      </c>
      <c r="F94" s="12">
        <f>IF(E94&gt;0,IF(E94&lt;=eco,alpha*fck*(1-(1-E94/eco)^n),alpha*fck),0)</f>
      </c>
      <c r="G94" s="11">
        <f>F94*D94</f>
      </c>
      <c r="H94" s="11">
        <f>G94*C94</f>
      </c>
      <c r="I94" s="11">
        <f>G94*B94</f>
      </c>
      <c r="J94" s="30">
        <f>PM_Angle!$J$7+PM_Angle!$K$7*$C94+PM_Angle!$L$7*$B94</f>
      </c>
      <c r="K94" s="12">
        <f>IF(J94&gt;0,IF(J94&lt;=eco,alpha*fck*(1-(1-J94/eco)^n),alpha*fck),0)</f>
      </c>
      <c r="L94" s="30">
        <f>PM_Angle!$J$8+PM_Angle!$K$8*$C94+PM_Angle!$L$8*$B94</f>
      </c>
      <c r="M94" s="12">
        <f>IF(L94&gt;0,IF(L94&lt;=eco,alpha*fck*(1-(1-L94/eco)^n),alpha*fck),0)</f>
      </c>
      <c r="N94" s="30">
        <f>PM_Angle!$J$9+PM_Angle!$K$9*$C94+PM_Angle!$L$9*$B94</f>
      </c>
      <c r="O94" s="12">
        <f>IF(N94&gt;0,IF(N94&lt;=eco,alpha*fck*(1-(1-N94/eco)^n),alpha*fck),0)</f>
      </c>
      <c r="P94" s="30">
        <f>PM_Angle!$J$10+PM_Angle!$K$10*$C94+PM_Angle!$L$10*$B94</f>
      </c>
      <c r="Q94" s="12">
        <f>IF(P94&gt;0,IF(P94&lt;=eco,alpha*fck*(1-(1-P94/eco)^n),alpha*fck),0)</f>
      </c>
      <c r="R94" s="30">
        <f>PM_Angle!$J$11+PM_Angle!$K$11*$C94+PM_Angle!$L$11*$B94</f>
      </c>
      <c r="S94" s="12">
        <f>IF(R94&gt;0,IF(R94&lt;=eco,alpha*fck*(1-(1-R94/eco)^n),alpha*fck),0)</f>
      </c>
      <c r="T94" s="30">
        <f>PM_Angle!$J$12+PM_Angle!$K$12*$C94+PM_Angle!$L$12*$B94</f>
      </c>
      <c r="U94" s="12">
        <f>IF(T94&gt;0,IF(T94&lt;=eco,alpha*fck*(1-(1-T94/eco)^n),alpha*fck),0)</f>
      </c>
      <c r="V94" s="30">
        <f>PM_Angle!$J$13+PM_Angle!$K$13*$C94+PM_Angle!$L$13*$B94</f>
      </c>
      <c r="W94" s="12">
        <f>IF(V94&gt;0,IF(V94&lt;=eco,alpha*fck*(1-(1-V94/eco)^n),alpha*fck),0)</f>
      </c>
      <c r="X94" s="30">
        <f>PM_Angle!$J$14+PM_Angle!$K$14*$C94+PM_Angle!$L$14*$B94</f>
      </c>
      <c r="Y94" s="12">
        <f>IF(X94&gt;0,IF(X94&lt;=eco,alpha*fck*(1-(1-X94/eco)^n),alpha*fck),0)</f>
      </c>
      <c r="Z94" s="30">
        <f>PM_Angle!$J$15+PM_Angle!$K$15*$C94+PM_Angle!$L$15*$B94</f>
      </c>
      <c r="AA94" s="12">
        <f>IF(Z94&gt;0,IF(Z94&lt;=eco,alpha*fck*(1-(1-Z94/eco)^n),alpha*fck),0)</f>
      </c>
      <c r="AB94" s="30">
        <f>PM_Angle!$J$16+PM_Angle!$K$16*$C94+PM_Angle!$L$16*$B94</f>
      </c>
      <c r="AC94" s="12">
        <f>IF(AB94&gt;0,IF(AB94&lt;=eco,alpha*fck*(1-(1-AB94/eco)^n),alpha*fck),0)</f>
      </c>
      <c r="AD94" s="30">
        <f>PM_Angle!$J$17+PM_Angle!$K$17*$C94+PM_Angle!$L$17*$B94</f>
      </c>
      <c r="AE94" s="12">
        <f>IF(AD94&gt;0,IF(AD94&lt;=eco,alpha*fck*(1-(1-AD94/eco)^n),alpha*fck),0)</f>
      </c>
      <c r="AF94" s="30">
        <f>PM_Angle!$J$18+PM_Angle!$K$18*$C94+PM_Angle!$L$18*$B94</f>
      </c>
      <c r="AG94" s="12">
        <f>IF(AF94&gt;0,IF(AF94&lt;=eco,alpha*fck*(1-(1-AF94/eco)^n),alpha*fck),0)</f>
      </c>
      <c r="AH94" s="30">
        <f>PM_Angle!$J$19+PM_Angle!$K$19*$C94+PM_Angle!$L$19*$B94</f>
      </c>
      <c r="AI94" s="12">
        <f>IF(AH94&gt;0,IF(AH94&lt;=eco,alpha*fck*(1-(1-AH94/eco)^n),alpha*fck),0)</f>
      </c>
      <c r="AJ94" s="30">
        <f>PM_Angle!$J$20+PM_Angle!$K$20*$C94+PM_Angle!$L$20*$B94</f>
      </c>
      <c r="AK94" s="12">
        <f>IF(AJ94&gt;0,IF(AJ94&lt;=eco,alpha*fck*(1-(1-AJ94/eco)^n),alpha*fck),0)</f>
      </c>
      <c r="AL94" s="30">
        <f>PM_Angle!$J$21+PM_Angle!$K$21*$C94+PM_Angle!$L$21*$B94</f>
      </c>
      <c r="AM94" s="12">
        <f>IF(AL94&gt;0,IF(AL94&lt;=eco,alpha*fck*(1-(1-AL94/eco)^n),alpha*fck),0)</f>
      </c>
      <c r="AN94" s="30">
        <f>PM_Angle!$J$22+PM_Angle!$K$22*$C94+PM_Angle!$L$22*$B94</f>
      </c>
      <c r="AO94" s="12">
        <f>IF(AN94&gt;0,IF(AN94&lt;=eco,alpha*fck*(1-(1-AN94/eco)^n),alpha*fck),0)</f>
      </c>
      <c r="AP94" s="30">
        <f>PM_Angle!$J$23+PM_Angle!$K$23*$C94+PM_Angle!$L$23*$B94</f>
      </c>
      <c r="AQ94" s="12">
        <f>IF(AP94&gt;0,IF(AP94&lt;=eco,alpha*fck*(1-(1-AP94/eco)^n),alpha*fck),0)</f>
      </c>
      <c r="AR94" s="30">
        <f>PM_Angle!$J$24+PM_Angle!$K$24*$C94+PM_Angle!$L$24*$B94</f>
      </c>
      <c r="AS94" s="12">
        <f>IF(AR94&gt;0,IF(AR94&lt;=eco,alpha*fck*(1-(1-AR94/eco)^n),alpha*fck),0)</f>
      </c>
      <c r="AT94" s="30">
        <f>PM_Angle!$J$25+PM_Angle!$K$25*$C94+PM_Angle!$L$25*$B94</f>
      </c>
      <c r="AU94" s="12">
        <f>IF(AT94&gt;0,IF(AT94&lt;=eco,alpha*fck*(1-(1-AT94/eco)^n),alpha*fck),0)</f>
      </c>
    </row>
    <row r="95" spans="1:47" x14ac:dyDescent="0.25">
      <c r="A95">
        <f>Mesh!A92</f>
      </c>
      <c r="B95" s="12">
        <f>Mesh!B92</f>
      </c>
      <c r="C95" s="12">
        <f>Mesh!C92</f>
      </c>
      <c r="D95" s="12">
        <f>Mesh!D92</f>
      </c>
      <c r="E95" s="30">
        <f>INDEX(St_e0,Det+1)+INDEX(St_kx,Det+1)*C95+INDEX(St_ky,Det+1)*B95</f>
      </c>
      <c r="F95" s="12">
        <f>IF(E95&gt;0,IF(E95&lt;=eco,alpha*fck*(1-(1-E95/eco)^n),alpha*fck),0)</f>
      </c>
      <c r="G95" s="11">
        <f>F95*D95</f>
      </c>
      <c r="H95" s="11">
        <f>G95*C95</f>
      </c>
      <c r="I95" s="11">
        <f>G95*B95</f>
      </c>
      <c r="J95" s="30">
        <f>PM_Angle!$J$7+PM_Angle!$K$7*$C95+PM_Angle!$L$7*$B95</f>
      </c>
      <c r="K95" s="12">
        <f>IF(J95&gt;0,IF(J95&lt;=eco,alpha*fck*(1-(1-J95/eco)^n),alpha*fck),0)</f>
      </c>
      <c r="L95" s="30">
        <f>PM_Angle!$J$8+PM_Angle!$K$8*$C95+PM_Angle!$L$8*$B95</f>
      </c>
      <c r="M95" s="12">
        <f>IF(L95&gt;0,IF(L95&lt;=eco,alpha*fck*(1-(1-L95/eco)^n),alpha*fck),0)</f>
      </c>
      <c r="N95" s="30">
        <f>PM_Angle!$J$9+PM_Angle!$K$9*$C95+PM_Angle!$L$9*$B95</f>
      </c>
      <c r="O95" s="12">
        <f>IF(N95&gt;0,IF(N95&lt;=eco,alpha*fck*(1-(1-N95/eco)^n),alpha*fck),0)</f>
      </c>
      <c r="P95" s="30">
        <f>PM_Angle!$J$10+PM_Angle!$K$10*$C95+PM_Angle!$L$10*$B95</f>
      </c>
      <c r="Q95" s="12">
        <f>IF(P95&gt;0,IF(P95&lt;=eco,alpha*fck*(1-(1-P95/eco)^n),alpha*fck),0)</f>
      </c>
      <c r="R95" s="30">
        <f>PM_Angle!$J$11+PM_Angle!$K$11*$C95+PM_Angle!$L$11*$B95</f>
      </c>
      <c r="S95" s="12">
        <f>IF(R95&gt;0,IF(R95&lt;=eco,alpha*fck*(1-(1-R95/eco)^n),alpha*fck),0)</f>
      </c>
      <c r="T95" s="30">
        <f>PM_Angle!$J$12+PM_Angle!$K$12*$C95+PM_Angle!$L$12*$B95</f>
      </c>
      <c r="U95" s="12">
        <f>IF(T95&gt;0,IF(T95&lt;=eco,alpha*fck*(1-(1-T95/eco)^n),alpha*fck),0)</f>
      </c>
      <c r="V95" s="30">
        <f>PM_Angle!$J$13+PM_Angle!$K$13*$C95+PM_Angle!$L$13*$B95</f>
      </c>
      <c r="W95" s="12">
        <f>IF(V95&gt;0,IF(V95&lt;=eco,alpha*fck*(1-(1-V95/eco)^n),alpha*fck),0)</f>
      </c>
      <c r="X95" s="30">
        <f>PM_Angle!$J$14+PM_Angle!$K$14*$C95+PM_Angle!$L$14*$B95</f>
      </c>
      <c r="Y95" s="12">
        <f>IF(X95&gt;0,IF(X95&lt;=eco,alpha*fck*(1-(1-X95/eco)^n),alpha*fck),0)</f>
      </c>
      <c r="Z95" s="30">
        <f>PM_Angle!$J$15+PM_Angle!$K$15*$C95+PM_Angle!$L$15*$B95</f>
      </c>
      <c r="AA95" s="12">
        <f>IF(Z95&gt;0,IF(Z95&lt;=eco,alpha*fck*(1-(1-Z95/eco)^n),alpha*fck),0)</f>
      </c>
      <c r="AB95" s="30">
        <f>PM_Angle!$J$16+PM_Angle!$K$16*$C95+PM_Angle!$L$16*$B95</f>
      </c>
      <c r="AC95" s="12">
        <f>IF(AB95&gt;0,IF(AB95&lt;=eco,alpha*fck*(1-(1-AB95/eco)^n),alpha*fck),0)</f>
      </c>
      <c r="AD95" s="30">
        <f>PM_Angle!$J$17+PM_Angle!$K$17*$C95+PM_Angle!$L$17*$B95</f>
      </c>
      <c r="AE95" s="12">
        <f>IF(AD95&gt;0,IF(AD95&lt;=eco,alpha*fck*(1-(1-AD95/eco)^n),alpha*fck),0)</f>
      </c>
      <c r="AF95" s="30">
        <f>PM_Angle!$J$18+PM_Angle!$K$18*$C95+PM_Angle!$L$18*$B95</f>
      </c>
      <c r="AG95" s="12">
        <f>IF(AF95&gt;0,IF(AF95&lt;=eco,alpha*fck*(1-(1-AF95/eco)^n),alpha*fck),0)</f>
      </c>
      <c r="AH95" s="30">
        <f>PM_Angle!$J$19+PM_Angle!$K$19*$C95+PM_Angle!$L$19*$B95</f>
      </c>
      <c r="AI95" s="12">
        <f>IF(AH95&gt;0,IF(AH95&lt;=eco,alpha*fck*(1-(1-AH95/eco)^n),alpha*fck),0)</f>
      </c>
      <c r="AJ95" s="30">
        <f>PM_Angle!$J$20+PM_Angle!$K$20*$C95+PM_Angle!$L$20*$B95</f>
      </c>
      <c r="AK95" s="12">
        <f>IF(AJ95&gt;0,IF(AJ95&lt;=eco,alpha*fck*(1-(1-AJ95/eco)^n),alpha*fck),0)</f>
      </c>
      <c r="AL95" s="30">
        <f>PM_Angle!$J$21+PM_Angle!$K$21*$C95+PM_Angle!$L$21*$B95</f>
      </c>
      <c r="AM95" s="12">
        <f>IF(AL95&gt;0,IF(AL95&lt;=eco,alpha*fck*(1-(1-AL95/eco)^n),alpha*fck),0)</f>
      </c>
      <c r="AN95" s="30">
        <f>PM_Angle!$J$22+PM_Angle!$K$22*$C95+PM_Angle!$L$22*$B95</f>
      </c>
      <c r="AO95" s="12">
        <f>IF(AN95&gt;0,IF(AN95&lt;=eco,alpha*fck*(1-(1-AN95/eco)^n),alpha*fck),0)</f>
      </c>
      <c r="AP95" s="30">
        <f>PM_Angle!$J$23+PM_Angle!$K$23*$C95+PM_Angle!$L$23*$B95</f>
      </c>
      <c r="AQ95" s="12">
        <f>IF(AP95&gt;0,IF(AP95&lt;=eco,alpha*fck*(1-(1-AP95/eco)^n),alpha*fck),0)</f>
      </c>
      <c r="AR95" s="30">
        <f>PM_Angle!$J$24+PM_Angle!$K$24*$C95+PM_Angle!$L$24*$B95</f>
      </c>
      <c r="AS95" s="12">
        <f>IF(AR95&gt;0,IF(AR95&lt;=eco,alpha*fck*(1-(1-AR95/eco)^n),alpha*fck),0)</f>
      </c>
      <c r="AT95" s="30">
        <f>PM_Angle!$J$25+PM_Angle!$K$25*$C95+PM_Angle!$L$25*$B95</f>
      </c>
      <c r="AU95" s="12">
        <f>IF(AT95&gt;0,IF(AT95&lt;=eco,alpha*fck*(1-(1-AT95/eco)^n),alpha*fck),0)</f>
      </c>
    </row>
    <row r="96" spans="1:47" x14ac:dyDescent="0.25">
      <c r="A96">
        <f>Mesh!A93</f>
      </c>
      <c r="B96" s="12">
        <f>Mesh!B93</f>
      </c>
      <c r="C96" s="12">
        <f>Mesh!C93</f>
      </c>
      <c r="D96" s="12">
        <f>Mesh!D93</f>
      </c>
      <c r="E96" s="30">
        <f>INDEX(St_e0,Det+1)+INDEX(St_kx,Det+1)*C96+INDEX(St_ky,Det+1)*B96</f>
      </c>
      <c r="F96" s="12">
        <f>IF(E96&gt;0,IF(E96&lt;=eco,alpha*fck*(1-(1-E96/eco)^n),alpha*fck),0)</f>
      </c>
      <c r="G96" s="11">
        <f>F96*D96</f>
      </c>
      <c r="H96" s="11">
        <f>G96*C96</f>
      </c>
      <c r="I96" s="11">
        <f>G96*B96</f>
      </c>
      <c r="J96" s="30">
        <f>PM_Angle!$J$7+PM_Angle!$K$7*$C96+PM_Angle!$L$7*$B96</f>
      </c>
      <c r="K96" s="12">
        <f>IF(J96&gt;0,IF(J96&lt;=eco,alpha*fck*(1-(1-J96/eco)^n),alpha*fck),0)</f>
      </c>
      <c r="L96" s="30">
        <f>PM_Angle!$J$8+PM_Angle!$K$8*$C96+PM_Angle!$L$8*$B96</f>
      </c>
      <c r="M96" s="12">
        <f>IF(L96&gt;0,IF(L96&lt;=eco,alpha*fck*(1-(1-L96/eco)^n),alpha*fck),0)</f>
      </c>
      <c r="N96" s="30">
        <f>PM_Angle!$J$9+PM_Angle!$K$9*$C96+PM_Angle!$L$9*$B96</f>
      </c>
      <c r="O96" s="12">
        <f>IF(N96&gt;0,IF(N96&lt;=eco,alpha*fck*(1-(1-N96/eco)^n),alpha*fck),0)</f>
      </c>
      <c r="P96" s="30">
        <f>PM_Angle!$J$10+PM_Angle!$K$10*$C96+PM_Angle!$L$10*$B96</f>
      </c>
      <c r="Q96" s="12">
        <f>IF(P96&gt;0,IF(P96&lt;=eco,alpha*fck*(1-(1-P96/eco)^n),alpha*fck),0)</f>
      </c>
      <c r="R96" s="30">
        <f>PM_Angle!$J$11+PM_Angle!$K$11*$C96+PM_Angle!$L$11*$B96</f>
      </c>
      <c r="S96" s="12">
        <f>IF(R96&gt;0,IF(R96&lt;=eco,alpha*fck*(1-(1-R96/eco)^n),alpha*fck),0)</f>
      </c>
      <c r="T96" s="30">
        <f>PM_Angle!$J$12+PM_Angle!$K$12*$C96+PM_Angle!$L$12*$B96</f>
      </c>
      <c r="U96" s="12">
        <f>IF(T96&gt;0,IF(T96&lt;=eco,alpha*fck*(1-(1-T96/eco)^n),alpha*fck),0)</f>
      </c>
      <c r="V96" s="30">
        <f>PM_Angle!$J$13+PM_Angle!$K$13*$C96+PM_Angle!$L$13*$B96</f>
      </c>
      <c r="W96" s="12">
        <f>IF(V96&gt;0,IF(V96&lt;=eco,alpha*fck*(1-(1-V96/eco)^n),alpha*fck),0)</f>
      </c>
      <c r="X96" s="30">
        <f>PM_Angle!$J$14+PM_Angle!$K$14*$C96+PM_Angle!$L$14*$B96</f>
      </c>
      <c r="Y96" s="12">
        <f>IF(X96&gt;0,IF(X96&lt;=eco,alpha*fck*(1-(1-X96/eco)^n),alpha*fck),0)</f>
      </c>
      <c r="Z96" s="30">
        <f>PM_Angle!$J$15+PM_Angle!$K$15*$C96+PM_Angle!$L$15*$B96</f>
      </c>
      <c r="AA96" s="12">
        <f>IF(Z96&gt;0,IF(Z96&lt;=eco,alpha*fck*(1-(1-Z96/eco)^n),alpha*fck),0)</f>
      </c>
      <c r="AB96" s="30">
        <f>PM_Angle!$J$16+PM_Angle!$K$16*$C96+PM_Angle!$L$16*$B96</f>
      </c>
      <c r="AC96" s="12">
        <f>IF(AB96&gt;0,IF(AB96&lt;=eco,alpha*fck*(1-(1-AB96/eco)^n),alpha*fck),0)</f>
      </c>
      <c r="AD96" s="30">
        <f>PM_Angle!$J$17+PM_Angle!$K$17*$C96+PM_Angle!$L$17*$B96</f>
      </c>
      <c r="AE96" s="12">
        <f>IF(AD96&gt;0,IF(AD96&lt;=eco,alpha*fck*(1-(1-AD96/eco)^n),alpha*fck),0)</f>
      </c>
      <c r="AF96" s="30">
        <f>PM_Angle!$J$18+PM_Angle!$K$18*$C96+PM_Angle!$L$18*$B96</f>
      </c>
      <c r="AG96" s="12">
        <f>IF(AF96&gt;0,IF(AF96&lt;=eco,alpha*fck*(1-(1-AF96/eco)^n),alpha*fck),0)</f>
      </c>
      <c r="AH96" s="30">
        <f>PM_Angle!$J$19+PM_Angle!$K$19*$C96+PM_Angle!$L$19*$B96</f>
      </c>
      <c r="AI96" s="12">
        <f>IF(AH96&gt;0,IF(AH96&lt;=eco,alpha*fck*(1-(1-AH96/eco)^n),alpha*fck),0)</f>
      </c>
      <c r="AJ96" s="30">
        <f>PM_Angle!$J$20+PM_Angle!$K$20*$C96+PM_Angle!$L$20*$B96</f>
      </c>
      <c r="AK96" s="12">
        <f>IF(AJ96&gt;0,IF(AJ96&lt;=eco,alpha*fck*(1-(1-AJ96/eco)^n),alpha*fck),0)</f>
      </c>
      <c r="AL96" s="30">
        <f>PM_Angle!$J$21+PM_Angle!$K$21*$C96+PM_Angle!$L$21*$B96</f>
      </c>
      <c r="AM96" s="12">
        <f>IF(AL96&gt;0,IF(AL96&lt;=eco,alpha*fck*(1-(1-AL96/eco)^n),alpha*fck),0)</f>
      </c>
      <c r="AN96" s="30">
        <f>PM_Angle!$J$22+PM_Angle!$K$22*$C96+PM_Angle!$L$22*$B96</f>
      </c>
      <c r="AO96" s="12">
        <f>IF(AN96&gt;0,IF(AN96&lt;=eco,alpha*fck*(1-(1-AN96/eco)^n),alpha*fck),0)</f>
      </c>
      <c r="AP96" s="30">
        <f>PM_Angle!$J$23+PM_Angle!$K$23*$C96+PM_Angle!$L$23*$B96</f>
      </c>
      <c r="AQ96" s="12">
        <f>IF(AP96&gt;0,IF(AP96&lt;=eco,alpha*fck*(1-(1-AP96/eco)^n),alpha*fck),0)</f>
      </c>
      <c r="AR96" s="30">
        <f>PM_Angle!$J$24+PM_Angle!$K$24*$C96+PM_Angle!$L$24*$B96</f>
      </c>
      <c r="AS96" s="12">
        <f>IF(AR96&gt;0,IF(AR96&lt;=eco,alpha*fck*(1-(1-AR96/eco)^n),alpha*fck),0)</f>
      </c>
      <c r="AT96" s="30">
        <f>PM_Angle!$J$25+PM_Angle!$K$25*$C96+PM_Angle!$L$25*$B96</f>
      </c>
      <c r="AU96" s="12">
        <f>IF(AT96&gt;0,IF(AT96&lt;=eco,alpha*fck*(1-(1-AT96/eco)^n),alpha*fck),0)</f>
      </c>
    </row>
    <row r="97" spans="1:47" x14ac:dyDescent="0.25">
      <c r="A97">
        <f>Mesh!A94</f>
      </c>
      <c r="B97" s="12">
        <f>Mesh!B94</f>
      </c>
      <c r="C97" s="12">
        <f>Mesh!C94</f>
      </c>
      <c r="D97" s="12">
        <f>Mesh!D94</f>
      </c>
      <c r="E97" s="30">
        <f>INDEX(St_e0,Det+1)+INDEX(St_kx,Det+1)*C97+INDEX(St_ky,Det+1)*B97</f>
      </c>
      <c r="F97" s="12">
        <f>IF(E97&gt;0,IF(E97&lt;=eco,alpha*fck*(1-(1-E97/eco)^n),alpha*fck),0)</f>
      </c>
      <c r="G97" s="11">
        <f>F97*D97</f>
      </c>
      <c r="H97" s="11">
        <f>G97*C97</f>
      </c>
      <c r="I97" s="11">
        <f>G97*B97</f>
      </c>
      <c r="J97" s="30">
        <f>PM_Angle!$J$7+PM_Angle!$K$7*$C97+PM_Angle!$L$7*$B97</f>
      </c>
      <c r="K97" s="12">
        <f>IF(J97&gt;0,IF(J97&lt;=eco,alpha*fck*(1-(1-J97/eco)^n),alpha*fck),0)</f>
      </c>
      <c r="L97" s="30">
        <f>PM_Angle!$J$8+PM_Angle!$K$8*$C97+PM_Angle!$L$8*$B97</f>
      </c>
      <c r="M97" s="12">
        <f>IF(L97&gt;0,IF(L97&lt;=eco,alpha*fck*(1-(1-L97/eco)^n),alpha*fck),0)</f>
      </c>
      <c r="N97" s="30">
        <f>PM_Angle!$J$9+PM_Angle!$K$9*$C97+PM_Angle!$L$9*$B97</f>
      </c>
      <c r="O97" s="12">
        <f>IF(N97&gt;0,IF(N97&lt;=eco,alpha*fck*(1-(1-N97/eco)^n),alpha*fck),0)</f>
      </c>
      <c r="P97" s="30">
        <f>PM_Angle!$J$10+PM_Angle!$K$10*$C97+PM_Angle!$L$10*$B97</f>
      </c>
      <c r="Q97" s="12">
        <f>IF(P97&gt;0,IF(P97&lt;=eco,alpha*fck*(1-(1-P97/eco)^n),alpha*fck),0)</f>
      </c>
      <c r="R97" s="30">
        <f>PM_Angle!$J$11+PM_Angle!$K$11*$C97+PM_Angle!$L$11*$B97</f>
      </c>
      <c r="S97" s="12">
        <f>IF(R97&gt;0,IF(R97&lt;=eco,alpha*fck*(1-(1-R97/eco)^n),alpha*fck),0)</f>
      </c>
      <c r="T97" s="30">
        <f>PM_Angle!$J$12+PM_Angle!$K$12*$C97+PM_Angle!$L$12*$B97</f>
      </c>
      <c r="U97" s="12">
        <f>IF(T97&gt;0,IF(T97&lt;=eco,alpha*fck*(1-(1-T97/eco)^n),alpha*fck),0)</f>
      </c>
      <c r="V97" s="30">
        <f>PM_Angle!$J$13+PM_Angle!$K$13*$C97+PM_Angle!$L$13*$B97</f>
      </c>
      <c r="W97" s="12">
        <f>IF(V97&gt;0,IF(V97&lt;=eco,alpha*fck*(1-(1-V97/eco)^n),alpha*fck),0)</f>
      </c>
      <c r="X97" s="30">
        <f>PM_Angle!$J$14+PM_Angle!$K$14*$C97+PM_Angle!$L$14*$B97</f>
      </c>
      <c r="Y97" s="12">
        <f>IF(X97&gt;0,IF(X97&lt;=eco,alpha*fck*(1-(1-X97/eco)^n),alpha*fck),0)</f>
      </c>
      <c r="Z97" s="30">
        <f>PM_Angle!$J$15+PM_Angle!$K$15*$C97+PM_Angle!$L$15*$B97</f>
      </c>
      <c r="AA97" s="12">
        <f>IF(Z97&gt;0,IF(Z97&lt;=eco,alpha*fck*(1-(1-Z97/eco)^n),alpha*fck),0)</f>
      </c>
      <c r="AB97" s="30">
        <f>PM_Angle!$J$16+PM_Angle!$K$16*$C97+PM_Angle!$L$16*$B97</f>
      </c>
      <c r="AC97" s="12">
        <f>IF(AB97&gt;0,IF(AB97&lt;=eco,alpha*fck*(1-(1-AB97/eco)^n),alpha*fck),0)</f>
      </c>
      <c r="AD97" s="30">
        <f>PM_Angle!$J$17+PM_Angle!$K$17*$C97+PM_Angle!$L$17*$B97</f>
      </c>
      <c r="AE97" s="12">
        <f>IF(AD97&gt;0,IF(AD97&lt;=eco,alpha*fck*(1-(1-AD97/eco)^n),alpha*fck),0)</f>
      </c>
      <c r="AF97" s="30">
        <f>PM_Angle!$J$18+PM_Angle!$K$18*$C97+PM_Angle!$L$18*$B97</f>
      </c>
      <c r="AG97" s="12">
        <f>IF(AF97&gt;0,IF(AF97&lt;=eco,alpha*fck*(1-(1-AF97/eco)^n),alpha*fck),0)</f>
      </c>
      <c r="AH97" s="30">
        <f>PM_Angle!$J$19+PM_Angle!$K$19*$C97+PM_Angle!$L$19*$B97</f>
      </c>
      <c r="AI97" s="12">
        <f>IF(AH97&gt;0,IF(AH97&lt;=eco,alpha*fck*(1-(1-AH97/eco)^n),alpha*fck),0)</f>
      </c>
      <c r="AJ97" s="30">
        <f>PM_Angle!$J$20+PM_Angle!$K$20*$C97+PM_Angle!$L$20*$B97</f>
      </c>
      <c r="AK97" s="12">
        <f>IF(AJ97&gt;0,IF(AJ97&lt;=eco,alpha*fck*(1-(1-AJ97/eco)^n),alpha*fck),0)</f>
      </c>
      <c r="AL97" s="30">
        <f>PM_Angle!$J$21+PM_Angle!$K$21*$C97+PM_Angle!$L$21*$B97</f>
      </c>
      <c r="AM97" s="12">
        <f>IF(AL97&gt;0,IF(AL97&lt;=eco,alpha*fck*(1-(1-AL97/eco)^n),alpha*fck),0)</f>
      </c>
      <c r="AN97" s="30">
        <f>PM_Angle!$J$22+PM_Angle!$K$22*$C97+PM_Angle!$L$22*$B97</f>
      </c>
      <c r="AO97" s="12">
        <f>IF(AN97&gt;0,IF(AN97&lt;=eco,alpha*fck*(1-(1-AN97/eco)^n),alpha*fck),0)</f>
      </c>
      <c r="AP97" s="30">
        <f>PM_Angle!$J$23+PM_Angle!$K$23*$C97+PM_Angle!$L$23*$B97</f>
      </c>
      <c r="AQ97" s="12">
        <f>IF(AP97&gt;0,IF(AP97&lt;=eco,alpha*fck*(1-(1-AP97/eco)^n),alpha*fck),0)</f>
      </c>
      <c r="AR97" s="30">
        <f>PM_Angle!$J$24+PM_Angle!$K$24*$C97+PM_Angle!$L$24*$B97</f>
      </c>
      <c r="AS97" s="12">
        <f>IF(AR97&gt;0,IF(AR97&lt;=eco,alpha*fck*(1-(1-AR97/eco)^n),alpha*fck),0)</f>
      </c>
      <c r="AT97" s="30">
        <f>PM_Angle!$J$25+PM_Angle!$K$25*$C97+PM_Angle!$L$25*$B97</f>
      </c>
      <c r="AU97" s="12">
        <f>IF(AT97&gt;0,IF(AT97&lt;=eco,alpha*fck*(1-(1-AT97/eco)^n),alpha*fck),0)</f>
      </c>
    </row>
    <row r="98" spans="1:47" x14ac:dyDescent="0.25">
      <c r="A98">
        <f>Mesh!A95</f>
      </c>
      <c r="B98" s="12">
        <f>Mesh!B95</f>
      </c>
      <c r="C98" s="12">
        <f>Mesh!C95</f>
      </c>
      <c r="D98" s="12">
        <f>Mesh!D95</f>
      </c>
      <c r="E98" s="30">
        <f>INDEX(St_e0,Det+1)+INDEX(St_kx,Det+1)*C98+INDEX(St_ky,Det+1)*B98</f>
      </c>
      <c r="F98" s="12">
        <f>IF(E98&gt;0,IF(E98&lt;=eco,alpha*fck*(1-(1-E98/eco)^n),alpha*fck),0)</f>
      </c>
      <c r="G98" s="11">
        <f>F98*D98</f>
      </c>
      <c r="H98" s="11">
        <f>G98*C98</f>
      </c>
      <c r="I98" s="11">
        <f>G98*B98</f>
      </c>
      <c r="J98" s="30">
        <f>PM_Angle!$J$7+PM_Angle!$K$7*$C98+PM_Angle!$L$7*$B98</f>
      </c>
      <c r="K98" s="12">
        <f>IF(J98&gt;0,IF(J98&lt;=eco,alpha*fck*(1-(1-J98/eco)^n),alpha*fck),0)</f>
      </c>
      <c r="L98" s="30">
        <f>PM_Angle!$J$8+PM_Angle!$K$8*$C98+PM_Angle!$L$8*$B98</f>
      </c>
      <c r="M98" s="12">
        <f>IF(L98&gt;0,IF(L98&lt;=eco,alpha*fck*(1-(1-L98/eco)^n),alpha*fck),0)</f>
      </c>
      <c r="N98" s="30">
        <f>PM_Angle!$J$9+PM_Angle!$K$9*$C98+PM_Angle!$L$9*$B98</f>
      </c>
      <c r="O98" s="12">
        <f>IF(N98&gt;0,IF(N98&lt;=eco,alpha*fck*(1-(1-N98/eco)^n),alpha*fck),0)</f>
      </c>
      <c r="P98" s="30">
        <f>PM_Angle!$J$10+PM_Angle!$K$10*$C98+PM_Angle!$L$10*$B98</f>
      </c>
      <c r="Q98" s="12">
        <f>IF(P98&gt;0,IF(P98&lt;=eco,alpha*fck*(1-(1-P98/eco)^n),alpha*fck),0)</f>
      </c>
      <c r="R98" s="30">
        <f>PM_Angle!$J$11+PM_Angle!$K$11*$C98+PM_Angle!$L$11*$B98</f>
      </c>
      <c r="S98" s="12">
        <f>IF(R98&gt;0,IF(R98&lt;=eco,alpha*fck*(1-(1-R98/eco)^n),alpha*fck),0)</f>
      </c>
      <c r="T98" s="30">
        <f>PM_Angle!$J$12+PM_Angle!$K$12*$C98+PM_Angle!$L$12*$B98</f>
      </c>
      <c r="U98" s="12">
        <f>IF(T98&gt;0,IF(T98&lt;=eco,alpha*fck*(1-(1-T98/eco)^n),alpha*fck),0)</f>
      </c>
      <c r="V98" s="30">
        <f>PM_Angle!$J$13+PM_Angle!$K$13*$C98+PM_Angle!$L$13*$B98</f>
      </c>
      <c r="W98" s="12">
        <f>IF(V98&gt;0,IF(V98&lt;=eco,alpha*fck*(1-(1-V98/eco)^n),alpha*fck),0)</f>
      </c>
      <c r="X98" s="30">
        <f>PM_Angle!$J$14+PM_Angle!$K$14*$C98+PM_Angle!$L$14*$B98</f>
      </c>
      <c r="Y98" s="12">
        <f>IF(X98&gt;0,IF(X98&lt;=eco,alpha*fck*(1-(1-X98/eco)^n),alpha*fck),0)</f>
      </c>
      <c r="Z98" s="30">
        <f>PM_Angle!$J$15+PM_Angle!$K$15*$C98+PM_Angle!$L$15*$B98</f>
      </c>
      <c r="AA98" s="12">
        <f>IF(Z98&gt;0,IF(Z98&lt;=eco,alpha*fck*(1-(1-Z98/eco)^n),alpha*fck),0)</f>
      </c>
      <c r="AB98" s="30">
        <f>PM_Angle!$J$16+PM_Angle!$K$16*$C98+PM_Angle!$L$16*$B98</f>
      </c>
      <c r="AC98" s="12">
        <f>IF(AB98&gt;0,IF(AB98&lt;=eco,alpha*fck*(1-(1-AB98/eco)^n),alpha*fck),0)</f>
      </c>
      <c r="AD98" s="30">
        <f>PM_Angle!$J$17+PM_Angle!$K$17*$C98+PM_Angle!$L$17*$B98</f>
      </c>
      <c r="AE98" s="12">
        <f>IF(AD98&gt;0,IF(AD98&lt;=eco,alpha*fck*(1-(1-AD98/eco)^n),alpha*fck),0)</f>
      </c>
      <c r="AF98" s="30">
        <f>PM_Angle!$J$18+PM_Angle!$K$18*$C98+PM_Angle!$L$18*$B98</f>
      </c>
      <c r="AG98" s="12">
        <f>IF(AF98&gt;0,IF(AF98&lt;=eco,alpha*fck*(1-(1-AF98/eco)^n),alpha*fck),0)</f>
      </c>
      <c r="AH98" s="30">
        <f>PM_Angle!$J$19+PM_Angle!$K$19*$C98+PM_Angle!$L$19*$B98</f>
      </c>
      <c r="AI98" s="12">
        <f>IF(AH98&gt;0,IF(AH98&lt;=eco,alpha*fck*(1-(1-AH98/eco)^n),alpha*fck),0)</f>
      </c>
      <c r="AJ98" s="30">
        <f>PM_Angle!$J$20+PM_Angle!$K$20*$C98+PM_Angle!$L$20*$B98</f>
      </c>
      <c r="AK98" s="12">
        <f>IF(AJ98&gt;0,IF(AJ98&lt;=eco,alpha*fck*(1-(1-AJ98/eco)^n),alpha*fck),0)</f>
      </c>
      <c r="AL98" s="30">
        <f>PM_Angle!$J$21+PM_Angle!$K$21*$C98+PM_Angle!$L$21*$B98</f>
      </c>
      <c r="AM98" s="12">
        <f>IF(AL98&gt;0,IF(AL98&lt;=eco,alpha*fck*(1-(1-AL98/eco)^n),alpha*fck),0)</f>
      </c>
      <c r="AN98" s="30">
        <f>PM_Angle!$J$22+PM_Angle!$K$22*$C98+PM_Angle!$L$22*$B98</f>
      </c>
      <c r="AO98" s="12">
        <f>IF(AN98&gt;0,IF(AN98&lt;=eco,alpha*fck*(1-(1-AN98/eco)^n),alpha*fck),0)</f>
      </c>
      <c r="AP98" s="30">
        <f>PM_Angle!$J$23+PM_Angle!$K$23*$C98+PM_Angle!$L$23*$B98</f>
      </c>
      <c r="AQ98" s="12">
        <f>IF(AP98&gt;0,IF(AP98&lt;=eco,alpha*fck*(1-(1-AP98/eco)^n),alpha*fck),0)</f>
      </c>
      <c r="AR98" s="30">
        <f>PM_Angle!$J$24+PM_Angle!$K$24*$C98+PM_Angle!$L$24*$B98</f>
      </c>
      <c r="AS98" s="12">
        <f>IF(AR98&gt;0,IF(AR98&lt;=eco,alpha*fck*(1-(1-AR98/eco)^n),alpha*fck),0)</f>
      </c>
      <c r="AT98" s="30">
        <f>PM_Angle!$J$25+PM_Angle!$K$25*$C98+PM_Angle!$L$25*$B98</f>
      </c>
      <c r="AU98" s="12">
        <f>IF(AT98&gt;0,IF(AT98&lt;=eco,alpha*fck*(1-(1-AT98/eco)^n),alpha*fck),0)</f>
      </c>
    </row>
    <row r="99" spans="1:47" x14ac:dyDescent="0.25">
      <c r="A99">
        <f>Mesh!A96</f>
      </c>
      <c r="B99" s="12">
        <f>Mesh!B96</f>
      </c>
      <c r="C99" s="12">
        <f>Mesh!C96</f>
      </c>
      <c r="D99" s="12">
        <f>Mesh!D96</f>
      </c>
      <c r="E99" s="30">
        <f>INDEX(St_e0,Det+1)+INDEX(St_kx,Det+1)*C99+INDEX(St_ky,Det+1)*B99</f>
      </c>
      <c r="F99" s="12">
        <f>IF(E99&gt;0,IF(E99&lt;=eco,alpha*fck*(1-(1-E99/eco)^n),alpha*fck),0)</f>
      </c>
      <c r="G99" s="11">
        <f>F99*D99</f>
      </c>
      <c r="H99" s="11">
        <f>G99*C99</f>
      </c>
      <c r="I99" s="11">
        <f>G99*B99</f>
      </c>
      <c r="J99" s="30">
        <f>PM_Angle!$J$7+PM_Angle!$K$7*$C99+PM_Angle!$L$7*$B99</f>
      </c>
      <c r="K99" s="12">
        <f>IF(J99&gt;0,IF(J99&lt;=eco,alpha*fck*(1-(1-J99/eco)^n),alpha*fck),0)</f>
      </c>
      <c r="L99" s="30">
        <f>PM_Angle!$J$8+PM_Angle!$K$8*$C99+PM_Angle!$L$8*$B99</f>
      </c>
      <c r="M99" s="12">
        <f>IF(L99&gt;0,IF(L99&lt;=eco,alpha*fck*(1-(1-L99/eco)^n),alpha*fck),0)</f>
      </c>
      <c r="N99" s="30">
        <f>PM_Angle!$J$9+PM_Angle!$K$9*$C99+PM_Angle!$L$9*$B99</f>
      </c>
      <c r="O99" s="12">
        <f>IF(N99&gt;0,IF(N99&lt;=eco,alpha*fck*(1-(1-N99/eco)^n),alpha*fck),0)</f>
      </c>
      <c r="P99" s="30">
        <f>PM_Angle!$J$10+PM_Angle!$K$10*$C99+PM_Angle!$L$10*$B99</f>
      </c>
      <c r="Q99" s="12">
        <f>IF(P99&gt;0,IF(P99&lt;=eco,alpha*fck*(1-(1-P99/eco)^n),alpha*fck),0)</f>
      </c>
      <c r="R99" s="30">
        <f>PM_Angle!$J$11+PM_Angle!$K$11*$C99+PM_Angle!$L$11*$B99</f>
      </c>
      <c r="S99" s="12">
        <f>IF(R99&gt;0,IF(R99&lt;=eco,alpha*fck*(1-(1-R99/eco)^n),alpha*fck),0)</f>
      </c>
      <c r="T99" s="30">
        <f>PM_Angle!$J$12+PM_Angle!$K$12*$C99+PM_Angle!$L$12*$B99</f>
      </c>
      <c r="U99" s="12">
        <f>IF(T99&gt;0,IF(T99&lt;=eco,alpha*fck*(1-(1-T99/eco)^n),alpha*fck),0)</f>
      </c>
      <c r="V99" s="30">
        <f>PM_Angle!$J$13+PM_Angle!$K$13*$C99+PM_Angle!$L$13*$B99</f>
      </c>
      <c r="W99" s="12">
        <f>IF(V99&gt;0,IF(V99&lt;=eco,alpha*fck*(1-(1-V99/eco)^n),alpha*fck),0)</f>
      </c>
      <c r="X99" s="30">
        <f>PM_Angle!$J$14+PM_Angle!$K$14*$C99+PM_Angle!$L$14*$B99</f>
      </c>
      <c r="Y99" s="12">
        <f>IF(X99&gt;0,IF(X99&lt;=eco,alpha*fck*(1-(1-X99/eco)^n),alpha*fck),0)</f>
      </c>
      <c r="Z99" s="30">
        <f>PM_Angle!$J$15+PM_Angle!$K$15*$C99+PM_Angle!$L$15*$B99</f>
      </c>
      <c r="AA99" s="12">
        <f>IF(Z99&gt;0,IF(Z99&lt;=eco,alpha*fck*(1-(1-Z99/eco)^n),alpha*fck),0)</f>
      </c>
      <c r="AB99" s="30">
        <f>PM_Angle!$J$16+PM_Angle!$K$16*$C99+PM_Angle!$L$16*$B99</f>
      </c>
      <c r="AC99" s="12">
        <f>IF(AB99&gt;0,IF(AB99&lt;=eco,alpha*fck*(1-(1-AB99/eco)^n),alpha*fck),0)</f>
      </c>
      <c r="AD99" s="30">
        <f>PM_Angle!$J$17+PM_Angle!$K$17*$C99+PM_Angle!$L$17*$B99</f>
      </c>
      <c r="AE99" s="12">
        <f>IF(AD99&gt;0,IF(AD99&lt;=eco,alpha*fck*(1-(1-AD99/eco)^n),alpha*fck),0)</f>
      </c>
      <c r="AF99" s="30">
        <f>PM_Angle!$J$18+PM_Angle!$K$18*$C99+PM_Angle!$L$18*$B99</f>
      </c>
      <c r="AG99" s="12">
        <f>IF(AF99&gt;0,IF(AF99&lt;=eco,alpha*fck*(1-(1-AF99/eco)^n),alpha*fck),0)</f>
      </c>
      <c r="AH99" s="30">
        <f>PM_Angle!$J$19+PM_Angle!$K$19*$C99+PM_Angle!$L$19*$B99</f>
      </c>
      <c r="AI99" s="12">
        <f>IF(AH99&gt;0,IF(AH99&lt;=eco,alpha*fck*(1-(1-AH99/eco)^n),alpha*fck),0)</f>
      </c>
      <c r="AJ99" s="30">
        <f>PM_Angle!$J$20+PM_Angle!$K$20*$C99+PM_Angle!$L$20*$B99</f>
      </c>
      <c r="AK99" s="12">
        <f>IF(AJ99&gt;0,IF(AJ99&lt;=eco,alpha*fck*(1-(1-AJ99/eco)^n),alpha*fck),0)</f>
      </c>
      <c r="AL99" s="30">
        <f>PM_Angle!$J$21+PM_Angle!$K$21*$C99+PM_Angle!$L$21*$B99</f>
      </c>
      <c r="AM99" s="12">
        <f>IF(AL99&gt;0,IF(AL99&lt;=eco,alpha*fck*(1-(1-AL99/eco)^n),alpha*fck),0)</f>
      </c>
      <c r="AN99" s="30">
        <f>PM_Angle!$J$22+PM_Angle!$K$22*$C99+PM_Angle!$L$22*$B99</f>
      </c>
      <c r="AO99" s="12">
        <f>IF(AN99&gt;0,IF(AN99&lt;=eco,alpha*fck*(1-(1-AN99/eco)^n),alpha*fck),0)</f>
      </c>
      <c r="AP99" s="30">
        <f>PM_Angle!$J$23+PM_Angle!$K$23*$C99+PM_Angle!$L$23*$B99</f>
      </c>
      <c r="AQ99" s="12">
        <f>IF(AP99&gt;0,IF(AP99&lt;=eco,alpha*fck*(1-(1-AP99/eco)^n),alpha*fck),0)</f>
      </c>
      <c r="AR99" s="30">
        <f>PM_Angle!$J$24+PM_Angle!$K$24*$C99+PM_Angle!$L$24*$B99</f>
      </c>
      <c r="AS99" s="12">
        <f>IF(AR99&gt;0,IF(AR99&lt;=eco,alpha*fck*(1-(1-AR99/eco)^n),alpha*fck),0)</f>
      </c>
      <c r="AT99" s="30">
        <f>PM_Angle!$J$25+PM_Angle!$K$25*$C99+PM_Angle!$L$25*$B99</f>
      </c>
      <c r="AU99" s="12">
        <f>IF(AT99&gt;0,IF(AT99&lt;=eco,alpha*fck*(1-(1-AT99/eco)^n),alpha*fck),0)</f>
      </c>
    </row>
    <row r="100" spans="1:47" x14ac:dyDescent="0.25">
      <c r="A100">
        <f>Mesh!A97</f>
      </c>
      <c r="B100" s="12">
        <f>Mesh!B97</f>
      </c>
      <c r="C100" s="12">
        <f>Mesh!C97</f>
      </c>
      <c r="D100" s="12">
        <f>Mesh!D97</f>
      </c>
      <c r="E100" s="30">
        <f>INDEX(St_e0,Det+1)+INDEX(St_kx,Det+1)*C100+INDEX(St_ky,Det+1)*B100</f>
      </c>
      <c r="F100" s="12">
        <f>IF(E100&gt;0,IF(E100&lt;=eco,alpha*fck*(1-(1-E100/eco)^n),alpha*fck),0)</f>
      </c>
      <c r="G100" s="11">
        <f>F100*D100</f>
      </c>
      <c r="H100" s="11">
        <f>G100*C100</f>
      </c>
      <c r="I100" s="11">
        <f>G100*B100</f>
      </c>
      <c r="J100" s="30">
        <f>PM_Angle!$J$7+PM_Angle!$K$7*$C100+PM_Angle!$L$7*$B100</f>
      </c>
      <c r="K100" s="12">
        <f>IF(J100&gt;0,IF(J100&lt;=eco,alpha*fck*(1-(1-J100/eco)^n),alpha*fck),0)</f>
      </c>
      <c r="L100" s="30">
        <f>PM_Angle!$J$8+PM_Angle!$K$8*$C100+PM_Angle!$L$8*$B100</f>
      </c>
      <c r="M100" s="12">
        <f>IF(L100&gt;0,IF(L100&lt;=eco,alpha*fck*(1-(1-L100/eco)^n),alpha*fck),0)</f>
      </c>
      <c r="N100" s="30">
        <f>PM_Angle!$J$9+PM_Angle!$K$9*$C100+PM_Angle!$L$9*$B100</f>
      </c>
      <c r="O100" s="12">
        <f>IF(N100&gt;0,IF(N100&lt;=eco,alpha*fck*(1-(1-N100/eco)^n),alpha*fck),0)</f>
      </c>
      <c r="P100" s="30">
        <f>PM_Angle!$J$10+PM_Angle!$K$10*$C100+PM_Angle!$L$10*$B100</f>
      </c>
      <c r="Q100" s="12">
        <f>IF(P100&gt;0,IF(P100&lt;=eco,alpha*fck*(1-(1-P100/eco)^n),alpha*fck),0)</f>
      </c>
      <c r="R100" s="30">
        <f>PM_Angle!$J$11+PM_Angle!$K$11*$C100+PM_Angle!$L$11*$B100</f>
      </c>
      <c r="S100" s="12">
        <f>IF(R100&gt;0,IF(R100&lt;=eco,alpha*fck*(1-(1-R100/eco)^n),alpha*fck),0)</f>
      </c>
      <c r="T100" s="30">
        <f>PM_Angle!$J$12+PM_Angle!$K$12*$C100+PM_Angle!$L$12*$B100</f>
      </c>
      <c r="U100" s="12">
        <f>IF(T100&gt;0,IF(T100&lt;=eco,alpha*fck*(1-(1-T100/eco)^n),alpha*fck),0)</f>
      </c>
      <c r="V100" s="30">
        <f>PM_Angle!$J$13+PM_Angle!$K$13*$C100+PM_Angle!$L$13*$B100</f>
      </c>
      <c r="W100" s="12">
        <f>IF(V100&gt;0,IF(V100&lt;=eco,alpha*fck*(1-(1-V100/eco)^n),alpha*fck),0)</f>
      </c>
      <c r="X100" s="30">
        <f>PM_Angle!$J$14+PM_Angle!$K$14*$C100+PM_Angle!$L$14*$B100</f>
      </c>
      <c r="Y100" s="12">
        <f>IF(X100&gt;0,IF(X100&lt;=eco,alpha*fck*(1-(1-X100/eco)^n),alpha*fck),0)</f>
      </c>
      <c r="Z100" s="30">
        <f>PM_Angle!$J$15+PM_Angle!$K$15*$C100+PM_Angle!$L$15*$B100</f>
      </c>
      <c r="AA100" s="12">
        <f>IF(Z100&gt;0,IF(Z100&lt;=eco,alpha*fck*(1-(1-Z100/eco)^n),alpha*fck),0)</f>
      </c>
      <c r="AB100" s="30">
        <f>PM_Angle!$J$16+PM_Angle!$K$16*$C100+PM_Angle!$L$16*$B100</f>
      </c>
      <c r="AC100" s="12">
        <f>IF(AB100&gt;0,IF(AB100&lt;=eco,alpha*fck*(1-(1-AB100/eco)^n),alpha*fck),0)</f>
      </c>
      <c r="AD100" s="30">
        <f>PM_Angle!$J$17+PM_Angle!$K$17*$C100+PM_Angle!$L$17*$B100</f>
      </c>
      <c r="AE100" s="12">
        <f>IF(AD100&gt;0,IF(AD100&lt;=eco,alpha*fck*(1-(1-AD100/eco)^n),alpha*fck),0)</f>
      </c>
      <c r="AF100" s="30">
        <f>PM_Angle!$J$18+PM_Angle!$K$18*$C100+PM_Angle!$L$18*$B100</f>
      </c>
      <c r="AG100" s="12">
        <f>IF(AF100&gt;0,IF(AF100&lt;=eco,alpha*fck*(1-(1-AF100/eco)^n),alpha*fck),0)</f>
      </c>
      <c r="AH100" s="30">
        <f>PM_Angle!$J$19+PM_Angle!$K$19*$C100+PM_Angle!$L$19*$B100</f>
      </c>
      <c r="AI100" s="12">
        <f>IF(AH100&gt;0,IF(AH100&lt;=eco,alpha*fck*(1-(1-AH100/eco)^n),alpha*fck),0)</f>
      </c>
      <c r="AJ100" s="30">
        <f>PM_Angle!$J$20+PM_Angle!$K$20*$C100+PM_Angle!$L$20*$B100</f>
      </c>
      <c r="AK100" s="12">
        <f>IF(AJ100&gt;0,IF(AJ100&lt;=eco,alpha*fck*(1-(1-AJ100/eco)^n),alpha*fck),0)</f>
      </c>
      <c r="AL100" s="30">
        <f>PM_Angle!$J$21+PM_Angle!$K$21*$C100+PM_Angle!$L$21*$B100</f>
      </c>
      <c r="AM100" s="12">
        <f>IF(AL100&gt;0,IF(AL100&lt;=eco,alpha*fck*(1-(1-AL100/eco)^n),alpha*fck),0)</f>
      </c>
      <c r="AN100" s="30">
        <f>PM_Angle!$J$22+PM_Angle!$K$22*$C100+PM_Angle!$L$22*$B100</f>
      </c>
      <c r="AO100" s="12">
        <f>IF(AN100&gt;0,IF(AN100&lt;=eco,alpha*fck*(1-(1-AN100/eco)^n),alpha*fck),0)</f>
      </c>
      <c r="AP100" s="30">
        <f>PM_Angle!$J$23+PM_Angle!$K$23*$C100+PM_Angle!$L$23*$B100</f>
      </c>
      <c r="AQ100" s="12">
        <f>IF(AP100&gt;0,IF(AP100&lt;=eco,alpha*fck*(1-(1-AP100/eco)^n),alpha*fck),0)</f>
      </c>
      <c r="AR100" s="30">
        <f>PM_Angle!$J$24+PM_Angle!$K$24*$C100+PM_Angle!$L$24*$B100</f>
      </c>
      <c r="AS100" s="12">
        <f>IF(AR100&gt;0,IF(AR100&lt;=eco,alpha*fck*(1-(1-AR100/eco)^n),alpha*fck),0)</f>
      </c>
      <c r="AT100" s="30">
        <f>PM_Angle!$J$25+PM_Angle!$K$25*$C100+PM_Angle!$L$25*$B100</f>
      </c>
      <c r="AU100" s="12">
        <f>IF(AT100&gt;0,IF(AT100&lt;=eco,alpha*fck*(1-(1-AT100/eco)^n),alpha*fck),0)</f>
      </c>
    </row>
    <row r="101" spans="1:47" x14ac:dyDescent="0.25">
      <c r="A101">
        <f>Mesh!A98</f>
      </c>
      <c r="B101" s="12">
        <f>Mesh!B98</f>
      </c>
      <c r="C101" s="12">
        <f>Mesh!C98</f>
      </c>
      <c r="D101" s="12">
        <f>Mesh!D98</f>
      </c>
      <c r="E101" s="30">
        <f>INDEX(St_e0,Det+1)+INDEX(St_kx,Det+1)*C101+INDEX(St_ky,Det+1)*B101</f>
      </c>
      <c r="F101" s="12">
        <f>IF(E101&gt;0,IF(E101&lt;=eco,alpha*fck*(1-(1-E101/eco)^n),alpha*fck),0)</f>
      </c>
      <c r="G101" s="11">
        <f>F101*D101</f>
      </c>
      <c r="H101" s="11">
        <f>G101*C101</f>
      </c>
      <c r="I101" s="11">
        <f>G101*B101</f>
      </c>
      <c r="J101" s="30">
        <f>PM_Angle!$J$7+PM_Angle!$K$7*$C101+PM_Angle!$L$7*$B101</f>
      </c>
      <c r="K101" s="12">
        <f>IF(J101&gt;0,IF(J101&lt;=eco,alpha*fck*(1-(1-J101/eco)^n),alpha*fck),0)</f>
      </c>
      <c r="L101" s="30">
        <f>PM_Angle!$J$8+PM_Angle!$K$8*$C101+PM_Angle!$L$8*$B101</f>
      </c>
      <c r="M101" s="12">
        <f>IF(L101&gt;0,IF(L101&lt;=eco,alpha*fck*(1-(1-L101/eco)^n),alpha*fck),0)</f>
      </c>
      <c r="N101" s="30">
        <f>PM_Angle!$J$9+PM_Angle!$K$9*$C101+PM_Angle!$L$9*$B101</f>
      </c>
      <c r="O101" s="12">
        <f>IF(N101&gt;0,IF(N101&lt;=eco,alpha*fck*(1-(1-N101/eco)^n),alpha*fck),0)</f>
      </c>
      <c r="P101" s="30">
        <f>PM_Angle!$J$10+PM_Angle!$K$10*$C101+PM_Angle!$L$10*$B101</f>
      </c>
      <c r="Q101" s="12">
        <f>IF(P101&gt;0,IF(P101&lt;=eco,alpha*fck*(1-(1-P101/eco)^n),alpha*fck),0)</f>
      </c>
      <c r="R101" s="30">
        <f>PM_Angle!$J$11+PM_Angle!$K$11*$C101+PM_Angle!$L$11*$B101</f>
      </c>
      <c r="S101" s="12">
        <f>IF(R101&gt;0,IF(R101&lt;=eco,alpha*fck*(1-(1-R101/eco)^n),alpha*fck),0)</f>
      </c>
      <c r="T101" s="30">
        <f>PM_Angle!$J$12+PM_Angle!$K$12*$C101+PM_Angle!$L$12*$B101</f>
      </c>
      <c r="U101" s="12">
        <f>IF(T101&gt;0,IF(T101&lt;=eco,alpha*fck*(1-(1-T101/eco)^n),alpha*fck),0)</f>
      </c>
      <c r="V101" s="30">
        <f>PM_Angle!$J$13+PM_Angle!$K$13*$C101+PM_Angle!$L$13*$B101</f>
      </c>
      <c r="W101" s="12">
        <f>IF(V101&gt;0,IF(V101&lt;=eco,alpha*fck*(1-(1-V101/eco)^n),alpha*fck),0)</f>
      </c>
      <c r="X101" s="30">
        <f>PM_Angle!$J$14+PM_Angle!$K$14*$C101+PM_Angle!$L$14*$B101</f>
      </c>
      <c r="Y101" s="12">
        <f>IF(X101&gt;0,IF(X101&lt;=eco,alpha*fck*(1-(1-X101/eco)^n),alpha*fck),0)</f>
      </c>
      <c r="Z101" s="30">
        <f>PM_Angle!$J$15+PM_Angle!$K$15*$C101+PM_Angle!$L$15*$B101</f>
      </c>
      <c r="AA101" s="12">
        <f>IF(Z101&gt;0,IF(Z101&lt;=eco,alpha*fck*(1-(1-Z101/eco)^n),alpha*fck),0)</f>
      </c>
      <c r="AB101" s="30">
        <f>PM_Angle!$J$16+PM_Angle!$K$16*$C101+PM_Angle!$L$16*$B101</f>
      </c>
      <c r="AC101" s="12">
        <f>IF(AB101&gt;0,IF(AB101&lt;=eco,alpha*fck*(1-(1-AB101/eco)^n),alpha*fck),0)</f>
      </c>
      <c r="AD101" s="30">
        <f>PM_Angle!$J$17+PM_Angle!$K$17*$C101+PM_Angle!$L$17*$B101</f>
      </c>
      <c r="AE101" s="12">
        <f>IF(AD101&gt;0,IF(AD101&lt;=eco,alpha*fck*(1-(1-AD101/eco)^n),alpha*fck),0)</f>
      </c>
      <c r="AF101" s="30">
        <f>PM_Angle!$J$18+PM_Angle!$K$18*$C101+PM_Angle!$L$18*$B101</f>
      </c>
      <c r="AG101" s="12">
        <f>IF(AF101&gt;0,IF(AF101&lt;=eco,alpha*fck*(1-(1-AF101/eco)^n),alpha*fck),0)</f>
      </c>
      <c r="AH101" s="30">
        <f>PM_Angle!$J$19+PM_Angle!$K$19*$C101+PM_Angle!$L$19*$B101</f>
      </c>
      <c r="AI101" s="12">
        <f>IF(AH101&gt;0,IF(AH101&lt;=eco,alpha*fck*(1-(1-AH101/eco)^n),alpha*fck),0)</f>
      </c>
      <c r="AJ101" s="30">
        <f>PM_Angle!$J$20+PM_Angle!$K$20*$C101+PM_Angle!$L$20*$B101</f>
      </c>
      <c r="AK101" s="12">
        <f>IF(AJ101&gt;0,IF(AJ101&lt;=eco,alpha*fck*(1-(1-AJ101/eco)^n),alpha*fck),0)</f>
      </c>
      <c r="AL101" s="30">
        <f>PM_Angle!$J$21+PM_Angle!$K$21*$C101+PM_Angle!$L$21*$B101</f>
      </c>
      <c r="AM101" s="12">
        <f>IF(AL101&gt;0,IF(AL101&lt;=eco,alpha*fck*(1-(1-AL101/eco)^n),alpha*fck),0)</f>
      </c>
      <c r="AN101" s="30">
        <f>PM_Angle!$J$22+PM_Angle!$K$22*$C101+PM_Angle!$L$22*$B101</f>
      </c>
      <c r="AO101" s="12">
        <f>IF(AN101&gt;0,IF(AN101&lt;=eco,alpha*fck*(1-(1-AN101/eco)^n),alpha*fck),0)</f>
      </c>
      <c r="AP101" s="30">
        <f>PM_Angle!$J$23+PM_Angle!$K$23*$C101+PM_Angle!$L$23*$B101</f>
      </c>
      <c r="AQ101" s="12">
        <f>IF(AP101&gt;0,IF(AP101&lt;=eco,alpha*fck*(1-(1-AP101/eco)^n),alpha*fck),0)</f>
      </c>
      <c r="AR101" s="30">
        <f>PM_Angle!$J$24+PM_Angle!$K$24*$C101+PM_Angle!$L$24*$B101</f>
      </c>
      <c r="AS101" s="12">
        <f>IF(AR101&gt;0,IF(AR101&lt;=eco,alpha*fck*(1-(1-AR101/eco)^n),alpha*fck),0)</f>
      </c>
      <c r="AT101" s="30">
        <f>PM_Angle!$J$25+PM_Angle!$K$25*$C101+PM_Angle!$L$25*$B101</f>
      </c>
      <c r="AU101" s="12">
        <f>IF(AT101&gt;0,IF(AT101&lt;=eco,alpha*fck*(1-(1-AT101/eco)^n),alpha*fck),0)</f>
      </c>
    </row>
    <row r="102" spans="1:47" x14ac:dyDescent="0.25">
      <c r="A102">
        <f>Mesh!A99</f>
      </c>
      <c r="B102" s="12">
        <f>Mesh!B99</f>
      </c>
      <c r="C102" s="12">
        <f>Mesh!C99</f>
      </c>
      <c r="D102" s="12">
        <f>Mesh!D99</f>
      </c>
      <c r="E102" s="30">
        <f>INDEX(St_e0,Det+1)+INDEX(St_kx,Det+1)*C102+INDEX(St_ky,Det+1)*B102</f>
      </c>
      <c r="F102" s="12">
        <f>IF(E102&gt;0,IF(E102&lt;=eco,alpha*fck*(1-(1-E102/eco)^n),alpha*fck),0)</f>
      </c>
      <c r="G102" s="11">
        <f>F102*D102</f>
      </c>
      <c r="H102" s="11">
        <f>G102*C102</f>
      </c>
      <c r="I102" s="11">
        <f>G102*B102</f>
      </c>
      <c r="J102" s="30">
        <f>PM_Angle!$J$7+PM_Angle!$K$7*$C102+PM_Angle!$L$7*$B102</f>
      </c>
      <c r="K102" s="12">
        <f>IF(J102&gt;0,IF(J102&lt;=eco,alpha*fck*(1-(1-J102/eco)^n),alpha*fck),0)</f>
      </c>
      <c r="L102" s="30">
        <f>PM_Angle!$J$8+PM_Angle!$K$8*$C102+PM_Angle!$L$8*$B102</f>
      </c>
      <c r="M102" s="12">
        <f>IF(L102&gt;0,IF(L102&lt;=eco,alpha*fck*(1-(1-L102/eco)^n),alpha*fck),0)</f>
      </c>
      <c r="N102" s="30">
        <f>PM_Angle!$J$9+PM_Angle!$K$9*$C102+PM_Angle!$L$9*$B102</f>
      </c>
      <c r="O102" s="12">
        <f>IF(N102&gt;0,IF(N102&lt;=eco,alpha*fck*(1-(1-N102/eco)^n),alpha*fck),0)</f>
      </c>
      <c r="P102" s="30">
        <f>PM_Angle!$J$10+PM_Angle!$K$10*$C102+PM_Angle!$L$10*$B102</f>
      </c>
      <c r="Q102" s="12">
        <f>IF(P102&gt;0,IF(P102&lt;=eco,alpha*fck*(1-(1-P102/eco)^n),alpha*fck),0)</f>
      </c>
      <c r="R102" s="30">
        <f>PM_Angle!$J$11+PM_Angle!$K$11*$C102+PM_Angle!$L$11*$B102</f>
      </c>
      <c r="S102" s="12">
        <f>IF(R102&gt;0,IF(R102&lt;=eco,alpha*fck*(1-(1-R102/eco)^n),alpha*fck),0)</f>
      </c>
      <c r="T102" s="30">
        <f>PM_Angle!$J$12+PM_Angle!$K$12*$C102+PM_Angle!$L$12*$B102</f>
      </c>
      <c r="U102" s="12">
        <f>IF(T102&gt;0,IF(T102&lt;=eco,alpha*fck*(1-(1-T102/eco)^n),alpha*fck),0)</f>
      </c>
      <c r="V102" s="30">
        <f>PM_Angle!$J$13+PM_Angle!$K$13*$C102+PM_Angle!$L$13*$B102</f>
      </c>
      <c r="W102" s="12">
        <f>IF(V102&gt;0,IF(V102&lt;=eco,alpha*fck*(1-(1-V102/eco)^n),alpha*fck),0)</f>
      </c>
      <c r="X102" s="30">
        <f>PM_Angle!$J$14+PM_Angle!$K$14*$C102+PM_Angle!$L$14*$B102</f>
      </c>
      <c r="Y102" s="12">
        <f>IF(X102&gt;0,IF(X102&lt;=eco,alpha*fck*(1-(1-X102/eco)^n),alpha*fck),0)</f>
      </c>
      <c r="Z102" s="30">
        <f>PM_Angle!$J$15+PM_Angle!$K$15*$C102+PM_Angle!$L$15*$B102</f>
      </c>
      <c r="AA102" s="12">
        <f>IF(Z102&gt;0,IF(Z102&lt;=eco,alpha*fck*(1-(1-Z102/eco)^n),alpha*fck),0)</f>
      </c>
      <c r="AB102" s="30">
        <f>PM_Angle!$J$16+PM_Angle!$K$16*$C102+PM_Angle!$L$16*$B102</f>
      </c>
      <c r="AC102" s="12">
        <f>IF(AB102&gt;0,IF(AB102&lt;=eco,alpha*fck*(1-(1-AB102/eco)^n),alpha*fck),0)</f>
      </c>
      <c r="AD102" s="30">
        <f>PM_Angle!$J$17+PM_Angle!$K$17*$C102+PM_Angle!$L$17*$B102</f>
      </c>
      <c r="AE102" s="12">
        <f>IF(AD102&gt;0,IF(AD102&lt;=eco,alpha*fck*(1-(1-AD102/eco)^n),alpha*fck),0)</f>
      </c>
      <c r="AF102" s="30">
        <f>PM_Angle!$J$18+PM_Angle!$K$18*$C102+PM_Angle!$L$18*$B102</f>
      </c>
      <c r="AG102" s="12">
        <f>IF(AF102&gt;0,IF(AF102&lt;=eco,alpha*fck*(1-(1-AF102/eco)^n),alpha*fck),0)</f>
      </c>
      <c r="AH102" s="30">
        <f>PM_Angle!$J$19+PM_Angle!$K$19*$C102+PM_Angle!$L$19*$B102</f>
      </c>
      <c r="AI102" s="12">
        <f>IF(AH102&gt;0,IF(AH102&lt;=eco,alpha*fck*(1-(1-AH102/eco)^n),alpha*fck),0)</f>
      </c>
      <c r="AJ102" s="30">
        <f>PM_Angle!$J$20+PM_Angle!$K$20*$C102+PM_Angle!$L$20*$B102</f>
      </c>
      <c r="AK102" s="12">
        <f>IF(AJ102&gt;0,IF(AJ102&lt;=eco,alpha*fck*(1-(1-AJ102/eco)^n),alpha*fck),0)</f>
      </c>
      <c r="AL102" s="30">
        <f>PM_Angle!$J$21+PM_Angle!$K$21*$C102+PM_Angle!$L$21*$B102</f>
      </c>
      <c r="AM102" s="12">
        <f>IF(AL102&gt;0,IF(AL102&lt;=eco,alpha*fck*(1-(1-AL102/eco)^n),alpha*fck),0)</f>
      </c>
      <c r="AN102" s="30">
        <f>PM_Angle!$J$22+PM_Angle!$K$22*$C102+PM_Angle!$L$22*$B102</f>
      </c>
      <c r="AO102" s="12">
        <f>IF(AN102&gt;0,IF(AN102&lt;=eco,alpha*fck*(1-(1-AN102/eco)^n),alpha*fck),0)</f>
      </c>
      <c r="AP102" s="30">
        <f>PM_Angle!$J$23+PM_Angle!$K$23*$C102+PM_Angle!$L$23*$B102</f>
      </c>
      <c r="AQ102" s="12">
        <f>IF(AP102&gt;0,IF(AP102&lt;=eco,alpha*fck*(1-(1-AP102/eco)^n),alpha*fck),0)</f>
      </c>
      <c r="AR102" s="30">
        <f>PM_Angle!$J$24+PM_Angle!$K$24*$C102+PM_Angle!$L$24*$B102</f>
      </c>
      <c r="AS102" s="12">
        <f>IF(AR102&gt;0,IF(AR102&lt;=eco,alpha*fck*(1-(1-AR102/eco)^n),alpha*fck),0)</f>
      </c>
      <c r="AT102" s="30">
        <f>PM_Angle!$J$25+PM_Angle!$K$25*$C102+PM_Angle!$L$25*$B102</f>
      </c>
      <c r="AU102" s="12">
        <f>IF(AT102&gt;0,IF(AT102&lt;=eco,alpha*fck*(1-(1-AT102/eco)^n),alpha*fck),0)</f>
      </c>
    </row>
    <row r="103" spans="1:47" x14ac:dyDescent="0.25">
      <c r="A103">
        <f>Mesh!A100</f>
      </c>
      <c r="B103" s="12">
        <f>Mesh!B100</f>
      </c>
      <c r="C103" s="12">
        <f>Mesh!C100</f>
      </c>
      <c r="D103" s="12">
        <f>Mesh!D100</f>
      </c>
      <c r="E103" s="30">
        <f>INDEX(St_e0,Det+1)+INDEX(St_kx,Det+1)*C103+INDEX(St_ky,Det+1)*B103</f>
      </c>
      <c r="F103" s="12">
        <f>IF(E103&gt;0,IF(E103&lt;=eco,alpha*fck*(1-(1-E103/eco)^n),alpha*fck),0)</f>
      </c>
      <c r="G103" s="11">
        <f>F103*D103</f>
      </c>
      <c r="H103" s="11">
        <f>G103*C103</f>
      </c>
      <c r="I103" s="11">
        <f>G103*B103</f>
      </c>
      <c r="J103" s="30">
        <f>PM_Angle!$J$7+PM_Angle!$K$7*$C103+PM_Angle!$L$7*$B103</f>
      </c>
      <c r="K103" s="12">
        <f>IF(J103&gt;0,IF(J103&lt;=eco,alpha*fck*(1-(1-J103/eco)^n),alpha*fck),0)</f>
      </c>
      <c r="L103" s="30">
        <f>PM_Angle!$J$8+PM_Angle!$K$8*$C103+PM_Angle!$L$8*$B103</f>
      </c>
      <c r="M103" s="12">
        <f>IF(L103&gt;0,IF(L103&lt;=eco,alpha*fck*(1-(1-L103/eco)^n),alpha*fck),0)</f>
      </c>
      <c r="N103" s="30">
        <f>PM_Angle!$J$9+PM_Angle!$K$9*$C103+PM_Angle!$L$9*$B103</f>
      </c>
      <c r="O103" s="12">
        <f>IF(N103&gt;0,IF(N103&lt;=eco,alpha*fck*(1-(1-N103/eco)^n),alpha*fck),0)</f>
      </c>
      <c r="P103" s="30">
        <f>PM_Angle!$J$10+PM_Angle!$K$10*$C103+PM_Angle!$L$10*$B103</f>
      </c>
      <c r="Q103" s="12">
        <f>IF(P103&gt;0,IF(P103&lt;=eco,alpha*fck*(1-(1-P103/eco)^n),alpha*fck),0)</f>
      </c>
      <c r="R103" s="30">
        <f>PM_Angle!$J$11+PM_Angle!$K$11*$C103+PM_Angle!$L$11*$B103</f>
      </c>
      <c r="S103" s="12">
        <f>IF(R103&gt;0,IF(R103&lt;=eco,alpha*fck*(1-(1-R103/eco)^n),alpha*fck),0)</f>
      </c>
      <c r="T103" s="30">
        <f>PM_Angle!$J$12+PM_Angle!$K$12*$C103+PM_Angle!$L$12*$B103</f>
      </c>
      <c r="U103" s="12">
        <f>IF(T103&gt;0,IF(T103&lt;=eco,alpha*fck*(1-(1-T103/eco)^n),alpha*fck),0)</f>
      </c>
      <c r="V103" s="30">
        <f>PM_Angle!$J$13+PM_Angle!$K$13*$C103+PM_Angle!$L$13*$B103</f>
      </c>
      <c r="W103" s="12">
        <f>IF(V103&gt;0,IF(V103&lt;=eco,alpha*fck*(1-(1-V103/eco)^n),alpha*fck),0)</f>
      </c>
      <c r="X103" s="30">
        <f>PM_Angle!$J$14+PM_Angle!$K$14*$C103+PM_Angle!$L$14*$B103</f>
      </c>
      <c r="Y103" s="12">
        <f>IF(X103&gt;0,IF(X103&lt;=eco,alpha*fck*(1-(1-X103/eco)^n),alpha*fck),0)</f>
      </c>
      <c r="Z103" s="30">
        <f>PM_Angle!$J$15+PM_Angle!$K$15*$C103+PM_Angle!$L$15*$B103</f>
      </c>
      <c r="AA103" s="12">
        <f>IF(Z103&gt;0,IF(Z103&lt;=eco,alpha*fck*(1-(1-Z103/eco)^n),alpha*fck),0)</f>
      </c>
      <c r="AB103" s="30">
        <f>PM_Angle!$J$16+PM_Angle!$K$16*$C103+PM_Angle!$L$16*$B103</f>
      </c>
      <c r="AC103" s="12">
        <f>IF(AB103&gt;0,IF(AB103&lt;=eco,alpha*fck*(1-(1-AB103/eco)^n),alpha*fck),0)</f>
      </c>
      <c r="AD103" s="30">
        <f>PM_Angle!$J$17+PM_Angle!$K$17*$C103+PM_Angle!$L$17*$B103</f>
      </c>
      <c r="AE103" s="12">
        <f>IF(AD103&gt;0,IF(AD103&lt;=eco,alpha*fck*(1-(1-AD103/eco)^n),alpha*fck),0)</f>
      </c>
      <c r="AF103" s="30">
        <f>PM_Angle!$J$18+PM_Angle!$K$18*$C103+PM_Angle!$L$18*$B103</f>
      </c>
      <c r="AG103" s="12">
        <f>IF(AF103&gt;0,IF(AF103&lt;=eco,alpha*fck*(1-(1-AF103/eco)^n),alpha*fck),0)</f>
      </c>
      <c r="AH103" s="30">
        <f>PM_Angle!$J$19+PM_Angle!$K$19*$C103+PM_Angle!$L$19*$B103</f>
      </c>
      <c r="AI103" s="12">
        <f>IF(AH103&gt;0,IF(AH103&lt;=eco,alpha*fck*(1-(1-AH103/eco)^n),alpha*fck),0)</f>
      </c>
      <c r="AJ103" s="30">
        <f>PM_Angle!$J$20+PM_Angle!$K$20*$C103+PM_Angle!$L$20*$B103</f>
      </c>
      <c r="AK103" s="12">
        <f>IF(AJ103&gt;0,IF(AJ103&lt;=eco,alpha*fck*(1-(1-AJ103/eco)^n),alpha*fck),0)</f>
      </c>
      <c r="AL103" s="30">
        <f>PM_Angle!$J$21+PM_Angle!$K$21*$C103+PM_Angle!$L$21*$B103</f>
      </c>
      <c r="AM103" s="12">
        <f>IF(AL103&gt;0,IF(AL103&lt;=eco,alpha*fck*(1-(1-AL103/eco)^n),alpha*fck),0)</f>
      </c>
      <c r="AN103" s="30">
        <f>PM_Angle!$J$22+PM_Angle!$K$22*$C103+PM_Angle!$L$22*$B103</f>
      </c>
      <c r="AO103" s="12">
        <f>IF(AN103&gt;0,IF(AN103&lt;=eco,alpha*fck*(1-(1-AN103/eco)^n),alpha*fck),0)</f>
      </c>
      <c r="AP103" s="30">
        <f>PM_Angle!$J$23+PM_Angle!$K$23*$C103+PM_Angle!$L$23*$B103</f>
      </c>
      <c r="AQ103" s="12">
        <f>IF(AP103&gt;0,IF(AP103&lt;=eco,alpha*fck*(1-(1-AP103/eco)^n),alpha*fck),0)</f>
      </c>
      <c r="AR103" s="30">
        <f>PM_Angle!$J$24+PM_Angle!$K$24*$C103+PM_Angle!$L$24*$B103</f>
      </c>
      <c r="AS103" s="12">
        <f>IF(AR103&gt;0,IF(AR103&lt;=eco,alpha*fck*(1-(1-AR103/eco)^n),alpha*fck),0)</f>
      </c>
      <c r="AT103" s="30">
        <f>PM_Angle!$J$25+PM_Angle!$K$25*$C103+PM_Angle!$L$25*$B103</f>
      </c>
      <c r="AU103" s="12">
        <f>IF(AT103&gt;0,IF(AT103&lt;=eco,alpha*fck*(1-(1-AT103/eco)^n),alpha*fck),0)</f>
      </c>
    </row>
    <row r="104" spans="1:47" x14ac:dyDescent="0.25">
      <c r="A104">
        <f>Mesh!A101</f>
      </c>
      <c r="B104" s="12">
        <f>Mesh!B101</f>
      </c>
      <c r="C104" s="12">
        <f>Mesh!C101</f>
      </c>
      <c r="D104" s="12">
        <f>Mesh!D101</f>
      </c>
      <c r="E104" s="30">
        <f>INDEX(St_e0,Det+1)+INDEX(St_kx,Det+1)*C104+INDEX(St_ky,Det+1)*B104</f>
      </c>
      <c r="F104" s="12">
        <f>IF(E104&gt;0,IF(E104&lt;=eco,alpha*fck*(1-(1-E104/eco)^n),alpha*fck),0)</f>
      </c>
      <c r="G104" s="11">
        <f>F104*D104</f>
      </c>
      <c r="H104" s="11">
        <f>G104*C104</f>
      </c>
      <c r="I104" s="11">
        <f>G104*B104</f>
      </c>
      <c r="J104" s="30">
        <f>PM_Angle!$J$7+PM_Angle!$K$7*$C104+PM_Angle!$L$7*$B104</f>
      </c>
      <c r="K104" s="12">
        <f>IF(J104&gt;0,IF(J104&lt;=eco,alpha*fck*(1-(1-J104/eco)^n),alpha*fck),0)</f>
      </c>
      <c r="L104" s="30">
        <f>PM_Angle!$J$8+PM_Angle!$K$8*$C104+PM_Angle!$L$8*$B104</f>
      </c>
      <c r="M104" s="12">
        <f>IF(L104&gt;0,IF(L104&lt;=eco,alpha*fck*(1-(1-L104/eco)^n),alpha*fck),0)</f>
      </c>
      <c r="N104" s="30">
        <f>PM_Angle!$J$9+PM_Angle!$K$9*$C104+PM_Angle!$L$9*$B104</f>
      </c>
      <c r="O104" s="12">
        <f>IF(N104&gt;0,IF(N104&lt;=eco,alpha*fck*(1-(1-N104/eco)^n),alpha*fck),0)</f>
      </c>
      <c r="P104" s="30">
        <f>PM_Angle!$J$10+PM_Angle!$K$10*$C104+PM_Angle!$L$10*$B104</f>
      </c>
      <c r="Q104" s="12">
        <f>IF(P104&gt;0,IF(P104&lt;=eco,alpha*fck*(1-(1-P104/eco)^n),alpha*fck),0)</f>
      </c>
      <c r="R104" s="30">
        <f>PM_Angle!$J$11+PM_Angle!$K$11*$C104+PM_Angle!$L$11*$B104</f>
      </c>
      <c r="S104" s="12">
        <f>IF(R104&gt;0,IF(R104&lt;=eco,alpha*fck*(1-(1-R104/eco)^n),alpha*fck),0)</f>
      </c>
      <c r="T104" s="30">
        <f>PM_Angle!$J$12+PM_Angle!$K$12*$C104+PM_Angle!$L$12*$B104</f>
      </c>
      <c r="U104" s="12">
        <f>IF(T104&gt;0,IF(T104&lt;=eco,alpha*fck*(1-(1-T104/eco)^n),alpha*fck),0)</f>
      </c>
      <c r="V104" s="30">
        <f>PM_Angle!$J$13+PM_Angle!$K$13*$C104+PM_Angle!$L$13*$B104</f>
      </c>
      <c r="W104" s="12">
        <f>IF(V104&gt;0,IF(V104&lt;=eco,alpha*fck*(1-(1-V104/eco)^n),alpha*fck),0)</f>
      </c>
      <c r="X104" s="30">
        <f>PM_Angle!$J$14+PM_Angle!$K$14*$C104+PM_Angle!$L$14*$B104</f>
      </c>
      <c r="Y104" s="12">
        <f>IF(X104&gt;0,IF(X104&lt;=eco,alpha*fck*(1-(1-X104/eco)^n),alpha*fck),0)</f>
      </c>
      <c r="Z104" s="30">
        <f>PM_Angle!$J$15+PM_Angle!$K$15*$C104+PM_Angle!$L$15*$B104</f>
      </c>
      <c r="AA104" s="12">
        <f>IF(Z104&gt;0,IF(Z104&lt;=eco,alpha*fck*(1-(1-Z104/eco)^n),alpha*fck),0)</f>
      </c>
      <c r="AB104" s="30">
        <f>PM_Angle!$J$16+PM_Angle!$K$16*$C104+PM_Angle!$L$16*$B104</f>
      </c>
      <c r="AC104" s="12">
        <f>IF(AB104&gt;0,IF(AB104&lt;=eco,alpha*fck*(1-(1-AB104/eco)^n),alpha*fck),0)</f>
      </c>
      <c r="AD104" s="30">
        <f>PM_Angle!$J$17+PM_Angle!$K$17*$C104+PM_Angle!$L$17*$B104</f>
      </c>
      <c r="AE104" s="12">
        <f>IF(AD104&gt;0,IF(AD104&lt;=eco,alpha*fck*(1-(1-AD104/eco)^n),alpha*fck),0)</f>
      </c>
      <c r="AF104" s="30">
        <f>PM_Angle!$J$18+PM_Angle!$K$18*$C104+PM_Angle!$L$18*$B104</f>
      </c>
      <c r="AG104" s="12">
        <f>IF(AF104&gt;0,IF(AF104&lt;=eco,alpha*fck*(1-(1-AF104/eco)^n),alpha*fck),0)</f>
      </c>
      <c r="AH104" s="30">
        <f>PM_Angle!$J$19+PM_Angle!$K$19*$C104+PM_Angle!$L$19*$B104</f>
      </c>
      <c r="AI104" s="12">
        <f>IF(AH104&gt;0,IF(AH104&lt;=eco,alpha*fck*(1-(1-AH104/eco)^n),alpha*fck),0)</f>
      </c>
      <c r="AJ104" s="30">
        <f>PM_Angle!$J$20+PM_Angle!$K$20*$C104+PM_Angle!$L$20*$B104</f>
      </c>
      <c r="AK104" s="12">
        <f>IF(AJ104&gt;0,IF(AJ104&lt;=eco,alpha*fck*(1-(1-AJ104/eco)^n),alpha*fck),0)</f>
      </c>
      <c r="AL104" s="30">
        <f>PM_Angle!$J$21+PM_Angle!$K$21*$C104+PM_Angle!$L$21*$B104</f>
      </c>
      <c r="AM104" s="12">
        <f>IF(AL104&gt;0,IF(AL104&lt;=eco,alpha*fck*(1-(1-AL104/eco)^n),alpha*fck),0)</f>
      </c>
      <c r="AN104" s="30">
        <f>PM_Angle!$J$22+PM_Angle!$K$22*$C104+PM_Angle!$L$22*$B104</f>
      </c>
      <c r="AO104" s="12">
        <f>IF(AN104&gt;0,IF(AN104&lt;=eco,alpha*fck*(1-(1-AN104/eco)^n),alpha*fck),0)</f>
      </c>
      <c r="AP104" s="30">
        <f>PM_Angle!$J$23+PM_Angle!$K$23*$C104+PM_Angle!$L$23*$B104</f>
      </c>
      <c r="AQ104" s="12">
        <f>IF(AP104&gt;0,IF(AP104&lt;=eco,alpha*fck*(1-(1-AP104/eco)^n),alpha*fck),0)</f>
      </c>
      <c r="AR104" s="30">
        <f>PM_Angle!$J$24+PM_Angle!$K$24*$C104+PM_Angle!$L$24*$B104</f>
      </c>
      <c r="AS104" s="12">
        <f>IF(AR104&gt;0,IF(AR104&lt;=eco,alpha*fck*(1-(1-AR104/eco)^n),alpha*fck),0)</f>
      </c>
      <c r="AT104" s="30">
        <f>PM_Angle!$J$25+PM_Angle!$K$25*$C104+PM_Angle!$L$25*$B104</f>
      </c>
      <c r="AU104" s="12">
        <f>IF(AT104&gt;0,IF(AT104&lt;=eco,alpha*fck*(1-(1-AT104/eco)^n),alpha*fck),0)</f>
      </c>
    </row>
    <row r="105" spans="1:47" x14ac:dyDescent="0.25">
      <c r="A105">
        <f>Mesh!A102</f>
      </c>
      <c r="B105" s="12">
        <f>Mesh!B102</f>
      </c>
      <c r="C105" s="12">
        <f>Mesh!C102</f>
      </c>
      <c r="D105" s="12">
        <f>Mesh!D102</f>
      </c>
      <c r="E105" s="30">
        <f>INDEX(St_e0,Det+1)+INDEX(St_kx,Det+1)*C105+INDEX(St_ky,Det+1)*B105</f>
      </c>
      <c r="F105" s="12">
        <f>IF(E105&gt;0,IF(E105&lt;=eco,alpha*fck*(1-(1-E105/eco)^n),alpha*fck),0)</f>
      </c>
      <c r="G105" s="11">
        <f>F105*D105</f>
      </c>
      <c r="H105" s="11">
        <f>G105*C105</f>
      </c>
      <c r="I105" s="11">
        <f>G105*B105</f>
      </c>
      <c r="J105" s="30">
        <f>PM_Angle!$J$7+PM_Angle!$K$7*$C105+PM_Angle!$L$7*$B105</f>
      </c>
      <c r="K105" s="12">
        <f>IF(J105&gt;0,IF(J105&lt;=eco,alpha*fck*(1-(1-J105/eco)^n),alpha*fck),0)</f>
      </c>
      <c r="L105" s="30">
        <f>PM_Angle!$J$8+PM_Angle!$K$8*$C105+PM_Angle!$L$8*$B105</f>
      </c>
      <c r="M105" s="12">
        <f>IF(L105&gt;0,IF(L105&lt;=eco,alpha*fck*(1-(1-L105/eco)^n),alpha*fck),0)</f>
      </c>
      <c r="N105" s="30">
        <f>PM_Angle!$J$9+PM_Angle!$K$9*$C105+PM_Angle!$L$9*$B105</f>
      </c>
      <c r="O105" s="12">
        <f>IF(N105&gt;0,IF(N105&lt;=eco,alpha*fck*(1-(1-N105/eco)^n),alpha*fck),0)</f>
      </c>
      <c r="P105" s="30">
        <f>PM_Angle!$J$10+PM_Angle!$K$10*$C105+PM_Angle!$L$10*$B105</f>
      </c>
      <c r="Q105" s="12">
        <f>IF(P105&gt;0,IF(P105&lt;=eco,alpha*fck*(1-(1-P105/eco)^n),alpha*fck),0)</f>
      </c>
      <c r="R105" s="30">
        <f>PM_Angle!$J$11+PM_Angle!$K$11*$C105+PM_Angle!$L$11*$B105</f>
      </c>
      <c r="S105" s="12">
        <f>IF(R105&gt;0,IF(R105&lt;=eco,alpha*fck*(1-(1-R105/eco)^n),alpha*fck),0)</f>
      </c>
      <c r="T105" s="30">
        <f>PM_Angle!$J$12+PM_Angle!$K$12*$C105+PM_Angle!$L$12*$B105</f>
      </c>
      <c r="U105" s="12">
        <f>IF(T105&gt;0,IF(T105&lt;=eco,alpha*fck*(1-(1-T105/eco)^n),alpha*fck),0)</f>
      </c>
      <c r="V105" s="30">
        <f>PM_Angle!$J$13+PM_Angle!$K$13*$C105+PM_Angle!$L$13*$B105</f>
      </c>
      <c r="W105" s="12">
        <f>IF(V105&gt;0,IF(V105&lt;=eco,alpha*fck*(1-(1-V105/eco)^n),alpha*fck),0)</f>
      </c>
      <c r="X105" s="30">
        <f>PM_Angle!$J$14+PM_Angle!$K$14*$C105+PM_Angle!$L$14*$B105</f>
      </c>
      <c r="Y105" s="12">
        <f>IF(X105&gt;0,IF(X105&lt;=eco,alpha*fck*(1-(1-X105/eco)^n),alpha*fck),0)</f>
      </c>
      <c r="Z105" s="30">
        <f>PM_Angle!$J$15+PM_Angle!$K$15*$C105+PM_Angle!$L$15*$B105</f>
      </c>
      <c r="AA105" s="12">
        <f>IF(Z105&gt;0,IF(Z105&lt;=eco,alpha*fck*(1-(1-Z105/eco)^n),alpha*fck),0)</f>
      </c>
      <c r="AB105" s="30">
        <f>PM_Angle!$J$16+PM_Angle!$K$16*$C105+PM_Angle!$L$16*$B105</f>
      </c>
      <c r="AC105" s="12">
        <f>IF(AB105&gt;0,IF(AB105&lt;=eco,alpha*fck*(1-(1-AB105/eco)^n),alpha*fck),0)</f>
      </c>
      <c r="AD105" s="30">
        <f>PM_Angle!$J$17+PM_Angle!$K$17*$C105+PM_Angle!$L$17*$B105</f>
      </c>
      <c r="AE105" s="12">
        <f>IF(AD105&gt;0,IF(AD105&lt;=eco,alpha*fck*(1-(1-AD105/eco)^n),alpha*fck),0)</f>
      </c>
      <c r="AF105" s="30">
        <f>PM_Angle!$J$18+PM_Angle!$K$18*$C105+PM_Angle!$L$18*$B105</f>
      </c>
      <c r="AG105" s="12">
        <f>IF(AF105&gt;0,IF(AF105&lt;=eco,alpha*fck*(1-(1-AF105/eco)^n),alpha*fck),0)</f>
      </c>
      <c r="AH105" s="30">
        <f>PM_Angle!$J$19+PM_Angle!$K$19*$C105+PM_Angle!$L$19*$B105</f>
      </c>
      <c r="AI105" s="12">
        <f>IF(AH105&gt;0,IF(AH105&lt;=eco,alpha*fck*(1-(1-AH105/eco)^n),alpha*fck),0)</f>
      </c>
      <c r="AJ105" s="30">
        <f>PM_Angle!$J$20+PM_Angle!$K$20*$C105+PM_Angle!$L$20*$B105</f>
      </c>
      <c r="AK105" s="12">
        <f>IF(AJ105&gt;0,IF(AJ105&lt;=eco,alpha*fck*(1-(1-AJ105/eco)^n),alpha*fck),0)</f>
      </c>
      <c r="AL105" s="30">
        <f>PM_Angle!$J$21+PM_Angle!$K$21*$C105+PM_Angle!$L$21*$B105</f>
      </c>
      <c r="AM105" s="12">
        <f>IF(AL105&gt;0,IF(AL105&lt;=eco,alpha*fck*(1-(1-AL105/eco)^n),alpha*fck),0)</f>
      </c>
      <c r="AN105" s="30">
        <f>PM_Angle!$J$22+PM_Angle!$K$22*$C105+PM_Angle!$L$22*$B105</f>
      </c>
      <c r="AO105" s="12">
        <f>IF(AN105&gt;0,IF(AN105&lt;=eco,alpha*fck*(1-(1-AN105/eco)^n),alpha*fck),0)</f>
      </c>
      <c r="AP105" s="30">
        <f>PM_Angle!$J$23+PM_Angle!$K$23*$C105+PM_Angle!$L$23*$B105</f>
      </c>
      <c r="AQ105" s="12">
        <f>IF(AP105&gt;0,IF(AP105&lt;=eco,alpha*fck*(1-(1-AP105/eco)^n),alpha*fck),0)</f>
      </c>
      <c r="AR105" s="30">
        <f>PM_Angle!$J$24+PM_Angle!$K$24*$C105+PM_Angle!$L$24*$B105</f>
      </c>
      <c r="AS105" s="12">
        <f>IF(AR105&gt;0,IF(AR105&lt;=eco,alpha*fck*(1-(1-AR105/eco)^n),alpha*fck),0)</f>
      </c>
      <c r="AT105" s="30">
        <f>PM_Angle!$J$25+PM_Angle!$K$25*$C105+PM_Angle!$L$25*$B105</f>
      </c>
      <c r="AU105" s="12">
        <f>IF(AT105&gt;0,IF(AT105&lt;=eco,alpha*fck*(1-(1-AT105/eco)^n),alpha*fck),0)</f>
      </c>
    </row>
    <row r="106" spans="1:47" x14ac:dyDescent="0.25">
      <c r="A106">
        <f>Mesh!A103</f>
      </c>
      <c r="B106" s="12">
        <f>Mesh!B103</f>
      </c>
      <c r="C106" s="12">
        <f>Mesh!C103</f>
      </c>
      <c r="D106" s="12">
        <f>Mesh!D103</f>
      </c>
      <c r="E106" s="30">
        <f>INDEX(St_e0,Det+1)+INDEX(St_kx,Det+1)*C106+INDEX(St_ky,Det+1)*B106</f>
      </c>
      <c r="F106" s="12">
        <f>IF(E106&gt;0,IF(E106&lt;=eco,alpha*fck*(1-(1-E106/eco)^n),alpha*fck),0)</f>
      </c>
      <c r="G106" s="11">
        <f>F106*D106</f>
      </c>
      <c r="H106" s="11">
        <f>G106*C106</f>
      </c>
      <c r="I106" s="11">
        <f>G106*B106</f>
      </c>
      <c r="J106" s="30">
        <f>PM_Angle!$J$7+PM_Angle!$K$7*$C106+PM_Angle!$L$7*$B106</f>
      </c>
      <c r="K106" s="12">
        <f>IF(J106&gt;0,IF(J106&lt;=eco,alpha*fck*(1-(1-J106/eco)^n),alpha*fck),0)</f>
      </c>
      <c r="L106" s="30">
        <f>PM_Angle!$J$8+PM_Angle!$K$8*$C106+PM_Angle!$L$8*$B106</f>
      </c>
      <c r="M106" s="12">
        <f>IF(L106&gt;0,IF(L106&lt;=eco,alpha*fck*(1-(1-L106/eco)^n),alpha*fck),0)</f>
      </c>
      <c r="N106" s="30">
        <f>PM_Angle!$J$9+PM_Angle!$K$9*$C106+PM_Angle!$L$9*$B106</f>
      </c>
      <c r="O106" s="12">
        <f>IF(N106&gt;0,IF(N106&lt;=eco,alpha*fck*(1-(1-N106/eco)^n),alpha*fck),0)</f>
      </c>
      <c r="P106" s="30">
        <f>PM_Angle!$J$10+PM_Angle!$K$10*$C106+PM_Angle!$L$10*$B106</f>
      </c>
      <c r="Q106" s="12">
        <f>IF(P106&gt;0,IF(P106&lt;=eco,alpha*fck*(1-(1-P106/eco)^n),alpha*fck),0)</f>
      </c>
      <c r="R106" s="30">
        <f>PM_Angle!$J$11+PM_Angle!$K$11*$C106+PM_Angle!$L$11*$B106</f>
      </c>
      <c r="S106" s="12">
        <f>IF(R106&gt;0,IF(R106&lt;=eco,alpha*fck*(1-(1-R106/eco)^n),alpha*fck),0)</f>
      </c>
      <c r="T106" s="30">
        <f>PM_Angle!$J$12+PM_Angle!$K$12*$C106+PM_Angle!$L$12*$B106</f>
      </c>
      <c r="U106" s="12">
        <f>IF(T106&gt;0,IF(T106&lt;=eco,alpha*fck*(1-(1-T106/eco)^n),alpha*fck),0)</f>
      </c>
      <c r="V106" s="30">
        <f>PM_Angle!$J$13+PM_Angle!$K$13*$C106+PM_Angle!$L$13*$B106</f>
      </c>
      <c r="W106" s="12">
        <f>IF(V106&gt;0,IF(V106&lt;=eco,alpha*fck*(1-(1-V106/eco)^n),alpha*fck),0)</f>
      </c>
      <c r="X106" s="30">
        <f>PM_Angle!$J$14+PM_Angle!$K$14*$C106+PM_Angle!$L$14*$B106</f>
      </c>
      <c r="Y106" s="12">
        <f>IF(X106&gt;0,IF(X106&lt;=eco,alpha*fck*(1-(1-X106/eco)^n),alpha*fck),0)</f>
      </c>
      <c r="Z106" s="30">
        <f>PM_Angle!$J$15+PM_Angle!$K$15*$C106+PM_Angle!$L$15*$B106</f>
      </c>
      <c r="AA106" s="12">
        <f>IF(Z106&gt;0,IF(Z106&lt;=eco,alpha*fck*(1-(1-Z106/eco)^n),alpha*fck),0)</f>
      </c>
      <c r="AB106" s="30">
        <f>PM_Angle!$J$16+PM_Angle!$K$16*$C106+PM_Angle!$L$16*$B106</f>
      </c>
      <c r="AC106" s="12">
        <f>IF(AB106&gt;0,IF(AB106&lt;=eco,alpha*fck*(1-(1-AB106/eco)^n),alpha*fck),0)</f>
      </c>
      <c r="AD106" s="30">
        <f>PM_Angle!$J$17+PM_Angle!$K$17*$C106+PM_Angle!$L$17*$B106</f>
      </c>
      <c r="AE106" s="12">
        <f>IF(AD106&gt;0,IF(AD106&lt;=eco,alpha*fck*(1-(1-AD106/eco)^n),alpha*fck),0)</f>
      </c>
      <c r="AF106" s="30">
        <f>PM_Angle!$J$18+PM_Angle!$K$18*$C106+PM_Angle!$L$18*$B106</f>
      </c>
      <c r="AG106" s="12">
        <f>IF(AF106&gt;0,IF(AF106&lt;=eco,alpha*fck*(1-(1-AF106/eco)^n),alpha*fck),0)</f>
      </c>
      <c r="AH106" s="30">
        <f>PM_Angle!$J$19+PM_Angle!$K$19*$C106+PM_Angle!$L$19*$B106</f>
      </c>
      <c r="AI106" s="12">
        <f>IF(AH106&gt;0,IF(AH106&lt;=eco,alpha*fck*(1-(1-AH106/eco)^n),alpha*fck),0)</f>
      </c>
      <c r="AJ106" s="30">
        <f>PM_Angle!$J$20+PM_Angle!$K$20*$C106+PM_Angle!$L$20*$B106</f>
      </c>
      <c r="AK106" s="12">
        <f>IF(AJ106&gt;0,IF(AJ106&lt;=eco,alpha*fck*(1-(1-AJ106/eco)^n),alpha*fck),0)</f>
      </c>
      <c r="AL106" s="30">
        <f>PM_Angle!$J$21+PM_Angle!$K$21*$C106+PM_Angle!$L$21*$B106</f>
      </c>
      <c r="AM106" s="12">
        <f>IF(AL106&gt;0,IF(AL106&lt;=eco,alpha*fck*(1-(1-AL106/eco)^n),alpha*fck),0)</f>
      </c>
      <c r="AN106" s="30">
        <f>PM_Angle!$J$22+PM_Angle!$K$22*$C106+PM_Angle!$L$22*$B106</f>
      </c>
      <c r="AO106" s="12">
        <f>IF(AN106&gt;0,IF(AN106&lt;=eco,alpha*fck*(1-(1-AN106/eco)^n),alpha*fck),0)</f>
      </c>
      <c r="AP106" s="30">
        <f>PM_Angle!$J$23+PM_Angle!$K$23*$C106+PM_Angle!$L$23*$B106</f>
      </c>
      <c r="AQ106" s="12">
        <f>IF(AP106&gt;0,IF(AP106&lt;=eco,alpha*fck*(1-(1-AP106/eco)^n),alpha*fck),0)</f>
      </c>
      <c r="AR106" s="30">
        <f>PM_Angle!$J$24+PM_Angle!$K$24*$C106+PM_Angle!$L$24*$B106</f>
      </c>
      <c r="AS106" s="12">
        <f>IF(AR106&gt;0,IF(AR106&lt;=eco,alpha*fck*(1-(1-AR106/eco)^n),alpha*fck),0)</f>
      </c>
      <c r="AT106" s="30">
        <f>PM_Angle!$J$25+PM_Angle!$K$25*$C106+PM_Angle!$L$25*$B106</f>
      </c>
      <c r="AU106" s="12">
        <f>IF(AT106&gt;0,IF(AT106&lt;=eco,alpha*fck*(1-(1-AT106/eco)^n),alpha*fck),0)</f>
      </c>
    </row>
    <row r="107" spans="1:47" x14ac:dyDescent="0.25">
      <c r="A107">
        <f>Mesh!A104</f>
      </c>
      <c r="B107" s="12">
        <f>Mesh!B104</f>
      </c>
      <c r="C107" s="12">
        <f>Mesh!C104</f>
      </c>
      <c r="D107" s="12">
        <f>Mesh!D104</f>
      </c>
      <c r="E107" s="30">
        <f>INDEX(St_e0,Det+1)+INDEX(St_kx,Det+1)*C107+INDEX(St_ky,Det+1)*B107</f>
      </c>
      <c r="F107" s="12">
        <f>IF(E107&gt;0,IF(E107&lt;=eco,alpha*fck*(1-(1-E107/eco)^n),alpha*fck),0)</f>
      </c>
      <c r="G107" s="11">
        <f>F107*D107</f>
      </c>
      <c r="H107" s="11">
        <f>G107*C107</f>
      </c>
      <c r="I107" s="11">
        <f>G107*B107</f>
      </c>
      <c r="J107" s="30">
        <f>PM_Angle!$J$7+PM_Angle!$K$7*$C107+PM_Angle!$L$7*$B107</f>
      </c>
      <c r="K107" s="12">
        <f>IF(J107&gt;0,IF(J107&lt;=eco,alpha*fck*(1-(1-J107/eco)^n),alpha*fck),0)</f>
      </c>
      <c r="L107" s="30">
        <f>PM_Angle!$J$8+PM_Angle!$K$8*$C107+PM_Angle!$L$8*$B107</f>
      </c>
      <c r="M107" s="12">
        <f>IF(L107&gt;0,IF(L107&lt;=eco,alpha*fck*(1-(1-L107/eco)^n),alpha*fck),0)</f>
      </c>
      <c r="N107" s="30">
        <f>PM_Angle!$J$9+PM_Angle!$K$9*$C107+PM_Angle!$L$9*$B107</f>
      </c>
      <c r="O107" s="12">
        <f>IF(N107&gt;0,IF(N107&lt;=eco,alpha*fck*(1-(1-N107/eco)^n),alpha*fck),0)</f>
      </c>
      <c r="P107" s="30">
        <f>PM_Angle!$J$10+PM_Angle!$K$10*$C107+PM_Angle!$L$10*$B107</f>
      </c>
      <c r="Q107" s="12">
        <f>IF(P107&gt;0,IF(P107&lt;=eco,alpha*fck*(1-(1-P107/eco)^n),alpha*fck),0)</f>
      </c>
      <c r="R107" s="30">
        <f>PM_Angle!$J$11+PM_Angle!$K$11*$C107+PM_Angle!$L$11*$B107</f>
      </c>
      <c r="S107" s="12">
        <f>IF(R107&gt;0,IF(R107&lt;=eco,alpha*fck*(1-(1-R107/eco)^n),alpha*fck),0)</f>
      </c>
      <c r="T107" s="30">
        <f>PM_Angle!$J$12+PM_Angle!$K$12*$C107+PM_Angle!$L$12*$B107</f>
      </c>
      <c r="U107" s="12">
        <f>IF(T107&gt;0,IF(T107&lt;=eco,alpha*fck*(1-(1-T107/eco)^n),alpha*fck),0)</f>
      </c>
      <c r="V107" s="30">
        <f>PM_Angle!$J$13+PM_Angle!$K$13*$C107+PM_Angle!$L$13*$B107</f>
      </c>
      <c r="W107" s="12">
        <f>IF(V107&gt;0,IF(V107&lt;=eco,alpha*fck*(1-(1-V107/eco)^n),alpha*fck),0)</f>
      </c>
      <c r="X107" s="30">
        <f>PM_Angle!$J$14+PM_Angle!$K$14*$C107+PM_Angle!$L$14*$B107</f>
      </c>
      <c r="Y107" s="12">
        <f>IF(X107&gt;0,IF(X107&lt;=eco,alpha*fck*(1-(1-X107/eco)^n),alpha*fck),0)</f>
      </c>
      <c r="Z107" s="30">
        <f>PM_Angle!$J$15+PM_Angle!$K$15*$C107+PM_Angle!$L$15*$B107</f>
      </c>
      <c r="AA107" s="12">
        <f>IF(Z107&gt;0,IF(Z107&lt;=eco,alpha*fck*(1-(1-Z107/eco)^n),alpha*fck),0)</f>
      </c>
      <c r="AB107" s="30">
        <f>PM_Angle!$J$16+PM_Angle!$K$16*$C107+PM_Angle!$L$16*$B107</f>
      </c>
      <c r="AC107" s="12">
        <f>IF(AB107&gt;0,IF(AB107&lt;=eco,alpha*fck*(1-(1-AB107/eco)^n),alpha*fck),0)</f>
      </c>
      <c r="AD107" s="30">
        <f>PM_Angle!$J$17+PM_Angle!$K$17*$C107+PM_Angle!$L$17*$B107</f>
      </c>
      <c r="AE107" s="12">
        <f>IF(AD107&gt;0,IF(AD107&lt;=eco,alpha*fck*(1-(1-AD107/eco)^n),alpha*fck),0)</f>
      </c>
      <c r="AF107" s="30">
        <f>PM_Angle!$J$18+PM_Angle!$K$18*$C107+PM_Angle!$L$18*$B107</f>
      </c>
      <c r="AG107" s="12">
        <f>IF(AF107&gt;0,IF(AF107&lt;=eco,alpha*fck*(1-(1-AF107/eco)^n),alpha*fck),0)</f>
      </c>
      <c r="AH107" s="30">
        <f>PM_Angle!$J$19+PM_Angle!$K$19*$C107+PM_Angle!$L$19*$B107</f>
      </c>
      <c r="AI107" s="12">
        <f>IF(AH107&gt;0,IF(AH107&lt;=eco,alpha*fck*(1-(1-AH107/eco)^n),alpha*fck),0)</f>
      </c>
      <c r="AJ107" s="30">
        <f>PM_Angle!$J$20+PM_Angle!$K$20*$C107+PM_Angle!$L$20*$B107</f>
      </c>
      <c r="AK107" s="12">
        <f>IF(AJ107&gt;0,IF(AJ107&lt;=eco,alpha*fck*(1-(1-AJ107/eco)^n),alpha*fck),0)</f>
      </c>
      <c r="AL107" s="30">
        <f>PM_Angle!$J$21+PM_Angle!$K$21*$C107+PM_Angle!$L$21*$B107</f>
      </c>
      <c r="AM107" s="12">
        <f>IF(AL107&gt;0,IF(AL107&lt;=eco,alpha*fck*(1-(1-AL107/eco)^n),alpha*fck),0)</f>
      </c>
      <c r="AN107" s="30">
        <f>PM_Angle!$J$22+PM_Angle!$K$22*$C107+PM_Angle!$L$22*$B107</f>
      </c>
      <c r="AO107" s="12">
        <f>IF(AN107&gt;0,IF(AN107&lt;=eco,alpha*fck*(1-(1-AN107/eco)^n),alpha*fck),0)</f>
      </c>
      <c r="AP107" s="30">
        <f>PM_Angle!$J$23+PM_Angle!$K$23*$C107+PM_Angle!$L$23*$B107</f>
      </c>
      <c r="AQ107" s="12">
        <f>IF(AP107&gt;0,IF(AP107&lt;=eco,alpha*fck*(1-(1-AP107/eco)^n),alpha*fck),0)</f>
      </c>
      <c r="AR107" s="30">
        <f>PM_Angle!$J$24+PM_Angle!$K$24*$C107+PM_Angle!$L$24*$B107</f>
      </c>
      <c r="AS107" s="12">
        <f>IF(AR107&gt;0,IF(AR107&lt;=eco,alpha*fck*(1-(1-AR107/eco)^n),alpha*fck),0)</f>
      </c>
      <c r="AT107" s="30">
        <f>PM_Angle!$J$25+PM_Angle!$K$25*$C107+PM_Angle!$L$25*$B107</f>
      </c>
      <c r="AU107" s="12">
        <f>IF(AT107&gt;0,IF(AT107&lt;=eco,alpha*fck*(1-(1-AT107/eco)^n),alpha*fck),0)</f>
      </c>
    </row>
    <row r="108" spans="1:47" x14ac:dyDescent="0.25">
      <c r="A108">
        <f>Mesh!A105</f>
      </c>
      <c r="B108" s="12">
        <f>Mesh!B105</f>
      </c>
      <c r="C108" s="12">
        <f>Mesh!C105</f>
      </c>
      <c r="D108" s="12">
        <f>Mesh!D105</f>
      </c>
      <c r="E108" s="30">
        <f>INDEX(St_e0,Det+1)+INDEX(St_kx,Det+1)*C108+INDEX(St_ky,Det+1)*B108</f>
      </c>
      <c r="F108" s="12">
        <f>IF(E108&gt;0,IF(E108&lt;=eco,alpha*fck*(1-(1-E108/eco)^n),alpha*fck),0)</f>
      </c>
      <c r="G108" s="11">
        <f>F108*D108</f>
      </c>
      <c r="H108" s="11">
        <f>G108*C108</f>
      </c>
      <c r="I108" s="11">
        <f>G108*B108</f>
      </c>
      <c r="J108" s="30">
        <f>PM_Angle!$J$7+PM_Angle!$K$7*$C108+PM_Angle!$L$7*$B108</f>
      </c>
      <c r="K108" s="12">
        <f>IF(J108&gt;0,IF(J108&lt;=eco,alpha*fck*(1-(1-J108/eco)^n),alpha*fck),0)</f>
      </c>
      <c r="L108" s="30">
        <f>PM_Angle!$J$8+PM_Angle!$K$8*$C108+PM_Angle!$L$8*$B108</f>
      </c>
      <c r="M108" s="12">
        <f>IF(L108&gt;0,IF(L108&lt;=eco,alpha*fck*(1-(1-L108/eco)^n),alpha*fck),0)</f>
      </c>
      <c r="N108" s="30">
        <f>PM_Angle!$J$9+PM_Angle!$K$9*$C108+PM_Angle!$L$9*$B108</f>
      </c>
      <c r="O108" s="12">
        <f>IF(N108&gt;0,IF(N108&lt;=eco,alpha*fck*(1-(1-N108/eco)^n),alpha*fck),0)</f>
      </c>
      <c r="P108" s="30">
        <f>PM_Angle!$J$10+PM_Angle!$K$10*$C108+PM_Angle!$L$10*$B108</f>
      </c>
      <c r="Q108" s="12">
        <f>IF(P108&gt;0,IF(P108&lt;=eco,alpha*fck*(1-(1-P108/eco)^n),alpha*fck),0)</f>
      </c>
      <c r="R108" s="30">
        <f>PM_Angle!$J$11+PM_Angle!$K$11*$C108+PM_Angle!$L$11*$B108</f>
      </c>
      <c r="S108" s="12">
        <f>IF(R108&gt;0,IF(R108&lt;=eco,alpha*fck*(1-(1-R108/eco)^n),alpha*fck),0)</f>
      </c>
      <c r="T108" s="30">
        <f>PM_Angle!$J$12+PM_Angle!$K$12*$C108+PM_Angle!$L$12*$B108</f>
      </c>
      <c r="U108" s="12">
        <f>IF(T108&gt;0,IF(T108&lt;=eco,alpha*fck*(1-(1-T108/eco)^n),alpha*fck),0)</f>
      </c>
      <c r="V108" s="30">
        <f>PM_Angle!$J$13+PM_Angle!$K$13*$C108+PM_Angle!$L$13*$B108</f>
      </c>
      <c r="W108" s="12">
        <f>IF(V108&gt;0,IF(V108&lt;=eco,alpha*fck*(1-(1-V108/eco)^n),alpha*fck),0)</f>
      </c>
      <c r="X108" s="30">
        <f>PM_Angle!$J$14+PM_Angle!$K$14*$C108+PM_Angle!$L$14*$B108</f>
      </c>
      <c r="Y108" s="12">
        <f>IF(X108&gt;0,IF(X108&lt;=eco,alpha*fck*(1-(1-X108/eco)^n),alpha*fck),0)</f>
      </c>
      <c r="Z108" s="30">
        <f>PM_Angle!$J$15+PM_Angle!$K$15*$C108+PM_Angle!$L$15*$B108</f>
      </c>
      <c r="AA108" s="12">
        <f>IF(Z108&gt;0,IF(Z108&lt;=eco,alpha*fck*(1-(1-Z108/eco)^n),alpha*fck),0)</f>
      </c>
      <c r="AB108" s="30">
        <f>PM_Angle!$J$16+PM_Angle!$K$16*$C108+PM_Angle!$L$16*$B108</f>
      </c>
      <c r="AC108" s="12">
        <f>IF(AB108&gt;0,IF(AB108&lt;=eco,alpha*fck*(1-(1-AB108/eco)^n),alpha*fck),0)</f>
      </c>
      <c r="AD108" s="30">
        <f>PM_Angle!$J$17+PM_Angle!$K$17*$C108+PM_Angle!$L$17*$B108</f>
      </c>
      <c r="AE108" s="12">
        <f>IF(AD108&gt;0,IF(AD108&lt;=eco,alpha*fck*(1-(1-AD108/eco)^n),alpha*fck),0)</f>
      </c>
      <c r="AF108" s="30">
        <f>PM_Angle!$J$18+PM_Angle!$K$18*$C108+PM_Angle!$L$18*$B108</f>
      </c>
      <c r="AG108" s="12">
        <f>IF(AF108&gt;0,IF(AF108&lt;=eco,alpha*fck*(1-(1-AF108/eco)^n),alpha*fck),0)</f>
      </c>
      <c r="AH108" s="30">
        <f>PM_Angle!$J$19+PM_Angle!$K$19*$C108+PM_Angle!$L$19*$B108</f>
      </c>
      <c r="AI108" s="12">
        <f>IF(AH108&gt;0,IF(AH108&lt;=eco,alpha*fck*(1-(1-AH108/eco)^n),alpha*fck),0)</f>
      </c>
      <c r="AJ108" s="30">
        <f>PM_Angle!$J$20+PM_Angle!$K$20*$C108+PM_Angle!$L$20*$B108</f>
      </c>
      <c r="AK108" s="12">
        <f>IF(AJ108&gt;0,IF(AJ108&lt;=eco,alpha*fck*(1-(1-AJ108/eco)^n),alpha*fck),0)</f>
      </c>
      <c r="AL108" s="30">
        <f>PM_Angle!$J$21+PM_Angle!$K$21*$C108+PM_Angle!$L$21*$B108</f>
      </c>
      <c r="AM108" s="12">
        <f>IF(AL108&gt;0,IF(AL108&lt;=eco,alpha*fck*(1-(1-AL108/eco)^n),alpha*fck),0)</f>
      </c>
      <c r="AN108" s="30">
        <f>PM_Angle!$J$22+PM_Angle!$K$22*$C108+PM_Angle!$L$22*$B108</f>
      </c>
      <c r="AO108" s="12">
        <f>IF(AN108&gt;0,IF(AN108&lt;=eco,alpha*fck*(1-(1-AN108/eco)^n),alpha*fck),0)</f>
      </c>
      <c r="AP108" s="30">
        <f>PM_Angle!$J$23+PM_Angle!$K$23*$C108+PM_Angle!$L$23*$B108</f>
      </c>
      <c r="AQ108" s="12">
        <f>IF(AP108&gt;0,IF(AP108&lt;=eco,alpha*fck*(1-(1-AP108/eco)^n),alpha*fck),0)</f>
      </c>
      <c r="AR108" s="30">
        <f>PM_Angle!$J$24+PM_Angle!$K$24*$C108+PM_Angle!$L$24*$B108</f>
      </c>
      <c r="AS108" s="12">
        <f>IF(AR108&gt;0,IF(AR108&lt;=eco,alpha*fck*(1-(1-AR108/eco)^n),alpha*fck),0)</f>
      </c>
      <c r="AT108" s="30">
        <f>PM_Angle!$J$25+PM_Angle!$K$25*$C108+PM_Angle!$L$25*$B108</f>
      </c>
      <c r="AU108" s="12">
        <f>IF(AT108&gt;0,IF(AT108&lt;=eco,alpha*fck*(1-(1-AT108/eco)^n),alpha*fck),0)</f>
      </c>
    </row>
    <row r="109" spans="1:47" x14ac:dyDescent="0.25">
      <c r="A109">
        <f>Mesh!A106</f>
      </c>
      <c r="B109" s="12">
        <f>Mesh!B106</f>
      </c>
      <c r="C109" s="12">
        <f>Mesh!C106</f>
      </c>
      <c r="D109" s="12">
        <f>Mesh!D106</f>
      </c>
      <c r="E109" s="30">
        <f>INDEX(St_e0,Det+1)+INDEX(St_kx,Det+1)*C109+INDEX(St_ky,Det+1)*B109</f>
      </c>
      <c r="F109" s="12">
        <f>IF(E109&gt;0,IF(E109&lt;=eco,alpha*fck*(1-(1-E109/eco)^n),alpha*fck),0)</f>
      </c>
      <c r="G109" s="11">
        <f>F109*D109</f>
      </c>
      <c r="H109" s="11">
        <f>G109*C109</f>
      </c>
      <c r="I109" s="11">
        <f>G109*B109</f>
      </c>
      <c r="J109" s="30">
        <f>PM_Angle!$J$7+PM_Angle!$K$7*$C109+PM_Angle!$L$7*$B109</f>
      </c>
      <c r="K109" s="12">
        <f>IF(J109&gt;0,IF(J109&lt;=eco,alpha*fck*(1-(1-J109/eco)^n),alpha*fck),0)</f>
      </c>
      <c r="L109" s="30">
        <f>PM_Angle!$J$8+PM_Angle!$K$8*$C109+PM_Angle!$L$8*$B109</f>
      </c>
      <c r="M109" s="12">
        <f>IF(L109&gt;0,IF(L109&lt;=eco,alpha*fck*(1-(1-L109/eco)^n),alpha*fck),0)</f>
      </c>
      <c r="N109" s="30">
        <f>PM_Angle!$J$9+PM_Angle!$K$9*$C109+PM_Angle!$L$9*$B109</f>
      </c>
      <c r="O109" s="12">
        <f>IF(N109&gt;0,IF(N109&lt;=eco,alpha*fck*(1-(1-N109/eco)^n),alpha*fck),0)</f>
      </c>
      <c r="P109" s="30">
        <f>PM_Angle!$J$10+PM_Angle!$K$10*$C109+PM_Angle!$L$10*$B109</f>
      </c>
      <c r="Q109" s="12">
        <f>IF(P109&gt;0,IF(P109&lt;=eco,alpha*fck*(1-(1-P109/eco)^n),alpha*fck),0)</f>
      </c>
      <c r="R109" s="30">
        <f>PM_Angle!$J$11+PM_Angle!$K$11*$C109+PM_Angle!$L$11*$B109</f>
      </c>
      <c r="S109" s="12">
        <f>IF(R109&gt;0,IF(R109&lt;=eco,alpha*fck*(1-(1-R109/eco)^n),alpha*fck),0)</f>
      </c>
      <c r="T109" s="30">
        <f>PM_Angle!$J$12+PM_Angle!$K$12*$C109+PM_Angle!$L$12*$B109</f>
      </c>
      <c r="U109" s="12">
        <f>IF(T109&gt;0,IF(T109&lt;=eco,alpha*fck*(1-(1-T109/eco)^n),alpha*fck),0)</f>
      </c>
      <c r="V109" s="30">
        <f>PM_Angle!$J$13+PM_Angle!$K$13*$C109+PM_Angle!$L$13*$B109</f>
      </c>
      <c r="W109" s="12">
        <f>IF(V109&gt;0,IF(V109&lt;=eco,alpha*fck*(1-(1-V109/eco)^n),alpha*fck),0)</f>
      </c>
      <c r="X109" s="30">
        <f>PM_Angle!$J$14+PM_Angle!$K$14*$C109+PM_Angle!$L$14*$B109</f>
      </c>
      <c r="Y109" s="12">
        <f>IF(X109&gt;0,IF(X109&lt;=eco,alpha*fck*(1-(1-X109/eco)^n),alpha*fck),0)</f>
      </c>
      <c r="Z109" s="30">
        <f>PM_Angle!$J$15+PM_Angle!$K$15*$C109+PM_Angle!$L$15*$B109</f>
      </c>
      <c r="AA109" s="12">
        <f>IF(Z109&gt;0,IF(Z109&lt;=eco,alpha*fck*(1-(1-Z109/eco)^n),alpha*fck),0)</f>
      </c>
      <c r="AB109" s="30">
        <f>PM_Angle!$J$16+PM_Angle!$K$16*$C109+PM_Angle!$L$16*$B109</f>
      </c>
      <c r="AC109" s="12">
        <f>IF(AB109&gt;0,IF(AB109&lt;=eco,alpha*fck*(1-(1-AB109/eco)^n),alpha*fck),0)</f>
      </c>
      <c r="AD109" s="30">
        <f>PM_Angle!$J$17+PM_Angle!$K$17*$C109+PM_Angle!$L$17*$B109</f>
      </c>
      <c r="AE109" s="12">
        <f>IF(AD109&gt;0,IF(AD109&lt;=eco,alpha*fck*(1-(1-AD109/eco)^n),alpha*fck),0)</f>
      </c>
      <c r="AF109" s="30">
        <f>PM_Angle!$J$18+PM_Angle!$K$18*$C109+PM_Angle!$L$18*$B109</f>
      </c>
      <c r="AG109" s="12">
        <f>IF(AF109&gt;0,IF(AF109&lt;=eco,alpha*fck*(1-(1-AF109/eco)^n),alpha*fck),0)</f>
      </c>
      <c r="AH109" s="30">
        <f>PM_Angle!$J$19+PM_Angle!$K$19*$C109+PM_Angle!$L$19*$B109</f>
      </c>
      <c r="AI109" s="12">
        <f>IF(AH109&gt;0,IF(AH109&lt;=eco,alpha*fck*(1-(1-AH109/eco)^n),alpha*fck),0)</f>
      </c>
      <c r="AJ109" s="30">
        <f>PM_Angle!$J$20+PM_Angle!$K$20*$C109+PM_Angle!$L$20*$B109</f>
      </c>
      <c r="AK109" s="12">
        <f>IF(AJ109&gt;0,IF(AJ109&lt;=eco,alpha*fck*(1-(1-AJ109/eco)^n),alpha*fck),0)</f>
      </c>
      <c r="AL109" s="30">
        <f>PM_Angle!$J$21+PM_Angle!$K$21*$C109+PM_Angle!$L$21*$B109</f>
      </c>
      <c r="AM109" s="12">
        <f>IF(AL109&gt;0,IF(AL109&lt;=eco,alpha*fck*(1-(1-AL109/eco)^n),alpha*fck),0)</f>
      </c>
      <c r="AN109" s="30">
        <f>PM_Angle!$J$22+PM_Angle!$K$22*$C109+PM_Angle!$L$22*$B109</f>
      </c>
      <c r="AO109" s="12">
        <f>IF(AN109&gt;0,IF(AN109&lt;=eco,alpha*fck*(1-(1-AN109/eco)^n),alpha*fck),0)</f>
      </c>
      <c r="AP109" s="30">
        <f>PM_Angle!$J$23+PM_Angle!$K$23*$C109+PM_Angle!$L$23*$B109</f>
      </c>
      <c r="AQ109" s="12">
        <f>IF(AP109&gt;0,IF(AP109&lt;=eco,alpha*fck*(1-(1-AP109/eco)^n),alpha*fck),0)</f>
      </c>
      <c r="AR109" s="30">
        <f>PM_Angle!$J$24+PM_Angle!$K$24*$C109+PM_Angle!$L$24*$B109</f>
      </c>
      <c r="AS109" s="12">
        <f>IF(AR109&gt;0,IF(AR109&lt;=eco,alpha*fck*(1-(1-AR109/eco)^n),alpha*fck),0)</f>
      </c>
      <c r="AT109" s="30">
        <f>PM_Angle!$J$25+PM_Angle!$K$25*$C109+PM_Angle!$L$25*$B109</f>
      </c>
      <c r="AU109" s="12">
        <f>IF(AT109&gt;0,IF(AT109&lt;=eco,alpha*fck*(1-(1-AT109/eco)^n),alpha*fck),0)</f>
      </c>
    </row>
    <row r="110" spans="1:47" x14ac:dyDescent="0.25">
      <c r="A110">
        <f>Mesh!A107</f>
      </c>
      <c r="B110" s="12">
        <f>Mesh!B107</f>
      </c>
      <c r="C110" s="12">
        <f>Mesh!C107</f>
      </c>
      <c r="D110" s="12">
        <f>Mesh!D107</f>
      </c>
      <c r="E110" s="30">
        <f>INDEX(St_e0,Det+1)+INDEX(St_kx,Det+1)*C110+INDEX(St_ky,Det+1)*B110</f>
      </c>
      <c r="F110" s="12">
        <f>IF(E110&gt;0,IF(E110&lt;=eco,alpha*fck*(1-(1-E110/eco)^n),alpha*fck),0)</f>
      </c>
      <c r="G110" s="11">
        <f>F110*D110</f>
      </c>
      <c r="H110" s="11">
        <f>G110*C110</f>
      </c>
      <c r="I110" s="11">
        <f>G110*B110</f>
      </c>
      <c r="J110" s="30">
        <f>PM_Angle!$J$7+PM_Angle!$K$7*$C110+PM_Angle!$L$7*$B110</f>
      </c>
      <c r="K110" s="12">
        <f>IF(J110&gt;0,IF(J110&lt;=eco,alpha*fck*(1-(1-J110/eco)^n),alpha*fck),0)</f>
      </c>
      <c r="L110" s="30">
        <f>PM_Angle!$J$8+PM_Angle!$K$8*$C110+PM_Angle!$L$8*$B110</f>
      </c>
      <c r="M110" s="12">
        <f>IF(L110&gt;0,IF(L110&lt;=eco,alpha*fck*(1-(1-L110/eco)^n),alpha*fck),0)</f>
      </c>
      <c r="N110" s="30">
        <f>PM_Angle!$J$9+PM_Angle!$K$9*$C110+PM_Angle!$L$9*$B110</f>
      </c>
      <c r="O110" s="12">
        <f>IF(N110&gt;0,IF(N110&lt;=eco,alpha*fck*(1-(1-N110/eco)^n),alpha*fck),0)</f>
      </c>
      <c r="P110" s="30">
        <f>PM_Angle!$J$10+PM_Angle!$K$10*$C110+PM_Angle!$L$10*$B110</f>
      </c>
      <c r="Q110" s="12">
        <f>IF(P110&gt;0,IF(P110&lt;=eco,alpha*fck*(1-(1-P110/eco)^n),alpha*fck),0)</f>
      </c>
      <c r="R110" s="30">
        <f>PM_Angle!$J$11+PM_Angle!$K$11*$C110+PM_Angle!$L$11*$B110</f>
      </c>
      <c r="S110" s="12">
        <f>IF(R110&gt;0,IF(R110&lt;=eco,alpha*fck*(1-(1-R110/eco)^n),alpha*fck),0)</f>
      </c>
      <c r="T110" s="30">
        <f>PM_Angle!$J$12+PM_Angle!$K$12*$C110+PM_Angle!$L$12*$B110</f>
      </c>
      <c r="U110" s="12">
        <f>IF(T110&gt;0,IF(T110&lt;=eco,alpha*fck*(1-(1-T110/eco)^n),alpha*fck),0)</f>
      </c>
      <c r="V110" s="30">
        <f>PM_Angle!$J$13+PM_Angle!$K$13*$C110+PM_Angle!$L$13*$B110</f>
      </c>
      <c r="W110" s="12">
        <f>IF(V110&gt;0,IF(V110&lt;=eco,alpha*fck*(1-(1-V110/eco)^n),alpha*fck),0)</f>
      </c>
      <c r="X110" s="30">
        <f>PM_Angle!$J$14+PM_Angle!$K$14*$C110+PM_Angle!$L$14*$B110</f>
      </c>
      <c r="Y110" s="12">
        <f>IF(X110&gt;0,IF(X110&lt;=eco,alpha*fck*(1-(1-X110/eco)^n),alpha*fck),0)</f>
      </c>
      <c r="Z110" s="30">
        <f>PM_Angle!$J$15+PM_Angle!$K$15*$C110+PM_Angle!$L$15*$B110</f>
      </c>
      <c r="AA110" s="12">
        <f>IF(Z110&gt;0,IF(Z110&lt;=eco,alpha*fck*(1-(1-Z110/eco)^n),alpha*fck),0)</f>
      </c>
      <c r="AB110" s="30">
        <f>PM_Angle!$J$16+PM_Angle!$K$16*$C110+PM_Angle!$L$16*$B110</f>
      </c>
      <c r="AC110" s="12">
        <f>IF(AB110&gt;0,IF(AB110&lt;=eco,alpha*fck*(1-(1-AB110/eco)^n),alpha*fck),0)</f>
      </c>
      <c r="AD110" s="30">
        <f>PM_Angle!$J$17+PM_Angle!$K$17*$C110+PM_Angle!$L$17*$B110</f>
      </c>
      <c r="AE110" s="12">
        <f>IF(AD110&gt;0,IF(AD110&lt;=eco,alpha*fck*(1-(1-AD110/eco)^n),alpha*fck),0)</f>
      </c>
      <c r="AF110" s="30">
        <f>PM_Angle!$J$18+PM_Angle!$K$18*$C110+PM_Angle!$L$18*$B110</f>
      </c>
      <c r="AG110" s="12">
        <f>IF(AF110&gt;0,IF(AF110&lt;=eco,alpha*fck*(1-(1-AF110/eco)^n),alpha*fck),0)</f>
      </c>
      <c r="AH110" s="30">
        <f>PM_Angle!$J$19+PM_Angle!$K$19*$C110+PM_Angle!$L$19*$B110</f>
      </c>
      <c r="AI110" s="12">
        <f>IF(AH110&gt;0,IF(AH110&lt;=eco,alpha*fck*(1-(1-AH110/eco)^n),alpha*fck),0)</f>
      </c>
      <c r="AJ110" s="30">
        <f>PM_Angle!$J$20+PM_Angle!$K$20*$C110+PM_Angle!$L$20*$B110</f>
      </c>
      <c r="AK110" s="12">
        <f>IF(AJ110&gt;0,IF(AJ110&lt;=eco,alpha*fck*(1-(1-AJ110/eco)^n),alpha*fck),0)</f>
      </c>
      <c r="AL110" s="30">
        <f>PM_Angle!$J$21+PM_Angle!$K$21*$C110+PM_Angle!$L$21*$B110</f>
      </c>
      <c r="AM110" s="12">
        <f>IF(AL110&gt;0,IF(AL110&lt;=eco,alpha*fck*(1-(1-AL110/eco)^n),alpha*fck),0)</f>
      </c>
      <c r="AN110" s="30">
        <f>PM_Angle!$J$22+PM_Angle!$K$22*$C110+PM_Angle!$L$22*$B110</f>
      </c>
      <c r="AO110" s="12">
        <f>IF(AN110&gt;0,IF(AN110&lt;=eco,alpha*fck*(1-(1-AN110/eco)^n),alpha*fck),0)</f>
      </c>
      <c r="AP110" s="30">
        <f>PM_Angle!$J$23+PM_Angle!$K$23*$C110+PM_Angle!$L$23*$B110</f>
      </c>
      <c r="AQ110" s="12">
        <f>IF(AP110&gt;0,IF(AP110&lt;=eco,alpha*fck*(1-(1-AP110/eco)^n),alpha*fck),0)</f>
      </c>
      <c r="AR110" s="30">
        <f>PM_Angle!$J$24+PM_Angle!$K$24*$C110+PM_Angle!$L$24*$B110</f>
      </c>
      <c r="AS110" s="12">
        <f>IF(AR110&gt;0,IF(AR110&lt;=eco,alpha*fck*(1-(1-AR110/eco)^n),alpha*fck),0)</f>
      </c>
      <c r="AT110" s="30">
        <f>PM_Angle!$J$25+PM_Angle!$K$25*$C110+PM_Angle!$L$25*$B110</f>
      </c>
      <c r="AU110" s="12">
        <f>IF(AT110&gt;0,IF(AT110&lt;=eco,alpha*fck*(1-(1-AT110/eco)^n),alpha*fck),0)</f>
      </c>
    </row>
    <row r="111" spans="1:47" x14ac:dyDescent="0.25">
      <c r="A111">
        <f>Mesh!A108</f>
      </c>
      <c r="B111" s="12">
        <f>Mesh!B108</f>
      </c>
      <c r="C111" s="12">
        <f>Mesh!C108</f>
      </c>
      <c r="D111" s="12">
        <f>Mesh!D108</f>
      </c>
      <c r="E111" s="30">
        <f>INDEX(St_e0,Det+1)+INDEX(St_kx,Det+1)*C111+INDEX(St_ky,Det+1)*B111</f>
      </c>
      <c r="F111" s="12">
        <f>IF(E111&gt;0,IF(E111&lt;=eco,alpha*fck*(1-(1-E111/eco)^n),alpha*fck),0)</f>
      </c>
      <c r="G111" s="11">
        <f>F111*D111</f>
      </c>
      <c r="H111" s="11">
        <f>G111*C111</f>
      </c>
      <c r="I111" s="11">
        <f>G111*B111</f>
      </c>
      <c r="J111" s="30">
        <f>PM_Angle!$J$7+PM_Angle!$K$7*$C111+PM_Angle!$L$7*$B111</f>
      </c>
      <c r="K111" s="12">
        <f>IF(J111&gt;0,IF(J111&lt;=eco,alpha*fck*(1-(1-J111/eco)^n),alpha*fck),0)</f>
      </c>
      <c r="L111" s="30">
        <f>PM_Angle!$J$8+PM_Angle!$K$8*$C111+PM_Angle!$L$8*$B111</f>
      </c>
      <c r="M111" s="12">
        <f>IF(L111&gt;0,IF(L111&lt;=eco,alpha*fck*(1-(1-L111/eco)^n),alpha*fck),0)</f>
      </c>
      <c r="N111" s="30">
        <f>PM_Angle!$J$9+PM_Angle!$K$9*$C111+PM_Angle!$L$9*$B111</f>
      </c>
      <c r="O111" s="12">
        <f>IF(N111&gt;0,IF(N111&lt;=eco,alpha*fck*(1-(1-N111/eco)^n),alpha*fck),0)</f>
      </c>
      <c r="P111" s="30">
        <f>PM_Angle!$J$10+PM_Angle!$K$10*$C111+PM_Angle!$L$10*$B111</f>
      </c>
      <c r="Q111" s="12">
        <f>IF(P111&gt;0,IF(P111&lt;=eco,alpha*fck*(1-(1-P111/eco)^n),alpha*fck),0)</f>
      </c>
      <c r="R111" s="30">
        <f>PM_Angle!$J$11+PM_Angle!$K$11*$C111+PM_Angle!$L$11*$B111</f>
      </c>
      <c r="S111" s="12">
        <f>IF(R111&gt;0,IF(R111&lt;=eco,alpha*fck*(1-(1-R111/eco)^n),alpha*fck),0)</f>
      </c>
      <c r="T111" s="30">
        <f>PM_Angle!$J$12+PM_Angle!$K$12*$C111+PM_Angle!$L$12*$B111</f>
      </c>
      <c r="U111" s="12">
        <f>IF(T111&gt;0,IF(T111&lt;=eco,alpha*fck*(1-(1-T111/eco)^n),alpha*fck),0)</f>
      </c>
      <c r="V111" s="30">
        <f>PM_Angle!$J$13+PM_Angle!$K$13*$C111+PM_Angle!$L$13*$B111</f>
      </c>
      <c r="W111" s="12">
        <f>IF(V111&gt;0,IF(V111&lt;=eco,alpha*fck*(1-(1-V111/eco)^n),alpha*fck),0)</f>
      </c>
      <c r="X111" s="30">
        <f>PM_Angle!$J$14+PM_Angle!$K$14*$C111+PM_Angle!$L$14*$B111</f>
      </c>
      <c r="Y111" s="12">
        <f>IF(X111&gt;0,IF(X111&lt;=eco,alpha*fck*(1-(1-X111/eco)^n),alpha*fck),0)</f>
      </c>
      <c r="Z111" s="30">
        <f>PM_Angle!$J$15+PM_Angle!$K$15*$C111+PM_Angle!$L$15*$B111</f>
      </c>
      <c r="AA111" s="12">
        <f>IF(Z111&gt;0,IF(Z111&lt;=eco,alpha*fck*(1-(1-Z111/eco)^n),alpha*fck),0)</f>
      </c>
      <c r="AB111" s="30">
        <f>PM_Angle!$J$16+PM_Angle!$K$16*$C111+PM_Angle!$L$16*$B111</f>
      </c>
      <c r="AC111" s="12">
        <f>IF(AB111&gt;0,IF(AB111&lt;=eco,alpha*fck*(1-(1-AB111/eco)^n),alpha*fck),0)</f>
      </c>
      <c r="AD111" s="30">
        <f>PM_Angle!$J$17+PM_Angle!$K$17*$C111+PM_Angle!$L$17*$B111</f>
      </c>
      <c r="AE111" s="12">
        <f>IF(AD111&gt;0,IF(AD111&lt;=eco,alpha*fck*(1-(1-AD111/eco)^n),alpha*fck),0)</f>
      </c>
      <c r="AF111" s="30">
        <f>PM_Angle!$J$18+PM_Angle!$K$18*$C111+PM_Angle!$L$18*$B111</f>
      </c>
      <c r="AG111" s="12">
        <f>IF(AF111&gt;0,IF(AF111&lt;=eco,alpha*fck*(1-(1-AF111/eco)^n),alpha*fck),0)</f>
      </c>
      <c r="AH111" s="30">
        <f>PM_Angle!$J$19+PM_Angle!$K$19*$C111+PM_Angle!$L$19*$B111</f>
      </c>
      <c r="AI111" s="12">
        <f>IF(AH111&gt;0,IF(AH111&lt;=eco,alpha*fck*(1-(1-AH111/eco)^n),alpha*fck),0)</f>
      </c>
      <c r="AJ111" s="30">
        <f>PM_Angle!$J$20+PM_Angle!$K$20*$C111+PM_Angle!$L$20*$B111</f>
      </c>
      <c r="AK111" s="12">
        <f>IF(AJ111&gt;0,IF(AJ111&lt;=eco,alpha*fck*(1-(1-AJ111/eco)^n),alpha*fck),0)</f>
      </c>
      <c r="AL111" s="30">
        <f>PM_Angle!$J$21+PM_Angle!$K$21*$C111+PM_Angle!$L$21*$B111</f>
      </c>
      <c r="AM111" s="12">
        <f>IF(AL111&gt;0,IF(AL111&lt;=eco,alpha*fck*(1-(1-AL111/eco)^n),alpha*fck),0)</f>
      </c>
      <c r="AN111" s="30">
        <f>PM_Angle!$J$22+PM_Angle!$K$22*$C111+PM_Angle!$L$22*$B111</f>
      </c>
      <c r="AO111" s="12">
        <f>IF(AN111&gt;0,IF(AN111&lt;=eco,alpha*fck*(1-(1-AN111/eco)^n),alpha*fck),0)</f>
      </c>
      <c r="AP111" s="30">
        <f>PM_Angle!$J$23+PM_Angle!$K$23*$C111+PM_Angle!$L$23*$B111</f>
      </c>
      <c r="AQ111" s="12">
        <f>IF(AP111&gt;0,IF(AP111&lt;=eco,alpha*fck*(1-(1-AP111/eco)^n),alpha*fck),0)</f>
      </c>
      <c r="AR111" s="30">
        <f>PM_Angle!$J$24+PM_Angle!$K$24*$C111+PM_Angle!$L$24*$B111</f>
      </c>
      <c r="AS111" s="12">
        <f>IF(AR111&gt;0,IF(AR111&lt;=eco,alpha*fck*(1-(1-AR111/eco)^n),alpha*fck),0)</f>
      </c>
      <c r="AT111" s="30">
        <f>PM_Angle!$J$25+PM_Angle!$K$25*$C111+PM_Angle!$L$25*$B111</f>
      </c>
      <c r="AU111" s="12">
        <f>IF(AT111&gt;0,IF(AT111&lt;=eco,alpha*fck*(1-(1-AT111/eco)^n),alpha*fck),0)</f>
      </c>
    </row>
    <row r="112" spans="1:47" x14ac:dyDescent="0.25">
      <c r="A112">
        <f>Mesh!A109</f>
      </c>
      <c r="B112" s="12">
        <f>Mesh!B109</f>
      </c>
      <c r="C112" s="12">
        <f>Mesh!C109</f>
      </c>
      <c r="D112" s="12">
        <f>Mesh!D109</f>
      </c>
      <c r="E112" s="30">
        <f>INDEX(St_e0,Det+1)+INDEX(St_kx,Det+1)*C112+INDEX(St_ky,Det+1)*B112</f>
      </c>
      <c r="F112" s="12">
        <f>IF(E112&gt;0,IF(E112&lt;=eco,alpha*fck*(1-(1-E112/eco)^n),alpha*fck),0)</f>
      </c>
      <c r="G112" s="11">
        <f>F112*D112</f>
      </c>
      <c r="H112" s="11">
        <f>G112*C112</f>
      </c>
      <c r="I112" s="11">
        <f>G112*B112</f>
      </c>
      <c r="J112" s="30">
        <f>PM_Angle!$J$7+PM_Angle!$K$7*$C112+PM_Angle!$L$7*$B112</f>
      </c>
      <c r="K112" s="12">
        <f>IF(J112&gt;0,IF(J112&lt;=eco,alpha*fck*(1-(1-J112/eco)^n),alpha*fck),0)</f>
      </c>
      <c r="L112" s="30">
        <f>PM_Angle!$J$8+PM_Angle!$K$8*$C112+PM_Angle!$L$8*$B112</f>
      </c>
      <c r="M112" s="12">
        <f>IF(L112&gt;0,IF(L112&lt;=eco,alpha*fck*(1-(1-L112/eco)^n),alpha*fck),0)</f>
      </c>
      <c r="N112" s="30">
        <f>PM_Angle!$J$9+PM_Angle!$K$9*$C112+PM_Angle!$L$9*$B112</f>
      </c>
      <c r="O112" s="12">
        <f>IF(N112&gt;0,IF(N112&lt;=eco,alpha*fck*(1-(1-N112/eco)^n),alpha*fck),0)</f>
      </c>
      <c r="P112" s="30">
        <f>PM_Angle!$J$10+PM_Angle!$K$10*$C112+PM_Angle!$L$10*$B112</f>
      </c>
      <c r="Q112" s="12">
        <f>IF(P112&gt;0,IF(P112&lt;=eco,alpha*fck*(1-(1-P112/eco)^n),alpha*fck),0)</f>
      </c>
      <c r="R112" s="30">
        <f>PM_Angle!$J$11+PM_Angle!$K$11*$C112+PM_Angle!$L$11*$B112</f>
      </c>
      <c r="S112" s="12">
        <f>IF(R112&gt;0,IF(R112&lt;=eco,alpha*fck*(1-(1-R112/eco)^n),alpha*fck),0)</f>
      </c>
      <c r="T112" s="30">
        <f>PM_Angle!$J$12+PM_Angle!$K$12*$C112+PM_Angle!$L$12*$B112</f>
      </c>
      <c r="U112" s="12">
        <f>IF(T112&gt;0,IF(T112&lt;=eco,alpha*fck*(1-(1-T112/eco)^n),alpha*fck),0)</f>
      </c>
      <c r="V112" s="30">
        <f>PM_Angle!$J$13+PM_Angle!$K$13*$C112+PM_Angle!$L$13*$B112</f>
      </c>
      <c r="W112" s="12">
        <f>IF(V112&gt;0,IF(V112&lt;=eco,alpha*fck*(1-(1-V112/eco)^n),alpha*fck),0)</f>
      </c>
      <c r="X112" s="30">
        <f>PM_Angle!$J$14+PM_Angle!$K$14*$C112+PM_Angle!$L$14*$B112</f>
      </c>
      <c r="Y112" s="12">
        <f>IF(X112&gt;0,IF(X112&lt;=eco,alpha*fck*(1-(1-X112/eco)^n),alpha*fck),0)</f>
      </c>
      <c r="Z112" s="30">
        <f>PM_Angle!$J$15+PM_Angle!$K$15*$C112+PM_Angle!$L$15*$B112</f>
      </c>
      <c r="AA112" s="12">
        <f>IF(Z112&gt;0,IF(Z112&lt;=eco,alpha*fck*(1-(1-Z112/eco)^n),alpha*fck),0)</f>
      </c>
      <c r="AB112" s="30">
        <f>PM_Angle!$J$16+PM_Angle!$K$16*$C112+PM_Angle!$L$16*$B112</f>
      </c>
      <c r="AC112" s="12">
        <f>IF(AB112&gt;0,IF(AB112&lt;=eco,alpha*fck*(1-(1-AB112/eco)^n),alpha*fck),0)</f>
      </c>
      <c r="AD112" s="30">
        <f>PM_Angle!$J$17+PM_Angle!$K$17*$C112+PM_Angle!$L$17*$B112</f>
      </c>
      <c r="AE112" s="12">
        <f>IF(AD112&gt;0,IF(AD112&lt;=eco,alpha*fck*(1-(1-AD112/eco)^n),alpha*fck),0)</f>
      </c>
      <c r="AF112" s="30">
        <f>PM_Angle!$J$18+PM_Angle!$K$18*$C112+PM_Angle!$L$18*$B112</f>
      </c>
      <c r="AG112" s="12">
        <f>IF(AF112&gt;0,IF(AF112&lt;=eco,alpha*fck*(1-(1-AF112/eco)^n),alpha*fck),0)</f>
      </c>
      <c r="AH112" s="30">
        <f>PM_Angle!$J$19+PM_Angle!$K$19*$C112+PM_Angle!$L$19*$B112</f>
      </c>
      <c r="AI112" s="12">
        <f>IF(AH112&gt;0,IF(AH112&lt;=eco,alpha*fck*(1-(1-AH112/eco)^n),alpha*fck),0)</f>
      </c>
      <c r="AJ112" s="30">
        <f>PM_Angle!$J$20+PM_Angle!$K$20*$C112+PM_Angle!$L$20*$B112</f>
      </c>
      <c r="AK112" s="12">
        <f>IF(AJ112&gt;0,IF(AJ112&lt;=eco,alpha*fck*(1-(1-AJ112/eco)^n),alpha*fck),0)</f>
      </c>
      <c r="AL112" s="30">
        <f>PM_Angle!$J$21+PM_Angle!$K$21*$C112+PM_Angle!$L$21*$B112</f>
      </c>
      <c r="AM112" s="12">
        <f>IF(AL112&gt;0,IF(AL112&lt;=eco,alpha*fck*(1-(1-AL112/eco)^n),alpha*fck),0)</f>
      </c>
      <c r="AN112" s="30">
        <f>PM_Angle!$J$22+PM_Angle!$K$22*$C112+PM_Angle!$L$22*$B112</f>
      </c>
      <c r="AO112" s="12">
        <f>IF(AN112&gt;0,IF(AN112&lt;=eco,alpha*fck*(1-(1-AN112/eco)^n),alpha*fck),0)</f>
      </c>
      <c r="AP112" s="30">
        <f>PM_Angle!$J$23+PM_Angle!$K$23*$C112+PM_Angle!$L$23*$B112</f>
      </c>
      <c r="AQ112" s="12">
        <f>IF(AP112&gt;0,IF(AP112&lt;=eco,alpha*fck*(1-(1-AP112/eco)^n),alpha*fck),0)</f>
      </c>
      <c r="AR112" s="30">
        <f>PM_Angle!$J$24+PM_Angle!$K$24*$C112+PM_Angle!$L$24*$B112</f>
      </c>
      <c r="AS112" s="12">
        <f>IF(AR112&gt;0,IF(AR112&lt;=eco,alpha*fck*(1-(1-AR112/eco)^n),alpha*fck),0)</f>
      </c>
      <c r="AT112" s="30">
        <f>PM_Angle!$J$25+PM_Angle!$K$25*$C112+PM_Angle!$L$25*$B112</f>
      </c>
      <c r="AU112" s="12">
        <f>IF(AT112&gt;0,IF(AT112&lt;=eco,alpha*fck*(1-(1-AT112/eco)^n),alpha*fck),0)</f>
      </c>
    </row>
    <row r="113" spans="1:47" x14ac:dyDescent="0.25">
      <c r="A113">
        <f>Mesh!A110</f>
      </c>
      <c r="B113" s="12">
        <f>Mesh!B110</f>
      </c>
      <c r="C113" s="12">
        <f>Mesh!C110</f>
      </c>
      <c r="D113" s="12">
        <f>Mesh!D110</f>
      </c>
      <c r="E113" s="30">
        <f>INDEX(St_e0,Det+1)+INDEX(St_kx,Det+1)*C113+INDEX(St_ky,Det+1)*B113</f>
      </c>
      <c r="F113" s="12">
        <f>IF(E113&gt;0,IF(E113&lt;=eco,alpha*fck*(1-(1-E113/eco)^n),alpha*fck),0)</f>
      </c>
      <c r="G113" s="11">
        <f>F113*D113</f>
      </c>
      <c r="H113" s="11">
        <f>G113*C113</f>
      </c>
      <c r="I113" s="11">
        <f>G113*B113</f>
      </c>
      <c r="J113" s="30">
        <f>PM_Angle!$J$7+PM_Angle!$K$7*$C113+PM_Angle!$L$7*$B113</f>
      </c>
      <c r="K113" s="12">
        <f>IF(J113&gt;0,IF(J113&lt;=eco,alpha*fck*(1-(1-J113/eco)^n),alpha*fck),0)</f>
      </c>
      <c r="L113" s="30">
        <f>PM_Angle!$J$8+PM_Angle!$K$8*$C113+PM_Angle!$L$8*$B113</f>
      </c>
      <c r="M113" s="12">
        <f>IF(L113&gt;0,IF(L113&lt;=eco,alpha*fck*(1-(1-L113/eco)^n),alpha*fck),0)</f>
      </c>
      <c r="N113" s="30">
        <f>PM_Angle!$J$9+PM_Angle!$K$9*$C113+PM_Angle!$L$9*$B113</f>
      </c>
      <c r="O113" s="12">
        <f>IF(N113&gt;0,IF(N113&lt;=eco,alpha*fck*(1-(1-N113/eco)^n),alpha*fck),0)</f>
      </c>
      <c r="P113" s="30">
        <f>PM_Angle!$J$10+PM_Angle!$K$10*$C113+PM_Angle!$L$10*$B113</f>
      </c>
      <c r="Q113" s="12">
        <f>IF(P113&gt;0,IF(P113&lt;=eco,alpha*fck*(1-(1-P113/eco)^n),alpha*fck),0)</f>
      </c>
      <c r="R113" s="30">
        <f>PM_Angle!$J$11+PM_Angle!$K$11*$C113+PM_Angle!$L$11*$B113</f>
      </c>
      <c r="S113" s="12">
        <f>IF(R113&gt;0,IF(R113&lt;=eco,alpha*fck*(1-(1-R113/eco)^n),alpha*fck),0)</f>
      </c>
      <c r="T113" s="30">
        <f>PM_Angle!$J$12+PM_Angle!$K$12*$C113+PM_Angle!$L$12*$B113</f>
      </c>
      <c r="U113" s="12">
        <f>IF(T113&gt;0,IF(T113&lt;=eco,alpha*fck*(1-(1-T113/eco)^n),alpha*fck),0)</f>
      </c>
      <c r="V113" s="30">
        <f>PM_Angle!$J$13+PM_Angle!$K$13*$C113+PM_Angle!$L$13*$B113</f>
      </c>
      <c r="W113" s="12">
        <f>IF(V113&gt;0,IF(V113&lt;=eco,alpha*fck*(1-(1-V113/eco)^n),alpha*fck),0)</f>
      </c>
      <c r="X113" s="30">
        <f>PM_Angle!$J$14+PM_Angle!$K$14*$C113+PM_Angle!$L$14*$B113</f>
      </c>
      <c r="Y113" s="12">
        <f>IF(X113&gt;0,IF(X113&lt;=eco,alpha*fck*(1-(1-X113/eco)^n),alpha*fck),0)</f>
      </c>
      <c r="Z113" s="30">
        <f>PM_Angle!$J$15+PM_Angle!$K$15*$C113+PM_Angle!$L$15*$B113</f>
      </c>
      <c r="AA113" s="12">
        <f>IF(Z113&gt;0,IF(Z113&lt;=eco,alpha*fck*(1-(1-Z113/eco)^n),alpha*fck),0)</f>
      </c>
      <c r="AB113" s="30">
        <f>PM_Angle!$J$16+PM_Angle!$K$16*$C113+PM_Angle!$L$16*$B113</f>
      </c>
      <c r="AC113" s="12">
        <f>IF(AB113&gt;0,IF(AB113&lt;=eco,alpha*fck*(1-(1-AB113/eco)^n),alpha*fck),0)</f>
      </c>
      <c r="AD113" s="30">
        <f>PM_Angle!$J$17+PM_Angle!$K$17*$C113+PM_Angle!$L$17*$B113</f>
      </c>
      <c r="AE113" s="12">
        <f>IF(AD113&gt;0,IF(AD113&lt;=eco,alpha*fck*(1-(1-AD113/eco)^n),alpha*fck),0)</f>
      </c>
      <c r="AF113" s="30">
        <f>PM_Angle!$J$18+PM_Angle!$K$18*$C113+PM_Angle!$L$18*$B113</f>
      </c>
      <c r="AG113" s="12">
        <f>IF(AF113&gt;0,IF(AF113&lt;=eco,alpha*fck*(1-(1-AF113/eco)^n),alpha*fck),0)</f>
      </c>
      <c r="AH113" s="30">
        <f>PM_Angle!$J$19+PM_Angle!$K$19*$C113+PM_Angle!$L$19*$B113</f>
      </c>
      <c r="AI113" s="12">
        <f>IF(AH113&gt;0,IF(AH113&lt;=eco,alpha*fck*(1-(1-AH113/eco)^n),alpha*fck),0)</f>
      </c>
      <c r="AJ113" s="30">
        <f>PM_Angle!$J$20+PM_Angle!$K$20*$C113+PM_Angle!$L$20*$B113</f>
      </c>
      <c r="AK113" s="12">
        <f>IF(AJ113&gt;0,IF(AJ113&lt;=eco,alpha*fck*(1-(1-AJ113/eco)^n),alpha*fck),0)</f>
      </c>
      <c r="AL113" s="30">
        <f>PM_Angle!$J$21+PM_Angle!$K$21*$C113+PM_Angle!$L$21*$B113</f>
      </c>
      <c r="AM113" s="12">
        <f>IF(AL113&gt;0,IF(AL113&lt;=eco,alpha*fck*(1-(1-AL113/eco)^n),alpha*fck),0)</f>
      </c>
      <c r="AN113" s="30">
        <f>PM_Angle!$J$22+PM_Angle!$K$22*$C113+PM_Angle!$L$22*$B113</f>
      </c>
      <c r="AO113" s="12">
        <f>IF(AN113&gt;0,IF(AN113&lt;=eco,alpha*fck*(1-(1-AN113/eco)^n),alpha*fck),0)</f>
      </c>
      <c r="AP113" s="30">
        <f>PM_Angle!$J$23+PM_Angle!$K$23*$C113+PM_Angle!$L$23*$B113</f>
      </c>
      <c r="AQ113" s="12">
        <f>IF(AP113&gt;0,IF(AP113&lt;=eco,alpha*fck*(1-(1-AP113/eco)^n),alpha*fck),0)</f>
      </c>
      <c r="AR113" s="30">
        <f>PM_Angle!$J$24+PM_Angle!$K$24*$C113+PM_Angle!$L$24*$B113</f>
      </c>
      <c r="AS113" s="12">
        <f>IF(AR113&gt;0,IF(AR113&lt;=eco,alpha*fck*(1-(1-AR113/eco)^n),alpha*fck),0)</f>
      </c>
      <c r="AT113" s="30">
        <f>PM_Angle!$J$25+PM_Angle!$K$25*$C113+PM_Angle!$L$25*$B113</f>
      </c>
      <c r="AU113" s="12">
        <f>IF(AT113&gt;0,IF(AT113&lt;=eco,alpha*fck*(1-(1-AT113/eco)^n),alpha*fck),0)</f>
      </c>
    </row>
    <row r="114" spans="1:47" x14ac:dyDescent="0.25">
      <c r="A114">
        <f>Mesh!A111</f>
      </c>
      <c r="B114" s="12">
        <f>Mesh!B111</f>
      </c>
      <c r="C114" s="12">
        <f>Mesh!C111</f>
      </c>
      <c r="D114" s="12">
        <f>Mesh!D111</f>
      </c>
      <c r="E114" s="30">
        <f>INDEX(St_e0,Det+1)+INDEX(St_kx,Det+1)*C114+INDEX(St_ky,Det+1)*B114</f>
      </c>
      <c r="F114" s="12">
        <f>IF(E114&gt;0,IF(E114&lt;=eco,alpha*fck*(1-(1-E114/eco)^n),alpha*fck),0)</f>
      </c>
      <c r="G114" s="11">
        <f>F114*D114</f>
      </c>
      <c r="H114" s="11">
        <f>G114*C114</f>
      </c>
      <c r="I114" s="11">
        <f>G114*B114</f>
      </c>
      <c r="J114" s="30">
        <f>PM_Angle!$J$7+PM_Angle!$K$7*$C114+PM_Angle!$L$7*$B114</f>
      </c>
      <c r="K114" s="12">
        <f>IF(J114&gt;0,IF(J114&lt;=eco,alpha*fck*(1-(1-J114/eco)^n),alpha*fck),0)</f>
      </c>
      <c r="L114" s="30">
        <f>PM_Angle!$J$8+PM_Angle!$K$8*$C114+PM_Angle!$L$8*$B114</f>
      </c>
      <c r="M114" s="12">
        <f>IF(L114&gt;0,IF(L114&lt;=eco,alpha*fck*(1-(1-L114/eco)^n),alpha*fck),0)</f>
      </c>
      <c r="N114" s="30">
        <f>PM_Angle!$J$9+PM_Angle!$K$9*$C114+PM_Angle!$L$9*$B114</f>
      </c>
      <c r="O114" s="12">
        <f>IF(N114&gt;0,IF(N114&lt;=eco,alpha*fck*(1-(1-N114/eco)^n),alpha*fck),0)</f>
      </c>
      <c r="P114" s="30">
        <f>PM_Angle!$J$10+PM_Angle!$K$10*$C114+PM_Angle!$L$10*$B114</f>
      </c>
      <c r="Q114" s="12">
        <f>IF(P114&gt;0,IF(P114&lt;=eco,alpha*fck*(1-(1-P114/eco)^n),alpha*fck),0)</f>
      </c>
      <c r="R114" s="30">
        <f>PM_Angle!$J$11+PM_Angle!$K$11*$C114+PM_Angle!$L$11*$B114</f>
      </c>
      <c r="S114" s="12">
        <f>IF(R114&gt;0,IF(R114&lt;=eco,alpha*fck*(1-(1-R114/eco)^n),alpha*fck),0)</f>
      </c>
      <c r="T114" s="30">
        <f>PM_Angle!$J$12+PM_Angle!$K$12*$C114+PM_Angle!$L$12*$B114</f>
      </c>
      <c r="U114" s="12">
        <f>IF(T114&gt;0,IF(T114&lt;=eco,alpha*fck*(1-(1-T114/eco)^n),alpha*fck),0)</f>
      </c>
      <c r="V114" s="30">
        <f>PM_Angle!$J$13+PM_Angle!$K$13*$C114+PM_Angle!$L$13*$B114</f>
      </c>
      <c r="W114" s="12">
        <f>IF(V114&gt;0,IF(V114&lt;=eco,alpha*fck*(1-(1-V114/eco)^n),alpha*fck),0)</f>
      </c>
      <c r="X114" s="30">
        <f>PM_Angle!$J$14+PM_Angle!$K$14*$C114+PM_Angle!$L$14*$B114</f>
      </c>
      <c r="Y114" s="12">
        <f>IF(X114&gt;0,IF(X114&lt;=eco,alpha*fck*(1-(1-X114/eco)^n),alpha*fck),0)</f>
      </c>
      <c r="Z114" s="30">
        <f>PM_Angle!$J$15+PM_Angle!$K$15*$C114+PM_Angle!$L$15*$B114</f>
      </c>
      <c r="AA114" s="12">
        <f>IF(Z114&gt;0,IF(Z114&lt;=eco,alpha*fck*(1-(1-Z114/eco)^n),alpha*fck),0)</f>
      </c>
      <c r="AB114" s="30">
        <f>PM_Angle!$J$16+PM_Angle!$K$16*$C114+PM_Angle!$L$16*$B114</f>
      </c>
      <c r="AC114" s="12">
        <f>IF(AB114&gt;0,IF(AB114&lt;=eco,alpha*fck*(1-(1-AB114/eco)^n),alpha*fck),0)</f>
      </c>
      <c r="AD114" s="30">
        <f>PM_Angle!$J$17+PM_Angle!$K$17*$C114+PM_Angle!$L$17*$B114</f>
      </c>
      <c r="AE114" s="12">
        <f>IF(AD114&gt;0,IF(AD114&lt;=eco,alpha*fck*(1-(1-AD114/eco)^n),alpha*fck),0)</f>
      </c>
      <c r="AF114" s="30">
        <f>PM_Angle!$J$18+PM_Angle!$K$18*$C114+PM_Angle!$L$18*$B114</f>
      </c>
      <c r="AG114" s="12">
        <f>IF(AF114&gt;0,IF(AF114&lt;=eco,alpha*fck*(1-(1-AF114/eco)^n),alpha*fck),0)</f>
      </c>
      <c r="AH114" s="30">
        <f>PM_Angle!$J$19+PM_Angle!$K$19*$C114+PM_Angle!$L$19*$B114</f>
      </c>
      <c r="AI114" s="12">
        <f>IF(AH114&gt;0,IF(AH114&lt;=eco,alpha*fck*(1-(1-AH114/eco)^n),alpha*fck),0)</f>
      </c>
      <c r="AJ114" s="30">
        <f>PM_Angle!$J$20+PM_Angle!$K$20*$C114+PM_Angle!$L$20*$B114</f>
      </c>
      <c r="AK114" s="12">
        <f>IF(AJ114&gt;0,IF(AJ114&lt;=eco,alpha*fck*(1-(1-AJ114/eco)^n),alpha*fck),0)</f>
      </c>
      <c r="AL114" s="30">
        <f>PM_Angle!$J$21+PM_Angle!$K$21*$C114+PM_Angle!$L$21*$B114</f>
      </c>
      <c r="AM114" s="12">
        <f>IF(AL114&gt;0,IF(AL114&lt;=eco,alpha*fck*(1-(1-AL114/eco)^n),alpha*fck),0)</f>
      </c>
      <c r="AN114" s="30">
        <f>PM_Angle!$J$22+PM_Angle!$K$22*$C114+PM_Angle!$L$22*$B114</f>
      </c>
      <c r="AO114" s="12">
        <f>IF(AN114&gt;0,IF(AN114&lt;=eco,alpha*fck*(1-(1-AN114/eco)^n),alpha*fck),0)</f>
      </c>
      <c r="AP114" s="30">
        <f>PM_Angle!$J$23+PM_Angle!$K$23*$C114+PM_Angle!$L$23*$B114</f>
      </c>
      <c r="AQ114" s="12">
        <f>IF(AP114&gt;0,IF(AP114&lt;=eco,alpha*fck*(1-(1-AP114/eco)^n),alpha*fck),0)</f>
      </c>
      <c r="AR114" s="30">
        <f>PM_Angle!$J$24+PM_Angle!$K$24*$C114+PM_Angle!$L$24*$B114</f>
      </c>
      <c r="AS114" s="12">
        <f>IF(AR114&gt;0,IF(AR114&lt;=eco,alpha*fck*(1-(1-AR114/eco)^n),alpha*fck),0)</f>
      </c>
      <c r="AT114" s="30">
        <f>PM_Angle!$J$25+PM_Angle!$K$25*$C114+PM_Angle!$L$25*$B114</f>
      </c>
      <c r="AU114" s="12">
        <f>IF(AT114&gt;0,IF(AT114&lt;=eco,alpha*fck*(1-(1-AT114/eco)^n),alpha*fck),0)</f>
      </c>
    </row>
    <row r="115" spans="1:47" x14ac:dyDescent="0.25">
      <c r="A115">
        <f>Mesh!A112</f>
      </c>
      <c r="B115" s="12">
        <f>Mesh!B112</f>
      </c>
      <c r="C115" s="12">
        <f>Mesh!C112</f>
      </c>
      <c r="D115" s="12">
        <f>Mesh!D112</f>
      </c>
      <c r="E115" s="30">
        <f>INDEX(St_e0,Det+1)+INDEX(St_kx,Det+1)*C115+INDEX(St_ky,Det+1)*B115</f>
      </c>
      <c r="F115" s="12">
        <f>IF(E115&gt;0,IF(E115&lt;=eco,alpha*fck*(1-(1-E115/eco)^n),alpha*fck),0)</f>
      </c>
      <c r="G115" s="11">
        <f>F115*D115</f>
      </c>
      <c r="H115" s="11">
        <f>G115*C115</f>
      </c>
      <c r="I115" s="11">
        <f>G115*B115</f>
      </c>
      <c r="J115" s="30">
        <f>PM_Angle!$J$7+PM_Angle!$K$7*$C115+PM_Angle!$L$7*$B115</f>
      </c>
      <c r="K115" s="12">
        <f>IF(J115&gt;0,IF(J115&lt;=eco,alpha*fck*(1-(1-J115/eco)^n),alpha*fck),0)</f>
      </c>
      <c r="L115" s="30">
        <f>PM_Angle!$J$8+PM_Angle!$K$8*$C115+PM_Angle!$L$8*$B115</f>
      </c>
      <c r="M115" s="12">
        <f>IF(L115&gt;0,IF(L115&lt;=eco,alpha*fck*(1-(1-L115/eco)^n),alpha*fck),0)</f>
      </c>
      <c r="N115" s="30">
        <f>PM_Angle!$J$9+PM_Angle!$K$9*$C115+PM_Angle!$L$9*$B115</f>
      </c>
      <c r="O115" s="12">
        <f>IF(N115&gt;0,IF(N115&lt;=eco,alpha*fck*(1-(1-N115/eco)^n),alpha*fck),0)</f>
      </c>
      <c r="P115" s="30">
        <f>PM_Angle!$J$10+PM_Angle!$K$10*$C115+PM_Angle!$L$10*$B115</f>
      </c>
      <c r="Q115" s="12">
        <f>IF(P115&gt;0,IF(P115&lt;=eco,alpha*fck*(1-(1-P115/eco)^n),alpha*fck),0)</f>
      </c>
      <c r="R115" s="30">
        <f>PM_Angle!$J$11+PM_Angle!$K$11*$C115+PM_Angle!$L$11*$B115</f>
      </c>
      <c r="S115" s="12">
        <f>IF(R115&gt;0,IF(R115&lt;=eco,alpha*fck*(1-(1-R115/eco)^n),alpha*fck),0)</f>
      </c>
      <c r="T115" s="30">
        <f>PM_Angle!$J$12+PM_Angle!$K$12*$C115+PM_Angle!$L$12*$B115</f>
      </c>
      <c r="U115" s="12">
        <f>IF(T115&gt;0,IF(T115&lt;=eco,alpha*fck*(1-(1-T115/eco)^n),alpha*fck),0)</f>
      </c>
      <c r="V115" s="30">
        <f>PM_Angle!$J$13+PM_Angle!$K$13*$C115+PM_Angle!$L$13*$B115</f>
      </c>
      <c r="W115" s="12">
        <f>IF(V115&gt;0,IF(V115&lt;=eco,alpha*fck*(1-(1-V115/eco)^n),alpha*fck),0)</f>
      </c>
      <c r="X115" s="30">
        <f>PM_Angle!$J$14+PM_Angle!$K$14*$C115+PM_Angle!$L$14*$B115</f>
      </c>
      <c r="Y115" s="12">
        <f>IF(X115&gt;0,IF(X115&lt;=eco,alpha*fck*(1-(1-X115/eco)^n),alpha*fck),0)</f>
      </c>
      <c r="Z115" s="30">
        <f>PM_Angle!$J$15+PM_Angle!$K$15*$C115+PM_Angle!$L$15*$B115</f>
      </c>
      <c r="AA115" s="12">
        <f>IF(Z115&gt;0,IF(Z115&lt;=eco,alpha*fck*(1-(1-Z115/eco)^n),alpha*fck),0)</f>
      </c>
      <c r="AB115" s="30">
        <f>PM_Angle!$J$16+PM_Angle!$K$16*$C115+PM_Angle!$L$16*$B115</f>
      </c>
      <c r="AC115" s="12">
        <f>IF(AB115&gt;0,IF(AB115&lt;=eco,alpha*fck*(1-(1-AB115/eco)^n),alpha*fck),0)</f>
      </c>
      <c r="AD115" s="30">
        <f>PM_Angle!$J$17+PM_Angle!$K$17*$C115+PM_Angle!$L$17*$B115</f>
      </c>
      <c r="AE115" s="12">
        <f>IF(AD115&gt;0,IF(AD115&lt;=eco,alpha*fck*(1-(1-AD115/eco)^n),alpha*fck),0)</f>
      </c>
      <c r="AF115" s="30">
        <f>PM_Angle!$J$18+PM_Angle!$K$18*$C115+PM_Angle!$L$18*$B115</f>
      </c>
      <c r="AG115" s="12">
        <f>IF(AF115&gt;0,IF(AF115&lt;=eco,alpha*fck*(1-(1-AF115/eco)^n),alpha*fck),0)</f>
      </c>
      <c r="AH115" s="30">
        <f>PM_Angle!$J$19+PM_Angle!$K$19*$C115+PM_Angle!$L$19*$B115</f>
      </c>
      <c r="AI115" s="12">
        <f>IF(AH115&gt;0,IF(AH115&lt;=eco,alpha*fck*(1-(1-AH115/eco)^n),alpha*fck),0)</f>
      </c>
      <c r="AJ115" s="30">
        <f>PM_Angle!$J$20+PM_Angle!$K$20*$C115+PM_Angle!$L$20*$B115</f>
      </c>
      <c r="AK115" s="12">
        <f>IF(AJ115&gt;0,IF(AJ115&lt;=eco,alpha*fck*(1-(1-AJ115/eco)^n),alpha*fck),0)</f>
      </c>
      <c r="AL115" s="30">
        <f>PM_Angle!$J$21+PM_Angle!$K$21*$C115+PM_Angle!$L$21*$B115</f>
      </c>
      <c r="AM115" s="12">
        <f>IF(AL115&gt;0,IF(AL115&lt;=eco,alpha*fck*(1-(1-AL115/eco)^n),alpha*fck),0)</f>
      </c>
      <c r="AN115" s="30">
        <f>PM_Angle!$J$22+PM_Angle!$K$22*$C115+PM_Angle!$L$22*$B115</f>
      </c>
      <c r="AO115" s="12">
        <f>IF(AN115&gt;0,IF(AN115&lt;=eco,alpha*fck*(1-(1-AN115/eco)^n),alpha*fck),0)</f>
      </c>
      <c r="AP115" s="30">
        <f>PM_Angle!$J$23+PM_Angle!$K$23*$C115+PM_Angle!$L$23*$B115</f>
      </c>
      <c r="AQ115" s="12">
        <f>IF(AP115&gt;0,IF(AP115&lt;=eco,alpha*fck*(1-(1-AP115/eco)^n),alpha*fck),0)</f>
      </c>
      <c r="AR115" s="30">
        <f>PM_Angle!$J$24+PM_Angle!$K$24*$C115+PM_Angle!$L$24*$B115</f>
      </c>
      <c r="AS115" s="12">
        <f>IF(AR115&gt;0,IF(AR115&lt;=eco,alpha*fck*(1-(1-AR115/eco)^n),alpha*fck),0)</f>
      </c>
      <c r="AT115" s="30">
        <f>PM_Angle!$J$25+PM_Angle!$K$25*$C115+PM_Angle!$L$25*$B115</f>
      </c>
      <c r="AU115" s="12">
        <f>IF(AT115&gt;0,IF(AT115&lt;=eco,alpha*fck*(1-(1-AT115/eco)^n),alpha*fck),0)</f>
      </c>
    </row>
    <row r="116" spans="1:47" x14ac:dyDescent="0.25">
      <c r="A116">
        <f>Mesh!A113</f>
      </c>
      <c r="B116" s="12">
        <f>Mesh!B113</f>
      </c>
      <c r="C116" s="12">
        <f>Mesh!C113</f>
      </c>
      <c r="D116" s="12">
        <f>Mesh!D113</f>
      </c>
      <c r="E116" s="30">
        <f>INDEX(St_e0,Det+1)+INDEX(St_kx,Det+1)*C116+INDEX(St_ky,Det+1)*B116</f>
      </c>
      <c r="F116" s="12">
        <f>IF(E116&gt;0,IF(E116&lt;=eco,alpha*fck*(1-(1-E116/eco)^n),alpha*fck),0)</f>
      </c>
      <c r="G116" s="11">
        <f>F116*D116</f>
      </c>
      <c r="H116" s="11">
        <f>G116*C116</f>
      </c>
      <c r="I116" s="11">
        <f>G116*B116</f>
      </c>
      <c r="J116" s="30">
        <f>PM_Angle!$J$7+PM_Angle!$K$7*$C116+PM_Angle!$L$7*$B116</f>
      </c>
      <c r="K116" s="12">
        <f>IF(J116&gt;0,IF(J116&lt;=eco,alpha*fck*(1-(1-J116/eco)^n),alpha*fck),0)</f>
      </c>
      <c r="L116" s="30">
        <f>PM_Angle!$J$8+PM_Angle!$K$8*$C116+PM_Angle!$L$8*$B116</f>
      </c>
      <c r="M116" s="12">
        <f>IF(L116&gt;0,IF(L116&lt;=eco,alpha*fck*(1-(1-L116/eco)^n),alpha*fck),0)</f>
      </c>
      <c r="N116" s="30">
        <f>PM_Angle!$J$9+PM_Angle!$K$9*$C116+PM_Angle!$L$9*$B116</f>
      </c>
      <c r="O116" s="12">
        <f>IF(N116&gt;0,IF(N116&lt;=eco,alpha*fck*(1-(1-N116/eco)^n),alpha*fck),0)</f>
      </c>
      <c r="P116" s="30">
        <f>PM_Angle!$J$10+PM_Angle!$K$10*$C116+PM_Angle!$L$10*$B116</f>
      </c>
      <c r="Q116" s="12">
        <f>IF(P116&gt;0,IF(P116&lt;=eco,alpha*fck*(1-(1-P116/eco)^n),alpha*fck),0)</f>
      </c>
      <c r="R116" s="30">
        <f>PM_Angle!$J$11+PM_Angle!$K$11*$C116+PM_Angle!$L$11*$B116</f>
      </c>
      <c r="S116" s="12">
        <f>IF(R116&gt;0,IF(R116&lt;=eco,alpha*fck*(1-(1-R116/eco)^n),alpha*fck),0)</f>
      </c>
      <c r="T116" s="30">
        <f>PM_Angle!$J$12+PM_Angle!$K$12*$C116+PM_Angle!$L$12*$B116</f>
      </c>
      <c r="U116" s="12">
        <f>IF(T116&gt;0,IF(T116&lt;=eco,alpha*fck*(1-(1-T116/eco)^n),alpha*fck),0)</f>
      </c>
      <c r="V116" s="30">
        <f>PM_Angle!$J$13+PM_Angle!$K$13*$C116+PM_Angle!$L$13*$B116</f>
      </c>
      <c r="W116" s="12">
        <f>IF(V116&gt;0,IF(V116&lt;=eco,alpha*fck*(1-(1-V116/eco)^n),alpha*fck),0)</f>
      </c>
      <c r="X116" s="30">
        <f>PM_Angle!$J$14+PM_Angle!$K$14*$C116+PM_Angle!$L$14*$B116</f>
      </c>
      <c r="Y116" s="12">
        <f>IF(X116&gt;0,IF(X116&lt;=eco,alpha*fck*(1-(1-X116/eco)^n),alpha*fck),0)</f>
      </c>
      <c r="Z116" s="30">
        <f>PM_Angle!$J$15+PM_Angle!$K$15*$C116+PM_Angle!$L$15*$B116</f>
      </c>
      <c r="AA116" s="12">
        <f>IF(Z116&gt;0,IF(Z116&lt;=eco,alpha*fck*(1-(1-Z116/eco)^n),alpha*fck),0)</f>
      </c>
      <c r="AB116" s="30">
        <f>PM_Angle!$J$16+PM_Angle!$K$16*$C116+PM_Angle!$L$16*$B116</f>
      </c>
      <c r="AC116" s="12">
        <f>IF(AB116&gt;0,IF(AB116&lt;=eco,alpha*fck*(1-(1-AB116/eco)^n),alpha*fck),0)</f>
      </c>
      <c r="AD116" s="30">
        <f>PM_Angle!$J$17+PM_Angle!$K$17*$C116+PM_Angle!$L$17*$B116</f>
      </c>
      <c r="AE116" s="12">
        <f>IF(AD116&gt;0,IF(AD116&lt;=eco,alpha*fck*(1-(1-AD116/eco)^n),alpha*fck),0)</f>
      </c>
      <c r="AF116" s="30">
        <f>PM_Angle!$J$18+PM_Angle!$K$18*$C116+PM_Angle!$L$18*$B116</f>
      </c>
      <c r="AG116" s="12">
        <f>IF(AF116&gt;0,IF(AF116&lt;=eco,alpha*fck*(1-(1-AF116/eco)^n),alpha*fck),0)</f>
      </c>
      <c r="AH116" s="30">
        <f>PM_Angle!$J$19+PM_Angle!$K$19*$C116+PM_Angle!$L$19*$B116</f>
      </c>
      <c r="AI116" s="12">
        <f>IF(AH116&gt;0,IF(AH116&lt;=eco,alpha*fck*(1-(1-AH116/eco)^n),alpha*fck),0)</f>
      </c>
      <c r="AJ116" s="30">
        <f>PM_Angle!$J$20+PM_Angle!$K$20*$C116+PM_Angle!$L$20*$B116</f>
      </c>
      <c r="AK116" s="12">
        <f>IF(AJ116&gt;0,IF(AJ116&lt;=eco,alpha*fck*(1-(1-AJ116/eco)^n),alpha*fck),0)</f>
      </c>
      <c r="AL116" s="30">
        <f>PM_Angle!$J$21+PM_Angle!$K$21*$C116+PM_Angle!$L$21*$B116</f>
      </c>
      <c r="AM116" s="12">
        <f>IF(AL116&gt;0,IF(AL116&lt;=eco,alpha*fck*(1-(1-AL116/eco)^n),alpha*fck),0)</f>
      </c>
      <c r="AN116" s="30">
        <f>PM_Angle!$J$22+PM_Angle!$K$22*$C116+PM_Angle!$L$22*$B116</f>
      </c>
      <c r="AO116" s="12">
        <f>IF(AN116&gt;0,IF(AN116&lt;=eco,alpha*fck*(1-(1-AN116/eco)^n),alpha*fck),0)</f>
      </c>
      <c r="AP116" s="30">
        <f>PM_Angle!$J$23+PM_Angle!$K$23*$C116+PM_Angle!$L$23*$B116</f>
      </c>
      <c r="AQ116" s="12">
        <f>IF(AP116&gt;0,IF(AP116&lt;=eco,alpha*fck*(1-(1-AP116/eco)^n),alpha*fck),0)</f>
      </c>
      <c r="AR116" s="30">
        <f>PM_Angle!$J$24+PM_Angle!$K$24*$C116+PM_Angle!$L$24*$B116</f>
      </c>
      <c r="AS116" s="12">
        <f>IF(AR116&gt;0,IF(AR116&lt;=eco,alpha*fck*(1-(1-AR116/eco)^n),alpha*fck),0)</f>
      </c>
      <c r="AT116" s="30">
        <f>PM_Angle!$J$25+PM_Angle!$K$25*$C116+PM_Angle!$L$25*$B116</f>
      </c>
      <c r="AU116" s="12">
        <f>IF(AT116&gt;0,IF(AT116&lt;=eco,alpha*fck*(1-(1-AT116/eco)^n),alpha*fck),0)</f>
      </c>
    </row>
    <row r="117" spans="1:47" x14ac:dyDescent="0.25">
      <c r="A117">
        <f>Mesh!A114</f>
      </c>
      <c r="B117" s="12">
        <f>Mesh!B114</f>
      </c>
      <c r="C117" s="12">
        <f>Mesh!C114</f>
      </c>
      <c r="D117" s="12">
        <f>Mesh!D114</f>
      </c>
      <c r="E117" s="30">
        <f>INDEX(St_e0,Det+1)+INDEX(St_kx,Det+1)*C117+INDEX(St_ky,Det+1)*B117</f>
      </c>
      <c r="F117" s="12">
        <f>IF(E117&gt;0,IF(E117&lt;=eco,alpha*fck*(1-(1-E117/eco)^n),alpha*fck),0)</f>
      </c>
      <c r="G117" s="11">
        <f>F117*D117</f>
      </c>
      <c r="H117" s="11">
        <f>G117*C117</f>
      </c>
      <c r="I117" s="11">
        <f>G117*B117</f>
      </c>
      <c r="J117" s="30">
        <f>PM_Angle!$J$7+PM_Angle!$K$7*$C117+PM_Angle!$L$7*$B117</f>
      </c>
      <c r="K117" s="12">
        <f>IF(J117&gt;0,IF(J117&lt;=eco,alpha*fck*(1-(1-J117/eco)^n),alpha*fck),0)</f>
      </c>
      <c r="L117" s="30">
        <f>PM_Angle!$J$8+PM_Angle!$K$8*$C117+PM_Angle!$L$8*$B117</f>
      </c>
      <c r="M117" s="12">
        <f>IF(L117&gt;0,IF(L117&lt;=eco,alpha*fck*(1-(1-L117/eco)^n),alpha*fck),0)</f>
      </c>
      <c r="N117" s="30">
        <f>PM_Angle!$J$9+PM_Angle!$K$9*$C117+PM_Angle!$L$9*$B117</f>
      </c>
      <c r="O117" s="12">
        <f>IF(N117&gt;0,IF(N117&lt;=eco,alpha*fck*(1-(1-N117/eco)^n),alpha*fck),0)</f>
      </c>
      <c r="P117" s="30">
        <f>PM_Angle!$J$10+PM_Angle!$K$10*$C117+PM_Angle!$L$10*$B117</f>
      </c>
      <c r="Q117" s="12">
        <f>IF(P117&gt;0,IF(P117&lt;=eco,alpha*fck*(1-(1-P117/eco)^n),alpha*fck),0)</f>
      </c>
      <c r="R117" s="30">
        <f>PM_Angle!$J$11+PM_Angle!$K$11*$C117+PM_Angle!$L$11*$B117</f>
      </c>
      <c r="S117" s="12">
        <f>IF(R117&gt;0,IF(R117&lt;=eco,alpha*fck*(1-(1-R117/eco)^n),alpha*fck),0)</f>
      </c>
      <c r="T117" s="30">
        <f>PM_Angle!$J$12+PM_Angle!$K$12*$C117+PM_Angle!$L$12*$B117</f>
      </c>
      <c r="U117" s="12">
        <f>IF(T117&gt;0,IF(T117&lt;=eco,alpha*fck*(1-(1-T117/eco)^n),alpha*fck),0)</f>
      </c>
      <c r="V117" s="30">
        <f>PM_Angle!$J$13+PM_Angle!$K$13*$C117+PM_Angle!$L$13*$B117</f>
      </c>
      <c r="W117" s="12">
        <f>IF(V117&gt;0,IF(V117&lt;=eco,alpha*fck*(1-(1-V117/eco)^n),alpha*fck),0)</f>
      </c>
      <c r="X117" s="30">
        <f>PM_Angle!$J$14+PM_Angle!$K$14*$C117+PM_Angle!$L$14*$B117</f>
      </c>
      <c r="Y117" s="12">
        <f>IF(X117&gt;0,IF(X117&lt;=eco,alpha*fck*(1-(1-X117/eco)^n),alpha*fck),0)</f>
      </c>
      <c r="Z117" s="30">
        <f>PM_Angle!$J$15+PM_Angle!$K$15*$C117+PM_Angle!$L$15*$B117</f>
      </c>
      <c r="AA117" s="12">
        <f>IF(Z117&gt;0,IF(Z117&lt;=eco,alpha*fck*(1-(1-Z117/eco)^n),alpha*fck),0)</f>
      </c>
      <c r="AB117" s="30">
        <f>PM_Angle!$J$16+PM_Angle!$K$16*$C117+PM_Angle!$L$16*$B117</f>
      </c>
      <c r="AC117" s="12">
        <f>IF(AB117&gt;0,IF(AB117&lt;=eco,alpha*fck*(1-(1-AB117/eco)^n),alpha*fck),0)</f>
      </c>
      <c r="AD117" s="30">
        <f>PM_Angle!$J$17+PM_Angle!$K$17*$C117+PM_Angle!$L$17*$B117</f>
      </c>
      <c r="AE117" s="12">
        <f>IF(AD117&gt;0,IF(AD117&lt;=eco,alpha*fck*(1-(1-AD117/eco)^n),alpha*fck),0)</f>
      </c>
      <c r="AF117" s="30">
        <f>PM_Angle!$J$18+PM_Angle!$K$18*$C117+PM_Angle!$L$18*$B117</f>
      </c>
      <c r="AG117" s="12">
        <f>IF(AF117&gt;0,IF(AF117&lt;=eco,alpha*fck*(1-(1-AF117/eco)^n),alpha*fck),0)</f>
      </c>
      <c r="AH117" s="30">
        <f>PM_Angle!$J$19+PM_Angle!$K$19*$C117+PM_Angle!$L$19*$B117</f>
      </c>
      <c r="AI117" s="12">
        <f>IF(AH117&gt;0,IF(AH117&lt;=eco,alpha*fck*(1-(1-AH117/eco)^n),alpha*fck),0)</f>
      </c>
      <c r="AJ117" s="30">
        <f>PM_Angle!$J$20+PM_Angle!$K$20*$C117+PM_Angle!$L$20*$B117</f>
      </c>
      <c r="AK117" s="12">
        <f>IF(AJ117&gt;0,IF(AJ117&lt;=eco,alpha*fck*(1-(1-AJ117/eco)^n),alpha*fck),0)</f>
      </c>
      <c r="AL117" s="30">
        <f>PM_Angle!$J$21+PM_Angle!$K$21*$C117+PM_Angle!$L$21*$B117</f>
      </c>
      <c r="AM117" s="12">
        <f>IF(AL117&gt;0,IF(AL117&lt;=eco,alpha*fck*(1-(1-AL117/eco)^n),alpha*fck),0)</f>
      </c>
      <c r="AN117" s="30">
        <f>PM_Angle!$J$22+PM_Angle!$K$22*$C117+PM_Angle!$L$22*$B117</f>
      </c>
      <c r="AO117" s="12">
        <f>IF(AN117&gt;0,IF(AN117&lt;=eco,alpha*fck*(1-(1-AN117/eco)^n),alpha*fck),0)</f>
      </c>
      <c r="AP117" s="30">
        <f>PM_Angle!$J$23+PM_Angle!$K$23*$C117+PM_Angle!$L$23*$B117</f>
      </c>
      <c r="AQ117" s="12">
        <f>IF(AP117&gt;0,IF(AP117&lt;=eco,alpha*fck*(1-(1-AP117/eco)^n),alpha*fck),0)</f>
      </c>
      <c r="AR117" s="30">
        <f>PM_Angle!$J$24+PM_Angle!$K$24*$C117+PM_Angle!$L$24*$B117</f>
      </c>
      <c r="AS117" s="12">
        <f>IF(AR117&gt;0,IF(AR117&lt;=eco,alpha*fck*(1-(1-AR117/eco)^n),alpha*fck),0)</f>
      </c>
      <c r="AT117" s="30">
        <f>PM_Angle!$J$25+PM_Angle!$K$25*$C117+PM_Angle!$L$25*$B117</f>
      </c>
      <c r="AU117" s="12">
        <f>IF(AT117&gt;0,IF(AT117&lt;=eco,alpha*fck*(1-(1-AT117/eco)^n),alpha*fck),0)</f>
      </c>
    </row>
    <row r="118" spans="1:47" x14ac:dyDescent="0.25">
      <c r="A118">
        <f>Mesh!A115</f>
      </c>
      <c r="B118" s="12">
        <f>Mesh!B115</f>
      </c>
      <c r="C118" s="12">
        <f>Mesh!C115</f>
      </c>
      <c r="D118" s="12">
        <f>Mesh!D115</f>
      </c>
      <c r="E118" s="30">
        <f>INDEX(St_e0,Det+1)+INDEX(St_kx,Det+1)*C118+INDEX(St_ky,Det+1)*B118</f>
      </c>
      <c r="F118" s="12">
        <f>IF(E118&gt;0,IF(E118&lt;=eco,alpha*fck*(1-(1-E118/eco)^n),alpha*fck),0)</f>
      </c>
      <c r="G118" s="11">
        <f>F118*D118</f>
      </c>
      <c r="H118" s="11">
        <f>G118*C118</f>
      </c>
      <c r="I118" s="11">
        <f>G118*B118</f>
      </c>
      <c r="J118" s="30">
        <f>PM_Angle!$J$7+PM_Angle!$K$7*$C118+PM_Angle!$L$7*$B118</f>
      </c>
      <c r="K118" s="12">
        <f>IF(J118&gt;0,IF(J118&lt;=eco,alpha*fck*(1-(1-J118/eco)^n),alpha*fck),0)</f>
      </c>
      <c r="L118" s="30">
        <f>PM_Angle!$J$8+PM_Angle!$K$8*$C118+PM_Angle!$L$8*$B118</f>
      </c>
      <c r="M118" s="12">
        <f>IF(L118&gt;0,IF(L118&lt;=eco,alpha*fck*(1-(1-L118/eco)^n),alpha*fck),0)</f>
      </c>
      <c r="N118" s="30">
        <f>PM_Angle!$J$9+PM_Angle!$K$9*$C118+PM_Angle!$L$9*$B118</f>
      </c>
      <c r="O118" s="12">
        <f>IF(N118&gt;0,IF(N118&lt;=eco,alpha*fck*(1-(1-N118/eco)^n),alpha*fck),0)</f>
      </c>
      <c r="P118" s="30">
        <f>PM_Angle!$J$10+PM_Angle!$K$10*$C118+PM_Angle!$L$10*$B118</f>
      </c>
      <c r="Q118" s="12">
        <f>IF(P118&gt;0,IF(P118&lt;=eco,alpha*fck*(1-(1-P118/eco)^n),alpha*fck),0)</f>
      </c>
      <c r="R118" s="30">
        <f>PM_Angle!$J$11+PM_Angle!$K$11*$C118+PM_Angle!$L$11*$B118</f>
      </c>
      <c r="S118" s="12">
        <f>IF(R118&gt;0,IF(R118&lt;=eco,alpha*fck*(1-(1-R118/eco)^n),alpha*fck),0)</f>
      </c>
      <c r="T118" s="30">
        <f>PM_Angle!$J$12+PM_Angle!$K$12*$C118+PM_Angle!$L$12*$B118</f>
      </c>
      <c r="U118" s="12">
        <f>IF(T118&gt;0,IF(T118&lt;=eco,alpha*fck*(1-(1-T118/eco)^n),alpha*fck),0)</f>
      </c>
      <c r="V118" s="30">
        <f>PM_Angle!$J$13+PM_Angle!$K$13*$C118+PM_Angle!$L$13*$B118</f>
      </c>
      <c r="W118" s="12">
        <f>IF(V118&gt;0,IF(V118&lt;=eco,alpha*fck*(1-(1-V118/eco)^n),alpha*fck),0)</f>
      </c>
      <c r="X118" s="30">
        <f>PM_Angle!$J$14+PM_Angle!$K$14*$C118+PM_Angle!$L$14*$B118</f>
      </c>
      <c r="Y118" s="12">
        <f>IF(X118&gt;0,IF(X118&lt;=eco,alpha*fck*(1-(1-X118/eco)^n),alpha*fck),0)</f>
      </c>
      <c r="Z118" s="30">
        <f>PM_Angle!$J$15+PM_Angle!$K$15*$C118+PM_Angle!$L$15*$B118</f>
      </c>
      <c r="AA118" s="12">
        <f>IF(Z118&gt;0,IF(Z118&lt;=eco,alpha*fck*(1-(1-Z118/eco)^n),alpha*fck),0)</f>
      </c>
      <c r="AB118" s="30">
        <f>PM_Angle!$J$16+PM_Angle!$K$16*$C118+PM_Angle!$L$16*$B118</f>
      </c>
      <c r="AC118" s="12">
        <f>IF(AB118&gt;0,IF(AB118&lt;=eco,alpha*fck*(1-(1-AB118/eco)^n),alpha*fck),0)</f>
      </c>
      <c r="AD118" s="30">
        <f>PM_Angle!$J$17+PM_Angle!$K$17*$C118+PM_Angle!$L$17*$B118</f>
      </c>
      <c r="AE118" s="12">
        <f>IF(AD118&gt;0,IF(AD118&lt;=eco,alpha*fck*(1-(1-AD118/eco)^n),alpha*fck),0)</f>
      </c>
      <c r="AF118" s="30">
        <f>PM_Angle!$J$18+PM_Angle!$K$18*$C118+PM_Angle!$L$18*$B118</f>
      </c>
      <c r="AG118" s="12">
        <f>IF(AF118&gt;0,IF(AF118&lt;=eco,alpha*fck*(1-(1-AF118/eco)^n),alpha*fck),0)</f>
      </c>
      <c r="AH118" s="30">
        <f>PM_Angle!$J$19+PM_Angle!$K$19*$C118+PM_Angle!$L$19*$B118</f>
      </c>
      <c r="AI118" s="12">
        <f>IF(AH118&gt;0,IF(AH118&lt;=eco,alpha*fck*(1-(1-AH118/eco)^n),alpha*fck),0)</f>
      </c>
      <c r="AJ118" s="30">
        <f>PM_Angle!$J$20+PM_Angle!$K$20*$C118+PM_Angle!$L$20*$B118</f>
      </c>
      <c r="AK118" s="12">
        <f>IF(AJ118&gt;0,IF(AJ118&lt;=eco,alpha*fck*(1-(1-AJ118/eco)^n),alpha*fck),0)</f>
      </c>
      <c r="AL118" s="30">
        <f>PM_Angle!$J$21+PM_Angle!$K$21*$C118+PM_Angle!$L$21*$B118</f>
      </c>
      <c r="AM118" s="12">
        <f>IF(AL118&gt;0,IF(AL118&lt;=eco,alpha*fck*(1-(1-AL118/eco)^n),alpha*fck),0)</f>
      </c>
      <c r="AN118" s="30">
        <f>PM_Angle!$J$22+PM_Angle!$K$22*$C118+PM_Angle!$L$22*$B118</f>
      </c>
      <c r="AO118" s="12">
        <f>IF(AN118&gt;0,IF(AN118&lt;=eco,alpha*fck*(1-(1-AN118/eco)^n),alpha*fck),0)</f>
      </c>
      <c r="AP118" s="30">
        <f>PM_Angle!$J$23+PM_Angle!$K$23*$C118+PM_Angle!$L$23*$B118</f>
      </c>
      <c r="AQ118" s="12">
        <f>IF(AP118&gt;0,IF(AP118&lt;=eco,alpha*fck*(1-(1-AP118/eco)^n),alpha*fck),0)</f>
      </c>
      <c r="AR118" s="30">
        <f>PM_Angle!$J$24+PM_Angle!$K$24*$C118+PM_Angle!$L$24*$B118</f>
      </c>
      <c r="AS118" s="12">
        <f>IF(AR118&gt;0,IF(AR118&lt;=eco,alpha*fck*(1-(1-AR118/eco)^n),alpha*fck),0)</f>
      </c>
      <c r="AT118" s="30">
        <f>PM_Angle!$J$25+PM_Angle!$K$25*$C118+PM_Angle!$L$25*$B118</f>
      </c>
      <c r="AU118" s="12">
        <f>IF(AT118&gt;0,IF(AT118&lt;=eco,alpha*fck*(1-(1-AT118/eco)^n),alpha*fck),0)</f>
      </c>
    </row>
    <row r="119" spans="1:47" x14ac:dyDescent="0.25">
      <c r="A119">
        <f>Mesh!A116</f>
      </c>
      <c r="B119" s="12">
        <f>Mesh!B116</f>
      </c>
      <c r="C119" s="12">
        <f>Mesh!C116</f>
      </c>
      <c r="D119" s="12">
        <f>Mesh!D116</f>
      </c>
      <c r="E119" s="30">
        <f>INDEX(St_e0,Det+1)+INDEX(St_kx,Det+1)*C119+INDEX(St_ky,Det+1)*B119</f>
      </c>
      <c r="F119" s="12">
        <f>IF(E119&gt;0,IF(E119&lt;=eco,alpha*fck*(1-(1-E119/eco)^n),alpha*fck),0)</f>
      </c>
      <c r="G119" s="11">
        <f>F119*D119</f>
      </c>
      <c r="H119" s="11">
        <f>G119*C119</f>
      </c>
      <c r="I119" s="11">
        <f>G119*B119</f>
      </c>
      <c r="J119" s="30">
        <f>PM_Angle!$J$7+PM_Angle!$K$7*$C119+PM_Angle!$L$7*$B119</f>
      </c>
      <c r="K119" s="12">
        <f>IF(J119&gt;0,IF(J119&lt;=eco,alpha*fck*(1-(1-J119/eco)^n),alpha*fck),0)</f>
      </c>
      <c r="L119" s="30">
        <f>PM_Angle!$J$8+PM_Angle!$K$8*$C119+PM_Angle!$L$8*$B119</f>
      </c>
      <c r="M119" s="12">
        <f>IF(L119&gt;0,IF(L119&lt;=eco,alpha*fck*(1-(1-L119/eco)^n),alpha*fck),0)</f>
      </c>
      <c r="N119" s="30">
        <f>PM_Angle!$J$9+PM_Angle!$K$9*$C119+PM_Angle!$L$9*$B119</f>
      </c>
      <c r="O119" s="12">
        <f>IF(N119&gt;0,IF(N119&lt;=eco,alpha*fck*(1-(1-N119/eco)^n),alpha*fck),0)</f>
      </c>
      <c r="P119" s="30">
        <f>PM_Angle!$J$10+PM_Angle!$K$10*$C119+PM_Angle!$L$10*$B119</f>
      </c>
      <c r="Q119" s="12">
        <f>IF(P119&gt;0,IF(P119&lt;=eco,alpha*fck*(1-(1-P119/eco)^n),alpha*fck),0)</f>
      </c>
      <c r="R119" s="30">
        <f>PM_Angle!$J$11+PM_Angle!$K$11*$C119+PM_Angle!$L$11*$B119</f>
      </c>
      <c r="S119" s="12">
        <f>IF(R119&gt;0,IF(R119&lt;=eco,alpha*fck*(1-(1-R119/eco)^n),alpha*fck),0)</f>
      </c>
      <c r="T119" s="30">
        <f>PM_Angle!$J$12+PM_Angle!$K$12*$C119+PM_Angle!$L$12*$B119</f>
      </c>
      <c r="U119" s="12">
        <f>IF(T119&gt;0,IF(T119&lt;=eco,alpha*fck*(1-(1-T119/eco)^n),alpha*fck),0)</f>
      </c>
      <c r="V119" s="30">
        <f>PM_Angle!$J$13+PM_Angle!$K$13*$C119+PM_Angle!$L$13*$B119</f>
      </c>
      <c r="W119" s="12">
        <f>IF(V119&gt;0,IF(V119&lt;=eco,alpha*fck*(1-(1-V119/eco)^n),alpha*fck),0)</f>
      </c>
      <c r="X119" s="30">
        <f>PM_Angle!$J$14+PM_Angle!$K$14*$C119+PM_Angle!$L$14*$B119</f>
      </c>
      <c r="Y119" s="12">
        <f>IF(X119&gt;0,IF(X119&lt;=eco,alpha*fck*(1-(1-X119/eco)^n),alpha*fck),0)</f>
      </c>
      <c r="Z119" s="30">
        <f>PM_Angle!$J$15+PM_Angle!$K$15*$C119+PM_Angle!$L$15*$B119</f>
      </c>
      <c r="AA119" s="12">
        <f>IF(Z119&gt;0,IF(Z119&lt;=eco,alpha*fck*(1-(1-Z119/eco)^n),alpha*fck),0)</f>
      </c>
      <c r="AB119" s="30">
        <f>PM_Angle!$J$16+PM_Angle!$K$16*$C119+PM_Angle!$L$16*$B119</f>
      </c>
      <c r="AC119" s="12">
        <f>IF(AB119&gt;0,IF(AB119&lt;=eco,alpha*fck*(1-(1-AB119/eco)^n),alpha*fck),0)</f>
      </c>
      <c r="AD119" s="30">
        <f>PM_Angle!$J$17+PM_Angle!$K$17*$C119+PM_Angle!$L$17*$B119</f>
      </c>
      <c r="AE119" s="12">
        <f>IF(AD119&gt;0,IF(AD119&lt;=eco,alpha*fck*(1-(1-AD119/eco)^n),alpha*fck),0)</f>
      </c>
      <c r="AF119" s="30">
        <f>PM_Angle!$J$18+PM_Angle!$K$18*$C119+PM_Angle!$L$18*$B119</f>
      </c>
      <c r="AG119" s="12">
        <f>IF(AF119&gt;0,IF(AF119&lt;=eco,alpha*fck*(1-(1-AF119/eco)^n),alpha*fck),0)</f>
      </c>
      <c r="AH119" s="30">
        <f>PM_Angle!$J$19+PM_Angle!$K$19*$C119+PM_Angle!$L$19*$B119</f>
      </c>
      <c r="AI119" s="12">
        <f>IF(AH119&gt;0,IF(AH119&lt;=eco,alpha*fck*(1-(1-AH119/eco)^n),alpha*fck),0)</f>
      </c>
      <c r="AJ119" s="30">
        <f>PM_Angle!$J$20+PM_Angle!$K$20*$C119+PM_Angle!$L$20*$B119</f>
      </c>
      <c r="AK119" s="12">
        <f>IF(AJ119&gt;0,IF(AJ119&lt;=eco,alpha*fck*(1-(1-AJ119/eco)^n),alpha*fck),0)</f>
      </c>
      <c r="AL119" s="30">
        <f>PM_Angle!$J$21+PM_Angle!$K$21*$C119+PM_Angle!$L$21*$B119</f>
      </c>
      <c r="AM119" s="12">
        <f>IF(AL119&gt;0,IF(AL119&lt;=eco,alpha*fck*(1-(1-AL119/eco)^n),alpha*fck),0)</f>
      </c>
      <c r="AN119" s="30">
        <f>PM_Angle!$J$22+PM_Angle!$K$22*$C119+PM_Angle!$L$22*$B119</f>
      </c>
      <c r="AO119" s="12">
        <f>IF(AN119&gt;0,IF(AN119&lt;=eco,alpha*fck*(1-(1-AN119/eco)^n),alpha*fck),0)</f>
      </c>
      <c r="AP119" s="30">
        <f>PM_Angle!$J$23+PM_Angle!$K$23*$C119+PM_Angle!$L$23*$B119</f>
      </c>
      <c r="AQ119" s="12">
        <f>IF(AP119&gt;0,IF(AP119&lt;=eco,alpha*fck*(1-(1-AP119/eco)^n),alpha*fck),0)</f>
      </c>
      <c r="AR119" s="30">
        <f>PM_Angle!$J$24+PM_Angle!$K$24*$C119+PM_Angle!$L$24*$B119</f>
      </c>
      <c r="AS119" s="12">
        <f>IF(AR119&gt;0,IF(AR119&lt;=eco,alpha*fck*(1-(1-AR119/eco)^n),alpha*fck),0)</f>
      </c>
      <c r="AT119" s="30">
        <f>PM_Angle!$J$25+PM_Angle!$K$25*$C119+PM_Angle!$L$25*$B119</f>
      </c>
      <c r="AU119" s="12">
        <f>IF(AT119&gt;0,IF(AT119&lt;=eco,alpha*fck*(1-(1-AT119/eco)^n),alpha*fck),0)</f>
      </c>
    </row>
    <row r="120" spans="1:47" x14ac:dyDescent="0.25">
      <c r="A120">
        <f>Mesh!A117</f>
      </c>
      <c r="B120" s="12">
        <f>Mesh!B117</f>
      </c>
      <c r="C120" s="12">
        <f>Mesh!C117</f>
      </c>
      <c r="D120" s="12">
        <f>Mesh!D117</f>
      </c>
      <c r="E120" s="30">
        <f>INDEX(St_e0,Det+1)+INDEX(St_kx,Det+1)*C120+INDEX(St_ky,Det+1)*B120</f>
      </c>
      <c r="F120" s="12">
        <f>IF(E120&gt;0,IF(E120&lt;=eco,alpha*fck*(1-(1-E120/eco)^n),alpha*fck),0)</f>
      </c>
      <c r="G120" s="11">
        <f>F120*D120</f>
      </c>
      <c r="H120" s="11">
        <f>G120*C120</f>
      </c>
      <c r="I120" s="11">
        <f>G120*B120</f>
      </c>
      <c r="J120" s="30">
        <f>PM_Angle!$J$7+PM_Angle!$K$7*$C120+PM_Angle!$L$7*$B120</f>
      </c>
      <c r="K120" s="12">
        <f>IF(J120&gt;0,IF(J120&lt;=eco,alpha*fck*(1-(1-J120/eco)^n),alpha*fck),0)</f>
      </c>
      <c r="L120" s="30">
        <f>PM_Angle!$J$8+PM_Angle!$K$8*$C120+PM_Angle!$L$8*$B120</f>
      </c>
      <c r="M120" s="12">
        <f>IF(L120&gt;0,IF(L120&lt;=eco,alpha*fck*(1-(1-L120/eco)^n),alpha*fck),0)</f>
      </c>
      <c r="N120" s="30">
        <f>PM_Angle!$J$9+PM_Angle!$K$9*$C120+PM_Angle!$L$9*$B120</f>
      </c>
      <c r="O120" s="12">
        <f>IF(N120&gt;0,IF(N120&lt;=eco,alpha*fck*(1-(1-N120/eco)^n),alpha*fck),0)</f>
      </c>
      <c r="P120" s="30">
        <f>PM_Angle!$J$10+PM_Angle!$K$10*$C120+PM_Angle!$L$10*$B120</f>
      </c>
      <c r="Q120" s="12">
        <f>IF(P120&gt;0,IF(P120&lt;=eco,alpha*fck*(1-(1-P120/eco)^n),alpha*fck),0)</f>
      </c>
      <c r="R120" s="30">
        <f>PM_Angle!$J$11+PM_Angle!$K$11*$C120+PM_Angle!$L$11*$B120</f>
      </c>
      <c r="S120" s="12">
        <f>IF(R120&gt;0,IF(R120&lt;=eco,alpha*fck*(1-(1-R120/eco)^n),alpha*fck),0)</f>
      </c>
      <c r="T120" s="30">
        <f>PM_Angle!$J$12+PM_Angle!$K$12*$C120+PM_Angle!$L$12*$B120</f>
      </c>
      <c r="U120" s="12">
        <f>IF(T120&gt;0,IF(T120&lt;=eco,alpha*fck*(1-(1-T120/eco)^n),alpha*fck),0)</f>
      </c>
      <c r="V120" s="30">
        <f>PM_Angle!$J$13+PM_Angle!$K$13*$C120+PM_Angle!$L$13*$B120</f>
      </c>
      <c r="W120" s="12">
        <f>IF(V120&gt;0,IF(V120&lt;=eco,alpha*fck*(1-(1-V120/eco)^n),alpha*fck),0)</f>
      </c>
      <c r="X120" s="30">
        <f>PM_Angle!$J$14+PM_Angle!$K$14*$C120+PM_Angle!$L$14*$B120</f>
      </c>
      <c r="Y120" s="12">
        <f>IF(X120&gt;0,IF(X120&lt;=eco,alpha*fck*(1-(1-X120/eco)^n),alpha*fck),0)</f>
      </c>
      <c r="Z120" s="30">
        <f>PM_Angle!$J$15+PM_Angle!$K$15*$C120+PM_Angle!$L$15*$B120</f>
      </c>
      <c r="AA120" s="12">
        <f>IF(Z120&gt;0,IF(Z120&lt;=eco,alpha*fck*(1-(1-Z120/eco)^n),alpha*fck),0)</f>
      </c>
      <c r="AB120" s="30">
        <f>PM_Angle!$J$16+PM_Angle!$K$16*$C120+PM_Angle!$L$16*$B120</f>
      </c>
      <c r="AC120" s="12">
        <f>IF(AB120&gt;0,IF(AB120&lt;=eco,alpha*fck*(1-(1-AB120/eco)^n),alpha*fck),0)</f>
      </c>
      <c r="AD120" s="30">
        <f>PM_Angle!$J$17+PM_Angle!$K$17*$C120+PM_Angle!$L$17*$B120</f>
      </c>
      <c r="AE120" s="12">
        <f>IF(AD120&gt;0,IF(AD120&lt;=eco,alpha*fck*(1-(1-AD120/eco)^n),alpha*fck),0)</f>
      </c>
      <c r="AF120" s="30">
        <f>PM_Angle!$J$18+PM_Angle!$K$18*$C120+PM_Angle!$L$18*$B120</f>
      </c>
      <c r="AG120" s="12">
        <f>IF(AF120&gt;0,IF(AF120&lt;=eco,alpha*fck*(1-(1-AF120/eco)^n),alpha*fck),0)</f>
      </c>
      <c r="AH120" s="30">
        <f>PM_Angle!$J$19+PM_Angle!$K$19*$C120+PM_Angle!$L$19*$B120</f>
      </c>
      <c r="AI120" s="12">
        <f>IF(AH120&gt;0,IF(AH120&lt;=eco,alpha*fck*(1-(1-AH120/eco)^n),alpha*fck),0)</f>
      </c>
      <c r="AJ120" s="30">
        <f>PM_Angle!$J$20+PM_Angle!$K$20*$C120+PM_Angle!$L$20*$B120</f>
      </c>
      <c r="AK120" s="12">
        <f>IF(AJ120&gt;0,IF(AJ120&lt;=eco,alpha*fck*(1-(1-AJ120/eco)^n),alpha*fck),0)</f>
      </c>
      <c r="AL120" s="30">
        <f>PM_Angle!$J$21+PM_Angle!$K$21*$C120+PM_Angle!$L$21*$B120</f>
      </c>
      <c r="AM120" s="12">
        <f>IF(AL120&gt;0,IF(AL120&lt;=eco,alpha*fck*(1-(1-AL120/eco)^n),alpha*fck),0)</f>
      </c>
      <c r="AN120" s="30">
        <f>PM_Angle!$J$22+PM_Angle!$K$22*$C120+PM_Angle!$L$22*$B120</f>
      </c>
      <c r="AO120" s="12">
        <f>IF(AN120&gt;0,IF(AN120&lt;=eco,alpha*fck*(1-(1-AN120/eco)^n),alpha*fck),0)</f>
      </c>
      <c r="AP120" s="30">
        <f>PM_Angle!$J$23+PM_Angle!$K$23*$C120+PM_Angle!$L$23*$B120</f>
      </c>
      <c r="AQ120" s="12">
        <f>IF(AP120&gt;0,IF(AP120&lt;=eco,alpha*fck*(1-(1-AP120/eco)^n),alpha*fck),0)</f>
      </c>
      <c r="AR120" s="30">
        <f>PM_Angle!$J$24+PM_Angle!$K$24*$C120+PM_Angle!$L$24*$B120</f>
      </c>
      <c r="AS120" s="12">
        <f>IF(AR120&gt;0,IF(AR120&lt;=eco,alpha*fck*(1-(1-AR120/eco)^n),alpha*fck),0)</f>
      </c>
      <c r="AT120" s="30">
        <f>PM_Angle!$J$25+PM_Angle!$K$25*$C120+PM_Angle!$L$25*$B120</f>
      </c>
      <c r="AU120" s="12">
        <f>IF(AT120&gt;0,IF(AT120&lt;=eco,alpha*fck*(1-(1-AT120/eco)^n),alpha*fck),0)</f>
      </c>
    </row>
    <row r="121" spans="1:47" x14ac:dyDescent="0.25">
      <c r="A121">
        <f>Mesh!A118</f>
      </c>
      <c r="B121" s="12">
        <f>Mesh!B118</f>
      </c>
      <c r="C121" s="12">
        <f>Mesh!C118</f>
      </c>
      <c r="D121" s="12">
        <f>Mesh!D118</f>
      </c>
      <c r="E121" s="30">
        <f>INDEX(St_e0,Det+1)+INDEX(St_kx,Det+1)*C121+INDEX(St_ky,Det+1)*B121</f>
      </c>
      <c r="F121" s="12">
        <f>IF(E121&gt;0,IF(E121&lt;=eco,alpha*fck*(1-(1-E121/eco)^n),alpha*fck),0)</f>
      </c>
      <c r="G121" s="11">
        <f>F121*D121</f>
      </c>
      <c r="H121" s="11">
        <f>G121*C121</f>
      </c>
      <c r="I121" s="11">
        <f>G121*B121</f>
      </c>
      <c r="J121" s="30">
        <f>PM_Angle!$J$7+PM_Angle!$K$7*$C121+PM_Angle!$L$7*$B121</f>
      </c>
      <c r="K121" s="12">
        <f>IF(J121&gt;0,IF(J121&lt;=eco,alpha*fck*(1-(1-J121/eco)^n),alpha*fck),0)</f>
      </c>
      <c r="L121" s="30">
        <f>PM_Angle!$J$8+PM_Angle!$K$8*$C121+PM_Angle!$L$8*$B121</f>
      </c>
      <c r="M121" s="12">
        <f>IF(L121&gt;0,IF(L121&lt;=eco,alpha*fck*(1-(1-L121/eco)^n),alpha*fck),0)</f>
      </c>
      <c r="N121" s="30">
        <f>PM_Angle!$J$9+PM_Angle!$K$9*$C121+PM_Angle!$L$9*$B121</f>
      </c>
      <c r="O121" s="12">
        <f>IF(N121&gt;0,IF(N121&lt;=eco,alpha*fck*(1-(1-N121/eco)^n),alpha*fck),0)</f>
      </c>
      <c r="P121" s="30">
        <f>PM_Angle!$J$10+PM_Angle!$K$10*$C121+PM_Angle!$L$10*$B121</f>
      </c>
      <c r="Q121" s="12">
        <f>IF(P121&gt;0,IF(P121&lt;=eco,alpha*fck*(1-(1-P121/eco)^n),alpha*fck),0)</f>
      </c>
      <c r="R121" s="30">
        <f>PM_Angle!$J$11+PM_Angle!$K$11*$C121+PM_Angle!$L$11*$B121</f>
      </c>
      <c r="S121" s="12">
        <f>IF(R121&gt;0,IF(R121&lt;=eco,alpha*fck*(1-(1-R121/eco)^n),alpha*fck),0)</f>
      </c>
      <c r="T121" s="30">
        <f>PM_Angle!$J$12+PM_Angle!$K$12*$C121+PM_Angle!$L$12*$B121</f>
      </c>
      <c r="U121" s="12">
        <f>IF(T121&gt;0,IF(T121&lt;=eco,alpha*fck*(1-(1-T121/eco)^n),alpha*fck),0)</f>
      </c>
      <c r="V121" s="30">
        <f>PM_Angle!$J$13+PM_Angle!$K$13*$C121+PM_Angle!$L$13*$B121</f>
      </c>
      <c r="W121" s="12">
        <f>IF(V121&gt;0,IF(V121&lt;=eco,alpha*fck*(1-(1-V121/eco)^n),alpha*fck),0)</f>
      </c>
      <c r="X121" s="30">
        <f>PM_Angle!$J$14+PM_Angle!$K$14*$C121+PM_Angle!$L$14*$B121</f>
      </c>
      <c r="Y121" s="12">
        <f>IF(X121&gt;0,IF(X121&lt;=eco,alpha*fck*(1-(1-X121/eco)^n),alpha*fck),0)</f>
      </c>
      <c r="Z121" s="30">
        <f>PM_Angle!$J$15+PM_Angle!$K$15*$C121+PM_Angle!$L$15*$B121</f>
      </c>
      <c r="AA121" s="12">
        <f>IF(Z121&gt;0,IF(Z121&lt;=eco,alpha*fck*(1-(1-Z121/eco)^n),alpha*fck),0)</f>
      </c>
      <c r="AB121" s="30">
        <f>PM_Angle!$J$16+PM_Angle!$K$16*$C121+PM_Angle!$L$16*$B121</f>
      </c>
      <c r="AC121" s="12">
        <f>IF(AB121&gt;0,IF(AB121&lt;=eco,alpha*fck*(1-(1-AB121/eco)^n),alpha*fck),0)</f>
      </c>
      <c r="AD121" s="30">
        <f>PM_Angle!$J$17+PM_Angle!$K$17*$C121+PM_Angle!$L$17*$B121</f>
      </c>
      <c r="AE121" s="12">
        <f>IF(AD121&gt;0,IF(AD121&lt;=eco,alpha*fck*(1-(1-AD121/eco)^n),alpha*fck),0)</f>
      </c>
      <c r="AF121" s="30">
        <f>PM_Angle!$J$18+PM_Angle!$K$18*$C121+PM_Angle!$L$18*$B121</f>
      </c>
      <c r="AG121" s="12">
        <f>IF(AF121&gt;0,IF(AF121&lt;=eco,alpha*fck*(1-(1-AF121/eco)^n),alpha*fck),0)</f>
      </c>
      <c r="AH121" s="30">
        <f>PM_Angle!$J$19+PM_Angle!$K$19*$C121+PM_Angle!$L$19*$B121</f>
      </c>
      <c r="AI121" s="12">
        <f>IF(AH121&gt;0,IF(AH121&lt;=eco,alpha*fck*(1-(1-AH121/eco)^n),alpha*fck),0)</f>
      </c>
      <c r="AJ121" s="30">
        <f>PM_Angle!$J$20+PM_Angle!$K$20*$C121+PM_Angle!$L$20*$B121</f>
      </c>
      <c r="AK121" s="12">
        <f>IF(AJ121&gt;0,IF(AJ121&lt;=eco,alpha*fck*(1-(1-AJ121/eco)^n),alpha*fck),0)</f>
      </c>
      <c r="AL121" s="30">
        <f>PM_Angle!$J$21+PM_Angle!$K$21*$C121+PM_Angle!$L$21*$B121</f>
      </c>
      <c r="AM121" s="12">
        <f>IF(AL121&gt;0,IF(AL121&lt;=eco,alpha*fck*(1-(1-AL121/eco)^n),alpha*fck),0)</f>
      </c>
      <c r="AN121" s="30">
        <f>PM_Angle!$J$22+PM_Angle!$K$22*$C121+PM_Angle!$L$22*$B121</f>
      </c>
      <c r="AO121" s="12">
        <f>IF(AN121&gt;0,IF(AN121&lt;=eco,alpha*fck*(1-(1-AN121/eco)^n),alpha*fck),0)</f>
      </c>
      <c r="AP121" s="30">
        <f>PM_Angle!$J$23+PM_Angle!$K$23*$C121+PM_Angle!$L$23*$B121</f>
      </c>
      <c r="AQ121" s="12">
        <f>IF(AP121&gt;0,IF(AP121&lt;=eco,alpha*fck*(1-(1-AP121/eco)^n),alpha*fck),0)</f>
      </c>
      <c r="AR121" s="30">
        <f>PM_Angle!$J$24+PM_Angle!$K$24*$C121+PM_Angle!$L$24*$B121</f>
      </c>
      <c r="AS121" s="12">
        <f>IF(AR121&gt;0,IF(AR121&lt;=eco,alpha*fck*(1-(1-AR121/eco)^n),alpha*fck),0)</f>
      </c>
      <c r="AT121" s="30">
        <f>PM_Angle!$J$25+PM_Angle!$K$25*$C121+PM_Angle!$L$25*$B121</f>
      </c>
      <c r="AU121" s="12">
        <f>IF(AT121&gt;0,IF(AT121&lt;=eco,alpha*fck*(1-(1-AT121/eco)^n),alpha*fck),0)</f>
      </c>
    </row>
    <row r="122" spans="1:47" x14ac:dyDescent="0.25">
      <c r="A122">
        <f>Mesh!A119</f>
      </c>
      <c r="B122" s="12">
        <f>Mesh!B119</f>
      </c>
      <c r="C122" s="12">
        <f>Mesh!C119</f>
      </c>
      <c r="D122" s="12">
        <f>Mesh!D119</f>
      </c>
      <c r="E122" s="30">
        <f>INDEX(St_e0,Det+1)+INDEX(St_kx,Det+1)*C122+INDEX(St_ky,Det+1)*B122</f>
      </c>
      <c r="F122" s="12">
        <f>IF(E122&gt;0,IF(E122&lt;=eco,alpha*fck*(1-(1-E122/eco)^n),alpha*fck),0)</f>
      </c>
      <c r="G122" s="11">
        <f>F122*D122</f>
      </c>
      <c r="H122" s="11">
        <f>G122*C122</f>
      </c>
      <c r="I122" s="11">
        <f>G122*B122</f>
      </c>
      <c r="J122" s="30">
        <f>PM_Angle!$J$7+PM_Angle!$K$7*$C122+PM_Angle!$L$7*$B122</f>
      </c>
      <c r="K122" s="12">
        <f>IF(J122&gt;0,IF(J122&lt;=eco,alpha*fck*(1-(1-J122/eco)^n),alpha*fck),0)</f>
      </c>
      <c r="L122" s="30">
        <f>PM_Angle!$J$8+PM_Angle!$K$8*$C122+PM_Angle!$L$8*$B122</f>
      </c>
      <c r="M122" s="12">
        <f>IF(L122&gt;0,IF(L122&lt;=eco,alpha*fck*(1-(1-L122/eco)^n),alpha*fck),0)</f>
      </c>
      <c r="N122" s="30">
        <f>PM_Angle!$J$9+PM_Angle!$K$9*$C122+PM_Angle!$L$9*$B122</f>
      </c>
      <c r="O122" s="12">
        <f>IF(N122&gt;0,IF(N122&lt;=eco,alpha*fck*(1-(1-N122/eco)^n),alpha*fck),0)</f>
      </c>
      <c r="P122" s="30">
        <f>PM_Angle!$J$10+PM_Angle!$K$10*$C122+PM_Angle!$L$10*$B122</f>
      </c>
      <c r="Q122" s="12">
        <f>IF(P122&gt;0,IF(P122&lt;=eco,alpha*fck*(1-(1-P122/eco)^n),alpha*fck),0)</f>
      </c>
      <c r="R122" s="30">
        <f>PM_Angle!$J$11+PM_Angle!$K$11*$C122+PM_Angle!$L$11*$B122</f>
      </c>
      <c r="S122" s="12">
        <f>IF(R122&gt;0,IF(R122&lt;=eco,alpha*fck*(1-(1-R122/eco)^n),alpha*fck),0)</f>
      </c>
      <c r="T122" s="30">
        <f>PM_Angle!$J$12+PM_Angle!$K$12*$C122+PM_Angle!$L$12*$B122</f>
      </c>
      <c r="U122" s="12">
        <f>IF(T122&gt;0,IF(T122&lt;=eco,alpha*fck*(1-(1-T122/eco)^n),alpha*fck),0)</f>
      </c>
      <c r="V122" s="30">
        <f>PM_Angle!$J$13+PM_Angle!$K$13*$C122+PM_Angle!$L$13*$B122</f>
      </c>
      <c r="W122" s="12">
        <f>IF(V122&gt;0,IF(V122&lt;=eco,alpha*fck*(1-(1-V122/eco)^n),alpha*fck),0)</f>
      </c>
      <c r="X122" s="30">
        <f>PM_Angle!$J$14+PM_Angle!$K$14*$C122+PM_Angle!$L$14*$B122</f>
      </c>
      <c r="Y122" s="12">
        <f>IF(X122&gt;0,IF(X122&lt;=eco,alpha*fck*(1-(1-X122/eco)^n),alpha*fck),0)</f>
      </c>
      <c r="Z122" s="30">
        <f>PM_Angle!$J$15+PM_Angle!$K$15*$C122+PM_Angle!$L$15*$B122</f>
      </c>
      <c r="AA122" s="12">
        <f>IF(Z122&gt;0,IF(Z122&lt;=eco,alpha*fck*(1-(1-Z122/eco)^n),alpha*fck),0)</f>
      </c>
      <c r="AB122" s="30">
        <f>PM_Angle!$J$16+PM_Angle!$K$16*$C122+PM_Angle!$L$16*$B122</f>
      </c>
      <c r="AC122" s="12">
        <f>IF(AB122&gt;0,IF(AB122&lt;=eco,alpha*fck*(1-(1-AB122/eco)^n),alpha*fck),0)</f>
      </c>
      <c r="AD122" s="30">
        <f>PM_Angle!$J$17+PM_Angle!$K$17*$C122+PM_Angle!$L$17*$B122</f>
      </c>
      <c r="AE122" s="12">
        <f>IF(AD122&gt;0,IF(AD122&lt;=eco,alpha*fck*(1-(1-AD122/eco)^n),alpha*fck),0)</f>
      </c>
      <c r="AF122" s="30">
        <f>PM_Angle!$J$18+PM_Angle!$K$18*$C122+PM_Angle!$L$18*$B122</f>
      </c>
      <c r="AG122" s="12">
        <f>IF(AF122&gt;0,IF(AF122&lt;=eco,alpha*fck*(1-(1-AF122/eco)^n),alpha*fck),0)</f>
      </c>
      <c r="AH122" s="30">
        <f>PM_Angle!$J$19+PM_Angle!$K$19*$C122+PM_Angle!$L$19*$B122</f>
      </c>
      <c r="AI122" s="12">
        <f>IF(AH122&gt;0,IF(AH122&lt;=eco,alpha*fck*(1-(1-AH122/eco)^n),alpha*fck),0)</f>
      </c>
      <c r="AJ122" s="30">
        <f>PM_Angle!$J$20+PM_Angle!$K$20*$C122+PM_Angle!$L$20*$B122</f>
      </c>
      <c r="AK122" s="12">
        <f>IF(AJ122&gt;0,IF(AJ122&lt;=eco,alpha*fck*(1-(1-AJ122/eco)^n),alpha*fck),0)</f>
      </c>
      <c r="AL122" s="30">
        <f>PM_Angle!$J$21+PM_Angle!$K$21*$C122+PM_Angle!$L$21*$B122</f>
      </c>
      <c r="AM122" s="12">
        <f>IF(AL122&gt;0,IF(AL122&lt;=eco,alpha*fck*(1-(1-AL122/eco)^n),alpha*fck),0)</f>
      </c>
      <c r="AN122" s="30">
        <f>PM_Angle!$J$22+PM_Angle!$K$22*$C122+PM_Angle!$L$22*$B122</f>
      </c>
      <c r="AO122" s="12">
        <f>IF(AN122&gt;0,IF(AN122&lt;=eco,alpha*fck*(1-(1-AN122/eco)^n),alpha*fck),0)</f>
      </c>
      <c r="AP122" s="30">
        <f>PM_Angle!$J$23+PM_Angle!$K$23*$C122+PM_Angle!$L$23*$B122</f>
      </c>
      <c r="AQ122" s="12">
        <f>IF(AP122&gt;0,IF(AP122&lt;=eco,alpha*fck*(1-(1-AP122/eco)^n),alpha*fck),0)</f>
      </c>
      <c r="AR122" s="30">
        <f>PM_Angle!$J$24+PM_Angle!$K$24*$C122+PM_Angle!$L$24*$B122</f>
      </c>
      <c r="AS122" s="12">
        <f>IF(AR122&gt;0,IF(AR122&lt;=eco,alpha*fck*(1-(1-AR122/eco)^n),alpha*fck),0)</f>
      </c>
      <c r="AT122" s="30">
        <f>PM_Angle!$J$25+PM_Angle!$K$25*$C122+PM_Angle!$L$25*$B122</f>
      </c>
      <c r="AU122" s="12">
        <f>IF(AT122&gt;0,IF(AT122&lt;=eco,alpha*fck*(1-(1-AT122/eco)^n),alpha*fck),0)</f>
      </c>
    </row>
    <row r="123" spans="1:47" x14ac:dyDescent="0.25">
      <c r="A123">
        <f>Mesh!A120</f>
      </c>
      <c r="B123" s="12">
        <f>Mesh!B120</f>
      </c>
      <c r="C123" s="12">
        <f>Mesh!C120</f>
      </c>
      <c r="D123" s="12">
        <f>Mesh!D120</f>
      </c>
      <c r="E123" s="30">
        <f>INDEX(St_e0,Det+1)+INDEX(St_kx,Det+1)*C123+INDEX(St_ky,Det+1)*B123</f>
      </c>
      <c r="F123" s="12">
        <f>IF(E123&gt;0,IF(E123&lt;=eco,alpha*fck*(1-(1-E123/eco)^n),alpha*fck),0)</f>
      </c>
      <c r="G123" s="11">
        <f>F123*D123</f>
      </c>
      <c r="H123" s="11">
        <f>G123*C123</f>
      </c>
      <c r="I123" s="11">
        <f>G123*B123</f>
      </c>
      <c r="J123" s="30">
        <f>PM_Angle!$J$7+PM_Angle!$K$7*$C123+PM_Angle!$L$7*$B123</f>
      </c>
      <c r="K123" s="12">
        <f>IF(J123&gt;0,IF(J123&lt;=eco,alpha*fck*(1-(1-J123/eco)^n),alpha*fck),0)</f>
      </c>
      <c r="L123" s="30">
        <f>PM_Angle!$J$8+PM_Angle!$K$8*$C123+PM_Angle!$L$8*$B123</f>
      </c>
      <c r="M123" s="12">
        <f>IF(L123&gt;0,IF(L123&lt;=eco,alpha*fck*(1-(1-L123/eco)^n),alpha*fck),0)</f>
      </c>
      <c r="N123" s="30">
        <f>PM_Angle!$J$9+PM_Angle!$K$9*$C123+PM_Angle!$L$9*$B123</f>
      </c>
      <c r="O123" s="12">
        <f>IF(N123&gt;0,IF(N123&lt;=eco,alpha*fck*(1-(1-N123/eco)^n),alpha*fck),0)</f>
      </c>
      <c r="P123" s="30">
        <f>PM_Angle!$J$10+PM_Angle!$K$10*$C123+PM_Angle!$L$10*$B123</f>
      </c>
      <c r="Q123" s="12">
        <f>IF(P123&gt;0,IF(P123&lt;=eco,alpha*fck*(1-(1-P123/eco)^n),alpha*fck),0)</f>
      </c>
      <c r="R123" s="30">
        <f>PM_Angle!$J$11+PM_Angle!$K$11*$C123+PM_Angle!$L$11*$B123</f>
      </c>
      <c r="S123" s="12">
        <f>IF(R123&gt;0,IF(R123&lt;=eco,alpha*fck*(1-(1-R123/eco)^n),alpha*fck),0)</f>
      </c>
      <c r="T123" s="30">
        <f>PM_Angle!$J$12+PM_Angle!$K$12*$C123+PM_Angle!$L$12*$B123</f>
      </c>
      <c r="U123" s="12">
        <f>IF(T123&gt;0,IF(T123&lt;=eco,alpha*fck*(1-(1-T123/eco)^n),alpha*fck),0)</f>
      </c>
      <c r="V123" s="30">
        <f>PM_Angle!$J$13+PM_Angle!$K$13*$C123+PM_Angle!$L$13*$B123</f>
      </c>
      <c r="W123" s="12">
        <f>IF(V123&gt;0,IF(V123&lt;=eco,alpha*fck*(1-(1-V123/eco)^n),alpha*fck),0)</f>
      </c>
      <c r="X123" s="30">
        <f>PM_Angle!$J$14+PM_Angle!$K$14*$C123+PM_Angle!$L$14*$B123</f>
      </c>
      <c r="Y123" s="12">
        <f>IF(X123&gt;0,IF(X123&lt;=eco,alpha*fck*(1-(1-X123/eco)^n),alpha*fck),0)</f>
      </c>
      <c r="Z123" s="30">
        <f>PM_Angle!$J$15+PM_Angle!$K$15*$C123+PM_Angle!$L$15*$B123</f>
      </c>
      <c r="AA123" s="12">
        <f>IF(Z123&gt;0,IF(Z123&lt;=eco,alpha*fck*(1-(1-Z123/eco)^n),alpha*fck),0)</f>
      </c>
      <c r="AB123" s="30">
        <f>PM_Angle!$J$16+PM_Angle!$K$16*$C123+PM_Angle!$L$16*$B123</f>
      </c>
      <c r="AC123" s="12">
        <f>IF(AB123&gt;0,IF(AB123&lt;=eco,alpha*fck*(1-(1-AB123/eco)^n),alpha*fck),0)</f>
      </c>
      <c r="AD123" s="30">
        <f>PM_Angle!$J$17+PM_Angle!$K$17*$C123+PM_Angle!$L$17*$B123</f>
      </c>
      <c r="AE123" s="12">
        <f>IF(AD123&gt;0,IF(AD123&lt;=eco,alpha*fck*(1-(1-AD123/eco)^n),alpha*fck),0)</f>
      </c>
      <c r="AF123" s="30">
        <f>PM_Angle!$J$18+PM_Angle!$K$18*$C123+PM_Angle!$L$18*$B123</f>
      </c>
      <c r="AG123" s="12">
        <f>IF(AF123&gt;0,IF(AF123&lt;=eco,alpha*fck*(1-(1-AF123/eco)^n),alpha*fck),0)</f>
      </c>
      <c r="AH123" s="30">
        <f>PM_Angle!$J$19+PM_Angle!$K$19*$C123+PM_Angle!$L$19*$B123</f>
      </c>
      <c r="AI123" s="12">
        <f>IF(AH123&gt;0,IF(AH123&lt;=eco,alpha*fck*(1-(1-AH123/eco)^n),alpha*fck),0)</f>
      </c>
      <c r="AJ123" s="30">
        <f>PM_Angle!$J$20+PM_Angle!$K$20*$C123+PM_Angle!$L$20*$B123</f>
      </c>
      <c r="AK123" s="12">
        <f>IF(AJ123&gt;0,IF(AJ123&lt;=eco,alpha*fck*(1-(1-AJ123/eco)^n),alpha*fck),0)</f>
      </c>
      <c r="AL123" s="30">
        <f>PM_Angle!$J$21+PM_Angle!$K$21*$C123+PM_Angle!$L$21*$B123</f>
      </c>
      <c r="AM123" s="12">
        <f>IF(AL123&gt;0,IF(AL123&lt;=eco,alpha*fck*(1-(1-AL123/eco)^n),alpha*fck),0)</f>
      </c>
      <c r="AN123" s="30">
        <f>PM_Angle!$J$22+PM_Angle!$K$22*$C123+PM_Angle!$L$22*$B123</f>
      </c>
      <c r="AO123" s="12">
        <f>IF(AN123&gt;0,IF(AN123&lt;=eco,alpha*fck*(1-(1-AN123/eco)^n),alpha*fck),0)</f>
      </c>
      <c r="AP123" s="30">
        <f>PM_Angle!$J$23+PM_Angle!$K$23*$C123+PM_Angle!$L$23*$B123</f>
      </c>
      <c r="AQ123" s="12">
        <f>IF(AP123&gt;0,IF(AP123&lt;=eco,alpha*fck*(1-(1-AP123/eco)^n),alpha*fck),0)</f>
      </c>
      <c r="AR123" s="30">
        <f>PM_Angle!$J$24+PM_Angle!$K$24*$C123+PM_Angle!$L$24*$B123</f>
      </c>
      <c r="AS123" s="12">
        <f>IF(AR123&gt;0,IF(AR123&lt;=eco,alpha*fck*(1-(1-AR123/eco)^n),alpha*fck),0)</f>
      </c>
      <c r="AT123" s="30">
        <f>PM_Angle!$J$25+PM_Angle!$K$25*$C123+PM_Angle!$L$25*$B123</f>
      </c>
      <c r="AU123" s="12">
        <f>IF(AT123&gt;0,IF(AT123&lt;=eco,alpha*fck*(1-(1-AT123/eco)^n),alpha*fck),0)</f>
      </c>
    </row>
    <row r="124" spans="1:47" x14ac:dyDescent="0.25">
      <c r="A124">
        <f>Mesh!A121</f>
      </c>
      <c r="B124" s="12">
        <f>Mesh!B121</f>
      </c>
      <c r="C124" s="12">
        <f>Mesh!C121</f>
      </c>
      <c r="D124" s="12">
        <f>Mesh!D121</f>
      </c>
      <c r="E124" s="30">
        <f>INDEX(St_e0,Det+1)+INDEX(St_kx,Det+1)*C124+INDEX(St_ky,Det+1)*B124</f>
      </c>
      <c r="F124" s="12">
        <f>IF(E124&gt;0,IF(E124&lt;=eco,alpha*fck*(1-(1-E124/eco)^n),alpha*fck),0)</f>
      </c>
      <c r="G124" s="11">
        <f>F124*D124</f>
      </c>
      <c r="H124" s="11">
        <f>G124*C124</f>
      </c>
      <c r="I124" s="11">
        <f>G124*B124</f>
      </c>
      <c r="J124" s="30">
        <f>PM_Angle!$J$7+PM_Angle!$K$7*$C124+PM_Angle!$L$7*$B124</f>
      </c>
      <c r="K124" s="12">
        <f>IF(J124&gt;0,IF(J124&lt;=eco,alpha*fck*(1-(1-J124/eco)^n),alpha*fck),0)</f>
      </c>
      <c r="L124" s="30">
        <f>PM_Angle!$J$8+PM_Angle!$K$8*$C124+PM_Angle!$L$8*$B124</f>
      </c>
      <c r="M124" s="12">
        <f>IF(L124&gt;0,IF(L124&lt;=eco,alpha*fck*(1-(1-L124/eco)^n),alpha*fck),0)</f>
      </c>
      <c r="N124" s="30">
        <f>PM_Angle!$J$9+PM_Angle!$K$9*$C124+PM_Angle!$L$9*$B124</f>
      </c>
      <c r="O124" s="12">
        <f>IF(N124&gt;0,IF(N124&lt;=eco,alpha*fck*(1-(1-N124/eco)^n),alpha*fck),0)</f>
      </c>
      <c r="P124" s="30">
        <f>PM_Angle!$J$10+PM_Angle!$K$10*$C124+PM_Angle!$L$10*$B124</f>
      </c>
      <c r="Q124" s="12">
        <f>IF(P124&gt;0,IF(P124&lt;=eco,alpha*fck*(1-(1-P124/eco)^n),alpha*fck),0)</f>
      </c>
      <c r="R124" s="30">
        <f>PM_Angle!$J$11+PM_Angle!$K$11*$C124+PM_Angle!$L$11*$B124</f>
      </c>
      <c r="S124" s="12">
        <f>IF(R124&gt;0,IF(R124&lt;=eco,alpha*fck*(1-(1-R124/eco)^n),alpha*fck),0)</f>
      </c>
      <c r="T124" s="30">
        <f>PM_Angle!$J$12+PM_Angle!$K$12*$C124+PM_Angle!$L$12*$B124</f>
      </c>
      <c r="U124" s="12">
        <f>IF(T124&gt;0,IF(T124&lt;=eco,alpha*fck*(1-(1-T124/eco)^n),alpha*fck),0)</f>
      </c>
      <c r="V124" s="30">
        <f>PM_Angle!$J$13+PM_Angle!$K$13*$C124+PM_Angle!$L$13*$B124</f>
      </c>
      <c r="W124" s="12">
        <f>IF(V124&gt;0,IF(V124&lt;=eco,alpha*fck*(1-(1-V124/eco)^n),alpha*fck),0)</f>
      </c>
      <c r="X124" s="30">
        <f>PM_Angle!$J$14+PM_Angle!$K$14*$C124+PM_Angle!$L$14*$B124</f>
      </c>
      <c r="Y124" s="12">
        <f>IF(X124&gt;0,IF(X124&lt;=eco,alpha*fck*(1-(1-X124/eco)^n),alpha*fck),0)</f>
      </c>
      <c r="Z124" s="30">
        <f>PM_Angle!$J$15+PM_Angle!$K$15*$C124+PM_Angle!$L$15*$B124</f>
      </c>
      <c r="AA124" s="12">
        <f>IF(Z124&gt;0,IF(Z124&lt;=eco,alpha*fck*(1-(1-Z124/eco)^n),alpha*fck),0)</f>
      </c>
      <c r="AB124" s="30">
        <f>PM_Angle!$J$16+PM_Angle!$K$16*$C124+PM_Angle!$L$16*$B124</f>
      </c>
      <c r="AC124" s="12">
        <f>IF(AB124&gt;0,IF(AB124&lt;=eco,alpha*fck*(1-(1-AB124/eco)^n),alpha*fck),0)</f>
      </c>
      <c r="AD124" s="30">
        <f>PM_Angle!$J$17+PM_Angle!$K$17*$C124+PM_Angle!$L$17*$B124</f>
      </c>
      <c r="AE124" s="12">
        <f>IF(AD124&gt;0,IF(AD124&lt;=eco,alpha*fck*(1-(1-AD124/eco)^n),alpha*fck),0)</f>
      </c>
      <c r="AF124" s="30">
        <f>PM_Angle!$J$18+PM_Angle!$K$18*$C124+PM_Angle!$L$18*$B124</f>
      </c>
      <c r="AG124" s="12">
        <f>IF(AF124&gt;0,IF(AF124&lt;=eco,alpha*fck*(1-(1-AF124/eco)^n),alpha*fck),0)</f>
      </c>
      <c r="AH124" s="30">
        <f>PM_Angle!$J$19+PM_Angle!$K$19*$C124+PM_Angle!$L$19*$B124</f>
      </c>
      <c r="AI124" s="12">
        <f>IF(AH124&gt;0,IF(AH124&lt;=eco,alpha*fck*(1-(1-AH124/eco)^n),alpha*fck),0)</f>
      </c>
      <c r="AJ124" s="30">
        <f>PM_Angle!$J$20+PM_Angle!$K$20*$C124+PM_Angle!$L$20*$B124</f>
      </c>
      <c r="AK124" s="12">
        <f>IF(AJ124&gt;0,IF(AJ124&lt;=eco,alpha*fck*(1-(1-AJ124/eco)^n),alpha*fck),0)</f>
      </c>
      <c r="AL124" s="30">
        <f>PM_Angle!$J$21+PM_Angle!$K$21*$C124+PM_Angle!$L$21*$B124</f>
      </c>
      <c r="AM124" s="12">
        <f>IF(AL124&gt;0,IF(AL124&lt;=eco,alpha*fck*(1-(1-AL124/eco)^n),alpha*fck),0)</f>
      </c>
      <c r="AN124" s="30">
        <f>PM_Angle!$J$22+PM_Angle!$K$22*$C124+PM_Angle!$L$22*$B124</f>
      </c>
      <c r="AO124" s="12">
        <f>IF(AN124&gt;0,IF(AN124&lt;=eco,alpha*fck*(1-(1-AN124/eco)^n),alpha*fck),0)</f>
      </c>
      <c r="AP124" s="30">
        <f>PM_Angle!$J$23+PM_Angle!$K$23*$C124+PM_Angle!$L$23*$B124</f>
      </c>
      <c r="AQ124" s="12">
        <f>IF(AP124&gt;0,IF(AP124&lt;=eco,alpha*fck*(1-(1-AP124/eco)^n),alpha*fck),0)</f>
      </c>
      <c r="AR124" s="30">
        <f>PM_Angle!$J$24+PM_Angle!$K$24*$C124+PM_Angle!$L$24*$B124</f>
      </c>
      <c r="AS124" s="12">
        <f>IF(AR124&gt;0,IF(AR124&lt;=eco,alpha*fck*(1-(1-AR124/eco)^n),alpha*fck),0)</f>
      </c>
      <c r="AT124" s="30">
        <f>PM_Angle!$J$25+PM_Angle!$K$25*$C124+PM_Angle!$L$25*$B124</f>
      </c>
      <c r="AU124" s="12">
        <f>IF(AT124&gt;0,IF(AT124&lt;=eco,alpha*fck*(1-(1-AT124/eco)^n),alpha*fck),0)</f>
      </c>
    </row>
    <row r="125" spans="1:47" x14ac:dyDescent="0.25">
      <c r="A125">
        <f>Mesh!A122</f>
      </c>
      <c r="B125" s="12">
        <f>Mesh!B122</f>
      </c>
      <c r="C125" s="12">
        <f>Mesh!C122</f>
      </c>
      <c r="D125" s="12">
        <f>Mesh!D122</f>
      </c>
      <c r="E125" s="30">
        <f>INDEX(St_e0,Det+1)+INDEX(St_kx,Det+1)*C125+INDEX(St_ky,Det+1)*B125</f>
      </c>
      <c r="F125" s="12">
        <f>IF(E125&gt;0,IF(E125&lt;=eco,alpha*fck*(1-(1-E125/eco)^n),alpha*fck),0)</f>
      </c>
      <c r="G125" s="11">
        <f>F125*D125</f>
      </c>
      <c r="H125" s="11">
        <f>G125*C125</f>
      </c>
      <c r="I125" s="11">
        <f>G125*B125</f>
      </c>
      <c r="J125" s="30">
        <f>PM_Angle!$J$7+PM_Angle!$K$7*$C125+PM_Angle!$L$7*$B125</f>
      </c>
      <c r="K125" s="12">
        <f>IF(J125&gt;0,IF(J125&lt;=eco,alpha*fck*(1-(1-J125/eco)^n),alpha*fck),0)</f>
      </c>
      <c r="L125" s="30">
        <f>PM_Angle!$J$8+PM_Angle!$K$8*$C125+PM_Angle!$L$8*$B125</f>
      </c>
      <c r="M125" s="12">
        <f>IF(L125&gt;0,IF(L125&lt;=eco,alpha*fck*(1-(1-L125/eco)^n),alpha*fck),0)</f>
      </c>
      <c r="N125" s="30">
        <f>PM_Angle!$J$9+PM_Angle!$K$9*$C125+PM_Angle!$L$9*$B125</f>
      </c>
      <c r="O125" s="12">
        <f>IF(N125&gt;0,IF(N125&lt;=eco,alpha*fck*(1-(1-N125/eco)^n),alpha*fck),0)</f>
      </c>
      <c r="P125" s="30">
        <f>PM_Angle!$J$10+PM_Angle!$K$10*$C125+PM_Angle!$L$10*$B125</f>
      </c>
      <c r="Q125" s="12">
        <f>IF(P125&gt;0,IF(P125&lt;=eco,alpha*fck*(1-(1-P125/eco)^n),alpha*fck),0)</f>
      </c>
      <c r="R125" s="30">
        <f>PM_Angle!$J$11+PM_Angle!$K$11*$C125+PM_Angle!$L$11*$B125</f>
      </c>
      <c r="S125" s="12">
        <f>IF(R125&gt;0,IF(R125&lt;=eco,alpha*fck*(1-(1-R125/eco)^n),alpha*fck),0)</f>
      </c>
      <c r="T125" s="30">
        <f>PM_Angle!$J$12+PM_Angle!$K$12*$C125+PM_Angle!$L$12*$B125</f>
      </c>
      <c r="U125" s="12">
        <f>IF(T125&gt;0,IF(T125&lt;=eco,alpha*fck*(1-(1-T125/eco)^n),alpha*fck),0)</f>
      </c>
      <c r="V125" s="30">
        <f>PM_Angle!$J$13+PM_Angle!$K$13*$C125+PM_Angle!$L$13*$B125</f>
      </c>
      <c r="W125" s="12">
        <f>IF(V125&gt;0,IF(V125&lt;=eco,alpha*fck*(1-(1-V125/eco)^n),alpha*fck),0)</f>
      </c>
      <c r="X125" s="30">
        <f>PM_Angle!$J$14+PM_Angle!$K$14*$C125+PM_Angle!$L$14*$B125</f>
      </c>
      <c r="Y125" s="12">
        <f>IF(X125&gt;0,IF(X125&lt;=eco,alpha*fck*(1-(1-X125/eco)^n),alpha*fck),0)</f>
      </c>
      <c r="Z125" s="30">
        <f>PM_Angle!$J$15+PM_Angle!$K$15*$C125+PM_Angle!$L$15*$B125</f>
      </c>
      <c r="AA125" s="12">
        <f>IF(Z125&gt;0,IF(Z125&lt;=eco,alpha*fck*(1-(1-Z125/eco)^n),alpha*fck),0)</f>
      </c>
      <c r="AB125" s="30">
        <f>PM_Angle!$J$16+PM_Angle!$K$16*$C125+PM_Angle!$L$16*$B125</f>
      </c>
      <c r="AC125" s="12">
        <f>IF(AB125&gt;0,IF(AB125&lt;=eco,alpha*fck*(1-(1-AB125/eco)^n),alpha*fck),0)</f>
      </c>
      <c r="AD125" s="30">
        <f>PM_Angle!$J$17+PM_Angle!$K$17*$C125+PM_Angle!$L$17*$B125</f>
      </c>
      <c r="AE125" s="12">
        <f>IF(AD125&gt;0,IF(AD125&lt;=eco,alpha*fck*(1-(1-AD125/eco)^n),alpha*fck),0)</f>
      </c>
      <c r="AF125" s="30">
        <f>PM_Angle!$J$18+PM_Angle!$K$18*$C125+PM_Angle!$L$18*$B125</f>
      </c>
      <c r="AG125" s="12">
        <f>IF(AF125&gt;0,IF(AF125&lt;=eco,alpha*fck*(1-(1-AF125/eco)^n),alpha*fck),0)</f>
      </c>
      <c r="AH125" s="30">
        <f>PM_Angle!$J$19+PM_Angle!$K$19*$C125+PM_Angle!$L$19*$B125</f>
      </c>
      <c r="AI125" s="12">
        <f>IF(AH125&gt;0,IF(AH125&lt;=eco,alpha*fck*(1-(1-AH125/eco)^n),alpha*fck),0)</f>
      </c>
      <c r="AJ125" s="30">
        <f>PM_Angle!$J$20+PM_Angle!$K$20*$C125+PM_Angle!$L$20*$B125</f>
      </c>
      <c r="AK125" s="12">
        <f>IF(AJ125&gt;0,IF(AJ125&lt;=eco,alpha*fck*(1-(1-AJ125/eco)^n),alpha*fck),0)</f>
      </c>
      <c r="AL125" s="30">
        <f>PM_Angle!$J$21+PM_Angle!$K$21*$C125+PM_Angle!$L$21*$B125</f>
      </c>
      <c r="AM125" s="12">
        <f>IF(AL125&gt;0,IF(AL125&lt;=eco,alpha*fck*(1-(1-AL125/eco)^n),alpha*fck),0)</f>
      </c>
      <c r="AN125" s="30">
        <f>PM_Angle!$J$22+PM_Angle!$K$22*$C125+PM_Angle!$L$22*$B125</f>
      </c>
      <c r="AO125" s="12">
        <f>IF(AN125&gt;0,IF(AN125&lt;=eco,alpha*fck*(1-(1-AN125/eco)^n),alpha*fck),0)</f>
      </c>
      <c r="AP125" s="30">
        <f>PM_Angle!$J$23+PM_Angle!$K$23*$C125+PM_Angle!$L$23*$B125</f>
      </c>
      <c r="AQ125" s="12">
        <f>IF(AP125&gt;0,IF(AP125&lt;=eco,alpha*fck*(1-(1-AP125/eco)^n),alpha*fck),0)</f>
      </c>
      <c r="AR125" s="30">
        <f>PM_Angle!$J$24+PM_Angle!$K$24*$C125+PM_Angle!$L$24*$B125</f>
      </c>
      <c r="AS125" s="12">
        <f>IF(AR125&gt;0,IF(AR125&lt;=eco,alpha*fck*(1-(1-AR125/eco)^n),alpha*fck),0)</f>
      </c>
      <c r="AT125" s="30">
        <f>PM_Angle!$J$25+PM_Angle!$K$25*$C125+PM_Angle!$L$25*$B125</f>
      </c>
      <c r="AU125" s="12">
        <f>IF(AT125&gt;0,IF(AT125&lt;=eco,alpha*fck*(1-(1-AT125/eco)^n),alpha*fck),0)</f>
      </c>
    </row>
    <row r="126" spans="1:47" x14ac:dyDescent="0.25">
      <c r="A126">
        <f>Mesh!A123</f>
      </c>
      <c r="B126" s="12">
        <f>Mesh!B123</f>
      </c>
      <c r="C126" s="12">
        <f>Mesh!C123</f>
      </c>
      <c r="D126" s="12">
        <f>Mesh!D123</f>
      </c>
      <c r="E126" s="30">
        <f>INDEX(St_e0,Det+1)+INDEX(St_kx,Det+1)*C126+INDEX(St_ky,Det+1)*B126</f>
      </c>
      <c r="F126" s="12">
        <f>IF(E126&gt;0,IF(E126&lt;=eco,alpha*fck*(1-(1-E126/eco)^n),alpha*fck),0)</f>
      </c>
      <c r="G126" s="11">
        <f>F126*D126</f>
      </c>
      <c r="H126" s="11">
        <f>G126*C126</f>
      </c>
      <c r="I126" s="11">
        <f>G126*B126</f>
      </c>
      <c r="J126" s="30">
        <f>PM_Angle!$J$7+PM_Angle!$K$7*$C126+PM_Angle!$L$7*$B126</f>
      </c>
      <c r="K126" s="12">
        <f>IF(J126&gt;0,IF(J126&lt;=eco,alpha*fck*(1-(1-J126/eco)^n),alpha*fck),0)</f>
      </c>
      <c r="L126" s="30">
        <f>PM_Angle!$J$8+PM_Angle!$K$8*$C126+PM_Angle!$L$8*$B126</f>
      </c>
      <c r="M126" s="12">
        <f>IF(L126&gt;0,IF(L126&lt;=eco,alpha*fck*(1-(1-L126/eco)^n),alpha*fck),0)</f>
      </c>
      <c r="N126" s="30">
        <f>PM_Angle!$J$9+PM_Angle!$K$9*$C126+PM_Angle!$L$9*$B126</f>
      </c>
      <c r="O126" s="12">
        <f>IF(N126&gt;0,IF(N126&lt;=eco,alpha*fck*(1-(1-N126/eco)^n),alpha*fck),0)</f>
      </c>
      <c r="P126" s="30">
        <f>PM_Angle!$J$10+PM_Angle!$K$10*$C126+PM_Angle!$L$10*$B126</f>
      </c>
      <c r="Q126" s="12">
        <f>IF(P126&gt;0,IF(P126&lt;=eco,alpha*fck*(1-(1-P126/eco)^n),alpha*fck),0)</f>
      </c>
      <c r="R126" s="30">
        <f>PM_Angle!$J$11+PM_Angle!$K$11*$C126+PM_Angle!$L$11*$B126</f>
      </c>
      <c r="S126" s="12">
        <f>IF(R126&gt;0,IF(R126&lt;=eco,alpha*fck*(1-(1-R126/eco)^n),alpha*fck),0)</f>
      </c>
      <c r="T126" s="30">
        <f>PM_Angle!$J$12+PM_Angle!$K$12*$C126+PM_Angle!$L$12*$B126</f>
      </c>
      <c r="U126" s="12">
        <f>IF(T126&gt;0,IF(T126&lt;=eco,alpha*fck*(1-(1-T126/eco)^n),alpha*fck),0)</f>
      </c>
      <c r="V126" s="30">
        <f>PM_Angle!$J$13+PM_Angle!$K$13*$C126+PM_Angle!$L$13*$B126</f>
      </c>
      <c r="W126" s="12">
        <f>IF(V126&gt;0,IF(V126&lt;=eco,alpha*fck*(1-(1-V126/eco)^n),alpha*fck),0)</f>
      </c>
      <c r="X126" s="30">
        <f>PM_Angle!$J$14+PM_Angle!$K$14*$C126+PM_Angle!$L$14*$B126</f>
      </c>
      <c r="Y126" s="12">
        <f>IF(X126&gt;0,IF(X126&lt;=eco,alpha*fck*(1-(1-X126/eco)^n),alpha*fck),0)</f>
      </c>
      <c r="Z126" s="30">
        <f>PM_Angle!$J$15+PM_Angle!$K$15*$C126+PM_Angle!$L$15*$B126</f>
      </c>
      <c r="AA126" s="12">
        <f>IF(Z126&gt;0,IF(Z126&lt;=eco,alpha*fck*(1-(1-Z126/eco)^n),alpha*fck),0)</f>
      </c>
      <c r="AB126" s="30">
        <f>PM_Angle!$J$16+PM_Angle!$K$16*$C126+PM_Angle!$L$16*$B126</f>
      </c>
      <c r="AC126" s="12">
        <f>IF(AB126&gt;0,IF(AB126&lt;=eco,alpha*fck*(1-(1-AB126/eco)^n),alpha*fck),0)</f>
      </c>
      <c r="AD126" s="30">
        <f>PM_Angle!$J$17+PM_Angle!$K$17*$C126+PM_Angle!$L$17*$B126</f>
      </c>
      <c r="AE126" s="12">
        <f>IF(AD126&gt;0,IF(AD126&lt;=eco,alpha*fck*(1-(1-AD126/eco)^n),alpha*fck),0)</f>
      </c>
      <c r="AF126" s="30">
        <f>PM_Angle!$J$18+PM_Angle!$K$18*$C126+PM_Angle!$L$18*$B126</f>
      </c>
      <c r="AG126" s="12">
        <f>IF(AF126&gt;0,IF(AF126&lt;=eco,alpha*fck*(1-(1-AF126/eco)^n),alpha*fck),0)</f>
      </c>
      <c r="AH126" s="30">
        <f>PM_Angle!$J$19+PM_Angle!$K$19*$C126+PM_Angle!$L$19*$B126</f>
      </c>
      <c r="AI126" s="12">
        <f>IF(AH126&gt;0,IF(AH126&lt;=eco,alpha*fck*(1-(1-AH126/eco)^n),alpha*fck),0)</f>
      </c>
      <c r="AJ126" s="30">
        <f>PM_Angle!$J$20+PM_Angle!$K$20*$C126+PM_Angle!$L$20*$B126</f>
      </c>
      <c r="AK126" s="12">
        <f>IF(AJ126&gt;0,IF(AJ126&lt;=eco,alpha*fck*(1-(1-AJ126/eco)^n),alpha*fck),0)</f>
      </c>
      <c r="AL126" s="30">
        <f>PM_Angle!$J$21+PM_Angle!$K$21*$C126+PM_Angle!$L$21*$B126</f>
      </c>
      <c r="AM126" s="12">
        <f>IF(AL126&gt;0,IF(AL126&lt;=eco,alpha*fck*(1-(1-AL126/eco)^n),alpha*fck),0)</f>
      </c>
      <c r="AN126" s="30">
        <f>PM_Angle!$J$22+PM_Angle!$K$22*$C126+PM_Angle!$L$22*$B126</f>
      </c>
      <c r="AO126" s="12">
        <f>IF(AN126&gt;0,IF(AN126&lt;=eco,alpha*fck*(1-(1-AN126/eco)^n),alpha*fck),0)</f>
      </c>
      <c r="AP126" s="30">
        <f>PM_Angle!$J$23+PM_Angle!$K$23*$C126+PM_Angle!$L$23*$B126</f>
      </c>
      <c r="AQ126" s="12">
        <f>IF(AP126&gt;0,IF(AP126&lt;=eco,alpha*fck*(1-(1-AP126/eco)^n),alpha*fck),0)</f>
      </c>
      <c r="AR126" s="30">
        <f>PM_Angle!$J$24+PM_Angle!$K$24*$C126+PM_Angle!$L$24*$B126</f>
      </c>
      <c r="AS126" s="12">
        <f>IF(AR126&gt;0,IF(AR126&lt;=eco,alpha*fck*(1-(1-AR126/eco)^n),alpha*fck),0)</f>
      </c>
      <c r="AT126" s="30">
        <f>PM_Angle!$J$25+PM_Angle!$K$25*$C126+PM_Angle!$L$25*$B126</f>
      </c>
      <c r="AU126" s="12">
        <f>IF(AT126&gt;0,IF(AT126&lt;=eco,alpha*fck*(1-(1-AT126/eco)^n),alpha*fck),0)</f>
      </c>
    </row>
    <row r="127" spans="1:47" x14ac:dyDescent="0.25">
      <c r="A127">
        <f>Mesh!A124</f>
      </c>
      <c r="B127" s="12">
        <f>Mesh!B124</f>
      </c>
      <c r="C127" s="12">
        <f>Mesh!C124</f>
      </c>
      <c r="D127" s="12">
        <f>Mesh!D124</f>
      </c>
      <c r="E127" s="30">
        <f>INDEX(St_e0,Det+1)+INDEX(St_kx,Det+1)*C127+INDEX(St_ky,Det+1)*B127</f>
      </c>
      <c r="F127" s="12">
        <f>IF(E127&gt;0,IF(E127&lt;=eco,alpha*fck*(1-(1-E127/eco)^n),alpha*fck),0)</f>
      </c>
      <c r="G127" s="11">
        <f>F127*D127</f>
      </c>
      <c r="H127" s="11">
        <f>G127*C127</f>
      </c>
      <c r="I127" s="11">
        <f>G127*B127</f>
      </c>
      <c r="J127" s="30">
        <f>PM_Angle!$J$7+PM_Angle!$K$7*$C127+PM_Angle!$L$7*$B127</f>
      </c>
      <c r="K127" s="12">
        <f>IF(J127&gt;0,IF(J127&lt;=eco,alpha*fck*(1-(1-J127/eco)^n),alpha*fck),0)</f>
      </c>
      <c r="L127" s="30">
        <f>PM_Angle!$J$8+PM_Angle!$K$8*$C127+PM_Angle!$L$8*$B127</f>
      </c>
      <c r="M127" s="12">
        <f>IF(L127&gt;0,IF(L127&lt;=eco,alpha*fck*(1-(1-L127/eco)^n),alpha*fck),0)</f>
      </c>
      <c r="N127" s="30">
        <f>PM_Angle!$J$9+PM_Angle!$K$9*$C127+PM_Angle!$L$9*$B127</f>
      </c>
      <c r="O127" s="12">
        <f>IF(N127&gt;0,IF(N127&lt;=eco,alpha*fck*(1-(1-N127/eco)^n),alpha*fck),0)</f>
      </c>
      <c r="P127" s="30">
        <f>PM_Angle!$J$10+PM_Angle!$K$10*$C127+PM_Angle!$L$10*$B127</f>
      </c>
      <c r="Q127" s="12">
        <f>IF(P127&gt;0,IF(P127&lt;=eco,alpha*fck*(1-(1-P127/eco)^n),alpha*fck),0)</f>
      </c>
      <c r="R127" s="30">
        <f>PM_Angle!$J$11+PM_Angle!$K$11*$C127+PM_Angle!$L$11*$B127</f>
      </c>
      <c r="S127" s="12">
        <f>IF(R127&gt;0,IF(R127&lt;=eco,alpha*fck*(1-(1-R127/eco)^n),alpha*fck),0)</f>
      </c>
      <c r="T127" s="30">
        <f>PM_Angle!$J$12+PM_Angle!$K$12*$C127+PM_Angle!$L$12*$B127</f>
      </c>
      <c r="U127" s="12">
        <f>IF(T127&gt;0,IF(T127&lt;=eco,alpha*fck*(1-(1-T127/eco)^n),alpha*fck),0)</f>
      </c>
      <c r="V127" s="30">
        <f>PM_Angle!$J$13+PM_Angle!$K$13*$C127+PM_Angle!$L$13*$B127</f>
      </c>
      <c r="W127" s="12">
        <f>IF(V127&gt;0,IF(V127&lt;=eco,alpha*fck*(1-(1-V127/eco)^n),alpha*fck),0)</f>
      </c>
      <c r="X127" s="30">
        <f>PM_Angle!$J$14+PM_Angle!$K$14*$C127+PM_Angle!$L$14*$B127</f>
      </c>
      <c r="Y127" s="12">
        <f>IF(X127&gt;0,IF(X127&lt;=eco,alpha*fck*(1-(1-X127/eco)^n),alpha*fck),0)</f>
      </c>
      <c r="Z127" s="30">
        <f>PM_Angle!$J$15+PM_Angle!$K$15*$C127+PM_Angle!$L$15*$B127</f>
      </c>
      <c r="AA127" s="12">
        <f>IF(Z127&gt;0,IF(Z127&lt;=eco,alpha*fck*(1-(1-Z127/eco)^n),alpha*fck),0)</f>
      </c>
      <c r="AB127" s="30">
        <f>PM_Angle!$J$16+PM_Angle!$K$16*$C127+PM_Angle!$L$16*$B127</f>
      </c>
      <c r="AC127" s="12">
        <f>IF(AB127&gt;0,IF(AB127&lt;=eco,alpha*fck*(1-(1-AB127/eco)^n),alpha*fck),0)</f>
      </c>
      <c r="AD127" s="30">
        <f>PM_Angle!$J$17+PM_Angle!$K$17*$C127+PM_Angle!$L$17*$B127</f>
      </c>
      <c r="AE127" s="12">
        <f>IF(AD127&gt;0,IF(AD127&lt;=eco,alpha*fck*(1-(1-AD127/eco)^n),alpha*fck),0)</f>
      </c>
      <c r="AF127" s="30">
        <f>PM_Angle!$J$18+PM_Angle!$K$18*$C127+PM_Angle!$L$18*$B127</f>
      </c>
      <c r="AG127" s="12">
        <f>IF(AF127&gt;0,IF(AF127&lt;=eco,alpha*fck*(1-(1-AF127/eco)^n),alpha*fck),0)</f>
      </c>
      <c r="AH127" s="30">
        <f>PM_Angle!$J$19+PM_Angle!$K$19*$C127+PM_Angle!$L$19*$B127</f>
      </c>
      <c r="AI127" s="12">
        <f>IF(AH127&gt;0,IF(AH127&lt;=eco,alpha*fck*(1-(1-AH127/eco)^n),alpha*fck),0)</f>
      </c>
      <c r="AJ127" s="30">
        <f>PM_Angle!$J$20+PM_Angle!$K$20*$C127+PM_Angle!$L$20*$B127</f>
      </c>
      <c r="AK127" s="12">
        <f>IF(AJ127&gt;0,IF(AJ127&lt;=eco,alpha*fck*(1-(1-AJ127/eco)^n),alpha*fck),0)</f>
      </c>
      <c r="AL127" s="30">
        <f>PM_Angle!$J$21+PM_Angle!$K$21*$C127+PM_Angle!$L$21*$B127</f>
      </c>
      <c r="AM127" s="12">
        <f>IF(AL127&gt;0,IF(AL127&lt;=eco,alpha*fck*(1-(1-AL127/eco)^n),alpha*fck),0)</f>
      </c>
      <c r="AN127" s="30">
        <f>PM_Angle!$J$22+PM_Angle!$K$22*$C127+PM_Angle!$L$22*$B127</f>
      </c>
      <c r="AO127" s="12">
        <f>IF(AN127&gt;0,IF(AN127&lt;=eco,alpha*fck*(1-(1-AN127/eco)^n),alpha*fck),0)</f>
      </c>
      <c r="AP127" s="30">
        <f>PM_Angle!$J$23+PM_Angle!$K$23*$C127+PM_Angle!$L$23*$B127</f>
      </c>
      <c r="AQ127" s="12">
        <f>IF(AP127&gt;0,IF(AP127&lt;=eco,alpha*fck*(1-(1-AP127/eco)^n),alpha*fck),0)</f>
      </c>
      <c r="AR127" s="30">
        <f>PM_Angle!$J$24+PM_Angle!$K$24*$C127+PM_Angle!$L$24*$B127</f>
      </c>
      <c r="AS127" s="12">
        <f>IF(AR127&gt;0,IF(AR127&lt;=eco,alpha*fck*(1-(1-AR127/eco)^n),alpha*fck),0)</f>
      </c>
      <c r="AT127" s="30">
        <f>PM_Angle!$J$25+PM_Angle!$K$25*$C127+PM_Angle!$L$25*$B127</f>
      </c>
      <c r="AU127" s="12">
        <f>IF(AT127&gt;0,IF(AT127&lt;=eco,alpha*fck*(1-(1-AT127/eco)^n),alpha*fck),0)</f>
      </c>
    </row>
    <row r="128" spans="1:47" x14ac:dyDescent="0.25">
      <c r="A128">
        <f>Mesh!A125</f>
      </c>
      <c r="B128" s="12">
        <f>Mesh!B125</f>
      </c>
      <c r="C128" s="12">
        <f>Mesh!C125</f>
      </c>
      <c r="D128" s="12">
        <f>Mesh!D125</f>
      </c>
      <c r="E128" s="30">
        <f>INDEX(St_e0,Det+1)+INDEX(St_kx,Det+1)*C128+INDEX(St_ky,Det+1)*B128</f>
      </c>
      <c r="F128" s="12">
        <f>IF(E128&gt;0,IF(E128&lt;=eco,alpha*fck*(1-(1-E128/eco)^n),alpha*fck),0)</f>
      </c>
      <c r="G128" s="11">
        <f>F128*D128</f>
      </c>
      <c r="H128" s="11">
        <f>G128*C128</f>
      </c>
      <c r="I128" s="11">
        <f>G128*B128</f>
      </c>
      <c r="J128" s="30">
        <f>PM_Angle!$J$7+PM_Angle!$K$7*$C128+PM_Angle!$L$7*$B128</f>
      </c>
      <c r="K128" s="12">
        <f>IF(J128&gt;0,IF(J128&lt;=eco,alpha*fck*(1-(1-J128/eco)^n),alpha*fck),0)</f>
      </c>
      <c r="L128" s="30">
        <f>PM_Angle!$J$8+PM_Angle!$K$8*$C128+PM_Angle!$L$8*$B128</f>
      </c>
      <c r="M128" s="12">
        <f>IF(L128&gt;0,IF(L128&lt;=eco,alpha*fck*(1-(1-L128/eco)^n),alpha*fck),0)</f>
      </c>
      <c r="N128" s="30">
        <f>PM_Angle!$J$9+PM_Angle!$K$9*$C128+PM_Angle!$L$9*$B128</f>
      </c>
      <c r="O128" s="12">
        <f>IF(N128&gt;0,IF(N128&lt;=eco,alpha*fck*(1-(1-N128/eco)^n),alpha*fck),0)</f>
      </c>
      <c r="P128" s="30">
        <f>PM_Angle!$J$10+PM_Angle!$K$10*$C128+PM_Angle!$L$10*$B128</f>
      </c>
      <c r="Q128" s="12">
        <f>IF(P128&gt;0,IF(P128&lt;=eco,alpha*fck*(1-(1-P128/eco)^n),alpha*fck),0)</f>
      </c>
      <c r="R128" s="30">
        <f>PM_Angle!$J$11+PM_Angle!$K$11*$C128+PM_Angle!$L$11*$B128</f>
      </c>
      <c r="S128" s="12">
        <f>IF(R128&gt;0,IF(R128&lt;=eco,alpha*fck*(1-(1-R128/eco)^n),alpha*fck),0)</f>
      </c>
      <c r="T128" s="30">
        <f>PM_Angle!$J$12+PM_Angle!$K$12*$C128+PM_Angle!$L$12*$B128</f>
      </c>
      <c r="U128" s="12">
        <f>IF(T128&gt;0,IF(T128&lt;=eco,alpha*fck*(1-(1-T128/eco)^n),alpha*fck),0)</f>
      </c>
      <c r="V128" s="30">
        <f>PM_Angle!$J$13+PM_Angle!$K$13*$C128+PM_Angle!$L$13*$B128</f>
      </c>
      <c r="W128" s="12">
        <f>IF(V128&gt;0,IF(V128&lt;=eco,alpha*fck*(1-(1-V128/eco)^n),alpha*fck),0)</f>
      </c>
      <c r="X128" s="30">
        <f>PM_Angle!$J$14+PM_Angle!$K$14*$C128+PM_Angle!$L$14*$B128</f>
      </c>
      <c r="Y128" s="12">
        <f>IF(X128&gt;0,IF(X128&lt;=eco,alpha*fck*(1-(1-X128/eco)^n),alpha*fck),0)</f>
      </c>
      <c r="Z128" s="30">
        <f>PM_Angle!$J$15+PM_Angle!$K$15*$C128+PM_Angle!$L$15*$B128</f>
      </c>
      <c r="AA128" s="12">
        <f>IF(Z128&gt;0,IF(Z128&lt;=eco,alpha*fck*(1-(1-Z128/eco)^n),alpha*fck),0)</f>
      </c>
      <c r="AB128" s="30">
        <f>PM_Angle!$J$16+PM_Angle!$K$16*$C128+PM_Angle!$L$16*$B128</f>
      </c>
      <c r="AC128" s="12">
        <f>IF(AB128&gt;0,IF(AB128&lt;=eco,alpha*fck*(1-(1-AB128/eco)^n),alpha*fck),0)</f>
      </c>
      <c r="AD128" s="30">
        <f>PM_Angle!$J$17+PM_Angle!$K$17*$C128+PM_Angle!$L$17*$B128</f>
      </c>
      <c r="AE128" s="12">
        <f>IF(AD128&gt;0,IF(AD128&lt;=eco,alpha*fck*(1-(1-AD128/eco)^n),alpha*fck),0)</f>
      </c>
      <c r="AF128" s="30">
        <f>PM_Angle!$J$18+PM_Angle!$K$18*$C128+PM_Angle!$L$18*$B128</f>
      </c>
      <c r="AG128" s="12">
        <f>IF(AF128&gt;0,IF(AF128&lt;=eco,alpha*fck*(1-(1-AF128/eco)^n),alpha*fck),0)</f>
      </c>
      <c r="AH128" s="30">
        <f>PM_Angle!$J$19+PM_Angle!$K$19*$C128+PM_Angle!$L$19*$B128</f>
      </c>
      <c r="AI128" s="12">
        <f>IF(AH128&gt;0,IF(AH128&lt;=eco,alpha*fck*(1-(1-AH128/eco)^n),alpha*fck),0)</f>
      </c>
      <c r="AJ128" s="30">
        <f>PM_Angle!$J$20+PM_Angle!$K$20*$C128+PM_Angle!$L$20*$B128</f>
      </c>
      <c r="AK128" s="12">
        <f>IF(AJ128&gt;0,IF(AJ128&lt;=eco,alpha*fck*(1-(1-AJ128/eco)^n),alpha*fck),0)</f>
      </c>
      <c r="AL128" s="30">
        <f>PM_Angle!$J$21+PM_Angle!$K$21*$C128+PM_Angle!$L$21*$B128</f>
      </c>
      <c r="AM128" s="12">
        <f>IF(AL128&gt;0,IF(AL128&lt;=eco,alpha*fck*(1-(1-AL128/eco)^n),alpha*fck),0)</f>
      </c>
      <c r="AN128" s="30">
        <f>PM_Angle!$J$22+PM_Angle!$K$22*$C128+PM_Angle!$L$22*$B128</f>
      </c>
      <c r="AO128" s="12">
        <f>IF(AN128&gt;0,IF(AN128&lt;=eco,alpha*fck*(1-(1-AN128/eco)^n),alpha*fck),0)</f>
      </c>
      <c r="AP128" s="30">
        <f>PM_Angle!$J$23+PM_Angle!$K$23*$C128+PM_Angle!$L$23*$B128</f>
      </c>
      <c r="AQ128" s="12">
        <f>IF(AP128&gt;0,IF(AP128&lt;=eco,alpha*fck*(1-(1-AP128/eco)^n),alpha*fck),0)</f>
      </c>
      <c r="AR128" s="30">
        <f>PM_Angle!$J$24+PM_Angle!$K$24*$C128+PM_Angle!$L$24*$B128</f>
      </c>
      <c r="AS128" s="12">
        <f>IF(AR128&gt;0,IF(AR128&lt;=eco,alpha*fck*(1-(1-AR128/eco)^n),alpha*fck),0)</f>
      </c>
      <c r="AT128" s="30">
        <f>PM_Angle!$J$25+PM_Angle!$K$25*$C128+PM_Angle!$L$25*$B128</f>
      </c>
      <c r="AU128" s="12">
        <f>IF(AT128&gt;0,IF(AT128&lt;=eco,alpha*fck*(1-(1-AT128/eco)^n),alpha*fck),0)</f>
      </c>
    </row>
    <row r="129" spans="1:47" x14ac:dyDescent="0.25">
      <c r="A129">
        <f>Mesh!A126</f>
      </c>
      <c r="B129" s="12">
        <f>Mesh!B126</f>
      </c>
      <c r="C129" s="12">
        <f>Mesh!C126</f>
      </c>
      <c r="D129" s="12">
        <f>Mesh!D126</f>
      </c>
      <c r="E129" s="30">
        <f>INDEX(St_e0,Det+1)+INDEX(St_kx,Det+1)*C129+INDEX(St_ky,Det+1)*B129</f>
      </c>
      <c r="F129" s="12">
        <f>IF(E129&gt;0,IF(E129&lt;=eco,alpha*fck*(1-(1-E129/eco)^n),alpha*fck),0)</f>
      </c>
      <c r="G129" s="11">
        <f>F129*D129</f>
      </c>
      <c r="H129" s="11">
        <f>G129*C129</f>
      </c>
      <c r="I129" s="11">
        <f>G129*B129</f>
      </c>
      <c r="J129" s="30">
        <f>PM_Angle!$J$7+PM_Angle!$K$7*$C129+PM_Angle!$L$7*$B129</f>
      </c>
      <c r="K129" s="12">
        <f>IF(J129&gt;0,IF(J129&lt;=eco,alpha*fck*(1-(1-J129/eco)^n),alpha*fck),0)</f>
      </c>
      <c r="L129" s="30">
        <f>PM_Angle!$J$8+PM_Angle!$K$8*$C129+PM_Angle!$L$8*$B129</f>
      </c>
      <c r="M129" s="12">
        <f>IF(L129&gt;0,IF(L129&lt;=eco,alpha*fck*(1-(1-L129/eco)^n),alpha*fck),0)</f>
      </c>
      <c r="N129" s="30">
        <f>PM_Angle!$J$9+PM_Angle!$K$9*$C129+PM_Angle!$L$9*$B129</f>
      </c>
      <c r="O129" s="12">
        <f>IF(N129&gt;0,IF(N129&lt;=eco,alpha*fck*(1-(1-N129/eco)^n),alpha*fck),0)</f>
      </c>
      <c r="P129" s="30">
        <f>PM_Angle!$J$10+PM_Angle!$K$10*$C129+PM_Angle!$L$10*$B129</f>
      </c>
      <c r="Q129" s="12">
        <f>IF(P129&gt;0,IF(P129&lt;=eco,alpha*fck*(1-(1-P129/eco)^n),alpha*fck),0)</f>
      </c>
      <c r="R129" s="30">
        <f>PM_Angle!$J$11+PM_Angle!$K$11*$C129+PM_Angle!$L$11*$B129</f>
      </c>
      <c r="S129" s="12">
        <f>IF(R129&gt;0,IF(R129&lt;=eco,alpha*fck*(1-(1-R129/eco)^n),alpha*fck),0)</f>
      </c>
      <c r="T129" s="30">
        <f>PM_Angle!$J$12+PM_Angle!$K$12*$C129+PM_Angle!$L$12*$B129</f>
      </c>
      <c r="U129" s="12">
        <f>IF(T129&gt;0,IF(T129&lt;=eco,alpha*fck*(1-(1-T129/eco)^n),alpha*fck),0)</f>
      </c>
      <c r="V129" s="30">
        <f>PM_Angle!$J$13+PM_Angle!$K$13*$C129+PM_Angle!$L$13*$B129</f>
      </c>
      <c r="W129" s="12">
        <f>IF(V129&gt;0,IF(V129&lt;=eco,alpha*fck*(1-(1-V129/eco)^n),alpha*fck),0)</f>
      </c>
      <c r="X129" s="30">
        <f>PM_Angle!$J$14+PM_Angle!$K$14*$C129+PM_Angle!$L$14*$B129</f>
      </c>
      <c r="Y129" s="12">
        <f>IF(X129&gt;0,IF(X129&lt;=eco,alpha*fck*(1-(1-X129/eco)^n),alpha*fck),0)</f>
      </c>
      <c r="Z129" s="30">
        <f>PM_Angle!$J$15+PM_Angle!$K$15*$C129+PM_Angle!$L$15*$B129</f>
      </c>
      <c r="AA129" s="12">
        <f>IF(Z129&gt;0,IF(Z129&lt;=eco,alpha*fck*(1-(1-Z129/eco)^n),alpha*fck),0)</f>
      </c>
      <c r="AB129" s="30">
        <f>PM_Angle!$J$16+PM_Angle!$K$16*$C129+PM_Angle!$L$16*$B129</f>
      </c>
      <c r="AC129" s="12">
        <f>IF(AB129&gt;0,IF(AB129&lt;=eco,alpha*fck*(1-(1-AB129/eco)^n),alpha*fck),0)</f>
      </c>
      <c r="AD129" s="30">
        <f>PM_Angle!$J$17+PM_Angle!$K$17*$C129+PM_Angle!$L$17*$B129</f>
      </c>
      <c r="AE129" s="12">
        <f>IF(AD129&gt;0,IF(AD129&lt;=eco,alpha*fck*(1-(1-AD129/eco)^n),alpha*fck),0)</f>
      </c>
      <c r="AF129" s="30">
        <f>PM_Angle!$J$18+PM_Angle!$K$18*$C129+PM_Angle!$L$18*$B129</f>
      </c>
      <c r="AG129" s="12">
        <f>IF(AF129&gt;0,IF(AF129&lt;=eco,alpha*fck*(1-(1-AF129/eco)^n),alpha*fck),0)</f>
      </c>
      <c r="AH129" s="30">
        <f>PM_Angle!$J$19+PM_Angle!$K$19*$C129+PM_Angle!$L$19*$B129</f>
      </c>
      <c r="AI129" s="12">
        <f>IF(AH129&gt;0,IF(AH129&lt;=eco,alpha*fck*(1-(1-AH129/eco)^n),alpha*fck),0)</f>
      </c>
      <c r="AJ129" s="30">
        <f>PM_Angle!$J$20+PM_Angle!$K$20*$C129+PM_Angle!$L$20*$B129</f>
      </c>
      <c r="AK129" s="12">
        <f>IF(AJ129&gt;0,IF(AJ129&lt;=eco,alpha*fck*(1-(1-AJ129/eco)^n),alpha*fck),0)</f>
      </c>
      <c r="AL129" s="30">
        <f>PM_Angle!$J$21+PM_Angle!$K$21*$C129+PM_Angle!$L$21*$B129</f>
      </c>
      <c r="AM129" s="12">
        <f>IF(AL129&gt;0,IF(AL129&lt;=eco,alpha*fck*(1-(1-AL129/eco)^n),alpha*fck),0)</f>
      </c>
      <c r="AN129" s="30">
        <f>PM_Angle!$J$22+PM_Angle!$K$22*$C129+PM_Angle!$L$22*$B129</f>
      </c>
      <c r="AO129" s="12">
        <f>IF(AN129&gt;0,IF(AN129&lt;=eco,alpha*fck*(1-(1-AN129/eco)^n),alpha*fck),0)</f>
      </c>
      <c r="AP129" s="30">
        <f>PM_Angle!$J$23+PM_Angle!$K$23*$C129+PM_Angle!$L$23*$B129</f>
      </c>
      <c r="AQ129" s="12">
        <f>IF(AP129&gt;0,IF(AP129&lt;=eco,alpha*fck*(1-(1-AP129/eco)^n),alpha*fck),0)</f>
      </c>
      <c r="AR129" s="30">
        <f>PM_Angle!$J$24+PM_Angle!$K$24*$C129+PM_Angle!$L$24*$B129</f>
      </c>
      <c r="AS129" s="12">
        <f>IF(AR129&gt;0,IF(AR129&lt;=eco,alpha*fck*(1-(1-AR129/eco)^n),alpha*fck),0)</f>
      </c>
      <c r="AT129" s="30">
        <f>PM_Angle!$J$25+PM_Angle!$K$25*$C129+PM_Angle!$L$25*$B129</f>
      </c>
      <c r="AU129" s="12">
        <f>IF(AT129&gt;0,IF(AT129&lt;=eco,alpha*fck*(1-(1-AT129/eco)^n),alpha*fck),0)</f>
      </c>
    </row>
    <row r="130" spans="1:47" x14ac:dyDescent="0.25">
      <c r="A130">
        <f>Mesh!A127</f>
      </c>
      <c r="B130" s="12">
        <f>Mesh!B127</f>
      </c>
      <c r="C130" s="12">
        <f>Mesh!C127</f>
      </c>
      <c r="D130" s="12">
        <f>Mesh!D127</f>
      </c>
      <c r="E130" s="30">
        <f>INDEX(St_e0,Det+1)+INDEX(St_kx,Det+1)*C130+INDEX(St_ky,Det+1)*B130</f>
      </c>
      <c r="F130" s="12">
        <f>IF(E130&gt;0,IF(E130&lt;=eco,alpha*fck*(1-(1-E130/eco)^n),alpha*fck),0)</f>
      </c>
      <c r="G130" s="11">
        <f>F130*D130</f>
      </c>
      <c r="H130" s="11">
        <f>G130*C130</f>
      </c>
      <c r="I130" s="11">
        <f>G130*B130</f>
      </c>
      <c r="J130" s="30">
        <f>PM_Angle!$J$7+PM_Angle!$K$7*$C130+PM_Angle!$L$7*$B130</f>
      </c>
      <c r="K130" s="12">
        <f>IF(J130&gt;0,IF(J130&lt;=eco,alpha*fck*(1-(1-J130/eco)^n),alpha*fck),0)</f>
      </c>
      <c r="L130" s="30">
        <f>PM_Angle!$J$8+PM_Angle!$K$8*$C130+PM_Angle!$L$8*$B130</f>
      </c>
      <c r="M130" s="12">
        <f>IF(L130&gt;0,IF(L130&lt;=eco,alpha*fck*(1-(1-L130/eco)^n),alpha*fck),0)</f>
      </c>
      <c r="N130" s="30">
        <f>PM_Angle!$J$9+PM_Angle!$K$9*$C130+PM_Angle!$L$9*$B130</f>
      </c>
      <c r="O130" s="12">
        <f>IF(N130&gt;0,IF(N130&lt;=eco,alpha*fck*(1-(1-N130/eco)^n),alpha*fck),0)</f>
      </c>
      <c r="P130" s="30">
        <f>PM_Angle!$J$10+PM_Angle!$K$10*$C130+PM_Angle!$L$10*$B130</f>
      </c>
      <c r="Q130" s="12">
        <f>IF(P130&gt;0,IF(P130&lt;=eco,alpha*fck*(1-(1-P130/eco)^n),alpha*fck),0)</f>
      </c>
      <c r="R130" s="30">
        <f>PM_Angle!$J$11+PM_Angle!$K$11*$C130+PM_Angle!$L$11*$B130</f>
      </c>
      <c r="S130" s="12">
        <f>IF(R130&gt;0,IF(R130&lt;=eco,alpha*fck*(1-(1-R130/eco)^n),alpha*fck),0)</f>
      </c>
      <c r="T130" s="30">
        <f>PM_Angle!$J$12+PM_Angle!$K$12*$C130+PM_Angle!$L$12*$B130</f>
      </c>
      <c r="U130" s="12">
        <f>IF(T130&gt;0,IF(T130&lt;=eco,alpha*fck*(1-(1-T130/eco)^n),alpha*fck),0)</f>
      </c>
      <c r="V130" s="30">
        <f>PM_Angle!$J$13+PM_Angle!$K$13*$C130+PM_Angle!$L$13*$B130</f>
      </c>
      <c r="W130" s="12">
        <f>IF(V130&gt;0,IF(V130&lt;=eco,alpha*fck*(1-(1-V130/eco)^n),alpha*fck),0)</f>
      </c>
      <c r="X130" s="30">
        <f>PM_Angle!$J$14+PM_Angle!$K$14*$C130+PM_Angle!$L$14*$B130</f>
      </c>
      <c r="Y130" s="12">
        <f>IF(X130&gt;0,IF(X130&lt;=eco,alpha*fck*(1-(1-X130/eco)^n),alpha*fck),0)</f>
      </c>
      <c r="Z130" s="30">
        <f>PM_Angle!$J$15+PM_Angle!$K$15*$C130+PM_Angle!$L$15*$B130</f>
      </c>
      <c r="AA130" s="12">
        <f>IF(Z130&gt;0,IF(Z130&lt;=eco,alpha*fck*(1-(1-Z130/eco)^n),alpha*fck),0)</f>
      </c>
      <c r="AB130" s="30">
        <f>PM_Angle!$J$16+PM_Angle!$K$16*$C130+PM_Angle!$L$16*$B130</f>
      </c>
      <c r="AC130" s="12">
        <f>IF(AB130&gt;0,IF(AB130&lt;=eco,alpha*fck*(1-(1-AB130/eco)^n),alpha*fck),0)</f>
      </c>
      <c r="AD130" s="30">
        <f>PM_Angle!$J$17+PM_Angle!$K$17*$C130+PM_Angle!$L$17*$B130</f>
      </c>
      <c r="AE130" s="12">
        <f>IF(AD130&gt;0,IF(AD130&lt;=eco,alpha*fck*(1-(1-AD130/eco)^n),alpha*fck),0)</f>
      </c>
      <c r="AF130" s="30">
        <f>PM_Angle!$J$18+PM_Angle!$K$18*$C130+PM_Angle!$L$18*$B130</f>
      </c>
      <c r="AG130" s="12">
        <f>IF(AF130&gt;0,IF(AF130&lt;=eco,alpha*fck*(1-(1-AF130/eco)^n),alpha*fck),0)</f>
      </c>
      <c r="AH130" s="30">
        <f>PM_Angle!$J$19+PM_Angle!$K$19*$C130+PM_Angle!$L$19*$B130</f>
      </c>
      <c r="AI130" s="12">
        <f>IF(AH130&gt;0,IF(AH130&lt;=eco,alpha*fck*(1-(1-AH130/eco)^n),alpha*fck),0)</f>
      </c>
      <c r="AJ130" s="30">
        <f>PM_Angle!$J$20+PM_Angle!$K$20*$C130+PM_Angle!$L$20*$B130</f>
      </c>
      <c r="AK130" s="12">
        <f>IF(AJ130&gt;0,IF(AJ130&lt;=eco,alpha*fck*(1-(1-AJ130/eco)^n),alpha*fck),0)</f>
      </c>
      <c r="AL130" s="30">
        <f>PM_Angle!$J$21+PM_Angle!$K$21*$C130+PM_Angle!$L$21*$B130</f>
      </c>
      <c r="AM130" s="12">
        <f>IF(AL130&gt;0,IF(AL130&lt;=eco,alpha*fck*(1-(1-AL130/eco)^n),alpha*fck),0)</f>
      </c>
      <c r="AN130" s="30">
        <f>PM_Angle!$J$22+PM_Angle!$K$22*$C130+PM_Angle!$L$22*$B130</f>
      </c>
      <c r="AO130" s="12">
        <f>IF(AN130&gt;0,IF(AN130&lt;=eco,alpha*fck*(1-(1-AN130/eco)^n),alpha*fck),0)</f>
      </c>
      <c r="AP130" s="30">
        <f>PM_Angle!$J$23+PM_Angle!$K$23*$C130+PM_Angle!$L$23*$B130</f>
      </c>
      <c r="AQ130" s="12">
        <f>IF(AP130&gt;0,IF(AP130&lt;=eco,alpha*fck*(1-(1-AP130/eco)^n),alpha*fck),0)</f>
      </c>
      <c r="AR130" s="30">
        <f>PM_Angle!$J$24+PM_Angle!$K$24*$C130+PM_Angle!$L$24*$B130</f>
      </c>
      <c r="AS130" s="12">
        <f>IF(AR130&gt;0,IF(AR130&lt;=eco,alpha*fck*(1-(1-AR130/eco)^n),alpha*fck),0)</f>
      </c>
      <c r="AT130" s="30">
        <f>PM_Angle!$J$25+PM_Angle!$K$25*$C130+PM_Angle!$L$25*$B130</f>
      </c>
      <c r="AU130" s="12">
        <f>IF(AT130&gt;0,IF(AT130&lt;=eco,alpha*fck*(1-(1-AT130/eco)^n),alpha*fck),0)</f>
      </c>
    </row>
    <row r="131" spans="1:47" x14ac:dyDescent="0.25">
      <c r="A131">
        <f>Mesh!A128</f>
      </c>
      <c r="B131" s="12">
        <f>Mesh!B128</f>
      </c>
      <c r="C131" s="12">
        <f>Mesh!C128</f>
      </c>
      <c r="D131" s="12">
        <f>Mesh!D128</f>
      </c>
      <c r="E131" s="30">
        <f>INDEX(St_e0,Det+1)+INDEX(St_kx,Det+1)*C131+INDEX(St_ky,Det+1)*B131</f>
      </c>
      <c r="F131" s="12">
        <f>IF(E131&gt;0,IF(E131&lt;=eco,alpha*fck*(1-(1-E131/eco)^n),alpha*fck),0)</f>
      </c>
      <c r="G131" s="11">
        <f>F131*D131</f>
      </c>
      <c r="H131" s="11">
        <f>G131*C131</f>
      </c>
      <c r="I131" s="11">
        <f>G131*B131</f>
      </c>
      <c r="J131" s="30">
        <f>PM_Angle!$J$7+PM_Angle!$K$7*$C131+PM_Angle!$L$7*$B131</f>
      </c>
      <c r="K131" s="12">
        <f>IF(J131&gt;0,IF(J131&lt;=eco,alpha*fck*(1-(1-J131/eco)^n),alpha*fck),0)</f>
      </c>
      <c r="L131" s="30">
        <f>PM_Angle!$J$8+PM_Angle!$K$8*$C131+PM_Angle!$L$8*$B131</f>
      </c>
      <c r="M131" s="12">
        <f>IF(L131&gt;0,IF(L131&lt;=eco,alpha*fck*(1-(1-L131/eco)^n),alpha*fck),0)</f>
      </c>
      <c r="N131" s="30">
        <f>PM_Angle!$J$9+PM_Angle!$K$9*$C131+PM_Angle!$L$9*$B131</f>
      </c>
      <c r="O131" s="12">
        <f>IF(N131&gt;0,IF(N131&lt;=eco,alpha*fck*(1-(1-N131/eco)^n),alpha*fck),0)</f>
      </c>
      <c r="P131" s="30">
        <f>PM_Angle!$J$10+PM_Angle!$K$10*$C131+PM_Angle!$L$10*$B131</f>
      </c>
      <c r="Q131" s="12">
        <f>IF(P131&gt;0,IF(P131&lt;=eco,alpha*fck*(1-(1-P131/eco)^n),alpha*fck),0)</f>
      </c>
      <c r="R131" s="30">
        <f>PM_Angle!$J$11+PM_Angle!$K$11*$C131+PM_Angle!$L$11*$B131</f>
      </c>
      <c r="S131" s="12">
        <f>IF(R131&gt;0,IF(R131&lt;=eco,alpha*fck*(1-(1-R131/eco)^n),alpha*fck),0)</f>
      </c>
      <c r="T131" s="30">
        <f>PM_Angle!$J$12+PM_Angle!$K$12*$C131+PM_Angle!$L$12*$B131</f>
      </c>
      <c r="U131" s="12">
        <f>IF(T131&gt;0,IF(T131&lt;=eco,alpha*fck*(1-(1-T131/eco)^n),alpha*fck),0)</f>
      </c>
      <c r="V131" s="30">
        <f>PM_Angle!$J$13+PM_Angle!$K$13*$C131+PM_Angle!$L$13*$B131</f>
      </c>
      <c r="W131" s="12">
        <f>IF(V131&gt;0,IF(V131&lt;=eco,alpha*fck*(1-(1-V131/eco)^n),alpha*fck),0)</f>
      </c>
      <c r="X131" s="30">
        <f>PM_Angle!$J$14+PM_Angle!$K$14*$C131+PM_Angle!$L$14*$B131</f>
      </c>
      <c r="Y131" s="12">
        <f>IF(X131&gt;0,IF(X131&lt;=eco,alpha*fck*(1-(1-X131/eco)^n),alpha*fck),0)</f>
      </c>
      <c r="Z131" s="30">
        <f>PM_Angle!$J$15+PM_Angle!$K$15*$C131+PM_Angle!$L$15*$B131</f>
      </c>
      <c r="AA131" s="12">
        <f>IF(Z131&gt;0,IF(Z131&lt;=eco,alpha*fck*(1-(1-Z131/eco)^n),alpha*fck),0)</f>
      </c>
      <c r="AB131" s="30">
        <f>PM_Angle!$J$16+PM_Angle!$K$16*$C131+PM_Angle!$L$16*$B131</f>
      </c>
      <c r="AC131" s="12">
        <f>IF(AB131&gt;0,IF(AB131&lt;=eco,alpha*fck*(1-(1-AB131/eco)^n),alpha*fck),0)</f>
      </c>
      <c r="AD131" s="30">
        <f>PM_Angle!$J$17+PM_Angle!$K$17*$C131+PM_Angle!$L$17*$B131</f>
      </c>
      <c r="AE131" s="12">
        <f>IF(AD131&gt;0,IF(AD131&lt;=eco,alpha*fck*(1-(1-AD131/eco)^n),alpha*fck),0)</f>
      </c>
      <c r="AF131" s="30">
        <f>PM_Angle!$J$18+PM_Angle!$K$18*$C131+PM_Angle!$L$18*$B131</f>
      </c>
      <c r="AG131" s="12">
        <f>IF(AF131&gt;0,IF(AF131&lt;=eco,alpha*fck*(1-(1-AF131/eco)^n),alpha*fck),0)</f>
      </c>
      <c r="AH131" s="30">
        <f>PM_Angle!$J$19+PM_Angle!$K$19*$C131+PM_Angle!$L$19*$B131</f>
      </c>
      <c r="AI131" s="12">
        <f>IF(AH131&gt;0,IF(AH131&lt;=eco,alpha*fck*(1-(1-AH131/eco)^n),alpha*fck),0)</f>
      </c>
      <c r="AJ131" s="30">
        <f>PM_Angle!$J$20+PM_Angle!$K$20*$C131+PM_Angle!$L$20*$B131</f>
      </c>
      <c r="AK131" s="12">
        <f>IF(AJ131&gt;0,IF(AJ131&lt;=eco,alpha*fck*(1-(1-AJ131/eco)^n),alpha*fck),0)</f>
      </c>
      <c r="AL131" s="30">
        <f>PM_Angle!$J$21+PM_Angle!$K$21*$C131+PM_Angle!$L$21*$B131</f>
      </c>
      <c r="AM131" s="12">
        <f>IF(AL131&gt;0,IF(AL131&lt;=eco,alpha*fck*(1-(1-AL131/eco)^n),alpha*fck),0)</f>
      </c>
      <c r="AN131" s="30">
        <f>PM_Angle!$J$22+PM_Angle!$K$22*$C131+PM_Angle!$L$22*$B131</f>
      </c>
      <c r="AO131" s="12">
        <f>IF(AN131&gt;0,IF(AN131&lt;=eco,alpha*fck*(1-(1-AN131/eco)^n),alpha*fck),0)</f>
      </c>
      <c r="AP131" s="30">
        <f>PM_Angle!$J$23+PM_Angle!$K$23*$C131+PM_Angle!$L$23*$B131</f>
      </c>
      <c r="AQ131" s="12">
        <f>IF(AP131&gt;0,IF(AP131&lt;=eco,alpha*fck*(1-(1-AP131/eco)^n),alpha*fck),0)</f>
      </c>
      <c r="AR131" s="30">
        <f>PM_Angle!$J$24+PM_Angle!$K$24*$C131+PM_Angle!$L$24*$B131</f>
      </c>
      <c r="AS131" s="12">
        <f>IF(AR131&gt;0,IF(AR131&lt;=eco,alpha*fck*(1-(1-AR131/eco)^n),alpha*fck),0)</f>
      </c>
      <c r="AT131" s="30">
        <f>PM_Angle!$J$25+PM_Angle!$K$25*$C131+PM_Angle!$L$25*$B131</f>
      </c>
      <c r="AU131" s="12">
        <f>IF(AT131&gt;0,IF(AT131&lt;=eco,alpha*fck*(1-(1-AT131/eco)^n),alpha*fck),0)</f>
      </c>
    </row>
    <row r="132" spans="1:47" x14ac:dyDescent="0.25">
      <c r="A132">
        <f>Mesh!A129</f>
      </c>
      <c r="B132" s="12">
        <f>Mesh!B129</f>
      </c>
      <c r="C132" s="12">
        <f>Mesh!C129</f>
      </c>
      <c r="D132" s="12">
        <f>Mesh!D129</f>
      </c>
      <c r="E132" s="30">
        <f>INDEX(St_e0,Det+1)+INDEX(St_kx,Det+1)*C132+INDEX(St_ky,Det+1)*B132</f>
      </c>
      <c r="F132" s="12">
        <f>IF(E132&gt;0,IF(E132&lt;=eco,alpha*fck*(1-(1-E132/eco)^n),alpha*fck),0)</f>
      </c>
      <c r="G132" s="11">
        <f>F132*D132</f>
      </c>
      <c r="H132" s="11">
        <f>G132*C132</f>
      </c>
      <c r="I132" s="11">
        <f>G132*B132</f>
      </c>
      <c r="J132" s="30">
        <f>PM_Angle!$J$7+PM_Angle!$K$7*$C132+PM_Angle!$L$7*$B132</f>
      </c>
      <c r="K132" s="12">
        <f>IF(J132&gt;0,IF(J132&lt;=eco,alpha*fck*(1-(1-J132/eco)^n),alpha*fck),0)</f>
      </c>
      <c r="L132" s="30">
        <f>PM_Angle!$J$8+PM_Angle!$K$8*$C132+PM_Angle!$L$8*$B132</f>
      </c>
      <c r="M132" s="12">
        <f>IF(L132&gt;0,IF(L132&lt;=eco,alpha*fck*(1-(1-L132/eco)^n),alpha*fck),0)</f>
      </c>
      <c r="N132" s="30">
        <f>PM_Angle!$J$9+PM_Angle!$K$9*$C132+PM_Angle!$L$9*$B132</f>
      </c>
      <c r="O132" s="12">
        <f>IF(N132&gt;0,IF(N132&lt;=eco,alpha*fck*(1-(1-N132/eco)^n),alpha*fck),0)</f>
      </c>
      <c r="P132" s="30">
        <f>PM_Angle!$J$10+PM_Angle!$K$10*$C132+PM_Angle!$L$10*$B132</f>
      </c>
      <c r="Q132" s="12">
        <f>IF(P132&gt;0,IF(P132&lt;=eco,alpha*fck*(1-(1-P132/eco)^n),alpha*fck),0)</f>
      </c>
      <c r="R132" s="30">
        <f>PM_Angle!$J$11+PM_Angle!$K$11*$C132+PM_Angle!$L$11*$B132</f>
      </c>
      <c r="S132" s="12">
        <f>IF(R132&gt;0,IF(R132&lt;=eco,alpha*fck*(1-(1-R132/eco)^n),alpha*fck),0)</f>
      </c>
      <c r="T132" s="30">
        <f>PM_Angle!$J$12+PM_Angle!$K$12*$C132+PM_Angle!$L$12*$B132</f>
      </c>
      <c r="U132" s="12">
        <f>IF(T132&gt;0,IF(T132&lt;=eco,alpha*fck*(1-(1-T132/eco)^n),alpha*fck),0)</f>
      </c>
      <c r="V132" s="30">
        <f>PM_Angle!$J$13+PM_Angle!$K$13*$C132+PM_Angle!$L$13*$B132</f>
      </c>
      <c r="W132" s="12">
        <f>IF(V132&gt;0,IF(V132&lt;=eco,alpha*fck*(1-(1-V132/eco)^n),alpha*fck),0)</f>
      </c>
      <c r="X132" s="30">
        <f>PM_Angle!$J$14+PM_Angle!$K$14*$C132+PM_Angle!$L$14*$B132</f>
      </c>
      <c r="Y132" s="12">
        <f>IF(X132&gt;0,IF(X132&lt;=eco,alpha*fck*(1-(1-X132/eco)^n),alpha*fck),0)</f>
      </c>
      <c r="Z132" s="30">
        <f>PM_Angle!$J$15+PM_Angle!$K$15*$C132+PM_Angle!$L$15*$B132</f>
      </c>
      <c r="AA132" s="12">
        <f>IF(Z132&gt;0,IF(Z132&lt;=eco,alpha*fck*(1-(1-Z132/eco)^n),alpha*fck),0)</f>
      </c>
      <c r="AB132" s="30">
        <f>PM_Angle!$J$16+PM_Angle!$K$16*$C132+PM_Angle!$L$16*$B132</f>
      </c>
      <c r="AC132" s="12">
        <f>IF(AB132&gt;0,IF(AB132&lt;=eco,alpha*fck*(1-(1-AB132/eco)^n),alpha*fck),0)</f>
      </c>
      <c r="AD132" s="30">
        <f>PM_Angle!$J$17+PM_Angle!$K$17*$C132+PM_Angle!$L$17*$B132</f>
      </c>
      <c r="AE132" s="12">
        <f>IF(AD132&gt;0,IF(AD132&lt;=eco,alpha*fck*(1-(1-AD132/eco)^n),alpha*fck),0)</f>
      </c>
      <c r="AF132" s="30">
        <f>PM_Angle!$J$18+PM_Angle!$K$18*$C132+PM_Angle!$L$18*$B132</f>
      </c>
      <c r="AG132" s="12">
        <f>IF(AF132&gt;0,IF(AF132&lt;=eco,alpha*fck*(1-(1-AF132/eco)^n),alpha*fck),0)</f>
      </c>
      <c r="AH132" s="30">
        <f>PM_Angle!$J$19+PM_Angle!$K$19*$C132+PM_Angle!$L$19*$B132</f>
      </c>
      <c r="AI132" s="12">
        <f>IF(AH132&gt;0,IF(AH132&lt;=eco,alpha*fck*(1-(1-AH132/eco)^n),alpha*fck),0)</f>
      </c>
      <c r="AJ132" s="30">
        <f>PM_Angle!$J$20+PM_Angle!$K$20*$C132+PM_Angle!$L$20*$B132</f>
      </c>
      <c r="AK132" s="12">
        <f>IF(AJ132&gt;0,IF(AJ132&lt;=eco,alpha*fck*(1-(1-AJ132/eco)^n),alpha*fck),0)</f>
      </c>
      <c r="AL132" s="30">
        <f>PM_Angle!$J$21+PM_Angle!$K$21*$C132+PM_Angle!$L$21*$B132</f>
      </c>
      <c r="AM132" s="12">
        <f>IF(AL132&gt;0,IF(AL132&lt;=eco,alpha*fck*(1-(1-AL132/eco)^n),alpha*fck),0)</f>
      </c>
      <c r="AN132" s="30">
        <f>PM_Angle!$J$22+PM_Angle!$K$22*$C132+PM_Angle!$L$22*$B132</f>
      </c>
      <c r="AO132" s="12">
        <f>IF(AN132&gt;0,IF(AN132&lt;=eco,alpha*fck*(1-(1-AN132/eco)^n),alpha*fck),0)</f>
      </c>
      <c r="AP132" s="30">
        <f>PM_Angle!$J$23+PM_Angle!$K$23*$C132+PM_Angle!$L$23*$B132</f>
      </c>
      <c r="AQ132" s="12">
        <f>IF(AP132&gt;0,IF(AP132&lt;=eco,alpha*fck*(1-(1-AP132/eco)^n),alpha*fck),0)</f>
      </c>
      <c r="AR132" s="30">
        <f>PM_Angle!$J$24+PM_Angle!$K$24*$C132+PM_Angle!$L$24*$B132</f>
      </c>
      <c r="AS132" s="12">
        <f>IF(AR132&gt;0,IF(AR132&lt;=eco,alpha*fck*(1-(1-AR132/eco)^n),alpha*fck),0)</f>
      </c>
      <c r="AT132" s="30">
        <f>PM_Angle!$J$25+PM_Angle!$K$25*$C132+PM_Angle!$L$25*$B132</f>
      </c>
      <c r="AU132" s="12">
        <f>IF(AT132&gt;0,IF(AT132&lt;=eco,alpha*fck*(1-(1-AT132/eco)^n),alpha*fck),0)</f>
      </c>
    </row>
    <row r="133" spans="1:47" x14ac:dyDescent="0.25">
      <c r="A133">
        <f>Mesh!A130</f>
      </c>
      <c r="B133" s="12">
        <f>Mesh!B130</f>
      </c>
      <c r="C133" s="12">
        <f>Mesh!C130</f>
      </c>
      <c r="D133" s="12">
        <f>Mesh!D130</f>
      </c>
      <c r="E133" s="30">
        <f>INDEX(St_e0,Det+1)+INDEX(St_kx,Det+1)*C133+INDEX(St_ky,Det+1)*B133</f>
      </c>
      <c r="F133" s="12">
        <f>IF(E133&gt;0,IF(E133&lt;=eco,alpha*fck*(1-(1-E133/eco)^n),alpha*fck),0)</f>
      </c>
      <c r="G133" s="11">
        <f>F133*D133</f>
      </c>
      <c r="H133" s="11">
        <f>G133*C133</f>
      </c>
      <c r="I133" s="11">
        <f>G133*B133</f>
      </c>
      <c r="J133" s="30">
        <f>PM_Angle!$J$7+PM_Angle!$K$7*$C133+PM_Angle!$L$7*$B133</f>
      </c>
      <c r="K133" s="12">
        <f>IF(J133&gt;0,IF(J133&lt;=eco,alpha*fck*(1-(1-J133/eco)^n),alpha*fck),0)</f>
      </c>
      <c r="L133" s="30">
        <f>PM_Angle!$J$8+PM_Angle!$K$8*$C133+PM_Angle!$L$8*$B133</f>
      </c>
      <c r="M133" s="12">
        <f>IF(L133&gt;0,IF(L133&lt;=eco,alpha*fck*(1-(1-L133/eco)^n),alpha*fck),0)</f>
      </c>
      <c r="N133" s="30">
        <f>PM_Angle!$J$9+PM_Angle!$K$9*$C133+PM_Angle!$L$9*$B133</f>
      </c>
      <c r="O133" s="12">
        <f>IF(N133&gt;0,IF(N133&lt;=eco,alpha*fck*(1-(1-N133/eco)^n),alpha*fck),0)</f>
      </c>
      <c r="P133" s="30">
        <f>PM_Angle!$J$10+PM_Angle!$K$10*$C133+PM_Angle!$L$10*$B133</f>
      </c>
      <c r="Q133" s="12">
        <f>IF(P133&gt;0,IF(P133&lt;=eco,alpha*fck*(1-(1-P133/eco)^n),alpha*fck),0)</f>
      </c>
      <c r="R133" s="30">
        <f>PM_Angle!$J$11+PM_Angle!$K$11*$C133+PM_Angle!$L$11*$B133</f>
      </c>
      <c r="S133" s="12">
        <f>IF(R133&gt;0,IF(R133&lt;=eco,alpha*fck*(1-(1-R133/eco)^n),alpha*fck),0)</f>
      </c>
      <c r="T133" s="30">
        <f>PM_Angle!$J$12+PM_Angle!$K$12*$C133+PM_Angle!$L$12*$B133</f>
      </c>
      <c r="U133" s="12">
        <f>IF(T133&gt;0,IF(T133&lt;=eco,alpha*fck*(1-(1-T133/eco)^n),alpha*fck),0)</f>
      </c>
      <c r="V133" s="30">
        <f>PM_Angle!$J$13+PM_Angle!$K$13*$C133+PM_Angle!$L$13*$B133</f>
      </c>
      <c r="W133" s="12">
        <f>IF(V133&gt;0,IF(V133&lt;=eco,alpha*fck*(1-(1-V133/eco)^n),alpha*fck),0)</f>
      </c>
      <c r="X133" s="30">
        <f>PM_Angle!$J$14+PM_Angle!$K$14*$C133+PM_Angle!$L$14*$B133</f>
      </c>
      <c r="Y133" s="12">
        <f>IF(X133&gt;0,IF(X133&lt;=eco,alpha*fck*(1-(1-X133/eco)^n),alpha*fck),0)</f>
      </c>
      <c r="Z133" s="30">
        <f>PM_Angle!$J$15+PM_Angle!$K$15*$C133+PM_Angle!$L$15*$B133</f>
      </c>
      <c r="AA133" s="12">
        <f>IF(Z133&gt;0,IF(Z133&lt;=eco,alpha*fck*(1-(1-Z133/eco)^n),alpha*fck),0)</f>
      </c>
      <c r="AB133" s="30">
        <f>PM_Angle!$J$16+PM_Angle!$K$16*$C133+PM_Angle!$L$16*$B133</f>
      </c>
      <c r="AC133" s="12">
        <f>IF(AB133&gt;0,IF(AB133&lt;=eco,alpha*fck*(1-(1-AB133/eco)^n),alpha*fck),0)</f>
      </c>
      <c r="AD133" s="30">
        <f>PM_Angle!$J$17+PM_Angle!$K$17*$C133+PM_Angle!$L$17*$B133</f>
      </c>
      <c r="AE133" s="12">
        <f>IF(AD133&gt;0,IF(AD133&lt;=eco,alpha*fck*(1-(1-AD133/eco)^n),alpha*fck),0)</f>
      </c>
      <c r="AF133" s="30">
        <f>PM_Angle!$J$18+PM_Angle!$K$18*$C133+PM_Angle!$L$18*$B133</f>
      </c>
      <c r="AG133" s="12">
        <f>IF(AF133&gt;0,IF(AF133&lt;=eco,alpha*fck*(1-(1-AF133/eco)^n),alpha*fck),0)</f>
      </c>
      <c r="AH133" s="30">
        <f>PM_Angle!$J$19+PM_Angle!$K$19*$C133+PM_Angle!$L$19*$B133</f>
      </c>
      <c r="AI133" s="12">
        <f>IF(AH133&gt;0,IF(AH133&lt;=eco,alpha*fck*(1-(1-AH133/eco)^n),alpha*fck),0)</f>
      </c>
      <c r="AJ133" s="30">
        <f>PM_Angle!$J$20+PM_Angle!$K$20*$C133+PM_Angle!$L$20*$B133</f>
      </c>
      <c r="AK133" s="12">
        <f>IF(AJ133&gt;0,IF(AJ133&lt;=eco,alpha*fck*(1-(1-AJ133/eco)^n),alpha*fck),0)</f>
      </c>
      <c r="AL133" s="30">
        <f>PM_Angle!$J$21+PM_Angle!$K$21*$C133+PM_Angle!$L$21*$B133</f>
      </c>
      <c r="AM133" s="12">
        <f>IF(AL133&gt;0,IF(AL133&lt;=eco,alpha*fck*(1-(1-AL133/eco)^n),alpha*fck),0)</f>
      </c>
      <c r="AN133" s="30">
        <f>PM_Angle!$J$22+PM_Angle!$K$22*$C133+PM_Angle!$L$22*$B133</f>
      </c>
      <c r="AO133" s="12">
        <f>IF(AN133&gt;0,IF(AN133&lt;=eco,alpha*fck*(1-(1-AN133/eco)^n),alpha*fck),0)</f>
      </c>
      <c r="AP133" s="30">
        <f>PM_Angle!$J$23+PM_Angle!$K$23*$C133+PM_Angle!$L$23*$B133</f>
      </c>
      <c r="AQ133" s="12">
        <f>IF(AP133&gt;0,IF(AP133&lt;=eco,alpha*fck*(1-(1-AP133/eco)^n),alpha*fck),0)</f>
      </c>
      <c r="AR133" s="30">
        <f>PM_Angle!$J$24+PM_Angle!$K$24*$C133+PM_Angle!$L$24*$B133</f>
      </c>
      <c r="AS133" s="12">
        <f>IF(AR133&gt;0,IF(AR133&lt;=eco,alpha*fck*(1-(1-AR133/eco)^n),alpha*fck),0)</f>
      </c>
      <c r="AT133" s="30">
        <f>PM_Angle!$J$25+PM_Angle!$K$25*$C133+PM_Angle!$L$25*$B133</f>
      </c>
      <c r="AU133" s="12">
        <f>IF(AT133&gt;0,IF(AT133&lt;=eco,alpha*fck*(1-(1-AT133/eco)^n),alpha*fck),0)</f>
      </c>
    </row>
    <row r="134" spans="1:47" x14ac:dyDescent="0.25">
      <c r="A134">
        <f>Mesh!A131</f>
      </c>
      <c r="B134" s="12">
        <f>Mesh!B131</f>
      </c>
      <c r="C134" s="12">
        <f>Mesh!C131</f>
      </c>
      <c r="D134" s="12">
        <f>Mesh!D131</f>
      </c>
      <c r="E134" s="30">
        <f>INDEX(St_e0,Det+1)+INDEX(St_kx,Det+1)*C134+INDEX(St_ky,Det+1)*B134</f>
      </c>
      <c r="F134" s="12">
        <f>IF(E134&gt;0,IF(E134&lt;=eco,alpha*fck*(1-(1-E134/eco)^n),alpha*fck),0)</f>
      </c>
      <c r="G134" s="11">
        <f>F134*D134</f>
      </c>
      <c r="H134" s="11">
        <f>G134*C134</f>
      </c>
      <c r="I134" s="11">
        <f>G134*B134</f>
      </c>
      <c r="J134" s="30">
        <f>PM_Angle!$J$7+PM_Angle!$K$7*$C134+PM_Angle!$L$7*$B134</f>
      </c>
      <c r="K134" s="12">
        <f>IF(J134&gt;0,IF(J134&lt;=eco,alpha*fck*(1-(1-J134/eco)^n),alpha*fck),0)</f>
      </c>
      <c r="L134" s="30">
        <f>PM_Angle!$J$8+PM_Angle!$K$8*$C134+PM_Angle!$L$8*$B134</f>
      </c>
      <c r="M134" s="12">
        <f>IF(L134&gt;0,IF(L134&lt;=eco,alpha*fck*(1-(1-L134/eco)^n),alpha*fck),0)</f>
      </c>
      <c r="N134" s="30">
        <f>PM_Angle!$J$9+PM_Angle!$K$9*$C134+PM_Angle!$L$9*$B134</f>
      </c>
      <c r="O134" s="12">
        <f>IF(N134&gt;0,IF(N134&lt;=eco,alpha*fck*(1-(1-N134/eco)^n),alpha*fck),0)</f>
      </c>
      <c r="P134" s="30">
        <f>PM_Angle!$J$10+PM_Angle!$K$10*$C134+PM_Angle!$L$10*$B134</f>
      </c>
      <c r="Q134" s="12">
        <f>IF(P134&gt;0,IF(P134&lt;=eco,alpha*fck*(1-(1-P134/eco)^n),alpha*fck),0)</f>
      </c>
      <c r="R134" s="30">
        <f>PM_Angle!$J$11+PM_Angle!$K$11*$C134+PM_Angle!$L$11*$B134</f>
      </c>
      <c r="S134" s="12">
        <f>IF(R134&gt;0,IF(R134&lt;=eco,alpha*fck*(1-(1-R134/eco)^n),alpha*fck),0)</f>
      </c>
      <c r="T134" s="30">
        <f>PM_Angle!$J$12+PM_Angle!$K$12*$C134+PM_Angle!$L$12*$B134</f>
      </c>
      <c r="U134" s="12">
        <f>IF(T134&gt;0,IF(T134&lt;=eco,alpha*fck*(1-(1-T134/eco)^n),alpha*fck),0)</f>
      </c>
      <c r="V134" s="30">
        <f>PM_Angle!$J$13+PM_Angle!$K$13*$C134+PM_Angle!$L$13*$B134</f>
      </c>
      <c r="W134" s="12">
        <f>IF(V134&gt;0,IF(V134&lt;=eco,alpha*fck*(1-(1-V134/eco)^n),alpha*fck),0)</f>
      </c>
      <c r="X134" s="30">
        <f>PM_Angle!$J$14+PM_Angle!$K$14*$C134+PM_Angle!$L$14*$B134</f>
      </c>
      <c r="Y134" s="12">
        <f>IF(X134&gt;0,IF(X134&lt;=eco,alpha*fck*(1-(1-X134/eco)^n),alpha*fck),0)</f>
      </c>
      <c r="Z134" s="30">
        <f>PM_Angle!$J$15+PM_Angle!$K$15*$C134+PM_Angle!$L$15*$B134</f>
      </c>
      <c r="AA134" s="12">
        <f>IF(Z134&gt;0,IF(Z134&lt;=eco,alpha*fck*(1-(1-Z134/eco)^n),alpha*fck),0)</f>
      </c>
      <c r="AB134" s="30">
        <f>PM_Angle!$J$16+PM_Angle!$K$16*$C134+PM_Angle!$L$16*$B134</f>
      </c>
      <c r="AC134" s="12">
        <f>IF(AB134&gt;0,IF(AB134&lt;=eco,alpha*fck*(1-(1-AB134/eco)^n),alpha*fck),0)</f>
      </c>
      <c r="AD134" s="30">
        <f>PM_Angle!$J$17+PM_Angle!$K$17*$C134+PM_Angle!$L$17*$B134</f>
      </c>
      <c r="AE134" s="12">
        <f>IF(AD134&gt;0,IF(AD134&lt;=eco,alpha*fck*(1-(1-AD134/eco)^n),alpha*fck),0)</f>
      </c>
      <c r="AF134" s="30">
        <f>PM_Angle!$J$18+PM_Angle!$K$18*$C134+PM_Angle!$L$18*$B134</f>
      </c>
      <c r="AG134" s="12">
        <f>IF(AF134&gt;0,IF(AF134&lt;=eco,alpha*fck*(1-(1-AF134/eco)^n),alpha*fck),0)</f>
      </c>
      <c r="AH134" s="30">
        <f>PM_Angle!$J$19+PM_Angle!$K$19*$C134+PM_Angle!$L$19*$B134</f>
      </c>
      <c r="AI134" s="12">
        <f>IF(AH134&gt;0,IF(AH134&lt;=eco,alpha*fck*(1-(1-AH134/eco)^n),alpha*fck),0)</f>
      </c>
      <c r="AJ134" s="30">
        <f>PM_Angle!$J$20+PM_Angle!$K$20*$C134+PM_Angle!$L$20*$B134</f>
      </c>
      <c r="AK134" s="12">
        <f>IF(AJ134&gt;0,IF(AJ134&lt;=eco,alpha*fck*(1-(1-AJ134/eco)^n),alpha*fck),0)</f>
      </c>
      <c r="AL134" s="30">
        <f>PM_Angle!$J$21+PM_Angle!$K$21*$C134+PM_Angle!$L$21*$B134</f>
      </c>
      <c r="AM134" s="12">
        <f>IF(AL134&gt;0,IF(AL134&lt;=eco,alpha*fck*(1-(1-AL134/eco)^n),alpha*fck),0)</f>
      </c>
      <c r="AN134" s="30">
        <f>PM_Angle!$J$22+PM_Angle!$K$22*$C134+PM_Angle!$L$22*$B134</f>
      </c>
      <c r="AO134" s="12">
        <f>IF(AN134&gt;0,IF(AN134&lt;=eco,alpha*fck*(1-(1-AN134/eco)^n),alpha*fck),0)</f>
      </c>
      <c r="AP134" s="30">
        <f>PM_Angle!$J$23+PM_Angle!$K$23*$C134+PM_Angle!$L$23*$B134</f>
      </c>
      <c r="AQ134" s="12">
        <f>IF(AP134&gt;0,IF(AP134&lt;=eco,alpha*fck*(1-(1-AP134/eco)^n),alpha*fck),0)</f>
      </c>
      <c r="AR134" s="30">
        <f>PM_Angle!$J$24+PM_Angle!$K$24*$C134+PM_Angle!$L$24*$B134</f>
      </c>
      <c r="AS134" s="12">
        <f>IF(AR134&gt;0,IF(AR134&lt;=eco,alpha*fck*(1-(1-AR134/eco)^n),alpha*fck),0)</f>
      </c>
      <c r="AT134" s="30">
        <f>PM_Angle!$J$25+PM_Angle!$K$25*$C134+PM_Angle!$L$25*$B134</f>
      </c>
      <c r="AU134" s="12">
        <f>IF(AT134&gt;0,IF(AT134&lt;=eco,alpha*fck*(1-(1-AT134/eco)^n),alpha*fck),0)</f>
      </c>
    </row>
    <row r="135" spans="1:47" x14ac:dyDescent="0.25">
      <c r="A135">
        <f>Mesh!A132</f>
      </c>
      <c r="B135" s="12">
        <f>Mesh!B132</f>
      </c>
      <c r="C135" s="12">
        <f>Mesh!C132</f>
      </c>
      <c r="D135" s="12">
        <f>Mesh!D132</f>
      </c>
      <c r="E135" s="30">
        <f>INDEX(St_e0,Det+1)+INDEX(St_kx,Det+1)*C135+INDEX(St_ky,Det+1)*B135</f>
      </c>
      <c r="F135" s="12">
        <f>IF(E135&gt;0,IF(E135&lt;=eco,alpha*fck*(1-(1-E135/eco)^n),alpha*fck),0)</f>
      </c>
      <c r="G135" s="11">
        <f>F135*D135</f>
      </c>
      <c r="H135" s="11">
        <f>G135*C135</f>
      </c>
      <c r="I135" s="11">
        <f>G135*B135</f>
      </c>
      <c r="J135" s="30">
        <f>PM_Angle!$J$7+PM_Angle!$K$7*$C135+PM_Angle!$L$7*$B135</f>
      </c>
      <c r="K135" s="12">
        <f>IF(J135&gt;0,IF(J135&lt;=eco,alpha*fck*(1-(1-J135/eco)^n),alpha*fck),0)</f>
      </c>
      <c r="L135" s="30">
        <f>PM_Angle!$J$8+PM_Angle!$K$8*$C135+PM_Angle!$L$8*$B135</f>
      </c>
      <c r="M135" s="12">
        <f>IF(L135&gt;0,IF(L135&lt;=eco,alpha*fck*(1-(1-L135/eco)^n),alpha*fck),0)</f>
      </c>
      <c r="N135" s="30">
        <f>PM_Angle!$J$9+PM_Angle!$K$9*$C135+PM_Angle!$L$9*$B135</f>
      </c>
      <c r="O135" s="12">
        <f>IF(N135&gt;0,IF(N135&lt;=eco,alpha*fck*(1-(1-N135/eco)^n),alpha*fck),0)</f>
      </c>
      <c r="P135" s="30">
        <f>PM_Angle!$J$10+PM_Angle!$K$10*$C135+PM_Angle!$L$10*$B135</f>
      </c>
      <c r="Q135" s="12">
        <f>IF(P135&gt;0,IF(P135&lt;=eco,alpha*fck*(1-(1-P135/eco)^n),alpha*fck),0)</f>
      </c>
      <c r="R135" s="30">
        <f>PM_Angle!$J$11+PM_Angle!$K$11*$C135+PM_Angle!$L$11*$B135</f>
      </c>
      <c r="S135" s="12">
        <f>IF(R135&gt;0,IF(R135&lt;=eco,alpha*fck*(1-(1-R135/eco)^n),alpha*fck),0)</f>
      </c>
      <c r="T135" s="30">
        <f>PM_Angle!$J$12+PM_Angle!$K$12*$C135+PM_Angle!$L$12*$B135</f>
      </c>
      <c r="U135" s="12">
        <f>IF(T135&gt;0,IF(T135&lt;=eco,alpha*fck*(1-(1-T135/eco)^n),alpha*fck),0)</f>
      </c>
      <c r="V135" s="30">
        <f>PM_Angle!$J$13+PM_Angle!$K$13*$C135+PM_Angle!$L$13*$B135</f>
      </c>
      <c r="W135" s="12">
        <f>IF(V135&gt;0,IF(V135&lt;=eco,alpha*fck*(1-(1-V135/eco)^n),alpha*fck),0)</f>
      </c>
      <c r="X135" s="30">
        <f>PM_Angle!$J$14+PM_Angle!$K$14*$C135+PM_Angle!$L$14*$B135</f>
      </c>
      <c r="Y135" s="12">
        <f>IF(X135&gt;0,IF(X135&lt;=eco,alpha*fck*(1-(1-X135/eco)^n),alpha*fck),0)</f>
      </c>
      <c r="Z135" s="30">
        <f>PM_Angle!$J$15+PM_Angle!$K$15*$C135+PM_Angle!$L$15*$B135</f>
      </c>
      <c r="AA135" s="12">
        <f>IF(Z135&gt;0,IF(Z135&lt;=eco,alpha*fck*(1-(1-Z135/eco)^n),alpha*fck),0)</f>
      </c>
      <c r="AB135" s="30">
        <f>PM_Angle!$J$16+PM_Angle!$K$16*$C135+PM_Angle!$L$16*$B135</f>
      </c>
      <c r="AC135" s="12">
        <f>IF(AB135&gt;0,IF(AB135&lt;=eco,alpha*fck*(1-(1-AB135/eco)^n),alpha*fck),0)</f>
      </c>
      <c r="AD135" s="30">
        <f>PM_Angle!$J$17+PM_Angle!$K$17*$C135+PM_Angle!$L$17*$B135</f>
      </c>
      <c r="AE135" s="12">
        <f>IF(AD135&gt;0,IF(AD135&lt;=eco,alpha*fck*(1-(1-AD135/eco)^n),alpha*fck),0)</f>
      </c>
      <c r="AF135" s="30">
        <f>PM_Angle!$J$18+PM_Angle!$K$18*$C135+PM_Angle!$L$18*$B135</f>
      </c>
      <c r="AG135" s="12">
        <f>IF(AF135&gt;0,IF(AF135&lt;=eco,alpha*fck*(1-(1-AF135/eco)^n),alpha*fck),0)</f>
      </c>
      <c r="AH135" s="30">
        <f>PM_Angle!$J$19+PM_Angle!$K$19*$C135+PM_Angle!$L$19*$B135</f>
      </c>
      <c r="AI135" s="12">
        <f>IF(AH135&gt;0,IF(AH135&lt;=eco,alpha*fck*(1-(1-AH135/eco)^n),alpha*fck),0)</f>
      </c>
      <c r="AJ135" s="30">
        <f>PM_Angle!$J$20+PM_Angle!$K$20*$C135+PM_Angle!$L$20*$B135</f>
      </c>
      <c r="AK135" s="12">
        <f>IF(AJ135&gt;0,IF(AJ135&lt;=eco,alpha*fck*(1-(1-AJ135/eco)^n),alpha*fck),0)</f>
      </c>
      <c r="AL135" s="30">
        <f>PM_Angle!$J$21+PM_Angle!$K$21*$C135+PM_Angle!$L$21*$B135</f>
      </c>
      <c r="AM135" s="12">
        <f>IF(AL135&gt;0,IF(AL135&lt;=eco,alpha*fck*(1-(1-AL135/eco)^n),alpha*fck),0)</f>
      </c>
      <c r="AN135" s="30">
        <f>PM_Angle!$J$22+PM_Angle!$K$22*$C135+PM_Angle!$L$22*$B135</f>
      </c>
      <c r="AO135" s="12">
        <f>IF(AN135&gt;0,IF(AN135&lt;=eco,alpha*fck*(1-(1-AN135/eco)^n),alpha*fck),0)</f>
      </c>
      <c r="AP135" s="30">
        <f>PM_Angle!$J$23+PM_Angle!$K$23*$C135+PM_Angle!$L$23*$B135</f>
      </c>
      <c r="AQ135" s="12">
        <f>IF(AP135&gt;0,IF(AP135&lt;=eco,alpha*fck*(1-(1-AP135/eco)^n),alpha*fck),0)</f>
      </c>
      <c r="AR135" s="30">
        <f>PM_Angle!$J$24+PM_Angle!$K$24*$C135+PM_Angle!$L$24*$B135</f>
      </c>
      <c r="AS135" s="12">
        <f>IF(AR135&gt;0,IF(AR135&lt;=eco,alpha*fck*(1-(1-AR135/eco)^n),alpha*fck),0)</f>
      </c>
      <c r="AT135" s="30">
        <f>PM_Angle!$J$25+PM_Angle!$K$25*$C135+PM_Angle!$L$25*$B135</f>
      </c>
      <c r="AU135" s="12">
        <f>IF(AT135&gt;0,IF(AT135&lt;=eco,alpha*fck*(1-(1-AT135/eco)^n),alpha*fck),0)</f>
      </c>
    </row>
    <row r="136" spans="1:47" x14ac:dyDescent="0.25">
      <c r="A136">
        <f>Mesh!A133</f>
      </c>
      <c r="B136" s="12">
        <f>Mesh!B133</f>
      </c>
      <c r="C136" s="12">
        <f>Mesh!C133</f>
      </c>
      <c r="D136" s="12">
        <f>Mesh!D133</f>
      </c>
      <c r="E136" s="30">
        <f>INDEX(St_e0,Det+1)+INDEX(St_kx,Det+1)*C136+INDEX(St_ky,Det+1)*B136</f>
      </c>
      <c r="F136" s="12">
        <f>IF(E136&gt;0,IF(E136&lt;=eco,alpha*fck*(1-(1-E136/eco)^n),alpha*fck),0)</f>
      </c>
      <c r="G136" s="11">
        <f>F136*D136</f>
      </c>
      <c r="H136" s="11">
        <f>G136*C136</f>
      </c>
      <c r="I136" s="11">
        <f>G136*B136</f>
      </c>
      <c r="J136" s="30">
        <f>PM_Angle!$J$7+PM_Angle!$K$7*$C136+PM_Angle!$L$7*$B136</f>
      </c>
      <c r="K136" s="12">
        <f>IF(J136&gt;0,IF(J136&lt;=eco,alpha*fck*(1-(1-J136/eco)^n),alpha*fck),0)</f>
      </c>
      <c r="L136" s="30">
        <f>PM_Angle!$J$8+PM_Angle!$K$8*$C136+PM_Angle!$L$8*$B136</f>
      </c>
      <c r="M136" s="12">
        <f>IF(L136&gt;0,IF(L136&lt;=eco,alpha*fck*(1-(1-L136/eco)^n),alpha*fck),0)</f>
      </c>
      <c r="N136" s="30">
        <f>PM_Angle!$J$9+PM_Angle!$K$9*$C136+PM_Angle!$L$9*$B136</f>
      </c>
      <c r="O136" s="12">
        <f>IF(N136&gt;0,IF(N136&lt;=eco,alpha*fck*(1-(1-N136/eco)^n),alpha*fck),0)</f>
      </c>
      <c r="P136" s="30">
        <f>PM_Angle!$J$10+PM_Angle!$K$10*$C136+PM_Angle!$L$10*$B136</f>
      </c>
      <c r="Q136" s="12">
        <f>IF(P136&gt;0,IF(P136&lt;=eco,alpha*fck*(1-(1-P136/eco)^n),alpha*fck),0)</f>
      </c>
      <c r="R136" s="30">
        <f>PM_Angle!$J$11+PM_Angle!$K$11*$C136+PM_Angle!$L$11*$B136</f>
      </c>
      <c r="S136" s="12">
        <f>IF(R136&gt;0,IF(R136&lt;=eco,alpha*fck*(1-(1-R136/eco)^n),alpha*fck),0)</f>
      </c>
      <c r="T136" s="30">
        <f>PM_Angle!$J$12+PM_Angle!$K$12*$C136+PM_Angle!$L$12*$B136</f>
      </c>
      <c r="U136" s="12">
        <f>IF(T136&gt;0,IF(T136&lt;=eco,alpha*fck*(1-(1-T136/eco)^n),alpha*fck),0)</f>
      </c>
      <c r="V136" s="30">
        <f>PM_Angle!$J$13+PM_Angle!$K$13*$C136+PM_Angle!$L$13*$B136</f>
      </c>
      <c r="W136" s="12">
        <f>IF(V136&gt;0,IF(V136&lt;=eco,alpha*fck*(1-(1-V136/eco)^n),alpha*fck),0)</f>
      </c>
      <c r="X136" s="30">
        <f>PM_Angle!$J$14+PM_Angle!$K$14*$C136+PM_Angle!$L$14*$B136</f>
      </c>
      <c r="Y136" s="12">
        <f>IF(X136&gt;0,IF(X136&lt;=eco,alpha*fck*(1-(1-X136/eco)^n),alpha*fck),0)</f>
      </c>
      <c r="Z136" s="30">
        <f>PM_Angle!$J$15+PM_Angle!$K$15*$C136+PM_Angle!$L$15*$B136</f>
      </c>
      <c r="AA136" s="12">
        <f>IF(Z136&gt;0,IF(Z136&lt;=eco,alpha*fck*(1-(1-Z136/eco)^n),alpha*fck),0)</f>
      </c>
      <c r="AB136" s="30">
        <f>PM_Angle!$J$16+PM_Angle!$K$16*$C136+PM_Angle!$L$16*$B136</f>
      </c>
      <c r="AC136" s="12">
        <f>IF(AB136&gt;0,IF(AB136&lt;=eco,alpha*fck*(1-(1-AB136/eco)^n),alpha*fck),0)</f>
      </c>
      <c r="AD136" s="30">
        <f>PM_Angle!$J$17+PM_Angle!$K$17*$C136+PM_Angle!$L$17*$B136</f>
      </c>
      <c r="AE136" s="12">
        <f>IF(AD136&gt;0,IF(AD136&lt;=eco,alpha*fck*(1-(1-AD136/eco)^n),alpha*fck),0)</f>
      </c>
      <c r="AF136" s="30">
        <f>PM_Angle!$J$18+PM_Angle!$K$18*$C136+PM_Angle!$L$18*$B136</f>
      </c>
      <c r="AG136" s="12">
        <f>IF(AF136&gt;0,IF(AF136&lt;=eco,alpha*fck*(1-(1-AF136/eco)^n),alpha*fck),0)</f>
      </c>
      <c r="AH136" s="30">
        <f>PM_Angle!$J$19+PM_Angle!$K$19*$C136+PM_Angle!$L$19*$B136</f>
      </c>
      <c r="AI136" s="12">
        <f>IF(AH136&gt;0,IF(AH136&lt;=eco,alpha*fck*(1-(1-AH136/eco)^n),alpha*fck),0)</f>
      </c>
      <c r="AJ136" s="30">
        <f>PM_Angle!$J$20+PM_Angle!$K$20*$C136+PM_Angle!$L$20*$B136</f>
      </c>
      <c r="AK136" s="12">
        <f>IF(AJ136&gt;0,IF(AJ136&lt;=eco,alpha*fck*(1-(1-AJ136/eco)^n),alpha*fck),0)</f>
      </c>
      <c r="AL136" s="30">
        <f>PM_Angle!$J$21+PM_Angle!$K$21*$C136+PM_Angle!$L$21*$B136</f>
      </c>
      <c r="AM136" s="12">
        <f>IF(AL136&gt;0,IF(AL136&lt;=eco,alpha*fck*(1-(1-AL136/eco)^n),alpha*fck),0)</f>
      </c>
      <c r="AN136" s="30">
        <f>PM_Angle!$J$22+PM_Angle!$K$22*$C136+PM_Angle!$L$22*$B136</f>
      </c>
      <c r="AO136" s="12">
        <f>IF(AN136&gt;0,IF(AN136&lt;=eco,alpha*fck*(1-(1-AN136/eco)^n),alpha*fck),0)</f>
      </c>
      <c r="AP136" s="30">
        <f>PM_Angle!$J$23+PM_Angle!$K$23*$C136+PM_Angle!$L$23*$B136</f>
      </c>
      <c r="AQ136" s="12">
        <f>IF(AP136&gt;0,IF(AP136&lt;=eco,alpha*fck*(1-(1-AP136/eco)^n),alpha*fck),0)</f>
      </c>
      <c r="AR136" s="30">
        <f>PM_Angle!$J$24+PM_Angle!$K$24*$C136+PM_Angle!$L$24*$B136</f>
      </c>
      <c r="AS136" s="12">
        <f>IF(AR136&gt;0,IF(AR136&lt;=eco,alpha*fck*(1-(1-AR136/eco)^n),alpha*fck),0)</f>
      </c>
      <c r="AT136" s="30">
        <f>PM_Angle!$J$25+PM_Angle!$K$25*$C136+PM_Angle!$L$25*$B136</f>
      </c>
      <c r="AU136" s="12">
        <f>IF(AT136&gt;0,IF(AT136&lt;=eco,alpha*fck*(1-(1-AT136/eco)^n),alpha*fck),0)</f>
      </c>
    </row>
    <row r="137" spans="1:47" x14ac:dyDescent="0.25">
      <c r="A137">
        <f>Mesh!A134</f>
      </c>
      <c r="B137" s="12">
        <f>Mesh!B134</f>
      </c>
      <c r="C137" s="12">
        <f>Mesh!C134</f>
      </c>
      <c r="D137" s="12">
        <f>Mesh!D134</f>
      </c>
      <c r="E137" s="30">
        <f>INDEX(St_e0,Det+1)+INDEX(St_kx,Det+1)*C137+INDEX(St_ky,Det+1)*B137</f>
      </c>
      <c r="F137" s="12">
        <f>IF(E137&gt;0,IF(E137&lt;=eco,alpha*fck*(1-(1-E137/eco)^n),alpha*fck),0)</f>
      </c>
      <c r="G137" s="11">
        <f>F137*D137</f>
      </c>
      <c r="H137" s="11">
        <f>G137*C137</f>
      </c>
      <c r="I137" s="11">
        <f>G137*B137</f>
      </c>
      <c r="J137" s="30">
        <f>PM_Angle!$J$7+PM_Angle!$K$7*$C137+PM_Angle!$L$7*$B137</f>
      </c>
      <c r="K137" s="12">
        <f>IF(J137&gt;0,IF(J137&lt;=eco,alpha*fck*(1-(1-J137/eco)^n),alpha*fck),0)</f>
      </c>
      <c r="L137" s="30">
        <f>PM_Angle!$J$8+PM_Angle!$K$8*$C137+PM_Angle!$L$8*$B137</f>
      </c>
      <c r="M137" s="12">
        <f>IF(L137&gt;0,IF(L137&lt;=eco,alpha*fck*(1-(1-L137/eco)^n),alpha*fck),0)</f>
      </c>
      <c r="N137" s="30">
        <f>PM_Angle!$J$9+PM_Angle!$K$9*$C137+PM_Angle!$L$9*$B137</f>
      </c>
      <c r="O137" s="12">
        <f>IF(N137&gt;0,IF(N137&lt;=eco,alpha*fck*(1-(1-N137/eco)^n),alpha*fck),0)</f>
      </c>
      <c r="P137" s="30">
        <f>PM_Angle!$J$10+PM_Angle!$K$10*$C137+PM_Angle!$L$10*$B137</f>
      </c>
      <c r="Q137" s="12">
        <f>IF(P137&gt;0,IF(P137&lt;=eco,alpha*fck*(1-(1-P137/eco)^n),alpha*fck),0)</f>
      </c>
      <c r="R137" s="30">
        <f>PM_Angle!$J$11+PM_Angle!$K$11*$C137+PM_Angle!$L$11*$B137</f>
      </c>
      <c r="S137" s="12">
        <f>IF(R137&gt;0,IF(R137&lt;=eco,alpha*fck*(1-(1-R137/eco)^n),alpha*fck),0)</f>
      </c>
      <c r="T137" s="30">
        <f>PM_Angle!$J$12+PM_Angle!$K$12*$C137+PM_Angle!$L$12*$B137</f>
      </c>
      <c r="U137" s="12">
        <f>IF(T137&gt;0,IF(T137&lt;=eco,alpha*fck*(1-(1-T137/eco)^n),alpha*fck),0)</f>
      </c>
      <c r="V137" s="30">
        <f>PM_Angle!$J$13+PM_Angle!$K$13*$C137+PM_Angle!$L$13*$B137</f>
      </c>
      <c r="W137" s="12">
        <f>IF(V137&gt;0,IF(V137&lt;=eco,alpha*fck*(1-(1-V137/eco)^n),alpha*fck),0)</f>
      </c>
      <c r="X137" s="30">
        <f>PM_Angle!$J$14+PM_Angle!$K$14*$C137+PM_Angle!$L$14*$B137</f>
      </c>
      <c r="Y137" s="12">
        <f>IF(X137&gt;0,IF(X137&lt;=eco,alpha*fck*(1-(1-X137/eco)^n),alpha*fck),0)</f>
      </c>
      <c r="Z137" s="30">
        <f>PM_Angle!$J$15+PM_Angle!$K$15*$C137+PM_Angle!$L$15*$B137</f>
      </c>
      <c r="AA137" s="12">
        <f>IF(Z137&gt;0,IF(Z137&lt;=eco,alpha*fck*(1-(1-Z137/eco)^n),alpha*fck),0)</f>
      </c>
      <c r="AB137" s="30">
        <f>PM_Angle!$J$16+PM_Angle!$K$16*$C137+PM_Angle!$L$16*$B137</f>
      </c>
      <c r="AC137" s="12">
        <f>IF(AB137&gt;0,IF(AB137&lt;=eco,alpha*fck*(1-(1-AB137/eco)^n),alpha*fck),0)</f>
      </c>
      <c r="AD137" s="30">
        <f>PM_Angle!$J$17+PM_Angle!$K$17*$C137+PM_Angle!$L$17*$B137</f>
      </c>
      <c r="AE137" s="12">
        <f>IF(AD137&gt;0,IF(AD137&lt;=eco,alpha*fck*(1-(1-AD137/eco)^n),alpha*fck),0)</f>
      </c>
      <c r="AF137" s="30">
        <f>PM_Angle!$J$18+PM_Angle!$K$18*$C137+PM_Angle!$L$18*$B137</f>
      </c>
      <c r="AG137" s="12">
        <f>IF(AF137&gt;0,IF(AF137&lt;=eco,alpha*fck*(1-(1-AF137/eco)^n),alpha*fck),0)</f>
      </c>
      <c r="AH137" s="30">
        <f>PM_Angle!$J$19+PM_Angle!$K$19*$C137+PM_Angle!$L$19*$B137</f>
      </c>
      <c r="AI137" s="12">
        <f>IF(AH137&gt;0,IF(AH137&lt;=eco,alpha*fck*(1-(1-AH137/eco)^n),alpha*fck),0)</f>
      </c>
      <c r="AJ137" s="30">
        <f>PM_Angle!$J$20+PM_Angle!$K$20*$C137+PM_Angle!$L$20*$B137</f>
      </c>
      <c r="AK137" s="12">
        <f>IF(AJ137&gt;0,IF(AJ137&lt;=eco,alpha*fck*(1-(1-AJ137/eco)^n),alpha*fck),0)</f>
      </c>
      <c r="AL137" s="30">
        <f>PM_Angle!$J$21+PM_Angle!$K$21*$C137+PM_Angle!$L$21*$B137</f>
      </c>
      <c r="AM137" s="12">
        <f>IF(AL137&gt;0,IF(AL137&lt;=eco,alpha*fck*(1-(1-AL137/eco)^n),alpha*fck),0)</f>
      </c>
      <c r="AN137" s="30">
        <f>PM_Angle!$J$22+PM_Angle!$K$22*$C137+PM_Angle!$L$22*$B137</f>
      </c>
      <c r="AO137" s="12">
        <f>IF(AN137&gt;0,IF(AN137&lt;=eco,alpha*fck*(1-(1-AN137/eco)^n),alpha*fck),0)</f>
      </c>
      <c r="AP137" s="30">
        <f>PM_Angle!$J$23+PM_Angle!$K$23*$C137+PM_Angle!$L$23*$B137</f>
      </c>
      <c r="AQ137" s="12">
        <f>IF(AP137&gt;0,IF(AP137&lt;=eco,alpha*fck*(1-(1-AP137/eco)^n),alpha*fck),0)</f>
      </c>
      <c r="AR137" s="30">
        <f>PM_Angle!$J$24+PM_Angle!$K$24*$C137+PM_Angle!$L$24*$B137</f>
      </c>
      <c r="AS137" s="12">
        <f>IF(AR137&gt;0,IF(AR137&lt;=eco,alpha*fck*(1-(1-AR137/eco)^n),alpha*fck),0)</f>
      </c>
      <c r="AT137" s="30">
        <f>PM_Angle!$J$25+PM_Angle!$K$25*$C137+PM_Angle!$L$25*$B137</f>
      </c>
      <c r="AU137" s="12">
        <f>IF(AT137&gt;0,IF(AT137&lt;=eco,alpha*fck*(1-(1-AT137/eco)^n),alpha*fck),0)</f>
      </c>
    </row>
    <row r="138" spans="1:47" x14ac:dyDescent="0.25">
      <c r="A138">
        <f>Mesh!A135</f>
      </c>
      <c r="B138" s="12">
        <f>Mesh!B135</f>
      </c>
      <c r="C138" s="12">
        <f>Mesh!C135</f>
      </c>
      <c r="D138" s="12">
        <f>Mesh!D135</f>
      </c>
      <c r="E138" s="30">
        <f>INDEX(St_e0,Det+1)+INDEX(St_kx,Det+1)*C138+INDEX(St_ky,Det+1)*B138</f>
      </c>
      <c r="F138" s="12">
        <f>IF(E138&gt;0,IF(E138&lt;=eco,alpha*fck*(1-(1-E138/eco)^n),alpha*fck),0)</f>
      </c>
      <c r="G138" s="11">
        <f>F138*D138</f>
      </c>
      <c r="H138" s="11">
        <f>G138*C138</f>
      </c>
      <c r="I138" s="11">
        <f>G138*B138</f>
      </c>
      <c r="J138" s="30">
        <f>PM_Angle!$J$7+PM_Angle!$K$7*$C138+PM_Angle!$L$7*$B138</f>
      </c>
      <c r="K138" s="12">
        <f>IF(J138&gt;0,IF(J138&lt;=eco,alpha*fck*(1-(1-J138/eco)^n),alpha*fck),0)</f>
      </c>
      <c r="L138" s="30">
        <f>PM_Angle!$J$8+PM_Angle!$K$8*$C138+PM_Angle!$L$8*$B138</f>
      </c>
      <c r="M138" s="12">
        <f>IF(L138&gt;0,IF(L138&lt;=eco,alpha*fck*(1-(1-L138/eco)^n),alpha*fck),0)</f>
      </c>
      <c r="N138" s="30">
        <f>PM_Angle!$J$9+PM_Angle!$K$9*$C138+PM_Angle!$L$9*$B138</f>
      </c>
      <c r="O138" s="12">
        <f>IF(N138&gt;0,IF(N138&lt;=eco,alpha*fck*(1-(1-N138/eco)^n),alpha*fck),0)</f>
      </c>
      <c r="P138" s="30">
        <f>PM_Angle!$J$10+PM_Angle!$K$10*$C138+PM_Angle!$L$10*$B138</f>
      </c>
      <c r="Q138" s="12">
        <f>IF(P138&gt;0,IF(P138&lt;=eco,alpha*fck*(1-(1-P138/eco)^n),alpha*fck),0)</f>
      </c>
      <c r="R138" s="30">
        <f>PM_Angle!$J$11+PM_Angle!$K$11*$C138+PM_Angle!$L$11*$B138</f>
      </c>
      <c r="S138" s="12">
        <f>IF(R138&gt;0,IF(R138&lt;=eco,alpha*fck*(1-(1-R138/eco)^n),alpha*fck),0)</f>
      </c>
      <c r="T138" s="30">
        <f>PM_Angle!$J$12+PM_Angle!$K$12*$C138+PM_Angle!$L$12*$B138</f>
      </c>
      <c r="U138" s="12">
        <f>IF(T138&gt;0,IF(T138&lt;=eco,alpha*fck*(1-(1-T138/eco)^n),alpha*fck),0)</f>
      </c>
      <c r="V138" s="30">
        <f>PM_Angle!$J$13+PM_Angle!$K$13*$C138+PM_Angle!$L$13*$B138</f>
      </c>
      <c r="W138" s="12">
        <f>IF(V138&gt;0,IF(V138&lt;=eco,alpha*fck*(1-(1-V138/eco)^n),alpha*fck),0)</f>
      </c>
      <c r="X138" s="30">
        <f>PM_Angle!$J$14+PM_Angle!$K$14*$C138+PM_Angle!$L$14*$B138</f>
      </c>
      <c r="Y138" s="12">
        <f>IF(X138&gt;0,IF(X138&lt;=eco,alpha*fck*(1-(1-X138/eco)^n),alpha*fck),0)</f>
      </c>
      <c r="Z138" s="30">
        <f>PM_Angle!$J$15+PM_Angle!$K$15*$C138+PM_Angle!$L$15*$B138</f>
      </c>
      <c r="AA138" s="12">
        <f>IF(Z138&gt;0,IF(Z138&lt;=eco,alpha*fck*(1-(1-Z138/eco)^n),alpha*fck),0)</f>
      </c>
      <c r="AB138" s="30">
        <f>PM_Angle!$J$16+PM_Angle!$K$16*$C138+PM_Angle!$L$16*$B138</f>
      </c>
      <c r="AC138" s="12">
        <f>IF(AB138&gt;0,IF(AB138&lt;=eco,alpha*fck*(1-(1-AB138/eco)^n),alpha*fck),0)</f>
      </c>
      <c r="AD138" s="30">
        <f>PM_Angle!$J$17+PM_Angle!$K$17*$C138+PM_Angle!$L$17*$B138</f>
      </c>
      <c r="AE138" s="12">
        <f>IF(AD138&gt;0,IF(AD138&lt;=eco,alpha*fck*(1-(1-AD138/eco)^n),alpha*fck),0)</f>
      </c>
      <c r="AF138" s="30">
        <f>PM_Angle!$J$18+PM_Angle!$K$18*$C138+PM_Angle!$L$18*$B138</f>
      </c>
      <c r="AG138" s="12">
        <f>IF(AF138&gt;0,IF(AF138&lt;=eco,alpha*fck*(1-(1-AF138/eco)^n),alpha*fck),0)</f>
      </c>
      <c r="AH138" s="30">
        <f>PM_Angle!$J$19+PM_Angle!$K$19*$C138+PM_Angle!$L$19*$B138</f>
      </c>
      <c r="AI138" s="12">
        <f>IF(AH138&gt;0,IF(AH138&lt;=eco,alpha*fck*(1-(1-AH138/eco)^n),alpha*fck),0)</f>
      </c>
      <c r="AJ138" s="30">
        <f>PM_Angle!$J$20+PM_Angle!$K$20*$C138+PM_Angle!$L$20*$B138</f>
      </c>
      <c r="AK138" s="12">
        <f>IF(AJ138&gt;0,IF(AJ138&lt;=eco,alpha*fck*(1-(1-AJ138/eco)^n),alpha*fck),0)</f>
      </c>
      <c r="AL138" s="30">
        <f>PM_Angle!$J$21+PM_Angle!$K$21*$C138+PM_Angle!$L$21*$B138</f>
      </c>
      <c r="AM138" s="12">
        <f>IF(AL138&gt;0,IF(AL138&lt;=eco,alpha*fck*(1-(1-AL138/eco)^n),alpha*fck),0)</f>
      </c>
      <c r="AN138" s="30">
        <f>PM_Angle!$J$22+PM_Angle!$K$22*$C138+PM_Angle!$L$22*$B138</f>
      </c>
      <c r="AO138" s="12">
        <f>IF(AN138&gt;0,IF(AN138&lt;=eco,alpha*fck*(1-(1-AN138/eco)^n),alpha*fck),0)</f>
      </c>
      <c r="AP138" s="30">
        <f>PM_Angle!$J$23+PM_Angle!$K$23*$C138+PM_Angle!$L$23*$B138</f>
      </c>
      <c r="AQ138" s="12">
        <f>IF(AP138&gt;0,IF(AP138&lt;=eco,alpha*fck*(1-(1-AP138/eco)^n),alpha*fck),0)</f>
      </c>
      <c r="AR138" s="30">
        <f>PM_Angle!$J$24+PM_Angle!$K$24*$C138+PM_Angle!$L$24*$B138</f>
      </c>
      <c r="AS138" s="12">
        <f>IF(AR138&gt;0,IF(AR138&lt;=eco,alpha*fck*(1-(1-AR138/eco)^n),alpha*fck),0)</f>
      </c>
      <c r="AT138" s="30">
        <f>PM_Angle!$J$25+PM_Angle!$K$25*$C138+PM_Angle!$L$25*$B138</f>
      </c>
      <c r="AU138" s="12">
        <f>IF(AT138&gt;0,IF(AT138&lt;=eco,alpha*fck*(1-(1-AT138/eco)^n),alpha*fck),0)</f>
      </c>
    </row>
    <row r="139" spans="1:47" x14ac:dyDescent="0.25">
      <c r="A139">
        <f>Mesh!A136</f>
      </c>
      <c r="B139" s="12">
        <f>Mesh!B136</f>
      </c>
      <c r="C139" s="12">
        <f>Mesh!C136</f>
      </c>
      <c r="D139" s="12">
        <f>Mesh!D136</f>
      </c>
      <c r="E139" s="30">
        <f>INDEX(St_e0,Det+1)+INDEX(St_kx,Det+1)*C139+INDEX(St_ky,Det+1)*B139</f>
      </c>
      <c r="F139" s="12">
        <f>IF(E139&gt;0,IF(E139&lt;=eco,alpha*fck*(1-(1-E139/eco)^n),alpha*fck),0)</f>
      </c>
      <c r="G139" s="11">
        <f>F139*D139</f>
      </c>
      <c r="H139" s="11">
        <f>G139*C139</f>
      </c>
      <c r="I139" s="11">
        <f>G139*B139</f>
      </c>
      <c r="J139" s="30">
        <f>PM_Angle!$J$7+PM_Angle!$K$7*$C139+PM_Angle!$L$7*$B139</f>
      </c>
      <c r="K139" s="12">
        <f>IF(J139&gt;0,IF(J139&lt;=eco,alpha*fck*(1-(1-J139/eco)^n),alpha*fck),0)</f>
      </c>
      <c r="L139" s="30">
        <f>PM_Angle!$J$8+PM_Angle!$K$8*$C139+PM_Angle!$L$8*$B139</f>
      </c>
      <c r="M139" s="12">
        <f>IF(L139&gt;0,IF(L139&lt;=eco,alpha*fck*(1-(1-L139/eco)^n),alpha*fck),0)</f>
      </c>
      <c r="N139" s="30">
        <f>PM_Angle!$J$9+PM_Angle!$K$9*$C139+PM_Angle!$L$9*$B139</f>
      </c>
      <c r="O139" s="12">
        <f>IF(N139&gt;0,IF(N139&lt;=eco,alpha*fck*(1-(1-N139/eco)^n),alpha*fck),0)</f>
      </c>
      <c r="P139" s="30">
        <f>PM_Angle!$J$10+PM_Angle!$K$10*$C139+PM_Angle!$L$10*$B139</f>
      </c>
      <c r="Q139" s="12">
        <f>IF(P139&gt;0,IF(P139&lt;=eco,alpha*fck*(1-(1-P139/eco)^n),alpha*fck),0)</f>
      </c>
      <c r="R139" s="30">
        <f>PM_Angle!$J$11+PM_Angle!$K$11*$C139+PM_Angle!$L$11*$B139</f>
      </c>
      <c r="S139" s="12">
        <f>IF(R139&gt;0,IF(R139&lt;=eco,alpha*fck*(1-(1-R139/eco)^n),alpha*fck),0)</f>
      </c>
      <c r="T139" s="30">
        <f>PM_Angle!$J$12+PM_Angle!$K$12*$C139+PM_Angle!$L$12*$B139</f>
      </c>
      <c r="U139" s="12">
        <f>IF(T139&gt;0,IF(T139&lt;=eco,alpha*fck*(1-(1-T139/eco)^n),alpha*fck),0)</f>
      </c>
      <c r="V139" s="30">
        <f>PM_Angle!$J$13+PM_Angle!$K$13*$C139+PM_Angle!$L$13*$B139</f>
      </c>
      <c r="W139" s="12">
        <f>IF(V139&gt;0,IF(V139&lt;=eco,alpha*fck*(1-(1-V139/eco)^n),alpha*fck),0)</f>
      </c>
      <c r="X139" s="30">
        <f>PM_Angle!$J$14+PM_Angle!$K$14*$C139+PM_Angle!$L$14*$B139</f>
      </c>
      <c r="Y139" s="12">
        <f>IF(X139&gt;0,IF(X139&lt;=eco,alpha*fck*(1-(1-X139/eco)^n),alpha*fck),0)</f>
      </c>
      <c r="Z139" s="30">
        <f>PM_Angle!$J$15+PM_Angle!$K$15*$C139+PM_Angle!$L$15*$B139</f>
      </c>
      <c r="AA139" s="12">
        <f>IF(Z139&gt;0,IF(Z139&lt;=eco,alpha*fck*(1-(1-Z139/eco)^n),alpha*fck),0)</f>
      </c>
      <c r="AB139" s="30">
        <f>PM_Angle!$J$16+PM_Angle!$K$16*$C139+PM_Angle!$L$16*$B139</f>
      </c>
      <c r="AC139" s="12">
        <f>IF(AB139&gt;0,IF(AB139&lt;=eco,alpha*fck*(1-(1-AB139/eco)^n),alpha*fck),0)</f>
      </c>
      <c r="AD139" s="30">
        <f>PM_Angle!$J$17+PM_Angle!$K$17*$C139+PM_Angle!$L$17*$B139</f>
      </c>
      <c r="AE139" s="12">
        <f>IF(AD139&gt;0,IF(AD139&lt;=eco,alpha*fck*(1-(1-AD139/eco)^n),alpha*fck),0)</f>
      </c>
      <c r="AF139" s="30">
        <f>PM_Angle!$J$18+PM_Angle!$K$18*$C139+PM_Angle!$L$18*$B139</f>
      </c>
      <c r="AG139" s="12">
        <f>IF(AF139&gt;0,IF(AF139&lt;=eco,alpha*fck*(1-(1-AF139/eco)^n),alpha*fck),0)</f>
      </c>
      <c r="AH139" s="30">
        <f>PM_Angle!$J$19+PM_Angle!$K$19*$C139+PM_Angle!$L$19*$B139</f>
      </c>
      <c r="AI139" s="12">
        <f>IF(AH139&gt;0,IF(AH139&lt;=eco,alpha*fck*(1-(1-AH139/eco)^n),alpha*fck),0)</f>
      </c>
      <c r="AJ139" s="30">
        <f>PM_Angle!$J$20+PM_Angle!$K$20*$C139+PM_Angle!$L$20*$B139</f>
      </c>
      <c r="AK139" s="12">
        <f>IF(AJ139&gt;0,IF(AJ139&lt;=eco,alpha*fck*(1-(1-AJ139/eco)^n),alpha*fck),0)</f>
      </c>
      <c r="AL139" s="30">
        <f>PM_Angle!$J$21+PM_Angle!$K$21*$C139+PM_Angle!$L$21*$B139</f>
      </c>
      <c r="AM139" s="12">
        <f>IF(AL139&gt;0,IF(AL139&lt;=eco,alpha*fck*(1-(1-AL139/eco)^n),alpha*fck),0)</f>
      </c>
      <c r="AN139" s="30">
        <f>PM_Angle!$J$22+PM_Angle!$K$22*$C139+PM_Angle!$L$22*$B139</f>
      </c>
      <c r="AO139" s="12">
        <f>IF(AN139&gt;0,IF(AN139&lt;=eco,alpha*fck*(1-(1-AN139/eco)^n),alpha*fck),0)</f>
      </c>
      <c r="AP139" s="30">
        <f>PM_Angle!$J$23+PM_Angle!$K$23*$C139+PM_Angle!$L$23*$B139</f>
      </c>
      <c r="AQ139" s="12">
        <f>IF(AP139&gt;0,IF(AP139&lt;=eco,alpha*fck*(1-(1-AP139/eco)^n),alpha*fck),0)</f>
      </c>
      <c r="AR139" s="30">
        <f>PM_Angle!$J$24+PM_Angle!$K$24*$C139+PM_Angle!$L$24*$B139</f>
      </c>
      <c r="AS139" s="12">
        <f>IF(AR139&gt;0,IF(AR139&lt;=eco,alpha*fck*(1-(1-AR139/eco)^n),alpha*fck),0)</f>
      </c>
      <c r="AT139" s="30">
        <f>PM_Angle!$J$25+PM_Angle!$K$25*$C139+PM_Angle!$L$25*$B139</f>
      </c>
      <c r="AU139" s="12">
        <f>IF(AT139&gt;0,IF(AT139&lt;=eco,alpha*fck*(1-(1-AT139/eco)^n),alpha*fck),0)</f>
      </c>
    </row>
    <row r="140" spans="1:47" x14ac:dyDescent="0.25">
      <c r="A140">
        <f>Mesh!A137</f>
      </c>
      <c r="B140" s="12">
        <f>Mesh!B137</f>
      </c>
      <c r="C140" s="12">
        <f>Mesh!C137</f>
      </c>
      <c r="D140" s="12">
        <f>Mesh!D137</f>
      </c>
      <c r="E140" s="30">
        <f>INDEX(St_e0,Det+1)+INDEX(St_kx,Det+1)*C140+INDEX(St_ky,Det+1)*B140</f>
      </c>
      <c r="F140" s="12">
        <f>IF(E140&gt;0,IF(E140&lt;=eco,alpha*fck*(1-(1-E140/eco)^n),alpha*fck),0)</f>
      </c>
      <c r="G140" s="11">
        <f>F140*D140</f>
      </c>
      <c r="H140" s="11">
        <f>G140*C140</f>
      </c>
      <c r="I140" s="11">
        <f>G140*B140</f>
      </c>
      <c r="J140" s="30">
        <f>PM_Angle!$J$7+PM_Angle!$K$7*$C140+PM_Angle!$L$7*$B140</f>
      </c>
      <c r="K140" s="12">
        <f>IF(J140&gt;0,IF(J140&lt;=eco,alpha*fck*(1-(1-J140/eco)^n),alpha*fck),0)</f>
      </c>
      <c r="L140" s="30">
        <f>PM_Angle!$J$8+PM_Angle!$K$8*$C140+PM_Angle!$L$8*$B140</f>
      </c>
      <c r="M140" s="12">
        <f>IF(L140&gt;0,IF(L140&lt;=eco,alpha*fck*(1-(1-L140/eco)^n),alpha*fck),0)</f>
      </c>
      <c r="N140" s="30">
        <f>PM_Angle!$J$9+PM_Angle!$K$9*$C140+PM_Angle!$L$9*$B140</f>
      </c>
      <c r="O140" s="12">
        <f>IF(N140&gt;0,IF(N140&lt;=eco,alpha*fck*(1-(1-N140/eco)^n),alpha*fck),0)</f>
      </c>
      <c r="P140" s="30">
        <f>PM_Angle!$J$10+PM_Angle!$K$10*$C140+PM_Angle!$L$10*$B140</f>
      </c>
      <c r="Q140" s="12">
        <f>IF(P140&gt;0,IF(P140&lt;=eco,alpha*fck*(1-(1-P140/eco)^n),alpha*fck),0)</f>
      </c>
      <c r="R140" s="30">
        <f>PM_Angle!$J$11+PM_Angle!$K$11*$C140+PM_Angle!$L$11*$B140</f>
      </c>
      <c r="S140" s="12">
        <f>IF(R140&gt;0,IF(R140&lt;=eco,alpha*fck*(1-(1-R140/eco)^n),alpha*fck),0)</f>
      </c>
      <c r="T140" s="30">
        <f>PM_Angle!$J$12+PM_Angle!$K$12*$C140+PM_Angle!$L$12*$B140</f>
      </c>
      <c r="U140" s="12">
        <f>IF(T140&gt;0,IF(T140&lt;=eco,alpha*fck*(1-(1-T140/eco)^n),alpha*fck),0)</f>
      </c>
      <c r="V140" s="30">
        <f>PM_Angle!$J$13+PM_Angle!$K$13*$C140+PM_Angle!$L$13*$B140</f>
      </c>
      <c r="W140" s="12">
        <f>IF(V140&gt;0,IF(V140&lt;=eco,alpha*fck*(1-(1-V140/eco)^n),alpha*fck),0)</f>
      </c>
      <c r="X140" s="30">
        <f>PM_Angle!$J$14+PM_Angle!$K$14*$C140+PM_Angle!$L$14*$B140</f>
      </c>
      <c r="Y140" s="12">
        <f>IF(X140&gt;0,IF(X140&lt;=eco,alpha*fck*(1-(1-X140/eco)^n),alpha*fck),0)</f>
      </c>
      <c r="Z140" s="30">
        <f>PM_Angle!$J$15+PM_Angle!$K$15*$C140+PM_Angle!$L$15*$B140</f>
      </c>
      <c r="AA140" s="12">
        <f>IF(Z140&gt;0,IF(Z140&lt;=eco,alpha*fck*(1-(1-Z140/eco)^n),alpha*fck),0)</f>
      </c>
      <c r="AB140" s="30">
        <f>PM_Angle!$J$16+PM_Angle!$K$16*$C140+PM_Angle!$L$16*$B140</f>
      </c>
      <c r="AC140" s="12">
        <f>IF(AB140&gt;0,IF(AB140&lt;=eco,alpha*fck*(1-(1-AB140/eco)^n),alpha*fck),0)</f>
      </c>
      <c r="AD140" s="30">
        <f>PM_Angle!$J$17+PM_Angle!$K$17*$C140+PM_Angle!$L$17*$B140</f>
      </c>
      <c r="AE140" s="12">
        <f>IF(AD140&gt;0,IF(AD140&lt;=eco,alpha*fck*(1-(1-AD140/eco)^n),alpha*fck),0)</f>
      </c>
      <c r="AF140" s="30">
        <f>PM_Angle!$J$18+PM_Angle!$K$18*$C140+PM_Angle!$L$18*$B140</f>
      </c>
      <c r="AG140" s="12">
        <f>IF(AF140&gt;0,IF(AF140&lt;=eco,alpha*fck*(1-(1-AF140/eco)^n),alpha*fck),0)</f>
      </c>
      <c r="AH140" s="30">
        <f>PM_Angle!$J$19+PM_Angle!$K$19*$C140+PM_Angle!$L$19*$B140</f>
      </c>
      <c r="AI140" s="12">
        <f>IF(AH140&gt;0,IF(AH140&lt;=eco,alpha*fck*(1-(1-AH140/eco)^n),alpha*fck),0)</f>
      </c>
      <c r="AJ140" s="30">
        <f>PM_Angle!$J$20+PM_Angle!$K$20*$C140+PM_Angle!$L$20*$B140</f>
      </c>
      <c r="AK140" s="12">
        <f>IF(AJ140&gt;0,IF(AJ140&lt;=eco,alpha*fck*(1-(1-AJ140/eco)^n),alpha*fck),0)</f>
      </c>
      <c r="AL140" s="30">
        <f>PM_Angle!$J$21+PM_Angle!$K$21*$C140+PM_Angle!$L$21*$B140</f>
      </c>
      <c r="AM140" s="12">
        <f>IF(AL140&gt;0,IF(AL140&lt;=eco,alpha*fck*(1-(1-AL140/eco)^n),alpha*fck),0)</f>
      </c>
      <c r="AN140" s="30">
        <f>PM_Angle!$J$22+PM_Angle!$K$22*$C140+PM_Angle!$L$22*$B140</f>
      </c>
      <c r="AO140" s="12">
        <f>IF(AN140&gt;0,IF(AN140&lt;=eco,alpha*fck*(1-(1-AN140/eco)^n),alpha*fck),0)</f>
      </c>
      <c r="AP140" s="30">
        <f>PM_Angle!$J$23+PM_Angle!$K$23*$C140+PM_Angle!$L$23*$B140</f>
      </c>
      <c r="AQ140" s="12">
        <f>IF(AP140&gt;0,IF(AP140&lt;=eco,alpha*fck*(1-(1-AP140/eco)^n),alpha*fck),0)</f>
      </c>
      <c r="AR140" s="30">
        <f>PM_Angle!$J$24+PM_Angle!$K$24*$C140+PM_Angle!$L$24*$B140</f>
      </c>
      <c r="AS140" s="12">
        <f>IF(AR140&gt;0,IF(AR140&lt;=eco,alpha*fck*(1-(1-AR140/eco)^n),alpha*fck),0)</f>
      </c>
      <c r="AT140" s="30">
        <f>PM_Angle!$J$25+PM_Angle!$K$25*$C140+PM_Angle!$L$25*$B140</f>
      </c>
      <c r="AU140" s="12">
        <f>IF(AT140&gt;0,IF(AT140&lt;=eco,alpha*fck*(1-(1-AT140/eco)^n),alpha*fck),0)</f>
      </c>
    </row>
    <row r="141" spans="1:47" x14ac:dyDescent="0.25">
      <c r="A141">
        <f>Mesh!A138</f>
      </c>
      <c r="B141" s="12">
        <f>Mesh!B138</f>
      </c>
      <c r="C141" s="12">
        <f>Mesh!C138</f>
      </c>
      <c r="D141" s="12">
        <f>Mesh!D138</f>
      </c>
      <c r="E141" s="30">
        <f>INDEX(St_e0,Det+1)+INDEX(St_kx,Det+1)*C141+INDEX(St_ky,Det+1)*B141</f>
      </c>
      <c r="F141" s="12">
        <f>IF(E141&gt;0,IF(E141&lt;=eco,alpha*fck*(1-(1-E141/eco)^n),alpha*fck),0)</f>
      </c>
      <c r="G141" s="11">
        <f>F141*D141</f>
      </c>
      <c r="H141" s="11">
        <f>G141*C141</f>
      </c>
      <c r="I141" s="11">
        <f>G141*B141</f>
      </c>
      <c r="J141" s="30">
        <f>PM_Angle!$J$7+PM_Angle!$K$7*$C141+PM_Angle!$L$7*$B141</f>
      </c>
      <c r="K141" s="12">
        <f>IF(J141&gt;0,IF(J141&lt;=eco,alpha*fck*(1-(1-J141/eco)^n),alpha*fck),0)</f>
      </c>
      <c r="L141" s="30">
        <f>PM_Angle!$J$8+PM_Angle!$K$8*$C141+PM_Angle!$L$8*$B141</f>
      </c>
      <c r="M141" s="12">
        <f>IF(L141&gt;0,IF(L141&lt;=eco,alpha*fck*(1-(1-L141/eco)^n),alpha*fck),0)</f>
      </c>
      <c r="N141" s="30">
        <f>PM_Angle!$J$9+PM_Angle!$K$9*$C141+PM_Angle!$L$9*$B141</f>
      </c>
      <c r="O141" s="12">
        <f>IF(N141&gt;0,IF(N141&lt;=eco,alpha*fck*(1-(1-N141/eco)^n),alpha*fck),0)</f>
      </c>
      <c r="P141" s="30">
        <f>PM_Angle!$J$10+PM_Angle!$K$10*$C141+PM_Angle!$L$10*$B141</f>
      </c>
      <c r="Q141" s="12">
        <f>IF(P141&gt;0,IF(P141&lt;=eco,alpha*fck*(1-(1-P141/eco)^n),alpha*fck),0)</f>
      </c>
      <c r="R141" s="30">
        <f>PM_Angle!$J$11+PM_Angle!$K$11*$C141+PM_Angle!$L$11*$B141</f>
      </c>
      <c r="S141" s="12">
        <f>IF(R141&gt;0,IF(R141&lt;=eco,alpha*fck*(1-(1-R141/eco)^n),alpha*fck),0)</f>
      </c>
      <c r="T141" s="30">
        <f>PM_Angle!$J$12+PM_Angle!$K$12*$C141+PM_Angle!$L$12*$B141</f>
      </c>
      <c r="U141" s="12">
        <f>IF(T141&gt;0,IF(T141&lt;=eco,alpha*fck*(1-(1-T141/eco)^n),alpha*fck),0)</f>
      </c>
      <c r="V141" s="30">
        <f>PM_Angle!$J$13+PM_Angle!$K$13*$C141+PM_Angle!$L$13*$B141</f>
      </c>
      <c r="W141" s="12">
        <f>IF(V141&gt;0,IF(V141&lt;=eco,alpha*fck*(1-(1-V141/eco)^n),alpha*fck),0)</f>
      </c>
      <c r="X141" s="30">
        <f>PM_Angle!$J$14+PM_Angle!$K$14*$C141+PM_Angle!$L$14*$B141</f>
      </c>
      <c r="Y141" s="12">
        <f>IF(X141&gt;0,IF(X141&lt;=eco,alpha*fck*(1-(1-X141/eco)^n),alpha*fck),0)</f>
      </c>
      <c r="Z141" s="30">
        <f>PM_Angle!$J$15+PM_Angle!$K$15*$C141+PM_Angle!$L$15*$B141</f>
      </c>
      <c r="AA141" s="12">
        <f>IF(Z141&gt;0,IF(Z141&lt;=eco,alpha*fck*(1-(1-Z141/eco)^n),alpha*fck),0)</f>
      </c>
      <c r="AB141" s="30">
        <f>PM_Angle!$J$16+PM_Angle!$K$16*$C141+PM_Angle!$L$16*$B141</f>
      </c>
      <c r="AC141" s="12">
        <f>IF(AB141&gt;0,IF(AB141&lt;=eco,alpha*fck*(1-(1-AB141/eco)^n),alpha*fck),0)</f>
      </c>
      <c r="AD141" s="30">
        <f>PM_Angle!$J$17+PM_Angle!$K$17*$C141+PM_Angle!$L$17*$B141</f>
      </c>
      <c r="AE141" s="12">
        <f>IF(AD141&gt;0,IF(AD141&lt;=eco,alpha*fck*(1-(1-AD141/eco)^n),alpha*fck),0)</f>
      </c>
      <c r="AF141" s="30">
        <f>PM_Angle!$J$18+PM_Angle!$K$18*$C141+PM_Angle!$L$18*$B141</f>
      </c>
      <c r="AG141" s="12">
        <f>IF(AF141&gt;0,IF(AF141&lt;=eco,alpha*fck*(1-(1-AF141/eco)^n),alpha*fck),0)</f>
      </c>
      <c r="AH141" s="30">
        <f>PM_Angle!$J$19+PM_Angle!$K$19*$C141+PM_Angle!$L$19*$B141</f>
      </c>
      <c r="AI141" s="12">
        <f>IF(AH141&gt;0,IF(AH141&lt;=eco,alpha*fck*(1-(1-AH141/eco)^n),alpha*fck),0)</f>
      </c>
      <c r="AJ141" s="30">
        <f>PM_Angle!$J$20+PM_Angle!$K$20*$C141+PM_Angle!$L$20*$B141</f>
      </c>
      <c r="AK141" s="12">
        <f>IF(AJ141&gt;0,IF(AJ141&lt;=eco,alpha*fck*(1-(1-AJ141/eco)^n),alpha*fck),0)</f>
      </c>
      <c r="AL141" s="30">
        <f>PM_Angle!$J$21+PM_Angle!$K$21*$C141+PM_Angle!$L$21*$B141</f>
      </c>
      <c r="AM141" s="12">
        <f>IF(AL141&gt;0,IF(AL141&lt;=eco,alpha*fck*(1-(1-AL141/eco)^n),alpha*fck),0)</f>
      </c>
      <c r="AN141" s="30">
        <f>PM_Angle!$J$22+PM_Angle!$K$22*$C141+PM_Angle!$L$22*$B141</f>
      </c>
      <c r="AO141" s="12">
        <f>IF(AN141&gt;0,IF(AN141&lt;=eco,alpha*fck*(1-(1-AN141/eco)^n),alpha*fck),0)</f>
      </c>
      <c r="AP141" s="30">
        <f>PM_Angle!$J$23+PM_Angle!$K$23*$C141+PM_Angle!$L$23*$B141</f>
      </c>
      <c r="AQ141" s="12">
        <f>IF(AP141&gt;0,IF(AP141&lt;=eco,alpha*fck*(1-(1-AP141/eco)^n),alpha*fck),0)</f>
      </c>
      <c r="AR141" s="30">
        <f>PM_Angle!$J$24+PM_Angle!$K$24*$C141+PM_Angle!$L$24*$B141</f>
      </c>
      <c r="AS141" s="12">
        <f>IF(AR141&gt;0,IF(AR141&lt;=eco,alpha*fck*(1-(1-AR141/eco)^n),alpha*fck),0)</f>
      </c>
      <c r="AT141" s="30">
        <f>PM_Angle!$J$25+PM_Angle!$K$25*$C141+PM_Angle!$L$25*$B141</f>
      </c>
      <c r="AU141" s="12">
        <f>IF(AT141&gt;0,IF(AT141&lt;=eco,alpha*fck*(1-(1-AT141/eco)^n),alpha*fck),0)</f>
      </c>
    </row>
    <row r="142" spans="1:47" x14ac:dyDescent="0.25">
      <c r="A142">
        <f>Mesh!A139</f>
      </c>
      <c r="B142" s="12">
        <f>Mesh!B139</f>
      </c>
      <c r="C142" s="12">
        <f>Mesh!C139</f>
      </c>
      <c r="D142" s="12">
        <f>Mesh!D139</f>
      </c>
      <c r="E142" s="30">
        <f>INDEX(St_e0,Det+1)+INDEX(St_kx,Det+1)*C142+INDEX(St_ky,Det+1)*B142</f>
      </c>
      <c r="F142" s="12">
        <f>IF(E142&gt;0,IF(E142&lt;=eco,alpha*fck*(1-(1-E142/eco)^n),alpha*fck),0)</f>
      </c>
      <c r="G142" s="11">
        <f>F142*D142</f>
      </c>
      <c r="H142" s="11">
        <f>G142*C142</f>
      </c>
      <c r="I142" s="11">
        <f>G142*B142</f>
      </c>
      <c r="J142" s="30">
        <f>PM_Angle!$J$7+PM_Angle!$K$7*$C142+PM_Angle!$L$7*$B142</f>
      </c>
      <c r="K142" s="12">
        <f>IF(J142&gt;0,IF(J142&lt;=eco,alpha*fck*(1-(1-J142/eco)^n),alpha*fck),0)</f>
      </c>
      <c r="L142" s="30">
        <f>PM_Angle!$J$8+PM_Angle!$K$8*$C142+PM_Angle!$L$8*$B142</f>
      </c>
      <c r="M142" s="12">
        <f>IF(L142&gt;0,IF(L142&lt;=eco,alpha*fck*(1-(1-L142/eco)^n),alpha*fck),0)</f>
      </c>
      <c r="N142" s="30">
        <f>PM_Angle!$J$9+PM_Angle!$K$9*$C142+PM_Angle!$L$9*$B142</f>
      </c>
      <c r="O142" s="12">
        <f>IF(N142&gt;0,IF(N142&lt;=eco,alpha*fck*(1-(1-N142/eco)^n),alpha*fck),0)</f>
      </c>
      <c r="P142" s="30">
        <f>PM_Angle!$J$10+PM_Angle!$K$10*$C142+PM_Angle!$L$10*$B142</f>
      </c>
      <c r="Q142" s="12">
        <f>IF(P142&gt;0,IF(P142&lt;=eco,alpha*fck*(1-(1-P142/eco)^n),alpha*fck),0)</f>
      </c>
      <c r="R142" s="30">
        <f>PM_Angle!$J$11+PM_Angle!$K$11*$C142+PM_Angle!$L$11*$B142</f>
      </c>
      <c r="S142" s="12">
        <f>IF(R142&gt;0,IF(R142&lt;=eco,alpha*fck*(1-(1-R142/eco)^n),alpha*fck),0)</f>
      </c>
      <c r="T142" s="30">
        <f>PM_Angle!$J$12+PM_Angle!$K$12*$C142+PM_Angle!$L$12*$B142</f>
      </c>
      <c r="U142" s="12">
        <f>IF(T142&gt;0,IF(T142&lt;=eco,alpha*fck*(1-(1-T142/eco)^n),alpha*fck),0)</f>
      </c>
      <c r="V142" s="30">
        <f>PM_Angle!$J$13+PM_Angle!$K$13*$C142+PM_Angle!$L$13*$B142</f>
      </c>
      <c r="W142" s="12">
        <f>IF(V142&gt;0,IF(V142&lt;=eco,alpha*fck*(1-(1-V142/eco)^n),alpha*fck),0)</f>
      </c>
      <c r="X142" s="30">
        <f>PM_Angle!$J$14+PM_Angle!$K$14*$C142+PM_Angle!$L$14*$B142</f>
      </c>
      <c r="Y142" s="12">
        <f>IF(X142&gt;0,IF(X142&lt;=eco,alpha*fck*(1-(1-X142/eco)^n),alpha*fck),0)</f>
      </c>
      <c r="Z142" s="30">
        <f>PM_Angle!$J$15+PM_Angle!$K$15*$C142+PM_Angle!$L$15*$B142</f>
      </c>
      <c r="AA142" s="12">
        <f>IF(Z142&gt;0,IF(Z142&lt;=eco,alpha*fck*(1-(1-Z142/eco)^n),alpha*fck),0)</f>
      </c>
      <c r="AB142" s="30">
        <f>PM_Angle!$J$16+PM_Angle!$K$16*$C142+PM_Angle!$L$16*$B142</f>
      </c>
      <c r="AC142" s="12">
        <f>IF(AB142&gt;0,IF(AB142&lt;=eco,alpha*fck*(1-(1-AB142/eco)^n),alpha*fck),0)</f>
      </c>
      <c r="AD142" s="30">
        <f>PM_Angle!$J$17+PM_Angle!$K$17*$C142+PM_Angle!$L$17*$B142</f>
      </c>
      <c r="AE142" s="12">
        <f>IF(AD142&gt;0,IF(AD142&lt;=eco,alpha*fck*(1-(1-AD142/eco)^n),alpha*fck),0)</f>
      </c>
      <c r="AF142" s="30">
        <f>PM_Angle!$J$18+PM_Angle!$K$18*$C142+PM_Angle!$L$18*$B142</f>
      </c>
      <c r="AG142" s="12">
        <f>IF(AF142&gt;0,IF(AF142&lt;=eco,alpha*fck*(1-(1-AF142/eco)^n),alpha*fck),0)</f>
      </c>
      <c r="AH142" s="30">
        <f>PM_Angle!$J$19+PM_Angle!$K$19*$C142+PM_Angle!$L$19*$B142</f>
      </c>
      <c r="AI142" s="12">
        <f>IF(AH142&gt;0,IF(AH142&lt;=eco,alpha*fck*(1-(1-AH142/eco)^n),alpha*fck),0)</f>
      </c>
      <c r="AJ142" s="30">
        <f>PM_Angle!$J$20+PM_Angle!$K$20*$C142+PM_Angle!$L$20*$B142</f>
      </c>
      <c r="AK142" s="12">
        <f>IF(AJ142&gt;0,IF(AJ142&lt;=eco,alpha*fck*(1-(1-AJ142/eco)^n),alpha*fck),0)</f>
      </c>
      <c r="AL142" s="30">
        <f>PM_Angle!$J$21+PM_Angle!$K$21*$C142+PM_Angle!$L$21*$B142</f>
      </c>
      <c r="AM142" s="12">
        <f>IF(AL142&gt;0,IF(AL142&lt;=eco,alpha*fck*(1-(1-AL142/eco)^n),alpha*fck),0)</f>
      </c>
      <c r="AN142" s="30">
        <f>PM_Angle!$J$22+PM_Angle!$K$22*$C142+PM_Angle!$L$22*$B142</f>
      </c>
      <c r="AO142" s="12">
        <f>IF(AN142&gt;0,IF(AN142&lt;=eco,alpha*fck*(1-(1-AN142/eco)^n),alpha*fck),0)</f>
      </c>
      <c r="AP142" s="30">
        <f>PM_Angle!$J$23+PM_Angle!$K$23*$C142+PM_Angle!$L$23*$B142</f>
      </c>
      <c r="AQ142" s="12">
        <f>IF(AP142&gt;0,IF(AP142&lt;=eco,alpha*fck*(1-(1-AP142/eco)^n),alpha*fck),0)</f>
      </c>
      <c r="AR142" s="30">
        <f>PM_Angle!$J$24+PM_Angle!$K$24*$C142+PM_Angle!$L$24*$B142</f>
      </c>
      <c r="AS142" s="12">
        <f>IF(AR142&gt;0,IF(AR142&lt;=eco,alpha*fck*(1-(1-AR142/eco)^n),alpha*fck),0)</f>
      </c>
      <c r="AT142" s="30">
        <f>PM_Angle!$J$25+PM_Angle!$K$25*$C142+PM_Angle!$L$25*$B142</f>
      </c>
      <c r="AU142" s="12">
        <f>IF(AT142&gt;0,IF(AT142&lt;=eco,alpha*fck*(1-(1-AT142/eco)^n),alpha*fck),0)</f>
      </c>
    </row>
    <row r="143" spans="1:47" x14ac:dyDescent="0.25">
      <c r="A143">
        <f>Mesh!A140</f>
      </c>
      <c r="B143" s="12">
        <f>Mesh!B140</f>
      </c>
      <c r="C143" s="12">
        <f>Mesh!C140</f>
      </c>
      <c r="D143" s="12">
        <f>Mesh!D140</f>
      </c>
      <c r="E143" s="30">
        <f>INDEX(St_e0,Det+1)+INDEX(St_kx,Det+1)*C143+INDEX(St_ky,Det+1)*B143</f>
      </c>
      <c r="F143" s="12">
        <f>IF(E143&gt;0,IF(E143&lt;=eco,alpha*fck*(1-(1-E143/eco)^n),alpha*fck),0)</f>
      </c>
      <c r="G143" s="11">
        <f>F143*D143</f>
      </c>
      <c r="H143" s="11">
        <f>G143*C143</f>
      </c>
      <c r="I143" s="11">
        <f>G143*B143</f>
      </c>
      <c r="J143" s="30">
        <f>PM_Angle!$J$7+PM_Angle!$K$7*$C143+PM_Angle!$L$7*$B143</f>
      </c>
      <c r="K143" s="12">
        <f>IF(J143&gt;0,IF(J143&lt;=eco,alpha*fck*(1-(1-J143/eco)^n),alpha*fck),0)</f>
      </c>
      <c r="L143" s="30">
        <f>PM_Angle!$J$8+PM_Angle!$K$8*$C143+PM_Angle!$L$8*$B143</f>
      </c>
      <c r="M143" s="12">
        <f>IF(L143&gt;0,IF(L143&lt;=eco,alpha*fck*(1-(1-L143/eco)^n),alpha*fck),0)</f>
      </c>
      <c r="N143" s="30">
        <f>PM_Angle!$J$9+PM_Angle!$K$9*$C143+PM_Angle!$L$9*$B143</f>
      </c>
      <c r="O143" s="12">
        <f>IF(N143&gt;0,IF(N143&lt;=eco,alpha*fck*(1-(1-N143/eco)^n),alpha*fck),0)</f>
      </c>
      <c r="P143" s="30">
        <f>PM_Angle!$J$10+PM_Angle!$K$10*$C143+PM_Angle!$L$10*$B143</f>
      </c>
      <c r="Q143" s="12">
        <f>IF(P143&gt;0,IF(P143&lt;=eco,alpha*fck*(1-(1-P143/eco)^n),alpha*fck),0)</f>
      </c>
      <c r="R143" s="30">
        <f>PM_Angle!$J$11+PM_Angle!$K$11*$C143+PM_Angle!$L$11*$B143</f>
      </c>
      <c r="S143" s="12">
        <f>IF(R143&gt;0,IF(R143&lt;=eco,alpha*fck*(1-(1-R143/eco)^n),alpha*fck),0)</f>
      </c>
      <c r="T143" s="30">
        <f>PM_Angle!$J$12+PM_Angle!$K$12*$C143+PM_Angle!$L$12*$B143</f>
      </c>
      <c r="U143" s="12">
        <f>IF(T143&gt;0,IF(T143&lt;=eco,alpha*fck*(1-(1-T143/eco)^n),alpha*fck),0)</f>
      </c>
      <c r="V143" s="30">
        <f>PM_Angle!$J$13+PM_Angle!$K$13*$C143+PM_Angle!$L$13*$B143</f>
      </c>
      <c r="W143" s="12">
        <f>IF(V143&gt;0,IF(V143&lt;=eco,alpha*fck*(1-(1-V143/eco)^n),alpha*fck),0)</f>
      </c>
      <c r="X143" s="30">
        <f>PM_Angle!$J$14+PM_Angle!$K$14*$C143+PM_Angle!$L$14*$B143</f>
      </c>
      <c r="Y143" s="12">
        <f>IF(X143&gt;0,IF(X143&lt;=eco,alpha*fck*(1-(1-X143/eco)^n),alpha*fck),0)</f>
      </c>
      <c r="Z143" s="30">
        <f>PM_Angle!$J$15+PM_Angle!$K$15*$C143+PM_Angle!$L$15*$B143</f>
      </c>
      <c r="AA143" s="12">
        <f>IF(Z143&gt;0,IF(Z143&lt;=eco,alpha*fck*(1-(1-Z143/eco)^n),alpha*fck),0)</f>
      </c>
      <c r="AB143" s="30">
        <f>PM_Angle!$J$16+PM_Angle!$K$16*$C143+PM_Angle!$L$16*$B143</f>
      </c>
      <c r="AC143" s="12">
        <f>IF(AB143&gt;0,IF(AB143&lt;=eco,alpha*fck*(1-(1-AB143/eco)^n),alpha*fck),0)</f>
      </c>
      <c r="AD143" s="30">
        <f>PM_Angle!$J$17+PM_Angle!$K$17*$C143+PM_Angle!$L$17*$B143</f>
      </c>
      <c r="AE143" s="12">
        <f>IF(AD143&gt;0,IF(AD143&lt;=eco,alpha*fck*(1-(1-AD143/eco)^n),alpha*fck),0)</f>
      </c>
      <c r="AF143" s="30">
        <f>PM_Angle!$J$18+PM_Angle!$K$18*$C143+PM_Angle!$L$18*$B143</f>
      </c>
      <c r="AG143" s="12">
        <f>IF(AF143&gt;0,IF(AF143&lt;=eco,alpha*fck*(1-(1-AF143/eco)^n),alpha*fck),0)</f>
      </c>
      <c r="AH143" s="30">
        <f>PM_Angle!$J$19+PM_Angle!$K$19*$C143+PM_Angle!$L$19*$B143</f>
      </c>
      <c r="AI143" s="12">
        <f>IF(AH143&gt;0,IF(AH143&lt;=eco,alpha*fck*(1-(1-AH143/eco)^n),alpha*fck),0)</f>
      </c>
      <c r="AJ143" s="30">
        <f>PM_Angle!$J$20+PM_Angle!$K$20*$C143+PM_Angle!$L$20*$B143</f>
      </c>
      <c r="AK143" s="12">
        <f>IF(AJ143&gt;0,IF(AJ143&lt;=eco,alpha*fck*(1-(1-AJ143/eco)^n),alpha*fck),0)</f>
      </c>
      <c r="AL143" s="30">
        <f>PM_Angle!$J$21+PM_Angle!$K$21*$C143+PM_Angle!$L$21*$B143</f>
      </c>
      <c r="AM143" s="12">
        <f>IF(AL143&gt;0,IF(AL143&lt;=eco,alpha*fck*(1-(1-AL143/eco)^n),alpha*fck),0)</f>
      </c>
      <c r="AN143" s="30">
        <f>PM_Angle!$J$22+PM_Angle!$K$22*$C143+PM_Angle!$L$22*$B143</f>
      </c>
      <c r="AO143" s="12">
        <f>IF(AN143&gt;0,IF(AN143&lt;=eco,alpha*fck*(1-(1-AN143/eco)^n),alpha*fck),0)</f>
      </c>
      <c r="AP143" s="30">
        <f>PM_Angle!$J$23+PM_Angle!$K$23*$C143+PM_Angle!$L$23*$B143</f>
      </c>
      <c r="AQ143" s="12">
        <f>IF(AP143&gt;0,IF(AP143&lt;=eco,alpha*fck*(1-(1-AP143/eco)^n),alpha*fck),0)</f>
      </c>
      <c r="AR143" s="30">
        <f>PM_Angle!$J$24+PM_Angle!$K$24*$C143+PM_Angle!$L$24*$B143</f>
      </c>
      <c r="AS143" s="12">
        <f>IF(AR143&gt;0,IF(AR143&lt;=eco,alpha*fck*(1-(1-AR143/eco)^n),alpha*fck),0)</f>
      </c>
      <c r="AT143" s="30">
        <f>PM_Angle!$J$25+PM_Angle!$K$25*$C143+PM_Angle!$L$25*$B143</f>
      </c>
      <c r="AU143" s="12">
        <f>IF(AT143&gt;0,IF(AT143&lt;=eco,alpha*fck*(1-(1-AT143/eco)^n),alpha*fck),0)</f>
      </c>
    </row>
    <row r="144" spans="1:47" x14ac:dyDescent="0.25">
      <c r="A144">
        <f>Mesh!A141</f>
      </c>
      <c r="B144" s="12">
        <f>Mesh!B141</f>
      </c>
      <c r="C144" s="12">
        <f>Mesh!C141</f>
      </c>
      <c r="D144" s="12">
        <f>Mesh!D141</f>
      </c>
      <c r="E144" s="30">
        <f>INDEX(St_e0,Det+1)+INDEX(St_kx,Det+1)*C144+INDEX(St_ky,Det+1)*B144</f>
      </c>
      <c r="F144" s="12">
        <f>IF(E144&gt;0,IF(E144&lt;=eco,alpha*fck*(1-(1-E144/eco)^n),alpha*fck),0)</f>
      </c>
      <c r="G144" s="11">
        <f>F144*D144</f>
      </c>
      <c r="H144" s="11">
        <f>G144*C144</f>
      </c>
      <c r="I144" s="11">
        <f>G144*B144</f>
      </c>
      <c r="J144" s="30">
        <f>PM_Angle!$J$7+PM_Angle!$K$7*$C144+PM_Angle!$L$7*$B144</f>
      </c>
      <c r="K144" s="12">
        <f>IF(J144&gt;0,IF(J144&lt;=eco,alpha*fck*(1-(1-J144/eco)^n),alpha*fck),0)</f>
      </c>
      <c r="L144" s="30">
        <f>PM_Angle!$J$8+PM_Angle!$K$8*$C144+PM_Angle!$L$8*$B144</f>
      </c>
      <c r="M144" s="12">
        <f>IF(L144&gt;0,IF(L144&lt;=eco,alpha*fck*(1-(1-L144/eco)^n),alpha*fck),0)</f>
      </c>
      <c r="N144" s="30">
        <f>PM_Angle!$J$9+PM_Angle!$K$9*$C144+PM_Angle!$L$9*$B144</f>
      </c>
      <c r="O144" s="12">
        <f>IF(N144&gt;0,IF(N144&lt;=eco,alpha*fck*(1-(1-N144/eco)^n),alpha*fck),0)</f>
      </c>
      <c r="P144" s="30">
        <f>PM_Angle!$J$10+PM_Angle!$K$10*$C144+PM_Angle!$L$10*$B144</f>
      </c>
      <c r="Q144" s="12">
        <f>IF(P144&gt;0,IF(P144&lt;=eco,alpha*fck*(1-(1-P144/eco)^n),alpha*fck),0)</f>
      </c>
      <c r="R144" s="30">
        <f>PM_Angle!$J$11+PM_Angle!$K$11*$C144+PM_Angle!$L$11*$B144</f>
      </c>
      <c r="S144" s="12">
        <f>IF(R144&gt;0,IF(R144&lt;=eco,alpha*fck*(1-(1-R144/eco)^n),alpha*fck),0)</f>
      </c>
      <c r="T144" s="30">
        <f>PM_Angle!$J$12+PM_Angle!$K$12*$C144+PM_Angle!$L$12*$B144</f>
      </c>
      <c r="U144" s="12">
        <f>IF(T144&gt;0,IF(T144&lt;=eco,alpha*fck*(1-(1-T144/eco)^n),alpha*fck),0)</f>
      </c>
      <c r="V144" s="30">
        <f>PM_Angle!$J$13+PM_Angle!$K$13*$C144+PM_Angle!$L$13*$B144</f>
      </c>
      <c r="W144" s="12">
        <f>IF(V144&gt;0,IF(V144&lt;=eco,alpha*fck*(1-(1-V144/eco)^n),alpha*fck),0)</f>
      </c>
      <c r="X144" s="30">
        <f>PM_Angle!$J$14+PM_Angle!$K$14*$C144+PM_Angle!$L$14*$B144</f>
      </c>
      <c r="Y144" s="12">
        <f>IF(X144&gt;0,IF(X144&lt;=eco,alpha*fck*(1-(1-X144/eco)^n),alpha*fck),0)</f>
      </c>
      <c r="Z144" s="30">
        <f>PM_Angle!$J$15+PM_Angle!$K$15*$C144+PM_Angle!$L$15*$B144</f>
      </c>
      <c r="AA144" s="12">
        <f>IF(Z144&gt;0,IF(Z144&lt;=eco,alpha*fck*(1-(1-Z144/eco)^n),alpha*fck),0)</f>
      </c>
      <c r="AB144" s="30">
        <f>PM_Angle!$J$16+PM_Angle!$K$16*$C144+PM_Angle!$L$16*$B144</f>
      </c>
      <c r="AC144" s="12">
        <f>IF(AB144&gt;0,IF(AB144&lt;=eco,alpha*fck*(1-(1-AB144/eco)^n),alpha*fck),0)</f>
      </c>
      <c r="AD144" s="30">
        <f>PM_Angle!$J$17+PM_Angle!$K$17*$C144+PM_Angle!$L$17*$B144</f>
      </c>
      <c r="AE144" s="12">
        <f>IF(AD144&gt;0,IF(AD144&lt;=eco,alpha*fck*(1-(1-AD144/eco)^n),alpha*fck),0)</f>
      </c>
      <c r="AF144" s="30">
        <f>PM_Angle!$J$18+PM_Angle!$K$18*$C144+PM_Angle!$L$18*$B144</f>
      </c>
      <c r="AG144" s="12">
        <f>IF(AF144&gt;0,IF(AF144&lt;=eco,alpha*fck*(1-(1-AF144/eco)^n),alpha*fck),0)</f>
      </c>
      <c r="AH144" s="30">
        <f>PM_Angle!$J$19+PM_Angle!$K$19*$C144+PM_Angle!$L$19*$B144</f>
      </c>
      <c r="AI144" s="12">
        <f>IF(AH144&gt;0,IF(AH144&lt;=eco,alpha*fck*(1-(1-AH144/eco)^n),alpha*fck),0)</f>
      </c>
      <c r="AJ144" s="30">
        <f>PM_Angle!$J$20+PM_Angle!$K$20*$C144+PM_Angle!$L$20*$B144</f>
      </c>
      <c r="AK144" s="12">
        <f>IF(AJ144&gt;0,IF(AJ144&lt;=eco,alpha*fck*(1-(1-AJ144/eco)^n),alpha*fck),0)</f>
      </c>
      <c r="AL144" s="30">
        <f>PM_Angle!$J$21+PM_Angle!$K$21*$C144+PM_Angle!$L$21*$B144</f>
      </c>
      <c r="AM144" s="12">
        <f>IF(AL144&gt;0,IF(AL144&lt;=eco,alpha*fck*(1-(1-AL144/eco)^n),alpha*fck),0)</f>
      </c>
      <c r="AN144" s="30">
        <f>PM_Angle!$J$22+PM_Angle!$K$22*$C144+PM_Angle!$L$22*$B144</f>
      </c>
      <c r="AO144" s="12">
        <f>IF(AN144&gt;0,IF(AN144&lt;=eco,alpha*fck*(1-(1-AN144/eco)^n),alpha*fck),0)</f>
      </c>
      <c r="AP144" s="30">
        <f>PM_Angle!$J$23+PM_Angle!$K$23*$C144+PM_Angle!$L$23*$B144</f>
      </c>
      <c r="AQ144" s="12">
        <f>IF(AP144&gt;0,IF(AP144&lt;=eco,alpha*fck*(1-(1-AP144/eco)^n),alpha*fck),0)</f>
      </c>
      <c r="AR144" s="30">
        <f>PM_Angle!$J$24+PM_Angle!$K$24*$C144+PM_Angle!$L$24*$B144</f>
      </c>
      <c r="AS144" s="12">
        <f>IF(AR144&gt;0,IF(AR144&lt;=eco,alpha*fck*(1-(1-AR144/eco)^n),alpha*fck),0)</f>
      </c>
      <c r="AT144" s="30">
        <f>PM_Angle!$J$25+PM_Angle!$K$25*$C144+PM_Angle!$L$25*$B144</f>
      </c>
      <c r="AU144" s="12">
        <f>IF(AT144&gt;0,IF(AT144&lt;=eco,alpha*fck*(1-(1-AT144/eco)^n),alpha*fck),0)</f>
      </c>
    </row>
    <row r="145" spans="1:47" x14ac:dyDescent="0.25">
      <c r="A145">
        <f>Mesh!A142</f>
      </c>
      <c r="B145" s="12">
        <f>Mesh!B142</f>
      </c>
      <c r="C145" s="12">
        <f>Mesh!C142</f>
      </c>
      <c r="D145" s="12">
        <f>Mesh!D142</f>
      </c>
      <c r="E145" s="30">
        <f>INDEX(St_e0,Det+1)+INDEX(St_kx,Det+1)*C145+INDEX(St_ky,Det+1)*B145</f>
      </c>
      <c r="F145" s="12">
        <f>IF(E145&gt;0,IF(E145&lt;=eco,alpha*fck*(1-(1-E145/eco)^n),alpha*fck),0)</f>
      </c>
      <c r="G145" s="11">
        <f>F145*D145</f>
      </c>
      <c r="H145" s="11">
        <f>G145*C145</f>
      </c>
      <c r="I145" s="11">
        <f>G145*B145</f>
      </c>
      <c r="J145" s="30">
        <f>PM_Angle!$J$7+PM_Angle!$K$7*$C145+PM_Angle!$L$7*$B145</f>
      </c>
      <c r="K145" s="12">
        <f>IF(J145&gt;0,IF(J145&lt;=eco,alpha*fck*(1-(1-J145/eco)^n),alpha*fck),0)</f>
      </c>
      <c r="L145" s="30">
        <f>PM_Angle!$J$8+PM_Angle!$K$8*$C145+PM_Angle!$L$8*$B145</f>
      </c>
      <c r="M145" s="12">
        <f>IF(L145&gt;0,IF(L145&lt;=eco,alpha*fck*(1-(1-L145/eco)^n),alpha*fck),0)</f>
      </c>
      <c r="N145" s="30">
        <f>PM_Angle!$J$9+PM_Angle!$K$9*$C145+PM_Angle!$L$9*$B145</f>
      </c>
      <c r="O145" s="12">
        <f>IF(N145&gt;0,IF(N145&lt;=eco,alpha*fck*(1-(1-N145/eco)^n),alpha*fck),0)</f>
      </c>
      <c r="P145" s="30">
        <f>PM_Angle!$J$10+PM_Angle!$K$10*$C145+PM_Angle!$L$10*$B145</f>
      </c>
      <c r="Q145" s="12">
        <f>IF(P145&gt;0,IF(P145&lt;=eco,alpha*fck*(1-(1-P145/eco)^n),alpha*fck),0)</f>
      </c>
      <c r="R145" s="30">
        <f>PM_Angle!$J$11+PM_Angle!$K$11*$C145+PM_Angle!$L$11*$B145</f>
      </c>
      <c r="S145" s="12">
        <f>IF(R145&gt;0,IF(R145&lt;=eco,alpha*fck*(1-(1-R145/eco)^n),alpha*fck),0)</f>
      </c>
      <c r="T145" s="30">
        <f>PM_Angle!$J$12+PM_Angle!$K$12*$C145+PM_Angle!$L$12*$B145</f>
      </c>
      <c r="U145" s="12">
        <f>IF(T145&gt;0,IF(T145&lt;=eco,alpha*fck*(1-(1-T145/eco)^n),alpha*fck),0)</f>
      </c>
      <c r="V145" s="30">
        <f>PM_Angle!$J$13+PM_Angle!$K$13*$C145+PM_Angle!$L$13*$B145</f>
      </c>
      <c r="W145" s="12">
        <f>IF(V145&gt;0,IF(V145&lt;=eco,alpha*fck*(1-(1-V145/eco)^n),alpha*fck),0)</f>
      </c>
      <c r="X145" s="30">
        <f>PM_Angle!$J$14+PM_Angle!$K$14*$C145+PM_Angle!$L$14*$B145</f>
      </c>
      <c r="Y145" s="12">
        <f>IF(X145&gt;0,IF(X145&lt;=eco,alpha*fck*(1-(1-X145/eco)^n),alpha*fck),0)</f>
      </c>
      <c r="Z145" s="30">
        <f>PM_Angle!$J$15+PM_Angle!$K$15*$C145+PM_Angle!$L$15*$B145</f>
      </c>
      <c r="AA145" s="12">
        <f>IF(Z145&gt;0,IF(Z145&lt;=eco,alpha*fck*(1-(1-Z145/eco)^n),alpha*fck),0)</f>
      </c>
      <c r="AB145" s="30">
        <f>PM_Angle!$J$16+PM_Angle!$K$16*$C145+PM_Angle!$L$16*$B145</f>
      </c>
      <c r="AC145" s="12">
        <f>IF(AB145&gt;0,IF(AB145&lt;=eco,alpha*fck*(1-(1-AB145/eco)^n),alpha*fck),0)</f>
      </c>
      <c r="AD145" s="30">
        <f>PM_Angle!$J$17+PM_Angle!$K$17*$C145+PM_Angle!$L$17*$B145</f>
      </c>
      <c r="AE145" s="12">
        <f>IF(AD145&gt;0,IF(AD145&lt;=eco,alpha*fck*(1-(1-AD145/eco)^n),alpha*fck),0)</f>
      </c>
      <c r="AF145" s="30">
        <f>PM_Angle!$J$18+PM_Angle!$K$18*$C145+PM_Angle!$L$18*$B145</f>
      </c>
      <c r="AG145" s="12">
        <f>IF(AF145&gt;0,IF(AF145&lt;=eco,alpha*fck*(1-(1-AF145/eco)^n),alpha*fck),0)</f>
      </c>
      <c r="AH145" s="30">
        <f>PM_Angle!$J$19+PM_Angle!$K$19*$C145+PM_Angle!$L$19*$B145</f>
      </c>
      <c r="AI145" s="12">
        <f>IF(AH145&gt;0,IF(AH145&lt;=eco,alpha*fck*(1-(1-AH145/eco)^n),alpha*fck),0)</f>
      </c>
      <c r="AJ145" s="30">
        <f>PM_Angle!$J$20+PM_Angle!$K$20*$C145+PM_Angle!$L$20*$B145</f>
      </c>
      <c r="AK145" s="12">
        <f>IF(AJ145&gt;0,IF(AJ145&lt;=eco,alpha*fck*(1-(1-AJ145/eco)^n),alpha*fck),0)</f>
      </c>
      <c r="AL145" s="30">
        <f>PM_Angle!$J$21+PM_Angle!$K$21*$C145+PM_Angle!$L$21*$B145</f>
      </c>
      <c r="AM145" s="12">
        <f>IF(AL145&gt;0,IF(AL145&lt;=eco,alpha*fck*(1-(1-AL145/eco)^n),alpha*fck),0)</f>
      </c>
      <c r="AN145" s="30">
        <f>PM_Angle!$J$22+PM_Angle!$K$22*$C145+PM_Angle!$L$22*$B145</f>
      </c>
      <c r="AO145" s="12">
        <f>IF(AN145&gt;0,IF(AN145&lt;=eco,alpha*fck*(1-(1-AN145/eco)^n),alpha*fck),0)</f>
      </c>
      <c r="AP145" s="30">
        <f>PM_Angle!$J$23+PM_Angle!$K$23*$C145+PM_Angle!$L$23*$B145</f>
      </c>
      <c r="AQ145" s="12">
        <f>IF(AP145&gt;0,IF(AP145&lt;=eco,alpha*fck*(1-(1-AP145/eco)^n),alpha*fck),0)</f>
      </c>
      <c r="AR145" s="30">
        <f>PM_Angle!$J$24+PM_Angle!$K$24*$C145+PM_Angle!$L$24*$B145</f>
      </c>
      <c r="AS145" s="12">
        <f>IF(AR145&gt;0,IF(AR145&lt;=eco,alpha*fck*(1-(1-AR145/eco)^n),alpha*fck),0)</f>
      </c>
      <c r="AT145" s="30">
        <f>PM_Angle!$J$25+PM_Angle!$K$25*$C145+PM_Angle!$L$25*$B145</f>
      </c>
      <c r="AU145" s="12">
        <f>IF(AT145&gt;0,IF(AT145&lt;=eco,alpha*fck*(1-(1-AT145/eco)^n),alpha*fck),0)</f>
      </c>
    </row>
    <row r="146" spans="1:47" x14ac:dyDescent="0.25">
      <c r="A146">
        <f>Mesh!A143</f>
      </c>
      <c r="B146" s="12">
        <f>Mesh!B143</f>
      </c>
      <c r="C146" s="12">
        <f>Mesh!C143</f>
      </c>
      <c r="D146" s="12">
        <f>Mesh!D143</f>
      </c>
      <c r="E146" s="30">
        <f>INDEX(St_e0,Det+1)+INDEX(St_kx,Det+1)*C146+INDEX(St_ky,Det+1)*B146</f>
      </c>
      <c r="F146" s="12">
        <f>IF(E146&gt;0,IF(E146&lt;=eco,alpha*fck*(1-(1-E146/eco)^n),alpha*fck),0)</f>
      </c>
      <c r="G146" s="11">
        <f>F146*D146</f>
      </c>
      <c r="H146" s="11">
        <f>G146*C146</f>
      </c>
      <c r="I146" s="11">
        <f>G146*B146</f>
      </c>
      <c r="J146" s="30">
        <f>PM_Angle!$J$7+PM_Angle!$K$7*$C146+PM_Angle!$L$7*$B146</f>
      </c>
      <c r="K146" s="12">
        <f>IF(J146&gt;0,IF(J146&lt;=eco,alpha*fck*(1-(1-J146/eco)^n),alpha*fck),0)</f>
      </c>
      <c r="L146" s="30">
        <f>PM_Angle!$J$8+PM_Angle!$K$8*$C146+PM_Angle!$L$8*$B146</f>
      </c>
      <c r="M146" s="12">
        <f>IF(L146&gt;0,IF(L146&lt;=eco,alpha*fck*(1-(1-L146/eco)^n),alpha*fck),0)</f>
      </c>
      <c r="N146" s="30">
        <f>PM_Angle!$J$9+PM_Angle!$K$9*$C146+PM_Angle!$L$9*$B146</f>
      </c>
      <c r="O146" s="12">
        <f>IF(N146&gt;0,IF(N146&lt;=eco,alpha*fck*(1-(1-N146/eco)^n),alpha*fck),0)</f>
      </c>
      <c r="P146" s="30">
        <f>PM_Angle!$J$10+PM_Angle!$K$10*$C146+PM_Angle!$L$10*$B146</f>
      </c>
      <c r="Q146" s="12">
        <f>IF(P146&gt;0,IF(P146&lt;=eco,alpha*fck*(1-(1-P146/eco)^n),alpha*fck),0)</f>
      </c>
      <c r="R146" s="30">
        <f>PM_Angle!$J$11+PM_Angle!$K$11*$C146+PM_Angle!$L$11*$B146</f>
      </c>
      <c r="S146" s="12">
        <f>IF(R146&gt;0,IF(R146&lt;=eco,alpha*fck*(1-(1-R146/eco)^n),alpha*fck),0)</f>
      </c>
      <c r="T146" s="30">
        <f>PM_Angle!$J$12+PM_Angle!$K$12*$C146+PM_Angle!$L$12*$B146</f>
      </c>
      <c r="U146" s="12">
        <f>IF(T146&gt;0,IF(T146&lt;=eco,alpha*fck*(1-(1-T146/eco)^n),alpha*fck),0)</f>
      </c>
      <c r="V146" s="30">
        <f>PM_Angle!$J$13+PM_Angle!$K$13*$C146+PM_Angle!$L$13*$B146</f>
      </c>
      <c r="W146" s="12">
        <f>IF(V146&gt;0,IF(V146&lt;=eco,alpha*fck*(1-(1-V146/eco)^n),alpha*fck),0)</f>
      </c>
      <c r="X146" s="30">
        <f>PM_Angle!$J$14+PM_Angle!$K$14*$C146+PM_Angle!$L$14*$B146</f>
      </c>
      <c r="Y146" s="12">
        <f>IF(X146&gt;0,IF(X146&lt;=eco,alpha*fck*(1-(1-X146/eco)^n),alpha*fck),0)</f>
      </c>
      <c r="Z146" s="30">
        <f>PM_Angle!$J$15+PM_Angle!$K$15*$C146+PM_Angle!$L$15*$B146</f>
      </c>
      <c r="AA146" s="12">
        <f>IF(Z146&gt;0,IF(Z146&lt;=eco,alpha*fck*(1-(1-Z146/eco)^n),alpha*fck),0)</f>
      </c>
      <c r="AB146" s="30">
        <f>PM_Angle!$J$16+PM_Angle!$K$16*$C146+PM_Angle!$L$16*$B146</f>
      </c>
      <c r="AC146" s="12">
        <f>IF(AB146&gt;0,IF(AB146&lt;=eco,alpha*fck*(1-(1-AB146/eco)^n),alpha*fck),0)</f>
      </c>
      <c r="AD146" s="30">
        <f>PM_Angle!$J$17+PM_Angle!$K$17*$C146+PM_Angle!$L$17*$B146</f>
      </c>
      <c r="AE146" s="12">
        <f>IF(AD146&gt;0,IF(AD146&lt;=eco,alpha*fck*(1-(1-AD146/eco)^n),alpha*fck),0)</f>
      </c>
      <c r="AF146" s="30">
        <f>PM_Angle!$J$18+PM_Angle!$K$18*$C146+PM_Angle!$L$18*$B146</f>
      </c>
      <c r="AG146" s="12">
        <f>IF(AF146&gt;0,IF(AF146&lt;=eco,alpha*fck*(1-(1-AF146/eco)^n),alpha*fck),0)</f>
      </c>
      <c r="AH146" s="30">
        <f>PM_Angle!$J$19+PM_Angle!$K$19*$C146+PM_Angle!$L$19*$B146</f>
      </c>
      <c r="AI146" s="12">
        <f>IF(AH146&gt;0,IF(AH146&lt;=eco,alpha*fck*(1-(1-AH146/eco)^n),alpha*fck),0)</f>
      </c>
      <c r="AJ146" s="30">
        <f>PM_Angle!$J$20+PM_Angle!$K$20*$C146+PM_Angle!$L$20*$B146</f>
      </c>
      <c r="AK146" s="12">
        <f>IF(AJ146&gt;0,IF(AJ146&lt;=eco,alpha*fck*(1-(1-AJ146/eco)^n),alpha*fck),0)</f>
      </c>
      <c r="AL146" s="30">
        <f>PM_Angle!$J$21+PM_Angle!$K$21*$C146+PM_Angle!$L$21*$B146</f>
      </c>
      <c r="AM146" s="12">
        <f>IF(AL146&gt;0,IF(AL146&lt;=eco,alpha*fck*(1-(1-AL146/eco)^n),alpha*fck),0)</f>
      </c>
      <c r="AN146" s="30">
        <f>PM_Angle!$J$22+PM_Angle!$K$22*$C146+PM_Angle!$L$22*$B146</f>
      </c>
      <c r="AO146" s="12">
        <f>IF(AN146&gt;0,IF(AN146&lt;=eco,alpha*fck*(1-(1-AN146/eco)^n),alpha*fck),0)</f>
      </c>
      <c r="AP146" s="30">
        <f>PM_Angle!$J$23+PM_Angle!$K$23*$C146+PM_Angle!$L$23*$B146</f>
      </c>
      <c r="AQ146" s="12">
        <f>IF(AP146&gt;0,IF(AP146&lt;=eco,alpha*fck*(1-(1-AP146/eco)^n),alpha*fck),0)</f>
      </c>
      <c r="AR146" s="30">
        <f>PM_Angle!$J$24+PM_Angle!$K$24*$C146+PM_Angle!$L$24*$B146</f>
      </c>
      <c r="AS146" s="12">
        <f>IF(AR146&gt;0,IF(AR146&lt;=eco,alpha*fck*(1-(1-AR146/eco)^n),alpha*fck),0)</f>
      </c>
      <c r="AT146" s="30">
        <f>PM_Angle!$J$25+PM_Angle!$K$25*$C146+PM_Angle!$L$25*$B146</f>
      </c>
      <c r="AU146" s="12">
        <f>IF(AT146&gt;0,IF(AT146&lt;=eco,alpha*fck*(1-(1-AT146/eco)^n),alpha*fck),0)</f>
      </c>
    </row>
    <row r="147" spans="1:47" x14ac:dyDescent="0.25">
      <c r="A147">
        <f>Mesh!A144</f>
      </c>
      <c r="B147" s="12">
        <f>Mesh!B144</f>
      </c>
      <c r="C147" s="12">
        <f>Mesh!C144</f>
      </c>
      <c r="D147" s="12">
        <f>Mesh!D144</f>
      </c>
      <c r="E147" s="30">
        <f>INDEX(St_e0,Det+1)+INDEX(St_kx,Det+1)*C147+INDEX(St_ky,Det+1)*B147</f>
      </c>
      <c r="F147" s="12">
        <f>IF(E147&gt;0,IF(E147&lt;=eco,alpha*fck*(1-(1-E147/eco)^n),alpha*fck),0)</f>
      </c>
      <c r="G147" s="11">
        <f>F147*D147</f>
      </c>
      <c r="H147" s="11">
        <f>G147*C147</f>
      </c>
      <c r="I147" s="11">
        <f>G147*B147</f>
      </c>
      <c r="J147" s="30">
        <f>PM_Angle!$J$7+PM_Angle!$K$7*$C147+PM_Angle!$L$7*$B147</f>
      </c>
      <c r="K147" s="12">
        <f>IF(J147&gt;0,IF(J147&lt;=eco,alpha*fck*(1-(1-J147/eco)^n),alpha*fck),0)</f>
      </c>
      <c r="L147" s="30">
        <f>PM_Angle!$J$8+PM_Angle!$K$8*$C147+PM_Angle!$L$8*$B147</f>
      </c>
      <c r="M147" s="12">
        <f>IF(L147&gt;0,IF(L147&lt;=eco,alpha*fck*(1-(1-L147/eco)^n),alpha*fck),0)</f>
      </c>
      <c r="N147" s="30">
        <f>PM_Angle!$J$9+PM_Angle!$K$9*$C147+PM_Angle!$L$9*$B147</f>
      </c>
      <c r="O147" s="12">
        <f>IF(N147&gt;0,IF(N147&lt;=eco,alpha*fck*(1-(1-N147/eco)^n),alpha*fck),0)</f>
      </c>
      <c r="P147" s="30">
        <f>PM_Angle!$J$10+PM_Angle!$K$10*$C147+PM_Angle!$L$10*$B147</f>
      </c>
      <c r="Q147" s="12">
        <f>IF(P147&gt;0,IF(P147&lt;=eco,alpha*fck*(1-(1-P147/eco)^n),alpha*fck),0)</f>
      </c>
      <c r="R147" s="30">
        <f>PM_Angle!$J$11+PM_Angle!$K$11*$C147+PM_Angle!$L$11*$B147</f>
      </c>
      <c r="S147" s="12">
        <f>IF(R147&gt;0,IF(R147&lt;=eco,alpha*fck*(1-(1-R147/eco)^n),alpha*fck),0)</f>
      </c>
      <c r="T147" s="30">
        <f>PM_Angle!$J$12+PM_Angle!$K$12*$C147+PM_Angle!$L$12*$B147</f>
      </c>
      <c r="U147" s="12">
        <f>IF(T147&gt;0,IF(T147&lt;=eco,alpha*fck*(1-(1-T147/eco)^n),alpha*fck),0)</f>
      </c>
      <c r="V147" s="30">
        <f>PM_Angle!$J$13+PM_Angle!$K$13*$C147+PM_Angle!$L$13*$B147</f>
      </c>
      <c r="W147" s="12">
        <f>IF(V147&gt;0,IF(V147&lt;=eco,alpha*fck*(1-(1-V147/eco)^n),alpha*fck),0)</f>
      </c>
      <c r="X147" s="30">
        <f>PM_Angle!$J$14+PM_Angle!$K$14*$C147+PM_Angle!$L$14*$B147</f>
      </c>
      <c r="Y147" s="12">
        <f>IF(X147&gt;0,IF(X147&lt;=eco,alpha*fck*(1-(1-X147/eco)^n),alpha*fck),0)</f>
      </c>
      <c r="Z147" s="30">
        <f>PM_Angle!$J$15+PM_Angle!$K$15*$C147+PM_Angle!$L$15*$B147</f>
      </c>
      <c r="AA147" s="12">
        <f>IF(Z147&gt;0,IF(Z147&lt;=eco,alpha*fck*(1-(1-Z147/eco)^n),alpha*fck),0)</f>
      </c>
      <c r="AB147" s="30">
        <f>PM_Angle!$J$16+PM_Angle!$K$16*$C147+PM_Angle!$L$16*$B147</f>
      </c>
      <c r="AC147" s="12">
        <f>IF(AB147&gt;0,IF(AB147&lt;=eco,alpha*fck*(1-(1-AB147/eco)^n),alpha*fck),0)</f>
      </c>
      <c r="AD147" s="30">
        <f>PM_Angle!$J$17+PM_Angle!$K$17*$C147+PM_Angle!$L$17*$B147</f>
      </c>
      <c r="AE147" s="12">
        <f>IF(AD147&gt;0,IF(AD147&lt;=eco,alpha*fck*(1-(1-AD147/eco)^n),alpha*fck),0)</f>
      </c>
      <c r="AF147" s="30">
        <f>PM_Angle!$J$18+PM_Angle!$K$18*$C147+PM_Angle!$L$18*$B147</f>
      </c>
      <c r="AG147" s="12">
        <f>IF(AF147&gt;0,IF(AF147&lt;=eco,alpha*fck*(1-(1-AF147/eco)^n),alpha*fck),0)</f>
      </c>
      <c r="AH147" s="30">
        <f>PM_Angle!$J$19+PM_Angle!$K$19*$C147+PM_Angle!$L$19*$B147</f>
      </c>
      <c r="AI147" s="12">
        <f>IF(AH147&gt;0,IF(AH147&lt;=eco,alpha*fck*(1-(1-AH147/eco)^n),alpha*fck),0)</f>
      </c>
      <c r="AJ147" s="30">
        <f>PM_Angle!$J$20+PM_Angle!$K$20*$C147+PM_Angle!$L$20*$B147</f>
      </c>
      <c r="AK147" s="12">
        <f>IF(AJ147&gt;0,IF(AJ147&lt;=eco,alpha*fck*(1-(1-AJ147/eco)^n),alpha*fck),0)</f>
      </c>
      <c r="AL147" s="30">
        <f>PM_Angle!$J$21+PM_Angle!$K$21*$C147+PM_Angle!$L$21*$B147</f>
      </c>
      <c r="AM147" s="12">
        <f>IF(AL147&gt;0,IF(AL147&lt;=eco,alpha*fck*(1-(1-AL147/eco)^n),alpha*fck),0)</f>
      </c>
      <c r="AN147" s="30">
        <f>PM_Angle!$J$22+PM_Angle!$K$22*$C147+PM_Angle!$L$22*$B147</f>
      </c>
      <c r="AO147" s="12">
        <f>IF(AN147&gt;0,IF(AN147&lt;=eco,alpha*fck*(1-(1-AN147/eco)^n),alpha*fck),0)</f>
      </c>
      <c r="AP147" s="30">
        <f>PM_Angle!$J$23+PM_Angle!$K$23*$C147+PM_Angle!$L$23*$B147</f>
      </c>
      <c r="AQ147" s="12">
        <f>IF(AP147&gt;0,IF(AP147&lt;=eco,alpha*fck*(1-(1-AP147/eco)^n),alpha*fck),0)</f>
      </c>
      <c r="AR147" s="30">
        <f>PM_Angle!$J$24+PM_Angle!$K$24*$C147+PM_Angle!$L$24*$B147</f>
      </c>
      <c r="AS147" s="12">
        <f>IF(AR147&gt;0,IF(AR147&lt;=eco,alpha*fck*(1-(1-AR147/eco)^n),alpha*fck),0)</f>
      </c>
      <c r="AT147" s="30">
        <f>PM_Angle!$J$25+PM_Angle!$K$25*$C147+PM_Angle!$L$25*$B147</f>
      </c>
      <c r="AU147" s="12">
        <f>IF(AT147&gt;0,IF(AT147&lt;=eco,alpha*fck*(1-(1-AT147/eco)^n),alpha*fck),0)</f>
      </c>
    </row>
    <row r="148" spans="1:47" x14ac:dyDescent="0.25">
      <c r="A148">
        <f>Mesh!A145</f>
      </c>
      <c r="B148" s="12">
        <f>Mesh!B145</f>
      </c>
      <c r="C148" s="12">
        <f>Mesh!C145</f>
      </c>
      <c r="D148" s="12">
        <f>Mesh!D145</f>
      </c>
      <c r="E148" s="30">
        <f>INDEX(St_e0,Det+1)+INDEX(St_kx,Det+1)*C148+INDEX(St_ky,Det+1)*B148</f>
      </c>
      <c r="F148" s="12">
        <f>IF(E148&gt;0,IF(E148&lt;=eco,alpha*fck*(1-(1-E148/eco)^n),alpha*fck),0)</f>
      </c>
      <c r="G148" s="11">
        <f>F148*D148</f>
      </c>
      <c r="H148" s="11">
        <f>G148*C148</f>
      </c>
      <c r="I148" s="11">
        <f>G148*B148</f>
      </c>
      <c r="J148" s="30">
        <f>PM_Angle!$J$7+PM_Angle!$K$7*$C148+PM_Angle!$L$7*$B148</f>
      </c>
      <c r="K148" s="12">
        <f>IF(J148&gt;0,IF(J148&lt;=eco,alpha*fck*(1-(1-J148/eco)^n),alpha*fck),0)</f>
      </c>
      <c r="L148" s="30">
        <f>PM_Angle!$J$8+PM_Angle!$K$8*$C148+PM_Angle!$L$8*$B148</f>
      </c>
      <c r="M148" s="12">
        <f>IF(L148&gt;0,IF(L148&lt;=eco,alpha*fck*(1-(1-L148/eco)^n),alpha*fck),0)</f>
      </c>
      <c r="N148" s="30">
        <f>PM_Angle!$J$9+PM_Angle!$K$9*$C148+PM_Angle!$L$9*$B148</f>
      </c>
      <c r="O148" s="12">
        <f>IF(N148&gt;0,IF(N148&lt;=eco,alpha*fck*(1-(1-N148/eco)^n),alpha*fck),0)</f>
      </c>
      <c r="P148" s="30">
        <f>PM_Angle!$J$10+PM_Angle!$K$10*$C148+PM_Angle!$L$10*$B148</f>
      </c>
      <c r="Q148" s="12">
        <f>IF(P148&gt;0,IF(P148&lt;=eco,alpha*fck*(1-(1-P148/eco)^n),alpha*fck),0)</f>
      </c>
      <c r="R148" s="30">
        <f>PM_Angle!$J$11+PM_Angle!$K$11*$C148+PM_Angle!$L$11*$B148</f>
      </c>
      <c r="S148" s="12">
        <f>IF(R148&gt;0,IF(R148&lt;=eco,alpha*fck*(1-(1-R148/eco)^n),alpha*fck),0)</f>
      </c>
      <c r="T148" s="30">
        <f>PM_Angle!$J$12+PM_Angle!$K$12*$C148+PM_Angle!$L$12*$B148</f>
      </c>
      <c r="U148" s="12">
        <f>IF(T148&gt;0,IF(T148&lt;=eco,alpha*fck*(1-(1-T148/eco)^n),alpha*fck),0)</f>
      </c>
      <c r="V148" s="30">
        <f>PM_Angle!$J$13+PM_Angle!$K$13*$C148+PM_Angle!$L$13*$B148</f>
      </c>
      <c r="W148" s="12">
        <f>IF(V148&gt;0,IF(V148&lt;=eco,alpha*fck*(1-(1-V148/eco)^n),alpha*fck),0)</f>
      </c>
      <c r="X148" s="30">
        <f>PM_Angle!$J$14+PM_Angle!$K$14*$C148+PM_Angle!$L$14*$B148</f>
      </c>
      <c r="Y148" s="12">
        <f>IF(X148&gt;0,IF(X148&lt;=eco,alpha*fck*(1-(1-X148/eco)^n),alpha*fck),0)</f>
      </c>
      <c r="Z148" s="30">
        <f>PM_Angle!$J$15+PM_Angle!$K$15*$C148+PM_Angle!$L$15*$B148</f>
      </c>
      <c r="AA148" s="12">
        <f>IF(Z148&gt;0,IF(Z148&lt;=eco,alpha*fck*(1-(1-Z148/eco)^n),alpha*fck),0)</f>
      </c>
      <c r="AB148" s="30">
        <f>PM_Angle!$J$16+PM_Angle!$K$16*$C148+PM_Angle!$L$16*$B148</f>
      </c>
      <c r="AC148" s="12">
        <f>IF(AB148&gt;0,IF(AB148&lt;=eco,alpha*fck*(1-(1-AB148/eco)^n),alpha*fck),0)</f>
      </c>
      <c r="AD148" s="30">
        <f>PM_Angle!$J$17+PM_Angle!$K$17*$C148+PM_Angle!$L$17*$B148</f>
      </c>
      <c r="AE148" s="12">
        <f>IF(AD148&gt;0,IF(AD148&lt;=eco,alpha*fck*(1-(1-AD148/eco)^n),alpha*fck),0)</f>
      </c>
      <c r="AF148" s="30">
        <f>PM_Angle!$J$18+PM_Angle!$K$18*$C148+PM_Angle!$L$18*$B148</f>
      </c>
      <c r="AG148" s="12">
        <f>IF(AF148&gt;0,IF(AF148&lt;=eco,alpha*fck*(1-(1-AF148/eco)^n),alpha*fck),0)</f>
      </c>
      <c r="AH148" s="30">
        <f>PM_Angle!$J$19+PM_Angle!$K$19*$C148+PM_Angle!$L$19*$B148</f>
      </c>
      <c r="AI148" s="12">
        <f>IF(AH148&gt;0,IF(AH148&lt;=eco,alpha*fck*(1-(1-AH148/eco)^n),alpha*fck),0)</f>
      </c>
      <c r="AJ148" s="30">
        <f>PM_Angle!$J$20+PM_Angle!$K$20*$C148+PM_Angle!$L$20*$B148</f>
      </c>
      <c r="AK148" s="12">
        <f>IF(AJ148&gt;0,IF(AJ148&lt;=eco,alpha*fck*(1-(1-AJ148/eco)^n),alpha*fck),0)</f>
      </c>
      <c r="AL148" s="30">
        <f>PM_Angle!$J$21+PM_Angle!$K$21*$C148+PM_Angle!$L$21*$B148</f>
      </c>
      <c r="AM148" s="12">
        <f>IF(AL148&gt;0,IF(AL148&lt;=eco,alpha*fck*(1-(1-AL148/eco)^n),alpha*fck),0)</f>
      </c>
      <c r="AN148" s="30">
        <f>PM_Angle!$J$22+PM_Angle!$K$22*$C148+PM_Angle!$L$22*$B148</f>
      </c>
      <c r="AO148" s="12">
        <f>IF(AN148&gt;0,IF(AN148&lt;=eco,alpha*fck*(1-(1-AN148/eco)^n),alpha*fck),0)</f>
      </c>
      <c r="AP148" s="30">
        <f>PM_Angle!$J$23+PM_Angle!$K$23*$C148+PM_Angle!$L$23*$B148</f>
      </c>
      <c r="AQ148" s="12">
        <f>IF(AP148&gt;0,IF(AP148&lt;=eco,alpha*fck*(1-(1-AP148/eco)^n),alpha*fck),0)</f>
      </c>
      <c r="AR148" s="30">
        <f>PM_Angle!$J$24+PM_Angle!$K$24*$C148+PM_Angle!$L$24*$B148</f>
      </c>
      <c r="AS148" s="12">
        <f>IF(AR148&gt;0,IF(AR148&lt;=eco,alpha*fck*(1-(1-AR148/eco)^n),alpha*fck),0)</f>
      </c>
      <c r="AT148" s="30">
        <f>PM_Angle!$J$25+PM_Angle!$K$25*$C148+PM_Angle!$L$25*$B148</f>
      </c>
      <c r="AU148" s="12">
        <f>IF(AT148&gt;0,IF(AT148&lt;=eco,alpha*fck*(1-(1-AT148/eco)^n),alpha*fck),0)</f>
      </c>
    </row>
    <row r="149" spans="1:47" x14ac:dyDescent="0.25">
      <c r="A149">
        <f>Mesh!A146</f>
      </c>
      <c r="B149" s="12">
        <f>Mesh!B146</f>
      </c>
      <c r="C149" s="12">
        <f>Mesh!C146</f>
      </c>
      <c r="D149" s="12">
        <f>Mesh!D146</f>
      </c>
      <c r="E149" s="30">
        <f>INDEX(St_e0,Det+1)+INDEX(St_kx,Det+1)*C149+INDEX(St_ky,Det+1)*B149</f>
      </c>
      <c r="F149" s="12">
        <f>IF(E149&gt;0,IF(E149&lt;=eco,alpha*fck*(1-(1-E149/eco)^n),alpha*fck),0)</f>
      </c>
      <c r="G149" s="11">
        <f>F149*D149</f>
      </c>
      <c r="H149" s="11">
        <f>G149*C149</f>
      </c>
      <c r="I149" s="11">
        <f>G149*B149</f>
      </c>
      <c r="J149" s="30">
        <f>PM_Angle!$J$7+PM_Angle!$K$7*$C149+PM_Angle!$L$7*$B149</f>
      </c>
      <c r="K149" s="12">
        <f>IF(J149&gt;0,IF(J149&lt;=eco,alpha*fck*(1-(1-J149/eco)^n),alpha*fck),0)</f>
      </c>
      <c r="L149" s="30">
        <f>PM_Angle!$J$8+PM_Angle!$K$8*$C149+PM_Angle!$L$8*$B149</f>
      </c>
      <c r="M149" s="12">
        <f>IF(L149&gt;0,IF(L149&lt;=eco,alpha*fck*(1-(1-L149/eco)^n),alpha*fck),0)</f>
      </c>
      <c r="N149" s="30">
        <f>PM_Angle!$J$9+PM_Angle!$K$9*$C149+PM_Angle!$L$9*$B149</f>
      </c>
      <c r="O149" s="12">
        <f>IF(N149&gt;0,IF(N149&lt;=eco,alpha*fck*(1-(1-N149/eco)^n),alpha*fck),0)</f>
      </c>
      <c r="P149" s="30">
        <f>PM_Angle!$J$10+PM_Angle!$K$10*$C149+PM_Angle!$L$10*$B149</f>
      </c>
      <c r="Q149" s="12">
        <f>IF(P149&gt;0,IF(P149&lt;=eco,alpha*fck*(1-(1-P149/eco)^n),alpha*fck),0)</f>
      </c>
      <c r="R149" s="30">
        <f>PM_Angle!$J$11+PM_Angle!$K$11*$C149+PM_Angle!$L$11*$B149</f>
      </c>
      <c r="S149" s="12">
        <f>IF(R149&gt;0,IF(R149&lt;=eco,alpha*fck*(1-(1-R149/eco)^n),alpha*fck),0)</f>
      </c>
      <c r="T149" s="30">
        <f>PM_Angle!$J$12+PM_Angle!$K$12*$C149+PM_Angle!$L$12*$B149</f>
      </c>
      <c r="U149" s="12">
        <f>IF(T149&gt;0,IF(T149&lt;=eco,alpha*fck*(1-(1-T149/eco)^n),alpha*fck),0)</f>
      </c>
      <c r="V149" s="30">
        <f>PM_Angle!$J$13+PM_Angle!$K$13*$C149+PM_Angle!$L$13*$B149</f>
      </c>
      <c r="W149" s="12">
        <f>IF(V149&gt;0,IF(V149&lt;=eco,alpha*fck*(1-(1-V149/eco)^n),alpha*fck),0)</f>
      </c>
      <c r="X149" s="30">
        <f>PM_Angle!$J$14+PM_Angle!$K$14*$C149+PM_Angle!$L$14*$B149</f>
      </c>
      <c r="Y149" s="12">
        <f>IF(X149&gt;0,IF(X149&lt;=eco,alpha*fck*(1-(1-X149/eco)^n),alpha*fck),0)</f>
      </c>
      <c r="Z149" s="30">
        <f>PM_Angle!$J$15+PM_Angle!$K$15*$C149+PM_Angle!$L$15*$B149</f>
      </c>
      <c r="AA149" s="12">
        <f>IF(Z149&gt;0,IF(Z149&lt;=eco,alpha*fck*(1-(1-Z149/eco)^n),alpha*fck),0)</f>
      </c>
      <c r="AB149" s="30">
        <f>PM_Angle!$J$16+PM_Angle!$K$16*$C149+PM_Angle!$L$16*$B149</f>
      </c>
      <c r="AC149" s="12">
        <f>IF(AB149&gt;0,IF(AB149&lt;=eco,alpha*fck*(1-(1-AB149/eco)^n),alpha*fck),0)</f>
      </c>
      <c r="AD149" s="30">
        <f>PM_Angle!$J$17+PM_Angle!$K$17*$C149+PM_Angle!$L$17*$B149</f>
      </c>
      <c r="AE149" s="12">
        <f>IF(AD149&gt;0,IF(AD149&lt;=eco,alpha*fck*(1-(1-AD149/eco)^n),alpha*fck),0)</f>
      </c>
      <c r="AF149" s="30">
        <f>PM_Angle!$J$18+PM_Angle!$K$18*$C149+PM_Angle!$L$18*$B149</f>
      </c>
      <c r="AG149" s="12">
        <f>IF(AF149&gt;0,IF(AF149&lt;=eco,alpha*fck*(1-(1-AF149/eco)^n),alpha*fck),0)</f>
      </c>
      <c r="AH149" s="30">
        <f>PM_Angle!$J$19+PM_Angle!$K$19*$C149+PM_Angle!$L$19*$B149</f>
      </c>
      <c r="AI149" s="12">
        <f>IF(AH149&gt;0,IF(AH149&lt;=eco,alpha*fck*(1-(1-AH149/eco)^n),alpha*fck),0)</f>
      </c>
      <c r="AJ149" s="30">
        <f>PM_Angle!$J$20+PM_Angle!$K$20*$C149+PM_Angle!$L$20*$B149</f>
      </c>
      <c r="AK149" s="12">
        <f>IF(AJ149&gt;0,IF(AJ149&lt;=eco,alpha*fck*(1-(1-AJ149/eco)^n),alpha*fck),0)</f>
      </c>
      <c r="AL149" s="30">
        <f>PM_Angle!$J$21+PM_Angle!$K$21*$C149+PM_Angle!$L$21*$B149</f>
      </c>
      <c r="AM149" s="12">
        <f>IF(AL149&gt;0,IF(AL149&lt;=eco,alpha*fck*(1-(1-AL149/eco)^n),alpha*fck),0)</f>
      </c>
      <c r="AN149" s="30">
        <f>PM_Angle!$J$22+PM_Angle!$K$22*$C149+PM_Angle!$L$22*$B149</f>
      </c>
      <c r="AO149" s="12">
        <f>IF(AN149&gt;0,IF(AN149&lt;=eco,alpha*fck*(1-(1-AN149/eco)^n),alpha*fck),0)</f>
      </c>
      <c r="AP149" s="30">
        <f>PM_Angle!$J$23+PM_Angle!$K$23*$C149+PM_Angle!$L$23*$B149</f>
      </c>
      <c r="AQ149" s="12">
        <f>IF(AP149&gt;0,IF(AP149&lt;=eco,alpha*fck*(1-(1-AP149/eco)^n),alpha*fck),0)</f>
      </c>
      <c r="AR149" s="30">
        <f>PM_Angle!$J$24+PM_Angle!$K$24*$C149+PM_Angle!$L$24*$B149</f>
      </c>
      <c r="AS149" s="12">
        <f>IF(AR149&gt;0,IF(AR149&lt;=eco,alpha*fck*(1-(1-AR149/eco)^n),alpha*fck),0)</f>
      </c>
      <c r="AT149" s="30">
        <f>PM_Angle!$J$25+PM_Angle!$K$25*$C149+PM_Angle!$L$25*$B149</f>
      </c>
      <c r="AU149" s="12">
        <f>IF(AT149&gt;0,IF(AT149&lt;=eco,alpha*fck*(1-(1-AT149/eco)^n),alpha*fck),0)</f>
      </c>
    </row>
    <row r="150" spans="1:47" x14ac:dyDescent="0.25">
      <c r="A150">
        <f>Mesh!A147</f>
      </c>
      <c r="B150" s="12">
        <f>Mesh!B147</f>
      </c>
      <c r="C150" s="12">
        <f>Mesh!C147</f>
      </c>
      <c r="D150" s="12">
        <f>Mesh!D147</f>
      </c>
      <c r="E150" s="30">
        <f>INDEX(St_e0,Det+1)+INDEX(St_kx,Det+1)*C150+INDEX(St_ky,Det+1)*B150</f>
      </c>
      <c r="F150" s="12">
        <f>IF(E150&gt;0,IF(E150&lt;=eco,alpha*fck*(1-(1-E150/eco)^n),alpha*fck),0)</f>
      </c>
      <c r="G150" s="11">
        <f>F150*D150</f>
      </c>
      <c r="H150" s="11">
        <f>G150*C150</f>
      </c>
      <c r="I150" s="11">
        <f>G150*B150</f>
      </c>
      <c r="J150" s="30">
        <f>PM_Angle!$J$7+PM_Angle!$K$7*$C150+PM_Angle!$L$7*$B150</f>
      </c>
      <c r="K150" s="12">
        <f>IF(J150&gt;0,IF(J150&lt;=eco,alpha*fck*(1-(1-J150/eco)^n),alpha*fck),0)</f>
      </c>
      <c r="L150" s="30">
        <f>PM_Angle!$J$8+PM_Angle!$K$8*$C150+PM_Angle!$L$8*$B150</f>
      </c>
      <c r="M150" s="12">
        <f>IF(L150&gt;0,IF(L150&lt;=eco,alpha*fck*(1-(1-L150/eco)^n),alpha*fck),0)</f>
      </c>
      <c r="N150" s="30">
        <f>PM_Angle!$J$9+PM_Angle!$K$9*$C150+PM_Angle!$L$9*$B150</f>
      </c>
      <c r="O150" s="12">
        <f>IF(N150&gt;0,IF(N150&lt;=eco,alpha*fck*(1-(1-N150/eco)^n),alpha*fck),0)</f>
      </c>
      <c r="P150" s="30">
        <f>PM_Angle!$J$10+PM_Angle!$K$10*$C150+PM_Angle!$L$10*$B150</f>
      </c>
      <c r="Q150" s="12">
        <f>IF(P150&gt;0,IF(P150&lt;=eco,alpha*fck*(1-(1-P150/eco)^n),alpha*fck),0)</f>
      </c>
      <c r="R150" s="30">
        <f>PM_Angle!$J$11+PM_Angle!$K$11*$C150+PM_Angle!$L$11*$B150</f>
      </c>
      <c r="S150" s="12">
        <f>IF(R150&gt;0,IF(R150&lt;=eco,alpha*fck*(1-(1-R150/eco)^n),alpha*fck),0)</f>
      </c>
      <c r="T150" s="30">
        <f>PM_Angle!$J$12+PM_Angle!$K$12*$C150+PM_Angle!$L$12*$B150</f>
      </c>
      <c r="U150" s="12">
        <f>IF(T150&gt;0,IF(T150&lt;=eco,alpha*fck*(1-(1-T150/eco)^n),alpha*fck),0)</f>
      </c>
      <c r="V150" s="30">
        <f>PM_Angle!$J$13+PM_Angle!$K$13*$C150+PM_Angle!$L$13*$B150</f>
      </c>
      <c r="W150" s="12">
        <f>IF(V150&gt;0,IF(V150&lt;=eco,alpha*fck*(1-(1-V150/eco)^n),alpha*fck),0)</f>
      </c>
      <c r="X150" s="30">
        <f>PM_Angle!$J$14+PM_Angle!$K$14*$C150+PM_Angle!$L$14*$B150</f>
      </c>
      <c r="Y150" s="12">
        <f>IF(X150&gt;0,IF(X150&lt;=eco,alpha*fck*(1-(1-X150/eco)^n),alpha*fck),0)</f>
      </c>
      <c r="Z150" s="30">
        <f>PM_Angle!$J$15+PM_Angle!$K$15*$C150+PM_Angle!$L$15*$B150</f>
      </c>
      <c r="AA150" s="12">
        <f>IF(Z150&gt;0,IF(Z150&lt;=eco,alpha*fck*(1-(1-Z150/eco)^n),alpha*fck),0)</f>
      </c>
      <c r="AB150" s="30">
        <f>PM_Angle!$J$16+PM_Angle!$K$16*$C150+PM_Angle!$L$16*$B150</f>
      </c>
      <c r="AC150" s="12">
        <f>IF(AB150&gt;0,IF(AB150&lt;=eco,alpha*fck*(1-(1-AB150/eco)^n),alpha*fck),0)</f>
      </c>
      <c r="AD150" s="30">
        <f>PM_Angle!$J$17+PM_Angle!$K$17*$C150+PM_Angle!$L$17*$B150</f>
      </c>
      <c r="AE150" s="12">
        <f>IF(AD150&gt;0,IF(AD150&lt;=eco,alpha*fck*(1-(1-AD150/eco)^n),alpha*fck),0)</f>
      </c>
      <c r="AF150" s="30">
        <f>PM_Angle!$J$18+PM_Angle!$K$18*$C150+PM_Angle!$L$18*$B150</f>
      </c>
      <c r="AG150" s="12">
        <f>IF(AF150&gt;0,IF(AF150&lt;=eco,alpha*fck*(1-(1-AF150/eco)^n),alpha*fck),0)</f>
      </c>
      <c r="AH150" s="30">
        <f>PM_Angle!$J$19+PM_Angle!$K$19*$C150+PM_Angle!$L$19*$B150</f>
      </c>
      <c r="AI150" s="12">
        <f>IF(AH150&gt;0,IF(AH150&lt;=eco,alpha*fck*(1-(1-AH150/eco)^n),alpha*fck),0)</f>
      </c>
      <c r="AJ150" s="30">
        <f>PM_Angle!$J$20+PM_Angle!$K$20*$C150+PM_Angle!$L$20*$B150</f>
      </c>
      <c r="AK150" s="12">
        <f>IF(AJ150&gt;0,IF(AJ150&lt;=eco,alpha*fck*(1-(1-AJ150/eco)^n),alpha*fck),0)</f>
      </c>
      <c r="AL150" s="30">
        <f>PM_Angle!$J$21+PM_Angle!$K$21*$C150+PM_Angle!$L$21*$B150</f>
      </c>
      <c r="AM150" s="12">
        <f>IF(AL150&gt;0,IF(AL150&lt;=eco,alpha*fck*(1-(1-AL150/eco)^n),alpha*fck),0)</f>
      </c>
      <c r="AN150" s="30">
        <f>PM_Angle!$J$22+PM_Angle!$K$22*$C150+PM_Angle!$L$22*$B150</f>
      </c>
      <c r="AO150" s="12">
        <f>IF(AN150&gt;0,IF(AN150&lt;=eco,alpha*fck*(1-(1-AN150/eco)^n),alpha*fck),0)</f>
      </c>
      <c r="AP150" s="30">
        <f>PM_Angle!$J$23+PM_Angle!$K$23*$C150+PM_Angle!$L$23*$B150</f>
      </c>
      <c r="AQ150" s="12">
        <f>IF(AP150&gt;0,IF(AP150&lt;=eco,alpha*fck*(1-(1-AP150/eco)^n),alpha*fck),0)</f>
      </c>
      <c r="AR150" s="30">
        <f>PM_Angle!$J$24+PM_Angle!$K$24*$C150+PM_Angle!$L$24*$B150</f>
      </c>
      <c r="AS150" s="12">
        <f>IF(AR150&gt;0,IF(AR150&lt;=eco,alpha*fck*(1-(1-AR150/eco)^n),alpha*fck),0)</f>
      </c>
      <c r="AT150" s="30">
        <f>PM_Angle!$J$25+PM_Angle!$K$25*$C150+PM_Angle!$L$25*$B150</f>
      </c>
      <c r="AU150" s="12">
        <f>IF(AT150&gt;0,IF(AT150&lt;=eco,alpha*fck*(1-(1-AT150/eco)^n),alpha*fck),0)</f>
      </c>
    </row>
    <row r="151" spans="1:47" x14ac:dyDescent="0.25">
      <c r="A151">
        <f>Mesh!A148</f>
      </c>
      <c r="B151" s="12">
        <f>Mesh!B148</f>
      </c>
      <c r="C151" s="12">
        <f>Mesh!C148</f>
      </c>
      <c r="D151" s="12">
        <f>Mesh!D148</f>
      </c>
      <c r="E151" s="30">
        <f>INDEX(St_e0,Det+1)+INDEX(St_kx,Det+1)*C151+INDEX(St_ky,Det+1)*B151</f>
      </c>
      <c r="F151" s="12">
        <f>IF(E151&gt;0,IF(E151&lt;=eco,alpha*fck*(1-(1-E151/eco)^n),alpha*fck),0)</f>
      </c>
      <c r="G151" s="11">
        <f>F151*D151</f>
      </c>
      <c r="H151" s="11">
        <f>G151*C151</f>
      </c>
      <c r="I151" s="11">
        <f>G151*B151</f>
      </c>
      <c r="J151" s="30">
        <f>PM_Angle!$J$7+PM_Angle!$K$7*$C151+PM_Angle!$L$7*$B151</f>
      </c>
      <c r="K151" s="12">
        <f>IF(J151&gt;0,IF(J151&lt;=eco,alpha*fck*(1-(1-J151/eco)^n),alpha*fck),0)</f>
      </c>
      <c r="L151" s="30">
        <f>PM_Angle!$J$8+PM_Angle!$K$8*$C151+PM_Angle!$L$8*$B151</f>
      </c>
      <c r="M151" s="12">
        <f>IF(L151&gt;0,IF(L151&lt;=eco,alpha*fck*(1-(1-L151/eco)^n),alpha*fck),0)</f>
      </c>
      <c r="N151" s="30">
        <f>PM_Angle!$J$9+PM_Angle!$K$9*$C151+PM_Angle!$L$9*$B151</f>
      </c>
      <c r="O151" s="12">
        <f>IF(N151&gt;0,IF(N151&lt;=eco,alpha*fck*(1-(1-N151/eco)^n),alpha*fck),0)</f>
      </c>
      <c r="P151" s="30">
        <f>PM_Angle!$J$10+PM_Angle!$K$10*$C151+PM_Angle!$L$10*$B151</f>
      </c>
      <c r="Q151" s="12">
        <f>IF(P151&gt;0,IF(P151&lt;=eco,alpha*fck*(1-(1-P151/eco)^n),alpha*fck),0)</f>
      </c>
      <c r="R151" s="30">
        <f>PM_Angle!$J$11+PM_Angle!$K$11*$C151+PM_Angle!$L$11*$B151</f>
      </c>
      <c r="S151" s="12">
        <f>IF(R151&gt;0,IF(R151&lt;=eco,alpha*fck*(1-(1-R151/eco)^n),alpha*fck),0)</f>
      </c>
      <c r="T151" s="30">
        <f>PM_Angle!$J$12+PM_Angle!$K$12*$C151+PM_Angle!$L$12*$B151</f>
      </c>
      <c r="U151" s="12">
        <f>IF(T151&gt;0,IF(T151&lt;=eco,alpha*fck*(1-(1-T151/eco)^n),alpha*fck),0)</f>
      </c>
      <c r="V151" s="30">
        <f>PM_Angle!$J$13+PM_Angle!$K$13*$C151+PM_Angle!$L$13*$B151</f>
      </c>
      <c r="W151" s="12">
        <f>IF(V151&gt;0,IF(V151&lt;=eco,alpha*fck*(1-(1-V151/eco)^n),alpha*fck),0)</f>
      </c>
      <c r="X151" s="30">
        <f>PM_Angle!$J$14+PM_Angle!$K$14*$C151+PM_Angle!$L$14*$B151</f>
      </c>
      <c r="Y151" s="12">
        <f>IF(X151&gt;0,IF(X151&lt;=eco,alpha*fck*(1-(1-X151/eco)^n),alpha*fck),0)</f>
      </c>
      <c r="Z151" s="30">
        <f>PM_Angle!$J$15+PM_Angle!$K$15*$C151+PM_Angle!$L$15*$B151</f>
      </c>
      <c r="AA151" s="12">
        <f>IF(Z151&gt;0,IF(Z151&lt;=eco,alpha*fck*(1-(1-Z151/eco)^n),alpha*fck),0)</f>
      </c>
      <c r="AB151" s="30">
        <f>PM_Angle!$J$16+PM_Angle!$K$16*$C151+PM_Angle!$L$16*$B151</f>
      </c>
      <c r="AC151" s="12">
        <f>IF(AB151&gt;0,IF(AB151&lt;=eco,alpha*fck*(1-(1-AB151/eco)^n),alpha*fck),0)</f>
      </c>
      <c r="AD151" s="30">
        <f>PM_Angle!$J$17+PM_Angle!$K$17*$C151+PM_Angle!$L$17*$B151</f>
      </c>
      <c r="AE151" s="12">
        <f>IF(AD151&gt;0,IF(AD151&lt;=eco,alpha*fck*(1-(1-AD151/eco)^n),alpha*fck),0)</f>
      </c>
      <c r="AF151" s="30">
        <f>PM_Angle!$J$18+PM_Angle!$K$18*$C151+PM_Angle!$L$18*$B151</f>
      </c>
      <c r="AG151" s="12">
        <f>IF(AF151&gt;0,IF(AF151&lt;=eco,alpha*fck*(1-(1-AF151/eco)^n),alpha*fck),0)</f>
      </c>
      <c r="AH151" s="30">
        <f>PM_Angle!$J$19+PM_Angle!$K$19*$C151+PM_Angle!$L$19*$B151</f>
      </c>
      <c r="AI151" s="12">
        <f>IF(AH151&gt;0,IF(AH151&lt;=eco,alpha*fck*(1-(1-AH151/eco)^n),alpha*fck),0)</f>
      </c>
      <c r="AJ151" s="30">
        <f>PM_Angle!$J$20+PM_Angle!$K$20*$C151+PM_Angle!$L$20*$B151</f>
      </c>
      <c r="AK151" s="12">
        <f>IF(AJ151&gt;0,IF(AJ151&lt;=eco,alpha*fck*(1-(1-AJ151/eco)^n),alpha*fck),0)</f>
      </c>
      <c r="AL151" s="30">
        <f>PM_Angle!$J$21+PM_Angle!$K$21*$C151+PM_Angle!$L$21*$B151</f>
      </c>
      <c r="AM151" s="12">
        <f>IF(AL151&gt;0,IF(AL151&lt;=eco,alpha*fck*(1-(1-AL151/eco)^n),alpha*fck),0)</f>
      </c>
      <c r="AN151" s="30">
        <f>PM_Angle!$J$22+PM_Angle!$K$22*$C151+PM_Angle!$L$22*$B151</f>
      </c>
      <c r="AO151" s="12">
        <f>IF(AN151&gt;0,IF(AN151&lt;=eco,alpha*fck*(1-(1-AN151/eco)^n),alpha*fck),0)</f>
      </c>
      <c r="AP151" s="30">
        <f>PM_Angle!$J$23+PM_Angle!$K$23*$C151+PM_Angle!$L$23*$B151</f>
      </c>
      <c r="AQ151" s="12">
        <f>IF(AP151&gt;0,IF(AP151&lt;=eco,alpha*fck*(1-(1-AP151/eco)^n),alpha*fck),0)</f>
      </c>
      <c r="AR151" s="30">
        <f>PM_Angle!$J$24+PM_Angle!$K$24*$C151+PM_Angle!$L$24*$B151</f>
      </c>
      <c r="AS151" s="12">
        <f>IF(AR151&gt;0,IF(AR151&lt;=eco,alpha*fck*(1-(1-AR151/eco)^n),alpha*fck),0)</f>
      </c>
      <c r="AT151" s="30">
        <f>PM_Angle!$J$25+PM_Angle!$K$25*$C151+PM_Angle!$L$25*$B151</f>
      </c>
      <c r="AU151" s="12">
        <f>IF(AT151&gt;0,IF(AT151&lt;=eco,alpha*fck*(1-(1-AT151/eco)^n),alpha*fck),0)</f>
      </c>
    </row>
    <row r="152" spans="1:47" x14ac:dyDescent="0.25">
      <c r="A152">
        <f>Mesh!A149</f>
      </c>
      <c r="B152" s="12">
        <f>Mesh!B149</f>
      </c>
      <c r="C152" s="12">
        <f>Mesh!C149</f>
      </c>
      <c r="D152" s="12">
        <f>Mesh!D149</f>
      </c>
      <c r="E152" s="30">
        <f>INDEX(St_e0,Det+1)+INDEX(St_kx,Det+1)*C152+INDEX(St_ky,Det+1)*B152</f>
      </c>
      <c r="F152" s="12">
        <f>IF(E152&gt;0,IF(E152&lt;=eco,alpha*fck*(1-(1-E152/eco)^n),alpha*fck),0)</f>
      </c>
      <c r="G152" s="11">
        <f>F152*D152</f>
      </c>
      <c r="H152" s="11">
        <f>G152*C152</f>
      </c>
      <c r="I152" s="11">
        <f>G152*B152</f>
      </c>
      <c r="J152" s="30">
        <f>PM_Angle!$J$7+PM_Angle!$K$7*$C152+PM_Angle!$L$7*$B152</f>
      </c>
      <c r="K152" s="12">
        <f>IF(J152&gt;0,IF(J152&lt;=eco,alpha*fck*(1-(1-J152/eco)^n),alpha*fck),0)</f>
      </c>
      <c r="L152" s="30">
        <f>PM_Angle!$J$8+PM_Angle!$K$8*$C152+PM_Angle!$L$8*$B152</f>
      </c>
      <c r="M152" s="12">
        <f>IF(L152&gt;0,IF(L152&lt;=eco,alpha*fck*(1-(1-L152/eco)^n),alpha*fck),0)</f>
      </c>
      <c r="N152" s="30">
        <f>PM_Angle!$J$9+PM_Angle!$K$9*$C152+PM_Angle!$L$9*$B152</f>
      </c>
      <c r="O152" s="12">
        <f>IF(N152&gt;0,IF(N152&lt;=eco,alpha*fck*(1-(1-N152/eco)^n),alpha*fck),0)</f>
      </c>
      <c r="P152" s="30">
        <f>PM_Angle!$J$10+PM_Angle!$K$10*$C152+PM_Angle!$L$10*$B152</f>
      </c>
      <c r="Q152" s="12">
        <f>IF(P152&gt;0,IF(P152&lt;=eco,alpha*fck*(1-(1-P152/eco)^n),alpha*fck),0)</f>
      </c>
      <c r="R152" s="30">
        <f>PM_Angle!$J$11+PM_Angle!$K$11*$C152+PM_Angle!$L$11*$B152</f>
      </c>
      <c r="S152" s="12">
        <f>IF(R152&gt;0,IF(R152&lt;=eco,alpha*fck*(1-(1-R152/eco)^n),alpha*fck),0)</f>
      </c>
      <c r="T152" s="30">
        <f>PM_Angle!$J$12+PM_Angle!$K$12*$C152+PM_Angle!$L$12*$B152</f>
      </c>
      <c r="U152" s="12">
        <f>IF(T152&gt;0,IF(T152&lt;=eco,alpha*fck*(1-(1-T152/eco)^n),alpha*fck),0)</f>
      </c>
      <c r="V152" s="30">
        <f>PM_Angle!$J$13+PM_Angle!$K$13*$C152+PM_Angle!$L$13*$B152</f>
      </c>
      <c r="W152" s="12">
        <f>IF(V152&gt;0,IF(V152&lt;=eco,alpha*fck*(1-(1-V152/eco)^n),alpha*fck),0)</f>
      </c>
      <c r="X152" s="30">
        <f>PM_Angle!$J$14+PM_Angle!$K$14*$C152+PM_Angle!$L$14*$B152</f>
      </c>
      <c r="Y152" s="12">
        <f>IF(X152&gt;0,IF(X152&lt;=eco,alpha*fck*(1-(1-X152/eco)^n),alpha*fck),0)</f>
      </c>
      <c r="Z152" s="30">
        <f>PM_Angle!$J$15+PM_Angle!$K$15*$C152+PM_Angle!$L$15*$B152</f>
      </c>
      <c r="AA152" s="12">
        <f>IF(Z152&gt;0,IF(Z152&lt;=eco,alpha*fck*(1-(1-Z152/eco)^n),alpha*fck),0)</f>
      </c>
      <c r="AB152" s="30">
        <f>PM_Angle!$J$16+PM_Angle!$K$16*$C152+PM_Angle!$L$16*$B152</f>
      </c>
      <c r="AC152" s="12">
        <f>IF(AB152&gt;0,IF(AB152&lt;=eco,alpha*fck*(1-(1-AB152/eco)^n),alpha*fck),0)</f>
      </c>
      <c r="AD152" s="30">
        <f>PM_Angle!$J$17+PM_Angle!$K$17*$C152+PM_Angle!$L$17*$B152</f>
      </c>
      <c r="AE152" s="12">
        <f>IF(AD152&gt;0,IF(AD152&lt;=eco,alpha*fck*(1-(1-AD152/eco)^n),alpha*fck),0)</f>
      </c>
      <c r="AF152" s="30">
        <f>PM_Angle!$J$18+PM_Angle!$K$18*$C152+PM_Angle!$L$18*$B152</f>
      </c>
      <c r="AG152" s="12">
        <f>IF(AF152&gt;0,IF(AF152&lt;=eco,alpha*fck*(1-(1-AF152/eco)^n),alpha*fck),0)</f>
      </c>
      <c r="AH152" s="30">
        <f>PM_Angle!$J$19+PM_Angle!$K$19*$C152+PM_Angle!$L$19*$B152</f>
      </c>
      <c r="AI152" s="12">
        <f>IF(AH152&gt;0,IF(AH152&lt;=eco,alpha*fck*(1-(1-AH152/eco)^n),alpha*fck),0)</f>
      </c>
      <c r="AJ152" s="30">
        <f>PM_Angle!$J$20+PM_Angle!$K$20*$C152+PM_Angle!$L$20*$B152</f>
      </c>
      <c r="AK152" s="12">
        <f>IF(AJ152&gt;0,IF(AJ152&lt;=eco,alpha*fck*(1-(1-AJ152/eco)^n),alpha*fck),0)</f>
      </c>
      <c r="AL152" s="30">
        <f>PM_Angle!$J$21+PM_Angle!$K$21*$C152+PM_Angle!$L$21*$B152</f>
      </c>
      <c r="AM152" s="12">
        <f>IF(AL152&gt;0,IF(AL152&lt;=eco,alpha*fck*(1-(1-AL152/eco)^n),alpha*fck),0)</f>
      </c>
      <c r="AN152" s="30">
        <f>PM_Angle!$J$22+PM_Angle!$K$22*$C152+PM_Angle!$L$22*$B152</f>
      </c>
      <c r="AO152" s="12">
        <f>IF(AN152&gt;0,IF(AN152&lt;=eco,alpha*fck*(1-(1-AN152/eco)^n),alpha*fck),0)</f>
      </c>
      <c r="AP152" s="30">
        <f>PM_Angle!$J$23+PM_Angle!$K$23*$C152+PM_Angle!$L$23*$B152</f>
      </c>
      <c r="AQ152" s="12">
        <f>IF(AP152&gt;0,IF(AP152&lt;=eco,alpha*fck*(1-(1-AP152/eco)^n),alpha*fck),0)</f>
      </c>
      <c r="AR152" s="30">
        <f>PM_Angle!$J$24+PM_Angle!$K$24*$C152+PM_Angle!$L$24*$B152</f>
      </c>
      <c r="AS152" s="12">
        <f>IF(AR152&gt;0,IF(AR152&lt;=eco,alpha*fck*(1-(1-AR152/eco)^n),alpha*fck),0)</f>
      </c>
      <c r="AT152" s="30">
        <f>PM_Angle!$J$25+PM_Angle!$K$25*$C152+PM_Angle!$L$25*$B152</f>
      </c>
      <c r="AU152" s="12">
        <f>IF(AT152&gt;0,IF(AT152&lt;=eco,alpha*fck*(1-(1-AT152/eco)^n),alpha*fck),0)</f>
      </c>
    </row>
    <row r="153" spans="1:47" x14ac:dyDescent="0.25">
      <c r="A153">
        <f>Mesh!A150</f>
      </c>
      <c r="B153" s="12">
        <f>Mesh!B150</f>
      </c>
      <c r="C153" s="12">
        <f>Mesh!C150</f>
      </c>
      <c r="D153" s="12">
        <f>Mesh!D150</f>
      </c>
      <c r="E153" s="30">
        <f>INDEX(St_e0,Det+1)+INDEX(St_kx,Det+1)*C153+INDEX(St_ky,Det+1)*B153</f>
      </c>
      <c r="F153" s="12">
        <f>IF(E153&gt;0,IF(E153&lt;=eco,alpha*fck*(1-(1-E153/eco)^n),alpha*fck),0)</f>
      </c>
      <c r="G153" s="11">
        <f>F153*D153</f>
      </c>
      <c r="H153" s="11">
        <f>G153*C153</f>
      </c>
      <c r="I153" s="11">
        <f>G153*B153</f>
      </c>
      <c r="J153" s="30">
        <f>PM_Angle!$J$7+PM_Angle!$K$7*$C153+PM_Angle!$L$7*$B153</f>
      </c>
      <c r="K153" s="12">
        <f>IF(J153&gt;0,IF(J153&lt;=eco,alpha*fck*(1-(1-J153/eco)^n),alpha*fck),0)</f>
      </c>
      <c r="L153" s="30">
        <f>PM_Angle!$J$8+PM_Angle!$K$8*$C153+PM_Angle!$L$8*$B153</f>
      </c>
      <c r="M153" s="12">
        <f>IF(L153&gt;0,IF(L153&lt;=eco,alpha*fck*(1-(1-L153/eco)^n),alpha*fck),0)</f>
      </c>
      <c r="N153" s="30">
        <f>PM_Angle!$J$9+PM_Angle!$K$9*$C153+PM_Angle!$L$9*$B153</f>
      </c>
      <c r="O153" s="12">
        <f>IF(N153&gt;0,IF(N153&lt;=eco,alpha*fck*(1-(1-N153/eco)^n),alpha*fck),0)</f>
      </c>
      <c r="P153" s="30">
        <f>PM_Angle!$J$10+PM_Angle!$K$10*$C153+PM_Angle!$L$10*$B153</f>
      </c>
      <c r="Q153" s="12">
        <f>IF(P153&gt;0,IF(P153&lt;=eco,alpha*fck*(1-(1-P153/eco)^n),alpha*fck),0)</f>
      </c>
      <c r="R153" s="30">
        <f>PM_Angle!$J$11+PM_Angle!$K$11*$C153+PM_Angle!$L$11*$B153</f>
      </c>
      <c r="S153" s="12">
        <f>IF(R153&gt;0,IF(R153&lt;=eco,alpha*fck*(1-(1-R153/eco)^n),alpha*fck),0)</f>
      </c>
      <c r="T153" s="30">
        <f>PM_Angle!$J$12+PM_Angle!$K$12*$C153+PM_Angle!$L$12*$B153</f>
      </c>
      <c r="U153" s="12">
        <f>IF(T153&gt;0,IF(T153&lt;=eco,alpha*fck*(1-(1-T153/eco)^n),alpha*fck),0)</f>
      </c>
      <c r="V153" s="30">
        <f>PM_Angle!$J$13+PM_Angle!$K$13*$C153+PM_Angle!$L$13*$B153</f>
      </c>
      <c r="W153" s="12">
        <f>IF(V153&gt;0,IF(V153&lt;=eco,alpha*fck*(1-(1-V153/eco)^n),alpha*fck),0)</f>
      </c>
      <c r="X153" s="30">
        <f>PM_Angle!$J$14+PM_Angle!$K$14*$C153+PM_Angle!$L$14*$B153</f>
      </c>
      <c r="Y153" s="12">
        <f>IF(X153&gt;0,IF(X153&lt;=eco,alpha*fck*(1-(1-X153/eco)^n),alpha*fck),0)</f>
      </c>
      <c r="Z153" s="30">
        <f>PM_Angle!$J$15+PM_Angle!$K$15*$C153+PM_Angle!$L$15*$B153</f>
      </c>
      <c r="AA153" s="12">
        <f>IF(Z153&gt;0,IF(Z153&lt;=eco,alpha*fck*(1-(1-Z153/eco)^n),alpha*fck),0)</f>
      </c>
      <c r="AB153" s="30">
        <f>PM_Angle!$J$16+PM_Angle!$K$16*$C153+PM_Angle!$L$16*$B153</f>
      </c>
      <c r="AC153" s="12">
        <f>IF(AB153&gt;0,IF(AB153&lt;=eco,alpha*fck*(1-(1-AB153/eco)^n),alpha*fck),0)</f>
      </c>
      <c r="AD153" s="30">
        <f>PM_Angle!$J$17+PM_Angle!$K$17*$C153+PM_Angle!$L$17*$B153</f>
      </c>
      <c r="AE153" s="12">
        <f>IF(AD153&gt;0,IF(AD153&lt;=eco,alpha*fck*(1-(1-AD153/eco)^n),alpha*fck),0)</f>
      </c>
      <c r="AF153" s="30">
        <f>PM_Angle!$J$18+PM_Angle!$K$18*$C153+PM_Angle!$L$18*$B153</f>
      </c>
      <c r="AG153" s="12">
        <f>IF(AF153&gt;0,IF(AF153&lt;=eco,alpha*fck*(1-(1-AF153/eco)^n),alpha*fck),0)</f>
      </c>
      <c r="AH153" s="30">
        <f>PM_Angle!$J$19+PM_Angle!$K$19*$C153+PM_Angle!$L$19*$B153</f>
      </c>
      <c r="AI153" s="12">
        <f>IF(AH153&gt;0,IF(AH153&lt;=eco,alpha*fck*(1-(1-AH153/eco)^n),alpha*fck),0)</f>
      </c>
      <c r="AJ153" s="30">
        <f>PM_Angle!$J$20+PM_Angle!$K$20*$C153+PM_Angle!$L$20*$B153</f>
      </c>
      <c r="AK153" s="12">
        <f>IF(AJ153&gt;0,IF(AJ153&lt;=eco,alpha*fck*(1-(1-AJ153/eco)^n),alpha*fck),0)</f>
      </c>
      <c r="AL153" s="30">
        <f>PM_Angle!$J$21+PM_Angle!$K$21*$C153+PM_Angle!$L$21*$B153</f>
      </c>
      <c r="AM153" s="12">
        <f>IF(AL153&gt;0,IF(AL153&lt;=eco,alpha*fck*(1-(1-AL153/eco)^n),alpha*fck),0)</f>
      </c>
      <c r="AN153" s="30">
        <f>PM_Angle!$J$22+PM_Angle!$K$22*$C153+PM_Angle!$L$22*$B153</f>
      </c>
      <c r="AO153" s="12">
        <f>IF(AN153&gt;0,IF(AN153&lt;=eco,alpha*fck*(1-(1-AN153/eco)^n),alpha*fck),0)</f>
      </c>
      <c r="AP153" s="30">
        <f>PM_Angle!$J$23+PM_Angle!$K$23*$C153+PM_Angle!$L$23*$B153</f>
      </c>
      <c r="AQ153" s="12">
        <f>IF(AP153&gt;0,IF(AP153&lt;=eco,alpha*fck*(1-(1-AP153/eco)^n),alpha*fck),0)</f>
      </c>
      <c r="AR153" s="30">
        <f>PM_Angle!$J$24+PM_Angle!$K$24*$C153+PM_Angle!$L$24*$B153</f>
      </c>
      <c r="AS153" s="12">
        <f>IF(AR153&gt;0,IF(AR153&lt;=eco,alpha*fck*(1-(1-AR153/eco)^n),alpha*fck),0)</f>
      </c>
      <c r="AT153" s="30">
        <f>PM_Angle!$J$25+PM_Angle!$K$25*$C153+PM_Angle!$L$25*$B153</f>
      </c>
      <c r="AU153" s="12">
        <f>IF(AT153&gt;0,IF(AT153&lt;=eco,alpha*fck*(1-(1-AT153/eco)^n),alpha*fck),0)</f>
      </c>
    </row>
    <row r="154" spans="1:47" x14ac:dyDescent="0.25">
      <c r="A154">
        <f>Mesh!A151</f>
      </c>
      <c r="B154" s="12">
        <f>Mesh!B151</f>
      </c>
      <c r="C154" s="12">
        <f>Mesh!C151</f>
      </c>
      <c r="D154" s="12">
        <f>Mesh!D151</f>
      </c>
      <c r="E154" s="30">
        <f>INDEX(St_e0,Det+1)+INDEX(St_kx,Det+1)*C154+INDEX(St_ky,Det+1)*B154</f>
      </c>
      <c r="F154" s="12">
        <f>IF(E154&gt;0,IF(E154&lt;=eco,alpha*fck*(1-(1-E154/eco)^n),alpha*fck),0)</f>
      </c>
      <c r="G154" s="11">
        <f>F154*D154</f>
      </c>
      <c r="H154" s="11">
        <f>G154*C154</f>
      </c>
      <c r="I154" s="11">
        <f>G154*B154</f>
      </c>
      <c r="J154" s="30">
        <f>PM_Angle!$J$7+PM_Angle!$K$7*$C154+PM_Angle!$L$7*$B154</f>
      </c>
      <c r="K154" s="12">
        <f>IF(J154&gt;0,IF(J154&lt;=eco,alpha*fck*(1-(1-J154/eco)^n),alpha*fck),0)</f>
      </c>
      <c r="L154" s="30">
        <f>PM_Angle!$J$8+PM_Angle!$K$8*$C154+PM_Angle!$L$8*$B154</f>
      </c>
      <c r="M154" s="12">
        <f>IF(L154&gt;0,IF(L154&lt;=eco,alpha*fck*(1-(1-L154/eco)^n),alpha*fck),0)</f>
      </c>
      <c r="N154" s="30">
        <f>PM_Angle!$J$9+PM_Angle!$K$9*$C154+PM_Angle!$L$9*$B154</f>
      </c>
      <c r="O154" s="12">
        <f>IF(N154&gt;0,IF(N154&lt;=eco,alpha*fck*(1-(1-N154/eco)^n),alpha*fck),0)</f>
      </c>
      <c r="P154" s="30">
        <f>PM_Angle!$J$10+PM_Angle!$K$10*$C154+PM_Angle!$L$10*$B154</f>
      </c>
      <c r="Q154" s="12">
        <f>IF(P154&gt;0,IF(P154&lt;=eco,alpha*fck*(1-(1-P154/eco)^n),alpha*fck),0)</f>
      </c>
      <c r="R154" s="30">
        <f>PM_Angle!$J$11+PM_Angle!$K$11*$C154+PM_Angle!$L$11*$B154</f>
      </c>
      <c r="S154" s="12">
        <f>IF(R154&gt;0,IF(R154&lt;=eco,alpha*fck*(1-(1-R154/eco)^n),alpha*fck),0)</f>
      </c>
      <c r="T154" s="30">
        <f>PM_Angle!$J$12+PM_Angle!$K$12*$C154+PM_Angle!$L$12*$B154</f>
      </c>
      <c r="U154" s="12">
        <f>IF(T154&gt;0,IF(T154&lt;=eco,alpha*fck*(1-(1-T154/eco)^n),alpha*fck),0)</f>
      </c>
      <c r="V154" s="30">
        <f>PM_Angle!$J$13+PM_Angle!$K$13*$C154+PM_Angle!$L$13*$B154</f>
      </c>
      <c r="W154" s="12">
        <f>IF(V154&gt;0,IF(V154&lt;=eco,alpha*fck*(1-(1-V154/eco)^n),alpha*fck),0)</f>
      </c>
      <c r="X154" s="30">
        <f>PM_Angle!$J$14+PM_Angle!$K$14*$C154+PM_Angle!$L$14*$B154</f>
      </c>
      <c r="Y154" s="12">
        <f>IF(X154&gt;0,IF(X154&lt;=eco,alpha*fck*(1-(1-X154/eco)^n),alpha*fck),0)</f>
      </c>
      <c r="Z154" s="30">
        <f>PM_Angle!$J$15+PM_Angle!$K$15*$C154+PM_Angle!$L$15*$B154</f>
      </c>
      <c r="AA154" s="12">
        <f>IF(Z154&gt;0,IF(Z154&lt;=eco,alpha*fck*(1-(1-Z154/eco)^n),alpha*fck),0)</f>
      </c>
      <c r="AB154" s="30">
        <f>PM_Angle!$J$16+PM_Angle!$K$16*$C154+PM_Angle!$L$16*$B154</f>
      </c>
      <c r="AC154" s="12">
        <f>IF(AB154&gt;0,IF(AB154&lt;=eco,alpha*fck*(1-(1-AB154/eco)^n),alpha*fck),0)</f>
      </c>
      <c r="AD154" s="30">
        <f>PM_Angle!$J$17+PM_Angle!$K$17*$C154+PM_Angle!$L$17*$B154</f>
      </c>
      <c r="AE154" s="12">
        <f>IF(AD154&gt;0,IF(AD154&lt;=eco,alpha*fck*(1-(1-AD154/eco)^n),alpha*fck),0)</f>
      </c>
      <c r="AF154" s="30">
        <f>PM_Angle!$J$18+PM_Angle!$K$18*$C154+PM_Angle!$L$18*$B154</f>
      </c>
      <c r="AG154" s="12">
        <f>IF(AF154&gt;0,IF(AF154&lt;=eco,alpha*fck*(1-(1-AF154/eco)^n),alpha*fck),0)</f>
      </c>
      <c r="AH154" s="30">
        <f>PM_Angle!$J$19+PM_Angle!$K$19*$C154+PM_Angle!$L$19*$B154</f>
      </c>
      <c r="AI154" s="12">
        <f>IF(AH154&gt;0,IF(AH154&lt;=eco,alpha*fck*(1-(1-AH154/eco)^n),alpha*fck),0)</f>
      </c>
      <c r="AJ154" s="30">
        <f>PM_Angle!$J$20+PM_Angle!$K$20*$C154+PM_Angle!$L$20*$B154</f>
      </c>
      <c r="AK154" s="12">
        <f>IF(AJ154&gt;0,IF(AJ154&lt;=eco,alpha*fck*(1-(1-AJ154/eco)^n),alpha*fck),0)</f>
      </c>
      <c r="AL154" s="30">
        <f>PM_Angle!$J$21+PM_Angle!$K$21*$C154+PM_Angle!$L$21*$B154</f>
      </c>
      <c r="AM154" s="12">
        <f>IF(AL154&gt;0,IF(AL154&lt;=eco,alpha*fck*(1-(1-AL154/eco)^n),alpha*fck),0)</f>
      </c>
      <c r="AN154" s="30">
        <f>PM_Angle!$J$22+PM_Angle!$K$22*$C154+PM_Angle!$L$22*$B154</f>
      </c>
      <c r="AO154" s="12">
        <f>IF(AN154&gt;0,IF(AN154&lt;=eco,alpha*fck*(1-(1-AN154/eco)^n),alpha*fck),0)</f>
      </c>
      <c r="AP154" s="30">
        <f>PM_Angle!$J$23+PM_Angle!$K$23*$C154+PM_Angle!$L$23*$B154</f>
      </c>
      <c r="AQ154" s="12">
        <f>IF(AP154&gt;0,IF(AP154&lt;=eco,alpha*fck*(1-(1-AP154/eco)^n),alpha*fck),0)</f>
      </c>
      <c r="AR154" s="30">
        <f>PM_Angle!$J$24+PM_Angle!$K$24*$C154+PM_Angle!$L$24*$B154</f>
      </c>
      <c r="AS154" s="12">
        <f>IF(AR154&gt;0,IF(AR154&lt;=eco,alpha*fck*(1-(1-AR154/eco)^n),alpha*fck),0)</f>
      </c>
      <c r="AT154" s="30">
        <f>PM_Angle!$J$25+PM_Angle!$K$25*$C154+PM_Angle!$L$25*$B154</f>
      </c>
      <c r="AU154" s="12">
        <f>IF(AT154&gt;0,IF(AT154&lt;=eco,alpha*fck*(1-(1-AT154/eco)^n),alpha*fck),0)</f>
      </c>
    </row>
    <row r="155" spans="1:47" x14ac:dyDescent="0.25">
      <c r="A155">
        <f>Mesh!A152</f>
      </c>
      <c r="B155" s="12">
        <f>Mesh!B152</f>
      </c>
      <c r="C155" s="12">
        <f>Mesh!C152</f>
      </c>
      <c r="D155" s="12">
        <f>Mesh!D152</f>
      </c>
      <c r="E155" s="30">
        <f>INDEX(St_e0,Det+1)+INDEX(St_kx,Det+1)*C155+INDEX(St_ky,Det+1)*B155</f>
      </c>
      <c r="F155" s="12">
        <f>IF(E155&gt;0,IF(E155&lt;=eco,alpha*fck*(1-(1-E155/eco)^n),alpha*fck),0)</f>
      </c>
      <c r="G155" s="11">
        <f>F155*D155</f>
      </c>
      <c r="H155" s="11">
        <f>G155*C155</f>
      </c>
      <c r="I155" s="11">
        <f>G155*B155</f>
      </c>
      <c r="J155" s="30">
        <f>PM_Angle!$J$7+PM_Angle!$K$7*$C155+PM_Angle!$L$7*$B155</f>
      </c>
      <c r="K155" s="12">
        <f>IF(J155&gt;0,IF(J155&lt;=eco,alpha*fck*(1-(1-J155/eco)^n),alpha*fck),0)</f>
      </c>
      <c r="L155" s="30">
        <f>PM_Angle!$J$8+PM_Angle!$K$8*$C155+PM_Angle!$L$8*$B155</f>
      </c>
      <c r="M155" s="12">
        <f>IF(L155&gt;0,IF(L155&lt;=eco,alpha*fck*(1-(1-L155/eco)^n),alpha*fck),0)</f>
      </c>
      <c r="N155" s="30">
        <f>PM_Angle!$J$9+PM_Angle!$K$9*$C155+PM_Angle!$L$9*$B155</f>
      </c>
      <c r="O155" s="12">
        <f>IF(N155&gt;0,IF(N155&lt;=eco,alpha*fck*(1-(1-N155/eco)^n),alpha*fck),0)</f>
      </c>
      <c r="P155" s="30">
        <f>PM_Angle!$J$10+PM_Angle!$K$10*$C155+PM_Angle!$L$10*$B155</f>
      </c>
      <c r="Q155" s="12">
        <f>IF(P155&gt;0,IF(P155&lt;=eco,alpha*fck*(1-(1-P155/eco)^n),alpha*fck),0)</f>
      </c>
      <c r="R155" s="30">
        <f>PM_Angle!$J$11+PM_Angle!$K$11*$C155+PM_Angle!$L$11*$B155</f>
      </c>
      <c r="S155" s="12">
        <f>IF(R155&gt;0,IF(R155&lt;=eco,alpha*fck*(1-(1-R155/eco)^n),alpha*fck),0)</f>
      </c>
      <c r="T155" s="30">
        <f>PM_Angle!$J$12+PM_Angle!$K$12*$C155+PM_Angle!$L$12*$B155</f>
      </c>
      <c r="U155" s="12">
        <f>IF(T155&gt;0,IF(T155&lt;=eco,alpha*fck*(1-(1-T155/eco)^n),alpha*fck),0)</f>
      </c>
      <c r="V155" s="30">
        <f>PM_Angle!$J$13+PM_Angle!$K$13*$C155+PM_Angle!$L$13*$B155</f>
      </c>
      <c r="W155" s="12">
        <f>IF(V155&gt;0,IF(V155&lt;=eco,alpha*fck*(1-(1-V155/eco)^n),alpha*fck),0)</f>
      </c>
      <c r="X155" s="30">
        <f>PM_Angle!$J$14+PM_Angle!$K$14*$C155+PM_Angle!$L$14*$B155</f>
      </c>
      <c r="Y155" s="12">
        <f>IF(X155&gt;0,IF(X155&lt;=eco,alpha*fck*(1-(1-X155/eco)^n),alpha*fck),0)</f>
      </c>
      <c r="Z155" s="30">
        <f>PM_Angle!$J$15+PM_Angle!$K$15*$C155+PM_Angle!$L$15*$B155</f>
      </c>
      <c r="AA155" s="12">
        <f>IF(Z155&gt;0,IF(Z155&lt;=eco,alpha*fck*(1-(1-Z155/eco)^n),alpha*fck),0)</f>
      </c>
      <c r="AB155" s="30">
        <f>PM_Angle!$J$16+PM_Angle!$K$16*$C155+PM_Angle!$L$16*$B155</f>
      </c>
      <c r="AC155" s="12">
        <f>IF(AB155&gt;0,IF(AB155&lt;=eco,alpha*fck*(1-(1-AB155/eco)^n),alpha*fck),0)</f>
      </c>
      <c r="AD155" s="30">
        <f>PM_Angle!$J$17+PM_Angle!$K$17*$C155+PM_Angle!$L$17*$B155</f>
      </c>
      <c r="AE155" s="12">
        <f>IF(AD155&gt;0,IF(AD155&lt;=eco,alpha*fck*(1-(1-AD155/eco)^n),alpha*fck),0)</f>
      </c>
      <c r="AF155" s="30">
        <f>PM_Angle!$J$18+PM_Angle!$K$18*$C155+PM_Angle!$L$18*$B155</f>
      </c>
      <c r="AG155" s="12">
        <f>IF(AF155&gt;0,IF(AF155&lt;=eco,alpha*fck*(1-(1-AF155/eco)^n),alpha*fck),0)</f>
      </c>
      <c r="AH155" s="30">
        <f>PM_Angle!$J$19+PM_Angle!$K$19*$C155+PM_Angle!$L$19*$B155</f>
      </c>
      <c r="AI155" s="12">
        <f>IF(AH155&gt;0,IF(AH155&lt;=eco,alpha*fck*(1-(1-AH155/eco)^n),alpha*fck),0)</f>
      </c>
      <c r="AJ155" s="30">
        <f>PM_Angle!$J$20+PM_Angle!$K$20*$C155+PM_Angle!$L$20*$B155</f>
      </c>
      <c r="AK155" s="12">
        <f>IF(AJ155&gt;0,IF(AJ155&lt;=eco,alpha*fck*(1-(1-AJ155/eco)^n),alpha*fck),0)</f>
      </c>
      <c r="AL155" s="30">
        <f>PM_Angle!$J$21+PM_Angle!$K$21*$C155+PM_Angle!$L$21*$B155</f>
      </c>
      <c r="AM155" s="12">
        <f>IF(AL155&gt;0,IF(AL155&lt;=eco,alpha*fck*(1-(1-AL155/eco)^n),alpha*fck),0)</f>
      </c>
      <c r="AN155" s="30">
        <f>PM_Angle!$J$22+PM_Angle!$K$22*$C155+PM_Angle!$L$22*$B155</f>
      </c>
      <c r="AO155" s="12">
        <f>IF(AN155&gt;0,IF(AN155&lt;=eco,alpha*fck*(1-(1-AN155/eco)^n),alpha*fck),0)</f>
      </c>
      <c r="AP155" s="30">
        <f>PM_Angle!$J$23+PM_Angle!$K$23*$C155+PM_Angle!$L$23*$B155</f>
      </c>
      <c r="AQ155" s="12">
        <f>IF(AP155&gt;0,IF(AP155&lt;=eco,alpha*fck*(1-(1-AP155/eco)^n),alpha*fck),0)</f>
      </c>
      <c r="AR155" s="30">
        <f>PM_Angle!$J$24+PM_Angle!$K$24*$C155+PM_Angle!$L$24*$B155</f>
      </c>
      <c r="AS155" s="12">
        <f>IF(AR155&gt;0,IF(AR155&lt;=eco,alpha*fck*(1-(1-AR155/eco)^n),alpha*fck),0)</f>
      </c>
      <c r="AT155" s="30">
        <f>PM_Angle!$J$25+PM_Angle!$K$25*$C155+PM_Angle!$L$25*$B155</f>
      </c>
      <c r="AU155" s="12">
        <f>IF(AT155&gt;0,IF(AT155&lt;=eco,alpha*fck*(1-(1-AT155/eco)^n),alpha*fck),0)</f>
      </c>
    </row>
    <row r="156" spans="1:47" x14ac:dyDescent="0.25">
      <c r="A156">
        <f>Mesh!A153</f>
      </c>
      <c r="B156" s="12">
        <f>Mesh!B153</f>
      </c>
      <c r="C156" s="12">
        <f>Mesh!C153</f>
      </c>
      <c r="D156" s="12">
        <f>Mesh!D153</f>
      </c>
      <c r="E156" s="30">
        <f>INDEX(St_e0,Det+1)+INDEX(St_kx,Det+1)*C156+INDEX(St_ky,Det+1)*B156</f>
      </c>
      <c r="F156" s="12">
        <f>IF(E156&gt;0,IF(E156&lt;=eco,alpha*fck*(1-(1-E156/eco)^n),alpha*fck),0)</f>
      </c>
      <c r="G156" s="11">
        <f>F156*D156</f>
      </c>
      <c r="H156" s="11">
        <f>G156*C156</f>
      </c>
      <c r="I156" s="11">
        <f>G156*B156</f>
      </c>
      <c r="J156" s="30">
        <f>PM_Angle!$J$7+PM_Angle!$K$7*$C156+PM_Angle!$L$7*$B156</f>
      </c>
      <c r="K156" s="12">
        <f>IF(J156&gt;0,IF(J156&lt;=eco,alpha*fck*(1-(1-J156/eco)^n),alpha*fck),0)</f>
      </c>
      <c r="L156" s="30">
        <f>PM_Angle!$J$8+PM_Angle!$K$8*$C156+PM_Angle!$L$8*$B156</f>
      </c>
      <c r="M156" s="12">
        <f>IF(L156&gt;0,IF(L156&lt;=eco,alpha*fck*(1-(1-L156/eco)^n),alpha*fck),0)</f>
      </c>
      <c r="N156" s="30">
        <f>PM_Angle!$J$9+PM_Angle!$K$9*$C156+PM_Angle!$L$9*$B156</f>
      </c>
      <c r="O156" s="12">
        <f>IF(N156&gt;0,IF(N156&lt;=eco,alpha*fck*(1-(1-N156/eco)^n),alpha*fck),0)</f>
      </c>
      <c r="P156" s="30">
        <f>PM_Angle!$J$10+PM_Angle!$K$10*$C156+PM_Angle!$L$10*$B156</f>
      </c>
      <c r="Q156" s="12">
        <f>IF(P156&gt;0,IF(P156&lt;=eco,alpha*fck*(1-(1-P156/eco)^n),alpha*fck),0)</f>
      </c>
      <c r="R156" s="30">
        <f>PM_Angle!$J$11+PM_Angle!$K$11*$C156+PM_Angle!$L$11*$B156</f>
      </c>
      <c r="S156" s="12">
        <f>IF(R156&gt;0,IF(R156&lt;=eco,alpha*fck*(1-(1-R156/eco)^n),alpha*fck),0)</f>
      </c>
      <c r="T156" s="30">
        <f>PM_Angle!$J$12+PM_Angle!$K$12*$C156+PM_Angle!$L$12*$B156</f>
      </c>
      <c r="U156" s="12">
        <f>IF(T156&gt;0,IF(T156&lt;=eco,alpha*fck*(1-(1-T156/eco)^n),alpha*fck),0)</f>
      </c>
      <c r="V156" s="30">
        <f>PM_Angle!$J$13+PM_Angle!$K$13*$C156+PM_Angle!$L$13*$B156</f>
      </c>
      <c r="W156" s="12">
        <f>IF(V156&gt;0,IF(V156&lt;=eco,alpha*fck*(1-(1-V156/eco)^n),alpha*fck),0)</f>
      </c>
      <c r="X156" s="30">
        <f>PM_Angle!$J$14+PM_Angle!$K$14*$C156+PM_Angle!$L$14*$B156</f>
      </c>
      <c r="Y156" s="12">
        <f>IF(X156&gt;0,IF(X156&lt;=eco,alpha*fck*(1-(1-X156/eco)^n),alpha*fck),0)</f>
      </c>
      <c r="Z156" s="30">
        <f>PM_Angle!$J$15+PM_Angle!$K$15*$C156+PM_Angle!$L$15*$B156</f>
      </c>
      <c r="AA156" s="12">
        <f>IF(Z156&gt;0,IF(Z156&lt;=eco,alpha*fck*(1-(1-Z156/eco)^n),alpha*fck),0)</f>
      </c>
      <c r="AB156" s="30">
        <f>PM_Angle!$J$16+PM_Angle!$K$16*$C156+PM_Angle!$L$16*$B156</f>
      </c>
      <c r="AC156" s="12">
        <f>IF(AB156&gt;0,IF(AB156&lt;=eco,alpha*fck*(1-(1-AB156/eco)^n),alpha*fck),0)</f>
      </c>
      <c r="AD156" s="30">
        <f>PM_Angle!$J$17+PM_Angle!$K$17*$C156+PM_Angle!$L$17*$B156</f>
      </c>
      <c r="AE156" s="12">
        <f>IF(AD156&gt;0,IF(AD156&lt;=eco,alpha*fck*(1-(1-AD156/eco)^n),alpha*fck),0)</f>
      </c>
      <c r="AF156" s="30">
        <f>PM_Angle!$J$18+PM_Angle!$K$18*$C156+PM_Angle!$L$18*$B156</f>
      </c>
      <c r="AG156" s="12">
        <f>IF(AF156&gt;0,IF(AF156&lt;=eco,alpha*fck*(1-(1-AF156/eco)^n),alpha*fck),0)</f>
      </c>
      <c r="AH156" s="30">
        <f>PM_Angle!$J$19+PM_Angle!$K$19*$C156+PM_Angle!$L$19*$B156</f>
      </c>
      <c r="AI156" s="12">
        <f>IF(AH156&gt;0,IF(AH156&lt;=eco,alpha*fck*(1-(1-AH156/eco)^n),alpha*fck),0)</f>
      </c>
      <c r="AJ156" s="30">
        <f>PM_Angle!$J$20+PM_Angle!$K$20*$C156+PM_Angle!$L$20*$B156</f>
      </c>
      <c r="AK156" s="12">
        <f>IF(AJ156&gt;0,IF(AJ156&lt;=eco,alpha*fck*(1-(1-AJ156/eco)^n),alpha*fck),0)</f>
      </c>
      <c r="AL156" s="30">
        <f>PM_Angle!$J$21+PM_Angle!$K$21*$C156+PM_Angle!$L$21*$B156</f>
      </c>
      <c r="AM156" s="12">
        <f>IF(AL156&gt;0,IF(AL156&lt;=eco,alpha*fck*(1-(1-AL156/eco)^n),alpha*fck),0)</f>
      </c>
      <c r="AN156" s="30">
        <f>PM_Angle!$J$22+PM_Angle!$K$22*$C156+PM_Angle!$L$22*$B156</f>
      </c>
      <c r="AO156" s="12">
        <f>IF(AN156&gt;0,IF(AN156&lt;=eco,alpha*fck*(1-(1-AN156/eco)^n),alpha*fck),0)</f>
      </c>
      <c r="AP156" s="30">
        <f>PM_Angle!$J$23+PM_Angle!$K$23*$C156+PM_Angle!$L$23*$B156</f>
      </c>
      <c r="AQ156" s="12">
        <f>IF(AP156&gt;0,IF(AP156&lt;=eco,alpha*fck*(1-(1-AP156/eco)^n),alpha*fck),0)</f>
      </c>
      <c r="AR156" s="30">
        <f>PM_Angle!$J$24+PM_Angle!$K$24*$C156+PM_Angle!$L$24*$B156</f>
      </c>
      <c r="AS156" s="12">
        <f>IF(AR156&gt;0,IF(AR156&lt;=eco,alpha*fck*(1-(1-AR156/eco)^n),alpha*fck),0)</f>
      </c>
      <c r="AT156" s="30">
        <f>PM_Angle!$J$25+PM_Angle!$K$25*$C156+PM_Angle!$L$25*$B156</f>
      </c>
      <c r="AU156" s="12">
        <f>IF(AT156&gt;0,IF(AT156&lt;=eco,alpha*fck*(1-(1-AT156/eco)^n),alpha*fck),0)</f>
      </c>
    </row>
    <row r="157" spans="1:47" x14ac:dyDescent="0.25">
      <c r="A157">
        <f>Mesh!A154</f>
      </c>
      <c r="B157" s="12">
        <f>Mesh!B154</f>
      </c>
      <c r="C157" s="12">
        <f>Mesh!C154</f>
      </c>
      <c r="D157" s="12">
        <f>Mesh!D154</f>
      </c>
      <c r="E157" s="30">
        <f>INDEX(St_e0,Det+1)+INDEX(St_kx,Det+1)*C157+INDEX(St_ky,Det+1)*B157</f>
      </c>
      <c r="F157" s="12">
        <f>IF(E157&gt;0,IF(E157&lt;=eco,alpha*fck*(1-(1-E157/eco)^n),alpha*fck),0)</f>
      </c>
      <c r="G157" s="11">
        <f>F157*D157</f>
      </c>
      <c r="H157" s="11">
        <f>G157*C157</f>
      </c>
      <c r="I157" s="11">
        <f>G157*B157</f>
      </c>
      <c r="J157" s="30">
        <f>PM_Angle!$J$7+PM_Angle!$K$7*$C157+PM_Angle!$L$7*$B157</f>
      </c>
      <c r="K157" s="12">
        <f>IF(J157&gt;0,IF(J157&lt;=eco,alpha*fck*(1-(1-J157/eco)^n),alpha*fck),0)</f>
      </c>
      <c r="L157" s="30">
        <f>PM_Angle!$J$8+PM_Angle!$K$8*$C157+PM_Angle!$L$8*$B157</f>
      </c>
      <c r="M157" s="12">
        <f>IF(L157&gt;0,IF(L157&lt;=eco,alpha*fck*(1-(1-L157/eco)^n),alpha*fck),0)</f>
      </c>
      <c r="N157" s="30">
        <f>PM_Angle!$J$9+PM_Angle!$K$9*$C157+PM_Angle!$L$9*$B157</f>
      </c>
      <c r="O157" s="12">
        <f>IF(N157&gt;0,IF(N157&lt;=eco,alpha*fck*(1-(1-N157/eco)^n),alpha*fck),0)</f>
      </c>
      <c r="P157" s="30">
        <f>PM_Angle!$J$10+PM_Angle!$K$10*$C157+PM_Angle!$L$10*$B157</f>
      </c>
      <c r="Q157" s="12">
        <f>IF(P157&gt;0,IF(P157&lt;=eco,alpha*fck*(1-(1-P157/eco)^n),alpha*fck),0)</f>
      </c>
      <c r="R157" s="30">
        <f>PM_Angle!$J$11+PM_Angle!$K$11*$C157+PM_Angle!$L$11*$B157</f>
      </c>
      <c r="S157" s="12">
        <f>IF(R157&gt;0,IF(R157&lt;=eco,alpha*fck*(1-(1-R157/eco)^n),alpha*fck),0)</f>
      </c>
      <c r="T157" s="30">
        <f>PM_Angle!$J$12+PM_Angle!$K$12*$C157+PM_Angle!$L$12*$B157</f>
      </c>
      <c r="U157" s="12">
        <f>IF(T157&gt;0,IF(T157&lt;=eco,alpha*fck*(1-(1-T157/eco)^n),alpha*fck),0)</f>
      </c>
      <c r="V157" s="30">
        <f>PM_Angle!$J$13+PM_Angle!$K$13*$C157+PM_Angle!$L$13*$B157</f>
      </c>
      <c r="W157" s="12">
        <f>IF(V157&gt;0,IF(V157&lt;=eco,alpha*fck*(1-(1-V157/eco)^n),alpha*fck),0)</f>
      </c>
      <c r="X157" s="30">
        <f>PM_Angle!$J$14+PM_Angle!$K$14*$C157+PM_Angle!$L$14*$B157</f>
      </c>
      <c r="Y157" s="12">
        <f>IF(X157&gt;0,IF(X157&lt;=eco,alpha*fck*(1-(1-X157/eco)^n),alpha*fck),0)</f>
      </c>
      <c r="Z157" s="30">
        <f>PM_Angle!$J$15+PM_Angle!$K$15*$C157+PM_Angle!$L$15*$B157</f>
      </c>
      <c r="AA157" s="12">
        <f>IF(Z157&gt;0,IF(Z157&lt;=eco,alpha*fck*(1-(1-Z157/eco)^n),alpha*fck),0)</f>
      </c>
      <c r="AB157" s="30">
        <f>PM_Angle!$J$16+PM_Angle!$K$16*$C157+PM_Angle!$L$16*$B157</f>
      </c>
      <c r="AC157" s="12">
        <f>IF(AB157&gt;0,IF(AB157&lt;=eco,alpha*fck*(1-(1-AB157/eco)^n),alpha*fck),0)</f>
      </c>
      <c r="AD157" s="30">
        <f>PM_Angle!$J$17+PM_Angle!$K$17*$C157+PM_Angle!$L$17*$B157</f>
      </c>
      <c r="AE157" s="12">
        <f>IF(AD157&gt;0,IF(AD157&lt;=eco,alpha*fck*(1-(1-AD157/eco)^n),alpha*fck),0)</f>
      </c>
      <c r="AF157" s="30">
        <f>PM_Angle!$J$18+PM_Angle!$K$18*$C157+PM_Angle!$L$18*$B157</f>
      </c>
      <c r="AG157" s="12">
        <f>IF(AF157&gt;0,IF(AF157&lt;=eco,alpha*fck*(1-(1-AF157/eco)^n),alpha*fck),0)</f>
      </c>
      <c r="AH157" s="30">
        <f>PM_Angle!$J$19+PM_Angle!$K$19*$C157+PM_Angle!$L$19*$B157</f>
      </c>
      <c r="AI157" s="12">
        <f>IF(AH157&gt;0,IF(AH157&lt;=eco,alpha*fck*(1-(1-AH157/eco)^n),alpha*fck),0)</f>
      </c>
      <c r="AJ157" s="30">
        <f>PM_Angle!$J$20+PM_Angle!$K$20*$C157+PM_Angle!$L$20*$B157</f>
      </c>
      <c r="AK157" s="12">
        <f>IF(AJ157&gt;0,IF(AJ157&lt;=eco,alpha*fck*(1-(1-AJ157/eco)^n),alpha*fck),0)</f>
      </c>
      <c r="AL157" s="30">
        <f>PM_Angle!$J$21+PM_Angle!$K$21*$C157+PM_Angle!$L$21*$B157</f>
      </c>
      <c r="AM157" s="12">
        <f>IF(AL157&gt;0,IF(AL157&lt;=eco,alpha*fck*(1-(1-AL157/eco)^n),alpha*fck),0)</f>
      </c>
      <c r="AN157" s="30">
        <f>PM_Angle!$J$22+PM_Angle!$K$22*$C157+PM_Angle!$L$22*$B157</f>
      </c>
      <c r="AO157" s="12">
        <f>IF(AN157&gt;0,IF(AN157&lt;=eco,alpha*fck*(1-(1-AN157/eco)^n),alpha*fck),0)</f>
      </c>
      <c r="AP157" s="30">
        <f>PM_Angle!$J$23+PM_Angle!$K$23*$C157+PM_Angle!$L$23*$B157</f>
      </c>
      <c r="AQ157" s="12">
        <f>IF(AP157&gt;0,IF(AP157&lt;=eco,alpha*fck*(1-(1-AP157/eco)^n),alpha*fck),0)</f>
      </c>
      <c r="AR157" s="30">
        <f>PM_Angle!$J$24+PM_Angle!$K$24*$C157+PM_Angle!$L$24*$B157</f>
      </c>
      <c r="AS157" s="12">
        <f>IF(AR157&gt;0,IF(AR157&lt;=eco,alpha*fck*(1-(1-AR157/eco)^n),alpha*fck),0)</f>
      </c>
      <c r="AT157" s="30">
        <f>PM_Angle!$J$25+PM_Angle!$K$25*$C157+PM_Angle!$L$25*$B157</f>
      </c>
      <c r="AU157" s="12">
        <f>IF(AT157&gt;0,IF(AT157&lt;=eco,alpha*fck*(1-(1-AT157/eco)^n),alpha*fck),0)</f>
      </c>
    </row>
    <row r="158" spans="1:47" x14ac:dyDescent="0.25">
      <c r="A158">
        <f>Mesh!A155</f>
      </c>
      <c r="B158" s="12">
        <f>Mesh!B155</f>
      </c>
      <c r="C158" s="12">
        <f>Mesh!C155</f>
      </c>
      <c r="D158" s="12">
        <f>Mesh!D155</f>
      </c>
      <c r="E158" s="30">
        <f>INDEX(St_e0,Det+1)+INDEX(St_kx,Det+1)*C158+INDEX(St_ky,Det+1)*B158</f>
      </c>
      <c r="F158" s="12">
        <f>IF(E158&gt;0,IF(E158&lt;=eco,alpha*fck*(1-(1-E158/eco)^n),alpha*fck),0)</f>
      </c>
      <c r="G158" s="11">
        <f>F158*D158</f>
      </c>
      <c r="H158" s="11">
        <f>G158*C158</f>
      </c>
      <c r="I158" s="11">
        <f>G158*B158</f>
      </c>
      <c r="J158" s="30">
        <f>PM_Angle!$J$7+PM_Angle!$K$7*$C158+PM_Angle!$L$7*$B158</f>
      </c>
      <c r="K158" s="12">
        <f>IF(J158&gt;0,IF(J158&lt;=eco,alpha*fck*(1-(1-J158/eco)^n),alpha*fck),0)</f>
      </c>
      <c r="L158" s="30">
        <f>PM_Angle!$J$8+PM_Angle!$K$8*$C158+PM_Angle!$L$8*$B158</f>
      </c>
      <c r="M158" s="12">
        <f>IF(L158&gt;0,IF(L158&lt;=eco,alpha*fck*(1-(1-L158/eco)^n),alpha*fck),0)</f>
      </c>
      <c r="N158" s="30">
        <f>PM_Angle!$J$9+PM_Angle!$K$9*$C158+PM_Angle!$L$9*$B158</f>
      </c>
      <c r="O158" s="12">
        <f>IF(N158&gt;0,IF(N158&lt;=eco,alpha*fck*(1-(1-N158/eco)^n),alpha*fck),0)</f>
      </c>
      <c r="P158" s="30">
        <f>PM_Angle!$J$10+PM_Angle!$K$10*$C158+PM_Angle!$L$10*$B158</f>
      </c>
      <c r="Q158" s="12">
        <f>IF(P158&gt;0,IF(P158&lt;=eco,alpha*fck*(1-(1-P158/eco)^n),alpha*fck),0)</f>
      </c>
      <c r="R158" s="30">
        <f>PM_Angle!$J$11+PM_Angle!$K$11*$C158+PM_Angle!$L$11*$B158</f>
      </c>
      <c r="S158" s="12">
        <f>IF(R158&gt;0,IF(R158&lt;=eco,alpha*fck*(1-(1-R158/eco)^n),alpha*fck),0)</f>
      </c>
      <c r="T158" s="30">
        <f>PM_Angle!$J$12+PM_Angle!$K$12*$C158+PM_Angle!$L$12*$B158</f>
      </c>
      <c r="U158" s="12">
        <f>IF(T158&gt;0,IF(T158&lt;=eco,alpha*fck*(1-(1-T158/eco)^n),alpha*fck),0)</f>
      </c>
      <c r="V158" s="30">
        <f>PM_Angle!$J$13+PM_Angle!$K$13*$C158+PM_Angle!$L$13*$B158</f>
      </c>
      <c r="W158" s="12">
        <f>IF(V158&gt;0,IF(V158&lt;=eco,alpha*fck*(1-(1-V158/eco)^n),alpha*fck),0)</f>
      </c>
      <c r="X158" s="30">
        <f>PM_Angle!$J$14+PM_Angle!$K$14*$C158+PM_Angle!$L$14*$B158</f>
      </c>
      <c r="Y158" s="12">
        <f>IF(X158&gt;0,IF(X158&lt;=eco,alpha*fck*(1-(1-X158/eco)^n),alpha*fck),0)</f>
      </c>
      <c r="Z158" s="30">
        <f>PM_Angle!$J$15+PM_Angle!$K$15*$C158+PM_Angle!$L$15*$B158</f>
      </c>
      <c r="AA158" s="12">
        <f>IF(Z158&gt;0,IF(Z158&lt;=eco,alpha*fck*(1-(1-Z158/eco)^n),alpha*fck),0)</f>
      </c>
      <c r="AB158" s="30">
        <f>PM_Angle!$J$16+PM_Angle!$K$16*$C158+PM_Angle!$L$16*$B158</f>
      </c>
      <c r="AC158" s="12">
        <f>IF(AB158&gt;0,IF(AB158&lt;=eco,alpha*fck*(1-(1-AB158/eco)^n),alpha*fck),0)</f>
      </c>
      <c r="AD158" s="30">
        <f>PM_Angle!$J$17+PM_Angle!$K$17*$C158+PM_Angle!$L$17*$B158</f>
      </c>
      <c r="AE158" s="12">
        <f>IF(AD158&gt;0,IF(AD158&lt;=eco,alpha*fck*(1-(1-AD158/eco)^n),alpha*fck),0)</f>
      </c>
      <c r="AF158" s="30">
        <f>PM_Angle!$J$18+PM_Angle!$K$18*$C158+PM_Angle!$L$18*$B158</f>
      </c>
      <c r="AG158" s="12">
        <f>IF(AF158&gt;0,IF(AF158&lt;=eco,alpha*fck*(1-(1-AF158/eco)^n),alpha*fck),0)</f>
      </c>
      <c r="AH158" s="30">
        <f>PM_Angle!$J$19+PM_Angle!$K$19*$C158+PM_Angle!$L$19*$B158</f>
      </c>
      <c r="AI158" s="12">
        <f>IF(AH158&gt;0,IF(AH158&lt;=eco,alpha*fck*(1-(1-AH158/eco)^n),alpha*fck),0)</f>
      </c>
      <c r="AJ158" s="30">
        <f>PM_Angle!$J$20+PM_Angle!$K$20*$C158+PM_Angle!$L$20*$B158</f>
      </c>
      <c r="AK158" s="12">
        <f>IF(AJ158&gt;0,IF(AJ158&lt;=eco,alpha*fck*(1-(1-AJ158/eco)^n),alpha*fck),0)</f>
      </c>
      <c r="AL158" s="30">
        <f>PM_Angle!$J$21+PM_Angle!$K$21*$C158+PM_Angle!$L$21*$B158</f>
      </c>
      <c r="AM158" s="12">
        <f>IF(AL158&gt;0,IF(AL158&lt;=eco,alpha*fck*(1-(1-AL158/eco)^n),alpha*fck),0)</f>
      </c>
      <c r="AN158" s="30">
        <f>PM_Angle!$J$22+PM_Angle!$K$22*$C158+PM_Angle!$L$22*$B158</f>
      </c>
      <c r="AO158" s="12">
        <f>IF(AN158&gt;0,IF(AN158&lt;=eco,alpha*fck*(1-(1-AN158/eco)^n),alpha*fck),0)</f>
      </c>
      <c r="AP158" s="30">
        <f>PM_Angle!$J$23+PM_Angle!$K$23*$C158+PM_Angle!$L$23*$B158</f>
      </c>
      <c r="AQ158" s="12">
        <f>IF(AP158&gt;0,IF(AP158&lt;=eco,alpha*fck*(1-(1-AP158/eco)^n),alpha*fck),0)</f>
      </c>
      <c r="AR158" s="30">
        <f>PM_Angle!$J$24+PM_Angle!$K$24*$C158+PM_Angle!$L$24*$B158</f>
      </c>
      <c r="AS158" s="12">
        <f>IF(AR158&gt;0,IF(AR158&lt;=eco,alpha*fck*(1-(1-AR158/eco)^n),alpha*fck),0)</f>
      </c>
      <c r="AT158" s="30">
        <f>PM_Angle!$J$25+PM_Angle!$K$25*$C158+PM_Angle!$L$25*$B158</f>
      </c>
      <c r="AU158" s="12">
        <f>IF(AT158&gt;0,IF(AT158&lt;=eco,alpha*fck*(1-(1-AT158/eco)^n),alpha*fck),0)</f>
      </c>
    </row>
    <row r="159" spans="1:47" x14ac:dyDescent="0.25">
      <c r="A159">
        <f>Mesh!A156</f>
      </c>
      <c r="B159" s="12">
        <f>Mesh!B156</f>
      </c>
      <c r="C159" s="12">
        <f>Mesh!C156</f>
      </c>
      <c r="D159" s="12">
        <f>Mesh!D156</f>
      </c>
      <c r="E159" s="30">
        <f>INDEX(St_e0,Det+1)+INDEX(St_kx,Det+1)*C159+INDEX(St_ky,Det+1)*B159</f>
      </c>
      <c r="F159" s="12">
        <f>IF(E159&gt;0,IF(E159&lt;=eco,alpha*fck*(1-(1-E159/eco)^n),alpha*fck),0)</f>
      </c>
      <c r="G159" s="11">
        <f>F159*D159</f>
      </c>
      <c r="H159" s="11">
        <f>G159*C159</f>
      </c>
      <c r="I159" s="11">
        <f>G159*B159</f>
      </c>
      <c r="J159" s="30">
        <f>PM_Angle!$J$7+PM_Angle!$K$7*$C159+PM_Angle!$L$7*$B159</f>
      </c>
      <c r="K159" s="12">
        <f>IF(J159&gt;0,IF(J159&lt;=eco,alpha*fck*(1-(1-J159/eco)^n),alpha*fck),0)</f>
      </c>
      <c r="L159" s="30">
        <f>PM_Angle!$J$8+PM_Angle!$K$8*$C159+PM_Angle!$L$8*$B159</f>
      </c>
      <c r="M159" s="12">
        <f>IF(L159&gt;0,IF(L159&lt;=eco,alpha*fck*(1-(1-L159/eco)^n),alpha*fck),0)</f>
      </c>
      <c r="N159" s="30">
        <f>PM_Angle!$J$9+PM_Angle!$K$9*$C159+PM_Angle!$L$9*$B159</f>
      </c>
      <c r="O159" s="12">
        <f>IF(N159&gt;0,IF(N159&lt;=eco,alpha*fck*(1-(1-N159/eco)^n),alpha*fck),0)</f>
      </c>
      <c r="P159" s="30">
        <f>PM_Angle!$J$10+PM_Angle!$K$10*$C159+PM_Angle!$L$10*$B159</f>
      </c>
      <c r="Q159" s="12">
        <f>IF(P159&gt;0,IF(P159&lt;=eco,alpha*fck*(1-(1-P159/eco)^n),alpha*fck),0)</f>
      </c>
      <c r="R159" s="30">
        <f>PM_Angle!$J$11+PM_Angle!$K$11*$C159+PM_Angle!$L$11*$B159</f>
      </c>
      <c r="S159" s="12">
        <f>IF(R159&gt;0,IF(R159&lt;=eco,alpha*fck*(1-(1-R159/eco)^n),alpha*fck),0)</f>
      </c>
      <c r="T159" s="30">
        <f>PM_Angle!$J$12+PM_Angle!$K$12*$C159+PM_Angle!$L$12*$B159</f>
      </c>
      <c r="U159" s="12">
        <f>IF(T159&gt;0,IF(T159&lt;=eco,alpha*fck*(1-(1-T159/eco)^n),alpha*fck),0)</f>
      </c>
      <c r="V159" s="30">
        <f>PM_Angle!$J$13+PM_Angle!$K$13*$C159+PM_Angle!$L$13*$B159</f>
      </c>
      <c r="W159" s="12">
        <f>IF(V159&gt;0,IF(V159&lt;=eco,alpha*fck*(1-(1-V159/eco)^n),alpha*fck),0)</f>
      </c>
      <c r="X159" s="30">
        <f>PM_Angle!$J$14+PM_Angle!$K$14*$C159+PM_Angle!$L$14*$B159</f>
      </c>
      <c r="Y159" s="12">
        <f>IF(X159&gt;0,IF(X159&lt;=eco,alpha*fck*(1-(1-X159/eco)^n),alpha*fck),0)</f>
      </c>
      <c r="Z159" s="30">
        <f>PM_Angle!$J$15+PM_Angle!$K$15*$C159+PM_Angle!$L$15*$B159</f>
      </c>
      <c r="AA159" s="12">
        <f>IF(Z159&gt;0,IF(Z159&lt;=eco,alpha*fck*(1-(1-Z159/eco)^n),alpha*fck),0)</f>
      </c>
      <c r="AB159" s="30">
        <f>PM_Angle!$J$16+PM_Angle!$K$16*$C159+PM_Angle!$L$16*$B159</f>
      </c>
      <c r="AC159" s="12">
        <f>IF(AB159&gt;0,IF(AB159&lt;=eco,alpha*fck*(1-(1-AB159/eco)^n),alpha*fck),0)</f>
      </c>
      <c r="AD159" s="30">
        <f>PM_Angle!$J$17+PM_Angle!$K$17*$C159+PM_Angle!$L$17*$B159</f>
      </c>
      <c r="AE159" s="12">
        <f>IF(AD159&gt;0,IF(AD159&lt;=eco,alpha*fck*(1-(1-AD159/eco)^n),alpha*fck),0)</f>
      </c>
      <c r="AF159" s="30">
        <f>PM_Angle!$J$18+PM_Angle!$K$18*$C159+PM_Angle!$L$18*$B159</f>
      </c>
      <c r="AG159" s="12">
        <f>IF(AF159&gt;0,IF(AF159&lt;=eco,alpha*fck*(1-(1-AF159/eco)^n),alpha*fck),0)</f>
      </c>
      <c r="AH159" s="30">
        <f>PM_Angle!$J$19+PM_Angle!$K$19*$C159+PM_Angle!$L$19*$B159</f>
      </c>
      <c r="AI159" s="12">
        <f>IF(AH159&gt;0,IF(AH159&lt;=eco,alpha*fck*(1-(1-AH159/eco)^n),alpha*fck),0)</f>
      </c>
      <c r="AJ159" s="30">
        <f>PM_Angle!$J$20+PM_Angle!$K$20*$C159+PM_Angle!$L$20*$B159</f>
      </c>
      <c r="AK159" s="12">
        <f>IF(AJ159&gt;0,IF(AJ159&lt;=eco,alpha*fck*(1-(1-AJ159/eco)^n),alpha*fck),0)</f>
      </c>
      <c r="AL159" s="30">
        <f>PM_Angle!$J$21+PM_Angle!$K$21*$C159+PM_Angle!$L$21*$B159</f>
      </c>
      <c r="AM159" s="12">
        <f>IF(AL159&gt;0,IF(AL159&lt;=eco,alpha*fck*(1-(1-AL159/eco)^n),alpha*fck),0)</f>
      </c>
      <c r="AN159" s="30">
        <f>PM_Angle!$J$22+PM_Angle!$K$22*$C159+PM_Angle!$L$22*$B159</f>
      </c>
      <c r="AO159" s="12">
        <f>IF(AN159&gt;0,IF(AN159&lt;=eco,alpha*fck*(1-(1-AN159/eco)^n),alpha*fck),0)</f>
      </c>
      <c r="AP159" s="30">
        <f>PM_Angle!$J$23+PM_Angle!$K$23*$C159+PM_Angle!$L$23*$B159</f>
      </c>
      <c r="AQ159" s="12">
        <f>IF(AP159&gt;0,IF(AP159&lt;=eco,alpha*fck*(1-(1-AP159/eco)^n),alpha*fck),0)</f>
      </c>
      <c r="AR159" s="30">
        <f>PM_Angle!$J$24+PM_Angle!$K$24*$C159+PM_Angle!$L$24*$B159</f>
      </c>
      <c r="AS159" s="12">
        <f>IF(AR159&gt;0,IF(AR159&lt;=eco,alpha*fck*(1-(1-AR159/eco)^n),alpha*fck),0)</f>
      </c>
      <c r="AT159" s="30">
        <f>PM_Angle!$J$25+PM_Angle!$K$25*$C159+PM_Angle!$L$25*$B159</f>
      </c>
      <c r="AU159" s="12">
        <f>IF(AT159&gt;0,IF(AT159&lt;=eco,alpha*fck*(1-(1-AT159/eco)^n),alpha*fck),0)</f>
      </c>
    </row>
    <row r="160" spans="1:47" x14ac:dyDescent="0.25">
      <c r="A160">
        <f>Mesh!A157</f>
      </c>
      <c r="B160" s="12">
        <f>Mesh!B157</f>
      </c>
      <c r="C160" s="12">
        <f>Mesh!C157</f>
      </c>
      <c r="D160" s="12">
        <f>Mesh!D157</f>
      </c>
      <c r="E160" s="30">
        <f>INDEX(St_e0,Det+1)+INDEX(St_kx,Det+1)*C160+INDEX(St_ky,Det+1)*B160</f>
      </c>
      <c r="F160" s="12">
        <f>IF(E160&gt;0,IF(E160&lt;=eco,alpha*fck*(1-(1-E160/eco)^n),alpha*fck),0)</f>
      </c>
      <c r="G160" s="11">
        <f>F160*D160</f>
      </c>
      <c r="H160" s="11">
        <f>G160*C160</f>
      </c>
      <c r="I160" s="11">
        <f>G160*B160</f>
      </c>
      <c r="J160" s="30">
        <f>PM_Angle!$J$7+PM_Angle!$K$7*$C160+PM_Angle!$L$7*$B160</f>
      </c>
      <c r="K160" s="12">
        <f>IF(J160&gt;0,IF(J160&lt;=eco,alpha*fck*(1-(1-J160/eco)^n),alpha*fck),0)</f>
      </c>
      <c r="L160" s="30">
        <f>PM_Angle!$J$8+PM_Angle!$K$8*$C160+PM_Angle!$L$8*$B160</f>
      </c>
      <c r="M160" s="12">
        <f>IF(L160&gt;0,IF(L160&lt;=eco,alpha*fck*(1-(1-L160/eco)^n),alpha*fck),0)</f>
      </c>
      <c r="N160" s="30">
        <f>PM_Angle!$J$9+PM_Angle!$K$9*$C160+PM_Angle!$L$9*$B160</f>
      </c>
      <c r="O160" s="12">
        <f>IF(N160&gt;0,IF(N160&lt;=eco,alpha*fck*(1-(1-N160/eco)^n),alpha*fck),0)</f>
      </c>
      <c r="P160" s="30">
        <f>PM_Angle!$J$10+PM_Angle!$K$10*$C160+PM_Angle!$L$10*$B160</f>
      </c>
      <c r="Q160" s="12">
        <f>IF(P160&gt;0,IF(P160&lt;=eco,alpha*fck*(1-(1-P160/eco)^n),alpha*fck),0)</f>
      </c>
      <c r="R160" s="30">
        <f>PM_Angle!$J$11+PM_Angle!$K$11*$C160+PM_Angle!$L$11*$B160</f>
      </c>
      <c r="S160" s="12">
        <f>IF(R160&gt;0,IF(R160&lt;=eco,alpha*fck*(1-(1-R160/eco)^n),alpha*fck),0)</f>
      </c>
      <c r="T160" s="30">
        <f>PM_Angle!$J$12+PM_Angle!$K$12*$C160+PM_Angle!$L$12*$B160</f>
      </c>
      <c r="U160" s="12">
        <f>IF(T160&gt;0,IF(T160&lt;=eco,alpha*fck*(1-(1-T160/eco)^n),alpha*fck),0)</f>
      </c>
      <c r="V160" s="30">
        <f>PM_Angle!$J$13+PM_Angle!$K$13*$C160+PM_Angle!$L$13*$B160</f>
      </c>
      <c r="W160" s="12">
        <f>IF(V160&gt;0,IF(V160&lt;=eco,alpha*fck*(1-(1-V160/eco)^n),alpha*fck),0)</f>
      </c>
      <c r="X160" s="30">
        <f>PM_Angle!$J$14+PM_Angle!$K$14*$C160+PM_Angle!$L$14*$B160</f>
      </c>
      <c r="Y160" s="12">
        <f>IF(X160&gt;0,IF(X160&lt;=eco,alpha*fck*(1-(1-X160/eco)^n),alpha*fck),0)</f>
      </c>
      <c r="Z160" s="30">
        <f>PM_Angle!$J$15+PM_Angle!$K$15*$C160+PM_Angle!$L$15*$B160</f>
      </c>
      <c r="AA160" s="12">
        <f>IF(Z160&gt;0,IF(Z160&lt;=eco,alpha*fck*(1-(1-Z160/eco)^n),alpha*fck),0)</f>
      </c>
      <c r="AB160" s="30">
        <f>PM_Angle!$J$16+PM_Angle!$K$16*$C160+PM_Angle!$L$16*$B160</f>
      </c>
      <c r="AC160" s="12">
        <f>IF(AB160&gt;0,IF(AB160&lt;=eco,alpha*fck*(1-(1-AB160/eco)^n),alpha*fck),0)</f>
      </c>
      <c r="AD160" s="30">
        <f>PM_Angle!$J$17+PM_Angle!$K$17*$C160+PM_Angle!$L$17*$B160</f>
      </c>
      <c r="AE160" s="12">
        <f>IF(AD160&gt;0,IF(AD160&lt;=eco,alpha*fck*(1-(1-AD160/eco)^n),alpha*fck),0)</f>
      </c>
      <c r="AF160" s="30">
        <f>PM_Angle!$J$18+PM_Angle!$K$18*$C160+PM_Angle!$L$18*$B160</f>
      </c>
      <c r="AG160" s="12">
        <f>IF(AF160&gt;0,IF(AF160&lt;=eco,alpha*fck*(1-(1-AF160/eco)^n),alpha*fck),0)</f>
      </c>
      <c r="AH160" s="30">
        <f>PM_Angle!$J$19+PM_Angle!$K$19*$C160+PM_Angle!$L$19*$B160</f>
      </c>
      <c r="AI160" s="12">
        <f>IF(AH160&gt;0,IF(AH160&lt;=eco,alpha*fck*(1-(1-AH160/eco)^n),alpha*fck),0)</f>
      </c>
      <c r="AJ160" s="30">
        <f>PM_Angle!$J$20+PM_Angle!$K$20*$C160+PM_Angle!$L$20*$B160</f>
      </c>
      <c r="AK160" s="12">
        <f>IF(AJ160&gt;0,IF(AJ160&lt;=eco,alpha*fck*(1-(1-AJ160/eco)^n),alpha*fck),0)</f>
      </c>
      <c r="AL160" s="30">
        <f>PM_Angle!$J$21+PM_Angle!$K$21*$C160+PM_Angle!$L$21*$B160</f>
      </c>
      <c r="AM160" s="12">
        <f>IF(AL160&gt;0,IF(AL160&lt;=eco,alpha*fck*(1-(1-AL160/eco)^n),alpha*fck),0)</f>
      </c>
      <c r="AN160" s="30">
        <f>PM_Angle!$J$22+PM_Angle!$K$22*$C160+PM_Angle!$L$22*$B160</f>
      </c>
      <c r="AO160" s="12">
        <f>IF(AN160&gt;0,IF(AN160&lt;=eco,alpha*fck*(1-(1-AN160/eco)^n),alpha*fck),0)</f>
      </c>
      <c r="AP160" s="30">
        <f>PM_Angle!$J$23+PM_Angle!$K$23*$C160+PM_Angle!$L$23*$B160</f>
      </c>
      <c r="AQ160" s="12">
        <f>IF(AP160&gt;0,IF(AP160&lt;=eco,alpha*fck*(1-(1-AP160/eco)^n),alpha*fck),0)</f>
      </c>
      <c r="AR160" s="30">
        <f>PM_Angle!$J$24+PM_Angle!$K$24*$C160+PM_Angle!$L$24*$B160</f>
      </c>
      <c r="AS160" s="12">
        <f>IF(AR160&gt;0,IF(AR160&lt;=eco,alpha*fck*(1-(1-AR160/eco)^n),alpha*fck),0)</f>
      </c>
      <c r="AT160" s="30">
        <f>PM_Angle!$J$25+PM_Angle!$K$25*$C160+PM_Angle!$L$25*$B160</f>
      </c>
      <c r="AU160" s="12">
        <f>IF(AT160&gt;0,IF(AT160&lt;=eco,alpha*fck*(1-(1-AT160/eco)^n),alpha*fck),0)</f>
      </c>
    </row>
    <row r="161" spans="1:47" x14ac:dyDescent="0.25">
      <c r="A161">
        <f>Mesh!A158</f>
      </c>
      <c r="B161" s="12">
        <f>Mesh!B158</f>
      </c>
      <c r="C161" s="12">
        <f>Mesh!C158</f>
      </c>
      <c r="D161" s="12">
        <f>Mesh!D158</f>
      </c>
      <c r="E161" s="30">
        <f>INDEX(St_e0,Det+1)+INDEX(St_kx,Det+1)*C161+INDEX(St_ky,Det+1)*B161</f>
      </c>
      <c r="F161" s="12">
        <f>IF(E161&gt;0,IF(E161&lt;=eco,alpha*fck*(1-(1-E161/eco)^n),alpha*fck),0)</f>
      </c>
      <c r="G161" s="11">
        <f>F161*D161</f>
      </c>
      <c r="H161" s="11">
        <f>G161*C161</f>
      </c>
      <c r="I161" s="11">
        <f>G161*B161</f>
      </c>
      <c r="J161" s="30">
        <f>PM_Angle!$J$7+PM_Angle!$K$7*$C161+PM_Angle!$L$7*$B161</f>
      </c>
      <c r="K161" s="12">
        <f>IF(J161&gt;0,IF(J161&lt;=eco,alpha*fck*(1-(1-J161/eco)^n),alpha*fck),0)</f>
      </c>
      <c r="L161" s="30">
        <f>PM_Angle!$J$8+PM_Angle!$K$8*$C161+PM_Angle!$L$8*$B161</f>
      </c>
      <c r="M161" s="12">
        <f>IF(L161&gt;0,IF(L161&lt;=eco,alpha*fck*(1-(1-L161/eco)^n),alpha*fck),0)</f>
      </c>
      <c r="N161" s="30">
        <f>PM_Angle!$J$9+PM_Angle!$K$9*$C161+PM_Angle!$L$9*$B161</f>
      </c>
      <c r="O161" s="12">
        <f>IF(N161&gt;0,IF(N161&lt;=eco,alpha*fck*(1-(1-N161/eco)^n),alpha*fck),0)</f>
      </c>
      <c r="P161" s="30">
        <f>PM_Angle!$J$10+PM_Angle!$K$10*$C161+PM_Angle!$L$10*$B161</f>
      </c>
      <c r="Q161" s="12">
        <f>IF(P161&gt;0,IF(P161&lt;=eco,alpha*fck*(1-(1-P161/eco)^n),alpha*fck),0)</f>
      </c>
      <c r="R161" s="30">
        <f>PM_Angle!$J$11+PM_Angle!$K$11*$C161+PM_Angle!$L$11*$B161</f>
      </c>
      <c r="S161" s="12">
        <f>IF(R161&gt;0,IF(R161&lt;=eco,alpha*fck*(1-(1-R161/eco)^n),alpha*fck),0)</f>
      </c>
      <c r="T161" s="30">
        <f>PM_Angle!$J$12+PM_Angle!$K$12*$C161+PM_Angle!$L$12*$B161</f>
      </c>
      <c r="U161" s="12">
        <f>IF(T161&gt;0,IF(T161&lt;=eco,alpha*fck*(1-(1-T161/eco)^n),alpha*fck),0)</f>
      </c>
      <c r="V161" s="30">
        <f>PM_Angle!$J$13+PM_Angle!$K$13*$C161+PM_Angle!$L$13*$B161</f>
      </c>
      <c r="W161" s="12">
        <f>IF(V161&gt;0,IF(V161&lt;=eco,alpha*fck*(1-(1-V161/eco)^n),alpha*fck),0)</f>
      </c>
      <c r="X161" s="30">
        <f>PM_Angle!$J$14+PM_Angle!$K$14*$C161+PM_Angle!$L$14*$B161</f>
      </c>
      <c r="Y161" s="12">
        <f>IF(X161&gt;0,IF(X161&lt;=eco,alpha*fck*(1-(1-X161/eco)^n),alpha*fck),0)</f>
      </c>
      <c r="Z161" s="30">
        <f>PM_Angle!$J$15+PM_Angle!$K$15*$C161+PM_Angle!$L$15*$B161</f>
      </c>
      <c r="AA161" s="12">
        <f>IF(Z161&gt;0,IF(Z161&lt;=eco,alpha*fck*(1-(1-Z161/eco)^n),alpha*fck),0)</f>
      </c>
      <c r="AB161" s="30">
        <f>PM_Angle!$J$16+PM_Angle!$K$16*$C161+PM_Angle!$L$16*$B161</f>
      </c>
      <c r="AC161" s="12">
        <f>IF(AB161&gt;0,IF(AB161&lt;=eco,alpha*fck*(1-(1-AB161/eco)^n),alpha*fck),0)</f>
      </c>
      <c r="AD161" s="30">
        <f>PM_Angle!$J$17+PM_Angle!$K$17*$C161+PM_Angle!$L$17*$B161</f>
      </c>
      <c r="AE161" s="12">
        <f>IF(AD161&gt;0,IF(AD161&lt;=eco,alpha*fck*(1-(1-AD161/eco)^n),alpha*fck),0)</f>
      </c>
      <c r="AF161" s="30">
        <f>PM_Angle!$J$18+PM_Angle!$K$18*$C161+PM_Angle!$L$18*$B161</f>
      </c>
      <c r="AG161" s="12">
        <f>IF(AF161&gt;0,IF(AF161&lt;=eco,alpha*fck*(1-(1-AF161/eco)^n),alpha*fck),0)</f>
      </c>
      <c r="AH161" s="30">
        <f>PM_Angle!$J$19+PM_Angle!$K$19*$C161+PM_Angle!$L$19*$B161</f>
      </c>
      <c r="AI161" s="12">
        <f>IF(AH161&gt;0,IF(AH161&lt;=eco,alpha*fck*(1-(1-AH161/eco)^n),alpha*fck),0)</f>
      </c>
      <c r="AJ161" s="30">
        <f>PM_Angle!$J$20+PM_Angle!$K$20*$C161+PM_Angle!$L$20*$B161</f>
      </c>
      <c r="AK161" s="12">
        <f>IF(AJ161&gt;0,IF(AJ161&lt;=eco,alpha*fck*(1-(1-AJ161/eco)^n),alpha*fck),0)</f>
      </c>
      <c r="AL161" s="30">
        <f>PM_Angle!$J$21+PM_Angle!$K$21*$C161+PM_Angle!$L$21*$B161</f>
      </c>
      <c r="AM161" s="12">
        <f>IF(AL161&gt;0,IF(AL161&lt;=eco,alpha*fck*(1-(1-AL161/eco)^n),alpha*fck),0)</f>
      </c>
      <c r="AN161" s="30">
        <f>PM_Angle!$J$22+PM_Angle!$K$22*$C161+PM_Angle!$L$22*$B161</f>
      </c>
      <c r="AO161" s="12">
        <f>IF(AN161&gt;0,IF(AN161&lt;=eco,alpha*fck*(1-(1-AN161/eco)^n),alpha*fck),0)</f>
      </c>
      <c r="AP161" s="30">
        <f>PM_Angle!$J$23+PM_Angle!$K$23*$C161+PM_Angle!$L$23*$B161</f>
      </c>
      <c r="AQ161" s="12">
        <f>IF(AP161&gt;0,IF(AP161&lt;=eco,alpha*fck*(1-(1-AP161/eco)^n),alpha*fck),0)</f>
      </c>
      <c r="AR161" s="30">
        <f>PM_Angle!$J$24+PM_Angle!$K$24*$C161+PM_Angle!$L$24*$B161</f>
      </c>
      <c r="AS161" s="12">
        <f>IF(AR161&gt;0,IF(AR161&lt;=eco,alpha*fck*(1-(1-AR161/eco)^n),alpha*fck),0)</f>
      </c>
      <c r="AT161" s="30">
        <f>PM_Angle!$J$25+PM_Angle!$K$25*$C161+PM_Angle!$L$25*$B161</f>
      </c>
      <c r="AU161" s="12">
        <f>IF(AT161&gt;0,IF(AT161&lt;=eco,alpha*fck*(1-(1-AT161/eco)^n),alpha*fck),0)</f>
      </c>
    </row>
    <row r="162" spans="1:47" x14ac:dyDescent="0.25">
      <c r="A162">
        <f>Mesh!A159</f>
      </c>
      <c r="B162" s="12">
        <f>Mesh!B159</f>
      </c>
      <c r="C162" s="12">
        <f>Mesh!C159</f>
      </c>
      <c r="D162" s="12">
        <f>Mesh!D159</f>
      </c>
      <c r="E162" s="30">
        <f>INDEX(St_e0,Det+1)+INDEX(St_kx,Det+1)*C162+INDEX(St_ky,Det+1)*B162</f>
      </c>
      <c r="F162" s="12">
        <f>IF(E162&gt;0,IF(E162&lt;=eco,alpha*fck*(1-(1-E162/eco)^n),alpha*fck),0)</f>
      </c>
      <c r="G162" s="11">
        <f>F162*D162</f>
      </c>
      <c r="H162" s="11">
        <f>G162*C162</f>
      </c>
      <c r="I162" s="11">
        <f>G162*B162</f>
      </c>
      <c r="J162" s="30">
        <f>PM_Angle!$J$7+PM_Angle!$K$7*$C162+PM_Angle!$L$7*$B162</f>
      </c>
      <c r="K162" s="12">
        <f>IF(J162&gt;0,IF(J162&lt;=eco,alpha*fck*(1-(1-J162/eco)^n),alpha*fck),0)</f>
      </c>
      <c r="L162" s="30">
        <f>PM_Angle!$J$8+PM_Angle!$K$8*$C162+PM_Angle!$L$8*$B162</f>
      </c>
      <c r="M162" s="12">
        <f>IF(L162&gt;0,IF(L162&lt;=eco,alpha*fck*(1-(1-L162/eco)^n),alpha*fck),0)</f>
      </c>
      <c r="N162" s="30">
        <f>PM_Angle!$J$9+PM_Angle!$K$9*$C162+PM_Angle!$L$9*$B162</f>
      </c>
      <c r="O162" s="12">
        <f>IF(N162&gt;0,IF(N162&lt;=eco,alpha*fck*(1-(1-N162/eco)^n),alpha*fck),0)</f>
      </c>
      <c r="P162" s="30">
        <f>PM_Angle!$J$10+PM_Angle!$K$10*$C162+PM_Angle!$L$10*$B162</f>
      </c>
      <c r="Q162" s="12">
        <f>IF(P162&gt;0,IF(P162&lt;=eco,alpha*fck*(1-(1-P162/eco)^n),alpha*fck),0)</f>
      </c>
      <c r="R162" s="30">
        <f>PM_Angle!$J$11+PM_Angle!$K$11*$C162+PM_Angle!$L$11*$B162</f>
      </c>
      <c r="S162" s="12">
        <f>IF(R162&gt;0,IF(R162&lt;=eco,alpha*fck*(1-(1-R162/eco)^n),alpha*fck),0)</f>
      </c>
      <c r="T162" s="30">
        <f>PM_Angle!$J$12+PM_Angle!$K$12*$C162+PM_Angle!$L$12*$B162</f>
      </c>
      <c r="U162" s="12">
        <f>IF(T162&gt;0,IF(T162&lt;=eco,alpha*fck*(1-(1-T162/eco)^n),alpha*fck),0)</f>
      </c>
      <c r="V162" s="30">
        <f>PM_Angle!$J$13+PM_Angle!$K$13*$C162+PM_Angle!$L$13*$B162</f>
      </c>
      <c r="W162" s="12">
        <f>IF(V162&gt;0,IF(V162&lt;=eco,alpha*fck*(1-(1-V162/eco)^n),alpha*fck),0)</f>
      </c>
      <c r="X162" s="30">
        <f>PM_Angle!$J$14+PM_Angle!$K$14*$C162+PM_Angle!$L$14*$B162</f>
      </c>
      <c r="Y162" s="12">
        <f>IF(X162&gt;0,IF(X162&lt;=eco,alpha*fck*(1-(1-X162/eco)^n),alpha*fck),0)</f>
      </c>
      <c r="Z162" s="30">
        <f>PM_Angle!$J$15+PM_Angle!$K$15*$C162+PM_Angle!$L$15*$B162</f>
      </c>
      <c r="AA162" s="12">
        <f>IF(Z162&gt;0,IF(Z162&lt;=eco,alpha*fck*(1-(1-Z162/eco)^n),alpha*fck),0)</f>
      </c>
      <c r="AB162" s="30">
        <f>PM_Angle!$J$16+PM_Angle!$K$16*$C162+PM_Angle!$L$16*$B162</f>
      </c>
      <c r="AC162" s="12">
        <f>IF(AB162&gt;0,IF(AB162&lt;=eco,alpha*fck*(1-(1-AB162/eco)^n),alpha*fck),0)</f>
      </c>
      <c r="AD162" s="30">
        <f>PM_Angle!$J$17+PM_Angle!$K$17*$C162+PM_Angle!$L$17*$B162</f>
      </c>
      <c r="AE162" s="12">
        <f>IF(AD162&gt;0,IF(AD162&lt;=eco,alpha*fck*(1-(1-AD162/eco)^n),alpha*fck),0)</f>
      </c>
      <c r="AF162" s="30">
        <f>PM_Angle!$J$18+PM_Angle!$K$18*$C162+PM_Angle!$L$18*$B162</f>
      </c>
      <c r="AG162" s="12">
        <f>IF(AF162&gt;0,IF(AF162&lt;=eco,alpha*fck*(1-(1-AF162/eco)^n),alpha*fck),0)</f>
      </c>
      <c r="AH162" s="30">
        <f>PM_Angle!$J$19+PM_Angle!$K$19*$C162+PM_Angle!$L$19*$B162</f>
      </c>
      <c r="AI162" s="12">
        <f>IF(AH162&gt;0,IF(AH162&lt;=eco,alpha*fck*(1-(1-AH162/eco)^n),alpha*fck),0)</f>
      </c>
      <c r="AJ162" s="30">
        <f>PM_Angle!$J$20+PM_Angle!$K$20*$C162+PM_Angle!$L$20*$B162</f>
      </c>
      <c r="AK162" s="12">
        <f>IF(AJ162&gt;0,IF(AJ162&lt;=eco,alpha*fck*(1-(1-AJ162/eco)^n),alpha*fck),0)</f>
      </c>
      <c r="AL162" s="30">
        <f>PM_Angle!$J$21+PM_Angle!$K$21*$C162+PM_Angle!$L$21*$B162</f>
      </c>
      <c r="AM162" s="12">
        <f>IF(AL162&gt;0,IF(AL162&lt;=eco,alpha*fck*(1-(1-AL162/eco)^n),alpha*fck),0)</f>
      </c>
      <c r="AN162" s="30">
        <f>PM_Angle!$J$22+PM_Angle!$K$22*$C162+PM_Angle!$L$22*$B162</f>
      </c>
      <c r="AO162" s="12">
        <f>IF(AN162&gt;0,IF(AN162&lt;=eco,alpha*fck*(1-(1-AN162/eco)^n),alpha*fck),0)</f>
      </c>
      <c r="AP162" s="30">
        <f>PM_Angle!$J$23+PM_Angle!$K$23*$C162+PM_Angle!$L$23*$B162</f>
      </c>
      <c r="AQ162" s="12">
        <f>IF(AP162&gt;0,IF(AP162&lt;=eco,alpha*fck*(1-(1-AP162/eco)^n),alpha*fck),0)</f>
      </c>
      <c r="AR162" s="30">
        <f>PM_Angle!$J$24+PM_Angle!$K$24*$C162+PM_Angle!$L$24*$B162</f>
      </c>
      <c r="AS162" s="12">
        <f>IF(AR162&gt;0,IF(AR162&lt;=eco,alpha*fck*(1-(1-AR162/eco)^n),alpha*fck),0)</f>
      </c>
      <c r="AT162" s="30">
        <f>PM_Angle!$J$25+PM_Angle!$K$25*$C162+PM_Angle!$L$25*$B162</f>
      </c>
      <c r="AU162" s="12">
        <f>IF(AT162&gt;0,IF(AT162&lt;=eco,alpha*fck*(1-(1-AT162/eco)^n),alpha*fck),0)</f>
      </c>
    </row>
    <row r="163" spans="1:47" x14ac:dyDescent="0.25">
      <c r="A163">
        <f>Mesh!A160</f>
      </c>
      <c r="B163" s="12">
        <f>Mesh!B160</f>
      </c>
      <c r="C163" s="12">
        <f>Mesh!C160</f>
      </c>
      <c r="D163" s="12">
        <f>Mesh!D160</f>
      </c>
      <c r="E163" s="30">
        <f>INDEX(St_e0,Det+1)+INDEX(St_kx,Det+1)*C163+INDEX(St_ky,Det+1)*B163</f>
      </c>
      <c r="F163" s="12">
        <f>IF(E163&gt;0,IF(E163&lt;=eco,alpha*fck*(1-(1-E163/eco)^n),alpha*fck),0)</f>
      </c>
      <c r="G163" s="11">
        <f>F163*D163</f>
      </c>
      <c r="H163" s="11">
        <f>G163*C163</f>
      </c>
      <c r="I163" s="11">
        <f>G163*B163</f>
      </c>
      <c r="J163" s="30">
        <f>PM_Angle!$J$7+PM_Angle!$K$7*$C163+PM_Angle!$L$7*$B163</f>
      </c>
      <c r="K163" s="12">
        <f>IF(J163&gt;0,IF(J163&lt;=eco,alpha*fck*(1-(1-J163/eco)^n),alpha*fck),0)</f>
      </c>
      <c r="L163" s="30">
        <f>PM_Angle!$J$8+PM_Angle!$K$8*$C163+PM_Angle!$L$8*$B163</f>
      </c>
      <c r="M163" s="12">
        <f>IF(L163&gt;0,IF(L163&lt;=eco,alpha*fck*(1-(1-L163/eco)^n),alpha*fck),0)</f>
      </c>
      <c r="N163" s="30">
        <f>PM_Angle!$J$9+PM_Angle!$K$9*$C163+PM_Angle!$L$9*$B163</f>
      </c>
      <c r="O163" s="12">
        <f>IF(N163&gt;0,IF(N163&lt;=eco,alpha*fck*(1-(1-N163/eco)^n),alpha*fck),0)</f>
      </c>
      <c r="P163" s="30">
        <f>PM_Angle!$J$10+PM_Angle!$K$10*$C163+PM_Angle!$L$10*$B163</f>
      </c>
      <c r="Q163" s="12">
        <f>IF(P163&gt;0,IF(P163&lt;=eco,alpha*fck*(1-(1-P163/eco)^n),alpha*fck),0)</f>
      </c>
      <c r="R163" s="30">
        <f>PM_Angle!$J$11+PM_Angle!$K$11*$C163+PM_Angle!$L$11*$B163</f>
      </c>
      <c r="S163" s="12">
        <f>IF(R163&gt;0,IF(R163&lt;=eco,alpha*fck*(1-(1-R163/eco)^n),alpha*fck),0)</f>
      </c>
      <c r="T163" s="30">
        <f>PM_Angle!$J$12+PM_Angle!$K$12*$C163+PM_Angle!$L$12*$B163</f>
      </c>
      <c r="U163" s="12">
        <f>IF(T163&gt;0,IF(T163&lt;=eco,alpha*fck*(1-(1-T163/eco)^n),alpha*fck),0)</f>
      </c>
      <c r="V163" s="30">
        <f>PM_Angle!$J$13+PM_Angle!$K$13*$C163+PM_Angle!$L$13*$B163</f>
      </c>
      <c r="W163" s="12">
        <f>IF(V163&gt;0,IF(V163&lt;=eco,alpha*fck*(1-(1-V163/eco)^n),alpha*fck),0)</f>
      </c>
      <c r="X163" s="30">
        <f>PM_Angle!$J$14+PM_Angle!$K$14*$C163+PM_Angle!$L$14*$B163</f>
      </c>
      <c r="Y163" s="12">
        <f>IF(X163&gt;0,IF(X163&lt;=eco,alpha*fck*(1-(1-X163/eco)^n),alpha*fck),0)</f>
      </c>
      <c r="Z163" s="30">
        <f>PM_Angle!$J$15+PM_Angle!$K$15*$C163+PM_Angle!$L$15*$B163</f>
      </c>
      <c r="AA163" s="12">
        <f>IF(Z163&gt;0,IF(Z163&lt;=eco,alpha*fck*(1-(1-Z163/eco)^n),alpha*fck),0)</f>
      </c>
      <c r="AB163" s="30">
        <f>PM_Angle!$J$16+PM_Angle!$K$16*$C163+PM_Angle!$L$16*$B163</f>
      </c>
      <c r="AC163" s="12">
        <f>IF(AB163&gt;0,IF(AB163&lt;=eco,alpha*fck*(1-(1-AB163/eco)^n),alpha*fck),0)</f>
      </c>
      <c r="AD163" s="30">
        <f>PM_Angle!$J$17+PM_Angle!$K$17*$C163+PM_Angle!$L$17*$B163</f>
      </c>
      <c r="AE163" s="12">
        <f>IF(AD163&gt;0,IF(AD163&lt;=eco,alpha*fck*(1-(1-AD163/eco)^n),alpha*fck),0)</f>
      </c>
      <c r="AF163" s="30">
        <f>PM_Angle!$J$18+PM_Angle!$K$18*$C163+PM_Angle!$L$18*$B163</f>
      </c>
      <c r="AG163" s="12">
        <f>IF(AF163&gt;0,IF(AF163&lt;=eco,alpha*fck*(1-(1-AF163/eco)^n),alpha*fck),0)</f>
      </c>
      <c r="AH163" s="30">
        <f>PM_Angle!$J$19+PM_Angle!$K$19*$C163+PM_Angle!$L$19*$B163</f>
      </c>
      <c r="AI163" s="12">
        <f>IF(AH163&gt;0,IF(AH163&lt;=eco,alpha*fck*(1-(1-AH163/eco)^n),alpha*fck),0)</f>
      </c>
      <c r="AJ163" s="30">
        <f>PM_Angle!$J$20+PM_Angle!$K$20*$C163+PM_Angle!$L$20*$B163</f>
      </c>
      <c r="AK163" s="12">
        <f>IF(AJ163&gt;0,IF(AJ163&lt;=eco,alpha*fck*(1-(1-AJ163/eco)^n),alpha*fck),0)</f>
      </c>
      <c r="AL163" s="30">
        <f>PM_Angle!$J$21+PM_Angle!$K$21*$C163+PM_Angle!$L$21*$B163</f>
      </c>
      <c r="AM163" s="12">
        <f>IF(AL163&gt;0,IF(AL163&lt;=eco,alpha*fck*(1-(1-AL163/eco)^n),alpha*fck),0)</f>
      </c>
      <c r="AN163" s="30">
        <f>PM_Angle!$J$22+PM_Angle!$K$22*$C163+PM_Angle!$L$22*$B163</f>
      </c>
      <c r="AO163" s="12">
        <f>IF(AN163&gt;0,IF(AN163&lt;=eco,alpha*fck*(1-(1-AN163/eco)^n),alpha*fck),0)</f>
      </c>
      <c r="AP163" s="30">
        <f>PM_Angle!$J$23+PM_Angle!$K$23*$C163+PM_Angle!$L$23*$B163</f>
      </c>
      <c r="AQ163" s="12">
        <f>IF(AP163&gt;0,IF(AP163&lt;=eco,alpha*fck*(1-(1-AP163/eco)^n),alpha*fck),0)</f>
      </c>
      <c r="AR163" s="30">
        <f>PM_Angle!$J$24+PM_Angle!$K$24*$C163+PM_Angle!$L$24*$B163</f>
      </c>
      <c r="AS163" s="12">
        <f>IF(AR163&gt;0,IF(AR163&lt;=eco,alpha*fck*(1-(1-AR163/eco)^n),alpha*fck),0)</f>
      </c>
      <c r="AT163" s="30">
        <f>PM_Angle!$J$25+PM_Angle!$K$25*$C163+PM_Angle!$L$25*$B163</f>
      </c>
      <c r="AU163" s="12">
        <f>IF(AT163&gt;0,IF(AT163&lt;=eco,alpha*fck*(1-(1-AT163/eco)^n),alpha*fck),0)</f>
      </c>
    </row>
    <row r="164" spans="1:47" x14ac:dyDescent="0.25">
      <c r="A164">
        <f>Mesh!A161</f>
      </c>
      <c r="B164" s="12">
        <f>Mesh!B161</f>
      </c>
      <c r="C164" s="12">
        <f>Mesh!C161</f>
      </c>
      <c r="D164" s="12">
        <f>Mesh!D161</f>
      </c>
      <c r="E164" s="30">
        <f>INDEX(St_e0,Det+1)+INDEX(St_kx,Det+1)*C164+INDEX(St_ky,Det+1)*B164</f>
      </c>
      <c r="F164" s="12">
        <f>IF(E164&gt;0,IF(E164&lt;=eco,alpha*fck*(1-(1-E164/eco)^n),alpha*fck),0)</f>
      </c>
      <c r="G164" s="11">
        <f>F164*D164</f>
      </c>
      <c r="H164" s="11">
        <f>G164*C164</f>
      </c>
      <c r="I164" s="11">
        <f>G164*B164</f>
      </c>
      <c r="J164" s="30">
        <f>PM_Angle!$J$7+PM_Angle!$K$7*$C164+PM_Angle!$L$7*$B164</f>
      </c>
      <c r="K164" s="12">
        <f>IF(J164&gt;0,IF(J164&lt;=eco,alpha*fck*(1-(1-J164/eco)^n),alpha*fck),0)</f>
      </c>
      <c r="L164" s="30">
        <f>PM_Angle!$J$8+PM_Angle!$K$8*$C164+PM_Angle!$L$8*$B164</f>
      </c>
      <c r="M164" s="12">
        <f>IF(L164&gt;0,IF(L164&lt;=eco,alpha*fck*(1-(1-L164/eco)^n),alpha*fck),0)</f>
      </c>
      <c r="N164" s="30">
        <f>PM_Angle!$J$9+PM_Angle!$K$9*$C164+PM_Angle!$L$9*$B164</f>
      </c>
      <c r="O164" s="12">
        <f>IF(N164&gt;0,IF(N164&lt;=eco,alpha*fck*(1-(1-N164/eco)^n),alpha*fck),0)</f>
      </c>
      <c r="P164" s="30">
        <f>PM_Angle!$J$10+PM_Angle!$K$10*$C164+PM_Angle!$L$10*$B164</f>
      </c>
      <c r="Q164" s="12">
        <f>IF(P164&gt;0,IF(P164&lt;=eco,alpha*fck*(1-(1-P164/eco)^n),alpha*fck),0)</f>
      </c>
      <c r="R164" s="30">
        <f>PM_Angle!$J$11+PM_Angle!$K$11*$C164+PM_Angle!$L$11*$B164</f>
      </c>
      <c r="S164" s="12">
        <f>IF(R164&gt;0,IF(R164&lt;=eco,alpha*fck*(1-(1-R164/eco)^n),alpha*fck),0)</f>
      </c>
      <c r="T164" s="30">
        <f>PM_Angle!$J$12+PM_Angle!$K$12*$C164+PM_Angle!$L$12*$B164</f>
      </c>
      <c r="U164" s="12">
        <f>IF(T164&gt;0,IF(T164&lt;=eco,alpha*fck*(1-(1-T164/eco)^n),alpha*fck),0)</f>
      </c>
      <c r="V164" s="30">
        <f>PM_Angle!$J$13+PM_Angle!$K$13*$C164+PM_Angle!$L$13*$B164</f>
      </c>
      <c r="W164" s="12">
        <f>IF(V164&gt;0,IF(V164&lt;=eco,alpha*fck*(1-(1-V164/eco)^n),alpha*fck),0)</f>
      </c>
      <c r="X164" s="30">
        <f>PM_Angle!$J$14+PM_Angle!$K$14*$C164+PM_Angle!$L$14*$B164</f>
      </c>
      <c r="Y164" s="12">
        <f>IF(X164&gt;0,IF(X164&lt;=eco,alpha*fck*(1-(1-X164/eco)^n),alpha*fck),0)</f>
      </c>
      <c r="Z164" s="30">
        <f>PM_Angle!$J$15+PM_Angle!$K$15*$C164+PM_Angle!$L$15*$B164</f>
      </c>
      <c r="AA164" s="12">
        <f>IF(Z164&gt;0,IF(Z164&lt;=eco,alpha*fck*(1-(1-Z164/eco)^n),alpha*fck),0)</f>
      </c>
      <c r="AB164" s="30">
        <f>PM_Angle!$J$16+PM_Angle!$K$16*$C164+PM_Angle!$L$16*$B164</f>
      </c>
      <c r="AC164" s="12">
        <f>IF(AB164&gt;0,IF(AB164&lt;=eco,alpha*fck*(1-(1-AB164/eco)^n),alpha*fck),0)</f>
      </c>
      <c r="AD164" s="30">
        <f>PM_Angle!$J$17+PM_Angle!$K$17*$C164+PM_Angle!$L$17*$B164</f>
      </c>
      <c r="AE164" s="12">
        <f>IF(AD164&gt;0,IF(AD164&lt;=eco,alpha*fck*(1-(1-AD164/eco)^n),alpha*fck),0)</f>
      </c>
      <c r="AF164" s="30">
        <f>PM_Angle!$J$18+PM_Angle!$K$18*$C164+PM_Angle!$L$18*$B164</f>
      </c>
      <c r="AG164" s="12">
        <f>IF(AF164&gt;0,IF(AF164&lt;=eco,alpha*fck*(1-(1-AF164/eco)^n),alpha*fck),0)</f>
      </c>
      <c r="AH164" s="30">
        <f>PM_Angle!$J$19+PM_Angle!$K$19*$C164+PM_Angle!$L$19*$B164</f>
      </c>
      <c r="AI164" s="12">
        <f>IF(AH164&gt;0,IF(AH164&lt;=eco,alpha*fck*(1-(1-AH164/eco)^n),alpha*fck),0)</f>
      </c>
      <c r="AJ164" s="30">
        <f>PM_Angle!$J$20+PM_Angle!$K$20*$C164+PM_Angle!$L$20*$B164</f>
      </c>
      <c r="AK164" s="12">
        <f>IF(AJ164&gt;0,IF(AJ164&lt;=eco,alpha*fck*(1-(1-AJ164/eco)^n),alpha*fck),0)</f>
      </c>
      <c r="AL164" s="30">
        <f>PM_Angle!$J$21+PM_Angle!$K$21*$C164+PM_Angle!$L$21*$B164</f>
      </c>
      <c r="AM164" s="12">
        <f>IF(AL164&gt;0,IF(AL164&lt;=eco,alpha*fck*(1-(1-AL164/eco)^n),alpha*fck),0)</f>
      </c>
      <c r="AN164" s="30">
        <f>PM_Angle!$J$22+PM_Angle!$K$22*$C164+PM_Angle!$L$22*$B164</f>
      </c>
      <c r="AO164" s="12">
        <f>IF(AN164&gt;0,IF(AN164&lt;=eco,alpha*fck*(1-(1-AN164/eco)^n),alpha*fck),0)</f>
      </c>
      <c r="AP164" s="30">
        <f>PM_Angle!$J$23+PM_Angle!$K$23*$C164+PM_Angle!$L$23*$B164</f>
      </c>
      <c r="AQ164" s="12">
        <f>IF(AP164&gt;0,IF(AP164&lt;=eco,alpha*fck*(1-(1-AP164/eco)^n),alpha*fck),0)</f>
      </c>
      <c r="AR164" s="30">
        <f>PM_Angle!$J$24+PM_Angle!$K$24*$C164+PM_Angle!$L$24*$B164</f>
      </c>
      <c r="AS164" s="12">
        <f>IF(AR164&gt;0,IF(AR164&lt;=eco,alpha*fck*(1-(1-AR164/eco)^n),alpha*fck),0)</f>
      </c>
      <c r="AT164" s="30">
        <f>PM_Angle!$J$25+PM_Angle!$K$25*$C164+PM_Angle!$L$25*$B164</f>
      </c>
      <c r="AU164" s="12">
        <f>IF(AT164&gt;0,IF(AT164&lt;=eco,alpha*fck*(1-(1-AT164/eco)^n),alpha*fck),0)</f>
      </c>
    </row>
    <row r="165" spans="1:47" x14ac:dyDescent="0.25">
      <c r="A165">
        <f>Mesh!A162</f>
      </c>
      <c r="B165" s="12">
        <f>Mesh!B162</f>
      </c>
      <c r="C165" s="12">
        <f>Mesh!C162</f>
      </c>
      <c r="D165" s="12">
        <f>Mesh!D162</f>
      </c>
      <c r="E165" s="30">
        <f>INDEX(St_e0,Det+1)+INDEX(St_kx,Det+1)*C165+INDEX(St_ky,Det+1)*B165</f>
      </c>
      <c r="F165" s="12">
        <f>IF(E165&gt;0,IF(E165&lt;=eco,alpha*fck*(1-(1-E165/eco)^n),alpha*fck),0)</f>
      </c>
      <c r="G165" s="11">
        <f>F165*D165</f>
      </c>
      <c r="H165" s="11">
        <f>G165*C165</f>
      </c>
      <c r="I165" s="11">
        <f>G165*B165</f>
      </c>
      <c r="J165" s="30">
        <f>PM_Angle!$J$7+PM_Angle!$K$7*$C165+PM_Angle!$L$7*$B165</f>
      </c>
      <c r="K165" s="12">
        <f>IF(J165&gt;0,IF(J165&lt;=eco,alpha*fck*(1-(1-J165/eco)^n),alpha*fck),0)</f>
      </c>
      <c r="L165" s="30">
        <f>PM_Angle!$J$8+PM_Angle!$K$8*$C165+PM_Angle!$L$8*$B165</f>
      </c>
      <c r="M165" s="12">
        <f>IF(L165&gt;0,IF(L165&lt;=eco,alpha*fck*(1-(1-L165/eco)^n),alpha*fck),0)</f>
      </c>
      <c r="N165" s="30">
        <f>PM_Angle!$J$9+PM_Angle!$K$9*$C165+PM_Angle!$L$9*$B165</f>
      </c>
      <c r="O165" s="12">
        <f>IF(N165&gt;0,IF(N165&lt;=eco,alpha*fck*(1-(1-N165/eco)^n),alpha*fck),0)</f>
      </c>
      <c r="P165" s="30">
        <f>PM_Angle!$J$10+PM_Angle!$K$10*$C165+PM_Angle!$L$10*$B165</f>
      </c>
      <c r="Q165" s="12">
        <f>IF(P165&gt;0,IF(P165&lt;=eco,alpha*fck*(1-(1-P165/eco)^n),alpha*fck),0)</f>
      </c>
      <c r="R165" s="30">
        <f>PM_Angle!$J$11+PM_Angle!$K$11*$C165+PM_Angle!$L$11*$B165</f>
      </c>
      <c r="S165" s="12">
        <f>IF(R165&gt;0,IF(R165&lt;=eco,alpha*fck*(1-(1-R165/eco)^n),alpha*fck),0)</f>
      </c>
      <c r="T165" s="30">
        <f>PM_Angle!$J$12+PM_Angle!$K$12*$C165+PM_Angle!$L$12*$B165</f>
      </c>
      <c r="U165" s="12">
        <f>IF(T165&gt;0,IF(T165&lt;=eco,alpha*fck*(1-(1-T165/eco)^n),alpha*fck),0)</f>
      </c>
      <c r="V165" s="30">
        <f>PM_Angle!$J$13+PM_Angle!$K$13*$C165+PM_Angle!$L$13*$B165</f>
      </c>
      <c r="W165" s="12">
        <f>IF(V165&gt;0,IF(V165&lt;=eco,alpha*fck*(1-(1-V165/eco)^n),alpha*fck),0)</f>
      </c>
      <c r="X165" s="30">
        <f>PM_Angle!$J$14+PM_Angle!$K$14*$C165+PM_Angle!$L$14*$B165</f>
      </c>
      <c r="Y165" s="12">
        <f>IF(X165&gt;0,IF(X165&lt;=eco,alpha*fck*(1-(1-X165/eco)^n),alpha*fck),0)</f>
      </c>
      <c r="Z165" s="30">
        <f>PM_Angle!$J$15+PM_Angle!$K$15*$C165+PM_Angle!$L$15*$B165</f>
      </c>
      <c r="AA165" s="12">
        <f>IF(Z165&gt;0,IF(Z165&lt;=eco,alpha*fck*(1-(1-Z165/eco)^n),alpha*fck),0)</f>
      </c>
      <c r="AB165" s="30">
        <f>PM_Angle!$J$16+PM_Angle!$K$16*$C165+PM_Angle!$L$16*$B165</f>
      </c>
      <c r="AC165" s="12">
        <f>IF(AB165&gt;0,IF(AB165&lt;=eco,alpha*fck*(1-(1-AB165/eco)^n),alpha*fck),0)</f>
      </c>
      <c r="AD165" s="30">
        <f>PM_Angle!$J$17+PM_Angle!$K$17*$C165+PM_Angle!$L$17*$B165</f>
      </c>
      <c r="AE165" s="12">
        <f>IF(AD165&gt;0,IF(AD165&lt;=eco,alpha*fck*(1-(1-AD165/eco)^n),alpha*fck),0)</f>
      </c>
      <c r="AF165" s="30">
        <f>PM_Angle!$J$18+PM_Angle!$K$18*$C165+PM_Angle!$L$18*$B165</f>
      </c>
      <c r="AG165" s="12">
        <f>IF(AF165&gt;0,IF(AF165&lt;=eco,alpha*fck*(1-(1-AF165/eco)^n),alpha*fck),0)</f>
      </c>
      <c r="AH165" s="30">
        <f>PM_Angle!$J$19+PM_Angle!$K$19*$C165+PM_Angle!$L$19*$B165</f>
      </c>
      <c r="AI165" s="12">
        <f>IF(AH165&gt;0,IF(AH165&lt;=eco,alpha*fck*(1-(1-AH165/eco)^n),alpha*fck),0)</f>
      </c>
      <c r="AJ165" s="30">
        <f>PM_Angle!$J$20+PM_Angle!$K$20*$C165+PM_Angle!$L$20*$B165</f>
      </c>
      <c r="AK165" s="12">
        <f>IF(AJ165&gt;0,IF(AJ165&lt;=eco,alpha*fck*(1-(1-AJ165/eco)^n),alpha*fck),0)</f>
      </c>
      <c r="AL165" s="30">
        <f>PM_Angle!$J$21+PM_Angle!$K$21*$C165+PM_Angle!$L$21*$B165</f>
      </c>
      <c r="AM165" s="12">
        <f>IF(AL165&gt;0,IF(AL165&lt;=eco,alpha*fck*(1-(1-AL165/eco)^n),alpha*fck),0)</f>
      </c>
      <c r="AN165" s="30">
        <f>PM_Angle!$J$22+PM_Angle!$K$22*$C165+PM_Angle!$L$22*$B165</f>
      </c>
      <c r="AO165" s="12">
        <f>IF(AN165&gt;0,IF(AN165&lt;=eco,alpha*fck*(1-(1-AN165/eco)^n),alpha*fck),0)</f>
      </c>
      <c r="AP165" s="30">
        <f>PM_Angle!$J$23+PM_Angle!$K$23*$C165+PM_Angle!$L$23*$B165</f>
      </c>
      <c r="AQ165" s="12">
        <f>IF(AP165&gt;0,IF(AP165&lt;=eco,alpha*fck*(1-(1-AP165/eco)^n),alpha*fck),0)</f>
      </c>
      <c r="AR165" s="30">
        <f>PM_Angle!$J$24+PM_Angle!$K$24*$C165+PM_Angle!$L$24*$B165</f>
      </c>
      <c r="AS165" s="12">
        <f>IF(AR165&gt;0,IF(AR165&lt;=eco,alpha*fck*(1-(1-AR165/eco)^n),alpha*fck),0)</f>
      </c>
      <c r="AT165" s="30">
        <f>PM_Angle!$J$25+PM_Angle!$K$25*$C165+PM_Angle!$L$25*$B165</f>
      </c>
      <c r="AU165" s="12">
        <f>IF(AT165&gt;0,IF(AT165&lt;=eco,alpha*fck*(1-(1-AT165/eco)^n),alpha*fck),0)</f>
      </c>
    </row>
    <row r="166" spans="1:47" x14ac:dyDescent="0.25">
      <c r="A166">
        <f>Mesh!A163</f>
      </c>
      <c r="B166" s="12">
        <f>Mesh!B163</f>
      </c>
      <c r="C166" s="12">
        <f>Mesh!C163</f>
      </c>
      <c r="D166" s="12">
        <f>Mesh!D163</f>
      </c>
      <c r="E166" s="30">
        <f>INDEX(St_e0,Det+1)+INDEX(St_kx,Det+1)*C166+INDEX(St_ky,Det+1)*B166</f>
      </c>
      <c r="F166" s="12">
        <f>IF(E166&gt;0,IF(E166&lt;=eco,alpha*fck*(1-(1-E166/eco)^n),alpha*fck),0)</f>
      </c>
      <c r="G166" s="11">
        <f>F166*D166</f>
      </c>
      <c r="H166" s="11">
        <f>G166*C166</f>
      </c>
      <c r="I166" s="11">
        <f>G166*B166</f>
      </c>
      <c r="J166" s="30">
        <f>PM_Angle!$J$7+PM_Angle!$K$7*$C166+PM_Angle!$L$7*$B166</f>
      </c>
      <c r="K166" s="12">
        <f>IF(J166&gt;0,IF(J166&lt;=eco,alpha*fck*(1-(1-J166/eco)^n),alpha*fck),0)</f>
      </c>
      <c r="L166" s="30">
        <f>PM_Angle!$J$8+PM_Angle!$K$8*$C166+PM_Angle!$L$8*$B166</f>
      </c>
      <c r="M166" s="12">
        <f>IF(L166&gt;0,IF(L166&lt;=eco,alpha*fck*(1-(1-L166/eco)^n),alpha*fck),0)</f>
      </c>
      <c r="N166" s="30">
        <f>PM_Angle!$J$9+PM_Angle!$K$9*$C166+PM_Angle!$L$9*$B166</f>
      </c>
      <c r="O166" s="12">
        <f>IF(N166&gt;0,IF(N166&lt;=eco,alpha*fck*(1-(1-N166/eco)^n),alpha*fck),0)</f>
      </c>
      <c r="P166" s="30">
        <f>PM_Angle!$J$10+PM_Angle!$K$10*$C166+PM_Angle!$L$10*$B166</f>
      </c>
      <c r="Q166" s="12">
        <f>IF(P166&gt;0,IF(P166&lt;=eco,alpha*fck*(1-(1-P166/eco)^n),alpha*fck),0)</f>
      </c>
      <c r="R166" s="30">
        <f>PM_Angle!$J$11+PM_Angle!$K$11*$C166+PM_Angle!$L$11*$B166</f>
      </c>
      <c r="S166" s="12">
        <f>IF(R166&gt;0,IF(R166&lt;=eco,alpha*fck*(1-(1-R166/eco)^n),alpha*fck),0)</f>
      </c>
      <c r="T166" s="30">
        <f>PM_Angle!$J$12+PM_Angle!$K$12*$C166+PM_Angle!$L$12*$B166</f>
      </c>
      <c r="U166" s="12">
        <f>IF(T166&gt;0,IF(T166&lt;=eco,alpha*fck*(1-(1-T166/eco)^n),alpha*fck),0)</f>
      </c>
      <c r="V166" s="30">
        <f>PM_Angle!$J$13+PM_Angle!$K$13*$C166+PM_Angle!$L$13*$B166</f>
      </c>
      <c r="W166" s="12">
        <f>IF(V166&gt;0,IF(V166&lt;=eco,alpha*fck*(1-(1-V166/eco)^n),alpha*fck),0)</f>
      </c>
      <c r="X166" s="30">
        <f>PM_Angle!$J$14+PM_Angle!$K$14*$C166+PM_Angle!$L$14*$B166</f>
      </c>
      <c r="Y166" s="12">
        <f>IF(X166&gt;0,IF(X166&lt;=eco,alpha*fck*(1-(1-X166/eco)^n),alpha*fck),0)</f>
      </c>
      <c r="Z166" s="30">
        <f>PM_Angle!$J$15+PM_Angle!$K$15*$C166+PM_Angle!$L$15*$B166</f>
      </c>
      <c r="AA166" s="12">
        <f>IF(Z166&gt;0,IF(Z166&lt;=eco,alpha*fck*(1-(1-Z166/eco)^n),alpha*fck),0)</f>
      </c>
      <c r="AB166" s="30">
        <f>PM_Angle!$J$16+PM_Angle!$K$16*$C166+PM_Angle!$L$16*$B166</f>
      </c>
      <c r="AC166" s="12">
        <f>IF(AB166&gt;0,IF(AB166&lt;=eco,alpha*fck*(1-(1-AB166/eco)^n),alpha*fck),0)</f>
      </c>
      <c r="AD166" s="30">
        <f>PM_Angle!$J$17+PM_Angle!$K$17*$C166+PM_Angle!$L$17*$B166</f>
      </c>
      <c r="AE166" s="12">
        <f>IF(AD166&gt;0,IF(AD166&lt;=eco,alpha*fck*(1-(1-AD166/eco)^n),alpha*fck),0)</f>
      </c>
      <c r="AF166" s="30">
        <f>PM_Angle!$J$18+PM_Angle!$K$18*$C166+PM_Angle!$L$18*$B166</f>
      </c>
      <c r="AG166" s="12">
        <f>IF(AF166&gt;0,IF(AF166&lt;=eco,alpha*fck*(1-(1-AF166/eco)^n),alpha*fck),0)</f>
      </c>
      <c r="AH166" s="30">
        <f>PM_Angle!$J$19+PM_Angle!$K$19*$C166+PM_Angle!$L$19*$B166</f>
      </c>
      <c r="AI166" s="12">
        <f>IF(AH166&gt;0,IF(AH166&lt;=eco,alpha*fck*(1-(1-AH166/eco)^n),alpha*fck),0)</f>
      </c>
      <c r="AJ166" s="30">
        <f>PM_Angle!$J$20+PM_Angle!$K$20*$C166+PM_Angle!$L$20*$B166</f>
      </c>
      <c r="AK166" s="12">
        <f>IF(AJ166&gt;0,IF(AJ166&lt;=eco,alpha*fck*(1-(1-AJ166/eco)^n),alpha*fck),0)</f>
      </c>
      <c r="AL166" s="30">
        <f>PM_Angle!$J$21+PM_Angle!$K$21*$C166+PM_Angle!$L$21*$B166</f>
      </c>
      <c r="AM166" s="12">
        <f>IF(AL166&gt;0,IF(AL166&lt;=eco,alpha*fck*(1-(1-AL166/eco)^n),alpha*fck),0)</f>
      </c>
      <c r="AN166" s="30">
        <f>PM_Angle!$J$22+PM_Angle!$K$22*$C166+PM_Angle!$L$22*$B166</f>
      </c>
      <c r="AO166" s="12">
        <f>IF(AN166&gt;0,IF(AN166&lt;=eco,alpha*fck*(1-(1-AN166/eco)^n),alpha*fck),0)</f>
      </c>
      <c r="AP166" s="30">
        <f>PM_Angle!$J$23+PM_Angle!$K$23*$C166+PM_Angle!$L$23*$B166</f>
      </c>
      <c r="AQ166" s="12">
        <f>IF(AP166&gt;0,IF(AP166&lt;=eco,alpha*fck*(1-(1-AP166/eco)^n),alpha*fck),0)</f>
      </c>
      <c r="AR166" s="30">
        <f>PM_Angle!$J$24+PM_Angle!$K$24*$C166+PM_Angle!$L$24*$B166</f>
      </c>
      <c r="AS166" s="12">
        <f>IF(AR166&gt;0,IF(AR166&lt;=eco,alpha*fck*(1-(1-AR166/eco)^n),alpha*fck),0)</f>
      </c>
      <c r="AT166" s="30">
        <f>PM_Angle!$J$25+PM_Angle!$K$25*$C166+PM_Angle!$L$25*$B166</f>
      </c>
      <c r="AU166" s="12">
        <f>IF(AT166&gt;0,IF(AT166&lt;=eco,alpha*fck*(1-(1-AT166/eco)^n),alpha*fck),0)</f>
      </c>
    </row>
    <row r="167" spans="1:47" x14ac:dyDescent="0.25">
      <c r="A167">
        <f>Mesh!A164</f>
      </c>
      <c r="B167" s="12">
        <f>Mesh!B164</f>
      </c>
      <c r="C167" s="12">
        <f>Mesh!C164</f>
      </c>
      <c r="D167" s="12">
        <f>Mesh!D164</f>
      </c>
      <c r="E167" s="30">
        <f>INDEX(St_e0,Det+1)+INDEX(St_kx,Det+1)*C167+INDEX(St_ky,Det+1)*B167</f>
      </c>
      <c r="F167" s="12">
        <f>IF(E167&gt;0,IF(E167&lt;=eco,alpha*fck*(1-(1-E167/eco)^n),alpha*fck),0)</f>
      </c>
      <c r="G167" s="11">
        <f>F167*D167</f>
      </c>
      <c r="H167" s="11">
        <f>G167*C167</f>
      </c>
      <c r="I167" s="11">
        <f>G167*B167</f>
      </c>
      <c r="J167" s="30">
        <f>PM_Angle!$J$7+PM_Angle!$K$7*$C167+PM_Angle!$L$7*$B167</f>
      </c>
      <c r="K167" s="12">
        <f>IF(J167&gt;0,IF(J167&lt;=eco,alpha*fck*(1-(1-J167/eco)^n),alpha*fck),0)</f>
      </c>
      <c r="L167" s="30">
        <f>PM_Angle!$J$8+PM_Angle!$K$8*$C167+PM_Angle!$L$8*$B167</f>
      </c>
      <c r="M167" s="12">
        <f>IF(L167&gt;0,IF(L167&lt;=eco,alpha*fck*(1-(1-L167/eco)^n),alpha*fck),0)</f>
      </c>
      <c r="N167" s="30">
        <f>PM_Angle!$J$9+PM_Angle!$K$9*$C167+PM_Angle!$L$9*$B167</f>
      </c>
      <c r="O167" s="12">
        <f>IF(N167&gt;0,IF(N167&lt;=eco,alpha*fck*(1-(1-N167/eco)^n),alpha*fck),0)</f>
      </c>
      <c r="P167" s="30">
        <f>PM_Angle!$J$10+PM_Angle!$K$10*$C167+PM_Angle!$L$10*$B167</f>
      </c>
      <c r="Q167" s="12">
        <f>IF(P167&gt;0,IF(P167&lt;=eco,alpha*fck*(1-(1-P167/eco)^n),alpha*fck),0)</f>
      </c>
      <c r="R167" s="30">
        <f>PM_Angle!$J$11+PM_Angle!$K$11*$C167+PM_Angle!$L$11*$B167</f>
      </c>
      <c r="S167" s="12">
        <f>IF(R167&gt;0,IF(R167&lt;=eco,alpha*fck*(1-(1-R167/eco)^n),alpha*fck),0)</f>
      </c>
      <c r="T167" s="30">
        <f>PM_Angle!$J$12+PM_Angle!$K$12*$C167+PM_Angle!$L$12*$B167</f>
      </c>
      <c r="U167" s="12">
        <f>IF(T167&gt;0,IF(T167&lt;=eco,alpha*fck*(1-(1-T167/eco)^n),alpha*fck),0)</f>
      </c>
      <c r="V167" s="30">
        <f>PM_Angle!$J$13+PM_Angle!$K$13*$C167+PM_Angle!$L$13*$B167</f>
      </c>
      <c r="W167" s="12">
        <f>IF(V167&gt;0,IF(V167&lt;=eco,alpha*fck*(1-(1-V167/eco)^n),alpha*fck),0)</f>
      </c>
      <c r="X167" s="30">
        <f>PM_Angle!$J$14+PM_Angle!$K$14*$C167+PM_Angle!$L$14*$B167</f>
      </c>
      <c r="Y167" s="12">
        <f>IF(X167&gt;0,IF(X167&lt;=eco,alpha*fck*(1-(1-X167/eco)^n),alpha*fck),0)</f>
      </c>
      <c r="Z167" s="30">
        <f>PM_Angle!$J$15+PM_Angle!$K$15*$C167+PM_Angle!$L$15*$B167</f>
      </c>
      <c r="AA167" s="12">
        <f>IF(Z167&gt;0,IF(Z167&lt;=eco,alpha*fck*(1-(1-Z167/eco)^n),alpha*fck),0)</f>
      </c>
      <c r="AB167" s="30">
        <f>PM_Angle!$J$16+PM_Angle!$K$16*$C167+PM_Angle!$L$16*$B167</f>
      </c>
      <c r="AC167" s="12">
        <f>IF(AB167&gt;0,IF(AB167&lt;=eco,alpha*fck*(1-(1-AB167/eco)^n),alpha*fck),0)</f>
      </c>
      <c r="AD167" s="30">
        <f>PM_Angle!$J$17+PM_Angle!$K$17*$C167+PM_Angle!$L$17*$B167</f>
      </c>
      <c r="AE167" s="12">
        <f>IF(AD167&gt;0,IF(AD167&lt;=eco,alpha*fck*(1-(1-AD167/eco)^n),alpha*fck),0)</f>
      </c>
      <c r="AF167" s="30">
        <f>PM_Angle!$J$18+PM_Angle!$K$18*$C167+PM_Angle!$L$18*$B167</f>
      </c>
      <c r="AG167" s="12">
        <f>IF(AF167&gt;0,IF(AF167&lt;=eco,alpha*fck*(1-(1-AF167/eco)^n),alpha*fck),0)</f>
      </c>
      <c r="AH167" s="30">
        <f>PM_Angle!$J$19+PM_Angle!$K$19*$C167+PM_Angle!$L$19*$B167</f>
      </c>
      <c r="AI167" s="12">
        <f>IF(AH167&gt;0,IF(AH167&lt;=eco,alpha*fck*(1-(1-AH167/eco)^n),alpha*fck),0)</f>
      </c>
      <c r="AJ167" s="30">
        <f>PM_Angle!$J$20+PM_Angle!$K$20*$C167+PM_Angle!$L$20*$B167</f>
      </c>
      <c r="AK167" s="12">
        <f>IF(AJ167&gt;0,IF(AJ167&lt;=eco,alpha*fck*(1-(1-AJ167/eco)^n),alpha*fck),0)</f>
      </c>
      <c r="AL167" s="30">
        <f>PM_Angle!$J$21+PM_Angle!$K$21*$C167+PM_Angle!$L$21*$B167</f>
      </c>
      <c r="AM167" s="12">
        <f>IF(AL167&gt;0,IF(AL167&lt;=eco,alpha*fck*(1-(1-AL167/eco)^n),alpha*fck),0)</f>
      </c>
      <c r="AN167" s="30">
        <f>PM_Angle!$J$22+PM_Angle!$K$22*$C167+PM_Angle!$L$22*$B167</f>
      </c>
      <c r="AO167" s="12">
        <f>IF(AN167&gt;0,IF(AN167&lt;=eco,alpha*fck*(1-(1-AN167/eco)^n),alpha*fck),0)</f>
      </c>
      <c r="AP167" s="30">
        <f>PM_Angle!$J$23+PM_Angle!$K$23*$C167+PM_Angle!$L$23*$B167</f>
      </c>
      <c r="AQ167" s="12">
        <f>IF(AP167&gt;0,IF(AP167&lt;=eco,alpha*fck*(1-(1-AP167/eco)^n),alpha*fck),0)</f>
      </c>
      <c r="AR167" s="30">
        <f>PM_Angle!$J$24+PM_Angle!$K$24*$C167+PM_Angle!$L$24*$B167</f>
      </c>
      <c r="AS167" s="12">
        <f>IF(AR167&gt;0,IF(AR167&lt;=eco,alpha*fck*(1-(1-AR167/eco)^n),alpha*fck),0)</f>
      </c>
      <c r="AT167" s="30">
        <f>PM_Angle!$J$25+PM_Angle!$K$25*$C167+PM_Angle!$L$25*$B167</f>
      </c>
      <c r="AU167" s="12">
        <f>IF(AT167&gt;0,IF(AT167&lt;=eco,alpha*fck*(1-(1-AT167/eco)^n),alpha*fck),0)</f>
      </c>
    </row>
    <row r="168" spans="1:47" x14ac:dyDescent="0.25">
      <c r="A168">
        <f>Mesh!A165</f>
      </c>
      <c r="B168" s="12">
        <f>Mesh!B165</f>
      </c>
      <c r="C168" s="12">
        <f>Mesh!C165</f>
      </c>
      <c r="D168" s="12">
        <f>Mesh!D165</f>
      </c>
      <c r="E168" s="30">
        <f>INDEX(St_e0,Det+1)+INDEX(St_kx,Det+1)*C168+INDEX(St_ky,Det+1)*B168</f>
      </c>
      <c r="F168" s="12">
        <f>IF(E168&gt;0,IF(E168&lt;=eco,alpha*fck*(1-(1-E168/eco)^n),alpha*fck),0)</f>
      </c>
      <c r="G168" s="11">
        <f>F168*D168</f>
      </c>
      <c r="H168" s="11">
        <f>G168*C168</f>
      </c>
      <c r="I168" s="11">
        <f>G168*B168</f>
      </c>
      <c r="J168" s="30">
        <f>PM_Angle!$J$7+PM_Angle!$K$7*$C168+PM_Angle!$L$7*$B168</f>
      </c>
      <c r="K168" s="12">
        <f>IF(J168&gt;0,IF(J168&lt;=eco,alpha*fck*(1-(1-J168/eco)^n),alpha*fck),0)</f>
      </c>
      <c r="L168" s="30">
        <f>PM_Angle!$J$8+PM_Angle!$K$8*$C168+PM_Angle!$L$8*$B168</f>
      </c>
      <c r="M168" s="12">
        <f>IF(L168&gt;0,IF(L168&lt;=eco,alpha*fck*(1-(1-L168/eco)^n),alpha*fck),0)</f>
      </c>
      <c r="N168" s="30">
        <f>PM_Angle!$J$9+PM_Angle!$K$9*$C168+PM_Angle!$L$9*$B168</f>
      </c>
      <c r="O168" s="12">
        <f>IF(N168&gt;0,IF(N168&lt;=eco,alpha*fck*(1-(1-N168/eco)^n),alpha*fck),0)</f>
      </c>
      <c r="P168" s="30">
        <f>PM_Angle!$J$10+PM_Angle!$K$10*$C168+PM_Angle!$L$10*$B168</f>
      </c>
      <c r="Q168" s="12">
        <f>IF(P168&gt;0,IF(P168&lt;=eco,alpha*fck*(1-(1-P168/eco)^n),alpha*fck),0)</f>
      </c>
      <c r="R168" s="30">
        <f>PM_Angle!$J$11+PM_Angle!$K$11*$C168+PM_Angle!$L$11*$B168</f>
      </c>
      <c r="S168" s="12">
        <f>IF(R168&gt;0,IF(R168&lt;=eco,alpha*fck*(1-(1-R168/eco)^n),alpha*fck),0)</f>
      </c>
      <c r="T168" s="30">
        <f>PM_Angle!$J$12+PM_Angle!$K$12*$C168+PM_Angle!$L$12*$B168</f>
      </c>
      <c r="U168" s="12">
        <f>IF(T168&gt;0,IF(T168&lt;=eco,alpha*fck*(1-(1-T168/eco)^n),alpha*fck),0)</f>
      </c>
      <c r="V168" s="30">
        <f>PM_Angle!$J$13+PM_Angle!$K$13*$C168+PM_Angle!$L$13*$B168</f>
      </c>
      <c r="W168" s="12">
        <f>IF(V168&gt;0,IF(V168&lt;=eco,alpha*fck*(1-(1-V168/eco)^n),alpha*fck),0)</f>
      </c>
      <c r="X168" s="30">
        <f>PM_Angle!$J$14+PM_Angle!$K$14*$C168+PM_Angle!$L$14*$B168</f>
      </c>
      <c r="Y168" s="12">
        <f>IF(X168&gt;0,IF(X168&lt;=eco,alpha*fck*(1-(1-X168/eco)^n),alpha*fck),0)</f>
      </c>
      <c r="Z168" s="30">
        <f>PM_Angle!$J$15+PM_Angle!$K$15*$C168+PM_Angle!$L$15*$B168</f>
      </c>
      <c r="AA168" s="12">
        <f>IF(Z168&gt;0,IF(Z168&lt;=eco,alpha*fck*(1-(1-Z168/eco)^n),alpha*fck),0)</f>
      </c>
      <c r="AB168" s="30">
        <f>PM_Angle!$J$16+PM_Angle!$K$16*$C168+PM_Angle!$L$16*$B168</f>
      </c>
      <c r="AC168" s="12">
        <f>IF(AB168&gt;0,IF(AB168&lt;=eco,alpha*fck*(1-(1-AB168/eco)^n),alpha*fck),0)</f>
      </c>
      <c r="AD168" s="30">
        <f>PM_Angle!$J$17+PM_Angle!$K$17*$C168+PM_Angle!$L$17*$B168</f>
      </c>
      <c r="AE168" s="12">
        <f>IF(AD168&gt;0,IF(AD168&lt;=eco,alpha*fck*(1-(1-AD168/eco)^n),alpha*fck),0)</f>
      </c>
      <c r="AF168" s="30">
        <f>PM_Angle!$J$18+PM_Angle!$K$18*$C168+PM_Angle!$L$18*$B168</f>
      </c>
      <c r="AG168" s="12">
        <f>IF(AF168&gt;0,IF(AF168&lt;=eco,alpha*fck*(1-(1-AF168/eco)^n),alpha*fck),0)</f>
      </c>
      <c r="AH168" s="30">
        <f>PM_Angle!$J$19+PM_Angle!$K$19*$C168+PM_Angle!$L$19*$B168</f>
      </c>
      <c r="AI168" s="12">
        <f>IF(AH168&gt;0,IF(AH168&lt;=eco,alpha*fck*(1-(1-AH168/eco)^n),alpha*fck),0)</f>
      </c>
      <c r="AJ168" s="30">
        <f>PM_Angle!$J$20+PM_Angle!$K$20*$C168+PM_Angle!$L$20*$B168</f>
      </c>
      <c r="AK168" s="12">
        <f>IF(AJ168&gt;0,IF(AJ168&lt;=eco,alpha*fck*(1-(1-AJ168/eco)^n),alpha*fck),0)</f>
      </c>
      <c r="AL168" s="30">
        <f>PM_Angle!$J$21+PM_Angle!$K$21*$C168+PM_Angle!$L$21*$B168</f>
      </c>
      <c r="AM168" s="12">
        <f>IF(AL168&gt;0,IF(AL168&lt;=eco,alpha*fck*(1-(1-AL168/eco)^n),alpha*fck),0)</f>
      </c>
      <c r="AN168" s="30">
        <f>PM_Angle!$J$22+PM_Angle!$K$22*$C168+PM_Angle!$L$22*$B168</f>
      </c>
      <c r="AO168" s="12">
        <f>IF(AN168&gt;0,IF(AN168&lt;=eco,alpha*fck*(1-(1-AN168/eco)^n),alpha*fck),0)</f>
      </c>
      <c r="AP168" s="30">
        <f>PM_Angle!$J$23+PM_Angle!$K$23*$C168+PM_Angle!$L$23*$B168</f>
      </c>
      <c r="AQ168" s="12">
        <f>IF(AP168&gt;0,IF(AP168&lt;=eco,alpha*fck*(1-(1-AP168/eco)^n),alpha*fck),0)</f>
      </c>
      <c r="AR168" s="30">
        <f>PM_Angle!$J$24+PM_Angle!$K$24*$C168+PM_Angle!$L$24*$B168</f>
      </c>
      <c r="AS168" s="12">
        <f>IF(AR168&gt;0,IF(AR168&lt;=eco,alpha*fck*(1-(1-AR168/eco)^n),alpha*fck),0)</f>
      </c>
      <c r="AT168" s="30">
        <f>PM_Angle!$J$25+PM_Angle!$K$25*$C168+PM_Angle!$L$25*$B168</f>
      </c>
      <c r="AU168" s="12">
        <f>IF(AT168&gt;0,IF(AT168&lt;=eco,alpha*fck*(1-(1-AT168/eco)^n),alpha*fck),0)</f>
      </c>
    </row>
    <row r="169" spans="1:47" x14ac:dyDescent="0.25">
      <c r="A169">
        <f>Mesh!A166</f>
      </c>
      <c r="B169" s="12">
        <f>Mesh!B166</f>
      </c>
      <c r="C169" s="12">
        <f>Mesh!C166</f>
      </c>
      <c r="D169" s="12">
        <f>Mesh!D166</f>
      </c>
      <c r="E169" s="30">
        <f>INDEX(St_e0,Det+1)+INDEX(St_kx,Det+1)*C169+INDEX(St_ky,Det+1)*B169</f>
      </c>
      <c r="F169" s="12">
        <f>IF(E169&gt;0,IF(E169&lt;=eco,alpha*fck*(1-(1-E169/eco)^n),alpha*fck),0)</f>
      </c>
      <c r="G169" s="11">
        <f>F169*D169</f>
      </c>
      <c r="H169" s="11">
        <f>G169*C169</f>
      </c>
      <c r="I169" s="11">
        <f>G169*B169</f>
      </c>
      <c r="J169" s="30">
        <f>PM_Angle!$J$7+PM_Angle!$K$7*$C169+PM_Angle!$L$7*$B169</f>
      </c>
      <c r="K169" s="12">
        <f>IF(J169&gt;0,IF(J169&lt;=eco,alpha*fck*(1-(1-J169/eco)^n),alpha*fck),0)</f>
      </c>
      <c r="L169" s="30">
        <f>PM_Angle!$J$8+PM_Angle!$K$8*$C169+PM_Angle!$L$8*$B169</f>
      </c>
      <c r="M169" s="12">
        <f>IF(L169&gt;0,IF(L169&lt;=eco,alpha*fck*(1-(1-L169/eco)^n),alpha*fck),0)</f>
      </c>
      <c r="N169" s="30">
        <f>PM_Angle!$J$9+PM_Angle!$K$9*$C169+PM_Angle!$L$9*$B169</f>
      </c>
      <c r="O169" s="12">
        <f>IF(N169&gt;0,IF(N169&lt;=eco,alpha*fck*(1-(1-N169/eco)^n),alpha*fck),0)</f>
      </c>
      <c r="P169" s="30">
        <f>PM_Angle!$J$10+PM_Angle!$K$10*$C169+PM_Angle!$L$10*$B169</f>
      </c>
      <c r="Q169" s="12">
        <f>IF(P169&gt;0,IF(P169&lt;=eco,alpha*fck*(1-(1-P169/eco)^n),alpha*fck),0)</f>
      </c>
      <c r="R169" s="30">
        <f>PM_Angle!$J$11+PM_Angle!$K$11*$C169+PM_Angle!$L$11*$B169</f>
      </c>
      <c r="S169" s="12">
        <f>IF(R169&gt;0,IF(R169&lt;=eco,alpha*fck*(1-(1-R169/eco)^n),alpha*fck),0)</f>
      </c>
      <c r="T169" s="30">
        <f>PM_Angle!$J$12+PM_Angle!$K$12*$C169+PM_Angle!$L$12*$B169</f>
      </c>
      <c r="U169" s="12">
        <f>IF(T169&gt;0,IF(T169&lt;=eco,alpha*fck*(1-(1-T169/eco)^n),alpha*fck),0)</f>
      </c>
      <c r="V169" s="30">
        <f>PM_Angle!$J$13+PM_Angle!$K$13*$C169+PM_Angle!$L$13*$B169</f>
      </c>
      <c r="W169" s="12">
        <f>IF(V169&gt;0,IF(V169&lt;=eco,alpha*fck*(1-(1-V169/eco)^n),alpha*fck),0)</f>
      </c>
      <c r="X169" s="30">
        <f>PM_Angle!$J$14+PM_Angle!$K$14*$C169+PM_Angle!$L$14*$B169</f>
      </c>
      <c r="Y169" s="12">
        <f>IF(X169&gt;0,IF(X169&lt;=eco,alpha*fck*(1-(1-X169/eco)^n),alpha*fck),0)</f>
      </c>
      <c r="Z169" s="30">
        <f>PM_Angle!$J$15+PM_Angle!$K$15*$C169+PM_Angle!$L$15*$B169</f>
      </c>
      <c r="AA169" s="12">
        <f>IF(Z169&gt;0,IF(Z169&lt;=eco,alpha*fck*(1-(1-Z169/eco)^n),alpha*fck),0)</f>
      </c>
      <c r="AB169" s="30">
        <f>PM_Angle!$J$16+PM_Angle!$K$16*$C169+PM_Angle!$L$16*$B169</f>
      </c>
      <c r="AC169" s="12">
        <f>IF(AB169&gt;0,IF(AB169&lt;=eco,alpha*fck*(1-(1-AB169/eco)^n),alpha*fck),0)</f>
      </c>
      <c r="AD169" s="30">
        <f>PM_Angle!$J$17+PM_Angle!$K$17*$C169+PM_Angle!$L$17*$B169</f>
      </c>
      <c r="AE169" s="12">
        <f>IF(AD169&gt;0,IF(AD169&lt;=eco,alpha*fck*(1-(1-AD169/eco)^n),alpha*fck),0)</f>
      </c>
      <c r="AF169" s="30">
        <f>PM_Angle!$J$18+PM_Angle!$K$18*$C169+PM_Angle!$L$18*$B169</f>
      </c>
      <c r="AG169" s="12">
        <f>IF(AF169&gt;0,IF(AF169&lt;=eco,alpha*fck*(1-(1-AF169/eco)^n),alpha*fck),0)</f>
      </c>
      <c r="AH169" s="30">
        <f>PM_Angle!$J$19+PM_Angle!$K$19*$C169+PM_Angle!$L$19*$B169</f>
      </c>
      <c r="AI169" s="12">
        <f>IF(AH169&gt;0,IF(AH169&lt;=eco,alpha*fck*(1-(1-AH169/eco)^n),alpha*fck),0)</f>
      </c>
      <c r="AJ169" s="30">
        <f>PM_Angle!$J$20+PM_Angle!$K$20*$C169+PM_Angle!$L$20*$B169</f>
      </c>
      <c r="AK169" s="12">
        <f>IF(AJ169&gt;0,IF(AJ169&lt;=eco,alpha*fck*(1-(1-AJ169/eco)^n),alpha*fck),0)</f>
      </c>
      <c r="AL169" s="30">
        <f>PM_Angle!$J$21+PM_Angle!$K$21*$C169+PM_Angle!$L$21*$B169</f>
      </c>
      <c r="AM169" s="12">
        <f>IF(AL169&gt;0,IF(AL169&lt;=eco,alpha*fck*(1-(1-AL169/eco)^n),alpha*fck),0)</f>
      </c>
      <c r="AN169" s="30">
        <f>PM_Angle!$J$22+PM_Angle!$K$22*$C169+PM_Angle!$L$22*$B169</f>
      </c>
      <c r="AO169" s="12">
        <f>IF(AN169&gt;0,IF(AN169&lt;=eco,alpha*fck*(1-(1-AN169/eco)^n),alpha*fck),0)</f>
      </c>
      <c r="AP169" s="30">
        <f>PM_Angle!$J$23+PM_Angle!$K$23*$C169+PM_Angle!$L$23*$B169</f>
      </c>
      <c r="AQ169" s="12">
        <f>IF(AP169&gt;0,IF(AP169&lt;=eco,alpha*fck*(1-(1-AP169/eco)^n),alpha*fck),0)</f>
      </c>
      <c r="AR169" s="30">
        <f>PM_Angle!$J$24+PM_Angle!$K$24*$C169+PM_Angle!$L$24*$B169</f>
      </c>
      <c r="AS169" s="12">
        <f>IF(AR169&gt;0,IF(AR169&lt;=eco,alpha*fck*(1-(1-AR169/eco)^n),alpha*fck),0)</f>
      </c>
      <c r="AT169" s="30">
        <f>PM_Angle!$J$25+PM_Angle!$K$25*$C169+PM_Angle!$L$25*$B169</f>
      </c>
      <c r="AU169" s="12">
        <f>IF(AT169&gt;0,IF(AT169&lt;=eco,alpha*fck*(1-(1-AT169/eco)^n),alpha*fck),0)</f>
      </c>
    </row>
    <row r="170" spans="1:47" x14ac:dyDescent="0.25">
      <c r="A170">
        <f>Mesh!A167</f>
      </c>
      <c r="B170" s="12">
        <f>Mesh!B167</f>
      </c>
      <c r="C170" s="12">
        <f>Mesh!C167</f>
      </c>
      <c r="D170" s="12">
        <f>Mesh!D167</f>
      </c>
      <c r="E170" s="30">
        <f>INDEX(St_e0,Det+1)+INDEX(St_kx,Det+1)*C170+INDEX(St_ky,Det+1)*B170</f>
      </c>
      <c r="F170" s="12">
        <f>IF(E170&gt;0,IF(E170&lt;=eco,alpha*fck*(1-(1-E170/eco)^n),alpha*fck),0)</f>
      </c>
      <c r="G170" s="11">
        <f>F170*D170</f>
      </c>
      <c r="H170" s="11">
        <f>G170*C170</f>
      </c>
      <c r="I170" s="11">
        <f>G170*B170</f>
      </c>
      <c r="J170" s="30">
        <f>PM_Angle!$J$7+PM_Angle!$K$7*$C170+PM_Angle!$L$7*$B170</f>
      </c>
      <c r="K170" s="12">
        <f>IF(J170&gt;0,IF(J170&lt;=eco,alpha*fck*(1-(1-J170/eco)^n),alpha*fck),0)</f>
      </c>
      <c r="L170" s="30">
        <f>PM_Angle!$J$8+PM_Angle!$K$8*$C170+PM_Angle!$L$8*$B170</f>
      </c>
      <c r="M170" s="12">
        <f>IF(L170&gt;0,IF(L170&lt;=eco,alpha*fck*(1-(1-L170/eco)^n),alpha*fck),0)</f>
      </c>
      <c r="N170" s="30">
        <f>PM_Angle!$J$9+PM_Angle!$K$9*$C170+PM_Angle!$L$9*$B170</f>
      </c>
      <c r="O170" s="12">
        <f>IF(N170&gt;0,IF(N170&lt;=eco,alpha*fck*(1-(1-N170/eco)^n),alpha*fck),0)</f>
      </c>
      <c r="P170" s="30">
        <f>PM_Angle!$J$10+PM_Angle!$K$10*$C170+PM_Angle!$L$10*$B170</f>
      </c>
      <c r="Q170" s="12">
        <f>IF(P170&gt;0,IF(P170&lt;=eco,alpha*fck*(1-(1-P170/eco)^n),alpha*fck),0)</f>
      </c>
      <c r="R170" s="30">
        <f>PM_Angle!$J$11+PM_Angle!$K$11*$C170+PM_Angle!$L$11*$B170</f>
      </c>
      <c r="S170" s="12">
        <f>IF(R170&gt;0,IF(R170&lt;=eco,alpha*fck*(1-(1-R170/eco)^n),alpha*fck),0)</f>
      </c>
      <c r="T170" s="30">
        <f>PM_Angle!$J$12+PM_Angle!$K$12*$C170+PM_Angle!$L$12*$B170</f>
      </c>
      <c r="U170" s="12">
        <f>IF(T170&gt;0,IF(T170&lt;=eco,alpha*fck*(1-(1-T170/eco)^n),alpha*fck),0)</f>
      </c>
      <c r="V170" s="30">
        <f>PM_Angle!$J$13+PM_Angle!$K$13*$C170+PM_Angle!$L$13*$B170</f>
      </c>
      <c r="W170" s="12">
        <f>IF(V170&gt;0,IF(V170&lt;=eco,alpha*fck*(1-(1-V170/eco)^n),alpha*fck),0)</f>
      </c>
      <c r="X170" s="30">
        <f>PM_Angle!$J$14+PM_Angle!$K$14*$C170+PM_Angle!$L$14*$B170</f>
      </c>
      <c r="Y170" s="12">
        <f>IF(X170&gt;0,IF(X170&lt;=eco,alpha*fck*(1-(1-X170/eco)^n),alpha*fck),0)</f>
      </c>
      <c r="Z170" s="30">
        <f>PM_Angle!$J$15+PM_Angle!$K$15*$C170+PM_Angle!$L$15*$B170</f>
      </c>
      <c r="AA170" s="12">
        <f>IF(Z170&gt;0,IF(Z170&lt;=eco,alpha*fck*(1-(1-Z170/eco)^n),alpha*fck),0)</f>
      </c>
      <c r="AB170" s="30">
        <f>PM_Angle!$J$16+PM_Angle!$K$16*$C170+PM_Angle!$L$16*$B170</f>
      </c>
      <c r="AC170" s="12">
        <f>IF(AB170&gt;0,IF(AB170&lt;=eco,alpha*fck*(1-(1-AB170/eco)^n),alpha*fck),0)</f>
      </c>
      <c r="AD170" s="30">
        <f>PM_Angle!$J$17+PM_Angle!$K$17*$C170+PM_Angle!$L$17*$B170</f>
      </c>
      <c r="AE170" s="12">
        <f>IF(AD170&gt;0,IF(AD170&lt;=eco,alpha*fck*(1-(1-AD170/eco)^n),alpha*fck),0)</f>
      </c>
      <c r="AF170" s="30">
        <f>PM_Angle!$J$18+PM_Angle!$K$18*$C170+PM_Angle!$L$18*$B170</f>
      </c>
      <c r="AG170" s="12">
        <f>IF(AF170&gt;0,IF(AF170&lt;=eco,alpha*fck*(1-(1-AF170/eco)^n),alpha*fck),0)</f>
      </c>
      <c r="AH170" s="30">
        <f>PM_Angle!$J$19+PM_Angle!$K$19*$C170+PM_Angle!$L$19*$B170</f>
      </c>
      <c r="AI170" s="12">
        <f>IF(AH170&gt;0,IF(AH170&lt;=eco,alpha*fck*(1-(1-AH170/eco)^n),alpha*fck),0)</f>
      </c>
      <c r="AJ170" s="30">
        <f>PM_Angle!$J$20+PM_Angle!$K$20*$C170+PM_Angle!$L$20*$B170</f>
      </c>
      <c r="AK170" s="12">
        <f>IF(AJ170&gt;0,IF(AJ170&lt;=eco,alpha*fck*(1-(1-AJ170/eco)^n),alpha*fck),0)</f>
      </c>
      <c r="AL170" s="30">
        <f>PM_Angle!$J$21+PM_Angle!$K$21*$C170+PM_Angle!$L$21*$B170</f>
      </c>
      <c r="AM170" s="12">
        <f>IF(AL170&gt;0,IF(AL170&lt;=eco,alpha*fck*(1-(1-AL170/eco)^n),alpha*fck),0)</f>
      </c>
      <c r="AN170" s="30">
        <f>PM_Angle!$J$22+PM_Angle!$K$22*$C170+PM_Angle!$L$22*$B170</f>
      </c>
      <c r="AO170" s="12">
        <f>IF(AN170&gt;0,IF(AN170&lt;=eco,alpha*fck*(1-(1-AN170/eco)^n),alpha*fck),0)</f>
      </c>
      <c r="AP170" s="30">
        <f>PM_Angle!$J$23+PM_Angle!$K$23*$C170+PM_Angle!$L$23*$B170</f>
      </c>
      <c r="AQ170" s="12">
        <f>IF(AP170&gt;0,IF(AP170&lt;=eco,alpha*fck*(1-(1-AP170/eco)^n),alpha*fck),0)</f>
      </c>
      <c r="AR170" s="30">
        <f>PM_Angle!$J$24+PM_Angle!$K$24*$C170+PM_Angle!$L$24*$B170</f>
      </c>
      <c r="AS170" s="12">
        <f>IF(AR170&gt;0,IF(AR170&lt;=eco,alpha*fck*(1-(1-AR170/eco)^n),alpha*fck),0)</f>
      </c>
      <c r="AT170" s="30">
        <f>PM_Angle!$J$25+PM_Angle!$K$25*$C170+PM_Angle!$L$25*$B170</f>
      </c>
      <c r="AU170" s="12">
        <f>IF(AT170&gt;0,IF(AT170&lt;=eco,alpha*fck*(1-(1-AT170/eco)^n),alpha*fck),0)</f>
      </c>
    </row>
    <row r="171" spans="1:47" x14ac:dyDescent="0.25">
      <c r="A171">
        <f>Mesh!A168</f>
      </c>
      <c r="B171" s="12">
        <f>Mesh!B168</f>
      </c>
      <c r="C171" s="12">
        <f>Mesh!C168</f>
      </c>
      <c r="D171" s="12">
        <f>Mesh!D168</f>
      </c>
      <c r="E171" s="30">
        <f>INDEX(St_e0,Det+1)+INDEX(St_kx,Det+1)*C171+INDEX(St_ky,Det+1)*B171</f>
      </c>
      <c r="F171" s="12">
        <f>IF(E171&gt;0,IF(E171&lt;=eco,alpha*fck*(1-(1-E171/eco)^n),alpha*fck),0)</f>
      </c>
      <c r="G171" s="11">
        <f>F171*D171</f>
      </c>
      <c r="H171" s="11">
        <f>G171*C171</f>
      </c>
      <c r="I171" s="11">
        <f>G171*B171</f>
      </c>
      <c r="J171" s="30">
        <f>PM_Angle!$J$7+PM_Angle!$K$7*$C171+PM_Angle!$L$7*$B171</f>
      </c>
      <c r="K171" s="12">
        <f>IF(J171&gt;0,IF(J171&lt;=eco,alpha*fck*(1-(1-J171/eco)^n),alpha*fck),0)</f>
      </c>
      <c r="L171" s="30">
        <f>PM_Angle!$J$8+PM_Angle!$K$8*$C171+PM_Angle!$L$8*$B171</f>
      </c>
      <c r="M171" s="12">
        <f>IF(L171&gt;0,IF(L171&lt;=eco,alpha*fck*(1-(1-L171/eco)^n),alpha*fck),0)</f>
      </c>
      <c r="N171" s="30">
        <f>PM_Angle!$J$9+PM_Angle!$K$9*$C171+PM_Angle!$L$9*$B171</f>
      </c>
      <c r="O171" s="12">
        <f>IF(N171&gt;0,IF(N171&lt;=eco,alpha*fck*(1-(1-N171/eco)^n),alpha*fck),0)</f>
      </c>
      <c r="P171" s="30">
        <f>PM_Angle!$J$10+PM_Angle!$K$10*$C171+PM_Angle!$L$10*$B171</f>
      </c>
      <c r="Q171" s="12">
        <f>IF(P171&gt;0,IF(P171&lt;=eco,alpha*fck*(1-(1-P171/eco)^n),alpha*fck),0)</f>
      </c>
      <c r="R171" s="30">
        <f>PM_Angle!$J$11+PM_Angle!$K$11*$C171+PM_Angle!$L$11*$B171</f>
      </c>
      <c r="S171" s="12">
        <f>IF(R171&gt;0,IF(R171&lt;=eco,alpha*fck*(1-(1-R171/eco)^n),alpha*fck),0)</f>
      </c>
      <c r="T171" s="30">
        <f>PM_Angle!$J$12+PM_Angle!$K$12*$C171+PM_Angle!$L$12*$B171</f>
      </c>
      <c r="U171" s="12">
        <f>IF(T171&gt;0,IF(T171&lt;=eco,alpha*fck*(1-(1-T171/eco)^n),alpha*fck),0)</f>
      </c>
      <c r="V171" s="30">
        <f>PM_Angle!$J$13+PM_Angle!$K$13*$C171+PM_Angle!$L$13*$B171</f>
      </c>
      <c r="W171" s="12">
        <f>IF(V171&gt;0,IF(V171&lt;=eco,alpha*fck*(1-(1-V171/eco)^n),alpha*fck),0)</f>
      </c>
      <c r="X171" s="30">
        <f>PM_Angle!$J$14+PM_Angle!$K$14*$C171+PM_Angle!$L$14*$B171</f>
      </c>
      <c r="Y171" s="12">
        <f>IF(X171&gt;0,IF(X171&lt;=eco,alpha*fck*(1-(1-X171/eco)^n),alpha*fck),0)</f>
      </c>
      <c r="Z171" s="30">
        <f>PM_Angle!$J$15+PM_Angle!$K$15*$C171+PM_Angle!$L$15*$B171</f>
      </c>
      <c r="AA171" s="12">
        <f>IF(Z171&gt;0,IF(Z171&lt;=eco,alpha*fck*(1-(1-Z171/eco)^n),alpha*fck),0)</f>
      </c>
      <c r="AB171" s="30">
        <f>PM_Angle!$J$16+PM_Angle!$K$16*$C171+PM_Angle!$L$16*$B171</f>
      </c>
      <c r="AC171" s="12">
        <f>IF(AB171&gt;0,IF(AB171&lt;=eco,alpha*fck*(1-(1-AB171/eco)^n),alpha*fck),0)</f>
      </c>
      <c r="AD171" s="30">
        <f>PM_Angle!$J$17+PM_Angle!$K$17*$C171+PM_Angle!$L$17*$B171</f>
      </c>
      <c r="AE171" s="12">
        <f>IF(AD171&gt;0,IF(AD171&lt;=eco,alpha*fck*(1-(1-AD171/eco)^n),alpha*fck),0)</f>
      </c>
      <c r="AF171" s="30">
        <f>PM_Angle!$J$18+PM_Angle!$K$18*$C171+PM_Angle!$L$18*$B171</f>
      </c>
      <c r="AG171" s="12">
        <f>IF(AF171&gt;0,IF(AF171&lt;=eco,alpha*fck*(1-(1-AF171/eco)^n),alpha*fck),0)</f>
      </c>
      <c r="AH171" s="30">
        <f>PM_Angle!$J$19+PM_Angle!$K$19*$C171+PM_Angle!$L$19*$B171</f>
      </c>
      <c r="AI171" s="12">
        <f>IF(AH171&gt;0,IF(AH171&lt;=eco,alpha*fck*(1-(1-AH171/eco)^n),alpha*fck),0)</f>
      </c>
      <c r="AJ171" s="30">
        <f>PM_Angle!$J$20+PM_Angle!$K$20*$C171+PM_Angle!$L$20*$B171</f>
      </c>
      <c r="AK171" s="12">
        <f>IF(AJ171&gt;0,IF(AJ171&lt;=eco,alpha*fck*(1-(1-AJ171/eco)^n),alpha*fck),0)</f>
      </c>
      <c r="AL171" s="30">
        <f>PM_Angle!$J$21+PM_Angle!$K$21*$C171+PM_Angle!$L$21*$B171</f>
      </c>
      <c r="AM171" s="12">
        <f>IF(AL171&gt;0,IF(AL171&lt;=eco,alpha*fck*(1-(1-AL171/eco)^n),alpha*fck),0)</f>
      </c>
      <c r="AN171" s="30">
        <f>PM_Angle!$J$22+PM_Angle!$K$22*$C171+PM_Angle!$L$22*$B171</f>
      </c>
      <c r="AO171" s="12">
        <f>IF(AN171&gt;0,IF(AN171&lt;=eco,alpha*fck*(1-(1-AN171/eco)^n),alpha*fck),0)</f>
      </c>
      <c r="AP171" s="30">
        <f>PM_Angle!$J$23+PM_Angle!$K$23*$C171+PM_Angle!$L$23*$B171</f>
      </c>
      <c r="AQ171" s="12">
        <f>IF(AP171&gt;0,IF(AP171&lt;=eco,alpha*fck*(1-(1-AP171/eco)^n),alpha*fck),0)</f>
      </c>
      <c r="AR171" s="30">
        <f>PM_Angle!$J$24+PM_Angle!$K$24*$C171+PM_Angle!$L$24*$B171</f>
      </c>
      <c r="AS171" s="12">
        <f>IF(AR171&gt;0,IF(AR171&lt;=eco,alpha*fck*(1-(1-AR171/eco)^n),alpha*fck),0)</f>
      </c>
      <c r="AT171" s="30">
        <f>PM_Angle!$J$25+PM_Angle!$K$25*$C171+PM_Angle!$L$25*$B171</f>
      </c>
      <c r="AU171" s="12">
        <f>IF(AT171&gt;0,IF(AT171&lt;=eco,alpha*fck*(1-(1-AT171/eco)^n),alpha*fck),0)</f>
      </c>
    </row>
    <row r="172" spans="1:47" x14ac:dyDescent="0.25">
      <c r="A172">
        <f>Mesh!A169</f>
      </c>
      <c r="B172" s="12">
        <f>Mesh!B169</f>
      </c>
      <c r="C172" s="12">
        <f>Mesh!C169</f>
      </c>
      <c r="D172" s="12">
        <f>Mesh!D169</f>
      </c>
      <c r="E172" s="30">
        <f>INDEX(St_e0,Det+1)+INDEX(St_kx,Det+1)*C172+INDEX(St_ky,Det+1)*B172</f>
      </c>
      <c r="F172" s="12">
        <f>IF(E172&gt;0,IF(E172&lt;=eco,alpha*fck*(1-(1-E172/eco)^n),alpha*fck),0)</f>
      </c>
      <c r="G172" s="11">
        <f>F172*D172</f>
      </c>
      <c r="H172" s="11">
        <f>G172*C172</f>
      </c>
      <c r="I172" s="11">
        <f>G172*B172</f>
      </c>
      <c r="J172" s="30">
        <f>PM_Angle!$J$7+PM_Angle!$K$7*$C172+PM_Angle!$L$7*$B172</f>
      </c>
      <c r="K172" s="12">
        <f>IF(J172&gt;0,IF(J172&lt;=eco,alpha*fck*(1-(1-J172/eco)^n),alpha*fck),0)</f>
      </c>
      <c r="L172" s="30">
        <f>PM_Angle!$J$8+PM_Angle!$K$8*$C172+PM_Angle!$L$8*$B172</f>
      </c>
      <c r="M172" s="12">
        <f>IF(L172&gt;0,IF(L172&lt;=eco,alpha*fck*(1-(1-L172/eco)^n),alpha*fck),0)</f>
      </c>
      <c r="N172" s="30">
        <f>PM_Angle!$J$9+PM_Angle!$K$9*$C172+PM_Angle!$L$9*$B172</f>
      </c>
      <c r="O172" s="12">
        <f>IF(N172&gt;0,IF(N172&lt;=eco,alpha*fck*(1-(1-N172/eco)^n),alpha*fck),0)</f>
      </c>
      <c r="P172" s="30">
        <f>PM_Angle!$J$10+PM_Angle!$K$10*$C172+PM_Angle!$L$10*$B172</f>
      </c>
      <c r="Q172" s="12">
        <f>IF(P172&gt;0,IF(P172&lt;=eco,alpha*fck*(1-(1-P172/eco)^n),alpha*fck),0)</f>
      </c>
      <c r="R172" s="30">
        <f>PM_Angle!$J$11+PM_Angle!$K$11*$C172+PM_Angle!$L$11*$B172</f>
      </c>
      <c r="S172" s="12">
        <f>IF(R172&gt;0,IF(R172&lt;=eco,alpha*fck*(1-(1-R172/eco)^n),alpha*fck),0)</f>
      </c>
      <c r="T172" s="30">
        <f>PM_Angle!$J$12+PM_Angle!$K$12*$C172+PM_Angle!$L$12*$B172</f>
      </c>
      <c r="U172" s="12">
        <f>IF(T172&gt;0,IF(T172&lt;=eco,alpha*fck*(1-(1-T172/eco)^n),alpha*fck),0)</f>
      </c>
      <c r="V172" s="30">
        <f>PM_Angle!$J$13+PM_Angle!$K$13*$C172+PM_Angle!$L$13*$B172</f>
      </c>
      <c r="W172" s="12">
        <f>IF(V172&gt;0,IF(V172&lt;=eco,alpha*fck*(1-(1-V172/eco)^n),alpha*fck),0)</f>
      </c>
      <c r="X172" s="30">
        <f>PM_Angle!$J$14+PM_Angle!$K$14*$C172+PM_Angle!$L$14*$B172</f>
      </c>
      <c r="Y172" s="12">
        <f>IF(X172&gt;0,IF(X172&lt;=eco,alpha*fck*(1-(1-X172/eco)^n),alpha*fck),0)</f>
      </c>
      <c r="Z172" s="30">
        <f>PM_Angle!$J$15+PM_Angle!$K$15*$C172+PM_Angle!$L$15*$B172</f>
      </c>
      <c r="AA172" s="12">
        <f>IF(Z172&gt;0,IF(Z172&lt;=eco,alpha*fck*(1-(1-Z172/eco)^n),alpha*fck),0)</f>
      </c>
      <c r="AB172" s="30">
        <f>PM_Angle!$J$16+PM_Angle!$K$16*$C172+PM_Angle!$L$16*$B172</f>
      </c>
      <c r="AC172" s="12">
        <f>IF(AB172&gt;0,IF(AB172&lt;=eco,alpha*fck*(1-(1-AB172/eco)^n),alpha*fck),0)</f>
      </c>
      <c r="AD172" s="30">
        <f>PM_Angle!$J$17+PM_Angle!$K$17*$C172+PM_Angle!$L$17*$B172</f>
      </c>
      <c r="AE172" s="12">
        <f>IF(AD172&gt;0,IF(AD172&lt;=eco,alpha*fck*(1-(1-AD172/eco)^n),alpha*fck),0)</f>
      </c>
      <c r="AF172" s="30">
        <f>PM_Angle!$J$18+PM_Angle!$K$18*$C172+PM_Angle!$L$18*$B172</f>
      </c>
      <c r="AG172" s="12">
        <f>IF(AF172&gt;0,IF(AF172&lt;=eco,alpha*fck*(1-(1-AF172/eco)^n),alpha*fck),0)</f>
      </c>
      <c r="AH172" s="30">
        <f>PM_Angle!$J$19+PM_Angle!$K$19*$C172+PM_Angle!$L$19*$B172</f>
      </c>
      <c r="AI172" s="12">
        <f>IF(AH172&gt;0,IF(AH172&lt;=eco,alpha*fck*(1-(1-AH172/eco)^n),alpha*fck),0)</f>
      </c>
      <c r="AJ172" s="30">
        <f>PM_Angle!$J$20+PM_Angle!$K$20*$C172+PM_Angle!$L$20*$B172</f>
      </c>
      <c r="AK172" s="12">
        <f>IF(AJ172&gt;0,IF(AJ172&lt;=eco,alpha*fck*(1-(1-AJ172/eco)^n),alpha*fck),0)</f>
      </c>
      <c r="AL172" s="30">
        <f>PM_Angle!$J$21+PM_Angle!$K$21*$C172+PM_Angle!$L$21*$B172</f>
      </c>
      <c r="AM172" s="12">
        <f>IF(AL172&gt;0,IF(AL172&lt;=eco,alpha*fck*(1-(1-AL172/eco)^n),alpha*fck),0)</f>
      </c>
      <c r="AN172" s="30">
        <f>PM_Angle!$J$22+PM_Angle!$K$22*$C172+PM_Angle!$L$22*$B172</f>
      </c>
      <c r="AO172" s="12">
        <f>IF(AN172&gt;0,IF(AN172&lt;=eco,alpha*fck*(1-(1-AN172/eco)^n),alpha*fck),0)</f>
      </c>
      <c r="AP172" s="30">
        <f>PM_Angle!$J$23+PM_Angle!$K$23*$C172+PM_Angle!$L$23*$B172</f>
      </c>
      <c r="AQ172" s="12">
        <f>IF(AP172&gt;0,IF(AP172&lt;=eco,alpha*fck*(1-(1-AP172/eco)^n),alpha*fck),0)</f>
      </c>
      <c r="AR172" s="30">
        <f>PM_Angle!$J$24+PM_Angle!$K$24*$C172+PM_Angle!$L$24*$B172</f>
      </c>
      <c r="AS172" s="12">
        <f>IF(AR172&gt;0,IF(AR172&lt;=eco,alpha*fck*(1-(1-AR172/eco)^n),alpha*fck),0)</f>
      </c>
      <c r="AT172" s="30">
        <f>PM_Angle!$J$25+PM_Angle!$K$25*$C172+PM_Angle!$L$25*$B172</f>
      </c>
      <c r="AU172" s="12">
        <f>IF(AT172&gt;0,IF(AT172&lt;=eco,alpha*fck*(1-(1-AT172/eco)^n),alpha*fck),0)</f>
      </c>
    </row>
    <row r="173" spans="1:47" x14ac:dyDescent="0.25">
      <c r="A173">
        <f>Mesh!A170</f>
      </c>
      <c r="B173" s="12">
        <f>Mesh!B170</f>
      </c>
      <c r="C173" s="12">
        <f>Mesh!C170</f>
      </c>
      <c r="D173" s="12">
        <f>Mesh!D170</f>
      </c>
      <c r="E173" s="30">
        <f>INDEX(St_e0,Det+1)+INDEX(St_kx,Det+1)*C173+INDEX(St_ky,Det+1)*B173</f>
      </c>
      <c r="F173" s="12">
        <f>IF(E173&gt;0,IF(E173&lt;=eco,alpha*fck*(1-(1-E173/eco)^n),alpha*fck),0)</f>
      </c>
      <c r="G173" s="11">
        <f>F173*D173</f>
      </c>
      <c r="H173" s="11">
        <f>G173*C173</f>
      </c>
      <c r="I173" s="11">
        <f>G173*B173</f>
      </c>
      <c r="J173" s="30">
        <f>PM_Angle!$J$7+PM_Angle!$K$7*$C173+PM_Angle!$L$7*$B173</f>
      </c>
      <c r="K173" s="12">
        <f>IF(J173&gt;0,IF(J173&lt;=eco,alpha*fck*(1-(1-J173/eco)^n),alpha*fck),0)</f>
      </c>
      <c r="L173" s="30">
        <f>PM_Angle!$J$8+PM_Angle!$K$8*$C173+PM_Angle!$L$8*$B173</f>
      </c>
      <c r="M173" s="12">
        <f>IF(L173&gt;0,IF(L173&lt;=eco,alpha*fck*(1-(1-L173/eco)^n),alpha*fck),0)</f>
      </c>
      <c r="N173" s="30">
        <f>PM_Angle!$J$9+PM_Angle!$K$9*$C173+PM_Angle!$L$9*$B173</f>
      </c>
      <c r="O173" s="12">
        <f>IF(N173&gt;0,IF(N173&lt;=eco,alpha*fck*(1-(1-N173/eco)^n),alpha*fck),0)</f>
      </c>
      <c r="P173" s="30">
        <f>PM_Angle!$J$10+PM_Angle!$K$10*$C173+PM_Angle!$L$10*$B173</f>
      </c>
      <c r="Q173" s="12">
        <f>IF(P173&gt;0,IF(P173&lt;=eco,alpha*fck*(1-(1-P173/eco)^n),alpha*fck),0)</f>
      </c>
      <c r="R173" s="30">
        <f>PM_Angle!$J$11+PM_Angle!$K$11*$C173+PM_Angle!$L$11*$B173</f>
      </c>
      <c r="S173" s="12">
        <f>IF(R173&gt;0,IF(R173&lt;=eco,alpha*fck*(1-(1-R173/eco)^n),alpha*fck),0)</f>
      </c>
      <c r="T173" s="30">
        <f>PM_Angle!$J$12+PM_Angle!$K$12*$C173+PM_Angle!$L$12*$B173</f>
      </c>
      <c r="U173" s="12">
        <f>IF(T173&gt;0,IF(T173&lt;=eco,alpha*fck*(1-(1-T173/eco)^n),alpha*fck),0)</f>
      </c>
      <c r="V173" s="30">
        <f>PM_Angle!$J$13+PM_Angle!$K$13*$C173+PM_Angle!$L$13*$B173</f>
      </c>
      <c r="W173" s="12">
        <f>IF(V173&gt;0,IF(V173&lt;=eco,alpha*fck*(1-(1-V173/eco)^n),alpha*fck),0)</f>
      </c>
      <c r="X173" s="30">
        <f>PM_Angle!$J$14+PM_Angle!$K$14*$C173+PM_Angle!$L$14*$B173</f>
      </c>
      <c r="Y173" s="12">
        <f>IF(X173&gt;0,IF(X173&lt;=eco,alpha*fck*(1-(1-X173/eco)^n),alpha*fck),0)</f>
      </c>
      <c r="Z173" s="30">
        <f>PM_Angle!$J$15+PM_Angle!$K$15*$C173+PM_Angle!$L$15*$B173</f>
      </c>
      <c r="AA173" s="12">
        <f>IF(Z173&gt;0,IF(Z173&lt;=eco,alpha*fck*(1-(1-Z173/eco)^n),alpha*fck),0)</f>
      </c>
      <c r="AB173" s="30">
        <f>PM_Angle!$J$16+PM_Angle!$K$16*$C173+PM_Angle!$L$16*$B173</f>
      </c>
      <c r="AC173" s="12">
        <f>IF(AB173&gt;0,IF(AB173&lt;=eco,alpha*fck*(1-(1-AB173/eco)^n),alpha*fck),0)</f>
      </c>
      <c r="AD173" s="30">
        <f>PM_Angle!$J$17+PM_Angle!$K$17*$C173+PM_Angle!$L$17*$B173</f>
      </c>
      <c r="AE173" s="12">
        <f>IF(AD173&gt;0,IF(AD173&lt;=eco,alpha*fck*(1-(1-AD173/eco)^n),alpha*fck),0)</f>
      </c>
      <c r="AF173" s="30">
        <f>PM_Angle!$J$18+PM_Angle!$K$18*$C173+PM_Angle!$L$18*$B173</f>
      </c>
      <c r="AG173" s="12">
        <f>IF(AF173&gt;0,IF(AF173&lt;=eco,alpha*fck*(1-(1-AF173/eco)^n),alpha*fck),0)</f>
      </c>
      <c r="AH173" s="30">
        <f>PM_Angle!$J$19+PM_Angle!$K$19*$C173+PM_Angle!$L$19*$B173</f>
      </c>
      <c r="AI173" s="12">
        <f>IF(AH173&gt;0,IF(AH173&lt;=eco,alpha*fck*(1-(1-AH173/eco)^n),alpha*fck),0)</f>
      </c>
      <c r="AJ173" s="30">
        <f>PM_Angle!$J$20+PM_Angle!$K$20*$C173+PM_Angle!$L$20*$B173</f>
      </c>
      <c r="AK173" s="12">
        <f>IF(AJ173&gt;0,IF(AJ173&lt;=eco,alpha*fck*(1-(1-AJ173/eco)^n),alpha*fck),0)</f>
      </c>
      <c r="AL173" s="30">
        <f>PM_Angle!$J$21+PM_Angle!$K$21*$C173+PM_Angle!$L$21*$B173</f>
      </c>
      <c r="AM173" s="12">
        <f>IF(AL173&gt;0,IF(AL173&lt;=eco,alpha*fck*(1-(1-AL173/eco)^n),alpha*fck),0)</f>
      </c>
      <c r="AN173" s="30">
        <f>PM_Angle!$J$22+PM_Angle!$K$22*$C173+PM_Angle!$L$22*$B173</f>
      </c>
      <c r="AO173" s="12">
        <f>IF(AN173&gt;0,IF(AN173&lt;=eco,alpha*fck*(1-(1-AN173/eco)^n),alpha*fck),0)</f>
      </c>
      <c r="AP173" s="30">
        <f>PM_Angle!$J$23+PM_Angle!$K$23*$C173+PM_Angle!$L$23*$B173</f>
      </c>
      <c r="AQ173" s="12">
        <f>IF(AP173&gt;0,IF(AP173&lt;=eco,alpha*fck*(1-(1-AP173/eco)^n),alpha*fck),0)</f>
      </c>
      <c r="AR173" s="30">
        <f>PM_Angle!$J$24+PM_Angle!$K$24*$C173+PM_Angle!$L$24*$B173</f>
      </c>
      <c r="AS173" s="12">
        <f>IF(AR173&gt;0,IF(AR173&lt;=eco,alpha*fck*(1-(1-AR173/eco)^n),alpha*fck),0)</f>
      </c>
      <c r="AT173" s="30">
        <f>PM_Angle!$J$25+PM_Angle!$K$25*$C173+PM_Angle!$L$25*$B173</f>
      </c>
      <c r="AU173" s="12">
        <f>IF(AT173&gt;0,IF(AT173&lt;=eco,alpha*fck*(1-(1-AT173/eco)^n),alpha*fck),0)</f>
      </c>
    </row>
    <row r="174" spans="1:47" x14ac:dyDescent="0.25">
      <c r="A174">
        <f>Mesh!A171</f>
      </c>
      <c r="B174" s="12">
        <f>Mesh!B171</f>
      </c>
      <c r="C174" s="12">
        <f>Mesh!C171</f>
      </c>
      <c r="D174" s="12">
        <f>Mesh!D171</f>
      </c>
      <c r="E174" s="30">
        <f>INDEX(St_e0,Det+1)+INDEX(St_kx,Det+1)*C174+INDEX(St_ky,Det+1)*B174</f>
      </c>
      <c r="F174" s="12">
        <f>IF(E174&gt;0,IF(E174&lt;=eco,alpha*fck*(1-(1-E174/eco)^n),alpha*fck),0)</f>
      </c>
      <c r="G174" s="11">
        <f>F174*D174</f>
      </c>
      <c r="H174" s="11">
        <f>G174*C174</f>
      </c>
      <c r="I174" s="11">
        <f>G174*B174</f>
      </c>
      <c r="J174" s="30">
        <f>PM_Angle!$J$7+PM_Angle!$K$7*$C174+PM_Angle!$L$7*$B174</f>
      </c>
      <c r="K174" s="12">
        <f>IF(J174&gt;0,IF(J174&lt;=eco,alpha*fck*(1-(1-J174/eco)^n),alpha*fck),0)</f>
      </c>
      <c r="L174" s="30">
        <f>PM_Angle!$J$8+PM_Angle!$K$8*$C174+PM_Angle!$L$8*$B174</f>
      </c>
      <c r="M174" s="12">
        <f>IF(L174&gt;0,IF(L174&lt;=eco,alpha*fck*(1-(1-L174/eco)^n),alpha*fck),0)</f>
      </c>
      <c r="N174" s="30">
        <f>PM_Angle!$J$9+PM_Angle!$K$9*$C174+PM_Angle!$L$9*$B174</f>
      </c>
      <c r="O174" s="12">
        <f>IF(N174&gt;0,IF(N174&lt;=eco,alpha*fck*(1-(1-N174/eco)^n),alpha*fck),0)</f>
      </c>
      <c r="P174" s="30">
        <f>PM_Angle!$J$10+PM_Angle!$K$10*$C174+PM_Angle!$L$10*$B174</f>
      </c>
      <c r="Q174" s="12">
        <f>IF(P174&gt;0,IF(P174&lt;=eco,alpha*fck*(1-(1-P174/eco)^n),alpha*fck),0)</f>
      </c>
      <c r="R174" s="30">
        <f>PM_Angle!$J$11+PM_Angle!$K$11*$C174+PM_Angle!$L$11*$B174</f>
      </c>
      <c r="S174" s="12">
        <f>IF(R174&gt;0,IF(R174&lt;=eco,alpha*fck*(1-(1-R174/eco)^n),alpha*fck),0)</f>
      </c>
      <c r="T174" s="30">
        <f>PM_Angle!$J$12+PM_Angle!$K$12*$C174+PM_Angle!$L$12*$B174</f>
      </c>
      <c r="U174" s="12">
        <f>IF(T174&gt;0,IF(T174&lt;=eco,alpha*fck*(1-(1-T174/eco)^n),alpha*fck),0)</f>
      </c>
      <c r="V174" s="30">
        <f>PM_Angle!$J$13+PM_Angle!$K$13*$C174+PM_Angle!$L$13*$B174</f>
      </c>
      <c r="W174" s="12">
        <f>IF(V174&gt;0,IF(V174&lt;=eco,alpha*fck*(1-(1-V174/eco)^n),alpha*fck),0)</f>
      </c>
      <c r="X174" s="30">
        <f>PM_Angle!$J$14+PM_Angle!$K$14*$C174+PM_Angle!$L$14*$B174</f>
      </c>
      <c r="Y174" s="12">
        <f>IF(X174&gt;0,IF(X174&lt;=eco,alpha*fck*(1-(1-X174/eco)^n),alpha*fck),0)</f>
      </c>
      <c r="Z174" s="30">
        <f>PM_Angle!$J$15+PM_Angle!$K$15*$C174+PM_Angle!$L$15*$B174</f>
      </c>
      <c r="AA174" s="12">
        <f>IF(Z174&gt;0,IF(Z174&lt;=eco,alpha*fck*(1-(1-Z174/eco)^n),alpha*fck),0)</f>
      </c>
      <c r="AB174" s="30">
        <f>PM_Angle!$J$16+PM_Angle!$K$16*$C174+PM_Angle!$L$16*$B174</f>
      </c>
      <c r="AC174" s="12">
        <f>IF(AB174&gt;0,IF(AB174&lt;=eco,alpha*fck*(1-(1-AB174/eco)^n),alpha*fck),0)</f>
      </c>
      <c r="AD174" s="30">
        <f>PM_Angle!$J$17+PM_Angle!$K$17*$C174+PM_Angle!$L$17*$B174</f>
      </c>
      <c r="AE174" s="12">
        <f>IF(AD174&gt;0,IF(AD174&lt;=eco,alpha*fck*(1-(1-AD174/eco)^n),alpha*fck),0)</f>
      </c>
      <c r="AF174" s="30">
        <f>PM_Angle!$J$18+PM_Angle!$K$18*$C174+PM_Angle!$L$18*$B174</f>
      </c>
      <c r="AG174" s="12">
        <f>IF(AF174&gt;0,IF(AF174&lt;=eco,alpha*fck*(1-(1-AF174/eco)^n),alpha*fck),0)</f>
      </c>
      <c r="AH174" s="30">
        <f>PM_Angle!$J$19+PM_Angle!$K$19*$C174+PM_Angle!$L$19*$B174</f>
      </c>
      <c r="AI174" s="12">
        <f>IF(AH174&gt;0,IF(AH174&lt;=eco,alpha*fck*(1-(1-AH174/eco)^n),alpha*fck),0)</f>
      </c>
      <c r="AJ174" s="30">
        <f>PM_Angle!$J$20+PM_Angle!$K$20*$C174+PM_Angle!$L$20*$B174</f>
      </c>
      <c r="AK174" s="12">
        <f>IF(AJ174&gt;0,IF(AJ174&lt;=eco,alpha*fck*(1-(1-AJ174/eco)^n),alpha*fck),0)</f>
      </c>
      <c r="AL174" s="30">
        <f>PM_Angle!$J$21+PM_Angle!$K$21*$C174+PM_Angle!$L$21*$B174</f>
      </c>
      <c r="AM174" s="12">
        <f>IF(AL174&gt;0,IF(AL174&lt;=eco,alpha*fck*(1-(1-AL174/eco)^n),alpha*fck),0)</f>
      </c>
      <c r="AN174" s="30">
        <f>PM_Angle!$J$22+PM_Angle!$K$22*$C174+PM_Angle!$L$22*$B174</f>
      </c>
      <c r="AO174" s="12">
        <f>IF(AN174&gt;0,IF(AN174&lt;=eco,alpha*fck*(1-(1-AN174/eco)^n),alpha*fck),0)</f>
      </c>
      <c r="AP174" s="30">
        <f>PM_Angle!$J$23+PM_Angle!$K$23*$C174+PM_Angle!$L$23*$B174</f>
      </c>
      <c r="AQ174" s="12">
        <f>IF(AP174&gt;0,IF(AP174&lt;=eco,alpha*fck*(1-(1-AP174/eco)^n),alpha*fck),0)</f>
      </c>
      <c r="AR174" s="30">
        <f>PM_Angle!$J$24+PM_Angle!$K$24*$C174+PM_Angle!$L$24*$B174</f>
      </c>
      <c r="AS174" s="12">
        <f>IF(AR174&gt;0,IF(AR174&lt;=eco,alpha*fck*(1-(1-AR174/eco)^n),alpha*fck),0)</f>
      </c>
      <c r="AT174" s="30">
        <f>PM_Angle!$J$25+PM_Angle!$K$25*$C174+PM_Angle!$L$25*$B174</f>
      </c>
      <c r="AU174" s="12">
        <f>IF(AT174&gt;0,IF(AT174&lt;=eco,alpha*fck*(1-(1-AT174/eco)^n),alpha*fck),0)</f>
      </c>
    </row>
    <row r="175" spans="1:47" x14ac:dyDescent="0.25">
      <c r="A175">
        <f>Mesh!A172</f>
      </c>
      <c r="B175" s="12">
        <f>Mesh!B172</f>
      </c>
      <c r="C175" s="12">
        <f>Mesh!C172</f>
      </c>
      <c r="D175" s="12">
        <f>Mesh!D172</f>
      </c>
      <c r="E175" s="30">
        <f>INDEX(St_e0,Det+1)+INDEX(St_kx,Det+1)*C175+INDEX(St_ky,Det+1)*B175</f>
      </c>
      <c r="F175" s="12">
        <f>IF(E175&gt;0,IF(E175&lt;=eco,alpha*fck*(1-(1-E175/eco)^n),alpha*fck),0)</f>
      </c>
      <c r="G175" s="11">
        <f>F175*D175</f>
      </c>
      <c r="H175" s="11">
        <f>G175*C175</f>
      </c>
      <c r="I175" s="11">
        <f>G175*B175</f>
      </c>
      <c r="J175" s="30">
        <f>PM_Angle!$J$7+PM_Angle!$K$7*$C175+PM_Angle!$L$7*$B175</f>
      </c>
      <c r="K175" s="12">
        <f>IF(J175&gt;0,IF(J175&lt;=eco,alpha*fck*(1-(1-J175/eco)^n),alpha*fck),0)</f>
      </c>
      <c r="L175" s="30">
        <f>PM_Angle!$J$8+PM_Angle!$K$8*$C175+PM_Angle!$L$8*$B175</f>
      </c>
      <c r="M175" s="12">
        <f>IF(L175&gt;0,IF(L175&lt;=eco,alpha*fck*(1-(1-L175/eco)^n),alpha*fck),0)</f>
      </c>
      <c r="N175" s="30">
        <f>PM_Angle!$J$9+PM_Angle!$K$9*$C175+PM_Angle!$L$9*$B175</f>
      </c>
      <c r="O175" s="12">
        <f>IF(N175&gt;0,IF(N175&lt;=eco,alpha*fck*(1-(1-N175/eco)^n),alpha*fck),0)</f>
      </c>
      <c r="P175" s="30">
        <f>PM_Angle!$J$10+PM_Angle!$K$10*$C175+PM_Angle!$L$10*$B175</f>
      </c>
      <c r="Q175" s="12">
        <f>IF(P175&gt;0,IF(P175&lt;=eco,alpha*fck*(1-(1-P175/eco)^n),alpha*fck),0)</f>
      </c>
      <c r="R175" s="30">
        <f>PM_Angle!$J$11+PM_Angle!$K$11*$C175+PM_Angle!$L$11*$B175</f>
      </c>
      <c r="S175" s="12">
        <f>IF(R175&gt;0,IF(R175&lt;=eco,alpha*fck*(1-(1-R175/eco)^n),alpha*fck),0)</f>
      </c>
      <c r="T175" s="30">
        <f>PM_Angle!$J$12+PM_Angle!$K$12*$C175+PM_Angle!$L$12*$B175</f>
      </c>
      <c r="U175" s="12">
        <f>IF(T175&gt;0,IF(T175&lt;=eco,alpha*fck*(1-(1-T175/eco)^n),alpha*fck),0)</f>
      </c>
      <c r="V175" s="30">
        <f>PM_Angle!$J$13+PM_Angle!$K$13*$C175+PM_Angle!$L$13*$B175</f>
      </c>
      <c r="W175" s="12">
        <f>IF(V175&gt;0,IF(V175&lt;=eco,alpha*fck*(1-(1-V175/eco)^n),alpha*fck),0)</f>
      </c>
      <c r="X175" s="30">
        <f>PM_Angle!$J$14+PM_Angle!$K$14*$C175+PM_Angle!$L$14*$B175</f>
      </c>
      <c r="Y175" s="12">
        <f>IF(X175&gt;0,IF(X175&lt;=eco,alpha*fck*(1-(1-X175/eco)^n),alpha*fck),0)</f>
      </c>
      <c r="Z175" s="30">
        <f>PM_Angle!$J$15+PM_Angle!$K$15*$C175+PM_Angle!$L$15*$B175</f>
      </c>
      <c r="AA175" s="12">
        <f>IF(Z175&gt;0,IF(Z175&lt;=eco,alpha*fck*(1-(1-Z175/eco)^n),alpha*fck),0)</f>
      </c>
      <c r="AB175" s="30">
        <f>PM_Angle!$J$16+PM_Angle!$K$16*$C175+PM_Angle!$L$16*$B175</f>
      </c>
      <c r="AC175" s="12">
        <f>IF(AB175&gt;0,IF(AB175&lt;=eco,alpha*fck*(1-(1-AB175/eco)^n),alpha*fck),0)</f>
      </c>
      <c r="AD175" s="30">
        <f>PM_Angle!$J$17+PM_Angle!$K$17*$C175+PM_Angle!$L$17*$B175</f>
      </c>
      <c r="AE175" s="12">
        <f>IF(AD175&gt;0,IF(AD175&lt;=eco,alpha*fck*(1-(1-AD175/eco)^n),alpha*fck),0)</f>
      </c>
      <c r="AF175" s="30">
        <f>PM_Angle!$J$18+PM_Angle!$K$18*$C175+PM_Angle!$L$18*$B175</f>
      </c>
      <c r="AG175" s="12">
        <f>IF(AF175&gt;0,IF(AF175&lt;=eco,alpha*fck*(1-(1-AF175/eco)^n),alpha*fck),0)</f>
      </c>
      <c r="AH175" s="30">
        <f>PM_Angle!$J$19+PM_Angle!$K$19*$C175+PM_Angle!$L$19*$B175</f>
      </c>
      <c r="AI175" s="12">
        <f>IF(AH175&gt;0,IF(AH175&lt;=eco,alpha*fck*(1-(1-AH175/eco)^n),alpha*fck),0)</f>
      </c>
      <c r="AJ175" s="30">
        <f>PM_Angle!$J$20+PM_Angle!$K$20*$C175+PM_Angle!$L$20*$B175</f>
      </c>
      <c r="AK175" s="12">
        <f>IF(AJ175&gt;0,IF(AJ175&lt;=eco,alpha*fck*(1-(1-AJ175/eco)^n),alpha*fck),0)</f>
      </c>
      <c r="AL175" s="30">
        <f>PM_Angle!$J$21+PM_Angle!$K$21*$C175+PM_Angle!$L$21*$B175</f>
      </c>
      <c r="AM175" s="12">
        <f>IF(AL175&gt;0,IF(AL175&lt;=eco,alpha*fck*(1-(1-AL175/eco)^n),alpha*fck),0)</f>
      </c>
      <c r="AN175" s="30">
        <f>PM_Angle!$J$22+PM_Angle!$K$22*$C175+PM_Angle!$L$22*$B175</f>
      </c>
      <c r="AO175" s="12">
        <f>IF(AN175&gt;0,IF(AN175&lt;=eco,alpha*fck*(1-(1-AN175/eco)^n),alpha*fck),0)</f>
      </c>
      <c r="AP175" s="30">
        <f>PM_Angle!$J$23+PM_Angle!$K$23*$C175+PM_Angle!$L$23*$B175</f>
      </c>
      <c r="AQ175" s="12">
        <f>IF(AP175&gt;0,IF(AP175&lt;=eco,alpha*fck*(1-(1-AP175/eco)^n),alpha*fck),0)</f>
      </c>
      <c r="AR175" s="30">
        <f>PM_Angle!$J$24+PM_Angle!$K$24*$C175+PM_Angle!$L$24*$B175</f>
      </c>
      <c r="AS175" s="12">
        <f>IF(AR175&gt;0,IF(AR175&lt;=eco,alpha*fck*(1-(1-AR175/eco)^n),alpha*fck),0)</f>
      </c>
      <c r="AT175" s="30">
        <f>PM_Angle!$J$25+PM_Angle!$K$25*$C175+PM_Angle!$L$25*$B175</f>
      </c>
      <c r="AU175" s="12">
        <f>IF(AT175&gt;0,IF(AT175&lt;=eco,alpha*fck*(1-(1-AT175/eco)^n),alpha*fck),0)</f>
      </c>
    </row>
    <row r="176" spans="1:47" x14ac:dyDescent="0.25">
      <c r="A176">
        <f>Mesh!A173</f>
      </c>
      <c r="B176" s="12">
        <f>Mesh!B173</f>
      </c>
      <c r="C176" s="12">
        <f>Mesh!C173</f>
      </c>
      <c r="D176" s="12">
        <f>Mesh!D173</f>
      </c>
      <c r="E176" s="30">
        <f>INDEX(St_e0,Det+1)+INDEX(St_kx,Det+1)*C176+INDEX(St_ky,Det+1)*B176</f>
      </c>
      <c r="F176" s="12">
        <f>IF(E176&gt;0,IF(E176&lt;=eco,alpha*fck*(1-(1-E176/eco)^n),alpha*fck),0)</f>
      </c>
      <c r="G176" s="11">
        <f>F176*D176</f>
      </c>
      <c r="H176" s="11">
        <f>G176*C176</f>
      </c>
      <c r="I176" s="11">
        <f>G176*B176</f>
      </c>
      <c r="J176" s="30">
        <f>PM_Angle!$J$7+PM_Angle!$K$7*$C176+PM_Angle!$L$7*$B176</f>
      </c>
      <c r="K176" s="12">
        <f>IF(J176&gt;0,IF(J176&lt;=eco,alpha*fck*(1-(1-J176/eco)^n),alpha*fck),0)</f>
      </c>
      <c r="L176" s="30">
        <f>PM_Angle!$J$8+PM_Angle!$K$8*$C176+PM_Angle!$L$8*$B176</f>
      </c>
      <c r="M176" s="12">
        <f>IF(L176&gt;0,IF(L176&lt;=eco,alpha*fck*(1-(1-L176/eco)^n),alpha*fck),0)</f>
      </c>
      <c r="N176" s="30">
        <f>PM_Angle!$J$9+PM_Angle!$K$9*$C176+PM_Angle!$L$9*$B176</f>
      </c>
      <c r="O176" s="12">
        <f>IF(N176&gt;0,IF(N176&lt;=eco,alpha*fck*(1-(1-N176/eco)^n),alpha*fck),0)</f>
      </c>
      <c r="P176" s="30">
        <f>PM_Angle!$J$10+PM_Angle!$K$10*$C176+PM_Angle!$L$10*$B176</f>
      </c>
      <c r="Q176" s="12">
        <f>IF(P176&gt;0,IF(P176&lt;=eco,alpha*fck*(1-(1-P176/eco)^n),alpha*fck),0)</f>
      </c>
      <c r="R176" s="30">
        <f>PM_Angle!$J$11+PM_Angle!$K$11*$C176+PM_Angle!$L$11*$B176</f>
      </c>
      <c r="S176" s="12">
        <f>IF(R176&gt;0,IF(R176&lt;=eco,alpha*fck*(1-(1-R176/eco)^n),alpha*fck),0)</f>
      </c>
      <c r="T176" s="30">
        <f>PM_Angle!$J$12+PM_Angle!$K$12*$C176+PM_Angle!$L$12*$B176</f>
      </c>
      <c r="U176" s="12">
        <f>IF(T176&gt;0,IF(T176&lt;=eco,alpha*fck*(1-(1-T176/eco)^n),alpha*fck),0)</f>
      </c>
      <c r="V176" s="30">
        <f>PM_Angle!$J$13+PM_Angle!$K$13*$C176+PM_Angle!$L$13*$B176</f>
      </c>
      <c r="W176" s="12">
        <f>IF(V176&gt;0,IF(V176&lt;=eco,alpha*fck*(1-(1-V176/eco)^n),alpha*fck),0)</f>
      </c>
      <c r="X176" s="30">
        <f>PM_Angle!$J$14+PM_Angle!$K$14*$C176+PM_Angle!$L$14*$B176</f>
      </c>
      <c r="Y176" s="12">
        <f>IF(X176&gt;0,IF(X176&lt;=eco,alpha*fck*(1-(1-X176/eco)^n),alpha*fck),0)</f>
      </c>
      <c r="Z176" s="30">
        <f>PM_Angle!$J$15+PM_Angle!$K$15*$C176+PM_Angle!$L$15*$B176</f>
      </c>
      <c r="AA176" s="12">
        <f>IF(Z176&gt;0,IF(Z176&lt;=eco,alpha*fck*(1-(1-Z176/eco)^n),alpha*fck),0)</f>
      </c>
      <c r="AB176" s="30">
        <f>PM_Angle!$J$16+PM_Angle!$K$16*$C176+PM_Angle!$L$16*$B176</f>
      </c>
      <c r="AC176" s="12">
        <f>IF(AB176&gt;0,IF(AB176&lt;=eco,alpha*fck*(1-(1-AB176/eco)^n),alpha*fck),0)</f>
      </c>
      <c r="AD176" s="30">
        <f>PM_Angle!$J$17+PM_Angle!$K$17*$C176+PM_Angle!$L$17*$B176</f>
      </c>
      <c r="AE176" s="12">
        <f>IF(AD176&gt;0,IF(AD176&lt;=eco,alpha*fck*(1-(1-AD176/eco)^n),alpha*fck),0)</f>
      </c>
      <c r="AF176" s="30">
        <f>PM_Angle!$J$18+PM_Angle!$K$18*$C176+PM_Angle!$L$18*$B176</f>
      </c>
      <c r="AG176" s="12">
        <f>IF(AF176&gt;0,IF(AF176&lt;=eco,alpha*fck*(1-(1-AF176/eco)^n),alpha*fck),0)</f>
      </c>
      <c r="AH176" s="30">
        <f>PM_Angle!$J$19+PM_Angle!$K$19*$C176+PM_Angle!$L$19*$B176</f>
      </c>
      <c r="AI176" s="12">
        <f>IF(AH176&gt;0,IF(AH176&lt;=eco,alpha*fck*(1-(1-AH176/eco)^n),alpha*fck),0)</f>
      </c>
      <c r="AJ176" s="30">
        <f>PM_Angle!$J$20+PM_Angle!$K$20*$C176+PM_Angle!$L$20*$B176</f>
      </c>
      <c r="AK176" s="12">
        <f>IF(AJ176&gt;0,IF(AJ176&lt;=eco,alpha*fck*(1-(1-AJ176/eco)^n),alpha*fck),0)</f>
      </c>
      <c r="AL176" s="30">
        <f>PM_Angle!$J$21+PM_Angle!$K$21*$C176+PM_Angle!$L$21*$B176</f>
      </c>
      <c r="AM176" s="12">
        <f>IF(AL176&gt;0,IF(AL176&lt;=eco,alpha*fck*(1-(1-AL176/eco)^n),alpha*fck),0)</f>
      </c>
      <c r="AN176" s="30">
        <f>PM_Angle!$J$22+PM_Angle!$K$22*$C176+PM_Angle!$L$22*$B176</f>
      </c>
      <c r="AO176" s="12">
        <f>IF(AN176&gt;0,IF(AN176&lt;=eco,alpha*fck*(1-(1-AN176/eco)^n),alpha*fck),0)</f>
      </c>
      <c r="AP176" s="30">
        <f>PM_Angle!$J$23+PM_Angle!$K$23*$C176+PM_Angle!$L$23*$B176</f>
      </c>
      <c r="AQ176" s="12">
        <f>IF(AP176&gt;0,IF(AP176&lt;=eco,alpha*fck*(1-(1-AP176/eco)^n),alpha*fck),0)</f>
      </c>
      <c r="AR176" s="30">
        <f>PM_Angle!$J$24+PM_Angle!$K$24*$C176+PM_Angle!$L$24*$B176</f>
      </c>
      <c r="AS176" s="12">
        <f>IF(AR176&gt;0,IF(AR176&lt;=eco,alpha*fck*(1-(1-AR176/eco)^n),alpha*fck),0)</f>
      </c>
      <c r="AT176" s="30">
        <f>PM_Angle!$J$25+PM_Angle!$K$25*$C176+PM_Angle!$L$25*$B176</f>
      </c>
      <c r="AU176" s="12">
        <f>IF(AT176&gt;0,IF(AT176&lt;=eco,alpha*fck*(1-(1-AT176/eco)^n),alpha*fck),0)</f>
      </c>
    </row>
    <row r="177" spans="1:47" x14ac:dyDescent="0.25">
      <c r="A177">
        <f>Mesh!A174</f>
      </c>
      <c r="B177" s="12">
        <f>Mesh!B174</f>
      </c>
      <c r="C177" s="12">
        <f>Mesh!C174</f>
      </c>
      <c r="D177" s="12">
        <f>Mesh!D174</f>
      </c>
      <c r="E177" s="30">
        <f>INDEX(St_e0,Det+1)+INDEX(St_kx,Det+1)*C177+INDEX(St_ky,Det+1)*B177</f>
      </c>
      <c r="F177" s="12">
        <f>IF(E177&gt;0,IF(E177&lt;=eco,alpha*fck*(1-(1-E177/eco)^n),alpha*fck),0)</f>
      </c>
      <c r="G177" s="11">
        <f>F177*D177</f>
      </c>
      <c r="H177" s="11">
        <f>G177*C177</f>
      </c>
      <c r="I177" s="11">
        <f>G177*B177</f>
      </c>
      <c r="J177" s="30">
        <f>PM_Angle!$J$7+PM_Angle!$K$7*$C177+PM_Angle!$L$7*$B177</f>
      </c>
      <c r="K177" s="12">
        <f>IF(J177&gt;0,IF(J177&lt;=eco,alpha*fck*(1-(1-J177/eco)^n),alpha*fck),0)</f>
      </c>
      <c r="L177" s="30">
        <f>PM_Angle!$J$8+PM_Angle!$K$8*$C177+PM_Angle!$L$8*$B177</f>
      </c>
      <c r="M177" s="12">
        <f>IF(L177&gt;0,IF(L177&lt;=eco,alpha*fck*(1-(1-L177/eco)^n),alpha*fck),0)</f>
      </c>
      <c r="N177" s="30">
        <f>PM_Angle!$J$9+PM_Angle!$K$9*$C177+PM_Angle!$L$9*$B177</f>
      </c>
      <c r="O177" s="12">
        <f>IF(N177&gt;0,IF(N177&lt;=eco,alpha*fck*(1-(1-N177/eco)^n),alpha*fck),0)</f>
      </c>
      <c r="P177" s="30">
        <f>PM_Angle!$J$10+PM_Angle!$K$10*$C177+PM_Angle!$L$10*$B177</f>
      </c>
      <c r="Q177" s="12">
        <f>IF(P177&gt;0,IF(P177&lt;=eco,alpha*fck*(1-(1-P177/eco)^n),alpha*fck),0)</f>
      </c>
      <c r="R177" s="30">
        <f>PM_Angle!$J$11+PM_Angle!$K$11*$C177+PM_Angle!$L$11*$B177</f>
      </c>
      <c r="S177" s="12">
        <f>IF(R177&gt;0,IF(R177&lt;=eco,alpha*fck*(1-(1-R177/eco)^n),alpha*fck),0)</f>
      </c>
      <c r="T177" s="30">
        <f>PM_Angle!$J$12+PM_Angle!$K$12*$C177+PM_Angle!$L$12*$B177</f>
      </c>
      <c r="U177" s="12">
        <f>IF(T177&gt;0,IF(T177&lt;=eco,alpha*fck*(1-(1-T177/eco)^n),alpha*fck),0)</f>
      </c>
      <c r="V177" s="30">
        <f>PM_Angle!$J$13+PM_Angle!$K$13*$C177+PM_Angle!$L$13*$B177</f>
      </c>
      <c r="W177" s="12">
        <f>IF(V177&gt;0,IF(V177&lt;=eco,alpha*fck*(1-(1-V177/eco)^n),alpha*fck),0)</f>
      </c>
      <c r="X177" s="30">
        <f>PM_Angle!$J$14+PM_Angle!$K$14*$C177+PM_Angle!$L$14*$B177</f>
      </c>
      <c r="Y177" s="12">
        <f>IF(X177&gt;0,IF(X177&lt;=eco,alpha*fck*(1-(1-X177/eco)^n),alpha*fck),0)</f>
      </c>
      <c r="Z177" s="30">
        <f>PM_Angle!$J$15+PM_Angle!$K$15*$C177+PM_Angle!$L$15*$B177</f>
      </c>
      <c r="AA177" s="12">
        <f>IF(Z177&gt;0,IF(Z177&lt;=eco,alpha*fck*(1-(1-Z177/eco)^n),alpha*fck),0)</f>
      </c>
      <c r="AB177" s="30">
        <f>PM_Angle!$J$16+PM_Angle!$K$16*$C177+PM_Angle!$L$16*$B177</f>
      </c>
      <c r="AC177" s="12">
        <f>IF(AB177&gt;0,IF(AB177&lt;=eco,alpha*fck*(1-(1-AB177/eco)^n),alpha*fck),0)</f>
      </c>
      <c r="AD177" s="30">
        <f>PM_Angle!$J$17+PM_Angle!$K$17*$C177+PM_Angle!$L$17*$B177</f>
      </c>
      <c r="AE177" s="12">
        <f>IF(AD177&gt;0,IF(AD177&lt;=eco,alpha*fck*(1-(1-AD177/eco)^n),alpha*fck),0)</f>
      </c>
      <c r="AF177" s="30">
        <f>PM_Angle!$J$18+PM_Angle!$K$18*$C177+PM_Angle!$L$18*$B177</f>
      </c>
      <c r="AG177" s="12">
        <f>IF(AF177&gt;0,IF(AF177&lt;=eco,alpha*fck*(1-(1-AF177/eco)^n),alpha*fck),0)</f>
      </c>
      <c r="AH177" s="30">
        <f>PM_Angle!$J$19+PM_Angle!$K$19*$C177+PM_Angle!$L$19*$B177</f>
      </c>
      <c r="AI177" s="12">
        <f>IF(AH177&gt;0,IF(AH177&lt;=eco,alpha*fck*(1-(1-AH177/eco)^n),alpha*fck),0)</f>
      </c>
      <c r="AJ177" s="30">
        <f>PM_Angle!$J$20+PM_Angle!$K$20*$C177+PM_Angle!$L$20*$B177</f>
      </c>
      <c r="AK177" s="12">
        <f>IF(AJ177&gt;0,IF(AJ177&lt;=eco,alpha*fck*(1-(1-AJ177/eco)^n),alpha*fck),0)</f>
      </c>
      <c r="AL177" s="30">
        <f>PM_Angle!$J$21+PM_Angle!$K$21*$C177+PM_Angle!$L$21*$B177</f>
      </c>
      <c r="AM177" s="12">
        <f>IF(AL177&gt;0,IF(AL177&lt;=eco,alpha*fck*(1-(1-AL177/eco)^n),alpha*fck),0)</f>
      </c>
      <c r="AN177" s="30">
        <f>PM_Angle!$J$22+PM_Angle!$K$22*$C177+PM_Angle!$L$22*$B177</f>
      </c>
      <c r="AO177" s="12">
        <f>IF(AN177&gt;0,IF(AN177&lt;=eco,alpha*fck*(1-(1-AN177/eco)^n),alpha*fck),0)</f>
      </c>
      <c r="AP177" s="30">
        <f>PM_Angle!$J$23+PM_Angle!$K$23*$C177+PM_Angle!$L$23*$B177</f>
      </c>
      <c r="AQ177" s="12">
        <f>IF(AP177&gt;0,IF(AP177&lt;=eco,alpha*fck*(1-(1-AP177/eco)^n),alpha*fck),0)</f>
      </c>
      <c r="AR177" s="30">
        <f>PM_Angle!$J$24+PM_Angle!$K$24*$C177+PM_Angle!$L$24*$B177</f>
      </c>
      <c r="AS177" s="12">
        <f>IF(AR177&gt;0,IF(AR177&lt;=eco,alpha*fck*(1-(1-AR177/eco)^n),alpha*fck),0)</f>
      </c>
      <c r="AT177" s="30">
        <f>PM_Angle!$J$25+PM_Angle!$K$25*$C177+PM_Angle!$L$25*$B177</f>
      </c>
      <c r="AU177" s="12">
        <f>IF(AT177&gt;0,IF(AT177&lt;=eco,alpha*fck*(1-(1-AT177/eco)^n),alpha*fck),0)</f>
      </c>
    </row>
    <row r="178" spans="1:47" x14ac:dyDescent="0.25">
      <c r="A178">
        <f>Mesh!A175</f>
      </c>
      <c r="B178" s="12">
        <f>Mesh!B175</f>
      </c>
      <c r="C178" s="12">
        <f>Mesh!C175</f>
      </c>
      <c r="D178" s="12">
        <f>Mesh!D175</f>
      </c>
      <c r="E178" s="30">
        <f>INDEX(St_e0,Det+1)+INDEX(St_kx,Det+1)*C178+INDEX(St_ky,Det+1)*B178</f>
      </c>
      <c r="F178" s="12">
        <f>IF(E178&gt;0,IF(E178&lt;=eco,alpha*fck*(1-(1-E178/eco)^n),alpha*fck),0)</f>
      </c>
      <c r="G178" s="11">
        <f>F178*D178</f>
      </c>
      <c r="H178" s="11">
        <f>G178*C178</f>
      </c>
      <c r="I178" s="11">
        <f>G178*B178</f>
      </c>
      <c r="J178" s="30">
        <f>PM_Angle!$J$7+PM_Angle!$K$7*$C178+PM_Angle!$L$7*$B178</f>
      </c>
      <c r="K178" s="12">
        <f>IF(J178&gt;0,IF(J178&lt;=eco,alpha*fck*(1-(1-J178/eco)^n),alpha*fck),0)</f>
      </c>
      <c r="L178" s="30">
        <f>PM_Angle!$J$8+PM_Angle!$K$8*$C178+PM_Angle!$L$8*$B178</f>
      </c>
      <c r="M178" s="12">
        <f>IF(L178&gt;0,IF(L178&lt;=eco,alpha*fck*(1-(1-L178/eco)^n),alpha*fck),0)</f>
      </c>
      <c r="N178" s="30">
        <f>PM_Angle!$J$9+PM_Angle!$K$9*$C178+PM_Angle!$L$9*$B178</f>
      </c>
      <c r="O178" s="12">
        <f>IF(N178&gt;0,IF(N178&lt;=eco,alpha*fck*(1-(1-N178/eco)^n),alpha*fck),0)</f>
      </c>
      <c r="P178" s="30">
        <f>PM_Angle!$J$10+PM_Angle!$K$10*$C178+PM_Angle!$L$10*$B178</f>
      </c>
      <c r="Q178" s="12">
        <f>IF(P178&gt;0,IF(P178&lt;=eco,alpha*fck*(1-(1-P178/eco)^n),alpha*fck),0)</f>
      </c>
      <c r="R178" s="30">
        <f>PM_Angle!$J$11+PM_Angle!$K$11*$C178+PM_Angle!$L$11*$B178</f>
      </c>
      <c r="S178" s="12">
        <f>IF(R178&gt;0,IF(R178&lt;=eco,alpha*fck*(1-(1-R178/eco)^n),alpha*fck),0)</f>
      </c>
      <c r="T178" s="30">
        <f>PM_Angle!$J$12+PM_Angle!$K$12*$C178+PM_Angle!$L$12*$B178</f>
      </c>
      <c r="U178" s="12">
        <f>IF(T178&gt;0,IF(T178&lt;=eco,alpha*fck*(1-(1-T178/eco)^n),alpha*fck),0)</f>
      </c>
      <c r="V178" s="30">
        <f>PM_Angle!$J$13+PM_Angle!$K$13*$C178+PM_Angle!$L$13*$B178</f>
      </c>
      <c r="W178" s="12">
        <f>IF(V178&gt;0,IF(V178&lt;=eco,alpha*fck*(1-(1-V178/eco)^n),alpha*fck),0)</f>
      </c>
      <c r="X178" s="30">
        <f>PM_Angle!$J$14+PM_Angle!$K$14*$C178+PM_Angle!$L$14*$B178</f>
      </c>
      <c r="Y178" s="12">
        <f>IF(X178&gt;0,IF(X178&lt;=eco,alpha*fck*(1-(1-X178/eco)^n),alpha*fck),0)</f>
      </c>
      <c r="Z178" s="30">
        <f>PM_Angle!$J$15+PM_Angle!$K$15*$C178+PM_Angle!$L$15*$B178</f>
      </c>
      <c r="AA178" s="12">
        <f>IF(Z178&gt;0,IF(Z178&lt;=eco,alpha*fck*(1-(1-Z178/eco)^n),alpha*fck),0)</f>
      </c>
      <c r="AB178" s="30">
        <f>PM_Angle!$J$16+PM_Angle!$K$16*$C178+PM_Angle!$L$16*$B178</f>
      </c>
      <c r="AC178" s="12">
        <f>IF(AB178&gt;0,IF(AB178&lt;=eco,alpha*fck*(1-(1-AB178/eco)^n),alpha*fck),0)</f>
      </c>
      <c r="AD178" s="30">
        <f>PM_Angle!$J$17+PM_Angle!$K$17*$C178+PM_Angle!$L$17*$B178</f>
      </c>
      <c r="AE178" s="12">
        <f>IF(AD178&gt;0,IF(AD178&lt;=eco,alpha*fck*(1-(1-AD178/eco)^n),alpha*fck),0)</f>
      </c>
      <c r="AF178" s="30">
        <f>PM_Angle!$J$18+PM_Angle!$K$18*$C178+PM_Angle!$L$18*$B178</f>
      </c>
      <c r="AG178" s="12">
        <f>IF(AF178&gt;0,IF(AF178&lt;=eco,alpha*fck*(1-(1-AF178/eco)^n),alpha*fck),0)</f>
      </c>
      <c r="AH178" s="30">
        <f>PM_Angle!$J$19+PM_Angle!$K$19*$C178+PM_Angle!$L$19*$B178</f>
      </c>
      <c r="AI178" s="12">
        <f>IF(AH178&gt;0,IF(AH178&lt;=eco,alpha*fck*(1-(1-AH178/eco)^n),alpha*fck),0)</f>
      </c>
      <c r="AJ178" s="30">
        <f>PM_Angle!$J$20+PM_Angle!$K$20*$C178+PM_Angle!$L$20*$B178</f>
      </c>
      <c r="AK178" s="12">
        <f>IF(AJ178&gt;0,IF(AJ178&lt;=eco,alpha*fck*(1-(1-AJ178/eco)^n),alpha*fck),0)</f>
      </c>
      <c r="AL178" s="30">
        <f>PM_Angle!$J$21+PM_Angle!$K$21*$C178+PM_Angle!$L$21*$B178</f>
      </c>
      <c r="AM178" s="12">
        <f>IF(AL178&gt;0,IF(AL178&lt;=eco,alpha*fck*(1-(1-AL178/eco)^n),alpha*fck),0)</f>
      </c>
      <c r="AN178" s="30">
        <f>PM_Angle!$J$22+PM_Angle!$K$22*$C178+PM_Angle!$L$22*$B178</f>
      </c>
      <c r="AO178" s="12">
        <f>IF(AN178&gt;0,IF(AN178&lt;=eco,alpha*fck*(1-(1-AN178/eco)^n),alpha*fck),0)</f>
      </c>
      <c r="AP178" s="30">
        <f>PM_Angle!$J$23+PM_Angle!$K$23*$C178+PM_Angle!$L$23*$B178</f>
      </c>
      <c r="AQ178" s="12">
        <f>IF(AP178&gt;0,IF(AP178&lt;=eco,alpha*fck*(1-(1-AP178/eco)^n),alpha*fck),0)</f>
      </c>
      <c r="AR178" s="30">
        <f>PM_Angle!$J$24+PM_Angle!$K$24*$C178+PM_Angle!$L$24*$B178</f>
      </c>
      <c r="AS178" s="12">
        <f>IF(AR178&gt;0,IF(AR178&lt;=eco,alpha*fck*(1-(1-AR178/eco)^n),alpha*fck),0)</f>
      </c>
      <c r="AT178" s="30">
        <f>PM_Angle!$J$25+PM_Angle!$K$25*$C178+PM_Angle!$L$25*$B178</f>
      </c>
      <c r="AU178" s="12">
        <f>IF(AT178&gt;0,IF(AT178&lt;=eco,alpha*fck*(1-(1-AT178/eco)^n),alpha*fck),0)</f>
      </c>
    </row>
    <row r="179" spans="1:47" x14ac:dyDescent="0.25">
      <c r="A179">
        <f>Mesh!A176</f>
      </c>
      <c r="B179" s="12">
        <f>Mesh!B176</f>
      </c>
      <c r="C179" s="12">
        <f>Mesh!C176</f>
      </c>
      <c r="D179" s="12">
        <f>Mesh!D176</f>
      </c>
      <c r="E179" s="30">
        <f>INDEX(St_e0,Det+1)+INDEX(St_kx,Det+1)*C179+INDEX(St_ky,Det+1)*B179</f>
      </c>
      <c r="F179" s="12">
        <f>IF(E179&gt;0,IF(E179&lt;=eco,alpha*fck*(1-(1-E179/eco)^n),alpha*fck),0)</f>
      </c>
      <c r="G179" s="11">
        <f>F179*D179</f>
      </c>
      <c r="H179" s="11">
        <f>G179*C179</f>
      </c>
      <c r="I179" s="11">
        <f>G179*B179</f>
      </c>
      <c r="J179" s="30">
        <f>PM_Angle!$J$7+PM_Angle!$K$7*$C179+PM_Angle!$L$7*$B179</f>
      </c>
      <c r="K179" s="12">
        <f>IF(J179&gt;0,IF(J179&lt;=eco,alpha*fck*(1-(1-J179/eco)^n),alpha*fck),0)</f>
      </c>
      <c r="L179" s="30">
        <f>PM_Angle!$J$8+PM_Angle!$K$8*$C179+PM_Angle!$L$8*$B179</f>
      </c>
      <c r="M179" s="12">
        <f>IF(L179&gt;0,IF(L179&lt;=eco,alpha*fck*(1-(1-L179/eco)^n),alpha*fck),0)</f>
      </c>
      <c r="N179" s="30">
        <f>PM_Angle!$J$9+PM_Angle!$K$9*$C179+PM_Angle!$L$9*$B179</f>
      </c>
      <c r="O179" s="12">
        <f>IF(N179&gt;0,IF(N179&lt;=eco,alpha*fck*(1-(1-N179/eco)^n),alpha*fck),0)</f>
      </c>
      <c r="P179" s="30">
        <f>PM_Angle!$J$10+PM_Angle!$K$10*$C179+PM_Angle!$L$10*$B179</f>
      </c>
      <c r="Q179" s="12">
        <f>IF(P179&gt;0,IF(P179&lt;=eco,alpha*fck*(1-(1-P179/eco)^n),alpha*fck),0)</f>
      </c>
      <c r="R179" s="30">
        <f>PM_Angle!$J$11+PM_Angle!$K$11*$C179+PM_Angle!$L$11*$B179</f>
      </c>
      <c r="S179" s="12">
        <f>IF(R179&gt;0,IF(R179&lt;=eco,alpha*fck*(1-(1-R179/eco)^n),alpha*fck),0)</f>
      </c>
      <c r="T179" s="30">
        <f>PM_Angle!$J$12+PM_Angle!$K$12*$C179+PM_Angle!$L$12*$B179</f>
      </c>
      <c r="U179" s="12">
        <f>IF(T179&gt;0,IF(T179&lt;=eco,alpha*fck*(1-(1-T179/eco)^n),alpha*fck),0)</f>
      </c>
      <c r="V179" s="30">
        <f>PM_Angle!$J$13+PM_Angle!$K$13*$C179+PM_Angle!$L$13*$B179</f>
      </c>
      <c r="W179" s="12">
        <f>IF(V179&gt;0,IF(V179&lt;=eco,alpha*fck*(1-(1-V179/eco)^n),alpha*fck),0)</f>
      </c>
      <c r="X179" s="30">
        <f>PM_Angle!$J$14+PM_Angle!$K$14*$C179+PM_Angle!$L$14*$B179</f>
      </c>
      <c r="Y179" s="12">
        <f>IF(X179&gt;0,IF(X179&lt;=eco,alpha*fck*(1-(1-X179/eco)^n),alpha*fck),0)</f>
      </c>
      <c r="Z179" s="30">
        <f>PM_Angle!$J$15+PM_Angle!$K$15*$C179+PM_Angle!$L$15*$B179</f>
      </c>
      <c r="AA179" s="12">
        <f>IF(Z179&gt;0,IF(Z179&lt;=eco,alpha*fck*(1-(1-Z179/eco)^n),alpha*fck),0)</f>
      </c>
      <c r="AB179" s="30">
        <f>PM_Angle!$J$16+PM_Angle!$K$16*$C179+PM_Angle!$L$16*$B179</f>
      </c>
      <c r="AC179" s="12">
        <f>IF(AB179&gt;0,IF(AB179&lt;=eco,alpha*fck*(1-(1-AB179/eco)^n),alpha*fck),0)</f>
      </c>
      <c r="AD179" s="30">
        <f>PM_Angle!$J$17+PM_Angle!$K$17*$C179+PM_Angle!$L$17*$B179</f>
      </c>
      <c r="AE179" s="12">
        <f>IF(AD179&gt;0,IF(AD179&lt;=eco,alpha*fck*(1-(1-AD179/eco)^n),alpha*fck),0)</f>
      </c>
      <c r="AF179" s="30">
        <f>PM_Angle!$J$18+PM_Angle!$K$18*$C179+PM_Angle!$L$18*$B179</f>
      </c>
      <c r="AG179" s="12">
        <f>IF(AF179&gt;0,IF(AF179&lt;=eco,alpha*fck*(1-(1-AF179/eco)^n),alpha*fck),0)</f>
      </c>
      <c r="AH179" s="30">
        <f>PM_Angle!$J$19+PM_Angle!$K$19*$C179+PM_Angle!$L$19*$B179</f>
      </c>
      <c r="AI179" s="12">
        <f>IF(AH179&gt;0,IF(AH179&lt;=eco,alpha*fck*(1-(1-AH179/eco)^n),alpha*fck),0)</f>
      </c>
      <c r="AJ179" s="30">
        <f>PM_Angle!$J$20+PM_Angle!$K$20*$C179+PM_Angle!$L$20*$B179</f>
      </c>
      <c r="AK179" s="12">
        <f>IF(AJ179&gt;0,IF(AJ179&lt;=eco,alpha*fck*(1-(1-AJ179/eco)^n),alpha*fck),0)</f>
      </c>
      <c r="AL179" s="30">
        <f>PM_Angle!$J$21+PM_Angle!$K$21*$C179+PM_Angle!$L$21*$B179</f>
      </c>
      <c r="AM179" s="12">
        <f>IF(AL179&gt;0,IF(AL179&lt;=eco,alpha*fck*(1-(1-AL179/eco)^n),alpha*fck),0)</f>
      </c>
      <c r="AN179" s="30">
        <f>PM_Angle!$J$22+PM_Angle!$K$22*$C179+PM_Angle!$L$22*$B179</f>
      </c>
      <c r="AO179" s="12">
        <f>IF(AN179&gt;0,IF(AN179&lt;=eco,alpha*fck*(1-(1-AN179/eco)^n),alpha*fck),0)</f>
      </c>
      <c r="AP179" s="30">
        <f>PM_Angle!$J$23+PM_Angle!$K$23*$C179+PM_Angle!$L$23*$B179</f>
      </c>
      <c r="AQ179" s="12">
        <f>IF(AP179&gt;0,IF(AP179&lt;=eco,alpha*fck*(1-(1-AP179/eco)^n),alpha*fck),0)</f>
      </c>
      <c r="AR179" s="30">
        <f>PM_Angle!$J$24+PM_Angle!$K$24*$C179+PM_Angle!$L$24*$B179</f>
      </c>
      <c r="AS179" s="12">
        <f>IF(AR179&gt;0,IF(AR179&lt;=eco,alpha*fck*(1-(1-AR179/eco)^n),alpha*fck),0)</f>
      </c>
      <c r="AT179" s="30">
        <f>PM_Angle!$J$25+PM_Angle!$K$25*$C179+PM_Angle!$L$25*$B179</f>
      </c>
      <c r="AU179" s="12">
        <f>IF(AT179&gt;0,IF(AT179&lt;=eco,alpha*fck*(1-(1-AT179/eco)^n),alpha*fck),0)</f>
      </c>
    </row>
    <row r="180" spans="1:47" x14ac:dyDescent="0.25">
      <c r="A180">
        <f>Mesh!A177</f>
      </c>
      <c r="B180" s="12">
        <f>Mesh!B177</f>
      </c>
      <c r="C180" s="12">
        <f>Mesh!C177</f>
      </c>
      <c r="D180" s="12">
        <f>Mesh!D177</f>
      </c>
      <c r="E180" s="30">
        <f>INDEX(St_e0,Det+1)+INDEX(St_kx,Det+1)*C180+INDEX(St_ky,Det+1)*B180</f>
      </c>
      <c r="F180" s="12">
        <f>IF(E180&gt;0,IF(E180&lt;=eco,alpha*fck*(1-(1-E180/eco)^n),alpha*fck),0)</f>
      </c>
      <c r="G180" s="11">
        <f>F180*D180</f>
      </c>
      <c r="H180" s="11">
        <f>G180*C180</f>
      </c>
      <c r="I180" s="11">
        <f>G180*B180</f>
      </c>
      <c r="J180" s="30">
        <f>PM_Angle!$J$7+PM_Angle!$K$7*$C180+PM_Angle!$L$7*$B180</f>
      </c>
      <c r="K180" s="12">
        <f>IF(J180&gt;0,IF(J180&lt;=eco,alpha*fck*(1-(1-J180/eco)^n),alpha*fck),0)</f>
      </c>
      <c r="L180" s="30">
        <f>PM_Angle!$J$8+PM_Angle!$K$8*$C180+PM_Angle!$L$8*$B180</f>
      </c>
      <c r="M180" s="12">
        <f>IF(L180&gt;0,IF(L180&lt;=eco,alpha*fck*(1-(1-L180/eco)^n),alpha*fck),0)</f>
      </c>
      <c r="N180" s="30">
        <f>PM_Angle!$J$9+PM_Angle!$K$9*$C180+PM_Angle!$L$9*$B180</f>
      </c>
      <c r="O180" s="12">
        <f>IF(N180&gt;0,IF(N180&lt;=eco,alpha*fck*(1-(1-N180/eco)^n),alpha*fck),0)</f>
      </c>
      <c r="P180" s="30">
        <f>PM_Angle!$J$10+PM_Angle!$K$10*$C180+PM_Angle!$L$10*$B180</f>
      </c>
      <c r="Q180" s="12">
        <f>IF(P180&gt;0,IF(P180&lt;=eco,alpha*fck*(1-(1-P180/eco)^n),alpha*fck),0)</f>
      </c>
      <c r="R180" s="30">
        <f>PM_Angle!$J$11+PM_Angle!$K$11*$C180+PM_Angle!$L$11*$B180</f>
      </c>
      <c r="S180" s="12">
        <f>IF(R180&gt;0,IF(R180&lt;=eco,alpha*fck*(1-(1-R180/eco)^n),alpha*fck),0)</f>
      </c>
      <c r="T180" s="30">
        <f>PM_Angle!$J$12+PM_Angle!$K$12*$C180+PM_Angle!$L$12*$B180</f>
      </c>
      <c r="U180" s="12">
        <f>IF(T180&gt;0,IF(T180&lt;=eco,alpha*fck*(1-(1-T180/eco)^n),alpha*fck),0)</f>
      </c>
      <c r="V180" s="30">
        <f>PM_Angle!$J$13+PM_Angle!$K$13*$C180+PM_Angle!$L$13*$B180</f>
      </c>
      <c r="W180" s="12">
        <f>IF(V180&gt;0,IF(V180&lt;=eco,alpha*fck*(1-(1-V180/eco)^n),alpha*fck),0)</f>
      </c>
      <c r="X180" s="30">
        <f>PM_Angle!$J$14+PM_Angle!$K$14*$C180+PM_Angle!$L$14*$B180</f>
      </c>
      <c r="Y180" s="12">
        <f>IF(X180&gt;0,IF(X180&lt;=eco,alpha*fck*(1-(1-X180/eco)^n),alpha*fck),0)</f>
      </c>
      <c r="Z180" s="30">
        <f>PM_Angle!$J$15+PM_Angle!$K$15*$C180+PM_Angle!$L$15*$B180</f>
      </c>
      <c r="AA180" s="12">
        <f>IF(Z180&gt;0,IF(Z180&lt;=eco,alpha*fck*(1-(1-Z180/eco)^n),alpha*fck),0)</f>
      </c>
      <c r="AB180" s="30">
        <f>PM_Angle!$J$16+PM_Angle!$K$16*$C180+PM_Angle!$L$16*$B180</f>
      </c>
      <c r="AC180" s="12">
        <f>IF(AB180&gt;0,IF(AB180&lt;=eco,alpha*fck*(1-(1-AB180/eco)^n),alpha*fck),0)</f>
      </c>
      <c r="AD180" s="30">
        <f>PM_Angle!$J$17+PM_Angle!$K$17*$C180+PM_Angle!$L$17*$B180</f>
      </c>
      <c r="AE180" s="12">
        <f>IF(AD180&gt;0,IF(AD180&lt;=eco,alpha*fck*(1-(1-AD180/eco)^n),alpha*fck),0)</f>
      </c>
      <c r="AF180" s="30">
        <f>PM_Angle!$J$18+PM_Angle!$K$18*$C180+PM_Angle!$L$18*$B180</f>
      </c>
      <c r="AG180" s="12">
        <f>IF(AF180&gt;0,IF(AF180&lt;=eco,alpha*fck*(1-(1-AF180/eco)^n),alpha*fck),0)</f>
      </c>
      <c r="AH180" s="30">
        <f>PM_Angle!$J$19+PM_Angle!$K$19*$C180+PM_Angle!$L$19*$B180</f>
      </c>
      <c r="AI180" s="12">
        <f>IF(AH180&gt;0,IF(AH180&lt;=eco,alpha*fck*(1-(1-AH180/eco)^n),alpha*fck),0)</f>
      </c>
      <c r="AJ180" s="30">
        <f>PM_Angle!$J$20+PM_Angle!$K$20*$C180+PM_Angle!$L$20*$B180</f>
      </c>
      <c r="AK180" s="12">
        <f>IF(AJ180&gt;0,IF(AJ180&lt;=eco,alpha*fck*(1-(1-AJ180/eco)^n),alpha*fck),0)</f>
      </c>
      <c r="AL180" s="30">
        <f>PM_Angle!$J$21+PM_Angle!$K$21*$C180+PM_Angle!$L$21*$B180</f>
      </c>
      <c r="AM180" s="12">
        <f>IF(AL180&gt;0,IF(AL180&lt;=eco,alpha*fck*(1-(1-AL180/eco)^n),alpha*fck),0)</f>
      </c>
      <c r="AN180" s="30">
        <f>PM_Angle!$J$22+PM_Angle!$K$22*$C180+PM_Angle!$L$22*$B180</f>
      </c>
      <c r="AO180" s="12">
        <f>IF(AN180&gt;0,IF(AN180&lt;=eco,alpha*fck*(1-(1-AN180/eco)^n),alpha*fck),0)</f>
      </c>
      <c r="AP180" s="30">
        <f>PM_Angle!$J$23+PM_Angle!$K$23*$C180+PM_Angle!$L$23*$B180</f>
      </c>
      <c r="AQ180" s="12">
        <f>IF(AP180&gt;0,IF(AP180&lt;=eco,alpha*fck*(1-(1-AP180/eco)^n),alpha*fck),0)</f>
      </c>
      <c r="AR180" s="30">
        <f>PM_Angle!$J$24+PM_Angle!$K$24*$C180+PM_Angle!$L$24*$B180</f>
      </c>
      <c r="AS180" s="12">
        <f>IF(AR180&gt;0,IF(AR180&lt;=eco,alpha*fck*(1-(1-AR180/eco)^n),alpha*fck),0)</f>
      </c>
      <c r="AT180" s="30">
        <f>PM_Angle!$J$25+PM_Angle!$K$25*$C180+PM_Angle!$L$25*$B180</f>
      </c>
      <c r="AU180" s="12">
        <f>IF(AT180&gt;0,IF(AT180&lt;=eco,alpha*fck*(1-(1-AT180/eco)^n),alpha*fck),0)</f>
      </c>
    </row>
    <row r="181" spans="1:47" x14ac:dyDescent="0.25">
      <c r="A181">
        <f>Mesh!A178</f>
      </c>
      <c r="B181" s="12">
        <f>Mesh!B178</f>
      </c>
      <c r="C181" s="12">
        <f>Mesh!C178</f>
      </c>
      <c r="D181" s="12">
        <f>Mesh!D178</f>
      </c>
      <c r="E181" s="30">
        <f>INDEX(St_e0,Det+1)+INDEX(St_kx,Det+1)*C181+INDEX(St_ky,Det+1)*B181</f>
      </c>
      <c r="F181" s="12">
        <f>IF(E181&gt;0,IF(E181&lt;=eco,alpha*fck*(1-(1-E181/eco)^n),alpha*fck),0)</f>
      </c>
      <c r="G181" s="11">
        <f>F181*D181</f>
      </c>
      <c r="H181" s="11">
        <f>G181*C181</f>
      </c>
      <c r="I181" s="11">
        <f>G181*B181</f>
      </c>
      <c r="J181" s="30">
        <f>PM_Angle!$J$7+PM_Angle!$K$7*$C181+PM_Angle!$L$7*$B181</f>
      </c>
      <c r="K181" s="12">
        <f>IF(J181&gt;0,IF(J181&lt;=eco,alpha*fck*(1-(1-J181/eco)^n),alpha*fck),0)</f>
      </c>
      <c r="L181" s="30">
        <f>PM_Angle!$J$8+PM_Angle!$K$8*$C181+PM_Angle!$L$8*$B181</f>
      </c>
      <c r="M181" s="12">
        <f>IF(L181&gt;0,IF(L181&lt;=eco,alpha*fck*(1-(1-L181/eco)^n),alpha*fck),0)</f>
      </c>
      <c r="N181" s="30">
        <f>PM_Angle!$J$9+PM_Angle!$K$9*$C181+PM_Angle!$L$9*$B181</f>
      </c>
      <c r="O181" s="12">
        <f>IF(N181&gt;0,IF(N181&lt;=eco,alpha*fck*(1-(1-N181/eco)^n),alpha*fck),0)</f>
      </c>
      <c r="P181" s="30">
        <f>PM_Angle!$J$10+PM_Angle!$K$10*$C181+PM_Angle!$L$10*$B181</f>
      </c>
      <c r="Q181" s="12">
        <f>IF(P181&gt;0,IF(P181&lt;=eco,alpha*fck*(1-(1-P181/eco)^n),alpha*fck),0)</f>
      </c>
      <c r="R181" s="30">
        <f>PM_Angle!$J$11+PM_Angle!$K$11*$C181+PM_Angle!$L$11*$B181</f>
      </c>
      <c r="S181" s="12">
        <f>IF(R181&gt;0,IF(R181&lt;=eco,alpha*fck*(1-(1-R181/eco)^n),alpha*fck),0)</f>
      </c>
      <c r="T181" s="30">
        <f>PM_Angle!$J$12+PM_Angle!$K$12*$C181+PM_Angle!$L$12*$B181</f>
      </c>
      <c r="U181" s="12">
        <f>IF(T181&gt;0,IF(T181&lt;=eco,alpha*fck*(1-(1-T181/eco)^n),alpha*fck),0)</f>
      </c>
      <c r="V181" s="30">
        <f>PM_Angle!$J$13+PM_Angle!$K$13*$C181+PM_Angle!$L$13*$B181</f>
      </c>
      <c r="W181" s="12">
        <f>IF(V181&gt;0,IF(V181&lt;=eco,alpha*fck*(1-(1-V181/eco)^n),alpha*fck),0)</f>
      </c>
      <c r="X181" s="30">
        <f>PM_Angle!$J$14+PM_Angle!$K$14*$C181+PM_Angle!$L$14*$B181</f>
      </c>
      <c r="Y181" s="12">
        <f>IF(X181&gt;0,IF(X181&lt;=eco,alpha*fck*(1-(1-X181/eco)^n),alpha*fck),0)</f>
      </c>
      <c r="Z181" s="30">
        <f>PM_Angle!$J$15+PM_Angle!$K$15*$C181+PM_Angle!$L$15*$B181</f>
      </c>
      <c r="AA181" s="12">
        <f>IF(Z181&gt;0,IF(Z181&lt;=eco,alpha*fck*(1-(1-Z181/eco)^n),alpha*fck),0)</f>
      </c>
      <c r="AB181" s="30">
        <f>PM_Angle!$J$16+PM_Angle!$K$16*$C181+PM_Angle!$L$16*$B181</f>
      </c>
      <c r="AC181" s="12">
        <f>IF(AB181&gt;0,IF(AB181&lt;=eco,alpha*fck*(1-(1-AB181/eco)^n),alpha*fck),0)</f>
      </c>
      <c r="AD181" s="30">
        <f>PM_Angle!$J$17+PM_Angle!$K$17*$C181+PM_Angle!$L$17*$B181</f>
      </c>
      <c r="AE181" s="12">
        <f>IF(AD181&gt;0,IF(AD181&lt;=eco,alpha*fck*(1-(1-AD181/eco)^n),alpha*fck),0)</f>
      </c>
      <c r="AF181" s="30">
        <f>PM_Angle!$J$18+PM_Angle!$K$18*$C181+PM_Angle!$L$18*$B181</f>
      </c>
      <c r="AG181" s="12">
        <f>IF(AF181&gt;0,IF(AF181&lt;=eco,alpha*fck*(1-(1-AF181/eco)^n),alpha*fck),0)</f>
      </c>
      <c r="AH181" s="30">
        <f>PM_Angle!$J$19+PM_Angle!$K$19*$C181+PM_Angle!$L$19*$B181</f>
      </c>
      <c r="AI181" s="12">
        <f>IF(AH181&gt;0,IF(AH181&lt;=eco,alpha*fck*(1-(1-AH181/eco)^n),alpha*fck),0)</f>
      </c>
      <c r="AJ181" s="30">
        <f>PM_Angle!$J$20+PM_Angle!$K$20*$C181+PM_Angle!$L$20*$B181</f>
      </c>
      <c r="AK181" s="12">
        <f>IF(AJ181&gt;0,IF(AJ181&lt;=eco,alpha*fck*(1-(1-AJ181/eco)^n),alpha*fck),0)</f>
      </c>
      <c r="AL181" s="30">
        <f>PM_Angle!$J$21+PM_Angle!$K$21*$C181+PM_Angle!$L$21*$B181</f>
      </c>
      <c r="AM181" s="12">
        <f>IF(AL181&gt;0,IF(AL181&lt;=eco,alpha*fck*(1-(1-AL181/eco)^n),alpha*fck),0)</f>
      </c>
      <c r="AN181" s="30">
        <f>PM_Angle!$J$22+PM_Angle!$K$22*$C181+PM_Angle!$L$22*$B181</f>
      </c>
      <c r="AO181" s="12">
        <f>IF(AN181&gt;0,IF(AN181&lt;=eco,alpha*fck*(1-(1-AN181/eco)^n),alpha*fck),0)</f>
      </c>
      <c r="AP181" s="30">
        <f>PM_Angle!$J$23+PM_Angle!$K$23*$C181+PM_Angle!$L$23*$B181</f>
      </c>
      <c r="AQ181" s="12">
        <f>IF(AP181&gt;0,IF(AP181&lt;=eco,alpha*fck*(1-(1-AP181/eco)^n),alpha*fck),0)</f>
      </c>
      <c r="AR181" s="30">
        <f>PM_Angle!$J$24+PM_Angle!$K$24*$C181+PM_Angle!$L$24*$B181</f>
      </c>
      <c r="AS181" s="12">
        <f>IF(AR181&gt;0,IF(AR181&lt;=eco,alpha*fck*(1-(1-AR181/eco)^n),alpha*fck),0)</f>
      </c>
      <c r="AT181" s="30">
        <f>PM_Angle!$J$25+PM_Angle!$K$25*$C181+PM_Angle!$L$25*$B181</f>
      </c>
      <c r="AU181" s="12">
        <f>IF(AT181&gt;0,IF(AT181&lt;=eco,alpha*fck*(1-(1-AT181/eco)^n),alpha*fck),0)</f>
      </c>
    </row>
    <row r="182" spans="1:47" x14ac:dyDescent="0.25">
      <c r="A182">
        <f>Mesh!A179</f>
      </c>
      <c r="B182" s="12">
        <f>Mesh!B179</f>
      </c>
      <c r="C182" s="12">
        <f>Mesh!C179</f>
      </c>
      <c r="D182" s="12">
        <f>Mesh!D179</f>
      </c>
      <c r="E182" s="30">
        <f>INDEX(St_e0,Det+1)+INDEX(St_kx,Det+1)*C182+INDEX(St_ky,Det+1)*B182</f>
      </c>
      <c r="F182" s="12">
        <f>IF(E182&gt;0,IF(E182&lt;=eco,alpha*fck*(1-(1-E182/eco)^n),alpha*fck),0)</f>
      </c>
      <c r="G182" s="11">
        <f>F182*D182</f>
      </c>
      <c r="H182" s="11">
        <f>G182*C182</f>
      </c>
      <c r="I182" s="11">
        <f>G182*B182</f>
      </c>
      <c r="J182" s="30">
        <f>PM_Angle!$J$7+PM_Angle!$K$7*$C182+PM_Angle!$L$7*$B182</f>
      </c>
      <c r="K182" s="12">
        <f>IF(J182&gt;0,IF(J182&lt;=eco,alpha*fck*(1-(1-J182/eco)^n),alpha*fck),0)</f>
      </c>
      <c r="L182" s="30">
        <f>PM_Angle!$J$8+PM_Angle!$K$8*$C182+PM_Angle!$L$8*$B182</f>
      </c>
      <c r="M182" s="12">
        <f>IF(L182&gt;0,IF(L182&lt;=eco,alpha*fck*(1-(1-L182/eco)^n),alpha*fck),0)</f>
      </c>
      <c r="N182" s="30">
        <f>PM_Angle!$J$9+PM_Angle!$K$9*$C182+PM_Angle!$L$9*$B182</f>
      </c>
      <c r="O182" s="12">
        <f>IF(N182&gt;0,IF(N182&lt;=eco,alpha*fck*(1-(1-N182/eco)^n),alpha*fck),0)</f>
      </c>
      <c r="P182" s="30">
        <f>PM_Angle!$J$10+PM_Angle!$K$10*$C182+PM_Angle!$L$10*$B182</f>
      </c>
      <c r="Q182" s="12">
        <f>IF(P182&gt;0,IF(P182&lt;=eco,alpha*fck*(1-(1-P182/eco)^n),alpha*fck),0)</f>
      </c>
      <c r="R182" s="30">
        <f>PM_Angle!$J$11+PM_Angle!$K$11*$C182+PM_Angle!$L$11*$B182</f>
      </c>
      <c r="S182" s="12">
        <f>IF(R182&gt;0,IF(R182&lt;=eco,alpha*fck*(1-(1-R182/eco)^n),alpha*fck),0)</f>
      </c>
      <c r="T182" s="30">
        <f>PM_Angle!$J$12+PM_Angle!$K$12*$C182+PM_Angle!$L$12*$B182</f>
      </c>
      <c r="U182" s="12">
        <f>IF(T182&gt;0,IF(T182&lt;=eco,alpha*fck*(1-(1-T182/eco)^n),alpha*fck),0)</f>
      </c>
      <c r="V182" s="30">
        <f>PM_Angle!$J$13+PM_Angle!$K$13*$C182+PM_Angle!$L$13*$B182</f>
      </c>
      <c r="W182" s="12">
        <f>IF(V182&gt;0,IF(V182&lt;=eco,alpha*fck*(1-(1-V182/eco)^n),alpha*fck),0)</f>
      </c>
      <c r="X182" s="30">
        <f>PM_Angle!$J$14+PM_Angle!$K$14*$C182+PM_Angle!$L$14*$B182</f>
      </c>
      <c r="Y182" s="12">
        <f>IF(X182&gt;0,IF(X182&lt;=eco,alpha*fck*(1-(1-X182/eco)^n),alpha*fck),0)</f>
      </c>
      <c r="Z182" s="30">
        <f>PM_Angle!$J$15+PM_Angle!$K$15*$C182+PM_Angle!$L$15*$B182</f>
      </c>
      <c r="AA182" s="12">
        <f>IF(Z182&gt;0,IF(Z182&lt;=eco,alpha*fck*(1-(1-Z182/eco)^n),alpha*fck),0)</f>
      </c>
      <c r="AB182" s="30">
        <f>PM_Angle!$J$16+PM_Angle!$K$16*$C182+PM_Angle!$L$16*$B182</f>
      </c>
      <c r="AC182" s="12">
        <f>IF(AB182&gt;0,IF(AB182&lt;=eco,alpha*fck*(1-(1-AB182/eco)^n),alpha*fck),0)</f>
      </c>
      <c r="AD182" s="30">
        <f>PM_Angle!$J$17+PM_Angle!$K$17*$C182+PM_Angle!$L$17*$B182</f>
      </c>
      <c r="AE182" s="12">
        <f>IF(AD182&gt;0,IF(AD182&lt;=eco,alpha*fck*(1-(1-AD182/eco)^n),alpha*fck),0)</f>
      </c>
      <c r="AF182" s="30">
        <f>PM_Angle!$J$18+PM_Angle!$K$18*$C182+PM_Angle!$L$18*$B182</f>
      </c>
      <c r="AG182" s="12">
        <f>IF(AF182&gt;0,IF(AF182&lt;=eco,alpha*fck*(1-(1-AF182/eco)^n),alpha*fck),0)</f>
      </c>
      <c r="AH182" s="30">
        <f>PM_Angle!$J$19+PM_Angle!$K$19*$C182+PM_Angle!$L$19*$B182</f>
      </c>
      <c r="AI182" s="12">
        <f>IF(AH182&gt;0,IF(AH182&lt;=eco,alpha*fck*(1-(1-AH182/eco)^n),alpha*fck),0)</f>
      </c>
      <c r="AJ182" s="30">
        <f>PM_Angle!$J$20+PM_Angle!$K$20*$C182+PM_Angle!$L$20*$B182</f>
      </c>
      <c r="AK182" s="12">
        <f>IF(AJ182&gt;0,IF(AJ182&lt;=eco,alpha*fck*(1-(1-AJ182/eco)^n),alpha*fck),0)</f>
      </c>
      <c r="AL182" s="30">
        <f>PM_Angle!$J$21+PM_Angle!$K$21*$C182+PM_Angle!$L$21*$B182</f>
      </c>
      <c r="AM182" s="12">
        <f>IF(AL182&gt;0,IF(AL182&lt;=eco,alpha*fck*(1-(1-AL182/eco)^n),alpha*fck),0)</f>
      </c>
      <c r="AN182" s="30">
        <f>PM_Angle!$J$22+PM_Angle!$K$22*$C182+PM_Angle!$L$22*$B182</f>
      </c>
      <c r="AO182" s="12">
        <f>IF(AN182&gt;0,IF(AN182&lt;=eco,alpha*fck*(1-(1-AN182/eco)^n),alpha*fck),0)</f>
      </c>
      <c r="AP182" s="30">
        <f>PM_Angle!$J$23+PM_Angle!$K$23*$C182+PM_Angle!$L$23*$B182</f>
      </c>
      <c r="AQ182" s="12">
        <f>IF(AP182&gt;0,IF(AP182&lt;=eco,alpha*fck*(1-(1-AP182/eco)^n),alpha*fck),0)</f>
      </c>
      <c r="AR182" s="30">
        <f>PM_Angle!$J$24+PM_Angle!$K$24*$C182+PM_Angle!$L$24*$B182</f>
      </c>
      <c r="AS182" s="12">
        <f>IF(AR182&gt;0,IF(AR182&lt;=eco,alpha*fck*(1-(1-AR182/eco)^n),alpha*fck),0)</f>
      </c>
      <c r="AT182" s="30">
        <f>PM_Angle!$J$25+PM_Angle!$K$25*$C182+PM_Angle!$L$25*$B182</f>
      </c>
      <c r="AU182" s="12">
        <f>IF(AT182&gt;0,IF(AT182&lt;=eco,alpha*fck*(1-(1-AT182/eco)^n),alpha*fck),0)</f>
      </c>
    </row>
    <row r="183" spans="1:47" x14ac:dyDescent="0.25">
      <c r="A183">
        <f>Mesh!A180</f>
      </c>
      <c r="B183" s="12">
        <f>Mesh!B180</f>
      </c>
      <c r="C183" s="12">
        <f>Mesh!C180</f>
      </c>
      <c r="D183" s="12">
        <f>Mesh!D180</f>
      </c>
      <c r="E183" s="30">
        <f>INDEX(St_e0,Det+1)+INDEX(St_kx,Det+1)*C183+INDEX(St_ky,Det+1)*B183</f>
      </c>
      <c r="F183" s="12">
        <f>IF(E183&gt;0,IF(E183&lt;=eco,alpha*fck*(1-(1-E183/eco)^n),alpha*fck),0)</f>
      </c>
      <c r="G183" s="11">
        <f>F183*D183</f>
      </c>
      <c r="H183" s="11">
        <f>G183*C183</f>
      </c>
      <c r="I183" s="11">
        <f>G183*B183</f>
      </c>
      <c r="J183" s="30">
        <f>PM_Angle!$J$7+PM_Angle!$K$7*$C183+PM_Angle!$L$7*$B183</f>
      </c>
      <c r="K183" s="12">
        <f>IF(J183&gt;0,IF(J183&lt;=eco,alpha*fck*(1-(1-J183/eco)^n),alpha*fck),0)</f>
      </c>
      <c r="L183" s="30">
        <f>PM_Angle!$J$8+PM_Angle!$K$8*$C183+PM_Angle!$L$8*$B183</f>
      </c>
      <c r="M183" s="12">
        <f>IF(L183&gt;0,IF(L183&lt;=eco,alpha*fck*(1-(1-L183/eco)^n),alpha*fck),0)</f>
      </c>
      <c r="N183" s="30">
        <f>PM_Angle!$J$9+PM_Angle!$K$9*$C183+PM_Angle!$L$9*$B183</f>
      </c>
      <c r="O183" s="12">
        <f>IF(N183&gt;0,IF(N183&lt;=eco,alpha*fck*(1-(1-N183/eco)^n),alpha*fck),0)</f>
      </c>
      <c r="P183" s="30">
        <f>PM_Angle!$J$10+PM_Angle!$K$10*$C183+PM_Angle!$L$10*$B183</f>
      </c>
      <c r="Q183" s="12">
        <f>IF(P183&gt;0,IF(P183&lt;=eco,alpha*fck*(1-(1-P183/eco)^n),alpha*fck),0)</f>
      </c>
      <c r="R183" s="30">
        <f>PM_Angle!$J$11+PM_Angle!$K$11*$C183+PM_Angle!$L$11*$B183</f>
      </c>
      <c r="S183" s="12">
        <f>IF(R183&gt;0,IF(R183&lt;=eco,alpha*fck*(1-(1-R183/eco)^n),alpha*fck),0)</f>
      </c>
      <c r="T183" s="30">
        <f>PM_Angle!$J$12+PM_Angle!$K$12*$C183+PM_Angle!$L$12*$B183</f>
      </c>
      <c r="U183" s="12">
        <f>IF(T183&gt;0,IF(T183&lt;=eco,alpha*fck*(1-(1-T183/eco)^n),alpha*fck),0)</f>
      </c>
      <c r="V183" s="30">
        <f>PM_Angle!$J$13+PM_Angle!$K$13*$C183+PM_Angle!$L$13*$B183</f>
      </c>
      <c r="W183" s="12">
        <f>IF(V183&gt;0,IF(V183&lt;=eco,alpha*fck*(1-(1-V183/eco)^n),alpha*fck),0)</f>
      </c>
      <c r="X183" s="30">
        <f>PM_Angle!$J$14+PM_Angle!$K$14*$C183+PM_Angle!$L$14*$B183</f>
      </c>
      <c r="Y183" s="12">
        <f>IF(X183&gt;0,IF(X183&lt;=eco,alpha*fck*(1-(1-X183/eco)^n),alpha*fck),0)</f>
      </c>
      <c r="Z183" s="30">
        <f>PM_Angle!$J$15+PM_Angle!$K$15*$C183+PM_Angle!$L$15*$B183</f>
      </c>
      <c r="AA183" s="12">
        <f>IF(Z183&gt;0,IF(Z183&lt;=eco,alpha*fck*(1-(1-Z183/eco)^n),alpha*fck),0)</f>
      </c>
      <c r="AB183" s="30">
        <f>PM_Angle!$J$16+PM_Angle!$K$16*$C183+PM_Angle!$L$16*$B183</f>
      </c>
      <c r="AC183" s="12">
        <f>IF(AB183&gt;0,IF(AB183&lt;=eco,alpha*fck*(1-(1-AB183/eco)^n),alpha*fck),0)</f>
      </c>
      <c r="AD183" s="30">
        <f>PM_Angle!$J$17+PM_Angle!$K$17*$C183+PM_Angle!$L$17*$B183</f>
      </c>
      <c r="AE183" s="12">
        <f>IF(AD183&gt;0,IF(AD183&lt;=eco,alpha*fck*(1-(1-AD183/eco)^n),alpha*fck),0)</f>
      </c>
      <c r="AF183" s="30">
        <f>PM_Angle!$J$18+PM_Angle!$K$18*$C183+PM_Angle!$L$18*$B183</f>
      </c>
      <c r="AG183" s="12">
        <f>IF(AF183&gt;0,IF(AF183&lt;=eco,alpha*fck*(1-(1-AF183/eco)^n),alpha*fck),0)</f>
      </c>
      <c r="AH183" s="30">
        <f>PM_Angle!$J$19+PM_Angle!$K$19*$C183+PM_Angle!$L$19*$B183</f>
      </c>
      <c r="AI183" s="12">
        <f>IF(AH183&gt;0,IF(AH183&lt;=eco,alpha*fck*(1-(1-AH183/eco)^n),alpha*fck),0)</f>
      </c>
      <c r="AJ183" s="30">
        <f>PM_Angle!$J$20+PM_Angle!$K$20*$C183+PM_Angle!$L$20*$B183</f>
      </c>
      <c r="AK183" s="12">
        <f>IF(AJ183&gt;0,IF(AJ183&lt;=eco,alpha*fck*(1-(1-AJ183/eco)^n),alpha*fck),0)</f>
      </c>
      <c r="AL183" s="30">
        <f>PM_Angle!$J$21+PM_Angle!$K$21*$C183+PM_Angle!$L$21*$B183</f>
      </c>
      <c r="AM183" s="12">
        <f>IF(AL183&gt;0,IF(AL183&lt;=eco,alpha*fck*(1-(1-AL183/eco)^n),alpha*fck),0)</f>
      </c>
      <c r="AN183" s="30">
        <f>PM_Angle!$J$22+PM_Angle!$K$22*$C183+PM_Angle!$L$22*$B183</f>
      </c>
      <c r="AO183" s="12">
        <f>IF(AN183&gt;0,IF(AN183&lt;=eco,alpha*fck*(1-(1-AN183/eco)^n),alpha*fck),0)</f>
      </c>
      <c r="AP183" s="30">
        <f>PM_Angle!$J$23+PM_Angle!$K$23*$C183+PM_Angle!$L$23*$B183</f>
      </c>
      <c r="AQ183" s="12">
        <f>IF(AP183&gt;0,IF(AP183&lt;=eco,alpha*fck*(1-(1-AP183/eco)^n),alpha*fck),0)</f>
      </c>
      <c r="AR183" s="30">
        <f>PM_Angle!$J$24+PM_Angle!$K$24*$C183+PM_Angle!$L$24*$B183</f>
      </c>
      <c r="AS183" s="12">
        <f>IF(AR183&gt;0,IF(AR183&lt;=eco,alpha*fck*(1-(1-AR183/eco)^n),alpha*fck),0)</f>
      </c>
      <c r="AT183" s="30">
        <f>PM_Angle!$J$25+PM_Angle!$K$25*$C183+PM_Angle!$L$25*$B183</f>
      </c>
      <c r="AU183" s="12">
        <f>IF(AT183&gt;0,IF(AT183&lt;=eco,alpha*fck*(1-(1-AT183/eco)^n),alpha*fck),0)</f>
      </c>
    </row>
    <row r="184" spans="1:47" x14ac:dyDescent="0.25">
      <c r="A184">
        <f>Mesh!A181</f>
      </c>
      <c r="B184" s="12">
        <f>Mesh!B181</f>
      </c>
      <c r="C184" s="12">
        <f>Mesh!C181</f>
      </c>
      <c r="D184" s="12">
        <f>Mesh!D181</f>
      </c>
      <c r="E184" s="30">
        <f>INDEX(St_e0,Det+1)+INDEX(St_kx,Det+1)*C184+INDEX(St_ky,Det+1)*B184</f>
      </c>
      <c r="F184" s="12">
        <f>IF(E184&gt;0,IF(E184&lt;=eco,alpha*fck*(1-(1-E184/eco)^n),alpha*fck),0)</f>
      </c>
      <c r="G184" s="11">
        <f>F184*D184</f>
      </c>
      <c r="H184" s="11">
        <f>G184*C184</f>
      </c>
      <c r="I184" s="11">
        <f>G184*B184</f>
      </c>
      <c r="J184" s="30">
        <f>PM_Angle!$J$7+PM_Angle!$K$7*$C184+PM_Angle!$L$7*$B184</f>
      </c>
      <c r="K184" s="12">
        <f>IF(J184&gt;0,IF(J184&lt;=eco,alpha*fck*(1-(1-J184/eco)^n),alpha*fck),0)</f>
      </c>
      <c r="L184" s="30">
        <f>PM_Angle!$J$8+PM_Angle!$K$8*$C184+PM_Angle!$L$8*$B184</f>
      </c>
      <c r="M184" s="12">
        <f>IF(L184&gt;0,IF(L184&lt;=eco,alpha*fck*(1-(1-L184/eco)^n),alpha*fck),0)</f>
      </c>
      <c r="N184" s="30">
        <f>PM_Angle!$J$9+PM_Angle!$K$9*$C184+PM_Angle!$L$9*$B184</f>
      </c>
      <c r="O184" s="12">
        <f>IF(N184&gt;0,IF(N184&lt;=eco,alpha*fck*(1-(1-N184/eco)^n),alpha*fck),0)</f>
      </c>
      <c r="P184" s="30">
        <f>PM_Angle!$J$10+PM_Angle!$K$10*$C184+PM_Angle!$L$10*$B184</f>
      </c>
      <c r="Q184" s="12">
        <f>IF(P184&gt;0,IF(P184&lt;=eco,alpha*fck*(1-(1-P184/eco)^n),alpha*fck),0)</f>
      </c>
      <c r="R184" s="30">
        <f>PM_Angle!$J$11+PM_Angle!$K$11*$C184+PM_Angle!$L$11*$B184</f>
      </c>
      <c r="S184" s="12">
        <f>IF(R184&gt;0,IF(R184&lt;=eco,alpha*fck*(1-(1-R184/eco)^n),alpha*fck),0)</f>
      </c>
      <c r="T184" s="30">
        <f>PM_Angle!$J$12+PM_Angle!$K$12*$C184+PM_Angle!$L$12*$B184</f>
      </c>
      <c r="U184" s="12">
        <f>IF(T184&gt;0,IF(T184&lt;=eco,alpha*fck*(1-(1-T184/eco)^n),alpha*fck),0)</f>
      </c>
      <c r="V184" s="30">
        <f>PM_Angle!$J$13+PM_Angle!$K$13*$C184+PM_Angle!$L$13*$B184</f>
      </c>
      <c r="W184" s="12">
        <f>IF(V184&gt;0,IF(V184&lt;=eco,alpha*fck*(1-(1-V184/eco)^n),alpha*fck),0)</f>
      </c>
      <c r="X184" s="30">
        <f>PM_Angle!$J$14+PM_Angle!$K$14*$C184+PM_Angle!$L$14*$B184</f>
      </c>
      <c r="Y184" s="12">
        <f>IF(X184&gt;0,IF(X184&lt;=eco,alpha*fck*(1-(1-X184/eco)^n),alpha*fck),0)</f>
      </c>
      <c r="Z184" s="30">
        <f>PM_Angle!$J$15+PM_Angle!$K$15*$C184+PM_Angle!$L$15*$B184</f>
      </c>
      <c r="AA184" s="12">
        <f>IF(Z184&gt;0,IF(Z184&lt;=eco,alpha*fck*(1-(1-Z184/eco)^n),alpha*fck),0)</f>
      </c>
      <c r="AB184" s="30">
        <f>PM_Angle!$J$16+PM_Angle!$K$16*$C184+PM_Angle!$L$16*$B184</f>
      </c>
      <c r="AC184" s="12">
        <f>IF(AB184&gt;0,IF(AB184&lt;=eco,alpha*fck*(1-(1-AB184/eco)^n),alpha*fck),0)</f>
      </c>
      <c r="AD184" s="30">
        <f>PM_Angle!$J$17+PM_Angle!$K$17*$C184+PM_Angle!$L$17*$B184</f>
      </c>
      <c r="AE184" s="12">
        <f>IF(AD184&gt;0,IF(AD184&lt;=eco,alpha*fck*(1-(1-AD184/eco)^n),alpha*fck),0)</f>
      </c>
      <c r="AF184" s="30">
        <f>PM_Angle!$J$18+PM_Angle!$K$18*$C184+PM_Angle!$L$18*$B184</f>
      </c>
      <c r="AG184" s="12">
        <f>IF(AF184&gt;0,IF(AF184&lt;=eco,alpha*fck*(1-(1-AF184/eco)^n),alpha*fck),0)</f>
      </c>
      <c r="AH184" s="30">
        <f>PM_Angle!$J$19+PM_Angle!$K$19*$C184+PM_Angle!$L$19*$B184</f>
      </c>
      <c r="AI184" s="12">
        <f>IF(AH184&gt;0,IF(AH184&lt;=eco,alpha*fck*(1-(1-AH184/eco)^n),alpha*fck),0)</f>
      </c>
      <c r="AJ184" s="30">
        <f>PM_Angle!$J$20+PM_Angle!$K$20*$C184+PM_Angle!$L$20*$B184</f>
      </c>
      <c r="AK184" s="12">
        <f>IF(AJ184&gt;0,IF(AJ184&lt;=eco,alpha*fck*(1-(1-AJ184/eco)^n),alpha*fck),0)</f>
      </c>
      <c r="AL184" s="30">
        <f>PM_Angle!$J$21+PM_Angle!$K$21*$C184+PM_Angle!$L$21*$B184</f>
      </c>
      <c r="AM184" s="12">
        <f>IF(AL184&gt;0,IF(AL184&lt;=eco,alpha*fck*(1-(1-AL184/eco)^n),alpha*fck),0)</f>
      </c>
      <c r="AN184" s="30">
        <f>PM_Angle!$J$22+PM_Angle!$K$22*$C184+PM_Angle!$L$22*$B184</f>
      </c>
      <c r="AO184" s="12">
        <f>IF(AN184&gt;0,IF(AN184&lt;=eco,alpha*fck*(1-(1-AN184/eco)^n),alpha*fck),0)</f>
      </c>
      <c r="AP184" s="30">
        <f>PM_Angle!$J$23+PM_Angle!$K$23*$C184+PM_Angle!$L$23*$B184</f>
      </c>
      <c r="AQ184" s="12">
        <f>IF(AP184&gt;0,IF(AP184&lt;=eco,alpha*fck*(1-(1-AP184/eco)^n),alpha*fck),0)</f>
      </c>
      <c r="AR184" s="30">
        <f>PM_Angle!$J$24+PM_Angle!$K$24*$C184+PM_Angle!$L$24*$B184</f>
      </c>
      <c r="AS184" s="12">
        <f>IF(AR184&gt;0,IF(AR184&lt;=eco,alpha*fck*(1-(1-AR184/eco)^n),alpha*fck),0)</f>
      </c>
      <c r="AT184" s="30">
        <f>PM_Angle!$J$25+PM_Angle!$K$25*$C184+PM_Angle!$L$25*$B184</f>
      </c>
      <c r="AU184" s="12">
        <f>IF(AT184&gt;0,IF(AT184&lt;=eco,alpha*fck*(1-(1-AT184/eco)^n),alpha*fck),0)</f>
      </c>
    </row>
    <row r="185" spans="1:47" x14ac:dyDescent="0.25">
      <c r="A185">
        <f>Mesh!A182</f>
      </c>
      <c r="B185" s="12">
        <f>Mesh!B182</f>
      </c>
      <c r="C185" s="12">
        <f>Mesh!C182</f>
      </c>
      <c r="D185" s="12">
        <f>Mesh!D182</f>
      </c>
      <c r="E185" s="30">
        <f>INDEX(St_e0,Det+1)+INDEX(St_kx,Det+1)*C185+INDEX(St_ky,Det+1)*B185</f>
      </c>
      <c r="F185" s="12">
        <f>IF(E185&gt;0,IF(E185&lt;=eco,alpha*fck*(1-(1-E185/eco)^n),alpha*fck),0)</f>
      </c>
      <c r="G185" s="11">
        <f>F185*D185</f>
      </c>
      <c r="H185" s="11">
        <f>G185*C185</f>
      </c>
      <c r="I185" s="11">
        <f>G185*B185</f>
      </c>
      <c r="J185" s="30">
        <f>PM_Angle!$J$7+PM_Angle!$K$7*$C185+PM_Angle!$L$7*$B185</f>
      </c>
      <c r="K185" s="12">
        <f>IF(J185&gt;0,IF(J185&lt;=eco,alpha*fck*(1-(1-J185/eco)^n),alpha*fck),0)</f>
      </c>
      <c r="L185" s="30">
        <f>PM_Angle!$J$8+PM_Angle!$K$8*$C185+PM_Angle!$L$8*$B185</f>
      </c>
      <c r="M185" s="12">
        <f>IF(L185&gt;0,IF(L185&lt;=eco,alpha*fck*(1-(1-L185/eco)^n),alpha*fck),0)</f>
      </c>
      <c r="N185" s="30">
        <f>PM_Angle!$J$9+PM_Angle!$K$9*$C185+PM_Angle!$L$9*$B185</f>
      </c>
      <c r="O185" s="12">
        <f>IF(N185&gt;0,IF(N185&lt;=eco,alpha*fck*(1-(1-N185/eco)^n),alpha*fck),0)</f>
      </c>
      <c r="P185" s="30">
        <f>PM_Angle!$J$10+PM_Angle!$K$10*$C185+PM_Angle!$L$10*$B185</f>
      </c>
      <c r="Q185" s="12">
        <f>IF(P185&gt;0,IF(P185&lt;=eco,alpha*fck*(1-(1-P185/eco)^n),alpha*fck),0)</f>
      </c>
      <c r="R185" s="30">
        <f>PM_Angle!$J$11+PM_Angle!$K$11*$C185+PM_Angle!$L$11*$B185</f>
      </c>
      <c r="S185" s="12">
        <f>IF(R185&gt;0,IF(R185&lt;=eco,alpha*fck*(1-(1-R185/eco)^n),alpha*fck),0)</f>
      </c>
      <c r="T185" s="30">
        <f>PM_Angle!$J$12+PM_Angle!$K$12*$C185+PM_Angle!$L$12*$B185</f>
      </c>
      <c r="U185" s="12">
        <f>IF(T185&gt;0,IF(T185&lt;=eco,alpha*fck*(1-(1-T185/eco)^n),alpha*fck),0)</f>
      </c>
      <c r="V185" s="30">
        <f>PM_Angle!$J$13+PM_Angle!$K$13*$C185+PM_Angle!$L$13*$B185</f>
      </c>
      <c r="W185" s="12">
        <f>IF(V185&gt;0,IF(V185&lt;=eco,alpha*fck*(1-(1-V185/eco)^n),alpha*fck),0)</f>
      </c>
      <c r="X185" s="30">
        <f>PM_Angle!$J$14+PM_Angle!$K$14*$C185+PM_Angle!$L$14*$B185</f>
      </c>
      <c r="Y185" s="12">
        <f>IF(X185&gt;0,IF(X185&lt;=eco,alpha*fck*(1-(1-X185/eco)^n),alpha*fck),0)</f>
      </c>
      <c r="Z185" s="30">
        <f>PM_Angle!$J$15+PM_Angle!$K$15*$C185+PM_Angle!$L$15*$B185</f>
      </c>
      <c r="AA185" s="12">
        <f>IF(Z185&gt;0,IF(Z185&lt;=eco,alpha*fck*(1-(1-Z185/eco)^n),alpha*fck),0)</f>
      </c>
      <c r="AB185" s="30">
        <f>PM_Angle!$J$16+PM_Angle!$K$16*$C185+PM_Angle!$L$16*$B185</f>
      </c>
      <c r="AC185" s="12">
        <f>IF(AB185&gt;0,IF(AB185&lt;=eco,alpha*fck*(1-(1-AB185/eco)^n),alpha*fck),0)</f>
      </c>
      <c r="AD185" s="30">
        <f>PM_Angle!$J$17+PM_Angle!$K$17*$C185+PM_Angle!$L$17*$B185</f>
      </c>
      <c r="AE185" s="12">
        <f>IF(AD185&gt;0,IF(AD185&lt;=eco,alpha*fck*(1-(1-AD185/eco)^n),alpha*fck),0)</f>
      </c>
      <c r="AF185" s="30">
        <f>PM_Angle!$J$18+PM_Angle!$K$18*$C185+PM_Angle!$L$18*$B185</f>
      </c>
      <c r="AG185" s="12">
        <f>IF(AF185&gt;0,IF(AF185&lt;=eco,alpha*fck*(1-(1-AF185/eco)^n),alpha*fck),0)</f>
      </c>
      <c r="AH185" s="30">
        <f>PM_Angle!$J$19+PM_Angle!$K$19*$C185+PM_Angle!$L$19*$B185</f>
      </c>
      <c r="AI185" s="12">
        <f>IF(AH185&gt;0,IF(AH185&lt;=eco,alpha*fck*(1-(1-AH185/eco)^n),alpha*fck),0)</f>
      </c>
      <c r="AJ185" s="30">
        <f>PM_Angle!$J$20+PM_Angle!$K$20*$C185+PM_Angle!$L$20*$B185</f>
      </c>
      <c r="AK185" s="12">
        <f>IF(AJ185&gt;0,IF(AJ185&lt;=eco,alpha*fck*(1-(1-AJ185/eco)^n),alpha*fck),0)</f>
      </c>
      <c r="AL185" s="30">
        <f>PM_Angle!$J$21+PM_Angle!$K$21*$C185+PM_Angle!$L$21*$B185</f>
      </c>
      <c r="AM185" s="12">
        <f>IF(AL185&gt;0,IF(AL185&lt;=eco,alpha*fck*(1-(1-AL185/eco)^n),alpha*fck),0)</f>
      </c>
      <c r="AN185" s="30">
        <f>PM_Angle!$J$22+PM_Angle!$K$22*$C185+PM_Angle!$L$22*$B185</f>
      </c>
      <c r="AO185" s="12">
        <f>IF(AN185&gt;0,IF(AN185&lt;=eco,alpha*fck*(1-(1-AN185/eco)^n),alpha*fck),0)</f>
      </c>
      <c r="AP185" s="30">
        <f>PM_Angle!$J$23+PM_Angle!$K$23*$C185+PM_Angle!$L$23*$B185</f>
      </c>
      <c r="AQ185" s="12">
        <f>IF(AP185&gt;0,IF(AP185&lt;=eco,alpha*fck*(1-(1-AP185/eco)^n),alpha*fck),0)</f>
      </c>
      <c r="AR185" s="30">
        <f>PM_Angle!$J$24+PM_Angle!$K$24*$C185+PM_Angle!$L$24*$B185</f>
      </c>
      <c r="AS185" s="12">
        <f>IF(AR185&gt;0,IF(AR185&lt;=eco,alpha*fck*(1-(1-AR185/eco)^n),alpha*fck),0)</f>
      </c>
      <c r="AT185" s="30">
        <f>PM_Angle!$J$25+PM_Angle!$K$25*$C185+PM_Angle!$L$25*$B185</f>
      </c>
      <c r="AU185" s="12">
        <f>IF(AT185&gt;0,IF(AT185&lt;=eco,alpha*fck*(1-(1-AT185/eco)^n),alpha*fck),0)</f>
      </c>
    </row>
    <row r="186" spans="1:47" x14ac:dyDescent="0.25">
      <c r="A186">
        <f>Mesh!A183</f>
      </c>
      <c r="B186" s="12">
        <f>Mesh!B183</f>
      </c>
      <c r="C186" s="12">
        <f>Mesh!C183</f>
      </c>
      <c r="D186" s="12">
        <f>Mesh!D183</f>
      </c>
      <c r="E186" s="30">
        <f>INDEX(St_e0,Det+1)+INDEX(St_kx,Det+1)*C186+INDEX(St_ky,Det+1)*B186</f>
      </c>
      <c r="F186" s="12">
        <f>IF(E186&gt;0,IF(E186&lt;=eco,alpha*fck*(1-(1-E186/eco)^n),alpha*fck),0)</f>
      </c>
      <c r="G186" s="11">
        <f>F186*D186</f>
      </c>
      <c r="H186" s="11">
        <f>G186*C186</f>
      </c>
      <c r="I186" s="11">
        <f>G186*B186</f>
      </c>
      <c r="J186" s="30">
        <f>PM_Angle!$J$7+PM_Angle!$K$7*$C186+PM_Angle!$L$7*$B186</f>
      </c>
      <c r="K186" s="12">
        <f>IF(J186&gt;0,IF(J186&lt;=eco,alpha*fck*(1-(1-J186/eco)^n),alpha*fck),0)</f>
      </c>
      <c r="L186" s="30">
        <f>PM_Angle!$J$8+PM_Angle!$K$8*$C186+PM_Angle!$L$8*$B186</f>
      </c>
      <c r="M186" s="12">
        <f>IF(L186&gt;0,IF(L186&lt;=eco,alpha*fck*(1-(1-L186/eco)^n),alpha*fck),0)</f>
      </c>
      <c r="N186" s="30">
        <f>PM_Angle!$J$9+PM_Angle!$K$9*$C186+PM_Angle!$L$9*$B186</f>
      </c>
      <c r="O186" s="12">
        <f>IF(N186&gt;0,IF(N186&lt;=eco,alpha*fck*(1-(1-N186/eco)^n),alpha*fck),0)</f>
      </c>
      <c r="P186" s="30">
        <f>PM_Angle!$J$10+PM_Angle!$K$10*$C186+PM_Angle!$L$10*$B186</f>
      </c>
      <c r="Q186" s="12">
        <f>IF(P186&gt;0,IF(P186&lt;=eco,alpha*fck*(1-(1-P186/eco)^n),alpha*fck),0)</f>
      </c>
      <c r="R186" s="30">
        <f>PM_Angle!$J$11+PM_Angle!$K$11*$C186+PM_Angle!$L$11*$B186</f>
      </c>
      <c r="S186" s="12">
        <f>IF(R186&gt;0,IF(R186&lt;=eco,alpha*fck*(1-(1-R186/eco)^n),alpha*fck),0)</f>
      </c>
      <c r="T186" s="30">
        <f>PM_Angle!$J$12+PM_Angle!$K$12*$C186+PM_Angle!$L$12*$B186</f>
      </c>
      <c r="U186" s="12">
        <f>IF(T186&gt;0,IF(T186&lt;=eco,alpha*fck*(1-(1-T186/eco)^n),alpha*fck),0)</f>
      </c>
      <c r="V186" s="30">
        <f>PM_Angle!$J$13+PM_Angle!$K$13*$C186+PM_Angle!$L$13*$B186</f>
      </c>
      <c r="W186" s="12">
        <f>IF(V186&gt;0,IF(V186&lt;=eco,alpha*fck*(1-(1-V186/eco)^n),alpha*fck),0)</f>
      </c>
      <c r="X186" s="30">
        <f>PM_Angle!$J$14+PM_Angle!$K$14*$C186+PM_Angle!$L$14*$B186</f>
      </c>
      <c r="Y186" s="12">
        <f>IF(X186&gt;0,IF(X186&lt;=eco,alpha*fck*(1-(1-X186/eco)^n),alpha*fck),0)</f>
      </c>
      <c r="Z186" s="30">
        <f>PM_Angle!$J$15+PM_Angle!$K$15*$C186+PM_Angle!$L$15*$B186</f>
      </c>
      <c r="AA186" s="12">
        <f>IF(Z186&gt;0,IF(Z186&lt;=eco,alpha*fck*(1-(1-Z186/eco)^n),alpha*fck),0)</f>
      </c>
      <c r="AB186" s="30">
        <f>PM_Angle!$J$16+PM_Angle!$K$16*$C186+PM_Angle!$L$16*$B186</f>
      </c>
      <c r="AC186" s="12">
        <f>IF(AB186&gt;0,IF(AB186&lt;=eco,alpha*fck*(1-(1-AB186/eco)^n),alpha*fck),0)</f>
      </c>
      <c r="AD186" s="30">
        <f>PM_Angle!$J$17+PM_Angle!$K$17*$C186+PM_Angle!$L$17*$B186</f>
      </c>
      <c r="AE186" s="12">
        <f>IF(AD186&gt;0,IF(AD186&lt;=eco,alpha*fck*(1-(1-AD186/eco)^n),alpha*fck),0)</f>
      </c>
      <c r="AF186" s="30">
        <f>PM_Angle!$J$18+PM_Angle!$K$18*$C186+PM_Angle!$L$18*$B186</f>
      </c>
      <c r="AG186" s="12">
        <f>IF(AF186&gt;0,IF(AF186&lt;=eco,alpha*fck*(1-(1-AF186/eco)^n),alpha*fck),0)</f>
      </c>
      <c r="AH186" s="30">
        <f>PM_Angle!$J$19+PM_Angle!$K$19*$C186+PM_Angle!$L$19*$B186</f>
      </c>
      <c r="AI186" s="12">
        <f>IF(AH186&gt;0,IF(AH186&lt;=eco,alpha*fck*(1-(1-AH186/eco)^n),alpha*fck),0)</f>
      </c>
      <c r="AJ186" s="30">
        <f>PM_Angle!$J$20+PM_Angle!$K$20*$C186+PM_Angle!$L$20*$B186</f>
      </c>
      <c r="AK186" s="12">
        <f>IF(AJ186&gt;0,IF(AJ186&lt;=eco,alpha*fck*(1-(1-AJ186/eco)^n),alpha*fck),0)</f>
      </c>
      <c r="AL186" s="30">
        <f>PM_Angle!$J$21+PM_Angle!$K$21*$C186+PM_Angle!$L$21*$B186</f>
      </c>
      <c r="AM186" s="12">
        <f>IF(AL186&gt;0,IF(AL186&lt;=eco,alpha*fck*(1-(1-AL186/eco)^n),alpha*fck),0)</f>
      </c>
      <c r="AN186" s="30">
        <f>PM_Angle!$J$22+PM_Angle!$K$22*$C186+PM_Angle!$L$22*$B186</f>
      </c>
      <c r="AO186" s="12">
        <f>IF(AN186&gt;0,IF(AN186&lt;=eco,alpha*fck*(1-(1-AN186/eco)^n),alpha*fck),0)</f>
      </c>
      <c r="AP186" s="30">
        <f>PM_Angle!$J$23+PM_Angle!$K$23*$C186+PM_Angle!$L$23*$B186</f>
      </c>
      <c r="AQ186" s="12">
        <f>IF(AP186&gt;0,IF(AP186&lt;=eco,alpha*fck*(1-(1-AP186/eco)^n),alpha*fck),0)</f>
      </c>
      <c r="AR186" s="30">
        <f>PM_Angle!$J$24+PM_Angle!$K$24*$C186+PM_Angle!$L$24*$B186</f>
      </c>
      <c r="AS186" s="12">
        <f>IF(AR186&gt;0,IF(AR186&lt;=eco,alpha*fck*(1-(1-AR186/eco)^n),alpha*fck),0)</f>
      </c>
      <c r="AT186" s="30">
        <f>PM_Angle!$J$25+PM_Angle!$K$25*$C186+PM_Angle!$L$25*$B186</f>
      </c>
      <c r="AU186" s="12">
        <f>IF(AT186&gt;0,IF(AT186&lt;=eco,alpha*fck*(1-(1-AT186/eco)^n),alpha*fck),0)</f>
      </c>
    </row>
    <row r="187" spans="1:47" x14ac:dyDescent="0.25">
      <c r="A187">
        <f>Mesh!A184</f>
      </c>
      <c r="B187" s="12">
        <f>Mesh!B184</f>
      </c>
      <c r="C187" s="12">
        <f>Mesh!C184</f>
      </c>
      <c r="D187" s="12">
        <f>Mesh!D184</f>
      </c>
      <c r="E187" s="30">
        <f>INDEX(St_e0,Det+1)+INDEX(St_kx,Det+1)*C187+INDEX(St_ky,Det+1)*B187</f>
      </c>
      <c r="F187" s="12">
        <f>IF(E187&gt;0,IF(E187&lt;=eco,alpha*fck*(1-(1-E187/eco)^n),alpha*fck),0)</f>
      </c>
      <c r="G187" s="11">
        <f>F187*D187</f>
      </c>
      <c r="H187" s="11">
        <f>G187*C187</f>
      </c>
      <c r="I187" s="11">
        <f>G187*B187</f>
      </c>
      <c r="J187" s="30">
        <f>PM_Angle!$J$7+PM_Angle!$K$7*$C187+PM_Angle!$L$7*$B187</f>
      </c>
      <c r="K187" s="12">
        <f>IF(J187&gt;0,IF(J187&lt;=eco,alpha*fck*(1-(1-J187/eco)^n),alpha*fck),0)</f>
      </c>
      <c r="L187" s="30">
        <f>PM_Angle!$J$8+PM_Angle!$K$8*$C187+PM_Angle!$L$8*$B187</f>
      </c>
      <c r="M187" s="12">
        <f>IF(L187&gt;0,IF(L187&lt;=eco,alpha*fck*(1-(1-L187/eco)^n),alpha*fck),0)</f>
      </c>
      <c r="N187" s="30">
        <f>PM_Angle!$J$9+PM_Angle!$K$9*$C187+PM_Angle!$L$9*$B187</f>
      </c>
      <c r="O187" s="12">
        <f>IF(N187&gt;0,IF(N187&lt;=eco,alpha*fck*(1-(1-N187/eco)^n),alpha*fck),0)</f>
      </c>
      <c r="P187" s="30">
        <f>PM_Angle!$J$10+PM_Angle!$K$10*$C187+PM_Angle!$L$10*$B187</f>
      </c>
      <c r="Q187" s="12">
        <f>IF(P187&gt;0,IF(P187&lt;=eco,alpha*fck*(1-(1-P187/eco)^n),alpha*fck),0)</f>
      </c>
      <c r="R187" s="30">
        <f>PM_Angle!$J$11+PM_Angle!$K$11*$C187+PM_Angle!$L$11*$B187</f>
      </c>
      <c r="S187" s="12">
        <f>IF(R187&gt;0,IF(R187&lt;=eco,alpha*fck*(1-(1-R187/eco)^n),alpha*fck),0)</f>
      </c>
      <c r="T187" s="30">
        <f>PM_Angle!$J$12+PM_Angle!$K$12*$C187+PM_Angle!$L$12*$B187</f>
      </c>
      <c r="U187" s="12">
        <f>IF(T187&gt;0,IF(T187&lt;=eco,alpha*fck*(1-(1-T187/eco)^n),alpha*fck),0)</f>
      </c>
      <c r="V187" s="30">
        <f>PM_Angle!$J$13+PM_Angle!$K$13*$C187+PM_Angle!$L$13*$B187</f>
      </c>
      <c r="W187" s="12">
        <f>IF(V187&gt;0,IF(V187&lt;=eco,alpha*fck*(1-(1-V187/eco)^n),alpha*fck),0)</f>
      </c>
      <c r="X187" s="30">
        <f>PM_Angle!$J$14+PM_Angle!$K$14*$C187+PM_Angle!$L$14*$B187</f>
      </c>
      <c r="Y187" s="12">
        <f>IF(X187&gt;0,IF(X187&lt;=eco,alpha*fck*(1-(1-X187/eco)^n),alpha*fck),0)</f>
      </c>
      <c r="Z187" s="30">
        <f>PM_Angle!$J$15+PM_Angle!$K$15*$C187+PM_Angle!$L$15*$B187</f>
      </c>
      <c r="AA187" s="12">
        <f>IF(Z187&gt;0,IF(Z187&lt;=eco,alpha*fck*(1-(1-Z187/eco)^n),alpha*fck),0)</f>
      </c>
      <c r="AB187" s="30">
        <f>PM_Angle!$J$16+PM_Angle!$K$16*$C187+PM_Angle!$L$16*$B187</f>
      </c>
      <c r="AC187" s="12">
        <f>IF(AB187&gt;0,IF(AB187&lt;=eco,alpha*fck*(1-(1-AB187/eco)^n),alpha*fck),0)</f>
      </c>
      <c r="AD187" s="30">
        <f>PM_Angle!$J$17+PM_Angle!$K$17*$C187+PM_Angle!$L$17*$B187</f>
      </c>
      <c r="AE187" s="12">
        <f>IF(AD187&gt;0,IF(AD187&lt;=eco,alpha*fck*(1-(1-AD187/eco)^n),alpha*fck),0)</f>
      </c>
      <c r="AF187" s="30">
        <f>PM_Angle!$J$18+PM_Angle!$K$18*$C187+PM_Angle!$L$18*$B187</f>
      </c>
      <c r="AG187" s="12">
        <f>IF(AF187&gt;0,IF(AF187&lt;=eco,alpha*fck*(1-(1-AF187/eco)^n),alpha*fck),0)</f>
      </c>
      <c r="AH187" s="30">
        <f>PM_Angle!$J$19+PM_Angle!$K$19*$C187+PM_Angle!$L$19*$B187</f>
      </c>
      <c r="AI187" s="12">
        <f>IF(AH187&gt;0,IF(AH187&lt;=eco,alpha*fck*(1-(1-AH187/eco)^n),alpha*fck),0)</f>
      </c>
      <c r="AJ187" s="30">
        <f>PM_Angle!$J$20+PM_Angle!$K$20*$C187+PM_Angle!$L$20*$B187</f>
      </c>
      <c r="AK187" s="12">
        <f>IF(AJ187&gt;0,IF(AJ187&lt;=eco,alpha*fck*(1-(1-AJ187/eco)^n),alpha*fck),0)</f>
      </c>
      <c r="AL187" s="30">
        <f>PM_Angle!$J$21+PM_Angle!$K$21*$C187+PM_Angle!$L$21*$B187</f>
      </c>
      <c r="AM187" s="12">
        <f>IF(AL187&gt;0,IF(AL187&lt;=eco,alpha*fck*(1-(1-AL187/eco)^n),alpha*fck),0)</f>
      </c>
      <c r="AN187" s="30">
        <f>PM_Angle!$J$22+PM_Angle!$K$22*$C187+PM_Angle!$L$22*$B187</f>
      </c>
      <c r="AO187" s="12">
        <f>IF(AN187&gt;0,IF(AN187&lt;=eco,alpha*fck*(1-(1-AN187/eco)^n),alpha*fck),0)</f>
      </c>
      <c r="AP187" s="30">
        <f>PM_Angle!$J$23+PM_Angle!$K$23*$C187+PM_Angle!$L$23*$B187</f>
      </c>
      <c r="AQ187" s="12">
        <f>IF(AP187&gt;0,IF(AP187&lt;=eco,alpha*fck*(1-(1-AP187/eco)^n),alpha*fck),0)</f>
      </c>
      <c r="AR187" s="30">
        <f>PM_Angle!$J$24+PM_Angle!$K$24*$C187+PM_Angle!$L$24*$B187</f>
      </c>
      <c r="AS187" s="12">
        <f>IF(AR187&gt;0,IF(AR187&lt;=eco,alpha*fck*(1-(1-AR187/eco)^n),alpha*fck),0)</f>
      </c>
      <c r="AT187" s="30">
        <f>PM_Angle!$J$25+PM_Angle!$K$25*$C187+PM_Angle!$L$25*$B187</f>
      </c>
      <c r="AU187" s="12">
        <f>IF(AT187&gt;0,IF(AT187&lt;=eco,alpha*fck*(1-(1-AT187/eco)^n),alpha*fck),0)</f>
      </c>
    </row>
    <row r="188" spans="1:47" x14ac:dyDescent="0.25">
      <c r="A188">
        <f>Mesh!A185</f>
      </c>
      <c r="B188" s="12">
        <f>Mesh!B185</f>
      </c>
      <c r="C188" s="12">
        <f>Mesh!C185</f>
      </c>
      <c r="D188" s="12">
        <f>Mesh!D185</f>
      </c>
      <c r="E188" s="30">
        <f>INDEX(St_e0,Det+1)+INDEX(St_kx,Det+1)*C188+INDEX(St_ky,Det+1)*B188</f>
      </c>
      <c r="F188" s="12">
        <f>IF(E188&gt;0,IF(E188&lt;=eco,alpha*fck*(1-(1-E188/eco)^n),alpha*fck),0)</f>
      </c>
      <c r="G188" s="11">
        <f>F188*D188</f>
      </c>
      <c r="H188" s="11">
        <f>G188*C188</f>
      </c>
      <c r="I188" s="11">
        <f>G188*B188</f>
      </c>
      <c r="J188" s="30">
        <f>PM_Angle!$J$7+PM_Angle!$K$7*$C188+PM_Angle!$L$7*$B188</f>
      </c>
      <c r="K188" s="12">
        <f>IF(J188&gt;0,IF(J188&lt;=eco,alpha*fck*(1-(1-J188/eco)^n),alpha*fck),0)</f>
      </c>
      <c r="L188" s="30">
        <f>PM_Angle!$J$8+PM_Angle!$K$8*$C188+PM_Angle!$L$8*$B188</f>
      </c>
      <c r="M188" s="12">
        <f>IF(L188&gt;0,IF(L188&lt;=eco,alpha*fck*(1-(1-L188/eco)^n),alpha*fck),0)</f>
      </c>
      <c r="N188" s="30">
        <f>PM_Angle!$J$9+PM_Angle!$K$9*$C188+PM_Angle!$L$9*$B188</f>
      </c>
      <c r="O188" s="12">
        <f>IF(N188&gt;0,IF(N188&lt;=eco,alpha*fck*(1-(1-N188/eco)^n),alpha*fck),0)</f>
      </c>
      <c r="P188" s="30">
        <f>PM_Angle!$J$10+PM_Angle!$K$10*$C188+PM_Angle!$L$10*$B188</f>
      </c>
      <c r="Q188" s="12">
        <f>IF(P188&gt;0,IF(P188&lt;=eco,alpha*fck*(1-(1-P188/eco)^n),alpha*fck),0)</f>
      </c>
      <c r="R188" s="30">
        <f>PM_Angle!$J$11+PM_Angle!$K$11*$C188+PM_Angle!$L$11*$B188</f>
      </c>
      <c r="S188" s="12">
        <f>IF(R188&gt;0,IF(R188&lt;=eco,alpha*fck*(1-(1-R188/eco)^n),alpha*fck),0)</f>
      </c>
      <c r="T188" s="30">
        <f>PM_Angle!$J$12+PM_Angle!$K$12*$C188+PM_Angle!$L$12*$B188</f>
      </c>
      <c r="U188" s="12">
        <f>IF(T188&gt;0,IF(T188&lt;=eco,alpha*fck*(1-(1-T188/eco)^n),alpha*fck),0)</f>
      </c>
      <c r="V188" s="30">
        <f>PM_Angle!$J$13+PM_Angle!$K$13*$C188+PM_Angle!$L$13*$B188</f>
      </c>
      <c r="W188" s="12">
        <f>IF(V188&gt;0,IF(V188&lt;=eco,alpha*fck*(1-(1-V188/eco)^n),alpha*fck),0)</f>
      </c>
      <c r="X188" s="30">
        <f>PM_Angle!$J$14+PM_Angle!$K$14*$C188+PM_Angle!$L$14*$B188</f>
      </c>
      <c r="Y188" s="12">
        <f>IF(X188&gt;0,IF(X188&lt;=eco,alpha*fck*(1-(1-X188/eco)^n),alpha*fck),0)</f>
      </c>
      <c r="Z188" s="30">
        <f>PM_Angle!$J$15+PM_Angle!$K$15*$C188+PM_Angle!$L$15*$B188</f>
      </c>
      <c r="AA188" s="12">
        <f>IF(Z188&gt;0,IF(Z188&lt;=eco,alpha*fck*(1-(1-Z188/eco)^n),alpha*fck),0)</f>
      </c>
      <c r="AB188" s="30">
        <f>PM_Angle!$J$16+PM_Angle!$K$16*$C188+PM_Angle!$L$16*$B188</f>
      </c>
      <c r="AC188" s="12">
        <f>IF(AB188&gt;0,IF(AB188&lt;=eco,alpha*fck*(1-(1-AB188/eco)^n),alpha*fck),0)</f>
      </c>
      <c r="AD188" s="30">
        <f>PM_Angle!$J$17+PM_Angle!$K$17*$C188+PM_Angle!$L$17*$B188</f>
      </c>
      <c r="AE188" s="12">
        <f>IF(AD188&gt;0,IF(AD188&lt;=eco,alpha*fck*(1-(1-AD188/eco)^n),alpha*fck),0)</f>
      </c>
      <c r="AF188" s="30">
        <f>PM_Angle!$J$18+PM_Angle!$K$18*$C188+PM_Angle!$L$18*$B188</f>
      </c>
      <c r="AG188" s="12">
        <f>IF(AF188&gt;0,IF(AF188&lt;=eco,alpha*fck*(1-(1-AF188/eco)^n),alpha*fck),0)</f>
      </c>
      <c r="AH188" s="30">
        <f>PM_Angle!$J$19+PM_Angle!$K$19*$C188+PM_Angle!$L$19*$B188</f>
      </c>
      <c r="AI188" s="12">
        <f>IF(AH188&gt;0,IF(AH188&lt;=eco,alpha*fck*(1-(1-AH188/eco)^n),alpha*fck),0)</f>
      </c>
      <c r="AJ188" s="30">
        <f>PM_Angle!$J$20+PM_Angle!$K$20*$C188+PM_Angle!$L$20*$B188</f>
      </c>
      <c r="AK188" s="12">
        <f>IF(AJ188&gt;0,IF(AJ188&lt;=eco,alpha*fck*(1-(1-AJ188/eco)^n),alpha*fck),0)</f>
      </c>
      <c r="AL188" s="30">
        <f>PM_Angle!$J$21+PM_Angle!$K$21*$C188+PM_Angle!$L$21*$B188</f>
      </c>
      <c r="AM188" s="12">
        <f>IF(AL188&gt;0,IF(AL188&lt;=eco,alpha*fck*(1-(1-AL188/eco)^n),alpha*fck),0)</f>
      </c>
      <c r="AN188" s="30">
        <f>PM_Angle!$J$22+PM_Angle!$K$22*$C188+PM_Angle!$L$22*$B188</f>
      </c>
      <c r="AO188" s="12">
        <f>IF(AN188&gt;0,IF(AN188&lt;=eco,alpha*fck*(1-(1-AN188/eco)^n),alpha*fck),0)</f>
      </c>
      <c r="AP188" s="30">
        <f>PM_Angle!$J$23+PM_Angle!$K$23*$C188+PM_Angle!$L$23*$B188</f>
      </c>
      <c r="AQ188" s="12">
        <f>IF(AP188&gt;0,IF(AP188&lt;=eco,alpha*fck*(1-(1-AP188/eco)^n),alpha*fck),0)</f>
      </c>
      <c r="AR188" s="30">
        <f>PM_Angle!$J$24+PM_Angle!$K$24*$C188+PM_Angle!$L$24*$B188</f>
      </c>
      <c r="AS188" s="12">
        <f>IF(AR188&gt;0,IF(AR188&lt;=eco,alpha*fck*(1-(1-AR188/eco)^n),alpha*fck),0)</f>
      </c>
      <c r="AT188" s="30">
        <f>PM_Angle!$J$25+PM_Angle!$K$25*$C188+PM_Angle!$L$25*$B188</f>
      </c>
      <c r="AU188" s="12">
        <f>IF(AT188&gt;0,IF(AT188&lt;=eco,alpha*fck*(1-(1-AT188/eco)^n),alpha*fck),0)</f>
      </c>
    </row>
    <row r="189" spans="1:47" x14ac:dyDescent="0.25">
      <c r="A189">
        <f>Mesh!A186</f>
      </c>
      <c r="B189" s="12">
        <f>Mesh!B186</f>
      </c>
      <c r="C189" s="12">
        <f>Mesh!C186</f>
      </c>
      <c r="D189" s="12">
        <f>Mesh!D186</f>
      </c>
      <c r="E189" s="30">
        <f>INDEX(St_e0,Det+1)+INDEX(St_kx,Det+1)*C189+INDEX(St_ky,Det+1)*B189</f>
      </c>
      <c r="F189" s="12">
        <f>IF(E189&gt;0,IF(E189&lt;=eco,alpha*fck*(1-(1-E189/eco)^n),alpha*fck),0)</f>
      </c>
      <c r="G189" s="11">
        <f>F189*D189</f>
      </c>
      <c r="H189" s="11">
        <f>G189*C189</f>
      </c>
      <c r="I189" s="11">
        <f>G189*B189</f>
      </c>
      <c r="J189" s="30">
        <f>PM_Angle!$J$7+PM_Angle!$K$7*$C189+PM_Angle!$L$7*$B189</f>
      </c>
      <c r="K189" s="12">
        <f>IF(J189&gt;0,IF(J189&lt;=eco,alpha*fck*(1-(1-J189/eco)^n),alpha*fck),0)</f>
      </c>
      <c r="L189" s="30">
        <f>PM_Angle!$J$8+PM_Angle!$K$8*$C189+PM_Angle!$L$8*$B189</f>
      </c>
      <c r="M189" s="12">
        <f>IF(L189&gt;0,IF(L189&lt;=eco,alpha*fck*(1-(1-L189/eco)^n),alpha*fck),0)</f>
      </c>
      <c r="N189" s="30">
        <f>PM_Angle!$J$9+PM_Angle!$K$9*$C189+PM_Angle!$L$9*$B189</f>
      </c>
      <c r="O189" s="12">
        <f>IF(N189&gt;0,IF(N189&lt;=eco,alpha*fck*(1-(1-N189/eco)^n),alpha*fck),0)</f>
      </c>
      <c r="P189" s="30">
        <f>PM_Angle!$J$10+PM_Angle!$K$10*$C189+PM_Angle!$L$10*$B189</f>
      </c>
      <c r="Q189" s="12">
        <f>IF(P189&gt;0,IF(P189&lt;=eco,alpha*fck*(1-(1-P189/eco)^n),alpha*fck),0)</f>
      </c>
      <c r="R189" s="30">
        <f>PM_Angle!$J$11+PM_Angle!$K$11*$C189+PM_Angle!$L$11*$B189</f>
      </c>
      <c r="S189" s="12">
        <f>IF(R189&gt;0,IF(R189&lt;=eco,alpha*fck*(1-(1-R189/eco)^n),alpha*fck),0)</f>
      </c>
      <c r="T189" s="30">
        <f>PM_Angle!$J$12+PM_Angle!$K$12*$C189+PM_Angle!$L$12*$B189</f>
      </c>
      <c r="U189" s="12">
        <f>IF(T189&gt;0,IF(T189&lt;=eco,alpha*fck*(1-(1-T189/eco)^n),alpha*fck),0)</f>
      </c>
      <c r="V189" s="30">
        <f>PM_Angle!$J$13+PM_Angle!$K$13*$C189+PM_Angle!$L$13*$B189</f>
      </c>
      <c r="W189" s="12">
        <f>IF(V189&gt;0,IF(V189&lt;=eco,alpha*fck*(1-(1-V189/eco)^n),alpha*fck),0)</f>
      </c>
      <c r="X189" s="30">
        <f>PM_Angle!$J$14+PM_Angle!$K$14*$C189+PM_Angle!$L$14*$B189</f>
      </c>
      <c r="Y189" s="12">
        <f>IF(X189&gt;0,IF(X189&lt;=eco,alpha*fck*(1-(1-X189/eco)^n),alpha*fck),0)</f>
      </c>
      <c r="Z189" s="30">
        <f>PM_Angle!$J$15+PM_Angle!$K$15*$C189+PM_Angle!$L$15*$B189</f>
      </c>
      <c r="AA189" s="12">
        <f>IF(Z189&gt;0,IF(Z189&lt;=eco,alpha*fck*(1-(1-Z189/eco)^n),alpha*fck),0)</f>
      </c>
      <c r="AB189" s="30">
        <f>PM_Angle!$J$16+PM_Angle!$K$16*$C189+PM_Angle!$L$16*$B189</f>
      </c>
      <c r="AC189" s="12">
        <f>IF(AB189&gt;0,IF(AB189&lt;=eco,alpha*fck*(1-(1-AB189/eco)^n),alpha*fck),0)</f>
      </c>
      <c r="AD189" s="30">
        <f>PM_Angle!$J$17+PM_Angle!$K$17*$C189+PM_Angle!$L$17*$B189</f>
      </c>
      <c r="AE189" s="12">
        <f>IF(AD189&gt;0,IF(AD189&lt;=eco,alpha*fck*(1-(1-AD189/eco)^n),alpha*fck),0)</f>
      </c>
      <c r="AF189" s="30">
        <f>PM_Angle!$J$18+PM_Angle!$K$18*$C189+PM_Angle!$L$18*$B189</f>
      </c>
      <c r="AG189" s="12">
        <f>IF(AF189&gt;0,IF(AF189&lt;=eco,alpha*fck*(1-(1-AF189/eco)^n),alpha*fck),0)</f>
      </c>
      <c r="AH189" s="30">
        <f>PM_Angle!$J$19+PM_Angle!$K$19*$C189+PM_Angle!$L$19*$B189</f>
      </c>
      <c r="AI189" s="12">
        <f>IF(AH189&gt;0,IF(AH189&lt;=eco,alpha*fck*(1-(1-AH189/eco)^n),alpha*fck),0)</f>
      </c>
      <c r="AJ189" s="30">
        <f>PM_Angle!$J$20+PM_Angle!$K$20*$C189+PM_Angle!$L$20*$B189</f>
      </c>
      <c r="AK189" s="12">
        <f>IF(AJ189&gt;0,IF(AJ189&lt;=eco,alpha*fck*(1-(1-AJ189/eco)^n),alpha*fck),0)</f>
      </c>
      <c r="AL189" s="30">
        <f>PM_Angle!$J$21+PM_Angle!$K$21*$C189+PM_Angle!$L$21*$B189</f>
      </c>
      <c r="AM189" s="12">
        <f>IF(AL189&gt;0,IF(AL189&lt;=eco,alpha*fck*(1-(1-AL189/eco)^n),alpha*fck),0)</f>
      </c>
      <c r="AN189" s="30">
        <f>PM_Angle!$J$22+PM_Angle!$K$22*$C189+PM_Angle!$L$22*$B189</f>
      </c>
      <c r="AO189" s="12">
        <f>IF(AN189&gt;0,IF(AN189&lt;=eco,alpha*fck*(1-(1-AN189/eco)^n),alpha*fck),0)</f>
      </c>
      <c r="AP189" s="30">
        <f>PM_Angle!$J$23+PM_Angle!$K$23*$C189+PM_Angle!$L$23*$B189</f>
      </c>
      <c r="AQ189" s="12">
        <f>IF(AP189&gt;0,IF(AP189&lt;=eco,alpha*fck*(1-(1-AP189/eco)^n),alpha*fck),0)</f>
      </c>
      <c r="AR189" s="30">
        <f>PM_Angle!$J$24+PM_Angle!$K$24*$C189+PM_Angle!$L$24*$B189</f>
      </c>
      <c r="AS189" s="12">
        <f>IF(AR189&gt;0,IF(AR189&lt;=eco,alpha*fck*(1-(1-AR189/eco)^n),alpha*fck),0)</f>
      </c>
      <c r="AT189" s="30">
        <f>PM_Angle!$J$25+PM_Angle!$K$25*$C189+PM_Angle!$L$25*$B189</f>
      </c>
      <c r="AU189" s="12">
        <f>IF(AT189&gt;0,IF(AT189&lt;=eco,alpha*fck*(1-(1-AT189/eco)^n),alpha*fck),0)</f>
      </c>
    </row>
    <row r="190" spans="1:47" x14ac:dyDescent="0.25">
      <c r="A190">
        <f>Mesh!A187</f>
      </c>
      <c r="B190" s="12">
        <f>Mesh!B187</f>
      </c>
      <c r="C190" s="12">
        <f>Mesh!C187</f>
      </c>
      <c r="D190" s="12">
        <f>Mesh!D187</f>
      </c>
      <c r="E190" s="30">
        <f>INDEX(St_e0,Det+1)+INDEX(St_kx,Det+1)*C190+INDEX(St_ky,Det+1)*B190</f>
      </c>
      <c r="F190" s="12">
        <f>IF(E190&gt;0,IF(E190&lt;=eco,alpha*fck*(1-(1-E190/eco)^n),alpha*fck),0)</f>
      </c>
      <c r="G190" s="11">
        <f>F190*D190</f>
      </c>
      <c r="H190" s="11">
        <f>G190*C190</f>
      </c>
      <c r="I190" s="11">
        <f>G190*B190</f>
      </c>
      <c r="J190" s="30">
        <f>PM_Angle!$J$7+PM_Angle!$K$7*$C190+PM_Angle!$L$7*$B190</f>
      </c>
      <c r="K190" s="12">
        <f>IF(J190&gt;0,IF(J190&lt;=eco,alpha*fck*(1-(1-J190/eco)^n),alpha*fck),0)</f>
      </c>
      <c r="L190" s="30">
        <f>PM_Angle!$J$8+PM_Angle!$K$8*$C190+PM_Angle!$L$8*$B190</f>
      </c>
      <c r="M190" s="12">
        <f>IF(L190&gt;0,IF(L190&lt;=eco,alpha*fck*(1-(1-L190/eco)^n),alpha*fck),0)</f>
      </c>
      <c r="N190" s="30">
        <f>PM_Angle!$J$9+PM_Angle!$K$9*$C190+PM_Angle!$L$9*$B190</f>
      </c>
      <c r="O190" s="12">
        <f>IF(N190&gt;0,IF(N190&lt;=eco,alpha*fck*(1-(1-N190/eco)^n),alpha*fck),0)</f>
      </c>
      <c r="P190" s="30">
        <f>PM_Angle!$J$10+PM_Angle!$K$10*$C190+PM_Angle!$L$10*$B190</f>
      </c>
      <c r="Q190" s="12">
        <f>IF(P190&gt;0,IF(P190&lt;=eco,alpha*fck*(1-(1-P190/eco)^n),alpha*fck),0)</f>
      </c>
      <c r="R190" s="30">
        <f>PM_Angle!$J$11+PM_Angle!$K$11*$C190+PM_Angle!$L$11*$B190</f>
      </c>
      <c r="S190" s="12">
        <f>IF(R190&gt;0,IF(R190&lt;=eco,alpha*fck*(1-(1-R190/eco)^n),alpha*fck),0)</f>
      </c>
      <c r="T190" s="30">
        <f>PM_Angle!$J$12+PM_Angle!$K$12*$C190+PM_Angle!$L$12*$B190</f>
      </c>
      <c r="U190" s="12">
        <f>IF(T190&gt;0,IF(T190&lt;=eco,alpha*fck*(1-(1-T190/eco)^n),alpha*fck),0)</f>
      </c>
      <c r="V190" s="30">
        <f>PM_Angle!$J$13+PM_Angle!$K$13*$C190+PM_Angle!$L$13*$B190</f>
      </c>
      <c r="W190" s="12">
        <f>IF(V190&gt;0,IF(V190&lt;=eco,alpha*fck*(1-(1-V190/eco)^n),alpha*fck),0)</f>
      </c>
      <c r="X190" s="30">
        <f>PM_Angle!$J$14+PM_Angle!$K$14*$C190+PM_Angle!$L$14*$B190</f>
      </c>
      <c r="Y190" s="12">
        <f>IF(X190&gt;0,IF(X190&lt;=eco,alpha*fck*(1-(1-X190/eco)^n),alpha*fck),0)</f>
      </c>
      <c r="Z190" s="30">
        <f>PM_Angle!$J$15+PM_Angle!$K$15*$C190+PM_Angle!$L$15*$B190</f>
      </c>
      <c r="AA190" s="12">
        <f>IF(Z190&gt;0,IF(Z190&lt;=eco,alpha*fck*(1-(1-Z190/eco)^n),alpha*fck),0)</f>
      </c>
      <c r="AB190" s="30">
        <f>PM_Angle!$J$16+PM_Angle!$K$16*$C190+PM_Angle!$L$16*$B190</f>
      </c>
      <c r="AC190" s="12">
        <f>IF(AB190&gt;0,IF(AB190&lt;=eco,alpha*fck*(1-(1-AB190/eco)^n),alpha*fck),0)</f>
      </c>
      <c r="AD190" s="30">
        <f>PM_Angle!$J$17+PM_Angle!$K$17*$C190+PM_Angle!$L$17*$B190</f>
      </c>
      <c r="AE190" s="12">
        <f>IF(AD190&gt;0,IF(AD190&lt;=eco,alpha*fck*(1-(1-AD190/eco)^n),alpha*fck),0)</f>
      </c>
      <c r="AF190" s="30">
        <f>PM_Angle!$J$18+PM_Angle!$K$18*$C190+PM_Angle!$L$18*$B190</f>
      </c>
      <c r="AG190" s="12">
        <f>IF(AF190&gt;0,IF(AF190&lt;=eco,alpha*fck*(1-(1-AF190/eco)^n),alpha*fck),0)</f>
      </c>
      <c r="AH190" s="30">
        <f>PM_Angle!$J$19+PM_Angle!$K$19*$C190+PM_Angle!$L$19*$B190</f>
      </c>
      <c r="AI190" s="12">
        <f>IF(AH190&gt;0,IF(AH190&lt;=eco,alpha*fck*(1-(1-AH190/eco)^n),alpha*fck),0)</f>
      </c>
      <c r="AJ190" s="30">
        <f>PM_Angle!$J$20+PM_Angle!$K$20*$C190+PM_Angle!$L$20*$B190</f>
      </c>
      <c r="AK190" s="12">
        <f>IF(AJ190&gt;0,IF(AJ190&lt;=eco,alpha*fck*(1-(1-AJ190/eco)^n),alpha*fck),0)</f>
      </c>
      <c r="AL190" s="30">
        <f>PM_Angle!$J$21+PM_Angle!$K$21*$C190+PM_Angle!$L$21*$B190</f>
      </c>
      <c r="AM190" s="12">
        <f>IF(AL190&gt;0,IF(AL190&lt;=eco,alpha*fck*(1-(1-AL190/eco)^n),alpha*fck),0)</f>
      </c>
      <c r="AN190" s="30">
        <f>PM_Angle!$J$22+PM_Angle!$K$22*$C190+PM_Angle!$L$22*$B190</f>
      </c>
      <c r="AO190" s="12">
        <f>IF(AN190&gt;0,IF(AN190&lt;=eco,alpha*fck*(1-(1-AN190/eco)^n),alpha*fck),0)</f>
      </c>
      <c r="AP190" s="30">
        <f>PM_Angle!$J$23+PM_Angle!$K$23*$C190+PM_Angle!$L$23*$B190</f>
      </c>
      <c r="AQ190" s="12">
        <f>IF(AP190&gt;0,IF(AP190&lt;=eco,alpha*fck*(1-(1-AP190/eco)^n),alpha*fck),0)</f>
      </c>
      <c r="AR190" s="30">
        <f>PM_Angle!$J$24+PM_Angle!$K$24*$C190+PM_Angle!$L$24*$B190</f>
      </c>
      <c r="AS190" s="12">
        <f>IF(AR190&gt;0,IF(AR190&lt;=eco,alpha*fck*(1-(1-AR190/eco)^n),alpha*fck),0)</f>
      </c>
      <c r="AT190" s="30">
        <f>PM_Angle!$J$25+PM_Angle!$K$25*$C190+PM_Angle!$L$25*$B190</f>
      </c>
      <c r="AU190" s="12">
        <f>IF(AT190&gt;0,IF(AT190&lt;=eco,alpha*fck*(1-(1-AT190/eco)^n),alpha*fck),0)</f>
      </c>
    </row>
    <row r="191" spans="1:47" x14ac:dyDescent="0.25">
      <c r="A191">
        <f>Mesh!A188</f>
      </c>
      <c r="B191" s="12">
        <f>Mesh!B188</f>
      </c>
      <c r="C191" s="12">
        <f>Mesh!C188</f>
      </c>
      <c r="D191" s="12">
        <f>Mesh!D188</f>
      </c>
      <c r="E191" s="30">
        <f>INDEX(St_e0,Det+1)+INDEX(St_kx,Det+1)*C191+INDEX(St_ky,Det+1)*B191</f>
      </c>
      <c r="F191" s="12">
        <f>IF(E191&gt;0,IF(E191&lt;=eco,alpha*fck*(1-(1-E191/eco)^n),alpha*fck),0)</f>
      </c>
      <c r="G191" s="11">
        <f>F191*D191</f>
      </c>
      <c r="H191" s="11">
        <f>G191*C191</f>
      </c>
      <c r="I191" s="11">
        <f>G191*B191</f>
      </c>
      <c r="J191" s="30">
        <f>PM_Angle!$J$7+PM_Angle!$K$7*$C191+PM_Angle!$L$7*$B191</f>
      </c>
      <c r="K191" s="12">
        <f>IF(J191&gt;0,IF(J191&lt;=eco,alpha*fck*(1-(1-J191/eco)^n),alpha*fck),0)</f>
      </c>
      <c r="L191" s="30">
        <f>PM_Angle!$J$8+PM_Angle!$K$8*$C191+PM_Angle!$L$8*$B191</f>
      </c>
      <c r="M191" s="12">
        <f>IF(L191&gt;0,IF(L191&lt;=eco,alpha*fck*(1-(1-L191/eco)^n),alpha*fck),0)</f>
      </c>
      <c r="N191" s="30">
        <f>PM_Angle!$J$9+PM_Angle!$K$9*$C191+PM_Angle!$L$9*$B191</f>
      </c>
      <c r="O191" s="12">
        <f>IF(N191&gt;0,IF(N191&lt;=eco,alpha*fck*(1-(1-N191/eco)^n),alpha*fck),0)</f>
      </c>
      <c r="P191" s="30">
        <f>PM_Angle!$J$10+PM_Angle!$K$10*$C191+PM_Angle!$L$10*$B191</f>
      </c>
      <c r="Q191" s="12">
        <f>IF(P191&gt;0,IF(P191&lt;=eco,alpha*fck*(1-(1-P191/eco)^n),alpha*fck),0)</f>
      </c>
      <c r="R191" s="30">
        <f>PM_Angle!$J$11+PM_Angle!$K$11*$C191+PM_Angle!$L$11*$B191</f>
      </c>
      <c r="S191" s="12">
        <f>IF(R191&gt;0,IF(R191&lt;=eco,alpha*fck*(1-(1-R191/eco)^n),alpha*fck),0)</f>
      </c>
      <c r="T191" s="30">
        <f>PM_Angle!$J$12+PM_Angle!$K$12*$C191+PM_Angle!$L$12*$B191</f>
      </c>
      <c r="U191" s="12">
        <f>IF(T191&gt;0,IF(T191&lt;=eco,alpha*fck*(1-(1-T191/eco)^n),alpha*fck),0)</f>
      </c>
      <c r="V191" s="30">
        <f>PM_Angle!$J$13+PM_Angle!$K$13*$C191+PM_Angle!$L$13*$B191</f>
      </c>
      <c r="W191" s="12">
        <f>IF(V191&gt;0,IF(V191&lt;=eco,alpha*fck*(1-(1-V191/eco)^n),alpha*fck),0)</f>
      </c>
      <c r="X191" s="30">
        <f>PM_Angle!$J$14+PM_Angle!$K$14*$C191+PM_Angle!$L$14*$B191</f>
      </c>
      <c r="Y191" s="12">
        <f>IF(X191&gt;0,IF(X191&lt;=eco,alpha*fck*(1-(1-X191/eco)^n),alpha*fck),0)</f>
      </c>
      <c r="Z191" s="30">
        <f>PM_Angle!$J$15+PM_Angle!$K$15*$C191+PM_Angle!$L$15*$B191</f>
      </c>
      <c r="AA191" s="12">
        <f>IF(Z191&gt;0,IF(Z191&lt;=eco,alpha*fck*(1-(1-Z191/eco)^n),alpha*fck),0)</f>
      </c>
      <c r="AB191" s="30">
        <f>PM_Angle!$J$16+PM_Angle!$K$16*$C191+PM_Angle!$L$16*$B191</f>
      </c>
      <c r="AC191" s="12">
        <f>IF(AB191&gt;0,IF(AB191&lt;=eco,alpha*fck*(1-(1-AB191/eco)^n),alpha*fck),0)</f>
      </c>
      <c r="AD191" s="30">
        <f>PM_Angle!$J$17+PM_Angle!$K$17*$C191+PM_Angle!$L$17*$B191</f>
      </c>
      <c r="AE191" s="12">
        <f>IF(AD191&gt;0,IF(AD191&lt;=eco,alpha*fck*(1-(1-AD191/eco)^n),alpha*fck),0)</f>
      </c>
      <c r="AF191" s="30">
        <f>PM_Angle!$J$18+PM_Angle!$K$18*$C191+PM_Angle!$L$18*$B191</f>
      </c>
      <c r="AG191" s="12">
        <f>IF(AF191&gt;0,IF(AF191&lt;=eco,alpha*fck*(1-(1-AF191/eco)^n),alpha*fck),0)</f>
      </c>
      <c r="AH191" s="30">
        <f>PM_Angle!$J$19+PM_Angle!$K$19*$C191+PM_Angle!$L$19*$B191</f>
      </c>
      <c r="AI191" s="12">
        <f>IF(AH191&gt;0,IF(AH191&lt;=eco,alpha*fck*(1-(1-AH191/eco)^n),alpha*fck),0)</f>
      </c>
      <c r="AJ191" s="30">
        <f>PM_Angle!$J$20+PM_Angle!$K$20*$C191+PM_Angle!$L$20*$B191</f>
      </c>
      <c r="AK191" s="12">
        <f>IF(AJ191&gt;0,IF(AJ191&lt;=eco,alpha*fck*(1-(1-AJ191/eco)^n),alpha*fck),0)</f>
      </c>
      <c r="AL191" s="30">
        <f>PM_Angle!$J$21+PM_Angle!$K$21*$C191+PM_Angle!$L$21*$B191</f>
      </c>
      <c r="AM191" s="12">
        <f>IF(AL191&gt;0,IF(AL191&lt;=eco,alpha*fck*(1-(1-AL191/eco)^n),alpha*fck),0)</f>
      </c>
      <c r="AN191" s="30">
        <f>PM_Angle!$J$22+PM_Angle!$K$22*$C191+PM_Angle!$L$22*$B191</f>
      </c>
      <c r="AO191" s="12">
        <f>IF(AN191&gt;0,IF(AN191&lt;=eco,alpha*fck*(1-(1-AN191/eco)^n),alpha*fck),0)</f>
      </c>
      <c r="AP191" s="30">
        <f>PM_Angle!$J$23+PM_Angle!$K$23*$C191+PM_Angle!$L$23*$B191</f>
      </c>
      <c r="AQ191" s="12">
        <f>IF(AP191&gt;0,IF(AP191&lt;=eco,alpha*fck*(1-(1-AP191/eco)^n),alpha*fck),0)</f>
      </c>
      <c r="AR191" s="30">
        <f>PM_Angle!$J$24+PM_Angle!$K$24*$C191+PM_Angle!$L$24*$B191</f>
      </c>
      <c r="AS191" s="12">
        <f>IF(AR191&gt;0,IF(AR191&lt;=eco,alpha*fck*(1-(1-AR191/eco)^n),alpha*fck),0)</f>
      </c>
      <c r="AT191" s="30">
        <f>PM_Angle!$J$25+PM_Angle!$K$25*$C191+PM_Angle!$L$25*$B191</f>
      </c>
      <c r="AU191" s="12">
        <f>IF(AT191&gt;0,IF(AT191&lt;=eco,alpha*fck*(1-(1-AT191/eco)^n),alpha*fck),0)</f>
      </c>
    </row>
    <row r="192" spans="1:47" x14ac:dyDescent="0.25">
      <c r="A192">
        <f>Mesh!A189</f>
      </c>
      <c r="B192" s="12">
        <f>Mesh!B189</f>
      </c>
      <c r="C192" s="12">
        <f>Mesh!C189</f>
      </c>
      <c r="D192" s="12">
        <f>Mesh!D189</f>
      </c>
      <c r="E192" s="30">
        <f>INDEX(St_e0,Det+1)+INDEX(St_kx,Det+1)*C192+INDEX(St_ky,Det+1)*B192</f>
      </c>
      <c r="F192" s="12">
        <f>IF(E192&gt;0,IF(E192&lt;=eco,alpha*fck*(1-(1-E192/eco)^n),alpha*fck),0)</f>
      </c>
      <c r="G192" s="11">
        <f>F192*D192</f>
      </c>
      <c r="H192" s="11">
        <f>G192*C192</f>
      </c>
      <c r="I192" s="11">
        <f>G192*B192</f>
      </c>
      <c r="J192" s="30">
        <f>PM_Angle!$J$7+PM_Angle!$K$7*$C192+PM_Angle!$L$7*$B192</f>
      </c>
      <c r="K192" s="12">
        <f>IF(J192&gt;0,IF(J192&lt;=eco,alpha*fck*(1-(1-J192/eco)^n),alpha*fck),0)</f>
      </c>
      <c r="L192" s="30">
        <f>PM_Angle!$J$8+PM_Angle!$K$8*$C192+PM_Angle!$L$8*$B192</f>
      </c>
      <c r="M192" s="12">
        <f>IF(L192&gt;0,IF(L192&lt;=eco,alpha*fck*(1-(1-L192/eco)^n),alpha*fck),0)</f>
      </c>
      <c r="N192" s="30">
        <f>PM_Angle!$J$9+PM_Angle!$K$9*$C192+PM_Angle!$L$9*$B192</f>
      </c>
      <c r="O192" s="12">
        <f>IF(N192&gt;0,IF(N192&lt;=eco,alpha*fck*(1-(1-N192/eco)^n),alpha*fck),0)</f>
      </c>
      <c r="P192" s="30">
        <f>PM_Angle!$J$10+PM_Angle!$K$10*$C192+PM_Angle!$L$10*$B192</f>
      </c>
      <c r="Q192" s="12">
        <f>IF(P192&gt;0,IF(P192&lt;=eco,alpha*fck*(1-(1-P192/eco)^n),alpha*fck),0)</f>
      </c>
      <c r="R192" s="30">
        <f>PM_Angle!$J$11+PM_Angle!$K$11*$C192+PM_Angle!$L$11*$B192</f>
      </c>
      <c r="S192" s="12">
        <f>IF(R192&gt;0,IF(R192&lt;=eco,alpha*fck*(1-(1-R192/eco)^n),alpha*fck),0)</f>
      </c>
      <c r="T192" s="30">
        <f>PM_Angle!$J$12+PM_Angle!$K$12*$C192+PM_Angle!$L$12*$B192</f>
      </c>
      <c r="U192" s="12">
        <f>IF(T192&gt;0,IF(T192&lt;=eco,alpha*fck*(1-(1-T192/eco)^n),alpha*fck),0)</f>
      </c>
      <c r="V192" s="30">
        <f>PM_Angle!$J$13+PM_Angle!$K$13*$C192+PM_Angle!$L$13*$B192</f>
      </c>
      <c r="W192" s="12">
        <f>IF(V192&gt;0,IF(V192&lt;=eco,alpha*fck*(1-(1-V192/eco)^n),alpha*fck),0)</f>
      </c>
      <c r="X192" s="30">
        <f>PM_Angle!$J$14+PM_Angle!$K$14*$C192+PM_Angle!$L$14*$B192</f>
      </c>
      <c r="Y192" s="12">
        <f>IF(X192&gt;0,IF(X192&lt;=eco,alpha*fck*(1-(1-X192/eco)^n),alpha*fck),0)</f>
      </c>
      <c r="Z192" s="30">
        <f>PM_Angle!$J$15+PM_Angle!$K$15*$C192+PM_Angle!$L$15*$B192</f>
      </c>
      <c r="AA192" s="12">
        <f>IF(Z192&gt;0,IF(Z192&lt;=eco,alpha*fck*(1-(1-Z192/eco)^n),alpha*fck),0)</f>
      </c>
      <c r="AB192" s="30">
        <f>PM_Angle!$J$16+PM_Angle!$K$16*$C192+PM_Angle!$L$16*$B192</f>
      </c>
      <c r="AC192" s="12">
        <f>IF(AB192&gt;0,IF(AB192&lt;=eco,alpha*fck*(1-(1-AB192/eco)^n),alpha*fck),0)</f>
      </c>
      <c r="AD192" s="30">
        <f>PM_Angle!$J$17+PM_Angle!$K$17*$C192+PM_Angle!$L$17*$B192</f>
      </c>
      <c r="AE192" s="12">
        <f>IF(AD192&gt;0,IF(AD192&lt;=eco,alpha*fck*(1-(1-AD192/eco)^n),alpha*fck),0)</f>
      </c>
      <c r="AF192" s="30">
        <f>PM_Angle!$J$18+PM_Angle!$K$18*$C192+PM_Angle!$L$18*$B192</f>
      </c>
      <c r="AG192" s="12">
        <f>IF(AF192&gt;0,IF(AF192&lt;=eco,alpha*fck*(1-(1-AF192/eco)^n),alpha*fck),0)</f>
      </c>
      <c r="AH192" s="30">
        <f>PM_Angle!$J$19+PM_Angle!$K$19*$C192+PM_Angle!$L$19*$B192</f>
      </c>
      <c r="AI192" s="12">
        <f>IF(AH192&gt;0,IF(AH192&lt;=eco,alpha*fck*(1-(1-AH192/eco)^n),alpha*fck),0)</f>
      </c>
      <c r="AJ192" s="30">
        <f>PM_Angle!$J$20+PM_Angle!$K$20*$C192+PM_Angle!$L$20*$B192</f>
      </c>
      <c r="AK192" s="12">
        <f>IF(AJ192&gt;0,IF(AJ192&lt;=eco,alpha*fck*(1-(1-AJ192/eco)^n),alpha*fck),0)</f>
      </c>
      <c r="AL192" s="30">
        <f>PM_Angle!$J$21+PM_Angle!$K$21*$C192+PM_Angle!$L$21*$B192</f>
      </c>
      <c r="AM192" s="12">
        <f>IF(AL192&gt;0,IF(AL192&lt;=eco,alpha*fck*(1-(1-AL192/eco)^n),alpha*fck),0)</f>
      </c>
      <c r="AN192" s="30">
        <f>PM_Angle!$J$22+PM_Angle!$K$22*$C192+PM_Angle!$L$22*$B192</f>
      </c>
      <c r="AO192" s="12">
        <f>IF(AN192&gt;0,IF(AN192&lt;=eco,alpha*fck*(1-(1-AN192/eco)^n),alpha*fck),0)</f>
      </c>
      <c r="AP192" s="30">
        <f>PM_Angle!$J$23+PM_Angle!$K$23*$C192+PM_Angle!$L$23*$B192</f>
      </c>
      <c r="AQ192" s="12">
        <f>IF(AP192&gt;0,IF(AP192&lt;=eco,alpha*fck*(1-(1-AP192/eco)^n),alpha*fck),0)</f>
      </c>
      <c r="AR192" s="30">
        <f>PM_Angle!$J$24+PM_Angle!$K$24*$C192+PM_Angle!$L$24*$B192</f>
      </c>
      <c r="AS192" s="12">
        <f>IF(AR192&gt;0,IF(AR192&lt;=eco,alpha*fck*(1-(1-AR192/eco)^n),alpha*fck),0)</f>
      </c>
      <c r="AT192" s="30">
        <f>PM_Angle!$J$25+PM_Angle!$K$25*$C192+PM_Angle!$L$25*$B192</f>
      </c>
      <c r="AU192" s="12">
        <f>IF(AT192&gt;0,IF(AT192&lt;=eco,alpha*fck*(1-(1-AT192/eco)^n),alpha*fck),0)</f>
      </c>
    </row>
    <row r="193" spans="1:47" x14ac:dyDescent="0.25">
      <c r="A193">
        <f>Mesh!A190</f>
      </c>
      <c r="B193" s="12">
        <f>Mesh!B190</f>
      </c>
      <c r="C193" s="12">
        <f>Mesh!C190</f>
      </c>
      <c r="D193" s="12">
        <f>Mesh!D190</f>
      </c>
      <c r="E193" s="30">
        <f>INDEX(St_e0,Det+1)+INDEX(St_kx,Det+1)*C193+INDEX(St_ky,Det+1)*B193</f>
      </c>
      <c r="F193" s="12">
        <f>IF(E193&gt;0,IF(E193&lt;=eco,alpha*fck*(1-(1-E193/eco)^n),alpha*fck),0)</f>
      </c>
      <c r="G193" s="11">
        <f>F193*D193</f>
      </c>
      <c r="H193" s="11">
        <f>G193*C193</f>
      </c>
      <c r="I193" s="11">
        <f>G193*B193</f>
      </c>
      <c r="J193" s="30">
        <f>PM_Angle!$J$7+PM_Angle!$K$7*$C193+PM_Angle!$L$7*$B193</f>
      </c>
      <c r="K193" s="12">
        <f>IF(J193&gt;0,IF(J193&lt;=eco,alpha*fck*(1-(1-J193/eco)^n),alpha*fck),0)</f>
      </c>
      <c r="L193" s="30">
        <f>PM_Angle!$J$8+PM_Angle!$K$8*$C193+PM_Angle!$L$8*$B193</f>
      </c>
      <c r="M193" s="12">
        <f>IF(L193&gt;0,IF(L193&lt;=eco,alpha*fck*(1-(1-L193/eco)^n),alpha*fck),0)</f>
      </c>
      <c r="N193" s="30">
        <f>PM_Angle!$J$9+PM_Angle!$K$9*$C193+PM_Angle!$L$9*$B193</f>
      </c>
      <c r="O193" s="12">
        <f>IF(N193&gt;0,IF(N193&lt;=eco,alpha*fck*(1-(1-N193/eco)^n),alpha*fck),0)</f>
      </c>
      <c r="P193" s="30">
        <f>PM_Angle!$J$10+PM_Angle!$K$10*$C193+PM_Angle!$L$10*$B193</f>
      </c>
      <c r="Q193" s="12">
        <f>IF(P193&gt;0,IF(P193&lt;=eco,alpha*fck*(1-(1-P193/eco)^n),alpha*fck),0)</f>
      </c>
      <c r="R193" s="30">
        <f>PM_Angle!$J$11+PM_Angle!$K$11*$C193+PM_Angle!$L$11*$B193</f>
      </c>
      <c r="S193" s="12">
        <f>IF(R193&gt;0,IF(R193&lt;=eco,alpha*fck*(1-(1-R193/eco)^n),alpha*fck),0)</f>
      </c>
      <c r="T193" s="30">
        <f>PM_Angle!$J$12+PM_Angle!$K$12*$C193+PM_Angle!$L$12*$B193</f>
      </c>
      <c r="U193" s="12">
        <f>IF(T193&gt;0,IF(T193&lt;=eco,alpha*fck*(1-(1-T193/eco)^n),alpha*fck),0)</f>
      </c>
      <c r="V193" s="30">
        <f>PM_Angle!$J$13+PM_Angle!$K$13*$C193+PM_Angle!$L$13*$B193</f>
      </c>
      <c r="W193" s="12">
        <f>IF(V193&gt;0,IF(V193&lt;=eco,alpha*fck*(1-(1-V193/eco)^n),alpha*fck),0)</f>
      </c>
      <c r="X193" s="30">
        <f>PM_Angle!$J$14+PM_Angle!$K$14*$C193+PM_Angle!$L$14*$B193</f>
      </c>
      <c r="Y193" s="12">
        <f>IF(X193&gt;0,IF(X193&lt;=eco,alpha*fck*(1-(1-X193/eco)^n),alpha*fck),0)</f>
      </c>
      <c r="Z193" s="30">
        <f>PM_Angle!$J$15+PM_Angle!$K$15*$C193+PM_Angle!$L$15*$B193</f>
      </c>
      <c r="AA193" s="12">
        <f>IF(Z193&gt;0,IF(Z193&lt;=eco,alpha*fck*(1-(1-Z193/eco)^n),alpha*fck),0)</f>
      </c>
      <c r="AB193" s="30">
        <f>PM_Angle!$J$16+PM_Angle!$K$16*$C193+PM_Angle!$L$16*$B193</f>
      </c>
      <c r="AC193" s="12">
        <f>IF(AB193&gt;0,IF(AB193&lt;=eco,alpha*fck*(1-(1-AB193/eco)^n),alpha*fck),0)</f>
      </c>
      <c r="AD193" s="30">
        <f>PM_Angle!$J$17+PM_Angle!$K$17*$C193+PM_Angle!$L$17*$B193</f>
      </c>
      <c r="AE193" s="12">
        <f>IF(AD193&gt;0,IF(AD193&lt;=eco,alpha*fck*(1-(1-AD193/eco)^n),alpha*fck),0)</f>
      </c>
      <c r="AF193" s="30">
        <f>PM_Angle!$J$18+PM_Angle!$K$18*$C193+PM_Angle!$L$18*$B193</f>
      </c>
      <c r="AG193" s="12">
        <f>IF(AF193&gt;0,IF(AF193&lt;=eco,alpha*fck*(1-(1-AF193/eco)^n),alpha*fck),0)</f>
      </c>
      <c r="AH193" s="30">
        <f>PM_Angle!$J$19+PM_Angle!$K$19*$C193+PM_Angle!$L$19*$B193</f>
      </c>
      <c r="AI193" s="12">
        <f>IF(AH193&gt;0,IF(AH193&lt;=eco,alpha*fck*(1-(1-AH193/eco)^n),alpha*fck),0)</f>
      </c>
      <c r="AJ193" s="30">
        <f>PM_Angle!$J$20+PM_Angle!$K$20*$C193+PM_Angle!$L$20*$B193</f>
      </c>
      <c r="AK193" s="12">
        <f>IF(AJ193&gt;0,IF(AJ193&lt;=eco,alpha*fck*(1-(1-AJ193/eco)^n),alpha*fck),0)</f>
      </c>
      <c r="AL193" s="30">
        <f>PM_Angle!$J$21+PM_Angle!$K$21*$C193+PM_Angle!$L$21*$B193</f>
      </c>
      <c r="AM193" s="12">
        <f>IF(AL193&gt;0,IF(AL193&lt;=eco,alpha*fck*(1-(1-AL193/eco)^n),alpha*fck),0)</f>
      </c>
      <c r="AN193" s="30">
        <f>PM_Angle!$J$22+PM_Angle!$K$22*$C193+PM_Angle!$L$22*$B193</f>
      </c>
      <c r="AO193" s="12">
        <f>IF(AN193&gt;0,IF(AN193&lt;=eco,alpha*fck*(1-(1-AN193/eco)^n),alpha*fck),0)</f>
      </c>
      <c r="AP193" s="30">
        <f>PM_Angle!$J$23+PM_Angle!$K$23*$C193+PM_Angle!$L$23*$B193</f>
      </c>
      <c r="AQ193" s="12">
        <f>IF(AP193&gt;0,IF(AP193&lt;=eco,alpha*fck*(1-(1-AP193/eco)^n),alpha*fck),0)</f>
      </c>
      <c r="AR193" s="30">
        <f>PM_Angle!$J$24+PM_Angle!$K$24*$C193+PM_Angle!$L$24*$B193</f>
      </c>
      <c r="AS193" s="12">
        <f>IF(AR193&gt;0,IF(AR193&lt;=eco,alpha*fck*(1-(1-AR193/eco)^n),alpha*fck),0)</f>
      </c>
      <c r="AT193" s="30">
        <f>PM_Angle!$J$25+PM_Angle!$K$25*$C193+PM_Angle!$L$25*$B193</f>
      </c>
      <c r="AU193" s="12">
        <f>IF(AT193&gt;0,IF(AT193&lt;=eco,alpha*fck*(1-(1-AT193/eco)^n),alpha*fck),0)</f>
      </c>
    </row>
    <row r="194" spans="1:47" x14ac:dyDescent="0.25">
      <c r="A194">
        <f>Mesh!A191</f>
      </c>
      <c r="B194" s="12">
        <f>Mesh!B191</f>
      </c>
      <c r="C194" s="12">
        <f>Mesh!C191</f>
      </c>
      <c r="D194" s="12">
        <f>Mesh!D191</f>
      </c>
      <c r="E194" s="30">
        <f>INDEX(St_e0,Det+1)+INDEX(St_kx,Det+1)*C194+INDEX(St_ky,Det+1)*B194</f>
      </c>
      <c r="F194" s="12">
        <f>IF(E194&gt;0,IF(E194&lt;=eco,alpha*fck*(1-(1-E194/eco)^n),alpha*fck),0)</f>
      </c>
      <c r="G194" s="11">
        <f>F194*D194</f>
      </c>
      <c r="H194" s="11">
        <f>G194*C194</f>
      </c>
      <c r="I194" s="11">
        <f>G194*B194</f>
      </c>
      <c r="J194" s="30">
        <f>PM_Angle!$J$7+PM_Angle!$K$7*$C194+PM_Angle!$L$7*$B194</f>
      </c>
      <c r="K194" s="12">
        <f>IF(J194&gt;0,IF(J194&lt;=eco,alpha*fck*(1-(1-J194/eco)^n),alpha*fck),0)</f>
      </c>
      <c r="L194" s="30">
        <f>PM_Angle!$J$8+PM_Angle!$K$8*$C194+PM_Angle!$L$8*$B194</f>
      </c>
      <c r="M194" s="12">
        <f>IF(L194&gt;0,IF(L194&lt;=eco,alpha*fck*(1-(1-L194/eco)^n),alpha*fck),0)</f>
      </c>
      <c r="N194" s="30">
        <f>PM_Angle!$J$9+PM_Angle!$K$9*$C194+PM_Angle!$L$9*$B194</f>
      </c>
      <c r="O194" s="12">
        <f>IF(N194&gt;0,IF(N194&lt;=eco,alpha*fck*(1-(1-N194/eco)^n),alpha*fck),0)</f>
      </c>
      <c r="P194" s="30">
        <f>PM_Angle!$J$10+PM_Angle!$K$10*$C194+PM_Angle!$L$10*$B194</f>
      </c>
      <c r="Q194" s="12">
        <f>IF(P194&gt;0,IF(P194&lt;=eco,alpha*fck*(1-(1-P194/eco)^n),alpha*fck),0)</f>
      </c>
      <c r="R194" s="30">
        <f>PM_Angle!$J$11+PM_Angle!$K$11*$C194+PM_Angle!$L$11*$B194</f>
      </c>
      <c r="S194" s="12">
        <f>IF(R194&gt;0,IF(R194&lt;=eco,alpha*fck*(1-(1-R194/eco)^n),alpha*fck),0)</f>
      </c>
      <c r="T194" s="30">
        <f>PM_Angle!$J$12+PM_Angle!$K$12*$C194+PM_Angle!$L$12*$B194</f>
      </c>
      <c r="U194" s="12">
        <f>IF(T194&gt;0,IF(T194&lt;=eco,alpha*fck*(1-(1-T194/eco)^n),alpha*fck),0)</f>
      </c>
      <c r="V194" s="30">
        <f>PM_Angle!$J$13+PM_Angle!$K$13*$C194+PM_Angle!$L$13*$B194</f>
      </c>
      <c r="W194" s="12">
        <f>IF(V194&gt;0,IF(V194&lt;=eco,alpha*fck*(1-(1-V194/eco)^n),alpha*fck),0)</f>
      </c>
      <c r="X194" s="30">
        <f>PM_Angle!$J$14+PM_Angle!$K$14*$C194+PM_Angle!$L$14*$B194</f>
      </c>
      <c r="Y194" s="12">
        <f>IF(X194&gt;0,IF(X194&lt;=eco,alpha*fck*(1-(1-X194/eco)^n),alpha*fck),0)</f>
      </c>
      <c r="Z194" s="30">
        <f>PM_Angle!$J$15+PM_Angle!$K$15*$C194+PM_Angle!$L$15*$B194</f>
      </c>
      <c r="AA194" s="12">
        <f>IF(Z194&gt;0,IF(Z194&lt;=eco,alpha*fck*(1-(1-Z194/eco)^n),alpha*fck),0)</f>
      </c>
      <c r="AB194" s="30">
        <f>PM_Angle!$J$16+PM_Angle!$K$16*$C194+PM_Angle!$L$16*$B194</f>
      </c>
      <c r="AC194" s="12">
        <f>IF(AB194&gt;0,IF(AB194&lt;=eco,alpha*fck*(1-(1-AB194/eco)^n),alpha*fck),0)</f>
      </c>
      <c r="AD194" s="30">
        <f>PM_Angle!$J$17+PM_Angle!$K$17*$C194+PM_Angle!$L$17*$B194</f>
      </c>
      <c r="AE194" s="12">
        <f>IF(AD194&gt;0,IF(AD194&lt;=eco,alpha*fck*(1-(1-AD194/eco)^n),alpha*fck),0)</f>
      </c>
      <c r="AF194" s="30">
        <f>PM_Angle!$J$18+PM_Angle!$K$18*$C194+PM_Angle!$L$18*$B194</f>
      </c>
      <c r="AG194" s="12">
        <f>IF(AF194&gt;0,IF(AF194&lt;=eco,alpha*fck*(1-(1-AF194/eco)^n),alpha*fck),0)</f>
      </c>
      <c r="AH194" s="30">
        <f>PM_Angle!$J$19+PM_Angle!$K$19*$C194+PM_Angle!$L$19*$B194</f>
      </c>
      <c r="AI194" s="12">
        <f>IF(AH194&gt;0,IF(AH194&lt;=eco,alpha*fck*(1-(1-AH194/eco)^n),alpha*fck),0)</f>
      </c>
      <c r="AJ194" s="30">
        <f>PM_Angle!$J$20+PM_Angle!$K$20*$C194+PM_Angle!$L$20*$B194</f>
      </c>
      <c r="AK194" s="12">
        <f>IF(AJ194&gt;0,IF(AJ194&lt;=eco,alpha*fck*(1-(1-AJ194/eco)^n),alpha*fck),0)</f>
      </c>
      <c r="AL194" s="30">
        <f>PM_Angle!$J$21+PM_Angle!$K$21*$C194+PM_Angle!$L$21*$B194</f>
      </c>
      <c r="AM194" s="12">
        <f>IF(AL194&gt;0,IF(AL194&lt;=eco,alpha*fck*(1-(1-AL194/eco)^n),alpha*fck),0)</f>
      </c>
      <c r="AN194" s="30">
        <f>PM_Angle!$J$22+PM_Angle!$K$22*$C194+PM_Angle!$L$22*$B194</f>
      </c>
      <c r="AO194" s="12">
        <f>IF(AN194&gt;0,IF(AN194&lt;=eco,alpha*fck*(1-(1-AN194/eco)^n),alpha*fck),0)</f>
      </c>
      <c r="AP194" s="30">
        <f>PM_Angle!$J$23+PM_Angle!$K$23*$C194+PM_Angle!$L$23*$B194</f>
      </c>
      <c r="AQ194" s="12">
        <f>IF(AP194&gt;0,IF(AP194&lt;=eco,alpha*fck*(1-(1-AP194/eco)^n),alpha*fck),0)</f>
      </c>
      <c r="AR194" s="30">
        <f>PM_Angle!$J$24+PM_Angle!$K$24*$C194+PM_Angle!$L$24*$B194</f>
      </c>
      <c r="AS194" s="12">
        <f>IF(AR194&gt;0,IF(AR194&lt;=eco,alpha*fck*(1-(1-AR194/eco)^n),alpha*fck),0)</f>
      </c>
      <c r="AT194" s="30">
        <f>PM_Angle!$J$25+PM_Angle!$K$25*$C194+PM_Angle!$L$25*$B194</f>
      </c>
      <c r="AU194" s="12">
        <f>IF(AT194&gt;0,IF(AT194&lt;=eco,alpha*fck*(1-(1-AT194/eco)^n),alpha*fck),0)</f>
      </c>
    </row>
    <row r="195" spans="1:47" x14ac:dyDescent="0.25">
      <c r="A195">
        <f>Mesh!A192</f>
      </c>
      <c r="B195" s="12">
        <f>Mesh!B192</f>
      </c>
      <c r="C195" s="12">
        <f>Mesh!C192</f>
      </c>
      <c r="D195" s="12">
        <f>Mesh!D192</f>
      </c>
      <c r="E195" s="30">
        <f>INDEX(St_e0,Det+1)+INDEX(St_kx,Det+1)*C195+INDEX(St_ky,Det+1)*B195</f>
      </c>
      <c r="F195" s="12">
        <f>IF(E195&gt;0,IF(E195&lt;=eco,alpha*fck*(1-(1-E195/eco)^n),alpha*fck),0)</f>
      </c>
      <c r="G195" s="11">
        <f>F195*D195</f>
      </c>
      <c r="H195" s="11">
        <f>G195*C195</f>
      </c>
      <c r="I195" s="11">
        <f>G195*B195</f>
      </c>
      <c r="J195" s="30">
        <f>PM_Angle!$J$7+PM_Angle!$K$7*$C195+PM_Angle!$L$7*$B195</f>
      </c>
      <c r="K195" s="12">
        <f>IF(J195&gt;0,IF(J195&lt;=eco,alpha*fck*(1-(1-J195/eco)^n),alpha*fck),0)</f>
      </c>
      <c r="L195" s="30">
        <f>PM_Angle!$J$8+PM_Angle!$K$8*$C195+PM_Angle!$L$8*$B195</f>
      </c>
      <c r="M195" s="12">
        <f>IF(L195&gt;0,IF(L195&lt;=eco,alpha*fck*(1-(1-L195/eco)^n),alpha*fck),0)</f>
      </c>
      <c r="N195" s="30">
        <f>PM_Angle!$J$9+PM_Angle!$K$9*$C195+PM_Angle!$L$9*$B195</f>
      </c>
      <c r="O195" s="12">
        <f>IF(N195&gt;0,IF(N195&lt;=eco,alpha*fck*(1-(1-N195/eco)^n),alpha*fck),0)</f>
      </c>
      <c r="P195" s="30">
        <f>PM_Angle!$J$10+PM_Angle!$K$10*$C195+PM_Angle!$L$10*$B195</f>
      </c>
      <c r="Q195" s="12">
        <f>IF(P195&gt;0,IF(P195&lt;=eco,alpha*fck*(1-(1-P195/eco)^n),alpha*fck),0)</f>
      </c>
      <c r="R195" s="30">
        <f>PM_Angle!$J$11+PM_Angle!$K$11*$C195+PM_Angle!$L$11*$B195</f>
      </c>
      <c r="S195" s="12">
        <f>IF(R195&gt;0,IF(R195&lt;=eco,alpha*fck*(1-(1-R195/eco)^n),alpha*fck),0)</f>
      </c>
      <c r="T195" s="30">
        <f>PM_Angle!$J$12+PM_Angle!$K$12*$C195+PM_Angle!$L$12*$B195</f>
      </c>
      <c r="U195" s="12">
        <f>IF(T195&gt;0,IF(T195&lt;=eco,alpha*fck*(1-(1-T195/eco)^n),alpha*fck),0)</f>
      </c>
      <c r="V195" s="30">
        <f>PM_Angle!$J$13+PM_Angle!$K$13*$C195+PM_Angle!$L$13*$B195</f>
      </c>
      <c r="W195" s="12">
        <f>IF(V195&gt;0,IF(V195&lt;=eco,alpha*fck*(1-(1-V195/eco)^n),alpha*fck),0)</f>
      </c>
      <c r="X195" s="30">
        <f>PM_Angle!$J$14+PM_Angle!$K$14*$C195+PM_Angle!$L$14*$B195</f>
      </c>
      <c r="Y195" s="12">
        <f>IF(X195&gt;0,IF(X195&lt;=eco,alpha*fck*(1-(1-X195/eco)^n),alpha*fck),0)</f>
      </c>
      <c r="Z195" s="30">
        <f>PM_Angle!$J$15+PM_Angle!$K$15*$C195+PM_Angle!$L$15*$B195</f>
      </c>
      <c r="AA195" s="12">
        <f>IF(Z195&gt;0,IF(Z195&lt;=eco,alpha*fck*(1-(1-Z195/eco)^n),alpha*fck),0)</f>
      </c>
      <c r="AB195" s="30">
        <f>PM_Angle!$J$16+PM_Angle!$K$16*$C195+PM_Angle!$L$16*$B195</f>
      </c>
      <c r="AC195" s="12">
        <f>IF(AB195&gt;0,IF(AB195&lt;=eco,alpha*fck*(1-(1-AB195/eco)^n),alpha*fck),0)</f>
      </c>
      <c r="AD195" s="30">
        <f>PM_Angle!$J$17+PM_Angle!$K$17*$C195+PM_Angle!$L$17*$B195</f>
      </c>
      <c r="AE195" s="12">
        <f>IF(AD195&gt;0,IF(AD195&lt;=eco,alpha*fck*(1-(1-AD195/eco)^n),alpha*fck),0)</f>
      </c>
      <c r="AF195" s="30">
        <f>PM_Angle!$J$18+PM_Angle!$K$18*$C195+PM_Angle!$L$18*$B195</f>
      </c>
      <c r="AG195" s="12">
        <f>IF(AF195&gt;0,IF(AF195&lt;=eco,alpha*fck*(1-(1-AF195/eco)^n),alpha*fck),0)</f>
      </c>
      <c r="AH195" s="30">
        <f>PM_Angle!$J$19+PM_Angle!$K$19*$C195+PM_Angle!$L$19*$B195</f>
      </c>
      <c r="AI195" s="12">
        <f>IF(AH195&gt;0,IF(AH195&lt;=eco,alpha*fck*(1-(1-AH195/eco)^n),alpha*fck),0)</f>
      </c>
      <c r="AJ195" s="30">
        <f>PM_Angle!$J$20+PM_Angle!$K$20*$C195+PM_Angle!$L$20*$B195</f>
      </c>
      <c r="AK195" s="12">
        <f>IF(AJ195&gt;0,IF(AJ195&lt;=eco,alpha*fck*(1-(1-AJ195/eco)^n),alpha*fck),0)</f>
      </c>
      <c r="AL195" s="30">
        <f>PM_Angle!$J$21+PM_Angle!$K$21*$C195+PM_Angle!$L$21*$B195</f>
      </c>
      <c r="AM195" s="12">
        <f>IF(AL195&gt;0,IF(AL195&lt;=eco,alpha*fck*(1-(1-AL195/eco)^n),alpha*fck),0)</f>
      </c>
      <c r="AN195" s="30">
        <f>PM_Angle!$J$22+PM_Angle!$K$22*$C195+PM_Angle!$L$22*$B195</f>
      </c>
      <c r="AO195" s="12">
        <f>IF(AN195&gt;0,IF(AN195&lt;=eco,alpha*fck*(1-(1-AN195/eco)^n),alpha*fck),0)</f>
      </c>
      <c r="AP195" s="30">
        <f>PM_Angle!$J$23+PM_Angle!$K$23*$C195+PM_Angle!$L$23*$B195</f>
      </c>
      <c r="AQ195" s="12">
        <f>IF(AP195&gt;0,IF(AP195&lt;=eco,alpha*fck*(1-(1-AP195/eco)^n),alpha*fck),0)</f>
      </c>
      <c r="AR195" s="30">
        <f>PM_Angle!$J$24+PM_Angle!$K$24*$C195+PM_Angle!$L$24*$B195</f>
      </c>
      <c r="AS195" s="12">
        <f>IF(AR195&gt;0,IF(AR195&lt;=eco,alpha*fck*(1-(1-AR195/eco)^n),alpha*fck),0)</f>
      </c>
      <c r="AT195" s="30">
        <f>PM_Angle!$J$25+PM_Angle!$K$25*$C195+PM_Angle!$L$25*$B195</f>
      </c>
      <c r="AU195" s="12">
        <f>IF(AT195&gt;0,IF(AT195&lt;=eco,alpha*fck*(1-(1-AT195/eco)^n),alpha*fck),0)</f>
      </c>
    </row>
    <row r="196" spans="1:47" x14ac:dyDescent="0.25">
      <c r="A196">
        <f>Mesh!A193</f>
      </c>
      <c r="B196" s="12">
        <f>Mesh!B193</f>
      </c>
      <c r="C196" s="12">
        <f>Mesh!C193</f>
      </c>
      <c r="D196" s="12">
        <f>Mesh!D193</f>
      </c>
      <c r="E196" s="30">
        <f>INDEX(St_e0,Det+1)+INDEX(St_kx,Det+1)*C196+INDEX(St_ky,Det+1)*B196</f>
      </c>
      <c r="F196" s="12">
        <f>IF(E196&gt;0,IF(E196&lt;=eco,alpha*fck*(1-(1-E196/eco)^n),alpha*fck),0)</f>
      </c>
      <c r="G196" s="11">
        <f>F196*D196</f>
      </c>
      <c r="H196" s="11">
        <f>G196*C196</f>
      </c>
      <c r="I196" s="11">
        <f>G196*B196</f>
      </c>
      <c r="J196" s="30">
        <f>PM_Angle!$J$7+PM_Angle!$K$7*$C196+PM_Angle!$L$7*$B196</f>
      </c>
      <c r="K196" s="12">
        <f>IF(J196&gt;0,IF(J196&lt;=eco,alpha*fck*(1-(1-J196/eco)^n),alpha*fck),0)</f>
      </c>
      <c r="L196" s="30">
        <f>PM_Angle!$J$8+PM_Angle!$K$8*$C196+PM_Angle!$L$8*$B196</f>
      </c>
      <c r="M196" s="12">
        <f>IF(L196&gt;0,IF(L196&lt;=eco,alpha*fck*(1-(1-L196/eco)^n),alpha*fck),0)</f>
      </c>
      <c r="N196" s="30">
        <f>PM_Angle!$J$9+PM_Angle!$K$9*$C196+PM_Angle!$L$9*$B196</f>
      </c>
      <c r="O196" s="12">
        <f>IF(N196&gt;0,IF(N196&lt;=eco,alpha*fck*(1-(1-N196/eco)^n),alpha*fck),0)</f>
      </c>
      <c r="P196" s="30">
        <f>PM_Angle!$J$10+PM_Angle!$K$10*$C196+PM_Angle!$L$10*$B196</f>
      </c>
      <c r="Q196" s="12">
        <f>IF(P196&gt;0,IF(P196&lt;=eco,alpha*fck*(1-(1-P196/eco)^n),alpha*fck),0)</f>
      </c>
      <c r="R196" s="30">
        <f>PM_Angle!$J$11+PM_Angle!$K$11*$C196+PM_Angle!$L$11*$B196</f>
      </c>
      <c r="S196" s="12">
        <f>IF(R196&gt;0,IF(R196&lt;=eco,alpha*fck*(1-(1-R196/eco)^n),alpha*fck),0)</f>
      </c>
      <c r="T196" s="30">
        <f>PM_Angle!$J$12+PM_Angle!$K$12*$C196+PM_Angle!$L$12*$B196</f>
      </c>
      <c r="U196" s="12">
        <f>IF(T196&gt;0,IF(T196&lt;=eco,alpha*fck*(1-(1-T196/eco)^n),alpha*fck),0)</f>
      </c>
      <c r="V196" s="30">
        <f>PM_Angle!$J$13+PM_Angle!$K$13*$C196+PM_Angle!$L$13*$B196</f>
      </c>
      <c r="W196" s="12">
        <f>IF(V196&gt;0,IF(V196&lt;=eco,alpha*fck*(1-(1-V196/eco)^n),alpha*fck),0)</f>
      </c>
      <c r="X196" s="30">
        <f>PM_Angle!$J$14+PM_Angle!$K$14*$C196+PM_Angle!$L$14*$B196</f>
      </c>
      <c r="Y196" s="12">
        <f>IF(X196&gt;0,IF(X196&lt;=eco,alpha*fck*(1-(1-X196/eco)^n),alpha*fck),0)</f>
      </c>
      <c r="Z196" s="30">
        <f>PM_Angle!$J$15+PM_Angle!$K$15*$C196+PM_Angle!$L$15*$B196</f>
      </c>
      <c r="AA196" s="12">
        <f>IF(Z196&gt;0,IF(Z196&lt;=eco,alpha*fck*(1-(1-Z196/eco)^n),alpha*fck),0)</f>
      </c>
      <c r="AB196" s="30">
        <f>PM_Angle!$J$16+PM_Angle!$K$16*$C196+PM_Angle!$L$16*$B196</f>
      </c>
      <c r="AC196" s="12">
        <f>IF(AB196&gt;0,IF(AB196&lt;=eco,alpha*fck*(1-(1-AB196/eco)^n),alpha*fck),0)</f>
      </c>
      <c r="AD196" s="30">
        <f>PM_Angle!$J$17+PM_Angle!$K$17*$C196+PM_Angle!$L$17*$B196</f>
      </c>
      <c r="AE196" s="12">
        <f>IF(AD196&gt;0,IF(AD196&lt;=eco,alpha*fck*(1-(1-AD196/eco)^n),alpha*fck),0)</f>
      </c>
      <c r="AF196" s="30">
        <f>PM_Angle!$J$18+PM_Angle!$K$18*$C196+PM_Angle!$L$18*$B196</f>
      </c>
      <c r="AG196" s="12">
        <f>IF(AF196&gt;0,IF(AF196&lt;=eco,alpha*fck*(1-(1-AF196/eco)^n),alpha*fck),0)</f>
      </c>
      <c r="AH196" s="30">
        <f>PM_Angle!$J$19+PM_Angle!$K$19*$C196+PM_Angle!$L$19*$B196</f>
      </c>
      <c r="AI196" s="12">
        <f>IF(AH196&gt;0,IF(AH196&lt;=eco,alpha*fck*(1-(1-AH196/eco)^n),alpha*fck),0)</f>
      </c>
      <c r="AJ196" s="30">
        <f>PM_Angle!$J$20+PM_Angle!$K$20*$C196+PM_Angle!$L$20*$B196</f>
      </c>
      <c r="AK196" s="12">
        <f>IF(AJ196&gt;0,IF(AJ196&lt;=eco,alpha*fck*(1-(1-AJ196/eco)^n),alpha*fck),0)</f>
      </c>
      <c r="AL196" s="30">
        <f>PM_Angle!$J$21+PM_Angle!$K$21*$C196+PM_Angle!$L$21*$B196</f>
      </c>
      <c r="AM196" s="12">
        <f>IF(AL196&gt;0,IF(AL196&lt;=eco,alpha*fck*(1-(1-AL196/eco)^n),alpha*fck),0)</f>
      </c>
      <c r="AN196" s="30">
        <f>PM_Angle!$J$22+PM_Angle!$K$22*$C196+PM_Angle!$L$22*$B196</f>
      </c>
      <c r="AO196" s="12">
        <f>IF(AN196&gt;0,IF(AN196&lt;=eco,alpha*fck*(1-(1-AN196/eco)^n),alpha*fck),0)</f>
      </c>
      <c r="AP196" s="30">
        <f>PM_Angle!$J$23+PM_Angle!$K$23*$C196+PM_Angle!$L$23*$B196</f>
      </c>
      <c r="AQ196" s="12">
        <f>IF(AP196&gt;0,IF(AP196&lt;=eco,alpha*fck*(1-(1-AP196/eco)^n),alpha*fck),0)</f>
      </c>
      <c r="AR196" s="30">
        <f>PM_Angle!$J$24+PM_Angle!$K$24*$C196+PM_Angle!$L$24*$B196</f>
      </c>
      <c r="AS196" s="12">
        <f>IF(AR196&gt;0,IF(AR196&lt;=eco,alpha*fck*(1-(1-AR196/eco)^n),alpha*fck),0)</f>
      </c>
      <c r="AT196" s="30">
        <f>PM_Angle!$J$25+PM_Angle!$K$25*$C196+PM_Angle!$L$25*$B196</f>
      </c>
      <c r="AU196" s="12">
        <f>IF(AT196&gt;0,IF(AT196&lt;=eco,alpha*fck*(1-(1-AT196/eco)^n),alpha*fck),0)</f>
      </c>
    </row>
    <row r="197" spans="1:47" x14ac:dyDescent="0.25">
      <c r="A197">
        <f>Mesh!A194</f>
      </c>
      <c r="B197" s="12">
        <f>Mesh!B194</f>
      </c>
      <c r="C197" s="12">
        <f>Mesh!C194</f>
      </c>
      <c r="D197" s="12">
        <f>Mesh!D194</f>
      </c>
      <c r="E197" s="30">
        <f>INDEX(St_e0,Det+1)+INDEX(St_kx,Det+1)*C197+INDEX(St_ky,Det+1)*B197</f>
      </c>
      <c r="F197" s="12">
        <f>IF(E197&gt;0,IF(E197&lt;=eco,alpha*fck*(1-(1-E197/eco)^n),alpha*fck),0)</f>
      </c>
      <c r="G197" s="11">
        <f>F197*D197</f>
      </c>
      <c r="H197" s="11">
        <f>G197*C197</f>
      </c>
      <c r="I197" s="11">
        <f>G197*B197</f>
      </c>
      <c r="J197" s="30">
        <f>PM_Angle!$J$7+PM_Angle!$K$7*$C197+PM_Angle!$L$7*$B197</f>
      </c>
      <c r="K197" s="12">
        <f>IF(J197&gt;0,IF(J197&lt;=eco,alpha*fck*(1-(1-J197/eco)^n),alpha*fck),0)</f>
      </c>
      <c r="L197" s="30">
        <f>PM_Angle!$J$8+PM_Angle!$K$8*$C197+PM_Angle!$L$8*$B197</f>
      </c>
      <c r="M197" s="12">
        <f>IF(L197&gt;0,IF(L197&lt;=eco,alpha*fck*(1-(1-L197/eco)^n),alpha*fck),0)</f>
      </c>
      <c r="N197" s="30">
        <f>PM_Angle!$J$9+PM_Angle!$K$9*$C197+PM_Angle!$L$9*$B197</f>
      </c>
      <c r="O197" s="12">
        <f>IF(N197&gt;0,IF(N197&lt;=eco,alpha*fck*(1-(1-N197/eco)^n),alpha*fck),0)</f>
      </c>
      <c r="P197" s="30">
        <f>PM_Angle!$J$10+PM_Angle!$K$10*$C197+PM_Angle!$L$10*$B197</f>
      </c>
      <c r="Q197" s="12">
        <f>IF(P197&gt;0,IF(P197&lt;=eco,alpha*fck*(1-(1-P197/eco)^n),alpha*fck),0)</f>
      </c>
      <c r="R197" s="30">
        <f>PM_Angle!$J$11+PM_Angle!$K$11*$C197+PM_Angle!$L$11*$B197</f>
      </c>
      <c r="S197" s="12">
        <f>IF(R197&gt;0,IF(R197&lt;=eco,alpha*fck*(1-(1-R197/eco)^n),alpha*fck),0)</f>
      </c>
      <c r="T197" s="30">
        <f>PM_Angle!$J$12+PM_Angle!$K$12*$C197+PM_Angle!$L$12*$B197</f>
      </c>
      <c r="U197" s="12">
        <f>IF(T197&gt;0,IF(T197&lt;=eco,alpha*fck*(1-(1-T197/eco)^n),alpha*fck),0)</f>
      </c>
      <c r="V197" s="30">
        <f>PM_Angle!$J$13+PM_Angle!$K$13*$C197+PM_Angle!$L$13*$B197</f>
      </c>
      <c r="W197" s="12">
        <f>IF(V197&gt;0,IF(V197&lt;=eco,alpha*fck*(1-(1-V197/eco)^n),alpha*fck),0)</f>
      </c>
      <c r="X197" s="30">
        <f>PM_Angle!$J$14+PM_Angle!$K$14*$C197+PM_Angle!$L$14*$B197</f>
      </c>
      <c r="Y197" s="12">
        <f>IF(X197&gt;0,IF(X197&lt;=eco,alpha*fck*(1-(1-X197/eco)^n),alpha*fck),0)</f>
      </c>
      <c r="Z197" s="30">
        <f>PM_Angle!$J$15+PM_Angle!$K$15*$C197+PM_Angle!$L$15*$B197</f>
      </c>
      <c r="AA197" s="12">
        <f>IF(Z197&gt;0,IF(Z197&lt;=eco,alpha*fck*(1-(1-Z197/eco)^n),alpha*fck),0)</f>
      </c>
      <c r="AB197" s="30">
        <f>PM_Angle!$J$16+PM_Angle!$K$16*$C197+PM_Angle!$L$16*$B197</f>
      </c>
      <c r="AC197" s="12">
        <f>IF(AB197&gt;0,IF(AB197&lt;=eco,alpha*fck*(1-(1-AB197/eco)^n),alpha*fck),0)</f>
      </c>
      <c r="AD197" s="30">
        <f>PM_Angle!$J$17+PM_Angle!$K$17*$C197+PM_Angle!$L$17*$B197</f>
      </c>
      <c r="AE197" s="12">
        <f>IF(AD197&gt;0,IF(AD197&lt;=eco,alpha*fck*(1-(1-AD197/eco)^n),alpha*fck),0)</f>
      </c>
      <c r="AF197" s="30">
        <f>PM_Angle!$J$18+PM_Angle!$K$18*$C197+PM_Angle!$L$18*$B197</f>
      </c>
      <c r="AG197" s="12">
        <f>IF(AF197&gt;0,IF(AF197&lt;=eco,alpha*fck*(1-(1-AF197/eco)^n),alpha*fck),0)</f>
      </c>
      <c r="AH197" s="30">
        <f>PM_Angle!$J$19+PM_Angle!$K$19*$C197+PM_Angle!$L$19*$B197</f>
      </c>
      <c r="AI197" s="12">
        <f>IF(AH197&gt;0,IF(AH197&lt;=eco,alpha*fck*(1-(1-AH197/eco)^n),alpha*fck),0)</f>
      </c>
      <c r="AJ197" s="30">
        <f>PM_Angle!$J$20+PM_Angle!$K$20*$C197+PM_Angle!$L$20*$B197</f>
      </c>
      <c r="AK197" s="12">
        <f>IF(AJ197&gt;0,IF(AJ197&lt;=eco,alpha*fck*(1-(1-AJ197/eco)^n),alpha*fck),0)</f>
      </c>
      <c r="AL197" s="30">
        <f>PM_Angle!$J$21+PM_Angle!$K$21*$C197+PM_Angle!$L$21*$B197</f>
      </c>
      <c r="AM197" s="12">
        <f>IF(AL197&gt;0,IF(AL197&lt;=eco,alpha*fck*(1-(1-AL197/eco)^n),alpha*fck),0)</f>
      </c>
      <c r="AN197" s="30">
        <f>PM_Angle!$J$22+PM_Angle!$K$22*$C197+PM_Angle!$L$22*$B197</f>
      </c>
      <c r="AO197" s="12">
        <f>IF(AN197&gt;0,IF(AN197&lt;=eco,alpha*fck*(1-(1-AN197/eco)^n),alpha*fck),0)</f>
      </c>
      <c r="AP197" s="30">
        <f>PM_Angle!$J$23+PM_Angle!$K$23*$C197+PM_Angle!$L$23*$B197</f>
      </c>
      <c r="AQ197" s="12">
        <f>IF(AP197&gt;0,IF(AP197&lt;=eco,alpha*fck*(1-(1-AP197/eco)^n),alpha*fck),0)</f>
      </c>
      <c r="AR197" s="30">
        <f>PM_Angle!$J$24+PM_Angle!$K$24*$C197+PM_Angle!$L$24*$B197</f>
      </c>
      <c r="AS197" s="12">
        <f>IF(AR197&gt;0,IF(AR197&lt;=eco,alpha*fck*(1-(1-AR197/eco)^n),alpha*fck),0)</f>
      </c>
      <c r="AT197" s="30">
        <f>PM_Angle!$J$25+PM_Angle!$K$25*$C197+PM_Angle!$L$25*$B197</f>
      </c>
      <c r="AU197" s="12">
        <f>IF(AT197&gt;0,IF(AT197&lt;=eco,alpha*fck*(1-(1-AT197/eco)^n),alpha*fck),0)</f>
      </c>
    </row>
    <row r="198" spans="1:47" x14ac:dyDescent="0.25">
      <c r="A198">
        <f>Mesh!A195</f>
      </c>
      <c r="B198" s="12">
        <f>Mesh!B195</f>
      </c>
      <c r="C198" s="12">
        <f>Mesh!C195</f>
      </c>
      <c r="D198" s="12">
        <f>Mesh!D195</f>
      </c>
      <c r="E198" s="30">
        <f>INDEX(St_e0,Det+1)+INDEX(St_kx,Det+1)*C198+INDEX(St_ky,Det+1)*B198</f>
      </c>
      <c r="F198" s="12">
        <f>IF(E198&gt;0,IF(E198&lt;=eco,alpha*fck*(1-(1-E198/eco)^n),alpha*fck),0)</f>
      </c>
      <c r="G198" s="11">
        <f>F198*D198</f>
      </c>
      <c r="H198" s="11">
        <f>G198*C198</f>
      </c>
      <c r="I198" s="11">
        <f>G198*B198</f>
      </c>
      <c r="J198" s="30">
        <f>PM_Angle!$J$7+PM_Angle!$K$7*$C198+PM_Angle!$L$7*$B198</f>
      </c>
      <c r="K198" s="12">
        <f>IF(J198&gt;0,IF(J198&lt;=eco,alpha*fck*(1-(1-J198/eco)^n),alpha*fck),0)</f>
      </c>
      <c r="L198" s="30">
        <f>PM_Angle!$J$8+PM_Angle!$K$8*$C198+PM_Angle!$L$8*$B198</f>
      </c>
      <c r="M198" s="12">
        <f>IF(L198&gt;0,IF(L198&lt;=eco,alpha*fck*(1-(1-L198/eco)^n),alpha*fck),0)</f>
      </c>
      <c r="N198" s="30">
        <f>PM_Angle!$J$9+PM_Angle!$K$9*$C198+PM_Angle!$L$9*$B198</f>
      </c>
      <c r="O198" s="12">
        <f>IF(N198&gt;0,IF(N198&lt;=eco,alpha*fck*(1-(1-N198/eco)^n),alpha*fck),0)</f>
      </c>
      <c r="P198" s="30">
        <f>PM_Angle!$J$10+PM_Angle!$K$10*$C198+PM_Angle!$L$10*$B198</f>
      </c>
      <c r="Q198" s="12">
        <f>IF(P198&gt;0,IF(P198&lt;=eco,alpha*fck*(1-(1-P198/eco)^n),alpha*fck),0)</f>
      </c>
      <c r="R198" s="30">
        <f>PM_Angle!$J$11+PM_Angle!$K$11*$C198+PM_Angle!$L$11*$B198</f>
      </c>
      <c r="S198" s="12">
        <f>IF(R198&gt;0,IF(R198&lt;=eco,alpha*fck*(1-(1-R198/eco)^n),alpha*fck),0)</f>
      </c>
      <c r="T198" s="30">
        <f>PM_Angle!$J$12+PM_Angle!$K$12*$C198+PM_Angle!$L$12*$B198</f>
      </c>
      <c r="U198" s="12">
        <f>IF(T198&gt;0,IF(T198&lt;=eco,alpha*fck*(1-(1-T198/eco)^n),alpha*fck),0)</f>
      </c>
      <c r="V198" s="30">
        <f>PM_Angle!$J$13+PM_Angle!$K$13*$C198+PM_Angle!$L$13*$B198</f>
      </c>
      <c r="W198" s="12">
        <f>IF(V198&gt;0,IF(V198&lt;=eco,alpha*fck*(1-(1-V198/eco)^n),alpha*fck),0)</f>
      </c>
      <c r="X198" s="30">
        <f>PM_Angle!$J$14+PM_Angle!$K$14*$C198+PM_Angle!$L$14*$B198</f>
      </c>
      <c r="Y198" s="12">
        <f>IF(X198&gt;0,IF(X198&lt;=eco,alpha*fck*(1-(1-X198/eco)^n),alpha*fck),0)</f>
      </c>
      <c r="Z198" s="30">
        <f>PM_Angle!$J$15+PM_Angle!$K$15*$C198+PM_Angle!$L$15*$B198</f>
      </c>
      <c r="AA198" s="12">
        <f>IF(Z198&gt;0,IF(Z198&lt;=eco,alpha*fck*(1-(1-Z198/eco)^n),alpha*fck),0)</f>
      </c>
      <c r="AB198" s="30">
        <f>PM_Angle!$J$16+PM_Angle!$K$16*$C198+PM_Angle!$L$16*$B198</f>
      </c>
      <c r="AC198" s="12">
        <f>IF(AB198&gt;0,IF(AB198&lt;=eco,alpha*fck*(1-(1-AB198/eco)^n),alpha*fck),0)</f>
      </c>
      <c r="AD198" s="30">
        <f>PM_Angle!$J$17+PM_Angle!$K$17*$C198+PM_Angle!$L$17*$B198</f>
      </c>
      <c r="AE198" s="12">
        <f>IF(AD198&gt;0,IF(AD198&lt;=eco,alpha*fck*(1-(1-AD198/eco)^n),alpha*fck),0)</f>
      </c>
      <c r="AF198" s="30">
        <f>PM_Angle!$J$18+PM_Angle!$K$18*$C198+PM_Angle!$L$18*$B198</f>
      </c>
      <c r="AG198" s="12">
        <f>IF(AF198&gt;0,IF(AF198&lt;=eco,alpha*fck*(1-(1-AF198/eco)^n),alpha*fck),0)</f>
      </c>
      <c r="AH198" s="30">
        <f>PM_Angle!$J$19+PM_Angle!$K$19*$C198+PM_Angle!$L$19*$B198</f>
      </c>
      <c r="AI198" s="12">
        <f>IF(AH198&gt;0,IF(AH198&lt;=eco,alpha*fck*(1-(1-AH198/eco)^n),alpha*fck),0)</f>
      </c>
      <c r="AJ198" s="30">
        <f>PM_Angle!$J$20+PM_Angle!$K$20*$C198+PM_Angle!$L$20*$B198</f>
      </c>
      <c r="AK198" s="12">
        <f>IF(AJ198&gt;0,IF(AJ198&lt;=eco,alpha*fck*(1-(1-AJ198/eco)^n),alpha*fck),0)</f>
      </c>
      <c r="AL198" s="30">
        <f>PM_Angle!$J$21+PM_Angle!$K$21*$C198+PM_Angle!$L$21*$B198</f>
      </c>
      <c r="AM198" s="12">
        <f>IF(AL198&gt;0,IF(AL198&lt;=eco,alpha*fck*(1-(1-AL198/eco)^n),alpha*fck),0)</f>
      </c>
      <c r="AN198" s="30">
        <f>PM_Angle!$J$22+PM_Angle!$K$22*$C198+PM_Angle!$L$22*$B198</f>
      </c>
      <c r="AO198" s="12">
        <f>IF(AN198&gt;0,IF(AN198&lt;=eco,alpha*fck*(1-(1-AN198/eco)^n),alpha*fck),0)</f>
      </c>
      <c r="AP198" s="30">
        <f>PM_Angle!$J$23+PM_Angle!$K$23*$C198+PM_Angle!$L$23*$B198</f>
      </c>
      <c r="AQ198" s="12">
        <f>IF(AP198&gt;0,IF(AP198&lt;=eco,alpha*fck*(1-(1-AP198/eco)^n),alpha*fck),0)</f>
      </c>
      <c r="AR198" s="30">
        <f>PM_Angle!$J$24+PM_Angle!$K$24*$C198+PM_Angle!$L$24*$B198</f>
      </c>
      <c r="AS198" s="12">
        <f>IF(AR198&gt;0,IF(AR198&lt;=eco,alpha*fck*(1-(1-AR198/eco)^n),alpha*fck),0)</f>
      </c>
      <c r="AT198" s="30">
        <f>PM_Angle!$J$25+PM_Angle!$K$25*$C198+PM_Angle!$L$25*$B198</f>
      </c>
      <c r="AU198" s="12">
        <f>IF(AT198&gt;0,IF(AT198&lt;=eco,alpha*fck*(1-(1-AT198/eco)^n),alpha*fck),0)</f>
      </c>
    </row>
    <row r="199" spans="1:47" x14ac:dyDescent="0.25">
      <c r="A199">
        <f>Mesh!A196</f>
      </c>
      <c r="B199" s="12">
        <f>Mesh!B196</f>
      </c>
      <c r="C199" s="12">
        <f>Mesh!C196</f>
      </c>
      <c r="D199" s="12">
        <f>Mesh!D196</f>
      </c>
      <c r="E199" s="30">
        <f>INDEX(St_e0,Det+1)+INDEX(St_kx,Det+1)*C199+INDEX(St_ky,Det+1)*B199</f>
      </c>
      <c r="F199" s="12">
        <f>IF(E199&gt;0,IF(E199&lt;=eco,alpha*fck*(1-(1-E199/eco)^n),alpha*fck),0)</f>
      </c>
      <c r="G199" s="11">
        <f>F199*D199</f>
      </c>
      <c r="H199" s="11">
        <f>G199*C199</f>
      </c>
      <c r="I199" s="11">
        <f>G199*B199</f>
      </c>
      <c r="J199" s="30">
        <f>PM_Angle!$J$7+PM_Angle!$K$7*$C199+PM_Angle!$L$7*$B199</f>
      </c>
      <c r="K199" s="12">
        <f>IF(J199&gt;0,IF(J199&lt;=eco,alpha*fck*(1-(1-J199/eco)^n),alpha*fck),0)</f>
      </c>
      <c r="L199" s="30">
        <f>PM_Angle!$J$8+PM_Angle!$K$8*$C199+PM_Angle!$L$8*$B199</f>
      </c>
      <c r="M199" s="12">
        <f>IF(L199&gt;0,IF(L199&lt;=eco,alpha*fck*(1-(1-L199/eco)^n),alpha*fck),0)</f>
      </c>
      <c r="N199" s="30">
        <f>PM_Angle!$J$9+PM_Angle!$K$9*$C199+PM_Angle!$L$9*$B199</f>
      </c>
      <c r="O199" s="12">
        <f>IF(N199&gt;0,IF(N199&lt;=eco,alpha*fck*(1-(1-N199/eco)^n),alpha*fck),0)</f>
      </c>
      <c r="P199" s="30">
        <f>PM_Angle!$J$10+PM_Angle!$K$10*$C199+PM_Angle!$L$10*$B199</f>
      </c>
      <c r="Q199" s="12">
        <f>IF(P199&gt;0,IF(P199&lt;=eco,alpha*fck*(1-(1-P199/eco)^n),alpha*fck),0)</f>
      </c>
      <c r="R199" s="30">
        <f>PM_Angle!$J$11+PM_Angle!$K$11*$C199+PM_Angle!$L$11*$B199</f>
      </c>
      <c r="S199" s="12">
        <f>IF(R199&gt;0,IF(R199&lt;=eco,alpha*fck*(1-(1-R199/eco)^n),alpha*fck),0)</f>
      </c>
      <c r="T199" s="30">
        <f>PM_Angle!$J$12+PM_Angle!$K$12*$C199+PM_Angle!$L$12*$B199</f>
      </c>
      <c r="U199" s="12">
        <f>IF(T199&gt;0,IF(T199&lt;=eco,alpha*fck*(1-(1-T199/eco)^n),alpha*fck),0)</f>
      </c>
      <c r="V199" s="30">
        <f>PM_Angle!$J$13+PM_Angle!$K$13*$C199+PM_Angle!$L$13*$B199</f>
      </c>
      <c r="W199" s="12">
        <f>IF(V199&gt;0,IF(V199&lt;=eco,alpha*fck*(1-(1-V199/eco)^n),alpha*fck),0)</f>
      </c>
      <c r="X199" s="30">
        <f>PM_Angle!$J$14+PM_Angle!$K$14*$C199+PM_Angle!$L$14*$B199</f>
      </c>
      <c r="Y199" s="12">
        <f>IF(X199&gt;0,IF(X199&lt;=eco,alpha*fck*(1-(1-X199/eco)^n),alpha*fck),0)</f>
      </c>
      <c r="Z199" s="30">
        <f>PM_Angle!$J$15+PM_Angle!$K$15*$C199+PM_Angle!$L$15*$B199</f>
      </c>
      <c r="AA199" s="12">
        <f>IF(Z199&gt;0,IF(Z199&lt;=eco,alpha*fck*(1-(1-Z199/eco)^n),alpha*fck),0)</f>
      </c>
      <c r="AB199" s="30">
        <f>PM_Angle!$J$16+PM_Angle!$K$16*$C199+PM_Angle!$L$16*$B199</f>
      </c>
      <c r="AC199" s="12">
        <f>IF(AB199&gt;0,IF(AB199&lt;=eco,alpha*fck*(1-(1-AB199/eco)^n),alpha*fck),0)</f>
      </c>
      <c r="AD199" s="30">
        <f>PM_Angle!$J$17+PM_Angle!$K$17*$C199+PM_Angle!$L$17*$B199</f>
      </c>
      <c r="AE199" s="12">
        <f>IF(AD199&gt;0,IF(AD199&lt;=eco,alpha*fck*(1-(1-AD199/eco)^n),alpha*fck),0)</f>
      </c>
      <c r="AF199" s="30">
        <f>PM_Angle!$J$18+PM_Angle!$K$18*$C199+PM_Angle!$L$18*$B199</f>
      </c>
      <c r="AG199" s="12">
        <f>IF(AF199&gt;0,IF(AF199&lt;=eco,alpha*fck*(1-(1-AF199/eco)^n),alpha*fck),0)</f>
      </c>
      <c r="AH199" s="30">
        <f>PM_Angle!$J$19+PM_Angle!$K$19*$C199+PM_Angle!$L$19*$B199</f>
      </c>
      <c r="AI199" s="12">
        <f>IF(AH199&gt;0,IF(AH199&lt;=eco,alpha*fck*(1-(1-AH199/eco)^n),alpha*fck),0)</f>
      </c>
      <c r="AJ199" s="30">
        <f>PM_Angle!$J$20+PM_Angle!$K$20*$C199+PM_Angle!$L$20*$B199</f>
      </c>
      <c r="AK199" s="12">
        <f>IF(AJ199&gt;0,IF(AJ199&lt;=eco,alpha*fck*(1-(1-AJ199/eco)^n),alpha*fck),0)</f>
      </c>
      <c r="AL199" s="30">
        <f>PM_Angle!$J$21+PM_Angle!$K$21*$C199+PM_Angle!$L$21*$B199</f>
      </c>
      <c r="AM199" s="12">
        <f>IF(AL199&gt;0,IF(AL199&lt;=eco,alpha*fck*(1-(1-AL199/eco)^n),alpha*fck),0)</f>
      </c>
      <c r="AN199" s="30">
        <f>PM_Angle!$J$22+PM_Angle!$K$22*$C199+PM_Angle!$L$22*$B199</f>
      </c>
      <c r="AO199" s="12">
        <f>IF(AN199&gt;0,IF(AN199&lt;=eco,alpha*fck*(1-(1-AN199/eco)^n),alpha*fck),0)</f>
      </c>
      <c r="AP199" s="30">
        <f>PM_Angle!$J$23+PM_Angle!$K$23*$C199+PM_Angle!$L$23*$B199</f>
      </c>
      <c r="AQ199" s="12">
        <f>IF(AP199&gt;0,IF(AP199&lt;=eco,alpha*fck*(1-(1-AP199/eco)^n),alpha*fck),0)</f>
      </c>
      <c r="AR199" s="30">
        <f>PM_Angle!$J$24+PM_Angle!$K$24*$C199+PM_Angle!$L$24*$B199</f>
      </c>
      <c r="AS199" s="12">
        <f>IF(AR199&gt;0,IF(AR199&lt;=eco,alpha*fck*(1-(1-AR199/eco)^n),alpha*fck),0)</f>
      </c>
      <c r="AT199" s="30">
        <f>PM_Angle!$J$25+PM_Angle!$K$25*$C199+PM_Angle!$L$25*$B199</f>
      </c>
      <c r="AU199" s="12">
        <f>IF(AT199&gt;0,IF(AT199&lt;=eco,alpha*fck*(1-(1-AT199/eco)^n),alpha*fck),0)</f>
      </c>
    </row>
    <row r="200" spans="1:47" x14ac:dyDescent="0.25">
      <c r="A200">
        <f>Mesh!A197</f>
      </c>
      <c r="B200" s="12">
        <f>Mesh!B197</f>
      </c>
      <c r="C200" s="12">
        <f>Mesh!C197</f>
      </c>
      <c r="D200" s="12">
        <f>Mesh!D197</f>
      </c>
      <c r="E200" s="30">
        <f>INDEX(St_e0,Det+1)+INDEX(St_kx,Det+1)*C200+INDEX(St_ky,Det+1)*B200</f>
      </c>
      <c r="F200" s="12">
        <f>IF(E200&gt;0,IF(E200&lt;=eco,alpha*fck*(1-(1-E200/eco)^n),alpha*fck),0)</f>
      </c>
      <c r="G200" s="11">
        <f>F200*D200</f>
      </c>
      <c r="H200" s="11">
        <f>G200*C200</f>
      </c>
      <c r="I200" s="11">
        <f>G200*B200</f>
      </c>
      <c r="J200" s="30">
        <f>PM_Angle!$J$7+PM_Angle!$K$7*$C200+PM_Angle!$L$7*$B200</f>
      </c>
      <c r="K200" s="12">
        <f>IF(J200&gt;0,IF(J200&lt;=eco,alpha*fck*(1-(1-J200/eco)^n),alpha*fck),0)</f>
      </c>
      <c r="L200" s="30">
        <f>PM_Angle!$J$8+PM_Angle!$K$8*$C200+PM_Angle!$L$8*$B200</f>
      </c>
      <c r="M200" s="12">
        <f>IF(L200&gt;0,IF(L200&lt;=eco,alpha*fck*(1-(1-L200/eco)^n),alpha*fck),0)</f>
      </c>
      <c r="N200" s="30">
        <f>PM_Angle!$J$9+PM_Angle!$K$9*$C200+PM_Angle!$L$9*$B200</f>
      </c>
      <c r="O200" s="12">
        <f>IF(N200&gt;0,IF(N200&lt;=eco,alpha*fck*(1-(1-N200/eco)^n),alpha*fck),0)</f>
      </c>
      <c r="P200" s="30">
        <f>PM_Angle!$J$10+PM_Angle!$K$10*$C200+PM_Angle!$L$10*$B200</f>
      </c>
      <c r="Q200" s="12">
        <f>IF(P200&gt;0,IF(P200&lt;=eco,alpha*fck*(1-(1-P200/eco)^n),alpha*fck),0)</f>
      </c>
      <c r="R200" s="30">
        <f>PM_Angle!$J$11+PM_Angle!$K$11*$C200+PM_Angle!$L$11*$B200</f>
      </c>
      <c r="S200" s="12">
        <f>IF(R200&gt;0,IF(R200&lt;=eco,alpha*fck*(1-(1-R200/eco)^n),alpha*fck),0)</f>
      </c>
      <c r="T200" s="30">
        <f>PM_Angle!$J$12+PM_Angle!$K$12*$C200+PM_Angle!$L$12*$B200</f>
      </c>
      <c r="U200" s="12">
        <f>IF(T200&gt;0,IF(T200&lt;=eco,alpha*fck*(1-(1-T200/eco)^n),alpha*fck),0)</f>
      </c>
      <c r="V200" s="30">
        <f>PM_Angle!$J$13+PM_Angle!$K$13*$C200+PM_Angle!$L$13*$B200</f>
      </c>
      <c r="W200" s="12">
        <f>IF(V200&gt;0,IF(V200&lt;=eco,alpha*fck*(1-(1-V200/eco)^n),alpha*fck),0)</f>
      </c>
      <c r="X200" s="30">
        <f>PM_Angle!$J$14+PM_Angle!$K$14*$C200+PM_Angle!$L$14*$B200</f>
      </c>
      <c r="Y200" s="12">
        <f>IF(X200&gt;0,IF(X200&lt;=eco,alpha*fck*(1-(1-X200/eco)^n),alpha*fck),0)</f>
      </c>
      <c r="Z200" s="30">
        <f>PM_Angle!$J$15+PM_Angle!$K$15*$C200+PM_Angle!$L$15*$B200</f>
      </c>
      <c r="AA200" s="12">
        <f>IF(Z200&gt;0,IF(Z200&lt;=eco,alpha*fck*(1-(1-Z200/eco)^n),alpha*fck),0)</f>
      </c>
      <c r="AB200" s="30">
        <f>PM_Angle!$J$16+PM_Angle!$K$16*$C200+PM_Angle!$L$16*$B200</f>
      </c>
      <c r="AC200" s="12">
        <f>IF(AB200&gt;0,IF(AB200&lt;=eco,alpha*fck*(1-(1-AB200/eco)^n),alpha*fck),0)</f>
      </c>
      <c r="AD200" s="30">
        <f>PM_Angle!$J$17+PM_Angle!$K$17*$C200+PM_Angle!$L$17*$B200</f>
      </c>
      <c r="AE200" s="12">
        <f>IF(AD200&gt;0,IF(AD200&lt;=eco,alpha*fck*(1-(1-AD200/eco)^n),alpha*fck),0)</f>
      </c>
      <c r="AF200" s="30">
        <f>PM_Angle!$J$18+PM_Angle!$K$18*$C200+PM_Angle!$L$18*$B200</f>
      </c>
      <c r="AG200" s="12">
        <f>IF(AF200&gt;0,IF(AF200&lt;=eco,alpha*fck*(1-(1-AF200/eco)^n),alpha*fck),0)</f>
      </c>
      <c r="AH200" s="30">
        <f>PM_Angle!$J$19+PM_Angle!$K$19*$C200+PM_Angle!$L$19*$B200</f>
      </c>
      <c r="AI200" s="12">
        <f>IF(AH200&gt;0,IF(AH200&lt;=eco,alpha*fck*(1-(1-AH200/eco)^n),alpha*fck),0)</f>
      </c>
      <c r="AJ200" s="30">
        <f>PM_Angle!$J$20+PM_Angle!$K$20*$C200+PM_Angle!$L$20*$B200</f>
      </c>
      <c r="AK200" s="12">
        <f>IF(AJ200&gt;0,IF(AJ200&lt;=eco,alpha*fck*(1-(1-AJ200/eco)^n),alpha*fck),0)</f>
      </c>
      <c r="AL200" s="30">
        <f>PM_Angle!$J$21+PM_Angle!$K$21*$C200+PM_Angle!$L$21*$B200</f>
      </c>
      <c r="AM200" s="12">
        <f>IF(AL200&gt;0,IF(AL200&lt;=eco,alpha*fck*(1-(1-AL200/eco)^n),alpha*fck),0)</f>
      </c>
      <c r="AN200" s="30">
        <f>PM_Angle!$J$22+PM_Angle!$K$22*$C200+PM_Angle!$L$22*$B200</f>
      </c>
      <c r="AO200" s="12">
        <f>IF(AN200&gt;0,IF(AN200&lt;=eco,alpha*fck*(1-(1-AN200/eco)^n),alpha*fck),0)</f>
      </c>
      <c r="AP200" s="30">
        <f>PM_Angle!$J$23+PM_Angle!$K$23*$C200+PM_Angle!$L$23*$B200</f>
      </c>
      <c r="AQ200" s="12">
        <f>IF(AP200&gt;0,IF(AP200&lt;=eco,alpha*fck*(1-(1-AP200/eco)^n),alpha*fck),0)</f>
      </c>
      <c r="AR200" s="30">
        <f>PM_Angle!$J$24+PM_Angle!$K$24*$C200+PM_Angle!$L$24*$B200</f>
      </c>
      <c r="AS200" s="12">
        <f>IF(AR200&gt;0,IF(AR200&lt;=eco,alpha*fck*(1-(1-AR200/eco)^n),alpha*fck),0)</f>
      </c>
      <c r="AT200" s="30">
        <f>PM_Angle!$J$25+PM_Angle!$K$25*$C200+PM_Angle!$L$25*$B200</f>
      </c>
      <c r="AU200" s="12">
        <f>IF(AT200&gt;0,IF(AT200&lt;=eco,alpha*fck*(1-(1-AT200/eco)^n),alpha*fck),0)</f>
      </c>
    </row>
    <row r="201" spans="1:47" x14ac:dyDescent="0.25">
      <c r="A201">
        <f>Mesh!A198</f>
      </c>
      <c r="B201" s="12">
        <f>Mesh!B198</f>
      </c>
      <c r="C201" s="12">
        <f>Mesh!C198</f>
      </c>
      <c r="D201" s="12">
        <f>Mesh!D198</f>
      </c>
      <c r="E201" s="30">
        <f>INDEX(St_e0,Det+1)+INDEX(St_kx,Det+1)*C201+INDEX(St_ky,Det+1)*B201</f>
      </c>
      <c r="F201" s="12">
        <f>IF(E201&gt;0,IF(E201&lt;=eco,alpha*fck*(1-(1-E201/eco)^n),alpha*fck),0)</f>
      </c>
      <c r="G201" s="11">
        <f>F201*D201</f>
      </c>
      <c r="H201" s="11">
        <f>G201*C201</f>
      </c>
      <c r="I201" s="11">
        <f>G201*B201</f>
      </c>
      <c r="J201" s="30">
        <f>PM_Angle!$J$7+PM_Angle!$K$7*$C201+PM_Angle!$L$7*$B201</f>
      </c>
      <c r="K201" s="12">
        <f>IF(J201&gt;0,IF(J201&lt;=eco,alpha*fck*(1-(1-J201/eco)^n),alpha*fck),0)</f>
      </c>
      <c r="L201" s="30">
        <f>PM_Angle!$J$8+PM_Angle!$K$8*$C201+PM_Angle!$L$8*$B201</f>
      </c>
      <c r="M201" s="12">
        <f>IF(L201&gt;0,IF(L201&lt;=eco,alpha*fck*(1-(1-L201/eco)^n),alpha*fck),0)</f>
      </c>
      <c r="N201" s="30">
        <f>PM_Angle!$J$9+PM_Angle!$K$9*$C201+PM_Angle!$L$9*$B201</f>
      </c>
      <c r="O201" s="12">
        <f>IF(N201&gt;0,IF(N201&lt;=eco,alpha*fck*(1-(1-N201/eco)^n),alpha*fck),0)</f>
      </c>
      <c r="P201" s="30">
        <f>PM_Angle!$J$10+PM_Angle!$K$10*$C201+PM_Angle!$L$10*$B201</f>
      </c>
      <c r="Q201" s="12">
        <f>IF(P201&gt;0,IF(P201&lt;=eco,alpha*fck*(1-(1-P201/eco)^n),alpha*fck),0)</f>
      </c>
      <c r="R201" s="30">
        <f>PM_Angle!$J$11+PM_Angle!$K$11*$C201+PM_Angle!$L$11*$B201</f>
      </c>
      <c r="S201" s="12">
        <f>IF(R201&gt;0,IF(R201&lt;=eco,alpha*fck*(1-(1-R201/eco)^n),alpha*fck),0)</f>
      </c>
      <c r="T201" s="30">
        <f>PM_Angle!$J$12+PM_Angle!$K$12*$C201+PM_Angle!$L$12*$B201</f>
      </c>
      <c r="U201" s="12">
        <f>IF(T201&gt;0,IF(T201&lt;=eco,alpha*fck*(1-(1-T201/eco)^n),alpha*fck),0)</f>
      </c>
      <c r="V201" s="30">
        <f>PM_Angle!$J$13+PM_Angle!$K$13*$C201+PM_Angle!$L$13*$B201</f>
      </c>
      <c r="W201" s="12">
        <f>IF(V201&gt;0,IF(V201&lt;=eco,alpha*fck*(1-(1-V201/eco)^n),alpha*fck),0)</f>
      </c>
      <c r="X201" s="30">
        <f>PM_Angle!$J$14+PM_Angle!$K$14*$C201+PM_Angle!$L$14*$B201</f>
      </c>
      <c r="Y201" s="12">
        <f>IF(X201&gt;0,IF(X201&lt;=eco,alpha*fck*(1-(1-X201/eco)^n),alpha*fck),0)</f>
      </c>
      <c r="Z201" s="30">
        <f>PM_Angle!$J$15+PM_Angle!$K$15*$C201+PM_Angle!$L$15*$B201</f>
      </c>
      <c r="AA201" s="12">
        <f>IF(Z201&gt;0,IF(Z201&lt;=eco,alpha*fck*(1-(1-Z201/eco)^n),alpha*fck),0)</f>
      </c>
      <c r="AB201" s="30">
        <f>PM_Angle!$J$16+PM_Angle!$K$16*$C201+PM_Angle!$L$16*$B201</f>
      </c>
      <c r="AC201" s="12">
        <f>IF(AB201&gt;0,IF(AB201&lt;=eco,alpha*fck*(1-(1-AB201/eco)^n),alpha*fck),0)</f>
      </c>
      <c r="AD201" s="30">
        <f>PM_Angle!$J$17+PM_Angle!$K$17*$C201+PM_Angle!$L$17*$B201</f>
      </c>
      <c r="AE201" s="12">
        <f>IF(AD201&gt;0,IF(AD201&lt;=eco,alpha*fck*(1-(1-AD201/eco)^n),alpha*fck),0)</f>
      </c>
      <c r="AF201" s="30">
        <f>PM_Angle!$J$18+PM_Angle!$K$18*$C201+PM_Angle!$L$18*$B201</f>
      </c>
      <c r="AG201" s="12">
        <f>IF(AF201&gt;0,IF(AF201&lt;=eco,alpha*fck*(1-(1-AF201/eco)^n),alpha*fck),0)</f>
      </c>
      <c r="AH201" s="30">
        <f>PM_Angle!$J$19+PM_Angle!$K$19*$C201+PM_Angle!$L$19*$B201</f>
      </c>
      <c r="AI201" s="12">
        <f>IF(AH201&gt;0,IF(AH201&lt;=eco,alpha*fck*(1-(1-AH201/eco)^n),alpha*fck),0)</f>
      </c>
      <c r="AJ201" s="30">
        <f>PM_Angle!$J$20+PM_Angle!$K$20*$C201+PM_Angle!$L$20*$B201</f>
      </c>
      <c r="AK201" s="12">
        <f>IF(AJ201&gt;0,IF(AJ201&lt;=eco,alpha*fck*(1-(1-AJ201/eco)^n),alpha*fck),0)</f>
      </c>
      <c r="AL201" s="30">
        <f>PM_Angle!$J$21+PM_Angle!$K$21*$C201+PM_Angle!$L$21*$B201</f>
      </c>
      <c r="AM201" s="12">
        <f>IF(AL201&gt;0,IF(AL201&lt;=eco,alpha*fck*(1-(1-AL201/eco)^n),alpha*fck),0)</f>
      </c>
      <c r="AN201" s="30">
        <f>PM_Angle!$J$22+PM_Angle!$K$22*$C201+PM_Angle!$L$22*$B201</f>
      </c>
      <c r="AO201" s="12">
        <f>IF(AN201&gt;0,IF(AN201&lt;=eco,alpha*fck*(1-(1-AN201/eco)^n),alpha*fck),0)</f>
      </c>
      <c r="AP201" s="30">
        <f>PM_Angle!$J$23+PM_Angle!$K$23*$C201+PM_Angle!$L$23*$B201</f>
      </c>
      <c r="AQ201" s="12">
        <f>IF(AP201&gt;0,IF(AP201&lt;=eco,alpha*fck*(1-(1-AP201/eco)^n),alpha*fck),0)</f>
      </c>
      <c r="AR201" s="30">
        <f>PM_Angle!$J$24+PM_Angle!$K$24*$C201+PM_Angle!$L$24*$B201</f>
      </c>
      <c r="AS201" s="12">
        <f>IF(AR201&gt;0,IF(AR201&lt;=eco,alpha*fck*(1-(1-AR201/eco)^n),alpha*fck),0)</f>
      </c>
      <c r="AT201" s="30">
        <f>PM_Angle!$J$25+PM_Angle!$K$25*$C201+PM_Angle!$L$25*$B201</f>
      </c>
      <c r="AU201" s="12">
        <f>IF(AT201&gt;0,IF(AT201&lt;=eco,alpha*fck*(1-(1-AT201/eco)^n),alpha*fck),0)</f>
      </c>
    </row>
    <row r="202" spans="1:47" x14ac:dyDescent="0.25">
      <c r="A202">
        <f>Mesh!A199</f>
      </c>
      <c r="B202" s="12">
        <f>Mesh!B199</f>
      </c>
      <c r="C202" s="12">
        <f>Mesh!C199</f>
      </c>
      <c r="D202" s="12">
        <f>Mesh!D199</f>
      </c>
      <c r="E202" s="30">
        <f>INDEX(St_e0,Det+1)+INDEX(St_kx,Det+1)*C202+INDEX(St_ky,Det+1)*B202</f>
      </c>
      <c r="F202" s="12">
        <f>IF(E202&gt;0,IF(E202&lt;=eco,alpha*fck*(1-(1-E202/eco)^n),alpha*fck),0)</f>
      </c>
      <c r="G202" s="11">
        <f>F202*D202</f>
      </c>
      <c r="H202" s="11">
        <f>G202*C202</f>
      </c>
      <c r="I202" s="11">
        <f>G202*B202</f>
      </c>
      <c r="J202" s="30">
        <f>PM_Angle!$J$7+PM_Angle!$K$7*$C202+PM_Angle!$L$7*$B202</f>
      </c>
      <c r="K202" s="12">
        <f>IF(J202&gt;0,IF(J202&lt;=eco,alpha*fck*(1-(1-J202/eco)^n),alpha*fck),0)</f>
      </c>
      <c r="L202" s="30">
        <f>PM_Angle!$J$8+PM_Angle!$K$8*$C202+PM_Angle!$L$8*$B202</f>
      </c>
      <c r="M202" s="12">
        <f>IF(L202&gt;0,IF(L202&lt;=eco,alpha*fck*(1-(1-L202/eco)^n),alpha*fck),0)</f>
      </c>
      <c r="N202" s="30">
        <f>PM_Angle!$J$9+PM_Angle!$K$9*$C202+PM_Angle!$L$9*$B202</f>
      </c>
      <c r="O202" s="12">
        <f>IF(N202&gt;0,IF(N202&lt;=eco,alpha*fck*(1-(1-N202/eco)^n),alpha*fck),0)</f>
      </c>
      <c r="P202" s="30">
        <f>PM_Angle!$J$10+PM_Angle!$K$10*$C202+PM_Angle!$L$10*$B202</f>
      </c>
      <c r="Q202" s="12">
        <f>IF(P202&gt;0,IF(P202&lt;=eco,alpha*fck*(1-(1-P202/eco)^n),alpha*fck),0)</f>
      </c>
      <c r="R202" s="30">
        <f>PM_Angle!$J$11+PM_Angle!$K$11*$C202+PM_Angle!$L$11*$B202</f>
      </c>
      <c r="S202" s="12">
        <f>IF(R202&gt;0,IF(R202&lt;=eco,alpha*fck*(1-(1-R202/eco)^n),alpha*fck),0)</f>
      </c>
      <c r="T202" s="30">
        <f>PM_Angle!$J$12+PM_Angle!$K$12*$C202+PM_Angle!$L$12*$B202</f>
      </c>
      <c r="U202" s="12">
        <f>IF(T202&gt;0,IF(T202&lt;=eco,alpha*fck*(1-(1-T202/eco)^n),alpha*fck),0)</f>
      </c>
      <c r="V202" s="30">
        <f>PM_Angle!$J$13+PM_Angle!$K$13*$C202+PM_Angle!$L$13*$B202</f>
      </c>
      <c r="W202" s="12">
        <f>IF(V202&gt;0,IF(V202&lt;=eco,alpha*fck*(1-(1-V202/eco)^n),alpha*fck),0)</f>
      </c>
      <c r="X202" s="30">
        <f>PM_Angle!$J$14+PM_Angle!$K$14*$C202+PM_Angle!$L$14*$B202</f>
      </c>
      <c r="Y202" s="12">
        <f>IF(X202&gt;0,IF(X202&lt;=eco,alpha*fck*(1-(1-X202/eco)^n),alpha*fck),0)</f>
      </c>
      <c r="Z202" s="30">
        <f>PM_Angle!$J$15+PM_Angle!$K$15*$C202+PM_Angle!$L$15*$B202</f>
      </c>
      <c r="AA202" s="12">
        <f>IF(Z202&gt;0,IF(Z202&lt;=eco,alpha*fck*(1-(1-Z202/eco)^n),alpha*fck),0)</f>
      </c>
      <c r="AB202" s="30">
        <f>PM_Angle!$J$16+PM_Angle!$K$16*$C202+PM_Angle!$L$16*$B202</f>
      </c>
      <c r="AC202" s="12">
        <f>IF(AB202&gt;0,IF(AB202&lt;=eco,alpha*fck*(1-(1-AB202/eco)^n),alpha*fck),0)</f>
      </c>
      <c r="AD202" s="30">
        <f>PM_Angle!$J$17+PM_Angle!$K$17*$C202+PM_Angle!$L$17*$B202</f>
      </c>
      <c r="AE202" s="12">
        <f>IF(AD202&gt;0,IF(AD202&lt;=eco,alpha*fck*(1-(1-AD202/eco)^n),alpha*fck),0)</f>
      </c>
      <c r="AF202" s="30">
        <f>PM_Angle!$J$18+PM_Angle!$K$18*$C202+PM_Angle!$L$18*$B202</f>
      </c>
      <c r="AG202" s="12">
        <f>IF(AF202&gt;0,IF(AF202&lt;=eco,alpha*fck*(1-(1-AF202/eco)^n),alpha*fck),0)</f>
      </c>
      <c r="AH202" s="30">
        <f>PM_Angle!$J$19+PM_Angle!$K$19*$C202+PM_Angle!$L$19*$B202</f>
      </c>
      <c r="AI202" s="12">
        <f>IF(AH202&gt;0,IF(AH202&lt;=eco,alpha*fck*(1-(1-AH202/eco)^n),alpha*fck),0)</f>
      </c>
      <c r="AJ202" s="30">
        <f>PM_Angle!$J$20+PM_Angle!$K$20*$C202+PM_Angle!$L$20*$B202</f>
      </c>
      <c r="AK202" s="12">
        <f>IF(AJ202&gt;0,IF(AJ202&lt;=eco,alpha*fck*(1-(1-AJ202/eco)^n),alpha*fck),0)</f>
      </c>
      <c r="AL202" s="30">
        <f>PM_Angle!$J$21+PM_Angle!$K$21*$C202+PM_Angle!$L$21*$B202</f>
      </c>
      <c r="AM202" s="12">
        <f>IF(AL202&gt;0,IF(AL202&lt;=eco,alpha*fck*(1-(1-AL202/eco)^n),alpha*fck),0)</f>
      </c>
      <c r="AN202" s="30">
        <f>PM_Angle!$J$22+PM_Angle!$K$22*$C202+PM_Angle!$L$22*$B202</f>
      </c>
      <c r="AO202" s="12">
        <f>IF(AN202&gt;0,IF(AN202&lt;=eco,alpha*fck*(1-(1-AN202/eco)^n),alpha*fck),0)</f>
      </c>
      <c r="AP202" s="30">
        <f>PM_Angle!$J$23+PM_Angle!$K$23*$C202+PM_Angle!$L$23*$B202</f>
      </c>
      <c r="AQ202" s="12">
        <f>IF(AP202&gt;0,IF(AP202&lt;=eco,alpha*fck*(1-(1-AP202/eco)^n),alpha*fck),0)</f>
      </c>
      <c r="AR202" s="30">
        <f>PM_Angle!$J$24+PM_Angle!$K$24*$C202+PM_Angle!$L$24*$B202</f>
      </c>
      <c r="AS202" s="12">
        <f>IF(AR202&gt;0,IF(AR202&lt;=eco,alpha*fck*(1-(1-AR202/eco)^n),alpha*fck),0)</f>
      </c>
      <c r="AT202" s="30">
        <f>PM_Angle!$J$25+PM_Angle!$K$25*$C202+PM_Angle!$L$25*$B202</f>
      </c>
      <c r="AU202" s="12">
        <f>IF(AT202&gt;0,IF(AT202&lt;=eco,alpha*fck*(1-(1-AT202/eco)^n),alpha*fck),0)</f>
      </c>
    </row>
    <row r="203" spans="1:47" x14ac:dyDescent="0.25">
      <c r="A203">
        <f>Mesh!A200</f>
      </c>
      <c r="B203" s="12">
        <f>Mesh!B200</f>
      </c>
      <c r="C203" s="12">
        <f>Mesh!C200</f>
      </c>
      <c r="D203" s="12">
        <f>Mesh!D200</f>
      </c>
      <c r="E203" s="30">
        <f>INDEX(St_e0,Det+1)+INDEX(St_kx,Det+1)*C203+INDEX(St_ky,Det+1)*B203</f>
      </c>
      <c r="F203" s="12">
        <f>IF(E203&gt;0,IF(E203&lt;=eco,alpha*fck*(1-(1-E203/eco)^n),alpha*fck),0)</f>
      </c>
      <c r="G203" s="11">
        <f>F203*D203</f>
      </c>
      <c r="H203" s="11">
        <f>G203*C203</f>
      </c>
      <c r="I203" s="11">
        <f>G203*B203</f>
      </c>
      <c r="J203" s="30">
        <f>PM_Angle!$J$7+PM_Angle!$K$7*$C203+PM_Angle!$L$7*$B203</f>
      </c>
      <c r="K203" s="12">
        <f>IF(J203&gt;0,IF(J203&lt;=eco,alpha*fck*(1-(1-J203/eco)^n),alpha*fck),0)</f>
      </c>
      <c r="L203" s="30">
        <f>PM_Angle!$J$8+PM_Angle!$K$8*$C203+PM_Angle!$L$8*$B203</f>
      </c>
      <c r="M203" s="12">
        <f>IF(L203&gt;0,IF(L203&lt;=eco,alpha*fck*(1-(1-L203/eco)^n),alpha*fck),0)</f>
      </c>
      <c r="N203" s="30">
        <f>PM_Angle!$J$9+PM_Angle!$K$9*$C203+PM_Angle!$L$9*$B203</f>
      </c>
      <c r="O203" s="12">
        <f>IF(N203&gt;0,IF(N203&lt;=eco,alpha*fck*(1-(1-N203/eco)^n),alpha*fck),0)</f>
      </c>
      <c r="P203" s="30">
        <f>PM_Angle!$J$10+PM_Angle!$K$10*$C203+PM_Angle!$L$10*$B203</f>
      </c>
      <c r="Q203" s="12">
        <f>IF(P203&gt;0,IF(P203&lt;=eco,alpha*fck*(1-(1-P203/eco)^n),alpha*fck),0)</f>
      </c>
      <c r="R203" s="30">
        <f>PM_Angle!$J$11+PM_Angle!$K$11*$C203+PM_Angle!$L$11*$B203</f>
      </c>
      <c r="S203" s="12">
        <f>IF(R203&gt;0,IF(R203&lt;=eco,alpha*fck*(1-(1-R203/eco)^n),alpha*fck),0)</f>
      </c>
      <c r="T203" s="30">
        <f>PM_Angle!$J$12+PM_Angle!$K$12*$C203+PM_Angle!$L$12*$B203</f>
      </c>
      <c r="U203" s="12">
        <f>IF(T203&gt;0,IF(T203&lt;=eco,alpha*fck*(1-(1-T203/eco)^n),alpha*fck),0)</f>
      </c>
      <c r="V203" s="30">
        <f>PM_Angle!$J$13+PM_Angle!$K$13*$C203+PM_Angle!$L$13*$B203</f>
      </c>
      <c r="W203" s="12">
        <f>IF(V203&gt;0,IF(V203&lt;=eco,alpha*fck*(1-(1-V203/eco)^n),alpha*fck),0)</f>
      </c>
      <c r="X203" s="30">
        <f>PM_Angle!$J$14+PM_Angle!$K$14*$C203+PM_Angle!$L$14*$B203</f>
      </c>
      <c r="Y203" s="12">
        <f>IF(X203&gt;0,IF(X203&lt;=eco,alpha*fck*(1-(1-X203/eco)^n),alpha*fck),0)</f>
      </c>
      <c r="Z203" s="30">
        <f>PM_Angle!$J$15+PM_Angle!$K$15*$C203+PM_Angle!$L$15*$B203</f>
      </c>
      <c r="AA203" s="12">
        <f>IF(Z203&gt;0,IF(Z203&lt;=eco,alpha*fck*(1-(1-Z203/eco)^n),alpha*fck),0)</f>
      </c>
      <c r="AB203" s="30">
        <f>PM_Angle!$J$16+PM_Angle!$K$16*$C203+PM_Angle!$L$16*$B203</f>
      </c>
      <c r="AC203" s="12">
        <f>IF(AB203&gt;0,IF(AB203&lt;=eco,alpha*fck*(1-(1-AB203/eco)^n),alpha*fck),0)</f>
      </c>
      <c r="AD203" s="30">
        <f>PM_Angle!$J$17+PM_Angle!$K$17*$C203+PM_Angle!$L$17*$B203</f>
      </c>
      <c r="AE203" s="12">
        <f>IF(AD203&gt;0,IF(AD203&lt;=eco,alpha*fck*(1-(1-AD203/eco)^n),alpha*fck),0)</f>
      </c>
      <c r="AF203" s="30">
        <f>PM_Angle!$J$18+PM_Angle!$K$18*$C203+PM_Angle!$L$18*$B203</f>
      </c>
      <c r="AG203" s="12">
        <f>IF(AF203&gt;0,IF(AF203&lt;=eco,alpha*fck*(1-(1-AF203/eco)^n),alpha*fck),0)</f>
      </c>
      <c r="AH203" s="30">
        <f>PM_Angle!$J$19+PM_Angle!$K$19*$C203+PM_Angle!$L$19*$B203</f>
      </c>
      <c r="AI203" s="12">
        <f>IF(AH203&gt;0,IF(AH203&lt;=eco,alpha*fck*(1-(1-AH203/eco)^n),alpha*fck),0)</f>
      </c>
      <c r="AJ203" s="30">
        <f>PM_Angle!$J$20+PM_Angle!$K$20*$C203+PM_Angle!$L$20*$B203</f>
      </c>
      <c r="AK203" s="12">
        <f>IF(AJ203&gt;0,IF(AJ203&lt;=eco,alpha*fck*(1-(1-AJ203/eco)^n),alpha*fck),0)</f>
      </c>
      <c r="AL203" s="30">
        <f>PM_Angle!$J$21+PM_Angle!$K$21*$C203+PM_Angle!$L$21*$B203</f>
      </c>
      <c r="AM203" s="12">
        <f>IF(AL203&gt;0,IF(AL203&lt;=eco,alpha*fck*(1-(1-AL203/eco)^n),alpha*fck),0)</f>
      </c>
      <c r="AN203" s="30">
        <f>PM_Angle!$J$22+PM_Angle!$K$22*$C203+PM_Angle!$L$22*$B203</f>
      </c>
      <c r="AO203" s="12">
        <f>IF(AN203&gt;0,IF(AN203&lt;=eco,alpha*fck*(1-(1-AN203/eco)^n),alpha*fck),0)</f>
      </c>
      <c r="AP203" s="30">
        <f>PM_Angle!$J$23+PM_Angle!$K$23*$C203+PM_Angle!$L$23*$B203</f>
      </c>
      <c r="AQ203" s="12">
        <f>IF(AP203&gt;0,IF(AP203&lt;=eco,alpha*fck*(1-(1-AP203/eco)^n),alpha*fck),0)</f>
      </c>
      <c r="AR203" s="30">
        <f>PM_Angle!$J$24+PM_Angle!$K$24*$C203+PM_Angle!$L$24*$B203</f>
      </c>
      <c r="AS203" s="12">
        <f>IF(AR203&gt;0,IF(AR203&lt;=eco,alpha*fck*(1-(1-AR203/eco)^n),alpha*fck),0)</f>
      </c>
      <c r="AT203" s="30">
        <f>PM_Angle!$J$25+PM_Angle!$K$25*$C203+PM_Angle!$L$25*$B203</f>
      </c>
      <c r="AU203" s="12">
        <f>IF(AT203&gt;0,IF(AT203&lt;=eco,alpha*fck*(1-(1-AT203/eco)^n),alpha*fck),0)</f>
      </c>
    </row>
    <row r="204" spans="1:47" x14ac:dyDescent="0.25">
      <c r="A204">
        <f>Mesh!A201</f>
      </c>
      <c r="B204" s="12">
        <f>Mesh!B201</f>
      </c>
      <c r="C204" s="12">
        <f>Mesh!C201</f>
      </c>
      <c r="D204" s="12">
        <f>Mesh!D201</f>
      </c>
      <c r="E204" s="30">
        <f>INDEX(St_e0,Det+1)+INDEX(St_kx,Det+1)*C204+INDEX(St_ky,Det+1)*B204</f>
      </c>
      <c r="F204" s="12">
        <f>IF(E204&gt;0,IF(E204&lt;=eco,alpha*fck*(1-(1-E204/eco)^n),alpha*fck),0)</f>
      </c>
      <c r="G204" s="11">
        <f>F204*D204</f>
      </c>
      <c r="H204" s="11">
        <f>G204*C204</f>
      </c>
      <c r="I204" s="11">
        <f>G204*B204</f>
      </c>
      <c r="J204" s="30">
        <f>PM_Angle!$J$7+PM_Angle!$K$7*$C204+PM_Angle!$L$7*$B204</f>
      </c>
      <c r="K204" s="12">
        <f>IF(J204&gt;0,IF(J204&lt;=eco,alpha*fck*(1-(1-J204/eco)^n),alpha*fck),0)</f>
      </c>
      <c r="L204" s="30">
        <f>PM_Angle!$J$8+PM_Angle!$K$8*$C204+PM_Angle!$L$8*$B204</f>
      </c>
      <c r="M204" s="12">
        <f>IF(L204&gt;0,IF(L204&lt;=eco,alpha*fck*(1-(1-L204/eco)^n),alpha*fck),0)</f>
      </c>
      <c r="N204" s="30">
        <f>PM_Angle!$J$9+PM_Angle!$K$9*$C204+PM_Angle!$L$9*$B204</f>
      </c>
      <c r="O204" s="12">
        <f>IF(N204&gt;0,IF(N204&lt;=eco,alpha*fck*(1-(1-N204/eco)^n),alpha*fck),0)</f>
      </c>
      <c r="P204" s="30">
        <f>PM_Angle!$J$10+PM_Angle!$K$10*$C204+PM_Angle!$L$10*$B204</f>
      </c>
      <c r="Q204" s="12">
        <f>IF(P204&gt;0,IF(P204&lt;=eco,alpha*fck*(1-(1-P204/eco)^n),alpha*fck),0)</f>
      </c>
      <c r="R204" s="30">
        <f>PM_Angle!$J$11+PM_Angle!$K$11*$C204+PM_Angle!$L$11*$B204</f>
      </c>
      <c r="S204" s="12">
        <f>IF(R204&gt;0,IF(R204&lt;=eco,alpha*fck*(1-(1-R204/eco)^n),alpha*fck),0)</f>
      </c>
      <c r="T204" s="30">
        <f>PM_Angle!$J$12+PM_Angle!$K$12*$C204+PM_Angle!$L$12*$B204</f>
      </c>
      <c r="U204" s="12">
        <f>IF(T204&gt;0,IF(T204&lt;=eco,alpha*fck*(1-(1-T204/eco)^n),alpha*fck),0)</f>
      </c>
      <c r="V204" s="30">
        <f>PM_Angle!$J$13+PM_Angle!$K$13*$C204+PM_Angle!$L$13*$B204</f>
      </c>
      <c r="W204" s="12">
        <f>IF(V204&gt;0,IF(V204&lt;=eco,alpha*fck*(1-(1-V204/eco)^n),alpha*fck),0)</f>
      </c>
      <c r="X204" s="30">
        <f>PM_Angle!$J$14+PM_Angle!$K$14*$C204+PM_Angle!$L$14*$B204</f>
      </c>
      <c r="Y204" s="12">
        <f>IF(X204&gt;0,IF(X204&lt;=eco,alpha*fck*(1-(1-X204/eco)^n),alpha*fck),0)</f>
      </c>
      <c r="Z204" s="30">
        <f>PM_Angle!$J$15+PM_Angle!$K$15*$C204+PM_Angle!$L$15*$B204</f>
      </c>
      <c r="AA204" s="12">
        <f>IF(Z204&gt;0,IF(Z204&lt;=eco,alpha*fck*(1-(1-Z204/eco)^n),alpha*fck),0)</f>
      </c>
      <c r="AB204" s="30">
        <f>PM_Angle!$J$16+PM_Angle!$K$16*$C204+PM_Angle!$L$16*$B204</f>
      </c>
      <c r="AC204" s="12">
        <f>IF(AB204&gt;0,IF(AB204&lt;=eco,alpha*fck*(1-(1-AB204/eco)^n),alpha*fck),0)</f>
      </c>
      <c r="AD204" s="30">
        <f>PM_Angle!$J$17+PM_Angle!$K$17*$C204+PM_Angle!$L$17*$B204</f>
      </c>
      <c r="AE204" s="12">
        <f>IF(AD204&gt;0,IF(AD204&lt;=eco,alpha*fck*(1-(1-AD204/eco)^n),alpha*fck),0)</f>
      </c>
      <c r="AF204" s="30">
        <f>PM_Angle!$J$18+PM_Angle!$K$18*$C204+PM_Angle!$L$18*$B204</f>
      </c>
      <c r="AG204" s="12">
        <f>IF(AF204&gt;0,IF(AF204&lt;=eco,alpha*fck*(1-(1-AF204/eco)^n),alpha*fck),0)</f>
      </c>
      <c r="AH204" s="30">
        <f>PM_Angle!$J$19+PM_Angle!$K$19*$C204+PM_Angle!$L$19*$B204</f>
      </c>
      <c r="AI204" s="12">
        <f>IF(AH204&gt;0,IF(AH204&lt;=eco,alpha*fck*(1-(1-AH204/eco)^n),alpha*fck),0)</f>
      </c>
      <c r="AJ204" s="30">
        <f>PM_Angle!$J$20+PM_Angle!$K$20*$C204+PM_Angle!$L$20*$B204</f>
      </c>
      <c r="AK204" s="12">
        <f>IF(AJ204&gt;0,IF(AJ204&lt;=eco,alpha*fck*(1-(1-AJ204/eco)^n),alpha*fck),0)</f>
      </c>
      <c r="AL204" s="30">
        <f>PM_Angle!$J$21+PM_Angle!$K$21*$C204+PM_Angle!$L$21*$B204</f>
      </c>
      <c r="AM204" s="12">
        <f>IF(AL204&gt;0,IF(AL204&lt;=eco,alpha*fck*(1-(1-AL204/eco)^n),alpha*fck),0)</f>
      </c>
      <c r="AN204" s="30">
        <f>PM_Angle!$J$22+PM_Angle!$K$22*$C204+PM_Angle!$L$22*$B204</f>
      </c>
      <c r="AO204" s="12">
        <f>IF(AN204&gt;0,IF(AN204&lt;=eco,alpha*fck*(1-(1-AN204/eco)^n),alpha*fck),0)</f>
      </c>
      <c r="AP204" s="30">
        <f>PM_Angle!$J$23+PM_Angle!$K$23*$C204+PM_Angle!$L$23*$B204</f>
      </c>
      <c r="AQ204" s="12">
        <f>IF(AP204&gt;0,IF(AP204&lt;=eco,alpha*fck*(1-(1-AP204/eco)^n),alpha*fck),0)</f>
      </c>
      <c r="AR204" s="30">
        <f>PM_Angle!$J$24+PM_Angle!$K$24*$C204+PM_Angle!$L$24*$B204</f>
      </c>
      <c r="AS204" s="12">
        <f>IF(AR204&gt;0,IF(AR204&lt;=eco,alpha*fck*(1-(1-AR204/eco)^n),alpha*fck),0)</f>
      </c>
      <c r="AT204" s="30">
        <f>PM_Angle!$J$25+PM_Angle!$K$25*$C204+PM_Angle!$L$25*$B204</f>
      </c>
      <c r="AU204" s="12">
        <f>IF(AT204&gt;0,IF(AT204&lt;=eco,alpha*fck*(1-(1-AT204/eco)^n),alpha*fck),0)</f>
      </c>
    </row>
    <row r="205" spans="1:47" x14ac:dyDescent="0.25">
      <c r="A205">
        <f>Mesh!A202</f>
      </c>
      <c r="B205" s="12">
        <f>Mesh!B202</f>
      </c>
      <c r="C205" s="12">
        <f>Mesh!C202</f>
      </c>
      <c r="D205" s="12">
        <f>Mesh!D202</f>
      </c>
      <c r="E205" s="30">
        <f>INDEX(St_e0,Det+1)+INDEX(St_kx,Det+1)*C205+INDEX(St_ky,Det+1)*B205</f>
      </c>
      <c r="F205" s="12">
        <f>IF(E205&gt;0,IF(E205&lt;=eco,alpha*fck*(1-(1-E205/eco)^n),alpha*fck),0)</f>
      </c>
      <c r="G205" s="11">
        <f>F205*D205</f>
      </c>
      <c r="H205" s="11">
        <f>G205*C205</f>
      </c>
      <c r="I205" s="11">
        <f>G205*B205</f>
      </c>
      <c r="J205" s="30">
        <f>PM_Angle!$J$7+PM_Angle!$K$7*$C205+PM_Angle!$L$7*$B205</f>
      </c>
      <c r="K205" s="12">
        <f>IF(J205&gt;0,IF(J205&lt;=eco,alpha*fck*(1-(1-J205/eco)^n),alpha*fck),0)</f>
      </c>
      <c r="L205" s="30">
        <f>PM_Angle!$J$8+PM_Angle!$K$8*$C205+PM_Angle!$L$8*$B205</f>
      </c>
      <c r="M205" s="12">
        <f>IF(L205&gt;0,IF(L205&lt;=eco,alpha*fck*(1-(1-L205/eco)^n),alpha*fck),0)</f>
      </c>
      <c r="N205" s="30">
        <f>PM_Angle!$J$9+PM_Angle!$K$9*$C205+PM_Angle!$L$9*$B205</f>
      </c>
      <c r="O205" s="12">
        <f>IF(N205&gt;0,IF(N205&lt;=eco,alpha*fck*(1-(1-N205/eco)^n),alpha*fck),0)</f>
      </c>
      <c r="P205" s="30">
        <f>PM_Angle!$J$10+PM_Angle!$K$10*$C205+PM_Angle!$L$10*$B205</f>
      </c>
      <c r="Q205" s="12">
        <f>IF(P205&gt;0,IF(P205&lt;=eco,alpha*fck*(1-(1-P205/eco)^n),alpha*fck),0)</f>
      </c>
      <c r="R205" s="30">
        <f>PM_Angle!$J$11+PM_Angle!$K$11*$C205+PM_Angle!$L$11*$B205</f>
      </c>
      <c r="S205" s="12">
        <f>IF(R205&gt;0,IF(R205&lt;=eco,alpha*fck*(1-(1-R205/eco)^n),alpha*fck),0)</f>
      </c>
      <c r="T205" s="30">
        <f>PM_Angle!$J$12+PM_Angle!$K$12*$C205+PM_Angle!$L$12*$B205</f>
      </c>
      <c r="U205" s="12">
        <f>IF(T205&gt;0,IF(T205&lt;=eco,alpha*fck*(1-(1-T205/eco)^n),alpha*fck),0)</f>
      </c>
      <c r="V205" s="30">
        <f>PM_Angle!$J$13+PM_Angle!$K$13*$C205+PM_Angle!$L$13*$B205</f>
      </c>
      <c r="W205" s="12">
        <f>IF(V205&gt;0,IF(V205&lt;=eco,alpha*fck*(1-(1-V205/eco)^n),alpha*fck),0)</f>
      </c>
      <c r="X205" s="30">
        <f>PM_Angle!$J$14+PM_Angle!$K$14*$C205+PM_Angle!$L$14*$B205</f>
      </c>
      <c r="Y205" s="12">
        <f>IF(X205&gt;0,IF(X205&lt;=eco,alpha*fck*(1-(1-X205/eco)^n),alpha*fck),0)</f>
      </c>
      <c r="Z205" s="30">
        <f>PM_Angle!$J$15+PM_Angle!$K$15*$C205+PM_Angle!$L$15*$B205</f>
      </c>
      <c r="AA205" s="12">
        <f>IF(Z205&gt;0,IF(Z205&lt;=eco,alpha*fck*(1-(1-Z205/eco)^n),alpha*fck),0)</f>
      </c>
      <c r="AB205" s="30">
        <f>PM_Angle!$J$16+PM_Angle!$K$16*$C205+PM_Angle!$L$16*$B205</f>
      </c>
      <c r="AC205" s="12">
        <f>IF(AB205&gt;0,IF(AB205&lt;=eco,alpha*fck*(1-(1-AB205/eco)^n),alpha*fck),0)</f>
      </c>
      <c r="AD205" s="30">
        <f>PM_Angle!$J$17+PM_Angle!$K$17*$C205+PM_Angle!$L$17*$B205</f>
      </c>
      <c r="AE205" s="12">
        <f>IF(AD205&gt;0,IF(AD205&lt;=eco,alpha*fck*(1-(1-AD205/eco)^n),alpha*fck),0)</f>
      </c>
      <c r="AF205" s="30">
        <f>PM_Angle!$J$18+PM_Angle!$K$18*$C205+PM_Angle!$L$18*$B205</f>
      </c>
      <c r="AG205" s="12">
        <f>IF(AF205&gt;0,IF(AF205&lt;=eco,alpha*fck*(1-(1-AF205/eco)^n),alpha*fck),0)</f>
      </c>
      <c r="AH205" s="30">
        <f>PM_Angle!$J$19+PM_Angle!$K$19*$C205+PM_Angle!$L$19*$B205</f>
      </c>
      <c r="AI205" s="12">
        <f>IF(AH205&gt;0,IF(AH205&lt;=eco,alpha*fck*(1-(1-AH205/eco)^n),alpha*fck),0)</f>
      </c>
      <c r="AJ205" s="30">
        <f>PM_Angle!$J$20+PM_Angle!$K$20*$C205+PM_Angle!$L$20*$B205</f>
      </c>
      <c r="AK205" s="12">
        <f>IF(AJ205&gt;0,IF(AJ205&lt;=eco,alpha*fck*(1-(1-AJ205/eco)^n),alpha*fck),0)</f>
      </c>
      <c r="AL205" s="30">
        <f>PM_Angle!$J$21+PM_Angle!$K$21*$C205+PM_Angle!$L$21*$B205</f>
      </c>
      <c r="AM205" s="12">
        <f>IF(AL205&gt;0,IF(AL205&lt;=eco,alpha*fck*(1-(1-AL205/eco)^n),alpha*fck),0)</f>
      </c>
      <c r="AN205" s="30">
        <f>PM_Angle!$J$22+PM_Angle!$K$22*$C205+PM_Angle!$L$22*$B205</f>
      </c>
      <c r="AO205" s="12">
        <f>IF(AN205&gt;0,IF(AN205&lt;=eco,alpha*fck*(1-(1-AN205/eco)^n),alpha*fck),0)</f>
      </c>
      <c r="AP205" s="30">
        <f>PM_Angle!$J$23+PM_Angle!$K$23*$C205+PM_Angle!$L$23*$B205</f>
      </c>
      <c r="AQ205" s="12">
        <f>IF(AP205&gt;0,IF(AP205&lt;=eco,alpha*fck*(1-(1-AP205/eco)^n),alpha*fck),0)</f>
      </c>
      <c r="AR205" s="30">
        <f>PM_Angle!$J$24+PM_Angle!$K$24*$C205+PM_Angle!$L$24*$B205</f>
      </c>
      <c r="AS205" s="12">
        <f>IF(AR205&gt;0,IF(AR205&lt;=eco,alpha*fck*(1-(1-AR205/eco)^n),alpha*fck),0)</f>
      </c>
      <c r="AT205" s="30">
        <f>PM_Angle!$J$25+PM_Angle!$K$25*$C205+PM_Angle!$L$25*$B205</f>
      </c>
      <c r="AU205" s="12">
        <f>IF(AT205&gt;0,IF(AT205&lt;=eco,alpha*fck*(1-(1-AT205/eco)^n),alpha*fck),0)</f>
      </c>
    </row>
    <row r="206" spans="1:47" x14ac:dyDescent="0.25">
      <c r="A206">
        <f>Mesh!A203</f>
      </c>
      <c r="B206" s="12">
        <f>Mesh!B203</f>
      </c>
      <c r="C206" s="12">
        <f>Mesh!C203</f>
      </c>
      <c r="D206" s="12">
        <f>Mesh!D203</f>
      </c>
      <c r="E206" s="30">
        <f>INDEX(St_e0,Det+1)+INDEX(St_kx,Det+1)*C206+INDEX(St_ky,Det+1)*B206</f>
      </c>
      <c r="F206" s="12">
        <f>IF(E206&gt;0,IF(E206&lt;=eco,alpha*fck*(1-(1-E206/eco)^n),alpha*fck),0)</f>
      </c>
      <c r="G206" s="11">
        <f>F206*D206</f>
      </c>
      <c r="H206" s="11">
        <f>G206*C206</f>
      </c>
      <c r="I206" s="11">
        <f>G206*B206</f>
      </c>
      <c r="J206" s="30">
        <f>PM_Angle!$J$7+PM_Angle!$K$7*$C206+PM_Angle!$L$7*$B206</f>
      </c>
      <c r="K206" s="12">
        <f>IF(J206&gt;0,IF(J206&lt;=eco,alpha*fck*(1-(1-J206/eco)^n),alpha*fck),0)</f>
      </c>
      <c r="L206" s="30">
        <f>PM_Angle!$J$8+PM_Angle!$K$8*$C206+PM_Angle!$L$8*$B206</f>
      </c>
      <c r="M206" s="12">
        <f>IF(L206&gt;0,IF(L206&lt;=eco,alpha*fck*(1-(1-L206/eco)^n),alpha*fck),0)</f>
      </c>
      <c r="N206" s="30">
        <f>PM_Angle!$J$9+PM_Angle!$K$9*$C206+PM_Angle!$L$9*$B206</f>
      </c>
      <c r="O206" s="12">
        <f>IF(N206&gt;0,IF(N206&lt;=eco,alpha*fck*(1-(1-N206/eco)^n),alpha*fck),0)</f>
      </c>
      <c r="P206" s="30">
        <f>PM_Angle!$J$10+PM_Angle!$K$10*$C206+PM_Angle!$L$10*$B206</f>
      </c>
      <c r="Q206" s="12">
        <f>IF(P206&gt;0,IF(P206&lt;=eco,alpha*fck*(1-(1-P206/eco)^n),alpha*fck),0)</f>
      </c>
      <c r="R206" s="30">
        <f>PM_Angle!$J$11+PM_Angle!$K$11*$C206+PM_Angle!$L$11*$B206</f>
      </c>
      <c r="S206" s="12">
        <f>IF(R206&gt;0,IF(R206&lt;=eco,alpha*fck*(1-(1-R206/eco)^n),alpha*fck),0)</f>
      </c>
      <c r="T206" s="30">
        <f>PM_Angle!$J$12+PM_Angle!$K$12*$C206+PM_Angle!$L$12*$B206</f>
      </c>
      <c r="U206" s="12">
        <f>IF(T206&gt;0,IF(T206&lt;=eco,alpha*fck*(1-(1-T206/eco)^n),alpha*fck),0)</f>
      </c>
      <c r="V206" s="30">
        <f>PM_Angle!$J$13+PM_Angle!$K$13*$C206+PM_Angle!$L$13*$B206</f>
      </c>
      <c r="W206" s="12">
        <f>IF(V206&gt;0,IF(V206&lt;=eco,alpha*fck*(1-(1-V206/eco)^n),alpha*fck),0)</f>
      </c>
      <c r="X206" s="30">
        <f>PM_Angle!$J$14+PM_Angle!$K$14*$C206+PM_Angle!$L$14*$B206</f>
      </c>
      <c r="Y206" s="12">
        <f>IF(X206&gt;0,IF(X206&lt;=eco,alpha*fck*(1-(1-X206/eco)^n),alpha*fck),0)</f>
      </c>
      <c r="Z206" s="30">
        <f>PM_Angle!$J$15+PM_Angle!$K$15*$C206+PM_Angle!$L$15*$B206</f>
      </c>
      <c r="AA206" s="12">
        <f>IF(Z206&gt;0,IF(Z206&lt;=eco,alpha*fck*(1-(1-Z206/eco)^n),alpha*fck),0)</f>
      </c>
      <c r="AB206" s="30">
        <f>PM_Angle!$J$16+PM_Angle!$K$16*$C206+PM_Angle!$L$16*$B206</f>
      </c>
      <c r="AC206" s="12">
        <f>IF(AB206&gt;0,IF(AB206&lt;=eco,alpha*fck*(1-(1-AB206/eco)^n),alpha*fck),0)</f>
      </c>
      <c r="AD206" s="30">
        <f>PM_Angle!$J$17+PM_Angle!$K$17*$C206+PM_Angle!$L$17*$B206</f>
      </c>
      <c r="AE206" s="12">
        <f>IF(AD206&gt;0,IF(AD206&lt;=eco,alpha*fck*(1-(1-AD206/eco)^n),alpha*fck),0)</f>
      </c>
      <c r="AF206" s="30">
        <f>PM_Angle!$J$18+PM_Angle!$K$18*$C206+PM_Angle!$L$18*$B206</f>
      </c>
      <c r="AG206" s="12">
        <f>IF(AF206&gt;0,IF(AF206&lt;=eco,alpha*fck*(1-(1-AF206/eco)^n),alpha*fck),0)</f>
      </c>
      <c r="AH206" s="30">
        <f>PM_Angle!$J$19+PM_Angle!$K$19*$C206+PM_Angle!$L$19*$B206</f>
      </c>
      <c r="AI206" s="12">
        <f>IF(AH206&gt;0,IF(AH206&lt;=eco,alpha*fck*(1-(1-AH206/eco)^n),alpha*fck),0)</f>
      </c>
      <c r="AJ206" s="30">
        <f>PM_Angle!$J$20+PM_Angle!$K$20*$C206+PM_Angle!$L$20*$B206</f>
      </c>
      <c r="AK206" s="12">
        <f>IF(AJ206&gt;0,IF(AJ206&lt;=eco,alpha*fck*(1-(1-AJ206/eco)^n),alpha*fck),0)</f>
      </c>
      <c r="AL206" s="30">
        <f>PM_Angle!$J$21+PM_Angle!$K$21*$C206+PM_Angle!$L$21*$B206</f>
      </c>
      <c r="AM206" s="12">
        <f>IF(AL206&gt;0,IF(AL206&lt;=eco,alpha*fck*(1-(1-AL206/eco)^n),alpha*fck),0)</f>
      </c>
      <c r="AN206" s="30">
        <f>PM_Angle!$J$22+PM_Angle!$K$22*$C206+PM_Angle!$L$22*$B206</f>
      </c>
      <c r="AO206" s="12">
        <f>IF(AN206&gt;0,IF(AN206&lt;=eco,alpha*fck*(1-(1-AN206/eco)^n),alpha*fck),0)</f>
      </c>
      <c r="AP206" s="30">
        <f>PM_Angle!$J$23+PM_Angle!$K$23*$C206+PM_Angle!$L$23*$B206</f>
      </c>
      <c r="AQ206" s="12">
        <f>IF(AP206&gt;0,IF(AP206&lt;=eco,alpha*fck*(1-(1-AP206/eco)^n),alpha*fck),0)</f>
      </c>
      <c r="AR206" s="30">
        <f>PM_Angle!$J$24+PM_Angle!$K$24*$C206+PM_Angle!$L$24*$B206</f>
      </c>
      <c r="AS206" s="12">
        <f>IF(AR206&gt;0,IF(AR206&lt;=eco,alpha*fck*(1-(1-AR206/eco)^n),alpha*fck),0)</f>
      </c>
      <c r="AT206" s="30">
        <f>PM_Angle!$J$25+PM_Angle!$K$25*$C206+PM_Angle!$L$25*$B206</f>
      </c>
      <c r="AU206" s="12">
        <f>IF(AT206&gt;0,IF(AT206&lt;=eco,alpha*fck*(1-(1-AT206/eco)^n),alpha*fck),0)</f>
      </c>
    </row>
    <row r="207" spans="1:47" x14ac:dyDescent="0.25">
      <c r="A207">
        <f>Mesh!A204</f>
      </c>
      <c r="B207" s="12">
        <f>Mesh!B204</f>
      </c>
      <c r="C207" s="12">
        <f>Mesh!C204</f>
      </c>
      <c r="D207" s="12">
        <f>Mesh!D204</f>
      </c>
      <c r="E207" s="30">
        <f>INDEX(St_e0,Det+1)+INDEX(St_kx,Det+1)*C207+INDEX(St_ky,Det+1)*B207</f>
      </c>
      <c r="F207" s="12">
        <f>IF(E207&gt;0,IF(E207&lt;=eco,alpha*fck*(1-(1-E207/eco)^n),alpha*fck),0)</f>
      </c>
      <c r="G207" s="11">
        <f>F207*D207</f>
      </c>
      <c r="H207" s="11">
        <f>G207*C207</f>
      </c>
      <c r="I207" s="11">
        <f>G207*B207</f>
      </c>
      <c r="J207" s="30">
        <f>PM_Angle!$J$7+PM_Angle!$K$7*$C207+PM_Angle!$L$7*$B207</f>
      </c>
      <c r="K207" s="12">
        <f>IF(J207&gt;0,IF(J207&lt;=eco,alpha*fck*(1-(1-J207/eco)^n),alpha*fck),0)</f>
      </c>
      <c r="L207" s="30">
        <f>PM_Angle!$J$8+PM_Angle!$K$8*$C207+PM_Angle!$L$8*$B207</f>
      </c>
      <c r="M207" s="12">
        <f>IF(L207&gt;0,IF(L207&lt;=eco,alpha*fck*(1-(1-L207/eco)^n),alpha*fck),0)</f>
      </c>
      <c r="N207" s="30">
        <f>PM_Angle!$J$9+PM_Angle!$K$9*$C207+PM_Angle!$L$9*$B207</f>
      </c>
      <c r="O207" s="12">
        <f>IF(N207&gt;0,IF(N207&lt;=eco,alpha*fck*(1-(1-N207/eco)^n),alpha*fck),0)</f>
      </c>
      <c r="P207" s="30">
        <f>PM_Angle!$J$10+PM_Angle!$K$10*$C207+PM_Angle!$L$10*$B207</f>
      </c>
      <c r="Q207" s="12">
        <f>IF(P207&gt;0,IF(P207&lt;=eco,alpha*fck*(1-(1-P207/eco)^n),alpha*fck),0)</f>
      </c>
      <c r="R207" s="30">
        <f>PM_Angle!$J$11+PM_Angle!$K$11*$C207+PM_Angle!$L$11*$B207</f>
      </c>
      <c r="S207" s="12">
        <f>IF(R207&gt;0,IF(R207&lt;=eco,alpha*fck*(1-(1-R207/eco)^n),alpha*fck),0)</f>
      </c>
      <c r="T207" s="30">
        <f>PM_Angle!$J$12+PM_Angle!$K$12*$C207+PM_Angle!$L$12*$B207</f>
      </c>
      <c r="U207" s="12">
        <f>IF(T207&gt;0,IF(T207&lt;=eco,alpha*fck*(1-(1-T207/eco)^n),alpha*fck),0)</f>
      </c>
      <c r="V207" s="30">
        <f>PM_Angle!$J$13+PM_Angle!$K$13*$C207+PM_Angle!$L$13*$B207</f>
      </c>
      <c r="W207" s="12">
        <f>IF(V207&gt;0,IF(V207&lt;=eco,alpha*fck*(1-(1-V207/eco)^n),alpha*fck),0)</f>
      </c>
      <c r="X207" s="30">
        <f>PM_Angle!$J$14+PM_Angle!$K$14*$C207+PM_Angle!$L$14*$B207</f>
      </c>
      <c r="Y207" s="12">
        <f>IF(X207&gt;0,IF(X207&lt;=eco,alpha*fck*(1-(1-X207/eco)^n),alpha*fck),0)</f>
      </c>
      <c r="Z207" s="30">
        <f>PM_Angle!$J$15+PM_Angle!$K$15*$C207+PM_Angle!$L$15*$B207</f>
      </c>
      <c r="AA207" s="12">
        <f>IF(Z207&gt;0,IF(Z207&lt;=eco,alpha*fck*(1-(1-Z207/eco)^n),alpha*fck),0)</f>
      </c>
      <c r="AB207" s="30">
        <f>PM_Angle!$J$16+PM_Angle!$K$16*$C207+PM_Angle!$L$16*$B207</f>
      </c>
      <c r="AC207" s="12">
        <f>IF(AB207&gt;0,IF(AB207&lt;=eco,alpha*fck*(1-(1-AB207/eco)^n),alpha*fck),0)</f>
      </c>
      <c r="AD207" s="30">
        <f>PM_Angle!$J$17+PM_Angle!$K$17*$C207+PM_Angle!$L$17*$B207</f>
      </c>
      <c r="AE207" s="12">
        <f>IF(AD207&gt;0,IF(AD207&lt;=eco,alpha*fck*(1-(1-AD207/eco)^n),alpha*fck),0)</f>
      </c>
      <c r="AF207" s="30">
        <f>PM_Angle!$J$18+PM_Angle!$K$18*$C207+PM_Angle!$L$18*$B207</f>
      </c>
      <c r="AG207" s="12">
        <f>IF(AF207&gt;0,IF(AF207&lt;=eco,alpha*fck*(1-(1-AF207/eco)^n),alpha*fck),0)</f>
      </c>
      <c r="AH207" s="30">
        <f>PM_Angle!$J$19+PM_Angle!$K$19*$C207+PM_Angle!$L$19*$B207</f>
      </c>
      <c r="AI207" s="12">
        <f>IF(AH207&gt;0,IF(AH207&lt;=eco,alpha*fck*(1-(1-AH207/eco)^n),alpha*fck),0)</f>
      </c>
      <c r="AJ207" s="30">
        <f>PM_Angle!$J$20+PM_Angle!$K$20*$C207+PM_Angle!$L$20*$B207</f>
      </c>
      <c r="AK207" s="12">
        <f>IF(AJ207&gt;0,IF(AJ207&lt;=eco,alpha*fck*(1-(1-AJ207/eco)^n),alpha*fck),0)</f>
      </c>
      <c r="AL207" s="30">
        <f>PM_Angle!$J$21+PM_Angle!$K$21*$C207+PM_Angle!$L$21*$B207</f>
      </c>
      <c r="AM207" s="12">
        <f>IF(AL207&gt;0,IF(AL207&lt;=eco,alpha*fck*(1-(1-AL207/eco)^n),alpha*fck),0)</f>
      </c>
      <c r="AN207" s="30">
        <f>PM_Angle!$J$22+PM_Angle!$K$22*$C207+PM_Angle!$L$22*$B207</f>
      </c>
      <c r="AO207" s="12">
        <f>IF(AN207&gt;0,IF(AN207&lt;=eco,alpha*fck*(1-(1-AN207/eco)^n),alpha*fck),0)</f>
      </c>
      <c r="AP207" s="30">
        <f>PM_Angle!$J$23+PM_Angle!$K$23*$C207+PM_Angle!$L$23*$B207</f>
      </c>
      <c r="AQ207" s="12">
        <f>IF(AP207&gt;0,IF(AP207&lt;=eco,alpha*fck*(1-(1-AP207/eco)^n),alpha*fck),0)</f>
      </c>
      <c r="AR207" s="30">
        <f>PM_Angle!$J$24+PM_Angle!$K$24*$C207+PM_Angle!$L$24*$B207</f>
      </c>
      <c r="AS207" s="12">
        <f>IF(AR207&gt;0,IF(AR207&lt;=eco,alpha*fck*(1-(1-AR207/eco)^n),alpha*fck),0)</f>
      </c>
      <c r="AT207" s="30">
        <f>PM_Angle!$J$25+PM_Angle!$K$25*$C207+PM_Angle!$L$25*$B207</f>
      </c>
      <c r="AU207" s="12">
        <f>IF(AT207&gt;0,IF(AT207&lt;=eco,alpha*fck*(1-(1-AT207/eco)^n),alpha*fck),0)</f>
      </c>
    </row>
    <row r="208" spans="1:47" x14ac:dyDescent="0.25">
      <c r="A208">
        <f>Mesh!A205</f>
      </c>
      <c r="B208" s="12">
        <f>Mesh!B205</f>
      </c>
      <c r="C208" s="12">
        <f>Mesh!C205</f>
      </c>
      <c r="D208" s="12">
        <f>Mesh!D205</f>
      </c>
      <c r="E208" s="30">
        <f>INDEX(St_e0,Det+1)+INDEX(St_kx,Det+1)*C208+INDEX(St_ky,Det+1)*B208</f>
      </c>
      <c r="F208" s="12">
        <f>IF(E208&gt;0,IF(E208&lt;=eco,alpha*fck*(1-(1-E208/eco)^n),alpha*fck),0)</f>
      </c>
      <c r="G208" s="11">
        <f>F208*D208</f>
      </c>
      <c r="H208" s="11">
        <f>G208*C208</f>
      </c>
      <c r="I208" s="11">
        <f>G208*B208</f>
      </c>
      <c r="J208" s="30">
        <f>PM_Angle!$J$7+PM_Angle!$K$7*$C208+PM_Angle!$L$7*$B208</f>
      </c>
      <c r="K208" s="12">
        <f>IF(J208&gt;0,IF(J208&lt;=eco,alpha*fck*(1-(1-J208/eco)^n),alpha*fck),0)</f>
      </c>
      <c r="L208" s="30">
        <f>PM_Angle!$J$8+PM_Angle!$K$8*$C208+PM_Angle!$L$8*$B208</f>
      </c>
      <c r="M208" s="12">
        <f>IF(L208&gt;0,IF(L208&lt;=eco,alpha*fck*(1-(1-L208/eco)^n),alpha*fck),0)</f>
      </c>
      <c r="N208" s="30">
        <f>PM_Angle!$J$9+PM_Angle!$K$9*$C208+PM_Angle!$L$9*$B208</f>
      </c>
      <c r="O208" s="12">
        <f>IF(N208&gt;0,IF(N208&lt;=eco,alpha*fck*(1-(1-N208/eco)^n),alpha*fck),0)</f>
      </c>
      <c r="P208" s="30">
        <f>PM_Angle!$J$10+PM_Angle!$K$10*$C208+PM_Angle!$L$10*$B208</f>
      </c>
      <c r="Q208" s="12">
        <f>IF(P208&gt;0,IF(P208&lt;=eco,alpha*fck*(1-(1-P208/eco)^n),alpha*fck),0)</f>
      </c>
      <c r="R208" s="30">
        <f>PM_Angle!$J$11+PM_Angle!$K$11*$C208+PM_Angle!$L$11*$B208</f>
      </c>
      <c r="S208" s="12">
        <f>IF(R208&gt;0,IF(R208&lt;=eco,alpha*fck*(1-(1-R208/eco)^n),alpha*fck),0)</f>
      </c>
      <c r="T208" s="30">
        <f>PM_Angle!$J$12+PM_Angle!$K$12*$C208+PM_Angle!$L$12*$B208</f>
      </c>
      <c r="U208" s="12">
        <f>IF(T208&gt;0,IF(T208&lt;=eco,alpha*fck*(1-(1-T208/eco)^n),alpha*fck),0)</f>
      </c>
      <c r="V208" s="30">
        <f>PM_Angle!$J$13+PM_Angle!$K$13*$C208+PM_Angle!$L$13*$B208</f>
      </c>
      <c r="W208" s="12">
        <f>IF(V208&gt;0,IF(V208&lt;=eco,alpha*fck*(1-(1-V208/eco)^n),alpha*fck),0)</f>
      </c>
      <c r="X208" s="30">
        <f>PM_Angle!$J$14+PM_Angle!$K$14*$C208+PM_Angle!$L$14*$B208</f>
      </c>
      <c r="Y208" s="12">
        <f>IF(X208&gt;0,IF(X208&lt;=eco,alpha*fck*(1-(1-X208/eco)^n),alpha*fck),0)</f>
      </c>
      <c r="Z208" s="30">
        <f>PM_Angle!$J$15+PM_Angle!$K$15*$C208+PM_Angle!$L$15*$B208</f>
      </c>
      <c r="AA208" s="12">
        <f>IF(Z208&gt;0,IF(Z208&lt;=eco,alpha*fck*(1-(1-Z208/eco)^n),alpha*fck),0)</f>
      </c>
      <c r="AB208" s="30">
        <f>PM_Angle!$J$16+PM_Angle!$K$16*$C208+PM_Angle!$L$16*$B208</f>
      </c>
      <c r="AC208" s="12">
        <f>IF(AB208&gt;0,IF(AB208&lt;=eco,alpha*fck*(1-(1-AB208/eco)^n),alpha*fck),0)</f>
      </c>
      <c r="AD208" s="30">
        <f>PM_Angle!$J$17+PM_Angle!$K$17*$C208+PM_Angle!$L$17*$B208</f>
      </c>
      <c r="AE208" s="12">
        <f>IF(AD208&gt;0,IF(AD208&lt;=eco,alpha*fck*(1-(1-AD208/eco)^n),alpha*fck),0)</f>
      </c>
      <c r="AF208" s="30">
        <f>PM_Angle!$J$18+PM_Angle!$K$18*$C208+PM_Angle!$L$18*$B208</f>
      </c>
      <c r="AG208" s="12">
        <f>IF(AF208&gt;0,IF(AF208&lt;=eco,alpha*fck*(1-(1-AF208/eco)^n),alpha*fck),0)</f>
      </c>
      <c r="AH208" s="30">
        <f>PM_Angle!$J$19+PM_Angle!$K$19*$C208+PM_Angle!$L$19*$B208</f>
      </c>
      <c r="AI208" s="12">
        <f>IF(AH208&gt;0,IF(AH208&lt;=eco,alpha*fck*(1-(1-AH208/eco)^n),alpha*fck),0)</f>
      </c>
      <c r="AJ208" s="30">
        <f>PM_Angle!$J$20+PM_Angle!$K$20*$C208+PM_Angle!$L$20*$B208</f>
      </c>
      <c r="AK208" s="12">
        <f>IF(AJ208&gt;0,IF(AJ208&lt;=eco,alpha*fck*(1-(1-AJ208/eco)^n),alpha*fck),0)</f>
      </c>
      <c r="AL208" s="30">
        <f>PM_Angle!$J$21+PM_Angle!$K$21*$C208+PM_Angle!$L$21*$B208</f>
      </c>
      <c r="AM208" s="12">
        <f>IF(AL208&gt;0,IF(AL208&lt;=eco,alpha*fck*(1-(1-AL208/eco)^n),alpha*fck),0)</f>
      </c>
      <c r="AN208" s="30">
        <f>PM_Angle!$J$22+PM_Angle!$K$22*$C208+PM_Angle!$L$22*$B208</f>
      </c>
      <c r="AO208" s="12">
        <f>IF(AN208&gt;0,IF(AN208&lt;=eco,alpha*fck*(1-(1-AN208/eco)^n),alpha*fck),0)</f>
      </c>
      <c r="AP208" s="30">
        <f>PM_Angle!$J$23+PM_Angle!$K$23*$C208+PM_Angle!$L$23*$B208</f>
      </c>
      <c r="AQ208" s="12">
        <f>IF(AP208&gt;0,IF(AP208&lt;=eco,alpha*fck*(1-(1-AP208/eco)^n),alpha*fck),0)</f>
      </c>
      <c r="AR208" s="30">
        <f>PM_Angle!$J$24+PM_Angle!$K$24*$C208+PM_Angle!$L$24*$B208</f>
      </c>
      <c r="AS208" s="12">
        <f>IF(AR208&gt;0,IF(AR208&lt;=eco,alpha*fck*(1-(1-AR208/eco)^n),alpha*fck),0)</f>
      </c>
      <c r="AT208" s="30">
        <f>PM_Angle!$J$25+PM_Angle!$K$25*$C208+PM_Angle!$L$25*$B208</f>
      </c>
      <c r="AU208" s="12">
        <f>IF(AT208&gt;0,IF(AT208&lt;=eco,alpha*fck*(1-(1-AT208/eco)^n),alpha*fck),0)</f>
      </c>
    </row>
    <row r="209" spans="1:47" x14ac:dyDescent="0.25">
      <c r="A209">
        <f>Mesh!A206</f>
      </c>
      <c r="B209" s="12">
        <f>Mesh!B206</f>
      </c>
      <c r="C209" s="12">
        <f>Mesh!C206</f>
      </c>
      <c r="D209" s="12">
        <f>Mesh!D206</f>
      </c>
      <c r="E209" s="30">
        <f>INDEX(St_e0,Det+1)+INDEX(St_kx,Det+1)*C209+INDEX(St_ky,Det+1)*B209</f>
      </c>
      <c r="F209" s="12">
        <f>IF(E209&gt;0,IF(E209&lt;=eco,alpha*fck*(1-(1-E209/eco)^n),alpha*fck),0)</f>
      </c>
      <c r="G209" s="11">
        <f>F209*D209</f>
      </c>
      <c r="H209" s="11">
        <f>G209*C209</f>
      </c>
      <c r="I209" s="11">
        <f>G209*B209</f>
      </c>
      <c r="J209" s="30">
        <f>PM_Angle!$J$7+PM_Angle!$K$7*$C209+PM_Angle!$L$7*$B209</f>
      </c>
      <c r="K209" s="12">
        <f>IF(J209&gt;0,IF(J209&lt;=eco,alpha*fck*(1-(1-J209/eco)^n),alpha*fck),0)</f>
      </c>
      <c r="L209" s="30">
        <f>PM_Angle!$J$8+PM_Angle!$K$8*$C209+PM_Angle!$L$8*$B209</f>
      </c>
      <c r="M209" s="12">
        <f>IF(L209&gt;0,IF(L209&lt;=eco,alpha*fck*(1-(1-L209/eco)^n),alpha*fck),0)</f>
      </c>
      <c r="N209" s="30">
        <f>PM_Angle!$J$9+PM_Angle!$K$9*$C209+PM_Angle!$L$9*$B209</f>
      </c>
      <c r="O209" s="12">
        <f>IF(N209&gt;0,IF(N209&lt;=eco,alpha*fck*(1-(1-N209/eco)^n),alpha*fck),0)</f>
      </c>
      <c r="P209" s="30">
        <f>PM_Angle!$J$10+PM_Angle!$K$10*$C209+PM_Angle!$L$10*$B209</f>
      </c>
      <c r="Q209" s="12">
        <f>IF(P209&gt;0,IF(P209&lt;=eco,alpha*fck*(1-(1-P209/eco)^n),alpha*fck),0)</f>
      </c>
      <c r="R209" s="30">
        <f>PM_Angle!$J$11+PM_Angle!$K$11*$C209+PM_Angle!$L$11*$B209</f>
      </c>
      <c r="S209" s="12">
        <f>IF(R209&gt;0,IF(R209&lt;=eco,alpha*fck*(1-(1-R209/eco)^n),alpha*fck),0)</f>
      </c>
      <c r="T209" s="30">
        <f>PM_Angle!$J$12+PM_Angle!$K$12*$C209+PM_Angle!$L$12*$B209</f>
      </c>
      <c r="U209" s="12">
        <f>IF(T209&gt;0,IF(T209&lt;=eco,alpha*fck*(1-(1-T209/eco)^n),alpha*fck),0)</f>
      </c>
      <c r="V209" s="30">
        <f>PM_Angle!$J$13+PM_Angle!$K$13*$C209+PM_Angle!$L$13*$B209</f>
      </c>
      <c r="W209" s="12">
        <f>IF(V209&gt;0,IF(V209&lt;=eco,alpha*fck*(1-(1-V209/eco)^n),alpha*fck),0)</f>
      </c>
      <c r="X209" s="30">
        <f>PM_Angle!$J$14+PM_Angle!$K$14*$C209+PM_Angle!$L$14*$B209</f>
      </c>
      <c r="Y209" s="12">
        <f>IF(X209&gt;0,IF(X209&lt;=eco,alpha*fck*(1-(1-X209/eco)^n),alpha*fck),0)</f>
      </c>
      <c r="Z209" s="30">
        <f>PM_Angle!$J$15+PM_Angle!$K$15*$C209+PM_Angle!$L$15*$B209</f>
      </c>
      <c r="AA209" s="12">
        <f>IF(Z209&gt;0,IF(Z209&lt;=eco,alpha*fck*(1-(1-Z209/eco)^n),alpha*fck),0)</f>
      </c>
      <c r="AB209" s="30">
        <f>PM_Angle!$J$16+PM_Angle!$K$16*$C209+PM_Angle!$L$16*$B209</f>
      </c>
      <c r="AC209" s="12">
        <f>IF(AB209&gt;0,IF(AB209&lt;=eco,alpha*fck*(1-(1-AB209/eco)^n),alpha*fck),0)</f>
      </c>
      <c r="AD209" s="30">
        <f>PM_Angle!$J$17+PM_Angle!$K$17*$C209+PM_Angle!$L$17*$B209</f>
      </c>
      <c r="AE209" s="12">
        <f>IF(AD209&gt;0,IF(AD209&lt;=eco,alpha*fck*(1-(1-AD209/eco)^n),alpha*fck),0)</f>
      </c>
      <c r="AF209" s="30">
        <f>PM_Angle!$J$18+PM_Angle!$K$18*$C209+PM_Angle!$L$18*$B209</f>
      </c>
      <c r="AG209" s="12">
        <f>IF(AF209&gt;0,IF(AF209&lt;=eco,alpha*fck*(1-(1-AF209/eco)^n),alpha*fck),0)</f>
      </c>
      <c r="AH209" s="30">
        <f>PM_Angle!$J$19+PM_Angle!$K$19*$C209+PM_Angle!$L$19*$B209</f>
      </c>
      <c r="AI209" s="12">
        <f>IF(AH209&gt;0,IF(AH209&lt;=eco,alpha*fck*(1-(1-AH209/eco)^n),alpha*fck),0)</f>
      </c>
      <c r="AJ209" s="30">
        <f>PM_Angle!$J$20+PM_Angle!$K$20*$C209+PM_Angle!$L$20*$B209</f>
      </c>
      <c r="AK209" s="12">
        <f>IF(AJ209&gt;0,IF(AJ209&lt;=eco,alpha*fck*(1-(1-AJ209/eco)^n),alpha*fck),0)</f>
      </c>
      <c r="AL209" s="30">
        <f>PM_Angle!$J$21+PM_Angle!$K$21*$C209+PM_Angle!$L$21*$B209</f>
      </c>
      <c r="AM209" s="12">
        <f>IF(AL209&gt;0,IF(AL209&lt;=eco,alpha*fck*(1-(1-AL209/eco)^n),alpha*fck),0)</f>
      </c>
      <c r="AN209" s="30">
        <f>PM_Angle!$J$22+PM_Angle!$K$22*$C209+PM_Angle!$L$22*$B209</f>
      </c>
      <c r="AO209" s="12">
        <f>IF(AN209&gt;0,IF(AN209&lt;=eco,alpha*fck*(1-(1-AN209/eco)^n),alpha*fck),0)</f>
      </c>
      <c r="AP209" s="30">
        <f>PM_Angle!$J$23+PM_Angle!$K$23*$C209+PM_Angle!$L$23*$B209</f>
      </c>
      <c r="AQ209" s="12">
        <f>IF(AP209&gt;0,IF(AP209&lt;=eco,alpha*fck*(1-(1-AP209/eco)^n),alpha*fck),0)</f>
      </c>
      <c r="AR209" s="30">
        <f>PM_Angle!$J$24+PM_Angle!$K$24*$C209+PM_Angle!$L$24*$B209</f>
      </c>
      <c r="AS209" s="12">
        <f>IF(AR209&gt;0,IF(AR209&lt;=eco,alpha*fck*(1-(1-AR209/eco)^n),alpha*fck),0)</f>
      </c>
      <c r="AT209" s="30">
        <f>PM_Angle!$J$25+PM_Angle!$K$25*$C209+PM_Angle!$L$25*$B209</f>
      </c>
      <c r="AU209" s="12">
        <f>IF(AT209&gt;0,IF(AT209&lt;=eco,alpha*fck*(1-(1-AT209/eco)^n),alpha*fck),0)</f>
      </c>
    </row>
    <row r="210" spans="1:47" x14ac:dyDescent="0.25">
      <c r="A210">
        <f>Mesh!A207</f>
      </c>
      <c r="B210" s="12">
        <f>Mesh!B207</f>
      </c>
      <c r="C210" s="12">
        <f>Mesh!C207</f>
      </c>
      <c r="D210" s="12">
        <f>Mesh!D207</f>
      </c>
      <c r="E210" s="30">
        <f>INDEX(St_e0,Det+1)+INDEX(St_kx,Det+1)*C210+INDEX(St_ky,Det+1)*B210</f>
      </c>
      <c r="F210" s="12">
        <f>IF(E210&gt;0,IF(E210&lt;=eco,alpha*fck*(1-(1-E210/eco)^n),alpha*fck),0)</f>
      </c>
      <c r="G210" s="11">
        <f>F210*D210</f>
      </c>
      <c r="H210" s="11">
        <f>G210*C210</f>
      </c>
      <c r="I210" s="11">
        <f>G210*B210</f>
      </c>
      <c r="J210" s="30">
        <f>PM_Angle!$J$7+PM_Angle!$K$7*$C210+PM_Angle!$L$7*$B210</f>
      </c>
      <c r="K210" s="12">
        <f>IF(J210&gt;0,IF(J210&lt;=eco,alpha*fck*(1-(1-J210/eco)^n),alpha*fck),0)</f>
      </c>
      <c r="L210" s="30">
        <f>PM_Angle!$J$8+PM_Angle!$K$8*$C210+PM_Angle!$L$8*$B210</f>
      </c>
      <c r="M210" s="12">
        <f>IF(L210&gt;0,IF(L210&lt;=eco,alpha*fck*(1-(1-L210/eco)^n),alpha*fck),0)</f>
      </c>
      <c r="N210" s="30">
        <f>PM_Angle!$J$9+PM_Angle!$K$9*$C210+PM_Angle!$L$9*$B210</f>
      </c>
      <c r="O210" s="12">
        <f>IF(N210&gt;0,IF(N210&lt;=eco,alpha*fck*(1-(1-N210/eco)^n),alpha*fck),0)</f>
      </c>
      <c r="P210" s="30">
        <f>PM_Angle!$J$10+PM_Angle!$K$10*$C210+PM_Angle!$L$10*$B210</f>
      </c>
      <c r="Q210" s="12">
        <f>IF(P210&gt;0,IF(P210&lt;=eco,alpha*fck*(1-(1-P210/eco)^n),alpha*fck),0)</f>
      </c>
      <c r="R210" s="30">
        <f>PM_Angle!$J$11+PM_Angle!$K$11*$C210+PM_Angle!$L$11*$B210</f>
      </c>
      <c r="S210" s="12">
        <f>IF(R210&gt;0,IF(R210&lt;=eco,alpha*fck*(1-(1-R210/eco)^n),alpha*fck),0)</f>
      </c>
      <c r="T210" s="30">
        <f>PM_Angle!$J$12+PM_Angle!$K$12*$C210+PM_Angle!$L$12*$B210</f>
      </c>
      <c r="U210" s="12">
        <f>IF(T210&gt;0,IF(T210&lt;=eco,alpha*fck*(1-(1-T210/eco)^n),alpha*fck),0)</f>
      </c>
      <c r="V210" s="30">
        <f>PM_Angle!$J$13+PM_Angle!$K$13*$C210+PM_Angle!$L$13*$B210</f>
      </c>
      <c r="W210" s="12">
        <f>IF(V210&gt;0,IF(V210&lt;=eco,alpha*fck*(1-(1-V210/eco)^n),alpha*fck),0)</f>
      </c>
      <c r="X210" s="30">
        <f>PM_Angle!$J$14+PM_Angle!$K$14*$C210+PM_Angle!$L$14*$B210</f>
      </c>
      <c r="Y210" s="12">
        <f>IF(X210&gt;0,IF(X210&lt;=eco,alpha*fck*(1-(1-X210/eco)^n),alpha*fck),0)</f>
      </c>
      <c r="Z210" s="30">
        <f>PM_Angle!$J$15+PM_Angle!$K$15*$C210+PM_Angle!$L$15*$B210</f>
      </c>
      <c r="AA210" s="12">
        <f>IF(Z210&gt;0,IF(Z210&lt;=eco,alpha*fck*(1-(1-Z210/eco)^n),alpha*fck),0)</f>
      </c>
      <c r="AB210" s="30">
        <f>PM_Angle!$J$16+PM_Angle!$K$16*$C210+PM_Angle!$L$16*$B210</f>
      </c>
      <c r="AC210" s="12">
        <f>IF(AB210&gt;0,IF(AB210&lt;=eco,alpha*fck*(1-(1-AB210/eco)^n),alpha*fck),0)</f>
      </c>
      <c r="AD210" s="30">
        <f>PM_Angle!$J$17+PM_Angle!$K$17*$C210+PM_Angle!$L$17*$B210</f>
      </c>
      <c r="AE210" s="12">
        <f>IF(AD210&gt;0,IF(AD210&lt;=eco,alpha*fck*(1-(1-AD210/eco)^n),alpha*fck),0)</f>
      </c>
      <c r="AF210" s="30">
        <f>PM_Angle!$J$18+PM_Angle!$K$18*$C210+PM_Angle!$L$18*$B210</f>
      </c>
      <c r="AG210" s="12">
        <f>IF(AF210&gt;0,IF(AF210&lt;=eco,alpha*fck*(1-(1-AF210/eco)^n),alpha*fck),0)</f>
      </c>
      <c r="AH210" s="30">
        <f>PM_Angle!$J$19+PM_Angle!$K$19*$C210+PM_Angle!$L$19*$B210</f>
      </c>
      <c r="AI210" s="12">
        <f>IF(AH210&gt;0,IF(AH210&lt;=eco,alpha*fck*(1-(1-AH210/eco)^n),alpha*fck),0)</f>
      </c>
      <c r="AJ210" s="30">
        <f>PM_Angle!$J$20+PM_Angle!$K$20*$C210+PM_Angle!$L$20*$B210</f>
      </c>
      <c r="AK210" s="12">
        <f>IF(AJ210&gt;0,IF(AJ210&lt;=eco,alpha*fck*(1-(1-AJ210/eco)^n),alpha*fck),0)</f>
      </c>
      <c r="AL210" s="30">
        <f>PM_Angle!$J$21+PM_Angle!$K$21*$C210+PM_Angle!$L$21*$B210</f>
      </c>
      <c r="AM210" s="12">
        <f>IF(AL210&gt;0,IF(AL210&lt;=eco,alpha*fck*(1-(1-AL210/eco)^n),alpha*fck),0)</f>
      </c>
      <c r="AN210" s="30">
        <f>PM_Angle!$J$22+PM_Angle!$K$22*$C210+PM_Angle!$L$22*$B210</f>
      </c>
      <c r="AO210" s="12">
        <f>IF(AN210&gt;0,IF(AN210&lt;=eco,alpha*fck*(1-(1-AN210/eco)^n),alpha*fck),0)</f>
      </c>
      <c r="AP210" s="30">
        <f>PM_Angle!$J$23+PM_Angle!$K$23*$C210+PM_Angle!$L$23*$B210</f>
      </c>
      <c r="AQ210" s="12">
        <f>IF(AP210&gt;0,IF(AP210&lt;=eco,alpha*fck*(1-(1-AP210/eco)^n),alpha*fck),0)</f>
      </c>
      <c r="AR210" s="30">
        <f>PM_Angle!$J$24+PM_Angle!$K$24*$C210+PM_Angle!$L$24*$B210</f>
      </c>
      <c r="AS210" s="12">
        <f>IF(AR210&gt;0,IF(AR210&lt;=eco,alpha*fck*(1-(1-AR210/eco)^n),alpha*fck),0)</f>
      </c>
      <c r="AT210" s="30">
        <f>PM_Angle!$J$25+PM_Angle!$K$25*$C210+PM_Angle!$L$25*$B210</f>
      </c>
      <c r="AU210" s="12">
        <f>IF(AT210&gt;0,IF(AT210&lt;=eco,alpha*fck*(1-(1-AT210/eco)^n),alpha*fck),0)</f>
      </c>
    </row>
    <row r="211" spans="1:47" x14ac:dyDescent="0.25">
      <c r="A211">
        <f>Mesh!A208</f>
      </c>
      <c r="B211" s="12">
        <f>Mesh!B208</f>
      </c>
      <c r="C211" s="12">
        <f>Mesh!C208</f>
      </c>
      <c r="D211" s="12">
        <f>Mesh!D208</f>
      </c>
      <c r="E211" s="30">
        <f>INDEX(St_e0,Det+1)+INDEX(St_kx,Det+1)*C211+INDEX(St_ky,Det+1)*B211</f>
      </c>
      <c r="F211" s="12">
        <f>IF(E211&gt;0,IF(E211&lt;=eco,alpha*fck*(1-(1-E211/eco)^n),alpha*fck),0)</f>
      </c>
      <c r="G211" s="11">
        <f>F211*D211</f>
      </c>
      <c r="H211" s="11">
        <f>G211*C211</f>
      </c>
      <c r="I211" s="11">
        <f>G211*B211</f>
      </c>
      <c r="J211" s="30">
        <f>PM_Angle!$J$7+PM_Angle!$K$7*$C211+PM_Angle!$L$7*$B211</f>
      </c>
      <c r="K211" s="12">
        <f>IF(J211&gt;0,IF(J211&lt;=eco,alpha*fck*(1-(1-J211/eco)^n),alpha*fck),0)</f>
      </c>
      <c r="L211" s="30">
        <f>PM_Angle!$J$8+PM_Angle!$K$8*$C211+PM_Angle!$L$8*$B211</f>
      </c>
      <c r="M211" s="12">
        <f>IF(L211&gt;0,IF(L211&lt;=eco,alpha*fck*(1-(1-L211/eco)^n),alpha*fck),0)</f>
      </c>
      <c r="N211" s="30">
        <f>PM_Angle!$J$9+PM_Angle!$K$9*$C211+PM_Angle!$L$9*$B211</f>
      </c>
      <c r="O211" s="12">
        <f>IF(N211&gt;0,IF(N211&lt;=eco,alpha*fck*(1-(1-N211/eco)^n),alpha*fck),0)</f>
      </c>
      <c r="P211" s="30">
        <f>PM_Angle!$J$10+PM_Angle!$K$10*$C211+PM_Angle!$L$10*$B211</f>
      </c>
      <c r="Q211" s="12">
        <f>IF(P211&gt;0,IF(P211&lt;=eco,alpha*fck*(1-(1-P211/eco)^n),alpha*fck),0)</f>
      </c>
      <c r="R211" s="30">
        <f>PM_Angle!$J$11+PM_Angle!$K$11*$C211+PM_Angle!$L$11*$B211</f>
      </c>
      <c r="S211" s="12">
        <f>IF(R211&gt;0,IF(R211&lt;=eco,alpha*fck*(1-(1-R211/eco)^n),alpha*fck),0)</f>
      </c>
      <c r="T211" s="30">
        <f>PM_Angle!$J$12+PM_Angle!$K$12*$C211+PM_Angle!$L$12*$B211</f>
      </c>
      <c r="U211" s="12">
        <f>IF(T211&gt;0,IF(T211&lt;=eco,alpha*fck*(1-(1-T211/eco)^n),alpha*fck),0)</f>
      </c>
      <c r="V211" s="30">
        <f>PM_Angle!$J$13+PM_Angle!$K$13*$C211+PM_Angle!$L$13*$B211</f>
      </c>
      <c r="W211" s="12">
        <f>IF(V211&gt;0,IF(V211&lt;=eco,alpha*fck*(1-(1-V211/eco)^n),alpha*fck),0)</f>
      </c>
      <c r="X211" s="30">
        <f>PM_Angle!$J$14+PM_Angle!$K$14*$C211+PM_Angle!$L$14*$B211</f>
      </c>
      <c r="Y211" s="12">
        <f>IF(X211&gt;0,IF(X211&lt;=eco,alpha*fck*(1-(1-X211/eco)^n),alpha*fck),0)</f>
      </c>
      <c r="Z211" s="30">
        <f>PM_Angle!$J$15+PM_Angle!$K$15*$C211+PM_Angle!$L$15*$B211</f>
      </c>
      <c r="AA211" s="12">
        <f>IF(Z211&gt;0,IF(Z211&lt;=eco,alpha*fck*(1-(1-Z211/eco)^n),alpha*fck),0)</f>
      </c>
      <c r="AB211" s="30">
        <f>PM_Angle!$J$16+PM_Angle!$K$16*$C211+PM_Angle!$L$16*$B211</f>
      </c>
      <c r="AC211" s="12">
        <f>IF(AB211&gt;0,IF(AB211&lt;=eco,alpha*fck*(1-(1-AB211/eco)^n),alpha*fck),0)</f>
      </c>
      <c r="AD211" s="30">
        <f>PM_Angle!$J$17+PM_Angle!$K$17*$C211+PM_Angle!$L$17*$B211</f>
      </c>
      <c r="AE211" s="12">
        <f>IF(AD211&gt;0,IF(AD211&lt;=eco,alpha*fck*(1-(1-AD211/eco)^n),alpha*fck),0)</f>
      </c>
      <c r="AF211" s="30">
        <f>PM_Angle!$J$18+PM_Angle!$K$18*$C211+PM_Angle!$L$18*$B211</f>
      </c>
      <c r="AG211" s="12">
        <f>IF(AF211&gt;0,IF(AF211&lt;=eco,alpha*fck*(1-(1-AF211/eco)^n),alpha*fck),0)</f>
      </c>
      <c r="AH211" s="30">
        <f>PM_Angle!$J$19+PM_Angle!$K$19*$C211+PM_Angle!$L$19*$B211</f>
      </c>
      <c r="AI211" s="12">
        <f>IF(AH211&gt;0,IF(AH211&lt;=eco,alpha*fck*(1-(1-AH211/eco)^n),alpha*fck),0)</f>
      </c>
      <c r="AJ211" s="30">
        <f>PM_Angle!$J$20+PM_Angle!$K$20*$C211+PM_Angle!$L$20*$B211</f>
      </c>
      <c r="AK211" s="12">
        <f>IF(AJ211&gt;0,IF(AJ211&lt;=eco,alpha*fck*(1-(1-AJ211/eco)^n),alpha*fck),0)</f>
      </c>
      <c r="AL211" s="30">
        <f>PM_Angle!$J$21+PM_Angle!$K$21*$C211+PM_Angle!$L$21*$B211</f>
      </c>
      <c r="AM211" s="12">
        <f>IF(AL211&gt;0,IF(AL211&lt;=eco,alpha*fck*(1-(1-AL211/eco)^n),alpha*fck),0)</f>
      </c>
      <c r="AN211" s="30">
        <f>PM_Angle!$J$22+PM_Angle!$K$22*$C211+PM_Angle!$L$22*$B211</f>
      </c>
      <c r="AO211" s="12">
        <f>IF(AN211&gt;0,IF(AN211&lt;=eco,alpha*fck*(1-(1-AN211/eco)^n),alpha*fck),0)</f>
      </c>
      <c r="AP211" s="30">
        <f>PM_Angle!$J$23+PM_Angle!$K$23*$C211+PM_Angle!$L$23*$B211</f>
      </c>
      <c r="AQ211" s="12">
        <f>IF(AP211&gt;0,IF(AP211&lt;=eco,alpha*fck*(1-(1-AP211/eco)^n),alpha*fck),0)</f>
      </c>
      <c r="AR211" s="30">
        <f>PM_Angle!$J$24+PM_Angle!$K$24*$C211+PM_Angle!$L$24*$B211</f>
      </c>
      <c r="AS211" s="12">
        <f>IF(AR211&gt;0,IF(AR211&lt;=eco,alpha*fck*(1-(1-AR211/eco)^n),alpha*fck),0)</f>
      </c>
      <c r="AT211" s="30">
        <f>PM_Angle!$J$25+PM_Angle!$K$25*$C211+PM_Angle!$L$25*$B211</f>
      </c>
      <c r="AU211" s="12">
        <f>IF(AT211&gt;0,IF(AT211&lt;=eco,alpha*fck*(1-(1-AT211/eco)^n),alpha*fck),0)</f>
      </c>
    </row>
    <row r="212" spans="1:47" x14ac:dyDescent="0.25">
      <c r="A212">
        <f>Mesh!A209</f>
      </c>
      <c r="B212" s="12">
        <f>Mesh!B209</f>
      </c>
      <c r="C212" s="12">
        <f>Mesh!C209</f>
      </c>
      <c r="D212" s="12">
        <f>Mesh!D209</f>
      </c>
      <c r="E212" s="30">
        <f>INDEX(St_e0,Det+1)+INDEX(St_kx,Det+1)*C212+INDEX(St_ky,Det+1)*B212</f>
      </c>
      <c r="F212" s="12">
        <f>IF(E212&gt;0,IF(E212&lt;=eco,alpha*fck*(1-(1-E212/eco)^n),alpha*fck),0)</f>
      </c>
      <c r="G212" s="11">
        <f>F212*D212</f>
      </c>
      <c r="H212" s="11">
        <f>G212*C212</f>
      </c>
      <c r="I212" s="11">
        <f>G212*B212</f>
      </c>
      <c r="J212" s="30">
        <f>PM_Angle!$J$7+PM_Angle!$K$7*$C212+PM_Angle!$L$7*$B212</f>
      </c>
      <c r="K212" s="12">
        <f>IF(J212&gt;0,IF(J212&lt;=eco,alpha*fck*(1-(1-J212/eco)^n),alpha*fck),0)</f>
      </c>
      <c r="L212" s="30">
        <f>PM_Angle!$J$8+PM_Angle!$K$8*$C212+PM_Angle!$L$8*$B212</f>
      </c>
      <c r="M212" s="12">
        <f>IF(L212&gt;0,IF(L212&lt;=eco,alpha*fck*(1-(1-L212/eco)^n),alpha*fck),0)</f>
      </c>
      <c r="N212" s="30">
        <f>PM_Angle!$J$9+PM_Angle!$K$9*$C212+PM_Angle!$L$9*$B212</f>
      </c>
      <c r="O212" s="12">
        <f>IF(N212&gt;0,IF(N212&lt;=eco,alpha*fck*(1-(1-N212/eco)^n),alpha*fck),0)</f>
      </c>
      <c r="P212" s="30">
        <f>PM_Angle!$J$10+PM_Angle!$K$10*$C212+PM_Angle!$L$10*$B212</f>
      </c>
      <c r="Q212" s="12">
        <f>IF(P212&gt;0,IF(P212&lt;=eco,alpha*fck*(1-(1-P212/eco)^n),alpha*fck),0)</f>
      </c>
      <c r="R212" s="30">
        <f>PM_Angle!$J$11+PM_Angle!$K$11*$C212+PM_Angle!$L$11*$B212</f>
      </c>
      <c r="S212" s="12">
        <f>IF(R212&gt;0,IF(R212&lt;=eco,alpha*fck*(1-(1-R212/eco)^n),alpha*fck),0)</f>
      </c>
      <c r="T212" s="30">
        <f>PM_Angle!$J$12+PM_Angle!$K$12*$C212+PM_Angle!$L$12*$B212</f>
      </c>
      <c r="U212" s="12">
        <f>IF(T212&gt;0,IF(T212&lt;=eco,alpha*fck*(1-(1-T212/eco)^n),alpha*fck),0)</f>
      </c>
      <c r="V212" s="30">
        <f>PM_Angle!$J$13+PM_Angle!$K$13*$C212+PM_Angle!$L$13*$B212</f>
      </c>
      <c r="W212" s="12">
        <f>IF(V212&gt;0,IF(V212&lt;=eco,alpha*fck*(1-(1-V212/eco)^n),alpha*fck),0)</f>
      </c>
      <c r="X212" s="30">
        <f>PM_Angle!$J$14+PM_Angle!$K$14*$C212+PM_Angle!$L$14*$B212</f>
      </c>
      <c r="Y212" s="12">
        <f>IF(X212&gt;0,IF(X212&lt;=eco,alpha*fck*(1-(1-X212/eco)^n),alpha*fck),0)</f>
      </c>
      <c r="Z212" s="30">
        <f>PM_Angle!$J$15+PM_Angle!$K$15*$C212+PM_Angle!$L$15*$B212</f>
      </c>
      <c r="AA212" s="12">
        <f>IF(Z212&gt;0,IF(Z212&lt;=eco,alpha*fck*(1-(1-Z212/eco)^n),alpha*fck),0)</f>
      </c>
      <c r="AB212" s="30">
        <f>PM_Angle!$J$16+PM_Angle!$K$16*$C212+PM_Angle!$L$16*$B212</f>
      </c>
      <c r="AC212" s="12">
        <f>IF(AB212&gt;0,IF(AB212&lt;=eco,alpha*fck*(1-(1-AB212/eco)^n),alpha*fck),0)</f>
      </c>
      <c r="AD212" s="30">
        <f>PM_Angle!$J$17+PM_Angle!$K$17*$C212+PM_Angle!$L$17*$B212</f>
      </c>
      <c r="AE212" s="12">
        <f>IF(AD212&gt;0,IF(AD212&lt;=eco,alpha*fck*(1-(1-AD212/eco)^n),alpha*fck),0)</f>
      </c>
      <c r="AF212" s="30">
        <f>PM_Angle!$J$18+PM_Angle!$K$18*$C212+PM_Angle!$L$18*$B212</f>
      </c>
      <c r="AG212" s="12">
        <f>IF(AF212&gt;0,IF(AF212&lt;=eco,alpha*fck*(1-(1-AF212/eco)^n),alpha*fck),0)</f>
      </c>
      <c r="AH212" s="30">
        <f>PM_Angle!$J$19+PM_Angle!$K$19*$C212+PM_Angle!$L$19*$B212</f>
      </c>
      <c r="AI212" s="12">
        <f>IF(AH212&gt;0,IF(AH212&lt;=eco,alpha*fck*(1-(1-AH212/eco)^n),alpha*fck),0)</f>
      </c>
      <c r="AJ212" s="30">
        <f>PM_Angle!$J$20+PM_Angle!$K$20*$C212+PM_Angle!$L$20*$B212</f>
      </c>
      <c r="AK212" s="12">
        <f>IF(AJ212&gt;0,IF(AJ212&lt;=eco,alpha*fck*(1-(1-AJ212/eco)^n),alpha*fck),0)</f>
      </c>
      <c r="AL212" s="30">
        <f>PM_Angle!$J$21+PM_Angle!$K$21*$C212+PM_Angle!$L$21*$B212</f>
      </c>
      <c r="AM212" s="12">
        <f>IF(AL212&gt;0,IF(AL212&lt;=eco,alpha*fck*(1-(1-AL212/eco)^n),alpha*fck),0)</f>
      </c>
      <c r="AN212" s="30">
        <f>PM_Angle!$J$22+PM_Angle!$K$22*$C212+PM_Angle!$L$22*$B212</f>
      </c>
      <c r="AO212" s="12">
        <f>IF(AN212&gt;0,IF(AN212&lt;=eco,alpha*fck*(1-(1-AN212/eco)^n),alpha*fck),0)</f>
      </c>
      <c r="AP212" s="30">
        <f>PM_Angle!$J$23+PM_Angle!$K$23*$C212+PM_Angle!$L$23*$B212</f>
      </c>
      <c r="AQ212" s="12">
        <f>IF(AP212&gt;0,IF(AP212&lt;=eco,alpha*fck*(1-(1-AP212/eco)^n),alpha*fck),0)</f>
      </c>
      <c r="AR212" s="30">
        <f>PM_Angle!$J$24+PM_Angle!$K$24*$C212+PM_Angle!$L$24*$B212</f>
      </c>
      <c r="AS212" s="12">
        <f>IF(AR212&gt;0,IF(AR212&lt;=eco,alpha*fck*(1-(1-AR212/eco)^n),alpha*fck),0)</f>
      </c>
      <c r="AT212" s="30">
        <f>PM_Angle!$J$25+PM_Angle!$K$25*$C212+PM_Angle!$L$25*$B212</f>
      </c>
      <c r="AU212" s="12">
        <f>IF(AT212&gt;0,IF(AT212&lt;=eco,alpha*fck*(1-(1-AT212/eco)^n),alpha*fck),0)</f>
      </c>
    </row>
    <row r="213" spans="1:47" x14ac:dyDescent="0.25">
      <c r="A213">
        <f>Mesh!A210</f>
      </c>
      <c r="B213" s="12">
        <f>Mesh!B210</f>
      </c>
      <c r="C213" s="12">
        <f>Mesh!C210</f>
      </c>
      <c r="D213" s="12">
        <f>Mesh!D210</f>
      </c>
      <c r="E213" s="30">
        <f>INDEX(St_e0,Det+1)+INDEX(St_kx,Det+1)*C213+INDEX(St_ky,Det+1)*B213</f>
      </c>
      <c r="F213" s="12">
        <f>IF(E213&gt;0,IF(E213&lt;=eco,alpha*fck*(1-(1-E213/eco)^n),alpha*fck),0)</f>
      </c>
      <c r="G213" s="11">
        <f>F213*D213</f>
      </c>
      <c r="H213" s="11">
        <f>G213*C213</f>
      </c>
      <c r="I213" s="11">
        <f>G213*B213</f>
      </c>
      <c r="J213" s="30">
        <f>PM_Angle!$J$7+PM_Angle!$K$7*$C213+PM_Angle!$L$7*$B213</f>
      </c>
      <c r="K213" s="12">
        <f>IF(J213&gt;0,IF(J213&lt;=eco,alpha*fck*(1-(1-J213/eco)^n),alpha*fck),0)</f>
      </c>
      <c r="L213" s="30">
        <f>PM_Angle!$J$8+PM_Angle!$K$8*$C213+PM_Angle!$L$8*$B213</f>
      </c>
      <c r="M213" s="12">
        <f>IF(L213&gt;0,IF(L213&lt;=eco,alpha*fck*(1-(1-L213/eco)^n),alpha*fck),0)</f>
      </c>
      <c r="N213" s="30">
        <f>PM_Angle!$J$9+PM_Angle!$K$9*$C213+PM_Angle!$L$9*$B213</f>
      </c>
      <c r="O213" s="12">
        <f>IF(N213&gt;0,IF(N213&lt;=eco,alpha*fck*(1-(1-N213/eco)^n),alpha*fck),0)</f>
      </c>
      <c r="P213" s="30">
        <f>PM_Angle!$J$10+PM_Angle!$K$10*$C213+PM_Angle!$L$10*$B213</f>
      </c>
      <c r="Q213" s="12">
        <f>IF(P213&gt;0,IF(P213&lt;=eco,alpha*fck*(1-(1-P213/eco)^n),alpha*fck),0)</f>
      </c>
      <c r="R213" s="30">
        <f>PM_Angle!$J$11+PM_Angle!$K$11*$C213+PM_Angle!$L$11*$B213</f>
      </c>
      <c r="S213" s="12">
        <f>IF(R213&gt;0,IF(R213&lt;=eco,alpha*fck*(1-(1-R213/eco)^n),alpha*fck),0)</f>
      </c>
      <c r="T213" s="30">
        <f>PM_Angle!$J$12+PM_Angle!$K$12*$C213+PM_Angle!$L$12*$B213</f>
      </c>
      <c r="U213" s="12">
        <f>IF(T213&gt;0,IF(T213&lt;=eco,alpha*fck*(1-(1-T213/eco)^n),alpha*fck),0)</f>
      </c>
      <c r="V213" s="30">
        <f>PM_Angle!$J$13+PM_Angle!$K$13*$C213+PM_Angle!$L$13*$B213</f>
      </c>
      <c r="W213" s="12">
        <f>IF(V213&gt;0,IF(V213&lt;=eco,alpha*fck*(1-(1-V213/eco)^n),alpha*fck),0)</f>
      </c>
      <c r="X213" s="30">
        <f>PM_Angle!$J$14+PM_Angle!$K$14*$C213+PM_Angle!$L$14*$B213</f>
      </c>
      <c r="Y213" s="12">
        <f>IF(X213&gt;0,IF(X213&lt;=eco,alpha*fck*(1-(1-X213/eco)^n),alpha*fck),0)</f>
      </c>
      <c r="Z213" s="30">
        <f>PM_Angle!$J$15+PM_Angle!$K$15*$C213+PM_Angle!$L$15*$B213</f>
      </c>
      <c r="AA213" s="12">
        <f>IF(Z213&gt;0,IF(Z213&lt;=eco,alpha*fck*(1-(1-Z213/eco)^n),alpha*fck),0)</f>
      </c>
      <c r="AB213" s="30">
        <f>PM_Angle!$J$16+PM_Angle!$K$16*$C213+PM_Angle!$L$16*$B213</f>
      </c>
      <c r="AC213" s="12">
        <f>IF(AB213&gt;0,IF(AB213&lt;=eco,alpha*fck*(1-(1-AB213/eco)^n),alpha*fck),0)</f>
      </c>
      <c r="AD213" s="30">
        <f>PM_Angle!$J$17+PM_Angle!$K$17*$C213+PM_Angle!$L$17*$B213</f>
      </c>
      <c r="AE213" s="12">
        <f>IF(AD213&gt;0,IF(AD213&lt;=eco,alpha*fck*(1-(1-AD213/eco)^n),alpha*fck),0)</f>
      </c>
      <c r="AF213" s="30">
        <f>PM_Angle!$J$18+PM_Angle!$K$18*$C213+PM_Angle!$L$18*$B213</f>
      </c>
      <c r="AG213" s="12">
        <f>IF(AF213&gt;0,IF(AF213&lt;=eco,alpha*fck*(1-(1-AF213/eco)^n),alpha*fck),0)</f>
      </c>
      <c r="AH213" s="30">
        <f>PM_Angle!$J$19+PM_Angle!$K$19*$C213+PM_Angle!$L$19*$B213</f>
      </c>
      <c r="AI213" s="12">
        <f>IF(AH213&gt;0,IF(AH213&lt;=eco,alpha*fck*(1-(1-AH213/eco)^n),alpha*fck),0)</f>
      </c>
      <c r="AJ213" s="30">
        <f>PM_Angle!$J$20+PM_Angle!$K$20*$C213+PM_Angle!$L$20*$B213</f>
      </c>
      <c r="AK213" s="12">
        <f>IF(AJ213&gt;0,IF(AJ213&lt;=eco,alpha*fck*(1-(1-AJ213/eco)^n),alpha*fck),0)</f>
      </c>
      <c r="AL213" s="30">
        <f>PM_Angle!$J$21+PM_Angle!$K$21*$C213+PM_Angle!$L$21*$B213</f>
      </c>
      <c r="AM213" s="12">
        <f>IF(AL213&gt;0,IF(AL213&lt;=eco,alpha*fck*(1-(1-AL213/eco)^n),alpha*fck),0)</f>
      </c>
      <c r="AN213" s="30">
        <f>PM_Angle!$J$22+PM_Angle!$K$22*$C213+PM_Angle!$L$22*$B213</f>
      </c>
      <c r="AO213" s="12">
        <f>IF(AN213&gt;0,IF(AN213&lt;=eco,alpha*fck*(1-(1-AN213/eco)^n),alpha*fck),0)</f>
      </c>
      <c r="AP213" s="30">
        <f>PM_Angle!$J$23+PM_Angle!$K$23*$C213+PM_Angle!$L$23*$B213</f>
      </c>
      <c r="AQ213" s="12">
        <f>IF(AP213&gt;0,IF(AP213&lt;=eco,alpha*fck*(1-(1-AP213/eco)^n),alpha*fck),0)</f>
      </c>
      <c r="AR213" s="30">
        <f>PM_Angle!$J$24+PM_Angle!$K$24*$C213+PM_Angle!$L$24*$B213</f>
      </c>
      <c r="AS213" s="12">
        <f>IF(AR213&gt;0,IF(AR213&lt;=eco,alpha*fck*(1-(1-AR213/eco)^n),alpha*fck),0)</f>
      </c>
      <c r="AT213" s="30">
        <f>PM_Angle!$J$25+PM_Angle!$K$25*$C213+PM_Angle!$L$25*$B213</f>
      </c>
      <c r="AU213" s="12">
        <f>IF(AT213&gt;0,IF(AT213&lt;=eco,alpha*fck*(1-(1-AT213/eco)^n),alpha*fck),0)</f>
      </c>
    </row>
    <row r="214" spans="1:47" x14ac:dyDescent="0.25">
      <c r="A214">
        <f>Mesh!A211</f>
      </c>
      <c r="B214" s="12">
        <f>Mesh!B211</f>
      </c>
      <c r="C214" s="12">
        <f>Mesh!C211</f>
      </c>
      <c r="D214" s="12">
        <f>Mesh!D211</f>
      </c>
      <c r="E214" s="30">
        <f>INDEX(St_e0,Det+1)+INDEX(St_kx,Det+1)*C214+INDEX(St_ky,Det+1)*B214</f>
      </c>
      <c r="F214" s="12">
        <f>IF(E214&gt;0,IF(E214&lt;=eco,alpha*fck*(1-(1-E214/eco)^n),alpha*fck),0)</f>
      </c>
      <c r="G214" s="11">
        <f>F214*D214</f>
      </c>
      <c r="H214" s="11">
        <f>G214*C214</f>
      </c>
      <c r="I214" s="11">
        <f>G214*B214</f>
      </c>
      <c r="J214" s="30">
        <f>PM_Angle!$J$7+PM_Angle!$K$7*$C214+PM_Angle!$L$7*$B214</f>
      </c>
      <c r="K214" s="12">
        <f>IF(J214&gt;0,IF(J214&lt;=eco,alpha*fck*(1-(1-J214/eco)^n),alpha*fck),0)</f>
      </c>
      <c r="L214" s="30">
        <f>PM_Angle!$J$8+PM_Angle!$K$8*$C214+PM_Angle!$L$8*$B214</f>
      </c>
      <c r="M214" s="12">
        <f>IF(L214&gt;0,IF(L214&lt;=eco,alpha*fck*(1-(1-L214/eco)^n),alpha*fck),0)</f>
      </c>
      <c r="N214" s="30">
        <f>PM_Angle!$J$9+PM_Angle!$K$9*$C214+PM_Angle!$L$9*$B214</f>
      </c>
      <c r="O214" s="12">
        <f>IF(N214&gt;0,IF(N214&lt;=eco,alpha*fck*(1-(1-N214/eco)^n),alpha*fck),0)</f>
      </c>
      <c r="P214" s="30">
        <f>PM_Angle!$J$10+PM_Angle!$K$10*$C214+PM_Angle!$L$10*$B214</f>
      </c>
      <c r="Q214" s="12">
        <f>IF(P214&gt;0,IF(P214&lt;=eco,alpha*fck*(1-(1-P214/eco)^n),alpha*fck),0)</f>
      </c>
      <c r="R214" s="30">
        <f>PM_Angle!$J$11+PM_Angle!$K$11*$C214+PM_Angle!$L$11*$B214</f>
      </c>
      <c r="S214" s="12">
        <f>IF(R214&gt;0,IF(R214&lt;=eco,alpha*fck*(1-(1-R214/eco)^n),alpha*fck),0)</f>
      </c>
      <c r="T214" s="30">
        <f>PM_Angle!$J$12+PM_Angle!$K$12*$C214+PM_Angle!$L$12*$B214</f>
      </c>
      <c r="U214" s="12">
        <f>IF(T214&gt;0,IF(T214&lt;=eco,alpha*fck*(1-(1-T214/eco)^n),alpha*fck),0)</f>
      </c>
      <c r="V214" s="30">
        <f>PM_Angle!$J$13+PM_Angle!$K$13*$C214+PM_Angle!$L$13*$B214</f>
      </c>
      <c r="W214" s="12">
        <f>IF(V214&gt;0,IF(V214&lt;=eco,alpha*fck*(1-(1-V214/eco)^n),alpha*fck),0)</f>
      </c>
      <c r="X214" s="30">
        <f>PM_Angle!$J$14+PM_Angle!$K$14*$C214+PM_Angle!$L$14*$B214</f>
      </c>
      <c r="Y214" s="12">
        <f>IF(X214&gt;0,IF(X214&lt;=eco,alpha*fck*(1-(1-X214/eco)^n),alpha*fck),0)</f>
      </c>
      <c r="Z214" s="30">
        <f>PM_Angle!$J$15+PM_Angle!$K$15*$C214+PM_Angle!$L$15*$B214</f>
      </c>
      <c r="AA214" s="12">
        <f>IF(Z214&gt;0,IF(Z214&lt;=eco,alpha*fck*(1-(1-Z214/eco)^n),alpha*fck),0)</f>
      </c>
      <c r="AB214" s="30">
        <f>PM_Angle!$J$16+PM_Angle!$K$16*$C214+PM_Angle!$L$16*$B214</f>
      </c>
      <c r="AC214" s="12">
        <f>IF(AB214&gt;0,IF(AB214&lt;=eco,alpha*fck*(1-(1-AB214/eco)^n),alpha*fck),0)</f>
      </c>
      <c r="AD214" s="30">
        <f>PM_Angle!$J$17+PM_Angle!$K$17*$C214+PM_Angle!$L$17*$B214</f>
      </c>
      <c r="AE214" s="12">
        <f>IF(AD214&gt;0,IF(AD214&lt;=eco,alpha*fck*(1-(1-AD214/eco)^n),alpha*fck),0)</f>
      </c>
      <c r="AF214" s="30">
        <f>PM_Angle!$J$18+PM_Angle!$K$18*$C214+PM_Angle!$L$18*$B214</f>
      </c>
      <c r="AG214" s="12">
        <f>IF(AF214&gt;0,IF(AF214&lt;=eco,alpha*fck*(1-(1-AF214/eco)^n),alpha*fck),0)</f>
      </c>
      <c r="AH214" s="30">
        <f>PM_Angle!$J$19+PM_Angle!$K$19*$C214+PM_Angle!$L$19*$B214</f>
      </c>
      <c r="AI214" s="12">
        <f>IF(AH214&gt;0,IF(AH214&lt;=eco,alpha*fck*(1-(1-AH214/eco)^n),alpha*fck),0)</f>
      </c>
      <c r="AJ214" s="30">
        <f>PM_Angle!$J$20+PM_Angle!$K$20*$C214+PM_Angle!$L$20*$B214</f>
      </c>
      <c r="AK214" s="12">
        <f>IF(AJ214&gt;0,IF(AJ214&lt;=eco,alpha*fck*(1-(1-AJ214/eco)^n),alpha*fck),0)</f>
      </c>
      <c r="AL214" s="30">
        <f>PM_Angle!$J$21+PM_Angle!$K$21*$C214+PM_Angle!$L$21*$B214</f>
      </c>
      <c r="AM214" s="12">
        <f>IF(AL214&gt;0,IF(AL214&lt;=eco,alpha*fck*(1-(1-AL214/eco)^n),alpha*fck),0)</f>
      </c>
      <c r="AN214" s="30">
        <f>PM_Angle!$J$22+PM_Angle!$K$22*$C214+PM_Angle!$L$22*$B214</f>
      </c>
      <c r="AO214" s="12">
        <f>IF(AN214&gt;0,IF(AN214&lt;=eco,alpha*fck*(1-(1-AN214/eco)^n),alpha*fck),0)</f>
      </c>
      <c r="AP214" s="30">
        <f>PM_Angle!$J$23+PM_Angle!$K$23*$C214+PM_Angle!$L$23*$B214</f>
      </c>
      <c r="AQ214" s="12">
        <f>IF(AP214&gt;0,IF(AP214&lt;=eco,alpha*fck*(1-(1-AP214/eco)^n),alpha*fck),0)</f>
      </c>
      <c r="AR214" s="30">
        <f>PM_Angle!$J$24+PM_Angle!$K$24*$C214+PM_Angle!$L$24*$B214</f>
      </c>
      <c r="AS214" s="12">
        <f>IF(AR214&gt;0,IF(AR214&lt;=eco,alpha*fck*(1-(1-AR214/eco)^n),alpha*fck),0)</f>
      </c>
      <c r="AT214" s="30">
        <f>PM_Angle!$J$25+PM_Angle!$K$25*$C214+PM_Angle!$L$25*$B214</f>
      </c>
      <c r="AU214" s="12">
        <f>IF(AT214&gt;0,IF(AT214&lt;=eco,alpha*fck*(1-(1-AT214/eco)^n),alpha*fck),0)</f>
      </c>
    </row>
    <row r="215" spans="1:47" x14ac:dyDescent="0.25">
      <c r="A215">
        <f>Mesh!A212</f>
      </c>
      <c r="B215" s="12">
        <f>Mesh!B212</f>
      </c>
      <c r="C215" s="12">
        <f>Mesh!C212</f>
      </c>
      <c r="D215" s="12">
        <f>Mesh!D212</f>
      </c>
      <c r="E215" s="30">
        <f>INDEX(St_e0,Det+1)+INDEX(St_kx,Det+1)*C215+INDEX(St_ky,Det+1)*B215</f>
      </c>
      <c r="F215" s="12">
        <f>IF(E215&gt;0,IF(E215&lt;=eco,alpha*fck*(1-(1-E215/eco)^n),alpha*fck),0)</f>
      </c>
      <c r="G215" s="11">
        <f>F215*D215</f>
      </c>
      <c r="H215" s="11">
        <f>G215*C215</f>
      </c>
      <c r="I215" s="11">
        <f>G215*B215</f>
      </c>
      <c r="J215" s="30">
        <f>PM_Angle!$J$7+PM_Angle!$K$7*$C215+PM_Angle!$L$7*$B215</f>
      </c>
      <c r="K215" s="12">
        <f>IF(J215&gt;0,IF(J215&lt;=eco,alpha*fck*(1-(1-J215/eco)^n),alpha*fck),0)</f>
      </c>
      <c r="L215" s="30">
        <f>PM_Angle!$J$8+PM_Angle!$K$8*$C215+PM_Angle!$L$8*$B215</f>
      </c>
      <c r="M215" s="12">
        <f>IF(L215&gt;0,IF(L215&lt;=eco,alpha*fck*(1-(1-L215/eco)^n),alpha*fck),0)</f>
      </c>
      <c r="N215" s="30">
        <f>PM_Angle!$J$9+PM_Angle!$K$9*$C215+PM_Angle!$L$9*$B215</f>
      </c>
      <c r="O215" s="12">
        <f>IF(N215&gt;0,IF(N215&lt;=eco,alpha*fck*(1-(1-N215/eco)^n),alpha*fck),0)</f>
      </c>
      <c r="P215" s="30">
        <f>PM_Angle!$J$10+PM_Angle!$K$10*$C215+PM_Angle!$L$10*$B215</f>
      </c>
      <c r="Q215" s="12">
        <f>IF(P215&gt;0,IF(P215&lt;=eco,alpha*fck*(1-(1-P215/eco)^n),alpha*fck),0)</f>
      </c>
      <c r="R215" s="30">
        <f>PM_Angle!$J$11+PM_Angle!$K$11*$C215+PM_Angle!$L$11*$B215</f>
      </c>
      <c r="S215" s="12">
        <f>IF(R215&gt;0,IF(R215&lt;=eco,alpha*fck*(1-(1-R215/eco)^n),alpha*fck),0)</f>
      </c>
      <c r="T215" s="30">
        <f>PM_Angle!$J$12+PM_Angle!$K$12*$C215+PM_Angle!$L$12*$B215</f>
      </c>
      <c r="U215" s="12">
        <f>IF(T215&gt;0,IF(T215&lt;=eco,alpha*fck*(1-(1-T215/eco)^n),alpha*fck),0)</f>
      </c>
      <c r="V215" s="30">
        <f>PM_Angle!$J$13+PM_Angle!$K$13*$C215+PM_Angle!$L$13*$B215</f>
      </c>
      <c r="W215" s="12">
        <f>IF(V215&gt;0,IF(V215&lt;=eco,alpha*fck*(1-(1-V215/eco)^n),alpha*fck),0)</f>
      </c>
      <c r="X215" s="30">
        <f>PM_Angle!$J$14+PM_Angle!$K$14*$C215+PM_Angle!$L$14*$B215</f>
      </c>
      <c r="Y215" s="12">
        <f>IF(X215&gt;0,IF(X215&lt;=eco,alpha*fck*(1-(1-X215/eco)^n),alpha*fck),0)</f>
      </c>
      <c r="Z215" s="30">
        <f>PM_Angle!$J$15+PM_Angle!$K$15*$C215+PM_Angle!$L$15*$B215</f>
      </c>
      <c r="AA215" s="12">
        <f>IF(Z215&gt;0,IF(Z215&lt;=eco,alpha*fck*(1-(1-Z215/eco)^n),alpha*fck),0)</f>
      </c>
      <c r="AB215" s="30">
        <f>PM_Angle!$J$16+PM_Angle!$K$16*$C215+PM_Angle!$L$16*$B215</f>
      </c>
      <c r="AC215" s="12">
        <f>IF(AB215&gt;0,IF(AB215&lt;=eco,alpha*fck*(1-(1-AB215/eco)^n),alpha*fck),0)</f>
      </c>
      <c r="AD215" s="30">
        <f>PM_Angle!$J$17+PM_Angle!$K$17*$C215+PM_Angle!$L$17*$B215</f>
      </c>
      <c r="AE215" s="12">
        <f>IF(AD215&gt;0,IF(AD215&lt;=eco,alpha*fck*(1-(1-AD215/eco)^n),alpha*fck),0)</f>
      </c>
      <c r="AF215" s="30">
        <f>PM_Angle!$J$18+PM_Angle!$K$18*$C215+PM_Angle!$L$18*$B215</f>
      </c>
      <c r="AG215" s="12">
        <f>IF(AF215&gt;0,IF(AF215&lt;=eco,alpha*fck*(1-(1-AF215/eco)^n),alpha*fck),0)</f>
      </c>
      <c r="AH215" s="30">
        <f>PM_Angle!$J$19+PM_Angle!$K$19*$C215+PM_Angle!$L$19*$B215</f>
      </c>
      <c r="AI215" s="12">
        <f>IF(AH215&gt;0,IF(AH215&lt;=eco,alpha*fck*(1-(1-AH215/eco)^n),alpha*fck),0)</f>
      </c>
      <c r="AJ215" s="30">
        <f>PM_Angle!$J$20+PM_Angle!$K$20*$C215+PM_Angle!$L$20*$B215</f>
      </c>
      <c r="AK215" s="12">
        <f>IF(AJ215&gt;0,IF(AJ215&lt;=eco,alpha*fck*(1-(1-AJ215/eco)^n),alpha*fck),0)</f>
      </c>
      <c r="AL215" s="30">
        <f>PM_Angle!$J$21+PM_Angle!$K$21*$C215+PM_Angle!$L$21*$B215</f>
      </c>
      <c r="AM215" s="12">
        <f>IF(AL215&gt;0,IF(AL215&lt;=eco,alpha*fck*(1-(1-AL215/eco)^n),alpha*fck),0)</f>
      </c>
      <c r="AN215" s="30">
        <f>PM_Angle!$J$22+PM_Angle!$K$22*$C215+PM_Angle!$L$22*$B215</f>
      </c>
      <c r="AO215" s="12">
        <f>IF(AN215&gt;0,IF(AN215&lt;=eco,alpha*fck*(1-(1-AN215/eco)^n),alpha*fck),0)</f>
      </c>
      <c r="AP215" s="30">
        <f>PM_Angle!$J$23+PM_Angle!$K$23*$C215+PM_Angle!$L$23*$B215</f>
      </c>
      <c r="AQ215" s="12">
        <f>IF(AP215&gt;0,IF(AP215&lt;=eco,alpha*fck*(1-(1-AP215/eco)^n),alpha*fck),0)</f>
      </c>
      <c r="AR215" s="30">
        <f>PM_Angle!$J$24+PM_Angle!$K$24*$C215+PM_Angle!$L$24*$B215</f>
      </c>
      <c r="AS215" s="12">
        <f>IF(AR215&gt;0,IF(AR215&lt;=eco,alpha*fck*(1-(1-AR215/eco)^n),alpha*fck),0)</f>
      </c>
      <c r="AT215" s="30">
        <f>PM_Angle!$J$25+PM_Angle!$K$25*$C215+PM_Angle!$L$25*$B215</f>
      </c>
      <c r="AU215" s="12">
        <f>IF(AT215&gt;0,IF(AT215&lt;=eco,alpha*fck*(1-(1-AT215/eco)^n),alpha*fck),0)</f>
      </c>
    </row>
    <row r="216" spans="1:47" x14ac:dyDescent="0.25">
      <c r="A216">
        <f>Mesh!A213</f>
      </c>
      <c r="B216" s="12">
        <f>Mesh!B213</f>
      </c>
      <c r="C216" s="12">
        <f>Mesh!C213</f>
      </c>
      <c r="D216" s="12">
        <f>Mesh!D213</f>
      </c>
      <c r="E216" s="30">
        <f>INDEX(St_e0,Det+1)+INDEX(St_kx,Det+1)*C216+INDEX(St_ky,Det+1)*B216</f>
      </c>
      <c r="F216" s="12">
        <f>IF(E216&gt;0,IF(E216&lt;=eco,alpha*fck*(1-(1-E216/eco)^n),alpha*fck),0)</f>
      </c>
      <c r="G216" s="11">
        <f>F216*D216</f>
      </c>
      <c r="H216" s="11">
        <f>G216*C216</f>
      </c>
      <c r="I216" s="11">
        <f>G216*B216</f>
      </c>
      <c r="J216" s="30">
        <f>PM_Angle!$J$7+PM_Angle!$K$7*$C216+PM_Angle!$L$7*$B216</f>
      </c>
      <c r="K216" s="12">
        <f>IF(J216&gt;0,IF(J216&lt;=eco,alpha*fck*(1-(1-J216/eco)^n),alpha*fck),0)</f>
      </c>
      <c r="L216" s="30">
        <f>PM_Angle!$J$8+PM_Angle!$K$8*$C216+PM_Angle!$L$8*$B216</f>
      </c>
      <c r="M216" s="12">
        <f>IF(L216&gt;0,IF(L216&lt;=eco,alpha*fck*(1-(1-L216/eco)^n),alpha*fck),0)</f>
      </c>
      <c r="N216" s="30">
        <f>PM_Angle!$J$9+PM_Angle!$K$9*$C216+PM_Angle!$L$9*$B216</f>
      </c>
      <c r="O216" s="12">
        <f>IF(N216&gt;0,IF(N216&lt;=eco,alpha*fck*(1-(1-N216/eco)^n),alpha*fck),0)</f>
      </c>
      <c r="P216" s="30">
        <f>PM_Angle!$J$10+PM_Angle!$K$10*$C216+PM_Angle!$L$10*$B216</f>
      </c>
      <c r="Q216" s="12">
        <f>IF(P216&gt;0,IF(P216&lt;=eco,alpha*fck*(1-(1-P216/eco)^n),alpha*fck),0)</f>
      </c>
      <c r="R216" s="30">
        <f>PM_Angle!$J$11+PM_Angle!$K$11*$C216+PM_Angle!$L$11*$B216</f>
      </c>
      <c r="S216" s="12">
        <f>IF(R216&gt;0,IF(R216&lt;=eco,alpha*fck*(1-(1-R216/eco)^n),alpha*fck),0)</f>
      </c>
      <c r="T216" s="30">
        <f>PM_Angle!$J$12+PM_Angle!$K$12*$C216+PM_Angle!$L$12*$B216</f>
      </c>
      <c r="U216" s="12">
        <f>IF(T216&gt;0,IF(T216&lt;=eco,alpha*fck*(1-(1-T216/eco)^n),alpha*fck),0)</f>
      </c>
      <c r="V216" s="30">
        <f>PM_Angle!$J$13+PM_Angle!$K$13*$C216+PM_Angle!$L$13*$B216</f>
      </c>
      <c r="W216" s="12">
        <f>IF(V216&gt;0,IF(V216&lt;=eco,alpha*fck*(1-(1-V216/eco)^n),alpha*fck),0)</f>
      </c>
      <c r="X216" s="30">
        <f>PM_Angle!$J$14+PM_Angle!$K$14*$C216+PM_Angle!$L$14*$B216</f>
      </c>
      <c r="Y216" s="12">
        <f>IF(X216&gt;0,IF(X216&lt;=eco,alpha*fck*(1-(1-X216/eco)^n),alpha*fck),0)</f>
      </c>
      <c r="Z216" s="30">
        <f>PM_Angle!$J$15+PM_Angle!$K$15*$C216+PM_Angle!$L$15*$B216</f>
      </c>
      <c r="AA216" s="12">
        <f>IF(Z216&gt;0,IF(Z216&lt;=eco,alpha*fck*(1-(1-Z216/eco)^n),alpha*fck),0)</f>
      </c>
      <c r="AB216" s="30">
        <f>PM_Angle!$J$16+PM_Angle!$K$16*$C216+PM_Angle!$L$16*$B216</f>
      </c>
      <c r="AC216" s="12">
        <f>IF(AB216&gt;0,IF(AB216&lt;=eco,alpha*fck*(1-(1-AB216/eco)^n),alpha*fck),0)</f>
      </c>
      <c r="AD216" s="30">
        <f>PM_Angle!$J$17+PM_Angle!$K$17*$C216+PM_Angle!$L$17*$B216</f>
      </c>
      <c r="AE216" s="12">
        <f>IF(AD216&gt;0,IF(AD216&lt;=eco,alpha*fck*(1-(1-AD216/eco)^n),alpha*fck),0)</f>
      </c>
      <c r="AF216" s="30">
        <f>PM_Angle!$J$18+PM_Angle!$K$18*$C216+PM_Angle!$L$18*$B216</f>
      </c>
      <c r="AG216" s="12">
        <f>IF(AF216&gt;0,IF(AF216&lt;=eco,alpha*fck*(1-(1-AF216/eco)^n),alpha*fck),0)</f>
      </c>
      <c r="AH216" s="30">
        <f>PM_Angle!$J$19+PM_Angle!$K$19*$C216+PM_Angle!$L$19*$B216</f>
      </c>
      <c r="AI216" s="12">
        <f>IF(AH216&gt;0,IF(AH216&lt;=eco,alpha*fck*(1-(1-AH216/eco)^n),alpha*fck),0)</f>
      </c>
      <c r="AJ216" s="30">
        <f>PM_Angle!$J$20+PM_Angle!$K$20*$C216+PM_Angle!$L$20*$B216</f>
      </c>
      <c r="AK216" s="12">
        <f>IF(AJ216&gt;0,IF(AJ216&lt;=eco,alpha*fck*(1-(1-AJ216/eco)^n),alpha*fck),0)</f>
      </c>
      <c r="AL216" s="30">
        <f>PM_Angle!$J$21+PM_Angle!$K$21*$C216+PM_Angle!$L$21*$B216</f>
      </c>
      <c r="AM216" s="12">
        <f>IF(AL216&gt;0,IF(AL216&lt;=eco,alpha*fck*(1-(1-AL216/eco)^n),alpha*fck),0)</f>
      </c>
      <c r="AN216" s="30">
        <f>PM_Angle!$J$22+PM_Angle!$K$22*$C216+PM_Angle!$L$22*$B216</f>
      </c>
      <c r="AO216" s="12">
        <f>IF(AN216&gt;0,IF(AN216&lt;=eco,alpha*fck*(1-(1-AN216/eco)^n),alpha*fck),0)</f>
      </c>
      <c r="AP216" s="30">
        <f>PM_Angle!$J$23+PM_Angle!$K$23*$C216+PM_Angle!$L$23*$B216</f>
      </c>
      <c r="AQ216" s="12">
        <f>IF(AP216&gt;0,IF(AP216&lt;=eco,alpha*fck*(1-(1-AP216/eco)^n),alpha*fck),0)</f>
      </c>
      <c r="AR216" s="30">
        <f>PM_Angle!$J$24+PM_Angle!$K$24*$C216+PM_Angle!$L$24*$B216</f>
      </c>
      <c r="AS216" s="12">
        <f>IF(AR216&gt;0,IF(AR216&lt;=eco,alpha*fck*(1-(1-AR216/eco)^n),alpha*fck),0)</f>
      </c>
      <c r="AT216" s="30">
        <f>PM_Angle!$J$25+PM_Angle!$K$25*$C216+PM_Angle!$L$25*$B216</f>
      </c>
      <c r="AU216" s="12">
        <f>IF(AT216&gt;0,IF(AT216&lt;=eco,alpha*fck*(1-(1-AT216/eco)^n),alpha*fck),0)</f>
      </c>
    </row>
    <row r="217" spans="1:47" x14ac:dyDescent="0.25">
      <c r="A217">
        <f>Mesh!A214</f>
      </c>
      <c r="B217" s="12">
        <f>Mesh!B214</f>
      </c>
      <c r="C217" s="12">
        <f>Mesh!C214</f>
      </c>
      <c r="D217" s="12">
        <f>Mesh!D214</f>
      </c>
      <c r="E217" s="30">
        <f>INDEX(St_e0,Det+1)+INDEX(St_kx,Det+1)*C217+INDEX(St_ky,Det+1)*B217</f>
      </c>
      <c r="F217" s="12">
        <f>IF(E217&gt;0,IF(E217&lt;=eco,alpha*fck*(1-(1-E217/eco)^n),alpha*fck),0)</f>
      </c>
      <c r="G217" s="11">
        <f>F217*D217</f>
      </c>
      <c r="H217" s="11">
        <f>G217*C217</f>
      </c>
      <c r="I217" s="11">
        <f>G217*B217</f>
      </c>
      <c r="J217" s="30">
        <f>PM_Angle!$J$7+PM_Angle!$K$7*$C217+PM_Angle!$L$7*$B217</f>
      </c>
      <c r="K217" s="12">
        <f>IF(J217&gt;0,IF(J217&lt;=eco,alpha*fck*(1-(1-J217/eco)^n),alpha*fck),0)</f>
      </c>
      <c r="L217" s="30">
        <f>PM_Angle!$J$8+PM_Angle!$K$8*$C217+PM_Angle!$L$8*$B217</f>
      </c>
      <c r="M217" s="12">
        <f>IF(L217&gt;0,IF(L217&lt;=eco,alpha*fck*(1-(1-L217/eco)^n),alpha*fck),0)</f>
      </c>
      <c r="N217" s="30">
        <f>PM_Angle!$J$9+PM_Angle!$K$9*$C217+PM_Angle!$L$9*$B217</f>
      </c>
      <c r="O217" s="12">
        <f>IF(N217&gt;0,IF(N217&lt;=eco,alpha*fck*(1-(1-N217/eco)^n),alpha*fck),0)</f>
      </c>
      <c r="P217" s="30">
        <f>PM_Angle!$J$10+PM_Angle!$K$10*$C217+PM_Angle!$L$10*$B217</f>
      </c>
      <c r="Q217" s="12">
        <f>IF(P217&gt;0,IF(P217&lt;=eco,alpha*fck*(1-(1-P217/eco)^n),alpha*fck),0)</f>
      </c>
      <c r="R217" s="30">
        <f>PM_Angle!$J$11+PM_Angle!$K$11*$C217+PM_Angle!$L$11*$B217</f>
      </c>
      <c r="S217" s="12">
        <f>IF(R217&gt;0,IF(R217&lt;=eco,alpha*fck*(1-(1-R217/eco)^n),alpha*fck),0)</f>
      </c>
      <c r="T217" s="30">
        <f>PM_Angle!$J$12+PM_Angle!$K$12*$C217+PM_Angle!$L$12*$B217</f>
      </c>
      <c r="U217" s="12">
        <f>IF(T217&gt;0,IF(T217&lt;=eco,alpha*fck*(1-(1-T217/eco)^n),alpha*fck),0)</f>
      </c>
      <c r="V217" s="30">
        <f>PM_Angle!$J$13+PM_Angle!$K$13*$C217+PM_Angle!$L$13*$B217</f>
      </c>
      <c r="W217" s="12">
        <f>IF(V217&gt;0,IF(V217&lt;=eco,alpha*fck*(1-(1-V217/eco)^n),alpha*fck),0)</f>
      </c>
      <c r="X217" s="30">
        <f>PM_Angle!$J$14+PM_Angle!$K$14*$C217+PM_Angle!$L$14*$B217</f>
      </c>
      <c r="Y217" s="12">
        <f>IF(X217&gt;0,IF(X217&lt;=eco,alpha*fck*(1-(1-X217/eco)^n),alpha*fck),0)</f>
      </c>
      <c r="Z217" s="30">
        <f>PM_Angle!$J$15+PM_Angle!$K$15*$C217+PM_Angle!$L$15*$B217</f>
      </c>
      <c r="AA217" s="12">
        <f>IF(Z217&gt;0,IF(Z217&lt;=eco,alpha*fck*(1-(1-Z217/eco)^n),alpha*fck),0)</f>
      </c>
      <c r="AB217" s="30">
        <f>PM_Angle!$J$16+PM_Angle!$K$16*$C217+PM_Angle!$L$16*$B217</f>
      </c>
      <c r="AC217" s="12">
        <f>IF(AB217&gt;0,IF(AB217&lt;=eco,alpha*fck*(1-(1-AB217/eco)^n),alpha*fck),0)</f>
      </c>
      <c r="AD217" s="30">
        <f>PM_Angle!$J$17+PM_Angle!$K$17*$C217+PM_Angle!$L$17*$B217</f>
      </c>
      <c r="AE217" s="12">
        <f>IF(AD217&gt;0,IF(AD217&lt;=eco,alpha*fck*(1-(1-AD217/eco)^n),alpha*fck),0)</f>
      </c>
      <c r="AF217" s="30">
        <f>PM_Angle!$J$18+PM_Angle!$K$18*$C217+PM_Angle!$L$18*$B217</f>
      </c>
      <c r="AG217" s="12">
        <f>IF(AF217&gt;0,IF(AF217&lt;=eco,alpha*fck*(1-(1-AF217/eco)^n),alpha*fck),0)</f>
      </c>
      <c r="AH217" s="30">
        <f>PM_Angle!$J$19+PM_Angle!$K$19*$C217+PM_Angle!$L$19*$B217</f>
      </c>
      <c r="AI217" s="12">
        <f>IF(AH217&gt;0,IF(AH217&lt;=eco,alpha*fck*(1-(1-AH217/eco)^n),alpha*fck),0)</f>
      </c>
      <c r="AJ217" s="30">
        <f>PM_Angle!$J$20+PM_Angle!$K$20*$C217+PM_Angle!$L$20*$B217</f>
      </c>
      <c r="AK217" s="12">
        <f>IF(AJ217&gt;0,IF(AJ217&lt;=eco,alpha*fck*(1-(1-AJ217/eco)^n),alpha*fck),0)</f>
      </c>
      <c r="AL217" s="30">
        <f>PM_Angle!$J$21+PM_Angle!$K$21*$C217+PM_Angle!$L$21*$B217</f>
      </c>
      <c r="AM217" s="12">
        <f>IF(AL217&gt;0,IF(AL217&lt;=eco,alpha*fck*(1-(1-AL217/eco)^n),alpha*fck),0)</f>
      </c>
      <c r="AN217" s="30">
        <f>PM_Angle!$J$22+PM_Angle!$K$22*$C217+PM_Angle!$L$22*$B217</f>
      </c>
      <c r="AO217" s="12">
        <f>IF(AN217&gt;0,IF(AN217&lt;=eco,alpha*fck*(1-(1-AN217/eco)^n),alpha*fck),0)</f>
      </c>
      <c r="AP217" s="30">
        <f>PM_Angle!$J$23+PM_Angle!$K$23*$C217+PM_Angle!$L$23*$B217</f>
      </c>
      <c r="AQ217" s="12">
        <f>IF(AP217&gt;0,IF(AP217&lt;=eco,alpha*fck*(1-(1-AP217/eco)^n),alpha*fck),0)</f>
      </c>
      <c r="AR217" s="30">
        <f>PM_Angle!$J$24+PM_Angle!$K$24*$C217+PM_Angle!$L$24*$B217</f>
      </c>
      <c r="AS217" s="12">
        <f>IF(AR217&gt;0,IF(AR217&lt;=eco,alpha*fck*(1-(1-AR217/eco)^n),alpha*fck),0)</f>
      </c>
      <c r="AT217" s="30">
        <f>PM_Angle!$J$25+PM_Angle!$K$25*$C217+PM_Angle!$L$25*$B217</f>
      </c>
      <c r="AU217" s="12">
        <f>IF(AT217&gt;0,IF(AT217&lt;=eco,alpha*fck*(1-(1-AT217/eco)^n),alpha*fck),0)</f>
      </c>
    </row>
    <row r="218" spans="1:47" x14ac:dyDescent="0.25">
      <c r="A218">
        <f>Mesh!A215</f>
      </c>
      <c r="B218" s="12">
        <f>Mesh!B215</f>
      </c>
      <c r="C218" s="12">
        <f>Mesh!C215</f>
      </c>
      <c r="D218" s="12">
        <f>Mesh!D215</f>
      </c>
      <c r="E218" s="30">
        <f>INDEX(St_e0,Det+1)+INDEX(St_kx,Det+1)*C218+INDEX(St_ky,Det+1)*B218</f>
      </c>
      <c r="F218" s="12">
        <f>IF(E218&gt;0,IF(E218&lt;=eco,alpha*fck*(1-(1-E218/eco)^n),alpha*fck),0)</f>
      </c>
      <c r="G218" s="11">
        <f>F218*D218</f>
      </c>
      <c r="H218" s="11">
        <f>G218*C218</f>
      </c>
      <c r="I218" s="11">
        <f>G218*B218</f>
      </c>
      <c r="J218" s="30">
        <f>PM_Angle!$J$7+PM_Angle!$K$7*$C218+PM_Angle!$L$7*$B218</f>
      </c>
      <c r="K218" s="12">
        <f>IF(J218&gt;0,IF(J218&lt;=eco,alpha*fck*(1-(1-J218/eco)^n),alpha*fck),0)</f>
      </c>
      <c r="L218" s="30">
        <f>PM_Angle!$J$8+PM_Angle!$K$8*$C218+PM_Angle!$L$8*$B218</f>
      </c>
      <c r="M218" s="12">
        <f>IF(L218&gt;0,IF(L218&lt;=eco,alpha*fck*(1-(1-L218/eco)^n),alpha*fck),0)</f>
      </c>
      <c r="N218" s="30">
        <f>PM_Angle!$J$9+PM_Angle!$K$9*$C218+PM_Angle!$L$9*$B218</f>
      </c>
      <c r="O218" s="12">
        <f>IF(N218&gt;0,IF(N218&lt;=eco,alpha*fck*(1-(1-N218/eco)^n),alpha*fck),0)</f>
      </c>
      <c r="P218" s="30">
        <f>PM_Angle!$J$10+PM_Angle!$K$10*$C218+PM_Angle!$L$10*$B218</f>
      </c>
      <c r="Q218" s="12">
        <f>IF(P218&gt;0,IF(P218&lt;=eco,alpha*fck*(1-(1-P218/eco)^n),alpha*fck),0)</f>
      </c>
      <c r="R218" s="30">
        <f>PM_Angle!$J$11+PM_Angle!$K$11*$C218+PM_Angle!$L$11*$B218</f>
      </c>
      <c r="S218" s="12">
        <f>IF(R218&gt;0,IF(R218&lt;=eco,alpha*fck*(1-(1-R218/eco)^n),alpha*fck),0)</f>
      </c>
      <c r="T218" s="30">
        <f>PM_Angle!$J$12+PM_Angle!$K$12*$C218+PM_Angle!$L$12*$B218</f>
      </c>
      <c r="U218" s="12">
        <f>IF(T218&gt;0,IF(T218&lt;=eco,alpha*fck*(1-(1-T218/eco)^n),alpha*fck),0)</f>
      </c>
      <c r="V218" s="30">
        <f>PM_Angle!$J$13+PM_Angle!$K$13*$C218+PM_Angle!$L$13*$B218</f>
      </c>
      <c r="W218" s="12">
        <f>IF(V218&gt;0,IF(V218&lt;=eco,alpha*fck*(1-(1-V218/eco)^n),alpha*fck),0)</f>
      </c>
      <c r="X218" s="30">
        <f>PM_Angle!$J$14+PM_Angle!$K$14*$C218+PM_Angle!$L$14*$B218</f>
      </c>
      <c r="Y218" s="12">
        <f>IF(X218&gt;0,IF(X218&lt;=eco,alpha*fck*(1-(1-X218/eco)^n),alpha*fck),0)</f>
      </c>
      <c r="Z218" s="30">
        <f>PM_Angle!$J$15+PM_Angle!$K$15*$C218+PM_Angle!$L$15*$B218</f>
      </c>
      <c r="AA218" s="12">
        <f>IF(Z218&gt;0,IF(Z218&lt;=eco,alpha*fck*(1-(1-Z218/eco)^n),alpha*fck),0)</f>
      </c>
      <c r="AB218" s="30">
        <f>PM_Angle!$J$16+PM_Angle!$K$16*$C218+PM_Angle!$L$16*$B218</f>
      </c>
      <c r="AC218" s="12">
        <f>IF(AB218&gt;0,IF(AB218&lt;=eco,alpha*fck*(1-(1-AB218/eco)^n),alpha*fck),0)</f>
      </c>
      <c r="AD218" s="30">
        <f>PM_Angle!$J$17+PM_Angle!$K$17*$C218+PM_Angle!$L$17*$B218</f>
      </c>
      <c r="AE218" s="12">
        <f>IF(AD218&gt;0,IF(AD218&lt;=eco,alpha*fck*(1-(1-AD218/eco)^n),alpha*fck),0)</f>
      </c>
      <c r="AF218" s="30">
        <f>PM_Angle!$J$18+PM_Angle!$K$18*$C218+PM_Angle!$L$18*$B218</f>
      </c>
      <c r="AG218" s="12">
        <f>IF(AF218&gt;0,IF(AF218&lt;=eco,alpha*fck*(1-(1-AF218/eco)^n),alpha*fck),0)</f>
      </c>
      <c r="AH218" s="30">
        <f>PM_Angle!$J$19+PM_Angle!$K$19*$C218+PM_Angle!$L$19*$B218</f>
      </c>
      <c r="AI218" s="12">
        <f>IF(AH218&gt;0,IF(AH218&lt;=eco,alpha*fck*(1-(1-AH218/eco)^n),alpha*fck),0)</f>
      </c>
      <c r="AJ218" s="30">
        <f>PM_Angle!$J$20+PM_Angle!$K$20*$C218+PM_Angle!$L$20*$B218</f>
      </c>
      <c r="AK218" s="12">
        <f>IF(AJ218&gt;0,IF(AJ218&lt;=eco,alpha*fck*(1-(1-AJ218/eco)^n),alpha*fck),0)</f>
      </c>
      <c r="AL218" s="30">
        <f>PM_Angle!$J$21+PM_Angle!$K$21*$C218+PM_Angle!$L$21*$B218</f>
      </c>
      <c r="AM218" s="12">
        <f>IF(AL218&gt;0,IF(AL218&lt;=eco,alpha*fck*(1-(1-AL218/eco)^n),alpha*fck),0)</f>
      </c>
      <c r="AN218" s="30">
        <f>PM_Angle!$J$22+PM_Angle!$K$22*$C218+PM_Angle!$L$22*$B218</f>
      </c>
      <c r="AO218" s="12">
        <f>IF(AN218&gt;0,IF(AN218&lt;=eco,alpha*fck*(1-(1-AN218/eco)^n),alpha*fck),0)</f>
      </c>
      <c r="AP218" s="30">
        <f>PM_Angle!$J$23+PM_Angle!$K$23*$C218+PM_Angle!$L$23*$B218</f>
      </c>
      <c r="AQ218" s="12">
        <f>IF(AP218&gt;0,IF(AP218&lt;=eco,alpha*fck*(1-(1-AP218/eco)^n),alpha*fck),0)</f>
      </c>
      <c r="AR218" s="30">
        <f>PM_Angle!$J$24+PM_Angle!$K$24*$C218+PM_Angle!$L$24*$B218</f>
      </c>
      <c r="AS218" s="12">
        <f>IF(AR218&gt;0,IF(AR218&lt;=eco,alpha*fck*(1-(1-AR218/eco)^n),alpha*fck),0)</f>
      </c>
      <c r="AT218" s="30">
        <f>PM_Angle!$J$25+PM_Angle!$K$25*$C218+PM_Angle!$L$25*$B218</f>
      </c>
      <c r="AU218" s="12">
        <f>IF(AT218&gt;0,IF(AT218&lt;=eco,alpha*fck*(1-(1-AT218/eco)^n),alpha*fck),0)</f>
      </c>
    </row>
    <row r="219" spans="1:47" x14ac:dyDescent="0.25">
      <c r="A219">
        <f>Mesh!A216</f>
      </c>
      <c r="B219" s="12">
        <f>Mesh!B216</f>
      </c>
      <c r="C219" s="12">
        <f>Mesh!C216</f>
      </c>
      <c r="D219" s="12">
        <f>Mesh!D216</f>
      </c>
      <c r="E219" s="30">
        <f>INDEX(St_e0,Det+1)+INDEX(St_kx,Det+1)*C219+INDEX(St_ky,Det+1)*B219</f>
      </c>
      <c r="F219" s="12">
        <f>IF(E219&gt;0,IF(E219&lt;=eco,alpha*fck*(1-(1-E219/eco)^n),alpha*fck),0)</f>
      </c>
      <c r="G219" s="11">
        <f>F219*D219</f>
      </c>
      <c r="H219" s="11">
        <f>G219*C219</f>
      </c>
      <c r="I219" s="11">
        <f>G219*B219</f>
      </c>
      <c r="J219" s="30">
        <f>PM_Angle!$J$7+PM_Angle!$K$7*$C219+PM_Angle!$L$7*$B219</f>
      </c>
      <c r="K219" s="12">
        <f>IF(J219&gt;0,IF(J219&lt;=eco,alpha*fck*(1-(1-J219/eco)^n),alpha*fck),0)</f>
      </c>
      <c r="L219" s="30">
        <f>PM_Angle!$J$8+PM_Angle!$K$8*$C219+PM_Angle!$L$8*$B219</f>
      </c>
      <c r="M219" s="12">
        <f>IF(L219&gt;0,IF(L219&lt;=eco,alpha*fck*(1-(1-L219/eco)^n),alpha*fck),0)</f>
      </c>
      <c r="N219" s="30">
        <f>PM_Angle!$J$9+PM_Angle!$K$9*$C219+PM_Angle!$L$9*$B219</f>
      </c>
      <c r="O219" s="12">
        <f>IF(N219&gt;0,IF(N219&lt;=eco,alpha*fck*(1-(1-N219/eco)^n),alpha*fck),0)</f>
      </c>
      <c r="P219" s="30">
        <f>PM_Angle!$J$10+PM_Angle!$K$10*$C219+PM_Angle!$L$10*$B219</f>
      </c>
      <c r="Q219" s="12">
        <f>IF(P219&gt;0,IF(P219&lt;=eco,alpha*fck*(1-(1-P219/eco)^n),alpha*fck),0)</f>
      </c>
      <c r="R219" s="30">
        <f>PM_Angle!$J$11+PM_Angle!$K$11*$C219+PM_Angle!$L$11*$B219</f>
      </c>
      <c r="S219" s="12">
        <f>IF(R219&gt;0,IF(R219&lt;=eco,alpha*fck*(1-(1-R219/eco)^n),alpha*fck),0)</f>
      </c>
      <c r="T219" s="30">
        <f>PM_Angle!$J$12+PM_Angle!$K$12*$C219+PM_Angle!$L$12*$B219</f>
      </c>
      <c r="U219" s="12">
        <f>IF(T219&gt;0,IF(T219&lt;=eco,alpha*fck*(1-(1-T219/eco)^n),alpha*fck),0)</f>
      </c>
      <c r="V219" s="30">
        <f>PM_Angle!$J$13+PM_Angle!$K$13*$C219+PM_Angle!$L$13*$B219</f>
      </c>
      <c r="W219" s="12">
        <f>IF(V219&gt;0,IF(V219&lt;=eco,alpha*fck*(1-(1-V219/eco)^n),alpha*fck),0)</f>
      </c>
      <c r="X219" s="30">
        <f>PM_Angle!$J$14+PM_Angle!$K$14*$C219+PM_Angle!$L$14*$B219</f>
      </c>
      <c r="Y219" s="12">
        <f>IF(X219&gt;0,IF(X219&lt;=eco,alpha*fck*(1-(1-X219/eco)^n),alpha*fck),0)</f>
      </c>
      <c r="Z219" s="30">
        <f>PM_Angle!$J$15+PM_Angle!$K$15*$C219+PM_Angle!$L$15*$B219</f>
      </c>
      <c r="AA219" s="12">
        <f>IF(Z219&gt;0,IF(Z219&lt;=eco,alpha*fck*(1-(1-Z219/eco)^n),alpha*fck),0)</f>
      </c>
      <c r="AB219" s="30">
        <f>PM_Angle!$J$16+PM_Angle!$K$16*$C219+PM_Angle!$L$16*$B219</f>
      </c>
      <c r="AC219" s="12">
        <f>IF(AB219&gt;0,IF(AB219&lt;=eco,alpha*fck*(1-(1-AB219/eco)^n),alpha*fck),0)</f>
      </c>
      <c r="AD219" s="30">
        <f>PM_Angle!$J$17+PM_Angle!$K$17*$C219+PM_Angle!$L$17*$B219</f>
      </c>
      <c r="AE219" s="12">
        <f>IF(AD219&gt;0,IF(AD219&lt;=eco,alpha*fck*(1-(1-AD219/eco)^n),alpha*fck),0)</f>
      </c>
      <c r="AF219" s="30">
        <f>PM_Angle!$J$18+PM_Angle!$K$18*$C219+PM_Angle!$L$18*$B219</f>
      </c>
      <c r="AG219" s="12">
        <f>IF(AF219&gt;0,IF(AF219&lt;=eco,alpha*fck*(1-(1-AF219/eco)^n),alpha*fck),0)</f>
      </c>
      <c r="AH219" s="30">
        <f>PM_Angle!$J$19+PM_Angle!$K$19*$C219+PM_Angle!$L$19*$B219</f>
      </c>
      <c r="AI219" s="12">
        <f>IF(AH219&gt;0,IF(AH219&lt;=eco,alpha*fck*(1-(1-AH219/eco)^n),alpha*fck),0)</f>
      </c>
      <c r="AJ219" s="30">
        <f>PM_Angle!$J$20+PM_Angle!$K$20*$C219+PM_Angle!$L$20*$B219</f>
      </c>
      <c r="AK219" s="12">
        <f>IF(AJ219&gt;0,IF(AJ219&lt;=eco,alpha*fck*(1-(1-AJ219/eco)^n),alpha*fck),0)</f>
      </c>
      <c r="AL219" s="30">
        <f>PM_Angle!$J$21+PM_Angle!$K$21*$C219+PM_Angle!$L$21*$B219</f>
      </c>
      <c r="AM219" s="12">
        <f>IF(AL219&gt;0,IF(AL219&lt;=eco,alpha*fck*(1-(1-AL219/eco)^n),alpha*fck),0)</f>
      </c>
      <c r="AN219" s="30">
        <f>PM_Angle!$J$22+PM_Angle!$K$22*$C219+PM_Angle!$L$22*$B219</f>
      </c>
      <c r="AO219" s="12">
        <f>IF(AN219&gt;0,IF(AN219&lt;=eco,alpha*fck*(1-(1-AN219/eco)^n),alpha*fck),0)</f>
      </c>
      <c r="AP219" s="30">
        <f>PM_Angle!$J$23+PM_Angle!$K$23*$C219+PM_Angle!$L$23*$B219</f>
      </c>
      <c r="AQ219" s="12">
        <f>IF(AP219&gt;0,IF(AP219&lt;=eco,alpha*fck*(1-(1-AP219/eco)^n),alpha*fck),0)</f>
      </c>
      <c r="AR219" s="30">
        <f>PM_Angle!$J$24+PM_Angle!$K$24*$C219+PM_Angle!$L$24*$B219</f>
      </c>
      <c r="AS219" s="12">
        <f>IF(AR219&gt;0,IF(AR219&lt;=eco,alpha*fck*(1-(1-AR219/eco)^n),alpha*fck),0)</f>
      </c>
      <c r="AT219" s="30">
        <f>PM_Angle!$J$25+PM_Angle!$K$25*$C219+PM_Angle!$L$25*$B219</f>
      </c>
      <c r="AU219" s="12">
        <f>IF(AT219&gt;0,IF(AT219&lt;=eco,alpha*fck*(1-(1-AT219/eco)^n),alpha*fck),0)</f>
      </c>
    </row>
    <row r="220" spans="1:47" x14ac:dyDescent="0.25">
      <c r="A220">
        <f>Mesh!A217</f>
      </c>
      <c r="B220" s="12">
        <f>Mesh!B217</f>
      </c>
      <c r="C220" s="12">
        <f>Mesh!C217</f>
      </c>
      <c r="D220" s="12">
        <f>Mesh!D217</f>
      </c>
      <c r="E220" s="30">
        <f>INDEX(St_e0,Det+1)+INDEX(St_kx,Det+1)*C220+INDEX(St_ky,Det+1)*B220</f>
      </c>
      <c r="F220" s="12">
        <f>IF(E220&gt;0,IF(E220&lt;=eco,alpha*fck*(1-(1-E220/eco)^n),alpha*fck),0)</f>
      </c>
      <c r="G220" s="11">
        <f>F220*D220</f>
      </c>
      <c r="H220" s="11">
        <f>G220*C220</f>
      </c>
      <c r="I220" s="11">
        <f>G220*B220</f>
      </c>
      <c r="J220" s="30">
        <f>PM_Angle!$J$7+PM_Angle!$K$7*$C220+PM_Angle!$L$7*$B220</f>
      </c>
      <c r="K220" s="12">
        <f>IF(J220&gt;0,IF(J220&lt;=eco,alpha*fck*(1-(1-J220/eco)^n),alpha*fck),0)</f>
      </c>
      <c r="L220" s="30">
        <f>PM_Angle!$J$8+PM_Angle!$K$8*$C220+PM_Angle!$L$8*$B220</f>
      </c>
      <c r="M220" s="12">
        <f>IF(L220&gt;0,IF(L220&lt;=eco,alpha*fck*(1-(1-L220/eco)^n),alpha*fck),0)</f>
      </c>
      <c r="N220" s="30">
        <f>PM_Angle!$J$9+PM_Angle!$K$9*$C220+PM_Angle!$L$9*$B220</f>
      </c>
      <c r="O220" s="12">
        <f>IF(N220&gt;0,IF(N220&lt;=eco,alpha*fck*(1-(1-N220/eco)^n),alpha*fck),0)</f>
      </c>
      <c r="P220" s="30">
        <f>PM_Angle!$J$10+PM_Angle!$K$10*$C220+PM_Angle!$L$10*$B220</f>
      </c>
      <c r="Q220" s="12">
        <f>IF(P220&gt;0,IF(P220&lt;=eco,alpha*fck*(1-(1-P220/eco)^n),alpha*fck),0)</f>
      </c>
      <c r="R220" s="30">
        <f>PM_Angle!$J$11+PM_Angle!$K$11*$C220+PM_Angle!$L$11*$B220</f>
      </c>
      <c r="S220" s="12">
        <f>IF(R220&gt;0,IF(R220&lt;=eco,alpha*fck*(1-(1-R220/eco)^n),alpha*fck),0)</f>
      </c>
      <c r="T220" s="30">
        <f>PM_Angle!$J$12+PM_Angle!$K$12*$C220+PM_Angle!$L$12*$B220</f>
      </c>
      <c r="U220" s="12">
        <f>IF(T220&gt;0,IF(T220&lt;=eco,alpha*fck*(1-(1-T220/eco)^n),alpha*fck),0)</f>
      </c>
      <c r="V220" s="30">
        <f>PM_Angle!$J$13+PM_Angle!$K$13*$C220+PM_Angle!$L$13*$B220</f>
      </c>
      <c r="W220" s="12">
        <f>IF(V220&gt;0,IF(V220&lt;=eco,alpha*fck*(1-(1-V220/eco)^n),alpha*fck),0)</f>
      </c>
      <c r="X220" s="30">
        <f>PM_Angle!$J$14+PM_Angle!$K$14*$C220+PM_Angle!$L$14*$B220</f>
      </c>
      <c r="Y220" s="12">
        <f>IF(X220&gt;0,IF(X220&lt;=eco,alpha*fck*(1-(1-X220/eco)^n),alpha*fck),0)</f>
      </c>
      <c r="Z220" s="30">
        <f>PM_Angle!$J$15+PM_Angle!$K$15*$C220+PM_Angle!$L$15*$B220</f>
      </c>
      <c r="AA220" s="12">
        <f>IF(Z220&gt;0,IF(Z220&lt;=eco,alpha*fck*(1-(1-Z220/eco)^n),alpha*fck),0)</f>
      </c>
      <c r="AB220" s="30">
        <f>PM_Angle!$J$16+PM_Angle!$K$16*$C220+PM_Angle!$L$16*$B220</f>
      </c>
      <c r="AC220" s="12">
        <f>IF(AB220&gt;0,IF(AB220&lt;=eco,alpha*fck*(1-(1-AB220/eco)^n),alpha*fck),0)</f>
      </c>
      <c r="AD220" s="30">
        <f>PM_Angle!$J$17+PM_Angle!$K$17*$C220+PM_Angle!$L$17*$B220</f>
      </c>
      <c r="AE220" s="12">
        <f>IF(AD220&gt;0,IF(AD220&lt;=eco,alpha*fck*(1-(1-AD220/eco)^n),alpha*fck),0)</f>
      </c>
      <c r="AF220" s="30">
        <f>PM_Angle!$J$18+PM_Angle!$K$18*$C220+PM_Angle!$L$18*$B220</f>
      </c>
      <c r="AG220" s="12">
        <f>IF(AF220&gt;0,IF(AF220&lt;=eco,alpha*fck*(1-(1-AF220/eco)^n),alpha*fck),0)</f>
      </c>
      <c r="AH220" s="30">
        <f>PM_Angle!$J$19+PM_Angle!$K$19*$C220+PM_Angle!$L$19*$B220</f>
      </c>
      <c r="AI220" s="12">
        <f>IF(AH220&gt;0,IF(AH220&lt;=eco,alpha*fck*(1-(1-AH220/eco)^n),alpha*fck),0)</f>
      </c>
      <c r="AJ220" s="30">
        <f>PM_Angle!$J$20+PM_Angle!$K$20*$C220+PM_Angle!$L$20*$B220</f>
      </c>
      <c r="AK220" s="12">
        <f>IF(AJ220&gt;0,IF(AJ220&lt;=eco,alpha*fck*(1-(1-AJ220/eco)^n),alpha*fck),0)</f>
      </c>
      <c r="AL220" s="30">
        <f>PM_Angle!$J$21+PM_Angle!$K$21*$C220+PM_Angle!$L$21*$B220</f>
      </c>
      <c r="AM220" s="12">
        <f>IF(AL220&gt;0,IF(AL220&lt;=eco,alpha*fck*(1-(1-AL220/eco)^n),alpha*fck),0)</f>
      </c>
      <c r="AN220" s="30">
        <f>PM_Angle!$J$22+PM_Angle!$K$22*$C220+PM_Angle!$L$22*$B220</f>
      </c>
      <c r="AO220" s="12">
        <f>IF(AN220&gt;0,IF(AN220&lt;=eco,alpha*fck*(1-(1-AN220/eco)^n),alpha*fck),0)</f>
      </c>
      <c r="AP220" s="30">
        <f>PM_Angle!$J$23+PM_Angle!$K$23*$C220+PM_Angle!$L$23*$B220</f>
      </c>
      <c r="AQ220" s="12">
        <f>IF(AP220&gt;0,IF(AP220&lt;=eco,alpha*fck*(1-(1-AP220/eco)^n),alpha*fck),0)</f>
      </c>
      <c r="AR220" s="30">
        <f>PM_Angle!$J$24+PM_Angle!$K$24*$C220+PM_Angle!$L$24*$B220</f>
      </c>
      <c r="AS220" s="12">
        <f>IF(AR220&gt;0,IF(AR220&lt;=eco,alpha*fck*(1-(1-AR220/eco)^n),alpha*fck),0)</f>
      </c>
      <c r="AT220" s="30">
        <f>PM_Angle!$J$25+PM_Angle!$K$25*$C220+PM_Angle!$L$25*$B220</f>
      </c>
      <c r="AU220" s="12">
        <f>IF(AT220&gt;0,IF(AT220&lt;=eco,alpha*fck*(1-(1-AT220/eco)^n),alpha*fck),0)</f>
      </c>
    </row>
    <row r="221" spans="1:47" x14ac:dyDescent="0.25">
      <c r="A221">
        <f>Mesh!A218</f>
      </c>
      <c r="B221" s="12">
        <f>Mesh!B218</f>
      </c>
      <c r="C221" s="12">
        <f>Mesh!C218</f>
      </c>
      <c r="D221" s="12">
        <f>Mesh!D218</f>
      </c>
      <c r="E221" s="30">
        <f>INDEX(St_e0,Det+1)+INDEX(St_kx,Det+1)*C221+INDEX(St_ky,Det+1)*B221</f>
      </c>
      <c r="F221" s="12">
        <f>IF(E221&gt;0,IF(E221&lt;=eco,alpha*fck*(1-(1-E221/eco)^n),alpha*fck),0)</f>
      </c>
      <c r="G221" s="11">
        <f>F221*D221</f>
      </c>
      <c r="H221" s="11">
        <f>G221*C221</f>
      </c>
      <c r="I221" s="11">
        <f>G221*B221</f>
      </c>
      <c r="J221" s="30">
        <f>PM_Angle!$J$7+PM_Angle!$K$7*$C221+PM_Angle!$L$7*$B221</f>
      </c>
      <c r="K221" s="12">
        <f>IF(J221&gt;0,IF(J221&lt;=eco,alpha*fck*(1-(1-J221/eco)^n),alpha*fck),0)</f>
      </c>
      <c r="L221" s="30">
        <f>PM_Angle!$J$8+PM_Angle!$K$8*$C221+PM_Angle!$L$8*$B221</f>
      </c>
      <c r="M221" s="12">
        <f>IF(L221&gt;0,IF(L221&lt;=eco,alpha*fck*(1-(1-L221/eco)^n),alpha*fck),0)</f>
      </c>
      <c r="N221" s="30">
        <f>PM_Angle!$J$9+PM_Angle!$K$9*$C221+PM_Angle!$L$9*$B221</f>
      </c>
      <c r="O221" s="12">
        <f>IF(N221&gt;0,IF(N221&lt;=eco,alpha*fck*(1-(1-N221/eco)^n),alpha*fck),0)</f>
      </c>
      <c r="P221" s="30">
        <f>PM_Angle!$J$10+PM_Angle!$K$10*$C221+PM_Angle!$L$10*$B221</f>
      </c>
      <c r="Q221" s="12">
        <f>IF(P221&gt;0,IF(P221&lt;=eco,alpha*fck*(1-(1-P221/eco)^n),alpha*fck),0)</f>
      </c>
      <c r="R221" s="30">
        <f>PM_Angle!$J$11+PM_Angle!$K$11*$C221+PM_Angle!$L$11*$B221</f>
      </c>
      <c r="S221" s="12">
        <f>IF(R221&gt;0,IF(R221&lt;=eco,alpha*fck*(1-(1-R221/eco)^n),alpha*fck),0)</f>
      </c>
      <c r="T221" s="30">
        <f>PM_Angle!$J$12+PM_Angle!$K$12*$C221+PM_Angle!$L$12*$B221</f>
      </c>
      <c r="U221" s="12">
        <f>IF(T221&gt;0,IF(T221&lt;=eco,alpha*fck*(1-(1-T221/eco)^n),alpha*fck),0)</f>
      </c>
      <c r="V221" s="30">
        <f>PM_Angle!$J$13+PM_Angle!$K$13*$C221+PM_Angle!$L$13*$B221</f>
      </c>
      <c r="W221" s="12">
        <f>IF(V221&gt;0,IF(V221&lt;=eco,alpha*fck*(1-(1-V221/eco)^n),alpha*fck),0)</f>
      </c>
      <c r="X221" s="30">
        <f>PM_Angle!$J$14+PM_Angle!$K$14*$C221+PM_Angle!$L$14*$B221</f>
      </c>
      <c r="Y221" s="12">
        <f>IF(X221&gt;0,IF(X221&lt;=eco,alpha*fck*(1-(1-X221/eco)^n),alpha*fck),0)</f>
      </c>
      <c r="Z221" s="30">
        <f>PM_Angle!$J$15+PM_Angle!$K$15*$C221+PM_Angle!$L$15*$B221</f>
      </c>
      <c r="AA221" s="12">
        <f>IF(Z221&gt;0,IF(Z221&lt;=eco,alpha*fck*(1-(1-Z221/eco)^n),alpha*fck),0)</f>
      </c>
      <c r="AB221" s="30">
        <f>PM_Angle!$J$16+PM_Angle!$K$16*$C221+PM_Angle!$L$16*$B221</f>
      </c>
      <c r="AC221" s="12">
        <f>IF(AB221&gt;0,IF(AB221&lt;=eco,alpha*fck*(1-(1-AB221/eco)^n),alpha*fck),0)</f>
      </c>
      <c r="AD221" s="30">
        <f>PM_Angle!$J$17+PM_Angle!$K$17*$C221+PM_Angle!$L$17*$B221</f>
      </c>
      <c r="AE221" s="12">
        <f>IF(AD221&gt;0,IF(AD221&lt;=eco,alpha*fck*(1-(1-AD221/eco)^n),alpha*fck),0)</f>
      </c>
      <c r="AF221" s="30">
        <f>PM_Angle!$J$18+PM_Angle!$K$18*$C221+PM_Angle!$L$18*$B221</f>
      </c>
      <c r="AG221" s="12">
        <f>IF(AF221&gt;0,IF(AF221&lt;=eco,alpha*fck*(1-(1-AF221/eco)^n),alpha*fck),0)</f>
      </c>
      <c r="AH221" s="30">
        <f>PM_Angle!$J$19+PM_Angle!$K$19*$C221+PM_Angle!$L$19*$B221</f>
      </c>
      <c r="AI221" s="12">
        <f>IF(AH221&gt;0,IF(AH221&lt;=eco,alpha*fck*(1-(1-AH221/eco)^n),alpha*fck),0)</f>
      </c>
      <c r="AJ221" s="30">
        <f>PM_Angle!$J$20+PM_Angle!$K$20*$C221+PM_Angle!$L$20*$B221</f>
      </c>
      <c r="AK221" s="12">
        <f>IF(AJ221&gt;0,IF(AJ221&lt;=eco,alpha*fck*(1-(1-AJ221/eco)^n),alpha*fck),0)</f>
      </c>
      <c r="AL221" s="30">
        <f>PM_Angle!$J$21+PM_Angle!$K$21*$C221+PM_Angle!$L$21*$B221</f>
      </c>
      <c r="AM221" s="12">
        <f>IF(AL221&gt;0,IF(AL221&lt;=eco,alpha*fck*(1-(1-AL221/eco)^n),alpha*fck),0)</f>
      </c>
      <c r="AN221" s="30">
        <f>PM_Angle!$J$22+PM_Angle!$K$22*$C221+PM_Angle!$L$22*$B221</f>
      </c>
      <c r="AO221" s="12">
        <f>IF(AN221&gt;0,IF(AN221&lt;=eco,alpha*fck*(1-(1-AN221/eco)^n),alpha*fck),0)</f>
      </c>
      <c r="AP221" s="30">
        <f>PM_Angle!$J$23+PM_Angle!$K$23*$C221+PM_Angle!$L$23*$B221</f>
      </c>
      <c r="AQ221" s="12">
        <f>IF(AP221&gt;0,IF(AP221&lt;=eco,alpha*fck*(1-(1-AP221/eco)^n),alpha*fck),0)</f>
      </c>
      <c r="AR221" s="30">
        <f>PM_Angle!$J$24+PM_Angle!$K$24*$C221+PM_Angle!$L$24*$B221</f>
      </c>
      <c r="AS221" s="12">
        <f>IF(AR221&gt;0,IF(AR221&lt;=eco,alpha*fck*(1-(1-AR221/eco)^n),alpha*fck),0)</f>
      </c>
      <c r="AT221" s="30">
        <f>PM_Angle!$J$25+PM_Angle!$K$25*$C221+PM_Angle!$L$25*$B221</f>
      </c>
      <c r="AU221" s="12">
        <f>IF(AT221&gt;0,IF(AT221&lt;=eco,alpha*fck*(1-(1-AT221/eco)^n),alpha*fck),0)</f>
      </c>
    </row>
    <row r="222" spans="1:47" x14ac:dyDescent="0.25">
      <c r="A222">
        <f>Mesh!A219</f>
      </c>
      <c r="B222" s="12">
        <f>Mesh!B219</f>
      </c>
      <c r="C222" s="12">
        <f>Mesh!C219</f>
      </c>
      <c r="D222" s="12">
        <f>Mesh!D219</f>
      </c>
      <c r="E222" s="30">
        <f>INDEX(St_e0,Det+1)+INDEX(St_kx,Det+1)*C222+INDEX(St_ky,Det+1)*B222</f>
      </c>
      <c r="F222" s="12">
        <f>IF(E222&gt;0,IF(E222&lt;=eco,alpha*fck*(1-(1-E222/eco)^n),alpha*fck),0)</f>
      </c>
      <c r="G222" s="11">
        <f>F222*D222</f>
      </c>
      <c r="H222" s="11">
        <f>G222*C222</f>
      </c>
      <c r="I222" s="11">
        <f>G222*B222</f>
      </c>
      <c r="J222" s="30">
        <f>PM_Angle!$J$7+PM_Angle!$K$7*$C222+PM_Angle!$L$7*$B222</f>
      </c>
      <c r="K222" s="12">
        <f>IF(J222&gt;0,IF(J222&lt;=eco,alpha*fck*(1-(1-J222/eco)^n),alpha*fck),0)</f>
      </c>
      <c r="L222" s="30">
        <f>PM_Angle!$J$8+PM_Angle!$K$8*$C222+PM_Angle!$L$8*$B222</f>
      </c>
      <c r="M222" s="12">
        <f>IF(L222&gt;0,IF(L222&lt;=eco,alpha*fck*(1-(1-L222/eco)^n),alpha*fck),0)</f>
      </c>
      <c r="N222" s="30">
        <f>PM_Angle!$J$9+PM_Angle!$K$9*$C222+PM_Angle!$L$9*$B222</f>
      </c>
      <c r="O222" s="12">
        <f>IF(N222&gt;0,IF(N222&lt;=eco,alpha*fck*(1-(1-N222/eco)^n),alpha*fck),0)</f>
      </c>
      <c r="P222" s="30">
        <f>PM_Angle!$J$10+PM_Angle!$K$10*$C222+PM_Angle!$L$10*$B222</f>
      </c>
      <c r="Q222" s="12">
        <f>IF(P222&gt;0,IF(P222&lt;=eco,alpha*fck*(1-(1-P222/eco)^n),alpha*fck),0)</f>
      </c>
      <c r="R222" s="30">
        <f>PM_Angle!$J$11+PM_Angle!$K$11*$C222+PM_Angle!$L$11*$B222</f>
      </c>
      <c r="S222" s="12">
        <f>IF(R222&gt;0,IF(R222&lt;=eco,alpha*fck*(1-(1-R222/eco)^n),alpha*fck),0)</f>
      </c>
      <c r="T222" s="30">
        <f>PM_Angle!$J$12+PM_Angle!$K$12*$C222+PM_Angle!$L$12*$B222</f>
      </c>
      <c r="U222" s="12">
        <f>IF(T222&gt;0,IF(T222&lt;=eco,alpha*fck*(1-(1-T222/eco)^n),alpha*fck),0)</f>
      </c>
      <c r="V222" s="30">
        <f>PM_Angle!$J$13+PM_Angle!$K$13*$C222+PM_Angle!$L$13*$B222</f>
      </c>
      <c r="W222" s="12">
        <f>IF(V222&gt;0,IF(V222&lt;=eco,alpha*fck*(1-(1-V222/eco)^n),alpha*fck),0)</f>
      </c>
      <c r="X222" s="30">
        <f>PM_Angle!$J$14+PM_Angle!$K$14*$C222+PM_Angle!$L$14*$B222</f>
      </c>
      <c r="Y222" s="12">
        <f>IF(X222&gt;0,IF(X222&lt;=eco,alpha*fck*(1-(1-X222/eco)^n),alpha*fck),0)</f>
      </c>
      <c r="Z222" s="30">
        <f>PM_Angle!$J$15+PM_Angle!$K$15*$C222+PM_Angle!$L$15*$B222</f>
      </c>
      <c r="AA222" s="12">
        <f>IF(Z222&gt;0,IF(Z222&lt;=eco,alpha*fck*(1-(1-Z222/eco)^n),alpha*fck),0)</f>
      </c>
      <c r="AB222" s="30">
        <f>PM_Angle!$J$16+PM_Angle!$K$16*$C222+PM_Angle!$L$16*$B222</f>
      </c>
      <c r="AC222" s="12">
        <f>IF(AB222&gt;0,IF(AB222&lt;=eco,alpha*fck*(1-(1-AB222/eco)^n),alpha*fck),0)</f>
      </c>
      <c r="AD222" s="30">
        <f>PM_Angle!$J$17+PM_Angle!$K$17*$C222+PM_Angle!$L$17*$B222</f>
      </c>
      <c r="AE222" s="12">
        <f>IF(AD222&gt;0,IF(AD222&lt;=eco,alpha*fck*(1-(1-AD222/eco)^n),alpha*fck),0)</f>
      </c>
      <c r="AF222" s="30">
        <f>PM_Angle!$J$18+PM_Angle!$K$18*$C222+PM_Angle!$L$18*$B222</f>
      </c>
      <c r="AG222" s="12">
        <f>IF(AF222&gt;0,IF(AF222&lt;=eco,alpha*fck*(1-(1-AF222/eco)^n),alpha*fck),0)</f>
      </c>
      <c r="AH222" s="30">
        <f>PM_Angle!$J$19+PM_Angle!$K$19*$C222+PM_Angle!$L$19*$B222</f>
      </c>
      <c r="AI222" s="12">
        <f>IF(AH222&gt;0,IF(AH222&lt;=eco,alpha*fck*(1-(1-AH222/eco)^n),alpha*fck),0)</f>
      </c>
      <c r="AJ222" s="30">
        <f>PM_Angle!$J$20+PM_Angle!$K$20*$C222+PM_Angle!$L$20*$B222</f>
      </c>
      <c r="AK222" s="12">
        <f>IF(AJ222&gt;0,IF(AJ222&lt;=eco,alpha*fck*(1-(1-AJ222/eco)^n),alpha*fck),0)</f>
      </c>
      <c r="AL222" s="30">
        <f>PM_Angle!$J$21+PM_Angle!$K$21*$C222+PM_Angle!$L$21*$B222</f>
      </c>
      <c r="AM222" s="12">
        <f>IF(AL222&gt;0,IF(AL222&lt;=eco,alpha*fck*(1-(1-AL222/eco)^n),alpha*fck),0)</f>
      </c>
      <c r="AN222" s="30">
        <f>PM_Angle!$J$22+PM_Angle!$K$22*$C222+PM_Angle!$L$22*$B222</f>
      </c>
      <c r="AO222" s="12">
        <f>IF(AN222&gt;0,IF(AN222&lt;=eco,alpha*fck*(1-(1-AN222/eco)^n),alpha*fck),0)</f>
      </c>
      <c r="AP222" s="30">
        <f>PM_Angle!$J$23+PM_Angle!$K$23*$C222+PM_Angle!$L$23*$B222</f>
      </c>
      <c r="AQ222" s="12">
        <f>IF(AP222&gt;0,IF(AP222&lt;=eco,alpha*fck*(1-(1-AP222/eco)^n),alpha*fck),0)</f>
      </c>
      <c r="AR222" s="30">
        <f>PM_Angle!$J$24+PM_Angle!$K$24*$C222+PM_Angle!$L$24*$B222</f>
      </c>
      <c r="AS222" s="12">
        <f>IF(AR222&gt;0,IF(AR222&lt;=eco,alpha*fck*(1-(1-AR222/eco)^n),alpha*fck),0)</f>
      </c>
      <c r="AT222" s="30">
        <f>PM_Angle!$J$25+PM_Angle!$K$25*$C222+PM_Angle!$L$25*$B222</f>
      </c>
      <c r="AU222" s="12">
        <f>IF(AT222&gt;0,IF(AT222&lt;=eco,alpha*fck*(1-(1-AT222/eco)^n),alpha*fck),0)</f>
      </c>
    </row>
    <row r="223" spans="1:47" x14ac:dyDescent="0.25">
      <c r="A223">
        <f>Mesh!A220</f>
      </c>
      <c r="B223" s="12">
        <f>Mesh!B220</f>
      </c>
      <c r="C223" s="12">
        <f>Mesh!C220</f>
      </c>
      <c r="D223" s="12">
        <f>Mesh!D220</f>
      </c>
      <c r="E223" s="30">
        <f>INDEX(St_e0,Det+1)+INDEX(St_kx,Det+1)*C223+INDEX(St_ky,Det+1)*B223</f>
      </c>
      <c r="F223" s="12">
        <f>IF(E223&gt;0,IF(E223&lt;=eco,alpha*fck*(1-(1-E223/eco)^n),alpha*fck),0)</f>
      </c>
      <c r="G223" s="11">
        <f>F223*D223</f>
      </c>
      <c r="H223" s="11">
        <f>G223*C223</f>
      </c>
      <c r="I223" s="11">
        <f>G223*B223</f>
      </c>
      <c r="J223" s="30">
        <f>PM_Angle!$J$7+PM_Angle!$K$7*$C223+PM_Angle!$L$7*$B223</f>
      </c>
      <c r="K223" s="12">
        <f>IF(J223&gt;0,IF(J223&lt;=eco,alpha*fck*(1-(1-J223/eco)^n),alpha*fck),0)</f>
      </c>
      <c r="L223" s="30">
        <f>PM_Angle!$J$8+PM_Angle!$K$8*$C223+PM_Angle!$L$8*$B223</f>
      </c>
      <c r="M223" s="12">
        <f>IF(L223&gt;0,IF(L223&lt;=eco,alpha*fck*(1-(1-L223/eco)^n),alpha*fck),0)</f>
      </c>
      <c r="N223" s="30">
        <f>PM_Angle!$J$9+PM_Angle!$K$9*$C223+PM_Angle!$L$9*$B223</f>
      </c>
      <c r="O223" s="12">
        <f>IF(N223&gt;0,IF(N223&lt;=eco,alpha*fck*(1-(1-N223/eco)^n),alpha*fck),0)</f>
      </c>
      <c r="P223" s="30">
        <f>PM_Angle!$J$10+PM_Angle!$K$10*$C223+PM_Angle!$L$10*$B223</f>
      </c>
      <c r="Q223" s="12">
        <f>IF(P223&gt;0,IF(P223&lt;=eco,alpha*fck*(1-(1-P223/eco)^n),alpha*fck),0)</f>
      </c>
      <c r="R223" s="30">
        <f>PM_Angle!$J$11+PM_Angle!$K$11*$C223+PM_Angle!$L$11*$B223</f>
      </c>
      <c r="S223" s="12">
        <f>IF(R223&gt;0,IF(R223&lt;=eco,alpha*fck*(1-(1-R223/eco)^n),alpha*fck),0)</f>
      </c>
      <c r="T223" s="30">
        <f>PM_Angle!$J$12+PM_Angle!$K$12*$C223+PM_Angle!$L$12*$B223</f>
      </c>
      <c r="U223" s="12">
        <f>IF(T223&gt;0,IF(T223&lt;=eco,alpha*fck*(1-(1-T223/eco)^n),alpha*fck),0)</f>
      </c>
      <c r="V223" s="30">
        <f>PM_Angle!$J$13+PM_Angle!$K$13*$C223+PM_Angle!$L$13*$B223</f>
      </c>
      <c r="W223" s="12">
        <f>IF(V223&gt;0,IF(V223&lt;=eco,alpha*fck*(1-(1-V223/eco)^n),alpha*fck),0)</f>
      </c>
      <c r="X223" s="30">
        <f>PM_Angle!$J$14+PM_Angle!$K$14*$C223+PM_Angle!$L$14*$B223</f>
      </c>
      <c r="Y223" s="12">
        <f>IF(X223&gt;0,IF(X223&lt;=eco,alpha*fck*(1-(1-X223/eco)^n),alpha*fck),0)</f>
      </c>
      <c r="Z223" s="30">
        <f>PM_Angle!$J$15+PM_Angle!$K$15*$C223+PM_Angle!$L$15*$B223</f>
      </c>
      <c r="AA223" s="12">
        <f>IF(Z223&gt;0,IF(Z223&lt;=eco,alpha*fck*(1-(1-Z223/eco)^n),alpha*fck),0)</f>
      </c>
      <c r="AB223" s="30">
        <f>PM_Angle!$J$16+PM_Angle!$K$16*$C223+PM_Angle!$L$16*$B223</f>
      </c>
      <c r="AC223" s="12">
        <f>IF(AB223&gt;0,IF(AB223&lt;=eco,alpha*fck*(1-(1-AB223/eco)^n),alpha*fck),0)</f>
      </c>
      <c r="AD223" s="30">
        <f>PM_Angle!$J$17+PM_Angle!$K$17*$C223+PM_Angle!$L$17*$B223</f>
      </c>
      <c r="AE223" s="12">
        <f>IF(AD223&gt;0,IF(AD223&lt;=eco,alpha*fck*(1-(1-AD223/eco)^n),alpha*fck),0)</f>
      </c>
      <c r="AF223" s="30">
        <f>PM_Angle!$J$18+PM_Angle!$K$18*$C223+PM_Angle!$L$18*$B223</f>
      </c>
      <c r="AG223" s="12">
        <f>IF(AF223&gt;0,IF(AF223&lt;=eco,alpha*fck*(1-(1-AF223/eco)^n),alpha*fck),0)</f>
      </c>
      <c r="AH223" s="30">
        <f>PM_Angle!$J$19+PM_Angle!$K$19*$C223+PM_Angle!$L$19*$B223</f>
      </c>
      <c r="AI223" s="12">
        <f>IF(AH223&gt;0,IF(AH223&lt;=eco,alpha*fck*(1-(1-AH223/eco)^n),alpha*fck),0)</f>
      </c>
      <c r="AJ223" s="30">
        <f>PM_Angle!$J$20+PM_Angle!$K$20*$C223+PM_Angle!$L$20*$B223</f>
      </c>
      <c r="AK223" s="12">
        <f>IF(AJ223&gt;0,IF(AJ223&lt;=eco,alpha*fck*(1-(1-AJ223/eco)^n),alpha*fck),0)</f>
      </c>
      <c r="AL223" s="30">
        <f>PM_Angle!$J$21+PM_Angle!$K$21*$C223+PM_Angle!$L$21*$B223</f>
      </c>
      <c r="AM223" s="12">
        <f>IF(AL223&gt;0,IF(AL223&lt;=eco,alpha*fck*(1-(1-AL223/eco)^n),alpha*fck),0)</f>
      </c>
      <c r="AN223" s="30">
        <f>PM_Angle!$J$22+PM_Angle!$K$22*$C223+PM_Angle!$L$22*$B223</f>
      </c>
      <c r="AO223" s="12">
        <f>IF(AN223&gt;0,IF(AN223&lt;=eco,alpha*fck*(1-(1-AN223/eco)^n),alpha*fck),0)</f>
      </c>
      <c r="AP223" s="30">
        <f>PM_Angle!$J$23+PM_Angle!$K$23*$C223+PM_Angle!$L$23*$B223</f>
      </c>
      <c r="AQ223" s="12">
        <f>IF(AP223&gt;0,IF(AP223&lt;=eco,alpha*fck*(1-(1-AP223/eco)^n),alpha*fck),0)</f>
      </c>
      <c r="AR223" s="30">
        <f>PM_Angle!$J$24+PM_Angle!$K$24*$C223+PM_Angle!$L$24*$B223</f>
      </c>
      <c r="AS223" s="12">
        <f>IF(AR223&gt;0,IF(AR223&lt;=eco,alpha*fck*(1-(1-AR223/eco)^n),alpha*fck),0)</f>
      </c>
      <c r="AT223" s="30">
        <f>PM_Angle!$J$25+PM_Angle!$K$25*$C223+PM_Angle!$L$25*$B223</f>
      </c>
      <c r="AU223" s="12">
        <f>IF(AT223&gt;0,IF(AT223&lt;=eco,alpha*fck*(1-(1-AT223/eco)^n),alpha*fck),0)</f>
      </c>
    </row>
    <row r="224" spans="1:47" x14ac:dyDescent="0.25">
      <c r="A224">
        <f>Mesh!A221</f>
      </c>
      <c r="B224" s="12">
        <f>Mesh!B221</f>
      </c>
      <c r="C224" s="12">
        <f>Mesh!C221</f>
      </c>
      <c r="D224" s="12">
        <f>Mesh!D221</f>
      </c>
      <c r="E224" s="30">
        <f>INDEX(St_e0,Det+1)+INDEX(St_kx,Det+1)*C224+INDEX(St_ky,Det+1)*B224</f>
      </c>
      <c r="F224" s="12">
        <f>IF(E224&gt;0,IF(E224&lt;=eco,alpha*fck*(1-(1-E224/eco)^n),alpha*fck),0)</f>
      </c>
      <c r="G224" s="11">
        <f>F224*D224</f>
      </c>
      <c r="H224" s="11">
        <f>G224*C224</f>
      </c>
      <c r="I224" s="11">
        <f>G224*B224</f>
      </c>
      <c r="J224" s="30">
        <f>PM_Angle!$J$7+PM_Angle!$K$7*$C224+PM_Angle!$L$7*$B224</f>
      </c>
      <c r="K224" s="12">
        <f>IF(J224&gt;0,IF(J224&lt;=eco,alpha*fck*(1-(1-J224/eco)^n),alpha*fck),0)</f>
      </c>
      <c r="L224" s="30">
        <f>PM_Angle!$J$8+PM_Angle!$K$8*$C224+PM_Angle!$L$8*$B224</f>
      </c>
      <c r="M224" s="12">
        <f>IF(L224&gt;0,IF(L224&lt;=eco,alpha*fck*(1-(1-L224/eco)^n),alpha*fck),0)</f>
      </c>
      <c r="N224" s="30">
        <f>PM_Angle!$J$9+PM_Angle!$K$9*$C224+PM_Angle!$L$9*$B224</f>
      </c>
      <c r="O224" s="12">
        <f>IF(N224&gt;0,IF(N224&lt;=eco,alpha*fck*(1-(1-N224/eco)^n),alpha*fck),0)</f>
      </c>
      <c r="P224" s="30">
        <f>PM_Angle!$J$10+PM_Angle!$K$10*$C224+PM_Angle!$L$10*$B224</f>
      </c>
      <c r="Q224" s="12">
        <f>IF(P224&gt;0,IF(P224&lt;=eco,alpha*fck*(1-(1-P224/eco)^n),alpha*fck),0)</f>
      </c>
      <c r="R224" s="30">
        <f>PM_Angle!$J$11+PM_Angle!$K$11*$C224+PM_Angle!$L$11*$B224</f>
      </c>
      <c r="S224" s="12">
        <f>IF(R224&gt;0,IF(R224&lt;=eco,alpha*fck*(1-(1-R224/eco)^n),alpha*fck),0)</f>
      </c>
      <c r="T224" s="30">
        <f>PM_Angle!$J$12+PM_Angle!$K$12*$C224+PM_Angle!$L$12*$B224</f>
      </c>
      <c r="U224" s="12">
        <f>IF(T224&gt;0,IF(T224&lt;=eco,alpha*fck*(1-(1-T224/eco)^n),alpha*fck),0)</f>
      </c>
      <c r="V224" s="30">
        <f>PM_Angle!$J$13+PM_Angle!$K$13*$C224+PM_Angle!$L$13*$B224</f>
      </c>
      <c r="W224" s="12">
        <f>IF(V224&gt;0,IF(V224&lt;=eco,alpha*fck*(1-(1-V224/eco)^n),alpha*fck),0)</f>
      </c>
      <c r="X224" s="30">
        <f>PM_Angle!$J$14+PM_Angle!$K$14*$C224+PM_Angle!$L$14*$B224</f>
      </c>
      <c r="Y224" s="12">
        <f>IF(X224&gt;0,IF(X224&lt;=eco,alpha*fck*(1-(1-X224/eco)^n),alpha*fck),0)</f>
      </c>
      <c r="Z224" s="30">
        <f>PM_Angle!$J$15+PM_Angle!$K$15*$C224+PM_Angle!$L$15*$B224</f>
      </c>
      <c r="AA224" s="12">
        <f>IF(Z224&gt;0,IF(Z224&lt;=eco,alpha*fck*(1-(1-Z224/eco)^n),alpha*fck),0)</f>
      </c>
      <c r="AB224" s="30">
        <f>PM_Angle!$J$16+PM_Angle!$K$16*$C224+PM_Angle!$L$16*$B224</f>
      </c>
      <c r="AC224" s="12">
        <f>IF(AB224&gt;0,IF(AB224&lt;=eco,alpha*fck*(1-(1-AB224/eco)^n),alpha*fck),0)</f>
      </c>
      <c r="AD224" s="30">
        <f>PM_Angle!$J$17+PM_Angle!$K$17*$C224+PM_Angle!$L$17*$B224</f>
      </c>
      <c r="AE224" s="12">
        <f>IF(AD224&gt;0,IF(AD224&lt;=eco,alpha*fck*(1-(1-AD224/eco)^n),alpha*fck),0)</f>
      </c>
      <c r="AF224" s="30">
        <f>PM_Angle!$J$18+PM_Angle!$K$18*$C224+PM_Angle!$L$18*$B224</f>
      </c>
      <c r="AG224" s="12">
        <f>IF(AF224&gt;0,IF(AF224&lt;=eco,alpha*fck*(1-(1-AF224/eco)^n),alpha*fck),0)</f>
      </c>
      <c r="AH224" s="30">
        <f>PM_Angle!$J$19+PM_Angle!$K$19*$C224+PM_Angle!$L$19*$B224</f>
      </c>
      <c r="AI224" s="12">
        <f>IF(AH224&gt;0,IF(AH224&lt;=eco,alpha*fck*(1-(1-AH224/eco)^n),alpha*fck),0)</f>
      </c>
      <c r="AJ224" s="30">
        <f>PM_Angle!$J$20+PM_Angle!$K$20*$C224+PM_Angle!$L$20*$B224</f>
      </c>
      <c r="AK224" s="12">
        <f>IF(AJ224&gt;0,IF(AJ224&lt;=eco,alpha*fck*(1-(1-AJ224/eco)^n),alpha*fck),0)</f>
      </c>
      <c r="AL224" s="30">
        <f>PM_Angle!$J$21+PM_Angle!$K$21*$C224+PM_Angle!$L$21*$B224</f>
      </c>
      <c r="AM224" s="12">
        <f>IF(AL224&gt;0,IF(AL224&lt;=eco,alpha*fck*(1-(1-AL224/eco)^n),alpha*fck),0)</f>
      </c>
      <c r="AN224" s="30">
        <f>PM_Angle!$J$22+PM_Angle!$K$22*$C224+PM_Angle!$L$22*$B224</f>
      </c>
      <c r="AO224" s="12">
        <f>IF(AN224&gt;0,IF(AN224&lt;=eco,alpha*fck*(1-(1-AN224/eco)^n),alpha*fck),0)</f>
      </c>
      <c r="AP224" s="30">
        <f>PM_Angle!$J$23+PM_Angle!$K$23*$C224+PM_Angle!$L$23*$B224</f>
      </c>
      <c r="AQ224" s="12">
        <f>IF(AP224&gt;0,IF(AP224&lt;=eco,alpha*fck*(1-(1-AP224/eco)^n),alpha*fck),0)</f>
      </c>
      <c r="AR224" s="30">
        <f>PM_Angle!$J$24+PM_Angle!$K$24*$C224+PM_Angle!$L$24*$B224</f>
      </c>
      <c r="AS224" s="12">
        <f>IF(AR224&gt;0,IF(AR224&lt;=eco,alpha*fck*(1-(1-AR224/eco)^n),alpha*fck),0)</f>
      </c>
      <c r="AT224" s="30">
        <f>PM_Angle!$J$25+PM_Angle!$K$25*$C224+PM_Angle!$L$25*$B224</f>
      </c>
      <c r="AU224" s="12">
        <f>IF(AT224&gt;0,IF(AT224&lt;=eco,alpha*fck*(1-(1-AT224/eco)^n),alpha*fck),0)</f>
      </c>
    </row>
    <row r="225" spans="1:47" x14ac:dyDescent="0.25">
      <c r="A225">
        <f>Mesh!A222</f>
      </c>
      <c r="B225" s="12">
        <f>Mesh!B222</f>
      </c>
      <c r="C225" s="12">
        <f>Mesh!C222</f>
      </c>
      <c r="D225" s="12">
        <f>Mesh!D222</f>
      </c>
      <c r="E225" s="30">
        <f>INDEX(St_e0,Det+1)+INDEX(St_kx,Det+1)*C225+INDEX(St_ky,Det+1)*B225</f>
      </c>
      <c r="F225" s="12">
        <f>IF(E225&gt;0,IF(E225&lt;=eco,alpha*fck*(1-(1-E225/eco)^n),alpha*fck),0)</f>
      </c>
      <c r="G225" s="11">
        <f>F225*D225</f>
      </c>
      <c r="H225" s="11">
        <f>G225*C225</f>
      </c>
      <c r="I225" s="11">
        <f>G225*B225</f>
      </c>
      <c r="J225" s="30">
        <f>PM_Angle!$J$7+PM_Angle!$K$7*$C225+PM_Angle!$L$7*$B225</f>
      </c>
      <c r="K225" s="12">
        <f>IF(J225&gt;0,IF(J225&lt;=eco,alpha*fck*(1-(1-J225/eco)^n),alpha*fck),0)</f>
      </c>
      <c r="L225" s="30">
        <f>PM_Angle!$J$8+PM_Angle!$K$8*$C225+PM_Angle!$L$8*$B225</f>
      </c>
      <c r="M225" s="12">
        <f>IF(L225&gt;0,IF(L225&lt;=eco,alpha*fck*(1-(1-L225/eco)^n),alpha*fck),0)</f>
      </c>
      <c r="N225" s="30">
        <f>PM_Angle!$J$9+PM_Angle!$K$9*$C225+PM_Angle!$L$9*$B225</f>
      </c>
      <c r="O225" s="12">
        <f>IF(N225&gt;0,IF(N225&lt;=eco,alpha*fck*(1-(1-N225/eco)^n),alpha*fck),0)</f>
      </c>
      <c r="P225" s="30">
        <f>PM_Angle!$J$10+PM_Angle!$K$10*$C225+PM_Angle!$L$10*$B225</f>
      </c>
      <c r="Q225" s="12">
        <f>IF(P225&gt;0,IF(P225&lt;=eco,alpha*fck*(1-(1-P225/eco)^n),alpha*fck),0)</f>
      </c>
      <c r="R225" s="30">
        <f>PM_Angle!$J$11+PM_Angle!$K$11*$C225+PM_Angle!$L$11*$B225</f>
      </c>
      <c r="S225" s="12">
        <f>IF(R225&gt;0,IF(R225&lt;=eco,alpha*fck*(1-(1-R225/eco)^n),alpha*fck),0)</f>
      </c>
      <c r="T225" s="30">
        <f>PM_Angle!$J$12+PM_Angle!$K$12*$C225+PM_Angle!$L$12*$B225</f>
      </c>
      <c r="U225" s="12">
        <f>IF(T225&gt;0,IF(T225&lt;=eco,alpha*fck*(1-(1-T225/eco)^n),alpha*fck),0)</f>
      </c>
      <c r="V225" s="30">
        <f>PM_Angle!$J$13+PM_Angle!$K$13*$C225+PM_Angle!$L$13*$B225</f>
      </c>
      <c r="W225" s="12">
        <f>IF(V225&gt;0,IF(V225&lt;=eco,alpha*fck*(1-(1-V225/eco)^n),alpha*fck),0)</f>
      </c>
      <c r="X225" s="30">
        <f>PM_Angle!$J$14+PM_Angle!$K$14*$C225+PM_Angle!$L$14*$B225</f>
      </c>
      <c r="Y225" s="12">
        <f>IF(X225&gt;0,IF(X225&lt;=eco,alpha*fck*(1-(1-X225/eco)^n),alpha*fck),0)</f>
      </c>
      <c r="Z225" s="30">
        <f>PM_Angle!$J$15+PM_Angle!$K$15*$C225+PM_Angle!$L$15*$B225</f>
      </c>
      <c r="AA225" s="12">
        <f>IF(Z225&gt;0,IF(Z225&lt;=eco,alpha*fck*(1-(1-Z225/eco)^n),alpha*fck),0)</f>
      </c>
      <c r="AB225" s="30">
        <f>PM_Angle!$J$16+PM_Angle!$K$16*$C225+PM_Angle!$L$16*$B225</f>
      </c>
      <c r="AC225" s="12">
        <f>IF(AB225&gt;0,IF(AB225&lt;=eco,alpha*fck*(1-(1-AB225/eco)^n),alpha*fck),0)</f>
      </c>
      <c r="AD225" s="30">
        <f>PM_Angle!$J$17+PM_Angle!$K$17*$C225+PM_Angle!$L$17*$B225</f>
      </c>
      <c r="AE225" s="12">
        <f>IF(AD225&gt;0,IF(AD225&lt;=eco,alpha*fck*(1-(1-AD225/eco)^n),alpha*fck),0)</f>
      </c>
      <c r="AF225" s="30">
        <f>PM_Angle!$J$18+PM_Angle!$K$18*$C225+PM_Angle!$L$18*$B225</f>
      </c>
      <c r="AG225" s="12">
        <f>IF(AF225&gt;0,IF(AF225&lt;=eco,alpha*fck*(1-(1-AF225/eco)^n),alpha*fck),0)</f>
      </c>
      <c r="AH225" s="30">
        <f>PM_Angle!$J$19+PM_Angle!$K$19*$C225+PM_Angle!$L$19*$B225</f>
      </c>
      <c r="AI225" s="12">
        <f>IF(AH225&gt;0,IF(AH225&lt;=eco,alpha*fck*(1-(1-AH225/eco)^n),alpha*fck),0)</f>
      </c>
      <c r="AJ225" s="30">
        <f>PM_Angle!$J$20+PM_Angle!$K$20*$C225+PM_Angle!$L$20*$B225</f>
      </c>
      <c r="AK225" s="12">
        <f>IF(AJ225&gt;0,IF(AJ225&lt;=eco,alpha*fck*(1-(1-AJ225/eco)^n),alpha*fck),0)</f>
      </c>
      <c r="AL225" s="30">
        <f>PM_Angle!$J$21+PM_Angle!$K$21*$C225+PM_Angle!$L$21*$B225</f>
      </c>
      <c r="AM225" s="12">
        <f>IF(AL225&gt;0,IF(AL225&lt;=eco,alpha*fck*(1-(1-AL225/eco)^n),alpha*fck),0)</f>
      </c>
      <c r="AN225" s="30">
        <f>PM_Angle!$J$22+PM_Angle!$K$22*$C225+PM_Angle!$L$22*$B225</f>
      </c>
      <c r="AO225" s="12">
        <f>IF(AN225&gt;0,IF(AN225&lt;=eco,alpha*fck*(1-(1-AN225/eco)^n),alpha*fck),0)</f>
      </c>
      <c r="AP225" s="30">
        <f>PM_Angle!$J$23+PM_Angle!$K$23*$C225+PM_Angle!$L$23*$B225</f>
      </c>
      <c r="AQ225" s="12">
        <f>IF(AP225&gt;0,IF(AP225&lt;=eco,alpha*fck*(1-(1-AP225/eco)^n),alpha*fck),0)</f>
      </c>
      <c r="AR225" s="30">
        <f>PM_Angle!$J$24+PM_Angle!$K$24*$C225+PM_Angle!$L$24*$B225</f>
      </c>
      <c r="AS225" s="12">
        <f>IF(AR225&gt;0,IF(AR225&lt;=eco,alpha*fck*(1-(1-AR225/eco)^n),alpha*fck),0)</f>
      </c>
      <c r="AT225" s="30">
        <f>PM_Angle!$J$25+PM_Angle!$K$25*$C225+PM_Angle!$L$25*$B225</f>
      </c>
      <c r="AU225" s="12">
        <f>IF(AT225&gt;0,IF(AT225&lt;=eco,alpha*fck*(1-(1-AT225/eco)^n),alpha*fck),0)</f>
      </c>
    </row>
    <row r="226" spans="1:47" x14ac:dyDescent="0.25">
      <c r="A226">
        <f>Mesh!A223</f>
      </c>
      <c r="B226" s="12">
        <f>Mesh!B223</f>
      </c>
      <c r="C226" s="12">
        <f>Mesh!C223</f>
      </c>
      <c r="D226" s="12">
        <f>Mesh!D223</f>
      </c>
      <c r="E226" s="30">
        <f>INDEX(St_e0,Det+1)+INDEX(St_kx,Det+1)*C226+INDEX(St_ky,Det+1)*B226</f>
      </c>
      <c r="F226" s="12">
        <f>IF(E226&gt;0,IF(E226&lt;=eco,alpha*fck*(1-(1-E226/eco)^n),alpha*fck),0)</f>
      </c>
      <c r="G226" s="11">
        <f>F226*D226</f>
      </c>
      <c r="H226" s="11">
        <f>G226*C226</f>
      </c>
      <c r="I226" s="11">
        <f>G226*B226</f>
      </c>
      <c r="J226" s="30">
        <f>PM_Angle!$J$7+PM_Angle!$K$7*$C226+PM_Angle!$L$7*$B226</f>
      </c>
      <c r="K226" s="12">
        <f>IF(J226&gt;0,IF(J226&lt;=eco,alpha*fck*(1-(1-J226/eco)^n),alpha*fck),0)</f>
      </c>
      <c r="L226" s="30">
        <f>PM_Angle!$J$8+PM_Angle!$K$8*$C226+PM_Angle!$L$8*$B226</f>
      </c>
      <c r="M226" s="12">
        <f>IF(L226&gt;0,IF(L226&lt;=eco,alpha*fck*(1-(1-L226/eco)^n),alpha*fck),0)</f>
      </c>
      <c r="N226" s="30">
        <f>PM_Angle!$J$9+PM_Angle!$K$9*$C226+PM_Angle!$L$9*$B226</f>
      </c>
      <c r="O226" s="12">
        <f>IF(N226&gt;0,IF(N226&lt;=eco,alpha*fck*(1-(1-N226/eco)^n),alpha*fck),0)</f>
      </c>
      <c r="P226" s="30">
        <f>PM_Angle!$J$10+PM_Angle!$K$10*$C226+PM_Angle!$L$10*$B226</f>
      </c>
      <c r="Q226" s="12">
        <f>IF(P226&gt;0,IF(P226&lt;=eco,alpha*fck*(1-(1-P226/eco)^n),alpha*fck),0)</f>
      </c>
      <c r="R226" s="30">
        <f>PM_Angle!$J$11+PM_Angle!$K$11*$C226+PM_Angle!$L$11*$B226</f>
      </c>
      <c r="S226" s="12">
        <f>IF(R226&gt;0,IF(R226&lt;=eco,alpha*fck*(1-(1-R226/eco)^n),alpha*fck),0)</f>
      </c>
      <c r="T226" s="30">
        <f>PM_Angle!$J$12+PM_Angle!$K$12*$C226+PM_Angle!$L$12*$B226</f>
      </c>
      <c r="U226" s="12">
        <f>IF(T226&gt;0,IF(T226&lt;=eco,alpha*fck*(1-(1-T226/eco)^n),alpha*fck),0)</f>
      </c>
      <c r="V226" s="30">
        <f>PM_Angle!$J$13+PM_Angle!$K$13*$C226+PM_Angle!$L$13*$B226</f>
      </c>
      <c r="W226" s="12">
        <f>IF(V226&gt;0,IF(V226&lt;=eco,alpha*fck*(1-(1-V226/eco)^n),alpha*fck),0)</f>
      </c>
      <c r="X226" s="30">
        <f>PM_Angle!$J$14+PM_Angle!$K$14*$C226+PM_Angle!$L$14*$B226</f>
      </c>
      <c r="Y226" s="12">
        <f>IF(X226&gt;0,IF(X226&lt;=eco,alpha*fck*(1-(1-X226/eco)^n),alpha*fck),0)</f>
      </c>
      <c r="Z226" s="30">
        <f>PM_Angle!$J$15+PM_Angle!$K$15*$C226+PM_Angle!$L$15*$B226</f>
      </c>
      <c r="AA226" s="12">
        <f>IF(Z226&gt;0,IF(Z226&lt;=eco,alpha*fck*(1-(1-Z226/eco)^n),alpha*fck),0)</f>
      </c>
      <c r="AB226" s="30">
        <f>PM_Angle!$J$16+PM_Angle!$K$16*$C226+PM_Angle!$L$16*$B226</f>
      </c>
      <c r="AC226" s="12">
        <f>IF(AB226&gt;0,IF(AB226&lt;=eco,alpha*fck*(1-(1-AB226/eco)^n),alpha*fck),0)</f>
      </c>
      <c r="AD226" s="30">
        <f>PM_Angle!$J$17+PM_Angle!$K$17*$C226+PM_Angle!$L$17*$B226</f>
      </c>
      <c r="AE226" s="12">
        <f>IF(AD226&gt;0,IF(AD226&lt;=eco,alpha*fck*(1-(1-AD226/eco)^n),alpha*fck),0)</f>
      </c>
      <c r="AF226" s="30">
        <f>PM_Angle!$J$18+PM_Angle!$K$18*$C226+PM_Angle!$L$18*$B226</f>
      </c>
      <c r="AG226" s="12">
        <f>IF(AF226&gt;0,IF(AF226&lt;=eco,alpha*fck*(1-(1-AF226/eco)^n),alpha*fck),0)</f>
      </c>
      <c r="AH226" s="30">
        <f>PM_Angle!$J$19+PM_Angle!$K$19*$C226+PM_Angle!$L$19*$B226</f>
      </c>
      <c r="AI226" s="12">
        <f>IF(AH226&gt;0,IF(AH226&lt;=eco,alpha*fck*(1-(1-AH226/eco)^n),alpha*fck),0)</f>
      </c>
      <c r="AJ226" s="30">
        <f>PM_Angle!$J$20+PM_Angle!$K$20*$C226+PM_Angle!$L$20*$B226</f>
      </c>
      <c r="AK226" s="12">
        <f>IF(AJ226&gt;0,IF(AJ226&lt;=eco,alpha*fck*(1-(1-AJ226/eco)^n),alpha*fck),0)</f>
      </c>
      <c r="AL226" s="30">
        <f>PM_Angle!$J$21+PM_Angle!$K$21*$C226+PM_Angle!$L$21*$B226</f>
      </c>
      <c r="AM226" s="12">
        <f>IF(AL226&gt;0,IF(AL226&lt;=eco,alpha*fck*(1-(1-AL226/eco)^n),alpha*fck),0)</f>
      </c>
      <c r="AN226" s="30">
        <f>PM_Angle!$J$22+PM_Angle!$K$22*$C226+PM_Angle!$L$22*$B226</f>
      </c>
      <c r="AO226" s="12">
        <f>IF(AN226&gt;0,IF(AN226&lt;=eco,alpha*fck*(1-(1-AN226/eco)^n),alpha*fck),0)</f>
      </c>
      <c r="AP226" s="30">
        <f>PM_Angle!$J$23+PM_Angle!$K$23*$C226+PM_Angle!$L$23*$B226</f>
      </c>
      <c r="AQ226" s="12">
        <f>IF(AP226&gt;0,IF(AP226&lt;=eco,alpha*fck*(1-(1-AP226/eco)^n),alpha*fck),0)</f>
      </c>
      <c r="AR226" s="30">
        <f>PM_Angle!$J$24+PM_Angle!$K$24*$C226+PM_Angle!$L$24*$B226</f>
      </c>
      <c r="AS226" s="12">
        <f>IF(AR226&gt;0,IF(AR226&lt;=eco,alpha*fck*(1-(1-AR226/eco)^n),alpha*fck),0)</f>
      </c>
      <c r="AT226" s="30">
        <f>PM_Angle!$J$25+PM_Angle!$K$25*$C226+PM_Angle!$L$25*$B226</f>
      </c>
      <c r="AU226" s="12">
        <f>IF(AT226&gt;0,IF(AT226&lt;=eco,alpha*fck*(1-(1-AT226/eco)^n),alpha*fck),0)</f>
      </c>
    </row>
    <row r="227" spans="1:47" x14ac:dyDescent="0.25">
      <c r="A227">
        <f>Mesh!A224</f>
      </c>
      <c r="B227" s="12">
        <f>Mesh!B224</f>
      </c>
      <c r="C227" s="12">
        <f>Mesh!C224</f>
      </c>
      <c r="D227" s="12">
        <f>Mesh!D224</f>
      </c>
      <c r="E227" s="30">
        <f>INDEX(St_e0,Det+1)+INDEX(St_kx,Det+1)*C227+INDEX(St_ky,Det+1)*B227</f>
      </c>
      <c r="F227" s="12">
        <f>IF(E227&gt;0,IF(E227&lt;=eco,alpha*fck*(1-(1-E227/eco)^n),alpha*fck),0)</f>
      </c>
      <c r="G227" s="11">
        <f>F227*D227</f>
      </c>
      <c r="H227" s="11">
        <f>G227*C227</f>
      </c>
      <c r="I227" s="11">
        <f>G227*B227</f>
      </c>
      <c r="J227" s="30">
        <f>PM_Angle!$J$7+PM_Angle!$K$7*$C227+PM_Angle!$L$7*$B227</f>
      </c>
      <c r="K227" s="12">
        <f>IF(J227&gt;0,IF(J227&lt;=eco,alpha*fck*(1-(1-J227/eco)^n),alpha*fck),0)</f>
      </c>
      <c r="L227" s="30">
        <f>PM_Angle!$J$8+PM_Angle!$K$8*$C227+PM_Angle!$L$8*$B227</f>
      </c>
      <c r="M227" s="12">
        <f>IF(L227&gt;0,IF(L227&lt;=eco,alpha*fck*(1-(1-L227/eco)^n),alpha*fck),0)</f>
      </c>
      <c r="N227" s="30">
        <f>PM_Angle!$J$9+PM_Angle!$K$9*$C227+PM_Angle!$L$9*$B227</f>
      </c>
      <c r="O227" s="12">
        <f>IF(N227&gt;0,IF(N227&lt;=eco,alpha*fck*(1-(1-N227/eco)^n),alpha*fck),0)</f>
      </c>
      <c r="P227" s="30">
        <f>PM_Angle!$J$10+PM_Angle!$K$10*$C227+PM_Angle!$L$10*$B227</f>
      </c>
      <c r="Q227" s="12">
        <f>IF(P227&gt;0,IF(P227&lt;=eco,alpha*fck*(1-(1-P227/eco)^n),alpha*fck),0)</f>
      </c>
      <c r="R227" s="30">
        <f>PM_Angle!$J$11+PM_Angle!$K$11*$C227+PM_Angle!$L$11*$B227</f>
      </c>
      <c r="S227" s="12">
        <f>IF(R227&gt;0,IF(R227&lt;=eco,alpha*fck*(1-(1-R227/eco)^n),alpha*fck),0)</f>
      </c>
      <c r="T227" s="30">
        <f>PM_Angle!$J$12+PM_Angle!$K$12*$C227+PM_Angle!$L$12*$B227</f>
      </c>
      <c r="U227" s="12">
        <f>IF(T227&gt;0,IF(T227&lt;=eco,alpha*fck*(1-(1-T227/eco)^n),alpha*fck),0)</f>
      </c>
      <c r="V227" s="30">
        <f>PM_Angle!$J$13+PM_Angle!$K$13*$C227+PM_Angle!$L$13*$B227</f>
      </c>
      <c r="W227" s="12">
        <f>IF(V227&gt;0,IF(V227&lt;=eco,alpha*fck*(1-(1-V227/eco)^n),alpha*fck),0)</f>
      </c>
      <c r="X227" s="30">
        <f>PM_Angle!$J$14+PM_Angle!$K$14*$C227+PM_Angle!$L$14*$B227</f>
      </c>
      <c r="Y227" s="12">
        <f>IF(X227&gt;0,IF(X227&lt;=eco,alpha*fck*(1-(1-X227/eco)^n),alpha*fck),0)</f>
      </c>
      <c r="Z227" s="30">
        <f>PM_Angle!$J$15+PM_Angle!$K$15*$C227+PM_Angle!$L$15*$B227</f>
      </c>
      <c r="AA227" s="12">
        <f>IF(Z227&gt;0,IF(Z227&lt;=eco,alpha*fck*(1-(1-Z227/eco)^n),alpha*fck),0)</f>
      </c>
      <c r="AB227" s="30">
        <f>PM_Angle!$J$16+PM_Angle!$K$16*$C227+PM_Angle!$L$16*$B227</f>
      </c>
      <c r="AC227" s="12">
        <f>IF(AB227&gt;0,IF(AB227&lt;=eco,alpha*fck*(1-(1-AB227/eco)^n),alpha*fck),0)</f>
      </c>
      <c r="AD227" s="30">
        <f>PM_Angle!$J$17+PM_Angle!$K$17*$C227+PM_Angle!$L$17*$B227</f>
      </c>
      <c r="AE227" s="12">
        <f>IF(AD227&gt;0,IF(AD227&lt;=eco,alpha*fck*(1-(1-AD227/eco)^n),alpha*fck),0)</f>
      </c>
      <c r="AF227" s="30">
        <f>PM_Angle!$J$18+PM_Angle!$K$18*$C227+PM_Angle!$L$18*$B227</f>
      </c>
      <c r="AG227" s="12">
        <f>IF(AF227&gt;0,IF(AF227&lt;=eco,alpha*fck*(1-(1-AF227/eco)^n),alpha*fck),0)</f>
      </c>
      <c r="AH227" s="30">
        <f>PM_Angle!$J$19+PM_Angle!$K$19*$C227+PM_Angle!$L$19*$B227</f>
      </c>
      <c r="AI227" s="12">
        <f>IF(AH227&gt;0,IF(AH227&lt;=eco,alpha*fck*(1-(1-AH227/eco)^n),alpha*fck),0)</f>
      </c>
      <c r="AJ227" s="30">
        <f>PM_Angle!$J$20+PM_Angle!$K$20*$C227+PM_Angle!$L$20*$B227</f>
      </c>
      <c r="AK227" s="12">
        <f>IF(AJ227&gt;0,IF(AJ227&lt;=eco,alpha*fck*(1-(1-AJ227/eco)^n),alpha*fck),0)</f>
      </c>
      <c r="AL227" s="30">
        <f>PM_Angle!$J$21+PM_Angle!$K$21*$C227+PM_Angle!$L$21*$B227</f>
      </c>
      <c r="AM227" s="12">
        <f>IF(AL227&gt;0,IF(AL227&lt;=eco,alpha*fck*(1-(1-AL227/eco)^n),alpha*fck),0)</f>
      </c>
      <c r="AN227" s="30">
        <f>PM_Angle!$J$22+PM_Angle!$K$22*$C227+PM_Angle!$L$22*$B227</f>
      </c>
      <c r="AO227" s="12">
        <f>IF(AN227&gt;0,IF(AN227&lt;=eco,alpha*fck*(1-(1-AN227/eco)^n),alpha*fck),0)</f>
      </c>
      <c r="AP227" s="30">
        <f>PM_Angle!$J$23+PM_Angle!$K$23*$C227+PM_Angle!$L$23*$B227</f>
      </c>
      <c r="AQ227" s="12">
        <f>IF(AP227&gt;0,IF(AP227&lt;=eco,alpha*fck*(1-(1-AP227/eco)^n),alpha*fck),0)</f>
      </c>
      <c r="AR227" s="30">
        <f>PM_Angle!$J$24+PM_Angle!$K$24*$C227+PM_Angle!$L$24*$B227</f>
      </c>
      <c r="AS227" s="12">
        <f>IF(AR227&gt;0,IF(AR227&lt;=eco,alpha*fck*(1-(1-AR227/eco)^n),alpha*fck),0)</f>
      </c>
      <c r="AT227" s="30">
        <f>PM_Angle!$J$25+PM_Angle!$K$25*$C227+PM_Angle!$L$25*$B227</f>
      </c>
      <c r="AU227" s="12">
        <f>IF(AT227&gt;0,IF(AT227&lt;=eco,alpha*fck*(1-(1-AT227/eco)^n),alpha*fck),0)</f>
      </c>
    </row>
    <row r="228" spans="1:47" x14ac:dyDescent="0.25">
      <c r="A228">
        <f>Mesh!A225</f>
      </c>
      <c r="B228" s="12">
        <f>Mesh!B225</f>
      </c>
      <c r="C228" s="12">
        <f>Mesh!C225</f>
      </c>
      <c r="D228" s="12">
        <f>Mesh!D225</f>
      </c>
      <c r="E228" s="30">
        <f>INDEX(St_e0,Det+1)+INDEX(St_kx,Det+1)*C228+INDEX(St_ky,Det+1)*B228</f>
      </c>
      <c r="F228" s="12">
        <f>IF(E228&gt;0,IF(E228&lt;=eco,alpha*fck*(1-(1-E228/eco)^n),alpha*fck),0)</f>
      </c>
      <c r="G228" s="11">
        <f>F228*D228</f>
      </c>
      <c r="H228" s="11">
        <f>G228*C228</f>
      </c>
      <c r="I228" s="11">
        <f>G228*B228</f>
      </c>
      <c r="J228" s="30">
        <f>PM_Angle!$J$7+PM_Angle!$K$7*$C228+PM_Angle!$L$7*$B228</f>
      </c>
      <c r="K228" s="12">
        <f>IF(J228&gt;0,IF(J228&lt;=eco,alpha*fck*(1-(1-J228/eco)^n),alpha*fck),0)</f>
      </c>
      <c r="L228" s="30">
        <f>PM_Angle!$J$8+PM_Angle!$K$8*$C228+PM_Angle!$L$8*$B228</f>
      </c>
      <c r="M228" s="12">
        <f>IF(L228&gt;0,IF(L228&lt;=eco,alpha*fck*(1-(1-L228/eco)^n),alpha*fck),0)</f>
      </c>
      <c r="N228" s="30">
        <f>PM_Angle!$J$9+PM_Angle!$K$9*$C228+PM_Angle!$L$9*$B228</f>
      </c>
      <c r="O228" s="12">
        <f>IF(N228&gt;0,IF(N228&lt;=eco,alpha*fck*(1-(1-N228/eco)^n),alpha*fck),0)</f>
      </c>
      <c r="P228" s="30">
        <f>PM_Angle!$J$10+PM_Angle!$K$10*$C228+PM_Angle!$L$10*$B228</f>
      </c>
      <c r="Q228" s="12">
        <f>IF(P228&gt;0,IF(P228&lt;=eco,alpha*fck*(1-(1-P228/eco)^n),alpha*fck),0)</f>
      </c>
      <c r="R228" s="30">
        <f>PM_Angle!$J$11+PM_Angle!$K$11*$C228+PM_Angle!$L$11*$B228</f>
      </c>
      <c r="S228" s="12">
        <f>IF(R228&gt;0,IF(R228&lt;=eco,alpha*fck*(1-(1-R228/eco)^n),alpha*fck),0)</f>
      </c>
      <c r="T228" s="30">
        <f>PM_Angle!$J$12+PM_Angle!$K$12*$C228+PM_Angle!$L$12*$B228</f>
      </c>
      <c r="U228" s="12">
        <f>IF(T228&gt;0,IF(T228&lt;=eco,alpha*fck*(1-(1-T228/eco)^n),alpha*fck),0)</f>
      </c>
      <c r="V228" s="30">
        <f>PM_Angle!$J$13+PM_Angle!$K$13*$C228+PM_Angle!$L$13*$B228</f>
      </c>
      <c r="W228" s="12">
        <f>IF(V228&gt;0,IF(V228&lt;=eco,alpha*fck*(1-(1-V228/eco)^n),alpha*fck),0)</f>
      </c>
      <c r="X228" s="30">
        <f>PM_Angle!$J$14+PM_Angle!$K$14*$C228+PM_Angle!$L$14*$B228</f>
      </c>
      <c r="Y228" s="12">
        <f>IF(X228&gt;0,IF(X228&lt;=eco,alpha*fck*(1-(1-X228/eco)^n),alpha*fck),0)</f>
      </c>
      <c r="Z228" s="30">
        <f>PM_Angle!$J$15+PM_Angle!$K$15*$C228+PM_Angle!$L$15*$B228</f>
      </c>
      <c r="AA228" s="12">
        <f>IF(Z228&gt;0,IF(Z228&lt;=eco,alpha*fck*(1-(1-Z228/eco)^n),alpha*fck),0)</f>
      </c>
      <c r="AB228" s="30">
        <f>PM_Angle!$J$16+PM_Angle!$K$16*$C228+PM_Angle!$L$16*$B228</f>
      </c>
      <c r="AC228" s="12">
        <f>IF(AB228&gt;0,IF(AB228&lt;=eco,alpha*fck*(1-(1-AB228/eco)^n),alpha*fck),0)</f>
      </c>
      <c r="AD228" s="30">
        <f>PM_Angle!$J$17+PM_Angle!$K$17*$C228+PM_Angle!$L$17*$B228</f>
      </c>
      <c r="AE228" s="12">
        <f>IF(AD228&gt;0,IF(AD228&lt;=eco,alpha*fck*(1-(1-AD228/eco)^n),alpha*fck),0)</f>
      </c>
      <c r="AF228" s="30">
        <f>PM_Angle!$J$18+PM_Angle!$K$18*$C228+PM_Angle!$L$18*$B228</f>
      </c>
      <c r="AG228" s="12">
        <f>IF(AF228&gt;0,IF(AF228&lt;=eco,alpha*fck*(1-(1-AF228/eco)^n),alpha*fck),0)</f>
      </c>
      <c r="AH228" s="30">
        <f>PM_Angle!$J$19+PM_Angle!$K$19*$C228+PM_Angle!$L$19*$B228</f>
      </c>
      <c r="AI228" s="12">
        <f>IF(AH228&gt;0,IF(AH228&lt;=eco,alpha*fck*(1-(1-AH228/eco)^n),alpha*fck),0)</f>
      </c>
      <c r="AJ228" s="30">
        <f>PM_Angle!$J$20+PM_Angle!$K$20*$C228+PM_Angle!$L$20*$B228</f>
      </c>
      <c r="AK228" s="12">
        <f>IF(AJ228&gt;0,IF(AJ228&lt;=eco,alpha*fck*(1-(1-AJ228/eco)^n),alpha*fck),0)</f>
      </c>
      <c r="AL228" s="30">
        <f>PM_Angle!$J$21+PM_Angle!$K$21*$C228+PM_Angle!$L$21*$B228</f>
      </c>
      <c r="AM228" s="12">
        <f>IF(AL228&gt;0,IF(AL228&lt;=eco,alpha*fck*(1-(1-AL228/eco)^n),alpha*fck),0)</f>
      </c>
      <c r="AN228" s="30">
        <f>PM_Angle!$J$22+PM_Angle!$K$22*$C228+PM_Angle!$L$22*$B228</f>
      </c>
      <c r="AO228" s="12">
        <f>IF(AN228&gt;0,IF(AN228&lt;=eco,alpha*fck*(1-(1-AN228/eco)^n),alpha*fck),0)</f>
      </c>
      <c r="AP228" s="30">
        <f>PM_Angle!$J$23+PM_Angle!$K$23*$C228+PM_Angle!$L$23*$B228</f>
      </c>
      <c r="AQ228" s="12">
        <f>IF(AP228&gt;0,IF(AP228&lt;=eco,alpha*fck*(1-(1-AP228/eco)^n),alpha*fck),0)</f>
      </c>
      <c r="AR228" s="30">
        <f>PM_Angle!$J$24+PM_Angle!$K$24*$C228+PM_Angle!$L$24*$B228</f>
      </c>
      <c r="AS228" s="12">
        <f>IF(AR228&gt;0,IF(AR228&lt;=eco,alpha*fck*(1-(1-AR228/eco)^n),alpha*fck),0)</f>
      </c>
      <c r="AT228" s="30">
        <f>PM_Angle!$J$25+PM_Angle!$K$25*$C228+PM_Angle!$L$25*$B228</f>
      </c>
      <c r="AU228" s="12">
        <f>IF(AT228&gt;0,IF(AT228&lt;=eco,alpha*fck*(1-(1-AT228/eco)^n),alpha*fck),0)</f>
      </c>
    </row>
    <row r="229" spans="1:47" x14ac:dyDescent="0.25">
      <c r="A229">
        <f>Mesh!A226</f>
      </c>
      <c r="B229" s="12">
        <f>Mesh!B226</f>
      </c>
      <c r="C229" s="12">
        <f>Mesh!C226</f>
      </c>
      <c r="D229" s="12">
        <f>Mesh!D226</f>
      </c>
      <c r="E229" s="30">
        <f>INDEX(St_e0,Det+1)+INDEX(St_kx,Det+1)*C229+INDEX(St_ky,Det+1)*B229</f>
      </c>
      <c r="F229" s="12">
        <f>IF(E229&gt;0,IF(E229&lt;=eco,alpha*fck*(1-(1-E229/eco)^n),alpha*fck),0)</f>
      </c>
      <c r="G229" s="11">
        <f>F229*D229</f>
      </c>
      <c r="H229" s="11">
        <f>G229*C229</f>
      </c>
      <c r="I229" s="11">
        <f>G229*B229</f>
      </c>
      <c r="J229" s="30">
        <f>PM_Angle!$J$7+PM_Angle!$K$7*$C229+PM_Angle!$L$7*$B229</f>
      </c>
      <c r="K229" s="12">
        <f>IF(J229&gt;0,IF(J229&lt;=eco,alpha*fck*(1-(1-J229/eco)^n),alpha*fck),0)</f>
      </c>
      <c r="L229" s="30">
        <f>PM_Angle!$J$8+PM_Angle!$K$8*$C229+PM_Angle!$L$8*$B229</f>
      </c>
      <c r="M229" s="12">
        <f>IF(L229&gt;0,IF(L229&lt;=eco,alpha*fck*(1-(1-L229/eco)^n),alpha*fck),0)</f>
      </c>
      <c r="N229" s="30">
        <f>PM_Angle!$J$9+PM_Angle!$K$9*$C229+PM_Angle!$L$9*$B229</f>
      </c>
      <c r="O229" s="12">
        <f>IF(N229&gt;0,IF(N229&lt;=eco,alpha*fck*(1-(1-N229/eco)^n),alpha*fck),0)</f>
      </c>
      <c r="P229" s="30">
        <f>PM_Angle!$J$10+PM_Angle!$K$10*$C229+PM_Angle!$L$10*$B229</f>
      </c>
      <c r="Q229" s="12">
        <f>IF(P229&gt;0,IF(P229&lt;=eco,alpha*fck*(1-(1-P229/eco)^n),alpha*fck),0)</f>
      </c>
      <c r="R229" s="30">
        <f>PM_Angle!$J$11+PM_Angle!$K$11*$C229+PM_Angle!$L$11*$B229</f>
      </c>
      <c r="S229" s="12">
        <f>IF(R229&gt;0,IF(R229&lt;=eco,alpha*fck*(1-(1-R229/eco)^n),alpha*fck),0)</f>
      </c>
      <c r="T229" s="30">
        <f>PM_Angle!$J$12+PM_Angle!$K$12*$C229+PM_Angle!$L$12*$B229</f>
      </c>
      <c r="U229" s="12">
        <f>IF(T229&gt;0,IF(T229&lt;=eco,alpha*fck*(1-(1-T229/eco)^n),alpha*fck),0)</f>
      </c>
      <c r="V229" s="30">
        <f>PM_Angle!$J$13+PM_Angle!$K$13*$C229+PM_Angle!$L$13*$B229</f>
      </c>
      <c r="W229" s="12">
        <f>IF(V229&gt;0,IF(V229&lt;=eco,alpha*fck*(1-(1-V229/eco)^n),alpha*fck),0)</f>
      </c>
      <c r="X229" s="30">
        <f>PM_Angle!$J$14+PM_Angle!$K$14*$C229+PM_Angle!$L$14*$B229</f>
      </c>
      <c r="Y229" s="12">
        <f>IF(X229&gt;0,IF(X229&lt;=eco,alpha*fck*(1-(1-X229/eco)^n),alpha*fck),0)</f>
      </c>
      <c r="Z229" s="30">
        <f>PM_Angle!$J$15+PM_Angle!$K$15*$C229+PM_Angle!$L$15*$B229</f>
      </c>
      <c r="AA229" s="12">
        <f>IF(Z229&gt;0,IF(Z229&lt;=eco,alpha*fck*(1-(1-Z229/eco)^n),alpha*fck),0)</f>
      </c>
      <c r="AB229" s="30">
        <f>PM_Angle!$J$16+PM_Angle!$K$16*$C229+PM_Angle!$L$16*$B229</f>
      </c>
      <c r="AC229" s="12">
        <f>IF(AB229&gt;0,IF(AB229&lt;=eco,alpha*fck*(1-(1-AB229/eco)^n),alpha*fck),0)</f>
      </c>
      <c r="AD229" s="30">
        <f>PM_Angle!$J$17+PM_Angle!$K$17*$C229+PM_Angle!$L$17*$B229</f>
      </c>
      <c r="AE229" s="12">
        <f>IF(AD229&gt;0,IF(AD229&lt;=eco,alpha*fck*(1-(1-AD229/eco)^n),alpha*fck),0)</f>
      </c>
      <c r="AF229" s="30">
        <f>PM_Angle!$J$18+PM_Angle!$K$18*$C229+PM_Angle!$L$18*$B229</f>
      </c>
      <c r="AG229" s="12">
        <f>IF(AF229&gt;0,IF(AF229&lt;=eco,alpha*fck*(1-(1-AF229/eco)^n),alpha*fck),0)</f>
      </c>
      <c r="AH229" s="30">
        <f>PM_Angle!$J$19+PM_Angle!$K$19*$C229+PM_Angle!$L$19*$B229</f>
      </c>
      <c r="AI229" s="12">
        <f>IF(AH229&gt;0,IF(AH229&lt;=eco,alpha*fck*(1-(1-AH229/eco)^n),alpha*fck),0)</f>
      </c>
      <c r="AJ229" s="30">
        <f>PM_Angle!$J$20+PM_Angle!$K$20*$C229+PM_Angle!$L$20*$B229</f>
      </c>
      <c r="AK229" s="12">
        <f>IF(AJ229&gt;0,IF(AJ229&lt;=eco,alpha*fck*(1-(1-AJ229/eco)^n),alpha*fck),0)</f>
      </c>
      <c r="AL229" s="30">
        <f>PM_Angle!$J$21+PM_Angle!$K$21*$C229+PM_Angle!$L$21*$B229</f>
      </c>
      <c r="AM229" s="12">
        <f>IF(AL229&gt;0,IF(AL229&lt;=eco,alpha*fck*(1-(1-AL229/eco)^n),alpha*fck),0)</f>
      </c>
      <c r="AN229" s="30">
        <f>PM_Angle!$J$22+PM_Angle!$K$22*$C229+PM_Angle!$L$22*$B229</f>
      </c>
      <c r="AO229" s="12">
        <f>IF(AN229&gt;0,IF(AN229&lt;=eco,alpha*fck*(1-(1-AN229/eco)^n),alpha*fck),0)</f>
      </c>
      <c r="AP229" s="30">
        <f>PM_Angle!$J$23+PM_Angle!$K$23*$C229+PM_Angle!$L$23*$B229</f>
      </c>
      <c r="AQ229" s="12">
        <f>IF(AP229&gt;0,IF(AP229&lt;=eco,alpha*fck*(1-(1-AP229/eco)^n),alpha*fck),0)</f>
      </c>
      <c r="AR229" s="30">
        <f>PM_Angle!$J$24+PM_Angle!$K$24*$C229+PM_Angle!$L$24*$B229</f>
      </c>
      <c r="AS229" s="12">
        <f>IF(AR229&gt;0,IF(AR229&lt;=eco,alpha*fck*(1-(1-AR229/eco)^n),alpha*fck),0)</f>
      </c>
      <c r="AT229" s="30">
        <f>PM_Angle!$J$25+PM_Angle!$K$25*$C229+PM_Angle!$L$25*$B229</f>
      </c>
      <c r="AU229" s="12">
        <f>IF(AT229&gt;0,IF(AT229&lt;=eco,alpha*fck*(1-(1-AT229/eco)^n),alpha*fck),0)</f>
      </c>
    </row>
    <row r="230" spans="1:47" x14ac:dyDescent="0.25">
      <c r="A230">
        <f>Mesh!A227</f>
      </c>
      <c r="B230" s="12">
        <f>Mesh!B227</f>
      </c>
      <c r="C230" s="12">
        <f>Mesh!C227</f>
      </c>
      <c r="D230" s="12">
        <f>Mesh!D227</f>
      </c>
      <c r="E230" s="30">
        <f>INDEX(St_e0,Det+1)+INDEX(St_kx,Det+1)*C230+INDEX(St_ky,Det+1)*B230</f>
      </c>
      <c r="F230" s="12">
        <f>IF(E230&gt;0,IF(E230&lt;=eco,alpha*fck*(1-(1-E230/eco)^n),alpha*fck),0)</f>
      </c>
      <c r="G230" s="11">
        <f>F230*D230</f>
      </c>
      <c r="H230" s="11">
        <f>G230*C230</f>
      </c>
      <c r="I230" s="11">
        <f>G230*B230</f>
      </c>
      <c r="J230" s="30">
        <f>PM_Angle!$J$7+PM_Angle!$K$7*$C230+PM_Angle!$L$7*$B230</f>
      </c>
      <c r="K230" s="12">
        <f>IF(J230&gt;0,IF(J230&lt;=eco,alpha*fck*(1-(1-J230/eco)^n),alpha*fck),0)</f>
      </c>
      <c r="L230" s="30">
        <f>PM_Angle!$J$8+PM_Angle!$K$8*$C230+PM_Angle!$L$8*$B230</f>
      </c>
      <c r="M230" s="12">
        <f>IF(L230&gt;0,IF(L230&lt;=eco,alpha*fck*(1-(1-L230/eco)^n),alpha*fck),0)</f>
      </c>
      <c r="N230" s="30">
        <f>PM_Angle!$J$9+PM_Angle!$K$9*$C230+PM_Angle!$L$9*$B230</f>
      </c>
      <c r="O230" s="12">
        <f>IF(N230&gt;0,IF(N230&lt;=eco,alpha*fck*(1-(1-N230/eco)^n),alpha*fck),0)</f>
      </c>
      <c r="P230" s="30">
        <f>PM_Angle!$J$10+PM_Angle!$K$10*$C230+PM_Angle!$L$10*$B230</f>
      </c>
      <c r="Q230" s="12">
        <f>IF(P230&gt;0,IF(P230&lt;=eco,alpha*fck*(1-(1-P230/eco)^n),alpha*fck),0)</f>
      </c>
      <c r="R230" s="30">
        <f>PM_Angle!$J$11+PM_Angle!$K$11*$C230+PM_Angle!$L$11*$B230</f>
      </c>
      <c r="S230" s="12">
        <f>IF(R230&gt;0,IF(R230&lt;=eco,alpha*fck*(1-(1-R230/eco)^n),alpha*fck),0)</f>
      </c>
      <c r="T230" s="30">
        <f>PM_Angle!$J$12+PM_Angle!$K$12*$C230+PM_Angle!$L$12*$B230</f>
      </c>
      <c r="U230" s="12">
        <f>IF(T230&gt;0,IF(T230&lt;=eco,alpha*fck*(1-(1-T230/eco)^n),alpha*fck),0)</f>
      </c>
      <c r="V230" s="30">
        <f>PM_Angle!$J$13+PM_Angle!$K$13*$C230+PM_Angle!$L$13*$B230</f>
      </c>
      <c r="W230" s="12">
        <f>IF(V230&gt;0,IF(V230&lt;=eco,alpha*fck*(1-(1-V230/eco)^n),alpha*fck),0)</f>
      </c>
      <c r="X230" s="30">
        <f>PM_Angle!$J$14+PM_Angle!$K$14*$C230+PM_Angle!$L$14*$B230</f>
      </c>
      <c r="Y230" s="12">
        <f>IF(X230&gt;0,IF(X230&lt;=eco,alpha*fck*(1-(1-X230/eco)^n),alpha*fck),0)</f>
      </c>
      <c r="Z230" s="30">
        <f>PM_Angle!$J$15+PM_Angle!$K$15*$C230+PM_Angle!$L$15*$B230</f>
      </c>
      <c r="AA230" s="12">
        <f>IF(Z230&gt;0,IF(Z230&lt;=eco,alpha*fck*(1-(1-Z230/eco)^n),alpha*fck),0)</f>
      </c>
      <c r="AB230" s="30">
        <f>PM_Angle!$J$16+PM_Angle!$K$16*$C230+PM_Angle!$L$16*$B230</f>
      </c>
      <c r="AC230" s="12">
        <f>IF(AB230&gt;0,IF(AB230&lt;=eco,alpha*fck*(1-(1-AB230/eco)^n),alpha*fck),0)</f>
      </c>
      <c r="AD230" s="30">
        <f>PM_Angle!$J$17+PM_Angle!$K$17*$C230+PM_Angle!$L$17*$B230</f>
      </c>
      <c r="AE230" s="12">
        <f>IF(AD230&gt;0,IF(AD230&lt;=eco,alpha*fck*(1-(1-AD230/eco)^n),alpha*fck),0)</f>
      </c>
      <c r="AF230" s="30">
        <f>PM_Angle!$J$18+PM_Angle!$K$18*$C230+PM_Angle!$L$18*$B230</f>
      </c>
      <c r="AG230" s="12">
        <f>IF(AF230&gt;0,IF(AF230&lt;=eco,alpha*fck*(1-(1-AF230/eco)^n),alpha*fck),0)</f>
      </c>
      <c r="AH230" s="30">
        <f>PM_Angle!$J$19+PM_Angle!$K$19*$C230+PM_Angle!$L$19*$B230</f>
      </c>
      <c r="AI230" s="12">
        <f>IF(AH230&gt;0,IF(AH230&lt;=eco,alpha*fck*(1-(1-AH230/eco)^n),alpha*fck),0)</f>
      </c>
      <c r="AJ230" s="30">
        <f>PM_Angle!$J$20+PM_Angle!$K$20*$C230+PM_Angle!$L$20*$B230</f>
      </c>
      <c r="AK230" s="12">
        <f>IF(AJ230&gt;0,IF(AJ230&lt;=eco,alpha*fck*(1-(1-AJ230/eco)^n),alpha*fck),0)</f>
      </c>
      <c r="AL230" s="30">
        <f>PM_Angle!$J$21+PM_Angle!$K$21*$C230+PM_Angle!$L$21*$B230</f>
      </c>
      <c r="AM230" s="12">
        <f>IF(AL230&gt;0,IF(AL230&lt;=eco,alpha*fck*(1-(1-AL230/eco)^n),alpha*fck),0)</f>
      </c>
      <c r="AN230" s="30">
        <f>PM_Angle!$J$22+PM_Angle!$K$22*$C230+PM_Angle!$L$22*$B230</f>
      </c>
      <c r="AO230" s="12">
        <f>IF(AN230&gt;0,IF(AN230&lt;=eco,alpha*fck*(1-(1-AN230/eco)^n),alpha*fck),0)</f>
      </c>
      <c r="AP230" s="30">
        <f>PM_Angle!$J$23+PM_Angle!$K$23*$C230+PM_Angle!$L$23*$B230</f>
      </c>
      <c r="AQ230" s="12">
        <f>IF(AP230&gt;0,IF(AP230&lt;=eco,alpha*fck*(1-(1-AP230/eco)^n),alpha*fck),0)</f>
      </c>
      <c r="AR230" s="30">
        <f>PM_Angle!$J$24+PM_Angle!$K$24*$C230+PM_Angle!$L$24*$B230</f>
      </c>
      <c r="AS230" s="12">
        <f>IF(AR230&gt;0,IF(AR230&lt;=eco,alpha*fck*(1-(1-AR230/eco)^n),alpha*fck),0)</f>
      </c>
      <c r="AT230" s="30">
        <f>PM_Angle!$J$25+PM_Angle!$K$25*$C230+PM_Angle!$L$25*$B230</f>
      </c>
      <c r="AU230" s="12">
        <f>IF(AT230&gt;0,IF(AT230&lt;=eco,alpha*fck*(1-(1-AT230/eco)^n),alpha*fck),0)</f>
      </c>
    </row>
    <row r="231" spans="1:47" x14ac:dyDescent="0.25">
      <c r="A231">
        <f>Mesh!A228</f>
      </c>
      <c r="B231" s="12">
        <f>Mesh!B228</f>
      </c>
      <c r="C231" s="12">
        <f>Mesh!C228</f>
      </c>
      <c r="D231" s="12">
        <f>Mesh!D228</f>
      </c>
      <c r="E231" s="30">
        <f>INDEX(St_e0,Det+1)+INDEX(St_kx,Det+1)*C231+INDEX(St_ky,Det+1)*B231</f>
      </c>
      <c r="F231" s="12">
        <f>IF(E231&gt;0,IF(E231&lt;=eco,alpha*fck*(1-(1-E231/eco)^n),alpha*fck),0)</f>
      </c>
      <c r="G231" s="11">
        <f>F231*D231</f>
      </c>
      <c r="H231" s="11">
        <f>G231*C231</f>
      </c>
      <c r="I231" s="11">
        <f>G231*B231</f>
      </c>
      <c r="J231" s="30">
        <f>PM_Angle!$J$7+PM_Angle!$K$7*$C231+PM_Angle!$L$7*$B231</f>
      </c>
      <c r="K231" s="12">
        <f>IF(J231&gt;0,IF(J231&lt;=eco,alpha*fck*(1-(1-J231/eco)^n),alpha*fck),0)</f>
      </c>
      <c r="L231" s="30">
        <f>PM_Angle!$J$8+PM_Angle!$K$8*$C231+PM_Angle!$L$8*$B231</f>
      </c>
      <c r="M231" s="12">
        <f>IF(L231&gt;0,IF(L231&lt;=eco,alpha*fck*(1-(1-L231/eco)^n),alpha*fck),0)</f>
      </c>
      <c r="N231" s="30">
        <f>PM_Angle!$J$9+PM_Angle!$K$9*$C231+PM_Angle!$L$9*$B231</f>
      </c>
      <c r="O231" s="12">
        <f>IF(N231&gt;0,IF(N231&lt;=eco,alpha*fck*(1-(1-N231/eco)^n),alpha*fck),0)</f>
      </c>
      <c r="P231" s="30">
        <f>PM_Angle!$J$10+PM_Angle!$K$10*$C231+PM_Angle!$L$10*$B231</f>
      </c>
      <c r="Q231" s="12">
        <f>IF(P231&gt;0,IF(P231&lt;=eco,alpha*fck*(1-(1-P231/eco)^n),alpha*fck),0)</f>
      </c>
      <c r="R231" s="30">
        <f>PM_Angle!$J$11+PM_Angle!$K$11*$C231+PM_Angle!$L$11*$B231</f>
      </c>
      <c r="S231" s="12">
        <f>IF(R231&gt;0,IF(R231&lt;=eco,alpha*fck*(1-(1-R231/eco)^n),alpha*fck),0)</f>
      </c>
      <c r="T231" s="30">
        <f>PM_Angle!$J$12+PM_Angle!$K$12*$C231+PM_Angle!$L$12*$B231</f>
      </c>
      <c r="U231" s="12">
        <f>IF(T231&gt;0,IF(T231&lt;=eco,alpha*fck*(1-(1-T231/eco)^n),alpha*fck),0)</f>
      </c>
      <c r="V231" s="30">
        <f>PM_Angle!$J$13+PM_Angle!$K$13*$C231+PM_Angle!$L$13*$B231</f>
      </c>
      <c r="W231" s="12">
        <f>IF(V231&gt;0,IF(V231&lt;=eco,alpha*fck*(1-(1-V231/eco)^n),alpha*fck),0)</f>
      </c>
      <c r="X231" s="30">
        <f>PM_Angle!$J$14+PM_Angle!$K$14*$C231+PM_Angle!$L$14*$B231</f>
      </c>
      <c r="Y231" s="12">
        <f>IF(X231&gt;0,IF(X231&lt;=eco,alpha*fck*(1-(1-X231/eco)^n),alpha*fck),0)</f>
      </c>
      <c r="Z231" s="30">
        <f>PM_Angle!$J$15+PM_Angle!$K$15*$C231+PM_Angle!$L$15*$B231</f>
      </c>
      <c r="AA231" s="12">
        <f>IF(Z231&gt;0,IF(Z231&lt;=eco,alpha*fck*(1-(1-Z231/eco)^n),alpha*fck),0)</f>
      </c>
      <c r="AB231" s="30">
        <f>PM_Angle!$J$16+PM_Angle!$K$16*$C231+PM_Angle!$L$16*$B231</f>
      </c>
      <c r="AC231" s="12">
        <f>IF(AB231&gt;0,IF(AB231&lt;=eco,alpha*fck*(1-(1-AB231/eco)^n),alpha*fck),0)</f>
      </c>
      <c r="AD231" s="30">
        <f>PM_Angle!$J$17+PM_Angle!$K$17*$C231+PM_Angle!$L$17*$B231</f>
      </c>
      <c r="AE231" s="12">
        <f>IF(AD231&gt;0,IF(AD231&lt;=eco,alpha*fck*(1-(1-AD231/eco)^n),alpha*fck),0)</f>
      </c>
      <c r="AF231" s="30">
        <f>PM_Angle!$J$18+PM_Angle!$K$18*$C231+PM_Angle!$L$18*$B231</f>
      </c>
      <c r="AG231" s="12">
        <f>IF(AF231&gt;0,IF(AF231&lt;=eco,alpha*fck*(1-(1-AF231/eco)^n),alpha*fck),0)</f>
      </c>
      <c r="AH231" s="30">
        <f>PM_Angle!$J$19+PM_Angle!$K$19*$C231+PM_Angle!$L$19*$B231</f>
      </c>
      <c r="AI231" s="12">
        <f>IF(AH231&gt;0,IF(AH231&lt;=eco,alpha*fck*(1-(1-AH231/eco)^n),alpha*fck),0)</f>
      </c>
      <c r="AJ231" s="30">
        <f>PM_Angle!$J$20+PM_Angle!$K$20*$C231+PM_Angle!$L$20*$B231</f>
      </c>
      <c r="AK231" s="12">
        <f>IF(AJ231&gt;0,IF(AJ231&lt;=eco,alpha*fck*(1-(1-AJ231/eco)^n),alpha*fck),0)</f>
      </c>
      <c r="AL231" s="30">
        <f>PM_Angle!$J$21+PM_Angle!$K$21*$C231+PM_Angle!$L$21*$B231</f>
      </c>
      <c r="AM231" s="12">
        <f>IF(AL231&gt;0,IF(AL231&lt;=eco,alpha*fck*(1-(1-AL231/eco)^n),alpha*fck),0)</f>
      </c>
      <c r="AN231" s="30">
        <f>PM_Angle!$J$22+PM_Angle!$K$22*$C231+PM_Angle!$L$22*$B231</f>
      </c>
      <c r="AO231" s="12">
        <f>IF(AN231&gt;0,IF(AN231&lt;=eco,alpha*fck*(1-(1-AN231/eco)^n),alpha*fck),0)</f>
      </c>
      <c r="AP231" s="30">
        <f>PM_Angle!$J$23+PM_Angle!$K$23*$C231+PM_Angle!$L$23*$B231</f>
      </c>
      <c r="AQ231" s="12">
        <f>IF(AP231&gt;0,IF(AP231&lt;=eco,alpha*fck*(1-(1-AP231/eco)^n),alpha*fck),0)</f>
      </c>
      <c r="AR231" s="30">
        <f>PM_Angle!$J$24+PM_Angle!$K$24*$C231+PM_Angle!$L$24*$B231</f>
      </c>
      <c r="AS231" s="12">
        <f>IF(AR231&gt;0,IF(AR231&lt;=eco,alpha*fck*(1-(1-AR231/eco)^n),alpha*fck),0)</f>
      </c>
      <c r="AT231" s="30">
        <f>PM_Angle!$J$25+PM_Angle!$K$25*$C231+PM_Angle!$L$25*$B231</f>
      </c>
      <c r="AU231" s="12">
        <f>IF(AT231&gt;0,IF(AT231&lt;=eco,alpha*fck*(1-(1-AT231/eco)^n),alpha*fck),0)</f>
      </c>
    </row>
    <row r="232" spans="1:47" x14ac:dyDescent="0.25">
      <c r="A232">
        <f>Mesh!A229</f>
      </c>
      <c r="B232" s="12">
        <f>Mesh!B229</f>
      </c>
      <c r="C232" s="12">
        <f>Mesh!C229</f>
      </c>
      <c r="D232" s="12">
        <f>Mesh!D229</f>
      </c>
      <c r="E232" s="30">
        <f>INDEX(St_e0,Det+1)+INDEX(St_kx,Det+1)*C232+INDEX(St_ky,Det+1)*B232</f>
      </c>
      <c r="F232" s="12">
        <f>IF(E232&gt;0,IF(E232&lt;=eco,alpha*fck*(1-(1-E232/eco)^n),alpha*fck),0)</f>
      </c>
      <c r="G232" s="11">
        <f>F232*D232</f>
      </c>
      <c r="H232" s="11">
        <f>G232*C232</f>
      </c>
      <c r="I232" s="11">
        <f>G232*B232</f>
      </c>
      <c r="J232" s="30">
        <f>PM_Angle!$J$7+PM_Angle!$K$7*$C232+PM_Angle!$L$7*$B232</f>
      </c>
      <c r="K232" s="12">
        <f>IF(J232&gt;0,IF(J232&lt;=eco,alpha*fck*(1-(1-J232/eco)^n),alpha*fck),0)</f>
      </c>
      <c r="L232" s="30">
        <f>PM_Angle!$J$8+PM_Angle!$K$8*$C232+PM_Angle!$L$8*$B232</f>
      </c>
      <c r="M232" s="12">
        <f>IF(L232&gt;0,IF(L232&lt;=eco,alpha*fck*(1-(1-L232/eco)^n),alpha*fck),0)</f>
      </c>
      <c r="N232" s="30">
        <f>PM_Angle!$J$9+PM_Angle!$K$9*$C232+PM_Angle!$L$9*$B232</f>
      </c>
      <c r="O232" s="12">
        <f>IF(N232&gt;0,IF(N232&lt;=eco,alpha*fck*(1-(1-N232/eco)^n),alpha*fck),0)</f>
      </c>
      <c r="P232" s="30">
        <f>PM_Angle!$J$10+PM_Angle!$K$10*$C232+PM_Angle!$L$10*$B232</f>
      </c>
      <c r="Q232" s="12">
        <f>IF(P232&gt;0,IF(P232&lt;=eco,alpha*fck*(1-(1-P232/eco)^n),alpha*fck),0)</f>
      </c>
      <c r="R232" s="30">
        <f>PM_Angle!$J$11+PM_Angle!$K$11*$C232+PM_Angle!$L$11*$B232</f>
      </c>
      <c r="S232" s="12">
        <f>IF(R232&gt;0,IF(R232&lt;=eco,alpha*fck*(1-(1-R232/eco)^n),alpha*fck),0)</f>
      </c>
      <c r="T232" s="30">
        <f>PM_Angle!$J$12+PM_Angle!$K$12*$C232+PM_Angle!$L$12*$B232</f>
      </c>
      <c r="U232" s="12">
        <f>IF(T232&gt;0,IF(T232&lt;=eco,alpha*fck*(1-(1-T232/eco)^n),alpha*fck),0)</f>
      </c>
      <c r="V232" s="30">
        <f>PM_Angle!$J$13+PM_Angle!$K$13*$C232+PM_Angle!$L$13*$B232</f>
      </c>
      <c r="W232" s="12">
        <f>IF(V232&gt;0,IF(V232&lt;=eco,alpha*fck*(1-(1-V232/eco)^n),alpha*fck),0)</f>
      </c>
      <c r="X232" s="30">
        <f>PM_Angle!$J$14+PM_Angle!$K$14*$C232+PM_Angle!$L$14*$B232</f>
      </c>
      <c r="Y232" s="12">
        <f>IF(X232&gt;0,IF(X232&lt;=eco,alpha*fck*(1-(1-X232/eco)^n),alpha*fck),0)</f>
      </c>
      <c r="Z232" s="30">
        <f>PM_Angle!$J$15+PM_Angle!$K$15*$C232+PM_Angle!$L$15*$B232</f>
      </c>
      <c r="AA232" s="12">
        <f>IF(Z232&gt;0,IF(Z232&lt;=eco,alpha*fck*(1-(1-Z232/eco)^n),alpha*fck),0)</f>
      </c>
      <c r="AB232" s="30">
        <f>PM_Angle!$J$16+PM_Angle!$K$16*$C232+PM_Angle!$L$16*$B232</f>
      </c>
      <c r="AC232" s="12">
        <f>IF(AB232&gt;0,IF(AB232&lt;=eco,alpha*fck*(1-(1-AB232/eco)^n),alpha*fck),0)</f>
      </c>
      <c r="AD232" s="30">
        <f>PM_Angle!$J$17+PM_Angle!$K$17*$C232+PM_Angle!$L$17*$B232</f>
      </c>
      <c r="AE232" s="12">
        <f>IF(AD232&gt;0,IF(AD232&lt;=eco,alpha*fck*(1-(1-AD232/eco)^n),alpha*fck),0)</f>
      </c>
      <c r="AF232" s="30">
        <f>PM_Angle!$J$18+PM_Angle!$K$18*$C232+PM_Angle!$L$18*$B232</f>
      </c>
      <c r="AG232" s="12">
        <f>IF(AF232&gt;0,IF(AF232&lt;=eco,alpha*fck*(1-(1-AF232/eco)^n),alpha*fck),0)</f>
      </c>
      <c r="AH232" s="30">
        <f>PM_Angle!$J$19+PM_Angle!$K$19*$C232+PM_Angle!$L$19*$B232</f>
      </c>
      <c r="AI232" s="12">
        <f>IF(AH232&gt;0,IF(AH232&lt;=eco,alpha*fck*(1-(1-AH232/eco)^n),alpha*fck),0)</f>
      </c>
      <c r="AJ232" s="30">
        <f>PM_Angle!$J$20+PM_Angle!$K$20*$C232+PM_Angle!$L$20*$B232</f>
      </c>
      <c r="AK232" s="12">
        <f>IF(AJ232&gt;0,IF(AJ232&lt;=eco,alpha*fck*(1-(1-AJ232/eco)^n),alpha*fck),0)</f>
      </c>
      <c r="AL232" s="30">
        <f>PM_Angle!$J$21+PM_Angle!$K$21*$C232+PM_Angle!$L$21*$B232</f>
      </c>
      <c r="AM232" s="12">
        <f>IF(AL232&gt;0,IF(AL232&lt;=eco,alpha*fck*(1-(1-AL232/eco)^n),alpha*fck),0)</f>
      </c>
      <c r="AN232" s="30">
        <f>PM_Angle!$J$22+PM_Angle!$K$22*$C232+PM_Angle!$L$22*$B232</f>
      </c>
      <c r="AO232" s="12">
        <f>IF(AN232&gt;0,IF(AN232&lt;=eco,alpha*fck*(1-(1-AN232/eco)^n),alpha*fck),0)</f>
      </c>
      <c r="AP232" s="30">
        <f>PM_Angle!$J$23+PM_Angle!$K$23*$C232+PM_Angle!$L$23*$B232</f>
      </c>
      <c r="AQ232" s="12">
        <f>IF(AP232&gt;0,IF(AP232&lt;=eco,alpha*fck*(1-(1-AP232/eco)^n),alpha*fck),0)</f>
      </c>
      <c r="AR232" s="30">
        <f>PM_Angle!$J$24+PM_Angle!$K$24*$C232+PM_Angle!$L$24*$B232</f>
      </c>
      <c r="AS232" s="12">
        <f>IF(AR232&gt;0,IF(AR232&lt;=eco,alpha*fck*(1-(1-AR232/eco)^n),alpha*fck),0)</f>
      </c>
      <c r="AT232" s="30">
        <f>PM_Angle!$J$25+PM_Angle!$K$25*$C232+PM_Angle!$L$25*$B232</f>
      </c>
      <c r="AU232" s="12">
        <f>IF(AT232&gt;0,IF(AT232&lt;=eco,alpha*fck*(1-(1-AT232/eco)^n),alpha*fck),0)</f>
      </c>
    </row>
    <row r="233" spans="1:47" x14ac:dyDescent="0.25">
      <c r="A233">
        <f>Mesh!A230</f>
      </c>
      <c r="B233" s="12">
        <f>Mesh!B230</f>
      </c>
      <c r="C233" s="12">
        <f>Mesh!C230</f>
      </c>
      <c r="D233" s="12">
        <f>Mesh!D230</f>
      </c>
      <c r="E233" s="30">
        <f>INDEX(St_e0,Det+1)+INDEX(St_kx,Det+1)*C233+INDEX(St_ky,Det+1)*B233</f>
      </c>
      <c r="F233" s="12">
        <f>IF(E233&gt;0,IF(E233&lt;=eco,alpha*fck*(1-(1-E233/eco)^n),alpha*fck),0)</f>
      </c>
      <c r="G233" s="11">
        <f>F233*D233</f>
      </c>
      <c r="H233" s="11">
        <f>G233*C233</f>
      </c>
      <c r="I233" s="11">
        <f>G233*B233</f>
      </c>
      <c r="J233" s="30">
        <f>PM_Angle!$J$7+PM_Angle!$K$7*$C233+PM_Angle!$L$7*$B233</f>
      </c>
      <c r="K233" s="12">
        <f>IF(J233&gt;0,IF(J233&lt;=eco,alpha*fck*(1-(1-J233/eco)^n),alpha*fck),0)</f>
      </c>
      <c r="L233" s="30">
        <f>PM_Angle!$J$8+PM_Angle!$K$8*$C233+PM_Angle!$L$8*$B233</f>
      </c>
      <c r="M233" s="12">
        <f>IF(L233&gt;0,IF(L233&lt;=eco,alpha*fck*(1-(1-L233/eco)^n),alpha*fck),0)</f>
      </c>
      <c r="N233" s="30">
        <f>PM_Angle!$J$9+PM_Angle!$K$9*$C233+PM_Angle!$L$9*$B233</f>
      </c>
      <c r="O233" s="12">
        <f>IF(N233&gt;0,IF(N233&lt;=eco,alpha*fck*(1-(1-N233/eco)^n),alpha*fck),0)</f>
      </c>
      <c r="P233" s="30">
        <f>PM_Angle!$J$10+PM_Angle!$K$10*$C233+PM_Angle!$L$10*$B233</f>
      </c>
      <c r="Q233" s="12">
        <f>IF(P233&gt;0,IF(P233&lt;=eco,alpha*fck*(1-(1-P233/eco)^n),alpha*fck),0)</f>
      </c>
      <c r="R233" s="30">
        <f>PM_Angle!$J$11+PM_Angle!$K$11*$C233+PM_Angle!$L$11*$B233</f>
      </c>
      <c r="S233" s="12">
        <f>IF(R233&gt;0,IF(R233&lt;=eco,alpha*fck*(1-(1-R233/eco)^n),alpha*fck),0)</f>
      </c>
      <c r="T233" s="30">
        <f>PM_Angle!$J$12+PM_Angle!$K$12*$C233+PM_Angle!$L$12*$B233</f>
      </c>
      <c r="U233" s="12">
        <f>IF(T233&gt;0,IF(T233&lt;=eco,alpha*fck*(1-(1-T233/eco)^n),alpha*fck),0)</f>
      </c>
      <c r="V233" s="30">
        <f>PM_Angle!$J$13+PM_Angle!$K$13*$C233+PM_Angle!$L$13*$B233</f>
      </c>
      <c r="W233" s="12">
        <f>IF(V233&gt;0,IF(V233&lt;=eco,alpha*fck*(1-(1-V233/eco)^n),alpha*fck),0)</f>
      </c>
      <c r="X233" s="30">
        <f>PM_Angle!$J$14+PM_Angle!$K$14*$C233+PM_Angle!$L$14*$B233</f>
      </c>
      <c r="Y233" s="12">
        <f>IF(X233&gt;0,IF(X233&lt;=eco,alpha*fck*(1-(1-X233/eco)^n),alpha*fck),0)</f>
      </c>
      <c r="Z233" s="30">
        <f>PM_Angle!$J$15+PM_Angle!$K$15*$C233+PM_Angle!$L$15*$B233</f>
      </c>
      <c r="AA233" s="12">
        <f>IF(Z233&gt;0,IF(Z233&lt;=eco,alpha*fck*(1-(1-Z233/eco)^n),alpha*fck),0)</f>
      </c>
      <c r="AB233" s="30">
        <f>PM_Angle!$J$16+PM_Angle!$K$16*$C233+PM_Angle!$L$16*$B233</f>
      </c>
      <c r="AC233" s="12">
        <f>IF(AB233&gt;0,IF(AB233&lt;=eco,alpha*fck*(1-(1-AB233/eco)^n),alpha*fck),0)</f>
      </c>
      <c r="AD233" s="30">
        <f>PM_Angle!$J$17+PM_Angle!$K$17*$C233+PM_Angle!$L$17*$B233</f>
      </c>
      <c r="AE233" s="12">
        <f>IF(AD233&gt;0,IF(AD233&lt;=eco,alpha*fck*(1-(1-AD233/eco)^n),alpha*fck),0)</f>
      </c>
      <c r="AF233" s="30">
        <f>PM_Angle!$J$18+PM_Angle!$K$18*$C233+PM_Angle!$L$18*$B233</f>
      </c>
      <c r="AG233" s="12">
        <f>IF(AF233&gt;0,IF(AF233&lt;=eco,alpha*fck*(1-(1-AF233/eco)^n),alpha*fck),0)</f>
      </c>
      <c r="AH233" s="30">
        <f>PM_Angle!$J$19+PM_Angle!$K$19*$C233+PM_Angle!$L$19*$B233</f>
      </c>
      <c r="AI233" s="12">
        <f>IF(AH233&gt;0,IF(AH233&lt;=eco,alpha*fck*(1-(1-AH233/eco)^n),alpha*fck),0)</f>
      </c>
      <c r="AJ233" s="30">
        <f>PM_Angle!$J$20+PM_Angle!$K$20*$C233+PM_Angle!$L$20*$B233</f>
      </c>
      <c r="AK233" s="12">
        <f>IF(AJ233&gt;0,IF(AJ233&lt;=eco,alpha*fck*(1-(1-AJ233/eco)^n),alpha*fck),0)</f>
      </c>
      <c r="AL233" s="30">
        <f>PM_Angle!$J$21+PM_Angle!$K$21*$C233+PM_Angle!$L$21*$B233</f>
      </c>
      <c r="AM233" s="12">
        <f>IF(AL233&gt;0,IF(AL233&lt;=eco,alpha*fck*(1-(1-AL233/eco)^n),alpha*fck),0)</f>
      </c>
      <c r="AN233" s="30">
        <f>PM_Angle!$J$22+PM_Angle!$K$22*$C233+PM_Angle!$L$22*$B233</f>
      </c>
      <c r="AO233" s="12">
        <f>IF(AN233&gt;0,IF(AN233&lt;=eco,alpha*fck*(1-(1-AN233/eco)^n),alpha*fck),0)</f>
      </c>
      <c r="AP233" s="30">
        <f>PM_Angle!$J$23+PM_Angle!$K$23*$C233+PM_Angle!$L$23*$B233</f>
      </c>
      <c r="AQ233" s="12">
        <f>IF(AP233&gt;0,IF(AP233&lt;=eco,alpha*fck*(1-(1-AP233/eco)^n),alpha*fck),0)</f>
      </c>
      <c r="AR233" s="30">
        <f>PM_Angle!$J$24+PM_Angle!$K$24*$C233+PM_Angle!$L$24*$B233</f>
      </c>
      <c r="AS233" s="12">
        <f>IF(AR233&gt;0,IF(AR233&lt;=eco,alpha*fck*(1-(1-AR233/eco)^n),alpha*fck),0)</f>
      </c>
      <c r="AT233" s="30">
        <f>PM_Angle!$J$25+PM_Angle!$K$25*$C233+PM_Angle!$L$25*$B233</f>
      </c>
      <c r="AU233" s="12">
        <f>IF(AT233&gt;0,IF(AT233&lt;=eco,alpha*fck*(1-(1-AT233/eco)^n),alpha*fck),0)</f>
      </c>
    </row>
    <row r="234" spans="1:47" x14ac:dyDescent="0.25">
      <c r="A234">
        <f>Mesh!A231</f>
      </c>
      <c r="B234" s="12">
        <f>Mesh!B231</f>
      </c>
      <c r="C234" s="12">
        <f>Mesh!C231</f>
      </c>
      <c r="D234" s="12">
        <f>Mesh!D231</f>
      </c>
      <c r="E234" s="30">
        <f>INDEX(St_e0,Det+1)+INDEX(St_kx,Det+1)*C234+INDEX(St_ky,Det+1)*B234</f>
      </c>
      <c r="F234" s="12">
        <f>IF(E234&gt;0,IF(E234&lt;=eco,alpha*fck*(1-(1-E234/eco)^n),alpha*fck),0)</f>
      </c>
      <c r="G234" s="11">
        <f>F234*D234</f>
      </c>
      <c r="H234" s="11">
        <f>G234*C234</f>
      </c>
      <c r="I234" s="11">
        <f>G234*B234</f>
      </c>
      <c r="J234" s="30">
        <f>PM_Angle!$J$7+PM_Angle!$K$7*$C234+PM_Angle!$L$7*$B234</f>
      </c>
      <c r="K234" s="12">
        <f>IF(J234&gt;0,IF(J234&lt;=eco,alpha*fck*(1-(1-J234/eco)^n),alpha*fck),0)</f>
      </c>
      <c r="L234" s="30">
        <f>PM_Angle!$J$8+PM_Angle!$K$8*$C234+PM_Angle!$L$8*$B234</f>
      </c>
      <c r="M234" s="12">
        <f>IF(L234&gt;0,IF(L234&lt;=eco,alpha*fck*(1-(1-L234/eco)^n),alpha*fck),0)</f>
      </c>
      <c r="N234" s="30">
        <f>PM_Angle!$J$9+PM_Angle!$K$9*$C234+PM_Angle!$L$9*$B234</f>
      </c>
      <c r="O234" s="12">
        <f>IF(N234&gt;0,IF(N234&lt;=eco,alpha*fck*(1-(1-N234/eco)^n),alpha*fck),0)</f>
      </c>
      <c r="P234" s="30">
        <f>PM_Angle!$J$10+PM_Angle!$K$10*$C234+PM_Angle!$L$10*$B234</f>
      </c>
      <c r="Q234" s="12">
        <f>IF(P234&gt;0,IF(P234&lt;=eco,alpha*fck*(1-(1-P234/eco)^n),alpha*fck),0)</f>
      </c>
      <c r="R234" s="30">
        <f>PM_Angle!$J$11+PM_Angle!$K$11*$C234+PM_Angle!$L$11*$B234</f>
      </c>
      <c r="S234" s="12">
        <f>IF(R234&gt;0,IF(R234&lt;=eco,alpha*fck*(1-(1-R234/eco)^n),alpha*fck),0)</f>
      </c>
      <c r="T234" s="30">
        <f>PM_Angle!$J$12+PM_Angle!$K$12*$C234+PM_Angle!$L$12*$B234</f>
      </c>
      <c r="U234" s="12">
        <f>IF(T234&gt;0,IF(T234&lt;=eco,alpha*fck*(1-(1-T234/eco)^n),alpha*fck),0)</f>
      </c>
      <c r="V234" s="30">
        <f>PM_Angle!$J$13+PM_Angle!$K$13*$C234+PM_Angle!$L$13*$B234</f>
      </c>
      <c r="W234" s="12">
        <f>IF(V234&gt;0,IF(V234&lt;=eco,alpha*fck*(1-(1-V234/eco)^n),alpha*fck),0)</f>
      </c>
      <c r="X234" s="30">
        <f>PM_Angle!$J$14+PM_Angle!$K$14*$C234+PM_Angle!$L$14*$B234</f>
      </c>
      <c r="Y234" s="12">
        <f>IF(X234&gt;0,IF(X234&lt;=eco,alpha*fck*(1-(1-X234/eco)^n),alpha*fck),0)</f>
      </c>
      <c r="Z234" s="30">
        <f>PM_Angle!$J$15+PM_Angle!$K$15*$C234+PM_Angle!$L$15*$B234</f>
      </c>
      <c r="AA234" s="12">
        <f>IF(Z234&gt;0,IF(Z234&lt;=eco,alpha*fck*(1-(1-Z234/eco)^n),alpha*fck),0)</f>
      </c>
      <c r="AB234" s="30">
        <f>PM_Angle!$J$16+PM_Angle!$K$16*$C234+PM_Angle!$L$16*$B234</f>
      </c>
      <c r="AC234" s="12">
        <f>IF(AB234&gt;0,IF(AB234&lt;=eco,alpha*fck*(1-(1-AB234/eco)^n),alpha*fck),0)</f>
      </c>
      <c r="AD234" s="30">
        <f>PM_Angle!$J$17+PM_Angle!$K$17*$C234+PM_Angle!$L$17*$B234</f>
      </c>
      <c r="AE234" s="12">
        <f>IF(AD234&gt;0,IF(AD234&lt;=eco,alpha*fck*(1-(1-AD234/eco)^n),alpha*fck),0)</f>
      </c>
      <c r="AF234" s="30">
        <f>PM_Angle!$J$18+PM_Angle!$K$18*$C234+PM_Angle!$L$18*$B234</f>
      </c>
      <c r="AG234" s="12">
        <f>IF(AF234&gt;0,IF(AF234&lt;=eco,alpha*fck*(1-(1-AF234/eco)^n),alpha*fck),0)</f>
      </c>
      <c r="AH234" s="30">
        <f>PM_Angle!$J$19+PM_Angle!$K$19*$C234+PM_Angle!$L$19*$B234</f>
      </c>
      <c r="AI234" s="12">
        <f>IF(AH234&gt;0,IF(AH234&lt;=eco,alpha*fck*(1-(1-AH234/eco)^n),alpha*fck),0)</f>
      </c>
      <c r="AJ234" s="30">
        <f>PM_Angle!$J$20+PM_Angle!$K$20*$C234+PM_Angle!$L$20*$B234</f>
      </c>
      <c r="AK234" s="12">
        <f>IF(AJ234&gt;0,IF(AJ234&lt;=eco,alpha*fck*(1-(1-AJ234/eco)^n),alpha*fck),0)</f>
      </c>
      <c r="AL234" s="30">
        <f>PM_Angle!$J$21+PM_Angle!$K$21*$C234+PM_Angle!$L$21*$B234</f>
      </c>
      <c r="AM234" s="12">
        <f>IF(AL234&gt;0,IF(AL234&lt;=eco,alpha*fck*(1-(1-AL234/eco)^n),alpha*fck),0)</f>
      </c>
      <c r="AN234" s="30">
        <f>PM_Angle!$J$22+PM_Angle!$K$22*$C234+PM_Angle!$L$22*$B234</f>
      </c>
      <c r="AO234" s="12">
        <f>IF(AN234&gt;0,IF(AN234&lt;=eco,alpha*fck*(1-(1-AN234/eco)^n),alpha*fck),0)</f>
      </c>
      <c r="AP234" s="30">
        <f>PM_Angle!$J$23+PM_Angle!$K$23*$C234+PM_Angle!$L$23*$B234</f>
      </c>
      <c r="AQ234" s="12">
        <f>IF(AP234&gt;0,IF(AP234&lt;=eco,alpha*fck*(1-(1-AP234/eco)^n),alpha*fck),0)</f>
      </c>
      <c r="AR234" s="30">
        <f>PM_Angle!$J$24+PM_Angle!$K$24*$C234+PM_Angle!$L$24*$B234</f>
      </c>
      <c r="AS234" s="12">
        <f>IF(AR234&gt;0,IF(AR234&lt;=eco,alpha*fck*(1-(1-AR234/eco)^n),alpha*fck),0)</f>
      </c>
      <c r="AT234" s="30">
        <f>PM_Angle!$J$25+PM_Angle!$K$25*$C234+PM_Angle!$L$25*$B234</f>
      </c>
      <c r="AU234" s="12">
        <f>IF(AT234&gt;0,IF(AT234&lt;=eco,alpha*fck*(1-(1-AT234/eco)^n),alpha*fck),0)</f>
      </c>
    </row>
    <row r="235" spans="1:47" x14ac:dyDescent="0.25">
      <c r="A235">
        <f>Mesh!A232</f>
      </c>
      <c r="B235" s="12">
        <f>Mesh!B232</f>
      </c>
      <c r="C235" s="12">
        <f>Mesh!C232</f>
      </c>
      <c r="D235" s="12">
        <f>Mesh!D232</f>
      </c>
      <c r="E235" s="30">
        <f>INDEX(St_e0,Det+1)+INDEX(St_kx,Det+1)*C235+INDEX(St_ky,Det+1)*B235</f>
      </c>
      <c r="F235" s="12">
        <f>IF(E235&gt;0,IF(E235&lt;=eco,alpha*fck*(1-(1-E235/eco)^n),alpha*fck),0)</f>
      </c>
      <c r="G235" s="11">
        <f>F235*D235</f>
      </c>
      <c r="H235" s="11">
        <f>G235*C235</f>
      </c>
      <c r="I235" s="11">
        <f>G235*B235</f>
      </c>
      <c r="J235" s="30">
        <f>PM_Angle!$J$7+PM_Angle!$K$7*$C235+PM_Angle!$L$7*$B235</f>
      </c>
      <c r="K235" s="12">
        <f>IF(J235&gt;0,IF(J235&lt;=eco,alpha*fck*(1-(1-J235/eco)^n),alpha*fck),0)</f>
      </c>
      <c r="L235" s="30">
        <f>PM_Angle!$J$8+PM_Angle!$K$8*$C235+PM_Angle!$L$8*$B235</f>
      </c>
      <c r="M235" s="12">
        <f>IF(L235&gt;0,IF(L235&lt;=eco,alpha*fck*(1-(1-L235/eco)^n),alpha*fck),0)</f>
      </c>
      <c r="N235" s="30">
        <f>PM_Angle!$J$9+PM_Angle!$K$9*$C235+PM_Angle!$L$9*$B235</f>
      </c>
      <c r="O235" s="12">
        <f>IF(N235&gt;0,IF(N235&lt;=eco,alpha*fck*(1-(1-N235/eco)^n),alpha*fck),0)</f>
      </c>
      <c r="P235" s="30">
        <f>PM_Angle!$J$10+PM_Angle!$K$10*$C235+PM_Angle!$L$10*$B235</f>
      </c>
      <c r="Q235" s="12">
        <f>IF(P235&gt;0,IF(P235&lt;=eco,alpha*fck*(1-(1-P235/eco)^n),alpha*fck),0)</f>
      </c>
      <c r="R235" s="30">
        <f>PM_Angle!$J$11+PM_Angle!$K$11*$C235+PM_Angle!$L$11*$B235</f>
      </c>
      <c r="S235" s="12">
        <f>IF(R235&gt;0,IF(R235&lt;=eco,alpha*fck*(1-(1-R235/eco)^n),alpha*fck),0)</f>
      </c>
      <c r="T235" s="30">
        <f>PM_Angle!$J$12+PM_Angle!$K$12*$C235+PM_Angle!$L$12*$B235</f>
      </c>
      <c r="U235" s="12">
        <f>IF(T235&gt;0,IF(T235&lt;=eco,alpha*fck*(1-(1-T235/eco)^n),alpha*fck),0)</f>
      </c>
      <c r="V235" s="30">
        <f>PM_Angle!$J$13+PM_Angle!$K$13*$C235+PM_Angle!$L$13*$B235</f>
      </c>
      <c r="W235" s="12">
        <f>IF(V235&gt;0,IF(V235&lt;=eco,alpha*fck*(1-(1-V235/eco)^n),alpha*fck),0)</f>
      </c>
      <c r="X235" s="30">
        <f>PM_Angle!$J$14+PM_Angle!$K$14*$C235+PM_Angle!$L$14*$B235</f>
      </c>
      <c r="Y235" s="12">
        <f>IF(X235&gt;0,IF(X235&lt;=eco,alpha*fck*(1-(1-X235/eco)^n),alpha*fck),0)</f>
      </c>
      <c r="Z235" s="30">
        <f>PM_Angle!$J$15+PM_Angle!$K$15*$C235+PM_Angle!$L$15*$B235</f>
      </c>
      <c r="AA235" s="12">
        <f>IF(Z235&gt;0,IF(Z235&lt;=eco,alpha*fck*(1-(1-Z235/eco)^n),alpha*fck),0)</f>
      </c>
      <c r="AB235" s="30">
        <f>PM_Angle!$J$16+PM_Angle!$K$16*$C235+PM_Angle!$L$16*$B235</f>
      </c>
      <c r="AC235" s="12">
        <f>IF(AB235&gt;0,IF(AB235&lt;=eco,alpha*fck*(1-(1-AB235/eco)^n),alpha*fck),0)</f>
      </c>
      <c r="AD235" s="30">
        <f>PM_Angle!$J$17+PM_Angle!$K$17*$C235+PM_Angle!$L$17*$B235</f>
      </c>
      <c r="AE235" s="12">
        <f>IF(AD235&gt;0,IF(AD235&lt;=eco,alpha*fck*(1-(1-AD235/eco)^n),alpha*fck),0)</f>
      </c>
      <c r="AF235" s="30">
        <f>PM_Angle!$J$18+PM_Angle!$K$18*$C235+PM_Angle!$L$18*$B235</f>
      </c>
      <c r="AG235" s="12">
        <f>IF(AF235&gt;0,IF(AF235&lt;=eco,alpha*fck*(1-(1-AF235/eco)^n),alpha*fck),0)</f>
      </c>
      <c r="AH235" s="30">
        <f>PM_Angle!$J$19+PM_Angle!$K$19*$C235+PM_Angle!$L$19*$B235</f>
      </c>
      <c r="AI235" s="12">
        <f>IF(AH235&gt;0,IF(AH235&lt;=eco,alpha*fck*(1-(1-AH235/eco)^n),alpha*fck),0)</f>
      </c>
      <c r="AJ235" s="30">
        <f>PM_Angle!$J$20+PM_Angle!$K$20*$C235+PM_Angle!$L$20*$B235</f>
      </c>
      <c r="AK235" s="12">
        <f>IF(AJ235&gt;0,IF(AJ235&lt;=eco,alpha*fck*(1-(1-AJ235/eco)^n),alpha*fck),0)</f>
      </c>
      <c r="AL235" s="30">
        <f>PM_Angle!$J$21+PM_Angle!$K$21*$C235+PM_Angle!$L$21*$B235</f>
      </c>
      <c r="AM235" s="12">
        <f>IF(AL235&gt;0,IF(AL235&lt;=eco,alpha*fck*(1-(1-AL235/eco)^n),alpha*fck),0)</f>
      </c>
      <c r="AN235" s="30">
        <f>PM_Angle!$J$22+PM_Angle!$K$22*$C235+PM_Angle!$L$22*$B235</f>
      </c>
      <c r="AO235" s="12">
        <f>IF(AN235&gt;0,IF(AN235&lt;=eco,alpha*fck*(1-(1-AN235/eco)^n),alpha*fck),0)</f>
      </c>
      <c r="AP235" s="30">
        <f>PM_Angle!$J$23+PM_Angle!$K$23*$C235+PM_Angle!$L$23*$B235</f>
      </c>
      <c r="AQ235" s="12">
        <f>IF(AP235&gt;0,IF(AP235&lt;=eco,alpha*fck*(1-(1-AP235/eco)^n),alpha*fck),0)</f>
      </c>
      <c r="AR235" s="30">
        <f>PM_Angle!$J$24+PM_Angle!$K$24*$C235+PM_Angle!$L$24*$B235</f>
      </c>
      <c r="AS235" s="12">
        <f>IF(AR235&gt;0,IF(AR235&lt;=eco,alpha*fck*(1-(1-AR235/eco)^n),alpha*fck),0)</f>
      </c>
      <c r="AT235" s="30">
        <f>PM_Angle!$J$25+PM_Angle!$K$25*$C235+PM_Angle!$L$25*$B235</f>
      </c>
      <c r="AU235" s="12">
        <f>IF(AT235&gt;0,IF(AT235&lt;=eco,alpha*fck*(1-(1-AT235/eco)^n),alpha*fck),0)</f>
      </c>
    </row>
    <row r="236" spans="1:47" x14ac:dyDescent="0.25">
      <c r="A236">
        <f>Mesh!A233</f>
      </c>
      <c r="B236" s="12">
        <f>Mesh!B233</f>
      </c>
      <c r="C236" s="12">
        <f>Mesh!C233</f>
      </c>
      <c r="D236" s="12">
        <f>Mesh!D233</f>
      </c>
      <c r="E236" s="30">
        <f>INDEX(St_e0,Det+1)+INDEX(St_kx,Det+1)*C236+INDEX(St_ky,Det+1)*B236</f>
      </c>
      <c r="F236" s="12">
        <f>IF(E236&gt;0,IF(E236&lt;=eco,alpha*fck*(1-(1-E236/eco)^n),alpha*fck),0)</f>
      </c>
      <c r="G236" s="11">
        <f>F236*D236</f>
      </c>
      <c r="H236" s="11">
        <f>G236*C236</f>
      </c>
      <c r="I236" s="11">
        <f>G236*B236</f>
      </c>
      <c r="J236" s="30">
        <f>PM_Angle!$J$7+PM_Angle!$K$7*$C236+PM_Angle!$L$7*$B236</f>
      </c>
      <c r="K236" s="12">
        <f>IF(J236&gt;0,IF(J236&lt;=eco,alpha*fck*(1-(1-J236/eco)^n),alpha*fck),0)</f>
      </c>
      <c r="L236" s="30">
        <f>PM_Angle!$J$8+PM_Angle!$K$8*$C236+PM_Angle!$L$8*$B236</f>
      </c>
      <c r="M236" s="12">
        <f>IF(L236&gt;0,IF(L236&lt;=eco,alpha*fck*(1-(1-L236/eco)^n),alpha*fck),0)</f>
      </c>
      <c r="N236" s="30">
        <f>PM_Angle!$J$9+PM_Angle!$K$9*$C236+PM_Angle!$L$9*$B236</f>
      </c>
      <c r="O236" s="12">
        <f>IF(N236&gt;0,IF(N236&lt;=eco,alpha*fck*(1-(1-N236/eco)^n),alpha*fck),0)</f>
      </c>
      <c r="P236" s="30">
        <f>PM_Angle!$J$10+PM_Angle!$K$10*$C236+PM_Angle!$L$10*$B236</f>
      </c>
      <c r="Q236" s="12">
        <f>IF(P236&gt;0,IF(P236&lt;=eco,alpha*fck*(1-(1-P236/eco)^n),alpha*fck),0)</f>
      </c>
      <c r="R236" s="30">
        <f>PM_Angle!$J$11+PM_Angle!$K$11*$C236+PM_Angle!$L$11*$B236</f>
      </c>
      <c r="S236" s="12">
        <f>IF(R236&gt;0,IF(R236&lt;=eco,alpha*fck*(1-(1-R236/eco)^n),alpha*fck),0)</f>
      </c>
      <c r="T236" s="30">
        <f>PM_Angle!$J$12+PM_Angle!$K$12*$C236+PM_Angle!$L$12*$B236</f>
      </c>
      <c r="U236" s="12">
        <f>IF(T236&gt;0,IF(T236&lt;=eco,alpha*fck*(1-(1-T236/eco)^n),alpha*fck),0)</f>
      </c>
      <c r="V236" s="30">
        <f>PM_Angle!$J$13+PM_Angle!$K$13*$C236+PM_Angle!$L$13*$B236</f>
      </c>
      <c r="W236" s="12">
        <f>IF(V236&gt;0,IF(V236&lt;=eco,alpha*fck*(1-(1-V236/eco)^n),alpha*fck),0)</f>
      </c>
      <c r="X236" s="30">
        <f>PM_Angle!$J$14+PM_Angle!$K$14*$C236+PM_Angle!$L$14*$B236</f>
      </c>
      <c r="Y236" s="12">
        <f>IF(X236&gt;0,IF(X236&lt;=eco,alpha*fck*(1-(1-X236/eco)^n),alpha*fck),0)</f>
      </c>
      <c r="Z236" s="30">
        <f>PM_Angle!$J$15+PM_Angle!$K$15*$C236+PM_Angle!$L$15*$B236</f>
      </c>
      <c r="AA236" s="12">
        <f>IF(Z236&gt;0,IF(Z236&lt;=eco,alpha*fck*(1-(1-Z236/eco)^n),alpha*fck),0)</f>
      </c>
      <c r="AB236" s="30">
        <f>PM_Angle!$J$16+PM_Angle!$K$16*$C236+PM_Angle!$L$16*$B236</f>
      </c>
      <c r="AC236" s="12">
        <f>IF(AB236&gt;0,IF(AB236&lt;=eco,alpha*fck*(1-(1-AB236/eco)^n),alpha*fck),0)</f>
      </c>
      <c r="AD236" s="30">
        <f>PM_Angle!$J$17+PM_Angle!$K$17*$C236+PM_Angle!$L$17*$B236</f>
      </c>
      <c r="AE236" s="12">
        <f>IF(AD236&gt;0,IF(AD236&lt;=eco,alpha*fck*(1-(1-AD236/eco)^n),alpha*fck),0)</f>
      </c>
      <c r="AF236" s="30">
        <f>PM_Angle!$J$18+PM_Angle!$K$18*$C236+PM_Angle!$L$18*$B236</f>
      </c>
      <c r="AG236" s="12">
        <f>IF(AF236&gt;0,IF(AF236&lt;=eco,alpha*fck*(1-(1-AF236/eco)^n),alpha*fck),0)</f>
      </c>
      <c r="AH236" s="30">
        <f>PM_Angle!$J$19+PM_Angle!$K$19*$C236+PM_Angle!$L$19*$B236</f>
      </c>
      <c r="AI236" s="12">
        <f>IF(AH236&gt;0,IF(AH236&lt;=eco,alpha*fck*(1-(1-AH236/eco)^n),alpha*fck),0)</f>
      </c>
      <c r="AJ236" s="30">
        <f>PM_Angle!$J$20+PM_Angle!$K$20*$C236+PM_Angle!$L$20*$B236</f>
      </c>
      <c r="AK236" s="12">
        <f>IF(AJ236&gt;0,IF(AJ236&lt;=eco,alpha*fck*(1-(1-AJ236/eco)^n),alpha*fck),0)</f>
      </c>
      <c r="AL236" s="30">
        <f>PM_Angle!$J$21+PM_Angle!$K$21*$C236+PM_Angle!$L$21*$B236</f>
      </c>
      <c r="AM236" s="12">
        <f>IF(AL236&gt;0,IF(AL236&lt;=eco,alpha*fck*(1-(1-AL236/eco)^n),alpha*fck),0)</f>
      </c>
      <c r="AN236" s="30">
        <f>PM_Angle!$J$22+PM_Angle!$K$22*$C236+PM_Angle!$L$22*$B236</f>
      </c>
      <c r="AO236" s="12">
        <f>IF(AN236&gt;0,IF(AN236&lt;=eco,alpha*fck*(1-(1-AN236/eco)^n),alpha*fck),0)</f>
      </c>
      <c r="AP236" s="30">
        <f>PM_Angle!$J$23+PM_Angle!$K$23*$C236+PM_Angle!$L$23*$B236</f>
      </c>
      <c r="AQ236" s="12">
        <f>IF(AP236&gt;0,IF(AP236&lt;=eco,alpha*fck*(1-(1-AP236/eco)^n),alpha*fck),0)</f>
      </c>
      <c r="AR236" s="30">
        <f>PM_Angle!$J$24+PM_Angle!$K$24*$C236+PM_Angle!$L$24*$B236</f>
      </c>
      <c r="AS236" s="12">
        <f>IF(AR236&gt;0,IF(AR236&lt;=eco,alpha*fck*(1-(1-AR236/eco)^n),alpha*fck),0)</f>
      </c>
      <c r="AT236" s="30">
        <f>PM_Angle!$J$25+PM_Angle!$K$25*$C236+PM_Angle!$L$25*$B236</f>
      </c>
      <c r="AU236" s="12">
        <f>IF(AT236&gt;0,IF(AT236&lt;=eco,alpha*fck*(1-(1-AT236/eco)^n),alpha*fck),0)</f>
      </c>
    </row>
    <row r="237" spans="1:47" x14ac:dyDescent="0.25">
      <c r="A237">
        <f>Mesh!A234</f>
      </c>
      <c r="B237" s="12">
        <f>Mesh!B234</f>
      </c>
      <c r="C237" s="12">
        <f>Mesh!C234</f>
      </c>
      <c r="D237" s="12">
        <f>Mesh!D234</f>
      </c>
      <c r="E237" s="30">
        <f>INDEX(St_e0,Det+1)+INDEX(St_kx,Det+1)*C237+INDEX(St_ky,Det+1)*B237</f>
      </c>
      <c r="F237" s="12">
        <f>IF(E237&gt;0,IF(E237&lt;=eco,alpha*fck*(1-(1-E237/eco)^n),alpha*fck),0)</f>
      </c>
      <c r="G237" s="11">
        <f>F237*D237</f>
      </c>
      <c r="H237" s="11">
        <f>G237*C237</f>
      </c>
      <c r="I237" s="11">
        <f>G237*B237</f>
      </c>
      <c r="J237" s="30">
        <f>PM_Angle!$J$7+PM_Angle!$K$7*$C237+PM_Angle!$L$7*$B237</f>
      </c>
      <c r="K237" s="12">
        <f>IF(J237&gt;0,IF(J237&lt;=eco,alpha*fck*(1-(1-J237/eco)^n),alpha*fck),0)</f>
      </c>
      <c r="L237" s="30">
        <f>PM_Angle!$J$8+PM_Angle!$K$8*$C237+PM_Angle!$L$8*$B237</f>
      </c>
      <c r="M237" s="12">
        <f>IF(L237&gt;0,IF(L237&lt;=eco,alpha*fck*(1-(1-L237/eco)^n),alpha*fck),0)</f>
      </c>
      <c r="N237" s="30">
        <f>PM_Angle!$J$9+PM_Angle!$K$9*$C237+PM_Angle!$L$9*$B237</f>
      </c>
      <c r="O237" s="12">
        <f>IF(N237&gt;0,IF(N237&lt;=eco,alpha*fck*(1-(1-N237/eco)^n),alpha*fck),0)</f>
      </c>
      <c r="P237" s="30">
        <f>PM_Angle!$J$10+PM_Angle!$K$10*$C237+PM_Angle!$L$10*$B237</f>
      </c>
      <c r="Q237" s="12">
        <f>IF(P237&gt;0,IF(P237&lt;=eco,alpha*fck*(1-(1-P237/eco)^n),alpha*fck),0)</f>
      </c>
      <c r="R237" s="30">
        <f>PM_Angle!$J$11+PM_Angle!$K$11*$C237+PM_Angle!$L$11*$B237</f>
      </c>
      <c r="S237" s="12">
        <f>IF(R237&gt;0,IF(R237&lt;=eco,alpha*fck*(1-(1-R237/eco)^n),alpha*fck),0)</f>
      </c>
      <c r="T237" s="30">
        <f>PM_Angle!$J$12+PM_Angle!$K$12*$C237+PM_Angle!$L$12*$B237</f>
      </c>
      <c r="U237" s="12">
        <f>IF(T237&gt;0,IF(T237&lt;=eco,alpha*fck*(1-(1-T237/eco)^n),alpha*fck),0)</f>
      </c>
      <c r="V237" s="30">
        <f>PM_Angle!$J$13+PM_Angle!$K$13*$C237+PM_Angle!$L$13*$B237</f>
      </c>
      <c r="W237" s="12">
        <f>IF(V237&gt;0,IF(V237&lt;=eco,alpha*fck*(1-(1-V237/eco)^n),alpha*fck),0)</f>
      </c>
      <c r="X237" s="30">
        <f>PM_Angle!$J$14+PM_Angle!$K$14*$C237+PM_Angle!$L$14*$B237</f>
      </c>
      <c r="Y237" s="12">
        <f>IF(X237&gt;0,IF(X237&lt;=eco,alpha*fck*(1-(1-X237/eco)^n),alpha*fck),0)</f>
      </c>
      <c r="Z237" s="30">
        <f>PM_Angle!$J$15+PM_Angle!$K$15*$C237+PM_Angle!$L$15*$B237</f>
      </c>
      <c r="AA237" s="12">
        <f>IF(Z237&gt;0,IF(Z237&lt;=eco,alpha*fck*(1-(1-Z237/eco)^n),alpha*fck),0)</f>
      </c>
      <c r="AB237" s="30">
        <f>PM_Angle!$J$16+PM_Angle!$K$16*$C237+PM_Angle!$L$16*$B237</f>
      </c>
      <c r="AC237" s="12">
        <f>IF(AB237&gt;0,IF(AB237&lt;=eco,alpha*fck*(1-(1-AB237/eco)^n),alpha*fck),0)</f>
      </c>
      <c r="AD237" s="30">
        <f>PM_Angle!$J$17+PM_Angle!$K$17*$C237+PM_Angle!$L$17*$B237</f>
      </c>
      <c r="AE237" s="12">
        <f>IF(AD237&gt;0,IF(AD237&lt;=eco,alpha*fck*(1-(1-AD237/eco)^n),alpha*fck),0)</f>
      </c>
      <c r="AF237" s="30">
        <f>PM_Angle!$J$18+PM_Angle!$K$18*$C237+PM_Angle!$L$18*$B237</f>
      </c>
      <c r="AG237" s="12">
        <f>IF(AF237&gt;0,IF(AF237&lt;=eco,alpha*fck*(1-(1-AF237/eco)^n),alpha*fck),0)</f>
      </c>
      <c r="AH237" s="30">
        <f>PM_Angle!$J$19+PM_Angle!$K$19*$C237+PM_Angle!$L$19*$B237</f>
      </c>
      <c r="AI237" s="12">
        <f>IF(AH237&gt;0,IF(AH237&lt;=eco,alpha*fck*(1-(1-AH237/eco)^n),alpha*fck),0)</f>
      </c>
      <c r="AJ237" s="30">
        <f>PM_Angle!$J$20+PM_Angle!$K$20*$C237+PM_Angle!$L$20*$B237</f>
      </c>
      <c r="AK237" s="12">
        <f>IF(AJ237&gt;0,IF(AJ237&lt;=eco,alpha*fck*(1-(1-AJ237/eco)^n),alpha*fck),0)</f>
      </c>
      <c r="AL237" s="30">
        <f>PM_Angle!$J$21+PM_Angle!$K$21*$C237+PM_Angle!$L$21*$B237</f>
      </c>
      <c r="AM237" s="12">
        <f>IF(AL237&gt;0,IF(AL237&lt;=eco,alpha*fck*(1-(1-AL237/eco)^n),alpha*fck),0)</f>
      </c>
      <c r="AN237" s="30">
        <f>PM_Angle!$J$22+PM_Angle!$K$22*$C237+PM_Angle!$L$22*$B237</f>
      </c>
      <c r="AO237" s="12">
        <f>IF(AN237&gt;0,IF(AN237&lt;=eco,alpha*fck*(1-(1-AN237/eco)^n),alpha*fck),0)</f>
      </c>
      <c r="AP237" s="30">
        <f>PM_Angle!$J$23+PM_Angle!$K$23*$C237+PM_Angle!$L$23*$B237</f>
      </c>
      <c r="AQ237" s="12">
        <f>IF(AP237&gt;0,IF(AP237&lt;=eco,alpha*fck*(1-(1-AP237/eco)^n),alpha*fck),0)</f>
      </c>
      <c r="AR237" s="30">
        <f>PM_Angle!$J$24+PM_Angle!$K$24*$C237+PM_Angle!$L$24*$B237</f>
      </c>
      <c r="AS237" s="12">
        <f>IF(AR237&gt;0,IF(AR237&lt;=eco,alpha*fck*(1-(1-AR237/eco)^n),alpha*fck),0)</f>
      </c>
      <c r="AT237" s="30">
        <f>PM_Angle!$J$25+PM_Angle!$K$25*$C237+PM_Angle!$L$25*$B237</f>
      </c>
      <c r="AU237" s="12">
        <f>IF(AT237&gt;0,IF(AT237&lt;=eco,alpha*fck*(1-(1-AT237/eco)^n),alpha*fck),0)</f>
      </c>
    </row>
    <row r="238" spans="1:47" x14ac:dyDescent="0.25">
      <c r="A238">
        <f>Mesh!A235</f>
      </c>
      <c r="B238" s="12">
        <f>Mesh!B235</f>
      </c>
      <c r="C238" s="12">
        <f>Mesh!C235</f>
      </c>
      <c r="D238" s="12">
        <f>Mesh!D235</f>
      </c>
      <c r="E238" s="30">
        <f>INDEX(St_e0,Det+1)+INDEX(St_kx,Det+1)*C238+INDEX(St_ky,Det+1)*B238</f>
      </c>
      <c r="F238" s="12">
        <f>IF(E238&gt;0,IF(E238&lt;=eco,alpha*fck*(1-(1-E238/eco)^n),alpha*fck),0)</f>
      </c>
      <c r="G238" s="11">
        <f>F238*D238</f>
      </c>
      <c r="H238" s="11">
        <f>G238*C238</f>
      </c>
      <c r="I238" s="11">
        <f>G238*B238</f>
      </c>
      <c r="J238" s="30">
        <f>PM_Angle!$J$7+PM_Angle!$K$7*$C238+PM_Angle!$L$7*$B238</f>
      </c>
      <c r="K238" s="12">
        <f>IF(J238&gt;0,IF(J238&lt;=eco,alpha*fck*(1-(1-J238/eco)^n),alpha*fck),0)</f>
      </c>
      <c r="L238" s="30">
        <f>PM_Angle!$J$8+PM_Angle!$K$8*$C238+PM_Angle!$L$8*$B238</f>
      </c>
      <c r="M238" s="12">
        <f>IF(L238&gt;0,IF(L238&lt;=eco,alpha*fck*(1-(1-L238/eco)^n),alpha*fck),0)</f>
      </c>
      <c r="N238" s="30">
        <f>PM_Angle!$J$9+PM_Angle!$K$9*$C238+PM_Angle!$L$9*$B238</f>
      </c>
      <c r="O238" s="12">
        <f>IF(N238&gt;0,IF(N238&lt;=eco,alpha*fck*(1-(1-N238/eco)^n),alpha*fck),0)</f>
      </c>
      <c r="P238" s="30">
        <f>PM_Angle!$J$10+PM_Angle!$K$10*$C238+PM_Angle!$L$10*$B238</f>
      </c>
      <c r="Q238" s="12">
        <f>IF(P238&gt;0,IF(P238&lt;=eco,alpha*fck*(1-(1-P238/eco)^n),alpha*fck),0)</f>
      </c>
      <c r="R238" s="30">
        <f>PM_Angle!$J$11+PM_Angle!$K$11*$C238+PM_Angle!$L$11*$B238</f>
      </c>
      <c r="S238" s="12">
        <f>IF(R238&gt;0,IF(R238&lt;=eco,alpha*fck*(1-(1-R238/eco)^n),alpha*fck),0)</f>
      </c>
      <c r="T238" s="30">
        <f>PM_Angle!$J$12+PM_Angle!$K$12*$C238+PM_Angle!$L$12*$B238</f>
      </c>
      <c r="U238" s="12">
        <f>IF(T238&gt;0,IF(T238&lt;=eco,alpha*fck*(1-(1-T238/eco)^n),alpha*fck),0)</f>
      </c>
      <c r="V238" s="30">
        <f>PM_Angle!$J$13+PM_Angle!$K$13*$C238+PM_Angle!$L$13*$B238</f>
      </c>
      <c r="W238" s="12">
        <f>IF(V238&gt;0,IF(V238&lt;=eco,alpha*fck*(1-(1-V238/eco)^n),alpha*fck),0)</f>
      </c>
      <c r="X238" s="30">
        <f>PM_Angle!$J$14+PM_Angle!$K$14*$C238+PM_Angle!$L$14*$B238</f>
      </c>
      <c r="Y238" s="12">
        <f>IF(X238&gt;0,IF(X238&lt;=eco,alpha*fck*(1-(1-X238/eco)^n),alpha*fck),0)</f>
      </c>
      <c r="Z238" s="30">
        <f>PM_Angle!$J$15+PM_Angle!$K$15*$C238+PM_Angle!$L$15*$B238</f>
      </c>
      <c r="AA238" s="12">
        <f>IF(Z238&gt;0,IF(Z238&lt;=eco,alpha*fck*(1-(1-Z238/eco)^n),alpha*fck),0)</f>
      </c>
      <c r="AB238" s="30">
        <f>PM_Angle!$J$16+PM_Angle!$K$16*$C238+PM_Angle!$L$16*$B238</f>
      </c>
      <c r="AC238" s="12">
        <f>IF(AB238&gt;0,IF(AB238&lt;=eco,alpha*fck*(1-(1-AB238/eco)^n),alpha*fck),0)</f>
      </c>
      <c r="AD238" s="30">
        <f>PM_Angle!$J$17+PM_Angle!$K$17*$C238+PM_Angle!$L$17*$B238</f>
      </c>
      <c r="AE238" s="12">
        <f>IF(AD238&gt;0,IF(AD238&lt;=eco,alpha*fck*(1-(1-AD238/eco)^n),alpha*fck),0)</f>
      </c>
      <c r="AF238" s="30">
        <f>PM_Angle!$J$18+PM_Angle!$K$18*$C238+PM_Angle!$L$18*$B238</f>
      </c>
      <c r="AG238" s="12">
        <f>IF(AF238&gt;0,IF(AF238&lt;=eco,alpha*fck*(1-(1-AF238/eco)^n),alpha*fck),0)</f>
      </c>
      <c r="AH238" s="30">
        <f>PM_Angle!$J$19+PM_Angle!$K$19*$C238+PM_Angle!$L$19*$B238</f>
      </c>
      <c r="AI238" s="12">
        <f>IF(AH238&gt;0,IF(AH238&lt;=eco,alpha*fck*(1-(1-AH238/eco)^n),alpha*fck),0)</f>
      </c>
      <c r="AJ238" s="30">
        <f>PM_Angle!$J$20+PM_Angle!$K$20*$C238+PM_Angle!$L$20*$B238</f>
      </c>
      <c r="AK238" s="12">
        <f>IF(AJ238&gt;0,IF(AJ238&lt;=eco,alpha*fck*(1-(1-AJ238/eco)^n),alpha*fck),0)</f>
      </c>
      <c r="AL238" s="30">
        <f>PM_Angle!$J$21+PM_Angle!$K$21*$C238+PM_Angle!$L$21*$B238</f>
      </c>
      <c r="AM238" s="12">
        <f>IF(AL238&gt;0,IF(AL238&lt;=eco,alpha*fck*(1-(1-AL238/eco)^n),alpha*fck),0)</f>
      </c>
      <c r="AN238" s="30">
        <f>PM_Angle!$J$22+PM_Angle!$K$22*$C238+PM_Angle!$L$22*$B238</f>
      </c>
      <c r="AO238" s="12">
        <f>IF(AN238&gt;0,IF(AN238&lt;=eco,alpha*fck*(1-(1-AN238/eco)^n),alpha*fck),0)</f>
      </c>
      <c r="AP238" s="30">
        <f>PM_Angle!$J$23+PM_Angle!$K$23*$C238+PM_Angle!$L$23*$B238</f>
      </c>
      <c r="AQ238" s="12">
        <f>IF(AP238&gt;0,IF(AP238&lt;=eco,alpha*fck*(1-(1-AP238/eco)^n),alpha*fck),0)</f>
      </c>
      <c r="AR238" s="30">
        <f>PM_Angle!$J$24+PM_Angle!$K$24*$C238+PM_Angle!$L$24*$B238</f>
      </c>
      <c r="AS238" s="12">
        <f>IF(AR238&gt;0,IF(AR238&lt;=eco,alpha*fck*(1-(1-AR238/eco)^n),alpha*fck),0)</f>
      </c>
      <c r="AT238" s="30">
        <f>PM_Angle!$J$25+PM_Angle!$K$25*$C238+PM_Angle!$L$25*$B238</f>
      </c>
      <c r="AU238" s="12">
        <f>IF(AT238&gt;0,IF(AT238&lt;=eco,alpha*fck*(1-(1-AT238/eco)^n),alpha*fck),0)</f>
      </c>
    </row>
    <row r="239" spans="1:47" x14ac:dyDescent="0.25">
      <c r="A239">
        <f>Mesh!A236</f>
      </c>
      <c r="B239" s="12">
        <f>Mesh!B236</f>
      </c>
      <c r="C239" s="12">
        <f>Mesh!C236</f>
      </c>
      <c r="D239" s="12">
        <f>Mesh!D236</f>
      </c>
      <c r="E239" s="30">
        <f>INDEX(St_e0,Det+1)+INDEX(St_kx,Det+1)*C239+INDEX(St_ky,Det+1)*B239</f>
      </c>
      <c r="F239" s="12">
        <f>IF(E239&gt;0,IF(E239&lt;=eco,alpha*fck*(1-(1-E239/eco)^n),alpha*fck),0)</f>
      </c>
      <c r="G239" s="11">
        <f>F239*D239</f>
      </c>
      <c r="H239" s="11">
        <f>G239*C239</f>
      </c>
      <c r="I239" s="11">
        <f>G239*B239</f>
      </c>
      <c r="J239" s="30">
        <f>PM_Angle!$J$7+PM_Angle!$K$7*$C239+PM_Angle!$L$7*$B239</f>
      </c>
      <c r="K239" s="12">
        <f>IF(J239&gt;0,IF(J239&lt;=eco,alpha*fck*(1-(1-J239/eco)^n),alpha*fck),0)</f>
      </c>
      <c r="L239" s="30">
        <f>PM_Angle!$J$8+PM_Angle!$K$8*$C239+PM_Angle!$L$8*$B239</f>
      </c>
      <c r="M239" s="12">
        <f>IF(L239&gt;0,IF(L239&lt;=eco,alpha*fck*(1-(1-L239/eco)^n),alpha*fck),0)</f>
      </c>
      <c r="N239" s="30">
        <f>PM_Angle!$J$9+PM_Angle!$K$9*$C239+PM_Angle!$L$9*$B239</f>
      </c>
      <c r="O239" s="12">
        <f>IF(N239&gt;0,IF(N239&lt;=eco,alpha*fck*(1-(1-N239/eco)^n),alpha*fck),0)</f>
      </c>
      <c r="P239" s="30">
        <f>PM_Angle!$J$10+PM_Angle!$K$10*$C239+PM_Angle!$L$10*$B239</f>
      </c>
      <c r="Q239" s="12">
        <f>IF(P239&gt;0,IF(P239&lt;=eco,alpha*fck*(1-(1-P239/eco)^n),alpha*fck),0)</f>
      </c>
      <c r="R239" s="30">
        <f>PM_Angle!$J$11+PM_Angle!$K$11*$C239+PM_Angle!$L$11*$B239</f>
      </c>
      <c r="S239" s="12">
        <f>IF(R239&gt;0,IF(R239&lt;=eco,alpha*fck*(1-(1-R239/eco)^n),alpha*fck),0)</f>
      </c>
      <c r="T239" s="30">
        <f>PM_Angle!$J$12+PM_Angle!$K$12*$C239+PM_Angle!$L$12*$B239</f>
      </c>
      <c r="U239" s="12">
        <f>IF(T239&gt;0,IF(T239&lt;=eco,alpha*fck*(1-(1-T239/eco)^n),alpha*fck),0)</f>
      </c>
      <c r="V239" s="30">
        <f>PM_Angle!$J$13+PM_Angle!$K$13*$C239+PM_Angle!$L$13*$B239</f>
      </c>
      <c r="W239" s="12">
        <f>IF(V239&gt;0,IF(V239&lt;=eco,alpha*fck*(1-(1-V239/eco)^n),alpha*fck),0)</f>
      </c>
      <c r="X239" s="30">
        <f>PM_Angle!$J$14+PM_Angle!$K$14*$C239+PM_Angle!$L$14*$B239</f>
      </c>
      <c r="Y239" s="12">
        <f>IF(X239&gt;0,IF(X239&lt;=eco,alpha*fck*(1-(1-X239/eco)^n),alpha*fck),0)</f>
      </c>
      <c r="Z239" s="30">
        <f>PM_Angle!$J$15+PM_Angle!$K$15*$C239+PM_Angle!$L$15*$B239</f>
      </c>
      <c r="AA239" s="12">
        <f>IF(Z239&gt;0,IF(Z239&lt;=eco,alpha*fck*(1-(1-Z239/eco)^n),alpha*fck),0)</f>
      </c>
      <c r="AB239" s="30">
        <f>PM_Angle!$J$16+PM_Angle!$K$16*$C239+PM_Angle!$L$16*$B239</f>
      </c>
      <c r="AC239" s="12">
        <f>IF(AB239&gt;0,IF(AB239&lt;=eco,alpha*fck*(1-(1-AB239/eco)^n),alpha*fck),0)</f>
      </c>
      <c r="AD239" s="30">
        <f>PM_Angle!$J$17+PM_Angle!$K$17*$C239+PM_Angle!$L$17*$B239</f>
      </c>
      <c r="AE239" s="12">
        <f>IF(AD239&gt;0,IF(AD239&lt;=eco,alpha*fck*(1-(1-AD239/eco)^n),alpha*fck),0)</f>
      </c>
      <c r="AF239" s="30">
        <f>PM_Angle!$J$18+PM_Angle!$K$18*$C239+PM_Angle!$L$18*$B239</f>
      </c>
      <c r="AG239" s="12">
        <f>IF(AF239&gt;0,IF(AF239&lt;=eco,alpha*fck*(1-(1-AF239/eco)^n),alpha*fck),0)</f>
      </c>
      <c r="AH239" s="30">
        <f>PM_Angle!$J$19+PM_Angle!$K$19*$C239+PM_Angle!$L$19*$B239</f>
      </c>
      <c r="AI239" s="12">
        <f>IF(AH239&gt;0,IF(AH239&lt;=eco,alpha*fck*(1-(1-AH239/eco)^n),alpha*fck),0)</f>
      </c>
      <c r="AJ239" s="30">
        <f>PM_Angle!$J$20+PM_Angle!$K$20*$C239+PM_Angle!$L$20*$B239</f>
      </c>
      <c r="AK239" s="12">
        <f>IF(AJ239&gt;0,IF(AJ239&lt;=eco,alpha*fck*(1-(1-AJ239/eco)^n),alpha*fck),0)</f>
      </c>
      <c r="AL239" s="30">
        <f>PM_Angle!$J$21+PM_Angle!$K$21*$C239+PM_Angle!$L$21*$B239</f>
      </c>
      <c r="AM239" s="12">
        <f>IF(AL239&gt;0,IF(AL239&lt;=eco,alpha*fck*(1-(1-AL239/eco)^n),alpha*fck),0)</f>
      </c>
      <c r="AN239" s="30">
        <f>PM_Angle!$J$22+PM_Angle!$K$22*$C239+PM_Angle!$L$22*$B239</f>
      </c>
      <c r="AO239" s="12">
        <f>IF(AN239&gt;0,IF(AN239&lt;=eco,alpha*fck*(1-(1-AN239/eco)^n),alpha*fck),0)</f>
      </c>
      <c r="AP239" s="30">
        <f>PM_Angle!$J$23+PM_Angle!$K$23*$C239+PM_Angle!$L$23*$B239</f>
      </c>
      <c r="AQ239" s="12">
        <f>IF(AP239&gt;0,IF(AP239&lt;=eco,alpha*fck*(1-(1-AP239/eco)^n),alpha*fck),0)</f>
      </c>
      <c r="AR239" s="30">
        <f>PM_Angle!$J$24+PM_Angle!$K$24*$C239+PM_Angle!$L$24*$B239</f>
      </c>
      <c r="AS239" s="12">
        <f>IF(AR239&gt;0,IF(AR239&lt;=eco,alpha*fck*(1-(1-AR239/eco)^n),alpha*fck),0)</f>
      </c>
      <c r="AT239" s="30">
        <f>PM_Angle!$J$25+PM_Angle!$K$25*$C239+PM_Angle!$L$25*$B239</f>
      </c>
      <c r="AU239" s="12">
        <f>IF(AT239&gt;0,IF(AT239&lt;=eco,alpha*fck*(1-(1-AT239/eco)^n),alpha*fck),0)</f>
      </c>
    </row>
    <row r="240" spans="1:47" x14ac:dyDescent="0.25">
      <c r="A240">
        <f>Mesh!A237</f>
      </c>
      <c r="B240" s="12">
        <f>Mesh!B237</f>
      </c>
      <c r="C240" s="12">
        <f>Mesh!C237</f>
      </c>
      <c r="D240" s="12">
        <f>Mesh!D237</f>
      </c>
      <c r="E240" s="30">
        <f>INDEX(St_e0,Det+1)+INDEX(St_kx,Det+1)*C240+INDEX(St_ky,Det+1)*B240</f>
      </c>
      <c r="F240" s="12">
        <f>IF(E240&gt;0,IF(E240&lt;=eco,alpha*fck*(1-(1-E240/eco)^n),alpha*fck),0)</f>
      </c>
      <c r="G240" s="11">
        <f>F240*D240</f>
      </c>
      <c r="H240" s="11">
        <f>G240*C240</f>
      </c>
      <c r="I240" s="11">
        <f>G240*B240</f>
      </c>
      <c r="J240" s="30">
        <f>PM_Angle!$J$7+PM_Angle!$K$7*$C240+PM_Angle!$L$7*$B240</f>
      </c>
      <c r="K240" s="12">
        <f>IF(J240&gt;0,IF(J240&lt;=eco,alpha*fck*(1-(1-J240/eco)^n),alpha*fck),0)</f>
      </c>
      <c r="L240" s="30">
        <f>PM_Angle!$J$8+PM_Angle!$K$8*$C240+PM_Angle!$L$8*$B240</f>
      </c>
      <c r="M240" s="12">
        <f>IF(L240&gt;0,IF(L240&lt;=eco,alpha*fck*(1-(1-L240/eco)^n),alpha*fck),0)</f>
      </c>
      <c r="N240" s="30">
        <f>PM_Angle!$J$9+PM_Angle!$K$9*$C240+PM_Angle!$L$9*$B240</f>
      </c>
      <c r="O240" s="12">
        <f>IF(N240&gt;0,IF(N240&lt;=eco,alpha*fck*(1-(1-N240/eco)^n),alpha*fck),0)</f>
      </c>
      <c r="P240" s="30">
        <f>PM_Angle!$J$10+PM_Angle!$K$10*$C240+PM_Angle!$L$10*$B240</f>
      </c>
      <c r="Q240" s="12">
        <f>IF(P240&gt;0,IF(P240&lt;=eco,alpha*fck*(1-(1-P240/eco)^n),alpha*fck),0)</f>
      </c>
      <c r="R240" s="30">
        <f>PM_Angle!$J$11+PM_Angle!$K$11*$C240+PM_Angle!$L$11*$B240</f>
      </c>
      <c r="S240" s="12">
        <f>IF(R240&gt;0,IF(R240&lt;=eco,alpha*fck*(1-(1-R240/eco)^n),alpha*fck),0)</f>
      </c>
      <c r="T240" s="30">
        <f>PM_Angle!$J$12+PM_Angle!$K$12*$C240+PM_Angle!$L$12*$B240</f>
      </c>
      <c r="U240" s="12">
        <f>IF(T240&gt;0,IF(T240&lt;=eco,alpha*fck*(1-(1-T240/eco)^n),alpha*fck),0)</f>
      </c>
      <c r="V240" s="30">
        <f>PM_Angle!$J$13+PM_Angle!$K$13*$C240+PM_Angle!$L$13*$B240</f>
      </c>
      <c r="W240" s="12">
        <f>IF(V240&gt;0,IF(V240&lt;=eco,alpha*fck*(1-(1-V240/eco)^n),alpha*fck),0)</f>
      </c>
      <c r="X240" s="30">
        <f>PM_Angle!$J$14+PM_Angle!$K$14*$C240+PM_Angle!$L$14*$B240</f>
      </c>
      <c r="Y240" s="12">
        <f>IF(X240&gt;0,IF(X240&lt;=eco,alpha*fck*(1-(1-X240/eco)^n),alpha*fck),0)</f>
      </c>
      <c r="Z240" s="30">
        <f>PM_Angle!$J$15+PM_Angle!$K$15*$C240+PM_Angle!$L$15*$B240</f>
      </c>
      <c r="AA240" s="12">
        <f>IF(Z240&gt;0,IF(Z240&lt;=eco,alpha*fck*(1-(1-Z240/eco)^n),alpha*fck),0)</f>
      </c>
      <c r="AB240" s="30">
        <f>PM_Angle!$J$16+PM_Angle!$K$16*$C240+PM_Angle!$L$16*$B240</f>
      </c>
      <c r="AC240" s="12">
        <f>IF(AB240&gt;0,IF(AB240&lt;=eco,alpha*fck*(1-(1-AB240/eco)^n),alpha*fck),0)</f>
      </c>
      <c r="AD240" s="30">
        <f>PM_Angle!$J$17+PM_Angle!$K$17*$C240+PM_Angle!$L$17*$B240</f>
      </c>
      <c r="AE240" s="12">
        <f>IF(AD240&gt;0,IF(AD240&lt;=eco,alpha*fck*(1-(1-AD240/eco)^n),alpha*fck),0)</f>
      </c>
      <c r="AF240" s="30">
        <f>PM_Angle!$J$18+PM_Angle!$K$18*$C240+PM_Angle!$L$18*$B240</f>
      </c>
      <c r="AG240" s="12">
        <f>IF(AF240&gt;0,IF(AF240&lt;=eco,alpha*fck*(1-(1-AF240/eco)^n),alpha*fck),0)</f>
      </c>
      <c r="AH240" s="30">
        <f>PM_Angle!$J$19+PM_Angle!$K$19*$C240+PM_Angle!$L$19*$B240</f>
      </c>
      <c r="AI240" s="12">
        <f>IF(AH240&gt;0,IF(AH240&lt;=eco,alpha*fck*(1-(1-AH240/eco)^n),alpha*fck),0)</f>
      </c>
      <c r="AJ240" s="30">
        <f>PM_Angle!$J$20+PM_Angle!$K$20*$C240+PM_Angle!$L$20*$B240</f>
      </c>
      <c r="AK240" s="12">
        <f>IF(AJ240&gt;0,IF(AJ240&lt;=eco,alpha*fck*(1-(1-AJ240/eco)^n),alpha*fck),0)</f>
      </c>
      <c r="AL240" s="30">
        <f>PM_Angle!$J$21+PM_Angle!$K$21*$C240+PM_Angle!$L$21*$B240</f>
      </c>
      <c r="AM240" s="12">
        <f>IF(AL240&gt;0,IF(AL240&lt;=eco,alpha*fck*(1-(1-AL240/eco)^n),alpha*fck),0)</f>
      </c>
      <c r="AN240" s="30">
        <f>PM_Angle!$J$22+PM_Angle!$K$22*$C240+PM_Angle!$L$22*$B240</f>
      </c>
      <c r="AO240" s="12">
        <f>IF(AN240&gt;0,IF(AN240&lt;=eco,alpha*fck*(1-(1-AN240/eco)^n),alpha*fck),0)</f>
      </c>
      <c r="AP240" s="30">
        <f>PM_Angle!$J$23+PM_Angle!$K$23*$C240+PM_Angle!$L$23*$B240</f>
      </c>
      <c r="AQ240" s="12">
        <f>IF(AP240&gt;0,IF(AP240&lt;=eco,alpha*fck*(1-(1-AP240/eco)^n),alpha*fck),0)</f>
      </c>
      <c r="AR240" s="30">
        <f>PM_Angle!$J$24+PM_Angle!$K$24*$C240+PM_Angle!$L$24*$B240</f>
      </c>
      <c r="AS240" s="12">
        <f>IF(AR240&gt;0,IF(AR240&lt;=eco,alpha*fck*(1-(1-AR240/eco)^n),alpha*fck),0)</f>
      </c>
      <c r="AT240" s="30">
        <f>PM_Angle!$J$25+PM_Angle!$K$25*$C240+PM_Angle!$L$25*$B240</f>
      </c>
      <c r="AU240" s="12">
        <f>IF(AT240&gt;0,IF(AT240&lt;=eco,alpha*fck*(1-(1-AT240/eco)^n),alpha*fck),0)</f>
      </c>
    </row>
    <row r="241" spans="1:47" x14ac:dyDescent="0.25">
      <c r="A241">
        <f>Mesh!A238</f>
      </c>
      <c r="B241" s="12">
        <f>Mesh!B238</f>
      </c>
      <c r="C241" s="12">
        <f>Mesh!C238</f>
      </c>
      <c r="D241" s="12">
        <f>Mesh!D238</f>
      </c>
      <c r="E241" s="30">
        <f>INDEX(St_e0,Det+1)+INDEX(St_kx,Det+1)*C241+INDEX(St_ky,Det+1)*B241</f>
      </c>
      <c r="F241" s="12">
        <f>IF(E241&gt;0,IF(E241&lt;=eco,alpha*fck*(1-(1-E241/eco)^n),alpha*fck),0)</f>
      </c>
      <c r="G241" s="11">
        <f>F241*D241</f>
      </c>
      <c r="H241" s="11">
        <f>G241*C241</f>
      </c>
      <c r="I241" s="11">
        <f>G241*B241</f>
      </c>
      <c r="J241" s="30">
        <f>PM_Angle!$J$7+PM_Angle!$K$7*$C241+PM_Angle!$L$7*$B241</f>
      </c>
      <c r="K241" s="12">
        <f>IF(J241&gt;0,IF(J241&lt;=eco,alpha*fck*(1-(1-J241/eco)^n),alpha*fck),0)</f>
      </c>
      <c r="L241" s="30">
        <f>PM_Angle!$J$8+PM_Angle!$K$8*$C241+PM_Angle!$L$8*$B241</f>
      </c>
      <c r="M241" s="12">
        <f>IF(L241&gt;0,IF(L241&lt;=eco,alpha*fck*(1-(1-L241/eco)^n),alpha*fck),0)</f>
      </c>
      <c r="N241" s="30">
        <f>PM_Angle!$J$9+PM_Angle!$K$9*$C241+PM_Angle!$L$9*$B241</f>
      </c>
      <c r="O241" s="12">
        <f>IF(N241&gt;0,IF(N241&lt;=eco,alpha*fck*(1-(1-N241/eco)^n),alpha*fck),0)</f>
      </c>
      <c r="P241" s="30">
        <f>PM_Angle!$J$10+PM_Angle!$K$10*$C241+PM_Angle!$L$10*$B241</f>
      </c>
      <c r="Q241" s="12">
        <f>IF(P241&gt;0,IF(P241&lt;=eco,alpha*fck*(1-(1-P241/eco)^n),alpha*fck),0)</f>
      </c>
      <c r="R241" s="30">
        <f>PM_Angle!$J$11+PM_Angle!$K$11*$C241+PM_Angle!$L$11*$B241</f>
      </c>
      <c r="S241" s="12">
        <f>IF(R241&gt;0,IF(R241&lt;=eco,alpha*fck*(1-(1-R241/eco)^n),alpha*fck),0)</f>
      </c>
      <c r="T241" s="30">
        <f>PM_Angle!$J$12+PM_Angle!$K$12*$C241+PM_Angle!$L$12*$B241</f>
      </c>
      <c r="U241" s="12">
        <f>IF(T241&gt;0,IF(T241&lt;=eco,alpha*fck*(1-(1-T241/eco)^n),alpha*fck),0)</f>
      </c>
      <c r="V241" s="30">
        <f>PM_Angle!$J$13+PM_Angle!$K$13*$C241+PM_Angle!$L$13*$B241</f>
      </c>
      <c r="W241" s="12">
        <f>IF(V241&gt;0,IF(V241&lt;=eco,alpha*fck*(1-(1-V241/eco)^n),alpha*fck),0)</f>
      </c>
      <c r="X241" s="30">
        <f>PM_Angle!$J$14+PM_Angle!$K$14*$C241+PM_Angle!$L$14*$B241</f>
      </c>
      <c r="Y241" s="12">
        <f>IF(X241&gt;0,IF(X241&lt;=eco,alpha*fck*(1-(1-X241/eco)^n),alpha*fck),0)</f>
      </c>
      <c r="Z241" s="30">
        <f>PM_Angle!$J$15+PM_Angle!$K$15*$C241+PM_Angle!$L$15*$B241</f>
      </c>
      <c r="AA241" s="12">
        <f>IF(Z241&gt;0,IF(Z241&lt;=eco,alpha*fck*(1-(1-Z241/eco)^n),alpha*fck),0)</f>
      </c>
      <c r="AB241" s="30">
        <f>PM_Angle!$J$16+PM_Angle!$K$16*$C241+PM_Angle!$L$16*$B241</f>
      </c>
      <c r="AC241" s="12">
        <f>IF(AB241&gt;0,IF(AB241&lt;=eco,alpha*fck*(1-(1-AB241/eco)^n),alpha*fck),0)</f>
      </c>
      <c r="AD241" s="30">
        <f>PM_Angle!$J$17+PM_Angle!$K$17*$C241+PM_Angle!$L$17*$B241</f>
      </c>
      <c r="AE241" s="12">
        <f>IF(AD241&gt;0,IF(AD241&lt;=eco,alpha*fck*(1-(1-AD241/eco)^n),alpha*fck),0)</f>
      </c>
      <c r="AF241" s="30">
        <f>PM_Angle!$J$18+PM_Angle!$K$18*$C241+PM_Angle!$L$18*$B241</f>
      </c>
      <c r="AG241" s="12">
        <f>IF(AF241&gt;0,IF(AF241&lt;=eco,alpha*fck*(1-(1-AF241/eco)^n),alpha*fck),0)</f>
      </c>
      <c r="AH241" s="30">
        <f>PM_Angle!$J$19+PM_Angle!$K$19*$C241+PM_Angle!$L$19*$B241</f>
      </c>
      <c r="AI241" s="12">
        <f>IF(AH241&gt;0,IF(AH241&lt;=eco,alpha*fck*(1-(1-AH241/eco)^n),alpha*fck),0)</f>
      </c>
      <c r="AJ241" s="30">
        <f>PM_Angle!$J$20+PM_Angle!$K$20*$C241+PM_Angle!$L$20*$B241</f>
      </c>
      <c r="AK241" s="12">
        <f>IF(AJ241&gt;0,IF(AJ241&lt;=eco,alpha*fck*(1-(1-AJ241/eco)^n),alpha*fck),0)</f>
      </c>
      <c r="AL241" s="30">
        <f>PM_Angle!$J$21+PM_Angle!$K$21*$C241+PM_Angle!$L$21*$B241</f>
      </c>
      <c r="AM241" s="12">
        <f>IF(AL241&gt;0,IF(AL241&lt;=eco,alpha*fck*(1-(1-AL241/eco)^n),alpha*fck),0)</f>
      </c>
      <c r="AN241" s="30">
        <f>PM_Angle!$J$22+PM_Angle!$K$22*$C241+PM_Angle!$L$22*$B241</f>
      </c>
      <c r="AO241" s="12">
        <f>IF(AN241&gt;0,IF(AN241&lt;=eco,alpha*fck*(1-(1-AN241/eco)^n),alpha*fck),0)</f>
      </c>
      <c r="AP241" s="30">
        <f>PM_Angle!$J$23+PM_Angle!$K$23*$C241+PM_Angle!$L$23*$B241</f>
      </c>
      <c r="AQ241" s="12">
        <f>IF(AP241&gt;0,IF(AP241&lt;=eco,alpha*fck*(1-(1-AP241/eco)^n),alpha*fck),0)</f>
      </c>
      <c r="AR241" s="30">
        <f>PM_Angle!$J$24+PM_Angle!$K$24*$C241+PM_Angle!$L$24*$B241</f>
      </c>
      <c r="AS241" s="12">
        <f>IF(AR241&gt;0,IF(AR241&lt;=eco,alpha*fck*(1-(1-AR241/eco)^n),alpha*fck),0)</f>
      </c>
      <c r="AT241" s="30">
        <f>PM_Angle!$J$25+PM_Angle!$K$25*$C241+PM_Angle!$L$25*$B241</f>
      </c>
      <c r="AU241" s="12">
        <f>IF(AT241&gt;0,IF(AT241&lt;=eco,alpha*fck*(1-(1-AT241/eco)^n),alpha*fck),0)</f>
      </c>
    </row>
    <row r="242" spans="1:47" x14ac:dyDescent="0.25">
      <c r="A242">
        <f>Mesh!A239</f>
      </c>
      <c r="B242" s="12">
        <f>Mesh!B239</f>
      </c>
      <c r="C242" s="12">
        <f>Mesh!C239</f>
      </c>
      <c r="D242" s="12">
        <f>Mesh!D239</f>
      </c>
      <c r="E242" s="30">
        <f>INDEX(St_e0,Det+1)+INDEX(St_kx,Det+1)*C242+INDEX(St_ky,Det+1)*B242</f>
      </c>
      <c r="F242" s="12">
        <f>IF(E242&gt;0,IF(E242&lt;=eco,alpha*fck*(1-(1-E242/eco)^n),alpha*fck),0)</f>
      </c>
      <c r="G242" s="11">
        <f>F242*D242</f>
      </c>
      <c r="H242" s="11">
        <f>G242*C242</f>
      </c>
      <c r="I242" s="11">
        <f>G242*B242</f>
      </c>
      <c r="J242" s="30">
        <f>PM_Angle!$J$7+PM_Angle!$K$7*$C242+PM_Angle!$L$7*$B242</f>
      </c>
      <c r="K242" s="12">
        <f>IF(J242&gt;0,IF(J242&lt;=eco,alpha*fck*(1-(1-J242/eco)^n),alpha*fck),0)</f>
      </c>
      <c r="L242" s="30">
        <f>PM_Angle!$J$8+PM_Angle!$K$8*$C242+PM_Angle!$L$8*$B242</f>
      </c>
      <c r="M242" s="12">
        <f>IF(L242&gt;0,IF(L242&lt;=eco,alpha*fck*(1-(1-L242/eco)^n),alpha*fck),0)</f>
      </c>
      <c r="N242" s="30">
        <f>PM_Angle!$J$9+PM_Angle!$K$9*$C242+PM_Angle!$L$9*$B242</f>
      </c>
      <c r="O242" s="12">
        <f>IF(N242&gt;0,IF(N242&lt;=eco,alpha*fck*(1-(1-N242/eco)^n),alpha*fck),0)</f>
      </c>
      <c r="P242" s="30">
        <f>PM_Angle!$J$10+PM_Angle!$K$10*$C242+PM_Angle!$L$10*$B242</f>
      </c>
      <c r="Q242" s="12">
        <f>IF(P242&gt;0,IF(P242&lt;=eco,alpha*fck*(1-(1-P242/eco)^n),alpha*fck),0)</f>
      </c>
      <c r="R242" s="30">
        <f>PM_Angle!$J$11+PM_Angle!$K$11*$C242+PM_Angle!$L$11*$B242</f>
      </c>
      <c r="S242" s="12">
        <f>IF(R242&gt;0,IF(R242&lt;=eco,alpha*fck*(1-(1-R242/eco)^n),alpha*fck),0)</f>
      </c>
      <c r="T242" s="30">
        <f>PM_Angle!$J$12+PM_Angle!$K$12*$C242+PM_Angle!$L$12*$B242</f>
      </c>
      <c r="U242" s="12">
        <f>IF(T242&gt;0,IF(T242&lt;=eco,alpha*fck*(1-(1-T242/eco)^n),alpha*fck),0)</f>
      </c>
      <c r="V242" s="30">
        <f>PM_Angle!$J$13+PM_Angle!$K$13*$C242+PM_Angle!$L$13*$B242</f>
      </c>
      <c r="W242" s="12">
        <f>IF(V242&gt;0,IF(V242&lt;=eco,alpha*fck*(1-(1-V242/eco)^n),alpha*fck),0)</f>
      </c>
      <c r="X242" s="30">
        <f>PM_Angle!$J$14+PM_Angle!$K$14*$C242+PM_Angle!$L$14*$B242</f>
      </c>
      <c r="Y242" s="12">
        <f>IF(X242&gt;0,IF(X242&lt;=eco,alpha*fck*(1-(1-X242/eco)^n),alpha*fck),0)</f>
      </c>
      <c r="Z242" s="30">
        <f>PM_Angle!$J$15+PM_Angle!$K$15*$C242+PM_Angle!$L$15*$B242</f>
      </c>
      <c r="AA242" s="12">
        <f>IF(Z242&gt;0,IF(Z242&lt;=eco,alpha*fck*(1-(1-Z242/eco)^n),alpha*fck),0)</f>
      </c>
      <c r="AB242" s="30">
        <f>PM_Angle!$J$16+PM_Angle!$K$16*$C242+PM_Angle!$L$16*$B242</f>
      </c>
      <c r="AC242" s="12">
        <f>IF(AB242&gt;0,IF(AB242&lt;=eco,alpha*fck*(1-(1-AB242/eco)^n),alpha*fck),0)</f>
      </c>
      <c r="AD242" s="30">
        <f>PM_Angle!$J$17+PM_Angle!$K$17*$C242+PM_Angle!$L$17*$B242</f>
      </c>
      <c r="AE242" s="12">
        <f>IF(AD242&gt;0,IF(AD242&lt;=eco,alpha*fck*(1-(1-AD242/eco)^n),alpha*fck),0)</f>
      </c>
      <c r="AF242" s="30">
        <f>PM_Angle!$J$18+PM_Angle!$K$18*$C242+PM_Angle!$L$18*$B242</f>
      </c>
      <c r="AG242" s="12">
        <f>IF(AF242&gt;0,IF(AF242&lt;=eco,alpha*fck*(1-(1-AF242/eco)^n),alpha*fck),0)</f>
      </c>
      <c r="AH242" s="30">
        <f>PM_Angle!$J$19+PM_Angle!$K$19*$C242+PM_Angle!$L$19*$B242</f>
      </c>
      <c r="AI242" s="12">
        <f>IF(AH242&gt;0,IF(AH242&lt;=eco,alpha*fck*(1-(1-AH242/eco)^n),alpha*fck),0)</f>
      </c>
      <c r="AJ242" s="30">
        <f>PM_Angle!$J$20+PM_Angle!$K$20*$C242+PM_Angle!$L$20*$B242</f>
      </c>
      <c r="AK242" s="12">
        <f>IF(AJ242&gt;0,IF(AJ242&lt;=eco,alpha*fck*(1-(1-AJ242/eco)^n),alpha*fck),0)</f>
      </c>
      <c r="AL242" s="30">
        <f>PM_Angle!$J$21+PM_Angle!$K$21*$C242+PM_Angle!$L$21*$B242</f>
      </c>
      <c r="AM242" s="12">
        <f>IF(AL242&gt;0,IF(AL242&lt;=eco,alpha*fck*(1-(1-AL242/eco)^n),alpha*fck),0)</f>
      </c>
      <c r="AN242" s="30">
        <f>PM_Angle!$J$22+PM_Angle!$K$22*$C242+PM_Angle!$L$22*$B242</f>
      </c>
      <c r="AO242" s="12">
        <f>IF(AN242&gt;0,IF(AN242&lt;=eco,alpha*fck*(1-(1-AN242/eco)^n),alpha*fck),0)</f>
      </c>
      <c r="AP242" s="30">
        <f>PM_Angle!$J$23+PM_Angle!$K$23*$C242+PM_Angle!$L$23*$B242</f>
      </c>
      <c r="AQ242" s="12">
        <f>IF(AP242&gt;0,IF(AP242&lt;=eco,alpha*fck*(1-(1-AP242/eco)^n),alpha*fck),0)</f>
      </c>
      <c r="AR242" s="30">
        <f>PM_Angle!$J$24+PM_Angle!$K$24*$C242+PM_Angle!$L$24*$B242</f>
      </c>
      <c r="AS242" s="12">
        <f>IF(AR242&gt;0,IF(AR242&lt;=eco,alpha*fck*(1-(1-AR242/eco)^n),alpha*fck),0)</f>
      </c>
      <c r="AT242" s="30">
        <f>PM_Angle!$J$25+PM_Angle!$K$25*$C242+PM_Angle!$L$25*$B242</f>
      </c>
      <c r="AU242" s="12">
        <f>IF(AT242&gt;0,IF(AT242&lt;=eco,alpha*fck*(1-(1-AT242/eco)^n),alpha*fck),0)</f>
      </c>
    </row>
    <row r="243" spans="1:47" x14ac:dyDescent="0.25">
      <c r="A243">
        <f>Mesh!A240</f>
      </c>
      <c r="B243" s="12">
        <f>Mesh!B240</f>
      </c>
      <c r="C243" s="12">
        <f>Mesh!C240</f>
      </c>
      <c r="D243" s="12">
        <f>Mesh!D240</f>
      </c>
      <c r="E243" s="30">
        <f>INDEX(St_e0,Det+1)+INDEX(St_kx,Det+1)*C243+INDEX(St_ky,Det+1)*B243</f>
      </c>
      <c r="F243" s="12">
        <f>IF(E243&gt;0,IF(E243&lt;=eco,alpha*fck*(1-(1-E243/eco)^n),alpha*fck),0)</f>
      </c>
      <c r="G243" s="11">
        <f>F243*D243</f>
      </c>
      <c r="H243" s="11">
        <f>G243*C243</f>
      </c>
      <c r="I243" s="11">
        <f>G243*B243</f>
      </c>
      <c r="J243" s="30">
        <f>PM_Angle!$J$7+PM_Angle!$K$7*$C243+PM_Angle!$L$7*$B243</f>
      </c>
      <c r="K243" s="12">
        <f>IF(J243&gt;0,IF(J243&lt;=eco,alpha*fck*(1-(1-J243/eco)^n),alpha*fck),0)</f>
      </c>
      <c r="L243" s="30">
        <f>PM_Angle!$J$8+PM_Angle!$K$8*$C243+PM_Angle!$L$8*$B243</f>
      </c>
      <c r="M243" s="12">
        <f>IF(L243&gt;0,IF(L243&lt;=eco,alpha*fck*(1-(1-L243/eco)^n),alpha*fck),0)</f>
      </c>
      <c r="N243" s="30">
        <f>PM_Angle!$J$9+PM_Angle!$K$9*$C243+PM_Angle!$L$9*$B243</f>
      </c>
      <c r="O243" s="12">
        <f>IF(N243&gt;0,IF(N243&lt;=eco,alpha*fck*(1-(1-N243/eco)^n),alpha*fck),0)</f>
      </c>
      <c r="P243" s="30">
        <f>PM_Angle!$J$10+PM_Angle!$K$10*$C243+PM_Angle!$L$10*$B243</f>
      </c>
      <c r="Q243" s="12">
        <f>IF(P243&gt;0,IF(P243&lt;=eco,alpha*fck*(1-(1-P243/eco)^n),alpha*fck),0)</f>
      </c>
      <c r="R243" s="30">
        <f>PM_Angle!$J$11+PM_Angle!$K$11*$C243+PM_Angle!$L$11*$B243</f>
      </c>
      <c r="S243" s="12">
        <f>IF(R243&gt;0,IF(R243&lt;=eco,alpha*fck*(1-(1-R243/eco)^n),alpha*fck),0)</f>
      </c>
      <c r="T243" s="30">
        <f>PM_Angle!$J$12+PM_Angle!$K$12*$C243+PM_Angle!$L$12*$B243</f>
      </c>
      <c r="U243" s="12">
        <f>IF(T243&gt;0,IF(T243&lt;=eco,alpha*fck*(1-(1-T243/eco)^n),alpha*fck),0)</f>
      </c>
      <c r="V243" s="30">
        <f>PM_Angle!$J$13+PM_Angle!$K$13*$C243+PM_Angle!$L$13*$B243</f>
      </c>
      <c r="W243" s="12">
        <f>IF(V243&gt;0,IF(V243&lt;=eco,alpha*fck*(1-(1-V243/eco)^n),alpha*fck),0)</f>
      </c>
      <c r="X243" s="30">
        <f>PM_Angle!$J$14+PM_Angle!$K$14*$C243+PM_Angle!$L$14*$B243</f>
      </c>
      <c r="Y243" s="12">
        <f>IF(X243&gt;0,IF(X243&lt;=eco,alpha*fck*(1-(1-X243/eco)^n),alpha*fck),0)</f>
      </c>
      <c r="Z243" s="30">
        <f>PM_Angle!$J$15+PM_Angle!$K$15*$C243+PM_Angle!$L$15*$B243</f>
      </c>
      <c r="AA243" s="12">
        <f>IF(Z243&gt;0,IF(Z243&lt;=eco,alpha*fck*(1-(1-Z243/eco)^n),alpha*fck),0)</f>
      </c>
      <c r="AB243" s="30">
        <f>PM_Angle!$J$16+PM_Angle!$K$16*$C243+PM_Angle!$L$16*$B243</f>
      </c>
      <c r="AC243" s="12">
        <f>IF(AB243&gt;0,IF(AB243&lt;=eco,alpha*fck*(1-(1-AB243/eco)^n),alpha*fck),0)</f>
      </c>
      <c r="AD243" s="30">
        <f>PM_Angle!$J$17+PM_Angle!$K$17*$C243+PM_Angle!$L$17*$B243</f>
      </c>
      <c r="AE243" s="12">
        <f>IF(AD243&gt;0,IF(AD243&lt;=eco,alpha*fck*(1-(1-AD243/eco)^n),alpha*fck),0)</f>
      </c>
      <c r="AF243" s="30">
        <f>PM_Angle!$J$18+PM_Angle!$K$18*$C243+PM_Angle!$L$18*$B243</f>
      </c>
      <c r="AG243" s="12">
        <f>IF(AF243&gt;0,IF(AF243&lt;=eco,alpha*fck*(1-(1-AF243/eco)^n),alpha*fck),0)</f>
      </c>
      <c r="AH243" s="30">
        <f>PM_Angle!$J$19+PM_Angle!$K$19*$C243+PM_Angle!$L$19*$B243</f>
      </c>
      <c r="AI243" s="12">
        <f>IF(AH243&gt;0,IF(AH243&lt;=eco,alpha*fck*(1-(1-AH243/eco)^n),alpha*fck),0)</f>
      </c>
      <c r="AJ243" s="30">
        <f>PM_Angle!$J$20+PM_Angle!$K$20*$C243+PM_Angle!$L$20*$B243</f>
      </c>
      <c r="AK243" s="12">
        <f>IF(AJ243&gt;0,IF(AJ243&lt;=eco,alpha*fck*(1-(1-AJ243/eco)^n),alpha*fck),0)</f>
      </c>
      <c r="AL243" s="30">
        <f>PM_Angle!$J$21+PM_Angle!$K$21*$C243+PM_Angle!$L$21*$B243</f>
      </c>
      <c r="AM243" s="12">
        <f>IF(AL243&gt;0,IF(AL243&lt;=eco,alpha*fck*(1-(1-AL243/eco)^n),alpha*fck),0)</f>
      </c>
      <c r="AN243" s="30">
        <f>PM_Angle!$J$22+PM_Angle!$K$22*$C243+PM_Angle!$L$22*$B243</f>
      </c>
      <c r="AO243" s="12">
        <f>IF(AN243&gt;0,IF(AN243&lt;=eco,alpha*fck*(1-(1-AN243/eco)^n),alpha*fck),0)</f>
      </c>
      <c r="AP243" s="30">
        <f>PM_Angle!$J$23+PM_Angle!$K$23*$C243+PM_Angle!$L$23*$B243</f>
      </c>
      <c r="AQ243" s="12">
        <f>IF(AP243&gt;0,IF(AP243&lt;=eco,alpha*fck*(1-(1-AP243/eco)^n),alpha*fck),0)</f>
      </c>
      <c r="AR243" s="30">
        <f>PM_Angle!$J$24+PM_Angle!$K$24*$C243+PM_Angle!$L$24*$B243</f>
      </c>
      <c r="AS243" s="12">
        <f>IF(AR243&gt;0,IF(AR243&lt;=eco,alpha*fck*(1-(1-AR243/eco)^n),alpha*fck),0)</f>
      </c>
      <c r="AT243" s="30">
        <f>PM_Angle!$J$25+PM_Angle!$K$25*$C243+PM_Angle!$L$25*$B243</f>
      </c>
      <c r="AU243" s="12">
        <f>IF(AT243&gt;0,IF(AT243&lt;=eco,alpha*fck*(1-(1-AT243/eco)^n),alpha*fck),0)</f>
      </c>
    </row>
    <row r="244" spans="1:47" x14ac:dyDescent="0.25">
      <c r="A244">
        <f>Mesh!A241</f>
      </c>
      <c r="B244" s="12">
        <f>Mesh!B241</f>
      </c>
      <c r="C244" s="12">
        <f>Mesh!C241</f>
      </c>
      <c r="D244" s="12">
        <f>Mesh!D241</f>
      </c>
      <c r="E244" s="30">
        <f>INDEX(St_e0,Det+1)+INDEX(St_kx,Det+1)*C244+INDEX(St_ky,Det+1)*B244</f>
      </c>
      <c r="F244" s="12">
        <f>IF(E244&gt;0,IF(E244&lt;=eco,alpha*fck*(1-(1-E244/eco)^n),alpha*fck),0)</f>
      </c>
      <c r="G244" s="11">
        <f>F244*D244</f>
      </c>
      <c r="H244" s="11">
        <f>G244*C244</f>
      </c>
      <c r="I244" s="11">
        <f>G244*B244</f>
      </c>
      <c r="J244" s="30">
        <f>PM_Angle!$J$7+PM_Angle!$K$7*$C244+PM_Angle!$L$7*$B244</f>
      </c>
      <c r="K244" s="12">
        <f>IF(J244&gt;0,IF(J244&lt;=eco,alpha*fck*(1-(1-J244/eco)^n),alpha*fck),0)</f>
      </c>
      <c r="L244" s="30">
        <f>PM_Angle!$J$8+PM_Angle!$K$8*$C244+PM_Angle!$L$8*$B244</f>
      </c>
      <c r="M244" s="12">
        <f>IF(L244&gt;0,IF(L244&lt;=eco,alpha*fck*(1-(1-L244/eco)^n),alpha*fck),0)</f>
      </c>
      <c r="N244" s="30">
        <f>PM_Angle!$J$9+PM_Angle!$K$9*$C244+PM_Angle!$L$9*$B244</f>
      </c>
      <c r="O244" s="12">
        <f>IF(N244&gt;0,IF(N244&lt;=eco,alpha*fck*(1-(1-N244/eco)^n),alpha*fck),0)</f>
      </c>
      <c r="P244" s="30">
        <f>PM_Angle!$J$10+PM_Angle!$K$10*$C244+PM_Angle!$L$10*$B244</f>
      </c>
      <c r="Q244" s="12">
        <f>IF(P244&gt;0,IF(P244&lt;=eco,alpha*fck*(1-(1-P244/eco)^n),alpha*fck),0)</f>
      </c>
      <c r="R244" s="30">
        <f>PM_Angle!$J$11+PM_Angle!$K$11*$C244+PM_Angle!$L$11*$B244</f>
      </c>
      <c r="S244" s="12">
        <f>IF(R244&gt;0,IF(R244&lt;=eco,alpha*fck*(1-(1-R244/eco)^n),alpha*fck),0)</f>
      </c>
      <c r="T244" s="30">
        <f>PM_Angle!$J$12+PM_Angle!$K$12*$C244+PM_Angle!$L$12*$B244</f>
      </c>
      <c r="U244" s="12">
        <f>IF(T244&gt;0,IF(T244&lt;=eco,alpha*fck*(1-(1-T244/eco)^n),alpha*fck),0)</f>
      </c>
      <c r="V244" s="30">
        <f>PM_Angle!$J$13+PM_Angle!$K$13*$C244+PM_Angle!$L$13*$B244</f>
      </c>
      <c r="W244" s="12">
        <f>IF(V244&gt;0,IF(V244&lt;=eco,alpha*fck*(1-(1-V244/eco)^n),alpha*fck),0)</f>
      </c>
      <c r="X244" s="30">
        <f>PM_Angle!$J$14+PM_Angle!$K$14*$C244+PM_Angle!$L$14*$B244</f>
      </c>
      <c r="Y244" s="12">
        <f>IF(X244&gt;0,IF(X244&lt;=eco,alpha*fck*(1-(1-X244/eco)^n),alpha*fck),0)</f>
      </c>
      <c r="Z244" s="30">
        <f>PM_Angle!$J$15+PM_Angle!$K$15*$C244+PM_Angle!$L$15*$B244</f>
      </c>
      <c r="AA244" s="12">
        <f>IF(Z244&gt;0,IF(Z244&lt;=eco,alpha*fck*(1-(1-Z244/eco)^n),alpha*fck),0)</f>
      </c>
      <c r="AB244" s="30">
        <f>PM_Angle!$J$16+PM_Angle!$K$16*$C244+PM_Angle!$L$16*$B244</f>
      </c>
      <c r="AC244" s="12">
        <f>IF(AB244&gt;0,IF(AB244&lt;=eco,alpha*fck*(1-(1-AB244/eco)^n),alpha*fck),0)</f>
      </c>
      <c r="AD244" s="30">
        <f>PM_Angle!$J$17+PM_Angle!$K$17*$C244+PM_Angle!$L$17*$B244</f>
      </c>
      <c r="AE244" s="12">
        <f>IF(AD244&gt;0,IF(AD244&lt;=eco,alpha*fck*(1-(1-AD244/eco)^n),alpha*fck),0)</f>
      </c>
      <c r="AF244" s="30">
        <f>PM_Angle!$J$18+PM_Angle!$K$18*$C244+PM_Angle!$L$18*$B244</f>
      </c>
      <c r="AG244" s="12">
        <f>IF(AF244&gt;0,IF(AF244&lt;=eco,alpha*fck*(1-(1-AF244/eco)^n),alpha*fck),0)</f>
      </c>
      <c r="AH244" s="30">
        <f>PM_Angle!$J$19+PM_Angle!$K$19*$C244+PM_Angle!$L$19*$B244</f>
      </c>
      <c r="AI244" s="12">
        <f>IF(AH244&gt;0,IF(AH244&lt;=eco,alpha*fck*(1-(1-AH244/eco)^n),alpha*fck),0)</f>
      </c>
      <c r="AJ244" s="30">
        <f>PM_Angle!$J$20+PM_Angle!$K$20*$C244+PM_Angle!$L$20*$B244</f>
      </c>
      <c r="AK244" s="12">
        <f>IF(AJ244&gt;0,IF(AJ244&lt;=eco,alpha*fck*(1-(1-AJ244/eco)^n),alpha*fck),0)</f>
      </c>
      <c r="AL244" s="30">
        <f>PM_Angle!$J$21+PM_Angle!$K$21*$C244+PM_Angle!$L$21*$B244</f>
      </c>
      <c r="AM244" s="12">
        <f>IF(AL244&gt;0,IF(AL244&lt;=eco,alpha*fck*(1-(1-AL244/eco)^n),alpha*fck),0)</f>
      </c>
      <c r="AN244" s="30">
        <f>PM_Angle!$J$22+PM_Angle!$K$22*$C244+PM_Angle!$L$22*$B244</f>
      </c>
      <c r="AO244" s="12">
        <f>IF(AN244&gt;0,IF(AN244&lt;=eco,alpha*fck*(1-(1-AN244/eco)^n),alpha*fck),0)</f>
      </c>
      <c r="AP244" s="30">
        <f>PM_Angle!$J$23+PM_Angle!$K$23*$C244+PM_Angle!$L$23*$B244</f>
      </c>
      <c r="AQ244" s="12">
        <f>IF(AP244&gt;0,IF(AP244&lt;=eco,alpha*fck*(1-(1-AP244/eco)^n),alpha*fck),0)</f>
      </c>
      <c r="AR244" s="30">
        <f>PM_Angle!$J$24+PM_Angle!$K$24*$C244+PM_Angle!$L$24*$B244</f>
      </c>
      <c r="AS244" s="12">
        <f>IF(AR244&gt;0,IF(AR244&lt;=eco,alpha*fck*(1-(1-AR244/eco)^n),alpha*fck),0)</f>
      </c>
      <c r="AT244" s="30">
        <f>PM_Angle!$J$25+PM_Angle!$K$25*$C244+PM_Angle!$L$25*$B244</f>
      </c>
      <c r="AU244" s="12">
        <f>IF(AT244&gt;0,IF(AT244&lt;=eco,alpha*fck*(1-(1-AT244/eco)^n),alpha*fck),0)</f>
      </c>
    </row>
    <row r="245" spans="1:47" x14ac:dyDescent="0.25">
      <c r="A245">
        <f>Mesh!A242</f>
      </c>
      <c r="B245" s="12">
        <f>Mesh!B242</f>
      </c>
      <c r="C245" s="12">
        <f>Mesh!C242</f>
      </c>
      <c r="D245" s="12">
        <f>Mesh!D242</f>
      </c>
      <c r="E245" s="30">
        <f>INDEX(St_e0,Det+1)+INDEX(St_kx,Det+1)*C245+INDEX(St_ky,Det+1)*B245</f>
      </c>
      <c r="F245" s="12">
        <f>IF(E245&gt;0,IF(E245&lt;=eco,alpha*fck*(1-(1-E245/eco)^n),alpha*fck),0)</f>
      </c>
      <c r="G245" s="11">
        <f>F245*D245</f>
      </c>
      <c r="H245" s="11">
        <f>G245*C245</f>
      </c>
      <c r="I245" s="11">
        <f>G245*B245</f>
      </c>
      <c r="J245" s="30">
        <f>PM_Angle!$J$7+PM_Angle!$K$7*$C245+PM_Angle!$L$7*$B245</f>
      </c>
      <c r="K245" s="12">
        <f>IF(J245&gt;0,IF(J245&lt;=eco,alpha*fck*(1-(1-J245/eco)^n),alpha*fck),0)</f>
      </c>
      <c r="L245" s="30">
        <f>PM_Angle!$J$8+PM_Angle!$K$8*$C245+PM_Angle!$L$8*$B245</f>
      </c>
      <c r="M245" s="12">
        <f>IF(L245&gt;0,IF(L245&lt;=eco,alpha*fck*(1-(1-L245/eco)^n),alpha*fck),0)</f>
      </c>
      <c r="N245" s="30">
        <f>PM_Angle!$J$9+PM_Angle!$K$9*$C245+PM_Angle!$L$9*$B245</f>
      </c>
      <c r="O245" s="12">
        <f>IF(N245&gt;0,IF(N245&lt;=eco,alpha*fck*(1-(1-N245/eco)^n),alpha*fck),0)</f>
      </c>
      <c r="P245" s="30">
        <f>PM_Angle!$J$10+PM_Angle!$K$10*$C245+PM_Angle!$L$10*$B245</f>
      </c>
      <c r="Q245" s="12">
        <f>IF(P245&gt;0,IF(P245&lt;=eco,alpha*fck*(1-(1-P245/eco)^n),alpha*fck),0)</f>
      </c>
      <c r="R245" s="30">
        <f>PM_Angle!$J$11+PM_Angle!$K$11*$C245+PM_Angle!$L$11*$B245</f>
      </c>
      <c r="S245" s="12">
        <f>IF(R245&gt;0,IF(R245&lt;=eco,alpha*fck*(1-(1-R245/eco)^n),alpha*fck),0)</f>
      </c>
      <c r="T245" s="30">
        <f>PM_Angle!$J$12+PM_Angle!$K$12*$C245+PM_Angle!$L$12*$B245</f>
      </c>
      <c r="U245" s="12">
        <f>IF(T245&gt;0,IF(T245&lt;=eco,alpha*fck*(1-(1-T245/eco)^n),alpha*fck),0)</f>
      </c>
      <c r="V245" s="30">
        <f>PM_Angle!$J$13+PM_Angle!$K$13*$C245+PM_Angle!$L$13*$B245</f>
      </c>
      <c r="W245" s="12">
        <f>IF(V245&gt;0,IF(V245&lt;=eco,alpha*fck*(1-(1-V245/eco)^n),alpha*fck),0)</f>
      </c>
      <c r="X245" s="30">
        <f>PM_Angle!$J$14+PM_Angle!$K$14*$C245+PM_Angle!$L$14*$B245</f>
      </c>
      <c r="Y245" s="12">
        <f>IF(X245&gt;0,IF(X245&lt;=eco,alpha*fck*(1-(1-X245/eco)^n),alpha*fck),0)</f>
      </c>
      <c r="Z245" s="30">
        <f>PM_Angle!$J$15+PM_Angle!$K$15*$C245+PM_Angle!$L$15*$B245</f>
      </c>
      <c r="AA245" s="12">
        <f>IF(Z245&gt;0,IF(Z245&lt;=eco,alpha*fck*(1-(1-Z245/eco)^n),alpha*fck),0)</f>
      </c>
      <c r="AB245" s="30">
        <f>PM_Angle!$J$16+PM_Angle!$K$16*$C245+PM_Angle!$L$16*$B245</f>
      </c>
      <c r="AC245" s="12">
        <f>IF(AB245&gt;0,IF(AB245&lt;=eco,alpha*fck*(1-(1-AB245/eco)^n),alpha*fck),0)</f>
      </c>
      <c r="AD245" s="30">
        <f>PM_Angle!$J$17+PM_Angle!$K$17*$C245+PM_Angle!$L$17*$B245</f>
      </c>
      <c r="AE245" s="12">
        <f>IF(AD245&gt;0,IF(AD245&lt;=eco,alpha*fck*(1-(1-AD245/eco)^n),alpha*fck),0)</f>
      </c>
      <c r="AF245" s="30">
        <f>PM_Angle!$J$18+PM_Angle!$K$18*$C245+PM_Angle!$L$18*$B245</f>
      </c>
      <c r="AG245" s="12">
        <f>IF(AF245&gt;0,IF(AF245&lt;=eco,alpha*fck*(1-(1-AF245/eco)^n),alpha*fck),0)</f>
      </c>
      <c r="AH245" s="30">
        <f>PM_Angle!$J$19+PM_Angle!$K$19*$C245+PM_Angle!$L$19*$B245</f>
      </c>
      <c r="AI245" s="12">
        <f>IF(AH245&gt;0,IF(AH245&lt;=eco,alpha*fck*(1-(1-AH245/eco)^n),alpha*fck),0)</f>
      </c>
      <c r="AJ245" s="30">
        <f>PM_Angle!$J$20+PM_Angle!$K$20*$C245+PM_Angle!$L$20*$B245</f>
      </c>
      <c r="AK245" s="12">
        <f>IF(AJ245&gt;0,IF(AJ245&lt;=eco,alpha*fck*(1-(1-AJ245/eco)^n),alpha*fck),0)</f>
      </c>
      <c r="AL245" s="30">
        <f>PM_Angle!$J$21+PM_Angle!$K$21*$C245+PM_Angle!$L$21*$B245</f>
      </c>
      <c r="AM245" s="12">
        <f>IF(AL245&gt;0,IF(AL245&lt;=eco,alpha*fck*(1-(1-AL245/eco)^n),alpha*fck),0)</f>
      </c>
      <c r="AN245" s="30">
        <f>PM_Angle!$J$22+PM_Angle!$K$22*$C245+PM_Angle!$L$22*$B245</f>
      </c>
      <c r="AO245" s="12">
        <f>IF(AN245&gt;0,IF(AN245&lt;=eco,alpha*fck*(1-(1-AN245/eco)^n),alpha*fck),0)</f>
      </c>
      <c r="AP245" s="30">
        <f>PM_Angle!$J$23+PM_Angle!$K$23*$C245+PM_Angle!$L$23*$B245</f>
      </c>
      <c r="AQ245" s="12">
        <f>IF(AP245&gt;0,IF(AP245&lt;=eco,alpha*fck*(1-(1-AP245/eco)^n),alpha*fck),0)</f>
      </c>
      <c r="AR245" s="30">
        <f>PM_Angle!$J$24+PM_Angle!$K$24*$C245+PM_Angle!$L$24*$B245</f>
      </c>
      <c r="AS245" s="12">
        <f>IF(AR245&gt;0,IF(AR245&lt;=eco,alpha*fck*(1-(1-AR245/eco)^n),alpha*fck),0)</f>
      </c>
      <c r="AT245" s="30">
        <f>PM_Angle!$J$25+PM_Angle!$K$25*$C245+PM_Angle!$L$25*$B245</f>
      </c>
      <c r="AU245" s="12">
        <f>IF(AT245&gt;0,IF(AT245&lt;=eco,alpha*fck*(1-(1-AT245/eco)^n),alpha*fck),0)</f>
      </c>
    </row>
    <row r="246" spans="1:47" x14ac:dyDescent="0.25">
      <c r="A246">
        <f>Mesh!A243</f>
      </c>
      <c r="B246" s="12">
        <f>Mesh!B243</f>
      </c>
      <c r="C246" s="12">
        <f>Mesh!C243</f>
      </c>
      <c r="D246" s="12">
        <f>Mesh!D243</f>
      </c>
      <c r="E246" s="30">
        <f>INDEX(St_e0,Det+1)+INDEX(St_kx,Det+1)*C246+INDEX(St_ky,Det+1)*B246</f>
      </c>
      <c r="F246" s="12">
        <f>IF(E246&gt;0,IF(E246&lt;=eco,alpha*fck*(1-(1-E246/eco)^n),alpha*fck),0)</f>
      </c>
      <c r="G246" s="11">
        <f>F246*D246</f>
      </c>
      <c r="H246" s="11">
        <f>G246*C246</f>
      </c>
      <c r="I246" s="11">
        <f>G246*B246</f>
      </c>
      <c r="J246" s="30">
        <f>PM_Angle!$J$7+PM_Angle!$K$7*$C246+PM_Angle!$L$7*$B246</f>
      </c>
      <c r="K246" s="12">
        <f>IF(J246&gt;0,IF(J246&lt;=eco,alpha*fck*(1-(1-J246/eco)^n),alpha*fck),0)</f>
      </c>
      <c r="L246" s="30">
        <f>PM_Angle!$J$8+PM_Angle!$K$8*$C246+PM_Angle!$L$8*$B246</f>
      </c>
      <c r="M246" s="12">
        <f>IF(L246&gt;0,IF(L246&lt;=eco,alpha*fck*(1-(1-L246/eco)^n),alpha*fck),0)</f>
      </c>
      <c r="N246" s="30">
        <f>PM_Angle!$J$9+PM_Angle!$K$9*$C246+PM_Angle!$L$9*$B246</f>
      </c>
      <c r="O246" s="12">
        <f>IF(N246&gt;0,IF(N246&lt;=eco,alpha*fck*(1-(1-N246/eco)^n),alpha*fck),0)</f>
      </c>
      <c r="P246" s="30">
        <f>PM_Angle!$J$10+PM_Angle!$K$10*$C246+PM_Angle!$L$10*$B246</f>
      </c>
      <c r="Q246" s="12">
        <f>IF(P246&gt;0,IF(P246&lt;=eco,alpha*fck*(1-(1-P246/eco)^n),alpha*fck),0)</f>
      </c>
      <c r="R246" s="30">
        <f>PM_Angle!$J$11+PM_Angle!$K$11*$C246+PM_Angle!$L$11*$B246</f>
      </c>
      <c r="S246" s="12">
        <f>IF(R246&gt;0,IF(R246&lt;=eco,alpha*fck*(1-(1-R246/eco)^n),alpha*fck),0)</f>
      </c>
      <c r="T246" s="30">
        <f>PM_Angle!$J$12+PM_Angle!$K$12*$C246+PM_Angle!$L$12*$B246</f>
      </c>
      <c r="U246" s="12">
        <f>IF(T246&gt;0,IF(T246&lt;=eco,alpha*fck*(1-(1-T246/eco)^n),alpha*fck),0)</f>
      </c>
      <c r="V246" s="30">
        <f>PM_Angle!$J$13+PM_Angle!$K$13*$C246+PM_Angle!$L$13*$B246</f>
      </c>
      <c r="W246" s="12">
        <f>IF(V246&gt;0,IF(V246&lt;=eco,alpha*fck*(1-(1-V246/eco)^n),alpha*fck),0)</f>
      </c>
      <c r="X246" s="30">
        <f>PM_Angle!$J$14+PM_Angle!$K$14*$C246+PM_Angle!$L$14*$B246</f>
      </c>
      <c r="Y246" s="12">
        <f>IF(X246&gt;0,IF(X246&lt;=eco,alpha*fck*(1-(1-X246/eco)^n),alpha*fck),0)</f>
      </c>
      <c r="Z246" s="30">
        <f>PM_Angle!$J$15+PM_Angle!$K$15*$C246+PM_Angle!$L$15*$B246</f>
      </c>
      <c r="AA246" s="12">
        <f>IF(Z246&gt;0,IF(Z246&lt;=eco,alpha*fck*(1-(1-Z246/eco)^n),alpha*fck),0)</f>
      </c>
      <c r="AB246" s="30">
        <f>PM_Angle!$J$16+PM_Angle!$K$16*$C246+PM_Angle!$L$16*$B246</f>
      </c>
      <c r="AC246" s="12">
        <f>IF(AB246&gt;0,IF(AB246&lt;=eco,alpha*fck*(1-(1-AB246/eco)^n),alpha*fck),0)</f>
      </c>
      <c r="AD246" s="30">
        <f>PM_Angle!$J$17+PM_Angle!$K$17*$C246+PM_Angle!$L$17*$B246</f>
      </c>
      <c r="AE246" s="12">
        <f>IF(AD246&gt;0,IF(AD246&lt;=eco,alpha*fck*(1-(1-AD246/eco)^n),alpha*fck),0)</f>
      </c>
      <c r="AF246" s="30">
        <f>PM_Angle!$J$18+PM_Angle!$K$18*$C246+PM_Angle!$L$18*$B246</f>
      </c>
      <c r="AG246" s="12">
        <f>IF(AF246&gt;0,IF(AF246&lt;=eco,alpha*fck*(1-(1-AF246/eco)^n),alpha*fck),0)</f>
      </c>
      <c r="AH246" s="30">
        <f>PM_Angle!$J$19+PM_Angle!$K$19*$C246+PM_Angle!$L$19*$B246</f>
      </c>
      <c r="AI246" s="12">
        <f>IF(AH246&gt;0,IF(AH246&lt;=eco,alpha*fck*(1-(1-AH246/eco)^n),alpha*fck),0)</f>
      </c>
      <c r="AJ246" s="30">
        <f>PM_Angle!$J$20+PM_Angle!$K$20*$C246+PM_Angle!$L$20*$B246</f>
      </c>
      <c r="AK246" s="12">
        <f>IF(AJ246&gt;0,IF(AJ246&lt;=eco,alpha*fck*(1-(1-AJ246/eco)^n),alpha*fck),0)</f>
      </c>
      <c r="AL246" s="30">
        <f>PM_Angle!$J$21+PM_Angle!$K$21*$C246+PM_Angle!$L$21*$B246</f>
      </c>
      <c r="AM246" s="12">
        <f>IF(AL246&gt;0,IF(AL246&lt;=eco,alpha*fck*(1-(1-AL246/eco)^n),alpha*fck),0)</f>
      </c>
      <c r="AN246" s="30">
        <f>PM_Angle!$J$22+PM_Angle!$K$22*$C246+PM_Angle!$L$22*$B246</f>
      </c>
      <c r="AO246" s="12">
        <f>IF(AN246&gt;0,IF(AN246&lt;=eco,alpha*fck*(1-(1-AN246/eco)^n),alpha*fck),0)</f>
      </c>
      <c r="AP246" s="30">
        <f>PM_Angle!$J$23+PM_Angle!$K$23*$C246+PM_Angle!$L$23*$B246</f>
      </c>
      <c r="AQ246" s="12">
        <f>IF(AP246&gt;0,IF(AP246&lt;=eco,alpha*fck*(1-(1-AP246/eco)^n),alpha*fck),0)</f>
      </c>
      <c r="AR246" s="30">
        <f>PM_Angle!$J$24+PM_Angle!$K$24*$C246+PM_Angle!$L$24*$B246</f>
      </c>
      <c r="AS246" s="12">
        <f>IF(AR246&gt;0,IF(AR246&lt;=eco,alpha*fck*(1-(1-AR246/eco)^n),alpha*fck),0)</f>
      </c>
      <c r="AT246" s="30">
        <f>PM_Angle!$J$25+PM_Angle!$K$25*$C246+PM_Angle!$L$25*$B246</f>
      </c>
      <c r="AU246" s="12">
        <f>IF(AT246&gt;0,IF(AT246&lt;=eco,alpha*fck*(1-(1-AT246/eco)^n),alpha*fck),0)</f>
      </c>
    </row>
    <row r="247" spans="1:47" x14ac:dyDescent="0.25">
      <c r="A247">
        <f>Mesh!A244</f>
      </c>
      <c r="B247" s="12">
        <f>Mesh!B244</f>
      </c>
      <c r="C247" s="12">
        <f>Mesh!C244</f>
      </c>
      <c r="D247" s="12">
        <f>Mesh!D244</f>
      </c>
      <c r="E247" s="30">
        <f>INDEX(St_e0,Det+1)+INDEX(St_kx,Det+1)*C247+INDEX(St_ky,Det+1)*B247</f>
      </c>
      <c r="F247" s="12">
        <f>IF(E247&gt;0,IF(E247&lt;=eco,alpha*fck*(1-(1-E247/eco)^n),alpha*fck),0)</f>
      </c>
      <c r="G247" s="11">
        <f>F247*D247</f>
      </c>
      <c r="H247" s="11">
        <f>G247*C247</f>
      </c>
      <c r="I247" s="11">
        <f>G247*B247</f>
      </c>
      <c r="J247" s="30">
        <f>PM_Angle!$J$7+PM_Angle!$K$7*$C247+PM_Angle!$L$7*$B247</f>
      </c>
      <c r="K247" s="12">
        <f>IF(J247&gt;0,IF(J247&lt;=eco,alpha*fck*(1-(1-J247/eco)^n),alpha*fck),0)</f>
      </c>
      <c r="L247" s="30">
        <f>PM_Angle!$J$8+PM_Angle!$K$8*$C247+PM_Angle!$L$8*$B247</f>
      </c>
      <c r="M247" s="12">
        <f>IF(L247&gt;0,IF(L247&lt;=eco,alpha*fck*(1-(1-L247/eco)^n),alpha*fck),0)</f>
      </c>
      <c r="N247" s="30">
        <f>PM_Angle!$J$9+PM_Angle!$K$9*$C247+PM_Angle!$L$9*$B247</f>
      </c>
      <c r="O247" s="12">
        <f>IF(N247&gt;0,IF(N247&lt;=eco,alpha*fck*(1-(1-N247/eco)^n),alpha*fck),0)</f>
      </c>
      <c r="P247" s="30">
        <f>PM_Angle!$J$10+PM_Angle!$K$10*$C247+PM_Angle!$L$10*$B247</f>
      </c>
      <c r="Q247" s="12">
        <f>IF(P247&gt;0,IF(P247&lt;=eco,alpha*fck*(1-(1-P247/eco)^n),alpha*fck),0)</f>
      </c>
      <c r="R247" s="30">
        <f>PM_Angle!$J$11+PM_Angle!$K$11*$C247+PM_Angle!$L$11*$B247</f>
      </c>
      <c r="S247" s="12">
        <f>IF(R247&gt;0,IF(R247&lt;=eco,alpha*fck*(1-(1-R247/eco)^n),alpha*fck),0)</f>
      </c>
      <c r="T247" s="30">
        <f>PM_Angle!$J$12+PM_Angle!$K$12*$C247+PM_Angle!$L$12*$B247</f>
      </c>
      <c r="U247" s="12">
        <f>IF(T247&gt;0,IF(T247&lt;=eco,alpha*fck*(1-(1-T247/eco)^n),alpha*fck),0)</f>
      </c>
      <c r="V247" s="30">
        <f>PM_Angle!$J$13+PM_Angle!$K$13*$C247+PM_Angle!$L$13*$B247</f>
      </c>
      <c r="W247" s="12">
        <f>IF(V247&gt;0,IF(V247&lt;=eco,alpha*fck*(1-(1-V247/eco)^n),alpha*fck),0)</f>
      </c>
      <c r="X247" s="30">
        <f>PM_Angle!$J$14+PM_Angle!$K$14*$C247+PM_Angle!$L$14*$B247</f>
      </c>
      <c r="Y247" s="12">
        <f>IF(X247&gt;0,IF(X247&lt;=eco,alpha*fck*(1-(1-X247/eco)^n),alpha*fck),0)</f>
      </c>
      <c r="Z247" s="30">
        <f>PM_Angle!$J$15+PM_Angle!$K$15*$C247+PM_Angle!$L$15*$B247</f>
      </c>
      <c r="AA247" s="12">
        <f>IF(Z247&gt;0,IF(Z247&lt;=eco,alpha*fck*(1-(1-Z247/eco)^n),alpha*fck),0)</f>
      </c>
      <c r="AB247" s="30">
        <f>PM_Angle!$J$16+PM_Angle!$K$16*$C247+PM_Angle!$L$16*$B247</f>
      </c>
      <c r="AC247" s="12">
        <f>IF(AB247&gt;0,IF(AB247&lt;=eco,alpha*fck*(1-(1-AB247/eco)^n),alpha*fck),0)</f>
      </c>
      <c r="AD247" s="30">
        <f>PM_Angle!$J$17+PM_Angle!$K$17*$C247+PM_Angle!$L$17*$B247</f>
      </c>
      <c r="AE247" s="12">
        <f>IF(AD247&gt;0,IF(AD247&lt;=eco,alpha*fck*(1-(1-AD247/eco)^n),alpha*fck),0)</f>
      </c>
      <c r="AF247" s="30">
        <f>PM_Angle!$J$18+PM_Angle!$K$18*$C247+PM_Angle!$L$18*$B247</f>
      </c>
      <c r="AG247" s="12">
        <f>IF(AF247&gt;0,IF(AF247&lt;=eco,alpha*fck*(1-(1-AF247/eco)^n),alpha*fck),0)</f>
      </c>
      <c r="AH247" s="30">
        <f>PM_Angle!$J$19+PM_Angle!$K$19*$C247+PM_Angle!$L$19*$B247</f>
      </c>
      <c r="AI247" s="12">
        <f>IF(AH247&gt;0,IF(AH247&lt;=eco,alpha*fck*(1-(1-AH247/eco)^n),alpha*fck),0)</f>
      </c>
      <c r="AJ247" s="30">
        <f>PM_Angle!$J$20+PM_Angle!$K$20*$C247+PM_Angle!$L$20*$B247</f>
      </c>
      <c r="AK247" s="12">
        <f>IF(AJ247&gt;0,IF(AJ247&lt;=eco,alpha*fck*(1-(1-AJ247/eco)^n),alpha*fck),0)</f>
      </c>
      <c r="AL247" s="30">
        <f>PM_Angle!$J$21+PM_Angle!$K$21*$C247+PM_Angle!$L$21*$B247</f>
      </c>
      <c r="AM247" s="12">
        <f>IF(AL247&gt;0,IF(AL247&lt;=eco,alpha*fck*(1-(1-AL247/eco)^n),alpha*fck),0)</f>
      </c>
      <c r="AN247" s="30">
        <f>PM_Angle!$J$22+PM_Angle!$K$22*$C247+PM_Angle!$L$22*$B247</f>
      </c>
      <c r="AO247" s="12">
        <f>IF(AN247&gt;0,IF(AN247&lt;=eco,alpha*fck*(1-(1-AN247/eco)^n),alpha*fck),0)</f>
      </c>
      <c r="AP247" s="30">
        <f>PM_Angle!$J$23+PM_Angle!$K$23*$C247+PM_Angle!$L$23*$B247</f>
      </c>
      <c r="AQ247" s="12">
        <f>IF(AP247&gt;0,IF(AP247&lt;=eco,alpha*fck*(1-(1-AP247/eco)^n),alpha*fck),0)</f>
      </c>
      <c r="AR247" s="30">
        <f>PM_Angle!$J$24+PM_Angle!$K$24*$C247+PM_Angle!$L$24*$B247</f>
      </c>
      <c r="AS247" s="12">
        <f>IF(AR247&gt;0,IF(AR247&lt;=eco,alpha*fck*(1-(1-AR247/eco)^n),alpha*fck),0)</f>
      </c>
      <c r="AT247" s="30">
        <f>PM_Angle!$J$25+PM_Angle!$K$25*$C247+PM_Angle!$L$25*$B247</f>
      </c>
      <c r="AU247" s="12">
        <f>IF(AT247&gt;0,IF(AT247&lt;=eco,alpha*fck*(1-(1-AT247/eco)^n),alpha*fck),0)</f>
      </c>
    </row>
    <row r="248" spans="1:47" x14ac:dyDescent="0.25">
      <c r="A248">
        <f>Mesh!A245</f>
      </c>
      <c r="B248" s="12">
        <f>Mesh!B245</f>
      </c>
      <c r="C248" s="12">
        <f>Mesh!C245</f>
      </c>
      <c r="D248" s="12">
        <f>Mesh!D245</f>
      </c>
      <c r="E248" s="30">
        <f>INDEX(St_e0,Det+1)+INDEX(St_kx,Det+1)*C248+INDEX(St_ky,Det+1)*B248</f>
      </c>
      <c r="F248" s="12">
        <f>IF(E248&gt;0,IF(E248&lt;=eco,alpha*fck*(1-(1-E248/eco)^n),alpha*fck),0)</f>
      </c>
      <c r="G248" s="11">
        <f>F248*D248</f>
      </c>
      <c r="H248" s="11">
        <f>G248*C248</f>
      </c>
      <c r="I248" s="11">
        <f>G248*B248</f>
      </c>
      <c r="J248" s="30">
        <f>PM_Angle!$J$7+PM_Angle!$K$7*$C248+PM_Angle!$L$7*$B248</f>
      </c>
      <c r="K248" s="12">
        <f>IF(J248&gt;0,IF(J248&lt;=eco,alpha*fck*(1-(1-J248/eco)^n),alpha*fck),0)</f>
      </c>
      <c r="L248" s="30">
        <f>PM_Angle!$J$8+PM_Angle!$K$8*$C248+PM_Angle!$L$8*$B248</f>
      </c>
      <c r="M248" s="12">
        <f>IF(L248&gt;0,IF(L248&lt;=eco,alpha*fck*(1-(1-L248/eco)^n),alpha*fck),0)</f>
      </c>
      <c r="N248" s="30">
        <f>PM_Angle!$J$9+PM_Angle!$K$9*$C248+PM_Angle!$L$9*$B248</f>
      </c>
      <c r="O248" s="12">
        <f>IF(N248&gt;0,IF(N248&lt;=eco,alpha*fck*(1-(1-N248/eco)^n),alpha*fck),0)</f>
      </c>
      <c r="P248" s="30">
        <f>PM_Angle!$J$10+PM_Angle!$K$10*$C248+PM_Angle!$L$10*$B248</f>
      </c>
      <c r="Q248" s="12">
        <f>IF(P248&gt;0,IF(P248&lt;=eco,alpha*fck*(1-(1-P248/eco)^n),alpha*fck),0)</f>
      </c>
      <c r="R248" s="30">
        <f>PM_Angle!$J$11+PM_Angle!$K$11*$C248+PM_Angle!$L$11*$B248</f>
      </c>
      <c r="S248" s="12">
        <f>IF(R248&gt;0,IF(R248&lt;=eco,alpha*fck*(1-(1-R248/eco)^n),alpha*fck),0)</f>
      </c>
      <c r="T248" s="30">
        <f>PM_Angle!$J$12+PM_Angle!$K$12*$C248+PM_Angle!$L$12*$B248</f>
      </c>
      <c r="U248" s="12">
        <f>IF(T248&gt;0,IF(T248&lt;=eco,alpha*fck*(1-(1-T248/eco)^n),alpha*fck),0)</f>
      </c>
      <c r="V248" s="30">
        <f>PM_Angle!$J$13+PM_Angle!$K$13*$C248+PM_Angle!$L$13*$B248</f>
      </c>
      <c r="W248" s="12">
        <f>IF(V248&gt;0,IF(V248&lt;=eco,alpha*fck*(1-(1-V248/eco)^n),alpha*fck),0)</f>
      </c>
      <c r="X248" s="30">
        <f>PM_Angle!$J$14+PM_Angle!$K$14*$C248+PM_Angle!$L$14*$B248</f>
      </c>
      <c r="Y248" s="12">
        <f>IF(X248&gt;0,IF(X248&lt;=eco,alpha*fck*(1-(1-X248/eco)^n),alpha*fck),0)</f>
      </c>
      <c r="Z248" s="30">
        <f>PM_Angle!$J$15+PM_Angle!$K$15*$C248+PM_Angle!$L$15*$B248</f>
      </c>
      <c r="AA248" s="12">
        <f>IF(Z248&gt;0,IF(Z248&lt;=eco,alpha*fck*(1-(1-Z248/eco)^n),alpha*fck),0)</f>
      </c>
      <c r="AB248" s="30">
        <f>PM_Angle!$J$16+PM_Angle!$K$16*$C248+PM_Angle!$L$16*$B248</f>
      </c>
      <c r="AC248" s="12">
        <f>IF(AB248&gt;0,IF(AB248&lt;=eco,alpha*fck*(1-(1-AB248/eco)^n),alpha*fck),0)</f>
      </c>
      <c r="AD248" s="30">
        <f>PM_Angle!$J$17+PM_Angle!$K$17*$C248+PM_Angle!$L$17*$B248</f>
      </c>
      <c r="AE248" s="12">
        <f>IF(AD248&gt;0,IF(AD248&lt;=eco,alpha*fck*(1-(1-AD248/eco)^n),alpha*fck),0)</f>
      </c>
      <c r="AF248" s="30">
        <f>PM_Angle!$J$18+PM_Angle!$K$18*$C248+PM_Angle!$L$18*$B248</f>
      </c>
      <c r="AG248" s="12">
        <f>IF(AF248&gt;0,IF(AF248&lt;=eco,alpha*fck*(1-(1-AF248/eco)^n),alpha*fck),0)</f>
      </c>
      <c r="AH248" s="30">
        <f>PM_Angle!$J$19+PM_Angle!$K$19*$C248+PM_Angle!$L$19*$B248</f>
      </c>
      <c r="AI248" s="12">
        <f>IF(AH248&gt;0,IF(AH248&lt;=eco,alpha*fck*(1-(1-AH248/eco)^n),alpha*fck),0)</f>
      </c>
      <c r="AJ248" s="30">
        <f>PM_Angle!$J$20+PM_Angle!$K$20*$C248+PM_Angle!$L$20*$B248</f>
      </c>
      <c r="AK248" s="12">
        <f>IF(AJ248&gt;0,IF(AJ248&lt;=eco,alpha*fck*(1-(1-AJ248/eco)^n),alpha*fck),0)</f>
      </c>
      <c r="AL248" s="30">
        <f>PM_Angle!$J$21+PM_Angle!$K$21*$C248+PM_Angle!$L$21*$B248</f>
      </c>
      <c r="AM248" s="12">
        <f>IF(AL248&gt;0,IF(AL248&lt;=eco,alpha*fck*(1-(1-AL248/eco)^n),alpha*fck),0)</f>
      </c>
      <c r="AN248" s="30">
        <f>PM_Angle!$J$22+PM_Angle!$K$22*$C248+PM_Angle!$L$22*$B248</f>
      </c>
      <c r="AO248" s="12">
        <f>IF(AN248&gt;0,IF(AN248&lt;=eco,alpha*fck*(1-(1-AN248/eco)^n),alpha*fck),0)</f>
      </c>
      <c r="AP248" s="30">
        <f>PM_Angle!$J$23+PM_Angle!$K$23*$C248+PM_Angle!$L$23*$B248</f>
      </c>
      <c r="AQ248" s="12">
        <f>IF(AP248&gt;0,IF(AP248&lt;=eco,alpha*fck*(1-(1-AP248/eco)^n),alpha*fck),0)</f>
      </c>
      <c r="AR248" s="30">
        <f>PM_Angle!$J$24+PM_Angle!$K$24*$C248+PM_Angle!$L$24*$B248</f>
      </c>
      <c r="AS248" s="12">
        <f>IF(AR248&gt;0,IF(AR248&lt;=eco,alpha*fck*(1-(1-AR248/eco)^n),alpha*fck),0)</f>
      </c>
      <c r="AT248" s="30">
        <f>PM_Angle!$J$25+PM_Angle!$K$25*$C248+PM_Angle!$L$25*$B248</f>
      </c>
      <c r="AU248" s="12">
        <f>IF(AT248&gt;0,IF(AT248&lt;=eco,alpha*fck*(1-(1-AT248/eco)^n),alpha*fck),0)</f>
      </c>
    </row>
    <row r="249" spans="1:47" x14ac:dyDescent="0.25">
      <c r="A249">
        <f>Mesh!A246</f>
      </c>
      <c r="B249" s="12">
        <f>Mesh!B246</f>
      </c>
      <c r="C249" s="12">
        <f>Mesh!C246</f>
      </c>
      <c r="D249" s="12">
        <f>Mesh!D246</f>
      </c>
      <c r="E249" s="30">
        <f>INDEX(St_e0,Det+1)+INDEX(St_kx,Det+1)*C249+INDEX(St_ky,Det+1)*B249</f>
      </c>
      <c r="F249" s="12">
        <f>IF(E249&gt;0,IF(E249&lt;=eco,alpha*fck*(1-(1-E249/eco)^n),alpha*fck),0)</f>
      </c>
      <c r="G249" s="11">
        <f>F249*D249</f>
      </c>
      <c r="H249" s="11">
        <f>G249*C249</f>
      </c>
      <c r="I249" s="11">
        <f>G249*B249</f>
      </c>
      <c r="J249" s="30">
        <f>PM_Angle!$J$7+PM_Angle!$K$7*$C249+PM_Angle!$L$7*$B249</f>
      </c>
      <c r="K249" s="12">
        <f>IF(J249&gt;0,IF(J249&lt;=eco,alpha*fck*(1-(1-J249/eco)^n),alpha*fck),0)</f>
      </c>
      <c r="L249" s="30">
        <f>PM_Angle!$J$8+PM_Angle!$K$8*$C249+PM_Angle!$L$8*$B249</f>
      </c>
      <c r="M249" s="12">
        <f>IF(L249&gt;0,IF(L249&lt;=eco,alpha*fck*(1-(1-L249/eco)^n),alpha*fck),0)</f>
      </c>
      <c r="N249" s="30">
        <f>PM_Angle!$J$9+PM_Angle!$K$9*$C249+PM_Angle!$L$9*$B249</f>
      </c>
      <c r="O249" s="12">
        <f>IF(N249&gt;0,IF(N249&lt;=eco,alpha*fck*(1-(1-N249/eco)^n),alpha*fck),0)</f>
      </c>
      <c r="P249" s="30">
        <f>PM_Angle!$J$10+PM_Angle!$K$10*$C249+PM_Angle!$L$10*$B249</f>
      </c>
      <c r="Q249" s="12">
        <f>IF(P249&gt;0,IF(P249&lt;=eco,alpha*fck*(1-(1-P249/eco)^n),alpha*fck),0)</f>
      </c>
      <c r="R249" s="30">
        <f>PM_Angle!$J$11+PM_Angle!$K$11*$C249+PM_Angle!$L$11*$B249</f>
      </c>
      <c r="S249" s="12">
        <f>IF(R249&gt;0,IF(R249&lt;=eco,alpha*fck*(1-(1-R249/eco)^n),alpha*fck),0)</f>
      </c>
      <c r="T249" s="30">
        <f>PM_Angle!$J$12+PM_Angle!$K$12*$C249+PM_Angle!$L$12*$B249</f>
      </c>
      <c r="U249" s="12">
        <f>IF(T249&gt;0,IF(T249&lt;=eco,alpha*fck*(1-(1-T249/eco)^n),alpha*fck),0)</f>
      </c>
      <c r="V249" s="30">
        <f>PM_Angle!$J$13+PM_Angle!$K$13*$C249+PM_Angle!$L$13*$B249</f>
      </c>
      <c r="W249" s="12">
        <f>IF(V249&gt;0,IF(V249&lt;=eco,alpha*fck*(1-(1-V249/eco)^n),alpha*fck),0)</f>
      </c>
      <c r="X249" s="30">
        <f>PM_Angle!$J$14+PM_Angle!$K$14*$C249+PM_Angle!$L$14*$B249</f>
      </c>
      <c r="Y249" s="12">
        <f>IF(X249&gt;0,IF(X249&lt;=eco,alpha*fck*(1-(1-X249/eco)^n),alpha*fck),0)</f>
      </c>
      <c r="Z249" s="30">
        <f>PM_Angle!$J$15+PM_Angle!$K$15*$C249+PM_Angle!$L$15*$B249</f>
      </c>
      <c r="AA249" s="12">
        <f>IF(Z249&gt;0,IF(Z249&lt;=eco,alpha*fck*(1-(1-Z249/eco)^n),alpha*fck),0)</f>
      </c>
      <c r="AB249" s="30">
        <f>PM_Angle!$J$16+PM_Angle!$K$16*$C249+PM_Angle!$L$16*$B249</f>
      </c>
      <c r="AC249" s="12">
        <f>IF(AB249&gt;0,IF(AB249&lt;=eco,alpha*fck*(1-(1-AB249/eco)^n),alpha*fck),0)</f>
      </c>
      <c r="AD249" s="30">
        <f>PM_Angle!$J$17+PM_Angle!$K$17*$C249+PM_Angle!$L$17*$B249</f>
      </c>
      <c r="AE249" s="12">
        <f>IF(AD249&gt;0,IF(AD249&lt;=eco,alpha*fck*(1-(1-AD249/eco)^n),alpha*fck),0)</f>
      </c>
      <c r="AF249" s="30">
        <f>PM_Angle!$J$18+PM_Angle!$K$18*$C249+PM_Angle!$L$18*$B249</f>
      </c>
      <c r="AG249" s="12">
        <f>IF(AF249&gt;0,IF(AF249&lt;=eco,alpha*fck*(1-(1-AF249/eco)^n),alpha*fck),0)</f>
      </c>
      <c r="AH249" s="30">
        <f>PM_Angle!$J$19+PM_Angle!$K$19*$C249+PM_Angle!$L$19*$B249</f>
      </c>
      <c r="AI249" s="12">
        <f>IF(AH249&gt;0,IF(AH249&lt;=eco,alpha*fck*(1-(1-AH249/eco)^n),alpha*fck),0)</f>
      </c>
      <c r="AJ249" s="30">
        <f>PM_Angle!$J$20+PM_Angle!$K$20*$C249+PM_Angle!$L$20*$B249</f>
      </c>
      <c r="AK249" s="12">
        <f>IF(AJ249&gt;0,IF(AJ249&lt;=eco,alpha*fck*(1-(1-AJ249/eco)^n),alpha*fck),0)</f>
      </c>
      <c r="AL249" s="30">
        <f>PM_Angle!$J$21+PM_Angle!$K$21*$C249+PM_Angle!$L$21*$B249</f>
      </c>
      <c r="AM249" s="12">
        <f>IF(AL249&gt;0,IF(AL249&lt;=eco,alpha*fck*(1-(1-AL249/eco)^n),alpha*fck),0)</f>
      </c>
      <c r="AN249" s="30">
        <f>PM_Angle!$J$22+PM_Angle!$K$22*$C249+PM_Angle!$L$22*$B249</f>
      </c>
      <c r="AO249" s="12">
        <f>IF(AN249&gt;0,IF(AN249&lt;=eco,alpha*fck*(1-(1-AN249/eco)^n),alpha*fck),0)</f>
      </c>
      <c r="AP249" s="30">
        <f>PM_Angle!$J$23+PM_Angle!$K$23*$C249+PM_Angle!$L$23*$B249</f>
      </c>
      <c r="AQ249" s="12">
        <f>IF(AP249&gt;0,IF(AP249&lt;=eco,alpha*fck*(1-(1-AP249/eco)^n),alpha*fck),0)</f>
      </c>
      <c r="AR249" s="30">
        <f>PM_Angle!$J$24+PM_Angle!$K$24*$C249+PM_Angle!$L$24*$B249</f>
      </c>
      <c r="AS249" s="12">
        <f>IF(AR249&gt;0,IF(AR249&lt;=eco,alpha*fck*(1-(1-AR249/eco)^n),alpha*fck),0)</f>
      </c>
      <c r="AT249" s="30">
        <f>PM_Angle!$J$25+PM_Angle!$K$25*$C249+PM_Angle!$L$25*$B249</f>
      </c>
      <c r="AU249" s="12">
        <f>IF(AT249&gt;0,IF(AT249&lt;=eco,alpha*fck*(1-(1-AT249/eco)^n),alpha*fck),0)</f>
      </c>
    </row>
    <row r="250" spans="1:47" x14ac:dyDescent="0.25">
      <c r="A250">
        <f>Mesh!A247</f>
      </c>
      <c r="B250" s="12">
        <f>Mesh!B247</f>
      </c>
      <c r="C250" s="12">
        <f>Mesh!C247</f>
      </c>
      <c r="D250" s="12">
        <f>Mesh!D247</f>
      </c>
      <c r="E250" s="30">
        <f>INDEX(St_e0,Det+1)+INDEX(St_kx,Det+1)*C250+INDEX(St_ky,Det+1)*B250</f>
      </c>
      <c r="F250" s="12">
        <f>IF(E250&gt;0,IF(E250&lt;=eco,alpha*fck*(1-(1-E250/eco)^n),alpha*fck),0)</f>
      </c>
      <c r="G250" s="11">
        <f>F250*D250</f>
      </c>
      <c r="H250" s="11">
        <f>G250*C250</f>
      </c>
      <c r="I250" s="11">
        <f>G250*B250</f>
      </c>
      <c r="J250" s="30">
        <f>PM_Angle!$J$7+PM_Angle!$K$7*$C250+PM_Angle!$L$7*$B250</f>
      </c>
      <c r="K250" s="12">
        <f>IF(J250&gt;0,IF(J250&lt;=eco,alpha*fck*(1-(1-J250/eco)^n),alpha*fck),0)</f>
      </c>
      <c r="L250" s="30">
        <f>PM_Angle!$J$8+PM_Angle!$K$8*$C250+PM_Angle!$L$8*$B250</f>
      </c>
      <c r="M250" s="12">
        <f>IF(L250&gt;0,IF(L250&lt;=eco,alpha*fck*(1-(1-L250/eco)^n),alpha*fck),0)</f>
      </c>
      <c r="N250" s="30">
        <f>PM_Angle!$J$9+PM_Angle!$K$9*$C250+PM_Angle!$L$9*$B250</f>
      </c>
      <c r="O250" s="12">
        <f>IF(N250&gt;0,IF(N250&lt;=eco,alpha*fck*(1-(1-N250/eco)^n),alpha*fck),0)</f>
      </c>
      <c r="P250" s="30">
        <f>PM_Angle!$J$10+PM_Angle!$K$10*$C250+PM_Angle!$L$10*$B250</f>
      </c>
      <c r="Q250" s="12">
        <f>IF(P250&gt;0,IF(P250&lt;=eco,alpha*fck*(1-(1-P250/eco)^n),alpha*fck),0)</f>
      </c>
      <c r="R250" s="30">
        <f>PM_Angle!$J$11+PM_Angle!$K$11*$C250+PM_Angle!$L$11*$B250</f>
      </c>
      <c r="S250" s="12">
        <f>IF(R250&gt;0,IF(R250&lt;=eco,alpha*fck*(1-(1-R250/eco)^n),alpha*fck),0)</f>
      </c>
      <c r="T250" s="30">
        <f>PM_Angle!$J$12+PM_Angle!$K$12*$C250+PM_Angle!$L$12*$B250</f>
      </c>
      <c r="U250" s="12">
        <f>IF(T250&gt;0,IF(T250&lt;=eco,alpha*fck*(1-(1-T250/eco)^n),alpha*fck),0)</f>
      </c>
      <c r="V250" s="30">
        <f>PM_Angle!$J$13+PM_Angle!$K$13*$C250+PM_Angle!$L$13*$B250</f>
      </c>
      <c r="W250" s="12">
        <f>IF(V250&gt;0,IF(V250&lt;=eco,alpha*fck*(1-(1-V250/eco)^n),alpha*fck),0)</f>
      </c>
      <c r="X250" s="30">
        <f>PM_Angle!$J$14+PM_Angle!$K$14*$C250+PM_Angle!$L$14*$B250</f>
      </c>
      <c r="Y250" s="12">
        <f>IF(X250&gt;0,IF(X250&lt;=eco,alpha*fck*(1-(1-X250/eco)^n),alpha*fck),0)</f>
      </c>
      <c r="Z250" s="30">
        <f>PM_Angle!$J$15+PM_Angle!$K$15*$C250+PM_Angle!$L$15*$B250</f>
      </c>
      <c r="AA250" s="12">
        <f>IF(Z250&gt;0,IF(Z250&lt;=eco,alpha*fck*(1-(1-Z250/eco)^n),alpha*fck),0)</f>
      </c>
      <c r="AB250" s="30">
        <f>PM_Angle!$J$16+PM_Angle!$K$16*$C250+PM_Angle!$L$16*$B250</f>
      </c>
      <c r="AC250" s="12">
        <f>IF(AB250&gt;0,IF(AB250&lt;=eco,alpha*fck*(1-(1-AB250/eco)^n),alpha*fck),0)</f>
      </c>
      <c r="AD250" s="30">
        <f>PM_Angle!$J$17+PM_Angle!$K$17*$C250+PM_Angle!$L$17*$B250</f>
      </c>
      <c r="AE250" s="12">
        <f>IF(AD250&gt;0,IF(AD250&lt;=eco,alpha*fck*(1-(1-AD250/eco)^n),alpha*fck),0)</f>
      </c>
      <c r="AF250" s="30">
        <f>PM_Angle!$J$18+PM_Angle!$K$18*$C250+PM_Angle!$L$18*$B250</f>
      </c>
      <c r="AG250" s="12">
        <f>IF(AF250&gt;0,IF(AF250&lt;=eco,alpha*fck*(1-(1-AF250/eco)^n),alpha*fck),0)</f>
      </c>
      <c r="AH250" s="30">
        <f>PM_Angle!$J$19+PM_Angle!$K$19*$C250+PM_Angle!$L$19*$B250</f>
      </c>
      <c r="AI250" s="12">
        <f>IF(AH250&gt;0,IF(AH250&lt;=eco,alpha*fck*(1-(1-AH250/eco)^n),alpha*fck),0)</f>
      </c>
      <c r="AJ250" s="30">
        <f>PM_Angle!$J$20+PM_Angle!$K$20*$C250+PM_Angle!$L$20*$B250</f>
      </c>
      <c r="AK250" s="12">
        <f>IF(AJ250&gt;0,IF(AJ250&lt;=eco,alpha*fck*(1-(1-AJ250/eco)^n),alpha*fck),0)</f>
      </c>
      <c r="AL250" s="30">
        <f>PM_Angle!$J$21+PM_Angle!$K$21*$C250+PM_Angle!$L$21*$B250</f>
      </c>
      <c r="AM250" s="12">
        <f>IF(AL250&gt;0,IF(AL250&lt;=eco,alpha*fck*(1-(1-AL250/eco)^n),alpha*fck),0)</f>
      </c>
      <c r="AN250" s="30">
        <f>PM_Angle!$J$22+PM_Angle!$K$22*$C250+PM_Angle!$L$22*$B250</f>
      </c>
      <c r="AO250" s="12">
        <f>IF(AN250&gt;0,IF(AN250&lt;=eco,alpha*fck*(1-(1-AN250/eco)^n),alpha*fck),0)</f>
      </c>
      <c r="AP250" s="30">
        <f>PM_Angle!$J$23+PM_Angle!$K$23*$C250+PM_Angle!$L$23*$B250</f>
      </c>
      <c r="AQ250" s="12">
        <f>IF(AP250&gt;0,IF(AP250&lt;=eco,alpha*fck*(1-(1-AP250/eco)^n),alpha*fck),0)</f>
      </c>
      <c r="AR250" s="30">
        <f>PM_Angle!$J$24+PM_Angle!$K$24*$C250+PM_Angle!$L$24*$B250</f>
      </c>
      <c r="AS250" s="12">
        <f>IF(AR250&gt;0,IF(AR250&lt;=eco,alpha*fck*(1-(1-AR250/eco)^n),alpha*fck),0)</f>
      </c>
      <c r="AT250" s="30">
        <f>PM_Angle!$J$25+PM_Angle!$K$25*$C250+PM_Angle!$L$25*$B250</f>
      </c>
      <c r="AU250" s="12">
        <f>IF(AT250&gt;0,IF(AT250&lt;=eco,alpha*fck*(1-(1-AT250/eco)^n),alpha*fck),0)</f>
      </c>
    </row>
    <row r="251" spans="1:47" x14ac:dyDescent="0.25">
      <c r="A251">
        <f>Mesh!A248</f>
      </c>
      <c r="B251" s="12">
        <f>Mesh!B248</f>
      </c>
      <c r="C251" s="12">
        <f>Mesh!C248</f>
      </c>
      <c r="D251" s="12">
        <f>Mesh!D248</f>
      </c>
      <c r="E251" s="30">
        <f>INDEX(St_e0,Det+1)+INDEX(St_kx,Det+1)*C251+INDEX(St_ky,Det+1)*B251</f>
      </c>
      <c r="F251" s="12">
        <f>IF(E251&gt;0,IF(E251&lt;=eco,alpha*fck*(1-(1-E251/eco)^n),alpha*fck),0)</f>
      </c>
      <c r="G251" s="11">
        <f>F251*D251</f>
      </c>
      <c r="H251" s="11">
        <f>G251*C251</f>
      </c>
      <c r="I251" s="11">
        <f>G251*B251</f>
      </c>
      <c r="J251" s="30">
        <f>PM_Angle!$J$7+PM_Angle!$K$7*$C251+PM_Angle!$L$7*$B251</f>
      </c>
      <c r="K251" s="12">
        <f>IF(J251&gt;0,IF(J251&lt;=eco,alpha*fck*(1-(1-J251/eco)^n),alpha*fck),0)</f>
      </c>
      <c r="L251" s="30">
        <f>PM_Angle!$J$8+PM_Angle!$K$8*$C251+PM_Angle!$L$8*$B251</f>
      </c>
      <c r="M251" s="12">
        <f>IF(L251&gt;0,IF(L251&lt;=eco,alpha*fck*(1-(1-L251/eco)^n),alpha*fck),0)</f>
      </c>
      <c r="N251" s="30">
        <f>PM_Angle!$J$9+PM_Angle!$K$9*$C251+PM_Angle!$L$9*$B251</f>
      </c>
      <c r="O251" s="12">
        <f>IF(N251&gt;0,IF(N251&lt;=eco,alpha*fck*(1-(1-N251/eco)^n),alpha*fck),0)</f>
      </c>
      <c r="P251" s="30">
        <f>PM_Angle!$J$10+PM_Angle!$K$10*$C251+PM_Angle!$L$10*$B251</f>
      </c>
      <c r="Q251" s="12">
        <f>IF(P251&gt;0,IF(P251&lt;=eco,alpha*fck*(1-(1-P251/eco)^n),alpha*fck),0)</f>
      </c>
      <c r="R251" s="30">
        <f>PM_Angle!$J$11+PM_Angle!$K$11*$C251+PM_Angle!$L$11*$B251</f>
      </c>
      <c r="S251" s="12">
        <f>IF(R251&gt;0,IF(R251&lt;=eco,alpha*fck*(1-(1-R251/eco)^n),alpha*fck),0)</f>
      </c>
      <c r="T251" s="30">
        <f>PM_Angle!$J$12+PM_Angle!$K$12*$C251+PM_Angle!$L$12*$B251</f>
      </c>
      <c r="U251" s="12">
        <f>IF(T251&gt;0,IF(T251&lt;=eco,alpha*fck*(1-(1-T251/eco)^n),alpha*fck),0)</f>
      </c>
      <c r="V251" s="30">
        <f>PM_Angle!$J$13+PM_Angle!$K$13*$C251+PM_Angle!$L$13*$B251</f>
      </c>
      <c r="W251" s="12">
        <f>IF(V251&gt;0,IF(V251&lt;=eco,alpha*fck*(1-(1-V251/eco)^n),alpha*fck),0)</f>
      </c>
      <c r="X251" s="30">
        <f>PM_Angle!$J$14+PM_Angle!$K$14*$C251+PM_Angle!$L$14*$B251</f>
      </c>
      <c r="Y251" s="12">
        <f>IF(X251&gt;0,IF(X251&lt;=eco,alpha*fck*(1-(1-X251/eco)^n),alpha*fck),0)</f>
      </c>
      <c r="Z251" s="30">
        <f>PM_Angle!$J$15+PM_Angle!$K$15*$C251+PM_Angle!$L$15*$B251</f>
      </c>
      <c r="AA251" s="12">
        <f>IF(Z251&gt;0,IF(Z251&lt;=eco,alpha*fck*(1-(1-Z251/eco)^n),alpha*fck),0)</f>
      </c>
      <c r="AB251" s="30">
        <f>PM_Angle!$J$16+PM_Angle!$K$16*$C251+PM_Angle!$L$16*$B251</f>
      </c>
      <c r="AC251" s="12">
        <f>IF(AB251&gt;0,IF(AB251&lt;=eco,alpha*fck*(1-(1-AB251/eco)^n),alpha*fck),0)</f>
      </c>
      <c r="AD251" s="30">
        <f>PM_Angle!$J$17+PM_Angle!$K$17*$C251+PM_Angle!$L$17*$B251</f>
      </c>
      <c r="AE251" s="12">
        <f>IF(AD251&gt;0,IF(AD251&lt;=eco,alpha*fck*(1-(1-AD251/eco)^n),alpha*fck),0)</f>
      </c>
      <c r="AF251" s="30">
        <f>PM_Angle!$J$18+PM_Angle!$K$18*$C251+PM_Angle!$L$18*$B251</f>
      </c>
      <c r="AG251" s="12">
        <f>IF(AF251&gt;0,IF(AF251&lt;=eco,alpha*fck*(1-(1-AF251/eco)^n),alpha*fck),0)</f>
      </c>
      <c r="AH251" s="30">
        <f>PM_Angle!$J$19+PM_Angle!$K$19*$C251+PM_Angle!$L$19*$B251</f>
      </c>
      <c r="AI251" s="12">
        <f>IF(AH251&gt;0,IF(AH251&lt;=eco,alpha*fck*(1-(1-AH251/eco)^n),alpha*fck),0)</f>
      </c>
      <c r="AJ251" s="30">
        <f>PM_Angle!$J$20+PM_Angle!$K$20*$C251+PM_Angle!$L$20*$B251</f>
      </c>
      <c r="AK251" s="12">
        <f>IF(AJ251&gt;0,IF(AJ251&lt;=eco,alpha*fck*(1-(1-AJ251/eco)^n),alpha*fck),0)</f>
      </c>
      <c r="AL251" s="30">
        <f>PM_Angle!$J$21+PM_Angle!$K$21*$C251+PM_Angle!$L$21*$B251</f>
      </c>
      <c r="AM251" s="12">
        <f>IF(AL251&gt;0,IF(AL251&lt;=eco,alpha*fck*(1-(1-AL251/eco)^n),alpha*fck),0)</f>
      </c>
      <c r="AN251" s="30">
        <f>PM_Angle!$J$22+PM_Angle!$K$22*$C251+PM_Angle!$L$22*$B251</f>
      </c>
      <c r="AO251" s="12">
        <f>IF(AN251&gt;0,IF(AN251&lt;=eco,alpha*fck*(1-(1-AN251/eco)^n),alpha*fck),0)</f>
      </c>
      <c r="AP251" s="30">
        <f>PM_Angle!$J$23+PM_Angle!$K$23*$C251+PM_Angle!$L$23*$B251</f>
      </c>
      <c r="AQ251" s="12">
        <f>IF(AP251&gt;0,IF(AP251&lt;=eco,alpha*fck*(1-(1-AP251/eco)^n),alpha*fck),0)</f>
      </c>
      <c r="AR251" s="30">
        <f>PM_Angle!$J$24+PM_Angle!$K$24*$C251+PM_Angle!$L$24*$B251</f>
      </c>
      <c r="AS251" s="12">
        <f>IF(AR251&gt;0,IF(AR251&lt;=eco,alpha*fck*(1-(1-AR251/eco)^n),alpha*fck),0)</f>
      </c>
      <c r="AT251" s="30">
        <f>PM_Angle!$J$25+PM_Angle!$K$25*$C251+PM_Angle!$L$25*$B251</f>
      </c>
      <c r="AU251" s="12">
        <f>IF(AT251&gt;0,IF(AT251&lt;=eco,alpha*fck*(1-(1-AT251/eco)^n),alpha*fck),0)</f>
      </c>
    </row>
    <row r="252" spans="1:47" x14ac:dyDescent="0.25">
      <c r="A252">
        <f>Mesh!A249</f>
      </c>
      <c r="B252" s="12">
        <f>Mesh!B249</f>
      </c>
      <c r="C252" s="12">
        <f>Mesh!C249</f>
      </c>
      <c r="D252" s="12">
        <f>Mesh!D249</f>
      </c>
      <c r="E252" s="30">
        <f>INDEX(St_e0,Det+1)+INDEX(St_kx,Det+1)*C252+INDEX(St_ky,Det+1)*B252</f>
      </c>
      <c r="F252" s="12">
        <f>IF(E252&gt;0,IF(E252&lt;=eco,alpha*fck*(1-(1-E252/eco)^n),alpha*fck),0)</f>
      </c>
      <c r="G252" s="11">
        <f>F252*D252</f>
      </c>
      <c r="H252" s="11">
        <f>G252*C252</f>
      </c>
      <c r="I252" s="11">
        <f>G252*B252</f>
      </c>
      <c r="J252" s="30">
        <f>PM_Angle!$J$7+PM_Angle!$K$7*$C252+PM_Angle!$L$7*$B252</f>
      </c>
      <c r="K252" s="12">
        <f>IF(J252&gt;0,IF(J252&lt;=eco,alpha*fck*(1-(1-J252/eco)^n),alpha*fck),0)</f>
      </c>
      <c r="L252" s="30">
        <f>PM_Angle!$J$8+PM_Angle!$K$8*$C252+PM_Angle!$L$8*$B252</f>
      </c>
      <c r="M252" s="12">
        <f>IF(L252&gt;0,IF(L252&lt;=eco,alpha*fck*(1-(1-L252/eco)^n),alpha*fck),0)</f>
      </c>
      <c r="N252" s="30">
        <f>PM_Angle!$J$9+PM_Angle!$K$9*$C252+PM_Angle!$L$9*$B252</f>
      </c>
      <c r="O252" s="12">
        <f>IF(N252&gt;0,IF(N252&lt;=eco,alpha*fck*(1-(1-N252/eco)^n),alpha*fck),0)</f>
      </c>
      <c r="P252" s="30">
        <f>PM_Angle!$J$10+PM_Angle!$K$10*$C252+PM_Angle!$L$10*$B252</f>
      </c>
      <c r="Q252" s="12">
        <f>IF(P252&gt;0,IF(P252&lt;=eco,alpha*fck*(1-(1-P252/eco)^n),alpha*fck),0)</f>
      </c>
      <c r="R252" s="30">
        <f>PM_Angle!$J$11+PM_Angle!$K$11*$C252+PM_Angle!$L$11*$B252</f>
      </c>
      <c r="S252" s="12">
        <f>IF(R252&gt;0,IF(R252&lt;=eco,alpha*fck*(1-(1-R252/eco)^n),alpha*fck),0)</f>
      </c>
      <c r="T252" s="30">
        <f>PM_Angle!$J$12+PM_Angle!$K$12*$C252+PM_Angle!$L$12*$B252</f>
      </c>
      <c r="U252" s="12">
        <f>IF(T252&gt;0,IF(T252&lt;=eco,alpha*fck*(1-(1-T252/eco)^n),alpha*fck),0)</f>
      </c>
      <c r="V252" s="30">
        <f>PM_Angle!$J$13+PM_Angle!$K$13*$C252+PM_Angle!$L$13*$B252</f>
      </c>
      <c r="W252" s="12">
        <f>IF(V252&gt;0,IF(V252&lt;=eco,alpha*fck*(1-(1-V252/eco)^n),alpha*fck),0)</f>
      </c>
      <c r="X252" s="30">
        <f>PM_Angle!$J$14+PM_Angle!$K$14*$C252+PM_Angle!$L$14*$B252</f>
      </c>
      <c r="Y252" s="12">
        <f>IF(X252&gt;0,IF(X252&lt;=eco,alpha*fck*(1-(1-X252/eco)^n),alpha*fck),0)</f>
      </c>
      <c r="Z252" s="30">
        <f>PM_Angle!$J$15+PM_Angle!$K$15*$C252+PM_Angle!$L$15*$B252</f>
      </c>
      <c r="AA252" s="12">
        <f>IF(Z252&gt;0,IF(Z252&lt;=eco,alpha*fck*(1-(1-Z252/eco)^n),alpha*fck),0)</f>
      </c>
      <c r="AB252" s="30">
        <f>PM_Angle!$J$16+PM_Angle!$K$16*$C252+PM_Angle!$L$16*$B252</f>
      </c>
      <c r="AC252" s="12">
        <f>IF(AB252&gt;0,IF(AB252&lt;=eco,alpha*fck*(1-(1-AB252/eco)^n),alpha*fck),0)</f>
      </c>
      <c r="AD252" s="30">
        <f>PM_Angle!$J$17+PM_Angle!$K$17*$C252+PM_Angle!$L$17*$B252</f>
      </c>
      <c r="AE252" s="12">
        <f>IF(AD252&gt;0,IF(AD252&lt;=eco,alpha*fck*(1-(1-AD252/eco)^n),alpha*fck),0)</f>
      </c>
      <c r="AF252" s="30">
        <f>PM_Angle!$J$18+PM_Angle!$K$18*$C252+PM_Angle!$L$18*$B252</f>
      </c>
      <c r="AG252" s="12">
        <f>IF(AF252&gt;0,IF(AF252&lt;=eco,alpha*fck*(1-(1-AF252/eco)^n),alpha*fck),0)</f>
      </c>
      <c r="AH252" s="30">
        <f>PM_Angle!$J$19+PM_Angle!$K$19*$C252+PM_Angle!$L$19*$B252</f>
      </c>
      <c r="AI252" s="12">
        <f>IF(AH252&gt;0,IF(AH252&lt;=eco,alpha*fck*(1-(1-AH252/eco)^n),alpha*fck),0)</f>
      </c>
      <c r="AJ252" s="30">
        <f>PM_Angle!$J$20+PM_Angle!$K$20*$C252+PM_Angle!$L$20*$B252</f>
      </c>
      <c r="AK252" s="12">
        <f>IF(AJ252&gt;0,IF(AJ252&lt;=eco,alpha*fck*(1-(1-AJ252/eco)^n),alpha*fck),0)</f>
      </c>
      <c r="AL252" s="30">
        <f>PM_Angle!$J$21+PM_Angle!$K$21*$C252+PM_Angle!$L$21*$B252</f>
      </c>
      <c r="AM252" s="12">
        <f>IF(AL252&gt;0,IF(AL252&lt;=eco,alpha*fck*(1-(1-AL252/eco)^n),alpha*fck),0)</f>
      </c>
      <c r="AN252" s="30">
        <f>PM_Angle!$J$22+PM_Angle!$K$22*$C252+PM_Angle!$L$22*$B252</f>
      </c>
      <c r="AO252" s="12">
        <f>IF(AN252&gt;0,IF(AN252&lt;=eco,alpha*fck*(1-(1-AN252/eco)^n),alpha*fck),0)</f>
      </c>
      <c r="AP252" s="30">
        <f>PM_Angle!$J$23+PM_Angle!$K$23*$C252+PM_Angle!$L$23*$B252</f>
      </c>
      <c r="AQ252" s="12">
        <f>IF(AP252&gt;0,IF(AP252&lt;=eco,alpha*fck*(1-(1-AP252/eco)^n),alpha*fck),0)</f>
      </c>
      <c r="AR252" s="30">
        <f>PM_Angle!$J$24+PM_Angle!$K$24*$C252+PM_Angle!$L$24*$B252</f>
      </c>
      <c r="AS252" s="12">
        <f>IF(AR252&gt;0,IF(AR252&lt;=eco,alpha*fck*(1-(1-AR252/eco)^n),alpha*fck),0)</f>
      </c>
      <c r="AT252" s="30">
        <f>PM_Angle!$J$25+PM_Angle!$K$25*$C252+PM_Angle!$L$25*$B252</f>
      </c>
      <c r="AU252" s="12">
        <f>IF(AT252&gt;0,IF(AT252&lt;=eco,alpha*fck*(1-(1-AT252/eco)^n),alpha*fck),0)</f>
      </c>
    </row>
    <row r="253" spans="1:47" x14ac:dyDescent="0.25">
      <c r="A253">
        <f>Mesh!A250</f>
      </c>
      <c r="B253" s="12">
        <f>Mesh!B250</f>
      </c>
      <c r="C253" s="12">
        <f>Mesh!C250</f>
      </c>
      <c r="D253" s="12">
        <f>Mesh!D250</f>
      </c>
      <c r="E253" s="30">
        <f>INDEX(St_e0,Det+1)+INDEX(St_kx,Det+1)*C253+INDEX(St_ky,Det+1)*B253</f>
      </c>
      <c r="F253" s="12">
        <f>IF(E253&gt;0,IF(E253&lt;=eco,alpha*fck*(1-(1-E253/eco)^n),alpha*fck),0)</f>
      </c>
      <c r="G253" s="11">
        <f>F253*D253</f>
      </c>
      <c r="H253" s="11">
        <f>G253*C253</f>
      </c>
      <c r="I253" s="11">
        <f>G253*B253</f>
      </c>
      <c r="J253" s="30">
        <f>PM_Angle!$J$7+PM_Angle!$K$7*$C253+PM_Angle!$L$7*$B253</f>
      </c>
      <c r="K253" s="12">
        <f>IF(J253&gt;0,IF(J253&lt;=eco,alpha*fck*(1-(1-J253/eco)^n),alpha*fck),0)</f>
      </c>
      <c r="L253" s="30">
        <f>PM_Angle!$J$8+PM_Angle!$K$8*$C253+PM_Angle!$L$8*$B253</f>
      </c>
      <c r="M253" s="12">
        <f>IF(L253&gt;0,IF(L253&lt;=eco,alpha*fck*(1-(1-L253/eco)^n),alpha*fck),0)</f>
      </c>
      <c r="N253" s="30">
        <f>PM_Angle!$J$9+PM_Angle!$K$9*$C253+PM_Angle!$L$9*$B253</f>
      </c>
      <c r="O253" s="12">
        <f>IF(N253&gt;0,IF(N253&lt;=eco,alpha*fck*(1-(1-N253/eco)^n),alpha*fck),0)</f>
      </c>
      <c r="P253" s="30">
        <f>PM_Angle!$J$10+PM_Angle!$K$10*$C253+PM_Angle!$L$10*$B253</f>
      </c>
      <c r="Q253" s="12">
        <f>IF(P253&gt;0,IF(P253&lt;=eco,alpha*fck*(1-(1-P253/eco)^n),alpha*fck),0)</f>
      </c>
      <c r="R253" s="30">
        <f>PM_Angle!$J$11+PM_Angle!$K$11*$C253+PM_Angle!$L$11*$B253</f>
      </c>
      <c r="S253" s="12">
        <f>IF(R253&gt;0,IF(R253&lt;=eco,alpha*fck*(1-(1-R253/eco)^n),alpha*fck),0)</f>
      </c>
      <c r="T253" s="30">
        <f>PM_Angle!$J$12+PM_Angle!$K$12*$C253+PM_Angle!$L$12*$B253</f>
      </c>
      <c r="U253" s="12">
        <f>IF(T253&gt;0,IF(T253&lt;=eco,alpha*fck*(1-(1-T253/eco)^n),alpha*fck),0)</f>
      </c>
      <c r="V253" s="30">
        <f>PM_Angle!$J$13+PM_Angle!$K$13*$C253+PM_Angle!$L$13*$B253</f>
      </c>
      <c r="W253" s="12">
        <f>IF(V253&gt;0,IF(V253&lt;=eco,alpha*fck*(1-(1-V253/eco)^n),alpha*fck),0)</f>
      </c>
      <c r="X253" s="30">
        <f>PM_Angle!$J$14+PM_Angle!$K$14*$C253+PM_Angle!$L$14*$B253</f>
      </c>
      <c r="Y253" s="12">
        <f>IF(X253&gt;0,IF(X253&lt;=eco,alpha*fck*(1-(1-X253/eco)^n),alpha*fck),0)</f>
      </c>
      <c r="Z253" s="30">
        <f>PM_Angle!$J$15+PM_Angle!$K$15*$C253+PM_Angle!$L$15*$B253</f>
      </c>
      <c r="AA253" s="12">
        <f>IF(Z253&gt;0,IF(Z253&lt;=eco,alpha*fck*(1-(1-Z253/eco)^n),alpha*fck),0)</f>
      </c>
      <c r="AB253" s="30">
        <f>PM_Angle!$J$16+PM_Angle!$K$16*$C253+PM_Angle!$L$16*$B253</f>
      </c>
      <c r="AC253" s="12">
        <f>IF(AB253&gt;0,IF(AB253&lt;=eco,alpha*fck*(1-(1-AB253/eco)^n),alpha*fck),0)</f>
      </c>
      <c r="AD253" s="30">
        <f>PM_Angle!$J$17+PM_Angle!$K$17*$C253+PM_Angle!$L$17*$B253</f>
      </c>
      <c r="AE253" s="12">
        <f>IF(AD253&gt;0,IF(AD253&lt;=eco,alpha*fck*(1-(1-AD253/eco)^n),alpha*fck),0)</f>
      </c>
      <c r="AF253" s="30">
        <f>PM_Angle!$J$18+PM_Angle!$K$18*$C253+PM_Angle!$L$18*$B253</f>
      </c>
      <c r="AG253" s="12">
        <f>IF(AF253&gt;0,IF(AF253&lt;=eco,alpha*fck*(1-(1-AF253/eco)^n),alpha*fck),0)</f>
      </c>
      <c r="AH253" s="30">
        <f>PM_Angle!$J$19+PM_Angle!$K$19*$C253+PM_Angle!$L$19*$B253</f>
      </c>
      <c r="AI253" s="12">
        <f>IF(AH253&gt;0,IF(AH253&lt;=eco,alpha*fck*(1-(1-AH253/eco)^n),alpha*fck),0)</f>
      </c>
      <c r="AJ253" s="30">
        <f>PM_Angle!$J$20+PM_Angle!$K$20*$C253+PM_Angle!$L$20*$B253</f>
      </c>
      <c r="AK253" s="12">
        <f>IF(AJ253&gt;0,IF(AJ253&lt;=eco,alpha*fck*(1-(1-AJ253/eco)^n),alpha*fck),0)</f>
      </c>
      <c r="AL253" s="30">
        <f>PM_Angle!$J$21+PM_Angle!$K$21*$C253+PM_Angle!$L$21*$B253</f>
      </c>
      <c r="AM253" s="12">
        <f>IF(AL253&gt;0,IF(AL253&lt;=eco,alpha*fck*(1-(1-AL253/eco)^n),alpha*fck),0)</f>
      </c>
      <c r="AN253" s="30">
        <f>PM_Angle!$J$22+PM_Angle!$K$22*$C253+PM_Angle!$L$22*$B253</f>
      </c>
      <c r="AO253" s="12">
        <f>IF(AN253&gt;0,IF(AN253&lt;=eco,alpha*fck*(1-(1-AN253/eco)^n),alpha*fck),0)</f>
      </c>
      <c r="AP253" s="30">
        <f>PM_Angle!$J$23+PM_Angle!$K$23*$C253+PM_Angle!$L$23*$B253</f>
      </c>
      <c r="AQ253" s="12">
        <f>IF(AP253&gt;0,IF(AP253&lt;=eco,alpha*fck*(1-(1-AP253/eco)^n),alpha*fck),0)</f>
      </c>
      <c r="AR253" s="30">
        <f>PM_Angle!$J$24+PM_Angle!$K$24*$C253+PM_Angle!$L$24*$B253</f>
      </c>
      <c r="AS253" s="12">
        <f>IF(AR253&gt;0,IF(AR253&lt;=eco,alpha*fck*(1-(1-AR253/eco)^n),alpha*fck),0)</f>
      </c>
      <c r="AT253" s="30">
        <f>PM_Angle!$J$25+PM_Angle!$K$25*$C253+PM_Angle!$L$25*$B253</f>
      </c>
      <c r="AU253" s="12">
        <f>IF(AT253&gt;0,IF(AT253&lt;=eco,alpha*fck*(1-(1-AT253/eco)^n),alpha*fck),0)</f>
      </c>
    </row>
    <row r="254" spans="1:47" x14ac:dyDescent="0.25">
      <c r="A254">
        <f>Mesh!A251</f>
      </c>
      <c r="B254" s="12">
        <f>Mesh!B251</f>
      </c>
      <c r="C254" s="12">
        <f>Mesh!C251</f>
      </c>
      <c r="D254" s="12">
        <f>Mesh!D251</f>
      </c>
      <c r="E254" s="30">
        <f>INDEX(St_e0,Det+1)+INDEX(St_kx,Det+1)*C254+INDEX(St_ky,Det+1)*B254</f>
      </c>
      <c r="F254" s="12">
        <f>IF(E254&gt;0,IF(E254&lt;=eco,alpha*fck*(1-(1-E254/eco)^n),alpha*fck),0)</f>
      </c>
      <c r="G254" s="11">
        <f>F254*D254</f>
      </c>
      <c r="H254" s="11">
        <f>G254*C254</f>
      </c>
      <c r="I254" s="11">
        <f>G254*B254</f>
      </c>
      <c r="J254" s="30">
        <f>PM_Angle!$J$7+PM_Angle!$K$7*$C254+PM_Angle!$L$7*$B254</f>
      </c>
      <c r="K254" s="12">
        <f>IF(J254&gt;0,IF(J254&lt;=eco,alpha*fck*(1-(1-J254/eco)^n),alpha*fck),0)</f>
      </c>
      <c r="L254" s="30">
        <f>PM_Angle!$J$8+PM_Angle!$K$8*$C254+PM_Angle!$L$8*$B254</f>
      </c>
      <c r="M254" s="12">
        <f>IF(L254&gt;0,IF(L254&lt;=eco,alpha*fck*(1-(1-L254/eco)^n),alpha*fck),0)</f>
      </c>
      <c r="N254" s="30">
        <f>PM_Angle!$J$9+PM_Angle!$K$9*$C254+PM_Angle!$L$9*$B254</f>
      </c>
      <c r="O254" s="12">
        <f>IF(N254&gt;0,IF(N254&lt;=eco,alpha*fck*(1-(1-N254/eco)^n),alpha*fck),0)</f>
      </c>
      <c r="P254" s="30">
        <f>PM_Angle!$J$10+PM_Angle!$K$10*$C254+PM_Angle!$L$10*$B254</f>
      </c>
      <c r="Q254" s="12">
        <f>IF(P254&gt;0,IF(P254&lt;=eco,alpha*fck*(1-(1-P254/eco)^n),alpha*fck),0)</f>
      </c>
      <c r="R254" s="30">
        <f>PM_Angle!$J$11+PM_Angle!$K$11*$C254+PM_Angle!$L$11*$B254</f>
      </c>
      <c r="S254" s="12">
        <f>IF(R254&gt;0,IF(R254&lt;=eco,alpha*fck*(1-(1-R254/eco)^n),alpha*fck),0)</f>
      </c>
      <c r="T254" s="30">
        <f>PM_Angle!$J$12+PM_Angle!$K$12*$C254+PM_Angle!$L$12*$B254</f>
      </c>
      <c r="U254" s="12">
        <f>IF(T254&gt;0,IF(T254&lt;=eco,alpha*fck*(1-(1-T254/eco)^n),alpha*fck),0)</f>
      </c>
      <c r="V254" s="30">
        <f>PM_Angle!$J$13+PM_Angle!$K$13*$C254+PM_Angle!$L$13*$B254</f>
      </c>
      <c r="W254" s="12">
        <f>IF(V254&gt;0,IF(V254&lt;=eco,alpha*fck*(1-(1-V254/eco)^n),alpha*fck),0)</f>
      </c>
      <c r="X254" s="30">
        <f>PM_Angle!$J$14+PM_Angle!$K$14*$C254+PM_Angle!$L$14*$B254</f>
      </c>
      <c r="Y254" s="12">
        <f>IF(X254&gt;0,IF(X254&lt;=eco,alpha*fck*(1-(1-X254/eco)^n),alpha*fck),0)</f>
      </c>
      <c r="Z254" s="30">
        <f>PM_Angle!$J$15+PM_Angle!$K$15*$C254+PM_Angle!$L$15*$B254</f>
      </c>
      <c r="AA254" s="12">
        <f>IF(Z254&gt;0,IF(Z254&lt;=eco,alpha*fck*(1-(1-Z254/eco)^n),alpha*fck),0)</f>
      </c>
      <c r="AB254" s="30">
        <f>PM_Angle!$J$16+PM_Angle!$K$16*$C254+PM_Angle!$L$16*$B254</f>
      </c>
      <c r="AC254" s="12">
        <f>IF(AB254&gt;0,IF(AB254&lt;=eco,alpha*fck*(1-(1-AB254/eco)^n),alpha*fck),0)</f>
      </c>
      <c r="AD254" s="30">
        <f>PM_Angle!$J$17+PM_Angle!$K$17*$C254+PM_Angle!$L$17*$B254</f>
      </c>
      <c r="AE254" s="12">
        <f>IF(AD254&gt;0,IF(AD254&lt;=eco,alpha*fck*(1-(1-AD254/eco)^n),alpha*fck),0)</f>
      </c>
      <c r="AF254" s="30">
        <f>PM_Angle!$J$18+PM_Angle!$K$18*$C254+PM_Angle!$L$18*$B254</f>
      </c>
      <c r="AG254" s="12">
        <f>IF(AF254&gt;0,IF(AF254&lt;=eco,alpha*fck*(1-(1-AF254/eco)^n),alpha*fck),0)</f>
      </c>
      <c r="AH254" s="30">
        <f>PM_Angle!$J$19+PM_Angle!$K$19*$C254+PM_Angle!$L$19*$B254</f>
      </c>
      <c r="AI254" s="12">
        <f>IF(AH254&gt;0,IF(AH254&lt;=eco,alpha*fck*(1-(1-AH254/eco)^n),alpha*fck),0)</f>
      </c>
      <c r="AJ254" s="30">
        <f>PM_Angle!$J$20+PM_Angle!$K$20*$C254+PM_Angle!$L$20*$B254</f>
      </c>
      <c r="AK254" s="12">
        <f>IF(AJ254&gt;0,IF(AJ254&lt;=eco,alpha*fck*(1-(1-AJ254/eco)^n),alpha*fck),0)</f>
      </c>
      <c r="AL254" s="30">
        <f>PM_Angle!$J$21+PM_Angle!$K$21*$C254+PM_Angle!$L$21*$B254</f>
      </c>
      <c r="AM254" s="12">
        <f>IF(AL254&gt;0,IF(AL254&lt;=eco,alpha*fck*(1-(1-AL254/eco)^n),alpha*fck),0)</f>
      </c>
      <c r="AN254" s="30">
        <f>PM_Angle!$J$22+PM_Angle!$K$22*$C254+PM_Angle!$L$22*$B254</f>
      </c>
      <c r="AO254" s="12">
        <f>IF(AN254&gt;0,IF(AN254&lt;=eco,alpha*fck*(1-(1-AN254/eco)^n),alpha*fck),0)</f>
      </c>
      <c r="AP254" s="30">
        <f>PM_Angle!$J$23+PM_Angle!$K$23*$C254+PM_Angle!$L$23*$B254</f>
      </c>
      <c r="AQ254" s="12">
        <f>IF(AP254&gt;0,IF(AP254&lt;=eco,alpha*fck*(1-(1-AP254/eco)^n),alpha*fck),0)</f>
      </c>
      <c r="AR254" s="30">
        <f>PM_Angle!$J$24+PM_Angle!$K$24*$C254+PM_Angle!$L$24*$B254</f>
      </c>
      <c r="AS254" s="12">
        <f>IF(AR254&gt;0,IF(AR254&lt;=eco,alpha*fck*(1-(1-AR254/eco)^n),alpha*fck),0)</f>
      </c>
      <c r="AT254" s="30">
        <f>PM_Angle!$J$25+PM_Angle!$K$25*$C254+PM_Angle!$L$25*$B254</f>
      </c>
      <c r="AU254" s="12">
        <f>IF(AT254&gt;0,IF(AT254&lt;=eco,alpha*fck*(1-(1-AT254/eco)^n),alpha*fck),0)</f>
      </c>
    </row>
    <row r="255" spans="1:47" x14ac:dyDescent="0.25">
      <c r="A255">
        <f>Mesh!A252</f>
      </c>
      <c r="B255" s="12">
        <f>Mesh!B252</f>
      </c>
      <c r="C255" s="12">
        <f>Mesh!C252</f>
      </c>
      <c r="D255" s="12">
        <f>Mesh!D252</f>
      </c>
      <c r="E255" s="30">
        <f>INDEX(St_e0,Det+1)+INDEX(St_kx,Det+1)*C255+INDEX(St_ky,Det+1)*B255</f>
      </c>
      <c r="F255" s="12">
        <f>IF(E255&gt;0,IF(E255&lt;=eco,alpha*fck*(1-(1-E255/eco)^n),alpha*fck),0)</f>
      </c>
      <c r="G255" s="11">
        <f>F255*D255</f>
      </c>
      <c r="H255" s="11">
        <f>G255*C255</f>
      </c>
      <c r="I255" s="11">
        <f>G255*B255</f>
      </c>
      <c r="J255" s="30">
        <f>PM_Angle!$J$7+PM_Angle!$K$7*$C255+PM_Angle!$L$7*$B255</f>
      </c>
      <c r="K255" s="12">
        <f>IF(J255&gt;0,IF(J255&lt;=eco,alpha*fck*(1-(1-J255/eco)^n),alpha*fck),0)</f>
      </c>
      <c r="L255" s="30">
        <f>PM_Angle!$J$8+PM_Angle!$K$8*$C255+PM_Angle!$L$8*$B255</f>
      </c>
      <c r="M255" s="12">
        <f>IF(L255&gt;0,IF(L255&lt;=eco,alpha*fck*(1-(1-L255/eco)^n),alpha*fck),0)</f>
      </c>
      <c r="N255" s="30">
        <f>PM_Angle!$J$9+PM_Angle!$K$9*$C255+PM_Angle!$L$9*$B255</f>
      </c>
      <c r="O255" s="12">
        <f>IF(N255&gt;0,IF(N255&lt;=eco,alpha*fck*(1-(1-N255/eco)^n),alpha*fck),0)</f>
      </c>
      <c r="P255" s="30">
        <f>PM_Angle!$J$10+PM_Angle!$K$10*$C255+PM_Angle!$L$10*$B255</f>
      </c>
      <c r="Q255" s="12">
        <f>IF(P255&gt;0,IF(P255&lt;=eco,alpha*fck*(1-(1-P255/eco)^n),alpha*fck),0)</f>
      </c>
      <c r="R255" s="30">
        <f>PM_Angle!$J$11+PM_Angle!$K$11*$C255+PM_Angle!$L$11*$B255</f>
      </c>
      <c r="S255" s="12">
        <f>IF(R255&gt;0,IF(R255&lt;=eco,alpha*fck*(1-(1-R255/eco)^n),alpha*fck),0)</f>
      </c>
      <c r="T255" s="30">
        <f>PM_Angle!$J$12+PM_Angle!$K$12*$C255+PM_Angle!$L$12*$B255</f>
      </c>
      <c r="U255" s="12">
        <f>IF(T255&gt;0,IF(T255&lt;=eco,alpha*fck*(1-(1-T255/eco)^n),alpha*fck),0)</f>
      </c>
      <c r="V255" s="30">
        <f>PM_Angle!$J$13+PM_Angle!$K$13*$C255+PM_Angle!$L$13*$B255</f>
      </c>
      <c r="W255" s="12">
        <f>IF(V255&gt;0,IF(V255&lt;=eco,alpha*fck*(1-(1-V255/eco)^n),alpha*fck),0)</f>
      </c>
      <c r="X255" s="30">
        <f>PM_Angle!$J$14+PM_Angle!$K$14*$C255+PM_Angle!$L$14*$B255</f>
      </c>
      <c r="Y255" s="12">
        <f>IF(X255&gt;0,IF(X255&lt;=eco,alpha*fck*(1-(1-X255/eco)^n),alpha*fck),0)</f>
      </c>
      <c r="Z255" s="30">
        <f>PM_Angle!$J$15+PM_Angle!$K$15*$C255+PM_Angle!$L$15*$B255</f>
      </c>
      <c r="AA255" s="12">
        <f>IF(Z255&gt;0,IF(Z255&lt;=eco,alpha*fck*(1-(1-Z255/eco)^n),alpha*fck),0)</f>
      </c>
      <c r="AB255" s="30">
        <f>PM_Angle!$J$16+PM_Angle!$K$16*$C255+PM_Angle!$L$16*$B255</f>
      </c>
      <c r="AC255" s="12">
        <f>IF(AB255&gt;0,IF(AB255&lt;=eco,alpha*fck*(1-(1-AB255/eco)^n),alpha*fck),0)</f>
      </c>
      <c r="AD255" s="30">
        <f>PM_Angle!$J$17+PM_Angle!$K$17*$C255+PM_Angle!$L$17*$B255</f>
      </c>
      <c r="AE255" s="12">
        <f>IF(AD255&gt;0,IF(AD255&lt;=eco,alpha*fck*(1-(1-AD255/eco)^n),alpha*fck),0)</f>
      </c>
      <c r="AF255" s="30">
        <f>PM_Angle!$J$18+PM_Angle!$K$18*$C255+PM_Angle!$L$18*$B255</f>
      </c>
      <c r="AG255" s="12">
        <f>IF(AF255&gt;0,IF(AF255&lt;=eco,alpha*fck*(1-(1-AF255/eco)^n),alpha*fck),0)</f>
      </c>
      <c r="AH255" s="30">
        <f>PM_Angle!$J$19+PM_Angle!$K$19*$C255+PM_Angle!$L$19*$B255</f>
      </c>
      <c r="AI255" s="12">
        <f>IF(AH255&gt;0,IF(AH255&lt;=eco,alpha*fck*(1-(1-AH255/eco)^n),alpha*fck),0)</f>
      </c>
      <c r="AJ255" s="30">
        <f>PM_Angle!$J$20+PM_Angle!$K$20*$C255+PM_Angle!$L$20*$B255</f>
      </c>
      <c r="AK255" s="12">
        <f>IF(AJ255&gt;0,IF(AJ255&lt;=eco,alpha*fck*(1-(1-AJ255/eco)^n),alpha*fck),0)</f>
      </c>
      <c r="AL255" s="30">
        <f>PM_Angle!$J$21+PM_Angle!$K$21*$C255+PM_Angle!$L$21*$B255</f>
      </c>
      <c r="AM255" s="12">
        <f>IF(AL255&gt;0,IF(AL255&lt;=eco,alpha*fck*(1-(1-AL255/eco)^n),alpha*fck),0)</f>
      </c>
      <c r="AN255" s="30">
        <f>PM_Angle!$J$22+PM_Angle!$K$22*$C255+PM_Angle!$L$22*$B255</f>
      </c>
      <c r="AO255" s="12">
        <f>IF(AN255&gt;0,IF(AN255&lt;=eco,alpha*fck*(1-(1-AN255/eco)^n),alpha*fck),0)</f>
      </c>
      <c r="AP255" s="30">
        <f>PM_Angle!$J$23+PM_Angle!$K$23*$C255+PM_Angle!$L$23*$B255</f>
      </c>
      <c r="AQ255" s="12">
        <f>IF(AP255&gt;0,IF(AP255&lt;=eco,alpha*fck*(1-(1-AP255/eco)^n),alpha*fck),0)</f>
      </c>
      <c r="AR255" s="30">
        <f>PM_Angle!$J$24+PM_Angle!$K$24*$C255+PM_Angle!$L$24*$B255</f>
      </c>
      <c r="AS255" s="12">
        <f>IF(AR255&gt;0,IF(AR255&lt;=eco,alpha*fck*(1-(1-AR255/eco)^n),alpha*fck),0)</f>
      </c>
      <c r="AT255" s="30">
        <f>PM_Angle!$J$25+PM_Angle!$K$25*$C255+PM_Angle!$L$25*$B255</f>
      </c>
      <c r="AU255" s="12">
        <f>IF(AT255&gt;0,IF(AT255&lt;=eco,alpha*fck*(1-(1-AT255/eco)^n),alpha*fck),0)</f>
      </c>
    </row>
    <row r="256" spans="1:47" x14ac:dyDescent="0.25">
      <c r="A256">
        <f>Mesh!A253</f>
      </c>
      <c r="B256" s="12">
        <f>Mesh!B253</f>
      </c>
      <c r="C256" s="12">
        <f>Mesh!C253</f>
      </c>
      <c r="D256" s="12">
        <f>Mesh!D253</f>
      </c>
      <c r="E256" s="30">
        <f>INDEX(St_e0,Det+1)+INDEX(St_kx,Det+1)*C256+INDEX(St_ky,Det+1)*B256</f>
      </c>
      <c r="F256" s="12">
        <f>IF(E256&gt;0,IF(E256&lt;=eco,alpha*fck*(1-(1-E256/eco)^n),alpha*fck),0)</f>
      </c>
      <c r="G256" s="11">
        <f>F256*D256</f>
      </c>
      <c r="H256" s="11">
        <f>G256*C256</f>
      </c>
      <c r="I256" s="11">
        <f>G256*B256</f>
      </c>
      <c r="J256" s="30">
        <f>PM_Angle!$J$7+PM_Angle!$K$7*$C256+PM_Angle!$L$7*$B256</f>
      </c>
      <c r="K256" s="12">
        <f>IF(J256&gt;0,IF(J256&lt;=eco,alpha*fck*(1-(1-J256/eco)^n),alpha*fck),0)</f>
      </c>
      <c r="L256" s="30">
        <f>PM_Angle!$J$8+PM_Angle!$K$8*$C256+PM_Angle!$L$8*$B256</f>
      </c>
      <c r="M256" s="12">
        <f>IF(L256&gt;0,IF(L256&lt;=eco,alpha*fck*(1-(1-L256/eco)^n),alpha*fck),0)</f>
      </c>
      <c r="N256" s="30">
        <f>PM_Angle!$J$9+PM_Angle!$K$9*$C256+PM_Angle!$L$9*$B256</f>
      </c>
      <c r="O256" s="12">
        <f>IF(N256&gt;0,IF(N256&lt;=eco,alpha*fck*(1-(1-N256/eco)^n),alpha*fck),0)</f>
      </c>
      <c r="P256" s="30">
        <f>PM_Angle!$J$10+PM_Angle!$K$10*$C256+PM_Angle!$L$10*$B256</f>
      </c>
      <c r="Q256" s="12">
        <f>IF(P256&gt;0,IF(P256&lt;=eco,alpha*fck*(1-(1-P256/eco)^n),alpha*fck),0)</f>
      </c>
      <c r="R256" s="30">
        <f>PM_Angle!$J$11+PM_Angle!$K$11*$C256+PM_Angle!$L$11*$B256</f>
      </c>
      <c r="S256" s="12">
        <f>IF(R256&gt;0,IF(R256&lt;=eco,alpha*fck*(1-(1-R256/eco)^n),alpha*fck),0)</f>
      </c>
      <c r="T256" s="30">
        <f>PM_Angle!$J$12+PM_Angle!$K$12*$C256+PM_Angle!$L$12*$B256</f>
      </c>
      <c r="U256" s="12">
        <f>IF(T256&gt;0,IF(T256&lt;=eco,alpha*fck*(1-(1-T256/eco)^n),alpha*fck),0)</f>
      </c>
      <c r="V256" s="30">
        <f>PM_Angle!$J$13+PM_Angle!$K$13*$C256+PM_Angle!$L$13*$B256</f>
      </c>
      <c r="W256" s="12">
        <f>IF(V256&gt;0,IF(V256&lt;=eco,alpha*fck*(1-(1-V256/eco)^n),alpha*fck),0)</f>
      </c>
      <c r="X256" s="30">
        <f>PM_Angle!$J$14+PM_Angle!$K$14*$C256+PM_Angle!$L$14*$B256</f>
      </c>
      <c r="Y256" s="12">
        <f>IF(X256&gt;0,IF(X256&lt;=eco,alpha*fck*(1-(1-X256/eco)^n),alpha*fck),0)</f>
      </c>
      <c r="Z256" s="30">
        <f>PM_Angle!$J$15+PM_Angle!$K$15*$C256+PM_Angle!$L$15*$B256</f>
      </c>
      <c r="AA256" s="12">
        <f>IF(Z256&gt;0,IF(Z256&lt;=eco,alpha*fck*(1-(1-Z256/eco)^n),alpha*fck),0)</f>
      </c>
      <c r="AB256" s="30">
        <f>PM_Angle!$J$16+PM_Angle!$K$16*$C256+PM_Angle!$L$16*$B256</f>
      </c>
      <c r="AC256" s="12">
        <f>IF(AB256&gt;0,IF(AB256&lt;=eco,alpha*fck*(1-(1-AB256/eco)^n),alpha*fck),0)</f>
      </c>
      <c r="AD256" s="30">
        <f>PM_Angle!$J$17+PM_Angle!$K$17*$C256+PM_Angle!$L$17*$B256</f>
      </c>
      <c r="AE256" s="12">
        <f>IF(AD256&gt;0,IF(AD256&lt;=eco,alpha*fck*(1-(1-AD256/eco)^n),alpha*fck),0)</f>
      </c>
      <c r="AF256" s="30">
        <f>PM_Angle!$J$18+PM_Angle!$K$18*$C256+PM_Angle!$L$18*$B256</f>
      </c>
      <c r="AG256" s="12">
        <f>IF(AF256&gt;0,IF(AF256&lt;=eco,alpha*fck*(1-(1-AF256/eco)^n),alpha*fck),0)</f>
      </c>
      <c r="AH256" s="30">
        <f>PM_Angle!$J$19+PM_Angle!$K$19*$C256+PM_Angle!$L$19*$B256</f>
      </c>
      <c r="AI256" s="12">
        <f>IF(AH256&gt;0,IF(AH256&lt;=eco,alpha*fck*(1-(1-AH256/eco)^n),alpha*fck),0)</f>
      </c>
      <c r="AJ256" s="30">
        <f>PM_Angle!$J$20+PM_Angle!$K$20*$C256+PM_Angle!$L$20*$B256</f>
      </c>
      <c r="AK256" s="12">
        <f>IF(AJ256&gt;0,IF(AJ256&lt;=eco,alpha*fck*(1-(1-AJ256/eco)^n),alpha*fck),0)</f>
      </c>
      <c r="AL256" s="30">
        <f>PM_Angle!$J$21+PM_Angle!$K$21*$C256+PM_Angle!$L$21*$B256</f>
      </c>
      <c r="AM256" s="12">
        <f>IF(AL256&gt;0,IF(AL256&lt;=eco,alpha*fck*(1-(1-AL256/eco)^n),alpha*fck),0)</f>
      </c>
      <c r="AN256" s="30">
        <f>PM_Angle!$J$22+PM_Angle!$K$22*$C256+PM_Angle!$L$22*$B256</f>
      </c>
      <c r="AO256" s="12">
        <f>IF(AN256&gt;0,IF(AN256&lt;=eco,alpha*fck*(1-(1-AN256/eco)^n),alpha*fck),0)</f>
      </c>
      <c r="AP256" s="30">
        <f>PM_Angle!$J$23+PM_Angle!$K$23*$C256+PM_Angle!$L$23*$B256</f>
      </c>
      <c r="AQ256" s="12">
        <f>IF(AP256&gt;0,IF(AP256&lt;=eco,alpha*fck*(1-(1-AP256/eco)^n),alpha*fck),0)</f>
      </c>
      <c r="AR256" s="30">
        <f>PM_Angle!$J$24+PM_Angle!$K$24*$C256+PM_Angle!$L$24*$B256</f>
      </c>
      <c r="AS256" s="12">
        <f>IF(AR256&gt;0,IF(AR256&lt;=eco,alpha*fck*(1-(1-AR256/eco)^n),alpha*fck),0)</f>
      </c>
      <c r="AT256" s="30">
        <f>PM_Angle!$J$25+PM_Angle!$K$25*$C256+PM_Angle!$L$25*$B256</f>
      </c>
      <c r="AU256" s="12">
        <f>IF(AT256&gt;0,IF(AT256&lt;=eco,alpha*fck*(1-(1-AT256/eco)^n),alpha*fck),0)</f>
      </c>
    </row>
    <row r="257" spans="1:47" x14ac:dyDescent="0.25">
      <c r="A257">
        <f>Mesh!A254</f>
      </c>
      <c r="B257" s="12">
        <f>Mesh!B254</f>
      </c>
      <c r="C257" s="12">
        <f>Mesh!C254</f>
      </c>
      <c r="D257" s="12">
        <f>Mesh!D254</f>
      </c>
      <c r="E257" s="30">
        <f>INDEX(St_e0,Det+1)+INDEX(St_kx,Det+1)*C257+INDEX(St_ky,Det+1)*B257</f>
      </c>
      <c r="F257" s="12">
        <f>IF(E257&gt;0,IF(E257&lt;=eco,alpha*fck*(1-(1-E257/eco)^n),alpha*fck),0)</f>
      </c>
      <c r="G257" s="11">
        <f>F257*D257</f>
      </c>
      <c r="H257" s="11">
        <f>G257*C257</f>
      </c>
      <c r="I257" s="11">
        <f>G257*B257</f>
      </c>
      <c r="J257" s="30">
        <f>PM_Angle!$J$7+PM_Angle!$K$7*$C257+PM_Angle!$L$7*$B257</f>
      </c>
      <c r="K257" s="12">
        <f>IF(J257&gt;0,IF(J257&lt;=eco,alpha*fck*(1-(1-J257/eco)^n),alpha*fck),0)</f>
      </c>
      <c r="L257" s="30">
        <f>PM_Angle!$J$8+PM_Angle!$K$8*$C257+PM_Angle!$L$8*$B257</f>
      </c>
      <c r="M257" s="12">
        <f>IF(L257&gt;0,IF(L257&lt;=eco,alpha*fck*(1-(1-L257/eco)^n),alpha*fck),0)</f>
      </c>
      <c r="N257" s="30">
        <f>PM_Angle!$J$9+PM_Angle!$K$9*$C257+PM_Angle!$L$9*$B257</f>
      </c>
      <c r="O257" s="12">
        <f>IF(N257&gt;0,IF(N257&lt;=eco,alpha*fck*(1-(1-N257/eco)^n),alpha*fck),0)</f>
      </c>
      <c r="P257" s="30">
        <f>PM_Angle!$J$10+PM_Angle!$K$10*$C257+PM_Angle!$L$10*$B257</f>
      </c>
      <c r="Q257" s="12">
        <f>IF(P257&gt;0,IF(P257&lt;=eco,alpha*fck*(1-(1-P257/eco)^n),alpha*fck),0)</f>
      </c>
      <c r="R257" s="30">
        <f>PM_Angle!$J$11+PM_Angle!$K$11*$C257+PM_Angle!$L$11*$B257</f>
      </c>
      <c r="S257" s="12">
        <f>IF(R257&gt;0,IF(R257&lt;=eco,alpha*fck*(1-(1-R257/eco)^n),alpha*fck),0)</f>
      </c>
      <c r="T257" s="30">
        <f>PM_Angle!$J$12+PM_Angle!$K$12*$C257+PM_Angle!$L$12*$B257</f>
      </c>
      <c r="U257" s="12">
        <f>IF(T257&gt;0,IF(T257&lt;=eco,alpha*fck*(1-(1-T257/eco)^n),alpha*fck),0)</f>
      </c>
      <c r="V257" s="30">
        <f>PM_Angle!$J$13+PM_Angle!$K$13*$C257+PM_Angle!$L$13*$B257</f>
      </c>
      <c r="W257" s="12">
        <f>IF(V257&gt;0,IF(V257&lt;=eco,alpha*fck*(1-(1-V257/eco)^n),alpha*fck),0)</f>
      </c>
      <c r="X257" s="30">
        <f>PM_Angle!$J$14+PM_Angle!$K$14*$C257+PM_Angle!$L$14*$B257</f>
      </c>
      <c r="Y257" s="12">
        <f>IF(X257&gt;0,IF(X257&lt;=eco,alpha*fck*(1-(1-X257/eco)^n),alpha*fck),0)</f>
      </c>
      <c r="Z257" s="30">
        <f>PM_Angle!$J$15+PM_Angle!$K$15*$C257+PM_Angle!$L$15*$B257</f>
      </c>
      <c r="AA257" s="12">
        <f>IF(Z257&gt;0,IF(Z257&lt;=eco,alpha*fck*(1-(1-Z257/eco)^n),alpha*fck),0)</f>
      </c>
      <c r="AB257" s="30">
        <f>PM_Angle!$J$16+PM_Angle!$K$16*$C257+PM_Angle!$L$16*$B257</f>
      </c>
      <c r="AC257" s="12">
        <f>IF(AB257&gt;0,IF(AB257&lt;=eco,alpha*fck*(1-(1-AB257/eco)^n),alpha*fck),0)</f>
      </c>
      <c r="AD257" s="30">
        <f>PM_Angle!$J$17+PM_Angle!$K$17*$C257+PM_Angle!$L$17*$B257</f>
      </c>
      <c r="AE257" s="12">
        <f>IF(AD257&gt;0,IF(AD257&lt;=eco,alpha*fck*(1-(1-AD257/eco)^n),alpha*fck),0)</f>
      </c>
      <c r="AF257" s="30">
        <f>PM_Angle!$J$18+PM_Angle!$K$18*$C257+PM_Angle!$L$18*$B257</f>
      </c>
      <c r="AG257" s="12">
        <f>IF(AF257&gt;0,IF(AF257&lt;=eco,alpha*fck*(1-(1-AF257/eco)^n),alpha*fck),0)</f>
      </c>
      <c r="AH257" s="30">
        <f>PM_Angle!$J$19+PM_Angle!$K$19*$C257+PM_Angle!$L$19*$B257</f>
      </c>
      <c r="AI257" s="12">
        <f>IF(AH257&gt;0,IF(AH257&lt;=eco,alpha*fck*(1-(1-AH257/eco)^n),alpha*fck),0)</f>
      </c>
      <c r="AJ257" s="30">
        <f>PM_Angle!$J$20+PM_Angle!$K$20*$C257+PM_Angle!$L$20*$B257</f>
      </c>
      <c r="AK257" s="12">
        <f>IF(AJ257&gt;0,IF(AJ257&lt;=eco,alpha*fck*(1-(1-AJ257/eco)^n),alpha*fck),0)</f>
      </c>
      <c r="AL257" s="30">
        <f>PM_Angle!$J$21+PM_Angle!$K$21*$C257+PM_Angle!$L$21*$B257</f>
      </c>
      <c r="AM257" s="12">
        <f>IF(AL257&gt;0,IF(AL257&lt;=eco,alpha*fck*(1-(1-AL257/eco)^n),alpha*fck),0)</f>
      </c>
      <c r="AN257" s="30">
        <f>PM_Angle!$J$22+PM_Angle!$K$22*$C257+PM_Angle!$L$22*$B257</f>
      </c>
      <c r="AO257" s="12">
        <f>IF(AN257&gt;0,IF(AN257&lt;=eco,alpha*fck*(1-(1-AN257/eco)^n),alpha*fck),0)</f>
      </c>
      <c r="AP257" s="30">
        <f>PM_Angle!$J$23+PM_Angle!$K$23*$C257+PM_Angle!$L$23*$B257</f>
      </c>
      <c r="AQ257" s="12">
        <f>IF(AP257&gt;0,IF(AP257&lt;=eco,alpha*fck*(1-(1-AP257/eco)^n),alpha*fck),0)</f>
      </c>
      <c r="AR257" s="30">
        <f>PM_Angle!$J$24+PM_Angle!$K$24*$C257+PM_Angle!$L$24*$B257</f>
      </c>
      <c r="AS257" s="12">
        <f>IF(AR257&gt;0,IF(AR257&lt;=eco,alpha*fck*(1-(1-AR257/eco)^n),alpha*fck),0)</f>
      </c>
      <c r="AT257" s="30">
        <f>PM_Angle!$J$25+PM_Angle!$K$25*$C257+PM_Angle!$L$25*$B257</f>
      </c>
      <c r="AU257" s="12">
        <f>IF(AT257&gt;0,IF(AT257&lt;=eco,alpha*fck*(1-(1-AT257/eco)^n),alpha*fck),0)</f>
      </c>
    </row>
    <row r="258" spans="1:47" x14ac:dyDescent="0.25">
      <c r="A258">
        <f>Mesh!A255</f>
      </c>
      <c r="B258" s="12">
        <f>Mesh!B255</f>
      </c>
      <c r="C258" s="12">
        <f>Mesh!C255</f>
      </c>
      <c r="D258" s="12">
        <f>Mesh!D255</f>
      </c>
      <c r="E258" s="30">
        <f>INDEX(St_e0,Det+1)+INDEX(St_kx,Det+1)*C258+INDEX(St_ky,Det+1)*B258</f>
      </c>
      <c r="F258" s="12">
        <f>IF(E258&gt;0,IF(E258&lt;=eco,alpha*fck*(1-(1-E258/eco)^n),alpha*fck),0)</f>
      </c>
      <c r="G258" s="11">
        <f>F258*D258</f>
      </c>
      <c r="H258" s="11">
        <f>G258*C258</f>
      </c>
      <c r="I258" s="11">
        <f>G258*B258</f>
      </c>
      <c r="J258" s="30">
        <f>PM_Angle!$J$7+PM_Angle!$K$7*$C258+PM_Angle!$L$7*$B258</f>
      </c>
      <c r="K258" s="12">
        <f>IF(J258&gt;0,IF(J258&lt;=eco,alpha*fck*(1-(1-J258/eco)^n),alpha*fck),0)</f>
      </c>
      <c r="L258" s="30">
        <f>PM_Angle!$J$8+PM_Angle!$K$8*$C258+PM_Angle!$L$8*$B258</f>
      </c>
      <c r="M258" s="12">
        <f>IF(L258&gt;0,IF(L258&lt;=eco,alpha*fck*(1-(1-L258/eco)^n),alpha*fck),0)</f>
      </c>
      <c r="N258" s="30">
        <f>PM_Angle!$J$9+PM_Angle!$K$9*$C258+PM_Angle!$L$9*$B258</f>
      </c>
      <c r="O258" s="12">
        <f>IF(N258&gt;0,IF(N258&lt;=eco,alpha*fck*(1-(1-N258/eco)^n),alpha*fck),0)</f>
      </c>
      <c r="P258" s="30">
        <f>PM_Angle!$J$10+PM_Angle!$K$10*$C258+PM_Angle!$L$10*$B258</f>
      </c>
      <c r="Q258" s="12">
        <f>IF(P258&gt;0,IF(P258&lt;=eco,alpha*fck*(1-(1-P258/eco)^n),alpha*fck),0)</f>
      </c>
      <c r="R258" s="30">
        <f>PM_Angle!$J$11+PM_Angle!$K$11*$C258+PM_Angle!$L$11*$B258</f>
      </c>
      <c r="S258" s="12">
        <f>IF(R258&gt;0,IF(R258&lt;=eco,alpha*fck*(1-(1-R258/eco)^n),alpha*fck),0)</f>
      </c>
      <c r="T258" s="30">
        <f>PM_Angle!$J$12+PM_Angle!$K$12*$C258+PM_Angle!$L$12*$B258</f>
      </c>
      <c r="U258" s="12">
        <f>IF(T258&gt;0,IF(T258&lt;=eco,alpha*fck*(1-(1-T258/eco)^n),alpha*fck),0)</f>
      </c>
      <c r="V258" s="30">
        <f>PM_Angle!$J$13+PM_Angle!$K$13*$C258+PM_Angle!$L$13*$B258</f>
      </c>
      <c r="W258" s="12">
        <f>IF(V258&gt;0,IF(V258&lt;=eco,alpha*fck*(1-(1-V258/eco)^n),alpha*fck),0)</f>
      </c>
      <c r="X258" s="30">
        <f>PM_Angle!$J$14+PM_Angle!$K$14*$C258+PM_Angle!$L$14*$B258</f>
      </c>
      <c r="Y258" s="12">
        <f>IF(X258&gt;0,IF(X258&lt;=eco,alpha*fck*(1-(1-X258/eco)^n),alpha*fck),0)</f>
      </c>
      <c r="Z258" s="30">
        <f>PM_Angle!$J$15+PM_Angle!$K$15*$C258+PM_Angle!$L$15*$B258</f>
      </c>
      <c r="AA258" s="12">
        <f>IF(Z258&gt;0,IF(Z258&lt;=eco,alpha*fck*(1-(1-Z258/eco)^n),alpha*fck),0)</f>
      </c>
      <c r="AB258" s="30">
        <f>PM_Angle!$J$16+PM_Angle!$K$16*$C258+PM_Angle!$L$16*$B258</f>
      </c>
      <c r="AC258" s="12">
        <f>IF(AB258&gt;0,IF(AB258&lt;=eco,alpha*fck*(1-(1-AB258/eco)^n),alpha*fck),0)</f>
      </c>
      <c r="AD258" s="30">
        <f>PM_Angle!$J$17+PM_Angle!$K$17*$C258+PM_Angle!$L$17*$B258</f>
      </c>
      <c r="AE258" s="12">
        <f>IF(AD258&gt;0,IF(AD258&lt;=eco,alpha*fck*(1-(1-AD258/eco)^n),alpha*fck),0)</f>
      </c>
      <c r="AF258" s="30">
        <f>PM_Angle!$J$18+PM_Angle!$K$18*$C258+PM_Angle!$L$18*$B258</f>
      </c>
      <c r="AG258" s="12">
        <f>IF(AF258&gt;0,IF(AF258&lt;=eco,alpha*fck*(1-(1-AF258/eco)^n),alpha*fck),0)</f>
      </c>
      <c r="AH258" s="30">
        <f>PM_Angle!$J$19+PM_Angle!$K$19*$C258+PM_Angle!$L$19*$B258</f>
      </c>
      <c r="AI258" s="12">
        <f>IF(AH258&gt;0,IF(AH258&lt;=eco,alpha*fck*(1-(1-AH258/eco)^n),alpha*fck),0)</f>
      </c>
      <c r="AJ258" s="30">
        <f>PM_Angle!$J$20+PM_Angle!$K$20*$C258+PM_Angle!$L$20*$B258</f>
      </c>
      <c r="AK258" s="12">
        <f>IF(AJ258&gt;0,IF(AJ258&lt;=eco,alpha*fck*(1-(1-AJ258/eco)^n),alpha*fck),0)</f>
      </c>
      <c r="AL258" s="30">
        <f>PM_Angle!$J$21+PM_Angle!$K$21*$C258+PM_Angle!$L$21*$B258</f>
      </c>
      <c r="AM258" s="12">
        <f>IF(AL258&gt;0,IF(AL258&lt;=eco,alpha*fck*(1-(1-AL258/eco)^n),alpha*fck),0)</f>
      </c>
      <c r="AN258" s="30">
        <f>PM_Angle!$J$22+PM_Angle!$K$22*$C258+PM_Angle!$L$22*$B258</f>
      </c>
      <c r="AO258" s="12">
        <f>IF(AN258&gt;0,IF(AN258&lt;=eco,alpha*fck*(1-(1-AN258/eco)^n),alpha*fck),0)</f>
      </c>
      <c r="AP258" s="30">
        <f>PM_Angle!$J$23+PM_Angle!$K$23*$C258+PM_Angle!$L$23*$B258</f>
      </c>
      <c r="AQ258" s="12">
        <f>IF(AP258&gt;0,IF(AP258&lt;=eco,alpha*fck*(1-(1-AP258/eco)^n),alpha*fck),0)</f>
      </c>
      <c r="AR258" s="30">
        <f>PM_Angle!$J$24+PM_Angle!$K$24*$C258+PM_Angle!$L$24*$B258</f>
      </c>
      <c r="AS258" s="12">
        <f>IF(AR258&gt;0,IF(AR258&lt;=eco,alpha*fck*(1-(1-AR258/eco)^n),alpha*fck),0)</f>
      </c>
      <c r="AT258" s="30">
        <f>PM_Angle!$J$25+PM_Angle!$K$25*$C258+PM_Angle!$L$25*$B258</f>
      </c>
      <c r="AU258" s="12">
        <f>IF(AT258&gt;0,IF(AT258&lt;=eco,alpha*fck*(1-(1-AT258/eco)^n),alpha*fck),0)</f>
      </c>
    </row>
    <row r="259" spans="1:47" x14ac:dyDescent="0.25">
      <c r="A259">
        <f>Mesh!A256</f>
      </c>
      <c r="B259" s="12">
        <f>Mesh!B256</f>
      </c>
      <c r="C259" s="12">
        <f>Mesh!C256</f>
      </c>
      <c r="D259" s="12">
        <f>Mesh!D256</f>
      </c>
      <c r="E259" s="30">
        <f>INDEX(St_e0,Det+1)+INDEX(St_kx,Det+1)*C259+INDEX(St_ky,Det+1)*B259</f>
      </c>
      <c r="F259" s="12">
        <f>IF(E259&gt;0,IF(E259&lt;=eco,alpha*fck*(1-(1-E259/eco)^n),alpha*fck),0)</f>
      </c>
      <c r="G259" s="11">
        <f>F259*D259</f>
      </c>
      <c r="H259" s="11">
        <f>G259*C259</f>
      </c>
      <c r="I259" s="11">
        <f>G259*B259</f>
      </c>
      <c r="J259" s="30">
        <f>PM_Angle!$J$7+PM_Angle!$K$7*$C259+PM_Angle!$L$7*$B259</f>
      </c>
      <c r="K259" s="12">
        <f>IF(J259&gt;0,IF(J259&lt;=eco,alpha*fck*(1-(1-J259/eco)^n),alpha*fck),0)</f>
      </c>
      <c r="L259" s="30">
        <f>PM_Angle!$J$8+PM_Angle!$K$8*$C259+PM_Angle!$L$8*$B259</f>
      </c>
      <c r="M259" s="12">
        <f>IF(L259&gt;0,IF(L259&lt;=eco,alpha*fck*(1-(1-L259/eco)^n),alpha*fck),0)</f>
      </c>
      <c r="N259" s="30">
        <f>PM_Angle!$J$9+PM_Angle!$K$9*$C259+PM_Angle!$L$9*$B259</f>
      </c>
      <c r="O259" s="12">
        <f>IF(N259&gt;0,IF(N259&lt;=eco,alpha*fck*(1-(1-N259/eco)^n),alpha*fck),0)</f>
      </c>
      <c r="P259" s="30">
        <f>PM_Angle!$J$10+PM_Angle!$K$10*$C259+PM_Angle!$L$10*$B259</f>
      </c>
      <c r="Q259" s="12">
        <f>IF(P259&gt;0,IF(P259&lt;=eco,alpha*fck*(1-(1-P259/eco)^n),alpha*fck),0)</f>
      </c>
      <c r="R259" s="30">
        <f>PM_Angle!$J$11+PM_Angle!$K$11*$C259+PM_Angle!$L$11*$B259</f>
      </c>
      <c r="S259" s="12">
        <f>IF(R259&gt;0,IF(R259&lt;=eco,alpha*fck*(1-(1-R259/eco)^n),alpha*fck),0)</f>
      </c>
      <c r="T259" s="30">
        <f>PM_Angle!$J$12+PM_Angle!$K$12*$C259+PM_Angle!$L$12*$B259</f>
      </c>
      <c r="U259" s="12">
        <f>IF(T259&gt;0,IF(T259&lt;=eco,alpha*fck*(1-(1-T259/eco)^n),alpha*fck),0)</f>
      </c>
      <c r="V259" s="30">
        <f>PM_Angle!$J$13+PM_Angle!$K$13*$C259+PM_Angle!$L$13*$B259</f>
      </c>
      <c r="W259" s="12">
        <f>IF(V259&gt;0,IF(V259&lt;=eco,alpha*fck*(1-(1-V259/eco)^n),alpha*fck),0)</f>
      </c>
      <c r="X259" s="30">
        <f>PM_Angle!$J$14+PM_Angle!$K$14*$C259+PM_Angle!$L$14*$B259</f>
      </c>
      <c r="Y259" s="12">
        <f>IF(X259&gt;0,IF(X259&lt;=eco,alpha*fck*(1-(1-X259/eco)^n),alpha*fck),0)</f>
      </c>
      <c r="Z259" s="30">
        <f>PM_Angle!$J$15+PM_Angle!$K$15*$C259+PM_Angle!$L$15*$B259</f>
      </c>
      <c r="AA259" s="12">
        <f>IF(Z259&gt;0,IF(Z259&lt;=eco,alpha*fck*(1-(1-Z259/eco)^n),alpha*fck),0)</f>
      </c>
      <c r="AB259" s="30">
        <f>PM_Angle!$J$16+PM_Angle!$K$16*$C259+PM_Angle!$L$16*$B259</f>
      </c>
      <c r="AC259" s="12">
        <f>IF(AB259&gt;0,IF(AB259&lt;=eco,alpha*fck*(1-(1-AB259/eco)^n),alpha*fck),0)</f>
      </c>
      <c r="AD259" s="30">
        <f>PM_Angle!$J$17+PM_Angle!$K$17*$C259+PM_Angle!$L$17*$B259</f>
      </c>
      <c r="AE259" s="12">
        <f>IF(AD259&gt;0,IF(AD259&lt;=eco,alpha*fck*(1-(1-AD259/eco)^n),alpha*fck),0)</f>
      </c>
      <c r="AF259" s="30">
        <f>PM_Angle!$J$18+PM_Angle!$K$18*$C259+PM_Angle!$L$18*$B259</f>
      </c>
      <c r="AG259" s="12">
        <f>IF(AF259&gt;0,IF(AF259&lt;=eco,alpha*fck*(1-(1-AF259/eco)^n),alpha*fck),0)</f>
      </c>
      <c r="AH259" s="30">
        <f>PM_Angle!$J$19+PM_Angle!$K$19*$C259+PM_Angle!$L$19*$B259</f>
      </c>
      <c r="AI259" s="12">
        <f>IF(AH259&gt;0,IF(AH259&lt;=eco,alpha*fck*(1-(1-AH259/eco)^n),alpha*fck),0)</f>
      </c>
      <c r="AJ259" s="30">
        <f>PM_Angle!$J$20+PM_Angle!$K$20*$C259+PM_Angle!$L$20*$B259</f>
      </c>
      <c r="AK259" s="12">
        <f>IF(AJ259&gt;0,IF(AJ259&lt;=eco,alpha*fck*(1-(1-AJ259/eco)^n),alpha*fck),0)</f>
      </c>
      <c r="AL259" s="30">
        <f>PM_Angle!$J$21+PM_Angle!$K$21*$C259+PM_Angle!$L$21*$B259</f>
      </c>
      <c r="AM259" s="12">
        <f>IF(AL259&gt;0,IF(AL259&lt;=eco,alpha*fck*(1-(1-AL259/eco)^n),alpha*fck),0)</f>
      </c>
      <c r="AN259" s="30">
        <f>PM_Angle!$J$22+PM_Angle!$K$22*$C259+PM_Angle!$L$22*$B259</f>
      </c>
      <c r="AO259" s="12">
        <f>IF(AN259&gt;0,IF(AN259&lt;=eco,alpha*fck*(1-(1-AN259/eco)^n),alpha*fck),0)</f>
      </c>
      <c r="AP259" s="30">
        <f>PM_Angle!$J$23+PM_Angle!$K$23*$C259+PM_Angle!$L$23*$B259</f>
      </c>
      <c r="AQ259" s="12">
        <f>IF(AP259&gt;0,IF(AP259&lt;=eco,alpha*fck*(1-(1-AP259/eco)^n),alpha*fck),0)</f>
      </c>
      <c r="AR259" s="30">
        <f>PM_Angle!$J$24+PM_Angle!$K$24*$C259+PM_Angle!$L$24*$B259</f>
      </c>
      <c r="AS259" s="12">
        <f>IF(AR259&gt;0,IF(AR259&lt;=eco,alpha*fck*(1-(1-AR259/eco)^n),alpha*fck),0)</f>
      </c>
      <c r="AT259" s="30">
        <f>PM_Angle!$J$25+PM_Angle!$K$25*$C259+PM_Angle!$L$25*$B259</f>
      </c>
      <c r="AU259" s="12">
        <f>IF(AT259&gt;0,IF(AT259&lt;=eco,alpha*fck*(1-(1-AT259/eco)^n),alpha*fck),0)</f>
      </c>
    </row>
    <row r="260" spans="1:47" x14ac:dyDescent="0.25">
      <c r="A260">
        <f>Mesh!A257</f>
      </c>
      <c r="B260" s="12">
        <f>Mesh!B257</f>
      </c>
      <c r="C260" s="12">
        <f>Mesh!C257</f>
      </c>
      <c r="D260" s="12">
        <f>Mesh!D257</f>
      </c>
      <c r="E260" s="30">
        <f>INDEX(St_e0,Det+1)+INDEX(St_kx,Det+1)*C260+INDEX(St_ky,Det+1)*B260</f>
      </c>
      <c r="F260" s="12">
        <f>IF(E260&gt;0,IF(E260&lt;=eco,alpha*fck*(1-(1-E260/eco)^n),alpha*fck),0)</f>
      </c>
      <c r="G260" s="11">
        <f>F260*D260</f>
      </c>
      <c r="H260" s="11">
        <f>G260*C260</f>
      </c>
      <c r="I260" s="11">
        <f>G260*B260</f>
      </c>
      <c r="J260" s="30">
        <f>PM_Angle!$J$7+PM_Angle!$K$7*$C260+PM_Angle!$L$7*$B260</f>
      </c>
      <c r="K260" s="12">
        <f>IF(J260&gt;0,IF(J260&lt;=eco,alpha*fck*(1-(1-J260/eco)^n),alpha*fck),0)</f>
      </c>
      <c r="L260" s="30">
        <f>PM_Angle!$J$8+PM_Angle!$K$8*$C260+PM_Angle!$L$8*$B260</f>
      </c>
      <c r="M260" s="12">
        <f>IF(L260&gt;0,IF(L260&lt;=eco,alpha*fck*(1-(1-L260/eco)^n),alpha*fck),0)</f>
      </c>
      <c r="N260" s="30">
        <f>PM_Angle!$J$9+PM_Angle!$K$9*$C260+PM_Angle!$L$9*$B260</f>
      </c>
      <c r="O260" s="12">
        <f>IF(N260&gt;0,IF(N260&lt;=eco,alpha*fck*(1-(1-N260/eco)^n),alpha*fck),0)</f>
      </c>
      <c r="P260" s="30">
        <f>PM_Angle!$J$10+PM_Angle!$K$10*$C260+PM_Angle!$L$10*$B260</f>
      </c>
      <c r="Q260" s="12">
        <f>IF(P260&gt;0,IF(P260&lt;=eco,alpha*fck*(1-(1-P260/eco)^n),alpha*fck),0)</f>
      </c>
      <c r="R260" s="30">
        <f>PM_Angle!$J$11+PM_Angle!$K$11*$C260+PM_Angle!$L$11*$B260</f>
      </c>
      <c r="S260" s="12">
        <f>IF(R260&gt;0,IF(R260&lt;=eco,alpha*fck*(1-(1-R260/eco)^n),alpha*fck),0)</f>
      </c>
      <c r="T260" s="30">
        <f>PM_Angle!$J$12+PM_Angle!$K$12*$C260+PM_Angle!$L$12*$B260</f>
      </c>
      <c r="U260" s="12">
        <f>IF(T260&gt;0,IF(T260&lt;=eco,alpha*fck*(1-(1-T260/eco)^n),alpha*fck),0)</f>
      </c>
      <c r="V260" s="30">
        <f>PM_Angle!$J$13+PM_Angle!$K$13*$C260+PM_Angle!$L$13*$B260</f>
      </c>
      <c r="W260" s="12">
        <f>IF(V260&gt;0,IF(V260&lt;=eco,alpha*fck*(1-(1-V260/eco)^n),alpha*fck),0)</f>
      </c>
      <c r="X260" s="30">
        <f>PM_Angle!$J$14+PM_Angle!$K$14*$C260+PM_Angle!$L$14*$B260</f>
      </c>
      <c r="Y260" s="12">
        <f>IF(X260&gt;0,IF(X260&lt;=eco,alpha*fck*(1-(1-X260/eco)^n),alpha*fck),0)</f>
      </c>
      <c r="Z260" s="30">
        <f>PM_Angle!$J$15+PM_Angle!$K$15*$C260+PM_Angle!$L$15*$B260</f>
      </c>
      <c r="AA260" s="12">
        <f>IF(Z260&gt;0,IF(Z260&lt;=eco,alpha*fck*(1-(1-Z260/eco)^n),alpha*fck),0)</f>
      </c>
      <c r="AB260" s="30">
        <f>PM_Angle!$J$16+PM_Angle!$K$16*$C260+PM_Angle!$L$16*$B260</f>
      </c>
      <c r="AC260" s="12">
        <f>IF(AB260&gt;0,IF(AB260&lt;=eco,alpha*fck*(1-(1-AB260/eco)^n),alpha*fck),0)</f>
      </c>
      <c r="AD260" s="30">
        <f>PM_Angle!$J$17+PM_Angle!$K$17*$C260+PM_Angle!$L$17*$B260</f>
      </c>
      <c r="AE260" s="12">
        <f>IF(AD260&gt;0,IF(AD260&lt;=eco,alpha*fck*(1-(1-AD260/eco)^n),alpha*fck),0)</f>
      </c>
      <c r="AF260" s="30">
        <f>PM_Angle!$J$18+PM_Angle!$K$18*$C260+PM_Angle!$L$18*$B260</f>
      </c>
      <c r="AG260" s="12">
        <f>IF(AF260&gt;0,IF(AF260&lt;=eco,alpha*fck*(1-(1-AF260/eco)^n),alpha*fck),0)</f>
      </c>
      <c r="AH260" s="30">
        <f>PM_Angle!$J$19+PM_Angle!$K$19*$C260+PM_Angle!$L$19*$B260</f>
      </c>
      <c r="AI260" s="12">
        <f>IF(AH260&gt;0,IF(AH260&lt;=eco,alpha*fck*(1-(1-AH260/eco)^n),alpha*fck),0)</f>
      </c>
      <c r="AJ260" s="30">
        <f>PM_Angle!$J$20+PM_Angle!$K$20*$C260+PM_Angle!$L$20*$B260</f>
      </c>
      <c r="AK260" s="12">
        <f>IF(AJ260&gt;0,IF(AJ260&lt;=eco,alpha*fck*(1-(1-AJ260/eco)^n),alpha*fck),0)</f>
      </c>
      <c r="AL260" s="30">
        <f>PM_Angle!$J$21+PM_Angle!$K$21*$C260+PM_Angle!$L$21*$B260</f>
      </c>
      <c r="AM260" s="12">
        <f>IF(AL260&gt;0,IF(AL260&lt;=eco,alpha*fck*(1-(1-AL260/eco)^n),alpha*fck),0)</f>
      </c>
      <c r="AN260" s="30">
        <f>PM_Angle!$J$22+PM_Angle!$K$22*$C260+PM_Angle!$L$22*$B260</f>
      </c>
      <c r="AO260" s="12">
        <f>IF(AN260&gt;0,IF(AN260&lt;=eco,alpha*fck*(1-(1-AN260/eco)^n),alpha*fck),0)</f>
      </c>
      <c r="AP260" s="30">
        <f>PM_Angle!$J$23+PM_Angle!$K$23*$C260+PM_Angle!$L$23*$B260</f>
      </c>
      <c r="AQ260" s="12">
        <f>IF(AP260&gt;0,IF(AP260&lt;=eco,alpha*fck*(1-(1-AP260/eco)^n),alpha*fck),0)</f>
      </c>
      <c r="AR260" s="30">
        <f>PM_Angle!$J$24+PM_Angle!$K$24*$C260+PM_Angle!$L$24*$B260</f>
      </c>
      <c r="AS260" s="12">
        <f>IF(AR260&gt;0,IF(AR260&lt;=eco,alpha*fck*(1-(1-AR260/eco)^n),alpha*fck),0)</f>
      </c>
      <c r="AT260" s="30">
        <f>PM_Angle!$J$25+PM_Angle!$K$25*$C260+PM_Angle!$L$25*$B260</f>
      </c>
      <c r="AU260" s="12">
        <f>IF(AT260&gt;0,IF(AT260&lt;=eco,alpha*fck*(1-(1-AT260/eco)^n),alpha*fck),0)</f>
      </c>
    </row>
    <row r="261" spans="1:47" x14ac:dyDescent="0.25">
      <c r="A261">
        <f>Mesh!A258</f>
      </c>
      <c r="B261" s="12">
        <f>Mesh!B258</f>
      </c>
      <c r="C261" s="12">
        <f>Mesh!C258</f>
      </c>
      <c r="D261" s="12">
        <f>Mesh!D258</f>
      </c>
      <c r="E261" s="30">
        <f>INDEX(St_e0,Det+1)+INDEX(St_kx,Det+1)*C261+INDEX(St_ky,Det+1)*B261</f>
      </c>
      <c r="F261" s="12">
        <f>IF(E261&gt;0,IF(E261&lt;=eco,alpha*fck*(1-(1-E261/eco)^n),alpha*fck),0)</f>
      </c>
      <c r="G261" s="11">
        <f>F261*D261</f>
      </c>
      <c r="H261" s="11">
        <f>G261*C261</f>
      </c>
      <c r="I261" s="11">
        <f>G261*B261</f>
      </c>
      <c r="J261" s="30">
        <f>PM_Angle!$J$7+PM_Angle!$K$7*$C261+PM_Angle!$L$7*$B261</f>
      </c>
      <c r="K261" s="12">
        <f>IF(J261&gt;0,IF(J261&lt;=eco,alpha*fck*(1-(1-J261/eco)^n),alpha*fck),0)</f>
      </c>
      <c r="L261" s="30">
        <f>PM_Angle!$J$8+PM_Angle!$K$8*$C261+PM_Angle!$L$8*$B261</f>
      </c>
      <c r="M261" s="12">
        <f>IF(L261&gt;0,IF(L261&lt;=eco,alpha*fck*(1-(1-L261/eco)^n),alpha*fck),0)</f>
      </c>
      <c r="N261" s="30">
        <f>PM_Angle!$J$9+PM_Angle!$K$9*$C261+PM_Angle!$L$9*$B261</f>
      </c>
      <c r="O261" s="12">
        <f>IF(N261&gt;0,IF(N261&lt;=eco,alpha*fck*(1-(1-N261/eco)^n),alpha*fck),0)</f>
      </c>
      <c r="P261" s="30">
        <f>PM_Angle!$J$10+PM_Angle!$K$10*$C261+PM_Angle!$L$10*$B261</f>
      </c>
      <c r="Q261" s="12">
        <f>IF(P261&gt;0,IF(P261&lt;=eco,alpha*fck*(1-(1-P261/eco)^n),alpha*fck),0)</f>
      </c>
      <c r="R261" s="30">
        <f>PM_Angle!$J$11+PM_Angle!$K$11*$C261+PM_Angle!$L$11*$B261</f>
      </c>
      <c r="S261" s="12">
        <f>IF(R261&gt;0,IF(R261&lt;=eco,alpha*fck*(1-(1-R261/eco)^n),alpha*fck),0)</f>
      </c>
      <c r="T261" s="30">
        <f>PM_Angle!$J$12+PM_Angle!$K$12*$C261+PM_Angle!$L$12*$B261</f>
      </c>
      <c r="U261" s="12">
        <f>IF(T261&gt;0,IF(T261&lt;=eco,alpha*fck*(1-(1-T261/eco)^n),alpha*fck),0)</f>
      </c>
      <c r="V261" s="30">
        <f>PM_Angle!$J$13+PM_Angle!$K$13*$C261+PM_Angle!$L$13*$B261</f>
      </c>
      <c r="W261" s="12">
        <f>IF(V261&gt;0,IF(V261&lt;=eco,alpha*fck*(1-(1-V261/eco)^n),alpha*fck),0)</f>
      </c>
      <c r="X261" s="30">
        <f>PM_Angle!$J$14+PM_Angle!$K$14*$C261+PM_Angle!$L$14*$B261</f>
      </c>
      <c r="Y261" s="12">
        <f>IF(X261&gt;0,IF(X261&lt;=eco,alpha*fck*(1-(1-X261/eco)^n),alpha*fck),0)</f>
      </c>
      <c r="Z261" s="30">
        <f>PM_Angle!$J$15+PM_Angle!$K$15*$C261+PM_Angle!$L$15*$B261</f>
      </c>
      <c r="AA261" s="12">
        <f>IF(Z261&gt;0,IF(Z261&lt;=eco,alpha*fck*(1-(1-Z261/eco)^n),alpha*fck),0)</f>
      </c>
      <c r="AB261" s="30">
        <f>PM_Angle!$J$16+PM_Angle!$K$16*$C261+PM_Angle!$L$16*$B261</f>
      </c>
      <c r="AC261" s="12">
        <f>IF(AB261&gt;0,IF(AB261&lt;=eco,alpha*fck*(1-(1-AB261/eco)^n),alpha*fck),0)</f>
      </c>
      <c r="AD261" s="30">
        <f>PM_Angle!$J$17+PM_Angle!$K$17*$C261+PM_Angle!$L$17*$B261</f>
      </c>
      <c r="AE261" s="12">
        <f>IF(AD261&gt;0,IF(AD261&lt;=eco,alpha*fck*(1-(1-AD261/eco)^n),alpha*fck),0)</f>
      </c>
      <c r="AF261" s="30">
        <f>PM_Angle!$J$18+PM_Angle!$K$18*$C261+PM_Angle!$L$18*$B261</f>
      </c>
      <c r="AG261" s="12">
        <f>IF(AF261&gt;0,IF(AF261&lt;=eco,alpha*fck*(1-(1-AF261/eco)^n),alpha*fck),0)</f>
      </c>
      <c r="AH261" s="30">
        <f>PM_Angle!$J$19+PM_Angle!$K$19*$C261+PM_Angle!$L$19*$B261</f>
      </c>
      <c r="AI261" s="12">
        <f>IF(AH261&gt;0,IF(AH261&lt;=eco,alpha*fck*(1-(1-AH261/eco)^n),alpha*fck),0)</f>
      </c>
      <c r="AJ261" s="30">
        <f>PM_Angle!$J$20+PM_Angle!$K$20*$C261+PM_Angle!$L$20*$B261</f>
      </c>
      <c r="AK261" s="12">
        <f>IF(AJ261&gt;0,IF(AJ261&lt;=eco,alpha*fck*(1-(1-AJ261/eco)^n),alpha*fck),0)</f>
      </c>
      <c r="AL261" s="30">
        <f>PM_Angle!$J$21+PM_Angle!$K$21*$C261+PM_Angle!$L$21*$B261</f>
      </c>
      <c r="AM261" s="12">
        <f>IF(AL261&gt;0,IF(AL261&lt;=eco,alpha*fck*(1-(1-AL261/eco)^n),alpha*fck),0)</f>
      </c>
      <c r="AN261" s="30">
        <f>PM_Angle!$J$22+PM_Angle!$K$22*$C261+PM_Angle!$L$22*$B261</f>
      </c>
      <c r="AO261" s="12">
        <f>IF(AN261&gt;0,IF(AN261&lt;=eco,alpha*fck*(1-(1-AN261/eco)^n),alpha*fck),0)</f>
      </c>
      <c r="AP261" s="30">
        <f>PM_Angle!$J$23+PM_Angle!$K$23*$C261+PM_Angle!$L$23*$B261</f>
      </c>
      <c r="AQ261" s="12">
        <f>IF(AP261&gt;0,IF(AP261&lt;=eco,alpha*fck*(1-(1-AP261/eco)^n),alpha*fck),0)</f>
      </c>
      <c r="AR261" s="30">
        <f>PM_Angle!$J$24+PM_Angle!$K$24*$C261+PM_Angle!$L$24*$B261</f>
      </c>
      <c r="AS261" s="12">
        <f>IF(AR261&gt;0,IF(AR261&lt;=eco,alpha*fck*(1-(1-AR261/eco)^n),alpha*fck),0)</f>
      </c>
      <c r="AT261" s="30">
        <f>PM_Angle!$J$25+PM_Angle!$K$25*$C261+PM_Angle!$L$25*$B261</f>
      </c>
      <c r="AU261" s="12">
        <f>IF(AT261&gt;0,IF(AT261&lt;=eco,alpha*fck*(1-(1-AT261/eco)^n),alpha*fck),0)</f>
      </c>
    </row>
    <row r="262" spans="1:47" x14ac:dyDescent="0.25">
      <c r="A262">
        <f>Mesh!A259</f>
      </c>
      <c r="B262" s="12">
        <f>Mesh!B259</f>
      </c>
      <c r="C262" s="12">
        <f>Mesh!C259</f>
      </c>
      <c r="D262" s="12">
        <f>Mesh!D259</f>
      </c>
      <c r="E262" s="30">
        <f>INDEX(St_e0,Det+1)+INDEX(St_kx,Det+1)*C262+INDEX(St_ky,Det+1)*B262</f>
      </c>
      <c r="F262" s="12">
        <f>IF(E262&gt;0,IF(E262&lt;=eco,alpha*fck*(1-(1-E262/eco)^n),alpha*fck),0)</f>
      </c>
      <c r="G262" s="11">
        <f>F262*D262</f>
      </c>
      <c r="H262" s="11">
        <f>G262*C262</f>
      </c>
      <c r="I262" s="11">
        <f>G262*B262</f>
      </c>
      <c r="J262" s="30">
        <f>PM_Angle!$J$7+PM_Angle!$K$7*$C262+PM_Angle!$L$7*$B262</f>
      </c>
      <c r="K262" s="12">
        <f>IF(J262&gt;0,IF(J262&lt;=eco,alpha*fck*(1-(1-J262/eco)^n),alpha*fck),0)</f>
      </c>
      <c r="L262" s="30">
        <f>PM_Angle!$J$8+PM_Angle!$K$8*$C262+PM_Angle!$L$8*$B262</f>
      </c>
      <c r="M262" s="12">
        <f>IF(L262&gt;0,IF(L262&lt;=eco,alpha*fck*(1-(1-L262/eco)^n),alpha*fck),0)</f>
      </c>
      <c r="N262" s="30">
        <f>PM_Angle!$J$9+PM_Angle!$K$9*$C262+PM_Angle!$L$9*$B262</f>
      </c>
      <c r="O262" s="12">
        <f>IF(N262&gt;0,IF(N262&lt;=eco,alpha*fck*(1-(1-N262/eco)^n),alpha*fck),0)</f>
      </c>
      <c r="P262" s="30">
        <f>PM_Angle!$J$10+PM_Angle!$K$10*$C262+PM_Angle!$L$10*$B262</f>
      </c>
      <c r="Q262" s="12">
        <f>IF(P262&gt;0,IF(P262&lt;=eco,alpha*fck*(1-(1-P262/eco)^n),alpha*fck),0)</f>
      </c>
      <c r="R262" s="30">
        <f>PM_Angle!$J$11+PM_Angle!$K$11*$C262+PM_Angle!$L$11*$B262</f>
      </c>
      <c r="S262" s="12">
        <f>IF(R262&gt;0,IF(R262&lt;=eco,alpha*fck*(1-(1-R262/eco)^n),alpha*fck),0)</f>
      </c>
      <c r="T262" s="30">
        <f>PM_Angle!$J$12+PM_Angle!$K$12*$C262+PM_Angle!$L$12*$B262</f>
      </c>
      <c r="U262" s="12">
        <f>IF(T262&gt;0,IF(T262&lt;=eco,alpha*fck*(1-(1-T262/eco)^n),alpha*fck),0)</f>
      </c>
      <c r="V262" s="30">
        <f>PM_Angle!$J$13+PM_Angle!$K$13*$C262+PM_Angle!$L$13*$B262</f>
      </c>
      <c r="W262" s="12">
        <f>IF(V262&gt;0,IF(V262&lt;=eco,alpha*fck*(1-(1-V262/eco)^n),alpha*fck),0)</f>
      </c>
      <c r="X262" s="30">
        <f>PM_Angle!$J$14+PM_Angle!$K$14*$C262+PM_Angle!$L$14*$B262</f>
      </c>
      <c r="Y262" s="12">
        <f>IF(X262&gt;0,IF(X262&lt;=eco,alpha*fck*(1-(1-X262/eco)^n),alpha*fck),0)</f>
      </c>
      <c r="Z262" s="30">
        <f>PM_Angle!$J$15+PM_Angle!$K$15*$C262+PM_Angle!$L$15*$B262</f>
      </c>
      <c r="AA262" s="12">
        <f>IF(Z262&gt;0,IF(Z262&lt;=eco,alpha*fck*(1-(1-Z262/eco)^n),alpha*fck),0)</f>
      </c>
      <c r="AB262" s="30">
        <f>PM_Angle!$J$16+PM_Angle!$K$16*$C262+PM_Angle!$L$16*$B262</f>
      </c>
      <c r="AC262" s="12">
        <f>IF(AB262&gt;0,IF(AB262&lt;=eco,alpha*fck*(1-(1-AB262/eco)^n),alpha*fck),0)</f>
      </c>
      <c r="AD262" s="30">
        <f>PM_Angle!$J$17+PM_Angle!$K$17*$C262+PM_Angle!$L$17*$B262</f>
      </c>
      <c r="AE262" s="12">
        <f>IF(AD262&gt;0,IF(AD262&lt;=eco,alpha*fck*(1-(1-AD262/eco)^n),alpha*fck),0)</f>
      </c>
      <c r="AF262" s="30">
        <f>PM_Angle!$J$18+PM_Angle!$K$18*$C262+PM_Angle!$L$18*$B262</f>
      </c>
      <c r="AG262" s="12">
        <f>IF(AF262&gt;0,IF(AF262&lt;=eco,alpha*fck*(1-(1-AF262/eco)^n),alpha*fck),0)</f>
      </c>
      <c r="AH262" s="30">
        <f>PM_Angle!$J$19+PM_Angle!$K$19*$C262+PM_Angle!$L$19*$B262</f>
      </c>
      <c r="AI262" s="12">
        <f>IF(AH262&gt;0,IF(AH262&lt;=eco,alpha*fck*(1-(1-AH262/eco)^n),alpha*fck),0)</f>
      </c>
      <c r="AJ262" s="30">
        <f>PM_Angle!$J$20+PM_Angle!$K$20*$C262+PM_Angle!$L$20*$B262</f>
      </c>
      <c r="AK262" s="12">
        <f>IF(AJ262&gt;0,IF(AJ262&lt;=eco,alpha*fck*(1-(1-AJ262/eco)^n),alpha*fck),0)</f>
      </c>
      <c r="AL262" s="30">
        <f>PM_Angle!$J$21+PM_Angle!$K$21*$C262+PM_Angle!$L$21*$B262</f>
      </c>
      <c r="AM262" s="12">
        <f>IF(AL262&gt;0,IF(AL262&lt;=eco,alpha*fck*(1-(1-AL262/eco)^n),alpha*fck),0)</f>
      </c>
      <c r="AN262" s="30">
        <f>PM_Angle!$J$22+PM_Angle!$K$22*$C262+PM_Angle!$L$22*$B262</f>
      </c>
      <c r="AO262" s="12">
        <f>IF(AN262&gt;0,IF(AN262&lt;=eco,alpha*fck*(1-(1-AN262/eco)^n),alpha*fck),0)</f>
      </c>
      <c r="AP262" s="30">
        <f>PM_Angle!$J$23+PM_Angle!$K$23*$C262+PM_Angle!$L$23*$B262</f>
      </c>
      <c r="AQ262" s="12">
        <f>IF(AP262&gt;0,IF(AP262&lt;=eco,alpha*fck*(1-(1-AP262/eco)^n),alpha*fck),0)</f>
      </c>
      <c r="AR262" s="30">
        <f>PM_Angle!$J$24+PM_Angle!$K$24*$C262+PM_Angle!$L$24*$B262</f>
      </c>
      <c r="AS262" s="12">
        <f>IF(AR262&gt;0,IF(AR262&lt;=eco,alpha*fck*(1-(1-AR262/eco)^n),alpha*fck),0)</f>
      </c>
      <c r="AT262" s="30">
        <f>PM_Angle!$J$25+PM_Angle!$K$25*$C262+PM_Angle!$L$25*$B262</f>
      </c>
      <c r="AU262" s="12">
        <f>IF(AT262&gt;0,IF(AT262&lt;=eco,alpha*fck*(1-(1-AT262/eco)^n),alpha*fck),0)</f>
      </c>
    </row>
    <row r="263" spans="1:47" x14ac:dyDescent="0.25">
      <c r="A263">
        <f>Mesh!A260</f>
      </c>
      <c r="B263" s="12">
        <f>Mesh!B260</f>
      </c>
      <c r="C263" s="12">
        <f>Mesh!C260</f>
      </c>
      <c r="D263" s="12">
        <f>Mesh!D260</f>
      </c>
      <c r="E263" s="30">
        <f>INDEX(St_e0,Det+1)+INDEX(St_kx,Det+1)*C263+INDEX(St_ky,Det+1)*B263</f>
      </c>
      <c r="F263" s="12">
        <f>IF(E263&gt;0,IF(E263&lt;=eco,alpha*fck*(1-(1-E263/eco)^n),alpha*fck),0)</f>
      </c>
      <c r="G263" s="11">
        <f>F263*D263</f>
      </c>
      <c r="H263" s="11">
        <f>G263*C263</f>
      </c>
      <c r="I263" s="11">
        <f>G263*B263</f>
      </c>
      <c r="J263" s="30">
        <f>PM_Angle!$J$7+PM_Angle!$K$7*$C263+PM_Angle!$L$7*$B263</f>
      </c>
      <c r="K263" s="12">
        <f>IF(J263&gt;0,IF(J263&lt;=eco,alpha*fck*(1-(1-J263/eco)^n),alpha*fck),0)</f>
      </c>
      <c r="L263" s="30">
        <f>PM_Angle!$J$8+PM_Angle!$K$8*$C263+PM_Angle!$L$8*$B263</f>
      </c>
      <c r="M263" s="12">
        <f>IF(L263&gt;0,IF(L263&lt;=eco,alpha*fck*(1-(1-L263/eco)^n),alpha*fck),0)</f>
      </c>
      <c r="N263" s="30">
        <f>PM_Angle!$J$9+PM_Angle!$K$9*$C263+PM_Angle!$L$9*$B263</f>
      </c>
      <c r="O263" s="12">
        <f>IF(N263&gt;0,IF(N263&lt;=eco,alpha*fck*(1-(1-N263/eco)^n),alpha*fck),0)</f>
      </c>
      <c r="P263" s="30">
        <f>PM_Angle!$J$10+PM_Angle!$K$10*$C263+PM_Angle!$L$10*$B263</f>
      </c>
      <c r="Q263" s="12">
        <f>IF(P263&gt;0,IF(P263&lt;=eco,alpha*fck*(1-(1-P263/eco)^n),alpha*fck),0)</f>
      </c>
      <c r="R263" s="30">
        <f>PM_Angle!$J$11+PM_Angle!$K$11*$C263+PM_Angle!$L$11*$B263</f>
      </c>
      <c r="S263" s="12">
        <f>IF(R263&gt;0,IF(R263&lt;=eco,alpha*fck*(1-(1-R263/eco)^n),alpha*fck),0)</f>
      </c>
      <c r="T263" s="30">
        <f>PM_Angle!$J$12+PM_Angle!$K$12*$C263+PM_Angle!$L$12*$B263</f>
      </c>
      <c r="U263" s="12">
        <f>IF(T263&gt;0,IF(T263&lt;=eco,alpha*fck*(1-(1-T263/eco)^n),alpha*fck),0)</f>
      </c>
      <c r="V263" s="30">
        <f>PM_Angle!$J$13+PM_Angle!$K$13*$C263+PM_Angle!$L$13*$B263</f>
      </c>
      <c r="W263" s="12">
        <f>IF(V263&gt;0,IF(V263&lt;=eco,alpha*fck*(1-(1-V263/eco)^n),alpha*fck),0)</f>
      </c>
      <c r="X263" s="30">
        <f>PM_Angle!$J$14+PM_Angle!$K$14*$C263+PM_Angle!$L$14*$B263</f>
      </c>
      <c r="Y263" s="12">
        <f>IF(X263&gt;0,IF(X263&lt;=eco,alpha*fck*(1-(1-X263/eco)^n),alpha*fck),0)</f>
      </c>
      <c r="Z263" s="30">
        <f>PM_Angle!$J$15+PM_Angle!$K$15*$C263+PM_Angle!$L$15*$B263</f>
      </c>
      <c r="AA263" s="12">
        <f>IF(Z263&gt;0,IF(Z263&lt;=eco,alpha*fck*(1-(1-Z263/eco)^n),alpha*fck),0)</f>
      </c>
      <c r="AB263" s="30">
        <f>PM_Angle!$J$16+PM_Angle!$K$16*$C263+PM_Angle!$L$16*$B263</f>
      </c>
      <c r="AC263" s="12">
        <f>IF(AB263&gt;0,IF(AB263&lt;=eco,alpha*fck*(1-(1-AB263/eco)^n),alpha*fck),0)</f>
      </c>
      <c r="AD263" s="30">
        <f>PM_Angle!$J$17+PM_Angle!$K$17*$C263+PM_Angle!$L$17*$B263</f>
      </c>
      <c r="AE263" s="12">
        <f>IF(AD263&gt;0,IF(AD263&lt;=eco,alpha*fck*(1-(1-AD263/eco)^n),alpha*fck),0)</f>
      </c>
      <c r="AF263" s="30">
        <f>PM_Angle!$J$18+PM_Angle!$K$18*$C263+PM_Angle!$L$18*$B263</f>
      </c>
      <c r="AG263" s="12">
        <f>IF(AF263&gt;0,IF(AF263&lt;=eco,alpha*fck*(1-(1-AF263/eco)^n),alpha*fck),0)</f>
      </c>
      <c r="AH263" s="30">
        <f>PM_Angle!$J$19+PM_Angle!$K$19*$C263+PM_Angle!$L$19*$B263</f>
      </c>
      <c r="AI263" s="12">
        <f>IF(AH263&gt;0,IF(AH263&lt;=eco,alpha*fck*(1-(1-AH263/eco)^n),alpha*fck),0)</f>
      </c>
      <c r="AJ263" s="30">
        <f>PM_Angle!$J$20+PM_Angle!$K$20*$C263+PM_Angle!$L$20*$B263</f>
      </c>
      <c r="AK263" s="12">
        <f>IF(AJ263&gt;0,IF(AJ263&lt;=eco,alpha*fck*(1-(1-AJ263/eco)^n),alpha*fck),0)</f>
      </c>
      <c r="AL263" s="30">
        <f>PM_Angle!$J$21+PM_Angle!$K$21*$C263+PM_Angle!$L$21*$B263</f>
      </c>
      <c r="AM263" s="12">
        <f>IF(AL263&gt;0,IF(AL263&lt;=eco,alpha*fck*(1-(1-AL263/eco)^n),alpha*fck),0)</f>
      </c>
      <c r="AN263" s="30">
        <f>PM_Angle!$J$22+PM_Angle!$K$22*$C263+PM_Angle!$L$22*$B263</f>
      </c>
      <c r="AO263" s="12">
        <f>IF(AN263&gt;0,IF(AN263&lt;=eco,alpha*fck*(1-(1-AN263/eco)^n),alpha*fck),0)</f>
      </c>
      <c r="AP263" s="30">
        <f>PM_Angle!$J$23+PM_Angle!$K$23*$C263+PM_Angle!$L$23*$B263</f>
      </c>
      <c r="AQ263" s="12">
        <f>IF(AP263&gt;0,IF(AP263&lt;=eco,alpha*fck*(1-(1-AP263/eco)^n),alpha*fck),0)</f>
      </c>
      <c r="AR263" s="30">
        <f>PM_Angle!$J$24+PM_Angle!$K$24*$C263+PM_Angle!$L$24*$B263</f>
      </c>
      <c r="AS263" s="12">
        <f>IF(AR263&gt;0,IF(AR263&lt;=eco,alpha*fck*(1-(1-AR263/eco)^n),alpha*fck),0)</f>
      </c>
      <c r="AT263" s="30">
        <f>PM_Angle!$J$25+PM_Angle!$K$25*$C263+PM_Angle!$L$25*$B263</f>
      </c>
      <c r="AU263" s="12">
        <f>IF(AT263&gt;0,IF(AT263&lt;=eco,alpha*fck*(1-(1-AT263/eco)^n),alpha*fck),0)</f>
      </c>
    </row>
    <row r="264" spans="1:47" x14ac:dyDescent="0.25">
      <c r="A264">
        <f>Mesh!A261</f>
      </c>
      <c r="B264" s="12">
        <f>Mesh!B261</f>
      </c>
      <c r="C264" s="12">
        <f>Mesh!C261</f>
      </c>
      <c r="D264" s="12">
        <f>Mesh!D261</f>
      </c>
      <c r="E264" s="30">
        <f>INDEX(St_e0,Det+1)+INDEX(St_kx,Det+1)*C264+INDEX(St_ky,Det+1)*B264</f>
      </c>
      <c r="F264" s="12">
        <f>IF(E264&gt;0,IF(E264&lt;=eco,alpha*fck*(1-(1-E264/eco)^n),alpha*fck),0)</f>
      </c>
      <c r="G264" s="11">
        <f>F264*D264</f>
      </c>
      <c r="H264" s="11">
        <f>G264*C264</f>
      </c>
      <c r="I264" s="11">
        <f>G264*B264</f>
      </c>
      <c r="J264" s="30">
        <f>PM_Angle!$J$7+PM_Angle!$K$7*$C264+PM_Angle!$L$7*$B264</f>
      </c>
      <c r="K264" s="12">
        <f>IF(J264&gt;0,IF(J264&lt;=eco,alpha*fck*(1-(1-J264/eco)^n),alpha*fck),0)</f>
      </c>
      <c r="L264" s="30">
        <f>PM_Angle!$J$8+PM_Angle!$K$8*$C264+PM_Angle!$L$8*$B264</f>
      </c>
      <c r="M264" s="12">
        <f>IF(L264&gt;0,IF(L264&lt;=eco,alpha*fck*(1-(1-L264/eco)^n),alpha*fck),0)</f>
      </c>
      <c r="N264" s="30">
        <f>PM_Angle!$J$9+PM_Angle!$K$9*$C264+PM_Angle!$L$9*$B264</f>
      </c>
      <c r="O264" s="12">
        <f>IF(N264&gt;0,IF(N264&lt;=eco,alpha*fck*(1-(1-N264/eco)^n),alpha*fck),0)</f>
      </c>
      <c r="P264" s="30">
        <f>PM_Angle!$J$10+PM_Angle!$K$10*$C264+PM_Angle!$L$10*$B264</f>
      </c>
      <c r="Q264" s="12">
        <f>IF(P264&gt;0,IF(P264&lt;=eco,alpha*fck*(1-(1-P264/eco)^n),alpha*fck),0)</f>
      </c>
      <c r="R264" s="30">
        <f>PM_Angle!$J$11+PM_Angle!$K$11*$C264+PM_Angle!$L$11*$B264</f>
      </c>
      <c r="S264" s="12">
        <f>IF(R264&gt;0,IF(R264&lt;=eco,alpha*fck*(1-(1-R264/eco)^n),alpha*fck),0)</f>
      </c>
      <c r="T264" s="30">
        <f>PM_Angle!$J$12+PM_Angle!$K$12*$C264+PM_Angle!$L$12*$B264</f>
      </c>
      <c r="U264" s="12">
        <f>IF(T264&gt;0,IF(T264&lt;=eco,alpha*fck*(1-(1-T264/eco)^n),alpha*fck),0)</f>
      </c>
      <c r="V264" s="30">
        <f>PM_Angle!$J$13+PM_Angle!$K$13*$C264+PM_Angle!$L$13*$B264</f>
      </c>
      <c r="W264" s="12">
        <f>IF(V264&gt;0,IF(V264&lt;=eco,alpha*fck*(1-(1-V264/eco)^n),alpha*fck),0)</f>
      </c>
      <c r="X264" s="30">
        <f>PM_Angle!$J$14+PM_Angle!$K$14*$C264+PM_Angle!$L$14*$B264</f>
      </c>
      <c r="Y264" s="12">
        <f>IF(X264&gt;0,IF(X264&lt;=eco,alpha*fck*(1-(1-X264/eco)^n),alpha*fck),0)</f>
      </c>
      <c r="Z264" s="30">
        <f>PM_Angle!$J$15+PM_Angle!$K$15*$C264+PM_Angle!$L$15*$B264</f>
      </c>
      <c r="AA264" s="12">
        <f>IF(Z264&gt;0,IF(Z264&lt;=eco,alpha*fck*(1-(1-Z264/eco)^n),alpha*fck),0)</f>
      </c>
      <c r="AB264" s="30">
        <f>PM_Angle!$J$16+PM_Angle!$K$16*$C264+PM_Angle!$L$16*$B264</f>
      </c>
      <c r="AC264" s="12">
        <f>IF(AB264&gt;0,IF(AB264&lt;=eco,alpha*fck*(1-(1-AB264/eco)^n),alpha*fck),0)</f>
      </c>
      <c r="AD264" s="30">
        <f>PM_Angle!$J$17+PM_Angle!$K$17*$C264+PM_Angle!$L$17*$B264</f>
      </c>
      <c r="AE264" s="12">
        <f>IF(AD264&gt;0,IF(AD264&lt;=eco,alpha*fck*(1-(1-AD264/eco)^n),alpha*fck),0)</f>
      </c>
      <c r="AF264" s="30">
        <f>PM_Angle!$J$18+PM_Angle!$K$18*$C264+PM_Angle!$L$18*$B264</f>
      </c>
      <c r="AG264" s="12">
        <f>IF(AF264&gt;0,IF(AF264&lt;=eco,alpha*fck*(1-(1-AF264/eco)^n),alpha*fck),0)</f>
      </c>
      <c r="AH264" s="30">
        <f>PM_Angle!$J$19+PM_Angle!$K$19*$C264+PM_Angle!$L$19*$B264</f>
      </c>
      <c r="AI264" s="12">
        <f>IF(AH264&gt;0,IF(AH264&lt;=eco,alpha*fck*(1-(1-AH264/eco)^n),alpha*fck),0)</f>
      </c>
      <c r="AJ264" s="30">
        <f>PM_Angle!$J$20+PM_Angle!$K$20*$C264+PM_Angle!$L$20*$B264</f>
      </c>
      <c r="AK264" s="12">
        <f>IF(AJ264&gt;0,IF(AJ264&lt;=eco,alpha*fck*(1-(1-AJ264/eco)^n),alpha*fck),0)</f>
      </c>
      <c r="AL264" s="30">
        <f>PM_Angle!$J$21+PM_Angle!$K$21*$C264+PM_Angle!$L$21*$B264</f>
      </c>
      <c r="AM264" s="12">
        <f>IF(AL264&gt;0,IF(AL264&lt;=eco,alpha*fck*(1-(1-AL264/eco)^n),alpha*fck),0)</f>
      </c>
      <c r="AN264" s="30">
        <f>PM_Angle!$J$22+PM_Angle!$K$22*$C264+PM_Angle!$L$22*$B264</f>
      </c>
      <c r="AO264" s="12">
        <f>IF(AN264&gt;0,IF(AN264&lt;=eco,alpha*fck*(1-(1-AN264/eco)^n),alpha*fck),0)</f>
      </c>
      <c r="AP264" s="30">
        <f>PM_Angle!$J$23+PM_Angle!$K$23*$C264+PM_Angle!$L$23*$B264</f>
      </c>
      <c r="AQ264" s="12">
        <f>IF(AP264&gt;0,IF(AP264&lt;=eco,alpha*fck*(1-(1-AP264/eco)^n),alpha*fck),0)</f>
      </c>
      <c r="AR264" s="30">
        <f>PM_Angle!$J$24+PM_Angle!$K$24*$C264+PM_Angle!$L$24*$B264</f>
      </c>
      <c r="AS264" s="12">
        <f>IF(AR264&gt;0,IF(AR264&lt;=eco,alpha*fck*(1-(1-AR264/eco)^n),alpha*fck),0)</f>
      </c>
      <c r="AT264" s="30">
        <f>PM_Angle!$J$25+PM_Angle!$K$25*$C264+PM_Angle!$L$25*$B264</f>
      </c>
      <c r="AU264" s="12">
        <f>IF(AT264&gt;0,IF(AT264&lt;=eco,alpha*fck*(1-(1-AT264/eco)^n),alpha*fck),0)</f>
      </c>
    </row>
    <row r="265" spans="1:47" x14ac:dyDescent="0.25">
      <c r="A265">
        <f>Mesh!A262</f>
      </c>
      <c r="B265" s="12">
        <f>Mesh!B262</f>
      </c>
      <c r="C265" s="12">
        <f>Mesh!C262</f>
      </c>
      <c r="D265" s="12">
        <f>Mesh!D262</f>
      </c>
      <c r="E265" s="30">
        <f>INDEX(St_e0,Det+1)+INDEX(St_kx,Det+1)*C265+INDEX(St_ky,Det+1)*B265</f>
      </c>
      <c r="F265" s="12">
        <f>IF(E265&gt;0,IF(E265&lt;=eco,alpha*fck*(1-(1-E265/eco)^n),alpha*fck),0)</f>
      </c>
      <c r="G265" s="11">
        <f>F265*D265</f>
      </c>
      <c r="H265" s="11">
        <f>G265*C265</f>
      </c>
      <c r="I265" s="11">
        <f>G265*B265</f>
      </c>
      <c r="J265" s="30">
        <f>PM_Angle!$J$7+PM_Angle!$K$7*$C265+PM_Angle!$L$7*$B265</f>
      </c>
      <c r="K265" s="12">
        <f>IF(J265&gt;0,IF(J265&lt;=eco,alpha*fck*(1-(1-J265/eco)^n),alpha*fck),0)</f>
      </c>
      <c r="L265" s="30">
        <f>PM_Angle!$J$8+PM_Angle!$K$8*$C265+PM_Angle!$L$8*$B265</f>
      </c>
      <c r="M265" s="12">
        <f>IF(L265&gt;0,IF(L265&lt;=eco,alpha*fck*(1-(1-L265/eco)^n),alpha*fck),0)</f>
      </c>
      <c r="N265" s="30">
        <f>PM_Angle!$J$9+PM_Angle!$K$9*$C265+PM_Angle!$L$9*$B265</f>
      </c>
      <c r="O265" s="12">
        <f>IF(N265&gt;0,IF(N265&lt;=eco,alpha*fck*(1-(1-N265/eco)^n),alpha*fck),0)</f>
      </c>
      <c r="P265" s="30">
        <f>PM_Angle!$J$10+PM_Angle!$K$10*$C265+PM_Angle!$L$10*$B265</f>
      </c>
      <c r="Q265" s="12">
        <f>IF(P265&gt;0,IF(P265&lt;=eco,alpha*fck*(1-(1-P265/eco)^n),alpha*fck),0)</f>
      </c>
      <c r="R265" s="30">
        <f>PM_Angle!$J$11+PM_Angle!$K$11*$C265+PM_Angle!$L$11*$B265</f>
      </c>
      <c r="S265" s="12">
        <f>IF(R265&gt;0,IF(R265&lt;=eco,alpha*fck*(1-(1-R265/eco)^n),alpha*fck),0)</f>
      </c>
      <c r="T265" s="30">
        <f>PM_Angle!$J$12+PM_Angle!$K$12*$C265+PM_Angle!$L$12*$B265</f>
      </c>
      <c r="U265" s="12">
        <f>IF(T265&gt;0,IF(T265&lt;=eco,alpha*fck*(1-(1-T265/eco)^n),alpha*fck),0)</f>
      </c>
      <c r="V265" s="30">
        <f>PM_Angle!$J$13+PM_Angle!$K$13*$C265+PM_Angle!$L$13*$B265</f>
      </c>
      <c r="W265" s="12">
        <f>IF(V265&gt;0,IF(V265&lt;=eco,alpha*fck*(1-(1-V265/eco)^n),alpha*fck),0)</f>
      </c>
      <c r="X265" s="30">
        <f>PM_Angle!$J$14+PM_Angle!$K$14*$C265+PM_Angle!$L$14*$B265</f>
      </c>
      <c r="Y265" s="12">
        <f>IF(X265&gt;0,IF(X265&lt;=eco,alpha*fck*(1-(1-X265/eco)^n),alpha*fck),0)</f>
      </c>
      <c r="Z265" s="30">
        <f>PM_Angle!$J$15+PM_Angle!$K$15*$C265+PM_Angle!$L$15*$B265</f>
      </c>
      <c r="AA265" s="12">
        <f>IF(Z265&gt;0,IF(Z265&lt;=eco,alpha*fck*(1-(1-Z265/eco)^n),alpha*fck),0)</f>
      </c>
      <c r="AB265" s="30">
        <f>PM_Angle!$J$16+PM_Angle!$K$16*$C265+PM_Angle!$L$16*$B265</f>
      </c>
      <c r="AC265" s="12">
        <f>IF(AB265&gt;0,IF(AB265&lt;=eco,alpha*fck*(1-(1-AB265/eco)^n),alpha*fck),0)</f>
      </c>
      <c r="AD265" s="30">
        <f>PM_Angle!$J$17+PM_Angle!$K$17*$C265+PM_Angle!$L$17*$B265</f>
      </c>
      <c r="AE265" s="12">
        <f>IF(AD265&gt;0,IF(AD265&lt;=eco,alpha*fck*(1-(1-AD265/eco)^n),alpha*fck),0)</f>
      </c>
      <c r="AF265" s="30">
        <f>PM_Angle!$J$18+PM_Angle!$K$18*$C265+PM_Angle!$L$18*$B265</f>
      </c>
      <c r="AG265" s="12">
        <f>IF(AF265&gt;0,IF(AF265&lt;=eco,alpha*fck*(1-(1-AF265/eco)^n),alpha*fck),0)</f>
      </c>
      <c r="AH265" s="30">
        <f>PM_Angle!$J$19+PM_Angle!$K$19*$C265+PM_Angle!$L$19*$B265</f>
      </c>
      <c r="AI265" s="12">
        <f>IF(AH265&gt;0,IF(AH265&lt;=eco,alpha*fck*(1-(1-AH265/eco)^n),alpha*fck),0)</f>
      </c>
      <c r="AJ265" s="30">
        <f>PM_Angle!$J$20+PM_Angle!$K$20*$C265+PM_Angle!$L$20*$B265</f>
      </c>
      <c r="AK265" s="12">
        <f>IF(AJ265&gt;0,IF(AJ265&lt;=eco,alpha*fck*(1-(1-AJ265/eco)^n),alpha*fck),0)</f>
      </c>
      <c r="AL265" s="30">
        <f>PM_Angle!$J$21+PM_Angle!$K$21*$C265+PM_Angle!$L$21*$B265</f>
      </c>
      <c r="AM265" s="12">
        <f>IF(AL265&gt;0,IF(AL265&lt;=eco,alpha*fck*(1-(1-AL265/eco)^n),alpha*fck),0)</f>
      </c>
      <c r="AN265" s="30">
        <f>PM_Angle!$J$22+PM_Angle!$K$22*$C265+PM_Angle!$L$22*$B265</f>
      </c>
      <c r="AO265" s="12">
        <f>IF(AN265&gt;0,IF(AN265&lt;=eco,alpha*fck*(1-(1-AN265/eco)^n),alpha*fck),0)</f>
      </c>
      <c r="AP265" s="30">
        <f>PM_Angle!$J$23+PM_Angle!$K$23*$C265+PM_Angle!$L$23*$B265</f>
      </c>
      <c r="AQ265" s="12">
        <f>IF(AP265&gt;0,IF(AP265&lt;=eco,alpha*fck*(1-(1-AP265/eco)^n),alpha*fck),0)</f>
      </c>
      <c r="AR265" s="30">
        <f>PM_Angle!$J$24+PM_Angle!$K$24*$C265+PM_Angle!$L$24*$B265</f>
      </c>
      <c r="AS265" s="12">
        <f>IF(AR265&gt;0,IF(AR265&lt;=eco,alpha*fck*(1-(1-AR265/eco)^n),alpha*fck),0)</f>
      </c>
      <c r="AT265" s="30">
        <f>PM_Angle!$J$25+PM_Angle!$K$25*$C265+PM_Angle!$L$25*$B265</f>
      </c>
      <c r="AU265" s="12">
        <f>IF(AT265&gt;0,IF(AT265&lt;=eco,alpha*fck*(1-(1-AT265/eco)^n),alpha*fck),0)</f>
      </c>
    </row>
    <row r="266" spans="1:47" x14ac:dyDescent="0.25">
      <c r="A266">
        <f>Mesh!A263</f>
      </c>
      <c r="B266" s="12">
        <f>Mesh!B263</f>
      </c>
      <c r="C266" s="12">
        <f>Mesh!C263</f>
      </c>
      <c r="D266" s="12">
        <f>Mesh!D263</f>
      </c>
      <c r="E266" s="30">
        <f>INDEX(St_e0,Det+1)+INDEX(St_kx,Det+1)*C266+INDEX(St_ky,Det+1)*B266</f>
      </c>
      <c r="F266" s="12">
        <f>IF(E266&gt;0,IF(E266&lt;=eco,alpha*fck*(1-(1-E266/eco)^n),alpha*fck),0)</f>
      </c>
      <c r="G266" s="11">
        <f>F266*D266</f>
      </c>
      <c r="H266" s="11">
        <f>G266*C266</f>
      </c>
      <c r="I266" s="11">
        <f>G266*B266</f>
      </c>
      <c r="J266" s="30">
        <f>PM_Angle!$J$7+PM_Angle!$K$7*$C266+PM_Angle!$L$7*$B266</f>
      </c>
      <c r="K266" s="12">
        <f>IF(J266&gt;0,IF(J266&lt;=eco,alpha*fck*(1-(1-J266/eco)^n),alpha*fck),0)</f>
      </c>
      <c r="L266" s="30">
        <f>PM_Angle!$J$8+PM_Angle!$K$8*$C266+PM_Angle!$L$8*$B266</f>
      </c>
      <c r="M266" s="12">
        <f>IF(L266&gt;0,IF(L266&lt;=eco,alpha*fck*(1-(1-L266/eco)^n),alpha*fck),0)</f>
      </c>
      <c r="N266" s="30">
        <f>PM_Angle!$J$9+PM_Angle!$K$9*$C266+PM_Angle!$L$9*$B266</f>
      </c>
      <c r="O266" s="12">
        <f>IF(N266&gt;0,IF(N266&lt;=eco,alpha*fck*(1-(1-N266/eco)^n),alpha*fck),0)</f>
      </c>
      <c r="P266" s="30">
        <f>PM_Angle!$J$10+PM_Angle!$K$10*$C266+PM_Angle!$L$10*$B266</f>
      </c>
      <c r="Q266" s="12">
        <f>IF(P266&gt;0,IF(P266&lt;=eco,alpha*fck*(1-(1-P266/eco)^n),alpha*fck),0)</f>
      </c>
      <c r="R266" s="30">
        <f>PM_Angle!$J$11+PM_Angle!$K$11*$C266+PM_Angle!$L$11*$B266</f>
      </c>
      <c r="S266" s="12">
        <f>IF(R266&gt;0,IF(R266&lt;=eco,alpha*fck*(1-(1-R266/eco)^n),alpha*fck),0)</f>
      </c>
      <c r="T266" s="30">
        <f>PM_Angle!$J$12+PM_Angle!$K$12*$C266+PM_Angle!$L$12*$B266</f>
      </c>
      <c r="U266" s="12">
        <f>IF(T266&gt;0,IF(T266&lt;=eco,alpha*fck*(1-(1-T266/eco)^n),alpha*fck),0)</f>
      </c>
      <c r="V266" s="30">
        <f>PM_Angle!$J$13+PM_Angle!$K$13*$C266+PM_Angle!$L$13*$B266</f>
      </c>
      <c r="W266" s="12">
        <f>IF(V266&gt;0,IF(V266&lt;=eco,alpha*fck*(1-(1-V266/eco)^n),alpha*fck),0)</f>
      </c>
      <c r="X266" s="30">
        <f>PM_Angle!$J$14+PM_Angle!$K$14*$C266+PM_Angle!$L$14*$B266</f>
      </c>
      <c r="Y266" s="12">
        <f>IF(X266&gt;0,IF(X266&lt;=eco,alpha*fck*(1-(1-X266/eco)^n),alpha*fck),0)</f>
      </c>
      <c r="Z266" s="30">
        <f>PM_Angle!$J$15+PM_Angle!$K$15*$C266+PM_Angle!$L$15*$B266</f>
      </c>
      <c r="AA266" s="12">
        <f>IF(Z266&gt;0,IF(Z266&lt;=eco,alpha*fck*(1-(1-Z266/eco)^n),alpha*fck),0)</f>
      </c>
      <c r="AB266" s="30">
        <f>PM_Angle!$J$16+PM_Angle!$K$16*$C266+PM_Angle!$L$16*$B266</f>
      </c>
      <c r="AC266" s="12">
        <f>IF(AB266&gt;0,IF(AB266&lt;=eco,alpha*fck*(1-(1-AB266/eco)^n),alpha*fck),0)</f>
      </c>
      <c r="AD266" s="30">
        <f>PM_Angle!$J$17+PM_Angle!$K$17*$C266+PM_Angle!$L$17*$B266</f>
      </c>
      <c r="AE266" s="12">
        <f>IF(AD266&gt;0,IF(AD266&lt;=eco,alpha*fck*(1-(1-AD266/eco)^n),alpha*fck),0)</f>
      </c>
      <c r="AF266" s="30">
        <f>PM_Angle!$J$18+PM_Angle!$K$18*$C266+PM_Angle!$L$18*$B266</f>
      </c>
      <c r="AG266" s="12">
        <f>IF(AF266&gt;0,IF(AF266&lt;=eco,alpha*fck*(1-(1-AF266/eco)^n),alpha*fck),0)</f>
      </c>
      <c r="AH266" s="30">
        <f>PM_Angle!$J$19+PM_Angle!$K$19*$C266+PM_Angle!$L$19*$B266</f>
      </c>
      <c r="AI266" s="12">
        <f>IF(AH266&gt;0,IF(AH266&lt;=eco,alpha*fck*(1-(1-AH266/eco)^n),alpha*fck),0)</f>
      </c>
      <c r="AJ266" s="30">
        <f>PM_Angle!$J$20+PM_Angle!$K$20*$C266+PM_Angle!$L$20*$B266</f>
      </c>
      <c r="AK266" s="12">
        <f>IF(AJ266&gt;0,IF(AJ266&lt;=eco,alpha*fck*(1-(1-AJ266/eco)^n),alpha*fck),0)</f>
      </c>
      <c r="AL266" s="30">
        <f>PM_Angle!$J$21+PM_Angle!$K$21*$C266+PM_Angle!$L$21*$B266</f>
      </c>
      <c r="AM266" s="12">
        <f>IF(AL266&gt;0,IF(AL266&lt;=eco,alpha*fck*(1-(1-AL266/eco)^n),alpha*fck),0)</f>
      </c>
      <c r="AN266" s="30">
        <f>PM_Angle!$J$22+PM_Angle!$K$22*$C266+PM_Angle!$L$22*$B266</f>
      </c>
      <c r="AO266" s="12">
        <f>IF(AN266&gt;0,IF(AN266&lt;=eco,alpha*fck*(1-(1-AN266/eco)^n),alpha*fck),0)</f>
      </c>
      <c r="AP266" s="30">
        <f>PM_Angle!$J$23+PM_Angle!$K$23*$C266+PM_Angle!$L$23*$B266</f>
      </c>
      <c r="AQ266" s="12">
        <f>IF(AP266&gt;0,IF(AP266&lt;=eco,alpha*fck*(1-(1-AP266/eco)^n),alpha*fck),0)</f>
      </c>
      <c r="AR266" s="30">
        <f>PM_Angle!$J$24+PM_Angle!$K$24*$C266+PM_Angle!$L$24*$B266</f>
      </c>
      <c r="AS266" s="12">
        <f>IF(AR266&gt;0,IF(AR266&lt;=eco,alpha*fck*(1-(1-AR266/eco)^n),alpha*fck),0)</f>
      </c>
      <c r="AT266" s="30">
        <f>PM_Angle!$J$25+PM_Angle!$K$25*$C266+PM_Angle!$L$25*$B266</f>
      </c>
      <c r="AU266" s="12">
        <f>IF(AT266&gt;0,IF(AT266&lt;=eco,alpha*fck*(1-(1-AT266/eco)^n),alpha*fck),0)</f>
      </c>
    </row>
    <row r="267" spans="1:47" x14ac:dyDescent="0.25">
      <c r="A267">
        <f>Mesh!A264</f>
      </c>
      <c r="B267" s="12">
        <f>Mesh!B264</f>
      </c>
      <c r="C267" s="12">
        <f>Mesh!C264</f>
      </c>
      <c r="D267" s="12">
        <f>Mesh!D264</f>
      </c>
      <c r="E267" s="30">
        <f>INDEX(St_e0,Det+1)+INDEX(St_kx,Det+1)*C267+INDEX(St_ky,Det+1)*B267</f>
      </c>
      <c r="F267" s="12">
        <f>IF(E267&gt;0,IF(E267&lt;=eco,alpha*fck*(1-(1-E267/eco)^n),alpha*fck),0)</f>
      </c>
      <c r="G267" s="11">
        <f>F267*D267</f>
      </c>
      <c r="H267" s="11">
        <f>G267*C267</f>
      </c>
      <c r="I267" s="11">
        <f>G267*B267</f>
      </c>
      <c r="J267" s="30">
        <f>PM_Angle!$J$7+PM_Angle!$K$7*$C267+PM_Angle!$L$7*$B267</f>
      </c>
      <c r="K267" s="12">
        <f>IF(J267&gt;0,IF(J267&lt;=eco,alpha*fck*(1-(1-J267/eco)^n),alpha*fck),0)</f>
      </c>
      <c r="L267" s="30">
        <f>PM_Angle!$J$8+PM_Angle!$K$8*$C267+PM_Angle!$L$8*$B267</f>
      </c>
      <c r="M267" s="12">
        <f>IF(L267&gt;0,IF(L267&lt;=eco,alpha*fck*(1-(1-L267/eco)^n),alpha*fck),0)</f>
      </c>
      <c r="N267" s="30">
        <f>PM_Angle!$J$9+PM_Angle!$K$9*$C267+PM_Angle!$L$9*$B267</f>
      </c>
      <c r="O267" s="12">
        <f>IF(N267&gt;0,IF(N267&lt;=eco,alpha*fck*(1-(1-N267/eco)^n),alpha*fck),0)</f>
      </c>
      <c r="P267" s="30">
        <f>PM_Angle!$J$10+PM_Angle!$K$10*$C267+PM_Angle!$L$10*$B267</f>
      </c>
      <c r="Q267" s="12">
        <f>IF(P267&gt;0,IF(P267&lt;=eco,alpha*fck*(1-(1-P267/eco)^n),alpha*fck),0)</f>
      </c>
      <c r="R267" s="30">
        <f>PM_Angle!$J$11+PM_Angle!$K$11*$C267+PM_Angle!$L$11*$B267</f>
      </c>
      <c r="S267" s="12">
        <f>IF(R267&gt;0,IF(R267&lt;=eco,alpha*fck*(1-(1-R267/eco)^n),alpha*fck),0)</f>
      </c>
      <c r="T267" s="30">
        <f>PM_Angle!$J$12+PM_Angle!$K$12*$C267+PM_Angle!$L$12*$B267</f>
      </c>
      <c r="U267" s="12">
        <f>IF(T267&gt;0,IF(T267&lt;=eco,alpha*fck*(1-(1-T267/eco)^n),alpha*fck),0)</f>
      </c>
      <c r="V267" s="30">
        <f>PM_Angle!$J$13+PM_Angle!$K$13*$C267+PM_Angle!$L$13*$B267</f>
      </c>
      <c r="W267" s="12">
        <f>IF(V267&gt;0,IF(V267&lt;=eco,alpha*fck*(1-(1-V267/eco)^n),alpha*fck),0)</f>
      </c>
      <c r="X267" s="30">
        <f>PM_Angle!$J$14+PM_Angle!$K$14*$C267+PM_Angle!$L$14*$B267</f>
      </c>
      <c r="Y267" s="12">
        <f>IF(X267&gt;0,IF(X267&lt;=eco,alpha*fck*(1-(1-X267/eco)^n),alpha*fck),0)</f>
      </c>
      <c r="Z267" s="30">
        <f>PM_Angle!$J$15+PM_Angle!$K$15*$C267+PM_Angle!$L$15*$B267</f>
      </c>
      <c r="AA267" s="12">
        <f>IF(Z267&gt;0,IF(Z267&lt;=eco,alpha*fck*(1-(1-Z267/eco)^n),alpha*fck),0)</f>
      </c>
      <c r="AB267" s="30">
        <f>PM_Angle!$J$16+PM_Angle!$K$16*$C267+PM_Angle!$L$16*$B267</f>
      </c>
      <c r="AC267" s="12">
        <f>IF(AB267&gt;0,IF(AB267&lt;=eco,alpha*fck*(1-(1-AB267/eco)^n),alpha*fck),0)</f>
      </c>
      <c r="AD267" s="30">
        <f>PM_Angle!$J$17+PM_Angle!$K$17*$C267+PM_Angle!$L$17*$B267</f>
      </c>
      <c r="AE267" s="12">
        <f>IF(AD267&gt;0,IF(AD267&lt;=eco,alpha*fck*(1-(1-AD267/eco)^n),alpha*fck),0)</f>
      </c>
      <c r="AF267" s="30">
        <f>PM_Angle!$J$18+PM_Angle!$K$18*$C267+PM_Angle!$L$18*$B267</f>
      </c>
      <c r="AG267" s="12">
        <f>IF(AF267&gt;0,IF(AF267&lt;=eco,alpha*fck*(1-(1-AF267/eco)^n),alpha*fck),0)</f>
      </c>
      <c r="AH267" s="30">
        <f>PM_Angle!$J$19+PM_Angle!$K$19*$C267+PM_Angle!$L$19*$B267</f>
      </c>
      <c r="AI267" s="12">
        <f>IF(AH267&gt;0,IF(AH267&lt;=eco,alpha*fck*(1-(1-AH267/eco)^n),alpha*fck),0)</f>
      </c>
      <c r="AJ267" s="30">
        <f>PM_Angle!$J$20+PM_Angle!$K$20*$C267+PM_Angle!$L$20*$B267</f>
      </c>
      <c r="AK267" s="12">
        <f>IF(AJ267&gt;0,IF(AJ267&lt;=eco,alpha*fck*(1-(1-AJ267/eco)^n),alpha*fck),0)</f>
      </c>
      <c r="AL267" s="30">
        <f>PM_Angle!$J$21+PM_Angle!$K$21*$C267+PM_Angle!$L$21*$B267</f>
      </c>
      <c r="AM267" s="12">
        <f>IF(AL267&gt;0,IF(AL267&lt;=eco,alpha*fck*(1-(1-AL267/eco)^n),alpha*fck),0)</f>
      </c>
      <c r="AN267" s="30">
        <f>PM_Angle!$J$22+PM_Angle!$K$22*$C267+PM_Angle!$L$22*$B267</f>
      </c>
      <c r="AO267" s="12">
        <f>IF(AN267&gt;0,IF(AN267&lt;=eco,alpha*fck*(1-(1-AN267/eco)^n),alpha*fck),0)</f>
      </c>
      <c r="AP267" s="30">
        <f>PM_Angle!$J$23+PM_Angle!$K$23*$C267+PM_Angle!$L$23*$B267</f>
      </c>
      <c r="AQ267" s="12">
        <f>IF(AP267&gt;0,IF(AP267&lt;=eco,alpha*fck*(1-(1-AP267/eco)^n),alpha*fck),0)</f>
      </c>
      <c r="AR267" s="30">
        <f>PM_Angle!$J$24+PM_Angle!$K$24*$C267+PM_Angle!$L$24*$B267</f>
      </c>
      <c r="AS267" s="12">
        <f>IF(AR267&gt;0,IF(AR267&lt;=eco,alpha*fck*(1-(1-AR267/eco)^n),alpha*fck),0)</f>
      </c>
      <c r="AT267" s="30">
        <f>PM_Angle!$J$25+PM_Angle!$K$25*$C267+PM_Angle!$L$25*$B267</f>
      </c>
      <c r="AU267" s="12">
        <f>IF(AT267&gt;0,IF(AT267&lt;=eco,alpha*fck*(1-(1-AT267/eco)^n),alpha*fck),0)</f>
      </c>
    </row>
    <row r="268" spans="1:47" x14ac:dyDescent="0.25">
      <c r="A268">
        <f>Mesh!A265</f>
      </c>
      <c r="B268" s="12">
        <f>Mesh!B265</f>
      </c>
      <c r="C268" s="12">
        <f>Mesh!C265</f>
      </c>
      <c r="D268" s="12">
        <f>Mesh!D265</f>
      </c>
      <c r="E268" s="30">
        <f>INDEX(St_e0,Det+1)+INDEX(St_kx,Det+1)*C268+INDEX(St_ky,Det+1)*B268</f>
      </c>
      <c r="F268" s="12">
        <f>IF(E268&gt;0,IF(E268&lt;=eco,alpha*fck*(1-(1-E268/eco)^n),alpha*fck),0)</f>
      </c>
      <c r="G268" s="11">
        <f>F268*D268</f>
      </c>
      <c r="H268" s="11">
        <f>G268*C268</f>
      </c>
      <c r="I268" s="11">
        <f>G268*B268</f>
      </c>
      <c r="J268" s="30">
        <f>PM_Angle!$J$7+PM_Angle!$K$7*$C268+PM_Angle!$L$7*$B268</f>
      </c>
      <c r="K268" s="12">
        <f>IF(J268&gt;0,IF(J268&lt;=eco,alpha*fck*(1-(1-J268/eco)^n),alpha*fck),0)</f>
      </c>
      <c r="L268" s="30">
        <f>PM_Angle!$J$8+PM_Angle!$K$8*$C268+PM_Angle!$L$8*$B268</f>
      </c>
      <c r="M268" s="12">
        <f>IF(L268&gt;0,IF(L268&lt;=eco,alpha*fck*(1-(1-L268/eco)^n),alpha*fck),0)</f>
      </c>
      <c r="N268" s="30">
        <f>PM_Angle!$J$9+PM_Angle!$K$9*$C268+PM_Angle!$L$9*$B268</f>
      </c>
      <c r="O268" s="12">
        <f>IF(N268&gt;0,IF(N268&lt;=eco,alpha*fck*(1-(1-N268/eco)^n),alpha*fck),0)</f>
      </c>
      <c r="P268" s="30">
        <f>PM_Angle!$J$10+PM_Angle!$K$10*$C268+PM_Angle!$L$10*$B268</f>
      </c>
      <c r="Q268" s="12">
        <f>IF(P268&gt;0,IF(P268&lt;=eco,alpha*fck*(1-(1-P268/eco)^n),alpha*fck),0)</f>
      </c>
      <c r="R268" s="30">
        <f>PM_Angle!$J$11+PM_Angle!$K$11*$C268+PM_Angle!$L$11*$B268</f>
      </c>
      <c r="S268" s="12">
        <f>IF(R268&gt;0,IF(R268&lt;=eco,alpha*fck*(1-(1-R268/eco)^n),alpha*fck),0)</f>
      </c>
      <c r="T268" s="30">
        <f>PM_Angle!$J$12+PM_Angle!$K$12*$C268+PM_Angle!$L$12*$B268</f>
      </c>
      <c r="U268" s="12">
        <f>IF(T268&gt;0,IF(T268&lt;=eco,alpha*fck*(1-(1-T268/eco)^n),alpha*fck),0)</f>
      </c>
      <c r="V268" s="30">
        <f>PM_Angle!$J$13+PM_Angle!$K$13*$C268+PM_Angle!$L$13*$B268</f>
      </c>
      <c r="W268" s="12">
        <f>IF(V268&gt;0,IF(V268&lt;=eco,alpha*fck*(1-(1-V268/eco)^n),alpha*fck),0)</f>
      </c>
      <c r="X268" s="30">
        <f>PM_Angle!$J$14+PM_Angle!$K$14*$C268+PM_Angle!$L$14*$B268</f>
      </c>
      <c r="Y268" s="12">
        <f>IF(X268&gt;0,IF(X268&lt;=eco,alpha*fck*(1-(1-X268/eco)^n),alpha*fck),0)</f>
      </c>
      <c r="Z268" s="30">
        <f>PM_Angle!$J$15+PM_Angle!$K$15*$C268+PM_Angle!$L$15*$B268</f>
      </c>
      <c r="AA268" s="12">
        <f>IF(Z268&gt;0,IF(Z268&lt;=eco,alpha*fck*(1-(1-Z268/eco)^n),alpha*fck),0)</f>
      </c>
      <c r="AB268" s="30">
        <f>PM_Angle!$J$16+PM_Angle!$K$16*$C268+PM_Angle!$L$16*$B268</f>
      </c>
      <c r="AC268" s="12">
        <f>IF(AB268&gt;0,IF(AB268&lt;=eco,alpha*fck*(1-(1-AB268/eco)^n),alpha*fck),0)</f>
      </c>
      <c r="AD268" s="30">
        <f>PM_Angle!$J$17+PM_Angle!$K$17*$C268+PM_Angle!$L$17*$B268</f>
      </c>
      <c r="AE268" s="12">
        <f>IF(AD268&gt;0,IF(AD268&lt;=eco,alpha*fck*(1-(1-AD268/eco)^n),alpha*fck),0)</f>
      </c>
      <c r="AF268" s="30">
        <f>PM_Angle!$J$18+PM_Angle!$K$18*$C268+PM_Angle!$L$18*$B268</f>
      </c>
      <c r="AG268" s="12">
        <f>IF(AF268&gt;0,IF(AF268&lt;=eco,alpha*fck*(1-(1-AF268/eco)^n),alpha*fck),0)</f>
      </c>
      <c r="AH268" s="30">
        <f>PM_Angle!$J$19+PM_Angle!$K$19*$C268+PM_Angle!$L$19*$B268</f>
      </c>
      <c r="AI268" s="12">
        <f>IF(AH268&gt;0,IF(AH268&lt;=eco,alpha*fck*(1-(1-AH268/eco)^n),alpha*fck),0)</f>
      </c>
      <c r="AJ268" s="30">
        <f>PM_Angle!$J$20+PM_Angle!$K$20*$C268+PM_Angle!$L$20*$B268</f>
      </c>
      <c r="AK268" s="12">
        <f>IF(AJ268&gt;0,IF(AJ268&lt;=eco,alpha*fck*(1-(1-AJ268/eco)^n),alpha*fck),0)</f>
      </c>
      <c r="AL268" s="30">
        <f>PM_Angle!$J$21+PM_Angle!$K$21*$C268+PM_Angle!$L$21*$B268</f>
      </c>
      <c r="AM268" s="12">
        <f>IF(AL268&gt;0,IF(AL268&lt;=eco,alpha*fck*(1-(1-AL268/eco)^n),alpha*fck),0)</f>
      </c>
      <c r="AN268" s="30">
        <f>PM_Angle!$J$22+PM_Angle!$K$22*$C268+PM_Angle!$L$22*$B268</f>
      </c>
      <c r="AO268" s="12">
        <f>IF(AN268&gt;0,IF(AN268&lt;=eco,alpha*fck*(1-(1-AN268/eco)^n),alpha*fck),0)</f>
      </c>
      <c r="AP268" s="30">
        <f>PM_Angle!$J$23+PM_Angle!$K$23*$C268+PM_Angle!$L$23*$B268</f>
      </c>
      <c r="AQ268" s="12">
        <f>IF(AP268&gt;0,IF(AP268&lt;=eco,alpha*fck*(1-(1-AP268/eco)^n),alpha*fck),0)</f>
      </c>
      <c r="AR268" s="30">
        <f>PM_Angle!$J$24+PM_Angle!$K$24*$C268+PM_Angle!$L$24*$B268</f>
      </c>
      <c r="AS268" s="12">
        <f>IF(AR268&gt;0,IF(AR268&lt;=eco,alpha*fck*(1-(1-AR268/eco)^n),alpha*fck),0)</f>
      </c>
      <c r="AT268" s="30">
        <f>PM_Angle!$J$25+PM_Angle!$K$25*$C268+PM_Angle!$L$25*$B268</f>
      </c>
      <c r="AU268" s="12">
        <f>IF(AT268&gt;0,IF(AT268&lt;=eco,alpha*fck*(1-(1-AT268/eco)^n),alpha*fck),0)</f>
      </c>
    </row>
    <row r="269" spans="1:47" x14ac:dyDescent="0.25">
      <c r="A269">
        <f>Mesh!A266</f>
      </c>
      <c r="B269" s="12">
        <f>Mesh!B266</f>
      </c>
      <c r="C269" s="12">
        <f>Mesh!C266</f>
      </c>
      <c r="D269" s="12">
        <f>Mesh!D266</f>
      </c>
      <c r="E269" s="30">
        <f>INDEX(St_e0,Det+1)+INDEX(St_kx,Det+1)*C269+INDEX(St_ky,Det+1)*B269</f>
      </c>
      <c r="F269" s="12">
        <f>IF(E269&gt;0,IF(E269&lt;=eco,alpha*fck*(1-(1-E269/eco)^n),alpha*fck),0)</f>
      </c>
      <c r="G269" s="11">
        <f>F269*D269</f>
      </c>
      <c r="H269" s="11">
        <f>G269*C269</f>
      </c>
      <c r="I269" s="11">
        <f>G269*B269</f>
      </c>
      <c r="J269" s="30">
        <f>PM_Angle!$J$7+PM_Angle!$K$7*$C269+PM_Angle!$L$7*$B269</f>
      </c>
      <c r="K269" s="12">
        <f>IF(J269&gt;0,IF(J269&lt;=eco,alpha*fck*(1-(1-J269/eco)^n),alpha*fck),0)</f>
      </c>
      <c r="L269" s="30">
        <f>PM_Angle!$J$8+PM_Angle!$K$8*$C269+PM_Angle!$L$8*$B269</f>
      </c>
      <c r="M269" s="12">
        <f>IF(L269&gt;0,IF(L269&lt;=eco,alpha*fck*(1-(1-L269/eco)^n),alpha*fck),0)</f>
      </c>
      <c r="N269" s="30">
        <f>PM_Angle!$J$9+PM_Angle!$K$9*$C269+PM_Angle!$L$9*$B269</f>
      </c>
      <c r="O269" s="12">
        <f>IF(N269&gt;0,IF(N269&lt;=eco,alpha*fck*(1-(1-N269/eco)^n),alpha*fck),0)</f>
      </c>
      <c r="P269" s="30">
        <f>PM_Angle!$J$10+PM_Angle!$K$10*$C269+PM_Angle!$L$10*$B269</f>
      </c>
      <c r="Q269" s="12">
        <f>IF(P269&gt;0,IF(P269&lt;=eco,alpha*fck*(1-(1-P269/eco)^n),alpha*fck),0)</f>
      </c>
      <c r="R269" s="30">
        <f>PM_Angle!$J$11+PM_Angle!$K$11*$C269+PM_Angle!$L$11*$B269</f>
      </c>
      <c r="S269" s="12">
        <f>IF(R269&gt;0,IF(R269&lt;=eco,alpha*fck*(1-(1-R269/eco)^n),alpha*fck),0)</f>
      </c>
      <c r="T269" s="30">
        <f>PM_Angle!$J$12+PM_Angle!$K$12*$C269+PM_Angle!$L$12*$B269</f>
      </c>
      <c r="U269" s="12">
        <f>IF(T269&gt;0,IF(T269&lt;=eco,alpha*fck*(1-(1-T269/eco)^n),alpha*fck),0)</f>
      </c>
      <c r="V269" s="30">
        <f>PM_Angle!$J$13+PM_Angle!$K$13*$C269+PM_Angle!$L$13*$B269</f>
      </c>
      <c r="W269" s="12">
        <f>IF(V269&gt;0,IF(V269&lt;=eco,alpha*fck*(1-(1-V269/eco)^n),alpha*fck),0)</f>
      </c>
      <c r="X269" s="30">
        <f>PM_Angle!$J$14+PM_Angle!$K$14*$C269+PM_Angle!$L$14*$B269</f>
      </c>
      <c r="Y269" s="12">
        <f>IF(X269&gt;0,IF(X269&lt;=eco,alpha*fck*(1-(1-X269/eco)^n),alpha*fck),0)</f>
      </c>
      <c r="Z269" s="30">
        <f>PM_Angle!$J$15+PM_Angle!$K$15*$C269+PM_Angle!$L$15*$B269</f>
      </c>
      <c r="AA269" s="12">
        <f>IF(Z269&gt;0,IF(Z269&lt;=eco,alpha*fck*(1-(1-Z269/eco)^n),alpha*fck),0)</f>
      </c>
      <c r="AB269" s="30">
        <f>PM_Angle!$J$16+PM_Angle!$K$16*$C269+PM_Angle!$L$16*$B269</f>
      </c>
      <c r="AC269" s="12">
        <f>IF(AB269&gt;0,IF(AB269&lt;=eco,alpha*fck*(1-(1-AB269/eco)^n),alpha*fck),0)</f>
      </c>
      <c r="AD269" s="30">
        <f>PM_Angle!$J$17+PM_Angle!$K$17*$C269+PM_Angle!$L$17*$B269</f>
      </c>
      <c r="AE269" s="12">
        <f>IF(AD269&gt;0,IF(AD269&lt;=eco,alpha*fck*(1-(1-AD269/eco)^n),alpha*fck),0)</f>
      </c>
      <c r="AF269" s="30">
        <f>PM_Angle!$J$18+PM_Angle!$K$18*$C269+PM_Angle!$L$18*$B269</f>
      </c>
      <c r="AG269" s="12">
        <f>IF(AF269&gt;0,IF(AF269&lt;=eco,alpha*fck*(1-(1-AF269/eco)^n),alpha*fck),0)</f>
      </c>
      <c r="AH269" s="30">
        <f>PM_Angle!$J$19+PM_Angle!$K$19*$C269+PM_Angle!$L$19*$B269</f>
      </c>
      <c r="AI269" s="12">
        <f>IF(AH269&gt;0,IF(AH269&lt;=eco,alpha*fck*(1-(1-AH269/eco)^n),alpha*fck),0)</f>
      </c>
      <c r="AJ269" s="30">
        <f>PM_Angle!$J$20+PM_Angle!$K$20*$C269+PM_Angle!$L$20*$B269</f>
      </c>
      <c r="AK269" s="12">
        <f>IF(AJ269&gt;0,IF(AJ269&lt;=eco,alpha*fck*(1-(1-AJ269/eco)^n),alpha*fck),0)</f>
      </c>
      <c r="AL269" s="30">
        <f>PM_Angle!$J$21+PM_Angle!$K$21*$C269+PM_Angle!$L$21*$B269</f>
      </c>
      <c r="AM269" s="12">
        <f>IF(AL269&gt;0,IF(AL269&lt;=eco,alpha*fck*(1-(1-AL269/eco)^n),alpha*fck),0)</f>
      </c>
      <c r="AN269" s="30">
        <f>PM_Angle!$J$22+PM_Angle!$K$22*$C269+PM_Angle!$L$22*$B269</f>
      </c>
      <c r="AO269" s="12">
        <f>IF(AN269&gt;0,IF(AN269&lt;=eco,alpha*fck*(1-(1-AN269/eco)^n),alpha*fck),0)</f>
      </c>
      <c r="AP269" s="30">
        <f>PM_Angle!$J$23+PM_Angle!$K$23*$C269+PM_Angle!$L$23*$B269</f>
      </c>
      <c r="AQ269" s="12">
        <f>IF(AP269&gt;0,IF(AP269&lt;=eco,alpha*fck*(1-(1-AP269/eco)^n),alpha*fck),0)</f>
      </c>
      <c r="AR269" s="30">
        <f>PM_Angle!$J$24+PM_Angle!$K$24*$C269+PM_Angle!$L$24*$B269</f>
      </c>
      <c r="AS269" s="12">
        <f>IF(AR269&gt;0,IF(AR269&lt;=eco,alpha*fck*(1-(1-AR269/eco)^n),alpha*fck),0)</f>
      </c>
      <c r="AT269" s="30">
        <f>PM_Angle!$J$25+PM_Angle!$K$25*$C269+PM_Angle!$L$25*$B269</f>
      </c>
      <c r="AU269" s="12">
        <f>IF(AT269&gt;0,IF(AT269&lt;=eco,alpha*fck*(1-(1-AT269/eco)^n),alpha*fck),0)</f>
      </c>
    </row>
    <row r="270" spans="1:47" x14ac:dyDescent="0.25">
      <c r="A270">
        <f>Mesh!A267</f>
      </c>
      <c r="B270" s="12">
        <f>Mesh!B267</f>
      </c>
      <c r="C270" s="12">
        <f>Mesh!C267</f>
      </c>
      <c r="D270" s="12">
        <f>Mesh!D267</f>
      </c>
      <c r="E270" s="30">
        <f>INDEX(St_e0,Det+1)+INDEX(St_kx,Det+1)*C270+INDEX(St_ky,Det+1)*B270</f>
      </c>
      <c r="F270" s="12">
        <f>IF(E270&gt;0,IF(E270&lt;=eco,alpha*fck*(1-(1-E270/eco)^n),alpha*fck),0)</f>
      </c>
      <c r="G270" s="11">
        <f>F270*D270</f>
      </c>
      <c r="H270" s="11">
        <f>G270*C270</f>
      </c>
      <c r="I270" s="11">
        <f>G270*B270</f>
      </c>
      <c r="J270" s="30">
        <f>PM_Angle!$J$7+PM_Angle!$K$7*$C270+PM_Angle!$L$7*$B270</f>
      </c>
      <c r="K270" s="12">
        <f>IF(J270&gt;0,IF(J270&lt;=eco,alpha*fck*(1-(1-J270/eco)^n),alpha*fck),0)</f>
      </c>
      <c r="L270" s="30">
        <f>PM_Angle!$J$8+PM_Angle!$K$8*$C270+PM_Angle!$L$8*$B270</f>
      </c>
      <c r="M270" s="12">
        <f>IF(L270&gt;0,IF(L270&lt;=eco,alpha*fck*(1-(1-L270/eco)^n),alpha*fck),0)</f>
      </c>
      <c r="N270" s="30">
        <f>PM_Angle!$J$9+PM_Angle!$K$9*$C270+PM_Angle!$L$9*$B270</f>
      </c>
      <c r="O270" s="12">
        <f>IF(N270&gt;0,IF(N270&lt;=eco,alpha*fck*(1-(1-N270/eco)^n),alpha*fck),0)</f>
      </c>
      <c r="P270" s="30">
        <f>PM_Angle!$J$10+PM_Angle!$K$10*$C270+PM_Angle!$L$10*$B270</f>
      </c>
      <c r="Q270" s="12">
        <f>IF(P270&gt;0,IF(P270&lt;=eco,alpha*fck*(1-(1-P270/eco)^n),alpha*fck),0)</f>
      </c>
      <c r="R270" s="30">
        <f>PM_Angle!$J$11+PM_Angle!$K$11*$C270+PM_Angle!$L$11*$B270</f>
      </c>
      <c r="S270" s="12">
        <f>IF(R270&gt;0,IF(R270&lt;=eco,alpha*fck*(1-(1-R270/eco)^n),alpha*fck),0)</f>
      </c>
      <c r="T270" s="30">
        <f>PM_Angle!$J$12+PM_Angle!$K$12*$C270+PM_Angle!$L$12*$B270</f>
      </c>
      <c r="U270" s="12">
        <f>IF(T270&gt;0,IF(T270&lt;=eco,alpha*fck*(1-(1-T270/eco)^n),alpha*fck),0)</f>
      </c>
      <c r="V270" s="30">
        <f>PM_Angle!$J$13+PM_Angle!$K$13*$C270+PM_Angle!$L$13*$B270</f>
      </c>
      <c r="W270" s="12">
        <f>IF(V270&gt;0,IF(V270&lt;=eco,alpha*fck*(1-(1-V270/eco)^n),alpha*fck),0)</f>
      </c>
      <c r="X270" s="30">
        <f>PM_Angle!$J$14+PM_Angle!$K$14*$C270+PM_Angle!$L$14*$B270</f>
      </c>
      <c r="Y270" s="12">
        <f>IF(X270&gt;0,IF(X270&lt;=eco,alpha*fck*(1-(1-X270/eco)^n),alpha*fck),0)</f>
      </c>
      <c r="Z270" s="30">
        <f>PM_Angle!$J$15+PM_Angle!$K$15*$C270+PM_Angle!$L$15*$B270</f>
      </c>
      <c r="AA270" s="12">
        <f>IF(Z270&gt;0,IF(Z270&lt;=eco,alpha*fck*(1-(1-Z270/eco)^n),alpha*fck),0)</f>
      </c>
      <c r="AB270" s="30">
        <f>PM_Angle!$J$16+PM_Angle!$K$16*$C270+PM_Angle!$L$16*$B270</f>
      </c>
      <c r="AC270" s="12">
        <f>IF(AB270&gt;0,IF(AB270&lt;=eco,alpha*fck*(1-(1-AB270/eco)^n),alpha*fck),0)</f>
      </c>
      <c r="AD270" s="30">
        <f>PM_Angle!$J$17+PM_Angle!$K$17*$C270+PM_Angle!$L$17*$B270</f>
      </c>
      <c r="AE270" s="12">
        <f>IF(AD270&gt;0,IF(AD270&lt;=eco,alpha*fck*(1-(1-AD270/eco)^n),alpha*fck),0)</f>
      </c>
      <c r="AF270" s="30">
        <f>PM_Angle!$J$18+PM_Angle!$K$18*$C270+PM_Angle!$L$18*$B270</f>
      </c>
      <c r="AG270" s="12">
        <f>IF(AF270&gt;0,IF(AF270&lt;=eco,alpha*fck*(1-(1-AF270/eco)^n),alpha*fck),0)</f>
      </c>
      <c r="AH270" s="30">
        <f>PM_Angle!$J$19+PM_Angle!$K$19*$C270+PM_Angle!$L$19*$B270</f>
      </c>
      <c r="AI270" s="12">
        <f>IF(AH270&gt;0,IF(AH270&lt;=eco,alpha*fck*(1-(1-AH270/eco)^n),alpha*fck),0)</f>
      </c>
      <c r="AJ270" s="30">
        <f>PM_Angle!$J$20+PM_Angle!$K$20*$C270+PM_Angle!$L$20*$B270</f>
      </c>
      <c r="AK270" s="12">
        <f>IF(AJ270&gt;0,IF(AJ270&lt;=eco,alpha*fck*(1-(1-AJ270/eco)^n),alpha*fck),0)</f>
      </c>
      <c r="AL270" s="30">
        <f>PM_Angle!$J$21+PM_Angle!$K$21*$C270+PM_Angle!$L$21*$B270</f>
      </c>
      <c r="AM270" s="12">
        <f>IF(AL270&gt;0,IF(AL270&lt;=eco,alpha*fck*(1-(1-AL270/eco)^n),alpha*fck),0)</f>
      </c>
      <c r="AN270" s="30">
        <f>PM_Angle!$J$22+PM_Angle!$K$22*$C270+PM_Angle!$L$22*$B270</f>
      </c>
      <c r="AO270" s="12">
        <f>IF(AN270&gt;0,IF(AN270&lt;=eco,alpha*fck*(1-(1-AN270/eco)^n),alpha*fck),0)</f>
      </c>
      <c r="AP270" s="30">
        <f>PM_Angle!$J$23+PM_Angle!$K$23*$C270+PM_Angle!$L$23*$B270</f>
      </c>
      <c r="AQ270" s="12">
        <f>IF(AP270&gt;0,IF(AP270&lt;=eco,alpha*fck*(1-(1-AP270/eco)^n),alpha*fck),0)</f>
      </c>
      <c r="AR270" s="30">
        <f>PM_Angle!$J$24+PM_Angle!$K$24*$C270+PM_Angle!$L$24*$B270</f>
      </c>
      <c r="AS270" s="12">
        <f>IF(AR270&gt;0,IF(AR270&lt;=eco,alpha*fck*(1-(1-AR270/eco)^n),alpha*fck),0)</f>
      </c>
      <c r="AT270" s="30">
        <f>PM_Angle!$J$25+PM_Angle!$K$25*$C270+PM_Angle!$L$25*$B270</f>
      </c>
      <c r="AU270" s="12">
        <f>IF(AT270&gt;0,IF(AT270&lt;=eco,alpha*fck*(1-(1-AT270/eco)^n),alpha*fck),0)</f>
      </c>
    </row>
    <row r="271" spans="1:47" x14ac:dyDescent="0.25">
      <c r="A271">
        <f>Mesh!A268</f>
      </c>
      <c r="B271" s="12">
        <f>Mesh!B268</f>
      </c>
      <c r="C271" s="12">
        <f>Mesh!C268</f>
      </c>
      <c r="D271" s="12">
        <f>Mesh!D268</f>
      </c>
      <c r="E271" s="30">
        <f>INDEX(St_e0,Det+1)+INDEX(St_kx,Det+1)*C271+INDEX(St_ky,Det+1)*B271</f>
      </c>
      <c r="F271" s="12">
        <f>IF(E271&gt;0,IF(E271&lt;=eco,alpha*fck*(1-(1-E271/eco)^n),alpha*fck),0)</f>
      </c>
      <c r="G271" s="11">
        <f>F271*D271</f>
      </c>
      <c r="H271" s="11">
        <f>G271*C271</f>
      </c>
      <c r="I271" s="11">
        <f>G271*B271</f>
      </c>
      <c r="J271" s="30">
        <f>PM_Angle!$J$7+PM_Angle!$K$7*$C271+PM_Angle!$L$7*$B271</f>
      </c>
      <c r="K271" s="12">
        <f>IF(J271&gt;0,IF(J271&lt;=eco,alpha*fck*(1-(1-J271/eco)^n),alpha*fck),0)</f>
      </c>
      <c r="L271" s="30">
        <f>PM_Angle!$J$8+PM_Angle!$K$8*$C271+PM_Angle!$L$8*$B271</f>
      </c>
      <c r="M271" s="12">
        <f>IF(L271&gt;0,IF(L271&lt;=eco,alpha*fck*(1-(1-L271/eco)^n),alpha*fck),0)</f>
      </c>
      <c r="N271" s="30">
        <f>PM_Angle!$J$9+PM_Angle!$K$9*$C271+PM_Angle!$L$9*$B271</f>
      </c>
      <c r="O271" s="12">
        <f>IF(N271&gt;0,IF(N271&lt;=eco,alpha*fck*(1-(1-N271/eco)^n),alpha*fck),0)</f>
      </c>
      <c r="P271" s="30">
        <f>PM_Angle!$J$10+PM_Angle!$K$10*$C271+PM_Angle!$L$10*$B271</f>
      </c>
      <c r="Q271" s="12">
        <f>IF(P271&gt;0,IF(P271&lt;=eco,alpha*fck*(1-(1-P271/eco)^n),alpha*fck),0)</f>
      </c>
      <c r="R271" s="30">
        <f>PM_Angle!$J$11+PM_Angle!$K$11*$C271+PM_Angle!$L$11*$B271</f>
      </c>
      <c r="S271" s="12">
        <f>IF(R271&gt;0,IF(R271&lt;=eco,alpha*fck*(1-(1-R271/eco)^n),alpha*fck),0)</f>
      </c>
      <c r="T271" s="30">
        <f>PM_Angle!$J$12+PM_Angle!$K$12*$C271+PM_Angle!$L$12*$B271</f>
      </c>
      <c r="U271" s="12">
        <f>IF(T271&gt;0,IF(T271&lt;=eco,alpha*fck*(1-(1-T271/eco)^n),alpha*fck),0)</f>
      </c>
      <c r="V271" s="30">
        <f>PM_Angle!$J$13+PM_Angle!$K$13*$C271+PM_Angle!$L$13*$B271</f>
      </c>
      <c r="W271" s="12">
        <f>IF(V271&gt;0,IF(V271&lt;=eco,alpha*fck*(1-(1-V271/eco)^n),alpha*fck),0)</f>
      </c>
      <c r="X271" s="30">
        <f>PM_Angle!$J$14+PM_Angle!$K$14*$C271+PM_Angle!$L$14*$B271</f>
      </c>
      <c r="Y271" s="12">
        <f>IF(X271&gt;0,IF(X271&lt;=eco,alpha*fck*(1-(1-X271/eco)^n),alpha*fck),0)</f>
      </c>
      <c r="Z271" s="30">
        <f>PM_Angle!$J$15+PM_Angle!$K$15*$C271+PM_Angle!$L$15*$B271</f>
      </c>
      <c r="AA271" s="12">
        <f>IF(Z271&gt;0,IF(Z271&lt;=eco,alpha*fck*(1-(1-Z271/eco)^n),alpha*fck),0)</f>
      </c>
      <c r="AB271" s="30">
        <f>PM_Angle!$J$16+PM_Angle!$K$16*$C271+PM_Angle!$L$16*$B271</f>
      </c>
      <c r="AC271" s="12">
        <f>IF(AB271&gt;0,IF(AB271&lt;=eco,alpha*fck*(1-(1-AB271/eco)^n),alpha*fck),0)</f>
      </c>
      <c r="AD271" s="30">
        <f>PM_Angle!$J$17+PM_Angle!$K$17*$C271+PM_Angle!$L$17*$B271</f>
      </c>
      <c r="AE271" s="12">
        <f>IF(AD271&gt;0,IF(AD271&lt;=eco,alpha*fck*(1-(1-AD271/eco)^n),alpha*fck),0)</f>
      </c>
      <c r="AF271" s="30">
        <f>PM_Angle!$J$18+PM_Angle!$K$18*$C271+PM_Angle!$L$18*$B271</f>
      </c>
      <c r="AG271" s="12">
        <f>IF(AF271&gt;0,IF(AF271&lt;=eco,alpha*fck*(1-(1-AF271/eco)^n),alpha*fck),0)</f>
      </c>
      <c r="AH271" s="30">
        <f>PM_Angle!$J$19+PM_Angle!$K$19*$C271+PM_Angle!$L$19*$B271</f>
      </c>
      <c r="AI271" s="12">
        <f>IF(AH271&gt;0,IF(AH271&lt;=eco,alpha*fck*(1-(1-AH271/eco)^n),alpha*fck),0)</f>
      </c>
      <c r="AJ271" s="30">
        <f>PM_Angle!$J$20+PM_Angle!$K$20*$C271+PM_Angle!$L$20*$B271</f>
      </c>
      <c r="AK271" s="12">
        <f>IF(AJ271&gt;0,IF(AJ271&lt;=eco,alpha*fck*(1-(1-AJ271/eco)^n),alpha*fck),0)</f>
      </c>
      <c r="AL271" s="30">
        <f>PM_Angle!$J$21+PM_Angle!$K$21*$C271+PM_Angle!$L$21*$B271</f>
      </c>
      <c r="AM271" s="12">
        <f>IF(AL271&gt;0,IF(AL271&lt;=eco,alpha*fck*(1-(1-AL271/eco)^n),alpha*fck),0)</f>
      </c>
      <c r="AN271" s="30">
        <f>PM_Angle!$J$22+PM_Angle!$K$22*$C271+PM_Angle!$L$22*$B271</f>
      </c>
      <c r="AO271" s="12">
        <f>IF(AN271&gt;0,IF(AN271&lt;=eco,alpha*fck*(1-(1-AN271/eco)^n),alpha*fck),0)</f>
      </c>
      <c r="AP271" s="30">
        <f>PM_Angle!$J$23+PM_Angle!$K$23*$C271+PM_Angle!$L$23*$B271</f>
      </c>
      <c r="AQ271" s="12">
        <f>IF(AP271&gt;0,IF(AP271&lt;=eco,alpha*fck*(1-(1-AP271/eco)^n),alpha*fck),0)</f>
      </c>
      <c r="AR271" s="30">
        <f>PM_Angle!$J$24+PM_Angle!$K$24*$C271+PM_Angle!$L$24*$B271</f>
      </c>
      <c r="AS271" s="12">
        <f>IF(AR271&gt;0,IF(AR271&lt;=eco,alpha*fck*(1-(1-AR271/eco)^n),alpha*fck),0)</f>
      </c>
      <c r="AT271" s="30">
        <f>PM_Angle!$J$25+PM_Angle!$K$25*$C271+PM_Angle!$L$25*$B271</f>
      </c>
      <c r="AU271" s="12">
        <f>IF(AT271&gt;0,IF(AT271&lt;=eco,alpha*fck*(1-(1-AT271/eco)^n),alpha*fck),0)</f>
      </c>
    </row>
    <row r="272" spans="1:47" x14ac:dyDescent="0.25">
      <c r="A272">
        <f>Mesh!A269</f>
      </c>
      <c r="B272" s="12">
        <f>Mesh!B269</f>
      </c>
      <c r="C272" s="12">
        <f>Mesh!C269</f>
      </c>
      <c r="D272" s="12">
        <f>Mesh!D269</f>
      </c>
      <c r="E272" s="30">
        <f>INDEX(St_e0,Det+1)+INDEX(St_kx,Det+1)*C272+INDEX(St_ky,Det+1)*B272</f>
      </c>
      <c r="F272" s="12">
        <f>IF(E272&gt;0,IF(E272&lt;=eco,alpha*fck*(1-(1-E272/eco)^n),alpha*fck),0)</f>
      </c>
      <c r="G272" s="11">
        <f>F272*D272</f>
      </c>
      <c r="H272" s="11">
        <f>G272*C272</f>
      </c>
      <c r="I272" s="11">
        <f>G272*B272</f>
      </c>
      <c r="J272" s="30">
        <f>PM_Angle!$J$7+PM_Angle!$K$7*$C272+PM_Angle!$L$7*$B272</f>
      </c>
      <c r="K272" s="12">
        <f>IF(J272&gt;0,IF(J272&lt;=eco,alpha*fck*(1-(1-J272/eco)^n),alpha*fck),0)</f>
      </c>
      <c r="L272" s="30">
        <f>PM_Angle!$J$8+PM_Angle!$K$8*$C272+PM_Angle!$L$8*$B272</f>
      </c>
      <c r="M272" s="12">
        <f>IF(L272&gt;0,IF(L272&lt;=eco,alpha*fck*(1-(1-L272/eco)^n),alpha*fck),0)</f>
      </c>
      <c r="N272" s="30">
        <f>PM_Angle!$J$9+PM_Angle!$K$9*$C272+PM_Angle!$L$9*$B272</f>
      </c>
      <c r="O272" s="12">
        <f>IF(N272&gt;0,IF(N272&lt;=eco,alpha*fck*(1-(1-N272/eco)^n),alpha*fck),0)</f>
      </c>
      <c r="P272" s="30">
        <f>PM_Angle!$J$10+PM_Angle!$K$10*$C272+PM_Angle!$L$10*$B272</f>
      </c>
      <c r="Q272" s="12">
        <f>IF(P272&gt;0,IF(P272&lt;=eco,alpha*fck*(1-(1-P272/eco)^n),alpha*fck),0)</f>
      </c>
      <c r="R272" s="30">
        <f>PM_Angle!$J$11+PM_Angle!$K$11*$C272+PM_Angle!$L$11*$B272</f>
      </c>
      <c r="S272" s="12">
        <f>IF(R272&gt;0,IF(R272&lt;=eco,alpha*fck*(1-(1-R272/eco)^n),alpha*fck),0)</f>
      </c>
      <c r="T272" s="30">
        <f>PM_Angle!$J$12+PM_Angle!$K$12*$C272+PM_Angle!$L$12*$B272</f>
      </c>
      <c r="U272" s="12">
        <f>IF(T272&gt;0,IF(T272&lt;=eco,alpha*fck*(1-(1-T272/eco)^n),alpha*fck),0)</f>
      </c>
      <c r="V272" s="30">
        <f>PM_Angle!$J$13+PM_Angle!$K$13*$C272+PM_Angle!$L$13*$B272</f>
      </c>
      <c r="W272" s="12">
        <f>IF(V272&gt;0,IF(V272&lt;=eco,alpha*fck*(1-(1-V272/eco)^n),alpha*fck),0)</f>
      </c>
      <c r="X272" s="30">
        <f>PM_Angle!$J$14+PM_Angle!$K$14*$C272+PM_Angle!$L$14*$B272</f>
      </c>
      <c r="Y272" s="12">
        <f>IF(X272&gt;0,IF(X272&lt;=eco,alpha*fck*(1-(1-X272/eco)^n),alpha*fck),0)</f>
      </c>
      <c r="Z272" s="30">
        <f>PM_Angle!$J$15+PM_Angle!$K$15*$C272+PM_Angle!$L$15*$B272</f>
      </c>
      <c r="AA272" s="12">
        <f>IF(Z272&gt;0,IF(Z272&lt;=eco,alpha*fck*(1-(1-Z272/eco)^n),alpha*fck),0)</f>
      </c>
      <c r="AB272" s="30">
        <f>PM_Angle!$J$16+PM_Angle!$K$16*$C272+PM_Angle!$L$16*$B272</f>
      </c>
      <c r="AC272" s="12">
        <f>IF(AB272&gt;0,IF(AB272&lt;=eco,alpha*fck*(1-(1-AB272/eco)^n),alpha*fck),0)</f>
      </c>
      <c r="AD272" s="30">
        <f>PM_Angle!$J$17+PM_Angle!$K$17*$C272+PM_Angle!$L$17*$B272</f>
      </c>
      <c r="AE272" s="12">
        <f>IF(AD272&gt;0,IF(AD272&lt;=eco,alpha*fck*(1-(1-AD272/eco)^n),alpha*fck),0)</f>
      </c>
      <c r="AF272" s="30">
        <f>PM_Angle!$J$18+PM_Angle!$K$18*$C272+PM_Angle!$L$18*$B272</f>
      </c>
      <c r="AG272" s="12">
        <f>IF(AF272&gt;0,IF(AF272&lt;=eco,alpha*fck*(1-(1-AF272/eco)^n),alpha*fck),0)</f>
      </c>
      <c r="AH272" s="30">
        <f>PM_Angle!$J$19+PM_Angle!$K$19*$C272+PM_Angle!$L$19*$B272</f>
      </c>
      <c r="AI272" s="12">
        <f>IF(AH272&gt;0,IF(AH272&lt;=eco,alpha*fck*(1-(1-AH272/eco)^n),alpha*fck),0)</f>
      </c>
      <c r="AJ272" s="30">
        <f>PM_Angle!$J$20+PM_Angle!$K$20*$C272+PM_Angle!$L$20*$B272</f>
      </c>
      <c r="AK272" s="12">
        <f>IF(AJ272&gt;0,IF(AJ272&lt;=eco,alpha*fck*(1-(1-AJ272/eco)^n),alpha*fck),0)</f>
      </c>
      <c r="AL272" s="30">
        <f>PM_Angle!$J$21+PM_Angle!$K$21*$C272+PM_Angle!$L$21*$B272</f>
      </c>
      <c r="AM272" s="12">
        <f>IF(AL272&gt;0,IF(AL272&lt;=eco,alpha*fck*(1-(1-AL272/eco)^n),alpha*fck),0)</f>
      </c>
      <c r="AN272" s="30">
        <f>PM_Angle!$J$22+PM_Angle!$K$22*$C272+PM_Angle!$L$22*$B272</f>
      </c>
      <c r="AO272" s="12">
        <f>IF(AN272&gt;0,IF(AN272&lt;=eco,alpha*fck*(1-(1-AN272/eco)^n),alpha*fck),0)</f>
      </c>
      <c r="AP272" s="30">
        <f>PM_Angle!$J$23+PM_Angle!$K$23*$C272+PM_Angle!$L$23*$B272</f>
      </c>
      <c r="AQ272" s="12">
        <f>IF(AP272&gt;0,IF(AP272&lt;=eco,alpha*fck*(1-(1-AP272/eco)^n),alpha*fck),0)</f>
      </c>
      <c r="AR272" s="30">
        <f>PM_Angle!$J$24+PM_Angle!$K$24*$C272+PM_Angle!$L$24*$B272</f>
      </c>
      <c r="AS272" s="12">
        <f>IF(AR272&gt;0,IF(AR272&lt;=eco,alpha*fck*(1-(1-AR272/eco)^n),alpha*fck),0)</f>
      </c>
      <c r="AT272" s="30">
        <f>PM_Angle!$J$25+PM_Angle!$K$25*$C272+PM_Angle!$L$25*$B272</f>
      </c>
      <c r="AU272" s="12">
        <f>IF(AT272&gt;0,IF(AT272&lt;=eco,alpha*fck*(1-(1-AT272/eco)^n),alpha*fck),0)</f>
      </c>
    </row>
    <row r="273" spans="1:47" x14ac:dyDescent="0.25">
      <c r="A273">
        <f>Mesh!A270</f>
      </c>
      <c r="B273" s="12">
        <f>Mesh!B270</f>
      </c>
      <c r="C273" s="12">
        <f>Mesh!C270</f>
      </c>
      <c r="D273" s="12">
        <f>Mesh!D270</f>
      </c>
      <c r="E273" s="30">
        <f>INDEX(St_e0,Det+1)+INDEX(St_kx,Det+1)*C273+INDEX(St_ky,Det+1)*B273</f>
      </c>
      <c r="F273" s="12">
        <f>IF(E273&gt;0,IF(E273&lt;=eco,alpha*fck*(1-(1-E273/eco)^n),alpha*fck),0)</f>
      </c>
      <c r="G273" s="11">
        <f>F273*D273</f>
      </c>
      <c r="H273" s="11">
        <f>G273*C273</f>
      </c>
      <c r="I273" s="11">
        <f>G273*B273</f>
      </c>
      <c r="J273" s="30">
        <f>PM_Angle!$J$7+PM_Angle!$K$7*$C273+PM_Angle!$L$7*$B273</f>
      </c>
      <c r="K273" s="12">
        <f>IF(J273&gt;0,IF(J273&lt;=eco,alpha*fck*(1-(1-J273/eco)^n),alpha*fck),0)</f>
      </c>
      <c r="L273" s="30">
        <f>PM_Angle!$J$8+PM_Angle!$K$8*$C273+PM_Angle!$L$8*$B273</f>
      </c>
      <c r="M273" s="12">
        <f>IF(L273&gt;0,IF(L273&lt;=eco,alpha*fck*(1-(1-L273/eco)^n),alpha*fck),0)</f>
      </c>
      <c r="N273" s="30">
        <f>PM_Angle!$J$9+PM_Angle!$K$9*$C273+PM_Angle!$L$9*$B273</f>
      </c>
      <c r="O273" s="12">
        <f>IF(N273&gt;0,IF(N273&lt;=eco,alpha*fck*(1-(1-N273/eco)^n),alpha*fck),0)</f>
      </c>
      <c r="P273" s="30">
        <f>PM_Angle!$J$10+PM_Angle!$K$10*$C273+PM_Angle!$L$10*$B273</f>
      </c>
      <c r="Q273" s="12">
        <f>IF(P273&gt;0,IF(P273&lt;=eco,alpha*fck*(1-(1-P273/eco)^n),alpha*fck),0)</f>
      </c>
      <c r="R273" s="30">
        <f>PM_Angle!$J$11+PM_Angle!$K$11*$C273+PM_Angle!$L$11*$B273</f>
      </c>
      <c r="S273" s="12">
        <f>IF(R273&gt;0,IF(R273&lt;=eco,alpha*fck*(1-(1-R273/eco)^n),alpha*fck),0)</f>
      </c>
      <c r="T273" s="30">
        <f>PM_Angle!$J$12+PM_Angle!$K$12*$C273+PM_Angle!$L$12*$B273</f>
      </c>
      <c r="U273" s="12">
        <f>IF(T273&gt;0,IF(T273&lt;=eco,alpha*fck*(1-(1-T273/eco)^n),alpha*fck),0)</f>
      </c>
      <c r="V273" s="30">
        <f>PM_Angle!$J$13+PM_Angle!$K$13*$C273+PM_Angle!$L$13*$B273</f>
      </c>
      <c r="W273" s="12">
        <f>IF(V273&gt;0,IF(V273&lt;=eco,alpha*fck*(1-(1-V273/eco)^n),alpha*fck),0)</f>
      </c>
      <c r="X273" s="30">
        <f>PM_Angle!$J$14+PM_Angle!$K$14*$C273+PM_Angle!$L$14*$B273</f>
      </c>
      <c r="Y273" s="12">
        <f>IF(X273&gt;0,IF(X273&lt;=eco,alpha*fck*(1-(1-X273/eco)^n),alpha*fck),0)</f>
      </c>
      <c r="Z273" s="30">
        <f>PM_Angle!$J$15+PM_Angle!$K$15*$C273+PM_Angle!$L$15*$B273</f>
      </c>
      <c r="AA273" s="12">
        <f>IF(Z273&gt;0,IF(Z273&lt;=eco,alpha*fck*(1-(1-Z273/eco)^n),alpha*fck),0)</f>
      </c>
      <c r="AB273" s="30">
        <f>PM_Angle!$J$16+PM_Angle!$K$16*$C273+PM_Angle!$L$16*$B273</f>
      </c>
      <c r="AC273" s="12">
        <f>IF(AB273&gt;0,IF(AB273&lt;=eco,alpha*fck*(1-(1-AB273/eco)^n),alpha*fck),0)</f>
      </c>
      <c r="AD273" s="30">
        <f>PM_Angle!$J$17+PM_Angle!$K$17*$C273+PM_Angle!$L$17*$B273</f>
      </c>
      <c r="AE273" s="12">
        <f>IF(AD273&gt;0,IF(AD273&lt;=eco,alpha*fck*(1-(1-AD273/eco)^n),alpha*fck),0)</f>
      </c>
      <c r="AF273" s="30">
        <f>PM_Angle!$J$18+PM_Angle!$K$18*$C273+PM_Angle!$L$18*$B273</f>
      </c>
      <c r="AG273" s="12">
        <f>IF(AF273&gt;0,IF(AF273&lt;=eco,alpha*fck*(1-(1-AF273/eco)^n),alpha*fck),0)</f>
      </c>
      <c r="AH273" s="30">
        <f>PM_Angle!$J$19+PM_Angle!$K$19*$C273+PM_Angle!$L$19*$B273</f>
      </c>
      <c r="AI273" s="12">
        <f>IF(AH273&gt;0,IF(AH273&lt;=eco,alpha*fck*(1-(1-AH273/eco)^n),alpha*fck),0)</f>
      </c>
      <c r="AJ273" s="30">
        <f>PM_Angle!$J$20+PM_Angle!$K$20*$C273+PM_Angle!$L$20*$B273</f>
      </c>
      <c r="AK273" s="12">
        <f>IF(AJ273&gt;0,IF(AJ273&lt;=eco,alpha*fck*(1-(1-AJ273/eco)^n),alpha*fck),0)</f>
      </c>
      <c r="AL273" s="30">
        <f>PM_Angle!$J$21+PM_Angle!$K$21*$C273+PM_Angle!$L$21*$B273</f>
      </c>
      <c r="AM273" s="12">
        <f>IF(AL273&gt;0,IF(AL273&lt;=eco,alpha*fck*(1-(1-AL273/eco)^n),alpha*fck),0)</f>
      </c>
      <c r="AN273" s="30">
        <f>PM_Angle!$J$22+PM_Angle!$K$22*$C273+PM_Angle!$L$22*$B273</f>
      </c>
      <c r="AO273" s="12">
        <f>IF(AN273&gt;0,IF(AN273&lt;=eco,alpha*fck*(1-(1-AN273/eco)^n),alpha*fck),0)</f>
      </c>
      <c r="AP273" s="30">
        <f>PM_Angle!$J$23+PM_Angle!$K$23*$C273+PM_Angle!$L$23*$B273</f>
      </c>
      <c r="AQ273" s="12">
        <f>IF(AP273&gt;0,IF(AP273&lt;=eco,alpha*fck*(1-(1-AP273/eco)^n),alpha*fck),0)</f>
      </c>
      <c r="AR273" s="30">
        <f>PM_Angle!$J$24+PM_Angle!$K$24*$C273+PM_Angle!$L$24*$B273</f>
      </c>
      <c r="AS273" s="12">
        <f>IF(AR273&gt;0,IF(AR273&lt;=eco,alpha*fck*(1-(1-AR273/eco)^n),alpha*fck),0)</f>
      </c>
      <c r="AT273" s="30">
        <f>PM_Angle!$J$25+PM_Angle!$K$25*$C273+PM_Angle!$L$25*$B273</f>
      </c>
      <c r="AU273" s="12">
        <f>IF(AT273&gt;0,IF(AT273&lt;=eco,alpha*fck*(1-(1-AT273/eco)^n),alpha*fck),0)</f>
      </c>
    </row>
    <row r="274" spans="1:47" x14ac:dyDescent="0.25">
      <c r="A274">
        <f>Mesh!A271</f>
      </c>
      <c r="B274" s="12">
        <f>Mesh!B271</f>
      </c>
      <c r="C274" s="12">
        <f>Mesh!C271</f>
      </c>
      <c r="D274" s="12">
        <f>Mesh!D271</f>
      </c>
      <c r="E274" s="30">
        <f>INDEX(St_e0,Det+1)+INDEX(St_kx,Det+1)*C274+INDEX(St_ky,Det+1)*B274</f>
      </c>
      <c r="F274" s="12">
        <f>IF(E274&gt;0,IF(E274&lt;=eco,alpha*fck*(1-(1-E274/eco)^n),alpha*fck),0)</f>
      </c>
      <c r="G274" s="11">
        <f>F274*D274</f>
      </c>
      <c r="H274" s="11">
        <f>G274*C274</f>
      </c>
      <c r="I274" s="11">
        <f>G274*B274</f>
      </c>
      <c r="J274" s="30">
        <f>PM_Angle!$J$7+PM_Angle!$K$7*$C274+PM_Angle!$L$7*$B274</f>
      </c>
      <c r="K274" s="12">
        <f>IF(J274&gt;0,IF(J274&lt;=eco,alpha*fck*(1-(1-J274/eco)^n),alpha*fck),0)</f>
      </c>
      <c r="L274" s="30">
        <f>PM_Angle!$J$8+PM_Angle!$K$8*$C274+PM_Angle!$L$8*$B274</f>
      </c>
      <c r="M274" s="12">
        <f>IF(L274&gt;0,IF(L274&lt;=eco,alpha*fck*(1-(1-L274/eco)^n),alpha*fck),0)</f>
      </c>
      <c r="N274" s="30">
        <f>PM_Angle!$J$9+PM_Angle!$K$9*$C274+PM_Angle!$L$9*$B274</f>
      </c>
      <c r="O274" s="12">
        <f>IF(N274&gt;0,IF(N274&lt;=eco,alpha*fck*(1-(1-N274/eco)^n),alpha*fck),0)</f>
      </c>
      <c r="P274" s="30">
        <f>PM_Angle!$J$10+PM_Angle!$K$10*$C274+PM_Angle!$L$10*$B274</f>
      </c>
      <c r="Q274" s="12">
        <f>IF(P274&gt;0,IF(P274&lt;=eco,alpha*fck*(1-(1-P274/eco)^n),alpha*fck),0)</f>
      </c>
      <c r="R274" s="30">
        <f>PM_Angle!$J$11+PM_Angle!$K$11*$C274+PM_Angle!$L$11*$B274</f>
      </c>
      <c r="S274" s="12">
        <f>IF(R274&gt;0,IF(R274&lt;=eco,alpha*fck*(1-(1-R274/eco)^n),alpha*fck),0)</f>
      </c>
      <c r="T274" s="30">
        <f>PM_Angle!$J$12+PM_Angle!$K$12*$C274+PM_Angle!$L$12*$B274</f>
      </c>
      <c r="U274" s="12">
        <f>IF(T274&gt;0,IF(T274&lt;=eco,alpha*fck*(1-(1-T274/eco)^n),alpha*fck),0)</f>
      </c>
      <c r="V274" s="30">
        <f>PM_Angle!$J$13+PM_Angle!$K$13*$C274+PM_Angle!$L$13*$B274</f>
      </c>
      <c r="W274" s="12">
        <f>IF(V274&gt;0,IF(V274&lt;=eco,alpha*fck*(1-(1-V274/eco)^n),alpha*fck),0)</f>
      </c>
      <c r="X274" s="30">
        <f>PM_Angle!$J$14+PM_Angle!$K$14*$C274+PM_Angle!$L$14*$B274</f>
      </c>
      <c r="Y274" s="12">
        <f>IF(X274&gt;0,IF(X274&lt;=eco,alpha*fck*(1-(1-X274/eco)^n),alpha*fck),0)</f>
      </c>
      <c r="Z274" s="30">
        <f>PM_Angle!$J$15+PM_Angle!$K$15*$C274+PM_Angle!$L$15*$B274</f>
      </c>
      <c r="AA274" s="12">
        <f>IF(Z274&gt;0,IF(Z274&lt;=eco,alpha*fck*(1-(1-Z274/eco)^n),alpha*fck),0)</f>
      </c>
      <c r="AB274" s="30">
        <f>PM_Angle!$J$16+PM_Angle!$K$16*$C274+PM_Angle!$L$16*$B274</f>
      </c>
      <c r="AC274" s="12">
        <f>IF(AB274&gt;0,IF(AB274&lt;=eco,alpha*fck*(1-(1-AB274/eco)^n),alpha*fck),0)</f>
      </c>
      <c r="AD274" s="30">
        <f>PM_Angle!$J$17+PM_Angle!$K$17*$C274+PM_Angle!$L$17*$B274</f>
      </c>
      <c r="AE274" s="12">
        <f>IF(AD274&gt;0,IF(AD274&lt;=eco,alpha*fck*(1-(1-AD274/eco)^n),alpha*fck),0)</f>
      </c>
      <c r="AF274" s="30">
        <f>PM_Angle!$J$18+PM_Angle!$K$18*$C274+PM_Angle!$L$18*$B274</f>
      </c>
      <c r="AG274" s="12">
        <f>IF(AF274&gt;0,IF(AF274&lt;=eco,alpha*fck*(1-(1-AF274/eco)^n),alpha*fck),0)</f>
      </c>
      <c r="AH274" s="30">
        <f>PM_Angle!$J$19+PM_Angle!$K$19*$C274+PM_Angle!$L$19*$B274</f>
      </c>
      <c r="AI274" s="12">
        <f>IF(AH274&gt;0,IF(AH274&lt;=eco,alpha*fck*(1-(1-AH274/eco)^n),alpha*fck),0)</f>
      </c>
      <c r="AJ274" s="30">
        <f>PM_Angle!$J$20+PM_Angle!$K$20*$C274+PM_Angle!$L$20*$B274</f>
      </c>
      <c r="AK274" s="12">
        <f>IF(AJ274&gt;0,IF(AJ274&lt;=eco,alpha*fck*(1-(1-AJ274/eco)^n),alpha*fck),0)</f>
      </c>
      <c r="AL274" s="30">
        <f>PM_Angle!$J$21+PM_Angle!$K$21*$C274+PM_Angle!$L$21*$B274</f>
      </c>
      <c r="AM274" s="12">
        <f>IF(AL274&gt;0,IF(AL274&lt;=eco,alpha*fck*(1-(1-AL274/eco)^n),alpha*fck),0)</f>
      </c>
      <c r="AN274" s="30">
        <f>PM_Angle!$J$22+PM_Angle!$K$22*$C274+PM_Angle!$L$22*$B274</f>
      </c>
      <c r="AO274" s="12">
        <f>IF(AN274&gt;0,IF(AN274&lt;=eco,alpha*fck*(1-(1-AN274/eco)^n),alpha*fck),0)</f>
      </c>
      <c r="AP274" s="30">
        <f>PM_Angle!$J$23+PM_Angle!$K$23*$C274+PM_Angle!$L$23*$B274</f>
      </c>
      <c r="AQ274" s="12">
        <f>IF(AP274&gt;0,IF(AP274&lt;=eco,alpha*fck*(1-(1-AP274/eco)^n),alpha*fck),0)</f>
      </c>
      <c r="AR274" s="30">
        <f>PM_Angle!$J$24+PM_Angle!$K$24*$C274+PM_Angle!$L$24*$B274</f>
      </c>
      <c r="AS274" s="12">
        <f>IF(AR274&gt;0,IF(AR274&lt;=eco,alpha*fck*(1-(1-AR274/eco)^n),alpha*fck),0)</f>
      </c>
      <c r="AT274" s="30">
        <f>PM_Angle!$J$25+PM_Angle!$K$25*$C274+PM_Angle!$L$25*$B274</f>
      </c>
      <c r="AU274" s="12">
        <f>IF(AT274&gt;0,IF(AT274&lt;=eco,alpha*fck*(1-(1-AT274/eco)^n),alpha*fck),0)</f>
      </c>
    </row>
    <row r="275" spans="1:47" x14ac:dyDescent="0.25">
      <c r="A275">
        <f>Mesh!A272</f>
      </c>
      <c r="B275" s="12">
        <f>Mesh!B272</f>
      </c>
      <c r="C275" s="12">
        <f>Mesh!C272</f>
      </c>
      <c r="D275" s="12">
        <f>Mesh!D272</f>
      </c>
      <c r="E275" s="30">
        <f>INDEX(St_e0,Det+1)+INDEX(St_kx,Det+1)*C275+INDEX(St_ky,Det+1)*B275</f>
      </c>
      <c r="F275" s="12">
        <f>IF(E275&gt;0,IF(E275&lt;=eco,alpha*fck*(1-(1-E275/eco)^n),alpha*fck),0)</f>
      </c>
      <c r="G275" s="11">
        <f>F275*D275</f>
      </c>
      <c r="H275" s="11">
        <f>G275*C275</f>
      </c>
      <c r="I275" s="11">
        <f>G275*B275</f>
      </c>
      <c r="J275" s="30">
        <f>PM_Angle!$J$7+PM_Angle!$K$7*$C275+PM_Angle!$L$7*$B275</f>
      </c>
      <c r="K275" s="12">
        <f>IF(J275&gt;0,IF(J275&lt;=eco,alpha*fck*(1-(1-J275/eco)^n),alpha*fck),0)</f>
      </c>
      <c r="L275" s="30">
        <f>PM_Angle!$J$8+PM_Angle!$K$8*$C275+PM_Angle!$L$8*$B275</f>
      </c>
      <c r="M275" s="12">
        <f>IF(L275&gt;0,IF(L275&lt;=eco,alpha*fck*(1-(1-L275/eco)^n),alpha*fck),0)</f>
      </c>
      <c r="N275" s="30">
        <f>PM_Angle!$J$9+PM_Angle!$K$9*$C275+PM_Angle!$L$9*$B275</f>
      </c>
      <c r="O275" s="12">
        <f>IF(N275&gt;0,IF(N275&lt;=eco,alpha*fck*(1-(1-N275/eco)^n),alpha*fck),0)</f>
      </c>
      <c r="P275" s="30">
        <f>PM_Angle!$J$10+PM_Angle!$K$10*$C275+PM_Angle!$L$10*$B275</f>
      </c>
      <c r="Q275" s="12">
        <f>IF(P275&gt;0,IF(P275&lt;=eco,alpha*fck*(1-(1-P275/eco)^n),alpha*fck),0)</f>
      </c>
      <c r="R275" s="30">
        <f>PM_Angle!$J$11+PM_Angle!$K$11*$C275+PM_Angle!$L$11*$B275</f>
      </c>
      <c r="S275" s="12">
        <f>IF(R275&gt;0,IF(R275&lt;=eco,alpha*fck*(1-(1-R275/eco)^n),alpha*fck),0)</f>
      </c>
      <c r="T275" s="30">
        <f>PM_Angle!$J$12+PM_Angle!$K$12*$C275+PM_Angle!$L$12*$B275</f>
      </c>
      <c r="U275" s="12">
        <f>IF(T275&gt;0,IF(T275&lt;=eco,alpha*fck*(1-(1-T275/eco)^n),alpha*fck),0)</f>
      </c>
      <c r="V275" s="30">
        <f>PM_Angle!$J$13+PM_Angle!$K$13*$C275+PM_Angle!$L$13*$B275</f>
      </c>
      <c r="W275" s="12">
        <f>IF(V275&gt;0,IF(V275&lt;=eco,alpha*fck*(1-(1-V275/eco)^n),alpha*fck),0)</f>
      </c>
      <c r="X275" s="30">
        <f>PM_Angle!$J$14+PM_Angle!$K$14*$C275+PM_Angle!$L$14*$B275</f>
      </c>
      <c r="Y275" s="12">
        <f>IF(X275&gt;0,IF(X275&lt;=eco,alpha*fck*(1-(1-X275/eco)^n),alpha*fck),0)</f>
      </c>
      <c r="Z275" s="30">
        <f>PM_Angle!$J$15+PM_Angle!$K$15*$C275+PM_Angle!$L$15*$B275</f>
      </c>
      <c r="AA275" s="12">
        <f>IF(Z275&gt;0,IF(Z275&lt;=eco,alpha*fck*(1-(1-Z275/eco)^n),alpha*fck),0)</f>
      </c>
      <c r="AB275" s="30">
        <f>PM_Angle!$J$16+PM_Angle!$K$16*$C275+PM_Angle!$L$16*$B275</f>
      </c>
      <c r="AC275" s="12">
        <f>IF(AB275&gt;0,IF(AB275&lt;=eco,alpha*fck*(1-(1-AB275/eco)^n),alpha*fck),0)</f>
      </c>
      <c r="AD275" s="30">
        <f>PM_Angle!$J$17+PM_Angle!$K$17*$C275+PM_Angle!$L$17*$B275</f>
      </c>
      <c r="AE275" s="12">
        <f>IF(AD275&gt;0,IF(AD275&lt;=eco,alpha*fck*(1-(1-AD275/eco)^n),alpha*fck),0)</f>
      </c>
      <c r="AF275" s="30">
        <f>PM_Angle!$J$18+PM_Angle!$K$18*$C275+PM_Angle!$L$18*$B275</f>
      </c>
      <c r="AG275" s="12">
        <f>IF(AF275&gt;0,IF(AF275&lt;=eco,alpha*fck*(1-(1-AF275/eco)^n),alpha*fck),0)</f>
      </c>
      <c r="AH275" s="30">
        <f>PM_Angle!$J$19+PM_Angle!$K$19*$C275+PM_Angle!$L$19*$B275</f>
      </c>
      <c r="AI275" s="12">
        <f>IF(AH275&gt;0,IF(AH275&lt;=eco,alpha*fck*(1-(1-AH275/eco)^n),alpha*fck),0)</f>
      </c>
      <c r="AJ275" s="30">
        <f>PM_Angle!$J$20+PM_Angle!$K$20*$C275+PM_Angle!$L$20*$B275</f>
      </c>
      <c r="AK275" s="12">
        <f>IF(AJ275&gt;0,IF(AJ275&lt;=eco,alpha*fck*(1-(1-AJ275/eco)^n),alpha*fck),0)</f>
      </c>
      <c r="AL275" s="30">
        <f>PM_Angle!$J$21+PM_Angle!$K$21*$C275+PM_Angle!$L$21*$B275</f>
      </c>
      <c r="AM275" s="12">
        <f>IF(AL275&gt;0,IF(AL275&lt;=eco,alpha*fck*(1-(1-AL275/eco)^n),alpha*fck),0)</f>
      </c>
      <c r="AN275" s="30">
        <f>PM_Angle!$J$22+PM_Angle!$K$22*$C275+PM_Angle!$L$22*$B275</f>
      </c>
      <c r="AO275" s="12">
        <f>IF(AN275&gt;0,IF(AN275&lt;=eco,alpha*fck*(1-(1-AN275/eco)^n),alpha*fck),0)</f>
      </c>
      <c r="AP275" s="30">
        <f>PM_Angle!$J$23+PM_Angle!$K$23*$C275+PM_Angle!$L$23*$B275</f>
      </c>
      <c r="AQ275" s="12">
        <f>IF(AP275&gt;0,IF(AP275&lt;=eco,alpha*fck*(1-(1-AP275/eco)^n),alpha*fck),0)</f>
      </c>
      <c r="AR275" s="30">
        <f>PM_Angle!$J$24+PM_Angle!$K$24*$C275+PM_Angle!$L$24*$B275</f>
      </c>
      <c r="AS275" s="12">
        <f>IF(AR275&gt;0,IF(AR275&lt;=eco,alpha*fck*(1-(1-AR275/eco)^n),alpha*fck),0)</f>
      </c>
      <c r="AT275" s="30">
        <f>PM_Angle!$J$25+PM_Angle!$K$25*$C275+PM_Angle!$L$25*$B275</f>
      </c>
      <c r="AU275" s="12">
        <f>IF(AT275&gt;0,IF(AT275&lt;=eco,alpha*fck*(1-(1-AT275/eco)^n),alpha*fck),0)</f>
      </c>
    </row>
    <row r="276" spans="1:47" x14ac:dyDescent="0.25">
      <c r="A276">
        <f>Mesh!A273</f>
      </c>
      <c r="B276" s="12">
        <f>Mesh!B273</f>
      </c>
      <c r="C276" s="12">
        <f>Mesh!C273</f>
      </c>
      <c r="D276" s="12">
        <f>Mesh!D273</f>
      </c>
      <c r="E276" s="30">
        <f>INDEX(St_e0,Det+1)+INDEX(St_kx,Det+1)*C276+INDEX(St_ky,Det+1)*B276</f>
      </c>
      <c r="F276" s="12">
        <f>IF(E276&gt;0,IF(E276&lt;=eco,alpha*fck*(1-(1-E276/eco)^n),alpha*fck),0)</f>
      </c>
      <c r="G276" s="11">
        <f>F276*D276</f>
      </c>
      <c r="H276" s="11">
        <f>G276*C276</f>
      </c>
      <c r="I276" s="11">
        <f>G276*B276</f>
      </c>
      <c r="J276" s="30">
        <f>PM_Angle!$J$7+PM_Angle!$K$7*$C276+PM_Angle!$L$7*$B276</f>
      </c>
      <c r="K276" s="12">
        <f>IF(J276&gt;0,IF(J276&lt;=eco,alpha*fck*(1-(1-J276/eco)^n),alpha*fck),0)</f>
      </c>
      <c r="L276" s="30">
        <f>PM_Angle!$J$8+PM_Angle!$K$8*$C276+PM_Angle!$L$8*$B276</f>
      </c>
      <c r="M276" s="12">
        <f>IF(L276&gt;0,IF(L276&lt;=eco,alpha*fck*(1-(1-L276/eco)^n),alpha*fck),0)</f>
      </c>
      <c r="N276" s="30">
        <f>PM_Angle!$J$9+PM_Angle!$K$9*$C276+PM_Angle!$L$9*$B276</f>
      </c>
      <c r="O276" s="12">
        <f>IF(N276&gt;0,IF(N276&lt;=eco,alpha*fck*(1-(1-N276/eco)^n),alpha*fck),0)</f>
      </c>
      <c r="P276" s="30">
        <f>PM_Angle!$J$10+PM_Angle!$K$10*$C276+PM_Angle!$L$10*$B276</f>
      </c>
      <c r="Q276" s="12">
        <f>IF(P276&gt;0,IF(P276&lt;=eco,alpha*fck*(1-(1-P276/eco)^n),alpha*fck),0)</f>
      </c>
      <c r="R276" s="30">
        <f>PM_Angle!$J$11+PM_Angle!$K$11*$C276+PM_Angle!$L$11*$B276</f>
      </c>
      <c r="S276" s="12">
        <f>IF(R276&gt;0,IF(R276&lt;=eco,alpha*fck*(1-(1-R276/eco)^n),alpha*fck),0)</f>
      </c>
      <c r="T276" s="30">
        <f>PM_Angle!$J$12+PM_Angle!$K$12*$C276+PM_Angle!$L$12*$B276</f>
      </c>
      <c r="U276" s="12">
        <f>IF(T276&gt;0,IF(T276&lt;=eco,alpha*fck*(1-(1-T276/eco)^n),alpha*fck),0)</f>
      </c>
      <c r="V276" s="30">
        <f>PM_Angle!$J$13+PM_Angle!$K$13*$C276+PM_Angle!$L$13*$B276</f>
      </c>
      <c r="W276" s="12">
        <f>IF(V276&gt;0,IF(V276&lt;=eco,alpha*fck*(1-(1-V276/eco)^n),alpha*fck),0)</f>
      </c>
      <c r="X276" s="30">
        <f>PM_Angle!$J$14+PM_Angle!$K$14*$C276+PM_Angle!$L$14*$B276</f>
      </c>
      <c r="Y276" s="12">
        <f>IF(X276&gt;0,IF(X276&lt;=eco,alpha*fck*(1-(1-X276/eco)^n),alpha*fck),0)</f>
      </c>
      <c r="Z276" s="30">
        <f>PM_Angle!$J$15+PM_Angle!$K$15*$C276+PM_Angle!$L$15*$B276</f>
      </c>
      <c r="AA276" s="12">
        <f>IF(Z276&gt;0,IF(Z276&lt;=eco,alpha*fck*(1-(1-Z276/eco)^n),alpha*fck),0)</f>
      </c>
      <c r="AB276" s="30">
        <f>PM_Angle!$J$16+PM_Angle!$K$16*$C276+PM_Angle!$L$16*$B276</f>
      </c>
      <c r="AC276" s="12">
        <f>IF(AB276&gt;0,IF(AB276&lt;=eco,alpha*fck*(1-(1-AB276/eco)^n),alpha*fck),0)</f>
      </c>
      <c r="AD276" s="30">
        <f>PM_Angle!$J$17+PM_Angle!$K$17*$C276+PM_Angle!$L$17*$B276</f>
      </c>
      <c r="AE276" s="12">
        <f>IF(AD276&gt;0,IF(AD276&lt;=eco,alpha*fck*(1-(1-AD276/eco)^n),alpha*fck),0)</f>
      </c>
      <c r="AF276" s="30">
        <f>PM_Angle!$J$18+PM_Angle!$K$18*$C276+PM_Angle!$L$18*$B276</f>
      </c>
      <c r="AG276" s="12">
        <f>IF(AF276&gt;0,IF(AF276&lt;=eco,alpha*fck*(1-(1-AF276/eco)^n),alpha*fck),0)</f>
      </c>
      <c r="AH276" s="30">
        <f>PM_Angle!$J$19+PM_Angle!$K$19*$C276+PM_Angle!$L$19*$B276</f>
      </c>
      <c r="AI276" s="12">
        <f>IF(AH276&gt;0,IF(AH276&lt;=eco,alpha*fck*(1-(1-AH276/eco)^n),alpha*fck),0)</f>
      </c>
      <c r="AJ276" s="30">
        <f>PM_Angle!$J$20+PM_Angle!$K$20*$C276+PM_Angle!$L$20*$B276</f>
      </c>
      <c r="AK276" s="12">
        <f>IF(AJ276&gt;0,IF(AJ276&lt;=eco,alpha*fck*(1-(1-AJ276/eco)^n),alpha*fck),0)</f>
      </c>
      <c r="AL276" s="30">
        <f>PM_Angle!$J$21+PM_Angle!$K$21*$C276+PM_Angle!$L$21*$B276</f>
      </c>
      <c r="AM276" s="12">
        <f>IF(AL276&gt;0,IF(AL276&lt;=eco,alpha*fck*(1-(1-AL276/eco)^n),alpha*fck),0)</f>
      </c>
      <c r="AN276" s="30">
        <f>PM_Angle!$J$22+PM_Angle!$K$22*$C276+PM_Angle!$L$22*$B276</f>
      </c>
      <c r="AO276" s="12">
        <f>IF(AN276&gt;0,IF(AN276&lt;=eco,alpha*fck*(1-(1-AN276/eco)^n),alpha*fck),0)</f>
      </c>
      <c r="AP276" s="30">
        <f>PM_Angle!$J$23+PM_Angle!$K$23*$C276+PM_Angle!$L$23*$B276</f>
      </c>
      <c r="AQ276" s="12">
        <f>IF(AP276&gt;0,IF(AP276&lt;=eco,alpha*fck*(1-(1-AP276/eco)^n),alpha*fck),0)</f>
      </c>
      <c r="AR276" s="30">
        <f>PM_Angle!$J$24+PM_Angle!$K$24*$C276+PM_Angle!$L$24*$B276</f>
      </c>
      <c r="AS276" s="12">
        <f>IF(AR276&gt;0,IF(AR276&lt;=eco,alpha*fck*(1-(1-AR276/eco)^n),alpha*fck),0)</f>
      </c>
      <c r="AT276" s="30">
        <f>PM_Angle!$J$25+PM_Angle!$K$25*$C276+PM_Angle!$L$25*$B276</f>
      </c>
      <c r="AU276" s="12">
        <f>IF(AT276&gt;0,IF(AT276&lt;=eco,alpha*fck*(1-(1-AT276/eco)^n),alpha*fck),0)</f>
      </c>
    </row>
    <row r="277" spans="1:47" x14ac:dyDescent="0.25">
      <c r="A277">
        <f>Mesh!A274</f>
      </c>
      <c r="B277" s="12">
        <f>Mesh!B274</f>
      </c>
      <c r="C277" s="12">
        <f>Mesh!C274</f>
      </c>
      <c r="D277" s="12">
        <f>Mesh!D274</f>
      </c>
      <c r="E277" s="30">
        <f>INDEX(St_e0,Det+1)+INDEX(St_kx,Det+1)*C277+INDEX(St_ky,Det+1)*B277</f>
      </c>
      <c r="F277" s="12">
        <f>IF(E277&gt;0,IF(E277&lt;=eco,alpha*fck*(1-(1-E277/eco)^n),alpha*fck),0)</f>
      </c>
      <c r="G277" s="11">
        <f>F277*D277</f>
      </c>
      <c r="H277" s="11">
        <f>G277*C277</f>
      </c>
      <c r="I277" s="11">
        <f>G277*B277</f>
      </c>
      <c r="J277" s="30">
        <f>PM_Angle!$J$7+PM_Angle!$K$7*$C277+PM_Angle!$L$7*$B277</f>
      </c>
      <c r="K277" s="12">
        <f>IF(J277&gt;0,IF(J277&lt;=eco,alpha*fck*(1-(1-J277/eco)^n),alpha*fck),0)</f>
      </c>
      <c r="L277" s="30">
        <f>PM_Angle!$J$8+PM_Angle!$K$8*$C277+PM_Angle!$L$8*$B277</f>
      </c>
      <c r="M277" s="12">
        <f>IF(L277&gt;0,IF(L277&lt;=eco,alpha*fck*(1-(1-L277/eco)^n),alpha*fck),0)</f>
      </c>
      <c r="N277" s="30">
        <f>PM_Angle!$J$9+PM_Angle!$K$9*$C277+PM_Angle!$L$9*$B277</f>
      </c>
      <c r="O277" s="12">
        <f>IF(N277&gt;0,IF(N277&lt;=eco,alpha*fck*(1-(1-N277/eco)^n),alpha*fck),0)</f>
      </c>
      <c r="P277" s="30">
        <f>PM_Angle!$J$10+PM_Angle!$K$10*$C277+PM_Angle!$L$10*$B277</f>
      </c>
      <c r="Q277" s="12">
        <f>IF(P277&gt;0,IF(P277&lt;=eco,alpha*fck*(1-(1-P277/eco)^n),alpha*fck),0)</f>
      </c>
      <c r="R277" s="30">
        <f>PM_Angle!$J$11+PM_Angle!$K$11*$C277+PM_Angle!$L$11*$B277</f>
      </c>
      <c r="S277" s="12">
        <f>IF(R277&gt;0,IF(R277&lt;=eco,alpha*fck*(1-(1-R277/eco)^n),alpha*fck),0)</f>
      </c>
      <c r="T277" s="30">
        <f>PM_Angle!$J$12+PM_Angle!$K$12*$C277+PM_Angle!$L$12*$B277</f>
      </c>
      <c r="U277" s="12">
        <f>IF(T277&gt;0,IF(T277&lt;=eco,alpha*fck*(1-(1-T277/eco)^n),alpha*fck),0)</f>
      </c>
      <c r="V277" s="30">
        <f>PM_Angle!$J$13+PM_Angle!$K$13*$C277+PM_Angle!$L$13*$B277</f>
      </c>
      <c r="W277" s="12">
        <f>IF(V277&gt;0,IF(V277&lt;=eco,alpha*fck*(1-(1-V277/eco)^n),alpha*fck),0)</f>
      </c>
      <c r="X277" s="30">
        <f>PM_Angle!$J$14+PM_Angle!$K$14*$C277+PM_Angle!$L$14*$B277</f>
      </c>
      <c r="Y277" s="12">
        <f>IF(X277&gt;0,IF(X277&lt;=eco,alpha*fck*(1-(1-X277/eco)^n),alpha*fck),0)</f>
      </c>
      <c r="Z277" s="30">
        <f>PM_Angle!$J$15+PM_Angle!$K$15*$C277+PM_Angle!$L$15*$B277</f>
      </c>
      <c r="AA277" s="12">
        <f>IF(Z277&gt;0,IF(Z277&lt;=eco,alpha*fck*(1-(1-Z277/eco)^n),alpha*fck),0)</f>
      </c>
      <c r="AB277" s="30">
        <f>PM_Angle!$J$16+PM_Angle!$K$16*$C277+PM_Angle!$L$16*$B277</f>
      </c>
      <c r="AC277" s="12">
        <f>IF(AB277&gt;0,IF(AB277&lt;=eco,alpha*fck*(1-(1-AB277/eco)^n),alpha*fck),0)</f>
      </c>
      <c r="AD277" s="30">
        <f>PM_Angle!$J$17+PM_Angle!$K$17*$C277+PM_Angle!$L$17*$B277</f>
      </c>
      <c r="AE277" s="12">
        <f>IF(AD277&gt;0,IF(AD277&lt;=eco,alpha*fck*(1-(1-AD277/eco)^n),alpha*fck),0)</f>
      </c>
      <c r="AF277" s="30">
        <f>PM_Angle!$J$18+PM_Angle!$K$18*$C277+PM_Angle!$L$18*$B277</f>
      </c>
      <c r="AG277" s="12">
        <f>IF(AF277&gt;0,IF(AF277&lt;=eco,alpha*fck*(1-(1-AF277/eco)^n),alpha*fck),0)</f>
      </c>
      <c r="AH277" s="30">
        <f>PM_Angle!$J$19+PM_Angle!$K$19*$C277+PM_Angle!$L$19*$B277</f>
      </c>
      <c r="AI277" s="12">
        <f>IF(AH277&gt;0,IF(AH277&lt;=eco,alpha*fck*(1-(1-AH277/eco)^n),alpha*fck),0)</f>
      </c>
      <c r="AJ277" s="30">
        <f>PM_Angle!$J$20+PM_Angle!$K$20*$C277+PM_Angle!$L$20*$B277</f>
      </c>
      <c r="AK277" s="12">
        <f>IF(AJ277&gt;0,IF(AJ277&lt;=eco,alpha*fck*(1-(1-AJ277/eco)^n),alpha*fck),0)</f>
      </c>
      <c r="AL277" s="30">
        <f>PM_Angle!$J$21+PM_Angle!$K$21*$C277+PM_Angle!$L$21*$B277</f>
      </c>
      <c r="AM277" s="12">
        <f>IF(AL277&gt;0,IF(AL277&lt;=eco,alpha*fck*(1-(1-AL277/eco)^n),alpha*fck),0)</f>
      </c>
      <c r="AN277" s="30">
        <f>PM_Angle!$J$22+PM_Angle!$K$22*$C277+PM_Angle!$L$22*$B277</f>
      </c>
      <c r="AO277" s="12">
        <f>IF(AN277&gt;0,IF(AN277&lt;=eco,alpha*fck*(1-(1-AN277/eco)^n),alpha*fck),0)</f>
      </c>
      <c r="AP277" s="30">
        <f>PM_Angle!$J$23+PM_Angle!$K$23*$C277+PM_Angle!$L$23*$B277</f>
      </c>
      <c r="AQ277" s="12">
        <f>IF(AP277&gt;0,IF(AP277&lt;=eco,alpha*fck*(1-(1-AP277/eco)^n),alpha*fck),0)</f>
      </c>
      <c r="AR277" s="30">
        <f>PM_Angle!$J$24+PM_Angle!$K$24*$C277+PM_Angle!$L$24*$B277</f>
      </c>
      <c r="AS277" s="12">
        <f>IF(AR277&gt;0,IF(AR277&lt;=eco,alpha*fck*(1-(1-AR277/eco)^n),alpha*fck),0)</f>
      </c>
      <c r="AT277" s="30">
        <f>PM_Angle!$J$25+PM_Angle!$K$25*$C277+PM_Angle!$L$25*$B277</f>
      </c>
      <c r="AU277" s="12">
        <f>IF(AT277&gt;0,IF(AT277&lt;=eco,alpha*fck*(1-(1-AT277/eco)^n),alpha*fck),0)</f>
      </c>
    </row>
    <row r="278" spans="1:47" x14ac:dyDescent="0.25">
      <c r="A278">
        <f>Mesh!A275</f>
      </c>
      <c r="B278" s="12">
        <f>Mesh!B275</f>
      </c>
      <c r="C278" s="12">
        <f>Mesh!C275</f>
      </c>
      <c r="D278" s="12">
        <f>Mesh!D275</f>
      </c>
      <c r="E278" s="30">
        <f>INDEX(St_e0,Det+1)+INDEX(St_kx,Det+1)*C278+INDEX(St_ky,Det+1)*B278</f>
      </c>
      <c r="F278" s="12">
        <f>IF(E278&gt;0,IF(E278&lt;=eco,alpha*fck*(1-(1-E278/eco)^n),alpha*fck),0)</f>
      </c>
      <c r="G278" s="11">
        <f>F278*D278</f>
      </c>
      <c r="H278" s="11">
        <f>G278*C278</f>
      </c>
      <c r="I278" s="11">
        <f>G278*B278</f>
      </c>
      <c r="J278" s="30">
        <f>PM_Angle!$J$7+PM_Angle!$K$7*$C278+PM_Angle!$L$7*$B278</f>
      </c>
      <c r="K278" s="12">
        <f>IF(J278&gt;0,IF(J278&lt;=eco,alpha*fck*(1-(1-J278/eco)^n),alpha*fck),0)</f>
      </c>
      <c r="L278" s="30">
        <f>PM_Angle!$J$8+PM_Angle!$K$8*$C278+PM_Angle!$L$8*$B278</f>
      </c>
      <c r="M278" s="12">
        <f>IF(L278&gt;0,IF(L278&lt;=eco,alpha*fck*(1-(1-L278/eco)^n),alpha*fck),0)</f>
      </c>
      <c r="N278" s="30">
        <f>PM_Angle!$J$9+PM_Angle!$K$9*$C278+PM_Angle!$L$9*$B278</f>
      </c>
      <c r="O278" s="12">
        <f>IF(N278&gt;0,IF(N278&lt;=eco,alpha*fck*(1-(1-N278/eco)^n),alpha*fck),0)</f>
      </c>
      <c r="P278" s="30">
        <f>PM_Angle!$J$10+PM_Angle!$K$10*$C278+PM_Angle!$L$10*$B278</f>
      </c>
      <c r="Q278" s="12">
        <f>IF(P278&gt;0,IF(P278&lt;=eco,alpha*fck*(1-(1-P278/eco)^n),alpha*fck),0)</f>
      </c>
      <c r="R278" s="30">
        <f>PM_Angle!$J$11+PM_Angle!$K$11*$C278+PM_Angle!$L$11*$B278</f>
      </c>
      <c r="S278" s="12">
        <f>IF(R278&gt;0,IF(R278&lt;=eco,alpha*fck*(1-(1-R278/eco)^n),alpha*fck),0)</f>
      </c>
      <c r="T278" s="30">
        <f>PM_Angle!$J$12+PM_Angle!$K$12*$C278+PM_Angle!$L$12*$B278</f>
      </c>
      <c r="U278" s="12">
        <f>IF(T278&gt;0,IF(T278&lt;=eco,alpha*fck*(1-(1-T278/eco)^n),alpha*fck),0)</f>
      </c>
      <c r="V278" s="30">
        <f>PM_Angle!$J$13+PM_Angle!$K$13*$C278+PM_Angle!$L$13*$B278</f>
      </c>
      <c r="W278" s="12">
        <f>IF(V278&gt;0,IF(V278&lt;=eco,alpha*fck*(1-(1-V278/eco)^n),alpha*fck),0)</f>
      </c>
      <c r="X278" s="30">
        <f>PM_Angle!$J$14+PM_Angle!$K$14*$C278+PM_Angle!$L$14*$B278</f>
      </c>
      <c r="Y278" s="12">
        <f>IF(X278&gt;0,IF(X278&lt;=eco,alpha*fck*(1-(1-X278/eco)^n),alpha*fck),0)</f>
      </c>
      <c r="Z278" s="30">
        <f>PM_Angle!$J$15+PM_Angle!$K$15*$C278+PM_Angle!$L$15*$B278</f>
      </c>
      <c r="AA278" s="12">
        <f>IF(Z278&gt;0,IF(Z278&lt;=eco,alpha*fck*(1-(1-Z278/eco)^n),alpha*fck),0)</f>
      </c>
      <c r="AB278" s="30">
        <f>PM_Angle!$J$16+PM_Angle!$K$16*$C278+PM_Angle!$L$16*$B278</f>
      </c>
      <c r="AC278" s="12">
        <f>IF(AB278&gt;0,IF(AB278&lt;=eco,alpha*fck*(1-(1-AB278/eco)^n),alpha*fck),0)</f>
      </c>
      <c r="AD278" s="30">
        <f>PM_Angle!$J$17+PM_Angle!$K$17*$C278+PM_Angle!$L$17*$B278</f>
      </c>
      <c r="AE278" s="12">
        <f>IF(AD278&gt;0,IF(AD278&lt;=eco,alpha*fck*(1-(1-AD278/eco)^n),alpha*fck),0)</f>
      </c>
      <c r="AF278" s="30">
        <f>PM_Angle!$J$18+PM_Angle!$K$18*$C278+PM_Angle!$L$18*$B278</f>
      </c>
      <c r="AG278" s="12">
        <f>IF(AF278&gt;0,IF(AF278&lt;=eco,alpha*fck*(1-(1-AF278/eco)^n),alpha*fck),0)</f>
      </c>
      <c r="AH278" s="30">
        <f>PM_Angle!$J$19+PM_Angle!$K$19*$C278+PM_Angle!$L$19*$B278</f>
      </c>
      <c r="AI278" s="12">
        <f>IF(AH278&gt;0,IF(AH278&lt;=eco,alpha*fck*(1-(1-AH278/eco)^n),alpha*fck),0)</f>
      </c>
      <c r="AJ278" s="30">
        <f>PM_Angle!$J$20+PM_Angle!$K$20*$C278+PM_Angle!$L$20*$B278</f>
      </c>
      <c r="AK278" s="12">
        <f>IF(AJ278&gt;0,IF(AJ278&lt;=eco,alpha*fck*(1-(1-AJ278/eco)^n),alpha*fck),0)</f>
      </c>
      <c r="AL278" s="30">
        <f>PM_Angle!$J$21+PM_Angle!$K$21*$C278+PM_Angle!$L$21*$B278</f>
      </c>
      <c r="AM278" s="12">
        <f>IF(AL278&gt;0,IF(AL278&lt;=eco,alpha*fck*(1-(1-AL278/eco)^n),alpha*fck),0)</f>
      </c>
      <c r="AN278" s="30">
        <f>PM_Angle!$J$22+PM_Angle!$K$22*$C278+PM_Angle!$L$22*$B278</f>
      </c>
      <c r="AO278" s="12">
        <f>IF(AN278&gt;0,IF(AN278&lt;=eco,alpha*fck*(1-(1-AN278/eco)^n),alpha*fck),0)</f>
      </c>
      <c r="AP278" s="30">
        <f>PM_Angle!$J$23+PM_Angle!$K$23*$C278+PM_Angle!$L$23*$B278</f>
      </c>
      <c r="AQ278" s="12">
        <f>IF(AP278&gt;0,IF(AP278&lt;=eco,alpha*fck*(1-(1-AP278/eco)^n),alpha*fck),0)</f>
      </c>
      <c r="AR278" s="30">
        <f>PM_Angle!$J$24+PM_Angle!$K$24*$C278+PM_Angle!$L$24*$B278</f>
      </c>
      <c r="AS278" s="12">
        <f>IF(AR278&gt;0,IF(AR278&lt;=eco,alpha*fck*(1-(1-AR278/eco)^n),alpha*fck),0)</f>
      </c>
      <c r="AT278" s="30">
        <f>PM_Angle!$J$25+PM_Angle!$K$25*$C278+PM_Angle!$L$25*$B278</f>
      </c>
      <c r="AU278" s="12">
        <f>IF(AT278&gt;0,IF(AT278&lt;=eco,alpha*fck*(1-(1-AT278/eco)^n),alpha*fck),0)</f>
      </c>
    </row>
    <row r="279" spans="1:47" x14ac:dyDescent="0.25">
      <c r="A279">
        <f>Mesh!A276</f>
      </c>
      <c r="B279" s="12">
        <f>Mesh!B276</f>
      </c>
      <c r="C279" s="12">
        <f>Mesh!C276</f>
      </c>
      <c r="D279" s="12">
        <f>Mesh!D276</f>
      </c>
      <c r="E279" s="30">
        <f>INDEX(St_e0,Det+1)+INDEX(St_kx,Det+1)*C279+INDEX(St_ky,Det+1)*B279</f>
      </c>
      <c r="F279" s="12">
        <f>IF(E279&gt;0,IF(E279&lt;=eco,alpha*fck*(1-(1-E279/eco)^n),alpha*fck),0)</f>
      </c>
      <c r="G279" s="11">
        <f>F279*D279</f>
      </c>
      <c r="H279" s="11">
        <f>G279*C279</f>
      </c>
      <c r="I279" s="11">
        <f>G279*B279</f>
      </c>
      <c r="J279" s="30">
        <f>PM_Angle!$J$7+PM_Angle!$K$7*$C279+PM_Angle!$L$7*$B279</f>
      </c>
      <c r="K279" s="12">
        <f>IF(J279&gt;0,IF(J279&lt;=eco,alpha*fck*(1-(1-J279/eco)^n),alpha*fck),0)</f>
      </c>
      <c r="L279" s="30">
        <f>PM_Angle!$J$8+PM_Angle!$K$8*$C279+PM_Angle!$L$8*$B279</f>
      </c>
      <c r="M279" s="12">
        <f>IF(L279&gt;0,IF(L279&lt;=eco,alpha*fck*(1-(1-L279/eco)^n),alpha*fck),0)</f>
      </c>
      <c r="N279" s="30">
        <f>PM_Angle!$J$9+PM_Angle!$K$9*$C279+PM_Angle!$L$9*$B279</f>
      </c>
      <c r="O279" s="12">
        <f>IF(N279&gt;0,IF(N279&lt;=eco,alpha*fck*(1-(1-N279/eco)^n),alpha*fck),0)</f>
      </c>
      <c r="P279" s="30">
        <f>PM_Angle!$J$10+PM_Angle!$K$10*$C279+PM_Angle!$L$10*$B279</f>
      </c>
      <c r="Q279" s="12">
        <f>IF(P279&gt;0,IF(P279&lt;=eco,alpha*fck*(1-(1-P279/eco)^n),alpha*fck),0)</f>
      </c>
      <c r="R279" s="30">
        <f>PM_Angle!$J$11+PM_Angle!$K$11*$C279+PM_Angle!$L$11*$B279</f>
      </c>
      <c r="S279" s="12">
        <f>IF(R279&gt;0,IF(R279&lt;=eco,alpha*fck*(1-(1-R279/eco)^n),alpha*fck),0)</f>
      </c>
      <c r="T279" s="30">
        <f>PM_Angle!$J$12+PM_Angle!$K$12*$C279+PM_Angle!$L$12*$B279</f>
      </c>
      <c r="U279" s="12">
        <f>IF(T279&gt;0,IF(T279&lt;=eco,alpha*fck*(1-(1-T279/eco)^n),alpha*fck),0)</f>
      </c>
      <c r="V279" s="30">
        <f>PM_Angle!$J$13+PM_Angle!$K$13*$C279+PM_Angle!$L$13*$B279</f>
      </c>
      <c r="W279" s="12">
        <f>IF(V279&gt;0,IF(V279&lt;=eco,alpha*fck*(1-(1-V279/eco)^n),alpha*fck),0)</f>
      </c>
      <c r="X279" s="30">
        <f>PM_Angle!$J$14+PM_Angle!$K$14*$C279+PM_Angle!$L$14*$B279</f>
      </c>
      <c r="Y279" s="12">
        <f>IF(X279&gt;0,IF(X279&lt;=eco,alpha*fck*(1-(1-X279/eco)^n),alpha*fck),0)</f>
      </c>
      <c r="Z279" s="30">
        <f>PM_Angle!$J$15+PM_Angle!$K$15*$C279+PM_Angle!$L$15*$B279</f>
      </c>
      <c r="AA279" s="12">
        <f>IF(Z279&gt;0,IF(Z279&lt;=eco,alpha*fck*(1-(1-Z279/eco)^n),alpha*fck),0)</f>
      </c>
      <c r="AB279" s="30">
        <f>PM_Angle!$J$16+PM_Angle!$K$16*$C279+PM_Angle!$L$16*$B279</f>
      </c>
      <c r="AC279" s="12">
        <f>IF(AB279&gt;0,IF(AB279&lt;=eco,alpha*fck*(1-(1-AB279/eco)^n),alpha*fck),0)</f>
      </c>
      <c r="AD279" s="30">
        <f>PM_Angle!$J$17+PM_Angle!$K$17*$C279+PM_Angle!$L$17*$B279</f>
      </c>
      <c r="AE279" s="12">
        <f>IF(AD279&gt;0,IF(AD279&lt;=eco,alpha*fck*(1-(1-AD279/eco)^n),alpha*fck),0)</f>
      </c>
      <c r="AF279" s="30">
        <f>PM_Angle!$J$18+PM_Angle!$K$18*$C279+PM_Angle!$L$18*$B279</f>
      </c>
      <c r="AG279" s="12">
        <f>IF(AF279&gt;0,IF(AF279&lt;=eco,alpha*fck*(1-(1-AF279/eco)^n),alpha*fck),0)</f>
      </c>
      <c r="AH279" s="30">
        <f>PM_Angle!$J$19+PM_Angle!$K$19*$C279+PM_Angle!$L$19*$B279</f>
      </c>
      <c r="AI279" s="12">
        <f>IF(AH279&gt;0,IF(AH279&lt;=eco,alpha*fck*(1-(1-AH279/eco)^n),alpha*fck),0)</f>
      </c>
      <c r="AJ279" s="30">
        <f>PM_Angle!$J$20+PM_Angle!$K$20*$C279+PM_Angle!$L$20*$B279</f>
      </c>
      <c r="AK279" s="12">
        <f>IF(AJ279&gt;0,IF(AJ279&lt;=eco,alpha*fck*(1-(1-AJ279/eco)^n),alpha*fck),0)</f>
      </c>
      <c r="AL279" s="30">
        <f>PM_Angle!$J$21+PM_Angle!$K$21*$C279+PM_Angle!$L$21*$B279</f>
      </c>
      <c r="AM279" s="12">
        <f>IF(AL279&gt;0,IF(AL279&lt;=eco,alpha*fck*(1-(1-AL279/eco)^n),alpha*fck),0)</f>
      </c>
      <c r="AN279" s="30">
        <f>PM_Angle!$J$22+PM_Angle!$K$22*$C279+PM_Angle!$L$22*$B279</f>
      </c>
      <c r="AO279" s="12">
        <f>IF(AN279&gt;0,IF(AN279&lt;=eco,alpha*fck*(1-(1-AN279/eco)^n),alpha*fck),0)</f>
      </c>
      <c r="AP279" s="30">
        <f>PM_Angle!$J$23+PM_Angle!$K$23*$C279+PM_Angle!$L$23*$B279</f>
      </c>
      <c r="AQ279" s="12">
        <f>IF(AP279&gt;0,IF(AP279&lt;=eco,alpha*fck*(1-(1-AP279/eco)^n),alpha*fck),0)</f>
      </c>
      <c r="AR279" s="30">
        <f>PM_Angle!$J$24+PM_Angle!$K$24*$C279+PM_Angle!$L$24*$B279</f>
      </c>
      <c r="AS279" s="12">
        <f>IF(AR279&gt;0,IF(AR279&lt;=eco,alpha*fck*(1-(1-AR279/eco)^n),alpha*fck),0)</f>
      </c>
      <c r="AT279" s="30">
        <f>PM_Angle!$J$25+PM_Angle!$K$25*$C279+PM_Angle!$L$25*$B279</f>
      </c>
      <c r="AU279" s="12">
        <f>IF(AT279&gt;0,IF(AT279&lt;=eco,alpha*fck*(1-(1-AT279/eco)^n),alpha*fck),0)</f>
      </c>
    </row>
    <row r="280" spans="1:47" x14ac:dyDescent="0.25">
      <c r="A280">
        <f>Mesh!A277</f>
      </c>
      <c r="B280" s="12">
        <f>Mesh!B277</f>
      </c>
      <c r="C280" s="12">
        <f>Mesh!C277</f>
      </c>
      <c r="D280" s="12">
        <f>Mesh!D277</f>
      </c>
      <c r="E280" s="30">
        <f>INDEX(St_e0,Det+1)+INDEX(St_kx,Det+1)*C280+INDEX(St_ky,Det+1)*B280</f>
      </c>
      <c r="F280" s="12">
        <f>IF(E280&gt;0,IF(E280&lt;=eco,alpha*fck*(1-(1-E280/eco)^n),alpha*fck),0)</f>
      </c>
      <c r="G280" s="11">
        <f>F280*D280</f>
      </c>
      <c r="H280" s="11">
        <f>G280*C280</f>
      </c>
      <c r="I280" s="11">
        <f>G280*B280</f>
      </c>
      <c r="J280" s="30">
        <f>PM_Angle!$J$7+PM_Angle!$K$7*$C280+PM_Angle!$L$7*$B280</f>
      </c>
      <c r="K280" s="12">
        <f>IF(J280&gt;0,IF(J280&lt;=eco,alpha*fck*(1-(1-J280/eco)^n),alpha*fck),0)</f>
      </c>
      <c r="L280" s="30">
        <f>PM_Angle!$J$8+PM_Angle!$K$8*$C280+PM_Angle!$L$8*$B280</f>
      </c>
      <c r="M280" s="12">
        <f>IF(L280&gt;0,IF(L280&lt;=eco,alpha*fck*(1-(1-L280/eco)^n),alpha*fck),0)</f>
      </c>
      <c r="N280" s="30">
        <f>PM_Angle!$J$9+PM_Angle!$K$9*$C280+PM_Angle!$L$9*$B280</f>
      </c>
      <c r="O280" s="12">
        <f>IF(N280&gt;0,IF(N280&lt;=eco,alpha*fck*(1-(1-N280/eco)^n),alpha*fck),0)</f>
      </c>
      <c r="P280" s="30">
        <f>PM_Angle!$J$10+PM_Angle!$K$10*$C280+PM_Angle!$L$10*$B280</f>
      </c>
      <c r="Q280" s="12">
        <f>IF(P280&gt;0,IF(P280&lt;=eco,alpha*fck*(1-(1-P280/eco)^n),alpha*fck),0)</f>
      </c>
      <c r="R280" s="30">
        <f>PM_Angle!$J$11+PM_Angle!$K$11*$C280+PM_Angle!$L$11*$B280</f>
      </c>
      <c r="S280" s="12">
        <f>IF(R280&gt;0,IF(R280&lt;=eco,alpha*fck*(1-(1-R280/eco)^n),alpha*fck),0)</f>
      </c>
      <c r="T280" s="30">
        <f>PM_Angle!$J$12+PM_Angle!$K$12*$C280+PM_Angle!$L$12*$B280</f>
      </c>
      <c r="U280" s="12">
        <f>IF(T280&gt;0,IF(T280&lt;=eco,alpha*fck*(1-(1-T280/eco)^n),alpha*fck),0)</f>
      </c>
      <c r="V280" s="30">
        <f>PM_Angle!$J$13+PM_Angle!$K$13*$C280+PM_Angle!$L$13*$B280</f>
      </c>
      <c r="W280" s="12">
        <f>IF(V280&gt;0,IF(V280&lt;=eco,alpha*fck*(1-(1-V280/eco)^n),alpha*fck),0)</f>
      </c>
      <c r="X280" s="30">
        <f>PM_Angle!$J$14+PM_Angle!$K$14*$C280+PM_Angle!$L$14*$B280</f>
      </c>
      <c r="Y280" s="12">
        <f>IF(X280&gt;0,IF(X280&lt;=eco,alpha*fck*(1-(1-X280/eco)^n),alpha*fck),0)</f>
      </c>
      <c r="Z280" s="30">
        <f>PM_Angle!$J$15+PM_Angle!$K$15*$C280+PM_Angle!$L$15*$B280</f>
      </c>
      <c r="AA280" s="12">
        <f>IF(Z280&gt;0,IF(Z280&lt;=eco,alpha*fck*(1-(1-Z280/eco)^n),alpha*fck),0)</f>
      </c>
      <c r="AB280" s="30">
        <f>PM_Angle!$J$16+PM_Angle!$K$16*$C280+PM_Angle!$L$16*$B280</f>
      </c>
      <c r="AC280" s="12">
        <f>IF(AB280&gt;0,IF(AB280&lt;=eco,alpha*fck*(1-(1-AB280/eco)^n),alpha*fck),0)</f>
      </c>
      <c r="AD280" s="30">
        <f>PM_Angle!$J$17+PM_Angle!$K$17*$C280+PM_Angle!$L$17*$B280</f>
      </c>
      <c r="AE280" s="12">
        <f>IF(AD280&gt;0,IF(AD280&lt;=eco,alpha*fck*(1-(1-AD280/eco)^n),alpha*fck),0)</f>
      </c>
      <c r="AF280" s="30">
        <f>PM_Angle!$J$18+PM_Angle!$K$18*$C280+PM_Angle!$L$18*$B280</f>
      </c>
      <c r="AG280" s="12">
        <f>IF(AF280&gt;0,IF(AF280&lt;=eco,alpha*fck*(1-(1-AF280/eco)^n),alpha*fck),0)</f>
      </c>
      <c r="AH280" s="30">
        <f>PM_Angle!$J$19+PM_Angle!$K$19*$C280+PM_Angle!$L$19*$B280</f>
      </c>
      <c r="AI280" s="12">
        <f>IF(AH280&gt;0,IF(AH280&lt;=eco,alpha*fck*(1-(1-AH280/eco)^n),alpha*fck),0)</f>
      </c>
      <c r="AJ280" s="30">
        <f>PM_Angle!$J$20+PM_Angle!$K$20*$C280+PM_Angle!$L$20*$B280</f>
      </c>
      <c r="AK280" s="12">
        <f>IF(AJ280&gt;0,IF(AJ280&lt;=eco,alpha*fck*(1-(1-AJ280/eco)^n),alpha*fck),0)</f>
      </c>
      <c r="AL280" s="30">
        <f>PM_Angle!$J$21+PM_Angle!$K$21*$C280+PM_Angle!$L$21*$B280</f>
      </c>
      <c r="AM280" s="12">
        <f>IF(AL280&gt;0,IF(AL280&lt;=eco,alpha*fck*(1-(1-AL280/eco)^n),alpha*fck),0)</f>
      </c>
      <c r="AN280" s="30">
        <f>PM_Angle!$J$22+PM_Angle!$K$22*$C280+PM_Angle!$L$22*$B280</f>
      </c>
      <c r="AO280" s="12">
        <f>IF(AN280&gt;0,IF(AN280&lt;=eco,alpha*fck*(1-(1-AN280/eco)^n),alpha*fck),0)</f>
      </c>
      <c r="AP280" s="30">
        <f>PM_Angle!$J$23+PM_Angle!$K$23*$C280+PM_Angle!$L$23*$B280</f>
      </c>
      <c r="AQ280" s="12">
        <f>IF(AP280&gt;0,IF(AP280&lt;=eco,alpha*fck*(1-(1-AP280/eco)^n),alpha*fck),0)</f>
      </c>
      <c r="AR280" s="30">
        <f>PM_Angle!$J$24+PM_Angle!$K$24*$C280+PM_Angle!$L$24*$B280</f>
      </c>
      <c r="AS280" s="12">
        <f>IF(AR280&gt;0,IF(AR280&lt;=eco,alpha*fck*(1-(1-AR280/eco)^n),alpha*fck),0)</f>
      </c>
      <c r="AT280" s="30">
        <f>PM_Angle!$J$25+PM_Angle!$K$25*$C280+PM_Angle!$L$25*$B280</f>
      </c>
      <c r="AU280" s="12">
        <f>IF(AT280&gt;0,IF(AT280&lt;=eco,alpha*fck*(1-(1-AT280/eco)^n),alpha*fck),0)</f>
      </c>
    </row>
    <row r="281" spans="1:47" x14ac:dyDescent="0.25">
      <c r="A281">
        <f>Mesh!A278</f>
      </c>
      <c r="B281" s="12">
        <f>Mesh!B278</f>
      </c>
      <c r="C281" s="12">
        <f>Mesh!C278</f>
      </c>
      <c r="D281" s="12">
        <f>Mesh!D278</f>
      </c>
      <c r="E281" s="30">
        <f>INDEX(St_e0,Det+1)+INDEX(St_kx,Det+1)*C281+INDEX(St_ky,Det+1)*B281</f>
      </c>
      <c r="F281" s="12">
        <f>IF(E281&gt;0,IF(E281&lt;=eco,alpha*fck*(1-(1-E281/eco)^n),alpha*fck),0)</f>
      </c>
      <c r="G281" s="11">
        <f>F281*D281</f>
      </c>
      <c r="H281" s="11">
        <f>G281*C281</f>
      </c>
      <c r="I281" s="11">
        <f>G281*B281</f>
      </c>
      <c r="J281" s="30">
        <f>PM_Angle!$J$7+PM_Angle!$K$7*$C281+PM_Angle!$L$7*$B281</f>
      </c>
      <c r="K281" s="12">
        <f>IF(J281&gt;0,IF(J281&lt;=eco,alpha*fck*(1-(1-J281/eco)^n),alpha*fck),0)</f>
      </c>
      <c r="L281" s="30">
        <f>PM_Angle!$J$8+PM_Angle!$K$8*$C281+PM_Angle!$L$8*$B281</f>
      </c>
      <c r="M281" s="12">
        <f>IF(L281&gt;0,IF(L281&lt;=eco,alpha*fck*(1-(1-L281/eco)^n),alpha*fck),0)</f>
      </c>
      <c r="N281" s="30">
        <f>PM_Angle!$J$9+PM_Angle!$K$9*$C281+PM_Angle!$L$9*$B281</f>
      </c>
      <c r="O281" s="12">
        <f>IF(N281&gt;0,IF(N281&lt;=eco,alpha*fck*(1-(1-N281/eco)^n),alpha*fck),0)</f>
      </c>
      <c r="P281" s="30">
        <f>PM_Angle!$J$10+PM_Angle!$K$10*$C281+PM_Angle!$L$10*$B281</f>
      </c>
      <c r="Q281" s="12">
        <f>IF(P281&gt;0,IF(P281&lt;=eco,alpha*fck*(1-(1-P281/eco)^n),alpha*fck),0)</f>
      </c>
      <c r="R281" s="30">
        <f>PM_Angle!$J$11+PM_Angle!$K$11*$C281+PM_Angle!$L$11*$B281</f>
      </c>
      <c r="S281" s="12">
        <f>IF(R281&gt;0,IF(R281&lt;=eco,alpha*fck*(1-(1-R281/eco)^n),alpha*fck),0)</f>
      </c>
      <c r="T281" s="30">
        <f>PM_Angle!$J$12+PM_Angle!$K$12*$C281+PM_Angle!$L$12*$B281</f>
      </c>
      <c r="U281" s="12">
        <f>IF(T281&gt;0,IF(T281&lt;=eco,alpha*fck*(1-(1-T281/eco)^n),alpha*fck),0)</f>
      </c>
      <c r="V281" s="30">
        <f>PM_Angle!$J$13+PM_Angle!$K$13*$C281+PM_Angle!$L$13*$B281</f>
      </c>
      <c r="W281" s="12">
        <f>IF(V281&gt;0,IF(V281&lt;=eco,alpha*fck*(1-(1-V281/eco)^n),alpha*fck),0)</f>
      </c>
      <c r="X281" s="30">
        <f>PM_Angle!$J$14+PM_Angle!$K$14*$C281+PM_Angle!$L$14*$B281</f>
      </c>
      <c r="Y281" s="12">
        <f>IF(X281&gt;0,IF(X281&lt;=eco,alpha*fck*(1-(1-X281/eco)^n),alpha*fck),0)</f>
      </c>
      <c r="Z281" s="30">
        <f>PM_Angle!$J$15+PM_Angle!$K$15*$C281+PM_Angle!$L$15*$B281</f>
      </c>
      <c r="AA281" s="12">
        <f>IF(Z281&gt;0,IF(Z281&lt;=eco,alpha*fck*(1-(1-Z281/eco)^n),alpha*fck),0)</f>
      </c>
      <c r="AB281" s="30">
        <f>PM_Angle!$J$16+PM_Angle!$K$16*$C281+PM_Angle!$L$16*$B281</f>
      </c>
      <c r="AC281" s="12">
        <f>IF(AB281&gt;0,IF(AB281&lt;=eco,alpha*fck*(1-(1-AB281/eco)^n),alpha*fck),0)</f>
      </c>
      <c r="AD281" s="30">
        <f>PM_Angle!$J$17+PM_Angle!$K$17*$C281+PM_Angle!$L$17*$B281</f>
      </c>
      <c r="AE281" s="12">
        <f>IF(AD281&gt;0,IF(AD281&lt;=eco,alpha*fck*(1-(1-AD281/eco)^n),alpha*fck),0)</f>
      </c>
      <c r="AF281" s="30">
        <f>PM_Angle!$J$18+PM_Angle!$K$18*$C281+PM_Angle!$L$18*$B281</f>
      </c>
      <c r="AG281" s="12">
        <f>IF(AF281&gt;0,IF(AF281&lt;=eco,alpha*fck*(1-(1-AF281/eco)^n),alpha*fck),0)</f>
      </c>
      <c r="AH281" s="30">
        <f>PM_Angle!$J$19+PM_Angle!$K$19*$C281+PM_Angle!$L$19*$B281</f>
      </c>
      <c r="AI281" s="12">
        <f>IF(AH281&gt;0,IF(AH281&lt;=eco,alpha*fck*(1-(1-AH281/eco)^n),alpha*fck),0)</f>
      </c>
      <c r="AJ281" s="30">
        <f>PM_Angle!$J$20+PM_Angle!$K$20*$C281+PM_Angle!$L$20*$B281</f>
      </c>
      <c r="AK281" s="12">
        <f>IF(AJ281&gt;0,IF(AJ281&lt;=eco,alpha*fck*(1-(1-AJ281/eco)^n),alpha*fck),0)</f>
      </c>
      <c r="AL281" s="30">
        <f>PM_Angle!$J$21+PM_Angle!$K$21*$C281+PM_Angle!$L$21*$B281</f>
      </c>
      <c r="AM281" s="12">
        <f>IF(AL281&gt;0,IF(AL281&lt;=eco,alpha*fck*(1-(1-AL281/eco)^n),alpha*fck),0)</f>
      </c>
      <c r="AN281" s="30">
        <f>PM_Angle!$J$22+PM_Angle!$K$22*$C281+PM_Angle!$L$22*$B281</f>
      </c>
      <c r="AO281" s="12">
        <f>IF(AN281&gt;0,IF(AN281&lt;=eco,alpha*fck*(1-(1-AN281/eco)^n),alpha*fck),0)</f>
      </c>
      <c r="AP281" s="30">
        <f>PM_Angle!$J$23+PM_Angle!$K$23*$C281+PM_Angle!$L$23*$B281</f>
      </c>
      <c r="AQ281" s="12">
        <f>IF(AP281&gt;0,IF(AP281&lt;=eco,alpha*fck*(1-(1-AP281/eco)^n),alpha*fck),0)</f>
      </c>
      <c r="AR281" s="30">
        <f>PM_Angle!$J$24+PM_Angle!$K$24*$C281+PM_Angle!$L$24*$B281</f>
      </c>
      <c r="AS281" s="12">
        <f>IF(AR281&gt;0,IF(AR281&lt;=eco,alpha*fck*(1-(1-AR281/eco)^n),alpha*fck),0)</f>
      </c>
      <c r="AT281" s="30">
        <f>PM_Angle!$J$25+PM_Angle!$K$25*$C281+PM_Angle!$L$25*$B281</f>
      </c>
      <c r="AU281" s="12">
        <f>IF(AT281&gt;0,IF(AT281&lt;=eco,alpha*fck*(1-(1-AT281/eco)^n),alpha*fck),0)</f>
      </c>
    </row>
    <row r="282" spans="1:47" x14ac:dyDescent="0.25">
      <c r="A282">
        <f>Mesh!A279</f>
      </c>
      <c r="B282" s="12">
        <f>Mesh!B279</f>
      </c>
      <c r="C282" s="12">
        <f>Mesh!C279</f>
      </c>
      <c r="D282" s="12">
        <f>Mesh!D279</f>
      </c>
      <c r="E282" s="30">
        <f>INDEX(St_e0,Det+1)+INDEX(St_kx,Det+1)*C282+INDEX(St_ky,Det+1)*B282</f>
      </c>
      <c r="F282" s="12">
        <f>IF(E282&gt;0,IF(E282&lt;=eco,alpha*fck*(1-(1-E282/eco)^n),alpha*fck),0)</f>
      </c>
      <c r="G282" s="11">
        <f>F282*D282</f>
      </c>
      <c r="H282" s="11">
        <f>G282*C282</f>
      </c>
      <c r="I282" s="11">
        <f>G282*B282</f>
      </c>
      <c r="J282" s="30">
        <f>PM_Angle!$J$7+PM_Angle!$K$7*$C282+PM_Angle!$L$7*$B282</f>
      </c>
      <c r="K282" s="12">
        <f>IF(J282&gt;0,IF(J282&lt;=eco,alpha*fck*(1-(1-J282/eco)^n),alpha*fck),0)</f>
      </c>
      <c r="L282" s="30">
        <f>PM_Angle!$J$8+PM_Angle!$K$8*$C282+PM_Angle!$L$8*$B282</f>
      </c>
      <c r="M282" s="12">
        <f>IF(L282&gt;0,IF(L282&lt;=eco,alpha*fck*(1-(1-L282/eco)^n),alpha*fck),0)</f>
      </c>
      <c r="N282" s="30">
        <f>PM_Angle!$J$9+PM_Angle!$K$9*$C282+PM_Angle!$L$9*$B282</f>
      </c>
      <c r="O282" s="12">
        <f>IF(N282&gt;0,IF(N282&lt;=eco,alpha*fck*(1-(1-N282/eco)^n),alpha*fck),0)</f>
      </c>
      <c r="P282" s="30">
        <f>PM_Angle!$J$10+PM_Angle!$K$10*$C282+PM_Angle!$L$10*$B282</f>
      </c>
      <c r="Q282" s="12">
        <f>IF(P282&gt;0,IF(P282&lt;=eco,alpha*fck*(1-(1-P282/eco)^n),alpha*fck),0)</f>
      </c>
      <c r="R282" s="30">
        <f>PM_Angle!$J$11+PM_Angle!$K$11*$C282+PM_Angle!$L$11*$B282</f>
      </c>
      <c r="S282" s="12">
        <f>IF(R282&gt;0,IF(R282&lt;=eco,alpha*fck*(1-(1-R282/eco)^n),alpha*fck),0)</f>
      </c>
      <c r="T282" s="30">
        <f>PM_Angle!$J$12+PM_Angle!$K$12*$C282+PM_Angle!$L$12*$B282</f>
      </c>
      <c r="U282" s="12">
        <f>IF(T282&gt;0,IF(T282&lt;=eco,alpha*fck*(1-(1-T282/eco)^n),alpha*fck),0)</f>
      </c>
      <c r="V282" s="30">
        <f>PM_Angle!$J$13+PM_Angle!$K$13*$C282+PM_Angle!$L$13*$B282</f>
      </c>
      <c r="W282" s="12">
        <f>IF(V282&gt;0,IF(V282&lt;=eco,alpha*fck*(1-(1-V282/eco)^n),alpha*fck),0)</f>
      </c>
      <c r="X282" s="30">
        <f>PM_Angle!$J$14+PM_Angle!$K$14*$C282+PM_Angle!$L$14*$B282</f>
      </c>
      <c r="Y282" s="12">
        <f>IF(X282&gt;0,IF(X282&lt;=eco,alpha*fck*(1-(1-X282/eco)^n),alpha*fck),0)</f>
      </c>
      <c r="Z282" s="30">
        <f>PM_Angle!$J$15+PM_Angle!$K$15*$C282+PM_Angle!$L$15*$B282</f>
      </c>
      <c r="AA282" s="12">
        <f>IF(Z282&gt;0,IF(Z282&lt;=eco,alpha*fck*(1-(1-Z282/eco)^n),alpha*fck),0)</f>
      </c>
      <c r="AB282" s="30">
        <f>PM_Angle!$J$16+PM_Angle!$K$16*$C282+PM_Angle!$L$16*$B282</f>
      </c>
      <c r="AC282" s="12">
        <f>IF(AB282&gt;0,IF(AB282&lt;=eco,alpha*fck*(1-(1-AB282/eco)^n),alpha*fck),0)</f>
      </c>
      <c r="AD282" s="30">
        <f>PM_Angle!$J$17+PM_Angle!$K$17*$C282+PM_Angle!$L$17*$B282</f>
      </c>
      <c r="AE282" s="12">
        <f>IF(AD282&gt;0,IF(AD282&lt;=eco,alpha*fck*(1-(1-AD282/eco)^n),alpha*fck),0)</f>
      </c>
      <c r="AF282" s="30">
        <f>PM_Angle!$J$18+PM_Angle!$K$18*$C282+PM_Angle!$L$18*$B282</f>
      </c>
      <c r="AG282" s="12">
        <f>IF(AF282&gt;0,IF(AF282&lt;=eco,alpha*fck*(1-(1-AF282/eco)^n),alpha*fck),0)</f>
      </c>
      <c r="AH282" s="30">
        <f>PM_Angle!$J$19+PM_Angle!$K$19*$C282+PM_Angle!$L$19*$B282</f>
      </c>
      <c r="AI282" s="12">
        <f>IF(AH282&gt;0,IF(AH282&lt;=eco,alpha*fck*(1-(1-AH282/eco)^n),alpha*fck),0)</f>
      </c>
      <c r="AJ282" s="30">
        <f>PM_Angle!$J$20+PM_Angle!$K$20*$C282+PM_Angle!$L$20*$B282</f>
      </c>
      <c r="AK282" s="12">
        <f>IF(AJ282&gt;0,IF(AJ282&lt;=eco,alpha*fck*(1-(1-AJ282/eco)^n),alpha*fck),0)</f>
      </c>
      <c r="AL282" s="30">
        <f>PM_Angle!$J$21+PM_Angle!$K$21*$C282+PM_Angle!$L$21*$B282</f>
      </c>
      <c r="AM282" s="12">
        <f>IF(AL282&gt;0,IF(AL282&lt;=eco,alpha*fck*(1-(1-AL282/eco)^n),alpha*fck),0)</f>
      </c>
      <c r="AN282" s="30">
        <f>PM_Angle!$J$22+PM_Angle!$K$22*$C282+PM_Angle!$L$22*$B282</f>
      </c>
      <c r="AO282" s="12">
        <f>IF(AN282&gt;0,IF(AN282&lt;=eco,alpha*fck*(1-(1-AN282/eco)^n),alpha*fck),0)</f>
      </c>
      <c r="AP282" s="30">
        <f>PM_Angle!$J$23+PM_Angle!$K$23*$C282+PM_Angle!$L$23*$B282</f>
      </c>
      <c r="AQ282" s="12">
        <f>IF(AP282&gt;0,IF(AP282&lt;=eco,alpha*fck*(1-(1-AP282/eco)^n),alpha*fck),0)</f>
      </c>
      <c r="AR282" s="30">
        <f>PM_Angle!$J$24+PM_Angle!$K$24*$C282+PM_Angle!$L$24*$B282</f>
      </c>
      <c r="AS282" s="12">
        <f>IF(AR282&gt;0,IF(AR282&lt;=eco,alpha*fck*(1-(1-AR282/eco)^n),alpha*fck),0)</f>
      </c>
      <c r="AT282" s="30">
        <f>PM_Angle!$J$25+PM_Angle!$K$25*$C282+PM_Angle!$L$25*$B282</f>
      </c>
      <c r="AU282" s="12">
        <f>IF(AT282&gt;0,IF(AT282&lt;=eco,alpha*fck*(1-(1-AT282/eco)^n),alpha*fck),0)</f>
      </c>
    </row>
    <row r="283" spans="1:47" x14ac:dyDescent="0.25">
      <c r="A283">
        <f>Mesh!A280</f>
      </c>
      <c r="B283" s="12">
        <f>Mesh!B280</f>
      </c>
      <c r="C283" s="12">
        <f>Mesh!C280</f>
      </c>
      <c r="D283" s="12">
        <f>Mesh!D280</f>
      </c>
      <c r="E283" s="30">
        <f>INDEX(St_e0,Det+1)+INDEX(St_kx,Det+1)*C283+INDEX(St_ky,Det+1)*B283</f>
      </c>
      <c r="F283" s="12">
        <f>IF(E283&gt;0,IF(E283&lt;=eco,alpha*fck*(1-(1-E283/eco)^n),alpha*fck),0)</f>
      </c>
      <c r="G283" s="11">
        <f>F283*D283</f>
      </c>
      <c r="H283" s="11">
        <f>G283*C283</f>
      </c>
      <c r="I283" s="11">
        <f>G283*B283</f>
      </c>
      <c r="J283" s="30">
        <f>PM_Angle!$J$7+PM_Angle!$K$7*$C283+PM_Angle!$L$7*$B283</f>
      </c>
      <c r="K283" s="12">
        <f>IF(J283&gt;0,IF(J283&lt;=eco,alpha*fck*(1-(1-J283/eco)^n),alpha*fck),0)</f>
      </c>
      <c r="L283" s="30">
        <f>PM_Angle!$J$8+PM_Angle!$K$8*$C283+PM_Angle!$L$8*$B283</f>
      </c>
      <c r="M283" s="12">
        <f>IF(L283&gt;0,IF(L283&lt;=eco,alpha*fck*(1-(1-L283/eco)^n),alpha*fck),0)</f>
      </c>
      <c r="N283" s="30">
        <f>PM_Angle!$J$9+PM_Angle!$K$9*$C283+PM_Angle!$L$9*$B283</f>
      </c>
      <c r="O283" s="12">
        <f>IF(N283&gt;0,IF(N283&lt;=eco,alpha*fck*(1-(1-N283/eco)^n),alpha*fck),0)</f>
      </c>
      <c r="P283" s="30">
        <f>PM_Angle!$J$10+PM_Angle!$K$10*$C283+PM_Angle!$L$10*$B283</f>
      </c>
      <c r="Q283" s="12">
        <f>IF(P283&gt;0,IF(P283&lt;=eco,alpha*fck*(1-(1-P283/eco)^n),alpha*fck),0)</f>
      </c>
      <c r="R283" s="30">
        <f>PM_Angle!$J$11+PM_Angle!$K$11*$C283+PM_Angle!$L$11*$B283</f>
      </c>
      <c r="S283" s="12">
        <f>IF(R283&gt;0,IF(R283&lt;=eco,alpha*fck*(1-(1-R283/eco)^n),alpha*fck),0)</f>
      </c>
      <c r="T283" s="30">
        <f>PM_Angle!$J$12+PM_Angle!$K$12*$C283+PM_Angle!$L$12*$B283</f>
      </c>
      <c r="U283" s="12">
        <f>IF(T283&gt;0,IF(T283&lt;=eco,alpha*fck*(1-(1-T283/eco)^n),alpha*fck),0)</f>
      </c>
      <c r="V283" s="30">
        <f>PM_Angle!$J$13+PM_Angle!$K$13*$C283+PM_Angle!$L$13*$B283</f>
      </c>
      <c r="W283" s="12">
        <f>IF(V283&gt;0,IF(V283&lt;=eco,alpha*fck*(1-(1-V283/eco)^n),alpha*fck),0)</f>
      </c>
      <c r="X283" s="30">
        <f>PM_Angle!$J$14+PM_Angle!$K$14*$C283+PM_Angle!$L$14*$B283</f>
      </c>
      <c r="Y283" s="12">
        <f>IF(X283&gt;0,IF(X283&lt;=eco,alpha*fck*(1-(1-X283/eco)^n),alpha*fck),0)</f>
      </c>
      <c r="Z283" s="30">
        <f>PM_Angle!$J$15+PM_Angle!$K$15*$C283+PM_Angle!$L$15*$B283</f>
      </c>
      <c r="AA283" s="12">
        <f>IF(Z283&gt;0,IF(Z283&lt;=eco,alpha*fck*(1-(1-Z283/eco)^n),alpha*fck),0)</f>
      </c>
      <c r="AB283" s="30">
        <f>PM_Angle!$J$16+PM_Angle!$K$16*$C283+PM_Angle!$L$16*$B283</f>
      </c>
      <c r="AC283" s="12">
        <f>IF(AB283&gt;0,IF(AB283&lt;=eco,alpha*fck*(1-(1-AB283/eco)^n),alpha*fck),0)</f>
      </c>
      <c r="AD283" s="30">
        <f>PM_Angle!$J$17+PM_Angle!$K$17*$C283+PM_Angle!$L$17*$B283</f>
      </c>
      <c r="AE283" s="12">
        <f>IF(AD283&gt;0,IF(AD283&lt;=eco,alpha*fck*(1-(1-AD283/eco)^n),alpha*fck),0)</f>
      </c>
      <c r="AF283" s="30">
        <f>PM_Angle!$J$18+PM_Angle!$K$18*$C283+PM_Angle!$L$18*$B283</f>
      </c>
      <c r="AG283" s="12">
        <f>IF(AF283&gt;0,IF(AF283&lt;=eco,alpha*fck*(1-(1-AF283/eco)^n),alpha*fck),0)</f>
      </c>
      <c r="AH283" s="30">
        <f>PM_Angle!$J$19+PM_Angle!$K$19*$C283+PM_Angle!$L$19*$B283</f>
      </c>
      <c r="AI283" s="12">
        <f>IF(AH283&gt;0,IF(AH283&lt;=eco,alpha*fck*(1-(1-AH283/eco)^n),alpha*fck),0)</f>
      </c>
      <c r="AJ283" s="30">
        <f>PM_Angle!$J$20+PM_Angle!$K$20*$C283+PM_Angle!$L$20*$B283</f>
      </c>
      <c r="AK283" s="12">
        <f>IF(AJ283&gt;0,IF(AJ283&lt;=eco,alpha*fck*(1-(1-AJ283/eco)^n),alpha*fck),0)</f>
      </c>
      <c r="AL283" s="30">
        <f>PM_Angle!$J$21+PM_Angle!$K$21*$C283+PM_Angle!$L$21*$B283</f>
      </c>
      <c r="AM283" s="12">
        <f>IF(AL283&gt;0,IF(AL283&lt;=eco,alpha*fck*(1-(1-AL283/eco)^n),alpha*fck),0)</f>
      </c>
      <c r="AN283" s="30">
        <f>PM_Angle!$J$22+PM_Angle!$K$22*$C283+PM_Angle!$L$22*$B283</f>
      </c>
      <c r="AO283" s="12">
        <f>IF(AN283&gt;0,IF(AN283&lt;=eco,alpha*fck*(1-(1-AN283/eco)^n),alpha*fck),0)</f>
      </c>
      <c r="AP283" s="30">
        <f>PM_Angle!$J$23+PM_Angle!$K$23*$C283+PM_Angle!$L$23*$B283</f>
      </c>
      <c r="AQ283" s="12">
        <f>IF(AP283&gt;0,IF(AP283&lt;=eco,alpha*fck*(1-(1-AP283/eco)^n),alpha*fck),0)</f>
      </c>
      <c r="AR283" s="30">
        <f>PM_Angle!$J$24+PM_Angle!$K$24*$C283+PM_Angle!$L$24*$B283</f>
      </c>
      <c r="AS283" s="12">
        <f>IF(AR283&gt;0,IF(AR283&lt;=eco,alpha*fck*(1-(1-AR283/eco)^n),alpha*fck),0)</f>
      </c>
      <c r="AT283" s="30">
        <f>PM_Angle!$J$25+PM_Angle!$K$25*$C283+PM_Angle!$L$25*$B283</f>
      </c>
      <c r="AU283" s="12">
        <f>IF(AT283&gt;0,IF(AT283&lt;=eco,alpha*fck*(1-(1-AT283/eco)^n),alpha*fck),0)</f>
      </c>
    </row>
    <row r="284" spans="1:47" x14ac:dyDescent="0.25">
      <c r="A284">
        <f>Mesh!A281</f>
      </c>
      <c r="B284" s="12">
        <f>Mesh!B281</f>
      </c>
      <c r="C284" s="12">
        <f>Mesh!C281</f>
      </c>
      <c r="D284" s="12">
        <f>Mesh!D281</f>
      </c>
      <c r="E284" s="30">
        <f>INDEX(St_e0,Det+1)+INDEX(St_kx,Det+1)*C284+INDEX(St_ky,Det+1)*B284</f>
      </c>
      <c r="F284" s="12">
        <f>IF(E284&gt;0,IF(E284&lt;=eco,alpha*fck*(1-(1-E284/eco)^n),alpha*fck),0)</f>
      </c>
      <c r="G284" s="11">
        <f>F284*D284</f>
      </c>
      <c r="H284" s="11">
        <f>G284*C284</f>
      </c>
      <c r="I284" s="11">
        <f>G284*B284</f>
      </c>
      <c r="J284" s="30">
        <f>PM_Angle!$J$7+PM_Angle!$K$7*$C284+PM_Angle!$L$7*$B284</f>
      </c>
      <c r="K284" s="12">
        <f>IF(J284&gt;0,IF(J284&lt;=eco,alpha*fck*(1-(1-J284/eco)^n),alpha*fck),0)</f>
      </c>
      <c r="L284" s="30">
        <f>PM_Angle!$J$8+PM_Angle!$K$8*$C284+PM_Angle!$L$8*$B284</f>
      </c>
      <c r="M284" s="12">
        <f>IF(L284&gt;0,IF(L284&lt;=eco,alpha*fck*(1-(1-L284/eco)^n),alpha*fck),0)</f>
      </c>
      <c r="N284" s="30">
        <f>PM_Angle!$J$9+PM_Angle!$K$9*$C284+PM_Angle!$L$9*$B284</f>
      </c>
      <c r="O284" s="12">
        <f>IF(N284&gt;0,IF(N284&lt;=eco,alpha*fck*(1-(1-N284/eco)^n),alpha*fck),0)</f>
      </c>
      <c r="P284" s="30">
        <f>PM_Angle!$J$10+PM_Angle!$K$10*$C284+PM_Angle!$L$10*$B284</f>
      </c>
      <c r="Q284" s="12">
        <f>IF(P284&gt;0,IF(P284&lt;=eco,alpha*fck*(1-(1-P284/eco)^n),alpha*fck),0)</f>
      </c>
      <c r="R284" s="30">
        <f>PM_Angle!$J$11+PM_Angle!$K$11*$C284+PM_Angle!$L$11*$B284</f>
      </c>
      <c r="S284" s="12">
        <f>IF(R284&gt;0,IF(R284&lt;=eco,alpha*fck*(1-(1-R284/eco)^n),alpha*fck),0)</f>
      </c>
      <c r="T284" s="30">
        <f>PM_Angle!$J$12+PM_Angle!$K$12*$C284+PM_Angle!$L$12*$B284</f>
      </c>
      <c r="U284" s="12">
        <f>IF(T284&gt;0,IF(T284&lt;=eco,alpha*fck*(1-(1-T284/eco)^n),alpha*fck),0)</f>
      </c>
      <c r="V284" s="30">
        <f>PM_Angle!$J$13+PM_Angle!$K$13*$C284+PM_Angle!$L$13*$B284</f>
      </c>
      <c r="W284" s="12">
        <f>IF(V284&gt;0,IF(V284&lt;=eco,alpha*fck*(1-(1-V284/eco)^n),alpha*fck),0)</f>
      </c>
      <c r="X284" s="30">
        <f>PM_Angle!$J$14+PM_Angle!$K$14*$C284+PM_Angle!$L$14*$B284</f>
      </c>
      <c r="Y284" s="12">
        <f>IF(X284&gt;0,IF(X284&lt;=eco,alpha*fck*(1-(1-X284/eco)^n),alpha*fck),0)</f>
      </c>
      <c r="Z284" s="30">
        <f>PM_Angle!$J$15+PM_Angle!$K$15*$C284+PM_Angle!$L$15*$B284</f>
      </c>
      <c r="AA284" s="12">
        <f>IF(Z284&gt;0,IF(Z284&lt;=eco,alpha*fck*(1-(1-Z284/eco)^n),alpha*fck),0)</f>
      </c>
      <c r="AB284" s="30">
        <f>PM_Angle!$J$16+PM_Angle!$K$16*$C284+PM_Angle!$L$16*$B284</f>
      </c>
      <c r="AC284" s="12">
        <f>IF(AB284&gt;0,IF(AB284&lt;=eco,alpha*fck*(1-(1-AB284/eco)^n),alpha*fck),0)</f>
      </c>
      <c r="AD284" s="30">
        <f>PM_Angle!$J$17+PM_Angle!$K$17*$C284+PM_Angle!$L$17*$B284</f>
      </c>
      <c r="AE284" s="12">
        <f>IF(AD284&gt;0,IF(AD284&lt;=eco,alpha*fck*(1-(1-AD284/eco)^n),alpha*fck),0)</f>
      </c>
      <c r="AF284" s="30">
        <f>PM_Angle!$J$18+PM_Angle!$K$18*$C284+PM_Angle!$L$18*$B284</f>
      </c>
      <c r="AG284" s="12">
        <f>IF(AF284&gt;0,IF(AF284&lt;=eco,alpha*fck*(1-(1-AF284/eco)^n),alpha*fck),0)</f>
      </c>
      <c r="AH284" s="30">
        <f>PM_Angle!$J$19+PM_Angle!$K$19*$C284+PM_Angle!$L$19*$B284</f>
      </c>
      <c r="AI284" s="12">
        <f>IF(AH284&gt;0,IF(AH284&lt;=eco,alpha*fck*(1-(1-AH284/eco)^n),alpha*fck),0)</f>
      </c>
      <c r="AJ284" s="30">
        <f>PM_Angle!$J$20+PM_Angle!$K$20*$C284+PM_Angle!$L$20*$B284</f>
      </c>
      <c r="AK284" s="12">
        <f>IF(AJ284&gt;0,IF(AJ284&lt;=eco,alpha*fck*(1-(1-AJ284/eco)^n),alpha*fck),0)</f>
      </c>
      <c r="AL284" s="30">
        <f>PM_Angle!$J$21+PM_Angle!$K$21*$C284+PM_Angle!$L$21*$B284</f>
      </c>
      <c r="AM284" s="12">
        <f>IF(AL284&gt;0,IF(AL284&lt;=eco,alpha*fck*(1-(1-AL284/eco)^n),alpha*fck),0)</f>
      </c>
      <c r="AN284" s="30">
        <f>PM_Angle!$J$22+PM_Angle!$K$22*$C284+PM_Angle!$L$22*$B284</f>
      </c>
      <c r="AO284" s="12">
        <f>IF(AN284&gt;0,IF(AN284&lt;=eco,alpha*fck*(1-(1-AN284/eco)^n),alpha*fck),0)</f>
      </c>
      <c r="AP284" s="30">
        <f>PM_Angle!$J$23+PM_Angle!$K$23*$C284+PM_Angle!$L$23*$B284</f>
      </c>
      <c r="AQ284" s="12">
        <f>IF(AP284&gt;0,IF(AP284&lt;=eco,alpha*fck*(1-(1-AP284/eco)^n),alpha*fck),0)</f>
      </c>
      <c r="AR284" s="30">
        <f>PM_Angle!$J$24+PM_Angle!$K$24*$C284+PM_Angle!$L$24*$B284</f>
      </c>
      <c r="AS284" s="12">
        <f>IF(AR284&gt;0,IF(AR284&lt;=eco,alpha*fck*(1-(1-AR284/eco)^n),alpha*fck),0)</f>
      </c>
      <c r="AT284" s="30">
        <f>PM_Angle!$J$25+PM_Angle!$K$25*$C284+PM_Angle!$L$25*$B284</f>
      </c>
      <c r="AU284" s="12">
        <f>IF(AT284&gt;0,IF(AT284&lt;=eco,alpha*fck*(1-(1-AT284/eco)^n),alpha*fck),0)</f>
      </c>
    </row>
    <row r="285" spans="1:47" x14ac:dyDescent="0.25">
      <c r="A285">
        <f>Mesh!A282</f>
      </c>
      <c r="B285" s="12">
        <f>Mesh!B282</f>
      </c>
      <c r="C285" s="12">
        <f>Mesh!C282</f>
      </c>
      <c r="D285" s="12">
        <f>Mesh!D282</f>
      </c>
      <c r="E285" s="30">
        <f>INDEX(St_e0,Det+1)+INDEX(St_kx,Det+1)*C285+INDEX(St_ky,Det+1)*B285</f>
      </c>
      <c r="F285" s="12">
        <f>IF(E285&gt;0,IF(E285&lt;=eco,alpha*fck*(1-(1-E285/eco)^n),alpha*fck),0)</f>
      </c>
      <c r="G285" s="11">
        <f>F285*D285</f>
      </c>
      <c r="H285" s="11">
        <f>G285*C285</f>
      </c>
      <c r="I285" s="11">
        <f>G285*B285</f>
      </c>
      <c r="J285" s="30">
        <f>PM_Angle!$J$7+PM_Angle!$K$7*$C285+PM_Angle!$L$7*$B285</f>
      </c>
      <c r="K285" s="12">
        <f>IF(J285&gt;0,IF(J285&lt;=eco,alpha*fck*(1-(1-J285/eco)^n),alpha*fck),0)</f>
      </c>
      <c r="L285" s="30">
        <f>PM_Angle!$J$8+PM_Angle!$K$8*$C285+PM_Angle!$L$8*$B285</f>
      </c>
      <c r="M285" s="12">
        <f>IF(L285&gt;0,IF(L285&lt;=eco,alpha*fck*(1-(1-L285/eco)^n),alpha*fck),0)</f>
      </c>
      <c r="N285" s="30">
        <f>PM_Angle!$J$9+PM_Angle!$K$9*$C285+PM_Angle!$L$9*$B285</f>
      </c>
      <c r="O285" s="12">
        <f>IF(N285&gt;0,IF(N285&lt;=eco,alpha*fck*(1-(1-N285/eco)^n),alpha*fck),0)</f>
      </c>
      <c r="P285" s="30">
        <f>PM_Angle!$J$10+PM_Angle!$K$10*$C285+PM_Angle!$L$10*$B285</f>
      </c>
      <c r="Q285" s="12">
        <f>IF(P285&gt;0,IF(P285&lt;=eco,alpha*fck*(1-(1-P285/eco)^n),alpha*fck),0)</f>
      </c>
      <c r="R285" s="30">
        <f>PM_Angle!$J$11+PM_Angle!$K$11*$C285+PM_Angle!$L$11*$B285</f>
      </c>
      <c r="S285" s="12">
        <f>IF(R285&gt;0,IF(R285&lt;=eco,alpha*fck*(1-(1-R285/eco)^n),alpha*fck),0)</f>
      </c>
      <c r="T285" s="30">
        <f>PM_Angle!$J$12+PM_Angle!$K$12*$C285+PM_Angle!$L$12*$B285</f>
      </c>
      <c r="U285" s="12">
        <f>IF(T285&gt;0,IF(T285&lt;=eco,alpha*fck*(1-(1-T285/eco)^n),alpha*fck),0)</f>
      </c>
      <c r="V285" s="30">
        <f>PM_Angle!$J$13+PM_Angle!$K$13*$C285+PM_Angle!$L$13*$B285</f>
      </c>
      <c r="W285" s="12">
        <f>IF(V285&gt;0,IF(V285&lt;=eco,alpha*fck*(1-(1-V285/eco)^n),alpha*fck),0)</f>
      </c>
      <c r="X285" s="30">
        <f>PM_Angle!$J$14+PM_Angle!$K$14*$C285+PM_Angle!$L$14*$B285</f>
      </c>
      <c r="Y285" s="12">
        <f>IF(X285&gt;0,IF(X285&lt;=eco,alpha*fck*(1-(1-X285/eco)^n),alpha*fck),0)</f>
      </c>
      <c r="Z285" s="30">
        <f>PM_Angle!$J$15+PM_Angle!$K$15*$C285+PM_Angle!$L$15*$B285</f>
      </c>
      <c r="AA285" s="12">
        <f>IF(Z285&gt;0,IF(Z285&lt;=eco,alpha*fck*(1-(1-Z285/eco)^n),alpha*fck),0)</f>
      </c>
      <c r="AB285" s="30">
        <f>PM_Angle!$J$16+PM_Angle!$K$16*$C285+PM_Angle!$L$16*$B285</f>
      </c>
      <c r="AC285" s="12">
        <f>IF(AB285&gt;0,IF(AB285&lt;=eco,alpha*fck*(1-(1-AB285/eco)^n),alpha*fck),0)</f>
      </c>
      <c r="AD285" s="30">
        <f>PM_Angle!$J$17+PM_Angle!$K$17*$C285+PM_Angle!$L$17*$B285</f>
      </c>
      <c r="AE285" s="12">
        <f>IF(AD285&gt;0,IF(AD285&lt;=eco,alpha*fck*(1-(1-AD285/eco)^n),alpha*fck),0)</f>
      </c>
      <c r="AF285" s="30">
        <f>PM_Angle!$J$18+PM_Angle!$K$18*$C285+PM_Angle!$L$18*$B285</f>
      </c>
      <c r="AG285" s="12">
        <f>IF(AF285&gt;0,IF(AF285&lt;=eco,alpha*fck*(1-(1-AF285/eco)^n),alpha*fck),0)</f>
      </c>
      <c r="AH285" s="30">
        <f>PM_Angle!$J$19+PM_Angle!$K$19*$C285+PM_Angle!$L$19*$B285</f>
      </c>
      <c r="AI285" s="12">
        <f>IF(AH285&gt;0,IF(AH285&lt;=eco,alpha*fck*(1-(1-AH285/eco)^n),alpha*fck),0)</f>
      </c>
      <c r="AJ285" s="30">
        <f>PM_Angle!$J$20+PM_Angle!$K$20*$C285+PM_Angle!$L$20*$B285</f>
      </c>
      <c r="AK285" s="12">
        <f>IF(AJ285&gt;0,IF(AJ285&lt;=eco,alpha*fck*(1-(1-AJ285/eco)^n),alpha*fck),0)</f>
      </c>
      <c r="AL285" s="30">
        <f>PM_Angle!$J$21+PM_Angle!$K$21*$C285+PM_Angle!$L$21*$B285</f>
      </c>
      <c r="AM285" s="12">
        <f>IF(AL285&gt;0,IF(AL285&lt;=eco,alpha*fck*(1-(1-AL285/eco)^n),alpha*fck),0)</f>
      </c>
      <c r="AN285" s="30">
        <f>PM_Angle!$J$22+PM_Angle!$K$22*$C285+PM_Angle!$L$22*$B285</f>
      </c>
      <c r="AO285" s="12">
        <f>IF(AN285&gt;0,IF(AN285&lt;=eco,alpha*fck*(1-(1-AN285/eco)^n),alpha*fck),0)</f>
      </c>
      <c r="AP285" s="30">
        <f>PM_Angle!$J$23+PM_Angle!$K$23*$C285+PM_Angle!$L$23*$B285</f>
      </c>
      <c r="AQ285" s="12">
        <f>IF(AP285&gt;0,IF(AP285&lt;=eco,alpha*fck*(1-(1-AP285/eco)^n),alpha*fck),0)</f>
      </c>
      <c r="AR285" s="30">
        <f>PM_Angle!$J$24+PM_Angle!$K$24*$C285+PM_Angle!$L$24*$B285</f>
      </c>
      <c r="AS285" s="12">
        <f>IF(AR285&gt;0,IF(AR285&lt;=eco,alpha*fck*(1-(1-AR285/eco)^n),alpha*fck),0)</f>
      </c>
      <c r="AT285" s="30">
        <f>PM_Angle!$J$25+PM_Angle!$K$25*$C285+PM_Angle!$L$25*$B285</f>
      </c>
      <c r="AU285" s="12">
        <f>IF(AT285&gt;0,IF(AT285&lt;=eco,alpha*fck*(1-(1-AT285/eco)^n),alpha*fck),0)</f>
      </c>
    </row>
    <row r="286" spans="1:47" x14ac:dyDescent="0.25">
      <c r="A286">
        <f>Mesh!A283</f>
      </c>
      <c r="B286" s="12">
        <f>Mesh!B283</f>
      </c>
      <c r="C286" s="12">
        <f>Mesh!C283</f>
      </c>
      <c r="D286" s="12">
        <f>Mesh!D283</f>
      </c>
      <c r="E286" s="30">
        <f>INDEX(St_e0,Det+1)+INDEX(St_kx,Det+1)*C286+INDEX(St_ky,Det+1)*B286</f>
      </c>
      <c r="F286" s="12">
        <f>IF(E286&gt;0,IF(E286&lt;=eco,alpha*fck*(1-(1-E286/eco)^n),alpha*fck),0)</f>
      </c>
      <c r="G286" s="11">
        <f>F286*D286</f>
      </c>
      <c r="H286" s="11">
        <f>G286*C286</f>
      </c>
      <c r="I286" s="11">
        <f>G286*B286</f>
      </c>
      <c r="J286" s="30">
        <f>PM_Angle!$J$7+PM_Angle!$K$7*$C286+PM_Angle!$L$7*$B286</f>
      </c>
      <c r="K286" s="12">
        <f>IF(J286&gt;0,IF(J286&lt;=eco,alpha*fck*(1-(1-J286/eco)^n),alpha*fck),0)</f>
      </c>
      <c r="L286" s="30">
        <f>PM_Angle!$J$8+PM_Angle!$K$8*$C286+PM_Angle!$L$8*$B286</f>
      </c>
      <c r="M286" s="12">
        <f>IF(L286&gt;0,IF(L286&lt;=eco,alpha*fck*(1-(1-L286/eco)^n),alpha*fck),0)</f>
      </c>
      <c r="N286" s="30">
        <f>PM_Angle!$J$9+PM_Angle!$K$9*$C286+PM_Angle!$L$9*$B286</f>
      </c>
      <c r="O286" s="12">
        <f>IF(N286&gt;0,IF(N286&lt;=eco,alpha*fck*(1-(1-N286/eco)^n),alpha*fck),0)</f>
      </c>
      <c r="P286" s="30">
        <f>PM_Angle!$J$10+PM_Angle!$K$10*$C286+PM_Angle!$L$10*$B286</f>
      </c>
      <c r="Q286" s="12">
        <f>IF(P286&gt;0,IF(P286&lt;=eco,alpha*fck*(1-(1-P286/eco)^n),alpha*fck),0)</f>
      </c>
      <c r="R286" s="30">
        <f>PM_Angle!$J$11+PM_Angle!$K$11*$C286+PM_Angle!$L$11*$B286</f>
      </c>
      <c r="S286" s="12">
        <f>IF(R286&gt;0,IF(R286&lt;=eco,alpha*fck*(1-(1-R286/eco)^n),alpha*fck),0)</f>
      </c>
      <c r="T286" s="30">
        <f>PM_Angle!$J$12+PM_Angle!$K$12*$C286+PM_Angle!$L$12*$B286</f>
      </c>
      <c r="U286" s="12">
        <f>IF(T286&gt;0,IF(T286&lt;=eco,alpha*fck*(1-(1-T286/eco)^n),alpha*fck),0)</f>
      </c>
      <c r="V286" s="30">
        <f>PM_Angle!$J$13+PM_Angle!$K$13*$C286+PM_Angle!$L$13*$B286</f>
      </c>
      <c r="W286" s="12">
        <f>IF(V286&gt;0,IF(V286&lt;=eco,alpha*fck*(1-(1-V286/eco)^n),alpha*fck),0)</f>
      </c>
      <c r="X286" s="30">
        <f>PM_Angle!$J$14+PM_Angle!$K$14*$C286+PM_Angle!$L$14*$B286</f>
      </c>
      <c r="Y286" s="12">
        <f>IF(X286&gt;0,IF(X286&lt;=eco,alpha*fck*(1-(1-X286/eco)^n),alpha*fck),0)</f>
      </c>
      <c r="Z286" s="30">
        <f>PM_Angle!$J$15+PM_Angle!$K$15*$C286+PM_Angle!$L$15*$B286</f>
      </c>
      <c r="AA286" s="12">
        <f>IF(Z286&gt;0,IF(Z286&lt;=eco,alpha*fck*(1-(1-Z286/eco)^n),alpha*fck),0)</f>
      </c>
      <c r="AB286" s="30">
        <f>PM_Angle!$J$16+PM_Angle!$K$16*$C286+PM_Angle!$L$16*$B286</f>
      </c>
      <c r="AC286" s="12">
        <f>IF(AB286&gt;0,IF(AB286&lt;=eco,alpha*fck*(1-(1-AB286/eco)^n),alpha*fck),0)</f>
      </c>
      <c r="AD286" s="30">
        <f>PM_Angle!$J$17+PM_Angle!$K$17*$C286+PM_Angle!$L$17*$B286</f>
      </c>
      <c r="AE286" s="12">
        <f>IF(AD286&gt;0,IF(AD286&lt;=eco,alpha*fck*(1-(1-AD286/eco)^n),alpha*fck),0)</f>
      </c>
      <c r="AF286" s="30">
        <f>PM_Angle!$J$18+PM_Angle!$K$18*$C286+PM_Angle!$L$18*$B286</f>
      </c>
      <c r="AG286" s="12">
        <f>IF(AF286&gt;0,IF(AF286&lt;=eco,alpha*fck*(1-(1-AF286/eco)^n),alpha*fck),0)</f>
      </c>
      <c r="AH286" s="30">
        <f>PM_Angle!$J$19+PM_Angle!$K$19*$C286+PM_Angle!$L$19*$B286</f>
      </c>
      <c r="AI286" s="12">
        <f>IF(AH286&gt;0,IF(AH286&lt;=eco,alpha*fck*(1-(1-AH286/eco)^n),alpha*fck),0)</f>
      </c>
      <c r="AJ286" s="30">
        <f>PM_Angle!$J$20+PM_Angle!$K$20*$C286+PM_Angle!$L$20*$B286</f>
      </c>
      <c r="AK286" s="12">
        <f>IF(AJ286&gt;0,IF(AJ286&lt;=eco,alpha*fck*(1-(1-AJ286/eco)^n),alpha*fck),0)</f>
      </c>
      <c r="AL286" s="30">
        <f>PM_Angle!$J$21+PM_Angle!$K$21*$C286+PM_Angle!$L$21*$B286</f>
      </c>
      <c r="AM286" s="12">
        <f>IF(AL286&gt;0,IF(AL286&lt;=eco,alpha*fck*(1-(1-AL286/eco)^n),alpha*fck),0)</f>
      </c>
      <c r="AN286" s="30">
        <f>PM_Angle!$J$22+PM_Angle!$K$22*$C286+PM_Angle!$L$22*$B286</f>
      </c>
      <c r="AO286" s="12">
        <f>IF(AN286&gt;0,IF(AN286&lt;=eco,alpha*fck*(1-(1-AN286/eco)^n),alpha*fck),0)</f>
      </c>
      <c r="AP286" s="30">
        <f>PM_Angle!$J$23+PM_Angle!$K$23*$C286+PM_Angle!$L$23*$B286</f>
      </c>
      <c r="AQ286" s="12">
        <f>IF(AP286&gt;0,IF(AP286&lt;=eco,alpha*fck*(1-(1-AP286/eco)^n),alpha*fck),0)</f>
      </c>
      <c r="AR286" s="30">
        <f>PM_Angle!$J$24+PM_Angle!$K$24*$C286+PM_Angle!$L$24*$B286</f>
      </c>
      <c r="AS286" s="12">
        <f>IF(AR286&gt;0,IF(AR286&lt;=eco,alpha*fck*(1-(1-AR286/eco)^n),alpha*fck),0)</f>
      </c>
      <c r="AT286" s="30">
        <f>PM_Angle!$J$25+PM_Angle!$K$25*$C286+PM_Angle!$L$25*$B286</f>
      </c>
      <c r="AU286" s="12">
        <f>IF(AT286&gt;0,IF(AT286&lt;=eco,alpha*fck*(1-(1-AT286/eco)^n),alpha*fck),0)</f>
      </c>
    </row>
    <row r="287" spans="1:47" x14ac:dyDescent="0.25">
      <c r="A287">
        <f>Mesh!A284</f>
      </c>
      <c r="B287" s="12">
        <f>Mesh!B284</f>
      </c>
      <c r="C287" s="12">
        <f>Mesh!C284</f>
      </c>
      <c r="D287" s="12">
        <f>Mesh!D284</f>
      </c>
      <c r="E287" s="30">
        <f>INDEX(St_e0,Det+1)+INDEX(St_kx,Det+1)*C287+INDEX(St_ky,Det+1)*B287</f>
      </c>
      <c r="F287" s="12">
        <f>IF(E287&gt;0,IF(E287&lt;=eco,alpha*fck*(1-(1-E287/eco)^n),alpha*fck),0)</f>
      </c>
      <c r="G287" s="11">
        <f>F287*D287</f>
      </c>
      <c r="H287" s="11">
        <f>G287*C287</f>
      </c>
      <c r="I287" s="11">
        <f>G287*B287</f>
      </c>
      <c r="J287" s="30">
        <f>PM_Angle!$J$7+PM_Angle!$K$7*$C287+PM_Angle!$L$7*$B287</f>
      </c>
      <c r="K287" s="12">
        <f>IF(J287&gt;0,IF(J287&lt;=eco,alpha*fck*(1-(1-J287/eco)^n),alpha*fck),0)</f>
      </c>
      <c r="L287" s="30">
        <f>PM_Angle!$J$8+PM_Angle!$K$8*$C287+PM_Angle!$L$8*$B287</f>
      </c>
      <c r="M287" s="12">
        <f>IF(L287&gt;0,IF(L287&lt;=eco,alpha*fck*(1-(1-L287/eco)^n),alpha*fck),0)</f>
      </c>
      <c r="N287" s="30">
        <f>PM_Angle!$J$9+PM_Angle!$K$9*$C287+PM_Angle!$L$9*$B287</f>
      </c>
      <c r="O287" s="12">
        <f>IF(N287&gt;0,IF(N287&lt;=eco,alpha*fck*(1-(1-N287/eco)^n),alpha*fck),0)</f>
      </c>
      <c r="P287" s="30">
        <f>PM_Angle!$J$10+PM_Angle!$K$10*$C287+PM_Angle!$L$10*$B287</f>
      </c>
      <c r="Q287" s="12">
        <f>IF(P287&gt;0,IF(P287&lt;=eco,alpha*fck*(1-(1-P287/eco)^n),alpha*fck),0)</f>
      </c>
      <c r="R287" s="30">
        <f>PM_Angle!$J$11+PM_Angle!$K$11*$C287+PM_Angle!$L$11*$B287</f>
      </c>
      <c r="S287" s="12">
        <f>IF(R287&gt;0,IF(R287&lt;=eco,alpha*fck*(1-(1-R287/eco)^n),alpha*fck),0)</f>
      </c>
      <c r="T287" s="30">
        <f>PM_Angle!$J$12+PM_Angle!$K$12*$C287+PM_Angle!$L$12*$B287</f>
      </c>
      <c r="U287" s="12">
        <f>IF(T287&gt;0,IF(T287&lt;=eco,alpha*fck*(1-(1-T287/eco)^n),alpha*fck),0)</f>
      </c>
      <c r="V287" s="30">
        <f>PM_Angle!$J$13+PM_Angle!$K$13*$C287+PM_Angle!$L$13*$B287</f>
      </c>
      <c r="W287" s="12">
        <f>IF(V287&gt;0,IF(V287&lt;=eco,alpha*fck*(1-(1-V287/eco)^n),alpha*fck),0)</f>
      </c>
      <c r="X287" s="30">
        <f>PM_Angle!$J$14+PM_Angle!$K$14*$C287+PM_Angle!$L$14*$B287</f>
      </c>
      <c r="Y287" s="12">
        <f>IF(X287&gt;0,IF(X287&lt;=eco,alpha*fck*(1-(1-X287/eco)^n),alpha*fck),0)</f>
      </c>
      <c r="Z287" s="30">
        <f>PM_Angle!$J$15+PM_Angle!$K$15*$C287+PM_Angle!$L$15*$B287</f>
      </c>
      <c r="AA287" s="12">
        <f>IF(Z287&gt;0,IF(Z287&lt;=eco,alpha*fck*(1-(1-Z287/eco)^n),alpha*fck),0)</f>
      </c>
      <c r="AB287" s="30">
        <f>PM_Angle!$J$16+PM_Angle!$K$16*$C287+PM_Angle!$L$16*$B287</f>
      </c>
      <c r="AC287" s="12">
        <f>IF(AB287&gt;0,IF(AB287&lt;=eco,alpha*fck*(1-(1-AB287/eco)^n),alpha*fck),0)</f>
      </c>
      <c r="AD287" s="30">
        <f>PM_Angle!$J$17+PM_Angle!$K$17*$C287+PM_Angle!$L$17*$B287</f>
      </c>
      <c r="AE287" s="12">
        <f>IF(AD287&gt;0,IF(AD287&lt;=eco,alpha*fck*(1-(1-AD287/eco)^n),alpha*fck),0)</f>
      </c>
      <c r="AF287" s="30">
        <f>PM_Angle!$J$18+PM_Angle!$K$18*$C287+PM_Angle!$L$18*$B287</f>
      </c>
      <c r="AG287" s="12">
        <f>IF(AF287&gt;0,IF(AF287&lt;=eco,alpha*fck*(1-(1-AF287/eco)^n),alpha*fck),0)</f>
      </c>
      <c r="AH287" s="30">
        <f>PM_Angle!$J$19+PM_Angle!$K$19*$C287+PM_Angle!$L$19*$B287</f>
      </c>
      <c r="AI287" s="12">
        <f>IF(AH287&gt;0,IF(AH287&lt;=eco,alpha*fck*(1-(1-AH287/eco)^n),alpha*fck),0)</f>
      </c>
      <c r="AJ287" s="30">
        <f>PM_Angle!$J$20+PM_Angle!$K$20*$C287+PM_Angle!$L$20*$B287</f>
      </c>
      <c r="AK287" s="12">
        <f>IF(AJ287&gt;0,IF(AJ287&lt;=eco,alpha*fck*(1-(1-AJ287/eco)^n),alpha*fck),0)</f>
      </c>
      <c r="AL287" s="30">
        <f>PM_Angle!$J$21+PM_Angle!$K$21*$C287+PM_Angle!$L$21*$B287</f>
      </c>
      <c r="AM287" s="12">
        <f>IF(AL287&gt;0,IF(AL287&lt;=eco,alpha*fck*(1-(1-AL287/eco)^n),alpha*fck),0)</f>
      </c>
      <c r="AN287" s="30">
        <f>PM_Angle!$J$22+PM_Angle!$K$22*$C287+PM_Angle!$L$22*$B287</f>
      </c>
      <c r="AO287" s="12">
        <f>IF(AN287&gt;0,IF(AN287&lt;=eco,alpha*fck*(1-(1-AN287/eco)^n),alpha*fck),0)</f>
      </c>
      <c r="AP287" s="30">
        <f>PM_Angle!$J$23+PM_Angle!$K$23*$C287+PM_Angle!$L$23*$B287</f>
      </c>
      <c r="AQ287" s="12">
        <f>IF(AP287&gt;0,IF(AP287&lt;=eco,alpha*fck*(1-(1-AP287/eco)^n),alpha*fck),0)</f>
      </c>
      <c r="AR287" s="30">
        <f>PM_Angle!$J$24+PM_Angle!$K$24*$C287+PM_Angle!$L$24*$B287</f>
      </c>
      <c r="AS287" s="12">
        <f>IF(AR287&gt;0,IF(AR287&lt;=eco,alpha*fck*(1-(1-AR287/eco)^n),alpha*fck),0)</f>
      </c>
      <c r="AT287" s="30">
        <f>PM_Angle!$J$25+PM_Angle!$K$25*$C287+PM_Angle!$L$25*$B287</f>
      </c>
      <c r="AU287" s="12">
        <f>IF(AT287&gt;0,IF(AT287&lt;=eco,alpha*fck*(1-(1-AT287/eco)^n),alpha*fck),0)</f>
      </c>
    </row>
    <row r="288" spans="1:47" x14ac:dyDescent="0.25">
      <c r="A288">
        <f>Mesh!A285</f>
      </c>
      <c r="B288" s="12">
        <f>Mesh!B285</f>
      </c>
      <c r="C288" s="12">
        <f>Mesh!C285</f>
      </c>
      <c r="D288" s="12">
        <f>Mesh!D285</f>
      </c>
      <c r="E288" s="30">
        <f>INDEX(St_e0,Det+1)+INDEX(St_kx,Det+1)*C288+INDEX(St_ky,Det+1)*B288</f>
      </c>
      <c r="F288" s="12">
        <f>IF(E288&gt;0,IF(E288&lt;=eco,alpha*fck*(1-(1-E288/eco)^n),alpha*fck),0)</f>
      </c>
      <c r="G288" s="11">
        <f>F288*D288</f>
      </c>
      <c r="H288" s="11">
        <f>G288*C288</f>
      </c>
      <c r="I288" s="11">
        <f>G288*B288</f>
      </c>
      <c r="J288" s="30">
        <f>PM_Angle!$J$7+PM_Angle!$K$7*$C288+PM_Angle!$L$7*$B288</f>
      </c>
      <c r="K288" s="12">
        <f>IF(J288&gt;0,IF(J288&lt;=eco,alpha*fck*(1-(1-J288/eco)^n),alpha*fck),0)</f>
      </c>
      <c r="L288" s="30">
        <f>PM_Angle!$J$8+PM_Angle!$K$8*$C288+PM_Angle!$L$8*$B288</f>
      </c>
      <c r="M288" s="12">
        <f>IF(L288&gt;0,IF(L288&lt;=eco,alpha*fck*(1-(1-L288/eco)^n),alpha*fck),0)</f>
      </c>
      <c r="N288" s="30">
        <f>PM_Angle!$J$9+PM_Angle!$K$9*$C288+PM_Angle!$L$9*$B288</f>
      </c>
      <c r="O288" s="12">
        <f>IF(N288&gt;0,IF(N288&lt;=eco,alpha*fck*(1-(1-N288/eco)^n),alpha*fck),0)</f>
      </c>
      <c r="P288" s="30">
        <f>PM_Angle!$J$10+PM_Angle!$K$10*$C288+PM_Angle!$L$10*$B288</f>
      </c>
      <c r="Q288" s="12">
        <f>IF(P288&gt;0,IF(P288&lt;=eco,alpha*fck*(1-(1-P288/eco)^n),alpha*fck),0)</f>
      </c>
      <c r="R288" s="30">
        <f>PM_Angle!$J$11+PM_Angle!$K$11*$C288+PM_Angle!$L$11*$B288</f>
      </c>
      <c r="S288" s="12">
        <f>IF(R288&gt;0,IF(R288&lt;=eco,alpha*fck*(1-(1-R288/eco)^n),alpha*fck),0)</f>
      </c>
      <c r="T288" s="30">
        <f>PM_Angle!$J$12+PM_Angle!$K$12*$C288+PM_Angle!$L$12*$B288</f>
      </c>
      <c r="U288" s="12">
        <f>IF(T288&gt;0,IF(T288&lt;=eco,alpha*fck*(1-(1-T288/eco)^n),alpha*fck),0)</f>
      </c>
      <c r="V288" s="30">
        <f>PM_Angle!$J$13+PM_Angle!$K$13*$C288+PM_Angle!$L$13*$B288</f>
      </c>
      <c r="W288" s="12">
        <f>IF(V288&gt;0,IF(V288&lt;=eco,alpha*fck*(1-(1-V288/eco)^n),alpha*fck),0)</f>
      </c>
      <c r="X288" s="30">
        <f>PM_Angle!$J$14+PM_Angle!$K$14*$C288+PM_Angle!$L$14*$B288</f>
      </c>
      <c r="Y288" s="12">
        <f>IF(X288&gt;0,IF(X288&lt;=eco,alpha*fck*(1-(1-X288/eco)^n),alpha*fck),0)</f>
      </c>
      <c r="Z288" s="30">
        <f>PM_Angle!$J$15+PM_Angle!$K$15*$C288+PM_Angle!$L$15*$B288</f>
      </c>
      <c r="AA288" s="12">
        <f>IF(Z288&gt;0,IF(Z288&lt;=eco,alpha*fck*(1-(1-Z288/eco)^n),alpha*fck),0)</f>
      </c>
      <c r="AB288" s="30">
        <f>PM_Angle!$J$16+PM_Angle!$K$16*$C288+PM_Angle!$L$16*$B288</f>
      </c>
      <c r="AC288" s="12">
        <f>IF(AB288&gt;0,IF(AB288&lt;=eco,alpha*fck*(1-(1-AB288/eco)^n),alpha*fck),0)</f>
      </c>
      <c r="AD288" s="30">
        <f>PM_Angle!$J$17+PM_Angle!$K$17*$C288+PM_Angle!$L$17*$B288</f>
      </c>
      <c r="AE288" s="12">
        <f>IF(AD288&gt;0,IF(AD288&lt;=eco,alpha*fck*(1-(1-AD288/eco)^n),alpha*fck),0)</f>
      </c>
      <c r="AF288" s="30">
        <f>PM_Angle!$J$18+PM_Angle!$K$18*$C288+PM_Angle!$L$18*$B288</f>
      </c>
      <c r="AG288" s="12">
        <f>IF(AF288&gt;0,IF(AF288&lt;=eco,alpha*fck*(1-(1-AF288/eco)^n),alpha*fck),0)</f>
      </c>
      <c r="AH288" s="30">
        <f>PM_Angle!$J$19+PM_Angle!$K$19*$C288+PM_Angle!$L$19*$B288</f>
      </c>
      <c r="AI288" s="12">
        <f>IF(AH288&gt;0,IF(AH288&lt;=eco,alpha*fck*(1-(1-AH288/eco)^n),alpha*fck),0)</f>
      </c>
      <c r="AJ288" s="30">
        <f>PM_Angle!$J$20+PM_Angle!$K$20*$C288+PM_Angle!$L$20*$B288</f>
      </c>
      <c r="AK288" s="12">
        <f>IF(AJ288&gt;0,IF(AJ288&lt;=eco,alpha*fck*(1-(1-AJ288/eco)^n),alpha*fck),0)</f>
      </c>
      <c r="AL288" s="30">
        <f>PM_Angle!$J$21+PM_Angle!$K$21*$C288+PM_Angle!$L$21*$B288</f>
      </c>
      <c r="AM288" s="12">
        <f>IF(AL288&gt;0,IF(AL288&lt;=eco,alpha*fck*(1-(1-AL288/eco)^n),alpha*fck),0)</f>
      </c>
      <c r="AN288" s="30">
        <f>PM_Angle!$J$22+PM_Angle!$K$22*$C288+PM_Angle!$L$22*$B288</f>
      </c>
      <c r="AO288" s="12">
        <f>IF(AN288&gt;0,IF(AN288&lt;=eco,alpha*fck*(1-(1-AN288/eco)^n),alpha*fck),0)</f>
      </c>
      <c r="AP288" s="30">
        <f>PM_Angle!$J$23+PM_Angle!$K$23*$C288+PM_Angle!$L$23*$B288</f>
      </c>
      <c r="AQ288" s="12">
        <f>IF(AP288&gt;0,IF(AP288&lt;=eco,alpha*fck*(1-(1-AP288/eco)^n),alpha*fck),0)</f>
      </c>
      <c r="AR288" s="30">
        <f>PM_Angle!$J$24+PM_Angle!$K$24*$C288+PM_Angle!$L$24*$B288</f>
      </c>
      <c r="AS288" s="12">
        <f>IF(AR288&gt;0,IF(AR288&lt;=eco,alpha*fck*(1-(1-AR288/eco)^n),alpha*fck),0)</f>
      </c>
      <c r="AT288" s="30">
        <f>PM_Angle!$J$25+PM_Angle!$K$25*$C288+PM_Angle!$L$25*$B288</f>
      </c>
      <c r="AU288" s="12">
        <f>IF(AT288&gt;0,IF(AT288&lt;=eco,alpha*fck*(1-(1-AT288/eco)^n),alpha*fck),0)</f>
      </c>
    </row>
    <row r="289" spans="1:47" x14ac:dyDescent="0.25">
      <c r="A289">
        <f>Mesh!A286</f>
      </c>
      <c r="B289" s="12">
        <f>Mesh!B286</f>
      </c>
      <c r="C289" s="12">
        <f>Mesh!C286</f>
      </c>
      <c r="D289" s="12">
        <f>Mesh!D286</f>
      </c>
      <c r="E289" s="30">
        <f>INDEX(St_e0,Det+1)+INDEX(St_kx,Det+1)*C289+INDEX(St_ky,Det+1)*B289</f>
      </c>
      <c r="F289" s="12">
        <f>IF(E289&gt;0,IF(E289&lt;=eco,alpha*fck*(1-(1-E289/eco)^n),alpha*fck),0)</f>
      </c>
      <c r="G289" s="11">
        <f>F289*D289</f>
      </c>
      <c r="H289" s="11">
        <f>G289*C289</f>
      </c>
      <c r="I289" s="11">
        <f>G289*B289</f>
      </c>
      <c r="J289" s="30">
        <f>PM_Angle!$J$7+PM_Angle!$K$7*$C289+PM_Angle!$L$7*$B289</f>
      </c>
      <c r="K289" s="12">
        <f>IF(J289&gt;0,IF(J289&lt;=eco,alpha*fck*(1-(1-J289/eco)^n),alpha*fck),0)</f>
      </c>
      <c r="L289" s="30">
        <f>PM_Angle!$J$8+PM_Angle!$K$8*$C289+PM_Angle!$L$8*$B289</f>
      </c>
      <c r="M289" s="12">
        <f>IF(L289&gt;0,IF(L289&lt;=eco,alpha*fck*(1-(1-L289/eco)^n),alpha*fck),0)</f>
      </c>
      <c r="N289" s="30">
        <f>PM_Angle!$J$9+PM_Angle!$K$9*$C289+PM_Angle!$L$9*$B289</f>
      </c>
      <c r="O289" s="12">
        <f>IF(N289&gt;0,IF(N289&lt;=eco,alpha*fck*(1-(1-N289/eco)^n),alpha*fck),0)</f>
      </c>
      <c r="P289" s="30">
        <f>PM_Angle!$J$10+PM_Angle!$K$10*$C289+PM_Angle!$L$10*$B289</f>
      </c>
      <c r="Q289" s="12">
        <f>IF(P289&gt;0,IF(P289&lt;=eco,alpha*fck*(1-(1-P289/eco)^n),alpha*fck),0)</f>
      </c>
      <c r="R289" s="30">
        <f>PM_Angle!$J$11+PM_Angle!$K$11*$C289+PM_Angle!$L$11*$B289</f>
      </c>
      <c r="S289" s="12">
        <f>IF(R289&gt;0,IF(R289&lt;=eco,alpha*fck*(1-(1-R289/eco)^n),alpha*fck),0)</f>
      </c>
      <c r="T289" s="30">
        <f>PM_Angle!$J$12+PM_Angle!$K$12*$C289+PM_Angle!$L$12*$B289</f>
      </c>
      <c r="U289" s="12">
        <f>IF(T289&gt;0,IF(T289&lt;=eco,alpha*fck*(1-(1-T289/eco)^n),alpha*fck),0)</f>
      </c>
      <c r="V289" s="30">
        <f>PM_Angle!$J$13+PM_Angle!$K$13*$C289+PM_Angle!$L$13*$B289</f>
      </c>
      <c r="W289" s="12">
        <f>IF(V289&gt;0,IF(V289&lt;=eco,alpha*fck*(1-(1-V289/eco)^n),alpha*fck),0)</f>
      </c>
      <c r="X289" s="30">
        <f>PM_Angle!$J$14+PM_Angle!$K$14*$C289+PM_Angle!$L$14*$B289</f>
      </c>
      <c r="Y289" s="12">
        <f>IF(X289&gt;0,IF(X289&lt;=eco,alpha*fck*(1-(1-X289/eco)^n),alpha*fck),0)</f>
      </c>
      <c r="Z289" s="30">
        <f>PM_Angle!$J$15+PM_Angle!$K$15*$C289+PM_Angle!$L$15*$B289</f>
      </c>
      <c r="AA289" s="12">
        <f>IF(Z289&gt;0,IF(Z289&lt;=eco,alpha*fck*(1-(1-Z289/eco)^n),alpha*fck),0)</f>
      </c>
      <c r="AB289" s="30">
        <f>PM_Angle!$J$16+PM_Angle!$K$16*$C289+PM_Angle!$L$16*$B289</f>
      </c>
      <c r="AC289" s="12">
        <f>IF(AB289&gt;0,IF(AB289&lt;=eco,alpha*fck*(1-(1-AB289/eco)^n),alpha*fck),0)</f>
      </c>
      <c r="AD289" s="30">
        <f>PM_Angle!$J$17+PM_Angle!$K$17*$C289+PM_Angle!$L$17*$B289</f>
      </c>
      <c r="AE289" s="12">
        <f>IF(AD289&gt;0,IF(AD289&lt;=eco,alpha*fck*(1-(1-AD289/eco)^n),alpha*fck),0)</f>
      </c>
      <c r="AF289" s="30">
        <f>PM_Angle!$J$18+PM_Angle!$K$18*$C289+PM_Angle!$L$18*$B289</f>
      </c>
      <c r="AG289" s="12">
        <f>IF(AF289&gt;0,IF(AF289&lt;=eco,alpha*fck*(1-(1-AF289/eco)^n),alpha*fck),0)</f>
      </c>
      <c r="AH289" s="30">
        <f>PM_Angle!$J$19+PM_Angle!$K$19*$C289+PM_Angle!$L$19*$B289</f>
      </c>
      <c r="AI289" s="12">
        <f>IF(AH289&gt;0,IF(AH289&lt;=eco,alpha*fck*(1-(1-AH289/eco)^n),alpha*fck),0)</f>
      </c>
      <c r="AJ289" s="30">
        <f>PM_Angle!$J$20+PM_Angle!$K$20*$C289+PM_Angle!$L$20*$B289</f>
      </c>
      <c r="AK289" s="12">
        <f>IF(AJ289&gt;0,IF(AJ289&lt;=eco,alpha*fck*(1-(1-AJ289/eco)^n),alpha*fck),0)</f>
      </c>
      <c r="AL289" s="30">
        <f>PM_Angle!$J$21+PM_Angle!$K$21*$C289+PM_Angle!$L$21*$B289</f>
      </c>
      <c r="AM289" s="12">
        <f>IF(AL289&gt;0,IF(AL289&lt;=eco,alpha*fck*(1-(1-AL289/eco)^n),alpha*fck),0)</f>
      </c>
      <c r="AN289" s="30">
        <f>PM_Angle!$J$22+PM_Angle!$K$22*$C289+PM_Angle!$L$22*$B289</f>
      </c>
      <c r="AO289" s="12">
        <f>IF(AN289&gt;0,IF(AN289&lt;=eco,alpha*fck*(1-(1-AN289/eco)^n),alpha*fck),0)</f>
      </c>
      <c r="AP289" s="30">
        <f>PM_Angle!$J$23+PM_Angle!$K$23*$C289+PM_Angle!$L$23*$B289</f>
      </c>
      <c r="AQ289" s="12">
        <f>IF(AP289&gt;0,IF(AP289&lt;=eco,alpha*fck*(1-(1-AP289/eco)^n),alpha*fck),0)</f>
      </c>
      <c r="AR289" s="30">
        <f>PM_Angle!$J$24+PM_Angle!$K$24*$C289+PM_Angle!$L$24*$B289</f>
      </c>
      <c r="AS289" s="12">
        <f>IF(AR289&gt;0,IF(AR289&lt;=eco,alpha*fck*(1-(1-AR289/eco)^n),alpha*fck),0)</f>
      </c>
      <c r="AT289" s="30">
        <f>PM_Angle!$J$25+PM_Angle!$K$25*$C289+PM_Angle!$L$25*$B289</f>
      </c>
      <c r="AU289" s="12">
        <f>IF(AT289&gt;0,IF(AT289&lt;=eco,alpha*fck*(1-(1-AT289/eco)^n),alpha*fck),0)</f>
      </c>
    </row>
    <row r="290" spans="1:47" x14ac:dyDescent="0.25">
      <c r="A290">
        <f>Mesh!A287</f>
      </c>
      <c r="B290" s="12">
        <f>Mesh!B287</f>
      </c>
      <c r="C290" s="12">
        <f>Mesh!C287</f>
      </c>
      <c r="D290" s="12">
        <f>Mesh!D287</f>
      </c>
      <c r="E290" s="30">
        <f>INDEX(St_e0,Det+1)+INDEX(St_kx,Det+1)*C290+INDEX(St_ky,Det+1)*B290</f>
      </c>
      <c r="F290" s="12">
        <f>IF(E290&gt;0,IF(E290&lt;=eco,alpha*fck*(1-(1-E290/eco)^n),alpha*fck),0)</f>
      </c>
      <c r="G290" s="11">
        <f>F290*D290</f>
      </c>
      <c r="H290" s="11">
        <f>G290*C290</f>
      </c>
      <c r="I290" s="11">
        <f>G290*B290</f>
      </c>
      <c r="J290" s="30">
        <f>PM_Angle!$J$7+PM_Angle!$K$7*$C290+PM_Angle!$L$7*$B290</f>
      </c>
      <c r="K290" s="12">
        <f>IF(J290&gt;0,IF(J290&lt;=eco,alpha*fck*(1-(1-J290/eco)^n),alpha*fck),0)</f>
      </c>
      <c r="L290" s="30">
        <f>PM_Angle!$J$8+PM_Angle!$K$8*$C290+PM_Angle!$L$8*$B290</f>
      </c>
      <c r="M290" s="12">
        <f>IF(L290&gt;0,IF(L290&lt;=eco,alpha*fck*(1-(1-L290/eco)^n),alpha*fck),0)</f>
      </c>
      <c r="N290" s="30">
        <f>PM_Angle!$J$9+PM_Angle!$K$9*$C290+PM_Angle!$L$9*$B290</f>
      </c>
      <c r="O290" s="12">
        <f>IF(N290&gt;0,IF(N290&lt;=eco,alpha*fck*(1-(1-N290/eco)^n),alpha*fck),0)</f>
      </c>
      <c r="P290" s="30">
        <f>PM_Angle!$J$10+PM_Angle!$K$10*$C290+PM_Angle!$L$10*$B290</f>
      </c>
      <c r="Q290" s="12">
        <f>IF(P290&gt;0,IF(P290&lt;=eco,alpha*fck*(1-(1-P290/eco)^n),alpha*fck),0)</f>
      </c>
      <c r="R290" s="30">
        <f>PM_Angle!$J$11+PM_Angle!$K$11*$C290+PM_Angle!$L$11*$B290</f>
      </c>
      <c r="S290" s="12">
        <f>IF(R290&gt;0,IF(R290&lt;=eco,alpha*fck*(1-(1-R290/eco)^n),alpha*fck),0)</f>
      </c>
      <c r="T290" s="30">
        <f>PM_Angle!$J$12+PM_Angle!$K$12*$C290+PM_Angle!$L$12*$B290</f>
      </c>
      <c r="U290" s="12">
        <f>IF(T290&gt;0,IF(T290&lt;=eco,alpha*fck*(1-(1-T290/eco)^n),alpha*fck),0)</f>
      </c>
      <c r="V290" s="30">
        <f>PM_Angle!$J$13+PM_Angle!$K$13*$C290+PM_Angle!$L$13*$B290</f>
      </c>
      <c r="W290" s="12">
        <f>IF(V290&gt;0,IF(V290&lt;=eco,alpha*fck*(1-(1-V290/eco)^n),alpha*fck),0)</f>
      </c>
      <c r="X290" s="30">
        <f>PM_Angle!$J$14+PM_Angle!$K$14*$C290+PM_Angle!$L$14*$B290</f>
      </c>
      <c r="Y290" s="12">
        <f>IF(X290&gt;0,IF(X290&lt;=eco,alpha*fck*(1-(1-X290/eco)^n),alpha*fck),0)</f>
      </c>
      <c r="Z290" s="30">
        <f>PM_Angle!$J$15+PM_Angle!$K$15*$C290+PM_Angle!$L$15*$B290</f>
      </c>
      <c r="AA290" s="12">
        <f>IF(Z290&gt;0,IF(Z290&lt;=eco,alpha*fck*(1-(1-Z290/eco)^n),alpha*fck),0)</f>
      </c>
      <c r="AB290" s="30">
        <f>PM_Angle!$J$16+PM_Angle!$K$16*$C290+PM_Angle!$L$16*$B290</f>
      </c>
      <c r="AC290" s="12">
        <f>IF(AB290&gt;0,IF(AB290&lt;=eco,alpha*fck*(1-(1-AB290/eco)^n),alpha*fck),0)</f>
      </c>
      <c r="AD290" s="30">
        <f>PM_Angle!$J$17+PM_Angle!$K$17*$C290+PM_Angle!$L$17*$B290</f>
      </c>
      <c r="AE290" s="12">
        <f>IF(AD290&gt;0,IF(AD290&lt;=eco,alpha*fck*(1-(1-AD290/eco)^n),alpha*fck),0)</f>
      </c>
      <c r="AF290" s="30">
        <f>PM_Angle!$J$18+PM_Angle!$K$18*$C290+PM_Angle!$L$18*$B290</f>
      </c>
      <c r="AG290" s="12">
        <f>IF(AF290&gt;0,IF(AF290&lt;=eco,alpha*fck*(1-(1-AF290/eco)^n),alpha*fck),0)</f>
      </c>
      <c r="AH290" s="30">
        <f>PM_Angle!$J$19+PM_Angle!$K$19*$C290+PM_Angle!$L$19*$B290</f>
      </c>
      <c r="AI290" s="12">
        <f>IF(AH290&gt;0,IF(AH290&lt;=eco,alpha*fck*(1-(1-AH290/eco)^n),alpha*fck),0)</f>
      </c>
      <c r="AJ290" s="30">
        <f>PM_Angle!$J$20+PM_Angle!$K$20*$C290+PM_Angle!$L$20*$B290</f>
      </c>
      <c r="AK290" s="12">
        <f>IF(AJ290&gt;0,IF(AJ290&lt;=eco,alpha*fck*(1-(1-AJ290/eco)^n),alpha*fck),0)</f>
      </c>
      <c r="AL290" s="30">
        <f>PM_Angle!$J$21+PM_Angle!$K$21*$C290+PM_Angle!$L$21*$B290</f>
      </c>
      <c r="AM290" s="12">
        <f>IF(AL290&gt;0,IF(AL290&lt;=eco,alpha*fck*(1-(1-AL290/eco)^n),alpha*fck),0)</f>
      </c>
      <c r="AN290" s="30">
        <f>PM_Angle!$J$22+PM_Angle!$K$22*$C290+PM_Angle!$L$22*$B290</f>
      </c>
      <c r="AO290" s="12">
        <f>IF(AN290&gt;0,IF(AN290&lt;=eco,alpha*fck*(1-(1-AN290/eco)^n),alpha*fck),0)</f>
      </c>
      <c r="AP290" s="30">
        <f>PM_Angle!$J$23+PM_Angle!$K$23*$C290+PM_Angle!$L$23*$B290</f>
      </c>
      <c r="AQ290" s="12">
        <f>IF(AP290&gt;0,IF(AP290&lt;=eco,alpha*fck*(1-(1-AP290/eco)^n),alpha*fck),0)</f>
      </c>
      <c r="AR290" s="30">
        <f>PM_Angle!$J$24+PM_Angle!$K$24*$C290+PM_Angle!$L$24*$B290</f>
      </c>
      <c r="AS290" s="12">
        <f>IF(AR290&gt;0,IF(AR290&lt;=eco,alpha*fck*(1-(1-AR290/eco)^n),alpha*fck),0)</f>
      </c>
      <c r="AT290" s="30">
        <f>PM_Angle!$J$25+PM_Angle!$K$25*$C290+PM_Angle!$L$25*$B290</f>
      </c>
      <c r="AU290" s="12">
        <f>IF(AT290&gt;0,IF(AT290&lt;=eco,alpha*fck*(1-(1-AT290/eco)^n),alpha*fck),0)</f>
      </c>
    </row>
    <row r="291" spans="1:47" x14ac:dyDescent="0.25">
      <c r="A291">
        <f>Mesh!A288</f>
      </c>
      <c r="B291" s="12">
        <f>Mesh!B288</f>
      </c>
      <c r="C291" s="12">
        <f>Mesh!C288</f>
      </c>
      <c r="D291" s="12">
        <f>Mesh!D288</f>
      </c>
      <c r="E291" s="30">
        <f>INDEX(St_e0,Det+1)+INDEX(St_kx,Det+1)*C291+INDEX(St_ky,Det+1)*B291</f>
      </c>
      <c r="F291" s="12">
        <f>IF(E291&gt;0,IF(E291&lt;=eco,alpha*fck*(1-(1-E291/eco)^n),alpha*fck),0)</f>
      </c>
      <c r="G291" s="11">
        <f>F291*D291</f>
      </c>
      <c r="H291" s="11">
        <f>G291*C291</f>
      </c>
      <c r="I291" s="11">
        <f>G291*B291</f>
      </c>
      <c r="J291" s="30">
        <f>PM_Angle!$J$7+PM_Angle!$K$7*$C291+PM_Angle!$L$7*$B291</f>
      </c>
      <c r="K291" s="12">
        <f>IF(J291&gt;0,IF(J291&lt;=eco,alpha*fck*(1-(1-J291/eco)^n),alpha*fck),0)</f>
      </c>
      <c r="L291" s="30">
        <f>PM_Angle!$J$8+PM_Angle!$K$8*$C291+PM_Angle!$L$8*$B291</f>
      </c>
      <c r="M291" s="12">
        <f>IF(L291&gt;0,IF(L291&lt;=eco,alpha*fck*(1-(1-L291/eco)^n),alpha*fck),0)</f>
      </c>
      <c r="N291" s="30">
        <f>PM_Angle!$J$9+PM_Angle!$K$9*$C291+PM_Angle!$L$9*$B291</f>
      </c>
      <c r="O291" s="12">
        <f>IF(N291&gt;0,IF(N291&lt;=eco,alpha*fck*(1-(1-N291/eco)^n),alpha*fck),0)</f>
      </c>
      <c r="P291" s="30">
        <f>PM_Angle!$J$10+PM_Angle!$K$10*$C291+PM_Angle!$L$10*$B291</f>
      </c>
      <c r="Q291" s="12">
        <f>IF(P291&gt;0,IF(P291&lt;=eco,alpha*fck*(1-(1-P291/eco)^n),alpha*fck),0)</f>
      </c>
      <c r="R291" s="30">
        <f>PM_Angle!$J$11+PM_Angle!$K$11*$C291+PM_Angle!$L$11*$B291</f>
      </c>
      <c r="S291" s="12">
        <f>IF(R291&gt;0,IF(R291&lt;=eco,alpha*fck*(1-(1-R291/eco)^n),alpha*fck),0)</f>
      </c>
      <c r="T291" s="30">
        <f>PM_Angle!$J$12+PM_Angle!$K$12*$C291+PM_Angle!$L$12*$B291</f>
      </c>
      <c r="U291" s="12">
        <f>IF(T291&gt;0,IF(T291&lt;=eco,alpha*fck*(1-(1-T291/eco)^n),alpha*fck),0)</f>
      </c>
      <c r="V291" s="30">
        <f>PM_Angle!$J$13+PM_Angle!$K$13*$C291+PM_Angle!$L$13*$B291</f>
      </c>
      <c r="W291" s="12">
        <f>IF(V291&gt;0,IF(V291&lt;=eco,alpha*fck*(1-(1-V291/eco)^n),alpha*fck),0)</f>
      </c>
      <c r="X291" s="30">
        <f>PM_Angle!$J$14+PM_Angle!$K$14*$C291+PM_Angle!$L$14*$B291</f>
      </c>
      <c r="Y291" s="12">
        <f>IF(X291&gt;0,IF(X291&lt;=eco,alpha*fck*(1-(1-X291/eco)^n),alpha*fck),0)</f>
      </c>
      <c r="Z291" s="30">
        <f>PM_Angle!$J$15+PM_Angle!$K$15*$C291+PM_Angle!$L$15*$B291</f>
      </c>
      <c r="AA291" s="12">
        <f>IF(Z291&gt;0,IF(Z291&lt;=eco,alpha*fck*(1-(1-Z291/eco)^n),alpha*fck),0)</f>
      </c>
      <c r="AB291" s="30">
        <f>PM_Angle!$J$16+PM_Angle!$K$16*$C291+PM_Angle!$L$16*$B291</f>
      </c>
      <c r="AC291" s="12">
        <f>IF(AB291&gt;0,IF(AB291&lt;=eco,alpha*fck*(1-(1-AB291/eco)^n),alpha*fck),0)</f>
      </c>
      <c r="AD291" s="30">
        <f>PM_Angle!$J$17+PM_Angle!$K$17*$C291+PM_Angle!$L$17*$B291</f>
      </c>
      <c r="AE291" s="12">
        <f>IF(AD291&gt;0,IF(AD291&lt;=eco,alpha*fck*(1-(1-AD291/eco)^n),alpha*fck),0)</f>
      </c>
      <c r="AF291" s="30">
        <f>PM_Angle!$J$18+PM_Angle!$K$18*$C291+PM_Angle!$L$18*$B291</f>
      </c>
      <c r="AG291" s="12">
        <f>IF(AF291&gt;0,IF(AF291&lt;=eco,alpha*fck*(1-(1-AF291/eco)^n),alpha*fck),0)</f>
      </c>
      <c r="AH291" s="30">
        <f>PM_Angle!$J$19+PM_Angle!$K$19*$C291+PM_Angle!$L$19*$B291</f>
      </c>
      <c r="AI291" s="12">
        <f>IF(AH291&gt;0,IF(AH291&lt;=eco,alpha*fck*(1-(1-AH291/eco)^n),alpha*fck),0)</f>
      </c>
      <c r="AJ291" s="30">
        <f>PM_Angle!$J$20+PM_Angle!$K$20*$C291+PM_Angle!$L$20*$B291</f>
      </c>
      <c r="AK291" s="12">
        <f>IF(AJ291&gt;0,IF(AJ291&lt;=eco,alpha*fck*(1-(1-AJ291/eco)^n),alpha*fck),0)</f>
      </c>
      <c r="AL291" s="30">
        <f>PM_Angle!$J$21+PM_Angle!$K$21*$C291+PM_Angle!$L$21*$B291</f>
      </c>
      <c r="AM291" s="12">
        <f>IF(AL291&gt;0,IF(AL291&lt;=eco,alpha*fck*(1-(1-AL291/eco)^n),alpha*fck),0)</f>
      </c>
      <c r="AN291" s="30">
        <f>PM_Angle!$J$22+PM_Angle!$K$22*$C291+PM_Angle!$L$22*$B291</f>
      </c>
      <c r="AO291" s="12">
        <f>IF(AN291&gt;0,IF(AN291&lt;=eco,alpha*fck*(1-(1-AN291/eco)^n),alpha*fck),0)</f>
      </c>
      <c r="AP291" s="30">
        <f>PM_Angle!$J$23+PM_Angle!$K$23*$C291+PM_Angle!$L$23*$B291</f>
      </c>
      <c r="AQ291" s="12">
        <f>IF(AP291&gt;0,IF(AP291&lt;=eco,alpha*fck*(1-(1-AP291/eco)^n),alpha*fck),0)</f>
      </c>
      <c r="AR291" s="30">
        <f>PM_Angle!$J$24+PM_Angle!$K$24*$C291+PM_Angle!$L$24*$B291</f>
      </c>
      <c r="AS291" s="12">
        <f>IF(AR291&gt;0,IF(AR291&lt;=eco,alpha*fck*(1-(1-AR291/eco)^n),alpha*fck),0)</f>
      </c>
      <c r="AT291" s="30">
        <f>PM_Angle!$J$25+PM_Angle!$K$25*$C291+PM_Angle!$L$25*$B291</f>
      </c>
      <c r="AU291" s="12">
        <f>IF(AT291&gt;0,IF(AT291&lt;=eco,alpha*fck*(1-(1-AT291/eco)^n),alpha*fck),0)</f>
      </c>
    </row>
    <row r="292" spans="1:47" x14ac:dyDescent="0.25">
      <c r="A292">
        <f>Mesh!A289</f>
      </c>
      <c r="B292" s="12">
        <f>Mesh!B289</f>
      </c>
      <c r="C292" s="12">
        <f>Mesh!C289</f>
      </c>
      <c r="D292" s="12">
        <f>Mesh!D289</f>
      </c>
      <c r="E292" s="30">
        <f>INDEX(St_e0,Det+1)+INDEX(St_kx,Det+1)*C292+INDEX(St_ky,Det+1)*B292</f>
      </c>
      <c r="F292" s="12">
        <f>IF(E292&gt;0,IF(E292&lt;=eco,alpha*fck*(1-(1-E292/eco)^n),alpha*fck),0)</f>
      </c>
      <c r="G292" s="11">
        <f>F292*D292</f>
      </c>
      <c r="H292" s="11">
        <f>G292*C292</f>
      </c>
      <c r="I292" s="11">
        <f>G292*B292</f>
      </c>
      <c r="J292" s="30">
        <f>PM_Angle!$J$7+PM_Angle!$K$7*$C292+PM_Angle!$L$7*$B292</f>
      </c>
      <c r="K292" s="12">
        <f>IF(J292&gt;0,IF(J292&lt;=eco,alpha*fck*(1-(1-J292/eco)^n),alpha*fck),0)</f>
      </c>
      <c r="L292" s="30">
        <f>PM_Angle!$J$8+PM_Angle!$K$8*$C292+PM_Angle!$L$8*$B292</f>
      </c>
      <c r="M292" s="12">
        <f>IF(L292&gt;0,IF(L292&lt;=eco,alpha*fck*(1-(1-L292/eco)^n),alpha*fck),0)</f>
      </c>
      <c r="N292" s="30">
        <f>PM_Angle!$J$9+PM_Angle!$K$9*$C292+PM_Angle!$L$9*$B292</f>
      </c>
      <c r="O292" s="12">
        <f>IF(N292&gt;0,IF(N292&lt;=eco,alpha*fck*(1-(1-N292/eco)^n),alpha*fck),0)</f>
      </c>
      <c r="P292" s="30">
        <f>PM_Angle!$J$10+PM_Angle!$K$10*$C292+PM_Angle!$L$10*$B292</f>
      </c>
      <c r="Q292" s="12">
        <f>IF(P292&gt;0,IF(P292&lt;=eco,alpha*fck*(1-(1-P292/eco)^n),alpha*fck),0)</f>
      </c>
      <c r="R292" s="30">
        <f>PM_Angle!$J$11+PM_Angle!$K$11*$C292+PM_Angle!$L$11*$B292</f>
      </c>
      <c r="S292" s="12">
        <f>IF(R292&gt;0,IF(R292&lt;=eco,alpha*fck*(1-(1-R292/eco)^n),alpha*fck),0)</f>
      </c>
      <c r="T292" s="30">
        <f>PM_Angle!$J$12+PM_Angle!$K$12*$C292+PM_Angle!$L$12*$B292</f>
      </c>
      <c r="U292" s="12">
        <f>IF(T292&gt;0,IF(T292&lt;=eco,alpha*fck*(1-(1-T292/eco)^n),alpha*fck),0)</f>
      </c>
      <c r="V292" s="30">
        <f>PM_Angle!$J$13+PM_Angle!$K$13*$C292+PM_Angle!$L$13*$B292</f>
      </c>
      <c r="W292" s="12">
        <f>IF(V292&gt;0,IF(V292&lt;=eco,alpha*fck*(1-(1-V292/eco)^n),alpha*fck),0)</f>
      </c>
      <c r="X292" s="30">
        <f>PM_Angle!$J$14+PM_Angle!$K$14*$C292+PM_Angle!$L$14*$B292</f>
      </c>
      <c r="Y292" s="12">
        <f>IF(X292&gt;0,IF(X292&lt;=eco,alpha*fck*(1-(1-X292/eco)^n),alpha*fck),0)</f>
      </c>
      <c r="Z292" s="30">
        <f>PM_Angle!$J$15+PM_Angle!$K$15*$C292+PM_Angle!$L$15*$B292</f>
      </c>
      <c r="AA292" s="12">
        <f>IF(Z292&gt;0,IF(Z292&lt;=eco,alpha*fck*(1-(1-Z292/eco)^n),alpha*fck),0)</f>
      </c>
      <c r="AB292" s="30">
        <f>PM_Angle!$J$16+PM_Angle!$K$16*$C292+PM_Angle!$L$16*$B292</f>
      </c>
      <c r="AC292" s="12">
        <f>IF(AB292&gt;0,IF(AB292&lt;=eco,alpha*fck*(1-(1-AB292/eco)^n),alpha*fck),0)</f>
      </c>
      <c r="AD292" s="30">
        <f>PM_Angle!$J$17+PM_Angle!$K$17*$C292+PM_Angle!$L$17*$B292</f>
      </c>
      <c r="AE292" s="12">
        <f>IF(AD292&gt;0,IF(AD292&lt;=eco,alpha*fck*(1-(1-AD292/eco)^n),alpha*fck),0)</f>
      </c>
      <c r="AF292" s="30">
        <f>PM_Angle!$J$18+PM_Angle!$K$18*$C292+PM_Angle!$L$18*$B292</f>
      </c>
      <c r="AG292" s="12">
        <f>IF(AF292&gt;0,IF(AF292&lt;=eco,alpha*fck*(1-(1-AF292/eco)^n),alpha*fck),0)</f>
      </c>
      <c r="AH292" s="30">
        <f>PM_Angle!$J$19+PM_Angle!$K$19*$C292+PM_Angle!$L$19*$B292</f>
      </c>
      <c r="AI292" s="12">
        <f>IF(AH292&gt;0,IF(AH292&lt;=eco,alpha*fck*(1-(1-AH292/eco)^n),alpha*fck),0)</f>
      </c>
      <c r="AJ292" s="30">
        <f>PM_Angle!$J$20+PM_Angle!$K$20*$C292+PM_Angle!$L$20*$B292</f>
      </c>
      <c r="AK292" s="12">
        <f>IF(AJ292&gt;0,IF(AJ292&lt;=eco,alpha*fck*(1-(1-AJ292/eco)^n),alpha*fck),0)</f>
      </c>
      <c r="AL292" s="30">
        <f>PM_Angle!$J$21+PM_Angle!$K$21*$C292+PM_Angle!$L$21*$B292</f>
      </c>
      <c r="AM292" s="12">
        <f>IF(AL292&gt;0,IF(AL292&lt;=eco,alpha*fck*(1-(1-AL292/eco)^n),alpha*fck),0)</f>
      </c>
      <c r="AN292" s="30">
        <f>PM_Angle!$J$22+PM_Angle!$K$22*$C292+PM_Angle!$L$22*$B292</f>
      </c>
      <c r="AO292" s="12">
        <f>IF(AN292&gt;0,IF(AN292&lt;=eco,alpha*fck*(1-(1-AN292/eco)^n),alpha*fck),0)</f>
      </c>
      <c r="AP292" s="30">
        <f>PM_Angle!$J$23+PM_Angle!$K$23*$C292+PM_Angle!$L$23*$B292</f>
      </c>
      <c r="AQ292" s="12">
        <f>IF(AP292&gt;0,IF(AP292&lt;=eco,alpha*fck*(1-(1-AP292/eco)^n),alpha*fck),0)</f>
      </c>
      <c r="AR292" s="30">
        <f>PM_Angle!$J$24+PM_Angle!$K$24*$C292+PM_Angle!$L$24*$B292</f>
      </c>
      <c r="AS292" s="12">
        <f>IF(AR292&gt;0,IF(AR292&lt;=eco,alpha*fck*(1-(1-AR292/eco)^n),alpha*fck),0)</f>
      </c>
      <c r="AT292" s="30">
        <f>PM_Angle!$J$25+PM_Angle!$K$25*$C292+PM_Angle!$L$25*$B292</f>
      </c>
      <c r="AU292" s="12">
        <f>IF(AT292&gt;0,IF(AT292&lt;=eco,alpha*fck*(1-(1-AT292/eco)^n),alpha*fck),0)</f>
      </c>
    </row>
    <row r="293" spans="1:47" x14ac:dyDescent="0.25">
      <c r="A293">
        <f>Mesh!A290</f>
      </c>
      <c r="B293" s="12">
        <f>Mesh!B290</f>
      </c>
      <c r="C293" s="12">
        <f>Mesh!C290</f>
      </c>
      <c r="D293" s="12">
        <f>Mesh!D290</f>
      </c>
      <c r="E293" s="30">
        <f>INDEX(St_e0,Det+1)+INDEX(St_kx,Det+1)*C293+INDEX(St_ky,Det+1)*B293</f>
      </c>
      <c r="F293" s="12">
        <f>IF(E293&gt;0,IF(E293&lt;=eco,alpha*fck*(1-(1-E293/eco)^n),alpha*fck),0)</f>
      </c>
      <c r="G293" s="11">
        <f>F293*D293</f>
      </c>
      <c r="H293" s="11">
        <f>G293*C293</f>
      </c>
      <c r="I293" s="11">
        <f>G293*B293</f>
      </c>
      <c r="J293" s="30">
        <f>PM_Angle!$J$7+PM_Angle!$K$7*$C293+PM_Angle!$L$7*$B293</f>
      </c>
      <c r="K293" s="12">
        <f>IF(J293&gt;0,IF(J293&lt;=eco,alpha*fck*(1-(1-J293/eco)^n),alpha*fck),0)</f>
      </c>
      <c r="L293" s="30">
        <f>PM_Angle!$J$8+PM_Angle!$K$8*$C293+PM_Angle!$L$8*$B293</f>
      </c>
      <c r="M293" s="12">
        <f>IF(L293&gt;0,IF(L293&lt;=eco,alpha*fck*(1-(1-L293/eco)^n),alpha*fck),0)</f>
      </c>
      <c r="N293" s="30">
        <f>PM_Angle!$J$9+PM_Angle!$K$9*$C293+PM_Angle!$L$9*$B293</f>
      </c>
      <c r="O293" s="12">
        <f>IF(N293&gt;0,IF(N293&lt;=eco,alpha*fck*(1-(1-N293/eco)^n),alpha*fck),0)</f>
      </c>
      <c r="P293" s="30">
        <f>PM_Angle!$J$10+PM_Angle!$K$10*$C293+PM_Angle!$L$10*$B293</f>
      </c>
      <c r="Q293" s="12">
        <f>IF(P293&gt;0,IF(P293&lt;=eco,alpha*fck*(1-(1-P293/eco)^n),alpha*fck),0)</f>
      </c>
      <c r="R293" s="30">
        <f>PM_Angle!$J$11+PM_Angle!$K$11*$C293+PM_Angle!$L$11*$B293</f>
      </c>
      <c r="S293" s="12">
        <f>IF(R293&gt;0,IF(R293&lt;=eco,alpha*fck*(1-(1-R293/eco)^n),alpha*fck),0)</f>
      </c>
      <c r="T293" s="30">
        <f>PM_Angle!$J$12+PM_Angle!$K$12*$C293+PM_Angle!$L$12*$B293</f>
      </c>
      <c r="U293" s="12">
        <f>IF(T293&gt;0,IF(T293&lt;=eco,alpha*fck*(1-(1-T293/eco)^n),alpha*fck),0)</f>
      </c>
      <c r="V293" s="30">
        <f>PM_Angle!$J$13+PM_Angle!$K$13*$C293+PM_Angle!$L$13*$B293</f>
      </c>
      <c r="W293" s="12">
        <f>IF(V293&gt;0,IF(V293&lt;=eco,alpha*fck*(1-(1-V293/eco)^n),alpha*fck),0)</f>
      </c>
      <c r="X293" s="30">
        <f>PM_Angle!$J$14+PM_Angle!$K$14*$C293+PM_Angle!$L$14*$B293</f>
      </c>
      <c r="Y293" s="12">
        <f>IF(X293&gt;0,IF(X293&lt;=eco,alpha*fck*(1-(1-X293/eco)^n),alpha*fck),0)</f>
      </c>
      <c r="Z293" s="30">
        <f>PM_Angle!$J$15+PM_Angle!$K$15*$C293+PM_Angle!$L$15*$B293</f>
      </c>
      <c r="AA293" s="12">
        <f>IF(Z293&gt;0,IF(Z293&lt;=eco,alpha*fck*(1-(1-Z293/eco)^n),alpha*fck),0)</f>
      </c>
      <c r="AB293" s="30">
        <f>PM_Angle!$J$16+PM_Angle!$K$16*$C293+PM_Angle!$L$16*$B293</f>
      </c>
      <c r="AC293" s="12">
        <f>IF(AB293&gt;0,IF(AB293&lt;=eco,alpha*fck*(1-(1-AB293/eco)^n),alpha*fck),0)</f>
      </c>
      <c r="AD293" s="30">
        <f>PM_Angle!$J$17+PM_Angle!$K$17*$C293+PM_Angle!$L$17*$B293</f>
      </c>
      <c r="AE293" s="12">
        <f>IF(AD293&gt;0,IF(AD293&lt;=eco,alpha*fck*(1-(1-AD293/eco)^n),alpha*fck),0)</f>
      </c>
      <c r="AF293" s="30">
        <f>PM_Angle!$J$18+PM_Angle!$K$18*$C293+PM_Angle!$L$18*$B293</f>
      </c>
      <c r="AG293" s="12">
        <f>IF(AF293&gt;0,IF(AF293&lt;=eco,alpha*fck*(1-(1-AF293/eco)^n),alpha*fck),0)</f>
      </c>
      <c r="AH293" s="30">
        <f>PM_Angle!$J$19+PM_Angle!$K$19*$C293+PM_Angle!$L$19*$B293</f>
      </c>
      <c r="AI293" s="12">
        <f>IF(AH293&gt;0,IF(AH293&lt;=eco,alpha*fck*(1-(1-AH293/eco)^n),alpha*fck),0)</f>
      </c>
      <c r="AJ293" s="30">
        <f>PM_Angle!$J$20+PM_Angle!$K$20*$C293+PM_Angle!$L$20*$B293</f>
      </c>
      <c r="AK293" s="12">
        <f>IF(AJ293&gt;0,IF(AJ293&lt;=eco,alpha*fck*(1-(1-AJ293/eco)^n),alpha*fck),0)</f>
      </c>
      <c r="AL293" s="30">
        <f>PM_Angle!$J$21+PM_Angle!$K$21*$C293+PM_Angle!$L$21*$B293</f>
      </c>
      <c r="AM293" s="12">
        <f>IF(AL293&gt;0,IF(AL293&lt;=eco,alpha*fck*(1-(1-AL293/eco)^n),alpha*fck),0)</f>
      </c>
      <c r="AN293" s="30">
        <f>PM_Angle!$J$22+PM_Angle!$K$22*$C293+PM_Angle!$L$22*$B293</f>
      </c>
      <c r="AO293" s="12">
        <f>IF(AN293&gt;0,IF(AN293&lt;=eco,alpha*fck*(1-(1-AN293/eco)^n),alpha*fck),0)</f>
      </c>
      <c r="AP293" s="30">
        <f>PM_Angle!$J$23+PM_Angle!$K$23*$C293+PM_Angle!$L$23*$B293</f>
      </c>
      <c r="AQ293" s="12">
        <f>IF(AP293&gt;0,IF(AP293&lt;=eco,alpha*fck*(1-(1-AP293/eco)^n),alpha*fck),0)</f>
      </c>
      <c r="AR293" s="30">
        <f>PM_Angle!$J$24+PM_Angle!$K$24*$C293+PM_Angle!$L$24*$B293</f>
      </c>
      <c r="AS293" s="12">
        <f>IF(AR293&gt;0,IF(AR293&lt;=eco,alpha*fck*(1-(1-AR293/eco)^n),alpha*fck),0)</f>
      </c>
      <c r="AT293" s="30">
        <f>PM_Angle!$J$25+PM_Angle!$K$25*$C293+PM_Angle!$L$25*$B293</f>
      </c>
      <c r="AU293" s="12">
        <f>IF(AT293&gt;0,IF(AT293&lt;=eco,alpha*fck*(1-(1-AT293/eco)^n),alpha*fck),0)</f>
      </c>
    </row>
    <row r="294" spans="1:47" x14ac:dyDescent="0.25">
      <c r="A294">
        <f>Mesh!A291</f>
      </c>
      <c r="B294" s="12">
        <f>Mesh!B291</f>
      </c>
      <c r="C294" s="12">
        <f>Mesh!C291</f>
      </c>
      <c r="D294" s="12">
        <f>Mesh!D291</f>
      </c>
      <c r="E294" s="30">
        <f>INDEX(St_e0,Det+1)+INDEX(St_kx,Det+1)*C294+INDEX(St_ky,Det+1)*B294</f>
      </c>
      <c r="F294" s="12">
        <f>IF(E294&gt;0,IF(E294&lt;=eco,alpha*fck*(1-(1-E294/eco)^n),alpha*fck),0)</f>
      </c>
      <c r="G294" s="11">
        <f>F294*D294</f>
      </c>
      <c r="H294" s="11">
        <f>G294*C294</f>
      </c>
      <c r="I294" s="11">
        <f>G294*B294</f>
      </c>
      <c r="J294" s="30">
        <f>PM_Angle!$J$7+PM_Angle!$K$7*$C294+PM_Angle!$L$7*$B294</f>
      </c>
      <c r="K294" s="12">
        <f>IF(J294&gt;0,IF(J294&lt;=eco,alpha*fck*(1-(1-J294/eco)^n),alpha*fck),0)</f>
      </c>
      <c r="L294" s="30">
        <f>PM_Angle!$J$8+PM_Angle!$K$8*$C294+PM_Angle!$L$8*$B294</f>
      </c>
      <c r="M294" s="12">
        <f>IF(L294&gt;0,IF(L294&lt;=eco,alpha*fck*(1-(1-L294/eco)^n),alpha*fck),0)</f>
      </c>
      <c r="N294" s="30">
        <f>PM_Angle!$J$9+PM_Angle!$K$9*$C294+PM_Angle!$L$9*$B294</f>
      </c>
      <c r="O294" s="12">
        <f>IF(N294&gt;0,IF(N294&lt;=eco,alpha*fck*(1-(1-N294/eco)^n),alpha*fck),0)</f>
      </c>
      <c r="P294" s="30">
        <f>PM_Angle!$J$10+PM_Angle!$K$10*$C294+PM_Angle!$L$10*$B294</f>
      </c>
      <c r="Q294" s="12">
        <f>IF(P294&gt;0,IF(P294&lt;=eco,alpha*fck*(1-(1-P294/eco)^n),alpha*fck),0)</f>
      </c>
      <c r="R294" s="30">
        <f>PM_Angle!$J$11+PM_Angle!$K$11*$C294+PM_Angle!$L$11*$B294</f>
      </c>
      <c r="S294" s="12">
        <f>IF(R294&gt;0,IF(R294&lt;=eco,alpha*fck*(1-(1-R294/eco)^n),alpha*fck),0)</f>
      </c>
      <c r="T294" s="30">
        <f>PM_Angle!$J$12+PM_Angle!$K$12*$C294+PM_Angle!$L$12*$B294</f>
      </c>
      <c r="U294" s="12">
        <f>IF(T294&gt;0,IF(T294&lt;=eco,alpha*fck*(1-(1-T294/eco)^n),alpha*fck),0)</f>
      </c>
      <c r="V294" s="30">
        <f>PM_Angle!$J$13+PM_Angle!$K$13*$C294+PM_Angle!$L$13*$B294</f>
      </c>
      <c r="W294" s="12">
        <f>IF(V294&gt;0,IF(V294&lt;=eco,alpha*fck*(1-(1-V294/eco)^n),alpha*fck),0)</f>
      </c>
      <c r="X294" s="30">
        <f>PM_Angle!$J$14+PM_Angle!$K$14*$C294+PM_Angle!$L$14*$B294</f>
      </c>
      <c r="Y294" s="12">
        <f>IF(X294&gt;0,IF(X294&lt;=eco,alpha*fck*(1-(1-X294/eco)^n),alpha*fck),0)</f>
      </c>
      <c r="Z294" s="30">
        <f>PM_Angle!$J$15+PM_Angle!$K$15*$C294+PM_Angle!$L$15*$B294</f>
      </c>
      <c r="AA294" s="12">
        <f>IF(Z294&gt;0,IF(Z294&lt;=eco,alpha*fck*(1-(1-Z294/eco)^n),alpha*fck),0)</f>
      </c>
      <c r="AB294" s="30">
        <f>PM_Angle!$J$16+PM_Angle!$K$16*$C294+PM_Angle!$L$16*$B294</f>
      </c>
      <c r="AC294" s="12">
        <f>IF(AB294&gt;0,IF(AB294&lt;=eco,alpha*fck*(1-(1-AB294/eco)^n),alpha*fck),0)</f>
      </c>
      <c r="AD294" s="30">
        <f>PM_Angle!$J$17+PM_Angle!$K$17*$C294+PM_Angle!$L$17*$B294</f>
      </c>
      <c r="AE294" s="12">
        <f>IF(AD294&gt;0,IF(AD294&lt;=eco,alpha*fck*(1-(1-AD294/eco)^n),alpha*fck),0)</f>
      </c>
      <c r="AF294" s="30">
        <f>PM_Angle!$J$18+PM_Angle!$K$18*$C294+PM_Angle!$L$18*$B294</f>
      </c>
      <c r="AG294" s="12">
        <f>IF(AF294&gt;0,IF(AF294&lt;=eco,alpha*fck*(1-(1-AF294/eco)^n),alpha*fck),0)</f>
      </c>
      <c r="AH294" s="30">
        <f>PM_Angle!$J$19+PM_Angle!$K$19*$C294+PM_Angle!$L$19*$B294</f>
      </c>
      <c r="AI294" s="12">
        <f>IF(AH294&gt;0,IF(AH294&lt;=eco,alpha*fck*(1-(1-AH294/eco)^n),alpha*fck),0)</f>
      </c>
      <c r="AJ294" s="30">
        <f>PM_Angle!$J$20+PM_Angle!$K$20*$C294+PM_Angle!$L$20*$B294</f>
      </c>
      <c r="AK294" s="12">
        <f>IF(AJ294&gt;0,IF(AJ294&lt;=eco,alpha*fck*(1-(1-AJ294/eco)^n),alpha*fck),0)</f>
      </c>
      <c r="AL294" s="30">
        <f>PM_Angle!$J$21+PM_Angle!$K$21*$C294+PM_Angle!$L$21*$B294</f>
      </c>
      <c r="AM294" s="12">
        <f>IF(AL294&gt;0,IF(AL294&lt;=eco,alpha*fck*(1-(1-AL294/eco)^n),alpha*fck),0)</f>
      </c>
      <c r="AN294" s="30">
        <f>PM_Angle!$J$22+PM_Angle!$K$22*$C294+PM_Angle!$L$22*$B294</f>
      </c>
      <c r="AO294" s="12">
        <f>IF(AN294&gt;0,IF(AN294&lt;=eco,alpha*fck*(1-(1-AN294/eco)^n),alpha*fck),0)</f>
      </c>
      <c r="AP294" s="30">
        <f>PM_Angle!$J$23+PM_Angle!$K$23*$C294+PM_Angle!$L$23*$B294</f>
      </c>
      <c r="AQ294" s="12">
        <f>IF(AP294&gt;0,IF(AP294&lt;=eco,alpha*fck*(1-(1-AP294/eco)^n),alpha*fck),0)</f>
      </c>
      <c r="AR294" s="30">
        <f>PM_Angle!$J$24+PM_Angle!$K$24*$C294+PM_Angle!$L$24*$B294</f>
      </c>
      <c r="AS294" s="12">
        <f>IF(AR294&gt;0,IF(AR294&lt;=eco,alpha*fck*(1-(1-AR294/eco)^n),alpha*fck),0)</f>
      </c>
      <c r="AT294" s="30">
        <f>PM_Angle!$J$25+PM_Angle!$K$25*$C294+PM_Angle!$L$25*$B294</f>
      </c>
      <c r="AU294" s="12">
        <f>IF(AT294&gt;0,IF(AT294&lt;=eco,alpha*fck*(1-(1-AT294/eco)^n),alpha*fck),0)</f>
      </c>
    </row>
    <row r="295" spans="1:47" x14ac:dyDescent="0.25">
      <c r="A295">
        <f>Mesh!A292</f>
      </c>
      <c r="B295" s="12">
        <f>Mesh!B292</f>
      </c>
      <c r="C295" s="12">
        <f>Mesh!C292</f>
      </c>
      <c r="D295" s="12">
        <f>Mesh!D292</f>
      </c>
      <c r="E295" s="30">
        <f>INDEX(St_e0,Det+1)+INDEX(St_kx,Det+1)*C295+INDEX(St_ky,Det+1)*B295</f>
      </c>
      <c r="F295" s="12">
        <f>IF(E295&gt;0,IF(E295&lt;=eco,alpha*fck*(1-(1-E295/eco)^n),alpha*fck),0)</f>
      </c>
      <c r="G295" s="11">
        <f>F295*D295</f>
      </c>
      <c r="H295" s="11">
        <f>G295*C295</f>
      </c>
      <c r="I295" s="11">
        <f>G295*B295</f>
      </c>
      <c r="J295" s="30">
        <f>PM_Angle!$J$7+PM_Angle!$K$7*$C295+PM_Angle!$L$7*$B295</f>
      </c>
      <c r="K295" s="12">
        <f>IF(J295&gt;0,IF(J295&lt;=eco,alpha*fck*(1-(1-J295/eco)^n),alpha*fck),0)</f>
      </c>
      <c r="L295" s="30">
        <f>PM_Angle!$J$8+PM_Angle!$K$8*$C295+PM_Angle!$L$8*$B295</f>
      </c>
      <c r="M295" s="12">
        <f>IF(L295&gt;0,IF(L295&lt;=eco,alpha*fck*(1-(1-L295/eco)^n),alpha*fck),0)</f>
      </c>
      <c r="N295" s="30">
        <f>PM_Angle!$J$9+PM_Angle!$K$9*$C295+PM_Angle!$L$9*$B295</f>
      </c>
      <c r="O295" s="12">
        <f>IF(N295&gt;0,IF(N295&lt;=eco,alpha*fck*(1-(1-N295/eco)^n),alpha*fck),0)</f>
      </c>
      <c r="P295" s="30">
        <f>PM_Angle!$J$10+PM_Angle!$K$10*$C295+PM_Angle!$L$10*$B295</f>
      </c>
      <c r="Q295" s="12">
        <f>IF(P295&gt;0,IF(P295&lt;=eco,alpha*fck*(1-(1-P295/eco)^n),alpha*fck),0)</f>
      </c>
      <c r="R295" s="30">
        <f>PM_Angle!$J$11+PM_Angle!$K$11*$C295+PM_Angle!$L$11*$B295</f>
      </c>
      <c r="S295" s="12">
        <f>IF(R295&gt;0,IF(R295&lt;=eco,alpha*fck*(1-(1-R295/eco)^n),alpha*fck),0)</f>
      </c>
      <c r="T295" s="30">
        <f>PM_Angle!$J$12+PM_Angle!$K$12*$C295+PM_Angle!$L$12*$B295</f>
      </c>
      <c r="U295" s="12">
        <f>IF(T295&gt;0,IF(T295&lt;=eco,alpha*fck*(1-(1-T295/eco)^n),alpha*fck),0)</f>
      </c>
      <c r="V295" s="30">
        <f>PM_Angle!$J$13+PM_Angle!$K$13*$C295+PM_Angle!$L$13*$B295</f>
      </c>
      <c r="W295" s="12">
        <f>IF(V295&gt;0,IF(V295&lt;=eco,alpha*fck*(1-(1-V295/eco)^n),alpha*fck),0)</f>
      </c>
      <c r="X295" s="30">
        <f>PM_Angle!$J$14+PM_Angle!$K$14*$C295+PM_Angle!$L$14*$B295</f>
      </c>
      <c r="Y295" s="12">
        <f>IF(X295&gt;0,IF(X295&lt;=eco,alpha*fck*(1-(1-X295/eco)^n),alpha*fck),0)</f>
      </c>
      <c r="Z295" s="30">
        <f>PM_Angle!$J$15+PM_Angle!$K$15*$C295+PM_Angle!$L$15*$B295</f>
      </c>
      <c r="AA295" s="12">
        <f>IF(Z295&gt;0,IF(Z295&lt;=eco,alpha*fck*(1-(1-Z295/eco)^n),alpha*fck),0)</f>
      </c>
      <c r="AB295" s="30">
        <f>PM_Angle!$J$16+PM_Angle!$K$16*$C295+PM_Angle!$L$16*$B295</f>
      </c>
      <c r="AC295" s="12">
        <f>IF(AB295&gt;0,IF(AB295&lt;=eco,alpha*fck*(1-(1-AB295/eco)^n),alpha*fck),0)</f>
      </c>
      <c r="AD295" s="30">
        <f>PM_Angle!$J$17+PM_Angle!$K$17*$C295+PM_Angle!$L$17*$B295</f>
      </c>
      <c r="AE295" s="12">
        <f>IF(AD295&gt;0,IF(AD295&lt;=eco,alpha*fck*(1-(1-AD295/eco)^n),alpha*fck),0)</f>
      </c>
      <c r="AF295" s="30">
        <f>PM_Angle!$J$18+PM_Angle!$K$18*$C295+PM_Angle!$L$18*$B295</f>
      </c>
      <c r="AG295" s="12">
        <f>IF(AF295&gt;0,IF(AF295&lt;=eco,alpha*fck*(1-(1-AF295/eco)^n),alpha*fck),0)</f>
      </c>
      <c r="AH295" s="30">
        <f>PM_Angle!$J$19+PM_Angle!$K$19*$C295+PM_Angle!$L$19*$B295</f>
      </c>
      <c r="AI295" s="12">
        <f>IF(AH295&gt;0,IF(AH295&lt;=eco,alpha*fck*(1-(1-AH295/eco)^n),alpha*fck),0)</f>
      </c>
      <c r="AJ295" s="30">
        <f>PM_Angle!$J$20+PM_Angle!$K$20*$C295+PM_Angle!$L$20*$B295</f>
      </c>
      <c r="AK295" s="12">
        <f>IF(AJ295&gt;0,IF(AJ295&lt;=eco,alpha*fck*(1-(1-AJ295/eco)^n),alpha*fck),0)</f>
      </c>
      <c r="AL295" s="30">
        <f>PM_Angle!$J$21+PM_Angle!$K$21*$C295+PM_Angle!$L$21*$B295</f>
      </c>
      <c r="AM295" s="12">
        <f>IF(AL295&gt;0,IF(AL295&lt;=eco,alpha*fck*(1-(1-AL295/eco)^n),alpha*fck),0)</f>
      </c>
      <c r="AN295" s="30">
        <f>PM_Angle!$J$22+PM_Angle!$K$22*$C295+PM_Angle!$L$22*$B295</f>
      </c>
      <c r="AO295" s="12">
        <f>IF(AN295&gt;0,IF(AN295&lt;=eco,alpha*fck*(1-(1-AN295/eco)^n),alpha*fck),0)</f>
      </c>
      <c r="AP295" s="30">
        <f>PM_Angle!$J$23+PM_Angle!$K$23*$C295+PM_Angle!$L$23*$B295</f>
      </c>
      <c r="AQ295" s="12">
        <f>IF(AP295&gt;0,IF(AP295&lt;=eco,alpha*fck*(1-(1-AP295/eco)^n),alpha*fck),0)</f>
      </c>
      <c r="AR295" s="30">
        <f>PM_Angle!$J$24+PM_Angle!$K$24*$C295+PM_Angle!$L$24*$B295</f>
      </c>
      <c r="AS295" s="12">
        <f>IF(AR295&gt;0,IF(AR295&lt;=eco,alpha*fck*(1-(1-AR295/eco)^n),alpha*fck),0)</f>
      </c>
      <c r="AT295" s="30">
        <f>PM_Angle!$J$25+PM_Angle!$K$25*$C295+PM_Angle!$L$25*$B295</f>
      </c>
      <c r="AU295" s="12">
        <f>IF(AT295&gt;0,IF(AT295&lt;=eco,alpha*fck*(1-(1-AT295/eco)^n),alpha*fck),0)</f>
      </c>
    </row>
    <row r="296" spans="1:47" x14ac:dyDescent="0.25">
      <c r="A296">
        <f>Mesh!A293</f>
      </c>
      <c r="B296" s="12">
        <f>Mesh!B293</f>
      </c>
      <c r="C296" s="12">
        <f>Mesh!C293</f>
      </c>
      <c r="D296" s="12">
        <f>Mesh!D293</f>
      </c>
      <c r="E296" s="30">
        <f>INDEX(St_e0,Det+1)+INDEX(St_kx,Det+1)*C296+INDEX(St_ky,Det+1)*B296</f>
      </c>
      <c r="F296" s="12">
        <f>IF(E296&gt;0,IF(E296&lt;=eco,alpha*fck*(1-(1-E296/eco)^n),alpha*fck),0)</f>
      </c>
      <c r="G296" s="11">
        <f>F296*D296</f>
      </c>
      <c r="H296" s="11">
        <f>G296*C296</f>
      </c>
      <c r="I296" s="11">
        <f>G296*B296</f>
      </c>
      <c r="J296" s="30">
        <f>PM_Angle!$J$7+PM_Angle!$K$7*$C296+PM_Angle!$L$7*$B296</f>
      </c>
      <c r="K296" s="12">
        <f>IF(J296&gt;0,IF(J296&lt;=eco,alpha*fck*(1-(1-J296/eco)^n),alpha*fck),0)</f>
      </c>
      <c r="L296" s="30">
        <f>PM_Angle!$J$8+PM_Angle!$K$8*$C296+PM_Angle!$L$8*$B296</f>
      </c>
      <c r="M296" s="12">
        <f>IF(L296&gt;0,IF(L296&lt;=eco,alpha*fck*(1-(1-L296/eco)^n),alpha*fck),0)</f>
      </c>
      <c r="N296" s="30">
        <f>PM_Angle!$J$9+PM_Angle!$K$9*$C296+PM_Angle!$L$9*$B296</f>
      </c>
      <c r="O296" s="12">
        <f>IF(N296&gt;0,IF(N296&lt;=eco,alpha*fck*(1-(1-N296/eco)^n),alpha*fck),0)</f>
      </c>
      <c r="P296" s="30">
        <f>PM_Angle!$J$10+PM_Angle!$K$10*$C296+PM_Angle!$L$10*$B296</f>
      </c>
      <c r="Q296" s="12">
        <f>IF(P296&gt;0,IF(P296&lt;=eco,alpha*fck*(1-(1-P296/eco)^n),alpha*fck),0)</f>
      </c>
      <c r="R296" s="30">
        <f>PM_Angle!$J$11+PM_Angle!$K$11*$C296+PM_Angle!$L$11*$B296</f>
      </c>
      <c r="S296" s="12">
        <f>IF(R296&gt;0,IF(R296&lt;=eco,alpha*fck*(1-(1-R296/eco)^n),alpha*fck),0)</f>
      </c>
      <c r="T296" s="30">
        <f>PM_Angle!$J$12+PM_Angle!$K$12*$C296+PM_Angle!$L$12*$B296</f>
      </c>
      <c r="U296" s="12">
        <f>IF(T296&gt;0,IF(T296&lt;=eco,alpha*fck*(1-(1-T296/eco)^n),alpha*fck),0)</f>
      </c>
      <c r="V296" s="30">
        <f>PM_Angle!$J$13+PM_Angle!$K$13*$C296+PM_Angle!$L$13*$B296</f>
      </c>
      <c r="W296" s="12">
        <f>IF(V296&gt;0,IF(V296&lt;=eco,alpha*fck*(1-(1-V296/eco)^n),alpha*fck),0)</f>
      </c>
      <c r="X296" s="30">
        <f>PM_Angle!$J$14+PM_Angle!$K$14*$C296+PM_Angle!$L$14*$B296</f>
      </c>
      <c r="Y296" s="12">
        <f>IF(X296&gt;0,IF(X296&lt;=eco,alpha*fck*(1-(1-X296/eco)^n),alpha*fck),0)</f>
      </c>
      <c r="Z296" s="30">
        <f>PM_Angle!$J$15+PM_Angle!$K$15*$C296+PM_Angle!$L$15*$B296</f>
      </c>
      <c r="AA296" s="12">
        <f>IF(Z296&gt;0,IF(Z296&lt;=eco,alpha*fck*(1-(1-Z296/eco)^n),alpha*fck),0)</f>
      </c>
      <c r="AB296" s="30">
        <f>PM_Angle!$J$16+PM_Angle!$K$16*$C296+PM_Angle!$L$16*$B296</f>
      </c>
      <c r="AC296" s="12">
        <f>IF(AB296&gt;0,IF(AB296&lt;=eco,alpha*fck*(1-(1-AB296/eco)^n),alpha*fck),0)</f>
      </c>
      <c r="AD296" s="30">
        <f>PM_Angle!$J$17+PM_Angle!$K$17*$C296+PM_Angle!$L$17*$B296</f>
      </c>
      <c r="AE296" s="12">
        <f>IF(AD296&gt;0,IF(AD296&lt;=eco,alpha*fck*(1-(1-AD296/eco)^n),alpha*fck),0)</f>
      </c>
      <c r="AF296" s="30">
        <f>PM_Angle!$J$18+PM_Angle!$K$18*$C296+PM_Angle!$L$18*$B296</f>
      </c>
      <c r="AG296" s="12">
        <f>IF(AF296&gt;0,IF(AF296&lt;=eco,alpha*fck*(1-(1-AF296/eco)^n),alpha*fck),0)</f>
      </c>
      <c r="AH296" s="30">
        <f>PM_Angle!$J$19+PM_Angle!$K$19*$C296+PM_Angle!$L$19*$B296</f>
      </c>
      <c r="AI296" s="12">
        <f>IF(AH296&gt;0,IF(AH296&lt;=eco,alpha*fck*(1-(1-AH296/eco)^n),alpha*fck),0)</f>
      </c>
      <c r="AJ296" s="30">
        <f>PM_Angle!$J$20+PM_Angle!$K$20*$C296+PM_Angle!$L$20*$B296</f>
      </c>
      <c r="AK296" s="12">
        <f>IF(AJ296&gt;0,IF(AJ296&lt;=eco,alpha*fck*(1-(1-AJ296/eco)^n),alpha*fck),0)</f>
      </c>
      <c r="AL296" s="30">
        <f>PM_Angle!$J$21+PM_Angle!$K$21*$C296+PM_Angle!$L$21*$B296</f>
      </c>
      <c r="AM296" s="12">
        <f>IF(AL296&gt;0,IF(AL296&lt;=eco,alpha*fck*(1-(1-AL296/eco)^n),alpha*fck),0)</f>
      </c>
      <c r="AN296" s="30">
        <f>PM_Angle!$J$22+PM_Angle!$K$22*$C296+PM_Angle!$L$22*$B296</f>
      </c>
      <c r="AO296" s="12">
        <f>IF(AN296&gt;0,IF(AN296&lt;=eco,alpha*fck*(1-(1-AN296/eco)^n),alpha*fck),0)</f>
      </c>
      <c r="AP296" s="30">
        <f>PM_Angle!$J$23+PM_Angle!$K$23*$C296+PM_Angle!$L$23*$B296</f>
      </c>
      <c r="AQ296" s="12">
        <f>IF(AP296&gt;0,IF(AP296&lt;=eco,alpha*fck*(1-(1-AP296/eco)^n),alpha*fck),0)</f>
      </c>
      <c r="AR296" s="30">
        <f>PM_Angle!$J$24+PM_Angle!$K$24*$C296+PM_Angle!$L$24*$B296</f>
      </c>
      <c r="AS296" s="12">
        <f>IF(AR296&gt;0,IF(AR296&lt;=eco,alpha*fck*(1-(1-AR296/eco)^n),alpha*fck),0)</f>
      </c>
      <c r="AT296" s="30">
        <f>PM_Angle!$J$25+PM_Angle!$K$25*$C296+PM_Angle!$L$25*$B296</f>
      </c>
      <c r="AU296" s="12">
        <f>IF(AT296&gt;0,IF(AT296&lt;=eco,alpha*fck*(1-(1-AT296/eco)^n),alpha*fck),0)</f>
      </c>
    </row>
    <row r="297" spans="1:47" x14ac:dyDescent="0.25">
      <c r="A297">
        <f>Mesh!A294</f>
      </c>
      <c r="B297" s="12">
        <f>Mesh!B294</f>
      </c>
      <c r="C297" s="12">
        <f>Mesh!C294</f>
      </c>
      <c r="D297" s="12">
        <f>Mesh!D294</f>
      </c>
      <c r="E297" s="30">
        <f>INDEX(St_e0,Det+1)+INDEX(St_kx,Det+1)*C297+INDEX(St_ky,Det+1)*B297</f>
      </c>
      <c r="F297" s="12">
        <f>IF(E297&gt;0,IF(E297&lt;=eco,alpha*fck*(1-(1-E297/eco)^n),alpha*fck),0)</f>
      </c>
      <c r="G297" s="11">
        <f>F297*D297</f>
      </c>
      <c r="H297" s="11">
        <f>G297*C297</f>
      </c>
      <c r="I297" s="11">
        <f>G297*B297</f>
      </c>
      <c r="J297" s="30">
        <f>PM_Angle!$J$7+PM_Angle!$K$7*$C297+PM_Angle!$L$7*$B297</f>
      </c>
      <c r="K297" s="12">
        <f>IF(J297&gt;0,IF(J297&lt;=eco,alpha*fck*(1-(1-J297/eco)^n),alpha*fck),0)</f>
      </c>
      <c r="L297" s="30">
        <f>PM_Angle!$J$8+PM_Angle!$K$8*$C297+PM_Angle!$L$8*$B297</f>
      </c>
      <c r="M297" s="12">
        <f>IF(L297&gt;0,IF(L297&lt;=eco,alpha*fck*(1-(1-L297/eco)^n),alpha*fck),0)</f>
      </c>
      <c r="N297" s="30">
        <f>PM_Angle!$J$9+PM_Angle!$K$9*$C297+PM_Angle!$L$9*$B297</f>
      </c>
      <c r="O297" s="12">
        <f>IF(N297&gt;0,IF(N297&lt;=eco,alpha*fck*(1-(1-N297/eco)^n),alpha*fck),0)</f>
      </c>
      <c r="P297" s="30">
        <f>PM_Angle!$J$10+PM_Angle!$K$10*$C297+PM_Angle!$L$10*$B297</f>
      </c>
      <c r="Q297" s="12">
        <f>IF(P297&gt;0,IF(P297&lt;=eco,alpha*fck*(1-(1-P297/eco)^n),alpha*fck),0)</f>
      </c>
      <c r="R297" s="30">
        <f>PM_Angle!$J$11+PM_Angle!$K$11*$C297+PM_Angle!$L$11*$B297</f>
      </c>
      <c r="S297" s="12">
        <f>IF(R297&gt;0,IF(R297&lt;=eco,alpha*fck*(1-(1-R297/eco)^n),alpha*fck),0)</f>
      </c>
      <c r="T297" s="30">
        <f>PM_Angle!$J$12+PM_Angle!$K$12*$C297+PM_Angle!$L$12*$B297</f>
      </c>
      <c r="U297" s="12">
        <f>IF(T297&gt;0,IF(T297&lt;=eco,alpha*fck*(1-(1-T297/eco)^n),alpha*fck),0)</f>
      </c>
      <c r="V297" s="30">
        <f>PM_Angle!$J$13+PM_Angle!$K$13*$C297+PM_Angle!$L$13*$B297</f>
      </c>
      <c r="W297" s="12">
        <f>IF(V297&gt;0,IF(V297&lt;=eco,alpha*fck*(1-(1-V297/eco)^n),alpha*fck),0)</f>
      </c>
      <c r="X297" s="30">
        <f>PM_Angle!$J$14+PM_Angle!$K$14*$C297+PM_Angle!$L$14*$B297</f>
      </c>
      <c r="Y297" s="12">
        <f>IF(X297&gt;0,IF(X297&lt;=eco,alpha*fck*(1-(1-X297/eco)^n),alpha*fck),0)</f>
      </c>
      <c r="Z297" s="30">
        <f>PM_Angle!$J$15+PM_Angle!$K$15*$C297+PM_Angle!$L$15*$B297</f>
      </c>
      <c r="AA297" s="12">
        <f>IF(Z297&gt;0,IF(Z297&lt;=eco,alpha*fck*(1-(1-Z297/eco)^n),alpha*fck),0)</f>
      </c>
      <c r="AB297" s="30">
        <f>PM_Angle!$J$16+PM_Angle!$K$16*$C297+PM_Angle!$L$16*$B297</f>
      </c>
      <c r="AC297" s="12">
        <f>IF(AB297&gt;0,IF(AB297&lt;=eco,alpha*fck*(1-(1-AB297/eco)^n),alpha*fck),0)</f>
      </c>
      <c r="AD297" s="30">
        <f>PM_Angle!$J$17+PM_Angle!$K$17*$C297+PM_Angle!$L$17*$B297</f>
      </c>
      <c r="AE297" s="12">
        <f>IF(AD297&gt;0,IF(AD297&lt;=eco,alpha*fck*(1-(1-AD297/eco)^n),alpha*fck),0)</f>
      </c>
      <c r="AF297" s="30">
        <f>PM_Angle!$J$18+PM_Angle!$K$18*$C297+PM_Angle!$L$18*$B297</f>
      </c>
      <c r="AG297" s="12">
        <f>IF(AF297&gt;0,IF(AF297&lt;=eco,alpha*fck*(1-(1-AF297/eco)^n),alpha*fck),0)</f>
      </c>
      <c r="AH297" s="30">
        <f>PM_Angle!$J$19+PM_Angle!$K$19*$C297+PM_Angle!$L$19*$B297</f>
      </c>
      <c r="AI297" s="12">
        <f>IF(AH297&gt;0,IF(AH297&lt;=eco,alpha*fck*(1-(1-AH297/eco)^n),alpha*fck),0)</f>
      </c>
      <c r="AJ297" s="30">
        <f>PM_Angle!$J$20+PM_Angle!$K$20*$C297+PM_Angle!$L$20*$B297</f>
      </c>
      <c r="AK297" s="12">
        <f>IF(AJ297&gt;0,IF(AJ297&lt;=eco,alpha*fck*(1-(1-AJ297/eco)^n),alpha*fck),0)</f>
      </c>
      <c r="AL297" s="30">
        <f>PM_Angle!$J$21+PM_Angle!$K$21*$C297+PM_Angle!$L$21*$B297</f>
      </c>
      <c r="AM297" s="12">
        <f>IF(AL297&gt;0,IF(AL297&lt;=eco,alpha*fck*(1-(1-AL297/eco)^n),alpha*fck),0)</f>
      </c>
      <c r="AN297" s="30">
        <f>PM_Angle!$J$22+PM_Angle!$K$22*$C297+PM_Angle!$L$22*$B297</f>
      </c>
      <c r="AO297" s="12">
        <f>IF(AN297&gt;0,IF(AN297&lt;=eco,alpha*fck*(1-(1-AN297/eco)^n),alpha*fck),0)</f>
      </c>
      <c r="AP297" s="30">
        <f>PM_Angle!$J$23+PM_Angle!$K$23*$C297+PM_Angle!$L$23*$B297</f>
      </c>
      <c r="AQ297" s="12">
        <f>IF(AP297&gt;0,IF(AP297&lt;=eco,alpha*fck*(1-(1-AP297/eco)^n),alpha*fck),0)</f>
      </c>
      <c r="AR297" s="30">
        <f>PM_Angle!$J$24+PM_Angle!$K$24*$C297+PM_Angle!$L$24*$B297</f>
      </c>
      <c r="AS297" s="12">
        <f>IF(AR297&gt;0,IF(AR297&lt;=eco,alpha*fck*(1-(1-AR297/eco)^n),alpha*fck),0)</f>
      </c>
      <c r="AT297" s="30">
        <f>PM_Angle!$J$25+PM_Angle!$K$25*$C297+PM_Angle!$L$25*$B297</f>
      </c>
      <c r="AU297" s="12">
        <f>IF(AT297&gt;0,IF(AT297&lt;=eco,alpha*fck*(1-(1-AT297/eco)^n),alpha*fck),0)</f>
      </c>
    </row>
    <row r="298" spans="1:47" x14ac:dyDescent="0.25">
      <c r="A298">
        <f>Mesh!A295</f>
      </c>
      <c r="B298" s="12">
        <f>Mesh!B295</f>
      </c>
      <c r="C298" s="12">
        <f>Mesh!C295</f>
      </c>
      <c r="D298" s="12">
        <f>Mesh!D295</f>
      </c>
      <c r="E298" s="30">
        <f>INDEX(St_e0,Det+1)+INDEX(St_kx,Det+1)*C298+INDEX(St_ky,Det+1)*B298</f>
      </c>
      <c r="F298" s="12">
        <f>IF(E298&gt;0,IF(E298&lt;=eco,alpha*fck*(1-(1-E298/eco)^n),alpha*fck),0)</f>
      </c>
      <c r="G298" s="11">
        <f>F298*D298</f>
      </c>
      <c r="H298" s="11">
        <f>G298*C298</f>
      </c>
      <c r="I298" s="11">
        <f>G298*B298</f>
      </c>
      <c r="J298" s="30">
        <f>PM_Angle!$J$7+PM_Angle!$K$7*$C298+PM_Angle!$L$7*$B298</f>
      </c>
      <c r="K298" s="12">
        <f>IF(J298&gt;0,IF(J298&lt;=eco,alpha*fck*(1-(1-J298/eco)^n),alpha*fck),0)</f>
      </c>
      <c r="L298" s="30">
        <f>PM_Angle!$J$8+PM_Angle!$K$8*$C298+PM_Angle!$L$8*$B298</f>
      </c>
      <c r="M298" s="12">
        <f>IF(L298&gt;0,IF(L298&lt;=eco,alpha*fck*(1-(1-L298/eco)^n),alpha*fck),0)</f>
      </c>
      <c r="N298" s="30">
        <f>PM_Angle!$J$9+PM_Angle!$K$9*$C298+PM_Angle!$L$9*$B298</f>
      </c>
      <c r="O298" s="12">
        <f>IF(N298&gt;0,IF(N298&lt;=eco,alpha*fck*(1-(1-N298/eco)^n),alpha*fck),0)</f>
      </c>
      <c r="P298" s="30">
        <f>PM_Angle!$J$10+PM_Angle!$K$10*$C298+PM_Angle!$L$10*$B298</f>
      </c>
      <c r="Q298" s="12">
        <f>IF(P298&gt;0,IF(P298&lt;=eco,alpha*fck*(1-(1-P298/eco)^n),alpha*fck),0)</f>
      </c>
      <c r="R298" s="30">
        <f>PM_Angle!$J$11+PM_Angle!$K$11*$C298+PM_Angle!$L$11*$B298</f>
      </c>
      <c r="S298" s="12">
        <f>IF(R298&gt;0,IF(R298&lt;=eco,alpha*fck*(1-(1-R298/eco)^n),alpha*fck),0)</f>
      </c>
      <c r="T298" s="30">
        <f>PM_Angle!$J$12+PM_Angle!$K$12*$C298+PM_Angle!$L$12*$B298</f>
      </c>
      <c r="U298" s="12">
        <f>IF(T298&gt;0,IF(T298&lt;=eco,alpha*fck*(1-(1-T298/eco)^n),alpha*fck),0)</f>
      </c>
      <c r="V298" s="30">
        <f>PM_Angle!$J$13+PM_Angle!$K$13*$C298+PM_Angle!$L$13*$B298</f>
      </c>
      <c r="W298" s="12">
        <f>IF(V298&gt;0,IF(V298&lt;=eco,alpha*fck*(1-(1-V298/eco)^n),alpha*fck),0)</f>
      </c>
      <c r="X298" s="30">
        <f>PM_Angle!$J$14+PM_Angle!$K$14*$C298+PM_Angle!$L$14*$B298</f>
      </c>
      <c r="Y298" s="12">
        <f>IF(X298&gt;0,IF(X298&lt;=eco,alpha*fck*(1-(1-X298/eco)^n),alpha*fck),0)</f>
      </c>
      <c r="Z298" s="30">
        <f>PM_Angle!$J$15+PM_Angle!$K$15*$C298+PM_Angle!$L$15*$B298</f>
      </c>
      <c r="AA298" s="12">
        <f>IF(Z298&gt;0,IF(Z298&lt;=eco,alpha*fck*(1-(1-Z298/eco)^n),alpha*fck),0)</f>
      </c>
      <c r="AB298" s="30">
        <f>PM_Angle!$J$16+PM_Angle!$K$16*$C298+PM_Angle!$L$16*$B298</f>
      </c>
      <c r="AC298" s="12">
        <f>IF(AB298&gt;0,IF(AB298&lt;=eco,alpha*fck*(1-(1-AB298/eco)^n),alpha*fck),0)</f>
      </c>
      <c r="AD298" s="30">
        <f>PM_Angle!$J$17+PM_Angle!$K$17*$C298+PM_Angle!$L$17*$B298</f>
      </c>
      <c r="AE298" s="12">
        <f>IF(AD298&gt;0,IF(AD298&lt;=eco,alpha*fck*(1-(1-AD298/eco)^n),alpha*fck),0)</f>
      </c>
      <c r="AF298" s="30">
        <f>PM_Angle!$J$18+PM_Angle!$K$18*$C298+PM_Angle!$L$18*$B298</f>
      </c>
      <c r="AG298" s="12">
        <f>IF(AF298&gt;0,IF(AF298&lt;=eco,alpha*fck*(1-(1-AF298/eco)^n),alpha*fck),0)</f>
      </c>
      <c r="AH298" s="30">
        <f>PM_Angle!$J$19+PM_Angle!$K$19*$C298+PM_Angle!$L$19*$B298</f>
      </c>
      <c r="AI298" s="12">
        <f>IF(AH298&gt;0,IF(AH298&lt;=eco,alpha*fck*(1-(1-AH298/eco)^n),alpha*fck),0)</f>
      </c>
      <c r="AJ298" s="30">
        <f>PM_Angle!$J$20+PM_Angle!$K$20*$C298+PM_Angle!$L$20*$B298</f>
      </c>
      <c r="AK298" s="12">
        <f>IF(AJ298&gt;0,IF(AJ298&lt;=eco,alpha*fck*(1-(1-AJ298/eco)^n),alpha*fck),0)</f>
      </c>
      <c r="AL298" s="30">
        <f>PM_Angle!$J$21+PM_Angle!$K$21*$C298+PM_Angle!$L$21*$B298</f>
      </c>
      <c r="AM298" s="12">
        <f>IF(AL298&gt;0,IF(AL298&lt;=eco,alpha*fck*(1-(1-AL298/eco)^n),alpha*fck),0)</f>
      </c>
      <c r="AN298" s="30">
        <f>PM_Angle!$J$22+PM_Angle!$K$22*$C298+PM_Angle!$L$22*$B298</f>
      </c>
      <c r="AO298" s="12">
        <f>IF(AN298&gt;0,IF(AN298&lt;=eco,alpha*fck*(1-(1-AN298/eco)^n),alpha*fck),0)</f>
      </c>
      <c r="AP298" s="30">
        <f>PM_Angle!$J$23+PM_Angle!$K$23*$C298+PM_Angle!$L$23*$B298</f>
      </c>
      <c r="AQ298" s="12">
        <f>IF(AP298&gt;0,IF(AP298&lt;=eco,alpha*fck*(1-(1-AP298/eco)^n),alpha*fck),0)</f>
      </c>
      <c r="AR298" s="30">
        <f>PM_Angle!$J$24+PM_Angle!$K$24*$C298+PM_Angle!$L$24*$B298</f>
      </c>
      <c r="AS298" s="12">
        <f>IF(AR298&gt;0,IF(AR298&lt;=eco,alpha*fck*(1-(1-AR298/eco)^n),alpha*fck),0)</f>
      </c>
      <c r="AT298" s="30">
        <f>PM_Angle!$J$25+PM_Angle!$K$25*$C298+PM_Angle!$L$25*$B298</f>
      </c>
      <c r="AU298" s="12">
        <f>IF(AT298&gt;0,IF(AT298&lt;=eco,alpha*fck*(1-(1-AT298/eco)^n),alpha*fck),0)</f>
      </c>
    </row>
    <row r="299" spans="1:47" x14ac:dyDescent="0.25">
      <c r="A299">
        <f>Mesh!A296</f>
      </c>
      <c r="B299" s="12">
        <f>Mesh!B296</f>
      </c>
      <c r="C299" s="12">
        <f>Mesh!C296</f>
      </c>
      <c r="D299" s="12">
        <f>Mesh!D296</f>
      </c>
      <c r="E299" s="30">
        <f>INDEX(St_e0,Det+1)+INDEX(St_kx,Det+1)*C299+INDEX(St_ky,Det+1)*B299</f>
      </c>
      <c r="F299" s="12">
        <f>IF(E299&gt;0,IF(E299&lt;=eco,alpha*fck*(1-(1-E299/eco)^n),alpha*fck),0)</f>
      </c>
      <c r="G299" s="11">
        <f>F299*D299</f>
      </c>
      <c r="H299" s="11">
        <f>G299*C299</f>
      </c>
      <c r="I299" s="11">
        <f>G299*B299</f>
      </c>
      <c r="J299" s="30">
        <f>PM_Angle!$J$7+PM_Angle!$K$7*$C299+PM_Angle!$L$7*$B299</f>
      </c>
      <c r="K299" s="12">
        <f>IF(J299&gt;0,IF(J299&lt;=eco,alpha*fck*(1-(1-J299/eco)^n),alpha*fck),0)</f>
      </c>
      <c r="L299" s="30">
        <f>PM_Angle!$J$8+PM_Angle!$K$8*$C299+PM_Angle!$L$8*$B299</f>
      </c>
      <c r="M299" s="12">
        <f>IF(L299&gt;0,IF(L299&lt;=eco,alpha*fck*(1-(1-L299/eco)^n),alpha*fck),0)</f>
      </c>
      <c r="N299" s="30">
        <f>PM_Angle!$J$9+PM_Angle!$K$9*$C299+PM_Angle!$L$9*$B299</f>
      </c>
      <c r="O299" s="12">
        <f>IF(N299&gt;0,IF(N299&lt;=eco,alpha*fck*(1-(1-N299/eco)^n),alpha*fck),0)</f>
      </c>
      <c r="P299" s="30">
        <f>PM_Angle!$J$10+PM_Angle!$K$10*$C299+PM_Angle!$L$10*$B299</f>
      </c>
      <c r="Q299" s="12">
        <f>IF(P299&gt;0,IF(P299&lt;=eco,alpha*fck*(1-(1-P299/eco)^n),alpha*fck),0)</f>
      </c>
      <c r="R299" s="30">
        <f>PM_Angle!$J$11+PM_Angle!$K$11*$C299+PM_Angle!$L$11*$B299</f>
      </c>
      <c r="S299" s="12">
        <f>IF(R299&gt;0,IF(R299&lt;=eco,alpha*fck*(1-(1-R299/eco)^n),alpha*fck),0)</f>
      </c>
      <c r="T299" s="30">
        <f>PM_Angle!$J$12+PM_Angle!$K$12*$C299+PM_Angle!$L$12*$B299</f>
      </c>
      <c r="U299" s="12">
        <f>IF(T299&gt;0,IF(T299&lt;=eco,alpha*fck*(1-(1-T299/eco)^n),alpha*fck),0)</f>
      </c>
      <c r="V299" s="30">
        <f>PM_Angle!$J$13+PM_Angle!$K$13*$C299+PM_Angle!$L$13*$B299</f>
      </c>
      <c r="W299" s="12">
        <f>IF(V299&gt;0,IF(V299&lt;=eco,alpha*fck*(1-(1-V299/eco)^n),alpha*fck),0)</f>
      </c>
      <c r="X299" s="30">
        <f>PM_Angle!$J$14+PM_Angle!$K$14*$C299+PM_Angle!$L$14*$B299</f>
      </c>
      <c r="Y299" s="12">
        <f>IF(X299&gt;0,IF(X299&lt;=eco,alpha*fck*(1-(1-X299/eco)^n),alpha*fck),0)</f>
      </c>
      <c r="Z299" s="30">
        <f>PM_Angle!$J$15+PM_Angle!$K$15*$C299+PM_Angle!$L$15*$B299</f>
      </c>
      <c r="AA299" s="12">
        <f>IF(Z299&gt;0,IF(Z299&lt;=eco,alpha*fck*(1-(1-Z299/eco)^n),alpha*fck),0)</f>
      </c>
      <c r="AB299" s="30">
        <f>PM_Angle!$J$16+PM_Angle!$K$16*$C299+PM_Angle!$L$16*$B299</f>
      </c>
      <c r="AC299" s="12">
        <f>IF(AB299&gt;0,IF(AB299&lt;=eco,alpha*fck*(1-(1-AB299/eco)^n),alpha*fck),0)</f>
      </c>
      <c r="AD299" s="30">
        <f>PM_Angle!$J$17+PM_Angle!$K$17*$C299+PM_Angle!$L$17*$B299</f>
      </c>
      <c r="AE299" s="12">
        <f>IF(AD299&gt;0,IF(AD299&lt;=eco,alpha*fck*(1-(1-AD299/eco)^n),alpha*fck),0)</f>
      </c>
      <c r="AF299" s="30">
        <f>PM_Angle!$J$18+PM_Angle!$K$18*$C299+PM_Angle!$L$18*$B299</f>
      </c>
      <c r="AG299" s="12">
        <f>IF(AF299&gt;0,IF(AF299&lt;=eco,alpha*fck*(1-(1-AF299/eco)^n),alpha*fck),0)</f>
      </c>
      <c r="AH299" s="30">
        <f>PM_Angle!$J$19+PM_Angle!$K$19*$C299+PM_Angle!$L$19*$B299</f>
      </c>
      <c r="AI299" s="12">
        <f>IF(AH299&gt;0,IF(AH299&lt;=eco,alpha*fck*(1-(1-AH299/eco)^n),alpha*fck),0)</f>
      </c>
      <c r="AJ299" s="30">
        <f>PM_Angle!$J$20+PM_Angle!$K$20*$C299+PM_Angle!$L$20*$B299</f>
      </c>
      <c r="AK299" s="12">
        <f>IF(AJ299&gt;0,IF(AJ299&lt;=eco,alpha*fck*(1-(1-AJ299/eco)^n),alpha*fck),0)</f>
      </c>
      <c r="AL299" s="30">
        <f>PM_Angle!$J$21+PM_Angle!$K$21*$C299+PM_Angle!$L$21*$B299</f>
      </c>
      <c r="AM299" s="12">
        <f>IF(AL299&gt;0,IF(AL299&lt;=eco,alpha*fck*(1-(1-AL299/eco)^n),alpha*fck),0)</f>
      </c>
      <c r="AN299" s="30">
        <f>PM_Angle!$J$22+PM_Angle!$K$22*$C299+PM_Angle!$L$22*$B299</f>
      </c>
      <c r="AO299" s="12">
        <f>IF(AN299&gt;0,IF(AN299&lt;=eco,alpha*fck*(1-(1-AN299/eco)^n),alpha*fck),0)</f>
      </c>
      <c r="AP299" s="30">
        <f>PM_Angle!$J$23+PM_Angle!$K$23*$C299+PM_Angle!$L$23*$B299</f>
      </c>
      <c r="AQ299" s="12">
        <f>IF(AP299&gt;0,IF(AP299&lt;=eco,alpha*fck*(1-(1-AP299/eco)^n),alpha*fck),0)</f>
      </c>
      <c r="AR299" s="30">
        <f>PM_Angle!$J$24+PM_Angle!$K$24*$C299+PM_Angle!$L$24*$B299</f>
      </c>
      <c r="AS299" s="12">
        <f>IF(AR299&gt;0,IF(AR299&lt;=eco,alpha*fck*(1-(1-AR299/eco)^n),alpha*fck),0)</f>
      </c>
      <c r="AT299" s="30">
        <f>PM_Angle!$J$25+PM_Angle!$K$25*$C299+PM_Angle!$L$25*$B299</f>
      </c>
      <c r="AU299" s="12">
        <f>IF(AT299&gt;0,IF(AT299&lt;=eco,alpha*fck*(1-(1-AT299/eco)^n),alpha*fck),0)</f>
      </c>
    </row>
    <row r="300" spans="1:47" x14ac:dyDescent="0.25">
      <c r="A300">
        <f>Mesh!A297</f>
      </c>
      <c r="B300" s="12">
        <f>Mesh!B297</f>
      </c>
      <c r="C300" s="12">
        <f>Mesh!C297</f>
      </c>
      <c r="D300" s="12">
        <f>Mesh!D297</f>
      </c>
      <c r="E300" s="30">
        <f>INDEX(St_e0,Det+1)+INDEX(St_kx,Det+1)*C300+INDEX(St_ky,Det+1)*B300</f>
      </c>
      <c r="F300" s="12">
        <f>IF(E300&gt;0,IF(E300&lt;=eco,alpha*fck*(1-(1-E300/eco)^n),alpha*fck),0)</f>
      </c>
      <c r="G300" s="11">
        <f>F300*D300</f>
      </c>
      <c r="H300" s="11">
        <f>G300*C300</f>
      </c>
      <c r="I300" s="11">
        <f>G300*B300</f>
      </c>
      <c r="J300" s="30">
        <f>PM_Angle!$J$7+PM_Angle!$K$7*$C300+PM_Angle!$L$7*$B300</f>
      </c>
      <c r="K300" s="12">
        <f>IF(J300&gt;0,IF(J300&lt;=eco,alpha*fck*(1-(1-J300/eco)^n),alpha*fck),0)</f>
      </c>
      <c r="L300" s="30">
        <f>PM_Angle!$J$8+PM_Angle!$K$8*$C300+PM_Angle!$L$8*$B300</f>
      </c>
      <c r="M300" s="12">
        <f>IF(L300&gt;0,IF(L300&lt;=eco,alpha*fck*(1-(1-L300/eco)^n),alpha*fck),0)</f>
      </c>
      <c r="N300" s="30">
        <f>PM_Angle!$J$9+PM_Angle!$K$9*$C300+PM_Angle!$L$9*$B300</f>
      </c>
      <c r="O300" s="12">
        <f>IF(N300&gt;0,IF(N300&lt;=eco,alpha*fck*(1-(1-N300/eco)^n),alpha*fck),0)</f>
      </c>
      <c r="P300" s="30">
        <f>PM_Angle!$J$10+PM_Angle!$K$10*$C300+PM_Angle!$L$10*$B300</f>
      </c>
      <c r="Q300" s="12">
        <f>IF(P300&gt;0,IF(P300&lt;=eco,alpha*fck*(1-(1-P300/eco)^n),alpha*fck),0)</f>
      </c>
      <c r="R300" s="30">
        <f>PM_Angle!$J$11+PM_Angle!$K$11*$C300+PM_Angle!$L$11*$B300</f>
      </c>
      <c r="S300" s="12">
        <f>IF(R300&gt;0,IF(R300&lt;=eco,alpha*fck*(1-(1-R300/eco)^n),alpha*fck),0)</f>
      </c>
      <c r="T300" s="30">
        <f>PM_Angle!$J$12+PM_Angle!$K$12*$C300+PM_Angle!$L$12*$B300</f>
      </c>
      <c r="U300" s="12">
        <f>IF(T300&gt;0,IF(T300&lt;=eco,alpha*fck*(1-(1-T300/eco)^n),alpha*fck),0)</f>
      </c>
      <c r="V300" s="30">
        <f>PM_Angle!$J$13+PM_Angle!$K$13*$C300+PM_Angle!$L$13*$B300</f>
      </c>
      <c r="W300" s="12">
        <f>IF(V300&gt;0,IF(V300&lt;=eco,alpha*fck*(1-(1-V300/eco)^n),alpha*fck),0)</f>
      </c>
      <c r="X300" s="30">
        <f>PM_Angle!$J$14+PM_Angle!$K$14*$C300+PM_Angle!$L$14*$B300</f>
      </c>
      <c r="Y300" s="12">
        <f>IF(X300&gt;0,IF(X300&lt;=eco,alpha*fck*(1-(1-X300/eco)^n),alpha*fck),0)</f>
      </c>
      <c r="Z300" s="30">
        <f>PM_Angle!$J$15+PM_Angle!$K$15*$C300+PM_Angle!$L$15*$B300</f>
      </c>
      <c r="AA300" s="12">
        <f>IF(Z300&gt;0,IF(Z300&lt;=eco,alpha*fck*(1-(1-Z300/eco)^n),alpha*fck),0)</f>
      </c>
      <c r="AB300" s="30">
        <f>PM_Angle!$J$16+PM_Angle!$K$16*$C300+PM_Angle!$L$16*$B300</f>
      </c>
      <c r="AC300" s="12">
        <f>IF(AB300&gt;0,IF(AB300&lt;=eco,alpha*fck*(1-(1-AB300/eco)^n),alpha*fck),0)</f>
      </c>
      <c r="AD300" s="30">
        <f>PM_Angle!$J$17+PM_Angle!$K$17*$C300+PM_Angle!$L$17*$B300</f>
      </c>
      <c r="AE300" s="12">
        <f>IF(AD300&gt;0,IF(AD300&lt;=eco,alpha*fck*(1-(1-AD300/eco)^n),alpha*fck),0)</f>
      </c>
      <c r="AF300" s="30">
        <f>PM_Angle!$J$18+PM_Angle!$K$18*$C300+PM_Angle!$L$18*$B300</f>
      </c>
      <c r="AG300" s="12">
        <f>IF(AF300&gt;0,IF(AF300&lt;=eco,alpha*fck*(1-(1-AF300/eco)^n),alpha*fck),0)</f>
      </c>
      <c r="AH300" s="30">
        <f>PM_Angle!$J$19+PM_Angle!$K$19*$C300+PM_Angle!$L$19*$B300</f>
      </c>
      <c r="AI300" s="12">
        <f>IF(AH300&gt;0,IF(AH300&lt;=eco,alpha*fck*(1-(1-AH300/eco)^n),alpha*fck),0)</f>
      </c>
      <c r="AJ300" s="30">
        <f>PM_Angle!$J$20+PM_Angle!$K$20*$C300+PM_Angle!$L$20*$B300</f>
      </c>
      <c r="AK300" s="12">
        <f>IF(AJ300&gt;0,IF(AJ300&lt;=eco,alpha*fck*(1-(1-AJ300/eco)^n),alpha*fck),0)</f>
      </c>
      <c r="AL300" s="30">
        <f>PM_Angle!$J$21+PM_Angle!$K$21*$C300+PM_Angle!$L$21*$B300</f>
      </c>
      <c r="AM300" s="12">
        <f>IF(AL300&gt;0,IF(AL300&lt;=eco,alpha*fck*(1-(1-AL300/eco)^n),alpha*fck),0)</f>
      </c>
      <c r="AN300" s="30">
        <f>PM_Angle!$J$22+PM_Angle!$K$22*$C300+PM_Angle!$L$22*$B300</f>
      </c>
      <c r="AO300" s="12">
        <f>IF(AN300&gt;0,IF(AN300&lt;=eco,alpha*fck*(1-(1-AN300/eco)^n),alpha*fck),0)</f>
      </c>
      <c r="AP300" s="30">
        <f>PM_Angle!$J$23+PM_Angle!$K$23*$C300+PM_Angle!$L$23*$B300</f>
      </c>
      <c r="AQ300" s="12">
        <f>IF(AP300&gt;0,IF(AP300&lt;=eco,alpha*fck*(1-(1-AP300/eco)^n),alpha*fck),0)</f>
      </c>
      <c r="AR300" s="30">
        <f>PM_Angle!$J$24+PM_Angle!$K$24*$C300+PM_Angle!$L$24*$B300</f>
      </c>
      <c r="AS300" s="12">
        <f>IF(AR300&gt;0,IF(AR300&lt;=eco,alpha*fck*(1-(1-AR300/eco)^n),alpha*fck),0)</f>
      </c>
      <c r="AT300" s="30">
        <f>PM_Angle!$J$25+PM_Angle!$K$25*$C300+PM_Angle!$L$25*$B300</f>
      </c>
      <c r="AU300" s="12">
        <f>IF(AT300&gt;0,IF(AT300&lt;=eco,alpha*fck*(1-(1-AT300/eco)^n),alpha*fck),0)</f>
      </c>
    </row>
    <row r="301" spans="1:47" x14ac:dyDescent="0.25">
      <c r="A301">
        <f>Mesh!A298</f>
      </c>
      <c r="B301" s="12">
        <f>Mesh!B298</f>
      </c>
      <c r="C301" s="12">
        <f>Mesh!C298</f>
      </c>
      <c r="D301" s="12">
        <f>Mesh!D298</f>
      </c>
      <c r="E301" s="30">
        <f>INDEX(St_e0,Det+1)+INDEX(St_kx,Det+1)*C301+INDEX(St_ky,Det+1)*B301</f>
      </c>
      <c r="F301" s="12">
        <f>IF(E301&gt;0,IF(E301&lt;=eco,alpha*fck*(1-(1-E301/eco)^n),alpha*fck),0)</f>
      </c>
      <c r="G301" s="11">
        <f>F301*D301</f>
      </c>
      <c r="H301" s="11">
        <f>G301*C301</f>
      </c>
      <c r="I301" s="11">
        <f>G301*B301</f>
      </c>
      <c r="J301" s="30">
        <f>PM_Angle!$J$7+PM_Angle!$K$7*$C301+PM_Angle!$L$7*$B301</f>
      </c>
      <c r="K301" s="12">
        <f>IF(J301&gt;0,IF(J301&lt;=eco,alpha*fck*(1-(1-J301/eco)^n),alpha*fck),0)</f>
      </c>
      <c r="L301" s="30">
        <f>PM_Angle!$J$8+PM_Angle!$K$8*$C301+PM_Angle!$L$8*$B301</f>
      </c>
      <c r="M301" s="12">
        <f>IF(L301&gt;0,IF(L301&lt;=eco,alpha*fck*(1-(1-L301/eco)^n),alpha*fck),0)</f>
      </c>
      <c r="N301" s="30">
        <f>PM_Angle!$J$9+PM_Angle!$K$9*$C301+PM_Angle!$L$9*$B301</f>
      </c>
      <c r="O301" s="12">
        <f>IF(N301&gt;0,IF(N301&lt;=eco,alpha*fck*(1-(1-N301/eco)^n),alpha*fck),0)</f>
      </c>
      <c r="P301" s="30">
        <f>PM_Angle!$J$10+PM_Angle!$K$10*$C301+PM_Angle!$L$10*$B301</f>
      </c>
      <c r="Q301" s="12">
        <f>IF(P301&gt;0,IF(P301&lt;=eco,alpha*fck*(1-(1-P301/eco)^n),alpha*fck),0)</f>
      </c>
      <c r="R301" s="30">
        <f>PM_Angle!$J$11+PM_Angle!$K$11*$C301+PM_Angle!$L$11*$B301</f>
      </c>
      <c r="S301" s="12">
        <f>IF(R301&gt;0,IF(R301&lt;=eco,alpha*fck*(1-(1-R301/eco)^n),alpha*fck),0)</f>
      </c>
      <c r="T301" s="30">
        <f>PM_Angle!$J$12+PM_Angle!$K$12*$C301+PM_Angle!$L$12*$B301</f>
      </c>
      <c r="U301" s="12">
        <f>IF(T301&gt;0,IF(T301&lt;=eco,alpha*fck*(1-(1-T301/eco)^n),alpha*fck),0)</f>
      </c>
      <c r="V301" s="30">
        <f>PM_Angle!$J$13+PM_Angle!$K$13*$C301+PM_Angle!$L$13*$B301</f>
      </c>
      <c r="W301" s="12">
        <f>IF(V301&gt;0,IF(V301&lt;=eco,alpha*fck*(1-(1-V301/eco)^n),alpha*fck),0)</f>
      </c>
      <c r="X301" s="30">
        <f>PM_Angle!$J$14+PM_Angle!$K$14*$C301+PM_Angle!$L$14*$B301</f>
      </c>
      <c r="Y301" s="12">
        <f>IF(X301&gt;0,IF(X301&lt;=eco,alpha*fck*(1-(1-X301/eco)^n),alpha*fck),0)</f>
      </c>
      <c r="Z301" s="30">
        <f>PM_Angle!$J$15+PM_Angle!$K$15*$C301+PM_Angle!$L$15*$B301</f>
      </c>
      <c r="AA301" s="12">
        <f>IF(Z301&gt;0,IF(Z301&lt;=eco,alpha*fck*(1-(1-Z301/eco)^n),alpha*fck),0)</f>
      </c>
      <c r="AB301" s="30">
        <f>PM_Angle!$J$16+PM_Angle!$K$16*$C301+PM_Angle!$L$16*$B301</f>
      </c>
      <c r="AC301" s="12">
        <f>IF(AB301&gt;0,IF(AB301&lt;=eco,alpha*fck*(1-(1-AB301/eco)^n),alpha*fck),0)</f>
      </c>
      <c r="AD301" s="30">
        <f>PM_Angle!$J$17+PM_Angle!$K$17*$C301+PM_Angle!$L$17*$B301</f>
      </c>
      <c r="AE301" s="12">
        <f>IF(AD301&gt;0,IF(AD301&lt;=eco,alpha*fck*(1-(1-AD301/eco)^n),alpha*fck),0)</f>
      </c>
      <c r="AF301" s="30">
        <f>PM_Angle!$J$18+PM_Angle!$K$18*$C301+PM_Angle!$L$18*$B301</f>
      </c>
      <c r="AG301" s="12">
        <f>IF(AF301&gt;0,IF(AF301&lt;=eco,alpha*fck*(1-(1-AF301/eco)^n),alpha*fck),0)</f>
      </c>
      <c r="AH301" s="30">
        <f>PM_Angle!$J$19+PM_Angle!$K$19*$C301+PM_Angle!$L$19*$B301</f>
      </c>
      <c r="AI301" s="12">
        <f>IF(AH301&gt;0,IF(AH301&lt;=eco,alpha*fck*(1-(1-AH301/eco)^n),alpha*fck),0)</f>
      </c>
      <c r="AJ301" s="30">
        <f>PM_Angle!$J$20+PM_Angle!$K$20*$C301+PM_Angle!$L$20*$B301</f>
      </c>
      <c r="AK301" s="12">
        <f>IF(AJ301&gt;0,IF(AJ301&lt;=eco,alpha*fck*(1-(1-AJ301/eco)^n),alpha*fck),0)</f>
      </c>
      <c r="AL301" s="30">
        <f>PM_Angle!$J$21+PM_Angle!$K$21*$C301+PM_Angle!$L$21*$B301</f>
      </c>
      <c r="AM301" s="12">
        <f>IF(AL301&gt;0,IF(AL301&lt;=eco,alpha*fck*(1-(1-AL301/eco)^n),alpha*fck),0)</f>
      </c>
      <c r="AN301" s="30">
        <f>PM_Angle!$J$22+PM_Angle!$K$22*$C301+PM_Angle!$L$22*$B301</f>
      </c>
      <c r="AO301" s="12">
        <f>IF(AN301&gt;0,IF(AN301&lt;=eco,alpha*fck*(1-(1-AN301/eco)^n),alpha*fck),0)</f>
      </c>
      <c r="AP301" s="30">
        <f>PM_Angle!$J$23+PM_Angle!$K$23*$C301+PM_Angle!$L$23*$B301</f>
      </c>
      <c r="AQ301" s="12">
        <f>IF(AP301&gt;0,IF(AP301&lt;=eco,alpha*fck*(1-(1-AP301/eco)^n),alpha*fck),0)</f>
      </c>
      <c r="AR301" s="30">
        <f>PM_Angle!$J$24+PM_Angle!$K$24*$C301+PM_Angle!$L$24*$B301</f>
      </c>
      <c r="AS301" s="12">
        <f>IF(AR301&gt;0,IF(AR301&lt;=eco,alpha*fck*(1-(1-AR301/eco)^n),alpha*fck),0)</f>
      </c>
      <c r="AT301" s="30">
        <f>PM_Angle!$J$25+PM_Angle!$K$25*$C301+PM_Angle!$L$25*$B301</f>
      </c>
      <c r="AU301" s="12">
        <f>IF(AT301&gt;0,IF(AT301&lt;=eco,alpha*fck*(1-(1-AT301/eco)^n),alpha*fck),0)</f>
      </c>
    </row>
    <row r="302" spans="1:47" x14ac:dyDescent="0.25">
      <c r="A302">
        <f>Mesh!A299</f>
      </c>
      <c r="B302" s="12">
        <f>Mesh!B299</f>
      </c>
      <c r="C302" s="12">
        <f>Mesh!C299</f>
      </c>
      <c r="D302" s="12">
        <f>Mesh!D299</f>
      </c>
      <c r="E302" s="30">
        <f>INDEX(St_e0,Det+1)+INDEX(St_kx,Det+1)*C302+INDEX(St_ky,Det+1)*B302</f>
      </c>
      <c r="F302" s="12">
        <f>IF(E302&gt;0,IF(E302&lt;=eco,alpha*fck*(1-(1-E302/eco)^n),alpha*fck),0)</f>
      </c>
      <c r="G302" s="11">
        <f>F302*D302</f>
      </c>
      <c r="H302" s="11">
        <f>G302*C302</f>
      </c>
      <c r="I302" s="11">
        <f>G302*B302</f>
      </c>
      <c r="J302" s="30">
        <f>PM_Angle!$J$7+PM_Angle!$K$7*$C302+PM_Angle!$L$7*$B302</f>
      </c>
      <c r="K302" s="12">
        <f>IF(J302&gt;0,IF(J302&lt;=eco,alpha*fck*(1-(1-J302/eco)^n),alpha*fck),0)</f>
      </c>
      <c r="L302" s="30">
        <f>PM_Angle!$J$8+PM_Angle!$K$8*$C302+PM_Angle!$L$8*$B302</f>
      </c>
      <c r="M302" s="12">
        <f>IF(L302&gt;0,IF(L302&lt;=eco,alpha*fck*(1-(1-L302/eco)^n),alpha*fck),0)</f>
      </c>
      <c r="N302" s="30">
        <f>PM_Angle!$J$9+PM_Angle!$K$9*$C302+PM_Angle!$L$9*$B302</f>
      </c>
      <c r="O302" s="12">
        <f>IF(N302&gt;0,IF(N302&lt;=eco,alpha*fck*(1-(1-N302/eco)^n),alpha*fck),0)</f>
      </c>
      <c r="P302" s="30">
        <f>PM_Angle!$J$10+PM_Angle!$K$10*$C302+PM_Angle!$L$10*$B302</f>
      </c>
      <c r="Q302" s="12">
        <f>IF(P302&gt;0,IF(P302&lt;=eco,alpha*fck*(1-(1-P302/eco)^n),alpha*fck),0)</f>
      </c>
      <c r="R302" s="30">
        <f>PM_Angle!$J$11+PM_Angle!$K$11*$C302+PM_Angle!$L$11*$B302</f>
      </c>
      <c r="S302" s="12">
        <f>IF(R302&gt;0,IF(R302&lt;=eco,alpha*fck*(1-(1-R302/eco)^n),alpha*fck),0)</f>
      </c>
      <c r="T302" s="30">
        <f>PM_Angle!$J$12+PM_Angle!$K$12*$C302+PM_Angle!$L$12*$B302</f>
      </c>
      <c r="U302" s="12">
        <f>IF(T302&gt;0,IF(T302&lt;=eco,alpha*fck*(1-(1-T302/eco)^n),alpha*fck),0)</f>
      </c>
      <c r="V302" s="30">
        <f>PM_Angle!$J$13+PM_Angle!$K$13*$C302+PM_Angle!$L$13*$B302</f>
      </c>
      <c r="W302" s="12">
        <f>IF(V302&gt;0,IF(V302&lt;=eco,alpha*fck*(1-(1-V302/eco)^n),alpha*fck),0)</f>
      </c>
      <c r="X302" s="30">
        <f>PM_Angle!$J$14+PM_Angle!$K$14*$C302+PM_Angle!$L$14*$B302</f>
      </c>
      <c r="Y302" s="12">
        <f>IF(X302&gt;0,IF(X302&lt;=eco,alpha*fck*(1-(1-X302/eco)^n),alpha*fck),0)</f>
      </c>
      <c r="Z302" s="30">
        <f>PM_Angle!$J$15+PM_Angle!$K$15*$C302+PM_Angle!$L$15*$B302</f>
      </c>
      <c r="AA302" s="12">
        <f>IF(Z302&gt;0,IF(Z302&lt;=eco,alpha*fck*(1-(1-Z302/eco)^n),alpha*fck),0)</f>
      </c>
      <c r="AB302" s="30">
        <f>PM_Angle!$J$16+PM_Angle!$K$16*$C302+PM_Angle!$L$16*$B302</f>
      </c>
      <c r="AC302" s="12">
        <f>IF(AB302&gt;0,IF(AB302&lt;=eco,alpha*fck*(1-(1-AB302/eco)^n),alpha*fck),0)</f>
      </c>
      <c r="AD302" s="30">
        <f>PM_Angle!$J$17+PM_Angle!$K$17*$C302+PM_Angle!$L$17*$B302</f>
      </c>
      <c r="AE302" s="12">
        <f>IF(AD302&gt;0,IF(AD302&lt;=eco,alpha*fck*(1-(1-AD302/eco)^n),alpha*fck),0)</f>
      </c>
      <c r="AF302" s="30">
        <f>PM_Angle!$J$18+PM_Angle!$K$18*$C302+PM_Angle!$L$18*$B302</f>
      </c>
      <c r="AG302" s="12">
        <f>IF(AF302&gt;0,IF(AF302&lt;=eco,alpha*fck*(1-(1-AF302/eco)^n),alpha*fck),0)</f>
      </c>
      <c r="AH302" s="30">
        <f>PM_Angle!$J$19+PM_Angle!$K$19*$C302+PM_Angle!$L$19*$B302</f>
      </c>
      <c r="AI302" s="12">
        <f>IF(AH302&gt;0,IF(AH302&lt;=eco,alpha*fck*(1-(1-AH302/eco)^n),alpha*fck),0)</f>
      </c>
      <c r="AJ302" s="30">
        <f>PM_Angle!$J$20+PM_Angle!$K$20*$C302+PM_Angle!$L$20*$B302</f>
      </c>
      <c r="AK302" s="12">
        <f>IF(AJ302&gt;0,IF(AJ302&lt;=eco,alpha*fck*(1-(1-AJ302/eco)^n),alpha*fck),0)</f>
      </c>
      <c r="AL302" s="30">
        <f>PM_Angle!$J$21+PM_Angle!$K$21*$C302+PM_Angle!$L$21*$B302</f>
      </c>
      <c r="AM302" s="12">
        <f>IF(AL302&gt;0,IF(AL302&lt;=eco,alpha*fck*(1-(1-AL302/eco)^n),alpha*fck),0)</f>
      </c>
      <c r="AN302" s="30">
        <f>PM_Angle!$J$22+PM_Angle!$K$22*$C302+PM_Angle!$L$22*$B302</f>
      </c>
      <c r="AO302" s="12">
        <f>IF(AN302&gt;0,IF(AN302&lt;=eco,alpha*fck*(1-(1-AN302/eco)^n),alpha*fck),0)</f>
      </c>
      <c r="AP302" s="30">
        <f>PM_Angle!$J$23+PM_Angle!$K$23*$C302+PM_Angle!$L$23*$B302</f>
      </c>
      <c r="AQ302" s="12">
        <f>IF(AP302&gt;0,IF(AP302&lt;=eco,alpha*fck*(1-(1-AP302/eco)^n),alpha*fck),0)</f>
      </c>
      <c r="AR302" s="30">
        <f>PM_Angle!$J$24+PM_Angle!$K$24*$C302+PM_Angle!$L$24*$B302</f>
      </c>
      <c r="AS302" s="12">
        <f>IF(AR302&gt;0,IF(AR302&lt;=eco,alpha*fck*(1-(1-AR302/eco)^n),alpha*fck),0)</f>
      </c>
      <c r="AT302" s="30">
        <f>PM_Angle!$J$25+PM_Angle!$K$25*$C302+PM_Angle!$L$25*$B302</f>
      </c>
      <c r="AU302" s="12">
        <f>IF(AT302&gt;0,IF(AT302&lt;=eco,alpha*fck*(1-(1-AT302/eco)^n),alpha*fck),0)</f>
      </c>
    </row>
    <row r="303" spans="1:47" x14ac:dyDescent="0.25">
      <c r="A303">
        <f>Mesh!A300</f>
      </c>
      <c r="B303" s="12">
        <f>Mesh!B300</f>
      </c>
      <c r="C303" s="12">
        <f>Mesh!C300</f>
      </c>
      <c r="D303" s="12">
        <f>Mesh!D300</f>
      </c>
      <c r="E303" s="30">
        <f>INDEX(St_e0,Det+1)+INDEX(St_kx,Det+1)*C303+INDEX(St_ky,Det+1)*B303</f>
      </c>
      <c r="F303" s="12">
        <f>IF(E303&gt;0,IF(E303&lt;=eco,alpha*fck*(1-(1-E303/eco)^n),alpha*fck),0)</f>
      </c>
      <c r="G303" s="11">
        <f>F303*D303</f>
      </c>
      <c r="H303" s="11">
        <f>G303*C303</f>
      </c>
      <c r="I303" s="11">
        <f>G303*B303</f>
      </c>
      <c r="J303" s="30">
        <f>PM_Angle!$J$7+PM_Angle!$K$7*$C303+PM_Angle!$L$7*$B303</f>
      </c>
      <c r="K303" s="12">
        <f>IF(J303&gt;0,IF(J303&lt;=eco,alpha*fck*(1-(1-J303/eco)^n),alpha*fck),0)</f>
      </c>
      <c r="L303" s="30">
        <f>PM_Angle!$J$8+PM_Angle!$K$8*$C303+PM_Angle!$L$8*$B303</f>
      </c>
      <c r="M303" s="12">
        <f>IF(L303&gt;0,IF(L303&lt;=eco,alpha*fck*(1-(1-L303/eco)^n),alpha*fck),0)</f>
      </c>
      <c r="N303" s="30">
        <f>PM_Angle!$J$9+PM_Angle!$K$9*$C303+PM_Angle!$L$9*$B303</f>
      </c>
      <c r="O303" s="12">
        <f>IF(N303&gt;0,IF(N303&lt;=eco,alpha*fck*(1-(1-N303/eco)^n),alpha*fck),0)</f>
      </c>
      <c r="P303" s="30">
        <f>PM_Angle!$J$10+PM_Angle!$K$10*$C303+PM_Angle!$L$10*$B303</f>
      </c>
      <c r="Q303" s="12">
        <f>IF(P303&gt;0,IF(P303&lt;=eco,alpha*fck*(1-(1-P303/eco)^n),alpha*fck),0)</f>
      </c>
      <c r="R303" s="30">
        <f>PM_Angle!$J$11+PM_Angle!$K$11*$C303+PM_Angle!$L$11*$B303</f>
      </c>
      <c r="S303" s="12">
        <f>IF(R303&gt;0,IF(R303&lt;=eco,alpha*fck*(1-(1-R303/eco)^n),alpha*fck),0)</f>
      </c>
      <c r="T303" s="30">
        <f>PM_Angle!$J$12+PM_Angle!$K$12*$C303+PM_Angle!$L$12*$B303</f>
      </c>
      <c r="U303" s="12">
        <f>IF(T303&gt;0,IF(T303&lt;=eco,alpha*fck*(1-(1-T303/eco)^n),alpha*fck),0)</f>
      </c>
      <c r="V303" s="30">
        <f>PM_Angle!$J$13+PM_Angle!$K$13*$C303+PM_Angle!$L$13*$B303</f>
      </c>
      <c r="W303" s="12">
        <f>IF(V303&gt;0,IF(V303&lt;=eco,alpha*fck*(1-(1-V303/eco)^n),alpha*fck),0)</f>
      </c>
      <c r="X303" s="30">
        <f>PM_Angle!$J$14+PM_Angle!$K$14*$C303+PM_Angle!$L$14*$B303</f>
      </c>
      <c r="Y303" s="12">
        <f>IF(X303&gt;0,IF(X303&lt;=eco,alpha*fck*(1-(1-X303/eco)^n),alpha*fck),0)</f>
      </c>
      <c r="Z303" s="30">
        <f>PM_Angle!$J$15+PM_Angle!$K$15*$C303+PM_Angle!$L$15*$B303</f>
      </c>
      <c r="AA303" s="12">
        <f>IF(Z303&gt;0,IF(Z303&lt;=eco,alpha*fck*(1-(1-Z303/eco)^n),alpha*fck),0)</f>
      </c>
      <c r="AB303" s="30">
        <f>PM_Angle!$J$16+PM_Angle!$K$16*$C303+PM_Angle!$L$16*$B303</f>
      </c>
      <c r="AC303" s="12">
        <f>IF(AB303&gt;0,IF(AB303&lt;=eco,alpha*fck*(1-(1-AB303/eco)^n),alpha*fck),0)</f>
      </c>
      <c r="AD303" s="30">
        <f>PM_Angle!$J$17+PM_Angle!$K$17*$C303+PM_Angle!$L$17*$B303</f>
      </c>
      <c r="AE303" s="12">
        <f>IF(AD303&gt;0,IF(AD303&lt;=eco,alpha*fck*(1-(1-AD303/eco)^n),alpha*fck),0)</f>
      </c>
      <c r="AF303" s="30">
        <f>PM_Angle!$J$18+PM_Angle!$K$18*$C303+PM_Angle!$L$18*$B303</f>
      </c>
      <c r="AG303" s="12">
        <f>IF(AF303&gt;0,IF(AF303&lt;=eco,alpha*fck*(1-(1-AF303/eco)^n),alpha*fck),0)</f>
      </c>
      <c r="AH303" s="30">
        <f>PM_Angle!$J$19+PM_Angle!$K$19*$C303+PM_Angle!$L$19*$B303</f>
      </c>
      <c r="AI303" s="12">
        <f>IF(AH303&gt;0,IF(AH303&lt;=eco,alpha*fck*(1-(1-AH303/eco)^n),alpha*fck),0)</f>
      </c>
      <c r="AJ303" s="30">
        <f>PM_Angle!$J$20+PM_Angle!$K$20*$C303+PM_Angle!$L$20*$B303</f>
      </c>
      <c r="AK303" s="12">
        <f>IF(AJ303&gt;0,IF(AJ303&lt;=eco,alpha*fck*(1-(1-AJ303/eco)^n),alpha*fck),0)</f>
      </c>
      <c r="AL303" s="30">
        <f>PM_Angle!$J$21+PM_Angle!$K$21*$C303+PM_Angle!$L$21*$B303</f>
      </c>
      <c r="AM303" s="12">
        <f>IF(AL303&gt;0,IF(AL303&lt;=eco,alpha*fck*(1-(1-AL303/eco)^n),alpha*fck),0)</f>
      </c>
      <c r="AN303" s="30">
        <f>PM_Angle!$J$22+PM_Angle!$K$22*$C303+PM_Angle!$L$22*$B303</f>
      </c>
      <c r="AO303" s="12">
        <f>IF(AN303&gt;0,IF(AN303&lt;=eco,alpha*fck*(1-(1-AN303/eco)^n),alpha*fck),0)</f>
      </c>
      <c r="AP303" s="30">
        <f>PM_Angle!$J$23+PM_Angle!$K$23*$C303+PM_Angle!$L$23*$B303</f>
      </c>
      <c r="AQ303" s="12">
        <f>IF(AP303&gt;0,IF(AP303&lt;=eco,alpha*fck*(1-(1-AP303/eco)^n),alpha*fck),0)</f>
      </c>
      <c r="AR303" s="30">
        <f>PM_Angle!$J$24+PM_Angle!$K$24*$C303+PM_Angle!$L$24*$B303</f>
      </c>
      <c r="AS303" s="12">
        <f>IF(AR303&gt;0,IF(AR303&lt;=eco,alpha*fck*(1-(1-AR303/eco)^n),alpha*fck),0)</f>
      </c>
      <c r="AT303" s="30">
        <f>PM_Angle!$J$25+PM_Angle!$K$25*$C303+PM_Angle!$L$25*$B303</f>
      </c>
      <c r="AU303" s="12">
        <f>IF(AT303&gt;0,IF(AT303&lt;=eco,alpha*fck*(1-(1-AT303/eco)^n),alpha*fck),0)</f>
      </c>
    </row>
    <row r="304" spans="1:47" x14ac:dyDescent="0.25">
      <c r="A304">
        <f>Mesh!A301</f>
      </c>
      <c r="B304" s="12">
        <f>Mesh!B301</f>
      </c>
      <c r="C304" s="12">
        <f>Mesh!C301</f>
      </c>
      <c r="D304" s="12">
        <f>Mesh!D301</f>
      </c>
      <c r="E304" s="30">
        <f>INDEX(St_e0,Det+1)+INDEX(St_kx,Det+1)*C304+INDEX(St_ky,Det+1)*B304</f>
      </c>
      <c r="F304" s="12">
        <f>IF(E304&gt;0,IF(E304&lt;=eco,alpha*fck*(1-(1-E304/eco)^n),alpha*fck),0)</f>
      </c>
      <c r="G304" s="11">
        <f>F304*D304</f>
      </c>
      <c r="H304" s="11">
        <f>G304*C304</f>
      </c>
      <c r="I304" s="11">
        <f>G304*B304</f>
      </c>
      <c r="J304" s="30">
        <f>PM_Angle!$J$7+PM_Angle!$K$7*$C304+PM_Angle!$L$7*$B304</f>
      </c>
      <c r="K304" s="12">
        <f>IF(J304&gt;0,IF(J304&lt;=eco,alpha*fck*(1-(1-J304/eco)^n),alpha*fck),0)</f>
      </c>
      <c r="L304" s="30">
        <f>PM_Angle!$J$8+PM_Angle!$K$8*$C304+PM_Angle!$L$8*$B304</f>
      </c>
      <c r="M304" s="12">
        <f>IF(L304&gt;0,IF(L304&lt;=eco,alpha*fck*(1-(1-L304/eco)^n),alpha*fck),0)</f>
      </c>
      <c r="N304" s="30">
        <f>PM_Angle!$J$9+PM_Angle!$K$9*$C304+PM_Angle!$L$9*$B304</f>
      </c>
      <c r="O304" s="12">
        <f>IF(N304&gt;0,IF(N304&lt;=eco,alpha*fck*(1-(1-N304/eco)^n),alpha*fck),0)</f>
      </c>
      <c r="P304" s="30">
        <f>PM_Angle!$J$10+PM_Angle!$K$10*$C304+PM_Angle!$L$10*$B304</f>
      </c>
      <c r="Q304" s="12">
        <f>IF(P304&gt;0,IF(P304&lt;=eco,alpha*fck*(1-(1-P304/eco)^n),alpha*fck),0)</f>
      </c>
      <c r="R304" s="30">
        <f>PM_Angle!$J$11+PM_Angle!$K$11*$C304+PM_Angle!$L$11*$B304</f>
      </c>
      <c r="S304" s="12">
        <f>IF(R304&gt;0,IF(R304&lt;=eco,alpha*fck*(1-(1-R304/eco)^n),alpha*fck),0)</f>
      </c>
      <c r="T304" s="30">
        <f>PM_Angle!$J$12+PM_Angle!$K$12*$C304+PM_Angle!$L$12*$B304</f>
      </c>
      <c r="U304" s="12">
        <f>IF(T304&gt;0,IF(T304&lt;=eco,alpha*fck*(1-(1-T304/eco)^n),alpha*fck),0)</f>
      </c>
      <c r="V304" s="30">
        <f>PM_Angle!$J$13+PM_Angle!$K$13*$C304+PM_Angle!$L$13*$B304</f>
      </c>
      <c r="W304" s="12">
        <f>IF(V304&gt;0,IF(V304&lt;=eco,alpha*fck*(1-(1-V304/eco)^n),alpha*fck),0)</f>
      </c>
      <c r="X304" s="30">
        <f>PM_Angle!$J$14+PM_Angle!$K$14*$C304+PM_Angle!$L$14*$B304</f>
      </c>
      <c r="Y304" s="12">
        <f>IF(X304&gt;0,IF(X304&lt;=eco,alpha*fck*(1-(1-X304/eco)^n),alpha*fck),0)</f>
      </c>
      <c r="Z304" s="30">
        <f>PM_Angle!$J$15+PM_Angle!$K$15*$C304+PM_Angle!$L$15*$B304</f>
      </c>
      <c r="AA304" s="12">
        <f>IF(Z304&gt;0,IF(Z304&lt;=eco,alpha*fck*(1-(1-Z304/eco)^n),alpha*fck),0)</f>
      </c>
      <c r="AB304" s="30">
        <f>PM_Angle!$J$16+PM_Angle!$K$16*$C304+PM_Angle!$L$16*$B304</f>
      </c>
      <c r="AC304" s="12">
        <f>IF(AB304&gt;0,IF(AB304&lt;=eco,alpha*fck*(1-(1-AB304/eco)^n),alpha*fck),0)</f>
      </c>
      <c r="AD304" s="30">
        <f>PM_Angle!$J$17+PM_Angle!$K$17*$C304+PM_Angle!$L$17*$B304</f>
      </c>
      <c r="AE304" s="12">
        <f>IF(AD304&gt;0,IF(AD304&lt;=eco,alpha*fck*(1-(1-AD304/eco)^n),alpha*fck),0)</f>
      </c>
      <c r="AF304" s="30">
        <f>PM_Angle!$J$18+PM_Angle!$K$18*$C304+PM_Angle!$L$18*$B304</f>
      </c>
      <c r="AG304" s="12">
        <f>IF(AF304&gt;0,IF(AF304&lt;=eco,alpha*fck*(1-(1-AF304/eco)^n),alpha*fck),0)</f>
      </c>
      <c r="AH304" s="30">
        <f>PM_Angle!$J$19+PM_Angle!$K$19*$C304+PM_Angle!$L$19*$B304</f>
      </c>
      <c r="AI304" s="12">
        <f>IF(AH304&gt;0,IF(AH304&lt;=eco,alpha*fck*(1-(1-AH304/eco)^n),alpha*fck),0)</f>
      </c>
      <c r="AJ304" s="30">
        <f>PM_Angle!$J$20+PM_Angle!$K$20*$C304+PM_Angle!$L$20*$B304</f>
      </c>
      <c r="AK304" s="12">
        <f>IF(AJ304&gt;0,IF(AJ304&lt;=eco,alpha*fck*(1-(1-AJ304/eco)^n),alpha*fck),0)</f>
      </c>
      <c r="AL304" s="30">
        <f>PM_Angle!$J$21+PM_Angle!$K$21*$C304+PM_Angle!$L$21*$B304</f>
      </c>
      <c r="AM304" s="12">
        <f>IF(AL304&gt;0,IF(AL304&lt;=eco,alpha*fck*(1-(1-AL304/eco)^n),alpha*fck),0)</f>
      </c>
      <c r="AN304" s="30">
        <f>PM_Angle!$J$22+PM_Angle!$K$22*$C304+PM_Angle!$L$22*$B304</f>
      </c>
      <c r="AO304" s="12">
        <f>IF(AN304&gt;0,IF(AN304&lt;=eco,alpha*fck*(1-(1-AN304/eco)^n),alpha*fck),0)</f>
      </c>
      <c r="AP304" s="30">
        <f>PM_Angle!$J$23+PM_Angle!$K$23*$C304+PM_Angle!$L$23*$B304</f>
      </c>
      <c r="AQ304" s="12">
        <f>IF(AP304&gt;0,IF(AP304&lt;=eco,alpha*fck*(1-(1-AP304/eco)^n),alpha*fck),0)</f>
      </c>
      <c r="AR304" s="30">
        <f>PM_Angle!$J$24+PM_Angle!$K$24*$C304+PM_Angle!$L$24*$B304</f>
      </c>
      <c r="AS304" s="12">
        <f>IF(AR304&gt;0,IF(AR304&lt;=eco,alpha*fck*(1-(1-AR304/eco)^n),alpha*fck),0)</f>
      </c>
      <c r="AT304" s="30">
        <f>PM_Angle!$J$25+PM_Angle!$K$25*$C304+PM_Angle!$L$25*$B304</f>
      </c>
      <c r="AU304" s="12">
        <f>IF(AT304&gt;0,IF(AT304&lt;=eco,alpha*fck*(1-(1-AT304/eco)^n),alpha*fck),0)</f>
      </c>
    </row>
    <row r="305" spans="1:47" x14ac:dyDescent="0.25">
      <c r="A305">
        <f>Mesh!A302</f>
      </c>
      <c r="B305" s="12">
        <f>Mesh!B302</f>
      </c>
      <c r="C305" s="12">
        <f>Mesh!C302</f>
      </c>
      <c r="D305" s="12">
        <f>Mesh!D302</f>
      </c>
      <c r="E305" s="30">
        <f>INDEX(St_e0,Det+1)+INDEX(St_kx,Det+1)*C305+INDEX(St_ky,Det+1)*B305</f>
      </c>
      <c r="F305" s="12">
        <f>IF(E305&gt;0,IF(E305&lt;=eco,alpha*fck*(1-(1-E305/eco)^n),alpha*fck),0)</f>
      </c>
      <c r="G305" s="11">
        <f>F305*D305</f>
      </c>
      <c r="H305" s="11">
        <f>G305*C305</f>
      </c>
      <c r="I305" s="11">
        <f>G305*B305</f>
      </c>
      <c r="J305" s="30">
        <f>PM_Angle!$J$7+PM_Angle!$K$7*$C305+PM_Angle!$L$7*$B305</f>
      </c>
      <c r="K305" s="12">
        <f>IF(J305&gt;0,IF(J305&lt;=eco,alpha*fck*(1-(1-J305/eco)^n),alpha*fck),0)</f>
      </c>
      <c r="L305" s="30">
        <f>PM_Angle!$J$8+PM_Angle!$K$8*$C305+PM_Angle!$L$8*$B305</f>
      </c>
      <c r="M305" s="12">
        <f>IF(L305&gt;0,IF(L305&lt;=eco,alpha*fck*(1-(1-L305/eco)^n),alpha*fck),0)</f>
      </c>
      <c r="N305" s="30">
        <f>PM_Angle!$J$9+PM_Angle!$K$9*$C305+PM_Angle!$L$9*$B305</f>
      </c>
      <c r="O305" s="12">
        <f>IF(N305&gt;0,IF(N305&lt;=eco,alpha*fck*(1-(1-N305/eco)^n),alpha*fck),0)</f>
      </c>
      <c r="P305" s="30">
        <f>PM_Angle!$J$10+PM_Angle!$K$10*$C305+PM_Angle!$L$10*$B305</f>
      </c>
      <c r="Q305" s="12">
        <f>IF(P305&gt;0,IF(P305&lt;=eco,alpha*fck*(1-(1-P305/eco)^n),alpha*fck),0)</f>
      </c>
      <c r="R305" s="30">
        <f>PM_Angle!$J$11+PM_Angle!$K$11*$C305+PM_Angle!$L$11*$B305</f>
      </c>
      <c r="S305" s="12">
        <f>IF(R305&gt;0,IF(R305&lt;=eco,alpha*fck*(1-(1-R305/eco)^n),alpha*fck),0)</f>
      </c>
      <c r="T305" s="30">
        <f>PM_Angle!$J$12+PM_Angle!$K$12*$C305+PM_Angle!$L$12*$B305</f>
      </c>
      <c r="U305" s="12">
        <f>IF(T305&gt;0,IF(T305&lt;=eco,alpha*fck*(1-(1-T305/eco)^n),alpha*fck),0)</f>
      </c>
      <c r="V305" s="30">
        <f>PM_Angle!$J$13+PM_Angle!$K$13*$C305+PM_Angle!$L$13*$B305</f>
      </c>
      <c r="W305" s="12">
        <f>IF(V305&gt;0,IF(V305&lt;=eco,alpha*fck*(1-(1-V305/eco)^n),alpha*fck),0)</f>
      </c>
      <c r="X305" s="30">
        <f>PM_Angle!$J$14+PM_Angle!$K$14*$C305+PM_Angle!$L$14*$B305</f>
      </c>
      <c r="Y305" s="12">
        <f>IF(X305&gt;0,IF(X305&lt;=eco,alpha*fck*(1-(1-X305/eco)^n),alpha*fck),0)</f>
      </c>
      <c r="Z305" s="30">
        <f>PM_Angle!$J$15+PM_Angle!$K$15*$C305+PM_Angle!$L$15*$B305</f>
      </c>
      <c r="AA305" s="12">
        <f>IF(Z305&gt;0,IF(Z305&lt;=eco,alpha*fck*(1-(1-Z305/eco)^n),alpha*fck),0)</f>
      </c>
      <c r="AB305" s="30">
        <f>PM_Angle!$J$16+PM_Angle!$K$16*$C305+PM_Angle!$L$16*$B305</f>
      </c>
      <c r="AC305" s="12">
        <f>IF(AB305&gt;0,IF(AB305&lt;=eco,alpha*fck*(1-(1-AB305/eco)^n),alpha*fck),0)</f>
      </c>
      <c r="AD305" s="30">
        <f>PM_Angle!$J$17+PM_Angle!$K$17*$C305+PM_Angle!$L$17*$B305</f>
      </c>
      <c r="AE305" s="12">
        <f>IF(AD305&gt;0,IF(AD305&lt;=eco,alpha*fck*(1-(1-AD305/eco)^n),alpha*fck),0)</f>
      </c>
      <c r="AF305" s="30">
        <f>PM_Angle!$J$18+PM_Angle!$K$18*$C305+PM_Angle!$L$18*$B305</f>
      </c>
      <c r="AG305" s="12">
        <f>IF(AF305&gt;0,IF(AF305&lt;=eco,alpha*fck*(1-(1-AF305/eco)^n),alpha*fck),0)</f>
      </c>
      <c r="AH305" s="30">
        <f>PM_Angle!$J$19+PM_Angle!$K$19*$C305+PM_Angle!$L$19*$B305</f>
      </c>
      <c r="AI305" s="12">
        <f>IF(AH305&gt;0,IF(AH305&lt;=eco,alpha*fck*(1-(1-AH305/eco)^n),alpha*fck),0)</f>
      </c>
      <c r="AJ305" s="30">
        <f>PM_Angle!$J$20+PM_Angle!$K$20*$C305+PM_Angle!$L$20*$B305</f>
      </c>
      <c r="AK305" s="12">
        <f>IF(AJ305&gt;0,IF(AJ305&lt;=eco,alpha*fck*(1-(1-AJ305/eco)^n),alpha*fck),0)</f>
      </c>
      <c r="AL305" s="30">
        <f>PM_Angle!$J$21+PM_Angle!$K$21*$C305+PM_Angle!$L$21*$B305</f>
      </c>
      <c r="AM305" s="12">
        <f>IF(AL305&gt;0,IF(AL305&lt;=eco,alpha*fck*(1-(1-AL305/eco)^n),alpha*fck),0)</f>
      </c>
      <c r="AN305" s="30">
        <f>PM_Angle!$J$22+PM_Angle!$K$22*$C305+PM_Angle!$L$22*$B305</f>
      </c>
      <c r="AO305" s="12">
        <f>IF(AN305&gt;0,IF(AN305&lt;=eco,alpha*fck*(1-(1-AN305/eco)^n),alpha*fck),0)</f>
      </c>
      <c r="AP305" s="30">
        <f>PM_Angle!$J$23+PM_Angle!$K$23*$C305+PM_Angle!$L$23*$B305</f>
      </c>
      <c r="AQ305" s="12">
        <f>IF(AP305&gt;0,IF(AP305&lt;=eco,alpha*fck*(1-(1-AP305/eco)^n),alpha*fck),0)</f>
      </c>
      <c r="AR305" s="30">
        <f>PM_Angle!$J$24+PM_Angle!$K$24*$C305+PM_Angle!$L$24*$B305</f>
      </c>
      <c r="AS305" s="12">
        <f>IF(AR305&gt;0,IF(AR305&lt;=eco,alpha*fck*(1-(1-AR305/eco)^n),alpha*fck),0)</f>
      </c>
      <c r="AT305" s="30">
        <f>PM_Angle!$J$25+PM_Angle!$K$25*$C305+PM_Angle!$L$25*$B305</f>
      </c>
      <c r="AU305" s="12">
        <f>IF(AT305&gt;0,IF(AT305&lt;=eco,alpha*fck*(1-(1-AT305/eco)^n),alpha*fck),0)</f>
      </c>
    </row>
    <row r="306" spans="1:47" x14ac:dyDescent="0.25">
      <c r="A306">
        <f>Mesh!A303</f>
      </c>
      <c r="B306" s="12">
        <f>Mesh!B303</f>
      </c>
      <c r="C306" s="12">
        <f>Mesh!C303</f>
      </c>
      <c r="D306" s="12">
        <f>Mesh!D303</f>
      </c>
      <c r="E306" s="30">
        <f>INDEX(St_e0,Det+1)+INDEX(St_kx,Det+1)*C306+INDEX(St_ky,Det+1)*B306</f>
      </c>
      <c r="F306" s="12">
        <f>IF(E306&gt;0,IF(E306&lt;=eco,alpha*fck*(1-(1-E306/eco)^n),alpha*fck),0)</f>
      </c>
      <c r="G306" s="11">
        <f>F306*D306</f>
      </c>
      <c r="H306" s="11">
        <f>G306*C306</f>
      </c>
      <c r="I306" s="11">
        <f>G306*B306</f>
      </c>
      <c r="J306" s="30">
        <f>PM_Angle!$J$7+PM_Angle!$K$7*$C306+PM_Angle!$L$7*$B306</f>
      </c>
      <c r="K306" s="12">
        <f>IF(J306&gt;0,IF(J306&lt;=eco,alpha*fck*(1-(1-J306/eco)^n),alpha*fck),0)</f>
      </c>
      <c r="L306" s="30">
        <f>PM_Angle!$J$8+PM_Angle!$K$8*$C306+PM_Angle!$L$8*$B306</f>
      </c>
      <c r="M306" s="12">
        <f>IF(L306&gt;0,IF(L306&lt;=eco,alpha*fck*(1-(1-L306/eco)^n),alpha*fck),0)</f>
      </c>
      <c r="N306" s="30">
        <f>PM_Angle!$J$9+PM_Angle!$K$9*$C306+PM_Angle!$L$9*$B306</f>
      </c>
      <c r="O306" s="12">
        <f>IF(N306&gt;0,IF(N306&lt;=eco,alpha*fck*(1-(1-N306/eco)^n),alpha*fck),0)</f>
      </c>
      <c r="P306" s="30">
        <f>PM_Angle!$J$10+PM_Angle!$K$10*$C306+PM_Angle!$L$10*$B306</f>
      </c>
      <c r="Q306" s="12">
        <f>IF(P306&gt;0,IF(P306&lt;=eco,alpha*fck*(1-(1-P306/eco)^n),alpha*fck),0)</f>
      </c>
      <c r="R306" s="30">
        <f>PM_Angle!$J$11+PM_Angle!$K$11*$C306+PM_Angle!$L$11*$B306</f>
      </c>
      <c r="S306" s="12">
        <f>IF(R306&gt;0,IF(R306&lt;=eco,alpha*fck*(1-(1-R306/eco)^n),alpha*fck),0)</f>
      </c>
      <c r="T306" s="30">
        <f>PM_Angle!$J$12+PM_Angle!$K$12*$C306+PM_Angle!$L$12*$B306</f>
      </c>
      <c r="U306" s="12">
        <f>IF(T306&gt;0,IF(T306&lt;=eco,alpha*fck*(1-(1-T306/eco)^n),alpha*fck),0)</f>
      </c>
      <c r="V306" s="30">
        <f>PM_Angle!$J$13+PM_Angle!$K$13*$C306+PM_Angle!$L$13*$B306</f>
      </c>
      <c r="W306" s="12">
        <f>IF(V306&gt;0,IF(V306&lt;=eco,alpha*fck*(1-(1-V306/eco)^n),alpha*fck),0)</f>
      </c>
      <c r="X306" s="30">
        <f>PM_Angle!$J$14+PM_Angle!$K$14*$C306+PM_Angle!$L$14*$B306</f>
      </c>
      <c r="Y306" s="12">
        <f>IF(X306&gt;0,IF(X306&lt;=eco,alpha*fck*(1-(1-X306/eco)^n),alpha*fck),0)</f>
      </c>
      <c r="Z306" s="30">
        <f>PM_Angle!$J$15+PM_Angle!$K$15*$C306+PM_Angle!$L$15*$B306</f>
      </c>
      <c r="AA306" s="12">
        <f>IF(Z306&gt;0,IF(Z306&lt;=eco,alpha*fck*(1-(1-Z306/eco)^n),alpha*fck),0)</f>
      </c>
      <c r="AB306" s="30">
        <f>PM_Angle!$J$16+PM_Angle!$K$16*$C306+PM_Angle!$L$16*$B306</f>
      </c>
      <c r="AC306" s="12">
        <f>IF(AB306&gt;0,IF(AB306&lt;=eco,alpha*fck*(1-(1-AB306/eco)^n),alpha*fck),0)</f>
      </c>
      <c r="AD306" s="30">
        <f>PM_Angle!$J$17+PM_Angle!$K$17*$C306+PM_Angle!$L$17*$B306</f>
      </c>
      <c r="AE306" s="12">
        <f>IF(AD306&gt;0,IF(AD306&lt;=eco,alpha*fck*(1-(1-AD306/eco)^n),alpha*fck),0)</f>
      </c>
      <c r="AF306" s="30">
        <f>PM_Angle!$J$18+PM_Angle!$K$18*$C306+PM_Angle!$L$18*$B306</f>
      </c>
      <c r="AG306" s="12">
        <f>IF(AF306&gt;0,IF(AF306&lt;=eco,alpha*fck*(1-(1-AF306/eco)^n),alpha*fck),0)</f>
      </c>
      <c r="AH306" s="30">
        <f>PM_Angle!$J$19+PM_Angle!$K$19*$C306+PM_Angle!$L$19*$B306</f>
      </c>
      <c r="AI306" s="12">
        <f>IF(AH306&gt;0,IF(AH306&lt;=eco,alpha*fck*(1-(1-AH306/eco)^n),alpha*fck),0)</f>
      </c>
      <c r="AJ306" s="30">
        <f>PM_Angle!$J$20+PM_Angle!$K$20*$C306+PM_Angle!$L$20*$B306</f>
      </c>
      <c r="AK306" s="12">
        <f>IF(AJ306&gt;0,IF(AJ306&lt;=eco,alpha*fck*(1-(1-AJ306/eco)^n),alpha*fck),0)</f>
      </c>
      <c r="AL306" s="30">
        <f>PM_Angle!$J$21+PM_Angle!$K$21*$C306+PM_Angle!$L$21*$B306</f>
      </c>
      <c r="AM306" s="12">
        <f>IF(AL306&gt;0,IF(AL306&lt;=eco,alpha*fck*(1-(1-AL306/eco)^n),alpha*fck),0)</f>
      </c>
      <c r="AN306" s="30">
        <f>PM_Angle!$J$22+PM_Angle!$K$22*$C306+PM_Angle!$L$22*$B306</f>
      </c>
      <c r="AO306" s="12">
        <f>IF(AN306&gt;0,IF(AN306&lt;=eco,alpha*fck*(1-(1-AN306/eco)^n),alpha*fck),0)</f>
      </c>
      <c r="AP306" s="30">
        <f>PM_Angle!$J$23+PM_Angle!$K$23*$C306+PM_Angle!$L$23*$B306</f>
      </c>
      <c r="AQ306" s="12">
        <f>IF(AP306&gt;0,IF(AP306&lt;=eco,alpha*fck*(1-(1-AP306/eco)^n),alpha*fck),0)</f>
      </c>
      <c r="AR306" s="30">
        <f>PM_Angle!$J$24+PM_Angle!$K$24*$C306+PM_Angle!$L$24*$B306</f>
      </c>
      <c r="AS306" s="12">
        <f>IF(AR306&gt;0,IF(AR306&lt;=eco,alpha*fck*(1-(1-AR306/eco)^n),alpha*fck),0)</f>
      </c>
      <c r="AT306" s="30">
        <f>PM_Angle!$J$25+PM_Angle!$K$25*$C306+PM_Angle!$L$25*$B306</f>
      </c>
      <c r="AU306" s="12">
        <f>IF(AT306&gt;0,IF(AT306&lt;=eco,alpha*fck*(1-(1-AT306/eco)^n),alpha*fck),0)</f>
      </c>
    </row>
    <row r="307" spans="1:47" x14ac:dyDescent="0.25">
      <c r="A307">
        <f>Mesh!A304</f>
      </c>
      <c r="B307" s="12">
        <f>Mesh!B304</f>
      </c>
      <c r="C307" s="12">
        <f>Mesh!C304</f>
      </c>
      <c r="D307" s="12">
        <f>Mesh!D304</f>
      </c>
      <c r="E307" s="30">
        <f>INDEX(St_e0,Det+1)+INDEX(St_kx,Det+1)*C307+INDEX(St_ky,Det+1)*B307</f>
      </c>
      <c r="F307" s="12">
        <f>IF(E307&gt;0,IF(E307&lt;=eco,alpha*fck*(1-(1-E307/eco)^n),alpha*fck),0)</f>
      </c>
      <c r="G307" s="11">
        <f>F307*D307</f>
      </c>
      <c r="H307" s="11">
        <f>G307*C307</f>
      </c>
      <c r="I307" s="11">
        <f>G307*B307</f>
      </c>
      <c r="J307" s="30">
        <f>PM_Angle!$J$7+PM_Angle!$K$7*$C307+PM_Angle!$L$7*$B307</f>
      </c>
      <c r="K307" s="12">
        <f>IF(J307&gt;0,IF(J307&lt;=eco,alpha*fck*(1-(1-J307/eco)^n),alpha*fck),0)</f>
      </c>
      <c r="L307" s="30">
        <f>PM_Angle!$J$8+PM_Angle!$K$8*$C307+PM_Angle!$L$8*$B307</f>
      </c>
      <c r="M307" s="12">
        <f>IF(L307&gt;0,IF(L307&lt;=eco,alpha*fck*(1-(1-L307/eco)^n),alpha*fck),0)</f>
      </c>
      <c r="N307" s="30">
        <f>PM_Angle!$J$9+PM_Angle!$K$9*$C307+PM_Angle!$L$9*$B307</f>
      </c>
      <c r="O307" s="12">
        <f>IF(N307&gt;0,IF(N307&lt;=eco,alpha*fck*(1-(1-N307/eco)^n),alpha*fck),0)</f>
      </c>
      <c r="P307" s="30">
        <f>PM_Angle!$J$10+PM_Angle!$K$10*$C307+PM_Angle!$L$10*$B307</f>
      </c>
      <c r="Q307" s="12">
        <f>IF(P307&gt;0,IF(P307&lt;=eco,alpha*fck*(1-(1-P307/eco)^n),alpha*fck),0)</f>
      </c>
      <c r="R307" s="30">
        <f>PM_Angle!$J$11+PM_Angle!$K$11*$C307+PM_Angle!$L$11*$B307</f>
      </c>
      <c r="S307" s="12">
        <f>IF(R307&gt;0,IF(R307&lt;=eco,alpha*fck*(1-(1-R307/eco)^n),alpha*fck),0)</f>
      </c>
      <c r="T307" s="30">
        <f>PM_Angle!$J$12+PM_Angle!$K$12*$C307+PM_Angle!$L$12*$B307</f>
      </c>
      <c r="U307" s="12">
        <f>IF(T307&gt;0,IF(T307&lt;=eco,alpha*fck*(1-(1-T307/eco)^n),alpha*fck),0)</f>
      </c>
      <c r="V307" s="30">
        <f>PM_Angle!$J$13+PM_Angle!$K$13*$C307+PM_Angle!$L$13*$B307</f>
      </c>
      <c r="W307" s="12">
        <f>IF(V307&gt;0,IF(V307&lt;=eco,alpha*fck*(1-(1-V307/eco)^n),alpha*fck),0)</f>
      </c>
      <c r="X307" s="30">
        <f>PM_Angle!$J$14+PM_Angle!$K$14*$C307+PM_Angle!$L$14*$B307</f>
      </c>
      <c r="Y307" s="12">
        <f>IF(X307&gt;0,IF(X307&lt;=eco,alpha*fck*(1-(1-X307/eco)^n),alpha*fck),0)</f>
      </c>
      <c r="Z307" s="30">
        <f>PM_Angle!$J$15+PM_Angle!$K$15*$C307+PM_Angle!$L$15*$B307</f>
      </c>
      <c r="AA307" s="12">
        <f>IF(Z307&gt;0,IF(Z307&lt;=eco,alpha*fck*(1-(1-Z307/eco)^n),alpha*fck),0)</f>
      </c>
      <c r="AB307" s="30">
        <f>PM_Angle!$J$16+PM_Angle!$K$16*$C307+PM_Angle!$L$16*$B307</f>
      </c>
      <c r="AC307" s="12">
        <f>IF(AB307&gt;0,IF(AB307&lt;=eco,alpha*fck*(1-(1-AB307/eco)^n),alpha*fck),0)</f>
      </c>
      <c r="AD307" s="30">
        <f>PM_Angle!$J$17+PM_Angle!$K$17*$C307+PM_Angle!$L$17*$B307</f>
      </c>
      <c r="AE307" s="12">
        <f>IF(AD307&gt;0,IF(AD307&lt;=eco,alpha*fck*(1-(1-AD307/eco)^n),alpha*fck),0)</f>
      </c>
      <c r="AF307" s="30">
        <f>PM_Angle!$J$18+PM_Angle!$K$18*$C307+PM_Angle!$L$18*$B307</f>
      </c>
      <c r="AG307" s="12">
        <f>IF(AF307&gt;0,IF(AF307&lt;=eco,alpha*fck*(1-(1-AF307/eco)^n),alpha*fck),0)</f>
      </c>
      <c r="AH307" s="30">
        <f>PM_Angle!$J$19+PM_Angle!$K$19*$C307+PM_Angle!$L$19*$B307</f>
      </c>
      <c r="AI307" s="12">
        <f>IF(AH307&gt;0,IF(AH307&lt;=eco,alpha*fck*(1-(1-AH307/eco)^n),alpha*fck),0)</f>
      </c>
      <c r="AJ307" s="30">
        <f>PM_Angle!$J$20+PM_Angle!$K$20*$C307+PM_Angle!$L$20*$B307</f>
      </c>
      <c r="AK307" s="12">
        <f>IF(AJ307&gt;0,IF(AJ307&lt;=eco,alpha*fck*(1-(1-AJ307/eco)^n),alpha*fck),0)</f>
      </c>
      <c r="AL307" s="30">
        <f>PM_Angle!$J$21+PM_Angle!$K$21*$C307+PM_Angle!$L$21*$B307</f>
      </c>
      <c r="AM307" s="12">
        <f>IF(AL307&gt;0,IF(AL307&lt;=eco,alpha*fck*(1-(1-AL307/eco)^n),alpha*fck),0)</f>
      </c>
      <c r="AN307" s="30">
        <f>PM_Angle!$J$22+PM_Angle!$K$22*$C307+PM_Angle!$L$22*$B307</f>
      </c>
      <c r="AO307" s="12">
        <f>IF(AN307&gt;0,IF(AN307&lt;=eco,alpha*fck*(1-(1-AN307/eco)^n),alpha*fck),0)</f>
      </c>
      <c r="AP307" s="30">
        <f>PM_Angle!$J$23+PM_Angle!$K$23*$C307+PM_Angle!$L$23*$B307</f>
      </c>
      <c r="AQ307" s="12">
        <f>IF(AP307&gt;0,IF(AP307&lt;=eco,alpha*fck*(1-(1-AP307/eco)^n),alpha*fck),0)</f>
      </c>
      <c r="AR307" s="30">
        <f>PM_Angle!$J$24+PM_Angle!$K$24*$C307+PM_Angle!$L$24*$B307</f>
      </c>
      <c r="AS307" s="12">
        <f>IF(AR307&gt;0,IF(AR307&lt;=eco,alpha*fck*(1-(1-AR307/eco)^n),alpha*fck),0)</f>
      </c>
      <c r="AT307" s="30">
        <f>PM_Angle!$J$25+PM_Angle!$K$25*$C307+PM_Angle!$L$25*$B307</f>
      </c>
      <c r="AU307" s="12">
        <f>IF(AT307&gt;0,IF(AT307&lt;=eco,alpha*fck*(1-(1-AT307/eco)^n),alpha*fck),0)</f>
      </c>
    </row>
    <row r="308" spans="1:47" x14ac:dyDescent="0.25">
      <c r="A308">
        <f>Mesh!A305</f>
      </c>
      <c r="B308" s="12">
        <f>Mesh!B305</f>
      </c>
      <c r="C308" s="12">
        <f>Mesh!C305</f>
      </c>
      <c r="D308" s="12">
        <f>Mesh!D305</f>
      </c>
      <c r="E308" s="30">
        <f>INDEX(St_e0,Det+1)+INDEX(St_kx,Det+1)*C308+INDEX(St_ky,Det+1)*B308</f>
      </c>
      <c r="F308" s="12">
        <f>IF(E308&gt;0,IF(E308&lt;=eco,alpha*fck*(1-(1-E308/eco)^n),alpha*fck),0)</f>
      </c>
      <c r="G308" s="11">
        <f>F308*D308</f>
      </c>
      <c r="H308" s="11">
        <f>G308*C308</f>
      </c>
      <c r="I308" s="11">
        <f>G308*B308</f>
      </c>
      <c r="J308" s="30">
        <f>PM_Angle!$J$7+PM_Angle!$K$7*$C308+PM_Angle!$L$7*$B308</f>
      </c>
      <c r="K308" s="12">
        <f>IF(J308&gt;0,IF(J308&lt;=eco,alpha*fck*(1-(1-J308/eco)^n),alpha*fck),0)</f>
      </c>
      <c r="L308" s="30">
        <f>PM_Angle!$J$8+PM_Angle!$K$8*$C308+PM_Angle!$L$8*$B308</f>
      </c>
      <c r="M308" s="12">
        <f>IF(L308&gt;0,IF(L308&lt;=eco,alpha*fck*(1-(1-L308/eco)^n),alpha*fck),0)</f>
      </c>
      <c r="N308" s="30">
        <f>PM_Angle!$J$9+PM_Angle!$K$9*$C308+PM_Angle!$L$9*$B308</f>
      </c>
      <c r="O308" s="12">
        <f>IF(N308&gt;0,IF(N308&lt;=eco,alpha*fck*(1-(1-N308/eco)^n),alpha*fck),0)</f>
      </c>
      <c r="P308" s="30">
        <f>PM_Angle!$J$10+PM_Angle!$K$10*$C308+PM_Angle!$L$10*$B308</f>
      </c>
      <c r="Q308" s="12">
        <f>IF(P308&gt;0,IF(P308&lt;=eco,alpha*fck*(1-(1-P308/eco)^n),alpha*fck),0)</f>
      </c>
      <c r="R308" s="30">
        <f>PM_Angle!$J$11+PM_Angle!$K$11*$C308+PM_Angle!$L$11*$B308</f>
      </c>
      <c r="S308" s="12">
        <f>IF(R308&gt;0,IF(R308&lt;=eco,alpha*fck*(1-(1-R308/eco)^n),alpha*fck),0)</f>
      </c>
      <c r="T308" s="30">
        <f>PM_Angle!$J$12+PM_Angle!$K$12*$C308+PM_Angle!$L$12*$B308</f>
      </c>
      <c r="U308" s="12">
        <f>IF(T308&gt;0,IF(T308&lt;=eco,alpha*fck*(1-(1-T308/eco)^n),alpha*fck),0)</f>
      </c>
      <c r="V308" s="30">
        <f>PM_Angle!$J$13+PM_Angle!$K$13*$C308+PM_Angle!$L$13*$B308</f>
      </c>
      <c r="W308" s="12">
        <f>IF(V308&gt;0,IF(V308&lt;=eco,alpha*fck*(1-(1-V308/eco)^n),alpha*fck),0)</f>
      </c>
      <c r="X308" s="30">
        <f>PM_Angle!$J$14+PM_Angle!$K$14*$C308+PM_Angle!$L$14*$B308</f>
      </c>
      <c r="Y308" s="12">
        <f>IF(X308&gt;0,IF(X308&lt;=eco,alpha*fck*(1-(1-X308/eco)^n),alpha*fck),0)</f>
      </c>
      <c r="Z308" s="30">
        <f>PM_Angle!$J$15+PM_Angle!$K$15*$C308+PM_Angle!$L$15*$B308</f>
      </c>
      <c r="AA308" s="12">
        <f>IF(Z308&gt;0,IF(Z308&lt;=eco,alpha*fck*(1-(1-Z308/eco)^n),alpha*fck),0)</f>
      </c>
      <c r="AB308" s="30">
        <f>PM_Angle!$J$16+PM_Angle!$K$16*$C308+PM_Angle!$L$16*$B308</f>
      </c>
      <c r="AC308" s="12">
        <f>IF(AB308&gt;0,IF(AB308&lt;=eco,alpha*fck*(1-(1-AB308/eco)^n),alpha*fck),0)</f>
      </c>
      <c r="AD308" s="30">
        <f>PM_Angle!$J$17+PM_Angle!$K$17*$C308+PM_Angle!$L$17*$B308</f>
      </c>
      <c r="AE308" s="12">
        <f>IF(AD308&gt;0,IF(AD308&lt;=eco,alpha*fck*(1-(1-AD308/eco)^n),alpha*fck),0)</f>
      </c>
      <c r="AF308" s="30">
        <f>PM_Angle!$J$18+PM_Angle!$K$18*$C308+PM_Angle!$L$18*$B308</f>
      </c>
      <c r="AG308" s="12">
        <f>IF(AF308&gt;0,IF(AF308&lt;=eco,alpha*fck*(1-(1-AF308/eco)^n),alpha*fck),0)</f>
      </c>
      <c r="AH308" s="30">
        <f>PM_Angle!$J$19+PM_Angle!$K$19*$C308+PM_Angle!$L$19*$B308</f>
      </c>
      <c r="AI308" s="12">
        <f>IF(AH308&gt;0,IF(AH308&lt;=eco,alpha*fck*(1-(1-AH308/eco)^n),alpha*fck),0)</f>
      </c>
      <c r="AJ308" s="30">
        <f>PM_Angle!$J$20+PM_Angle!$K$20*$C308+PM_Angle!$L$20*$B308</f>
      </c>
      <c r="AK308" s="12">
        <f>IF(AJ308&gt;0,IF(AJ308&lt;=eco,alpha*fck*(1-(1-AJ308/eco)^n),alpha*fck),0)</f>
      </c>
      <c r="AL308" s="30">
        <f>PM_Angle!$J$21+PM_Angle!$K$21*$C308+PM_Angle!$L$21*$B308</f>
      </c>
      <c r="AM308" s="12">
        <f>IF(AL308&gt;0,IF(AL308&lt;=eco,alpha*fck*(1-(1-AL308/eco)^n),alpha*fck),0)</f>
      </c>
      <c r="AN308" s="30">
        <f>PM_Angle!$J$22+PM_Angle!$K$22*$C308+PM_Angle!$L$22*$B308</f>
      </c>
      <c r="AO308" s="12">
        <f>IF(AN308&gt;0,IF(AN308&lt;=eco,alpha*fck*(1-(1-AN308/eco)^n),alpha*fck),0)</f>
      </c>
      <c r="AP308" s="30">
        <f>PM_Angle!$J$23+PM_Angle!$K$23*$C308+PM_Angle!$L$23*$B308</f>
      </c>
      <c r="AQ308" s="12">
        <f>IF(AP308&gt;0,IF(AP308&lt;=eco,alpha*fck*(1-(1-AP308/eco)^n),alpha*fck),0)</f>
      </c>
      <c r="AR308" s="30">
        <f>PM_Angle!$J$24+PM_Angle!$K$24*$C308+PM_Angle!$L$24*$B308</f>
      </c>
      <c r="AS308" s="12">
        <f>IF(AR308&gt;0,IF(AR308&lt;=eco,alpha*fck*(1-(1-AR308/eco)^n),alpha*fck),0)</f>
      </c>
      <c r="AT308" s="30">
        <f>PM_Angle!$J$25+PM_Angle!$K$25*$C308+PM_Angle!$L$25*$B308</f>
      </c>
      <c r="AU308" s="12">
        <f>IF(AT308&gt;0,IF(AT308&lt;=eco,alpha*fck*(1-(1-AT308/eco)^n),alpha*fck),0)</f>
      </c>
    </row>
    <row r="309" spans="1:47" x14ac:dyDescent="0.25">
      <c r="A309">
        <f>Mesh!A306</f>
      </c>
      <c r="B309" s="12">
        <f>Mesh!B306</f>
      </c>
      <c r="C309" s="12">
        <f>Mesh!C306</f>
      </c>
      <c r="D309" s="12">
        <f>Mesh!D306</f>
      </c>
      <c r="E309" s="30">
        <f>INDEX(St_e0,Det+1)+INDEX(St_kx,Det+1)*C309+INDEX(St_ky,Det+1)*B309</f>
      </c>
      <c r="F309" s="12">
        <f>IF(E309&gt;0,IF(E309&lt;=eco,alpha*fck*(1-(1-E309/eco)^n),alpha*fck),0)</f>
      </c>
      <c r="G309" s="11">
        <f>F309*D309</f>
      </c>
      <c r="H309" s="11">
        <f>G309*C309</f>
      </c>
      <c r="I309" s="11">
        <f>G309*B309</f>
      </c>
      <c r="J309" s="30">
        <f>PM_Angle!$J$7+PM_Angle!$K$7*$C309+PM_Angle!$L$7*$B309</f>
      </c>
      <c r="K309" s="12">
        <f>IF(J309&gt;0,IF(J309&lt;=eco,alpha*fck*(1-(1-J309/eco)^n),alpha*fck),0)</f>
      </c>
      <c r="L309" s="30">
        <f>PM_Angle!$J$8+PM_Angle!$K$8*$C309+PM_Angle!$L$8*$B309</f>
      </c>
      <c r="M309" s="12">
        <f>IF(L309&gt;0,IF(L309&lt;=eco,alpha*fck*(1-(1-L309/eco)^n),alpha*fck),0)</f>
      </c>
      <c r="N309" s="30">
        <f>PM_Angle!$J$9+PM_Angle!$K$9*$C309+PM_Angle!$L$9*$B309</f>
      </c>
      <c r="O309" s="12">
        <f>IF(N309&gt;0,IF(N309&lt;=eco,alpha*fck*(1-(1-N309/eco)^n),alpha*fck),0)</f>
      </c>
      <c r="P309" s="30">
        <f>PM_Angle!$J$10+PM_Angle!$K$10*$C309+PM_Angle!$L$10*$B309</f>
      </c>
      <c r="Q309" s="12">
        <f>IF(P309&gt;0,IF(P309&lt;=eco,alpha*fck*(1-(1-P309/eco)^n),alpha*fck),0)</f>
      </c>
      <c r="R309" s="30">
        <f>PM_Angle!$J$11+PM_Angle!$K$11*$C309+PM_Angle!$L$11*$B309</f>
      </c>
      <c r="S309" s="12">
        <f>IF(R309&gt;0,IF(R309&lt;=eco,alpha*fck*(1-(1-R309/eco)^n),alpha*fck),0)</f>
      </c>
      <c r="T309" s="30">
        <f>PM_Angle!$J$12+PM_Angle!$K$12*$C309+PM_Angle!$L$12*$B309</f>
      </c>
      <c r="U309" s="12">
        <f>IF(T309&gt;0,IF(T309&lt;=eco,alpha*fck*(1-(1-T309/eco)^n),alpha*fck),0)</f>
      </c>
      <c r="V309" s="30">
        <f>PM_Angle!$J$13+PM_Angle!$K$13*$C309+PM_Angle!$L$13*$B309</f>
      </c>
      <c r="W309" s="12">
        <f>IF(V309&gt;0,IF(V309&lt;=eco,alpha*fck*(1-(1-V309/eco)^n),alpha*fck),0)</f>
      </c>
      <c r="X309" s="30">
        <f>PM_Angle!$J$14+PM_Angle!$K$14*$C309+PM_Angle!$L$14*$B309</f>
      </c>
      <c r="Y309" s="12">
        <f>IF(X309&gt;0,IF(X309&lt;=eco,alpha*fck*(1-(1-X309/eco)^n),alpha*fck),0)</f>
      </c>
      <c r="Z309" s="30">
        <f>PM_Angle!$J$15+PM_Angle!$K$15*$C309+PM_Angle!$L$15*$B309</f>
      </c>
      <c r="AA309" s="12">
        <f>IF(Z309&gt;0,IF(Z309&lt;=eco,alpha*fck*(1-(1-Z309/eco)^n),alpha*fck),0)</f>
      </c>
      <c r="AB309" s="30">
        <f>PM_Angle!$J$16+PM_Angle!$K$16*$C309+PM_Angle!$L$16*$B309</f>
      </c>
      <c r="AC309" s="12">
        <f>IF(AB309&gt;0,IF(AB309&lt;=eco,alpha*fck*(1-(1-AB309/eco)^n),alpha*fck),0)</f>
      </c>
      <c r="AD309" s="30">
        <f>PM_Angle!$J$17+PM_Angle!$K$17*$C309+PM_Angle!$L$17*$B309</f>
      </c>
      <c r="AE309" s="12">
        <f>IF(AD309&gt;0,IF(AD309&lt;=eco,alpha*fck*(1-(1-AD309/eco)^n),alpha*fck),0)</f>
      </c>
      <c r="AF309" s="30">
        <f>PM_Angle!$J$18+PM_Angle!$K$18*$C309+PM_Angle!$L$18*$B309</f>
      </c>
      <c r="AG309" s="12">
        <f>IF(AF309&gt;0,IF(AF309&lt;=eco,alpha*fck*(1-(1-AF309/eco)^n),alpha*fck),0)</f>
      </c>
      <c r="AH309" s="30">
        <f>PM_Angle!$J$19+PM_Angle!$K$19*$C309+PM_Angle!$L$19*$B309</f>
      </c>
      <c r="AI309" s="12">
        <f>IF(AH309&gt;0,IF(AH309&lt;=eco,alpha*fck*(1-(1-AH309/eco)^n),alpha*fck),0)</f>
      </c>
      <c r="AJ309" s="30">
        <f>PM_Angle!$J$20+PM_Angle!$K$20*$C309+PM_Angle!$L$20*$B309</f>
      </c>
      <c r="AK309" s="12">
        <f>IF(AJ309&gt;0,IF(AJ309&lt;=eco,alpha*fck*(1-(1-AJ309/eco)^n),alpha*fck),0)</f>
      </c>
      <c r="AL309" s="30">
        <f>PM_Angle!$J$21+PM_Angle!$K$21*$C309+PM_Angle!$L$21*$B309</f>
      </c>
      <c r="AM309" s="12">
        <f>IF(AL309&gt;0,IF(AL309&lt;=eco,alpha*fck*(1-(1-AL309/eco)^n),alpha*fck),0)</f>
      </c>
      <c r="AN309" s="30">
        <f>PM_Angle!$J$22+PM_Angle!$K$22*$C309+PM_Angle!$L$22*$B309</f>
      </c>
      <c r="AO309" s="12">
        <f>IF(AN309&gt;0,IF(AN309&lt;=eco,alpha*fck*(1-(1-AN309/eco)^n),alpha*fck),0)</f>
      </c>
      <c r="AP309" s="30">
        <f>PM_Angle!$J$23+PM_Angle!$K$23*$C309+PM_Angle!$L$23*$B309</f>
      </c>
      <c r="AQ309" s="12">
        <f>IF(AP309&gt;0,IF(AP309&lt;=eco,alpha*fck*(1-(1-AP309/eco)^n),alpha*fck),0)</f>
      </c>
      <c r="AR309" s="30">
        <f>PM_Angle!$J$24+PM_Angle!$K$24*$C309+PM_Angle!$L$24*$B309</f>
      </c>
      <c r="AS309" s="12">
        <f>IF(AR309&gt;0,IF(AR309&lt;=eco,alpha*fck*(1-(1-AR309/eco)^n),alpha*fck),0)</f>
      </c>
      <c r="AT309" s="30">
        <f>PM_Angle!$J$25+PM_Angle!$K$25*$C309+PM_Angle!$L$25*$B309</f>
      </c>
      <c r="AU309" s="12">
        <f>IF(AT309&gt;0,IF(AT309&lt;=eco,alpha*fck*(1-(1-AT309/eco)^n),alpha*fck),0)</f>
      </c>
    </row>
    <row r="310" spans="1:47" x14ac:dyDescent="0.25">
      <c r="A310">
        <f>Mesh!A307</f>
      </c>
      <c r="B310" s="12">
        <f>Mesh!B307</f>
      </c>
      <c r="C310" s="12">
        <f>Mesh!C307</f>
      </c>
      <c r="D310" s="12">
        <f>Mesh!D307</f>
      </c>
      <c r="E310" s="30">
        <f>INDEX(St_e0,Det+1)+INDEX(St_kx,Det+1)*C310+INDEX(St_ky,Det+1)*B310</f>
      </c>
      <c r="F310" s="12">
        <f>IF(E310&gt;0,IF(E310&lt;=eco,alpha*fck*(1-(1-E310/eco)^n),alpha*fck),0)</f>
      </c>
      <c r="G310" s="11">
        <f>F310*D310</f>
      </c>
      <c r="H310" s="11">
        <f>G310*C310</f>
      </c>
      <c r="I310" s="11">
        <f>G310*B310</f>
      </c>
      <c r="J310" s="30">
        <f>PM_Angle!$J$7+PM_Angle!$K$7*$C310+PM_Angle!$L$7*$B310</f>
      </c>
      <c r="K310" s="12">
        <f>IF(J310&gt;0,IF(J310&lt;=eco,alpha*fck*(1-(1-J310/eco)^n),alpha*fck),0)</f>
      </c>
      <c r="L310" s="30">
        <f>PM_Angle!$J$8+PM_Angle!$K$8*$C310+PM_Angle!$L$8*$B310</f>
      </c>
      <c r="M310" s="12">
        <f>IF(L310&gt;0,IF(L310&lt;=eco,alpha*fck*(1-(1-L310/eco)^n),alpha*fck),0)</f>
      </c>
      <c r="N310" s="30">
        <f>PM_Angle!$J$9+PM_Angle!$K$9*$C310+PM_Angle!$L$9*$B310</f>
      </c>
      <c r="O310" s="12">
        <f>IF(N310&gt;0,IF(N310&lt;=eco,alpha*fck*(1-(1-N310/eco)^n),alpha*fck),0)</f>
      </c>
      <c r="P310" s="30">
        <f>PM_Angle!$J$10+PM_Angle!$K$10*$C310+PM_Angle!$L$10*$B310</f>
      </c>
      <c r="Q310" s="12">
        <f>IF(P310&gt;0,IF(P310&lt;=eco,alpha*fck*(1-(1-P310/eco)^n),alpha*fck),0)</f>
      </c>
      <c r="R310" s="30">
        <f>PM_Angle!$J$11+PM_Angle!$K$11*$C310+PM_Angle!$L$11*$B310</f>
      </c>
      <c r="S310" s="12">
        <f>IF(R310&gt;0,IF(R310&lt;=eco,alpha*fck*(1-(1-R310/eco)^n),alpha*fck),0)</f>
      </c>
      <c r="T310" s="30">
        <f>PM_Angle!$J$12+PM_Angle!$K$12*$C310+PM_Angle!$L$12*$B310</f>
      </c>
      <c r="U310" s="12">
        <f>IF(T310&gt;0,IF(T310&lt;=eco,alpha*fck*(1-(1-T310/eco)^n),alpha*fck),0)</f>
      </c>
      <c r="V310" s="30">
        <f>PM_Angle!$J$13+PM_Angle!$K$13*$C310+PM_Angle!$L$13*$B310</f>
      </c>
      <c r="W310" s="12">
        <f>IF(V310&gt;0,IF(V310&lt;=eco,alpha*fck*(1-(1-V310/eco)^n),alpha*fck),0)</f>
      </c>
      <c r="X310" s="30">
        <f>PM_Angle!$J$14+PM_Angle!$K$14*$C310+PM_Angle!$L$14*$B310</f>
      </c>
      <c r="Y310" s="12">
        <f>IF(X310&gt;0,IF(X310&lt;=eco,alpha*fck*(1-(1-X310/eco)^n),alpha*fck),0)</f>
      </c>
      <c r="Z310" s="30">
        <f>PM_Angle!$J$15+PM_Angle!$K$15*$C310+PM_Angle!$L$15*$B310</f>
      </c>
      <c r="AA310" s="12">
        <f>IF(Z310&gt;0,IF(Z310&lt;=eco,alpha*fck*(1-(1-Z310/eco)^n),alpha*fck),0)</f>
      </c>
      <c r="AB310" s="30">
        <f>PM_Angle!$J$16+PM_Angle!$K$16*$C310+PM_Angle!$L$16*$B310</f>
      </c>
      <c r="AC310" s="12">
        <f>IF(AB310&gt;0,IF(AB310&lt;=eco,alpha*fck*(1-(1-AB310/eco)^n),alpha*fck),0)</f>
      </c>
      <c r="AD310" s="30">
        <f>PM_Angle!$J$17+PM_Angle!$K$17*$C310+PM_Angle!$L$17*$B310</f>
      </c>
      <c r="AE310" s="12">
        <f>IF(AD310&gt;0,IF(AD310&lt;=eco,alpha*fck*(1-(1-AD310/eco)^n),alpha*fck),0)</f>
      </c>
      <c r="AF310" s="30">
        <f>PM_Angle!$J$18+PM_Angle!$K$18*$C310+PM_Angle!$L$18*$B310</f>
      </c>
      <c r="AG310" s="12">
        <f>IF(AF310&gt;0,IF(AF310&lt;=eco,alpha*fck*(1-(1-AF310/eco)^n),alpha*fck),0)</f>
      </c>
      <c r="AH310" s="30">
        <f>PM_Angle!$J$19+PM_Angle!$K$19*$C310+PM_Angle!$L$19*$B310</f>
      </c>
      <c r="AI310" s="12">
        <f>IF(AH310&gt;0,IF(AH310&lt;=eco,alpha*fck*(1-(1-AH310/eco)^n),alpha*fck),0)</f>
      </c>
      <c r="AJ310" s="30">
        <f>PM_Angle!$J$20+PM_Angle!$K$20*$C310+PM_Angle!$L$20*$B310</f>
      </c>
      <c r="AK310" s="12">
        <f>IF(AJ310&gt;0,IF(AJ310&lt;=eco,alpha*fck*(1-(1-AJ310/eco)^n),alpha*fck),0)</f>
      </c>
      <c r="AL310" s="30">
        <f>PM_Angle!$J$21+PM_Angle!$K$21*$C310+PM_Angle!$L$21*$B310</f>
      </c>
      <c r="AM310" s="12">
        <f>IF(AL310&gt;0,IF(AL310&lt;=eco,alpha*fck*(1-(1-AL310/eco)^n),alpha*fck),0)</f>
      </c>
      <c r="AN310" s="30">
        <f>PM_Angle!$J$22+PM_Angle!$K$22*$C310+PM_Angle!$L$22*$B310</f>
      </c>
      <c r="AO310" s="12">
        <f>IF(AN310&gt;0,IF(AN310&lt;=eco,alpha*fck*(1-(1-AN310/eco)^n),alpha*fck),0)</f>
      </c>
      <c r="AP310" s="30">
        <f>PM_Angle!$J$23+PM_Angle!$K$23*$C310+PM_Angle!$L$23*$B310</f>
      </c>
      <c r="AQ310" s="12">
        <f>IF(AP310&gt;0,IF(AP310&lt;=eco,alpha*fck*(1-(1-AP310/eco)^n),alpha*fck),0)</f>
      </c>
      <c r="AR310" s="30">
        <f>PM_Angle!$J$24+PM_Angle!$K$24*$C310+PM_Angle!$L$24*$B310</f>
      </c>
      <c r="AS310" s="12">
        <f>IF(AR310&gt;0,IF(AR310&lt;=eco,alpha*fck*(1-(1-AR310/eco)^n),alpha*fck),0)</f>
      </c>
      <c r="AT310" s="30">
        <f>PM_Angle!$J$25+PM_Angle!$K$25*$C310+PM_Angle!$L$25*$B310</f>
      </c>
      <c r="AU310" s="12">
        <f>IF(AT310&gt;0,IF(AT310&lt;=eco,alpha*fck*(1-(1-AT310/eco)^n),alpha*fck),0)</f>
      </c>
    </row>
    <row r="311" spans="1:47" x14ac:dyDescent="0.25">
      <c r="A311">
        <f>Mesh!A308</f>
      </c>
      <c r="B311" s="12">
        <f>Mesh!B308</f>
      </c>
      <c r="C311" s="12">
        <f>Mesh!C308</f>
      </c>
      <c r="D311" s="12">
        <f>Mesh!D308</f>
      </c>
      <c r="E311" s="30">
        <f>INDEX(St_e0,Det+1)+INDEX(St_kx,Det+1)*C311+INDEX(St_ky,Det+1)*B311</f>
      </c>
      <c r="F311" s="12">
        <f>IF(E311&gt;0,IF(E311&lt;=eco,alpha*fck*(1-(1-E311/eco)^n),alpha*fck),0)</f>
      </c>
      <c r="G311" s="11">
        <f>F311*D311</f>
      </c>
      <c r="H311" s="11">
        <f>G311*C311</f>
      </c>
      <c r="I311" s="11">
        <f>G311*B311</f>
      </c>
      <c r="J311" s="30">
        <f>PM_Angle!$J$7+PM_Angle!$K$7*$C311+PM_Angle!$L$7*$B311</f>
      </c>
      <c r="K311" s="12">
        <f>IF(J311&gt;0,IF(J311&lt;=eco,alpha*fck*(1-(1-J311/eco)^n),alpha*fck),0)</f>
      </c>
      <c r="L311" s="30">
        <f>PM_Angle!$J$8+PM_Angle!$K$8*$C311+PM_Angle!$L$8*$B311</f>
      </c>
      <c r="M311" s="12">
        <f>IF(L311&gt;0,IF(L311&lt;=eco,alpha*fck*(1-(1-L311/eco)^n),alpha*fck),0)</f>
      </c>
      <c r="N311" s="30">
        <f>PM_Angle!$J$9+PM_Angle!$K$9*$C311+PM_Angle!$L$9*$B311</f>
      </c>
      <c r="O311" s="12">
        <f>IF(N311&gt;0,IF(N311&lt;=eco,alpha*fck*(1-(1-N311/eco)^n),alpha*fck),0)</f>
      </c>
      <c r="P311" s="30">
        <f>PM_Angle!$J$10+PM_Angle!$K$10*$C311+PM_Angle!$L$10*$B311</f>
      </c>
      <c r="Q311" s="12">
        <f>IF(P311&gt;0,IF(P311&lt;=eco,alpha*fck*(1-(1-P311/eco)^n),alpha*fck),0)</f>
      </c>
      <c r="R311" s="30">
        <f>PM_Angle!$J$11+PM_Angle!$K$11*$C311+PM_Angle!$L$11*$B311</f>
      </c>
      <c r="S311" s="12">
        <f>IF(R311&gt;0,IF(R311&lt;=eco,alpha*fck*(1-(1-R311/eco)^n),alpha*fck),0)</f>
      </c>
      <c r="T311" s="30">
        <f>PM_Angle!$J$12+PM_Angle!$K$12*$C311+PM_Angle!$L$12*$B311</f>
      </c>
      <c r="U311" s="12">
        <f>IF(T311&gt;0,IF(T311&lt;=eco,alpha*fck*(1-(1-T311/eco)^n),alpha*fck),0)</f>
      </c>
      <c r="V311" s="30">
        <f>PM_Angle!$J$13+PM_Angle!$K$13*$C311+PM_Angle!$L$13*$B311</f>
      </c>
      <c r="W311" s="12">
        <f>IF(V311&gt;0,IF(V311&lt;=eco,alpha*fck*(1-(1-V311/eco)^n),alpha*fck),0)</f>
      </c>
      <c r="X311" s="30">
        <f>PM_Angle!$J$14+PM_Angle!$K$14*$C311+PM_Angle!$L$14*$B311</f>
      </c>
      <c r="Y311" s="12">
        <f>IF(X311&gt;0,IF(X311&lt;=eco,alpha*fck*(1-(1-X311/eco)^n),alpha*fck),0)</f>
      </c>
      <c r="Z311" s="30">
        <f>PM_Angle!$J$15+PM_Angle!$K$15*$C311+PM_Angle!$L$15*$B311</f>
      </c>
      <c r="AA311" s="12">
        <f>IF(Z311&gt;0,IF(Z311&lt;=eco,alpha*fck*(1-(1-Z311/eco)^n),alpha*fck),0)</f>
      </c>
      <c r="AB311" s="30">
        <f>PM_Angle!$J$16+PM_Angle!$K$16*$C311+PM_Angle!$L$16*$B311</f>
      </c>
      <c r="AC311" s="12">
        <f>IF(AB311&gt;0,IF(AB311&lt;=eco,alpha*fck*(1-(1-AB311/eco)^n),alpha*fck),0)</f>
      </c>
      <c r="AD311" s="30">
        <f>PM_Angle!$J$17+PM_Angle!$K$17*$C311+PM_Angle!$L$17*$B311</f>
      </c>
      <c r="AE311" s="12">
        <f>IF(AD311&gt;0,IF(AD311&lt;=eco,alpha*fck*(1-(1-AD311/eco)^n),alpha*fck),0)</f>
      </c>
      <c r="AF311" s="30">
        <f>PM_Angle!$J$18+PM_Angle!$K$18*$C311+PM_Angle!$L$18*$B311</f>
      </c>
      <c r="AG311" s="12">
        <f>IF(AF311&gt;0,IF(AF311&lt;=eco,alpha*fck*(1-(1-AF311/eco)^n),alpha*fck),0)</f>
      </c>
      <c r="AH311" s="30">
        <f>PM_Angle!$J$19+PM_Angle!$K$19*$C311+PM_Angle!$L$19*$B311</f>
      </c>
      <c r="AI311" s="12">
        <f>IF(AH311&gt;0,IF(AH311&lt;=eco,alpha*fck*(1-(1-AH311/eco)^n),alpha*fck),0)</f>
      </c>
      <c r="AJ311" s="30">
        <f>PM_Angle!$J$20+PM_Angle!$K$20*$C311+PM_Angle!$L$20*$B311</f>
      </c>
      <c r="AK311" s="12">
        <f>IF(AJ311&gt;0,IF(AJ311&lt;=eco,alpha*fck*(1-(1-AJ311/eco)^n),alpha*fck),0)</f>
      </c>
      <c r="AL311" s="30">
        <f>PM_Angle!$J$21+PM_Angle!$K$21*$C311+PM_Angle!$L$21*$B311</f>
      </c>
      <c r="AM311" s="12">
        <f>IF(AL311&gt;0,IF(AL311&lt;=eco,alpha*fck*(1-(1-AL311/eco)^n),alpha*fck),0)</f>
      </c>
      <c r="AN311" s="30">
        <f>PM_Angle!$J$22+PM_Angle!$K$22*$C311+PM_Angle!$L$22*$B311</f>
      </c>
      <c r="AO311" s="12">
        <f>IF(AN311&gt;0,IF(AN311&lt;=eco,alpha*fck*(1-(1-AN311/eco)^n),alpha*fck),0)</f>
      </c>
      <c r="AP311" s="30">
        <f>PM_Angle!$J$23+PM_Angle!$K$23*$C311+PM_Angle!$L$23*$B311</f>
      </c>
      <c r="AQ311" s="12">
        <f>IF(AP311&gt;0,IF(AP311&lt;=eco,alpha*fck*(1-(1-AP311/eco)^n),alpha*fck),0)</f>
      </c>
      <c r="AR311" s="30">
        <f>PM_Angle!$J$24+PM_Angle!$K$24*$C311+PM_Angle!$L$24*$B311</f>
      </c>
      <c r="AS311" s="12">
        <f>IF(AR311&gt;0,IF(AR311&lt;=eco,alpha*fck*(1-(1-AR311/eco)^n),alpha*fck),0)</f>
      </c>
      <c r="AT311" s="30">
        <f>PM_Angle!$J$25+PM_Angle!$K$25*$C311+PM_Angle!$L$25*$B311</f>
      </c>
      <c r="AU311" s="12">
        <f>IF(AT311&gt;0,IF(AT311&lt;=eco,alpha*fck*(1-(1-AT311/eco)^n),alpha*fck),0)</f>
      </c>
    </row>
    <row r="312" spans="1:47" x14ac:dyDescent="0.25">
      <c r="A312">
        <f>Mesh!A309</f>
      </c>
      <c r="B312" s="12">
        <f>Mesh!B309</f>
      </c>
      <c r="C312" s="12">
        <f>Mesh!C309</f>
      </c>
      <c r="D312" s="12">
        <f>Mesh!D309</f>
      </c>
      <c r="E312" s="30">
        <f>INDEX(St_e0,Det+1)+INDEX(St_kx,Det+1)*C312+INDEX(St_ky,Det+1)*B312</f>
      </c>
      <c r="F312" s="12">
        <f>IF(E312&gt;0,IF(E312&lt;=eco,alpha*fck*(1-(1-E312/eco)^n),alpha*fck),0)</f>
      </c>
      <c r="G312" s="11">
        <f>F312*D312</f>
      </c>
      <c r="H312" s="11">
        <f>G312*C312</f>
      </c>
      <c r="I312" s="11">
        <f>G312*B312</f>
      </c>
      <c r="J312" s="30">
        <f>PM_Angle!$J$7+PM_Angle!$K$7*$C312+PM_Angle!$L$7*$B312</f>
      </c>
      <c r="K312" s="12">
        <f>IF(J312&gt;0,IF(J312&lt;=eco,alpha*fck*(1-(1-J312/eco)^n),alpha*fck),0)</f>
      </c>
      <c r="L312" s="30">
        <f>PM_Angle!$J$8+PM_Angle!$K$8*$C312+PM_Angle!$L$8*$B312</f>
      </c>
      <c r="M312" s="12">
        <f>IF(L312&gt;0,IF(L312&lt;=eco,alpha*fck*(1-(1-L312/eco)^n),alpha*fck),0)</f>
      </c>
      <c r="N312" s="30">
        <f>PM_Angle!$J$9+PM_Angle!$K$9*$C312+PM_Angle!$L$9*$B312</f>
      </c>
      <c r="O312" s="12">
        <f>IF(N312&gt;0,IF(N312&lt;=eco,alpha*fck*(1-(1-N312/eco)^n),alpha*fck),0)</f>
      </c>
      <c r="P312" s="30">
        <f>PM_Angle!$J$10+PM_Angle!$K$10*$C312+PM_Angle!$L$10*$B312</f>
      </c>
      <c r="Q312" s="12">
        <f>IF(P312&gt;0,IF(P312&lt;=eco,alpha*fck*(1-(1-P312/eco)^n),alpha*fck),0)</f>
      </c>
      <c r="R312" s="30">
        <f>PM_Angle!$J$11+PM_Angle!$K$11*$C312+PM_Angle!$L$11*$B312</f>
      </c>
      <c r="S312" s="12">
        <f>IF(R312&gt;0,IF(R312&lt;=eco,alpha*fck*(1-(1-R312/eco)^n),alpha*fck),0)</f>
      </c>
      <c r="T312" s="30">
        <f>PM_Angle!$J$12+PM_Angle!$K$12*$C312+PM_Angle!$L$12*$B312</f>
      </c>
      <c r="U312" s="12">
        <f>IF(T312&gt;0,IF(T312&lt;=eco,alpha*fck*(1-(1-T312/eco)^n),alpha*fck),0)</f>
      </c>
      <c r="V312" s="30">
        <f>PM_Angle!$J$13+PM_Angle!$K$13*$C312+PM_Angle!$L$13*$B312</f>
      </c>
      <c r="W312" s="12">
        <f>IF(V312&gt;0,IF(V312&lt;=eco,alpha*fck*(1-(1-V312/eco)^n),alpha*fck),0)</f>
      </c>
      <c r="X312" s="30">
        <f>PM_Angle!$J$14+PM_Angle!$K$14*$C312+PM_Angle!$L$14*$B312</f>
      </c>
      <c r="Y312" s="12">
        <f>IF(X312&gt;0,IF(X312&lt;=eco,alpha*fck*(1-(1-X312/eco)^n),alpha*fck),0)</f>
      </c>
      <c r="Z312" s="30">
        <f>PM_Angle!$J$15+PM_Angle!$K$15*$C312+PM_Angle!$L$15*$B312</f>
      </c>
      <c r="AA312" s="12">
        <f>IF(Z312&gt;0,IF(Z312&lt;=eco,alpha*fck*(1-(1-Z312/eco)^n),alpha*fck),0)</f>
      </c>
      <c r="AB312" s="30">
        <f>PM_Angle!$J$16+PM_Angle!$K$16*$C312+PM_Angle!$L$16*$B312</f>
      </c>
      <c r="AC312" s="12">
        <f>IF(AB312&gt;0,IF(AB312&lt;=eco,alpha*fck*(1-(1-AB312/eco)^n),alpha*fck),0)</f>
      </c>
      <c r="AD312" s="30">
        <f>PM_Angle!$J$17+PM_Angle!$K$17*$C312+PM_Angle!$L$17*$B312</f>
      </c>
      <c r="AE312" s="12">
        <f>IF(AD312&gt;0,IF(AD312&lt;=eco,alpha*fck*(1-(1-AD312/eco)^n),alpha*fck),0)</f>
      </c>
      <c r="AF312" s="30">
        <f>PM_Angle!$J$18+PM_Angle!$K$18*$C312+PM_Angle!$L$18*$B312</f>
      </c>
      <c r="AG312" s="12">
        <f>IF(AF312&gt;0,IF(AF312&lt;=eco,alpha*fck*(1-(1-AF312/eco)^n),alpha*fck),0)</f>
      </c>
      <c r="AH312" s="30">
        <f>PM_Angle!$J$19+PM_Angle!$K$19*$C312+PM_Angle!$L$19*$B312</f>
      </c>
      <c r="AI312" s="12">
        <f>IF(AH312&gt;0,IF(AH312&lt;=eco,alpha*fck*(1-(1-AH312/eco)^n),alpha*fck),0)</f>
      </c>
      <c r="AJ312" s="30">
        <f>PM_Angle!$J$20+PM_Angle!$K$20*$C312+PM_Angle!$L$20*$B312</f>
      </c>
      <c r="AK312" s="12">
        <f>IF(AJ312&gt;0,IF(AJ312&lt;=eco,alpha*fck*(1-(1-AJ312/eco)^n),alpha*fck),0)</f>
      </c>
      <c r="AL312" s="30">
        <f>PM_Angle!$J$21+PM_Angle!$K$21*$C312+PM_Angle!$L$21*$B312</f>
      </c>
      <c r="AM312" s="12">
        <f>IF(AL312&gt;0,IF(AL312&lt;=eco,alpha*fck*(1-(1-AL312/eco)^n),alpha*fck),0)</f>
      </c>
      <c r="AN312" s="30">
        <f>PM_Angle!$J$22+PM_Angle!$K$22*$C312+PM_Angle!$L$22*$B312</f>
      </c>
      <c r="AO312" s="12">
        <f>IF(AN312&gt;0,IF(AN312&lt;=eco,alpha*fck*(1-(1-AN312/eco)^n),alpha*fck),0)</f>
      </c>
      <c r="AP312" s="30">
        <f>PM_Angle!$J$23+PM_Angle!$K$23*$C312+PM_Angle!$L$23*$B312</f>
      </c>
      <c r="AQ312" s="12">
        <f>IF(AP312&gt;0,IF(AP312&lt;=eco,alpha*fck*(1-(1-AP312/eco)^n),alpha*fck),0)</f>
      </c>
      <c r="AR312" s="30">
        <f>PM_Angle!$J$24+PM_Angle!$K$24*$C312+PM_Angle!$L$24*$B312</f>
      </c>
      <c r="AS312" s="12">
        <f>IF(AR312&gt;0,IF(AR312&lt;=eco,alpha*fck*(1-(1-AR312/eco)^n),alpha*fck),0)</f>
      </c>
      <c r="AT312" s="30">
        <f>PM_Angle!$J$25+PM_Angle!$K$25*$C312+PM_Angle!$L$25*$B312</f>
      </c>
      <c r="AU312" s="12">
        <f>IF(AT312&gt;0,IF(AT312&lt;=eco,alpha*fck*(1-(1-AT312/eco)^n),alpha*fck),0)</f>
      </c>
    </row>
    <row r="313" spans="1:47" x14ac:dyDescent="0.25">
      <c r="A313">
        <f>Mesh!A310</f>
      </c>
      <c r="B313" s="12">
        <f>Mesh!B310</f>
      </c>
      <c r="C313" s="12">
        <f>Mesh!C310</f>
      </c>
      <c r="D313" s="12">
        <f>Mesh!D310</f>
      </c>
      <c r="E313" s="30">
        <f>INDEX(St_e0,Det+1)+INDEX(St_kx,Det+1)*C313+INDEX(St_ky,Det+1)*B313</f>
      </c>
      <c r="F313" s="12">
        <f>IF(E313&gt;0,IF(E313&lt;=eco,alpha*fck*(1-(1-E313/eco)^n),alpha*fck),0)</f>
      </c>
      <c r="G313" s="11">
        <f>F313*D313</f>
      </c>
      <c r="H313" s="11">
        <f>G313*C313</f>
      </c>
      <c r="I313" s="11">
        <f>G313*B313</f>
      </c>
      <c r="J313" s="30">
        <f>PM_Angle!$J$7+PM_Angle!$K$7*$C313+PM_Angle!$L$7*$B313</f>
      </c>
      <c r="K313" s="12">
        <f>IF(J313&gt;0,IF(J313&lt;=eco,alpha*fck*(1-(1-J313/eco)^n),alpha*fck),0)</f>
      </c>
      <c r="L313" s="30">
        <f>PM_Angle!$J$8+PM_Angle!$K$8*$C313+PM_Angle!$L$8*$B313</f>
      </c>
      <c r="M313" s="12">
        <f>IF(L313&gt;0,IF(L313&lt;=eco,alpha*fck*(1-(1-L313/eco)^n),alpha*fck),0)</f>
      </c>
      <c r="N313" s="30">
        <f>PM_Angle!$J$9+PM_Angle!$K$9*$C313+PM_Angle!$L$9*$B313</f>
      </c>
      <c r="O313" s="12">
        <f>IF(N313&gt;0,IF(N313&lt;=eco,alpha*fck*(1-(1-N313/eco)^n),alpha*fck),0)</f>
      </c>
      <c r="P313" s="30">
        <f>PM_Angle!$J$10+PM_Angle!$K$10*$C313+PM_Angle!$L$10*$B313</f>
      </c>
      <c r="Q313" s="12">
        <f>IF(P313&gt;0,IF(P313&lt;=eco,alpha*fck*(1-(1-P313/eco)^n),alpha*fck),0)</f>
      </c>
      <c r="R313" s="30">
        <f>PM_Angle!$J$11+PM_Angle!$K$11*$C313+PM_Angle!$L$11*$B313</f>
      </c>
      <c r="S313" s="12">
        <f>IF(R313&gt;0,IF(R313&lt;=eco,alpha*fck*(1-(1-R313/eco)^n),alpha*fck),0)</f>
      </c>
      <c r="T313" s="30">
        <f>PM_Angle!$J$12+PM_Angle!$K$12*$C313+PM_Angle!$L$12*$B313</f>
      </c>
      <c r="U313" s="12">
        <f>IF(T313&gt;0,IF(T313&lt;=eco,alpha*fck*(1-(1-T313/eco)^n),alpha*fck),0)</f>
      </c>
      <c r="V313" s="30">
        <f>PM_Angle!$J$13+PM_Angle!$K$13*$C313+PM_Angle!$L$13*$B313</f>
      </c>
      <c r="W313" s="12">
        <f>IF(V313&gt;0,IF(V313&lt;=eco,alpha*fck*(1-(1-V313/eco)^n),alpha*fck),0)</f>
      </c>
      <c r="X313" s="30">
        <f>PM_Angle!$J$14+PM_Angle!$K$14*$C313+PM_Angle!$L$14*$B313</f>
      </c>
      <c r="Y313" s="12">
        <f>IF(X313&gt;0,IF(X313&lt;=eco,alpha*fck*(1-(1-X313/eco)^n),alpha*fck),0)</f>
      </c>
      <c r="Z313" s="30">
        <f>PM_Angle!$J$15+PM_Angle!$K$15*$C313+PM_Angle!$L$15*$B313</f>
      </c>
      <c r="AA313" s="12">
        <f>IF(Z313&gt;0,IF(Z313&lt;=eco,alpha*fck*(1-(1-Z313/eco)^n),alpha*fck),0)</f>
      </c>
      <c r="AB313" s="30">
        <f>PM_Angle!$J$16+PM_Angle!$K$16*$C313+PM_Angle!$L$16*$B313</f>
      </c>
      <c r="AC313" s="12">
        <f>IF(AB313&gt;0,IF(AB313&lt;=eco,alpha*fck*(1-(1-AB313/eco)^n),alpha*fck),0)</f>
      </c>
      <c r="AD313" s="30">
        <f>PM_Angle!$J$17+PM_Angle!$K$17*$C313+PM_Angle!$L$17*$B313</f>
      </c>
      <c r="AE313" s="12">
        <f>IF(AD313&gt;0,IF(AD313&lt;=eco,alpha*fck*(1-(1-AD313/eco)^n),alpha*fck),0)</f>
      </c>
      <c r="AF313" s="30">
        <f>PM_Angle!$J$18+PM_Angle!$K$18*$C313+PM_Angle!$L$18*$B313</f>
      </c>
      <c r="AG313" s="12">
        <f>IF(AF313&gt;0,IF(AF313&lt;=eco,alpha*fck*(1-(1-AF313/eco)^n),alpha*fck),0)</f>
      </c>
      <c r="AH313" s="30">
        <f>PM_Angle!$J$19+PM_Angle!$K$19*$C313+PM_Angle!$L$19*$B313</f>
      </c>
      <c r="AI313" s="12">
        <f>IF(AH313&gt;0,IF(AH313&lt;=eco,alpha*fck*(1-(1-AH313/eco)^n),alpha*fck),0)</f>
      </c>
      <c r="AJ313" s="30">
        <f>PM_Angle!$J$20+PM_Angle!$K$20*$C313+PM_Angle!$L$20*$B313</f>
      </c>
      <c r="AK313" s="12">
        <f>IF(AJ313&gt;0,IF(AJ313&lt;=eco,alpha*fck*(1-(1-AJ313/eco)^n),alpha*fck),0)</f>
      </c>
      <c r="AL313" s="30">
        <f>PM_Angle!$J$21+PM_Angle!$K$21*$C313+PM_Angle!$L$21*$B313</f>
      </c>
      <c r="AM313" s="12">
        <f>IF(AL313&gt;0,IF(AL313&lt;=eco,alpha*fck*(1-(1-AL313/eco)^n),alpha*fck),0)</f>
      </c>
      <c r="AN313" s="30">
        <f>PM_Angle!$J$22+PM_Angle!$K$22*$C313+PM_Angle!$L$22*$B313</f>
      </c>
      <c r="AO313" s="12">
        <f>IF(AN313&gt;0,IF(AN313&lt;=eco,alpha*fck*(1-(1-AN313/eco)^n),alpha*fck),0)</f>
      </c>
      <c r="AP313" s="30">
        <f>PM_Angle!$J$23+PM_Angle!$K$23*$C313+PM_Angle!$L$23*$B313</f>
      </c>
      <c r="AQ313" s="12">
        <f>IF(AP313&gt;0,IF(AP313&lt;=eco,alpha*fck*(1-(1-AP313/eco)^n),alpha*fck),0)</f>
      </c>
      <c r="AR313" s="30">
        <f>PM_Angle!$J$24+PM_Angle!$K$24*$C313+PM_Angle!$L$24*$B313</f>
      </c>
      <c r="AS313" s="12">
        <f>IF(AR313&gt;0,IF(AR313&lt;=eco,alpha*fck*(1-(1-AR313/eco)^n),alpha*fck),0)</f>
      </c>
      <c r="AT313" s="30">
        <f>PM_Angle!$J$25+PM_Angle!$K$25*$C313+PM_Angle!$L$25*$B313</f>
      </c>
      <c r="AU313" s="12">
        <f>IF(AT313&gt;0,IF(AT313&lt;=eco,alpha*fck*(1-(1-AT313/eco)^n),alpha*fck),0)</f>
      </c>
    </row>
    <row r="314" spans="1:47" x14ac:dyDescent="0.25">
      <c r="A314">
        <f>Mesh!A311</f>
      </c>
      <c r="B314" s="12">
        <f>Mesh!B311</f>
      </c>
      <c r="C314" s="12">
        <f>Mesh!C311</f>
      </c>
      <c r="D314" s="12">
        <f>Mesh!D311</f>
      </c>
      <c r="E314" s="30">
        <f>INDEX(St_e0,Det+1)+INDEX(St_kx,Det+1)*C314+INDEX(St_ky,Det+1)*B314</f>
      </c>
      <c r="F314" s="12">
        <f>IF(E314&gt;0,IF(E314&lt;=eco,alpha*fck*(1-(1-E314/eco)^n),alpha*fck),0)</f>
      </c>
      <c r="G314" s="11">
        <f>F314*D314</f>
      </c>
      <c r="H314" s="11">
        <f>G314*C314</f>
      </c>
      <c r="I314" s="11">
        <f>G314*B314</f>
      </c>
      <c r="J314" s="30">
        <f>PM_Angle!$J$7+PM_Angle!$K$7*$C314+PM_Angle!$L$7*$B314</f>
      </c>
      <c r="K314" s="12">
        <f>IF(J314&gt;0,IF(J314&lt;=eco,alpha*fck*(1-(1-J314/eco)^n),alpha*fck),0)</f>
      </c>
      <c r="L314" s="30">
        <f>PM_Angle!$J$8+PM_Angle!$K$8*$C314+PM_Angle!$L$8*$B314</f>
      </c>
      <c r="M314" s="12">
        <f>IF(L314&gt;0,IF(L314&lt;=eco,alpha*fck*(1-(1-L314/eco)^n),alpha*fck),0)</f>
      </c>
      <c r="N314" s="30">
        <f>PM_Angle!$J$9+PM_Angle!$K$9*$C314+PM_Angle!$L$9*$B314</f>
      </c>
      <c r="O314" s="12">
        <f>IF(N314&gt;0,IF(N314&lt;=eco,alpha*fck*(1-(1-N314/eco)^n),alpha*fck),0)</f>
      </c>
      <c r="P314" s="30">
        <f>PM_Angle!$J$10+PM_Angle!$K$10*$C314+PM_Angle!$L$10*$B314</f>
      </c>
      <c r="Q314" s="12">
        <f>IF(P314&gt;0,IF(P314&lt;=eco,alpha*fck*(1-(1-P314/eco)^n),alpha*fck),0)</f>
      </c>
      <c r="R314" s="30">
        <f>PM_Angle!$J$11+PM_Angle!$K$11*$C314+PM_Angle!$L$11*$B314</f>
      </c>
      <c r="S314" s="12">
        <f>IF(R314&gt;0,IF(R314&lt;=eco,alpha*fck*(1-(1-R314/eco)^n),alpha*fck),0)</f>
      </c>
      <c r="T314" s="30">
        <f>PM_Angle!$J$12+PM_Angle!$K$12*$C314+PM_Angle!$L$12*$B314</f>
      </c>
      <c r="U314" s="12">
        <f>IF(T314&gt;0,IF(T314&lt;=eco,alpha*fck*(1-(1-T314/eco)^n),alpha*fck),0)</f>
      </c>
      <c r="V314" s="30">
        <f>PM_Angle!$J$13+PM_Angle!$K$13*$C314+PM_Angle!$L$13*$B314</f>
      </c>
      <c r="W314" s="12">
        <f>IF(V314&gt;0,IF(V314&lt;=eco,alpha*fck*(1-(1-V314/eco)^n),alpha*fck),0)</f>
      </c>
      <c r="X314" s="30">
        <f>PM_Angle!$J$14+PM_Angle!$K$14*$C314+PM_Angle!$L$14*$B314</f>
      </c>
      <c r="Y314" s="12">
        <f>IF(X314&gt;0,IF(X314&lt;=eco,alpha*fck*(1-(1-X314/eco)^n),alpha*fck),0)</f>
      </c>
      <c r="Z314" s="30">
        <f>PM_Angle!$J$15+PM_Angle!$K$15*$C314+PM_Angle!$L$15*$B314</f>
      </c>
      <c r="AA314" s="12">
        <f>IF(Z314&gt;0,IF(Z314&lt;=eco,alpha*fck*(1-(1-Z314/eco)^n),alpha*fck),0)</f>
      </c>
      <c r="AB314" s="30">
        <f>PM_Angle!$J$16+PM_Angle!$K$16*$C314+PM_Angle!$L$16*$B314</f>
      </c>
      <c r="AC314" s="12">
        <f>IF(AB314&gt;0,IF(AB314&lt;=eco,alpha*fck*(1-(1-AB314/eco)^n),alpha*fck),0)</f>
      </c>
      <c r="AD314" s="30">
        <f>PM_Angle!$J$17+PM_Angle!$K$17*$C314+PM_Angle!$L$17*$B314</f>
      </c>
      <c r="AE314" s="12">
        <f>IF(AD314&gt;0,IF(AD314&lt;=eco,alpha*fck*(1-(1-AD314/eco)^n),alpha*fck),0)</f>
      </c>
      <c r="AF314" s="30">
        <f>PM_Angle!$J$18+PM_Angle!$K$18*$C314+PM_Angle!$L$18*$B314</f>
      </c>
      <c r="AG314" s="12">
        <f>IF(AF314&gt;0,IF(AF314&lt;=eco,alpha*fck*(1-(1-AF314/eco)^n),alpha*fck),0)</f>
      </c>
      <c r="AH314" s="30">
        <f>PM_Angle!$J$19+PM_Angle!$K$19*$C314+PM_Angle!$L$19*$B314</f>
      </c>
      <c r="AI314" s="12">
        <f>IF(AH314&gt;0,IF(AH314&lt;=eco,alpha*fck*(1-(1-AH314/eco)^n),alpha*fck),0)</f>
      </c>
      <c r="AJ314" s="30">
        <f>PM_Angle!$J$20+PM_Angle!$K$20*$C314+PM_Angle!$L$20*$B314</f>
      </c>
      <c r="AK314" s="12">
        <f>IF(AJ314&gt;0,IF(AJ314&lt;=eco,alpha*fck*(1-(1-AJ314/eco)^n),alpha*fck),0)</f>
      </c>
      <c r="AL314" s="30">
        <f>PM_Angle!$J$21+PM_Angle!$K$21*$C314+PM_Angle!$L$21*$B314</f>
      </c>
      <c r="AM314" s="12">
        <f>IF(AL314&gt;0,IF(AL314&lt;=eco,alpha*fck*(1-(1-AL314/eco)^n),alpha*fck),0)</f>
      </c>
      <c r="AN314" s="30">
        <f>PM_Angle!$J$22+PM_Angle!$K$22*$C314+PM_Angle!$L$22*$B314</f>
      </c>
      <c r="AO314" s="12">
        <f>IF(AN314&gt;0,IF(AN314&lt;=eco,alpha*fck*(1-(1-AN314/eco)^n),alpha*fck),0)</f>
      </c>
      <c r="AP314" s="30">
        <f>PM_Angle!$J$23+PM_Angle!$K$23*$C314+PM_Angle!$L$23*$B314</f>
      </c>
      <c r="AQ314" s="12">
        <f>IF(AP314&gt;0,IF(AP314&lt;=eco,alpha*fck*(1-(1-AP314/eco)^n),alpha*fck),0)</f>
      </c>
      <c r="AR314" s="30">
        <f>PM_Angle!$J$24+PM_Angle!$K$24*$C314+PM_Angle!$L$24*$B314</f>
      </c>
      <c r="AS314" s="12">
        <f>IF(AR314&gt;0,IF(AR314&lt;=eco,alpha*fck*(1-(1-AR314/eco)^n),alpha*fck),0)</f>
      </c>
      <c r="AT314" s="30">
        <f>PM_Angle!$J$25+PM_Angle!$K$25*$C314+PM_Angle!$L$25*$B314</f>
      </c>
      <c r="AU314" s="12">
        <f>IF(AT314&gt;0,IF(AT314&lt;=eco,alpha*fck*(1-(1-AT314/eco)^n),alpha*fck),0)</f>
      </c>
    </row>
    <row r="315" spans="1:47" x14ac:dyDescent="0.25">
      <c r="A315">
        <f>Mesh!A312</f>
      </c>
      <c r="B315" s="12">
        <f>Mesh!B312</f>
      </c>
      <c r="C315" s="12">
        <f>Mesh!C312</f>
      </c>
      <c r="D315" s="12">
        <f>Mesh!D312</f>
      </c>
      <c r="E315" s="30">
        <f>INDEX(St_e0,Det+1)+INDEX(St_kx,Det+1)*C315+INDEX(St_ky,Det+1)*B315</f>
      </c>
      <c r="F315" s="12">
        <f>IF(E315&gt;0,IF(E315&lt;=eco,alpha*fck*(1-(1-E315/eco)^n),alpha*fck),0)</f>
      </c>
      <c r="G315" s="11">
        <f>F315*D315</f>
      </c>
      <c r="H315" s="11">
        <f>G315*C315</f>
      </c>
      <c r="I315" s="11">
        <f>G315*B315</f>
      </c>
      <c r="J315" s="30">
        <f>PM_Angle!$J$7+PM_Angle!$K$7*$C315+PM_Angle!$L$7*$B315</f>
      </c>
      <c r="K315" s="12">
        <f>IF(J315&gt;0,IF(J315&lt;=eco,alpha*fck*(1-(1-J315/eco)^n),alpha*fck),0)</f>
      </c>
      <c r="L315" s="30">
        <f>PM_Angle!$J$8+PM_Angle!$K$8*$C315+PM_Angle!$L$8*$B315</f>
      </c>
      <c r="M315" s="12">
        <f>IF(L315&gt;0,IF(L315&lt;=eco,alpha*fck*(1-(1-L315/eco)^n),alpha*fck),0)</f>
      </c>
      <c r="N315" s="30">
        <f>PM_Angle!$J$9+PM_Angle!$K$9*$C315+PM_Angle!$L$9*$B315</f>
      </c>
      <c r="O315" s="12">
        <f>IF(N315&gt;0,IF(N315&lt;=eco,alpha*fck*(1-(1-N315/eco)^n),alpha*fck),0)</f>
      </c>
      <c r="P315" s="30">
        <f>PM_Angle!$J$10+PM_Angle!$K$10*$C315+PM_Angle!$L$10*$B315</f>
      </c>
      <c r="Q315" s="12">
        <f>IF(P315&gt;0,IF(P315&lt;=eco,alpha*fck*(1-(1-P315/eco)^n),alpha*fck),0)</f>
      </c>
      <c r="R315" s="30">
        <f>PM_Angle!$J$11+PM_Angle!$K$11*$C315+PM_Angle!$L$11*$B315</f>
      </c>
      <c r="S315" s="12">
        <f>IF(R315&gt;0,IF(R315&lt;=eco,alpha*fck*(1-(1-R315/eco)^n),alpha*fck),0)</f>
      </c>
      <c r="T315" s="30">
        <f>PM_Angle!$J$12+PM_Angle!$K$12*$C315+PM_Angle!$L$12*$B315</f>
      </c>
      <c r="U315" s="12">
        <f>IF(T315&gt;0,IF(T315&lt;=eco,alpha*fck*(1-(1-T315/eco)^n),alpha*fck),0)</f>
      </c>
      <c r="V315" s="30">
        <f>PM_Angle!$J$13+PM_Angle!$K$13*$C315+PM_Angle!$L$13*$B315</f>
      </c>
      <c r="W315" s="12">
        <f>IF(V315&gt;0,IF(V315&lt;=eco,alpha*fck*(1-(1-V315/eco)^n),alpha*fck),0)</f>
      </c>
      <c r="X315" s="30">
        <f>PM_Angle!$J$14+PM_Angle!$K$14*$C315+PM_Angle!$L$14*$B315</f>
      </c>
      <c r="Y315" s="12">
        <f>IF(X315&gt;0,IF(X315&lt;=eco,alpha*fck*(1-(1-X315/eco)^n),alpha*fck),0)</f>
      </c>
      <c r="Z315" s="30">
        <f>PM_Angle!$J$15+PM_Angle!$K$15*$C315+PM_Angle!$L$15*$B315</f>
      </c>
      <c r="AA315" s="12">
        <f>IF(Z315&gt;0,IF(Z315&lt;=eco,alpha*fck*(1-(1-Z315/eco)^n),alpha*fck),0)</f>
      </c>
      <c r="AB315" s="30">
        <f>PM_Angle!$J$16+PM_Angle!$K$16*$C315+PM_Angle!$L$16*$B315</f>
      </c>
      <c r="AC315" s="12">
        <f>IF(AB315&gt;0,IF(AB315&lt;=eco,alpha*fck*(1-(1-AB315/eco)^n),alpha*fck),0)</f>
      </c>
      <c r="AD315" s="30">
        <f>PM_Angle!$J$17+PM_Angle!$K$17*$C315+PM_Angle!$L$17*$B315</f>
      </c>
      <c r="AE315" s="12">
        <f>IF(AD315&gt;0,IF(AD315&lt;=eco,alpha*fck*(1-(1-AD315/eco)^n),alpha*fck),0)</f>
      </c>
      <c r="AF315" s="30">
        <f>PM_Angle!$J$18+PM_Angle!$K$18*$C315+PM_Angle!$L$18*$B315</f>
      </c>
      <c r="AG315" s="12">
        <f>IF(AF315&gt;0,IF(AF315&lt;=eco,alpha*fck*(1-(1-AF315/eco)^n),alpha*fck),0)</f>
      </c>
      <c r="AH315" s="30">
        <f>PM_Angle!$J$19+PM_Angle!$K$19*$C315+PM_Angle!$L$19*$B315</f>
      </c>
      <c r="AI315" s="12">
        <f>IF(AH315&gt;0,IF(AH315&lt;=eco,alpha*fck*(1-(1-AH315/eco)^n),alpha*fck),0)</f>
      </c>
      <c r="AJ315" s="30">
        <f>PM_Angle!$J$20+PM_Angle!$K$20*$C315+PM_Angle!$L$20*$B315</f>
      </c>
      <c r="AK315" s="12">
        <f>IF(AJ315&gt;0,IF(AJ315&lt;=eco,alpha*fck*(1-(1-AJ315/eco)^n),alpha*fck),0)</f>
      </c>
      <c r="AL315" s="30">
        <f>PM_Angle!$J$21+PM_Angle!$K$21*$C315+PM_Angle!$L$21*$B315</f>
      </c>
      <c r="AM315" s="12">
        <f>IF(AL315&gt;0,IF(AL315&lt;=eco,alpha*fck*(1-(1-AL315/eco)^n),alpha*fck),0)</f>
      </c>
      <c r="AN315" s="30">
        <f>PM_Angle!$J$22+PM_Angle!$K$22*$C315+PM_Angle!$L$22*$B315</f>
      </c>
      <c r="AO315" s="12">
        <f>IF(AN315&gt;0,IF(AN315&lt;=eco,alpha*fck*(1-(1-AN315/eco)^n),alpha*fck),0)</f>
      </c>
      <c r="AP315" s="30">
        <f>PM_Angle!$J$23+PM_Angle!$K$23*$C315+PM_Angle!$L$23*$B315</f>
      </c>
      <c r="AQ315" s="12">
        <f>IF(AP315&gt;0,IF(AP315&lt;=eco,alpha*fck*(1-(1-AP315/eco)^n),alpha*fck),0)</f>
      </c>
      <c r="AR315" s="30">
        <f>PM_Angle!$J$24+PM_Angle!$K$24*$C315+PM_Angle!$L$24*$B315</f>
      </c>
      <c r="AS315" s="12">
        <f>IF(AR315&gt;0,IF(AR315&lt;=eco,alpha*fck*(1-(1-AR315/eco)^n),alpha*fck),0)</f>
      </c>
      <c r="AT315" s="30">
        <f>PM_Angle!$J$25+PM_Angle!$K$25*$C315+PM_Angle!$L$25*$B315</f>
      </c>
      <c r="AU315" s="12">
        <f>IF(AT315&gt;0,IF(AT315&lt;=eco,alpha*fck*(1-(1-AT315/eco)^n),alpha*fck),0)</f>
      </c>
    </row>
    <row r="316" spans="1:47" x14ac:dyDescent="0.25">
      <c r="A316">
        <f>Mesh!A313</f>
      </c>
      <c r="B316" s="12">
        <f>Mesh!B313</f>
      </c>
      <c r="C316" s="12">
        <f>Mesh!C313</f>
      </c>
      <c r="D316" s="12">
        <f>Mesh!D313</f>
      </c>
      <c r="E316" s="30">
        <f>INDEX(St_e0,Det+1)+INDEX(St_kx,Det+1)*C316+INDEX(St_ky,Det+1)*B316</f>
      </c>
      <c r="F316" s="12">
        <f>IF(E316&gt;0,IF(E316&lt;=eco,alpha*fck*(1-(1-E316/eco)^n),alpha*fck),0)</f>
      </c>
      <c r="G316" s="11">
        <f>F316*D316</f>
      </c>
      <c r="H316" s="11">
        <f>G316*C316</f>
      </c>
      <c r="I316" s="11">
        <f>G316*B316</f>
      </c>
      <c r="J316" s="30">
        <f>PM_Angle!$J$7+PM_Angle!$K$7*$C316+PM_Angle!$L$7*$B316</f>
      </c>
      <c r="K316" s="12">
        <f>IF(J316&gt;0,IF(J316&lt;=eco,alpha*fck*(1-(1-J316/eco)^n),alpha*fck),0)</f>
      </c>
      <c r="L316" s="30">
        <f>PM_Angle!$J$8+PM_Angle!$K$8*$C316+PM_Angle!$L$8*$B316</f>
      </c>
      <c r="M316" s="12">
        <f>IF(L316&gt;0,IF(L316&lt;=eco,alpha*fck*(1-(1-L316/eco)^n),alpha*fck),0)</f>
      </c>
      <c r="N316" s="30">
        <f>PM_Angle!$J$9+PM_Angle!$K$9*$C316+PM_Angle!$L$9*$B316</f>
      </c>
      <c r="O316" s="12">
        <f>IF(N316&gt;0,IF(N316&lt;=eco,alpha*fck*(1-(1-N316/eco)^n),alpha*fck),0)</f>
      </c>
      <c r="P316" s="30">
        <f>PM_Angle!$J$10+PM_Angle!$K$10*$C316+PM_Angle!$L$10*$B316</f>
      </c>
      <c r="Q316" s="12">
        <f>IF(P316&gt;0,IF(P316&lt;=eco,alpha*fck*(1-(1-P316/eco)^n),alpha*fck),0)</f>
      </c>
      <c r="R316" s="30">
        <f>PM_Angle!$J$11+PM_Angle!$K$11*$C316+PM_Angle!$L$11*$B316</f>
      </c>
      <c r="S316" s="12">
        <f>IF(R316&gt;0,IF(R316&lt;=eco,alpha*fck*(1-(1-R316/eco)^n),alpha*fck),0)</f>
      </c>
      <c r="T316" s="30">
        <f>PM_Angle!$J$12+PM_Angle!$K$12*$C316+PM_Angle!$L$12*$B316</f>
      </c>
      <c r="U316" s="12">
        <f>IF(T316&gt;0,IF(T316&lt;=eco,alpha*fck*(1-(1-T316/eco)^n),alpha*fck),0)</f>
      </c>
      <c r="V316" s="30">
        <f>PM_Angle!$J$13+PM_Angle!$K$13*$C316+PM_Angle!$L$13*$B316</f>
      </c>
      <c r="W316" s="12">
        <f>IF(V316&gt;0,IF(V316&lt;=eco,alpha*fck*(1-(1-V316/eco)^n),alpha*fck),0)</f>
      </c>
      <c r="X316" s="30">
        <f>PM_Angle!$J$14+PM_Angle!$K$14*$C316+PM_Angle!$L$14*$B316</f>
      </c>
      <c r="Y316" s="12">
        <f>IF(X316&gt;0,IF(X316&lt;=eco,alpha*fck*(1-(1-X316/eco)^n),alpha*fck),0)</f>
      </c>
      <c r="Z316" s="30">
        <f>PM_Angle!$J$15+PM_Angle!$K$15*$C316+PM_Angle!$L$15*$B316</f>
      </c>
      <c r="AA316" s="12">
        <f>IF(Z316&gt;0,IF(Z316&lt;=eco,alpha*fck*(1-(1-Z316/eco)^n),alpha*fck),0)</f>
      </c>
      <c r="AB316" s="30">
        <f>PM_Angle!$J$16+PM_Angle!$K$16*$C316+PM_Angle!$L$16*$B316</f>
      </c>
      <c r="AC316" s="12">
        <f>IF(AB316&gt;0,IF(AB316&lt;=eco,alpha*fck*(1-(1-AB316/eco)^n),alpha*fck),0)</f>
      </c>
      <c r="AD316" s="30">
        <f>PM_Angle!$J$17+PM_Angle!$K$17*$C316+PM_Angle!$L$17*$B316</f>
      </c>
      <c r="AE316" s="12">
        <f>IF(AD316&gt;0,IF(AD316&lt;=eco,alpha*fck*(1-(1-AD316/eco)^n),alpha*fck),0)</f>
      </c>
      <c r="AF316" s="30">
        <f>PM_Angle!$J$18+PM_Angle!$K$18*$C316+PM_Angle!$L$18*$B316</f>
      </c>
      <c r="AG316" s="12">
        <f>IF(AF316&gt;0,IF(AF316&lt;=eco,alpha*fck*(1-(1-AF316/eco)^n),alpha*fck),0)</f>
      </c>
      <c r="AH316" s="30">
        <f>PM_Angle!$J$19+PM_Angle!$K$19*$C316+PM_Angle!$L$19*$B316</f>
      </c>
      <c r="AI316" s="12">
        <f>IF(AH316&gt;0,IF(AH316&lt;=eco,alpha*fck*(1-(1-AH316/eco)^n),alpha*fck),0)</f>
      </c>
      <c r="AJ316" s="30">
        <f>PM_Angle!$J$20+PM_Angle!$K$20*$C316+PM_Angle!$L$20*$B316</f>
      </c>
      <c r="AK316" s="12">
        <f>IF(AJ316&gt;0,IF(AJ316&lt;=eco,alpha*fck*(1-(1-AJ316/eco)^n),alpha*fck),0)</f>
      </c>
      <c r="AL316" s="30">
        <f>PM_Angle!$J$21+PM_Angle!$K$21*$C316+PM_Angle!$L$21*$B316</f>
      </c>
      <c r="AM316" s="12">
        <f>IF(AL316&gt;0,IF(AL316&lt;=eco,alpha*fck*(1-(1-AL316/eco)^n),alpha*fck),0)</f>
      </c>
      <c r="AN316" s="30">
        <f>PM_Angle!$J$22+PM_Angle!$K$22*$C316+PM_Angle!$L$22*$B316</f>
      </c>
      <c r="AO316" s="12">
        <f>IF(AN316&gt;0,IF(AN316&lt;=eco,alpha*fck*(1-(1-AN316/eco)^n),alpha*fck),0)</f>
      </c>
      <c r="AP316" s="30">
        <f>PM_Angle!$J$23+PM_Angle!$K$23*$C316+PM_Angle!$L$23*$B316</f>
      </c>
      <c r="AQ316" s="12">
        <f>IF(AP316&gt;0,IF(AP316&lt;=eco,alpha*fck*(1-(1-AP316/eco)^n),alpha*fck),0)</f>
      </c>
      <c r="AR316" s="30">
        <f>PM_Angle!$J$24+PM_Angle!$K$24*$C316+PM_Angle!$L$24*$B316</f>
      </c>
      <c r="AS316" s="12">
        <f>IF(AR316&gt;0,IF(AR316&lt;=eco,alpha*fck*(1-(1-AR316/eco)^n),alpha*fck),0)</f>
      </c>
      <c r="AT316" s="30">
        <f>PM_Angle!$J$25+PM_Angle!$K$25*$C316+PM_Angle!$L$25*$B316</f>
      </c>
      <c r="AU316" s="12">
        <f>IF(AT316&gt;0,IF(AT316&lt;=eco,alpha*fck*(1-(1-AT316/eco)^n),alpha*fck),0)</f>
      </c>
    </row>
    <row r="317" spans="1:47" x14ac:dyDescent="0.25">
      <c r="A317">
        <f>Mesh!A314</f>
      </c>
      <c r="B317" s="12">
        <f>Mesh!B314</f>
      </c>
      <c r="C317" s="12">
        <f>Mesh!C314</f>
      </c>
      <c r="D317" s="12">
        <f>Mesh!D314</f>
      </c>
      <c r="E317" s="30">
        <f>INDEX(St_e0,Det+1)+INDEX(St_kx,Det+1)*C317+INDEX(St_ky,Det+1)*B317</f>
      </c>
      <c r="F317" s="12">
        <f>IF(E317&gt;0,IF(E317&lt;=eco,alpha*fck*(1-(1-E317/eco)^n),alpha*fck),0)</f>
      </c>
      <c r="G317" s="11">
        <f>F317*D317</f>
      </c>
      <c r="H317" s="11">
        <f>G317*C317</f>
      </c>
      <c r="I317" s="11">
        <f>G317*B317</f>
      </c>
      <c r="J317" s="30">
        <f>PM_Angle!$J$7+PM_Angle!$K$7*$C317+PM_Angle!$L$7*$B317</f>
      </c>
      <c r="K317" s="12">
        <f>IF(J317&gt;0,IF(J317&lt;=eco,alpha*fck*(1-(1-J317/eco)^n),alpha*fck),0)</f>
      </c>
      <c r="L317" s="30">
        <f>PM_Angle!$J$8+PM_Angle!$K$8*$C317+PM_Angle!$L$8*$B317</f>
      </c>
      <c r="M317" s="12">
        <f>IF(L317&gt;0,IF(L317&lt;=eco,alpha*fck*(1-(1-L317/eco)^n),alpha*fck),0)</f>
      </c>
      <c r="N317" s="30">
        <f>PM_Angle!$J$9+PM_Angle!$K$9*$C317+PM_Angle!$L$9*$B317</f>
      </c>
      <c r="O317" s="12">
        <f>IF(N317&gt;0,IF(N317&lt;=eco,alpha*fck*(1-(1-N317/eco)^n),alpha*fck),0)</f>
      </c>
      <c r="P317" s="30">
        <f>PM_Angle!$J$10+PM_Angle!$K$10*$C317+PM_Angle!$L$10*$B317</f>
      </c>
      <c r="Q317" s="12">
        <f>IF(P317&gt;0,IF(P317&lt;=eco,alpha*fck*(1-(1-P317/eco)^n),alpha*fck),0)</f>
      </c>
      <c r="R317" s="30">
        <f>PM_Angle!$J$11+PM_Angle!$K$11*$C317+PM_Angle!$L$11*$B317</f>
      </c>
      <c r="S317" s="12">
        <f>IF(R317&gt;0,IF(R317&lt;=eco,alpha*fck*(1-(1-R317/eco)^n),alpha*fck),0)</f>
      </c>
      <c r="T317" s="30">
        <f>PM_Angle!$J$12+PM_Angle!$K$12*$C317+PM_Angle!$L$12*$B317</f>
      </c>
      <c r="U317" s="12">
        <f>IF(T317&gt;0,IF(T317&lt;=eco,alpha*fck*(1-(1-T317/eco)^n),alpha*fck),0)</f>
      </c>
      <c r="V317" s="30">
        <f>PM_Angle!$J$13+PM_Angle!$K$13*$C317+PM_Angle!$L$13*$B317</f>
      </c>
      <c r="W317" s="12">
        <f>IF(V317&gt;0,IF(V317&lt;=eco,alpha*fck*(1-(1-V317/eco)^n),alpha*fck),0)</f>
      </c>
      <c r="X317" s="30">
        <f>PM_Angle!$J$14+PM_Angle!$K$14*$C317+PM_Angle!$L$14*$B317</f>
      </c>
      <c r="Y317" s="12">
        <f>IF(X317&gt;0,IF(X317&lt;=eco,alpha*fck*(1-(1-X317/eco)^n),alpha*fck),0)</f>
      </c>
      <c r="Z317" s="30">
        <f>PM_Angle!$J$15+PM_Angle!$K$15*$C317+PM_Angle!$L$15*$B317</f>
      </c>
      <c r="AA317" s="12">
        <f>IF(Z317&gt;0,IF(Z317&lt;=eco,alpha*fck*(1-(1-Z317/eco)^n),alpha*fck),0)</f>
      </c>
      <c r="AB317" s="30">
        <f>PM_Angle!$J$16+PM_Angle!$K$16*$C317+PM_Angle!$L$16*$B317</f>
      </c>
      <c r="AC317" s="12">
        <f>IF(AB317&gt;0,IF(AB317&lt;=eco,alpha*fck*(1-(1-AB317/eco)^n),alpha*fck),0)</f>
      </c>
      <c r="AD317" s="30">
        <f>PM_Angle!$J$17+PM_Angle!$K$17*$C317+PM_Angle!$L$17*$B317</f>
      </c>
      <c r="AE317" s="12">
        <f>IF(AD317&gt;0,IF(AD317&lt;=eco,alpha*fck*(1-(1-AD317/eco)^n),alpha*fck),0)</f>
      </c>
      <c r="AF317" s="30">
        <f>PM_Angle!$J$18+PM_Angle!$K$18*$C317+PM_Angle!$L$18*$B317</f>
      </c>
      <c r="AG317" s="12">
        <f>IF(AF317&gt;0,IF(AF317&lt;=eco,alpha*fck*(1-(1-AF317/eco)^n),alpha*fck),0)</f>
      </c>
      <c r="AH317" s="30">
        <f>PM_Angle!$J$19+PM_Angle!$K$19*$C317+PM_Angle!$L$19*$B317</f>
      </c>
      <c r="AI317" s="12">
        <f>IF(AH317&gt;0,IF(AH317&lt;=eco,alpha*fck*(1-(1-AH317/eco)^n),alpha*fck),0)</f>
      </c>
      <c r="AJ317" s="30">
        <f>PM_Angle!$J$20+PM_Angle!$K$20*$C317+PM_Angle!$L$20*$B317</f>
      </c>
      <c r="AK317" s="12">
        <f>IF(AJ317&gt;0,IF(AJ317&lt;=eco,alpha*fck*(1-(1-AJ317/eco)^n),alpha*fck),0)</f>
      </c>
      <c r="AL317" s="30">
        <f>PM_Angle!$J$21+PM_Angle!$K$21*$C317+PM_Angle!$L$21*$B317</f>
      </c>
      <c r="AM317" s="12">
        <f>IF(AL317&gt;0,IF(AL317&lt;=eco,alpha*fck*(1-(1-AL317/eco)^n),alpha*fck),0)</f>
      </c>
      <c r="AN317" s="30">
        <f>PM_Angle!$J$22+PM_Angle!$K$22*$C317+PM_Angle!$L$22*$B317</f>
      </c>
      <c r="AO317" s="12">
        <f>IF(AN317&gt;0,IF(AN317&lt;=eco,alpha*fck*(1-(1-AN317/eco)^n),alpha*fck),0)</f>
      </c>
      <c r="AP317" s="30">
        <f>PM_Angle!$J$23+PM_Angle!$K$23*$C317+PM_Angle!$L$23*$B317</f>
      </c>
      <c r="AQ317" s="12">
        <f>IF(AP317&gt;0,IF(AP317&lt;=eco,alpha*fck*(1-(1-AP317/eco)^n),alpha*fck),0)</f>
      </c>
      <c r="AR317" s="30">
        <f>PM_Angle!$J$24+PM_Angle!$K$24*$C317+PM_Angle!$L$24*$B317</f>
      </c>
      <c r="AS317" s="12">
        <f>IF(AR317&gt;0,IF(AR317&lt;=eco,alpha*fck*(1-(1-AR317/eco)^n),alpha*fck),0)</f>
      </c>
      <c r="AT317" s="30">
        <f>PM_Angle!$J$25+PM_Angle!$K$25*$C317+PM_Angle!$L$25*$B317</f>
      </c>
      <c r="AU317" s="12">
        <f>IF(AT317&gt;0,IF(AT317&lt;=eco,alpha*fck*(1-(1-AT317/eco)^n),alpha*fck),0)</f>
      </c>
    </row>
    <row r="318" spans="1:47" x14ac:dyDescent="0.25">
      <c r="A318">
        <f>Mesh!A315</f>
      </c>
      <c r="B318" s="12">
        <f>Mesh!B315</f>
      </c>
      <c r="C318" s="12">
        <f>Mesh!C315</f>
      </c>
      <c r="D318" s="12">
        <f>Mesh!D315</f>
      </c>
      <c r="E318" s="30">
        <f>INDEX(St_e0,Det+1)+INDEX(St_kx,Det+1)*C318+INDEX(St_ky,Det+1)*B318</f>
      </c>
      <c r="F318" s="12">
        <f>IF(E318&gt;0,IF(E318&lt;=eco,alpha*fck*(1-(1-E318/eco)^n),alpha*fck),0)</f>
      </c>
      <c r="G318" s="11">
        <f>F318*D318</f>
      </c>
      <c r="H318" s="11">
        <f>G318*C318</f>
      </c>
      <c r="I318" s="11">
        <f>G318*B318</f>
      </c>
      <c r="J318" s="30">
        <f>PM_Angle!$J$7+PM_Angle!$K$7*$C318+PM_Angle!$L$7*$B318</f>
      </c>
      <c r="K318" s="12">
        <f>IF(J318&gt;0,IF(J318&lt;=eco,alpha*fck*(1-(1-J318/eco)^n),alpha*fck),0)</f>
      </c>
      <c r="L318" s="30">
        <f>PM_Angle!$J$8+PM_Angle!$K$8*$C318+PM_Angle!$L$8*$B318</f>
      </c>
      <c r="M318" s="12">
        <f>IF(L318&gt;0,IF(L318&lt;=eco,alpha*fck*(1-(1-L318/eco)^n),alpha*fck),0)</f>
      </c>
      <c r="N318" s="30">
        <f>PM_Angle!$J$9+PM_Angle!$K$9*$C318+PM_Angle!$L$9*$B318</f>
      </c>
      <c r="O318" s="12">
        <f>IF(N318&gt;0,IF(N318&lt;=eco,alpha*fck*(1-(1-N318/eco)^n),alpha*fck),0)</f>
      </c>
      <c r="P318" s="30">
        <f>PM_Angle!$J$10+PM_Angle!$K$10*$C318+PM_Angle!$L$10*$B318</f>
      </c>
      <c r="Q318" s="12">
        <f>IF(P318&gt;0,IF(P318&lt;=eco,alpha*fck*(1-(1-P318/eco)^n),alpha*fck),0)</f>
      </c>
      <c r="R318" s="30">
        <f>PM_Angle!$J$11+PM_Angle!$K$11*$C318+PM_Angle!$L$11*$B318</f>
      </c>
      <c r="S318" s="12">
        <f>IF(R318&gt;0,IF(R318&lt;=eco,alpha*fck*(1-(1-R318/eco)^n),alpha*fck),0)</f>
      </c>
      <c r="T318" s="30">
        <f>PM_Angle!$J$12+PM_Angle!$K$12*$C318+PM_Angle!$L$12*$B318</f>
      </c>
      <c r="U318" s="12">
        <f>IF(T318&gt;0,IF(T318&lt;=eco,alpha*fck*(1-(1-T318/eco)^n),alpha*fck),0)</f>
      </c>
      <c r="V318" s="30">
        <f>PM_Angle!$J$13+PM_Angle!$K$13*$C318+PM_Angle!$L$13*$B318</f>
      </c>
      <c r="W318" s="12">
        <f>IF(V318&gt;0,IF(V318&lt;=eco,alpha*fck*(1-(1-V318/eco)^n),alpha*fck),0)</f>
      </c>
      <c r="X318" s="30">
        <f>PM_Angle!$J$14+PM_Angle!$K$14*$C318+PM_Angle!$L$14*$B318</f>
      </c>
      <c r="Y318" s="12">
        <f>IF(X318&gt;0,IF(X318&lt;=eco,alpha*fck*(1-(1-X318/eco)^n),alpha*fck),0)</f>
      </c>
      <c r="Z318" s="30">
        <f>PM_Angle!$J$15+PM_Angle!$K$15*$C318+PM_Angle!$L$15*$B318</f>
      </c>
      <c r="AA318" s="12">
        <f>IF(Z318&gt;0,IF(Z318&lt;=eco,alpha*fck*(1-(1-Z318/eco)^n),alpha*fck),0)</f>
      </c>
      <c r="AB318" s="30">
        <f>PM_Angle!$J$16+PM_Angle!$K$16*$C318+PM_Angle!$L$16*$B318</f>
      </c>
      <c r="AC318" s="12">
        <f>IF(AB318&gt;0,IF(AB318&lt;=eco,alpha*fck*(1-(1-AB318/eco)^n),alpha*fck),0)</f>
      </c>
      <c r="AD318" s="30">
        <f>PM_Angle!$J$17+PM_Angle!$K$17*$C318+PM_Angle!$L$17*$B318</f>
      </c>
      <c r="AE318" s="12">
        <f>IF(AD318&gt;0,IF(AD318&lt;=eco,alpha*fck*(1-(1-AD318/eco)^n),alpha*fck),0)</f>
      </c>
      <c r="AF318" s="30">
        <f>PM_Angle!$J$18+PM_Angle!$K$18*$C318+PM_Angle!$L$18*$B318</f>
      </c>
      <c r="AG318" s="12">
        <f>IF(AF318&gt;0,IF(AF318&lt;=eco,alpha*fck*(1-(1-AF318/eco)^n),alpha*fck),0)</f>
      </c>
      <c r="AH318" s="30">
        <f>PM_Angle!$J$19+PM_Angle!$K$19*$C318+PM_Angle!$L$19*$B318</f>
      </c>
      <c r="AI318" s="12">
        <f>IF(AH318&gt;0,IF(AH318&lt;=eco,alpha*fck*(1-(1-AH318/eco)^n),alpha*fck),0)</f>
      </c>
      <c r="AJ318" s="30">
        <f>PM_Angle!$J$20+PM_Angle!$K$20*$C318+PM_Angle!$L$20*$B318</f>
      </c>
      <c r="AK318" s="12">
        <f>IF(AJ318&gt;0,IF(AJ318&lt;=eco,alpha*fck*(1-(1-AJ318/eco)^n),alpha*fck),0)</f>
      </c>
      <c r="AL318" s="30">
        <f>PM_Angle!$J$21+PM_Angle!$K$21*$C318+PM_Angle!$L$21*$B318</f>
      </c>
      <c r="AM318" s="12">
        <f>IF(AL318&gt;0,IF(AL318&lt;=eco,alpha*fck*(1-(1-AL318/eco)^n),alpha*fck),0)</f>
      </c>
      <c r="AN318" s="30">
        <f>PM_Angle!$J$22+PM_Angle!$K$22*$C318+PM_Angle!$L$22*$B318</f>
      </c>
      <c r="AO318" s="12">
        <f>IF(AN318&gt;0,IF(AN318&lt;=eco,alpha*fck*(1-(1-AN318/eco)^n),alpha*fck),0)</f>
      </c>
      <c r="AP318" s="30">
        <f>PM_Angle!$J$23+PM_Angle!$K$23*$C318+PM_Angle!$L$23*$B318</f>
      </c>
      <c r="AQ318" s="12">
        <f>IF(AP318&gt;0,IF(AP318&lt;=eco,alpha*fck*(1-(1-AP318/eco)^n),alpha*fck),0)</f>
      </c>
      <c r="AR318" s="30">
        <f>PM_Angle!$J$24+PM_Angle!$K$24*$C318+PM_Angle!$L$24*$B318</f>
      </c>
      <c r="AS318" s="12">
        <f>IF(AR318&gt;0,IF(AR318&lt;=eco,alpha*fck*(1-(1-AR318/eco)^n),alpha*fck),0)</f>
      </c>
      <c r="AT318" s="30">
        <f>PM_Angle!$J$25+PM_Angle!$K$25*$C318+PM_Angle!$L$25*$B318</f>
      </c>
      <c r="AU318" s="12">
        <f>IF(AT318&gt;0,IF(AT318&lt;=eco,alpha*fck*(1-(1-AT318/eco)^n),alpha*fck),0)</f>
      </c>
    </row>
    <row r="319" spans="1:47" x14ac:dyDescent="0.25">
      <c r="A319">
        <f>Mesh!A316</f>
      </c>
      <c r="B319" s="12">
        <f>Mesh!B316</f>
      </c>
      <c r="C319" s="12">
        <f>Mesh!C316</f>
      </c>
      <c r="D319" s="12">
        <f>Mesh!D316</f>
      </c>
      <c r="E319" s="30">
        <f>INDEX(St_e0,Det+1)+INDEX(St_kx,Det+1)*C319+INDEX(St_ky,Det+1)*B319</f>
      </c>
      <c r="F319" s="12">
        <f>IF(E319&gt;0,IF(E319&lt;=eco,alpha*fck*(1-(1-E319/eco)^n),alpha*fck),0)</f>
      </c>
      <c r="G319" s="11">
        <f>F319*D319</f>
      </c>
      <c r="H319" s="11">
        <f>G319*C319</f>
      </c>
      <c r="I319" s="11">
        <f>G319*B319</f>
      </c>
      <c r="J319" s="30">
        <f>PM_Angle!$J$7+PM_Angle!$K$7*$C319+PM_Angle!$L$7*$B319</f>
      </c>
      <c r="K319" s="12">
        <f>IF(J319&gt;0,IF(J319&lt;=eco,alpha*fck*(1-(1-J319/eco)^n),alpha*fck),0)</f>
      </c>
      <c r="L319" s="30">
        <f>PM_Angle!$J$8+PM_Angle!$K$8*$C319+PM_Angle!$L$8*$B319</f>
      </c>
      <c r="M319" s="12">
        <f>IF(L319&gt;0,IF(L319&lt;=eco,alpha*fck*(1-(1-L319/eco)^n),alpha*fck),0)</f>
      </c>
      <c r="N319" s="30">
        <f>PM_Angle!$J$9+PM_Angle!$K$9*$C319+PM_Angle!$L$9*$B319</f>
      </c>
      <c r="O319" s="12">
        <f>IF(N319&gt;0,IF(N319&lt;=eco,alpha*fck*(1-(1-N319/eco)^n),alpha*fck),0)</f>
      </c>
      <c r="P319" s="30">
        <f>PM_Angle!$J$10+PM_Angle!$K$10*$C319+PM_Angle!$L$10*$B319</f>
      </c>
      <c r="Q319" s="12">
        <f>IF(P319&gt;0,IF(P319&lt;=eco,alpha*fck*(1-(1-P319/eco)^n),alpha*fck),0)</f>
      </c>
      <c r="R319" s="30">
        <f>PM_Angle!$J$11+PM_Angle!$K$11*$C319+PM_Angle!$L$11*$B319</f>
      </c>
      <c r="S319" s="12">
        <f>IF(R319&gt;0,IF(R319&lt;=eco,alpha*fck*(1-(1-R319/eco)^n),alpha*fck),0)</f>
      </c>
      <c r="T319" s="30">
        <f>PM_Angle!$J$12+PM_Angle!$K$12*$C319+PM_Angle!$L$12*$B319</f>
      </c>
      <c r="U319" s="12">
        <f>IF(T319&gt;0,IF(T319&lt;=eco,alpha*fck*(1-(1-T319/eco)^n),alpha*fck),0)</f>
      </c>
      <c r="V319" s="30">
        <f>PM_Angle!$J$13+PM_Angle!$K$13*$C319+PM_Angle!$L$13*$B319</f>
      </c>
      <c r="W319" s="12">
        <f>IF(V319&gt;0,IF(V319&lt;=eco,alpha*fck*(1-(1-V319/eco)^n),alpha*fck),0)</f>
      </c>
      <c r="X319" s="30">
        <f>PM_Angle!$J$14+PM_Angle!$K$14*$C319+PM_Angle!$L$14*$B319</f>
      </c>
      <c r="Y319" s="12">
        <f>IF(X319&gt;0,IF(X319&lt;=eco,alpha*fck*(1-(1-X319/eco)^n),alpha*fck),0)</f>
      </c>
      <c r="Z319" s="30">
        <f>PM_Angle!$J$15+PM_Angle!$K$15*$C319+PM_Angle!$L$15*$B319</f>
      </c>
      <c r="AA319" s="12">
        <f>IF(Z319&gt;0,IF(Z319&lt;=eco,alpha*fck*(1-(1-Z319/eco)^n),alpha*fck),0)</f>
      </c>
      <c r="AB319" s="30">
        <f>PM_Angle!$J$16+PM_Angle!$K$16*$C319+PM_Angle!$L$16*$B319</f>
      </c>
      <c r="AC319" s="12">
        <f>IF(AB319&gt;0,IF(AB319&lt;=eco,alpha*fck*(1-(1-AB319/eco)^n),alpha*fck),0)</f>
      </c>
      <c r="AD319" s="30">
        <f>PM_Angle!$J$17+PM_Angle!$K$17*$C319+PM_Angle!$L$17*$B319</f>
      </c>
      <c r="AE319" s="12">
        <f>IF(AD319&gt;0,IF(AD319&lt;=eco,alpha*fck*(1-(1-AD319/eco)^n),alpha*fck),0)</f>
      </c>
      <c r="AF319" s="30">
        <f>PM_Angle!$J$18+PM_Angle!$K$18*$C319+PM_Angle!$L$18*$B319</f>
      </c>
      <c r="AG319" s="12">
        <f>IF(AF319&gt;0,IF(AF319&lt;=eco,alpha*fck*(1-(1-AF319/eco)^n),alpha*fck),0)</f>
      </c>
      <c r="AH319" s="30">
        <f>PM_Angle!$J$19+PM_Angle!$K$19*$C319+PM_Angle!$L$19*$B319</f>
      </c>
      <c r="AI319" s="12">
        <f>IF(AH319&gt;0,IF(AH319&lt;=eco,alpha*fck*(1-(1-AH319/eco)^n),alpha*fck),0)</f>
      </c>
      <c r="AJ319" s="30">
        <f>PM_Angle!$J$20+PM_Angle!$K$20*$C319+PM_Angle!$L$20*$B319</f>
      </c>
      <c r="AK319" s="12">
        <f>IF(AJ319&gt;0,IF(AJ319&lt;=eco,alpha*fck*(1-(1-AJ319/eco)^n),alpha*fck),0)</f>
      </c>
      <c r="AL319" s="30">
        <f>PM_Angle!$J$21+PM_Angle!$K$21*$C319+PM_Angle!$L$21*$B319</f>
      </c>
      <c r="AM319" s="12">
        <f>IF(AL319&gt;0,IF(AL319&lt;=eco,alpha*fck*(1-(1-AL319/eco)^n),alpha*fck),0)</f>
      </c>
      <c r="AN319" s="30">
        <f>PM_Angle!$J$22+PM_Angle!$K$22*$C319+PM_Angle!$L$22*$B319</f>
      </c>
      <c r="AO319" s="12">
        <f>IF(AN319&gt;0,IF(AN319&lt;=eco,alpha*fck*(1-(1-AN319/eco)^n),alpha*fck),0)</f>
      </c>
      <c r="AP319" s="30">
        <f>PM_Angle!$J$23+PM_Angle!$K$23*$C319+PM_Angle!$L$23*$B319</f>
      </c>
      <c r="AQ319" s="12">
        <f>IF(AP319&gt;0,IF(AP319&lt;=eco,alpha*fck*(1-(1-AP319/eco)^n),alpha*fck),0)</f>
      </c>
      <c r="AR319" s="30">
        <f>PM_Angle!$J$24+PM_Angle!$K$24*$C319+PM_Angle!$L$24*$B319</f>
      </c>
      <c r="AS319" s="12">
        <f>IF(AR319&gt;0,IF(AR319&lt;=eco,alpha*fck*(1-(1-AR319/eco)^n),alpha*fck),0)</f>
      </c>
      <c r="AT319" s="30">
        <f>PM_Angle!$J$25+PM_Angle!$K$25*$C319+PM_Angle!$L$25*$B319</f>
      </c>
      <c r="AU319" s="12">
        <f>IF(AT319&gt;0,IF(AT319&lt;=eco,alpha*fck*(1-(1-AT319/eco)^n),alpha*fck),0)</f>
      </c>
    </row>
    <row r="320" spans="1:47" x14ac:dyDescent="0.25">
      <c r="A320">
        <f>Mesh!A317</f>
      </c>
      <c r="B320" s="12">
        <f>Mesh!B317</f>
      </c>
      <c r="C320" s="12">
        <f>Mesh!C317</f>
      </c>
      <c r="D320" s="12">
        <f>Mesh!D317</f>
      </c>
      <c r="E320" s="30">
        <f>INDEX(St_e0,Det+1)+INDEX(St_kx,Det+1)*C320+INDEX(St_ky,Det+1)*B320</f>
      </c>
      <c r="F320" s="12">
        <f>IF(E320&gt;0,IF(E320&lt;=eco,alpha*fck*(1-(1-E320/eco)^n),alpha*fck),0)</f>
      </c>
      <c r="G320" s="11">
        <f>F320*D320</f>
      </c>
      <c r="H320" s="11">
        <f>G320*C320</f>
      </c>
      <c r="I320" s="11">
        <f>G320*B320</f>
      </c>
      <c r="J320" s="30">
        <f>PM_Angle!$J$7+PM_Angle!$K$7*$C320+PM_Angle!$L$7*$B320</f>
      </c>
      <c r="K320" s="12">
        <f>IF(J320&gt;0,IF(J320&lt;=eco,alpha*fck*(1-(1-J320/eco)^n),alpha*fck),0)</f>
      </c>
      <c r="L320" s="30">
        <f>PM_Angle!$J$8+PM_Angle!$K$8*$C320+PM_Angle!$L$8*$B320</f>
      </c>
      <c r="M320" s="12">
        <f>IF(L320&gt;0,IF(L320&lt;=eco,alpha*fck*(1-(1-L320/eco)^n),alpha*fck),0)</f>
      </c>
      <c r="N320" s="30">
        <f>PM_Angle!$J$9+PM_Angle!$K$9*$C320+PM_Angle!$L$9*$B320</f>
      </c>
      <c r="O320" s="12">
        <f>IF(N320&gt;0,IF(N320&lt;=eco,alpha*fck*(1-(1-N320/eco)^n),alpha*fck),0)</f>
      </c>
      <c r="P320" s="30">
        <f>PM_Angle!$J$10+PM_Angle!$K$10*$C320+PM_Angle!$L$10*$B320</f>
      </c>
      <c r="Q320" s="12">
        <f>IF(P320&gt;0,IF(P320&lt;=eco,alpha*fck*(1-(1-P320/eco)^n),alpha*fck),0)</f>
      </c>
      <c r="R320" s="30">
        <f>PM_Angle!$J$11+PM_Angle!$K$11*$C320+PM_Angle!$L$11*$B320</f>
      </c>
      <c r="S320" s="12">
        <f>IF(R320&gt;0,IF(R320&lt;=eco,alpha*fck*(1-(1-R320/eco)^n),alpha*fck),0)</f>
      </c>
      <c r="T320" s="30">
        <f>PM_Angle!$J$12+PM_Angle!$K$12*$C320+PM_Angle!$L$12*$B320</f>
      </c>
      <c r="U320" s="12">
        <f>IF(T320&gt;0,IF(T320&lt;=eco,alpha*fck*(1-(1-T320/eco)^n),alpha*fck),0)</f>
      </c>
      <c r="V320" s="30">
        <f>PM_Angle!$J$13+PM_Angle!$K$13*$C320+PM_Angle!$L$13*$B320</f>
      </c>
      <c r="W320" s="12">
        <f>IF(V320&gt;0,IF(V320&lt;=eco,alpha*fck*(1-(1-V320/eco)^n),alpha*fck),0)</f>
      </c>
      <c r="X320" s="30">
        <f>PM_Angle!$J$14+PM_Angle!$K$14*$C320+PM_Angle!$L$14*$B320</f>
      </c>
      <c r="Y320" s="12">
        <f>IF(X320&gt;0,IF(X320&lt;=eco,alpha*fck*(1-(1-X320/eco)^n),alpha*fck),0)</f>
      </c>
      <c r="Z320" s="30">
        <f>PM_Angle!$J$15+PM_Angle!$K$15*$C320+PM_Angle!$L$15*$B320</f>
      </c>
      <c r="AA320" s="12">
        <f>IF(Z320&gt;0,IF(Z320&lt;=eco,alpha*fck*(1-(1-Z320/eco)^n),alpha*fck),0)</f>
      </c>
      <c r="AB320" s="30">
        <f>PM_Angle!$J$16+PM_Angle!$K$16*$C320+PM_Angle!$L$16*$B320</f>
      </c>
      <c r="AC320" s="12">
        <f>IF(AB320&gt;0,IF(AB320&lt;=eco,alpha*fck*(1-(1-AB320/eco)^n),alpha*fck),0)</f>
      </c>
      <c r="AD320" s="30">
        <f>PM_Angle!$J$17+PM_Angle!$K$17*$C320+PM_Angle!$L$17*$B320</f>
      </c>
      <c r="AE320" s="12">
        <f>IF(AD320&gt;0,IF(AD320&lt;=eco,alpha*fck*(1-(1-AD320/eco)^n),alpha*fck),0)</f>
      </c>
      <c r="AF320" s="30">
        <f>PM_Angle!$J$18+PM_Angle!$K$18*$C320+PM_Angle!$L$18*$B320</f>
      </c>
      <c r="AG320" s="12">
        <f>IF(AF320&gt;0,IF(AF320&lt;=eco,alpha*fck*(1-(1-AF320/eco)^n),alpha*fck),0)</f>
      </c>
      <c r="AH320" s="30">
        <f>PM_Angle!$J$19+PM_Angle!$K$19*$C320+PM_Angle!$L$19*$B320</f>
      </c>
      <c r="AI320" s="12">
        <f>IF(AH320&gt;0,IF(AH320&lt;=eco,alpha*fck*(1-(1-AH320/eco)^n),alpha*fck),0)</f>
      </c>
      <c r="AJ320" s="30">
        <f>PM_Angle!$J$20+PM_Angle!$K$20*$C320+PM_Angle!$L$20*$B320</f>
      </c>
      <c r="AK320" s="12">
        <f>IF(AJ320&gt;0,IF(AJ320&lt;=eco,alpha*fck*(1-(1-AJ320/eco)^n),alpha*fck),0)</f>
      </c>
      <c r="AL320" s="30">
        <f>PM_Angle!$J$21+PM_Angle!$K$21*$C320+PM_Angle!$L$21*$B320</f>
      </c>
      <c r="AM320" s="12">
        <f>IF(AL320&gt;0,IF(AL320&lt;=eco,alpha*fck*(1-(1-AL320/eco)^n),alpha*fck),0)</f>
      </c>
      <c r="AN320" s="30">
        <f>PM_Angle!$J$22+PM_Angle!$K$22*$C320+PM_Angle!$L$22*$B320</f>
      </c>
      <c r="AO320" s="12">
        <f>IF(AN320&gt;0,IF(AN320&lt;=eco,alpha*fck*(1-(1-AN320/eco)^n),alpha*fck),0)</f>
      </c>
      <c r="AP320" s="30">
        <f>PM_Angle!$J$23+PM_Angle!$K$23*$C320+PM_Angle!$L$23*$B320</f>
      </c>
      <c r="AQ320" s="12">
        <f>IF(AP320&gt;0,IF(AP320&lt;=eco,alpha*fck*(1-(1-AP320/eco)^n),alpha*fck),0)</f>
      </c>
      <c r="AR320" s="30">
        <f>PM_Angle!$J$24+PM_Angle!$K$24*$C320+PM_Angle!$L$24*$B320</f>
      </c>
      <c r="AS320" s="12">
        <f>IF(AR320&gt;0,IF(AR320&lt;=eco,alpha*fck*(1-(1-AR320/eco)^n),alpha*fck),0)</f>
      </c>
      <c r="AT320" s="30">
        <f>PM_Angle!$J$25+PM_Angle!$K$25*$C320+PM_Angle!$L$25*$B320</f>
      </c>
      <c r="AU320" s="12">
        <f>IF(AT320&gt;0,IF(AT320&lt;=eco,alpha*fck*(1-(1-AT320/eco)^n),alpha*fck),0)</f>
      </c>
    </row>
    <row r="321" spans="1:47" x14ac:dyDescent="0.25">
      <c r="A321">
        <f>Mesh!A318</f>
      </c>
      <c r="B321" s="12">
        <f>Mesh!B318</f>
      </c>
      <c r="C321" s="12">
        <f>Mesh!C318</f>
      </c>
      <c r="D321" s="12">
        <f>Mesh!D318</f>
      </c>
      <c r="E321" s="30">
        <f>INDEX(St_e0,Det+1)+INDEX(St_kx,Det+1)*C321+INDEX(St_ky,Det+1)*B321</f>
      </c>
      <c r="F321" s="12">
        <f>IF(E321&gt;0,IF(E321&lt;=eco,alpha*fck*(1-(1-E321/eco)^n),alpha*fck),0)</f>
      </c>
      <c r="G321" s="11">
        <f>F321*D321</f>
      </c>
      <c r="H321" s="11">
        <f>G321*C321</f>
      </c>
      <c r="I321" s="11">
        <f>G321*B321</f>
      </c>
      <c r="J321" s="30">
        <f>PM_Angle!$J$7+PM_Angle!$K$7*$C321+PM_Angle!$L$7*$B321</f>
      </c>
      <c r="K321" s="12">
        <f>IF(J321&gt;0,IF(J321&lt;=eco,alpha*fck*(1-(1-J321/eco)^n),alpha*fck),0)</f>
      </c>
      <c r="L321" s="30">
        <f>PM_Angle!$J$8+PM_Angle!$K$8*$C321+PM_Angle!$L$8*$B321</f>
      </c>
      <c r="M321" s="12">
        <f>IF(L321&gt;0,IF(L321&lt;=eco,alpha*fck*(1-(1-L321/eco)^n),alpha*fck),0)</f>
      </c>
      <c r="N321" s="30">
        <f>PM_Angle!$J$9+PM_Angle!$K$9*$C321+PM_Angle!$L$9*$B321</f>
      </c>
      <c r="O321" s="12">
        <f>IF(N321&gt;0,IF(N321&lt;=eco,alpha*fck*(1-(1-N321/eco)^n),alpha*fck),0)</f>
      </c>
      <c r="P321" s="30">
        <f>PM_Angle!$J$10+PM_Angle!$K$10*$C321+PM_Angle!$L$10*$B321</f>
      </c>
      <c r="Q321" s="12">
        <f>IF(P321&gt;0,IF(P321&lt;=eco,alpha*fck*(1-(1-P321/eco)^n),alpha*fck),0)</f>
      </c>
      <c r="R321" s="30">
        <f>PM_Angle!$J$11+PM_Angle!$K$11*$C321+PM_Angle!$L$11*$B321</f>
      </c>
      <c r="S321" s="12">
        <f>IF(R321&gt;0,IF(R321&lt;=eco,alpha*fck*(1-(1-R321/eco)^n),alpha*fck),0)</f>
      </c>
      <c r="T321" s="30">
        <f>PM_Angle!$J$12+PM_Angle!$K$12*$C321+PM_Angle!$L$12*$B321</f>
      </c>
      <c r="U321" s="12">
        <f>IF(T321&gt;0,IF(T321&lt;=eco,alpha*fck*(1-(1-T321/eco)^n),alpha*fck),0)</f>
      </c>
      <c r="V321" s="30">
        <f>PM_Angle!$J$13+PM_Angle!$K$13*$C321+PM_Angle!$L$13*$B321</f>
      </c>
      <c r="W321" s="12">
        <f>IF(V321&gt;0,IF(V321&lt;=eco,alpha*fck*(1-(1-V321/eco)^n),alpha*fck),0)</f>
      </c>
      <c r="X321" s="30">
        <f>PM_Angle!$J$14+PM_Angle!$K$14*$C321+PM_Angle!$L$14*$B321</f>
      </c>
      <c r="Y321" s="12">
        <f>IF(X321&gt;0,IF(X321&lt;=eco,alpha*fck*(1-(1-X321/eco)^n),alpha*fck),0)</f>
      </c>
      <c r="Z321" s="30">
        <f>PM_Angle!$J$15+PM_Angle!$K$15*$C321+PM_Angle!$L$15*$B321</f>
      </c>
      <c r="AA321" s="12">
        <f>IF(Z321&gt;0,IF(Z321&lt;=eco,alpha*fck*(1-(1-Z321/eco)^n),alpha*fck),0)</f>
      </c>
      <c r="AB321" s="30">
        <f>PM_Angle!$J$16+PM_Angle!$K$16*$C321+PM_Angle!$L$16*$B321</f>
      </c>
      <c r="AC321" s="12">
        <f>IF(AB321&gt;0,IF(AB321&lt;=eco,alpha*fck*(1-(1-AB321/eco)^n),alpha*fck),0)</f>
      </c>
      <c r="AD321" s="30">
        <f>PM_Angle!$J$17+PM_Angle!$K$17*$C321+PM_Angle!$L$17*$B321</f>
      </c>
      <c r="AE321" s="12">
        <f>IF(AD321&gt;0,IF(AD321&lt;=eco,alpha*fck*(1-(1-AD321/eco)^n),alpha*fck),0)</f>
      </c>
      <c r="AF321" s="30">
        <f>PM_Angle!$J$18+PM_Angle!$K$18*$C321+PM_Angle!$L$18*$B321</f>
      </c>
      <c r="AG321" s="12">
        <f>IF(AF321&gt;0,IF(AF321&lt;=eco,alpha*fck*(1-(1-AF321/eco)^n),alpha*fck),0)</f>
      </c>
      <c r="AH321" s="30">
        <f>PM_Angle!$J$19+PM_Angle!$K$19*$C321+PM_Angle!$L$19*$B321</f>
      </c>
      <c r="AI321" s="12">
        <f>IF(AH321&gt;0,IF(AH321&lt;=eco,alpha*fck*(1-(1-AH321/eco)^n),alpha*fck),0)</f>
      </c>
      <c r="AJ321" s="30">
        <f>PM_Angle!$J$20+PM_Angle!$K$20*$C321+PM_Angle!$L$20*$B321</f>
      </c>
      <c r="AK321" s="12">
        <f>IF(AJ321&gt;0,IF(AJ321&lt;=eco,alpha*fck*(1-(1-AJ321/eco)^n),alpha*fck),0)</f>
      </c>
      <c r="AL321" s="30">
        <f>PM_Angle!$J$21+PM_Angle!$K$21*$C321+PM_Angle!$L$21*$B321</f>
      </c>
      <c r="AM321" s="12">
        <f>IF(AL321&gt;0,IF(AL321&lt;=eco,alpha*fck*(1-(1-AL321/eco)^n),alpha*fck),0)</f>
      </c>
      <c r="AN321" s="30">
        <f>PM_Angle!$J$22+PM_Angle!$K$22*$C321+PM_Angle!$L$22*$B321</f>
      </c>
      <c r="AO321" s="12">
        <f>IF(AN321&gt;0,IF(AN321&lt;=eco,alpha*fck*(1-(1-AN321/eco)^n),alpha*fck),0)</f>
      </c>
      <c r="AP321" s="30">
        <f>PM_Angle!$J$23+PM_Angle!$K$23*$C321+PM_Angle!$L$23*$B321</f>
      </c>
      <c r="AQ321" s="12">
        <f>IF(AP321&gt;0,IF(AP321&lt;=eco,alpha*fck*(1-(1-AP321/eco)^n),alpha*fck),0)</f>
      </c>
      <c r="AR321" s="30">
        <f>PM_Angle!$J$24+PM_Angle!$K$24*$C321+PM_Angle!$L$24*$B321</f>
      </c>
      <c r="AS321" s="12">
        <f>IF(AR321&gt;0,IF(AR321&lt;=eco,alpha*fck*(1-(1-AR321/eco)^n),alpha*fck),0)</f>
      </c>
      <c r="AT321" s="30">
        <f>PM_Angle!$J$25+PM_Angle!$K$25*$C321+PM_Angle!$L$25*$B321</f>
      </c>
      <c r="AU321" s="12">
        <f>IF(AT321&gt;0,IF(AT321&lt;=eco,alpha*fck*(1-(1-AT321/eco)^n),alpha*fck),0)</f>
      </c>
    </row>
    <row r="322" spans="1:47" x14ac:dyDescent="0.25">
      <c r="A322">
        <f>Mesh!A319</f>
      </c>
      <c r="B322" s="12">
        <f>Mesh!B319</f>
      </c>
      <c r="C322" s="12">
        <f>Mesh!C319</f>
      </c>
      <c r="D322" s="12">
        <f>Mesh!D319</f>
      </c>
      <c r="E322" s="30">
        <f>INDEX(St_e0,Det+1)+INDEX(St_kx,Det+1)*C322+INDEX(St_ky,Det+1)*B322</f>
      </c>
      <c r="F322" s="12">
        <f>IF(E322&gt;0,IF(E322&lt;=eco,alpha*fck*(1-(1-E322/eco)^n),alpha*fck),0)</f>
      </c>
      <c r="G322" s="11">
        <f>F322*D322</f>
      </c>
      <c r="H322" s="11">
        <f>G322*C322</f>
      </c>
      <c r="I322" s="11">
        <f>G322*B322</f>
      </c>
      <c r="J322" s="30">
        <f>PM_Angle!$J$7+PM_Angle!$K$7*$C322+PM_Angle!$L$7*$B322</f>
      </c>
      <c r="K322" s="12">
        <f>IF(J322&gt;0,IF(J322&lt;=eco,alpha*fck*(1-(1-J322/eco)^n),alpha*fck),0)</f>
      </c>
      <c r="L322" s="30">
        <f>PM_Angle!$J$8+PM_Angle!$K$8*$C322+PM_Angle!$L$8*$B322</f>
      </c>
      <c r="M322" s="12">
        <f>IF(L322&gt;0,IF(L322&lt;=eco,alpha*fck*(1-(1-L322/eco)^n),alpha*fck),0)</f>
      </c>
      <c r="N322" s="30">
        <f>PM_Angle!$J$9+PM_Angle!$K$9*$C322+PM_Angle!$L$9*$B322</f>
      </c>
      <c r="O322" s="12">
        <f>IF(N322&gt;0,IF(N322&lt;=eco,alpha*fck*(1-(1-N322/eco)^n),alpha*fck),0)</f>
      </c>
      <c r="P322" s="30">
        <f>PM_Angle!$J$10+PM_Angle!$K$10*$C322+PM_Angle!$L$10*$B322</f>
      </c>
      <c r="Q322" s="12">
        <f>IF(P322&gt;0,IF(P322&lt;=eco,alpha*fck*(1-(1-P322/eco)^n),alpha*fck),0)</f>
      </c>
      <c r="R322" s="30">
        <f>PM_Angle!$J$11+PM_Angle!$K$11*$C322+PM_Angle!$L$11*$B322</f>
      </c>
      <c r="S322" s="12">
        <f>IF(R322&gt;0,IF(R322&lt;=eco,alpha*fck*(1-(1-R322/eco)^n),alpha*fck),0)</f>
      </c>
      <c r="T322" s="30">
        <f>PM_Angle!$J$12+PM_Angle!$K$12*$C322+PM_Angle!$L$12*$B322</f>
      </c>
      <c r="U322" s="12">
        <f>IF(T322&gt;0,IF(T322&lt;=eco,alpha*fck*(1-(1-T322/eco)^n),alpha*fck),0)</f>
      </c>
      <c r="V322" s="30">
        <f>PM_Angle!$J$13+PM_Angle!$K$13*$C322+PM_Angle!$L$13*$B322</f>
      </c>
      <c r="W322" s="12">
        <f>IF(V322&gt;0,IF(V322&lt;=eco,alpha*fck*(1-(1-V322/eco)^n),alpha*fck),0)</f>
      </c>
      <c r="X322" s="30">
        <f>PM_Angle!$J$14+PM_Angle!$K$14*$C322+PM_Angle!$L$14*$B322</f>
      </c>
      <c r="Y322" s="12">
        <f>IF(X322&gt;0,IF(X322&lt;=eco,alpha*fck*(1-(1-X322/eco)^n),alpha*fck),0)</f>
      </c>
      <c r="Z322" s="30">
        <f>PM_Angle!$J$15+PM_Angle!$K$15*$C322+PM_Angle!$L$15*$B322</f>
      </c>
      <c r="AA322" s="12">
        <f>IF(Z322&gt;0,IF(Z322&lt;=eco,alpha*fck*(1-(1-Z322/eco)^n),alpha*fck),0)</f>
      </c>
      <c r="AB322" s="30">
        <f>PM_Angle!$J$16+PM_Angle!$K$16*$C322+PM_Angle!$L$16*$B322</f>
      </c>
      <c r="AC322" s="12">
        <f>IF(AB322&gt;0,IF(AB322&lt;=eco,alpha*fck*(1-(1-AB322/eco)^n),alpha*fck),0)</f>
      </c>
      <c r="AD322" s="30">
        <f>PM_Angle!$J$17+PM_Angle!$K$17*$C322+PM_Angle!$L$17*$B322</f>
      </c>
      <c r="AE322" s="12">
        <f>IF(AD322&gt;0,IF(AD322&lt;=eco,alpha*fck*(1-(1-AD322/eco)^n),alpha*fck),0)</f>
      </c>
      <c r="AF322" s="30">
        <f>PM_Angle!$J$18+PM_Angle!$K$18*$C322+PM_Angle!$L$18*$B322</f>
      </c>
      <c r="AG322" s="12">
        <f>IF(AF322&gt;0,IF(AF322&lt;=eco,alpha*fck*(1-(1-AF322/eco)^n),alpha*fck),0)</f>
      </c>
      <c r="AH322" s="30">
        <f>PM_Angle!$J$19+PM_Angle!$K$19*$C322+PM_Angle!$L$19*$B322</f>
      </c>
      <c r="AI322" s="12">
        <f>IF(AH322&gt;0,IF(AH322&lt;=eco,alpha*fck*(1-(1-AH322/eco)^n),alpha*fck),0)</f>
      </c>
      <c r="AJ322" s="30">
        <f>PM_Angle!$J$20+PM_Angle!$K$20*$C322+PM_Angle!$L$20*$B322</f>
      </c>
      <c r="AK322" s="12">
        <f>IF(AJ322&gt;0,IF(AJ322&lt;=eco,alpha*fck*(1-(1-AJ322/eco)^n),alpha*fck),0)</f>
      </c>
      <c r="AL322" s="30">
        <f>PM_Angle!$J$21+PM_Angle!$K$21*$C322+PM_Angle!$L$21*$B322</f>
      </c>
      <c r="AM322" s="12">
        <f>IF(AL322&gt;0,IF(AL322&lt;=eco,alpha*fck*(1-(1-AL322/eco)^n),alpha*fck),0)</f>
      </c>
      <c r="AN322" s="30">
        <f>PM_Angle!$J$22+PM_Angle!$K$22*$C322+PM_Angle!$L$22*$B322</f>
      </c>
      <c r="AO322" s="12">
        <f>IF(AN322&gt;0,IF(AN322&lt;=eco,alpha*fck*(1-(1-AN322/eco)^n),alpha*fck),0)</f>
      </c>
      <c r="AP322" s="30">
        <f>PM_Angle!$J$23+PM_Angle!$K$23*$C322+PM_Angle!$L$23*$B322</f>
      </c>
      <c r="AQ322" s="12">
        <f>IF(AP322&gt;0,IF(AP322&lt;=eco,alpha*fck*(1-(1-AP322/eco)^n),alpha*fck),0)</f>
      </c>
      <c r="AR322" s="30">
        <f>PM_Angle!$J$24+PM_Angle!$K$24*$C322+PM_Angle!$L$24*$B322</f>
      </c>
      <c r="AS322" s="12">
        <f>IF(AR322&gt;0,IF(AR322&lt;=eco,alpha*fck*(1-(1-AR322/eco)^n),alpha*fck),0)</f>
      </c>
      <c r="AT322" s="30">
        <f>PM_Angle!$J$25+PM_Angle!$K$25*$C322+PM_Angle!$L$25*$B322</f>
      </c>
      <c r="AU322" s="12">
        <f>IF(AT322&gt;0,IF(AT322&lt;=eco,alpha*fck*(1-(1-AT322/eco)^n),alpha*fck),0)</f>
      </c>
    </row>
    <row r="323" spans="1:47" x14ac:dyDescent="0.25">
      <c r="A323">
        <f>Mesh!A320</f>
      </c>
      <c r="B323" s="12">
        <f>Mesh!B320</f>
      </c>
      <c r="C323" s="12">
        <f>Mesh!C320</f>
      </c>
      <c r="D323" s="12">
        <f>Mesh!D320</f>
      </c>
      <c r="E323" s="30">
        <f>INDEX(St_e0,Det+1)+INDEX(St_kx,Det+1)*C323+INDEX(St_ky,Det+1)*B323</f>
      </c>
      <c r="F323" s="12">
        <f>IF(E323&gt;0,IF(E323&lt;=eco,alpha*fck*(1-(1-E323/eco)^n),alpha*fck),0)</f>
      </c>
      <c r="G323" s="11">
        <f>F323*D323</f>
      </c>
      <c r="H323" s="11">
        <f>G323*C323</f>
      </c>
      <c r="I323" s="11">
        <f>G323*B323</f>
      </c>
      <c r="J323" s="30">
        <f>PM_Angle!$J$7+PM_Angle!$K$7*$C323+PM_Angle!$L$7*$B323</f>
      </c>
      <c r="K323" s="12">
        <f>IF(J323&gt;0,IF(J323&lt;=eco,alpha*fck*(1-(1-J323/eco)^n),alpha*fck),0)</f>
      </c>
      <c r="L323" s="30">
        <f>PM_Angle!$J$8+PM_Angle!$K$8*$C323+PM_Angle!$L$8*$B323</f>
      </c>
      <c r="M323" s="12">
        <f>IF(L323&gt;0,IF(L323&lt;=eco,alpha*fck*(1-(1-L323/eco)^n),alpha*fck),0)</f>
      </c>
      <c r="N323" s="30">
        <f>PM_Angle!$J$9+PM_Angle!$K$9*$C323+PM_Angle!$L$9*$B323</f>
      </c>
      <c r="O323" s="12">
        <f>IF(N323&gt;0,IF(N323&lt;=eco,alpha*fck*(1-(1-N323/eco)^n),alpha*fck),0)</f>
      </c>
      <c r="P323" s="30">
        <f>PM_Angle!$J$10+PM_Angle!$K$10*$C323+PM_Angle!$L$10*$B323</f>
      </c>
      <c r="Q323" s="12">
        <f>IF(P323&gt;0,IF(P323&lt;=eco,alpha*fck*(1-(1-P323/eco)^n),alpha*fck),0)</f>
      </c>
      <c r="R323" s="30">
        <f>PM_Angle!$J$11+PM_Angle!$K$11*$C323+PM_Angle!$L$11*$B323</f>
      </c>
      <c r="S323" s="12">
        <f>IF(R323&gt;0,IF(R323&lt;=eco,alpha*fck*(1-(1-R323/eco)^n),alpha*fck),0)</f>
      </c>
      <c r="T323" s="30">
        <f>PM_Angle!$J$12+PM_Angle!$K$12*$C323+PM_Angle!$L$12*$B323</f>
      </c>
      <c r="U323" s="12">
        <f>IF(T323&gt;0,IF(T323&lt;=eco,alpha*fck*(1-(1-T323/eco)^n),alpha*fck),0)</f>
      </c>
      <c r="V323" s="30">
        <f>PM_Angle!$J$13+PM_Angle!$K$13*$C323+PM_Angle!$L$13*$B323</f>
      </c>
      <c r="W323" s="12">
        <f>IF(V323&gt;0,IF(V323&lt;=eco,alpha*fck*(1-(1-V323/eco)^n),alpha*fck),0)</f>
      </c>
      <c r="X323" s="30">
        <f>PM_Angle!$J$14+PM_Angle!$K$14*$C323+PM_Angle!$L$14*$B323</f>
      </c>
      <c r="Y323" s="12">
        <f>IF(X323&gt;0,IF(X323&lt;=eco,alpha*fck*(1-(1-X323/eco)^n),alpha*fck),0)</f>
      </c>
      <c r="Z323" s="30">
        <f>PM_Angle!$J$15+PM_Angle!$K$15*$C323+PM_Angle!$L$15*$B323</f>
      </c>
      <c r="AA323" s="12">
        <f>IF(Z323&gt;0,IF(Z323&lt;=eco,alpha*fck*(1-(1-Z323/eco)^n),alpha*fck),0)</f>
      </c>
      <c r="AB323" s="30">
        <f>PM_Angle!$J$16+PM_Angle!$K$16*$C323+PM_Angle!$L$16*$B323</f>
      </c>
      <c r="AC323" s="12">
        <f>IF(AB323&gt;0,IF(AB323&lt;=eco,alpha*fck*(1-(1-AB323/eco)^n),alpha*fck),0)</f>
      </c>
      <c r="AD323" s="30">
        <f>PM_Angle!$J$17+PM_Angle!$K$17*$C323+PM_Angle!$L$17*$B323</f>
      </c>
      <c r="AE323" s="12">
        <f>IF(AD323&gt;0,IF(AD323&lt;=eco,alpha*fck*(1-(1-AD323/eco)^n),alpha*fck),0)</f>
      </c>
      <c r="AF323" s="30">
        <f>PM_Angle!$J$18+PM_Angle!$K$18*$C323+PM_Angle!$L$18*$B323</f>
      </c>
      <c r="AG323" s="12">
        <f>IF(AF323&gt;0,IF(AF323&lt;=eco,alpha*fck*(1-(1-AF323/eco)^n),alpha*fck),0)</f>
      </c>
      <c r="AH323" s="30">
        <f>PM_Angle!$J$19+PM_Angle!$K$19*$C323+PM_Angle!$L$19*$B323</f>
      </c>
      <c r="AI323" s="12">
        <f>IF(AH323&gt;0,IF(AH323&lt;=eco,alpha*fck*(1-(1-AH323/eco)^n),alpha*fck),0)</f>
      </c>
      <c r="AJ323" s="30">
        <f>PM_Angle!$J$20+PM_Angle!$K$20*$C323+PM_Angle!$L$20*$B323</f>
      </c>
      <c r="AK323" s="12">
        <f>IF(AJ323&gt;0,IF(AJ323&lt;=eco,alpha*fck*(1-(1-AJ323/eco)^n),alpha*fck),0)</f>
      </c>
      <c r="AL323" s="30">
        <f>PM_Angle!$J$21+PM_Angle!$K$21*$C323+PM_Angle!$L$21*$B323</f>
      </c>
      <c r="AM323" s="12">
        <f>IF(AL323&gt;0,IF(AL323&lt;=eco,alpha*fck*(1-(1-AL323/eco)^n),alpha*fck),0)</f>
      </c>
      <c r="AN323" s="30">
        <f>PM_Angle!$J$22+PM_Angle!$K$22*$C323+PM_Angle!$L$22*$B323</f>
      </c>
      <c r="AO323" s="12">
        <f>IF(AN323&gt;0,IF(AN323&lt;=eco,alpha*fck*(1-(1-AN323/eco)^n),alpha*fck),0)</f>
      </c>
      <c r="AP323" s="30">
        <f>PM_Angle!$J$23+PM_Angle!$K$23*$C323+PM_Angle!$L$23*$B323</f>
      </c>
      <c r="AQ323" s="12">
        <f>IF(AP323&gt;0,IF(AP323&lt;=eco,alpha*fck*(1-(1-AP323/eco)^n),alpha*fck),0)</f>
      </c>
      <c r="AR323" s="30">
        <f>PM_Angle!$J$24+PM_Angle!$K$24*$C323+PM_Angle!$L$24*$B323</f>
      </c>
      <c r="AS323" s="12">
        <f>IF(AR323&gt;0,IF(AR323&lt;=eco,alpha*fck*(1-(1-AR323/eco)^n),alpha*fck),0)</f>
      </c>
      <c r="AT323" s="30">
        <f>PM_Angle!$J$25+PM_Angle!$K$25*$C323+PM_Angle!$L$25*$B323</f>
      </c>
      <c r="AU323" s="12">
        <f>IF(AT323&gt;0,IF(AT323&lt;=eco,alpha*fck*(1-(1-AT323/eco)^n),alpha*fck),0)</f>
      </c>
    </row>
    <row r="324" spans="1:47" x14ac:dyDescent="0.25">
      <c r="A324">
        <f>Mesh!A321</f>
      </c>
      <c r="B324" s="12">
        <f>Mesh!B321</f>
      </c>
      <c r="C324" s="12">
        <f>Mesh!C321</f>
      </c>
      <c r="D324" s="12">
        <f>Mesh!D321</f>
      </c>
      <c r="E324" s="30">
        <f>INDEX(St_e0,Det+1)+INDEX(St_kx,Det+1)*C324+INDEX(St_ky,Det+1)*B324</f>
      </c>
      <c r="F324" s="12">
        <f>IF(E324&gt;0,IF(E324&lt;=eco,alpha*fck*(1-(1-E324/eco)^n),alpha*fck),0)</f>
      </c>
      <c r="G324" s="11">
        <f>F324*D324</f>
      </c>
      <c r="H324" s="11">
        <f>G324*C324</f>
      </c>
      <c r="I324" s="11">
        <f>G324*B324</f>
      </c>
      <c r="J324" s="30">
        <f>PM_Angle!$J$7+PM_Angle!$K$7*$C324+PM_Angle!$L$7*$B324</f>
      </c>
      <c r="K324" s="12">
        <f>IF(J324&gt;0,IF(J324&lt;=eco,alpha*fck*(1-(1-J324/eco)^n),alpha*fck),0)</f>
      </c>
      <c r="L324" s="30">
        <f>PM_Angle!$J$8+PM_Angle!$K$8*$C324+PM_Angle!$L$8*$B324</f>
      </c>
      <c r="M324" s="12">
        <f>IF(L324&gt;0,IF(L324&lt;=eco,alpha*fck*(1-(1-L324/eco)^n),alpha*fck),0)</f>
      </c>
      <c r="N324" s="30">
        <f>PM_Angle!$J$9+PM_Angle!$K$9*$C324+PM_Angle!$L$9*$B324</f>
      </c>
      <c r="O324" s="12">
        <f>IF(N324&gt;0,IF(N324&lt;=eco,alpha*fck*(1-(1-N324/eco)^n),alpha*fck),0)</f>
      </c>
      <c r="P324" s="30">
        <f>PM_Angle!$J$10+PM_Angle!$K$10*$C324+PM_Angle!$L$10*$B324</f>
      </c>
      <c r="Q324" s="12">
        <f>IF(P324&gt;0,IF(P324&lt;=eco,alpha*fck*(1-(1-P324/eco)^n),alpha*fck),0)</f>
      </c>
      <c r="R324" s="30">
        <f>PM_Angle!$J$11+PM_Angle!$K$11*$C324+PM_Angle!$L$11*$B324</f>
      </c>
      <c r="S324" s="12">
        <f>IF(R324&gt;0,IF(R324&lt;=eco,alpha*fck*(1-(1-R324/eco)^n),alpha*fck),0)</f>
      </c>
      <c r="T324" s="30">
        <f>PM_Angle!$J$12+PM_Angle!$K$12*$C324+PM_Angle!$L$12*$B324</f>
      </c>
      <c r="U324" s="12">
        <f>IF(T324&gt;0,IF(T324&lt;=eco,alpha*fck*(1-(1-T324/eco)^n),alpha*fck),0)</f>
      </c>
      <c r="V324" s="30">
        <f>PM_Angle!$J$13+PM_Angle!$K$13*$C324+PM_Angle!$L$13*$B324</f>
      </c>
      <c r="W324" s="12">
        <f>IF(V324&gt;0,IF(V324&lt;=eco,alpha*fck*(1-(1-V324/eco)^n),alpha*fck),0)</f>
      </c>
      <c r="X324" s="30">
        <f>PM_Angle!$J$14+PM_Angle!$K$14*$C324+PM_Angle!$L$14*$B324</f>
      </c>
      <c r="Y324" s="12">
        <f>IF(X324&gt;0,IF(X324&lt;=eco,alpha*fck*(1-(1-X324/eco)^n),alpha*fck),0)</f>
      </c>
      <c r="Z324" s="30">
        <f>PM_Angle!$J$15+PM_Angle!$K$15*$C324+PM_Angle!$L$15*$B324</f>
      </c>
      <c r="AA324" s="12">
        <f>IF(Z324&gt;0,IF(Z324&lt;=eco,alpha*fck*(1-(1-Z324/eco)^n),alpha*fck),0)</f>
      </c>
      <c r="AB324" s="30">
        <f>PM_Angle!$J$16+PM_Angle!$K$16*$C324+PM_Angle!$L$16*$B324</f>
      </c>
      <c r="AC324" s="12">
        <f>IF(AB324&gt;0,IF(AB324&lt;=eco,alpha*fck*(1-(1-AB324/eco)^n),alpha*fck),0)</f>
      </c>
      <c r="AD324" s="30">
        <f>PM_Angle!$J$17+PM_Angle!$K$17*$C324+PM_Angle!$L$17*$B324</f>
      </c>
      <c r="AE324" s="12">
        <f>IF(AD324&gt;0,IF(AD324&lt;=eco,alpha*fck*(1-(1-AD324/eco)^n),alpha*fck),0)</f>
      </c>
      <c r="AF324" s="30">
        <f>PM_Angle!$J$18+PM_Angle!$K$18*$C324+PM_Angle!$L$18*$B324</f>
      </c>
      <c r="AG324" s="12">
        <f>IF(AF324&gt;0,IF(AF324&lt;=eco,alpha*fck*(1-(1-AF324/eco)^n),alpha*fck),0)</f>
      </c>
      <c r="AH324" s="30">
        <f>PM_Angle!$J$19+PM_Angle!$K$19*$C324+PM_Angle!$L$19*$B324</f>
      </c>
      <c r="AI324" s="12">
        <f>IF(AH324&gt;0,IF(AH324&lt;=eco,alpha*fck*(1-(1-AH324/eco)^n),alpha*fck),0)</f>
      </c>
      <c r="AJ324" s="30">
        <f>PM_Angle!$J$20+PM_Angle!$K$20*$C324+PM_Angle!$L$20*$B324</f>
      </c>
      <c r="AK324" s="12">
        <f>IF(AJ324&gt;0,IF(AJ324&lt;=eco,alpha*fck*(1-(1-AJ324/eco)^n),alpha*fck),0)</f>
      </c>
      <c r="AL324" s="30">
        <f>PM_Angle!$J$21+PM_Angle!$K$21*$C324+PM_Angle!$L$21*$B324</f>
      </c>
      <c r="AM324" s="12">
        <f>IF(AL324&gt;0,IF(AL324&lt;=eco,alpha*fck*(1-(1-AL324/eco)^n),alpha*fck),0)</f>
      </c>
      <c r="AN324" s="30">
        <f>PM_Angle!$J$22+PM_Angle!$K$22*$C324+PM_Angle!$L$22*$B324</f>
      </c>
      <c r="AO324" s="12">
        <f>IF(AN324&gt;0,IF(AN324&lt;=eco,alpha*fck*(1-(1-AN324/eco)^n),alpha*fck),0)</f>
      </c>
      <c r="AP324" s="30">
        <f>PM_Angle!$J$23+PM_Angle!$K$23*$C324+PM_Angle!$L$23*$B324</f>
      </c>
      <c r="AQ324" s="12">
        <f>IF(AP324&gt;0,IF(AP324&lt;=eco,alpha*fck*(1-(1-AP324/eco)^n),alpha*fck),0)</f>
      </c>
      <c r="AR324" s="30">
        <f>PM_Angle!$J$24+PM_Angle!$K$24*$C324+PM_Angle!$L$24*$B324</f>
      </c>
      <c r="AS324" s="12">
        <f>IF(AR324&gt;0,IF(AR324&lt;=eco,alpha*fck*(1-(1-AR324/eco)^n),alpha*fck),0)</f>
      </c>
      <c r="AT324" s="30">
        <f>PM_Angle!$J$25+PM_Angle!$K$25*$C324+PM_Angle!$L$25*$B324</f>
      </c>
      <c r="AU324" s="12">
        <f>IF(AT324&gt;0,IF(AT324&lt;=eco,alpha*fck*(1-(1-AT324/eco)^n),alpha*fck),0)</f>
      </c>
    </row>
    <row r="325" spans="1:47" x14ac:dyDescent="0.25">
      <c r="A325">
        <f>Mesh!A322</f>
      </c>
      <c r="B325" s="12">
        <f>Mesh!B322</f>
      </c>
      <c r="C325" s="12">
        <f>Mesh!C322</f>
      </c>
      <c r="D325" s="12">
        <f>Mesh!D322</f>
      </c>
      <c r="E325" s="30">
        <f>INDEX(St_e0,Det+1)+INDEX(St_kx,Det+1)*C325+INDEX(St_ky,Det+1)*B325</f>
      </c>
      <c r="F325" s="12">
        <f>IF(E325&gt;0,IF(E325&lt;=eco,alpha*fck*(1-(1-E325/eco)^n),alpha*fck),0)</f>
      </c>
      <c r="G325" s="11">
        <f>F325*D325</f>
      </c>
      <c r="H325" s="11">
        <f>G325*C325</f>
      </c>
      <c r="I325" s="11">
        <f>G325*B325</f>
      </c>
      <c r="J325" s="30">
        <f>PM_Angle!$J$7+PM_Angle!$K$7*$C325+PM_Angle!$L$7*$B325</f>
      </c>
      <c r="K325" s="12">
        <f>IF(J325&gt;0,IF(J325&lt;=eco,alpha*fck*(1-(1-J325/eco)^n),alpha*fck),0)</f>
      </c>
      <c r="L325" s="30">
        <f>PM_Angle!$J$8+PM_Angle!$K$8*$C325+PM_Angle!$L$8*$B325</f>
      </c>
      <c r="M325" s="12">
        <f>IF(L325&gt;0,IF(L325&lt;=eco,alpha*fck*(1-(1-L325/eco)^n),alpha*fck),0)</f>
      </c>
      <c r="N325" s="30">
        <f>PM_Angle!$J$9+PM_Angle!$K$9*$C325+PM_Angle!$L$9*$B325</f>
      </c>
      <c r="O325" s="12">
        <f>IF(N325&gt;0,IF(N325&lt;=eco,alpha*fck*(1-(1-N325/eco)^n),alpha*fck),0)</f>
      </c>
      <c r="P325" s="30">
        <f>PM_Angle!$J$10+PM_Angle!$K$10*$C325+PM_Angle!$L$10*$B325</f>
      </c>
      <c r="Q325" s="12">
        <f>IF(P325&gt;0,IF(P325&lt;=eco,alpha*fck*(1-(1-P325/eco)^n),alpha*fck),0)</f>
      </c>
      <c r="R325" s="30">
        <f>PM_Angle!$J$11+PM_Angle!$K$11*$C325+PM_Angle!$L$11*$B325</f>
      </c>
      <c r="S325" s="12">
        <f>IF(R325&gt;0,IF(R325&lt;=eco,alpha*fck*(1-(1-R325/eco)^n),alpha*fck),0)</f>
      </c>
      <c r="T325" s="30">
        <f>PM_Angle!$J$12+PM_Angle!$K$12*$C325+PM_Angle!$L$12*$B325</f>
      </c>
      <c r="U325" s="12">
        <f>IF(T325&gt;0,IF(T325&lt;=eco,alpha*fck*(1-(1-T325/eco)^n),alpha*fck),0)</f>
      </c>
      <c r="V325" s="30">
        <f>PM_Angle!$J$13+PM_Angle!$K$13*$C325+PM_Angle!$L$13*$B325</f>
      </c>
      <c r="W325" s="12">
        <f>IF(V325&gt;0,IF(V325&lt;=eco,alpha*fck*(1-(1-V325/eco)^n),alpha*fck),0)</f>
      </c>
      <c r="X325" s="30">
        <f>PM_Angle!$J$14+PM_Angle!$K$14*$C325+PM_Angle!$L$14*$B325</f>
      </c>
      <c r="Y325" s="12">
        <f>IF(X325&gt;0,IF(X325&lt;=eco,alpha*fck*(1-(1-X325/eco)^n),alpha*fck),0)</f>
      </c>
      <c r="Z325" s="30">
        <f>PM_Angle!$J$15+PM_Angle!$K$15*$C325+PM_Angle!$L$15*$B325</f>
      </c>
      <c r="AA325" s="12">
        <f>IF(Z325&gt;0,IF(Z325&lt;=eco,alpha*fck*(1-(1-Z325/eco)^n),alpha*fck),0)</f>
      </c>
      <c r="AB325" s="30">
        <f>PM_Angle!$J$16+PM_Angle!$K$16*$C325+PM_Angle!$L$16*$B325</f>
      </c>
      <c r="AC325" s="12">
        <f>IF(AB325&gt;0,IF(AB325&lt;=eco,alpha*fck*(1-(1-AB325/eco)^n),alpha*fck),0)</f>
      </c>
      <c r="AD325" s="30">
        <f>PM_Angle!$J$17+PM_Angle!$K$17*$C325+PM_Angle!$L$17*$B325</f>
      </c>
      <c r="AE325" s="12">
        <f>IF(AD325&gt;0,IF(AD325&lt;=eco,alpha*fck*(1-(1-AD325/eco)^n),alpha*fck),0)</f>
      </c>
      <c r="AF325" s="30">
        <f>PM_Angle!$J$18+PM_Angle!$K$18*$C325+PM_Angle!$L$18*$B325</f>
      </c>
      <c r="AG325" s="12">
        <f>IF(AF325&gt;0,IF(AF325&lt;=eco,alpha*fck*(1-(1-AF325/eco)^n),alpha*fck),0)</f>
      </c>
      <c r="AH325" s="30">
        <f>PM_Angle!$J$19+PM_Angle!$K$19*$C325+PM_Angle!$L$19*$B325</f>
      </c>
      <c r="AI325" s="12">
        <f>IF(AH325&gt;0,IF(AH325&lt;=eco,alpha*fck*(1-(1-AH325/eco)^n),alpha*fck),0)</f>
      </c>
      <c r="AJ325" s="30">
        <f>PM_Angle!$J$20+PM_Angle!$K$20*$C325+PM_Angle!$L$20*$B325</f>
      </c>
      <c r="AK325" s="12">
        <f>IF(AJ325&gt;0,IF(AJ325&lt;=eco,alpha*fck*(1-(1-AJ325/eco)^n),alpha*fck),0)</f>
      </c>
      <c r="AL325" s="30">
        <f>PM_Angle!$J$21+PM_Angle!$K$21*$C325+PM_Angle!$L$21*$B325</f>
      </c>
      <c r="AM325" s="12">
        <f>IF(AL325&gt;0,IF(AL325&lt;=eco,alpha*fck*(1-(1-AL325/eco)^n),alpha*fck),0)</f>
      </c>
      <c r="AN325" s="30">
        <f>PM_Angle!$J$22+PM_Angle!$K$22*$C325+PM_Angle!$L$22*$B325</f>
      </c>
      <c r="AO325" s="12">
        <f>IF(AN325&gt;0,IF(AN325&lt;=eco,alpha*fck*(1-(1-AN325/eco)^n),alpha*fck),0)</f>
      </c>
      <c r="AP325" s="30">
        <f>PM_Angle!$J$23+PM_Angle!$K$23*$C325+PM_Angle!$L$23*$B325</f>
      </c>
      <c r="AQ325" s="12">
        <f>IF(AP325&gt;0,IF(AP325&lt;=eco,alpha*fck*(1-(1-AP325/eco)^n),alpha*fck),0)</f>
      </c>
      <c r="AR325" s="30">
        <f>PM_Angle!$J$24+PM_Angle!$K$24*$C325+PM_Angle!$L$24*$B325</f>
      </c>
      <c r="AS325" s="12">
        <f>IF(AR325&gt;0,IF(AR325&lt;=eco,alpha*fck*(1-(1-AR325/eco)^n),alpha*fck),0)</f>
      </c>
      <c r="AT325" s="30">
        <f>PM_Angle!$J$25+PM_Angle!$K$25*$C325+PM_Angle!$L$25*$B325</f>
      </c>
      <c r="AU325" s="12">
        <f>IF(AT325&gt;0,IF(AT325&lt;=eco,alpha*fck*(1-(1-AT325/eco)^n),alpha*fck),0)</f>
      </c>
    </row>
    <row r="326" spans="1:47" x14ac:dyDescent="0.25">
      <c r="A326">
        <f>Mesh!A323</f>
      </c>
      <c r="B326" s="12">
        <f>Mesh!B323</f>
      </c>
      <c r="C326" s="12">
        <f>Mesh!C323</f>
      </c>
      <c r="D326" s="12">
        <f>Mesh!D323</f>
      </c>
      <c r="E326" s="30">
        <f>INDEX(St_e0,Det+1)+INDEX(St_kx,Det+1)*C326+INDEX(St_ky,Det+1)*B326</f>
      </c>
      <c r="F326" s="12">
        <f>IF(E326&gt;0,IF(E326&lt;=eco,alpha*fck*(1-(1-E326/eco)^n),alpha*fck),0)</f>
      </c>
      <c r="G326" s="11">
        <f>F326*D326</f>
      </c>
      <c r="H326" s="11">
        <f>G326*C326</f>
      </c>
      <c r="I326" s="11">
        <f>G326*B326</f>
      </c>
      <c r="J326" s="30">
        <f>PM_Angle!$J$7+PM_Angle!$K$7*$C326+PM_Angle!$L$7*$B326</f>
      </c>
      <c r="K326" s="12">
        <f>IF(J326&gt;0,IF(J326&lt;=eco,alpha*fck*(1-(1-J326/eco)^n),alpha*fck),0)</f>
      </c>
      <c r="L326" s="30">
        <f>PM_Angle!$J$8+PM_Angle!$K$8*$C326+PM_Angle!$L$8*$B326</f>
      </c>
      <c r="M326" s="12">
        <f>IF(L326&gt;0,IF(L326&lt;=eco,alpha*fck*(1-(1-L326/eco)^n),alpha*fck),0)</f>
      </c>
      <c r="N326" s="30">
        <f>PM_Angle!$J$9+PM_Angle!$K$9*$C326+PM_Angle!$L$9*$B326</f>
      </c>
      <c r="O326" s="12">
        <f>IF(N326&gt;0,IF(N326&lt;=eco,alpha*fck*(1-(1-N326/eco)^n),alpha*fck),0)</f>
      </c>
      <c r="P326" s="30">
        <f>PM_Angle!$J$10+PM_Angle!$K$10*$C326+PM_Angle!$L$10*$B326</f>
      </c>
      <c r="Q326" s="12">
        <f>IF(P326&gt;0,IF(P326&lt;=eco,alpha*fck*(1-(1-P326/eco)^n),alpha*fck),0)</f>
      </c>
      <c r="R326" s="30">
        <f>PM_Angle!$J$11+PM_Angle!$K$11*$C326+PM_Angle!$L$11*$B326</f>
      </c>
      <c r="S326" s="12">
        <f>IF(R326&gt;0,IF(R326&lt;=eco,alpha*fck*(1-(1-R326/eco)^n),alpha*fck),0)</f>
      </c>
      <c r="T326" s="30">
        <f>PM_Angle!$J$12+PM_Angle!$K$12*$C326+PM_Angle!$L$12*$B326</f>
      </c>
      <c r="U326" s="12">
        <f>IF(T326&gt;0,IF(T326&lt;=eco,alpha*fck*(1-(1-T326/eco)^n),alpha*fck),0)</f>
      </c>
      <c r="V326" s="30">
        <f>PM_Angle!$J$13+PM_Angle!$K$13*$C326+PM_Angle!$L$13*$B326</f>
      </c>
      <c r="W326" s="12">
        <f>IF(V326&gt;0,IF(V326&lt;=eco,alpha*fck*(1-(1-V326/eco)^n),alpha*fck),0)</f>
      </c>
      <c r="X326" s="30">
        <f>PM_Angle!$J$14+PM_Angle!$K$14*$C326+PM_Angle!$L$14*$B326</f>
      </c>
      <c r="Y326" s="12">
        <f>IF(X326&gt;0,IF(X326&lt;=eco,alpha*fck*(1-(1-X326/eco)^n),alpha*fck),0)</f>
      </c>
      <c r="Z326" s="30">
        <f>PM_Angle!$J$15+PM_Angle!$K$15*$C326+PM_Angle!$L$15*$B326</f>
      </c>
      <c r="AA326" s="12">
        <f>IF(Z326&gt;0,IF(Z326&lt;=eco,alpha*fck*(1-(1-Z326/eco)^n),alpha*fck),0)</f>
      </c>
      <c r="AB326" s="30">
        <f>PM_Angle!$J$16+PM_Angle!$K$16*$C326+PM_Angle!$L$16*$B326</f>
      </c>
      <c r="AC326" s="12">
        <f>IF(AB326&gt;0,IF(AB326&lt;=eco,alpha*fck*(1-(1-AB326/eco)^n),alpha*fck),0)</f>
      </c>
      <c r="AD326" s="30">
        <f>PM_Angle!$J$17+PM_Angle!$K$17*$C326+PM_Angle!$L$17*$B326</f>
      </c>
      <c r="AE326" s="12">
        <f>IF(AD326&gt;0,IF(AD326&lt;=eco,alpha*fck*(1-(1-AD326/eco)^n),alpha*fck),0)</f>
      </c>
      <c r="AF326" s="30">
        <f>PM_Angle!$J$18+PM_Angle!$K$18*$C326+PM_Angle!$L$18*$B326</f>
      </c>
      <c r="AG326" s="12">
        <f>IF(AF326&gt;0,IF(AF326&lt;=eco,alpha*fck*(1-(1-AF326/eco)^n),alpha*fck),0)</f>
      </c>
      <c r="AH326" s="30">
        <f>PM_Angle!$J$19+PM_Angle!$K$19*$C326+PM_Angle!$L$19*$B326</f>
      </c>
      <c r="AI326" s="12">
        <f>IF(AH326&gt;0,IF(AH326&lt;=eco,alpha*fck*(1-(1-AH326/eco)^n),alpha*fck),0)</f>
      </c>
      <c r="AJ326" s="30">
        <f>PM_Angle!$J$20+PM_Angle!$K$20*$C326+PM_Angle!$L$20*$B326</f>
      </c>
      <c r="AK326" s="12">
        <f>IF(AJ326&gt;0,IF(AJ326&lt;=eco,alpha*fck*(1-(1-AJ326/eco)^n),alpha*fck),0)</f>
      </c>
      <c r="AL326" s="30">
        <f>PM_Angle!$J$21+PM_Angle!$K$21*$C326+PM_Angle!$L$21*$B326</f>
      </c>
      <c r="AM326" s="12">
        <f>IF(AL326&gt;0,IF(AL326&lt;=eco,alpha*fck*(1-(1-AL326/eco)^n),alpha*fck),0)</f>
      </c>
      <c r="AN326" s="30">
        <f>PM_Angle!$J$22+PM_Angle!$K$22*$C326+PM_Angle!$L$22*$B326</f>
      </c>
      <c r="AO326" s="12">
        <f>IF(AN326&gt;0,IF(AN326&lt;=eco,alpha*fck*(1-(1-AN326/eco)^n),alpha*fck),0)</f>
      </c>
      <c r="AP326" s="30">
        <f>PM_Angle!$J$23+PM_Angle!$K$23*$C326+PM_Angle!$L$23*$B326</f>
      </c>
      <c r="AQ326" s="12">
        <f>IF(AP326&gt;0,IF(AP326&lt;=eco,alpha*fck*(1-(1-AP326/eco)^n),alpha*fck),0)</f>
      </c>
      <c r="AR326" s="30">
        <f>PM_Angle!$J$24+PM_Angle!$K$24*$C326+PM_Angle!$L$24*$B326</f>
      </c>
      <c r="AS326" s="12">
        <f>IF(AR326&gt;0,IF(AR326&lt;=eco,alpha*fck*(1-(1-AR326/eco)^n),alpha*fck),0)</f>
      </c>
      <c r="AT326" s="30">
        <f>PM_Angle!$J$25+PM_Angle!$K$25*$C326+PM_Angle!$L$25*$B326</f>
      </c>
      <c r="AU326" s="12">
        <f>IF(AT326&gt;0,IF(AT326&lt;=eco,alpha*fck*(1-(1-AT326/eco)^n),alpha*fck),0)</f>
      </c>
    </row>
    <row r="327" spans="1:47" x14ac:dyDescent="0.25">
      <c r="A327">
        <f>Mesh!A324</f>
      </c>
      <c r="B327" s="12">
        <f>Mesh!B324</f>
      </c>
      <c r="C327" s="12">
        <f>Mesh!C324</f>
      </c>
      <c r="D327" s="12">
        <f>Mesh!D324</f>
      </c>
      <c r="E327" s="30">
        <f>INDEX(St_e0,Det+1)+INDEX(St_kx,Det+1)*C327+INDEX(St_ky,Det+1)*B327</f>
      </c>
      <c r="F327" s="12">
        <f>IF(E327&gt;0,IF(E327&lt;=eco,alpha*fck*(1-(1-E327/eco)^n),alpha*fck),0)</f>
      </c>
      <c r="G327" s="11">
        <f>F327*D327</f>
      </c>
      <c r="H327" s="11">
        <f>G327*C327</f>
      </c>
      <c r="I327" s="11">
        <f>G327*B327</f>
      </c>
      <c r="J327" s="30">
        <f>PM_Angle!$J$7+PM_Angle!$K$7*$C327+PM_Angle!$L$7*$B327</f>
      </c>
      <c r="K327" s="12">
        <f>IF(J327&gt;0,IF(J327&lt;=eco,alpha*fck*(1-(1-J327/eco)^n),alpha*fck),0)</f>
      </c>
      <c r="L327" s="30">
        <f>PM_Angle!$J$8+PM_Angle!$K$8*$C327+PM_Angle!$L$8*$B327</f>
      </c>
      <c r="M327" s="12">
        <f>IF(L327&gt;0,IF(L327&lt;=eco,alpha*fck*(1-(1-L327/eco)^n),alpha*fck),0)</f>
      </c>
      <c r="N327" s="30">
        <f>PM_Angle!$J$9+PM_Angle!$K$9*$C327+PM_Angle!$L$9*$B327</f>
      </c>
      <c r="O327" s="12">
        <f>IF(N327&gt;0,IF(N327&lt;=eco,alpha*fck*(1-(1-N327/eco)^n),alpha*fck),0)</f>
      </c>
      <c r="P327" s="30">
        <f>PM_Angle!$J$10+PM_Angle!$K$10*$C327+PM_Angle!$L$10*$B327</f>
      </c>
      <c r="Q327" s="12">
        <f>IF(P327&gt;0,IF(P327&lt;=eco,alpha*fck*(1-(1-P327/eco)^n),alpha*fck),0)</f>
      </c>
      <c r="R327" s="30">
        <f>PM_Angle!$J$11+PM_Angle!$K$11*$C327+PM_Angle!$L$11*$B327</f>
      </c>
      <c r="S327" s="12">
        <f>IF(R327&gt;0,IF(R327&lt;=eco,alpha*fck*(1-(1-R327/eco)^n),alpha*fck),0)</f>
      </c>
      <c r="T327" s="30">
        <f>PM_Angle!$J$12+PM_Angle!$K$12*$C327+PM_Angle!$L$12*$B327</f>
      </c>
      <c r="U327" s="12">
        <f>IF(T327&gt;0,IF(T327&lt;=eco,alpha*fck*(1-(1-T327/eco)^n),alpha*fck),0)</f>
      </c>
      <c r="V327" s="30">
        <f>PM_Angle!$J$13+PM_Angle!$K$13*$C327+PM_Angle!$L$13*$B327</f>
      </c>
      <c r="W327" s="12">
        <f>IF(V327&gt;0,IF(V327&lt;=eco,alpha*fck*(1-(1-V327/eco)^n),alpha*fck),0)</f>
      </c>
      <c r="X327" s="30">
        <f>PM_Angle!$J$14+PM_Angle!$K$14*$C327+PM_Angle!$L$14*$B327</f>
      </c>
      <c r="Y327" s="12">
        <f>IF(X327&gt;0,IF(X327&lt;=eco,alpha*fck*(1-(1-X327/eco)^n),alpha*fck),0)</f>
      </c>
      <c r="Z327" s="30">
        <f>PM_Angle!$J$15+PM_Angle!$K$15*$C327+PM_Angle!$L$15*$B327</f>
      </c>
      <c r="AA327" s="12">
        <f>IF(Z327&gt;0,IF(Z327&lt;=eco,alpha*fck*(1-(1-Z327/eco)^n),alpha*fck),0)</f>
      </c>
      <c r="AB327" s="30">
        <f>PM_Angle!$J$16+PM_Angle!$K$16*$C327+PM_Angle!$L$16*$B327</f>
      </c>
      <c r="AC327" s="12">
        <f>IF(AB327&gt;0,IF(AB327&lt;=eco,alpha*fck*(1-(1-AB327/eco)^n),alpha*fck),0)</f>
      </c>
      <c r="AD327" s="30">
        <f>PM_Angle!$J$17+PM_Angle!$K$17*$C327+PM_Angle!$L$17*$B327</f>
      </c>
      <c r="AE327" s="12">
        <f>IF(AD327&gt;0,IF(AD327&lt;=eco,alpha*fck*(1-(1-AD327/eco)^n),alpha*fck),0)</f>
      </c>
      <c r="AF327" s="30">
        <f>PM_Angle!$J$18+PM_Angle!$K$18*$C327+PM_Angle!$L$18*$B327</f>
      </c>
      <c r="AG327" s="12">
        <f>IF(AF327&gt;0,IF(AF327&lt;=eco,alpha*fck*(1-(1-AF327/eco)^n),alpha*fck),0)</f>
      </c>
      <c r="AH327" s="30">
        <f>PM_Angle!$J$19+PM_Angle!$K$19*$C327+PM_Angle!$L$19*$B327</f>
      </c>
      <c r="AI327" s="12">
        <f>IF(AH327&gt;0,IF(AH327&lt;=eco,alpha*fck*(1-(1-AH327/eco)^n),alpha*fck),0)</f>
      </c>
      <c r="AJ327" s="30">
        <f>PM_Angle!$J$20+PM_Angle!$K$20*$C327+PM_Angle!$L$20*$B327</f>
      </c>
      <c r="AK327" s="12">
        <f>IF(AJ327&gt;0,IF(AJ327&lt;=eco,alpha*fck*(1-(1-AJ327/eco)^n),alpha*fck),0)</f>
      </c>
      <c r="AL327" s="30">
        <f>PM_Angle!$J$21+PM_Angle!$K$21*$C327+PM_Angle!$L$21*$B327</f>
      </c>
      <c r="AM327" s="12">
        <f>IF(AL327&gt;0,IF(AL327&lt;=eco,alpha*fck*(1-(1-AL327/eco)^n),alpha*fck),0)</f>
      </c>
      <c r="AN327" s="30">
        <f>PM_Angle!$J$22+PM_Angle!$K$22*$C327+PM_Angle!$L$22*$B327</f>
      </c>
      <c r="AO327" s="12">
        <f>IF(AN327&gt;0,IF(AN327&lt;=eco,alpha*fck*(1-(1-AN327/eco)^n),alpha*fck),0)</f>
      </c>
      <c r="AP327" s="30">
        <f>PM_Angle!$J$23+PM_Angle!$K$23*$C327+PM_Angle!$L$23*$B327</f>
      </c>
      <c r="AQ327" s="12">
        <f>IF(AP327&gt;0,IF(AP327&lt;=eco,alpha*fck*(1-(1-AP327/eco)^n),alpha*fck),0)</f>
      </c>
      <c r="AR327" s="30">
        <f>PM_Angle!$J$24+PM_Angle!$K$24*$C327+PM_Angle!$L$24*$B327</f>
      </c>
      <c r="AS327" s="12">
        <f>IF(AR327&gt;0,IF(AR327&lt;=eco,alpha*fck*(1-(1-AR327/eco)^n),alpha*fck),0)</f>
      </c>
      <c r="AT327" s="30">
        <f>PM_Angle!$J$25+PM_Angle!$K$25*$C327+PM_Angle!$L$25*$B327</f>
      </c>
      <c r="AU327" s="12">
        <f>IF(AT327&gt;0,IF(AT327&lt;=eco,alpha*fck*(1-(1-AT327/eco)^n),alpha*fck),0)</f>
      </c>
    </row>
    <row r="328" spans="1:47" x14ac:dyDescent="0.25">
      <c r="A328">
        <f>Mesh!A325</f>
      </c>
      <c r="B328" s="12">
        <f>Mesh!B325</f>
      </c>
      <c r="C328" s="12">
        <f>Mesh!C325</f>
      </c>
      <c r="D328" s="12">
        <f>Mesh!D325</f>
      </c>
      <c r="E328" s="30">
        <f>INDEX(St_e0,Det+1)+INDEX(St_kx,Det+1)*C328+INDEX(St_ky,Det+1)*B328</f>
      </c>
      <c r="F328" s="12">
        <f>IF(E328&gt;0,IF(E328&lt;=eco,alpha*fck*(1-(1-E328/eco)^n),alpha*fck),0)</f>
      </c>
      <c r="G328" s="11">
        <f>F328*D328</f>
      </c>
      <c r="H328" s="11">
        <f>G328*C328</f>
      </c>
      <c r="I328" s="11">
        <f>G328*B328</f>
      </c>
      <c r="J328" s="30">
        <f>PM_Angle!$J$7+PM_Angle!$K$7*$C328+PM_Angle!$L$7*$B328</f>
      </c>
      <c r="K328" s="12">
        <f>IF(J328&gt;0,IF(J328&lt;=eco,alpha*fck*(1-(1-J328/eco)^n),alpha*fck),0)</f>
      </c>
      <c r="L328" s="30">
        <f>PM_Angle!$J$8+PM_Angle!$K$8*$C328+PM_Angle!$L$8*$B328</f>
      </c>
      <c r="M328" s="12">
        <f>IF(L328&gt;0,IF(L328&lt;=eco,alpha*fck*(1-(1-L328/eco)^n),alpha*fck),0)</f>
      </c>
      <c r="N328" s="30">
        <f>PM_Angle!$J$9+PM_Angle!$K$9*$C328+PM_Angle!$L$9*$B328</f>
      </c>
      <c r="O328" s="12">
        <f>IF(N328&gt;0,IF(N328&lt;=eco,alpha*fck*(1-(1-N328/eco)^n),alpha*fck),0)</f>
      </c>
      <c r="P328" s="30">
        <f>PM_Angle!$J$10+PM_Angle!$K$10*$C328+PM_Angle!$L$10*$B328</f>
      </c>
      <c r="Q328" s="12">
        <f>IF(P328&gt;0,IF(P328&lt;=eco,alpha*fck*(1-(1-P328/eco)^n),alpha*fck),0)</f>
      </c>
      <c r="R328" s="30">
        <f>PM_Angle!$J$11+PM_Angle!$K$11*$C328+PM_Angle!$L$11*$B328</f>
      </c>
      <c r="S328" s="12">
        <f>IF(R328&gt;0,IF(R328&lt;=eco,alpha*fck*(1-(1-R328/eco)^n),alpha*fck),0)</f>
      </c>
      <c r="T328" s="30">
        <f>PM_Angle!$J$12+PM_Angle!$K$12*$C328+PM_Angle!$L$12*$B328</f>
      </c>
      <c r="U328" s="12">
        <f>IF(T328&gt;0,IF(T328&lt;=eco,alpha*fck*(1-(1-T328/eco)^n),alpha*fck),0)</f>
      </c>
      <c r="V328" s="30">
        <f>PM_Angle!$J$13+PM_Angle!$K$13*$C328+PM_Angle!$L$13*$B328</f>
      </c>
      <c r="W328" s="12">
        <f>IF(V328&gt;0,IF(V328&lt;=eco,alpha*fck*(1-(1-V328/eco)^n),alpha*fck),0)</f>
      </c>
      <c r="X328" s="30">
        <f>PM_Angle!$J$14+PM_Angle!$K$14*$C328+PM_Angle!$L$14*$B328</f>
      </c>
      <c r="Y328" s="12">
        <f>IF(X328&gt;0,IF(X328&lt;=eco,alpha*fck*(1-(1-X328/eco)^n),alpha*fck),0)</f>
      </c>
      <c r="Z328" s="30">
        <f>PM_Angle!$J$15+PM_Angle!$K$15*$C328+PM_Angle!$L$15*$B328</f>
      </c>
      <c r="AA328" s="12">
        <f>IF(Z328&gt;0,IF(Z328&lt;=eco,alpha*fck*(1-(1-Z328/eco)^n),alpha*fck),0)</f>
      </c>
      <c r="AB328" s="30">
        <f>PM_Angle!$J$16+PM_Angle!$K$16*$C328+PM_Angle!$L$16*$B328</f>
      </c>
      <c r="AC328" s="12">
        <f>IF(AB328&gt;0,IF(AB328&lt;=eco,alpha*fck*(1-(1-AB328/eco)^n),alpha*fck),0)</f>
      </c>
      <c r="AD328" s="30">
        <f>PM_Angle!$J$17+PM_Angle!$K$17*$C328+PM_Angle!$L$17*$B328</f>
      </c>
      <c r="AE328" s="12">
        <f>IF(AD328&gt;0,IF(AD328&lt;=eco,alpha*fck*(1-(1-AD328/eco)^n),alpha*fck),0)</f>
      </c>
      <c r="AF328" s="30">
        <f>PM_Angle!$J$18+PM_Angle!$K$18*$C328+PM_Angle!$L$18*$B328</f>
      </c>
      <c r="AG328" s="12">
        <f>IF(AF328&gt;0,IF(AF328&lt;=eco,alpha*fck*(1-(1-AF328/eco)^n),alpha*fck),0)</f>
      </c>
      <c r="AH328" s="30">
        <f>PM_Angle!$J$19+PM_Angle!$K$19*$C328+PM_Angle!$L$19*$B328</f>
      </c>
      <c r="AI328" s="12">
        <f>IF(AH328&gt;0,IF(AH328&lt;=eco,alpha*fck*(1-(1-AH328/eco)^n),alpha*fck),0)</f>
      </c>
      <c r="AJ328" s="30">
        <f>PM_Angle!$J$20+PM_Angle!$K$20*$C328+PM_Angle!$L$20*$B328</f>
      </c>
      <c r="AK328" s="12">
        <f>IF(AJ328&gt;0,IF(AJ328&lt;=eco,alpha*fck*(1-(1-AJ328/eco)^n),alpha*fck),0)</f>
      </c>
      <c r="AL328" s="30">
        <f>PM_Angle!$J$21+PM_Angle!$K$21*$C328+PM_Angle!$L$21*$B328</f>
      </c>
      <c r="AM328" s="12">
        <f>IF(AL328&gt;0,IF(AL328&lt;=eco,alpha*fck*(1-(1-AL328/eco)^n),alpha*fck),0)</f>
      </c>
      <c r="AN328" s="30">
        <f>PM_Angle!$J$22+PM_Angle!$K$22*$C328+PM_Angle!$L$22*$B328</f>
      </c>
      <c r="AO328" s="12">
        <f>IF(AN328&gt;0,IF(AN328&lt;=eco,alpha*fck*(1-(1-AN328/eco)^n),alpha*fck),0)</f>
      </c>
      <c r="AP328" s="30">
        <f>PM_Angle!$J$23+PM_Angle!$K$23*$C328+PM_Angle!$L$23*$B328</f>
      </c>
      <c r="AQ328" s="12">
        <f>IF(AP328&gt;0,IF(AP328&lt;=eco,alpha*fck*(1-(1-AP328/eco)^n),alpha*fck),0)</f>
      </c>
      <c r="AR328" s="30">
        <f>PM_Angle!$J$24+PM_Angle!$K$24*$C328+PM_Angle!$L$24*$B328</f>
      </c>
      <c r="AS328" s="12">
        <f>IF(AR328&gt;0,IF(AR328&lt;=eco,alpha*fck*(1-(1-AR328/eco)^n),alpha*fck),0)</f>
      </c>
      <c r="AT328" s="30">
        <f>PM_Angle!$J$25+PM_Angle!$K$25*$C328+PM_Angle!$L$25*$B328</f>
      </c>
      <c r="AU328" s="12">
        <f>IF(AT328&gt;0,IF(AT328&lt;=eco,alpha*fck*(1-(1-AT328/eco)^n),alpha*fck),0)</f>
      </c>
    </row>
    <row r="329" spans="1:47" x14ac:dyDescent="0.25">
      <c r="A329">
        <f>Mesh!A326</f>
      </c>
      <c r="B329" s="12">
        <f>Mesh!B326</f>
      </c>
      <c r="C329" s="12">
        <f>Mesh!C326</f>
      </c>
      <c r="D329" s="12">
        <f>Mesh!D326</f>
      </c>
      <c r="E329" s="30">
        <f>INDEX(St_e0,Det+1)+INDEX(St_kx,Det+1)*C329+INDEX(St_ky,Det+1)*B329</f>
      </c>
      <c r="F329" s="12">
        <f>IF(E329&gt;0,IF(E329&lt;=eco,alpha*fck*(1-(1-E329/eco)^n),alpha*fck),0)</f>
      </c>
      <c r="G329" s="11">
        <f>F329*D329</f>
      </c>
      <c r="H329" s="11">
        <f>G329*C329</f>
      </c>
      <c r="I329" s="11">
        <f>G329*B329</f>
      </c>
      <c r="J329" s="30">
        <f>PM_Angle!$J$7+PM_Angle!$K$7*$C329+PM_Angle!$L$7*$B329</f>
      </c>
      <c r="K329" s="12">
        <f>IF(J329&gt;0,IF(J329&lt;=eco,alpha*fck*(1-(1-J329/eco)^n),alpha*fck),0)</f>
      </c>
      <c r="L329" s="30">
        <f>PM_Angle!$J$8+PM_Angle!$K$8*$C329+PM_Angle!$L$8*$B329</f>
      </c>
      <c r="M329" s="12">
        <f>IF(L329&gt;0,IF(L329&lt;=eco,alpha*fck*(1-(1-L329/eco)^n),alpha*fck),0)</f>
      </c>
      <c r="N329" s="30">
        <f>PM_Angle!$J$9+PM_Angle!$K$9*$C329+PM_Angle!$L$9*$B329</f>
      </c>
      <c r="O329" s="12">
        <f>IF(N329&gt;0,IF(N329&lt;=eco,alpha*fck*(1-(1-N329/eco)^n),alpha*fck),0)</f>
      </c>
      <c r="P329" s="30">
        <f>PM_Angle!$J$10+PM_Angle!$K$10*$C329+PM_Angle!$L$10*$B329</f>
      </c>
      <c r="Q329" s="12">
        <f>IF(P329&gt;0,IF(P329&lt;=eco,alpha*fck*(1-(1-P329/eco)^n),alpha*fck),0)</f>
      </c>
      <c r="R329" s="30">
        <f>PM_Angle!$J$11+PM_Angle!$K$11*$C329+PM_Angle!$L$11*$B329</f>
      </c>
      <c r="S329" s="12">
        <f>IF(R329&gt;0,IF(R329&lt;=eco,alpha*fck*(1-(1-R329/eco)^n),alpha*fck),0)</f>
      </c>
      <c r="T329" s="30">
        <f>PM_Angle!$J$12+PM_Angle!$K$12*$C329+PM_Angle!$L$12*$B329</f>
      </c>
      <c r="U329" s="12">
        <f>IF(T329&gt;0,IF(T329&lt;=eco,alpha*fck*(1-(1-T329/eco)^n),alpha*fck),0)</f>
      </c>
      <c r="V329" s="30">
        <f>PM_Angle!$J$13+PM_Angle!$K$13*$C329+PM_Angle!$L$13*$B329</f>
      </c>
      <c r="W329" s="12">
        <f>IF(V329&gt;0,IF(V329&lt;=eco,alpha*fck*(1-(1-V329/eco)^n),alpha*fck),0)</f>
      </c>
      <c r="X329" s="30">
        <f>PM_Angle!$J$14+PM_Angle!$K$14*$C329+PM_Angle!$L$14*$B329</f>
      </c>
      <c r="Y329" s="12">
        <f>IF(X329&gt;0,IF(X329&lt;=eco,alpha*fck*(1-(1-X329/eco)^n),alpha*fck),0)</f>
      </c>
      <c r="Z329" s="30">
        <f>PM_Angle!$J$15+PM_Angle!$K$15*$C329+PM_Angle!$L$15*$B329</f>
      </c>
      <c r="AA329" s="12">
        <f>IF(Z329&gt;0,IF(Z329&lt;=eco,alpha*fck*(1-(1-Z329/eco)^n),alpha*fck),0)</f>
      </c>
      <c r="AB329" s="30">
        <f>PM_Angle!$J$16+PM_Angle!$K$16*$C329+PM_Angle!$L$16*$B329</f>
      </c>
      <c r="AC329" s="12">
        <f>IF(AB329&gt;0,IF(AB329&lt;=eco,alpha*fck*(1-(1-AB329/eco)^n),alpha*fck),0)</f>
      </c>
      <c r="AD329" s="30">
        <f>PM_Angle!$J$17+PM_Angle!$K$17*$C329+PM_Angle!$L$17*$B329</f>
      </c>
      <c r="AE329" s="12">
        <f>IF(AD329&gt;0,IF(AD329&lt;=eco,alpha*fck*(1-(1-AD329/eco)^n),alpha*fck),0)</f>
      </c>
      <c r="AF329" s="30">
        <f>PM_Angle!$J$18+PM_Angle!$K$18*$C329+PM_Angle!$L$18*$B329</f>
      </c>
      <c r="AG329" s="12">
        <f>IF(AF329&gt;0,IF(AF329&lt;=eco,alpha*fck*(1-(1-AF329/eco)^n),alpha*fck),0)</f>
      </c>
      <c r="AH329" s="30">
        <f>PM_Angle!$J$19+PM_Angle!$K$19*$C329+PM_Angle!$L$19*$B329</f>
      </c>
      <c r="AI329" s="12">
        <f>IF(AH329&gt;0,IF(AH329&lt;=eco,alpha*fck*(1-(1-AH329/eco)^n),alpha*fck),0)</f>
      </c>
      <c r="AJ329" s="30">
        <f>PM_Angle!$J$20+PM_Angle!$K$20*$C329+PM_Angle!$L$20*$B329</f>
      </c>
      <c r="AK329" s="12">
        <f>IF(AJ329&gt;0,IF(AJ329&lt;=eco,alpha*fck*(1-(1-AJ329/eco)^n),alpha*fck),0)</f>
      </c>
      <c r="AL329" s="30">
        <f>PM_Angle!$J$21+PM_Angle!$K$21*$C329+PM_Angle!$L$21*$B329</f>
      </c>
      <c r="AM329" s="12">
        <f>IF(AL329&gt;0,IF(AL329&lt;=eco,alpha*fck*(1-(1-AL329/eco)^n),alpha*fck),0)</f>
      </c>
      <c r="AN329" s="30">
        <f>PM_Angle!$J$22+PM_Angle!$K$22*$C329+PM_Angle!$L$22*$B329</f>
      </c>
      <c r="AO329" s="12">
        <f>IF(AN329&gt;0,IF(AN329&lt;=eco,alpha*fck*(1-(1-AN329/eco)^n),alpha*fck),0)</f>
      </c>
      <c r="AP329" s="30">
        <f>PM_Angle!$J$23+PM_Angle!$K$23*$C329+PM_Angle!$L$23*$B329</f>
      </c>
      <c r="AQ329" s="12">
        <f>IF(AP329&gt;0,IF(AP329&lt;=eco,alpha*fck*(1-(1-AP329/eco)^n),alpha*fck),0)</f>
      </c>
      <c r="AR329" s="30">
        <f>PM_Angle!$J$24+PM_Angle!$K$24*$C329+PM_Angle!$L$24*$B329</f>
      </c>
      <c r="AS329" s="12">
        <f>IF(AR329&gt;0,IF(AR329&lt;=eco,alpha*fck*(1-(1-AR329/eco)^n),alpha*fck),0)</f>
      </c>
      <c r="AT329" s="30">
        <f>PM_Angle!$J$25+PM_Angle!$K$25*$C329+PM_Angle!$L$25*$B329</f>
      </c>
      <c r="AU329" s="12">
        <f>IF(AT329&gt;0,IF(AT329&lt;=eco,alpha*fck*(1-(1-AT329/eco)^n),alpha*fck),0)</f>
      </c>
    </row>
    <row r="330" spans="1:47" x14ac:dyDescent="0.25">
      <c r="A330">
        <f>Mesh!A327</f>
      </c>
      <c r="B330" s="12">
        <f>Mesh!B327</f>
      </c>
      <c r="C330" s="12">
        <f>Mesh!C327</f>
      </c>
      <c r="D330" s="12">
        <f>Mesh!D327</f>
      </c>
      <c r="E330" s="30">
        <f>INDEX(St_e0,Det+1)+INDEX(St_kx,Det+1)*C330+INDEX(St_ky,Det+1)*B330</f>
      </c>
      <c r="F330" s="12">
        <f>IF(E330&gt;0,IF(E330&lt;=eco,alpha*fck*(1-(1-E330/eco)^n),alpha*fck),0)</f>
      </c>
      <c r="G330" s="11">
        <f>F330*D330</f>
      </c>
      <c r="H330" s="11">
        <f>G330*C330</f>
      </c>
      <c r="I330" s="11">
        <f>G330*B330</f>
      </c>
      <c r="J330" s="30">
        <f>PM_Angle!$J$7+PM_Angle!$K$7*$C330+PM_Angle!$L$7*$B330</f>
      </c>
      <c r="K330" s="12">
        <f>IF(J330&gt;0,IF(J330&lt;=eco,alpha*fck*(1-(1-J330/eco)^n),alpha*fck),0)</f>
      </c>
      <c r="L330" s="30">
        <f>PM_Angle!$J$8+PM_Angle!$K$8*$C330+PM_Angle!$L$8*$B330</f>
      </c>
      <c r="M330" s="12">
        <f>IF(L330&gt;0,IF(L330&lt;=eco,alpha*fck*(1-(1-L330/eco)^n),alpha*fck),0)</f>
      </c>
      <c r="N330" s="30">
        <f>PM_Angle!$J$9+PM_Angle!$K$9*$C330+PM_Angle!$L$9*$B330</f>
      </c>
      <c r="O330" s="12">
        <f>IF(N330&gt;0,IF(N330&lt;=eco,alpha*fck*(1-(1-N330/eco)^n),alpha*fck),0)</f>
      </c>
      <c r="P330" s="30">
        <f>PM_Angle!$J$10+PM_Angle!$K$10*$C330+PM_Angle!$L$10*$B330</f>
      </c>
      <c r="Q330" s="12">
        <f>IF(P330&gt;0,IF(P330&lt;=eco,alpha*fck*(1-(1-P330/eco)^n),alpha*fck),0)</f>
      </c>
      <c r="R330" s="30">
        <f>PM_Angle!$J$11+PM_Angle!$K$11*$C330+PM_Angle!$L$11*$B330</f>
      </c>
      <c r="S330" s="12">
        <f>IF(R330&gt;0,IF(R330&lt;=eco,alpha*fck*(1-(1-R330/eco)^n),alpha*fck),0)</f>
      </c>
      <c r="T330" s="30">
        <f>PM_Angle!$J$12+PM_Angle!$K$12*$C330+PM_Angle!$L$12*$B330</f>
      </c>
      <c r="U330" s="12">
        <f>IF(T330&gt;0,IF(T330&lt;=eco,alpha*fck*(1-(1-T330/eco)^n),alpha*fck),0)</f>
      </c>
      <c r="V330" s="30">
        <f>PM_Angle!$J$13+PM_Angle!$K$13*$C330+PM_Angle!$L$13*$B330</f>
      </c>
      <c r="W330" s="12">
        <f>IF(V330&gt;0,IF(V330&lt;=eco,alpha*fck*(1-(1-V330/eco)^n),alpha*fck),0)</f>
      </c>
      <c r="X330" s="30">
        <f>PM_Angle!$J$14+PM_Angle!$K$14*$C330+PM_Angle!$L$14*$B330</f>
      </c>
      <c r="Y330" s="12">
        <f>IF(X330&gt;0,IF(X330&lt;=eco,alpha*fck*(1-(1-X330/eco)^n),alpha*fck),0)</f>
      </c>
      <c r="Z330" s="30">
        <f>PM_Angle!$J$15+PM_Angle!$K$15*$C330+PM_Angle!$L$15*$B330</f>
      </c>
      <c r="AA330" s="12">
        <f>IF(Z330&gt;0,IF(Z330&lt;=eco,alpha*fck*(1-(1-Z330/eco)^n),alpha*fck),0)</f>
      </c>
      <c r="AB330" s="30">
        <f>PM_Angle!$J$16+PM_Angle!$K$16*$C330+PM_Angle!$L$16*$B330</f>
      </c>
      <c r="AC330" s="12">
        <f>IF(AB330&gt;0,IF(AB330&lt;=eco,alpha*fck*(1-(1-AB330/eco)^n),alpha*fck),0)</f>
      </c>
      <c r="AD330" s="30">
        <f>PM_Angle!$J$17+PM_Angle!$K$17*$C330+PM_Angle!$L$17*$B330</f>
      </c>
      <c r="AE330" s="12">
        <f>IF(AD330&gt;0,IF(AD330&lt;=eco,alpha*fck*(1-(1-AD330/eco)^n),alpha*fck),0)</f>
      </c>
      <c r="AF330" s="30">
        <f>PM_Angle!$J$18+PM_Angle!$K$18*$C330+PM_Angle!$L$18*$B330</f>
      </c>
      <c r="AG330" s="12">
        <f>IF(AF330&gt;0,IF(AF330&lt;=eco,alpha*fck*(1-(1-AF330/eco)^n),alpha*fck),0)</f>
      </c>
      <c r="AH330" s="30">
        <f>PM_Angle!$J$19+PM_Angle!$K$19*$C330+PM_Angle!$L$19*$B330</f>
      </c>
      <c r="AI330" s="12">
        <f>IF(AH330&gt;0,IF(AH330&lt;=eco,alpha*fck*(1-(1-AH330/eco)^n),alpha*fck),0)</f>
      </c>
      <c r="AJ330" s="30">
        <f>PM_Angle!$J$20+PM_Angle!$K$20*$C330+PM_Angle!$L$20*$B330</f>
      </c>
      <c r="AK330" s="12">
        <f>IF(AJ330&gt;0,IF(AJ330&lt;=eco,alpha*fck*(1-(1-AJ330/eco)^n),alpha*fck),0)</f>
      </c>
      <c r="AL330" s="30">
        <f>PM_Angle!$J$21+PM_Angle!$K$21*$C330+PM_Angle!$L$21*$B330</f>
      </c>
      <c r="AM330" s="12">
        <f>IF(AL330&gt;0,IF(AL330&lt;=eco,alpha*fck*(1-(1-AL330/eco)^n),alpha*fck),0)</f>
      </c>
      <c r="AN330" s="30">
        <f>PM_Angle!$J$22+PM_Angle!$K$22*$C330+PM_Angle!$L$22*$B330</f>
      </c>
      <c r="AO330" s="12">
        <f>IF(AN330&gt;0,IF(AN330&lt;=eco,alpha*fck*(1-(1-AN330/eco)^n),alpha*fck),0)</f>
      </c>
      <c r="AP330" s="30">
        <f>PM_Angle!$J$23+PM_Angle!$K$23*$C330+PM_Angle!$L$23*$B330</f>
      </c>
      <c r="AQ330" s="12">
        <f>IF(AP330&gt;0,IF(AP330&lt;=eco,alpha*fck*(1-(1-AP330/eco)^n),alpha*fck),0)</f>
      </c>
      <c r="AR330" s="30">
        <f>PM_Angle!$J$24+PM_Angle!$K$24*$C330+PM_Angle!$L$24*$B330</f>
      </c>
      <c r="AS330" s="12">
        <f>IF(AR330&gt;0,IF(AR330&lt;=eco,alpha*fck*(1-(1-AR330/eco)^n),alpha*fck),0)</f>
      </c>
      <c r="AT330" s="30">
        <f>PM_Angle!$J$25+PM_Angle!$K$25*$C330+PM_Angle!$L$25*$B330</f>
      </c>
      <c r="AU330" s="12">
        <f>IF(AT330&gt;0,IF(AT330&lt;=eco,alpha*fck*(1-(1-AT330/eco)^n),alpha*fck),0)</f>
      </c>
    </row>
    <row r="331" spans="1:47" x14ac:dyDescent="0.25">
      <c r="A331">
        <f>Mesh!A328</f>
      </c>
      <c r="B331" s="12">
        <f>Mesh!B328</f>
      </c>
      <c r="C331" s="12">
        <f>Mesh!C328</f>
      </c>
      <c r="D331" s="12">
        <f>Mesh!D328</f>
      </c>
      <c r="E331" s="30">
        <f>INDEX(St_e0,Det+1)+INDEX(St_kx,Det+1)*C331+INDEX(St_ky,Det+1)*B331</f>
      </c>
      <c r="F331" s="12">
        <f>IF(E331&gt;0,IF(E331&lt;=eco,alpha*fck*(1-(1-E331/eco)^n),alpha*fck),0)</f>
      </c>
      <c r="G331" s="11">
        <f>F331*D331</f>
      </c>
      <c r="H331" s="11">
        <f>G331*C331</f>
      </c>
      <c r="I331" s="11">
        <f>G331*B331</f>
      </c>
      <c r="J331" s="30">
        <f>PM_Angle!$J$7+PM_Angle!$K$7*$C331+PM_Angle!$L$7*$B331</f>
      </c>
      <c r="K331" s="12">
        <f>IF(J331&gt;0,IF(J331&lt;=eco,alpha*fck*(1-(1-J331/eco)^n),alpha*fck),0)</f>
      </c>
      <c r="L331" s="30">
        <f>PM_Angle!$J$8+PM_Angle!$K$8*$C331+PM_Angle!$L$8*$B331</f>
      </c>
      <c r="M331" s="12">
        <f>IF(L331&gt;0,IF(L331&lt;=eco,alpha*fck*(1-(1-L331/eco)^n),alpha*fck),0)</f>
      </c>
      <c r="N331" s="30">
        <f>PM_Angle!$J$9+PM_Angle!$K$9*$C331+PM_Angle!$L$9*$B331</f>
      </c>
      <c r="O331" s="12">
        <f>IF(N331&gt;0,IF(N331&lt;=eco,alpha*fck*(1-(1-N331/eco)^n),alpha*fck),0)</f>
      </c>
      <c r="P331" s="30">
        <f>PM_Angle!$J$10+PM_Angle!$K$10*$C331+PM_Angle!$L$10*$B331</f>
      </c>
      <c r="Q331" s="12">
        <f>IF(P331&gt;0,IF(P331&lt;=eco,alpha*fck*(1-(1-P331/eco)^n),alpha*fck),0)</f>
      </c>
      <c r="R331" s="30">
        <f>PM_Angle!$J$11+PM_Angle!$K$11*$C331+PM_Angle!$L$11*$B331</f>
      </c>
      <c r="S331" s="12">
        <f>IF(R331&gt;0,IF(R331&lt;=eco,alpha*fck*(1-(1-R331/eco)^n),alpha*fck),0)</f>
      </c>
      <c r="T331" s="30">
        <f>PM_Angle!$J$12+PM_Angle!$K$12*$C331+PM_Angle!$L$12*$B331</f>
      </c>
      <c r="U331" s="12">
        <f>IF(T331&gt;0,IF(T331&lt;=eco,alpha*fck*(1-(1-T331/eco)^n),alpha*fck),0)</f>
      </c>
      <c r="V331" s="30">
        <f>PM_Angle!$J$13+PM_Angle!$K$13*$C331+PM_Angle!$L$13*$B331</f>
      </c>
      <c r="W331" s="12">
        <f>IF(V331&gt;0,IF(V331&lt;=eco,alpha*fck*(1-(1-V331/eco)^n),alpha*fck),0)</f>
      </c>
      <c r="X331" s="30">
        <f>PM_Angle!$J$14+PM_Angle!$K$14*$C331+PM_Angle!$L$14*$B331</f>
      </c>
      <c r="Y331" s="12">
        <f>IF(X331&gt;0,IF(X331&lt;=eco,alpha*fck*(1-(1-X331/eco)^n),alpha*fck),0)</f>
      </c>
      <c r="Z331" s="30">
        <f>PM_Angle!$J$15+PM_Angle!$K$15*$C331+PM_Angle!$L$15*$B331</f>
      </c>
      <c r="AA331" s="12">
        <f>IF(Z331&gt;0,IF(Z331&lt;=eco,alpha*fck*(1-(1-Z331/eco)^n),alpha*fck),0)</f>
      </c>
      <c r="AB331" s="30">
        <f>PM_Angle!$J$16+PM_Angle!$K$16*$C331+PM_Angle!$L$16*$B331</f>
      </c>
      <c r="AC331" s="12">
        <f>IF(AB331&gt;0,IF(AB331&lt;=eco,alpha*fck*(1-(1-AB331/eco)^n),alpha*fck),0)</f>
      </c>
      <c r="AD331" s="30">
        <f>PM_Angle!$J$17+PM_Angle!$K$17*$C331+PM_Angle!$L$17*$B331</f>
      </c>
      <c r="AE331" s="12">
        <f>IF(AD331&gt;0,IF(AD331&lt;=eco,alpha*fck*(1-(1-AD331/eco)^n),alpha*fck),0)</f>
      </c>
      <c r="AF331" s="30">
        <f>PM_Angle!$J$18+PM_Angle!$K$18*$C331+PM_Angle!$L$18*$B331</f>
      </c>
      <c r="AG331" s="12">
        <f>IF(AF331&gt;0,IF(AF331&lt;=eco,alpha*fck*(1-(1-AF331/eco)^n),alpha*fck),0)</f>
      </c>
      <c r="AH331" s="30">
        <f>PM_Angle!$J$19+PM_Angle!$K$19*$C331+PM_Angle!$L$19*$B331</f>
      </c>
      <c r="AI331" s="12">
        <f>IF(AH331&gt;0,IF(AH331&lt;=eco,alpha*fck*(1-(1-AH331/eco)^n),alpha*fck),0)</f>
      </c>
      <c r="AJ331" s="30">
        <f>PM_Angle!$J$20+PM_Angle!$K$20*$C331+PM_Angle!$L$20*$B331</f>
      </c>
      <c r="AK331" s="12">
        <f>IF(AJ331&gt;0,IF(AJ331&lt;=eco,alpha*fck*(1-(1-AJ331/eco)^n),alpha*fck),0)</f>
      </c>
      <c r="AL331" s="30">
        <f>PM_Angle!$J$21+PM_Angle!$K$21*$C331+PM_Angle!$L$21*$B331</f>
      </c>
      <c r="AM331" s="12">
        <f>IF(AL331&gt;0,IF(AL331&lt;=eco,alpha*fck*(1-(1-AL331/eco)^n),alpha*fck),0)</f>
      </c>
      <c r="AN331" s="30">
        <f>PM_Angle!$J$22+PM_Angle!$K$22*$C331+PM_Angle!$L$22*$B331</f>
      </c>
      <c r="AO331" s="12">
        <f>IF(AN331&gt;0,IF(AN331&lt;=eco,alpha*fck*(1-(1-AN331/eco)^n),alpha*fck),0)</f>
      </c>
      <c r="AP331" s="30">
        <f>PM_Angle!$J$23+PM_Angle!$K$23*$C331+PM_Angle!$L$23*$B331</f>
      </c>
      <c r="AQ331" s="12">
        <f>IF(AP331&gt;0,IF(AP331&lt;=eco,alpha*fck*(1-(1-AP331/eco)^n),alpha*fck),0)</f>
      </c>
      <c r="AR331" s="30">
        <f>PM_Angle!$J$24+PM_Angle!$K$24*$C331+PM_Angle!$L$24*$B331</f>
      </c>
      <c r="AS331" s="12">
        <f>IF(AR331&gt;0,IF(AR331&lt;=eco,alpha*fck*(1-(1-AR331/eco)^n),alpha*fck),0)</f>
      </c>
      <c r="AT331" s="30">
        <f>PM_Angle!$J$25+PM_Angle!$K$25*$C331+PM_Angle!$L$25*$B331</f>
      </c>
      <c r="AU331" s="12">
        <f>IF(AT331&gt;0,IF(AT331&lt;=eco,alpha*fck*(1-(1-AT331/eco)^n),alpha*fck),0)</f>
      </c>
    </row>
    <row r="332" spans="1:47" x14ac:dyDescent="0.25">
      <c r="A332">
        <f>Mesh!A329</f>
      </c>
      <c r="B332" s="12">
        <f>Mesh!B329</f>
      </c>
      <c r="C332" s="12">
        <f>Mesh!C329</f>
      </c>
      <c r="D332" s="12">
        <f>Mesh!D329</f>
      </c>
      <c r="E332" s="30">
        <f>INDEX(St_e0,Det+1)+INDEX(St_kx,Det+1)*C332+INDEX(St_ky,Det+1)*B332</f>
      </c>
      <c r="F332" s="12">
        <f>IF(E332&gt;0,IF(E332&lt;=eco,alpha*fck*(1-(1-E332/eco)^n),alpha*fck),0)</f>
      </c>
      <c r="G332" s="11">
        <f>F332*D332</f>
      </c>
      <c r="H332" s="11">
        <f>G332*C332</f>
      </c>
      <c r="I332" s="11">
        <f>G332*B332</f>
      </c>
      <c r="J332" s="30">
        <f>PM_Angle!$J$7+PM_Angle!$K$7*$C332+PM_Angle!$L$7*$B332</f>
      </c>
      <c r="K332" s="12">
        <f>IF(J332&gt;0,IF(J332&lt;=eco,alpha*fck*(1-(1-J332/eco)^n),alpha*fck),0)</f>
      </c>
      <c r="L332" s="30">
        <f>PM_Angle!$J$8+PM_Angle!$K$8*$C332+PM_Angle!$L$8*$B332</f>
      </c>
      <c r="M332" s="12">
        <f>IF(L332&gt;0,IF(L332&lt;=eco,alpha*fck*(1-(1-L332/eco)^n),alpha*fck),0)</f>
      </c>
      <c r="N332" s="30">
        <f>PM_Angle!$J$9+PM_Angle!$K$9*$C332+PM_Angle!$L$9*$B332</f>
      </c>
      <c r="O332" s="12">
        <f>IF(N332&gt;0,IF(N332&lt;=eco,alpha*fck*(1-(1-N332/eco)^n),alpha*fck),0)</f>
      </c>
      <c r="P332" s="30">
        <f>PM_Angle!$J$10+PM_Angle!$K$10*$C332+PM_Angle!$L$10*$B332</f>
      </c>
      <c r="Q332" s="12">
        <f>IF(P332&gt;0,IF(P332&lt;=eco,alpha*fck*(1-(1-P332/eco)^n),alpha*fck),0)</f>
      </c>
      <c r="R332" s="30">
        <f>PM_Angle!$J$11+PM_Angle!$K$11*$C332+PM_Angle!$L$11*$B332</f>
      </c>
      <c r="S332" s="12">
        <f>IF(R332&gt;0,IF(R332&lt;=eco,alpha*fck*(1-(1-R332/eco)^n),alpha*fck),0)</f>
      </c>
      <c r="T332" s="30">
        <f>PM_Angle!$J$12+PM_Angle!$K$12*$C332+PM_Angle!$L$12*$B332</f>
      </c>
      <c r="U332" s="12">
        <f>IF(T332&gt;0,IF(T332&lt;=eco,alpha*fck*(1-(1-T332/eco)^n),alpha*fck),0)</f>
      </c>
      <c r="V332" s="30">
        <f>PM_Angle!$J$13+PM_Angle!$K$13*$C332+PM_Angle!$L$13*$B332</f>
      </c>
      <c r="W332" s="12">
        <f>IF(V332&gt;0,IF(V332&lt;=eco,alpha*fck*(1-(1-V332/eco)^n),alpha*fck),0)</f>
      </c>
      <c r="X332" s="30">
        <f>PM_Angle!$J$14+PM_Angle!$K$14*$C332+PM_Angle!$L$14*$B332</f>
      </c>
      <c r="Y332" s="12">
        <f>IF(X332&gt;0,IF(X332&lt;=eco,alpha*fck*(1-(1-X332/eco)^n),alpha*fck),0)</f>
      </c>
      <c r="Z332" s="30">
        <f>PM_Angle!$J$15+PM_Angle!$K$15*$C332+PM_Angle!$L$15*$B332</f>
      </c>
      <c r="AA332" s="12">
        <f>IF(Z332&gt;0,IF(Z332&lt;=eco,alpha*fck*(1-(1-Z332/eco)^n),alpha*fck),0)</f>
      </c>
      <c r="AB332" s="30">
        <f>PM_Angle!$J$16+PM_Angle!$K$16*$C332+PM_Angle!$L$16*$B332</f>
      </c>
      <c r="AC332" s="12">
        <f>IF(AB332&gt;0,IF(AB332&lt;=eco,alpha*fck*(1-(1-AB332/eco)^n),alpha*fck),0)</f>
      </c>
      <c r="AD332" s="30">
        <f>PM_Angle!$J$17+PM_Angle!$K$17*$C332+PM_Angle!$L$17*$B332</f>
      </c>
      <c r="AE332" s="12">
        <f>IF(AD332&gt;0,IF(AD332&lt;=eco,alpha*fck*(1-(1-AD332/eco)^n),alpha*fck),0)</f>
      </c>
      <c r="AF332" s="30">
        <f>PM_Angle!$J$18+PM_Angle!$K$18*$C332+PM_Angle!$L$18*$B332</f>
      </c>
      <c r="AG332" s="12">
        <f>IF(AF332&gt;0,IF(AF332&lt;=eco,alpha*fck*(1-(1-AF332/eco)^n),alpha*fck),0)</f>
      </c>
      <c r="AH332" s="30">
        <f>PM_Angle!$J$19+PM_Angle!$K$19*$C332+PM_Angle!$L$19*$B332</f>
      </c>
      <c r="AI332" s="12">
        <f>IF(AH332&gt;0,IF(AH332&lt;=eco,alpha*fck*(1-(1-AH332/eco)^n),alpha*fck),0)</f>
      </c>
      <c r="AJ332" s="30">
        <f>PM_Angle!$J$20+PM_Angle!$K$20*$C332+PM_Angle!$L$20*$B332</f>
      </c>
      <c r="AK332" s="12">
        <f>IF(AJ332&gt;0,IF(AJ332&lt;=eco,alpha*fck*(1-(1-AJ332/eco)^n),alpha*fck),0)</f>
      </c>
      <c r="AL332" s="30">
        <f>PM_Angle!$J$21+PM_Angle!$K$21*$C332+PM_Angle!$L$21*$B332</f>
      </c>
      <c r="AM332" s="12">
        <f>IF(AL332&gt;0,IF(AL332&lt;=eco,alpha*fck*(1-(1-AL332/eco)^n),alpha*fck),0)</f>
      </c>
      <c r="AN332" s="30">
        <f>PM_Angle!$J$22+PM_Angle!$K$22*$C332+PM_Angle!$L$22*$B332</f>
      </c>
      <c r="AO332" s="12">
        <f>IF(AN332&gt;0,IF(AN332&lt;=eco,alpha*fck*(1-(1-AN332/eco)^n),alpha*fck),0)</f>
      </c>
      <c r="AP332" s="30">
        <f>PM_Angle!$J$23+PM_Angle!$K$23*$C332+PM_Angle!$L$23*$B332</f>
      </c>
      <c r="AQ332" s="12">
        <f>IF(AP332&gt;0,IF(AP332&lt;=eco,alpha*fck*(1-(1-AP332/eco)^n),alpha*fck),0)</f>
      </c>
      <c r="AR332" s="30">
        <f>PM_Angle!$J$24+PM_Angle!$K$24*$C332+PM_Angle!$L$24*$B332</f>
      </c>
      <c r="AS332" s="12">
        <f>IF(AR332&gt;0,IF(AR332&lt;=eco,alpha*fck*(1-(1-AR332/eco)^n),alpha*fck),0)</f>
      </c>
      <c r="AT332" s="30">
        <f>PM_Angle!$J$25+PM_Angle!$K$25*$C332+PM_Angle!$L$25*$B332</f>
      </c>
      <c r="AU332" s="12">
        <f>IF(AT332&gt;0,IF(AT332&lt;=eco,alpha*fck*(1-(1-AT332/eco)^n),alpha*fck),0)</f>
      </c>
    </row>
    <row r="333" spans="1:47" x14ac:dyDescent="0.25">
      <c r="A333">
        <f>Mesh!A330</f>
      </c>
      <c r="B333" s="12">
        <f>Mesh!B330</f>
      </c>
      <c r="C333" s="12">
        <f>Mesh!C330</f>
      </c>
      <c r="D333" s="12">
        <f>Mesh!D330</f>
      </c>
      <c r="E333" s="30">
        <f>INDEX(St_e0,Det+1)+INDEX(St_kx,Det+1)*C333+INDEX(St_ky,Det+1)*B333</f>
      </c>
      <c r="F333" s="12">
        <f>IF(E333&gt;0,IF(E333&lt;=eco,alpha*fck*(1-(1-E333/eco)^n),alpha*fck),0)</f>
      </c>
      <c r="G333" s="11">
        <f>F333*D333</f>
      </c>
      <c r="H333" s="11">
        <f>G333*C333</f>
      </c>
      <c r="I333" s="11">
        <f>G333*B333</f>
      </c>
      <c r="J333" s="30">
        <f>PM_Angle!$J$7+PM_Angle!$K$7*$C333+PM_Angle!$L$7*$B333</f>
      </c>
      <c r="K333" s="12">
        <f>IF(J333&gt;0,IF(J333&lt;=eco,alpha*fck*(1-(1-J333/eco)^n),alpha*fck),0)</f>
      </c>
      <c r="L333" s="30">
        <f>PM_Angle!$J$8+PM_Angle!$K$8*$C333+PM_Angle!$L$8*$B333</f>
      </c>
      <c r="M333" s="12">
        <f>IF(L333&gt;0,IF(L333&lt;=eco,alpha*fck*(1-(1-L333/eco)^n),alpha*fck),0)</f>
      </c>
      <c r="N333" s="30">
        <f>PM_Angle!$J$9+PM_Angle!$K$9*$C333+PM_Angle!$L$9*$B333</f>
      </c>
      <c r="O333" s="12">
        <f>IF(N333&gt;0,IF(N333&lt;=eco,alpha*fck*(1-(1-N333/eco)^n),alpha*fck),0)</f>
      </c>
      <c r="P333" s="30">
        <f>PM_Angle!$J$10+PM_Angle!$K$10*$C333+PM_Angle!$L$10*$B333</f>
      </c>
      <c r="Q333" s="12">
        <f>IF(P333&gt;0,IF(P333&lt;=eco,alpha*fck*(1-(1-P333/eco)^n),alpha*fck),0)</f>
      </c>
      <c r="R333" s="30">
        <f>PM_Angle!$J$11+PM_Angle!$K$11*$C333+PM_Angle!$L$11*$B333</f>
      </c>
      <c r="S333" s="12">
        <f>IF(R333&gt;0,IF(R333&lt;=eco,alpha*fck*(1-(1-R333/eco)^n),alpha*fck),0)</f>
      </c>
      <c r="T333" s="30">
        <f>PM_Angle!$J$12+PM_Angle!$K$12*$C333+PM_Angle!$L$12*$B333</f>
      </c>
      <c r="U333" s="12">
        <f>IF(T333&gt;0,IF(T333&lt;=eco,alpha*fck*(1-(1-T333/eco)^n),alpha*fck),0)</f>
      </c>
      <c r="V333" s="30">
        <f>PM_Angle!$J$13+PM_Angle!$K$13*$C333+PM_Angle!$L$13*$B333</f>
      </c>
      <c r="W333" s="12">
        <f>IF(V333&gt;0,IF(V333&lt;=eco,alpha*fck*(1-(1-V333/eco)^n),alpha*fck),0)</f>
      </c>
      <c r="X333" s="30">
        <f>PM_Angle!$J$14+PM_Angle!$K$14*$C333+PM_Angle!$L$14*$B333</f>
      </c>
      <c r="Y333" s="12">
        <f>IF(X333&gt;0,IF(X333&lt;=eco,alpha*fck*(1-(1-X333/eco)^n),alpha*fck),0)</f>
      </c>
      <c r="Z333" s="30">
        <f>PM_Angle!$J$15+PM_Angle!$K$15*$C333+PM_Angle!$L$15*$B333</f>
      </c>
      <c r="AA333" s="12">
        <f>IF(Z333&gt;0,IF(Z333&lt;=eco,alpha*fck*(1-(1-Z333/eco)^n),alpha*fck),0)</f>
      </c>
      <c r="AB333" s="30">
        <f>PM_Angle!$J$16+PM_Angle!$K$16*$C333+PM_Angle!$L$16*$B333</f>
      </c>
      <c r="AC333" s="12">
        <f>IF(AB333&gt;0,IF(AB333&lt;=eco,alpha*fck*(1-(1-AB333/eco)^n),alpha*fck),0)</f>
      </c>
      <c r="AD333" s="30">
        <f>PM_Angle!$J$17+PM_Angle!$K$17*$C333+PM_Angle!$L$17*$B333</f>
      </c>
      <c r="AE333" s="12">
        <f>IF(AD333&gt;0,IF(AD333&lt;=eco,alpha*fck*(1-(1-AD333/eco)^n),alpha*fck),0)</f>
      </c>
      <c r="AF333" s="30">
        <f>PM_Angle!$J$18+PM_Angle!$K$18*$C333+PM_Angle!$L$18*$B333</f>
      </c>
      <c r="AG333" s="12">
        <f>IF(AF333&gt;0,IF(AF333&lt;=eco,alpha*fck*(1-(1-AF333/eco)^n),alpha*fck),0)</f>
      </c>
      <c r="AH333" s="30">
        <f>PM_Angle!$J$19+PM_Angle!$K$19*$C333+PM_Angle!$L$19*$B333</f>
      </c>
      <c r="AI333" s="12">
        <f>IF(AH333&gt;0,IF(AH333&lt;=eco,alpha*fck*(1-(1-AH333/eco)^n),alpha*fck),0)</f>
      </c>
      <c r="AJ333" s="30">
        <f>PM_Angle!$J$20+PM_Angle!$K$20*$C333+PM_Angle!$L$20*$B333</f>
      </c>
      <c r="AK333" s="12">
        <f>IF(AJ333&gt;0,IF(AJ333&lt;=eco,alpha*fck*(1-(1-AJ333/eco)^n),alpha*fck),0)</f>
      </c>
      <c r="AL333" s="30">
        <f>PM_Angle!$J$21+PM_Angle!$K$21*$C333+PM_Angle!$L$21*$B333</f>
      </c>
      <c r="AM333" s="12">
        <f>IF(AL333&gt;0,IF(AL333&lt;=eco,alpha*fck*(1-(1-AL333/eco)^n),alpha*fck),0)</f>
      </c>
      <c r="AN333" s="30">
        <f>PM_Angle!$J$22+PM_Angle!$K$22*$C333+PM_Angle!$L$22*$B333</f>
      </c>
      <c r="AO333" s="12">
        <f>IF(AN333&gt;0,IF(AN333&lt;=eco,alpha*fck*(1-(1-AN333/eco)^n),alpha*fck),0)</f>
      </c>
      <c r="AP333" s="30">
        <f>PM_Angle!$J$23+PM_Angle!$K$23*$C333+PM_Angle!$L$23*$B333</f>
      </c>
      <c r="AQ333" s="12">
        <f>IF(AP333&gt;0,IF(AP333&lt;=eco,alpha*fck*(1-(1-AP333/eco)^n),alpha*fck),0)</f>
      </c>
      <c r="AR333" s="30">
        <f>PM_Angle!$J$24+PM_Angle!$K$24*$C333+PM_Angle!$L$24*$B333</f>
      </c>
      <c r="AS333" s="12">
        <f>IF(AR333&gt;0,IF(AR333&lt;=eco,alpha*fck*(1-(1-AR333/eco)^n),alpha*fck),0)</f>
      </c>
      <c r="AT333" s="30">
        <f>PM_Angle!$J$25+PM_Angle!$K$25*$C333+PM_Angle!$L$25*$B333</f>
      </c>
      <c r="AU333" s="12">
        <f>IF(AT333&gt;0,IF(AT333&lt;=eco,alpha*fck*(1-(1-AT333/eco)^n),alpha*fck),0)</f>
      </c>
    </row>
    <row r="334" spans="1:47" x14ac:dyDescent="0.25">
      <c r="A334">
        <f>Mesh!A331</f>
      </c>
      <c r="B334" s="12">
        <f>Mesh!B331</f>
      </c>
      <c r="C334" s="12">
        <f>Mesh!C331</f>
      </c>
      <c r="D334" s="12">
        <f>Mesh!D331</f>
      </c>
      <c r="E334" s="30">
        <f>INDEX(St_e0,Det+1)+INDEX(St_kx,Det+1)*C334+INDEX(St_ky,Det+1)*B334</f>
      </c>
      <c r="F334" s="12">
        <f>IF(E334&gt;0,IF(E334&lt;=eco,alpha*fck*(1-(1-E334/eco)^n),alpha*fck),0)</f>
      </c>
      <c r="G334" s="11">
        <f>F334*D334</f>
      </c>
      <c r="H334" s="11">
        <f>G334*C334</f>
      </c>
      <c r="I334" s="11">
        <f>G334*B334</f>
      </c>
      <c r="J334" s="30">
        <f>PM_Angle!$J$7+PM_Angle!$K$7*$C334+PM_Angle!$L$7*$B334</f>
      </c>
      <c r="K334" s="12">
        <f>IF(J334&gt;0,IF(J334&lt;=eco,alpha*fck*(1-(1-J334/eco)^n),alpha*fck),0)</f>
      </c>
      <c r="L334" s="30">
        <f>PM_Angle!$J$8+PM_Angle!$K$8*$C334+PM_Angle!$L$8*$B334</f>
      </c>
      <c r="M334" s="12">
        <f>IF(L334&gt;0,IF(L334&lt;=eco,alpha*fck*(1-(1-L334/eco)^n),alpha*fck),0)</f>
      </c>
      <c r="N334" s="30">
        <f>PM_Angle!$J$9+PM_Angle!$K$9*$C334+PM_Angle!$L$9*$B334</f>
      </c>
      <c r="O334" s="12">
        <f>IF(N334&gt;0,IF(N334&lt;=eco,alpha*fck*(1-(1-N334/eco)^n),alpha*fck),0)</f>
      </c>
      <c r="P334" s="30">
        <f>PM_Angle!$J$10+PM_Angle!$K$10*$C334+PM_Angle!$L$10*$B334</f>
      </c>
      <c r="Q334" s="12">
        <f>IF(P334&gt;0,IF(P334&lt;=eco,alpha*fck*(1-(1-P334/eco)^n),alpha*fck),0)</f>
      </c>
      <c r="R334" s="30">
        <f>PM_Angle!$J$11+PM_Angle!$K$11*$C334+PM_Angle!$L$11*$B334</f>
      </c>
      <c r="S334" s="12">
        <f>IF(R334&gt;0,IF(R334&lt;=eco,alpha*fck*(1-(1-R334/eco)^n),alpha*fck),0)</f>
      </c>
      <c r="T334" s="30">
        <f>PM_Angle!$J$12+PM_Angle!$K$12*$C334+PM_Angle!$L$12*$B334</f>
      </c>
      <c r="U334" s="12">
        <f>IF(T334&gt;0,IF(T334&lt;=eco,alpha*fck*(1-(1-T334/eco)^n),alpha*fck),0)</f>
      </c>
      <c r="V334" s="30">
        <f>PM_Angle!$J$13+PM_Angle!$K$13*$C334+PM_Angle!$L$13*$B334</f>
      </c>
      <c r="W334" s="12">
        <f>IF(V334&gt;0,IF(V334&lt;=eco,alpha*fck*(1-(1-V334/eco)^n),alpha*fck),0)</f>
      </c>
      <c r="X334" s="30">
        <f>PM_Angle!$J$14+PM_Angle!$K$14*$C334+PM_Angle!$L$14*$B334</f>
      </c>
      <c r="Y334" s="12">
        <f>IF(X334&gt;0,IF(X334&lt;=eco,alpha*fck*(1-(1-X334/eco)^n),alpha*fck),0)</f>
      </c>
      <c r="Z334" s="30">
        <f>PM_Angle!$J$15+PM_Angle!$K$15*$C334+PM_Angle!$L$15*$B334</f>
      </c>
      <c r="AA334" s="12">
        <f>IF(Z334&gt;0,IF(Z334&lt;=eco,alpha*fck*(1-(1-Z334/eco)^n),alpha*fck),0)</f>
      </c>
      <c r="AB334" s="30">
        <f>PM_Angle!$J$16+PM_Angle!$K$16*$C334+PM_Angle!$L$16*$B334</f>
      </c>
      <c r="AC334" s="12">
        <f>IF(AB334&gt;0,IF(AB334&lt;=eco,alpha*fck*(1-(1-AB334/eco)^n),alpha*fck),0)</f>
      </c>
      <c r="AD334" s="30">
        <f>PM_Angle!$J$17+PM_Angle!$K$17*$C334+PM_Angle!$L$17*$B334</f>
      </c>
      <c r="AE334" s="12">
        <f>IF(AD334&gt;0,IF(AD334&lt;=eco,alpha*fck*(1-(1-AD334/eco)^n),alpha*fck),0)</f>
      </c>
      <c r="AF334" s="30">
        <f>PM_Angle!$J$18+PM_Angle!$K$18*$C334+PM_Angle!$L$18*$B334</f>
      </c>
      <c r="AG334" s="12">
        <f>IF(AF334&gt;0,IF(AF334&lt;=eco,alpha*fck*(1-(1-AF334/eco)^n),alpha*fck),0)</f>
      </c>
      <c r="AH334" s="30">
        <f>PM_Angle!$J$19+PM_Angle!$K$19*$C334+PM_Angle!$L$19*$B334</f>
      </c>
      <c r="AI334" s="12">
        <f>IF(AH334&gt;0,IF(AH334&lt;=eco,alpha*fck*(1-(1-AH334/eco)^n),alpha*fck),0)</f>
      </c>
      <c r="AJ334" s="30">
        <f>PM_Angle!$J$20+PM_Angle!$K$20*$C334+PM_Angle!$L$20*$B334</f>
      </c>
      <c r="AK334" s="12">
        <f>IF(AJ334&gt;0,IF(AJ334&lt;=eco,alpha*fck*(1-(1-AJ334/eco)^n),alpha*fck),0)</f>
      </c>
      <c r="AL334" s="30">
        <f>PM_Angle!$J$21+PM_Angle!$K$21*$C334+PM_Angle!$L$21*$B334</f>
      </c>
      <c r="AM334" s="12">
        <f>IF(AL334&gt;0,IF(AL334&lt;=eco,alpha*fck*(1-(1-AL334/eco)^n),alpha*fck),0)</f>
      </c>
      <c r="AN334" s="30">
        <f>PM_Angle!$J$22+PM_Angle!$K$22*$C334+PM_Angle!$L$22*$B334</f>
      </c>
      <c r="AO334" s="12">
        <f>IF(AN334&gt;0,IF(AN334&lt;=eco,alpha*fck*(1-(1-AN334/eco)^n),alpha*fck),0)</f>
      </c>
      <c r="AP334" s="30">
        <f>PM_Angle!$J$23+PM_Angle!$K$23*$C334+PM_Angle!$L$23*$B334</f>
      </c>
      <c r="AQ334" s="12">
        <f>IF(AP334&gt;0,IF(AP334&lt;=eco,alpha*fck*(1-(1-AP334/eco)^n),alpha*fck),0)</f>
      </c>
      <c r="AR334" s="30">
        <f>PM_Angle!$J$24+PM_Angle!$K$24*$C334+PM_Angle!$L$24*$B334</f>
      </c>
      <c r="AS334" s="12">
        <f>IF(AR334&gt;0,IF(AR334&lt;=eco,alpha*fck*(1-(1-AR334/eco)^n),alpha*fck),0)</f>
      </c>
      <c r="AT334" s="30">
        <f>PM_Angle!$J$25+PM_Angle!$K$25*$C334+PM_Angle!$L$25*$B334</f>
      </c>
      <c r="AU334" s="12">
        <f>IF(AT334&gt;0,IF(AT334&lt;=eco,alpha*fck*(1-(1-AT334/eco)^n),alpha*fck),0)</f>
      </c>
    </row>
    <row r="335" spans="1:47" x14ac:dyDescent="0.25">
      <c r="A335">
        <f>Mesh!A332</f>
      </c>
      <c r="B335" s="12">
        <f>Mesh!B332</f>
      </c>
      <c r="C335" s="12">
        <f>Mesh!C332</f>
      </c>
      <c r="D335" s="12">
        <f>Mesh!D332</f>
      </c>
      <c r="E335" s="30">
        <f>INDEX(St_e0,Det+1)+INDEX(St_kx,Det+1)*C335+INDEX(St_ky,Det+1)*B335</f>
      </c>
      <c r="F335" s="12">
        <f>IF(E335&gt;0,IF(E335&lt;=eco,alpha*fck*(1-(1-E335/eco)^n),alpha*fck),0)</f>
      </c>
      <c r="G335" s="11">
        <f>F335*D335</f>
      </c>
      <c r="H335" s="11">
        <f>G335*C335</f>
      </c>
      <c r="I335" s="11">
        <f>G335*B335</f>
      </c>
      <c r="J335" s="30">
        <f>PM_Angle!$J$7+PM_Angle!$K$7*$C335+PM_Angle!$L$7*$B335</f>
      </c>
      <c r="K335" s="12">
        <f>IF(J335&gt;0,IF(J335&lt;=eco,alpha*fck*(1-(1-J335/eco)^n),alpha*fck),0)</f>
      </c>
      <c r="L335" s="30">
        <f>PM_Angle!$J$8+PM_Angle!$K$8*$C335+PM_Angle!$L$8*$B335</f>
      </c>
      <c r="M335" s="12">
        <f>IF(L335&gt;0,IF(L335&lt;=eco,alpha*fck*(1-(1-L335/eco)^n),alpha*fck),0)</f>
      </c>
      <c r="N335" s="30">
        <f>PM_Angle!$J$9+PM_Angle!$K$9*$C335+PM_Angle!$L$9*$B335</f>
      </c>
      <c r="O335" s="12">
        <f>IF(N335&gt;0,IF(N335&lt;=eco,alpha*fck*(1-(1-N335/eco)^n),alpha*fck),0)</f>
      </c>
      <c r="P335" s="30">
        <f>PM_Angle!$J$10+PM_Angle!$K$10*$C335+PM_Angle!$L$10*$B335</f>
      </c>
      <c r="Q335" s="12">
        <f>IF(P335&gt;0,IF(P335&lt;=eco,alpha*fck*(1-(1-P335/eco)^n),alpha*fck),0)</f>
      </c>
      <c r="R335" s="30">
        <f>PM_Angle!$J$11+PM_Angle!$K$11*$C335+PM_Angle!$L$11*$B335</f>
      </c>
      <c r="S335" s="12">
        <f>IF(R335&gt;0,IF(R335&lt;=eco,alpha*fck*(1-(1-R335/eco)^n),alpha*fck),0)</f>
      </c>
      <c r="T335" s="30">
        <f>PM_Angle!$J$12+PM_Angle!$K$12*$C335+PM_Angle!$L$12*$B335</f>
      </c>
      <c r="U335" s="12">
        <f>IF(T335&gt;0,IF(T335&lt;=eco,alpha*fck*(1-(1-T335/eco)^n),alpha*fck),0)</f>
      </c>
      <c r="V335" s="30">
        <f>PM_Angle!$J$13+PM_Angle!$K$13*$C335+PM_Angle!$L$13*$B335</f>
      </c>
      <c r="W335" s="12">
        <f>IF(V335&gt;0,IF(V335&lt;=eco,alpha*fck*(1-(1-V335/eco)^n),alpha*fck),0)</f>
      </c>
      <c r="X335" s="30">
        <f>PM_Angle!$J$14+PM_Angle!$K$14*$C335+PM_Angle!$L$14*$B335</f>
      </c>
      <c r="Y335" s="12">
        <f>IF(X335&gt;0,IF(X335&lt;=eco,alpha*fck*(1-(1-X335/eco)^n),alpha*fck),0)</f>
      </c>
      <c r="Z335" s="30">
        <f>PM_Angle!$J$15+PM_Angle!$K$15*$C335+PM_Angle!$L$15*$B335</f>
      </c>
      <c r="AA335" s="12">
        <f>IF(Z335&gt;0,IF(Z335&lt;=eco,alpha*fck*(1-(1-Z335/eco)^n),alpha*fck),0)</f>
      </c>
      <c r="AB335" s="30">
        <f>PM_Angle!$J$16+PM_Angle!$K$16*$C335+PM_Angle!$L$16*$B335</f>
      </c>
      <c r="AC335" s="12">
        <f>IF(AB335&gt;0,IF(AB335&lt;=eco,alpha*fck*(1-(1-AB335/eco)^n),alpha*fck),0)</f>
      </c>
      <c r="AD335" s="30">
        <f>PM_Angle!$J$17+PM_Angle!$K$17*$C335+PM_Angle!$L$17*$B335</f>
      </c>
      <c r="AE335" s="12">
        <f>IF(AD335&gt;0,IF(AD335&lt;=eco,alpha*fck*(1-(1-AD335/eco)^n),alpha*fck),0)</f>
      </c>
      <c r="AF335" s="30">
        <f>PM_Angle!$J$18+PM_Angle!$K$18*$C335+PM_Angle!$L$18*$B335</f>
      </c>
      <c r="AG335" s="12">
        <f>IF(AF335&gt;0,IF(AF335&lt;=eco,alpha*fck*(1-(1-AF335/eco)^n),alpha*fck),0)</f>
      </c>
      <c r="AH335" s="30">
        <f>PM_Angle!$J$19+PM_Angle!$K$19*$C335+PM_Angle!$L$19*$B335</f>
      </c>
      <c r="AI335" s="12">
        <f>IF(AH335&gt;0,IF(AH335&lt;=eco,alpha*fck*(1-(1-AH335/eco)^n),alpha*fck),0)</f>
      </c>
      <c r="AJ335" s="30">
        <f>PM_Angle!$J$20+PM_Angle!$K$20*$C335+PM_Angle!$L$20*$B335</f>
      </c>
      <c r="AK335" s="12">
        <f>IF(AJ335&gt;0,IF(AJ335&lt;=eco,alpha*fck*(1-(1-AJ335/eco)^n),alpha*fck),0)</f>
      </c>
      <c r="AL335" s="30">
        <f>PM_Angle!$J$21+PM_Angle!$K$21*$C335+PM_Angle!$L$21*$B335</f>
      </c>
      <c r="AM335" s="12">
        <f>IF(AL335&gt;0,IF(AL335&lt;=eco,alpha*fck*(1-(1-AL335/eco)^n),alpha*fck),0)</f>
      </c>
      <c r="AN335" s="30">
        <f>PM_Angle!$J$22+PM_Angle!$K$22*$C335+PM_Angle!$L$22*$B335</f>
      </c>
      <c r="AO335" s="12">
        <f>IF(AN335&gt;0,IF(AN335&lt;=eco,alpha*fck*(1-(1-AN335/eco)^n),alpha*fck),0)</f>
      </c>
      <c r="AP335" s="30">
        <f>PM_Angle!$J$23+PM_Angle!$K$23*$C335+PM_Angle!$L$23*$B335</f>
      </c>
      <c r="AQ335" s="12">
        <f>IF(AP335&gt;0,IF(AP335&lt;=eco,alpha*fck*(1-(1-AP335/eco)^n),alpha*fck),0)</f>
      </c>
      <c r="AR335" s="30">
        <f>PM_Angle!$J$24+PM_Angle!$K$24*$C335+PM_Angle!$L$24*$B335</f>
      </c>
      <c r="AS335" s="12">
        <f>IF(AR335&gt;0,IF(AR335&lt;=eco,alpha*fck*(1-(1-AR335/eco)^n),alpha*fck),0)</f>
      </c>
      <c r="AT335" s="30">
        <f>PM_Angle!$J$25+PM_Angle!$K$25*$C335+PM_Angle!$L$25*$B335</f>
      </c>
      <c r="AU335" s="12">
        <f>IF(AT335&gt;0,IF(AT335&lt;=eco,alpha*fck*(1-(1-AT335/eco)^n),alpha*fck),0)</f>
      </c>
    </row>
    <row r="336" spans="1:47" x14ac:dyDescent="0.25">
      <c r="A336">
        <f>Mesh!A333</f>
      </c>
      <c r="B336" s="12">
        <f>Mesh!B333</f>
      </c>
      <c r="C336" s="12">
        <f>Mesh!C333</f>
      </c>
      <c r="D336" s="12">
        <f>Mesh!D333</f>
      </c>
      <c r="E336" s="30">
        <f>INDEX(St_e0,Det+1)+INDEX(St_kx,Det+1)*C336+INDEX(St_ky,Det+1)*B336</f>
      </c>
      <c r="F336" s="12">
        <f>IF(E336&gt;0,IF(E336&lt;=eco,alpha*fck*(1-(1-E336/eco)^n),alpha*fck),0)</f>
      </c>
      <c r="G336" s="11">
        <f>F336*D336</f>
      </c>
      <c r="H336" s="11">
        <f>G336*C336</f>
      </c>
      <c r="I336" s="11">
        <f>G336*B336</f>
      </c>
      <c r="J336" s="30">
        <f>PM_Angle!$J$7+PM_Angle!$K$7*$C336+PM_Angle!$L$7*$B336</f>
      </c>
      <c r="K336" s="12">
        <f>IF(J336&gt;0,IF(J336&lt;=eco,alpha*fck*(1-(1-J336/eco)^n),alpha*fck),0)</f>
      </c>
      <c r="L336" s="30">
        <f>PM_Angle!$J$8+PM_Angle!$K$8*$C336+PM_Angle!$L$8*$B336</f>
      </c>
      <c r="M336" s="12">
        <f>IF(L336&gt;0,IF(L336&lt;=eco,alpha*fck*(1-(1-L336/eco)^n),alpha*fck),0)</f>
      </c>
      <c r="N336" s="30">
        <f>PM_Angle!$J$9+PM_Angle!$K$9*$C336+PM_Angle!$L$9*$B336</f>
      </c>
      <c r="O336" s="12">
        <f>IF(N336&gt;0,IF(N336&lt;=eco,alpha*fck*(1-(1-N336/eco)^n),alpha*fck),0)</f>
      </c>
      <c r="P336" s="30">
        <f>PM_Angle!$J$10+PM_Angle!$K$10*$C336+PM_Angle!$L$10*$B336</f>
      </c>
      <c r="Q336" s="12">
        <f>IF(P336&gt;0,IF(P336&lt;=eco,alpha*fck*(1-(1-P336/eco)^n),alpha*fck),0)</f>
      </c>
      <c r="R336" s="30">
        <f>PM_Angle!$J$11+PM_Angle!$K$11*$C336+PM_Angle!$L$11*$B336</f>
      </c>
      <c r="S336" s="12">
        <f>IF(R336&gt;0,IF(R336&lt;=eco,alpha*fck*(1-(1-R336/eco)^n),alpha*fck),0)</f>
      </c>
      <c r="T336" s="30">
        <f>PM_Angle!$J$12+PM_Angle!$K$12*$C336+PM_Angle!$L$12*$B336</f>
      </c>
      <c r="U336" s="12">
        <f>IF(T336&gt;0,IF(T336&lt;=eco,alpha*fck*(1-(1-T336/eco)^n),alpha*fck),0)</f>
      </c>
      <c r="V336" s="30">
        <f>PM_Angle!$J$13+PM_Angle!$K$13*$C336+PM_Angle!$L$13*$B336</f>
      </c>
      <c r="W336" s="12">
        <f>IF(V336&gt;0,IF(V336&lt;=eco,alpha*fck*(1-(1-V336/eco)^n),alpha*fck),0)</f>
      </c>
      <c r="X336" s="30">
        <f>PM_Angle!$J$14+PM_Angle!$K$14*$C336+PM_Angle!$L$14*$B336</f>
      </c>
      <c r="Y336" s="12">
        <f>IF(X336&gt;0,IF(X336&lt;=eco,alpha*fck*(1-(1-X336/eco)^n),alpha*fck),0)</f>
      </c>
      <c r="Z336" s="30">
        <f>PM_Angle!$J$15+PM_Angle!$K$15*$C336+PM_Angle!$L$15*$B336</f>
      </c>
      <c r="AA336" s="12">
        <f>IF(Z336&gt;0,IF(Z336&lt;=eco,alpha*fck*(1-(1-Z336/eco)^n),alpha*fck),0)</f>
      </c>
      <c r="AB336" s="30">
        <f>PM_Angle!$J$16+PM_Angle!$K$16*$C336+PM_Angle!$L$16*$B336</f>
      </c>
      <c r="AC336" s="12">
        <f>IF(AB336&gt;0,IF(AB336&lt;=eco,alpha*fck*(1-(1-AB336/eco)^n),alpha*fck),0)</f>
      </c>
      <c r="AD336" s="30">
        <f>PM_Angle!$J$17+PM_Angle!$K$17*$C336+PM_Angle!$L$17*$B336</f>
      </c>
      <c r="AE336" s="12">
        <f>IF(AD336&gt;0,IF(AD336&lt;=eco,alpha*fck*(1-(1-AD336/eco)^n),alpha*fck),0)</f>
      </c>
      <c r="AF336" s="30">
        <f>PM_Angle!$J$18+PM_Angle!$K$18*$C336+PM_Angle!$L$18*$B336</f>
      </c>
      <c r="AG336" s="12">
        <f>IF(AF336&gt;0,IF(AF336&lt;=eco,alpha*fck*(1-(1-AF336/eco)^n),alpha*fck),0)</f>
      </c>
      <c r="AH336" s="30">
        <f>PM_Angle!$J$19+PM_Angle!$K$19*$C336+PM_Angle!$L$19*$B336</f>
      </c>
      <c r="AI336" s="12">
        <f>IF(AH336&gt;0,IF(AH336&lt;=eco,alpha*fck*(1-(1-AH336/eco)^n),alpha*fck),0)</f>
      </c>
      <c r="AJ336" s="30">
        <f>PM_Angle!$J$20+PM_Angle!$K$20*$C336+PM_Angle!$L$20*$B336</f>
      </c>
      <c r="AK336" s="12">
        <f>IF(AJ336&gt;0,IF(AJ336&lt;=eco,alpha*fck*(1-(1-AJ336/eco)^n),alpha*fck),0)</f>
      </c>
      <c r="AL336" s="30">
        <f>PM_Angle!$J$21+PM_Angle!$K$21*$C336+PM_Angle!$L$21*$B336</f>
      </c>
      <c r="AM336" s="12">
        <f>IF(AL336&gt;0,IF(AL336&lt;=eco,alpha*fck*(1-(1-AL336/eco)^n),alpha*fck),0)</f>
      </c>
      <c r="AN336" s="30">
        <f>PM_Angle!$J$22+PM_Angle!$K$22*$C336+PM_Angle!$L$22*$B336</f>
      </c>
      <c r="AO336" s="12">
        <f>IF(AN336&gt;0,IF(AN336&lt;=eco,alpha*fck*(1-(1-AN336/eco)^n),alpha*fck),0)</f>
      </c>
      <c r="AP336" s="30">
        <f>PM_Angle!$J$23+PM_Angle!$K$23*$C336+PM_Angle!$L$23*$B336</f>
      </c>
      <c r="AQ336" s="12">
        <f>IF(AP336&gt;0,IF(AP336&lt;=eco,alpha*fck*(1-(1-AP336/eco)^n),alpha*fck),0)</f>
      </c>
      <c r="AR336" s="30">
        <f>PM_Angle!$J$24+PM_Angle!$K$24*$C336+PM_Angle!$L$24*$B336</f>
      </c>
      <c r="AS336" s="12">
        <f>IF(AR336&gt;0,IF(AR336&lt;=eco,alpha*fck*(1-(1-AR336/eco)^n),alpha*fck),0)</f>
      </c>
      <c r="AT336" s="30">
        <f>PM_Angle!$J$25+PM_Angle!$K$25*$C336+PM_Angle!$L$25*$B336</f>
      </c>
      <c r="AU336" s="12">
        <f>IF(AT336&gt;0,IF(AT336&lt;=eco,alpha*fck*(1-(1-AT336/eco)^n),alpha*fck),0)</f>
      </c>
    </row>
    <row r="337" spans="1:47" x14ac:dyDescent="0.25">
      <c r="A337">
        <f>Mesh!A334</f>
      </c>
      <c r="B337" s="12">
        <f>Mesh!B334</f>
      </c>
      <c r="C337" s="12">
        <f>Mesh!C334</f>
      </c>
      <c r="D337" s="12">
        <f>Mesh!D334</f>
      </c>
      <c r="E337" s="30">
        <f>INDEX(St_e0,Det+1)+INDEX(St_kx,Det+1)*C337+INDEX(St_ky,Det+1)*B337</f>
      </c>
      <c r="F337" s="12">
        <f>IF(E337&gt;0,IF(E337&lt;=eco,alpha*fck*(1-(1-E337/eco)^n),alpha*fck),0)</f>
      </c>
      <c r="G337" s="11">
        <f>F337*D337</f>
      </c>
      <c r="H337" s="11">
        <f>G337*C337</f>
      </c>
      <c r="I337" s="11">
        <f>G337*B337</f>
      </c>
      <c r="J337" s="30">
        <f>PM_Angle!$J$7+PM_Angle!$K$7*$C337+PM_Angle!$L$7*$B337</f>
      </c>
      <c r="K337" s="12">
        <f>IF(J337&gt;0,IF(J337&lt;=eco,alpha*fck*(1-(1-J337/eco)^n),alpha*fck),0)</f>
      </c>
      <c r="L337" s="30">
        <f>PM_Angle!$J$8+PM_Angle!$K$8*$C337+PM_Angle!$L$8*$B337</f>
      </c>
      <c r="M337" s="12">
        <f>IF(L337&gt;0,IF(L337&lt;=eco,alpha*fck*(1-(1-L337/eco)^n),alpha*fck),0)</f>
      </c>
      <c r="N337" s="30">
        <f>PM_Angle!$J$9+PM_Angle!$K$9*$C337+PM_Angle!$L$9*$B337</f>
      </c>
      <c r="O337" s="12">
        <f>IF(N337&gt;0,IF(N337&lt;=eco,alpha*fck*(1-(1-N337/eco)^n),alpha*fck),0)</f>
      </c>
      <c r="P337" s="30">
        <f>PM_Angle!$J$10+PM_Angle!$K$10*$C337+PM_Angle!$L$10*$B337</f>
      </c>
      <c r="Q337" s="12">
        <f>IF(P337&gt;0,IF(P337&lt;=eco,alpha*fck*(1-(1-P337/eco)^n),alpha*fck),0)</f>
      </c>
      <c r="R337" s="30">
        <f>PM_Angle!$J$11+PM_Angle!$K$11*$C337+PM_Angle!$L$11*$B337</f>
      </c>
      <c r="S337" s="12">
        <f>IF(R337&gt;0,IF(R337&lt;=eco,alpha*fck*(1-(1-R337/eco)^n),alpha*fck),0)</f>
      </c>
      <c r="T337" s="30">
        <f>PM_Angle!$J$12+PM_Angle!$K$12*$C337+PM_Angle!$L$12*$B337</f>
      </c>
      <c r="U337" s="12">
        <f>IF(T337&gt;0,IF(T337&lt;=eco,alpha*fck*(1-(1-T337/eco)^n),alpha*fck),0)</f>
      </c>
      <c r="V337" s="30">
        <f>PM_Angle!$J$13+PM_Angle!$K$13*$C337+PM_Angle!$L$13*$B337</f>
      </c>
      <c r="W337" s="12">
        <f>IF(V337&gt;0,IF(V337&lt;=eco,alpha*fck*(1-(1-V337/eco)^n),alpha*fck),0)</f>
      </c>
      <c r="X337" s="30">
        <f>PM_Angle!$J$14+PM_Angle!$K$14*$C337+PM_Angle!$L$14*$B337</f>
      </c>
      <c r="Y337" s="12">
        <f>IF(X337&gt;0,IF(X337&lt;=eco,alpha*fck*(1-(1-X337/eco)^n),alpha*fck),0)</f>
      </c>
      <c r="Z337" s="30">
        <f>PM_Angle!$J$15+PM_Angle!$K$15*$C337+PM_Angle!$L$15*$B337</f>
      </c>
      <c r="AA337" s="12">
        <f>IF(Z337&gt;0,IF(Z337&lt;=eco,alpha*fck*(1-(1-Z337/eco)^n),alpha*fck),0)</f>
      </c>
      <c r="AB337" s="30">
        <f>PM_Angle!$J$16+PM_Angle!$K$16*$C337+PM_Angle!$L$16*$B337</f>
      </c>
      <c r="AC337" s="12">
        <f>IF(AB337&gt;0,IF(AB337&lt;=eco,alpha*fck*(1-(1-AB337/eco)^n),alpha*fck),0)</f>
      </c>
      <c r="AD337" s="30">
        <f>PM_Angle!$J$17+PM_Angle!$K$17*$C337+PM_Angle!$L$17*$B337</f>
      </c>
      <c r="AE337" s="12">
        <f>IF(AD337&gt;0,IF(AD337&lt;=eco,alpha*fck*(1-(1-AD337/eco)^n),alpha*fck),0)</f>
      </c>
      <c r="AF337" s="30">
        <f>PM_Angle!$J$18+PM_Angle!$K$18*$C337+PM_Angle!$L$18*$B337</f>
      </c>
      <c r="AG337" s="12">
        <f>IF(AF337&gt;0,IF(AF337&lt;=eco,alpha*fck*(1-(1-AF337/eco)^n),alpha*fck),0)</f>
      </c>
      <c r="AH337" s="30">
        <f>PM_Angle!$J$19+PM_Angle!$K$19*$C337+PM_Angle!$L$19*$B337</f>
      </c>
      <c r="AI337" s="12">
        <f>IF(AH337&gt;0,IF(AH337&lt;=eco,alpha*fck*(1-(1-AH337/eco)^n),alpha*fck),0)</f>
      </c>
      <c r="AJ337" s="30">
        <f>PM_Angle!$J$20+PM_Angle!$K$20*$C337+PM_Angle!$L$20*$B337</f>
      </c>
      <c r="AK337" s="12">
        <f>IF(AJ337&gt;0,IF(AJ337&lt;=eco,alpha*fck*(1-(1-AJ337/eco)^n),alpha*fck),0)</f>
      </c>
      <c r="AL337" s="30">
        <f>PM_Angle!$J$21+PM_Angle!$K$21*$C337+PM_Angle!$L$21*$B337</f>
      </c>
      <c r="AM337" s="12">
        <f>IF(AL337&gt;0,IF(AL337&lt;=eco,alpha*fck*(1-(1-AL337/eco)^n),alpha*fck),0)</f>
      </c>
      <c r="AN337" s="30">
        <f>PM_Angle!$J$22+PM_Angle!$K$22*$C337+PM_Angle!$L$22*$B337</f>
      </c>
      <c r="AO337" s="12">
        <f>IF(AN337&gt;0,IF(AN337&lt;=eco,alpha*fck*(1-(1-AN337/eco)^n),alpha*fck),0)</f>
      </c>
      <c r="AP337" s="30">
        <f>PM_Angle!$J$23+PM_Angle!$K$23*$C337+PM_Angle!$L$23*$B337</f>
      </c>
      <c r="AQ337" s="12">
        <f>IF(AP337&gt;0,IF(AP337&lt;=eco,alpha*fck*(1-(1-AP337/eco)^n),alpha*fck),0)</f>
      </c>
      <c r="AR337" s="30">
        <f>PM_Angle!$J$24+PM_Angle!$K$24*$C337+PM_Angle!$L$24*$B337</f>
      </c>
      <c r="AS337" s="12">
        <f>IF(AR337&gt;0,IF(AR337&lt;=eco,alpha*fck*(1-(1-AR337/eco)^n),alpha*fck),0)</f>
      </c>
      <c r="AT337" s="30">
        <f>PM_Angle!$J$25+PM_Angle!$K$25*$C337+PM_Angle!$L$25*$B337</f>
      </c>
      <c r="AU337" s="12">
        <f>IF(AT337&gt;0,IF(AT337&lt;=eco,alpha*fck*(1-(1-AT337/eco)^n),alpha*fck),0)</f>
      </c>
    </row>
    <row r="338" spans="1:47" x14ac:dyDescent="0.25">
      <c r="A338">
        <f>Mesh!A335</f>
      </c>
      <c r="B338" s="12">
        <f>Mesh!B335</f>
      </c>
      <c r="C338" s="12">
        <f>Mesh!C335</f>
      </c>
      <c r="D338" s="12">
        <f>Mesh!D335</f>
      </c>
      <c r="E338" s="30">
        <f>INDEX(St_e0,Det+1)+INDEX(St_kx,Det+1)*C338+INDEX(St_ky,Det+1)*B338</f>
      </c>
      <c r="F338" s="12">
        <f>IF(E338&gt;0,IF(E338&lt;=eco,alpha*fck*(1-(1-E338/eco)^n),alpha*fck),0)</f>
      </c>
      <c r="G338" s="11">
        <f>F338*D338</f>
      </c>
      <c r="H338" s="11">
        <f>G338*C338</f>
      </c>
      <c r="I338" s="11">
        <f>G338*B338</f>
      </c>
      <c r="J338" s="30">
        <f>PM_Angle!$J$7+PM_Angle!$K$7*$C338+PM_Angle!$L$7*$B338</f>
      </c>
      <c r="K338" s="12">
        <f>IF(J338&gt;0,IF(J338&lt;=eco,alpha*fck*(1-(1-J338/eco)^n),alpha*fck),0)</f>
      </c>
      <c r="L338" s="30">
        <f>PM_Angle!$J$8+PM_Angle!$K$8*$C338+PM_Angle!$L$8*$B338</f>
      </c>
      <c r="M338" s="12">
        <f>IF(L338&gt;0,IF(L338&lt;=eco,alpha*fck*(1-(1-L338/eco)^n),alpha*fck),0)</f>
      </c>
      <c r="N338" s="30">
        <f>PM_Angle!$J$9+PM_Angle!$K$9*$C338+PM_Angle!$L$9*$B338</f>
      </c>
      <c r="O338" s="12">
        <f>IF(N338&gt;0,IF(N338&lt;=eco,alpha*fck*(1-(1-N338/eco)^n),alpha*fck),0)</f>
      </c>
      <c r="P338" s="30">
        <f>PM_Angle!$J$10+PM_Angle!$K$10*$C338+PM_Angle!$L$10*$B338</f>
      </c>
      <c r="Q338" s="12">
        <f>IF(P338&gt;0,IF(P338&lt;=eco,alpha*fck*(1-(1-P338/eco)^n),alpha*fck),0)</f>
      </c>
      <c r="R338" s="30">
        <f>PM_Angle!$J$11+PM_Angle!$K$11*$C338+PM_Angle!$L$11*$B338</f>
      </c>
      <c r="S338" s="12">
        <f>IF(R338&gt;0,IF(R338&lt;=eco,alpha*fck*(1-(1-R338/eco)^n),alpha*fck),0)</f>
      </c>
      <c r="T338" s="30">
        <f>PM_Angle!$J$12+PM_Angle!$K$12*$C338+PM_Angle!$L$12*$B338</f>
      </c>
      <c r="U338" s="12">
        <f>IF(T338&gt;0,IF(T338&lt;=eco,alpha*fck*(1-(1-T338/eco)^n),alpha*fck),0)</f>
      </c>
      <c r="V338" s="30">
        <f>PM_Angle!$J$13+PM_Angle!$K$13*$C338+PM_Angle!$L$13*$B338</f>
      </c>
      <c r="W338" s="12">
        <f>IF(V338&gt;0,IF(V338&lt;=eco,alpha*fck*(1-(1-V338/eco)^n),alpha*fck),0)</f>
      </c>
      <c r="X338" s="30">
        <f>PM_Angle!$J$14+PM_Angle!$K$14*$C338+PM_Angle!$L$14*$B338</f>
      </c>
      <c r="Y338" s="12">
        <f>IF(X338&gt;0,IF(X338&lt;=eco,alpha*fck*(1-(1-X338/eco)^n),alpha*fck),0)</f>
      </c>
      <c r="Z338" s="30">
        <f>PM_Angle!$J$15+PM_Angle!$K$15*$C338+PM_Angle!$L$15*$B338</f>
      </c>
      <c r="AA338" s="12">
        <f>IF(Z338&gt;0,IF(Z338&lt;=eco,alpha*fck*(1-(1-Z338/eco)^n),alpha*fck),0)</f>
      </c>
      <c r="AB338" s="30">
        <f>PM_Angle!$J$16+PM_Angle!$K$16*$C338+PM_Angle!$L$16*$B338</f>
      </c>
      <c r="AC338" s="12">
        <f>IF(AB338&gt;0,IF(AB338&lt;=eco,alpha*fck*(1-(1-AB338/eco)^n),alpha*fck),0)</f>
      </c>
      <c r="AD338" s="30">
        <f>PM_Angle!$J$17+PM_Angle!$K$17*$C338+PM_Angle!$L$17*$B338</f>
      </c>
      <c r="AE338" s="12">
        <f>IF(AD338&gt;0,IF(AD338&lt;=eco,alpha*fck*(1-(1-AD338/eco)^n),alpha*fck),0)</f>
      </c>
      <c r="AF338" s="30">
        <f>PM_Angle!$J$18+PM_Angle!$K$18*$C338+PM_Angle!$L$18*$B338</f>
      </c>
      <c r="AG338" s="12">
        <f>IF(AF338&gt;0,IF(AF338&lt;=eco,alpha*fck*(1-(1-AF338/eco)^n),alpha*fck),0)</f>
      </c>
      <c r="AH338" s="30">
        <f>PM_Angle!$J$19+PM_Angle!$K$19*$C338+PM_Angle!$L$19*$B338</f>
      </c>
      <c r="AI338" s="12">
        <f>IF(AH338&gt;0,IF(AH338&lt;=eco,alpha*fck*(1-(1-AH338/eco)^n),alpha*fck),0)</f>
      </c>
      <c r="AJ338" s="30">
        <f>PM_Angle!$J$20+PM_Angle!$K$20*$C338+PM_Angle!$L$20*$B338</f>
      </c>
      <c r="AK338" s="12">
        <f>IF(AJ338&gt;0,IF(AJ338&lt;=eco,alpha*fck*(1-(1-AJ338/eco)^n),alpha*fck),0)</f>
      </c>
      <c r="AL338" s="30">
        <f>PM_Angle!$J$21+PM_Angle!$K$21*$C338+PM_Angle!$L$21*$B338</f>
      </c>
      <c r="AM338" s="12">
        <f>IF(AL338&gt;0,IF(AL338&lt;=eco,alpha*fck*(1-(1-AL338/eco)^n),alpha*fck),0)</f>
      </c>
      <c r="AN338" s="30">
        <f>PM_Angle!$J$22+PM_Angle!$K$22*$C338+PM_Angle!$L$22*$B338</f>
      </c>
      <c r="AO338" s="12">
        <f>IF(AN338&gt;0,IF(AN338&lt;=eco,alpha*fck*(1-(1-AN338/eco)^n),alpha*fck),0)</f>
      </c>
      <c r="AP338" s="30">
        <f>PM_Angle!$J$23+PM_Angle!$K$23*$C338+PM_Angle!$L$23*$B338</f>
      </c>
      <c r="AQ338" s="12">
        <f>IF(AP338&gt;0,IF(AP338&lt;=eco,alpha*fck*(1-(1-AP338/eco)^n),alpha*fck),0)</f>
      </c>
      <c r="AR338" s="30">
        <f>PM_Angle!$J$24+PM_Angle!$K$24*$C338+PM_Angle!$L$24*$B338</f>
      </c>
      <c r="AS338" s="12">
        <f>IF(AR338&gt;0,IF(AR338&lt;=eco,alpha*fck*(1-(1-AR338/eco)^n),alpha*fck),0)</f>
      </c>
      <c r="AT338" s="30">
        <f>PM_Angle!$J$25+PM_Angle!$K$25*$C338+PM_Angle!$L$25*$B338</f>
      </c>
      <c r="AU338" s="12">
        <f>IF(AT338&gt;0,IF(AT338&lt;=eco,alpha*fck*(1-(1-AT338/eco)^n),alpha*fck),0)</f>
      </c>
    </row>
    <row r="339" spans="1:47" x14ac:dyDescent="0.25">
      <c r="A339">
        <f>Mesh!A336</f>
      </c>
      <c r="B339" s="12">
        <f>Mesh!B336</f>
      </c>
      <c r="C339" s="12">
        <f>Mesh!C336</f>
      </c>
      <c r="D339" s="12">
        <f>Mesh!D336</f>
      </c>
      <c r="E339" s="30">
        <f>INDEX(St_e0,Det+1)+INDEX(St_kx,Det+1)*C339+INDEX(St_ky,Det+1)*B339</f>
      </c>
      <c r="F339" s="12">
        <f>IF(E339&gt;0,IF(E339&lt;=eco,alpha*fck*(1-(1-E339/eco)^n),alpha*fck),0)</f>
      </c>
      <c r="G339" s="11">
        <f>F339*D339</f>
      </c>
      <c r="H339" s="11">
        <f>G339*C339</f>
      </c>
      <c r="I339" s="11">
        <f>G339*B339</f>
      </c>
      <c r="J339" s="30">
        <f>PM_Angle!$J$7+PM_Angle!$K$7*$C339+PM_Angle!$L$7*$B339</f>
      </c>
      <c r="K339" s="12">
        <f>IF(J339&gt;0,IF(J339&lt;=eco,alpha*fck*(1-(1-J339/eco)^n),alpha*fck),0)</f>
      </c>
      <c r="L339" s="30">
        <f>PM_Angle!$J$8+PM_Angle!$K$8*$C339+PM_Angle!$L$8*$B339</f>
      </c>
      <c r="M339" s="12">
        <f>IF(L339&gt;0,IF(L339&lt;=eco,alpha*fck*(1-(1-L339/eco)^n),alpha*fck),0)</f>
      </c>
      <c r="N339" s="30">
        <f>PM_Angle!$J$9+PM_Angle!$K$9*$C339+PM_Angle!$L$9*$B339</f>
      </c>
      <c r="O339" s="12">
        <f>IF(N339&gt;0,IF(N339&lt;=eco,alpha*fck*(1-(1-N339/eco)^n),alpha*fck),0)</f>
      </c>
      <c r="P339" s="30">
        <f>PM_Angle!$J$10+PM_Angle!$K$10*$C339+PM_Angle!$L$10*$B339</f>
      </c>
      <c r="Q339" s="12">
        <f>IF(P339&gt;0,IF(P339&lt;=eco,alpha*fck*(1-(1-P339/eco)^n),alpha*fck),0)</f>
      </c>
      <c r="R339" s="30">
        <f>PM_Angle!$J$11+PM_Angle!$K$11*$C339+PM_Angle!$L$11*$B339</f>
      </c>
      <c r="S339" s="12">
        <f>IF(R339&gt;0,IF(R339&lt;=eco,alpha*fck*(1-(1-R339/eco)^n),alpha*fck),0)</f>
      </c>
      <c r="T339" s="30">
        <f>PM_Angle!$J$12+PM_Angle!$K$12*$C339+PM_Angle!$L$12*$B339</f>
      </c>
      <c r="U339" s="12">
        <f>IF(T339&gt;0,IF(T339&lt;=eco,alpha*fck*(1-(1-T339/eco)^n),alpha*fck),0)</f>
      </c>
      <c r="V339" s="30">
        <f>PM_Angle!$J$13+PM_Angle!$K$13*$C339+PM_Angle!$L$13*$B339</f>
      </c>
      <c r="W339" s="12">
        <f>IF(V339&gt;0,IF(V339&lt;=eco,alpha*fck*(1-(1-V339/eco)^n),alpha*fck),0)</f>
      </c>
      <c r="X339" s="30">
        <f>PM_Angle!$J$14+PM_Angle!$K$14*$C339+PM_Angle!$L$14*$B339</f>
      </c>
      <c r="Y339" s="12">
        <f>IF(X339&gt;0,IF(X339&lt;=eco,alpha*fck*(1-(1-X339/eco)^n),alpha*fck),0)</f>
      </c>
      <c r="Z339" s="30">
        <f>PM_Angle!$J$15+PM_Angle!$K$15*$C339+PM_Angle!$L$15*$B339</f>
      </c>
      <c r="AA339" s="12">
        <f>IF(Z339&gt;0,IF(Z339&lt;=eco,alpha*fck*(1-(1-Z339/eco)^n),alpha*fck),0)</f>
      </c>
      <c r="AB339" s="30">
        <f>PM_Angle!$J$16+PM_Angle!$K$16*$C339+PM_Angle!$L$16*$B339</f>
      </c>
      <c r="AC339" s="12">
        <f>IF(AB339&gt;0,IF(AB339&lt;=eco,alpha*fck*(1-(1-AB339/eco)^n),alpha*fck),0)</f>
      </c>
      <c r="AD339" s="30">
        <f>PM_Angle!$J$17+PM_Angle!$K$17*$C339+PM_Angle!$L$17*$B339</f>
      </c>
      <c r="AE339" s="12">
        <f>IF(AD339&gt;0,IF(AD339&lt;=eco,alpha*fck*(1-(1-AD339/eco)^n),alpha*fck),0)</f>
      </c>
      <c r="AF339" s="30">
        <f>PM_Angle!$J$18+PM_Angle!$K$18*$C339+PM_Angle!$L$18*$B339</f>
      </c>
      <c r="AG339" s="12">
        <f>IF(AF339&gt;0,IF(AF339&lt;=eco,alpha*fck*(1-(1-AF339/eco)^n),alpha*fck),0)</f>
      </c>
      <c r="AH339" s="30">
        <f>PM_Angle!$J$19+PM_Angle!$K$19*$C339+PM_Angle!$L$19*$B339</f>
      </c>
      <c r="AI339" s="12">
        <f>IF(AH339&gt;0,IF(AH339&lt;=eco,alpha*fck*(1-(1-AH339/eco)^n),alpha*fck),0)</f>
      </c>
      <c r="AJ339" s="30">
        <f>PM_Angle!$J$20+PM_Angle!$K$20*$C339+PM_Angle!$L$20*$B339</f>
      </c>
      <c r="AK339" s="12">
        <f>IF(AJ339&gt;0,IF(AJ339&lt;=eco,alpha*fck*(1-(1-AJ339/eco)^n),alpha*fck),0)</f>
      </c>
      <c r="AL339" s="30">
        <f>PM_Angle!$J$21+PM_Angle!$K$21*$C339+PM_Angle!$L$21*$B339</f>
      </c>
      <c r="AM339" s="12">
        <f>IF(AL339&gt;0,IF(AL339&lt;=eco,alpha*fck*(1-(1-AL339/eco)^n),alpha*fck),0)</f>
      </c>
      <c r="AN339" s="30">
        <f>PM_Angle!$J$22+PM_Angle!$K$22*$C339+PM_Angle!$L$22*$B339</f>
      </c>
      <c r="AO339" s="12">
        <f>IF(AN339&gt;0,IF(AN339&lt;=eco,alpha*fck*(1-(1-AN339/eco)^n),alpha*fck),0)</f>
      </c>
      <c r="AP339" s="30">
        <f>PM_Angle!$J$23+PM_Angle!$K$23*$C339+PM_Angle!$L$23*$B339</f>
      </c>
      <c r="AQ339" s="12">
        <f>IF(AP339&gt;0,IF(AP339&lt;=eco,alpha*fck*(1-(1-AP339/eco)^n),alpha*fck),0)</f>
      </c>
      <c r="AR339" s="30">
        <f>PM_Angle!$J$24+PM_Angle!$K$24*$C339+PM_Angle!$L$24*$B339</f>
      </c>
      <c r="AS339" s="12">
        <f>IF(AR339&gt;0,IF(AR339&lt;=eco,alpha*fck*(1-(1-AR339/eco)^n),alpha*fck),0)</f>
      </c>
      <c r="AT339" s="30">
        <f>PM_Angle!$J$25+PM_Angle!$K$25*$C339+PM_Angle!$L$25*$B339</f>
      </c>
      <c r="AU339" s="12">
        <f>IF(AT339&gt;0,IF(AT339&lt;=eco,alpha*fck*(1-(1-AT339/eco)^n),alpha*fck),0)</f>
      </c>
    </row>
    <row r="340" spans="1:47" x14ac:dyDescent="0.25">
      <c r="A340">
        <f>Mesh!A337</f>
      </c>
      <c r="B340" s="12">
        <f>Mesh!B337</f>
      </c>
      <c r="C340" s="12">
        <f>Mesh!C337</f>
      </c>
      <c r="D340" s="12">
        <f>Mesh!D337</f>
      </c>
      <c r="E340" s="30">
        <f>INDEX(St_e0,Det+1)+INDEX(St_kx,Det+1)*C340+INDEX(St_ky,Det+1)*B340</f>
      </c>
      <c r="F340" s="12">
        <f>IF(E340&gt;0,IF(E340&lt;=eco,alpha*fck*(1-(1-E340/eco)^n),alpha*fck),0)</f>
      </c>
      <c r="G340" s="11">
        <f>F340*D340</f>
      </c>
      <c r="H340" s="11">
        <f>G340*C340</f>
      </c>
      <c r="I340" s="11">
        <f>G340*B340</f>
      </c>
      <c r="J340" s="30">
        <f>PM_Angle!$J$7+PM_Angle!$K$7*$C340+PM_Angle!$L$7*$B340</f>
      </c>
      <c r="K340" s="12">
        <f>IF(J340&gt;0,IF(J340&lt;=eco,alpha*fck*(1-(1-J340/eco)^n),alpha*fck),0)</f>
      </c>
      <c r="L340" s="30">
        <f>PM_Angle!$J$8+PM_Angle!$K$8*$C340+PM_Angle!$L$8*$B340</f>
      </c>
      <c r="M340" s="12">
        <f>IF(L340&gt;0,IF(L340&lt;=eco,alpha*fck*(1-(1-L340/eco)^n),alpha*fck),0)</f>
      </c>
      <c r="N340" s="30">
        <f>PM_Angle!$J$9+PM_Angle!$K$9*$C340+PM_Angle!$L$9*$B340</f>
      </c>
      <c r="O340" s="12">
        <f>IF(N340&gt;0,IF(N340&lt;=eco,alpha*fck*(1-(1-N340/eco)^n),alpha*fck),0)</f>
      </c>
      <c r="P340" s="30">
        <f>PM_Angle!$J$10+PM_Angle!$K$10*$C340+PM_Angle!$L$10*$B340</f>
      </c>
      <c r="Q340" s="12">
        <f>IF(P340&gt;0,IF(P340&lt;=eco,alpha*fck*(1-(1-P340/eco)^n),alpha*fck),0)</f>
      </c>
      <c r="R340" s="30">
        <f>PM_Angle!$J$11+PM_Angle!$K$11*$C340+PM_Angle!$L$11*$B340</f>
      </c>
      <c r="S340" s="12">
        <f>IF(R340&gt;0,IF(R340&lt;=eco,alpha*fck*(1-(1-R340/eco)^n),alpha*fck),0)</f>
      </c>
      <c r="T340" s="30">
        <f>PM_Angle!$J$12+PM_Angle!$K$12*$C340+PM_Angle!$L$12*$B340</f>
      </c>
      <c r="U340" s="12">
        <f>IF(T340&gt;0,IF(T340&lt;=eco,alpha*fck*(1-(1-T340/eco)^n),alpha*fck),0)</f>
      </c>
      <c r="V340" s="30">
        <f>PM_Angle!$J$13+PM_Angle!$K$13*$C340+PM_Angle!$L$13*$B340</f>
      </c>
      <c r="W340" s="12">
        <f>IF(V340&gt;0,IF(V340&lt;=eco,alpha*fck*(1-(1-V340/eco)^n),alpha*fck),0)</f>
      </c>
      <c r="X340" s="30">
        <f>PM_Angle!$J$14+PM_Angle!$K$14*$C340+PM_Angle!$L$14*$B340</f>
      </c>
      <c r="Y340" s="12">
        <f>IF(X340&gt;0,IF(X340&lt;=eco,alpha*fck*(1-(1-X340/eco)^n),alpha*fck),0)</f>
      </c>
      <c r="Z340" s="30">
        <f>PM_Angle!$J$15+PM_Angle!$K$15*$C340+PM_Angle!$L$15*$B340</f>
      </c>
      <c r="AA340" s="12">
        <f>IF(Z340&gt;0,IF(Z340&lt;=eco,alpha*fck*(1-(1-Z340/eco)^n),alpha*fck),0)</f>
      </c>
      <c r="AB340" s="30">
        <f>PM_Angle!$J$16+PM_Angle!$K$16*$C340+PM_Angle!$L$16*$B340</f>
      </c>
      <c r="AC340" s="12">
        <f>IF(AB340&gt;0,IF(AB340&lt;=eco,alpha*fck*(1-(1-AB340/eco)^n),alpha*fck),0)</f>
      </c>
      <c r="AD340" s="30">
        <f>PM_Angle!$J$17+PM_Angle!$K$17*$C340+PM_Angle!$L$17*$B340</f>
      </c>
      <c r="AE340" s="12">
        <f>IF(AD340&gt;0,IF(AD340&lt;=eco,alpha*fck*(1-(1-AD340/eco)^n),alpha*fck),0)</f>
      </c>
      <c r="AF340" s="30">
        <f>PM_Angle!$J$18+PM_Angle!$K$18*$C340+PM_Angle!$L$18*$B340</f>
      </c>
      <c r="AG340" s="12">
        <f>IF(AF340&gt;0,IF(AF340&lt;=eco,alpha*fck*(1-(1-AF340/eco)^n),alpha*fck),0)</f>
      </c>
      <c r="AH340" s="30">
        <f>PM_Angle!$J$19+PM_Angle!$K$19*$C340+PM_Angle!$L$19*$B340</f>
      </c>
      <c r="AI340" s="12">
        <f>IF(AH340&gt;0,IF(AH340&lt;=eco,alpha*fck*(1-(1-AH340/eco)^n),alpha*fck),0)</f>
      </c>
      <c r="AJ340" s="30">
        <f>PM_Angle!$J$20+PM_Angle!$K$20*$C340+PM_Angle!$L$20*$B340</f>
      </c>
      <c r="AK340" s="12">
        <f>IF(AJ340&gt;0,IF(AJ340&lt;=eco,alpha*fck*(1-(1-AJ340/eco)^n),alpha*fck),0)</f>
      </c>
      <c r="AL340" s="30">
        <f>PM_Angle!$J$21+PM_Angle!$K$21*$C340+PM_Angle!$L$21*$B340</f>
      </c>
      <c r="AM340" s="12">
        <f>IF(AL340&gt;0,IF(AL340&lt;=eco,alpha*fck*(1-(1-AL340/eco)^n),alpha*fck),0)</f>
      </c>
      <c r="AN340" s="30">
        <f>PM_Angle!$J$22+PM_Angle!$K$22*$C340+PM_Angle!$L$22*$B340</f>
      </c>
      <c r="AO340" s="12">
        <f>IF(AN340&gt;0,IF(AN340&lt;=eco,alpha*fck*(1-(1-AN340/eco)^n),alpha*fck),0)</f>
      </c>
      <c r="AP340" s="30">
        <f>PM_Angle!$J$23+PM_Angle!$K$23*$C340+PM_Angle!$L$23*$B340</f>
      </c>
      <c r="AQ340" s="12">
        <f>IF(AP340&gt;0,IF(AP340&lt;=eco,alpha*fck*(1-(1-AP340/eco)^n),alpha*fck),0)</f>
      </c>
      <c r="AR340" s="30">
        <f>PM_Angle!$J$24+PM_Angle!$K$24*$C340+PM_Angle!$L$24*$B340</f>
      </c>
      <c r="AS340" s="12">
        <f>IF(AR340&gt;0,IF(AR340&lt;=eco,alpha*fck*(1-(1-AR340/eco)^n),alpha*fck),0)</f>
      </c>
      <c r="AT340" s="30">
        <f>PM_Angle!$J$25+PM_Angle!$K$25*$C340+PM_Angle!$L$25*$B340</f>
      </c>
      <c r="AU340" s="12">
        <f>IF(AT340&gt;0,IF(AT340&lt;=eco,alpha*fck*(1-(1-AT340/eco)^n),alpha*fck),0)</f>
      </c>
    </row>
    <row r="341" spans="1:47" x14ac:dyDescent="0.25">
      <c r="A341">
        <f>Mesh!A338</f>
      </c>
      <c r="B341" s="12">
        <f>Mesh!B338</f>
      </c>
      <c r="C341" s="12">
        <f>Mesh!C338</f>
      </c>
      <c r="D341" s="12">
        <f>Mesh!D338</f>
      </c>
      <c r="E341" s="30">
        <f>INDEX(St_e0,Det+1)+INDEX(St_kx,Det+1)*C341+INDEX(St_ky,Det+1)*B341</f>
      </c>
      <c r="F341" s="12">
        <f>IF(E341&gt;0,IF(E341&lt;=eco,alpha*fck*(1-(1-E341/eco)^n),alpha*fck),0)</f>
      </c>
      <c r="G341" s="11">
        <f>F341*D341</f>
      </c>
      <c r="H341" s="11">
        <f>G341*C341</f>
      </c>
      <c r="I341" s="11">
        <f>G341*B341</f>
      </c>
      <c r="J341" s="30">
        <f>PM_Angle!$J$7+PM_Angle!$K$7*$C341+PM_Angle!$L$7*$B341</f>
      </c>
      <c r="K341" s="12">
        <f>IF(J341&gt;0,IF(J341&lt;=eco,alpha*fck*(1-(1-J341/eco)^n),alpha*fck),0)</f>
      </c>
      <c r="L341" s="30">
        <f>PM_Angle!$J$8+PM_Angle!$K$8*$C341+PM_Angle!$L$8*$B341</f>
      </c>
      <c r="M341" s="12">
        <f>IF(L341&gt;0,IF(L341&lt;=eco,alpha*fck*(1-(1-L341/eco)^n),alpha*fck),0)</f>
      </c>
      <c r="N341" s="30">
        <f>PM_Angle!$J$9+PM_Angle!$K$9*$C341+PM_Angle!$L$9*$B341</f>
      </c>
      <c r="O341" s="12">
        <f>IF(N341&gt;0,IF(N341&lt;=eco,alpha*fck*(1-(1-N341/eco)^n),alpha*fck),0)</f>
      </c>
      <c r="P341" s="30">
        <f>PM_Angle!$J$10+PM_Angle!$K$10*$C341+PM_Angle!$L$10*$B341</f>
      </c>
      <c r="Q341" s="12">
        <f>IF(P341&gt;0,IF(P341&lt;=eco,alpha*fck*(1-(1-P341/eco)^n),alpha*fck),0)</f>
      </c>
      <c r="R341" s="30">
        <f>PM_Angle!$J$11+PM_Angle!$K$11*$C341+PM_Angle!$L$11*$B341</f>
      </c>
      <c r="S341" s="12">
        <f>IF(R341&gt;0,IF(R341&lt;=eco,alpha*fck*(1-(1-R341/eco)^n),alpha*fck),0)</f>
      </c>
      <c r="T341" s="30">
        <f>PM_Angle!$J$12+PM_Angle!$K$12*$C341+PM_Angle!$L$12*$B341</f>
      </c>
      <c r="U341" s="12">
        <f>IF(T341&gt;0,IF(T341&lt;=eco,alpha*fck*(1-(1-T341/eco)^n),alpha*fck),0)</f>
      </c>
      <c r="V341" s="30">
        <f>PM_Angle!$J$13+PM_Angle!$K$13*$C341+PM_Angle!$L$13*$B341</f>
      </c>
      <c r="W341" s="12">
        <f>IF(V341&gt;0,IF(V341&lt;=eco,alpha*fck*(1-(1-V341/eco)^n),alpha*fck),0)</f>
      </c>
      <c r="X341" s="30">
        <f>PM_Angle!$J$14+PM_Angle!$K$14*$C341+PM_Angle!$L$14*$B341</f>
      </c>
      <c r="Y341" s="12">
        <f>IF(X341&gt;0,IF(X341&lt;=eco,alpha*fck*(1-(1-X341/eco)^n),alpha*fck),0)</f>
      </c>
      <c r="Z341" s="30">
        <f>PM_Angle!$J$15+PM_Angle!$K$15*$C341+PM_Angle!$L$15*$B341</f>
      </c>
      <c r="AA341" s="12">
        <f>IF(Z341&gt;0,IF(Z341&lt;=eco,alpha*fck*(1-(1-Z341/eco)^n),alpha*fck),0)</f>
      </c>
      <c r="AB341" s="30">
        <f>PM_Angle!$J$16+PM_Angle!$K$16*$C341+PM_Angle!$L$16*$B341</f>
      </c>
      <c r="AC341" s="12">
        <f>IF(AB341&gt;0,IF(AB341&lt;=eco,alpha*fck*(1-(1-AB341/eco)^n),alpha*fck),0)</f>
      </c>
      <c r="AD341" s="30">
        <f>PM_Angle!$J$17+PM_Angle!$K$17*$C341+PM_Angle!$L$17*$B341</f>
      </c>
      <c r="AE341" s="12">
        <f>IF(AD341&gt;0,IF(AD341&lt;=eco,alpha*fck*(1-(1-AD341/eco)^n),alpha*fck),0)</f>
      </c>
      <c r="AF341" s="30">
        <f>PM_Angle!$J$18+PM_Angle!$K$18*$C341+PM_Angle!$L$18*$B341</f>
      </c>
      <c r="AG341" s="12">
        <f>IF(AF341&gt;0,IF(AF341&lt;=eco,alpha*fck*(1-(1-AF341/eco)^n),alpha*fck),0)</f>
      </c>
      <c r="AH341" s="30">
        <f>PM_Angle!$J$19+PM_Angle!$K$19*$C341+PM_Angle!$L$19*$B341</f>
      </c>
      <c r="AI341" s="12">
        <f>IF(AH341&gt;0,IF(AH341&lt;=eco,alpha*fck*(1-(1-AH341/eco)^n),alpha*fck),0)</f>
      </c>
      <c r="AJ341" s="30">
        <f>PM_Angle!$J$20+PM_Angle!$K$20*$C341+PM_Angle!$L$20*$B341</f>
      </c>
      <c r="AK341" s="12">
        <f>IF(AJ341&gt;0,IF(AJ341&lt;=eco,alpha*fck*(1-(1-AJ341/eco)^n),alpha*fck),0)</f>
      </c>
      <c r="AL341" s="30">
        <f>PM_Angle!$J$21+PM_Angle!$K$21*$C341+PM_Angle!$L$21*$B341</f>
      </c>
      <c r="AM341" s="12">
        <f>IF(AL341&gt;0,IF(AL341&lt;=eco,alpha*fck*(1-(1-AL341/eco)^n),alpha*fck),0)</f>
      </c>
      <c r="AN341" s="30">
        <f>PM_Angle!$J$22+PM_Angle!$K$22*$C341+PM_Angle!$L$22*$B341</f>
      </c>
      <c r="AO341" s="12">
        <f>IF(AN341&gt;0,IF(AN341&lt;=eco,alpha*fck*(1-(1-AN341/eco)^n),alpha*fck),0)</f>
      </c>
      <c r="AP341" s="30">
        <f>PM_Angle!$J$23+PM_Angle!$K$23*$C341+PM_Angle!$L$23*$B341</f>
      </c>
      <c r="AQ341" s="12">
        <f>IF(AP341&gt;0,IF(AP341&lt;=eco,alpha*fck*(1-(1-AP341/eco)^n),alpha*fck),0)</f>
      </c>
      <c r="AR341" s="30">
        <f>PM_Angle!$J$24+PM_Angle!$K$24*$C341+PM_Angle!$L$24*$B341</f>
      </c>
      <c r="AS341" s="12">
        <f>IF(AR341&gt;0,IF(AR341&lt;=eco,alpha*fck*(1-(1-AR341/eco)^n),alpha*fck),0)</f>
      </c>
      <c r="AT341" s="30">
        <f>PM_Angle!$J$25+PM_Angle!$K$25*$C341+PM_Angle!$L$25*$B341</f>
      </c>
      <c r="AU341" s="12">
        <f>IF(AT341&gt;0,IF(AT341&lt;=eco,alpha*fck*(1-(1-AT341/eco)^n),alpha*fck),0)</f>
      </c>
    </row>
    <row r="342" spans="1:47" x14ac:dyDescent="0.25">
      <c r="A342">
        <f>Mesh!A339</f>
      </c>
      <c r="B342" s="12">
        <f>Mesh!B339</f>
      </c>
      <c r="C342" s="12">
        <f>Mesh!C339</f>
      </c>
      <c r="D342" s="12">
        <f>Mesh!D339</f>
      </c>
      <c r="E342" s="30">
        <f>INDEX(St_e0,Det+1)+INDEX(St_kx,Det+1)*C342+INDEX(St_ky,Det+1)*B342</f>
      </c>
      <c r="F342" s="12">
        <f>IF(E342&gt;0,IF(E342&lt;=eco,alpha*fck*(1-(1-E342/eco)^n),alpha*fck),0)</f>
      </c>
      <c r="G342" s="11">
        <f>F342*D342</f>
      </c>
      <c r="H342" s="11">
        <f>G342*C342</f>
      </c>
      <c r="I342" s="11">
        <f>G342*B342</f>
      </c>
      <c r="J342" s="30">
        <f>PM_Angle!$J$7+PM_Angle!$K$7*$C342+PM_Angle!$L$7*$B342</f>
      </c>
      <c r="K342" s="12">
        <f>IF(J342&gt;0,IF(J342&lt;=eco,alpha*fck*(1-(1-J342/eco)^n),alpha*fck),0)</f>
      </c>
      <c r="L342" s="30">
        <f>PM_Angle!$J$8+PM_Angle!$K$8*$C342+PM_Angle!$L$8*$B342</f>
      </c>
      <c r="M342" s="12">
        <f>IF(L342&gt;0,IF(L342&lt;=eco,alpha*fck*(1-(1-L342/eco)^n),alpha*fck),0)</f>
      </c>
      <c r="N342" s="30">
        <f>PM_Angle!$J$9+PM_Angle!$K$9*$C342+PM_Angle!$L$9*$B342</f>
      </c>
      <c r="O342" s="12">
        <f>IF(N342&gt;0,IF(N342&lt;=eco,alpha*fck*(1-(1-N342/eco)^n),alpha*fck),0)</f>
      </c>
      <c r="P342" s="30">
        <f>PM_Angle!$J$10+PM_Angle!$K$10*$C342+PM_Angle!$L$10*$B342</f>
      </c>
      <c r="Q342" s="12">
        <f>IF(P342&gt;0,IF(P342&lt;=eco,alpha*fck*(1-(1-P342/eco)^n),alpha*fck),0)</f>
      </c>
      <c r="R342" s="30">
        <f>PM_Angle!$J$11+PM_Angle!$K$11*$C342+PM_Angle!$L$11*$B342</f>
      </c>
      <c r="S342" s="12">
        <f>IF(R342&gt;0,IF(R342&lt;=eco,alpha*fck*(1-(1-R342/eco)^n),alpha*fck),0)</f>
      </c>
      <c r="T342" s="30">
        <f>PM_Angle!$J$12+PM_Angle!$K$12*$C342+PM_Angle!$L$12*$B342</f>
      </c>
      <c r="U342" s="12">
        <f>IF(T342&gt;0,IF(T342&lt;=eco,alpha*fck*(1-(1-T342/eco)^n),alpha*fck),0)</f>
      </c>
      <c r="V342" s="30">
        <f>PM_Angle!$J$13+PM_Angle!$K$13*$C342+PM_Angle!$L$13*$B342</f>
      </c>
      <c r="W342" s="12">
        <f>IF(V342&gt;0,IF(V342&lt;=eco,alpha*fck*(1-(1-V342/eco)^n),alpha*fck),0)</f>
      </c>
      <c r="X342" s="30">
        <f>PM_Angle!$J$14+PM_Angle!$K$14*$C342+PM_Angle!$L$14*$B342</f>
      </c>
      <c r="Y342" s="12">
        <f>IF(X342&gt;0,IF(X342&lt;=eco,alpha*fck*(1-(1-X342/eco)^n),alpha*fck),0)</f>
      </c>
      <c r="Z342" s="30">
        <f>PM_Angle!$J$15+PM_Angle!$K$15*$C342+PM_Angle!$L$15*$B342</f>
      </c>
      <c r="AA342" s="12">
        <f>IF(Z342&gt;0,IF(Z342&lt;=eco,alpha*fck*(1-(1-Z342/eco)^n),alpha*fck),0)</f>
      </c>
      <c r="AB342" s="30">
        <f>PM_Angle!$J$16+PM_Angle!$K$16*$C342+PM_Angle!$L$16*$B342</f>
      </c>
      <c r="AC342" s="12">
        <f>IF(AB342&gt;0,IF(AB342&lt;=eco,alpha*fck*(1-(1-AB342/eco)^n),alpha*fck),0)</f>
      </c>
      <c r="AD342" s="30">
        <f>PM_Angle!$J$17+PM_Angle!$K$17*$C342+PM_Angle!$L$17*$B342</f>
      </c>
      <c r="AE342" s="12">
        <f>IF(AD342&gt;0,IF(AD342&lt;=eco,alpha*fck*(1-(1-AD342/eco)^n),alpha*fck),0)</f>
      </c>
      <c r="AF342" s="30">
        <f>PM_Angle!$J$18+PM_Angle!$K$18*$C342+PM_Angle!$L$18*$B342</f>
      </c>
      <c r="AG342" s="12">
        <f>IF(AF342&gt;0,IF(AF342&lt;=eco,alpha*fck*(1-(1-AF342/eco)^n),alpha*fck),0)</f>
      </c>
      <c r="AH342" s="30">
        <f>PM_Angle!$J$19+PM_Angle!$K$19*$C342+PM_Angle!$L$19*$B342</f>
      </c>
      <c r="AI342" s="12">
        <f>IF(AH342&gt;0,IF(AH342&lt;=eco,alpha*fck*(1-(1-AH342/eco)^n),alpha*fck),0)</f>
      </c>
      <c r="AJ342" s="30">
        <f>PM_Angle!$J$20+PM_Angle!$K$20*$C342+PM_Angle!$L$20*$B342</f>
      </c>
      <c r="AK342" s="12">
        <f>IF(AJ342&gt;0,IF(AJ342&lt;=eco,alpha*fck*(1-(1-AJ342/eco)^n),alpha*fck),0)</f>
      </c>
      <c r="AL342" s="30">
        <f>PM_Angle!$J$21+PM_Angle!$K$21*$C342+PM_Angle!$L$21*$B342</f>
      </c>
      <c r="AM342" s="12">
        <f>IF(AL342&gt;0,IF(AL342&lt;=eco,alpha*fck*(1-(1-AL342/eco)^n),alpha*fck),0)</f>
      </c>
      <c r="AN342" s="30">
        <f>PM_Angle!$J$22+PM_Angle!$K$22*$C342+PM_Angle!$L$22*$B342</f>
      </c>
      <c r="AO342" s="12">
        <f>IF(AN342&gt;0,IF(AN342&lt;=eco,alpha*fck*(1-(1-AN342/eco)^n),alpha*fck),0)</f>
      </c>
      <c r="AP342" s="30">
        <f>PM_Angle!$J$23+PM_Angle!$K$23*$C342+PM_Angle!$L$23*$B342</f>
      </c>
      <c r="AQ342" s="12">
        <f>IF(AP342&gt;0,IF(AP342&lt;=eco,alpha*fck*(1-(1-AP342/eco)^n),alpha*fck),0)</f>
      </c>
      <c r="AR342" s="30">
        <f>PM_Angle!$J$24+PM_Angle!$K$24*$C342+PM_Angle!$L$24*$B342</f>
      </c>
      <c r="AS342" s="12">
        <f>IF(AR342&gt;0,IF(AR342&lt;=eco,alpha*fck*(1-(1-AR342/eco)^n),alpha*fck),0)</f>
      </c>
      <c r="AT342" s="30">
        <f>PM_Angle!$J$25+PM_Angle!$K$25*$C342+PM_Angle!$L$25*$B342</f>
      </c>
      <c r="AU342" s="12">
        <f>IF(AT342&gt;0,IF(AT342&lt;=eco,alpha*fck*(1-(1-AT342/eco)^n),alpha*fck),0)</f>
      </c>
    </row>
    <row r="343" spans="1:47" x14ac:dyDescent="0.25">
      <c r="A343">
        <f>Mesh!A340</f>
      </c>
      <c r="B343" s="12">
        <f>Mesh!B340</f>
      </c>
      <c r="C343" s="12">
        <f>Mesh!C340</f>
      </c>
      <c r="D343" s="12">
        <f>Mesh!D340</f>
      </c>
      <c r="E343" s="30">
        <f>INDEX(St_e0,Det+1)+INDEX(St_kx,Det+1)*C343+INDEX(St_ky,Det+1)*B343</f>
      </c>
      <c r="F343" s="12">
        <f>IF(E343&gt;0,IF(E343&lt;=eco,alpha*fck*(1-(1-E343/eco)^n),alpha*fck),0)</f>
      </c>
      <c r="G343" s="11">
        <f>F343*D343</f>
      </c>
      <c r="H343" s="11">
        <f>G343*C343</f>
      </c>
      <c r="I343" s="11">
        <f>G343*B343</f>
      </c>
      <c r="J343" s="30">
        <f>PM_Angle!$J$7+PM_Angle!$K$7*$C343+PM_Angle!$L$7*$B343</f>
      </c>
      <c r="K343" s="12">
        <f>IF(J343&gt;0,IF(J343&lt;=eco,alpha*fck*(1-(1-J343/eco)^n),alpha*fck),0)</f>
      </c>
      <c r="L343" s="30">
        <f>PM_Angle!$J$8+PM_Angle!$K$8*$C343+PM_Angle!$L$8*$B343</f>
      </c>
      <c r="M343" s="12">
        <f>IF(L343&gt;0,IF(L343&lt;=eco,alpha*fck*(1-(1-L343/eco)^n),alpha*fck),0)</f>
      </c>
      <c r="N343" s="30">
        <f>PM_Angle!$J$9+PM_Angle!$K$9*$C343+PM_Angle!$L$9*$B343</f>
      </c>
      <c r="O343" s="12">
        <f>IF(N343&gt;0,IF(N343&lt;=eco,alpha*fck*(1-(1-N343/eco)^n),alpha*fck),0)</f>
      </c>
      <c r="P343" s="30">
        <f>PM_Angle!$J$10+PM_Angle!$K$10*$C343+PM_Angle!$L$10*$B343</f>
      </c>
      <c r="Q343" s="12">
        <f>IF(P343&gt;0,IF(P343&lt;=eco,alpha*fck*(1-(1-P343/eco)^n),alpha*fck),0)</f>
      </c>
      <c r="R343" s="30">
        <f>PM_Angle!$J$11+PM_Angle!$K$11*$C343+PM_Angle!$L$11*$B343</f>
      </c>
      <c r="S343" s="12">
        <f>IF(R343&gt;0,IF(R343&lt;=eco,alpha*fck*(1-(1-R343/eco)^n),alpha*fck),0)</f>
      </c>
      <c r="T343" s="30">
        <f>PM_Angle!$J$12+PM_Angle!$K$12*$C343+PM_Angle!$L$12*$B343</f>
      </c>
      <c r="U343" s="12">
        <f>IF(T343&gt;0,IF(T343&lt;=eco,alpha*fck*(1-(1-T343/eco)^n),alpha*fck),0)</f>
      </c>
      <c r="V343" s="30">
        <f>PM_Angle!$J$13+PM_Angle!$K$13*$C343+PM_Angle!$L$13*$B343</f>
      </c>
      <c r="W343" s="12">
        <f>IF(V343&gt;0,IF(V343&lt;=eco,alpha*fck*(1-(1-V343/eco)^n),alpha*fck),0)</f>
      </c>
      <c r="X343" s="30">
        <f>PM_Angle!$J$14+PM_Angle!$K$14*$C343+PM_Angle!$L$14*$B343</f>
      </c>
      <c r="Y343" s="12">
        <f>IF(X343&gt;0,IF(X343&lt;=eco,alpha*fck*(1-(1-X343/eco)^n),alpha*fck),0)</f>
      </c>
      <c r="Z343" s="30">
        <f>PM_Angle!$J$15+PM_Angle!$K$15*$C343+PM_Angle!$L$15*$B343</f>
      </c>
      <c r="AA343" s="12">
        <f>IF(Z343&gt;0,IF(Z343&lt;=eco,alpha*fck*(1-(1-Z343/eco)^n),alpha*fck),0)</f>
      </c>
      <c r="AB343" s="30">
        <f>PM_Angle!$J$16+PM_Angle!$K$16*$C343+PM_Angle!$L$16*$B343</f>
      </c>
      <c r="AC343" s="12">
        <f>IF(AB343&gt;0,IF(AB343&lt;=eco,alpha*fck*(1-(1-AB343/eco)^n),alpha*fck),0)</f>
      </c>
      <c r="AD343" s="30">
        <f>PM_Angle!$J$17+PM_Angle!$K$17*$C343+PM_Angle!$L$17*$B343</f>
      </c>
      <c r="AE343" s="12">
        <f>IF(AD343&gt;0,IF(AD343&lt;=eco,alpha*fck*(1-(1-AD343/eco)^n),alpha*fck),0)</f>
      </c>
      <c r="AF343" s="30">
        <f>PM_Angle!$J$18+PM_Angle!$K$18*$C343+PM_Angle!$L$18*$B343</f>
      </c>
      <c r="AG343" s="12">
        <f>IF(AF343&gt;0,IF(AF343&lt;=eco,alpha*fck*(1-(1-AF343/eco)^n),alpha*fck),0)</f>
      </c>
      <c r="AH343" s="30">
        <f>PM_Angle!$J$19+PM_Angle!$K$19*$C343+PM_Angle!$L$19*$B343</f>
      </c>
      <c r="AI343" s="12">
        <f>IF(AH343&gt;0,IF(AH343&lt;=eco,alpha*fck*(1-(1-AH343/eco)^n),alpha*fck),0)</f>
      </c>
      <c r="AJ343" s="30">
        <f>PM_Angle!$J$20+PM_Angle!$K$20*$C343+PM_Angle!$L$20*$B343</f>
      </c>
      <c r="AK343" s="12">
        <f>IF(AJ343&gt;0,IF(AJ343&lt;=eco,alpha*fck*(1-(1-AJ343/eco)^n),alpha*fck),0)</f>
      </c>
      <c r="AL343" s="30">
        <f>PM_Angle!$J$21+PM_Angle!$K$21*$C343+PM_Angle!$L$21*$B343</f>
      </c>
      <c r="AM343" s="12">
        <f>IF(AL343&gt;0,IF(AL343&lt;=eco,alpha*fck*(1-(1-AL343/eco)^n),alpha*fck),0)</f>
      </c>
      <c r="AN343" s="30">
        <f>PM_Angle!$J$22+PM_Angle!$K$22*$C343+PM_Angle!$L$22*$B343</f>
      </c>
      <c r="AO343" s="12">
        <f>IF(AN343&gt;0,IF(AN343&lt;=eco,alpha*fck*(1-(1-AN343/eco)^n),alpha*fck),0)</f>
      </c>
      <c r="AP343" s="30">
        <f>PM_Angle!$J$23+PM_Angle!$K$23*$C343+PM_Angle!$L$23*$B343</f>
      </c>
      <c r="AQ343" s="12">
        <f>IF(AP343&gt;0,IF(AP343&lt;=eco,alpha*fck*(1-(1-AP343/eco)^n),alpha*fck),0)</f>
      </c>
      <c r="AR343" s="30">
        <f>PM_Angle!$J$24+PM_Angle!$K$24*$C343+PM_Angle!$L$24*$B343</f>
      </c>
      <c r="AS343" s="12">
        <f>IF(AR343&gt;0,IF(AR343&lt;=eco,alpha*fck*(1-(1-AR343/eco)^n),alpha*fck),0)</f>
      </c>
      <c r="AT343" s="30">
        <f>PM_Angle!$J$25+PM_Angle!$K$25*$C343+PM_Angle!$L$25*$B343</f>
      </c>
      <c r="AU343" s="12">
        <f>IF(AT343&gt;0,IF(AT343&lt;=eco,alpha*fck*(1-(1-AT343/eco)^n),alpha*fck),0)</f>
      </c>
    </row>
    <row r="344" spans="1:47" x14ac:dyDescent="0.25">
      <c r="A344">
        <f>Mesh!A341</f>
      </c>
      <c r="B344" s="12">
        <f>Mesh!B341</f>
      </c>
      <c r="C344" s="12">
        <f>Mesh!C341</f>
      </c>
      <c r="D344" s="12">
        <f>Mesh!D341</f>
      </c>
      <c r="E344" s="30">
        <f>INDEX(St_e0,Det+1)+INDEX(St_kx,Det+1)*C344+INDEX(St_ky,Det+1)*B344</f>
      </c>
      <c r="F344" s="12">
        <f>IF(E344&gt;0,IF(E344&lt;=eco,alpha*fck*(1-(1-E344/eco)^n),alpha*fck),0)</f>
      </c>
      <c r="G344" s="11">
        <f>F344*D344</f>
      </c>
      <c r="H344" s="11">
        <f>G344*C344</f>
      </c>
      <c r="I344" s="11">
        <f>G344*B344</f>
      </c>
      <c r="J344" s="30">
        <f>PM_Angle!$J$7+PM_Angle!$K$7*$C344+PM_Angle!$L$7*$B344</f>
      </c>
      <c r="K344" s="12">
        <f>IF(J344&gt;0,IF(J344&lt;=eco,alpha*fck*(1-(1-J344/eco)^n),alpha*fck),0)</f>
      </c>
      <c r="L344" s="30">
        <f>PM_Angle!$J$8+PM_Angle!$K$8*$C344+PM_Angle!$L$8*$B344</f>
      </c>
      <c r="M344" s="12">
        <f>IF(L344&gt;0,IF(L344&lt;=eco,alpha*fck*(1-(1-L344/eco)^n),alpha*fck),0)</f>
      </c>
      <c r="N344" s="30">
        <f>PM_Angle!$J$9+PM_Angle!$K$9*$C344+PM_Angle!$L$9*$B344</f>
      </c>
      <c r="O344" s="12">
        <f>IF(N344&gt;0,IF(N344&lt;=eco,alpha*fck*(1-(1-N344/eco)^n),alpha*fck),0)</f>
      </c>
      <c r="P344" s="30">
        <f>PM_Angle!$J$10+PM_Angle!$K$10*$C344+PM_Angle!$L$10*$B344</f>
      </c>
      <c r="Q344" s="12">
        <f>IF(P344&gt;0,IF(P344&lt;=eco,alpha*fck*(1-(1-P344/eco)^n),alpha*fck),0)</f>
      </c>
      <c r="R344" s="30">
        <f>PM_Angle!$J$11+PM_Angle!$K$11*$C344+PM_Angle!$L$11*$B344</f>
      </c>
      <c r="S344" s="12">
        <f>IF(R344&gt;0,IF(R344&lt;=eco,alpha*fck*(1-(1-R344/eco)^n),alpha*fck),0)</f>
      </c>
      <c r="T344" s="30">
        <f>PM_Angle!$J$12+PM_Angle!$K$12*$C344+PM_Angle!$L$12*$B344</f>
      </c>
      <c r="U344" s="12">
        <f>IF(T344&gt;0,IF(T344&lt;=eco,alpha*fck*(1-(1-T344/eco)^n),alpha*fck),0)</f>
      </c>
      <c r="V344" s="30">
        <f>PM_Angle!$J$13+PM_Angle!$K$13*$C344+PM_Angle!$L$13*$B344</f>
      </c>
      <c r="W344" s="12">
        <f>IF(V344&gt;0,IF(V344&lt;=eco,alpha*fck*(1-(1-V344/eco)^n),alpha*fck),0)</f>
      </c>
      <c r="X344" s="30">
        <f>PM_Angle!$J$14+PM_Angle!$K$14*$C344+PM_Angle!$L$14*$B344</f>
      </c>
      <c r="Y344" s="12">
        <f>IF(X344&gt;0,IF(X344&lt;=eco,alpha*fck*(1-(1-X344/eco)^n),alpha*fck),0)</f>
      </c>
      <c r="Z344" s="30">
        <f>PM_Angle!$J$15+PM_Angle!$K$15*$C344+PM_Angle!$L$15*$B344</f>
      </c>
      <c r="AA344" s="12">
        <f>IF(Z344&gt;0,IF(Z344&lt;=eco,alpha*fck*(1-(1-Z344/eco)^n),alpha*fck),0)</f>
      </c>
      <c r="AB344" s="30">
        <f>PM_Angle!$J$16+PM_Angle!$K$16*$C344+PM_Angle!$L$16*$B344</f>
      </c>
      <c r="AC344" s="12">
        <f>IF(AB344&gt;0,IF(AB344&lt;=eco,alpha*fck*(1-(1-AB344/eco)^n),alpha*fck),0)</f>
      </c>
      <c r="AD344" s="30">
        <f>PM_Angle!$J$17+PM_Angle!$K$17*$C344+PM_Angle!$L$17*$B344</f>
      </c>
      <c r="AE344" s="12">
        <f>IF(AD344&gt;0,IF(AD344&lt;=eco,alpha*fck*(1-(1-AD344/eco)^n),alpha*fck),0)</f>
      </c>
      <c r="AF344" s="30">
        <f>PM_Angle!$J$18+PM_Angle!$K$18*$C344+PM_Angle!$L$18*$B344</f>
      </c>
      <c r="AG344" s="12">
        <f>IF(AF344&gt;0,IF(AF344&lt;=eco,alpha*fck*(1-(1-AF344/eco)^n),alpha*fck),0)</f>
      </c>
      <c r="AH344" s="30">
        <f>PM_Angle!$J$19+PM_Angle!$K$19*$C344+PM_Angle!$L$19*$B344</f>
      </c>
      <c r="AI344" s="12">
        <f>IF(AH344&gt;0,IF(AH344&lt;=eco,alpha*fck*(1-(1-AH344/eco)^n),alpha*fck),0)</f>
      </c>
      <c r="AJ344" s="30">
        <f>PM_Angle!$J$20+PM_Angle!$K$20*$C344+PM_Angle!$L$20*$B344</f>
      </c>
      <c r="AK344" s="12">
        <f>IF(AJ344&gt;0,IF(AJ344&lt;=eco,alpha*fck*(1-(1-AJ344/eco)^n),alpha*fck),0)</f>
      </c>
      <c r="AL344" s="30">
        <f>PM_Angle!$J$21+PM_Angle!$K$21*$C344+PM_Angle!$L$21*$B344</f>
      </c>
      <c r="AM344" s="12">
        <f>IF(AL344&gt;0,IF(AL344&lt;=eco,alpha*fck*(1-(1-AL344/eco)^n),alpha*fck),0)</f>
      </c>
      <c r="AN344" s="30">
        <f>PM_Angle!$J$22+PM_Angle!$K$22*$C344+PM_Angle!$L$22*$B344</f>
      </c>
      <c r="AO344" s="12">
        <f>IF(AN344&gt;0,IF(AN344&lt;=eco,alpha*fck*(1-(1-AN344/eco)^n),alpha*fck),0)</f>
      </c>
      <c r="AP344" s="30">
        <f>PM_Angle!$J$23+PM_Angle!$K$23*$C344+PM_Angle!$L$23*$B344</f>
      </c>
      <c r="AQ344" s="12">
        <f>IF(AP344&gt;0,IF(AP344&lt;=eco,alpha*fck*(1-(1-AP344/eco)^n),alpha*fck),0)</f>
      </c>
      <c r="AR344" s="30">
        <f>PM_Angle!$J$24+PM_Angle!$K$24*$C344+PM_Angle!$L$24*$B344</f>
      </c>
      <c r="AS344" s="12">
        <f>IF(AR344&gt;0,IF(AR344&lt;=eco,alpha*fck*(1-(1-AR344/eco)^n),alpha*fck),0)</f>
      </c>
      <c r="AT344" s="30">
        <f>PM_Angle!$J$25+PM_Angle!$K$25*$C344+PM_Angle!$L$25*$B344</f>
      </c>
      <c r="AU344" s="12">
        <f>IF(AT344&gt;0,IF(AT344&lt;=eco,alpha*fck*(1-(1-AT344/eco)^n),alpha*fck),0)</f>
      </c>
    </row>
    <row r="345" spans="1:47" x14ac:dyDescent="0.25">
      <c r="A345">
        <f>Mesh!A342</f>
      </c>
      <c r="B345" s="12">
        <f>Mesh!B342</f>
      </c>
      <c r="C345" s="12">
        <f>Mesh!C342</f>
      </c>
      <c r="D345" s="12">
        <f>Mesh!D342</f>
      </c>
      <c r="E345" s="30">
        <f>INDEX(St_e0,Det+1)+INDEX(St_kx,Det+1)*C345+INDEX(St_ky,Det+1)*B345</f>
      </c>
      <c r="F345" s="12">
        <f>IF(E345&gt;0,IF(E345&lt;=eco,alpha*fck*(1-(1-E345/eco)^n),alpha*fck),0)</f>
      </c>
      <c r="G345" s="11">
        <f>F345*D345</f>
      </c>
      <c r="H345" s="11">
        <f>G345*C345</f>
      </c>
      <c r="I345" s="11">
        <f>G345*B345</f>
      </c>
      <c r="J345" s="30">
        <f>PM_Angle!$J$7+PM_Angle!$K$7*$C345+PM_Angle!$L$7*$B345</f>
      </c>
      <c r="K345" s="12">
        <f>IF(J345&gt;0,IF(J345&lt;=eco,alpha*fck*(1-(1-J345/eco)^n),alpha*fck),0)</f>
      </c>
      <c r="L345" s="30">
        <f>PM_Angle!$J$8+PM_Angle!$K$8*$C345+PM_Angle!$L$8*$B345</f>
      </c>
      <c r="M345" s="12">
        <f>IF(L345&gt;0,IF(L345&lt;=eco,alpha*fck*(1-(1-L345/eco)^n),alpha*fck),0)</f>
      </c>
      <c r="N345" s="30">
        <f>PM_Angle!$J$9+PM_Angle!$K$9*$C345+PM_Angle!$L$9*$B345</f>
      </c>
      <c r="O345" s="12">
        <f>IF(N345&gt;0,IF(N345&lt;=eco,alpha*fck*(1-(1-N345/eco)^n),alpha*fck),0)</f>
      </c>
      <c r="P345" s="30">
        <f>PM_Angle!$J$10+PM_Angle!$K$10*$C345+PM_Angle!$L$10*$B345</f>
      </c>
      <c r="Q345" s="12">
        <f>IF(P345&gt;0,IF(P345&lt;=eco,alpha*fck*(1-(1-P345/eco)^n),alpha*fck),0)</f>
      </c>
      <c r="R345" s="30">
        <f>PM_Angle!$J$11+PM_Angle!$K$11*$C345+PM_Angle!$L$11*$B345</f>
      </c>
      <c r="S345" s="12">
        <f>IF(R345&gt;0,IF(R345&lt;=eco,alpha*fck*(1-(1-R345/eco)^n),alpha*fck),0)</f>
      </c>
      <c r="T345" s="30">
        <f>PM_Angle!$J$12+PM_Angle!$K$12*$C345+PM_Angle!$L$12*$B345</f>
      </c>
      <c r="U345" s="12">
        <f>IF(T345&gt;0,IF(T345&lt;=eco,alpha*fck*(1-(1-T345/eco)^n),alpha*fck),0)</f>
      </c>
      <c r="V345" s="30">
        <f>PM_Angle!$J$13+PM_Angle!$K$13*$C345+PM_Angle!$L$13*$B345</f>
      </c>
      <c r="W345" s="12">
        <f>IF(V345&gt;0,IF(V345&lt;=eco,alpha*fck*(1-(1-V345/eco)^n),alpha*fck),0)</f>
      </c>
      <c r="X345" s="30">
        <f>PM_Angle!$J$14+PM_Angle!$K$14*$C345+PM_Angle!$L$14*$B345</f>
      </c>
      <c r="Y345" s="12">
        <f>IF(X345&gt;0,IF(X345&lt;=eco,alpha*fck*(1-(1-X345/eco)^n),alpha*fck),0)</f>
      </c>
      <c r="Z345" s="30">
        <f>PM_Angle!$J$15+PM_Angle!$K$15*$C345+PM_Angle!$L$15*$B345</f>
      </c>
      <c r="AA345" s="12">
        <f>IF(Z345&gt;0,IF(Z345&lt;=eco,alpha*fck*(1-(1-Z345/eco)^n),alpha*fck),0)</f>
      </c>
      <c r="AB345" s="30">
        <f>PM_Angle!$J$16+PM_Angle!$K$16*$C345+PM_Angle!$L$16*$B345</f>
      </c>
      <c r="AC345" s="12">
        <f>IF(AB345&gt;0,IF(AB345&lt;=eco,alpha*fck*(1-(1-AB345/eco)^n),alpha*fck),0)</f>
      </c>
      <c r="AD345" s="30">
        <f>PM_Angle!$J$17+PM_Angle!$K$17*$C345+PM_Angle!$L$17*$B345</f>
      </c>
      <c r="AE345" s="12">
        <f>IF(AD345&gt;0,IF(AD345&lt;=eco,alpha*fck*(1-(1-AD345/eco)^n),alpha*fck),0)</f>
      </c>
      <c r="AF345" s="30">
        <f>PM_Angle!$J$18+PM_Angle!$K$18*$C345+PM_Angle!$L$18*$B345</f>
      </c>
      <c r="AG345" s="12">
        <f>IF(AF345&gt;0,IF(AF345&lt;=eco,alpha*fck*(1-(1-AF345/eco)^n),alpha*fck),0)</f>
      </c>
      <c r="AH345" s="30">
        <f>PM_Angle!$J$19+PM_Angle!$K$19*$C345+PM_Angle!$L$19*$B345</f>
      </c>
      <c r="AI345" s="12">
        <f>IF(AH345&gt;0,IF(AH345&lt;=eco,alpha*fck*(1-(1-AH345/eco)^n),alpha*fck),0)</f>
      </c>
      <c r="AJ345" s="30">
        <f>PM_Angle!$J$20+PM_Angle!$K$20*$C345+PM_Angle!$L$20*$B345</f>
      </c>
      <c r="AK345" s="12">
        <f>IF(AJ345&gt;0,IF(AJ345&lt;=eco,alpha*fck*(1-(1-AJ345/eco)^n),alpha*fck),0)</f>
      </c>
      <c r="AL345" s="30">
        <f>PM_Angle!$J$21+PM_Angle!$K$21*$C345+PM_Angle!$L$21*$B345</f>
      </c>
      <c r="AM345" s="12">
        <f>IF(AL345&gt;0,IF(AL345&lt;=eco,alpha*fck*(1-(1-AL345/eco)^n),alpha*fck),0)</f>
      </c>
      <c r="AN345" s="30">
        <f>PM_Angle!$J$22+PM_Angle!$K$22*$C345+PM_Angle!$L$22*$B345</f>
      </c>
      <c r="AO345" s="12">
        <f>IF(AN345&gt;0,IF(AN345&lt;=eco,alpha*fck*(1-(1-AN345/eco)^n),alpha*fck),0)</f>
      </c>
      <c r="AP345" s="30">
        <f>PM_Angle!$J$23+PM_Angle!$K$23*$C345+PM_Angle!$L$23*$B345</f>
      </c>
      <c r="AQ345" s="12">
        <f>IF(AP345&gt;0,IF(AP345&lt;=eco,alpha*fck*(1-(1-AP345/eco)^n),alpha*fck),0)</f>
      </c>
      <c r="AR345" s="30">
        <f>PM_Angle!$J$24+PM_Angle!$K$24*$C345+PM_Angle!$L$24*$B345</f>
      </c>
      <c r="AS345" s="12">
        <f>IF(AR345&gt;0,IF(AR345&lt;=eco,alpha*fck*(1-(1-AR345/eco)^n),alpha*fck),0)</f>
      </c>
      <c r="AT345" s="30">
        <f>PM_Angle!$J$25+PM_Angle!$K$25*$C345+PM_Angle!$L$25*$B345</f>
      </c>
      <c r="AU345" s="12">
        <f>IF(AT345&gt;0,IF(AT345&lt;=eco,alpha*fck*(1-(1-AT345/eco)^n),alpha*fck),0)</f>
      </c>
    </row>
    <row r="346" spans="1:47" x14ac:dyDescent="0.25">
      <c r="A346">
        <f>Mesh!A343</f>
      </c>
      <c r="B346" s="12">
        <f>Mesh!B343</f>
      </c>
      <c r="C346" s="12">
        <f>Mesh!C343</f>
      </c>
      <c r="D346" s="12">
        <f>Mesh!D343</f>
      </c>
      <c r="E346" s="30">
        <f>INDEX(St_e0,Det+1)+INDEX(St_kx,Det+1)*C346+INDEX(St_ky,Det+1)*B346</f>
      </c>
      <c r="F346" s="12">
        <f>IF(E346&gt;0,IF(E346&lt;=eco,alpha*fck*(1-(1-E346/eco)^n),alpha*fck),0)</f>
      </c>
      <c r="G346" s="11">
        <f>F346*D346</f>
      </c>
      <c r="H346" s="11">
        <f>G346*C346</f>
      </c>
      <c r="I346" s="11">
        <f>G346*B346</f>
      </c>
      <c r="J346" s="30">
        <f>PM_Angle!$J$7+PM_Angle!$K$7*$C346+PM_Angle!$L$7*$B346</f>
      </c>
      <c r="K346" s="12">
        <f>IF(J346&gt;0,IF(J346&lt;=eco,alpha*fck*(1-(1-J346/eco)^n),alpha*fck),0)</f>
      </c>
      <c r="L346" s="30">
        <f>PM_Angle!$J$8+PM_Angle!$K$8*$C346+PM_Angle!$L$8*$B346</f>
      </c>
      <c r="M346" s="12">
        <f>IF(L346&gt;0,IF(L346&lt;=eco,alpha*fck*(1-(1-L346/eco)^n),alpha*fck),0)</f>
      </c>
      <c r="N346" s="30">
        <f>PM_Angle!$J$9+PM_Angle!$K$9*$C346+PM_Angle!$L$9*$B346</f>
      </c>
      <c r="O346" s="12">
        <f>IF(N346&gt;0,IF(N346&lt;=eco,alpha*fck*(1-(1-N346/eco)^n),alpha*fck),0)</f>
      </c>
      <c r="P346" s="30">
        <f>PM_Angle!$J$10+PM_Angle!$K$10*$C346+PM_Angle!$L$10*$B346</f>
      </c>
      <c r="Q346" s="12">
        <f>IF(P346&gt;0,IF(P346&lt;=eco,alpha*fck*(1-(1-P346/eco)^n),alpha*fck),0)</f>
      </c>
      <c r="R346" s="30">
        <f>PM_Angle!$J$11+PM_Angle!$K$11*$C346+PM_Angle!$L$11*$B346</f>
      </c>
      <c r="S346" s="12">
        <f>IF(R346&gt;0,IF(R346&lt;=eco,alpha*fck*(1-(1-R346/eco)^n),alpha*fck),0)</f>
      </c>
      <c r="T346" s="30">
        <f>PM_Angle!$J$12+PM_Angle!$K$12*$C346+PM_Angle!$L$12*$B346</f>
      </c>
      <c r="U346" s="12">
        <f>IF(T346&gt;0,IF(T346&lt;=eco,alpha*fck*(1-(1-T346/eco)^n),alpha*fck),0)</f>
      </c>
      <c r="V346" s="30">
        <f>PM_Angle!$J$13+PM_Angle!$K$13*$C346+PM_Angle!$L$13*$B346</f>
      </c>
      <c r="W346" s="12">
        <f>IF(V346&gt;0,IF(V346&lt;=eco,alpha*fck*(1-(1-V346/eco)^n),alpha*fck),0)</f>
      </c>
      <c r="X346" s="30">
        <f>PM_Angle!$J$14+PM_Angle!$K$14*$C346+PM_Angle!$L$14*$B346</f>
      </c>
      <c r="Y346" s="12">
        <f>IF(X346&gt;0,IF(X346&lt;=eco,alpha*fck*(1-(1-X346/eco)^n),alpha*fck),0)</f>
      </c>
      <c r="Z346" s="30">
        <f>PM_Angle!$J$15+PM_Angle!$K$15*$C346+PM_Angle!$L$15*$B346</f>
      </c>
      <c r="AA346" s="12">
        <f>IF(Z346&gt;0,IF(Z346&lt;=eco,alpha*fck*(1-(1-Z346/eco)^n),alpha*fck),0)</f>
      </c>
      <c r="AB346" s="30">
        <f>PM_Angle!$J$16+PM_Angle!$K$16*$C346+PM_Angle!$L$16*$B346</f>
      </c>
      <c r="AC346" s="12">
        <f>IF(AB346&gt;0,IF(AB346&lt;=eco,alpha*fck*(1-(1-AB346/eco)^n),alpha*fck),0)</f>
      </c>
      <c r="AD346" s="30">
        <f>PM_Angle!$J$17+PM_Angle!$K$17*$C346+PM_Angle!$L$17*$B346</f>
      </c>
      <c r="AE346" s="12">
        <f>IF(AD346&gt;0,IF(AD346&lt;=eco,alpha*fck*(1-(1-AD346/eco)^n),alpha*fck),0)</f>
      </c>
      <c r="AF346" s="30">
        <f>PM_Angle!$J$18+PM_Angle!$K$18*$C346+PM_Angle!$L$18*$B346</f>
      </c>
      <c r="AG346" s="12">
        <f>IF(AF346&gt;0,IF(AF346&lt;=eco,alpha*fck*(1-(1-AF346/eco)^n),alpha*fck),0)</f>
      </c>
      <c r="AH346" s="30">
        <f>PM_Angle!$J$19+PM_Angle!$K$19*$C346+PM_Angle!$L$19*$B346</f>
      </c>
      <c r="AI346" s="12">
        <f>IF(AH346&gt;0,IF(AH346&lt;=eco,alpha*fck*(1-(1-AH346/eco)^n),alpha*fck),0)</f>
      </c>
      <c r="AJ346" s="30">
        <f>PM_Angle!$J$20+PM_Angle!$K$20*$C346+PM_Angle!$L$20*$B346</f>
      </c>
      <c r="AK346" s="12">
        <f>IF(AJ346&gt;0,IF(AJ346&lt;=eco,alpha*fck*(1-(1-AJ346/eco)^n),alpha*fck),0)</f>
      </c>
      <c r="AL346" s="30">
        <f>PM_Angle!$J$21+PM_Angle!$K$21*$C346+PM_Angle!$L$21*$B346</f>
      </c>
      <c r="AM346" s="12">
        <f>IF(AL346&gt;0,IF(AL346&lt;=eco,alpha*fck*(1-(1-AL346/eco)^n),alpha*fck),0)</f>
      </c>
      <c r="AN346" s="30">
        <f>PM_Angle!$J$22+PM_Angle!$K$22*$C346+PM_Angle!$L$22*$B346</f>
      </c>
      <c r="AO346" s="12">
        <f>IF(AN346&gt;0,IF(AN346&lt;=eco,alpha*fck*(1-(1-AN346/eco)^n),alpha*fck),0)</f>
      </c>
      <c r="AP346" s="30">
        <f>PM_Angle!$J$23+PM_Angle!$K$23*$C346+PM_Angle!$L$23*$B346</f>
      </c>
      <c r="AQ346" s="12">
        <f>IF(AP346&gt;0,IF(AP346&lt;=eco,alpha*fck*(1-(1-AP346/eco)^n),alpha*fck),0)</f>
      </c>
      <c r="AR346" s="30">
        <f>PM_Angle!$J$24+PM_Angle!$K$24*$C346+PM_Angle!$L$24*$B346</f>
      </c>
      <c r="AS346" s="12">
        <f>IF(AR346&gt;0,IF(AR346&lt;=eco,alpha*fck*(1-(1-AR346/eco)^n),alpha*fck),0)</f>
      </c>
      <c r="AT346" s="30">
        <f>PM_Angle!$J$25+PM_Angle!$K$25*$C346+PM_Angle!$L$25*$B346</f>
      </c>
      <c r="AU346" s="12">
        <f>IF(AT346&gt;0,IF(AT346&lt;=eco,alpha*fck*(1-(1-AT346/eco)^n),alpha*fck),0)</f>
      </c>
    </row>
    <row r="347" spans="1:47" x14ac:dyDescent="0.25">
      <c r="A347">
        <f>Mesh!A344</f>
      </c>
      <c r="B347" s="12">
        <f>Mesh!B344</f>
      </c>
      <c r="C347" s="12">
        <f>Mesh!C344</f>
      </c>
      <c r="D347" s="12">
        <f>Mesh!D344</f>
      </c>
      <c r="E347" s="30">
        <f>INDEX(St_e0,Det+1)+INDEX(St_kx,Det+1)*C347+INDEX(St_ky,Det+1)*B347</f>
      </c>
      <c r="F347" s="12">
        <f>IF(E347&gt;0,IF(E347&lt;=eco,alpha*fck*(1-(1-E347/eco)^n),alpha*fck),0)</f>
      </c>
      <c r="G347" s="11">
        <f>F347*D347</f>
      </c>
      <c r="H347" s="11">
        <f>G347*C347</f>
      </c>
      <c r="I347" s="11">
        <f>G347*B347</f>
      </c>
      <c r="J347" s="30">
        <f>PM_Angle!$J$7+PM_Angle!$K$7*$C347+PM_Angle!$L$7*$B347</f>
      </c>
      <c r="K347" s="12">
        <f>IF(J347&gt;0,IF(J347&lt;=eco,alpha*fck*(1-(1-J347/eco)^n),alpha*fck),0)</f>
      </c>
      <c r="L347" s="30">
        <f>PM_Angle!$J$8+PM_Angle!$K$8*$C347+PM_Angle!$L$8*$B347</f>
      </c>
      <c r="M347" s="12">
        <f>IF(L347&gt;0,IF(L347&lt;=eco,alpha*fck*(1-(1-L347/eco)^n),alpha*fck),0)</f>
      </c>
      <c r="N347" s="30">
        <f>PM_Angle!$J$9+PM_Angle!$K$9*$C347+PM_Angle!$L$9*$B347</f>
      </c>
      <c r="O347" s="12">
        <f>IF(N347&gt;0,IF(N347&lt;=eco,alpha*fck*(1-(1-N347/eco)^n),alpha*fck),0)</f>
      </c>
      <c r="P347" s="30">
        <f>PM_Angle!$J$10+PM_Angle!$K$10*$C347+PM_Angle!$L$10*$B347</f>
      </c>
      <c r="Q347" s="12">
        <f>IF(P347&gt;0,IF(P347&lt;=eco,alpha*fck*(1-(1-P347/eco)^n),alpha*fck),0)</f>
      </c>
      <c r="R347" s="30">
        <f>PM_Angle!$J$11+PM_Angle!$K$11*$C347+PM_Angle!$L$11*$B347</f>
      </c>
      <c r="S347" s="12">
        <f>IF(R347&gt;0,IF(R347&lt;=eco,alpha*fck*(1-(1-R347/eco)^n),alpha*fck),0)</f>
      </c>
      <c r="T347" s="30">
        <f>PM_Angle!$J$12+PM_Angle!$K$12*$C347+PM_Angle!$L$12*$B347</f>
      </c>
      <c r="U347" s="12">
        <f>IF(T347&gt;0,IF(T347&lt;=eco,alpha*fck*(1-(1-T347/eco)^n),alpha*fck),0)</f>
      </c>
      <c r="V347" s="30">
        <f>PM_Angle!$J$13+PM_Angle!$K$13*$C347+PM_Angle!$L$13*$B347</f>
      </c>
      <c r="W347" s="12">
        <f>IF(V347&gt;0,IF(V347&lt;=eco,alpha*fck*(1-(1-V347/eco)^n),alpha*fck),0)</f>
      </c>
      <c r="X347" s="30">
        <f>PM_Angle!$J$14+PM_Angle!$K$14*$C347+PM_Angle!$L$14*$B347</f>
      </c>
      <c r="Y347" s="12">
        <f>IF(X347&gt;0,IF(X347&lt;=eco,alpha*fck*(1-(1-X347/eco)^n),alpha*fck),0)</f>
      </c>
      <c r="Z347" s="30">
        <f>PM_Angle!$J$15+PM_Angle!$K$15*$C347+PM_Angle!$L$15*$B347</f>
      </c>
      <c r="AA347" s="12">
        <f>IF(Z347&gt;0,IF(Z347&lt;=eco,alpha*fck*(1-(1-Z347/eco)^n),alpha*fck),0)</f>
      </c>
      <c r="AB347" s="30">
        <f>PM_Angle!$J$16+PM_Angle!$K$16*$C347+PM_Angle!$L$16*$B347</f>
      </c>
      <c r="AC347" s="12">
        <f>IF(AB347&gt;0,IF(AB347&lt;=eco,alpha*fck*(1-(1-AB347/eco)^n),alpha*fck),0)</f>
      </c>
      <c r="AD347" s="30">
        <f>PM_Angle!$J$17+PM_Angle!$K$17*$C347+PM_Angle!$L$17*$B347</f>
      </c>
      <c r="AE347" s="12">
        <f>IF(AD347&gt;0,IF(AD347&lt;=eco,alpha*fck*(1-(1-AD347/eco)^n),alpha*fck),0)</f>
      </c>
      <c r="AF347" s="30">
        <f>PM_Angle!$J$18+PM_Angle!$K$18*$C347+PM_Angle!$L$18*$B347</f>
      </c>
      <c r="AG347" s="12">
        <f>IF(AF347&gt;0,IF(AF347&lt;=eco,alpha*fck*(1-(1-AF347/eco)^n),alpha*fck),0)</f>
      </c>
      <c r="AH347" s="30">
        <f>PM_Angle!$J$19+PM_Angle!$K$19*$C347+PM_Angle!$L$19*$B347</f>
      </c>
      <c r="AI347" s="12">
        <f>IF(AH347&gt;0,IF(AH347&lt;=eco,alpha*fck*(1-(1-AH347/eco)^n),alpha*fck),0)</f>
      </c>
      <c r="AJ347" s="30">
        <f>PM_Angle!$J$20+PM_Angle!$K$20*$C347+PM_Angle!$L$20*$B347</f>
      </c>
      <c r="AK347" s="12">
        <f>IF(AJ347&gt;0,IF(AJ347&lt;=eco,alpha*fck*(1-(1-AJ347/eco)^n),alpha*fck),0)</f>
      </c>
      <c r="AL347" s="30">
        <f>PM_Angle!$J$21+PM_Angle!$K$21*$C347+PM_Angle!$L$21*$B347</f>
      </c>
      <c r="AM347" s="12">
        <f>IF(AL347&gt;0,IF(AL347&lt;=eco,alpha*fck*(1-(1-AL347/eco)^n),alpha*fck),0)</f>
      </c>
      <c r="AN347" s="30">
        <f>PM_Angle!$J$22+PM_Angle!$K$22*$C347+PM_Angle!$L$22*$B347</f>
      </c>
      <c r="AO347" s="12">
        <f>IF(AN347&gt;0,IF(AN347&lt;=eco,alpha*fck*(1-(1-AN347/eco)^n),alpha*fck),0)</f>
      </c>
      <c r="AP347" s="30">
        <f>PM_Angle!$J$23+PM_Angle!$K$23*$C347+PM_Angle!$L$23*$B347</f>
      </c>
      <c r="AQ347" s="12">
        <f>IF(AP347&gt;0,IF(AP347&lt;=eco,alpha*fck*(1-(1-AP347/eco)^n),alpha*fck),0)</f>
      </c>
      <c r="AR347" s="30">
        <f>PM_Angle!$J$24+PM_Angle!$K$24*$C347+PM_Angle!$L$24*$B347</f>
      </c>
      <c r="AS347" s="12">
        <f>IF(AR347&gt;0,IF(AR347&lt;=eco,alpha*fck*(1-(1-AR347/eco)^n),alpha*fck),0)</f>
      </c>
      <c r="AT347" s="30">
        <f>PM_Angle!$J$25+PM_Angle!$K$25*$C347+PM_Angle!$L$25*$B347</f>
      </c>
      <c r="AU347" s="12">
        <f>IF(AT347&gt;0,IF(AT347&lt;=eco,alpha*fck*(1-(1-AT347/eco)^n),alpha*fck),0)</f>
      </c>
    </row>
    <row r="348" spans="1:47" x14ac:dyDescent="0.25">
      <c r="A348">
        <f>Mesh!A345</f>
      </c>
      <c r="B348" s="12">
        <f>Mesh!B345</f>
      </c>
      <c r="C348" s="12">
        <f>Mesh!C345</f>
      </c>
      <c r="D348" s="12">
        <f>Mesh!D345</f>
      </c>
      <c r="E348" s="30">
        <f>INDEX(St_e0,Det+1)+INDEX(St_kx,Det+1)*C348+INDEX(St_ky,Det+1)*B348</f>
      </c>
      <c r="F348" s="12">
        <f>IF(E348&gt;0,IF(E348&lt;=eco,alpha*fck*(1-(1-E348/eco)^n),alpha*fck),0)</f>
      </c>
      <c r="G348" s="11">
        <f>F348*D348</f>
      </c>
      <c r="H348" s="11">
        <f>G348*C348</f>
      </c>
      <c r="I348" s="11">
        <f>G348*B348</f>
      </c>
      <c r="J348" s="30">
        <f>PM_Angle!$J$7+PM_Angle!$K$7*$C348+PM_Angle!$L$7*$B348</f>
      </c>
      <c r="K348" s="12">
        <f>IF(J348&gt;0,IF(J348&lt;=eco,alpha*fck*(1-(1-J348/eco)^n),alpha*fck),0)</f>
      </c>
      <c r="L348" s="30">
        <f>PM_Angle!$J$8+PM_Angle!$K$8*$C348+PM_Angle!$L$8*$B348</f>
      </c>
      <c r="M348" s="12">
        <f>IF(L348&gt;0,IF(L348&lt;=eco,alpha*fck*(1-(1-L348/eco)^n),alpha*fck),0)</f>
      </c>
      <c r="N348" s="30">
        <f>PM_Angle!$J$9+PM_Angle!$K$9*$C348+PM_Angle!$L$9*$B348</f>
      </c>
      <c r="O348" s="12">
        <f>IF(N348&gt;0,IF(N348&lt;=eco,alpha*fck*(1-(1-N348/eco)^n),alpha*fck),0)</f>
      </c>
      <c r="P348" s="30">
        <f>PM_Angle!$J$10+PM_Angle!$K$10*$C348+PM_Angle!$L$10*$B348</f>
      </c>
      <c r="Q348" s="12">
        <f>IF(P348&gt;0,IF(P348&lt;=eco,alpha*fck*(1-(1-P348/eco)^n),alpha*fck),0)</f>
      </c>
      <c r="R348" s="30">
        <f>PM_Angle!$J$11+PM_Angle!$K$11*$C348+PM_Angle!$L$11*$B348</f>
      </c>
      <c r="S348" s="12">
        <f>IF(R348&gt;0,IF(R348&lt;=eco,alpha*fck*(1-(1-R348/eco)^n),alpha*fck),0)</f>
      </c>
      <c r="T348" s="30">
        <f>PM_Angle!$J$12+PM_Angle!$K$12*$C348+PM_Angle!$L$12*$B348</f>
      </c>
      <c r="U348" s="12">
        <f>IF(T348&gt;0,IF(T348&lt;=eco,alpha*fck*(1-(1-T348/eco)^n),alpha*fck),0)</f>
      </c>
      <c r="V348" s="30">
        <f>PM_Angle!$J$13+PM_Angle!$K$13*$C348+PM_Angle!$L$13*$B348</f>
      </c>
      <c r="W348" s="12">
        <f>IF(V348&gt;0,IF(V348&lt;=eco,alpha*fck*(1-(1-V348/eco)^n),alpha*fck),0)</f>
      </c>
      <c r="X348" s="30">
        <f>PM_Angle!$J$14+PM_Angle!$K$14*$C348+PM_Angle!$L$14*$B348</f>
      </c>
      <c r="Y348" s="12">
        <f>IF(X348&gt;0,IF(X348&lt;=eco,alpha*fck*(1-(1-X348/eco)^n),alpha*fck),0)</f>
      </c>
      <c r="Z348" s="30">
        <f>PM_Angle!$J$15+PM_Angle!$K$15*$C348+PM_Angle!$L$15*$B348</f>
      </c>
      <c r="AA348" s="12">
        <f>IF(Z348&gt;0,IF(Z348&lt;=eco,alpha*fck*(1-(1-Z348/eco)^n),alpha*fck),0)</f>
      </c>
      <c r="AB348" s="30">
        <f>PM_Angle!$J$16+PM_Angle!$K$16*$C348+PM_Angle!$L$16*$B348</f>
      </c>
      <c r="AC348" s="12">
        <f>IF(AB348&gt;0,IF(AB348&lt;=eco,alpha*fck*(1-(1-AB348/eco)^n),alpha*fck),0)</f>
      </c>
      <c r="AD348" s="30">
        <f>PM_Angle!$J$17+PM_Angle!$K$17*$C348+PM_Angle!$L$17*$B348</f>
      </c>
      <c r="AE348" s="12">
        <f>IF(AD348&gt;0,IF(AD348&lt;=eco,alpha*fck*(1-(1-AD348/eco)^n),alpha*fck),0)</f>
      </c>
      <c r="AF348" s="30">
        <f>PM_Angle!$J$18+PM_Angle!$K$18*$C348+PM_Angle!$L$18*$B348</f>
      </c>
      <c r="AG348" s="12">
        <f>IF(AF348&gt;0,IF(AF348&lt;=eco,alpha*fck*(1-(1-AF348/eco)^n),alpha*fck),0)</f>
      </c>
      <c r="AH348" s="30">
        <f>PM_Angle!$J$19+PM_Angle!$K$19*$C348+PM_Angle!$L$19*$B348</f>
      </c>
      <c r="AI348" s="12">
        <f>IF(AH348&gt;0,IF(AH348&lt;=eco,alpha*fck*(1-(1-AH348/eco)^n),alpha*fck),0)</f>
      </c>
      <c r="AJ348" s="30">
        <f>PM_Angle!$J$20+PM_Angle!$K$20*$C348+PM_Angle!$L$20*$B348</f>
      </c>
      <c r="AK348" s="12">
        <f>IF(AJ348&gt;0,IF(AJ348&lt;=eco,alpha*fck*(1-(1-AJ348/eco)^n),alpha*fck),0)</f>
      </c>
      <c r="AL348" s="30">
        <f>PM_Angle!$J$21+PM_Angle!$K$21*$C348+PM_Angle!$L$21*$B348</f>
      </c>
      <c r="AM348" s="12">
        <f>IF(AL348&gt;0,IF(AL348&lt;=eco,alpha*fck*(1-(1-AL348/eco)^n),alpha*fck),0)</f>
      </c>
      <c r="AN348" s="30">
        <f>PM_Angle!$J$22+PM_Angle!$K$22*$C348+PM_Angle!$L$22*$B348</f>
      </c>
      <c r="AO348" s="12">
        <f>IF(AN348&gt;0,IF(AN348&lt;=eco,alpha*fck*(1-(1-AN348/eco)^n),alpha*fck),0)</f>
      </c>
      <c r="AP348" s="30">
        <f>PM_Angle!$J$23+PM_Angle!$K$23*$C348+PM_Angle!$L$23*$B348</f>
      </c>
      <c r="AQ348" s="12">
        <f>IF(AP348&gt;0,IF(AP348&lt;=eco,alpha*fck*(1-(1-AP348/eco)^n),alpha*fck),0)</f>
      </c>
      <c r="AR348" s="30">
        <f>PM_Angle!$J$24+PM_Angle!$K$24*$C348+PM_Angle!$L$24*$B348</f>
      </c>
      <c r="AS348" s="12">
        <f>IF(AR348&gt;0,IF(AR348&lt;=eco,alpha*fck*(1-(1-AR348/eco)^n),alpha*fck),0)</f>
      </c>
      <c r="AT348" s="30">
        <f>PM_Angle!$J$25+PM_Angle!$K$25*$C348+PM_Angle!$L$25*$B348</f>
      </c>
      <c r="AU348" s="12">
        <f>IF(AT348&gt;0,IF(AT348&lt;=eco,alpha*fck*(1-(1-AT348/eco)^n),alpha*fck),0)</f>
      </c>
    </row>
    <row r="349" spans="1:47" x14ac:dyDescent="0.25">
      <c r="A349">
        <f>Mesh!A346</f>
      </c>
      <c r="B349" s="12">
        <f>Mesh!B346</f>
      </c>
      <c r="C349" s="12">
        <f>Mesh!C346</f>
      </c>
      <c r="D349" s="12">
        <f>Mesh!D346</f>
      </c>
      <c r="E349" s="30">
        <f>INDEX(St_e0,Det+1)+INDEX(St_kx,Det+1)*C349+INDEX(St_ky,Det+1)*B349</f>
      </c>
      <c r="F349" s="12">
        <f>IF(E349&gt;0,IF(E349&lt;=eco,alpha*fck*(1-(1-E349/eco)^n),alpha*fck),0)</f>
      </c>
      <c r="G349" s="11">
        <f>F349*D349</f>
      </c>
      <c r="H349" s="11">
        <f>G349*C349</f>
      </c>
      <c r="I349" s="11">
        <f>G349*B349</f>
      </c>
      <c r="J349" s="30">
        <f>PM_Angle!$J$7+PM_Angle!$K$7*$C349+PM_Angle!$L$7*$B349</f>
      </c>
      <c r="K349" s="12">
        <f>IF(J349&gt;0,IF(J349&lt;=eco,alpha*fck*(1-(1-J349/eco)^n),alpha*fck),0)</f>
      </c>
      <c r="L349" s="30">
        <f>PM_Angle!$J$8+PM_Angle!$K$8*$C349+PM_Angle!$L$8*$B349</f>
      </c>
      <c r="M349" s="12">
        <f>IF(L349&gt;0,IF(L349&lt;=eco,alpha*fck*(1-(1-L349/eco)^n),alpha*fck),0)</f>
      </c>
      <c r="N349" s="30">
        <f>PM_Angle!$J$9+PM_Angle!$K$9*$C349+PM_Angle!$L$9*$B349</f>
      </c>
      <c r="O349" s="12">
        <f>IF(N349&gt;0,IF(N349&lt;=eco,alpha*fck*(1-(1-N349/eco)^n),alpha*fck),0)</f>
      </c>
      <c r="P349" s="30">
        <f>PM_Angle!$J$10+PM_Angle!$K$10*$C349+PM_Angle!$L$10*$B349</f>
      </c>
      <c r="Q349" s="12">
        <f>IF(P349&gt;0,IF(P349&lt;=eco,alpha*fck*(1-(1-P349/eco)^n),alpha*fck),0)</f>
      </c>
      <c r="R349" s="30">
        <f>PM_Angle!$J$11+PM_Angle!$K$11*$C349+PM_Angle!$L$11*$B349</f>
      </c>
      <c r="S349" s="12">
        <f>IF(R349&gt;0,IF(R349&lt;=eco,alpha*fck*(1-(1-R349/eco)^n),alpha*fck),0)</f>
      </c>
      <c r="T349" s="30">
        <f>PM_Angle!$J$12+PM_Angle!$K$12*$C349+PM_Angle!$L$12*$B349</f>
      </c>
      <c r="U349" s="12">
        <f>IF(T349&gt;0,IF(T349&lt;=eco,alpha*fck*(1-(1-T349/eco)^n),alpha*fck),0)</f>
      </c>
      <c r="V349" s="30">
        <f>PM_Angle!$J$13+PM_Angle!$K$13*$C349+PM_Angle!$L$13*$B349</f>
      </c>
      <c r="W349" s="12">
        <f>IF(V349&gt;0,IF(V349&lt;=eco,alpha*fck*(1-(1-V349/eco)^n),alpha*fck),0)</f>
      </c>
      <c r="X349" s="30">
        <f>PM_Angle!$J$14+PM_Angle!$K$14*$C349+PM_Angle!$L$14*$B349</f>
      </c>
      <c r="Y349" s="12">
        <f>IF(X349&gt;0,IF(X349&lt;=eco,alpha*fck*(1-(1-X349/eco)^n),alpha*fck),0)</f>
      </c>
      <c r="Z349" s="30">
        <f>PM_Angle!$J$15+PM_Angle!$K$15*$C349+PM_Angle!$L$15*$B349</f>
      </c>
      <c r="AA349" s="12">
        <f>IF(Z349&gt;0,IF(Z349&lt;=eco,alpha*fck*(1-(1-Z349/eco)^n),alpha*fck),0)</f>
      </c>
      <c r="AB349" s="30">
        <f>PM_Angle!$J$16+PM_Angle!$K$16*$C349+PM_Angle!$L$16*$B349</f>
      </c>
      <c r="AC349" s="12">
        <f>IF(AB349&gt;0,IF(AB349&lt;=eco,alpha*fck*(1-(1-AB349/eco)^n),alpha*fck),0)</f>
      </c>
      <c r="AD349" s="30">
        <f>PM_Angle!$J$17+PM_Angle!$K$17*$C349+PM_Angle!$L$17*$B349</f>
      </c>
      <c r="AE349" s="12">
        <f>IF(AD349&gt;0,IF(AD349&lt;=eco,alpha*fck*(1-(1-AD349/eco)^n),alpha*fck),0)</f>
      </c>
      <c r="AF349" s="30">
        <f>PM_Angle!$J$18+PM_Angle!$K$18*$C349+PM_Angle!$L$18*$B349</f>
      </c>
      <c r="AG349" s="12">
        <f>IF(AF349&gt;0,IF(AF349&lt;=eco,alpha*fck*(1-(1-AF349/eco)^n),alpha*fck),0)</f>
      </c>
      <c r="AH349" s="30">
        <f>PM_Angle!$J$19+PM_Angle!$K$19*$C349+PM_Angle!$L$19*$B349</f>
      </c>
      <c r="AI349" s="12">
        <f>IF(AH349&gt;0,IF(AH349&lt;=eco,alpha*fck*(1-(1-AH349/eco)^n),alpha*fck),0)</f>
      </c>
      <c r="AJ349" s="30">
        <f>PM_Angle!$J$20+PM_Angle!$K$20*$C349+PM_Angle!$L$20*$B349</f>
      </c>
      <c r="AK349" s="12">
        <f>IF(AJ349&gt;0,IF(AJ349&lt;=eco,alpha*fck*(1-(1-AJ349/eco)^n),alpha*fck),0)</f>
      </c>
      <c r="AL349" s="30">
        <f>PM_Angle!$J$21+PM_Angle!$K$21*$C349+PM_Angle!$L$21*$B349</f>
      </c>
      <c r="AM349" s="12">
        <f>IF(AL349&gt;0,IF(AL349&lt;=eco,alpha*fck*(1-(1-AL349/eco)^n),alpha*fck),0)</f>
      </c>
      <c r="AN349" s="30">
        <f>PM_Angle!$J$22+PM_Angle!$K$22*$C349+PM_Angle!$L$22*$B349</f>
      </c>
      <c r="AO349" s="12">
        <f>IF(AN349&gt;0,IF(AN349&lt;=eco,alpha*fck*(1-(1-AN349/eco)^n),alpha*fck),0)</f>
      </c>
      <c r="AP349" s="30">
        <f>PM_Angle!$J$23+PM_Angle!$K$23*$C349+PM_Angle!$L$23*$B349</f>
      </c>
      <c r="AQ349" s="12">
        <f>IF(AP349&gt;0,IF(AP349&lt;=eco,alpha*fck*(1-(1-AP349/eco)^n),alpha*fck),0)</f>
      </c>
      <c r="AR349" s="30">
        <f>PM_Angle!$J$24+PM_Angle!$K$24*$C349+PM_Angle!$L$24*$B349</f>
      </c>
      <c r="AS349" s="12">
        <f>IF(AR349&gt;0,IF(AR349&lt;=eco,alpha*fck*(1-(1-AR349/eco)^n),alpha*fck),0)</f>
      </c>
      <c r="AT349" s="30">
        <f>PM_Angle!$J$25+PM_Angle!$K$25*$C349+PM_Angle!$L$25*$B349</f>
      </c>
      <c r="AU349" s="12">
        <f>IF(AT349&gt;0,IF(AT349&lt;=eco,alpha*fck*(1-(1-AT349/eco)^n),alpha*fck),0)</f>
      </c>
    </row>
    <row r="350" spans="1:47" x14ac:dyDescent="0.25">
      <c r="A350">
        <f>Mesh!A347</f>
      </c>
      <c r="B350" s="12">
        <f>Mesh!B347</f>
      </c>
      <c r="C350" s="12">
        <f>Mesh!C347</f>
      </c>
      <c r="D350" s="12">
        <f>Mesh!D347</f>
      </c>
      <c r="E350" s="30">
        <f>INDEX(St_e0,Det+1)+INDEX(St_kx,Det+1)*C350+INDEX(St_ky,Det+1)*B350</f>
      </c>
      <c r="F350" s="12">
        <f>IF(E350&gt;0,IF(E350&lt;=eco,alpha*fck*(1-(1-E350/eco)^n),alpha*fck),0)</f>
      </c>
      <c r="G350" s="11">
        <f>F350*D350</f>
      </c>
      <c r="H350" s="11">
        <f>G350*C350</f>
      </c>
      <c r="I350" s="11">
        <f>G350*B350</f>
      </c>
      <c r="J350" s="30">
        <f>PM_Angle!$J$7+PM_Angle!$K$7*$C350+PM_Angle!$L$7*$B350</f>
      </c>
      <c r="K350" s="12">
        <f>IF(J350&gt;0,IF(J350&lt;=eco,alpha*fck*(1-(1-J350/eco)^n),alpha*fck),0)</f>
      </c>
      <c r="L350" s="30">
        <f>PM_Angle!$J$8+PM_Angle!$K$8*$C350+PM_Angle!$L$8*$B350</f>
      </c>
      <c r="M350" s="12">
        <f>IF(L350&gt;0,IF(L350&lt;=eco,alpha*fck*(1-(1-L350/eco)^n),alpha*fck),0)</f>
      </c>
      <c r="N350" s="30">
        <f>PM_Angle!$J$9+PM_Angle!$K$9*$C350+PM_Angle!$L$9*$B350</f>
      </c>
      <c r="O350" s="12">
        <f>IF(N350&gt;0,IF(N350&lt;=eco,alpha*fck*(1-(1-N350/eco)^n),alpha*fck),0)</f>
      </c>
      <c r="P350" s="30">
        <f>PM_Angle!$J$10+PM_Angle!$K$10*$C350+PM_Angle!$L$10*$B350</f>
      </c>
      <c r="Q350" s="12">
        <f>IF(P350&gt;0,IF(P350&lt;=eco,alpha*fck*(1-(1-P350/eco)^n),alpha*fck),0)</f>
      </c>
      <c r="R350" s="30">
        <f>PM_Angle!$J$11+PM_Angle!$K$11*$C350+PM_Angle!$L$11*$B350</f>
      </c>
      <c r="S350" s="12">
        <f>IF(R350&gt;0,IF(R350&lt;=eco,alpha*fck*(1-(1-R350/eco)^n),alpha*fck),0)</f>
      </c>
      <c r="T350" s="30">
        <f>PM_Angle!$J$12+PM_Angle!$K$12*$C350+PM_Angle!$L$12*$B350</f>
      </c>
      <c r="U350" s="12">
        <f>IF(T350&gt;0,IF(T350&lt;=eco,alpha*fck*(1-(1-T350/eco)^n),alpha*fck),0)</f>
      </c>
      <c r="V350" s="30">
        <f>PM_Angle!$J$13+PM_Angle!$K$13*$C350+PM_Angle!$L$13*$B350</f>
      </c>
      <c r="W350" s="12">
        <f>IF(V350&gt;0,IF(V350&lt;=eco,alpha*fck*(1-(1-V350/eco)^n),alpha*fck),0)</f>
      </c>
      <c r="X350" s="30">
        <f>PM_Angle!$J$14+PM_Angle!$K$14*$C350+PM_Angle!$L$14*$B350</f>
      </c>
      <c r="Y350" s="12">
        <f>IF(X350&gt;0,IF(X350&lt;=eco,alpha*fck*(1-(1-X350/eco)^n),alpha*fck),0)</f>
      </c>
      <c r="Z350" s="30">
        <f>PM_Angle!$J$15+PM_Angle!$K$15*$C350+PM_Angle!$L$15*$B350</f>
      </c>
      <c r="AA350" s="12">
        <f>IF(Z350&gt;0,IF(Z350&lt;=eco,alpha*fck*(1-(1-Z350/eco)^n),alpha*fck),0)</f>
      </c>
      <c r="AB350" s="30">
        <f>PM_Angle!$J$16+PM_Angle!$K$16*$C350+PM_Angle!$L$16*$B350</f>
      </c>
      <c r="AC350" s="12">
        <f>IF(AB350&gt;0,IF(AB350&lt;=eco,alpha*fck*(1-(1-AB350/eco)^n),alpha*fck),0)</f>
      </c>
      <c r="AD350" s="30">
        <f>PM_Angle!$J$17+PM_Angle!$K$17*$C350+PM_Angle!$L$17*$B350</f>
      </c>
      <c r="AE350" s="12">
        <f>IF(AD350&gt;0,IF(AD350&lt;=eco,alpha*fck*(1-(1-AD350/eco)^n),alpha*fck),0)</f>
      </c>
      <c r="AF350" s="30">
        <f>PM_Angle!$J$18+PM_Angle!$K$18*$C350+PM_Angle!$L$18*$B350</f>
      </c>
      <c r="AG350" s="12">
        <f>IF(AF350&gt;0,IF(AF350&lt;=eco,alpha*fck*(1-(1-AF350/eco)^n),alpha*fck),0)</f>
      </c>
      <c r="AH350" s="30">
        <f>PM_Angle!$J$19+PM_Angle!$K$19*$C350+PM_Angle!$L$19*$B350</f>
      </c>
      <c r="AI350" s="12">
        <f>IF(AH350&gt;0,IF(AH350&lt;=eco,alpha*fck*(1-(1-AH350/eco)^n),alpha*fck),0)</f>
      </c>
      <c r="AJ350" s="30">
        <f>PM_Angle!$J$20+PM_Angle!$K$20*$C350+PM_Angle!$L$20*$B350</f>
      </c>
      <c r="AK350" s="12">
        <f>IF(AJ350&gt;0,IF(AJ350&lt;=eco,alpha*fck*(1-(1-AJ350/eco)^n),alpha*fck),0)</f>
      </c>
      <c r="AL350" s="30">
        <f>PM_Angle!$J$21+PM_Angle!$K$21*$C350+PM_Angle!$L$21*$B350</f>
      </c>
      <c r="AM350" s="12">
        <f>IF(AL350&gt;0,IF(AL350&lt;=eco,alpha*fck*(1-(1-AL350/eco)^n),alpha*fck),0)</f>
      </c>
      <c r="AN350" s="30">
        <f>PM_Angle!$J$22+PM_Angle!$K$22*$C350+PM_Angle!$L$22*$B350</f>
      </c>
      <c r="AO350" s="12">
        <f>IF(AN350&gt;0,IF(AN350&lt;=eco,alpha*fck*(1-(1-AN350/eco)^n),alpha*fck),0)</f>
      </c>
      <c r="AP350" s="30">
        <f>PM_Angle!$J$23+PM_Angle!$K$23*$C350+PM_Angle!$L$23*$B350</f>
      </c>
      <c r="AQ350" s="12">
        <f>IF(AP350&gt;0,IF(AP350&lt;=eco,alpha*fck*(1-(1-AP350/eco)^n),alpha*fck),0)</f>
      </c>
      <c r="AR350" s="30">
        <f>PM_Angle!$J$24+PM_Angle!$K$24*$C350+PM_Angle!$L$24*$B350</f>
      </c>
      <c r="AS350" s="12">
        <f>IF(AR350&gt;0,IF(AR350&lt;=eco,alpha*fck*(1-(1-AR350/eco)^n),alpha*fck),0)</f>
      </c>
      <c r="AT350" s="30">
        <f>PM_Angle!$J$25+PM_Angle!$K$25*$C350+PM_Angle!$L$25*$B350</f>
      </c>
      <c r="AU350" s="12">
        <f>IF(AT350&gt;0,IF(AT350&lt;=eco,alpha*fck*(1-(1-AT350/eco)^n),alpha*fck),0)</f>
      </c>
    </row>
    <row r="351" spans="1:47" x14ac:dyDescent="0.25">
      <c r="A351">
        <f>Mesh!A348</f>
      </c>
      <c r="B351" s="12">
        <f>Mesh!B348</f>
      </c>
      <c r="C351" s="12">
        <f>Mesh!C348</f>
      </c>
      <c r="D351" s="12">
        <f>Mesh!D348</f>
      </c>
      <c r="E351" s="30">
        <f>INDEX(St_e0,Det+1)+INDEX(St_kx,Det+1)*C351+INDEX(St_ky,Det+1)*B351</f>
      </c>
      <c r="F351" s="12">
        <f>IF(E351&gt;0,IF(E351&lt;=eco,alpha*fck*(1-(1-E351/eco)^n),alpha*fck),0)</f>
      </c>
      <c r="G351" s="11">
        <f>F351*D351</f>
      </c>
      <c r="H351" s="11">
        <f>G351*C351</f>
      </c>
      <c r="I351" s="11">
        <f>G351*B351</f>
      </c>
      <c r="J351" s="30">
        <f>PM_Angle!$J$7+PM_Angle!$K$7*$C351+PM_Angle!$L$7*$B351</f>
      </c>
      <c r="K351" s="12">
        <f>IF(J351&gt;0,IF(J351&lt;=eco,alpha*fck*(1-(1-J351/eco)^n),alpha*fck),0)</f>
      </c>
      <c r="L351" s="30">
        <f>PM_Angle!$J$8+PM_Angle!$K$8*$C351+PM_Angle!$L$8*$B351</f>
      </c>
      <c r="M351" s="12">
        <f>IF(L351&gt;0,IF(L351&lt;=eco,alpha*fck*(1-(1-L351/eco)^n),alpha*fck),0)</f>
      </c>
      <c r="N351" s="30">
        <f>PM_Angle!$J$9+PM_Angle!$K$9*$C351+PM_Angle!$L$9*$B351</f>
      </c>
      <c r="O351" s="12">
        <f>IF(N351&gt;0,IF(N351&lt;=eco,alpha*fck*(1-(1-N351/eco)^n),alpha*fck),0)</f>
      </c>
      <c r="P351" s="30">
        <f>PM_Angle!$J$10+PM_Angle!$K$10*$C351+PM_Angle!$L$10*$B351</f>
      </c>
      <c r="Q351" s="12">
        <f>IF(P351&gt;0,IF(P351&lt;=eco,alpha*fck*(1-(1-P351/eco)^n),alpha*fck),0)</f>
      </c>
      <c r="R351" s="30">
        <f>PM_Angle!$J$11+PM_Angle!$K$11*$C351+PM_Angle!$L$11*$B351</f>
      </c>
      <c r="S351" s="12">
        <f>IF(R351&gt;0,IF(R351&lt;=eco,alpha*fck*(1-(1-R351/eco)^n),alpha*fck),0)</f>
      </c>
      <c r="T351" s="30">
        <f>PM_Angle!$J$12+PM_Angle!$K$12*$C351+PM_Angle!$L$12*$B351</f>
      </c>
      <c r="U351" s="12">
        <f>IF(T351&gt;0,IF(T351&lt;=eco,alpha*fck*(1-(1-T351/eco)^n),alpha*fck),0)</f>
      </c>
      <c r="V351" s="30">
        <f>PM_Angle!$J$13+PM_Angle!$K$13*$C351+PM_Angle!$L$13*$B351</f>
      </c>
      <c r="W351" s="12">
        <f>IF(V351&gt;0,IF(V351&lt;=eco,alpha*fck*(1-(1-V351/eco)^n),alpha*fck),0)</f>
      </c>
      <c r="X351" s="30">
        <f>PM_Angle!$J$14+PM_Angle!$K$14*$C351+PM_Angle!$L$14*$B351</f>
      </c>
      <c r="Y351" s="12">
        <f>IF(X351&gt;0,IF(X351&lt;=eco,alpha*fck*(1-(1-X351/eco)^n),alpha*fck),0)</f>
      </c>
      <c r="Z351" s="30">
        <f>PM_Angle!$J$15+PM_Angle!$K$15*$C351+PM_Angle!$L$15*$B351</f>
      </c>
      <c r="AA351" s="12">
        <f>IF(Z351&gt;0,IF(Z351&lt;=eco,alpha*fck*(1-(1-Z351/eco)^n),alpha*fck),0)</f>
      </c>
      <c r="AB351" s="30">
        <f>PM_Angle!$J$16+PM_Angle!$K$16*$C351+PM_Angle!$L$16*$B351</f>
      </c>
      <c r="AC351" s="12">
        <f>IF(AB351&gt;0,IF(AB351&lt;=eco,alpha*fck*(1-(1-AB351/eco)^n),alpha*fck),0)</f>
      </c>
      <c r="AD351" s="30">
        <f>PM_Angle!$J$17+PM_Angle!$K$17*$C351+PM_Angle!$L$17*$B351</f>
      </c>
      <c r="AE351" s="12">
        <f>IF(AD351&gt;0,IF(AD351&lt;=eco,alpha*fck*(1-(1-AD351/eco)^n),alpha*fck),0)</f>
      </c>
      <c r="AF351" s="30">
        <f>PM_Angle!$J$18+PM_Angle!$K$18*$C351+PM_Angle!$L$18*$B351</f>
      </c>
      <c r="AG351" s="12">
        <f>IF(AF351&gt;0,IF(AF351&lt;=eco,alpha*fck*(1-(1-AF351/eco)^n),alpha*fck),0)</f>
      </c>
      <c r="AH351" s="30">
        <f>PM_Angle!$J$19+PM_Angle!$K$19*$C351+PM_Angle!$L$19*$B351</f>
      </c>
      <c r="AI351" s="12">
        <f>IF(AH351&gt;0,IF(AH351&lt;=eco,alpha*fck*(1-(1-AH351/eco)^n),alpha*fck),0)</f>
      </c>
      <c r="AJ351" s="30">
        <f>PM_Angle!$J$20+PM_Angle!$K$20*$C351+PM_Angle!$L$20*$B351</f>
      </c>
      <c r="AK351" s="12">
        <f>IF(AJ351&gt;0,IF(AJ351&lt;=eco,alpha*fck*(1-(1-AJ351/eco)^n),alpha*fck),0)</f>
      </c>
      <c r="AL351" s="30">
        <f>PM_Angle!$J$21+PM_Angle!$K$21*$C351+PM_Angle!$L$21*$B351</f>
      </c>
      <c r="AM351" s="12">
        <f>IF(AL351&gt;0,IF(AL351&lt;=eco,alpha*fck*(1-(1-AL351/eco)^n),alpha*fck),0)</f>
      </c>
      <c r="AN351" s="30">
        <f>PM_Angle!$J$22+PM_Angle!$K$22*$C351+PM_Angle!$L$22*$B351</f>
      </c>
      <c r="AO351" s="12">
        <f>IF(AN351&gt;0,IF(AN351&lt;=eco,alpha*fck*(1-(1-AN351/eco)^n),alpha*fck),0)</f>
      </c>
      <c r="AP351" s="30">
        <f>PM_Angle!$J$23+PM_Angle!$K$23*$C351+PM_Angle!$L$23*$B351</f>
      </c>
      <c r="AQ351" s="12">
        <f>IF(AP351&gt;0,IF(AP351&lt;=eco,alpha*fck*(1-(1-AP351/eco)^n),alpha*fck),0)</f>
      </c>
      <c r="AR351" s="30">
        <f>PM_Angle!$J$24+PM_Angle!$K$24*$C351+PM_Angle!$L$24*$B351</f>
      </c>
      <c r="AS351" s="12">
        <f>IF(AR351&gt;0,IF(AR351&lt;=eco,alpha*fck*(1-(1-AR351/eco)^n),alpha*fck),0)</f>
      </c>
      <c r="AT351" s="30">
        <f>PM_Angle!$J$25+PM_Angle!$K$25*$C351+PM_Angle!$L$25*$B351</f>
      </c>
      <c r="AU351" s="12">
        <f>IF(AT351&gt;0,IF(AT351&lt;=eco,alpha*fck*(1-(1-AT351/eco)^n),alpha*fck),0)</f>
      </c>
    </row>
    <row r="352" spans="1:47" x14ac:dyDescent="0.25">
      <c r="A352">
        <f>Mesh!A349</f>
      </c>
      <c r="B352" s="12">
        <f>Mesh!B349</f>
      </c>
      <c r="C352" s="12">
        <f>Mesh!C349</f>
      </c>
      <c r="D352" s="12">
        <f>Mesh!D349</f>
      </c>
      <c r="E352" s="30">
        <f>INDEX(St_e0,Det+1)+INDEX(St_kx,Det+1)*C352+INDEX(St_ky,Det+1)*B352</f>
      </c>
      <c r="F352" s="12">
        <f>IF(E352&gt;0,IF(E352&lt;=eco,alpha*fck*(1-(1-E352/eco)^n),alpha*fck),0)</f>
      </c>
      <c r="G352" s="11">
        <f>F352*D352</f>
      </c>
      <c r="H352" s="11">
        <f>G352*C352</f>
      </c>
      <c r="I352" s="11">
        <f>G352*B352</f>
      </c>
      <c r="J352" s="30">
        <f>PM_Angle!$J$7+PM_Angle!$K$7*$C352+PM_Angle!$L$7*$B352</f>
      </c>
      <c r="K352" s="12">
        <f>IF(J352&gt;0,IF(J352&lt;=eco,alpha*fck*(1-(1-J352/eco)^n),alpha*fck),0)</f>
      </c>
      <c r="L352" s="30">
        <f>PM_Angle!$J$8+PM_Angle!$K$8*$C352+PM_Angle!$L$8*$B352</f>
      </c>
      <c r="M352" s="12">
        <f>IF(L352&gt;0,IF(L352&lt;=eco,alpha*fck*(1-(1-L352/eco)^n),alpha*fck),0)</f>
      </c>
      <c r="N352" s="30">
        <f>PM_Angle!$J$9+PM_Angle!$K$9*$C352+PM_Angle!$L$9*$B352</f>
      </c>
      <c r="O352" s="12">
        <f>IF(N352&gt;0,IF(N352&lt;=eco,alpha*fck*(1-(1-N352/eco)^n),alpha*fck),0)</f>
      </c>
      <c r="P352" s="30">
        <f>PM_Angle!$J$10+PM_Angle!$K$10*$C352+PM_Angle!$L$10*$B352</f>
      </c>
      <c r="Q352" s="12">
        <f>IF(P352&gt;0,IF(P352&lt;=eco,alpha*fck*(1-(1-P352/eco)^n),alpha*fck),0)</f>
      </c>
      <c r="R352" s="30">
        <f>PM_Angle!$J$11+PM_Angle!$K$11*$C352+PM_Angle!$L$11*$B352</f>
      </c>
      <c r="S352" s="12">
        <f>IF(R352&gt;0,IF(R352&lt;=eco,alpha*fck*(1-(1-R352/eco)^n),alpha*fck),0)</f>
      </c>
      <c r="T352" s="30">
        <f>PM_Angle!$J$12+PM_Angle!$K$12*$C352+PM_Angle!$L$12*$B352</f>
      </c>
      <c r="U352" s="12">
        <f>IF(T352&gt;0,IF(T352&lt;=eco,alpha*fck*(1-(1-T352/eco)^n),alpha*fck),0)</f>
      </c>
      <c r="V352" s="30">
        <f>PM_Angle!$J$13+PM_Angle!$K$13*$C352+PM_Angle!$L$13*$B352</f>
      </c>
      <c r="W352" s="12">
        <f>IF(V352&gt;0,IF(V352&lt;=eco,alpha*fck*(1-(1-V352/eco)^n),alpha*fck),0)</f>
      </c>
      <c r="X352" s="30">
        <f>PM_Angle!$J$14+PM_Angle!$K$14*$C352+PM_Angle!$L$14*$B352</f>
      </c>
      <c r="Y352" s="12">
        <f>IF(X352&gt;0,IF(X352&lt;=eco,alpha*fck*(1-(1-X352/eco)^n),alpha*fck),0)</f>
      </c>
      <c r="Z352" s="30">
        <f>PM_Angle!$J$15+PM_Angle!$K$15*$C352+PM_Angle!$L$15*$B352</f>
      </c>
      <c r="AA352" s="12">
        <f>IF(Z352&gt;0,IF(Z352&lt;=eco,alpha*fck*(1-(1-Z352/eco)^n),alpha*fck),0)</f>
      </c>
      <c r="AB352" s="30">
        <f>PM_Angle!$J$16+PM_Angle!$K$16*$C352+PM_Angle!$L$16*$B352</f>
      </c>
      <c r="AC352" s="12">
        <f>IF(AB352&gt;0,IF(AB352&lt;=eco,alpha*fck*(1-(1-AB352/eco)^n),alpha*fck),0)</f>
      </c>
      <c r="AD352" s="30">
        <f>PM_Angle!$J$17+PM_Angle!$K$17*$C352+PM_Angle!$L$17*$B352</f>
      </c>
      <c r="AE352" s="12">
        <f>IF(AD352&gt;0,IF(AD352&lt;=eco,alpha*fck*(1-(1-AD352/eco)^n),alpha*fck),0)</f>
      </c>
      <c r="AF352" s="30">
        <f>PM_Angle!$J$18+PM_Angle!$K$18*$C352+PM_Angle!$L$18*$B352</f>
      </c>
      <c r="AG352" s="12">
        <f>IF(AF352&gt;0,IF(AF352&lt;=eco,alpha*fck*(1-(1-AF352/eco)^n),alpha*fck),0)</f>
      </c>
      <c r="AH352" s="30">
        <f>PM_Angle!$J$19+PM_Angle!$K$19*$C352+PM_Angle!$L$19*$B352</f>
      </c>
      <c r="AI352" s="12">
        <f>IF(AH352&gt;0,IF(AH352&lt;=eco,alpha*fck*(1-(1-AH352/eco)^n),alpha*fck),0)</f>
      </c>
      <c r="AJ352" s="30">
        <f>PM_Angle!$J$20+PM_Angle!$K$20*$C352+PM_Angle!$L$20*$B352</f>
      </c>
      <c r="AK352" s="12">
        <f>IF(AJ352&gt;0,IF(AJ352&lt;=eco,alpha*fck*(1-(1-AJ352/eco)^n),alpha*fck),0)</f>
      </c>
      <c r="AL352" s="30">
        <f>PM_Angle!$J$21+PM_Angle!$K$21*$C352+PM_Angle!$L$21*$B352</f>
      </c>
      <c r="AM352" s="12">
        <f>IF(AL352&gt;0,IF(AL352&lt;=eco,alpha*fck*(1-(1-AL352/eco)^n),alpha*fck),0)</f>
      </c>
      <c r="AN352" s="30">
        <f>PM_Angle!$J$22+PM_Angle!$K$22*$C352+PM_Angle!$L$22*$B352</f>
      </c>
      <c r="AO352" s="12">
        <f>IF(AN352&gt;0,IF(AN352&lt;=eco,alpha*fck*(1-(1-AN352/eco)^n),alpha*fck),0)</f>
      </c>
      <c r="AP352" s="30">
        <f>PM_Angle!$J$23+PM_Angle!$K$23*$C352+PM_Angle!$L$23*$B352</f>
      </c>
      <c r="AQ352" s="12">
        <f>IF(AP352&gt;0,IF(AP352&lt;=eco,alpha*fck*(1-(1-AP352/eco)^n),alpha*fck),0)</f>
      </c>
      <c r="AR352" s="30">
        <f>PM_Angle!$J$24+PM_Angle!$K$24*$C352+PM_Angle!$L$24*$B352</f>
      </c>
      <c r="AS352" s="12">
        <f>IF(AR352&gt;0,IF(AR352&lt;=eco,alpha*fck*(1-(1-AR352/eco)^n),alpha*fck),0)</f>
      </c>
      <c r="AT352" s="30">
        <f>PM_Angle!$J$25+PM_Angle!$K$25*$C352+PM_Angle!$L$25*$B352</f>
      </c>
      <c r="AU352" s="12">
        <f>IF(AT352&gt;0,IF(AT352&lt;=eco,alpha*fck*(1-(1-AT352/eco)^n),alpha*fck),0)</f>
      </c>
    </row>
    <row r="353" spans="1:47" x14ac:dyDescent="0.25">
      <c r="A353">
        <f>Mesh!A350</f>
      </c>
      <c r="B353" s="12">
        <f>Mesh!B350</f>
      </c>
      <c r="C353" s="12">
        <f>Mesh!C350</f>
      </c>
      <c r="D353" s="12">
        <f>Mesh!D350</f>
      </c>
      <c r="E353" s="30">
        <f>INDEX(St_e0,Det+1)+INDEX(St_kx,Det+1)*C353+INDEX(St_ky,Det+1)*B353</f>
      </c>
      <c r="F353" s="12">
        <f>IF(E353&gt;0,IF(E353&lt;=eco,alpha*fck*(1-(1-E353/eco)^n),alpha*fck),0)</f>
      </c>
      <c r="G353" s="11">
        <f>F353*D353</f>
      </c>
      <c r="H353" s="11">
        <f>G353*C353</f>
      </c>
      <c r="I353" s="11">
        <f>G353*B353</f>
      </c>
      <c r="J353" s="30">
        <f>PM_Angle!$J$7+PM_Angle!$K$7*$C353+PM_Angle!$L$7*$B353</f>
      </c>
      <c r="K353" s="12">
        <f>IF(J353&gt;0,IF(J353&lt;=eco,alpha*fck*(1-(1-J353/eco)^n),alpha*fck),0)</f>
      </c>
      <c r="L353" s="30">
        <f>PM_Angle!$J$8+PM_Angle!$K$8*$C353+PM_Angle!$L$8*$B353</f>
      </c>
      <c r="M353" s="12">
        <f>IF(L353&gt;0,IF(L353&lt;=eco,alpha*fck*(1-(1-L353/eco)^n),alpha*fck),0)</f>
      </c>
      <c r="N353" s="30">
        <f>PM_Angle!$J$9+PM_Angle!$K$9*$C353+PM_Angle!$L$9*$B353</f>
      </c>
      <c r="O353" s="12">
        <f>IF(N353&gt;0,IF(N353&lt;=eco,alpha*fck*(1-(1-N353/eco)^n),alpha*fck),0)</f>
      </c>
      <c r="P353" s="30">
        <f>PM_Angle!$J$10+PM_Angle!$K$10*$C353+PM_Angle!$L$10*$B353</f>
      </c>
      <c r="Q353" s="12">
        <f>IF(P353&gt;0,IF(P353&lt;=eco,alpha*fck*(1-(1-P353/eco)^n),alpha*fck),0)</f>
      </c>
      <c r="R353" s="30">
        <f>PM_Angle!$J$11+PM_Angle!$K$11*$C353+PM_Angle!$L$11*$B353</f>
      </c>
      <c r="S353" s="12">
        <f>IF(R353&gt;0,IF(R353&lt;=eco,alpha*fck*(1-(1-R353/eco)^n),alpha*fck),0)</f>
      </c>
      <c r="T353" s="30">
        <f>PM_Angle!$J$12+PM_Angle!$K$12*$C353+PM_Angle!$L$12*$B353</f>
      </c>
      <c r="U353" s="12">
        <f>IF(T353&gt;0,IF(T353&lt;=eco,alpha*fck*(1-(1-T353/eco)^n),alpha*fck),0)</f>
      </c>
      <c r="V353" s="30">
        <f>PM_Angle!$J$13+PM_Angle!$K$13*$C353+PM_Angle!$L$13*$B353</f>
      </c>
      <c r="W353" s="12">
        <f>IF(V353&gt;0,IF(V353&lt;=eco,alpha*fck*(1-(1-V353/eco)^n),alpha*fck),0)</f>
      </c>
      <c r="X353" s="30">
        <f>PM_Angle!$J$14+PM_Angle!$K$14*$C353+PM_Angle!$L$14*$B353</f>
      </c>
      <c r="Y353" s="12">
        <f>IF(X353&gt;0,IF(X353&lt;=eco,alpha*fck*(1-(1-X353/eco)^n),alpha*fck),0)</f>
      </c>
      <c r="Z353" s="30">
        <f>PM_Angle!$J$15+PM_Angle!$K$15*$C353+PM_Angle!$L$15*$B353</f>
      </c>
      <c r="AA353" s="12">
        <f>IF(Z353&gt;0,IF(Z353&lt;=eco,alpha*fck*(1-(1-Z353/eco)^n),alpha*fck),0)</f>
      </c>
      <c r="AB353" s="30">
        <f>PM_Angle!$J$16+PM_Angle!$K$16*$C353+PM_Angle!$L$16*$B353</f>
      </c>
      <c r="AC353" s="12">
        <f>IF(AB353&gt;0,IF(AB353&lt;=eco,alpha*fck*(1-(1-AB353/eco)^n),alpha*fck),0)</f>
      </c>
      <c r="AD353" s="30">
        <f>PM_Angle!$J$17+PM_Angle!$K$17*$C353+PM_Angle!$L$17*$B353</f>
      </c>
      <c r="AE353" s="12">
        <f>IF(AD353&gt;0,IF(AD353&lt;=eco,alpha*fck*(1-(1-AD353/eco)^n),alpha*fck),0)</f>
      </c>
      <c r="AF353" s="30">
        <f>PM_Angle!$J$18+PM_Angle!$K$18*$C353+PM_Angle!$L$18*$B353</f>
      </c>
      <c r="AG353" s="12">
        <f>IF(AF353&gt;0,IF(AF353&lt;=eco,alpha*fck*(1-(1-AF353/eco)^n),alpha*fck),0)</f>
      </c>
      <c r="AH353" s="30">
        <f>PM_Angle!$J$19+PM_Angle!$K$19*$C353+PM_Angle!$L$19*$B353</f>
      </c>
      <c r="AI353" s="12">
        <f>IF(AH353&gt;0,IF(AH353&lt;=eco,alpha*fck*(1-(1-AH353/eco)^n),alpha*fck),0)</f>
      </c>
      <c r="AJ353" s="30">
        <f>PM_Angle!$J$20+PM_Angle!$K$20*$C353+PM_Angle!$L$20*$B353</f>
      </c>
      <c r="AK353" s="12">
        <f>IF(AJ353&gt;0,IF(AJ353&lt;=eco,alpha*fck*(1-(1-AJ353/eco)^n),alpha*fck),0)</f>
      </c>
      <c r="AL353" s="30">
        <f>PM_Angle!$J$21+PM_Angle!$K$21*$C353+PM_Angle!$L$21*$B353</f>
      </c>
      <c r="AM353" s="12">
        <f>IF(AL353&gt;0,IF(AL353&lt;=eco,alpha*fck*(1-(1-AL353/eco)^n),alpha*fck),0)</f>
      </c>
      <c r="AN353" s="30">
        <f>PM_Angle!$J$22+PM_Angle!$K$22*$C353+PM_Angle!$L$22*$B353</f>
      </c>
      <c r="AO353" s="12">
        <f>IF(AN353&gt;0,IF(AN353&lt;=eco,alpha*fck*(1-(1-AN353/eco)^n),alpha*fck),0)</f>
      </c>
      <c r="AP353" s="30">
        <f>PM_Angle!$J$23+PM_Angle!$K$23*$C353+PM_Angle!$L$23*$B353</f>
      </c>
      <c r="AQ353" s="12">
        <f>IF(AP353&gt;0,IF(AP353&lt;=eco,alpha*fck*(1-(1-AP353/eco)^n),alpha*fck),0)</f>
      </c>
      <c r="AR353" s="30">
        <f>PM_Angle!$J$24+PM_Angle!$K$24*$C353+PM_Angle!$L$24*$B353</f>
      </c>
      <c r="AS353" s="12">
        <f>IF(AR353&gt;0,IF(AR353&lt;=eco,alpha*fck*(1-(1-AR353/eco)^n),alpha*fck),0)</f>
      </c>
      <c r="AT353" s="30">
        <f>PM_Angle!$J$25+PM_Angle!$K$25*$C353+PM_Angle!$L$25*$B353</f>
      </c>
      <c r="AU353" s="12">
        <f>IF(AT353&gt;0,IF(AT353&lt;=eco,alpha*fck*(1-(1-AT353/eco)^n),alpha*fck),0)</f>
      </c>
    </row>
    <row r="354" spans="1:47" x14ac:dyDescent="0.25">
      <c r="A354">
        <f>Mesh!A351</f>
      </c>
      <c r="B354" s="12">
        <f>Mesh!B351</f>
      </c>
      <c r="C354" s="12">
        <f>Mesh!C351</f>
      </c>
      <c r="D354" s="12">
        <f>Mesh!D351</f>
      </c>
      <c r="E354" s="30">
        <f>INDEX(St_e0,Det+1)+INDEX(St_kx,Det+1)*C354+INDEX(St_ky,Det+1)*B354</f>
      </c>
      <c r="F354" s="12">
        <f>IF(E354&gt;0,IF(E354&lt;=eco,alpha*fck*(1-(1-E354/eco)^n),alpha*fck),0)</f>
      </c>
      <c r="G354" s="11">
        <f>F354*D354</f>
      </c>
      <c r="H354" s="11">
        <f>G354*C354</f>
      </c>
      <c r="I354" s="11">
        <f>G354*B354</f>
      </c>
      <c r="J354" s="30">
        <f>PM_Angle!$J$7+PM_Angle!$K$7*$C354+PM_Angle!$L$7*$B354</f>
      </c>
      <c r="K354" s="12">
        <f>IF(J354&gt;0,IF(J354&lt;=eco,alpha*fck*(1-(1-J354/eco)^n),alpha*fck),0)</f>
      </c>
      <c r="L354" s="30">
        <f>PM_Angle!$J$8+PM_Angle!$K$8*$C354+PM_Angle!$L$8*$B354</f>
      </c>
      <c r="M354" s="12">
        <f>IF(L354&gt;0,IF(L354&lt;=eco,alpha*fck*(1-(1-L354/eco)^n),alpha*fck),0)</f>
      </c>
      <c r="N354" s="30">
        <f>PM_Angle!$J$9+PM_Angle!$K$9*$C354+PM_Angle!$L$9*$B354</f>
      </c>
      <c r="O354" s="12">
        <f>IF(N354&gt;0,IF(N354&lt;=eco,alpha*fck*(1-(1-N354/eco)^n),alpha*fck),0)</f>
      </c>
      <c r="P354" s="30">
        <f>PM_Angle!$J$10+PM_Angle!$K$10*$C354+PM_Angle!$L$10*$B354</f>
      </c>
      <c r="Q354" s="12">
        <f>IF(P354&gt;0,IF(P354&lt;=eco,alpha*fck*(1-(1-P354/eco)^n),alpha*fck),0)</f>
      </c>
      <c r="R354" s="30">
        <f>PM_Angle!$J$11+PM_Angle!$K$11*$C354+PM_Angle!$L$11*$B354</f>
      </c>
      <c r="S354" s="12">
        <f>IF(R354&gt;0,IF(R354&lt;=eco,alpha*fck*(1-(1-R354/eco)^n),alpha*fck),0)</f>
      </c>
      <c r="T354" s="30">
        <f>PM_Angle!$J$12+PM_Angle!$K$12*$C354+PM_Angle!$L$12*$B354</f>
      </c>
      <c r="U354" s="12">
        <f>IF(T354&gt;0,IF(T354&lt;=eco,alpha*fck*(1-(1-T354/eco)^n),alpha*fck),0)</f>
      </c>
      <c r="V354" s="30">
        <f>PM_Angle!$J$13+PM_Angle!$K$13*$C354+PM_Angle!$L$13*$B354</f>
      </c>
      <c r="W354" s="12">
        <f>IF(V354&gt;0,IF(V354&lt;=eco,alpha*fck*(1-(1-V354/eco)^n),alpha*fck),0)</f>
      </c>
      <c r="X354" s="30">
        <f>PM_Angle!$J$14+PM_Angle!$K$14*$C354+PM_Angle!$L$14*$B354</f>
      </c>
      <c r="Y354" s="12">
        <f>IF(X354&gt;0,IF(X354&lt;=eco,alpha*fck*(1-(1-X354/eco)^n),alpha*fck),0)</f>
      </c>
      <c r="Z354" s="30">
        <f>PM_Angle!$J$15+PM_Angle!$K$15*$C354+PM_Angle!$L$15*$B354</f>
      </c>
      <c r="AA354" s="12">
        <f>IF(Z354&gt;0,IF(Z354&lt;=eco,alpha*fck*(1-(1-Z354/eco)^n),alpha*fck),0)</f>
      </c>
      <c r="AB354" s="30">
        <f>PM_Angle!$J$16+PM_Angle!$K$16*$C354+PM_Angle!$L$16*$B354</f>
      </c>
      <c r="AC354" s="12">
        <f>IF(AB354&gt;0,IF(AB354&lt;=eco,alpha*fck*(1-(1-AB354/eco)^n),alpha*fck),0)</f>
      </c>
      <c r="AD354" s="30">
        <f>PM_Angle!$J$17+PM_Angle!$K$17*$C354+PM_Angle!$L$17*$B354</f>
      </c>
      <c r="AE354" s="12">
        <f>IF(AD354&gt;0,IF(AD354&lt;=eco,alpha*fck*(1-(1-AD354/eco)^n),alpha*fck),0)</f>
      </c>
      <c r="AF354" s="30">
        <f>PM_Angle!$J$18+PM_Angle!$K$18*$C354+PM_Angle!$L$18*$B354</f>
      </c>
      <c r="AG354" s="12">
        <f>IF(AF354&gt;0,IF(AF354&lt;=eco,alpha*fck*(1-(1-AF354/eco)^n),alpha*fck),0)</f>
      </c>
      <c r="AH354" s="30">
        <f>PM_Angle!$J$19+PM_Angle!$K$19*$C354+PM_Angle!$L$19*$B354</f>
      </c>
      <c r="AI354" s="12">
        <f>IF(AH354&gt;0,IF(AH354&lt;=eco,alpha*fck*(1-(1-AH354/eco)^n),alpha*fck),0)</f>
      </c>
      <c r="AJ354" s="30">
        <f>PM_Angle!$J$20+PM_Angle!$K$20*$C354+PM_Angle!$L$20*$B354</f>
      </c>
      <c r="AK354" s="12">
        <f>IF(AJ354&gt;0,IF(AJ354&lt;=eco,alpha*fck*(1-(1-AJ354/eco)^n),alpha*fck),0)</f>
      </c>
      <c r="AL354" s="30">
        <f>PM_Angle!$J$21+PM_Angle!$K$21*$C354+PM_Angle!$L$21*$B354</f>
      </c>
      <c r="AM354" s="12">
        <f>IF(AL354&gt;0,IF(AL354&lt;=eco,alpha*fck*(1-(1-AL354/eco)^n),alpha*fck),0)</f>
      </c>
      <c r="AN354" s="30">
        <f>PM_Angle!$J$22+PM_Angle!$K$22*$C354+PM_Angle!$L$22*$B354</f>
      </c>
      <c r="AO354" s="12">
        <f>IF(AN354&gt;0,IF(AN354&lt;=eco,alpha*fck*(1-(1-AN354/eco)^n),alpha*fck),0)</f>
      </c>
      <c r="AP354" s="30">
        <f>PM_Angle!$J$23+PM_Angle!$K$23*$C354+PM_Angle!$L$23*$B354</f>
      </c>
      <c r="AQ354" s="12">
        <f>IF(AP354&gt;0,IF(AP354&lt;=eco,alpha*fck*(1-(1-AP354/eco)^n),alpha*fck),0)</f>
      </c>
      <c r="AR354" s="30">
        <f>PM_Angle!$J$24+PM_Angle!$K$24*$C354+PM_Angle!$L$24*$B354</f>
      </c>
      <c r="AS354" s="12">
        <f>IF(AR354&gt;0,IF(AR354&lt;=eco,alpha*fck*(1-(1-AR354/eco)^n),alpha*fck),0)</f>
      </c>
      <c r="AT354" s="30">
        <f>PM_Angle!$J$25+PM_Angle!$K$25*$C354+PM_Angle!$L$25*$B354</f>
      </c>
      <c r="AU354" s="12">
        <f>IF(AT354&gt;0,IF(AT354&lt;=eco,alpha*fck*(1-(1-AT354/eco)^n),alpha*fck),0)</f>
      </c>
    </row>
    <row r="355" spans="1:47" x14ac:dyDescent="0.25">
      <c r="A355">
        <f>Mesh!A352</f>
      </c>
      <c r="B355" s="12">
        <f>Mesh!B352</f>
      </c>
      <c r="C355" s="12">
        <f>Mesh!C352</f>
      </c>
      <c r="D355" s="12">
        <f>Mesh!D352</f>
      </c>
      <c r="E355" s="30">
        <f>INDEX(St_e0,Det+1)+INDEX(St_kx,Det+1)*C355+INDEX(St_ky,Det+1)*B355</f>
      </c>
      <c r="F355" s="12">
        <f>IF(E355&gt;0,IF(E355&lt;=eco,alpha*fck*(1-(1-E355/eco)^n),alpha*fck),0)</f>
      </c>
      <c r="G355" s="11">
        <f>F355*D355</f>
      </c>
      <c r="H355" s="11">
        <f>G355*C355</f>
      </c>
      <c r="I355" s="11">
        <f>G355*B355</f>
      </c>
      <c r="J355" s="30">
        <f>PM_Angle!$J$7+PM_Angle!$K$7*$C355+PM_Angle!$L$7*$B355</f>
      </c>
      <c r="K355" s="12">
        <f>IF(J355&gt;0,IF(J355&lt;=eco,alpha*fck*(1-(1-J355/eco)^n),alpha*fck),0)</f>
      </c>
      <c r="L355" s="30">
        <f>PM_Angle!$J$8+PM_Angle!$K$8*$C355+PM_Angle!$L$8*$B355</f>
      </c>
      <c r="M355" s="12">
        <f>IF(L355&gt;0,IF(L355&lt;=eco,alpha*fck*(1-(1-L355/eco)^n),alpha*fck),0)</f>
      </c>
      <c r="N355" s="30">
        <f>PM_Angle!$J$9+PM_Angle!$K$9*$C355+PM_Angle!$L$9*$B355</f>
      </c>
      <c r="O355" s="12">
        <f>IF(N355&gt;0,IF(N355&lt;=eco,alpha*fck*(1-(1-N355/eco)^n),alpha*fck),0)</f>
      </c>
      <c r="P355" s="30">
        <f>PM_Angle!$J$10+PM_Angle!$K$10*$C355+PM_Angle!$L$10*$B355</f>
      </c>
      <c r="Q355" s="12">
        <f>IF(P355&gt;0,IF(P355&lt;=eco,alpha*fck*(1-(1-P355/eco)^n),alpha*fck),0)</f>
      </c>
      <c r="R355" s="30">
        <f>PM_Angle!$J$11+PM_Angle!$K$11*$C355+PM_Angle!$L$11*$B355</f>
      </c>
      <c r="S355" s="12">
        <f>IF(R355&gt;0,IF(R355&lt;=eco,alpha*fck*(1-(1-R355/eco)^n),alpha*fck),0)</f>
      </c>
      <c r="T355" s="30">
        <f>PM_Angle!$J$12+PM_Angle!$K$12*$C355+PM_Angle!$L$12*$B355</f>
      </c>
      <c r="U355" s="12">
        <f>IF(T355&gt;0,IF(T355&lt;=eco,alpha*fck*(1-(1-T355/eco)^n),alpha*fck),0)</f>
      </c>
      <c r="V355" s="30">
        <f>PM_Angle!$J$13+PM_Angle!$K$13*$C355+PM_Angle!$L$13*$B355</f>
      </c>
      <c r="W355" s="12">
        <f>IF(V355&gt;0,IF(V355&lt;=eco,alpha*fck*(1-(1-V355/eco)^n),alpha*fck),0)</f>
      </c>
      <c r="X355" s="30">
        <f>PM_Angle!$J$14+PM_Angle!$K$14*$C355+PM_Angle!$L$14*$B355</f>
      </c>
      <c r="Y355" s="12">
        <f>IF(X355&gt;0,IF(X355&lt;=eco,alpha*fck*(1-(1-X355/eco)^n),alpha*fck),0)</f>
      </c>
      <c r="Z355" s="30">
        <f>PM_Angle!$J$15+PM_Angle!$K$15*$C355+PM_Angle!$L$15*$B355</f>
      </c>
      <c r="AA355" s="12">
        <f>IF(Z355&gt;0,IF(Z355&lt;=eco,alpha*fck*(1-(1-Z355/eco)^n),alpha*fck),0)</f>
      </c>
      <c r="AB355" s="30">
        <f>PM_Angle!$J$16+PM_Angle!$K$16*$C355+PM_Angle!$L$16*$B355</f>
      </c>
      <c r="AC355" s="12">
        <f>IF(AB355&gt;0,IF(AB355&lt;=eco,alpha*fck*(1-(1-AB355/eco)^n),alpha*fck),0)</f>
      </c>
      <c r="AD355" s="30">
        <f>PM_Angle!$J$17+PM_Angle!$K$17*$C355+PM_Angle!$L$17*$B355</f>
      </c>
      <c r="AE355" s="12">
        <f>IF(AD355&gt;0,IF(AD355&lt;=eco,alpha*fck*(1-(1-AD355/eco)^n),alpha*fck),0)</f>
      </c>
      <c r="AF355" s="30">
        <f>PM_Angle!$J$18+PM_Angle!$K$18*$C355+PM_Angle!$L$18*$B355</f>
      </c>
      <c r="AG355" s="12">
        <f>IF(AF355&gt;0,IF(AF355&lt;=eco,alpha*fck*(1-(1-AF355/eco)^n),alpha*fck),0)</f>
      </c>
      <c r="AH355" s="30">
        <f>PM_Angle!$J$19+PM_Angle!$K$19*$C355+PM_Angle!$L$19*$B355</f>
      </c>
      <c r="AI355" s="12">
        <f>IF(AH355&gt;0,IF(AH355&lt;=eco,alpha*fck*(1-(1-AH355/eco)^n),alpha*fck),0)</f>
      </c>
      <c r="AJ355" s="30">
        <f>PM_Angle!$J$20+PM_Angle!$K$20*$C355+PM_Angle!$L$20*$B355</f>
      </c>
      <c r="AK355" s="12">
        <f>IF(AJ355&gt;0,IF(AJ355&lt;=eco,alpha*fck*(1-(1-AJ355/eco)^n),alpha*fck),0)</f>
      </c>
      <c r="AL355" s="30">
        <f>PM_Angle!$J$21+PM_Angle!$K$21*$C355+PM_Angle!$L$21*$B355</f>
      </c>
      <c r="AM355" s="12">
        <f>IF(AL355&gt;0,IF(AL355&lt;=eco,alpha*fck*(1-(1-AL355/eco)^n),alpha*fck),0)</f>
      </c>
      <c r="AN355" s="30">
        <f>PM_Angle!$J$22+PM_Angle!$K$22*$C355+PM_Angle!$L$22*$B355</f>
      </c>
      <c r="AO355" s="12">
        <f>IF(AN355&gt;0,IF(AN355&lt;=eco,alpha*fck*(1-(1-AN355/eco)^n),alpha*fck),0)</f>
      </c>
      <c r="AP355" s="30">
        <f>PM_Angle!$J$23+PM_Angle!$K$23*$C355+PM_Angle!$L$23*$B355</f>
      </c>
      <c r="AQ355" s="12">
        <f>IF(AP355&gt;0,IF(AP355&lt;=eco,alpha*fck*(1-(1-AP355/eco)^n),alpha*fck),0)</f>
      </c>
      <c r="AR355" s="30">
        <f>PM_Angle!$J$24+PM_Angle!$K$24*$C355+PM_Angle!$L$24*$B355</f>
      </c>
      <c r="AS355" s="12">
        <f>IF(AR355&gt;0,IF(AR355&lt;=eco,alpha*fck*(1-(1-AR355/eco)^n),alpha*fck),0)</f>
      </c>
      <c r="AT355" s="30">
        <f>PM_Angle!$J$25+PM_Angle!$K$25*$C355+PM_Angle!$L$25*$B355</f>
      </c>
      <c r="AU355" s="12">
        <f>IF(AT355&gt;0,IF(AT355&lt;=eco,alpha*fck*(1-(1-AT355/eco)^n),alpha*fck),0)</f>
      </c>
    </row>
    <row r="356" spans="1:47" x14ac:dyDescent="0.25">
      <c r="A356">
        <f>Mesh!A353</f>
      </c>
      <c r="B356" s="12">
        <f>Mesh!B353</f>
      </c>
      <c r="C356" s="12">
        <f>Mesh!C353</f>
      </c>
      <c r="D356" s="12">
        <f>Mesh!D353</f>
      </c>
      <c r="E356" s="30">
        <f>INDEX(St_e0,Det+1)+INDEX(St_kx,Det+1)*C356+INDEX(St_ky,Det+1)*B356</f>
      </c>
      <c r="F356" s="12">
        <f>IF(E356&gt;0,IF(E356&lt;=eco,alpha*fck*(1-(1-E356/eco)^n),alpha*fck),0)</f>
      </c>
      <c r="G356" s="11">
        <f>F356*D356</f>
      </c>
      <c r="H356" s="11">
        <f>G356*C356</f>
      </c>
      <c r="I356" s="11">
        <f>G356*B356</f>
      </c>
      <c r="J356" s="30">
        <f>PM_Angle!$J$7+PM_Angle!$K$7*$C356+PM_Angle!$L$7*$B356</f>
      </c>
      <c r="K356" s="12">
        <f>IF(J356&gt;0,IF(J356&lt;=eco,alpha*fck*(1-(1-J356/eco)^n),alpha*fck),0)</f>
      </c>
      <c r="L356" s="30">
        <f>PM_Angle!$J$8+PM_Angle!$K$8*$C356+PM_Angle!$L$8*$B356</f>
      </c>
      <c r="M356" s="12">
        <f>IF(L356&gt;0,IF(L356&lt;=eco,alpha*fck*(1-(1-L356/eco)^n),alpha*fck),0)</f>
      </c>
      <c r="N356" s="30">
        <f>PM_Angle!$J$9+PM_Angle!$K$9*$C356+PM_Angle!$L$9*$B356</f>
      </c>
      <c r="O356" s="12">
        <f>IF(N356&gt;0,IF(N356&lt;=eco,alpha*fck*(1-(1-N356/eco)^n),alpha*fck),0)</f>
      </c>
      <c r="P356" s="30">
        <f>PM_Angle!$J$10+PM_Angle!$K$10*$C356+PM_Angle!$L$10*$B356</f>
      </c>
      <c r="Q356" s="12">
        <f>IF(P356&gt;0,IF(P356&lt;=eco,alpha*fck*(1-(1-P356/eco)^n),alpha*fck),0)</f>
      </c>
      <c r="R356" s="30">
        <f>PM_Angle!$J$11+PM_Angle!$K$11*$C356+PM_Angle!$L$11*$B356</f>
      </c>
      <c r="S356" s="12">
        <f>IF(R356&gt;0,IF(R356&lt;=eco,alpha*fck*(1-(1-R356/eco)^n),alpha*fck),0)</f>
      </c>
      <c r="T356" s="30">
        <f>PM_Angle!$J$12+PM_Angle!$K$12*$C356+PM_Angle!$L$12*$B356</f>
      </c>
      <c r="U356" s="12">
        <f>IF(T356&gt;0,IF(T356&lt;=eco,alpha*fck*(1-(1-T356/eco)^n),alpha*fck),0)</f>
      </c>
      <c r="V356" s="30">
        <f>PM_Angle!$J$13+PM_Angle!$K$13*$C356+PM_Angle!$L$13*$B356</f>
      </c>
      <c r="W356" s="12">
        <f>IF(V356&gt;0,IF(V356&lt;=eco,alpha*fck*(1-(1-V356/eco)^n),alpha*fck),0)</f>
      </c>
      <c r="X356" s="30">
        <f>PM_Angle!$J$14+PM_Angle!$K$14*$C356+PM_Angle!$L$14*$B356</f>
      </c>
      <c r="Y356" s="12">
        <f>IF(X356&gt;0,IF(X356&lt;=eco,alpha*fck*(1-(1-X356/eco)^n),alpha*fck),0)</f>
      </c>
      <c r="Z356" s="30">
        <f>PM_Angle!$J$15+PM_Angle!$K$15*$C356+PM_Angle!$L$15*$B356</f>
      </c>
      <c r="AA356" s="12">
        <f>IF(Z356&gt;0,IF(Z356&lt;=eco,alpha*fck*(1-(1-Z356/eco)^n),alpha*fck),0)</f>
      </c>
      <c r="AB356" s="30">
        <f>PM_Angle!$J$16+PM_Angle!$K$16*$C356+PM_Angle!$L$16*$B356</f>
      </c>
      <c r="AC356" s="12">
        <f>IF(AB356&gt;0,IF(AB356&lt;=eco,alpha*fck*(1-(1-AB356/eco)^n),alpha*fck),0)</f>
      </c>
      <c r="AD356" s="30">
        <f>PM_Angle!$J$17+PM_Angle!$K$17*$C356+PM_Angle!$L$17*$B356</f>
      </c>
      <c r="AE356" s="12">
        <f>IF(AD356&gt;0,IF(AD356&lt;=eco,alpha*fck*(1-(1-AD356/eco)^n),alpha*fck),0)</f>
      </c>
      <c r="AF356" s="30">
        <f>PM_Angle!$J$18+PM_Angle!$K$18*$C356+PM_Angle!$L$18*$B356</f>
      </c>
      <c r="AG356" s="12">
        <f>IF(AF356&gt;0,IF(AF356&lt;=eco,alpha*fck*(1-(1-AF356/eco)^n),alpha*fck),0)</f>
      </c>
      <c r="AH356" s="30">
        <f>PM_Angle!$J$19+PM_Angle!$K$19*$C356+PM_Angle!$L$19*$B356</f>
      </c>
      <c r="AI356" s="12">
        <f>IF(AH356&gt;0,IF(AH356&lt;=eco,alpha*fck*(1-(1-AH356/eco)^n),alpha*fck),0)</f>
      </c>
      <c r="AJ356" s="30">
        <f>PM_Angle!$J$20+PM_Angle!$K$20*$C356+PM_Angle!$L$20*$B356</f>
      </c>
      <c r="AK356" s="12">
        <f>IF(AJ356&gt;0,IF(AJ356&lt;=eco,alpha*fck*(1-(1-AJ356/eco)^n),alpha*fck),0)</f>
      </c>
      <c r="AL356" s="30">
        <f>PM_Angle!$J$21+PM_Angle!$K$21*$C356+PM_Angle!$L$21*$B356</f>
      </c>
      <c r="AM356" s="12">
        <f>IF(AL356&gt;0,IF(AL356&lt;=eco,alpha*fck*(1-(1-AL356/eco)^n),alpha*fck),0)</f>
      </c>
      <c r="AN356" s="30">
        <f>PM_Angle!$J$22+PM_Angle!$K$22*$C356+PM_Angle!$L$22*$B356</f>
      </c>
      <c r="AO356" s="12">
        <f>IF(AN356&gt;0,IF(AN356&lt;=eco,alpha*fck*(1-(1-AN356/eco)^n),alpha*fck),0)</f>
      </c>
      <c r="AP356" s="30">
        <f>PM_Angle!$J$23+PM_Angle!$K$23*$C356+PM_Angle!$L$23*$B356</f>
      </c>
      <c r="AQ356" s="12">
        <f>IF(AP356&gt;0,IF(AP356&lt;=eco,alpha*fck*(1-(1-AP356/eco)^n),alpha*fck),0)</f>
      </c>
      <c r="AR356" s="30">
        <f>PM_Angle!$J$24+PM_Angle!$K$24*$C356+PM_Angle!$L$24*$B356</f>
      </c>
      <c r="AS356" s="12">
        <f>IF(AR356&gt;0,IF(AR356&lt;=eco,alpha*fck*(1-(1-AR356/eco)^n),alpha*fck),0)</f>
      </c>
      <c r="AT356" s="30">
        <f>PM_Angle!$J$25+PM_Angle!$K$25*$C356+PM_Angle!$L$25*$B356</f>
      </c>
      <c r="AU356" s="12">
        <f>IF(AT356&gt;0,IF(AT356&lt;=eco,alpha*fck*(1-(1-AT356/eco)^n),alpha*fck),0)</f>
      </c>
    </row>
    <row r="357" spans="1:47" x14ac:dyDescent="0.25">
      <c r="A357">
        <f>Mesh!A354</f>
      </c>
      <c r="B357" s="12">
        <f>Mesh!B354</f>
      </c>
      <c r="C357" s="12">
        <f>Mesh!C354</f>
      </c>
      <c r="D357" s="12">
        <f>Mesh!D354</f>
      </c>
      <c r="E357" s="30">
        <f>INDEX(St_e0,Det+1)+INDEX(St_kx,Det+1)*C357+INDEX(St_ky,Det+1)*B357</f>
      </c>
      <c r="F357" s="12">
        <f>IF(E357&gt;0,IF(E357&lt;=eco,alpha*fck*(1-(1-E357/eco)^n),alpha*fck),0)</f>
      </c>
      <c r="G357" s="11">
        <f>F357*D357</f>
      </c>
      <c r="H357" s="11">
        <f>G357*C357</f>
      </c>
      <c r="I357" s="11">
        <f>G357*B357</f>
      </c>
      <c r="J357" s="30">
        <f>PM_Angle!$J$7+PM_Angle!$K$7*$C357+PM_Angle!$L$7*$B357</f>
      </c>
      <c r="K357" s="12">
        <f>IF(J357&gt;0,IF(J357&lt;=eco,alpha*fck*(1-(1-J357/eco)^n),alpha*fck),0)</f>
      </c>
      <c r="L357" s="30">
        <f>PM_Angle!$J$8+PM_Angle!$K$8*$C357+PM_Angle!$L$8*$B357</f>
      </c>
      <c r="M357" s="12">
        <f>IF(L357&gt;0,IF(L357&lt;=eco,alpha*fck*(1-(1-L357/eco)^n),alpha*fck),0)</f>
      </c>
      <c r="N357" s="30">
        <f>PM_Angle!$J$9+PM_Angle!$K$9*$C357+PM_Angle!$L$9*$B357</f>
      </c>
      <c r="O357" s="12">
        <f>IF(N357&gt;0,IF(N357&lt;=eco,alpha*fck*(1-(1-N357/eco)^n),alpha*fck),0)</f>
      </c>
      <c r="P357" s="30">
        <f>PM_Angle!$J$10+PM_Angle!$K$10*$C357+PM_Angle!$L$10*$B357</f>
      </c>
      <c r="Q357" s="12">
        <f>IF(P357&gt;0,IF(P357&lt;=eco,alpha*fck*(1-(1-P357/eco)^n),alpha*fck),0)</f>
      </c>
      <c r="R357" s="30">
        <f>PM_Angle!$J$11+PM_Angle!$K$11*$C357+PM_Angle!$L$11*$B357</f>
      </c>
      <c r="S357" s="12">
        <f>IF(R357&gt;0,IF(R357&lt;=eco,alpha*fck*(1-(1-R357/eco)^n),alpha*fck),0)</f>
      </c>
      <c r="T357" s="30">
        <f>PM_Angle!$J$12+PM_Angle!$K$12*$C357+PM_Angle!$L$12*$B357</f>
      </c>
      <c r="U357" s="12">
        <f>IF(T357&gt;0,IF(T357&lt;=eco,alpha*fck*(1-(1-T357/eco)^n),alpha*fck),0)</f>
      </c>
      <c r="V357" s="30">
        <f>PM_Angle!$J$13+PM_Angle!$K$13*$C357+PM_Angle!$L$13*$B357</f>
      </c>
      <c r="W357" s="12">
        <f>IF(V357&gt;0,IF(V357&lt;=eco,alpha*fck*(1-(1-V357/eco)^n),alpha*fck),0)</f>
      </c>
      <c r="X357" s="30">
        <f>PM_Angle!$J$14+PM_Angle!$K$14*$C357+PM_Angle!$L$14*$B357</f>
      </c>
      <c r="Y357" s="12">
        <f>IF(X357&gt;0,IF(X357&lt;=eco,alpha*fck*(1-(1-X357/eco)^n),alpha*fck),0)</f>
      </c>
      <c r="Z357" s="30">
        <f>PM_Angle!$J$15+PM_Angle!$K$15*$C357+PM_Angle!$L$15*$B357</f>
      </c>
      <c r="AA357" s="12">
        <f>IF(Z357&gt;0,IF(Z357&lt;=eco,alpha*fck*(1-(1-Z357/eco)^n),alpha*fck),0)</f>
      </c>
      <c r="AB357" s="30">
        <f>PM_Angle!$J$16+PM_Angle!$K$16*$C357+PM_Angle!$L$16*$B357</f>
      </c>
      <c r="AC357" s="12">
        <f>IF(AB357&gt;0,IF(AB357&lt;=eco,alpha*fck*(1-(1-AB357/eco)^n),alpha*fck),0)</f>
      </c>
      <c r="AD357" s="30">
        <f>PM_Angle!$J$17+PM_Angle!$K$17*$C357+PM_Angle!$L$17*$B357</f>
      </c>
      <c r="AE357" s="12">
        <f>IF(AD357&gt;0,IF(AD357&lt;=eco,alpha*fck*(1-(1-AD357/eco)^n),alpha*fck),0)</f>
      </c>
      <c r="AF357" s="30">
        <f>PM_Angle!$J$18+PM_Angle!$K$18*$C357+PM_Angle!$L$18*$B357</f>
      </c>
      <c r="AG357" s="12">
        <f>IF(AF357&gt;0,IF(AF357&lt;=eco,alpha*fck*(1-(1-AF357/eco)^n),alpha*fck),0)</f>
      </c>
      <c r="AH357" s="30">
        <f>PM_Angle!$J$19+PM_Angle!$K$19*$C357+PM_Angle!$L$19*$B357</f>
      </c>
      <c r="AI357" s="12">
        <f>IF(AH357&gt;0,IF(AH357&lt;=eco,alpha*fck*(1-(1-AH357/eco)^n),alpha*fck),0)</f>
      </c>
      <c r="AJ357" s="30">
        <f>PM_Angle!$J$20+PM_Angle!$K$20*$C357+PM_Angle!$L$20*$B357</f>
      </c>
      <c r="AK357" s="12">
        <f>IF(AJ357&gt;0,IF(AJ357&lt;=eco,alpha*fck*(1-(1-AJ357/eco)^n),alpha*fck),0)</f>
      </c>
      <c r="AL357" s="30">
        <f>PM_Angle!$J$21+PM_Angle!$K$21*$C357+PM_Angle!$L$21*$B357</f>
      </c>
      <c r="AM357" s="12">
        <f>IF(AL357&gt;0,IF(AL357&lt;=eco,alpha*fck*(1-(1-AL357/eco)^n),alpha*fck),0)</f>
      </c>
      <c r="AN357" s="30">
        <f>PM_Angle!$J$22+PM_Angle!$K$22*$C357+PM_Angle!$L$22*$B357</f>
      </c>
      <c r="AO357" s="12">
        <f>IF(AN357&gt;0,IF(AN357&lt;=eco,alpha*fck*(1-(1-AN357/eco)^n),alpha*fck),0)</f>
      </c>
      <c r="AP357" s="30">
        <f>PM_Angle!$J$23+PM_Angle!$K$23*$C357+PM_Angle!$L$23*$B357</f>
      </c>
      <c r="AQ357" s="12">
        <f>IF(AP357&gt;0,IF(AP357&lt;=eco,alpha*fck*(1-(1-AP357/eco)^n),alpha*fck),0)</f>
      </c>
      <c r="AR357" s="30">
        <f>PM_Angle!$J$24+PM_Angle!$K$24*$C357+PM_Angle!$L$24*$B357</f>
      </c>
      <c r="AS357" s="12">
        <f>IF(AR357&gt;0,IF(AR357&lt;=eco,alpha*fck*(1-(1-AR357/eco)^n),alpha*fck),0)</f>
      </c>
      <c r="AT357" s="30">
        <f>PM_Angle!$J$25+PM_Angle!$K$25*$C357+PM_Angle!$L$25*$B357</f>
      </c>
      <c r="AU357" s="12">
        <f>IF(AT357&gt;0,IF(AT357&lt;=eco,alpha*fck*(1-(1-AT357/eco)^n),alpha*fck),0)</f>
      </c>
    </row>
    <row r="358" spans="1:47" x14ac:dyDescent="0.25">
      <c r="A358">
        <f>Mesh!A355</f>
      </c>
      <c r="B358" s="12">
        <f>Mesh!B355</f>
      </c>
      <c r="C358" s="12">
        <f>Mesh!C355</f>
      </c>
      <c r="D358" s="12">
        <f>Mesh!D355</f>
      </c>
      <c r="E358" s="30">
        <f>INDEX(St_e0,Det+1)+INDEX(St_kx,Det+1)*C358+INDEX(St_ky,Det+1)*B358</f>
      </c>
      <c r="F358" s="12">
        <f>IF(E358&gt;0,IF(E358&lt;=eco,alpha*fck*(1-(1-E358/eco)^n),alpha*fck),0)</f>
      </c>
      <c r="G358" s="11">
        <f>F358*D358</f>
      </c>
      <c r="H358" s="11">
        <f>G358*C358</f>
      </c>
      <c r="I358" s="11">
        <f>G358*B358</f>
      </c>
      <c r="J358" s="30">
        <f>PM_Angle!$J$7+PM_Angle!$K$7*$C358+PM_Angle!$L$7*$B358</f>
      </c>
      <c r="K358" s="12">
        <f>IF(J358&gt;0,IF(J358&lt;=eco,alpha*fck*(1-(1-J358/eco)^n),alpha*fck),0)</f>
      </c>
      <c r="L358" s="30">
        <f>PM_Angle!$J$8+PM_Angle!$K$8*$C358+PM_Angle!$L$8*$B358</f>
      </c>
      <c r="M358" s="12">
        <f>IF(L358&gt;0,IF(L358&lt;=eco,alpha*fck*(1-(1-L358/eco)^n),alpha*fck),0)</f>
      </c>
      <c r="N358" s="30">
        <f>PM_Angle!$J$9+PM_Angle!$K$9*$C358+PM_Angle!$L$9*$B358</f>
      </c>
      <c r="O358" s="12">
        <f>IF(N358&gt;0,IF(N358&lt;=eco,alpha*fck*(1-(1-N358/eco)^n),alpha*fck),0)</f>
      </c>
      <c r="P358" s="30">
        <f>PM_Angle!$J$10+PM_Angle!$K$10*$C358+PM_Angle!$L$10*$B358</f>
      </c>
      <c r="Q358" s="12">
        <f>IF(P358&gt;0,IF(P358&lt;=eco,alpha*fck*(1-(1-P358/eco)^n),alpha*fck),0)</f>
      </c>
      <c r="R358" s="30">
        <f>PM_Angle!$J$11+PM_Angle!$K$11*$C358+PM_Angle!$L$11*$B358</f>
      </c>
      <c r="S358" s="12">
        <f>IF(R358&gt;0,IF(R358&lt;=eco,alpha*fck*(1-(1-R358/eco)^n),alpha*fck),0)</f>
      </c>
      <c r="T358" s="30">
        <f>PM_Angle!$J$12+PM_Angle!$K$12*$C358+PM_Angle!$L$12*$B358</f>
      </c>
      <c r="U358" s="12">
        <f>IF(T358&gt;0,IF(T358&lt;=eco,alpha*fck*(1-(1-T358/eco)^n),alpha*fck),0)</f>
      </c>
      <c r="V358" s="30">
        <f>PM_Angle!$J$13+PM_Angle!$K$13*$C358+PM_Angle!$L$13*$B358</f>
      </c>
      <c r="W358" s="12">
        <f>IF(V358&gt;0,IF(V358&lt;=eco,alpha*fck*(1-(1-V358/eco)^n),alpha*fck),0)</f>
      </c>
      <c r="X358" s="30">
        <f>PM_Angle!$J$14+PM_Angle!$K$14*$C358+PM_Angle!$L$14*$B358</f>
      </c>
      <c r="Y358" s="12">
        <f>IF(X358&gt;0,IF(X358&lt;=eco,alpha*fck*(1-(1-X358/eco)^n),alpha*fck),0)</f>
      </c>
      <c r="Z358" s="30">
        <f>PM_Angle!$J$15+PM_Angle!$K$15*$C358+PM_Angle!$L$15*$B358</f>
      </c>
      <c r="AA358" s="12">
        <f>IF(Z358&gt;0,IF(Z358&lt;=eco,alpha*fck*(1-(1-Z358/eco)^n),alpha*fck),0)</f>
      </c>
      <c r="AB358" s="30">
        <f>PM_Angle!$J$16+PM_Angle!$K$16*$C358+PM_Angle!$L$16*$B358</f>
      </c>
      <c r="AC358" s="12">
        <f>IF(AB358&gt;0,IF(AB358&lt;=eco,alpha*fck*(1-(1-AB358/eco)^n),alpha*fck),0)</f>
      </c>
      <c r="AD358" s="30">
        <f>PM_Angle!$J$17+PM_Angle!$K$17*$C358+PM_Angle!$L$17*$B358</f>
      </c>
      <c r="AE358" s="12">
        <f>IF(AD358&gt;0,IF(AD358&lt;=eco,alpha*fck*(1-(1-AD358/eco)^n),alpha*fck),0)</f>
      </c>
      <c r="AF358" s="30">
        <f>PM_Angle!$J$18+PM_Angle!$K$18*$C358+PM_Angle!$L$18*$B358</f>
      </c>
      <c r="AG358" s="12">
        <f>IF(AF358&gt;0,IF(AF358&lt;=eco,alpha*fck*(1-(1-AF358/eco)^n),alpha*fck),0)</f>
      </c>
      <c r="AH358" s="30">
        <f>PM_Angle!$J$19+PM_Angle!$K$19*$C358+PM_Angle!$L$19*$B358</f>
      </c>
      <c r="AI358" s="12">
        <f>IF(AH358&gt;0,IF(AH358&lt;=eco,alpha*fck*(1-(1-AH358/eco)^n),alpha*fck),0)</f>
      </c>
      <c r="AJ358" s="30">
        <f>PM_Angle!$J$20+PM_Angle!$K$20*$C358+PM_Angle!$L$20*$B358</f>
      </c>
      <c r="AK358" s="12">
        <f>IF(AJ358&gt;0,IF(AJ358&lt;=eco,alpha*fck*(1-(1-AJ358/eco)^n),alpha*fck),0)</f>
      </c>
      <c r="AL358" s="30">
        <f>PM_Angle!$J$21+PM_Angle!$K$21*$C358+PM_Angle!$L$21*$B358</f>
      </c>
      <c r="AM358" s="12">
        <f>IF(AL358&gt;0,IF(AL358&lt;=eco,alpha*fck*(1-(1-AL358/eco)^n),alpha*fck),0)</f>
      </c>
      <c r="AN358" s="30">
        <f>PM_Angle!$J$22+PM_Angle!$K$22*$C358+PM_Angle!$L$22*$B358</f>
      </c>
      <c r="AO358" s="12">
        <f>IF(AN358&gt;0,IF(AN358&lt;=eco,alpha*fck*(1-(1-AN358/eco)^n),alpha*fck),0)</f>
      </c>
      <c r="AP358" s="30">
        <f>PM_Angle!$J$23+PM_Angle!$K$23*$C358+PM_Angle!$L$23*$B358</f>
      </c>
      <c r="AQ358" s="12">
        <f>IF(AP358&gt;0,IF(AP358&lt;=eco,alpha*fck*(1-(1-AP358/eco)^n),alpha*fck),0)</f>
      </c>
      <c r="AR358" s="30">
        <f>PM_Angle!$J$24+PM_Angle!$K$24*$C358+PM_Angle!$L$24*$B358</f>
      </c>
      <c r="AS358" s="12">
        <f>IF(AR358&gt;0,IF(AR358&lt;=eco,alpha*fck*(1-(1-AR358/eco)^n),alpha*fck),0)</f>
      </c>
      <c r="AT358" s="30">
        <f>PM_Angle!$J$25+PM_Angle!$K$25*$C358+PM_Angle!$L$25*$B358</f>
      </c>
      <c r="AU358" s="12">
        <f>IF(AT358&gt;0,IF(AT358&lt;=eco,alpha*fck*(1-(1-AT358/eco)^n),alpha*fck),0)</f>
      </c>
    </row>
    <row r="359" spans="1:47" x14ac:dyDescent="0.25">
      <c r="A359">
        <f>Mesh!A356</f>
      </c>
      <c r="B359" s="12">
        <f>Mesh!B356</f>
      </c>
      <c r="C359" s="12">
        <f>Mesh!C356</f>
      </c>
      <c r="D359" s="12">
        <f>Mesh!D356</f>
      </c>
      <c r="E359" s="30">
        <f>INDEX(St_e0,Det+1)+INDEX(St_kx,Det+1)*C359+INDEX(St_ky,Det+1)*B359</f>
      </c>
      <c r="F359" s="12">
        <f>IF(E359&gt;0,IF(E359&lt;=eco,alpha*fck*(1-(1-E359/eco)^n),alpha*fck),0)</f>
      </c>
      <c r="G359" s="11">
        <f>F359*D359</f>
      </c>
      <c r="H359" s="11">
        <f>G359*C359</f>
      </c>
      <c r="I359" s="11">
        <f>G359*B359</f>
      </c>
      <c r="J359" s="30">
        <f>PM_Angle!$J$7+PM_Angle!$K$7*$C359+PM_Angle!$L$7*$B359</f>
      </c>
      <c r="K359" s="12">
        <f>IF(J359&gt;0,IF(J359&lt;=eco,alpha*fck*(1-(1-J359/eco)^n),alpha*fck),0)</f>
      </c>
      <c r="L359" s="30">
        <f>PM_Angle!$J$8+PM_Angle!$K$8*$C359+PM_Angle!$L$8*$B359</f>
      </c>
      <c r="M359" s="12">
        <f>IF(L359&gt;0,IF(L359&lt;=eco,alpha*fck*(1-(1-L359/eco)^n),alpha*fck),0)</f>
      </c>
      <c r="N359" s="30">
        <f>PM_Angle!$J$9+PM_Angle!$K$9*$C359+PM_Angle!$L$9*$B359</f>
      </c>
      <c r="O359" s="12">
        <f>IF(N359&gt;0,IF(N359&lt;=eco,alpha*fck*(1-(1-N359/eco)^n),alpha*fck),0)</f>
      </c>
      <c r="P359" s="30">
        <f>PM_Angle!$J$10+PM_Angle!$K$10*$C359+PM_Angle!$L$10*$B359</f>
      </c>
      <c r="Q359" s="12">
        <f>IF(P359&gt;0,IF(P359&lt;=eco,alpha*fck*(1-(1-P359/eco)^n),alpha*fck),0)</f>
      </c>
      <c r="R359" s="30">
        <f>PM_Angle!$J$11+PM_Angle!$K$11*$C359+PM_Angle!$L$11*$B359</f>
      </c>
      <c r="S359" s="12">
        <f>IF(R359&gt;0,IF(R359&lt;=eco,alpha*fck*(1-(1-R359/eco)^n),alpha*fck),0)</f>
      </c>
      <c r="T359" s="30">
        <f>PM_Angle!$J$12+PM_Angle!$K$12*$C359+PM_Angle!$L$12*$B359</f>
      </c>
      <c r="U359" s="12">
        <f>IF(T359&gt;0,IF(T359&lt;=eco,alpha*fck*(1-(1-T359/eco)^n),alpha*fck),0)</f>
      </c>
      <c r="V359" s="30">
        <f>PM_Angle!$J$13+PM_Angle!$K$13*$C359+PM_Angle!$L$13*$B359</f>
      </c>
      <c r="W359" s="12">
        <f>IF(V359&gt;0,IF(V359&lt;=eco,alpha*fck*(1-(1-V359/eco)^n),alpha*fck),0)</f>
      </c>
      <c r="X359" s="30">
        <f>PM_Angle!$J$14+PM_Angle!$K$14*$C359+PM_Angle!$L$14*$B359</f>
      </c>
      <c r="Y359" s="12">
        <f>IF(X359&gt;0,IF(X359&lt;=eco,alpha*fck*(1-(1-X359/eco)^n),alpha*fck),0)</f>
      </c>
      <c r="Z359" s="30">
        <f>PM_Angle!$J$15+PM_Angle!$K$15*$C359+PM_Angle!$L$15*$B359</f>
      </c>
      <c r="AA359" s="12">
        <f>IF(Z359&gt;0,IF(Z359&lt;=eco,alpha*fck*(1-(1-Z359/eco)^n),alpha*fck),0)</f>
      </c>
      <c r="AB359" s="30">
        <f>PM_Angle!$J$16+PM_Angle!$K$16*$C359+PM_Angle!$L$16*$B359</f>
      </c>
      <c r="AC359" s="12">
        <f>IF(AB359&gt;0,IF(AB359&lt;=eco,alpha*fck*(1-(1-AB359/eco)^n),alpha*fck),0)</f>
      </c>
      <c r="AD359" s="30">
        <f>PM_Angle!$J$17+PM_Angle!$K$17*$C359+PM_Angle!$L$17*$B359</f>
      </c>
      <c r="AE359" s="12">
        <f>IF(AD359&gt;0,IF(AD359&lt;=eco,alpha*fck*(1-(1-AD359/eco)^n),alpha*fck),0)</f>
      </c>
      <c r="AF359" s="30">
        <f>PM_Angle!$J$18+PM_Angle!$K$18*$C359+PM_Angle!$L$18*$B359</f>
      </c>
      <c r="AG359" s="12">
        <f>IF(AF359&gt;0,IF(AF359&lt;=eco,alpha*fck*(1-(1-AF359/eco)^n),alpha*fck),0)</f>
      </c>
      <c r="AH359" s="30">
        <f>PM_Angle!$J$19+PM_Angle!$K$19*$C359+PM_Angle!$L$19*$B359</f>
      </c>
      <c r="AI359" s="12">
        <f>IF(AH359&gt;0,IF(AH359&lt;=eco,alpha*fck*(1-(1-AH359/eco)^n),alpha*fck),0)</f>
      </c>
      <c r="AJ359" s="30">
        <f>PM_Angle!$J$20+PM_Angle!$K$20*$C359+PM_Angle!$L$20*$B359</f>
      </c>
      <c r="AK359" s="12">
        <f>IF(AJ359&gt;0,IF(AJ359&lt;=eco,alpha*fck*(1-(1-AJ359/eco)^n),alpha*fck),0)</f>
      </c>
      <c r="AL359" s="30">
        <f>PM_Angle!$J$21+PM_Angle!$K$21*$C359+PM_Angle!$L$21*$B359</f>
      </c>
      <c r="AM359" s="12">
        <f>IF(AL359&gt;0,IF(AL359&lt;=eco,alpha*fck*(1-(1-AL359/eco)^n),alpha*fck),0)</f>
      </c>
      <c r="AN359" s="30">
        <f>PM_Angle!$J$22+PM_Angle!$K$22*$C359+PM_Angle!$L$22*$B359</f>
      </c>
      <c r="AO359" s="12">
        <f>IF(AN359&gt;0,IF(AN359&lt;=eco,alpha*fck*(1-(1-AN359/eco)^n),alpha*fck),0)</f>
      </c>
      <c r="AP359" s="30">
        <f>PM_Angle!$J$23+PM_Angle!$K$23*$C359+PM_Angle!$L$23*$B359</f>
      </c>
      <c r="AQ359" s="12">
        <f>IF(AP359&gt;0,IF(AP359&lt;=eco,alpha*fck*(1-(1-AP359/eco)^n),alpha*fck),0)</f>
      </c>
      <c r="AR359" s="30">
        <f>PM_Angle!$J$24+PM_Angle!$K$24*$C359+PM_Angle!$L$24*$B359</f>
      </c>
      <c r="AS359" s="12">
        <f>IF(AR359&gt;0,IF(AR359&lt;=eco,alpha*fck*(1-(1-AR359/eco)^n),alpha*fck),0)</f>
      </c>
      <c r="AT359" s="30">
        <f>PM_Angle!$J$25+PM_Angle!$K$25*$C359+PM_Angle!$L$25*$B359</f>
      </c>
      <c r="AU359" s="12">
        <f>IF(AT359&gt;0,IF(AT359&lt;=eco,alpha*fck*(1-(1-AT359/eco)^n),alpha*fck),0)</f>
      </c>
    </row>
    <row r="360" spans="1:47" x14ac:dyDescent="0.25">
      <c r="A360">
        <f>Mesh!A357</f>
      </c>
      <c r="B360" s="12">
        <f>Mesh!B357</f>
      </c>
      <c r="C360" s="12">
        <f>Mesh!C357</f>
      </c>
      <c r="D360" s="12">
        <f>Mesh!D357</f>
      </c>
      <c r="E360" s="30">
        <f>INDEX(St_e0,Det+1)+INDEX(St_kx,Det+1)*C360+INDEX(St_ky,Det+1)*B360</f>
      </c>
      <c r="F360" s="12">
        <f>IF(E360&gt;0,IF(E360&lt;=eco,alpha*fck*(1-(1-E360/eco)^n),alpha*fck),0)</f>
      </c>
      <c r="G360" s="11">
        <f>F360*D360</f>
      </c>
      <c r="H360" s="11">
        <f>G360*C360</f>
      </c>
      <c r="I360" s="11">
        <f>G360*B360</f>
      </c>
      <c r="J360" s="30">
        <f>PM_Angle!$J$7+PM_Angle!$K$7*$C360+PM_Angle!$L$7*$B360</f>
      </c>
      <c r="K360" s="12">
        <f>IF(J360&gt;0,IF(J360&lt;=eco,alpha*fck*(1-(1-J360/eco)^n),alpha*fck),0)</f>
      </c>
      <c r="L360" s="30">
        <f>PM_Angle!$J$8+PM_Angle!$K$8*$C360+PM_Angle!$L$8*$B360</f>
      </c>
      <c r="M360" s="12">
        <f>IF(L360&gt;0,IF(L360&lt;=eco,alpha*fck*(1-(1-L360/eco)^n),alpha*fck),0)</f>
      </c>
      <c r="N360" s="30">
        <f>PM_Angle!$J$9+PM_Angle!$K$9*$C360+PM_Angle!$L$9*$B360</f>
      </c>
      <c r="O360" s="12">
        <f>IF(N360&gt;0,IF(N360&lt;=eco,alpha*fck*(1-(1-N360/eco)^n),alpha*fck),0)</f>
      </c>
      <c r="P360" s="30">
        <f>PM_Angle!$J$10+PM_Angle!$K$10*$C360+PM_Angle!$L$10*$B360</f>
      </c>
      <c r="Q360" s="12">
        <f>IF(P360&gt;0,IF(P360&lt;=eco,alpha*fck*(1-(1-P360/eco)^n),alpha*fck),0)</f>
      </c>
      <c r="R360" s="30">
        <f>PM_Angle!$J$11+PM_Angle!$K$11*$C360+PM_Angle!$L$11*$B360</f>
      </c>
      <c r="S360" s="12">
        <f>IF(R360&gt;0,IF(R360&lt;=eco,alpha*fck*(1-(1-R360/eco)^n),alpha*fck),0)</f>
      </c>
      <c r="T360" s="30">
        <f>PM_Angle!$J$12+PM_Angle!$K$12*$C360+PM_Angle!$L$12*$B360</f>
      </c>
      <c r="U360" s="12">
        <f>IF(T360&gt;0,IF(T360&lt;=eco,alpha*fck*(1-(1-T360/eco)^n),alpha*fck),0)</f>
      </c>
      <c r="V360" s="30">
        <f>PM_Angle!$J$13+PM_Angle!$K$13*$C360+PM_Angle!$L$13*$B360</f>
      </c>
      <c r="W360" s="12">
        <f>IF(V360&gt;0,IF(V360&lt;=eco,alpha*fck*(1-(1-V360/eco)^n),alpha*fck),0)</f>
      </c>
      <c r="X360" s="30">
        <f>PM_Angle!$J$14+PM_Angle!$K$14*$C360+PM_Angle!$L$14*$B360</f>
      </c>
      <c r="Y360" s="12">
        <f>IF(X360&gt;0,IF(X360&lt;=eco,alpha*fck*(1-(1-X360/eco)^n),alpha*fck),0)</f>
      </c>
      <c r="Z360" s="30">
        <f>PM_Angle!$J$15+PM_Angle!$K$15*$C360+PM_Angle!$L$15*$B360</f>
      </c>
      <c r="AA360" s="12">
        <f>IF(Z360&gt;0,IF(Z360&lt;=eco,alpha*fck*(1-(1-Z360/eco)^n),alpha*fck),0)</f>
      </c>
      <c r="AB360" s="30">
        <f>PM_Angle!$J$16+PM_Angle!$K$16*$C360+PM_Angle!$L$16*$B360</f>
      </c>
      <c r="AC360" s="12">
        <f>IF(AB360&gt;0,IF(AB360&lt;=eco,alpha*fck*(1-(1-AB360/eco)^n),alpha*fck),0)</f>
      </c>
      <c r="AD360" s="30">
        <f>PM_Angle!$J$17+PM_Angle!$K$17*$C360+PM_Angle!$L$17*$B360</f>
      </c>
      <c r="AE360" s="12">
        <f>IF(AD360&gt;0,IF(AD360&lt;=eco,alpha*fck*(1-(1-AD360/eco)^n),alpha*fck),0)</f>
      </c>
      <c r="AF360" s="30">
        <f>PM_Angle!$J$18+PM_Angle!$K$18*$C360+PM_Angle!$L$18*$B360</f>
      </c>
      <c r="AG360" s="12">
        <f>IF(AF360&gt;0,IF(AF360&lt;=eco,alpha*fck*(1-(1-AF360/eco)^n),alpha*fck),0)</f>
      </c>
      <c r="AH360" s="30">
        <f>PM_Angle!$J$19+PM_Angle!$K$19*$C360+PM_Angle!$L$19*$B360</f>
      </c>
      <c r="AI360" s="12">
        <f>IF(AH360&gt;0,IF(AH360&lt;=eco,alpha*fck*(1-(1-AH360/eco)^n),alpha*fck),0)</f>
      </c>
      <c r="AJ360" s="30">
        <f>PM_Angle!$J$20+PM_Angle!$K$20*$C360+PM_Angle!$L$20*$B360</f>
      </c>
      <c r="AK360" s="12">
        <f>IF(AJ360&gt;0,IF(AJ360&lt;=eco,alpha*fck*(1-(1-AJ360/eco)^n),alpha*fck),0)</f>
      </c>
      <c r="AL360" s="30">
        <f>PM_Angle!$J$21+PM_Angle!$K$21*$C360+PM_Angle!$L$21*$B360</f>
      </c>
      <c r="AM360" s="12">
        <f>IF(AL360&gt;0,IF(AL360&lt;=eco,alpha*fck*(1-(1-AL360/eco)^n),alpha*fck),0)</f>
      </c>
      <c r="AN360" s="30">
        <f>PM_Angle!$J$22+PM_Angle!$K$22*$C360+PM_Angle!$L$22*$B360</f>
      </c>
      <c r="AO360" s="12">
        <f>IF(AN360&gt;0,IF(AN360&lt;=eco,alpha*fck*(1-(1-AN360/eco)^n),alpha*fck),0)</f>
      </c>
      <c r="AP360" s="30">
        <f>PM_Angle!$J$23+PM_Angle!$K$23*$C360+PM_Angle!$L$23*$B360</f>
      </c>
      <c r="AQ360" s="12">
        <f>IF(AP360&gt;0,IF(AP360&lt;=eco,alpha*fck*(1-(1-AP360/eco)^n),alpha*fck),0)</f>
      </c>
      <c r="AR360" s="30">
        <f>PM_Angle!$J$24+PM_Angle!$K$24*$C360+PM_Angle!$L$24*$B360</f>
      </c>
      <c r="AS360" s="12">
        <f>IF(AR360&gt;0,IF(AR360&lt;=eco,alpha*fck*(1-(1-AR360/eco)^n),alpha*fck),0)</f>
      </c>
      <c r="AT360" s="30">
        <f>PM_Angle!$J$25+PM_Angle!$K$25*$C360+PM_Angle!$L$25*$B360</f>
      </c>
      <c r="AU360" s="12">
        <f>IF(AT360&gt;0,IF(AT360&lt;=eco,alpha*fck*(1-(1-AT360/eco)^n),alpha*fck),0)</f>
      </c>
    </row>
    <row r="361" spans="1:47" x14ac:dyDescent="0.25">
      <c r="A361">
        <f>Mesh!A358</f>
      </c>
      <c r="B361" s="12">
        <f>Mesh!B358</f>
      </c>
      <c r="C361" s="12">
        <f>Mesh!C358</f>
      </c>
      <c r="D361" s="12">
        <f>Mesh!D358</f>
      </c>
      <c r="E361" s="30">
        <f>INDEX(St_e0,Det+1)+INDEX(St_kx,Det+1)*C361+INDEX(St_ky,Det+1)*B361</f>
      </c>
      <c r="F361" s="12">
        <f>IF(E361&gt;0,IF(E361&lt;=eco,alpha*fck*(1-(1-E361/eco)^n),alpha*fck),0)</f>
      </c>
      <c r="G361" s="11">
        <f>F361*D361</f>
      </c>
      <c r="H361" s="11">
        <f>G361*C361</f>
      </c>
      <c r="I361" s="11">
        <f>G361*B361</f>
      </c>
      <c r="J361" s="30">
        <f>PM_Angle!$J$7+PM_Angle!$K$7*$C361+PM_Angle!$L$7*$B361</f>
      </c>
      <c r="K361" s="12">
        <f>IF(J361&gt;0,IF(J361&lt;=eco,alpha*fck*(1-(1-J361/eco)^n),alpha*fck),0)</f>
      </c>
      <c r="L361" s="30">
        <f>PM_Angle!$J$8+PM_Angle!$K$8*$C361+PM_Angle!$L$8*$B361</f>
      </c>
      <c r="M361" s="12">
        <f>IF(L361&gt;0,IF(L361&lt;=eco,alpha*fck*(1-(1-L361/eco)^n),alpha*fck),0)</f>
      </c>
      <c r="N361" s="30">
        <f>PM_Angle!$J$9+PM_Angle!$K$9*$C361+PM_Angle!$L$9*$B361</f>
      </c>
      <c r="O361" s="12">
        <f>IF(N361&gt;0,IF(N361&lt;=eco,alpha*fck*(1-(1-N361/eco)^n),alpha*fck),0)</f>
      </c>
      <c r="P361" s="30">
        <f>PM_Angle!$J$10+PM_Angle!$K$10*$C361+PM_Angle!$L$10*$B361</f>
      </c>
      <c r="Q361" s="12">
        <f>IF(P361&gt;0,IF(P361&lt;=eco,alpha*fck*(1-(1-P361/eco)^n),alpha*fck),0)</f>
      </c>
      <c r="R361" s="30">
        <f>PM_Angle!$J$11+PM_Angle!$K$11*$C361+PM_Angle!$L$11*$B361</f>
      </c>
      <c r="S361" s="12">
        <f>IF(R361&gt;0,IF(R361&lt;=eco,alpha*fck*(1-(1-R361/eco)^n),alpha*fck),0)</f>
      </c>
      <c r="T361" s="30">
        <f>PM_Angle!$J$12+PM_Angle!$K$12*$C361+PM_Angle!$L$12*$B361</f>
      </c>
      <c r="U361" s="12">
        <f>IF(T361&gt;0,IF(T361&lt;=eco,alpha*fck*(1-(1-T361/eco)^n),alpha*fck),0)</f>
      </c>
      <c r="V361" s="30">
        <f>PM_Angle!$J$13+PM_Angle!$K$13*$C361+PM_Angle!$L$13*$B361</f>
      </c>
      <c r="W361" s="12">
        <f>IF(V361&gt;0,IF(V361&lt;=eco,alpha*fck*(1-(1-V361/eco)^n),alpha*fck),0)</f>
      </c>
      <c r="X361" s="30">
        <f>PM_Angle!$J$14+PM_Angle!$K$14*$C361+PM_Angle!$L$14*$B361</f>
      </c>
      <c r="Y361" s="12">
        <f>IF(X361&gt;0,IF(X361&lt;=eco,alpha*fck*(1-(1-X361/eco)^n),alpha*fck),0)</f>
      </c>
      <c r="Z361" s="30">
        <f>PM_Angle!$J$15+PM_Angle!$K$15*$C361+PM_Angle!$L$15*$B361</f>
      </c>
      <c r="AA361" s="12">
        <f>IF(Z361&gt;0,IF(Z361&lt;=eco,alpha*fck*(1-(1-Z361/eco)^n),alpha*fck),0)</f>
      </c>
      <c r="AB361" s="30">
        <f>PM_Angle!$J$16+PM_Angle!$K$16*$C361+PM_Angle!$L$16*$B361</f>
      </c>
      <c r="AC361" s="12">
        <f>IF(AB361&gt;0,IF(AB361&lt;=eco,alpha*fck*(1-(1-AB361/eco)^n),alpha*fck),0)</f>
      </c>
      <c r="AD361" s="30">
        <f>PM_Angle!$J$17+PM_Angle!$K$17*$C361+PM_Angle!$L$17*$B361</f>
      </c>
      <c r="AE361" s="12">
        <f>IF(AD361&gt;0,IF(AD361&lt;=eco,alpha*fck*(1-(1-AD361/eco)^n),alpha*fck),0)</f>
      </c>
      <c r="AF361" s="30">
        <f>PM_Angle!$J$18+PM_Angle!$K$18*$C361+PM_Angle!$L$18*$B361</f>
      </c>
      <c r="AG361" s="12">
        <f>IF(AF361&gt;0,IF(AF361&lt;=eco,alpha*fck*(1-(1-AF361/eco)^n),alpha*fck),0)</f>
      </c>
      <c r="AH361" s="30">
        <f>PM_Angle!$J$19+PM_Angle!$K$19*$C361+PM_Angle!$L$19*$B361</f>
      </c>
      <c r="AI361" s="12">
        <f>IF(AH361&gt;0,IF(AH361&lt;=eco,alpha*fck*(1-(1-AH361/eco)^n),alpha*fck),0)</f>
      </c>
      <c r="AJ361" s="30">
        <f>PM_Angle!$J$20+PM_Angle!$K$20*$C361+PM_Angle!$L$20*$B361</f>
      </c>
      <c r="AK361" s="12">
        <f>IF(AJ361&gt;0,IF(AJ361&lt;=eco,alpha*fck*(1-(1-AJ361/eco)^n),alpha*fck),0)</f>
      </c>
      <c r="AL361" s="30">
        <f>PM_Angle!$J$21+PM_Angle!$K$21*$C361+PM_Angle!$L$21*$B361</f>
      </c>
      <c r="AM361" s="12">
        <f>IF(AL361&gt;0,IF(AL361&lt;=eco,alpha*fck*(1-(1-AL361/eco)^n),alpha*fck),0)</f>
      </c>
      <c r="AN361" s="30">
        <f>PM_Angle!$J$22+PM_Angle!$K$22*$C361+PM_Angle!$L$22*$B361</f>
      </c>
      <c r="AO361" s="12">
        <f>IF(AN361&gt;0,IF(AN361&lt;=eco,alpha*fck*(1-(1-AN361/eco)^n),alpha*fck),0)</f>
      </c>
      <c r="AP361" s="30">
        <f>PM_Angle!$J$23+PM_Angle!$K$23*$C361+PM_Angle!$L$23*$B361</f>
      </c>
      <c r="AQ361" s="12">
        <f>IF(AP361&gt;0,IF(AP361&lt;=eco,alpha*fck*(1-(1-AP361/eco)^n),alpha*fck),0)</f>
      </c>
      <c r="AR361" s="30">
        <f>PM_Angle!$J$24+PM_Angle!$K$24*$C361+PM_Angle!$L$24*$B361</f>
      </c>
      <c r="AS361" s="12">
        <f>IF(AR361&gt;0,IF(AR361&lt;=eco,alpha*fck*(1-(1-AR361/eco)^n),alpha*fck),0)</f>
      </c>
      <c r="AT361" s="30">
        <f>PM_Angle!$J$25+PM_Angle!$K$25*$C361+PM_Angle!$L$25*$B361</f>
      </c>
      <c r="AU361" s="12">
        <f>IF(AT361&gt;0,IF(AT361&lt;=eco,alpha*fck*(1-(1-AT361/eco)^n),alpha*fck),0)</f>
      </c>
    </row>
    <row r="362" spans="1:47" x14ac:dyDescent="0.25">
      <c r="A362">
        <f>Mesh!A359</f>
      </c>
      <c r="B362" s="12">
        <f>Mesh!B359</f>
      </c>
      <c r="C362" s="12">
        <f>Mesh!C359</f>
      </c>
      <c r="D362" s="12">
        <f>Mesh!D359</f>
      </c>
      <c r="E362" s="30">
        <f>INDEX(St_e0,Det+1)+INDEX(St_kx,Det+1)*C362+INDEX(St_ky,Det+1)*B362</f>
      </c>
      <c r="F362" s="12">
        <f>IF(E362&gt;0,IF(E362&lt;=eco,alpha*fck*(1-(1-E362/eco)^n),alpha*fck),0)</f>
      </c>
      <c r="G362" s="11">
        <f>F362*D362</f>
      </c>
      <c r="H362" s="11">
        <f>G362*C362</f>
      </c>
      <c r="I362" s="11">
        <f>G362*B362</f>
      </c>
      <c r="J362" s="30">
        <f>PM_Angle!$J$7+PM_Angle!$K$7*$C362+PM_Angle!$L$7*$B362</f>
      </c>
      <c r="K362" s="12">
        <f>IF(J362&gt;0,IF(J362&lt;=eco,alpha*fck*(1-(1-J362/eco)^n),alpha*fck),0)</f>
      </c>
      <c r="L362" s="30">
        <f>PM_Angle!$J$8+PM_Angle!$K$8*$C362+PM_Angle!$L$8*$B362</f>
      </c>
      <c r="M362" s="12">
        <f>IF(L362&gt;0,IF(L362&lt;=eco,alpha*fck*(1-(1-L362/eco)^n),alpha*fck),0)</f>
      </c>
      <c r="N362" s="30">
        <f>PM_Angle!$J$9+PM_Angle!$K$9*$C362+PM_Angle!$L$9*$B362</f>
      </c>
      <c r="O362" s="12">
        <f>IF(N362&gt;0,IF(N362&lt;=eco,alpha*fck*(1-(1-N362/eco)^n),alpha*fck),0)</f>
      </c>
      <c r="P362" s="30">
        <f>PM_Angle!$J$10+PM_Angle!$K$10*$C362+PM_Angle!$L$10*$B362</f>
      </c>
      <c r="Q362" s="12">
        <f>IF(P362&gt;0,IF(P362&lt;=eco,alpha*fck*(1-(1-P362/eco)^n),alpha*fck),0)</f>
      </c>
      <c r="R362" s="30">
        <f>PM_Angle!$J$11+PM_Angle!$K$11*$C362+PM_Angle!$L$11*$B362</f>
      </c>
      <c r="S362" s="12">
        <f>IF(R362&gt;0,IF(R362&lt;=eco,alpha*fck*(1-(1-R362/eco)^n),alpha*fck),0)</f>
      </c>
      <c r="T362" s="30">
        <f>PM_Angle!$J$12+PM_Angle!$K$12*$C362+PM_Angle!$L$12*$B362</f>
      </c>
      <c r="U362" s="12">
        <f>IF(T362&gt;0,IF(T362&lt;=eco,alpha*fck*(1-(1-T362/eco)^n),alpha*fck),0)</f>
      </c>
      <c r="V362" s="30">
        <f>PM_Angle!$J$13+PM_Angle!$K$13*$C362+PM_Angle!$L$13*$B362</f>
      </c>
      <c r="W362" s="12">
        <f>IF(V362&gt;0,IF(V362&lt;=eco,alpha*fck*(1-(1-V362/eco)^n),alpha*fck),0)</f>
      </c>
      <c r="X362" s="30">
        <f>PM_Angle!$J$14+PM_Angle!$K$14*$C362+PM_Angle!$L$14*$B362</f>
      </c>
      <c r="Y362" s="12">
        <f>IF(X362&gt;0,IF(X362&lt;=eco,alpha*fck*(1-(1-X362/eco)^n),alpha*fck),0)</f>
      </c>
      <c r="Z362" s="30">
        <f>PM_Angle!$J$15+PM_Angle!$K$15*$C362+PM_Angle!$L$15*$B362</f>
      </c>
      <c r="AA362" s="12">
        <f>IF(Z362&gt;0,IF(Z362&lt;=eco,alpha*fck*(1-(1-Z362/eco)^n),alpha*fck),0)</f>
      </c>
      <c r="AB362" s="30">
        <f>PM_Angle!$J$16+PM_Angle!$K$16*$C362+PM_Angle!$L$16*$B362</f>
      </c>
      <c r="AC362" s="12">
        <f>IF(AB362&gt;0,IF(AB362&lt;=eco,alpha*fck*(1-(1-AB362/eco)^n),alpha*fck),0)</f>
      </c>
      <c r="AD362" s="30">
        <f>PM_Angle!$J$17+PM_Angle!$K$17*$C362+PM_Angle!$L$17*$B362</f>
      </c>
      <c r="AE362" s="12">
        <f>IF(AD362&gt;0,IF(AD362&lt;=eco,alpha*fck*(1-(1-AD362/eco)^n),alpha*fck),0)</f>
      </c>
      <c r="AF362" s="30">
        <f>PM_Angle!$J$18+PM_Angle!$K$18*$C362+PM_Angle!$L$18*$B362</f>
      </c>
      <c r="AG362" s="12">
        <f>IF(AF362&gt;0,IF(AF362&lt;=eco,alpha*fck*(1-(1-AF362/eco)^n),alpha*fck),0)</f>
      </c>
      <c r="AH362" s="30">
        <f>PM_Angle!$J$19+PM_Angle!$K$19*$C362+PM_Angle!$L$19*$B362</f>
      </c>
      <c r="AI362" s="12">
        <f>IF(AH362&gt;0,IF(AH362&lt;=eco,alpha*fck*(1-(1-AH362/eco)^n),alpha*fck),0)</f>
      </c>
      <c r="AJ362" s="30">
        <f>PM_Angle!$J$20+PM_Angle!$K$20*$C362+PM_Angle!$L$20*$B362</f>
      </c>
      <c r="AK362" s="12">
        <f>IF(AJ362&gt;0,IF(AJ362&lt;=eco,alpha*fck*(1-(1-AJ362/eco)^n),alpha*fck),0)</f>
      </c>
      <c r="AL362" s="30">
        <f>PM_Angle!$J$21+PM_Angle!$K$21*$C362+PM_Angle!$L$21*$B362</f>
      </c>
      <c r="AM362" s="12">
        <f>IF(AL362&gt;0,IF(AL362&lt;=eco,alpha*fck*(1-(1-AL362/eco)^n),alpha*fck),0)</f>
      </c>
      <c r="AN362" s="30">
        <f>PM_Angle!$J$22+PM_Angle!$K$22*$C362+PM_Angle!$L$22*$B362</f>
      </c>
      <c r="AO362" s="12">
        <f>IF(AN362&gt;0,IF(AN362&lt;=eco,alpha*fck*(1-(1-AN362/eco)^n),alpha*fck),0)</f>
      </c>
      <c r="AP362" s="30">
        <f>PM_Angle!$J$23+PM_Angle!$K$23*$C362+PM_Angle!$L$23*$B362</f>
      </c>
      <c r="AQ362" s="12">
        <f>IF(AP362&gt;0,IF(AP362&lt;=eco,alpha*fck*(1-(1-AP362/eco)^n),alpha*fck),0)</f>
      </c>
      <c r="AR362" s="30">
        <f>PM_Angle!$J$24+PM_Angle!$K$24*$C362+PM_Angle!$L$24*$B362</f>
      </c>
      <c r="AS362" s="12">
        <f>IF(AR362&gt;0,IF(AR362&lt;=eco,alpha*fck*(1-(1-AR362/eco)^n),alpha*fck),0)</f>
      </c>
      <c r="AT362" s="30">
        <f>PM_Angle!$J$25+PM_Angle!$K$25*$C362+PM_Angle!$L$25*$B362</f>
      </c>
      <c r="AU362" s="12">
        <f>IF(AT362&gt;0,IF(AT362&lt;=eco,alpha*fck*(1-(1-AT362/eco)^n),alpha*fck),0)</f>
      </c>
    </row>
    <row r="363" spans="1:47" x14ac:dyDescent="0.25">
      <c r="A363">
        <f>Mesh!A360</f>
      </c>
      <c r="B363" s="12">
        <f>Mesh!B360</f>
      </c>
      <c r="C363" s="12">
        <f>Mesh!C360</f>
      </c>
      <c r="D363" s="12">
        <f>Mesh!D360</f>
      </c>
      <c r="E363" s="30">
        <f>INDEX(St_e0,Det+1)+INDEX(St_kx,Det+1)*C363+INDEX(St_ky,Det+1)*B363</f>
      </c>
      <c r="F363" s="12">
        <f>IF(E363&gt;0,IF(E363&lt;=eco,alpha*fck*(1-(1-E363/eco)^n),alpha*fck),0)</f>
      </c>
      <c r="G363" s="11">
        <f>F363*D363</f>
      </c>
      <c r="H363" s="11">
        <f>G363*C363</f>
      </c>
      <c r="I363" s="11">
        <f>G363*B363</f>
      </c>
      <c r="J363" s="30">
        <f>PM_Angle!$J$7+PM_Angle!$K$7*$C363+PM_Angle!$L$7*$B363</f>
      </c>
      <c r="K363" s="12">
        <f>IF(J363&gt;0,IF(J363&lt;=eco,alpha*fck*(1-(1-J363/eco)^n),alpha*fck),0)</f>
      </c>
      <c r="L363" s="30">
        <f>PM_Angle!$J$8+PM_Angle!$K$8*$C363+PM_Angle!$L$8*$B363</f>
      </c>
      <c r="M363" s="12">
        <f>IF(L363&gt;0,IF(L363&lt;=eco,alpha*fck*(1-(1-L363/eco)^n),alpha*fck),0)</f>
      </c>
      <c r="N363" s="30">
        <f>PM_Angle!$J$9+PM_Angle!$K$9*$C363+PM_Angle!$L$9*$B363</f>
      </c>
      <c r="O363" s="12">
        <f>IF(N363&gt;0,IF(N363&lt;=eco,alpha*fck*(1-(1-N363/eco)^n),alpha*fck),0)</f>
      </c>
      <c r="P363" s="30">
        <f>PM_Angle!$J$10+PM_Angle!$K$10*$C363+PM_Angle!$L$10*$B363</f>
      </c>
      <c r="Q363" s="12">
        <f>IF(P363&gt;0,IF(P363&lt;=eco,alpha*fck*(1-(1-P363/eco)^n),alpha*fck),0)</f>
      </c>
      <c r="R363" s="30">
        <f>PM_Angle!$J$11+PM_Angle!$K$11*$C363+PM_Angle!$L$11*$B363</f>
      </c>
      <c r="S363" s="12">
        <f>IF(R363&gt;0,IF(R363&lt;=eco,alpha*fck*(1-(1-R363/eco)^n),alpha*fck),0)</f>
      </c>
      <c r="T363" s="30">
        <f>PM_Angle!$J$12+PM_Angle!$K$12*$C363+PM_Angle!$L$12*$B363</f>
      </c>
      <c r="U363" s="12">
        <f>IF(T363&gt;0,IF(T363&lt;=eco,alpha*fck*(1-(1-T363/eco)^n),alpha*fck),0)</f>
      </c>
      <c r="V363" s="30">
        <f>PM_Angle!$J$13+PM_Angle!$K$13*$C363+PM_Angle!$L$13*$B363</f>
      </c>
      <c r="W363" s="12">
        <f>IF(V363&gt;0,IF(V363&lt;=eco,alpha*fck*(1-(1-V363/eco)^n),alpha*fck),0)</f>
      </c>
      <c r="X363" s="30">
        <f>PM_Angle!$J$14+PM_Angle!$K$14*$C363+PM_Angle!$L$14*$B363</f>
      </c>
      <c r="Y363" s="12">
        <f>IF(X363&gt;0,IF(X363&lt;=eco,alpha*fck*(1-(1-X363/eco)^n),alpha*fck),0)</f>
      </c>
      <c r="Z363" s="30">
        <f>PM_Angle!$J$15+PM_Angle!$K$15*$C363+PM_Angle!$L$15*$B363</f>
      </c>
      <c r="AA363" s="12">
        <f>IF(Z363&gt;0,IF(Z363&lt;=eco,alpha*fck*(1-(1-Z363/eco)^n),alpha*fck),0)</f>
      </c>
      <c r="AB363" s="30">
        <f>PM_Angle!$J$16+PM_Angle!$K$16*$C363+PM_Angle!$L$16*$B363</f>
      </c>
      <c r="AC363" s="12">
        <f>IF(AB363&gt;0,IF(AB363&lt;=eco,alpha*fck*(1-(1-AB363/eco)^n),alpha*fck),0)</f>
      </c>
      <c r="AD363" s="30">
        <f>PM_Angle!$J$17+PM_Angle!$K$17*$C363+PM_Angle!$L$17*$B363</f>
      </c>
      <c r="AE363" s="12">
        <f>IF(AD363&gt;0,IF(AD363&lt;=eco,alpha*fck*(1-(1-AD363/eco)^n),alpha*fck),0)</f>
      </c>
      <c r="AF363" s="30">
        <f>PM_Angle!$J$18+PM_Angle!$K$18*$C363+PM_Angle!$L$18*$B363</f>
      </c>
      <c r="AG363" s="12">
        <f>IF(AF363&gt;0,IF(AF363&lt;=eco,alpha*fck*(1-(1-AF363/eco)^n),alpha*fck),0)</f>
      </c>
      <c r="AH363" s="30">
        <f>PM_Angle!$J$19+PM_Angle!$K$19*$C363+PM_Angle!$L$19*$B363</f>
      </c>
      <c r="AI363" s="12">
        <f>IF(AH363&gt;0,IF(AH363&lt;=eco,alpha*fck*(1-(1-AH363/eco)^n),alpha*fck),0)</f>
      </c>
      <c r="AJ363" s="30">
        <f>PM_Angle!$J$20+PM_Angle!$K$20*$C363+PM_Angle!$L$20*$B363</f>
      </c>
      <c r="AK363" s="12">
        <f>IF(AJ363&gt;0,IF(AJ363&lt;=eco,alpha*fck*(1-(1-AJ363/eco)^n),alpha*fck),0)</f>
      </c>
      <c r="AL363" s="30">
        <f>PM_Angle!$J$21+PM_Angle!$K$21*$C363+PM_Angle!$L$21*$B363</f>
      </c>
      <c r="AM363" s="12">
        <f>IF(AL363&gt;0,IF(AL363&lt;=eco,alpha*fck*(1-(1-AL363/eco)^n),alpha*fck),0)</f>
      </c>
      <c r="AN363" s="30">
        <f>PM_Angle!$J$22+PM_Angle!$K$22*$C363+PM_Angle!$L$22*$B363</f>
      </c>
      <c r="AO363" s="12">
        <f>IF(AN363&gt;0,IF(AN363&lt;=eco,alpha*fck*(1-(1-AN363/eco)^n),alpha*fck),0)</f>
      </c>
      <c r="AP363" s="30">
        <f>PM_Angle!$J$23+PM_Angle!$K$23*$C363+PM_Angle!$L$23*$B363</f>
      </c>
      <c r="AQ363" s="12">
        <f>IF(AP363&gt;0,IF(AP363&lt;=eco,alpha*fck*(1-(1-AP363/eco)^n),alpha*fck),0)</f>
      </c>
      <c r="AR363" s="30">
        <f>PM_Angle!$J$24+PM_Angle!$K$24*$C363+PM_Angle!$L$24*$B363</f>
      </c>
      <c r="AS363" s="12">
        <f>IF(AR363&gt;0,IF(AR363&lt;=eco,alpha*fck*(1-(1-AR363/eco)^n),alpha*fck),0)</f>
      </c>
      <c r="AT363" s="30">
        <f>PM_Angle!$J$25+PM_Angle!$K$25*$C363+PM_Angle!$L$25*$B363</f>
      </c>
      <c r="AU363" s="12">
        <f>IF(AT363&gt;0,IF(AT363&lt;=eco,alpha*fck*(1-(1-AT363/eco)^n),alpha*fck),0)</f>
      </c>
    </row>
    <row r="364" spans="1:47" x14ac:dyDescent="0.25">
      <c r="A364">
        <f>Mesh!A361</f>
      </c>
      <c r="B364" s="12">
        <f>Mesh!B361</f>
      </c>
      <c r="C364" s="12">
        <f>Mesh!C361</f>
      </c>
      <c r="D364" s="12">
        <f>Mesh!D361</f>
      </c>
      <c r="E364" s="30">
        <f>INDEX(St_e0,Det+1)+INDEX(St_kx,Det+1)*C364+INDEX(St_ky,Det+1)*B364</f>
      </c>
      <c r="F364" s="12">
        <f>IF(E364&gt;0,IF(E364&lt;=eco,alpha*fck*(1-(1-E364/eco)^n),alpha*fck),0)</f>
      </c>
      <c r="G364" s="11">
        <f>F364*D364</f>
      </c>
      <c r="H364" s="11">
        <f>G364*C364</f>
      </c>
      <c r="I364" s="11">
        <f>G364*B364</f>
      </c>
      <c r="J364" s="30">
        <f>PM_Angle!$J$7+PM_Angle!$K$7*$C364+PM_Angle!$L$7*$B364</f>
      </c>
      <c r="K364" s="12">
        <f>IF(J364&gt;0,IF(J364&lt;=eco,alpha*fck*(1-(1-J364/eco)^n),alpha*fck),0)</f>
      </c>
      <c r="L364" s="30">
        <f>PM_Angle!$J$8+PM_Angle!$K$8*$C364+PM_Angle!$L$8*$B364</f>
      </c>
      <c r="M364" s="12">
        <f>IF(L364&gt;0,IF(L364&lt;=eco,alpha*fck*(1-(1-L364/eco)^n),alpha*fck),0)</f>
      </c>
      <c r="N364" s="30">
        <f>PM_Angle!$J$9+PM_Angle!$K$9*$C364+PM_Angle!$L$9*$B364</f>
      </c>
      <c r="O364" s="12">
        <f>IF(N364&gt;0,IF(N364&lt;=eco,alpha*fck*(1-(1-N364/eco)^n),alpha*fck),0)</f>
      </c>
      <c r="P364" s="30">
        <f>PM_Angle!$J$10+PM_Angle!$K$10*$C364+PM_Angle!$L$10*$B364</f>
      </c>
      <c r="Q364" s="12">
        <f>IF(P364&gt;0,IF(P364&lt;=eco,alpha*fck*(1-(1-P364/eco)^n),alpha*fck),0)</f>
      </c>
      <c r="R364" s="30">
        <f>PM_Angle!$J$11+PM_Angle!$K$11*$C364+PM_Angle!$L$11*$B364</f>
      </c>
      <c r="S364" s="12">
        <f>IF(R364&gt;0,IF(R364&lt;=eco,alpha*fck*(1-(1-R364/eco)^n),alpha*fck),0)</f>
      </c>
      <c r="T364" s="30">
        <f>PM_Angle!$J$12+PM_Angle!$K$12*$C364+PM_Angle!$L$12*$B364</f>
      </c>
      <c r="U364" s="12">
        <f>IF(T364&gt;0,IF(T364&lt;=eco,alpha*fck*(1-(1-T364/eco)^n),alpha*fck),0)</f>
      </c>
      <c r="V364" s="30">
        <f>PM_Angle!$J$13+PM_Angle!$K$13*$C364+PM_Angle!$L$13*$B364</f>
      </c>
      <c r="W364" s="12">
        <f>IF(V364&gt;0,IF(V364&lt;=eco,alpha*fck*(1-(1-V364/eco)^n),alpha*fck),0)</f>
      </c>
      <c r="X364" s="30">
        <f>PM_Angle!$J$14+PM_Angle!$K$14*$C364+PM_Angle!$L$14*$B364</f>
      </c>
      <c r="Y364" s="12">
        <f>IF(X364&gt;0,IF(X364&lt;=eco,alpha*fck*(1-(1-X364/eco)^n),alpha*fck),0)</f>
      </c>
      <c r="Z364" s="30">
        <f>PM_Angle!$J$15+PM_Angle!$K$15*$C364+PM_Angle!$L$15*$B364</f>
      </c>
      <c r="AA364" s="12">
        <f>IF(Z364&gt;0,IF(Z364&lt;=eco,alpha*fck*(1-(1-Z364/eco)^n),alpha*fck),0)</f>
      </c>
      <c r="AB364" s="30">
        <f>PM_Angle!$J$16+PM_Angle!$K$16*$C364+PM_Angle!$L$16*$B364</f>
      </c>
      <c r="AC364" s="12">
        <f>IF(AB364&gt;0,IF(AB364&lt;=eco,alpha*fck*(1-(1-AB364/eco)^n),alpha*fck),0)</f>
      </c>
      <c r="AD364" s="30">
        <f>PM_Angle!$J$17+PM_Angle!$K$17*$C364+PM_Angle!$L$17*$B364</f>
      </c>
      <c r="AE364" s="12">
        <f>IF(AD364&gt;0,IF(AD364&lt;=eco,alpha*fck*(1-(1-AD364/eco)^n),alpha*fck),0)</f>
      </c>
      <c r="AF364" s="30">
        <f>PM_Angle!$J$18+PM_Angle!$K$18*$C364+PM_Angle!$L$18*$B364</f>
      </c>
      <c r="AG364" s="12">
        <f>IF(AF364&gt;0,IF(AF364&lt;=eco,alpha*fck*(1-(1-AF364/eco)^n),alpha*fck),0)</f>
      </c>
      <c r="AH364" s="30">
        <f>PM_Angle!$J$19+PM_Angle!$K$19*$C364+PM_Angle!$L$19*$B364</f>
      </c>
      <c r="AI364" s="12">
        <f>IF(AH364&gt;0,IF(AH364&lt;=eco,alpha*fck*(1-(1-AH364/eco)^n),alpha*fck),0)</f>
      </c>
      <c r="AJ364" s="30">
        <f>PM_Angle!$J$20+PM_Angle!$K$20*$C364+PM_Angle!$L$20*$B364</f>
      </c>
      <c r="AK364" s="12">
        <f>IF(AJ364&gt;0,IF(AJ364&lt;=eco,alpha*fck*(1-(1-AJ364/eco)^n),alpha*fck),0)</f>
      </c>
      <c r="AL364" s="30">
        <f>PM_Angle!$J$21+PM_Angle!$K$21*$C364+PM_Angle!$L$21*$B364</f>
      </c>
      <c r="AM364" s="12">
        <f>IF(AL364&gt;0,IF(AL364&lt;=eco,alpha*fck*(1-(1-AL364/eco)^n),alpha*fck),0)</f>
      </c>
      <c r="AN364" s="30">
        <f>PM_Angle!$J$22+PM_Angle!$K$22*$C364+PM_Angle!$L$22*$B364</f>
      </c>
      <c r="AO364" s="12">
        <f>IF(AN364&gt;0,IF(AN364&lt;=eco,alpha*fck*(1-(1-AN364/eco)^n),alpha*fck),0)</f>
      </c>
      <c r="AP364" s="30">
        <f>PM_Angle!$J$23+PM_Angle!$K$23*$C364+PM_Angle!$L$23*$B364</f>
      </c>
      <c r="AQ364" s="12">
        <f>IF(AP364&gt;0,IF(AP364&lt;=eco,alpha*fck*(1-(1-AP364/eco)^n),alpha*fck),0)</f>
      </c>
      <c r="AR364" s="30">
        <f>PM_Angle!$J$24+PM_Angle!$K$24*$C364+PM_Angle!$L$24*$B364</f>
      </c>
      <c r="AS364" s="12">
        <f>IF(AR364&gt;0,IF(AR364&lt;=eco,alpha*fck*(1-(1-AR364/eco)^n),alpha*fck),0)</f>
      </c>
      <c r="AT364" s="30">
        <f>PM_Angle!$J$25+PM_Angle!$K$25*$C364+PM_Angle!$L$25*$B364</f>
      </c>
      <c r="AU364" s="12">
        <f>IF(AT364&gt;0,IF(AT364&lt;=eco,alpha*fck*(1-(1-AT364/eco)^n),alpha*fck),0)</f>
      </c>
    </row>
    <row r="365" spans="1:47" x14ac:dyDescent="0.25">
      <c r="A365">
        <f>Mesh!A362</f>
      </c>
      <c r="B365" s="12">
        <f>Mesh!B362</f>
      </c>
      <c r="C365" s="12">
        <f>Mesh!C362</f>
      </c>
      <c r="D365" s="12">
        <f>Mesh!D362</f>
      </c>
      <c r="E365" s="30">
        <f>INDEX(St_e0,Det+1)+INDEX(St_kx,Det+1)*C365+INDEX(St_ky,Det+1)*B365</f>
      </c>
      <c r="F365" s="12">
        <f>IF(E365&gt;0,IF(E365&lt;=eco,alpha*fck*(1-(1-E365/eco)^n),alpha*fck),0)</f>
      </c>
      <c r="G365" s="11">
        <f>F365*D365</f>
      </c>
      <c r="H365" s="11">
        <f>G365*C365</f>
      </c>
      <c r="I365" s="11">
        <f>G365*B365</f>
      </c>
      <c r="J365" s="30">
        <f>PM_Angle!$J$7+PM_Angle!$K$7*$C365+PM_Angle!$L$7*$B365</f>
      </c>
      <c r="K365" s="12">
        <f>IF(J365&gt;0,IF(J365&lt;=eco,alpha*fck*(1-(1-J365/eco)^n),alpha*fck),0)</f>
      </c>
      <c r="L365" s="30">
        <f>PM_Angle!$J$8+PM_Angle!$K$8*$C365+PM_Angle!$L$8*$B365</f>
      </c>
      <c r="M365" s="12">
        <f>IF(L365&gt;0,IF(L365&lt;=eco,alpha*fck*(1-(1-L365/eco)^n),alpha*fck),0)</f>
      </c>
      <c r="N365" s="30">
        <f>PM_Angle!$J$9+PM_Angle!$K$9*$C365+PM_Angle!$L$9*$B365</f>
      </c>
      <c r="O365" s="12">
        <f>IF(N365&gt;0,IF(N365&lt;=eco,alpha*fck*(1-(1-N365/eco)^n),alpha*fck),0)</f>
      </c>
      <c r="P365" s="30">
        <f>PM_Angle!$J$10+PM_Angle!$K$10*$C365+PM_Angle!$L$10*$B365</f>
      </c>
      <c r="Q365" s="12">
        <f>IF(P365&gt;0,IF(P365&lt;=eco,alpha*fck*(1-(1-P365/eco)^n),alpha*fck),0)</f>
      </c>
      <c r="R365" s="30">
        <f>PM_Angle!$J$11+PM_Angle!$K$11*$C365+PM_Angle!$L$11*$B365</f>
      </c>
      <c r="S365" s="12">
        <f>IF(R365&gt;0,IF(R365&lt;=eco,alpha*fck*(1-(1-R365/eco)^n),alpha*fck),0)</f>
      </c>
      <c r="T365" s="30">
        <f>PM_Angle!$J$12+PM_Angle!$K$12*$C365+PM_Angle!$L$12*$B365</f>
      </c>
      <c r="U365" s="12">
        <f>IF(T365&gt;0,IF(T365&lt;=eco,alpha*fck*(1-(1-T365/eco)^n),alpha*fck),0)</f>
      </c>
      <c r="V365" s="30">
        <f>PM_Angle!$J$13+PM_Angle!$K$13*$C365+PM_Angle!$L$13*$B365</f>
      </c>
      <c r="W365" s="12">
        <f>IF(V365&gt;0,IF(V365&lt;=eco,alpha*fck*(1-(1-V365/eco)^n),alpha*fck),0)</f>
      </c>
      <c r="X365" s="30">
        <f>PM_Angle!$J$14+PM_Angle!$K$14*$C365+PM_Angle!$L$14*$B365</f>
      </c>
      <c r="Y365" s="12">
        <f>IF(X365&gt;0,IF(X365&lt;=eco,alpha*fck*(1-(1-X365/eco)^n),alpha*fck),0)</f>
      </c>
      <c r="Z365" s="30">
        <f>PM_Angle!$J$15+PM_Angle!$K$15*$C365+PM_Angle!$L$15*$B365</f>
      </c>
      <c r="AA365" s="12">
        <f>IF(Z365&gt;0,IF(Z365&lt;=eco,alpha*fck*(1-(1-Z365/eco)^n),alpha*fck),0)</f>
      </c>
      <c r="AB365" s="30">
        <f>PM_Angle!$J$16+PM_Angle!$K$16*$C365+PM_Angle!$L$16*$B365</f>
      </c>
      <c r="AC365" s="12">
        <f>IF(AB365&gt;0,IF(AB365&lt;=eco,alpha*fck*(1-(1-AB365/eco)^n),alpha*fck),0)</f>
      </c>
      <c r="AD365" s="30">
        <f>PM_Angle!$J$17+PM_Angle!$K$17*$C365+PM_Angle!$L$17*$B365</f>
      </c>
      <c r="AE365" s="12">
        <f>IF(AD365&gt;0,IF(AD365&lt;=eco,alpha*fck*(1-(1-AD365/eco)^n),alpha*fck),0)</f>
      </c>
      <c r="AF365" s="30">
        <f>PM_Angle!$J$18+PM_Angle!$K$18*$C365+PM_Angle!$L$18*$B365</f>
      </c>
      <c r="AG365" s="12">
        <f>IF(AF365&gt;0,IF(AF365&lt;=eco,alpha*fck*(1-(1-AF365/eco)^n),alpha*fck),0)</f>
      </c>
      <c r="AH365" s="30">
        <f>PM_Angle!$J$19+PM_Angle!$K$19*$C365+PM_Angle!$L$19*$B365</f>
      </c>
      <c r="AI365" s="12">
        <f>IF(AH365&gt;0,IF(AH365&lt;=eco,alpha*fck*(1-(1-AH365/eco)^n),alpha*fck),0)</f>
      </c>
      <c r="AJ365" s="30">
        <f>PM_Angle!$J$20+PM_Angle!$K$20*$C365+PM_Angle!$L$20*$B365</f>
      </c>
      <c r="AK365" s="12">
        <f>IF(AJ365&gt;0,IF(AJ365&lt;=eco,alpha*fck*(1-(1-AJ365/eco)^n),alpha*fck),0)</f>
      </c>
      <c r="AL365" s="30">
        <f>PM_Angle!$J$21+PM_Angle!$K$21*$C365+PM_Angle!$L$21*$B365</f>
      </c>
      <c r="AM365" s="12">
        <f>IF(AL365&gt;0,IF(AL365&lt;=eco,alpha*fck*(1-(1-AL365/eco)^n),alpha*fck),0)</f>
      </c>
      <c r="AN365" s="30">
        <f>PM_Angle!$J$22+PM_Angle!$K$22*$C365+PM_Angle!$L$22*$B365</f>
      </c>
      <c r="AO365" s="12">
        <f>IF(AN365&gt;0,IF(AN365&lt;=eco,alpha*fck*(1-(1-AN365/eco)^n),alpha*fck),0)</f>
      </c>
      <c r="AP365" s="30">
        <f>PM_Angle!$J$23+PM_Angle!$K$23*$C365+PM_Angle!$L$23*$B365</f>
      </c>
      <c r="AQ365" s="12">
        <f>IF(AP365&gt;0,IF(AP365&lt;=eco,alpha*fck*(1-(1-AP365/eco)^n),alpha*fck),0)</f>
      </c>
      <c r="AR365" s="30">
        <f>PM_Angle!$J$24+PM_Angle!$K$24*$C365+PM_Angle!$L$24*$B365</f>
      </c>
      <c r="AS365" s="12">
        <f>IF(AR365&gt;0,IF(AR365&lt;=eco,alpha*fck*(1-(1-AR365/eco)^n),alpha*fck),0)</f>
      </c>
      <c r="AT365" s="30">
        <f>PM_Angle!$J$25+PM_Angle!$K$25*$C365+PM_Angle!$L$25*$B365</f>
      </c>
      <c r="AU365" s="12">
        <f>IF(AT365&gt;0,IF(AT365&lt;=eco,alpha*fck*(1-(1-AT365/eco)^n),alpha*fck),0)</f>
      </c>
    </row>
    <row r="366" spans="1:47" x14ac:dyDescent="0.25">
      <c r="A366">
        <f>Mesh!A363</f>
      </c>
      <c r="B366" s="12">
        <f>Mesh!B363</f>
      </c>
      <c r="C366" s="12">
        <f>Mesh!C363</f>
      </c>
      <c r="D366" s="12">
        <f>Mesh!D363</f>
      </c>
      <c r="E366" s="30">
        <f>INDEX(St_e0,Det+1)+INDEX(St_kx,Det+1)*C366+INDEX(St_ky,Det+1)*B366</f>
      </c>
      <c r="F366" s="12">
        <f>IF(E366&gt;0,IF(E366&lt;=eco,alpha*fck*(1-(1-E366/eco)^n),alpha*fck),0)</f>
      </c>
      <c r="G366" s="11">
        <f>F366*D366</f>
      </c>
      <c r="H366" s="11">
        <f>G366*C366</f>
      </c>
      <c r="I366" s="11">
        <f>G366*B366</f>
      </c>
      <c r="J366" s="30">
        <f>PM_Angle!$J$7+PM_Angle!$K$7*$C366+PM_Angle!$L$7*$B366</f>
      </c>
      <c r="K366" s="12">
        <f>IF(J366&gt;0,IF(J366&lt;=eco,alpha*fck*(1-(1-J366/eco)^n),alpha*fck),0)</f>
      </c>
      <c r="L366" s="30">
        <f>PM_Angle!$J$8+PM_Angle!$K$8*$C366+PM_Angle!$L$8*$B366</f>
      </c>
      <c r="M366" s="12">
        <f>IF(L366&gt;0,IF(L366&lt;=eco,alpha*fck*(1-(1-L366/eco)^n),alpha*fck),0)</f>
      </c>
      <c r="N366" s="30">
        <f>PM_Angle!$J$9+PM_Angle!$K$9*$C366+PM_Angle!$L$9*$B366</f>
      </c>
      <c r="O366" s="12">
        <f>IF(N366&gt;0,IF(N366&lt;=eco,alpha*fck*(1-(1-N366/eco)^n),alpha*fck),0)</f>
      </c>
      <c r="P366" s="30">
        <f>PM_Angle!$J$10+PM_Angle!$K$10*$C366+PM_Angle!$L$10*$B366</f>
      </c>
      <c r="Q366" s="12">
        <f>IF(P366&gt;0,IF(P366&lt;=eco,alpha*fck*(1-(1-P366/eco)^n),alpha*fck),0)</f>
      </c>
      <c r="R366" s="30">
        <f>PM_Angle!$J$11+PM_Angle!$K$11*$C366+PM_Angle!$L$11*$B366</f>
      </c>
      <c r="S366" s="12">
        <f>IF(R366&gt;0,IF(R366&lt;=eco,alpha*fck*(1-(1-R366/eco)^n),alpha*fck),0)</f>
      </c>
      <c r="T366" s="30">
        <f>PM_Angle!$J$12+PM_Angle!$K$12*$C366+PM_Angle!$L$12*$B366</f>
      </c>
      <c r="U366" s="12">
        <f>IF(T366&gt;0,IF(T366&lt;=eco,alpha*fck*(1-(1-T366/eco)^n),alpha*fck),0)</f>
      </c>
      <c r="V366" s="30">
        <f>PM_Angle!$J$13+PM_Angle!$K$13*$C366+PM_Angle!$L$13*$B366</f>
      </c>
      <c r="W366" s="12">
        <f>IF(V366&gt;0,IF(V366&lt;=eco,alpha*fck*(1-(1-V366/eco)^n),alpha*fck),0)</f>
      </c>
      <c r="X366" s="30">
        <f>PM_Angle!$J$14+PM_Angle!$K$14*$C366+PM_Angle!$L$14*$B366</f>
      </c>
      <c r="Y366" s="12">
        <f>IF(X366&gt;0,IF(X366&lt;=eco,alpha*fck*(1-(1-X366/eco)^n),alpha*fck),0)</f>
      </c>
      <c r="Z366" s="30">
        <f>PM_Angle!$J$15+PM_Angle!$K$15*$C366+PM_Angle!$L$15*$B366</f>
      </c>
      <c r="AA366" s="12">
        <f>IF(Z366&gt;0,IF(Z366&lt;=eco,alpha*fck*(1-(1-Z366/eco)^n),alpha*fck),0)</f>
      </c>
      <c r="AB366" s="30">
        <f>PM_Angle!$J$16+PM_Angle!$K$16*$C366+PM_Angle!$L$16*$B366</f>
      </c>
      <c r="AC366" s="12">
        <f>IF(AB366&gt;0,IF(AB366&lt;=eco,alpha*fck*(1-(1-AB366/eco)^n),alpha*fck),0)</f>
      </c>
      <c r="AD366" s="30">
        <f>PM_Angle!$J$17+PM_Angle!$K$17*$C366+PM_Angle!$L$17*$B366</f>
      </c>
      <c r="AE366" s="12">
        <f>IF(AD366&gt;0,IF(AD366&lt;=eco,alpha*fck*(1-(1-AD366/eco)^n),alpha*fck),0)</f>
      </c>
      <c r="AF366" s="30">
        <f>PM_Angle!$J$18+PM_Angle!$K$18*$C366+PM_Angle!$L$18*$B366</f>
      </c>
      <c r="AG366" s="12">
        <f>IF(AF366&gt;0,IF(AF366&lt;=eco,alpha*fck*(1-(1-AF366/eco)^n),alpha*fck),0)</f>
      </c>
      <c r="AH366" s="30">
        <f>PM_Angle!$J$19+PM_Angle!$K$19*$C366+PM_Angle!$L$19*$B366</f>
      </c>
      <c r="AI366" s="12">
        <f>IF(AH366&gt;0,IF(AH366&lt;=eco,alpha*fck*(1-(1-AH366/eco)^n),alpha*fck),0)</f>
      </c>
      <c r="AJ366" s="30">
        <f>PM_Angle!$J$20+PM_Angle!$K$20*$C366+PM_Angle!$L$20*$B366</f>
      </c>
      <c r="AK366" s="12">
        <f>IF(AJ366&gt;0,IF(AJ366&lt;=eco,alpha*fck*(1-(1-AJ366/eco)^n),alpha*fck),0)</f>
      </c>
      <c r="AL366" s="30">
        <f>PM_Angle!$J$21+PM_Angle!$K$21*$C366+PM_Angle!$L$21*$B366</f>
      </c>
      <c r="AM366" s="12">
        <f>IF(AL366&gt;0,IF(AL366&lt;=eco,alpha*fck*(1-(1-AL366/eco)^n),alpha*fck),0)</f>
      </c>
      <c r="AN366" s="30">
        <f>PM_Angle!$J$22+PM_Angle!$K$22*$C366+PM_Angle!$L$22*$B366</f>
      </c>
      <c r="AO366" s="12">
        <f>IF(AN366&gt;0,IF(AN366&lt;=eco,alpha*fck*(1-(1-AN366/eco)^n),alpha*fck),0)</f>
      </c>
      <c r="AP366" s="30">
        <f>PM_Angle!$J$23+PM_Angle!$K$23*$C366+PM_Angle!$L$23*$B366</f>
      </c>
      <c r="AQ366" s="12">
        <f>IF(AP366&gt;0,IF(AP366&lt;=eco,alpha*fck*(1-(1-AP366/eco)^n),alpha*fck),0)</f>
      </c>
      <c r="AR366" s="30">
        <f>PM_Angle!$J$24+PM_Angle!$K$24*$C366+PM_Angle!$L$24*$B366</f>
      </c>
      <c r="AS366" s="12">
        <f>IF(AR366&gt;0,IF(AR366&lt;=eco,alpha*fck*(1-(1-AR366/eco)^n),alpha*fck),0)</f>
      </c>
      <c r="AT366" s="30">
        <f>PM_Angle!$J$25+PM_Angle!$K$25*$C366+PM_Angle!$L$25*$B366</f>
      </c>
      <c r="AU366" s="12">
        <f>IF(AT366&gt;0,IF(AT366&lt;=eco,alpha*fck*(1-(1-AT366/eco)^n),alpha*fck),0)</f>
      </c>
    </row>
    <row r="367" spans="1:47" x14ac:dyDescent="0.25">
      <c r="A367">
        <f>Mesh!A364</f>
      </c>
      <c r="B367" s="12">
        <f>Mesh!B364</f>
      </c>
      <c r="C367" s="12">
        <f>Mesh!C364</f>
      </c>
      <c r="D367" s="12">
        <f>Mesh!D364</f>
      </c>
      <c r="E367" s="30">
        <f>INDEX(St_e0,Det+1)+INDEX(St_kx,Det+1)*C367+INDEX(St_ky,Det+1)*B367</f>
      </c>
      <c r="F367" s="12">
        <f>IF(E367&gt;0,IF(E367&lt;=eco,alpha*fck*(1-(1-E367/eco)^n),alpha*fck),0)</f>
      </c>
      <c r="G367" s="11">
        <f>F367*D367</f>
      </c>
      <c r="H367" s="11">
        <f>G367*C367</f>
      </c>
      <c r="I367" s="11">
        <f>G367*B367</f>
      </c>
      <c r="J367" s="30">
        <f>PM_Angle!$J$7+PM_Angle!$K$7*$C367+PM_Angle!$L$7*$B367</f>
      </c>
      <c r="K367" s="12">
        <f>IF(J367&gt;0,IF(J367&lt;=eco,alpha*fck*(1-(1-J367/eco)^n),alpha*fck),0)</f>
      </c>
      <c r="L367" s="30">
        <f>PM_Angle!$J$8+PM_Angle!$K$8*$C367+PM_Angle!$L$8*$B367</f>
      </c>
      <c r="M367" s="12">
        <f>IF(L367&gt;0,IF(L367&lt;=eco,alpha*fck*(1-(1-L367/eco)^n),alpha*fck),0)</f>
      </c>
      <c r="N367" s="30">
        <f>PM_Angle!$J$9+PM_Angle!$K$9*$C367+PM_Angle!$L$9*$B367</f>
      </c>
      <c r="O367" s="12">
        <f>IF(N367&gt;0,IF(N367&lt;=eco,alpha*fck*(1-(1-N367/eco)^n),alpha*fck),0)</f>
      </c>
      <c r="P367" s="30">
        <f>PM_Angle!$J$10+PM_Angle!$K$10*$C367+PM_Angle!$L$10*$B367</f>
      </c>
      <c r="Q367" s="12">
        <f>IF(P367&gt;0,IF(P367&lt;=eco,alpha*fck*(1-(1-P367/eco)^n),alpha*fck),0)</f>
      </c>
      <c r="R367" s="30">
        <f>PM_Angle!$J$11+PM_Angle!$K$11*$C367+PM_Angle!$L$11*$B367</f>
      </c>
      <c r="S367" s="12">
        <f>IF(R367&gt;0,IF(R367&lt;=eco,alpha*fck*(1-(1-R367/eco)^n),alpha*fck),0)</f>
      </c>
      <c r="T367" s="30">
        <f>PM_Angle!$J$12+PM_Angle!$K$12*$C367+PM_Angle!$L$12*$B367</f>
      </c>
      <c r="U367" s="12">
        <f>IF(T367&gt;0,IF(T367&lt;=eco,alpha*fck*(1-(1-T367/eco)^n),alpha*fck),0)</f>
      </c>
      <c r="V367" s="30">
        <f>PM_Angle!$J$13+PM_Angle!$K$13*$C367+PM_Angle!$L$13*$B367</f>
      </c>
      <c r="W367" s="12">
        <f>IF(V367&gt;0,IF(V367&lt;=eco,alpha*fck*(1-(1-V367/eco)^n),alpha*fck),0)</f>
      </c>
      <c r="X367" s="30">
        <f>PM_Angle!$J$14+PM_Angle!$K$14*$C367+PM_Angle!$L$14*$B367</f>
      </c>
      <c r="Y367" s="12">
        <f>IF(X367&gt;0,IF(X367&lt;=eco,alpha*fck*(1-(1-X367/eco)^n),alpha*fck),0)</f>
      </c>
      <c r="Z367" s="30">
        <f>PM_Angle!$J$15+PM_Angle!$K$15*$C367+PM_Angle!$L$15*$B367</f>
      </c>
      <c r="AA367" s="12">
        <f>IF(Z367&gt;0,IF(Z367&lt;=eco,alpha*fck*(1-(1-Z367/eco)^n),alpha*fck),0)</f>
      </c>
      <c r="AB367" s="30">
        <f>PM_Angle!$J$16+PM_Angle!$K$16*$C367+PM_Angle!$L$16*$B367</f>
      </c>
      <c r="AC367" s="12">
        <f>IF(AB367&gt;0,IF(AB367&lt;=eco,alpha*fck*(1-(1-AB367/eco)^n),alpha*fck),0)</f>
      </c>
      <c r="AD367" s="30">
        <f>PM_Angle!$J$17+PM_Angle!$K$17*$C367+PM_Angle!$L$17*$B367</f>
      </c>
      <c r="AE367" s="12">
        <f>IF(AD367&gt;0,IF(AD367&lt;=eco,alpha*fck*(1-(1-AD367/eco)^n),alpha*fck),0)</f>
      </c>
      <c r="AF367" s="30">
        <f>PM_Angle!$J$18+PM_Angle!$K$18*$C367+PM_Angle!$L$18*$B367</f>
      </c>
      <c r="AG367" s="12">
        <f>IF(AF367&gt;0,IF(AF367&lt;=eco,alpha*fck*(1-(1-AF367/eco)^n),alpha*fck),0)</f>
      </c>
      <c r="AH367" s="30">
        <f>PM_Angle!$J$19+PM_Angle!$K$19*$C367+PM_Angle!$L$19*$B367</f>
      </c>
      <c r="AI367" s="12">
        <f>IF(AH367&gt;0,IF(AH367&lt;=eco,alpha*fck*(1-(1-AH367/eco)^n),alpha*fck),0)</f>
      </c>
      <c r="AJ367" s="30">
        <f>PM_Angle!$J$20+PM_Angle!$K$20*$C367+PM_Angle!$L$20*$B367</f>
      </c>
      <c r="AK367" s="12">
        <f>IF(AJ367&gt;0,IF(AJ367&lt;=eco,alpha*fck*(1-(1-AJ367/eco)^n),alpha*fck),0)</f>
      </c>
      <c r="AL367" s="30">
        <f>PM_Angle!$J$21+PM_Angle!$K$21*$C367+PM_Angle!$L$21*$B367</f>
      </c>
      <c r="AM367" s="12">
        <f>IF(AL367&gt;0,IF(AL367&lt;=eco,alpha*fck*(1-(1-AL367/eco)^n),alpha*fck),0)</f>
      </c>
      <c r="AN367" s="30">
        <f>PM_Angle!$J$22+PM_Angle!$K$22*$C367+PM_Angle!$L$22*$B367</f>
      </c>
      <c r="AO367" s="12">
        <f>IF(AN367&gt;0,IF(AN367&lt;=eco,alpha*fck*(1-(1-AN367/eco)^n),alpha*fck),0)</f>
      </c>
      <c r="AP367" s="30">
        <f>PM_Angle!$J$23+PM_Angle!$K$23*$C367+PM_Angle!$L$23*$B367</f>
      </c>
      <c r="AQ367" s="12">
        <f>IF(AP367&gt;0,IF(AP367&lt;=eco,alpha*fck*(1-(1-AP367/eco)^n),alpha*fck),0)</f>
      </c>
      <c r="AR367" s="30">
        <f>PM_Angle!$J$24+PM_Angle!$K$24*$C367+PM_Angle!$L$24*$B367</f>
      </c>
      <c r="AS367" s="12">
        <f>IF(AR367&gt;0,IF(AR367&lt;=eco,alpha*fck*(1-(1-AR367/eco)^n),alpha*fck),0)</f>
      </c>
      <c r="AT367" s="30">
        <f>PM_Angle!$J$25+PM_Angle!$K$25*$C367+PM_Angle!$L$25*$B367</f>
      </c>
      <c r="AU367" s="12">
        <f>IF(AT367&gt;0,IF(AT367&lt;=eco,alpha*fck*(1-(1-AT367/eco)^n),alpha*fck),0)</f>
      </c>
    </row>
    <row r="368" spans="1:47" x14ac:dyDescent="0.25">
      <c r="A368">
        <f>Mesh!A365</f>
      </c>
      <c r="B368" s="12">
        <f>Mesh!B365</f>
      </c>
      <c r="C368" s="12">
        <f>Mesh!C365</f>
      </c>
      <c r="D368" s="12">
        <f>Mesh!D365</f>
      </c>
      <c r="E368" s="30">
        <f>INDEX(St_e0,Det+1)+INDEX(St_kx,Det+1)*C368+INDEX(St_ky,Det+1)*B368</f>
      </c>
      <c r="F368" s="12">
        <f>IF(E368&gt;0,IF(E368&lt;=eco,alpha*fck*(1-(1-E368/eco)^n),alpha*fck),0)</f>
      </c>
      <c r="G368" s="11">
        <f>F368*D368</f>
      </c>
      <c r="H368" s="11">
        <f>G368*C368</f>
      </c>
      <c r="I368" s="11">
        <f>G368*B368</f>
      </c>
      <c r="J368" s="30">
        <f>PM_Angle!$J$7+PM_Angle!$K$7*$C368+PM_Angle!$L$7*$B368</f>
      </c>
      <c r="K368" s="12">
        <f>IF(J368&gt;0,IF(J368&lt;=eco,alpha*fck*(1-(1-J368/eco)^n),alpha*fck),0)</f>
      </c>
      <c r="L368" s="30">
        <f>PM_Angle!$J$8+PM_Angle!$K$8*$C368+PM_Angle!$L$8*$B368</f>
      </c>
      <c r="M368" s="12">
        <f>IF(L368&gt;0,IF(L368&lt;=eco,alpha*fck*(1-(1-L368/eco)^n),alpha*fck),0)</f>
      </c>
      <c r="N368" s="30">
        <f>PM_Angle!$J$9+PM_Angle!$K$9*$C368+PM_Angle!$L$9*$B368</f>
      </c>
      <c r="O368" s="12">
        <f>IF(N368&gt;0,IF(N368&lt;=eco,alpha*fck*(1-(1-N368/eco)^n),alpha*fck),0)</f>
      </c>
      <c r="P368" s="30">
        <f>PM_Angle!$J$10+PM_Angle!$K$10*$C368+PM_Angle!$L$10*$B368</f>
      </c>
      <c r="Q368" s="12">
        <f>IF(P368&gt;0,IF(P368&lt;=eco,alpha*fck*(1-(1-P368/eco)^n),alpha*fck),0)</f>
      </c>
      <c r="R368" s="30">
        <f>PM_Angle!$J$11+PM_Angle!$K$11*$C368+PM_Angle!$L$11*$B368</f>
      </c>
      <c r="S368" s="12">
        <f>IF(R368&gt;0,IF(R368&lt;=eco,alpha*fck*(1-(1-R368/eco)^n),alpha*fck),0)</f>
      </c>
      <c r="T368" s="30">
        <f>PM_Angle!$J$12+PM_Angle!$K$12*$C368+PM_Angle!$L$12*$B368</f>
      </c>
      <c r="U368" s="12">
        <f>IF(T368&gt;0,IF(T368&lt;=eco,alpha*fck*(1-(1-T368/eco)^n),alpha*fck),0)</f>
      </c>
      <c r="V368" s="30">
        <f>PM_Angle!$J$13+PM_Angle!$K$13*$C368+PM_Angle!$L$13*$B368</f>
      </c>
      <c r="W368" s="12">
        <f>IF(V368&gt;0,IF(V368&lt;=eco,alpha*fck*(1-(1-V368/eco)^n),alpha*fck),0)</f>
      </c>
      <c r="X368" s="30">
        <f>PM_Angle!$J$14+PM_Angle!$K$14*$C368+PM_Angle!$L$14*$B368</f>
      </c>
      <c r="Y368" s="12">
        <f>IF(X368&gt;0,IF(X368&lt;=eco,alpha*fck*(1-(1-X368/eco)^n),alpha*fck),0)</f>
      </c>
      <c r="Z368" s="30">
        <f>PM_Angle!$J$15+PM_Angle!$K$15*$C368+PM_Angle!$L$15*$B368</f>
      </c>
      <c r="AA368" s="12">
        <f>IF(Z368&gt;0,IF(Z368&lt;=eco,alpha*fck*(1-(1-Z368/eco)^n),alpha*fck),0)</f>
      </c>
      <c r="AB368" s="30">
        <f>PM_Angle!$J$16+PM_Angle!$K$16*$C368+PM_Angle!$L$16*$B368</f>
      </c>
      <c r="AC368" s="12">
        <f>IF(AB368&gt;0,IF(AB368&lt;=eco,alpha*fck*(1-(1-AB368/eco)^n),alpha*fck),0)</f>
      </c>
      <c r="AD368" s="30">
        <f>PM_Angle!$J$17+PM_Angle!$K$17*$C368+PM_Angle!$L$17*$B368</f>
      </c>
      <c r="AE368" s="12">
        <f>IF(AD368&gt;0,IF(AD368&lt;=eco,alpha*fck*(1-(1-AD368/eco)^n),alpha*fck),0)</f>
      </c>
      <c r="AF368" s="30">
        <f>PM_Angle!$J$18+PM_Angle!$K$18*$C368+PM_Angle!$L$18*$B368</f>
      </c>
      <c r="AG368" s="12">
        <f>IF(AF368&gt;0,IF(AF368&lt;=eco,alpha*fck*(1-(1-AF368/eco)^n),alpha*fck),0)</f>
      </c>
      <c r="AH368" s="30">
        <f>PM_Angle!$J$19+PM_Angle!$K$19*$C368+PM_Angle!$L$19*$B368</f>
      </c>
      <c r="AI368" s="12">
        <f>IF(AH368&gt;0,IF(AH368&lt;=eco,alpha*fck*(1-(1-AH368/eco)^n),alpha*fck),0)</f>
      </c>
      <c r="AJ368" s="30">
        <f>PM_Angle!$J$20+PM_Angle!$K$20*$C368+PM_Angle!$L$20*$B368</f>
      </c>
      <c r="AK368" s="12">
        <f>IF(AJ368&gt;0,IF(AJ368&lt;=eco,alpha*fck*(1-(1-AJ368/eco)^n),alpha*fck),0)</f>
      </c>
      <c r="AL368" s="30">
        <f>PM_Angle!$J$21+PM_Angle!$K$21*$C368+PM_Angle!$L$21*$B368</f>
      </c>
      <c r="AM368" s="12">
        <f>IF(AL368&gt;0,IF(AL368&lt;=eco,alpha*fck*(1-(1-AL368/eco)^n),alpha*fck),0)</f>
      </c>
      <c r="AN368" s="30">
        <f>PM_Angle!$J$22+PM_Angle!$K$22*$C368+PM_Angle!$L$22*$B368</f>
      </c>
      <c r="AO368" s="12">
        <f>IF(AN368&gt;0,IF(AN368&lt;=eco,alpha*fck*(1-(1-AN368/eco)^n),alpha*fck),0)</f>
      </c>
      <c r="AP368" s="30">
        <f>PM_Angle!$J$23+PM_Angle!$K$23*$C368+PM_Angle!$L$23*$B368</f>
      </c>
      <c r="AQ368" s="12">
        <f>IF(AP368&gt;0,IF(AP368&lt;=eco,alpha*fck*(1-(1-AP368/eco)^n),alpha*fck),0)</f>
      </c>
      <c r="AR368" s="30">
        <f>PM_Angle!$J$24+PM_Angle!$K$24*$C368+PM_Angle!$L$24*$B368</f>
      </c>
      <c r="AS368" s="12">
        <f>IF(AR368&gt;0,IF(AR368&lt;=eco,alpha*fck*(1-(1-AR368/eco)^n),alpha*fck),0)</f>
      </c>
      <c r="AT368" s="30">
        <f>PM_Angle!$J$25+PM_Angle!$K$25*$C368+PM_Angle!$L$25*$B368</f>
      </c>
      <c r="AU368" s="12">
        <f>IF(AT368&gt;0,IF(AT368&lt;=eco,alpha*fck*(1-(1-AT368/eco)^n),alpha*fck),0)</f>
      </c>
    </row>
    <row r="369" spans="1:47" x14ac:dyDescent="0.25">
      <c r="A369">
        <f>Mesh!A366</f>
      </c>
      <c r="B369" s="12">
        <f>Mesh!B366</f>
      </c>
      <c r="C369" s="12">
        <f>Mesh!C366</f>
      </c>
      <c r="D369" s="12">
        <f>Mesh!D366</f>
      </c>
      <c r="E369" s="30">
        <f>INDEX(St_e0,Det+1)+INDEX(St_kx,Det+1)*C369+INDEX(St_ky,Det+1)*B369</f>
      </c>
      <c r="F369" s="12">
        <f>IF(E369&gt;0,IF(E369&lt;=eco,alpha*fck*(1-(1-E369/eco)^n),alpha*fck),0)</f>
      </c>
      <c r="G369" s="11">
        <f>F369*D369</f>
      </c>
      <c r="H369" s="11">
        <f>G369*C369</f>
      </c>
      <c r="I369" s="11">
        <f>G369*B369</f>
      </c>
      <c r="J369" s="30">
        <f>PM_Angle!$J$7+PM_Angle!$K$7*$C369+PM_Angle!$L$7*$B369</f>
      </c>
      <c r="K369" s="12">
        <f>IF(J369&gt;0,IF(J369&lt;=eco,alpha*fck*(1-(1-J369/eco)^n),alpha*fck),0)</f>
      </c>
      <c r="L369" s="30">
        <f>PM_Angle!$J$8+PM_Angle!$K$8*$C369+PM_Angle!$L$8*$B369</f>
      </c>
      <c r="M369" s="12">
        <f>IF(L369&gt;0,IF(L369&lt;=eco,alpha*fck*(1-(1-L369/eco)^n),alpha*fck),0)</f>
      </c>
      <c r="N369" s="30">
        <f>PM_Angle!$J$9+PM_Angle!$K$9*$C369+PM_Angle!$L$9*$B369</f>
      </c>
      <c r="O369" s="12">
        <f>IF(N369&gt;0,IF(N369&lt;=eco,alpha*fck*(1-(1-N369/eco)^n),alpha*fck),0)</f>
      </c>
      <c r="P369" s="30">
        <f>PM_Angle!$J$10+PM_Angle!$K$10*$C369+PM_Angle!$L$10*$B369</f>
      </c>
      <c r="Q369" s="12">
        <f>IF(P369&gt;0,IF(P369&lt;=eco,alpha*fck*(1-(1-P369/eco)^n),alpha*fck),0)</f>
      </c>
      <c r="R369" s="30">
        <f>PM_Angle!$J$11+PM_Angle!$K$11*$C369+PM_Angle!$L$11*$B369</f>
      </c>
      <c r="S369" s="12">
        <f>IF(R369&gt;0,IF(R369&lt;=eco,alpha*fck*(1-(1-R369/eco)^n),alpha*fck),0)</f>
      </c>
      <c r="T369" s="30">
        <f>PM_Angle!$J$12+PM_Angle!$K$12*$C369+PM_Angle!$L$12*$B369</f>
      </c>
      <c r="U369" s="12">
        <f>IF(T369&gt;0,IF(T369&lt;=eco,alpha*fck*(1-(1-T369/eco)^n),alpha*fck),0)</f>
      </c>
      <c r="V369" s="30">
        <f>PM_Angle!$J$13+PM_Angle!$K$13*$C369+PM_Angle!$L$13*$B369</f>
      </c>
      <c r="W369" s="12">
        <f>IF(V369&gt;0,IF(V369&lt;=eco,alpha*fck*(1-(1-V369/eco)^n),alpha*fck),0)</f>
      </c>
      <c r="X369" s="30">
        <f>PM_Angle!$J$14+PM_Angle!$K$14*$C369+PM_Angle!$L$14*$B369</f>
      </c>
      <c r="Y369" s="12">
        <f>IF(X369&gt;0,IF(X369&lt;=eco,alpha*fck*(1-(1-X369/eco)^n),alpha*fck),0)</f>
      </c>
      <c r="Z369" s="30">
        <f>PM_Angle!$J$15+PM_Angle!$K$15*$C369+PM_Angle!$L$15*$B369</f>
      </c>
      <c r="AA369" s="12">
        <f>IF(Z369&gt;0,IF(Z369&lt;=eco,alpha*fck*(1-(1-Z369/eco)^n),alpha*fck),0)</f>
      </c>
      <c r="AB369" s="30">
        <f>PM_Angle!$J$16+PM_Angle!$K$16*$C369+PM_Angle!$L$16*$B369</f>
      </c>
      <c r="AC369" s="12">
        <f>IF(AB369&gt;0,IF(AB369&lt;=eco,alpha*fck*(1-(1-AB369/eco)^n),alpha*fck),0)</f>
      </c>
      <c r="AD369" s="30">
        <f>PM_Angle!$J$17+PM_Angle!$K$17*$C369+PM_Angle!$L$17*$B369</f>
      </c>
      <c r="AE369" s="12">
        <f>IF(AD369&gt;0,IF(AD369&lt;=eco,alpha*fck*(1-(1-AD369/eco)^n),alpha*fck),0)</f>
      </c>
      <c r="AF369" s="30">
        <f>PM_Angle!$J$18+PM_Angle!$K$18*$C369+PM_Angle!$L$18*$B369</f>
      </c>
      <c r="AG369" s="12">
        <f>IF(AF369&gt;0,IF(AF369&lt;=eco,alpha*fck*(1-(1-AF369/eco)^n),alpha*fck),0)</f>
      </c>
      <c r="AH369" s="30">
        <f>PM_Angle!$J$19+PM_Angle!$K$19*$C369+PM_Angle!$L$19*$B369</f>
      </c>
      <c r="AI369" s="12">
        <f>IF(AH369&gt;0,IF(AH369&lt;=eco,alpha*fck*(1-(1-AH369/eco)^n),alpha*fck),0)</f>
      </c>
      <c r="AJ369" s="30">
        <f>PM_Angle!$J$20+PM_Angle!$K$20*$C369+PM_Angle!$L$20*$B369</f>
      </c>
      <c r="AK369" s="12">
        <f>IF(AJ369&gt;0,IF(AJ369&lt;=eco,alpha*fck*(1-(1-AJ369/eco)^n),alpha*fck),0)</f>
      </c>
      <c r="AL369" s="30">
        <f>PM_Angle!$J$21+PM_Angle!$K$21*$C369+PM_Angle!$L$21*$B369</f>
      </c>
      <c r="AM369" s="12">
        <f>IF(AL369&gt;0,IF(AL369&lt;=eco,alpha*fck*(1-(1-AL369/eco)^n),alpha*fck),0)</f>
      </c>
      <c r="AN369" s="30">
        <f>PM_Angle!$J$22+PM_Angle!$K$22*$C369+PM_Angle!$L$22*$B369</f>
      </c>
      <c r="AO369" s="12">
        <f>IF(AN369&gt;0,IF(AN369&lt;=eco,alpha*fck*(1-(1-AN369/eco)^n),alpha*fck),0)</f>
      </c>
      <c r="AP369" s="30">
        <f>PM_Angle!$J$23+PM_Angle!$K$23*$C369+PM_Angle!$L$23*$B369</f>
      </c>
      <c r="AQ369" s="12">
        <f>IF(AP369&gt;0,IF(AP369&lt;=eco,alpha*fck*(1-(1-AP369/eco)^n),alpha*fck),0)</f>
      </c>
      <c r="AR369" s="30">
        <f>PM_Angle!$J$24+PM_Angle!$K$24*$C369+PM_Angle!$L$24*$B369</f>
      </c>
      <c r="AS369" s="12">
        <f>IF(AR369&gt;0,IF(AR369&lt;=eco,alpha*fck*(1-(1-AR369/eco)^n),alpha*fck),0)</f>
      </c>
      <c r="AT369" s="30">
        <f>PM_Angle!$J$25+PM_Angle!$K$25*$C369+PM_Angle!$L$25*$B369</f>
      </c>
      <c r="AU369" s="12">
        <f>IF(AT369&gt;0,IF(AT369&lt;=eco,alpha*fck*(1-(1-AT369/eco)^n),alpha*fck),0)</f>
      </c>
    </row>
    <row r="370" spans="1:47" x14ac:dyDescent="0.25">
      <c r="A370">
        <f>Mesh!A367</f>
      </c>
      <c r="B370" s="12">
        <f>Mesh!B367</f>
      </c>
      <c r="C370" s="12">
        <f>Mesh!C367</f>
      </c>
      <c r="D370" s="12">
        <f>Mesh!D367</f>
      </c>
      <c r="E370" s="30">
        <f>INDEX(St_e0,Det+1)+INDEX(St_kx,Det+1)*C370+INDEX(St_ky,Det+1)*B370</f>
      </c>
      <c r="F370" s="12">
        <f>IF(E370&gt;0,IF(E370&lt;=eco,alpha*fck*(1-(1-E370/eco)^n),alpha*fck),0)</f>
      </c>
      <c r="G370" s="11">
        <f>F370*D370</f>
      </c>
      <c r="H370" s="11">
        <f>G370*C370</f>
      </c>
      <c r="I370" s="11">
        <f>G370*B370</f>
      </c>
      <c r="J370" s="30">
        <f>PM_Angle!$J$7+PM_Angle!$K$7*$C370+PM_Angle!$L$7*$B370</f>
      </c>
      <c r="K370" s="12">
        <f>IF(J370&gt;0,IF(J370&lt;=eco,alpha*fck*(1-(1-J370/eco)^n),alpha*fck),0)</f>
      </c>
      <c r="L370" s="30">
        <f>PM_Angle!$J$8+PM_Angle!$K$8*$C370+PM_Angle!$L$8*$B370</f>
      </c>
      <c r="M370" s="12">
        <f>IF(L370&gt;0,IF(L370&lt;=eco,alpha*fck*(1-(1-L370/eco)^n),alpha*fck),0)</f>
      </c>
      <c r="N370" s="30">
        <f>PM_Angle!$J$9+PM_Angle!$K$9*$C370+PM_Angle!$L$9*$B370</f>
      </c>
      <c r="O370" s="12">
        <f>IF(N370&gt;0,IF(N370&lt;=eco,alpha*fck*(1-(1-N370/eco)^n),alpha*fck),0)</f>
      </c>
      <c r="P370" s="30">
        <f>PM_Angle!$J$10+PM_Angle!$K$10*$C370+PM_Angle!$L$10*$B370</f>
      </c>
      <c r="Q370" s="12">
        <f>IF(P370&gt;0,IF(P370&lt;=eco,alpha*fck*(1-(1-P370/eco)^n),alpha*fck),0)</f>
      </c>
      <c r="R370" s="30">
        <f>PM_Angle!$J$11+PM_Angle!$K$11*$C370+PM_Angle!$L$11*$B370</f>
      </c>
      <c r="S370" s="12">
        <f>IF(R370&gt;0,IF(R370&lt;=eco,alpha*fck*(1-(1-R370/eco)^n),alpha*fck),0)</f>
      </c>
      <c r="T370" s="30">
        <f>PM_Angle!$J$12+PM_Angle!$K$12*$C370+PM_Angle!$L$12*$B370</f>
      </c>
      <c r="U370" s="12">
        <f>IF(T370&gt;0,IF(T370&lt;=eco,alpha*fck*(1-(1-T370/eco)^n),alpha*fck),0)</f>
      </c>
      <c r="V370" s="30">
        <f>PM_Angle!$J$13+PM_Angle!$K$13*$C370+PM_Angle!$L$13*$B370</f>
      </c>
      <c r="W370" s="12">
        <f>IF(V370&gt;0,IF(V370&lt;=eco,alpha*fck*(1-(1-V370/eco)^n),alpha*fck),0)</f>
      </c>
      <c r="X370" s="30">
        <f>PM_Angle!$J$14+PM_Angle!$K$14*$C370+PM_Angle!$L$14*$B370</f>
      </c>
      <c r="Y370" s="12">
        <f>IF(X370&gt;0,IF(X370&lt;=eco,alpha*fck*(1-(1-X370/eco)^n),alpha*fck),0)</f>
      </c>
      <c r="Z370" s="30">
        <f>PM_Angle!$J$15+PM_Angle!$K$15*$C370+PM_Angle!$L$15*$B370</f>
      </c>
      <c r="AA370" s="12">
        <f>IF(Z370&gt;0,IF(Z370&lt;=eco,alpha*fck*(1-(1-Z370/eco)^n),alpha*fck),0)</f>
      </c>
      <c r="AB370" s="30">
        <f>PM_Angle!$J$16+PM_Angle!$K$16*$C370+PM_Angle!$L$16*$B370</f>
      </c>
      <c r="AC370" s="12">
        <f>IF(AB370&gt;0,IF(AB370&lt;=eco,alpha*fck*(1-(1-AB370/eco)^n),alpha*fck),0)</f>
      </c>
      <c r="AD370" s="30">
        <f>PM_Angle!$J$17+PM_Angle!$K$17*$C370+PM_Angle!$L$17*$B370</f>
      </c>
      <c r="AE370" s="12">
        <f>IF(AD370&gt;0,IF(AD370&lt;=eco,alpha*fck*(1-(1-AD370/eco)^n),alpha*fck),0)</f>
      </c>
      <c r="AF370" s="30">
        <f>PM_Angle!$J$18+PM_Angle!$K$18*$C370+PM_Angle!$L$18*$B370</f>
      </c>
      <c r="AG370" s="12">
        <f>IF(AF370&gt;0,IF(AF370&lt;=eco,alpha*fck*(1-(1-AF370/eco)^n),alpha*fck),0)</f>
      </c>
      <c r="AH370" s="30">
        <f>PM_Angle!$J$19+PM_Angle!$K$19*$C370+PM_Angle!$L$19*$B370</f>
      </c>
      <c r="AI370" s="12">
        <f>IF(AH370&gt;0,IF(AH370&lt;=eco,alpha*fck*(1-(1-AH370/eco)^n),alpha*fck),0)</f>
      </c>
      <c r="AJ370" s="30">
        <f>PM_Angle!$J$20+PM_Angle!$K$20*$C370+PM_Angle!$L$20*$B370</f>
      </c>
      <c r="AK370" s="12">
        <f>IF(AJ370&gt;0,IF(AJ370&lt;=eco,alpha*fck*(1-(1-AJ370/eco)^n),alpha*fck),0)</f>
      </c>
      <c r="AL370" s="30">
        <f>PM_Angle!$J$21+PM_Angle!$K$21*$C370+PM_Angle!$L$21*$B370</f>
      </c>
      <c r="AM370" s="12">
        <f>IF(AL370&gt;0,IF(AL370&lt;=eco,alpha*fck*(1-(1-AL370/eco)^n),alpha*fck),0)</f>
      </c>
      <c r="AN370" s="30">
        <f>PM_Angle!$J$22+PM_Angle!$K$22*$C370+PM_Angle!$L$22*$B370</f>
      </c>
      <c r="AO370" s="12">
        <f>IF(AN370&gt;0,IF(AN370&lt;=eco,alpha*fck*(1-(1-AN370/eco)^n),alpha*fck),0)</f>
      </c>
      <c r="AP370" s="30">
        <f>PM_Angle!$J$23+PM_Angle!$K$23*$C370+PM_Angle!$L$23*$B370</f>
      </c>
      <c r="AQ370" s="12">
        <f>IF(AP370&gt;0,IF(AP370&lt;=eco,alpha*fck*(1-(1-AP370/eco)^n),alpha*fck),0)</f>
      </c>
      <c r="AR370" s="30">
        <f>PM_Angle!$J$24+PM_Angle!$K$24*$C370+PM_Angle!$L$24*$B370</f>
      </c>
      <c r="AS370" s="12">
        <f>IF(AR370&gt;0,IF(AR370&lt;=eco,alpha*fck*(1-(1-AR370/eco)^n),alpha*fck),0)</f>
      </c>
      <c r="AT370" s="30">
        <f>PM_Angle!$J$25+PM_Angle!$K$25*$C370+PM_Angle!$L$25*$B370</f>
      </c>
      <c r="AU370" s="12">
        <f>IF(AT370&gt;0,IF(AT370&lt;=eco,alpha*fck*(1-(1-AT370/eco)^n),alpha*fck),0)</f>
      </c>
    </row>
    <row r="371" spans="1:47" x14ac:dyDescent="0.25">
      <c r="A371">
        <f>Mesh!A368</f>
      </c>
      <c r="B371" s="12">
        <f>Mesh!B368</f>
      </c>
      <c r="C371" s="12">
        <f>Mesh!C368</f>
      </c>
      <c r="D371" s="12">
        <f>Mesh!D368</f>
      </c>
      <c r="E371" s="30">
        <f>INDEX(St_e0,Det+1)+INDEX(St_kx,Det+1)*C371+INDEX(St_ky,Det+1)*B371</f>
      </c>
      <c r="F371" s="12">
        <f>IF(E371&gt;0,IF(E371&lt;=eco,alpha*fck*(1-(1-E371/eco)^n),alpha*fck),0)</f>
      </c>
      <c r="G371" s="11">
        <f>F371*D371</f>
      </c>
      <c r="H371" s="11">
        <f>G371*C371</f>
      </c>
      <c r="I371" s="11">
        <f>G371*B371</f>
      </c>
      <c r="J371" s="30">
        <f>PM_Angle!$J$7+PM_Angle!$K$7*$C371+PM_Angle!$L$7*$B371</f>
      </c>
      <c r="K371" s="12">
        <f>IF(J371&gt;0,IF(J371&lt;=eco,alpha*fck*(1-(1-J371/eco)^n),alpha*fck),0)</f>
      </c>
      <c r="L371" s="30">
        <f>PM_Angle!$J$8+PM_Angle!$K$8*$C371+PM_Angle!$L$8*$B371</f>
      </c>
      <c r="M371" s="12">
        <f>IF(L371&gt;0,IF(L371&lt;=eco,alpha*fck*(1-(1-L371/eco)^n),alpha*fck),0)</f>
      </c>
      <c r="N371" s="30">
        <f>PM_Angle!$J$9+PM_Angle!$K$9*$C371+PM_Angle!$L$9*$B371</f>
      </c>
      <c r="O371" s="12">
        <f>IF(N371&gt;0,IF(N371&lt;=eco,alpha*fck*(1-(1-N371/eco)^n),alpha*fck),0)</f>
      </c>
      <c r="P371" s="30">
        <f>PM_Angle!$J$10+PM_Angle!$K$10*$C371+PM_Angle!$L$10*$B371</f>
      </c>
      <c r="Q371" s="12">
        <f>IF(P371&gt;0,IF(P371&lt;=eco,alpha*fck*(1-(1-P371/eco)^n),alpha*fck),0)</f>
      </c>
      <c r="R371" s="30">
        <f>PM_Angle!$J$11+PM_Angle!$K$11*$C371+PM_Angle!$L$11*$B371</f>
      </c>
      <c r="S371" s="12">
        <f>IF(R371&gt;0,IF(R371&lt;=eco,alpha*fck*(1-(1-R371/eco)^n),alpha*fck),0)</f>
      </c>
      <c r="T371" s="30">
        <f>PM_Angle!$J$12+PM_Angle!$K$12*$C371+PM_Angle!$L$12*$B371</f>
      </c>
      <c r="U371" s="12">
        <f>IF(T371&gt;0,IF(T371&lt;=eco,alpha*fck*(1-(1-T371/eco)^n),alpha*fck),0)</f>
      </c>
      <c r="V371" s="30">
        <f>PM_Angle!$J$13+PM_Angle!$K$13*$C371+PM_Angle!$L$13*$B371</f>
      </c>
      <c r="W371" s="12">
        <f>IF(V371&gt;0,IF(V371&lt;=eco,alpha*fck*(1-(1-V371/eco)^n),alpha*fck),0)</f>
      </c>
      <c r="X371" s="30">
        <f>PM_Angle!$J$14+PM_Angle!$K$14*$C371+PM_Angle!$L$14*$B371</f>
      </c>
      <c r="Y371" s="12">
        <f>IF(X371&gt;0,IF(X371&lt;=eco,alpha*fck*(1-(1-X371/eco)^n),alpha*fck),0)</f>
      </c>
      <c r="Z371" s="30">
        <f>PM_Angle!$J$15+PM_Angle!$K$15*$C371+PM_Angle!$L$15*$B371</f>
      </c>
      <c r="AA371" s="12">
        <f>IF(Z371&gt;0,IF(Z371&lt;=eco,alpha*fck*(1-(1-Z371/eco)^n),alpha*fck),0)</f>
      </c>
      <c r="AB371" s="30">
        <f>PM_Angle!$J$16+PM_Angle!$K$16*$C371+PM_Angle!$L$16*$B371</f>
      </c>
      <c r="AC371" s="12">
        <f>IF(AB371&gt;0,IF(AB371&lt;=eco,alpha*fck*(1-(1-AB371/eco)^n),alpha*fck),0)</f>
      </c>
      <c r="AD371" s="30">
        <f>PM_Angle!$J$17+PM_Angle!$K$17*$C371+PM_Angle!$L$17*$B371</f>
      </c>
      <c r="AE371" s="12">
        <f>IF(AD371&gt;0,IF(AD371&lt;=eco,alpha*fck*(1-(1-AD371/eco)^n),alpha*fck),0)</f>
      </c>
      <c r="AF371" s="30">
        <f>PM_Angle!$J$18+PM_Angle!$K$18*$C371+PM_Angle!$L$18*$B371</f>
      </c>
      <c r="AG371" s="12">
        <f>IF(AF371&gt;0,IF(AF371&lt;=eco,alpha*fck*(1-(1-AF371/eco)^n),alpha*fck),0)</f>
      </c>
      <c r="AH371" s="30">
        <f>PM_Angle!$J$19+PM_Angle!$K$19*$C371+PM_Angle!$L$19*$B371</f>
      </c>
      <c r="AI371" s="12">
        <f>IF(AH371&gt;0,IF(AH371&lt;=eco,alpha*fck*(1-(1-AH371/eco)^n),alpha*fck),0)</f>
      </c>
      <c r="AJ371" s="30">
        <f>PM_Angle!$J$20+PM_Angle!$K$20*$C371+PM_Angle!$L$20*$B371</f>
      </c>
      <c r="AK371" s="12">
        <f>IF(AJ371&gt;0,IF(AJ371&lt;=eco,alpha*fck*(1-(1-AJ371/eco)^n),alpha*fck),0)</f>
      </c>
      <c r="AL371" s="30">
        <f>PM_Angle!$J$21+PM_Angle!$K$21*$C371+PM_Angle!$L$21*$B371</f>
      </c>
      <c r="AM371" s="12">
        <f>IF(AL371&gt;0,IF(AL371&lt;=eco,alpha*fck*(1-(1-AL371/eco)^n),alpha*fck),0)</f>
      </c>
      <c r="AN371" s="30">
        <f>PM_Angle!$J$22+PM_Angle!$K$22*$C371+PM_Angle!$L$22*$B371</f>
      </c>
      <c r="AO371" s="12">
        <f>IF(AN371&gt;0,IF(AN371&lt;=eco,alpha*fck*(1-(1-AN371/eco)^n),alpha*fck),0)</f>
      </c>
      <c r="AP371" s="30">
        <f>PM_Angle!$J$23+PM_Angle!$K$23*$C371+PM_Angle!$L$23*$B371</f>
      </c>
      <c r="AQ371" s="12">
        <f>IF(AP371&gt;0,IF(AP371&lt;=eco,alpha*fck*(1-(1-AP371/eco)^n),alpha*fck),0)</f>
      </c>
      <c r="AR371" s="30">
        <f>PM_Angle!$J$24+PM_Angle!$K$24*$C371+PM_Angle!$L$24*$B371</f>
      </c>
      <c r="AS371" s="12">
        <f>IF(AR371&gt;0,IF(AR371&lt;=eco,alpha*fck*(1-(1-AR371/eco)^n),alpha*fck),0)</f>
      </c>
      <c r="AT371" s="30">
        <f>PM_Angle!$J$25+PM_Angle!$K$25*$C371+PM_Angle!$L$25*$B371</f>
      </c>
      <c r="AU371" s="12">
        <f>IF(AT371&gt;0,IF(AT371&lt;=eco,alpha*fck*(1-(1-AT371/eco)^n),alpha*fck),0)</f>
      </c>
    </row>
    <row r="372" spans="1:47" x14ac:dyDescent="0.25">
      <c r="A372">
        <f>Mesh!A369</f>
      </c>
      <c r="B372" s="12">
        <f>Mesh!B369</f>
      </c>
      <c r="C372" s="12">
        <f>Mesh!C369</f>
      </c>
      <c r="D372" s="12">
        <f>Mesh!D369</f>
      </c>
      <c r="E372" s="30">
        <f>INDEX(St_e0,Det+1)+INDEX(St_kx,Det+1)*C372+INDEX(St_ky,Det+1)*B372</f>
      </c>
      <c r="F372" s="12">
        <f>IF(E372&gt;0,IF(E372&lt;=eco,alpha*fck*(1-(1-E372/eco)^n),alpha*fck),0)</f>
      </c>
      <c r="G372" s="11">
        <f>F372*D372</f>
      </c>
      <c r="H372" s="11">
        <f>G372*C372</f>
      </c>
      <c r="I372" s="11">
        <f>G372*B372</f>
      </c>
      <c r="J372" s="30">
        <f>PM_Angle!$J$7+PM_Angle!$K$7*$C372+PM_Angle!$L$7*$B372</f>
      </c>
      <c r="K372" s="12">
        <f>IF(J372&gt;0,IF(J372&lt;=eco,alpha*fck*(1-(1-J372/eco)^n),alpha*fck),0)</f>
      </c>
      <c r="L372" s="30">
        <f>PM_Angle!$J$8+PM_Angle!$K$8*$C372+PM_Angle!$L$8*$B372</f>
      </c>
      <c r="M372" s="12">
        <f>IF(L372&gt;0,IF(L372&lt;=eco,alpha*fck*(1-(1-L372/eco)^n),alpha*fck),0)</f>
      </c>
      <c r="N372" s="30">
        <f>PM_Angle!$J$9+PM_Angle!$K$9*$C372+PM_Angle!$L$9*$B372</f>
      </c>
      <c r="O372" s="12">
        <f>IF(N372&gt;0,IF(N372&lt;=eco,alpha*fck*(1-(1-N372/eco)^n),alpha*fck),0)</f>
      </c>
      <c r="P372" s="30">
        <f>PM_Angle!$J$10+PM_Angle!$K$10*$C372+PM_Angle!$L$10*$B372</f>
      </c>
      <c r="Q372" s="12">
        <f>IF(P372&gt;0,IF(P372&lt;=eco,alpha*fck*(1-(1-P372/eco)^n),alpha*fck),0)</f>
      </c>
      <c r="R372" s="30">
        <f>PM_Angle!$J$11+PM_Angle!$K$11*$C372+PM_Angle!$L$11*$B372</f>
      </c>
      <c r="S372" s="12">
        <f>IF(R372&gt;0,IF(R372&lt;=eco,alpha*fck*(1-(1-R372/eco)^n),alpha*fck),0)</f>
      </c>
      <c r="T372" s="30">
        <f>PM_Angle!$J$12+PM_Angle!$K$12*$C372+PM_Angle!$L$12*$B372</f>
      </c>
      <c r="U372" s="12">
        <f>IF(T372&gt;0,IF(T372&lt;=eco,alpha*fck*(1-(1-T372/eco)^n),alpha*fck),0)</f>
      </c>
      <c r="V372" s="30">
        <f>PM_Angle!$J$13+PM_Angle!$K$13*$C372+PM_Angle!$L$13*$B372</f>
      </c>
      <c r="W372" s="12">
        <f>IF(V372&gt;0,IF(V372&lt;=eco,alpha*fck*(1-(1-V372/eco)^n),alpha*fck),0)</f>
      </c>
      <c r="X372" s="30">
        <f>PM_Angle!$J$14+PM_Angle!$K$14*$C372+PM_Angle!$L$14*$B372</f>
      </c>
      <c r="Y372" s="12">
        <f>IF(X372&gt;0,IF(X372&lt;=eco,alpha*fck*(1-(1-X372/eco)^n),alpha*fck),0)</f>
      </c>
      <c r="Z372" s="30">
        <f>PM_Angle!$J$15+PM_Angle!$K$15*$C372+PM_Angle!$L$15*$B372</f>
      </c>
      <c r="AA372" s="12">
        <f>IF(Z372&gt;0,IF(Z372&lt;=eco,alpha*fck*(1-(1-Z372/eco)^n),alpha*fck),0)</f>
      </c>
      <c r="AB372" s="30">
        <f>PM_Angle!$J$16+PM_Angle!$K$16*$C372+PM_Angle!$L$16*$B372</f>
      </c>
      <c r="AC372" s="12">
        <f>IF(AB372&gt;0,IF(AB372&lt;=eco,alpha*fck*(1-(1-AB372/eco)^n),alpha*fck),0)</f>
      </c>
      <c r="AD372" s="30">
        <f>PM_Angle!$J$17+PM_Angle!$K$17*$C372+PM_Angle!$L$17*$B372</f>
      </c>
      <c r="AE372" s="12">
        <f>IF(AD372&gt;0,IF(AD372&lt;=eco,alpha*fck*(1-(1-AD372/eco)^n),alpha*fck),0)</f>
      </c>
      <c r="AF372" s="30">
        <f>PM_Angle!$J$18+PM_Angle!$K$18*$C372+PM_Angle!$L$18*$B372</f>
      </c>
      <c r="AG372" s="12">
        <f>IF(AF372&gt;0,IF(AF372&lt;=eco,alpha*fck*(1-(1-AF372/eco)^n),alpha*fck),0)</f>
      </c>
      <c r="AH372" s="30">
        <f>PM_Angle!$J$19+PM_Angle!$K$19*$C372+PM_Angle!$L$19*$B372</f>
      </c>
      <c r="AI372" s="12">
        <f>IF(AH372&gt;0,IF(AH372&lt;=eco,alpha*fck*(1-(1-AH372/eco)^n),alpha*fck),0)</f>
      </c>
      <c r="AJ372" s="30">
        <f>PM_Angle!$J$20+PM_Angle!$K$20*$C372+PM_Angle!$L$20*$B372</f>
      </c>
      <c r="AK372" s="12">
        <f>IF(AJ372&gt;0,IF(AJ372&lt;=eco,alpha*fck*(1-(1-AJ372/eco)^n),alpha*fck),0)</f>
      </c>
      <c r="AL372" s="30">
        <f>PM_Angle!$J$21+PM_Angle!$K$21*$C372+PM_Angle!$L$21*$B372</f>
      </c>
      <c r="AM372" s="12">
        <f>IF(AL372&gt;0,IF(AL372&lt;=eco,alpha*fck*(1-(1-AL372/eco)^n),alpha*fck),0)</f>
      </c>
      <c r="AN372" s="30">
        <f>PM_Angle!$J$22+PM_Angle!$K$22*$C372+PM_Angle!$L$22*$B372</f>
      </c>
      <c r="AO372" s="12">
        <f>IF(AN372&gt;0,IF(AN372&lt;=eco,alpha*fck*(1-(1-AN372/eco)^n),alpha*fck),0)</f>
      </c>
      <c r="AP372" s="30">
        <f>PM_Angle!$J$23+PM_Angle!$K$23*$C372+PM_Angle!$L$23*$B372</f>
      </c>
      <c r="AQ372" s="12">
        <f>IF(AP372&gt;0,IF(AP372&lt;=eco,alpha*fck*(1-(1-AP372/eco)^n),alpha*fck),0)</f>
      </c>
      <c r="AR372" s="30">
        <f>PM_Angle!$J$24+PM_Angle!$K$24*$C372+PM_Angle!$L$24*$B372</f>
      </c>
      <c r="AS372" s="12">
        <f>IF(AR372&gt;0,IF(AR372&lt;=eco,alpha*fck*(1-(1-AR372/eco)^n),alpha*fck),0)</f>
      </c>
      <c r="AT372" s="30">
        <f>PM_Angle!$J$25+PM_Angle!$K$25*$C372+PM_Angle!$L$25*$B372</f>
      </c>
      <c r="AU372" s="12">
        <f>IF(AT372&gt;0,IF(AT372&lt;=eco,alpha*fck*(1-(1-AT372/eco)^n),alpha*fck),0)</f>
      </c>
    </row>
    <row r="373" spans="1:47" x14ac:dyDescent="0.25">
      <c r="A373">
        <f>Mesh!A370</f>
      </c>
      <c r="B373" s="12">
        <f>Mesh!B370</f>
      </c>
      <c r="C373" s="12">
        <f>Mesh!C370</f>
      </c>
      <c r="D373" s="12">
        <f>Mesh!D370</f>
      </c>
      <c r="E373" s="30">
        <f>INDEX(St_e0,Det+1)+INDEX(St_kx,Det+1)*C373+INDEX(St_ky,Det+1)*B373</f>
      </c>
      <c r="F373" s="12">
        <f>IF(E373&gt;0,IF(E373&lt;=eco,alpha*fck*(1-(1-E373/eco)^n),alpha*fck),0)</f>
      </c>
      <c r="G373" s="11">
        <f>F373*D373</f>
      </c>
      <c r="H373" s="11">
        <f>G373*C373</f>
      </c>
      <c r="I373" s="11">
        <f>G373*B373</f>
      </c>
      <c r="J373" s="30">
        <f>PM_Angle!$J$7+PM_Angle!$K$7*$C373+PM_Angle!$L$7*$B373</f>
      </c>
      <c r="K373" s="12">
        <f>IF(J373&gt;0,IF(J373&lt;=eco,alpha*fck*(1-(1-J373/eco)^n),alpha*fck),0)</f>
      </c>
      <c r="L373" s="30">
        <f>PM_Angle!$J$8+PM_Angle!$K$8*$C373+PM_Angle!$L$8*$B373</f>
      </c>
      <c r="M373" s="12">
        <f>IF(L373&gt;0,IF(L373&lt;=eco,alpha*fck*(1-(1-L373/eco)^n),alpha*fck),0)</f>
      </c>
      <c r="N373" s="30">
        <f>PM_Angle!$J$9+PM_Angle!$K$9*$C373+PM_Angle!$L$9*$B373</f>
      </c>
      <c r="O373" s="12">
        <f>IF(N373&gt;0,IF(N373&lt;=eco,alpha*fck*(1-(1-N373/eco)^n),alpha*fck),0)</f>
      </c>
      <c r="P373" s="30">
        <f>PM_Angle!$J$10+PM_Angle!$K$10*$C373+PM_Angle!$L$10*$B373</f>
      </c>
      <c r="Q373" s="12">
        <f>IF(P373&gt;0,IF(P373&lt;=eco,alpha*fck*(1-(1-P373/eco)^n),alpha*fck),0)</f>
      </c>
      <c r="R373" s="30">
        <f>PM_Angle!$J$11+PM_Angle!$K$11*$C373+PM_Angle!$L$11*$B373</f>
      </c>
      <c r="S373" s="12">
        <f>IF(R373&gt;0,IF(R373&lt;=eco,alpha*fck*(1-(1-R373/eco)^n),alpha*fck),0)</f>
      </c>
      <c r="T373" s="30">
        <f>PM_Angle!$J$12+PM_Angle!$K$12*$C373+PM_Angle!$L$12*$B373</f>
      </c>
      <c r="U373" s="12">
        <f>IF(T373&gt;0,IF(T373&lt;=eco,alpha*fck*(1-(1-T373/eco)^n),alpha*fck),0)</f>
      </c>
      <c r="V373" s="30">
        <f>PM_Angle!$J$13+PM_Angle!$K$13*$C373+PM_Angle!$L$13*$B373</f>
      </c>
      <c r="W373" s="12">
        <f>IF(V373&gt;0,IF(V373&lt;=eco,alpha*fck*(1-(1-V373/eco)^n),alpha*fck),0)</f>
      </c>
      <c r="X373" s="30">
        <f>PM_Angle!$J$14+PM_Angle!$K$14*$C373+PM_Angle!$L$14*$B373</f>
      </c>
      <c r="Y373" s="12">
        <f>IF(X373&gt;0,IF(X373&lt;=eco,alpha*fck*(1-(1-X373/eco)^n),alpha*fck),0)</f>
      </c>
      <c r="Z373" s="30">
        <f>PM_Angle!$J$15+PM_Angle!$K$15*$C373+PM_Angle!$L$15*$B373</f>
      </c>
      <c r="AA373" s="12">
        <f>IF(Z373&gt;0,IF(Z373&lt;=eco,alpha*fck*(1-(1-Z373/eco)^n),alpha*fck),0)</f>
      </c>
      <c r="AB373" s="30">
        <f>PM_Angle!$J$16+PM_Angle!$K$16*$C373+PM_Angle!$L$16*$B373</f>
      </c>
      <c r="AC373" s="12">
        <f>IF(AB373&gt;0,IF(AB373&lt;=eco,alpha*fck*(1-(1-AB373/eco)^n),alpha*fck),0)</f>
      </c>
      <c r="AD373" s="30">
        <f>PM_Angle!$J$17+PM_Angle!$K$17*$C373+PM_Angle!$L$17*$B373</f>
      </c>
      <c r="AE373" s="12">
        <f>IF(AD373&gt;0,IF(AD373&lt;=eco,alpha*fck*(1-(1-AD373/eco)^n),alpha*fck),0)</f>
      </c>
      <c r="AF373" s="30">
        <f>PM_Angle!$J$18+PM_Angle!$K$18*$C373+PM_Angle!$L$18*$B373</f>
      </c>
      <c r="AG373" s="12">
        <f>IF(AF373&gt;0,IF(AF373&lt;=eco,alpha*fck*(1-(1-AF373/eco)^n),alpha*fck),0)</f>
      </c>
      <c r="AH373" s="30">
        <f>PM_Angle!$J$19+PM_Angle!$K$19*$C373+PM_Angle!$L$19*$B373</f>
      </c>
      <c r="AI373" s="12">
        <f>IF(AH373&gt;0,IF(AH373&lt;=eco,alpha*fck*(1-(1-AH373/eco)^n),alpha*fck),0)</f>
      </c>
      <c r="AJ373" s="30">
        <f>PM_Angle!$J$20+PM_Angle!$K$20*$C373+PM_Angle!$L$20*$B373</f>
      </c>
      <c r="AK373" s="12">
        <f>IF(AJ373&gt;0,IF(AJ373&lt;=eco,alpha*fck*(1-(1-AJ373/eco)^n),alpha*fck),0)</f>
      </c>
      <c r="AL373" s="30">
        <f>PM_Angle!$J$21+PM_Angle!$K$21*$C373+PM_Angle!$L$21*$B373</f>
      </c>
      <c r="AM373" s="12">
        <f>IF(AL373&gt;0,IF(AL373&lt;=eco,alpha*fck*(1-(1-AL373/eco)^n),alpha*fck),0)</f>
      </c>
      <c r="AN373" s="30">
        <f>PM_Angle!$J$22+PM_Angle!$K$22*$C373+PM_Angle!$L$22*$B373</f>
      </c>
      <c r="AO373" s="12">
        <f>IF(AN373&gt;0,IF(AN373&lt;=eco,alpha*fck*(1-(1-AN373/eco)^n),alpha*fck),0)</f>
      </c>
      <c r="AP373" s="30">
        <f>PM_Angle!$J$23+PM_Angle!$K$23*$C373+PM_Angle!$L$23*$B373</f>
      </c>
      <c r="AQ373" s="12">
        <f>IF(AP373&gt;0,IF(AP373&lt;=eco,alpha*fck*(1-(1-AP373/eco)^n),alpha*fck),0)</f>
      </c>
      <c r="AR373" s="30">
        <f>PM_Angle!$J$24+PM_Angle!$K$24*$C373+PM_Angle!$L$24*$B373</f>
      </c>
      <c r="AS373" s="12">
        <f>IF(AR373&gt;0,IF(AR373&lt;=eco,alpha*fck*(1-(1-AR373/eco)^n),alpha*fck),0)</f>
      </c>
      <c r="AT373" s="30">
        <f>PM_Angle!$J$25+PM_Angle!$K$25*$C373+PM_Angle!$L$25*$B373</f>
      </c>
      <c r="AU373" s="12">
        <f>IF(AT373&gt;0,IF(AT373&lt;=eco,alpha*fck*(1-(1-AT373/eco)^n),alpha*fck),0)</f>
      </c>
    </row>
    <row r="374" spans="1:47" x14ac:dyDescent="0.25">
      <c r="A374">
        <f>Mesh!A371</f>
      </c>
      <c r="B374" s="12">
        <f>Mesh!B371</f>
      </c>
      <c r="C374" s="12">
        <f>Mesh!C371</f>
      </c>
      <c r="D374" s="12">
        <f>Mesh!D371</f>
      </c>
      <c r="E374" s="30">
        <f>INDEX(St_e0,Det+1)+INDEX(St_kx,Det+1)*C374+INDEX(St_ky,Det+1)*B374</f>
      </c>
      <c r="F374" s="12">
        <f>IF(E374&gt;0,IF(E374&lt;=eco,alpha*fck*(1-(1-E374/eco)^n),alpha*fck),0)</f>
      </c>
      <c r="G374" s="11">
        <f>F374*D374</f>
      </c>
      <c r="H374" s="11">
        <f>G374*C374</f>
      </c>
      <c r="I374" s="11">
        <f>G374*B374</f>
      </c>
      <c r="J374" s="30">
        <f>PM_Angle!$J$7+PM_Angle!$K$7*$C374+PM_Angle!$L$7*$B374</f>
      </c>
      <c r="K374" s="12">
        <f>IF(J374&gt;0,IF(J374&lt;=eco,alpha*fck*(1-(1-J374/eco)^n),alpha*fck),0)</f>
      </c>
      <c r="L374" s="30">
        <f>PM_Angle!$J$8+PM_Angle!$K$8*$C374+PM_Angle!$L$8*$B374</f>
      </c>
      <c r="M374" s="12">
        <f>IF(L374&gt;0,IF(L374&lt;=eco,alpha*fck*(1-(1-L374/eco)^n),alpha*fck),0)</f>
      </c>
      <c r="N374" s="30">
        <f>PM_Angle!$J$9+PM_Angle!$K$9*$C374+PM_Angle!$L$9*$B374</f>
      </c>
      <c r="O374" s="12">
        <f>IF(N374&gt;0,IF(N374&lt;=eco,alpha*fck*(1-(1-N374/eco)^n),alpha*fck),0)</f>
      </c>
      <c r="P374" s="30">
        <f>PM_Angle!$J$10+PM_Angle!$K$10*$C374+PM_Angle!$L$10*$B374</f>
      </c>
      <c r="Q374" s="12">
        <f>IF(P374&gt;0,IF(P374&lt;=eco,alpha*fck*(1-(1-P374/eco)^n),alpha*fck),0)</f>
      </c>
      <c r="R374" s="30">
        <f>PM_Angle!$J$11+PM_Angle!$K$11*$C374+PM_Angle!$L$11*$B374</f>
      </c>
      <c r="S374" s="12">
        <f>IF(R374&gt;0,IF(R374&lt;=eco,alpha*fck*(1-(1-R374/eco)^n),alpha*fck),0)</f>
      </c>
      <c r="T374" s="30">
        <f>PM_Angle!$J$12+PM_Angle!$K$12*$C374+PM_Angle!$L$12*$B374</f>
      </c>
      <c r="U374" s="12">
        <f>IF(T374&gt;0,IF(T374&lt;=eco,alpha*fck*(1-(1-T374/eco)^n),alpha*fck),0)</f>
      </c>
      <c r="V374" s="30">
        <f>PM_Angle!$J$13+PM_Angle!$K$13*$C374+PM_Angle!$L$13*$B374</f>
      </c>
      <c r="W374" s="12">
        <f>IF(V374&gt;0,IF(V374&lt;=eco,alpha*fck*(1-(1-V374/eco)^n),alpha*fck),0)</f>
      </c>
      <c r="X374" s="30">
        <f>PM_Angle!$J$14+PM_Angle!$K$14*$C374+PM_Angle!$L$14*$B374</f>
      </c>
      <c r="Y374" s="12">
        <f>IF(X374&gt;0,IF(X374&lt;=eco,alpha*fck*(1-(1-X374/eco)^n),alpha*fck),0)</f>
      </c>
      <c r="Z374" s="30">
        <f>PM_Angle!$J$15+PM_Angle!$K$15*$C374+PM_Angle!$L$15*$B374</f>
      </c>
      <c r="AA374" s="12">
        <f>IF(Z374&gt;0,IF(Z374&lt;=eco,alpha*fck*(1-(1-Z374/eco)^n),alpha*fck),0)</f>
      </c>
      <c r="AB374" s="30">
        <f>PM_Angle!$J$16+PM_Angle!$K$16*$C374+PM_Angle!$L$16*$B374</f>
      </c>
      <c r="AC374" s="12">
        <f>IF(AB374&gt;0,IF(AB374&lt;=eco,alpha*fck*(1-(1-AB374/eco)^n),alpha*fck),0)</f>
      </c>
      <c r="AD374" s="30">
        <f>PM_Angle!$J$17+PM_Angle!$K$17*$C374+PM_Angle!$L$17*$B374</f>
      </c>
      <c r="AE374" s="12">
        <f>IF(AD374&gt;0,IF(AD374&lt;=eco,alpha*fck*(1-(1-AD374/eco)^n),alpha*fck),0)</f>
      </c>
      <c r="AF374" s="30">
        <f>PM_Angle!$J$18+PM_Angle!$K$18*$C374+PM_Angle!$L$18*$B374</f>
      </c>
      <c r="AG374" s="12">
        <f>IF(AF374&gt;0,IF(AF374&lt;=eco,alpha*fck*(1-(1-AF374/eco)^n),alpha*fck),0)</f>
      </c>
      <c r="AH374" s="30">
        <f>PM_Angle!$J$19+PM_Angle!$K$19*$C374+PM_Angle!$L$19*$B374</f>
      </c>
      <c r="AI374" s="12">
        <f>IF(AH374&gt;0,IF(AH374&lt;=eco,alpha*fck*(1-(1-AH374/eco)^n),alpha*fck),0)</f>
      </c>
      <c r="AJ374" s="30">
        <f>PM_Angle!$J$20+PM_Angle!$K$20*$C374+PM_Angle!$L$20*$B374</f>
      </c>
      <c r="AK374" s="12">
        <f>IF(AJ374&gt;0,IF(AJ374&lt;=eco,alpha*fck*(1-(1-AJ374/eco)^n),alpha*fck),0)</f>
      </c>
      <c r="AL374" s="30">
        <f>PM_Angle!$J$21+PM_Angle!$K$21*$C374+PM_Angle!$L$21*$B374</f>
      </c>
      <c r="AM374" s="12">
        <f>IF(AL374&gt;0,IF(AL374&lt;=eco,alpha*fck*(1-(1-AL374/eco)^n),alpha*fck),0)</f>
      </c>
      <c r="AN374" s="30">
        <f>PM_Angle!$J$22+PM_Angle!$K$22*$C374+PM_Angle!$L$22*$B374</f>
      </c>
      <c r="AO374" s="12">
        <f>IF(AN374&gt;0,IF(AN374&lt;=eco,alpha*fck*(1-(1-AN374/eco)^n),alpha*fck),0)</f>
      </c>
      <c r="AP374" s="30">
        <f>PM_Angle!$J$23+PM_Angle!$K$23*$C374+PM_Angle!$L$23*$B374</f>
      </c>
      <c r="AQ374" s="12">
        <f>IF(AP374&gt;0,IF(AP374&lt;=eco,alpha*fck*(1-(1-AP374/eco)^n),alpha*fck),0)</f>
      </c>
      <c r="AR374" s="30">
        <f>PM_Angle!$J$24+PM_Angle!$K$24*$C374+PM_Angle!$L$24*$B374</f>
      </c>
      <c r="AS374" s="12">
        <f>IF(AR374&gt;0,IF(AR374&lt;=eco,alpha*fck*(1-(1-AR374/eco)^n),alpha*fck),0)</f>
      </c>
      <c r="AT374" s="30">
        <f>PM_Angle!$J$25+PM_Angle!$K$25*$C374+PM_Angle!$L$25*$B374</f>
      </c>
      <c r="AU374" s="12">
        <f>IF(AT374&gt;0,IF(AT374&lt;=eco,alpha*fck*(1-(1-AT374/eco)^n),alpha*fck),0)</f>
      </c>
    </row>
    <row r="375" spans="1:47" x14ac:dyDescent="0.25">
      <c r="A375">
        <f>Mesh!A372</f>
      </c>
      <c r="B375" s="12">
        <f>Mesh!B372</f>
      </c>
      <c r="C375" s="12">
        <f>Mesh!C372</f>
      </c>
      <c r="D375" s="12">
        <f>Mesh!D372</f>
      </c>
      <c r="E375" s="30">
        <f>INDEX(St_e0,Det+1)+INDEX(St_kx,Det+1)*C375+INDEX(St_ky,Det+1)*B375</f>
      </c>
      <c r="F375" s="12">
        <f>IF(E375&gt;0,IF(E375&lt;=eco,alpha*fck*(1-(1-E375/eco)^n),alpha*fck),0)</f>
      </c>
      <c r="G375" s="11">
        <f>F375*D375</f>
      </c>
      <c r="H375" s="11">
        <f>G375*C375</f>
      </c>
      <c r="I375" s="11">
        <f>G375*B375</f>
      </c>
      <c r="J375" s="30">
        <f>PM_Angle!$J$7+PM_Angle!$K$7*$C375+PM_Angle!$L$7*$B375</f>
      </c>
      <c r="K375" s="12">
        <f>IF(J375&gt;0,IF(J375&lt;=eco,alpha*fck*(1-(1-J375/eco)^n),alpha*fck),0)</f>
      </c>
      <c r="L375" s="30">
        <f>PM_Angle!$J$8+PM_Angle!$K$8*$C375+PM_Angle!$L$8*$B375</f>
      </c>
      <c r="M375" s="12">
        <f>IF(L375&gt;0,IF(L375&lt;=eco,alpha*fck*(1-(1-L375/eco)^n),alpha*fck),0)</f>
      </c>
      <c r="N375" s="30">
        <f>PM_Angle!$J$9+PM_Angle!$K$9*$C375+PM_Angle!$L$9*$B375</f>
      </c>
      <c r="O375" s="12">
        <f>IF(N375&gt;0,IF(N375&lt;=eco,alpha*fck*(1-(1-N375/eco)^n),alpha*fck),0)</f>
      </c>
      <c r="P375" s="30">
        <f>PM_Angle!$J$10+PM_Angle!$K$10*$C375+PM_Angle!$L$10*$B375</f>
      </c>
      <c r="Q375" s="12">
        <f>IF(P375&gt;0,IF(P375&lt;=eco,alpha*fck*(1-(1-P375/eco)^n),alpha*fck),0)</f>
      </c>
      <c r="R375" s="30">
        <f>PM_Angle!$J$11+PM_Angle!$K$11*$C375+PM_Angle!$L$11*$B375</f>
      </c>
      <c r="S375" s="12">
        <f>IF(R375&gt;0,IF(R375&lt;=eco,alpha*fck*(1-(1-R375/eco)^n),alpha*fck),0)</f>
      </c>
      <c r="T375" s="30">
        <f>PM_Angle!$J$12+PM_Angle!$K$12*$C375+PM_Angle!$L$12*$B375</f>
      </c>
      <c r="U375" s="12">
        <f>IF(T375&gt;0,IF(T375&lt;=eco,alpha*fck*(1-(1-T375/eco)^n),alpha*fck),0)</f>
      </c>
      <c r="V375" s="30">
        <f>PM_Angle!$J$13+PM_Angle!$K$13*$C375+PM_Angle!$L$13*$B375</f>
      </c>
      <c r="W375" s="12">
        <f>IF(V375&gt;0,IF(V375&lt;=eco,alpha*fck*(1-(1-V375/eco)^n),alpha*fck),0)</f>
      </c>
      <c r="X375" s="30">
        <f>PM_Angle!$J$14+PM_Angle!$K$14*$C375+PM_Angle!$L$14*$B375</f>
      </c>
      <c r="Y375" s="12">
        <f>IF(X375&gt;0,IF(X375&lt;=eco,alpha*fck*(1-(1-X375/eco)^n),alpha*fck),0)</f>
      </c>
      <c r="Z375" s="30">
        <f>PM_Angle!$J$15+PM_Angle!$K$15*$C375+PM_Angle!$L$15*$B375</f>
      </c>
      <c r="AA375" s="12">
        <f>IF(Z375&gt;0,IF(Z375&lt;=eco,alpha*fck*(1-(1-Z375/eco)^n),alpha*fck),0)</f>
      </c>
      <c r="AB375" s="30">
        <f>PM_Angle!$J$16+PM_Angle!$K$16*$C375+PM_Angle!$L$16*$B375</f>
      </c>
      <c r="AC375" s="12">
        <f>IF(AB375&gt;0,IF(AB375&lt;=eco,alpha*fck*(1-(1-AB375/eco)^n),alpha*fck),0)</f>
      </c>
      <c r="AD375" s="30">
        <f>PM_Angle!$J$17+PM_Angle!$K$17*$C375+PM_Angle!$L$17*$B375</f>
      </c>
      <c r="AE375" s="12">
        <f>IF(AD375&gt;0,IF(AD375&lt;=eco,alpha*fck*(1-(1-AD375/eco)^n),alpha*fck),0)</f>
      </c>
      <c r="AF375" s="30">
        <f>PM_Angle!$J$18+PM_Angle!$K$18*$C375+PM_Angle!$L$18*$B375</f>
      </c>
      <c r="AG375" s="12">
        <f>IF(AF375&gt;0,IF(AF375&lt;=eco,alpha*fck*(1-(1-AF375/eco)^n),alpha*fck),0)</f>
      </c>
      <c r="AH375" s="30">
        <f>PM_Angle!$J$19+PM_Angle!$K$19*$C375+PM_Angle!$L$19*$B375</f>
      </c>
      <c r="AI375" s="12">
        <f>IF(AH375&gt;0,IF(AH375&lt;=eco,alpha*fck*(1-(1-AH375/eco)^n),alpha*fck),0)</f>
      </c>
      <c r="AJ375" s="30">
        <f>PM_Angle!$J$20+PM_Angle!$K$20*$C375+PM_Angle!$L$20*$B375</f>
      </c>
      <c r="AK375" s="12">
        <f>IF(AJ375&gt;0,IF(AJ375&lt;=eco,alpha*fck*(1-(1-AJ375/eco)^n),alpha*fck),0)</f>
      </c>
      <c r="AL375" s="30">
        <f>PM_Angle!$J$21+PM_Angle!$K$21*$C375+PM_Angle!$L$21*$B375</f>
      </c>
      <c r="AM375" s="12">
        <f>IF(AL375&gt;0,IF(AL375&lt;=eco,alpha*fck*(1-(1-AL375/eco)^n),alpha*fck),0)</f>
      </c>
      <c r="AN375" s="30">
        <f>PM_Angle!$J$22+PM_Angle!$K$22*$C375+PM_Angle!$L$22*$B375</f>
      </c>
      <c r="AO375" s="12">
        <f>IF(AN375&gt;0,IF(AN375&lt;=eco,alpha*fck*(1-(1-AN375/eco)^n),alpha*fck),0)</f>
      </c>
      <c r="AP375" s="30">
        <f>PM_Angle!$J$23+PM_Angle!$K$23*$C375+PM_Angle!$L$23*$B375</f>
      </c>
      <c r="AQ375" s="12">
        <f>IF(AP375&gt;0,IF(AP375&lt;=eco,alpha*fck*(1-(1-AP375/eco)^n),alpha*fck),0)</f>
      </c>
      <c r="AR375" s="30">
        <f>PM_Angle!$J$24+PM_Angle!$K$24*$C375+PM_Angle!$L$24*$B375</f>
      </c>
      <c r="AS375" s="12">
        <f>IF(AR375&gt;0,IF(AR375&lt;=eco,alpha*fck*(1-(1-AR375/eco)^n),alpha*fck),0)</f>
      </c>
      <c r="AT375" s="30">
        <f>PM_Angle!$J$25+PM_Angle!$K$25*$C375+PM_Angle!$L$25*$B375</f>
      </c>
      <c r="AU375" s="12">
        <f>IF(AT375&gt;0,IF(AT375&lt;=eco,alpha*fck*(1-(1-AT375/eco)^n),alpha*fck),0)</f>
      </c>
    </row>
    <row r="376" spans="1:47" x14ac:dyDescent="0.25">
      <c r="A376">
        <f>Mesh!A373</f>
      </c>
      <c r="B376" s="12">
        <f>Mesh!B373</f>
      </c>
      <c r="C376" s="12">
        <f>Mesh!C373</f>
      </c>
      <c r="D376" s="12">
        <f>Mesh!D373</f>
      </c>
      <c r="E376" s="30">
        <f>INDEX(St_e0,Det+1)+INDEX(St_kx,Det+1)*C376+INDEX(St_ky,Det+1)*B376</f>
      </c>
      <c r="F376" s="12">
        <f>IF(E376&gt;0,IF(E376&lt;=eco,alpha*fck*(1-(1-E376/eco)^n),alpha*fck),0)</f>
      </c>
      <c r="G376" s="11">
        <f>F376*D376</f>
      </c>
      <c r="H376" s="11">
        <f>G376*C376</f>
      </c>
      <c r="I376" s="11">
        <f>G376*B376</f>
      </c>
      <c r="J376" s="30">
        <f>PM_Angle!$J$7+PM_Angle!$K$7*$C376+PM_Angle!$L$7*$B376</f>
      </c>
      <c r="K376" s="12">
        <f>IF(J376&gt;0,IF(J376&lt;=eco,alpha*fck*(1-(1-J376/eco)^n),alpha*fck),0)</f>
      </c>
      <c r="L376" s="30">
        <f>PM_Angle!$J$8+PM_Angle!$K$8*$C376+PM_Angle!$L$8*$B376</f>
      </c>
      <c r="M376" s="12">
        <f>IF(L376&gt;0,IF(L376&lt;=eco,alpha*fck*(1-(1-L376/eco)^n),alpha*fck),0)</f>
      </c>
      <c r="N376" s="30">
        <f>PM_Angle!$J$9+PM_Angle!$K$9*$C376+PM_Angle!$L$9*$B376</f>
      </c>
      <c r="O376" s="12">
        <f>IF(N376&gt;0,IF(N376&lt;=eco,alpha*fck*(1-(1-N376/eco)^n),alpha*fck),0)</f>
      </c>
      <c r="P376" s="30">
        <f>PM_Angle!$J$10+PM_Angle!$K$10*$C376+PM_Angle!$L$10*$B376</f>
      </c>
      <c r="Q376" s="12">
        <f>IF(P376&gt;0,IF(P376&lt;=eco,alpha*fck*(1-(1-P376/eco)^n),alpha*fck),0)</f>
      </c>
      <c r="R376" s="30">
        <f>PM_Angle!$J$11+PM_Angle!$K$11*$C376+PM_Angle!$L$11*$B376</f>
      </c>
      <c r="S376" s="12">
        <f>IF(R376&gt;0,IF(R376&lt;=eco,alpha*fck*(1-(1-R376/eco)^n),alpha*fck),0)</f>
      </c>
      <c r="T376" s="30">
        <f>PM_Angle!$J$12+PM_Angle!$K$12*$C376+PM_Angle!$L$12*$B376</f>
      </c>
      <c r="U376" s="12">
        <f>IF(T376&gt;0,IF(T376&lt;=eco,alpha*fck*(1-(1-T376/eco)^n),alpha*fck),0)</f>
      </c>
      <c r="V376" s="30">
        <f>PM_Angle!$J$13+PM_Angle!$K$13*$C376+PM_Angle!$L$13*$B376</f>
      </c>
      <c r="W376" s="12">
        <f>IF(V376&gt;0,IF(V376&lt;=eco,alpha*fck*(1-(1-V376/eco)^n),alpha*fck),0)</f>
      </c>
      <c r="X376" s="30">
        <f>PM_Angle!$J$14+PM_Angle!$K$14*$C376+PM_Angle!$L$14*$B376</f>
      </c>
      <c r="Y376" s="12">
        <f>IF(X376&gt;0,IF(X376&lt;=eco,alpha*fck*(1-(1-X376/eco)^n),alpha*fck),0)</f>
      </c>
      <c r="Z376" s="30">
        <f>PM_Angle!$J$15+PM_Angle!$K$15*$C376+PM_Angle!$L$15*$B376</f>
      </c>
      <c r="AA376" s="12">
        <f>IF(Z376&gt;0,IF(Z376&lt;=eco,alpha*fck*(1-(1-Z376/eco)^n),alpha*fck),0)</f>
      </c>
      <c r="AB376" s="30">
        <f>PM_Angle!$J$16+PM_Angle!$K$16*$C376+PM_Angle!$L$16*$B376</f>
      </c>
      <c r="AC376" s="12">
        <f>IF(AB376&gt;0,IF(AB376&lt;=eco,alpha*fck*(1-(1-AB376/eco)^n),alpha*fck),0)</f>
      </c>
      <c r="AD376" s="30">
        <f>PM_Angle!$J$17+PM_Angle!$K$17*$C376+PM_Angle!$L$17*$B376</f>
      </c>
      <c r="AE376" s="12">
        <f>IF(AD376&gt;0,IF(AD376&lt;=eco,alpha*fck*(1-(1-AD376/eco)^n),alpha*fck),0)</f>
      </c>
      <c r="AF376" s="30">
        <f>PM_Angle!$J$18+PM_Angle!$K$18*$C376+PM_Angle!$L$18*$B376</f>
      </c>
      <c r="AG376" s="12">
        <f>IF(AF376&gt;0,IF(AF376&lt;=eco,alpha*fck*(1-(1-AF376/eco)^n),alpha*fck),0)</f>
      </c>
      <c r="AH376" s="30">
        <f>PM_Angle!$J$19+PM_Angle!$K$19*$C376+PM_Angle!$L$19*$B376</f>
      </c>
      <c r="AI376" s="12">
        <f>IF(AH376&gt;0,IF(AH376&lt;=eco,alpha*fck*(1-(1-AH376/eco)^n),alpha*fck),0)</f>
      </c>
      <c r="AJ376" s="30">
        <f>PM_Angle!$J$20+PM_Angle!$K$20*$C376+PM_Angle!$L$20*$B376</f>
      </c>
      <c r="AK376" s="12">
        <f>IF(AJ376&gt;0,IF(AJ376&lt;=eco,alpha*fck*(1-(1-AJ376/eco)^n),alpha*fck),0)</f>
      </c>
      <c r="AL376" s="30">
        <f>PM_Angle!$J$21+PM_Angle!$K$21*$C376+PM_Angle!$L$21*$B376</f>
      </c>
      <c r="AM376" s="12">
        <f>IF(AL376&gt;0,IF(AL376&lt;=eco,alpha*fck*(1-(1-AL376/eco)^n),alpha*fck),0)</f>
      </c>
      <c r="AN376" s="30">
        <f>PM_Angle!$J$22+PM_Angle!$K$22*$C376+PM_Angle!$L$22*$B376</f>
      </c>
      <c r="AO376" s="12">
        <f>IF(AN376&gt;0,IF(AN376&lt;=eco,alpha*fck*(1-(1-AN376/eco)^n),alpha*fck),0)</f>
      </c>
      <c r="AP376" s="30">
        <f>PM_Angle!$J$23+PM_Angle!$K$23*$C376+PM_Angle!$L$23*$B376</f>
      </c>
      <c r="AQ376" s="12">
        <f>IF(AP376&gt;0,IF(AP376&lt;=eco,alpha*fck*(1-(1-AP376/eco)^n),alpha*fck),0)</f>
      </c>
      <c r="AR376" s="30">
        <f>PM_Angle!$J$24+PM_Angle!$K$24*$C376+PM_Angle!$L$24*$B376</f>
      </c>
      <c r="AS376" s="12">
        <f>IF(AR376&gt;0,IF(AR376&lt;=eco,alpha*fck*(1-(1-AR376/eco)^n),alpha*fck),0)</f>
      </c>
      <c r="AT376" s="30">
        <f>PM_Angle!$J$25+PM_Angle!$K$25*$C376+PM_Angle!$L$25*$B376</f>
      </c>
      <c r="AU376" s="12">
        <f>IF(AT376&gt;0,IF(AT376&lt;=eco,alpha*fck*(1-(1-AT376/eco)^n),alpha*fck),0)</f>
      </c>
    </row>
    <row r="377" spans="1:47" x14ac:dyDescent="0.25">
      <c r="A377">
        <f>Mesh!A374</f>
      </c>
      <c r="B377" s="12">
        <f>Mesh!B374</f>
      </c>
      <c r="C377" s="12">
        <f>Mesh!C374</f>
      </c>
      <c r="D377" s="12">
        <f>Mesh!D374</f>
      </c>
      <c r="E377" s="30">
        <f>INDEX(St_e0,Det+1)+INDEX(St_kx,Det+1)*C377+INDEX(St_ky,Det+1)*B377</f>
      </c>
      <c r="F377" s="12">
        <f>IF(E377&gt;0,IF(E377&lt;=eco,alpha*fck*(1-(1-E377/eco)^n),alpha*fck),0)</f>
      </c>
      <c r="G377" s="11">
        <f>F377*D377</f>
      </c>
      <c r="H377" s="11">
        <f>G377*C377</f>
      </c>
      <c r="I377" s="11">
        <f>G377*B377</f>
      </c>
      <c r="J377" s="30">
        <f>PM_Angle!$J$7+PM_Angle!$K$7*$C377+PM_Angle!$L$7*$B377</f>
      </c>
      <c r="K377" s="12">
        <f>IF(J377&gt;0,IF(J377&lt;=eco,alpha*fck*(1-(1-J377/eco)^n),alpha*fck),0)</f>
      </c>
      <c r="L377" s="30">
        <f>PM_Angle!$J$8+PM_Angle!$K$8*$C377+PM_Angle!$L$8*$B377</f>
      </c>
      <c r="M377" s="12">
        <f>IF(L377&gt;0,IF(L377&lt;=eco,alpha*fck*(1-(1-L377/eco)^n),alpha*fck),0)</f>
      </c>
      <c r="N377" s="30">
        <f>PM_Angle!$J$9+PM_Angle!$K$9*$C377+PM_Angle!$L$9*$B377</f>
      </c>
      <c r="O377" s="12">
        <f>IF(N377&gt;0,IF(N377&lt;=eco,alpha*fck*(1-(1-N377/eco)^n),alpha*fck),0)</f>
      </c>
      <c r="P377" s="30">
        <f>PM_Angle!$J$10+PM_Angle!$K$10*$C377+PM_Angle!$L$10*$B377</f>
      </c>
      <c r="Q377" s="12">
        <f>IF(P377&gt;0,IF(P377&lt;=eco,alpha*fck*(1-(1-P377/eco)^n),alpha*fck),0)</f>
      </c>
      <c r="R377" s="30">
        <f>PM_Angle!$J$11+PM_Angle!$K$11*$C377+PM_Angle!$L$11*$B377</f>
      </c>
      <c r="S377" s="12">
        <f>IF(R377&gt;0,IF(R377&lt;=eco,alpha*fck*(1-(1-R377/eco)^n),alpha*fck),0)</f>
      </c>
      <c r="T377" s="30">
        <f>PM_Angle!$J$12+PM_Angle!$K$12*$C377+PM_Angle!$L$12*$B377</f>
      </c>
      <c r="U377" s="12">
        <f>IF(T377&gt;0,IF(T377&lt;=eco,alpha*fck*(1-(1-T377/eco)^n),alpha*fck),0)</f>
      </c>
      <c r="V377" s="30">
        <f>PM_Angle!$J$13+PM_Angle!$K$13*$C377+PM_Angle!$L$13*$B377</f>
      </c>
      <c r="W377" s="12">
        <f>IF(V377&gt;0,IF(V377&lt;=eco,alpha*fck*(1-(1-V377/eco)^n),alpha*fck),0)</f>
      </c>
      <c r="X377" s="30">
        <f>PM_Angle!$J$14+PM_Angle!$K$14*$C377+PM_Angle!$L$14*$B377</f>
      </c>
      <c r="Y377" s="12">
        <f>IF(X377&gt;0,IF(X377&lt;=eco,alpha*fck*(1-(1-X377/eco)^n),alpha*fck),0)</f>
      </c>
      <c r="Z377" s="30">
        <f>PM_Angle!$J$15+PM_Angle!$K$15*$C377+PM_Angle!$L$15*$B377</f>
      </c>
      <c r="AA377" s="12">
        <f>IF(Z377&gt;0,IF(Z377&lt;=eco,alpha*fck*(1-(1-Z377/eco)^n),alpha*fck),0)</f>
      </c>
      <c r="AB377" s="30">
        <f>PM_Angle!$J$16+PM_Angle!$K$16*$C377+PM_Angle!$L$16*$B377</f>
      </c>
      <c r="AC377" s="12">
        <f>IF(AB377&gt;0,IF(AB377&lt;=eco,alpha*fck*(1-(1-AB377/eco)^n),alpha*fck),0)</f>
      </c>
      <c r="AD377" s="30">
        <f>PM_Angle!$J$17+PM_Angle!$K$17*$C377+PM_Angle!$L$17*$B377</f>
      </c>
      <c r="AE377" s="12">
        <f>IF(AD377&gt;0,IF(AD377&lt;=eco,alpha*fck*(1-(1-AD377/eco)^n),alpha*fck),0)</f>
      </c>
      <c r="AF377" s="30">
        <f>PM_Angle!$J$18+PM_Angle!$K$18*$C377+PM_Angle!$L$18*$B377</f>
      </c>
      <c r="AG377" s="12">
        <f>IF(AF377&gt;0,IF(AF377&lt;=eco,alpha*fck*(1-(1-AF377/eco)^n),alpha*fck),0)</f>
      </c>
      <c r="AH377" s="30">
        <f>PM_Angle!$J$19+PM_Angle!$K$19*$C377+PM_Angle!$L$19*$B377</f>
      </c>
      <c r="AI377" s="12">
        <f>IF(AH377&gt;0,IF(AH377&lt;=eco,alpha*fck*(1-(1-AH377/eco)^n),alpha*fck),0)</f>
      </c>
      <c r="AJ377" s="30">
        <f>PM_Angle!$J$20+PM_Angle!$K$20*$C377+PM_Angle!$L$20*$B377</f>
      </c>
      <c r="AK377" s="12">
        <f>IF(AJ377&gt;0,IF(AJ377&lt;=eco,alpha*fck*(1-(1-AJ377/eco)^n),alpha*fck),0)</f>
      </c>
      <c r="AL377" s="30">
        <f>PM_Angle!$J$21+PM_Angle!$K$21*$C377+PM_Angle!$L$21*$B377</f>
      </c>
      <c r="AM377" s="12">
        <f>IF(AL377&gt;0,IF(AL377&lt;=eco,alpha*fck*(1-(1-AL377/eco)^n),alpha*fck),0)</f>
      </c>
      <c r="AN377" s="30">
        <f>PM_Angle!$J$22+PM_Angle!$K$22*$C377+PM_Angle!$L$22*$B377</f>
      </c>
      <c r="AO377" s="12">
        <f>IF(AN377&gt;0,IF(AN377&lt;=eco,alpha*fck*(1-(1-AN377/eco)^n),alpha*fck),0)</f>
      </c>
      <c r="AP377" s="30">
        <f>PM_Angle!$J$23+PM_Angle!$K$23*$C377+PM_Angle!$L$23*$B377</f>
      </c>
      <c r="AQ377" s="12">
        <f>IF(AP377&gt;0,IF(AP377&lt;=eco,alpha*fck*(1-(1-AP377/eco)^n),alpha*fck),0)</f>
      </c>
      <c r="AR377" s="30">
        <f>PM_Angle!$J$24+PM_Angle!$K$24*$C377+PM_Angle!$L$24*$B377</f>
      </c>
      <c r="AS377" s="12">
        <f>IF(AR377&gt;0,IF(AR377&lt;=eco,alpha*fck*(1-(1-AR377/eco)^n),alpha*fck),0)</f>
      </c>
      <c r="AT377" s="30">
        <f>PM_Angle!$J$25+PM_Angle!$K$25*$C377+PM_Angle!$L$25*$B377</f>
      </c>
      <c r="AU377" s="12">
        <f>IF(AT377&gt;0,IF(AT377&lt;=eco,alpha*fck*(1-(1-AT377/eco)^n),alpha*fck),0)</f>
      </c>
    </row>
    <row r="378" spans="1:47" x14ac:dyDescent="0.25">
      <c r="A378">
        <f>Mesh!A375</f>
      </c>
      <c r="B378" s="12">
        <f>Mesh!B375</f>
      </c>
      <c r="C378" s="12">
        <f>Mesh!C375</f>
      </c>
      <c r="D378" s="12">
        <f>Mesh!D375</f>
      </c>
      <c r="E378" s="30">
        <f>INDEX(St_e0,Det+1)+INDEX(St_kx,Det+1)*C378+INDEX(St_ky,Det+1)*B378</f>
      </c>
      <c r="F378" s="12">
        <f>IF(E378&gt;0,IF(E378&lt;=eco,alpha*fck*(1-(1-E378/eco)^n),alpha*fck),0)</f>
      </c>
      <c r="G378" s="11">
        <f>F378*D378</f>
      </c>
      <c r="H378" s="11">
        <f>G378*C378</f>
      </c>
      <c r="I378" s="11">
        <f>G378*B378</f>
      </c>
      <c r="J378" s="30">
        <f>PM_Angle!$J$7+PM_Angle!$K$7*$C378+PM_Angle!$L$7*$B378</f>
      </c>
      <c r="K378" s="12">
        <f>IF(J378&gt;0,IF(J378&lt;=eco,alpha*fck*(1-(1-J378/eco)^n),alpha*fck),0)</f>
      </c>
      <c r="L378" s="30">
        <f>PM_Angle!$J$8+PM_Angle!$K$8*$C378+PM_Angle!$L$8*$B378</f>
      </c>
      <c r="M378" s="12">
        <f>IF(L378&gt;0,IF(L378&lt;=eco,alpha*fck*(1-(1-L378/eco)^n),alpha*fck),0)</f>
      </c>
      <c r="N378" s="30">
        <f>PM_Angle!$J$9+PM_Angle!$K$9*$C378+PM_Angle!$L$9*$B378</f>
      </c>
      <c r="O378" s="12">
        <f>IF(N378&gt;0,IF(N378&lt;=eco,alpha*fck*(1-(1-N378/eco)^n),alpha*fck),0)</f>
      </c>
      <c r="P378" s="30">
        <f>PM_Angle!$J$10+PM_Angle!$K$10*$C378+PM_Angle!$L$10*$B378</f>
      </c>
      <c r="Q378" s="12">
        <f>IF(P378&gt;0,IF(P378&lt;=eco,alpha*fck*(1-(1-P378/eco)^n),alpha*fck),0)</f>
      </c>
      <c r="R378" s="30">
        <f>PM_Angle!$J$11+PM_Angle!$K$11*$C378+PM_Angle!$L$11*$B378</f>
      </c>
      <c r="S378" s="12">
        <f>IF(R378&gt;0,IF(R378&lt;=eco,alpha*fck*(1-(1-R378/eco)^n),alpha*fck),0)</f>
      </c>
      <c r="T378" s="30">
        <f>PM_Angle!$J$12+PM_Angle!$K$12*$C378+PM_Angle!$L$12*$B378</f>
      </c>
      <c r="U378" s="12">
        <f>IF(T378&gt;0,IF(T378&lt;=eco,alpha*fck*(1-(1-T378/eco)^n),alpha*fck),0)</f>
      </c>
      <c r="V378" s="30">
        <f>PM_Angle!$J$13+PM_Angle!$K$13*$C378+PM_Angle!$L$13*$B378</f>
      </c>
      <c r="W378" s="12">
        <f>IF(V378&gt;0,IF(V378&lt;=eco,alpha*fck*(1-(1-V378/eco)^n),alpha*fck),0)</f>
      </c>
      <c r="X378" s="30">
        <f>PM_Angle!$J$14+PM_Angle!$K$14*$C378+PM_Angle!$L$14*$B378</f>
      </c>
      <c r="Y378" s="12">
        <f>IF(X378&gt;0,IF(X378&lt;=eco,alpha*fck*(1-(1-X378/eco)^n),alpha*fck),0)</f>
      </c>
      <c r="Z378" s="30">
        <f>PM_Angle!$J$15+PM_Angle!$K$15*$C378+PM_Angle!$L$15*$B378</f>
      </c>
      <c r="AA378" s="12">
        <f>IF(Z378&gt;0,IF(Z378&lt;=eco,alpha*fck*(1-(1-Z378/eco)^n),alpha*fck),0)</f>
      </c>
      <c r="AB378" s="30">
        <f>PM_Angle!$J$16+PM_Angle!$K$16*$C378+PM_Angle!$L$16*$B378</f>
      </c>
      <c r="AC378" s="12">
        <f>IF(AB378&gt;0,IF(AB378&lt;=eco,alpha*fck*(1-(1-AB378/eco)^n),alpha*fck),0)</f>
      </c>
      <c r="AD378" s="30">
        <f>PM_Angle!$J$17+PM_Angle!$K$17*$C378+PM_Angle!$L$17*$B378</f>
      </c>
      <c r="AE378" s="12">
        <f>IF(AD378&gt;0,IF(AD378&lt;=eco,alpha*fck*(1-(1-AD378/eco)^n),alpha*fck),0)</f>
      </c>
      <c r="AF378" s="30">
        <f>PM_Angle!$J$18+PM_Angle!$K$18*$C378+PM_Angle!$L$18*$B378</f>
      </c>
      <c r="AG378" s="12">
        <f>IF(AF378&gt;0,IF(AF378&lt;=eco,alpha*fck*(1-(1-AF378/eco)^n),alpha*fck),0)</f>
      </c>
      <c r="AH378" s="30">
        <f>PM_Angle!$J$19+PM_Angle!$K$19*$C378+PM_Angle!$L$19*$B378</f>
      </c>
      <c r="AI378" s="12">
        <f>IF(AH378&gt;0,IF(AH378&lt;=eco,alpha*fck*(1-(1-AH378/eco)^n),alpha*fck),0)</f>
      </c>
      <c r="AJ378" s="30">
        <f>PM_Angle!$J$20+PM_Angle!$K$20*$C378+PM_Angle!$L$20*$B378</f>
      </c>
      <c r="AK378" s="12">
        <f>IF(AJ378&gt;0,IF(AJ378&lt;=eco,alpha*fck*(1-(1-AJ378/eco)^n),alpha*fck),0)</f>
      </c>
      <c r="AL378" s="30">
        <f>PM_Angle!$J$21+PM_Angle!$K$21*$C378+PM_Angle!$L$21*$B378</f>
      </c>
      <c r="AM378" s="12">
        <f>IF(AL378&gt;0,IF(AL378&lt;=eco,alpha*fck*(1-(1-AL378/eco)^n),alpha*fck),0)</f>
      </c>
      <c r="AN378" s="30">
        <f>PM_Angle!$J$22+PM_Angle!$K$22*$C378+PM_Angle!$L$22*$B378</f>
      </c>
      <c r="AO378" s="12">
        <f>IF(AN378&gt;0,IF(AN378&lt;=eco,alpha*fck*(1-(1-AN378/eco)^n),alpha*fck),0)</f>
      </c>
      <c r="AP378" s="30">
        <f>PM_Angle!$J$23+PM_Angle!$K$23*$C378+PM_Angle!$L$23*$B378</f>
      </c>
      <c r="AQ378" s="12">
        <f>IF(AP378&gt;0,IF(AP378&lt;=eco,alpha*fck*(1-(1-AP378/eco)^n),alpha*fck),0)</f>
      </c>
      <c r="AR378" s="30">
        <f>PM_Angle!$J$24+PM_Angle!$K$24*$C378+PM_Angle!$L$24*$B378</f>
      </c>
      <c r="AS378" s="12">
        <f>IF(AR378&gt;0,IF(AR378&lt;=eco,alpha*fck*(1-(1-AR378/eco)^n),alpha*fck),0)</f>
      </c>
      <c r="AT378" s="30">
        <f>PM_Angle!$J$25+PM_Angle!$K$25*$C378+PM_Angle!$L$25*$B378</f>
      </c>
      <c r="AU378" s="12">
        <f>IF(AT378&gt;0,IF(AT378&lt;=eco,alpha*fck*(1-(1-AT378/eco)^n),alpha*fck),0)</f>
      </c>
    </row>
    <row r="379" spans="1:47" x14ac:dyDescent="0.25">
      <c r="A379">
        <f>Mesh!A376</f>
      </c>
      <c r="B379" s="12">
        <f>Mesh!B376</f>
      </c>
      <c r="C379" s="12">
        <f>Mesh!C376</f>
      </c>
      <c r="D379" s="12">
        <f>Mesh!D376</f>
      </c>
      <c r="E379" s="30">
        <f>INDEX(St_e0,Det+1)+INDEX(St_kx,Det+1)*C379+INDEX(St_ky,Det+1)*B379</f>
      </c>
      <c r="F379" s="12">
        <f>IF(E379&gt;0,IF(E379&lt;=eco,alpha*fck*(1-(1-E379/eco)^n),alpha*fck),0)</f>
      </c>
      <c r="G379" s="11">
        <f>F379*D379</f>
      </c>
      <c r="H379" s="11">
        <f>G379*C379</f>
      </c>
      <c r="I379" s="11">
        <f>G379*B379</f>
      </c>
      <c r="J379" s="30">
        <f>PM_Angle!$J$7+PM_Angle!$K$7*$C379+PM_Angle!$L$7*$B379</f>
      </c>
      <c r="K379" s="12">
        <f>IF(J379&gt;0,IF(J379&lt;=eco,alpha*fck*(1-(1-J379/eco)^n),alpha*fck),0)</f>
      </c>
      <c r="L379" s="30">
        <f>PM_Angle!$J$8+PM_Angle!$K$8*$C379+PM_Angle!$L$8*$B379</f>
      </c>
      <c r="M379" s="12">
        <f>IF(L379&gt;0,IF(L379&lt;=eco,alpha*fck*(1-(1-L379/eco)^n),alpha*fck),0)</f>
      </c>
      <c r="N379" s="30">
        <f>PM_Angle!$J$9+PM_Angle!$K$9*$C379+PM_Angle!$L$9*$B379</f>
      </c>
      <c r="O379" s="12">
        <f>IF(N379&gt;0,IF(N379&lt;=eco,alpha*fck*(1-(1-N379/eco)^n),alpha*fck),0)</f>
      </c>
      <c r="P379" s="30">
        <f>PM_Angle!$J$10+PM_Angle!$K$10*$C379+PM_Angle!$L$10*$B379</f>
      </c>
      <c r="Q379" s="12">
        <f>IF(P379&gt;0,IF(P379&lt;=eco,alpha*fck*(1-(1-P379/eco)^n),alpha*fck),0)</f>
      </c>
      <c r="R379" s="30">
        <f>PM_Angle!$J$11+PM_Angle!$K$11*$C379+PM_Angle!$L$11*$B379</f>
      </c>
      <c r="S379" s="12">
        <f>IF(R379&gt;0,IF(R379&lt;=eco,alpha*fck*(1-(1-R379/eco)^n),alpha*fck),0)</f>
      </c>
      <c r="T379" s="30">
        <f>PM_Angle!$J$12+PM_Angle!$K$12*$C379+PM_Angle!$L$12*$B379</f>
      </c>
      <c r="U379" s="12">
        <f>IF(T379&gt;0,IF(T379&lt;=eco,alpha*fck*(1-(1-T379/eco)^n),alpha*fck),0)</f>
      </c>
      <c r="V379" s="30">
        <f>PM_Angle!$J$13+PM_Angle!$K$13*$C379+PM_Angle!$L$13*$B379</f>
      </c>
      <c r="W379" s="12">
        <f>IF(V379&gt;0,IF(V379&lt;=eco,alpha*fck*(1-(1-V379/eco)^n),alpha*fck),0)</f>
      </c>
      <c r="X379" s="30">
        <f>PM_Angle!$J$14+PM_Angle!$K$14*$C379+PM_Angle!$L$14*$B379</f>
      </c>
      <c r="Y379" s="12">
        <f>IF(X379&gt;0,IF(X379&lt;=eco,alpha*fck*(1-(1-X379/eco)^n),alpha*fck),0)</f>
      </c>
      <c r="Z379" s="30">
        <f>PM_Angle!$J$15+PM_Angle!$K$15*$C379+PM_Angle!$L$15*$B379</f>
      </c>
      <c r="AA379" s="12">
        <f>IF(Z379&gt;0,IF(Z379&lt;=eco,alpha*fck*(1-(1-Z379/eco)^n),alpha*fck),0)</f>
      </c>
      <c r="AB379" s="30">
        <f>PM_Angle!$J$16+PM_Angle!$K$16*$C379+PM_Angle!$L$16*$B379</f>
      </c>
      <c r="AC379" s="12">
        <f>IF(AB379&gt;0,IF(AB379&lt;=eco,alpha*fck*(1-(1-AB379/eco)^n),alpha*fck),0)</f>
      </c>
      <c r="AD379" s="30">
        <f>PM_Angle!$J$17+PM_Angle!$K$17*$C379+PM_Angle!$L$17*$B379</f>
      </c>
      <c r="AE379" s="12">
        <f>IF(AD379&gt;0,IF(AD379&lt;=eco,alpha*fck*(1-(1-AD379/eco)^n),alpha*fck),0)</f>
      </c>
      <c r="AF379" s="30">
        <f>PM_Angle!$J$18+PM_Angle!$K$18*$C379+PM_Angle!$L$18*$B379</f>
      </c>
      <c r="AG379" s="12">
        <f>IF(AF379&gt;0,IF(AF379&lt;=eco,alpha*fck*(1-(1-AF379/eco)^n),alpha*fck),0)</f>
      </c>
      <c r="AH379" s="30">
        <f>PM_Angle!$J$19+PM_Angle!$K$19*$C379+PM_Angle!$L$19*$B379</f>
      </c>
      <c r="AI379" s="12">
        <f>IF(AH379&gt;0,IF(AH379&lt;=eco,alpha*fck*(1-(1-AH379/eco)^n),alpha*fck),0)</f>
      </c>
      <c r="AJ379" s="30">
        <f>PM_Angle!$J$20+PM_Angle!$K$20*$C379+PM_Angle!$L$20*$B379</f>
      </c>
      <c r="AK379" s="12">
        <f>IF(AJ379&gt;0,IF(AJ379&lt;=eco,alpha*fck*(1-(1-AJ379/eco)^n),alpha*fck),0)</f>
      </c>
      <c r="AL379" s="30">
        <f>PM_Angle!$J$21+PM_Angle!$K$21*$C379+PM_Angle!$L$21*$B379</f>
      </c>
      <c r="AM379" s="12">
        <f>IF(AL379&gt;0,IF(AL379&lt;=eco,alpha*fck*(1-(1-AL379/eco)^n),alpha*fck),0)</f>
      </c>
      <c r="AN379" s="30">
        <f>PM_Angle!$J$22+PM_Angle!$K$22*$C379+PM_Angle!$L$22*$B379</f>
      </c>
      <c r="AO379" s="12">
        <f>IF(AN379&gt;0,IF(AN379&lt;=eco,alpha*fck*(1-(1-AN379/eco)^n),alpha*fck),0)</f>
      </c>
      <c r="AP379" s="30">
        <f>PM_Angle!$J$23+PM_Angle!$K$23*$C379+PM_Angle!$L$23*$B379</f>
      </c>
      <c r="AQ379" s="12">
        <f>IF(AP379&gt;0,IF(AP379&lt;=eco,alpha*fck*(1-(1-AP379/eco)^n),alpha*fck),0)</f>
      </c>
      <c r="AR379" s="30">
        <f>PM_Angle!$J$24+PM_Angle!$K$24*$C379+PM_Angle!$L$24*$B379</f>
      </c>
      <c r="AS379" s="12">
        <f>IF(AR379&gt;0,IF(AR379&lt;=eco,alpha*fck*(1-(1-AR379/eco)^n),alpha*fck),0)</f>
      </c>
      <c r="AT379" s="30">
        <f>PM_Angle!$J$25+PM_Angle!$K$25*$C379+PM_Angle!$L$25*$B379</f>
      </c>
      <c r="AU379" s="12">
        <f>IF(AT379&gt;0,IF(AT379&lt;=eco,alpha*fck*(1-(1-AT379/eco)^n),alpha*fck),0)</f>
      </c>
    </row>
    <row r="380" spans="1:47" x14ac:dyDescent="0.25">
      <c r="A380">
        <f>Mesh!A377</f>
      </c>
      <c r="B380" s="12">
        <f>Mesh!B377</f>
      </c>
      <c r="C380" s="12">
        <f>Mesh!C377</f>
      </c>
      <c r="D380" s="12">
        <f>Mesh!D377</f>
      </c>
      <c r="E380" s="30">
        <f>INDEX(St_e0,Det+1)+INDEX(St_kx,Det+1)*C380+INDEX(St_ky,Det+1)*B380</f>
      </c>
      <c r="F380" s="12">
        <f>IF(E380&gt;0,IF(E380&lt;=eco,alpha*fck*(1-(1-E380/eco)^n),alpha*fck),0)</f>
      </c>
      <c r="G380" s="11">
        <f>F380*D380</f>
      </c>
      <c r="H380" s="11">
        <f>G380*C380</f>
      </c>
      <c r="I380" s="11">
        <f>G380*B380</f>
      </c>
      <c r="J380" s="30">
        <f>PM_Angle!$J$7+PM_Angle!$K$7*$C380+PM_Angle!$L$7*$B380</f>
      </c>
      <c r="K380" s="12">
        <f>IF(J380&gt;0,IF(J380&lt;=eco,alpha*fck*(1-(1-J380/eco)^n),alpha*fck),0)</f>
      </c>
      <c r="L380" s="30">
        <f>PM_Angle!$J$8+PM_Angle!$K$8*$C380+PM_Angle!$L$8*$B380</f>
      </c>
      <c r="M380" s="12">
        <f>IF(L380&gt;0,IF(L380&lt;=eco,alpha*fck*(1-(1-L380/eco)^n),alpha*fck),0)</f>
      </c>
      <c r="N380" s="30">
        <f>PM_Angle!$J$9+PM_Angle!$K$9*$C380+PM_Angle!$L$9*$B380</f>
      </c>
      <c r="O380" s="12">
        <f>IF(N380&gt;0,IF(N380&lt;=eco,alpha*fck*(1-(1-N380/eco)^n),alpha*fck),0)</f>
      </c>
      <c r="P380" s="30">
        <f>PM_Angle!$J$10+PM_Angle!$K$10*$C380+PM_Angle!$L$10*$B380</f>
      </c>
      <c r="Q380" s="12">
        <f>IF(P380&gt;0,IF(P380&lt;=eco,alpha*fck*(1-(1-P380/eco)^n),alpha*fck),0)</f>
      </c>
      <c r="R380" s="30">
        <f>PM_Angle!$J$11+PM_Angle!$K$11*$C380+PM_Angle!$L$11*$B380</f>
      </c>
      <c r="S380" s="12">
        <f>IF(R380&gt;0,IF(R380&lt;=eco,alpha*fck*(1-(1-R380/eco)^n),alpha*fck),0)</f>
      </c>
      <c r="T380" s="30">
        <f>PM_Angle!$J$12+PM_Angle!$K$12*$C380+PM_Angle!$L$12*$B380</f>
      </c>
      <c r="U380" s="12">
        <f>IF(T380&gt;0,IF(T380&lt;=eco,alpha*fck*(1-(1-T380/eco)^n),alpha*fck),0)</f>
      </c>
      <c r="V380" s="30">
        <f>PM_Angle!$J$13+PM_Angle!$K$13*$C380+PM_Angle!$L$13*$B380</f>
      </c>
      <c r="W380" s="12">
        <f>IF(V380&gt;0,IF(V380&lt;=eco,alpha*fck*(1-(1-V380/eco)^n),alpha*fck),0)</f>
      </c>
      <c r="X380" s="30">
        <f>PM_Angle!$J$14+PM_Angle!$K$14*$C380+PM_Angle!$L$14*$B380</f>
      </c>
      <c r="Y380" s="12">
        <f>IF(X380&gt;0,IF(X380&lt;=eco,alpha*fck*(1-(1-X380/eco)^n),alpha*fck),0)</f>
      </c>
      <c r="Z380" s="30">
        <f>PM_Angle!$J$15+PM_Angle!$K$15*$C380+PM_Angle!$L$15*$B380</f>
      </c>
      <c r="AA380" s="12">
        <f>IF(Z380&gt;0,IF(Z380&lt;=eco,alpha*fck*(1-(1-Z380/eco)^n),alpha*fck),0)</f>
      </c>
      <c r="AB380" s="30">
        <f>PM_Angle!$J$16+PM_Angle!$K$16*$C380+PM_Angle!$L$16*$B380</f>
      </c>
      <c r="AC380" s="12">
        <f>IF(AB380&gt;0,IF(AB380&lt;=eco,alpha*fck*(1-(1-AB380/eco)^n),alpha*fck),0)</f>
      </c>
      <c r="AD380" s="30">
        <f>PM_Angle!$J$17+PM_Angle!$K$17*$C380+PM_Angle!$L$17*$B380</f>
      </c>
      <c r="AE380" s="12">
        <f>IF(AD380&gt;0,IF(AD380&lt;=eco,alpha*fck*(1-(1-AD380/eco)^n),alpha*fck),0)</f>
      </c>
      <c r="AF380" s="30">
        <f>PM_Angle!$J$18+PM_Angle!$K$18*$C380+PM_Angle!$L$18*$B380</f>
      </c>
      <c r="AG380" s="12">
        <f>IF(AF380&gt;0,IF(AF380&lt;=eco,alpha*fck*(1-(1-AF380/eco)^n),alpha*fck),0)</f>
      </c>
      <c r="AH380" s="30">
        <f>PM_Angle!$J$19+PM_Angle!$K$19*$C380+PM_Angle!$L$19*$B380</f>
      </c>
      <c r="AI380" s="12">
        <f>IF(AH380&gt;0,IF(AH380&lt;=eco,alpha*fck*(1-(1-AH380/eco)^n),alpha*fck),0)</f>
      </c>
      <c r="AJ380" s="30">
        <f>PM_Angle!$J$20+PM_Angle!$K$20*$C380+PM_Angle!$L$20*$B380</f>
      </c>
      <c r="AK380" s="12">
        <f>IF(AJ380&gt;0,IF(AJ380&lt;=eco,alpha*fck*(1-(1-AJ380/eco)^n),alpha*fck),0)</f>
      </c>
      <c r="AL380" s="30">
        <f>PM_Angle!$J$21+PM_Angle!$K$21*$C380+PM_Angle!$L$21*$B380</f>
      </c>
      <c r="AM380" s="12">
        <f>IF(AL380&gt;0,IF(AL380&lt;=eco,alpha*fck*(1-(1-AL380/eco)^n),alpha*fck),0)</f>
      </c>
      <c r="AN380" s="30">
        <f>PM_Angle!$J$22+PM_Angle!$K$22*$C380+PM_Angle!$L$22*$B380</f>
      </c>
      <c r="AO380" s="12">
        <f>IF(AN380&gt;0,IF(AN380&lt;=eco,alpha*fck*(1-(1-AN380/eco)^n),alpha*fck),0)</f>
      </c>
      <c r="AP380" s="30">
        <f>PM_Angle!$J$23+PM_Angle!$K$23*$C380+PM_Angle!$L$23*$B380</f>
      </c>
      <c r="AQ380" s="12">
        <f>IF(AP380&gt;0,IF(AP380&lt;=eco,alpha*fck*(1-(1-AP380/eco)^n),alpha*fck),0)</f>
      </c>
      <c r="AR380" s="30">
        <f>PM_Angle!$J$24+PM_Angle!$K$24*$C380+PM_Angle!$L$24*$B380</f>
      </c>
      <c r="AS380" s="12">
        <f>IF(AR380&gt;0,IF(AR380&lt;=eco,alpha*fck*(1-(1-AR380/eco)^n),alpha*fck),0)</f>
      </c>
      <c r="AT380" s="30">
        <f>PM_Angle!$J$25+PM_Angle!$K$25*$C380+PM_Angle!$L$25*$B380</f>
      </c>
      <c r="AU380" s="12">
        <f>IF(AT380&gt;0,IF(AT380&lt;=eco,alpha*fck*(1-(1-AT380/eco)^n),alpha*fck),0)</f>
      </c>
    </row>
    <row r="381" spans="1:47" x14ac:dyDescent="0.25">
      <c r="A381">
        <f>Mesh!A378</f>
      </c>
      <c r="B381" s="12">
        <f>Mesh!B378</f>
      </c>
      <c r="C381" s="12">
        <f>Mesh!C378</f>
      </c>
      <c r="D381" s="12">
        <f>Mesh!D378</f>
      </c>
      <c r="E381" s="30">
        <f>INDEX(St_e0,Det+1)+INDEX(St_kx,Det+1)*C381+INDEX(St_ky,Det+1)*B381</f>
      </c>
      <c r="F381" s="12">
        <f>IF(E381&gt;0,IF(E381&lt;=eco,alpha*fck*(1-(1-E381/eco)^n),alpha*fck),0)</f>
      </c>
      <c r="G381" s="11">
        <f>F381*D381</f>
      </c>
      <c r="H381" s="11">
        <f>G381*C381</f>
      </c>
      <c r="I381" s="11">
        <f>G381*B381</f>
      </c>
      <c r="J381" s="30">
        <f>PM_Angle!$J$7+PM_Angle!$K$7*$C381+PM_Angle!$L$7*$B381</f>
      </c>
      <c r="K381" s="12">
        <f>IF(J381&gt;0,IF(J381&lt;=eco,alpha*fck*(1-(1-J381/eco)^n),alpha*fck),0)</f>
      </c>
      <c r="L381" s="30">
        <f>PM_Angle!$J$8+PM_Angle!$K$8*$C381+PM_Angle!$L$8*$B381</f>
      </c>
      <c r="M381" s="12">
        <f>IF(L381&gt;0,IF(L381&lt;=eco,alpha*fck*(1-(1-L381/eco)^n),alpha*fck),0)</f>
      </c>
      <c r="N381" s="30">
        <f>PM_Angle!$J$9+PM_Angle!$K$9*$C381+PM_Angle!$L$9*$B381</f>
      </c>
      <c r="O381" s="12">
        <f>IF(N381&gt;0,IF(N381&lt;=eco,alpha*fck*(1-(1-N381/eco)^n),alpha*fck),0)</f>
      </c>
      <c r="P381" s="30">
        <f>PM_Angle!$J$10+PM_Angle!$K$10*$C381+PM_Angle!$L$10*$B381</f>
      </c>
      <c r="Q381" s="12">
        <f>IF(P381&gt;0,IF(P381&lt;=eco,alpha*fck*(1-(1-P381/eco)^n),alpha*fck),0)</f>
      </c>
      <c r="R381" s="30">
        <f>PM_Angle!$J$11+PM_Angle!$K$11*$C381+PM_Angle!$L$11*$B381</f>
      </c>
      <c r="S381" s="12">
        <f>IF(R381&gt;0,IF(R381&lt;=eco,alpha*fck*(1-(1-R381/eco)^n),alpha*fck),0)</f>
      </c>
      <c r="T381" s="30">
        <f>PM_Angle!$J$12+PM_Angle!$K$12*$C381+PM_Angle!$L$12*$B381</f>
      </c>
      <c r="U381" s="12">
        <f>IF(T381&gt;0,IF(T381&lt;=eco,alpha*fck*(1-(1-T381/eco)^n),alpha*fck),0)</f>
      </c>
      <c r="V381" s="30">
        <f>PM_Angle!$J$13+PM_Angle!$K$13*$C381+PM_Angle!$L$13*$B381</f>
      </c>
      <c r="W381" s="12">
        <f>IF(V381&gt;0,IF(V381&lt;=eco,alpha*fck*(1-(1-V381/eco)^n),alpha*fck),0)</f>
      </c>
      <c r="X381" s="30">
        <f>PM_Angle!$J$14+PM_Angle!$K$14*$C381+PM_Angle!$L$14*$B381</f>
      </c>
      <c r="Y381" s="12">
        <f>IF(X381&gt;0,IF(X381&lt;=eco,alpha*fck*(1-(1-X381/eco)^n),alpha*fck),0)</f>
      </c>
      <c r="Z381" s="30">
        <f>PM_Angle!$J$15+PM_Angle!$K$15*$C381+PM_Angle!$L$15*$B381</f>
      </c>
      <c r="AA381" s="12">
        <f>IF(Z381&gt;0,IF(Z381&lt;=eco,alpha*fck*(1-(1-Z381/eco)^n),alpha*fck),0)</f>
      </c>
      <c r="AB381" s="30">
        <f>PM_Angle!$J$16+PM_Angle!$K$16*$C381+PM_Angle!$L$16*$B381</f>
      </c>
      <c r="AC381" s="12">
        <f>IF(AB381&gt;0,IF(AB381&lt;=eco,alpha*fck*(1-(1-AB381/eco)^n),alpha*fck),0)</f>
      </c>
      <c r="AD381" s="30">
        <f>PM_Angle!$J$17+PM_Angle!$K$17*$C381+PM_Angle!$L$17*$B381</f>
      </c>
      <c r="AE381" s="12">
        <f>IF(AD381&gt;0,IF(AD381&lt;=eco,alpha*fck*(1-(1-AD381/eco)^n),alpha*fck),0)</f>
      </c>
      <c r="AF381" s="30">
        <f>PM_Angle!$J$18+PM_Angle!$K$18*$C381+PM_Angle!$L$18*$B381</f>
      </c>
      <c r="AG381" s="12">
        <f>IF(AF381&gt;0,IF(AF381&lt;=eco,alpha*fck*(1-(1-AF381/eco)^n),alpha*fck),0)</f>
      </c>
      <c r="AH381" s="30">
        <f>PM_Angle!$J$19+PM_Angle!$K$19*$C381+PM_Angle!$L$19*$B381</f>
      </c>
      <c r="AI381" s="12">
        <f>IF(AH381&gt;0,IF(AH381&lt;=eco,alpha*fck*(1-(1-AH381/eco)^n),alpha*fck),0)</f>
      </c>
      <c r="AJ381" s="30">
        <f>PM_Angle!$J$20+PM_Angle!$K$20*$C381+PM_Angle!$L$20*$B381</f>
      </c>
      <c r="AK381" s="12">
        <f>IF(AJ381&gt;0,IF(AJ381&lt;=eco,alpha*fck*(1-(1-AJ381/eco)^n),alpha*fck),0)</f>
      </c>
      <c r="AL381" s="30">
        <f>PM_Angle!$J$21+PM_Angle!$K$21*$C381+PM_Angle!$L$21*$B381</f>
      </c>
      <c r="AM381" s="12">
        <f>IF(AL381&gt;0,IF(AL381&lt;=eco,alpha*fck*(1-(1-AL381/eco)^n),alpha*fck),0)</f>
      </c>
      <c r="AN381" s="30">
        <f>PM_Angle!$J$22+PM_Angle!$K$22*$C381+PM_Angle!$L$22*$B381</f>
      </c>
      <c r="AO381" s="12">
        <f>IF(AN381&gt;0,IF(AN381&lt;=eco,alpha*fck*(1-(1-AN381/eco)^n),alpha*fck),0)</f>
      </c>
      <c r="AP381" s="30">
        <f>PM_Angle!$J$23+PM_Angle!$K$23*$C381+PM_Angle!$L$23*$B381</f>
      </c>
      <c r="AQ381" s="12">
        <f>IF(AP381&gt;0,IF(AP381&lt;=eco,alpha*fck*(1-(1-AP381/eco)^n),alpha*fck),0)</f>
      </c>
      <c r="AR381" s="30">
        <f>PM_Angle!$J$24+PM_Angle!$K$24*$C381+PM_Angle!$L$24*$B381</f>
      </c>
      <c r="AS381" s="12">
        <f>IF(AR381&gt;0,IF(AR381&lt;=eco,alpha*fck*(1-(1-AR381/eco)^n),alpha*fck),0)</f>
      </c>
      <c r="AT381" s="30">
        <f>PM_Angle!$J$25+PM_Angle!$K$25*$C381+PM_Angle!$L$25*$B381</f>
      </c>
      <c r="AU381" s="12">
        <f>IF(AT381&gt;0,IF(AT381&lt;=eco,alpha*fck*(1-(1-AT381/eco)^n),alpha*fck),0)</f>
      </c>
    </row>
    <row r="382" spans="1:47" x14ac:dyDescent="0.25">
      <c r="A382">
        <f>Mesh!A379</f>
      </c>
      <c r="B382" s="12">
        <f>Mesh!B379</f>
      </c>
      <c r="C382" s="12">
        <f>Mesh!C379</f>
      </c>
      <c r="D382" s="12">
        <f>Mesh!D379</f>
      </c>
      <c r="E382" s="30">
        <f>INDEX(St_e0,Det+1)+INDEX(St_kx,Det+1)*C382+INDEX(St_ky,Det+1)*B382</f>
      </c>
      <c r="F382" s="12">
        <f>IF(E382&gt;0,IF(E382&lt;=eco,alpha*fck*(1-(1-E382/eco)^n),alpha*fck),0)</f>
      </c>
      <c r="G382" s="11">
        <f>F382*D382</f>
      </c>
      <c r="H382" s="11">
        <f>G382*C382</f>
      </c>
      <c r="I382" s="11">
        <f>G382*B382</f>
      </c>
      <c r="J382" s="30">
        <f>PM_Angle!$J$7+PM_Angle!$K$7*$C382+PM_Angle!$L$7*$B382</f>
      </c>
      <c r="K382" s="12">
        <f>IF(J382&gt;0,IF(J382&lt;=eco,alpha*fck*(1-(1-J382/eco)^n),alpha*fck),0)</f>
      </c>
      <c r="L382" s="30">
        <f>PM_Angle!$J$8+PM_Angle!$K$8*$C382+PM_Angle!$L$8*$B382</f>
      </c>
      <c r="M382" s="12">
        <f>IF(L382&gt;0,IF(L382&lt;=eco,alpha*fck*(1-(1-L382/eco)^n),alpha*fck),0)</f>
      </c>
      <c r="N382" s="30">
        <f>PM_Angle!$J$9+PM_Angle!$K$9*$C382+PM_Angle!$L$9*$B382</f>
      </c>
      <c r="O382" s="12">
        <f>IF(N382&gt;0,IF(N382&lt;=eco,alpha*fck*(1-(1-N382/eco)^n),alpha*fck),0)</f>
      </c>
      <c r="P382" s="30">
        <f>PM_Angle!$J$10+PM_Angle!$K$10*$C382+PM_Angle!$L$10*$B382</f>
      </c>
      <c r="Q382" s="12">
        <f>IF(P382&gt;0,IF(P382&lt;=eco,alpha*fck*(1-(1-P382/eco)^n),alpha*fck),0)</f>
      </c>
      <c r="R382" s="30">
        <f>PM_Angle!$J$11+PM_Angle!$K$11*$C382+PM_Angle!$L$11*$B382</f>
      </c>
      <c r="S382" s="12">
        <f>IF(R382&gt;0,IF(R382&lt;=eco,alpha*fck*(1-(1-R382/eco)^n),alpha*fck),0)</f>
      </c>
      <c r="T382" s="30">
        <f>PM_Angle!$J$12+PM_Angle!$K$12*$C382+PM_Angle!$L$12*$B382</f>
      </c>
      <c r="U382" s="12">
        <f>IF(T382&gt;0,IF(T382&lt;=eco,alpha*fck*(1-(1-T382/eco)^n),alpha*fck),0)</f>
      </c>
      <c r="V382" s="30">
        <f>PM_Angle!$J$13+PM_Angle!$K$13*$C382+PM_Angle!$L$13*$B382</f>
      </c>
      <c r="W382" s="12">
        <f>IF(V382&gt;0,IF(V382&lt;=eco,alpha*fck*(1-(1-V382/eco)^n),alpha*fck),0)</f>
      </c>
      <c r="X382" s="30">
        <f>PM_Angle!$J$14+PM_Angle!$K$14*$C382+PM_Angle!$L$14*$B382</f>
      </c>
      <c r="Y382" s="12">
        <f>IF(X382&gt;0,IF(X382&lt;=eco,alpha*fck*(1-(1-X382/eco)^n),alpha*fck),0)</f>
      </c>
      <c r="Z382" s="30">
        <f>PM_Angle!$J$15+PM_Angle!$K$15*$C382+PM_Angle!$L$15*$B382</f>
      </c>
      <c r="AA382" s="12">
        <f>IF(Z382&gt;0,IF(Z382&lt;=eco,alpha*fck*(1-(1-Z382/eco)^n),alpha*fck),0)</f>
      </c>
      <c r="AB382" s="30">
        <f>PM_Angle!$J$16+PM_Angle!$K$16*$C382+PM_Angle!$L$16*$B382</f>
      </c>
      <c r="AC382" s="12">
        <f>IF(AB382&gt;0,IF(AB382&lt;=eco,alpha*fck*(1-(1-AB382/eco)^n),alpha*fck),0)</f>
      </c>
      <c r="AD382" s="30">
        <f>PM_Angle!$J$17+PM_Angle!$K$17*$C382+PM_Angle!$L$17*$B382</f>
      </c>
      <c r="AE382" s="12">
        <f>IF(AD382&gt;0,IF(AD382&lt;=eco,alpha*fck*(1-(1-AD382/eco)^n),alpha*fck),0)</f>
      </c>
      <c r="AF382" s="30">
        <f>PM_Angle!$J$18+PM_Angle!$K$18*$C382+PM_Angle!$L$18*$B382</f>
      </c>
      <c r="AG382" s="12">
        <f>IF(AF382&gt;0,IF(AF382&lt;=eco,alpha*fck*(1-(1-AF382/eco)^n),alpha*fck),0)</f>
      </c>
      <c r="AH382" s="30">
        <f>PM_Angle!$J$19+PM_Angle!$K$19*$C382+PM_Angle!$L$19*$B382</f>
      </c>
      <c r="AI382" s="12">
        <f>IF(AH382&gt;0,IF(AH382&lt;=eco,alpha*fck*(1-(1-AH382/eco)^n),alpha*fck),0)</f>
      </c>
      <c r="AJ382" s="30">
        <f>PM_Angle!$J$20+PM_Angle!$K$20*$C382+PM_Angle!$L$20*$B382</f>
      </c>
      <c r="AK382" s="12">
        <f>IF(AJ382&gt;0,IF(AJ382&lt;=eco,alpha*fck*(1-(1-AJ382/eco)^n),alpha*fck),0)</f>
      </c>
      <c r="AL382" s="30">
        <f>PM_Angle!$J$21+PM_Angle!$K$21*$C382+PM_Angle!$L$21*$B382</f>
      </c>
      <c r="AM382" s="12">
        <f>IF(AL382&gt;0,IF(AL382&lt;=eco,alpha*fck*(1-(1-AL382/eco)^n),alpha*fck),0)</f>
      </c>
      <c r="AN382" s="30">
        <f>PM_Angle!$J$22+PM_Angle!$K$22*$C382+PM_Angle!$L$22*$B382</f>
      </c>
      <c r="AO382" s="12">
        <f>IF(AN382&gt;0,IF(AN382&lt;=eco,alpha*fck*(1-(1-AN382/eco)^n),alpha*fck),0)</f>
      </c>
      <c r="AP382" s="30">
        <f>PM_Angle!$J$23+PM_Angle!$K$23*$C382+PM_Angle!$L$23*$B382</f>
      </c>
      <c r="AQ382" s="12">
        <f>IF(AP382&gt;0,IF(AP382&lt;=eco,alpha*fck*(1-(1-AP382/eco)^n),alpha*fck),0)</f>
      </c>
      <c r="AR382" s="30">
        <f>PM_Angle!$J$24+PM_Angle!$K$24*$C382+PM_Angle!$L$24*$B382</f>
      </c>
      <c r="AS382" s="12">
        <f>IF(AR382&gt;0,IF(AR382&lt;=eco,alpha*fck*(1-(1-AR382/eco)^n),alpha*fck),0)</f>
      </c>
      <c r="AT382" s="30">
        <f>PM_Angle!$J$25+PM_Angle!$K$25*$C382+PM_Angle!$L$25*$B382</f>
      </c>
      <c r="AU382" s="12">
        <f>IF(AT382&gt;0,IF(AT382&lt;=eco,alpha*fck*(1-(1-AT382/eco)^n),alpha*fck),0)</f>
      </c>
    </row>
    <row r="383" spans="1:47" x14ac:dyDescent="0.25">
      <c r="A383">
        <f>Mesh!A380</f>
      </c>
      <c r="B383" s="12">
        <f>Mesh!B380</f>
      </c>
      <c r="C383" s="12">
        <f>Mesh!C380</f>
      </c>
      <c r="D383" s="12">
        <f>Mesh!D380</f>
      </c>
      <c r="E383" s="30">
        <f>INDEX(St_e0,Det+1)+INDEX(St_kx,Det+1)*C383+INDEX(St_ky,Det+1)*B383</f>
      </c>
      <c r="F383" s="12">
        <f>IF(E383&gt;0,IF(E383&lt;=eco,alpha*fck*(1-(1-E383/eco)^n),alpha*fck),0)</f>
      </c>
      <c r="G383" s="11">
        <f>F383*D383</f>
      </c>
      <c r="H383" s="11">
        <f>G383*C383</f>
      </c>
      <c r="I383" s="11">
        <f>G383*B383</f>
      </c>
      <c r="J383" s="30">
        <f>PM_Angle!$J$7+PM_Angle!$K$7*$C383+PM_Angle!$L$7*$B383</f>
      </c>
      <c r="K383" s="12">
        <f>IF(J383&gt;0,IF(J383&lt;=eco,alpha*fck*(1-(1-J383/eco)^n),alpha*fck),0)</f>
      </c>
      <c r="L383" s="30">
        <f>PM_Angle!$J$8+PM_Angle!$K$8*$C383+PM_Angle!$L$8*$B383</f>
      </c>
      <c r="M383" s="12">
        <f>IF(L383&gt;0,IF(L383&lt;=eco,alpha*fck*(1-(1-L383/eco)^n),alpha*fck),0)</f>
      </c>
      <c r="N383" s="30">
        <f>PM_Angle!$J$9+PM_Angle!$K$9*$C383+PM_Angle!$L$9*$B383</f>
      </c>
      <c r="O383" s="12">
        <f>IF(N383&gt;0,IF(N383&lt;=eco,alpha*fck*(1-(1-N383/eco)^n),alpha*fck),0)</f>
      </c>
      <c r="P383" s="30">
        <f>PM_Angle!$J$10+PM_Angle!$K$10*$C383+PM_Angle!$L$10*$B383</f>
      </c>
      <c r="Q383" s="12">
        <f>IF(P383&gt;0,IF(P383&lt;=eco,alpha*fck*(1-(1-P383/eco)^n),alpha*fck),0)</f>
      </c>
      <c r="R383" s="30">
        <f>PM_Angle!$J$11+PM_Angle!$K$11*$C383+PM_Angle!$L$11*$B383</f>
      </c>
      <c r="S383" s="12">
        <f>IF(R383&gt;0,IF(R383&lt;=eco,alpha*fck*(1-(1-R383/eco)^n),alpha*fck),0)</f>
      </c>
      <c r="T383" s="30">
        <f>PM_Angle!$J$12+PM_Angle!$K$12*$C383+PM_Angle!$L$12*$B383</f>
      </c>
      <c r="U383" s="12">
        <f>IF(T383&gt;0,IF(T383&lt;=eco,alpha*fck*(1-(1-T383/eco)^n),alpha*fck),0)</f>
      </c>
      <c r="V383" s="30">
        <f>PM_Angle!$J$13+PM_Angle!$K$13*$C383+PM_Angle!$L$13*$B383</f>
      </c>
      <c r="W383" s="12">
        <f>IF(V383&gt;0,IF(V383&lt;=eco,alpha*fck*(1-(1-V383/eco)^n),alpha*fck),0)</f>
      </c>
      <c r="X383" s="30">
        <f>PM_Angle!$J$14+PM_Angle!$K$14*$C383+PM_Angle!$L$14*$B383</f>
      </c>
      <c r="Y383" s="12">
        <f>IF(X383&gt;0,IF(X383&lt;=eco,alpha*fck*(1-(1-X383/eco)^n),alpha*fck),0)</f>
      </c>
      <c r="Z383" s="30">
        <f>PM_Angle!$J$15+PM_Angle!$K$15*$C383+PM_Angle!$L$15*$B383</f>
      </c>
      <c r="AA383" s="12">
        <f>IF(Z383&gt;0,IF(Z383&lt;=eco,alpha*fck*(1-(1-Z383/eco)^n),alpha*fck),0)</f>
      </c>
      <c r="AB383" s="30">
        <f>PM_Angle!$J$16+PM_Angle!$K$16*$C383+PM_Angle!$L$16*$B383</f>
      </c>
      <c r="AC383" s="12">
        <f>IF(AB383&gt;0,IF(AB383&lt;=eco,alpha*fck*(1-(1-AB383/eco)^n),alpha*fck),0)</f>
      </c>
      <c r="AD383" s="30">
        <f>PM_Angle!$J$17+PM_Angle!$K$17*$C383+PM_Angle!$L$17*$B383</f>
      </c>
      <c r="AE383" s="12">
        <f>IF(AD383&gt;0,IF(AD383&lt;=eco,alpha*fck*(1-(1-AD383/eco)^n),alpha*fck),0)</f>
      </c>
      <c r="AF383" s="30">
        <f>PM_Angle!$J$18+PM_Angle!$K$18*$C383+PM_Angle!$L$18*$B383</f>
      </c>
      <c r="AG383" s="12">
        <f>IF(AF383&gt;0,IF(AF383&lt;=eco,alpha*fck*(1-(1-AF383/eco)^n),alpha*fck),0)</f>
      </c>
      <c r="AH383" s="30">
        <f>PM_Angle!$J$19+PM_Angle!$K$19*$C383+PM_Angle!$L$19*$B383</f>
      </c>
      <c r="AI383" s="12">
        <f>IF(AH383&gt;0,IF(AH383&lt;=eco,alpha*fck*(1-(1-AH383/eco)^n),alpha*fck),0)</f>
      </c>
      <c r="AJ383" s="30">
        <f>PM_Angle!$J$20+PM_Angle!$K$20*$C383+PM_Angle!$L$20*$B383</f>
      </c>
      <c r="AK383" s="12">
        <f>IF(AJ383&gt;0,IF(AJ383&lt;=eco,alpha*fck*(1-(1-AJ383/eco)^n),alpha*fck),0)</f>
      </c>
      <c r="AL383" s="30">
        <f>PM_Angle!$J$21+PM_Angle!$K$21*$C383+PM_Angle!$L$21*$B383</f>
      </c>
      <c r="AM383" s="12">
        <f>IF(AL383&gt;0,IF(AL383&lt;=eco,alpha*fck*(1-(1-AL383/eco)^n),alpha*fck),0)</f>
      </c>
      <c r="AN383" s="30">
        <f>PM_Angle!$J$22+PM_Angle!$K$22*$C383+PM_Angle!$L$22*$B383</f>
      </c>
      <c r="AO383" s="12">
        <f>IF(AN383&gt;0,IF(AN383&lt;=eco,alpha*fck*(1-(1-AN383/eco)^n),alpha*fck),0)</f>
      </c>
      <c r="AP383" s="30">
        <f>PM_Angle!$J$23+PM_Angle!$K$23*$C383+PM_Angle!$L$23*$B383</f>
      </c>
      <c r="AQ383" s="12">
        <f>IF(AP383&gt;0,IF(AP383&lt;=eco,alpha*fck*(1-(1-AP383/eco)^n),alpha*fck),0)</f>
      </c>
      <c r="AR383" s="30">
        <f>PM_Angle!$J$24+PM_Angle!$K$24*$C383+PM_Angle!$L$24*$B383</f>
      </c>
      <c r="AS383" s="12">
        <f>IF(AR383&gt;0,IF(AR383&lt;=eco,alpha*fck*(1-(1-AR383/eco)^n),alpha*fck),0)</f>
      </c>
      <c r="AT383" s="30">
        <f>PM_Angle!$J$25+PM_Angle!$K$25*$C383+PM_Angle!$L$25*$B383</f>
      </c>
      <c r="AU383" s="12">
        <f>IF(AT383&gt;0,IF(AT383&lt;=eco,alpha*fck*(1-(1-AT383/eco)^n),alpha*fck),0)</f>
      </c>
    </row>
    <row r="384" spans="1:47" x14ac:dyDescent="0.25">
      <c r="A384">
        <f>Mesh!A381</f>
      </c>
      <c r="B384" s="12">
        <f>Mesh!B381</f>
      </c>
      <c r="C384" s="12">
        <f>Mesh!C381</f>
      </c>
      <c r="D384" s="12">
        <f>Mesh!D381</f>
      </c>
      <c r="E384" s="30">
        <f>INDEX(St_e0,Det+1)+INDEX(St_kx,Det+1)*C384+INDEX(St_ky,Det+1)*B384</f>
      </c>
      <c r="F384" s="12">
        <f>IF(E384&gt;0,IF(E384&lt;=eco,alpha*fck*(1-(1-E384/eco)^n),alpha*fck),0)</f>
      </c>
      <c r="G384" s="11">
        <f>F384*D384</f>
      </c>
      <c r="H384" s="11">
        <f>G384*C384</f>
      </c>
      <c r="I384" s="11">
        <f>G384*B384</f>
      </c>
      <c r="J384" s="30">
        <f>PM_Angle!$J$7+PM_Angle!$K$7*$C384+PM_Angle!$L$7*$B384</f>
      </c>
      <c r="K384" s="12">
        <f>IF(J384&gt;0,IF(J384&lt;=eco,alpha*fck*(1-(1-J384/eco)^n),alpha*fck),0)</f>
      </c>
      <c r="L384" s="30">
        <f>PM_Angle!$J$8+PM_Angle!$K$8*$C384+PM_Angle!$L$8*$B384</f>
      </c>
      <c r="M384" s="12">
        <f>IF(L384&gt;0,IF(L384&lt;=eco,alpha*fck*(1-(1-L384/eco)^n),alpha*fck),0)</f>
      </c>
      <c r="N384" s="30">
        <f>PM_Angle!$J$9+PM_Angle!$K$9*$C384+PM_Angle!$L$9*$B384</f>
      </c>
      <c r="O384" s="12">
        <f>IF(N384&gt;0,IF(N384&lt;=eco,alpha*fck*(1-(1-N384/eco)^n),alpha*fck),0)</f>
      </c>
      <c r="P384" s="30">
        <f>PM_Angle!$J$10+PM_Angle!$K$10*$C384+PM_Angle!$L$10*$B384</f>
      </c>
      <c r="Q384" s="12">
        <f>IF(P384&gt;0,IF(P384&lt;=eco,alpha*fck*(1-(1-P384/eco)^n),alpha*fck),0)</f>
      </c>
      <c r="R384" s="30">
        <f>PM_Angle!$J$11+PM_Angle!$K$11*$C384+PM_Angle!$L$11*$B384</f>
      </c>
      <c r="S384" s="12">
        <f>IF(R384&gt;0,IF(R384&lt;=eco,alpha*fck*(1-(1-R384/eco)^n),alpha*fck),0)</f>
      </c>
      <c r="T384" s="30">
        <f>PM_Angle!$J$12+PM_Angle!$K$12*$C384+PM_Angle!$L$12*$B384</f>
      </c>
      <c r="U384" s="12">
        <f>IF(T384&gt;0,IF(T384&lt;=eco,alpha*fck*(1-(1-T384/eco)^n),alpha*fck),0)</f>
      </c>
      <c r="V384" s="30">
        <f>PM_Angle!$J$13+PM_Angle!$K$13*$C384+PM_Angle!$L$13*$B384</f>
      </c>
      <c r="W384" s="12">
        <f>IF(V384&gt;0,IF(V384&lt;=eco,alpha*fck*(1-(1-V384/eco)^n),alpha*fck),0)</f>
      </c>
      <c r="X384" s="30">
        <f>PM_Angle!$J$14+PM_Angle!$K$14*$C384+PM_Angle!$L$14*$B384</f>
      </c>
      <c r="Y384" s="12">
        <f>IF(X384&gt;0,IF(X384&lt;=eco,alpha*fck*(1-(1-X384/eco)^n),alpha*fck),0)</f>
      </c>
      <c r="Z384" s="30">
        <f>PM_Angle!$J$15+PM_Angle!$K$15*$C384+PM_Angle!$L$15*$B384</f>
      </c>
      <c r="AA384" s="12">
        <f>IF(Z384&gt;0,IF(Z384&lt;=eco,alpha*fck*(1-(1-Z384/eco)^n),alpha*fck),0)</f>
      </c>
      <c r="AB384" s="30">
        <f>PM_Angle!$J$16+PM_Angle!$K$16*$C384+PM_Angle!$L$16*$B384</f>
      </c>
      <c r="AC384" s="12">
        <f>IF(AB384&gt;0,IF(AB384&lt;=eco,alpha*fck*(1-(1-AB384/eco)^n),alpha*fck),0)</f>
      </c>
      <c r="AD384" s="30">
        <f>PM_Angle!$J$17+PM_Angle!$K$17*$C384+PM_Angle!$L$17*$B384</f>
      </c>
      <c r="AE384" s="12">
        <f>IF(AD384&gt;0,IF(AD384&lt;=eco,alpha*fck*(1-(1-AD384/eco)^n),alpha*fck),0)</f>
      </c>
      <c r="AF384" s="30">
        <f>PM_Angle!$J$18+PM_Angle!$K$18*$C384+PM_Angle!$L$18*$B384</f>
      </c>
      <c r="AG384" s="12">
        <f>IF(AF384&gt;0,IF(AF384&lt;=eco,alpha*fck*(1-(1-AF384/eco)^n),alpha*fck),0)</f>
      </c>
      <c r="AH384" s="30">
        <f>PM_Angle!$J$19+PM_Angle!$K$19*$C384+PM_Angle!$L$19*$B384</f>
      </c>
      <c r="AI384" s="12">
        <f>IF(AH384&gt;0,IF(AH384&lt;=eco,alpha*fck*(1-(1-AH384/eco)^n),alpha*fck),0)</f>
      </c>
      <c r="AJ384" s="30">
        <f>PM_Angle!$J$20+PM_Angle!$K$20*$C384+PM_Angle!$L$20*$B384</f>
      </c>
      <c r="AK384" s="12">
        <f>IF(AJ384&gt;0,IF(AJ384&lt;=eco,alpha*fck*(1-(1-AJ384/eco)^n),alpha*fck),0)</f>
      </c>
      <c r="AL384" s="30">
        <f>PM_Angle!$J$21+PM_Angle!$K$21*$C384+PM_Angle!$L$21*$B384</f>
      </c>
      <c r="AM384" s="12">
        <f>IF(AL384&gt;0,IF(AL384&lt;=eco,alpha*fck*(1-(1-AL384/eco)^n),alpha*fck),0)</f>
      </c>
      <c r="AN384" s="30">
        <f>PM_Angle!$J$22+PM_Angle!$K$22*$C384+PM_Angle!$L$22*$B384</f>
      </c>
      <c r="AO384" s="12">
        <f>IF(AN384&gt;0,IF(AN384&lt;=eco,alpha*fck*(1-(1-AN384/eco)^n),alpha*fck),0)</f>
      </c>
      <c r="AP384" s="30">
        <f>PM_Angle!$J$23+PM_Angle!$K$23*$C384+PM_Angle!$L$23*$B384</f>
      </c>
      <c r="AQ384" s="12">
        <f>IF(AP384&gt;0,IF(AP384&lt;=eco,alpha*fck*(1-(1-AP384/eco)^n),alpha*fck),0)</f>
      </c>
      <c r="AR384" s="30">
        <f>PM_Angle!$J$24+PM_Angle!$K$24*$C384+PM_Angle!$L$24*$B384</f>
      </c>
      <c r="AS384" s="12">
        <f>IF(AR384&gt;0,IF(AR384&lt;=eco,alpha*fck*(1-(1-AR384/eco)^n),alpha*fck),0)</f>
      </c>
      <c r="AT384" s="30">
        <f>PM_Angle!$J$25+PM_Angle!$K$25*$C384+PM_Angle!$L$25*$B384</f>
      </c>
      <c r="AU384" s="12">
        <f>IF(AT384&gt;0,IF(AT384&lt;=eco,alpha*fck*(1-(1-AT384/eco)^n),alpha*fck),0)</f>
      </c>
    </row>
    <row r="385" spans="1:47" x14ac:dyDescent="0.25">
      <c r="A385">
        <f>Mesh!A382</f>
      </c>
      <c r="B385" s="12">
        <f>Mesh!B382</f>
      </c>
      <c r="C385" s="12">
        <f>Mesh!C382</f>
      </c>
      <c r="D385" s="12">
        <f>Mesh!D382</f>
      </c>
      <c r="E385" s="30">
        <f>INDEX(St_e0,Det+1)+INDEX(St_kx,Det+1)*C385+INDEX(St_ky,Det+1)*B385</f>
      </c>
      <c r="F385" s="12">
        <f>IF(E385&gt;0,IF(E385&lt;=eco,alpha*fck*(1-(1-E385/eco)^n),alpha*fck),0)</f>
      </c>
      <c r="G385" s="11">
        <f>F385*D385</f>
      </c>
      <c r="H385" s="11">
        <f>G385*C385</f>
      </c>
      <c r="I385" s="11">
        <f>G385*B385</f>
      </c>
      <c r="J385" s="30">
        <f>PM_Angle!$J$7+PM_Angle!$K$7*$C385+PM_Angle!$L$7*$B385</f>
      </c>
      <c r="K385" s="12">
        <f>IF(J385&gt;0,IF(J385&lt;=eco,alpha*fck*(1-(1-J385/eco)^n),alpha*fck),0)</f>
      </c>
      <c r="L385" s="30">
        <f>PM_Angle!$J$8+PM_Angle!$K$8*$C385+PM_Angle!$L$8*$B385</f>
      </c>
      <c r="M385" s="12">
        <f>IF(L385&gt;0,IF(L385&lt;=eco,alpha*fck*(1-(1-L385/eco)^n),alpha*fck),0)</f>
      </c>
      <c r="N385" s="30">
        <f>PM_Angle!$J$9+PM_Angle!$K$9*$C385+PM_Angle!$L$9*$B385</f>
      </c>
      <c r="O385" s="12">
        <f>IF(N385&gt;0,IF(N385&lt;=eco,alpha*fck*(1-(1-N385/eco)^n),alpha*fck),0)</f>
      </c>
      <c r="P385" s="30">
        <f>PM_Angle!$J$10+PM_Angle!$K$10*$C385+PM_Angle!$L$10*$B385</f>
      </c>
      <c r="Q385" s="12">
        <f>IF(P385&gt;0,IF(P385&lt;=eco,alpha*fck*(1-(1-P385/eco)^n),alpha*fck),0)</f>
      </c>
      <c r="R385" s="30">
        <f>PM_Angle!$J$11+PM_Angle!$K$11*$C385+PM_Angle!$L$11*$B385</f>
      </c>
      <c r="S385" s="12">
        <f>IF(R385&gt;0,IF(R385&lt;=eco,alpha*fck*(1-(1-R385/eco)^n),alpha*fck),0)</f>
      </c>
      <c r="T385" s="30">
        <f>PM_Angle!$J$12+PM_Angle!$K$12*$C385+PM_Angle!$L$12*$B385</f>
      </c>
      <c r="U385" s="12">
        <f>IF(T385&gt;0,IF(T385&lt;=eco,alpha*fck*(1-(1-T385/eco)^n),alpha*fck),0)</f>
      </c>
      <c r="V385" s="30">
        <f>PM_Angle!$J$13+PM_Angle!$K$13*$C385+PM_Angle!$L$13*$B385</f>
      </c>
      <c r="W385" s="12">
        <f>IF(V385&gt;0,IF(V385&lt;=eco,alpha*fck*(1-(1-V385/eco)^n),alpha*fck),0)</f>
      </c>
      <c r="X385" s="30">
        <f>PM_Angle!$J$14+PM_Angle!$K$14*$C385+PM_Angle!$L$14*$B385</f>
      </c>
      <c r="Y385" s="12">
        <f>IF(X385&gt;0,IF(X385&lt;=eco,alpha*fck*(1-(1-X385/eco)^n),alpha*fck),0)</f>
      </c>
      <c r="Z385" s="30">
        <f>PM_Angle!$J$15+PM_Angle!$K$15*$C385+PM_Angle!$L$15*$B385</f>
      </c>
      <c r="AA385" s="12">
        <f>IF(Z385&gt;0,IF(Z385&lt;=eco,alpha*fck*(1-(1-Z385/eco)^n),alpha*fck),0)</f>
      </c>
      <c r="AB385" s="30">
        <f>PM_Angle!$J$16+PM_Angle!$K$16*$C385+PM_Angle!$L$16*$B385</f>
      </c>
      <c r="AC385" s="12">
        <f>IF(AB385&gt;0,IF(AB385&lt;=eco,alpha*fck*(1-(1-AB385/eco)^n),alpha*fck),0)</f>
      </c>
      <c r="AD385" s="30">
        <f>PM_Angle!$J$17+PM_Angle!$K$17*$C385+PM_Angle!$L$17*$B385</f>
      </c>
      <c r="AE385" s="12">
        <f>IF(AD385&gt;0,IF(AD385&lt;=eco,alpha*fck*(1-(1-AD385/eco)^n),alpha*fck),0)</f>
      </c>
      <c r="AF385" s="30">
        <f>PM_Angle!$J$18+PM_Angle!$K$18*$C385+PM_Angle!$L$18*$B385</f>
      </c>
      <c r="AG385" s="12">
        <f>IF(AF385&gt;0,IF(AF385&lt;=eco,alpha*fck*(1-(1-AF385/eco)^n),alpha*fck),0)</f>
      </c>
      <c r="AH385" s="30">
        <f>PM_Angle!$J$19+PM_Angle!$K$19*$C385+PM_Angle!$L$19*$B385</f>
      </c>
      <c r="AI385" s="12">
        <f>IF(AH385&gt;0,IF(AH385&lt;=eco,alpha*fck*(1-(1-AH385/eco)^n),alpha*fck),0)</f>
      </c>
      <c r="AJ385" s="30">
        <f>PM_Angle!$J$20+PM_Angle!$K$20*$C385+PM_Angle!$L$20*$B385</f>
      </c>
      <c r="AK385" s="12">
        <f>IF(AJ385&gt;0,IF(AJ385&lt;=eco,alpha*fck*(1-(1-AJ385/eco)^n),alpha*fck),0)</f>
      </c>
      <c r="AL385" s="30">
        <f>PM_Angle!$J$21+PM_Angle!$K$21*$C385+PM_Angle!$L$21*$B385</f>
      </c>
      <c r="AM385" s="12">
        <f>IF(AL385&gt;0,IF(AL385&lt;=eco,alpha*fck*(1-(1-AL385/eco)^n),alpha*fck),0)</f>
      </c>
      <c r="AN385" s="30">
        <f>PM_Angle!$J$22+PM_Angle!$K$22*$C385+PM_Angle!$L$22*$B385</f>
      </c>
      <c r="AO385" s="12">
        <f>IF(AN385&gt;0,IF(AN385&lt;=eco,alpha*fck*(1-(1-AN385/eco)^n),alpha*fck),0)</f>
      </c>
      <c r="AP385" s="30">
        <f>PM_Angle!$J$23+PM_Angle!$K$23*$C385+PM_Angle!$L$23*$B385</f>
      </c>
      <c r="AQ385" s="12">
        <f>IF(AP385&gt;0,IF(AP385&lt;=eco,alpha*fck*(1-(1-AP385/eco)^n),alpha*fck),0)</f>
      </c>
      <c r="AR385" s="30">
        <f>PM_Angle!$J$24+PM_Angle!$K$24*$C385+PM_Angle!$L$24*$B385</f>
      </c>
      <c r="AS385" s="12">
        <f>IF(AR385&gt;0,IF(AR385&lt;=eco,alpha*fck*(1-(1-AR385/eco)^n),alpha*fck),0)</f>
      </c>
      <c r="AT385" s="30">
        <f>PM_Angle!$J$25+PM_Angle!$K$25*$C385+PM_Angle!$L$25*$B385</f>
      </c>
      <c r="AU385" s="12">
        <f>IF(AT385&gt;0,IF(AT385&lt;=eco,alpha*fck*(1-(1-AT385/eco)^n),alpha*fck),0)</f>
      </c>
    </row>
    <row r="386" spans="1:47" x14ac:dyDescent="0.25">
      <c r="A386">
        <f>Mesh!A383</f>
      </c>
      <c r="B386" s="12">
        <f>Mesh!B383</f>
      </c>
      <c r="C386" s="12">
        <f>Mesh!C383</f>
      </c>
      <c r="D386" s="12">
        <f>Mesh!D383</f>
      </c>
      <c r="E386" s="30">
        <f>INDEX(St_e0,Det+1)+INDEX(St_kx,Det+1)*C386+INDEX(St_ky,Det+1)*B386</f>
      </c>
      <c r="F386" s="12">
        <f>IF(E386&gt;0,IF(E386&lt;=eco,alpha*fck*(1-(1-E386/eco)^n),alpha*fck),0)</f>
      </c>
      <c r="G386" s="11">
        <f>F386*D386</f>
      </c>
      <c r="H386" s="11">
        <f>G386*C386</f>
      </c>
      <c r="I386" s="11">
        <f>G386*B386</f>
      </c>
      <c r="J386" s="30">
        <f>PM_Angle!$J$7+PM_Angle!$K$7*$C386+PM_Angle!$L$7*$B386</f>
      </c>
      <c r="K386" s="12">
        <f>IF(J386&gt;0,IF(J386&lt;=eco,alpha*fck*(1-(1-J386/eco)^n),alpha*fck),0)</f>
      </c>
      <c r="L386" s="30">
        <f>PM_Angle!$J$8+PM_Angle!$K$8*$C386+PM_Angle!$L$8*$B386</f>
      </c>
      <c r="M386" s="12">
        <f>IF(L386&gt;0,IF(L386&lt;=eco,alpha*fck*(1-(1-L386/eco)^n),alpha*fck),0)</f>
      </c>
      <c r="N386" s="30">
        <f>PM_Angle!$J$9+PM_Angle!$K$9*$C386+PM_Angle!$L$9*$B386</f>
      </c>
      <c r="O386" s="12">
        <f>IF(N386&gt;0,IF(N386&lt;=eco,alpha*fck*(1-(1-N386/eco)^n),alpha*fck),0)</f>
      </c>
      <c r="P386" s="30">
        <f>PM_Angle!$J$10+PM_Angle!$K$10*$C386+PM_Angle!$L$10*$B386</f>
      </c>
      <c r="Q386" s="12">
        <f>IF(P386&gt;0,IF(P386&lt;=eco,alpha*fck*(1-(1-P386/eco)^n),alpha*fck),0)</f>
      </c>
      <c r="R386" s="30">
        <f>PM_Angle!$J$11+PM_Angle!$K$11*$C386+PM_Angle!$L$11*$B386</f>
      </c>
      <c r="S386" s="12">
        <f>IF(R386&gt;0,IF(R386&lt;=eco,alpha*fck*(1-(1-R386/eco)^n),alpha*fck),0)</f>
      </c>
      <c r="T386" s="30">
        <f>PM_Angle!$J$12+PM_Angle!$K$12*$C386+PM_Angle!$L$12*$B386</f>
      </c>
      <c r="U386" s="12">
        <f>IF(T386&gt;0,IF(T386&lt;=eco,alpha*fck*(1-(1-T386/eco)^n),alpha*fck),0)</f>
      </c>
      <c r="V386" s="30">
        <f>PM_Angle!$J$13+PM_Angle!$K$13*$C386+PM_Angle!$L$13*$B386</f>
      </c>
      <c r="W386" s="12">
        <f>IF(V386&gt;0,IF(V386&lt;=eco,alpha*fck*(1-(1-V386/eco)^n),alpha*fck),0)</f>
      </c>
      <c r="X386" s="30">
        <f>PM_Angle!$J$14+PM_Angle!$K$14*$C386+PM_Angle!$L$14*$B386</f>
      </c>
      <c r="Y386" s="12">
        <f>IF(X386&gt;0,IF(X386&lt;=eco,alpha*fck*(1-(1-X386/eco)^n),alpha*fck),0)</f>
      </c>
      <c r="Z386" s="30">
        <f>PM_Angle!$J$15+PM_Angle!$K$15*$C386+PM_Angle!$L$15*$B386</f>
      </c>
      <c r="AA386" s="12">
        <f>IF(Z386&gt;0,IF(Z386&lt;=eco,alpha*fck*(1-(1-Z386/eco)^n),alpha*fck),0)</f>
      </c>
      <c r="AB386" s="30">
        <f>PM_Angle!$J$16+PM_Angle!$K$16*$C386+PM_Angle!$L$16*$B386</f>
      </c>
      <c r="AC386" s="12">
        <f>IF(AB386&gt;0,IF(AB386&lt;=eco,alpha*fck*(1-(1-AB386/eco)^n),alpha*fck),0)</f>
      </c>
      <c r="AD386" s="30">
        <f>PM_Angle!$J$17+PM_Angle!$K$17*$C386+PM_Angle!$L$17*$B386</f>
      </c>
      <c r="AE386" s="12">
        <f>IF(AD386&gt;0,IF(AD386&lt;=eco,alpha*fck*(1-(1-AD386/eco)^n),alpha*fck),0)</f>
      </c>
      <c r="AF386" s="30">
        <f>PM_Angle!$J$18+PM_Angle!$K$18*$C386+PM_Angle!$L$18*$B386</f>
      </c>
      <c r="AG386" s="12">
        <f>IF(AF386&gt;0,IF(AF386&lt;=eco,alpha*fck*(1-(1-AF386/eco)^n),alpha*fck),0)</f>
      </c>
      <c r="AH386" s="30">
        <f>PM_Angle!$J$19+PM_Angle!$K$19*$C386+PM_Angle!$L$19*$B386</f>
      </c>
      <c r="AI386" s="12">
        <f>IF(AH386&gt;0,IF(AH386&lt;=eco,alpha*fck*(1-(1-AH386/eco)^n),alpha*fck),0)</f>
      </c>
      <c r="AJ386" s="30">
        <f>PM_Angle!$J$20+PM_Angle!$K$20*$C386+PM_Angle!$L$20*$B386</f>
      </c>
      <c r="AK386" s="12">
        <f>IF(AJ386&gt;0,IF(AJ386&lt;=eco,alpha*fck*(1-(1-AJ386/eco)^n),alpha*fck),0)</f>
      </c>
      <c r="AL386" s="30">
        <f>PM_Angle!$J$21+PM_Angle!$K$21*$C386+PM_Angle!$L$21*$B386</f>
      </c>
      <c r="AM386" s="12">
        <f>IF(AL386&gt;0,IF(AL386&lt;=eco,alpha*fck*(1-(1-AL386/eco)^n),alpha*fck),0)</f>
      </c>
      <c r="AN386" s="30">
        <f>PM_Angle!$J$22+PM_Angle!$K$22*$C386+PM_Angle!$L$22*$B386</f>
      </c>
      <c r="AO386" s="12">
        <f>IF(AN386&gt;0,IF(AN386&lt;=eco,alpha*fck*(1-(1-AN386/eco)^n),alpha*fck),0)</f>
      </c>
      <c r="AP386" s="30">
        <f>PM_Angle!$J$23+PM_Angle!$K$23*$C386+PM_Angle!$L$23*$B386</f>
      </c>
      <c r="AQ386" s="12">
        <f>IF(AP386&gt;0,IF(AP386&lt;=eco,alpha*fck*(1-(1-AP386/eco)^n),alpha*fck),0)</f>
      </c>
      <c r="AR386" s="30">
        <f>PM_Angle!$J$24+PM_Angle!$K$24*$C386+PM_Angle!$L$24*$B386</f>
      </c>
      <c r="AS386" s="12">
        <f>IF(AR386&gt;0,IF(AR386&lt;=eco,alpha*fck*(1-(1-AR386/eco)^n),alpha*fck),0)</f>
      </c>
      <c r="AT386" s="30">
        <f>PM_Angle!$J$25+PM_Angle!$K$25*$C386+PM_Angle!$L$25*$B386</f>
      </c>
      <c r="AU386" s="12">
        <f>IF(AT386&gt;0,IF(AT386&lt;=eco,alpha*fck*(1-(1-AT386/eco)^n),alpha*fck),0)</f>
      </c>
    </row>
    <row r="387" spans="1:47" x14ac:dyDescent="0.25">
      <c r="A387">
        <f>Mesh!A384</f>
      </c>
      <c r="B387" s="12">
        <f>Mesh!B384</f>
      </c>
      <c r="C387" s="12">
        <f>Mesh!C384</f>
      </c>
      <c r="D387" s="12">
        <f>Mesh!D384</f>
      </c>
      <c r="E387" s="30">
        <f>INDEX(St_e0,Det+1)+INDEX(St_kx,Det+1)*C387+INDEX(St_ky,Det+1)*B387</f>
      </c>
      <c r="F387" s="12">
        <f>IF(E387&gt;0,IF(E387&lt;=eco,alpha*fck*(1-(1-E387/eco)^n),alpha*fck),0)</f>
      </c>
      <c r="G387" s="11">
        <f>F387*D387</f>
      </c>
      <c r="H387" s="11">
        <f>G387*C387</f>
      </c>
      <c r="I387" s="11">
        <f>G387*B387</f>
      </c>
      <c r="J387" s="30">
        <f>PM_Angle!$J$7+PM_Angle!$K$7*$C387+PM_Angle!$L$7*$B387</f>
      </c>
      <c r="K387" s="12">
        <f>IF(J387&gt;0,IF(J387&lt;=eco,alpha*fck*(1-(1-J387/eco)^n),alpha*fck),0)</f>
      </c>
      <c r="L387" s="30">
        <f>PM_Angle!$J$8+PM_Angle!$K$8*$C387+PM_Angle!$L$8*$B387</f>
      </c>
      <c r="M387" s="12">
        <f>IF(L387&gt;0,IF(L387&lt;=eco,alpha*fck*(1-(1-L387/eco)^n),alpha*fck),0)</f>
      </c>
      <c r="N387" s="30">
        <f>PM_Angle!$J$9+PM_Angle!$K$9*$C387+PM_Angle!$L$9*$B387</f>
      </c>
      <c r="O387" s="12">
        <f>IF(N387&gt;0,IF(N387&lt;=eco,alpha*fck*(1-(1-N387/eco)^n),alpha*fck),0)</f>
      </c>
      <c r="P387" s="30">
        <f>PM_Angle!$J$10+PM_Angle!$K$10*$C387+PM_Angle!$L$10*$B387</f>
      </c>
      <c r="Q387" s="12">
        <f>IF(P387&gt;0,IF(P387&lt;=eco,alpha*fck*(1-(1-P387/eco)^n),alpha*fck),0)</f>
      </c>
      <c r="R387" s="30">
        <f>PM_Angle!$J$11+PM_Angle!$K$11*$C387+PM_Angle!$L$11*$B387</f>
      </c>
      <c r="S387" s="12">
        <f>IF(R387&gt;0,IF(R387&lt;=eco,alpha*fck*(1-(1-R387/eco)^n),alpha*fck),0)</f>
      </c>
      <c r="T387" s="30">
        <f>PM_Angle!$J$12+PM_Angle!$K$12*$C387+PM_Angle!$L$12*$B387</f>
      </c>
      <c r="U387" s="12">
        <f>IF(T387&gt;0,IF(T387&lt;=eco,alpha*fck*(1-(1-T387/eco)^n),alpha*fck),0)</f>
      </c>
      <c r="V387" s="30">
        <f>PM_Angle!$J$13+PM_Angle!$K$13*$C387+PM_Angle!$L$13*$B387</f>
      </c>
      <c r="W387" s="12">
        <f>IF(V387&gt;0,IF(V387&lt;=eco,alpha*fck*(1-(1-V387/eco)^n),alpha*fck),0)</f>
      </c>
      <c r="X387" s="30">
        <f>PM_Angle!$J$14+PM_Angle!$K$14*$C387+PM_Angle!$L$14*$B387</f>
      </c>
      <c r="Y387" s="12">
        <f>IF(X387&gt;0,IF(X387&lt;=eco,alpha*fck*(1-(1-X387/eco)^n),alpha*fck),0)</f>
      </c>
      <c r="Z387" s="30">
        <f>PM_Angle!$J$15+PM_Angle!$K$15*$C387+PM_Angle!$L$15*$B387</f>
      </c>
      <c r="AA387" s="12">
        <f>IF(Z387&gt;0,IF(Z387&lt;=eco,alpha*fck*(1-(1-Z387/eco)^n),alpha*fck),0)</f>
      </c>
      <c r="AB387" s="30">
        <f>PM_Angle!$J$16+PM_Angle!$K$16*$C387+PM_Angle!$L$16*$B387</f>
      </c>
      <c r="AC387" s="12">
        <f>IF(AB387&gt;0,IF(AB387&lt;=eco,alpha*fck*(1-(1-AB387/eco)^n),alpha*fck),0)</f>
      </c>
      <c r="AD387" s="30">
        <f>PM_Angle!$J$17+PM_Angle!$K$17*$C387+PM_Angle!$L$17*$B387</f>
      </c>
      <c r="AE387" s="12">
        <f>IF(AD387&gt;0,IF(AD387&lt;=eco,alpha*fck*(1-(1-AD387/eco)^n),alpha*fck),0)</f>
      </c>
      <c r="AF387" s="30">
        <f>PM_Angle!$J$18+PM_Angle!$K$18*$C387+PM_Angle!$L$18*$B387</f>
      </c>
      <c r="AG387" s="12">
        <f>IF(AF387&gt;0,IF(AF387&lt;=eco,alpha*fck*(1-(1-AF387/eco)^n),alpha*fck),0)</f>
      </c>
      <c r="AH387" s="30">
        <f>PM_Angle!$J$19+PM_Angle!$K$19*$C387+PM_Angle!$L$19*$B387</f>
      </c>
      <c r="AI387" s="12">
        <f>IF(AH387&gt;0,IF(AH387&lt;=eco,alpha*fck*(1-(1-AH387/eco)^n),alpha*fck),0)</f>
      </c>
      <c r="AJ387" s="30">
        <f>PM_Angle!$J$20+PM_Angle!$K$20*$C387+PM_Angle!$L$20*$B387</f>
      </c>
      <c r="AK387" s="12">
        <f>IF(AJ387&gt;0,IF(AJ387&lt;=eco,alpha*fck*(1-(1-AJ387/eco)^n),alpha*fck),0)</f>
      </c>
      <c r="AL387" s="30">
        <f>PM_Angle!$J$21+PM_Angle!$K$21*$C387+PM_Angle!$L$21*$B387</f>
      </c>
      <c r="AM387" s="12">
        <f>IF(AL387&gt;0,IF(AL387&lt;=eco,alpha*fck*(1-(1-AL387/eco)^n),alpha*fck),0)</f>
      </c>
      <c r="AN387" s="30">
        <f>PM_Angle!$J$22+PM_Angle!$K$22*$C387+PM_Angle!$L$22*$B387</f>
      </c>
      <c r="AO387" s="12">
        <f>IF(AN387&gt;0,IF(AN387&lt;=eco,alpha*fck*(1-(1-AN387/eco)^n),alpha*fck),0)</f>
      </c>
      <c r="AP387" s="30">
        <f>PM_Angle!$J$23+PM_Angle!$K$23*$C387+PM_Angle!$L$23*$B387</f>
      </c>
      <c r="AQ387" s="12">
        <f>IF(AP387&gt;0,IF(AP387&lt;=eco,alpha*fck*(1-(1-AP387/eco)^n),alpha*fck),0)</f>
      </c>
      <c r="AR387" s="30">
        <f>PM_Angle!$J$24+PM_Angle!$K$24*$C387+PM_Angle!$L$24*$B387</f>
      </c>
      <c r="AS387" s="12">
        <f>IF(AR387&gt;0,IF(AR387&lt;=eco,alpha*fck*(1-(1-AR387/eco)^n),alpha*fck),0)</f>
      </c>
      <c r="AT387" s="30">
        <f>PM_Angle!$J$25+PM_Angle!$K$25*$C387+PM_Angle!$L$25*$B387</f>
      </c>
      <c r="AU387" s="12">
        <f>IF(AT387&gt;0,IF(AT387&lt;=eco,alpha*fck*(1-(1-AT387/eco)^n),alpha*fck),0)</f>
      </c>
    </row>
    <row r="388" spans="1:47" x14ac:dyDescent="0.25">
      <c r="A388">
        <f>Mesh!A385</f>
      </c>
      <c r="B388" s="12">
        <f>Mesh!B385</f>
      </c>
      <c r="C388" s="12">
        <f>Mesh!C385</f>
      </c>
      <c r="D388" s="12">
        <f>Mesh!D385</f>
      </c>
      <c r="E388" s="30">
        <f>INDEX(St_e0,Det+1)+INDEX(St_kx,Det+1)*C388+INDEX(St_ky,Det+1)*B388</f>
      </c>
      <c r="F388" s="12">
        <f>IF(E388&gt;0,IF(E388&lt;=eco,alpha*fck*(1-(1-E388/eco)^n),alpha*fck),0)</f>
      </c>
      <c r="G388" s="11">
        <f>F388*D388</f>
      </c>
      <c r="H388" s="11">
        <f>G388*C388</f>
      </c>
      <c r="I388" s="11">
        <f>G388*B388</f>
      </c>
      <c r="J388" s="30">
        <f>PM_Angle!$J$7+PM_Angle!$K$7*$C388+PM_Angle!$L$7*$B388</f>
      </c>
      <c r="K388" s="12">
        <f>IF(J388&gt;0,IF(J388&lt;=eco,alpha*fck*(1-(1-J388/eco)^n),alpha*fck),0)</f>
      </c>
      <c r="L388" s="30">
        <f>PM_Angle!$J$8+PM_Angle!$K$8*$C388+PM_Angle!$L$8*$B388</f>
      </c>
      <c r="M388" s="12">
        <f>IF(L388&gt;0,IF(L388&lt;=eco,alpha*fck*(1-(1-L388/eco)^n),alpha*fck),0)</f>
      </c>
      <c r="N388" s="30">
        <f>PM_Angle!$J$9+PM_Angle!$K$9*$C388+PM_Angle!$L$9*$B388</f>
      </c>
      <c r="O388" s="12">
        <f>IF(N388&gt;0,IF(N388&lt;=eco,alpha*fck*(1-(1-N388/eco)^n),alpha*fck),0)</f>
      </c>
      <c r="P388" s="30">
        <f>PM_Angle!$J$10+PM_Angle!$K$10*$C388+PM_Angle!$L$10*$B388</f>
      </c>
      <c r="Q388" s="12">
        <f>IF(P388&gt;0,IF(P388&lt;=eco,alpha*fck*(1-(1-P388/eco)^n),alpha*fck),0)</f>
      </c>
      <c r="R388" s="30">
        <f>PM_Angle!$J$11+PM_Angle!$K$11*$C388+PM_Angle!$L$11*$B388</f>
      </c>
      <c r="S388" s="12">
        <f>IF(R388&gt;0,IF(R388&lt;=eco,alpha*fck*(1-(1-R388/eco)^n),alpha*fck),0)</f>
      </c>
      <c r="T388" s="30">
        <f>PM_Angle!$J$12+PM_Angle!$K$12*$C388+PM_Angle!$L$12*$B388</f>
      </c>
      <c r="U388" s="12">
        <f>IF(T388&gt;0,IF(T388&lt;=eco,alpha*fck*(1-(1-T388/eco)^n),alpha*fck),0)</f>
      </c>
      <c r="V388" s="30">
        <f>PM_Angle!$J$13+PM_Angle!$K$13*$C388+PM_Angle!$L$13*$B388</f>
      </c>
      <c r="W388" s="12">
        <f>IF(V388&gt;0,IF(V388&lt;=eco,alpha*fck*(1-(1-V388/eco)^n),alpha*fck),0)</f>
      </c>
      <c r="X388" s="30">
        <f>PM_Angle!$J$14+PM_Angle!$K$14*$C388+PM_Angle!$L$14*$B388</f>
      </c>
      <c r="Y388" s="12">
        <f>IF(X388&gt;0,IF(X388&lt;=eco,alpha*fck*(1-(1-X388/eco)^n),alpha*fck),0)</f>
      </c>
      <c r="Z388" s="30">
        <f>PM_Angle!$J$15+PM_Angle!$K$15*$C388+PM_Angle!$L$15*$B388</f>
      </c>
      <c r="AA388" s="12">
        <f>IF(Z388&gt;0,IF(Z388&lt;=eco,alpha*fck*(1-(1-Z388/eco)^n),alpha*fck),0)</f>
      </c>
      <c r="AB388" s="30">
        <f>PM_Angle!$J$16+PM_Angle!$K$16*$C388+PM_Angle!$L$16*$B388</f>
      </c>
      <c r="AC388" s="12">
        <f>IF(AB388&gt;0,IF(AB388&lt;=eco,alpha*fck*(1-(1-AB388/eco)^n),alpha*fck),0)</f>
      </c>
      <c r="AD388" s="30">
        <f>PM_Angle!$J$17+PM_Angle!$K$17*$C388+PM_Angle!$L$17*$B388</f>
      </c>
      <c r="AE388" s="12">
        <f>IF(AD388&gt;0,IF(AD388&lt;=eco,alpha*fck*(1-(1-AD388/eco)^n),alpha*fck),0)</f>
      </c>
      <c r="AF388" s="30">
        <f>PM_Angle!$J$18+PM_Angle!$K$18*$C388+PM_Angle!$L$18*$B388</f>
      </c>
      <c r="AG388" s="12">
        <f>IF(AF388&gt;0,IF(AF388&lt;=eco,alpha*fck*(1-(1-AF388/eco)^n),alpha*fck),0)</f>
      </c>
      <c r="AH388" s="30">
        <f>PM_Angle!$J$19+PM_Angle!$K$19*$C388+PM_Angle!$L$19*$B388</f>
      </c>
      <c r="AI388" s="12">
        <f>IF(AH388&gt;0,IF(AH388&lt;=eco,alpha*fck*(1-(1-AH388/eco)^n),alpha*fck),0)</f>
      </c>
      <c r="AJ388" s="30">
        <f>PM_Angle!$J$20+PM_Angle!$K$20*$C388+PM_Angle!$L$20*$B388</f>
      </c>
      <c r="AK388" s="12">
        <f>IF(AJ388&gt;0,IF(AJ388&lt;=eco,alpha*fck*(1-(1-AJ388/eco)^n),alpha*fck),0)</f>
      </c>
      <c r="AL388" s="30">
        <f>PM_Angle!$J$21+PM_Angle!$K$21*$C388+PM_Angle!$L$21*$B388</f>
      </c>
      <c r="AM388" s="12">
        <f>IF(AL388&gt;0,IF(AL388&lt;=eco,alpha*fck*(1-(1-AL388/eco)^n),alpha*fck),0)</f>
      </c>
      <c r="AN388" s="30">
        <f>PM_Angle!$J$22+PM_Angle!$K$22*$C388+PM_Angle!$L$22*$B388</f>
      </c>
      <c r="AO388" s="12">
        <f>IF(AN388&gt;0,IF(AN388&lt;=eco,alpha*fck*(1-(1-AN388/eco)^n),alpha*fck),0)</f>
      </c>
      <c r="AP388" s="30">
        <f>PM_Angle!$J$23+PM_Angle!$K$23*$C388+PM_Angle!$L$23*$B388</f>
      </c>
      <c r="AQ388" s="12">
        <f>IF(AP388&gt;0,IF(AP388&lt;=eco,alpha*fck*(1-(1-AP388/eco)^n),alpha*fck),0)</f>
      </c>
      <c r="AR388" s="30">
        <f>PM_Angle!$J$24+PM_Angle!$K$24*$C388+PM_Angle!$L$24*$B388</f>
      </c>
      <c r="AS388" s="12">
        <f>IF(AR388&gt;0,IF(AR388&lt;=eco,alpha*fck*(1-(1-AR388/eco)^n),alpha*fck),0)</f>
      </c>
      <c r="AT388" s="30">
        <f>PM_Angle!$J$25+PM_Angle!$K$25*$C388+PM_Angle!$L$25*$B388</f>
      </c>
      <c r="AU388" s="12">
        <f>IF(AT388&gt;0,IF(AT388&lt;=eco,alpha*fck*(1-(1-AT388/eco)^n),alpha*fck),0)</f>
      </c>
    </row>
    <row r="389" spans="1:47" x14ac:dyDescent="0.25">
      <c r="A389">
        <f>Mesh!A386</f>
      </c>
      <c r="B389" s="12">
        <f>Mesh!B386</f>
      </c>
      <c r="C389" s="12">
        <f>Mesh!C386</f>
      </c>
      <c r="D389" s="12">
        <f>Mesh!D386</f>
      </c>
      <c r="E389" s="30">
        <f>INDEX(St_e0,Det+1)+INDEX(St_kx,Det+1)*C389+INDEX(St_ky,Det+1)*B389</f>
      </c>
      <c r="F389" s="12">
        <f>IF(E389&gt;0,IF(E389&lt;=eco,alpha*fck*(1-(1-E389/eco)^n),alpha*fck),0)</f>
      </c>
      <c r="G389" s="11">
        <f>F389*D389</f>
      </c>
      <c r="H389" s="11">
        <f>G389*C389</f>
      </c>
      <c r="I389" s="11">
        <f>G389*B389</f>
      </c>
      <c r="J389" s="30">
        <f>PM_Angle!$J$7+PM_Angle!$K$7*$C389+PM_Angle!$L$7*$B389</f>
      </c>
      <c r="K389" s="12">
        <f>IF(J389&gt;0,IF(J389&lt;=eco,alpha*fck*(1-(1-J389/eco)^n),alpha*fck),0)</f>
      </c>
      <c r="L389" s="30">
        <f>PM_Angle!$J$8+PM_Angle!$K$8*$C389+PM_Angle!$L$8*$B389</f>
      </c>
      <c r="M389" s="12">
        <f>IF(L389&gt;0,IF(L389&lt;=eco,alpha*fck*(1-(1-L389/eco)^n),alpha*fck),0)</f>
      </c>
      <c r="N389" s="30">
        <f>PM_Angle!$J$9+PM_Angle!$K$9*$C389+PM_Angle!$L$9*$B389</f>
      </c>
      <c r="O389" s="12">
        <f>IF(N389&gt;0,IF(N389&lt;=eco,alpha*fck*(1-(1-N389/eco)^n),alpha*fck),0)</f>
      </c>
      <c r="P389" s="30">
        <f>PM_Angle!$J$10+PM_Angle!$K$10*$C389+PM_Angle!$L$10*$B389</f>
      </c>
      <c r="Q389" s="12">
        <f>IF(P389&gt;0,IF(P389&lt;=eco,alpha*fck*(1-(1-P389/eco)^n),alpha*fck),0)</f>
      </c>
      <c r="R389" s="30">
        <f>PM_Angle!$J$11+PM_Angle!$K$11*$C389+PM_Angle!$L$11*$B389</f>
      </c>
      <c r="S389" s="12">
        <f>IF(R389&gt;0,IF(R389&lt;=eco,alpha*fck*(1-(1-R389/eco)^n),alpha*fck),0)</f>
      </c>
      <c r="T389" s="30">
        <f>PM_Angle!$J$12+PM_Angle!$K$12*$C389+PM_Angle!$L$12*$B389</f>
      </c>
      <c r="U389" s="12">
        <f>IF(T389&gt;0,IF(T389&lt;=eco,alpha*fck*(1-(1-T389/eco)^n),alpha*fck),0)</f>
      </c>
      <c r="V389" s="30">
        <f>PM_Angle!$J$13+PM_Angle!$K$13*$C389+PM_Angle!$L$13*$B389</f>
      </c>
      <c r="W389" s="12">
        <f>IF(V389&gt;0,IF(V389&lt;=eco,alpha*fck*(1-(1-V389/eco)^n),alpha*fck),0)</f>
      </c>
      <c r="X389" s="30">
        <f>PM_Angle!$J$14+PM_Angle!$K$14*$C389+PM_Angle!$L$14*$B389</f>
      </c>
      <c r="Y389" s="12">
        <f>IF(X389&gt;0,IF(X389&lt;=eco,alpha*fck*(1-(1-X389/eco)^n),alpha*fck),0)</f>
      </c>
      <c r="Z389" s="30">
        <f>PM_Angle!$J$15+PM_Angle!$K$15*$C389+PM_Angle!$L$15*$B389</f>
      </c>
      <c r="AA389" s="12">
        <f>IF(Z389&gt;0,IF(Z389&lt;=eco,alpha*fck*(1-(1-Z389/eco)^n),alpha*fck),0)</f>
      </c>
      <c r="AB389" s="30">
        <f>PM_Angle!$J$16+PM_Angle!$K$16*$C389+PM_Angle!$L$16*$B389</f>
      </c>
      <c r="AC389" s="12">
        <f>IF(AB389&gt;0,IF(AB389&lt;=eco,alpha*fck*(1-(1-AB389/eco)^n),alpha*fck),0)</f>
      </c>
      <c r="AD389" s="30">
        <f>PM_Angle!$J$17+PM_Angle!$K$17*$C389+PM_Angle!$L$17*$B389</f>
      </c>
      <c r="AE389" s="12">
        <f>IF(AD389&gt;0,IF(AD389&lt;=eco,alpha*fck*(1-(1-AD389/eco)^n),alpha*fck),0)</f>
      </c>
      <c r="AF389" s="30">
        <f>PM_Angle!$J$18+PM_Angle!$K$18*$C389+PM_Angle!$L$18*$B389</f>
      </c>
      <c r="AG389" s="12">
        <f>IF(AF389&gt;0,IF(AF389&lt;=eco,alpha*fck*(1-(1-AF389/eco)^n),alpha*fck),0)</f>
      </c>
      <c r="AH389" s="30">
        <f>PM_Angle!$J$19+PM_Angle!$K$19*$C389+PM_Angle!$L$19*$B389</f>
      </c>
      <c r="AI389" s="12">
        <f>IF(AH389&gt;0,IF(AH389&lt;=eco,alpha*fck*(1-(1-AH389/eco)^n),alpha*fck),0)</f>
      </c>
      <c r="AJ389" s="30">
        <f>PM_Angle!$J$20+PM_Angle!$K$20*$C389+PM_Angle!$L$20*$B389</f>
      </c>
      <c r="AK389" s="12">
        <f>IF(AJ389&gt;0,IF(AJ389&lt;=eco,alpha*fck*(1-(1-AJ389/eco)^n),alpha*fck),0)</f>
      </c>
      <c r="AL389" s="30">
        <f>PM_Angle!$J$21+PM_Angle!$K$21*$C389+PM_Angle!$L$21*$B389</f>
      </c>
      <c r="AM389" s="12">
        <f>IF(AL389&gt;0,IF(AL389&lt;=eco,alpha*fck*(1-(1-AL389/eco)^n),alpha*fck),0)</f>
      </c>
      <c r="AN389" s="30">
        <f>PM_Angle!$J$22+PM_Angle!$K$22*$C389+PM_Angle!$L$22*$B389</f>
      </c>
      <c r="AO389" s="12">
        <f>IF(AN389&gt;0,IF(AN389&lt;=eco,alpha*fck*(1-(1-AN389/eco)^n),alpha*fck),0)</f>
      </c>
      <c r="AP389" s="30">
        <f>PM_Angle!$J$23+PM_Angle!$K$23*$C389+PM_Angle!$L$23*$B389</f>
      </c>
      <c r="AQ389" s="12">
        <f>IF(AP389&gt;0,IF(AP389&lt;=eco,alpha*fck*(1-(1-AP389/eco)^n),alpha*fck),0)</f>
      </c>
      <c r="AR389" s="30">
        <f>PM_Angle!$J$24+PM_Angle!$K$24*$C389+PM_Angle!$L$24*$B389</f>
      </c>
      <c r="AS389" s="12">
        <f>IF(AR389&gt;0,IF(AR389&lt;=eco,alpha*fck*(1-(1-AR389/eco)^n),alpha*fck),0)</f>
      </c>
      <c r="AT389" s="30">
        <f>PM_Angle!$J$25+PM_Angle!$K$25*$C389+PM_Angle!$L$25*$B389</f>
      </c>
      <c r="AU389" s="12">
        <f>IF(AT389&gt;0,IF(AT389&lt;=eco,alpha*fck*(1-(1-AT389/eco)^n),alpha*fck),0)</f>
      </c>
    </row>
    <row r="390" spans="1:47" x14ac:dyDescent="0.25">
      <c r="A390">
        <f>Mesh!A387</f>
      </c>
      <c r="B390" s="12">
        <f>Mesh!B387</f>
      </c>
      <c r="C390" s="12">
        <f>Mesh!C387</f>
      </c>
      <c r="D390" s="12">
        <f>Mesh!D387</f>
      </c>
      <c r="E390" s="30">
        <f>INDEX(St_e0,Det+1)+INDEX(St_kx,Det+1)*C390+INDEX(St_ky,Det+1)*B390</f>
      </c>
      <c r="F390" s="12">
        <f>IF(E390&gt;0,IF(E390&lt;=eco,alpha*fck*(1-(1-E390/eco)^n),alpha*fck),0)</f>
      </c>
      <c r="G390" s="11">
        <f>F390*D390</f>
      </c>
      <c r="H390" s="11">
        <f>G390*C390</f>
      </c>
      <c r="I390" s="11">
        <f>G390*B390</f>
      </c>
      <c r="J390" s="30">
        <f>PM_Angle!$J$7+PM_Angle!$K$7*$C390+PM_Angle!$L$7*$B390</f>
      </c>
      <c r="K390" s="12">
        <f>IF(J390&gt;0,IF(J390&lt;=eco,alpha*fck*(1-(1-J390/eco)^n),alpha*fck),0)</f>
      </c>
      <c r="L390" s="30">
        <f>PM_Angle!$J$8+PM_Angle!$K$8*$C390+PM_Angle!$L$8*$B390</f>
      </c>
      <c r="M390" s="12">
        <f>IF(L390&gt;0,IF(L390&lt;=eco,alpha*fck*(1-(1-L390/eco)^n),alpha*fck),0)</f>
      </c>
      <c r="N390" s="30">
        <f>PM_Angle!$J$9+PM_Angle!$K$9*$C390+PM_Angle!$L$9*$B390</f>
      </c>
      <c r="O390" s="12">
        <f>IF(N390&gt;0,IF(N390&lt;=eco,alpha*fck*(1-(1-N390/eco)^n),alpha*fck),0)</f>
      </c>
      <c r="P390" s="30">
        <f>PM_Angle!$J$10+PM_Angle!$K$10*$C390+PM_Angle!$L$10*$B390</f>
      </c>
      <c r="Q390" s="12">
        <f>IF(P390&gt;0,IF(P390&lt;=eco,alpha*fck*(1-(1-P390/eco)^n),alpha*fck),0)</f>
      </c>
      <c r="R390" s="30">
        <f>PM_Angle!$J$11+PM_Angle!$K$11*$C390+PM_Angle!$L$11*$B390</f>
      </c>
      <c r="S390" s="12">
        <f>IF(R390&gt;0,IF(R390&lt;=eco,alpha*fck*(1-(1-R390/eco)^n),alpha*fck),0)</f>
      </c>
      <c r="T390" s="30">
        <f>PM_Angle!$J$12+PM_Angle!$K$12*$C390+PM_Angle!$L$12*$B390</f>
      </c>
      <c r="U390" s="12">
        <f>IF(T390&gt;0,IF(T390&lt;=eco,alpha*fck*(1-(1-T390/eco)^n),alpha*fck),0)</f>
      </c>
      <c r="V390" s="30">
        <f>PM_Angle!$J$13+PM_Angle!$K$13*$C390+PM_Angle!$L$13*$B390</f>
      </c>
      <c r="W390" s="12">
        <f>IF(V390&gt;0,IF(V390&lt;=eco,alpha*fck*(1-(1-V390/eco)^n),alpha*fck),0)</f>
      </c>
      <c r="X390" s="30">
        <f>PM_Angle!$J$14+PM_Angle!$K$14*$C390+PM_Angle!$L$14*$B390</f>
      </c>
      <c r="Y390" s="12">
        <f>IF(X390&gt;0,IF(X390&lt;=eco,alpha*fck*(1-(1-X390/eco)^n),alpha*fck),0)</f>
      </c>
      <c r="Z390" s="30">
        <f>PM_Angle!$J$15+PM_Angle!$K$15*$C390+PM_Angle!$L$15*$B390</f>
      </c>
      <c r="AA390" s="12">
        <f>IF(Z390&gt;0,IF(Z390&lt;=eco,alpha*fck*(1-(1-Z390/eco)^n),alpha*fck),0)</f>
      </c>
      <c r="AB390" s="30">
        <f>PM_Angle!$J$16+PM_Angle!$K$16*$C390+PM_Angle!$L$16*$B390</f>
      </c>
      <c r="AC390" s="12">
        <f>IF(AB390&gt;0,IF(AB390&lt;=eco,alpha*fck*(1-(1-AB390/eco)^n),alpha*fck),0)</f>
      </c>
      <c r="AD390" s="30">
        <f>PM_Angle!$J$17+PM_Angle!$K$17*$C390+PM_Angle!$L$17*$B390</f>
      </c>
      <c r="AE390" s="12">
        <f>IF(AD390&gt;0,IF(AD390&lt;=eco,alpha*fck*(1-(1-AD390/eco)^n),alpha*fck),0)</f>
      </c>
      <c r="AF390" s="30">
        <f>PM_Angle!$J$18+PM_Angle!$K$18*$C390+PM_Angle!$L$18*$B390</f>
      </c>
      <c r="AG390" s="12">
        <f>IF(AF390&gt;0,IF(AF390&lt;=eco,alpha*fck*(1-(1-AF390/eco)^n),alpha*fck),0)</f>
      </c>
      <c r="AH390" s="30">
        <f>PM_Angle!$J$19+PM_Angle!$K$19*$C390+PM_Angle!$L$19*$B390</f>
      </c>
      <c r="AI390" s="12">
        <f>IF(AH390&gt;0,IF(AH390&lt;=eco,alpha*fck*(1-(1-AH390/eco)^n),alpha*fck),0)</f>
      </c>
      <c r="AJ390" s="30">
        <f>PM_Angle!$J$20+PM_Angle!$K$20*$C390+PM_Angle!$L$20*$B390</f>
      </c>
      <c r="AK390" s="12">
        <f>IF(AJ390&gt;0,IF(AJ390&lt;=eco,alpha*fck*(1-(1-AJ390/eco)^n),alpha*fck),0)</f>
      </c>
      <c r="AL390" s="30">
        <f>PM_Angle!$J$21+PM_Angle!$K$21*$C390+PM_Angle!$L$21*$B390</f>
      </c>
      <c r="AM390" s="12">
        <f>IF(AL390&gt;0,IF(AL390&lt;=eco,alpha*fck*(1-(1-AL390/eco)^n),alpha*fck),0)</f>
      </c>
      <c r="AN390" s="30">
        <f>PM_Angle!$J$22+PM_Angle!$K$22*$C390+PM_Angle!$L$22*$B390</f>
      </c>
      <c r="AO390" s="12">
        <f>IF(AN390&gt;0,IF(AN390&lt;=eco,alpha*fck*(1-(1-AN390/eco)^n),alpha*fck),0)</f>
      </c>
      <c r="AP390" s="30">
        <f>PM_Angle!$J$23+PM_Angle!$K$23*$C390+PM_Angle!$L$23*$B390</f>
      </c>
      <c r="AQ390" s="12">
        <f>IF(AP390&gt;0,IF(AP390&lt;=eco,alpha*fck*(1-(1-AP390/eco)^n),alpha*fck),0)</f>
      </c>
      <c r="AR390" s="30">
        <f>PM_Angle!$J$24+PM_Angle!$K$24*$C390+PM_Angle!$L$24*$B390</f>
      </c>
      <c r="AS390" s="12">
        <f>IF(AR390&gt;0,IF(AR390&lt;=eco,alpha*fck*(1-(1-AR390/eco)^n),alpha*fck),0)</f>
      </c>
      <c r="AT390" s="30">
        <f>PM_Angle!$J$25+PM_Angle!$K$25*$C390+PM_Angle!$L$25*$B390</f>
      </c>
      <c r="AU390" s="12">
        <f>IF(AT390&gt;0,IF(AT390&lt;=eco,alpha*fck*(1-(1-AT390/eco)^n),alpha*fck),0)</f>
      </c>
    </row>
    <row r="391" spans="1:47" x14ac:dyDescent="0.25">
      <c r="A391">
        <f>Mesh!A388</f>
      </c>
      <c r="B391" s="12">
        <f>Mesh!B388</f>
      </c>
      <c r="C391" s="12">
        <f>Mesh!C388</f>
      </c>
      <c r="D391" s="12">
        <f>Mesh!D388</f>
      </c>
      <c r="E391" s="30">
        <f>INDEX(St_e0,Det+1)+INDEX(St_kx,Det+1)*C391+INDEX(St_ky,Det+1)*B391</f>
      </c>
      <c r="F391" s="12">
        <f>IF(E391&gt;0,IF(E391&lt;=eco,alpha*fck*(1-(1-E391/eco)^n),alpha*fck),0)</f>
      </c>
      <c r="G391" s="11">
        <f>F391*D391</f>
      </c>
      <c r="H391" s="11">
        <f>G391*C391</f>
      </c>
      <c r="I391" s="11">
        <f>G391*B391</f>
      </c>
      <c r="J391" s="30">
        <f>PM_Angle!$J$7+PM_Angle!$K$7*$C391+PM_Angle!$L$7*$B391</f>
      </c>
      <c r="K391" s="12">
        <f>IF(J391&gt;0,IF(J391&lt;=eco,alpha*fck*(1-(1-J391/eco)^n),alpha*fck),0)</f>
      </c>
      <c r="L391" s="30">
        <f>PM_Angle!$J$8+PM_Angle!$K$8*$C391+PM_Angle!$L$8*$B391</f>
      </c>
      <c r="M391" s="12">
        <f>IF(L391&gt;0,IF(L391&lt;=eco,alpha*fck*(1-(1-L391/eco)^n),alpha*fck),0)</f>
      </c>
      <c r="N391" s="30">
        <f>PM_Angle!$J$9+PM_Angle!$K$9*$C391+PM_Angle!$L$9*$B391</f>
      </c>
      <c r="O391" s="12">
        <f>IF(N391&gt;0,IF(N391&lt;=eco,alpha*fck*(1-(1-N391/eco)^n),alpha*fck),0)</f>
      </c>
      <c r="P391" s="30">
        <f>PM_Angle!$J$10+PM_Angle!$K$10*$C391+PM_Angle!$L$10*$B391</f>
      </c>
      <c r="Q391" s="12">
        <f>IF(P391&gt;0,IF(P391&lt;=eco,alpha*fck*(1-(1-P391/eco)^n),alpha*fck),0)</f>
      </c>
      <c r="R391" s="30">
        <f>PM_Angle!$J$11+PM_Angle!$K$11*$C391+PM_Angle!$L$11*$B391</f>
      </c>
      <c r="S391" s="12">
        <f>IF(R391&gt;0,IF(R391&lt;=eco,alpha*fck*(1-(1-R391/eco)^n),alpha*fck),0)</f>
      </c>
      <c r="T391" s="30">
        <f>PM_Angle!$J$12+PM_Angle!$K$12*$C391+PM_Angle!$L$12*$B391</f>
      </c>
      <c r="U391" s="12">
        <f>IF(T391&gt;0,IF(T391&lt;=eco,alpha*fck*(1-(1-T391/eco)^n),alpha*fck),0)</f>
      </c>
      <c r="V391" s="30">
        <f>PM_Angle!$J$13+PM_Angle!$K$13*$C391+PM_Angle!$L$13*$B391</f>
      </c>
      <c r="W391" s="12">
        <f>IF(V391&gt;0,IF(V391&lt;=eco,alpha*fck*(1-(1-V391/eco)^n),alpha*fck),0)</f>
      </c>
      <c r="X391" s="30">
        <f>PM_Angle!$J$14+PM_Angle!$K$14*$C391+PM_Angle!$L$14*$B391</f>
      </c>
      <c r="Y391" s="12">
        <f>IF(X391&gt;0,IF(X391&lt;=eco,alpha*fck*(1-(1-X391/eco)^n),alpha*fck),0)</f>
      </c>
      <c r="Z391" s="30">
        <f>PM_Angle!$J$15+PM_Angle!$K$15*$C391+PM_Angle!$L$15*$B391</f>
      </c>
      <c r="AA391" s="12">
        <f>IF(Z391&gt;0,IF(Z391&lt;=eco,alpha*fck*(1-(1-Z391/eco)^n),alpha*fck),0)</f>
      </c>
      <c r="AB391" s="30">
        <f>PM_Angle!$J$16+PM_Angle!$K$16*$C391+PM_Angle!$L$16*$B391</f>
      </c>
      <c r="AC391" s="12">
        <f>IF(AB391&gt;0,IF(AB391&lt;=eco,alpha*fck*(1-(1-AB391/eco)^n),alpha*fck),0)</f>
      </c>
      <c r="AD391" s="30">
        <f>PM_Angle!$J$17+PM_Angle!$K$17*$C391+PM_Angle!$L$17*$B391</f>
      </c>
      <c r="AE391" s="12">
        <f>IF(AD391&gt;0,IF(AD391&lt;=eco,alpha*fck*(1-(1-AD391/eco)^n),alpha*fck),0)</f>
      </c>
      <c r="AF391" s="30">
        <f>PM_Angle!$J$18+PM_Angle!$K$18*$C391+PM_Angle!$L$18*$B391</f>
      </c>
      <c r="AG391" s="12">
        <f>IF(AF391&gt;0,IF(AF391&lt;=eco,alpha*fck*(1-(1-AF391/eco)^n),alpha*fck),0)</f>
      </c>
      <c r="AH391" s="30">
        <f>PM_Angle!$J$19+PM_Angle!$K$19*$C391+PM_Angle!$L$19*$B391</f>
      </c>
      <c r="AI391" s="12">
        <f>IF(AH391&gt;0,IF(AH391&lt;=eco,alpha*fck*(1-(1-AH391/eco)^n),alpha*fck),0)</f>
      </c>
      <c r="AJ391" s="30">
        <f>PM_Angle!$J$20+PM_Angle!$K$20*$C391+PM_Angle!$L$20*$B391</f>
      </c>
      <c r="AK391" s="12">
        <f>IF(AJ391&gt;0,IF(AJ391&lt;=eco,alpha*fck*(1-(1-AJ391/eco)^n),alpha*fck),0)</f>
      </c>
      <c r="AL391" s="30">
        <f>PM_Angle!$J$21+PM_Angle!$K$21*$C391+PM_Angle!$L$21*$B391</f>
      </c>
      <c r="AM391" s="12">
        <f>IF(AL391&gt;0,IF(AL391&lt;=eco,alpha*fck*(1-(1-AL391/eco)^n),alpha*fck),0)</f>
      </c>
      <c r="AN391" s="30">
        <f>PM_Angle!$J$22+PM_Angle!$K$22*$C391+PM_Angle!$L$22*$B391</f>
      </c>
      <c r="AO391" s="12">
        <f>IF(AN391&gt;0,IF(AN391&lt;=eco,alpha*fck*(1-(1-AN391/eco)^n),alpha*fck),0)</f>
      </c>
      <c r="AP391" s="30">
        <f>PM_Angle!$J$23+PM_Angle!$K$23*$C391+PM_Angle!$L$23*$B391</f>
      </c>
      <c r="AQ391" s="12">
        <f>IF(AP391&gt;0,IF(AP391&lt;=eco,alpha*fck*(1-(1-AP391/eco)^n),alpha*fck),0)</f>
      </c>
      <c r="AR391" s="30">
        <f>PM_Angle!$J$24+PM_Angle!$K$24*$C391+PM_Angle!$L$24*$B391</f>
      </c>
      <c r="AS391" s="12">
        <f>IF(AR391&gt;0,IF(AR391&lt;=eco,alpha*fck*(1-(1-AR391/eco)^n),alpha*fck),0)</f>
      </c>
      <c r="AT391" s="30">
        <f>PM_Angle!$J$25+PM_Angle!$K$25*$C391+PM_Angle!$L$25*$B391</f>
      </c>
      <c r="AU391" s="12">
        <f>IF(AT391&gt;0,IF(AT391&lt;=eco,alpha*fck*(1-(1-AT391/eco)^n),alpha*fck),0)</f>
      </c>
    </row>
    <row r="392" spans="1:47" x14ac:dyDescent="0.25">
      <c r="A392">
        <f>Mesh!A389</f>
      </c>
      <c r="B392" s="12">
        <f>Mesh!B389</f>
      </c>
      <c r="C392" s="12">
        <f>Mesh!C389</f>
      </c>
      <c r="D392" s="12">
        <f>Mesh!D389</f>
      </c>
      <c r="E392" s="30">
        <f>INDEX(St_e0,Det+1)+INDEX(St_kx,Det+1)*C392+INDEX(St_ky,Det+1)*B392</f>
      </c>
      <c r="F392" s="12">
        <f>IF(E392&gt;0,IF(E392&lt;=eco,alpha*fck*(1-(1-E392/eco)^n),alpha*fck),0)</f>
      </c>
      <c r="G392" s="11">
        <f>F392*D392</f>
      </c>
      <c r="H392" s="11">
        <f>G392*C392</f>
      </c>
      <c r="I392" s="11">
        <f>G392*B392</f>
      </c>
      <c r="J392" s="30">
        <f>PM_Angle!$J$7+PM_Angle!$K$7*$C392+PM_Angle!$L$7*$B392</f>
      </c>
      <c r="K392" s="12">
        <f>IF(J392&gt;0,IF(J392&lt;=eco,alpha*fck*(1-(1-J392/eco)^n),alpha*fck),0)</f>
      </c>
      <c r="L392" s="30">
        <f>PM_Angle!$J$8+PM_Angle!$K$8*$C392+PM_Angle!$L$8*$B392</f>
      </c>
      <c r="M392" s="12">
        <f>IF(L392&gt;0,IF(L392&lt;=eco,alpha*fck*(1-(1-L392/eco)^n),alpha*fck),0)</f>
      </c>
      <c r="N392" s="30">
        <f>PM_Angle!$J$9+PM_Angle!$K$9*$C392+PM_Angle!$L$9*$B392</f>
      </c>
      <c r="O392" s="12">
        <f>IF(N392&gt;0,IF(N392&lt;=eco,alpha*fck*(1-(1-N392/eco)^n),alpha*fck),0)</f>
      </c>
      <c r="P392" s="30">
        <f>PM_Angle!$J$10+PM_Angle!$K$10*$C392+PM_Angle!$L$10*$B392</f>
      </c>
      <c r="Q392" s="12">
        <f>IF(P392&gt;0,IF(P392&lt;=eco,alpha*fck*(1-(1-P392/eco)^n),alpha*fck),0)</f>
      </c>
      <c r="R392" s="30">
        <f>PM_Angle!$J$11+PM_Angle!$K$11*$C392+PM_Angle!$L$11*$B392</f>
      </c>
      <c r="S392" s="12">
        <f>IF(R392&gt;0,IF(R392&lt;=eco,alpha*fck*(1-(1-R392/eco)^n),alpha*fck),0)</f>
      </c>
      <c r="T392" s="30">
        <f>PM_Angle!$J$12+PM_Angle!$K$12*$C392+PM_Angle!$L$12*$B392</f>
      </c>
      <c r="U392" s="12">
        <f>IF(T392&gt;0,IF(T392&lt;=eco,alpha*fck*(1-(1-T392/eco)^n),alpha*fck),0)</f>
      </c>
      <c r="V392" s="30">
        <f>PM_Angle!$J$13+PM_Angle!$K$13*$C392+PM_Angle!$L$13*$B392</f>
      </c>
      <c r="W392" s="12">
        <f>IF(V392&gt;0,IF(V392&lt;=eco,alpha*fck*(1-(1-V392/eco)^n),alpha*fck),0)</f>
      </c>
      <c r="X392" s="30">
        <f>PM_Angle!$J$14+PM_Angle!$K$14*$C392+PM_Angle!$L$14*$B392</f>
      </c>
      <c r="Y392" s="12">
        <f>IF(X392&gt;0,IF(X392&lt;=eco,alpha*fck*(1-(1-X392/eco)^n),alpha*fck),0)</f>
      </c>
      <c r="Z392" s="30">
        <f>PM_Angle!$J$15+PM_Angle!$K$15*$C392+PM_Angle!$L$15*$B392</f>
      </c>
      <c r="AA392" s="12">
        <f>IF(Z392&gt;0,IF(Z392&lt;=eco,alpha*fck*(1-(1-Z392/eco)^n),alpha*fck),0)</f>
      </c>
      <c r="AB392" s="30">
        <f>PM_Angle!$J$16+PM_Angle!$K$16*$C392+PM_Angle!$L$16*$B392</f>
      </c>
      <c r="AC392" s="12">
        <f>IF(AB392&gt;0,IF(AB392&lt;=eco,alpha*fck*(1-(1-AB392/eco)^n),alpha*fck),0)</f>
      </c>
      <c r="AD392" s="30">
        <f>PM_Angle!$J$17+PM_Angle!$K$17*$C392+PM_Angle!$L$17*$B392</f>
      </c>
      <c r="AE392" s="12">
        <f>IF(AD392&gt;0,IF(AD392&lt;=eco,alpha*fck*(1-(1-AD392/eco)^n),alpha*fck),0)</f>
      </c>
      <c r="AF392" s="30">
        <f>PM_Angle!$J$18+PM_Angle!$K$18*$C392+PM_Angle!$L$18*$B392</f>
      </c>
      <c r="AG392" s="12">
        <f>IF(AF392&gt;0,IF(AF392&lt;=eco,alpha*fck*(1-(1-AF392/eco)^n),alpha*fck),0)</f>
      </c>
      <c r="AH392" s="30">
        <f>PM_Angle!$J$19+PM_Angle!$K$19*$C392+PM_Angle!$L$19*$B392</f>
      </c>
      <c r="AI392" s="12">
        <f>IF(AH392&gt;0,IF(AH392&lt;=eco,alpha*fck*(1-(1-AH392/eco)^n),alpha*fck),0)</f>
      </c>
      <c r="AJ392" s="30">
        <f>PM_Angle!$J$20+PM_Angle!$K$20*$C392+PM_Angle!$L$20*$B392</f>
      </c>
      <c r="AK392" s="12">
        <f>IF(AJ392&gt;0,IF(AJ392&lt;=eco,alpha*fck*(1-(1-AJ392/eco)^n),alpha*fck),0)</f>
      </c>
      <c r="AL392" s="30">
        <f>PM_Angle!$J$21+PM_Angle!$K$21*$C392+PM_Angle!$L$21*$B392</f>
      </c>
      <c r="AM392" s="12">
        <f>IF(AL392&gt;0,IF(AL392&lt;=eco,alpha*fck*(1-(1-AL392/eco)^n),alpha*fck),0)</f>
      </c>
      <c r="AN392" s="30">
        <f>PM_Angle!$J$22+PM_Angle!$K$22*$C392+PM_Angle!$L$22*$B392</f>
      </c>
      <c r="AO392" s="12">
        <f>IF(AN392&gt;0,IF(AN392&lt;=eco,alpha*fck*(1-(1-AN392/eco)^n),alpha*fck),0)</f>
      </c>
      <c r="AP392" s="30">
        <f>PM_Angle!$J$23+PM_Angle!$K$23*$C392+PM_Angle!$L$23*$B392</f>
      </c>
      <c r="AQ392" s="12">
        <f>IF(AP392&gt;0,IF(AP392&lt;=eco,alpha*fck*(1-(1-AP392/eco)^n),alpha*fck),0)</f>
      </c>
      <c r="AR392" s="30">
        <f>PM_Angle!$J$24+PM_Angle!$K$24*$C392+PM_Angle!$L$24*$B392</f>
      </c>
      <c r="AS392" s="12">
        <f>IF(AR392&gt;0,IF(AR392&lt;=eco,alpha*fck*(1-(1-AR392/eco)^n),alpha*fck),0)</f>
      </c>
      <c r="AT392" s="30">
        <f>PM_Angle!$J$25+PM_Angle!$K$25*$C392+PM_Angle!$L$25*$B392</f>
      </c>
      <c r="AU392" s="12">
        <f>IF(AT392&gt;0,IF(AT392&lt;=eco,alpha*fck*(1-(1-AT392/eco)^n),alpha*fck),0)</f>
      </c>
    </row>
    <row r="393" spans="1:47" x14ac:dyDescent="0.25">
      <c r="A393">
        <f>Mesh!A390</f>
      </c>
      <c r="B393" s="12">
        <f>Mesh!B390</f>
      </c>
      <c r="C393" s="12">
        <f>Mesh!C390</f>
      </c>
      <c r="D393" s="12">
        <f>Mesh!D390</f>
      </c>
      <c r="E393" s="30">
        <f>INDEX(St_e0,Det+1)+INDEX(St_kx,Det+1)*C393+INDEX(St_ky,Det+1)*B393</f>
      </c>
      <c r="F393" s="12">
        <f>IF(E393&gt;0,IF(E393&lt;=eco,alpha*fck*(1-(1-E393/eco)^n),alpha*fck),0)</f>
      </c>
      <c r="G393" s="11">
        <f>F393*D393</f>
      </c>
      <c r="H393" s="11">
        <f>G393*C393</f>
      </c>
      <c r="I393" s="11">
        <f>G393*B393</f>
      </c>
      <c r="J393" s="30">
        <f>PM_Angle!$J$7+PM_Angle!$K$7*$C393+PM_Angle!$L$7*$B393</f>
      </c>
      <c r="K393" s="12">
        <f>IF(J393&gt;0,IF(J393&lt;=eco,alpha*fck*(1-(1-J393/eco)^n),alpha*fck),0)</f>
      </c>
      <c r="L393" s="30">
        <f>PM_Angle!$J$8+PM_Angle!$K$8*$C393+PM_Angle!$L$8*$B393</f>
      </c>
      <c r="M393" s="12">
        <f>IF(L393&gt;0,IF(L393&lt;=eco,alpha*fck*(1-(1-L393/eco)^n),alpha*fck),0)</f>
      </c>
      <c r="N393" s="30">
        <f>PM_Angle!$J$9+PM_Angle!$K$9*$C393+PM_Angle!$L$9*$B393</f>
      </c>
      <c r="O393" s="12">
        <f>IF(N393&gt;0,IF(N393&lt;=eco,alpha*fck*(1-(1-N393/eco)^n),alpha*fck),0)</f>
      </c>
      <c r="P393" s="30">
        <f>PM_Angle!$J$10+PM_Angle!$K$10*$C393+PM_Angle!$L$10*$B393</f>
      </c>
      <c r="Q393" s="12">
        <f>IF(P393&gt;0,IF(P393&lt;=eco,alpha*fck*(1-(1-P393/eco)^n),alpha*fck),0)</f>
      </c>
      <c r="R393" s="30">
        <f>PM_Angle!$J$11+PM_Angle!$K$11*$C393+PM_Angle!$L$11*$B393</f>
      </c>
      <c r="S393" s="12">
        <f>IF(R393&gt;0,IF(R393&lt;=eco,alpha*fck*(1-(1-R393/eco)^n),alpha*fck),0)</f>
      </c>
      <c r="T393" s="30">
        <f>PM_Angle!$J$12+PM_Angle!$K$12*$C393+PM_Angle!$L$12*$B393</f>
      </c>
      <c r="U393" s="12">
        <f>IF(T393&gt;0,IF(T393&lt;=eco,alpha*fck*(1-(1-T393/eco)^n),alpha*fck),0)</f>
      </c>
      <c r="V393" s="30">
        <f>PM_Angle!$J$13+PM_Angle!$K$13*$C393+PM_Angle!$L$13*$B393</f>
      </c>
      <c r="W393" s="12">
        <f>IF(V393&gt;0,IF(V393&lt;=eco,alpha*fck*(1-(1-V393/eco)^n),alpha*fck),0)</f>
      </c>
      <c r="X393" s="30">
        <f>PM_Angle!$J$14+PM_Angle!$K$14*$C393+PM_Angle!$L$14*$B393</f>
      </c>
      <c r="Y393" s="12">
        <f>IF(X393&gt;0,IF(X393&lt;=eco,alpha*fck*(1-(1-X393/eco)^n),alpha*fck),0)</f>
      </c>
      <c r="Z393" s="30">
        <f>PM_Angle!$J$15+PM_Angle!$K$15*$C393+PM_Angle!$L$15*$B393</f>
      </c>
      <c r="AA393" s="12">
        <f>IF(Z393&gt;0,IF(Z393&lt;=eco,alpha*fck*(1-(1-Z393/eco)^n),alpha*fck),0)</f>
      </c>
      <c r="AB393" s="30">
        <f>PM_Angle!$J$16+PM_Angle!$K$16*$C393+PM_Angle!$L$16*$B393</f>
      </c>
      <c r="AC393" s="12">
        <f>IF(AB393&gt;0,IF(AB393&lt;=eco,alpha*fck*(1-(1-AB393/eco)^n),alpha*fck),0)</f>
      </c>
      <c r="AD393" s="30">
        <f>PM_Angle!$J$17+PM_Angle!$K$17*$C393+PM_Angle!$L$17*$B393</f>
      </c>
      <c r="AE393" s="12">
        <f>IF(AD393&gt;0,IF(AD393&lt;=eco,alpha*fck*(1-(1-AD393/eco)^n),alpha*fck),0)</f>
      </c>
      <c r="AF393" s="30">
        <f>PM_Angle!$J$18+PM_Angle!$K$18*$C393+PM_Angle!$L$18*$B393</f>
      </c>
      <c r="AG393" s="12">
        <f>IF(AF393&gt;0,IF(AF393&lt;=eco,alpha*fck*(1-(1-AF393/eco)^n),alpha*fck),0)</f>
      </c>
      <c r="AH393" s="30">
        <f>PM_Angle!$J$19+PM_Angle!$K$19*$C393+PM_Angle!$L$19*$B393</f>
      </c>
      <c r="AI393" s="12">
        <f>IF(AH393&gt;0,IF(AH393&lt;=eco,alpha*fck*(1-(1-AH393/eco)^n),alpha*fck),0)</f>
      </c>
      <c r="AJ393" s="30">
        <f>PM_Angle!$J$20+PM_Angle!$K$20*$C393+PM_Angle!$L$20*$B393</f>
      </c>
      <c r="AK393" s="12">
        <f>IF(AJ393&gt;0,IF(AJ393&lt;=eco,alpha*fck*(1-(1-AJ393/eco)^n),alpha*fck),0)</f>
      </c>
      <c r="AL393" s="30">
        <f>PM_Angle!$J$21+PM_Angle!$K$21*$C393+PM_Angle!$L$21*$B393</f>
      </c>
      <c r="AM393" s="12">
        <f>IF(AL393&gt;0,IF(AL393&lt;=eco,alpha*fck*(1-(1-AL393/eco)^n),alpha*fck),0)</f>
      </c>
      <c r="AN393" s="30">
        <f>PM_Angle!$J$22+PM_Angle!$K$22*$C393+PM_Angle!$L$22*$B393</f>
      </c>
      <c r="AO393" s="12">
        <f>IF(AN393&gt;0,IF(AN393&lt;=eco,alpha*fck*(1-(1-AN393/eco)^n),alpha*fck),0)</f>
      </c>
      <c r="AP393" s="30">
        <f>PM_Angle!$J$23+PM_Angle!$K$23*$C393+PM_Angle!$L$23*$B393</f>
      </c>
      <c r="AQ393" s="12">
        <f>IF(AP393&gt;0,IF(AP393&lt;=eco,alpha*fck*(1-(1-AP393/eco)^n),alpha*fck),0)</f>
      </c>
      <c r="AR393" s="30">
        <f>PM_Angle!$J$24+PM_Angle!$K$24*$C393+PM_Angle!$L$24*$B393</f>
      </c>
      <c r="AS393" s="12">
        <f>IF(AR393&gt;0,IF(AR393&lt;=eco,alpha*fck*(1-(1-AR393/eco)^n),alpha*fck),0)</f>
      </c>
      <c r="AT393" s="30">
        <f>PM_Angle!$J$25+PM_Angle!$K$25*$C393+PM_Angle!$L$25*$B393</f>
      </c>
      <c r="AU393" s="12">
        <f>IF(AT393&gt;0,IF(AT393&lt;=eco,alpha*fck*(1-(1-AT393/eco)^n),alpha*fck),0)</f>
      </c>
    </row>
    <row r="394" spans="1:47" x14ac:dyDescent="0.25">
      <c r="A394">
        <f>Mesh!A391</f>
      </c>
      <c r="B394" s="12">
        <f>Mesh!B391</f>
      </c>
      <c r="C394" s="12">
        <f>Mesh!C391</f>
      </c>
      <c r="D394" s="12">
        <f>Mesh!D391</f>
      </c>
      <c r="E394" s="30">
        <f>INDEX(St_e0,Det+1)+INDEX(St_kx,Det+1)*C394+INDEX(St_ky,Det+1)*B394</f>
      </c>
      <c r="F394" s="12">
        <f>IF(E394&gt;0,IF(E394&lt;=eco,alpha*fck*(1-(1-E394/eco)^n),alpha*fck),0)</f>
      </c>
      <c r="G394" s="11">
        <f>F394*D394</f>
      </c>
      <c r="H394" s="11">
        <f>G394*C394</f>
      </c>
      <c r="I394" s="11">
        <f>G394*B394</f>
      </c>
      <c r="J394" s="30">
        <f>PM_Angle!$J$7+PM_Angle!$K$7*$C394+PM_Angle!$L$7*$B394</f>
      </c>
      <c r="K394" s="12">
        <f>IF(J394&gt;0,IF(J394&lt;=eco,alpha*fck*(1-(1-J394/eco)^n),alpha*fck),0)</f>
      </c>
      <c r="L394" s="30">
        <f>PM_Angle!$J$8+PM_Angle!$K$8*$C394+PM_Angle!$L$8*$B394</f>
      </c>
      <c r="M394" s="12">
        <f>IF(L394&gt;0,IF(L394&lt;=eco,alpha*fck*(1-(1-L394/eco)^n),alpha*fck),0)</f>
      </c>
      <c r="N394" s="30">
        <f>PM_Angle!$J$9+PM_Angle!$K$9*$C394+PM_Angle!$L$9*$B394</f>
      </c>
      <c r="O394" s="12">
        <f>IF(N394&gt;0,IF(N394&lt;=eco,alpha*fck*(1-(1-N394/eco)^n),alpha*fck),0)</f>
      </c>
      <c r="P394" s="30">
        <f>PM_Angle!$J$10+PM_Angle!$K$10*$C394+PM_Angle!$L$10*$B394</f>
      </c>
      <c r="Q394" s="12">
        <f>IF(P394&gt;0,IF(P394&lt;=eco,alpha*fck*(1-(1-P394/eco)^n),alpha*fck),0)</f>
      </c>
      <c r="R394" s="30">
        <f>PM_Angle!$J$11+PM_Angle!$K$11*$C394+PM_Angle!$L$11*$B394</f>
      </c>
      <c r="S394" s="12">
        <f>IF(R394&gt;0,IF(R394&lt;=eco,alpha*fck*(1-(1-R394/eco)^n),alpha*fck),0)</f>
      </c>
      <c r="T394" s="30">
        <f>PM_Angle!$J$12+PM_Angle!$K$12*$C394+PM_Angle!$L$12*$B394</f>
      </c>
      <c r="U394" s="12">
        <f>IF(T394&gt;0,IF(T394&lt;=eco,alpha*fck*(1-(1-T394/eco)^n),alpha*fck),0)</f>
      </c>
      <c r="V394" s="30">
        <f>PM_Angle!$J$13+PM_Angle!$K$13*$C394+PM_Angle!$L$13*$B394</f>
      </c>
      <c r="W394" s="12">
        <f>IF(V394&gt;0,IF(V394&lt;=eco,alpha*fck*(1-(1-V394/eco)^n),alpha*fck),0)</f>
      </c>
      <c r="X394" s="30">
        <f>PM_Angle!$J$14+PM_Angle!$K$14*$C394+PM_Angle!$L$14*$B394</f>
      </c>
      <c r="Y394" s="12">
        <f>IF(X394&gt;0,IF(X394&lt;=eco,alpha*fck*(1-(1-X394/eco)^n),alpha*fck),0)</f>
      </c>
      <c r="Z394" s="30">
        <f>PM_Angle!$J$15+PM_Angle!$K$15*$C394+PM_Angle!$L$15*$B394</f>
      </c>
      <c r="AA394" s="12">
        <f>IF(Z394&gt;0,IF(Z394&lt;=eco,alpha*fck*(1-(1-Z394/eco)^n),alpha*fck),0)</f>
      </c>
      <c r="AB394" s="30">
        <f>PM_Angle!$J$16+PM_Angle!$K$16*$C394+PM_Angle!$L$16*$B394</f>
      </c>
      <c r="AC394" s="12">
        <f>IF(AB394&gt;0,IF(AB394&lt;=eco,alpha*fck*(1-(1-AB394/eco)^n),alpha*fck),0)</f>
      </c>
      <c r="AD394" s="30">
        <f>PM_Angle!$J$17+PM_Angle!$K$17*$C394+PM_Angle!$L$17*$B394</f>
      </c>
      <c r="AE394" s="12">
        <f>IF(AD394&gt;0,IF(AD394&lt;=eco,alpha*fck*(1-(1-AD394/eco)^n),alpha*fck),0)</f>
      </c>
      <c r="AF394" s="30">
        <f>PM_Angle!$J$18+PM_Angle!$K$18*$C394+PM_Angle!$L$18*$B394</f>
      </c>
      <c r="AG394" s="12">
        <f>IF(AF394&gt;0,IF(AF394&lt;=eco,alpha*fck*(1-(1-AF394/eco)^n),alpha*fck),0)</f>
      </c>
      <c r="AH394" s="30">
        <f>PM_Angle!$J$19+PM_Angle!$K$19*$C394+PM_Angle!$L$19*$B394</f>
      </c>
      <c r="AI394" s="12">
        <f>IF(AH394&gt;0,IF(AH394&lt;=eco,alpha*fck*(1-(1-AH394/eco)^n),alpha*fck),0)</f>
      </c>
      <c r="AJ394" s="30">
        <f>PM_Angle!$J$20+PM_Angle!$K$20*$C394+PM_Angle!$L$20*$B394</f>
      </c>
      <c r="AK394" s="12">
        <f>IF(AJ394&gt;0,IF(AJ394&lt;=eco,alpha*fck*(1-(1-AJ394/eco)^n),alpha*fck),0)</f>
      </c>
      <c r="AL394" s="30">
        <f>PM_Angle!$J$21+PM_Angle!$K$21*$C394+PM_Angle!$L$21*$B394</f>
      </c>
      <c r="AM394" s="12">
        <f>IF(AL394&gt;0,IF(AL394&lt;=eco,alpha*fck*(1-(1-AL394/eco)^n),alpha*fck),0)</f>
      </c>
      <c r="AN394" s="30">
        <f>PM_Angle!$J$22+PM_Angle!$K$22*$C394+PM_Angle!$L$22*$B394</f>
      </c>
      <c r="AO394" s="12">
        <f>IF(AN394&gt;0,IF(AN394&lt;=eco,alpha*fck*(1-(1-AN394/eco)^n),alpha*fck),0)</f>
      </c>
      <c r="AP394" s="30">
        <f>PM_Angle!$J$23+PM_Angle!$K$23*$C394+PM_Angle!$L$23*$B394</f>
      </c>
      <c r="AQ394" s="12">
        <f>IF(AP394&gt;0,IF(AP394&lt;=eco,alpha*fck*(1-(1-AP394/eco)^n),alpha*fck),0)</f>
      </c>
      <c r="AR394" s="30">
        <f>PM_Angle!$J$24+PM_Angle!$K$24*$C394+PM_Angle!$L$24*$B394</f>
      </c>
      <c r="AS394" s="12">
        <f>IF(AR394&gt;0,IF(AR394&lt;=eco,alpha*fck*(1-(1-AR394/eco)^n),alpha*fck),0)</f>
      </c>
      <c r="AT394" s="30">
        <f>PM_Angle!$J$25+PM_Angle!$K$25*$C394+PM_Angle!$L$25*$B394</f>
      </c>
      <c r="AU394" s="12">
        <f>IF(AT394&gt;0,IF(AT394&lt;=eco,alpha*fck*(1-(1-AT394/eco)^n),alpha*fck),0)</f>
      </c>
    </row>
    <row r="395" spans="1:47" x14ac:dyDescent="0.25">
      <c r="A395">
        <f>Mesh!A392</f>
      </c>
      <c r="B395" s="12">
        <f>Mesh!B392</f>
      </c>
      <c r="C395" s="12">
        <f>Mesh!C392</f>
      </c>
      <c r="D395" s="12">
        <f>Mesh!D392</f>
      </c>
      <c r="E395" s="30">
        <f>INDEX(St_e0,Det+1)+INDEX(St_kx,Det+1)*C395+INDEX(St_ky,Det+1)*B395</f>
      </c>
      <c r="F395" s="12">
        <f>IF(E395&gt;0,IF(E395&lt;=eco,alpha*fck*(1-(1-E395/eco)^n),alpha*fck),0)</f>
      </c>
      <c r="G395" s="11">
        <f>F395*D395</f>
      </c>
      <c r="H395" s="11">
        <f>G395*C395</f>
      </c>
      <c r="I395" s="11">
        <f>G395*B395</f>
      </c>
      <c r="J395" s="30">
        <f>PM_Angle!$J$7+PM_Angle!$K$7*$C395+PM_Angle!$L$7*$B395</f>
      </c>
      <c r="K395" s="12">
        <f>IF(J395&gt;0,IF(J395&lt;=eco,alpha*fck*(1-(1-J395/eco)^n),alpha*fck),0)</f>
      </c>
      <c r="L395" s="30">
        <f>PM_Angle!$J$8+PM_Angle!$K$8*$C395+PM_Angle!$L$8*$B395</f>
      </c>
      <c r="M395" s="12">
        <f>IF(L395&gt;0,IF(L395&lt;=eco,alpha*fck*(1-(1-L395/eco)^n),alpha*fck),0)</f>
      </c>
      <c r="N395" s="30">
        <f>PM_Angle!$J$9+PM_Angle!$K$9*$C395+PM_Angle!$L$9*$B395</f>
      </c>
      <c r="O395" s="12">
        <f>IF(N395&gt;0,IF(N395&lt;=eco,alpha*fck*(1-(1-N395/eco)^n),alpha*fck),0)</f>
      </c>
      <c r="P395" s="30">
        <f>PM_Angle!$J$10+PM_Angle!$K$10*$C395+PM_Angle!$L$10*$B395</f>
      </c>
      <c r="Q395" s="12">
        <f>IF(P395&gt;0,IF(P395&lt;=eco,alpha*fck*(1-(1-P395/eco)^n),alpha*fck),0)</f>
      </c>
      <c r="R395" s="30">
        <f>PM_Angle!$J$11+PM_Angle!$K$11*$C395+PM_Angle!$L$11*$B395</f>
      </c>
      <c r="S395" s="12">
        <f>IF(R395&gt;0,IF(R395&lt;=eco,alpha*fck*(1-(1-R395/eco)^n),alpha*fck),0)</f>
      </c>
      <c r="T395" s="30">
        <f>PM_Angle!$J$12+PM_Angle!$K$12*$C395+PM_Angle!$L$12*$B395</f>
      </c>
      <c r="U395" s="12">
        <f>IF(T395&gt;0,IF(T395&lt;=eco,alpha*fck*(1-(1-T395/eco)^n),alpha*fck),0)</f>
      </c>
      <c r="V395" s="30">
        <f>PM_Angle!$J$13+PM_Angle!$K$13*$C395+PM_Angle!$L$13*$B395</f>
      </c>
      <c r="W395" s="12">
        <f>IF(V395&gt;0,IF(V395&lt;=eco,alpha*fck*(1-(1-V395/eco)^n),alpha*fck),0)</f>
      </c>
      <c r="X395" s="30">
        <f>PM_Angle!$J$14+PM_Angle!$K$14*$C395+PM_Angle!$L$14*$B395</f>
      </c>
      <c r="Y395" s="12">
        <f>IF(X395&gt;0,IF(X395&lt;=eco,alpha*fck*(1-(1-X395/eco)^n),alpha*fck),0)</f>
      </c>
      <c r="Z395" s="30">
        <f>PM_Angle!$J$15+PM_Angle!$K$15*$C395+PM_Angle!$L$15*$B395</f>
      </c>
      <c r="AA395" s="12">
        <f>IF(Z395&gt;0,IF(Z395&lt;=eco,alpha*fck*(1-(1-Z395/eco)^n),alpha*fck),0)</f>
      </c>
      <c r="AB395" s="30">
        <f>PM_Angle!$J$16+PM_Angle!$K$16*$C395+PM_Angle!$L$16*$B395</f>
      </c>
      <c r="AC395" s="12">
        <f>IF(AB395&gt;0,IF(AB395&lt;=eco,alpha*fck*(1-(1-AB395/eco)^n),alpha*fck),0)</f>
      </c>
      <c r="AD395" s="30">
        <f>PM_Angle!$J$17+PM_Angle!$K$17*$C395+PM_Angle!$L$17*$B395</f>
      </c>
      <c r="AE395" s="12">
        <f>IF(AD395&gt;0,IF(AD395&lt;=eco,alpha*fck*(1-(1-AD395/eco)^n),alpha*fck),0)</f>
      </c>
      <c r="AF395" s="30">
        <f>PM_Angle!$J$18+PM_Angle!$K$18*$C395+PM_Angle!$L$18*$B395</f>
      </c>
      <c r="AG395" s="12">
        <f>IF(AF395&gt;0,IF(AF395&lt;=eco,alpha*fck*(1-(1-AF395/eco)^n),alpha*fck),0)</f>
      </c>
      <c r="AH395" s="30">
        <f>PM_Angle!$J$19+PM_Angle!$K$19*$C395+PM_Angle!$L$19*$B395</f>
      </c>
      <c r="AI395" s="12">
        <f>IF(AH395&gt;0,IF(AH395&lt;=eco,alpha*fck*(1-(1-AH395/eco)^n),alpha*fck),0)</f>
      </c>
      <c r="AJ395" s="30">
        <f>PM_Angle!$J$20+PM_Angle!$K$20*$C395+PM_Angle!$L$20*$B395</f>
      </c>
      <c r="AK395" s="12">
        <f>IF(AJ395&gt;0,IF(AJ395&lt;=eco,alpha*fck*(1-(1-AJ395/eco)^n),alpha*fck),0)</f>
      </c>
      <c r="AL395" s="30">
        <f>PM_Angle!$J$21+PM_Angle!$K$21*$C395+PM_Angle!$L$21*$B395</f>
      </c>
      <c r="AM395" s="12">
        <f>IF(AL395&gt;0,IF(AL395&lt;=eco,alpha*fck*(1-(1-AL395/eco)^n),alpha*fck),0)</f>
      </c>
      <c r="AN395" s="30">
        <f>PM_Angle!$J$22+PM_Angle!$K$22*$C395+PM_Angle!$L$22*$B395</f>
      </c>
      <c r="AO395" s="12">
        <f>IF(AN395&gt;0,IF(AN395&lt;=eco,alpha*fck*(1-(1-AN395/eco)^n),alpha*fck),0)</f>
      </c>
      <c r="AP395" s="30">
        <f>PM_Angle!$J$23+PM_Angle!$K$23*$C395+PM_Angle!$L$23*$B395</f>
      </c>
      <c r="AQ395" s="12">
        <f>IF(AP395&gt;0,IF(AP395&lt;=eco,alpha*fck*(1-(1-AP395/eco)^n),alpha*fck),0)</f>
      </c>
      <c r="AR395" s="30">
        <f>PM_Angle!$J$24+PM_Angle!$K$24*$C395+PM_Angle!$L$24*$B395</f>
      </c>
      <c r="AS395" s="12">
        <f>IF(AR395&gt;0,IF(AR395&lt;=eco,alpha*fck*(1-(1-AR395/eco)^n),alpha*fck),0)</f>
      </c>
      <c r="AT395" s="30">
        <f>PM_Angle!$J$25+PM_Angle!$K$25*$C395+PM_Angle!$L$25*$B395</f>
      </c>
      <c r="AU395" s="12">
        <f>IF(AT395&gt;0,IF(AT395&lt;=eco,alpha*fck*(1-(1-AT395/eco)^n),alpha*fck),0)</f>
      </c>
    </row>
    <row r="396" spans="1:47" x14ac:dyDescent="0.25">
      <c r="A396">
        <f>Mesh!A393</f>
      </c>
      <c r="B396" s="12">
        <f>Mesh!B393</f>
      </c>
      <c r="C396" s="12">
        <f>Mesh!C393</f>
      </c>
      <c r="D396" s="12">
        <f>Mesh!D393</f>
      </c>
      <c r="E396" s="30">
        <f>INDEX(St_e0,Det+1)+INDEX(St_kx,Det+1)*C396+INDEX(St_ky,Det+1)*B396</f>
      </c>
      <c r="F396" s="12">
        <f>IF(E396&gt;0,IF(E396&lt;=eco,alpha*fck*(1-(1-E396/eco)^n),alpha*fck),0)</f>
      </c>
      <c r="G396" s="11">
        <f>F396*D396</f>
      </c>
      <c r="H396" s="11">
        <f>G396*C396</f>
      </c>
      <c r="I396" s="11">
        <f>G396*B396</f>
      </c>
      <c r="J396" s="30">
        <f>PM_Angle!$J$7+PM_Angle!$K$7*$C396+PM_Angle!$L$7*$B396</f>
      </c>
      <c r="K396" s="12">
        <f>IF(J396&gt;0,IF(J396&lt;=eco,alpha*fck*(1-(1-J396/eco)^n),alpha*fck),0)</f>
      </c>
      <c r="L396" s="30">
        <f>PM_Angle!$J$8+PM_Angle!$K$8*$C396+PM_Angle!$L$8*$B396</f>
      </c>
      <c r="M396" s="12">
        <f>IF(L396&gt;0,IF(L396&lt;=eco,alpha*fck*(1-(1-L396/eco)^n),alpha*fck),0)</f>
      </c>
      <c r="N396" s="30">
        <f>PM_Angle!$J$9+PM_Angle!$K$9*$C396+PM_Angle!$L$9*$B396</f>
      </c>
      <c r="O396" s="12">
        <f>IF(N396&gt;0,IF(N396&lt;=eco,alpha*fck*(1-(1-N396/eco)^n),alpha*fck),0)</f>
      </c>
      <c r="P396" s="30">
        <f>PM_Angle!$J$10+PM_Angle!$K$10*$C396+PM_Angle!$L$10*$B396</f>
      </c>
      <c r="Q396" s="12">
        <f>IF(P396&gt;0,IF(P396&lt;=eco,alpha*fck*(1-(1-P396/eco)^n),alpha*fck),0)</f>
      </c>
      <c r="R396" s="30">
        <f>PM_Angle!$J$11+PM_Angle!$K$11*$C396+PM_Angle!$L$11*$B396</f>
      </c>
      <c r="S396" s="12">
        <f>IF(R396&gt;0,IF(R396&lt;=eco,alpha*fck*(1-(1-R396/eco)^n),alpha*fck),0)</f>
      </c>
      <c r="T396" s="30">
        <f>PM_Angle!$J$12+PM_Angle!$K$12*$C396+PM_Angle!$L$12*$B396</f>
      </c>
      <c r="U396" s="12">
        <f>IF(T396&gt;0,IF(T396&lt;=eco,alpha*fck*(1-(1-T396/eco)^n),alpha*fck),0)</f>
      </c>
      <c r="V396" s="30">
        <f>PM_Angle!$J$13+PM_Angle!$K$13*$C396+PM_Angle!$L$13*$B396</f>
      </c>
      <c r="W396" s="12">
        <f>IF(V396&gt;0,IF(V396&lt;=eco,alpha*fck*(1-(1-V396/eco)^n),alpha*fck),0)</f>
      </c>
      <c r="X396" s="30">
        <f>PM_Angle!$J$14+PM_Angle!$K$14*$C396+PM_Angle!$L$14*$B396</f>
      </c>
      <c r="Y396" s="12">
        <f>IF(X396&gt;0,IF(X396&lt;=eco,alpha*fck*(1-(1-X396/eco)^n),alpha*fck),0)</f>
      </c>
      <c r="Z396" s="30">
        <f>PM_Angle!$J$15+PM_Angle!$K$15*$C396+PM_Angle!$L$15*$B396</f>
      </c>
      <c r="AA396" s="12">
        <f>IF(Z396&gt;0,IF(Z396&lt;=eco,alpha*fck*(1-(1-Z396/eco)^n),alpha*fck),0)</f>
      </c>
      <c r="AB396" s="30">
        <f>PM_Angle!$J$16+PM_Angle!$K$16*$C396+PM_Angle!$L$16*$B396</f>
      </c>
      <c r="AC396" s="12">
        <f>IF(AB396&gt;0,IF(AB396&lt;=eco,alpha*fck*(1-(1-AB396/eco)^n),alpha*fck),0)</f>
      </c>
      <c r="AD396" s="30">
        <f>PM_Angle!$J$17+PM_Angle!$K$17*$C396+PM_Angle!$L$17*$B396</f>
      </c>
      <c r="AE396" s="12">
        <f>IF(AD396&gt;0,IF(AD396&lt;=eco,alpha*fck*(1-(1-AD396/eco)^n),alpha*fck),0)</f>
      </c>
      <c r="AF396" s="30">
        <f>PM_Angle!$J$18+PM_Angle!$K$18*$C396+PM_Angle!$L$18*$B396</f>
      </c>
      <c r="AG396" s="12">
        <f>IF(AF396&gt;0,IF(AF396&lt;=eco,alpha*fck*(1-(1-AF396/eco)^n),alpha*fck),0)</f>
      </c>
      <c r="AH396" s="30">
        <f>PM_Angle!$J$19+PM_Angle!$K$19*$C396+PM_Angle!$L$19*$B396</f>
      </c>
      <c r="AI396" s="12">
        <f>IF(AH396&gt;0,IF(AH396&lt;=eco,alpha*fck*(1-(1-AH396/eco)^n),alpha*fck),0)</f>
      </c>
      <c r="AJ396" s="30">
        <f>PM_Angle!$J$20+PM_Angle!$K$20*$C396+PM_Angle!$L$20*$B396</f>
      </c>
      <c r="AK396" s="12">
        <f>IF(AJ396&gt;0,IF(AJ396&lt;=eco,alpha*fck*(1-(1-AJ396/eco)^n),alpha*fck),0)</f>
      </c>
      <c r="AL396" s="30">
        <f>PM_Angle!$J$21+PM_Angle!$K$21*$C396+PM_Angle!$L$21*$B396</f>
      </c>
      <c r="AM396" s="12">
        <f>IF(AL396&gt;0,IF(AL396&lt;=eco,alpha*fck*(1-(1-AL396/eco)^n),alpha*fck),0)</f>
      </c>
      <c r="AN396" s="30">
        <f>PM_Angle!$J$22+PM_Angle!$K$22*$C396+PM_Angle!$L$22*$B396</f>
      </c>
      <c r="AO396" s="12">
        <f>IF(AN396&gt;0,IF(AN396&lt;=eco,alpha*fck*(1-(1-AN396/eco)^n),alpha*fck),0)</f>
      </c>
      <c r="AP396" s="30">
        <f>PM_Angle!$J$23+PM_Angle!$K$23*$C396+PM_Angle!$L$23*$B396</f>
      </c>
      <c r="AQ396" s="12">
        <f>IF(AP396&gt;0,IF(AP396&lt;=eco,alpha*fck*(1-(1-AP396/eco)^n),alpha*fck),0)</f>
      </c>
      <c r="AR396" s="30">
        <f>PM_Angle!$J$24+PM_Angle!$K$24*$C396+PM_Angle!$L$24*$B396</f>
      </c>
      <c r="AS396" s="12">
        <f>IF(AR396&gt;0,IF(AR396&lt;=eco,alpha*fck*(1-(1-AR396/eco)^n),alpha*fck),0)</f>
      </c>
      <c r="AT396" s="30">
        <f>PM_Angle!$J$25+PM_Angle!$K$25*$C396+PM_Angle!$L$25*$B396</f>
      </c>
      <c r="AU396" s="12">
        <f>IF(AT396&gt;0,IF(AT396&lt;=eco,alpha*fck*(1-(1-AT396/eco)^n),alpha*fck),0)</f>
      </c>
    </row>
    <row r="397" spans="1:47" x14ac:dyDescent="0.25">
      <c r="A397">
        <f>Mesh!A394</f>
      </c>
      <c r="B397" s="12">
        <f>Mesh!B394</f>
      </c>
      <c r="C397" s="12">
        <f>Mesh!C394</f>
      </c>
      <c r="D397" s="12">
        <f>Mesh!D394</f>
      </c>
      <c r="E397" s="30">
        <f>INDEX(St_e0,Det+1)+INDEX(St_kx,Det+1)*C397+INDEX(St_ky,Det+1)*B397</f>
      </c>
      <c r="F397" s="12">
        <f>IF(E397&gt;0,IF(E397&lt;=eco,alpha*fck*(1-(1-E397/eco)^n),alpha*fck),0)</f>
      </c>
      <c r="G397" s="11">
        <f>F397*D397</f>
      </c>
      <c r="H397" s="11">
        <f>G397*C397</f>
      </c>
      <c r="I397" s="11">
        <f>G397*B397</f>
      </c>
      <c r="J397" s="30">
        <f>PM_Angle!$J$7+PM_Angle!$K$7*$C397+PM_Angle!$L$7*$B397</f>
      </c>
      <c r="K397" s="12">
        <f>IF(J397&gt;0,IF(J397&lt;=eco,alpha*fck*(1-(1-J397/eco)^n),alpha*fck),0)</f>
      </c>
      <c r="L397" s="30">
        <f>PM_Angle!$J$8+PM_Angle!$K$8*$C397+PM_Angle!$L$8*$B397</f>
      </c>
      <c r="M397" s="12">
        <f>IF(L397&gt;0,IF(L397&lt;=eco,alpha*fck*(1-(1-L397/eco)^n),alpha*fck),0)</f>
      </c>
      <c r="N397" s="30">
        <f>PM_Angle!$J$9+PM_Angle!$K$9*$C397+PM_Angle!$L$9*$B397</f>
      </c>
      <c r="O397" s="12">
        <f>IF(N397&gt;0,IF(N397&lt;=eco,alpha*fck*(1-(1-N397/eco)^n),alpha*fck),0)</f>
      </c>
      <c r="P397" s="30">
        <f>PM_Angle!$J$10+PM_Angle!$K$10*$C397+PM_Angle!$L$10*$B397</f>
      </c>
      <c r="Q397" s="12">
        <f>IF(P397&gt;0,IF(P397&lt;=eco,alpha*fck*(1-(1-P397/eco)^n),alpha*fck),0)</f>
      </c>
      <c r="R397" s="30">
        <f>PM_Angle!$J$11+PM_Angle!$K$11*$C397+PM_Angle!$L$11*$B397</f>
      </c>
      <c r="S397" s="12">
        <f>IF(R397&gt;0,IF(R397&lt;=eco,alpha*fck*(1-(1-R397/eco)^n),alpha*fck),0)</f>
      </c>
      <c r="T397" s="30">
        <f>PM_Angle!$J$12+PM_Angle!$K$12*$C397+PM_Angle!$L$12*$B397</f>
      </c>
      <c r="U397" s="12">
        <f>IF(T397&gt;0,IF(T397&lt;=eco,alpha*fck*(1-(1-T397/eco)^n),alpha*fck),0)</f>
      </c>
      <c r="V397" s="30">
        <f>PM_Angle!$J$13+PM_Angle!$K$13*$C397+PM_Angle!$L$13*$B397</f>
      </c>
      <c r="W397" s="12">
        <f>IF(V397&gt;0,IF(V397&lt;=eco,alpha*fck*(1-(1-V397/eco)^n),alpha*fck),0)</f>
      </c>
      <c r="X397" s="30">
        <f>PM_Angle!$J$14+PM_Angle!$K$14*$C397+PM_Angle!$L$14*$B397</f>
      </c>
      <c r="Y397" s="12">
        <f>IF(X397&gt;0,IF(X397&lt;=eco,alpha*fck*(1-(1-X397/eco)^n),alpha*fck),0)</f>
      </c>
      <c r="Z397" s="30">
        <f>PM_Angle!$J$15+PM_Angle!$K$15*$C397+PM_Angle!$L$15*$B397</f>
      </c>
      <c r="AA397" s="12">
        <f>IF(Z397&gt;0,IF(Z397&lt;=eco,alpha*fck*(1-(1-Z397/eco)^n),alpha*fck),0)</f>
      </c>
      <c r="AB397" s="30">
        <f>PM_Angle!$J$16+PM_Angle!$K$16*$C397+PM_Angle!$L$16*$B397</f>
      </c>
      <c r="AC397" s="12">
        <f>IF(AB397&gt;0,IF(AB397&lt;=eco,alpha*fck*(1-(1-AB397/eco)^n),alpha*fck),0)</f>
      </c>
      <c r="AD397" s="30">
        <f>PM_Angle!$J$17+PM_Angle!$K$17*$C397+PM_Angle!$L$17*$B397</f>
      </c>
      <c r="AE397" s="12">
        <f>IF(AD397&gt;0,IF(AD397&lt;=eco,alpha*fck*(1-(1-AD397/eco)^n),alpha*fck),0)</f>
      </c>
      <c r="AF397" s="30">
        <f>PM_Angle!$J$18+PM_Angle!$K$18*$C397+PM_Angle!$L$18*$B397</f>
      </c>
      <c r="AG397" s="12">
        <f>IF(AF397&gt;0,IF(AF397&lt;=eco,alpha*fck*(1-(1-AF397/eco)^n),alpha*fck),0)</f>
      </c>
      <c r="AH397" s="30">
        <f>PM_Angle!$J$19+PM_Angle!$K$19*$C397+PM_Angle!$L$19*$B397</f>
      </c>
      <c r="AI397" s="12">
        <f>IF(AH397&gt;0,IF(AH397&lt;=eco,alpha*fck*(1-(1-AH397/eco)^n),alpha*fck),0)</f>
      </c>
      <c r="AJ397" s="30">
        <f>PM_Angle!$J$20+PM_Angle!$K$20*$C397+PM_Angle!$L$20*$B397</f>
      </c>
      <c r="AK397" s="12">
        <f>IF(AJ397&gt;0,IF(AJ397&lt;=eco,alpha*fck*(1-(1-AJ397/eco)^n),alpha*fck),0)</f>
      </c>
      <c r="AL397" s="30">
        <f>PM_Angle!$J$21+PM_Angle!$K$21*$C397+PM_Angle!$L$21*$B397</f>
      </c>
      <c r="AM397" s="12">
        <f>IF(AL397&gt;0,IF(AL397&lt;=eco,alpha*fck*(1-(1-AL397/eco)^n),alpha*fck),0)</f>
      </c>
      <c r="AN397" s="30">
        <f>PM_Angle!$J$22+PM_Angle!$K$22*$C397+PM_Angle!$L$22*$B397</f>
      </c>
      <c r="AO397" s="12">
        <f>IF(AN397&gt;0,IF(AN397&lt;=eco,alpha*fck*(1-(1-AN397/eco)^n),alpha*fck),0)</f>
      </c>
      <c r="AP397" s="30">
        <f>PM_Angle!$J$23+PM_Angle!$K$23*$C397+PM_Angle!$L$23*$B397</f>
      </c>
      <c r="AQ397" s="12">
        <f>IF(AP397&gt;0,IF(AP397&lt;=eco,alpha*fck*(1-(1-AP397/eco)^n),alpha*fck),0)</f>
      </c>
      <c r="AR397" s="30">
        <f>PM_Angle!$J$24+PM_Angle!$K$24*$C397+PM_Angle!$L$24*$B397</f>
      </c>
      <c r="AS397" s="12">
        <f>IF(AR397&gt;0,IF(AR397&lt;=eco,alpha*fck*(1-(1-AR397/eco)^n),alpha*fck),0)</f>
      </c>
      <c r="AT397" s="30">
        <f>PM_Angle!$J$25+PM_Angle!$K$25*$C397+PM_Angle!$L$25*$B397</f>
      </c>
      <c r="AU397" s="12">
        <f>IF(AT397&gt;0,IF(AT397&lt;=eco,alpha*fck*(1-(1-AT397/eco)^n),alpha*fck),0)</f>
      </c>
    </row>
    <row r="398" spans="1:47" x14ac:dyDescent="0.25">
      <c r="A398">
        <f>Mesh!A395</f>
      </c>
      <c r="B398" s="12">
        <f>Mesh!B395</f>
      </c>
      <c r="C398" s="12">
        <f>Mesh!C395</f>
      </c>
      <c r="D398" s="12">
        <f>Mesh!D395</f>
      </c>
      <c r="E398" s="30">
        <f>INDEX(St_e0,Det+1)+INDEX(St_kx,Det+1)*C398+INDEX(St_ky,Det+1)*B398</f>
      </c>
      <c r="F398" s="12">
        <f>IF(E398&gt;0,IF(E398&lt;=eco,alpha*fck*(1-(1-E398/eco)^n),alpha*fck),0)</f>
      </c>
      <c r="G398" s="11">
        <f>F398*D398</f>
      </c>
      <c r="H398" s="11">
        <f>G398*C398</f>
      </c>
      <c r="I398" s="11">
        <f>G398*B398</f>
      </c>
      <c r="J398" s="30">
        <f>PM_Angle!$J$7+PM_Angle!$K$7*$C398+PM_Angle!$L$7*$B398</f>
      </c>
      <c r="K398" s="12">
        <f>IF(J398&gt;0,IF(J398&lt;=eco,alpha*fck*(1-(1-J398/eco)^n),alpha*fck),0)</f>
      </c>
      <c r="L398" s="30">
        <f>PM_Angle!$J$8+PM_Angle!$K$8*$C398+PM_Angle!$L$8*$B398</f>
      </c>
      <c r="M398" s="12">
        <f>IF(L398&gt;0,IF(L398&lt;=eco,alpha*fck*(1-(1-L398/eco)^n),alpha*fck),0)</f>
      </c>
      <c r="N398" s="30">
        <f>PM_Angle!$J$9+PM_Angle!$K$9*$C398+PM_Angle!$L$9*$B398</f>
      </c>
      <c r="O398" s="12">
        <f>IF(N398&gt;0,IF(N398&lt;=eco,alpha*fck*(1-(1-N398/eco)^n),alpha*fck),0)</f>
      </c>
      <c r="P398" s="30">
        <f>PM_Angle!$J$10+PM_Angle!$K$10*$C398+PM_Angle!$L$10*$B398</f>
      </c>
      <c r="Q398" s="12">
        <f>IF(P398&gt;0,IF(P398&lt;=eco,alpha*fck*(1-(1-P398/eco)^n),alpha*fck),0)</f>
      </c>
      <c r="R398" s="30">
        <f>PM_Angle!$J$11+PM_Angle!$K$11*$C398+PM_Angle!$L$11*$B398</f>
      </c>
      <c r="S398" s="12">
        <f>IF(R398&gt;0,IF(R398&lt;=eco,alpha*fck*(1-(1-R398/eco)^n),alpha*fck),0)</f>
      </c>
      <c r="T398" s="30">
        <f>PM_Angle!$J$12+PM_Angle!$K$12*$C398+PM_Angle!$L$12*$B398</f>
      </c>
      <c r="U398" s="12">
        <f>IF(T398&gt;0,IF(T398&lt;=eco,alpha*fck*(1-(1-T398/eco)^n),alpha*fck),0)</f>
      </c>
      <c r="V398" s="30">
        <f>PM_Angle!$J$13+PM_Angle!$K$13*$C398+PM_Angle!$L$13*$B398</f>
      </c>
      <c r="W398" s="12">
        <f>IF(V398&gt;0,IF(V398&lt;=eco,alpha*fck*(1-(1-V398/eco)^n),alpha*fck),0)</f>
      </c>
      <c r="X398" s="30">
        <f>PM_Angle!$J$14+PM_Angle!$K$14*$C398+PM_Angle!$L$14*$B398</f>
      </c>
      <c r="Y398" s="12">
        <f>IF(X398&gt;0,IF(X398&lt;=eco,alpha*fck*(1-(1-X398/eco)^n),alpha*fck),0)</f>
      </c>
      <c r="Z398" s="30">
        <f>PM_Angle!$J$15+PM_Angle!$K$15*$C398+PM_Angle!$L$15*$B398</f>
      </c>
      <c r="AA398" s="12">
        <f>IF(Z398&gt;0,IF(Z398&lt;=eco,alpha*fck*(1-(1-Z398/eco)^n),alpha*fck),0)</f>
      </c>
      <c r="AB398" s="30">
        <f>PM_Angle!$J$16+PM_Angle!$K$16*$C398+PM_Angle!$L$16*$B398</f>
      </c>
      <c r="AC398" s="12">
        <f>IF(AB398&gt;0,IF(AB398&lt;=eco,alpha*fck*(1-(1-AB398/eco)^n),alpha*fck),0)</f>
      </c>
      <c r="AD398" s="30">
        <f>PM_Angle!$J$17+PM_Angle!$K$17*$C398+PM_Angle!$L$17*$B398</f>
      </c>
      <c r="AE398" s="12">
        <f>IF(AD398&gt;0,IF(AD398&lt;=eco,alpha*fck*(1-(1-AD398/eco)^n),alpha*fck),0)</f>
      </c>
      <c r="AF398" s="30">
        <f>PM_Angle!$J$18+PM_Angle!$K$18*$C398+PM_Angle!$L$18*$B398</f>
      </c>
      <c r="AG398" s="12">
        <f>IF(AF398&gt;0,IF(AF398&lt;=eco,alpha*fck*(1-(1-AF398/eco)^n),alpha*fck),0)</f>
      </c>
      <c r="AH398" s="30">
        <f>PM_Angle!$J$19+PM_Angle!$K$19*$C398+PM_Angle!$L$19*$B398</f>
      </c>
      <c r="AI398" s="12">
        <f>IF(AH398&gt;0,IF(AH398&lt;=eco,alpha*fck*(1-(1-AH398/eco)^n),alpha*fck),0)</f>
      </c>
      <c r="AJ398" s="30">
        <f>PM_Angle!$J$20+PM_Angle!$K$20*$C398+PM_Angle!$L$20*$B398</f>
      </c>
      <c r="AK398" s="12">
        <f>IF(AJ398&gt;0,IF(AJ398&lt;=eco,alpha*fck*(1-(1-AJ398/eco)^n),alpha*fck),0)</f>
      </c>
      <c r="AL398" s="30">
        <f>PM_Angle!$J$21+PM_Angle!$K$21*$C398+PM_Angle!$L$21*$B398</f>
      </c>
      <c r="AM398" s="12">
        <f>IF(AL398&gt;0,IF(AL398&lt;=eco,alpha*fck*(1-(1-AL398/eco)^n),alpha*fck),0)</f>
      </c>
      <c r="AN398" s="30">
        <f>PM_Angle!$J$22+PM_Angle!$K$22*$C398+PM_Angle!$L$22*$B398</f>
      </c>
      <c r="AO398" s="12">
        <f>IF(AN398&gt;0,IF(AN398&lt;=eco,alpha*fck*(1-(1-AN398/eco)^n),alpha*fck),0)</f>
      </c>
      <c r="AP398" s="30">
        <f>PM_Angle!$J$23+PM_Angle!$K$23*$C398+PM_Angle!$L$23*$B398</f>
      </c>
      <c r="AQ398" s="12">
        <f>IF(AP398&gt;0,IF(AP398&lt;=eco,alpha*fck*(1-(1-AP398/eco)^n),alpha*fck),0)</f>
      </c>
      <c r="AR398" s="30">
        <f>PM_Angle!$J$24+PM_Angle!$K$24*$C398+PM_Angle!$L$24*$B398</f>
      </c>
      <c r="AS398" s="12">
        <f>IF(AR398&gt;0,IF(AR398&lt;=eco,alpha*fck*(1-(1-AR398/eco)^n),alpha*fck),0)</f>
      </c>
      <c r="AT398" s="30">
        <f>PM_Angle!$J$25+PM_Angle!$K$25*$C398+PM_Angle!$L$25*$B398</f>
      </c>
      <c r="AU398" s="12">
        <f>IF(AT398&gt;0,IF(AT398&lt;=eco,alpha*fck*(1-(1-AT398/eco)^n),alpha*fck),0)</f>
      </c>
    </row>
    <row r="399" spans="1:47" x14ac:dyDescent="0.25">
      <c r="A399">
        <f>Mesh!A396</f>
      </c>
      <c r="B399" s="12">
        <f>Mesh!B396</f>
      </c>
      <c r="C399" s="12">
        <f>Mesh!C396</f>
      </c>
      <c r="D399" s="12">
        <f>Mesh!D396</f>
      </c>
      <c r="E399" s="30">
        <f>INDEX(St_e0,Det+1)+INDEX(St_kx,Det+1)*C399+INDEX(St_ky,Det+1)*B399</f>
      </c>
      <c r="F399" s="12">
        <f>IF(E399&gt;0,IF(E399&lt;=eco,alpha*fck*(1-(1-E399/eco)^n),alpha*fck),0)</f>
      </c>
      <c r="G399" s="11">
        <f>F399*D399</f>
      </c>
      <c r="H399" s="11">
        <f>G399*C399</f>
      </c>
      <c r="I399" s="11">
        <f>G399*B399</f>
      </c>
      <c r="J399" s="30">
        <f>PM_Angle!$J$7+PM_Angle!$K$7*$C399+PM_Angle!$L$7*$B399</f>
      </c>
      <c r="K399" s="12">
        <f>IF(J399&gt;0,IF(J399&lt;=eco,alpha*fck*(1-(1-J399/eco)^n),alpha*fck),0)</f>
      </c>
      <c r="L399" s="30">
        <f>PM_Angle!$J$8+PM_Angle!$K$8*$C399+PM_Angle!$L$8*$B399</f>
      </c>
      <c r="M399" s="12">
        <f>IF(L399&gt;0,IF(L399&lt;=eco,alpha*fck*(1-(1-L399/eco)^n),alpha*fck),0)</f>
      </c>
      <c r="N399" s="30">
        <f>PM_Angle!$J$9+PM_Angle!$K$9*$C399+PM_Angle!$L$9*$B399</f>
      </c>
      <c r="O399" s="12">
        <f>IF(N399&gt;0,IF(N399&lt;=eco,alpha*fck*(1-(1-N399/eco)^n),alpha*fck),0)</f>
      </c>
      <c r="P399" s="30">
        <f>PM_Angle!$J$10+PM_Angle!$K$10*$C399+PM_Angle!$L$10*$B399</f>
      </c>
      <c r="Q399" s="12">
        <f>IF(P399&gt;0,IF(P399&lt;=eco,alpha*fck*(1-(1-P399/eco)^n),alpha*fck),0)</f>
      </c>
      <c r="R399" s="30">
        <f>PM_Angle!$J$11+PM_Angle!$K$11*$C399+PM_Angle!$L$11*$B399</f>
      </c>
      <c r="S399" s="12">
        <f>IF(R399&gt;0,IF(R399&lt;=eco,alpha*fck*(1-(1-R399/eco)^n),alpha*fck),0)</f>
      </c>
      <c r="T399" s="30">
        <f>PM_Angle!$J$12+PM_Angle!$K$12*$C399+PM_Angle!$L$12*$B399</f>
      </c>
      <c r="U399" s="12">
        <f>IF(T399&gt;0,IF(T399&lt;=eco,alpha*fck*(1-(1-T399/eco)^n),alpha*fck),0)</f>
      </c>
      <c r="V399" s="30">
        <f>PM_Angle!$J$13+PM_Angle!$K$13*$C399+PM_Angle!$L$13*$B399</f>
      </c>
      <c r="W399" s="12">
        <f>IF(V399&gt;0,IF(V399&lt;=eco,alpha*fck*(1-(1-V399/eco)^n),alpha*fck),0)</f>
      </c>
      <c r="X399" s="30">
        <f>PM_Angle!$J$14+PM_Angle!$K$14*$C399+PM_Angle!$L$14*$B399</f>
      </c>
      <c r="Y399" s="12">
        <f>IF(X399&gt;0,IF(X399&lt;=eco,alpha*fck*(1-(1-X399/eco)^n),alpha*fck),0)</f>
      </c>
      <c r="Z399" s="30">
        <f>PM_Angle!$J$15+PM_Angle!$K$15*$C399+PM_Angle!$L$15*$B399</f>
      </c>
      <c r="AA399" s="12">
        <f>IF(Z399&gt;0,IF(Z399&lt;=eco,alpha*fck*(1-(1-Z399/eco)^n),alpha*fck),0)</f>
      </c>
      <c r="AB399" s="30">
        <f>PM_Angle!$J$16+PM_Angle!$K$16*$C399+PM_Angle!$L$16*$B399</f>
      </c>
      <c r="AC399" s="12">
        <f>IF(AB399&gt;0,IF(AB399&lt;=eco,alpha*fck*(1-(1-AB399/eco)^n),alpha*fck),0)</f>
      </c>
      <c r="AD399" s="30">
        <f>PM_Angle!$J$17+PM_Angle!$K$17*$C399+PM_Angle!$L$17*$B399</f>
      </c>
      <c r="AE399" s="12">
        <f>IF(AD399&gt;0,IF(AD399&lt;=eco,alpha*fck*(1-(1-AD399/eco)^n),alpha*fck),0)</f>
      </c>
      <c r="AF399" s="30">
        <f>PM_Angle!$J$18+PM_Angle!$K$18*$C399+PM_Angle!$L$18*$B399</f>
      </c>
      <c r="AG399" s="12">
        <f>IF(AF399&gt;0,IF(AF399&lt;=eco,alpha*fck*(1-(1-AF399/eco)^n),alpha*fck),0)</f>
      </c>
      <c r="AH399" s="30">
        <f>PM_Angle!$J$19+PM_Angle!$K$19*$C399+PM_Angle!$L$19*$B399</f>
      </c>
      <c r="AI399" s="12">
        <f>IF(AH399&gt;0,IF(AH399&lt;=eco,alpha*fck*(1-(1-AH399/eco)^n),alpha*fck),0)</f>
      </c>
      <c r="AJ399" s="30">
        <f>PM_Angle!$J$20+PM_Angle!$K$20*$C399+PM_Angle!$L$20*$B399</f>
      </c>
      <c r="AK399" s="12">
        <f>IF(AJ399&gt;0,IF(AJ399&lt;=eco,alpha*fck*(1-(1-AJ399/eco)^n),alpha*fck),0)</f>
      </c>
      <c r="AL399" s="30">
        <f>PM_Angle!$J$21+PM_Angle!$K$21*$C399+PM_Angle!$L$21*$B399</f>
      </c>
      <c r="AM399" s="12">
        <f>IF(AL399&gt;0,IF(AL399&lt;=eco,alpha*fck*(1-(1-AL399/eco)^n),alpha*fck),0)</f>
      </c>
      <c r="AN399" s="30">
        <f>PM_Angle!$J$22+PM_Angle!$K$22*$C399+PM_Angle!$L$22*$B399</f>
      </c>
      <c r="AO399" s="12">
        <f>IF(AN399&gt;0,IF(AN399&lt;=eco,alpha*fck*(1-(1-AN399/eco)^n),alpha*fck),0)</f>
      </c>
      <c r="AP399" s="30">
        <f>PM_Angle!$J$23+PM_Angle!$K$23*$C399+PM_Angle!$L$23*$B399</f>
      </c>
      <c r="AQ399" s="12">
        <f>IF(AP399&gt;0,IF(AP399&lt;=eco,alpha*fck*(1-(1-AP399/eco)^n),alpha*fck),0)</f>
      </c>
      <c r="AR399" s="30">
        <f>PM_Angle!$J$24+PM_Angle!$K$24*$C399+PM_Angle!$L$24*$B399</f>
      </c>
      <c r="AS399" s="12">
        <f>IF(AR399&gt;0,IF(AR399&lt;=eco,alpha*fck*(1-(1-AR399/eco)^n),alpha*fck),0)</f>
      </c>
      <c r="AT399" s="30">
        <f>PM_Angle!$J$25+PM_Angle!$K$25*$C399+PM_Angle!$L$25*$B399</f>
      </c>
      <c r="AU399" s="12">
        <f>IF(AT399&gt;0,IF(AT399&lt;=eco,alpha*fck*(1-(1-AT399/eco)^n),alpha*fck),0)</f>
      </c>
    </row>
    <row r="400" spans="1:47" x14ac:dyDescent="0.25">
      <c r="A400">
        <f>Mesh!A397</f>
      </c>
      <c r="B400" s="12">
        <f>Mesh!B397</f>
      </c>
      <c r="C400" s="12">
        <f>Mesh!C397</f>
      </c>
      <c r="D400" s="12">
        <f>Mesh!D397</f>
      </c>
      <c r="E400" s="30">
        <f>INDEX(St_e0,Det+1)+INDEX(St_kx,Det+1)*C400+INDEX(St_ky,Det+1)*B400</f>
      </c>
      <c r="F400" s="12">
        <f>IF(E400&gt;0,IF(E400&lt;=eco,alpha*fck*(1-(1-E400/eco)^n),alpha*fck),0)</f>
      </c>
      <c r="G400" s="11">
        <f>F400*D400</f>
      </c>
      <c r="H400" s="11">
        <f>G400*C400</f>
      </c>
      <c r="I400" s="11">
        <f>G400*B400</f>
      </c>
      <c r="J400" s="30">
        <f>PM_Angle!$J$7+PM_Angle!$K$7*$C400+PM_Angle!$L$7*$B400</f>
      </c>
      <c r="K400" s="12">
        <f>IF(J400&gt;0,IF(J400&lt;=eco,alpha*fck*(1-(1-J400/eco)^n),alpha*fck),0)</f>
      </c>
      <c r="L400" s="30">
        <f>PM_Angle!$J$8+PM_Angle!$K$8*$C400+PM_Angle!$L$8*$B400</f>
      </c>
      <c r="M400" s="12">
        <f>IF(L400&gt;0,IF(L400&lt;=eco,alpha*fck*(1-(1-L400/eco)^n),alpha*fck),0)</f>
      </c>
      <c r="N400" s="30">
        <f>PM_Angle!$J$9+PM_Angle!$K$9*$C400+PM_Angle!$L$9*$B400</f>
      </c>
      <c r="O400" s="12">
        <f>IF(N400&gt;0,IF(N400&lt;=eco,alpha*fck*(1-(1-N400/eco)^n),alpha*fck),0)</f>
      </c>
      <c r="P400" s="30">
        <f>PM_Angle!$J$10+PM_Angle!$K$10*$C400+PM_Angle!$L$10*$B400</f>
      </c>
      <c r="Q400" s="12">
        <f>IF(P400&gt;0,IF(P400&lt;=eco,alpha*fck*(1-(1-P400/eco)^n),alpha*fck),0)</f>
      </c>
      <c r="R400" s="30">
        <f>PM_Angle!$J$11+PM_Angle!$K$11*$C400+PM_Angle!$L$11*$B400</f>
      </c>
      <c r="S400" s="12">
        <f>IF(R400&gt;0,IF(R400&lt;=eco,alpha*fck*(1-(1-R400/eco)^n),alpha*fck),0)</f>
      </c>
      <c r="T400" s="30">
        <f>PM_Angle!$J$12+PM_Angle!$K$12*$C400+PM_Angle!$L$12*$B400</f>
      </c>
      <c r="U400" s="12">
        <f>IF(T400&gt;0,IF(T400&lt;=eco,alpha*fck*(1-(1-T400/eco)^n),alpha*fck),0)</f>
      </c>
      <c r="V400" s="30">
        <f>PM_Angle!$J$13+PM_Angle!$K$13*$C400+PM_Angle!$L$13*$B400</f>
      </c>
      <c r="W400" s="12">
        <f>IF(V400&gt;0,IF(V400&lt;=eco,alpha*fck*(1-(1-V400/eco)^n),alpha*fck),0)</f>
      </c>
      <c r="X400" s="30">
        <f>PM_Angle!$J$14+PM_Angle!$K$14*$C400+PM_Angle!$L$14*$B400</f>
      </c>
      <c r="Y400" s="12">
        <f>IF(X400&gt;0,IF(X400&lt;=eco,alpha*fck*(1-(1-X400/eco)^n),alpha*fck),0)</f>
      </c>
      <c r="Z400" s="30">
        <f>PM_Angle!$J$15+PM_Angle!$K$15*$C400+PM_Angle!$L$15*$B400</f>
      </c>
      <c r="AA400" s="12">
        <f>IF(Z400&gt;0,IF(Z400&lt;=eco,alpha*fck*(1-(1-Z400/eco)^n),alpha*fck),0)</f>
      </c>
      <c r="AB400" s="30">
        <f>PM_Angle!$J$16+PM_Angle!$K$16*$C400+PM_Angle!$L$16*$B400</f>
      </c>
      <c r="AC400" s="12">
        <f>IF(AB400&gt;0,IF(AB400&lt;=eco,alpha*fck*(1-(1-AB400/eco)^n),alpha*fck),0)</f>
      </c>
      <c r="AD400" s="30">
        <f>PM_Angle!$J$17+PM_Angle!$K$17*$C400+PM_Angle!$L$17*$B400</f>
      </c>
      <c r="AE400" s="12">
        <f>IF(AD400&gt;0,IF(AD400&lt;=eco,alpha*fck*(1-(1-AD400/eco)^n),alpha*fck),0)</f>
      </c>
      <c r="AF400" s="30">
        <f>PM_Angle!$J$18+PM_Angle!$K$18*$C400+PM_Angle!$L$18*$B400</f>
      </c>
      <c r="AG400" s="12">
        <f>IF(AF400&gt;0,IF(AF400&lt;=eco,alpha*fck*(1-(1-AF400/eco)^n),alpha*fck),0)</f>
      </c>
      <c r="AH400" s="30">
        <f>PM_Angle!$J$19+PM_Angle!$K$19*$C400+PM_Angle!$L$19*$B400</f>
      </c>
      <c r="AI400" s="12">
        <f>IF(AH400&gt;0,IF(AH400&lt;=eco,alpha*fck*(1-(1-AH400/eco)^n),alpha*fck),0)</f>
      </c>
      <c r="AJ400" s="30">
        <f>PM_Angle!$J$20+PM_Angle!$K$20*$C400+PM_Angle!$L$20*$B400</f>
      </c>
      <c r="AK400" s="12">
        <f>IF(AJ400&gt;0,IF(AJ400&lt;=eco,alpha*fck*(1-(1-AJ400/eco)^n),alpha*fck),0)</f>
      </c>
      <c r="AL400" s="30">
        <f>PM_Angle!$J$21+PM_Angle!$K$21*$C400+PM_Angle!$L$21*$B400</f>
      </c>
      <c r="AM400" s="12">
        <f>IF(AL400&gt;0,IF(AL400&lt;=eco,alpha*fck*(1-(1-AL400/eco)^n),alpha*fck),0)</f>
      </c>
      <c r="AN400" s="30">
        <f>PM_Angle!$J$22+PM_Angle!$K$22*$C400+PM_Angle!$L$22*$B400</f>
      </c>
      <c r="AO400" s="12">
        <f>IF(AN400&gt;0,IF(AN400&lt;=eco,alpha*fck*(1-(1-AN400/eco)^n),alpha*fck),0)</f>
      </c>
      <c r="AP400" s="30">
        <f>PM_Angle!$J$23+PM_Angle!$K$23*$C400+PM_Angle!$L$23*$B400</f>
      </c>
      <c r="AQ400" s="12">
        <f>IF(AP400&gt;0,IF(AP400&lt;=eco,alpha*fck*(1-(1-AP400/eco)^n),alpha*fck),0)</f>
      </c>
      <c r="AR400" s="30">
        <f>PM_Angle!$J$24+PM_Angle!$K$24*$C400+PM_Angle!$L$24*$B400</f>
      </c>
      <c r="AS400" s="12">
        <f>IF(AR400&gt;0,IF(AR400&lt;=eco,alpha*fck*(1-(1-AR400/eco)^n),alpha*fck),0)</f>
      </c>
      <c r="AT400" s="30">
        <f>PM_Angle!$J$25+PM_Angle!$K$25*$C400+PM_Angle!$L$25*$B400</f>
      </c>
      <c r="AU400" s="12">
        <f>IF(AT400&gt;0,IF(AT400&lt;=eco,alpha*fck*(1-(1-AT400/eco)^n),alpha*fck),0)</f>
      </c>
    </row>
    <row r="401" spans="1:47" x14ac:dyDescent="0.25">
      <c r="A401">
        <f>Mesh!A398</f>
      </c>
      <c r="B401" s="12">
        <f>Mesh!B398</f>
      </c>
      <c r="C401" s="12">
        <f>Mesh!C398</f>
      </c>
      <c r="D401" s="12">
        <f>Mesh!D398</f>
      </c>
      <c r="E401" s="30">
        <f>INDEX(St_e0,Det+1)+INDEX(St_kx,Det+1)*C401+INDEX(St_ky,Det+1)*B401</f>
      </c>
      <c r="F401" s="12">
        <f>IF(E401&gt;0,IF(E401&lt;=eco,alpha*fck*(1-(1-E401/eco)^n),alpha*fck),0)</f>
      </c>
      <c r="G401" s="11">
        <f>F401*D401</f>
      </c>
      <c r="H401" s="11">
        <f>G401*C401</f>
      </c>
      <c r="I401" s="11">
        <f>G401*B401</f>
      </c>
      <c r="J401" s="30">
        <f>PM_Angle!$J$7+PM_Angle!$K$7*$C401+PM_Angle!$L$7*$B401</f>
      </c>
      <c r="K401" s="12">
        <f>IF(J401&gt;0,IF(J401&lt;=eco,alpha*fck*(1-(1-J401/eco)^n),alpha*fck),0)</f>
      </c>
      <c r="L401" s="30">
        <f>PM_Angle!$J$8+PM_Angle!$K$8*$C401+PM_Angle!$L$8*$B401</f>
      </c>
      <c r="M401" s="12">
        <f>IF(L401&gt;0,IF(L401&lt;=eco,alpha*fck*(1-(1-L401/eco)^n),alpha*fck),0)</f>
      </c>
      <c r="N401" s="30">
        <f>PM_Angle!$J$9+PM_Angle!$K$9*$C401+PM_Angle!$L$9*$B401</f>
      </c>
      <c r="O401" s="12">
        <f>IF(N401&gt;0,IF(N401&lt;=eco,alpha*fck*(1-(1-N401/eco)^n),alpha*fck),0)</f>
      </c>
      <c r="P401" s="30">
        <f>PM_Angle!$J$10+PM_Angle!$K$10*$C401+PM_Angle!$L$10*$B401</f>
      </c>
      <c r="Q401" s="12">
        <f>IF(P401&gt;0,IF(P401&lt;=eco,alpha*fck*(1-(1-P401/eco)^n),alpha*fck),0)</f>
      </c>
      <c r="R401" s="30">
        <f>PM_Angle!$J$11+PM_Angle!$K$11*$C401+PM_Angle!$L$11*$B401</f>
      </c>
      <c r="S401" s="12">
        <f>IF(R401&gt;0,IF(R401&lt;=eco,alpha*fck*(1-(1-R401/eco)^n),alpha*fck),0)</f>
      </c>
      <c r="T401" s="30">
        <f>PM_Angle!$J$12+PM_Angle!$K$12*$C401+PM_Angle!$L$12*$B401</f>
      </c>
      <c r="U401" s="12">
        <f>IF(T401&gt;0,IF(T401&lt;=eco,alpha*fck*(1-(1-T401/eco)^n),alpha*fck),0)</f>
      </c>
      <c r="V401" s="30">
        <f>PM_Angle!$J$13+PM_Angle!$K$13*$C401+PM_Angle!$L$13*$B401</f>
      </c>
      <c r="W401" s="12">
        <f>IF(V401&gt;0,IF(V401&lt;=eco,alpha*fck*(1-(1-V401/eco)^n),alpha*fck),0)</f>
      </c>
      <c r="X401" s="30">
        <f>PM_Angle!$J$14+PM_Angle!$K$14*$C401+PM_Angle!$L$14*$B401</f>
      </c>
      <c r="Y401" s="12">
        <f>IF(X401&gt;0,IF(X401&lt;=eco,alpha*fck*(1-(1-X401/eco)^n),alpha*fck),0)</f>
      </c>
      <c r="Z401" s="30">
        <f>PM_Angle!$J$15+PM_Angle!$K$15*$C401+PM_Angle!$L$15*$B401</f>
      </c>
      <c r="AA401" s="12">
        <f>IF(Z401&gt;0,IF(Z401&lt;=eco,alpha*fck*(1-(1-Z401/eco)^n),alpha*fck),0)</f>
      </c>
      <c r="AB401" s="30">
        <f>PM_Angle!$J$16+PM_Angle!$K$16*$C401+PM_Angle!$L$16*$B401</f>
      </c>
      <c r="AC401" s="12">
        <f>IF(AB401&gt;0,IF(AB401&lt;=eco,alpha*fck*(1-(1-AB401/eco)^n),alpha*fck),0)</f>
      </c>
      <c r="AD401" s="30">
        <f>PM_Angle!$J$17+PM_Angle!$K$17*$C401+PM_Angle!$L$17*$B401</f>
      </c>
      <c r="AE401" s="12">
        <f>IF(AD401&gt;0,IF(AD401&lt;=eco,alpha*fck*(1-(1-AD401/eco)^n),alpha*fck),0)</f>
      </c>
      <c r="AF401" s="30">
        <f>PM_Angle!$J$18+PM_Angle!$K$18*$C401+PM_Angle!$L$18*$B401</f>
      </c>
      <c r="AG401" s="12">
        <f>IF(AF401&gt;0,IF(AF401&lt;=eco,alpha*fck*(1-(1-AF401/eco)^n),alpha*fck),0)</f>
      </c>
      <c r="AH401" s="30">
        <f>PM_Angle!$J$19+PM_Angle!$K$19*$C401+PM_Angle!$L$19*$B401</f>
      </c>
      <c r="AI401" s="12">
        <f>IF(AH401&gt;0,IF(AH401&lt;=eco,alpha*fck*(1-(1-AH401/eco)^n),alpha*fck),0)</f>
      </c>
      <c r="AJ401" s="30">
        <f>PM_Angle!$J$20+PM_Angle!$K$20*$C401+PM_Angle!$L$20*$B401</f>
      </c>
      <c r="AK401" s="12">
        <f>IF(AJ401&gt;0,IF(AJ401&lt;=eco,alpha*fck*(1-(1-AJ401/eco)^n),alpha*fck),0)</f>
      </c>
      <c r="AL401" s="30">
        <f>PM_Angle!$J$21+PM_Angle!$K$21*$C401+PM_Angle!$L$21*$B401</f>
      </c>
      <c r="AM401" s="12">
        <f>IF(AL401&gt;0,IF(AL401&lt;=eco,alpha*fck*(1-(1-AL401/eco)^n),alpha*fck),0)</f>
      </c>
      <c r="AN401" s="30">
        <f>PM_Angle!$J$22+PM_Angle!$K$22*$C401+PM_Angle!$L$22*$B401</f>
      </c>
      <c r="AO401" s="12">
        <f>IF(AN401&gt;0,IF(AN401&lt;=eco,alpha*fck*(1-(1-AN401/eco)^n),alpha*fck),0)</f>
      </c>
      <c r="AP401" s="30">
        <f>PM_Angle!$J$23+PM_Angle!$K$23*$C401+PM_Angle!$L$23*$B401</f>
      </c>
      <c r="AQ401" s="12">
        <f>IF(AP401&gt;0,IF(AP401&lt;=eco,alpha*fck*(1-(1-AP401/eco)^n),alpha*fck),0)</f>
      </c>
      <c r="AR401" s="30">
        <f>PM_Angle!$J$24+PM_Angle!$K$24*$C401+PM_Angle!$L$24*$B401</f>
      </c>
      <c r="AS401" s="12">
        <f>IF(AR401&gt;0,IF(AR401&lt;=eco,alpha*fck*(1-(1-AR401/eco)^n),alpha*fck),0)</f>
      </c>
      <c r="AT401" s="30">
        <f>PM_Angle!$J$25+PM_Angle!$K$25*$C401+PM_Angle!$L$25*$B401</f>
      </c>
      <c r="AU401" s="12">
        <f>IF(AT401&gt;0,IF(AT401&lt;=eco,alpha*fck*(1-(1-AT401/eco)^n),alpha*fck),0)</f>
      </c>
    </row>
    <row r="402" spans="1:47" x14ac:dyDescent="0.25">
      <c r="A402">
        <f>Mesh!A399</f>
      </c>
      <c r="B402" s="12">
        <f>Mesh!B399</f>
      </c>
      <c r="C402" s="12">
        <f>Mesh!C399</f>
      </c>
      <c r="D402" s="12">
        <f>Mesh!D399</f>
      </c>
      <c r="E402" s="30">
        <f>INDEX(St_e0,Det+1)+INDEX(St_kx,Det+1)*C402+INDEX(St_ky,Det+1)*B402</f>
      </c>
      <c r="F402" s="12">
        <f>IF(E402&gt;0,IF(E402&lt;=eco,alpha*fck*(1-(1-E402/eco)^n),alpha*fck),0)</f>
      </c>
      <c r="G402" s="11">
        <f>F402*D402</f>
      </c>
      <c r="H402" s="11">
        <f>G402*C402</f>
      </c>
      <c r="I402" s="11">
        <f>G402*B402</f>
      </c>
      <c r="J402" s="30">
        <f>PM_Angle!$J$7+PM_Angle!$K$7*$C402+PM_Angle!$L$7*$B402</f>
      </c>
      <c r="K402" s="12">
        <f>IF(J402&gt;0,IF(J402&lt;=eco,alpha*fck*(1-(1-J402/eco)^n),alpha*fck),0)</f>
      </c>
      <c r="L402" s="30">
        <f>PM_Angle!$J$8+PM_Angle!$K$8*$C402+PM_Angle!$L$8*$B402</f>
      </c>
      <c r="M402" s="12">
        <f>IF(L402&gt;0,IF(L402&lt;=eco,alpha*fck*(1-(1-L402/eco)^n),alpha*fck),0)</f>
      </c>
      <c r="N402" s="30">
        <f>PM_Angle!$J$9+PM_Angle!$K$9*$C402+PM_Angle!$L$9*$B402</f>
      </c>
      <c r="O402" s="12">
        <f>IF(N402&gt;0,IF(N402&lt;=eco,alpha*fck*(1-(1-N402/eco)^n),alpha*fck),0)</f>
      </c>
      <c r="P402" s="30">
        <f>PM_Angle!$J$10+PM_Angle!$K$10*$C402+PM_Angle!$L$10*$B402</f>
      </c>
      <c r="Q402" s="12">
        <f>IF(P402&gt;0,IF(P402&lt;=eco,alpha*fck*(1-(1-P402/eco)^n),alpha*fck),0)</f>
      </c>
      <c r="R402" s="30">
        <f>PM_Angle!$J$11+PM_Angle!$K$11*$C402+PM_Angle!$L$11*$B402</f>
      </c>
      <c r="S402" s="12">
        <f>IF(R402&gt;0,IF(R402&lt;=eco,alpha*fck*(1-(1-R402/eco)^n),alpha*fck),0)</f>
      </c>
      <c r="T402" s="30">
        <f>PM_Angle!$J$12+PM_Angle!$K$12*$C402+PM_Angle!$L$12*$B402</f>
      </c>
      <c r="U402" s="12">
        <f>IF(T402&gt;0,IF(T402&lt;=eco,alpha*fck*(1-(1-T402/eco)^n),alpha*fck),0)</f>
      </c>
      <c r="V402" s="30">
        <f>PM_Angle!$J$13+PM_Angle!$K$13*$C402+PM_Angle!$L$13*$B402</f>
      </c>
      <c r="W402" s="12">
        <f>IF(V402&gt;0,IF(V402&lt;=eco,alpha*fck*(1-(1-V402/eco)^n),alpha*fck),0)</f>
      </c>
      <c r="X402" s="30">
        <f>PM_Angle!$J$14+PM_Angle!$K$14*$C402+PM_Angle!$L$14*$B402</f>
      </c>
      <c r="Y402" s="12">
        <f>IF(X402&gt;0,IF(X402&lt;=eco,alpha*fck*(1-(1-X402/eco)^n),alpha*fck),0)</f>
      </c>
      <c r="Z402" s="30">
        <f>PM_Angle!$J$15+PM_Angle!$K$15*$C402+PM_Angle!$L$15*$B402</f>
      </c>
      <c r="AA402" s="12">
        <f>IF(Z402&gt;0,IF(Z402&lt;=eco,alpha*fck*(1-(1-Z402/eco)^n),alpha*fck),0)</f>
      </c>
      <c r="AB402" s="30">
        <f>PM_Angle!$J$16+PM_Angle!$K$16*$C402+PM_Angle!$L$16*$B402</f>
      </c>
      <c r="AC402" s="12">
        <f>IF(AB402&gt;0,IF(AB402&lt;=eco,alpha*fck*(1-(1-AB402/eco)^n),alpha*fck),0)</f>
      </c>
      <c r="AD402" s="30">
        <f>PM_Angle!$J$17+PM_Angle!$K$17*$C402+PM_Angle!$L$17*$B402</f>
      </c>
      <c r="AE402" s="12">
        <f>IF(AD402&gt;0,IF(AD402&lt;=eco,alpha*fck*(1-(1-AD402/eco)^n),alpha*fck),0)</f>
      </c>
      <c r="AF402" s="30">
        <f>PM_Angle!$J$18+PM_Angle!$K$18*$C402+PM_Angle!$L$18*$B402</f>
      </c>
      <c r="AG402" s="12">
        <f>IF(AF402&gt;0,IF(AF402&lt;=eco,alpha*fck*(1-(1-AF402/eco)^n),alpha*fck),0)</f>
      </c>
      <c r="AH402" s="30">
        <f>PM_Angle!$J$19+PM_Angle!$K$19*$C402+PM_Angle!$L$19*$B402</f>
      </c>
      <c r="AI402" s="12">
        <f>IF(AH402&gt;0,IF(AH402&lt;=eco,alpha*fck*(1-(1-AH402/eco)^n),alpha*fck),0)</f>
      </c>
      <c r="AJ402" s="30">
        <f>PM_Angle!$J$20+PM_Angle!$K$20*$C402+PM_Angle!$L$20*$B402</f>
      </c>
      <c r="AK402" s="12">
        <f>IF(AJ402&gt;0,IF(AJ402&lt;=eco,alpha*fck*(1-(1-AJ402/eco)^n),alpha*fck),0)</f>
      </c>
      <c r="AL402" s="30">
        <f>PM_Angle!$J$21+PM_Angle!$K$21*$C402+PM_Angle!$L$21*$B402</f>
      </c>
      <c r="AM402" s="12">
        <f>IF(AL402&gt;0,IF(AL402&lt;=eco,alpha*fck*(1-(1-AL402/eco)^n),alpha*fck),0)</f>
      </c>
      <c r="AN402" s="30">
        <f>PM_Angle!$J$22+PM_Angle!$K$22*$C402+PM_Angle!$L$22*$B402</f>
      </c>
      <c r="AO402" s="12">
        <f>IF(AN402&gt;0,IF(AN402&lt;=eco,alpha*fck*(1-(1-AN402/eco)^n),alpha*fck),0)</f>
      </c>
      <c r="AP402" s="30">
        <f>PM_Angle!$J$23+PM_Angle!$K$23*$C402+PM_Angle!$L$23*$B402</f>
      </c>
      <c r="AQ402" s="12">
        <f>IF(AP402&gt;0,IF(AP402&lt;=eco,alpha*fck*(1-(1-AP402/eco)^n),alpha*fck),0)</f>
      </c>
      <c r="AR402" s="30">
        <f>PM_Angle!$J$24+PM_Angle!$K$24*$C402+PM_Angle!$L$24*$B402</f>
      </c>
      <c r="AS402" s="12">
        <f>IF(AR402&gt;0,IF(AR402&lt;=eco,alpha*fck*(1-(1-AR402/eco)^n),alpha*fck),0)</f>
      </c>
      <c r="AT402" s="30">
        <f>PM_Angle!$J$25+PM_Angle!$K$25*$C402+PM_Angle!$L$25*$B402</f>
      </c>
      <c r="AU402" s="12">
        <f>IF(AT402&gt;0,IF(AT402&lt;=eco,alpha*fck*(1-(1-AT402/eco)^n),alpha*fck),0)</f>
      </c>
    </row>
    <row r="403" spans="1:47" x14ac:dyDescent="0.25">
      <c r="A403">
        <f>Mesh!A400</f>
      </c>
      <c r="B403" s="12">
        <f>Mesh!B400</f>
      </c>
      <c r="C403" s="12">
        <f>Mesh!C400</f>
      </c>
      <c r="D403" s="12">
        <f>Mesh!D400</f>
      </c>
      <c r="E403" s="30">
        <f>INDEX(St_e0,Det+1)+INDEX(St_kx,Det+1)*C403+INDEX(St_ky,Det+1)*B403</f>
      </c>
      <c r="F403" s="12">
        <f>IF(E403&gt;0,IF(E403&lt;=eco,alpha*fck*(1-(1-E403/eco)^n),alpha*fck),0)</f>
      </c>
      <c r="G403" s="11">
        <f>F403*D403</f>
      </c>
      <c r="H403" s="11">
        <f>G403*C403</f>
      </c>
      <c r="I403" s="11">
        <f>G403*B403</f>
      </c>
      <c r="J403" s="30">
        <f>PM_Angle!$J$7+PM_Angle!$K$7*$C403+PM_Angle!$L$7*$B403</f>
      </c>
      <c r="K403" s="12">
        <f>IF(J403&gt;0,IF(J403&lt;=eco,alpha*fck*(1-(1-J403/eco)^n),alpha*fck),0)</f>
      </c>
      <c r="L403" s="30">
        <f>PM_Angle!$J$8+PM_Angle!$K$8*$C403+PM_Angle!$L$8*$B403</f>
      </c>
      <c r="M403" s="12">
        <f>IF(L403&gt;0,IF(L403&lt;=eco,alpha*fck*(1-(1-L403/eco)^n),alpha*fck),0)</f>
      </c>
      <c r="N403" s="30">
        <f>PM_Angle!$J$9+PM_Angle!$K$9*$C403+PM_Angle!$L$9*$B403</f>
      </c>
      <c r="O403" s="12">
        <f>IF(N403&gt;0,IF(N403&lt;=eco,alpha*fck*(1-(1-N403/eco)^n),alpha*fck),0)</f>
      </c>
      <c r="P403" s="30">
        <f>PM_Angle!$J$10+PM_Angle!$K$10*$C403+PM_Angle!$L$10*$B403</f>
      </c>
      <c r="Q403" s="12">
        <f>IF(P403&gt;0,IF(P403&lt;=eco,alpha*fck*(1-(1-P403/eco)^n),alpha*fck),0)</f>
      </c>
      <c r="R403" s="30">
        <f>PM_Angle!$J$11+PM_Angle!$K$11*$C403+PM_Angle!$L$11*$B403</f>
      </c>
      <c r="S403" s="12">
        <f>IF(R403&gt;0,IF(R403&lt;=eco,alpha*fck*(1-(1-R403/eco)^n),alpha*fck),0)</f>
      </c>
      <c r="T403" s="30">
        <f>PM_Angle!$J$12+PM_Angle!$K$12*$C403+PM_Angle!$L$12*$B403</f>
      </c>
      <c r="U403" s="12">
        <f>IF(T403&gt;0,IF(T403&lt;=eco,alpha*fck*(1-(1-T403/eco)^n),alpha*fck),0)</f>
      </c>
      <c r="V403" s="30">
        <f>PM_Angle!$J$13+PM_Angle!$K$13*$C403+PM_Angle!$L$13*$B403</f>
      </c>
      <c r="W403" s="12">
        <f>IF(V403&gt;0,IF(V403&lt;=eco,alpha*fck*(1-(1-V403/eco)^n),alpha*fck),0)</f>
      </c>
      <c r="X403" s="30">
        <f>PM_Angle!$J$14+PM_Angle!$K$14*$C403+PM_Angle!$L$14*$B403</f>
      </c>
      <c r="Y403" s="12">
        <f>IF(X403&gt;0,IF(X403&lt;=eco,alpha*fck*(1-(1-X403/eco)^n),alpha*fck),0)</f>
      </c>
      <c r="Z403" s="30">
        <f>PM_Angle!$J$15+PM_Angle!$K$15*$C403+PM_Angle!$L$15*$B403</f>
      </c>
      <c r="AA403" s="12">
        <f>IF(Z403&gt;0,IF(Z403&lt;=eco,alpha*fck*(1-(1-Z403/eco)^n),alpha*fck),0)</f>
      </c>
      <c r="AB403" s="30">
        <f>PM_Angle!$J$16+PM_Angle!$K$16*$C403+PM_Angle!$L$16*$B403</f>
      </c>
      <c r="AC403" s="12">
        <f>IF(AB403&gt;0,IF(AB403&lt;=eco,alpha*fck*(1-(1-AB403/eco)^n),alpha*fck),0)</f>
      </c>
      <c r="AD403" s="30">
        <f>PM_Angle!$J$17+PM_Angle!$K$17*$C403+PM_Angle!$L$17*$B403</f>
      </c>
      <c r="AE403" s="12">
        <f>IF(AD403&gt;0,IF(AD403&lt;=eco,alpha*fck*(1-(1-AD403/eco)^n),alpha*fck),0)</f>
      </c>
      <c r="AF403" s="30">
        <f>PM_Angle!$J$18+PM_Angle!$K$18*$C403+PM_Angle!$L$18*$B403</f>
      </c>
      <c r="AG403" s="12">
        <f>IF(AF403&gt;0,IF(AF403&lt;=eco,alpha*fck*(1-(1-AF403/eco)^n),alpha*fck),0)</f>
      </c>
      <c r="AH403" s="30">
        <f>PM_Angle!$J$19+PM_Angle!$K$19*$C403+PM_Angle!$L$19*$B403</f>
      </c>
      <c r="AI403" s="12">
        <f>IF(AH403&gt;0,IF(AH403&lt;=eco,alpha*fck*(1-(1-AH403/eco)^n),alpha*fck),0)</f>
      </c>
      <c r="AJ403" s="30">
        <f>PM_Angle!$J$20+PM_Angle!$K$20*$C403+PM_Angle!$L$20*$B403</f>
      </c>
      <c r="AK403" s="12">
        <f>IF(AJ403&gt;0,IF(AJ403&lt;=eco,alpha*fck*(1-(1-AJ403/eco)^n),alpha*fck),0)</f>
      </c>
      <c r="AL403" s="30">
        <f>PM_Angle!$J$21+PM_Angle!$K$21*$C403+PM_Angle!$L$21*$B403</f>
      </c>
      <c r="AM403" s="12">
        <f>IF(AL403&gt;0,IF(AL403&lt;=eco,alpha*fck*(1-(1-AL403/eco)^n),alpha*fck),0)</f>
      </c>
      <c r="AN403" s="30">
        <f>PM_Angle!$J$22+PM_Angle!$K$22*$C403+PM_Angle!$L$22*$B403</f>
      </c>
      <c r="AO403" s="12">
        <f>IF(AN403&gt;0,IF(AN403&lt;=eco,alpha*fck*(1-(1-AN403/eco)^n),alpha*fck),0)</f>
      </c>
      <c r="AP403" s="30">
        <f>PM_Angle!$J$23+PM_Angle!$K$23*$C403+PM_Angle!$L$23*$B403</f>
      </c>
      <c r="AQ403" s="12">
        <f>IF(AP403&gt;0,IF(AP403&lt;=eco,alpha*fck*(1-(1-AP403/eco)^n),alpha*fck),0)</f>
      </c>
      <c r="AR403" s="30">
        <f>PM_Angle!$J$24+PM_Angle!$K$24*$C403+PM_Angle!$L$24*$B403</f>
      </c>
      <c r="AS403" s="12">
        <f>IF(AR403&gt;0,IF(AR403&lt;=eco,alpha*fck*(1-(1-AR403/eco)^n),alpha*fck),0)</f>
      </c>
      <c r="AT403" s="30">
        <f>PM_Angle!$J$25+PM_Angle!$K$25*$C403+PM_Angle!$L$25*$B403</f>
      </c>
      <c r="AU403" s="12">
        <f>IF(AT403&gt;0,IF(AT403&lt;=eco,alpha*fck*(1-(1-AT403/eco)^n),alpha*fck),0)</f>
      </c>
    </row>
    <row r="404" spans="1:47" x14ac:dyDescent="0.25">
      <c r="A404">
        <f>Mesh!A401</f>
      </c>
      <c r="B404" s="12">
        <f>Mesh!B401</f>
      </c>
      <c r="C404" s="12">
        <f>Mesh!C401</f>
      </c>
      <c r="D404" s="12">
        <f>Mesh!D401</f>
      </c>
      <c r="E404" s="30">
        <f>INDEX(St_e0,Det+1)+INDEX(St_kx,Det+1)*C404+INDEX(St_ky,Det+1)*B404</f>
      </c>
      <c r="F404" s="12">
        <f>IF(E404&gt;0,IF(E404&lt;=eco,alpha*fck*(1-(1-E404/eco)^n),alpha*fck),0)</f>
      </c>
      <c r="G404" s="11">
        <f>F404*D404</f>
      </c>
      <c r="H404" s="11">
        <f>G404*C404</f>
      </c>
      <c r="I404" s="11">
        <f>G404*B404</f>
      </c>
      <c r="J404" s="30">
        <f>PM_Angle!$J$7+PM_Angle!$K$7*$C404+PM_Angle!$L$7*$B404</f>
      </c>
      <c r="K404" s="12">
        <f>IF(J404&gt;0,IF(J404&lt;=eco,alpha*fck*(1-(1-J404/eco)^n),alpha*fck),0)</f>
      </c>
      <c r="L404" s="30">
        <f>PM_Angle!$J$8+PM_Angle!$K$8*$C404+PM_Angle!$L$8*$B404</f>
      </c>
      <c r="M404" s="12">
        <f>IF(L404&gt;0,IF(L404&lt;=eco,alpha*fck*(1-(1-L404/eco)^n),alpha*fck),0)</f>
      </c>
      <c r="N404" s="30">
        <f>PM_Angle!$J$9+PM_Angle!$K$9*$C404+PM_Angle!$L$9*$B404</f>
      </c>
      <c r="O404" s="12">
        <f>IF(N404&gt;0,IF(N404&lt;=eco,alpha*fck*(1-(1-N404/eco)^n),alpha*fck),0)</f>
      </c>
      <c r="P404" s="30">
        <f>PM_Angle!$J$10+PM_Angle!$K$10*$C404+PM_Angle!$L$10*$B404</f>
      </c>
      <c r="Q404" s="12">
        <f>IF(P404&gt;0,IF(P404&lt;=eco,alpha*fck*(1-(1-P404/eco)^n),alpha*fck),0)</f>
      </c>
      <c r="R404" s="30">
        <f>PM_Angle!$J$11+PM_Angle!$K$11*$C404+PM_Angle!$L$11*$B404</f>
      </c>
      <c r="S404" s="12">
        <f>IF(R404&gt;0,IF(R404&lt;=eco,alpha*fck*(1-(1-R404/eco)^n),alpha*fck),0)</f>
      </c>
      <c r="T404" s="30">
        <f>PM_Angle!$J$12+PM_Angle!$K$12*$C404+PM_Angle!$L$12*$B404</f>
      </c>
      <c r="U404" s="12">
        <f>IF(T404&gt;0,IF(T404&lt;=eco,alpha*fck*(1-(1-T404/eco)^n),alpha*fck),0)</f>
      </c>
      <c r="V404" s="30">
        <f>PM_Angle!$J$13+PM_Angle!$K$13*$C404+PM_Angle!$L$13*$B404</f>
      </c>
      <c r="W404" s="12">
        <f>IF(V404&gt;0,IF(V404&lt;=eco,alpha*fck*(1-(1-V404/eco)^n),alpha*fck),0)</f>
      </c>
      <c r="X404" s="30">
        <f>PM_Angle!$J$14+PM_Angle!$K$14*$C404+PM_Angle!$L$14*$B404</f>
      </c>
      <c r="Y404" s="12">
        <f>IF(X404&gt;0,IF(X404&lt;=eco,alpha*fck*(1-(1-X404/eco)^n),alpha*fck),0)</f>
      </c>
      <c r="Z404" s="30">
        <f>PM_Angle!$J$15+PM_Angle!$K$15*$C404+PM_Angle!$L$15*$B404</f>
      </c>
      <c r="AA404" s="12">
        <f>IF(Z404&gt;0,IF(Z404&lt;=eco,alpha*fck*(1-(1-Z404/eco)^n),alpha*fck),0)</f>
      </c>
      <c r="AB404" s="30">
        <f>PM_Angle!$J$16+PM_Angle!$K$16*$C404+PM_Angle!$L$16*$B404</f>
      </c>
      <c r="AC404" s="12">
        <f>IF(AB404&gt;0,IF(AB404&lt;=eco,alpha*fck*(1-(1-AB404/eco)^n),alpha*fck),0)</f>
      </c>
      <c r="AD404" s="30">
        <f>PM_Angle!$J$17+PM_Angle!$K$17*$C404+PM_Angle!$L$17*$B404</f>
      </c>
      <c r="AE404" s="12">
        <f>IF(AD404&gt;0,IF(AD404&lt;=eco,alpha*fck*(1-(1-AD404/eco)^n),alpha*fck),0)</f>
      </c>
      <c r="AF404" s="30">
        <f>PM_Angle!$J$18+PM_Angle!$K$18*$C404+PM_Angle!$L$18*$B404</f>
      </c>
      <c r="AG404" s="12">
        <f>IF(AF404&gt;0,IF(AF404&lt;=eco,alpha*fck*(1-(1-AF404/eco)^n),alpha*fck),0)</f>
      </c>
      <c r="AH404" s="30">
        <f>PM_Angle!$J$19+PM_Angle!$K$19*$C404+PM_Angle!$L$19*$B404</f>
      </c>
      <c r="AI404" s="12">
        <f>IF(AH404&gt;0,IF(AH404&lt;=eco,alpha*fck*(1-(1-AH404/eco)^n),alpha*fck),0)</f>
      </c>
      <c r="AJ404" s="30">
        <f>PM_Angle!$J$20+PM_Angle!$K$20*$C404+PM_Angle!$L$20*$B404</f>
      </c>
      <c r="AK404" s="12">
        <f>IF(AJ404&gt;0,IF(AJ404&lt;=eco,alpha*fck*(1-(1-AJ404/eco)^n),alpha*fck),0)</f>
      </c>
      <c r="AL404" s="30">
        <f>PM_Angle!$J$21+PM_Angle!$K$21*$C404+PM_Angle!$L$21*$B404</f>
      </c>
      <c r="AM404" s="12">
        <f>IF(AL404&gt;0,IF(AL404&lt;=eco,alpha*fck*(1-(1-AL404/eco)^n),alpha*fck),0)</f>
      </c>
      <c r="AN404" s="30">
        <f>PM_Angle!$J$22+PM_Angle!$K$22*$C404+PM_Angle!$L$22*$B404</f>
      </c>
      <c r="AO404" s="12">
        <f>IF(AN404&gt;0,IF(AN404&lt;=eco,alpha*fck*(1-(1-AN404/eco)^n),alpha*fck),0)</f>
      </c>
      <c r="AP404" s="30">
        <f>PM_Angle!$J$23+PM_Angle!$K$23*$C404+PM_Angle!$L$23*$B404</f>
      </c>
      <c r="AQ404" s="12">
        <f>IF(AP404&gt;0,IF(AP404&lt;=eco,alpha*fck*(1-(1-AP404/eco)^n),alpha*fck),0)</f>
      </c>
      <c r="AR404" s="30">
        <f>PM_Angle!$J$24+PM_Angle!$K$24*$C404+PM_Angle!$L$24*$B404</f>
      </c>
      <c r="AS404" s="12">
        <f>IF(AR404&gt;0,IF(AR404&lt;=eco,alpha*fck*(1-(1-AR404/eco)^n),alpha*fck),0)</f>
      </c>
      <c r="AT404" s="30">
        <f>PM_Angle!$J$25+PM_Angle!$K$25*$C404+PM_Angle!$L$25*$B404</f>
      </c>
      <c r="AU404" s="12">
        <f>IF(AT404&gt;0,IF(AT404&lt;=eco,alpha*fck*(1-(1-AT404/eco)^n),alpha*fck),0)</f>
      </c>
    </row>
    <row r="405" spans="1:47" x14ac:dyDescent="0.25">
      <c r="A405">
        <f>Mesh!A402</f>
      </c>
      <c r="B405" s="12">
        <f>Mesh!B402</f>
      </c>
      <c r="C405" s="12">
        <f>Mesh!C402</f>
      </c>
      <c r="D405" s="12">
        <f>Mesh!D402</f>
      </c>
      <c r="E405" s="30">
        <f>INDEX(St_e0,Det+1)+INDEX(St_kx,Det+1)*C405+INDEX(St_ky,Det+1)*B405</f>
      </c>
      <c r="F405" s="12">
        <f>IF(E405&gt;0,IF(E405&lt;=eco,alpha*fck*(1-(1-E405/eco)^n),alpha*fck),0)</f>
      </c>
      <c r="G405" s="11">
        <f>F405*D405</f>
      </c>
      <c r="H405" s="11">
        <f>G405*C405</f>
      </c>
      <c r="I405" s="11">
        <f>G405*B405</f>
      </c>
      <c r="J405" s="30">
        <f>PM_Angle!$J$7+PM_Angle!$K$7*$C405+PM_Angle!$L$7*$B405</f>
      </c>
      <c r="K405" s="12">
        <f>IF(J405&gt;0,IF(J405&lt;=eco,alpha*fck*(1-(1-J405/eco)^n),alpha*fck),0)</f>
      </c>
      <c r="L405" s="30">
        <f>PM_Angle!$J$8+PM_Angle!$K$8*$C405+PM_Angle!$L$8*$B405</f>
      </c>
      <c r="M405" s="12">
        <f>IF(L405&gt;0,IF(L405&lt;=eco,alpha*fck*(1-(1-L405/eco)^n),alpha*fck),0)</f>
      </c>
      <c r="N405" s="30">
        <f>PM_Angle!$J$9+PM_Angle!$K$9*$C405+PM_Angle!$L$9*$B405</f>
      </c>
      <c r="O405" s="12">
        <f>IF(N405&gt;0,IF(N405&lt;=eco,alpha*fck*(1-(1-N405/eco)^n),alpha*fck),0)</f>
      </c>
      <c r="P405" s="30">
        <f>PM_Angle!$J$10+PM_Angle!$K$10*$C405+PM_Angle!$L$10*$B405</f>
      </c>
      <c r="Q405" s="12">
        <f>IF(P405&gt;0,IF(P405&lt;=eco,alpha*fck*(1-(1-P405/eco)^n),alpha*fck),0)</f>
      </c>
      <c r="R405" s="30">
        <f>PM_Angle!$J$11+PM_Angle!$K$11*$C405+PM_Angle!$L$11*$B405</f>
      </c>
      <c r="S405" s="12">
        <f>IF(R405&gt;0,IF(R405&lt;=eco,alpha*fck*(1-(1-R405/eco)^n),alpha*fck),0)</f>
      </c>
      <c r="T405" s="30">
        <f>PM_Angle!$J$12+PM_Angle!$K$12*$C405+PM_Angle!$L$12*$B405</f>
      </c>
      <c r="U405" s="12">
        <f>IF(T405&gt;0,IF(T405&lt;=eco,alpha*fck*(1-(1-T405/eco)^n),alpha*fck),0)</f>
      </c>
      <c r="V405" s="30">
        <f>PM_Angle!$J$13+PM_Angle!$K$13*$C405+PM_Angle!$L$13*$B405</f>
      </c>
      <c r="W405" s="12">
        <f>IF(V405&gt;0,IF(V405&lt;=eco,alpha*fck*(1-(1-V405/eco)^n),alpha*fck),0)</f>
      </c>
      <c r="X405" s="30">
        <f>PM_Angle!$J$14+PM_Angle!$K$14*$C405+PM_Angle!$L$14*$B405</f>
      </c>
      <c r="Y405" s="12">
        <f>IF(X405&gt;0,IF(X405&lt;=eco,alpha*fck*(1-(1-X405/eco)^n),alpha*fck),0)</f>
      </c>
      <c r="Z405" s="30">
        <f>PM_Angle!$J$15+PM_Angle!$K$15*$C405+PM_Angle!$L$15*$B405</f>
      </c>
      <c r="AA405" s="12">
        <f>IF(Z405&gt;0,IF(Z405&lt;=eco,alpha*fck*(1-(1-Z405/eco)^n),alpha*fck),0)</f>
      </c>
      <c r="AB405" s="30">
        <f>PM_Angle!$J$16+PM_Angle!$K$16*$C405+PM_Angle!$L$16*$B405</f>
      </c>
      <c r="AC405" s="12">
        <f>IF(AB405&gt;0,IF(AB405&lt;=eco,alpha*fck*(1-(1-AB405/eco)^n),alpha*fck),0)</f>
      </c>
      <c r="AD405" s="30">
        <f>PM_Angle!$J$17+PM_Angle!$K$17*$C405+PM_Angle!$L$17*$B405</f>
      </c>
      <c r="AE405" s="12">
        <f>IF(AD405&gt;0,IF(AD405&lt;=eco,alpha*fck*(1-(1-AD405/eco)^n),alpha*fck),0)</f>
      </c>
      <c r="AF405" s="30">
        <f>PM_Angle!$J$18+PM_Angle!$K$18*$C405+PM_Angle!$L$18*$B405</f>
      </c>
      <c r="AG405" s="12">
        <f>IF(AF405&gt;0,IF(AF405&lt;=eco,alpha*fck*(1-(1-AF405/eco)^n),alpha*fck),0)</f>
      </c>
      <c r="AH405" s="30">
        <f>PM_Angle!$J$19+PM_Angle!$K$19*$C405+PM_Angle!$L$19*$B405</f>
      </c>
      <c r="AI405" s="12">
        <f>IF(AH405&gt;0,IF(AH405&lt;=eco,alpha*fck*(1-(1-AH405/eco)^n),alpha*fck),0)</f>
      </c>
      <c r="AJ405" s="30">
        <f>PM_Angle!$J$20+PM_Angle!$K$20*$C405+PM_Angle!$L$20*$B405</f>
      </c>
      <c r="AK405" s="12">
        <f>IF(AJ405&gt;0,IF(AJ405&lt;=eco,alpha*fck*(1-(1-AJ405/eco)^n),alpha*fck),0)</f>
      </c>
      <c r="AL405" s="30">
        <f>PM_Angle!$J$21+PM_Angle!$K$21*$C405+PM_Angle!$L$21*$B405</f>
      </c>
      <c r="AM405" s="12">
        <f>IF(AL405&gt;0,IF(AL405&lt;=eco,alpha*fck*(1-(1-AL405/eco)^n),alpha*fck),0)</f>
      </c>
      <c r="AN405" s="30">
        <f>PM_Angle!$J$22+PM_Angle!$K$22*$C405+PM_Angle!$L$22*$B405</f>
      </c>
      <c r="AO405" s="12">
        <f>IF(AN405&gt;0,IF(AN405&lt;=eco,alpha*fck*(1-(1-AN405/eco)^n),alpha*fck),0)</f>
      </c>
      <c r="AP405" s="30">
        <f>PM_Angle!$J$23+PM_Angle!$K$23*$C405+PM_Angle!$L$23*$B405</f>
      </c>
      <c r="AQ405" s="12">
        <f>IF(AP405&gt;0,IF(AP405&lt;=eco,alpha*fck*(1-(1-AP405/eco)^n),alpha*fck),0)</f>
      </c>
      <c r="AR405" s="30">
        <f>PM_Angle!$J$24+PM_Angle!$K$24*$C405+PM_Angle!$L$24*$B405</f>
      </c>
      <c r="AS405" s="12">
        <f>IF(AR405&gt;0,IF(AR405&lt;=eco,alpha*fck*(1-(1-AR405/eco)^n),alpha*fck),0)</f>
      </c>
      <c r="AT405" s="30">
        <f>PM_Angle!$J$25+PM_Angle!$K$25*$C405+PM_Angle!$L$25*$B405</f>
      </c>
      <c r="AU405" s="12">
        <f>IF(AT405&gt;0,IF(AT405&lt;=eco,alpha*fck*(1-(1-AT405/eco)^n),alpha*fck),0)</f>
      </c>
    </row>
    <row r="406" spans="1:47" x14ac:dyDescent="0.25">
      <c r="A406">
        <f>Mesh!A403</f>
      </c>
      <c r="B406" s="12">
        <f>Mesh!B403</f>
      </c>
      <c r="C406" s="12">
        <f>Mesh!C403</f>
      </c>
      <c r="D406" s="12">
        <f>Mesh!D403</f>
      </c>
      <c r="E406" s="30">
        <f>INDEX(St_e0,Det+1)+INDEX(St_kx,Det+1)*C406+INDEX(St_ky,Det+1)*B406</f>
      </c>
      <c r="F406" s="12">
        <f>IF(E406&gt;0,IF(E406&lt;=eco,alpha*fck*(1-(1-E406/eco)^n),alpha*fck),0)</f>
      </c>
      <c r="G406" s="11">
        <f>F406*D406</f>
      </c>
      <c r="H406" s="11">
        <f>G406*C406</f>
      </c>
      <c r="I406" s="11">
        <f>G406*B406</f>
      </c>
      <c r="J406" s="30">
        <f>PM_Angle!$J$7+PM_Angle!$K$7*$C406+PM_Angle!$L$7*$B406</f>
      </c>
      <c r="K406" s="12">
        <f>IF(J406&gt;0,IF(J406&lt;=eco,alpha*fck*(1-(1-J406/eco)^n),alpha*fck),0)</f>
      </c>
      <c r="L406" s="30">
        <f>PM_Angle!$J$8+PM_Angle!$K$8*$C406+PM_Angle!$L$8*$B406</f>
      </c>
      <c r="M406" s="12">
        <f>IF(L406&gt;0,IF(L406&lt;=eco,alpha*fck*(1-(1-L406/eco)^n),alpha*fck),0)</f>
      </c>
      <c r="N406" s="30">
        <f>PM_Angle!$J$9+PM_Angle!$K$9*$C406+PM_Angle!$L$9*$B406</f>
      </c>
      <c r="O406" s="12">
        <f>IF(N406&gt;0,IF(N406&lt;=eco,alpha*fck*(1-(1-N406/eco)^n),alpha*fck),0)</f>
      </c>
      <c r="P406" s="30">
        <f>PM_Angle!$J$10+PM_Angle!$K$10*$C406+PM_Angle!$L$10*$B406</f>
      </c>
      <c r="Q406" s="12">
        <f>IF(P406&gt;0,IF(P406&lt;=eco,alpha*fck*(1-(1-P406/eco)^n),alpha*fck),0)</f>
      </c>
      <c r="R406" s="30">
        <f>PM_Angle!$J$11+PM_Angle!$K$11*$C406+PM_Angle!$L$11*$B406</f>
      </c>
      <c r="S406" s="12">
        <f>IF(R406&gt;0,IF(R406&lt;=eco,alpha*fck*(1-(1-R406/eco)^n),alpha*fck),0)</f>
      </c>
      <c r="T406" s="30">
        <f>PM_Angle!$J$12+PM_Angle!$K$12*$C406+PM_Angle!$L$12*$B406</f>
      </c>
      <c r="U406" s="12">
        <f>IF(T406&gt;0,IF(T406&lt;=eco,alpha*fck*(1-(1-T406/eco)^n),alpha*fck),0)</f>
      </c>
      <c r="V406" s="30">
        <f>PM_Angle!$J$13+PM_Angle!$K$13*$C406+PM_Angle!$L$13*$B406</f>
      </c>
      <c r="W406" s="12">
        <f>IF(V406&gt;0,IF(V406&lt;=eco,alpha*fck*(1-(1-V406/eco)^n),alpha*fck),0)</f>
      </c>
      <c r="X406" s="30">
        <f>PM_Angle!$J$14+PM_Angle!$K$14*$C406+PM_Angle!$L$14*$B406</f>
      </c>
      <c r="Y406" s="12">
        <f>IF(X406&gt;0,IF(X406&lt;=eco,alpha*fck*(1-(1-X406/eco)^n),alpha*fck),0)</f>
      </c>
      <c r="Z406" s="30">
        <f>PM_Angle!$J$15+PM_Angle!$K$15*$C406+PM_Angle!$L$15*$B406</f>
      </c>
      <c r="AA406" s="12">
        <f>IF(Z406&gt;0,IF(Z406&lt;=eco,alpha*fck*(1-(1-Z406/eco)^n),alpha*fck),0)</f>
      </c>
      <c r="AB406" s="30">
        <f>PM_Angle!$J$16+PM_Angle!$K$16*$C406+PM_Angle!$L$16*$B406</f>
      </c>
      <c r="AC406" s="12">
        <f>IF(AB406&gt;0,IF(AB406&lt;=eco,alpha*fck*(1-(1-AB406/eco)^n),alpha*fck),0)</f>
      </c>
      <c r="AD406" s="30">
        <f>PM_Angle!$J$17+PM_Angle!$K$17*$C406+PM_Angle!$L$17*$B406</f>
      </c>
      <c r="AE406" s="12">
        <f>IF(AD406&gt;0,IF(AD406&lt;=eco,alpha*fck*(1-(1-AD406/eco)^n),alpha*fck),0)</f>
      </c>
      <c r="AF406" s="30">
        <f>PM_Angle!$J$18+PM_Angle!$K$18*$C406+PM_Angle!$L$18*$B406</f>
      </c>
      <c r="AG406" s="12">
        <f>IF(AF406&gt;0,IF(AF406&lt;=eco,alpha*fck*(1-(1-AF406/eco)^n),alpha*fck),0)</f>
      </c>
      <c r="AH406" s="30">
        <f>PM_Angle!$J$19+PM_Angle!$K$19*$C406+PM_Angle!$L$19*$B406</f>
      </c>
      <c r="AI406" s="12">
        <f>IF(AH406&gt;0,IF(AH406&lt;=eco,alpha*fck*(1-(1-AH406/eco)^n),alpha*fck),0)</f>
      </c>
      <c r="AJ406" s="30">
        <f>PM_Angle!$J$20+PM_Angle!$K$20*$C406+PM_Angle!$L$20*$B406</f>
      </c>
      <c r="AK406" s="12">
        <f>IF(AJ406&gt;0,IF(AJ406&lt;=eco,alpha*fck*(1-(1-AJ406/eco)^n),alpha*fck),0)</f>
      </c>
      <c r="AL406" s="30">
        <f>PM_Angle!$J$21+PM_Angle!$K$21*$C406+PM_Angle!$L$21*$B406</f>
      </c>
      <c r="AM406" s="12">
        <f>IF(AL406&gt;0,IF(AL406&lt;=eco,alpha*fck*(1-(1-AL406/eco)^n),alpha*fck),0)</f>
      </c>
      <c r="AN406" s="30">
        <f>PM_Angle!$J$22+PM_Angle!$K$22*$C406+PM_Angle!$L$22*$B406</f>
      </c>
      <c r="AO406" s="12">
        <f>IF(AN406&gt;0,IF(AN406&lt;=eco,alpha*fck*(1-(1-AN406/eco)^n),alpha*fck),0)</f>
      </c>
      <c r="AP406" s="30">
        <f>PM_Angle!$J$23+PM_Angle!$K$23*$C406+PM_Angle!$L$23*$B406</f>
      </c>
      <c r="AQ406" s="12">
        <f>IF(AP406&gt;0,IF(AP406&lt;=eco,alpha*fck*(1-(1-AP406/eco)^n),alpha*fck),0)</f>
      </c>
      <c r="AR406" s="30">
        <f>PM_Angle!$J$24+PM_Angle!$K$24*$C406+PM_Angle!$L$24*$B406</f>
      </c>
      <c r="AS406" s="12">
        <f>IF(AR406&gt;0,IF(AR406&lt;=eco,alpha*fck*(1-(1-AR406/eco)^n),alpha*fck),0)</f>
      </c>
      <c r="AT406" s="30">
        <f>PM_Angle!$J$25+PM_Angle!$K$25*$C406+PM_Angle!$L$25*$B406</f>
      </c>
      <c r="AU406" s="12">
        <f>IF(AT406&gt;0,IF(AT406&lt;=eco,alpha*fck*(1-(1-AT406/eco)^n),alpha*fck),0)</f>
      </c>
    </row>
    <row r="407" spans="1:47" x14ac:dyDescent="0.25">
      <c r="A407">
        <f>Mesh!A404</f>
      </c>
      <c r="B407" s="12">
        <f>Mesh!B404</f>
      </c>
      <c r="C407" s="12">
        <f>Mesh!C404</f>
      </c>
      <c r="D407" s="12">
        <f>Mesh!D404</f>
      </c>
      <c r="E407" s="30">
        <f>INDEX(St_e0,Det+1)+INDEX(St_kx,Det+1)*C407+INDEX(St_ky,Det+1)*B407</f>
      </c>
      <c r="F407" s="12">
        <f>IF(E407&gt;0,IF(E407&lt;=eco,alpha*fck*(1-(1-E407/eco)^n),alpha*fck),0)</f>
      </c>
      <c r="G407" s="11">
        <f>F407*D407</f>
      </c>
      <c r="H407" s="11">
        <f>G407*C407</f>
      </c>
      <c r="I407" s="11">
        <f>G407*B407</f>
      </c>
      <c r="J407" s="30">
        <f>PM_Angle!$J$7+PM_Angle!$K$7*$C407+PM_Angle!$L$7*$B407</f>
      </c>
      <c r="K407" s="12">
        <f>IF(J407&gt;0,IF(J407&lt;=eco,alpha*fck*(1-(1-J407/eco)^n),alpha*fck),0)</f>
      </c>
      <c r="L407" s="30">
        <f>PM_Angle!$J$8+PM_Angle!$K$8*$C407+PM_Angle!$L$8*$B407</f>
      </c>
      <c r="M407" s="12">
        <f>IF(L407&gt;0,IF(L407&lt;=eco,alpha*fck*(1-(1-L407/eco)^n),alpha*fck),0)</f>
      </c>
      <c r="N407" s="30">
        <f>PM_Angle!$J$9+PM_Angle!$K$9*$C407+PM_Angle!$L$9*$B407</f>
      </c>
      <c r="O407" s="12">
        <f>IF(N407&gt;0,IF(N407&lt;=eco,alpha*fck*(1-(1-N407/eco)^n),alpha*fck),0)</f>
      </c>
      <c r="P407" s="30">
        <f>PM_Angle!$J$10+PM_Angle!$K$10*$C407+PM_Angle!$L$10*$B407</f>
      </c>
      <c r="Q407" s="12">
        <f>IF(P407&gt;0,IF(P407&lt;=eco,alpha*fck*(1-(1-P407/eco)^n),alpha*fck),0)</f>
      </c>
      <c r="R407" s="30">
        <f>PM_Angle!$J$11+PM_Angle!$K$11*$C407+PM_Angle!$L$11*$B407</f>
      </c>
      <c r="S407" s="12">
        <f>IF(R407&gt;0,IF(R407&lt;=eco,alpha*fck*(1-(1-R407/eco)^n),alpha*fck),0)</f>
      </c>
      <c r="T407" s="30">
        <f>PM_Angle!$J$12+PM_Angle!$K$12*$C407+PM_Angle!$L$12*$B407</f>
      </c>
      <c r="U407" s="12">
        <f>IF(T407&gt;0,IF(T407&lt;=eco,alpha*fck*(1-(1-T407/eco)^n),alpha*fck),0)</f>
      </c>
      <c r="V407" s="30">
        <f>PM_Angle!$J$13+PM_Angle!$K$13*$C407+PM_Angle!$L$13*$B407</f>
      </c>
      <c r="W407" s="12">
        <f>IF(V407&gt;0,IF(V407&lt;=eco,alpha*fck*(1-(1-V407/eco)^n),alpha*fck),0)</f>
      </c>
      <c r="X407" s="30">
        <f>PM_Angle!$J$14+PM_Angle!$K$14*$C407+PM_Angle!$L$14*$B407</f>
      </c>
      <c r="Y407" s="12">
        <f>IF(X407&gt;0,IF(X407&lt;=eco,alpha*fck*(1-(1-X407/eco)^n),alpha*fck),0)</f>
      </c>
      <c r="Z407" s="30">
        <f>PM_Angle!$J$15+PM_Angle!$K$15*$C407+PM_Angle!$L$15*$B407</f>
      </c>
      <c r="AA407" s="12">
        <f>IF(Z407&gt;0,IF(Z407&lt;=eco,alpha*fck*(1-(1-Z407/eco)^n),alpha*fck),0)</f>
      </c>
      <c r="AB407" s="30">
        <f>PM_Angle!$J$16+PM_Angle!$K$16*$C407+PM_Angle!$L$16*$B407</f>
      </c>
      <c r="AC407" s="12">
        <f>IF(AB407&gt;0,IF(AB407&lt;=eco,alpha*fck*(1-(1-AB407/eco)^n),alpha*fck),0)</f>
      </c>
      <c r="AD407" s="30">
        <f>PM_Angle!$J$17+PM_Angle!$K$17*$C407+PM_Angle!$L$17*$B407</f>
      </c>
      <c r="AE407" s="12">
        <f>IF(AD407&gt;0,IF(AD407&lt;=eco,alpha*fck*(1-(1-AD407/eco)^n),alpha*fck),0)</f>
      </c>
      <c r="AF407" s="30">
        <f>PM_Angle!$J$18+PM_Angle!$K$18*$C407+PM_Angle!$L$18*$B407</f>
      </c>
      <c r="AG407" s="12">
        <f>IF(AF407&gt;0,IF(AF407&lt;=eco,alpha*fck*(1-(1-AF407/eco)^n),alpha*fck),0)</f>
      </c>
      <c r="AH407" s="30">
        <f>PM_Angle!$J$19+PM_Angle!$K$19*$C407+PM_Angle!$L$19*$B407</f>
      </c>
      <c r="AI407" s="12">
        <f>IF(AH407&gt;0,IF(AH407&lt;=eco,alpha*fck*(1-(1-AH407/eco)^n),alpha*fck),0)</f>
      </c>
      <c r="AJ407" s="30">
        <f>PM_Angle!$J$20+PM_Angle!$K$20*$C407+PM_Angle!$L$20*$B407</f>
      </c>
      <c r="AK407" s="12">
        <f>IF(AJ407&gt;0,IF(AJ407&lt;=eco,alpha*fck*(1-(1-AJ407/eco)^n),alpha*fck),0)</f>
      </c>
      <c r="AL407" s="30">
        <f>PM_Angle!$J$21+PM_Angle!$K$21*$C407+PM_Angle!$L$21*$B407</f>
      </c>
      <c r="AM407" s="12">
        <f>IF(AL407&gt;0,IF(AL407&lt;=eco,alpha*fck*(1-(1-AL407/eco)^n),alpha*fck),0)</f>
      </c>
      <c r="AN407" s="30">
        <f>PM_Angle!$J$22+PM_Angle!$K$22*$C407+PM_Angle!$L$22*$B407</f>
      </c>
      <c r="AO407" s="12">
        <f>IF(AN407&gt;0,IF(AN407&lt;=eco,alpha*fck*(1-(1-AN407/eco)^n),alpha*fck),0)</f>
      </c>
      <c r="AP407" s="30">
        <f>PM_Angle!$J$23+PM_Angle!$K$23*$C407+PM_Angle!$L$23*$B407</f>
      </c>
      <c r="AQ407" s="12">
        <f>IF(AP407&gt;0,IF(AP407&lt;=eco,alpha*fck*(1-(1-AP407/eco)^n),alpha*fck),0)</f>
      </c>
      <c r="AR407" s="30">
        <f>PM_Angle!$J$24+PM_Angle!$K$24*$C407+PM_Angle!$L$24*$B407</f>
      </c>
      <c r="AS407" s="12">
        <f>IF(AR407&gt;0,IF(AR407&lt;=eco,alpha*fck*(1-(1-AR407/eco)^n),alpha*fck),0)</f>
      </c>
      <c r="AT407" s="30">
        <f>PM_Angle!$J$25+PM_Angle!$K$25*$C407+PM_Angle!$L$25*$B407</f>
      </c>
      <c r="AU407" s="12">
        <f>IF(AT407&gt;0,IF(AT407&lt;=eco,alpha*fck*(1-(1-AT407/eco)^n),alpha*fck),0)</f>
      </c>
    </row>
    <row r="408" spans="1:47" x14ac:dyDescent="0.25">
      <c r="A408">
        <f>Mesh!A405</f>
      </c>
      <c r="B408" s="12">
        <f>Mesh!B405</f>
      </c>
      <c r="C408" s="12">
        <f>Mesh!C405</f>
      </c>
      <c r="D408" s="12">
        <f>Mesh!D405</f>
      </c>
      <c r="E408" s="30">
        <f>INDEX(St_e0,Det+1)+INDEX(St_kx,Det+1)*C408+INDEX(St_ky,Det+1)*B408</f>
      </c>
      <c r="F408" s="12">
        <f>IF(E408&gt;0,IF(E408&lt;=eco,alpha*fck*(1-(1-E408/eco)^n),alpha*fck),0)</f>
      </c>
      <c r="G408" s="11">
        <f>F408*D408</f>
      </c>
      <c r="H408" s="11">
        <f>G408*C408</f>
      </c>
      <c r="I408" s="11">
        <f>G408*B408</f>
      </c>
      <c r="J408" s="30">
        <f>PM_Angle!$J$7+PM_Angle!$K$7*$C408+PM_Angle!$L$7*$B408</f>
      </c>
      <c r="K408" s="12">
        <f>IF(J408&gt;0,IF(J408&lt;=eco,alpha*fck*(1-(1-J408/eco)^n),alpha*fck),0)</f>
      </c>
      <c r="L408" s="30">
        <f>PM_Angle!$J$8+PM_Angle!$K$8*$C408+PM_Angle!$L$8*$B408</f>
      </c>
      <c r="M408" s="12">
        <f>IF(L408&gt;0,IF(L408&lt;=eco,alpha*fck*(1-(1-L408/eco)^n),alpha*fck),0)</f>
      </c>
      <c r="N408" s="30">
        <f>PM_Angle!$J$9+PM_Angle!$K$9*$C408+PM_Angle!$L$9*$B408</f>
      </c>
      <c r="O408" s="12">
        <f>IF(N408&gt;0,IF(N408&lt;=eco,alpha*fck*(1-(1-N408/eco)^n),alpha*fck),0)</f>
      </c>
      <c r="P408" s="30">
        <f>PM_Angle!$J$10+PM_Angle!$K$10*$C408+PM_Angle!$L$10*$B408</f>
      </c>
      <c r="Q408" s="12">
        <f>IF(P408&gt;0,IF(P408&lt;=eco,alpha*fck*(1-(1-P408/eco)^n),alpha*fck),0)</f>
      </c>
      <c r="R408" s="30">
        <f>PM_Angle!$J$11+PM_Angle!$K$11*$C408+PM_Angle!$L$11*$B408</f>
      </c>
      <c r="S408" s="12">
        <f>IF(R408&gt;0,IF(R408&lt;=eco,alpha*fck*(1-(1-R408/eco)^n),alpha*fck),0)</f>
      </c>
      <c r="T408" s="30">
        <f>PM_Angle!$J$12+PM_Angle!$K$12*$C408+PM_Angle!$L$12*$B408</f>
      </c>
      <c r="U408" s="12">
        <f>IF(T408&gt;0,IF(T408&lt;=eco,alpha*fck*(1-(1-T408/eco)^n),alpha*fck),0)</f>
      </c>
      <c r="V408" s="30">
        <f>PM_Angle!$J$13+PM_Angle!$K$13*$C408+PM_Angle!$L$13*$B408</f>
      </c>
      <c r="W408" s="12">
        <f>IF(V408&gt;0,IF(V408&lt;=eco,alpha*fck*(1-(1-V408/eco)^n),alpha*fck),0)</f>
      </c>
      <c r="X408" s="30">
        <f>PM_Angle!$J$14+PM_Angle!$K$14*$C408+PM_Angle!$L$14*$B408</f>
      </c>
      <c r="Y408" s="12">
        <f>IF(X408&gt;0,IF(X408&lt;=eco,alpha*fck*(1-(1-X408/eco)^n),alpha*fck),0)</f>
      </c>
      <c r="Z408" s="30">
        <f>PM_Angle!$J$15+PM_Angle!$K$15*$C408+PM_Angle!$L$15*$B408</f>
      </c>
      <c r="AA408" s="12">
        <f>IF(Z408&gt;0,IF(Z408&lt;=eco,alpha*fck*(1-(1-Z408/eco)^n),alpha*fck),0)</f>
      </c>
      <c r="AB408" s="30">
        <f>PM_Angle!$J$16+PM_Angle!$K$16*$C408+PM_Angle!$L$16*$B408</f>
      </c>
      <c r="AC408" s="12">
        <f>IF(AB408&gt;0,IF(AB408&lt;=eco,alpha*fck*(1-(1-AB408/eco)^n),alpha*fck),0)</f>
      </c>
      <c r="AD408" s="30">
        <f>PM_Angle!$J$17+PM_Angle!$K$17*$C408+PM_Angle!$L$17*$B408</f>
      </c>
      <c r="AE408" s="12">
        <f>IF(AD408&gt;0,IF(AD408&lt;=eco,alpha*fck*(1-(1-AD408/eco)^n),alpha*fck),0)</f>
      </c>
      <c r="AF408" s="30">
        <f>PM_Angle!$J$18+PM_Angle!$K$18*$C408+PM_Angle!$L$18*$B408</f>
      </c>
      <c r="AG408" s="12">
        <f>IF(AF408&gt;0,IF(AF408&lt;=eco,alpha*fck*(1-(1-AF408/eco)^n),alpha*fck),0)</f>
      </c>
      <c r="AH408" s="30">
        <f>PM_Angle!$J$19+PM_Angle!$K$19*$C408+PM_Angle!$L$19*$B408</f>
      </c>
      <c r="AI408" s="12">
        <f>IF(AH408&gt;0,IF(AH408&lt;=eco,alpha*fck*(1-(1-AH408/eco)^n),alpha*fck),0)</f>
      </c>
      <c r="AJ408" s="30">
        <f>PM_Angle!$J$20+PM_Angle!$K$20*$C408+PM_Angle!$L$20*$B408</f>
      </c>
      <c r="AK408" s="12">
        <f>IF(AJ408&gt;0,IF(AJ408&lt;=eco,alpha*fck*(1-(1-AJ408/eco)^n),alpha*fck),0)</f>
      </c>
      <c r="AL408" s="30">
        <f>PM_Angle!$J$21+PM_Angle!$K$21*$C408+PM_Angle!$L$21*$B408</f>
      </c>
      <c r="AM408" s="12">
        <f>IF(AL408&gt;0,IF(AL408&lt;=eco,alpha*fck*(1-(1-AL408/eco)^n),alpha*fck),0)</f>
      </c>
      <c r="AN408" s="30">
        <f>PM_Angle!$J$22+PM_Angle!$K$22*$C408+PM_Angle!$L$22*$B408</f>
      </c>
      <c r="AO408" s="12">
        <f>IF(AN408&gt;0,IF(AN408&lt;=eco,alpha*fck*(1-(1-AN408/eco)^n),alpha*fck),0)</f>
      </c>
      <c r="AP408" s="30">
        <f>PM_Angle!$J$23+PM_Angle!$K$23*$C408+PM_Angle!$L$23*$B408</f>
      </c>
      <c r="AQ408" s="12">
        <f>IF(AP408&gt;0,IF(AP408&lt;=eco,alpha*fck*(1-(1-AP408/eco)^n),alpha*fck),0)</f>
      </c>
      <c r="AR408" s="30">
        <f>PM_Angle!$J$24+PM_Angle!$K$24*$C408+PM_Angle!$L$24*$B408</f>
      </c>
      <c r="AS408" s="12">
        <f>IF(AR408&gt;0,IF(AR408&lt;=eco,alpha*fck*(1-(1-AR408/eco)^n),alpha*fck),0)</f>
      </c>
      <c r="AT408" s="30">
        <f>PM_Angle!$J$25+PM_Angle!$K$25*$C408+PM_Angle!$L$25*$B408</f>
      </c>
      <c r="AU408" s="12">
        <f>IF(AT408&gt;0,IF(AT408&lt;=eco,alpha*fck*(1-(1-AT408/eco)^n),alpha*fck),0)</f>
      </c>
    </row>
    <row r="409" spans="1:47" x14ac:dyDescent="0.25">
      <c r="A409">
        <f>Mesh!A406</f>
      </c>
      <c r="B409" s="12">
        <f>Mesh!B406</f>
      </c>
      <c r="C409" s="12">
        <f>Mesh!C406</f>
      </c>
      <c r="D409" s="12">
        <f>Mesh!D406</f>
      </c>
      <c r="E409" s="30">
        <f>INDEX(St_e0,Det+1)+INDEX(St_kx,Det+1)*C409+INDEX(St_ky,Det+1)*B409</f>
      </c>
      <c r="F409" s="12">
        <f>IF(E409&gt;0,IF(E409&lt;=eco,alpha*fck*(1-(1-E409/eco)^n),alpha*fck),0)</f>
      </c>
      <c r="G409" s="11">
        <f>F409*D409</f>
      </c>
      <c r="H409" s="11">
        <f>G409*C409</f>
      </c>
      <c r="I409" s="11">
        <f>G409*B409</f>
      </c>
      <c r="J409" s="30">
        <f>PM_Angle!$J$7+PM_Angle!$K$7*$C409+PM_Angle!$L$7*$B409</f>
      </c>
      <c r="K409" s="12">
        <f>IF(J409&gt;0,IF(J409&lt;=eco,alpha*fck*(1-(1-J409/eco)^n),alpha*fck),0)</f>
      </c>
      <c r="L409" s="30">
        <f>PM_Angle!$J$8+PM_Angle!$K$8*$C409+PM_Angle!$L$8*$B409</f>
      </c>
      <c r="M409" s="12">
        <f>IF(L409&gt;0,IF(L409&lt;=eco,alpha*fck*(1-(1-L409/eco)^n),alpha*fck),0)</f>
      </c>
      <c r="N409" s="30">
        <f>PM_Angle!$J$9+PM_Angle!$K$9*$C409+PM_Angle!$L$9*$B409</f>
      </c>
      <c r="O409" s="12">
        <f>IF(N409&gt;0,IF(N409&lt;=eco,alpha*fck*(1-(1-N409/eco)^n),alpha*fck),0)</f>
      </c>
      <c r="P409" s="30">
        <f>PM_Angle!$J$10+PM_Angle!$K$10*$C409+PM_Angle!$L$10*$B409</f>
      </c>
      <c r="Q409" s="12">
        <f>IF(P409&gt;0,IF(P409&lt;=eco,alpha*fck*(1-(1-P409/eco)^n),alpha*fck),0)</f>
      </c>
      <c r="R409" s="30">
        <f>PM_Angle!$J$11+PM_Angle!$K$11*$C409+PM_Angle!$L$11*$B409</f>
      </c>
      <c r="S409" s="12">
        <f>IF(R409&gt;0,IF(R409&lt;=eco,alpha*fck*(1-(1-R409/eco)^n),alpha*fck),0)</f>
      </c>
      <c r="T409" s="30">
        <f>PM_Angle!$J$12+PM_Angle!$K$12*$C409+PM_Angle!$L$12*$B409</f>
      </c>
      <c r="U409" s="12">
        <f>IF(T409&gt;0,IF(T409&lt;=eco,alpha*fck*(1-(1-T409/eco)^n),alpha*fck),0)</f>
      </c>
      <c r="V409" s="30">
        <f>PM_Angle!$J$13+PM_Angle!$K$13*$C409+PM_Angle!$L$13*$B409</f>
      </c>
      <c r="W409" s="12">
        <f>IF(V409&gt;0,IF(V409&lt;=eco,alpha*fck*(1-(1-V409/eco)^n),alpha*fck),0)</f>
      </c>
      <c r="X409" s="30">
        <f>PM_Angle!$J$14+PM_Angle!$K$14*$C409+PM_Angle!$L$14*$B409</f>
      </c>
      <c r="Y409" s="12">
        <f>IF(X409&gt;0,IF(X409&lt;=eco,alpha*fck*(1-(1-X409/eco)^n),alpha*fck),0)</f>
      </c>
      <c r="Z409" s="30">
        <f>PM_Angle!$J$15+PM_Angle!$K$15*$C409+PM_Angle!$L$15*$B409</f>
      </c>
      <c r="AA409" s="12">
        <f>IF(Z409&gt;0,IF(Z409&lt;=eco,alpha*fck*(1-(1-Z409/eco)^n),alpha*fck),0)</f>
      </c>
      <c r="AB409" s="30">
        <f>PM_Angle!$J$16+PM_Angle!$K$16*$C409+PM_Angle!$L$16*$B409</f>
      </c>
      <c r="AC409" s="12">
        <f>IF(AB409&gt;0,IF(AB409&lt;=eco,alpha*fck*(1-(1-AB409/eco)^n),alpha*fck),0)</f>
      </c>
      <c r="AD409" s="30">
        <f>PM_Angle!$J$17+PM_Angle!$K$17*$C409+PM_Angle!$L$17*$B409</f>
      </c>
      <c r="AE409" s="12">
        <f>IF(AD409&gt;0,IF(AD409&lt;=eco,alpha*fck*(1-(1-AD409/eco)^n),alpha*fck),0)</f>
      </c>
      <c r="AF409" s="30">
        <f>PM_Angle!$J$18+PM_Angle!$K$18*$C409+PM_Angle!$L$18*$B409</f>
      </c>
      <c r="AG409" s="12">
        <f>IF(AF409&gt;0,IF(AF409&lt;=eco,alpha*fck*(1-(1-AF409/eco)^n),alpha*fck),0)</f>
      </c>
      <c r="AH409" s="30">
        <f>PM_Angle!$J$19+PM_Angle!$K$19*$C409+PM_Angle!$L$19*$B409</f>
      </c>
      <c r="AI409" s="12">
        <f>IF(AH409&gt;0,IF(AH409&lt;=eco,alpha*fck*(1-(1-AH409/eco)^n),alpha*fck),0)</f>
      </c>
      <c r="AJ409" s="30">
        <f>PM_Angle!$J$20+PM_Angle!$K$20*$C409+PM_Angle!$L$20*$B409</f>
      </c>
      <c r="AK409" s="12">
        <f>IF(AJ409&gt;0,IF(AJ409&lt;=eco,alpha*fck*(1-(1-AJ409/eco)^n),alpha*fck),0)</f>
      </c>
      <c r="AL409" s="30">
        <f>PM_Angle!$J$21+PM_Angle!$K$21*$C409+PM_Angle!$L$21*$B409</f>
      </c>
      <c r="AM409" s="12">
        <f>IF(AL409&gt;0,IF(AL409&lt;=eco,alpha*fck*(1-(1-AL409/eco)^n),alpha*fck),0)</f>
      </c>
      <c r="AN409" s="30">
        <f>PM_Angle!$J$22+PM_Angle!$K$22*$C409+PM_Angle!$L$22*$B409</f>
      </c>
      <c r="AO409" s="12">
        <f>IF(AN409&gt;0,IF(AN409&lt;=eco,alpha*fck*(1-(1-AN409/eco)^n),alpha*fck),0)</f>
      </c>
      <c r="AP409" s="30">
        <f>PM_Angle!$J$23+PM_Angle!$K$23*$C409+PM_Angle!$L$23*$B409</f>
      </c>
      <c r="AQ409" s="12">
        <f>IF(AP409&gt;0,IF(AP409&lt;=eco,alpha*fck*(1-(1-AP409/eco)^n),alpha*fck),0)</f>
      </c>
      <c r="AR409" s="30">
        <f>PM_Angle!$J$24+PM_Angle!$K$24*$C409+PM_Angle!$L$24*$B409</f>
      </c>
      <c r="AS409" s="12">
        <f>IF(AR409&gt;0,IF(AR409&lt;=eco,alpha*fck*(1-(1-AR409/eco)^n),alpha*fck),0)</f>
      </c>
      <c r="AT409" s="30">
        <f>PM_Angle!$J$25+PM_Angle!$K$25*$C409+PM_Angle!$L$25*$B409</f>
      </c>
      <c r="AU409" s="12">
        <f>IF(AT409&gt;0,IF(AT409&lt;=eco,alpha*fck*(1-(1-AT409/eco)^n),alpha*fck),0)</f>
      </c>
    </row>
    <row r="410" spans="1:47" x14ac:dyDescent="0.25">
      <c r="A410">
        <f>Mesh!A407</f>
      </c>
      <c r="B410" s="12">
        <f>Mesh!B407</f>
      </c>
      <c r="C410" s="12">
        <f>Mesh!C407</f>
      </c>
      <c r="D410" s="12">
        <f>Mesh!D407</f>
      </c>
      <c r="E410" s="30">
        <f>INDEX(St_e0,Det+1)+INDEX(St_kx,Det+1)*C410+INDEX(St_ky,Det+1)*B410</f>
      </c>
      <c r="F410" s="12">
        <f>IF(E410&gt;0,IF(E410&lt;=eco,alpha*fck*(1-(1-E410/eco)^n),alpha*fck),0)</f>
      </c>
      <c r="G410" s="11">
        <f>F410*D410</f>
      </c>
      <c r="H410" s="11">
        <f>G410*C410</f>
      </c>
      <c r="I410" s="11">
        <f>G410*B410</f>
      </c>
      <c r="J410" s="30">
        <f>PM_Angle!$J$7+PM_Angle!$K$7*$C410+PM_Angle!$L$7*$B410</f>
      </c>
      <c r="K410" s="12">
        <f>IF(J410&gt;0,IF(J410&lt;=eco,alpha*fck*(1-(1-J410/eco)^n),alpha*fck),0)</f>
      </c>
      <c r="L410" s="30">
        <f>PM_Angle!$J$8+PM_Angle!$K$8*$C410+PM_Angle!$L$8*$B410</f>
      </c>
      <c r="M410" s="12">
        <f>IF(L410&gt;0,IF(L410&lt;=eco,alpha*fck*(1-(1-L410/eco)^n),alpha*fck),0)</f>
      </c>
      <c r="N410" s="30">
        <f>PM_Angle!$J$9+PM_Angle!$K$9*$C410+PM_Angle!$L$9*$B410</f>
      </c>
      <c r="O410" s="12">
        <f>IF(N410&gt;0,IF(N410&lt;=eco,alpha*fck*(1-(1-N410/eco)^n),alpha*fck),0)</f>
      </c>
      <c r="P410" s="30">
        <f>PM_Angle!$J$10+PM_Angle!$K$10*$C410+PM_Angle!$L$10*$B410</f>
      </c>
      <c r="Q410" s="12">
        <f>IF(P410&gt;0,IF(P410&lt;=eco,alpha*fck*(1-(1-P410/eco)^n),alpha*fck),0)</f>
      </c>
      <c r="R410" s="30">
        <f>PM_Angle!$J$11+PM_Angle!$K$11*$C410+PM_Angle!$L$11*$B410</f>
      </c>
      <c r="S410" s="12">
        <f>IF(R410&gt;0,IF(R410&lt;=eco,alpha*fck*(1-(1-R410/eco)^n),alpha*fck),0)</f>
      </c>
      <c r="T410" s="30">
        <f>PM_Angle!$J$12+PM_Angle!$K$12*$C410+PM_Angle!$L$12*$B410</f>
      </c>
      <c r="U410" s="12">
        <f>IF(T410&gt;0,IF(T410&lt;=eco,alpha*fck*(1-(1-T410/eco)^n),alpha*fck),0)</f>
      </c>
      <c r="V410" s="30">
        <f>PM_Angle!$J$13+PM_Angle!$K$13*$C410+PM_Angle!$L$13*$B410</f>
      </c>
      <c r="W410" s="12">
        <f>IF(V410&gt;0,IF(V410&lt;=eco,alpha*fck*(1-(1-V410/eco)^n),alpha*fck),0)</f>
      </c>
      <c r="X410" s="30">
        <f>PM_Angle!$J$14+PM_Angle!$K$14*$C410+PM_Angle!$L$14*$B410</f>
      </c>
      <c r="Y410" s="12">
        <f>IF(X410&gt;0,IF(X410&lt;=eco,alpha*fck*(1-(1-X410/eco)^n),alpha*fck),0)</f>
      </c>
      <c r="Z410" s="30">
        <f>PM_Angle!$J$15+PM_Angle!$K$15*$C410+PM_Angle!$L$15*$B410</f>
      </c>
      <c r="AA410" s="12">
        <f>IF(Z410&gt;0,IF(Z410&lt;=eco,alpha*fck*(1-(1-Z410/eco)^n),alpha*fck),0)</f>
      </c>
      <c r="AB410" s="30">
        <f>PM_Angle!$J$16+PM_Angle!$K$16*$C410+PM_Angle!$L$16*$B410</f>
      </c>
      <c r="AC410" s="12">
        <f>IF(AB410&gt;0,IF(AB410&lt;=eco,alpha*fck*(1-(1-AB410/eco)^n),alpha*fck),0)</f>
      </c>
      <c r="AD410" s="30">
        <f>PM_Angle!$J$17+PM_Angle!$K$17*$C410+PM_Angle!$L$17*$B410</f>
      </c>
      <c r="AE410" s="12">
        <f>IF(AD410&gt;0,IF(AD410&lt;=eco,alpha*fck*(1-(1-AD410/eco)^n),alpha*fck),0)</f>
      </c>
      <c r="AF410" s="30">
        <f>PM_Angle!$J$18+PM_Angle!$K$18*$C410+PM_Angle!$L$18*$B410</f>
      </c>
      <c r="AG410" s="12">
        <f>IF(AF410&gt;0,IF(AF410&lt;=eco,alpha*fck*(1-(1-AF410/eco)^n),alpha*fck),0)</f>
      </c>
      <c r="AH410" s="30">
        <f>PM_Angle!$J$19+PM_Angle!$K$19*$C410+PM_Angle!$L$19*$B410</f>
      </c>
      <c r="AI410" s="12">
        <f>IF(AH410&gt;0,IF(AH410&lt;=eco,alpha*fck*(1-(1-AH410/eco)^n),alpha*fck),0)</f>
      </c>
      <c r="AJ410" s="30">
        <f>PM_Angle!$J$20+PM_Angle!$K$20*$C410+PM_Angle!$L$20*$B410</f>
      </c>
      <c r="AK410" s="12">
        <f>IF(AJ410&gt;0,IF(AJ410&lt;=eco,alpha*fck*(1-(1-AJ410/eco)^n),alpha*fck),0)</f>
      </c>
      <c r="AL410" s="30">
        <f>PM_Angle!$J$21+PM_Angle!$K$21*$C410+PM_Angle!$L$21*$B410</f>
      </c>
      <c r="AM410" s="12">
        <f>IF(AL410&gt;0,IF(AL410&lt;=eco,alpha*fck*(1-(1-AL410/eco)^n),alpha*fck),0)</f>
      </c>
      <c r="AN410" s="30">
        <f>PM_Angle!$J$22+PM_Angle!$K$22*$C410+PM_Angle!$L$22*$B410</f>
      </c>
      <c r="AO410" s="12">
        <f>IF(AN410&gt;0,IF(AN410&lt;=eco,alpha*fck*(1-(1-AN410/eco)^n),alpha*fck),0)</f>
      </c>
      <c r="AP410" s="30">
        <f>PM_Angle!$J$23+PM_Angle!$K$23*$C410+PM_Angle!$L$23*$B410</f>
      </c>
      <c r="AQ410" s="12">
        <f>IF(AP410&gt;0,IF(AP410&lt;=eco,alpha*fck*(1-(1-AP410/eco)^n),alpha*fck),0)</f>
      </c>
      <c r="AR410" s="30">
        <f>PM_Angle!$J$24+PM_Angle!$K$24*$C410+PM_Angle!$L$24*$B410</f>
      </c>
      <c r="AS410" s="12">
        <f>IF(AR410&gt;0,IF(AR410&lt;=eco,alpha*fck*(1-(1-AR410/eco)^n),alpha*fck),0)</f>
      </c>
      <c r="AT410" s="30">
        <f>PM_Angle!$J$25+PM_Angle!$K$25*$C410+PM_Angle!$L$25*$B410</f>
      </c>
      <c r="AU410" s="12">
        <f>IF(AT410&gt;0,IF(AT410&lt;=eco,alpha*fck*(1-(1-AT410/eco)^n),alpha*fck),0)</f>
      </c>
    </row>
    <row r="411" spans="1:47" x14ac:dyDescent="0.25">
      <c r="A411">
        <f>Mesh!A408</f>
      </c>
      <c r="B411" s="12">
        <f>Mesh!B408</f>
      </c>
      <c r="C411" s="12">
        <f>Mesh!C408</f>
      </c>
      <c r="D411" s="12">
        <f>Mesh!D408</f>
      </c>
      <c r="E411" s="30">
        <f>INDEX(St_e0,Det+1)+INDEX(St_kx,Det+1)*C411+INDEX(St_ky,Det+1)*B411</f>
      </c>
      <c r="F411" s="12">
        <f>IF(E411&gt;0,IF(E411&lt;=eco,alpha*fck*(1-(1-E411/eco)^n),alpha*fck),0)</f>
      </c>
      <c r="G411" s="11">
        <f>F411*D411</f>
      </c>
      <c r="H411" s="11">
        <f>G411*C411</f>
      </c>
      <c r="I411" s="11">
        <f>G411*B411</f>
      </c>
      <c r="J411" s="30">
        <f>PM_Angle!$J$7+PM_Angle!$K$7*$C411+PM_Angle!$L$7*$B411</f>
      </c>
      <c r="K411" s="12">
        <f>IF(J411&gt;0,IF(J411&lt;=eco,alpha*fck*(1-(1-J411/eco)^n),alpha*fck),0)</f>
      </c>
      <c r="L411" s="30">
        <f>PM_Angle!$J$8+PM_Angle!$K$8*$C411+PM_Angle!$L$8*$B411</f>
      </c>
      <c r="M411" s="12">
        <f>IF(L411&gt;0,IF(L411&lt;=eco,alpha*fck*(1-(1-L411/eco)^n),alpha*fck),0)</f>
      </c>
      <c r="N411" s="30">
        <f>PM_Angle!$J$9+PM_Angle!$K$9*$C411+PM_Angle!$L$9*$B411</f>
      </c>
      <c r="O411" s="12">
        <f>IF(N411&gt;0,IF(N411&lt;=eco,alpha*fck*(1-(1-N411/eco)^n),alpha*fck),0)</f>
      </c>
      <c r="P411" s="30">
        <f>PM_Angle!$J$10+PM_Angle!$K$10*$C411+PM_Angle!$L$10*$B411</f>
      </c>
      <c r="Q411" s="12">
        <f>IF(P411&gt;0,IF(P411&lt;=eco,alpha*fck*(1-(1-P411/eco)^n),alpha*fck),0)</f>
      </c>
      <c r="R411" s="30">
        <f>PM_Angle!$J$11+PM_Angle!$K$11*$C411+PM_Angle!$L$11*$B411</f>
      </c>
      <c r="S411" s="12">
        <f>IF(R411&gt;0,IF(R411&lt;=eco,alpha*fck*(1-(1-R411/eco)^n),alpha*fck),0)</f>
      </c>
      <c r="T411" s="30">
        <f>PM_Angle!$J$12+PM_Angle!$K$12*$C411+PM_Angle!$L$12*$B411</f>
      </c>
      <c r="U411" s="12">
        <f>IF(T411&gt;0,IF(T411&lt;=eco,alpha*fck*(1-(1-T411/eco)^n),alpha*fck),0)</f>
      </c>
      <c r="V411" s="30">
        <f>PM_Angle!$J$13+PM_Angle!$K$13*$C411+PM_Angle!$L$13*$B411</f>
      </c>
      <c r="W411" s="12">
        <f>IF(V411&gt;0,IF(V411&lt;=eco,alpha*fck*(1-(1-V411/eco)^n),alpha*fck),0)</f>
      </c>
      <c r="X411" s="30">
        <f>PM_Angle!$J$14+PM_Angle!$K$14*$C411+PM_Angle!$L$14*$B411</f>
      </c>
      <c r="Y411" s="12">
        <f>IF(X411&gt;0,IF(X411&lt;=eco,alpha*fck*(1-(1-X411/eco)^n),alpha*fck),0)</f>
      </c>
      <c r="Z411" s="30">
        <f>PM_Angle!$J$15+PM_Angle!$K$15*$C411+PM_Angle!$L$15*$B411</f>
      </c>
      <c r="AA411" s="12">
        <f>IF(Z411&gt;0,IF(Z411&lt;=eco,alpha*fck*(1-(1-Z411/eco)^n),alpha*fck),0)</f>
      </c>
      <c r="AB411" s="30">
        <f>PM_Angle!$J$16+PM_Angle!$K$16*$C411+PM_Angle!$L$16*$B411</f>
      </c>
      <c r="AC411" s="12">
        <f>IF(AB411&gt;0,IF(AB411&lt;=eco,alpha*fck*(1-(1-AB411/eco)^n),alpha*fck),0)</f>
      </c>
      <c r="AD411" s="30">
        <f>PM_Angle!$J$17+PM_Angle!$K$17*$C411+PM_Angle!$L$17*$B411</f>
      </c>
      <c r="AE411" s="12">
        <f>IF(AD411&gt;0,IF(AD411&lt;=eco,alpha*fck*(1-(1-AD411/eco)^n),alpha*fck),0)</f>
      </c>
      <c r="AF411" s="30">
        <f>PM_Angle!$J$18+PM_Angle!$K$18*$C411+PM_Angle!$L$18*$B411</f>
      </c>
      <c r="AG411" s="12">
        <f>IF(AF411&gt;0,IF(AF411&lt;=eco,alpha*fck*(1-(1-AF411/eco)^n),alpha*fck),0)</f>
      </c>
      <c r="AH411" s="30">
        <f>PM_Angle!$J$19+PM_Angle!$K$19*$C411+PM_Angle!$L$19*$B411</f>
      </c>
      <c r="AI411" s="12">
        <f>IF(AH411&gt;0,IF(AH411&lt;=eco,alpha*fck*(1-(1-AH411/eco)^n),alpha*fck),0)</f>
      </c>
      <c r="AJ411" s="30">
        <f>PM_Angle!$J$20+PM_Angle!$K$20*$C411+PM_Angle!$L$20*$B411</f>
      </c>
      <c r="AK411" s="12">
        <f>IF(AJ411&gt;0,IF(AJ411&lt;=eco,alpha*fck*(1-(1-AJ411/eco)^n),alpha*fck),0)</f>
      </c>
      <c r="AL411" s="30">
        <f>PM_Angle!$J$21+PM_Angle!$K$21*$C411+PM_Angle!$L$21*$B411</f>
      </c>
      <c r="AM411" s="12">
        <f>IF(AL411&gt;0,IF(AL411&lt;=eco,alpha*fck*(1-(1-AL411/eco)^n),alpha*fck),0)</f>
      </c>
      <c r="AN411" s="30">
        <f>PM_Angle!$J$22+PM_Angle!$K$22*$C411+PM_Angle!$L$22*$B411</f>
      </c>
      <c r="AO411" s="12">
        <f>IF(AN411&gt;0,IF(AN411&lt;=eco,alpha*fck*(1-(1-AN411/eco)^n),alpha*fck),0)</f>
      </c>
      <c r="AP411" s="30">
        <f>PM_Angle!$J$23+PM_Angle!$K$23*$C411+PM_Angle!$L$23*$B411</f>
      </c>
      <c r="AQ411" s="12">
        <f>IF(AP411&gt;0,IF(AP411&lt;=eco,alpha*fck*(1-(1-AP411/eco)^n),alpha*fck),0)</f>
      </c>
      <c r="AR411" s="30">
        <f>PM_Angle!$J$24+PM_Angle!$K$24*$C411+PM_Angle!$L$24*$B411</f>
      </c>
      <c r="AS411" s="12">
        <f>IF(AR411&gt;0,IF(AR411&lt;=eco,alpha*fck*(1-(1-AR411/eco)^n),alpha*fck),0)</f>
      </c>
      <c r="AT411" s="30">
        <f>PM_Angle!$J$25+PM_Angle!$K$25*$C411+PM_Angle!$L$25*$B411</f>
      </c>
      <c r="AU411" s="12">
        <f>IF(AT411&gt;0,IF(AT411&lt;=eco,alpha*fck*(1-(1-AT411/eco)^n),alpha*fck),0)</f>
      </c>
    </row>
    <row r="412" spans="1:47" x14ac:dyDescent="0.25">
      <c r="A412">
        <f>Mesh!A409</f>
      </c>
      <c r="B412" s="12">
        <f>Mesh!B409</f>
      </c>
      <c r="C412" s="12">
        <f>Mesh!C409</f>
      </c>
      <c r="D412" s="12">
        <f>Mesh!D409</f>
      </c>
      <c r="E412" s="30">
        <f>INDEX(St_e0,Det+1)+INDEX(St_kx,Det+1)*C412+INDEX(St_ky,Det+1)*B412</f>
      </c>
      <c r="F412" s="12">
        <f>IF(E412&gt;0,IF(E412&lt;=eco,alpha*fck*(1-(1-E412/eco)^n),alpha*fck),0)</f>
      </c>
      <c r="G412" s="11">
        <f>F412*D412</f>
      </c>
      <c r="H412" s="11">
        <f>G412*C412</f>
      </c>
      <c r="I412" s="11">
        <f>G412*B412</f>
      </c>
      <c r="J412" s="30">
        <f>PM_Angle!$J$7+PM_Angle!$K$7*$C412+PM_Angle!$L$7*$B412</f>
      </c>
      <c r="K412" s="12">
        <f>IF(J412&gt;0,IF(J412&lt;=eco,alpha*fck*(1-(1-J412/eco)^n),alpha*fck),0)</f>
      </c>
      <c r="L412" s="30">
        <f>PM_Angle!$J$8+PM_Angle!$K$8*$C412+PM_Angle!$L$8*$B412</f>
      </c>
      <c r="M412" s="12">
        <f>IF(L412&gt;0,IF(L412&lt;=eco,alpha*fck*(1-(1-L412/eco)^n),alpha*fck),0)</f>
      </c>
      <c r="N412" s="30">
        <f>PM_Angle!$J$9+PM_Angle!$K$9*$C412+PM_Angle!$L$9*$B412</f>
      </c>
      <c r="O412" s="12">
        <f>IF(N412&gt;0,IF(N412&lt;=eco,alpha*fck*(1-(1-N412/eco)^n),alpha*fck),0)</f>
      </c>
      <c r="P412" s="30">
        <f>PM_Angle!$J$10+PM_Angle!$K$10*$C412+PM_Angle!$L$10*$B412</f>
      </c>
      <c r="Q412" s="12">
        <f>IF(P412&gt;0,IF(P412&lt;=eco,alpha*fck*(1-(1-P412/eco)^n),alpha*fck),0)</f>
      </c>
      <c r="R412" s="30">
        <f>PM_Angle!$J$11+PM_Angle!$K$11*$C412+PM_Angle!$L$11*$B412</f>
      </c>
      <c r="S412" s="12">
        <f>IF(R412&gt;0,IF(R412&lt;=eco,alpha*fck*(1-(1-R412/eco)^n),alpha*fck),0)</f>
      </c>
      <c r="T412" s="30">
        <f>PM_Angle!$J$12+PM_Angle!$K$12*$C412+PM_Angle!$L$12*$B412</f>
      </c>
      <c r="U412" s="12">
        <f>IF(T412&gt;0,IF(T412&lt;=eco,alpha*fck*(1-(1-T412/eco)^n),alpha*fck),0)</f>
      </c>
      <c r="V412" s="30">
        <f>PM_Angle!$J$13+PM_Angle!$K$13*$C412+PM_Angle!$L$13*$B412</f>
      </c>
      <c r="W412" s="12">
        <f>IF(V412&gt;0,IF(V412&lt;=eco,alpha*fck*(1-(1-V412/eco)^n),alpha*fck),0)</f>
      </c>
      <c r="X412" s="30">
        <f>PM_Angle!$J$14+PM_Angle!$K$14*$C412+PM_Angle!$L$14*$B412</f>
      </c>
      <c r="Y412" s="12">
        <f>IF(X412&gt;0,IF(X412&lt;=eco,alpha*fck*(1-(1-X412/eco)^n),alpha*fck),0)</f>
      </c>
      <c r="Z412" s="30">
        <f>PM_Angle!$J$15+PM_Angle!$K$15*$C412+PM_Angle!$L$15*$B412</f>
      </c>
      <c r="AA412" s="12">
        <f>IF(Z412&gt;0,IF(Z412&lt;=eco,alpha*fck*(1-(1-Z412/eco)^n),alpha*fck),0)</f>
      </c>
      <c r="AB412" s="30">
        <f>PM_Angle!$J$16+PM_Angle!$K$16*$C412+PM_Angle!$L$16*$B412</f>
      </c>
      <c r="AC412" s="12">
        <f>IF(AB412&gt;0,IF(AB412&lt;=eco,alpha*fck*(1-(1-AB412/eco)^n),alpha*fck),0)</f>
      </c>
      <c r="AD412" s="30">
        <f>PM_Angle!$J$17+PM_Angle!$K$17*$C412+PM_Angle!$L$17*$B412</f>
      </c>
      <c r="AE412" s="12">
        <f>IF(AD412&gt;0,IF(AD412&lt;=eco,alpha*fck*(1-(1-AD412/eco)^n),alpha*fck),0)</f>
      </c>
      <c r="AF412" s="30">
        <f>PM_Angle!$J$18+PM_Angle!$K$18*$C412+PM_Angle!$L$18*$B412</f>
      </c>
      <c r="AG412" s="12">
        <f>IF(AF412&gt;0,IF(AF412&lt;=eco,alpha*fck*(1-(1-AF412/eco)^n),alpha*fck),0)</f>
      </c>
      <c r="AH412" s="30">
        <f>PM_Angle!$J$19+PM_Angle!$K$19*$C412+PM_Angle!$L$19*$B412</f>
      </c>
      <c r="AI412" s="12">
        <f>IF(AH412&gt;0,IF(AH412&lt;=eco,alpha*fck*(1-(1-AH412/eco)^n),alpha*fck),0)</f>
      </c>
      <c r="AJ412" s="30">
        <f>PM_Angle!$J$20+PM_Angle!$K$20*$C412+PM_Angle!$L$20*$B412</f>
      </c>
      <c r="AK412" s="12">
        <f>IF(AJ412&gt;0,IF(AJ412&lt;=eco,alpha*fck*(1-(1-AJ412/eco)^n),alpha*fck),0)</f>
      </c>
      <c r="AL412" s="30">
        <f>PM_Angle!$J$21+PM_Angle!$K$21*$C412+PM_Angle!$L$21*$B412</f>
      </c>
      <c r="AM412" s="12">
        <f>IF(AL412&gt;0,IF(AL412&lt;=eco,alpha*fck*(1-(1-AL412/eco)^n),alpha*fck),0)</f>
      </c>
      <c r="AN412" s="30">
        <f>PM_Angle!$J$22+PM_Angle!$K$22*$C412+PM_Angle!$L$22*$B412</f>
      </c>
      <c r="AO412" s="12">
        <f>IF(AN412&gt;0,IF(AN412&lt;=eco,alpha*fck*(1-(1-AN412/eco)^n),alpha*fck),0)</f>
      </c>
      <c r="AP412" s="30">
        <f>PM_Angle!$J$23+PM_Angle!$K$23*$C412+PM_Angle!$L$23*$B412</f>
      </c>
      <c r="AQ412" s="12">
        <f>IF(AP412&gt;0,IF(AP412&lt;=eco,alpha*fck*(1-(1-AP412/eco)^n),alpha*fck),0)</f>
      </c>
      <c r="AR412" s="30">
        <f>PM_Angle!$J$24+PM_Angle!$K$24*$C412+PM_Angle!$L$24*$B412</f>
      </c>
      <c r="AS412" s="12">
        <f>IF(AR412&gt;0,IF(AR412&lt;=eco,alpha*fck*(1-(1-AR412/eco)^n),alpha*fck),0)</f>
      </c>
      <c r="AT412" s="30">
        <f>PM_Angle!$J$25+PM_Angle!$K$25*$C412+PM_Angle!$L$25*$B412</f>
      </c>
      <c r="AU412" s="12">
        <f>IF(AT412&gt;0,IF(AT412&lt;=eco,alpha*fck*(1-(1-AT412/eco)^n),alpha*fck),0)</f>
      </c>
    </row>
    <row r="413" spans="1:47" x14ac:dyDescent="0.25">
      <c r="A413">
        <f>Mesh!A410</f>
      </c>
      <c r="B413" s="12">
        <f>Mesh!B410</f>
      </c>
      <c r="C413" s="12">
        <f>Mesh!C410</f>
      </c>
      <c r="D413" s="12">
        <f>Mesh!D410</f>
      </c>
      <c r="E413" s="30">
        <f>INDEX(St_e0,Det+1)+INDEX(St_kx,Det+1)*C413+INDEX(St_ky,Det+1)*B413</f>
      </c>
      <c r="F413" s="12">
        <f>IF(E413&gt;0,IF(E413&lt;=eco,alpha*fck*(1-(1-E413/eco)^n),alpha*fck),0)</f>
      </c>
      <c r="G413" s="11">
        <f>F413*D413</f>
      </c>
      <c r="H413" s="11">
        <f>G413*C413</f>
      </c>
      <c r="I413" s="11">
        <f>G413*B413</f>
      </c>
      <c r="J413" s="30">
        <f>PM_Angle!$J$7+PM_Angle!$K$7*$C413+PM_Angle!$L$7*$B413</f>
      </c>
      <c r="K413" s="12">
        <f>IF(J413&gt;0,IF(J413&lt;=eco,alpha*fck*(1-(1-J413/eco)^n),alpha*fck),0)</f>
      </c>
      <c r="L413" s="30">
        <f>PM_Angle!$J$8+PM_Angle!$K$8*$C413+PM_Angle!$L$8*$B413</f>
      </c>
      <c r="M413" s="12">
        <f>IF(L413&gt;0,IF(L413&lt;=eco,alpha*fck*(1-(1-L413/eco)^n),alpha*fck),0)</f>
      </c>
      <c r="N413" s="30">
        <f>PM_Angle!$J$9+PM_Angle!$K$9*$C413+PM_Angle!$L$9*$B413</f>
      </c>
      <c r="O413" s="12">
        <f>IF(N413&gt;0,IF(N413&lt;=eco,alpha*fck*(1-(1-N413/eco)^n),alpha*fck),0)</f>
      </c>
      <c r="P413" s="30">
        <f>PM_Angle!$J$10+PM_Angle!$K$10*$C413+PM_Angle!$L$10*$B413</f>
      </c>
      <c r="Q413" s="12">
        <f>IF(P413&gt;0,IF(P413&lt;=eco,alpha*fck*(1-(1-P413/eco)^n),alpha*fck),0)</f>
      </c>
      <c r="R413" s="30">
        <f>PM_Angle!$J$11+PM_Angle!$K$11*$C413+PM_Angle!$L$11*$B413</f>
      </c>
      <c r="S413" s="12">
        <f>IF(R413&gt;0,IF(R413&lt;=eco,alpha*fck*(1-(1-R413/eco)^n),alpha*fck),0)</f>
      </c>
      <c r="T413" s="30">
        <f>PM_Angle!$J$12+PM_Angle!$K$12*$C413+PM_Angle!$L$12*$B413</f>
      </c>
      <c r="U413" s="12">
        <f>IF(T413&gt;0,IF(T413&lt;=eco,alpha*fck*(1-(1-T413/eco)^n),alpha*fck),0)</f>
      </c>
      <c r="V413" s="30">
        <f>PM_Angle!$J$13+PM_Angle!$K$13*$C413+PM_Angle!$L$13*$B413</f>
      </c>
      <c r="W413" s="12">
        <f>IF(V413&gt;0,IF(V413&lt;=eco,alpha*fck*(1-(1-V413/eco)^n),alpha*fck),0)</f>
      </c>
      <c r="X413" s="30">
        <f>PM_Angle!$J$14+PM_Angle!$K$14*$C413+PM_Angle!$L$14*$B413</f>
      </c>
      <c r="Y413" s="12">
        <f>IF(X413&gt;0,IF(X413&lt;=eco,alpha*fck*(1-(1-X413/eco)^n),alpha*fck),0)</f>
      </c>
      <c r="Z413" s="30">
        <f>PM_Angle!$J$15+PM_Angle!$K$15*$C413+PM_Angle!$L$15*$B413</f>
      </c>
      <c r="AA413" s="12">
        <f>IF(Z413&gt;0,IF(Z413&lt;=eco,alpha*fck*(1-(1-Z413/eco)^n),alpha*fck),0)</f>
      </c>
      <c r="AB413" s="30">
        <f>PM_Angle!$J$16+PM_Angle!$K$16*$C413+PM_Angle!$L$16*$B413</f>
      </c>
      <c r="AC413" s="12">
        <f>IF(AB413&gt;0,IF(AB413&lt;=eco,alpha*fck*(1-(1-AB413/eco)^n),alpha*fck),0)</f>
      </c>
      <c r="AD413" s="30">
        <f>PM_Angle!$J$17+PM_Angle!$K$17*$C413+PM_Angle!$L$17*$B413</f>
      </c>
      <c r="AE413" s="12">
        <f>IF(AD413&gt;0,IF(AD413&lt;=eco,alpha*fck*(1-(1-AD413/eco)^n),alpha*fck),0)</f>
      </c>
      <c r="AF413" s="30">
        <f>PM_Angle!$J$18+PM_Angle!$K$18*$C413+PM_Angle!$L$18*$B413</f>
      </c>
      <c r="AG413" s="12">
        <f>IF(AF413&gt;0,IF(AF413&lt;=eco,alpha*fck*(1-(1-AF413/eco)^n),alpha*fck),0)</f>
      </c>
      <c r="AH413" s="30">
        <f>PM_Angle!$J$19+PM_Angle!$K$19*$C413+PM_Angle!$L$19*$B413</f>
      </c>
      <c r="AI413" s="12">
        <f>IF(AH413&gt;0,IF(AH413&lt;=eco,alpha*fck*(1-(1-AH413/eco)^n),alpha*fck),0)</f>
      </c>
      <c r="AJ413" s="30">
        <f>PM_Angle!$J$20+PM_Angle!$K$20*$C413+PM_Angle!$L$20*$B413</f>
      </c>
      <c r="AK413" s="12">
        <f>IF(AJ413&gt;0,IF(AJ413&lt;=eco,alpha*fck*(1-(1-AJ413/eco)^n),alpha*fck),0)</f>
      </c>
      <c r="AL413" s="30">
        <f>PM_Angle!$J$21+PM_Angle!$K$21*$C413+PM_Angle!$L$21*$B413</f>
      </c>
      <c r="AM413" s="12">
        <f>IF(AL413&gt;0,IF(AL413&lt;=eco,alpha*fck*(1-(1-AL413/eco)^n),alpha*fck),0)</f>
      </c>
      <c r="AN413" s="30">
        <f>PM_Angle!$J$22+PM_Angle!$K$22*$C413+PM_Angle!$L$22*$B413</f>
      </c>
      <c r="AO413" s="12">
        <f>IF(AN413&gt;0,IF(AN413&lt;=eco,alpha*fck*(1-(1-AN413/eco)^n),alpha*fck),0)</f>
      </c>
      <c r="AP413" s="30">
        <f>PM_Angle!$J$23+PM_Angle!$K$23*$C413+PM_Angle!$L$23*$B413</f>
      </c>
      <c r="AQ413" s="12">
        <f>IF(AP413&gt;0,IF(AP413&lt;=eco,alpha*fck*(1-(1-AP413/eco)^n),alpha*fck),0)</f>
      </c>
      <c r="AR413" s="30">
        <f>PM_Angle!$J$24+PM_Angle!$K$24*$C413+PM_Angle!$L$24*$B413</f>
      </c>
      <c r="AS413" s="12">
        <f>IF(AR413&gt;0,IF(AR413&lt;=eco,alpha*fck*(1-(1-AR413/eco)^n),alpha*fck),0)</f>
      </c>
      <c r="AT413" s="30">
        <f>PM_Angle!$J$25+PM_Angle!$K$25*$C413+PM_Angle!$L$25*$B413</f>
      </c>
      <c r="AU413" s="12">
        <f>IF(AT413&gt;0,IF(AT413&lt;=eco,alpha*fck*(1-(1-AT413/eco)^n),alpha*fck),0)</f>
      </c>
    </row>
    <row r="414" spans="1:47" x14ac:dyDescent="0.25">
      <c r="A414">
        <f>Mesh!A411</f>
      </c>
      <c r="B414" s="12">
        <f>Mesh!B411</f>
      </c>
      <c r="C414" s="12">
        <f>Mesh!C411</f>
      </c>
      <c r="D414" s="12">
        <f>Mesh!D411</f>
      </c>
      <c r="E414" s="30">
        <f>INDEX(St_e0,Det+1)+INDEX(St_kx,Det+1)*C414+INDEX(St_ky,Det+1)*B414</f>
      </c>
      <c r="F414" s="12">
        <f>IF(E414&gt;0,IF(E414&lt;=eco,alpha*fck*(1-(1-E414/eco)^n),alpha*fck),0)</f>
      </c>
      <c r="G414" s="11">
        <f>F414*D414</f>
      </c>
      <c r="H414" s="11">
        <f>G414*C414</f>
      </c>
      <c r="I414" s="11">
        <f>G414*B414</f>
      </c>
      <c r="J414" s="30">
        <f>PM_Angle!$J$7+PM_Angle!$K$7*$C414+PM_Angle!$L$7*$B414</f>
      </c>
      <c r="K414" s="12">
        <f>IF(J414&gt;0,IF(J414&lt;=eco,alpha*fck*(1-(1-J414/eco)^n),alpha*fck),0)</f>
      </c>
      <c r="L414" s="30">
        <f>PM_Angle!$J$8+PM_Angle!$K$8*$C414+PM_Angle!$L$8*$B414</f>
      </c>
      <c r="M414" s="12">
        <f>IF(L414&gt;0,IF(L414&lt;=eco,alpha*fck*(1-(1-L414/eco)^n),alpha*fck),0)</f>
      </c>
      <c r="N414" s="30">
        <f>PM_Angle!$J$9+PM_Angle!$K$9*$C414+PM_Angle!$L$9*$B414</f>
      </c>
      <c r="O414" s="12">
        <f>IF(N414&gt;0,IF(N414&lt;=eco,alpha*fck*(1-(1-N414/eco)^n),alpha*fck),0)</f>
      </c>
      <c r="P414" s="30">
        <f>PM_Angle!$J$10+PM_Angle!$K$10*$C414+PM_Angle!$L$10*$B414</f>
      </c>
      <c r="Q414" s="12">
        <f>IF(P414&gt;0,IF(P414&lt;=eco,alpha*fck*(1-(1-P414/eco)^n),alpha*fck),0)</f>
      </c>
      <c r="R414" s="30">
        <f>PM_Angle!$J$11+PM_Angle!$K$11*$C414+PM_Angle!$L$11*$B414</f>
      </c>
      <c r="S414" s="12">
        <f>IF(R414&gt;0,IF(R414&lt;=eco,alpha*fck*(1-(1-R414/eco)^n),alpha*fck),0)</f>
      </c>
      <c r="T414" s="30">
        <f>PM_Angle!$J$12+PM_Angle!$K$12*$C414+PM_Angle!$L$12*$B414</f>
      </c>
      <c r="U414" s="12">
        <f>IF(T414&gt;0,IF(T414&lt;=eco,alpha*fck*(1-(1-T414/eco)^n),alpha*fck),0)</f>
      </c>
      <c r="V414" s="30">
        <f>PM_Angle!$J$13+PM_Angle!$K$13*$C414+PM_Angle!$L$13*$B414</f>
      </c>
      <c r="W414" s="12">
        <f>IF(V414&gt;0,IF(V414&lt;=eco,alpha*fck*(1-(1-V414/eco)^n),alpha*fck),0)</f>
      </c>
      <c r="X414" s="30">
        <f>PM_Angle!$J$14+PM_Angle!$K$14*$C414+PM_Angle!$L$14*$B414</f>
      </c>
      <c r="Y414" s="12">
        <f>IF(X414&gt;0,IF(X414&lt;=eco,alpha*fck*(1-(1-X414/eco)^n),alpha*fck),0)</f>
      </c>
      <c r="Z414" s="30">
        <f>PM_Angle!$J$15+PM_Angle!$K$15*$C414+PM_Angle!$L$15*$B414</f>
      </c>
      <c r="AA414" s="12">
        <f>IF(Z414&gt;0,IF(Z414&lt;=eco,alpha*fck*(1-(1-Z414/eco)^n),alpha*fck),0)</f>
      </c>
      <c r="AB414" s="30">
        <f>PM_Angle!$J$16+PM_Angle!$K$16*$C414+PM_Angle!$L$16*$B414</f>
      </c>
      <c r="AC414" s="12">
        <f>IF(AB414&gt;0,IF(AB414&lt;=eco,alpha*fck*(1-(1-AB414/eco)^n),alpha*fck),0)</f>
      </c>
      <c r="AD414" s="30">
        <f>PM_Angle!$J$17+PM_Angle!$K$17*$C414+PM_Angle!$L$17*$B414</f>
      </c>
      <c r="AE414" s="12">
        <f>IF(AD414&gt;0,IF(AD414&lt;=eco,alpha*fck*(1-(1-AD414/eco)^n),alpha*fck),0)</f>
      </c>
      <c r="AF414" s="30">
        <f>PM_Angle!$J$18+PM_Angle!$K$18*$C414+PM_Angle!$L$18*$B414</f>
      </c>
      <c r="AG414" s="12">
        <f>IF(AF414&gt;0,IF(AF414&lt;=eco,alpha*fck*(1-(1-AF414/eco)^n),alpha*fck),0)</f>
      </c>
      <c r="AH414" s="30">
        <f>PM_Angle!$J$19+PM_Angle!$K$19*$C414+PM_Angle!$L$19*$B414</f>
      </c>
      <c r="AI414" s="12">
        <f>IF(AH414&gt;0,IF(AH414&lt;=eco,alpha*fck*(1-(1-AH414/eco)^n),alpha*fck),0)</f>
      </c>
      <c r="AJ414" s="30">
        <f>PM_Angle!$J$20+PM_Angle!$K$20*$C414+PM_Angle!$L$20*$B414</f>
      </c>
      <c r="AK414" s="12">
        <f>IF(AJ414&gt;0,IF(AJ414&lt;=eco,alpha*fck*(1-(1-AJ414/eco)^n),alpha*fck),0)</f>
      </c>
      <c r="AL414" s="30">
        <f>PM_Angle!$J$21+PM_Angle!$K$21*$C414+PM_Angle!$L$21*$B414</f>
      </c>
      <c r="AM414" s="12">
        <f>IF(AL414&gt;0,IF(AL414&lt;=eco,alpha*fck*(1-(1-AL414/eco)^n),alpha*fck),0)</f>
      </c>
      <c r="AN414" s="30">
        <f>PM_Angle!$J$22+PM_Angle!$K$22*$C414+PM_Angle!$L$22*$B414</f>
      </c>
      <c r="AO414" s="12">
        <f>IF(AN414&gt;0,IF(AN414&lt;=eco,alpha*fck*(1-(1-AN414/eco)^n),alpha*fck),0)</f>
      </c>
      <c r="AP414" s="30">
        <f>PM_Angle!$J$23+PM_Angle!$K$23*$C414+PM_Angle!$L$23*$B414</f>
      </c>
      <c r="AQ414" s="12">
        <f>IF(AP414&gt;0,IF(AP414&lt;=eco,alpha*fck*(1-(1-AP414/eco)^n),alpha*fck),0)</f>
      </c>
      <c r="AR414" s="30">
        <f>PM_Angle!$J$24+PM_Angle!$K$24*$C414+PM_Angle!$L$24*$B414</f>
      </c>
      <c r="AS414" s="12">
        <f>IF(AR414&gt;0,IF(AR414&lt;=eco,alpha*fck*(1-(1-AR414/eco)^n),alpha*fck),0)</f>
      </c>
      <c r="AT414" s="30">
        <f>PM_Angle!$J$25+PM_Angle!$K$25*$C414+PM_Angle!$L$25*$B414</f>
      </c>
      <c r="AU414" s="12">
        <f>IF(AT414&gt;0,IF(AT414&lt;=eco,alpha*fck*(1-(1-AT414/eco)^n),alpha*fck),0)</f>
      </c>
    </row>
    <row r="415" spans="1:47" x14ac:dyDescent="0.25">
      <c r="A415">
        <f>Mesh!A412</f>
      </c>
      <c r="B415" s="12">
        <f>Mesh!B412</f>
      </c>
      <c r="C415" s="12">
        <f>Mesh!C412</f>
      </c>
      <c r="D415" s="12">
        <f>Mesh!D412</f>
      </c>
      <c r="E415" s="30">
        <f>INDEX(St_e0,Det+1)+INDEX(St_kx,Det+1)*C415+INDEX(St_ky,Det+1)*B415</f>
      </c>
      <c r="F415" s="12">
        <f>IF(E415&gt;0,IF(E415&lt;=eco,alpha*fck*(1-(1-E415/eco)^n),alpha*fck),0)</f>
      </c>
      <c r="G415" s="11">
        <f>F415*D415</f>
      </c>
      <c r="H415" s="11">
        <f>G415*C415</f>
      </c>
      <c r="I415" s="11">
        <f>G415*B415</f>
      </c>
      <c r="J415" s="30">
        <f>PM_Angle!$J$7+PM_Angle!$K$7*$C415+PM_Angle!$L$7*$B415</f>
      </c>
      <c r="K415" s="12">
        <f>IF(J415&gt;0,IF(J415&lt;=eco,alpha*fck*(1-(1-J415/eco)^n),alpha*fck),0)</f>
      </c>
      <c r="L415" s="30">
        <f>PM_Angle!$J$8+PM_Angle!$K$8*$C415+PM_Angle!$L$8*$B415</f>
      </c>
      <c r="M415" s="12">
        <f>IF(L415&gt;0,IF(L415&lt;=eco,alpha*fck*(1-(1-L415/eco)^n),alpha*fck),0)</f>
      </c>
      <c r="N415" s="30">
        <f>PM_Angle!$J$9+PM_Angle!$K$9*$C415+PM_Angle!$L$9*$B415</f>
      </c>
      <c r="O415" s="12">
        <f>IF(N415&gt;0,IF(N415&lt;=eco,alpha*fck*(1-(1-N415/eco)^n),alpha*fck),0)</f>
      </c>
      <c r="P415" s="30">
        <f>PM_Angle!$J$10+PM_Angle!$K$10*$C415+PM_Angle!$L$10*$B415</f>
      </c>
      <c r="Q415" s="12">
        <f>IF(P415&gt;0,IF(P415&lt;=eco,alpha*fck*(1-(1-P415/eco)^n),alpha*fck),0)</f>
      </c>
      <c r="R415" s="30">
        <f>PM_Angle!$J$11+PM_Angle!$K$11*$C415+PM_Angle!$L$11*$B415</f>
      </c>
      <c r="S415" s="12">
        <f>IF(R415&gt;0,IF(R415&lt;=eco,alpha*fck*(1-(1-R415/eco)^n),alpha*fck),0)</f>
      </c>
      <c r="T415" s="30">
        <f>PM_Angle!$J$12+PM_Angle!$K$12*$C415+PM_Angle!$L$12*$B415</f>
      </c>
      <c r="U415" s="12">
        <f>IF(T415&gt;0,IF(T415&lt;=eco,alpha*fck*(1-(1-T415/eco)^n),alpha*fck),0)</f>
      </c>
      <c r="V415" s="30">
        <f>PM_Angle!$J$13+PM_Angle!$K$13*$C415+PM_Angle!$L$13*$B415</f>
      </c>
      <c r="W415" s="12">
        <f>IF(V415&gt;0,IF(V415&lt;=eco,alpha*fck*(1-(1-V415/eco)^n),alpha*fck),0)</f>
      </c>
      <c r="X415" s="30">
        <f>PM_Angle!$J$14+PM_Angle!$K$14*$C415+PM_Angle!$L$14*$B415</f>
      </c>
      <c r="Y415" s="12">
        <f>IF(X415&gt;0,IF(X415&lt;=eco,alpha*fck*(1-(1-X415/eco)^n),alpha*fck),0)</f>
      </c>
      <c r="Z415" s="30">
        <f>PM_Angle!$J$15+PM_Angle!$K$15*$C415+PM_Angle!$L$15*$B415</f>
      </c>
      <c r="AA415" s="12">
        <f>IF(Z415&gt;0,IF(Z415&lt;=eco,alpha*fck*(1-(1-Z415/eco)^n),alpha*fck),0)</f>
      </c>
      <c r="AB415" s="30">
        <f>PM_Angle!$J$16+PM_Angle!$K$16*$C415+PM_Angle!$L$16*$B415</f>
      </c>
      <c r="AC415" s="12">
        <f>IF(AB415&gt;0,IF(AB415&lt;=eco,alpha*fck*(1-(1-AB415/eco)^n),alpha*fck),0)</f>
      </c>
      <c r="AD415" s="30">
        <f>PM_Angle!$J$17+PM_Angle!$K$17*$C415+PM_Angle!$L$17*$B415</f>
      </c>
      <c r="AE415" s="12">
        <f>IF(AD415&gt;0,IF(AD415&lt;=eco,alpha*fck*(1-(1-AD415/eco)^n),alpha*fck),0)</f>
      </c>
      <c r="AF415" s="30">
        <f>PM_Angle!$J$18+PM_Angle!$K$18*$C415+PM_Angle!$L$18*$B415</f>
      </c>
      <c r="AG415" s="12">
        <f>IF(AF415&gt;0,IF(AF415&lt;=eco,alpha*fck*(1-(1-AF415/eco)^n),alpha*fck),0)</f>
      </c>
      <c r="AH415" s="30">
        <f>PM_Angle!$J$19+PM_Angle!$K$19*$C415+PM_Angle!$L$19*$B415</f>
      </c>
      <c r="AI415" s="12">
        <f>IF(AH415&gt;0,IF(AH415&lt;=eco,alpha*fck*(1-(1-AH415/eco)^n),alpha*fck),0)</f>
      </c>
      <c r="AJ415" s="30">
        <f>PM_Angle!$J$20+PM_Angle!$K$20*$C415+PM_Angle!$L$20*$B415</f>
      </c>
      <c r="AK415" s="12">
        <f>IF(AJ415&gt;0,IF(AJ415&lt;=eco,alpha*fck*(1-(1-AJ415/eco)^n),alpha*fck),0)</f>
      </c>
      <c r="AL415" s="30">
        <f>PM_Angle!$J$21+PM_Angle!$K$21*$C415+PM_Angle!$L$21*$B415</f>
      </c>
      <c r="AM415" s="12">
        <f>IF(AL415&gt;0,IF(AL415&lt;=eco,alpha*fck*(1-(1-AL415/eco)^n),alpha*fck),0)</f>
      </c>
      <c r="AN415" s="30">
        <f>PM_Angle!$J$22+PM_Angle!$K$22*$C415+PM_Angle!$L$22*$B415</f>
      </c>
      <c r="AO415" s="12">
        <f>IF(AN415&gt;0,IF(AN415&lt;=eco,alpha*fck*(1-(1-AN415/eco)^n),alpha*fck),0)</f>
      </c>
      <c r="AP415" s="30">
        <f>PM_Angle!$J$23+PM_Angle!$K$23*$C415+PM_Angle!$L$23*$B415</f>
      </c>
      <c r="AQ415" s="12">
        <f>IF(AP415&gt;0,IF(AP415&lt;=eco,alpha*fck*(1-(1-AP415/eco)^n),alpha*fck),0)</f>
      </c>
      <c r="AR415" s="30">
        <f>PM_Angle!$J$24+PM_Angle!$K$24*$C415+PM_Angle!$L$24*$B415</f>
      </c>
      <c r="AS415" s="12">
        <f>IF(AR415&gt;0,IF(AR415&lt;=eco,alpha*fck*(1-(1-AR415/eco)^n),alpha*fck),0)</f>
      </c>
      <c r="AT415" s="30">
        <f>PM_Angle!$J$25+PM_Angle!$K$25*$C415+PM_Angle!$L$25*$B415</f>
      </c>
      <c r="AU415" s="12">
        <f>IF(AT415&gt;0,IF(AT415&lt;=eco,alpha*fck*(1-(1-AT415/eco)^n),alpha*fck),0)</f>
      </c>
    </row>
    <row r="416" spans="1:47" x14ac:dyDescent="0.25">
      <c r="A416">
        <f>Mesh!A413</f>
      </c>
      <c r="B416" s="12">
        <f>Mesh!B413</f>
      </c>
      <c r="C416" s="12">
        <f>Mesh!C413</f>
      </c>
      <c r="D416" s="12">
        <f>Mesh!D413</f>
      </c>
      <c r="E416" s="30">
        <f>INDEX(St_e0,Det+1)+INDEX(St_kx,Det+1)*C416+INDEX(St_ky,Det+1)*B416</f>
      </c>
      <c r="F416" s="12">
        <f>IF(E416&gt;0,IF(E416&lt;=eco,alpha*fck*(1-(1-E416/eco)^n),alpha*fck),0)</f>
      </c>
      <c r="G416" s="11">
        <f>F416*D416</f>
      </c>
      <c r="H416" s="11">
        <f>G416*C416</f>
      </c>
      <c r="I416" s="11">
        <f>G416*B416</f>
      </c>
      <c r="J416" s="30">
        <f>PM_Angle!$J$7+PM_Angle!$K$7*$C416+PM_Angle!$L$7*$B416</f>
      </c>
      <c r="K416" s="12">
        <f>IF(J416&gt;0,IF(J416&lt;=eco,alpha*fck*(1-(1-J416/eco)^n),alpha*fck),0)</f>
      </c>
      <c r="L416" s="30">
        <f>PM_Angle!$J$8+PM_Angle!$K$8*$C416+PM_Angle!$L$8*$B416</f>
      </c>
      <c r="M416" s="12">
        <f>IF(L416&gt;0,IF(L416&lt;=eco,alpha*fck*(1-(1-L416/eco)^n),alpha*fck),0)</f>
      </c>
      <c r="N416" s="30">
        <f>PM_Angle!$J$9+PM_Angle!$K$9*$C416+PM_Angle!$L$9*$B416</f>
      </c>
      <c r="O416" s="12">
        <f>IF(N416&gt;0,IF(N416&lt;=eco,alpha*fck*(1-(1-N416/eco)^n),alpha*fck),0)</f>
      </c>
      <c r="P416" s="30">
        <f>PM_Angle!$J$10+PM_Angle!$K$10*$C416+PM_Angle!$L$10*$B416</f>
      </c>
      <c r="Q416" s="12">
        <f>IF(P416&gt;0,IF(P416&lt;=eco,alpha*fck*(1-(1-P416/eco)^n),alpha*fck),0)</f>
      </c>
      <c r="R416" s="30">
        <f>PM_Angle!$J$11+PM_Angle!$K$11*$C416+PM_Angle!$L$11*$B416</f>
      </c>
      <c r="S416" s="12">
        <f>IF(R416&gt;0,IF(R416&lt;=eco,alpha*fck*(1-(1-R416/eco)^n),alpha*fck),0)</f>
      </c>
      <c r="T416" s="30">
        <f>PM_Angle!$J$12+PM_Angle!$K$12*$C416+PM_Angle!$L$12*$B416</f>
      </c>
      <c r="U416" s="12">
        <f>IF(T416&gt;0,IF(T416&lt;=eco,alpha*fck*(1-(1-T416/eco)^n),alpha*fck),0)</f>
      </c>
      <c r="V416" s="30">
        <f>PM_Angle!$J$13+PM_Angle!$K$13*$C416+PM_Angle!$L$13*$B416</f>
      </c>
      <c r="W416" s="12">
        <f>IF(V416&gt;0,IF(V416&lt;=eco,alpha*fck*(1-(1-V416/eco)^n),alpha*fck),0)</f>
      </c>
      <c r="X416" s="30">
        <f>PM_Angle!$J$14+PM_Angle!$K$14*$C416+PM_Angle!$L$14*$B416</f>
      </c>
      <c r="Y416" s="12">
        <f>IF(X416&gt;0,IF(X416&lt;=eco,alpha*fck*(1-(1-X416/eco)^n),alpha*fck),0)</f>
      </c>
      <c r="Z416" s="30">
        <f>PM_Angle!$J$15+PM_Angle!$K$15*$C416+PM_Angle!$L$15*$B416</f>
      </c>
      <c r="AA416" s="12">
        <f>IF(Z416&gt;0,IF(Z416&lt;=eco,alpha*fck*(1-(1-Z416/eco)^n),alpha*fck),0)</f>
      </c>
      <c r="AB416" s="30">
        <f>PM_Angle!$J$16+PM_Angle!$K$16*$C416+PM_Angle!$L$16*$B416</f>
      </c>
      <c r="AC416" s="12">
        <f>IF(AB416&gt;0,IF(AB416&lt;=eco,alpha*fck*(1-(1-AB416/eco)^n),alpha*fck),0)</f>
      </c>
      <c r="AD416" s="30">
        <f>PM_Angle!$J$17+PM_Angle!$K$17*$C416+PM_Angle!$L$17*$B416</f>
      </c>
      <c r="AE416" s="12">
        <f>IF(AD416&gt;0,IF(AD416&lt;=eco,alpha*fck*(1-(1-AD416/eco)^n),alpha*fck),0)</f>
      </c>
      <c r="AF416" s="30">
        <f>PM_Angle!$J$18+PM_Angle!$K$18*$C416+PM_Angle!$L$18*$B416</f>
      </c>
      <c r="AG416" s="12">
        <f>IF(AF416&gt;0,IF(AF416&lt;=eco,alpha*fck*(1-(1-AF416/eco)^n),alpha*fck),0)</f>
      </c>
      <c r="AH416" s="30">
        <f>PM_Angle!$J$19+PM_Angle!$K$19*$C416+PM_Angle!$L$19*$B416</f>
      </c>
      <c r="AI416" s="12">
        <f>IF(AH416&gt;0,IF(AH416&lt;=eco,alpha*fck*(1-(1-AH416/eco)^n),alpha*fck),0)</f>
      </c>
      <c r="AJ416" s="30">
        <f>PM_Angle!$J$20+PM_Angle!$K$20*$C416+PM_Angle!$L$20*$B416</f>
      </c>
      <c r="AK416" s="12">
        <f>IF(AJ416&gt;0,IF(AJ416&lt;=eco,alpha*fck*(1-(1-AJ416/eco)^n),alpha*fck),0)</f>
      </c>
      <c r="AL416" s="30">
        <f>PM_Angle!$J$21+PM_Angle!$K$21*$C416+PM_Angle!$L$21*$B416</f>
      </c>
      <c r="AM416" s="12">
        <f>IF(AL416&gt;0,IF(AL416&lt;=eco,alpha*fck*(1-(1-AL416/eco)^n),alpha*fck),0)</f>
      </c>
      <c r="AN416" s="30">
        <f>PM_Angle!$J$22+PM_Angle!$K$22*$C416+PM_Angle!$L$22*$B416</f>
      </c>
      <c r="AO416" s="12">
        <f>IF(AN416&gt;0,IF(AN416&lt;=eco,alpha*fck*(1-(1-AN416/eco)^n),alpha*fck),0)</f>
      </c>
      <c r="AP416" s="30">
        <f>PM_Angle!$J$23+PM_Angle!$K$23*$C416+PM_Angle!$L$23*$B416</f>
      </c>
      <c r="AQ416" s="12">
        <f>IF(AP416&gt;0,IF(AP416&lt;=eco,alpha*fck*(1-(1-AP416/eco)^n),alpha*fck),0)</f>
      </c>
      <c r="AR416" s="30">
        <f>PM_Angle!$J$24+PM_Angle!$K$24*$C416+PM_Angle!$L$24*$B416</f>
      </c>
      <c r="AS416" s="12">
        <f>IF(AR416&gt;0,IF(AR416&lt;=eco,alpha*fck*(1-(1-AR416/eco)^n),alpha*fck),0)</f>
      </c>
      <c r="AT416" s="30">
        <f>PM_Angle!$J$25+PM_Angle!$K$25*$C416+PM_Angle!$L$25*$B416</f>
      </c>
      <c r="AU416" s="12">
        <f>IF(AT416&gt;0,IF(AT416&lt;=eco,alpha*fck*(1-(1-AT416/eco)^n),alpha*fck),0)</f>
      </c>
    </row>
    <row r="417" spans="1:47" x14ac:dyDescent="0.25">
      <c r="A417">
        <f>Mesh!A414</f>
      </c>
      <c r="B417" s="12">
        <f>Mesh!B414</f>
      </c>
      <c r="C417" s="12">
        <f>Mesh!C414</f>
      </c>
      <c r="D417" s="12">
        <f>Mesh!D414</f>
      </c>
      <c r="E417" s="30">
        <f>INDEX(St_e0,Det+1)+INDEX(St_kx,Det+1)*C417+INDEX(St_ky,Det+1)*B417</f>
      </c>
      <c r="F417" s="12">
        <f>IF(E417&gt;0,IF(E417&lt;=eco,alpha*fck*(1-(1-E417/eco)^n),alpha*fck),0)</f>
      </c>
      <c r="G417" s="11">
        <f>F417*D417</f>
      </c>
      <c r="H417" s="11">
        <f>G417*C417</f>
      </c>
      <c r="I417" s="11">
        <f>G417*B417</f>
      </c>
      <c r="J417" s="30">
        <f>PM_Angle!$J$7+PM_Angle!$K$7*$C417+PM_Angle!$L$7*$B417</f>
      </c>
      <c r="K417" s="12">
        <f>IF(J417&gt;0,IF(J417&lt;=eco,alpha*fck*(1-(1-J417/eco)^n),alpha*fck),0)</f>
      </c>
      <c r="L417" s="30">
        <f>PM_Angle!$J$8+PM_Angle!$K$8*$C417+PM_Angle!$L$8*$B417</f>
      </c>
      <c r="M417" s="12">
        <f>IF(L417&gt;0,IF(L417&lt;=eco,alpha*fck*(1-(1-L417/eco)^n),alpha*fck),0)</f>
      </c>
      <c r="N417" s="30">
        <f>PM_Angle!$J$9+PM_Angle!$K$9*$C417+PM_Angle!$L$9*$B417</f>
      </c>
      <c r="O417" s="12">
        <f>IF(N417&gt;0,IF(N417&lt;=eco,alpha*fck*(1-(1-N417/eco)^n),alpha*fck),0)</f>
      </c>
      <c r="P417" s="30">
        <f>PM_Angle!$J$10+PM_Angle!$K$10*$C417+PM_Angle!$L$10*$B417</f>
      </c>
      <c r="Q417" s="12">
        <f>IF(P417&gt;0,IF(P417&lt;=eco,alpha*fck*(1-(1-P417/eco)^n),alpha*fck),0)</f>
      </c>
      <c r="R417" s="30">
        <f>PM_Angle!$J$11+PM_Angle!$K$11*$C417+PM_Angle!$L$11*$B417</f>
      </c>
      <c r="S417" s="12">
        <f>IF(R417&gt;0,IF(R417&lt;=eco,alpha*fck*(1-(1-R417/eco)^n),alpha*fck),0)</f>
      </c>
      <c r="T417" s="30">
        <f>PM_Angle!$J$12+PM_Angle!$K$12*$C417+PM_Angle!$L$12*$B417</f>
      </c>
      <c r="U417" s="12">
        <f>IF(T417&gt;0,IF(T417&lt;=eco,alpha*fck*(1-(1-T417/eco)^n),alpha*fck),0)</f>
      </c>
      <c r="V417" s="30">
        <f>PM_Angle!$J$13+PM_Angle!$K$13*$C417+PM_Angle!$L$13*$B417</f>
      </c>
      <c r="W417" s="12">
        <f>IF(V417&gt;0,IF(V417&lt;=eco,alpha*fck*(1-(1-V417/eco)^n),alpha*fck),0)</f>
      </c>
      <c r="X417" s="30">
        <f>PM_Angle!$J$14+PM_Angle!$K$14*$C417+PM_Angle!$L$14*$B417</f>
      </c>
      <c r="Y417" s="12">
        <f>IF(X417&gt;0,IF(X417&lt;=eco,alpha*fck*(1-(1-X417/eco)^n),alpha*fck),0)</f>
      </c>
      <c r="Z417" s="30">
        <f>PM_Angle!$J$15+PM_Angle!$K$15*$C417+PM_Angle!$L$15*$B417</f>
      </c>
      <c r="AA417" s="12">
        <f>IF(Z417&gt;0,IF(Z417&lt;=eco,alpha*fck*(1-(1-Z417/eco)^n),alpha*fck),0)</f>
      </c>
      <c r="AB417" s="30">
        <f>PM_Angle!$J$16+PM_Angle!$K$16*$C417+PM_Angle!$L$16*$B417</f>
      </c>
      <c r="AC417" s="12">
        <f>IF(AB417&gt;0,IF(AB417&lt;=eco,alpha*fck*(1-(1-AB417/eco)^n),alpha*fck),0)</f>
      </c>
      <c r="AD417" s="30">
        <f>PM_Angle!$J$17+PM_Angle!$K$17*$C417+PM_Angle!$L$17*$B417</f>
      </c>
      <c r="AE417" s="12">
        <f>IF(AD417&gt;0,IF(AD417&lt;=eco,alpha*fck*(1-(1-AD417/eco)^n),alpha*fck),0)</f>
      </c>
      <c r="AF417" s="30">
        <f>PM_Angle!$J$18+PM_Angle!$K$18*$C417+PM_Angle!$L$18*$B417</f>
      </c>
      <c r="AG417" s="12">
        <f>IF(AF417&gt;0,IF(AF417&lt;=eco,alpha*fck*(1-(1-AF417/eco)^n),alpha*fck),0)</f>
      </c>
      <c r="AH417" s="30">
        <f>PM_Angle!$J$19+PM_Angle!$K$19*$C417+PM_Angle!$L$19*$B417</f>
      </c>
      <c r="AI417" s="12">
        <f>IF(AH417&gt;0,IF(AH417&lt;=eco,alpha*fck*(1-(1-AH417/eco)^n),alpha*fck),0)</f>
      </c>
      <c r="AJ417" s="30">
        <f>PM_Angle!$J$20+PM_Angle!$K$20*$C417+PM_Angle!$L$20*$B417</f>
      </c>
      <c r="AK417" s="12">
        <f>IF(AJ417&gt;0,IF(AJ417&lt;=eco,alpha*fck*(1-(1-AJ417/eco)^n),alpha*fck),0)</f>
      </c>
      <c r="AL417" s="30">
        <f>PM_Angle!$J$21+PM_Angle!$K$21*$C417+PM_Angle!$L$21*$B417</f>
      </c>
      <c r="AM417" s="12">
        <f>IF(AL417&gt;0,IF(AL417&lt;=eco,alpha*fck*(1-(1-AL417/eco)^n),alpha*fck),0)</f>
      </c>
      <c r="AN417" s="30">
        <f>PM_Angle!$J$22+PM_Angle!$K$22*$C417+PM_Angle!$L$22*$B417</f>
      </c>
      <c r="AO417" s="12">
        <f>IF(AN417&gt;0,IF(AN417&lt;=eco,alpha*fck*(1-(1-AN417/eco)^n),alpha*fck),0)</f>
      </c>
      <c r="AP417" s="30">
        <f>PM_Angle!$J$23+PM_Angle!$K$23*$C417+PM_Angle!$L$23*$B417</f>
      </c>
      <c r="AQ417" s="12">
        <f>IF(AP417&gt;0,IF(AP417&lt;=eco,alpha*fck*(1-(1-AP417/eco)^n),alpha*fck),0)</f>
      </c>
      <c r="AR417" s="30">
        <f>PM_Angle!$J$24+PM_Angle!$K$24*$C417+PM_Angle!$L$24*$B417</f>
      </c>
      <c r="AS417" s="12">
        <f>IF(AR417&gt;0,IF(AR417&lt;=eco,alpha*fck*(1-(1-AR417/eco)^n),alpha*fck),0)</f>
      </c>
      <c r="AT417" s="30">
        <f>PM_Angle!$J$25+PM_Angle!$K$25*$C417+PM_Angle!$L$25*$B417</f>
      </c>
      <c r="AU417" s="12">
        <f>IF(AT417&gt;0,IF(AT417&lt;=eco,alpha*fck*(1-(1-AT417/eco)^n),alpha*fck),0)</f>
      </c>
    </row>
    <row r="418" spans="1:47" x14ac:dyDescent="0.25">
      <c r="A418">
        <f>Mesh!A415</f>
      </c>
      <c r="B418" s="12">
        <f>Mesh!B415</f>
      </c>
      <c r="C418" s="12">
        <f>Mesh!C415</f>
      </c>
      <c r="D418" s="12">
        <f>Mesh!D415</f>
      </c>
      <c r="E418" s="30">
        <f>INDEX(St_e0,Det+1)+INDEX(St_kx,Det+1)*C418+INDEX(St_ky,Det+1)*B418</f>
      </c>
      <c r="F418" s="12">
        <f>IF(E418&gt;0,IF(E418&lt;=eco,alpha*fck*(1-(1-E418/eco)^n),alpha*fck),0)</f>
      </c>
      <c r="G418" s="11">
        <f>F418*D418</f>
      </c>
      <c r="H418" s="11">
        <f>G418*C418</f>
      </c>
      <c r="I418" s="11">
        <f>G418*B418</f>
      </c>
      <c r="J418" s="30">
        <f>PM_Angle!$J$7+PM_Angle!$K$7*$C418+PM_Angle!$L$7*$B418</f>
      </c>
      <c r="K418" s="12">
        <f>IF(J418&gt;0,IF(J418&lt;=eco,alpha*fck*(1-(1-J418/eco)^n),alpha*fck),0)</f>
      </c>
      <c r="L418" s="30">
        <f>PM_Angle!$J$8+PM_Angle!$K$8*$C418+PM_Angle!$L$8*$B418</f>
      </c>
      <c r="M418" s="12">
        <f>IF(L418&gt;0,IF(L418&lt;=eco,alpha*fck*(1-(1-L418/eco)^n),alpha*fck),0)</f>
      </c>
      <c r="N418" s="30">
        <f>PM_Angle!$J$9+PM_Angle!$K$9*$C418+PM_Angle!$L$9*$B418</f>
      </c>
      <c r="O418" s="12">
        <f>IF(N418&gt;0,IF(N418&lt;=eco,alpha*fck*(1-(1-N418/eco)^n),alpha*fck),0)</f>
      </c>
      <c r="P418" s="30">
        <f>PM_Angle!$J$10+PM_Angle!$K$10*$C418+PM_Angle!$L$10*$B418</f>
      </c>
      <c r="Q418" s="12">
        <f>IF(P418&gt;0,IF(P418&lt;=eco,alpha*fck*(1-(1-P418/eco)^n),alpha*fck),0)</f>
      </c>
      <c r="R418" s="30">
        <f>PM_Angle!$J$11+PM_Angle!$K$11*$C418+PM_Angle!$L$11*$B418</f>
      </c>
      <c r="S418" s="12">
        <f>IF(R418&gt;0,IF(R418&lt;=eco,alpha*fck*(1-(1-R418/eco)^n),alpha*fck),0)</f>
      </c>
      <c r="T418" s="30">
        <f>PM_Angle!$J$12+PM_Angle!$K$12*$C418+PM_Angle!$L$12*$B418</f>
      </c>
      <c r="U418" s="12">
        <f>IF(T418&gt;0,IF(T418&lt;=eco,alpha*fck*(1-(1-T418/eco)^n),alpha*fck),0)</f>
      </c>
      <c r="V418" s="30">
        <f>PM_Angle!$J$13+PM_Angle!$K$13*$C418+PM_Angle!$L$13*$B418</f>
      </c>
      <c r="W418" s="12">
        <f>IF(V418&gt;0,IF(V418&lt;=eco,alpha*fck*(1-(1-V418/eco)^n),alpha*fck),0)</f>
      </c>
      <c r="X418" s="30">
        <f>PM_Angle!$J$14+PM_Angle!$K$14*$C418+PM_Angle!$L$14*$B418</f>
      </c>
      <c r="Y418" s="12">
        <f>IF(X418&gt;0,IF(X418&lt;=eco,alpha*fck*(1-(1-X418/eco)^n),alpha*fck),0)</f>
      </c>
      <c r="Z418" s="30">
        <f>PM_Angle!$J$15+PM_Angle!$K$15*$C418+PM_Angle!$L$15*$B418</f>
      </c>
      <c r="AA418" s="12">
        <f>IF(Z418&gt;0,IF(Z418&lt;=eco,alpha*fck*(1-(1-Z418/eco)^n),alpha*fck),0)</f>
      </c>
      <c r="AB418" s="30">
        <f>PM_Angle!$J$16+PM_Angle!$K$16*$C418+PM_Angle!$L$16*$B418</f>
      </c>
      <c r="AC418" s="12">
        <f>IF(AB418&gt;0,IF(AB418&lt;=eco,alpha*fck*(1-(1-AB418/eco)^n),alpha*fck),0)</f>
      </c>
      <c r="AD418" s="30">
        <f>PM_Angle!$J$17+PM_Angle!$K$17*$C418+PM_Angle!$L$17*$B418</f>
      </c>
      <c r="AE418" s="12">
        <f>IF(AD418&gt;0,IF(AD418&lt;=eco,alpha*fck*(1-(1-AD418/eco)^n),alpha*fck),0)</f>
      </c>
      <c r="AF418" s="30">
        <f>PM_Angle!$J$18+PM_Angle!$K$18*$C418+PM_Angle!$L$18*$B418</f>
      </c>
      <c r="AG418" s="12">
        <f>IF(AF418&gt;0,IF(AF418&lt;=eco,alpha*fck*(1-(1-AF418/eco)^n),alpha*fck),0)</f>
      </c>
      <c r="AH418" s="30">
        <f>PM_Angle!$J$19+PM_Angle!$K$19*$C418+PM_Angle!$L$19*$B418</f>
      </c>
      <c r="AI418" s="12">
        <f>IF(AH418&gt;0,IF(AH418&lt;=eco,alpha*fck*(1-(1-AH418/eco)^n),alpha*fck),0)</f>
      </c>
      <c r="AJ418" s="30">
        <f>PM_Angle!$J$20+PM_Angle!$K$20*$C418+PM_Angle!$L$20*$B418</f>
      </c>
      <c r="AK418" s="12">
        <f>IF(AJ418&gt;0,IF(AJ418&lt;=eco,alpha*fck*(1-(1-AJ418/eco)^n),alpha*fck),0)</f>
      </c>
      <c r="AL418" s="30">
        <f>PM_Angle!$J$21+PM_Angle!$K$21*$C418+PM_Angle!$L$21*$B418</f>
      </c>
      <c r="AM418" s="12">
        <f>IF(AL418&gt;0,IF(AL418&lt;=eco,alpha*fck*(1-(1-AL418/eco)^n),alpha*fck),0)</f>
      </c>
      <c r="AN418" s="30">
        <f>PM_Angle!$J$22+PM_Angle!$K$22*$C418+PM_Angle!$L$22*$B418</f>
      </c>
      <c r="AO418" s="12">
        <f>IF(AN418&gt;0,IF(AN418&lt;=eco,alpha*fck*(1-(1-AN418/eco)^n),alpha*fck),0)</f>
      </c>
      <c r="AP418" s="30">
        <f>PM_Angle!$J$23+PM_Angle!$K$23*$C418+PM_Angle!$L$23*$B418</f>
      </c>
      <c r="AQ418" s="12">
        <f>IF(AP418&gt;0,IF(AP418&lt;=eco,alpha*fck*(1-(1-AP418/eco)^n),alpha*fck),0)</f>
      </c>
      <c r="AR418" s="30">
        <f>PM_Angle!$J$24+PM_Angle!$K$24*$C418+PM_Angle!$L$24*$B418</f>
      </c>
      <c r="AS418" s="12">
        <f>IF(AR418&gt;0,IF(AR418&lt;=eco,alpha*fck*(1-(1-AR418/eco)^n),alpha*fck),0)</f>
      </c>
      <c r="AT418" s="30">
        <f>PM_Angle!$J$25+PM_Angle!$K$25*$C418+PM_Angle!$L$25*$B418</f>
      </c>
      <c r="AU418" s="12">
        <f>IF(AT418&gt;0,IF(AT418&lt;=eco,alpha*fck*(1-(1-AT418/eco)^n),alpha*fck),0)</f>
      </c>
    </row>
    <row r="419" spans="1:47" x14ac:dyDescent="0.25">
      <c r="A419">
        <f>Mesh!A416</f>
      </c>
      <c r="B419" s="12">
        <f>Mesh!B416</f>
      </c>
      <c r="C419" s="12">
        <f>Mesh!C416</f>
      </c>
      <c r="D419" s="12">
        <f>Mesh!D416</f>
      </c>
      <c r="E419" s="30">
        <f>INDEX(St_e0,Det+1)+INDEX(St_kx,Det+1)*C419+INDEX(St_ky,Det+1)*B419</f>
      </c>
      <c r="F419" s="12">
        <f>IF(E419&gt;0,IF(E419&lt;=eco,alpha*fck*(1-(1-E419/eco)^n),alpha*fck),0)</f>
      </c>
      <c r="G419" s="11">
        <f>F419*D419</f>
      </c>
      <c r="H419" s="11">
        <f>G419*C419</f>
      </c>
      <c r="I419" s="11">
        <f>G419*B419</f>
      </c>
      <c r="J419" s="30">
        <f>PM_Angle!$J$7+PM_Angle!$K$7*$C419+PM_Angle!$L$7*$B419</f>
      </c>
      <c r="K419" s="12">
        <f>IF(J419&gt;0,IF(J419&lt;=eco,alpha*fck*(1-(1-J419/eco)^n),alpha*fck),0)</f>
      </c>
      <c r="L419" s="30">
        <f>PM_Angle!$J$8+PM_Angle!$K$8*$C419+PM_Angle!$L$8*$B419</f>
      </c>
      <c r="M419" s="12">
        <f>IF(L419&gt;0,IF(L419&lt;=eco,alpha*fck*(1-(1-L419/eco)^n),alpha*fck),0)</f>
      </c>
      <c r="N419" s="30">
        <f>PM_Angle!$J$9+PM_Angle!$K$9*$C419+PM_Angle!$L$9*$B419</f>
      </c>
      <c r="O419" s="12">
        <f>IF(N419&gt;0,IF(N419&lt;=eco,alpha*fck*(1-(1-N419/eco)^n),alpha*fck),0)</f>
      </c>
      <c r="P419" s="30">
        <f>PM_Angle!$J$10+PM_Angle!$K$10*$C419+PM_Angle!$L$10*$B419</f>
      </c>
      <c r="Q419" s="12">
        <f>IF(P419&gt;0,IF(P419&lt;=eco,alpha*fck*(1-(1-P419/eco)^n),alpha*fck),0)</f>
      </c>
      <c r="R419" s="30">
        <f>PM_Angle!$J$11+PM_Angle!$K$11*$C419+PM_Angle!$L$11*$B419</f>
      </c>
      <c r="S419" s="12">
        <f>IF(R419&gt;0,IF(R419&lt;=eco,alpha*fck*(1-(1-R419/eco)^n),alpha*fck),0)</f>
      </c>
      <c r="T419" s="30">
        <f>PM_Angle!$J$12+PM_Angle!$K$12*$C419+PM_Angle!$L$12*$B419</f>
      </c>
      <c r="U419" s="12">
        <f>IF(T419&gt;0,IF(T419&lt;=eco,alpha*fck*(1-(1-T419/eco)^n),alpha*fck),0)</f>
      </c>
      <c r="V419" s="30">
        <f>PM_Angle!$J$13+PM_Angle!$K$13*$C419+PM_Angle!$L$13*$B419</f>
      </c>
      <c r="W419" s="12">
        <f>IF(V419&gt;0,IF(V419&lt;=eco,alpha*fck*(1-(1-V419/eco)^n),alpha*fck),0)</f>
      </c>
      <c r="X419" s="30">
        <f>PM_Angle!$J$14+PM_Angle!$K$14*$C419+PM_Angle!$L$14*$B419</f>
      </c>
      <c r="Y419" s="12">
        <f>IF(X419&gt;0,IF(X419&lt;=eco,alpha*fck*(1-(1-X419/eco)^n),alpha*fck),0)</f>
      </c>
      <c r="Z419" s="30">
        <f>PM_Angle!$J$15+PM_Angle!$K$15*$C419+PM_Angle!$L$15*$B419</f>
      </c>
      <c r="AA419" s="12">
        <f>IF(Z419&gt;0,IF(Z419&lt;=eco,alpha*fck*(1-(1-Z419/eco)^n),alpha*fck),0)</f>
      </c>
      <c r="AB419" s="30">
        <f>PM_Angle!$J$16+PM_Angle!$K$16*$C419+PM_Angle!$L$16*$B419</f>
      </c>
      <c r="AC419" s="12">
        <f>IF(AB419&gt;0,IF(AB419&lt;=eco,alpha*fck*(1-(1-AB419/eco)^n),alpha*fck),0)</f>
      </c>
      <c r="AD419" s="30">
        <f>PM_Angle!$J$17+PM_Angle!$K$17*$C419+PM_Angle!$L$17*$B419</f>
      </c>
      <c r="AE419" s="12">
        <f>IF(AD419&gt;0,IF(AD419&lt;=eco,alpha*fck*(1-(1-AD419/eco)^n),alpha*fck),0)</f>
      </c>
      <c r="AF419" s="30">
        <f>PM_Angle!$J$18+PM_Angle!$K$18*$C419+PM_Angle!$L$18*$B419</f>
      </c>
      <c r="AG419" s="12">
        <f>IF(AF419&gt;0,IF(AF419&lt;=eco,alpha*fck*(1-(1-AF419/eco)^n),alpha*fck),0)</f>
      </c>
      <c r="AH419" s="30">
        <f>PM_Angle!$J$19+PM_Angle!$K$19*$C419+PM_Angle!$L$19*$B419</f>
      </c>
      <c r="AI419" s="12">
        <f>IF(AH419&gt;0,IF(AH419&lt;=eco,alpha*fck*(1-(1-AH419/eco)^n),alpha*fck),0)</f>
      </c>
      <c r="AJ419" s="30">
        <f>PM_Angle!$J$20+PM_Angle!$K$20*$C419+PM_Angle!$L$20*$B419</f>
      </c>
      <c r="AK419" s="12">
        <f>IF(AJ419&gt;0,IF(AJ419&lt;=eco,alpha*fck*(1-(1-AJ419/eco)^n),alpha*fck),0)</f>
      </c>
      <c r="AL419" s="30">
        <f>PM_Angle!$J$21+PM_Angle!$K$21*$C419+PM_Angle!$L$21*$B419</f>
      </c>
      <c r="AM419" s="12">
        <f>IF(AL419&gt;0,IF(AL419&lt;=eco,alpha*fck*(1-(1-AL419/eco)^n),alpha*fck),0)</f>
      </c>
      <c r="AN419" s="30">
        <f>PM_Angle!$J$22+PM_Angle!$K$22*$C419+PM_Angle!$L$22*$B419</f>
      </c>
      <c r="AO419" s="12">
        <f>IF(AN419&gt;0,IF(AN419&lt;=eco,alpha*fck*(1-(1-AN419/eco)^n),alpha*fck),0)</f>
      </c>
      <c r="AP419" s="30">
        <f>PM_Angle!$J$23+PM_Angle!$K$23*$C419+PM_Angle!$L$23*$B419</f>
      </c>
      <c r="AQ419" s="12">
        <f>IF(AP419&gt;0,IF(AP419&lt;=eco,alpha*fck*(1-(1-AP419/eco)^n),alpha*fck),0)</f>
      </c>
      <c r="AR419" s="30">
        <f>PM_Angle!$J$24+PM_Angle!$K$24*$C419+PM_Angle!$L$24*$B419</f>
      </c>
      <c r="AS419" s="12">
        <f>IF(AR419&gt;0,IF(AR419&lt;=eco,alpha*fck*(1-(1-AR419/eco)^n),alpha*fck),0)</f>
      </c>
      <c r="AT419" s="30">
        <f>PM_Angle!$J$25+PM_Angle!$K$25*$C419+PM_Angle!$L$25*$B419</f>
      </c>
      <c r="AU419" s="12">
        <f>IF(AT419&gt;0,IF(AT419&lt;=eco,alpha*fck*(1-(1-AT419/eco)^n),alpha*fck),0)</f>
      </c>
    </row>
    <row r="420" spans="1:47" x14ac:dyDescent="0.25">
      <c r="A420">
        <f>Mesh!A417</f>
      </c>
      <c r="B420" s="12">
        <f>Mesh!B417</f>
      </c>
      <c r="C420" s="12">
        <f>Mesh!C417</f>
      </c>
      <c r="D420" s="12">
        <f>Mesh!D417</f>
      </c>
      <c r="E420" s="30">
        <f>INDEX(St_e0,Det+1)+INDEX(St_kx,Det+1)*C420+INDEX(St_ky,Det+1)*B420</f>
      </c>
      <c r="F420" s="12">
        <f>IF(E420&gt;0,IF(E420&lt;=eco,alpha*fck*(1-(1-E420/eco)^n),alpha*fck),0)</f>
      </c>
      <c r="G420" s="11">
        <f>F420*D420</f>
      </c>
      <c r="H420" s="11">
        <f>G420*C420</f>
      </c>
      <c r="I420" s="11">
        <f>G420*B420</f>
      </c>
      <c r="J420" s="30">
        <f>PM_Angle!$J$7+PM_Angle!$K$7*$C420+PM_Angle!$L$7*$B420</f>
      </c>
      <c r="K420" s="12">
        <f>IF(J420&gt;0,IF(J420&lt;=eco,alpha*fck*(1-(1-J420/eco)^n),alpha*fck),0)</f>
      </c>
      <c r="L420" s="30">
        <f>PM_Angle!$J$8+PM_Angle!$K$8*$C420+PM_Angle!$L$8*$B420</f>
      </c>
      <c r="M420" s="12">
        <f>IF(L420&gt;0,IF(L420&lt;=eco,alpha*fck*(1-(1-L420/eco)^n),alpha*fck),0)</f>
      </c>
      <c r="N420" s="30">
        <f>PM_Angle!$J$9+PM_Angle!$K$9*$C420+PM_Angle!$L$9*$B420</f>
      </c>
      <c r="O420" s="12">
        <f>IF(N420&gt;0,IF(N420&lt;=eco,alpha*fck*(1-(1-N420/eco)^n),alpha*fck),0)</f>
      </c>
      <c r="P420" s="30">
        <f>PM_Angle!$J$10+PM_Angle!$K$10*$C420+PM_Angle!$L$10*$B420</f>
      </c>
      <c r="Q420" s="12">
        <f>IF(P420&gt;0,IF(P420&lt;=eco,alpha*fck*(1-(1-P420/eco)^n),alpha*fck),0)</f>
      </c>
      <c r="R420" s="30">
        <f>PM_Angle!$J$11+PM_Angle!$K$11*$C420+PM_Angle!$L$11*$B420</f>
      </c>
      <c r="S420" s="12">
        <f>IF(R420&gt;0,IF(R420&lt;=eco,alpha*fck*(1-(1-R420/eco)^n),alpha*fck),0)</f>
      </c>
      <c r="T420" s="30">
        <f>PM_Angle!$J$12+PM_Angle!$K$12*$C420+PM_Angle!$L$12*$B420</f>
      </c>
      <c r="U420" s="12">
        <f>IF(T420&gt;0,IF(T420&lt;=eco,alpha*fck*(1-(1-T420/eco)^n),alpha*fck),0)</f>
      </c>
      <c r="V420" s="30">
        <f>PM_Angle!$J$13+PM_Angle!$K$13*$C420+PM_Angle!$L$13*$B420</f>
      </c>
      <c r="W420" s="12">
        <f>IF(V420&gt;0,IF(V420&lt;=eco,alpha*fck*(1-(1-V420/eco)^n),alpha*fck),0)</f>
      </c>
      <c r="X420" s="30">
        <f>PM_Angle!$J$14+PM_Angle!$K$14*$C420+PM_Angle!$L$14*$B420</f>
      </c>
      <c r="Y420" s="12">
        <f>IF(X420&gt;0,IF(X420&lt;=eco,alpha*fck*(1-(1-X420/eco)^n),alpha*fck),0)</f>
      </c>
      <c r="Z420" s="30">
        <f>PM_Angle!$J$15+PM_Angle!$K$15*$C420+PM_Angle!$L$15*$B420</f>
      </c>
      <c r="AA420" s="12">
        <f>IF(Z420&gt;0,IF(Z420&lt;=eco,alpha*fck*(1-(1-Z420/eco)^n),alpha*fck),0)</f>
      </c>
      <c r="AB420" s="30">
        <f>PM_Angle!$J$16+PM_Angle!$K$16*$C420+PM_Angle!$L$16*$B420</f>
      </c>
      <c r="AC420" s="12">
        <f>IF(AB420&gt;0,IF(AB420&lt;=eco,alpha*fck*(1-(1-AB420/eco)^n),alpha*fck),0)</f>
      </c>
      <c r="AD420" s="30">
        <f>PM_Angle!$J$17+PM_Angle!$K$17*$C420+PM_Angle!$L$17*$B420</f>
      </c>
      <c r="AE420" s="12">
        <f>IF(AD420&gt;0,IF(AD420&lt;=eco,alpha*fck*(1-(1-AD420/eco)^n),alpha*fck),0)</f>
      </c>
      <c r="AF420" s="30">
        <f>PM_Angle!$J$18+PM_Angle!$K$18*$C420+PM_Angle!$L$18*$B420</f>
      </c>
      <c r="AG420" s="12">
        <f>IF(AF420&gt;0,IF(AF420&lt;=eco,alpha*fck*(1-(1-AF420/eco)^n),alpha*fck),0)</f>
      </c>
      <c r="AH420" s="30">
        <f>PM_Angle!$J$19+PM_Angle!$K$19*$C420+PM_Angle!$L$19*$B420</f>
      </c>
      <c r="AI420" s="12">
        <f>IF(AH420&gt;0,IF(AH420&lt;=eco,alpha*fck*(1-(1-AH420/eco)^n),alpha*fck),0)</f>
      </c>
      <c r="AJ420" s="30">
        <f>PM_Angle!$J$20+PM_Angle!$K$20*$C420+PM_Angle!$L$20*$B420</f>
      </c>
      <c r="AK420" s="12">
        <f>IF(AJ420&gt;0,IF(AJ420&lt;=eco,alpha*fck*(1-(1-AJ420/eco)^n),alpha*fck),0)</f>
      </c>
      <c r="AL420" s="30">
        <f>PM_Angle!$J$21+PM_Angle!$K$21*$C420+PM_Angle!$L$21*$B420</f>
      </c>
      <c r="AM420" s="12">
        <f>IF(AL420&gt;0,IF(AL420&lt;=eco,alpha*fck*(1-(1-AL420/eco)^n),alpha*fck),0)</f>
      </c>
      <c r="AN420" s="30">
        <f>PM_Angle!$J$22+PM_Angle!$K$22*$C420+PM_Angle!$L$22*$B420</f>
      </c>
      <c r="AO420" s="12">
        <f>IF(AN420&gt;0,IF(AN420&lt;=eco,alpha*fck*(1-(1-AN420/eco)^n),alpha*fck),0)</f>
      </c>
      <c r="AP420" s="30">
        <f>PM_Angle!$J$23+PM_Angle!$K$23*$C420+PM_Angle!$L$23*$B420</f>
      </c>
      <c r="AQ420" s="12">
        <f>IF(AP420&gt;0,IF(AP420&lt;=eco,alpha*fck*(1-(1-AP420/eco)^n),alpha*fck),0)</f>
      </c>
      <c r="AR420" s="30">
        <f>PM_Angle!$J$24+PM_Angle!$K$24*$C420+PM_Angle!$L$24*$B420</f>
      </c>
      <c r="AS420" s="12">
        <f>IF(AR420&gt;0,IF(AR420&lt;=eco,alpha*fck*(1-(1-AR420/eco)^n),alpha*fck),0)</f>
      </c>
      <c r="AT420" s="30">
        <f>PM_Angle!$J$25+PM_Angle!$K$25*$C420+PM_Angle!$L$25*$B420</f>
      </c>
      <c r="AU420" s="12">
        <f>IF(AT420&gt;0,IF(AT420&lt;=eco,alpha*fck*(1-(1-AT420/eco)^n),alpha*fck),0)</f>
      </c>
    </row>
    <row r="421" spans="1:47" x14ac:dyDescent="0.25">
      <c r="A421">
        <f>Mesh!A418</f>
      </c>
      <c r="B421" s="12">
        <f>Mesh!B418</f>
      </c>
      <c r="C421" s="12">
        <f>Mesh!C418</f>
      </c>
      <c r="D421" s="12">
        <f>Mesh!D418</f>
      </c>
      <c r="E421" s="30">
        <f>INDEX(St_e0,Det+1)+INDEX(St_kx,Det+1)*C421+INDEX(St_ky,Det+1)*B421</f>
      </c>
      <c r="F421" s="12">
        <f>IF(E421&gt;0,IF(E421&lt;=eco,alpha*fck*(1-(1-E421/eco)^n),alpha*fck),0)</f>
      </c>
      <c r="G421" s="11">
        <f>F421*D421</f>
      </c>
      <c r="H421" s="11">
        <f>G421*C421</f>
      </c>
      <c r="I421" s="11">
        <f>G421*B421</f>
      </c>
      <c r="J421" s="30">
        <f>PM_Angle!$J$7+PM_Angle!$K$7*$C421+PM_Angle!$L$7*$B421</f>
      </c>
      <c r="K421" s="12">
        <f>IF(J421&gt;0,IF(J421&lt;=eco,alpha*fck*(1-(1-J421/eco)^n),alpha*fck),0)</f>
      </c>
      <c r="L421" s="30">
        <f>PM_Angle!$J$8+PM_Angle!$K$8*$C421+PM_Angle!$L$8*$B421</f>
      </c>
      <c r="M421" s="12">
        <f>IF(L421&gt;0,IF(L421&lt;=eco,alpha*fck*(1-(1-L421/eco)^n),alpha*fck),0)</f>
      </c>
      <c r="N421" s="30">
        <f>PM_Angle!$J$9+PM_Angle!$K$9*$C421+PM_Angle!$L$9*$B421</f>
      </c>
      <c r="O421" s="12">
        <f>IF(N421&gt;0,IF(N421&lt;=eco,alpha*fck*(1-(1-N421/eco)^n),alpha*fck),0)</f>
      </c>
      <c r="P421" s="30">
        <f>PM_Angle!$J$10+PM_Angle!$K$10*$C421+PM_Angle!$L$10*$B421</f>
      </c>
      <c r="Q421" s="12">
        <f>IF(P421&gt;0,IF(P421&lt;=eco,alpha*fck*(1-(1-P421/eco)^n),alpha*fck),0)</f>
      </c>
      <c r="R421" s="30">
        <f>PM_Angle!$J$11+PM_Angle!$K$11*$C421+PM_Angle!$L$11*$B421</f>
      </c>
      <c r="S421" s="12">
        <f>IF(R421&gt;0,IF(R421&lt;=eco,alpha*fck*(1-(1-R421/eco)^n),alpha*fck),0)</f>
      </c>
      <c r="T421" s="30">
        <f>PM_Angle!$J$12+PM_Angle!$K$12*$C421+PM_Angle!$L$12*$B421</f>
      </c>
      <c r="U421" s="12">
        <f>IF(T421&gt;0,IF(T421&lt;=eco,alpha*fck*(1-(1-T421/eco)^n),alpha*fck),0)</f>
      </c>
      <c r="V421" s="30">
        <f>PM_Angle!$J$13+PM_Angle!$K$13*$C421+PM_Angle!$L$13*$B421</f>
      </c>
      <c r="W421" s="12">
        <f>IF(V421&gt;0,IF(V421&lt;=eco,alpha*fck*(1-(1-V421/eco)^n),alpha*fck),0)</f>
      </c>
      <c r="X421" s="30">
        <f>PM_Angle!$J$14+PM_Angle!$K$14*$C421+PM_Angle!$L$14*$B421</f>
      </c>
      <c r="Y421" s="12">
        <f>IF(X421&gt;0,IF(X421&lt;=eco,alpha*fck*(1-(1-X421/eco)^n),alpha*fck),0)</f>
      </c>
      <c r="Z421" s="30">
        <f>PM_Angle!$J$15+PM_Angle!$K$15*$C421+PM_Angle!$L$15*$B421</f>
      </c>
      <c r="AA421" s="12">
        <f>IF(Z421&gt;0,IF(Z421&lt;=eco,alpha*fck*(1-(1-Z421/eco)^n),alpha*fck),0)</f>
      </c>
      <c r="AB421" s="30">
        <f>PM_Angle!$J$16+PM_Angle!$K$16*$C421+PM_Angle!$L$16*$B421</f>
      </c>
      <c r="AC421" s="12">
        <f>IF(AB421&gt;0,IF(AB421&lt;=eco,alpha*fck*(1-(1-AB421/eco)^n),alpha*fck),0)</f>
      </c>
      <c r="AD421" s="30">
        <f>PM_Angle!$J$17+PM_Angle!$K$17*$C421+PM_Angle!$L$17*$B421</f>
      </c>
      <c r="AE421" s="12">
        <f>IF(AD421&gt;0,IF(AD421&lt;=eco,alpha*fck*(1-(1-AD421/eco)^n),alpha*fck),0)</f>
      </c>
      <c r="AF421" s="30">
        <f>PM_Angle!$J$18+PM_Angle!$K$18*$C421+PM_Angle!$L$18*$B421</f>
      </c>
      <c r="AG421" s="12">
        <f>IF(AF421&gt;0,IF(AF421&lt;=eco,alpha*fck*(1-(1-AF421/eco)^n),alpha*fck),0)</f>
      </c>
      <c r="AH421" s="30">
        <f>PM_Angle!$J$19+PM_Angle!$K$19*$C421+PM_Angle!$L$19*$B421</f>
      </c>
      <c r="AI421" s="12">
        <f>IF(AH421&gt;0,IF(AH421&lt;=eco,alpha*fck*(1-(1-AH421/eco)^n),alpha*fck),0)</f>
      </c>
      <c r="AJ421" s="30">
        <f>PM_Angle!$J$20+PM_Angle!$K$20*$C421+PM_Angle!$L$20*$B421</f>
      </c>
      <c r="AK421" s="12">
        <f>IF(AJ421&gt;0,IF(AJ421&lt;=eco,alpha*fck*(1-(1-AJ421/eco)^n),alpha*fck),0)</f>
      </c>
      <c r="AL421" s="30">
        <f>PM_Angle!$J$21+PM_Angle!$K$21*$C421+PM_Angle!$L$21*$B421</f>
      </c>
      <c r="AM421" s="12">
        <f>IF(AL421&gt;0,IF(AL421&lt;=eco,alpha*fck*(1-(1-AL421/eco)^n),alpha*fck),0)</f>
      </c>
      <c r="AN421" s="30">
        <f>PM_Angle!$J$22+PM_Angle!$K$22*$C421+PM_Angle!$L$22*$B421</f>
      </c>
      <c r="AO421" s="12">
        <f>IF(AN421&gt;0,IF(AN421&lt;=eco,alpha*fck*(1-(1-AN421/eco)^n),alpha*fck),0)</f>
      </c>
      <c r="AP421" s="30">
        <f>PM_Angle!$J$23+PM_Angle!$K$23*$C421+PM_Angle!$L$23*$B421</f>
      </c>
      <c r="AQ421" s="12">
        <f>IF(AP421&gt;0,IF(AP421&lt;=eco,alpha*fck*(1-(1-AP421/eco)^n),alpha*fck),0)</f>
      </c>
      <c r="AR421" s="30">
        <f>PM_Angle!$J$24+PM_Angle!$K$24*$C421+PM_Angle!$L$24*$B421</f>
      </c>
      <c r="AS421" s="12">
        <f>IF(AR421&gt;0,IF(AR421&lt;=eco,alpha*fck*(1-(1-AR421/eco)^n),alpha*fck),0)</f>
      </c>
      <c r="AT421" s="30">
        <f>PM_Angle!$J$25+PM_Angle!$K$25*$C421+PM_Angle!$L$25*$B421</f>
      </c>
      <c r="AU421" s="12">
        <f>IF(AT421&gt;0,IF(AT421&lt;=eco,alpha*fck*(1-(1-AT421/eco)^n),alpha*fck),0)</f>
      </c>
    </row>
    <row r="422" spans="1:47" x14ac:dyDescent="0.25">
      <c r="A422">
        <f>Mesh!A419</f>
      </c>
      <c r="B422" s="12">
        <f>Mesh!B419</f>
      </c>
      <c r="C422" s="12">
        <f>Mesh!C419</f>
      </c>
      <c r="D422" s="12">
        <f>Mesh!D419</f>
      </c>
      <c r="E422" s="30">
        <f>INDEX(St_e0,Det+1)+INDEX(St_kx,Det+1)*C422+INDEX(St_ky,Det+1)*B422</f>
      </c>
      <c r="F422" s="12">
        <f>IF(E422&gt;0,IF(E422&lt;=eco,alpha*fck*(1-(1-E422/eco)^n),alpha*fck),0)</f>
      </c>
      <c r="G422" s="11">
        <f>F422*D422</f>
      </c>
      <c r="H422" s="11">
        <f>G422*C422</f>
      </c>
      <c r="I422" s="11">
        <f>G422*B422</f>
      </c>
      <c r="J422" s="30">
        <f>PM_Angle!$J$7+PM_Angle!$K$7*$C422+PM_Angle!$L$7*$B422</f>
      </c>
      <c r="K422" s="12">
        <f>IF(J422&gt;0,IF(J422&lt;=eco,alpha*fck*(1-(1-J422/eco)^n),alpha*fck),0)</f>
      </c>
      <c r="L422" s="30">
        <f>PM_Angle!$J$8+PM_Angle!$K$8*$C422+PM_Angle!$L$8*$B422</f>
      </c>
      <c r="M422" s="12">
        <f>IF(L422&gt;0,IF(L422&lt;=eco,alpha*fck*(1-(1-L422/eco)^n),alpha*fck),0)</f>
      </c>
      <c r="N422" s="30">
        <f>PM_Angle!$J$9+PM_Angle!$K$9*$C422+PM_Angle!$L$9*$B422</f>
      </c>
      <c r="O422" s="12">
        <f>IF(N422&gt;0,IF(N422&lt;=eco,alpha*fck*(1-(1-N422/eco)^n),alpha*fck),0)</f>
      </c>
      <c r="P422" s="30">
        <f>PM_Angle!$J$10+PM_Angle!$K$10*$C422+PM_Angle!$L$10*$B422</f>
      </c>
      <c r="Q422" s="12">
        <f>IF(P422&gt;0,IF(P422&lt;=eco,alpha*fck*(1-(1-P422/eco)^n),alpha*fck),0)</f>
      </c>
      <c r="R422" s="30">
        <f>PM_Angle!$J$11+PM_Angle!$K$11*$C422+PM_Angle!$L$11*$B422</f>
      </c>
      <c r="S422" s="12">
        <f>IF(R422&gt;0,IF(R422&lt;=eco,alpha*fck*(1-(1-R422/eco)^n),alpha*fck),0)</f>
      </c>
      <c r="T422" s="30">
        <f>PM_Angle!$J$12+PM_Angle!$K$12*$C422+PM_Angle!$L$12*$B422</f>
      </c>
      <c r="U422" s="12">
        <f>IF(T422&gt;0,IF(T422&lt;=eco,alpha*fck*(1-(1-T422/eco)^n),alpha*fck),0)</f>
      </c>
      <c r="V422" s="30">
        <f>PM_Angle!$J$13+PM_Angle!$K$13*$C422+PM_Angle!$L$13*$B422</f>
      </c>
      <c r="W422" s="12">
        <f>IF(V422&gt;0,IF(V422&lt;=eco,alpha*fck*(1-(1-V422/eco)^n),alpha*fck),0)</f>
      </c>
      <c r="X422" s="30">
        <f>PM_Angle!$J$14+PM_Angle!$K$14*$C422+PM_Angle!$L$14*$B422</f>
      </c>
      <c r="Y422" s="12">
        <f>IF(X422&gt;0,IF(X422&lt;=eco,alpha*fck*(1-(1-X422/eco)^n),alpha*fck),0)</f>
      </c>
      <c r="Z422" s="30">
        <f>PM_Angle!$J$15+PM_Angle!$K$15*$C422+PM_Angle!$L$15*$B422</f>
      </c>
      <c r="AA422" s="12">
        <f>IF(Z422&gt;0,IF(Z422&lt;=eco,alpha*fck*(1-(1-Z422/eco)^n),alpha*fck),0)</f>
      </c>
      <c r="AB422" s="30">
        <f>PM_Angle!$J$16+PM_Angle!$K$16*$C422+PM_Angle!$L$16*$B422</f>
      </c>
      <c r="AC422" s="12">
        <f>IF(AB422&gt;0,IF(AB422&lt;=eco,alpha*fck*(1-(1-AB422/eco)^n),alpha*fck),0)</f>
      </c>
      <c r="AD422" s="30">
        <f>PM_Angle!$J$17+PM_Angle!$K$17*$C422+PM_Angle!$L$17*$B422</f>
      </c>
      <c r="AE422" s="12">
        <f>IF(AD422&gt;0,IF(AD422&lt;=eco,alpha*fck*(1-(1-AD422/eco)^n),alpha*fck),0)</f>
      </c>
      <c r="AF422" s="30">
        <f>PM_Angle!$J$18+PM_Angle!$K$18*$C422+PM_Angle!$L$18*$B422</f>
      </c>
      <c r="AG422" s="12">
        <f>IF(AF422&gt;0,IF(AF422&lt;=eco,alpha*fck*(1-(1-AF422/eco)^n),alpha*fck),0)</f>
      </c>
      <c r="AH422" s="30">
        <f>PM_Angle!$J$19+PM_Angle!$K$19*$C422+PM_Angle!$L$19*$B422</f>
      </c>
      <c r="AI422" s="12">
        <f>IF(AH422&gt;0,IF(AH422&lt;=eco,alpha*fck*(1-(1-AH422/eco)^n),alpha*fck),0)</f>
      </c>
      <c r="AJ422" s="30">
        <f>PM_Angle!$J$20+PM_Angle!$K$20*$C422+PM_Angle!$L$20*$B422</f>
      </c>
      <c r="AK422" s="12">
        <f>IF(AJ422&gt;0,IF(AJ422&lt;=eco,alpha*fck*(1-(1-AJ422/eco)^n),alpha*fck),0)</f>
      </c>
      <c r="AL422" s="30">
        <f>PM_Angle!$J$21+PM_Angle!$K$21*$C422+PM_Angle!$L$21*$B422</f>
      </c>
      <c r="AM422" s="12">
        <f>IF(AL422&gt;0,IF(AL422&lt;=eco,alpha*fck*(1-(1-AL422/eco)^n),alpha*fck),0)</f>
      </c>
      <c r="AN422" s="30">
        <f>PM_Angle!$J$22+PM_Angle!$K$22*$C422+PM_Angle!$L$22*$B422</f>
      </c>
      <c r="AO422" s="12">
        <f>IF(AN422&gt;0,IF(AN422&lt;=eco,alpha*fck*(1-(1-AN422/eco)^n),alpha*fck),0)</f>
      </c>
      <c r="AP422" s="30">
        <f>PM_Angle!$J$23+PM_Angle!$K$23*$C422+PM_Angle!$L$23*$B422</f>
      </c>
      <c r="AQ422" s="12">
        <f>IF(AP422&gt;0,IF(AP422&lt;=eco,alpha*fck*(1-(1-AP422/eco)^n),alpha*fck),0)</f>
      </c>
      <c r="AR422" s="30">
        <f>PM_Angle!$J$24+PM_Angle!$K$24*$C422+PM_Angle!$L$24*$B422</f>
      </c>
      <c r="AS422" s="12">
        <f>IF(AR422&gt;0,IF(AR422&lt;=eco,alpha*fck*(1-(1-AR422/eco)^n),alpha*fck),0)</f>
      </c>
      <c r="AT422" s="30">
        <f>PM_Angle!$J$25+PM_Angle!$K$25*$C422+PM_Angle!$L$25*$B422</f>
      </c>
      <c r="AU422" s="12">
        <f>IF(AT422&gt;0,IF(AT422&lt;=eco,alpha*fck*(1-(1-AT422/eco)^n),alpha*fck),0)</f>
      </c>
    </row>
    <row r="423" spans="1:47" x14ac:dyDescent="0.25">
      <c r="A423">
        <f>Mesh!A420</f>
      </c>
      <c r="B423" s="12">
        <f>Mesh!B420</f>
      </c>
      <c r="C423" s="12">
        <f>Mesh!C420</f>
      </c>
      <c r="D423" s="12">
        <f>Mesh!D420</f>
      </c>
      <c r="E423" s="30">
        <f>INDEX(St_e0,Det+1)+INDEX(St_kx,Det+1)*C423+INDEX(St_ky,Det+1)*B423</f>
      </c>
      <c r="F423" s="12">
        <f>IF(E423&gt;0,IF(E423&lt;=eco,alpha*fck*(1-(1-E423/eco)^n),alpha*fck),0)</f>
      </c>
      <c r="G423" s="11">
        <f>F423*D423</f>
      </c>
      <c r="H423" s="11">
        <f>G423*C423</f>
      </c>
      <c r="I423" s="11">
        <f>G423*B423</f>
      </c>
      <c r="J423" s="30">
        <f>PM_Angle!$J$7+PM_Angle!$K$7*$C423+PM_Angle!$L$7*$B423</f>
      </c>
      <c r="K423" s="12">
        <f>IF(J423&gt;0,IF(J423&lt;=eco,alpha*fck*(1-(1-J423/eco)^n),alpha*fck),0)</f>
      </c>
      <c r="L423" s="30">
        <f>PM_Angle!$J$8+PM_Angle!$K$8*$C423+PM_Angle!$L$8*$B423</f>
      </c>
      <c r="M423" s="12">
        <f>IF(L423&gt;0,IF(L423&lt;=eco,alpha*fck*(1-(1-L423/eco)^n),alpha*fck),0)</f>
      </c>
      <c r="N423" s="30">
        <f>PM_Angle!$J$9+PM_Angle!$K$9*$C423+PM_Angle!$L$9*$B423</f>
      </c>
      <c r="O423" s="12">
        <f>IF(N423&gt;0,IF(N423&lt;=eco,alpha*fck*(1-(1-N423/eco)^n),alpha*fck),0)</f>
      </c>
      <c r="P423" s="30">
        <f>PM_Angle!$J$10+PM_Angle!$K$10*$C423+PM_Angle!$L$10*$B423</f>
      </c>
      <c r="Q423" s="12">
        <f>IF(P423&gt;0,IF(P423&lt;=eco,alpha*fck*(1-(1-P423/eco)^n),alpha*fck),0)</f>
      </c>
      <c r="R423" s="30">
        <f>PM_Angle!$J$11+PM_Angle!$K$11*$C423+PM_Angle!$L$11*$B423</f>
      </c>
      <c r="S423" s="12">
        <f>IF(R423&gt;0,IF(R423&lt;=eco,alpha*fck*(1-(1-R423/eco)^n),alpha*fck),0)</f>
      </c>
      <c r="T423" s="30">
        <f>PM_Angle!$J$12+PM_Angle!$K$12*$C423+PM_Angle!$L$12*$B423</f>
      </c>
      <c r="U423" s="12">
        <f>IF(T423&gt;0,IF(T423&lt;=eco,alpha*fck*(1-(1-T423/eco)^n),alpha*fck),0)</f>
      </c>
      <c r="V423" s="30">
        <f>PM_Angle!$J$13+PM_Angle!$K$13*$C423+PM_Angle!$L$13*$B423</f>
      </c>
      <c r="W423" s="12">
        <f>IF(V423&gt;0,IF(V423&lt;=eco,alpha*fck*(1-(1-V423/eco)^n),alpha*fck),0)</f>
      </c>
      <c r="X423" s="30">
        <f>PM_Angle!$J$14+PM_Angle!$K$14*$C423+PM_Angle!$L$14*$B423</f>
      </c>
      <c r="Y423" s="12">
        <f>IF(X423&gt;0,IF(X423&lt;=eco,alpha*fck*(1-(1-X423/eco)^n),alpha*fck),0)</f>
      </c>
      <c r="Z423" s="30">
        <f>PM_Angle!$J$15+PM_Angle!$K$15*$C423+PM_Angle!$L$15*$B423</f>
      </c>
      <c r="AA423" s="12">
        <f>IF(Z423&gt;0,IF(Z423&lt;=eco,alpha*fck*(1-(1-Z423/eco)^n),alpha*fck),0)</f>
      </c>
      <c r="AB423" s="30">
        <f>PM_Angle!$J$16+PM_Angle!$K$16*$C423+PM_Angle!$L$16*$B423</f>
      </c>
      <c r="AC423" s="12">
        <f>IF(AB423&gt;0,IF(AB423&lt;=eco,alpha*fck*(1-(1-AB423/eco)^n),alpha*fck),0)</f>
      </c>
      <c r="AD423" s="30">
        <f>PM_Angle!$J$17+PM_Angle!$K$17*$C423+PM_Angle!$L$17*$B423</f>
      </c>
      <c r="AE423" s="12">
        <f>IF(AD423&gt;0,IF(AD423&lt;=eco,alpha*fck*(1-(1-AD423/eco)^n),alpha*fck),0)</f>
      </c>
      <c r="AF423" s="30">
        <f>PM_Angle!$J$18+PM_Angle!$K$18*$C423+PM_Angle!$L$18*$B423</f>
      </c>
      <c r="AG423" s="12">
        <f>IF(AF423&gt;0,IF(AF423&lt;=eco,alpha*fck*(1-(1-AF423/eco)^n),alpha*fck),0)</f>
      </c>
      <c r="AH423" s="30">
        <f>PM_Angle!$J$19+PM_Angle!$K$19*$C423+PM_Angle!$L$19*$B423</f>
      </c>
      <c r="AI423" s="12">
        <f>IF(AH423&gt;0,IF(AH423&lt;=eco,alpha*fck*(1-(1-AH423/eco)^n),alpha*fck),0)</f>
      </c>
      <c r="AJ423" s="30">
        <f>PM_Angle!$J$20+PM_Angle!$K$20*$C423+PM_Angle!$L$20*$B423</f>
      </c>
      <c r="AK423" s="12">
        <f>IF(AJ423&gt;0,IF(AJ423&lt;=eco,alpha*fck*(1-(1-AJ423/eco)^n),alpha*fck),0)</f>
      </c>
      <c r="AL423" s="30">
        <f>PM_Angle!$J$21+PM_Angle!$K$21*$C423+PM_Angle!$L$21*$B423</f>
      </c>
      <c r="AM423" s="12">
        <f>IF(AL423&gt;0,IF(AL423&lt;=eco,alpha*fck*(1-(1-AL423/eco)^n),alpha*fck),0)</f>
      </c>
      <c r="AN423" s="30">
        <f>PM_Angle!$J$22+PM_Angle!$K$22*$C423+PM_Angle!$L$22*$B423</f>
      </c>
      <c r="AO423" s="12">
        <f>IF(AN423&gt;0,IF(AN423&lt;=eco,alpha*fck*(1-(1-AN423/eco)^n),alpha*fck),0)</f>
      </c>
      <c r="AP423" s="30">
        <f>PM_Angle!$J$23+PM_Angle!$K$23*$C423+PM_Angle!$L$23*$B423</f>
      </c>
      <c r="AQ423" s="12">
        <f>IF(AP423&gt;0,IF(AP423&lt;=eco,alpha*fck*(1-(1-AP423/eco)^n),alpha*fck),0)</f>
      </c>
      <c r="AR423" s="30">
        <f>PM_Angle!$J$24+PM_Angle!$K$24*$C423+PM_Angle!$L$24*$B423</f>
      </c>
      <c r="AS423" s="12">
        <f>IF(AR423&gt;0,IF(AR423&lt;=eco,alpha*fck*(1-(1-AR423/eco)^n),alpha*fck),0)</f>
      </c>
      <c r="AT423" s="30">
        <f>PM_Angle!$J$25+PM_Angle!$K$25*$C423+PM_Angle!$L$25*$B423</f>
      </c>
      <c r="AU423" s="12">
        <f>IF(AT423&gt;0,IF(AT423&lt;=eco,alpha*fck*(1-(1-AT423/eco)^n),alpha*fck),0)</f>
      </c>
    </row>
    <row r="424" spans="1:47" x14ac:dyDescent="0.25">
      <c r="A424">
        <f>Mesh!A421</f>
      </c>
      <c r="B424" s="12">
        <f>Mesh!B421</f>
      </c>
      <c r="C424" s="12">
        <f>Mesh!C421</f>
      </c>
      <c r="D424" s="12">
        <f>Mesh!D421</f>
      </c>
      <c r="E424" s="30">
        <f>INDEX(St_e0,Det+1)+INDEX(St_kx,Det+1)*C424+INDEX(St_ky,Det+1)*B424</f>
      </c>
      <c r="F424" s="12">
        <f>IF(E424&gt;0,IF(E424&lt;=eco,alpha*fck*(1-(1-E424/eco)^n),alpha*fck),0)</f>
      </c>
      <c r="G424" s="11">
        <f>F424*D424</f>
      </c>
      <c r="H424" s="11">
        <f>G424*C424</f>
      </c>
      <c r="I424" s="11">
        <f>G424*B424</f>
      </c>
      <c r="J424" s="30">
        <f>PM_Angle!$J$7+PM_Angle!$K$7*$C424+PM_Angle!$L$7*$B424</f>
      </c>
      <c r="K424" s="12">
        <f>IF(J424&gt;0,IF(J424&lt;=eco,alpha*fck*(1-(1-J424/eco)^n),alpha*fck),0)</f>
      </c>
      <c r="L424" s="30">
        <f>PM_Angle!$J$8+PM_Angle!$K$8*$C424+PM_Angle!$L$8*$B424</f>
      </c>
      <c r="M424" s="12">
        <f>IF(L424&gt;0,IF(L424&lt;=eco,alpha*fck*(1-(1-L424/eco)^n),alpha*fck),0)</f>
      </c>
      <c r="N424" s="30">
        <f>PM_Angle!$J$9+PM_Angle!$K$9*$C424+PM_Angle!$L$9*$B424</f>
      </c>
      <c r="O424" s="12">
        <f>IF(N424&gt;0,IF(N424&lt;=eco,alpha*fck*(1-(1-N424/eco)^n),alpha*fck),0)</f>
      </c>
      <c r="P424" s="30">
        <f>PM_Angle!$J$10+PM_Angle!$K$10*$C424+PM_Angle!$L$10*$B424</f>
      </c>
      <c r="Q424" s="12">
        <f>IF(P424&gt;0,IF(P424&lt;=eco,alpha*fck*(1-(1-P424/eco)^n),alpha*fck),0)</f>
      </c>
      <c r="R424" s="30">
        <f>PM_Angle!$J$11+PM_Angle!$K$11*$C424+PM_Angle!$L$11*$B424</f>
      </c>
      <c r="S424" s="12">
        <f>IF(R424&gt;0,IF(R424&lt;=eco,alpha*fck*(1-(1-R424/eco)^n),alpha*fck),0)</f>
      </c>
      <c r="T424" s="30">
        <f>PM_Angle!$J$12+PM_Angle!$K$12*$C424+PM_Angle!$L$12*$B424</f>
      </c>
      <c r="U424" s="12">
        <f>IF(T424&gt;0,IF(T424&lt;=eco,alpha*fck*(1-(1-T424/eco)^n),alpha*fck),0)</f>
      </c>
      <c r="V424" s="30">
        <f>PM_Angle!$J$13+PM_Angle!$K$13*$C424+PM_Angle!$L$13*$B424</f>
      </c>
      <c r="W424" s="12">
        <f>IF(V424&gt;0,IF(V424&lt;=eco,alpha*fck*(1-(1-V424/eco)^n),alpha*fck),0)</f>
      </c>
      <c r="X424" s="30">
        <f>PM_Angle!$J$14+PM_Angle!$K$14*$C424+PM_Angle!$L$14*$B424</f>
      </c>
      <c r="Y424" s="12">
        <f>IF(X424&gt;0,IF(X424&lt;=eco,alpha*fck*(1-(1-X424/eco)^n),alpha*fck),0)</f>
      </c>
      <c r="Z424" s="30">
        <f>PM_Angle!$J$15+PM_Angle!$K$15*$C424+PM_Angle!$L$15*$B424</f>
      </c>
      <c r="AA424" s="12">
        <f>IF(Z424&gt;0,IF(Z424&lt;=eco,alpha*fck*(1-(1-Z424/eco)^n),alpha*fck),0)</f>
      </c>
      <c r="AB424" s="30">
        <f>PM_Angle!$J$16+PM_Angle!$K$16*$C424+PM_Angle!$L$16*$B424</f>
      </c>
      <c r="AC424" s="12">
        <f>IF(AB424&gt;0,IF(AB424&lt;=eco,alpha*fck*(1-(1-AB424/eco)^n),alpha*fck),0)</f>
      </c>
      <c r="AD424" s="30">
        <f>PM_Angle!$J$17+PM_Angle!$K$17*$C424+PM_Angle!$L$17*$B424</f>
      </c>
      <c r="AE424" s="12">
        <f>IF(AD424&gt;0,IF(AD424&lt;=eco,alpha*fck*(1-(1-AD424/eco)^n),alpha*fck),0)</f>
      </c>
      <c r="AF424" s="30">
        <f>PM_Angle!$J$18+PM_Angle!$K$18*$C424+PM_Angle!$L$18*$B424</f>
      </c>
      <c r="AG424" s="12">
        <f>IF(AF424&gt;0,IF(AF424&lt;=eco,alpha*fck*(1-(1-AF424/eco)^n),alpha*fck),0)</f>
      </c>
      <c r="AH424" s="30">
        <f>PM_Angle!$J$19+PM_Angle!$K$19*$C424+PM_Angle!$L$19*$B424</f>
      </c>
      <c r="AI424" s="12">
        <f>IF(AH424&gt;0,IF(AH424&lt;=eco,alpha*fck*(1-(1-AH424/eco)^n),alpha*fck),0)</f>
      </c>
      <c r="AJ424" s="30">
        <f>PM_Angle!$J$20+PM_Angle!$K$20*$C424+PM_Angle!$L$20*$B424</f>
      </c>
      <c r="AK424" s="12">
        <f>IF(AJ424&gt;0,IF(AJ424&lt;=eco,alpha*fck*(1-(1-AJ424/eco)^n),alpha*fck),0)</f>
      </c>
      <c r="AL424" s="30">
        <f>PM_Angle!$J$21+PM_Angle!$K$21*$C424+PM_Angle!$L$21*$B424</f>
      </c>
      <c r="AM424" s="12">
        <f>IF(AL424&gt;0,IF(AL424&lt;=eco,alpha*fck*(1-(1-AL424/eco)^n),alpha*fck),0)</f>
      </c>
      <c r="AN424" s="30">
        <f>PM_Angle!$J$22+PM_Angle!$K$22*$C424+PM_Angle!$L$22*$B424</f>
      </c>
      <c r="AO424" s="12">
        <f>IF(AN424&gt;0,IF(AN424&lt;=eco,alpha*fck*(1-(1-AN424/eco)^n),alpha*fck),0)</f>
      </c>
      <c r="AP424" s="30">
        <f>PM_Angle!$J$23+PM_Angle!$K$23*$C424+PM_Angle!$L$23*$B424</f>
      </c>
      <c r="AQ424" s="12">
        <f>IF(AP424&gt;0,IF(AP424&lt;=eco,alpha*fck*(1-(1-AP424/eco)^n),alpha*fck),0)</f>
      </c>
      <c r="AR424" s="30">
        <f>PM_Angle!$J$24+PM_Angle!$K$24*$C424+PM_Angle!$L$24*$B424</f>
      </c>
      <c r="AS424" s="12">
        <f>IF(AR424&gt;0,IF(AR424&lt;=eco,alpha*fck*(1-(1-AR424/eco)^n),alpha*fck),0)</f>
      </c>
      <c r="AT424" s="30">
        <f>PM_Angle!$J$25+PM_Angle!$K$25*$C424+PM_Angle!$L$25*$B424</f>
      </c>
      <c r="AU424" s="12">
        <f>IF(AT424&gt;0,IF(AT424&lt;=eco,alpha*fck*(1-(1-AT424/eco)^n),alpha*fck),0)</f>
      </c>
    </row>
    <row r="425" spans="1:47" x14ac:dyDescent="0.25">
      <c r="A425">
        <f>Mesh!A422</f>
      </c>
      <c r="B425" s="12">
        <f>Mesh!B422</f>
      </c>
      <c r="C425" s="12">
        <f>Mesh!C422</f>
      </c>
      <c r="D425" s="12">
        <f>Mesh!D422</f>
      </c>
      <c r="E425" s="30">
        <f>INDEX(St_e0,Det+1)+INDEX(St_kx,Det+1)*C425+INDEX(St_ky,Det+1)*B425</f>
      </c>
      <c r="F425" s="12">
        <f>IF(E425&gt;0,IF(E425&lt;=eco,alpha*fck*(1-(1-E425/eco)^n),alpha*fck),0)</f>
      </c>
      <c r="G425" s="11">
        <f>F425*D425</f>
      </c>
      <c r="H425" s="11">
        <f>G425*C425</f>
      </c>
      <c r="I425" s="11">
        <f>G425*B425</f>
      </c>
      <c r="J425" s="30">
        <f>PM_Angle!$J$7+PM_Angle!$K$7*$C425+PM_Angle!$L$7*$B425</f>
      </c>
      <c r="K425" s="12">
        <f>IF(J425&gt;0,IF(J425&lt;=eco,alpha*fck*(1-(1-J425/eco)^n),alpha*fck),0)</f>
      </c>
      <c r="L425" s="30">
        <f>PM_Angle!$J$8+PM_Angle!$K$8*$C425+PM_Angle!$L$8*$B425</f>
      </c>
      <c r="M425" s="12">
        <f>IF(L425&gt;0,IF(L425&lt;=eco,alpha*fck*(1-(1-L425/eco)^n),alpha*fck),0)</f>
      </c>
      <c r="N425" s="30">
        <f>PM_Angle!$J$9+PM_Angle!$K$9*$C425+PM_Angle!$L$9*$B425</f>
      </c>
      <c r="O425" s="12">
        <f>IF(N425&gt;0,IF(N425&lt;=eco,alpha*fck*(1-(1-N425/eco)^n),alpha*fck),0)</f>
      </c>
      <c r="P425" s="30">
        <f>PM_Angle!$J$10+PM_Angle!$K$10*$C425+PM_Angle!$L$10*$B425</f>
      </c>
      <c r="Q425" s="12">
        <f>IF(P425&gt;0,IF(P425&lt;=eco,alpha*fck*(1-(1-P425/eco)^n),alpha*fck),0)</f>
      </c>
      <c r="R425" s="30">
        <f>PM_Angle!$J$11+PM_Angle!$K$11*$C425+PM_Angle!$L$11*$B425</f>
      </c>
      <c r="S425" s="12">
        <f>IF(R425&gt;0,IF(R425&lt;=eco,alpha*fck*(1-(1-R425/eco)^n),alpha*fck),0)</f>
      </c>
      <c r="T425" s="30">
        <f>PM_Angle!$J$12+PM_Angle!$K$12*$C425+PM_Angle!$L$12*$B425</f>
      </c>
      <c r="U425" s="12">
        <f>IF(T425&gt;0,IF(T425&lt;=eco,alpha*fck*(1-(1-T425/eco)^n),alpha*fck),0)</f>
      </c>
      <c r="V425" s="30">
        <f>PM_Angle!$J$13+PM_Angle!$K$13*$C425+PM_Angle!$L$13*$B425</f>
      </c>
      <c r="W425" s="12">
        <f>IF(V425&gt;0,IF(V425&lt;=eco,alpha*fck*(1-(1-V425/eco)^n),alpha*fck),0)</f>
      </c>
      <c r="X425" s="30">
        <f>PM_Angle!$J$14+PM_Angle!$K$14*$C425+PM_Angle!$L$14*$B425</f>
      </c>
      <c r="Y425" s="12">
        <f>IF(X425&gt;0,IF(X425&lt;=eco,alpha*fck*(1-(1-X425/eco)^n),alpha*fck),0)</f>
      </c>
      <c r="Z425" s="30">
        <f>PM_Angle!$J$15+PM_Angle!$K$15*$C425+PM_Angle!$L$15*$B425</f>
      </c>
      <c r="AA425" s="12">
        <f>IF(Z425&gt;0,IF(Z425&lt;=eco,alpha*fck*(1-(1-Z425/eco)^n),alpha*fck),0)</f>
      </c>
      <c r="AB425" s="30">
        <f>PM_Angle!$J$16+PM_Angle!$K$16*$C425+PM_Angle!$L$16*$B425</f>
      </c>
      <c r="AC425" s="12">
        <f>IF(AB425&gt;0,IF(AB425&lt;=eco,alpha*fck*(1-(1-AB425/eco)^n),alpha*fck),0)</f>
      </c>
      <c r="AD425" s="30">
        <f>PM_Angle!$J$17+PM_Angle!$K$17*$C425+PM_Angle!$L$17*$B425</f>
      </c>
      <c r="AE425" s="12">
        <f>IF(AD425&gt;0,IF(AD425&lt;=eco,alpha*fck*(1-(1-AD425/eco)^n),alpha*fck),0)</f>
      </c>
      <c r="AF425" s="30">
        <f>PM_Angle!$J$18+PM_Angle!$K$18*$C425+PM_Angle!$L$18*$B425</f>
      </c>
      <c r="AG425" s="12">
        <f>IF(AF425&gt;0,IF(AF425&lt;=eco,alpha*fck*(1-(1-AF425/eco)^n),alpha*fck),0)</f>
      </c>
      <c r="AH425" s="30">
        <f>PM_Angle!$J$19+PM_Angle!$K$19*$C425+PM_Angle!$L$19*$B425</f>
      </c>
      <c r="AI425" s="12">
        <f>IF(AH425&gt;0,IF(AH425&lt;=eco,alpha*fck*(1-(1-AH425/eco)^n),alpha*fck),0)</f>
      </c>
      <c r="AJ425" s="30">
        <f>PM_Angle!$J$20+PM_Angle!$K$20*$C425+PM_Angle!$L$20*$B425</f>
      </c>
      <c r="AK425" s="12">
        <f>IF(AJ425&gt;0,IF(AJ425&lt;=eco,alpha*fck*(1-(1-AJ425/eco)^n),alpha*fck),0)</f>
      </c>
      <c r="AL425" s="30">
        <f>PM_Angle!$J$21+PM_Angle!$K$21*$C425+PM_Angle!$L$21*$B425</f>
      </c>
      <c r="AM425" s="12">
        <f>IF(AL425&gt;0,IF(AL425&lt;=eco,alpha*fck*(1-(1-AL425/eco)^n),alpha*fck),0)</f>
      </c>
      <c r="AN425" s="30">
        <f>PM_Angle!$J$22+PM_Angle!$K$22*$C425+PM_Angle!$L$22*$B425</f>
      </c>
      <c r="AO425" s="12">
        <f>IF(AN425&gt;0,IF(AN425&lt;=eco,alpha*fck*(1-(1-AN425/eco)^n),alpha*fck),0)</f>
      </c>
      <c r="AP425" s="30">
        <f>PM_Angle!$J$23+PM_Angle!$K$23*$C425+PM_Angle!$L$23*$B425</f>
      </c>
      <c r="AQ425" s="12">
        <f>IF(AP425&gt;0,IF(AP425&lt;=eco,alpha*fck*(1-(1-AP425/eco)^n),alpha*fck),0)</f>
      </c>
      <c r="AR425" s="30">
        <f>PM_Angle!$J$24+PM_Angle!$K$24*$C425+PM_Angle!$L$24*$B425</f>
      </c>
      <c r="AS425" s="12">
        <f>IF(AR425&gt;0,IF(AR425&lt;=eco,alpha*fck*(1-(1-AR425/eco)^n),alpha*fck),0)</f>
      </c>
      <c r="AT425" s="30">
        <f>PM_Angle!$J$25+PM_Angle!$K$25*$C425+PM_Angle!$L$25*$B425</f>
      </c>
      <c r="AU425" s="12">
        <f>IF(AT425&gt;0,IF(AT425&lt;=eco,alpha*fck*(1-(1-AT425/eco)^n),alpha*fck),0)</f>
      </c>
    </row>
    <row r="426" spans="1:47" x14ac:dyDescent="0.25">
      <c r="A426">
        <f>Mesh!A423</f>
      </c>
      <c r="B426" s="12">
        <f>Mesh!B423</f>
      </c>
      <c r="C426" s="12">
        <f>Mesh!C423</f>
      </c>
      <c r="D426" s="12">
        <f>Mesh!D423</f>
      </c>
      <c r="E426" s="30">
        <f>INDEX(St_e0,Det+1)+INDEX(St_kx,Det+1)*C426+INDEX(St_ky,Det+1)*B426</f>
      </c>
      <c r="F426" s="12">
        <f>IF(E426&gt;0,IF(E426&lt;=eco,alpha*fck*(1-(1-E426/eco)^n),alpha*fck),0)</f>
      </c>
      <c r="G426" s="11">
        <f>F426*D426</f>
      </c>
      <c r="H426" s="11">
        <f>G426*C426</f>
      </c>
      <c r="I426" s="11">
        <f>G426*B426</f>
      </c>
      <c r="J426" s="30">
        <f>PM_Angle!$J$7+PM_Angle!$K$7*$C426+PM_Angle!$L$7*$B426</f>
      </c>
      <c r="K426" s="12">
        <f>IF(J426&gt;0,IF(J426&lt;=eco,alpha*fck*(1-(1-J426/eco)^n),alpha*fck),0)</f>
      </c>
      <c r="L426" s="30">
        <f>PM_Angle!$J$8+PM_Angle!$K$8*$C426+PM_Angle!$L$8*$B426</f>
      </c>
      <c r="M426" s="12">
        <f>IF(L426&gt;0,IF(L426&lt;=eco,alpha*fck*(1-(1-L426/eco)^n),alpha*fck),0)</f>
      </c>
      <c r="N426" s="30">
        <f>PM_Angle!$J$9+PM_Angle!$K$9*$C426+PM_Angle!$L$9*$B426</f>
      </c>
      <c r="O426" s="12">
        <f>IF(N426&gt;0,IF(N426&lt;=eco,alpha*fck*(1-(1-N426/eco)^n),alpha*fck),0)</f>
      </c>
      <c r="P426" s="30">
        <f>PM_Angle!$J$10+PM_Angle!$K$10*$C426+PM_Angle!$L$10*$B426</f>
      </c>
      <c r="Q426" s="12">
        <f>IF(P426&gt;0,IF(P426&lt;=eco,alpha*fck*(1-(1-P426/eco)^n),alpha*fck),0)</f>
      </c>
      <c r="R426" s="30">
        <f>PM_Angle!$J$11+PM_Angle!$K$11*$C426+PM_Angle!$L$11*$B426</f>
      </c>
      <c r="S426" s="12">
        <f>IF(R426&gt;0,IF(R426&lt;=eco,alpha*fck*(1-(1-R426/eco)^n),alpha*fck),0)</f>
      </c>
      <c r="T426" s="30">
        <f>PM_Angle!$J$12+PM_Angle!$K$12*$C426+PM_Angle!$L$12*$B426</f>
      </c>
      <c r="U426" s="12">
        <f>IF(T426&gt;0,IF(T426&lt;=eco,alpha*fck*(1-(1-T426/eco)^n),alpha*fck),0)</f>
      </c>
      <c r="V426" s="30">
        <f>PM_Angle!$J$13+PM_Angle!$K$13*$C426+PM_Angle!$L$13*$B426</f>
      </c>
      <c r="W426" s="12">
        <f>IF(V426&gt;0,IF(V426&lt;=eco,alpha*fck*(1-(1-V426/eco)^n),alpha*fck),0)</f>
      </c>
      <c r="X426" s="30">
        <f>PM_Angle!$J$14+PM_Angle!$K$14*$C426+PM_Angle!$L$14*$B426</f>
      </c>
      <c r="Y426" s="12">
        <f>IF(X426&gt;0,IF(X426&lt;=eco,alpha*fck*(1-(1-X426/eco)^n),alpha*fck),0)</f>
      </c>
      <c r="Z426" s="30">
        <f>PM_Angle!$J$15+PM_Angle!$K$15*$C426+PM_Angle!$L$15*$B426</f>
      </c>
      <c r="AA426" s="12">
        <f>IF(Z426&gt;0,IF(Z426&lt;=eco,alpha*fck*(1-(1-Z426/eco)^n),alpha*fck),0)</f>
      </c>
      <c r="AB426" s="30">
        <f>PM_Angle!$J$16+PM_Angle!$K$16*$C426+PM_Angle!$L$16*$B426</f>
      </c>
      <c r="AC426" s="12">
        <f>IF(AB426&gt;0,IF(AB426&lt;=eco,alpha*fck*(1-(1-AB426/eco)^n),alpha*fck),0)</f>
      </c>
      <c r="AD426" s="30">
        <f>PM_Angle!$J$17+PM_Angle!$K$17*$C426+PM_Angle!$L$17*$B426</f>
      </c>
      <c r="AE426" s="12">
        <f>IF(AD426&gt;0,IF(AD426&lt;=eco,alpha*fck*(1-(1-AD426/eco)^n),alpha*fck),0)</f>
      </c>
      <c r="AF426" s="30">
        <f>PM_Angle!$J$18+PM_Angle!$K$18*$C426+PM_Angle!$L$18*$B426</f>
      </c>
      <c r="AG426" s="12">
        <f>IF(AF426&gt;0,IF(AF426&lt;=eco,alpha*fck*(1-(1-AF426/eco)^n),alpha*fck),0)</f>
      </c>
      <c r="AH426" s="30">
        <f>PM_Angle!$J$19+PM_Angle!$K$19*$C426+PM_Angle!$L$19*$B426</f>
      </c>
      <c r="AI426" s="12">
        <f>IF(AH426&gt;0,IF(AH426&lt;=eco,alpha*fck*(1-(1-AH426/eco)^n),alpha*fck),0)</f>
      </c>
      <c r="AJ426" s="30">
        <f>PM_Angle!$J$20+PM_Angle!$K$20*$C426+PM_Angle!$L$20*$B426</f>
      </c>
      <c r="AK426" s="12">
        <f>IF(AJ426&gt;0,IF(AJ426&lt;=eco,alpha*fck*(1-(1-AJ426/eco)^n),alpha*fck),0)</f>
      </c>
      <c r="AL426" s="30">
        <f>PM_Angle!$J$21+PM_Angle!$K$21*$C426+PM_Angle!$L$21*$B426</f>
      </c>
      <c r="AM426" s="12">
        <f>IF(AL426&gt;0,IF(AL426&lt;=eco,alpha*fck*(1-(1-AL426/eco)^n),alpha*fck),0)</f>
      </c>
      <c r="AN426" s="30">
        <f>PM_Angle!$J$22+PM_Angle!$K$22*$C426+PM_Angle!$L$22*$B426</f>
      </c>
      <c r="AO426" s="12">
        <f>IF(AN426&gt;0,IF(AN426&lt;=eco,alpha*fck*(1-(1-AN426/eco)^n),alpha*fck),0)</f>
      </c>
      <c r="AP426" s="30">
        <f>PM_Angle!$J$23+PM_Angle!$K$23*$C426+PM_Angle!$L$23*$B426</f>
      </c>
      <c r="AQ426" s="12">
        <f>IF(AP426&gt;0,IF(AP426&lt;=eco,alpha*fck*(1-(1-AP426/eco)^n),alpha*fck),0)</f>
      </c>
      <c r="AR426" s="30">
        <f>PM_Angle!$J$24+PM_Angle!$K$24*$C426+PM_Angle!$L$24*$B426</f>
      </c>
      <c r="AS426" s="12">
        <f>IF(AR426&gt;0,IF(AR426&lt;=eco,alpha*fck*(1-(1-AR426/eco)^n),alpha*fck),0)</f>
      </c>
      <c r="AT426" s="30">
        <f>PM_Angle!$J$25+PM_Angle!$K$25*$C426+PM_Angle!$L$25*$B426</f>
      </c>
      <c r="AU426" s="12">
        <f>IF(AT426&gt;0,IF(AT426&lt;=eco,alpha*fck*(1-(1-AT426/eco)^n),alpha*fck),0)</f>
      </c>
    </row>
    <row r="427" spans="1:47" x14ac:dyDescent="0.25">
      <c r="A427">
        <f>Mesh!A424</f>
      </c>
      <c r="B427" s="12">
        <f>Mesh!B424</f>
      </c>
      <c r="C427" s="12">
        <f>Mesh!C424</f>
      </c>
      <c r="D427" s="12">
        <f>Mesh!D424</f>
      </c>
      <c r="E427" s="30">
        <f>INDEX(St_e0,Det+1)+INDEX(St_kx,Det+1)*C427+INDEX(St_ky,Det+1)*B427</f>
      </c>
      <c r="F427" s="12">
        <f>IF(E427&gt;0,IF(E427&lt;=eco,alpha*fck*(1-(1-E427/eco)^n),alpha*fck),0)</f>
      </c>
      <c r="G427" s="11">
        <f>F427*D427</f>
      </c>
      <c r="H427" s="11">
        <f>G427*C427</f>
      </c>
      <c r="I427" s="11">
        <f>G427*B427</f>
      </c>
      <c r="J427" s="30">
        <f>PM_Angle!$J$7+PM_Angle!$K$7*$C427+PM_Angle!$L$7*$B427</f>
      </c>
      <c r="K427" s="12">
        <f>IF(J427&gt;0,IF(J427&lt;=eco,alpha*fck*(1-(1-J427/eco)^n),alpha*fck),0)</f>
      </c>
      <c r="L427" s="30">
        <f>PM_Angle!$J$8+PM_Angle!$K$8*$C427+PM_Angle!$L$8*$B427</f>
      </c>
      <c r="M427" s="12">
        <f>IF(L427&gt;0,IF(L427&lt;=eco,alpha*fck*(1-(1-L427/eco)^n),alpha*fck),0)</f>
      </c>
      <c r="N427" s="30">
        <f>PM_Angle!$J$9+PM_Angle!$K$9*$C427+PM_Angle!$L$9*$B427</f>
      </c>
      <c r="O427" s="12">
        <f>IF(N427&gt;0,IF(N427&lt;=eco,alpha*fck*(1-(1-N427/eco)^n),alpha*fck),0)</f>
      </c>
      <c r="P427" s="30">
        <f>PM_Angle!$J$10+PM_Angle!$K$10*$C427+PM_Angle!$L$10*$B427</f>
      </c>
      <c r="Q427" s="12">
        <f>IF(P427&gt;0,IF(P427&lt;=eco,alpha*fck*(1-(1-P427/eco)^n),alpha*fck),0)</f>
      </c>
      <c r="R427" s="30">
        <f>PM_Angle!$J$11+PM_Angle!$K$11*$C427+PM_Angle!$L$11*$B427</f>
      </c>
      <c r="S427" s="12">
        <f>IF(R427&gt;0,IF(R427&lt;=eco,alpha*fck*(1-(1-R427/eco)^n),alpha*fck),0)</f>
      </c>
      <c r="T427" s="30">
        <f>PM_Angle!$J$12+PM_Angle!$K$12*$C427+PM_Angle!$L$12*$B427</f>
      </c>
      <c r="U427" s="12">
        <f>IF(T427&gt;0,IF(T427&lt;=eco,alpha*fck*(1-(1-T427/eco)^n),alpha*fck),0)</f>
      </c>
      <c r="V427" s="30">
        <f>PM_Angle!$J$13+PM_Angle!$K$13*$C427+PM_Angle!$L$13*$B427</f>
      </c>
      <c r="W427" s="12">
        <f>IF(V427&gt;0,IF(V427&lt;=eco,alpha*fck*(1-(1-V427/eco)^n),alpha*fck),0)</f>
      </c>
      <c r="X427" s="30">
        <f>PM_Angle!$J$14+PM_Angle!$K$14*$C427+PM_Angle!$L$14*$B427</f>
      </c>
      <c r="Y427" s="12">
        <f>IF(X427&gt;0,IF(X427&lt;=eco,alpha*fck*(1-(1-X427/eco)^n),alpha*fck),0)</f>
      </c>
      <c r="Z427" s="30">
        <f>PM_Angle!$J$15+PM_Angle!$K$15*$C427+PM_Angle!$L$15*$B427</f>
      </c>
      <c r="AA427" s="12">
        <f>IF(Z427&gt;0,IF(Z427&lt;=eco,alpha*fck*(1-(1-Z427/eco)^n),alpha*fck),0)</f>
      </c>
      <c r="AB427" s="30">
        <f>PM_Angle!$J$16+PM_Angle!$K$16*$C427+PM_Angle!$L$16*$B427</f>
      </c>
      <c r="AC427" s="12">
        <f>IF(AB427&gt;0,IF(AB427&lt;=eco,alpha*fck*(1-(1-AB427/eco)^n),alpha*fck),0)</f>
      </c>
      <c r="AD427" s="30">
        <f>PM_Angle!$J$17+PM_Angle!$K$17*$C427+PM_Angle!$L$17*$B427</f>
      </c>
      <c r="AE427" s="12">
        <f>IF(AD427&gt;0,IF(AD427&lt;=eco,alpha*fck*(1-(1-AD427/eco)^n),alpha*fck),0)</f>
      </c>
      <c r="AF427" s="30">
        <f>PM_Angle!$J$18+PM_Angle!$K$18*$C427+PM_Angle!$L$18*$B427</f>
      </c>
      <c r="AG427" s="12">
        <f>IF(AF427&gt;0,IF(AF427&lt;=eco,alpha*fck*(1-(1-AF427/eco)^n),alpha*fck),0)</f>
      </c>
      <c r="AH427" s="30">
        <f>PM_Angle!$J$19+PM_Angle!$K$19*$C427+PM_Angle!$L$19*$B427</f>
      </c>
      <c r="AI427" s="12">
        <f>IF(AH427&gt;0,IF(AH427&lt;=eco,alpha*fck*(1-(1-AH427/eco)^n),alpha*fck),0)</f>
      </c>
      <c r="AJ427" s="30">
        <f>PM_Angle!$J$20+PM_Angle!$K$20*$C427+PM_Angle!$L$20*$B427</f>
      </c>
      <c r="AK427" s="12">
        <f>IF(AJ427&gt;0,IF(AJ427&lt;=eco,alpha*fck*(1-(1-AJ427/eco)^n),alpha*fck),0)</f>
      </c>
      <c r="AL427" s="30">
        <f>PM_Angle!$J$21+PM_Angle!$K$21*$C427+PM_Angle!$L$21*$B427</f>
      </c>
      <c r="AM427" s="12">
        <f>IF(AL427&gt;0,IF(AL427&lt;=eco,alpha*fck*(1-(1-AL427/eco)^n),alpha*fck),0)</f>
      </c>
      <c r="AN427" s="30">
        <f>PM_Angle!$J$22+PM_Angle!$K$22*$C427+PM_Angle!$L$22*$B427</f>
      </c>
      <c r="AO427" s="12">
        <f>IF(AN427&gt;0,IF(AN427&lt;=eco,alpha*fck*(1-(1-AN427/eco)^n),alpha*fck),0)</f>
      </c>
      <c r="AP427" s="30">
        <f>PM_Angle!$J$23+PM_Angle!$K$23*$C427+PM_Angle!$L$23*$B427</f>
      </c>
      <c r="AQ427" s="12">
        <f>IF(AP427&gt;0,IF(AP427&lt;=eco,alpha*fck*(1-(1-AP427/eco)^n),alpha*fck),0)</f>
      </c>
      <c r="AR427" s="30">
        <f>PM_Angle!$J$24+PM_Angle!$K$24*$C427+PM_Angle!$L$24*$B427</f>
      </c>
      <c r="AS427" s="12">
        <f>IF(AR427&gt;0,IF(AR427&lt;=eco,alpha*fck*(1-(1-AR427/eco)^n),alpha*fck),0)</f>
      </c>
      <c r="AT427" s="30">
        <f>PM_Angle!$J$25+PM_Angle!$K$25*$C427+PM_Angle!$L$25*$B427</f>
      </c>
      <c r="AU427" s="12">
        <f>IF(AT427&gt;0,IF(AT427&lt;=eco,alpha*fck*(1-(1-AT427/eco)^n),alpha*fck),0)</f>
      </c>
    </row>
    <row r="428" spans="1:47" x14ac:dyDescent="0.25">
      <c r="A428">
        <f>Mesh!A425</f>
      </c>
      <c r="B428" s="12">
        <f>Mesh!B425</f>
      </c>
      <c r="C428" s="12">
        <f>Mesh!C425</f>
      </c>
      <c r="D428" s="12">
        <f>Mesh!D425</f>
      </c>
      <c r="E428" s="30">
        <f>INDEX(St_e0,Det+1)+INDEX(St_kx,Det+1)*C428+INDEX(St_ky,Det+1)*B428</f>
      </c>
      <c r="F428" s="12">
        <f>IF(E428&gt;0,IF(E428&lt;=eco,alpha*fck*(1-(1-E428/eco)^n),alpha*fck),0)</f>
      </c>
      <c r="G428" s="11">
        <f>F428*D428</f>
      </c>
      <c r="H428" s="11">
        <f>G428*C428</f>
      </c>
      <c r="I428" s="11">
        <f>G428*B428</f>
      </c>
      <c r="J428" s="30">
        <f>PM_Angle!$J$7+PM_Angle!$K$7*$C428+PM_Angle!$L$7*$B428</f>
      </c>
      <c r="K428" s="12">
        <f>IF(J428&gt;0,IF(J428&lt;=eco,alpha*fck*(1-(1-J428/eco)^n),alpha*fck),0)</f>
      </c>
      <c r="L428" s="30">
        <f>PM_Angle!$J$8+PM_Angle!$K$8*$C428+PM_Angle!$L$8*$B428</f>
      </c>
      <c r="M428" s="12">
        <f>IF(L428&gt;0,IF(L428&lt;=eco,alpha*fck*(1-(1-L428/eco)^n),alpha*fck),0)</f>
      </c>
      <c r="N428" s="30">
        <f>PM_Angle!$J$9+PM_Angle!$K$9*$C428+PM_Angle!$L$9*$B428</f>
      </c>
      <c r="O428" s="12">
        <f>IF(N428&gt;0,IF(N428&lt;=eco,alpha*fck*(1-(1-N428/eco)^n),alpha*fck),0)</f>
      </c>
      <c r="P428" s="30">
        <f>PM_Angle!$J$10+PM_Angle!$K$10*$C428+PM_Angle!$L$10*$B428</f>
      </c>
      <c r="Q428" s="12">
        <f>IF(P428&gt;0,IF(P428&lt;=eco,alpha*fck*(1-(1-P428/eco)^n),alpha*fck),0)</f>
      </c>
      <c r="R428" s="30">
        <f>PM_Angle!$J$11+PM_Angle!$K$11*$C428+PM_Angle!$L$11*$B428</f>
      </c>
      <c r="S428" s="12">
        <f>IF(R428&gt;0,IF(R428&lt;=eco,alpha*fck*(1-(1-R428/eco)^n),alpha*fck),0)</f>
      </c>
      <c r="T428" s="30">
        <f>PM_Angle!$J$12+PM_Angle!$K$12*$C428+PM_Angle!$L$12*$B428</f>
      </c>
      <c r="U428" s="12">
        <f>IF(T428&gt;0,IF(T428&lt;=eco,alpha*fck*(1-(1-T428/eco)^n),alpha*fck),0)</f>
      </c>
      <c r="V428" s="30">
        <f>PM_Angle!$J$13+PM_Angle!$K$13*$C428+PM_Angle!$L$13*$B428</f>
      </c>
      <c r="W428" s="12">
        <f>IF(V428&gt;0,IF(V428&lt;=eco,alpha*fck*(1-(1-V428/eco)^n),alpha*fck),0)</f>
      </c>
      <c r="X428" s="30">
        <f>PM_Angle!$J$14+PM_Angle!$K$14*$C428+PM_Angle!$L$14*$B428</f>
      </c>
      <c r="Y428" s="12">
        <f>IF(X428&gt;0,IF(X428&lt;=eco,alpha*fck*(1-(1-X428/eco)^n),alpha*fck),0)</f>
      </c>
      <c r="Z428" s="30">
        <f>PM_Angle!$J$15+PM_Angle!$K$15*$C428+PM_Angle!$L$15*$B428</f>
      </c>
      <c r="AA428" s="12">
        <f>IF(Z428&gt;0,IF(Z428&lt;=eco,alpha*fck*(1-(1-Z428/eco)^n),alpha*fck),0)</f>
      </c>
      <c r="AB428" s="30">
        <f>PM_Angle!$J$16+PM_Angle!$K$16*$C428+PM_Angle!$L$16*$B428</f>
      </c>
      <c r="AC428" s="12">
        <f>IF(AB428&gt;0,IF(AB428&lt;=eco,alpha*fck*(1-(1-AB428/eco)^n),alpha*fck),0)</f>
      </c>
      <c r="AD428" s="30">
        <f>PM_Angle!$J$17+PM_Angle!$K$17*$C428+PM_Angle!$L$17*$B428</f>
      </c>
      <c r="AE428" s="12">
        <f>IF(AD428&gt;0,IF(AD428&lt;=eco,alpha*fck*(1-(1-AD428/eco)^n),alpha*fck),0)</f>
      </c>
      <c r="AF428" s="30">
        <f>PM_Angle!$J$18+PM_Angle!$K$18*$C428+PM_Angle!$L$18*$B428</f>
      </c>
      <c r="AG428" s="12">
        <f>IF(AF428&gt;0,IF(AF428&lt;=eco,alpha*fck*(1-(1-AF428/eco)^n),alpha*fck),0)</f>
      </c>
      <c r="AH428" s="30">
        <f>PM_Angle!$J$19+PM_Angle!$K$19*$C428+PM_Angle!$L$19*$B428</f>
      </c>
      <c r="AI428" s="12">
        <f>IF(AH428&gt;0,IF(AH428&lt;=eco,alpha*fck*(1-(1-AH428/eco)^n),alpha*fck),0)</f>
      </c>
      <c r="AJ428" s="30">
        <f>PM_Angle!$J$20+PM_Angle!$K$20*$C428+PM_Angle!$L$20*$B428</f>
      </c>
      <c r="AK428" s="12">
        <f>IF(AJ428&gt;0,IF(AJ428&lt;=eco,alpha*fck*(1-(1-AJ428/eco)^n),alpha*fck),0)</f>
      </c>
      <c r="AL428" s="30">
        <f>PM_Angle!$J$21+PM_Angle!$K$21*$C428+PM_Angle!$L$21*$B428</f>
      </c>
      <c r="AM428" s="12">
        <f>IF(AL428&gt;0,IF(AL428&lt;=eco,alpha*fck*(1-(1-AL428/eco)^n),alpha*fck),0)</f>
      </c>
      <c r="AN428" s="30">
        <f>PM_Angle!$J$22+PM_Angle!$K$22*$C428+PM_Angle!$L$22*$B428</f>
      </c>
      <c r="AO428" s="12">
        <f>IF(AN428&gt;0,IF(AN428&lt;=eco,alpha*fck*(1-(1-AN428/eco)^n),alpha*fck),0)</f>
      </c>
      <c r="AP428" s="30">
        <f>PM_Angle!$J$23+PM_Angle!$K$23*$C428+PM_Angle!$L$23*$B428</f>
      </c>
      <c r="AQ428" s="12">
        <f>IF(AP428&gt;0,IF(AP428&lt;=eco,alpha*fck*(1-(1-AP428/eco)^n),alpha*fck),0)</f>
      </c>
      <c r="AR428" s="30">
        <f>PM_Angle!$J$24+PM_Angle!$K$24*$C428+PM_Angle!$L$24*$B428</f>
      </c>
      <c r="AS428" s="12">
        <f>IF(AR428&gt;0,IF(AR428&lt;=eco,alpha*fck*(1-(1-AR428/eco)^n),alpha*fck),0)</f>
      </c>
      <c r="AT428" s="30">
        <f>PM_Angle!$J$25+PM_Angle!$K$25*$C428+PM_Angle!$L$25*$B428</f>
      </c>
      <c r="AU428" s="12">
        <f>IF(AT428&gt;0,IF(AT428&lt;=eco,alpha*fck*(1-(1-AT428/eco)^n),alpha*fck),0)</f>
      </c>
    </row>
    <row r="429" spans="1:47" x14ac:dyDescent="0.25">
      <c r="A429">
        <f>Mesh!A426</f>
      </c>
      <c r="B429" s="12">
        <f>Mesh!B426</f>
      </c>
      <c r="C429" s="12">
        <f>Mesh!C426</f>
      </c>
      <c r="D429" s="12">
        <f>Mesh!D426</f>
      </c>
      <c r="E429" s="30">
        <f>INDEX(St_e0,Det+1)+INDEX(St_kx,Det+1)*C429+INDEX(St_ky,Det+1)*B429</f>
      </c>
      <c r="F429" s="12">
        <f>IF(E429&gt;0,IF(E429&lt;=eco,alpha*fck*(1-(1-E429/eco)^n),alpha*fck),0)</f>
      </c>
      <c r="G429" s="11">
        <f>F429*D429</f>
      </c>
      <c r="H429" s="11">
        <f>G429*C429</f>
      </c>
      <c r="I429" s="11">
        <f>G429*B429</f>
      </c>
      <c r="J429" s="30">
        <f>PM_Angle!$J$7+PM_Angle!$K$7*$C429+PM_Angle!$L$7*$B429</f>
      </c>
      <c r="K429" s="12">
        <f>IF(J429&gt;0,IF(J429&lt;=eco,alpha*fck*(1-(1-J429/eco)^n),alpha*fck),0)</f>
      </c>
      <c r="L429" s="30">
        <f>PM_Angle!$J$8+PM_Angle!$K$8*$C429+PM_Angle!$L$8*$B429</f>
      </c>
      <c r="M429" s="12">
        <f>IF(L429&gt;0,IF(L429&lt;=eco,alpha*fck*(1-(1-L429/eco)^n),alpha*fck),0)</f>
      </c>
      <c r="N429" s="30">
        <f>PM_Angle!$J$9+PM_Angle!$K$9*$C429+PM_Angle!$L$9*$B429</f>
      </c>
      <c r="O429" s="12">
        <f>IF(N429&gt;0,IF(N429&lt;=eco,alpha*fck*(1-(1-N429/eco)^n),alpha*fck),0)</f>
      </c>
      <c r="P429" s="30">
        <f>PM_Angle!$J$10+PM_Angle!$K$10*$C429+PM_Angle!$L$10*$B429</f>
      </c>
      <c r="Q429" s="12">
        <f>IF(P429&gt;0,IF(P429&lt;=eco,alpha*fck*(1-(1-P429/eco)^n),alpha*fck),0)</f>
      </c>
      <c r="R429" s="30">
        <f>PM_Angle!$J$11+PM_Angle!$K$11*$C429+PM_Angle!$L$11*$B429</f>
      </c>
      <c r="S429" s="12">
        <f>IF(R429&gt;0,IF(R429&lt;=eco,alpha*fck*(1-(1-R429/eco)^n),alpha*fck),0)</f>
      </c>
      <c r="T429" s="30">
        <f>PM_Angle!$J$12+PM_Angle!$K$12*$C429+PM_Angle!$L$12*$B429</f>
      </c>
      <c r="U429" s="12">
        <f>IF(T429&gt;0,IF(T429&lt;=eco,alpha*fck*(1-(1-T429/eco)^n),alpha*fck),0)</f>
      </c>
      <c r="V429" s="30">
        <f>PM_Angle!$J$13+PM_Angle!$K$13*$C429+PM_Angle!$L$13*$B429</f>
      </c>
      <c r="W429" s="12">
        <f>IF(V429&gt;0,IF(V429&lt;=eco,alpha*fck*(1-(1-V429/eco)^n),alpha*fck),0)</f>
      </c>
      <c r="X429" s="30">
        <f>PM_Angle!$J$14+PM_Angle!$K$14*$C429+PM_Angle!$L$14*$B429</f>
      </c>
      <c r="Y429" s="12">
        <f>IF(X429&gt;0,IF(X429&lt;=eco,alpha*fck*(1-(1-X429/eco)^n),alpha*fck),0)</f>
      </c>
      <c r="Z429" s="30">
        <f>PM_Angle!$J$15+PM_Angle!$K$15*$C429+PM_Angle!$L$15*$B429</f>
      </c>
      <c r="AA429" s="12">
        <f>IF(Z429&gt;0,IF(Z429&lt;=eco,alpha*fck*(1-(1-Z429/eco)^n),alpha*fck),0)</f>
      </c>
      <c r="AB429" s="30">
        <f>PM_Angle!$J$16+PM_Angle!$K$16*$C429+PM_Angle!$L$16*$B429</f>
      </c>
      <c r="AC429" s="12">
        <f>IF(AB429&gt;0,IF(AB429&lt;=eco,alpha*fck*(1-(1-AB429/eco)^n),alpha*fck),0)</f>
      </c>
      <c r="AD429" s="30">
        <f>PM_Angle!$J$17+PM_Angle!$K$17*$C429+PM_Angle!$L$17*$B429</f>
      </c>
      <c r="AE429" s="12">
        <f>IF(AD429&gt;0,IF(AD429&lt;=eco,alpha*fck*(1-(1-AD429/eco)^n),alpha*fck),0)</f>
      </c>
      <c r="AF429" s="30">
        <f>PM_Angle!$J$18+PM_Angle!$K$18*$C429+PM_Angle!$L$18*$B429</f>
      </c>
      <c r="AG429" s="12">
        <f>IF(AF429&gt;0,IF(AF429&lt;=eco,alpha*fck*(1-(1-AF429/eco)^n),alpha*fck),0)</f>
      </c>
      <c r="AH429" s="30">
        <f>PM_Angle!$J$19+PM_Angle!$K$19*$C429+PM_Angle!$L$19*$B429</f>
      </c>
      <c r="AI429" s="12">
        <f>IF(AH429&gt;0,IF(AH429&lt;=eco,alpha*fck*(1-(1-AH429/eco)^n),alpha*fck),0)</f>
      </c>
      <c r="AJ429" s="30">
        <f>PM_Angle!$J$20+PM_Angle!$K$20*$C429+PM_Angle!$L$20*$B429</f>
      </c>
      <c r="AK429" s="12">
        <f>IF(AJ429&gt;0,IF(AJ429&lt;=eco,alpha*fck*(1-(1-AJ429/eco)^n),alpha*fck),0)</f>
      </c>
      <c r="AL429" s="30">
        <f>PM_Angle!$J$21+PM_Angle!$K$21*$C429+PM_Angle!$L$21*$B429</f>
      </c>
      <c r="AM429" s="12">
        <f>IF(AL429&gt;0,IF(AL429&lt;=eco,alpha*fck*(1-(1-AL429/eco)^n),alpha*fck),0)</f>
      </c>
      <c r="AN429" s="30">
        <f>PM_Angle!$J$22+PM_Angle!$K$22*$C429+PM_Angle!$L$22*$B429</f>
      </c>
      <c r="AO429" s="12">
        <f>IF(AN429&gt;0,IF(AN429&lt;=eco,alpha*fck*(1-(1-AN429/eco)^n),alpha*fck),0)</f>
      </c>
      <c r="AP429" s="30">
        <f>PM_Angle!$J$23+PM_Angle!$K$23*$C429+PM_Angle!$L$23*$B429</f>
      </c>
      <c r="AQ429" s="12">
        <f>IF(AP429&gt;0,IF(AP429&lt;=eco,alpha*fck*(1-(1-AP429/eco)^n),alpha*fck),0)</f>
      </c>
      <c r="AR429" s="30">
        <f>PM_Angle!$J$24+PM_Angle!$K$24*$C429+PM_Angle!$L$24*$B429</f>
      </c>
      <c r="AS429" s="12">
        <f>IF(AR429&gt;0,IF(AR429&lt;=eco,alpha*fck*(1-(1-AR429/eco)^n),alpha*fck),0)</f>
      </c>
      <c r="AT429" s="30">
        <f>PM_Angle!$J$25+PM_Angle!$K$25*$C429+PM_Angle!$L$25*$B429</f>
      </c>
      <c r="AU429" s="12">
        <f>IF(AT429&gt;0,IF(AT429&lt;=eco,alpha*fck*(1-(1-AT429/eco)^n),alpha*fck),0)</f>
      </c>
    </row>
    <row r="430" spans="1:47" x14ac:dyDescent="0.25">
      <c r="A430">
        <f>Mesh!A427</f>
      </c>
      <c r="B430" s="12">
        <f>Mesh!B427</f>
      </c>
      <c r="C430" s="12">
        <f>Mesh!C427</f>
      </c>
      <c r="D430" s="12">
        <f>Mesh!D427</f>
      </c>
      <c r="E430" s="30">
        <f>INDEX(St_e0,Det+1)+INDEX(St_kx,Det+1)*C430+INDEX(St_ky,Det+1)*B430</f>
      </c>
      <c r="F430" s="12">
        <f>IF(E430&gt;0,IF(E430&lt;=eco,alpha*fck*(1-(1-E430/eco)^n),alpha*fck),0)</f>
      </c>
      <c r="G430" s="11">
        <f>F430*D430</f>
      </c>
      <c r="H430" s="11">
        <f>G430*C430</f>
      </c>
      <c r="I430" s="11">
        <f>G430*B430</f>
      </c>
      <c r="J430" s="30">
        <f>PM_Angle!$J$7+PM_Angle!$K$7*$C430+PM_Angle!$L$7*$B430</f>
      </c>
      <c r="K430" s="12">
        <f>IF(J430&gt;0,IF(J430&lt;=eco,alpha*fck*(1-(1-J430/eco)^n),alpha*fck),0)</f>
      </c>
      <c r="L430" s="30">
        <f>PM_Angle!$J$8+PM_Angle!$K$8*$C430+PM_Angle!$L$8*$B430</f>
      </c>
      <c r="M430" s="12">
        <f>IF(L430&gt;0,IF(L430&lt;=eco,alpha*fck*(1-(1-L430/eco)^n),alpha*fck),0)</f>
      </c>
      <c r="N430" s="30">
        <f>PM_Angle!$J$9+PM_Angle!$K$9*$C430+PM_Angle!$L$9*$B430</f>
      </c>
      <c r="O430" s="12">
        <f>IF(N430&gt;0,IF(N430&lt;=eco,alpha*fck*(1-(1-N430/eco)^n),alpha*fck),0)</f>
      </c>
      <c r="P430" s="30">
        <f>PM_Angle!$J$10+PM_Angle!$K$10*$C430+PM_Angle!$L$10*$B430</f>
      </c>
      <c r="Q430" s="12">
        <f>IF(P430&gt;0,IF(P430&lt;=eco,alpha*fck*(1-(1-P430/eco)^n),alpha*fck),0)</f>
      </c>
      <c r="R430" s="30">
        <f>PM_Angle!$J$11+PM_Angle!$K$11*$C430+PM_Angle!$L$11*$B430</f>
      </c>
      <c r="S430" s="12">
        <f>IF(R430&gt;0,IF(R430&lt;=eco,alpha*fck*(1-(1-R430/eco)^n),alpha*fck),0)</f>
      </c>
      <c r="T430" s="30">
        <f>PM_Angle!$J$12+PM_Angle!$K$12*$C430+PM_Angle!$L$12*$B430</f>
      </c>
      <c r="U430" s="12">
        <f>IF(T430&gt;0,IF(T430&lt;=eco,alpha*fck*(1-(1-T430/eco)^n),alpha*fck),0)</f>
      </c>
      <c r="V430" s="30">
        <f>PM_Angle!$J$13+PM_Angle!$K$13*$C430+PM_Angle!$L$13*$B430</f>
      </c>
      <c r="W430" s="12">
        <f>IF(V430&gt;0,IF(V430&lt;=eco,alpha*fck*(1-(1-V430/eco)^n),alpha*fck),0)</f>
      </c>
      <c r="X430" s="30">
        <f>PM_Angle!$J$14+PM_Angle!$K$14*$C430+PM_Angle!$L$14*$B430</f>
      </c>
      <c r="Y430" s="12">
        <f>IF(X430&gt;0,IF(X430&lt;=eco,alpha*fck*(1-(1-X430/eco)^n),alpha*fck),0)</f>
      </c>
      <c r="Z430" s="30">
        <f>PM_Angle!$J$15+PM_Angle!$K$15*$C430+PM_Angle!$L$15*$B430</f>
      </c>
      <c r="AA430" s="12">
        <f>IF(Z430&gt;0,IF(Z430&lt;=eco,alpha*fck*(1-(1-Z430/eco)^n),alpha*fck),0)</f>
      </c>
      <c r="AB430" s="30">
        <f>PM_Angle!$J$16+PM_Angle!$K$16*$C430+PM_Angle!$L$16*$B430</f>
      </c>
      <c r="AC430" s="12">
        <f>IF(AB430&gt;0,IF(AB430&lt;=eco,alpha*fck*(1-(1-AB430/eco)^n),alpha*fck),0)</f>
      </c>
      <c r="AD430" s="30">
        <f>PM_Angle!$J$17+PM_Angle!$K$17*$C430+PM_Angle!$L$17*$B430</f>
      </c>
      <c r="AE430" s="12">
        <f>IF(AD430&gt;0,IF(AD430&lt;=eco,alpha*fck*(1-(1-AD430/eco)^n),alpha*fck),0)</f>
      </c>
      <c r="AF430" s="30">
        <f>PM_Angle!$J$18+PM_Angle!$K$18*$C430+PM_Angle!$L$18*$B430</f>
      </c>
      <c r="AG430" s="12">
        <f>IF(AF430&gt;0,IF(AF430&lt;=eco,alpha*fck*(1-(1-AF430/eco)^n),alpha*fck),0)</f>
      </c>
      <c r="AH430" s="30">
        <f>PM_Angle!$J$19+PM_Angle!$K$19*$C430+PM_Angle!$L$19*$B430</f>
      </c>
      <c r="AI430" s="12">
        <f>IF(AH430&gt;0,IF(AH430&lt;=eco,alpha*fck*(1-(1-AH430/eco)^n),alpha*fck),0)</f>
      </c>
      <c r="AJ430" s="30">
        <f>PM_Angle!$J$20+PM_Angle!$K$20*$C430+PM_Angle!$L$20*$B430</f>
      </c>
      <c r="AK430" s="12">
        <f>IF(AJ430&gt;0,IF(AJ430&lt;=eco,alpha*fck*(1-(1-AJ430/eco)^n),alpha*fck),0)</f>
      </c>
      <c r="AL430" s="30">
        <f>PM_Angle!$J$21+PM_Angle!$K$21*$C430+PM_Angle!$L$21*$B430</f>
      </c>
      <c r="AM430" s="12">
        <f>IF(AL430&gt;0,IF(AL430&lt;=eco,alpha*fck*(1-(1-AL430/eco)^n),alpha*fck),0)</f>
      </c>
      <c r="AN430" s="30">
        <f>PM_Angle!$J$22+PM_Angle!$K$22*$C430+PM_Angle!$L$22*$B430</f>
      </c>
      <c r="AO430" s="12">
        <f>IF(AN430&gt;0,IF(AN430&lt;=eco,alpha*fck*(1-(1-AN430/eco)^n),alpha*fck),0)</f>
      </c>
      <c r="AP430" s="30">
        <f>PM_Angle!$J$23+PM_Angle!$K$23*$C430+PM_Angle!$L$23*$B430</f>
      </c>
      <c r="AQ430" s="12">
        <f>IF(AP430&gt;0,IF(AP430&lt;=eco,alpha*fck*(1-(1-AP430/eco)^n),alpha*fck),0)</f>
      </c>
      <c r="AR430" s="30">
        <f>PM_Angle!$J$24+PM_Angle!$K$24*$C430+PM_Angle!$L$24*$B430</f>
      </c>
      <c r="AS430" s="12">
        <f>IF(AR430&gt;0,IF(AR430&lt;=eco,alpha*fck*(1-(1-AR430/eco)^n),alpha*fck),0)</f>
      </c>
      <c r="AT430" s="30">
        <f>PM_Angle!$J$25+PM_Angle!$K$25*$C430+PM_Angle!$L$25*$B430</f>
      </c>
      <c r="AU430" s="12">
        <f>IF(AT430&gt;0,IF(AT430&lt;=eco,alpha*fck*(1-(1-AT430/eco)^n),alpha*fck),0)</f>
      </c>
    </row>
    <row r="431" spans="1:47" x14ac:dyDescent="0.25">
      <c r="A431">
        <f>Mesh!A428</f>
      </c>
      <c r="B431" s="12">
        <f>Mesh!B428</f>
      </c>
      <c r="C431" s="12">
        <f>Mesh!C428</f>
      </c>
      <c r="D431" s="12">
        <f>Mesh!D428</f>
      </c>
      <c r="E431" s="30">
        <f>INDEX(St_e0,Det+1)+INDEX(St_kx,Det+1)*C431+INDEX(St_ky,Det+1)*B431</f>
      </c>
      <c r="F431" s="12">
        <f>IF(E431&gt;0,IF(E431&lt;=eco,alpha*fck*(1-(1-E431/eco)^n),alpha*fck),0)</f>
      </c>
      <c r="G431" s="11">
        <f>F431*D431</f>
      </c>
      <c r="H431" s="11">
        <f>G431*C431</f>
      </c>
      <c r="I431" s="11">
        <f>G431*B431</f>
      </c>
      <c r="J431" s="30">
        <f>PM_Angle!$J$7+PM_Angle!$K$7*$C431+PM_Angle!$L$7*$B431</f>
      </c>
      <c r="K431" s="12">
        <f>IF(J431&gt;0,IF(J431&lt;=eco,alpha*fck*(1-(1-J431/eco)^n),alpha*fck),0)</f>
      </c>
      <c r="L431" s="30">
        <f>PM_Angle!$J$8+PM_Angle!$K$8*$C431+PM_Angle!$L$8*$B431</f>
      </c>
      <c r="M431" s="12">
        <f>IF(L431&gt;0,IF(L431&lt;=eco,alpha*fck*(1-(1-L431/eco)^n),alpha*fck),0)</f>
      </c>
      <c r="N431" s="30">
        <f>PM_Angle!$J$9+PM_Angle!$K$9*$C431+PM_Angle!$L$9*$B431</f>
      </c>
      <c r="O431" s="12">
        <f>IF(N431&gt;0,IF(N431&lt;=eco,alpha*fck*(1-(1-N431/eco)^n),alpha*fck),0)</f>
      </c>
      <c r="P431" s="30">
        <f>PM_Angle!$J$10+PM_Angle!$K$10*$C431+PM_Angle!$L$10*$B431</f>
      </c>
      <c r="Q431" s="12">
        <f>IF(P431&gt;0,IF(P431&lt;=eco,alpha*fck*(1-(1-P431/eco)^n),alpha*fck),0)</f>
      </c>
      <c r="R431" s="30">
        <f>PM_Angle!$J$11+PM_Angle!$K$11*$C431+PM_Angle!$L$11*$B431</f>
      </c>
      <c r="S431" s="12">
        <f>IF(R431&gt;0,IF(R431&lt;=eco,alpha*fck*(1-(1-R431/eco)^n),alpha*fck),0)</f>
      </c>
      <c r="T431" s="30">
        <f>PM_Angle!$J$12+PM_Angle!$K$12*$C431+PM_Angle!$L$12*$B431</f>
      </c>
      <c r="U431" s="12">
        <f>IF(T431&gt;0,IF(T431&lt;=eco,alpha*fck*(1-(1-T431/eco)^n),alpha*fck),0)</f>
      </c>
      <c r="V431" s="30">
        <f>PM_Angle!$J$13+PM_Angle!$K$13*$C431+PM_Angle!$L$13*$B431</f>
      </c>
      <c r="W431" s="12">
        <f>IF(V431&gt;0,IF(V431&lt;=eco,alpha*fck*(1-(1-V431/eco)^n),alpha*fck),0)</f>
      </c>
      <c r="X431" s="30">
        <f>PM_Angle!$J$14+PM_Angle!$K$14*$C431+PM_Angle!$L$14*$B431</f>
      </c>
      <c r="Y431" s="12">
        <f>IF(X431&gt;0,IF(X431&lt;=eco,alpha*fck*(1-(1-X431/eco)^n),alpha*fck),0)</f>
      </c>
      <c r="Z431" s="30">
        <f>PM_Angle!$J$15+PM_Angle!$K$15*$C431+PM_Angle!$L$15*$B431</f>
      </c>
      <c r="AA431" s="12">
        <f>IF(Z431&gt;0,IF(Z431&lt;=eco,alpha*fck*(1-(1-Z431/eco)^n),alpha*fck),0)</f>
      </c>
      <c r="AB431" s="30">
        <f>PM_Angle!$J$16+PM_Angle!$K$16*$C431+PM_Angle!$L$16*$B431</f>
      </c>
      <c r="AC431" s="12">
        <f>IF(AB431&gt;0,IF(AB431&lt;=eco,alpha*fck*(1-(1-AB431/eco)^n),alpha*fck),0)</f>
      </c>
      <c r="AD431" s="30">
        <f>PM_Angle!$J$17+PM_Angle!$K$17*$C431+PM_Angle!$L$17*$B431</f>
      </c>
      <c r="AE431" s="12">
        <f>IF(AD431&gt;0,IF(AD431&lt;=eco,alpha*fck*(1-(1-AD431/eco)^n),alpha*fck),0)</f>
      </c>
      <c r="AF431" s="30">
        <f>PM_Angle!$J$18+PM_Angle!$K$18*$C431+PM_Angle!$L$18*$B431</f>
      </c>
      <c r="AG431" s="12">
        <f>IF(AF431&gt;0,IF(AF431&lt;=eco,alpha*fck*(1-(1-AF431/eco)^n),alpha*fck),0)</f>
      </c>
      <c r="AH431" s="30">
        <f>PM_Angle!$J$19+PM_Angle!$K$19*$C431+PM_Angle!$L$19*$B431</f>
      </c>
      <c r="AI431" s="12">
        <f>IF(AH431&gt;0,IF(AH431&lt;=eco,alpha*fck*(1-(1-AH431/eco)^n),alpha*fck),0)</f>
      </c>
      <c r="AJ431" s="30">
        <f>PM_Angle!$J$20+PM_Angle!$K$20*$C431+PM_Angle!$L$20*$B431</f>
      </c>
      <c r="AK431" s="12">
        <f>IF(AJ431&gt;0,IF(AJ431&lt;=eco,alpha*fck*(1-(1-AJ431/eco)^n),alpha*fck),0)</f>
      </c>
      <c r="AL431" s="30">
        <f>PM_Angle!$J$21+PM_Angle!$K$21*$C431+PM_Angle!$L$21*$B431</f>
      </c>
      <c r="AM431" s="12">
        <f>IF(AL431&gt;0,IF(AL431&lt;=eco,alpha*fck*(1-(1-AL431/eco)^n),alpha*fck),0)</f>
      </c>
      <c r="AN431" s="30">
        <f>PM_Angle!$J$22+PM_Angle!$K$22*$C431+PM_Angle!$L$22*$B431</f>
      </c>
      <c r="AO431" s="12">
        <f>IF(AN431&gt;0,IF(AN431&lt;=eco,alpha*fck*(1-(1-AN431/eco)^n),alpha*fck),0)</f>
      </c>
      <c r="AP431" s="30">
        <f>PM_Angle!$J$23+PM_Angle!$K$23*$C431+PM_Angle!$L$23*$B431</f>
      </c>
      <c r="AQ431" s="12">
        <f>IF(AP431&gt;0,IF(AP431&lt;=eco,alpha*fck*(1-(1-AP431/eco)^n),alpha*fck),0)</f>
      </c>
      <c r="AR431" s="30">
        <f>PM_Angle!$J$24+PM_Angle!$K$24*$C431+PM_Angle!$L$24*$B431</f>
      </c>
      <c r="AS431" s="12">
        <f>IF(AR431&gt;0,IF(AR431&lt;=eco,alpha*fck*(1-(1-AR431/eco)^n),alpha*fck),0)</f>
      </c>
      <c r="AT431" s="30">
        <f>PM_Angle!$J$25+PM_Angle!$K$25*$C431+PM_Angle!$L$25*$B431</f>
      </c>
      <c r="AU431" s="12">
        <f>IF(AT431&gt;0,IF(AT431&lt;=eco,alpha*fck*(1-(1-AT431/eco)^n),alpha*fck),0)</f>
      </c>
    </row>
    <row r="432" spans="1:47" x14ac:dyDescent="0.25">
      <c r="A432">
        <f>Mesh!A429</f>
      </c>
      <c r="B432" s="12">
        <f>Mesh!B429</f>
      </c>
      <c r="C432" s="12">
        <f>Mesh!C429</f>
      </c>
      <c r="D432" s="12">
        <f>Mesh!D429</f>
      </c>
      <c r="E432" s="30">
        <f>INDEX(St_e0,Det+1)+INDEX(St_kx,Det+1)*C432+INDEX(St_ky,Det+1)*B432</f>
      </c>
      <c r="F432" s="12">
        <f>IF(E432&gt;0,IF(E432&lt;=eco,alpha*fck*(1-(1-E432/eco)^n),alpha*fck),0)</f>
      </c>
      <c r="G432" s="11">
        <f>F432*D432</f>
      </c>
      <c r="H432" s="11">
        <f>G432*C432</f>
      </c>
      <c r="I432" s="11">
        <f>G432*B432</f>
      </c>
      <c r="J432" s="30">
        <f>PM_Angle!$J$7+PM_Angle!$K$7*$C432+PM_Angle!$L$7*$B432</f>
      </c>
      <c r="K432" s="12">
        <f>IF(J432&gt;0,IF(J432&lt;=eco,alpha*fck*(1-(1-J432/eco)^n),alpha*fck),0)</f>
      </c>
      <c r="L432" s="30">
        <f>PM_Angle!$J$8+PM_Angle!$K$8*$C432+PM_Angle!$L$8*$B432</f>
      </c>
      <c r="M432" s="12">
        <f>IF(L432&gt;0,IF(L432&lt;=eco,alpha*fck*(1-(1-L432/eco)^n),alpha*fck),0)</f>
      </c>
      <c r="N432" s="30">
        <f>PM_Angle!$J$9+PM_Angle!$K$9*$C432+PM_Angle!$L$9*$B432</f>
      </c>
      <c r="O432" s="12">
        <f>IF(N432&gt;0,IF(N432&lt;=eco,alpha*fck*(1-(1-N432/eco)^n),alpha*fck),0)</f>
      </c>
      <c r="P432" s="30">
        <f>PM_Angle!$J$10+PM_Angle!$K$10*$C432+PM_Angle!$L$10*$B432</f>
      </c>
      <c r="Q432" s="12">
        <f>IF(P432&gt;0,IF(P432&lt;=eco,alpha*fck*(1-(1-P432/eco)^n),alpha*fck),0)</f>
      </c>
      <c r="R432" s="30">
        <f>PM_Angle!$J$11+PM_Angle!$K$11*$C432+PM_Angle!$L$11*$B432</f>
      </c>
      <c r="S432" s="12">
        <f>IF(R432&gt;0,IF(R432&lt;=eco,alpha*fck*(1-(1-R432/eco)^n),alpha*fck),0)</f>
      </c>
      <c r="T432" s="30">
        <f>PM_Angle!$J$12+PM_Angle!$K$12*$C432+PM_Angle!$L$12*$B432</f>
      </c>
      <c r="U432" s="12">
        <f>IF(T432&gt;0,IF(T432&lt;=eco,alpha*fck*(1-(1-T432/eco)^n),alpha*fck),0)</f>
      </c>
      <c r="V432" s="30">
        <f>PM_Angle!$J$13+PM_Angle!$K$13*$C432+PM_Angle!$L$13*$B432</f>
      </c>
      <c r="W432" s="12">
        <f>IF(V432&gt;0,IF(V432&lt;=eco,alpha*fck*(1-(1-V432/eco)^n),alpha*fck),0)</f>
      </c>
      <c r="X432" s="30">
        <f>PM_Angle!$J$14+PM_Angle!$K$14*$C432+PM_Angle!$L$14*$B432</f>
      </c>
      <c r="Y432" s="12">
        <f>IF(X432&gt;0,IF(X432&lt;=eco,alpha*fck*(1-(1-X432/eco)^n),alpha*fck),0)</f>
      </c>
      <c r="Z432" s="30">
        <f>PM_Angle!$J$15+PM_Angle!$K$15*$C432+PM_Angle!$L$15*$B432</f>
      </c>
      <c r="AA432" s="12">
        <f>IF(Z432&gt;0,IF(Z432&lt;=eco,alpha*fck*(1-(1-Z432/eco)^n),alpha*fck),0)</f>
      </c>
      <c r="AB432" s="30">
        <f>PM_Angle!$J$16+PM_Angle!$K$16*$C432+PM_Angle!$L$16*$B432</f>
      </c>
      <c r="AC432" s="12">
        <f>IF(AB432&gt;0,IF(AB432&lt;=eco,alpha*fck*(1-(1-AB432/eco)^n),alpha*fck),0)</f>
      </c>
      <c r="AD432" s="30">
        <f>PM_Angle!$J$17+PM_Angle!$K$17*$C432+PM_Angle!$L$17*$B432</f>
      </c>
      <c r="AE432" s="12">
        <f>IF(AD432&gt;0,IF(AD432&lt;=eco,alpha*fck*(1-(1-AD432/eco)^n),alpha*fck),0)</f>
      </c>
      <c r="AF432" s="30">
        <f>PM_Angle!$J$18+PM_Angle!$K$18*$C432+PM_Angle!$L$18*$B432</f>
      </c>
      <c r="AG432" s="12">
        <f>IF(AF432&gt;0,IF(AF432&lt;=eco,alpha*fck*(1-(1-AF432/eco)^n),alpha*fck),0)</f>
      </c>
      <c r="AH432" s="30">
        <f>PM_Angle!$J$19+PM_Angle!$K$19*$C432+PM_Angle!$L$19*$B432</f>
      </c>
      <c r="AI432" s="12">
        <f>IF(AH432&gt;0,IF(AH432&lt;=eco,alpha*fck*(1-(1-AH432/eco)^n),alpha*fck),0)</f>
      </c>
      <c r="AJ432" s="30">
        <f>PM_Angle!$J$20+PM_Angle!$K$20*$C432+PM_Angle!$L$20*$B432</f>
      </c>
      <c r="AK432" s="12">
        <f>IF(AJ432&gt;0,IF(AJ432&lt;=eco,alpha*fck*(1-(1-AJ432/eco)^n),alpha*fck),0)</f>
      </c>
      <c r="AL432" s="30">
        <f>PM_Angle!$J$21+PM_Angle!$K$21*$C432+PM_Angle!$L$21*$B432</f>
      </c>
      <c r="AM432" s="12">
        <f>IF(AL432&gt;0,IF(AL432&lt;=eco,alpha*fck*(1-(1-AL432/eco)^n),alpha*fck),0)</f>
      </c>
      <c r="AN432" s="30">
        <f>PM_Angle!$J$22+PM_Angle!$K$22*$C432+PM_Angle!$L$22*$B432</f>
      </c>
      <c r="AO432" s="12">
        <f>IF(AN432&gt;0,IF(AN432&lt;=eco,alpha*fck*(1-(1-AN432/eco)^n),alpha*fck),0)</f>
      </c>
      <c r="AP432" s="30">
        <f>PM_Angle!$J$23+PM_Angle!$K$23*$C432+PM_Angle!$L$23*$B432</f>
      </c>
      <c r="AQ432" s="12">
        <f>IF(AP432&gt;0,IF(AP432&lt;=eco,alpha*fck*(1-(1-AP432/eco)^n),alpha*fck),0)</f>
      </c>
      <c r="AR432" s="30">
        <f>PM_Angle!$J$24+PM_Angle!$K$24*$C432+PM_Angle!$L$24*$B432</f>
      </c>
      <c r="AS432" s="12">
        <f>IF(AR432&gt;0,IF(AR432&lt;=eco,alpha*fck*(1-(1-AR432/eco)^n),alpha*fck),0)</f>
      </c>
      <c r="AT432" s="30">
        <f>PM_Angle!$J$25+PM_Angle!$K$25*$C432+PM_Angle!$L$25*$B432</f>
      </c>
      <c r="AU432" s="12">
        <f>IF(AT432&gt;0,IF(AT432&lt;=eco,alpha*fck*(1-(1-AT432/eco)^n),alpha*fck),0)</f>
      </c>
    </row>
    <row r="433" spans="1:47" x14ac:dyDescent="0.25">
      <c r="A433">
        <f>Mesh!A430</f>
      </c>
      <c r="B433" s="12">
        <f>Mesh!B430</f>
      </c>
      <c r="C433" s="12">
        <f>Mesh!C430</f>
      </c>
      <c r="D433" s="12">
        <f>Mesh!D430</f>
      </c>
      <c r="E433" s="30">
        <f>INDEX(St_e0,Det+1)+INDEX(St_kx,Det+1)*C433+INDEX(St_ky,Det+1)*B433</f>
      </c>
      <c r="F433" s="12">
        <f>IF(E433&gt;0,IF(E433&lt;=eco,alpha*fck*(1-(1-E433/eco)^n),alpha*fck),0)</f>
      </c>
      <c r="G433" s="11">
        <f>F433*D433</f>
      </c>
      <c r="H433" s="11">
        <f>G433*C433</f>
      </c>
      <c r="I433" s="11">
        <f>G433*B433</f>
      </c>
      <c r="J433" s="30">
        <f>PM_Angle!$J$7+PM_Angle!$K$7*$C433+PM_Angle!$L$7*$B433</f>
      </c>
      <c r="K433" s="12">
        <f>IF(J433&gt;0,IF(J433&lt;=eco,alpha*fck*(1-(1-J433/eco)^n),alpha*fck),0)</f>
      </c>
      <c r="L433" s="30">
        <f>PM_Angle!$J$8+PM_Angle!$K$8*$C433+PM_Angle!$L$8*$B433</f>
      </c>
      <c r="M433" s="12">
        <f>IF(L433&gt;0,IF(L433&lt;=eco,alpha*fck*(1-(1-L433/eco)^n),alpha*fck),0)</f>
      </c>
      <c r="N433" s="30">
        <f>PM_Angle!$J$9+PM_Angle!$K$9*$C433+PM_Angle!$L$9*$B433</f>
      </c>
      <c r="O433" s="12">
        <f>IF(N433&gt;0,IF(N433&lt;=eco,alpha*fck*(1-(1-N433/eco)^n),alpha*fck),0)</f>
      </c>
      <c r="P433" s="30">
        <f>PM_Angle!$J$10+PM_Angle!$K$10*$C433+PM_Angle!$L$10*$B433</f>
      </c>
      <c r="Q433" s="12">
        <f>IF(P433&gt;0,IF(P433&lt;=eco,alpha*fck*(1-(1-P433/eco)^n),alpha*fck),0)</f>
      </c>
      <c r="R433" s="30">
        <f>PM_Angle!$J$11+PM_Angle!$K$11*$C433+PM_Angle!$L$11*$B433</f>
      </c>
      <c r="S433" s="12">
        <f>IF(R433&gt;0,IF(R433&lt;=eco,alpha*fck*(1-(1-R433/eco)^n),alpha*fck),0)</f>
      </c>
      <c r="T433" s="30">
        <f>PM_Angle!$J$12+PM_Angle!$K$12*$C433+PM_Angle!$L$12*$B433</f>
      </c>
      <c r="U433" s="12">
        <f>IF(T433&gt;0,IF(T433&lt;=eco,alpha*fck*(1-(1-T433/eco)^n),alpha*fck),0)</f>
      </c>
      <c r="V433" s="30">
        <f>PM_Angle!$J$13+PM_Angle!$K$13*$C433+PM_Angle!$L$13*$B433</f>
      </c>
      <c r="W433" s="12">
        <f>IF(V433&gt;0,IF(V433&lt;=eco,alpha*fck*(1-(1-V433/eco)^n),alpha*fck),0)</f>
      </c>
      <c r="X433" s="30">
        <f>PM_Angle!$J$14+PM_Angle!$K$14*$C433+PM_Angle!$L$14*$B433</f>
      </c>
      <c r="Y433" s="12">
        <f>IF(X433&gt;0,IF(X433&lt;=eco,alpha*fck*(1-(1-X433/eco)^n),alpha*fck),0)</f>
      </c>
      <c r="Z433" s="30">
        <f>PM_Angle!$J$15+PM_Angle!$K$15*$C433+PM_Angle!$L$15*$B433</f>
      </c>
      <c r="AA433" s="12">
        <f>IF(Z433&gt;0,IF(Z433&lt;=eco,alpha*fck*(1-(1-Z433/eco)^n),alpha*fck),0)</f>
      </c>
      <c r="AB433" s="30">
        <f>PM_Angle!$J$16+PM_Angle!$K$16*$C433+PM_Angle!$L$16*$B433</f>
      </c>
      <c r="AC433" s="12">
        <f>IF(AB433&gt;0,IF(AB433&lt;=eco,alpha*fck*(1-(1-AB433/eco)^n),alpha*fck),0)</f>
      </c>
      <c r="AD433" s="30">
        <f>PM_Angle!$J$17+PM_Angle!$K$17*$C433+PM_Angle!$L$17*$B433</f>
      </c>
      <c r="AE433" s="12">
        <f>IF(AD433&gt;0,IF(AD433&lt;=eco,alpha*fck*(1-(1-AD433/eco)^n),alpha*fck),0)</f>
      </c>
      <c r="AF433" s="30">
        <f>PM_Angle!$J$18+PM_Angle!$K$18*$C433+PM_Angle!$L$18*$B433</f>
      </c>
      <c r="AG433" s="12">
        <f>IF(AF433&gt;0,IF(AF433&lt;=eco,alpha*fck*(1-(1-AF433/eco)^n),alpha*fck),0)</f>
      </c>
      <c r="AH433" s="30">
        <f>PM_Angle!$J$19+PM_Angle!$K$19*$C433+PM_Angle!$L$19*$B433</f>
      </c>
      <c r="AI433" s="12">
        <f>IF(AH433&gt;0,IF(AH433&lt;=eco,alpha*fck*(1-(1-AH433/eco)^n),alpha*fck),0)</f>
      </c>
      <c r="AJ433" s="30">
        <f>PM_Angle!$J$20+PM_Angle!$K$20*$C433+PM_Angle!$L$20*$B433</f>
      </c>
      <c r="AK433" s="12">
        <f>IF(AJ433&gt;0,IF(AJ433&lt;=eco,alpha*fck*(1-(1-AJ433/eco)^n),alpha*fck),0)</f>
      </c>
      <c r="AL433" s="30">
        <f>PM_Angle!$J$21+PM_Angle!$K$21*$C433+PM_Angle!$L$21*$B433</f>
      </c>
      <c r="AM433" s="12">
        <f>IF(AL433&gt;0,IF(AL433&lt;=eco,alpha*fck*(1-(1-AL433/eco)^n),alpha*fck),0)</f>
      </c>
      <c r="AN433" s="30">
        <f>PM_Angle!$J$22+PM_Angle!$K$22*$C433+PM_Angle!$L$22*$B433</f>
      </c>
      <c r="AO433" s="12">
        <f>IF(AN433&gt;0,IF(AN433&lt;=eco,alpha*fck*(1-(1-AN433/eco)^n),alpha*fck),0)</f>
      </c>
      <c r="AP433" s="30">
        <f>PM_Angle!$J$23+PM_Angle!$K$23*$C433+PM_Angle!$L$23*$B433</f>
      </c>
      <c r="AQ433" s="12">
        <f>IF(AP433&gt;0,IF(AP433&lt;=eco,alpha*fck*(1-(1-AP433/eco)^n),alpha*fck),0)</f>
      </c>
      <c r="AR433" s="30">
        <f>PM_Angle!$J$24+PM_Angle!$K$24*$C433+PM_Angle!$L$24*$B433</f>
      </c>
      <c r="AS433" s="12">
        <f>IF(AR433&gt;0,IF(AR433&lt;=eco,alpha*fck*(1-(1-AR433/eco)^n),alpha*fck),0)</f>
      </c>
      <c r="AT433" s="30">
        <f>PM_Angle!$J$25+PM_Angle!$K$25*$C433+PM_Angle!$L$25*$B433</f>
      </c>
      <c r="AU433" s="12">
        <f>IF(AT433&gt;0,IF(AT433&lt;=eco,alpha*fck*(1-(1-AT433/eco)^n),alpha*fck),0)</f>
      </c>
    </row>
    <row r="434" spans="1:47" x14ac:dyDescent="0.25">
      <c r="A434">
        <f>Mesh!A431</f>
      </c>
      <c r="B434" s="12">
        <f>Mesh!B431</f>
      </c>
      <c r="C434" s="12">
        <f>Mesh!C431</f>
      </c>
      <c r="D434" s="12">
        <f>Mesh!D431</f>
      </c>
      <c r="E434" s="30">
        <f>INDEX(St_e0,Det+1)+INDEX(St_kx,Det+1)*C434+INDEX(St_ky,Det+1)*B434</f>
      </c>
      <c r="F434" s="12">
        <f>IF(E434&gt;0,IF(E434&lt;=eco,alpha*fck*(1-(1-E434/eco)^n),alpha*fck),0)</f>
      </c>
      <c r="G434" s="11">
        <f>F434*D434</f>
      </c>
      <c r="H434" s="11">
        <f>G434*C434</f>
      </c>
      <c r="I434" s="11">
        <f>G434*B434</f>
      </c>
      <c r="J434" s="30">
        <f>PM_Angle!$J$7+PM_Angle!$K$7*$C434+PM_Angle!$L$7*$B434</f>
      </c>
      <c r="K434" s="12">
        <f>IF(J434&gt;0,IF(J434&lt;=eco,alpha*fck*(1-(1-J434/eco)^n),alpha*fck),0)</f>
      </c>
      <c r="L434" s="30">
        <f>PM_Angle!$J$8+PM_Angle!$K$8*$C434+PM_Angle!$L$8*$B434</f>
      </c>
      <c r="M434" s="12">
        <f>IF(L434&gt;0,IF(L434&lt;=eco,alpha*fck*(1-(1-L434/eco)^n),alpha*fck),0)</f>
      </c>
      <c r="N434" s="30">
        <f>PM_Angle!$J$9+PM_Angle!$K$9*$C434+PM_Angle!$L$9*$B434</f>
      </c>
      <c r="O434" s="12">
        <f>IF(N434&gt;0,IF(N434&lt;=eco,alpha*fck*(1-(1-N434/eco)^n),alpha*fck),0)</f>
      </c>
      <c r="P434" s="30">
        <f>PM_Angle!$J$10+PM_Angle!$K$10*$C434+PM_Angle!$L$10*$B434</f>
      </c>
      <c r="Q434" s="12">
        <f>IF(P434&gt;0,IF(P434&lt;=eco,alpha*fck*(1-(1-P434/eco)^n),alpha*fck),0)</f>
      </c>
      <c r="R434" s="30">
        <f>PM_Angle!$J$11+PM_Angle!$K$11*$C434+PM_Angle!$L$11*$B434</f>
      </c>
      <c r="S434" s="12">
        <f>IF(R434&gt;0,IF(R434&lt;=eco,alpha*fck*(1-(1-R434/eco)^n),alpha*fck),0)</f>
      </c>
      <c r="T434" s="30">
        <f>PM_Angle!$J$12+PM_Angle!$K$12*$C434+PM_Angle!$L$12*$B434</f>
      </c>
      <c r="U434" s="12">
        <f>IF(T434&gt;0,IF(T434&lt;=eco,alpha*fck*(1-(1-T434/eco)^n),alpha*fck),0)</f>
      </c>
      <c r="V434" s="30">
        <f>PM_Angle!$J$13+PM_Angle!$K$13*$C434+PM_Angle!$L$13*$B434</f>
      </c>
      <c r="W434" s="12">
        <f>IF(V434&gt;0,IF(V434&lt;=eco,alpha*fck*(1-(1-V434/eco)^n),alpha*fck),0)</f>
      </c>
      <c r="X434" s="30">
        <f>PM_Angle!$J$14+PM_Angle!$K$14*$C434+PM_Angle!$L$14*$B434</f>
      </c>
      <c r="Y434" s="12">
        <f>IF(X434&gt;0,IF(X434&lt;=eco,alpha*fck*(1-(1-X434/eco)^n),alpha*fck),0)</f>
      </c>
      <c r="Z434" s="30">
        <f>PM_Angle!$J$15+PM_Angle!$K$15*$C434+PM_Angle!$L$15*$B434</f>
      </c>
      <c r="AA434" s="12">
        <f>IF(Z434&gt;0,IF(Z434&lt;=eco,alpha*fck*(1-(1-Z434/eco)^n),alpha*fck),0)</f>
      </c>
      <c r="AB434" s="30">
        <f>PM_Angle!$J$16+PM_Angle!$K$16*$C434+PM_Angle!$L$16*$B434</f>
      </c>
      <c r="AC434" s="12">
        <f>IF(AB434&gt;0,IF(AB434&lt;=eco,alpha*fck*(1-(1-AB434/eco)^n),alpha*fck),0)</f>
      </c>
      <c r="AD434" s="30">
        <f>PM_Angle!$J$17+PM_Angle!$K$17*$C434+PM_Angle!$L$17*$B434</f>
      </c>
      <c r="AE434" s="12">
        <f>IF(AD434&gt;0,IF(AD434&lt;=eco,alpha*fck*(1-(1-AD434/eco)^n),alpha*fck),0)</f>
      </c>
      <c r="AF434" s="30">
        <f>PM_Angle!$J$18+PM_Angle!$K$18*$C434+PM_Angle!$L$18*$B434</f>
      </c>
      <c r="AG434" s="12">
        <f>IF(AF434&gt;0,IF(AF434&lt;=eco,alpha*fck*(1-(1-AF434/eco)^n),alpha*fck),0)</f>
      </c>
      <c r="AH434" s="30">
        <f>PM_Angle!$J$19+PM_Angle!$K$19*$C434+PM_Angle!$L$19*$B434</f>
      </c>
      <c r="AI434" s="12">
        <f>IF(AH434&gt;0,IF(AH434&lt;=eco,alpha*fck*(1-(1-AH434/eco)^n),alpha*fck),0)</f>
      </c>
      <c r="AJ434" s="30">
        <f>PM_Angle!$J$20+PM_Angle!$K$20*$C434+PM_Angle!$L$20*$B434</f>
      </c>
      <c r="AK434" s="12">
        <f>IF(AJ434&gt;0,IF(AJ434&lt;=eco,alpha*fck*(1-(1-AJ434/eco)^n),alpha*fck),0)</f>
      </c>
      <c r="AL434" s="30">
        <f>PM_Angle!$J$21+PM_Angle!$K$21*$C434+PM_Angle!$L$21*$B434</f>
      </c>
      <c r="AM434" s="12">
        <f>IF(AL434&gt;0,IF(AL434&lt;=eco,alpha*fck*(1-(1-AL434/eco)^n),alpha*fck),0)</f>
      </c>
      <c r="AN434" s="30">
        <f>PM_Angle!$J$22+PM_Angle!$K$22*$C434+PM_Angle!$L$22*$B434</f>
      </c>
      <c r="AO434" s="12">
        <f>IF(AN434&gt;0,IF(AN434&lt;=eco,alpha*fck*(1-(1-AN434/eco)^n),alpha*fck),0)</f>
      </c>
      <c r="AP434" s="30">
        <f>PM_Angle!$J$23+PM_Angle!$K$23*$C434+PM_Angle!$L$23*$B434</f>
      </c>
      <c r="AQ434" s="12">
        <f>IF(AP434&gt;0,IF(AP434&lt;=eco,alpha*fck*(1-(1-AP434/eco)^n),alpha*fck),0)</f>
      </c>
      <c r="AR434" s="30">
        <f>PM_Angle!$J$24+PM_Angle!$K$24*$C434+PM_Angle!$L$24*$B434</f>
      </c>
      <c r="AS434" s="12">
        <f>IF(AR434&gt;0,IF(AR434&lt;=eco,alpha*fck*(1-(1-AR434/eco)^n),alpha*fck),0)</f>
      </c>
      <c r="AT434" s="30">
        <f>PM_Angle!$J$25+PM_Angle!$K$25*$C434+PM_Angle!$L$25*$B434</f>
      </c>
      <c r="AU434" s="12">
        <f>IF(AT434&gt;0,IF(AT434&lt;=eco,alpha*fck*(1-(1-AT434/eco)^n),alpha*fck),0)</f>
      </c>
    </row>
    <row r="435" spans="1:47" x14ac:dyDescent="0.25">
      <c r="A435">
        <f>Mesh!A432</f>
      </c>
      <c r="B435" s="12">
        <f>Mesh!B432</f>
      </c>
      <c r="C435" s="12">
        <f>Mesh!C432</f>
      </c>
      <c r="D435" s="12">
        <f>Mesh!D432</f>
      </c>
      <c r="E435" s="30">
        <f>INDEX(St_e0,Det+1)+INDEX(St_kx,Det+1)*C435+INDEX(St_ky,Det+1)*B435</f>
      </c>
      <c r="F435" s="12">
        <f>IF(E435&gt;0,IF(E435&lt;=eco,alpha*fck*(1-(1-E435/eco)^n),alpha*fck),0)</f>
      </c>
      <c r="G435" s="11">
        <f>F435*D435</f>
      </c>
      <c r="H435" s="11">
        <f>G435*C435</f>
      </c>
      <c r="I435" s="11">
        <f>G435*B435</f>
      </c>
      <c r="J435" s="30">
        <f>PM_Angle!$J$7+PM_Angle!$K$7*$C435+PM_Angle!$L$7*$B435</f>
      </c>
      <c r="K435" s="12">
        <f>IF(J435&gt;0,IF(J435&lt;=eco,alpha*fck*(1-(1-J435/eco)^n),alpha*fck),0)</f>
      </c>
      <c r="L435" s="30">
        <f>PM_Angle!$J$8+PM_Angle!$K$8*$C435+PM_Angle!$L$8*$B435</f>
      </c>
      <c r="M435" s="12">
        <f>IF(L435&gt;0,IF(L435&lt;=eco,alpha*fck*(1-(1-L435/eco)^n),alpha*fck),0)</f>
      </c>
      <c r="N435" s="30">
        <f>PM_Angle!$J$9+PM_Angle!$K$9*$C435+PM_Angle!$L$9*$B435</f>
      </c>
      <c r="O435" s="12">
        <f>IF(N435&gt;0,IF(N435&lt;=eco,alpha*fck*(1-(1-N435/eco)^n),alpha*fck),0)</f>
      </c>
      <c r="P435" s="30">
        <f>PM_Angle!$J$10+PM_Angle!$K$10*$C435+PM_Angle!$L$10*$B435</f>
      </c>
      <c r="Q435" s="12">
        <f>IF(P435&gt;0,IF(P435&lt;=eco,alpha*fck*(1-(1-P435/eco)^n),alpha*fck),0)</f>
      </c>
      <c r="R435" s="30">
        <f>PM_Angle!$J$11+PM_Angle!$K$11*$C435+PM_Angle!$L$11*$B435</f>
      </c>
      <c r="S435" s="12">
        <f>IF(R435&gt;0,IF(R435&lt;=eco,alpha*fck*(1-(1-R435/eco)^n),alpha*fck),0)</f>
      </c>
      <c r="T435" s="30">
        <f>PM_Angle!$J$12+PM_Angle!$K$12*$C435+PM_Angle!$L$12*$B435</f>
      </c>
      <c r="U435" s="12">
        <f>IF(T435&gt;0,IF(T435&lt;=eco,alpha*fck*(1-(1-T435/eco)^n),alpha*fck),0)</f>
      </c>
      <c r="V435" s="30">
        <f>PM_Angle!$J$13+PM_Angle!$K$13*$C435+PM_Angle!$L$13*$B435</f>
      </c>
      <c r="W435" s="12">
        <f>IF(V435&gt;0,IF(V435&lt;=eco,alpha*fck*(1-(1-V435/eco)^n),alpha*fck),0)</f>
      </c>
      <c r="X435" s="30">
        <f>PM_Angle!$J$14+PM_Angle!$K$14*$C435+PM_Angle!$L$14*$B435</f>
      </c>
      <c r="Y435" s="12">
        <f>IF(X435&gt;0,IF(X435&lt;=eco,alpha*fck*(1-(1-X435/eco)^n),alpha*fck),0)</f>
      </c>
      <c r="Z435" s="30">
        <f>PM_Angle!$J$15+PM_Angle!$K$15*$C435+PM_Angle!$L$15*$B435</f>
      </c>
      <c r="AA435" s="12">
        <f>IF(Z435&gt;0,IF(Z435&lt;=eco,alpha*fck*(1-(1-Z435/eco)^n),alpha*fck),0)</f>
      </c>
      <c r="AB435" s="30">
        <f>PM_Angle!$J$16+PM_Angle!$K$16*$C435+PM_Angle!$L$16*$B435</f>
      </c>
      <c r="AC435" s="12">
        <f>IF(AB435&gt;0,IF(AB435&lt;=eco,alpha*fck*(1-(1-AB435/eco)^n),alpha*fck),0)</f>
      </c>
      <c r="AD435" s="30">
        <f>PM_Angle!$J$17+PM_Angle!$K$17*$C435+PM_Angle!$L$17*$B435</f>
      </c>
      <c r="AE435" s="12">
        <f>IF(AD435&gt;0,IF(AD435&lt;=eco,alpha*fck*(1-(1-AD435/eco)^n),alpha*fck),0)</f>
      </c>
      <c r="AF435" s="30">
        <f>PM_Angle!$J$18+PM_Angle!$K$18*$C435+PM_Angle!$L$18*$B435</f>
      </c>
      <c r="AG435" s="12">
        <f>IF(AF435&gt;0,IF(AF435&lt;=eco,alpha*fck*(1-(1-AF435/eco)^n),alpha*fck),0)</f>
      </c>
      <c r="AH435" s="30">
        <f>PM_Angle!$J$19+PM_Angle!$K$19*$C435+PM_Angle!$L$19*$B435</f>
      </c>
      <c r="AI435" s="12">
        <f>IF(AH435&gt;0,IF(AH435&lt;=eco,alpha*fck*(1-(1-AH435/eco)^n),alpha*fck),0)</f>
      </c>
      <c r="AJ435" s="30">
        <f>PM_Angle!$J$20+PM_Angle!$K$20*$C435+PM_Angle!$L$20*$B435</f>
      </c>
      <c r="AK435" s="12">
        <f>IF(AJ435&gt;0,IF(AJ435&lt;=eco,alpha*fck*(1-(1-AJ435/eco)^n),alpha*fck),0)</f>
      </c>
      <c r="AL435" s="30">
        <f>PM_Angle!$J$21+PM_Angle!$K$21*$C435+PM_Angle!$L$21*$B435</f>
      </c>
      <c r="AM435" s="12">
        <f>IF(AL435&gt;0,IF(AL435&lt;=eco,alpha*fck*(1-(1-AL435/eco)^n),alpha*fck),0)</f>
      </c>
      <c r="AN435" s="30">
        <f>PM_Angle!$J$22+PM_Angle!$K$22*$C435+PM_Angle!$L$22*$B435</f>
      </c>
      <c r="AO435" s="12">
        <f>IF(AN435&gt;0,IF(AN435&lt;=eco,alpha*fck*(1-(1-AN435/eco)^n),alpha*fck),0)</f>
      </c>
      <c r="AP435" s="30">
        <f>PM_Angle!$J$23+PM_Angle!$K$23*$C435+PM_Angle!$L$23*$B435</f>
      </c>
      <c r="AQ435" s="12">
        <f>IF(AP435&gt;0,IF(AP435&lt;=eco,alpha*fck*(1-(1-AP435/eco)^n),alpha*fck),0)</f>
      </c>
      <c r="AR435" s="30">
        <f>PM_Angle!$J$24+PM_Angle!$K$24*$C435+PM_Angle!$L$24*$B435</f>
      </c>
      <c r="AS435" s="12">
        <f>IF(AR435&gt;0,IF(AR435&lt;=eco,alpha*fck*(1-(1-AR435/eco)^n),alpha*fck),0)</f>
      </c>
      <c r="AT435" s="30">
        <f>PM_Angle!$J$25+PM_Angle!$K$25*$C435+PM_Angle!$L$25*$B435</f>
      </c>
      <c r="AU435" s="12">
        <f>IF(AT435&gt;0,IF(AT435&lt;=eco,alpha*fck*(1-(1-AT435/eco)^n),alpha*fck),0)</f>
      </c>
    </row>
    <row r="436" spans="1:47" x14ac:dyDescent="0.25">
      <c r="A436">
        <f>Mesh!A433</f>
      </c>
      <c r="B436" s="12">
        <f>Mesh!B433</f>
      </c>
      <c r="C436" s="12">
        <f>Mesh!C433</f>
      </c>
      <c r="D436" s="12">
        <f>Mesh!D433</f>
      </c>
      <c r="E436" s="30">
        <f>INDEX(St_e0,Det+1)+INDEX(St_kx,Det+1)*C436+INDEX(St_ky,Det+1)*B436</f>
      </c>
      <c r="F436" s="12">
        <f>IF(E436&gt;0,IF(E436&lt;=eco,alpha*fck*(1-(1-E436/eco)^n),alpha*fck),0)</f>
      </c>
      <c r="G436" s="11">
        <f>F436*D436</f>
      </c>
      <c r="H436" s="11">
        <f>G436*C436</f>
      </c>
      <c r="I436" s="11">
        <f>G436*B436</f>
      </c>
      <c r="J436" s="30">
        <f>PM_Angle!$J$7+PM_Angle!$K$7*$C436+PM_Angle!$L$7*$B436</f>
      </c>
      <c r="K436" s="12">
        <f>IF(J436&gt;0,IF(J436&lt;=eco,alpha*fck*(1-(1-J436/eco)^n),alpha*fck),0)</f>
      </c>
      <c r="L436" s="30">
        <f>PM_Angle!$J$8+PM_Angle!$K$8*$C436+PM_Angle!$L$8*$B436</f>
      </c>
      <c r="M436" s="12">
        <f>IF(L436&gt;0,IF(L436&lt;=eco,alpha*fck*(1-(1-L436/eco)^n),alpha*fck),0)</f>
      </c>
      <c r="N436" s="30">
        <f>PM_Angle!$J$9+PM_Angle!$K$9*$C436+PM_Angle!$L$9*$B436</f>
      </c>
      <c r="O436" s="12">
        <f>IF(N436&gt;0,IF(N436&lt;=eco,alpha*fck*(1-(1-N436/eco)^n),alpha*fck),0)</f>
      </c>
      <c r="P436" s="30">
        <f>PM_Angle!$J$10+PM_Angle!$K$10*$C436+PM_Angle!$L$10*$B436</f>
      </c>
      <c r="Q436" s="12">
        <f>IF(P436&gt;0,IF(P436&lt;=eco,alpha*fck*(1-(1-P436/eco)^n),alpha*fck),0)</f>
      </c>
      <c r="R436" s="30">
        <f>PM_Angle!$J$11+PM_Angle!$K$11*$C436+PM_Angle!$L$11*$B436</f>
      </c>
      <c r="S436" s="12">
        <f>IF(R436&gt;0,IF(R436&lt;=eco,alpha*fck*(1-(1-R436/eco)^n),alpha*fck),0)</f>
      </c>
      <c r="T436" s="30">
        <f>PM_Angle!$J$12+PM_Angle!$K$12*$C436+PM_Angle!$L$12*$B436</f>
      </c>
      <c r="U436" s="12">
        <f>IF(T436&gt;0,IF(T436&lt;=eco,alpha*fck*(1-(1-T436/eco)^n),alpha*fck),0)</f>
      </c>
      <c r="V436" s="30">
        <f>PM_Angle!$J$13+PM_Angle!$K$13*$C436+PM_Angle!$L$13*$B436</f>
      </c>
      <c r="W436" s="12">
        <f>IF(V436&gt;0,IF(V436&lt;=eco,alpha*fck*(1-(1-V436/eco)^n),alpha*fck),0)</f>
      </c>
      <c r="X436" s="30">
        <f>PM_Angle!$J$14+PM_Angle!$K$14*$C436+PM_Angle!$L$14*$B436</f>
      </c>
      <c r="Y436" s="12">
        <f>IF(X436&gt;0,IF(X436&lt;=eco,alpha*fck*(1-(1-X436/eco)^n),alpha*fck),0)</f>
      </c>
      <c r="Z436" s="30">
        <f>PM_Angle!$J$15+PM_Angle!$K$15*$C436+PM_Angle!$L$15*$B436</f>
      </c>
      <c r="AA436" s="12">
        <f>IF(Z436&gt;0,IF(Z436&lt;=eco,alpha*fck*(1-(1-Z436/eco)^n),alpha*fck),0)</f>
      </c>
      <c r="AB436" s="30">
        <f>PM_Angle!$J$16+PM_Angle!$K$16*$C436+PM_Angle!$L$16*$B436</f>
      </c>
      <c r="AC436" s="12">
        <f>IF(AB436&gt;0,IF(AB436&lt;=eco,alpha*fck*(1-(1-AB436/eco)^n),alpha*fck),0)</f>
      </c>
      <c r="AD436" s="30">
        <f>PM_Angle!$J$17+PM_Angle!$K$17*$C436+PM_Angle!$L$17*$B436</f>
      </c>
      <c r="AE436" s="12">
        <f>IF(AD436&gt;0,IF(AD436&lt;=eco,alpha*fck*(1-(1-AD436/eco)^n),alpha*fck),0)</f>
      </c>
      <c r="AF436" s="30">
        <f>PM_Angle!$J$18+PM_Angle!$K$18*$C436+PM_Angle!$L$18*$B436</f>
      </c>
      <c r="AG436" s="12">
        <f>IF(AF436&gt;0,IF(AF436&lt;=eco,alpha*fck*(1-(1-AF436/eco)^n),alpha*fck),0)</f>
      </c>
      <c r="AH436" s="30">
        <f>PM_Angle!$J$19+PM_Angle!$K$19*$C436+PM_Angle!$L$19*$B436</f>
      </c>
      <c r="AI436" s="12">
        <f>IF(AH436&gt;0,IF(AH436&lt;=eco,alpha*fck*(1-(1-AH436/eco)^n),alpha*fck),0)</f>
      </c>
      <c r="AJ436" s="30">
        <f>PM_Angle!$J$20+PM_Angle!$K$20*$C436+PM_Angle!$L$20*$B436</f>
      </c>
      <c r="AK436" s="12">
        <f>IF(AJ436&gt;0,IF(AJ436&lt;=eco,alpha*fck*(1-(1-AJ436/eco)^n),alpha*fck),0)</f>
      </c>
      <c r="AL436" s="30">
        <f>PM_Angle!$J$21+PM_Angle!$K$21*$C436+PM_Angle!$L$21*$B436</f>
      </c>
      <c r="AM436" s="12">
        <f>IF(AL436&gt;0,IF(AL436&lt;=eco,alpha*fck*(1-(1-AL436/eco)^n),alpha*fck),0)</f>
      </c>
      <c r="AN436" s="30">
        <f>PM_Angle!$J$22+PM_Angle!$K$22*$C436+PM_Angle!$L$22*$B436</f>
      </c>
      <c r="AO436" s="12">
        <f>IF(AN436&gt;0,IF(AN436&lt;=eco,alpha*fck*(1-(1-AN436/eco)^n),alpha*fck),0)</f>
      </c>
      <c r="AP436" s="30">
        <f>PM_Angle!$J$23+PM_Angle!$K$23*$C436+PM_Angle!$L$23*$B436</f>
      </c>
      <c r="AQ436" s="12">
        <f>IF(AP436&gt;0,IF(AP436&lt;=eco,alpha*fck*(1-(1-AP436/eco)^n),alpha*fck),0)</f>
      </c>
      <c r="AR436" s="30">
        <f>PM_Angle!$J$24+PM_Angle!$K$24*$C436+PM_Angle!$L$24*$B436</f>
      </c>
      <c r="AS436" s="12">
        <f>IF(AR436&gt;0,IF(AR436&lt;=eco,alpha*fck*(1-(1-AR436/eco)^n),alpha*fck),0)</f>
      </c>
      <c r="AT436" s="30">
        <f>PM_Angle!$J$25+PM_Angle!$K$25*$C436+PM_Angle!$L$25*$B436</f>
      </c>
      <c r="AU436" s="12">
        <f>IF(AT436&gt;0,IF(AT436&lt;=eco,alpha*fck*(1-(1-AT436/eco)^n),alpha*fck),0)</f>
      </c>
    </row>
    <row r="437" spans="1:47" x14ac:dyDescent="0.25">
      <c r="A437">
        <f>Mesh!A434</f>
      </c>
      <c r="B437" s="12">
        <f>Mesh!B434</f>
      </c>
      <c r="C437" s="12">
        <f>Mesh!C434</f>
      </c>
      <c r="D437" s="12">
        <f>Mesh!D434</f>
      </c>
      <c r="E437" s="30">
        <f>INDEX(St_e0,Det+1)+INDEX(St_kx,Det+1)*C437+INDEX(St_ky,Det+1)*B437</f>
      </c>
      <c r="F437" s="12">
        <f>IF(E437&gt;0,IF(E437&lt;=eco,alpha*fck*(1-(1-E437/eco)^n),alpha*fck),0)</f>
      </c>
      <c r="G437" s="11">
        <f>F437*D437</f>
      </c>
      <c r="H437" s="11">
        <f>G437*C437</f>
      </c>
      <c r="I437" s="11">
        <f>G437*B437</f>
      </c>
      <c r="J437" s="30">
        <f>PM_Angle!$J$7+PM_Angle!$K$7*$C437+PM_Angle!$L$7*$B437</f>
      </c>
      <c r="K437" s="12">
        <f>IF(J437&gt;0,IF(J437&lt;=eco,alpha*fck*(1-(1-J437/eco)^n),alpha*fck),0)</f>
      </c>
      <c r="L437" s="30">
        <f>PM_Angle!$J$8+PM_Angle!$K$8*$C437+PM_Angle!$L$8*$B437</f>
      </c>
      <c r="M437" s="12">
        <f>IF(L437&gt;0,IF(L437&lt;=eco,alpha*fck*(1-(1-L437/eco)^n),alpha*fck),0)</f>
      </c>
      <c r="N437" s="30">
        <f>PM_Angle!$J$9+PM_Angle!$K$9*$C437+PM_Angle!$L$9*$B437</f>
      </c>
      <c r="O437" s="12">
        <f>IF(N437&gt;0,IF(N437&lt;=eco,alpha*fck*(1-(1-N437/eco)^n),alpha*fck),0)</f>
      </c>
      <c r="P437" s="30">
        <f>PM_Angle!$J$10+PM_Angle!$K$10*$C437+PM_Angle!$L$10*$B437</f>
      </c>
      <c r="Q437" s="12">
        <f>IF(P437&gt;0,IF(P437&lt;=eco,alpha*fck*(1-(1-P437/eco)^n),alpha*fck),0)</f>
      </c>
      <c r="R437" s="30">
        <f>PM_Angle!$J$11+PM_Angle!$K$11*$C437+PM_Angle!$L$11*$B437</f>
      </c>
      <c r="S437" s="12">
        <f>IF(R437&gt;0,IF(R437&lt;=eco,alpha*fck*(1-(1-R437/eco)^n),alpha*fck),0)</f>
      </c>
      <c r="T437" s="30">
        <f>PM_Angle!$J$12+PM_Angle!$K$12*$C437+PM_Angle!$L$12*$B437</f>
      </c>
      <c r="U437" s="12">
        <f>IF(T437&gt;0,IF(T437&lt;=eco,alpha*fck*(1-(1-T437/eco)^n),alpha*fck),0)</f>
      </c>
      <c r="V437" s="30">
        <f>PM_Angle!$J$13+PM_Angle!$K$13*$C437+PM_Angle!$L$13*$B437</f>
      </c>
      <c r="W437" s="12">
        <f>IF(V437&gt;0,IF(V437&lt;=eco,alpha*fck*(1-(1-V437/eco)^n),alpha*fck),0)</f>
      </c>
      <c r="X437" s="30">
        <f>PM_Angle!$J$14+PM_Angle!$K$14*$C437+PM_Angle!$L$14*$B437</f>
      </c>
      <c r="Y437" s="12">
        <f>IF(X437&gt;0,IF(X437&lt;=eco,alpha*fck*(1-(1-X437/eco)^n),alpha*fck),0)</f>
      </c>
      <c r="Z437" s="30">
        <f>PM_Angle!$J$15+PM_Angle!$K$15*$C437+PM_Angle!$L$15*$B437</f>
      </c>
      <c r="AA437" s="12">
        <f>IF(Z437&gt;0,IF(Z437&lt;=eco,alpha*fck*(1-(1-Z437/eco)^n),alpha*fck),0)</f>
      </c>
      <c r="AB437" s="30">
        <f>PM_Angle!$J$16+PM_Angle!$K$16*$C437+PM_Angle!$L$16*$B437</f>
      </c>
      <c r="AC437" s="12">
        <f>IF(AB437&gt;0,IF(AB437&lt;=eco,alpha*fck*(1-(1-AB437/eco)^n),alpha*fck),0)</f>
      </c>
      <c r="AD437" s="30">
        <f>PM_Angle!$J$17+PM_Angle!$K$17*$C437+PM_Angle!$L$17*$B437</f>
      </c>
      <c r="AE437" s="12">
        <f>IF(AD437&gt;0,IF(AD437&lt;=eco,alpha*fck*(1-(1-AD437/eco)^n),alpha*fck),0)</f>
      </c>
      <c r="AF437" s="30">
        <f>PM_Angle!$J$18+PM_Angle!$K$18*$C437+PM_Angle!$L$18*$B437</f>
      </c>
      <c r="AG437" s="12">
        <f>IF(AF437&gt;0,IF(AF437&lt;=eco,alpha*fck*(1-(1-AF437/eco)^n),alpha*fck),0)</f>
      </c>
      <c r="AH437" s="30">
        <f>PM_Angle!$J$19+PM_Angle!$K$19*$C437+PM_Angle!$L$19*$B437</f>
      </c>
      <c r="AI437" s="12">
        <f>IF(AH437&gt;0,IF(AH437&lt;=eco,alpha*fck*(1-(1-AH437/eco)^n),alpha*fck),0)</f>
      </c>
      <c r="AJ437" s="30">
        <f>PM_Angle!$J$20+PM_Angle!$K$20*$C437+PM_Angle!$L$20*$B437</f>
      </c>
      <c r="AK437" s="12">
        <f>IF(AJ437&gt;0,IF(AJ437&lt;=eco,alpha*fck*(1-(1-AJ437/eco)^n),alpha*fck),0)</f>
      </c>
      <c r="AL437" s="30">
        <f>PM_Angle!$J$21+PM_Angle!$K$21*$C437+PM_Angle!$L$21*$B437</f>
      </c>
      <c r="AM437" s="12">
        <f>IF(AL437&gt;0,IF(AL437&lt;=eco,alpha*fck*(1-(1-AL437/eco)^n),alpha*fck),0)</f>
      </c>
      <c r="AN437" s="30">
        <f>PM_Angle!$J$22+PM_Angle!$K$22*$C437+PM_Angle!$L$22*$B437</f>
      </c>
      <c r="AO437" s="12">
        <f>IF(AN437&gt;0,IF(AN437&lt;=eco,alpha*fck*(1-(1-AN437/eco)^n),alpha*fck),0)</f>
      </c>
      <c r="AP437" s="30">
        <f>PM_Angle!$J$23+PM_Angle!$K$23*$C437+PM_Angle!$L$23*$B437</f>
      </c>
      <c r="AQ437" s="12">
        <f>IF(AP437&gt;0,IF(AP437&lt;=eco,alpha*fck*(1-(1-AP437/eco)^n),alpha*fck),0)</f>
      </c>
      <c r="AR437" s="30">
        <f>PM_Angle!$J$24+PM_Angle!$K$24*$C437+PM_Angle!$L$24*$B437</f>
      </c>
      <c r="AS437" s="12">
        <f>IF(AR437&gt;0,IF(AR437&lt;=eco,alpha*fck*(1-(1-AR437/eco)^n),alpha*fck),0)</f>
      </c>
      <c r="AT437" s="30">
        <f>PM_Angle!$J$25+PM_Angle!$K$25*$C437+PM_Angle!$L$25*$B437</f>
      </c>
      <c r="AU437" s="12">
        <f>IF(AT437&gt;0,IF(AT437&lt;=eco,alpha*fck*(1-(1-AT437/eco)^n),alpha*fck),0)</f>
      </c>
    </row>
    <row r="438" spans="1:47" x14ac:dyDescent="0.25">
      <c r="A438">
        <f>Mesh!A435</f>
      </c>
      <c r="B438" s="12">
        <f>Mesh!B435</f>
      </c>
      <c r="C438" s="12">
        <f>Mesh!C435</f>
      </c>
      <c r="D438" s="12">
        <f>Mesh!D435</f>
      </c>
      <c r="E438" s="30">
        <f>INDEX(St_e0,Det+1)+INDEX(St_kx,Det+1)*C438+INDEX(St_ky,Det+1)*B438</f>
      </c>
      <c r="F438" s="12">
        <f>IF(E438&gt;0,IF(E438&lt;=eco,alpha*fck*(1-(1-E438/eco)^n),alpha*fck),0)</f>
      </c>
      <c r="G438" s="11">
        <f>F438*D438</f>
      </c>
      <c r="H438" s="11">
        <f>G438*C438</f>
      </c>
      <c r="I438" s="11">
        <f>G438*B438</f>
      </c>
      <c r="J438" s="30">
        <f>PM_Angle!$J$7+PM_Angle!$K$7*$C438+PM_Angle!$L$7*$B438</f>
      </c>
      <c r="K438" s="12">
        <f>IF(J438&gt;0,IF(J438&lt;=eco,alpha*fck*(1-(1-J438/eco)^n),alpha*fck),0)</f>
      </c>
      <c r="L438" s="30">
        <f>PM_Angle!$J$8+PM_Angle!$K$8*$C438+PM_Angle!$L$8*$B438</f>
      </c>
      <c r="M438" s="12">
        <f>IF(L438&gt;0,IF(L438&lt;=eco,alpha*fck*(1-(1-L438/eco)^n),alpha*fck),0)</f>
      </c>
      <c r="N438" s="30">
        <f>PM_Angle!$J$9+PM_Angle!$K$9*$C438+PM_Angle!$L$9*$B438</f>
      </c>
      <c r="O438" s="12">
        <f>IF(N438&gt;0,IF(N438&lt;=eco,alpha*fck*(1-(1-N438/eco)^n),alpha*fck),0)</f>
      </c>
      <c r="P438" s="30">
        <f>PM_Angle!$J$10+PM_Angle!$K$10*$C438+PM_Angle!$L$10*$B438</f>
      </c>
      <c r="Q438" s="12">
        <f>IF(P438&gt;0,IF(P438&lt;=eco,alpha*fck*(1-(1-P438/eco)^n),alpha*fck),0)</f>
      </c>
      <c r="R438" s="30">
        <f>PM_Angle!$J$11+PM_Angle!$K$11*$C438+PM_Angle!$L$11*$B438</f>
      </c>
      <c r="S438" s="12">
        <f>IF(R438&gt;0,IF(R438&lt;=eco,alpha*fck*(1-(1-R438/eco)^n),alpha*fck),0)</f>
      </c>
      <c r="T438" s="30">
        <f>PM_Angle!$J$12+PM_Angle!$K$12*$C438+PM_Angle!$L$12*$B438</f>
      </c>
      <c r="U438" s="12">
        <f>IF(T438&gt;0,IF(T438&lt;=eco,alpha*fck*(1-(1-T438/eco)^n),alpha*fck),0)</f>
      </c>
      <c r="V438" s="30">
        <f>PM_Angle!$J$13+PM_Angle!$K$13*$C438+PM_Angle!$L$13*$B438</f>
      </c>
      <c r="W438" s="12">
        <f>IF(V438&gt;0,IF(V438&lt;=eco,alpha*fck*(1-(1-V438/eco)^n),alpha*fck),0)</f>
      </c>
      <c r="X438" s="30">
        <f>PM_Angle!$J$14+PM_Angle!$K$14*$C438+PM_Angle!$L$14*$B438</f>
      </c>
      <c r="Y438" s="12">
        <f>IF(X438&gt;0,IF(X438&lt;=eco,alpha*fck*(1-(1-X438/eco)^n),alpha*fck),0)</f>
      </c>
      <c r="Z438" s="30">
        <f>PM_Angle!$J$15+PM_Angle!$K$15*$C438+PM_Angle!$L$15*$B438</f>
      </c>
      <c r="AA438" s="12">
        <f>IF(Z438&gt;0,IF(Z438&lt;=eco,alpha*fck*(1-(1-Z438/eco)^n),alpha*fck),0)</f>
      </c>
      <c r="AB438" s="30">
        <f>PM_Angle!$J$16+PM_Angle!$K$16*$C438+PM_Angle!$L$16*$B438</f>
      </c>
      <c r="AC438" s="12">
        <f>IF(AB438&gt;0,IF(AB438&lt;=eco,alpha*fck*(1-(1-AB438/eco)^n),alpha*fck),0)</f>
      </c>
      <c r="AD438" s="30">
        <f>PM_Angle!$J$17+PM_Angle!$K$17*$C438+PM_Angle!$L$17*$B438</f>
      </c>
      <c r="AE438" s="12">
        <f>IF(AD438&gt;0,IF(AD438&lt;=eco,alpha*fck*(1-(1-AD438/eco)^n),alpha*fck),0)</f>
      </c>
      <c r="AF438" s="30">
        <f>PM_Angle!$J$18+PM_Angle!$K$18*$C438+PM_Angle!$L$18*$B438</f>
      </c>
      <c r="AG438" s="12">
        <f>IF(AF438&gt;0,IF(AF438&lt;=eco,alpha*fck*(1-(1-AF438/eco)^n),alpha*fck),0)</f>
      </c>
      <c r="AH438" s="30">
        <f>PM_Angle!$J$19+PM_Angle!$K$19*$C438+PM_Angle!$L$19*$B438</f>
      </c>
      <c r="AI438" s="12">
        <f>IF(AH438&gt;0,IF(AH438&lt;=eco,alpha*fck*(1-(1-AH438/eco)^n),alpha*fck),0)</f>
      </c>
      <c r="AJ438" s="30">
        <f>PM_Angle!$J$20+PM_Angle!$K$20*$C438+PM_Angle!$L$20*$B438</f>
      </c>
      <c r="AK438" s="12">
        <f>IF(AJ438&gt;0,IF(AJ438&lt;=eco,alpha*fck*(1-(1-AJ438/eco)^n),alpha*fck),0)</f>
      </c>
      <c r="AL438" s="30">
        <f>PM_Angle!$J$21+PM_Angle!$K$21*$C438+PM_Angle!$L$21*$B438</f>
      </c>
      <c r="AM438" s="12">
        <f>IF(AL438&gt;0,IF(AL438&lt;=eco,alpha*fck*(1-(1-AL438/eco)^n),alpha*fck),0)</f>
      </c>
      <c r="AN438" s="30">
        <f>PM_Angle!$J$22+PM_Angle!$K$22*$C438+PM_Angle!$L$22*$B438</f>
      </c>
      <c r="AO438" s="12">
        <f>IF(AN438&gt;0,IF(AN438&lt;=eco,alpha*fck*(1-(1-AN438/eco)^n),alpha*fck),0)</f>
      </c>
      <c r="AP438" s="30">
        <f>PM_Angle!$J$23+PM_Angle!$K$23*$C438+PM_Angle!$L$23*$B438</f>
      </c>
      <c r="AQ438" s="12">
        <f>IF(AP438&gt;0,IF(AP438&lt;=eco,alpha*fck*(1-(1-AP438/eco)^n),alpha*fck),0)</f>
      </c>
      <c r="AR438" s="30">
        <f>PM_Angle!$J$24+PM_Angle!$K$24*$C438+PM_Angle!$L$24*$B438</f>
      </c>
      <c r="AS438" s="12">
        <f>IF(AR438&gt;0,IF(AR438&lt;=eco,alpha*fck*(1-(1-AR438/eco)^n),alpha*fck),0)</f>
      </c>
      <c r="AT438" s="30">
        <f>PM_Angle!$J$25+PM_Angle!$K$25*$C438+PM_Angle!$L$25*$B438</f>
      </c>
      <c r="AU438" s="12">
        <f>IF(AT438&gt;0,IF(AT438&lt;=eco,alpha*fck*(1-(1-AT438/eco)^n),alpha*fck),0)</f>
      </c>
    </row>
    <row r="439" spans="1:47" x14ac:dyDescent="0.25">
      <c r="A439">
        <f>Mesh!A436</f>
      </c>
      <c r="B439" s="12">
        <f>Mesh!B436</f>
      </c>
      <c r="C439" s="12">
        <f>Mesh!C436</f>
      </c>
      <c r="D439" s="12">
        <f>Mesh!D436</f>
      </c>
      <c r="E439" s="30">
        <f>INDEX(St_e0,Det+1)+INDEX(St_kx,Det+1)*C439+INDEX(St_ky,Det+1)*B439</f>
      </c>
      <c r="F439" s="12">
        <f>IF(E439&gt;0,IF(E439&lt;=eco,alpha*fck*(1-(1-E439/eco)^n),alpha*fck),0)</f>
      </c>
      <c r="G439" s="11">
        <f>F439*D439</f>
      </c>
      <c r="H439" s="11">
        <f>G439*C439</f>
      </c>
      <c r="I439" s="11">
        <f>G439*B439</f>
      </c>
      <c r="J439" s="30">
        <f>PM_Angle!$J$7+PM_Angle!$K$7*$C439+PM_Angle!$L$7*$B439</f>
      </c>
      <c r="K439" s="12">
        <f>IF(J439&gt;0,IF(J439&lt;=eco,alpha*fck*(1-(1-J439/eco)^n),alpha*fck),0)</f>
      </c>
      <c r="L439" s="30">
        <f>PM_Angle!$J$8+PM_Angle!$K$8*$C439+PM_Angle!$L$8*$B439</f>
      </c>
      <c r="M439" s="12">
        <f>IF(L439&gt;0,IF(L439&lt;=eco,alpha*fck*(1-(1-L439/eco)^n),alpha*fck),0)</f>
      </c>
      <c r="N439" s="30">
        <f>PM_Angle!$J$9+PM_Angle!$K$9*$C439+PM_Angle!$L$9*$B439</f>
      </c>
      <c r="O439" s="12">
        <f>IF(N439&gt;0,IF(N439&lt;=eco,alpha*fck*(1-(1-N439/eco)^n),alpha*fck),0)</f>
      </c>
      <c r="P439" s="30">
        <f>PM_Angle!$J$10+PM_Angle!$K$10*$C439+PM_Angle!$L$10*$B439</f>
      </c>
      <c r="Q439" s="12">
        <f>IF(P439&gt;0,IF(P439&lt;=eco,alpha*fck*(1-(1-P439/eco)^n),alpha*fck),0)</f>
      </c>
      <c r="R439" s="30">
        <f>PM_Angle!$J$11+PM_Angle!$K$11*$C439+PM_Angle!$L$11*$B439</f>
      </c>
      <c r="S439" s="12">
        <f>IF(R439&gt;0,IF(R439&lt;=eco,alpha*fck*(1-(1-R439/eco)^n),alpha*fck),0)</f>
      </c>
      <c r="T439" s="30">
        <f>PM_Angle!$J$12+PM_Angle!$K$12*$C439+PM_Angle!$L$12*$B439</f>
      </c>
      <c r="U439" s="12">
        <f>IF(T439&gt;0,IF(T439&lt;=eco,alpha*fck*(1-(1-T439/eco)^n),alpha*fck),0)</f>
      </c>
      <c r="V439" s="30">
        <f>PM_Angle!$J$13+PM_Angle!$K$13*$C439+PM_Angle!$L$13*$B439</f>
      </c>
      <c r="W439" s="12">
        <f>IF(V439&gt;0,IF(V439&lt;=eco,alpha*fck*(1-(1-V439/eco)^n),alpha*fck),0)</f>
      </c>
      <c r="X439" s="30">
        <f>PM_Angle!$J$14+PM_Angle!$K$14*$C439+PM_Angle!$L$14*$B439</f>
      </c>
      <c r="Y439" s="12">
        <f>IF(X439&gt;0,IF(X439&lt;=eco,alpha*fck*(1-(1-X439/eco)^n),alpha*fck),0)</f>
      </c>
      <c r="Z439" s="30">
        <f>PM_Angle!$J$15+PM_Angle!$K$15*$C439+PM_Angle!$L$15*$B439</f>
      </c>
      <c r="AA439" s="12">
        <f>IF(Z439&gt;0,IF(Z439&lt;=eco,alpha*fck*(1-(1-Z439/eco)^n),alpha*fck),0)</f>
      </c>
      <c r="AB439" s="30">
        <f>PM_Angle!$J$16+PM_Angle!$K$16*$C439+PM_Angle!$L$16*$B439</f>
      </c>
      <c r="AC439" s="12">
        <f>IF(AB439&gt;0,IF(AB439&lt;=eco,alpha*fck*(1-(1-AB439/eco)^n),alpha*fck),0)</f>
      </c>
      <c r="AD439" s="30">
        <f>PM_Angle!$J$17+PM_Angle!$K$17*$C439+PM_Angle!$L$17*$B439</f>
      </c>
      <c r="AE439" s="12">
        <f>IF(AD439&gt;0,IF(AD439&lt;=eco,alpha*fck*(1-(1-AD439/eco)^n),alpha*fck),0)</f>
      </c>
      <c r="AF439" s="30">
        <f>PM_Angle!$J$18+PM_Angle!$K$18*$C439+PM_Angle!$L$18*$B439</f>
      </c>
      <c r="AG439" s="12">
        <f>IF(AF439&gt;0,IF(AF439&lt;=eco,alpha*fck*(1-(1-AF439/eco)^n),alpha*fck),0)</f>
      </c>
      <c r="AH439" s="30">
        <f>PM_Angle!$J$19+PM_Angle!$K$19*$C439+PM_Angle!$L$19*$B439</f>
      </c>
      <c r="AI439" s="12">
        <f>IF(AH439&gt;0,IF(AH439&lt;=eco,alpha*fck*(1-(1-AH439/eco)^n),alpha*fck),0)</f>
      </c>
      <c r="AJ439" s="30">
        <f>PM_Angle!$J$20+PM_Angle!$K$20*$C439+PM_Angle!$L$20*$B439</f>
      </c>
      <c r="AK439" s="12">
        <f>IF(AJ439&gt;0,IF(AJ439&lt;=eco,alpha*fck*(1-(1-AJ439/eco)^n),alpha*fck),0)</f>
      </c>
      <c r="AL439" s="30">
        <f>PM_Angle!$J$21+PM_Angle!$K$21*$C439+PM_Angle!$L$21*$B439</f>
      </c>
      <c r="AM439" s="12">
        <f>IF(AL439&gt;0,IF(AL439&lt;=eco,alpha*fck*(1-(1-AL439/eco)^n),alpha*fck),0)</f>
      </c>
      <c r="AN439" s="30">
        <f>PM_Angle!$J$22+PM_Angle!$K$22*$C439+PM_Angle!$L$22*$B439</f>
      </c>
      <c r="AO439" s="12">
        <f>IF(AN439&gt;0,IF(AN439&lt;=eco,alpha*fck*(1-(1-AN439/eco)^n),alpha*fck),0)</f>
      </c>
      <c r="AP439" s="30">
        <f>PM_Angle!$J$23+PM_Angle!$K$23*$C439+PM_Angle!$L$23*$B439</f>
      </c>
      <c r="AQ439" s="12">
        <f>IF(AP439&gt;0,IF(AP439&lt;=eco,alpha*fck*(1-(1-AP439/eco)^n),alpha*fck),0)</f>
      </c>
      <c r="AR439" s="30">
        <f>PM_Angle!$J$24+PM_Angle!$K$24*$C439+PM_Angle!$L$24*$B439</f>
      </c>
      <c r="AS439" s="12">
        <f>IF(AR439&gt;0,IF(AR439&lt;=eco,alpha*fck*(1-(1-AR439/eco)^n),alpha*fck),0)</f>
      </c>
      <c r="AT439" s="30">
        <f>PM_Angle!$J$25+PM_Angle!$K$25*$C439+PM_Angle!$L$25*$B439</f>
      </c>
      <c r="AU439" s="12">
        <f>IF(AT439&gt;0,IF(AT439&lt;=eco,alpha*fck*(1-(1-AT439/eco)^n),alpha*fck),0)</f>
      </c>
    </row>
    <row r="440" spans="1:47" x14ac:dyDescent="0.25">
      <c r="A440">
        <f>Mesh!A437</f>
      </c>
      <c r="B440" s="12">
        <f>Mesh!B437</f>
      </c>
      <c r="C440" s="12">
        <f>Mesh!C437</f>
      </c>
      <c r="D440" s="12">
        <f>Mesh!D437</f>
      </c>
      <c r="E440" s="30">
        <f>INDEX(St_e0,Det+1)+INDEX(St_kx,Det+1)*C440+INDEX(St_ky,Det+1)*B440</f>
      </c>
      <c r="F440" s="12">
        <f>IF(E440&gt;0,IF(E440&lt;=eco,alpha*fck*(1-(1-E440/eco)^n),alpha*fck),0)</f>
      </c>
      <c r="G440" s="11">
        <f>F440*D440</f>
      </c>
      <c r="H440" s="11">
        <f>G440*C440</f>
      </c>
      <c r="I440" s="11">
        <f>G440*B440</f>
      </c>
      <c r="J440" s="30">
        <f>PM_Angle!$J$7+PM_Angle!$K$7*$C440+PM_Angle!$L$7*$B440</f>
      </c>
      <c r="K440" s="12">
        <f>IF(J440&gt;0,IF(J440&lt;=eco,alpha*fck*(1-(1-J440/eco)^n),alpha*fck),0)</f>
      </c>
      <c r="L440" s="30">
        <f>PM_Angle!$J$8+PM_Angle!$K$8*$C440+PM_Angle!$L$8*$B440</f>
      </c>
      <c r="M440" s="12">
        <f>IF(L440&gt;0,IF(L440&lt;=eco,alpha*fck*(1-(1-L440/eco)^n),alpha*fck),0)</f>
      </c>
      <c r="N440" s="30">
        <f>PM_Angle!$J$9+PM_Angle!$K$9*$C440+PM_Angle!$L$9*$B440</f>
      </c>
      <c r="O440" s="12">
        <f>IF(N440&gt;0,IF(N440&lt;=eco,alpha*fck*(1-(1-N440/eco)^n),alpha*fck),0)</f>
      </c>
      <c r="P440" s="30">
        <f>PM_Angle!$J$10+PM_Angle!$K$10*$C440+PM_Angle!$L$10*$B440</f>
      </c>
      <c r="Q440" s="12">
        <f>IF(P440&gt;0,IF(P440&lt;=eco,alpha*fck*(1-(1-P440/eco)^n),alpha*fck),0)</f>
      </c>
      <c r="R440" s="30">
        <f>PM_Angle!$J$11+PM_Angle!$K$11*$C440+PM_Angle!$L$11*$B440</f>
      </c>
      <c r="S440" s="12">
        <f>IF(R440&gt;0,IF(R440&lt;=eco,alpha*fck*(1-(1-R440/eco)^n),alpha*fck),0)</f>
      </c>
      <c r="T440" s="30">
        <f>PM_Angle!$J$12+PM_Angle!$K$12*$C440+PM_Angle!$L$12*$B440</f>
      </c>
      <c r="U440" s="12">
        <f>IF(T440&gt;0,IF(T440&lt;=eco,alpha*fck*(1-(1-T440/eco)^n),alpha*fck),0)</f>
      </c>
      <c r="V440" s="30">
        <f>PM_Angle!$J$13+PM_Angle!$K$13*$C440+PM_Angle!$L$13*$B440</f>
      </c>
      <c r="W440" s="12">
        <f>IF(V440&gt;0,IF(V440&lt;=eco,alpha*fck*(1-(1-V440/eco)^n),alpha*fck),0)</f>
      </c>
      <c r="X440" s="30">
        <f>PM_Angle!$J$14+PM_Angle!$K$14*$C440+PM_Angle!$L$14*$B440</f>
      </c>
      <c r="Y440" s="12">
        <f>IF(X440&gt;0,IF(X440&lt;=eco,alpha*fck*(1-(1-X440/eco)^n),alpha*fck),0)</f>
      </c>
      <c r="Z440" s="30">
        <f>PM_Angle!$J$15+PM_Angle!$K$15*$C440+PM_Angle!$L$15*$B440</f>
      </c>
      <c r="AA440" s="12">
        <f>IF(Z440&gt;0,IF(Z440&lt;=eco,alpha*fck*(1-(1-Z440/eco)^n),alpha*fck),0)</f>
      </c>
      <c r="AB440" s="30">
        <f>PM_Angle!$J$16+PM_Angle!$K$16*$C440+PM_Angle!$L$16*$B440</f>
      </c>
      <c r="AC440" s="12">
        <f>IF(AB440&gt;0,IF(AB440&lt;=eco,alpha*fck*(1-(1-AB440/eco)^n),alpha*fck),0)</f>
      </c>
      <c r="AD440" s="30">
        <f>PM_Angle!$J$17+PM_Angle!$K$17*$C440+PM_Angle!$L$17*$B440</f>
      </c>
      <c r="AE440" s="12">
        <f>IF(AD440&gt;0,IF(AD440&lt;=eco,alpha*fck*(1-(1-AD440/eco)^n),alpha*fck),0)</f>
      </c>
      <c r="AF440" s="30">
        <f>PM_Angle!$J$18+PM_Angle!$K$18*$C440+PM_Angle!$L$18*$B440</f>
      </c>
      <c r="AG440" s="12">
        <f>IF(AF440&gt;0,IF(AF440&lt;=eco,alpha*fck*(1-(1-AF440/eco)^n),alpha*fck),0)</f>
      </c>
      <c r="AH440" s="30">
        <f>PM_Angle!$J$19+PM_Angle!$K$19*$C440+PM_Angle!$L$19*$B440</f>
      </c>
      <c r="AI440" s="12">
        <f>IF(AH440&gt;0,IF(AH440&lt;=eco,alpha*fck*(1-(1-AH440/eco)^n),alpha*fck),0)</f>
      </c>
      <c r="AJ440" s="30">
        <f>PM_Angle!$J$20+PM_Angle!$K$20*$C440+PM_Angle!$L$20*$B440</f>
      </c>
      <c r="AK440" s="12">
        <f>IF(AJ440&gt;0,IF(AJ440&lt;=eco,alpha*fck*(1-(1-AJ440/eco)^n),alpha*fck),0)</f>
      </c>
      <c r="AL440" s="30">
        <f>PM_Angle!$J$21+PM_Angle!$K$21*$C440+PM_Angle!$L$21*$B440</f>
      </c>
      <c r="AM440" s="12">
        <f>IF(AL440&gt;0,IF(AL440&lt;=eco,alpha*fck*(1-(1-AL440/eco)^n),alpha*fck),0)</f>
      </c>
      <c r="AN440" s="30">
        <f>PM_Angle!$J$22+PM_Angle!$K$22*$C440+PM_Angle!$L$22*$B440</f>
      </c>
      <c r="AO440" s="12">
        <f>IF(AN440&gt;0,IF(AN440&lt;=eco,alpha*fck*(1-(1-AN440/eco)^n),alpha*fck),0)</f>
      </c>
      <c r="AP440" s="30">
        <f>PM_Angle!$J$23+PM_Angle!$K$23*$C440+PM_Angle!$L$23*$B440</f>
      </c>
      <c r="AQ440" s="12">
        <f>IF(AP440&gt;0,IF(AP440&lt;=eco,alpha*fck*(1-(1-AP440/eco)^n),alpha*fck),0)</f>
      </c>
      <c r="AR440" s="30">
        <f>PM_Angle!$J$24+PM_Angle!$K$24*$C440+PM_Angle!$L$24*$B440</f>
      </c>
      <c r="AS440" s="12">
        <f>IF(AR440&gt;0,IF(AR440&lt;=eco,alpha*fck*(1-(1-AR440/eco)^n),alpha*fck),0)</f>
      </c>
      <c r="AT440" s="30">
        <f>PM_Angle!$J$25+PM_Angle!$K$25*$C440+PM_Angle!$L$25*$B440</f>
      </c>
      <c r="AU440" s="12">
        <f>IF(AT440&gt;0,IF(AT440&lt;=eco,alpha*fck*(1-(1-AT440/eco)^n),alpha*fck),0)</f>
      </c>
    </row>
    <row r="441" spans="1:47" x14ac:dyDescent="0.25">
      <c r="A441">
        <f>Mesh!A438</f>
      </c>
      <c r="B441" s="12">
        <f>Mesh!B438</f>
      </c>
      <c r="C441" s="12">
        <f>Mesh!C438</f>
      </c>
      <c r="D441" s="12">
        <f>Mesh!D438</f>
      </c>
      <c r="E441" s="30">
        <f>INDEX(St_e0,Det+1)+INDEX(St_kx,Det+1)*C441+INDEX(St_ky,Det+1)*B441</f>
      </c>
      <c r="F441" s="12">
        <f>IF(E441&gt;0,IF(E441&lt;=eco,alpha*fck*(1-(1-E441/eco)^n),alpha*fck),0)</f>
      </c>
      <c r="G441" s="11">
        <f>F441*D441</f>
      </c>
      <c r="H441" s="11">
        <f>G441*C441</f>
      </c>
      <c r="I441" s="11">
        <f>G441*B441</f>
      </c>
      <c r="J441" s="30">
        <f>PM_Angle!$J$7+PM_Angle!$K$7*$C441+PM_Angle!$L$7*$B441</f>
      </c>
      <c r="K441" s="12">
        <f>IF(J441&gt;0,IF(J441&lt;=eco,alpha*fck*(1-(1-J441/eco)^n),alpha*fck),0)</f>
      </c>
      <c r="L441" s="30">
        <f>PM_Angle!$J$8+PM_Angle!$K$8*$C441+PM_Angle!$L$8*$B441</f>
      </c>
      <c r="M441" s="12">
        <f>IF(L441&gt;0,IF(L441&lt;=eco,alpha*fck*(1-(1-L441/eco)^n),alpha*fck),0)</f>
      </c>
      <c r="N441" s="30">
        <f>PM_Angle!$J$9+PM_Angle!$K$9*$C441+PM_Angle!$L$9*$B441</f>
      </c>
      <c r="O441" s="12">
        <f>IF(N441&gt;0,IF(N441&lt;=eco,alpha*fck*(1-(1-N441/eco)^n),alpha*fck),0)</f>
      </c>
      <c r="P441" s="30">
        <f>PM_Angle!$J$10+PM_Angle!$K$10*$C441+PM_Angle!$L$10*$B441</f>
      </c>
      <c r="Q441" s="12">
        <f>IF(P441&gt;0,IF(P441&lt;=eco,alpha*fck*(1-(1-P441/eco)^n),alpha*fck),0)</f>
      </c>
      <c r="R441" s="30">
        <f>PM_Angle!$J$11+PM_Angle!$K$11*$C441+PM_Angle!$L$11*$B441</f>
      </c>
      <c r="S441" s="12">
        <f>IF(R441&gt;0,IF(R441&lt;=eco,alpha*fck*(1-(1-R441/eco)^n),alpha*fck),0)</f>
      </c>
      <c r="T441" s="30">
        <f>PM_Angle!$J$12+PM_Angle!$K$12*$C441+PM_Angle!$L$12*$B441</f>
      </c>
      <c r="U441" s="12">
        <f>IF(T441&gt;0,IF(T441&lt;=eco,alpha*fck*(1-(1-T441/eco)^n),alpha*fck),0)</f>
      </c>
      <c r="V441" s="30">
        <f>PM_Angle!$J$13+PM_Angle!$K$13*$C441+PM_Angle!$L$13*$B441</f>
      </c>
      <c r="W441" s="12">
        <f>IF(V441&gt;0,IF(V441&lt;=eco,alpha*fck*(1-(1-V441/eco)^n),alpha*fck),0)</f>
      </c>
      <c r="X441" s="30">
        <f>PM_Angle!$J$14+PM_Angle!$K$14*$C441+PM_Angle!$L$14*$B441</f>
      </c>
      <c r="Y441" s="12">
        <f>IF(X441&gt;0,IF(X441&lt;=eco,alpha*fck*(1-(1-X441/eco)^n),alpha*fck),0)</f>
      </c>
      <c r="Z441" s="30">
        <f>PM_Angle!$J$15+PM_Angle!$K$15*$C441+PM_Angle!$L$15*$B441</f>
      </c>
      <c r="AA441" s="12">
        <f>IF(Z441&gt;0,IF(Z441&lt;=eco,alpha*fck*(1-(1-Z441/eco)^n),alpha*fck),0)</f>
      </c>
      <c r="AB441" s="30">
        <f>PM_Angle!$J$16+PM_Angle!$K$16*$C441+PM_Angle!$L$16*$B441</f>
      </c>
      <c r="AC441" s="12">
        <f>IF(AB441&gt;0,IF(AB441&lt;=eco,alpha*fck*(1-(1-AB441/eco)^n),alpha*fck),0)</f>
      </c>
      <c r="AD441" s="30">
        <f>PM_Angle!$J$17+PM_Angle!$K$17*$C441+PM_Angle!$L$17*$B441</f>
      </c>
      <c r="AE441" s="12">
        <f>IF(AD441&gt;0,IF(AD441&lt;=eco,alpha*fck*(1-(1-AD441/eco)^n),alpha*fck),0)</f>
      </c>
      <c r="AF441" s="30">
        <f>PM_Angle!$J$18+PM_Angle!$K$18*$C441+PM_Angle!$L$18*$B441</f>
      </c>
      <c r="AG441" s="12">
        <f>IF(AF441&gt;0,IF(AF441&lt;=eco,alpha*fck*(1-(1-AF441/eco)^n),alpha*fck),0)</f>
      </c>
      <c r="AH441" s="30">
        <f>PM_Angle!$J$19+PM_Angle!$K$19*$C441+PM_Angle!$L$19*$B441</f>
      </c>
      <c r="AI441" s="12">
        <f>IF(AH441&gt;0,IF(AH441&lt;=eco,alpha*fck*(1-(1-AH441/eco)^n),alpha*fck),0)</f>
      </c>
      <c r="AJ441" s="30">
        <f>PM_Angle!$J$20+PM_Angle!$K$20*$C441+PM_Angle!$L$20*$B441</f>
      </c>
      <c r="AK441" s="12">
        <f>IF(AJ441&gt;0,IF(AJ441&lt;=eco,alpha*fck*(1-(1-AJ441/eco)^n),alpha*fck),0)</f>
      </c>
      <c r="AL441" s="30">
        <f>PM_Angle!$J$21+PM_Angle!$K$21*$C441+PM_Angle!$L$21*$B441</f>
      </c>
      <c r="AM441" s="12">
        <f>IF(AL441&gt;0,IF(AL441&lt;=eco,alpha*fck*(1-(1-AL441/eco)^n),alpha*fck),0)</f>
      </c>
      <c r="AN441" s="30">
        <f>PM_Angle!$J$22+PM_Angle!$K$22*$C441+PM_Angle!$L$22*$B441</f>
      </c>
      <c r="AO441" s="12">
        <f>IF(AN441&gt;0,IF(AN441&lt;=eco,alpha*fck*(1-(1-AN441/eco)^n),alpha*fck),0)</f>
      </c>
      <c r="AP441" s="30">
        <f>PM_Angle!$J$23+PM_Angle!$K$23*$C441+PM_Angle!$L$23*$B441</f>
      </c>
      <c r="AQ441" s="12">
        <f>IF(AP441&gt;0,IF(AP441&lt;=eco,alpha*fck*(1-(1-AP441/eco)^n),alpha*fck),0)</f>
      </c>
      <c r="AR441" s="30">
        <f>PM_Angle!$J$24+PM_Angle!$K$24*$C441+PM_Angle!$L$24*$B441</f>
      </c>
      <c r="AS441" s="12">
        <f>IF(AR441&gt;0,IF(AR441&lt;=eco,alpha*fck*(1-(1-AR441/eco)^n),alpha*fck),0)</f>
      </c>
      <c r="AT441" s="30">
        <f>PM_Angle!$J$25+PM_Angle!$K$25*$C441+PM_Angle!$L$25*$B441</f>
      </c>
      <c r="AU441" s="12">
        <f>IF(AT441&gt;0,IF(AT441&lt;=eco,alpha*fck*(1-(1-AT441/eco)^n),alpha*fck),0)</f>
      </c>
    </row>
    <row r="442" spans="1:47" x14ac:dyDescent="0.25">
      <c r="A442">
        <f>Mesh!A439</f>
      </c>
      <c r="B442" s="12">
        <f>Mesh!B439</f>
      </c>
      <c r="C442" s="12">
        <f>Mesh!C439</f>
      </c>
      <c r="D442" s="12">
        <f>Mesh!D439</f>
      </c>
      <c r="E442" s="30">
        <f>INDEX(St_e0,Det+1)+INDEX(St_kx,Det+1)*C442+INDEX(St_ky,Det+1)*B442</f>
      </c>
      <c r="F442" s="12">
        <f>IF(E442&gt;0,IF(E442&lt;=eco,alpha*fck*(1-(1-E442/eco)^n),alpha*fck),0)</f>
      </c>
      <c r="G442" s="11">
        <f>F442*D442</f>
      </c>
      <c r="H442" s="11">
        <f>G442*C442</f>
      </c>
      <c r="I442" s="11">
        <f>G442*B442</f>
      </c>
      <c r="J442" s="30">
        <f>PM_Angle!$J$7+PM_Angle!$K$7*$C442+PM_Angle!$L$7*$B442</f>
      </c>
      <c r="K442" s="12">
        <f>IF(J442&gt;0,IF(J442&lt;=eco,alpha*fck*(1-(1-J442/eco)^n),alpha*fck),0)</f>
      </c>
      <c r="L442" s="30">
        <f>PM_Angle!$J$8+PM_Angle!$K$8*$C442+PM_Angle!$L$8*$B442</f>
      </c>
      <c r="M442" s="12">
        <f>IF(L442&gt;0,IF(L442&lt;=eco,alpha*fck*(1-(1-L442/eco)^n),alpha*fck),0)</f>
      </c>
      <c r="N442" s="30">
        <f>PM_Angle!$J$9+PM_Angle!$K$9*$C442+PM_Angle!$L$9*$B442</f>
      </c>
      <c r="O442" s="12">
        <f>IF(N442&gt;0,IF(N442&lt;=eco,alpha*fck*(1-(1-N442/eco)^n),alpha*fck),0)</f>
      </c>
      <c r="P442" s="30">
        <f>PM_Angle!$J$10+PM_Angle!$K$10*$C442+PM_Angle!$L$10*$B442</f>
      </c>
      <c r="Q442" s="12">
        <f>IF(P442&gt;0,IF(P442&lt;=eco,alpha*fck*(1-(1-P442/eco)^n),alpha*fck),0)</f>
      </c>
      <c r="R442" s="30">
        <f>PM_Angle!$J$11+PM_Angle!$K$11*$C442+PM_Angle!$L$11*$B442</f>
      </c>
      <c r="S442" s="12">
        <f>IF(R442&gt;0,IF(R442&lt;=eco,alpha*fck*(1-(1-R442/eco)^n),alpha*fck),0)</f>
      </c>
      <c r="T442" s="30">
        <f>PM_Angle!$J$12+PM_Angle!$K$12*$C442+PM_Angle!$L$12*$B442</f>
      </c>
      <c r="U442" s="12">
        <f>IF(T442&gt;0,IF(T442&lt;=eco,alpha*fck*(1-(1-T442/eco)^n),alpha*fck),0)</f>
      </c>
      <c r="V442" s="30">
        <f>PM_Angle!$J$13+PM_Angle!$K$13*$C442+PM_Angle!$L$13*$B442</f>
      </c>
      <c r="W442" s="12">
        <f>IF(V442&gt;0,IF(V442&lt;=eco,alpha*fck*(1-(1-V442/eco)^n),alpha*fck),0)</f>
      </c>
      <c r="X442" s="30">
        <f>PM_Angle!$J$14+PM_Angle!$K$14*$C442+PM_Angle!$L$14*$B442</f>
      </c>
      <c r="Y442" s="12">
        <f>IF(X442&gt;0,IF(X442&lt;=eco,alpha*fck*(1-(1-X442/eco)^n),alpha*fck),0)</f>
      </c>
      <c r="Z442" s="30">
        <f>PM_Angle!$J$15+PM_Angle!$K$15*$C442+PM_Angle!$L$15*$B442</f>
      </c>
      <c r="AA442" s="12">
        <f>IF(Z442&gt;0,IF(Z442&lt;=eco,alpha*fck*(1-(1-Z442/eco)^n),alpha*fck),0)</f>
      </c>
      <c r="AB442" s="30">
        <f>PM_Angle!$J$16+PM_Angle!$K$16*$C442+PM_Angle!$L$16*$B442</f>
      </c>
      <c r="AC442" s="12">
        <f>IF(AB442&gt;0,IF(AB442&lt;=eco,alpha*fck*(1-(1-AB442/eco)^n),alpha*fck),0)</f>
      </c>
      <c r="AD442" s="30">
        <f>PM_Angle!$J$17+PM_Angle!$K$17*$C442+PM_Angle!$L$17*$B442</f>
      </c>
      <c r="AE442" s="12">
        <f>IF(AD442&gt;0,IF(AD442&lt;=eco,alpha*fck*(1-(1-AD442/eco)^n),alpha*fck),0)</f>
      </c>
      <c r="AF442" s="30">
        <f>PM_Angle!$J$18+PM_Angle!$K$18*$C442+PM_Angle!$L$18*$B442</f>
      </c>
      <c r="AG442" s="12">
        <f>IF(AF442&gt;0,IF(AF442&lt;=eco,alpha*fck*(1-(1-AF442/eco)^n),alpha*fck),0)</f>
      </c>
      <c r="AH442" s="30">
        <f>PM_Angle!$J$19+PM_Angle!$K$19*$C442+PM_Angle!$L$19*$B442</f>
      </c>
      <c r="AI442" s="12">
        <f>IF(AH442&gt;0,IF(AH442&lt;=eco,alpha*fck*(1-(1-AH442/eco)^n),alpha*fck),0)</f>
      </c>
      <c r="AJ442" s="30">
        <f>PM_Angle!$J$20+PM_Angle!$K$20*$C442+PM_Angle!$L$20*$B442</f>
      </c>
      <c r="AK442" s="12">
        <f>IF(AJ442&gt;0,IF(AJ442&lt;=eco,alpha*fck*(1-(1-AJ442/eco)^n),alpha*fck),0)</f>
      </c>
      <c r="AL442" s="30">
        <f>PM_Angle!$J$21+PM_Angle!$K$21*$C442+PM_Angle!$L$21*$B442</f>
      </c>
      <c r="AM442" s="12">
        <f>IF(AL442&gt;0,IF(AL442&lt;=eco,alpha*fck*(1-(1-AL442/eco)^n),alpha*fck),0)</f>
      </c>
      <c r="AN442" s="30">
        <f>PM_Angle!$J$22+PM_Angle!$K$22*$C442+PM_Angle!$L$22*$B442</f>
      </c>
      <c r="AO442" s="12">
        <f>IF(AN442&gt;0,IF(AN442&lt;=eco,alpha*fck*(1-(1-AN442/eco)^n),alpha*fck),0)</f>
      </c>
      <c r="AP442" s="30">
        <f>PM_Angle!$J$23+PM_Angle!$K$23*$C442+PM_Angle!$L$23*$B442</f>
      </c>
      <c r="AQ442" s="12">
        <f>IF(AP442&gt;0,IF(AP442&lt;=eco,alpha*fck*(1-(1-AP442/eco)^n),alpha*fck),0)</f>
      </c>
      <c r="AR442" s="30">
        <f>PM_Angle!$J$24+PM_Angle!$K$24*$C442+PM_Angle!$L$24*$B442</f>
      </c>
      <c r="AS442" s="12">
        <f>IF(AR442&gt;0,IF(AR442&lt;=eco,alpha*fck*(1-(1-AR442/eco)^n),alpha*fck),0)</f>
      </c>
      <c r="AT442" s="30">
        <f>PM_Angle!$J$25+PM_Angle!$K$25*$C442+PM_Angle!$L$25*$B442</f>
      </c>
      <c r="AU442" s="12">
        <f>IF(AT442&gt;0,IF(AT442&lt;=eco,alpha*fck*(1-(1-AT442/eco)^n),alpha*fck),0)</f>
      </c>
    </row>
    <row r="443" spans="1:47" x14ac:dyDescent="0.25">
      <c r="A443">
        <f>Mesh!A440</f>
      </c>
      <c r="B443" s="12">
        <f>Mesh!B440</f>
      </c>
      <c r="C443" s="12">
        <f>Mesh!C440</f>
      </c>
      <c r="D443" s="12">
        <f>Mesh!D440</f>
      </c>
      <c r="E443" s="30">
        <f>INDEX(St_e0,Det+1)+INDEX(St_kx,Det+1)*C443+INDEX(St_ky,Det+1)*B443</f>
      </c>
      <c r="F443" s="12">
        <f>IF(E443&gt;0,IF(E443&lt;=eco,alpha*fck*(1-(1-E443/eco)^n),alpha*fck),0)</f>
      </c>
      <c r="G443" s="11">
        <f>F443*D443</f>
      </c>
      <c r="H443" s="11">
        <f>G443*C443</f>
      </c>
      <c r="I443" s="11">
        <f>G443*B443</f>
      </c>
      <c r="J443" s="30">
        <f>PM_Angle!$J$7+PM_Angle!$K$7*$C443+PM_Angle!$L$7*$B443</f>
      </c>
      <c r="K443" s="12">
        <f>IF(J443&gt;0,IF(J443&lt;=eco,alpha*fck*(1-(1-J443/eco)^n),alpha*fck),0)</f>
      </c>
      <c r="L443" s="30">
        <f>PM_Angle!$J$8+PM_Angle!$K$8*$C443+PM_Angle!$L$8*$B443</f>
      </c>
      <c r="M443" s="12">
        <f>IF(L443&gt;0,IF(L443&lt;=eco,alpha*fck*(1-(1-L443/eco)^n),alpha*fck),0)</f>
      </c>
      <c r="N443" s="30">
        <f>PM_Angle!$J$9+PM_Angle!$K$9*$C443+PM_Angle!$L$9*$B443</f>
      </c>
      <c r="O443" s="12">
        <f>IF(N443&gt;0,IF(N443&lt;=eco,alpha*fck*(1-(1-N443/eco)^n),alpha*fck),0)</f>
      </c>
      <c r="P443" s="30">
        <f>PM_Angle!$J$10+PM_Angle!$K$10*$C443+PM_Angle!$L$10*$B443</f>
      </c>
      <c r="Q443" s="12">
        <f>IF(P443&gt;0,IF(P443&lt;=eco,alpha*fck*(1-(1-P443/eco)^n),alpha*fck),0)</f>
      </c>
      <c r="R443" s="30">
        <f>PM_Angle!$J$11+PM_Angle!$K$11*$C443+PM_Angle!$L$11*$B443</f>
      </c>
      <c r="S443" s="12">
        <f>IF(R443&gt;0,IF(R443&lt;=eco,alpha*fck*(1-(1-R443/eco)^n),alpha*fck),0)</f>
      </c>
      <c r="T443" s="30">
        <f>PM_Angle!$J$12+PM_Angle!$K$12*$C443+PM_Angle!$L$12*$B443</f>
      </c>
      <c r="U443" s="12">
        <f>IF(T443&gt;0,IF(T443&lt;=eco,alpha*fck*(1-(1-T443/eco)^n),alpha*fck),0)</f>
      </c>
      <c r="V443" s="30">
        <f>PM_Angle!$J$13+PM_Angle!$K$13*$C443+PM_Angle!$L$13*$B443</f>
      </c>
      <c r="W443" s="12">
        <f>IF(V443&gt;0,IF(V443&lt;=eco,alpha*fck*(1-(1-V443/eco)^n),alpha*fck),0)</f>
      </c>
      <c r="X443" s="30">
        <f>PM_Angle!$J$14+PM_Angle!$K$14*$C443+PM_Angle!$L$14*$B443</f>
      </c>
      <c r="Y443" s="12">
        <f>IF(X443&gt;0,IF(X443&lt;=eco,alpha*fck*(1-(1-X443/eco)^n),alpha*fck),0)</f>
      </c>
      <c r="Z443" s="30">
        <f>PM_Angle!$J$15+PM_Angle!$K$15*$C443+PM_Angle!$L$15*$B443</f>
      </c>
      <c r="AA443" s="12">
        <f>IF(Z443&gt;0,IF(Z443&lt;=eco,alpha*fck*(1-(1-Z443/eco)^n),alpha*fck),0)</f>
      </c>
      <c r="AB443" s="30">
        <f>PM_Angle!$J$16+PM_Angle!$K$16*$C443+PM_Angle!$L$16*$B443</f>
      </c>
      <c r="AC443" s="12">
        <f>IF(AB443&gt;0,IF(AB443&lt;=eco,alpha*fck*(1-(1-AB443/eco)^n),alpha*fck),0)</f>
      </c>
      <c r="AD443" s="30">
        <f>PM_Angle!$J$17+PM_Angle!$K$17*$C443+PM_Angle!$L$17*$B443</f>
      </c>
      <c r="AE443" s="12">
        <f>IF(AD443&gt;0,IF(AD443&lt;=eco,alpha*fck*(1-(1-AD443/eco)^n),alpha*fck),0)</f>
      </c>
      <c r="AF443" s="30">
        <f>PM_Angle!$J$18+PM_Angle!$K$18*$C443+PM_Angle!$L$18*$B443</f>
      </c>
      <c r="AG443" s="12">
        <f>IF(AF443&gt;0,IF(AF443&lt;=eco,alpha*fck*(1-(1-AF443/eco)^n),alpha*fck),0)</f>
      </c>
      <c r="AH443" s="30">
        <f>PM_Angle!$J$19+PM_Angle!$K$19*$C443+PM_Angle!$L$19*$B443</f>
      </c>
      <c r="AI443" s="12">
        <f>IF(AH443&gt;0,IF(AH443&lt;=eco,alpha*fck*(1-(1-AH443/eco)^n),alpha*fck),0)</f>
      </c>
      <c r="AJ443" s="30">
        <f>PM_Angle!$J$20+PM_Angle!$K$20*$C443+PM_Angle!$L$20*$B443</f>
      </c>
      <c r="AK443" s="12">
        <f>IF(AJ443&gt;0,IF(AJ443&lt;=eco,alpha*fck*(1-(1-AJ443/eco)^n),alpha*fck),0)</f>
      </c>
      <c r="AL443" s="30">
        <f>PM_Angle!$J$21+PM_Angle!$K$21*$C443+PM_Angle!$L$21*$B443</f>
      </c>
      <c r="AM443" s="12">
        <f>IF(AL443&gt;0,IF(AL443&lt;=eco,alpha*fck*(1-(1-AL443/eco)^n),alpha*fck),0)</f>
      </c>
      <c r="AN443" s="30">
        <f>PM_Angle!$J$22+PM_Angle!$K$22*$C443+PM_Angle!$L$22*$B443</f>
      </c>
      <c r="AO443" s="12">
        <f>IF(AN443&gt;0,IF(AN443&lt;=eco,alpha*fck*(1-(1-AN443/eco)^n),alpha*fck),0)</f>
      </c>
      <c r="AP443" s="30">
        <f>PM_Angle!$J$23+PM_Angle!$K$23*$C443+PM_Angle!$L$23*$B443</f>
      </c>
      <c r="AQ443" s="12">
        <f>IF(AP443&gt;0,IF(AP443&lt;=eco,alpha*fck*(1-(1-AP443/eco)^n),alpha*fck),0)</f>
      </c>
      <c r="AR443" s="30">
        <f>PM_Angle!$J$24+PM_Angle!$K$24*$C443+PM_Angle!$L$24*$B443</f>
      </c>
      <c r="AS443" s="12">
        <f>IF(AR443&gt;0,IF(AR443&lt;=eco,alpha*fck*(1-(1-AR443/eco)^n),alpha*fck),0)</f>
      </c>
      <c r="AT443" s="30">
        <f>PM_Angle!$J$25+PM_Angle!$K$25*$C443+PM_Angle!$L$25*$B443</f>
      </c>
      <c r="AU443" s="12">
        <f>IF(AT443&gt;0,IF(AT443&lt;=eco,alpha*fck*(1-(1-AT443/eco)^n),alpha*fck),0)</f>
      </c>
    </row>
    <row r="444" spans="1:47" x14ac:dyDescent="0.25">
      <c r="A444">
        <f>Mesh!A441</f>
      </c>
      <c r="B444" s="12">
        <f>Mesh!B441</f>
      </c>
      <c r="C444" s="12">
        <f>Mesh!C441</f>
      </c>
      <c r="D444" s="12">
        <f>Mesh!D441</f>
      </c>
      <c r="E444" s="30">
        <f>INDEX(St_e0,Det+1)+INDEX(St_kx,Det+1)*C444+INDEX(St_ky,Det+1)*B444</f>
      </c>
      <c r="F444" s="12">
        <f>IF(E444&gt;0,IF(E444&lt;=eco,alpha*fck*(1-(1-E444/eco)^n),alpha*fck),0)</f>
      </c>
      <c r="G444" s="11">
        <f>F444*D444</f>
      </c>
      <c r="H444" s="11">
        <f>G444*C444</f>
      </c>
      <c r="I444" s="11">
        <f>G444*B444</f>
      </c>
      <c r="J444" s="30">
        <f>PM_Angle!$J$7+PM_Angle!$K$7*$C444+PM_Angle!$L$7*$B444</f>
      </c>
      <c r="K444" s="12">
        <f>IF(J444&gt;0,IF(J444&lt;=eco,alpha*fck*(1-(1-J444/eco)^n),alpha*fck),0)</f>
      </c>
      <c r="L444" s="30">
        <f>PM_Angle!$J$8+PM_Angle!$K$8*$C444+PM_Angle!$L$8*$B444</f>
      </c>
      <c r="M444" s="12">
        <f>IF(L444&gt;0,IF(L444&lt;=eco,alpha*fck*(1-(1-L444/eco)^n),alpha*fck),0)</f>
      </c>
      <c r="N444" s="30">
        <f>PM_Angle!$J$9+PM_Angle!$K$9*$C444+PM_Angle!$L$9*$B444</f>
      </c>
      <c r="O444" s="12">
        <f>IF(N444&gt;0,IF(N444&lt;=eco,alpha*fck*(1-(1-N444/eco)^n),alpha*fck),0)</f>
      </c>
      <c r="P444" s="30">
        <f>PM_Angle!$J$10+PM_Angle!$K$10*$C444+PM_Angle!$L$10*$B444</f>
      </c>
      <c r="Q444" s="12">
        <f>IF(P444&gt;0,IF(P444&lt;=eco,alpha*fck*(1-(1-P444/eco)^n),alpha*fck),0)</f>
      </c>
      <c r="R444" s="30">
        <f>PM_Angle!$J$11+PM_Angle!$K$11*$C444+PM_Angle!$L$11*$B444</f>
      </c>
      <c r="S444" s="12">
        <f>IF(R444&gt;0,IF(R444&lt;=eco,alpha*fck*(1-(1-R444/eco)^n),alpha*fck),0)</f>
      </c>
      <c r="T444" s="30">
        <f>PM_Angle!$J$12+PM_Angle!$K$12*$C444+PM_Angle!$L$12*$B444</f>
      </c>
      <c r="U444" s="12">
        <f>IF(T444&gt;0,IF(T444&lt;=eco,alpha*fck*(1-(1-T444/eco)^n),alpha*fck),0)</f>
      </c>
      <c r="V444" s="30">
        <f>PM_Angle!$J$13+PM_Angle!$K$13*$C444+PM_Angle!$L$13*$B444</f>
      </c>
      <c r="W444" s="12">
        <f>IF(V444&gt;0,IF(V444&lt;=eco,alpha*fck*(1-(1-V444/eco)^n),alpha*fck),0)</f>
      </c>
      <c r="X444" s="30">
        <f>PM_Angle!$J$14+PM_Angle!$K$14*$C444+PM_Angle!$L$14*$B444</f>
      </c>
      <c r="Y444" s="12">
        <f>IF(X444&gt;0,IF(X444&lt;=eco,alpha*fck*(1-(1-X444/eco)^n),alpha*fck),0)</f>
      </c>
      <c r="Z444" s="30">
        <f>PM_Angle!$J$15+PM_Angle!$K$15*$C444+PM_Angle!$L$15*$B444</f>
      </c>
      <c r="AA444" s="12">
        <f>IF(Z444&gt;0,IF(Z444&lt;=eco,alpha*fck*(1-(1-Z444/eco)^n),alpha*fck),0)</f>
      </c>
      <c r="AB444" s="30">
        <f>PM_Angle!$J$16+PM_Angle!$K$16*$C444+PM_Angle!$L$16*$B444</f>
      </c>
      <c r="AC444" s="12">
        <f>IF(AB444&gt;0,IF(AB444&lt;=eco,alpha*fck*(1-(1-AB444/eco)^n),alpha*fck),0)</f>
      </c>
      <c r="AD444" s="30">
        <f>PM_Angle!$J$17+PM_Angle!$K$17*$C444+PM_Angle!$L$17*$B444</f>
      </c>
      <c r="AE444" s="12">
        <f>IF(AD444&gt;0,IF(AD444&lt;=eco,alpha*fck*(1-(1-AD444/eco)^n),alpha*fck),0)</f>
      </c>
      <c r="AF444" s="30">
        <f>PM_Angle!$J$18+PM_Angle!$K$18*$C444+PM_Angle!$L$18*$B444</f>
      </c>
      <c r="AG444" s="12">
        <f>IF(AF444&gt;0,IF(AF444&lt;=eco,alpha*fck*(1-(1-AF444/eco)^n),alpha*fck),0)</f>
      </c>
      <c r="AH444" s="30">
        <f>PM_Angle!$J$19+PM_Angle!$K$19*$C444+PM_Angle!$L$19*$B444</f>
      </c>
      <c r="AI444" s="12">
        <f>IF(AH444&gt;0,IF(AH444&lt;=eco,alpha*fck*(1-(1-AH444/eco)^n),alpha*fck),0)</f>
      </c>
      <c r="AJ444" s="30">
        <f>PM_Angle!$J$20+PM_Angle!$K$20*$C444+PM_Angle!$L$20*$B444</f>
      </c>
      <c r="AK444" s="12">
        <f>IF(AJ444&gt;0,IF(AJ444&lt;=eco,alpha*fck*(1-(1-AJ444/eco)^n),alpha*fck),0)</f>
      </c>
      <c r="AL444" s="30">
        <f>PM_Angle!$J$21+PM_Angle!$K$21*$C444+PM_Angle!$L$21*$B444</f>
      </c>
      <c r="AM444" s="12">
        <f>IF(AL444&gt;0,IF(AL444&lt;=eco,alpha*fck*(1-(1-AL444/eco)^n),alpha*fck),0)</f>
      </c>
      <c r="AN444" s="30">
        <f>PM_Angle!$J$22+PM_Angle!$K$22*$C444+PM_Angle!$L$22*$B444</f>
      </c>
      <c r="AO444" s="12">
        <f>IF(AN444&gt;0,IF(AN444&lt;=eco,alpha*fck*(1-(1-AN444/eco)^n),alpha*fck),0)</f>
      </c>
      <c r="AP444" s="30">
        <f>PM_Angle!$J$23+PM_Angle!$K$23*$C444+PM_Angle!$L$23*$B444</f>
      </c>
      <c r="AQ444" s="12">
        <f>IF(AP444&gt;0,IF(AP444&lt;=eco,alpha*fck*(1-(1-AP444/eco)^n),alpha*fck),0)</f>
      </c>
      <c r="AR444" s="30">
        <f>PM_Angle!$J$24+PM_Angle!$K$24*$C444+PM_Angle!$L$24*$B444</f>
      </c>
      <c r="AS444" s="12">
        <f>IF(AR444&gt;0,IF(AR444&lt;=eco,alpha*fck*(1-(1-AR444/eco)^n),alpha*fck),0)</f>
      </c>
      <c r="AT444" s="30">
        <f>PM_Angle!$J$25+PM_Angle!$K$25*$C444+PM_Angle!$L$25*$B444</f>
      </c>
      <c r="AU444" s="12">
        <f>IF(AT444&gt;0,IF(AT444&lt;=eco,alpha*fck*(1-(1-AT444/eco)^n),alpha*fck),0)</f>
      </c>
    </row>
    <row r="445" spans="1:47" x14ac:dyDescent="0.25">
      <c r="A445">
        <f>Mesh!A442</f>
      </c>
      <c r="B445" s="12">
        <f>Mesh!B442</f>
      </c>
      <c r="C445" s="12">
        <f>Mesh!C442</f>
      </c>
      <c r="D445" s="12">
        <f>Mesh!D442</f>
      </c>
      <c r="E445" s="30">
        <f>INDEX(St_e0,Det+1)+INDEX(St_kx,Det+1)*C445+INDEX(St_ky,Det+1)*B445</f>
      </c>
      <c r="F445" s="12">
        <f>IF(E445&gt;0,IF(E445&lt;=eco,alpha*fck*(1-(1-E445/eco)^n),alpha*fck),0)</f>
      </c>
      <c r="G445" s="11">
        <f>F445*D445</f>
      </c>
      <c r="H445" s="11">
        <f>G445*C445</f>
      </c>
      <c r="I445" s="11">
        <f>G445*B445</f>
      </c>
      <c r="J445" s="30">
        <f>PM_Angle!$J$7+PM_Angle!$K$7*$C445+PM_Angle!$L$7*$B445</f>
      </c>
      <c r="K445" s="12">
        <f>IF(J445&gt;0,IF(J445&lt;=eco,alpha*fck*(1-(1-J445/eco)^n),alpha*fck),0)</f>
      </c>
      <c r="L445" s="30">
        <f>PM_Angle!$J$8+PM_Angle!$K$8*$C445+PM_Angle!$L$8*$B445</f>
      </c>
      <c r="M445" s="12">
        <f>IF(L445&gt;0,IF(L445&lt;=eco,alpha*fck*(1-(1-L445/eco)^n),alpha*fck),0)</f>
      </c>
      <c r="N445" s="30">
        <f>PM_Angle!$J$9+PM_Angle!$K$9*$C445+PM_Angle!$L$9*$B445</f>
      </c>
      <c r="O445" s="12">
        <f>IF(N445&gt;0,IF(N445&lt;=eco,alpha*fck*(1-(1-N445/eco)^n),alpha*fck),0)</f>
      </c>
      <c r="P445" s="30">
        <f>PM_Angle!$J$10+PM_Angle!$K$10*$C445+PM_Angle!$L$10*$B445</f>
      </c>
      <c r="Q445" s="12">
        <f>IF(P445&gt;0,IF(P445&lt;=eco,alpha*fck*(1-(1-P445/eco)^n),alpha*fck),0)</f>
      </c>
      <c r="R445" s="30">
        <f>PM_Angle!$J$11+PM_Angle!$K$11*$C445+PM_Angle!$L$11*$B445</f>
      </c>
      <c r="S445" s="12">
        <f>IF(R445&gt;0,IF(R445&lt;=eco,alpha*fck*(1-(1-R445/eco)^n),alpha*fck),0)</f>
      </c>
      <c r="T445" s="30">
        <f>PM_Angle!$J$12+PM_Angle!$K$12*$C445+PM_Angle!$L$12*$B445</f>
      </c>
      <c r="U445" s="12">
        <f>IF(T445&gt;0,IF(T445&lt;=eco,alpha*fck*(1-(1-T445/eco)^n),alpha*fck),0)</f>
      </c>
      <c r="V445" s="30">
        <f>PM_Angle!$J$13+PM_Angle!$K$13*$C445+PM_Angle!$L$13*$B445</f>
      </c>
      <c r="W445" s="12">
        <f>IF(V445&gt;0,IF(V445&lt;=eco,alpha*fck*(1-(1-V445/eco)^n),alpha*fck),0)</f>
      </c>
      <c r="X445" s="30">
        <f>PM_Angle!$J$14+PM_Angle!$K$14*$C445+PM_Angle!$L$14*$B445</f>
      </c>
      <c r="Y445" s="12">
        <f>IF(X445&gt;0,IF(X445&lt;=eco,alpha*fck*(1-(1-X445/eco)^n),alpha*fck),0)</f>
      </c>
      <c r="Z445" s="30">
        <f>PM_Angle!$J$15+PM_Angle!$K$15*$C445+PM_Angle!$L$15*$B445</f>
      </c>
      <c r="AA445" s="12">
        <f>IF(Z445&gt;0,IF(Z445&lt;=eco,alpha*fck*(1-(1-Z445/eco)^n),alpha*fck),0)</f>
      </c>
      <c r="AB445" s="30">
        <f>PM_Angle!$J$16+PM_Angle!$K$16*$C445+PM_Angle!$L$16*$B445</f>
      </c>
      <c r="AC445" s="12">
        <f>IF(AB445&gt;0,IF(AB445&lt;=eco,alpha*fck*(1-(1-AB445/eco)^n),alpha*fck),0)</f>
      </c>
      <c r="AD445" s="30">
        <f>PM_Angle!$J$17+PM_Angle!$K$17*$C445+PM_Angle!$L$17*$B445</f>
      </c>
      <c r="AE445" s="12">
        <f>IF(AD445&gt;0,IF(AD445&lt;=eco,alpha*fck*(1-(1-AD445/eco)^n),alpha*fck),0)</f>
      </c>
      <c r="AF445" s="30">
        <f>PM_Angle!$J$18+PM_Angle!$K$18*$C445+PM_Angle!$L$18*$B445</f>
      </c>
      <c r="AG445" s="12">
        <f>IF(AF445&gt;0,IF(AF445&lt;=eco,alpha*fck*(1-(1-AF445/eco)^n),alpha*fck),0)</f>
      </c>
      <c r="AH445" s="30">
        <f>PM_Angle!$J$19+PM_Angle!$K$19*$C445+PM_Angle!$L$19*$B445</f>
      </c>
      <c r="AI445" s="12">
        <f>IF(AH445&gt;0,IF(AH445&lt;=eco,alpha*fck*(1-(1-AH445/eco)^n),alpha*fck),0)</f>
      </c>
      <c r="AJ445" s="30">
        <f>PM_Angle!$J$20+PM_Angle!$K$20*$C445+PM_Angle!$L$20*$B445</f>
      </c>
      <c r="AK445" s="12">
        <f>IF(AJ445&gt;0,IF(AJ445&lt;=eco,alpha*fck*(1-(1-AJ445/eco)^n),alpha*fck),0)</f>
      </c>
      <c r="AL445" s="30">
        <f>PM_Angle!$J$21+PM_Angle!$K$21*$C445+PM_Angle!$L$21*$B445</f>
      </c>
      <c r="AM445" s="12">
        <f>IF(AL445&gt;0,IF(AL445&lt;=eco,alpha*fck*(1-(1-AL445/eco)^n),alpha*fck),0)</f>
      </c>
      <c r="AN445" s="30">
        <f>PM_Angle!$J$22+PM_Angle!$K$22*$C445+PM_Angle!$L$22*$B445</f>
      </c>
      <c r="AO445" s="12">
        <f>IF(AN445&gt;0,IF(AN445&lt;=eco,alpha*fck*(1-(1-AN445/eco)^n),alpha*fck),0)</f>
      </c>
      <c r="AP445" s="30">
        <f>PM_Angle!$J$23+PM_Angle!$K$23*$C445+PM_Angle!$L$23*$B445</f>
      </c>
      <c r="AQ445" s="12">
        <f>IF(AP445&gt;0,IF(AP445&lt;=eco,alpha*fck*(1-(1-AP445/eco)^n),alpha*fck),0)</f>
      </c>
      <c r="AR445" s="30">
        <f>PM_Angle!$J$24+PM_Angle!$K$24*$C445+PM_Angle!$L$24*$B445</f>
      </c>
      <c r="AS445" s="12">
        <f>IF(AR445&gt;0,IF(AR445&lt;=eco,alpha*fck*(1-(1-AR445/eco)^n),alpha*fck),0)</f>
      </c>
      <c r="AT445" s="30">
        <f>PM_Angle!$J$25+PM_Angle!$K$25*$C445+PM_Angle!$L$25*$B445</f>
      </c>
      <c r="AU445" s="12">
        <f>IF(AT445&gt;0,IF(AT445&lt;=eco,alpha*fck*(1-(1-AT445/eco)^n),alpha*fck),0)</f>
      </c>
    </row>
    <row r="446" spans="1:47" x14ac:dyDescent="0.25">
      <c r="A446">
        <f>Mesh!A443</f>
      </c>
      <c r="B446" s="12">
        <f>Mesh!B443</f>
      </c>
      <c r="C446" s="12">
        <f>Mesh!C443</f>
      </c>
      <c r="D446" s="12">
        <f>Mesh!D443</f>
      </c>
      <c r="E446" s="30">
        <f>INDEX(St_e0,Det+1)+INDEX(St_kx,Det+1)*C446+INDEX(St_ky,Det+1)*B446</f>
      </c>
      <c r="F446" s="12">
        <f>IF(E446&gt;0,IF(E446&lt;=eco,alpha*fck*(1-(1-E446/eco)^n),alpha*fck),0)</f>
      </c>
      <c r="G446" s="11">
        <f>F446*D446</f>
      </c>
      <c r="H446" s="11">
        <f>G446*C446</f>
      </c>
      <c r="I446" s="11">
        <f>G446*B446</f>
      </c>
      <c r="J446" s="30">
        <f>PM_Angle!$J$7+PM_Angle!$K$7*$C446+PM_Angle!$L$7*$B446</f>
      </c>
      <c r="K446" s="12">
        <f>IF(J446&gt;0,IF(J446&lt;=eco,alpha*fck*(1-(1-J446/eco)^n),alpha*fck),0)</f>
      </c>
      <c r="L446" s="30">
        <f>PM_Angle!$J$8+PM_Angle!$K$8*$C446+PM_Angle!$L$8*$B446</f>
      </c>
      <c r="M446" s="12">
        <f>IF(L446&gt;0,IF(L446&lt;=eco,alpha*fck*(1-(1-L446/eco)^n),alpha*fck),0)</f>
      </c>
      <c r="N446" s="30">
        <f>PM_Angle!$J$9+PM_Angle!$K$9*$C446+PM_Angle!$L$9*$B446</f>
      </c>
      <c r="O446" s="12">
        <f>IF(N446&gt;0,IF(N446&lt;=eco,alpha*fck*(1-(1-N446/eco)^n),alpha*fck),0)</f>
      </c>
      <c r="P446" s="30">
        <f>PM_Angle!$J$10+PM_Angle!$K$10*$C446+PM_Angle!$L$10*$B446</f>
      </c>
      <c r="Q446" s="12">
        <f>IF(P446&gt;0,IF(P446&lt;=eco,alpha*fck*(1-(1-P446/eco)^n),alpha*fck),0)</f>
      </c>
      <c r="R446" s="30">
        <f>PM_Angle!$J$11+PM_Angle!$K$11*$C446+PM_Angle!$L$11*$B446</f>
      </c>
      <c r="S446" s="12">
        <f>IF(R446&gt;0,IF(R446&lt;=eco,alpha*fck*(1-(1-R446/eco)^n),alpha*fck),0)</f>
      </c>
      <c r="T446" s="30">
        <f>PM_Angle!$J$12+PM_Angle!$K$12*$C446+PM_Angle!$L$12*$B446</f>
      </c>
      <c r="U446" s="12">
        <f>IF(T446&gt;0,IF(T446&lt;=eco,alpha*fck*(1-(1-T446/eco)^n),alpha*fck),0)</f>
      </c>
      <c r="V446" s="30">
        <f>PM_Angle!$J$13+PM_Angle!$K$13*$C446+PM_Angle!$L$13*$B446</f>
      </c>
      <c r="W446" s="12">
        <f>IF(V446&gt;0,IF(V446&lt;=eco,alpha*fck*(1-(1-V446/eco)^n),alpha*fck),0)</f>
      </c>
      <c r="X446" s="30">
        <f>PM_Angle!$J$14+PM_Angle!$K$14*$C446+PM_Angle!$L$14*$B446</f>
      </c>
      <c r="Y446" s="12">
        <f>IF(X446&gt;0,IF(X446&lt;=eco,alpha*fck*(1-(1-X446/eco)^n),alpha*fck),0)</f>
      </c>
      <c r="Z446" s="30">
        <f>PM_Angle!$J$15+PM_Angle!$K$15*$C446+PM_Angle!$L$15*$B446</f>
      </c>
      <c r="AA446" s="12">
        <f>IF(Z446&gt;0,IF(Z446&lt;=eco,alpha*fck*(1-(1-Z446/eco)^n),alpha*fck),0)</f>
      </c>
      <c r="AB446" s="30">
        <f>PM_Angle!$J$16+PM_Angle!$K$16*$C446+PM_Angle!$L$16*$B446</f>
      </c>
      <c r="AC446" s="12">
        <f>IF(AB446&gt;0,IF(AB446&lt;=eco,alpha*fck*(1-(1-AB446/eco)^n),alpha*fck),0)</f>
      </c>
      <c r="AD446" s="30">
        <f>PM_Angle!$J$17+PM_Angle!$K$17*$C446+PM_Angle!$L$17*$B446</f>
      </c>
      <c r="AE446" s="12">
        <f>IF(AD446&gt;0,IF(AD446&lt;=eco,alpha*fck*(1-(1-AD446/eco)^n),alpha*fck),0)</f>
      </c>
      <c r="AF446" s="30">
        <f>PM_Angle!$J$18+PM_Angle!$K$18*$C446+PM_Angle!$L$18*$B446</f>
      </c>
      <c r="AG446" s="12">
        <f>IF(AF446&gt;0,IF(AF446&lt;=eco,alpha*fck*(1-(1-AF446/eco)^n),alpha*fck),0)</f>
      </c>
      <c r="AH446" s="30">
        <f>PM_Angle!$J$19+PM_Angle!$K$19*$C446+PM_Angle!$L$19*$B446</f>
      </c>
      <c r="AI446" s="12">
        <f>IF(AH446&gt;0,IF(AH446&lt;=eco,alpha*fck*(1-(1-AH446/eco)^n),alpha*fck),0)</f>
      </c>
      <c r="AJ446" s="30">
        <f>PM_Angle!$J$20+PM_Angle!$K$20*$C446+PM_Angle!$L$20*$B446</f>
      </c>
      <c r="AK446" s="12">
        <f>IF(AJ446&gt;0,IF(AJ446&lt;=eco,alpha*fck*(1-(1-AJ446/eco)^n),alpha*fck),0)</f>
      </c>
      <c r="AL446" s="30">
        <f>PM_Angle!$J$21+PM_Angle!$K$21*$C446+PM_Angle!$L$21*$B446</f>
      </c>
      <c r="AM446" s="12">
        <f>IF(AL446&gt;0,IF(AL446&lt;=eco,alpha*fck*(1-(1-AL446/eco)^n),alpha*fck),0)</f>
      </c>
      <c r="AN446" s="30">
        <f>PM_Angle!$J$22+PM_Angle!$K$22*$C446+PM_Angle!$L$22*$B446</f>
      </c>
      <c r="AO446" s="12">
        <f>IF(AN446&gt;0,IF(AN446&lt;=eco,alpha*fck*(1-(1-AN446/eco)^n),alpha*fck),0)</f>
      </c>
      <c r="AP446" s="30">
        <f>PM_Angle!$J$23+PM_Angle!$K$23*$C446+PM_Angle!$L$23*$B446</f>
      </c>
      <c r="AQ446" s="12">
        <f>IF(AP446&gt;0,IF(AP446&lt;=eco,alpha*fck*(1-(1-AP446/eco)^n),alpha*fck),0)</f>
      </c>
      <c r="AR446" s="30">
        <f>PM_Angle!$J$24+PM_Angle!$K$24*$C446+PM_Angle!$L$24*$B446</f>
      </c>
      <c r="AS446" s="12">
        <f>IF(AR446&gt;0,IF(AR446&lt;=eco,alpha*fck*(1-(1-AR446/eco)^n),alpha*fck),0)</f>
      </c>
      <c r="AT446" s="30">
        <f>PM_Angle!$J$25+PM_Angle!$K$25*$C446+PM_Angle!$L$25*$B446</f>
      </c>
      <c r="AU446" s="12">
        <f>IF(AT446&gt;0,IF(AT446&lt;=eco,alpha*fck*(1-(1-AT446/eco)^n),alpha*fck),0)</f>
      </c>
    </row>
    <row r="447" spans="1:47" x14ac:dyDescent="0.25">
      <c r="A447">
        <f>Mesh!A444</f>
      </c>
      <c r="B447" s="12">
        <f>Mesh!B444</f>
      </c>
      <c r="C447" s="12">
        <f>Mesh!C444</f>
      </c>
      <c r="D447" s="12">
        <f>Mesh!D444</f>
      </c>
      <c r="E447" s="30">
        <f>INDEX(St_e0,Det+1)+INDEX(St_kx,Det+1)*C447+INDEX(St_ky,Det+1)*B447</f>
      </c>
      <c r="F447" s="12">
        <f>IF(E447&gt;0,IF(E447&lt;=eco,alpha*fck*(1-(1-E447/eco)^n),alpha*fck),0)</f>
      </c>
      <c r="G447" s="11">
        <f>F447*D447</f>
      </c>
      <c r="H447" s="11">
        <f>G447*C447</f>
      </c>
      <c r="I447" s="11">
        <f>G447*B447</f>
      </c>
      <c r="J447" s="30">
        <f>PM_Angle!$J$7+PM_Angle!$K$7*$C447+PM_Angle!$L$7*$B447</f>
      </c>
      <c r="K447" s="12">
        <f>IF(J447&gt;0,IF(J447&lt;=eco,alpha*fck*(1-(1-J447/eco)^n),alpha*fck),0)</f>
      </c>
      <c r="L447" s="30">
        <f>PM_Angle!$J$8+PM_Angle!$K$8*$C447+PM_Angle!$L$8*$B447</f>
      </c>
      <c r="M447" s="12">
        <f>IF(L447&gt;0,IF(L447&lt;=eco,alpha*fck*(1-(1-L447/eco)^n),alpha*fck),0)</f>
      </c>
      <c r="N447" s="30">
        <f>PM_Angle!$J$9+PM_Angle!$K$9*$C447+PM_Angle!$L$9*$B447</f>
      </c>
      <c r="O447" s="12">
        <f>IF(N447&gt;0,IF(N447&lt;=eco,alpha*fck*(1-(1-N447/eco)^n),alpha*fck),0)</f>
      </c>
      <c r="P447" s="30">
        <f>PM_Angle!$J$10+PM_Angle!$K$10*$C447+PM_Angle!$L$10*$B447</f>
      </c>
      <c r="Q447" s="12">
        <f>IF(P447&gt;0,IF(P447&lt;=eco,alpha*fck*(1-(1-P447/eco)^n),alpha*fck),0)</f>
      </c>
      <c r="R447" s="30">
        <f>PM_Angle!$J$11+PM_Angle!$K$11*$C447+PM_Angle!$L$11*$B447</f>
      </c>
      <c r="S447" s="12">
        <f>IF(R447&gt;0,IF(R447&lt;=eco,alpha*fck*(1-(1-R447/eco)^n),alpha*fck),0)</f>
      </c>
      <c r="T447" s="30">
        <f>PM_Angle!$J$12+PM_Angle!$K$12*$C447+PM_Angle!$L$12*$B447</f>
      </c>
      <c r="U447" s="12">
        <f>IF(T447&gt;0,IF(T447&lt;=eco,alpha*fck*(1-(1-T447/eco)^n),alpha*fck),0)</f>
      </c>
      <c r="V447" s="30">
        <f>PM_Angle!$J$13+PM_Angle!$K$13*$C447+PM_Angle!$L$13*$B447</f>
      </c>
      <c r="W447" s="12">
        <f>IF(V447&gt;0,IF(V447&lt;=eco,alpha*fck*(1-(1-V447/eco)^n),alpha*fck),0)</f>
      </c>
      <c r="X447" s="30">
        <f>PM_Angle!$J$14+PM_Angle!$K$14*$C447+PM_Angle!$L$14*$B447</f>
      </c>
      <c r="Y447" s="12">
        <f>IF(X447&gt;0,IF(X447&lt;=eco,alpha*fck*(1-(1-X447/eco)^n),alpha*fck),0)</f>
      </c>
      <c r="Z447" s="30">
        <f>PM_Angle!$J$15+PM_Angle!$K$15*$C447+PM_Angle!$L$15*$B447</f>
      </c>
      <c r="AA447" s="12">
        <f>IF(Z447&gt;0,IF(Z447&lt;=eco,alpha*fck*(1-(1-Z447/eco)^n),alpha*fck),0)</f>
      </c>
      <c r="AB447" s="30">
        <f>PM_Angle!$J$16+PM_Angle!$K$16*$C447+PM_Angle!$L$16*$B447</f>
      </c>
      <c r="AC447" s="12">
        <f>IF(AB447&gt;0,IF(AB447&lt;=eco,alpha*fck*(1-(1-AB447/eco)^n),alpha*fck),0)</f>
      </c>
      <c r="AD447" s="30">
        <f>PM_Angle!$J$17+PM_Angle!$K$17*$C447+PM_Angle!$L$17*$B447</f>
      </c>
      <c r="AE447" s="12">
        <f>IF(AD447&gt;0,IF(AD447&lt;=eco,alpha*fck*(1-(1-AD447/eco)^n),alpha*fck),0)</f>
      </c>
      <c r="AF447" s="30">
        <f>PM_Angle!$J$18+PM_Angle!$K$18*$C447+PM_Angle!$L$18*$B447</f>
      </c>
      <c r="AG447" s="12">
        <f>IF(AF447&gt;0,IF(AF447&lt;=eco,alpha*fck*(1-(1-AF447/eco)^n),alpha*fck),0)</f>
      </c>
      <c r="AH447" s="30">
        <f>PM_Angle!$J$19+PM_Angle!$K$19*$C447+PM_Angle!$L$19*$B447</f>
      </c>
      <c r="AI447" s="12">
        <f>IF(AH447&gt;0,IF(AH447&lt;=eco,alpha*fck*(1-(1-AH447/eco)^n),alpha*fck),0)</f>
      </c>
      <c r="AJ447" s="30">
        <f>PM_Angle!$J$20+PM_Angle!$K$20*$C447+PM_Angle!$L$20*$B447</f>
      </c>
      <c r="AK447" s="12">
        <f>IF(AJ447&gt;0,IF(AJ447&lt;=eco,alpha*fck*(1-(1-AJ447/eco)^n),alpha*fck),0)</f>
      </c>
      <c r="AL447" s="30">
        <f>PM_Angle!$J$21+PM_Angle!$K$21*$C447+PM_Angle!$L$21*$B447</f>
      </c>
      <c r="AM447" s="12">
        <f>IF(AL447&gt;0,IF(AL447&lt;=eco,alpha*fck*(1-(1-AL447/eco)^n),alpha*fck),0)</f>
      </c>
      <c r="AN447" s="30">
        <f>PM_Angle!$J$22+PM_Angle!$K$22*$C447+PM_Angle!$L$22*$B447</f>
      </c>
      <c r="AO447" s="12">
        <f>IF(AN447&gt;0,IF(AN447&lt;=eco,alpha*fck*(1-(1-AN447/eco)^n),alpha*fck),0)</f>
      </c>
      <c r="AP447" s="30">
        <f>PM_Angle!$J$23+PM_Angle!$K$23*$C447+PM_Angle!$L$23*$B447</f>
      </c>
      <c r="AQ447" s="12">
        <f>IF(AP447&gt;0,IF(AP447&lt;=eco,alpha*fck*(1-(1-AP447/eco)^n),alpha*fck),0)</f>
      </c>
      <c r="AR447" s="30">
        <f>PM_Angle!$J$24+PM_Angle!$K$24*$C447+PM_Angle!$L$24*$B447</f>
      </c>
      <c r="AS447" s="12">
        <f>IF(AR447&gt;0,IF(AR447&lt;=eco,alpha*fck*(1-(1-AR447/eco)^n),alpha*fck),0)</f>
      </c>
      <c r="AT447" s="30">
        <f>PM_Angle!$J$25+PM_Angle!$K$25*$C447+PM_Angle!$L$25*$B447</f>
      </c>
      <c r="AU447" s="12">
        <f>IF(AT447&gt;0,IF(AT447&lt;=eco,alpha*fck*(1-(1-AT447/eco)^n),alpha*fck),0)</f>
      </c>
    </row>
    <row r="448" spans="1:47" x14ac:dyDescent="0.25">
      <c r="A448">
        <f>Mesh!A445</f>
      </c>
      <c r="B448" s="12">
        <f>Mesh!B445</f>
      </c>
      <c r="C448" s="12">
        <f>Mesh!C445</f>
      </c>
      <c r="D448" s="12">
        <f>Mesh!D445</f>
      </c>
      <c r="E448" s="30">
        <f>INDEX(St_e0,Det+1)+INDEX(St_kx,Det+1)*C448+INDEX(St_ky,Det+1)*B448</f>
      </c>
      <c r="F448" s="12">
        <f>IF(E448&gt;0,IF(E448&lt;=eco,alpha*fck*(1-(1-E448/eco)^n),alpha*fck),0)</f>
      </c>
      <c r="G448" s="11">
        <f>F448*D448</f>
      </c>
      <c r="H448" s="11">
        <f>G448*C448</f>
      </c>
      <c r="I448" s="11">
        <f>G448*B448</f>
      </c>
      <c r="J448" s="30">
        <f>PM_Angle!$J$7+PM_Angle!$K$7*$C448+PM_Angle!$L$7*$B448</f>
      </c>
      <c r="K448" s="12">
        <f>IF(J448&gt;0,IF(J448&lt;=eco,alpha*fck*(1-(1-J448/eco)^n),alpha*fck),0)</f>
      </c>
      <c r="L448" s="30">
        <f>PM_Angle!$J$8+PM_Angle!$K$8*$C448+PM_Angle!$L$8*$B448</f>
      </c>
      <c r="M448" s="12">
        <f>IF(L448&gt;0,IF(L448&lt;=eco,alpha*fck*(1-(1-L448/eco)^n),alpha*fck),0)</f>
      </c>
      <c r="N448" s="30">
        <f>PM_Angle!$J$9+PM_Angle!$K$9*$C448+PM_Angle!$L$9*$B448</f>
      </c>
      <c r="O448" s="12">
        <f>IF(N448&gt;0,IF(N448&lt;=eco,alpha*fck*(1-(1-N448/eco)^n),alpha*fck),0)</f>
      </c>
      <c r="P448" s="30">
        <f>PM_Angle!$J$10+PM_Angle!$K$10*$C448+PM_Angle!$L$10*$B448</f>
      </c>
      <c r="Q448" s="12">
        <f>IF(P448&gt;0,IF(P448&lt;=eco,alpha*fck*(1-(1-P448/eco)^n),alpha*fck),0)</f>
      </c>
      <c r="R448" s="30">
        <f>PM_Angle!$J$11+PM_Angle!$K$11*$C448+PM_Angle!$L$11*$B448</f>
      </c>
      <c r="S448" s="12">
        <f>IF(R448&gt;0,IF(R448&lt;=eco,alpha*fck*(1-(1-R448/eco)^n),alpha*fck),0)</f>
      </c>
      <c r="T448" s="30">
        <f>PM_Angle!$J$12+PM_Angle!$K$12*$C448+PM_Angle!$L$12*$B448</f>
      </c>
      <c r="U448" s="12">
        <f>IF(T448&gt;0,IF(T448&lt;=eco,alpha*fck*(1-(1-T448/eco)^n),alpha*fck),0)</f>
      </c>
      <c r="V448" s="30">
        <f>PM_Angle!$J$13+PM_Angle!$K$13*$C448+PM_Angle!$L$13*$B448</f>
      </c>
      <c r="W448" s="12">
        <f>IF(V448&gt;0,IF(V448&lt;=eco,alpha*fck*(1-(1-V448/eco)^n),alpha*fck),0)</f>
      </c>
      <c r="X448" s="30">
        <f>PM_Angle!$J$14+PM_Angle!$K$14*$C448+PM_Angle!$L$14*$B448</f>
      </c>
      <c r="Y448" s="12">
        <f>IF(X448&gt;0,IF(X448&lt;=eco,alpha*fck*(1-(1-X448/eco)^n),alpha*fck),0)</f>
      </c>
      <c r="Z448" s="30">
        <f>PM_Angle!$J$15+PM_Angle!$K$15*$C448+PM_Angle!$L$15*$B448</f>
      </c>
      <c r="AA448" s="12">
        <f>IF(Z448&gt;0,IF(Z448&lt;=eco,alpha*fck*(1-(1-Z448/eco)^n),alpha*fck),0)</f>
      </c>
      <c r="AB448" s="30">
        <f>PM_Angle!$J$16+PM_Angle!$K$16*$C448+PM_Angle!$L$16*$B448</f>
      </c>
      <c r="AC448" s="12">
        <f>IF(AB448&gt;0,IF(AB448&lt;=eco,alpha*fck*(1-(1-AB448/eco)^n),alpha*fck),0)</f>
      </c>
      <c r="AD448" s="30">
        <f>PM_Angle!$J$17+PM_Angle!$K$17*$C448+PM_Angle!$L$17*$B448</f>
      </c>
      <c r="AE448" s="12">
        <f>IF(AD448&gt;0,IF(AD448&lt;=eco,alpha*fck*(1-(1-AD448/eco)^n),alpha*fck),0)</f>
      </c>
      <c r="AF448" s="30">
        <f>PM_Angle!$J$18+PM_Angle!$K$18*$C448+PM_Angle!$L$18*$B448</f>
      </c>
      <c r="AG448" s="12">
        <f>IF(AF448&gt;0,IF(AF448&lt;=eco,alpha*fck*(1-(1-AF448/eco)^n),alpha*fck),0)</f>
      </c>
      <c r="AH448" s="30">
        <f>PM_Angle!$J$19+PM_Angle!$K$19*$C448+PM_Angle!$L$19*$B448</f>
      </c>
      <c r="AI448" s="12">
        <f>IF(AH448&gt;0,IF(AH448&lt;=eco,alpha*fck*(1-(1-AH448/eco)^n),alpha*fck),0)</f>
      </c>
      <c r="AJ448" s="30">
        <f>PM_Angle!$J$20+PM_Angle!$K$20*$C448+PM_Angle!$L$20*$B448</f>
      </c>
      <c r="AK448" s="12">
        <f>IF(AJ448&gt;0,IF(AJ448&lt;=eco,alpha*fck*(1-(1-AJ448/eco)^n),alpha*fck),0)</f>
      </c>
      <c r="AL448" s="30">
        <f>PM_Angle!$J$21+PM_Angle!$K$21*$C448+PM_Angle!$L$21*$B448</f>
      </c>
      <c r="AM448" s="12">
        <f>IF(AL448&gt;0,IF(AL448&lt;=eco,alpha*fck*(1-(1-AL448/eco)^n),alpha*fck),0)</f>
      </c>
      <c r="AN448" s="30">
        <f>PM_Angle!$J$22+PM_Angle!$K$22*$C448+PM_Angle!$L$22*$B448</f>
      </c>
      <c r="AO448" s="12">
        <f>IF(AN448&gt;0,IF(AN448&lt;=eco,alpha*fck*(1-(1-AN448/eco)^n),alpha*fck),0)</f>
      </c>
      <c r="AP448" s="30">
        <f>PM_Angle!$J$23+PM_Angle!$K$23*$C448+PM_Angle!$L$23*$B448</f>
      </c>
      <c r="AQ448" s="12">
        <f>IF(AP448&gt;0,IF(AP448&lt;=eco,alpha*fck*(1-(1-AP448/eco)^n),alpha*fck),0)</f>
      </c>
      <c r="AR448" s="30">
        <f>PM_Angle!$J$24+PM_Angle!$K$24*$C448+PM_Angle!$L$24*$B448</f>
      </c>
      <c r="AS448" s="12">
        <f>IF(AR448&gt;0,IF(AR448&lt;=eco,alpha*fck*(1-(1-AR448/eco)^n),alpha*fck),0)</f>
      </c>
      <c r="AT448" s="30">
        <f>PM_Angle!$J$25+PM_Angle!$K$25*$C448+PM_Angle!$L$25*$B448</f>
      </c>
      <c r="AU448" s="12">
        <f>IF(AT448&gt;0,IF(AT448&lt;=eco,alpha*fck*(1-(1-AT448/eco)^n),alpha*fck),0)</f>
      </c>
    </row>
    <row r="449" spans="1:47" x14ac:dyDescent="0.25">
      <c r="A449">
        <f>Mesh!A446</f>
      </c>
      <c r="B449" s="12">
        <f>Mesh!B446</f>
      </c>
      <c r="C449" s="12">
        <f>Mesh!C446</f>
      </c>
      <c r="D449" s="12">
        <f>Mesh!D446</f>
      </c>
      <c r="E449" s="30">
        <f>INDEX(St_e0,Det+1)+INDEX(St_kx,Det+1)*C449+INDEX(St_ky,Det+1)*B449</f>
      </c>
      <c r="F449" s="12">
        <f>IF(E449&gt;0,IF(E449&lt;=eco,alpha*fck*(1-(1-E449/eco)^n),alpha*fck),0)</f>
      </c>
      <c r="G449" s="11">
        <f>F449*D449</f>
      </c>
      <c r="H449" s="11">
        <f>G449*C449</f>
      </c>
      <c r="I449" s="11">
        <f>G449*B449</f>
      </c>
      <c r="J449" s="30">
        <f>PM_Angle!$J$7+PM_Angle!$K$7*$C449+PM_Angle!$L$7*$B449</f>
      </c>
      <c r="K449" s="12">
        <f>IF(J449&gt;0,IF(J449&lt;=eco,alpha*fck*(1-(1-J449/eco)^n),alpha*fck),0)</f>
      </c>
      <c r="L449" s="30">
        <f>PM_Angle!$J$8+PM_Angle!$K$8*$C449+PM_Angle!$L$8*$B449</f>
      </c>
      <c r="M449" s="12">
        <f>IF(L449&gt;0,IF(L449&lt;=eco,alpha*fck*(1-(1-L449/eco)^n),alpha*fck),0)</f>
      </c>
      <c r="N449" s="30">
        <f>PM_Angle!$J$9+PM_Angle!$K$9*$C449+PM_Angle!$L$9*$B449</f>
      </c>
      <c r="O449" s="12">
        <f>IF(N449&gt;0,IF(N449&lt;=eco,alpha*fck*(1-(1-N449/eco)^n),alpha*fck),0)</f>
      </c>
      <c r="P449" s="30">
        <f>PM_Angle!$J$10+PM_Angle!$K$10*$C449+PM_Angle!$L$10*$B449</f>
      </c>
      <c r="Q449" s="12">
        <f>IF(P449&gt;0,IF(P449&lt;=eco,alpha*fck*(1-(1-P449/eco)^n),alpha*fck),0)</f>
      </c>
      <c r="R449" s="30">
        <f>PM_Angle!$J$11+PM_Angle!$K$11*$C449+PM_Angle!$L$11*$B449</f>
      </c>
      <c r="S449" s="12">
        <f>IF(R449&gt;0,IF(R449&lt;=eco,alpha*fck*(1-(1-R449/eco)^n),alpha*fck),0)</f>
      </c>
      <c r="T449" s="30">
        <f>PM_Angle!$J$12+PM_Angle!$K$12*$C449+PM_Angle!$L$12*$B449</f>
      </c>
      <c r="U449" s="12">
        <f>IF(T449&gt;0,IF(T449&lt;=eco,alpha*fck*(1-(1-T449/eco)^n),alpha*fck),0)</f>
      </c>
      <c r="V449" s="30">
        <f>PM_Angle!$J$13+PM_Angle!$K$13*$C449+PM_Angle!$L$13*$B449</f>
      </c>
      <c r="W449" s="12">
        <f>IF(V449&gt;0,IF(V449&lt;=eco,alpha*fck*(1-(1-V449/eco)^n),alpha*fck),0)</f>
      </c>
      <c r="X449" s="30">
        <f>PM_Angle!$J$14+PM_Angle!$K$14*$C449+PM_Angle!$L$14*$B449</f>
      </c>
      <c r="Y449" s="12">
        <f>IF(X449&gt;0,IF(X449&lt;=eco,alpha*fck*(1-(1-X449/eco)^n),alpha*fck),0)</f>
      </c>
      <c r="Z449" s="30">
        <f>PM_Angle!$J$15+PM_Angle!$K$15*$C449+PM_Angle!$L$15*$B449</f>
      </c>
      <c r="AA449" s="12">
        <f>IF(Z449&gt;0,IF(Z449&lt;=eco,alpha*fck*(1-(1-Z449/eco)^n),alpha*fck),0)</f>
      </c>
      <c r="AB449" s="30">
        <f>PM_Angle!$J$16+PM_Angle!$K$16*$C449+PM_Angle!$L$16*$B449</f>
      </c>
      <c r="AC449" s="12">
        <f>IF(AB449&gt;0,IF(AB449&lt;=eco,alpha*fck*(1-(1-AB449/eco)^n),alpha*fck),0)</f>
      </c>
      <c r="AD449" s="30">
        <f>PM_Angle!$J$17+PM_Angle!$K$17*$C449+PM_Angle!$L$17*$B449</f>
      </c>
      <c r="AE449" s="12">
        <f>IF(AD449&gt;0,IF(AD449&lt;=eco,alpha*fck*(1-(1-AD449/eco)^n),alpha*fck),0)</f>
      </c>
      <c r="AF449" s="30">
        <f>PM_Angle!$J$18+PM_Angle!$K$18*$C449+PM_Angle!$L$18*$B449</f>
      </c>
      <c r="AG449" s="12">
        <f>IF(AF449&gt;0,IF(AF449&lt;=eco,alpha*fck*(1-(1-AF449/eco)^n),alpha*fck),0)</f>
      </c>
      <c r="AH449" s="30">
        <f>PM_Angle!$J$19+PM_Angle!$K$19*$C449+PM_Angle!$L$19*$B449</f>
      </c>
      <c r="AI449" s="12">
        <f>IF(AH449&gt;0,IF(AH449&lt;=eco,alpha*fck*(1-(1-AH449/eco)^n),alpha*fck),0)</f>
      </c>
      <c r="AJ449" s="30">
        <f>PM_Angle!$J$20+PM_Angle!$K$20*$C449+PM_Angle!$L$20*$B449</f>
      </c>
      <c r="AK449" s="12">
        <f>IF(AJ449&gt;0,IF(AJ449&lt;=eco,alpha*fck*(1-(1-AJ449/eco)^n),alpha*fck),0)</f>
      </c>
      <c r="AL449" s="30">
        <f>PM_Angle!$J$21+PM_Angle!$K$21*$C449+PM_Angle!$L$21*$B449</f>
      </c>
      <c r="AM449" s="12">
        <f>IF(AL449&gt;0,IF(AL449&lt;=eco,alpha*fck*(1-(1-AL449/eco)^n),alpha*fck),0)</f>
      </c>
      <c r="AN449" s="30">
        <f>PM_Angle!$J$22+PM_Angle!$K$22*$C449+PM_Angle!$L$22*$B449</f>
      </c>
      <c r="AO449" s="12">
        <f>IF(AN449&gt;0,IF(AN449&lt;=eco,alpha*fck*(1-(1-AN449/eco)^n),alpha*fck),0)</f>
      </c>
      <c r="AP449" s="30">
        <f>PM_Angle!$J$23+PM_Angle!$K$23*$C449+PM_Angle!$L$23*$B449</f>
      </c>
      <c r="AQ449" s="12">
        <f>IF(AP449&gt;0,IF(AP449&lt;=eco,alpha*fck*(1-(1-AP449/eco)^n),alpha*fck),0)</f>
      </c>
      <c r="AR449" s="30">
        <f>PM_Angle!$J$24+PM_Angle!$K$24*$C449+PM_Angle!$L$24*$B449</f>
      </c>
      <c r="AS449" s="12">
        <f>IF(AR449&gt;0,IF(AR449&lt;=eco,alpha*fck*(1-(1-AR449/eco)^n),alpha*fck),0)</f>
      </c>
      <c r="AT449" s="30">
        <f>PM_Angle!$J$25+PM_Angle!$K$25*$C449+PM_Angle!$L$25*$B449</f>
      </c>
      <c r="AU449" s="12">
        <f>IF(AT449&gt;0,IF(AT449&lt;=eco,alpha*fck*(1-(1-AT449/eco)^n),alpha*fck),0)</f>
      </c>
    </row>
    <row r="450" spans="1:47" x14ac:dyDescent="0.25">
      <c r="A450">
        <f>Mesh!A447</f>
      </c>
      <c r="B450" s="12">
        <f>Mesh!B447</f>
      </c>
      <c r="C450" s="12">
        <f>Mesh!C447</f>
      </c>
      <c r="D450" s="12">
        <f>Mesh!D447</f>
      </c>
      <c r="E450" s="30">
        <f>INDEX(St_e0,Det+1)+INDEX(St_kx,Det+1)*C450+INDEX(St_ky,Det+1)*B450</f>
      </c>
      <c r="F450" s="12">
        <f>IF(E450&gt;0,IF(E450&lt;=eco,alpha*fck*(1-(1-E450/eco)^n),alpha*fck),0)</f>
      </c>
      <c r="G450" s="11">
        <f>F450*D450</f>
      </c>
      <c r="H450" s="11">
        <f>G450*C450</f>
      </c>
      <c r="I450" s="11">
        <f>G450*B450</f>
      </c>
      <c r="J450" s="30">
        <f>PM_Angle!$J$7+PM_Angle!$K$7*$C450+PM_Angle!$L$7*$B450</f>
      </c>
      <c r="K450" s="12">
        <f>IF(J450&gt;0,IF(J450&lt;=eco,alpha*fck*(1-(1-J450/eco)^n),alpha*fck),0)</f>
      </c>
      <c r="L450" s="30">
        <f>PM_Angle!$J$8+PM_Angle!$K$8*$C450+PM_Angle!$L$8*$B450</f>
      </c>
      <c r="M450" s="12">
        <f>IF(L450&gt;0,IF(L450&lt;=eco,alpha*fck*(1-(1-L450/eco)^n),alpha*fck),0)</f>
      </c>
      <c r="N450" s="30">
        <f>PM_Angle!$J$9+PM_Angle!$K$9*$C450+PM_Angle!$L$9*$B450</f>
      </c>
      <c r="O450" s="12">
        <f>IF(N450&gt;0,IF(N450&lt;=eco,alpha*fck*(1-(1-N450/eco)^n),alpha*fck),0)</f>
      </c>
      <c r="P450" s="30">
        <f>PM_Angle!$J$10+PM_Angle!$K$10*$C450+PM_Angle!$L$10*$B450</f>
      </c>
      <c r="Q450" s="12">
        <f>IF(P450&gt;0,IF(P450&lt;=eco,alpha*fck*(1-(1-P450/eco)^n),alpha*fck),0)</f>
      </c>
      <c r="R450" s="30">
        <f>PM_Angle!$J$11+PM_Angle!$K$11*$C450+PM_Angle!$L$11*$B450</f>
      </c>
      <c r="S450" s="12">
        <f>IF(R450&gt;0,IF(R450&lt;=eco,alpha*fck*(1-(1-R450/eco)^n),alpha*fck),0)</f>
      </c>
      <c r="T450" s="30">
        <f>PM_Angle!$J$12+PM_Angle!$K$12*$C450+PM_Angle!$L$12*$B450</f>
      </c>
      <c r="U450" s="12">
        <f>IF(T450&gt;0,IF(T450&lt;=eco,alpha*fck*(1-(1-T450/eco)^n),alpha*fck),0)</f>
      </c>
      <c r="V450" s="30">
        <f>PM_Angle!$J$13+PM_Angle!$K$13*$C450+PM_Angle!$L$13*$B450</f>
      </c>
      <c r="W450" s="12">
        <f>IF(V450&gt;0,IF(V450&lt;=eco,alpha*fck*(1-(1-V450/eco)^n),alpha*fck),0)</f>
      </c>
      <c r="X450" s="30">
        <f>PM_Angle!$J$14+PM_Angle!$K$14*$C450+PM_Angle!$L$14*$B450</f>
      </c>
      <c r="Y450" s="12">
        <f>IF(X450&gt;0,IF(X450&lt;=eco,alpha*fck*(1-(1-X450/eco)^n),alpha*fck),0)</f>
      </c>
      <c r="Z450" s="30">
        <f>PM_Angle!$J$15+PM_Angle!$K$15*$C450+PM_Angle!$L$15*$B450</f>
      </c>
      <c r="AA450" s="12">
        <f>IF(Z450&gt;0,IF(Z450&lt;=eco,alpha*fck*(1-(1-Z450/eco)^n),alpha*fck),0)</f>
      </c>
      <c r="AB450" s="30">
        <f>PM_Angle!$J$16+PM_Angle!$K$16*$C450+PM_Angle!$L$16*$B450</f>
      </c>
      <c r="AC450" s="12">
        <f>IF(AB450&gt;0,IF(AB450&lt;=eco,alpha*fck*(1-(1-AB450/eco)^n),alpha*fck),0)</f>
      </c>
      <c r="AD450" s="30">
        <f>PM_Angle!$J$17+PM_Angle!$K$17*$C450+PM_Angle!$L$17*$B450</f>
      </c>
      <c r="AE450" s="12">
        <f>IF(AD450&gt;0,IF(AD450&lt;=eco,alpha*fck*(1-(1-AD450/eco)^n),alpha*fck),0)</f>
      </c>
      <c r="AF450" s="30">
        <f>PM_Angle!$J$18+PM_Angle!$K$18*$C450+PM_Angle!$L$18*$B450</f>
      </c>
      <c r="AG450" s="12">
        <f>IF(AF450&gt;0,IF(AF450&lt;=eco,alpha*fck*(1-(1-AF450/eco)^n),alpha*fck),0)</f>
      </c>
      <c r="AH450" s="30">
        <f>PM_Angle!$J$19+PM_Angle!$K$19*$C450+PM_Angle!$L$19*$B450</f>
      </c>
      <c r="AI450" s="12">
        <f>IF(AH450&gt;0,IF(AH450&lt;=eco,alpha*fck*(1-(1-AH450/eco)^n),alpha*fck),0)</f>
      </c>
      <c r="AJ450" s="30">
        <f>PM_Angle!$J$20+PM_Angle!$K$20*$C450+PM_Angle!$L$20*$B450</f>
      </c>
      <c r="AK450" s="12">
        <f>IF(AJ450&gt;0,IF(AJ450&lt;=eco,alpha*fck*(1-(1-AJ450/eco)^n),alpha*fck),0)</f>
      </c>
      <c r="AL450" s="30">
        <f>PM_Angle!$J$21+PM_Angle!$K$21*$C450+PM_Angle!$L$21*$B450</f>
      </c>
      <c r="AM450" s="12">
        <f>IF(AL450&gt;0,IF(AL450&lt;=eco,alpha*fck*(1-(1-AL450/eco)^n),alpha*fck),0)</f>
      </c>
      <c r="AN450" s="30">
        <f>PM_Angle!$J$22+PM_Angle!$K$22*$C450+PM_Angle!$L$22*$B450</f>
      </c>
      <c r="AO450" s="12">
        <f>IF(AN450&gt;0,IF(AN450&lt;=eco,alpha*fck*(1-(1-AN450/eco)^n),alpha*fck),0)</f>
      </c>
      <c r="AP450" s="30">
        <f>PM_Angle!$J$23+PM_Angle!$K$23*$C450+PM_Angle!$L$23*$B450</f>
      </c>
      <c r="AQ450" s="12">
        <f>IF(AP450&gt;0,IF(AP450&lt;=eco,alpha*fck*(1-(1-AP450/eco)^n),alpha*fck),0)</f>
      </c>
      <c r="AR450" s="30">
        <f>PM_Angle!$J$24+PM_Angle!$K$24*$C450+PM_Angle!$L$24*$B450</f>
      </c>
      <c r="AS450" s="12">
        <f>IF(AR450&gt;0,IF(AR450&lt;=eco,alpha*fck*(1-(1-AR450/eco)^n),alpha*fck),0)</f>
      </c>
      <c r="AT450" s="30">
        <f>PM_Angle!$J$25+PM_Angle!$K$25*$C450+PM_Angle!$L$25*$B450</f>
      </c>
      <c r="AU450" s="12">
        <f>IF(AT450&gt;0,IF(AT450&lt;=eco,alpha*fck*(1-(1-AT450/eco)^n),alpha*fck),0)</f>
      </c>
    </row>
    <row r="451" spans="1:47" x14ac:dyDescent="0.25">
      <c r="A451">
        <f>Mesh!A448</f>
      </c>
      <c r="B451" s="12">
        <f>Mesh!B448</f>
      </c>
      <c r="C451" s="12">
        <f>Mesh!C448</f>
      </c>
      <c r="D451" s="12">
        <f>Mesh!D448</f>
      </c>
      <c r="E451" s="30">
        <f>INDEX(St_e0,Det+1)+INDEX(St_kx,Det+1)*C451+INDEX(St_ky,Det+1)*B451</f>
      </c>
      <c r="F451" s="12">
        <f>IF(E451&gt;0,IF(E451&lt;=eco,alpha*fck*(1-(1-E451/eco)^n),alpha*fck),0)</f>
      </c>
      <c r="G451" s="11">
        <f>F451*D451</f>
      </c>
      <c r="H451" s="11">
        <f>G451*C451</f>
      </c>
      <c r="I451" s="11">
        <f>G451*B451</f>
      </c>
      <c r="J451" s="30">
        <f>PM_Angle!$J$7+PM_Angle!$K$7*$C451+PM_Angle!$L$7*$B451</f>
      </c>
      <c r="K451" s="12">
        <f>IF(J451&gt;0,IF(J451&lt;=eco,alpha*fck*(1-(1-J451/eco)^n),alpha*fck),0)</f>
      </c>
      <c r="L451" s="30">
        <f>PM_Angle!$J$8+PM_Angle!$K$8*$C451+PM_Angle!$L$8*$B451</f>
      </c>
      <c r="M451" s="12">
        <f>IF(L451&gt;0,IF(L451&lt;=eco,alpha*fck*(1-(1-L451/eco)^n),alpha*fck),0)</f>
      </c>
      <c r="N451" s="30">
        <f>PM_Angle!$J$9+PM_Angle!$K$9*$C451+PM_Angle!$L$9*$B451</f>
      </c>
      <c r="O451" s="12">
        <f>IF(N451&gt;0,IF(N451&lt;=eco,alpha*fck*(1-(1-N451/eco)^n),alpha*fck),0)</f>
      </c>
      <c r="P451" s="30">
        <f>PM_Angle!$J$10+PM_Angle!$K$10*$C451+PM_Angle!$L$10*$B451</f>
      </c>
      <c r="Q451" s="12">
        <f>IF(P451&gt;0,IF(P451&lt;=eco,alpha*fck*(1-(1-P451/eco)^n),alpha*fck),0)</f>
      </c>
      <c r="R451" s="30">
        <f>PM_Angle!$J$11+PM_Angle!$K$11*$C451+PM_Angle!$L$11*$B451</f>
      </c>
      <c r="S451" s="12">
        <f>IF(R451&gt;0,IF(R451&lt;=eco,alpha*fck*(1-(1-R451/eco)^n),alpha*fck),0)</f>
      </c>
      <c r="T451" s="30">
        <f>PM_Angle!$J$12+PM_Angle!$K$12*$C451+PM_Angle!$L$12*$B451</f>
      </c>
      <c r="U451" s="12">
        <f>IF(T451&gt;0,IF(T451&lt;=eco,alpha*fck*(1-(1-T451/eco)^n),alpha*fck),0)</f>
      </c>
      <c r="V451" s="30">
        <f>PM_Angle!$J$13+PM_Angle!$K$13*$C451+PM_Angle!$L$13*$B451</f>
      </c>
      <c r="W451" s="12">
        <f>IF(V451&gt;0,IF(V451&lt;=eco,alpha*fck*(1-(1-V451/eco)^n),alpha*fck),0)</f>
      </c>
      <c r="X451" s="30">
        <f>PM_Angle!$J$14+PM_Angle!$K$14*$C451+PM_Angle!$L$14*$B451</f>
      </c>
      <c r="Y451" s="12">
        <f>IF(X451&gt;0,IF(X451&lt;=eco,alpha*fck*(1-(1-X451/eco)^n),alpha*fck),0)</f>
      </c>
      <c r="Z451" s="30">
        <f>PM_Angle!$J$15+PM_Angle!$K$15*$C451+PM_Angle!$L$15*$B451</f>
      </c>
      <c r="AA451" s="12">
        <f>IF(Z451&gt;0,IF(Z451&lt;=eco,alpha*fck*(1-(1-Z451/eco)^n),alpha*fck),0)</f>
      </c>
      <c r="AB451" s="30">
        <f>PM_Angle!$J$16+PM_Angle!$K$16*$C451+PM_Angle!$L$16*$B451</f>
      </c>
      <c r="AC451" s="12">
        <f>IF(AB451&gt;0,IF(AB451&lt;=eco,alpha*fck*(1-(1-AB451/eco)^n),alpha*fck),0)</f>
      </c>
      <c r="AD451" s="30">
        <f>PM_Angle!$J$17+PM_Angle!$K$17*$C451+PM_Angle!$L$17*$B451</f>
      </c>
      <c r="AE451" s="12">
        <f>IF(AD451&gt;0,IF(AD451&lt;=eco,alpha*fck*(1-(1-AD451/eco)^n),alpha*fck),0)</f>
      </c>
      <c r="AF451" s="30">
        <f>PM_Angle!$J$18+PM_Angle!$K$18*$C451+PM_Angle!$L$18*$B451</f>
      </c>
      <c r="AG451" s="12">
        <f>IF(AF451&gt;0,IF(AF451&lt;=eco,alpha*fck*(1-(1-AF451/eco)^n),alpha*fck),0)</f>
      </c>
      <c r="AH451" s="30">
        <f>PM_Angle!$J$19+PM_Angle!$K$19*$C451+PM_Angle!$L$19*$B451</f>
      </c>
      <c r="AI451" s="12">
        <f>IF(AH451&gt;0,IF(AH451&lt;=eco,alpha*fck*(1-(1-AH451/eco)^n),alpha*fck),0)</f>
      </c>
      <c r="AJ451" s="30">
        <f>PM_Angle!$J$20+PM_Angle!$K$20*$C451+PM_Angle!$L$20*$B451</f>
      </c>
      <c r="AK451" s="12">
        <f>IF(AJ451&gt;0,IF(AJ451&lt;=eco,alpha*fck*(1-(1-AJ451/eco)^n),alpha*fck),0)</f>
      </c>
      <c r="AL451" s="30">
        <f>PM_Angle!$J$21+PM_Angle!$K$21*$C451+PM_Angle!$L$21*$B451</f>
      </c>
      <c r="AM451" s="12">
        <f>IF(AL451&gt;0,IF(AL451&lt;=eco,alpha*fck*(1-(1-AL451/eco)^n),alpha*fck),0)</f>
      </c>
      <c r="AN451" s="30">
        <f>PM_Angle!$J$22+PM_Angle!$K$22*$C451+PM_Angle!$L$22*$B451</f>
      </c>
      <c r="AO451" s="12">
        <f>IF(AN451&gt;0,IF(AN451&lt;=eco,alpha*fck*(1-(1-AN451/eco)^n),alpha*fck),0)</f>
      </c>
      <c r="AP451" s="30">
        <f>PM_Angle!$J$23+PM_Angle!$K$23*$C451+PM_Angle!$L$23*$B451</f>
      </c>
      <c r="AQ451" s="12">
        <f>IF(AP451&gt;0,IF(AP451&lt;=eco,alpha*fck*(1-(1-AP451/eco)^n),alpha*fck),0)</f>
      </c>
      <c r="AR451" s="30">
        <f>PM_Angle!$J$24+PM_Angle!$K$24*$C451+PM_Angle!$L$24*$B451</f>
      </c>
      <c r="AS451" s="12">
        <f>IF(AR451&gt;0,IF(AR451&lt;=eco,alpha*fck*(1-(1-AR451/eco)^n),alpha*fck),0)</f>
      </c>
      <c r="AT451" s="30">
        <f>PM_Angle!$J$25+PM_Angle!$K$25*$C451+PM_Angle!$L$25*$B451</f>
      </c>
      <c r="AU451" s="12">
        <f>IF(AT451&gt;0,IF(AT451&lt;=eco,alpha*fck*(1-(1-AT451/eco)^n),alpha*fck),0)</f>
      </c>
    </row>
    <row r="452" spans="1:47" x14ac:dyDescent="0.25">
      <c r="A452">
        <f>Mesh!A449</f>
      </c>
      <c r="B452" s="12">
        <f>Mesh!B449</f>
      </c>
      <c r="C452" s="12">
        <f>Mesh!C449</f>
      </c>
      <c r="D452" s="12">
        <f>Mesh!D449</f>
      </c>
      <c r="E452" s="30">
        <f>INDEX(St_e0,Det+1)+INDEX(St_kx,Det+1)*C452+INDEX(St_ky,Det+1)*B452</f>
      </c>
      <c r="F452" s="12">
        <f>IF(E452&gt;0,IF(E452&lt;=eco,alpha*fck*(1-(1-E452/eco)^n),alpha*fck),0)</f>
      </c>
      <c r="G452" s="11">
        <f>F452*D452</f>
      </c>
      <c r="H452" s="11">
        <f>G452*C452</f>
      </c>
      <c r="I452" s="11">
        <f>G452*B452</f>
      </c>
      <c r="J452" s="30">
        <f>PM_Angle!$J$7+PM_Angle!$K$7*$C452+PM_Angle!$L$7*$B452</f>
      </c>
      <c r="K452" s="12">
        <f>IF(J452&gt;0,IF(J452&lt;=eco,alpha*fck*(1-(1-J452/eco)^n),alpha*fck),0)</f>
      </c>
      <c r="L452" s="30">
        <f>PM_Angle!$J$8+PM_Angle!$K$8*$C452+PM_Angle!$L$8*$B452</f>
      </c>
      <c r="M452" s="12">
        <f>IF(L452&gt;0,IF(L452&lt;=eco,alpha*fck*(1-(1-L452/eco)^n),alpha*fck),0)</f>
      </c>
      <c r="N452" s="30">
        <f>PM_Angle!$J$9+PM_Angle!$K$9*$C452+PM_Angle!$L$9*$B452</f>
      </c>
      <c r="O452" s="12">
        <f>IF(N452&gt;0,IF(N452&lt;=eco,alpha*fck*(1-(1-N452/eco)^n),alpha*fck),0)</f>
      </c>
      <c r="P452" s="30">
        <f>PM_Angle!$J$10+PM_Angle!$K$10*$C452+PM_Angle!$L$10*$B452</f>
      </c>
      <c r="Q452" s="12">
        <f>IF(P452&gt;0,IF(P452&lt;=eco,alpha*fck*(1-(1-P452/eco)^n),alpha*fck),0)</f>
      </c>
      <c r="R452" s="30">
        <f>PM_Angle!$J$11+PM_Angle!$K$11*$C452+PM_Angle!$L$11*$B452</f>
      </c>
      <c r="S452" s="12">
        <f>IF(R452&gt;0,IF(R452&lt;=eco,alpha*fck*(1-(1-R452/eco)^n),alpha*fck),0)</f>
      </c>
      <c r="T452" s="30">
        <f>PM_Angle!$J$12+PM_Angle!$K$12*$C452+PM_Angle!$L$12*$B452</f>
      </c>
      <c r="U452" s="12">
        <f>IF(T452&gt;0,IF(T452&lt;=eco,alpha*fck*(1-(1-T452/eco)^n),alpha*fck),0)</f>
      </c>
      <c r="V452" s="30">
        <f>PM_Angle!$J$13+PM_Angle!$K$13*$C452+PM_Angle!$L$13*$B452</f>
      </c>
      <c r="W452" s="12">
        <f>IF(V452&gt;0,IF(V452&lt;=eco,alpha*fck*(1-(1-V452/eco)^n),alpha*fck),0)</f>
      </c>
      <c r="X452" s="30">
        <f>PM_Angle!$J$14+PM_Angle!$K$14*$C452+PM_Angle!$L$14*$B452</f>
      </c>
      <c r="Y452" s="12">
        <f>IF(X452&gt;0,IF(X452&lt;=eco,alpha*fck*(1-(1-X452/eco)^n),alpha*fck),0)</f>
      </c>
      <c r="Z452" s="30">
        <f>PM_Angle!$J$15+PM_Angle!$K$15*$C452+PM_Angle!$L$15*$B452</f>
      </c>
      <c r="AA452" s="12">
        <f>IF(Z452&gt;0,IF(Z452&lt;=eco,alpha*fck*(1-(1-Z452/eco)^n),alpha*fck),0)</f>
      </c>
      <c r="AB452" s="30">
        <f>PM_Angle!$J$16+PM_Angle!$K$16*$C452+PM_Angle!$L$16*$B452</f>
      </c>
      <c r="AC452" s="12">
        <f>IF(AB452&gt;0,IF(AB452&lt;=eco,alpha*fck*(1-(1-AB452/eco)^n),alpha*fck),0)</f>
      </c>
      <c r="AD452" s="30">
        <f>PM_Angle!$J$17+PM_Angle!$K$17*$C452+PM_Angle!$L$17*$B452</f>
      </c>
      <c r="AE452" s="12">
        <f>IF(AD452&gt;0,IF(AD452&lt;=eco,alpha*fck*(1-(1-AD452/eco)^n),alpha*fck),0)</f>
      </c>
      <c r="AF452" s="30">
        <f>PM_Angle!$J$18+PM_Angle!$K$18*$C452+PM_Angle!$L$18*$B452</f>
      </c>
      <c r="AG452" s="12">
        <f>IF(AF452&gt;0,IF(AF452&lt;=eco,alpha*fck*(1-(1-AF452/eco)^n),alpha*fck),0)</f>
      </c>
      <c r="AH452" s="30">
        <f>PM_Angle!$J$19+PM_Angle!$K$19*$C452+PM_Angle!$L$19*$B452</f>
      </c>
      <c r="AI452" s="12">
        <f>IF(AH452&gt;0,IF(AH452&lt;=eco,alpha*fck*(1-(1-AH452/eco)^n),alpha*fck),0)</f>
      </c>
      <c r="AJ452" s="30">
        <f>PM_Angle!$J$20+PM_Angle!$K$20*$C452+PM_Angle!$L$20*$B452</f>
      </c>
      <c r="AK452" s="12">
        <f>IF(AJ452&gt;0,IF(AJ452&lt;=eco,alpha*fck*(1-(1-AJ452/eco)^n),alpha*fck),0)</f>
      </c>
      <c r="AL452" s="30">
        <f>PM_Angle!$J$21+PM_Angle!$K$21*$C452+PM_Angle!$L$21*$B452</f>
      </c>
      <c r="AM452" s="12">
        <f>IF(AL452&gt;0,IF(AL452&lt;=eco,alpha*fck*(1-(1-AL452/eco)^n),alpha*fck),0)</f>
      </c>
      <c r="AN452" s="30">
        <f>PM_Angle!$J$22+PM_Angle!$K$22*$C452+PM_Angle!$L$22*$B452</f>
      </c>
      <c r="AO452" s="12">
        <f>IF(AN452&gt;0,IF(AN452&lt;=eco,alpha*fck*(1-(1-AN452/eco)^n),alpha*fck),0)</f>
      </c>
      <c r="AP452" s="30">
        <f>PM_Angle!$J$23+PM_Angle!$K$23*$C452+PM_Angle!$L$23*$B452</f>
      </c>
      <c r="AQ452" s="12">
        <f>IF(AP452&gt;0,IF(AP452&lt;=eco,alpha*fck*(1-(1-AP452/eco)^n),alpha*fck),0)</f>
      </c>
      <c r="AR452" s="30">
        <f>PM_Angle!$J$24+PM_Angle!$K$24*$C452+PM_Angle!$L$24*$B452</f>
      </c>
      <c r="AS452" s="12">
        <f>IF(AR452&gt;0,IF(AR452&lt;=eco,alpha*fck*(1-(1-AR452/eco)^n),alpha*fck),0)</f>
      </c>
      <c r="AT452" s="30">
        <f>PM_Angle!$J$25+PM_Angle!$K$25*$C452+PM_Angle!$L$25*$B452</f>
      </c>
      <c r="AU452" s="12">
        <f>IF(AT452&gt;0,IF(AT452&lt;=eco,alpha*fck*(1-(1-AT452/eco)^n),alpha*fck),0)</f>
      </c>
    </row>
    <row r="453" spans="1:47" x14ac:dyDescent="0.25">
      <c r="A453">
        <f>Mesh!A450</f>
      </c>
      <c r="B453" s="12">
        <f>Mesh!B450</f>
      </c>
      <c r="C453" s="12">
        <f>Mesh!C450</f>
      </c>
      <c r="D453" s="12">
        <f>Mesh!D450</f>
      </c>
      <c r="E453" s="30">
        <f>INDEX(St_e0,Det+1)+INDEX(St_kx,Det+1)*C453+INDEX(St_ky,Det+1)*B453</f>
      </c>
      <c r="F453" s="12">
        <f>IF(E453&gt;0,IF(E453&lt;=eco,alpha*fck*(1-(1-E453/eco)^n),alpha*fck),0)</f>
      </c>
      <c r="G453" s="11">
        <f>F453*D453</f>
      </c>
      <c r="H453" s="11">
        <f>G453*C453</f>
      </c>
      <c r="I453" s="11">
        <f>G453*B453</f>
      </c>
      <c r="J453" s="30">
        <f>PM_Angle!$J$7+PM_Angle!$K$7*$C453+PM_Angle!$L$7*$B453</f>
      </c>
      <c r="K453" s="12">
        <f>IF(J453&gt;0,IF(J453&lt;=eco,alpha*fck*(1-(1-J453/eco)^n),alpha*fck),0)</f>
      </c>
      <c r="L453" s="30">
        <f>PM_Angle!$J$8+PM_Angle!$K$8*$C453+PM_Angle!$L$8*$B453</f>
      </c>
      <c r="M453" s="12">
        <f>IF(L453&gt;0,IF(L453&lt;=eco,alpha*fck*(1-(1-L453/eco)^n),alpha*fck),0)</f>
      </c>
      <c r="N453" s="30">
        <f>PM_Angle!$J$9+PM_Angle!$K$9*$C453+PM_Angle!$L$9*$B453</f>
      </c>
      <c r="O453" s="12">
        <f>IF(N453&gt;0,IF(N453&lt;=eco,alpha*fck*(1-(1-N453/eco)^n),alpha*fck),0)</f>
      </c>
      <c r="P453" s="30">
        <f>PM_Angle!$J$10+PM_Angle!$K$10*$C453+PM_Angle!$L$10*$B453</f>
      </c>
      <c r="Q453" s="12">
        <f>IF(P453&gt;0,IF(P453&lt;=eco,alpha*fck*(1-(1-P453/eco)^n),alpha*fck),0)</f>
      </c>
      <c r="R453" s="30">
        <f>PM_Angle!$J$11+PM_Angle!$K$11*$C453+PM_Angle!$L$11*$B453</f>
      </c>
      <c r="S453" s="12">
        <f>IF(R453&gt;0,IF(R453&lt;=eco,alpha*fck*(1-(1-R453/eco)^n),alpha*fck),0)</f>
      </c>
      <c r="T453" s="30">
        <f>PM_Angle!$J$12+PM_Angle!$K$12*$C453+PM_Angle!$L$12*$B453</f>
      </c>
      <c r="U453" s="12">
        <f>IF(T453&gt;0,IF(T453&lt;=eco,alpha*fck*(1-(1-T453/eco)^n),alpha*fck),0)</f>
      </c>
      <c r="V453" s="30">
        <f>PM_Angle!$J$13+PM_Angle!$K$13*$C453+PM_Angle!$L$13*$B453</f>
      </c>
      <c r="W453" s="12">
        <f>IF(V453&gt;0,IF(V453&lt;=eco,alpha*fck*(1-(1-V453/eco)^n),alpha*fck),0)</f>
      </c>
      <c r="X453" s="30">
        <f>PM_Angle!$J$14+PM_Angle!$K$14*$C453+PM_Angle!$L$14*$B453</f>
      </c>
      <c r="Y453" s="12">
        <f>IF(X453&gt;0,IF(X453&lt;=eco,alpha*fck*(1-(1-X453/eco)^n),alpha*fck),0)</f>
      </c>
      <c r="Z453" s="30">
        <f>PM_Angle!$J$15+PM_Angle!$K$15*$C453+PM_Angle!$L$15*$B453</f>
      </c>
      <c r="AA453" s="12">
        <f>IF(Z453&gt;0,IF(Z453&lt;=eco,alpha*fck*(1-(1-Z453/eco)^n),alpha*fck),0)</f>
      </c>
      <c r="AB453" s="30">
        <f>PM_Angle!$J$16+PM_Angle!$K$16*$C453+PM_Angle!$L$16*$B453</f>
      </c>
      <c r="AC453" s="12">
        <f>IF(AB453&gt;0,IF(AB453&lt;=eco,alpha*fck*(1-(1-AB453/eco)^n),alpha*fck),0)</f>
      </c>
      <c r="AD453" s="30">
        <f>PM_Angle!$J$17+PM_Angle!$K$17*$C453+PM_Angle!$L$17*$B453</f>
      </c>
      <c r="AE453" s="12">
        <f>IF(AD453&gt;0,IF(AD453&lt;=eco,alpha*fck*(1-(1-AD453/eco)^n),alpha*fck),0)</f>
      </c>
      <c r="AF453" s="30">
        <f>PM_Angle!$J$18+PM_Angle!$K$18*$C453+PM_Angle!$L$18*$B453</f>
      </c>
      <c r="AG453" s="12">
        <f>IF(AF453&gt;0,IF(AF453&lt;=eco,alpha*fck*(1-(1-AF453/eco)^n),alpha*fck),0)</f>
      </c>
      <c r="AH453" s="30">
        <f>PM_Angle!$J$19+PM_Angle!$K$19*$C453+PM_Angle!$L$19*$B453</f>
      </c>
      <c r="AI453" s="12">
        <f>IF(AH453&gt;0,IF(AH453&lt;=eco,alpha*fck*(1-(1-AH453/eco)^n),alpha*fck),0)</f>
      </c>
      <c r="AJ453" s="30">
        <f>PM_Angle!$J$20+PM_Angle!$K$20*$C453+PM_Angle!$L$20*$B453</f>
      </c>
      <c r="AK453" s="12">
        <f>IF(AJ453&gt;0,IF(AJ453&lt;=eco,alpha*fck*(1-(1-AJ453/eco)^n),alpha*fck),0)</f>
      </c>
      <c r="AL453" s="30">
        <f>PM_Angle!$J$21+PM_Angle!$K$21*$C453+PM_Angle!$L$21*$B453</f>
      </c>
      <c r="AM453" s="12">
        <f>IF(AL453&gt;0,IF(AL453&lt;=eco,alpha*fck*(1-(1-AL453/eco)^n),alpha*fck),0)</f>
      </c>
      <c r="AN453" s="30">
        <f>PM_Angle!$J$22+PM_Angle!$K$22*$C453+PM_Angle!$L$22*$B453</f>
      </c>
      <c r="AO453" s="12">
        <f>IF(AN453&gt;0,IF(AN453&lt;=eco,alpha*fck*(1-(1-AN453/eco)^n),alpha*fck),0)</f>
      </c>
      <c r="AP453" s="30">
        <f>PM_Angle!$J$23+PM_Angle!$K$23*$C453+PM_Angle!$L$23*$B453</f>
      </c>
      <c r="AQ453" s="12">
        <f>IF(AP453&gt;0,IF(AP453&lt;=eco,alpha*fck*(1-(1-AP453/eco)^n),alpha*fck),0)</f>
      </c>
      <c r="AR453" s="30">
        <f>PM_Angle!$J$24+PM_Angle!$K$24*$C453+PM_Angle!$L$24*$B453</f>
      </c>
      <c r="AS453" s="12">
        <f>IF(AR453&gt;0,IF(AR453&lt;=eco,alpha*fck*(1-(1-AR453/eco)^n),alpha*fck),0)</f>
      </c>
      <c r="AT453" s="30">
        <f>PM_Angle!$J$25+PM_Angle!$K$25*$C453+PM_Angle!$L$25*$B453</f>
      </c>
      <c r="AU453" s="12">
        <f>IF(AT453&gt;0,IF(AT453&lt;=eco,alpha*fck*(1-(1-AT453/eco)^n),alpha*fck),0)</f>
      </c>
    </row>
    <row r="454" spans="1:47" x14ac:dyDescent="0.25">
      <c r="A454">
        <f>Mesh!A451</f>
      </c>
      <c r="B454" s="12">
        <f>Mesh!B451</f>
      </c>
      <c r="C454" s="12">
        <f>Mesh!C451</f>
      </c>
      <c r="D454" s="12">
        <f>Mesh!D451</f>
      </c>
      <c r="E454" s="30">
        <f>INDEX(St_e0,Det+1)+INDEX(St_kx,Det+1)*C454+INDEX(St_ky,Det+1)*B454</f>
      </c>
      <c r="F454" s="12">
        <f>IF(E454&gt;0,IF(E454&lt;=eco,alpha*fck*(1-(1-E454/eco)^n),alpha*fck),0)</f>
      </c>
      <c r="G454" s="11">
        <f>F454*D454</f>
      </c>
      <c r="H454" s="11">
        <f>G454*C454</f>
      </c>
      <c r="I454" s="11">
        <f>G454*B454</f>
      </c>
      <c r="J454" s="30">
        <f>PM_Angle!$J$7+PM_Angle!$K$7*$C454+PM_Angle!$L$7*$B454</f>
      </c>
      <c r="K454" s="12">
        <f>IF(J454&gt;0,IF(J454&lt;=eco,alpha*fck*(1-(1-J454/eco)^n),alpha*fck),0)</f>
      </c>
      <c r="L454" s="30">
        <f>PM_Angle!$J$8+PM_Angle!$K$8*$C454+PM_Angle!$L$8*$B454</f>
      </c>
      <c r="M454" s="12">
        <f>IF(L454&gt;0,IF(L454&lt;=eco,alpha*fck*(1-(1-L454/eco)^n),alpha*fck),0)</f>
      </c>
      <c r="N454" s="30">
        <f>PM_Angle!$J$9+PM_Angle!$K$9*$C454+PM_Angle!$L$9*$B454</f>
      </c>
      <c r="O454" s="12">
        <f>IF(N454&gt;0,IF(N454&lt;=eco,alpha*fck*(1-(1-N454/eco)^n),alpha*fck),0)</f>
      </c>
      <c r="P454" s="30">
        <f>PM_Angle!$J$10+PM_Angle!$K$10*$C454+PM_Angle!$L$10*$B454</f>
      </c>
      <c r="Q454" s="12">
        <f>IF(P454&gt;0,IF(P454&lt;=eco,alpha*fck*(1-(1-P454/eco)^n),alpha*fck),0)</f>
      </c>
      <c r="R454" s="30">
        <f>PM_Angle!$J$11+PM_Angle!$K$11*$C454+PM_Angle!$L$11*$B454</f>
      </c>
      <c r="S454" s="12">
        <f>IF(R454&gt;0,IF(R454&lt;=eco,alpha*fck*(1-(1-R454/eco)^n),alpha*fck),0)</f>
      </c>
      <c r="T454" s="30">
        <f>PM_Angle!$J$12+PM_Angle!$K$12*$C454+PM_Angle!$L$12*$B454</f>
      </c>
      <c r="U454" s="12">
        <f>IF(T454&gt;0,IF(T454&lt;=eco,alpha*fck*(1-(1-T454/eco)^n),alpha*fck),0)</f>
      </c>
      <c r="V454" s="30">
        <f>PM_Angle!$J$13+PM_Angle!$K$13*$C454+PM_Angle!$L$13*$B454</f>
      </c>
      <c r="W454" s="12">
        <f>IF(V454&gt;0,IF(V454&lt;=eco,alpha*fck*(1-(1-V454/eco)^n),alpha*fck),0)</f>
      </c>
      <c r="X454" s="30">
        <f>PM_Angle!$J$14+PM_Angle!$K$14*$C454+PM_Angle!$L$14*$B454</f>
      </c>
      <c r="Y454" s="12">
        <f>IF(X454&gt;0,IF(X454&lt;=eco,alpha*fck*(1-(1-X454/eco)^n),alpha*fck),0)</f>
      </c>
      <c r="Z454" s="30">
        <f>PM_Angle!$J$15+PM_Angle!$K$15*$C454+PM_Angle!$L$15*$B454</f>
      </c>
      <c r="AA454" s="12">
        <f>IF(Z454&gt;0,IF(Z454&lt;=eco,alpha*fck*(1-(1-Z454/eco)^n),alpha*fck),0)</f>
      </c>
      <c r="AB454" s="30">
        <f>PM_Angle!$J$16+PM_Angle!$K$16*$C454+PM_Angle!$L$16*$B454</f>
      </c>
      <c r="AC454" s="12">
        <f>IF(AB454&gt;0,IF(AB454&lt;=eco,alpha*fck*(1-(1-AB454/eco)^n),alpha*fck),0)</f>
      </c>
      <c r="AD454" s="30">
        <f>PM_Angle!$J$17+PM_Angle!$K$17*$C454+PM_Angle!$L$17*$B454</f>
      </c>
      <c r="AE454" s="12">
        <f>IF(AD454&gt;0,IF(AD454&lt;=eco,alpha*fck*(1-(1-AD454/eco)^n),alpha*fck),0)</f>
      </c>
      <c r="AF454" s="30">
        <f>PM_Angle!$J$18+PM_Angle!$K$18*$C454+PM_Angle!$L$18*$B454</f>
      </c>
      <c r="AG454" s="12">
        <f>IF(AF454&gt;0,IF(AF454&lt;=eco,alpha*fck*(1-(1-AF454/eco)^n),alpha*fck),0)</f>
      </c>
      <c r="AH454" s="30">
        <f>PM_Angle!$J$19+PM_Angle!$K$19*$C454+PM_Angle!$L$19*$B454</f>
      </c>
      <c r="AI454" s="12">
        <f>IF(AH454&gt;0,IF(AH454&lt;=eco,alpha*fck*(1-(1-AH454/eco)^n),alpha*fck),0)</f>
      </c>
      <c r="AJ454" s="30">
        <f>PM_Angle!$J$20+PM_Angle!$K$20*$C454+PM_Angle!$L$20*$B454</f>
      </c>
      <c r="AK454" s="12">
        <f>IF(AJ454&gt;0,IF(AJ454&lt;=eco,alpha*fck*(1-(1-AJ454/eco)^n),alpha*fck),0)</f>
      </c>
      <c r="AL454" s="30">
        <f>PM_Angle!$J$21+PM_Angle!$K$21*$C454+PM_Angle!$L$21*$B454</f>
      </c>
      <c r="AM454" s="12">
        <f>IF(AL454&gt;0,IF(AL454&lt;=eco,alpha*fck*(1-(1-AL454/eco)^n),alpha*fck),0)</f>
      </c>
      <c r="AN454" s="30">
        <f>PM_Angle!$J$22+PM_Angle!$K$22*$C454+PM_Angle!$L$22*$B454</f>
      </c>
      <c r="AO454" s="12">
        <f>IF(AN454&gt;0,IF(AN454&lt;=eco,alpha*fck*(1-(1-AN454/eco)^n),alpha*fck),0)</f>
      </c>
      <c r="AP454" s="30">
        <f>PM_Angle!$J$23+PM_Angle!$K$23*$C454+PM_Angle!$L$23*$B454</f>
      </c>
      <c r="AQ454" s="12">
        <f>IF(AP454&gt;0,IF(AP454&lt;=eco,alpha*fck*(1-(1-AP454/eco)^n),alpha*fck),0)</f>
      </c>
      <c r="AR454" s="30">
        <f>PM_Angle!$J$24+PM_Angle!$K$24*$C454+PM_Angle!$L$24*$B454</f>
      </c>
      <c r="AS454" s="12">
        <f>IF(AR454&gt;0,IF(AR454&lt;=eco,alpha*fck*(1-(1-AR454/eco)^n),alpha*fck),0)</f>
      </c>
      <c r="AT454" s="30">
        <f>PM_Angle!$J$25+PM_Angle!$K$25*$C454+PM_Angle!$L$25*$B454</f>
      </c>
      <c r="AU454" s="12">
        <f>IF(AT454&gt;0,IF(AT454&lt;=eco,alpha*fck*(1-(1-AT454/eco)^n),alpha*fck),0)</f>
      </c>
    </row>
    <row r="455" spans="1:47" x14ac:dyDescent="0.25">
      <c r="A455">
        <f>Mesh!A452</f>
      </c>
      <c r="B455" s="12">
        <f>Mesh!B452</f>
      </c>
      <c r="C455" s="12">
        <f>Mesh!C452</f>
      </c>
      <c r="D455" s="12">
        <f>Mesh!D452</f>
      </c>
      <c r="E455" s="30">
        <f>INDEX(St_e0,Det+1)+INDEX(St_kx,Det+1)*C455+INDEX(St_ky,Det+1)*B455</f>
      </c>
      <c r="F455" s="12">
        <f>IF(E455&gt;0,IF(E455&lt;=eco,alpha*fck*(1-(1-E455/eco)^n),alpha*fck),0)</f>
      </c>
      <c r="G455" s="11">
        <f>F455*D455</f>
      </c>
      <c r="H455" s="11">
        <f>G455*C455</f>
      </c>
      <c r="I455" s="11">
        <f>G455*B455</f>
      </c>
      <c r="J455" s="30">
        <f>PM_Angle!$J$7+PM_Angle!$K$7*$C455+PM_Angle!$L$7*$B455</f>
      </c>
      <c r="K455" s="12">
        <f>IF(J455&gt;0,IF(J455&lt;=eco,alpha*fck*(1-(1-J455/eco)^n),alpha*fck),0)</f>
      </c>
      <c r="L455" s="30">
        <f>PM_Angle!$J$8+PM_Angle!$K$8*$C455+PM_Angle!$L$8*$B455</f>
      </c>
      <c r="M455" s="12">
        <f>IF(L455&gt;0,IF(L455&lt;=eco,alpha*fck*(1-(1-L455/eco)^n),alpha*fck),0)</f>
      </c>
      <c r="N455" s="30">
        <f>PM_Angle!$J$9+PM_Angle!$K$9*$C455+PM_Angle!$L$9*$B455</f>
      </c>
      <c r="O455" s="12">
        <f>IF(N455&gt;0,IF(N455&lt;=eco,alpha*fck*(1-(1-N455/eco)^n),alpha*fck),0)</f>
      </c>
      <c r="P455" s="30">
        <f>PM_Angle!$J$10+PM_Angle!$K$10*$C455+PM_Angle!$L$10*$B455</f>
      </c>
      <c r="Q455" s="12">
        <f>IF(P455&gt;0,IF(P455&lt;=eco,alpha*fck*(1-(1-P455/eco)^n),alpha*fck),0)</f>
      </c>
      <c r="R455" s="30">
        <f>PM_Angle!$J$11+PM_Angle!$K$11*$C455+PM_Angle!$L$11*$B455</f>
      </c>
      <c r="S455" s="12">
        <f>IF(R455&gt;0,IF(R455&lt;=eco,alpha*fck*(1-(1-R455/eco)^n),alpha*fck),0)</f>
      </c>
      <c r="T455" s="30">
        <f>PM_Angle!$J$12+PM_Angle!$K$12*$C455+PM_Angle!$L$12*$B455</f>
      </c>
      <c r="U455" s="12">
        <f>IF(T455&gt;0,IF(T455&lt;=eco,alpha*fck*(1-(1-T455/eco)^n),alpha*fck),0)</f>
      </c>
      <c r="V455" s="30">
        <f>PM_Angle!$J$13+PM_Angle!$K$13*$C455+PM_Angle!$L$13*$B455</f>
      </c>
      <c r="W455" s="12">
        <f>IF(V455&gt;0,IF(V455&lt;=eco,alpha*fck*(1-(1-V455/eco)^n),alpha*fck),0)</f>
      </c>
      <c r="X455" s="30">
        <f>PM_Angle!$J$14+PM_Angle!$K$14*$C455+PM_Angle!$L$14*$B455</f>
      </c>
      <c r="Y455" s="12">
        <f>IF(X455&gt;0,IF(X455&lt;=eco,alpha*fck*(1-(1-X455/eco)^n),alpha*fck),0)</f>
      </c>
      <c r="Z455" s="30">
        <f>PM_Angle!$J$15+PM_Angle!$K$15*$C455+PM_Angle!$L$15*$B455</f>
      </c>
      <c r="AA455" s="12">
        <f>IF(Z455&gt;0,IF(Z455&lt;=eco,alpha*fck*(1-(1-Z455/eco)^n),alpha*fck),0)</f>
      </c>
      <c r="AB455" s="30">
        <f>PM_Angle!$J$16+PM_Angle!$K$16*$C455+PM_Angle!$L$16*$B455</f>
      </c>
      <c r="AC455" s="12">
        <f>IF(AB455&gt;0,IF(AB455&lt;=eco,alpha*fck*(1-(1-AB455/eco)^n),alpha*fck),0)</f>
      </c>
      <c r="AD455" s="30">
        <f>PM_Angle!$J$17+PM_Angle!$K$17*$C455+PM_Angle!$L$17*$B455</f>
      </c>
      <c r="AE455" s="12">
        <f>IF(AD455&gt;0,IF(AD455&lt;=eco,alpha*fck*(1-(1-AD455/eco)^n),alpha*fck),0)</f>
      </c>
      <c r="AF455" s="30">
        <f>PM_Angle!$J$18+PM_Angle!$K$18*$C455+PM_Angle!$L$18*$B455</f>
      </c>
      <c r="AG455" s="12">
        <f>IF(AF455&gt;0,IF(AF455&lt;=eco,alpha*fck*(1-(1-AF455/eco)^n),alpha*fck),0)</f>
      </c>
      <c r="AH455" s="30">
        <f>PM_Angle!$J$19+PM_Angle!$K$19*$C455+PM_Angle!$L$19*$B455</f>
      </c>
      <c r="AI455" s="12">
        <f>IF(AH455&gt;0,IF(AH455&lt;=eco,alpha*fck*(1-(1-AH455/eco)^n),alpha*fck),0)</f>
      </c>
      <c r="AJ455" s="30">
        <f>PM_Angle!$J$20+PM_Angle!$K$20*$C455+PM_Angle!$L$20*$B455</f>
      </c>
      <c r="AK455" s="12">
        <f>IF(AJ455&gt;0,IF(AJ455&lt;=eco,alpha*fck*(1-(1-AJ455/eco)^n),alpha*fck),0)</f>
      </c>
      <c r="AL455" s="30">
        <f>PM_Angle!$J$21+PM_Angle!$K$21*$C455+PM_Angle!$L$21*$B455</f>
      </c>
      <c r="AM455" s="12">
        <f>IF(AL455&gt;0,IF(AL455&lt;=eco,alpha*fck*(1-(1-AL455/eco)^n),alpha*fck),0)</f>
      </c>
      <c r="AN455" s="30">
        <f>PM_Angle!$J$22+PM_Angle!$K$22*$C455+PM_Angle!$L$22*$B455</f>
      </c>
      <c r="AO455" s="12">
        <f>IF(AN455&gt;0,IF(AN455&lt;=eco,alpha*fck*(1-(1-AN455/eco)^n),alpha*fck),0)</f>
      </c>
      <c r="AP455" s="30">
        <f>PM_Angle!$J$23+PM_Angle!$K$23*$C455+PM_Angle!$L$23*$B455</f>
      </c>
      <c r="AQ455" s="12">
        <f>IF(AP455&gt;0,IF(AP455&lt;=eco,alpha*fck*(1-(1-AP455/eco)^n),alpha*fck),0)</f>
      </c>
      <c r="AR455" s="30">
        <f>PM_Angle!$J$24+PM_Angle!$K$24*$C455+PM_Angle!$L$24*$B455</f>
      </c>
      <c r="AS455" s="12">
        <f>IF(AR455&gt;0,IF(AR455&lt;=eco,alpha*fck*(1-(1-AR455/eco)^n),alpha*fck),0)</f>
      </c>
      <c r="AT455" s="30">
        <f>PM_Angle!$J$25+PM_Angle!$K$25*$C455+PM_Angle!$L$25*$B455</f>
      </c>
      <c r="AU455" s="12">
        <f>IF(AT455&gt;0,IF(AT455&lt;=eco,alpha*fck*(1-(1-AT455/eco)^n),alpha*fck),0)</f>
      </c>
    </row>
    <row r="456" spans="1:47" x14ac:dyDescent="0.25">
      <c r="A456">
        <f>Mesh!A453</f>
      </c>
      <c r="B456" s="12">
        <f>Mesh!B453</f>
      </c>
      <c r="C456" s="12">
        <f>Mesh!C453</f>
      </c>
      <c r="D456" s="12">
        <f>Mesh!D453</f>
      </c>
      <c r="E456" s="30">
        <f>INDEX(St_e0,Det+1)+INDEX(St_kx,Det+1)*C456+INDEX(St_ky,Det+1)*B456</f>
      </c>
      <c r="F456" s="12">
        <f>IF(E456&gt;0,IF(E456&lt;=eco,alpha*fck*(1-(1-E456/eco)^n),alpha*fck),0)</f>
      </c>
      <c r="G456" s="11">
        <f>F456*D456</f>
      </c>
      <c r="H456" s="11">
        <f>G456*C456</f>
      </c>
      <c r="I456" s="11">
        <f>G456*B456</f>
      </c>
      <c r="J456" s="30">
        <f>PM_Angle!$J$7+PM_Angle!$K$7*$C456+PM_Angle!$L$7*$B456</f>
      </c>
      <c r="K456" s="12">
        <f>IF(J456&gt;0,IF(J456&lt;=eco,alpha*fck*(1-(1-J456/eco)^n),alpha*fck),0)</f>
      </c>
      <c r="L456" s="30">
        <f>PM_Angle!$J$8+PM_Angle!$K$8*$C456+PM_Angle!$L$8*$B456</f>
      </c>
      <c r="M456" s="12">
        <f>IF(L456&gt;0,IF(L456&lt;=eco,alpha*fck*(1-(1-L456/eco)^n),alpha*fck),0)</f>
      </c>
      <c r="N456" s="30">
        <f>PM_Angle!$J$9+PM_Angle!$K$9*$C456+PM_Angle!$L$9*$B456</f>
      </c>
      <c r="O456" s="12">
        <f>IF(N456&gt;0,IF(N456&lt;=eco,alpha*fck*(1-(1-N456/eco)^n),alpha*fck),0)</f>
      </c>
      <c r="P456" s="30">
        <f>PM_Angle!$J$10+PM_Angle!$K$10*$C456+PM_Angle!$L$10*$B456</f>
      </c>
      <c r="Q456" s="12">
        <f>IF(P456&gt;0,IF(P456&lt;=eco,alpha*fck*(1-(1-P456/eco)^n),alpha*fck),0)</f>
      </c>
      <c r="R456" s="30">
        <f>PM_Angle!$J$11+PM_Angle!$K$11*$C456+PM_Angle!$L$11*$B456</f>
      </c>
      <c r="S456" s="12">
        <f>IF(R456&gt;0,IF(R456&lt;=eco,alpha*fck*(1-(1-R456/eco)^n),alpha*fck),0)</f>
      </c>
      <c r="T456" s="30">
        <f>PM_Angle!$J$12+PM_Angle!$K$12*$C456+PM_Angle!$L$12*$B456</f>
      </c>
      <c r="U456" s="12">
        <f>IF(T456&gt;0,IF(T456&lt;=eco,alpha*fck*(1-(1-T456/eco)^n),alpha*fck),0)</f>
      </c>
      <c r="V456" s="30">
        <f>PM_Angle!$J$13+PM_Angle!$K$13*$C456+PM_Angle!$L$13*$B456</f>
      </c>
      <c r="W456" s="12">
        <f>IF(V456&gt;0,IF(V456&lt;=eco,alpha*fck*(1-(1-V456/eco)^n),alpha*fck),0)</f>
      </c>
      <c r="X456" s="30">
        <f>PM_Angle!$J$14+PM_Angle!$K$14*$C456+PM_Angle!$L$14*$B456</f>
      </c>
      <c r="Y456" s="12">
        <f>IF(X456&gt;0,IF(X456&lt;=eco,alpha*fck*(1-(1-X456/eco)^n),alpha*fck),0)</f>
      </c>
      <c r="Z456" s="30">
        <f>PM_Angle!$J$15+PM_Angle!$K$15*$C456+PM_Angle!$L$15*$B456</f>
      </c>
      <c r="AA456" s="12">
        <f>IF(Z456&gt;0,IF(Z456&lt;=eco,alpha*fck*(1-(1-Z456/eco)^n),alpha*fck),0)</f>
      </c>
      <c r="AB456" s="30">
        <f>PM_Angle!$J$16+PM_Angle!$K$16*$C456+PM_Angle!$L$16*$B456</f>
      </c>
      <c r="AC456" s="12">
        <f>IF(AB456&gt;0,IF(AB456&lt;=eco,alpha*fck*(1-(1-AB456/eco)^n),alpha*fck),0)</f>
      </c>
      <c r="AD456" s="30">
        <f>PM_Angle!$J$17+PM_Angle!$K$17*$C456+PM_Angle!$L$17*$B456</f>
      </c>
      <c r="AE456" s="12">
        <f>IF(AD456&gt;0,IF(AD456&lt;=eco,alpha*fck*(1-(1-AD456/eco)^n),alpha*fck),0)</f>
      </c>
      <c r="AF456" s="30">
        <f>PM_Angle!$J$18+PM_Angle!$K$18*$C456+PM_Angle!$L$18*$B456</f>
      </c>
      <c r="AG456" s="12">
        <f>IF(AF456&gt;0,IF(AF456&lt;=eco,alpha*fck*(1-(1-AF456/eco)^n),alpha*fck),0)</f>
      </c>
      <c r="AH456" s="30">
        <f>PM_Angle!$J$19+PM_Angle!$K$19*$C456+PM_Angle!$L$19*$B456</f>
      </c>
      <c r="AI456" s="12">
        <f>IF(AH456&gt;0,IF(AH456&lt;=eco,alpha*fck*(1-(1-AH456/eco)^n),alpha*fck),0)</f>
      </c>
      <c r="AJ456" s="30">
        <f>PM_Angle!$J$20+PM_Angle!$K$20*$C456+PM_Angle!$L$20*$B456</f>
      </c>
      <c r="AK456" s="12">
        <f>IF(AJ456&gt;0,IF(AJ456&lt;=eco,alpha*fck*(1-(1-AJ456/eco)^n),alpha*fck),0)</f>
      </c>
      <c r="AL456" s="30">
        <f>PM_Angle!$J$21+PM_Angle!$K$21*$C456+PM_Angle!$L$21*$B456</f>
      </c>
      <c r="AM456" s="12">
        <f>IF(AL456&gt;0,IF(AL456&lt;=eco,alpha*fck*(1-(1-AL456/eco)^n),alpha*fck),0)</f>
      </c>
      <c r="AN456" s="30">
        <f>PM_Angle!$J$22+PM_Angle!$K$22*$C456+PM_Angle!$L$22*$B456</f>
      </c>
      <c r="AO456" s="12">
        <f>IF(AN456&gt;0,IF(AN456&lt;=eco,alpha*fck*(1-(1-AN456/eco)^n),alpha*fck),0)</f>
      </c>
      <c r="AP456" s="30">
        <f>PM_Angle!$J$23+PM_Angle!$K$23*$C456+PM_Angle!$L$23*$B456</f>
      </c>
      <c r="AQ456" s="12">
        <f>IF(AP456&gt;0,IF(AP456&lt;=eco,alpha*fck*(1-(1-AP456/eco)^n),alpha*fck),0)</f>
      </c>
      <c r="AR456" s="30">
        <f>PM_Angle!$J$24+PM_Angle!$K$24*$C456+PM_Angle!$L$24*$B456</f>
      </c>
      <c r="AS456" s="12">
        <f>IF(AR456&gt;0,IF(AR456&lt;=eco,alpha*fck*(1-(1-AR456/eco)^n),alpha*fck),0)</f>
      </c>
      <c r="AT456" s="30">
        <f>PM_Angle!$J$25+PM_Angle!$K$25*$C456+PM_Angle!$L$25*$B456</f>
      </c>
      <c r="AU456" s="12">
        <f>IF(AT456&gt;0,IF(AT456&lt;=eco,alpha*fck*(1-(1-AT456/eco)^n),alpha*fck),0)</f>
      </c>
    </row>
    <row r="457" spans="1:47" x14ac:dyDescent="0.25">
      <c r="A457">
        <f>Mesh!A454</f>
      </c>
      <c r="B457" s="12">
        <f>Mesh!B454</f>
      </c>
      <c r="C457" s="12">
        <f>Mesh!C454</f>
      </c>
      <c r="D457" s="12">
        <f>Mesh!D454</f>
      </c>
      <c r="E457" s="30">
        <f>INDEX(St_e0,Det+1)+INDEX(St_kx,Det+1)*C457+INDEX(St_ky,Det+1)*B457</f>
      </c>
      <c r="F457" s="12">
        <f>IF(E457&gt;0,IF(E457&lt;=eco,alpha*fck*(1-(1-E457/eco)^n),alpha*fck),0)</f>
      </c>
      <c r="G457" s="11">
        <f>F457*D457</f>
      </c>
      <c r="H457" s="11">
        <f>G457*C457</f>
      </c>
      <c r="I457" s="11">
        <f>G457*B457</f>
      </c>
      <c r="J457" s="30">
        <f>PM_Angle!$J$7+PM_Angle!$K$7*$C457+PM_Angle!$L$7*$B457</f>
      </c>
      <c r="K457" s="12">
        <f>IF(J457&gt;0,IF(J457&lt;=eco,alpha*fck*(1-(1-J457/eco)^n),alpha*fck),0)</f>
      </c>
      <c r="L457" s="30">
        <f>PM_Angle!$J$8+PM_Angle!$K$8*$C457+PM_Angle!$L$8*$B457</f>
      </c>
      <c r="M457" s="12">
        <f>IF(L457&gt;0,IF(L457&lt;=eco,alpha*fck*(1-(1-L457/eco)^n),alpha*fck),0)</f>
      </c>
      <c r="N457" s="30">
        <f>PM_Angle!$J$9+PM_Angle!$K$9*$C457+PM_Angle!$L$9*$B457</f>
      </c>
      <c r="O457" s="12">
        <f>IF(N457&gt;0,IF(N457&lt;=eco,alpha*fck*(1-(1-N457/eco)^n),alpha*fck),0)</f>
      </c>
      <c r="P457" s="30">
        <f>PM_Angle!$J$10+PM_Angle!$K$10*$C457+PM_Angle!$L$10*$B457</f>
      </c>
      <c r="Q457" s="12">
        <f>IF(P457&gt;0,IF(P457&lt;=eco,alpha*fck*(1-(1-P457/eco)^n),alpha*fck),0)</f>
      </c>
      <c r="R457" s="30">
        <f>PM_Angle!$J$11+PM_Angle!$K$11*$C457+PM_Angle!$L$11*$B457</f>
      </c>
      <c r="S457" s="12">
        <f>IF(R457&gt;0,IF(R457&lt;=eco,alpha*fck*(1-(1-R457/eco)^n),alpha*fck),0)</f>
      </c>
      <c r="T457" s="30">
        <f>PM_Angle!$J$12+PM_Angle!$K$12*$C457+PM_Angle!$L$12*$B457</f>
      </c>
      <c r="U457" s="12">
        <f>IF(T457&gt;0,IF(T457&lt;=eco,alpha*fck*(1-(1-T457/eco)^n),alpha*fck),0)</f>
      </c>
      <c r="V457" s="30">
        <f>PM_Angle!$J$13+PM_Angle!$K$13*$C457+PM_Angle!$L$13*$B457</f>
      </c>
      <c r="W457" s="12">
        <f>IF(V457&gt;0,IF(V457&lt;=eco,alpha*fck*(1-(1-V457/eco)^n),alpha*fck),0)</f>
      </c>
      <c r="X457" s="30">
        <f>PM_Angle!$J$14+PM_Angle!$K$14*$C457+PM_Angle!$L$14*$B457</f>
      </c>
      <c r="Y457" s="12">
        <f>IF(X457&gt;0,IF(X457&lt;=eco,alpha*fck*(1-(1-X457/eco)^n),alpha*fck),0)</f>
      </c>
      <c r="Z457" s="30">
        <f>PM_Angle!$J$15+PM_Angle!$K$15*$C457+PM_Angle!$L$15*$B457</f>
      </c>
      <c r="AA457" s="12">
        <f>IF(Z457&gt;0,IF(Z457&lt;=eco,alpha*fck*(1-(1-Z457/eco)^n),alpha*fck),0)</f>
      </c>
      <c r="AB457" s="30">
        <f>PM_Angle!$J$16+PM_Angle!$K$16*$C457+PM_Angle!$L$16*$B457</f>
      </c>
      <c r="AC457" s="12">
        <f>IF(AB457&gt;0,IF(AB457&lt;=eco,alpha*fck*(1-(1-AB457/eco)^n),alpha*fck),0)</f>
      </c>
      <c r="AD457" s="30">
        <f>PM_Angle!$J$17+PM_Angle!$K$17*$C457+PM_Angle!$L$17*$B457</f>
      </c>
      <c r="AE457" s="12">
        <f>IF(AD457&gt;0,IF(AD457&lt;=eco,alpha*fck*(1-(1-AD457/eco)^n),alpha*fck),0)</f>
      </c>
      <c r="AF457" s="30">
        <f>PM_Angle!$J$18+PM_Angle!$K$18*$C457+PM_Angle!$L$18*$B457</f>
      </c>
      <c r="AG457" s="12">
        <f>IF(AF457&gt;0,IF(AF457&lt;=eco,alpha*fck*(1-(1-AF457/eco)^n),alpha*fck),0)</f>
      </c>
      <c r="AH457" s="30">
        <f>PM_Angle!$J$19+PM_Angle!$K$19*$C457+PM_Angle!$L$19*$B457</f>
      </c>
      <c r="AI457" s="12">
        <f>IF(AH457&gt;0,IF(AH457&lt;=eco,alpha*fck*(1-(1-AH457/eco)^n),alpha*fck),0)</f>
      </c>
      <c r="AJ457" s="30">
        <f>PM_Angle!$J$20+PM_Angle!$K$20*$C457+PM_Angle!$L$20*$B457</f>
      </c>
      <c r="AK457" s="12">
        <f>IF(AJ457&gt;0,IF(AJ457&lt;=eco,alpha*fck*(1-(1-AJ457/eco)^n),alpha*fck),0)</f>
      </c>
      <c r="AL457" s="30">
        <f>PM_Angle!$J$21+PM_Angle!$K$21*$C457+PM_Angle!$L$21*$B457</f>
      </c>
      <c r="AM457" s="12">
        <f>IF(AL457&gt;0,IF(AL457&lt;=eco,alpha*fck*(1-(1-AL457/eco)^n),alpha*fck),0)</f>
      </c>
      <c r="AN457" s="30">
        <f>PM_Angle!$J$22+PM_Angle!$K$22*$C457+PM_Angle!$L$22*$B457</f>
      </c>
      <c r="AO457" s="12">
        <f>IF(AN457&gt;0,IF(AN457&lt;=eco,alpha*fck*(1-(1-AN457/eco)^n),alpha*fck),0)</f>
      </c>
      <c r="AP457" s="30">
        <f>PM_Angle!$J$23+PM_Angle!$K$23*$C457+PM_Angle!$L$23*$B457</f>
      </c>
      <c r="AQ457" s="12">
        <f>IF(AP457&gt;0,IF(AP457&lt;=eco,alpha*fck*(1-(1-AP457/eco)^n),alpha*fck),0)</f>
      </c>
      <c r="AR457" s="30">
        <f>PM_Angle!$J$24+PM_Angle!$K$24*$C457+PM_Angle!$L$24*$B457</f>
      </c>
      <c r="AS457" s="12">
        <f>IF(AR457&gt;0,IF(AR457&lt;=eco,alpha*fck*(1-(1-AR457/eco)^n),alpha*fck),0)</f>
      </c>
      <c r="AT457" s="30">
        <f>PM_Angle!$J$25+PM_Angle!$K$25*$C457+PM_Angle!$L$25*$B457</f>
      </c>
      <c r="AU457" s="12">
        <f>IF(AT457&gt;0,IF(AT457&lt;=eco,alpha*fck*(1-(1-AT457/eco)^n),alpha*fck),0)</f>
      </c>
    </row>
    <row r="458" spans="1:47" x14ac:dyDescent="0.25">
      <c r="A458">
        <f>Mesh!A455</f>
      </c>
      <c r="B458" s="12">
        <f>Mesh!B455</f>
      </c>
      <c r="C458" s="12">
        <f>Mesh!C455</f>
      </c>
      <c r="D458" s="12">
        <f>Mesh!D455</f>
      </c>
      <c r="E458" s="30">
        <f>INDEX(St_e0,Det+1)+INDEX(St_kx,Det+1)*C458+INDEX(St_ky,Det+1)*B458</f>
      </c>
      <c r="F458" s="12">
        <f>IF(E458&gt;0,IF(E458&lt;=eco,alpha*fck*(1-(1-E458/eco)^n),alpha*fck),0)</f>
      </c>
      <c r="G458" s="11">
        <f>F458*D458</f>
      </c>
      <c r="H458" s="11">
        <f>G458*C458</f>
      </c>
      <c r="I458" s="11">
        <f>G458*B458</f>
      </c>
      <c r="J458" s="30">
        <f>PM_Angle!$J$7+PM_Angle!$K$7*$C458+PM_Angle!$L$7*$B458</f>
      </c>
      <c r="K458" s="12">
        <f>IF(J458&gt;0,IF(J458&lt;=eco,alpha*fck*(1-(1-J458/eco)^n),alpha*fck),0)</f>
      </c>
      <c r="L458" s="30">
        <f>PM_Angle!$J$8+PM_Angle!$K$8*$C458+PM_Angle!$L$8*$B458</f>
      </c>
      <c r="M458" s="12">
        <f>IF(L458&gt;0,IF(L458&lt;=eco,alpha*fck*(1-(1-L458/eco)^n),alpha*fck),0)</f>
      </c>
      <c r="N458" s="30">
        <f>PM_Angle!$J$9+PM_Angle!$K$9*$C458+PM_Angle!$L$9*$B458</f>
      </c>
      <c r="O458" s="12">
        <f>IF(N458&gt;0,IF(N458&lt;=eco,alpha*fck*(1-(1-N458/eco)^n),alpha*fck),0)</f>
      </c>
      <c r="P458" s="30">
        <f>PM_Angle!$J$10+PM_Angle!$K$10*$C458+PM_Angle!$L$10*$B458</f>
      </c>
      <c r="Q458" s="12">
        <f>IF(P458&gt;0,IF(P458&lt;=eco,alpha*fck*(1-(1-P458/eco)^n),alpha*fck),0)</f>
      </c>
      <c r="R458" s="30">
        <f>PM_Angle!$J$11+PM_Angle!$K$11*$C458+PM_Angle!$L$11*$B458</f>
      </c>
      <c r="S458" s="12">
        <f>IF(R458&gt;0,IF(R458&lt;=eco,alpha*fck*(1-(1-R458/eco)^n),alpha*fck),0)</f>
      </c>
      <c r="T458" s="30">
        <f>PM_Angle!$J$12+PM_Angle!$K$12*$C458+PM_Angle!$L$12*$B458</f>
      </c>
      <c r="U458" s="12">
        <f>IF(T458&gt;0,IF(T458&lt;=eco,alpha*fck*(1-(1-T458/eco)^n),alpha*fck),0)</f>
      </c>
      <c r="V458" s="30">
        <f>PM_Angle!$J$13+PM_Angle!$K$13*$C458+PM_Angle!$L$13*$B458</f>
      </c>
      <c r="W458" s="12">
        <f>IF(V458&gt;0,IF(V458&lt;=eco,alpha*fck*(1-(1-V458/eco)^n),alpha*fck),0)</f>
      </c>
      <c r="X458" s="30">
        <f>PM_Angle!$J$14+PM_Angle!$K$14*$C458+PM_Angle!$L$14*$B458</f>
      </c>
      <c r="Y458" s="12">
        <f>IF(X458&gt;0,IF(X458&lt;=eco,alpha*fck*(1-(1-X458/eco)^n),alpha*fck),0)</f>
      </c>
      <c r="Z458" s="30">
        <f>PM_Angle!$J$15+PM_Angle!$K$15*$C458+PM_Angle!$L$15*$B458</f>
      </c>
      <c r="AA458" s="12">
        <f>IF(Z458&gt;0,IF(Z458&lt;=eco,alpha*fck*(1-(1-Z458/eco)^n),alpha*fck),0)</f>
      </c>
      <c r="AB458" s="30">
        <f>PM_Angle!$J$16+PM_Angle!$K$16*$C458+PM_Angle!$L$16*$B458</f>
      </c>
      <c r="AC458" s="12">
        <f>IF(AB458&gt;0,IF(AB458&lt;=eco,alpha*fck*(1-(1-AB458/eco)^n),alpha*fck),0)</f>
      </c>
      <c r="AD458" s="30">
        <f>PM_Angle!$J$17+PM_Angle!$K$17*$C458+PM_Angle!$L$17*$B458</f>
      </c>
      <c r="AE458" s="12">
        <f>IF(AD458&gt;0,IF(AD458&lt;=eco,alpha*fck*(1-(1-AD458/eco)^n),alpha*fck),0)</f>
      </c>
      <c r="AF458" s="30">
        <f>PM_Angle!$J$18+PM_Angle!$K$18*$C458+PM_Angle!$L$18*$B458</f>
      </c>
      <c r="AG458" s="12">
        <f>IF(AF458&gt;0,IF(AF458&lt;=eco,alpha*fck*(1-(1-AF458/eco)^n),alpha*fck),0)</f>
      </c>
      <c r="AH458" s="30">
        <f>PM_Angle!$J$19+PM_Angle!$K$19*$C458+PM_Angle!$L$19*$B458</f>
      </c>
      <c r="AI458" s="12">
        <f>IF(AH458&gt;0,IF(AH458&lt;=eco,alpha*fck*(1-(1-AH458/eco)^n),alpha*fck),0)</f>
      </c>
      <c r="AJ458" s="30">
        <f>PM_Angle!$J$20+PM_Angle!$K$20*$C458+PM_Angle!$L$20*$B458</f>
      </c>
      <c r="AK458" s="12">
        <f>IF(AJ458&gt;0,IF(AJ458&lt;=eco,alpha*fck*(1-(1-AJ458/eco)^n),alpha*fck),0)</f>
      </c>
      <c r="AL458" s="30">
        <f>PM_Angle!$J$21+PM_Angle!$K$21*$C458+PM_Angle!$L$21*$B458</f>
      </c>
      <c r="AM458" s="12">
        <f>IF(AL458&gt;0,IF(AL458&lt;=eco,alpha*fck*(1-(1-AL458/eco)^n),alpha*fck),0)</f>
      </c>
      <c r="AN458" s="30">
        <f>PM_Angle!$J$22+PM_Angle!$K$22*$C458+PM_Angle!$L$22*$B458</f>
      </c>
      <c r="AO458" s="12">
        <f>IF(AN458&gt;0,IF(AN458&lt;=eco,alpha*fck*(1-(1-AN458/eco)^n),alpha*fck),0)</f>
      </c>
      <c r="AP458" s="30">
        <f>PM_Angle!$J$23+PM_Angle!$K$23*$C458+PM_Angle!$L$23*$B458</f>
      </c>
      <c r="AQ458" s="12">
        <f>IF(AP458&gt;0,IF(AP458&lt;=eco,alpha*fck*(1-(1-AP458/eco)^n),alpha*fck),0)</f>
      </c>
      <c r="AR458" s="30">
        <f>PM_Angle!$J$24+PM_Angle!$K$24*$C458+PM_Angle!$L$24*$B458</f>
      </c>
      <c r="AS458" s="12">
        <f>IF(AR458&gt;0,IF(AR458&lt;=eco,alpha*fck*(1-(1-AR458/eco)^n),alpha*fck),0)</f>
      </c>
      <c r="AT458" s="30">
        <f>PM_Angle!$J$25+PM_Angle!$K$25*$C458+PM_Angle!$L$25*$B458</f>
      </c>
      <c r="AU458" s="12">
        <f>IF(AT458&gt;0,IF(AT458&lt;=eco,alpha*fck*(1-(1-AT458/eco)^n),alpha*fck),0)</f>
      </c>
    </row>
    <row r="459" spans="1:47" x14ac:dyDescent="0.25">
      <c r="A459">
        <f>Mesh!A456</f>
      </c>
      <c r="B459" s="12">
        <f>Mesh!B456</f>
      </c>
      <c r="C459" s="12">
        <f>Mesh!C456</f>
      </c>
      <c r="D459" s="12">
        <f>Mesh!D456</f>
      </c>
      <c r="E459" s="30">
        <f>INDEX(St_e0,Det+1)+INDEX(St_kx,Det+1)*C459+INDEX(St_ky,Det+1)*B459</f>
      </c>
      <c r="F459" s="12">
        <f>IF(E459&gt;0,IF(E459&lt;=eco,alpha*fck*(1-(1-E459/eco)^n),alpha*fck),0)</f>
      </c>
      <c r="G459" s="11">
        <f>F459*D459</f>
      </c>
      <c r="H459" s="11">
        <f>G459*C459</f>
      </c>
      <c r="I459" s="11">
        <f>G459*B459</f>
      </c>
      <c r="J459" s="30">
        <f>PM_Angle!$J$7+PM_Angle!$K$7*$C459+PM_Angle!$L$7*$B459</f>
      </c>
      <c r="K459" s="12">
        <f>IF(J459&gt;0,IF(J459&lt;=eco,alpha*fck*(1-(1-J459/eco)^n),alpha*fck),0)</f>
      </c>
      <c r="L459" s="30">
        <f>PM_Angle!$J$8+PM_Angle!$K$8*$C459+PM_Angle!$L$8*$B459</f>
      </c>
      <c r="M459" s="12">
        <f>IF(L459&gt;0,IF(L459&lt;=eco,alpha*fck*(1-(1-L459/eco)^n),alpha*fck),0)</f>
      </c>
      <c r="N459" s="30">
        <f>PM_Angle!$J$9+PM_Angle!$K$9*$C459+PM_Angle!$L$9*$B459</f>
      </c>
      <c r="O459" s="12">
        <f>IF(N459&gt;0,IF(N459&lt;=eco,alpha*fck*(1-(1-N459/eco)^n),alpha*fck),0)</f>
      </c>
      <c r="P459" s="30">
        <f>PM_Angle!$J$10+PM_Angle!$K$10*$C459+PM_Angle!$L$10*$B459</f>
      </c>
      <c r="Q459" s="12">
        <f>IF(P459&gt;0,IF(P459&lt;=eco,alpha*fck*(1-(1-P459/eco)^n),alpha*fck),0)</f>
      </c>
      <c r="R459" s="30">
        <f>PM_Angle!$J$11+PM_Angle!$K$11*$C459+PM_Angle!$L$11*$B459</f>
      </c>
      <c r="S459" s="12">
        <f>IF(R459&gt;0,IF(R459&lt;=eco,alpha*fck*(1-(1-R459/eco)^n),alpha*fck),0)</f>
      </c>
      <c r="T459" s="30">
        <f>PM_Angle!$J$12+PM_Angle!$K$12*$C459+PM_Angle!$L$12*$B459</f>
      </c>
      <c r="U459" s="12">
        <f>IF(T459&gt;0,IF(T459&lt;=eco,alpha*fck*(1-(1-T459/eco)^n),alpha*fck),0)</f>
      </c>
      <c r="V459" s="30">
        <f>PM_Angle!$J$13+PM_Angle!$K$13*$C459+PM_Angle!$L$13*$B459</f>
      </c>
      <c r="W459" s="12">
        <f>IF(V459&gt;0,IF(V459&lt;=eco,alpha*fck*(1-(1-V459/eco)^n),alpha*fck),0)</f>
      </c>
      <c r="X459" s="30">
        <f>PM_Angle!$J$14+PM_Angle!$K$14*$C459+PM_Angle!$L$14*$B459</f>
      </c>
      <c r="Y459" s="12">
        <f>IF(X459&gt;0,IF(X459&lt;=eco,alpha*fck*(1-(1-X459/eco)^n),alpha*fck),0)</f>
      </c>
      <c r="Z459" s="30">
        <f>PM_Angle!$J$15+PM_Angle!$K$15*$C459+PM_Angle!$L$15*$B459</f>
      </c>
      <c r="AA459" s="12">
        <f>IF(Z459&gt;0,IF(Z459&lt;=eco,alpha*fck*(1-(1-Z459/eco)^n),alpha*fck),0)</f>
      </c>
      <c r="AB459" s="30">
        <f>PM_Angle!$J$16+PM_Angle!$K$16*$C459+PM_Angle!$L$16*$B459</f>
      </c>
      <c r="AC459" s="12">
        <f>IF(AB459&gt;0,IF(AB459&lt;=eco,alpha*fck*(1-(1-AB459/eco)^n),alpha*fck),0)</f>
      </c>
      <c r="AD459" s="30">
        <f>PM_Angle!$J$17+PM_Angle!$K$17*$C459+PM_Angle!$L$17*$B459</f>
      </c>
      <c r="AE459" s="12">
        <f>IF(AD459&gt;0,IF(AD459&lt;=eco,alpha*fck*(1-(1-AD459/eco)^n),alpha*fck),0)</f>
      </c>
      <c r="AF459" s="30">
        <f>PM_Angle!$J$18+PM_Angle!$K$18*$C459+PM_Angle!$L$18*$B459</f>
      </c>
      <c r="AG459" s="12">
        <f>IF(AF459&gt;0,IF(AF459&lt;=eco,alpha*fck*(1-(1-AF459/eco)^n),alpha*fck),0)</f>
      </c>
      <c r="AH459" s="30">
        <f>PM_Angle!$J$19+PM_Angle!$K$19*$C459+PM_Angle!$L$19*$B459</f>
      </c>
      <c r="AI459" s="12">
        <f>IF(AH459&gt;0,IF(AH459&lt;=eco,alpha*fck*(1-(1-AH459/eco)^n),alpha*fck),0)</f>
      </c>
      <c r="AJ459" s="30">
        <f>PM_Angle!$J$20+PM_Angle!$K$20*$C459+PM_Angle!$L$20*$B459</f>
      </c>
      <c r="AK459" s="12">
        <f>IF(AJ459&gt;0,IF(AJ459&lt;=eco,alpha*fck*(1-(1-AJ459/eco)^n),alpha*fck),0)</f>
      </c>
      <c r="AL459" s="30">
        <f>PM_Angle!$J$21+PM_Angle!$K$21*$C459+PM_Angle!$L$21*$B459</f>
      </c>
      <c r="AM459" s="12">
        <f>IF(AL459&gt;0,IF(AL459&lt;=eco,alpha*fck*(1-(1-AL459/eco)^n),alpha*fck),0)</f>
      </c>
      <c r="AN459" s="30">
        <f>PM_Angle!$J$22+PM_Angle!$K$22*$C459+PM_Angle!$L$22*$B459</f>
      </c>
      <c r="AO459" s="12">
        <f>IF(AN459&gt;0,IF(AN459&lt;=eco,alpha*fck*(1-(1-AN459/eco)^n),alpha*fck),0)</f>
      </c>
      <c r="AP459" s="30">
        <f>PM_Angle!$J$23+PM_Angle!$K$23*$C459+PM_Angle!$L$23*$B459</f>
      </c>
      <c r="AQ459" s="12">
        <f>IF(AP459&gt;0,IF(AP459&lt;=eco,alpha*fck*(1-(1-AP459/eco)^n),alpha*fck),0)</f>
      </c>
      <c r="AR459" s="30">
        <f>PM_Angle!$J$24+PM_Angle!$K$24*$C459+PM_Angle!$L$24*$B459</f>
      </c>
      <c r="AS459" s="12">
        <f>IF(AR459&gt;0,IF(AR459&lt;=eco,alpha*fck*(1-(1-AR459/eco)^n),alpha*fck),0)</f>
      </c>
      <c r="AT459" s="30">
        <f>PM_Angle!$J$25+PM_Angle!$K$25*$C459+PM_Angle!$L$25*$B459</f>
      </c>
      <c r="AU459" s="12">
        <f>IF(AT459&gt;0,IF(AT459&lt;=eco,alpha*fck*(1-(1-AT459/eco)^n),alpha*fck),0)</f>
      </c>
    </row>
    <row r="460" spans="1:47" x14ac:dyDescent="0.25">
      <c r="A460">
        <f>Mesh!A457</f>
      </c>
      <c r="B460" s="12">
        <f>Mesh!B457</f>
      </c>
      <c r="C460" s="12">
        <f>Mesh!C457</f>
      </c>
      <c r="D460" s="12">
        <f>Mesh!D457</f>
      </c>
      <c r="E460" s="30">
        <f>INDEX(St_e0,Det+1)+INDEX(St_kx,Det+1)*C460+INDEX(St_ky,Det+1)*B460</f>
      </c>
      <c r="F460" s="12">
        <f>IF(E460&gt;0,IF(E460&lt;=eco,alpha*fck*(1-(1-E460/eco)^n),alpha*fck),0)</f>
      </c>
      <c r="G460" s="11">
        <f>F460*D460</f>
      </c>
      <c r="H460" s="11">
        <f>G460*C460</f>
      </c>
      <c r="I460" s="11">
        <f>G460*B460</f>
      </c>
      <c r="J460" s="30">
        <f>PM_Angle!$J$7+PM_Angle!$K$7*$C460+PM_Angle!$L$7*$B460</f>
      </c>
      <c r="K460" s="12">
        <f>IF(J460&gt;0,IF(J460&lt;=eco,alpha*fck*(1-(1-J460/eco)^n),alpha*fck),0)</f>
      </c>
      <c r="L460" s="30">
        <f>PM_Angle!$J$8+PM_Angle!$K$8*$C460+PM_Angle!$L$8*$B460</f>
      </c>
      <c r="M460" s="12">
        <f>IF(L460&gt;0,IF(L460&lt;=eco,alpha*fck*(1-(1-L460/eco)^n),alpha*fck),0)</f>
      </c>
      <c r="N460" s="30">
        <f>PM_Angle!$J$9+PM_Angle!$K$9*$C460+PM_Angle!$L$9*$B460</f>
      </c>
      <c r="O460" s="12">
        <f>IF(N460&gt;0,IF(N460&lt;=eco,alpha*fck*(1-(1-N460/eco)^n),alpha*fck),0)</f>
      </c>
      <c r="P460" s="30">
        <f>PM_Angle!$J$10+PM_Angle!$K$10*$C460+PM_Angle!$L$10*$B460</f>
      </c>
      <c r="Q460" s="12">
        <f>IF(P460&gt;0,IF(P460&lt;=eco,alpha*fck*(1-(1-P460/eco)^n),alpha*fck),0)</f>
      </c>
      <c r="R460" s="30">
        <f>PM_Angle!$J$11+PM_Angle!$K$11*$C460+PM_Angle!$L$11*$B460</f>
      </c>
      <c r="S460" s="12">
        <f>IF(R460&gt;0,IF(R460&lt;=eco,alpha*fck*(1-(1-R460/eco)^n),alpha*fck),0)</f>
      </c>
      <c r="T460" s="30">
        <f>PM_Angle!$J$12+PM_Angle!$K$12*$C460+PM_Angle!$L$12*$B460</f>
      </c>
      <c r="U460" s="12">
        <f>IF(T460&gt;0,IF(T460&lt;=eco,alpha*fck*(1-(1-T460/eco)^n),alpha*fck),0)</f>
      </c>
      <c r="V460" s="30">
        <f>PM_Angle!$J$13+PM_Angle!$K$13*$C460+PM_Angle!$L$13*$B460</f>
      </c>
      <c r="W460" s="12">
        <f>IF(V460&gt;0,IF(V460&lt;=eco,alpha*fck*(1-(1-V460/eco)^n),alpha*fck),0)</f>
      </c>
      <c r="X460" s="30">
        <f>PM_Angle!$J$14+PM_Angle!$K$14*$C460+PM_Angle!$L$14*$B460</f>
      </c>
      <c r="Y460" s="12">
        <f>IF(X460&gt;0,IF(X460&lt;=eco,alpha*fck*(1-(1-X460/eco)^n),alpha*fck),0)</f>
      </c>
      <c r="Z460" s="30">
        <f>PM_Angle!$J$15+PM_Angle!$K$15*$C460+PM_Angle!$L$15*$B460</f>
      </c>
      <c r="AA460" s="12">
        <f>IF(Z460&gt;0,IF(Z460&lt;=eco,alpha*fck*(1-(1-Z460/eco)^n),alpha*fck),0)</f>
      </c>
      <c r="AB460" s="30">
        <f>PM_Angle!$J$16+PM_Angle!$K$16*$C460+PM_Angle!$L$16*$B460</f>
      </c>
      <c r="AC460" s="12">
        <f>IF(AB460&gt;0,IF(AB460&lt;=eco,alpha*fck*(1-(1-AB460/eco)^n),alpha*fck),0)</f>
      </c>
      <c r="AD460" s="30">
        <f>PM_Angle!$J$17+PM_Angle!$K$17*$C460+PM_Angle!$L$17*$B460</f>
      </c>
      <c r="AE460" s="12">
        <f>IF(AD460&gt;0,IF(AD460&lt;=eco,alpha*fck*(1-(1-AD460/eco)^n),alpha*fck),0)</f>
      </c>
      <c r="AF460" s="30">
        <f>PM_Angle!$J$18+PM_Angle!$K$18*$C460+PM_Angle!$L$18*$B460</f>
      </c>
      <c r="AG460" s="12">
        <f>IF(AF460&gt;0,IF(AF460&lt;=eco,alpha*fck*(1-(1-AF460/eco)^n),alpha*fck),0)</f>
      </c>
      <c r="AH460" s="30">
        <f>PM_Angle!$J$19+PM_Angle!$K$19*$C460+PM_Angle!$L$19*$B460</f>
      </c>
      <c r="AI460" s="12">
        <f>IF(AH460&gt;0,IF(AH460&lt;=eco,alpha*fck*(1-(1-AH460/eco)^n),alpha*fck),0)</f>
      </c>
      <c r="AJ460" s="30">
        <f>PM_Angle!$J$20+PM_Angle!$K$20*$C460+PM_Angle!$L$20*$B460</f>
      </c>
      <c r="AK460" s="12">
        <f>IF(AJ460&gt;0,IF(AJ460&lt;=eco,alpha*fck*(1-(1-AJ460/eco)^n),alpha*fck),0)</f>
      </c>
      <c r="AL460" s="30">
        <f>PM_Angle!$J$21+PM_Angle!$K$21*$C460+PM_Angle!$L$21*$B460</f>
      </c>
      <c r="AM460" s="12">
        <f>IF(AL460&gt;0,IF(AL460&lt;=eco,alpha*fck*(1-(1-AL460/eco)^n),alpha*fck),0)</f>
      </c>
      <c r="AN460" s="30">
        <f>PM_Angle!$J$22+PM_Angle!$K$22*$C460+PM_Angle!$L$22*$B460</f>
      </c>
      <c r="AO460" s="12">
        <f>IF(AN460&gt;0,IF(AN460&lt;=eco,alpha*fck*(1-(1-AN460/eco)^n),alpha*fck),0)</f>
      </c>
      <c r="AP460" s="30">
        <f>PM_Angle!$J$23+PM_Angle!$K$23*$C460+PM_Angle!$L$23*$B460</f>
      </c>
      <c r="AQ460" s="12">
        <f>IF(AP460&gt;0,IF(AP460&lt;=eco,alpha*fck*(1-(1-AP460/eco)^n),alpha*fck),0)</f>
      </c>
      <c r="AR460" s="30">
        <f>PM_Angle!$J$24+PM_Angle!$K$24*$C460+PM_Angle!$L$24*$B460</f>
      </c>
      <c r="AS460" s="12">
        <f>IF(AR460&gt;0,IF(AR460&lt;=eco,alpha*fck*(1-(1-AR460/eco)^n),alpha*fck),0)</f>
      </c>
      <c r="AT460" s="30">
        <f>PM_Angle!$J$25+PM_Angle!$K$25*$C460+PM_Angle!$L$25*$B460</f>
      </c>
      <c r="AU460" s="12">
        <f>IF(AT460&gt;0,IF(AT460&lt;=eco,alpha*fck*(1-(1-AT460/eco)^n),alpha*fck),0)</f>
      </c>
    </row>
    <row r="461" spans="1:47" x14ac:dyDescent="0.25">
      <c r="A461">
        <f>Mesh!A458</f>
      </c>
      <c r="B461" s="12">
        <f>Mesh!B458</f>
      </c>
      <c r="C461" s="12">
        <f>Mesh!C458</f>
      </c>
      <c r="D461" s="12">
        <f>Mesh!D458</f>
      </c>
      <c r="E461" s="30">
        <f>INDEX(St_e0,Det+1)+INDEX(St_kx,Det+1)*C461+INDEX(St_ky,Det+1)*B461</f>
      </c>
      <c r="F461" s="12">
        <f>IF(E461&gt;0,IF(E461&lt;=eco,alpha*fck*(1-(1-E461/eco)^n),alpha*fck),0)</f>
      </c>
      <c r="G461" s="11">
        <f>F461*D461</f>
      </c>
      <c r="H461" s="11">
        <f>G461*C461</f>
      </c>
      <c r="I461" s="11">
        <f>G461*B461</f>
      </c>
      <c r="J461" s="30">
        <f>PM_Angle!$J$7+PM_Angle!$K$7*$C461+PM_Angle!$L$7*$B461</f>
      </c>
      <c r="K461" s="12">
        <f>IF(J461&gt;0,IF(J461&lt;=eco,alpha*fck*(1-(1-J461/eco)^n),alpha*fck),0)</f>
      </c>
      <c r="L461" s="30">
        <f>PM_Angle!$J$8+PM_Angle!$K$8*$C461+PM_Angle!$L$8*$B461</f>
      </c>
      <c r="M461" s="12">
        <f>IF(L461&gt;0,IF(L461&lt;=eco,alpha*fck*(1-(1-L461/eco)^n),alpha*fck),0)</f>
      </c>
      <c r="N461" s="30">
        <f>PM_Angle!$J$9+PM_Angle!$K$9*$C461+PM_Angle!$L$9*$B461</f>
      </c>
      <c r="O461" s="12">
        <f>IF(N461&gt;0,IF(N461&lt;=eco,alpha*fck*(1-(1-N461/eco)^n),alpha*fck),0)</f>
      </c>
      <c r="P461" s="30">
        <f>PM_Angle!$J$10+PM_Angle!$K$10*$C461+PM_Angle!$L$10*$B461</f>
      </c>
      <c r="Q461" s="12">
        <f>IF(P461&gt;0,IF(P461&lt;=eco,alpha*fck*(1-(1-P461/eco)^n),alpha*fck),0)</f>
      </c>
      <c r="R461" s="30">
        <f>PM_Angle!$J$11+PM_Angle!$K$11*$C461+PM_Angle!$L$11*$B461</f>
      </c>
      <c r="S461" s="12">
        <f>IF(R461&gt;0,IF(R461&lt;=eco,alpha*fck*(1-(1-R461/eco)^n),alpha*fck),0)</f>
      </c>
      <c r="T461" s="30">
        <f>PM_Angle!$J$12+PM_Angle!$K$12*$C461+PM_Angle!$L$12*$B461</f>
      </c>
      <c r="U461" s="12">
        <f>IF(T461&gt;0,IF(T461&lt;=eco,alpha*fck*(1-(1-T461/eco)^n),alpha*fck),0)</f>
      </c>
      <c r="V461" s="30">
        <f>PM_Angle!$J$13+PM_Angle!$K$13*$C461+PM_Angle!$L$13*$B461</f>
      </c>
      <c r="W461" s="12">
        <f>IF(V461&gt;0,IF(V461&lt;=eco,alpha*fck*(1-(1-V461/eco)^n),alpha*fck),0)</f>
      </c>
      <c r="X461" s="30">
        <f>PM_Angle!$J$14+PM_Angle!$K$14*$C461+PM_Angle!$L$14*$B461</f>
      </c>
      <c r="Y461" s="12">
        <f>IF(X461&gt;0,IF(X461&lt;=eco,alpha*fck*(1-(1-X461/eco)^n),alpha*fck),0)</f>
      </c>
      <c r="Z461" s="30">
        <f>PM_Angle!$J$15+PM_Angle!$K$15*$C461+PM_Angle!$L$15*$B461</f>
      </c>
      <c r="AA461" s="12">
        <f>IF(Z461&gt;0,IF(Z461&lt;=eco,alpha*fck*(1-(1-Z461/eco)^n),alpha*fck),0)</f>
      </c>
      <c r="AB461" s="30">
        <f>PM_Angle!$J$16+PM_Angle!$K$16*$C461+PM_Angle!$L$16*$B461</f>
      </c>
      <c r="AC461" s="12">
        <f>IF(AB461&gt;0,IF(AB461&lt;=eco,alpha*fck*(1-(1-AB461/eco)^n),alpha*fck),0)</f>
      </c>
      <c r="AD461" s="30">
        <f>PM_Angle!$J$17+PM_Angle!$K$17*$C461+PM_Angle!$L$17*$B461</f>
      </c>
      <c r="AE461" s="12">
        <f>IF(AD461&gt;0,IF(AD461&lt;=eco,alpha*fck*(1-(1-AD461/eco)^n),alpha*fck),0)</f>
      </c>
      <c r="AF461" s="30">
        <f>PM_Angle!$J$18+PM_Angle!$K$18*$C461+PM_Angle!$L$18*$B461</f>
      </c>
      <c r="AG461" s="12">
        <f>IF(AF461&gt;0,IF(AF461&lt;=eco,alpha*fck*(1-(1-AF461/eco)^n),alpha*fck),0)</f>
      </c>
      <c r="AH461" s="30">
        <f>PM_Angle!$J$19+PM_Angle!$K$19*$C461+PM_Angle!$L$19*$B461</f>
      </c>
      <c r="AI461" s="12">
        <f>IF(AH461&gt;0,IF(AH461&lt;=eco,alpha*fck*(1-(1-AH461/eco)^n),alpha*fck),0)</f>
      </c>
      <c r="AJ461" s="30">
        <f>PM_Angle!$J$20+PM_Angle!$K$20*$C461+PM_Angle!$L$20*$B461</f>
      </c>
      <c r="AK461" s="12">
        <f>IF(AJ461&gt;0,IF(AJ461&lt;=eco,alpha*fck*(1-(1-AJ461/eco)^n),alpha*fck),0)</f>
      </c>
      <c r="AL461" s="30">
        <f>PM_Angle!$J$21+PM_Angle!$K$21*$C461+PM_Angle!$L$21*$B461</f>
      </c>
      <c r="AM461" s="12">
        <f>IF(AL461&gt;0,IF(AL461&lt;=eco,alpha*fck*(1-(1-AL461/eco)^n),alpha*fck),0)</f>
      </c>
      <c r="AN461" s="30">
        <f>PM_Angle!$J$22+PM_Angle!$K$22*$C461+PM_Angle!$L$22*$B461</f>
      </c>
      <c r="AO461" s="12">
        <f>IF(AN461&gt;0,IF(AN461&lt;=eco,alpha*fck*(1-(1-AN461/eco)^n),alpha*fck),0)</f>
      </c>
      <c r="AP461" s="30">
        <f>PM_Angle!$J$23+PM_Angle!$K$23*$C461+PM_Angle!$L$23*$B461</f>
      </c>
      <c r="AQ461" s="12">
        <f>IF(AP461&gt;0,IF(AP461&lt;=eco,alpha*fck*(1-(1-AP461/eco)^n),alpha*fck),0)</f>
      </c>
      <c r="AR461" s="30">
        <f>PM_Angle!$J$24+PM_Angle!$K$24*$C461+PM_Angle!$L$24*$B461</f>
      </c>
      <c r="AS461" s="12">
        <f>IF(AR461&gt;0,IF(AR461&lt;=eco,alpha*fck*(1-(1-AR461/eco)^n),alpha*fck),0)</f>
      </c>
      <c r="AT461" s="30">
        <f>PM_Angle!$J$25+PM_Angle!$K$25*$C461+PM_Angle!$L$25*$B461</f>
      </c>
      <c r="AU461" s="12">
        <f>IF(AT461&gt;0,IF(AT461&lt;=eco,alpha*fck*(1-(1-AT461/eco)^n),alpha*fck),0)</f>
      </c>
    </row>
    <row r="462" spans="1:47" x14ac:dyDescent="0.25">
      <c r="A462">
        <f>Mesh!A459</f>
      </c>
      <c r="B462" s="12">
        <f>Mesh!B459</f>
      </c>
      <c r="C462" s="12">
        <f>Mesh!C459</f>
      </c>
      <c r="D462" s="12">
        <f>Mesh!D459</f>
      </c>
      <c r="E462" s="30">
        <f>INDEX(St_e0,Det+1)+INDEX(St_kx,Det+1)*C462+INDEX(St_ky,Det+1)*B462</f>
      </c>
      <c r="F462" s="12">
        <f>IF(E462&gt;0,IF(E462&lt;=eco,alpha*fck*(1-(1-E462/eco)^n),alpha*fck),0)</f>
      </c>
      <c r="G462" s="11">
        <f>F462*D462</f>
      </c>
      <c r="H462" s="11">
        <f>G462*C462</f>
      </c>
      <c r="I462" s="11">
        <f>G462*B462</f>
      </c>
      <c r="J462" s="30">
        <f>PM_Angle!$J$7+PM_Angle!$K$7*$C462+PM_Angle!$L$7*$B462</f>
      </c>
      <c r="K462" s="12">
        <f>IF(J462&gt;0,IF(J462&lt;=eco,alpha*fck*(1-(1-J462/eco)^n),alpha*fck),0)</f>
      </c>
      <c r="L462" s="30">
        <f>PM_Angle!$J$8+PM_Angle!$K$8*$C462+PM_Angle!$L$8*$B462</f>
      </c>
      <c r="M462" s="12">
        <f>IF(L462&gt;0,IF(L462&lt;=eco,alpha*fck*(1-(1-L462/eco)^n),alpha*fck),0)</f>
      </c>
      <c r="N462" s="30">
        <f>PM_Angle!$J$9+PM_Angle!$K$9*$C462+PM_Angle!$L$9*$B462</f>
      </c>
      <c r="O462" s="12">
        <f>IF(N462&gt;0,IF(N462&lt;=eco,alpha*fck*(1-(1-N462/eco)^n),alpha*fck),0)</f>
      </c>
      <c r="P462" s="30">
        <f>PM_Angle!$J$10+PM_Angle!$K$10*$C462+PM_Angle!$L$10*$B462</f>
      </c>
      <c r="Q462" s="12">
        <f>IF(P462&gt;0,IF(P462&lt;=eco,alpha*fck*(1-(1-P462/eco)^n),alpha*fck),0)</f>
      </c>
      <c r="R462" s="30">
        <f>PM_Angle!$J$11+PM_Angle!$K$11*$C462+PM_Angle!$L$11*$B462</f>
      </c>
      <c r="S462" s="12">
        <f>IF(R462&gt;0,IF(R462&lt;=eco,alpha*fck*(1-(1-R462/eco)^n),alpha*fck),0)</f>
      </c>
      <c r="T462" s="30">
        <f>PM_Angle!$J$12+PM_Angle!$K$12*$C462+PM_Angle!$L$12*$B462</f>
      </c>
      <c r="U462" s="12">
        <f>IF(T462&gt;0,IF(T462&lt;=eco,alpha*fck*(1-(1-T462/eco)^n),alpha*fck),0)</f>
      </c>
      <c r="V462" s="30">
        <f>PM_Angle!$J$13+PM_Angle!$K$13*$C462+PM_Angle!$L$13*$B462</f>
      </c>
      <c r="W462" s="12">
        <f>IF(V462&gt;0,IF(V462&lt;=eco,alpha*fck*(1-(1-V462/eco)^n),alpha*fck),0)</f>
      </c>
      <c r="X462" s="30">
        <f>PM_Angle!$J$14+PM_Angle!$K$14*$C462+PM_Angle!$L$14*$B462</f>
      </c>
      <c r="Y462" s="12">
        <f>IF(X462&gt;0,IF(X462&lt;=eco,alpha*fck*(1-(1-X462/eco)^n),alpha*fck),0)</f>
      </c>
      <c r="Z462" s="30">
        <f>PM_Angle!$J$15+PM_Angle!$K$15*$C462+PM_Angle!$L$15*$B462</f>
      </c>
      <c r="AA462" s="12">
        <f>IF(Z462&gt;0,IF(Z462&lt;=eco,alpha*fck*(1-(1-Z462/eco)^n),alpha*fck),0)</f>
      </c>
      <c r="AB462" s="30">
        <f>PM_Angle!$J$16+PM_Angle!$K$16*$C462+PM_Angle!$L$16*$B462</f>
      </c>
      <c r="AC462" s="12">
        <f>IF(AB462&gt;0,IF(AB462&lt;=eco,alpha*fck*(1-(1-AB462/eco)^n),alpha*fck),0)</f>
      </c>
      <c r="AD462" s="30">
        <f>PM_Angle!$J$17+PM_Angle!$K$17*$C462+PM_Angle!$L$17*$B462</f>
      </c>
      <c r="AE462" s="12">
        <f>IF(AD462&gt;0,IF(AD462&lt;=eco,alpha*fck*(1-(1-AD462/eco)^n),alpha*fck),0)</f>
      </c>
      <c r="AF462" s="30">
        <f>PM_Angle!$J$18+PM_Angle!$K$18*$C462+PM_Angle!$L$18*$B462</f>
      </c>
      <c r="AG462" s="12">
        <f>IF(AF462&gt;0,IF(AF462&lt;=eco,alpha*fck*(1-(1-AF462/eco)^n),alpha*fck),0)</f>
      </c>
      <c r="AH462" s="30">
        <f>PM_Angle!$J$19+PM_Angle!$K$19*$C462+PM_Angle!$L$19*$B462</f>
      </c>
      <c r="AI462" s="12">
        <f>IF(AH462&gt;0,IF(AH462&lt;=eco,alpha*fck*(1-(1-AH462/eco)^n),alpha*fck),0)</f>
      </c>
      <c r="AJ462" s="30">
        <f>PM_Angle!$J$20+PM_Angle!$K$20*$C462+PM_Angle!$L$20*$B462</f>
      </c>
      <c r="AK462" s="12">
        <f>IF(AJ462&gt;0,IF(AJ462&lt;=eco,alpha*fck*(1-(1-AJ462/eco)^n),alpha*fck),0)</f>
      </c>
      <c r="AL462" s="30">
        <f>PM_Angle!$J$21+PM_Angle!$K$21*$C462+PM_Angle!$L$21*$B462</f>
      </c>
      <c r="AM462" s="12">
        <f>IF(AL462&gt;0,IF(AL462&lt;=eco,alpha*fck*(1-(1-AL462/eco)^n),alpha*fck),0)</f>
      </c>
      <c r="AN462" s="30">
        <f>PM_Angle!$J$22+PM_Angle!$K$22*$C462+PM_Angle!$L$22*$B462</f>
      </c>
      <c r="AO462" s="12">
        <f>IF(AN462&gt;0,IF(AN462&lt;=eco,alpha*fck*(1-(1-AN462/eco)^n),alpha*fck),0)</f>
      </c>
      <c r="AP462" s="30">
        <f>PM_Angle!$J$23+PM_Angle!$K$23*$C462+PM_Angle!$L$23*$B462</f>
      </c>
      <c r="AQ462" s="12">
        <f>IF(AP462&gt;0,IF(AP462&lt;=eco,alpha*fck*(1-(1-AP462/eco)^n),alpha*fck),0)</f>
      </c>
      <c r="AR462" s="30">
        <f>PM_Angle!$J$24+PM_Angle!$K$24*$C462+PM_Angle!$L$24*$B462</f>
      </c>
      <c r="AS462" s="12">
        <f>IF(AR462&gt;0,IF(AR462&lt;=eco,alpha*fck*(1-(1-AR462/eco)^n),alpha*fck),0)</f>
      </c>
      <c r="AT462" s="30">
        <f>PM_Angle!$J$25+PM_Angle!$K$25*$C462+PM_Angle!$L$25*$B462</f>
      </c>
      <c r="AU462" s="12">
        <f>IF(AT462&gt;0,IF(AT462&lt;=eco,alpha*fck*(1-(1-AT462/eco)^n),alpha*fck),0)</f>
      </c>
    </row>
    <row r="463" spans="1:47" x14ac:dyDescent="0.25">
      <c r="A463">
        <f>Mesh!A460</f>
      </c>
      <c r="B463" s="12">
        <f>Mesh!B460</f>
      </c>
      <c r="C463" s="12">
        <f>Mesh!C460</f>
      </c>
      <c r="D463" s="12">
        <f>Mesh!D460</f>
      </c>
      <c r="E463" s="30">
        <f>INDEX(St_e0,Det+1)+INDEX(St_kx,Det+1)*C463+INDEX(St_ky,Det+1)*B463</f>
      </c>
      <c r="F463" s="12">
        <f>IF(E463&gt;0,IF(E463&lt;=eco,alpha*fck*(1-(1-E463/eco)^n),alpha*fck),0)</f>
      </c>
      <c r="G463" s="11">
        <f>F463*D463</f>
      </c>
      <c r="H463" s="11">
        <f>G463*C463</f>
      </c>
      <c r="I463" s="11">
        <f>G463*B463</f>
      </c>
      <c r="J463" s="30">
        <f>PM_Angle!$J$7+PM_Angle!$K$7*$C463+PM_Angle!$L$7*$B463</f>
      </c>
      <c r="K463" s="12">
        <f>IF(J463&gt;0,IF(J463&lt;=eco,alpha*fck*(1-(1-J463/eco)^n),alpha*fck),0)</f>
      </c>
      <c r="L463" s="30">
        <f>PM_Angle!$J$8+PM_Angle!$K$8*$C463+PM_Angle!$L$8*$B463</f>
      </c>
      <c r="M463" s="12">
        <f>IF(L463&gt;0,IF(L463&lt;=eco,alpha*fck*(1-(1-L463/eco)^n),alpha*fck),0)</f>
      </c>
      <c r="N463" s="30">
        <f>PM_Angle!$J$9+PM_Angle!$K$9*$C463+PM_Angle!$L$9*$B463</f>
      </c>
      <c r="O463" s="12">
        <f>IF(N463&gt;0,IF(N463&lt;=eco,alpha*fck*(1-(1-N463/eco)^n),alpha*fck),0)</f>
      </c>
      <c r="P463" s="30">
        <f>PM_Angle!$J$10+PM_Angle!$K$10*$C463+PM_Angle!$L$10*$B463</f>
      </c>
      <c r="Q463" s="12">
        <f>IF(P463&gt;0,IF(P463&lt;=eco,alpha*fck*(1-(1-P463/eco)^n),alpha*fck),0)</f>
      </c>
      <c r="R463" s="30">
        <f>PM_Angle!$J$11+PM_Angle!$K$11*$C463+PM_Angle!$L$11*$B463</f>
      </c>
      <c r="S463" s="12">
        <f>IF(R463&gt;0,IF(R463&lt;=eco,alpha*fck*(1-(1-R463/eco)^n),alpha*fck),0)</f>
      </c>
      <c r="T463" s="30">
        <f>PM_Angle!$J$12+PM_Angle!$K$12*$C463+PM_Angle!$L$12*$B463</f>
      </c>
      <c r="U463" s="12">
        <f>IF(T463&gt;0,IF(T463&lt;=eco,alpha*fck*(1-(1-T463/eco)^n),alpha*fck),0)</f>
      </c>
      <c r="V463" s="30">
        <f>PM_Angle!$J$13+PM_Angle!$K$13*$C463+PM_Angle!$L$13*$B463</f>
      </c>
      <c r="W463" s="12">
        <f>IF(V463&gt;0,IF(V463&lt;=eco,alpha*fck*(1-(1-V463/eco)^n),alpha*fck),0)</f>
      </c>
      <c r="X463" s="30">
        <f>PM_Angle!$J$14+PM_Angle!$K$14*$C463+PM_Angle!$L$14*$B463</f>
      </c>
      <c r="Y463" s="12">
        <f>IF(X463&gt;0,IF(X463&lt;=eco,alpha*fck*(1-(1-X463/eco)^n),alpha*fck),0)</f>
      </c>
      <c r="Z463" s="30">
        <f>PM_Angle!$J$15+PM_Angle!$K$15*$C463+PM_Angle!$L$15*$B463</f>
      </c>
      <c r="AA463" s="12">
        <f>IF(Z463&gt;0,IF(Z463&lt;=eco,alpha*fck*(1-(1-Z463/eco)^n),alpha*fck),0)</f>
      </c>
      <c r="AB463" s="30">
        <f>PM_Angle!$J$16+PM_Angle!$K$16*$C463+PM_Angle!$L$16*$B463</f>
      </c>
      <c r="AC463" s="12">
        <f>IF(AB463&gt;0,IF(AB463&lt;=eco,alpha*fck*(1-(1-AB463/eco)^n),alpha*fck),0)</f>
      </c>
      <c r="AD463" s="30">
        <f>PM_Angle!$J$17+PM_Angle!$K$17*$C463+PM_Angle!$L$17*$B463</f>
      </c>
      <c r="AE463" s="12">
        <f>IF(AD463&gt;0,IF(AD463&lt;=eco,alpha*fck*(1-(1-AD463/eco)^n),alpha*fck),0)</f>
      </c>
      <c r="AF463" s="30">
        <f>PM_Angle!$J$18+PM_Angle!$K$18*$C463+PM_Angle!$L$18*$B463</f>
      </c>
      <c r="AG463" s="12">
        <f>IF(AF463&gt;0,IF(AF463&lt;=eco,alpha*fck*(1-(1-AF463/eco)^n),alpha*fck),0)</f>
      </c>
      <c r="AH463" s="30">
        <f>PM_Angle!$J$19+PM_Angle!$K$19*$C463+PM_Angle!$L$19*$B463</f>
      </c>
      <c r="AI463" s="12">
        <f>IF(AH463&gt;0,IF(AH463&lt;=eco,alpha*fck*(1-(1-AH463/eco)^n),alpha*fck),0)</f>
      </c>
      <c r="AJ463" s="30">
        <f>PM_Angle!$J$20+PM_Angle!$K$20*$C463+PM_Angle!$L$20*$B463</f>
      </c>
      <c r="AK463" s="12">
        <f>IF(AJ463&gt;0,IF(AJ463&lt;=eco,alpha*fck*(1-(1-AJ463/eco)^n),alpha*fck),0)</f>
      </c>
      <c r="AL463" s="30">
        <f>PM_Angle!$J$21+PM_Angle!$K$21*$C463+PM_Angle!$L$21*$B463</f>
      </c>
      <c r="AM463" s="12">
        <f>IF(AL463&gt;0,IF(AL463&lt;=eco,alpha*fck*(1-(1-AL463/eco)^n),alpha*fck),0)</f>
      </c>
      <c r="AN463" s="30">
        <f>PM_Angle!$J$22+PM_Angle!$K$22*$C463+PM_Angle!$L$22*$B463</f>
      </c>
      <c r="AO463" s="12">
        <f>IF(AN463&gt;0,IF(AN463&lt;=eco,alpha*fck*(1-(1-AN463/eco)^n),alpha*fck),0)</f>
      </c>
      <c r="AP463" s="30">
        <f>PM_Angle!$J$23+PM_Angle!$K$23*$C463+PM_Angle!$L$23*$B463</f>
      </c>
      <c r="AQ463" s="12">
        <f>IF(AP463&gt;0,IF(AP463&lt;=eco,alpha*fck*(1-(1-AP463/eco)^n),alpha*fck),0)</f>
      </c>
      <c r="AR463" s="30">
        <f>PM_Angle!$J$24+PM_Angle!$K$24*$C463+PM_Angle!$L$24*$B463</f>
      </c>
      <c r="AS463" s="12">
        <f>IF(AR463&gt;0,IF(AR463&lt;=eco,alpha*fck*(1-(1-AR463/eco)^n),alpha*fck),0)</f>
      </c>
      <c r="AT463" s="30">
        <f>PM_Angle!$J$25+PM_Angle!$K$25*$C463+PM_Angle!$L$25*$B463</f>
      </c>
      <c r="AU463" s="12">
        <f>IF(AT463&gt;0,IF(AT463&lt;=eco,alpha*fck*(1-(1-AT463/eco)^n),alpha*fck),0)</f>
      </c>
    </row>
    <row r="464" spans="1:47" x14ac:dyDescent="0.25">
      <c r="A464">
        <f>Mesh!A461</f>
      </c>
      <c r="B464" s="12">
        <f>Mesh!B461</f>
      </c>
      <c r="C464" s="12">
        <f>Mesh!C461</f>
      </c>
      <c r="D464" s="12">
        <f>Mesh!D461</f>
      </c>
      <c r="E464" s="30">
        <f>INDEX(St_e0,Det+1)+INDEX(St_kx,Det+1)*C464+INDEX(St_ky,Det+1)*B464</f>
      </c>
      <c r="F464" s="12">
        <f>IF(E464&gt;0,IF(E464&lt;=eco,alpha*fck*(1-(1-E464/eco)^n),alpha*fck),0)</f>
      </c>
      <c r="G464" s="11">
        <f>F464*D464</f>
      </c>
      <c r="H464" s="11">
        <f>G464*C464</f>
      </c>
      <c r="I464" s="11">
        <f>G464*B464</f>
      </c>
      <c r="J464" s="30">
        <f>PM_Angle!$J$7+PM_Angle!$K$7*$C464+PM_Angle!$L$7*$B464</f>
      </c>
      <c r="K464" s="12">
        <f>IF(J464&gt;0,IF(J464&lt;=eco,alpha*fck*(1-(1-J464/eco)^n),alpha*fck),0)</f>
      </c>
      <c r="L464" s="30">
        <f>PM_Angle!$J$8+PM_Angle!$K$8*$C464+PM_Angle!$L$8*$B464</f>
      </c>
      <c r="M464" s="12">
        <f>IF(L464&gt;0,IF(L464&lt;=eco,alpha*fck*(1-(1-L464/eco)^n),alpha*fck),0)</f>
      </c>
      <c r="N464" s="30">
        <f>PM_Angle!$J$9+PM_Angle!$K$9*$C464+PM_Angle!$L$9*$B464</f>
      </c>
      <c r="O464" s="12">
        <f>IF(N464&gt;0,IF(N464&lt;=eco,alpha*fck*(1-(1-N464/eco)^n),alpha*fck),0)</f>
      </c>
      <c r="P464" s="30">
        <f>PM_Angle!$J$10+PM_Angle!$K$10*$C464+PM_Angle!$L$10*$B464</f>
      </c>
      <c r="Q464" s="12">
        <f>IF(P464&gt;0,IF(P464&lt;=eco,alpha*fck*(1-(1-P464/eco)^n),alpha*fck),0)</f>
      </c>
      <c r="R464" s="30">
        <f>PM_Angle!$J$11+PM_Angle!$K$11*$C464+PM_Angle!$L$11*$B464</f>
      </c>
      <c r="S464" s="12">
        <f>IF(R464&gt;0,IF(R464&lt;=eco,alpha*fck*(1-(1-R464/eco)^n),alpha*fck),0)</f>
      </c>
      <c r="T464" s="30">
        <f>PM_Angle!$J$12+PM_Angle!$K$12*$C464+PM_Angle!$L$12*$B464</f>
      </c>
      <c r="U464" s="12">
        <f>IF(T464&gt;0,IF(T464&lt;=eco,alpha*fck*(1-(1-T464/eco)^n),alpha*fck),0)</f>
      </c>
      <c r="V464" s="30">
        <f>PM_Angle!$J$13+PM_Angle!$K$13*$C464+PM_Angle!$L$13*$B464</f>
      </c>
      <c r="W464" s="12">
        <f>IF(V464&gt;0,IF(V464&lt;=eco,alpha*fck*(1-(1-V464/eco)^n),alpha*fck),0)</f>
      </c>
      <c r="X464" s="30">
        <f>PM_Angle!$J$14+PM_Angle!$K$14*$C464+PM_Angle!$L$14*$B464</f>
      </c>
      <c r="Y464" s="12">
        <f>IF(X464&gt;0,IF(X464&lt;=eco,alpha*fck*(1-(1-X464/eco)^n),alpha*fck),0)</f>
      </c>
      <c r="Z464" s="30">
        <f>PM_Angle!$J$15+PM_Angle!$K$15*$C464+PM_Angle!$L$15*$B464</f>
      </c>
      <c r="AA464" s="12">
        <f>IF(Z464&gt;0,IF(Z464&lt;=eco,alpha*fck*(1-(1-Z464/eco)^n),alpha*fck),0)</f>
      </c>
      <c r="AB464" s="30">
        <f>PM_Angle!$J$16+PM_Angle!$K$16*$C464+PM_Angle!$L$16*$B464</f>
      </c>
      <c r="AC464" s="12">
        <f>IF(AB464&gt;0,IF(AB464&lt;=eco,alpha*fck*(1-(1-AB464/eco)^n),alpha*fck),0)</f>
      </c>
      <c r="AD464" s="30">
        <f>PM_Angle!$J$17+PM_Angle!$K$17*$C464+PM_Angle!$L$17*$B464</f>
      </c>
      <c r="AE464" s="12">
        <f>IF(AD464&gt;0,IF(AD464&lt;=eco,alpha*fck*(1-(1-AD464/eco)^n),alpha*fck),0)</f>
      </c>
      <c r="AF464" s="30">
        <f>PM_Angle!$J$18+PM_Angle!$K$18*$C464+PM_Angle!$L$18*$B464</f>
      </c>
      <c r="AG464" s="12">
        <f>IF(AF464&gt;0,IF(AF464&lt;=eco,alpha*fck*(1-(1-AF464/eco)^n),alpha*fck),0)</f>
      </c>
      <c r="AH464" s="30">
        <f>PM_Angle!$J$19+PM_Angle!$K$19*$C464+PM_Angle!$L$19*$B464</f>
      </c>
      <c r="AI464" s="12">
        <f>IF(AH464&gt;0,IF(AH464&lt;=eco,alpha*fck*(1-(1-AH464/eco)^n),alpha*fck),0)</f>
      </c>
      <c r="AJ464" s="30">
        <f>PM_Angle!$J$20+PM_Angle!$K$20*$C464+PM_Angle!$L$20*$B464</f>
      </c>
      <c r="AK464" s="12">
        <f>IF(AJ464&gt;0,IF(AJ464&lt;=eco,alpha*fck*(1-(1-AJ464/eco)^n),alpha*fck),0)</f>
      </c>
      <c r="AL464" s="30">
        <f>PM_Angle!$J$21+PM_Angle!$K$21*$C464+PM_Angle!$L$21*$B464</f>
      </c>
      <c r="AM464" s="12">
        <f>IF(AL464&gt;0,IF(AL464&lt;=eco,alpha*fck*(1-(1-AL464/eco)^n),alpha*fck),0)</f>
      </c>
      <c r="AN464" s="30">
        <f>PM_Angle!$J$22+PM_Angle!$K$22*$C464+PM_Angle!$L$22*$B464</f>
      </c>
      <c r="AO464" s="12">
        <f>IF(AN464&gt;0,IF(AN464&lt;=eco,alpha*fck*(1-(1-AN464/eco)^n),alpha*fck),0)</f>
      </c>
      <c r="AP464" s="30">
        <f>PM_Angle!$J$23+PM_Angle!$K$23*$C464+PM_Angle!$L$23*$B464</f>
      </c>
      <c r="AQ464" s="12">
        <f>IF(AP464&gt;0,IF(AP464&lt;=eco,alpha*fck*(1-(1-AP464/eco)^n),alpha*fck),0)</f>
      </c>
      <c r="AR464" s="30">
        <f>PM_Angle!$J$24+PM_Angle!$K$24*$C464+PM_Angle!$L$24*$B464</f>
      </c>
      <c r="AS464" s="12">
        <f>IF(AR464&gt;0,IF(AR464&lt;=eco,alpha*fck*(1-(1-AR464/eco)^n),alpha*fck),0)</f>
      </c>
      <c r="AT464" s="30">
        <f>PM_Angle!$J$25+PM_Angle!$K$25*$C464+PM_Angle!$L$25*$B464</f>
      </c>
      <c r="AU464" s="12">
        <f>IF(AT464&gt;0,IF(AT464&lt;=eco,alpha*fck*(1-(1-AT464/eco)^n),alpha*fck),0)</f>
      </c>
    </row>
    <row r="465" spans="1:47" x14ac:dyDescent="0.25">
      <c r="A465">
        <f>Mesh!A462</f>
      </c>
      <c r="B465" s="12">
        <f>Mesh!B462</f>
      </c>
      <c r="C465" s="12">
        <f>Mesh!C462</f>
      </c>
      <c r="D465" s="12">
        <f>Mesh!D462</f>
      </c>
      <c r="E465" s="30">
        <f>INDEX(St_e0,Det+1)+INDEX(St_kx,Det+1)*C465+INDEX(St_ky,Det+1)*B465</f>
      </c>
      <c r="F465" s="12">
        <f>IF(E465&gt;0,IF(E465&lt;=eco,alpha*fck*(1-(1-E465/eco)^n),alpha*fck),0)</f>
      </c>
      <c r="G465" s="11">
        <f>F465*D465</f>
      </c>
      <c r="H465" s="11">
        <f>G465*C465</f>
      </c>
      <c r="I465" s="11">
        <f>G465*B465</f>
      </c>
      <c r="J465" s="30">
        <f>PM_Angle!$J$7+PM_Angle!$K$7*$C465+PM_Angle!$L$7*$B465</f>
      </c>
      <c r="K465" s="12">
        <f>IF(J465&gt;0,IF(J465&lt;=eco,alpha*fck*(1-(1-J465/eco)^n),alpha*fck),0)</f>
      </c>
      <c r="L465" s="30">
        <f>PM_Angle!$J$8+PM_Angle!$K$8*$C465+PM_Angle!$L$8*$B465</f>
      </c>
      <c r="M465" s="12">
        <f>IF(L465&gt;0,IF(L465&lt;=eco,alpha*fck*(1-(1-L465/eco)^n),alpha*fck),0)</f>
      </c>
      <c r="N465" s="30">
        <f>PM_Angle!$J$9+PM_Angle!$K$9*$C465+PM_Angle!$L$9*$B465</f>
      </c>
      <c r="O465" s="12">
        <f>IF(N465&gt;0,IF(N465&lt;=eco,alpha*fck*(1-(1-N465/eco)^n),alpha*fck),0)</f>
      </c>
      <c r="P465" s="30">
        <f>PM_Angle!$J$10+PM_Angle!$K$10*$C465+PM_Angle!$L$10*$B465</f>
      </c>
      <c r="Q465" s="12">
        <f>IF(P465&gt;0,IF(P465&lt;=eco,alpha*fck*(1-(1-P465/eco)^n),alpha*fck),0)</f>
      </c>
      <c r="R465" s="30">
        <f>PM_Angle!$J$11+PM_Angle!$K$11*$C465+PM_Angle!$L$11*$B465</f>
      </c>
      <c r="S465" s="12">
        <f>IF(R465&gt;0,IF(R465&lt;=eco,alpha*fck*(1-(1-R465/eco)^n),alpha*fck),0)</f>
      </c>
      <c r="T465" s="30">
        <f>PM_Angle!$J$12+PM_Angle!$K$12*$C465+PM_Angle!$L$12*$B465</f>
      </c>
      <c r="U465" s="12">
        <f>IF(T465&gt;0,IF(T465&lt;=eco,alpha*fck*(1-(1-T465/eco)^n),alpha*fck),0)</f>
      </c>
      <c r="V465" s="30">
        <f>PM_Angle!$J$13+PM_Angle!$K$13*$C465+PM_Angle!$L$13*$B465</f>
      </c>
      <c r="W465" s="12">
        <f>IF(V465&gt;0,IF(V465&lt;=eco,alpha*fck*(1-(1-V465/eco)^n),alpha*fck),0)</f>
      </c>
      <c r="X465" s="30">
        <f>PM_Angle!$J$14+PM_Angle!$K$14*$C465+PM_Angle!$L$14*$B465</f>
      </c>
      <c r="Y465" s="12">
        <f>IF(X465&gt;0,IF(X465&lt;=eco,alpha*fck*(1-(1-X465/eco)^n),alpha*fck),0)</f>
      </c>
      <c r="Z465" s="30">
        <f>PM_Angle!$J$15+PM_Angle!$K$15*$C465+PM_Angle!$L$15*$B465</f>
      </c>
      <c r="AA465" s="12">
        <f>IF(Z465&gt;0,IF(Z465&lt;=eco,alpha*fck*(1-(1-Z465/eco)^n),alpha*fck),0)</f>
      </c>
      <c r="AB465" s="30">
        <f>PM_Angle!$J$16+PM_Angle!$K$16*$C465+PM_Angle!$L$16*$B465</f>
      </c>
      <c r="AC465" s="12">
        <f>IF(AB465&gt;0,IF(AB465&lt;=eco,alpha*fck*(1-(1-AB465/eco)^n),alpha*fck),0)</f>
      </c>
      <c r="AD465" s="30">
        <f>PM_Angle!$J$17+PM_Angle!$K$17*$C465+PM_Angle!$L$17*$B465</f>
      </c>
      <c r="AE465" s="12">
        <f>IF(AD465&gt;0,IF(AD465&lt;=eco,alpha*fck*(1-(1-AD465/eco)^n),alpha*fck),0)</f>
      </c>
      <c r="AF465" s="30">
        <f>PM_Angle!$J$18+PM_Angle!$K$18*$C465+PM_Angle!$L$18*$B465</f>
      </c>
      <c r="AG465" s="12">
        <f>IF(AF465&gt;0,IF(AF465&lt;=eco,alpha*fck*(1-(1-AF465/eco)^n),alpha*fck),0)</f>
      </c>
      <c r="AH465" s="30">
        <f>PM_Angle!$J$19+PM_Angle!$K$19*$C465+PM_Angle!$L$19*$B465</f>
      </c>
      <c r="AI465" s="12">
        <f>IF(AH465&gt;0,IF(AH465&lt;=eco,alpha*fck*(1-(1-AH465/eco)^n),alpha*fck),0)</f>
      </c>
      <c r="AJ465" s="30">
        <f>PM_Angle!$J$20+PM_Angle!$K$20*$C465+PM_Angle!$L$20*$B465</f>
      </c>
      <c r="AK465" s="12">
        <f>IF(AJ465&gt;0,IF(AJ465&lt;=eco,alpha*fck*(1-(1-AJ465/eco)^n),alpha*fck),0)</f>
      </c>
      <c r="AL465" s="30">
        <f>PM_Angle!$J$21+PM_Angle!$K$21*$C465+PM_Angle!$L$21*$B465</f>
      </c>
      <c r="AM465" s="12">
        <f>IF(AL465&gt;0,IF(AL465&lt;=eco,alpha*fck*(1-(1-AL465/eco)^n),alpha*fck),0)</f>
      </c>
      <c r="AN465" s="30">
        <f>PM_Angle!$J$22+PM_Angle!$K$22*$C465+PM_Angle!$L$22*$B465</f>
      </c>
      <c r="AO465" s="12">
        <f>IF(AN465&gt;0,IF(AN465&lt;=eco,alpha*fck*(1-(1-AN465/eco)^n),alpha*fck),0)</f>
      </c>
      <c r="AP465" s="30">
        <f>PM_Angle!$J$23+PM_Angle!$K$23*$C465+PM_Angle!$L$23*$B465</f>
      </c>
      <c r="AQ465" s="12">
        <f>IF(AP465&gt;0,IF(AP465&lt;=eco,alpha*fck*(1-(1-AP465/eco)^n),alpha*fck),0)</f>
      </c>
      <c r="AR465" s="30">
        <f>PM_Angle!$J$24+PM_Angle!$K$24*$C465+PM_Angle!$L$24*$B465</f>
      </c>
      <c r="AS465" s="12">
        <f>IF(AR465&gt;0,IF(AR465&lt;=eco,alpha*fck*(1-(1-AR465/eco)^n),alpha*fck),0)</f>
      </c>
      <c r="AT465" s="30">
        <f>PM_Angle!$J$25+PM_Angle!$K$25*$C465+PM_Angle!$L$25*$B465</f>
      </c>
      <c r="AU465" s="12">
        <f>IF(AT465&gt;0,IF(AT465&lt;=eco,alpha*fck*(1-(1-AT465/eco)^n),alpha*fck),0)</f>
      </c>
    </row>
    <row r="466" spans="1:47" x14ac:dyDescent="0.25">
      <c r="A466">
        <f>Mesh!A463</f>
      </c>
      <c r="B466" s="12">
        <f>Mesh!B463</f>
      </c>
      <c r="C466" s="12">
        <f>Mesh!C463</f>
      </c>
      <c r="D466" s="12">
        <f>Mesh!D463</f>
      </c>
      <c r="E466" s="30">
        <f>INDEX(St_e0,Det+1)+INDEX(St_kx,Det+1)*C466+INDEX(St_ky,Det+1)*B466</f>
      </c>
      <c r="F466" s="12">
        <f>IF(E466&gt;0,IF(E466&lt;=eco,alpha*fck*(1-(1-E466/eco)^n),alpha*fck),0)</f>
      </c>
      <c r="G466" s="11">
        <f>F466*D466</f>
      </c>
      <c r="H466" s="11">
        <f>G466*C466</f>
      </c>
      <c r="I466" s="11">
        <f>G466*B466</f>
      </c>
      <c r="J466" s="30">
        <f>PM_Angle!$J$7+PM_Angle!$K$7*$C466+PM_Angle!$L$7*$B466</f>
      </c>
      <c r="K466" s="12">
        <f>IF(J466&gt;0,IF(J466&lt;=eco,alpha*fck*(1-(1-J466/eco)^n),alpha*fck),0)</f>
      </c>
      <c r="L466" s="30">
        <f>PM_Angle!$J$8+PM_Angle!$K$8*$C466+PM_Angle!$L$8*$B466</f>
      </c>
      <c r="M466" s="12">
        <f>IF(L466&gt;0,IF(L466&lt;=eco,alpha*fck*(1-(1-L466/eco)^n),alpha*fck),0)</f>
      </c>
      <c r="N466" s="30">
        <f>PM_Angle!$J$9+PM_Angle!$K$9*$C466+PM_Angle!$L$9*$B466</f>
      </c>
      <c r="O466" s="12">
        <f>IF(N466&gt;0,IF(N466&lt;=eco,alpha*fck*(1-(1-N466/eco)^n),alpha*fck),0)</f>
      </c>
      <c r="P466" s="30">
        <f>PM_Angle!$J$10+PM_Angle!$K$10*$C466+PM_Angle!$L$10*$B466</f>
      </c>
      <c r="Q466" s="12">
        <f>IF(P466&gt;0,IF(P466&lt;=eco,alpha*fck*(1-(1-P466/eco)^n),alpha*fck),0)</f>
      </c>
      <c r="R466" s="30">
        <f>PM_Angle!$J$11+PM_Angle!$K$11*$C466+PM_Angle!$L$11*$B466</f>
      </c>
      <c r="S466" s="12">
        <f>IF(R466&gt;0,IF(R466&lt;=eco,alpha*fck*(1-(1-R466/eco)^n),alpha*fck),0)</f>
      </c>
      <c r="T466" s="30">
        <f>PM_Angle!$J$12+PM_Angle!$K$12*$C466+PM_Angle!$L$12*$B466</f>
      </c>
      <c r="U466" s="12">
        <f>IF(T466&gt;0,IF(T466&lt;=eco,alpha*fck*(1-(1-T466/eco)^n),alpha*fck),0)</f>
      </c>
      <c r="V466" s="30">
        <f>PM_Angle!$J$13+PM_Angle!$K$13*$C466+PM_Angle!$L$13*$B466</f>
      </c>
      <c r="W466" s="12">
        <f>IF(V466&gt;0,IF(V466&lt;=eco,alpha*fck*(1-(1-V466/eco)^n),alpha*fck),0)</f>
      </c>
      <c r="X466" s="30">
        <f>PM_Angle!$J$14+PM_Angle!$K$14*$C466+PM_Angle!$L$14*$B466</f>
      </c>
      <c r="Y466" s="12">
        <f>IF(X466&gt;0,IF(X466&lt;=eco,alpha*fck*(1-(1-X466/eco)^n),alpha*fck),0)</f>
      </c>
      <c r="Z466" s="30">
        <f>PM_Angle!$J$15+PM_Angle!$K$15*$C466+PM_Angle!$L$15*$B466</f>
      </c>
      <c r="AA466" s="12">
        <f>IF(Z466&gt;0,IF(Z466&lt;=eco,alpha*fck*(1-(1-Z466/eco)^n),alpha*fck),0)</f>
      </c>
      <c r="AB466" s="30">
        <f>PM_Angle!$J$16+PM_Angle!$K$16*$C466+PM_Angle!$L$16*$B466</f>
      </c>
      <c r="AC466" s="12">
        <f>IF(AB466&gt;0,IF(AB466&lt;=eco,alpha*fck*(1-(1-AB466/eco)^n),alpha*fck),0)</f>
      </c>
      <c r="AD466" s="30">
        <f>PM_Angle!$J$17+PM_Angle!$K$17*$C466+PM_Angle!$L$17*$B466</f>
      </c>
      <c r="AE466" s="12">
        <f>IF(AD466&gt;0,IF(AD466&lt;=eco,alpha*fck*(1-(1-AD466/eco)^n),alpha*fck),0)</f>
      </c>
      <c r="AF466" s="30">
        <f>PM_Angle!$J$18+PM_Angle!$K$18*$C466+PM_Angle!$L$18*$B466</f>
      </c>
      <c r="AG466" s="12">
        <f>IF(AF466&gt;0,IF(AF466&lt;=eco,alpha*fck*(1-(1-AF466/eco)^n),alpha*fck),0)</f>
      </c>
      <c r="AH466" s="30">
        <f>PM_Angle!$J$19+PM_Angle!$K$19*$C466+PM_Angle!$L$19*$B466</f>
      </c>
      <c r="AI466" s="12">
        <f>IF(AH466&gt;0,IF(AH466&lt;=eco,alpha*fck*(1-(1-AH466/eco)^n),alpha*fck),0)</f>
      </c>
      <c r="AJ466" s="30">
        <f>PM_Angle!$J$20+PM_Angle!$K$20*$C466+PM_Angle!$L$20*$B466</f>
      </c>
      <c r="AK466" s="12">
        <f>IF(AJ466&gt;0,IF(AJ466&lt;=eco,alpha*fck*(1-(1-AJ466/eco)^n),alpha*fck),0)</f>
      </c>
      <c r="AL466" s="30">
        <f>PM_Angle!$J$21+PM_Angle!$K$21*$C466+PM_Angle!$L$21*$B466</f>
      </c>
      <c r="AM466" s="12">
        <f>IF(AL466&gt;0,IF(AL466&lt;=eco,alpha*fck*(1-(1-AL466/eco)^n),alpha*fck),0)</f>
      </c>
      <c r="AN466" s="30">
        <f>PM_Angle!$J$22+PM_Angle!$K$22*$C466+PM_Angle!$L$22*$B466</f>
      </c>
      <c r="AO466" s="12">
        <f>IF(AN466&gt;0,IF(AN466&lt;=eco,alpha*fck*(1-(1-AN466/eco)^n),alpha*fck),0)</f>
      </c>
      <c r="AP466" s="30">
        <f>PM_Angle!$J$23+PM_Angle!$K$23*$C466+PM_Angle!$L$23*$B466</f>
      </c>
      <c r="AQ466" s="12">
        <f>IF(AP466&gt;0,IF(AP466&lt;=eco,alpha*fck*(1-(1-AP466/eco)^n),alpha*fck),0)</f>
      </c>
      <c r="AR466" s="30">
        <f>PM_Angle!$J$24+PM_Angle!$K$24*$C466+PM_Angle!$L$24*$B466</f>
      </c>
      <c r="AS466" s="12">
        <f>IF(AR466&gt;0,IF(AR466&lt;=eco,alpha*fck*(1-(1-AR466/eco)^n),alpha*fck),0)</f>
      </c>
      <c r="AT466" s="30">
        <f>PM_Angle!$J$25+PM_Angle!$K$25*$C466+PM_Angle!$L$25*$B466</f>
      </c>
      <c r="AU466" s="12">
        <f>IF(AT466&gt;0,IF(AT466&lt;=eco,alpha*fck*(1-(1-AT466/eco)^n),alpha*fck),0)</f>
      </c>
    </row>
    <row r="467" spans="1:47" x14ac:dyDescent="0.25">
      <c r="A467">
        <f>Mesh!A464</f>
      </c>
      <c r="B467" s="12">
        <f>Mesh!B464</f>
      </c>
      <c r="C467" s="12">
        <f>Mesh!C464</f>
      </c>
      <c r="D467" s="12">
        <f>Mesh!D464</f>
      </c>
      <c r="E467" s="30">
        <f>INDEX(St_e0,Det+1)+INDEX(St_kx,Det+1)*C467+INDEX(St_ky,Det+1)*B467</f>
      </c>
      <c r="F467" s="12">
        <f>IF(E467&gt;0,IF(E467&lt;=eco,alpha*fck*(1-(1-E467/eco)^n),alpha*fck),0)</f>
      </c>
      <c r="G467" s="11">
        <f>F467*D467</f>
      </c>
      <c r="H467" s="11">
        <f>G467*C467</f>
      </c>
      <c r="I467" s="11">
        <f>G467*B467</f>
      </c>
      <c r="J467" s="30">
        <f>PM_Angle!$J$7+PM_Angle!$K$7*$C467+PM_Angle!$L$7*$B467</f>
      </c>
      <c r="K467" s="12">
        <f>IF(J467&gt;0,IF(J467&lt;=eco,alpha*fck*(1-(1-J467/eco)^n),alpha*fck),0)</f>
      </c>
      <c r="L467" s="30">
        <f>PM_Angle!$J$8+PM_Angle!$K$8*$C467+PM_Angle!$L$8*$B467</f>
      </c>
      <c r="M467" s="12">
        <f>IF(L467&gt;0,IF(L467&lt;=eco,alpha*fck*(1-(1-L467/eco)^n),alpha*fck),0)</f>
      </c>
      <c r="N467" s="30">
        <f>PM_Angle!$J$9+PM_Angle!$K$9*$C467+PM_Angle!$L$9*$B467</f>
      </c>
      <c r="O467" s="12">
        <f>IF(N467&gt;0,IF(N467&lt;=eco,alpha*fck*(1-(1-N467/eco)^n),alpha*fck),0)</f>
      </c>
      <c r="P467" s="30">
        <f>PM_Angle!$J$10+PM_Angle!$K$10*$C467+PM_Angle!$L$10*$B467</f>
      </c>
      <c r="Q467" s="12">
        <f>IF(P467&gt;0,IF(P467&lt;=eco,alpha*fck*(1-(1-P467/eco)^n),alpha*fck),0)</f>
      </c>
      <c r="R467" s="30">
        <f>PM_Angle!$J$11+PM_Angle!$K$11*$C467+PM_Angle!$L$11*$B467</f>
      </c>
      <c r="S467" s="12">
        <f>IF(R467&gt;0,IF(R467&lt;=eco,alpha*fck*(1-(1-R467/eco)^n),alpha*fck),0)</f>
      </c>
      <c r="T467" s="30">
        <f>PM_Angle!$J$12+PM_Angle!$K$12*$C467+PM_Angle!$L$12*$B467</f>
      </c>
      <c r="U467" s="12">
        <f>IF(T467&gt;0,IF(T467&lt;=eco,alpha*fck*(1-(1-T467/eco)^n),alpha*fck),0)</f>
      </c>
      <c r="V467" s="30">
        <f>PM_Angle!$J$13+PM_Angle!$K$13*$C467+PM_Angle!$L$13*$B467</f>
      </c>
      <c r="W467" s="12">
        <f>IF(V467&gt;0,IF(V467&lt;=eco,alpha*fck*(1-(1-V467/eco)^n),alpha*fck),0)</f>
      </c>
      <c r="X467" s="30">
        <f>PM_Angle!$J$14+PM_Angle!$K$14*$C467+PM_Angle!$L$14*$B467</f>
      </c>
      <c r="Y467" s="12">
        <f>IF(X467&gt;0,IF(X467&lt;=eco,alpha*fck*(1-(1-X467/eco)^n),alpha*fck),0)</f>
      </c>
      <c r="Z467" s="30">
        <f>PM_Angle!$J$15+PM_Angle!$K$15*$C467+PM_Angle!$L$15*$B467</f>
      </c>
      <c r="AA467" s="12">
        <f>IF(Z467&gt;0,IF(Z467&lt;=eco,alpha*fck*(1-(1-Z467/eco)^n),alpha*fck),0)</f>
      </c>
      <c r="AB467" s="30">
        <f>PM_Angle!$J$16+PM_Angle!$K$16*$C467+PM_Angle!$L$16*$B467</f>
      </c>
      <c r="AC467" s="12">
        <f>IF(AB467&gt;0,IF(AB467&lt;=eco,alpha*fck*(1-(1-AB467/eco)^n),alpha*fck),0)</f>
      </c>
      <c r="AD467" s="30">
        <f>PM_Angle!$J$17+PM_Angle!$K$17*$C467+PM_Angle!$L$17*$B467</f>
      </c>
      <c r="AE467" s="12">
        <f>IF(AD467&gt;0,IF(AD467&lt;=eco,alpha*fck*(1-(1-AD467/eco)^n),alpha*fck),0)</f>
      </c>
      <c r="AF467" s="30">
        <f>PM_Angle!$J$18+PM_Angle!$K$18*$C467+PM_Angle!$L$18*$B467</f>
      </c>
      <c r="AG467" s="12">
        <f>IF(AF467&gt;0,IF(AF467&lt;=eco,alpha*fck*(1-(1-AF467/eco)^n),alpha*fck),0)</f>
      </c>
      <c r="AH467" s="30">
        <f>PM_Angle!$J$19+PM_Angle!$K$19*$C467+PM_Angle!$L$19*$B467</f>
      </c>
      <c r="AI467" s="12">
        <f>IF(AH467&gt;0,IF(AH467&lt;=eco,alpha*fck*(1-(1-AH467/eco)^n),alpha*fck),0)</f>
      </c>
      <c r="AJ467" s="30">
        <f>PM_Angle!$J$20+PM_Angle!$K$20*$C467+PM_Angle!$L$20*$B467</f>
      </c>
      <c r="AK467" s="12">
        <f>IF(AJ467&gt;0,IF(AJ467&lt;=eco,alpha*fck*(1-(1-AJ467/eco)^n),alpha*fck),0)</f>
      </c>
      <c r="AL467" s="30">
        <f>PM_Angle!$J$21+PM_Angle!$K$21*$C467+PM_Angle!$L$21*$B467</f>
      </c>
      <c r="AM467" s="12">
        <f>IF(AL467&gt;0,IF(AL467&lt;=eco,alpha*fck*(1-(1-AL467/eco)^n),alpha*fck),0)</f>
      </c>
      <c r="AN467" s="30">
        <f>PM_Angle!$J$22+PM_Angle!$K$22*$C467+PM_Angle!$L$22*$B467</f>
      </c>
      <c r="AO467" s="12">
        <f>IF(AN467&gt;0,IF(AN467&lt;=eco,alpha*fck*(1-(1-AN467/eco)^n),alpha*fck),0)</f>
      </c>
      <c r="AP467" s="30">
        <f>PM_Angle!$J$23+PM_Angle!$K$23*$C467+PM_Angle!$L$23*$B467</f>
      </c>
      <c r="AQ467" s="12">
        <f>IF(AP467&gt;0,IF(AP467&lt;=eco,alpha*fck*(1-(1-AP467/eco)^n),alpha*fck),0)</f>
      </c>
      <c r="AR467" s="30">
        <f>PM_Angle!$J$24+PM_Angle!$K$24*$C467+PM_Angle!$L$24*$B467</f>
      </c>
      <c r="AS467" s="12">
        <f>IF(AR467&gt;0,IF(AR467&lt;=eco,alpha*fck*(1-(1-AR467/eco)^n),alpha*fck),0)</f>
      </c>
      <c r="AT467" s="30">
        <f>PM_Angle!$J$25+PM_Angle!$K$25*$C467+PM_Angle!$L$25*$B467</f>
      </c>
      <c r="AU467" s="12">
        <f>IF(AT467&gt;0,IF(AT467&lt;=eco,alpha*fck*(1-(1-AT467/eco)^n),alpha*fck),0)</f>
      </c>
    </row>
    <row r="468" spans="1:47" x14ac:dyDescent="0.25">
      <c r="A468">
        <f>Mesh!A465</f>
      </c>
      <c r="B468" s="12">
        <f>Mesh!B465</f>
      </c>
      <c r="C468" s="12">
        <f>Mesh!C465</f>
      </c>
      <c r="D468" s="12">
        <f>Mesh!D465</f>
      </c>
      <c r="E468" s="30">
        <f>INDEX(St_e0,Det+1)+INDEX(St_kx,Det+1)*C468+INDEX(St_ky,Det+1)*B468</f>
      </c>
      <c r="F468" s="12">
        <f>IF(E468&gt;0,IF(E468&lt;=eco,alpha*fck*(1-(1-E468/eco)^n),alpha*fck),0)</f>
      </c>
      <c r="G468" s="11">
        <f>F468*D468</f>
      </c>
      <c r="H468" s="11">
        <f>G468*C468</f>
      </c>
      <c r="I468" s="11">
        <f>G468*B468</f>
      </c>
      <c r="J468" s="30">
        <f>PM_Angle!$J$7+PM_Angle!$K$7*$C468+PM_Angle!$L$7*$B468</f>
      </c>
      <c r="K468" s="12">
        <f>IF(J468&gt;0,IF(J468&lt;=eco,alpha*fck*(1-(1-J468/eco)^n),alpha*fck),0)</f>
      </c>
      <c r="L468" s="30">
        <f>PM_Angle!$J$8+PM_Angle!$K$8*$C468+PM_Angle!$L$8*$B468</f>
      </c>
      <c r="M468" s="12">
        <f>IF(L468&gt;0,IF(L468&lt;=eco,alpha*fck*(1-(1-L468/eco)^n),alpha*fck),0)</f>
      </c>
      <c r="N468" s="30">
        <f>PM_Angle!$J$9+PM_Angle!$K$9*$C468+PM_Angle!$L$9*$B468</f>
      </c>
      <c r="O468" s="12">
        <f>IF(N468&gt;0,IF(N468&lt;=eco,alpha*fck*(1-(1-N468/eco)^n),alpha*fck),0)</f>
      </c>
      <c r="P468" s="30">
        <f>PM_Angle!$J$10+PM_Angle!$K$10*$C468+PM_Angle!$L$10*$B468</f>
      </c>
      <c r="Q468" s="12">
        <f>IF(P468&gt;0,IF(P468&lt;=eco,alpha*fck*(1-(1-P468/eco)^n),alpha*fck),0)</f>
      </c>
      <c r="R468" s="30">
        <f>PM_Angle!$J$11+PM_Angle!$K$11*$C468+PM_Angle!$L$11*$B468</f>
      </c>
      <c r="S468" s="12">
        <f>IF(R468&gt;0,IF(R468&lt;=eco,alpha*fck*(1-(1-R468/eco)^n),alpha*fck),0)</f>
      </c>
      <c r="T468" s="30">
        <f>PM_Angle!$J$12+PM_Angle!$K$12*$C468+PM_Angle!$L$12*$B468</f>
      </c>
      <c r="U468" s="12">
        <f>IF(T468&gt;0,IF(T468&lt;=eco,alpha*fck*(1-(1-T468/eco)^n),alpha*fck),0)</f>
      </c>
      <c r="V468" s="30">
        <f>PM_Angle!$J$13+PM_Angle!$K$13*$C468+PM_Angle!$L$13*$B468</f>
      </c>
      <c r="W468" s="12">
        <f>IF(V468&gt;0,IF(V468&lt;=eco,alpha*fck*(1-(1-V468/eco)^n),alpha*fck),0)</f>
      </c>
      <c r="X468" s="30">
        <f>PM_Angle!$J$14+PM_Angle!$K$14*$C468+PM_Angle!$L$14*$B468</f>
      </c>
      <c r="Y468" s="12">
        <f>IF(X468&gt;0,IF(X468&lt;=eco,alpha*fck*(1-(1-X468/eco)^n),alpha*fck),0)</f>
      </c>
      <c r="Z468" s="30">
        <f>PM_Angle!$J$15+PM_Angle!$K$15*$C468+PM_Angle!$L$15*$B468</f>
      </c>
      <c r="AA468" s="12">
        <f>IF(Z468&gt;0,IF(Z468&lt;=eco,alpha*fck*(1-(1-Z468/eco)^n),alpha*fck),0)</f>
      </c>
      <c r="AB468" s="30">
        <f>PM_Angle!$J$16+PM_Angle!$K$16*$C468+PM_Angle!$L$16*$B468</f>
      </c>
      <c r="AC468" s="12">
        <f>IF(AB468&gt;0,IF(AB468&lt;=eco,alpha*fck*(1-(1-AB468/eco)^n),alpha*fck),0)</f>
      </c>
      <c r="AD468" s="30">
        <f>PM_Angle!$J$17+PM_Angle!$K$17*$C468+PM_Angle!$L$17*$B468</f>
      </c>
      <c r="AE468" s="12">
        <f>IF(AD468&gt;0,IF(AD468&lt;=eco,alpha*fck*(1-(1-AD468/eco)^n),alpha*fck),0)</f>
      </c>
      <c r="AF468" s="30">
        <f>PM_Angle!$J$18+PM_Angle!$K$18*$C468+PM_Angle!$L$18*$B468</f>
      </c>
      <c r="AG468" s="12">
        <f>IF(AF468&gt;0,IF(AF468&lt;=eco,alpha*fck*(1-(1-AF468/eco)^n),alpha*fck),0)</f>
      </c>
      <c r="AH468" s="30">
        <f>PM_Angle!$J$19+PM_Angle!$K$19*$C468+PM_Angle!$L$19*$B468</f>
      </c>
      <c r="AI468" s="12">
        <f>IF(AH468&gt;0,IF(AH468&lt;=eco,alpha*fck*(1-(1-AH468/eco)^n),alpha*fck),0)</f>
      </c>
      <c r="AJ468" s="30">
        <f>PM_Angle!$J$20+PM_Angle!$K$20*$C468+PM_Angle!$L$20*$B468</f>
      </c>
      <c r="AK468" s="12">
        <f>IF(AJ468&gt;0,IF(AJ468&lt;=eco,alpha*fck*(1-(1-AJ468/eco)^n),alpha*fck),0)</f>
      </c>
      <c r="AL468" s="30">
        <f>PM_Angle!$J$21+PM_Angle!$K$21*$C468+PM_Angle!$L$21*$B468</f>
      </c>
      <c r="AM468" s="12">
        <f>IF(AL468&gt;0,IF(AL468&lt;=eco,alpha*fck*(1-(1-AL468/eco)^n),alpha*fck),0)</f>
      </c>
      <c r="AN468" s="30">
        <f>PM_Angle!$J$22+PM_Angle!$K$22*$C468+PM_Angle!$L$22*$B468</f>
      </c>
      <c r="AO468" s="12">
        <f>IF(AN468&gt;0,IF(AN468&lt;=eco,alpha*fck*(1-(1-AN468/eco)^n),alpha*fck),0)</f>
      </c>
      <c r="AP468" s="30">
        <f>PM_Angle!$J$23+PM_Angle!$K$23*$C468+PM_Angle!$L$23*$B468</f>
      </c>
      <c r="AQ468" s="12">
        <f>IF(AP468&gt;0,IF(AP468&lt;=eco,alpha*fck*(1-(1-AP468/eco)^n),alpha*fck),0)</f>
      </c>
      <c r="AR468" s="30">
        <f>PM_Angle!$J$24+PM_Angle!$K$24*$C468+PM_Angle!$L$24*$B468</f>
      </c>
      <c r="AS468" s="12">
        <f>IF(AR468&gt;0,IF(AR468&lt;=eco,alpha*fck*(1-(1-AR468/eco)^n),alpha*fck),0)</f>
      </c>
      <c r="AT468" s="30">
        <f>PM_Angle!$J$25+PM_Angle!$K$25*$C468+PM_Angle!$L$25*$B468</f>
      </c>
      <c r="AU468" s="12">
        <f>IF(AT468&gt;0,IF(AT468&lt;=eco,alpha*fck*(1-(1-AT468/eco)^n),alpha*fck),0)</f>
      </c>
    </row>
    <row r="469" spans="1:47" x14ac:dyDescent="0.25">
      <c r="A469">
        <f>Mesh!A466</f>
      </c>
      <c r="B469" s="12">
        <f>Mesh!B466</f>
      </c>
      <c r="C469" s="12">
        <f>Mesh!C466</f>
      </c>
      <c r="D469" s="12">
        <f>Mesh!D466</f>
      </c>
      <c r="E469" s="30">
        <f>INDEX(St_e0,Det+1)+INDEX(St_kx,Det+1)*C469+INDEX(St_ky,Det+1)*B469</f>
      </c>
      <c r="F469" s="12">
        <f>IF(E469&gt;0,IF(E469&lt;=eco,alpha*fck*(1-(1-E469/eco)^n),alpha*fck),0)</f>
      </c>
      <c r="G469" s="11">
        <f>F469*D469</f>
      </c>
      <c r="H469" s="11">
        <f>G469*C469</f>
      </c>
      <c r="I469" s="11">
        <f>G469*B469</f>
      </c>
      <c r="J469" s="30">
        <f>PM_Angle!$J$7+PM_Angle!$K$7*$C469+PM_Angle!$L$7*$B469</f>
      </c>
      <c r="K469" s="12">
        <f>IF(J469&gt;0,IF(J469&lt;=eco,alpha*fck*(1-(1-J469/eco)^n),alpha*fck),0)</f>
      </c>
      <c r="L469" s="30">
        <f>PM_Angle!$J$8+PM_Angle!$K$8*$C469+PM_Angle!$L$8*$B469</f>
      </c>
      <c r="M469" s="12">
        <f>IF(L469&gt;0,IF(L469&lt;=eco,alpha*fck*(1-(1-L469/eco)^n),alpha*fck),0)</f>
      </c>
      <c r="N469" s="30">
        <f>PM_Angle!$J$9+PM_Angle!$K$9*$C469+PM_Angle!$L$9*$B469</f>
      </c>
      <c r="O469" s="12">
        <f>IF(N469&gt;0,IF(N469&lt;=eco,alpha*fck*(1-(1-N469/eco)^n),alpha*fck),0)</f>
      </c>
      <c r="P469" s="30">
        <f>PM_Angle!$J$10+PM_Angle!$K$10*$C469+PM_Angle!$L$10*$B469</f>
      </c>
      <c r="Q469" s="12">
        <f>IF(P469&gt;0,IF(P469&lt;=eco,alpha*fck*(1-(1-P469/eco)^n),alpha*fck),0)</f>
      </c>
      <c r="R469" s="30">
        <f>PM_Angle!$J$11+PM_Angle!$K$11*$C469+PM_Angle!$L$11*$B469</f>
      </c>
      <c r="S469" s="12">
        <f>IF(R469&gt;0,IF(R469&lt;=eco,alpha*fck*(1-(1-R469/eco)^n),alpha*fck),0)</f>
      </c>
      <c r="T469" s="30">
        <f>PM_Angle!$J$12+PM_Angle!$K$12*$C469+PM_Angle!$L$12*$B469</f>
      </c>
      <c r="U469" s="12">
        <f>IF(T469&gt;0,IF(T469&lt;=eco,alpha*fck*(1-(1-T469/eco)^n),alpha*fck),0)</f>
      </c>
      <c r="V469" s="30">
        <f>PM_Angle!$J$13+PM_Angle!$K$13*$C469+PM_Angle!$L$13*$B469</f>
      </c>
      <c r="W469" s="12">
        <f>IF(V469&gt;0,IF(V469&lt;=eco,alpha*fck*(1-(1-V469/eco)^n),alpha*fck),0)</f>
      </c>
      <c r="X469" s="30">
        <f>PM_Angle!$J$14+PM_Angle!$K$14*$C469+PM_Angle!$L$14*$B469</f>
      </c>
      <c r="Y469" s="12">
        <f>IF(X469&gt;0,IF(X469&lt;=eco,alpha*fck*(1-(1-X469/eco)^n),alpha*fck),0)</f>
      </c>
      <c r="Z469" s="30">
        <f>PM_Angle!$J$15+PM_Angle!$K$15*$C469+PM_Angle!$L$15*$B469</f>
      </c>
      <c r="AA469" s="12">
        <f>IF(Z469&gt;0,IF(Z469&lt;=eco,alpha*fck*(1-(1-Z469/eco)^n),alpha*fck),0)</f>
      </c>
      <c r="AB469" s="30">
        <f>PM_Angle!$J$16+PM_Angle!$K$16*$C469+PM_Angle!$L$16*$B469</f>
      </c>
      <c r="AC469" s="12">
        <f>IF(AB469&gt;0,IF(AB469&lt;=eco,alpha*fck*(1-(1-AB469/eco)^n),alpha*fck),0)</f>
      </c>
      <c r="AD469" s="30">
        <f>PM_Angle!$J$17+PM_Angle!$K$17*$C469+PM_Angle!$L$17*$B469</f>
      </c>
      <c r="AE469" s="12">
        <f>IF(AD469&gt;0,IF(AD469&lt;=eco,alpha*fck*(1-(1-AD469/eco)^n),alpha*fck),0)</f>
      </c>
      <c r="AF469" s="30">
        <f>PM_Angle!$J$18+PM_Angle!$K$18*$C469+PM_Angle!$L$18*$B469</f>
      </c>
      <c r="AG469" s="12">
        <f>IF(AF469&gt;0,IF(AF469&lt;=eco,alpha*fck*(1-(1-AF469/eco)^n),alpha*fck),0)</f>
      </c>
      <c r="AH469" s="30">
        <f>PM_Angle!$J$19+PM_Angle!$K$19*$C469+PM_Angle!$L$19*$B469</f>
      </c>
      <c r="AI469" s="12">
        <f>IF(AH469&gt;0,IF(AH469&lt;=eco,alpha*fck*(1-(1-AH469/eco)^n),alpha*fck),0)</f>
      </c>
      <c r="AJ469" s="30">
        <f>PM_Angle!$J$20+PM_Angle!$K$20*$C469+PM_Angle!$L$20*$B469</f>
      </c>
      <c r="AK469" s="12">
        <f>IF(AJ469&gt;0,IF(AJ469&lt;=eco,alpha*fck*(1-(1-AJ469/eco)^n),alpha*fck),0)</f>
      </c>
      <c r="AL469" s="30">
        <f>PM_Angle!$J$21+PM_Angle!$K$21*$C469+PM_Angle!$L$21*$B469</f>
      </c>
      <c r="AM469" s="12">
        <f>IF(AL469&gt;0,IF(AL469&lt;=eco,alpha*fck*(1-(1-AL469/eco)^n),alpha*fck),0)</f>
      </c>
      <c r="AN469" s="30">
        <f>PM_Angle!$J$22+PM_Angle!$K$22*$C469+PM_Angle!$L$22*$B469</f>
      </c>
      <c r="AO469" s="12">
        <f>IF(AN469&gt;0,IF(AN469&lt;=eco,alpha*fck*(1-(1-AN469/eco)^n),alpha*fck),0)</f>
      </c>
      <c r="AP469" s="30">
        <f>PM_Angle!$J$23+PM_Angle!$K$23*$C469+PM_Angle!$L$23*$B469</f>
      </c>
      <c r="AQ469" s="12">
        <f>IF(AP469&gt;0,IF(AP469&lt;=eco,alpha*fck*(1-(1-AP469/eco)^n),alpha*fck),0)</f>
      </c>
      <c r="AR469" s="30">
        <f>PM_Angle!$J$24+PM_Angle!$K$24*$C469+PM_Angle!$L$24*$B469</f>
      </c>
      <c r="AS469" s="12">
        <f>IF(AR469&gt;0,IF(AR469&lt;=eco,alpha*fck*(1-(1-AR469/eco)^n),alpha*fck),0)</f>
      </c>
      <c r="AT469" s="30">
        <f>PM_Angle!$J$25+PM_Angle!$K$25*$C469+PM_Angle!$L$25*$B469</f>
      </c>
      <c r="AU469" s="12">
        <f>IF(AT469&gt;0,IF(AT469&lt;=eco,alpha*fck*(1-(1-AT469/eco)^n),alpha*fck),0)</f>
      </c>
    </row>
    <row r="470" spans="1:47" x14ac:dyDescent="0.25">
      <c r="A470">
        <f>Mesh!A467</f>
      </c>
      <c r="B470" s="12">
        <f>Mesh!B467</f>
      </c>
      <c r="C470" s="12">
        <f>Mesh!C467</f>
      </c>
      <c r="D470" s="12">
        <f>Mesh!D467</f>
      </c>
      <c r="E470" s="30">
        <f>INDEX(St_e0,Det+1)+INDEX(St_kx,Det+1)*C470+INDEX(St_ky,Det+1)*B470</f>
      </c>
      <c r="F470" s="12">
        <f>IF(E470&gt;0,IF(E470&lt;=eco,alpha*fck*(1-(1-E470/eco)^n),alpha*fck),0)</f>
      </c>
      <c r="G470" s="11">
        <f>F470*D470</f>
      </c>
      <c r="H470" s="11">
        <f>G470*C470</f>
      </c>
      <c r="I470" s="11">
        <f>G470*B470</f>
      </c>
      <c r="J470" s="30">
        <f>PM_Angle!$J$7+PM_Angle!$K$7*$C470+PM_Angle!$L$7*$B470</f>
      </c>
      <c r="K470" s="12">
        <f>IF(J470&gt;0,IF(J470&lt;=eco,alpha*fck*(1-(1-J470/eco)^n),alpha*fck),0)</f>
      </c>
      <c r="L470" s="30">
        <f>PM_Angle!$J$8+PM_Angle!$K$8*$C470+PM_Angle!$L$8*$B470</f>
      </c>
      <c r="M470" s="12">
        <f>IF(L470&gt;0,IF(L470&lt;=eco,alpha*fck*(1-(1-L470/eco)^n),alpha*fck),0)</f>
      </c>
      <c r="N470" s="30">
        <f>PM_Angle!$J$9+PM_Angle!$K$9*$C470+PM_Angle!$L$9*$B470</f>
      </c>
      <c r="O470" s="12">
        <f>IF(N470&gt;0,IF(N470&lt;=eco,alpha*fck*(1-(1-N470/eco)^n),alpha*fck),0)</f>
      </c>
      <c r="P470" s="30">
        <f>PM_Angle!$J$10+PM_Angle!$K$10*$C470+PM_Angle!$L$10*$B470</f>
      </c>
      <c r="Q470" s="12">
        <f>IF(P470&gt;0,IF(P470&lt;=eco,alpha*fck*(1-(1-P470/eco)^n),alpha*fck),0)</f>
      </c>
      <c r="R470" s="30">
        <f>PM_Angle!$J$11+PM_Angle!$K$11*$C470+PM_Angle!$L$11*$B470</f>
      </c>
      <c r="S470" s="12">
        <f>IF(R470&gt;0,IF(R470&lt;=eco,alpha*fck*(1-(1-R470/eco)^n),alpha*fck),0)</f>
      </c>
      <c r="T470" s="30">
        <f>PM_Angle!$J$12+PM_Angle!$K$12*$C470+PM_Angle!$L$12*$B470</f>
      </c>
      <c r="U470" s="12">
        <f>IF(T470&gt;0,IF(T470&lt;=eco,alpha*fck*(1-(1-T470/eco)^n),alpha*fck),0)</f>
      </c>
      <c r="V470" s="30">
        <f>PM_Angle!$J$13+PM_Angle!$K$13*$C470+PM_Angle!$L$13*$B470</f>
      </c>
      <c r="W470" s="12">
        <f>IF(V470&gt;0,IF(V470&lt;=eco,alpha*fck*(1-(1-V470/eco)^n),alpha*fck),0)</f>
      </c>
      <c r="X470" s="30">
        <f>PM_Angle!$J$14+PM_Angle!$K$14*$C470+PM_Angle!$L$14*$B470</f>
      </c>
      <c r="Y470" s="12">
        <f>IF(X470&gt;0,IF(X470&lt;=eco,alpha*fck*(1-(1-X470/eco)^n),alpha*fck),0)</f>
      </c>
      <c r="Z470" s="30">
        <f>PM_Angle!$J$15+PM_Angle!$K$15*$C470+PM_Angle!$L$15*$B470</f>
      </c>
      <c r="AA470" s="12">
        <f>IF(Z470&gt;0,IF(Z470&lt;=eco,alpha*fck*(1-(1-Z470/eco)^n),alpha*fck),0)</f>
      </c>
      <c r="AB470" s="30">
        <f>PM_Angle!$J$16+PM_Angle!$K$16*$C470+PM_Angle!$L$16*$B470</f>
      </c>
      <c r="AC470" s="12">
        <f>IF(AB470&gt;0,IF(AB470&lt;=eco,alpha*fck*(1-(1-AB470/eco)^n),alpha*fck),0)</f>
      </c>
      <c r="AD470" s="30">
        <f>PM_Angle!$J$17+PM_Angle!$K$17*$C470+PM_Angle!$L$17*$B470</f>
      </c>
      <c r="AE470" s="12">
        <f>IF(AD470&gt;0,IF(AD470&lt;=eco,alpha*fck*(1-(1-AD470/eco)^n),alpha*fck),0)</f>
      </c>
      <c r="AF470" s="30">
        <f>PM_Angle!$J$18+PM_Angle!$K$18*$C470+PM_Angle!$L$18*$B470</f>
      </c>
      <c r="AG470" s="12">
        <f>IF(AF470&gt;0,IF(AF470&lt;=eco,alpha*fck*(1-(1-AF470/eco)^n),alpha*fck),0)</f>
      </c>
      <c r="AH470" s="30">
        <f>PM_Angle!$J$19+PM_Angle!$K$19*$C470+PM_Angle!$L$19*$B470</f>
      </c>
      <c r="AI470" s="12">
        <f>IF(AH470&gt;0,IF(AH470&lt;=eco,alpha*fck*(1-(1-AH470/eco)^n),alpha*fck),0)</f>
      </c>
      <c r="AJ470" s="30">
        <f>PM_Angle!$J$20+PM_Angle!$K$20*$C470+PM_Angle!$L$20*$B470</f>
      </c>
      <c r="AK470" s="12">
        <f>IF(AJ470&gt;0,IF(AJ470&lt;=eco,alpha*fck*(1-(1-AJ470/eco)^n),alpha*fck),0)</f>
      </c>
      <c r="AL470" s="30">
        <f>PM_Angle!$J$21+PM_Angle!$K$21*$C470+PM_Angle!$L$21*$B470</f>
      </c>
      <c r="AM470" s="12">
        <f>IF(AL470&gt;0,IF(AL470&lt;=eco,alpha*fck*(1-(1-AL470/eco)^n),alpha*fck),0)</f>
      </c>
      <c r="AN470" s="30">
        <f>PM_Angle!$J$22+PM_Angle!$K$22*$C470+PM_Angle!$L$22*$B470</f>
      </c>
      <c r="AO470" s="12">
        <f>IF(AN470&gt;0,IF(AN470&lt;=eco,alpha*fck*(1-(1-AN470/eco)^n),alpha*fck),0)</f>
      </c>
      <c r="AP470" s="30">
        <f>PM_Angle!$J$23+PM_Angle!$K$23*$C470+PM_Angle!$L$23*$B470</f>
      </c>
      <c r="AQ470" s="12">
        <f>IF(AP470&gt;0,IF(AP470&lt;=eco,alpha*fck*(1-(1-AP470/eco)^n),alpha*fck),0)</f>
      </c>
      <c r="AR470" s="30">
        <f>PM_Angle!$J$24+PM_Angle!$K$24*$C470+PM_Angle!$L$24*$B470</f>
      </c>
      <c r="AS470" s="12">
        <f>IF(AR470&gt;0,IF(AR470&lt;=eco,alpha*fck*(1-(1-AR470/eco)^n),alpha*fck),0)</f>
      </c>
      <c r="AT470" s="30">
        <f>PM_Angle!$J$25+PM_Angle!$K$25*$C470+PM_Angle!$L$25*$B470</f>
      </c>
      <c r="AU470" s="12">
        <f>IF(AT470&gt;0,IF(AT470&lt;=eco,alpha*fck*(1-(1-AT470/eco)^n),alpha*fck),0)</f>
      </c>
    </row>
    <row r="471" spans="1:47" x14ac:dyDescent="0.25">
      <c r="A471">
        <f>Mesh!A468</f>
      </c>
      <c r="B471" s="12">
        <f>Mesh!B468</f>
      </c>
      <c r="C471" s="12">
        <f>Mesh!C468</f>
      </c>
      <c r="D471" s="12">
        <f>Mesh!D468</f>
      </c>
      <c r="E471" s="30">
        <f>INDEX(St_e0,Det+1)+INDEX(St_kx,Det+1)*C471+INDEX(St_ky,Det+1)*B471</f>
      </c>
      <c r="F471" s="12">
        <f>IF(E471&gt;0,IF(E471&lt;=eco,alpha*fck*(1-(1-E471/eco)^n),alpha*fck),0)</f>
      </c>
      <c r="G471" s="11">
        <f>F471*D471</f>
      </c>
      <c r="H471" s="11">
        <f>G471*C471</f>
      </c>
      <c r="I471" s="11">
        <f>G471*B471</f>
      </c>
      <c r="J471" s="30">
        <f>PM_Angle!$J$7+PM_Angle!$K$7*$C471+PM_Angle!$L$7*$B471</f>
      </c>
      <c r="K471" s="12">
        <f>IF(J471&gt;0,IF(J471&lt;=eco,alpha*fck*(1-(1-J471/eco)^n),alpha*fck),0)</f>
      </c>
      <c r="L471" s="30">
        <f>PM_Angle!$J$8+PM_Angle!$K$8*$C471+PM_Angle!$L$8*$B471</f>
      </c>
      <c r="M471" s="12">
        <f>IF(L471&gt;0,IF(L471&lt;=eco,alpha*fck*(1-(1-L471/eco)^n),alpha*fck),0)</f>
      </c>
      <c r="N471" s="30">
        <f>PM_Angle!$J$9+PM_Angle!$K$9*$C471+PM_Angle!$L$9*$B471</f>
      </c>
      <c r="O471" s="12">
        <f>IF(N471&gt;0,IF(N471&lt;=eco,alpha*fck*(1-(1-N471/eco)^n),alpha*fck),0)</f>
      </c>
      <c r="P471" s="30">
        <f>PM_Angle!$J$10+PM_Angle!$K$10*$C471+PM_Angle!$L$10*$B471</f>
      </c>
      <c r="Q471" s="12">
        <f>IF(P471&gt;0,IF(P471&lt;=eco,alpha*fck*(1-(1-P471/eco)^n),alpha*fck),0)</f>
      </c>
      <c r="R471" s="30">
        <f>PM_Angle!$J$11+PM_Angle!$K$11*$C471+PM_Angle!$L$11*$B471</f>
      </c>
      <c r="S471" s="12">
        <f>IF(R471&gt;0,IF(R471&lt;=eco,alpha*fck*(1-(1-R471/eco)^n),alpha*fck),0)</f>
      </c>
      <c r="T471" s="30">
        <f>PM_Angle!$J$12+PM_Angle!$K$12*$C471+PM_Angle!$L$12*$B471</f>
      </c>
      <c r="U471" s="12">
        <f>IF(T471&gt;0,IF(T471&lt;=eco,alpha*fck*(1-(1-T471/eco)^n),alpha*fck),0)</f>
      </c>
      <c r="V471" s="30">
        <f>PM_Angle!$J$13+PM_Angle!$K$13*$C471+PM_Angle!$L$13*$B471</f>
      </c>
      <c r="W471" s="12">
        <f>IF(V471&gt;0,IF(V471&lt;=eco,alpha*fck*(1-(1-V471/eco)^n),alpha*fck),0)</f>
      </c>
      <c r="X471" s="30">
        <f>PM_Angle!$J$14+PM_Angle!$K$14*$C471+PM_Angle!$L$14*$B471</f>
      </c>
      <c r="Y471" s="12">
        <f>IF(X471&gt;0,IF(X471&lt;=eco,alpha*fck*(1-(1-X471/eco)^n),alpha*fck),0)</f>
      </c>
      <c r="Z471" s="30">
        <f>PM_Angle!$J$15+PM_Angle!$K$15*$C471+PM_Angle!$L$15*$B471</f>
      </c>
      <c r="AA471" s="12">
        <f>IF(Z471&gt;0,IF(Z471&lt;=eco,alpha*fck*(1-(1-Z471/eco)^n),alpha*fck),0)</f>
      </c>
      <c r="AB471" s="30">
        <f>PM_Angle!$J$16+PM_Angle!$K$16*$C471+PM_Angle!$L$16*$B471</f>
      </c>
      <c r="AC471" s="12">
        <f>IF(AB471&gt;0,IF(AB471&lt;=eco,alpha*fck*(1-(1-AB471/eco)^n),alpha*fck),0)</f>
      </c>
      <c r="AD471" s="30">
        <f>PM_Angle!$J$17+PM_Angle!$K$17*$C471+PM_Angle!$L$17*$B471</f>
      </c>
      <c r="AE471" s="12">
        <f>IF(AD471&gt;0,IF(AD471&lt;=eco,alpha*fck*(1-(1-AD471/eco)^n),alpha*fck),0)</f>
      </c>
      <c r="AF471" s="30">
        <f>PM_Angle!$J$18+PM_Angle!$K$18*$C471+PM_Angle!$L$18*$B471</f>
      </c>
      <c r="AG471" s="12">
        <f>IF(AF471&gt;0,IF(AF471&lt;=eco,alpha*fck*(1-(1-AF471/eco)^n),alpha*fck),0)</f>
      </c>
      <c r="AH471" s="30">
        <f>PM_Angle!$J$19+PM_Angle!$K$19*$C471+PM_Angle!$L$19*$B471</f>
      </c>
      <c r="AI471" s="12">
        <f>IF(AH471&gt;0,IF(AH471&lt;=eco,alpha*fck*(1-(1-AH471/eco)^n),alpha*fck),0)</f>
      </c>
      <c r="AJ471" s="30">
        <f>PM_Angle!$J$20+PM_Angle!$K$20*$C471+PM_Angle!$L$20*$B471</f>
      </c>
      <c r="AK471" s="12">
        <f>IF(AJ471&gt;0,IF(AJ471&lt;=eco,alpha*fck*(1-(1-AJ471/eco)^n),alpha*fck),0)</f>
      </c>
      <c r="AL471" s="30">
        <f>PM_Angle!$J$21+PM_Angle!$K$21*$C471+PM_Angle!$L$21*$B471</f>
      </c>
      <c r="AM471" s="12">
        <f>IF(AL471&gt;0,IF(AL471&lt;=eco,alpha*fck*(1-(1-AL471/eco)^n),alpha*fck),0)</f>
      </c>
      <c r="AN471" s="30">
        <f>PM_Angle!$J$22+PM_Angle!$K$22*$C471+PM_Angle!$L$22*$B471</f>
      </c>
      <c r="AO471" s="12">
        <f>IF(AN471&gt;0,IF(AN471&lt;=eco,alpha*fck*(1-(1-AN471/eco)^n),alpha*fck),0)</f>
      </c>
      <c r="AP471" s="30">
        <f>PM_Angle!$J$23+PM_Angle!$K$23*$C471+PM_Angle!$L$23*$B471</f>
      </c>
      <c r="AQ471" s="12">
        <f>IF(AP471&gt;0,IF(AP471&lt;=eco,alpha*fck*(1-(1-AP471/eco)^n),alpha*fck),0)</f>
      </c>
      <c r="AR471" s="30">
        <f>PM_Angle!$J$24+PM_Angle!$K$24*$C471+PM_Angle!$L$24*$B471</f>
      </c>
      <c r="AS471" s="12">
        <f>IF(AR471&gt;0,IF(AR471&lt;=eco,alpha*fck*(1-(1-AR471/eco)^n),alpha*fck),0)</f>
      </c>
      <c r="AT471" s="30">
        <f>PM_Angle!$J$25+PM_Angle!$K$25*$C471+PM_Angle!$L$25*$B471</f>
      </c>
      <c r="AU471" s="12">
        <f>IF(AT471&gt;0,IF(AT471&lt;=eco,alpha*fck*(1-(1-AT471/eco)^n),alpha*fck),0)</f>
      </c>
    </row>
    <row r="472" spans="1:47" x14ac:dyDescent="0.25">
      <c r="A472">
        <f>Mesh!A469</f>
      </c>
      <c r="B472" s="12">
        <f>Mesh!B469</f>
      </c>
      <c r="C472" s="12">
        <f>Mesh!C469</f>
      </c>
      <c r="D472" s="12">
        <f>Mesh!D469</f>
      </c>
      <c r="E472" s="30">
        <f>INDEX(St_e0,Det+1)+INDEX(St_kx,Det+1)*C472+INDEX(St_ky,Det+1)*B472</f>
      </c>
      <c r="F472" s="12">
        <f>IF(E472&gt;0,IF(E472&lt;=eco,alpha*fck*(1-(1-E472/eco)^n),alpha*fck),0)</f>
      </c>
      <c r="G472" s="11">
        <f>F472*D472</f>
      </c>
      <c r="H472" s="11">
        <f>G472*C472</f>
      </c>
      <c r="I472" s="11">
        <f>G472*B472</f>
      </c>
      <c r="J472" s="30">
        <f>PM_Angle!$J$7+PM_Angle!$K$7*$C472+PM_Angle!$L$7*$B472</f>
      </c>
      <c r="K472" s="12">
        <f>IF(J472&gt;0,IF(J472&lt;=eco,alpha*fck*(1-(1-J472/eco)^n),alpha*fck),0)</f>
      </c>
      <c r="L472" s="30">
        <f>PM_Angle!$J$8+PM_Angle!$K$8*$C472+PM_Angle!$L$8*$B472</f>
      </c>
      <c r="M472" s="12">
        <f>IF(L472&gt;0,IF(L472&lt;=eco,alpha*fck*(1-(1-L472/eco)^n),alpha*fck),0)</f>
      </c>
      <c r="N472" s="30">
        <f>PM_Angle!$J$9+PM_Angle!$K$9*$C472+PM_Angle!$L$9*$B472</f>
      </c>
      <c r="O472" s="12">
        <f>IF(N472&gt;0,IF(N472&lt;=eco,alpha*fck*(1-(1-N472/eco)^n),alpha*fck),0)</f>
      </c>
      <c r="P472" s="30">
        <f>PM_Angle!$J$10+PM_Angle!$K$10*$C472+PM_Angle!$L$10*$B472</f>
      </c>
      <c r="Q472" s="12">
        <f>IF(P472&gt;0,IF(P472&lt;=eco,alpha*fck*(1-(1-P472/eco)^n),alpha*fck),0)</f>
      </c>
      <c r="R472" s="30">
        <f>PM_Angle!$J$11+PM_Angle!$K$11*$C472+PM_Angle!$L$11*$B472</f>
      </c>
      <c r="S472" s="12">
        <f>IF(R472&gt;0,IF(R472&lt;=eco,alpha*fck*(1-(1-R472/eco)^n),alpha*fck),0)</f>
      </c>
      <c r="T472" s="30">
        <f>PM_Angle!$J$12+PM_Angle!$K$12*$C472+PM_Angle!$L$12*$B472</f>
      </c>
      <c r="U472" s="12">
        <f>IF(T472&gt;0,IF(T472&lt;=eco,alpha*fck*(1-(1-T472/eco)^n),alpha*fck),0)</f>
      </c>
      <c r="V472" s="30">
        <f>PM_Angle!$J$13+PM_Angle!$K$13*$C472+PM_Angle!$L$13*$B472</f>
      </c>
      <c r="W472" s="12">
        <f>IF(V472&gt;0,IF(V472&lt;=eco,alpha*fck*(1-(1-V472/eco)^n),alpha*fck),0)</f>
      </c>
      <c r="X472" s="30">
        <f>PM_Angle!$J$14+PM_Angle!$K$14*$C472+PM_Angle!$L$14*$B472</f>
      </c>
      <c r="Y472" s="12">
        <f>IF(X472&gt;0,IF(X472&lt;=eco,alpha*fck*(1-(1-X472/eco)^n),alpha*fck),0)</f>
      </c>
      <c r="Z472" s="30">
        <f>PM_Angle!$J$15+PM_Angle!$K$15*$C472+PM_Angle!$L$15*$B472</f>
      </c>
      <c r="AA472" s="12">
        <f>IF(Z472&gt;0,IF(Z472&lt;=eco,alpha*fck*(1-(1-Z472/eco)^n),alpha*fck),0)</f>
      </c>
      <c r="AB472" s="30">
        <f>PM_Angle!$J$16+PM_Angle!$K$16*$C472+PM_Angle!$L$16*$B472</f>
      </c>
      <c r="AC472" s="12">
        <f>IF(AB472&gt;0,IF(AB472&lt;=eco,alpha*fck*(1-(1-AB472/eco)^n),alpha*fck),0)</f>
      </c>
      <c r="AD472" s="30">
        <f>PM_Angle!$J$17+PM_Angle!$K$17*$C472+PM_Angle!$L$17*$B472</f>
      </c>
      <c r="AE472" s="12">
        <f>IF(AD472&gt;0,IF(AD472&lt;=eco,alpha*fck*(1-(1-AD472/eco)^n),alpha*fck),0)</f>
      </c>
      <c r="AF472" s="30">
        <f>PM_Angle!$J$18+PM_Angle!$K$18*$C472+PM_Angle!$L$18*$B472</f>
      </c>
      <c r="AG472" s="12">
        <f>IF(AF472&gt;0,IF(AF472&lt;=eco,alpha*fck*(1-(1-AF472/eco)^n),alpha*fck),0)</f>
      </c>
      <c r="AH472" s="30">
        <f>PM_Angle!$J$19+PM_Angle!$K$19*$C472+PM_Angle!$L$19*$B472</f>
      </c>
      <c r="AI472" s="12">
        <f>IF(AH472&gt;0,IF(AH472&lt;=eco,alpha*fck*(1-(1-AH472/eco)^n),alpha*fck),0)</f>
      </c>
      <c r="AJ472" s="30">
        <f>PM_Angle!$J$20+PM_Angle!$K$20*$C472+PM_Angle!$L$20*$B472</f>
      </c>
      <c r="AK472" s="12">
        <f>IF(AJ472&gt;0,IF(AJ472&lt;=eco,alpha*fck*(1-(1-AJ472/eco)^n),alpha*fck),0)</f>
      </c>
      <c r="AL472" s="30">
        <f>PM_Angle!$J$21+PM_Angle!$K$21*$C472+PM_Angle!$L$21*$B472</f>
      </c>
      <c r="AM472" s="12">
        <f>IF(AL472&gt;0,IF(AL472&lt;=eco,alpha*fck*(1-(1-AL472/eco)^n),alpha*fck),0)</f>
      </c>
      <c r="AN472" s="30">
        <f>PM_Angle!$J$22+PM_Angle!$K$22*$C472+PM_Angle!$L$22*$B472</f>
      </c>
      <c r="AO472" s="12">
        <f>IF(AN472&gt;0,IF(AN472&lt;=eco,alpha*fck*(1-(1-AN472/eco)^n),alpha*fck),0)</f>
      </c>
      <c r="AP472" s="30">
        <f>PM_Angle!$J$23+PM_Angle!$K$23*$C472+PM_Angle!$L$23*$B472</f>
      </c>
      <c r="AQ472" s="12">
        <f>IF(AP472&gt;0,IF(AP472&lt;=eco,alpha*fck*(1-(1-AP472/eco)^n),alpha*fck),0)</f>
      </c>
      <c r="AR472" s="30">
        <f>PM_Angle!$J$24+PM_Angle!$K$24*$C472+PM_Angle!$L$24*$B472</f>
      </c>
      <c r="AS472" s="12">
        <f>IF(AR472&gt;0,IF(AR472&lt;=eco,alpha*fck*(1-(1-AR472/eco)^n),alpha*fck),0)</f>
      </c>
      <c r="AT472" s="30">
        <f>PM_Angle!$J$25+PM_Angle!$K$25*$C472+PM_Angle!$L$25*$B472</f>
      </c>
      <c r="AU472" s="12">
        <f>IF(AT472&gt;0,IF(AT472&lt;=eco,alpha*fck*(1-(1-AT472/eco)^n),alpha*fck),0)</f>
      </c>
    </row>
    <row r="473" spans="1:47" x14ac:dyDescent="0.25">
      <c r="A473">
        <f>Mesh!A470</f>
      </c>
      <c r="B473" s="12">
        <f>Mesh!B470</f>
      </c>
      <c r="C473" s="12">
        <f>Mesh!C470</f>
      </c>
      <c r="D473" s="12">
        <f>Mesh!D470</f>
      </c>
      <c r="E473" s="30">
        <f>INDEX(St_e0,Det+1)+INDEX(St_kx,Det+1)*C473+INDEX(St_ky,Det+1)*B473</f>
      </c>
      <c r="F473" s="12">
        <f>IF(E473&gt;0,IF(E473&lt;=eco,alpha*fck*(1-(1-E473/eco)^n),alpha*fck),0)</f>
      </c>
      <c r="G473" s="11">
        <f>F473*D473</f>
      </c>
      <c r="H473" s="11">
        <f>G473*C473</f>
      </c>
      <c r="I473" s="11">
        <f>G473*B473</f>
      </c>
      <c r="J473" s="30">
        <f>PM_Angle!$J$7+PM_Angle!$K$7*$C473+PM_Angle!$L$7*$B473</f>
      </c>
      <c r="K473" s="12">
        <f>IF(J473&gt;0,IF(J473&lt;=eco,alpha*fck*(1-(1-J473/eco)^n),alpha*fck),0)</f>
      </c>
      <c r="L473" s="30">
        <f>PM_Angle!$J$8+PM_Angle!$K$8*$C473+PM_Angle!$L$8*$B473</f>
      </c>
      <c r="M473" s="12">
        <f>IF(L473&gt;0,IF(L473&lt;=eco,alpha*fck*(1-(1-L473/eco)^n),alpha*fck),0)</f>
      </c>
      <c r="N473" s="30">
        <f>PM_Angle!$J$9+PM_Angle!$K$9*$C473+PM_Angle!$L$9*$B473</f>
      </c>
      <c r="O473" s="12">
        <f>IF(N473&gt;0,IF(N473&lt;=eco,alpha*fck*(1-(1-N473/eco)^n),alpha*fck),0)</f>
      </c>
      <c r="P473" s="30">
        <f>PM_Angle!$J$10+PM_Angle!$K$10*$C473+PM_Angle!$L$10*$B473</f>
      </c>
      <c r="Q473" s="12">
        <f>IF(P473&gt;0,IF(P473&lt;=eco,alpha*fck*(1-(1-P473/eco)^n),alpha*fck),0)</f>
      </c>
      <c r="R473" s="30">
        <f>PM_Angle!$J$11+PM_Angle!$K$11*$C473+PM_Angle!$L$11*$B473</f>
      </c>
      <c r="S473" s="12">
        <f>IF(R473&gt;0,IF(R473&lt;=eco,alpha*fck*(1-(1-R473/eco)^n),alpha*fck),0)</f>
      </c>
      <c r="T473" s="30">
        <f>PM_Angle!$J$12+PM_Angle!$K$12*$C473+PM_Angle!$L$12*$B473</f>
      </c>
      <c r="U473" s="12">
        <f>IF(T473&gt;0,IF(T473&lt;=eco,alpha*fck*(1-(1-T473/eco)^n),alpha*fck),0)</f>
      </c>
      <c r="V473" s="30">
        <f>PM_Angle!$J$13+PM_Angle!$K$13*$C473+PM_Angle!$L$13*$B473</f>
      </c>
      <c r="W473" s="12">
        <f>IF(V473&gt;0,IF(V473&lt;=eco,alpha*fck*(1-(1-V473/eco)^n),alpha*fck),0)</f>
      </c>
      <c r="X473" s="30">
        <f>PM_Angle!$J$14+PM_Angle!$K$14*$C473+PM_Angle!$L$14*$B473</f>
      </c>
      <c r="Y473" s="12">
        <f>IF(X473&gt;0,IF(X473&lt;=eco,alpha*fck*(1-(1-X473/eco)^n),alpha*fck),0)</f>
      </c>
      <c r="Z473" s="30">
        <f>PM_Angle!$J$15+PM_Angle!$K$15*$C473+PM_Angle!$L$15*$B473</f>
      </c>
      <c r="AA473" s="12">
        <f>IF(Z473&gt;0,IF(Z473&lt;=eco,alpha*fck*(1-(1-Z473/eco)^n),alpha*fck),0)</f>
      </c>
      <c r="AB473" s="30">
        <f>PM_Angle!$J$16+PM_Angle!$K$16*$C473+PM_Angle!$L$16*$B473</f>
      </c>
      <c r="AC473" s="12">
        <f>IF(AB473&gt;0,IF(AB473&lt;=eco,alpha*fck*(1-(1-AB473/eco)^n),alpha*fck),0)</f>
      </c>
      <c r="AD473" s="30">
        <f>PM_Angle!$J$17+PM_Angle!$K$17*$C473+PM_Angle!$L$17*$B473</f>
      </c>
      <c r="AE473" s="12">
        <f>IF(AD473&gt;0,IF(AD473&lt;=eco,alpha*fck*(1-(1-AD473/eco)^n),alpha*fck),0)</f>
      </c>
      <c r="AF473" s="30">
        <f>PM_Angle!$J$18+PM_Angle!$K$18*$C473+PM_Angle!$L$18*$B473</f>
      </c>
      <c r="AG473" s="12">
        <f>IF(AF473&gt;0,IF(AF473&lt;=eco,alpha*fck*(1-(1-AF473/eco)^n),alpha*fck),0)</f>
      </c>
      <c r="AH473" s="30">
        <f>PM_Angle!$J$19+PM_Angle!$K$19*$C473+PM_Angle!$L$19*$B473</f>
      </c>
      <c r="AI473" s="12">
        <f>IF(AH473&gt;0,IF(AH473&lt;=eco,alpha*fck*(1-(1-AH473/eco)^n),alpha*fck),0)</f>
      </c>
      <c r="AJ473" s="30">
        <f>PM_Angle!$J$20+PM_Angle!$K$20*$C473+PM_Angle!$L$20*$B473</f>
      </c>
      <c r="AK473" s="12">
        <f>IF(AJ473&gt;0,IF(AJ473&lt;=eco,alpha*fck*(1-(1-AJ473/eco)^n),alpha*fck),0)</f>
      </c>
      <c r="AL473" s="30">
        <f>PM_Angle!$J$21+PM_Angle!$K$21*$C473+PM_Angle!$L$21*$B473</f>
      </c>
      <c r="AM473" s="12">
        <f>IF(AL473&gt;0,IF(AL473&lt;=eco,alpha*fck*(1-(1-AL473/eco)^n),alpha*fck),0)</f>
      </c>
      <c r="AN473" s="30">
        <f>PM_Angle!$J$22+PM_Angle!$K$22*$C473+PM_Angle!$L$22*$B473</f>
      </c>
      <c r="AO473" s="12">
        <f>IF(AN473&gt;0,IF(AN473&lt;=eco,alpha*fck*(1-(1-AN473/eco)^n),alpha*fck),0)</f>
      </c>
      <c r="AP473" s="30">
        <f>PM_Angle!$J$23+PM_Angle!$K$23*$C473+PM_Angle!$L$23*$B473</f>
      </c>
      <c r="AQ473" s="12">
        <f>IF(AP473&gt;0,IF(AP473&lt;=eco,alpha*fck*(1-(1-AP473/eco)^n),alpha*fck),0)</f>
      </c>
      <c r="AR473" s="30">
        <f>PM_Angle!$J$24+PM_Angle!$K$24*$C473+PM_Angle!$L$24*$B473</f>
      </c>
      <c r="AS473" s="12">
        <f>IF(AR473&gt;0,IF(AR473&lt;=eco,alpha*fck*(1-(1-AR473/eco)^n),alpha*fck),0)</f>
      </c>
      <c r="AT473" s="30">
        <f>PM_Angle!$J$25+PM_Angle!$K$25*$C473+PM_Angle!$L$25*$B473</f>
      </c>
      <c r="AU473" s="12">
        <f>IF(AT473&gt;0,IF(AT473&lt;=eco,alpha*fck*(1-(1-AT473/eco)^n),alpha*fck),0)</f>
      </c>
    </row>
    <row r="474" spans="1:47" x14ac:dyDescent="0.25">
      <c r="A474">
        <f>Mesh!A471</f>
      </c>
      <c r="B474" s="12">
        <f>Mesh!B471</f>
      </c>
      <c r="C474" s="12">
        <f>Mesh!C471</f>
      </c>
      <c r="D474" s="12">
        <f>Mesh!D471</f>
      </c>
      <c r="E474" s="30">
        <f>INDEX(St_e0,Det+1)+INDEX(St_kx,Det+1)*C474+INDEX(St_ky,Det+1)*B474</f>
      </c>
      <c r="F474" s="12">
        <f>IF(E474&gt;0,IF(E474&lt;=eco,alpha*fck*(1-(1-E474/eco)^n),alpha*fck),0)</f>
      </c>
      <c r="G474" s="11">
        <f>F474*D474</f>
      </c>
      <c r="H474" s="11">
        <f>G474*C474</f>
      </c>
      <c r="I474" s="11">
        <f>G474*B474</f>
      </c>
      <c r="J474" s="30">
        <f>PM_Angle!$J$7+PM_Angle!$K$7*$C474+PM_Angle!$L$7*$B474</f>
      </c>
      <c r="K474" s="12">
        <f>IF(J474&gt;0,IF(J474&lt;=eco,alpha*fck*(1-(1-J474/eco)^n),alpha*fck),0)</f>
      </c>
      <c r="L474" s="30">
        <f>PM_Angle!$J$8+PM_Angle!$K$8*$C474+PM_Angle!$L$8*$B474</f>
      </c>
      <c r="M474" s="12">
        <f>IF(L474&gt;0,IF(L474&lt;=eco,alpha*fck*(1-(1-L474/eco)^n),alpha*fck),0)</f>
      </c>
      <c r="N474" s="30">
        <f>PM_Angle!$J$9+PM_Angle!$K$9*$C474+PM_Angle!$L$9*$B474</f>
      </c>
      <c r="O474" s="12">
        <f>IF(N474&gt;0,IF(N474&lt;=eco,alpha*fck*(1-(1-N474/eco)^n),alpha*fck),0)</f>
      </c>
      <c r="P474" s="30">
        <f>PM_Angle!$J$10+PM_Angle!$K$10*$C474+PM_Angle!$L$10*$B474</f>
      </c>
      <c r="Q474" s="12">
        <f>IF(P474&gt;0,IF(P474&lt;=eco,alpha*fck*(1-(1-P474/eco)^n),alpha*fck),0)</f>
      </c>
      <c r="R474" s="30">
        <f>PM_Angle!$J$11+PM_Angle!$K$11*$C474+PM_Angle!$L$11*$B474</f>
      </c>
      <c r="S474" s="12">
        <f>IF(R474&gt;0,IF(R474&lt;=eco,alpha*fck*(1-(1-R474/eco)^n),alpha*fck),0)</f>
      </c>
      <c r="T474" s="30">
        <f>PM_Angle!$J$12+PM_Angle!$K$12*$C474+PM_Angle!$L$12*$B474</f>
      </c>
      <c r="U474" s="12">
        <f>IF(T474&gt;0,IF(T474&lt;=eco,alpha*fck*(1-(1-T474/eco)^n),alpha*fck),0)</f>
      </c>
      <c r="V474" s="30">
        <f>PM_Angle!$J$13+PM_Angle!$K$13*$C474+PM_Angle!$L$13*$B474</f>
      </c>
      <c r="W474" s="12">
        <f>IF(V474&gt;0,IF(V474&lt;=eco,alpha*fck*(1-(1-V474/eco)^n),alpha*fck),0)</f>
      </c>
      <c r="X474" s="30">
        <f>PM_Angle!$J$14+PM_Angle!$K$14*$C474+PM_Angle!$L$14*$B474</f>
      </c>
      <c r="Y474" s="12">
        <f>IF(X474&gt;0,IF(X474&lt;=eco,alpha*fck*(1-(1-X474/eco)^n),alpha*fck),0)</f>
      </c>
      <c r="Z474" s="30">
        <f>PM_Angle!$J$15+PM_Angle!$K$15*$C474+PM_Angle!$L$15*$B474</f>
      </c>
      <c r="AA474" s="12">
        <f>IF(Z474&gt;0,IF(Z474&lt;=eco,alpha*fck*(1-(1-Z474/eco)^n),alpha*fck),0)</f>
      </c>
      <c r="AB474" s="30">
        <f>PM_Angle!$J$16+PM_Angle!$K$16*$C474+PM_Angle!$L$16*$B474</f>
      </c>
      <c r="AC474" s="12">
        <f>IF(AB474&gt;0,IF(AB474&lt;=eco,alpha*fck*(1-(1-AB474/eco)^n),alpha*fck),0)</f>
      </c>
      <c r="AD474" s="30">
        <f>PM_Angle!$J$17+PM_Angle!$K$17*$C474+PM_Angle!$L$17*$B474</f>
      </c>
      <c r="AE474" s="12">
        <f>IF(AD474&gt;0,IF(AD474&lt;=eco,alpha*fck*(1-(1-AD474/eco)^n),alpha*fck),0)</f>
      </c>
      <c r="AF474" s="30">
        <f>PM_Angle!$J$18+PM_Angle!$K$18*$C474+PM_Angle!$L$18*$B474</f>
      </c>
      <c r="AG474" s="12">
        <f>IF(AF474&gt;0,IF(AF474&lt;=eco,alpha*fck*(1-(1-AF474/eco)^n),alpha*fck),0)</f>
      </c>
      <c r="AH474" s="30">
        <f>PM_Angle!$J$19+PM_Angle!$K$19*$C474+PM_Angle!$L$19*$B474</f>
      </c>
      <c r="AI474" s="12">
        <f>IF(AH474&gt;0,IF(AH474&lt;=eco,alpha*fck*(1-(1-AH474/eco)^n),alpha*fck),0)</f>
      </c>
      <c r="AJ474" s="30">
        <f>PM_Angle!$J$20+PM_Angle!$K$20*$C474+PM_Angle!$L$20*$B474</f>
      </c>
      <c r="AK474" s="12">
        <f>IF(AJ474&gt;0,IF(AJ474&lt;=eco,alpha*fck*(1-(1-AJ474/eco)^n),alpha*fck),0)</f>
      </c>
      <c r="AL474" s="30">
        <f>PM_Angle!$J$21+PM_Angle!$K$21*$C474+PM_Angle!$L$21*$B474</f>
      </c>
      <c r="AM474" s="12">
        <f>IF(AL474&gt;0,IF(AL474&lt;=eco,alpha*fck*(1-(1-AL474/eco)^n),alpha*fck),0)</f>
      </c>
      <c r="AN474" s="30">
        <f>PM_Angle!$J$22+PM_Angle!$K$22*$C474+PM_Angle!$L$22*$B474</f>
      </c>
      <c r="AO474" s="12">
        <f>IF(AN474&gt;0,IF(AN474&lt;=eco,alpha*fck*(1-(1-AN474/eco)^n),alpha*fck),0)</f>
      </c>
      <c r="AP474" s="30">
        <f>PM_Angle!$J$23+PM_Angle!$K$23*$C474+PM_Angle!$L$23*$B474</f>
      </c>
      <c r="AQ474" s="12">
        <f>IF(AP474&gt;0,IF(AP474&lt;=eco,alpha*fck*(1-(1-AP474/eco)^n),alpha*fck),0)</f>
      </c>
      <c r="AR474" s="30">
        <f>PM_Angle!$J$24+PM_Angle!$K$24*$C474+PM_Angle!$L$24*$B474</f>
      </c>
      <c r="AS474" s="12">
        <f>IF(AR474&gt;0,IF(AR474&lt;=eco,alpha*fck*(1-(1-AR474/eco)^n),alpha*fck),0)</f>
      </c>
      <c r="AT474" s="30">
        <f>PM_Angle!$J$25+PM_Angle!$K$25*$C474+PM_Angle!$L$25*$B474</f>
      </c>
      <c r="AU474" s="12">
        <f>IF(AT474&gt;0,IF(AT474&lt;=eco,alpha*fck*(1-(1-AT474/eco)^n),alpha*fck),0)</f>
      </c>
    </row>
    <row r="475" spans="1:47" x14ac:dyDescent="0.25">
      <c r="A475">
        <f>Mesh!A472</f>
      </c>
      <c r="B475" s="12">
        <f>Mesh!B472</f>
      </c>
      <c r="C475" s="12">
        <f>Mesh!C472</f>
      </c>
      <c r="D475" s="12">
        <f>Mesh!D472</f>
      </c>
      <c r="E475" s="30">
        <f>INDEX(St_e0,Det+1)+INDEX(St_kx,Det+1)*C475+INDEX(St_ky,Det+1)*B475</f>
      </c>
      <c r="F475" s="12">
        <f>IF(E475&gt;0,IF(E475&lt;=eco,alpha*fck*(1-(1-E475/eco)^n),alpha*fck),0)</f>
      </c>
      <c r="G475" s="11">
        <f>F475*D475</f>
      </c>
      <c r="H475" s="11">
        <f>G475*C475</f>
      </c>
      <c r="I475" s="11">
        <f>G475*B475</f>
      </c>
      <c r="J475" s="30">
        <f>PM_Angle!$J$7+PM_Angle!$K$7*$C475+PM_Angle!$L$7*$B475</f>
      </c>
      <c r="K475" s="12">
        <f>IF(J475&gt;0,IF(J475&lt;=eco,alpha*fck*(1-(1-J475/eco)^n),alpha*fck),0)</f>
      </c>
      <c r="L475" s="30">
        <f>PM_Angle!$J$8+PM_Angle!$K$8*$C475+PM_Angle!$L$8*$B475</f>
      </c>
      <c r="M475" s="12">
        <f>IF(L475&gt;0,IF(L475&lt;=eco,alpha*fck*(1-(1-L475/eco)^n),alpha*fck),0)</f>
      </c>
      <c r="N475" s="30">
        <f>PM_Angle!$J$9+PM_Angle!$K$9*$C475+PM_Angle!$L$9*$B475</f>
      </c>
      <c r="O475" s="12">
        <f>IF(N475&gt;0,IF(N475&lt;=eco,alpha*fck*(1-(1-N475/eco)^n),alpha*fck),0)</f>
      </c>
      <c r="P475" s="30">
        <f>PM_Angle!$J$10+PM_Angle!$K$10*$C475+PM_Angle!$L$10*$B475</f>
      </c>
      <c r="Q475" s="12">
        <f>IF(P475&gt;0,IF(P475&lt;=eco,alpha*fck*(1-(1-P475/eco)^n),alpha*fck),0)</f>
      </c>
      <c r="R475" s="30">
        <f>PM_Angle!$J$11+PM_Angle!$K$11*$C475+PM_Angle!$L$11*$B475</f>
      </c>
      <c r="S475" s="12">
        <f>IF(R475&gt;0,IF(R475&lt;=eco,alpha*fck*(1-(1-R475/eco)^n),alpha*fck),0)</f>
      </c>
      <c r="T475" s="30">
        <f>PM_Angle!$J$12+PM_Angle!$K$12*$C475+PM_Angle!$L$12*$B475</f>
      </c>
      <c r="U475" s="12">
        <f>IF(T475&gt;0,IF(T475&lt;=eco,alpha*fck*(1-(1-T475/eco)^n),alpha*fck),0)</f>
      </c>
      <c r="V475" s="30">
        <f>PM_Angle!$J$13+PM_Angle!$K$13*$C475+PM_Angle!$L$13*$B475</f>
      </c>
      <c r="W475" s="12">
        <f>IF(V475&gt;0,IF(V475&lt;=eco,alpha*fck*(1-(1-V475/eco)^n),alpha*fck),0)</f>
      </c>
      <c r="X475" s="30">
        <f>PM_Angle!$J$14+PM_Angle!$K$14*$C475+PM_Angle!$L$14*$B475</f>
      </c>
      <c r="Y475" s="12">
        <f>IF(X475&gt;0,IF(X475&lt;=eco,alpha*fck*(1-(1-X475/eco)^n),alpha*fck),0)</f>
      </c>
      <c r="Z475" s="30">
        <f>PM_Angle!$J$15+PM_Angle!$K$15*$C475+PM_Angle!$L$15*$B475</f>
      </c>
      <c r="AA475" s="12">
        <f>IF(Z475&gt;0,IF(Z475&lt;=eco,alpha*fck*(1-(1-Z475/eco)^n),alpha*fck),0)</f>
      </c>
      <c r="AB475" s="30">
        <f>PM_Angle!$J$16+PM_Angle!$K$16*$C475+PM_Angle!$L$16*$B475</f>
      </c>
      <c r="AC475" s="12">
        <f>IF(AB475&gt;0,IF(AB475&lt;=eco,alpha*fck*(1-(1-AB475/eco)^n),alpha*fck),0)</f>
      </c>
      <c r="AD475" s="30">
        <f>PM_Angle!$J$17+PM_Angle!$K$17*$C475+PM_Angle!$L$17*$B475</f>
      </c>
      <c r="AE475" s="12">
        <f>IF(AD475&gt;0,IF(AD475&lt;=eco,alpha*fck*(1-(1-AD475/eco)^n),alpha*fck),0)</f>
      </c>
      <c r="AF475" s="30">
        <f>PM_Angle!$J$18+PM_Angle!$K$18*$C475+PM_Angle!$L$18*$B475</f>
      </c>
      <c r="AG475" s="12">
        <f>IF(AF475&gt;0,IF(AF475&lt;=eco,alpha*fck*(1-(1-AF475/eco)^n),alpha*fck),0)</f>
      </c>
      <c r="AH475" s="30">
        <f>PM_Angle!$J$19+PM_Angle!$K$19*$C475+PM_Angle!$L$19*$B475</f>
      </c>
      <c r="AI475" s="12">
        <f>IF(AH475&gt;0,IF(AH475&lt;=eco,alpha*fck*(1-(1-AH475/eco)^n),alpha*fck),0)</f>
      </c>
      <c r="AJ475" s="30">
        <f>PM_Angle!$J$20+PM_Angle!$K$20*$C475+PM_Angle!$L$20*$B475</f>
      </c>
      <c r="AK475" s="12">
        <f>IF(AJ475&gt;0,IF(AJ475&lt;=eco,alpha*fck*(1-(1-AJ475/eco)^n),alpha*fck),0)</f>
      </c>
      <c r="AL475" s="30">
        <f>PM_Angle!$J$21+PM_Angle!$K$21*$C475+PM_Angle!$L$21*$B475</f>
      </c>
      <c r="AM475" s="12">
        <f>IF(AL475&gt;0,IF(AL475&lt;=eco,alpha*fck*(1-(1-AL475/eco)^n),alpha*fck),0)</f>
      </c>
      <c r="AN475" s="30">
        <f>PM_Angle!$J$22+PM_Angle!$K$22*$C475+PM_Angle!$L$22*$B475</f>
      </c>
      <c r="AO475" s="12">
        <f>IF(AN475&gt;0,IF(AN475&lt;=eco,alpha*fck*(1-(1-AN475/eco)^n),alpha*fck),0)</f>
      </c>
      <c r="AP475" s="30">
        <f>PM_Angle!$J$23+PM_Angle!$K$23*$C475+PM_Angle!$L$23*$B475</f>
      </c>
      <c r="AQ475" s="12">
        <f>IF(AP475&gt;0,IF(AP475&lt;=eco,alpha*fck*(1-(1-AP475/eco)^n),alpha*fck),0)</f>
      </c>
      <c r="AR475" s="30">
        <f>PM_Angle!$J$24+PM_Angle!$K$24*$C475+PM_Angle!$L$24*$B475</f>
      </c>
      <c r="AS475" s="12">
        <f>IF(AR475&gt;0,IF(AR475&lt;=eco,alpha*fck*(1-(1-AR475/eco)^n),alpha*fck),0)</f>
      </c>
      <c r="AT475" s="30">
        <f>PM_Angle!$J$25+PM_Angle!$K$25*$C475+PM_Angle!$L$25*$B475</f>
      </c>
      <c r="AU475" s="12">
        <f>IF(AT475&gt;0,IF(AT475&lt;=eco,alpha*fck*(1-(1-AT475/eco)^n),alpha*fck),0)</f>
      </c>
    </row>
    <row r="476" spans="1:47" x14ac:dyDescent="0.25">
      <c r="A476">
        <f>Mesh!A473</f>
      </c>
      <c r="B476" s="12">
        <f>Mesh!B473</f>
      </c>
      <c r="C476" s="12">
        <f>Mesh!C473</f>
      </c>
      <c r="D476" s="12">
        <f>Mesh!D473</f>
      </c>
      <c r="E476" s="30">
        <f>INDEX(St_e0,Det+1)+INDEX(St_kx,Det+1)*C476+INDEX(St_ky,Det+1)*B476</f>
      </c>
      <c r="F476" s="12">
        <f>IF(E476&gt;0,IF(E476&lt;=eco,alpha*fck*(1-(1-E476/eco)^n),alpha*fck),0)</f>
      </c>
      <c r="G476" s="11">
        <f>F476*D476</f>
      </c>
      <c r="H476" s="11">
        <f>G476*C476</f>
      </c>
      <c r="I476" s="11">
        <f>G476*B476</f>
      </c>
      <c r="J476" s="30">
        <f>PM_Angle!$J$7+PM_Angle!$K$7*$C476+PM_Angle!$L$7*$B476</f>
      </c>
      <c r="K476" s="12">
        <f>IF(J476&gt;0,IF(J476&lt;=eco,alpha*fck*(1-(1-J476/eco)^n),alpha*fck),0)</f>
      </c>
      <c r="L476" s="30">
        <f>PM_Angle!$J$8+PM_Angle!$K$8*$C476+PM_Angle!$L$8*$B476</f>
      </c>
      <c r="M476" s="12">
        <f>IF(L476&gt;0,IF(L476&lt;=eco,alpha*fck*(1-(1-L476/eco)^n),alpha*fck),0)</f>
      </c>
      <c r="N476" s="30">
        <f>PM_Angle!$J$9+PM_Angle!$K$9*$C476+PM_Angle!$L$9*$B476</f>
      </c>
      <c r="O476" s="12">
        <f>IF(N476&gt;0,IF(N476&lt;=eco,alpha*fck*(1-(1-N476/eco)^n),alpha*fck),0)</f>
      </c>
      <c r="P476" s="30">
        <f>PM_Angle!$J$10+PM_Angle!$K$10*$C476+PM_Angle!$L$10*$B476</f>
      </c>
      <c r="Q476" s="12">
        <f>IF(P476&gt;0,IF(P476&lt;=eco,alpha*fck*(1-(1-P476/eco)^n),alpha*fck),0)</f>
      </c>
      <c r="R476" s="30">
        <f>PM_Angle!$J$11+PM_Angle!$K$11*$C476+PM_Angle!$L$11*$B476</f>
      </c>
      <c r="S476" s="12">
        <f>IF(R476&gt;0,IF(R476&lt;=eco,alpha*fck*(1-(1-R476/eco)^n),alpha*fck),0)</f>
      </c>
      <c r="T476" s="30">
        <f>PM_Angle!$J$12+PM_Angle!$K$12*$C476+PM_Angle!$L$12*$B476</f>
      </c>
      <c r="U476" s="12">
        <f>IF(T476&gt;0,IF(T476&lt;=eco,alpha*fck*(1-(1-T476/eco)^n),alpha*fck),0)</f>
      </c>
      <c r="V476" s="30">
        <f>PM_Angle!$J$13+PM_Angle!$K$13*$C476+PM_Angle!$L$13*$B476</f>
      </c>
      <c r="W476" s="12">
        <f>IF(V476&gt;0,IF(V476&lt;=eco,alpha*fck*(1-(1-V476/eco)^n),alpha*fck),0)</f>
      </c>
      <c r="X476" s="30">
        <f>PM_Angle!$J$14+PM_Angle!$K$14*$C476+PM_Angle!$L$14*$B476</f>
      </c>
      <c r="Y476" s="12">
        <f>IF(X476&gt;0,IF(X476&lt;=eco,alpha*fck*(1-(1-X476/eco)^n),alpha*fck),0)</f>
      </c>
      <c r="Z476" s="30">
        <f>PM_Angle!$J$15+PM_Angle!$K$15*$C476+PM_Angle!$L$15*$B476</f>
      </c>
      <c r="AA476" s="12">
        <f>IF(Z476&gt;0,IF(Z476&lt;=eco,alpha*fck*(1-(1-Z476/eco)^n),alpha*fck),0)</f>
      </c>
      <c r="AB476" s="30">
        <f>PM_Angle!$J$16+PM_Angle!$K$16*$C476+PM_Angle!$L$16*$B476</f>
      </c>
      <c r="AC476" s="12">
        <f>IF(AB476&gt;0,IF(AB476&lt;=eco,alpha*fck*(1-(1-AB476/eco)^n),alpha*fck),0)</f>
      </c>
      <c r="AD476" s="30">
        <f>PM_Angle!$J$17+PM_Angle!$K$17*$C476+PM_Angle!$L$17*$B476</f>
      </c>
      <c r="AE476" s="12">
        <f>IF(AD476&gt;0,IF(AD476&lt;=eco,alpha*fck*(1-(1-AD476/eco)^n),alpha*fck),0)</f>
      </c>
      <c r="AF476" s="30">
        <f>PM_Angle!$J$18+PM_Angle!$K$18*$C476+PM_Angle!$L$18*$B476</f>
      </c>
      <c r="AG476" s="12">
        <f>IF(AF476&gt;0,IF(AF476&lt;=eco,alpha*fck*(1-(1-AF476/eco)^n),alpha*fck),0)</f>
      </c>
      <c r="AH476" s="30">
        <f>PM_Angle!$J$19+PM_Angle!$K$19*$C476+PM_Angle!$L$19*$B476</f>
      </c>
      <c r="AI476" s="12">
        <f>IF(AH476&gt;0,IF(AH476&lt;=eco,alpha*fck*(1-(1-AH476/eco)^n),alpha*fck),0)</f>
      </c>
      <c r="AJ476" s="30">
        <f>PM_Angle!$J$20+PM_Angle!$K$20*$C476+PM_Angle!$L$20*$B476</f>
      </c>
      <c r="AK476" s="12">
        <f>IF(AJ476&gt;0,IF(AJ476&lt;=eco,alpha*fck*(1-(1-AJ476/eco)^n),alpha*fck),0)</f>
      </c>
      <c r="AL476" s="30">
        <f>PM_Angle!$J$21+PM_Angle!$K$21*$C476+PM_Angle!$L$21*$B476</f>
      </c>
      <c r="AM476" s="12">
        <f>IF(AL476&gt;0,IF(AL476&lt;=eco,alpha*fck*(1-(1-AL476/eco)^n),alpha*fck),0)</f>
      </c>
      <c r="AN476" s="30">
        <f>PM_Angle!$J$22+PM_Angle!$K$22*$C476+PM_Angle!$L$22*$B476</f>
      </c>
      <c r="AO476" s="12">
        <f>IF(AN476&gt;0,IF(AN476&lt;=eco,alpha*fck*(1-(1-AN476/eco)^n),alpha*fck),0)</f>
      </c>
      <c r="AP476" s="30">
        <f>PM_Angle!$J$23+PM_Angle!$K$23*$C476+PM_Angle!$L$23*$B476</f>
      </c>
      <c r="AQ476" s="12">
        <f>IF(AP476&gt;0,IF(AP476&lt;=eco,alpha*fck*(1-(1-AP476/eco)^n),alpha*fck),0)</f>
      </c>
      <c r="AR476" s="30">
        <f>PM_Angle!$J$24+PM_Angle!$K$24*$C476+PM_Angle!$L$24*$B476</f>
      </c>
      <c r="AS476" s="12">
        <f>IF(AR476&gt;0,IF(AR476&lt;=eco,alpha*fck*(1-(1-AR476/eco)^n),alpha*fck),0)</f>
      </c>
      <c r="AT476" s="30">
        <f>PM_Angle!$J$25+PM_Angle!$K$25*$C476+PM_Angle!$L$25*$B476</f>
      </c>
      <c r="AU476" s="12">
        <f>IF(AT476&gt;0,IF(AT476&lt;=eco,alpha*fck*(1-(1-AT476/eco)^n),alpha*fck),0)</f>
      </c>
    </row>
    <row r="477" spans="1:47" x14ac:dyDescent="0.25">
      <c r="A477">
        <f>Mesh!A474</f>
      </c>
      <c r="B477" s="12">
        <f>Mesh!B474</f>
      </c>
      <c r="C477" s="12">
        <f>Mesh!C474</f>
      </c>
      <c r="D477" s="12">
        <f>Mesh!D474</f>
      </c>
      <c r="E477" s="30">
        <f>INDEX(St_e0,Det+1)+INDEX(St_kx,Det+1)*C477+INDEX(St_ky,Det+1)*B477</f>
      </c>
      <c r="F477" s="12">
        <f>IF(E477&gt;0,IF(E477&lt;=eco,alpha*fck*(1-(1-E477/eco)^n),alpha*fck),0)</f>
      </c>
      <c r="G477" s="11">
        <f>F477*D477</f>
      </c>
      <c r="H477" s="11">
        <f>G477*C477</f>
      </c>
      <c r="I477" s="11">
        <f>G477*B477</f>
      </c>
      <c r="J477" s="30">
        <f>PM_Angle!$J$7+PM_Angle!$K$7*$C477+PM_Angle!$L$7*$B477</f>
      </c>
      <c r="K477" s="12">
        <f>IF(J477&gt;0,IF(J477&lt;=eco,alpha*fck*(1-(1-J477/eco)^n),alpha*fck),0)</f>
      </c>
      <c r="L477" s="30">
        <f>PM_Angle!$J$8+PM_Angle!$K$8*$C477+PM_Angle!$L$8*$B477</f>
      </c>
      <c r="M477" s="12">
        <f>IF(L477&gt;0,IF(L477&lt;=eco,alpha*fck*(1-(1-L477/eco)^n),alpha*fck),0)</f>
      </c>
      <c r="N477" s="30">
        <f>PM_Angle!$J$9+PM_Angle!$K$9*$C477+PM_Angle!$L$9*$B477</f>
      </c>
      <c r="O477" s="12">
        <f>IF(N477&gt;0,IF(N477&lt;=eco,alpha*fck*(1-(1-N477/eco)^n),alpha*fck),0)</f>
      </c>
      <c r="P477" s="30">
        <f>PM_Angle!$J$10+PM_Angle!$K$10*$C477+PM_Angle!$L$10*$B477</f>
      </c>
      <c r="Q477" s="12">
        <f>IF(P477&gt;0,IF(P477&lt;=eco,alpha*fck*(1-(1-P477/eco)^n),alpha*fck),0)</f>
      </c>
      <c r="R477" s="30">
        <f>PM_Angle!$J$11+PM_Angle!$K$11*$C477+PM_Angle!$L$11*$B477</f>
      </c>
      <c r="S477" s="12">
        <f>IF(R477&gt;0,IF(R477&lt;=eco,alpha*fck*(1-(1-R477/eco)^n),alpha*fck),0)</f>
      </c>
      <c r="T477" s="30">
        <f>PM_Angle!$J$12+PM_Angle!$K$12*$C477+PM_Angle!$L$12*$B477</f>
      </c>
      <c r="U477" s="12">
        <f>IF(T477&gt;0,IF(T477&lt;=eco,alpha*fck*(1-(1-T477/eco)^n),alpha*fck),0)</f>
      </c>
      <c r="V477" s="30">
        <f>PM_Angle!$J$13+PM_Angle!$K$13*$C477+PM_Angle!$L$13*$B477</f>
      </c>
      <c r="W477" s="12">
        <f>IF(V477&gt;0,IF(V477&lt;=eco,alpha*fck*(1-(1-V477/eco)^n),alpha*fck),0)</f>
      </c>
      <c r="X477" s="30">
        <f>PM_Angle!$J$14+PM_Angle!$K$14*$C477+PM_Angle!$L$14*$B477</f>
      </c>
      <c r="Y477" s="12">
        <f>IF(X477&gt;0,IF(X477&lt;=eco,alpha*fck*(1-(1-X477/eco)^n),alpha*fck),0)</f>
      </c>
      <c r="Z477" s="30">
        <f>PM_Angle!$J$15+PM_Angle!$K$15*$C477+PM_Angle!$L$15*$B477</f>
      </c>
      <c r="AA477" s="12">
        <f>IF(Z477&gt;0,IF(Z477&lt;=eco,alpha*fck*(1-(1-Z477/eco)^n),alpha*fck),0)</f>
      </c>
      <c r="AB477" s="30">
        <f>PM_Angle!$J$16+PM_Angle!$K$16*$C477+PM_Angle!$L$16*$B477</f>
      </c>
      <c r="AC477" s="12">
        <f>IF(AB477&gt;0,IF(AB477&lt;=eco,alpha*fck*(1-(1-AB477/eco)^n),alpha*fck),0)</f>
      </c>
      <c r="AD477" s="30">
        <f>PM_Angle!$J$17+PM_Angle!$K$17*$C477+PM_Angle!$L$17*$B477</f>
      </c>
      <c r="AE477" s="12">
        <f>IF(AD477&gt;0,IF(AD477&lt;=eco,alpha*fck*(1-(1-AD477/eco)^n),alpha*fck),0)</f>
      </c>
      <c r="AF477" s="30">
        <f>PM_Angle!$J$18+PM_Angle!$K$18*$C477+PM_Angle!$L$18*$B477</f>
      </c>
      <c r="AG477" s="12">
        <f>IF(AF477&gt;0,IF(AF477&lt;=eco,alpha*fck*(1-(1-AF477/eco)^n),alpha*fck),0)</f>
      </c>
      <c r="AH477" s="30">
        <f>PM_Angle!$J$19+PM_Angle!$K$19*$C477+PM_Angle!$L$19*$B477</f>
      </c>
      <c r="AI477" s="12">
        <f>IF(AH477&gt;0,IF(AH477&lt;=eco,alpha*fck*(1-(1-AH477/eco)^n),alpha*fck),0)</f>
      </c>
      <c r="AJ477" s="30">
        <f>PM_Angle!$J$20+PM_Angle!$K$20*$C477+PM_Angle!$L$20*$B477</f>
      </c>
      <c r="AK477" s="12">
        <f>IF(AJ477&gt;0,IF(AJ477&lt;=eco,alpha*fck*(1-(1-AJ477/eco)^n),alpha*fck),0)</f>
      </c>
      <c r="AL477" s="30">
        <f>PM_Angle!$J$21+PM_Angle!$K$21*$C477+PM_Angle!$L$21*$B477</f>
      </c>
      <c r="AM477" s="12">
        <f>IF(AL477&gt;0,IF(AL477&lt;=eco,alpha*fck*(1-(1-AL477/eco)^n),alpha*fck),0)</f>
      </c>
      <c r="AN477" s="30">
        <f>PM_Angle!$J$22+PM_Angle!$K$22*$C477+PM_Angle!$L$22*$B477</f>
      </c>
      <c r="AO477" s="12">
        <f>IF(AN477&gt;0,IF(AN477&lt;=eco,alpha*fck*(1-(1-AN477/eco)^n),alpha*fck),0)</f>
      </c>
      <c r="AP477" s="30">
        <f>PM_Angle!$J$23+PM_Angle!$K$23*$C477+PM_Angle!$L$23*$B477</f>
      </c>
      <c r="AQ477" s="12">
        <f>IF(AP477&gt;0,IF(AP477&lt;=eco,alpha*fck*(1-(1-AP477/eco)^n),alpha*fck),0)</f>
      </c>
      <c r="AR477" s="30">
        <f>PM_Angle!$J$24+PM_Angle!$K$24*$C477+PM_Angle!$L$24*$B477</f>
      </c>
      <c r="AS477" s="12">
        <f>IF(AR477&gt;0,IF(AR477&lt;=eco,alpha*fck*(1-(1-AR477/eco)^n),alpha*fck),0)</f>
      </c>
      <c r="AT477" s="30">
        <f>PM_Angle!$J$25+PM_Angle!$K$25*$C477+PM_Angle!$L$25*$B477</f>
      </c>
      <c r="AU477" s="12">
        <f>IF(AT477&gt;0,IF(AT477&lt;=eco,alpha*fck*(1-(1-AT477/eco)^n),alpha*fck),0)</f>
      </c>
    </row>
    <row r="478" spans="1:47" x14ac:dyDescent="0.25">
      <c r="A478">
        <f>Mesh!A475</f>
      </c>
      <c r="B478" s="12">
        <f>Mesh!B475</f>
      </c>
      <c r="C478" s="12">
        <f>Mesh!C475</f>
      </c>
      <c r="D478" s="12">
        <f>Mesh!D475</f>
      </c>
      <c r="E478" s="30">
        <f>INDEX(St_e0,Det+1)+INDEX(St_kx,Det+1)*C478+INDEX(St_ky,Det+1)*B478</f>
      </c>
      <c r="F478" s="12">
        <f>IF(E478&gt;0,IF(E478&lt;=eco,alpha*fck*(1-(1-E478/eco)^n),alpha*fck),0)</f>
      </c>
      <c r="G478" s="11">
        <f>F478*D478</f>
      </c>
      <c r="H478" s="11">
        <f>G478*C478</f>
      </c>
      <c r="I478" s="11">
        <f>G478*B478</f>
      </c>
      <c r="J478" s="30">
        <f>PM_Angle!$J$7+PM_Angle!$K$7*$C478+PM_Angle!$L$7*$B478</f>
      </c>
      <c r="K478" s="12">
        <f>IF(J478&gt;0,IF(J478&lt;=eco,alpha*fck*(1-(1-J478/eco)^n),alpha*fck),0)</f>
      </c>
      <c r="L478" s="30">
        <f>PM_Angle!$J$8+PM_Angle!$K$8*$C478+PM_Angle!$L$8*$B478</f>
      </c>
      <c r="M478" s="12">
        <f>IF(L478&gt;0,IF(L478&lt;=eco,alpha*fck*(1-(1-L478/eco)^n),alpha*fck),0)</f>
      </c>
      <c r="N478" s="30">
        <f>PM_Angle!$J$9+PM_Angle!$K$9*$C478+PM_Angle!$L$9*$B478</f>
      </c>
      <c r="O478" s="12">
        <f>IF(N478&gt;0,IF(N478&lt;=eco,alpha*fck*(1-(1-N478/eco)^n),alpha*fck),0)</f>
      </c>
      <c r="P478" s="30">
        <f>PM_Angle!$J$10+PM_Angle!$K$10*$C478+PM_Angle!$L$10*$B478</f>
      </c>
      <c r="Q478" s="12">
        <f>IF(P478&gt;0,IF(P478&lt;=eco,alpha*fck*(1-(1-P478/eco)^n),alpha*fck),0)</f>
      </c>
      <c r="R478" s="30">
        <f>PM_Angle!$J$11+PM_Angle!$K$11*$C478+PM_Angle!$L$11*$B478</f>
      </c>
      <c r="S478" s="12">
        <f>IF(R478&gt;0,IF(R478&lt;=eco,alpha*fck*(1-(1-R478/eco)^n),alpha*fck),0)</f>
      </c>
      <c r="T478" s="30">
        <f>PM_Angle!$J$12+PM_Angle!$K$12*$C478+PM_Angle!$L$12*$B478</f>
      </c>
      <c r="U478" s="12">
        <f>IF(T478&gt;0,IF(T478&lt;=eco,alpha*fck*(1-(1-T478/eco)^n),alpha*fck),0)</f>
      </c>
      <c r="V478" s="30">
        <f>PM_Angle!$J$13+PM_Angle!$K$13*$C478+PM_Angle!$L$13*$B478</f>
      </c>
      <c r="W478" s="12">
        <f>IF(V478&gt;0,IF(V478&lt;=eco,alpha*fck*(1-(1-V478/eco)^n),alpha*fck),0)</f>
      </c>
      <c r="X478" s="30">
        <f>PM_Angle!$J$14+PM_Angle!$K$14*$C478+PM_Angle!$L$14*$B478</f>
      </c>
      <c r="Y478" s="12">
        <f>IF(X478&gt;0,IF(X478&lt;=eco,alpha*fck*(1-(1-X478/eco)^n),alpha*fck),0)</f>
      </c>
      <c r="Z478" s="30">
        <f>PM_Angle!$J$15+PM_Angle!$K$15*$C478+PM_Angle!$L$15*$B478</f>
      </c>
      <c r="AA478" s="12">
        <f>IF(Z478&gt;0,IF(Z478&lt;=eco,alpha*fck*(1-(1-Z478/eco)^n),alpha*fck),0)</f>
      </c>
      <c r="AB478" s="30">
        <f>PM_Angle!$J$16+PM_Angle!$K$16*$C478+PM_Angle!$L$16*$B478</f>
      </c>
      <c r="AC478" s="12">
        <f>IF(AB478&gt;0,IF(AB478&lt;=eco,alpha*fck*(1-(1-AB478/eco)^n),alpha*fck),0)</f>
      </c>
      <c r="AD478" s="30">
        <f>PM_Angle!$J$17+PM_Angle!$K$17*$C478+PM_Angle!$L$17*$B478</f>
      </c>
      <c r="AE478" s="12">
        <f>IF(AD478&gt;0,IF(AD478&lt;=eco,alpha*fck*(1-(1-AD478/eco)^n),alpha*fck),0)</f>
      </c>
      <c r="AF478" s="30">
        <f>PM_Angle!$J$18+PM_Angle!$K$18*$C478+PM_Angle!$L$18*$B478</f>
      </c>
      <c r="AG478" s="12">
        <f>IF(AF478&gt;0,IF(AF478&lt;=eco,alpha*fck*(1-(1-AF478/eco)^n),alpha*fck),0)</f>
      </c>
      <c r="AH478" s="30">
        <f>PM_Angle!$J$19+PM_Angle!$K$19*$C478+PM_Angle!$L$19*$B478</f>
      </c>
      <c r="AI478" s="12">
        <f>IF(AH478&gt;0,IF(AH478&lt;=eco,alpha*fck*(1-(1-AH478/eco)^n),alpha*fck),0)</f>
      </c>
      <c r="AJ478" s="30">
        <f>PM_Angle!$J$20+PM_Angle!$K$20*$C478+PM_Angle!$L$20*$B478</f>
      </c>
      <c r="AK478" s="12">
        <f>IF(AJ478&gt;0,IF(AJ478&lt;=eco,alpha*fck*(1-(1-AJ478/eco)^n),alpha*fck),0)</f>
      </c>
      <c r="AL478" s="30">
        <f>PM_Angle!$J$21+PM_Angle!$K$21*$C478+PM_Angle!$L$21*$B478</f>
      </c>
      <c r="AM478" s="12">
        <f>IF(AL478&gt;0,IF(AL478&lt;=eco,alpha*fck*(1-(1-AL478/eco)^n),alpha*fck),0)</f>
      </c>
      <c r="AN478" s="30">
        <f>PM_Angle!$J$22+PM_Angle!$K$22*$C478+PM_Angle!$L$22*$B478</f>
      </c>
      <c r="AO478" s="12">
        <f>IF(AN478&gt;0,IF(AN478&lt;=eco,alpha*fck*(1-(1-AN478/eco)^n),alpha*fck),0)</f>
      </c>
      <c r="AP478" s="30">
        <f>PM_Angle!$J$23+PM_Angle!$K$23*$C478+PM_Angle!$L$23*$B478</f>
      </c>
      <c r="AQ478" s="12">
        <f>IF(AP478&gt;0,IF(AP478&lt;=eco,alpha*fck*(1-(1-AP478/eco)^n),alpha*fck),0)</f>
      </c>
      <c r="AR478" s="30">
        <f>PM_Angle!$J$24+PM_Angle!$K$24*$C478+PM_Angle!$L$24*$B478</f>
      </c>
      <c r="AS478" s="12">
        <f>IF(AR478&gt;0,IF(AR478&lt;=eco,alpha*fck*(1-(1-AR478/eco)^n),alpha*fck),0)</f>
      </c>
      <c r="AT478" s="30">
        <f>PM_Angle!$J$25+PM_Angle!$K$25*$C478+PM_Angle!$L$25*$B478</f>
      </c>
      <c r="AU478" s="12">
        <f>IF(AT478&gt;0,IF(AT478&lt;=eco,alpha*fck*(1-(1-AT478/eco)^n),alpha*fck),0)</f>
      </c>
    </row>
    <row r="479" spans="1:47" x14ac:dyDescent="0.25">
      <c r="A479">
        <f>Mesh!A476</f>
      </c>
      <c r="B479" s="12">
        <f>Mesh!B476</f>
      </c>
      <c r="C479" s="12">
        <f>Mesh!C476</f>
      </c>
      <c r="D479" s="12">
        <f>Mesh!D476</f>
      </c>
      <c r="E479" s="30">
        <f>INDEX(St_e0,Det+1)+INDEX(St_kx,Det+1)*C479+INDEX(St_ky,Det+1)*B479</f>
      </c>
      <c r="F479" s="12">
        <f>IF(E479&gt;0,IF(E479&lt;=eco,alpha*fck*(1-(1-E479/eco)^n),alpha*fck),0)</f>
      </c>
      <c r="G479" s="11">
        <f>F479*D479</f>
      </c>
      <c r="H479" s="11">
        <f>G479*C479</f>
      </c>
      <c r="I479" s="11">
        <f>G479*B479</f>
      </c>
      <c r="J479" s="30">
        <f>PM_Angle!$J$7+PM_Angle!$K$7*$C479+PM_Angle!$L$7*$B479</f>
      </c>
      <c r="K479" s="12">
        <f>IF(J479&gt;0,IF(J479&lt;=eco,alpha*fck*(1-(1-J479/eco)^n),alpha*fck),0)</f>
      </c>
      <c r="L479" s="30">
        <f>PM_Angle!$J$8+PM_Angle!$K$8*$C479+PM_Angle!$L$8*$B479</f>
      </c>
      <c r="M479" s="12">
        <f>IF(L479&gt;0,IF(L479&lt;=eco,alpha*fck*(1-(1-L479/eco)^n),alpha*fck),0)</f>
      </c>
      <c r="N479" s="30">
        <f>PM_Angle!$J$9+PM_Angle!$K$9*$C479+PM_Angle!$L$9*$B479</f>
      </c>
      <c r="O479" s="12">
        <f>IF(N479&gt;0,IF(N479&lt;=eco,alpha*fck*(1-(1-N479/eco)^n),alpha*fck),0)</f>
      </c>
      <c r="P479" s="30">
        <f>PM_Angle!$J$10+PM_Angle!$K$10*$C479+PM_Angle!$L$10*$B479</f>
      </c>
      <c r="Q479" s="12">
        <f>IF(P479&gt;0,IF(P479&lt;=eco,alpha*fck*(1-(1-P479/eco)^n),alpha*fck),0)</f>
      </c>
      <c r="R479" s="30">
        <f>PM_Angle!$J$11+PM_Angle!$K$11*$C479+PM_Angle!$L$11*$B479</f>
      </c>
      <c r="S479" s="12">
        <f>IF(R479&gt;0,IF(R479&lt;=eco,alpha*fck*(1-(1-R479/eco)^n),alpha*fck),0)</f>
      </c>
      <c r="T479" s="30">
        <f>PM_Angle!$J$12+PM_Angle!$K$12*$C479+PM_Angle!$L$12*$B479</f>
      </c>
      <c r="U479" s="12">
        <f>IF(T479&gt;0,IF(T479&lt;=eco,alpha*fck*(1-(1-T479/eco)^n),alpha*fck),0)</f>
      </c>
      <c r="V479" s="30">
        <f>PM_Angle!$J$13+PM_Angle!$K$13*$C479+PM_Angle!$L$13*$B479</f>
      </c>
      <c r="W479" s="12">
        <f>IF(V479&gt;0,IF(V479&lt;=eco,alpha*fck*(1-(1-V479/eco)^n),alpha*fck),0)</f>
      </c>
      <c r="X479" s="30">
        <f>PM_Angle!$J$14+PM_Angle!$K$14*$C479+PM_Angle!$L$14*$B479</f>
      </c>
      <c r="Y479" s="12">
        <f>IF(X479&gt;0,IF(X479&lt;=eco,alpha*fck*(1-(1-X479/eco)^n),alpha*fck),0)</f>
      </c>
      <c r="Z479" s="30">
        <f>PM_Angle!$J$15+PM_Angle!$K$15*$C479+PM_Angle!$L$15*$B479</f>
      </c>
      <c r="AA479" s="12">
        <f>IF(Z479&gt;0,IF(Z479&lt;=eco,alpha*fck*(1-(1-Z479/eco)^n),alpha*fck),0)</f>
      </c>
      <c r="AB479" s="30">
        <f>PM_Angle!$J$16+PM_Angle!$K$16*$C479+PM_Angle!$L$16*$B479</f>
      </c>
      <c r="AC479" s="12">
        <f>IF(AB479&gt;0,IF(AB479&lt;=eco,alpha*fck*(1-(1-AB479/eco)^n),alpha*fck),0)</f>
      </c>
      <c r="AD479" s="30">
        <f>PM_Angle!$J$17+PM_Angle!$K$17*$C479+PM_Angle!$L$17*$B479</f>
      </c>
      <c r="AE479" s="12">
        <f>IF(AD479&gt;0,IF(AD479&lt;=eco,alpha*fck*(1-(1-AD479/eco)^n),alpha*fck),0)</f>
      </c>
      <c r="AF479" s="30">
        <f>PM_Angle!$J$18+PM_Angle!$K$18*$C479+PM_Angle!$L$18*$B479</f>
      </c>
      <c r="AG479" s="12">
        <f>IF(AF479&gt;0,IF(AF479&lt;=eco,alpha*fck*(1-(1-AF479/eco)^n),alpha*fck),0)</f>
      </c>
      <c r="AH479" s="30">
        <f>PM_Angle!$J$19+PM_Angle!$K$19*$C479+PM_Angle!$L$19*$B479</f>
      </c>
      <c r="AI479" s="12">
        <f>IF(AH479&gt;0,IF(AH479&lt;=eco,alpha*fck*(1-(1-AH479/eco)^n),alpha*fck),0)</f>
      </c>
      <c r="AJ479" s="30">
        <f>PM_Angle!$J$20+PM_Angle!$K$20*$C479+PM_Angle!$L$20*$B479</f>
      </c>
      <c r="AK479" s="12">
        <f>IF(AJ479&gt;0,IF(AJ479&lt;=eco,alpha*fck*(1-(1-AJ479/eco)^n),alpha*fck),0)</f>
      </c>
      <c r="AL479" s="30">
        <f>PM_Angle!$J$21+PM_Angle!$K$21*$C479+PM_Angle!$L$21*$B479</f>
      </c>
      <c r="AM479" s="12">
        <f>IF(AL479&gt;0,IF(AL479&lt;=eco,alpha*fck*(1-(1-AL479/eco)^n),alpha*fck),0)</f>
      </c>
      <c r="AN479" s="30">
        <f>PM_Angle!$J$22+PM_Angle!$K$22*$C479+PM_Angle!$L$22*$B479</f>
      </c>
      <c r="AO479" s="12">
        <f>IF(AN479&gt;0,IF(AN479&lt;=eco,alpha*fck*(1-(1-AN479/eco)^n),alpha*fck),0)</f>
      </c>
      <c r="AP479" s="30">
        <f>PM_Angle!$J$23+PM_Angle!$K$23*$C479+PM_Angle!$L$23*$B479</f>
      </c>
      <c r="AQ479" s="12">
        <f>IF(AP479&gt;0,IF(AP479&lt;=eco,alpha*fck*(1-(1-AP479/eco)^n),alpha*fck),0)</f>
      </c>
      <c r="AR479" s="30">
        <f>PM_Angle!$J$24+PM_Angle!$K$24*$C479+PM_Angle!$L$24*$B479</f>
      </c>
      <c r="AS479" s="12">
        <f>IF(AR479&gt;0,IF(AR479&lt;=eco,alpha*fck*(1-(1-AR479/eco)^n),alpha*fck),0)</f>
      </c>
      <c r="AT479" s="30">
        <f>PM_Angle!$J$25+PM_Angle!$K$25*$C479+PM_Angle!$L$25*$B479</f>
      </c>
      <c r="AU479" s="12">
        <f>IF(AT479&gt;0,IF(AT479&lt;=eco,alpha*fck*(1-(1-AT479/eco)^n),alpha*fck),0)</f>
      </c>
    </row>
    <row r="480" spans="1:47" x14ac:dyDescent="0.25">
      <c r="A480">
        <f>Mesh!A477</f>
      </c>
      <c r="B480" s="12">
        <f>Mesh!B477</f>
      </c>
      <c r="C480" s="12">
        <f>Mesh!C477</f>
      </c>
      <c r="D480" s="12">
        <f>Mesh!D477</f>
      </c>
      <c r="E480" s="30">
        <f>INDEX(St_e0,Det+1)+INDEX(St_kx,Det+1)*C480+INDEX(St_ky,Det+1)*B480</f>
      </c>
      <c r="F480" s="12">
        <f>IF(E480&gt;0,IF(E480&lt;=eco,alpha*fck*(1-(1-E480/eco)^n),alpha*fck),0)</f>
      </c>
      <c r="G480" s="11">
        <f>F480*D480</f>
      </c>
      <c r="H480" s="11">
        <f>G480*C480</f>
      </c>
      <c r="I480" s="11">
        <f>G480*B480</f>
      </c>
      <c r="J480" s="30">
        <f>PM_Angle!$J$7+PM_Angle!$K$7*$C480+PM_Angle!$L$7*$B480</f>
      </c>
      <c r="K480" s="12">
        <f>IF(J480&gt;0,IF(J480&lt;=eco,alpha*fck*(1-(1-J480/eco)^n),alpha*fck),0)</f>
      </c>
      <c r="L480" s="30">
        <f>PM_Angle!$J$8+PM_Angle!$K$8*$C480+PM_Angle!$L$8*$B480</f>
      </c>
      <c r="M480" s="12">
        <f>IF(L480&gt;0,IF(L480&lt;=eco,alpha*fck*(1-(1-L480/eco)^n),alpha*fck),0)</f>
      </c>
      <c r="N480" s="30">
        <f>PM_Angle!$J$9+PM_Angle!$K$9*$C480+PM_Angle!$L$9*$B480</f>
      </c>
      <c r="O480" s="12">
        <f>IF(N480&gt;0,IF(N480&lt;=eco,alpha*fck*(1-(1-N480/eco)^n),alpha*fck),0)</f>
      </c>
      <c r="P480" s="30">
        <f>PM_Angle!$J$10+PM_Angle!$K$10*$C480+PM_Angle!$L$10*$B480</f>
      </c>
      <c r="Q480" s="12">
        <f>IF(P480&gt;0,IF(P480&lt;=eco,alpha*fck*(1-(1-P480/eco)^n),alpha*fck),0)</f>
      </c>
      <c r="R480" s="30">
        <f>PM_Angle!$J$11+PM_Angle!$K$11*$C480+PM_Angle!$L$11*$B480</f>
      </c>
      <c r="S480" s="12">
        <f>IF(R480&gt;0,IF(R480&lt;=eco,alpha*fck*(1-(1-R480/eco)^n),alpha*fck),0)</f>
      </c>
      <c r="T480" s="30">
        <f>PM_Angle!$J$12+PM_Angle!$K$12*$C480+PM_Angle!$L$12*$B480</f>
      </c>
      <c r="U480" s="12">
        <f>IF(T480&gt;0,IF(T480&lt;=eco,alpha*fck*(1-(1-T480/eco)^n),alpha*fck),0)</f>
      </c>
      <c r="V480" s="30">
        <f>PM_Angle!$J$13+PM_Angle!$K$13*$C480+PM_Angle!$L$13*$B480</f>
      </c>
      <c r="W480" s="12">
        <f>IF(V480&gt;0,IF(V480&lt;=eco,alpha*fck*(1-(1-V480/eco)^n),alpha*fck),0)</f>
      </c>
      <c r="X480" s="30">
        <f>PM_Angle!$J$14+PM_Angle!$K$14*$C480+PM_Angle!$L$14*$B480</f>
      </c>
      <c r="Y480" s="12">
        <f>IF(X480&gt;0,IF(X480&lt;=eco,alpha*fck*(1-(1-X480/eco)^n),alpha*fck),0)</f>
      </c>
      <c r="Z480" s="30">
        <f>PM_Angle!$J$15+PM_Angle!$K$15*$C480+PM_Angle!$L$15*$B480</f>
      </c>
      <c r="AA480" s="12">
        <f>IF(Z480&gt;0,IF(Z480&lt;=eco,alpha*fck*(1-(1-Z480/eco)^n),alpha*fck),0)</f>
      </c>
      <c r="AB480" s="30">
        <f>PM_Angle!$J$16+PM_Angle!$K$16*$C480+PM_Angle!$L$16*$B480</f>
      </c>
      <c r="AC480" s="12">
        <f>IF(AB480&gt;0,IF(AB480&lt;=eco,alpha*fck*(1-(1-AB480/eco)^n),alpha*fck),0)</f>
      </c>
      <c r="AD480" s="30">
        <f>PM_Angle!$J$17+PM_Angle!$K$17*$C480+PM_Angle!$L$17*$B480</f>
      </c>
      <c r="AE480" s="12">
        <f>IF(AD480&gt;0,IF(AD480&lt;=eco,alpha*fck*(1-(1-AD480/eco)^n),alpha*fck),0)</f>
      </c>
      <c r="AF480" s="30">
        <f>PM_Angle!$J$18+PM_Angle!$K$18*$C480+PM_Angle!$L$18*$B480</f>
      </c>
      <c r="AG480" s="12">
        <f>IF(AF480&gt;0,IF(AF480&lt;=eco,alpha*fck*(1-(1-AF480/eco)^n),alpha*fck),0)</f>
      </c>
      <c r="AH480" s="30">
        <f>PM_Angle!$J$19+PM_Angle!$K$19*$C480+PM_Angle!$L$19*$B480</f>
      </c>
      <c r="AI480" s="12">
        <f>IF(AH480&gt;0,IF(AH480&lt;=eco,alpha*fck*(1-(1-AH480/eco)^n),alpha*fck),0)</f>
      </c>
      <c r="AJ480" s="30">
        <f>PM_Angle!$J$20+PM_Angle!$K$20*$C480+PM_Angle!$L$20*$B480</f>
      </c>
      <c r="AK480" s="12">
        <f>IF(AJ480&gt;0,IF(AJ480&lt;=eco,alpha*fck*(1-(1-AJ480/eco)^n),alpha*fck),0)</f>
      </c>
      <c r="AL480" s="30">
        <f>PM_Angle!$J$21+PM_Angle!$K$21*$C480+PM_Angle!$L$21*$B480</f>
      </c>
      <c r="AM480" s="12">
        <f>IF(AL480&gt;0,IF(AL480&lt;=eco,alpha*fck*(1-(1-AL480/eco)^n),alpha*fck),0)</f>
      </c>
      <c r="AN480" s="30">
        <f>PM_Angle!$J$22+PM_Angle!$K$22*$C480+PM_Angle!$L$22*$B480</f>
      </c>
      <c r="AO480" s="12">
        <f>IF(AN480&gt;0,IF(AN480&lt;=eco,alpha*fck*(1-(1-AN480/eco)^n),alpha*fck),0)</f>
      </c>
      <c r="AP480" s="30">
        <f>PM_Angle!$J$23+PM_Angle!$K$23*$C480+PM_Angle!$L$23*$B480</f>
      </c>
      <c r="AQ480" s="12">
        <f>IF(AP480&gt;0,IF(AP480&lt;=eco,alpha*fck*(1-(1-AP480/eco)^n),alpha*fck),0)</f>
      </c>
      <c r="AR480" s="30">
        <f>PM_Angle!$J$24+PM_Angle!$K$24*$C480+PM_Angle!$L$24*$B480</f>
      </c>
      <c r="AS480" s="12">
        <f>IF(AR480&gt;0,IF(AR480&lt;=eco,alpha*fck*(1-(1-AR480/eco)^n),alpha*fck),0)</f>
      </c>
      <c r="AT480" s="30">
        <f>PM_Angle!$J$25+PM_Angle!$K$25*$C480+PM_Angle!$L$25*$B480</f>
      </c>
      <c r="AU480" s="12">
        <f>IF(AT480&gt;0,IF(AT480&lt;=eco,alpha*fck*(1-(1-AT480/eco)^n),alpha*fck),0)</f>
      </c>
    </row>
    <row r="481" spans="1:47" x14ac:dyDescent="0.25">
      <c r="A481">
        <f>Mesh!A478</f>
      </c>
      <c r="B481" s="12">
        <f>Mesh!B478</f>
      </c>
      <c r="C481" s="12">
        <f>Mesh!C478</f>
      </c>
      <c r="D481" s="12">
        <f>Mesh!D478</f>
      </c>
      <c r="E481" s="30">
        <f>INDEX(St_e0,Det+1)+INDEX(St_kx,Det+1)*C481+INDEX(St_ky,Det+1)*B481</f>
      </c>
      <c r="F481" s="12">
        <f>IF(E481&gt;0,IF(E481&lt;=eco,alpha*fck*(1-(1-E481/eco)^n),alpha*fck),0)</f>
      </c>
      <c r="G481" s="11">
        <f>F481*D481</f>
      </c>
      <c r="H481" s="11">
        <f>G481*C481</f>
      </c>
      <c r="I481" s="11">
        <f>G481*B481</f>
      </c>
      <c r="J481" s="30">
        <f>PM_Angle!$J$7+PM_Angle!$K$7*$C481+PM_Angle!$L$7*$B481</f>
      </c>
      <c r="K481" s="12">
        <f>IF(J481&gt;0,IF(J481&lt;=eco,alpha*fck*(1-(1-J481/eco)^n),alpha*fck),0)</f>
      </c>
      <c r="L481" s="30">
        <f>PM_Angle!$J$8+PM_Angle!$K$8*$C481+PM_Angle!$L$8*$B481</f>
      </c>
      <c r="M481" s="12">
        <f>IF(L481&gt;0,IF(L481&lt;=eco,alpha*fck*(1-(1-L481/eco)^n),alpha*fck),0)</f>
      </c>
      <c r="N481" s="30">
        <f>PM_Angle!$J$9+PM_Angle!$K$9*$C481+PM_Angle!$L$9*$B481</f>
      </c>
      <c r="O481" s="12">
        <f>IF(N481&gt;0,IF(N481&lt;=eco,alpha*fck*(1-(1-N481/eco)^n),alpha*fck),0)</f>
      </c>
      <c r="P481" s="30">
        <f>PM_Angle!$J$10+PM_Angle!$K$10*$C481+PM_Angle!$L$10*$B481</f>
      </c>
      <c r="Q481" s="12">
        <f>IF(P481&gt;0,IF(P481&lt;=eco,alpha*fck*(1-(1-P481/eco)^n),alpha*fck),0)</f>
      </c>
      <c r="R481" s="30">
        <f>PM_Angle!$J$11+PM_Angle!$K$11*$C481+PM_Angle!$L$11*$B481</f>
      </c>
      <c r="S481" s="12">
        <f>IF(R481&gt;0,IF(R481&lt;=eco,alpha*fck*(1-(1-R481/eco)^n),alpha*fck),0)</f>
      </c>
      <c r="T481" s="30">
        <f>PM_Angle!$J$12+PM_Angle!$K$12*$C481+PM_Angle!$L$12*$B481</f>
      </c>
      <c r="U481" s="12">
        <f>IF(T481&gt;0,IF(T481&lt;=eco,alpha*fck*(1-(1-T481/eco)^n),alpha*fck),0)</f>
      </c>
      <c r="V481" s="30">
        <f>PM_Angle!$J$13+PM_Angle!$K$13*$C481+PM_Angle!$L$13*$B481</f>
      </c>
      <c r="W481" s="12">
        <f>IF(V481&gt;0,IF(V481&lt;=eco,alpha*fck*(1-(1-V481/eco)^n),alpha*fck),0)</f>
      </c>
      <c r="X481" s="30">
        <f>PM_Angle!$J$14+PM_Angle!$K$14*$C481+PM_Angle!$L$14*$B481</f>
      </c>
      <c r="Y481" s="12">
        <f>IF(X481&gt;0,IF(X481&lt;=eco,alpha*fck*(1-(1-X481/eco)^n),alpha*fck),0)</f>
      </c>
      <c r="Z481" s="30">
        <f>PM_Angle!$J$15+PM_Angle!$K$15*$C481+PM_Angle!$L$15*$B481</f>
      </c>
      <c r="AA481" s="12">
        <f>IF(Z481&gt;0,IF(Z481&lt;=eco,alpha*fck*(1-(1-Z481/eco)^n),alpha*fck),0)</f>
      </c>
      <c r="AB481" s="30">
        <f>PM_Angle!$J$16+PM_Angle!$K$16*$C481+PM_Angle!$L$16*$B481</f>
      </c>
      <c r="AC481" s="12">
        <f>IF(AB481&gt;0,IF(AB481&lt;=eco,alpha*fck*(1-(1-AB481/eco)^n),alpha*fck),0)</f>
      </c>
      <c r="AD481" s="30">
        <f>PM_Angle!$J$17+PM_Angle!$K$17*$C481+PM_Angle!$L$17*$B481</f>
      </c>
      <c r="AE481" s="12">
        <f>IF(AD481&gt;0,IF(AD481&lt;=eco,alpha*fck*(1-(1-AD481/eco)^n),alpha*fck),0)</f>
      </c>
      <c r="AF481" s="30">
        <f>PM_Angle!$J$18+PM_Angle!$K$18*$C481+PM_Angle!$L$18*$B481</f>
      </c>
      <c r="AG481" s="12">
        <f>IF(AF481&gt;0,IF(AF481&lt;=eco,alpha*fck*(1-(1-AF481/eco)^n),alpha*fck),0)</f>
      </c>
      <c r="AH481" s="30">
        <f>PM_Angle!$J$19+PM_Angle!$K$19*$C481+PM_Angle!$L$19*$B481</f>
      </c>
      <c r="AI481" s="12">
        <f>IF(AH481&gt;0,IF(AH481&lt;=eco,alpha*fck*(1-(1-AH481/eco)^n),alpha*fck),0)</f>
      </c>
      <c r="AJ481" s="30">
        <f>PM_Angle!$J$20+PM_Angle!$K$20*$C481+PM_Angle!$L$20*$B481</f>
      </c>
      <c r="AK481" s="12">
        <f>IF(AJ481&gt;0,IF(AJ481&lt;=eco,alpha*fck*(1-(1-AJ481/eco)^n),alpha*fck),0)</f>
      </c>
      <c r="AL481" s="30">
        <f>PM_Angle!$J$21+PM_Angle!$K$21*$C481+PM_Angle!$L$21*$B481</f>
      </c>
      <c r="AM481" s="12">
        <f>IF(AL481&gt;0,IF(AL481&lt;=eco,alpha*fck*(1-(1-AL481/eco)^n),alpha*fck),0)</f>
      </c>
      <c r="AN481" s="30">
        <f>PM_Angle!$J$22+PM_Angle!$K$22*$C481+PM_Angle!$L$22*$B481</f>
      </c>
      <c r="AO481" s="12">
        <f>IF(AN481&gt;0,IF(AN481&lt;=eco,alpha*fck*(1-(1-AN481/eco)^n),alpha*fck),0)</f>
      </c>
      <c r="AP481" s="30">
        <f>PM_Angle!$J$23+PM_Angle!$K$23*$C481+PM_Angle!$L$23*$B481</f>
      </c>
      <c r="AQ481" s="12">
        <f>IF(AP481&gt;0,IF(AP481&lt;=eco,alpha*fck*(1-(1-AP481/eco)^n),alpha*fck),0)</f>
      </c>
      <c r="AR481" s="30">
        <f>PM_Angle!$J$24+PM_Angle!$K$24*$C481+PM_Angle!$L$24*$B481</f>
      </c>
      <c r="AS481" s="12">
        <f>IF(AR481&gt;0,IF(AR481&lt;=eco,alpha*fck*(1-(1-AR481/eco)^n),alpha*fck),0)</f>
      </c>
      <c r="AT481" s="30">
        <f>PM_Angle!$J$25+PM_Angle!$K$25*$C481+PM_Angle!$L$25*$B481</f>
      </c>
      <c r="AU481" s="12">
        <f>IF(AT481&gt;0,IF(AT481&lt;=eco,alpha*fck*(1-(1-AT481/eco)^n),alpha*fck),0)</f>
      </c>
    </row>
    <row r="482" spans="1:47" x14ac:dyDescent="0.25">
      <c r="A482">
        <f>Mesh!A479</f>
      </c>
      <c r="B482" s="12">
        <f>Mesh!B479</f>
      </c>
      <c r="C482" s="12">
        <f>Mesh!C479</f>
      </c>
      <c r="D482" s="12">
        <f>Mesh!D479</f>
      </c>
      <c r="E482" s="30">
        <f>INDEX(St_e0,Det+1)+INDEX(St_kx,Det+1)*C482+INDEX(St_ky,Det+1)*B482</f>
      </c>
      <c r="F482" s="12">
        <f>IF(E482&gt;0,IF(E482&lt;=eco,alpha*fck*(1-(1-E482/eco)^n),alpha*fck),0)</f>
      </c>
      <c r="G482" s="11">
        <f>F482*D482</f>
      </c>
      <c r="H482" s="11">
        <f>G482*C482</f>
      </c>
      <c r="I482" s="11">
        <f>G482*B482</f>
      </c>
      <c r="J482" s="30">
        <f>PM_Angle!$J$7+PM_Angle!$K$7*$C482+PM_Angle!$L$7*$B482</f>
      </c>
      <c r="K482" s="12">
        <f>IF(J482&gt;0,IF(J482&lt;=eco,alpha*fck*(1-(1-J482/eco)^n),alpha*fck),0)</f>
      </c>
      <c r="L482" s="30">
        <f>PM_Angle!$J$8+PM_Angle!$K$8*$C482+PM_Angle!$L$8*$B482</f>
      </c>
      <c r="M482" s="12">
        <f>IF(L482&gt;0,IF(L482&lt;=eco,alpha*fck*(1-(1-L482/eco)^n),alpha*fck),0)</f>
      </c>
      <c r="N482" s="30">
        <f>PM_Angle!$J$9+PM_Angle!$K$9*$C482+PM_Angle!$L$9*$B482</f>
      </c>
      <c r="O482" s="12">
        <f>IF(N482&gt;0,IF(N482&lt;=eco,alpha*fck*(1-(1-N482/eco)^n),alpha*fck),0)</f>
      </c>
      <c r="P482" s="30">
        <f>PM_Angle!$J$10+PM_Angle!$K$10*$C482+PM_Angle!$L$10*$B482</f>
      </c>
      <c r="Q482" s="12">
        <f>IF(P482&gt;0,IF(P482&lt;=eco,alpha*fck*(1-(1-P482/eco)^n),alpha*fck),0)</f>
      </c>
      <c r="R482" s="30">
        <f>PM_Angle!$J$11+PM_Angle!$K$11*$C482+PM_Angle!$L$11*$B482</f>
      </c>
      <c r="S482" s="12">
        <f>IF(R482&gt;0,IF(R482&lt;=eco,alpha*fck*(1-(1-R482/eco)^n),alpha*fck),0)</f>
      </c>
      <c r="T482" s="30">
        <f>PM_Angle!$J$12+PM_Angle!$K$12*$C482+PM_Angle!$L$12*$B482</f>
      </c>
      <c r="U482" s="12">
        <f>IF(T482&gt;0,IF(T482&lt;=eco,alpha*fck*(1-(1-T482/eco)^n),alpha*fck),0)</f>
      </c>
      <c r="V482" s="30">
        <f>PM_Angle!$J$13+PM_Angle!$K$13*$C482+PM_Angle!$L$13*$B482</f>
      </c>
      <c r="W482" s="12">
        <f>IF(V482&gt;0,IF(V482&lt;=eco,alpha*fck*(1-(1-V482/eco)^n),alpha*fck),0)</f>
      </c>
      <c r="X482" s="30">
        <f>PM_Angle!$J$14+PM_Angle!$K$14*$C482+PM_Angle!$L$14*$B482</f>
      </c>
      <c r="Y482" s="12">
        <f>IF(X482&gt;0,IF(X482&lt;=eco,alpha*fck*(1-(1-X482/eco)^n),alpha*fck),0)</f>
      </c>
      <c r="Z482" s="30">
        <f>PM_Angle!$J$15+PM_Angle!$K$15*$C482+PM_Angle!$L$15*$B482</f>
      </c>
      <c r="AA482" s="12">
        <f>IF(Z482&gt;0,IF(Z482&lt;=eco,alpha*fck*(1-(1-Z482/eco)^n),alpha*fck),0)</f>
      </c>
      <c r="AB482" s="30">
        <f>PM_Angle!$J$16+PM_Angle!$K$16*$C482+PM_Angle!$L$16*$B482</f>
      </c>
      <c r="AC482" s="12">
        <f>IF(AB482&gt;0,IF(AB482&lt;=eco,alpha*fck*(1-(1-AB482/eco)^n),alpha*fck),0)</f>
      </c>
      <c r="AD482" s="30">
        <f>PM_Angle!$J$17+PM_Angle!$K$17*$C482+PM_Angle!$L$17*$B482</f>
      </c>
      <c r="AE482" s="12">
        <f>IF(AD482&gt;0,IF(AD482&lt;=eco,alpha*fck*(1-(1-AD482/eco)^n),alpha*fck),0)</f>
      </c>
      <c r="AF482" s="30">
        <f>PM_Angle!$J$18+PM_Angle!$K$18*$C482+PM_Angle!$L$18*$B482</f>
      </c>
      <c r="AG482" s="12">
        <f>IF(AF482&gt;0,IF(AF482&lt;=eco,alpha*fck*(1-(1-AF482/eco)^n),alpha*fck),0)</f>
      </c>
      <c r="AH482" s="30">
        <f>PM_Angle!$J$19+PM_Angle!$K$19*$C482+PM_Angle!$L$19*$B482</f>
      </c>
      <c r="AI482" s="12">
        <f>IF(AH482&gt;0,IF(AH482&lt;=eco,alpha*fck*(1-(1-AH482/eco)^n),alpha*fck),0)</f>
      </c>
      <c r="AJ482" s="30">
        <f>PM_Angle!$J$20+PM_Angle!$K$20*$C482+PM_Angle!$L$20*$B482</f>
      </c>
      <c r="AK482" s="12">
        <f>IF(AJ482&gt;0,IF(AJ482&lt;=eco,alpha*fck*(1-(1-AJ482/eco)^n),alpha*fck),0)</f>
      </c>
      <c r="AL482" s="30">
        <f>PM_Angle!$J$21+PM_Angle!$K$21*$C482+PM_Angle!$L$21*$B482</f>
      </c>
      <c r="AM482" s="12">
        <f>IF(AL482&gt;0,IF(AL482&lt;=eco,alpha*fck*(1-(1-AL482/eco)^n),alpha*fck),0)</f>
      </c>
      <c r="AN482" s="30">
        <f>PM_Angle!$J$22+PM_Angle!$K$22*$C482+PM_Angle!$L$22*$B482</f>
      </c>
      <c r="AO482" s="12">
        <f>IF(AN482&gt;0,IF(AN482&lt;=eco,alpha*fck*(1-(1-AN482/eco)^n),alpha*fck),0)</f>
      </c>
      <c r="AP482" s="30">
        <f>PM_Angle!$J$23+PM_Angle!$K$23*$C482+PM_Angle!$L$23*$B482</f>
      </c>
      <c r="AQ482" s="12">
        <f>IF(AP482&gt;0,IF(AP482&lt;=eco,alpha*fck*(1-(1-AP482/eco)^n),alpha*fck),0)</f>
      </c>
      <c r="AR482" s="30">
        <f>PM_Angle!$J$24+PM_Angle!$K$24*$C482+PM_Angle!$L$24*$B482</f>
      </c>
      <c r="AS482" s="12">
        <f>IF(AR482&gt;0,IF(AR482&lt;=eco,alpha*fck*(1-(1-AR482/eco)^n),alpha*fck),0)</f>
      </c>
      <c r="AT482" s="30">
        <f>PM_Angle!$J$25+PM_Angle!$K$25*$C482+PM_Angle!$L$25*$B482</f>
      </c>
      <c r="AU482" s="12">
        <f>IF(AT482&gt;0,IF(AT482&lt;=eco,alpha*fck*(1-(1-AT482/eco)^n),alpha*fck),0)</f>
      </c>
    </row>
    <row r="483" spans="1:47" x14ac:dyDescent="0.25">
      <c r="A483">
        <f>Mesh!A480</f>
      </c>
      <c r="B483" s="12">
        <f>Mesh!B480</f>
      </c>
      <c r="C483" s="12">
        <f>Mesh!C480</f>
      </c>
      <c r="D483" s="12">
        <f>Mesh!D480</f>
      </c>
      <c r="E483" s="30">
        <f>INDEX(St_e0,Det+1)+INDEX(St_kx,Det+1)*C483+INDEX(St_ky,Det+1)*B483</f>
      </c>
      <c r="F483" s="12">
        <f>IF(E483&gt;0,IF(E483&lt;=eco,alpha*fck*(1-(1-E483/eco)^n),alpha*fck),0)</f>
      </c>
      <c r="G483" s="11">
        <f>F483*D483</f>
      </c>
      <c r="H483" s="11">
        <f>G483*C483</f>
      </c>
      <c r="I483" s="11">
        <f>G483*B483</f>
      </c>
      <c r="J483" s="30">
        <f>PM_Angle!$J$7+PM_Angle!$K$7*$C483+PM_Angle!$L$7*$B483</f>
      </c>
      <c r="K483" s="12">
        <f>IF(J483&gt;0,IF(J483&lt;=eco,alpha*fck*(1-(1-J483/eco)^n),alpha*fck),0)</f>
      </c>
      <c r="L483" s="30">
        <f>PM_Angle!$J$8+PM_Angle!$K$8*$C483+PM_Angle!$L$8*$B483</f>
      </c>
      <c r="M483" s="12">
        <f>IF(L483&gt;0,IF(L483&lt;=eco,alpha*fck*(1-(1-L483/eco)^n),alpha*fck),0)</f>
      </c>
      <c r="N483" s="30">
        <f>PM_Angle!$J$9+PM_Angle!$K$9*$C483+PM_Angle!$L$9*$B483</f>
      </c>
      <c r="O483" s="12">
        <f>IF(N483&gt;0,IF(N483&lt;=eco,alpha*fck*(1-(1-N483/eco)^n),alpha*fck),0)</f>
      </c>
      <c r="P483" s="30">
        <f>PM_Angle!$J$10+PM_Angle!$K$10*$C483+PM_Angle!$L$10*$B483</f>
      </c>
      <c r="Q483" s="12">
        <f>IF(P483&gt;0,IF(P483&lt;=eco,alpha*fck*(1-(1-P483/eco)^n),alpha*fck),0)</f>
      </c>
      <c r="R483" s="30">
        <f>PM_Angle!$J$11+PM_Angle!$K$11*$C483+PM_Angle!$L$11*$B483</f>
      </c>
      <c r="S483" s="12">
        <f>IF(R483&gt;0,IF(R483&lt;=eco,alpha*fck*(1-(1-R483/eco)^n),alpha*fck),0)</f>
      </c>
      <c r="T483" s="30">
        <f>PM_Angle!$J$12+PM_Angle!$K$12*$C483+PM_Angle!$L$12*$B483</f>
      </c>
      <c r="U483" s="12">
        <f>IF(T483&gt;0,IF(T483&lt;=eco,alpha*fck*(1-(1-T483/eco)^n),alpha*fck),0)</f>
      </c>
      <c r="V483" s="30">
        <f>PM_Angle!$J$13+PM_Angle!$K$13*$C483+PM_Angle!$L$13*$B483</f>
      </c>
      <c r="W483" s="12">
        <f>IF(V483&gt;0,IF(V483&lt;=eco,alpha*fck*(1-(1-V483/eco)^n),alpha*fck),0)</f>
      </c>
      <c r="X483" s="30">
        <f>PM_Angle!$J$14+PM_Angle!$K$14*$C483+PM_Angle!$L$14*$B483</f>
      </c>
      <c r="Y483" s="12">
        <f>IF(X483&gt;0,IF(X483&lt;=eco,alpha*fck*(1-(1-X483/eco)^n),alpha*fck),0)</f>
      </c>
      <c r="Z483" s="30">
        <f>PM_Angle!$J$15+PM_Angle!$K$15*$C483+PM_Angle!$L$15*$B483</f>
      </c>
      <c r="AA483" s="12">
        <f>IF(Z483&gt;0,IF(Z483&lt;=eco,alpha*fck*(1-(1-Z483/eco)^n),alpha*fck),0)</f>
      </c>
      <c r="AB483" s="30">
        <f>PM_Angle!$J$16+PM_Angle!$K$16*$C483+PM_Angle!$L$16*$B483</f>
      </c>
      <c r="AC483" s="12">
        <f>IF(AB483&gt;0,IF(AB483&lt;=eco,alpha*fck*(1-(1-AB483/eco)^n),alpha*fck),0)</f>
      </c>
      <c r="AD483" s="30">
        <f>PM_Angle!$J$17+PM_Angle!$K$17*$C483+PM_Angle!$L$17*$B483</f>
      </c>
      <c r="AE483" s="12">
        <f>IF(AD483&gt;0,IF(AD483&lt;=eco,alpha*fck*(1-(1-AD483/eco)^n),alpha*fck),0)</f>
      </c>
      <c r="AF483" s="30">
        <f>PM_Angle!$J$18+PM_Angle!$K$18*$C483+PM_Angle!$L$18*$B483</f>
      </c>
      <c r="AG483" s="12">
        <f>IF(AF483&gt;0,IF(AF483&lt;=eco,alpha*fck*(1-(1-AF483/eco)^n),alpha*fck),0)</f>
      </c>
      <c r="AH483" s="30">
        <f>PM_Angle!$J$19+PM_Angle!$K$19*$C483+PM_Angle!$L$19*$B483</f>
      </c>
      <c r="AI483" s="12">
        <f>IF(AH483&gt;0,IF(AH483&lt;=eco,alpha*fck*(1-(1-AH483/eco)^n),alpha*fck),0)</f>
      </c>
      <c r="AJ483" s="30">
        <f>PM_Angle!$J$20+PM_Angle!$K$20*$C483+PM_Angle!$L$20*$B483</f>
      </c>
      <c r="AK483" s="12">
        <f>IF(AJ483&gt;0,IF(AJ483&lt;=eco,alpha*fck*(1-(1-AJ483/eco)^n),alpha*fck),0)</f>
      </c>
      <c r="AL483" s="30">
        <f>PM_Angle!$J$21+PM_Angle!$K$21*$C483+PM_Angle!$L$21*$B483</f>
      </c>
      <c r="AM483" s="12">
        <f>IF(AL483&gt;0,IF(AL483&lt;=eco,alpha*fck*(1-(1-AL483/eco)^n),alpha*fck),0)</f>
      </c>
      <c r="AN483" s="30">
        <f>PM_Angle!$J$22+PM_Angle!$K$22*$C483+PM_Angle!$L$22*$B483</f>
      </c>
      <c r="AO483" s="12">
        <f>IF(AN483&gt;0,IF(AN483&lt;=eco,alpha*fck*(1-(1-AN483/eco)^n),alpha*fck),0)</f>
      </c>
      <c r="AP483" s="30">
        <f>PM_Angle!$J$23+PM_Angle!$K$23*$C483+PM_Angle!$L$23*$B483</f>
      </c>
      <c r="AQ483" s="12">
        <f>IF(AP483&gt;0,IF(AP483&lt;=eco,alpha*fck*(1-(1-AP483/eco)^n),alpha*fck),0)</f>
      </c>
      <c r="AR483" s="30">
        <f>PM_Angle!$J$24+PM_Angle!$K$24*$C483+PM_Angle!$L$24*$B483</f>
      </c>
      <c r="AS483" s="12">
        <f>IF(AR483&gt;0,IF(AR483&lt;=eco,alpha*fck*(1-(1-AR483/eco)^n),alpha*fck),0)</f>
      </c>
      <c r="AT483" s="30">
        <f>PM_Angle!$J$25+PM_Angle!$K$25*$C483+PM_Angle!$L$25*$B483</f>
      </c>
      <c r="AU483" s="12">
        <f>IF(AT483&gt;0,IF(AT483&lt;=eco,alpha*fck*(1-(1-AT483/eco)^n),alpha*fck),0)</f>
      </c>
    </row>
    <row r="484" spans="1:47" x14ac:dyDescent="0.25">
      <c r="A484">
        <f>Mesh!A481</f>
      </c>
      <c r="B484" s="12">
        <f>Mesh!B481</f>
      </c>
      <c r="C484" s="12">
        <f>Mesh!C481</f>
      </c>
      <c r="D484" s="12">
        <f>Mesh!D481</f>
      </c>
      <c r="E484" s="30">
        <f>INDEX(St_e0,Det+1)+INDEX(St_kx,Det+1)*C484+INDEX(St_ky,Det+1)*B484</f>
      </c>
      <c r="F484" s="12">
        <f>IF(E484&gt;0,IF(E484&lt;=eco,alpha*fck*(1-(1-E484/eco)^n),alpha*fck),0)</f>
      </c>
      <c r="G484" s="11">
        <f>F484*D484</f>
      </c>
      <c r="H484" s="11">
        <f>G484*C484</f>
      </c>
      <c r="I484" s="11">
        <f>G484*B484</f>
      </c>
      <c r="J484" s="30">
        <f>PM_Angle!$J$7+PM_Angle!$K$7*$C484+PM_Angle!$L$7*$B484</f>
      </c>
      <c r="K484" s="12">
        <f>IF(J484&gt;0,IF(J484&lt;=eco,alpha*fck*(1-(1-J484/eco)^n),alpha*fck),0)</f>
      </c>
      <c r="L484" s="30">
        <f>PM_Angle!$J$8+PM_Angle!$K$8*$C484+PM_Angle!$L$8*$B484</f>
      </c>
      <c r="M484" s="12">
        <f>IF(L484&gt;0,IF(L484&lt;=eco,alpha*fck*(1-(1-L484/eco)^n),alpha*fck),0)</f>
      </c>
      <c r="N484" s="30">
        <f>PM_Angle!$J$9+PM_Angle!$K$9*$C484+PM_Angle!$L$9*$B484</f>
      </c>
      <c r="O484" s="12">
        <f>IF(N484&gt;0,IF(N484&lt;=eco,alpha*fck*(1-(1-N484/eco)^n),alpha*fck),0)</f>
      </c>
      <c r="P484" s="30">
        <f>PM_Angle!$J$10+PM_Angle!$K$10*$C484+PM_Angle!$L$10*$B484</f>
      </c>
      <c r="Q484" s="12">
        <f>IF(P484&gt;0,IF(P484&lt;=eco,alpha*fck*(1-(1-P484/eco)^n),alpha*fck),0)</f>
      </c>
      <c r="R484" s="30">
        <f>PM_Angle!$J$11+PM_Angle!$K$11*$C484+PM_Angle!$L$11*$B484</f>
      </c>
      <c r="S484" s="12">
        <f>IF(R484&gt;0,IF(R484&lt;=eco,alpha*fck*(1-(1-R484/eco)^n),alpha*fck),0)</f>
      </c>
      <c r="T484" s="30">
        <f>PM_Angle!$J$12+PM_Angle!$K$12*$C484+PM_Angle!$L$12*$B484</f>
      </c>
      <c r="U484" s="12">
        <f>IF(T484&gt;0,IF(T484&lt;=eco,alpha*fck*(1-(1-T484/eco)^n),alpha*fck),0)</f>
      </c>
      <c r="V484" s="30">
        <f>PM_Angle!$J$13+PM_Angle!$K$13*$C484+PM_Angle!$L$13*$B484</f>
      </c>
      <c r="W484" s="12">
        <f>IF(V484&gt;0,IF(V484&lt;=eco,alpha*fck*(1-(1-V484/eco)^n),alpha*fck),0)</f>
      </c>
      <c r="X484" s="30">
        <f>PM_Angle!$J$14+PM_Angle!$K$14*$C484+PM_Angle!$L$14*$B484</f>
      </c>
      <c r="Y484" s="12">
        <f>IF(X484&gt;0,IF(X484&lt;=eco,alpha*fck*(1-(1-X484/eco)^n),alpha*fck),0)</f>
      </c>
      <c r="Z484" s="30">
        <f>PM_Angle!$J$15+PM_Angle!$K$15*$C484+PM_Angle!$L$15*$B484</f>
      </c>
      <c r="AA484" s="12">
        <f>IF(Z484&gt;0,IF(Z484&lt;=eco,alpha*fck*(1-(1-Z484/eco)^n),alpha*fck),0)</f>
      </c>
      <c r="AB484" s="30">
        <f>PM_Angle!$J$16+PM_Angle!$K$16*$C484+PM_Angle!$L$16*$B484</f>
      </c>
      <c r="AC484" s="12">
        <f>IF(AB484&gt;0,IF(AB484&lt;=eco,alpha*fck*(1-(1-AB484/eco)^n),alpha*fck),0)</f>
      </c>
      <c r="AD484" s="30">
        <f>PM_Angle!$J$17+PM_Angle!$K$17*$C484+PM_Angle!$L$17*$B484</f>
      </c>
      <c r="AE484" s="12">
        <f>IF(AD484&gt;0,IF(AD484&lt;=eco,alpha*fck*(1-(1-AD484/eco)^n),alpha*fck),0)</f>
      </c>
      <c r="AF484" s="30">
        <f>PM_Angle!$J$18+PM_Angle!$K$18*$C484+PM_Angle!$L$18*$B484</f>
      </c>
      <c r="AG484" s="12">
        <f>IF(AF484&gt;0,IF(AF484&lt;=eco,alpha*fck*(1-(1-AF484/eco)^n),alpha*fck),0)</f>
      </c>
      <c r="AH484" s="30">
        <f>PM_Angle!$J$19+PM_Angle!$K$19*$C484+PM_Angle!$L$19*$B484</f>
      </c>
      <c r="AI484" s="12">
        <f>IF(AH484&gt;0,IF(AH484&lt;=eco,alpha*fck*(1-(1-AH484/eco)^n),alpha*fck),0)</f>
      </c>
      <c r="AJ484" s="30">
        <f>PM_Angle!$J$20+PM_Angle!$K$20*$C484+PM_Angle!$L$20*$B484</f>
      </c>
      <c r="AK484" s="12">
        <f>IF(AJ484&gt;0,IF(AJ484&lt;=eco,alpha*fck*(1-(1-AJ484/eco)^n),alpha*fck),0)</f>
      </c>
      <c r="AL484" s="30">
        <f>PM_Angle!$J$21+PM_Angle!$K$21*$C484+PM_Angle!$L$21*$B484</f>
      </c>
      <c r="AM484" s="12">
        <f>IF(AL484&gt;0,IF(AL484&lt;=eco,alpha*fck*(1-(1-AL484/eco)^n),alpha*fck),0)</f>
      </c>
      <c r="AN484" s="30">
        <f>PM_Angle!$J$22+PM_Angle!$K$22*$C484+PM_Angle!$L$22*$B484</f>
      </c>
      <c r="AO484" s="12">
        <f>IF(AN484&gt;0,IF(AN484&lt;=eco,alpha*fck*(1-(1-AN484/eco)^n),alpha*fck),0)</f>
      </c>
      <c r="AP484" s="30">
        <f>PM_Angle!$J$23+PM_Angle!$K$23*$C484+PM_Angle!$L$23*$B484</f>
      </c>
      <c r="AQ484" s="12">
        <f>IF(AP484&gt;0,IF(AP484&lt;=eco,alpha*fck*(1-(1-AP484/eco)^n),alpha*fck),0)</f>
      </c>
      <c r="AR484" s="30">
        <f>PM_Angle!$J$24+PM_Angle!$K$24*$C484+PM_Angle!$L$24*$B484</f>
      </c>
      <c r="AS484" s="12">
        <f>IF(AR484&gt;0,IF(AR484&lt;=eco,alpha*fck*(1-(1-AR484/eco)^n),alpha*fck),0)</f>
      </c>
      <c r="AT484" s="30">
        <f>PM_Angle!$J$25+PM_Angle!$K$25*$C484+PM_Angle!$L$25*$B484</f>
      </c>
      <c r="AU484" s="12">
        <f>IF(AT484&gt;0,IF(AT484&lt;=eco,alpha*fck*(1-(1-AT484/eco)^n),alpha*fck),0)</f>
      </c>
    </row>
    <row r="485" spans="1:47" x14ac:dyDescent="0.25">
      <c r="A485">
        <f>Mesh!A482</f>
      </c>
      <c r="B485" s="12">
        <f>Mesh!B482</f>
      </c>
      <c r="C485" s="12">
        <f>Mesh!C482</f>
      </c>
      <c r="D485" s="12">
        <f>Mesh!D482</f>
      </c>
      <c r="E485" s="30">
        <f>INDEX(St_e0,Det+1)+INDEX(St_kx,Det+1)*C485+INDEX(St_ky,Det+1)*B485</f>
      </c>
      <c r="F485" s="12">
        <f>IF(E485&gt;0,IF(E485&lt;=eco,alpha*fck*(1-(1-E485/eco)^n),alpha*fck),0)</f>
      </c>
      <c r="G485" s="11">
        <f>F485*D485</f>
      </c>
      <c r="H485" s="11">
        <f>G485*C485</f>
      </c>
      <c r="I485" s="11">
        <f>G485*B485</f>
      </c>
      <c r="J485" s="30">
        <f>PM_Angle!$J$7+PM_Angle!$K$7*$C485+PM_Angle!$L$7*$B485</f>
      </c>
      <c r="K485" s="12">
        <f>IF(J485&gt;0,IF(J485&lt;=eco,alpha*fck*(1-(1-J485/eco)^n),alpha*fck),0)</f>
      </c>
      <c r="L485" s="30">
        <f>PM_Angle!$J$8+PM_Angle!$K$8*$C485+PM_Angle!$L$8*$B485</f>
      </c>
      <c r="M485" s="12">
        <f>IF(L485&gt;0,IF(L485&lt;=eco,alpha*fck*(1-(1-L485/eco)^n),alpha*fck),0)</f>
      </c>
      <c r="N485" s="30">
        <f>PM_Angle!$J$9+PM_Angle!$K$9*$C485+PM_Angle!$L$9*$B485</f>
      </c>
      <c r="O485" s="12">
        <f>IF(N485&gt;0,IF(N485&lt;=eco,alpha*fck*(1-(1-N485/eco)^n),alpha*fck),0)</f>
      </c>
      <c r="P485" s="30">
        <f>PM_Angle!$J$10+PM_Angle!$K$10*$C485+PM_Angle!$L$10*$B485</f>
      </c>
      <c r="Q485" s="12">
        <f>IF(P485&gt;0,IF(P485&lt;=eco,alpha*fck*(1-(1-P485/eco)^n),alpha*fck),0)</f>
      </c>
      <c r="R485" s="30">
        <f>PM_Angle!$J$11+PM_Angle!$K$11*$C485+PM_Angle!$L$11*$B485</f>
      </c>
      <c r="S485" s="12">
        <f>IF(R485&gt;0,IF(R485&lt;=eco,alpha*fck*(1-(1-R485/eco)^n),alpha*fck),0)</f>
      </c>
      <c r="T485" s="30">
        <f>PM_Angle!$J$12+PM_Angle!$K$12*$C485+PM_Angle!$L$12*$B485</f>
      </c>
      <c r="U485" s="12">
        <f>IF(T485&gt;0,IF(T485&lt;=eco,alpha*fck*(1-(1-T485/eco)^n),alpha*fck),0)</f>
      </c>
      <c r="V485" s="30">
        <f>PM_Angle!$J$13+PM_Angle!$K$13*$C485+PM_Angle!$L$13*$B485</f>
      </c>
      <c r="W485" s="12">
        <f>IF(V485&gt;0,IF(V485&lt;=eco,alpha*fck*(1-(1-V485/eco)^n),alpha*fck),0)</f>
      </c>
      <c r="X485" s="30">
        <f>PM_Angle!$J$14+PM_Angle!$K$14*$C485+PM_Angle!$L$14*$B485</f>
      </c>
      <c r="Y485" s="12">
        <f>IF(X485&gt;0,IF(X485&lt;=eco,alpha*fck*(1-(1-X485/eco)^n),alpha*fck),0)</f>
      </c>
      <c r="Z485" s="30">
        <f>PM_Angle!$J$15+PM_Angle!$K$15*$C485+PM_Angle!$L$15*$B485</f>
      </c>
      <c r="AA485" s="12">
        <f>IF(Z485&gt;0,IF(Z485&lt;=eco,alpha*fck*(1-(1-Z485/eco)^n),alpha*fck),0)</f>
      </c>
      <c r="AB485" s="30">
        <f>PM_Angle!$J$16+PM_Angle!$K$16*$C485+PM_Angle!$L$16*$B485</f>
      </c>
      <c r="AC485" s="12">
        <f>IF(AB485&gt;0,IF(AB485&lt;=eco,alpha*fck*(1-(1-AB485/eco)^n),alpha*fck),0)</f>
      </c>
      <c r="AD485" s="30">
        <f>PM_Angle!$J$17+PM_Angle!$K$17*$C485+PM_Angle!$L$17*$B485</f>
      </c>
      <c r="AE485" s="12">
        <f>IF(AD485&gt;0,IF(AD485&lt;=eco,alpha*fck*(1-(1-AD485/eco)^n),alpha*fck),0)</f>
      </c>
      <c r="AF485" s="30">
        <f>PM_Angle!$J$18+PM_Angle!$K$18*$C485+PM_Angle!$L$18*$B485</f>
      </c>
      <c r="AG485" s="12">
        <f>IF(AF485&gt;0,IF(AF485&lt;=eco,alpha*fck*(1-(1-AF485/eco)^n),alpha*fck),0)</f>
      </c>
      <c r="AH485" s="30">
        <f>PM_Angle!$J$19+PM_Angle!$K$19*$C485+PM_Angle!$L$19*$B485</f>
      </c>
      <c r="AI485" s="12">
        <f>IF(AH485&gt;0,IF(AH485&lt;=eco,alpha*fck*(1-(1-AH485/eco)^n),alpha*fck),0)</f>
      </c>
      <c r="AJ485" s="30">
        <f>PM_Angle!$J$20+PM_Angle!$K$20*$C485+PM_Angle!$L$20*$B485</f>
      </c>
      <c r="AK485" s="12">
        <f>IF(AJ485&gt;0,IF(AJ485&lt;=eco,alpha*fck*(1-(1-AJ485/eco)^n),alpha*fck),0)</f>
      </c>
      <c r="AL485" s="30">
        <f>PM_Angle!$J$21+PM_Angle!$K$21*$C485+PM_Angle!$L$21*$B485</f>
      </c>
      <c r="AM485" s="12">
        <f>IF(AL485&gt;0,IF(AL485&lt;=eco,alpha*fck*(1-(1-AL485/eco)^n),alpha*fck),0)</f>
      </c>
      <c r="AN485" s="30">
        <f>PM_Angle!$J$22+PM_Angle!$K$22*$C485+PM_Angle!$L$22*$B485</f>
      </c>
      <c r="AO485" s="12">
        <f>IF(AN485&gt;0,IF(AN485&lt;=eco,alpha*fck*(1-(1-AN485/eco)^n),alpha*fck),0)</f>
      </c>
      <c r="AP485" s="30">
        <f>PM_Angle!$J$23+PM_Angle!$K$23*$C485+PM_Angle!$L$23*$B485</f>
      </c>
      <c r="AQ485" s="12">
        <f>IF(AP485&gt;0,IF(AP485&lt;=eco,alpha*fck*(1-(1-AP485/eco)^n),alpha*fck),0)</f>
      </c>
      <c r="AR485" s="30">
        <f>PM_Angle!$J$24+PM_Angle!$K$24*$C485+PM_Angle!$L$24*$B485</f>
      </c>
      <c r="AS485" s="12">
        <f>IF(AR485&gt;0,IF(AR485&lt;=eco,alpha*fck*(1-(1-AR485/eco)^n),alpha*fck),0)</f>
      </c>
      <c r="AT485" s="30">
        <f>PM_Angle!$J$25+PM_Angle!$K$25*$C485+PM_Angle!$L$25*$B485</f>
      </c>
      <c r="AU485" s="12">
        <f>IF(AT485&gt;0,IF(AT485&lt;=eco,alpha*fck*(1-(1-AT485/eco)^n),alpha*fck),0)</f>
      </c>
    </row>
    <row r="486" spans="1:47" x14ac:dyDescent="0.25">
      <c r="A486">
        <f>Mesh!A483</f>
      </c>
      <c r="B486" s="12">
        <f>Mesh!B483</f>
      </c>
      <c r="C486" s="12">
        <f>Mesh!C483</f>
      </c>
      <c r="D486" s="12">
        <f>Mesh!D483</f>
      </c>
      <c r="E486" s="30">
        <f>INDEX(St_e0,Det+1)+INDEX(St_kx,Det+1)*C486+INDEX(St_ky,Det+1)*B486</f>
      </c>
      <c r="F486" s="12">
        <f>IF(E486&gt;0,IF(E486&lt;=eco,alpha*fck*(1-(1-E486/eco)^n),alpha*fck),0)</f>
      </c>
      <c r="G486" s="11">
        <f>F486*D486</f>
      </c>
      <c r="H486" s="11">
        <f>G486*C486</f>
      </c>
      <c r="I486" s="11">
        <f>G486*B486</f>
      </c>
      <c r="J486" s="30">
        <f>PM_Angle!$J$7+PM_Angle!$K$7*$C486+PM_Angle!$L$7*$B486</f>
      </c>
      <c r="K486" s="12">
        <f>IF(J486&gt;0,IF(J486&lt;=eco,alpha*fck*(1-(1-J486/eco)^n),alpha*fck),0)</f>
      </c>
      <c r="L486" s="30">
        <f>PM_Angle!$J$8+PM_Angle!$K$8*$C486+PM_Angle!$L$8*$B486</f>
      </c>
      <c r="M486" s="12">
        <f>IF(L486&gt;0,IF(L486&lt;=eco,alpha*fck*(1-(1-L486/eco)^n),alpha*fck),0)</f>
      </c>
      <c r="N486" s="30">
        <f>PM_Angle!$J$9+PM_Angle!$K$9*$C486+PM_Angle!$L$9*$B486</f>
      </c>
      <c r="O486" s="12">
        <f>IF(N486&gt;0,IF(N486&lt;=eco,alpha*fck*(1-(1-N486/eco)^n),alpha*fck),0)</f>
      </c>
      <c r="P486" s="30">
        <f>PM_Angle!$J$10+PM_Angle!$K$10*$C486+PM_Angle!$L$10*$B486</f>
      </c>
      <c r="Q486" s="12">
        <f>IF(P486&gt;0,IF(P486&lt;=eco,alpha*fck*(1-(1-P486/eco)^n),alpha*fck),0)</f>
      </c>
      <c r="R486" s="30">
        <f>PM_Angle!$J$11+PM_Angle!$K$11*$C486+PM_Angle!$L$11*$B486</f>
      </c>
      <c r="S486" s="12">
        <f>IF(R486&gt;0,IF(R486&lt;=eco,alpha*fck*(1-(1-R486/eco)^n),alpha*fck),0)</f>
      </c>
      <c r="T486" s="30">
        <f>PM_Angle!$J$12+PM_Angle!$K$12*$C486+PM_Angle!$L$12*$B486</f>
      </c>
      <c r="U486" s="12">
        <f>IF(T486&gt;0,IF(T486&lt;=eco,alpha*fck*(1-(1-T486/eco)^n),alpha*fck),0)</f>
      </c>
      <c r="V486" s="30">
        <f>PM_Angle!$J$13+PM_Angle!$K$13*$C486+PM_Angle!$L$13*$B486</f>
      </c>
      <c r="W486" s="12">
        <f>IF(V486&gt;0,IF(V486&lt;=eco,alpha*fck*(1-(1-V486/eco)^n),alpha*fck),0)</f>
      </c>
      <c r="X486" s="30">
        <f>PM_Angle!$J$14+PM_Angle!$K$14*$C486+PM_Angle!$L$14*$B486</f>
      </c>
      <c r="Y486" s="12">
        <f>IF(X486&gt;0,IF(X486&lt;=eco,alpha*fck*(1-(1-X486/eco)^n),alpha*fck),0)</f>
      </c>
      <c r="Z486" s="30">
        <f>PM_Angle!$J$15+PM_Angle!$K$15*$C486+PM_Angle!$L$15*$B486</f>
      </c>
      <c r="AA486" s="12">
        <f>IF(Z486&gt;0,IF(Z486&lt;=eco,alpha*fck*(1-(1-Z486/eco)^n),alpha*fck),0)</f>
      </c>
      <c r="AB486" s="30">
        <f>PM_Angle!$J$16+PM_Angle!$K$16*$C486+PM_Angle!$L$16*$B486</f>
      </c>
      <c r="AC486" s="12">
        <f>IF(AB486&gt;0,IF(AB486&lt;=eco,alpha*fck*(1-(1-AB486/eco)^n),alpha*fck),0)</f>
      </c>
      <c r="AD486" s="30">
        <f>PM_Angle!$J$17+PM_Angle!$K$17*$C486+PM_Angle!$L$17*$B486</f>
      </c>
      <c r="AE486" s="12">
        <f>IF(AD486&gt;0,IF(AD486&lt;=eco,alpha*fck*(1-(1-AD486/eco)^n),alpha*fck),0)</f>
      </c>
      <c r="AF486" s="30">
        <f>PM_Angle!$J$18+PM_Angle!$K$18*$C486+PM_Angle!$L$18*$B486</f>
      </c>
      <c r="AG486" s="12">
        <f>IF(AF486&gt;0,IF(AF486&lt;=eco,alpha*fck*(1-(1-AF486/eco)^n),alpha*fck),0)</f>
      </c>
      <c r="AH486" s="30">
        <f>PM_Angle!$J$19+PM_Angle!$K$19*$C486+PM_Angle!$L$19*$B486</f>
      </c>
      <c r="AI486" s="12">
        <f>IF(AH486&gt;0,IF(AH486&lt;=eco,alpha*fck*(1-(1-AH486/eco)^n),alpha*fck),0)</f>
      </c>
      <c r="AJ486" s="30">
        <f>PM_Angle!$J$20+PM_Angle!$K$20*$C486+PM_Angle!$L$20*$B486</f>
      </c>
      <c r="AK486" s="12">
        <f>IF(AJ486&gt;0,IF(AJ486&lt;=eco,alpha*fck*(1-(1-AJ486/eco)^n),alpha*fck),0)</f>
      </c>
      <c r="AL486" s="30">
        <f>PM_Angle!$J$21+PM_Angle!$K$21*$C486+PM_Angle!$L$21*$B486</f>
      </c>
      <c r="AM486" s="12">
        <f>IF(AL486&gt;0,IF(AL486&lt;=eco,alpha*fck*(1-(1-AL486/eco)^n),alpha*fck),0)</f>
      </c>
      <c r="AN486" s="30">
        <f>PM_Angle!$J$22+PM_Angle!$K$22*$C486+PM_Angle!$L$22*$B486</f>
      </c>
      <c r="AO486" s="12">
        <f>IF(AN486&gt;0,IF(AN486&lt;=eco,alpha*fck*(1-(1-AN486/eco)^n),alpha*fck),0)</f>
      </c>
      <c r="AP486" s="30">
        <f>PM_Angle!$J$23+PM_Angle!$K$23*$C486+PM_Angle!$L$23*$B486</f>
      </c>
      <c r="AQ486" s="12">
        <f>IF(AP486&gt;0,IF(AP486&lt;=eco,alpha*fck*(1-(1-AP486/eco)^n),alpha*fck),0)</f>
      </c>
      <c r="AR486" s="30">
        <f>PM_Angle!$J$24+PM_Angle!$K$24*$C486+PM_Angle!$L$24*$B486</f>
      </c>
      <c r="AS486" s="12">
        <f>IF(AR486&gt;0,IF(AR486&lt;=eco,alpha*fck*(1-(1-AR486/eco)^n),alpha*fck),0)</f>
      </c>
      <c r="AT486" s="30">
        <f>PM_Angle!$J$25+PM_Angle!$K$25*$C486+PM_Angle!$L$25*$B486</f>
      </c>
      <c r="AU486" s="12">
        <f>IF(AT486&gt;0,IF(AT486&lt;=eco,alpha*fck*(1-(1-AT486/eco)^n),alpha*fck),0)</f>
      </c>
    </row>
    <row r="487" spans="1:47" x14ac:dyDescent="0.25">
      <c r="A487">
        <f>Mesh!A484</f>
      </c>
      <c r="B487" s="12">
        <f>Mesh!B484</f>
      </c>
      <c r="C487" s="12">
        <f>Mesh!C484</f>
      </c>
      <c r="D487" s="12">
        <f>Mesh!D484</f>
      </c>
      <c r="E487" s="30">
        <f>INDEX(St_e0,Det+1)+INDEX(St_kx,Det+1)*C487+INDEX(St_ky,Det+1)*B487</f>
      </c>
      <c r="F487" s="12">
        <f>IF(E487&gt;0,IF(E487&lt;=eco,alpha*fck*(1-(1-E487/eco)^n),alpha*fck),0)</f>
      </c>
      <c r="G487" s="11">
        <f>F487*D487</f>
      </c>
      <c r="H487" s="11">
        <f>G487*C487</f>
      </c>
      <c r="I487" s="11">
        <f>G487*B487</f>
      </c>
      <c r="J487" s="30">
        <f>PM_Angle!$J$7+PM_Angle!$K$7*$C487+PM_Angle!$L$7*$B487</f>
      </c>
      <c r="K487" s="12">
        <f>IF(J487&gt;0,IF(J487&lt;=eco,alpha*fck*(1-(1-J487/eco)^n),alpha*fck),0)</f>
      </c>
      <c r="L487" s="30">
        <f>PM_Angle!$J$8+PM_Angle!$K$8*$C487+PM_Angle!$L$8*$B487</f>
      </c>
      <c r="M487" s="12">
        <f>IF(L487&gt;0,IF(L487&lt;=eco,alpha*fck*(1-(1-L487/eco)^n),alpha*fck),0)</f>
      </c>
      <c r="N487" s="30">
        <f>PM_Angle!$J$9+PM_Angle!$K$9*$C487+PM_Angle!$L$9*$B487</f>
      </c>
      <c r="O487" s="12">
        <f>IF(N487&gt;0,IF(N487&lt;=eco,alpha*fck*(1-(1-N487/eco)^n),alpha*fck),0)</f>
      </c>
      <c r="P487" s="30">
        <f>PM_Angle!$J$10+PM_Angle!$K$10*$C487+PM_Angle!$L$10*$B487</f>
      </c>
      <c r="Q487" s="12">
        <f>IF(P487&gt;0,IF(P487&lt;=eco,alpha*fck*(1-(1-P487/eco)^n),alpha*fck),0)</f>
      </c>
      <c r="R487" s="30">
        <f>PM_Angle!$J$11+PM_Angle!$K$11*$C487+PM_Angle!$L$11*$B487</f>
      </c>
      <c r="S487" s="12">
        <f>IF(R487&gt;0,IF(R487&lt;=eco,alpha*fck*(1-(1-R487/eco)^n),alpha*fck),0)</f>
      </c>
      <c r="T487" s="30">
        <f>PM_Angle!$J$12+PM_Angle!$K$12*$C487+PM_Angle!$L$12*$B487</f>
      </c>
      <c r="U487" s="12">
        <f>IF(T487&gt;0,IF(T487&lt;=eco,alpha*fck*(1-(1-T487/eco)^n),alpha*fck),0)</f>
      </c>
      <c r="V487" s="30">
        <f>PM_Angle!$J$13+PM_Angle!$K$13*$C487+PM_Angle!$L$13*$B487</f>
      </c>
      <c r="W487" s="12">
        <f>IF(V487&gt;0,IF(V487&lt;=eco,alpha*fck*(1-(1-V487/eco)^n),alpha*fck),0)</f>
      </c>
      <c r="X487" s="30">
        <f>PM_Angle!$J$14+PM_Angle!$K$14*$C487+PM_Angle!$L$14*$B487</f>
      </c>
      <c r="Y487" s="12">
        <f>IF(X487&gt;0,IF(X487&lt;=eco,alpha*fck*(1-(1-X487/eco)^n),alpha*fck),0)</f>
      </c>
      <c r="Z487" s="30">
        <f>PM_Angle!$J$15+PM_Angle!$K$15*$C487+PM_Angle!$L$15*$B487</f>
      </c>
      <c r="AA487" s="12">
        <f>IF(Z487&gt;0,IF(Z487&lt;=eco,alpha*fck*(1-(1-Z487/eco)^n),alpha*fck),0)</f>
      </c>
      <c r="AB487" s="30">
        <f>PM_Angle!$J$16+PM_Angle!$K$16*$C487+PM_Angle!$L$16*$B487</f>
      </c>
      <c r="AC487" s="12">
        <f>IF(AB487&gt;0,IF(AB487&lt;=eco,alpha*fck*(1-(1-AB487/eco)^n),alpha*fck),0)</f>
      </c>
      <c r="AD487" s="30">
        <f>PM_Angle!$J$17+PM_Angle!$K$17*$C487+PM_Angle!$L$17*$B487</f>
      </c>
      <c r="AE487" s="12">
        <f>IF(AD487&gt;0,IF(AD487&lt;=eco,alpha*fck*(1-(1-AD487/eco)^n),alpha*fck),0)</f>
      </c>
      <c r="AF487" s="30">
        <f>PM_Angle!$J$18+PM_Angle!$K$18*$C487+PM_Angle!$L$18*$B487</f>
      </c>
      <c r="AG487" s="12">
        <f>IF(AF487&gt;0,IF(AF487&lt;=eco,alpha*fck*(1-(1-AF487/eco)^n),alpha*fck),0)</f>
      </c>
      <c r="AH487" s="30">
        <f>PM_Angle!$J$19+PM_Angle!$K$19*$C487+PM_Angle!$L$19*$B487</f>
      </c>
      <c r="AI487" s="12">
        <f>IF(AH487&gt;0,IF(AH487&lt;=eco,alpha*fck*(1-(1-AH487/eco)^n),alpha*fck),0)</f>
      </c>
      <c r="AJ487" s="30">
        <f>PM_Angle!$J$20+PM_Angle!$K$20*$C487+PM_Angle!$L$20*$B487</f>
      </c>
      <c r="AK487" s="12">
        <f>IF(AJ487&gt;0,IF(AJ487&lt;=eco,alpha*fck*(1-(1-AJ487/eco)^n),alpha*fck),0)</f>
      </c>
      <c r="AL487" s="30">
        <f>PM_Angle!$J$21+PM_Angle!$K$21*$C487+PM_Angle!$L$21*$B487</f>
      </c>
      <c r="AM487" s="12">
        <f>IF(AL487&gt;0,IF(AL487&lt;=eco,alpha*fck*(1-(1-AL487/eco)^n),alpha*fck),0)</f>
      </c>
      <c r="AN487" s="30">
        <f>PM_Angle!$J$22+PM_Angle!$K$22*$C487+PM_Angle!$L$22*$B487</f>
      </c>
      <c r="AO487" s="12">
        <f>IF(AN487&gt;0,IF(AN487&lt;=eco,alpha*fck*(1-(1-AN487/eco)^n),alpha*fck),0)</f>
      </c>
      <c r="AP487" s="30">
        <f>PM_Angle!$J$23+PM_Angle!$K$23*$C487+PM_Angle!$L$23*$B487</f>
      </c>
      <c r="AQ487" s="12">
        <f>IF(AP487&gt;0,IF(AP487&lt;=eco,alpha*fck*(1-(1-AP487/eco)^n),alpha*fck),0)</f>
      </c>
      <c r="AR487" s="30">
        <f>PM_Angle!$J$24+PM_Angle!$K$24*$C487+PM_Angle!$L$24*$B487</f>
      </c>
      <c r="AS487" s="12">
        <f>IF(AR487&gt;0,IF(AR487&lt;=eco,alpha*fck*(1-(1-AR487/eco)^n),alpha*fck),0)</f>
      </c>
      <c r="AT487" s="30">
        <f>PM_Angle!$J$25+PM_Angle!$K$25*$C487+PM_Angle!$L$25*$B487</f>
      </c>
      <c r="AU487" s="12">
        <f>IF(AT487&gt;0,IF(AT487&lt;=eco,alpha*fck*(1-(1-AT487/eco)^n),alpha*fck),0)</f>
      </c>
    </row>
    <row r="488" spans="1:47" x14ac:dyDescent="0.25">
      <c r="A488">
        <f>Mesh!A485</f>
      </c>
      <c r="B488" s="12">
        <f>Mesh!B485</f>
      </c>
      <c r="C488" s="12">
        <f>Mesh!C485</f>
      </c>
      <c r="D488" s="12">
        <f>Mesh!D485</f>
      </c>
      <c r="E488" s="30">
        <f>INDEX(St_e0,Det+1)+INDEX(St_kx,Det+1)*C488+INDEX(St_ky,Det+1)*B488</f>
      </c>
      <c r="F488" s="12">
        <f>IF(E488&gt;0,IF(E488&lt;=eco,alpha*fck*(1-(1-E488/eco)^n),alpha*fck),0)</f>
      </c>
      <c r="G488" s="11">
        <f>F488*D488</f>
      </c>
      <c r="H488" s="11">
        <f>G488*C488</f>
      </c>
      <c r="I488" s="11">
        <f>G488*B488</f>
      </c>
      <c r="J488" s="30">
        <f>PM_Angle!$J$7+PM_Angle!$K$7*$C488+PM_Angle!$L$7*$B488</f>
      </c>
      <c r="K488" s="12">
        <f>IF(J488&gt;0,IF(J488&lt;=eco,alpha*fck*(1-(1-J488/eco)^n),alpha*fck),0)</f>
      </c>
      <c r="L488" s="30">
        <f>PM_Angle!$J$8+PM_Angle!$K$8*$C488+PM_Angle!$L$8*$B488</f>
      </c>
      <c r="M488" s="12">
        <f>IF(L488&gt;0,IF(L488&lt;=eco,alpha*fck*(1-(1-L488/eco)^n),alpha*fck),0)</f>
      </c>
      <c r="N488" s="30">
        <f>PM_Angle!$J$9+PM_Angle!$K$9*$C488+PM_Angle!$L$9*$B488</f>
      </c>
      <c r="O488" s="12">
        <f>IF(N488&gt;0,IF(N488&lt;=eco,alpha*fck*(1-(1-N488/eco)^n),alpha*fck),0)</f>
      </c>
      <c r="P488" s="30">
        <f>PM_Angle!$J$10+PM_Angle!$K$10*$C488+PM_Angle!$L$10*$B488</f>
      </c>
      <c r="Q488" s="12">
        <f>IF(P488&gt;0,IF(P488&lt;=eco,alpha*fck*(1-(1-P488/eco)^n),alpha*fck),0)</f>
      </c>
      <c r="R488" s="30">
        <f>PM_Angle!$J$11+PM_Angle!$K$11*$C488+PM_Angle!$L$11*$B488</f>
      </c>
      <c r="S488" s="12">
        <f>IF(R488&gt;0,IF(R488&lt;=eco,alpha*fck*(1-(1-R488/eco)^n),alpha*fck),0)</f>
      </c>
      <c r="T488" s="30">
        <f>PM_Angle!$J$12+PM_Angle!$K$12*$C488+PM_Angle!$L$12*$B488</f>
      </c>
      <c r="U488" s="12">
        <f>IF(T488&gt;0,IF(T488&lt;=eco,alpha*fck*(1-(1-T488/eco)^n),alpha*fck),0)</f>
      </c>
      <c r="V488" s="30">
        <f>PM_Angle!$J$13+PM_Angle!$K$13*$C488+PM_Angle!$L$13*$B488</f>
      </c>
      <c r="W488" s="12">
        <f>IF(V488&gt;0,IF(V488&lt;=eco,alpha*fck*(1-(1-V488/eco)^n),alpha*fck),0)</f>
      </c>
      <c r="X488" s="30">
        <f>PM_Angle!$J$14+PM_Angle!$K$14*$C488+PM_Angle!$L$14*$B488</f>
      </c>
      <c r="Y488" s="12">
        <f>IF(X488&gt;0,IF(X488&lt;=eco,alpha*fck*(1-(1-X488/eco)^n),alpha*fck),0)</f>
      </c>
      <c r="Z488" s="30">
        <f>PM_Angle!$J$15+PM_Angle!$K$15*$C488+PM_Angle!$L$15*$B488</f>
      </c>
      <c r="AA488" s="12">
        <f>IF(Z488&gt;0,IF(Z488&lt;=eco,alpha*fck*(1-(1-Z488/eco)^n),alpha*fck),0)</f>
      </c>
      <c r="AB488" s="30">
        <f>PM_Angle!$J$16+PM_Angle!$K$16*$C488+PM_Angle!$L$16*$B488</f>
      </c>
      <c r="AC488" s="12">
        <f>IF(AB488&gt;0,IF(AB488&lt;=eco,alpha*fck*(1-(1-AB488/eco)^n),alpha*fck),0)</f>
      </c>
      <c r="AD488" s="30">
        <f>PM_Angle!$J$17+PM_Angle!$K$17*$C488+PM_Angle!$L$17*$B488</f>
      </c>
      <c r="AE488" s="12">
        <f>IF(AD488&gt;0,IF(AD488&lt;=eco,alpha*fck*(1-(1-AD488/eco)^n),alpha*fck),0)</f>
      </c>
      <c r="AF488" s="30">
        <f>PM_Angle!$J$18+PM_Angle!$K$18*$C488+PM_Angle!$L$18*$B488</f>
      </c>
      <c r="AG488" s="12">
        <f>IF(AF488&gt;0,IF(AF488&lt;=eco,alpha*fck*(1-(1-AF488/eco)^n),alpha*fck),0)</f>
      </c>
      <c r="AH488" s="30">
        <f>PM_Angle!$J$19+PM_Angle!$K$19*$C488+PM_Angle!$L$19*$B488</f>
      </c>
      <c r="AI488" s="12">
        <f>IF(AH488&gt;0,IF(AH488&lt;=eco,alpha*fck*(1-(1-AH488/eco)^n),alpha*fck),0)</f>
      </c>
      <c r="AJ488" s="30">
        <f>PM_Angle!$J$20+PM_Angle!$K$20*$C488+PM_Angle!$L$20*$B488</f>
      </c>
      <c r="AK488" s="12">
        <f>IF(AJ488&gt;0,IF(AJ488&lt;=eco,alpha*fck*(1-(1-AJ488/eco)^n),alpha*fck),0)</f>
      </c>
      <c r="AL488" s="30">
        <f>PM_Angle!$J$21+PM_Angle!$K$21*$C488+PM_Angle!$L$21*$B488</f>
      </c>
      <c r="AM488" s="12">
        <f>IF(AL488&gt;0,IF(AL488&lt;=eco,alpha*fck*(1-(1-AL488/eco)^n),alpha*fck),0)</f>
      </c>
      <c r="AN488" s="30">
        <f>PM_Angle!$J$22+PM_Angle!$K$22*$C488+PM_Angle!$L$22*$B488</f>
      </c>
      <c r="AO488" s="12">
        <f>IF(AN488&gt;0,IF(AN488&lt;=eco,alpha*fck*(1-(1-AN488/eco)^n),alpha*fck),0)</f>
      </c>
      <c r="AP488" s="30">
        <f>PM_Angle!$J$23+PM_Angle!$K$23*$C488+PM_Angle!$L$23*$B488</f>
      </c>
      <c r="AQ488" s="12">
        <f>IF(AP488&gt;0,IF(AP488&lt;=eco,alpha*fck*(1-(1-AP488/eco)^n),alpha*fck),0)</f>
      </c>
      <c r="AR488" s="30">
        <f>PM_Angle!$J$24+PM_Angle!$K$24*$C488+PM_Angle!$L$24*$B488</f>
      </c>
      <c r="AS488" s="12">
        <f>IF(AR488&gt;0,IF(AR488&lt;=eco,alpha*fck*(1-(1-AR488/eco)^n),alpha*fck),0)</f>
      </c>
      <c r="AT488" s="30">
        <f>PM_Angle!$J$25+PM_Angle!$K$25*$C488+PM_Angle!$L$25*$B488</f>
      </c>
      <c r="AU488" s="12">
        <f>IF(AT488&gt;0,IF(AT488&lt;=eco,alpha*fck*(1-(1-AT488/eco)^n),alpha*fck),0)</f>
      </c>
    </row>
    <row r="489" spans="1:47" x14ac:dyDescent="0.25">
      <c r="A489">
        <f>Mesh!A486</f>
      </c>
      <c r="B489" s="12">
        <f>Mesh!B486</f>
      </c>
      <c r="C489" s="12">
        <f>Mesh!C486</f>
      </c>
      <c r="D489" s="12">
        <f>Mesh!D486</f>
      </c>
      <c r="E489" s="30">
        <f>INDEX(St_e0,Det+1)+INDEX(St_kx,Det+1)*C489+INDEX(St_ky,Det+1)*B489</f>
      </c>
      <c r="F489" s="12">
        <f>IF(E489&gt;0,IF(E489&lt;=eco,alpha*fck*(1-(1-E489/eco)^n),alpha*fck),0)</f>
      </c>
      <c r="G489" s="11">
        <f>F489*D489</f>
      </c>
      <c r="H489" s="11">
        <f>G489*C489</f>
      </c>
      <c r="I489" s="11">
        <f>G489*B489</f>
      </c>
      <c r="J489" s="30">
        <f>PM_Angle!$J$7+PM_Angle!$K$7*$C489+PM_Angle!$L$7*$B489</f>
      </c>
      <c r="K489" s="12">
        <f>IF(J489&gt;0,IF(J489&lt;=eco,alpha*fck*(1-(1-J489/eco)^n),alpha*fck),0)</f>
      </c>
      <c r="L489" s="30">
        <f>PM_Angle!$J$8+PM_Angle!$K$8*$C489+PM_Angle!$L$8*$B489</f>
      </c>
      <c r="M489" s="12">
        <f>IF(L489&gt;0,IF(L489&lt;=eco,alpha*fck*(1-(1-L489/eco)^n),alpha*fck),0)</f>
      </c>
      <c r="N489" s="30">
        <f>PM_Angle!$J$9+PM_Angle!$K$9*$C489+PM_Angle!$L$9*$B489</f>
      </c>
      <c r="O489" s="12">
        <f>IF(N489&gt;0,IF(N489&lt;=eco,alpha*fck*(1-(1-N489/eco)^n),alpha*fck),0)</f>
      </c>
      <c r="P489" s="30">
        <f>PM_Angle!$J$10+PM_Angle!$K$10*$C489+PM_Angle!$L$10*$B489</f>
      </c>
      <c r="Q489" s="12">
        <f>IF(P489&gt;0,IF(P489&lt;=eco,alpha*fck*(1-(1-P489/eco)^n),alpha*fck),0)</f>
      </c>
      <c r="R489" s="30">
        <f>PM_Angle!$J$11+PM_Angle!$K$11*$C489+PM_Angle!$L$11*$B489</f>
      </c>
      <c r="S489" s="12">
        <f>IF(R489&gt;0,IF(R489&lt;=eco,alpha*fck*(1-(1-R489/eco)^n),alpha*fck),0)</f>
      </c>
      <c r="T489" s="30">
        <f>PM_Angle!$J$12+PM_Angle!$K$12*$C489+PM_Angle!$L$12*$B489</f>
      </c>
      <c r="U489" s="12">
        <f>IF(T489&gt;0,IF(T489&lt;=eco,alpha*fck*(1-(1-T489/eco)^n),alpha*fck),0)</f>
      </c>
      <c r="V489" s="30">
        <f>PM_Angle!$J$13+PM_Angle!$K$13*$C489+PM_Angle!$L$13*$B489</f>
      </c>
      <c r="W489" s="12">
        <f>IF(V489&gt;0,IF(V489&lt;=eco,alpha*fck*(1-(1-V489/eco)^n),alpha*fck),0)</f>
      </c>
      <c r="X489" s="30">
        <f>PM_Angle!$J$14+PM_Angle!$K$14*$C489+PM_Angle!$L$14*$B489</f>
      </c>
      <c r="Y489" s="12">
        <f>IF(X489&gt;0,IF(X489&lt;=eco,alpha*fck*(1-(1-X489/eco)^n),alpha*fck),0)</f>
      </c>
      <c r="Z489" s="30">
        <f>PM_Angle!$J$15+PM_Angle!$K$15*$C489+PM_Angle!$L$15*$B489</f>
      </c>
      <c r="AA489" s="12">
        <f>IF(Z489&gt;0,IF(Z489&lt;=eco,alpha*fck*(1-(1-Z489/eco)^n),alpha*fck),0)</f>
      </c>
      <c r="AB489" s="30">
        <f>PM_Angle!$J$16+PM_Angle!$K$16*$C489+PM_Angle!$L$16*$B489</f>
      </c>
      <c r="AC489" s="12">
        <f>IF(AB489&gt;0,IF(AB489&lt;=eco,alpha*fck*(1-(1-AB489/eco)^n),alpha*fck),0)</f>
      </c>
      <c r="AD489" s="30">
        <f>PM_Angle!$J$17+PM_Angle!$K$17*$C489+PM_Angle!$L$17*$B489</f>
      </c>
      <c r="AE489" s="12">
        <f>IF(AD489&gt;0,IF(AD489&lt;=eco,alpha*fck*(1-(1-AD489/eco)^n),alpha*fck),0)</f>
      </c>
      <c r="AF489" s="30">
        <f>PM_Angle!$J$18+PM_Angle!$K$18*$C489+PM_Angle!$L$18*$B489</f>
      </c>
      <c r="AG489" s="12">
        <f>IF(AF489&gt;0,IF(AF489&lt;=eco,alpha*fck*(1-(1-AF489/eco)^n),alpha*fck),0)</f>
      </c>
      <c r="AH489" s="30">
        <f>PM_Angle!$J$19+PM_Angle!$K$19*$C489+PM_Angle!$L$19*$B489</f>
      </c>
      <c r="AI489" s="12">
        <f>IF(AH489&gt;0,IF(AH489&lt;=eco,alpha*fck*(1-(1-AH489/eco)^n),alpha*fck),0)</f>
      </c>
      <c r="AJ489" s="30">
        <f>PM_Angle!$J$20+PM_Angle!$K$20*$C489+PM_Angle!$L$20*$B489</f>
      </c>
      <c r="AK489" s="12">
        <f>IF(AJ489&gt;0,IF(AJ489&lt;=eco,alpha*fck*(1-(1-AJ489/eco)^n),alpha*fck),0)</f>
      </c>
      <c r="AL489" s="30">
        <f>PM_Angle!$J$21+PM_Angle!$K$21*$C489+PM_Angle!$L$21*$B489</f>
      </c>
      <c r="AM489" s="12">
        <f>IF(AL489&gt;0,IF(AL489&lt;=eco,alpha*fck*(1-(1-AL489/eco)^n),alpha*fck),0)</f>
      </c>
      <c r="AN489" s="30">
        <f>PM_Angle!$J$22+PM_Angle!$K$22*$C489+PM_Angle!$L$22*$B489</f>
      </c>
      <c r="AO489" s="12">
        <f>IF(AN489&gt;0,IF(AN489&lt;=eco,alpha*fck*(1-(1-AN489/eco)^n),alpha*fck),0)</f>
      </c>
      <c r="AP489" s="30">
        <f>PM_Angle!$J$23+PM_Angle!$K$23*$C489+PM_Angle!$L$23*$B489</f>
      </c>
      <c r="AQ489" s="12">
        <f>IF(AP489&gt;0,IF(AP489&lt;=eco,alpha*fck*(1-(1-AP489/eco)^n),alpha*fck),0)</f>
      </c>
      <c r="AR489" s="30">
        <f>PM_Angle!$J$24+PM_Angle!$K$24*$C489+PM_Angle!$L$24*$B489</f>
      </c>
      <c r="AS489" s="12">
        <f>IF(AR489&gt;0,IF(AR489&lt;=eco,alpha*fck*(1-(1-AR489/eco)^n),alpha*fck),0)</f>
      </c>
      <c r="AT489" s="30">
        <f>PM_Angle!$J$25+PM_Angle!$K$25*$C489+PM_Angle!$L$25*$B489</f>
      </c>
      <c r="AU489" s="12">
        <f>IF(AT489&gt;0,IF(AT489&lt;=eco,alpha*fck*(1-(1-AT489/eco)^n),alpha*fck),0)</f>
      </c>
    </row>
    <row r="490" spans="1:47" x14ac:dyDescent="0.25">
      <c r="A490">
        <f>Mesh!A487</f>
      </c>
      <c r="B490" s="12">
        <f>Mesh!B487</f>
      </c>
      <c r="C490" s="12">
        <f>Mesh!C487</f>
      </c>
      <c r="D490" s="12">
        <f>Mesh!D487</f>
      </c>
      <c r="E490" s="30">
        <f>INDEX(St_e0,Det+1)+INDEX(St_kx,Det+1)*C490+INDEX(St_ky,Det+1)*B490</f>
      </c>
      <c r="F490" s="12">
        <f>IF(E490&gt;0,IF(E490&lt;=eco,alpha*fck*(1-(1-E490/eco)^n),alpha*fck),0)</f>
      </c>
      <c r="G490" s="11">
        <f>F490*D490</f>
      </c>
      <c r="H490" s="11">
        <f>G490*C490</f>
      </c>
      <c r="I490" s="11">
        <f>G490*B490</f>
      </c>
      <c r="J490" s="30">
        <f>PM_Angle!$J$7+PM_Angle!$K$7*$C490+PM_Angle!$L$7*$B490</f>
      </c>
      <c r="K490" s="12">
        <f>IF(J490&gt;0,IF(J490&lt;=eco,alpha*fck*(1-(1-J490/eco)^n),alpha*fck),0)</f>
      </c>
      <c r="L490" s="30">
        <f>PM_Angle!$J$8+PM_Angle!$K$8*$C490+PM_Angle!$L$8*$B490</f>
      </c>
      <c r="M490" s="12">
        <f>IF(L490&gt;0,IF(L490&lt;=eco,alpha*fck*(1-(1-L490/eco)^n),alpha*fck),0)</f>
      </c>
      <c r="N490" s="30">
        <f>PM_Angle!$J$9+PM_Angle!$K$9*$C490+PM_Angle!$L$9*$B490</f>
      </c>
      <c r="O490" s="12">
        <f>IF(N490&gt;0,IF(N490&lt;=eco,alpha*fck*(1-(1-N490/eco)^n),alpha*fck),0)</f>
      </c>
      <c r="P490" s="30">
        <f>PM_Angle!$J$10+PM_Angle!$K$10*$C490+PM_Angle!$L$10*$B490</f>
      </c>
      <c r="Q490" s="12">
        <f>IF(P490&gt;0,IF(P490&lt;=eco,alpha*fck*(1-(1-P490/eco)^n),alpha*fck),0)</f>
      </c>
      <c r="R490" s="30">
        <f>PM_Angle!$J$11+PM_Angle!$K$11*$C490+PM_Angle!$L$11*$B490</f>
      </c>
      <c r="S490" s="12">
        <f>IF(R490&gt;0,IF(R490&lt;=eco,alpha*fck*(1-(1-R490/eco)^n),alpha*fck),0)</f>
      </c>
      <c r="T490" s="30">
        <f>PM_Angle!$J$12+PM_Angle!$K$12*$C490+PM_Angle!$L$12*$B490</f>
      </c>
      <c r="U490" s="12">
        <f>IF(T490&gt;0,IF(T490&lt;=eco,alpha*fck*(1-(1-T490/eco)^n),alpha*fck),0)</f>
      </c>
      <c r="V490" s="30">
        <f>PM_Angle!$J$13+PM_Angle!$K$13*$C490+PM_Angle!$L$13*$B490</f>
      </c>
      <c r="W490" s="12">
        <f>IF(V490&gt;0,IF(V490&lt;=eco,alpha*fck*(1-(1-V490/eco)^n),alpha*fck),0)</f>
      </c>
      <c r="X490" s="30">
        <f>PM_Angle!$J$14+PM_Angle!$K$14*$C490+PM_Angle!$L$14*$B490</f>
      </c>
      <c r="Y490" s="12">
        <f>IF(X490&gt;0,IF(X490&lt;=eco,alpha*fck*(1-(1-X490/eco)^n),alpha*fck),0)</f>
      </c>
      <c r="Z490" s="30">
        <f>PM_Angle!$J$15+PM_Angle!$K$15*$C490+PM_Angle!$L$15*$B490</f>
      </c>
      <c r="AA490" s="12">
        <f>IF(Z490&gt;0,IF(Z490&lt;=eco,alpha*fck*(1-(1-Z490/eco)^n),alpha*fck),0)</f>
      </c>
      <c r="AB490" s="30">
        <f>PM_Angle!$J$16+PM_Angle!$K$16*$C490+PM_Angle!$L$16*$B490</f>
      </c>
      <c r="AC490" s="12">
        <f>IF(AB490&gt;0,IF(AB490&lt;=eco,alpha*fck*(1-(1-AB490/eco)^n),alpha*fck),0)</f>
      </c>
      <c r="AD490" s="30">
        <f>PM_Angle!$J$17+PM_Angle!$K$17*$C490+PM_Angle!$L$17*$B490</f>
      </c>
      <c r="AE490" s="12">
        <f>IF(AD490&gt;0,IF(AD490&lt;=eco,alpha*fck*(1-(1-AD490/eco)^n),alpha*fck),0)</f>
      </c>
      <c r="AF490" s="30">
        <f>PM_Angle!$J$18+PM_Angle!$K$18*$C490+PM_Angle!$L$18*$B490</f>
      </c>
      <c r="AG490" s="12">
        <f>IF(AF490&gt;0,IF(AF490&lt;=eco,alpha*fck*(1-(1-AF490/eco)^n),alpha*fck),0)</f>
      </c>
      <c r="AH490" s="30">
        <f>PM_Angle!$J$19+PM_Angle!$K$19*$C490+PM_Angle!$L$19*$B490</f>
      </c>
      <c r="AI490" s="12">
        <f>IF(AH490&gt;0,IF(AH490&lt;=eco,alpha*fck*(1-(1-AH490/eco)^n),alpha*fck),0)</f>
      </c>
      <c r="AJ490" s="30">
        <f>PM_Angle!$J$20+PM_Angle!$K$20*$C490+PM_Angle!$L$20*$B490</f>
      </c>
      <c r="AK490" s="12">
        <f>IF(AJ490&gt;0,IF(AJ490&lt;=eco,alpha*fck*(1-(1-AJ490/eco)^n),alpha*fck),0)</f>
      </c>
      <c r="AL490" s="30">
        <f>PM_Angle!$J$21+PM_Angle!$K$21*$C490+PM_Angle!$L$21*$B490</f>
      </c>
      <c r="AM490" s="12">
        <f>IF(AL490&gt;0,IF(AL490&lt;=eco,alpha*fck*(1-(1-AL490/eco)^n),alpha*fck),0)</f>
      </c>
      <c r="AN490" s="30">
        <f>PM_Angle!$J$22+PM_Angle!$K$22*$C490+PM_Angle!$L$22*$B490</f>
      </c>
      <c r="AO490" s="12">
        <f>IF(AN490&gt;0,IF(AN490&lt;=eco,alpha*fck*(1-(1-AN490/eco)^n),alpha*fck),0)</f>
      </c>
      <c r="AP490" s="30">
        <f>PM_Angle!$J$23+PM_Angle!$K$23*$C490+PM_Angle!$L$23*$B490</f>
      </c>
      <c r="AQ490" s="12">
        <f>IF(AP490&gt;0,IF(AP490&lt;=eco,alpha*fck*(1-(1-AP490/eco)^n),alpha*fck),0)</f>
      </c>
      <c r="AR490" s="30">
        <f>PM_Angle!$J$24+PM_Angle!$K$24*$C490+PM_Angle!$L$24*$B490</f>
      </c>
      <c r="AS490" s="12">
        <f>IF(AR490&gt;0,IF(AR490&lt;=eco,alpha*fck*(1-(1-AR490/eco)^n),alpha*fck),0)</f>
      </c>
      <c r="AT490" s="30">
        <f>PM_Angle!$J$25+PM_Angle!$K$25*$C490+PM_Angle!$L$25*$B490</f>
      </c>
      <c r="AU490" s="12">
        <f>IF(AT490&gt;0,IF(AT490&lt;=eco,alpha*fck*(1-(1-AT490/eco)^n),alpha*fck),0)</f>
      </c>
    </row>
    <row r="491" spans="1:47" x14ac:dyDescent="0.25">
      <c r="A491">
        <f>Mesh!A488</f>
      </c>
      <c r="B491" s="12">
        <f>Mesh!B488</f>
      </c>
      <c r="C491" s="12">
        <f>Mesh!C488</f>
      </c>
      <c r="D491" s="12">
        <f>Mesh!D488</f>
      </c>
      <c r="E491" s="30">
        <f>INDEX(St_e0,Det+1)+INDEX(St_kx,Det+1)*C491+INDEX(St_ky,Det+1)*B491</f>
      </c>
      <c r="F491" s="12">
        <f>IF(E491&gt;0,IF(E491&lt;=eco,alpha*fck*(1-(1-E491/eco)^n),alpha*fck),0)</f>
      </c>
      <c r="G491" s="11">
        <f>F491*D491</f>
      </c>
      <c r="H491" s="11">
        <f>G491*C491</f>
      </c>
      <c r="I491" s="11">
        <f>G491*B491</f>
      </c>
      <c r="J491" s="30">
        <f>PM_Angle!$J$7+PM_Angle!$K$7*$C491+PM_Angle!$L$7*$B491</f>
      </c>
      <c r="K491" s="12">
        <f>IF(J491&gt;0,IF(J491&lt;=eco,alpha*fck*(1-(1-J491/eco)^n),alpha*fck),0)</f>
      </c>
      <c r="L491" s="30">
        <f>PM_Angle!$J$8+PM_Angle!$K$8*$C491+PM_Angle!$L$8*$B491</f>
      </c>
      <c r="M491" s="12">
        <f>IF(L491&gt;0,IF(L491&lt;=eco,alpha*fck*(1-(1-L491/eco)^n),alpha*fck),0)</f>
      </c>
      <c r="N491" s="30">
        <f>PM_Angle!$J$9+PM_Angle!$K$9*$C491+PM_Angle!$L$9*$B491</f>
      </c>
      <c r="O491" s="12">
        <f>IF(N491&gt;0,IF(N491&lt;=eco,alpha*fck*(1-(1-N491/eco)^n),alpha*fck),0)</f>
      </c>
      <c r="P491" s="30">
        <f>PM_Angle!$J$10+PM_Angle!$K$10*$C491+PM_Angle!$L$10*$B491</f>
      </c>
      <c r="Q491" s="12">
        <f>IF(P491&gt;0,IF(P491&lt;=eco,alpha*fck*(1-(1-P491/eco)^n),alpha*fck),0)</f>
      </c>
      <c r="R491" s="30">
        <f>PM_Angle!$J$11+PM_Angle!$K$11*$C491+PM_Angle!$L$11*$B491</f>
      </c>
      <c r="S491" s="12">
        <f>IF(R491&gt;0,IF(R491&lt;=eco,alpha*fck*(1-(1-R491/eco)^n),alpha*fck),0)</f>
      </c>
      <c r="T491" s="30">
        <f>PM_Angle!$J$12+PM_Angle!$K$12*$C491+PM_Angle!$L$12*$B491</f>
      </c>
      <c r="U491" s="12">
        <f>IF(T491&gt;0,IF(T491&lt;=eco,alpha*fck*(1-(1-T491/eco)^n),alpha*fck),0)</f>
      </c>
      <c r="V491" s="30">
        <f>PM_Angle!$J$13+PM_Angle!$K$13*$C491+PM_Angle!$L$13*$B491</f>
      </c>
      <c r="W491" s="12">
        <f>IF(V491&gt;0,IF(V491&lt;=eco,alpha*fck*(1-(1-V491/eco)^n),alpha*fck),0)</f>
      </c>
      <c r="X491" s="30">
        <f>PM_Angle!$J$14+PM_Angle!$K$14*$C491+PM_Angle!$L$14*$B491</f>
      </c>
      <c r="Y491" s="12">
        <f>IF(X491&gt;0,IF(X491&lt;=eco,alpha*fck*(1-(1-X491/eco)^n),alpha*fck),0)</f>
      </c>
      <c r="Z491" s="30">
        <f>PM_Angle!$J$15+PM_Angle!$K$15*$C491+PM_Angle!$L$15*$B491</f>
      </c>
      <c r="AA491" s="12">
        <f>IF(Z491&gt;0,IF(Z491&lt;=eco,alpha*fck*(1-(1-Z491/eco)^n),alpha*fck),0)</f>
      </c>
      <c r="AB491" s="30">
        <f>PM_Angle!$J$16+PM_Angle!$K$16*$C491+PM_Angle!$L$16*$B491</f>
      </c>
      <c r="AC491" s="12">
        <f>IF(AB491&gt;0,IF(AB491&lt;=eco,alpha*fck*(1-(1-AB491/eco)^n),alpha*fck),0)</f>
      </c>
      <c r="AD491" s="30">
        <f>PM_Angle!$J$17+PM_Angle!$K$17*$C491+PM_Angle!$L$17*$B491</f>
      </c>
      <c r="AE491" s="12">
        <f>IF(AD491&gt;0,IF(AD491&lt;=eco,alpha*fck*(1-(1-AD491/eco)^n),alpha*fck),0)</f>
      </c>
      <c r="AF491" s="30">
        <f>PM_Angle!$J$18+PM_Angle!$K$18*$C491+PM_Angle!$L$18*$B491</f>
      </c>
      <c r="AG491" s="12">
        <f>IF(AF491&gt;0,IF(AF491&lt;=eco,alpha*fck*(1-(1-AF491/eco)^n),alpha*fck),0)</f>
      </c>
      <c r="AH491" s="30">
        <f>PM_Angle!$J$19+PM_Angle!$K$19*$C491+PM_Angle!$L$19*$B491</f>
      </c>
      <c r="AI491" s="12">
        <f>IF(AH491&gt;0,IF(AH491&lt;=eco,alpha*fck*(1-(1-AH491/eco)^n),alpha*fck),0)</f>
      </c>
      <c r="AJ491" s="30">
        <f>PM_Angle!$J$20+PM_Angle!$K$20*$C491+PM_Angle!$L$20*$B491</f>
      </c>
      <c r="AK491" s="12">
        <f>IF(AJ491&gt;0,IF(AJ491&lt;=eco,alpha*fck*(1-(1-AJ491/eco)^n),alpha*fck),0)</f>
      </c>
      <c r="AL491" s="30">
        <f>PM_Angle!$J$21+PM_Angle!$K$21*$C491+PM_Angle!$L$21*$B491</f>
      </c>
      <c r="AM491" s="12">
        <f>IF(AL491&gt;0,IF(AL491&lt;=eco,alpha*fck*(1-(1-AL491/eco)^n),alpha*fck),0)</f>
      </c>
      <c r="AN491" s="30">
        <f>PM_Angle!$J$22+PM_Angle!$K$22*$C491+PM_Angle!$L$22*$B491</f>
      </c>
      <c r="AO491" s="12">
        <f>IF(AN491&gt;0,IF(AN491&lt;=eco,alpha*fck*(1-(1-AN491/eco)^n),alpha*fck),0)</f>
      </c>
      <c r="AP491" s="30">
        <f>PM_Angle!$J$23+PM_Angle!$K$23*$C491+PM_Angle!$L$23*$B491</f>
      </c>
      <c r="AQ491" s="12">
        <f>IF(AP491&gt;0,IF(AP491&lt;=eco,alpha*fck*(1-(1-AP491/eco)^n),alpha*fck),0)</f>
      </c>
      <c r="AR491" s="30">
        <f>PM_Angle!$J$24+PM_Angle!$K$24*$C491+PM_Angle!$L$24*$B491</f>
      </c>
      <c r="AS491" s="12">
        <f>IF(AR491&gt;0,IF(AR491&lt;=eco,alpha*fck*(1-(1-AR491/eco)^n),alpha*fck),0)</f>
      </c>
      <c r="AT491" s="30">
        <f>PM_Angle!$J$25+PM_Angle!$K$25*$C491+PM_Angle!$L$25*$B491</f>
      </c>
      <c r="AU491" s="12">
        <f>IF(AT491&gt;0,IF(AT491&lt;=eco,alpha*fck*(1-(1-AT491/eco)^n),alpha*fck),0)</f>
      </c>
    </row>
    <row r="492" spans="1:47" x14ac:dyDescent="0.25">
      <c r="A492">
        <f>Mesh!A489</f>
      </c>
      <c r="B492" s="12">
        <f>Mesh!B489</f>
      </c>
      <c r="C492" s="12">
        <f>Mesh!C489</f>
      </c>
      <c r="D492" s="12">
        <f>Mesh!D489</f>
      </c>
      <c r="E492" s="30">
        <f>INDEX(St_e0,Det+1)+INDEX(St_kx,Det+1)*C492+INDEX(St_ky,Det+1)*B492</f>
      </c>
      <c r="F492" s="12">
        <f>IF(E492&gt;0,IF(E492&lt;=eco,alpha*fck*(1-(1-E492/eco)^n),alpha*fck),0)</f>
      </c>
      <c r="G492" s="11">
        <f>F492*D492</f>
      </c>
      <c r="H492" s="11">
        <f>G492*C492</f>
      </c>
      <c r="I492" s="11">
        <f>G492*B492</f>
      </c>
      <c r="J492" s="30">
        <f>PM_Angle!$J$7+PM_Angle!$K$7*$C492+PM_Angle!$L$7*$B492</f>
      </c>
      <c r="K492" s="12">
        <f>IF(J492&gt;0,IF(J492&lt;=eco,alpha*fck*(1-(1-J492/eco)^n),alpha*fck),0)</f>
      </c>
      <c r="L492" s="30">
        <f>PM_Angle!$J$8+PM_Angle!$K$8*$C492+PM_Angle!$L$8*$B492</f>
      </c>
      <c r="M492" s="12">
        <f>IF(L492&gt;0,IF(L492&lt;=eco,alpha*fck*(1-(1-L492/eco)^n),alpha*fck),0)</f>
      </c>
      <c r="N492" s="30">
        <f>PM_Angle!$J$9+PM_Angle!$K$9*$C492+PM_Angle!$L$9*$B492</f>
      </c>
      <c r="O492" s="12">
        <f>IF(N492&gt;0,IF(N492&lt;=eco,alpha*fck*(1-(1-N492/eco)^n),alpha*fck),0)</f>
      </c>
      <c r="P492" s="30">
        <f>PM_Angle!$J$10+PM_Angle!$K$10*$C492+PM_Angle!$L$10*$B492</f>
      </c>
      <c r="Q492" s="12">
        <f>IF(P492&gt;0,IF(P492&lt;=eco,alpha*fck*(1-(1-P492/eco)^n),alpha*fck),0)</f>
      </c>
      <c r="R492" s="30">
        <f>PM_Angle!$J$11+PM_Angle!$K$11*$C492+PM_Angle!$L$11*$B492</f>
      </c>
      <c r="S492" s="12">
        <f>IF(R492&gt;0,IF(R492&lt;=eco,alpha*fck*(1-(1-R492/eco)^n),alpha*fck),0)</f>
      </c>
      <c r="T492" s="30">
        <f>PM_Angle!$J$12+PM_Angle!$K$12*$C492+PM_Angle!$L$12*$B492</f>
      </c>
      <c r="U492" s="12">
        <f>IF(T492&gt;0,IF(T492&lt;=eco,alpha*fck*(1-(1-T492/eco)^n),alpha*fck),0)</f>
      </c>
      <c r="V492" s="30">
        <f>PM_Angle!$J$13+PM_Angle!$K$13*$C492+PM_Angle!$L$13*$B492</f>
      </c>
      <c r="W492" s="12">
        <f>IF(V492&gt;0,IF(V492&lt;=eco,alpha*fck*(1-(1-V492/eco)^n),alpha*fck),0)</f>
      </c>
      <c r="X492" s="30">
        <f>PM_Angle!$J$14+PM_Angle!$K$14*$C492+PM_Angle!$L$14*$B492</f>
      </c>
      <c r="Y492" s="12">
        <f>IF(X492&gt;0,IF(X492&lt;=eco,alpha*fck*(1-(1-X492/eco)^n),alpha*fck),0)</f>
      </c>
      <c r="Z492" s="30">
        <f>PM_Angle!$J$15+PM_Angle!$K$15*$C492+PM_Angle!$L$15*$B492</f>
      </c>
      <c r="AA492" s="12">
        <f>IF(Z492&gt;0,IF(Z492&lt;=eco,alpha*fck*(1-(1-Z492/eco)^n),alpha*fck),0)</f>
      </c>
      <c r="AB492" s="30">
        <f>PM_Angle!$J$16+PM_Angle!$K$16*$C492+PM_Angle!$L$16*$B492</f>
      </c>
      <c r="AC492" s="12">
        <f>IF(AB492&gt;0,IF(AB492&lt;=eco,alpha*fck*(1-(1-AB492/eco)^n),alpha*fck),0)</f>
      </c>
      <c r="AD492" s="30">
        <f>PM_Angle!$J$17+PM_Angle!$K$17*$C492+PM_Angle!$L$17*$B492</f>
      </c>
      <c r="AE492" s="12">
        <f>IF(AD492&gt;0,IF(AD492&lt;=eco,alpha*fck*(1-(1-AD492/eco)^n),alpha*fck),0)</f>
      </c>
      <c r="AF492" s="30">
        <f>PM_Angle!$J$18+PM_Angle!$K$18*$C492+PM_Angle!$L$18*$B492</f>
      </c>
      <c r="AG492" s="12">
        <f>IF(AF492&gt;0,IF(AF492&lt;=eco,alpha*fck*(1-(1-AF492/eco)^n),alpha*fck),0)</f>
      </c>
      <c r="AH492" s="30">
        <f>PM_Angle!$J$19+PM_Angle!$K$19*$C492+PM_Angle!$L$19*$B492</f>
      </c>
      <c r="AI492" s="12">
        <f>IF(AH492&gt;0,IF(AH492&lt;=eco,alpha*fck*(1-(1-AH492/eco)^n),alpha*fck),0)</f>
      </c>
      <c r="AJ492" s="30">
        <f>PM_Angle!$J$20+PM_Angle!$K$20*$C492+PM_Angle!$L$20*$B492</f>
      </c>
      <c r="AK492" s="12">
        <f>IF(AJ492&gt;0,IF(AJ492&lt;=eco,alpha*fck*(1-(1-AJ492/eco)^n),alpha*fck),0)</f>
      </c>
      <c r="AL492" s="30">
        <f>PM_Angle!$J$21+PM_Angle!$K$21*$C492+PM_Angle!$L$21*$B492</f>
      </c>
      <c r="AM492" s="12">
        <f>IF(AL492&gt;0,IF(AL492&lt;=eco,alpha*fck*(1-(1-AL492/eco)^n),alpha*fck),0)</f>
      </c>
      <c r="AN492" s="30">
        <f>PM_Angle!$J$22+PM_Angle!$K$22*$C492+PM_Angle!$L$22*$B492</f>
      </c>
      <c r="AO492" s="12">
        <f>IF(AN492&gt;0,IF(AN492&lt;=eco,alpha*fck*(1-(1-AN492/eco)^n),alpha*fck),0)</f>
      </c>
      <c r="AP492" s="30">
        <f>PM_Angle!$J$23+PM_Angle!$K$23*$C492+PM_Angle!$L$23*$B492</f>
      </c>
      <c r="AQ492" s="12">
        <f>IF(AP492&gt;0,IF(AP492&lt;=eco,alpha*fck*(1-(1-AP492/eco)^n),alpha*fck),0)</f>
      </c>
      <c r="AR492" s="30">
        <f>PM_Angle!$J$24+PM_Angle!$K$24*$C492+PM_Angle!$L$24*$B492</f>
      </c>
      <c r="AS492" s="12">
        <f>IF(AR492&gt;0,IF(AR492&lt;=eco,alpha*fck*(1-(1-AR492/eco)^n),alpha*fck),0)</f>
      </c>
      <c r="AT492" s="30">
        <f>PM_Angle!$J$25+PM_Angle!$K$25*$C492+PM_Angle!$L$25*$B492</f>
      </c>
      <c r="AU492" s="12">
        <f>IF(AT492&gt;0,IF(AT492&lt;=eco,alpha*fck*(1-(1-AT492/eco)^n),alpha*fck),0)</f>
      </c>
    </row>
    <row r="493" spans="1:47" x14ac:dyDescent="0.25">
      <c r="A493">
        <f>Mesh!A490</f>
      </c>
      <c r="B493" s="12">
        <f>Mesh!B490</f>
      </c>
      <c r="C493" s="12">
        <f>Mesh!C490</f>
      </c>
      <c r="D493" s="12">
        <f>Mesh!D490</f>
      </c>
      <c r="E493" s="30">
        <f>INDEX(St_e0,Det+1)+INDEX(St_kx,Det+1)*C493+INDEX(St_ky,Det+1)*B493</f>
      </c>
      <c r="F493" s="12">
        <f>IF(E493&gt;0,IF(E493&lt;=eco,alpha*fck*(1-(1-E493/eco)^n),alpha*fck),0)</f>
      </c>
      <c r="G493" s="11">
        <f>F493*D493</f>
      </c>
      <c r="H493" s="11">
        <f>G493*C493</f>
      </c>
      <c r="I493" s="11">
        <f>G493*B493</f>
      </c>
      <c r="J493" s="30">
        <f>PM_Angle!$J$7+PM_Angle!$K$7*$C493+PM_Angle!$L$7*$B493</f>
      </c>
      <c r="K493" s="12">
        <f>IF(J493&gt;0,IF(J493&lt;=eco,alpha*fck*(1-(1-J493/eco)^n),alpha*fck),0)</f>
      </c>
      <c r="L493" s="30">
        <f>PM_Angle!$J$8+PM_Angle!$K$8*$C493+PM_Angle!$L$8*$B493</f>
      </c>
      <c r="M493" s="12">
        <f>IF(L493&gt;0,IF(L493&lt;=eco,alpha*fck*(1-(1-L493/eco)^n),alpha*fck),0)</f>
      </c>
      <c r="N493" s="30">
        <f>PM_Angle!$J$9+PM_Angle!$K$9*$C493+PM_Angle!$L$9*$B493</f>
      </c>
      <c r="O493" s="12">
        <f>IF(N493&gt;0,IF(N493&lt;=eco,alpha*fck*(1-(1-N493/eco)^n),alpha*fck),0)</f>
      </c>
      <c r="P493" s="30">
        <f>PM_Angle!$J$10+PM_Angle!$K$10*$C493+PM_Angle!$L$10*$B493</f>
      </c>
      <c r="Q493" s="12">
        <f>IF(P493&gt;0,IF(P493&lt;=eco,alpha*fck*(1-(1-P493/eco)^n),alpha*fck),0)</f>
      </c>
      <c r="R493" s="30">
        <f>PM_Angle!$J$11+PM_Angle!$K$11*$C493+PM_Angle!$L$11*$B493</f>
      </c>
      <c r="S493" s="12">
        <f>IF(R493&gt;0,IF(R493&lt;=eco,alpha*fck*(1-(1-R493/eco)^n),alpha*fck),0)</f>
      </c>
      <c r="T493" s="30">
        <f>PM_Angle!$J$12+PM_Angle!$K$12*$C493+PM_Angle!$L$12*$B493</f>
      </c>
      <c r="U493" s="12">
        <f>IF(T493&gt;0,IF(T493&lt;=eco,alpha*fck*(1-(1-T493/eco)^n),alpha*fck),0)</f>
      </c>
      <c r="V493" s="30">
        <f>PM_Angle!$J$13+PM_Angle!$K$13*$C493+PM_Angle!$L$13*$B493</f>
      </c>
      <c r="W493" s="12">
        <f>IF(V493&gt;0,IF(V493&lt;=eco,alpha*fck*(1-(1-V493/eco)^n),alpha*fck),0)</f>
      </c>
      <c r="X493" s="30">
        <f>PM_Angle!$J$14+PM_Angle!$K$14*$C493+PM_Angle!$L$14*$B493</f>
      </c>
      <c r="Y493" s="12">
        <f>IF(X493&gt;0,IF(X493&lt;=eco,alpha*fck*(1-(1-X493/eco)^n),alpha*fck),0)</f>
      </c>
      <c r="Z493" s="30">
        <f>PM_Angle!$J$15+PM_Angle!$K$15*$C493+PM_Angle!$L$15*$B493</f>
      </c>
      <c r="AA493" s="12">
        <f>IF(Z493&gt;0,IF(Z493&lt;=eco,alpha*fck*(1-(1-Z493/eco)^n),alpha*fck),0)</f>
      </c>
      <c r="AB493" s="30">
        <f>PM_Angle!$J$16+PM_Angle!$K$16*$C493+PM_Angle!$L$16*$B493</f>
      </c>
      <c r="AC493" s="12">
        <f>IF(AB493&gt;0,IF(AB493&lt;=eco,alpha*fck*(1-(1-AB493/eco)^n),alpha*fck),0)</f>
      </c>
      <c r="AD493" s="30">
        <f>PM_Angle!$J$17+PM_Angle!$K$17*$C493+PM_Angle!$L$17*$B493</f>
      </c>
      <c r="AE493" s="12">
        <f>IF(AD493&gt;0,IF(AD493&lt;=eco,alpha*fck*(1-(1-AD493/eco)^n),alpha*fck),0)</f>
      </c>
      <c r="AF493" s="30">
        <f>PM_Angle!$J$18+PM_Angle!$K$18*$C493+PM_Angle!$L$18*$B493</f>
      </c>
      <c r="AG493" s="12">
        <f>IF(AF493&gt;0,IF(AF493&lt;=eco,alpha*fck*(1-(1-AF493/eco)^n),alpha*fck),0)</f>
      </c>
      <c r="AH493" s="30">
        <f>PM_Angle!$J$19+PM_Angle!$K$19*$C493+PM_Angle!$L$19*$B493</f>
      </c>
      <c r="AI493" s="12">
        <f>IF(AH493&gt;0,IF(AH493&lt;=eco,alpha*fck*(1-(1-AH493/eco)^n),alpha*fck),0)</f>
      </c>
      <c r="AJ493" s="30">
        <f>PM_Angle!$J$20+PM_Angle!$K$20*$C493+PM_Angle!$L$20*$B493</f>
      </c>
      <c r="AK493" s="12">
        <f>IF(AJ493&gt;0,IF(AJ493&lt;=eco,alpha*fck*(1-(1-AJ493/eco)^n),alpha*fck),0)</f>
      </c>
      <c r="AL493" s="30">
        <f>PM_Angle!$J$21+PM_Angle!$K$21*$C493+PM_Angle!$L$21*$B493</f>
      </c>
      <c r="AM493" s="12">
        <f>IF(AL493&gt;0,IF(AL493&lt;=eco,alpha*fck*(1-(1-AL493/eco)^n),alpha*fck),0)</f>
      </c>
      <c r="AN493" s="30">
        <f>PM_Angle!$J$22+PM_Angle!$K$22*$C493+PM_Angle!$L$22*$B493</f>
      </c>
      <c r="AO493" s="12">
        <f>IF(AN493&gt;0,IF(AN493&lt;=eco,alpha*fck*(1-(1-AN493/eco)^n),alpha*fck),0)</f>
      </c>
      <c r="AP493" s="30">
        <f>PM_Angle!$J$23+PM_Angle!$K$23*$C493+PM_Angle!$L$23*$B493</f>
      </c>
      <c r="AQ493" s="12">
        <f>IF(AP493&gt;0,IF(AP493&lt;=eco,alpha*fck*(1-(1-AP493/eco)^n),alpha*fck),0)</f>
      </c>
      <c r="AR493" s="30">
        <f>PM_Angle!$J$24+PM_Angle!$K$24*$C493+PM_Angle!$L$24*$B493</f>
      </c>
      <c r="AS493" s="12">
        <f>IF(AR493&gt;0,IF(AR493&lt;=eco,alpha*fck*(1-(1-AR493/eco)^n),alpha*fck),0)</f>
      </c>
      <c r="AT493" s="30">
        <f>PM_Angle!$J$25+PM_Angle!$K$25*$C493+PM_Angle!$L$25*$B493</f>
      </c>
      <c r="AU493" s="12">
        <f>IF(AT493&gt;0,IF(AT493&lt;=eco,alpha*fck*(1-(1-AT493/eco)^n),alpha*fck),0)</f>
      </c>
    </row>
    <row r="494" spans="1:47" x14ac:dyDescent="0.25">
      <c r="A494">
        <f>Mesh!A491</f>
      </c>
      <c r="B494" s="12">
        <f>Mesh!B491</f>
      </c>
      <c r="C494" s="12">
        <f>Mesh!C491</f>
      </c>
      <c r="D494" s="12">
        <f>Mesh!D491</f>
      </c>
      <c r="E494" s="30">
        <f>INDEX(St_e0,Det+1)+INDEX(St_kx,Det+1)*C494+INDEX(St_ky,Det+1)*B494</f>
      </c>
      <c r="F494" s="12">
        <f>IF(E494&gt;0,IF(E494&lt;=eco,alpha*fck*(1-(1-E494/eco)^n),alpha*fck),0)</f>
      </c>
      <c r="G494" s="11">
        <f>F494*D494</f>
      </c>
      <c r="H494" s="11">
        <f>G494*C494</f>
      </c>
      <c r="I494" s="11">
        <f>G494*B494</f>
      </c>
      <c r="J494" s="30">
        <f>PM_Angle!$J$7+PM_Angle!$K$7*$C494+PM_Angle!$L$7*$B494</f>
      </c>
      <c r="K494" s="12">
        <f>IF(J494&gt;0,IF(J494&lt;=eco,alpha*fck*(1-(1-J494/eco)^n),alpha*fck),0)</f>
      </c>
      <c r="L494" s="30">
        <f>PM_Angle!$J$8+PM_Angle!$K$8*$C494+PM_Angle!$L$8*$B494</f>
      </c>
      <c r="M494" s="12">
        <f>IF(L494&gt;0,IF(L494&lt;=eco,alpha*fck*(1-(1-L494/eco)^n),alpha*fck),0)</f>
      </c>
      <c r="N494" s="30">
        <f>PM_Angle!$J$9+PM_Angle!$K$9*$C494+PM_Angle!$L$9*$B494</f>
      </c>
      <c r="O494" s="12">
        <f>IF(N494&gt;0,IF(N494&lt;=eco,alpha*fck*(1-(1-N494/eco)^n),alpha*fck),0)</f>
      </c>
      <c r="P494" s="30">
        <f>PM_Angle!$J$10+PM_Angle!$K$10*$C494+PM_Angle!$L$10*$B494</f>
      </c>
      <c r="Q494" s="12">
        <f>IF(P494&gt;0,IF(P494&lt;=eco,alpha*fck*(1-(1-P494/eco)^n),alpha*fck),0)</f>
      </c>
      <c r="R494" s="30">
        <f>PM_Angle!$J$11+PM_Angle!$K$11*$C494+PM_Angle!$L$11*$B494</f>
      </c>
      <c r="S494" s="12">
        <f>IF(R494&gt;0,IF(R494&lt;=eco,alpha*fck*(1-(1-R494/eco)^n),alpha*fck),0)</f>
      </c>
      <c r="T494" s="30">
        <f>PM_Angle!$J$12+PM_Angle!$K$12*$C494+PM_Angle!$L$12*$B494</f>
      </c>
      <c r="U494" s="12">
        <f>IF(T494&gt;0,IF(T494&lt;=eco,alpha*fck*(1-(1-T494/eco)^n),alpha*fck),0)</f>
      </c>
      <c r="V494" s="30">
        <f>PM_Angle!$J$13+PM_Angle!$K$13*$C494+PM_Angle!$L$13*$B494</f>
      </c>
      <c r="W494" s="12">
        <f>IF(V494&gt;0,IF(V494&lt;=eco,alpha*fck*(1-(1-V494/eco)^n),alpha*fck),0)</f>
      </c>
      <c r="X494" s="30">
        <f>PM_Angle!$J$14+PM_Angle!$K$14*$C494+PM_Angle!$L$14*$B494</f>
      </c>
      <c r="Y494" s="12">
        <f>IF(X494&gt;0,IF(X494&lt;=eco,alpha*fck*(1-(1-X494/eco)^n),alpha*fck),0)</f>
      </c>
      <c r="Z494" s="30">
        <f>PM_Angle!$J$15+PM_Angle!$K$15*$C494+PM_Angle!$L$15*$B494</f>
      </c>
      <c r="AA494" s="12">
        <f>IF(Z494&gt;0,IF(Z494&lt;=eco,alpha*fck*(1-(1-Z494/eco)^n),alpha*fck),0)</f>
      </c>
      <c r="AB494" s="30">
        <f>PM_Angle!$J$16+PM_Angle!$K$16*$C494+PM_Angle!$L$16*$B494</f>
      </c>
      <c r="AC494" s="12">
        <f>IF(AB494&gt;0,IF(AB494&lt;=eco,alpha*fck*(1-(1-AB494/eco)^n),alpha*fck),0)</f>
      </c>
      <c r="AD494" s="30">
        <f>PM_Angle!$J$17+PM_Angle!$K$17*$C494+PM_Angle!$L$17*$B494</f>
      </c>
      <c r="AE494" s="12">
        <f>IF(AD494&gt;0,IF(AD494&lt;=eco,alpha*fck*(1-(1-AD494/eco)^n),alpha*fck),0)</f>
      </c>
      <c r="AF494" s="30">
        <f>PM_Angle!$J$18+PM_Angle!$K$18*$C494+PM_Angle!$L$18*$B494</f>
      </c>
      <c r="AG494" s="12">
        <f>IF(AF494&gt;0,IF(AF494&lt;=eco,alpha*fck*(1-(1-AF494/eco)^n),alpha*fck),0)</f>
      </c>
      <c r="AH494" s="30">
        <f>PM_Angle!$J$19+PM_Angle!$K$19*$C494+PM_Angle!$L$19*$B494</f>
      </c>
      <c r="AI494" s="12">
        <f>IF(AH494&gt;0,IF(AH494&lt;=eco,alpha*fck*(1-(1-AH494/eco)^n),alpha*fck),0)</f>
      </c>
      <c r="AJ494" s="30">
        <f>PM_Angle!$J$20+PM_Angle!$K$20*$C494+PM_Angle!$L$20*$B494</f>
      </c>
      <c r="AK494" s="12">
        <f>IF(AJ494&gt;0,IF(AJ494&lt;=eco,alpha*fck*(1-(1-AJ494/eco)^n),alpha*fck),0)</f>
      </c>
      <c r="AL494" s="30">
        <f>PM_Angle!$J$21+PM_Angle!$K$21*$C494+PM_Angle!$L$21*$B494</f>
      </c>
      <c r="AM494" s="12">
        <f>IF(AL494&gt;0,IF(AL494&lt;=eco,alpha*fck*(1-(1-AL494/eco)^n),alpha*fck),0)</f>
      </c>
      <c r="AN494" s="30">
        <f>PM_Angle!$J$22+PM_Angle!$K$22*$C494+PM_Angle!$L$22*$B494</f>
      </c>
      <c r="AO494" s="12">
        <f>IF(AN494&gt;0,IF(AN494&lt;=eco,alpha*fck*(1-(1-AN494/eco)^n),alpha*fck),0)</f>
      </c>
      <c r="AP494" s="30">
        <f>PM_Angle!$J$23+PM_Angle!$K$23*$C494+PM_Angle!$L$23*$B494</f>
      </c>
      <c r="AQ494" s="12">
        <f>IF(AP494&gt;0,IF(AP494&lt;=eco,alpha*fck*(1-(1-AP494/eco)^n),alpha*fck),0)</f>
      </c>
      <c r="AR494" s="30">
        <f>PM_Angle!$J$24+PM_Angle!$K$24*$C494+PM_Angle!$L$24*$B494</f>
      </c>
      <c r="AS494" s="12">
        <f>IF(AR494&gt;0,IF(AR494&lt;=eco,alpha*fck*(1-(1-AR494/eco)^n),alpha*fck),0)</f>
      </c>
      <c r="AT494" s="30">
        <f>PM_Angle!$J$25+PM_Angle!$K$25*$C494+PM_Angle!$L$25*$B494</f>
      </c>
      <c r="AU494" s="12">
        <f>IF(AT494&gt;0,IF(AT494&lt;=eco,alpha*fck*(1-(1-AT494/eco)^n),alpha*fck),0)</f>
      </c>
    </row>
    <row r="495" spans="1:47" x14ac:dyDescent="0.25">
      <c r="A495">
        <f>Mesh!A492</f>
      </c>
      <c r="B495" s="12">
        <f>Mesh!B492</f>
      </c>
      <c r="C495" s="12">
        <f>Mesh!C492</f>
      </c>
      <c r="D495" s="12">
        <f>Mesh!D492</f>
      </c>
      <c r="E495" s="30">
        <f>INDEX(St_e0,Det+1)+INDEX(St_kx,Det+1)*C495+INDEX(St_ky,Det+1)*B495</f>
      </c>
      <c r="F495" s="12">
        <f>IF(E495&gt;0,IF(E495&lt;=eco,alpha*fck*(1-(1-E495/eco)^n),alpha*fck),0)</f>
      </c>
      <c r="G495" s="11">
        <f>F495*D495</f>
      </c>
      <c r="H495" s="11">
        <f>G495*C495</f>
      </c>
      <c r="I495" s="11">
        <f>G495*B495</f>
      </c>
      <c r="J495" s="30">
        <f>PM_Angle!$J$7+PM_Angle!$K$7*$C495+PM_Angle!$L$7*$B495</f>
      </c>
      <c r="K495" s="12">
        <f>IF(J495&gt;0,IF(J495&lt;=eco,alpha*fck*(1-(1-J495/eco)^n),alpha*fck),0)</f>
      </c>
      <c r="L495" s="30">
        <f>PM_Angle!$J$8+PM_Angle!$K$8*$C495+PM_Angle!$L$8*$B495</f>
      </c>
      <c r="M495" s="12">
        <f>IF(L495&gt;0,IF(L495&lt;=eco,alpha*fck*(1-(1-L495/eco)^n),alpha*fck),0)</f>
      </c>
      <c r="N495" s="30">
        <f>PM_Angle!$J$9+PM_Angle!$K$9*$C495+PM_Angle!$L$9*$B495</f>
      </c>
      <c r="O495" s="12">
        <f>IF(N495&gt;0,IF(N495&lt;=eco,alpha*fck*(1-(1-N495/eco)^n),alpha*fck),0)</f>
      </c>
      <c r="P495" s="30">
        <f>PM_Angle!$J$10+PM_Angle!$K$10*$C495+PM_Angle!$L$10*$B495</f>
      </c>
      <c r="Q495" s="12">
        <f>IF(P495&gt;0,IF(P495&lt;=eco,alpha*fck*(1-(1-P495/eco)^n),alpha*fck),0)</f>
      </c>
      <c r="R495" s="30">
        <f>PM_Angle!$J$11+PM_Angle!$K$11*$C495+PM_Angle!$L$11*$B495</f>
      </c>
      <c r="S495" s="12">
        <f>IF(R495&gt;0,IF(R495&lt;=eco,alpha*fck*(1-(1-R495/eco)^n),alpha*fck),0)</f>
      </c>
      <c r="T495" s="30">
        <f>PM_Angle!$J$12+PM_Angle!$K$12*$C495+PM_Angle!$L$12*$B495</f>
      </c>
      <c r="U495" s="12">
        <f>IF(T495&gt;0,IF(T495&lt;=eco,alpha*fck*(1-(1-T495/eco)^n),alpha*fck),0)</f>
      </c>
      <c r="V495" s="30">
        <f>PM_Angle!$J$13+PM_Angle!$K$13*$C495+PM_Angle!$L$13*$B495</f>
      </c>
      <c r="W495" s="12">
        <f>IF(V495&gt;0,IF(V495&lt;=eco,alpha*fck*(1-(1-V495/eco)^n),alpha*fck),0)</f>
      </c>
      <c r="X495" s="30">
        <f>PM_Angle!$J$14+PM_Angle!$K$14*$C495+PM_Angle!$L$14*$B495</f>
      </c>
      <c r="Y495" s="12">
        <f>IF(X495&gt;0,IF(X495&lt;=eco,alpha*fck*(1-(1-X495/eco)^n),alpha*fck),0)</f>
      </c>
      <c r="Z495" s="30">
        <f>PM_Angle!$J$15+PM_Angle!$K$15*$C495+PM_Angle!$L$15*$B495</f>
      </c>
      <c r="AA495" s="12">
        <f>IF(Z495&gt;0,IF(Z495&lt;=eco,alpha*fck*(1-(1-Z495/eco)^n),alpha*fck),0)</f>
      </c>
      <c r="AB495" s="30">
        <f>PM_Angle!$J$16+PM_Angle!$K$16*$C495+PM_Angle!$L$16*$B495</f>
      </c>
      <c r="AC495" s="12">
        <f>IF(AB495&gt;0,IF(AB495&lt;=eco,alpha*fck*(1-(1-AB495/eco)^n),alpha*fck),0)</f>
      </c>
      <c r="AD495" s="30">
        <f>PM_Angle!$J$17+PM_Angle!$K$17*$C495+PM_Angle!$L$17*$B495</f>
      </c>
      <c r="AE495" s="12">
        <f>IF(AD495&gt;0,IF(AD495&lt;=eco,alpha*fck*(1-(1-AD495/eco)^n),alpha*fck),0)</f>
      </c>
      <c r="AF495" s="30">
        <f>PM_Angle!$J$18+PM_Angle!$K$18*$C495+PM_Angle!$L$18*$B495</f>
      </c>
      <c r="AG495" s="12">
        <f>IF(AF495&gt;0,IF(AF495&lt;=eco,alpha*fck*(1-(1-AF495/eco)^n),alpha*fck),0)</f>
      </c>
      <c r="AH495" s="30">
        <f>PM_Angle!$J$19+PM_Angle!$K$19*$C495+PM_Angle!$L$19*$B495</f>
      </c>
      <c r="AI495" s="12">
        <f>IF(AH495&gt;0,IF(AH495&lt;=eco,alpha*fck*(1-(1-AH495/eco)^n),alpha*fck),0)</f>
      </c>
      <c r="AJ495" s="30">
        <f>PM_Angle!$J$20+PM_Angle!$K$20*$C495+PM_Angle!$L$20*$B495</f>
      </c>
      <c r="AK495" s="12">
        <f>IF(AJ495&gt;0,IF(AJ495&lt;=eco,alpha*fck*(1-(1-AJ495/eco)^n),alpha*fck),0)</f>
      </c>
      <c r="AL495" s="30">
        <f>PM_Angle!$J$21+PM_Angle!$K$21*$C495+PM_Angle!$L$21*$B495</f>
      </c>
      <c r="AM495" s="12">
        <f>IF(AL495&gt;0,IF(AL495&lt;=eco,alpha*fck*(1-(1-AL495/eco)^n),alpha*fck),0)</f>
      </c>
      <c r="AN495" s="30">
        <f>PM_Angle!$J$22+PM_Angle!$K$22*$C495+PM_Angle!$L$22*$B495</f>
      </c>
      <c r="AO495" s="12">
        <f>IF(AN495&gt;0,IF(AN495&lt;=eco,alpha*fck*(1-(1-AN495/eco)^n),alpha*fck),0)</f>
      </c>
      <c r="AP495" s="30">
        <f>PM_Angle!$J$23+PM_Angle!$K$23*$C495+PM_Angle!$L$23*$B495</f>
      </c>
      <c r="AQ495" s="12">
        <f>IF(AP495&gt;0,IF(AP495&lt;=eco,alpha*fck*(1-(1-AP495/eco)^n),alpha*fck),0)</f>
      </c>
      <c r="AR495" s="30">
        <f>PM_Angle!$J$24+PM_Angle!$K$24*$C495+PM_Angle!$L$24*$B495</f>
      </c>
      <c r="AS495" s="12">
        <f>IF(AR495&gt;0,IF(AR495&lt;=eco,alpha*fck*(1-(1-AR495/eco)^n),alpha*fck),0)</f>
      </c>
      <c r="AT495" s="30">
        <f>PM_Angle!$J$25+PM_Angle!$K$25*$C495+PM_Angle!$L$25*$B495</f>
      </c>
      <c r="AU495" s="12">
        <f>IF(AT495&gt;0,IF(AT495&lt;=eco,alpha*fck*(1-(1-AT495/eco)^n),alpha*fck),0)</f>
      </c>
    </row>
    <row r="496" spans="1:47" x14ac:dyDescent="0.25">
      <c r="A496">
        <f>Mesh!A493</f>
      </c>
      <c r="B496" s="12">
        <f>Mesh!B493</f>
      </c>
      <c r="C496" s="12">
        <f>Mesh!C493</f>
      </c>
      <c r="D496" s="12">
        <f>Mesh!D493</f>
      </c>
      <c r="E496" s="30">
        <f>INDEX(St_e0,Det+1)+INDEX(St_kx,Det+1)*C496+INDEX(St_ky,Det+1)*B496</f>
      </c>
      <c r="F496" s="12">
        <f>IF(E496&gt;0,IF(E496&lt;=eco,alpha*fck*(1-(1-E496/eco)^n),alpha*fck),0)</f>
      </c>
      <c r="G496" s="11">
        <f>F496*D496</f>
      </c>
      <c r="H496" s="11">
        <f>G496*C496</f>
      </c>
      <c r="I496" s="11">
        <f>G496*B496</f>
      </c>
      <c r="J496" s="30">
        <f>PM_Angle!$J$7+PM_Angle!$K$7*$C496+PM_Angle!$L$7*$B496</f>
      </c>
      <c r="K496" s="12">
        <f>IF(J496&gt;0,IF(J496&lt;=eco,alpha*fck*(1-(1-J496/eco)^n),alpha*fck),0)</f>
      </c>
      <c r="L496" s="30">
        <f>PM_Angle!$J$8+PM_Angle!$K$8*$C496+PM_Angle!$L$8*$B496</f>
      </c>
      <c r="M496" s="12">
        <f>IF(L496&gt;0,IF(L496&lt;=eco,alpha*fck*(1-(1-L496/eco)^n),alpha*fck),0)</f>
      </c>
      <c r="N496" s="30">
        <f>PM_Angle!$J$9+PM_Angle!$K$9*$C496+PM_Angle!$L$9*$B496</f>
      </c>
      <c r="O496" s="12">
        <f>IF(N496&gt;0,IF(N496&lt;=eco,alpha*fck*(1-(1-N496/eco)^n),alpha*fck),0)</f>
      </c>
      <c r="P496" s="30">
        <f>PM_Angle!$J$10+PM_Angle!$K$10*$C496+PM_Angle!$L$10*$B496</f>
      </c>
      <c r="Q496" s="12">
        <f>IF(P496&gt;0,IF(P496&lt;=eco,alpha*fck*(1-(1-P496/eco)^n),alpha*fck),0)</f>
      </c>
      <c r="R496" s="30">
        <f>PM_Angle!$J$11+PM_Angle!$K$11*$C496+PM_Angle!$L$11*$B496</f>
      </c>
      <c r="S496" s="12">
        <f>IF(R496&gt;0,IF(R496&lt;=eco,alpha*fck*(1-(1-R496/eco)^n),alpha*fck),0)</f>
      </c>
      <c r="T496" s="30">
        <f>PM_Angle!$J$12+PM_Angle!$K$12*$C496+PM_Angle!$L$12*$B496</f>
      </c>
      <c r="U496" s="12">
        <f>IF(T496&gt;0,IF(T496&lt;=eco,alpha*fck*(1-(1-T496/eco)^n),alpha*fck),0)</f>
      </c>
      <c r="V496" s="30">
        <f>PM_Angle!$J$13+PM_Angle!$K$13*$C496+PM_Angle!$L$13*$B496</f>
      </c>
      <c r="W496" s="12">
        <f>IF(V496&gt;0,IF(V496&lt;=eco,alpha*fck*(1-(1-V496/eco)^n),alpha*fck),0)</f>
      </c>
      <c r="X496" s="30">
        <f>PM_Angle!$J$14+PM_Angle!$K$14*$C496+PM_Angle!$L$14*$B496</f>
      </c>
      <c r="Y496" s="12">
        <f>IF(X496&gt;0,IF(X496&lt;=eco,alpha*fck*(1-(1-X496/eco)^n),alpha*fck),0)</f>
      </c>
      <c r="Z496" s="30">
        <f>PM_Angle!$J$15+PM_Angle!$K$15*$C496+PM_Angle!$L$15*$B496</f>
      </c>
      <c r="AA496" s="12">
        <f>IF(Z496&gt;0,IF(Z496&lt;=eco,alpha*fck*(1-(1-Z496/eco)^n),alpha*fck),0)</f>
      </c>
      <c r="AB496" s="30">
        <f>PM_Angle!$J$16+PM_Angle!$K$16*$C496+PM_Angle!$L$16*$B496</f>
      </c>
      <c r="AC496" s="12">
        <f>IF(AB496&gt;0,IF(AB496&lt;=eco,alpha*fck*(1-(1-AB496/eco)^n),alpha*fck),0)</f>
      </c>
      <c r="AD496" s="30">
        <f>PM_Angle!$J$17+PM_Angle!$K$17*$C496+PM_Angle!$L$17*$B496</f>
      </c>
      <c r="AE496" s="12">
        <f>IF(AD496&gt;0,IF(AD496&lt;=eco,alpha*fck*(1-(1-AD496/eco)^n),alpha*fck),0)</f>
      </c>
      <c r="AF496" s="30">
        <f>PM_Angle!$J$18+PM_Angle!$K$18*$C496+PM_Angle!$L$18*$B496</f>
      </c>
      <c r="AG496" s="12">
        <f>IF(AF496&gt;0,IF(AF496&lt;=eco,alpha*fck*(1-(1-AF496/eco)^n),alpha*fck),0)</f>
      </c>
      <c r="AH496" s="30">
        <f>PM_Angle!$J$19+PM_Angle!$K$19*$C496+PM_Angle!$L$19*$B496</f>
      </c>
      <c r="AI496" s="12">
        <f>IF(AH496&gt;0,IF(AH496&lt;=eco,alpha*fck*(1-(1-AH496/eco)^n),alpha*fck),0)</f>
      </c>
      <c r="AJ496" s="30">
        <f>PM_Angle!$J$20+PM_Angle!$K$20*$C496+PM_Angle!$L$20*$B496</f>
      </c>
      <c r="AK496" s="12">
        <f>IF(AJ496&gt;0,IF(AJ496&lt;=eco,alpha*fck*(1-(1-AJ496/eco)^n),alpha*fck),0)</f>
      </c>
      <c r="AL496" s="30">
        <f>PM_Angle!$J$21+PM_Angle!$K$21*$C496+PM_Angle!$L$21*$B496</f>
      </c>
      <c r="AM496" s="12">
        <f>IF(AL496&gt;0,IF(AL496&lt;=eco,alpha*fck*(1-(1-AL496/eco)^n),alpha*fck),0)</f>
      </c>
      <c r="AN496" s="30">
        <f>PM_Angle!$J$22+PM_Angle!$K$22*$C496+PM_Angle!$L$22*$B496</f>
      </c>
      <c r="AO496" s="12">
        <f>IF(AN496&gt;0,IF(AN496&lt;=eco,alpha*fck*(1-(1-AN496/eco)^n),alpha*fck),0)</f>
      </c>
      <c r="AP496" s="30">
        <f>PM_Angle!$J$23+PM_Angle!$K$23*$C496+PM_Angle!$L$23*$B496</f>
      </c>
      <c r="AQ496" s="12">
        <f>IF(AP496&gt;0,IF(AP496&lt;=eco,alpha*fck*(1-(1-AP496/eco)^n),alpha*fck),0)</f>
      </c>
      <c r="AR496" s="30">
        <f>PM_Angle!$J$24+PM_Angle!$K$24*$C496+PM_Angle!$L$24*$B496</f>
      </c>
      <c r="AS496" s="12">
        <f>IF(AR496&gt;0,IF(AR496&lt;=eco,alpha*fck*(1-(1-AR496/eco)^n),alpha*fck),0)</f>
      </c>
      <c r="AT496" s="30">
        <f>PM_Angle!$J$25+PM_Angle!$K$25*$C496+PM_Angle!$L$25*$B496</f>
      </c>
      <c r="AU496" s="12">
        <f>IF(AT496&gt;0,IF(AT496&lt;=eco,alpha*fck*(1-(1-AT496/eco)^n),alpha*fck),0)</f>
      </c>
    </row>
    <row r="497" spans="1:47" x14ac:dyDescent="0.25">
      <c r="A497">
        <f>Mesh!A494</f>
      </c>
      <c r="B497" s="12">
        <f>Mesh!B494</f>
      </c>
      <c r="C497" s="12">
        <f>Mesh!C494</f>
      </c>
      <c r="D497" s="12">
        <f>Mesh!D494</f>
      </c>
      <c r="E497" s="30">
        <f>INDEX(St_e0,Det+1)+INDEX(St_kx,Det+1)*C497+INDEX(St_ky,Det+1)*B497</f>
      </c>
      <c r="F497" s="12">
        <f>IF(E497&gt;0,IF(E497&lt;=eco,alpha*fck*(1-(1-E497/eco)^n),alpha*fck),0)</f>
      </c>
      <c r="G497" s="11">
        <f>F497*D497</f>
      </c>
      <c r="H497" s="11">
        <f>G497*C497</f>
      </c>
      <c r="I497" s="11">
        <f>G497*B497</f>
      </c>
      <c r="J497" s="30">
        <f>PM_Angle!$J$7+PM_Angle!$K$7*$C497+PM_Angle!$L$7*$B497</f>
      </c>
      <c r="K497" s="12">
        <f>IF(J497&gt;0,IF(J497&lt;=eco,alpha*fck*(1-(1-J497/eco)^n),alpha*fck),0)</f>
      </c>
      <c r="L497" s="30">
        <f>PM_Angle!$J$8+PM_Angle!$K$8*$C497+PM_Angle!$L$8*$B497</f>
      </c>
      <c r="M497" s="12">
        <f>IF(L497&gt;0,IF(L497&lt;=eco,alpha*fck*(1-(1-L497/eco)^n),alpha*fck),0)</f>
      </c>
      <c r="N497" s="30">
        <f>PM_Angle!$J$9+PM_Angle!$K$9*$C497+PM_Angle!$L$9*$B497</f>
      </c>
      <c r="O497" s="12">
        <f>IF(N497&gt;0,IF(N497&lt;=eco,alpha*fck*(1-(1-N497/eco)^n),alpha*fck),0)</f>
      </c>
      <c r="P497" s="30">
        <f>PM_Angle!$J$10+PM_Angle!$K$10*$C497+PM_Angle!$L$10*$B497</f>
      </c>
      <c r="Q497" s="12">
        <f>IF(P497&gt;0,IF(P497&lt;=eco,alpha*fck*(1-(1-P497/eco)^n),alpha*fck),0)</f>
      </c>
      <c r="R497" s="30">
        <f>PM_Angle!$J$11+PM_Angle!$K$11*$C497+PM_Angle!$L$11*$B497</f>
      </c>
      <c r="S497" s="12">
        <f>IF(R497&gt;0,IF(R497&lt;=eco,alpha*fck*(1-(1-R497/eco)^n),alpha*fck),0)</f>
      </c>
      <c r="T497" s="30">
        <f>PM_Angle!$J$12+PM_Angle!$K$12*$C497+PM_Angle!$L$12*$B497</f>
      </c>
      <c r="U497" s="12">
        <f>IF(T497&gt;0,IF(T497&lt;=eco,alpha*fck*(1-(1-T497/eco)^n),alpha*fck),0)</f>
      </c>
      <c r="V497" s="30">
        <f>PM_Angle!$J$13+PM_Angle!$K$13*$C497+PM_Angle!$L$13*$B497</f>
      </c>
      <c r="W497" s="12">
        <f>IF(V497&gt;0,IF(V497&lt;=eco,alpha*fck*(1-(1-V497/eco)^n),alpha*fck),0)</f>
      </c>
      <c r="X497" s="30">
        <f>PM_Angle!$J$14+PM_Angle!$K$14*$C497+PM_Angle!$L$14*$B497</f>
      </c>
      <c r="Y497" s="12">
        <f>IF(X497&gt;0,IF(X497&lt;=eco,alpha*fck*(1-(1-X497/eco)^n),alpha*fck),0)</f>
      </c>
      <c r="Z497" s="30">
        <f>PM_Angle!$J$15+PM_Angle!$K$15*$C497+PM_Angle!$L$15*$B497</f>
      </c>
      <c r="AA497" s="12">
        <f>IF(Z497&gt;0,IF(Z497&lt;=eco,alpha*fck*(1-(1-Z497/eco)^n),alpha*fck),0)</f>
      </c>
      <c r="AB497" s="30">
        <f>PM_Angle!$J$16+PM_Angle!$K$16*$C497+PM_Angle!$L$16*$B497</f>
      </c>
      <c r="AC497" s="12">
        <f>IF(AB497&gt;0,IF(AB497&lt;=eco,alpha*fck*(1-(1-AB497/eco)^n),alpha*fck),0)</f>
      </c>
      <c r="AD497" s="30">
        <f>PM_Angle!$J$17+PM_Angle!$K$17*$C497+PM_Angle!$L$17*$B497</f>
      </c>
      <c r="AE497" s="12">
        <f>IF(AD497&gt;0,IF(AD497&lt;=eco,alpha*fck*(1-(1-AD497/eco)^n),alpha*fck),0)</f>
      </c>
      <c r="AF497" s="30">
        <f>PM_Angle!$J$18+PM_Angle!$K$18*$C497+PM_Angle!$L$18*$B497</f>
      </c>
      <c r="AG497" s="12">
        <f>IF(AF497&gt;0,IF(AF497&lt;=eco,alpha*fck*(1-(1-AF497/eco)^n),alpha*fck),0)</f>
      </c>
      <c r="AH497" s="30">
        <f>PM_Angle!$J$19+PM_Angle!$K$19*$C497+PM_Angle!$L$19*$B497</f>
      </c>
      <c r="AI497" s="12">
        <f>IF(AH497&gt;0,IF(AH497&lt;=eco,alpha*fck*(1-(1-AH497/eco)^n),alpha*fck),0)</f>
      </c>
      <c r="AJ497" s="30">
        <f>PM_Angle!$J$20+PM_Angle!$K$20*$C497+PM_Angle!$L$20*$B497</f>
      </c>
      <c r="AK497" s="12">
        <f>IF(AJ497&gt;0,IF(AJ497&lt;=eco,alpha*fck*(1-(1-AJ497/eco)^n),alpha*fck),0)</f>
      </c>
      <c r="AL497" s="30">
        <f>PM_Angle!$J$21+PM_Angle!$K$21*$C497+PM_Angle!$L$21*$B497</f>
      </c>
      <c r="AM497" s="12">
        <f>IF(AL497&gt;0,IF(AL497&lt;=eco,alpha*fck*(1-(1-AL497/eco)^n),alpha*fck),0)</f>
      </c>
      <c r="AN497" s="30">
        <f>PM_Angle!$J$22+PM_Angle!$K$22*$C497+PM_Angle!$L$22*$B497</f>
      </c>
      <c r="AO497" s="12">
        <f>IF(AN497&gt;0,IF(AN497&lt;=eco,alpha*fck*(1-(1-AN497/eco)^n),alpha*fck),0)</f>
      </c>
      <c r="AP497" s="30">
        <f>PM_Angle!$J$23+PM_Angle!$K$23*$C497+PM_Angle!$L$23*$B497</f>
      </c>
      <c r="AQ497" s="12">
        <f>IF(AP497&gt;0,IF(AP497&lt;=eco,alpha*fck*(1-(1-AP497/eco)^n),alpha*fck),0)</f>
      </c>
      <c r="AR497" s="30">
        <f>PM_Angle!$J$24+PM_Angle!$K$24*$C497+PM_Angle!$L$24*$B497</f>
      </c>
      <c r="AS497" s="12">
        <f>IF(AR497&gt;0,IF(AR497&lt;=eco,alpha*fck*(1-(1-AR497/eco)^n),alpha*fck),0)</f>
      </c>
      <c r="AT497" s="30">
        <f>PM_Angle!$J$25+PM_Angle!$K$25*$C497+PM_Angle!$L$25*$B497</f>
      </c>
      <c r="AU497" s="12">
        <f>IF(AT497&gt;0,IF(AT497&lt;=eco,alpha*fck*(1-(1-AT497/eco)^n),alpha*fck),0)</f>
      </c>
    </row>
    <row r="498" spans="1:47" x14ac:dyDescent="0.25">
      <c r="A498">
        <f>Mesh!A495</f>
      </c>
      <c r="B498" s="12">
        <f>Mesh!B495</f>
      </c>
      <c r="C498" s="12">
        <f>Mesh!C495</f>
      </c>
      <c r="D498" s="12">
        <f>Mesh!D495</f>
      </c>
      <c r="E498" s="30">
        <f>INDEX(St_e0,Det+1)+INDEX(St_kx,Det+1)*C498+INDEX(St_ky,Det+1)*B498</f>
      </c>
      <c r="F498" s="12">
        <f>IF(E498&gt;0,IF(E498&lt;=eco,alpha*fck*(1-(1-E498/eco)^n),alpha*fck),0)</f>
      </c>
      <c r="G498" s="11">
        <f>F498*D498</f>
      </c>
      <c r="H498" s="11">
        <f>G498*C498</f>
      </c>
      <c r="I498" s="11">
        <f>G498*B498</f>
      </c>
      <c r="J498" s="30">
        <f>PM_Angle!$J$7+PM_Angle!$K$7*$C498+PM_Angle!$L$7*$B498</f>
      </c>
      <c r="K498" s="12">
        <f>IF(J498&gt;0,IF(J498&lt;=eco,alpha*fck*(1-(1-J498/eco)^n),alpha*fck),0)</f>
      </c>
      <c r="L498" s="30">
        <f>PM_Angle!$J$8+PM_Angle!$K$8*$C498+PM_Angle!$L$8*$B498</f>
      </c>
      <c r="M498" s="12">
        <f>IF(L498&gt;0,IF(L498&lt;=eco,alpha*fck*(1-(1-L498/eco)^n),alpha*fck),0)</f>
      </c>
      <c r="N498" s="30">
        <f>PM_Angle!$J$9+PM_Angle!$K$9*$C498+PM_Angle!$L$9*$B498</f>
      </c>
      <c r="O498" s="12">
        <f>IF(N498&gt;0,IF(N498&lt;=eco,alpha*fck*(1-(1-N498/eco)^n),alpha*fck),0)</f>
      </c>
      <c r="P498" s="30">
        <f>PM_Angle!$J$10+PM_Angle!$K$10*$C498+PM_Angle!$L$10*$B498</f>
      </c>
      <c r="Q498" s="12">
        <f>IF(P498&gt;0,IF(P498&lt;=eco,alpha*fck*(1-(1-P498/eco)^n),alpha*fck),0)</f>
      </c>
      <c r="R498" s="30">
        <f>PM_Angle!$J$11+PM_Angle!$K$11*$C498+PM_Angle!$L$11*$B498</f>
      </c>
      <c r="S498" s="12">
        <f>IF(R498&gt;0,IF(R498&lt;=eco,alpha*fck*(1-(1-R498/eco)^n),alpha*fck),0)</f>
      </c>
      <c r="T498" s="30">
        <f>PM_Angle!$J$12+PM_Angle!$K$12*$C498+PM_Angle!$L$12*$B498</f>
      </c>
      <c r="U498" s="12">
        <f>IF(T498&gt;0,IF(T498&lt;=eco,alpha*fck*(1-(1-T498/eco)^n),alpha*fck),0)</f>
      </c>
      <c r="V498" s="30">
        <f>PM_Angle!$J$13+PM_Angle!$K$13*$C498+PM_Angle!$L$13*$B498</f>
      </c>
      <c r="W498" s="12">
        <f>IF(V498&gt;0,IF(V498&lt;=eco,alpha*fck*(1-(1-V498/eco)^n),alpha*fck),0)</f>
      </c>
      <c r="X498" s="30">
        <f>PM_Angle!$J$14+PM_Angle!$K$14*$C498+PM_Angle!$L$14*$B498</f>
      </c>
      <c r="Y498" s="12">
        <f>IF(X498&gt;0,IF(X498&lt;=eco,alpha*fck*(1-(1-X498/eco)^n),alpha*fck),0)</f>
      </c>
      <c r="Z498" s="30">
        <f>PM_Angle!$J$15+PM_Angle!$K$15*$C498+PM_Angle!$L$15*$B498</f>
      </c>
      <c r="AA498" s="12">
        <f>IF(Z498&gt;0,IF(Z498&lt;=eco,alpha*fck*(1-(1-Z498/eco)^n),alpha*fck),0)</f>
      </c>
      <c r="AB498" s="30">
        <f>PM_Angle!$J$16+PM_Angle!$K$16*$C498+PM_Angle!$L$16*$B498</f>
      </c>
      <c r="AC498" s="12">
        <f>IF(AB498&gt;0,IF(AB498&lt;=eco,alpha*fck*(1-(1-AB498/eco)^n),alpha*fck),0)</f>
      </c>
      <c r="AD498" s="30">
        <f>PM_Angle!$J$17+PM_Angle!$K$17*$C498+PM_Angle!$L$17*$B498</f>
      </c>
      <c r="AE498" s="12">
        <f>IF(AD498&gt;0,IF(AD498&lt;=eco,alpha*fck*(1-(1-AD498/eco)^n),alpha*fck),0)</f>
      </c>
      <c r="AF498" s="30">
        <f>PM_Angle!$J$18+PM_Angle!$K$18*$C498+PM_Angle!$L$18*$B498</f>
      </c>
      <c r="AG498" s="12">
        <f>IF(AF498&gt;0,IF(AF498&lt;=eco,alpha*fck*(1-(1-AF498/eco)^n),alpha*fck),0)</f>
      </c>
      <c r="AH498" s="30">
        <f>PM_Angle!$J$19+PM_Angle!$K$19*$C498+PM_Angle!$L$19*$B498</f>
      </c>
      <c r="AI498" s="12">
        <f>IF(AH498&gt;0,IF(AH498&lt;=eco,alpha*fck*(1-(1-AH498/eco)^n),alpha*fck),0)</f>
      </c>
      <c r="AJ498" s="30">
        <f>PM_Angle!$J$20+PM_Angle!$K$20*$C498+PM_Angle!$L$20*$B498</f>
      </c>
      <c r="AK498" s="12">
        <f>IF(AJ498&gt;0,IF(AJ498&lt;=eco,alpha*fck*(1-(1-AJ498/eco)^n),alpha*fck),0)</f>
      </c>
      <c r="AL498" s="30">
        <f>PM_Angle!$J$21+PM_Angle!$K$21*$C498+PM_Angle!$L$21*$B498</f>
      </c>
      <c r="AM498" s="12">
        <f>IF(AL498&gt;0,IF(AL498&lt;=eco,alpha*fck*(1-(1-AL498/eco)^n),alpha*fck),0)</f>
      </c>
      <c r="AN498" s="30">
        <f>PM_Angle!$J$22+PM_Angle!$K$22*$C498+PM_Angle!$L$22*$B498</f>
      </c>
      <c r="AO498" s="12">
        <f>IF(AN498&gt;0,IF(AN498&lt;=eco,alpha*fck*(1-(1-AN498/eco)^n),alpha*fck),0)</f>
      </c>
      <c r="AP498" s="30">
        <f>PM_Angle!$J$23+PM_Angle!$K$23*$C498+PM_Angle!$L$23*$B498</f>
      </c>
      <c r="AQ498" s="12">
        <f>IF(AP498&gt;0,IF(AP498&lt;=eco,alpha*fck*(1-(1-AP498/eco)^n),alpha*fck),0)</f>
      </c>
      <c r="AR498" s="30">
        <f>PM_Angle!$J$24+PM_Angle!$K$24*$C498+PM_Angle!$L$24*$B498</f>
      </c>
      <c r="AS498" s="12">
        <f>IF(AR498&gt;0,IF(AR498&lt;=eco,alpha*fck*(1-(1-AR498/eco)^n),alpha*fck),0)</f>
      </c>
      <c r="AT498" s="30">
        <f>PM_Angle!$J$25+PM_Angle!$K$25*$C498+PM_Angle!$L$25*$B498</f>
      </c>
      <c r="AU498" s="12">
        <f>IF(AT498&gt;0,IF(AT498&lt;=eco,alpha*fck*(1-(1-AT498/eco)^n),alpha*fck),0)</f>
      </c>
    </row>
    <row r="499" spans="1:47" x14ac:dyDescent="0.25">
      <c r="A499">
        <f>Mesh!A496</f>
      </c>
      <c r="B499" s="12">
        <f>Mesh!B496</f>
      </c>
      <c r="C499" s="12">
        <f>Mesh!C496</f>
      </c>
      <c r="D499" s="12">
        <f>Mesh!D496</f>
      </c>
      <c r="E499" s="30">
        <f>INDEX(St_e0,Det+1)+INDEX(St_kx,Det+1)*C499+INDEX(St_ky,Det+1)*B499</f>
      </c>
      <c r="F499" s="12">
        <f>IF(E499&gt;0,IF(E499&lt;=eco,alpha*fck*(1-(1-E499/eco)^n),alpha*fck),0)</f>
      </c>
      <c r="G499" s="11">
        <f>F499*D499</f>
      </c>
      <c r="H499" s="11">
        <f>G499*C499</f>
      </c>
      <c r="I499" s="11">
        <f>G499*B499</f>
      </c>
      <c r="J499" s="30">
        <f>PM_Angle!$J$7+PM_Angle!$K$7*$C499+PM_Angle!$L$7*$B499</f>
      </c>
      <c r="K499" s="12">
        <f>IF(J499&gt;0,IF(J499&lt;=eco,alpha*fck*(1-(1-J499/eco)^n),alpha*fck),0)</f>
      </c>
      <c r="L499" s="30">
        <f>PM_Angle!$J$8+PM_Angle!$K$8*$C499+PM_Angle!$L$8*$B499</f>
      </c>
      <c r="M499" s="12">
        <f>IF(L499&gt;0,IF(L499&lt;=eco,alpha*fck*(1-(1-L499/eco)^n),alpha*fck),0)</f>
      </c>
      <c r="N499" s="30">
        <f>PM_Angle!$J$9+PM_Angle!$K$9*$C499+PM_Angle!$L$9*$B499</f>
      </c>
      <c r="O499" s="12">
        <f>IF(N499&gt;0,IF(N499&lt;=eco,alpha*fck*(1-(1-N499/eco)^n),alpha*fck),0)</f>
      </c>
      <c r="P499" s="30">
        <f>PM_Angle!$J$10+PM_Angle!$K$10*$C499+PM_Angle!$L$10*$B499</f>
      </c>
      <c r="Q499" s="12">
        <f>IF(P499&gt;0,IF(P499&lt;=eco,alpha*fck*(1-(1-P499/eco)^n),alpha*fck),0)</f>
      </c>
      <c r="R499" s="30">
        <f>PM_Angle!$J$11+PM_Angle!$K$11*$C499+PM_Angle!$L$11*$B499</f>
      </c>
      <c r="S499" s="12">
        <f>IF(R499&gt;0,IF(R499&lt;=eco,alpha*fck*(1-(1-R499/eco)^n),alpha*fck),0)</f>
      </c>
      <c r="T499" s="30">
        <f>PM_Angle!$J$12+PM_Angle!$K$12*$C499+PM_Angle!$L$12*$B499</f>
      </c>
      <c r="U499" s="12">
        <f>IF(T499&gt;0,IF(T499&lt;=eco,alpha*fck*(1-(1-T499/eco)^n),alpha*fck),0)</f>
      </c>
      <c r="V499" s="30">
        <f>PM_Angle!$J$13+PM_Angle!$K$13*$C499+PM_Angle!$L$13*$B499</f>
      </c>
      <c r="W499" s="12">
        <f>IF(V499&gt;0,IF(V499&lt;=eco,alpha*fck*(1-(1-V499/eco)^n),alpha*fck),0)</f>
      </c>
      <c r="X499" s="30">
        <f>PM_Angle!$J$14+PM_Angle!$K$14*$C499+PM_Angle!$L$14*$B499</f>
      </c>
      <c r="Y499" s="12">
        <f>IF(X499&gt;0,IF(X499&lt;=eco,alpha*fck*(1-(1-X499/eco)^n),alpha*fck),0)</f>
      </c>
      <c r="Z499" s="30">
        <f>PM_Angle!$J$15+PM_Angle!$K$15*$C499+PM_Angle!$L$15*$B499</f>
      </c>
      <c r="AA499" s="12">
        <f>IF(Z499&gt;0,IF(Z499&lt;=eco,alpha*fck*(1-(1-Z499/eco)^n),alpha*fck),0)</f>
      </c>
      <c r="AB499" s="30">
        <f>PM_Angle!$J$16+PM_Angle!$K$16*$C499+PM_Angle!$L$16*$B499</f>
      </c>
      <c r="AC499" s="12">
        <f>IF(AB499&gt;0,IF(AB499&lt;=eco,alpha*fck*(1-(1-AB499/eco)^n),alpha*fck),0)</f>
      </c>
      <c r="AD499" s="30">
        <f>PM_Angle!$J$17+PM_Angle!$K$17*$C499+PM_Angle!$L$17*$B499</f>
      </c>
      <c r="AE499" s="12">
        <f>IF(AD499&gt;0,IF(AD499&lt;=eco,alpha*fck*(1-(1-AD499/eco)^n),alpha*fck),0)</f>
      </c>
      <c r="AF499" s="30">
        <f>PM_Angle!$J$18+PM_Angle!$K$18*$C499+PM_Angle!$L$18*$B499</f>
      </c>
      <c r="AG499" s="12">
        <f>IF(AF499&gt;0,IF(AF499&lt;=eco,alpha*fck*(1-(1-AF499/eco)^n),alpha*fck),0)</f>
      </c>
      <c r="AH499" s="30">
        <f>PM_Angle!$J$19+PM_Angle!$K$19*$C499+PM_Angle!$L$19*$B499</f>
      </c>
      <c r="AI499" s="12">
        <f>IF(AH499&gt;0,IF(AH499&lt;=eco,alpha*fck*(1-(1-AH499/eco)^n),alpha*fck),0)</f>
      </c>
      <c r="AJ499" s="30">
        <f>PM_Angle!$J$20+PM_Angle!$K$20*$C499+PM_Angle!$L$20*$B499</f>
      </c>
      <c r="AK499" s="12">
        <f>IF(AJ499&gt;0,IF(AJ499&lt;=eco,alpha*fck*(1-(1-AJ499/eco)^n),alpha*fck),0)</f>
      </c>
      <c r="AL499" s="30">
        <f>PM_Angle!$J$21+PM_Angle!$K$21*$C499+PM_Angle!$L$21*$B499</f>
      </c>
      <c r="AM499" s="12">
        <f>IF(AL499&gt;0,IF(AL499&lt;=eco,alpha*fck*(1-(1-AL499/eco)^n),alpha*fck),0)</f>
      </c>
      <c r="AN499" s="30">
        <f>PM_Angle!$J$22+PM_Angle!$K$22*$C499+PM_Angle!$L$22*$B499</f>
      </c>
      <c r="AO499" s="12">
        <f>IF(AN499&gt;0,IF(AN499&lt;=eco,alpha*fck*(1-(1-AN499/eco)^n),alpha*fck),0)</f>
      </c>
      <c r="AP499" s="30">
        <f>PM_Angle!$J$23+PM_Angle!$K$23*$C499+PM_Angle!$L$23*$B499</f>
      </c>
      <c r="AQ499" s="12">
        <f>IF(AP499&gt;0,IF(AP499&lt;=eco,alpha*fck*(1-(1-AP499/eco)^n),alpha*fck),0)</f>
      </c>
      <c r="AR499" s="30">
        <f>PM_Angle!$J$24+PM_Angle!$K$24*$C499+PM_Angle!$L$24*$B499</f>
      </c>
      <c r="AS499" s="12">
        <f>IF(AR499&gt;0,IF(AR499&lt;=eco,alpha*fck*(1-(1-AR499/eco)^n),alpha*fck),0)</f>
      </c>
      <c r="AT499" s="30">
        <f>PM_Angle!$J$25+PM_Angle!$K$25*$C499+PM_Angle!$L$25*$B499</f>
      </c>
      <c r="AU499" s="12">
        <f>IF(AT499&gt;0,IF(AT499&lt;=eco,alpha*fck*(1-(1-AT499/eco)^n),alpha*fck),0)</f>
      </c>
    </row>
    <row r="500" spans="1:47" x14ac:dyDescent="0.25">
      <c r="A500">
        <f>Mesh!A497</f>
      </c>
      <c r="B500" s="12">
        <f>Mesh!B497</f>
      </c>
      <c r="C500" s="12">
        <f>Mesh!C497</f>
      </c>
      <c r="D500" s="12">
        <f>Mesh!D497</f>
      </c>
      <c r="E500" s="30">
        <f>INDEX(St_e0,Det+1)+INDEX(St_kx,Det+1)*C500+INDEX(St_ky,Det+1)*B500</f>
      </c>
      <c r="F500" s="12">
        <f>IF(E500&gt;0,IF(E500&lt;=eco,alpha*fck*(1-(1-E500/eco)^n),alpha*fck),0)</f>
      </c>
      <c r="G500" s="11">
        <f>F500*D500</f>
      </c>
      <c r="H500" s="11">
        <f>G500*C500</f>
      </c>
      <c r="I500" s="11">
        <f>G500*B500</f>
      </c>
      <c r="J500" s="30">
        <f>PM_Angle!$J$7+PM_Angle!$K$7*$C500+PM_Angle!$L$7*$B500</f>
      </c>
      <c r="K500" s="12">
        <f>IF(J500&gt;0,IF(J500&lt;=eco,alpha*fck*(1-(1-J500/eco)^n),alpha*fck),0)</f>
      </c>
      <c r="L500" s="30">
        <f>PM_Angle!$J$8+PM_Angle!$K$8*$C500+PM_Angle!$L$8*$B500</f>
      </c>
      <c r="M500" s="12">
        <f>IF(L500&gt;0,IF(L500&lt;=eco,alpha*fck*(1-(1-L500/eco)^n),alpha*fck),0)</f>
      </c>
      <c r="N500" s="30">
        <f>PM_Angle!$J$9+PM_Angle!$K$9*$C500+PM_Angle!$L$9*$B500</f>
      </c>
      <c r="O500" s="12">
        <f>IF(N500&gt;0,IF(N500&lt;=eco,alpha*fck*(1-(1-N500/eco)^n),alpha*fck),0)</f>
      </c>
      <c r="P500" s="30">
        <f>PM_Angle!$J$10+PM_Angle!$K$10*$C500+PM_Angle!$L$10*$B500</f>
      </c>
      <c r="Q500" s="12">
        <f>IF(P500&gt;0,IF(P500&lt;=eco,alpha*fck*(1-(1-P500/eco)^n),alpha*fck),0)</f>
      </c>
      <c r="R500" s="30">
        <f>PM_Angle!$J$11+PM_Angle!$K$11*$C500+PM_Angle!$L$11*$B500</f>
      </c>
      <c r="S500" s="12">
        <f>IF(R500&gt;0,IF(R500&lt;=eco,alpha*fck*(1-(1-R500/eco)^n),alpha*fck),0)</f>
      </c>
      <c r="T500" s="30">
        <f>PM_Angle!$J$12+PM_Angle!$K$12*$C500+PM_Angle!$L$12*$B500</f>
      </c>
      <c r="U500" s="12">
        <f>IF(T500&gt;0,IF(T500&lt;=eco,alpha*fck*(1-(1-T500/eco)^n),alpha*fck),0)</f>
      </c>
      <c r="V500" s="30">
        <f>PM_Angle!$J$13+PM_Angle!$K$13*$C500+PM_Angle!$L$13*$B500</f>
      </c>
      <c r="W500" s="12">
        <f>IF(V500&gt;0,IF(V500&lt;=eco,alpha*fck*(1-(1-V500/eco)^n),alpha*fck),0)</f>
      </c>
      <c r="X500" s="30">
        <f>PM_Angle!$J$14+PM_Angle!$K$14*$C500+PM_Angle!$L$14*$B500</f>
      </c>
      <c r="Y500" s="12">
        <f>IF(X500&gt;0,IF(X500&lt;=eco,alpha*fck*(1-(1-X500/eco)^n),alpha*fck),0)</f>
      </c>
      <c r="Z500" s="30">
        <f>PM_Angle!$J$15+PM_Angle!$K$15*$C500+PM_Angle!$L$15*$B500</f>
      </c>
      <c r="AA500" s="12">
        <f>IF(Z500&gt;0,IF(Z500&lt;=eco,alpha*fck*(1-(1-Z500/eco)^n),alpha*fck),0)</f>
      </c>
      <c r="AB500" s="30">
        <f>PM_Angle!$J$16+PM_Angle!$K$16*$C500+PM_Angle!$L$16*$B500</f>
      </c>
      <c r="AC500" s="12">
        <f>IF(AB500&gt;0,IF(AB500&lt;=eco,alpha*fck*(1-(1-AB500/eco)^n),alpha*fck),0)</f>
      </c>
      <c r="AD500" s="30">
        <f>PM_Angle!$J$17+PM_Angle!$K$17*$C500+PM_Angle!$L$17*$B500</f>
      </c>
      <c r="AE500" s="12">
        <f>IF(AD500&gt;0,IF(AD500&lt;=eco,alpha*fck*(1-(1-AD500/eco)^n),alpha*fck),0)</f>
      </c>
      <c r="AF500" s="30">
        <f>PM_Angle!$J$18+PM_Angle!$K$18*$C500+PM_Angle!$L$18*$B500</f>
      </c>
      <c r="AG500" s="12">
        <f>IF(AF500&gt;0,IF(AF500&lt;=eco,alpha*fck*(1-(1-AF500/eco)^n),alpha*fck),0)</f>
      </c>
      <c r="AH500" s="30">
        <f>PM_Angle!$J$19+PM_Angle!$K$19*$C500+PM_Angle!$L$19*$B500</f>
      </c>
      <c r="AI500" s="12">
        <f>IF(AH500&gt;0,IF(AH500&lt;=eco,alpha*fck*(1-(1-AH500/eco)^n),alpha*fck),0)</f>
      </c>
      <c r="AJ500" s="30">
        <f>PM_Angle!$J$20+PM_Angle!$K$20*$C500+PM_Angle!$L$20*$B500</f>
      </c>
      <c r="AK500" s="12">
        <f>IF(AJ500&gt;0,IF(AJ500&lt;=eco,alpha*fck*(1-(1-AJ500/eco)^n),alpha*fck),0)</f>
      </c>
      <c r="AL500" s="30">
        <f>PM_Angle!$J$21+PM_Angle!$K$21*$C500+PM_Angle!$L$21*$B500</f>
      </c>
      <c r="AM500" s="12">
        <f>IF(AL500&gt;0,IF(AL500&lt;=eco,alpha*fck*(1-(1-AL500/eco)^n),alpha*fck),0)</f>
      </c>
      <c r="AN500" s="30">
        <f>PM_Angle!$J$22+PM_Angle!$K$22*$C500+PM_Angle!$L$22*$B500</f>
      </c>
      <c r="AO500" s="12">
        <f>IF(AN500&gt;0,IF(AN500&lt;=eco,alpha*fck*(1-(1-AN500/eco)^n),alpha*fck),0)</f>
      </c>
      <c r="AP500" s="30">
        <f>PM_Angle!$J$23+PM_Angle!$K$23*$C500+PM_Angle!$L$23*$B500</f>
      </c>
      <c r="AQ500" s="12">
        <f>IF(AP500&gt;0,IF(AP500&lt;=eco,alpha*fck*(1-(1-AP500/eco)^n),alpha*fck),0)</f>
      </c>
      <c r="AR500" s="30">
        <f>PM_Angle!$J$24+PM_Angle!$K$24*$C500+PM_Angle!$L$24*$B500</f>
      </c>
      <c r="AS500" s="12">
        <f>IF(AR500&gt;0,IF(AR500&lt;=eco,alpha*fck*(1-(1-AR500/eco)^n),alpha*fck),0)</f>
      </c>
      <c r="AT500" s="30">
        <f>PM_Angle!$J$25+PM_Angle!$K$25*$C500+PM_Angle!$L$25*$B500</f>
      </c>
      <c r="AU500" s="12">
        <f>IF(AT500&gt;0,IF(AT500&lt;=eco,alpha*fck*(1-(1-AT500/eco)^n),alpha*fck),0)</f>
      </c>
    </row>
    <row r="501" spans="1:47" x14ac:dyDescent="0.25">
      <c r="A501">
        <f>Mesh!A498</f>
      </c>
      <c r="B501" s="12">
        <f>Mesh!B498</f>
      </c>
      <c r="C501" s="12">
        <f>Mesh!C498</f>
      </c>
      <c r="D501" s="12">
        <f>Mesh!D498</f>
      </c>
      <c r="E501" s="30">
        <f>INDEX(St_e0,Det+1)+INDEX(St_kx,Det+1)*C501+INDEX(St_ky,Det+1)*B501</f>
      </c>
      <c r="F501" s="12">
        <f>IF(E501&gt;0,IF(E501&lt;=eco,alpha*fck*(1-(1-E501/eco)^n),alpha*fck),0)</f>
      </c>
      <c r="G501" s="11">
        <f>F501*D501</f>
      </c>
      <c r="H501" s="11">
        <f>G501*C501</f>
      </c>
      <c r="I501" s="11">
        <f>G501*B501</f>
      </c>
      <c r="J501" s="30">
        <f>PM_Angle!$J$7+PM_Angle!$K$7*$C501+PM_Angle!$L$7*$B501</f>
      </c>
      <c r="K501" s="12">
        <f>IF(J501&gt;0,IF(J501&lt;=eco,alpha*fck*(1-(1-J501/eco)^n),alpha*fck),0)</f>
      </c>
      <c r="L501" s="30">
        <f>PM_Angle!$J$8+PM_Angle!$K$8*$C501+PM_Angle!$L$8*$B501</f>
      </c>
      <c r="M501" s="12">
        <f>IF(L501&gt;0,IF(L501&lt;=eco,alpha*fck*(1-(1-L501/eco)^n),alpha*fck),0)</f>
      </c>
      <c r="N501" s="30">
        <f>PM_Angle!$J$9+PM_Angle!$K$9*$C501+PM_Angle!$L$9*$B501</f>
      </c>
      <c r="O501" s="12">
        <f>IF(N501&gt;0,IF(N501&lt;=eco,alpha*fck*(1-(1-N501/eco)^n),alpha*fck),0)</f>
      </c>
      <c r="P501" s="30">
        <f>PM_Angle!$J$10+PM_Angle!$K$10*$C501+PM_Angle!$L$10*$B501</f>
      </c>
      <c r="Q501" s="12">
        <f>IF(P501&gt;0,IF(P501&lt;=eco,alpha*fck*(1-(1-P501/eco)^n),alpha*fck),0)</f>
      </c>
      <c r="R501" s="30">
        <f>PM_Angle!$J$11+PM_Angle!$K$11*$C501+PM_Angle!$L$11*$B501</f>
      </c>
      <c r="S501" s="12">
        <f>IF(R501&gt;0,IF(R501&lt;=eco,alpha*fck*(1-(1-R501/eco)^n),alpha*fck),0)</f>
      </c>
      <c r="T501" s="30">
        <f>PM_Angle!$J$12+PM_Angle!$K$12*$C501+PM_Angle!$L$12*$B501</f>
      </c>
      <c r="U501" s="12">
        <f>IF(T501&gt;0,IF(T501&lt;=eco,alpha*fck*(1-(1-T501/eco)^n),alpha*fck),0)</f>
      </c>
      <c r="V501" s="30">
        <f>PM_Angle!$J$13+PM_Angle!$K$13*$C501+PM_Angle!$L$13*$B501</f>
      </c>
      <c r="W501" s="12">
        <f>IF(V501&gt;0,IF(V501&lt;=eco,alpha*fck*(1-(1-V501/eco)^n),alpha*fck),0)</f>
      </c>
      <c r="X501" s="30">
        <f>PM_Angle!$J$14+PM_Angle!$K$14*$C501+PM_Angle!$L$14*$B501</f>
      </c>
      <c r="Y501" s="12">
        <f>IF(X501&gt;0,IF(X501&lt;=eco,alpha*fck*(1-(1-X501/eco)^n),alpha*fck),0)</f>
      </c>
      <c r="Z501" s="30">
        <f>PM_Angle!$J$15+PM_Angle!$K$15*$C501+PM_Angle!$L$15*$B501</f>
      </c>
      <c r="AA501" s="12">
        <f>IF(Z501&gt;0,IF(Z501&lt;=eco,alpha*fck*(1-(1-Z501/eco)^n),alpha*fck),0)</f>
      </c>
      <c r="AB501" s="30">
        <f>PM_Angle!$J$16+PM_Angle!$K$16*$C501+PM_Angle!$L$16*$B501</f>
      </c>
      <c r="AC501" s="12">
        <f>IF(AB501&gt;0,IF(AB501&lt;=eco,alpha*fck*(1-(1-AB501/eco)^n),alpha*fck),0)</f>
      </c>
      <c r="AD501" s="30">
        <f>PM_Angle!$J$17+PM_Angle!$K$17*$C501+PM_Angle!$L$17*$B501</f>
      </c>
      <c r="AE501" s="12">
        <f>IF(AD501&gt;0,IF(AD501&lt;=eco,alpha*fck*(1-(1-AD501/eco)^n),alpha*fck),0)</f>
      </c>
      <c r="AF501" s="30">
        <f>PM_Angle!$J$18+PM_Angle!$K$18*$C501+PM_Angle!$L$18*$B501</f>
      </c>
      <c r="AG501" s="12">
        <f>IF(AF501&gt;0,IF(AF501&lt;=eco,alpha*fck*(1-(1-AF501/eco)^n),alpha*fck),0)</f>
      </c>
      <c r="AH501" s="30">
        <f>PM_Angle!$J$19+PM_Angle!$K$19*$C501+PM_Angle!$L$19*$B501</f>
      </c>
      <c r="AI501" s="12">
        <f>IF(AH501&gt;0,IF(AH501&lt;=eco,alpha*fck*(1-(1-AH501/eco)^n),alpha*fck),0)</f>
      </c>
      <c r="AJ501" s="30">
        <f>PM_Angle!$J$20+PM_Angle!$K$20*$C501+PM_Angle!$L$20*$B501</f>
      </c>
      <c r="AK501" s="12">
        <f>IF(AJ501&gt;0,IF(AJ501&lt;=eco,alpha*fck*(1-(1-AJ501/eco)^n),alpha*fck),0)</f>
      </c>
      <c r="AL501" s="30">
        <f>PM_Angle!$J$21+PM_Angle!$K$21*$C501+PM_Angle!$L$21*$B501</f>
      </c>
      <c r="AM501" s="12">
        <f>IF(AL501&gt;0,IF(AL501&lt;=eco,alpha*fck*(1-(1-AL501/eco)^n),alpha*fck),0)</f>
      </c>
      <c r="AN501" s="30">
        <f>PM_Angle!$J$22+PM_Angle!$K$22*$C501+PM_Angle!$L$22*$B501</f>
      </c>
      <c r="AO501" s="12">
        <f>IF(AN501&gt;0,IF(AN501&lt;=eco,alpha*fck*(1-(1-AN501/eco)^n),alpha*fck),0)</f>
      </c>
      <c r="AP501" s="30">
        <f>PM_Angle!$J$23+PM_Angle!$K$23*$C501+PM_Angle!$L$23*$B501</f>
      </c>
      <c r="AQ501" s="12">
        <f>IF(AP501&gt;0,IF(AP501&lt;=eco,alpha*fck*(1-(1-AP501/eco)^n),alpha*fck),0)</f>
      </c>
      <c r="AR501" s="30">
        <f>PM_Angle!$J$24+PM_Angle!$K$24*$C501+PM_Angle!$L$24*$B501</f>
      </c>
      <c r="AS501" s="12">
        <f>IF(AR501&gt;0,IF(AR501&lt;=eco,alpha*fck*(1-(1-AR501/eco)^n),alpha*fck),0)</f>
      </c>
      <c r="AT501" s="30">
        <f>PM_Angle!$J$25+PM_Angle!$K$25*$C501+PM_Angle!$L$25*$B501</f>
      </c>
      <c r="AU501" s="12">
        <f>IF(AT501&gt;0,IF(AT501&lt;=eco,alpha*fck*(1-(1-AT501/eco)^n),alpha*fck),0)</f>
      </c>
    </row>
    <row r="502" spans="1:47" x14ac:dyDescent="0.25">
      <c r="A502">
        <f>Mesh!A499</f>
      </c>
      <c r="B502" s="12">
        <f>Mesh!B499</f>
      </c>
      <c r="C502" s="12">
        <f>Mesh!C499</f>
      </c>
      <c r="D502" s="12">
        <f>Mesh!D499</f>
      </c>
      <c r="E502" s="30">
        <f>INDEX(St_e0,Det+1)+INDEX(St_kx,Det+1)*C502+INDEX(St_ky,Det+1)*B502</f>
      </c>
      <c r="F502" s="12">
        <f>IF(E502&gt;0,IF(E502&lt;=eco,alpha*fck*(1-(1-E502/eco)^n),alpha*fck),0)</f>
      </c>
      <c r="G502" s="11">
        <f>F502*D502</f>
      </c>
      <c r="H502" s="11">
        <f>G502*C502</f>
      </c>
      <c r="I502" s="11">
        <f>G502*B502</f>
      </c>
      <c r="J502" s="30">
        <f>PM_Angle!$J$7+PM_Angle!$K$7*$C502+PM_Angle!$L$7*$B502</f>
      </c>
      <c r="K502" s="12">
        <f>IF(J502&gt;0,IF(J502&lt;=eco,alpha*fck*(1-(1-J502/eco)^n),alpha*fck),0)</f>
      </c>
      <c r="L502" s="30">
        <f>PM_Angle!$J$8+PM_Angle!$K$8*$C502+PM_Angle!$L$8*$B502</f>
      </c>
      <c r="M502" s="12">
        <f>IF(L502&gt;0,IF(L502&lt;=eco,alpha*fck*(1-(1-L502/eco)^n),alpha*fck),0)</f>
      </c>
      <c r="N502" s="30">
        <f>PM_Angle!$J$9+PM_Angle!$K$9*$C502+PM_Angle!$L$9*$B502</f>
      </c>
      <c r="O502" s="12">
        <f>IF(N502&gt;0,IF(N502&lt;=eco,alpha*fck*(1-(1-N502/eco)^n),alpha*fck),0)</f>
      </c>
      <c r="P502" s="30">
        <f>PM_Angle!$J$10+PM_Angle!$K$10*$C502+PM_Angle!$L$10*$B502</f>
      </c>
      <c r="Q502" s="12">
        <f>IF(P502&gt;0,IF(P502&lt;=eco,alpha*fck*(1-(1-P502/eco)^n),alpha*fck),0)</f>
      </c>
      <c r="R502" s="30">
        <f>PM_Angle!$J$11+PM_Angle!$K$11*$C502+PM_Angle!$L$11*$B502</f>
      </c>
      <c r="S502" s="12">
        <f>IF(R502&gt;0,IF(R502&lt;=eco,alpha*fck*(1-(1-R502/eco)^n),alpha*fck),0)</f>
      </c>
      <c r="T502" s="30">
        <f>PM_Angle!$J$12+PM_Angle!$K$12*$C502+PM_Angle!$L$12*$B502</f>
      </c>
      <c r="U502" s="12">
        <f>IF(T502&gt;0,IF(T502&lt;=eco,alpha*fck*(1-(1-T502/eco)^n),alpha*fck),0)</f>
      </c>
      <c r="V502" s="30">
        <f>PM_Angle!$J$13+PM_Angle!$K$13*$C502+PM_Angle!$L$13*$B502</f>
      </c>
      <c r="W502" s="12">
        <f>IF(V502&gt;0,IF(V502&lt;=eco,alpha*fck*(1-(1-V502/eco)^n),alpha*fck),0)</f>
      </c>
      <c r="X502" s="30">
        <f>PM_Angle!$J$14+PM_Angle!$K$14*$C502+PM_Angle!$L$14*$B502</f>
      </c>
      <c r="Y502" s="12">
        <f>IF(X502&gt;0,IF(X502&lt;=eco,alpha*fck*(1-(1-X502/eco)^n),alpha*fck),0)</f>
      </c>
      <c r="Z502" s="30">
        <f>PM_Angle!$J$15+PM_Angle!$K$15*$C502+PM_Angle!$L$15*$B502</f>
      </c>
      <c r="AA502" s="12">
        <f>IF(Z502&gt;0,IF(Z502&lt;=eco,alpha*fck*(1-(1-Z502/eco)^n),alpha*fck),0)</f>
      </c>
      <c r="AB502" s="30">
        <f>PM_Angle!$J$16+PM_Angle!$K$16*$C502+PM_Angle!$L$16*$B502</f>
      </c>
      <c r="AC502" s="12">
        <f>IF(AB502&gt;0,IF(AB502&lt;=eco,alpha*fck*(1-(1-AB502/eco)^n),alpha*fck),0)</f>
      </c>
      <c r="AD502" s="30">
        <f>PM_Angle!$J$17+PM_Angle!$K$17*$C502+PM_Angle!$L$17*$B502</f>
      </c>
      <c r="AE502" s="12">
        <f>IF(AD502&gt;0,IF(AD502&lt;=eco,alpha*fck*(1-(1-AD502/eco)^n),alpha*fck),0)</f>
      </c>
      <c r="AF502" s="30">
        <f>PM_Angle!$J$18+PM_Angle!$K$18*$C502+PM_Angle!$L$18*$B502</f>
      </c>
      <c r="AG502" s="12">
        <f>IF(AF502&gt;0,IF(AF502&lt;=eco,alpha*fck*(1-(1-AF502/eco)^n),alpha*fck),0)</f>
      </c>
      <c r="AH502" s="30">
        <f>PM_Angle!$J$19+PM_Angle!$K$19*$C502+PM_Angle!$L$19*$B502</f>
      </c>
      <c r="AI502" s="12">
        <f>IF(AH502&gt;0,IF(AH502&lt;=eco,alpha*fck*(1-(1-AH502/eco)^n),alpha*fck),0)</f>
      </c>
      <c r="AJ502" s="30">
        <f>PM_Angle!$J$20+PM_Angle!$K$20*$C502+PM_Angle!$L$20*$B502</f>
      </c>
      <c r="AK502" s="12">
        <f>IF(AJ502&gt;0,IF(AJ502&lt;=eco,alpha*fck*(1-(1-AJ502/eco)^n),alpha*fck),0)</f>
      </c>
      <c r="AL502" s="30">
        <f>PM_Angle!$J$21+PM_Angle!$K$21*$C502+PM_Angle!$L$21*$B502</f>
      </c>
      <c r="AM502" s="12">
        <f>IF(AL502&gt;0,IF(AL502&lt;=eco,alpha*fck*(1-(1-AL502/eco)^n),alpha*fck),0)</f>
      </c>
      <c r="AN502" s="30">
        <f>PM_Angle!$J$22+PM_Angle!$K$22*$C502+PM_Angle!$L$22*$B502</f>
      </c>
      <c r="AO502" s="12">
        <f>IF(AN502&gt;0,IF(AN502&lt;=eco,alpha*fck*(1-(1-AN502/eco)^n),alpha*fck),0)</f>
      </c>
      <c r="AP502" s="30">
        <f>PM_Angle!$J$23+PM_Angle!$K$23*$C502+PM_Angle!$L$23*$B502</f>
      </c>
      <c r="AQ502" s="12">
        <f>IF(AP502&gt;0,IF(AP502&lt;=eco,alpha*fck*(1-(1-AP502/eco)^n),alpha*fck),0)</f>
      </c>
      <c r="AR502" s="30">
        <f>PM_Angle!$J$24+PM_Angle!$K$24*$C502+PM_Angle!$L$24*$B502</f>
      </c>
      <c r="AS502" s="12">
        <f>IF(AR502&gt;0,IF(AR502&lt;=eco,alpha*fck*(1-(1-AR502/eco)^n),alpha*fck),0)</f>
      </c>
      <c r="AT502" s="30">
        <f>PM_Angle!$J$25+PM_Angle!$K$25*$C502+PM_Angle!$L$25*$B502</f>
      </c>
      <c r="AU502" s="12">
        <f>IF(AT502&gt;0,IF(AT502&lt;=eco,alpha*fck*(1-(1-AT502/eco)^n),alpha*fck),0)</f>
      </c>
    </row>
    <row r="503" spans="1:47" x14ac:dyDescent="0.25">
      <c r="A503">
        <f>Mesh!A500</f>
      </c>
      <c r="B503" s="12">
        <f>Mesh!B500</f>
      </c>
      <c r="C503" s="12">
        <f>Mesh!C500</f>
      </c>
      <c r="D503" s="12">
        <f>Mesh!D500</f>
      </c>
      <c r="E503" s="30">
        <f>INDEX(St_e0,Det+1)+INDEX(St_kx,Det+1)*C503+INDEX(St_ky,Det+1)*B503</f>
      </c>
      <c r="F503" s="12">
        <f>IF(E503&gt;0,IF(E503&lt;=eco,alpha*fck*(1-(1-E503/eco)^n),alpha*fck),0)</f>
      </c>
      <c r="G503" s="11">
        <f>F503*D503</f>
      </c>
      <c r="H503" s="11">
        <f>G503*C503</f>
      </c>
      <c r="I503" s="11">
        <f>G503*B503</f>
      </c>
      <c r="J503" s="30">
        <f>PM_Angle!$J$7+PM_Angle!$K$7*$C503+PM_Angle!$L$7*$B503</f>
      </c>
      <c r="K503" s="12">
        <f>IF(J503&gt;0,IF(J503&lt;=eco,alpha*fck*(1-(1-J503/eco)^n),alpha*fck),0)</f>
      </c>
      <c r="L503" s="30">
        <f>PM_Angle!$J$8+PM_Angle!$K$8*$C503+PM_Angle!$L$8*$B503</f>
      </c>
      <c r="M503" s="12">
        <f>IF(L503&gt;0,IF(L503&lt;=eco,alpha*fck*(1-(1-L503/eco)^n),alpha*fck),0)</f>
      </c>
      <c r="N503" s="30">
        <f>PM_Angle!$J$9+PM_Angle!$K$9*$C503+PM_Angle!$L$9*$B503</f>
      </c>
      <c r="O503" s="12">
        <f>IF(N503&gt;0,IF(N503&lt;=eco,alpha*fck*(1-(1-N503/eco)^n),alpha*fck),0)</f>
      </c>
      <c r="P503" s="30">
        <f>PM_Angle!$J$10+PM_Angle!$K$10*$C503+PM_Angle!$L$10*$B503</f>
      </c>
      <c r="Q503" s="12">
        <f>IF(P503&gt;0,IF(P503&lt;=eco,alpha*fck*(1-(1-P503/eco)^n),alpha*fck),0)</f>
      </c>
      <c r="R503" s="30">
        <f>PM_Angle!$J$11+PM_Angle!$K$11*$C503+PM_Angle!$L$11*$B503</f>
      </c>
      <c r="S503" s="12">
        <f>IF(R503&gt;0,IF(R503&lt;=eco,alpha*fck*(1-(1-R503/eco)^n),alpha*fck),0)</f>
      </c>
      <c r="T503" s="30">
        <f>PM_Angle!$J$12+PM_Angle!$K$12*$C503+PM_Angle!$L$12*$B503</f>
      </c>
      <c r="U503" s="12">
        <f>IF(T503&gt;0,IF(T503&lt;=eco,alpha*fck*(1-(1-T503/eco)^n),alpha*fck),0)</f>
      </c>
      <c r="V503" s="30">
        <f>PM_Angle!$J$13+PM_Angle!$K$13*$C503+PM_Angle!$L$13*$B503</f>
      </c>
      <c r="W503" s="12">
        <f>IF(V503&gt;0,IF(V503&lt;=eco,alpha*fck*(1-(1-V503/eco)^n),alpha*fck),0)</f>
      </c>
      <c r="X503" s="30">
        <f>PM_Angle!$J$14+PM_Angle!$K$14*$C503+PM_Angle!$L$14*$B503</f>
      </c>
      <c r="Y503" s="12">
        <f>IF(X503&gt;0,IF(X503&lt;=eco,alpha*fck*(1-(1-X503/eco)^n),alpha*fck),0)</f>
      </c>
      <c r="Z503" s="30">
        <f>PM_Angle!$J$15+PM_Angle!$K$15*$C503+PM_Angle!$L$15*$B503</f>
      </c>
      <c r="AA503" s="12">
        <f>IF(Z503&gt;0,IF(Z503&lt;=eco,alpha*fck*(1-(1-Z503/eco)^n),alpha*fck),0)</f>
      </c>
      <c r="AB503" s="30">
        <f>PM_Angle!$J$16+PM_Angle!$K$16*$C503+PM_Angle!$L$16*$B503</f>
      </c>
      <c r="AC503" s="12">
        <f>IF(AB503&gt;0,IF(AB503&lt;=eco,alpha*fck*(1-(1-AB503/eco)^n),alpha*fck),0)</f>
      </c>
      <c r="AD503" s="30">
        <f>PM_Angle!$J$17+PM_Angle!$K$17*$C503+PM_Angle!$L$17*$B503</f>
      </c>
      <c r="AE503" s="12">
        <f>IF(AD503&gt;0,IF(AD503&lt;=eco,alpha*fck*(1-(1-AD503/eco)^n),alpha*fck),0)</f>
      </c>
      <c r="AF503" s="30">
        <f>PM_Angle!$J$18+PM_Angle!$K$18*$C503+PM_Angle!$L$18*$B503</f>
      </c>
      <c r="AG503" s="12">
        <f>IF(AF503&gt;0,IF(AF503&lt;=eco,alpha*fck*(1-(1-AF503/eco)^n),alpha*fck),0)</f>
      </c>
      <c r="AH503" s="30">
        <f>PM_Angle!$J$19+PM_Angle!$K$19*$C503+PM_Angle!$L$19*$B503</f>
      </c>
      <c r="AI503" s="12">
        <f>IF(AH503&gt;0,IF(AH503&lt;=eco,alpha*fck*(1-(1-AH503/eco)^n),alpha*fck),0)</f>
      </c>
      <c r="AJ503" s="30">
        <f>PM_Angle!$J$20+PM_Angle!$K$20*$C503+PM_Angle!$L$20*$B503</f>
      </c>
      <c r="AK503" s="12">
        <f>IF(AJ503&gt;0,IF(AJ503&lt;=eco,alpha*fck*(1-(1-AJ503/eco)^n),alpha*fck),0)</f>
      </c>
      <c r="AL503" s="30">
        <f>PM_Angle!$J$21+PM_Angle!$K$21*$C503+PM_Angle!$L$21*$B503</f>
      </c>
      <c r="AM503" s="12">
        <f>IF(AL503&gt;0,IF(AL503&lt;=eco,alpha*fck*(1-(1-AL503/eco)^n),alpha*fck),0)</f>
      </c>
      <c r="AN503" s="30">
        <f>PM_Angle!$J$22+PM_Angle!$K$22*$C503+PM_Angle!$L$22*$B503</f>
      </c>
      <c r="AO503" s="12">
        <f>IF(AN503&gt;0,IF(AN503&lt;=eco,alpha*fck*(1-(1-AN503/eco)^n),alpha*fck),0)</f>
      </c>
      <c r="AP503" s="30">
        <f>PM_Angle!$J$23+PM_Angle!$K$23*$C503+PM_Angle!$L$23*$B503</f>
      </c>
      <c r="AQ503" s="12">
        <f>IF(AP503&gt;0,IF(AP503&lt;=eco,alpha*fck*(1-(1-AP503/eco)^n),alpha*fck),0)</f>
      </c>
      <c r="AR503" s="30">
        <f>PM_Angle!$J$24+PM_Angle!$K$24*$C503+PM_Angle!$L$24*$B503</f>
      </c>
      <c r="AS503" s="12">
        <f>IF(AR503&gt;0,IF(AR503&lt;=eco,alpha*fck*(1-(1-AR503/eco)^n),alpha*fck),0)</f>
      </c>
      <c r="AT503" s="30">
        <f>PM_Angle!$J$25+PM_Angle!$K$25*$C503+PM_Angle!$L$25*$B503</f>
      </c>
      <c r="AU503" s="12">
        <f>IF(AT503&gt;0,IF(AT503&lt;=eco,alpha*fck*(1-(1-AT503/eco)^n),alpha*fck),0)</f>
      </c>
    </row>
    <row r="504" spans="1:47" x14ac:dyDescent="0.25">
      <c r="A504">
        <f>Mesh!A501</f>
      </c>
      <c r="B504" s="12">
        <f>Mesh!B501</f>
      </c>
      <c r="C504" s="12">
        <f>Mesh!C501</f>
      </c>
      <c r="D504" s="12">
        <f>Mesh!D501</f>
      </c>
      <c r="E504" s="30">
        <f>INDEX(St_e0,Det+1)+INDEX(St_kx,Det+1)*C504+INDEX(St_ky,Det+1)*B504</f>
      </c>
      <c r="F504" s="12">
        <f>IF(E504&gt;0,IF(E504&lt;=eco,alpha*fck*(1-(1-E504/eco)^n),alpha*fck),0)</f>
      </c>
      <c r="G504" s="11">
        <f>F504*D504</f>
      </c>
      <c r="H504" s="11">
        <f>G504*C504</f>
      </c>
      <c r="I504" s="11">
        <f>G504*B504</f>
      </c>
      <c r="J504" s="30">
        <f>PM_Angle!$J$7+PM_Angle!$K$7*$C504+PM_Angle!$L$7*$B504</f>
      </c>
      <c r="K504" s="12">
        <f>IF(J504&gt;0,IF(J504&lt;=eco,alpha*fck*(1-(1-J504/eco)^n),alpha*fck),0)</f>
      </c>
      <c r="L504" s="30">
        <f>PM_Angle!$J$8+PM_Angle!$K$8*$C504+PM_Angle!$L$8*$B504</f>
      </c>
      <c r="M504" s="12">
        <f>IF(L504&gt;0,IF(L504&lt;=eco,alpha*fck*(1-(1-L504/eco)^n),alpha*fck),0)</f>
      </c>
      <c r="N504" s="30">
        <f>PM_Angle!$J$9+PM_Angle!$K$9*$C504+PM_Angle!$L$9*$B504</f>
      </c>
      <c r="O504" s="12">
        <f>IF(N504&gt;0,IF(N504&lt;=eco,alpha*fck*(1-(1-N504/eco)^n),alpha*fck),0)</f>
      </c>
      <c r="P504" s="30">
        <f>PM_Angle!$J$10+PM_Angle!$K$10*$C504+PM_Angle!$L$10*$B504</f>
      </c>
      <c r="Q504" s="12">
        <f>IF(P504&gt;0,IF(P504&lt;=eco,alpha*fck*(1-(1-P504/eco)^n),alpha*fck),0)</f>
      </c>
      <c r="R504" s="30">
        <f>PM_Angle!$J$11+PM_Angle!$K$11*$C504+PM_Angle!$L$11*$B504</f>
      </c>
      <c r="S504" s="12">
        <f>IF(R504&gt;0,IF(R504&lt;=eco,alpha*fck*(1-(1-R504/eco)^n),alpha*fck),0)</f>
      </c>
      <c r="T504" s="30">
        <f>PM_Angle!$J$12+PM_Angle!$K$12*$C504+PM_Angle!$L$12*$B504</f>
      </c>
      <c r="U504" s="12">
        <f>IF(T504&gt;0,IF(T504&lt;=eco,alpha*fck*(1-(1-T504/eco)^n),alpha*fck),0)</f>
      </c>
      <c r="V504" s="30">
        <f>PM_Angle!$J$13+PM_Angle!$K$13*$C504+PM_Angle!$L$13*$B504</f>
      </c>
      <c r="W504" s="12">
        <f>IF(V504&gt;0,IF(V504&lt;=eco,alpha*fck*(1-(1-V504/eco)^n),alpha*fck),0)</f>
      </c>
      <c r="X504" s="30">
        <f>PM_Angle!$J$14+PM_Angle!$K$14*$C504+PM_Angle!$L$14*$B504</f>
      </c>
      <c r="Y504" s="12">
        <f>IF(X504&gt;0,IF(X504&lt;=eco,alpha*fck*(1-(1-X504/eco)^n),alpha*fck),0)</f>
      </c>
      <c r="Z504" s="30">
        <f>PM_Angle!$J$15+PM_Angle!$K$15*$C504+PM_Angle!$L$15*$B504</f>
      </c>
      <c r="AA504" s="12">
        <f>IF(Z504&gt;0,IF(Z504&lt;=eco,alpha*fck*(1-(1-Z504/eco)^n),alpha*fck),0)</f>
      </c>
      <c r="AB504" s="30">
        <f>PM_Angle!$J$16+PM_Angle!$K$16*$C504+PM_Angle!$L$16*$B504</f>
      </c>
      <c r="AC504" s="12">
        <f>IF(AB504&gt;0,IF(AB504&lt;=eco,alpha*fck*(1-(1-AB504/eco)^n),alpha*fck),0)</f>
      </c>
      <c r="AD504" s="30">
        <f>PM_Angle!$J$17+PM_Angle!$K$17*$C504+PM_Angle!$L$17*$B504</f>
      </c>
      <c r="AE504" s="12">
        <f>IF(AD504&gt;0,IF(AD504&lt;=eco,alpha*fck*(1-(1-AD504/eco)^n),alpha*fck),0)</f>
      </c>
      <c r="AF504" s="30">
        <f>PM_Angle!$J$18+PM_Angle!$K$18*$C504+PM_Angle!$L$18*$B504</f>
      </c>
      <c r="AG504" s="12">
        <f>IF(AF504&gt;0,IF(AF504&lt;=eco,alpha*fck*(1-(1-AF504/eco)^n),alpha*fck),0)</f>
      </c>
      <c r="AH504" s="30">
        <f>PM_Angle!$J$19+PM_Angle!$K$19*$C504+PM_Angle!$L$19*$B504</f>
      </c>
      <c r="AI504" s="12">
        <f>IF(AH504&gt;0,IF(AH504&lt;=eco,alpha*fck*(1-(1-AH504/eco)^n),alpha*fck),0)</f>
      </c>
      <c r="AJ504" s="30">
        <f>PM_Angle!$J$20+PM_Angle!$K$20*$C504+PM_Angle!$L$20*$B504</f>
      </c>
      <c r="AK504" s="12">
        <f>IF(AJ504&gt;0,IF(AJ504&lt;=eco,alpha*fck*(1-(1-AJ504/eco)^n),alpha*fck),0)</f>
      </c>
      <c r="AL504" s="30">
        <f>PM_Angle!$J$21+PM_Angle!$K$21*$C504+PM_Angle!$L$21*$B504</f>
      </c>
      <c r="AM504" s="12">
        <f>IF(AL504&gt;0,IF(AL504&lt;=eco,alpha*fck*(1-(1-AL504/eco)^n),alpha*fck),0)</f>
      </c>
      <c r="AN504" s="30">
        <f>PM_Angle!$J$22+PM_Angle!$K$22*$C504+PM_Angle!$L$22*$B504</f>
      </c>
      <c r="AO504" s="12">
        <f>IF(AN504&gt;0,IF(AN504&lt;=eco,alpha*fck*(1-(1-AN504/eco)^n),alpha*fck),0)</f>
      </c>
      <c r="AP504" s="30">
        <f>PM_Angle!$J$23+PM_Angle!$K$23*$C504+PM_Angle!$L$23*$B504</f>
      </c>
      <c r="AQ504" s="12">
        <f>IF(AP504&gt;0,IF(AP504&lt;=eco,alpha*fck*(1-(1-AP504/eco)^n),alpha*fck),0)</f>
      </c>
      <c r="AR504" s="30">
        <f>PM_Angle!$J$24+PM_Angle!$K$24*$C504+PM_Angle!$L$24*$B504</f>
      </c>
      <c r="AS504" s="12">
        <f>IF(AR504&gt;0,IF(AR504&lt;=eco,alpha*fck*(1-(1-AR504/eco)^n),alpha*fck),0)</f>
      </c>
      <c r="AT504" s="30">
        <f>PM_Angle!$J$25+PM_Angle!$K$25*$C504+PM_Angle!$L$25*$B504</f>
      </c>
      <c r="AU504" s="12">
        <f>IF(AT504&gt;0,IF(AT504&lt;=eco,alpha*fck*(1-(1-AT504/eco)^n),alpha*fck),0)</f>
      </c>
    </row>
    <row r="505" spans="1:47" x14ac:dyDescent="0.25">
      <c r="A505">
        <f>Mesh!A502</f>
      </c>
      <c r="B505" s="12">
        <f>Mesh!B502</f>
      </c>
      <c r="C505" s="12">
        <f>Mesh!C502</f>
      </c>
      <c r="D505" s="12">
        <f>Mesh!D502</f>
      </c>
      <c r="E505" s="30">
        <f>INDEX(St_e0,Det+1)+INDEX(St_kx,Det+1)*C505+INDEX(St_ky,Det+1)*B505</f>
      </c>
      <c r="F505" s="12">
        <f>IF(E505&gt;0,IF(E505&lt;=eco,alpha*fck*(1-(1-E505/eco)^n),alpha*fck),0)</f>
      </c>
      <c r="G505" s="11">
        <f>F505*D505</f>
      </c>
      <c r="H505" s="11">
        <f>G505*C505</f>
      </c>
      <c r="I505" s="11">
        <f>G505*B505</f>
      </c>
      <c r="J505" s="30">
        <f>PM_Angle!$J$7+PM_Angle!$K$7*$C505+PM_Angle!$L$7*$B505</f>
      </c>
      <c r="K505" s="12">
        <f>IF(J505&gt;0,IF(J505&lt;=eco,alpha*fck*(1-(1-J505/eco)^n),alpha*fck),0)</f>
      </c>
      <c r="L505" s="30">
        <f>PM_Angle!$J$8+PM_Angle!$K$8*$C505+PM_Angle!$L$8*$B505</f>
      </c>
      <c r="M505" s="12">
        <f>IF(L505&gt;0,IF(L505&lt;=eco,alpha*fck*(1-(1-L505/eco)^n),alpha*fck),0)</f>
      </c>
      <c r="N505" s="30">
        <f>PM_Angle!$J$9+PM_Angle!$K$9*$C505+PM_Angle!$L$9*$B505</f>
      </c>
      <c r="O505" s="12">
        <f>IF(N505&gt;0,IF(N505&lt;=eco,alpha*fck*(1-(1-N505/eco)^n),alpha*fck),0)</f>
      </c>
      <c r="P505" s="30">
        <f>PM_Angle!$J$10+PM_Angle!$K$10*$C505+PM_Angle!$L$10*$B505</f>
      </c>
      <c r="Q505" s="12">
        <f>IF(P505&gt;0,IF(P505&lt;=eco,alpha*fck*(1-(1-P505/eco)^n),alpha*fck),0)</f>
      </c>
      <c r="R505" s="30">
        <f>PM_Angle!$J$11+PM_Angle!$K$11*$C505+PM_Angle!$L$11*$B505</f>
      </c>
      <c r="S505" s="12">
        <f>IF(R505&gt;0,IF(R505&lt;=eco,alpha*fck*(1-(1-R505/eco)^n),alpha*fck),0)</f>
      </c>
      <c r="T505" s="30">
        <f>PM_Angle!$J$12+PM_Angle!$K$12*$C505+PM_Angle!$L$12*$B505</f>
      </c>
      <c r="U505" s="12">
        <f>IF(T505&gt;0,IF(T505&lt;=eco,alpha*fck*(1-(1-T505/eco)^n),alpha*fck),0)</f>
      </c>
      <c r="V505" s="30">
        <f>PM_Angle!$J$13+PM_Angle!$K$13*$C505+PM_Angle!$L$13*$B505</f>
      </c>
      <c r="W505" s="12">
        <f>IF(V505&gt;0,IF(V505&lt;=eco,alpha*fck*(1-(1-V505/eco)^n),alpha*fck),0)</f>
      </c>
      <c r="X505" s="30">
        <f>PM_Angle!$J$14+PM_Angle!$K$14*$C505+PM_Angle!$L$14*$B505</f>
      </c>
      <c r="Y505" s="12">
        <f>IF(X505&gt;0,IF(X505&lt;=eco,alpha*fck*(1-(1-X505/eco)^n),alpha*fck),0)</f>
      </c>
      <c r="Z505" s="30">
        <f>PM_Angle!$J$15+PM_Angle!$K$15*$C505+PM_Angle!$L$15*$B505</f>
      </c>
      <c r="AA505" s="12">
        <f>IF(Z505&gt;0,IF(Z505&lt;=eco,alpha*fck*(1-(1-Z505/eco)^n),alpha*fck),0)</f>
      </c>
      <c r="AB505" s="30">
        <f>PM_Angle!$J$16+PM_Angle!$K$16*$C505+PM_Angle!$L$16*$B505</f>
      </c>
      <c r="AC505" s="12">
        <f>IF(AB505&gt;0,IF(AB505&lt;=eco,alpha*fck*(1-(1-AB505/eco)^n),alpha*fck),0)</f>
      </c>
      <c r="AD505" s="30">
        <f>PM_Angle!$J$17+PM_Angle!$K$17*$C505+PM_Angle!$L$17*$B505</f>
      </c>
      <c r="AE505" s="12">
        <f>IF(AD505&gt;0,IF(AD505&lt;=eco,alpha*fck*(1-(1-AD505/eco)^n),alpha*fck),0)</f>
      </c>
      <c r="AF505" s="30">
        <f>PM_Angle!$J$18+PM_Angle!$K$18*$C505+PM_Angle!$L$18*$B505</f>
      </c>
      <c r="AG505" s="12">
        <f>IF(AF505&gt;0,IF(AF505&lt;=eco,alpha*fck*(1-(1-AF505/eco)^n),alpha*fck),0)</f>
      </c>
      <c r="AH505" s="30">
        <f>PM_Angle!$J$19+PM_Angle!$K$19*$C505+PM_Angle!$L$19*$B505</f>
      </c>
      <c r="AI505" s="12">
        <f>IF(AH505&gt;0,IF(AH505&lt;=eco,alpha*fck*(1-(1-AH505/eco)^n),alpha*fck),0)</f>
      </c>
      <c r="AJ505" s="30">
        <f>PM_Angle!$J$20+PM_Angle!$K$20*$C505+PM_Angle!$L$20*$B505</f>
      </c>
      <c r="AK505" s="12">
        <f>IF(AJ505&gt;0,IF(AJ505&lt;=eco,alpha*fck*(1-(1-AJ505/eco)^n),alpha*fck),0)</f>
      </c>
      <c r="AL505" s="30">
        <f>PM_Angle!$J$21+PM_Angle!$K$21*$C505+PM_Angle!$L$21*$B505</f>
      </c>
      <c r="AM505" s="12">
        <f>IF(AL505&gt;0,IF(AL505&lt;=eco,alpha*fck*(1-(1-AL505/eco)^n),alpha*fck),0)</f>
      </c>
      <c r="AN505" s="30">
        <f>PM_Angle!$J$22+PM_Angle!$K$22*$C505+PM_Angle!$L$22*$B505</f>
      </c>
      <c r="AO505" s="12">
        <f>IF(AN505&gt;0,IF(AN505&lt;=eco,alpha*fck*(1-(1-AN505/eco)^n),alpha*fck),0)</f>
      </c>
      <c r="AP505" s="30">
        <f>PM_Angle!$J$23+PM_Angle!$K$23*$C505+PM_Angle!$L$23*$B505</f>
      </c>
      <c r="AQ505" s="12">
        <f>IF(AP505&gt;0,IF(AP505&lt;=eco,alpha*fck*(1-(1-AP505/eco)^n),alpha*fck),0)</f>
      </c>
      <c r="AR505" s="30">
        <f>PM_Angle!$J$24+PM_Angle!$K$24*$C505+PM_Angle!$L$24*$B505</f>
      </c>
      <c r="AS505" s="12">
        <f>IF(AR505&gt;0,IF(AR505&lt;=eco,alpha*fck*(1-(1-AR505/eco)^n),alpha*fck),0)</f>
      </c>
      <c r="AT505" s="30">
        <f>PM_Angle!$J$25+PM_Angle!$K$25*$C505+PM_Angle!$L$25*$B505</f>
      </c>
      <c r="AU505" s="12">
        <f>IF(AT505&gt;0,IF(AT505&lt;=eco,alpha*fck*(1-(1-AT505/eco)^n),alpha*fck),0)</f>
      </c>
    </row>
    <row r="506" spans="1:47" x14ac:dyDescent="0.25">
      <c r="A506">
        <f>Mesh!A503</f>
      </c>
      <c r="B506" s="12">
        <f>Mesh!B503</f>
      </c>
      <c r="C506" s="12">
        <f>Mesh!C503</f>
      </c>
      <c r="D506" s="12">
        <f>Mesh!D503</f>
      </c>
      <c r="E506" s="30">
        <f>INDEX(St_e0,Det+1)+INDEX(St_kx,Det+1)*C506+INDEX(St_ky,Det+1)*B506</f>
      </c>
      <c r="F506" s="12">
        <f>IF(E506&gt;0,IF(E506&lt;=eco,alpha*fck*(1-(1-E506/eco)^n),alpha*fck),0)</f>
      </c>
      <c r="G506" s="11">
        <f>F506*D506</f>
      </c>
      <c r="H506" s="11">
        <f>G506*C506</f>
      </c>
      <c r="I506" s="11">
        <f>G506*B506</f>
      </c>
      <c r="J506" s="30">
        <f>PM_Angle!$J$7+PM_Angle!$K$7*$C506+PM_Angle!$L$7*$B506</f>
      </c>
      <c r="K506" s="12">
        <f>IF(J506&gt;0,IF(J506&lt;=eco,alpha*fck*(1-(1-J506/eco)^n),alpha*fck),0)</f>
      </c>
      <c r="L506" s="30">
        <f>PM_Angle!$J$8+PM_Angle!$K$8*$C506+PM_Angle!$L$8*$B506</f>
      </c>
      <c r="M506" s="12">
        <f>IF(L506&gt;0,IF(L506&lt;=eco,alpha*fck*(1-(1-L506/eco)^n),alpha*fck),0)</f>
      </c>
      <c r="N506" s="30">
        <f>PM_Angle!$J$9+PM_Angle!$K$9*$C506+PM_Angle!$L$9*$B506</f>
      </c>
      <c r="O506" s="12">
        <f>IF(N506&gt;0,IF(N506&lt;=eco,alpha*fck*(1-(1-N506/eco)^n),alpha*fck),0)</f>
      </c>
      <c r="P506" s="30">
        <f>PM_Angle!$J$10+PM_Angle!$K$10*$C506+PM_Angle!$L$10*$B506</f>
      </c>
      <c r="Q506" s="12">
        <f>IF(P506&gt;0,IF(P506&lt;=eco,alpha*fck*(1-(1-P506/eco)^n),alpha*fck),0)</f>
      </c>
      <c r="R506" s="30">
        <f>PM_Angle!$J$11+PM_Angle!$K$11*$C506+PM_Angle!$L$11*$B506</f>
      </c>
      <c r="S506" s="12">
        <f>IF(R506&gt;0,IF(R506&lt;=eco,alpha*fck*(1-(1-R506/eco)^n),alpha*fck),0)</f>
      </c>
      <c r="T506" s="30">
        <f>PM_Angle!$J$12+PM_Angle!$K$12*$C506+PM_Angle!$L$12*$B506</f>
      </c>
      <c r="U506" s="12">
        <f>IF(T506&gt;0,IF(T506&lt;=eco,alpha*fck*(1-(1-T506/eco)^n),alpha*fck),0)</f>
      </c>
      <c r="V506" s="30">
        <f>PM_Angle!$J$13+PM_Angle!$K$13*$C506+PM_Angle!$L$13*$B506</f>
      </c>
      <c r="W506" s="12">
        <f>IF(V506&gt;0,IF(V506&lt;=eco,alpha*fck*(1-(1-V506/eco)^n),alpha*fck),0)</f>
      </c>
      <c r="X506" s="30">
        <f>PM_Angle!$J$14+PM_Angle!$K$14*$C506+PM_Angle!$L$14*$B506</f>
      </c>
      <c r="Y506" s="12">
        <f>IF(X506&gt;0,IF(X506&lt;=eco,alpha*fck*(1-(1-X506/eco)^n),alpha*fck),0)</f>
      </c>
      <c r="Z506" s="30">
        <f>PM_Angle!$J$15+PM_Angle!$K$15*$C506+PM_Angle!$L$15*$B506</f>
      </c>
      <c r="AA506" s="12">
        <f>IF(Z506&gt;0,IF(Z506&lt;=eco,alpha*fck*(1-(1-Z506/eco)^n),alpha*fck),0)</f>
      </c>
      <c r="AB506" s="30">
        <f>PM_Angle!$J$16+PM_Angle!$K$16*$C506+PM_Angle!$L$16*$B506</f>
      </c>
      <c r="AC506" s="12">
        <f>IF(AB506&gt;0,IF(AB506&lt;=eco,alpha*fck*(1-(1-AB506/eco)^n),alpha*fck),0)</f>
      </c>
      <c r="AD506" s="30">
        <f>PM_Angle!$J$17+PM_Angle!$K$17*$C506+PM_Angle!$L$17*$B506</f>
      </c>
      <c r="AE506" s="12">
        <f>IF(AD506&gt;0,IF(AD506&lt;=eco,alpha*fck*(1-(1-AD506/eco)^n),alpha*fck),0)</f>
      </c>
      <c r="AF506" s="30">
        <f>PM_Angle!$J$18+PM_Angle!$K$18*$C506+PM_Angle!$L$18*$B506</f>
      </c>
      <c r="AG506" s="12">
        <f>IF(AF506&gt;0,IF(AF506&lt;=eco,alpha*fck*(1-(1-AF506/eco)^n),alpha*fck),0)</f>
      </c>
      <c r="AH506" s="30">
        <f>PM_Angle!$J$19+PM_Angle!$K$19*$C506+PM_Angle!$L$19*$B506</f>
      </c>
      <c r="AI506" s="12">
        <f>IF(AH506&gt;0,IF(AH506&lt;=eco,alpha*fck*(1-(1-AH506/eco)^n),alpha*fck),0)</f>
      </c>
      <c r="AJ506" s="30">
        <f>PM_Angle!$J$20+PM_Angle!$K$20*$C506+PM_Angle!$L$20*$B506</f>
      </c>
      <c r="AK506" s="12">
        <f>IF(AJ506&gt;0,IF(AJ506&lt;=eco,alpha*fck*(1-(1-AJ506/eco)^n),alpha*fck),0)</f>
      </c>
      <c r="AL506" s="30">
        <f>PM_Angle!$J$21+PM_Angle!$K$21*$C506+PM_Angle!$L$21*$B506</f>
      </c>
      <c r="AM506" s="12">
        <f>IF(AL506&gt;0,IF(AL506&lt;=eco,alpha*fck*(1-(1-AL506/eco)^n),alpha*fck),0)</f>
      </c>
      <c r="AN506" s="30">
        <f>PM_Angle!$J$22+PM_Angle!$K$22*$C506+PM_Angle!$L$22*$B506</f>
      </c>
      <c r="AO506" s="12">
        <f>IF(AN506&gt;0,IF(AN506&lt;=eco,alpha*fck*(1-(1-AN506/eco)^n),alpha*fck),0)</f>
      </c>
      <c r="AP506" s="30">
        <f>PM_Angle!$J$23+PM_Angle!$K$23*$C506+PM_Angle!$L$23*$B506</f>
      </c>
      <c r="AQ506" s="12">
        <f>IF(AP506&gt;0,IF(AP506&lt;=eco,alpha*fck*(1-(1-AP506/eco)^n),alpha*fck),0)</f>
      </c>
      <c r="AR506" s="30">
        <f>PM_Angle!$J$24+PM_Angle!$K$24*$C506+PM_Angle!$L$24*$B506</f>
      </c>
      <c r="AS506" s="12">
        <f>IF(AR506&gt;0,IF(AR506&lt;=eco,alpha*fck*(1-(1-AR506/eco)^n),alpha*fck),0)</f>
      </c>
      <c r="AT506" s="30">
        <f>PM_Angle!$J$25+PM_Angle!$K$25*$C506+PM_Angle!$L$25*$B506</f>
      </c>
      <c r="AU506" s="12">
        <f>IF(AT506&gt;0,IF(AT506&lt;=eco,alpha*fck*(1-(1-AT506/eco)^n),alpha*fck),0)</f>
      </c>
    </row>
    <row r="507" spans="1:47" x14ac:dyDescent="0.25">
      <c r="A507">
        <f>Mesh!A504</f>
      </c>
      <c r="B507" s="12">
        <f>Mesh!B504</f>
      </c>
      <c r="C507" s="12">
        <f>Mesh!C504</f>
      </c>
      <c r="D507" s="12">
        <f>Mesh!D504</f>
      </c>
      <c r="E507" s="30">
        <f>INDEX(St_e0,Det+1)+INDEX(St_kx,Det+1)*C507+INDEX(St_ky,Det+1)*B507</f>
      </c>
      <c r="F507" s="12">
        <f>IF(E507&gt;0,IF(E507&lt;=eco,alpha*fck*(1-(1-E507/eco)^n),alpha*fck),0)</f>
      </c>
      <c r="G507" s="11">
        <f>F507*D507</f>
      </c>
      <c r="H507" s="11">
        <f>G507*C507</f>
      </c>
      <c r="I507" s="11">
        <f>G507*B507</f>
      </c>
      <c r="J507" s="30">
        <f>PM_Angle!$J$7+PM_Angle!$K$7*$C507+PM_Angle!$L$7*$B507</f>
      </c>
      <c r="K507" s="12">
        <f>IF(J507&gt;0,IF(J507&lt;=eco,alpha*fck*(1-(1-J507/eco)^n),alpha*fck),0)</f>
      </c>
      <c r="L507" s="30">
        <f>PM_Angle!$J$8+PM_Angle!$K$8*$C507+PM_Angle!$L$8*$B507</f>
      </c>
      <c r="M507" s="12">
        <f>IF(L507&gt;0,IF(L507&lt;=eco,alpha*fck*(1-(1-L507/eco)^n),alpha*fck),0)</f>
      </c>
      <c r="N507" s="30">
        <f>PM_Angle!$J$9+PM_Angle!$K$9*$C507+PM_Angle!$L$9*$B507</f>
      </c>
      <c r="O507" s="12">
        <f>IF(N507&gt;0,IF(N507&lt;=eco,alpha*fck*(1-(1-N507/eco)^n),alpha*fck),0)</f>
      </c>
      <c r="P507" s="30">
        <f>PM_Angle!$J$10+PM_Angle!$K$10*$C507+PM_Angle!$L$10*$B507</f>
      </c>
      <c r="Q507" s="12">
        <f>IF(P507&gt;0,IF(P507&lt;=eco,alpha*fck*(1-(1-P507/eco)^n),alpha*fck),0)</f>
      </c>
      <c r="R507" s="30">
        <f>PM_Angle!$J$11+PM_Angle!$K$11*$C507+PM_Angle!$L$11*$B507</f>
      </c>
      <c r="S507" s="12">
        <f>IF(R507&gt;0,IF(R507&lt;=eco,alpha*fck*(1-(1-R507/eco)^n),alpha*fck),0)</f>
      </c>
      <c r="T507" s="30">
        <f>PM_Angle!$J$12+PM_Angle!$K$12*$C507+PM_Angle!$L$12*$B507</f>
      </c>
      <c r="U507" s="12">
        <f>IF(T507&gt;0,IF(T507&lt;=eco,alpha*fck*(1-(1-T507/eco)^n),alpha*fck),0)</f>
      </c>
      <c r="V507" s="30">
        <f>PM_Angle!$J$13+PM_Angle!$K$13*$C507+PM_Angle!$L$13*$B507</f>
      </c>
      <c r="W507" s="12">
        <f>IF(V507&gt;0,IF(V507&lt;=eco,alpha*fck*(1-(1-V507/eco)^n),alpha*fck),0)</f>
      </c>
      <c r="X507" s="30">
        <f>PM_Angle!$J$14+PM_Angle!$K$14*$C507+PM_Angle!$L$14*$B507</f>
      </c>
      <c r="Y507" s="12">
        <f>IF(X507&gt;0,IF(X507&lt;=eco,alpha*fck*(1-(1-X507/eco)^n),alpha*fck),0)</f>
      </c>
      <c r="Z507" s="30">
        <f>PM_Angle!$J$15+PM_Angle!$K$15*$C507+PM_Angle!$L$15*$B507</f>
      </c>
      <c r="AA507" s="12">
        <f>IF(Z507&gt;0,IF(Z507&lt;=eco,alpha*fck*(1-(1-Z507/eco)^n),alpha*fck),0)</f>
      </c>
      <c r="AB507" s="30">
        <f>PM_Angle!$J$16+PM_Angle!$K$16*$C507+PM_Angle!$L$16*$B507</f>
      </c>
      <c r="AC507" s="12">
        <f>IF(AB507&gt;0,IF(AB507&lt;=eco,alpha*fck*(1-(1-AB507/eco)^n),alpha*fck),0)</f>
      </c>
      <c r="AD507" s="30">
        <f>PM_Angle!$J$17+PM_Angle!$K$17*$C507+PM_Angle!$L$17*$B507</f>
      </c>
      <c r="AE507" s="12">
        <f>IF(AD507&gt;0,IF(AD507&lt;=eco,alpha*fck*(1-(1-AD507/eco)^n),alpha*fck),0)</f>
      </c>
      <c r="AF507" s="30">
        <f>PM_Angle!$J$18+PM_Angle!$K$18*$C507+PM_Angle!$L$18*$B507</f>
      </c>
      <c r="AG507" s="12">
        <f>IF(AF507&gt;0,IF(AF507&lt;=eco,alpha*fck*(1-(1-AF507/eco)^n),alpha*fck),0)</f>
      </c>
      <c r="AH507" s="30">
        <f>PM_Angle!$J$19+PM_Angle!$K$19*$C507+PM_Angle!$L$19*$B507</f>
      </c>
      <c r="AI507" s="12">
        <f>IF(AH507&gt;0,IF(AH507&lt;=eco,alpha*fck*(1-(1-AH507/eco)^n),alpha*fck),0)</f>
      </c>
      <c r="AJ507" s="30">
        <f>PM_Angle!$J$20+PM_Angle!$K$20*$C507+PM_Angle!$L$20*$B507</f>
      </c>
      <c r="AK507" s="12">
        <f>IF(AJ507&gt;0,IF(AJ507&lt;=eco,alpha*fck*(1-(1-AJ507/eco)^n),alpha*fck),0)</f>
      </c>
      <c r="AL507" s="30">
        <f>PM_Angle!$J$21+PM_Angle!$K$21*$C507+PM_Angle!$L$21*$B507</f>
      </c>
      <c r="AM507" s="12">
        <f>IF(AL507&gt;0,IF(AL507&lt;=eco,alpha*fck*(1-(1-AL507/eco)^n),alpha*fck),0)</f>
      </c>
      <c r="AN507" s="30">
        <f>PM_Angle!$J$22+PM_Angle!$K$22*$C507+PM_Angle!$L$22*$B507</f>
      </c>
      <c r="AO507" s="12">
        <f>IF(AN507&gt;0,IF(AN507&lt;=eco,alpha*fck*(1-(1-AN507/eco)^n),alpha*fck),0)</f>
      </c>
      <c r="AP507" s="30">
        <f>PM_Angle!$J$23+PM_Angle!$K$23*$C507+PM_Angle!$L$23*$B507</f>
      </c>
      <c r="AQ507" s="12">
        <f>IF(AP507&gt;0,IF(AP507&lt;=eco,alpha*fck*(1-(1-AP507/eco)^n),alpha*fck),0)</f>
      </c>
      <c r="AR507" s="30">
        <f>PM_Angle!$J$24+PM_Angle!$K$24*$C507+PM_Angle!$L$24*$B507</f>
      </c>
      <c r="AS507" s="12">
        <f>IF(AR507&gt;0,IF(AR507&lt;=eco,alpha*fck*(1-(1-AR507/eco)^n),alpha*fck),0)</f>
      </c>
      <c r="AT507" s="30">
        <f>PM_Angle!$J$25+PM_Angle!$K$25*$C507+PM_Angle!$L$25*$B507</f>
      </c>
      <c r="AU507" s="12">
        <f>IF(AT507&gt;0,IF(AT507&lt;=eco,alpha*fck*(1-(1-AT507/eco)^n),alpha*fck),0)</f>
      </c>
    </row>
    <row r="508" spans="1:47" x14ac:dyDescent="0.25">
      <c r="A508">
        <f>Mesh!A505</f>
      </c>
      <c r="B508" s="12">
        <f>Mesh!B505</f>
      </c>
      <c r="C508" s="12">
        <f>Mesh!C505</f>
      </c>
      <c r="D508" s="12">
        <f>Mesh!D505</f>
      </c>
      <c r="E508" s="30">
        <f>INDEX(St_e0,Det+1)+INDEX(St_kx,Det+1)*C508+INDEX(St_ky,Det+1)*B508</f>
      </c>
      <c r="F508" s="12">
        <f>IF(E508&gt;0,IF(E508&lt;=eco,alpha*fck*(1-(1-E508/eco)^n),alpha*fck),0)</f>
      </c>
      <c r="G508" s="11">
        <f>F508*D508</f>
      </c>
      <c r="H508" s="11">
        <f>G508*C508</f>
      </c>
      <c r="I508" s="11">
        <f>G508*B508</f>
      </c>
      <c r="J508" s="30">
        <f>PM_Angle!$J$7+PM_Angle!$K$7*$C508+PM_Angle!$L$7*$B508</f>
      </c>
      <c r="K508" s="12">
        <f>IF(J508&gt;0,IF(J508&lt;=eco,alpha*fck*(1-(1-J508/eco)^n),alpha*fck),0)</f>
      </c>
      <c r="L508" s="30">
        <f>PM_Angle!$J$8+PM_Angle!$K$8*$C508+PM_Angle!$L$8*$B508</f>
      </c>
      <c r="M508" s="12">
        <f>IF(L508&gt;0,IF(L508&lt;=eco,alpha*fck*(1-(1-L508/eco)^n),alpha*fck),0)</f>
      </c>
      <c r="N508" s="30">
        <f>PM_Angle!$J$9+PM_Angle!$K$9*$C508+PM_Angle!$L$9*$B508</f>
      </c>
      <c r="O508" s="12">
        <f>IF(N508&gt;0,IF(N508&lt;=eco,alpha*fck*(1-(1-N508/eco)^n),alpha*fck),0)</f>
      </c>
      <c r="P508" s="30">
        <f>PM_Angle!$J$10+PM_Angle!$K$10*$C508+PM_Angle!$L$10*$B508</f>
      </c>
      <c r="Q508" s="12">
        <f>IF(P508&gt;0,IF(P508&lt;=eco,alpha*fck*(1-(1-P508/eco)^n),alpha*fck),0)</f>
      </c>
      <c r="R508" s="30">
        <f>PM_Angle!$J$11+PM_Angle!$K$11*$C508+PM_Angle!$L$11*$B508</f>
      </c>
      <c r="S508" s="12">
        <f>IF(R508&gt;0,IF(R508&lt;=eco,alpha*fck*(1-(1-R508/eco)^n),alpha*fck),0)</f>
      </c>
      <c r="T508" s="30">
        <f>PM_Angle!$J$12+PM_Angle!$K$12*$C508+PM_Angle!$L$12*$B508</f>
      </c>
      <c r="U508" s="12">
        <f>IF(T508&gt;0,IF(T508&lt;=eco,alpha*fck*(1-(1-T508/eco)^n),alpha*fck),0)</f>
      </c>
      <c r="V508" s="30">
        <f>PM_Angle!$J$13+PM_Angle!$K$13*$C508+PM_Angle!$L$13*$B508</f>
      </c>
      <c r="W508" s="12">
        <f>IF(V508&gt;0,IF(V508&lt;=eco,alpha*fck*(1-(1-V508/eco)^n),alpha*fck),0)</f>
      </c>
      <c r="X508" s="30">
        <f>PM_Angle!$J$14+PM_Angle!$K$14*$C508+PM_Angle!$L$14*$B508</f>
      </c>
      <c r="Y508" s="12">
        <f>IF(X508&gt;0,IF(X508&lt;=eco,alpha*fck*(1-(1-X508/eco)^n),alpha*fck),0)</f>
      </c>
      <c r="Z508" s="30">
        <f>PM_Angle!$J$15+PM_Angle!$K$15*$C508+PM_Angle!$L$15*$B508</f>
      </c>
      <c r="AA508" s="12">
        <f>IF(Z508&gt;0,IF(Z508&lt;=eco,alpha*fck*(1-(1-Z508/eco)^n),alpha*fck),0)</f>
      </c>
      <c r="AB508" s="30">
        <f>PM_Angle!$J$16+PM_Angle!$K$16*$C508+PM_Angle!$L$16*$B508</f>
      </c>
      <c r="AC508" s="12">
        <f>IF(AB508&gt;0,IF(AB508&lt;=eco,alpha*fck*(1-(1-AB508/eco)^n),alpha*fck),0)</f>
      </c>
      <c r="AD508" s="30">
        <f>PM_Angle!$J$17+PM_Angle!$K$17*$C508+PM_Angle!$L$17*$B508</f>
      </c>
      <c r="AE508" s="12">
        <f>IF(AD508&gt;0,IF(AD508&lt;=eco,alpha*fck*(1-(1-AD508/eco)^n),alpha*fck),0)</f>
      </c>
      <c r="AF508" s="30">
        <f>PM_Angle!$J$18+PM_Angle!$K$18*$C508+PM_Angle!$L$18*$B508</f>
      </c>
      <c r="AG508" s="12">
        <f>IF(AF508&gt;0,IF(AF508&lt;=eco,alpha*fck*(1-(1-AF508/eco)^n),alpha*fck),0)</f>
      </c>
      <c r="AH508" s="30">
        <f>PM_Angle!$J$19+PM_Angle!$K$19*$C508+PM_Angle!$L$19*$B508</f>
      </c>
      <c r="AI508" s="12">
        <f>IF(AH508&gt;0,IF(AH508&lt;=eco,alpha*fck*(1-(1-AH508/eco)^n),alpha*fck),0)</f>
      </c>
      <c r="AJ508" s="30">
        <f>PM_Angle!$J$20+PM_Angle!$K$20*$C508+PM_Angle!$L$20*$B508</f>
      </c>
      <c r="AK508" s="12">
        <f>IF(AJ508&gt;0,IF(AJ508&lt;=eco,alpha*fck*(1-(1-AJ508/eco)^n),alpha*fck),0)</f>
      </c>
      <c r="AL508" s="30">
        <f>PM_Angle!$J$21+PM_Angle!$K$21*$C508+PM_Angle!$L$21*$B508</f>
      </c>
      <c r="AM508" s="12">
        <f>IF(AL508&gt;0,IF(AL508&lt;=eco,alpha*fck*(1-(1-AL508/eco)^n),alpha*fck),0)</f>
      </c>
      <c r="AN508" s="30">
        <f>PM_Angle!$J$22+PM_Angle!$K$22*$C508+PM_Angle!$L$22*$B508</f>
      </c>
      <c r="AO508" s="12">
        <f>IF(AN508&gt;0,IF(AN508&lt;=eco,alpha*fck*(1-(1-AN508/eco)^n),alpha*fck),0)</f>
      </c>
      <c r="AP508" s="30">
        <f>PM_Angle!$J$23+PM_Angle!$K$23*$C508+PM_Angle!$L$23*$B508</f>
      </c>
      <c r="AQ508" s="12">
        <f>IF(AP508&gt;0,IF(AP508&lt;=eco,alpha*fck*(1-(1-AP508/eco)^n),alpha*fck),0)</f>
      </c>
      <c r="AR508" s="30">
        <f>PM_Angle!$J$24+PM_Angle!$K$24*$C508+PM_Angle!$L$24*$B508</f>
      </c>
      <c r="AS508" s="12">
        <f>IF(AR508&gt;0,IF(AR508&lt;=eco,alpha*fck*(1-(1-AR508/eco)^n),alpha*fck),0)</f>
      </c>
      <c r="AT508" s="30">
        <f>PM_Angle!$J$25+PM_Angle!$K$25*$C508+PM_Angle!$L$25*$B508</f>
      </c>
      <c r="AU508" s="12">
        <f>IF(AT508&gt;0,IF(AT508&lt;=eco,alpha*fck*(1-(1-AT508/eco)^n),alpha*fck),0)</f>
      </c>
    </row>
    <row r="509" spans="1:47" x14ac:dyDescent="0.25">
      <c r="A509">
        <f>Mesh!A506</f>
      </c>
      <c r="B509" s="12">
        <f>Mesh!B506</f>
      </c>
      <c r="C509" s="12">
        <f>Mesh!C506</f>
      </c>
      <c r="D509" s="12">
        <f>Mesh!D506</f>
      </c>
      <c r="E509" s="30">
        <f>INDEX(St_e0,Det+1)+INDEX(St_kx,Det+1)*C509+INDEX(St_ky,Det+1)*B509</f>
      </c>
      <c r="F509" s="12">
        <f>IF(E509&gt;0,IF(E509&lt;=eco,alpha*fck*(1-(1-E509/eco)^n),alpha*fck),0)</f>
      </c>
      <c r="G509" s="11">
        <f>F509*D509</f>
      </c>
      <c r="H509" s="11">
        <f>G509*C509</f>
      </c>
      <c r="I509" s="11">
        <f>G509*B509</f>
      </c>
      <c r="J509" s="30">
        <f>PM_Angle!$J$7+PM_Angle!$K$7*$C509+PM_Angle!$L$7*$B509</f>
      </c>
      <c r="K509" s="12">
        <f>IF(J509&gt;0,IF(J509&lt;=eco,alpha*fck*(1-(1-J509/eco)^n),alpha*fck),0)</f>
      </c>
      <c r="L509" s="30">
        <f>PM_Angle!$J$8+PM_Angle!$K$8*$C509+PM_Angle!$L$8*$B509</f>
      </c>
      <c r="M509" s="12">
        <f>IF(L509&gt;0,IF(L509&lt;=eco,alpha*fck*(1-(1-L509/eco)^n),alpha*fck),0)</f>
      </c>
      <c r="N509" s="30">
        <f>PM_Angle!$J$9+PM_Angle!$K$9*$C509+PM_Angle!$L$9*$B509</f>
      </c>
      <c r="O509" s="12">
        <f>IF(N509&gt;0,IF(N509&lt;=eco,alpha*fck*(1-(1-N509/eco)^n),alpha*fck),0)</f>
      </c>
      <c r="P509" s="30">
        <f>PM_Angle!$J$10+PM_Angle!$K$10*$C509+PM_Angle!$L$10*$B509</f>
      </c>
      <c r="Q509" s="12">
        <f>IF(P509&gt;0,IF(P509&lt;=eco,alpha*fck*(1-(1-P509/eco)^n),alpha*fck),0)</f>
      </c>
      <c r="R509" s="30">
        <f>PM_Angle!$J$11+PM_Angle!$K$11*$C509+PM_Angle!$L$11*$B509</f>
      </c>
      <c r="S509" s="12">
        <f>IF(R509&gt;0,IF(R509&lt;=eco,alpha*fck*(1-(1-R509/eco)^n),alpha*fck),0)</f>
      </c>
      <c r="T509" s="30">
        <f>PM_Angle!$J$12+PM_Angle!$K$12*$C509+PM_Angle!$L$12*$B509</f>
      </c>
      <c r="U509" s="12">
        <f>IF(T509&gt;0,IF(T509&lt;=eco,alpha*fck*(1-(1-T509/eco)^n),alpha*fck),0)</f>
      </c>
      <c r="V509" s="30">
        <f>PM_Angle!$J$13+PM_Angle!$K$13*$C509+PM_Angle!$L$13*$B509</f>
      </c>
      <c r="W509" s="12">
        <f>IF(V509&gt;0,IF(V509&lt;=eco,alpha*fck*(1-(1-V509/eco)^n),alpha*fck),0)</f>
      </c>
      <c r="X509" s="30">
        <f>PM_Angle!$J$14+PM_Angle!$K$14*$C509+PM_Angle!$L$14*$B509</f>
      </c>
      <c r="Y509" s="12">
        <f>IF(X509&gt;0,IF(X509&lt;=eco,alpha*fck*(1-(1-X509/eco)^n),alpha*fck),0)</f>
      </c>
      <c r="Z509" s="30">
        <f>PM_Angle!$J$15+PM_Angle!$K$15*$C509+PM_Angle!$L$15*$B509</f>
      </c>
      <c r="AA509" s="12">
        <f>IF(Z509&gt;0,IF(Z509&lt;=eco,alpha*fck*(1-(1-Z509/eco)^n),alpha*fck),0)</f>
      </c>
      <c r="AB509" s="30">
        <f>PM_Angle!$J$16+PM_Angle!$K$16*$C509+PM_Angle!$L$16*$B509</f>
      </c>
      <c r="AC509" s="12">
        <f>IF(AB509&gt;0,IF(AB509&lt;=eco,alpha*fck*(1-(1-AB509/eco)^n),alpha*fck),0)</f>
      </c>
      <c r="AD509" s="30">
        <f>PM_Angle!$J$17+PM_Angle!$K$17*$C509+PM_Angle!$L$17*$B509</f>
      </c>
      <c r="AE509" s="12">
        <f>IF(AD509&gt;0,IF(AD509&lt;=eco,alpha*fck*(1-(1-AD509/eco)^n),alpha*fck),0)</f>
      </c>
      <c r="AF509" s="30">
        <f>PM_Angle!$J$18+PM_Angle!$K$18*$C509+PM_Angle!$L$18*$B509</f>
      </c>
      <c r="AG509" s="12">
        <f>IF(AF509&gt;0,IF(AF509&lt;=eco,alpha*fck*(1-(1-AF509/eco)^n),alpha*fck),0)</f>
      </c>
      <c r="AH509" s="30">
        <f>PM_Angle!$J$19+PM_Angle!$K$19*$C509+PM_Angle!$L$19*$B509</f>
      </c>
      <c r="AI509" s="12">
        <f>IF(AH509&gt;0,IF(AH509&lt;=eco,alpha*fck*(1-(1-AH509/eco)^n),alpha*fck),0)</f>
      </c>
      <c r="AJ509" s="30">
        <f>PM_Angle!$J$20+PM_Angle!$K$20*$C509+PM_Angle!$L$20*$B509</f>
      </c>
      <c r="AK509" s="12">
        <f>IF(AJ509&gt;0,IF(AJ509&lt;=eco,alpha*fck*(1-(1-AJ509/eco)^n),alpha*fck),0)</f>
      </c>
      <c r="AL509" s="30">
        <f>PM_Angle!$J$21+PM_Angle!$K$21*$C509+PM_Angle!$L$21*$B509</f>
      </c>
      <c r="AM509" s="12">
        <f>IF(AL509&gt;0,IF(AL509&lt;=eco,alpha*fck*(1-(1-AL509/eco)^n),alpha*fck),0)</f>
      </c>
      <c r="AN509" s="30">
        <f>PM_Angle!$J$22+PM_Angle!$K$22*$C509+PM_Angle!$L$22*$B509</f>
      </c>
      <c r="AO509" s="12">
        <f>IF(AN509&gt;0,IF(AN509&lt;=eco,alpha*fck*(1-(1-AN509/eco)^n),alpha*fck),0)</f>
      </c>
      <c r="AP509" s="30">
        <f>PM_Angle!$J$23+PM_Angle!$K$23*$C509+PM_Angle!$L$23*$B509</f>
      </c>
      <c r="AQ509" s="12">
        <f>IF(AP509&gt;0,IF(AP509&lt;=eco,alpha*fck*(1-(1-AP509/eco)^n),alpha*fck),0)</f>
      </c>
      <c r="AR509" s="30">
        <f>PM_Angle!$J$24+PM_Angle!$K$24*$C509+PM_Angle!$L$24*$B509</f>
      </c>
      <c r="AS509" s="12">
        <f>IF(AR509&gt;0,IF(AR509&lt;=eco,alpha*fck*(1-(1-AR509/eco)^n),alpha*fck),0)</f>
      </c>
      <c r="AT509" s="30">
        <f>PM_Angle!$J$25+PM_Angle!$K$25*$C509+PM_Angle!$L$25*$B509</f>
      </c>
      <c r="AU509" s="12">
        <f>IF(AT509&gt;0,IF(AT509&lt;=eco,alpha*fck*(1-(1-AT509/eco)^n),alpha*fck),0)</f>
      </c>
    </row>
    <row r="510" spans="1:47" x14ac:dyDescent="0.25">
      <c r="A510">
        <f>Mesh!A507</f>
      </c>
      <c r="B510" s="12">
        <f>Mesh!B507</f>
      </c>
      <c r="C510" s="12">
        <f>Mesh!C507</f>
      </c>
      <c r="D510" s="12">
        <f>Mesh!D507</f>
      </c>
      <c r="E510" s="30">
        <f>INDEX(St_e0,Det+1)+INDEX(St_kx,Det+1)*C510+INDEX(St_ky,Det+1)*B510</f>
      </c>
      <c r="F510" s="12">
        <f>IF(E510&gt;0,IF(E510&lt;=eco,alpha*fck*(1-(1-E510/eco)^n),alpha*fck),0)</f>
      </c>
      <c r="G510" s="11">
        <f>F510*D510</f>
      </c>
      <c r="H510" s="11">
        <f>G510*C510</f>
      </c>
      <c r="I510" s="11">
        <f>G510*B510</f>
      </c>
      <c r="J510" s="30">
        <f>PM_Angle!$J$7+PM_Angle!$K$7*$C510+PM_Angle!$L$7*$B510</f>
      </c>
      <c r="K510" s="12">
        <f>IF(J510&gt;0,IF(J510&lt;=eco,alpha*fck*(1-(1-J510/eco)^n),alpha*fck),0)</f>
      </c>
      <c r="L510" s="30">
        <f>PM_Angle!$J$8+PM_Angle!$K$8*$C510+PM_Angle!$L$8*$B510</f>
      </c>
      <c r="M510" s="12">
        <f>IF(L510&gt;0,IF(L510&lt;=eco,alpha*fck*(1-(1-L510/eco)^n),alpha*fck),0)</f>
      </c>
      <c r="N510" s="30">
        <f>PM_Angle!$J$9+PM_Angle!$K$9*$C510+PM_Angle!$L$9*$B510</f>
      </c>
      <c r="O510" s="12">
        <f>IF(N510&gt;0,IF(N510&lt;=eco,alpha*fck*(1-(1-N510/eco)^n),alpha*fck),0)</f>
      </c>
      <c r="P510" s="30">
        <f>PM_Angle!$J$10+PM_Angle!$K$10*$C510+PM_Angle!$L$10*$B510</f>
      </c>
      <c r="Q510" s="12">
        <f>IF(P510&gt;0,IF(P510&lt;=eco,alpha*fck*(1-(1-P510/eco)^n),alpha*fck),0)</f>
      </c>
      <c r="R510" s="30">
        <f>PM_Angle!$J$11+PM_Angle!$K$11*$C510+PM_Angle!$L$11*$B510</f>
      </c>
      <c r="S510" s="12">
        <f>IF(R510&gt;0,IF(R510&lt;=eco,alpha*fck*(1-(1-R510/eco)^n),alpha*fck),0)</f>
      </c>
      <c r="T510" s="30">
        <f>PM_Angle!$J$12+PM_Angle!$K$12*$C510+PM_Angle!$L$12*$B510</f>
      </c>
      <c r="U510" s="12">
        <f>IF(T510&gt;0,IF(T510&lt;=eco,alpha*fck*(1-(1-T510/eco)^n),alpha*fck),0)</f>
      </c>
      <c r="V510" s="30">
        <f>PM_Angle!$J$13+PM_Angle!$K$13*$C510+PM_Angle!$L$13*$B510</f>
      </c>
      <c r="W510" s="12">
        <f>IF(V510&gt;0,IF(V510&lt;=eco,alpha*fck*(1-(1-V510/eco)^n),alpha*fck),0)</f>
      </c>
      <c r="X510" s="30">
        <f>PM_Angle!$J$14+PM_Angle!$K$14*$C510+PM_Angle!$L$14*$B510</f>
      </c>
      <c r="Y510" s="12">
        <f>IF(X510&gt;0,IF(X510&lt;=eco,alpha*fck*(1-(1-X510/eco)^n),alpha*fck),0)</f>
      </c>
      <c r="Z510" s="30">
        <f>PM_Angle!$J$15+PM_Angle!$K$15*$C510+PM_Angle!$L$15*$B510</f>
      </c>
      <c r="AA510" s="12">
        <f>IF(Z510&gt;0,IF(Z510&lt;=eco,alpha*fck*(1-(1-Z510/eco)^n),alpha*fck),0)</f>
      </c>
      <c r="AB510" s="30">
        <f>PM_Angle!$J$16+PM_Angle!$K$16*$C510+PM_Angle!$L$16*$B510</f>
      </c>
      <c r="AC510" s="12">
        <f>IF(AB510&gt;0,IF(AB510&lt;=eco,alpha*fck*(1-(1-AB510/eco)^n),alpha*fck),0)</f>
      </c>
      <c r="AD510" s="30">
        <f>PM_Angle!$J$17+PM_Angle!$K$17*$C510+PM_Angle!$L$17*$B510</f>
      </c>
      <c r="AE510" s="12">
        <f>IF(AD510&gt;0,IF(AD510&lt;=eco,alpha*fck*(1-(1-AD510/eco)^n),alpha*fck),0)</f>
      </c>
      <c r="AF510" s="30">
        <f>PM_Angle!$J$18+PM_Angle!$K$18*$C510+PM_Angle!$L$18*$B510</f>
      </c>
      <c r="AG510" s="12">
        <f>IF(AF510&gt;0,IF(AF510&lt;=eco,alpha*fck*(1-(1-AF510/eco)^n),alpha*fck),0)</f>
      </c>
      <c r="AH510" s="30">
        <f>PM_Angle!$J$19+PM_Angle!$K$19*$C510+PM_Angle!$L$19*$B510</f>
      </c>
      <c r="AI510" s="12">
        <f>IF(AH510&gt;0,IF(AH510&lt;=eco,alpha*fck*(1-(1-AH510/eco)^n),alpha*fck),0)</f>
      </c>
      <c r="AJ510" s="30">
        <f>PM_Angle!$J$20+PM_Angle!$K$20*$C510+PM_Angle!$L$20*$B510</f>
      </c>
      <c r="AK510" s="12">
        <f>IF(AJ510&gt;0,IF(AJ510&lt;=eco,alpha*fck*(1-(1-AJ510/eco)^n),alpha*fck),0)</f>
      </c>
      <c r="AL510" s="30">
        <f>PM_Angle!$J$21+PM_Angle!$K$21*$C510+PM_Angle!$L$21*$B510</f>
      </c>
      <c r="AM510" s="12">
        <f>IF(AL510&gt;0,IF(AL510&lt;=eco,alpha*fck*(1-(1-AL510/eco)^n),alpha*fck),0)</f>
      </c>
      <c r="AN510" s="30">
        <f>PM_Angle!$J$22+PM_Angle!$K$22*$C510+PM_Angle!$L$22*$B510</f>
      </c>
      <c r="AO510" s="12">
        <f>IF(AN510&gt;0,IF(AN510&lt;=eco,alpha*fck*(1-(1-AN510/eco)^n),alpha*fck),0)</f>
      </c>
      <c r="AP510" s="30">
        <f>PM_Angle!$J$23+PM_Angle!$K$23*$C510+PM_Angle!$L$23*$B510</f>
      </c>
      <c r="AQ510" s="12">
        <f>IF(AP510&gt;0,IF(AP510&lt;=eco,alpha*fck*(1-(1-AP510/eco)^n),alpha*fck),0)</f>
      </c>
      <c r="AR510" s="30">
        <f>PM_Angle!$J$24+PM_Angle!$K$24*$C510+PM_Angle!$L$24*$B510</f>
      </c>
      <c r="AS510" s="12">
        <f>IF(AR510&gt;0,IF(AR510&lt;=eco,alpha*fck*(1-(1-AR510/eco)^n),alpha*fck),0)</f>
      </c>
      <c r="AT510" s="30">
        <f>PM_Angle!$J$25+PM_Angle!$K$25*$C510+PM_Angle!$L$25*$B510</f>
      </c>
      <c r="AU510" s="12">
        <f>IF(AT510&gt;0,IF(AT510&lt;=eco,alpha*fck*(1-(1-AT510/eco)^n),alpha*fck),0)</f>
      </c>
    </row>
    <row r="511" spans="1:47" x14ac:dyDescent="0.25">
      <c r="A511">
        <f>Mesh!A508</f>
      </c>
      <c r="B511" s="12">
        <f>Mesh!B508</f>
      </c>
      <c r="C511" s="12">
        <f>Mesh!C508</f>
      </c>
      <c r="D511" s="12">
        <f>Mesh!D508</f>
      </c>
      <c r="E511" s="30">
        <f>INDEX(St_e0,Det+1)+INDEX(St_kx,Det+1)*C511+INDEX(St_ky,Det+1)*B511</f>
      </c>
      <c r="F511" s="12">
        <f>IF(E511&gt;0,IF(E511&lt;=eco,alpha*fck*(1-(1-E511/eco)^n),alpha*fck),0)</f>
      </c>
      <c r="G511" s="11">
        <f>F511*D511</f>
      </c>
      <c r="H511" s="11">
        <f>G511*C511</f>
      </c>
      <c r="I511" s="11">
        <f>G511*B511</f>
      </c>
      <c r="J511" s="30">
        <f>PM_Angle!$J$7+PM_Angle!$K$7*$C511+PM_Angle!$L$7*$B511</f>
      </c>
      <c r="K511" s="12">
        <f>IF(J511&gt;0,IF(J511&lt;=eco,alpha*fck*(1-(1-J511/eco)^n),alpha*fck),0)</f>
      </c>
      <c r="L511" s="30">
        <f>PM_Angle!$J$8+PM_Angle!$K$8*$C511+PM_Angle!$L$8*$B511</f>
      </c>
      <c r="M511" s="12">
        <f>IF(L511&gt;0,IF(L511&lt;=eco,alpha*fck*(1-(1-L511/eco)^n),alpha*fck),0)</f>
      </c>
      <c r="N511" s="30">
        <f>PM_Angle!$J$9+PM_Angle!$K$9*$C511+PM_Angle!$L$9*$B511</f>
      </c>
      <c r="O511" s="12">
        <f>IF(N511&gt;0,IF(N511&lt;=eco,alpha*fck*(1-(1-N511/eco)^n),alpha*fck),0)</f>
      </c>
      <c r="P511" s="30">
        <f>PM_Angle!$J$10+PM_Angle!$K$10*$C511+PM_Angle!$L$10*$B511</f>
      </c>
      <c r="Q511" s="12">
        <f>IF(P511&gt;0,IF(P511&lt;=eco,alpha*fck*(1-(1-P511/eco)^n),alpha*fck),0)</f>
      </c>
      <c r="R511" s="30">
        <f>PM_Angle!$J$11+PM_Angle!$K$11*$C511+PM_Angle!$L$11*$B511</f>
      </c>
      <c r="S511" s="12">
        <f>IF(R511&gt;0,IF(R511&lt;=eco,alpha*fck*(1-(1-R511/eco)^n),alpha*fck),0)</f>
      </c>
      <c r="T511" s="30">
        <f>PM_Angle!$J$12+PM_Angle!$K$12*$C511+PM_Angle!$L$12*$B511</f>
      </c>
      <c r="U511" s="12">
        <f>IF(T511&gt;0,IF(T511&lt;=eco,alpha*fck*(1-(1-T511/eco)^n),alpha*fck),0)</f>
      </c>
      <c r="V511" s="30">
        <f>PM_Angle!$J$13+PM_Angle!$K$13*$C511+PM_Angle!$L$13*$B511</f>
      </c>
      <c r="W511" s="12">
        <f>IF(V511&gt;0,IF(V511&lt;=eco,alpha*fck*(1-(1-V511/eco)^n),alpha*fck),0)</f>
      </c>
      <c r="X511" s="30">
        <f>PM_Angle!$J$14+PM_Angle!$K$14*$C511+PM_Angle!$L$14*$B511</f>
      </c>
      <c r="Y511" s="12">
        <f>IF(X511&gt;0,IF(X511&lt;=eco,alpha*fck*(1-(1-X511/eco)^n),alpha*fck),0)</f>
      </c>
      <c r="Z511" s="30">
        <f>PM_Angle!$J$15+PM_Angle!$K$15*$C511+PM_Angle!$L$15*$B511</f>
      </c>
      <c r="AA511" s="12">
        <f>IF(Z511&gt;0,IF(Z511&lt;=eco,alpha*fck*(1-(1-Z511/eco)^n),alpha*fck),0)</f>
      </c>
      <c r="AB511" s="30">
        <f>PM_Angle!$J$16+PM_Angle!$K$16*$C511+PM_Angle!$L$16*$B511</f>
      </c>
      <c r="AC511" s="12">
        <f>IF(AB511&gt;0,IF(AB511&lt;=eco,alpha*fck*(1-(1-AB511/eco)^n),alpha*fck),0)</f>
      </c>
      <c r="AD511" s="30">
        <f>PM_Angle!$J$17+PM_Angle!$K$17*$C511+PM_Angle!$L$17*$B511</f>
      </c>
      <c r="AE511" s="12">
        <f>IF(AD511&gt;0,IF(AD511&lt;=eco,alpha*fck*(1-(1-AD511/eco)^n),alpha*fck),0)</f>
      </c>
      <c r="AF511" s="30">
        <f>PM_Angle!$J$18+PM_Angle!$K$18*$C511+PM_Angle!$L$18*$B511</f>
      </c>
      <c r="AG511" s="12">
        <f>IF(AF511&gt;0,IF(AF511&lt;=eco,alpha*fck*(1-(1-AF511/eco)^n),alpha*fck),0)</f>
      </c>
      <c r="AH511" s="30">
        <f>PM_Angle!$J$19+PM_Angle!$K$19*$C511+PM_Angle!$L$19*$B511</f>
      </c>
      <c r="AI511" s="12">
        <f>IF(AH511&gt;0,IF(AH511&lt;=eco,alpha*fck*(1-(1-AH511/eco)^n),alpha*fck),0)</f>
      </c>
      <c r="AJ511" s="30">
        <f>PM_Angle!$J$20+PM_Angle!$K$20*$C511+PM_Angle!$L$20*$B511</f>
      </c>
      <c r="AK511" s="12">
        <f>IF(AJ511&gt;0,IF(AJ511&lt;=eco,alpha*fck*(1-(1-AJ511/eco)^n),alpha*fck),0)</f>
      </c>
      <c r="AL511" s="30">
        <f>PM_Angle!$J$21+PM_Angle!$K$21*$C511+PM_Angle!$L$21*$B511</f>
      </c>
      <c r="AM511" s="12">
        <f>IF(AL511&gt;0,IF(AL511&lt;=eco,alpha*fck*(1-(1-AL511/eco)^n),alpha*fck),0)</f>
      </c>
      <c r="AN511" s="30">
        <f>PM_Angle!$J$22+PM_Angle!$K$22*$C511+PM_Angle!$L$22*$B511</f>
      </c>
      <c r="AO511" s="12">
        <f>IF(AN511&gt;0,IF(AN511&lt;=eco,alpha*fck*(1-(1-AN511/eco)^n),alpha*fck),0)</f>
      </c>
      <c r="AP511" s="30">
        <f>PM_Angle!$J$23+PM_Angle!$K$23*$C511+PM_Angle!$L$23*$B511</f>
      </c>
      <c r="AQ511" s="12">
        <f>IF(AP511&gt;0,IF(AP511&lt;=eco,alpha*fck*(1-(1-AP511/eco)^n),alpha*fck),0)</f>
      </c>
      <c r="AR511" s="30">
        <f>PM_Angle!$J$24+PM_Angle!$K$24*$C511+PM_Angle!$L$24*$B511</f>
      </c>
      <c r="AS511" s="12">
        <f>IF(AR511&gt;0,IF(AR511&lt;=eco,alpha*fck*(1-(1-AR511/eco)^n),alpha*fck),0)</f>
      </c>
      <c r="AT511" s="30">
        <f>PM_Angle!$J$25+PM_Angle!$K$25*$C511+PM_Angle!$L$25*$B511</f>
      </c>
      <c r="AU511" s="12">
        <f>IF(AT511&gt;0,IF(AT511&lt;=eco,alpha*fck*(1-(1-AT511/eco)^n),alpha*fck),0)</f>
      </c>
    </row>
    <row r="512" spans="1:47" x14ac:dyDescent="0.25">
      <c r="A512">
        <f>Mesh!A509</f>
      </c>
      <c r="B512" s="12">
        <f>Mesh!B509</f>
      </c>
      <c r="C512" s="12">
        <f>Mesh!C509</f>
      </c>
      <c r="D512" s="12">
        <f>Mesh!D509</f>
      </c>
      <c r="E512" s="30">
        <f>INDEX(St_e0,Det+1)+INDEX(St_kx,Det+1)*C512+INDEX(St_ky,Det+1)*B512</f>
      </c>
      <c r="F512" s="12">
        <f>IF(E512&gt;0,IF(E512&lt;=eco,alpha*fck*(1-(1-E512/eco)^n),alpha*fck),0)</f>
      </c>
      <c r="G512" s="11">
        <f>F512*D512</f>
      </c>
      <c r="H512" s="11">
        <f>G512*C512</f>
      </c>
      <c r="I512" s="11">
        <f>G512*B512</f>
      </c>
      <c r="J512" s="30">
        <f>PM_Angle!$J$7+PM_Angle!$K$7*$C512+PM_Angle!$L$7*$B512</f>
      </c>
      <c r="K512" s="12">
        <f>IF(J512&gt;0,IF(J512&lt;=eco,alpha*fck*(1-(1-J512/eco)^n),alpha*fck),0)</f>
      </c>
      <c r="L512" s="30">
        <f>PM_Angle!$J$8+PM_Angle!$K$8*$C512+PM_Angle!$L$8*$B512</f>
      </c>
      <c r="M512" s="12">
        <f>IF(L512&gt;0,IF(L512&lt;=eco,alpha*fck*(1-(1-L512/eco)^n),alpha*fck),0)</f>
      </c>
      <c r="N512" s="30">
        <f>PM_Angle!$J$9+PM_Angle!$K$9*$C512+PM_Angle!$L$9*$B512</f>
      </c>
      <c r="O512" s="12">
        <f>IF(N512&gt;0,IF(N512&lt;=eco,alpha*fck*(1-(1-N512/eco)^n),alpha*fck),0)</f>
      </c>
      <c r="P512" s="30">
        <f>PM_Angle!$J$10+PM_Angle!$K$10*$C512+PM_Angle!$L$10*$B512</f>
      </c>
      <c r="Q512" s="12">
        <f>IF(P512&gt;0,IF(P512&lt;=eco,alpha*fck*(1-(1-P512/eco)^n),alpha*fck),0)</f>
      </c>
      <c r="R512" s="30">
        <f>PM_Angle!$J$11+PM_Angle!$K$11*$C512+PM_Angle!$L$11*$B512</f>
      </c>
      <c r="S512" s="12">
        <f>IF(R512&gt;0,IF(R512&lt;=eco,alpha*fck*(1-(1-R512/eco)^n),alpha*fck),0)</f>
      </c>
      <c r="T512" s="30">
        <f>PM_Angle!$J$12+PM_Angle!$K$12*$C512+PM_Angle!$L$12*$B512</f>
      </c>
      <c r="U512" s="12">
        <f>IF(T512&gt;0,IF(T512&lt;=eco,alpha*fck*(1-(1-T512/eco)^n),alpha*fck),0)</f>
      </c>
      <c r="V512" s="30">
        <f>PM_Angle!$J$13+PM_Angle!$K$13*$C512+PM_Angle!$L$13*$B512</f>
      </c>
      <c r="W512" s="12">
        <f>IF(V512&gt;0,IF(V512&lt;=eco,alpha*fck*(1-(1-V512/eco)^n),alpha*fck),0)</f>
      </c>
      <c r="X512" s="30">
        <f>PM_Angle!$J$14+PM_Angle!$K$14*$C512+PM_Angle!$L$14*$B512</f>
      </c>
      <c r="Y512" s="12">
        <f>IF(X512&gt;0,IF(X512&lt;=eco,alpha*fck*(1-(1-X512/eco)^n),alpha*fck),0)</f>
      </c>
      <c r="Z512" s="30">
        <f>PM_Angle!$J$15+PM_Angle!$K$15*$C512+PM_Angle!$L$15*$B512</f>
      </c>
      <c r="AA512" s="12">
        <f>IF(Z512&gt;0,IF(Z512&lt;=eco,alpha*fck*(1-(1-Z512/eco)^n),alpha*fck),0)</f>
      </c>
      <c r="AB512" s="30">
        <f>PM_Angle!$J$16+PM_Angle!$K$16*$C512+PM_Angle!$L$16*$B512</f>
      </c>
      <c r="AC512" s="12">
        <f>IF(AB512&gt;0,IF(AB512&lt;=eco,alpha*fck*(1-(1-AB512/eco)^n),alpha*fck),0)</f>
      </c>
      <c r="AD512" s="30">
        <f>PM_Angle!$J$17+PM_Angle!$K$17*$C512+PM_Angle!$L$17*$B512</f>
      </c>
      <c r="AE512" s="12">
        <f>IF(AD512&gt;0,IF(AD512&lt;=eco,alpha*fck*(1-(1-AD512/eco)^n),alpha*fck),0)</f>
      </c>
      <c r="AF512" s="30">
        <f>PM_Angle!$J$18+PM_Angle!$K$18*$C512+PM_Angle!$L$18*$B512</f>
      </c>
      <c r="AG512" s="12">
        <f>IF(AF512&gt;0,IF(AF512&lt;=eco,alpha*fck*(1-(1-AF512/eco)^n),alpha*fck),0)</f>
      </c>
      <c r="AH512" s="30">
        <f>PM_Angle!$J$19+PM_Angle!$K$19*$C512+PM_Angle!$L$19*$B512</f>
      </c>
      <c r="AI512" s="12">
        <f>IF(AH512&gt;0,IF(AH512&lt;=eco,alpha*fck*(1-(1-AH512/eco)^n),alpha*fck),0)</f>
      </c>
      <c r="AJ512" s="30">
        <f>PM_Angle!$J$20+PM_Angle!$K$20*$C512+PM_Angle!$L$20*$B512</f>
      </c>
      <c r="AK512" s="12">
        <f>IF(AJ512&gt;0,IF(AJ512&lt;=eco,alpha*fck*(1-(1-AJ512/eco)^n),alpha*fck),0)</f>
      </c>
      <c r="AL512" s="30">
        <f>PM_Angle!$J$21+PM_Angle!$K$21*$C512+PM_Angle!$L$21*$B512</f>
      </c>
      <c r="AM512" s="12">
        <f>IF(AL512&gt;0,IF(AL512&lt;=eco,alpha*fck*(1-(1-AL512/eco)^n),alpha*fck),0)</f>
      </c>
      <c r="AN512" s="30">
        <f>PM_Angle!$J$22+PM_Angle!$K$22*$C512+PM_Angle!$L$22*$B512</f>
      </c>
      <c r="AO512" s="12">
        <f>IF(AN512&gt;0,IF(AN512&lt;=eco,alpha*fck*(1-(1-AN512/eco)^n),alpha*fck),0)</f>
      </c>
      <c r="AP512" s="30">
        <f>PM_Angle!$J$23+PM_Angle!$K$23*$C512+PM_Angle!$L$23*$B512</f>
      </c>
      <c r="AQ512" s="12">
        <f>IF(AP512&gt;0,IF(AP512&lt;=eco,alpha*fck*(1-(1-AP512/eco)^n),alpha*fck),0)</f>
      </c>
      <c r="AR512" s="30">
        <f>PM_Angle!$J$24+PM_Angle!$K$24*$C512+PM_Angle!$L$24*$B512</f>
      </c>
      <c r="AS512" s="12">
        <f>IF(AR512&gt;0,IF(AR512&lt;=eco,alpha*fck*(1-(1-AR512/eco)^n),alpha*fck),0)</f>
      </c>
      <c r="AT512" s="30">
        <f>PM_Angle!$J$25+PM_Angle!$K$25*$C512+PM_Angle!$L$25*$B512</f>
      </c>
      <c r="AU512" s="12">
        <f>IF(AT512&gt;0,IF(AT512&lt;=eco,alpha*fck*(1-(1-AT512/eco)^n),alpha*fck),0)</f>
      </c>
    </row>
    <row r="513" spans="1:47" x14ac:dyDescent="0.25">
      <c r="A513">
        <f>Mesh!A510</f>
      </c>
      <c r="B513" s="12">
        <f>Mesh!B510</f>
      </c>
      <c r="C513" s="12">
        <f>Mesh!C510</f>
      </c>
      <c r="D513" s="12">
        <f>Mesh!D510</f>
      </c>
      <c r="E513" s="30">
        <f>INDEX(St_e0,Det+1)+INDEX(St_kx,Det+1)*C513+INDEX(St_ky,Det+1)*B513</f>
      </c>
      <c r="F513" s="12">
        <f>IF(E513&gt;0,IF(E513&lt;=eco,alpha*fck*(1-(1-E513/eco)^n),alpha*fck),0)</f>
      </c>
      <c r="G513" s="11">
        <f>F513*D513</f>
      </c>
      <c r="H513" s="11">
        <f>G513*C513</f>
      </c>
      <c r="I513" s="11">
        <f>G513*B513</f>
      </c>
      <c r="J513" s="30">
        <f>PM_Angle!$J$7+PM_Angle!$K$7*$C513+PM_Angle!$L$7*$B513</f>
      </c>
      <c r="K513" s="12">
        <f>IF(J513&gt;0,IF(J513&lt;=eco,alpha*fck*(1-(1-J513/eco)^n),alpha*fck),0)</f>
      </c>
      <c r="L513" s="30">
        <f>PM_Angle!$J$8+PM_Angle!$K$8*$C513+PM_Angle!$L$8*$B513</f>
      </c>
      <c r="M513" s="12">
        <f>IF(L513&gt;0,IF(L513&lt;=eco,alpha*fck*(1-(1-L513/eco)^n),alpha*fck),0)</f>
      </c>
      <c r="N513" s="30">
        <f>PM_Angle!$J$9+PM_Angle!$K$9*$C513+PM_Angle!$L$9*$B513</f>
      </c>
      <c r="O513" s="12">
        <f>IF(N513&gt;0,IF(N513&lt;=eco,alpha*fck*(1-(1-N513/eco)^n),alpha*fck),0)</f>
      </c>
      <c r="P513" s="30">
        <f>PM_Angle!$J$10+PM_Angle!$K$10*$C513+PM_Angle!$L$10*$B513</f>
      </c>
      <c r="Q513" s="12">
        <f>IF(P513&gt;0,IF(P513&lt;=eco,alpha*fck*(1-(1-P513/eco)^n),alpha*fck),0)</f>
      </c>
      <c r="R513" s="30">
        <f>PM_Angle!$J$11+PM_Angle!$K$11*$C513+PM_Angle!$L$11*$B513</f>
      </c>
      <c r="S513" s="12">
        <f>IF(R513&gt;0,IF(R513&lt;=eco,alpha*fck*(1-(1-R513/eco)^n),alpha*fck),0)</f>
      </c>
      <c r="T513" s="30">
        <f>PM_Angle!$J$12+PM_Angle!$K$12*$C513+PM_Angle!$L$12*$B513</f>
      </c>
      <c r="U513" s="12">
        <f>IF(T513&gt;0,IF(T513&lt;=eco,alpha*fck*(1-(1-T513/eco)^n),alpha*fck),0)</f>
      </c>
      <c r="V513" s="30">
        <f>PM_Angle!$J$13+PM_Angle!$K$13*$C513+PM_Angle!$L$13*$B513</f>
      </c>
      <c r="W513" s="12">
        <f>IF(V513&gt;0,IF(V513&lt;=eco,alpha*fck*(1-(1-V513/eco)^n),alpha*fck),0)</f>
      </c>
      <c r="X513" s="30">
        <f>PM_Angle!$J$14+PM_Angle!$K$14*$C513+PM_Angle!$L$14*$B513</f>
      </c>
      <c r="Y513" s="12">
        <f>IF(X513&gt;0,IF(X513&lt;=eco,alpha*fck*(1-(1-X513/eco)^n),alpha*fck),0)</f>
      </c>
      <c r="Z513" s="30">
        <f>PM_Angle!$J$15+PM_Angle!$K$15*$C513+PM_Angle!$L$15*$B513</f>
      </c>
      <c r="AA513" s="12">
        <f>IF(Z513&gt;0,IF(Z513&lt;=eco,alpha*fck*(1-(1-Z513/eco)^n),alpha*fck),0)</f>
      </c>
      <c r="AB513" s="30">
        <f>PM_Angle!$J$16+PM_Angle!$K$16*$C513+PM_Angle!$L$16*$B513</f>
      </c>
      <c r="AC513" s="12">
        <f>IF(AB513&gt;0,IF(AB513&lt;=eco,alpha*fck*(1-(1-AB513/eco)^n),alpha*fck),0)</f>
      </c>
      <c r="AD513" s="30">
        <f>PM_Angle!$J$17+PM_Angle!$K$17*$C513+PM_Angle!$L$17*$B513</f>
      </c>
      <c r="AE513" s="12">
        <f>IF(AD513&gt;0,IF(AD513&lt;=eco,alpha*fck*(1-(1-AD513/eco)^n),alpha*fck),0)</f>
      </c>
      <c r="AF513" s="30">
        <f>PM_Angle!$J$18+PM_Angle!$K$18*$C513+PM_Angle!$L$18*$B513</f>
      </c>
      <c r="AG513" s="12">
        <f>IF(AF513&gt;0,IF(AF513&lt;=eco,alpha*fck*(1-(1-AF513/eco)^n),alpha*fck),0)</f>
      </c>
      <c r="AH513" s="30">
        <f>PM_Angle!$J$19+PM_Angle!$K$19*$C513+PM_Angle!$L$19*$B513</f>
      </c>
      <c r="AI513" s="12">
        <f>IF(AH513&gt;0,IF(AH513&lt;=eco,alpha*fck*(1-(1-AH513/eco)^n),alpha*fck),0)</f>
      </c>
      <c r="AJ513" s="30">
        <f>PM_Angle!$J$20+PM_Angle!$K$20*$C513+PM_Angle!$L$20*$B513</f>
      </c>
      <c r="AK513" s="12">
        <f>IF(AJ513&gt;0,IF(AJ513&lt;=eco,alpha*fck*(1-(1-AJ513/eco)^n),alpha*fck),0)</f>
      </c>
      <c r="AL513" s="30">
        <f>PM_Angle!$J$21+PM_Angle!$K$21*$C513+PM_Angle!$L$21*$B513</f>
      </c>
      <c r="AM513" s="12">
        <f>IF(AL513&gt;0,IF(AL513&lt;=eco,alpha*fck*(1-(1-AL513/eco)^n),alpha*fck),0)</f>
      </c>
      <c r="AN513" s="30">
        <f>PM_Angle!$J$22+PM_Angle!$K$22*$C513+PM_Angle!$L$22*$B513</f>
      </c>
      <c r="AO513" s="12">
        <f>IF(AN513&gt;0,IF(AN513&lt;=eco,alpha*fck*(1-(1-AN513/eco)^n),alpha*fck),0)</f>
      </c>
      <c r="AP513" s="30">
        <f>PM_Angle!$J$23+PM_Angle!$K$23*$C513+PM_Angle!$L$23*$B513</f>
      </c>
      <c r="AQ513" s="12">
        <f>IF(AP513&gt;0,IF(AP513&lt;=eco,alpha*fck*(1-(1-AP513/eco)^n),alpha*fck),0)</f>
      </c>
      <c r="AR513" s="30">
        <f>PM_Angle!$J$24+PM_Angle!$K$24*$C513+PM_Angle!$L$24*$B513</f>
      </c>
      <c r="AS513" s="12">
        <f>IF(AR513&gt;0,IF(AR513&lt;=eco,alpha*fck*(1-(1-AR513/eco)^n),alpha*fck),0)</f>
      </c>
      <c r="AT513" s="30">
        <f>PM_Angle!$J$25+PM_Angle!$K$25*$C513+PM_Angle!$L$25*$B513</f>
      </c>
      <c r="AU513" s="12">
        <f>IF(AT513&gt;0,IF(AT513&lt;=eco,alpha*fck*(1-(1-AT513/eco)^n),alpha*fck),0)</f>
      </c>
    </row>
    <row r="514" spans="1:47" x14ac:dyDescent="0.25">
      <c r="A514">
        <f>Mesh!A511</f>
      </c>
      <c r="B514" s="12">
        <f>Mesh!B511</f>
      </c>
      <c r="C514" s="12">
        <f>Mesh!C511</f>
      </c>
      <c r="D514" s="12">
        <f>Mesh!D511</f>
      </c>
      <c r="E514" s="30">
        <f>INDEX(St_e0,Det+1)+INDEX(St_kx,Det+1)*C514+INDEX(St_ky,Det+1)*B514</f>
      </c>
      <c r="F514" s="12">
        <f>IF(E514&gt;0,IF(E514&lt;=eco,alpha*fck*(1-(1-E514/eco)^n),alpha*fck),0)</f>
      </c>
      <c r="G514" s="11">
        <f>F514*D514</f>
      </c>
      <c r="H514" s="11">
        <f>G514*C514</f>
      </c>
      <c r="I514" s="11">
        <f>G514*B514</f>
      </c>
      <c r="J514" s="30">
        <f>PM_Angle!$J$7+PM_Angle!$K$7*$C514+PM_Angle!$L$7*$B514</f>
      </c>
      <c r="K514" s="12">
        <f>IF(J514&gt;0,IF(J514&lt;=eco,alpha*fck*(1-(1-J514/eco)^n),alpha*fck),0)</f>
      </c>
      <c r="L514" s="30">
        <f>PM_Angle!$J$8+PM_Angle!$K$8*$C514+PM_Angle!$L$8*$B514</f>
      </c>
      <c r="M514" s="12">
        <f>IF(L514&gt;0,IF(L514&lt;=eco,alpha*fck*(1-(1-L514/eco)^n),alpha*fck),0)</f>
      </c>
      <c r="N514" s="30">
        <f>PM_Angle!$J$9+PM_Angle!$K$9*$C514+PM_Angle!$L$9*$B514</f>
      </c>
      <c r="O514" s="12">
        <f>IF(N514&gt;0,IF(N514&lt;=eco,alpha*fck*(1-(1-N514/eco)^n),alpha*fck),0)</f>
      </c>
      <c r="P514" s="30">
        <f>PM_Angle!$J$10+PM_Angle!$K$10*$C514+PM_Angle!$L$10*$B514</f>
      </c>
      <c r="Q514" s="12">
        <f>IF(P514&gt;0,IF(P514&lt;=eco,alpha*fck*(1-(1-P514/eco)^n),alpha*fck),0)</f>
      </c>
      <c r="R514" s="30">
        <f>PM_Angle!$J$11+PM_Angle!$K$11*$C514+PM_Angle!$L$11*$B514</f>
      </c>
      <c r="S514" s="12">
        <f>IF(R514&gt;0,IF(R514&lt;=eco,alpha*fck*(1-(1-R514/eco)^n),alpha*fck),0)</f>
      </c>
      <c r="T514" s="30">
        <f>PM_Angle!$J$12+PM_Angle!$K$12*$C514+PM_Angle!$L$12*$B514</f>
      </c>
      <c r="U514" s="12">
        <f>IF(T514&gt;0,IF(T514&lt;=eco,alpha*fck*(1-(1-T514/eco)^n),alpha*fck),0)</f>
      </c>
      <c r="V514" s="30">
        <f>PM_Angle!$J$13+PM_Angle!$K$13*$C514+PM_Angle!$L$13*$B514</f>
      </c>
      <c r="W514" s="12">
        <f>IF(V514&gt;0,IF(V514&lt;=eco,alpha*fck*(1-(1-V514/eco)^n),alpha*fck),0)</f>
      </c>
      <c r="X514" s="30">
        <f>PM_Angle!$J$14+PM_Angle!$K$14*$C514+PM_Angle!$L$14*$B514</f>
      </c>
      <c r="Y514" s="12">
        <f>IF(X514&gt;0,IF(X514&lt;=eco,alpha*fck*(1-(1-X514/eco)^n),alpha*fck),0)</f>
      </c>
      <c r="Z514" s="30">
        <f>PM_Angle!$J$15+PM_Angle!$K$15*$C514+PM_Angle!$L$15*$B514</f>
      </c>
      <c r="AA514" s="12">
        <f>IF(Z514&gt;0,IF(Z514&lt;=eco,alpha*fck*(1-(1-Z514/eco)^n),alpha*fck),0)</f>
      </c>
      <c r="AB514" s="30">
        <f>PM_Angle!$J$16+PM_Angle!$K$16*$C514+PM_Angle!$L$16*$B514</f>
      </c>
      <c r="AC514" s="12">
        <f>IF(AB514&gt;0,IF(AB514&lt;=eco,alpha*fck*(1-(1-AB514/eco)^n),alpha*fck),0)</f>
      </c>
      <c r="AD514" s="30">
        <f>PM_Angle!$J$17+PM_Angle!$K$17*$C514+PM_Angle!$L$17*$B514</f>
      </c>
      <c r="AE514" s="12">
        <f>IF(AD514&gt;0,IF(AD514&lt;=eco,alpha*fck*(1-(1-AD514/eco)^n),alpha*fck),0)</f>
      </c>
      <c r="AF514" s="30">
        <f>PM_Angle!$J$18+PM_Angle!$K$18*$C514+PM_Angle!$L$18*$B514</f>
      </c>
      <c r="AG514" s="12">
        <f>IF(AF514&gt;0,IF(AF514&lt;=eco,alpha*fck*(1-(1-AF514/eco)^n),alpha*fck),0)</f>
      </c>
      <c r="AH514" s="30">
        <f>PM_Angle!$J$19+PM_Angle!$K$19*$C514+PM_Angle!$L$19*$B514</f>
      </c>
      <c r="AI514" s="12">
        <f>IF(AH514&gt;0,IF(AH514&lt;=eco,alpha*fck*(1-(1-AH514/eco)^n),alpha*fck),0)</f>
      </c>
      <c r="AJ514" s="30">
        <f>PM_Angle!$J$20+PM_Angle!$K$20*$C514+PM_Angle!$L$20*$B514</f>
      </c>
      <c r="AK514" s="12">
        <f>IF(AJ514&gt;0,IF(AJ514&lt;=eco,alpha*fck*(1-(1-AJ514/eco)^n),alpha*fck),0)</f>
      </c>
      <c r="AL514" s="30">
        <f>PM_Angle!$J$21+PM_Angle!$K$21*$C514+PM_Angle!$L$21*$B514</f>
      </c>
      <c r="AM514" s="12">
        <f>IF(AL514&gt;0,IF(AL514&lt;=eco,alpha*fck*(1-(1-AL514/eco)^n),alpha*fck),0)</f>
      </c>
      <c r="AN514" s="30">
        <f>PM_Angle!$J$22+PM_Angle!$K$22*$C514+PM_Angle!$L$22*$B514</f>
      </c>
      <c r="AO514" s="12">
        <f>IF(AN514&gt;0,IF(AN514&lt;=eco,alpha*fck*(1-(1-AN514/eco)^n),alpha*fck),0)</f>
      </c>
      <c r="AP514" s="30">
        <f>PM_Angle!$J$23+PM_Angle!$K$23*$C514+PM_Angle!$L$23*$B514</f>
      </c>
      <c r="AQ514" s="12">
        <f>IF(AP514&gt;0,IF(AP514&lt;=eco,alpha*fck*(1-(1-AP514/eco)^n),alpha*fck),0)</f>
      </c>
      <c r="AR514" s="30">
        <f>PM_Angle!$J$24+PM_Angle!$K$24*$C514+PM_Angle!$L$24*$B514</f>
      </c>
      <c r="AS514" s="12">
        <f>IF(AR514&gt;0,IF(AR514&lt;=eco,alpha*fck*(1-(1-AR514/eco)^n),alpha*fck),0)</f>
      </c>
      <c r="AT514" s="30">
        <f>PM_Angle!$J$25+PM_Angle!$K$25*$C514+PM_Angle!$L$25*$B514</f>
      </c>
      <c r="AU514" s="12">
        <f>IF(AT514&gt;0,IF(AT514&lt;=eco,alpha*fck*(1-(1-AT514/eco)^n),alpha*fck),0)</f>
      </c>
    </row>
    <row r="515" spans="1:47" x14ac:dyDescent="0.25">
      <c r="A515">
        <f>Mesh!A512</f>
      </c>
      <c r="B515" s="12">
        <f>Mesh!B512</f>
      </c>
      <c r="C515" s="12">
        <f>Mesh!C512</f>
      </c>
      <c r="D515" s="12">
        <f>Mesh!D512</f>
      </c>
      <c r="E515" s="30">
        <f>INDEX(St_e0,Det+1)+INDEX(St_kx,Det+1)*C515+INDEX(St_ky,Det+1)*B515</f>
      </c>
      <c r="F515" s="12">
        <f>IF(E515&gt;0,IF(E515&lt;=eco,alpha*fck*(1-(1-E515/eco)^n),alpha*fck),0)</f>
      </c>
      <c r="G515" s="11">
        <f>F515*D515</f>
      </c>
      <c r="H515" s="11">
        <f>G515*C515</f>
      </c>
      <c r="I515" s="11">
        <f>G515*B515</f>
      </c>
      <c r="J515" s="30">
        <f>PM_Angle!$J$7+PM_Angle!$K$7*$C515+PM_Angle!$L$7*$B515</f>
      </c>
      <c r="K515" s="12">
        <f>IF(J515&gt;0,IF(J515&lt;=eco,alpha*fck*(1-(1-J515/eco)^n),alpha*fck),0)</f>
      </c>
      <c r="L515" s="30">
        <f>PM_Angle!$J$8+PM_Angle!$K$8*$C515+PM_Angle!$L$8*$B515</f>
      </c>
      <c r="M515" s="12">
        <f>IF(L515&gt;0,IF(L515&lt;=eco,alpha*fck*(1-(1-L515/eco)^n),alpha*fck),0)</f>
      </c>
      <c r="N515" s="30">
        <f>PM_Angle!$J$9+PM_Angle!$K$9*$C515+PM_Angle!$L$9*$B515</f>
      </c>
      <c r="O515" s="12">
        <f>IF(N515&gt;0,IF(N515&lt;=eco,alpha*fck*(1-(1-N515/eco)^n),alpha*fck),0)</f>
      </c>
      <c r="P515" s="30">
        <f>PM_Angle!$J$10+PM_Angle!$K$10*$C515+PM_Angle!$L$10*$B515</f>
      </c>
      <c r="Q515" s="12">
        <f>IF(P515&gt;0,IF(P515&lt;=eco,alpha*fck*(1-(1-P515/eco)^n),alpha*fck),0)</f>
      </c>
      <c r="R515" s="30">
        <f>PM_Angle!$J$11+PM_Angle!$K$11*$C515+PM_Angle!$L$11*$B515</f>
      </c>
      <c r="S515" s="12">
        <f>IF(R515&gt;0,IF(R515&lt;=eco,alpha*fck*(1-(1-R515/eco)^n),alpha*fck),0)</f>
      </c>
      <c r="T515" s="30">
        <f>PM_Angle!$J$12+PM_Angle!$K$12*$C515+PM_Angle!$L$12*$B515</f>
      </c>
      <c r="U515" s="12">
        <f>IF(T515&gt;0,IF(T515&lt;=eco,alpha*fck*(1-(1-T515/eco)^n),alpha*fck),0)</f>
      </c>
      <c r="V515" s="30">
        <f>PM_Angle!$J$13+PM_Angle!$K$13*$C515+PM_Angle!$L$13*$B515</f>
      </c>
      <c r="W515" s="12">
        <f>IF(V515&gt;0,IF(V515&lt;=eco,alpha*fck*(1-(1-V515/eco)^n),alpha*fck),0)</f>
      </c>
      <c r="X515" s="30">
        <f>PM_Angle!$J$14+PM_Angle!$K$14*$C515+PM_Angle!$L$14*$B515</f>
      </c>
      <c r="Y515" s="12">
        <f>IF(X515&gt;0,IF(X515&lt;=eco,alpha*fck*(1-(1-X515/eco)^n),alpha*fck),0)</f>
      </c>
      <c r="Z515" s="30">
        <f>PM_Angle!$J$15+PM_Angle!$K$15*$C515+PM_Angle!$L$15*$B515</f>
      </c>
      <c r="AA515" s="12">
        <f>IF(Z515&gt;0,IF(Z515&lt;=eco,alpha*fck*(1-(1-Z515/eco)^n),alpha*fck),0)</f>
      </c>
      <c r="AB515" s="30">
        <f>PM_Angle!$J$16+PM_Angle!$K$16*$C515+PM_Angle!$L$16*$B515</f>
      </c>
      <c r="AC515" s="12">
        <f>IF(AB515&gt;0,IF(AB515&lt;=eco,alpha*fck*(1-(1-AB515/eco)^n),alpha*fck),0)</f>
      </c>
      <c r="AD515" s="30">
        <f>PM_Angle!$J$17+PM_Angle!$K$17*$C515+PM_Angle!$L$17*$B515</f>
      </c>
      <c r="AE515" s="12">
        <f>IF(AD515&gt;0,IF(AD515&lt;=eco,alpha*fck*(1-(1-AD515/eco)^n),alpha*fck),0)</f>
      </c>
      <c r="AF515" s="30">
        <f>PM_Angle!$J$18+PM_Angle!$K$18*$C515+PM_Angle!$L$18*$B515</f>
      </c>
      <c r="AG515" s="12">
        <f>IF(AF515&gt;0,IF(AF515&lt;=eco,alpha*fck*(1-(1-AF515/eco)^n),alpha*fck),0)</f>
      </c>
      <c r="AH515" s="30">
        <f>PM_Angle!$J$19+PM_Angle!$K$19*$C515+PM_Angle!$L$19*$B515</f>
      </c>
      <c r="AI515" s="12">
        <f>IF(AH515&gt;0,IF(AH515&lt;=eco,alpha*fck*(1-(1-AH515/eco)^n),alpha*fck),0)</f>
      </c>
      <c r="AJ515" s="30">
        <f>PM_Angle!$J$20+PM_Angle!$K$20*$C515+PM_Angle!$L$20*$B515</f>
      </c>
      <c r="AK515" s="12">
        <f>IF(AJ515&gt;0,IF(AJ515&lt;=eco,alpha*fck*(1-(1-AJ515/eco)^n),alpha*fck),0)</f>
      </c>
      <c r="AL515" s="30">
        <f>PM_Angle!$J$21+PM_Angle!$K$21*$C515+PM_Angle!$L$21*$B515</f>
      </c>
      <c r="AM515" s="12">
        <f>IF(AL515&gt;0,IF(AL515&lt;=eco,alpha*fck*(1-(1-AL515/eco)^n),alpha*fck),0)</f>
      </c>
      <c r="AN515" s="30">
        <f>PM_Angle!$J$22+PM_Angle!$K$22*$C515+PM_Angle!$L$22*$B515</f>
      </c>
      <c r="AO515" s="12">
        <f>IF(AN515&gt;0,IF(AN515&lt;=eco,alpha*fck*(1-(1-AN515/eco)^n),alpha*fck),0)</f>
      </c>
      <c r="AP515" s="30">
        <f>PM_Angle!$J$23+PM_Angle!$K$23*$C515+PM_Angle!$L$23*$B515</f>
      </c>
      <c r="AQ515" s="12">
        <f>IF(AP515&gt;0,IF(AP515&lt;=eco,alpha*fck*(1-(1-AP515/eco)^n),alpha*fck),0)</f>
      </c>
      <c r="AR515" s="30">
        <f>PM_Angle!$J$24+PM_Angle!$K$24*$C515+PM_Angle!$L$24*$B515</f>
      </c>
      <c r="AS515" s="12">
        <f>IF(AR515&gt;0,IF(AR515&lt;=eco,alpha*fck*(1-(1-AR515/eco)^n),alpha*fck),0)</f>
      </c>
      <c r="AT515" s="30">
        <f>PM_Angle!$J$25+PM_Angle!$K$25*$C515+PM_Angle!$L$25*$B515</f>
      </c>
      <c r="AU515" s="12">
        <f>IF(AT515&gt;0,IF(AT515&lt;=eco,alpha*fck*(1-(1-AT515/eco)^n),alpha*fck),0)</f>
      </c>
    </row>
    <row r="516" spans="1:47" x14ac:dyDescent="0.25">
      <c r="A516">
        <f>Mesh!A513</f>
      </c>
      <c r="B516" s="12">
        <f>Mesh!B513</f>
      </c>
      <c r="C516" s="12">
        <f>Mesh!C513</f>
      </c>
      <c r="D516" s="12">
        <f>Mesh!D513</f>
      </c>
      <c r="E516" s="30">
        <f>INDEX(St_e0,Det+1)+INDEX(St_kx,Det+1)*C516+INDEX(St_ky,Det+1)*B516</f>
      </c>
      <c r="F516" s="12">
        <f>IF(E516&gt;0,IF(E516&lt;=eco,alpha*fck*(1-(1-E516/eco)^n),alpha*fck),0)</f>
      </c>
      <c r="G516" s="11">
        <f>F516*D516</f>
      </c>
      <c r="H516" s="11">
        <f>G516*C516</f>
      </c>
      <c r="I516" s="11">
        <f>G516*B516</f>
      </c>
      <c r="J516" s="30">
        <f>PM_Angle!$J$7+PM_Angle!$K$7*$C516+PM_Angle!$L$7*$B516</f>
      </c>
      <c r="K516" s="12">
        <f>IF(J516&gt;0,IF(J516&lt;=eco,alpha*fck*(1-(1-J516/eco)^n),alpha*fck),0)</f>
      </c>
      <c r="L516" s="30">
        <f>PM_Angle!$J$8+PM_Angle!$K$8*$C516+PM_Angle!$L$8*$B516</f>
      </c>
      <c r="M516" s="12">
        <f>IF(L516&gt;0,IF(L516&lt;=eco,alpha*fck*(1-(1-L516/eco)^n),alpha*fck),0)</f>
      </c>
      <c r="N516" s="30">
        <f>PM_Angle!$J$9+PM_Angle!$K$9*$C516+PM_Angle!$L$9*$B516</f>
      </c>
      <c r="O516" s="12">
        <f>IF(N516&gt;0,IF(N516&lt;=eco,alpha*fck*(1-(1-N516/eco)^n),alpha*fck),0)</f>
      </c>
      <c r="P516" s="30">
        <f>PM_Angle!$J$10+PM_Angle!$K$10*$C516+PM_Angle!$L$10*$B516</f>
      </c>
      <c r="Q516" s="12">
        <f>IF(P516&gt;0,IF(P516&lt;=eco,alpha*fck*(1-(1-P516/eco)^n),alpha*fck),0)</f>
      </c>
      <c r="R516" s="30">
        <f>PM_Angle!$J$11+PM_Angle!$K$11*$C516+PM_Angle!$L$11*$B516</f>
      </c>
      <c r="S516" s="12">
        <f>IF(R516&gt;0,IF(R516&lt;=eco,alpha*fck*(1-(1-R516/eco)^n),alpha*fck),0)</f>
      </c>
      <c r="T516" s="30">
        <f>PM_Angle!$J$12+PM_Angle!$K$12*$C516+PM_Angle!$L$12*$B516</f>
      </c>
      <c r="U516" s="12">
        <f>IF(T516&gt;0,IF(T516&lt;=eco,alpha*fck*(1-(1-T516/eco)^n),alpha*fck),0)</f>
      </c>
      <c r="V516" s="30">
        <f>PM_Angle!$J$13+PM_Angle!$K$13*$C516+PM_Angle!$L$13*$B516</f>
      </c>
      <c r="W516" s="12">
        <f>IF(V516&gt;0,IF(V516&lt;=eco,alpha*fck*(1-(1-V516/eco)^n),alpha*fck),0)</f>
      </c>
      <c r="X516" s="30">
        <f>PM_Angle!$J$14+PM_Angle!$K$14*$C516+PM_Angle!$L$14*$B516</f>
      </c>
      <c r="Y516" s="12">
        <f>IF(X516&gt;0,IF(X516&lt;=eco,alpha*fck*(1-(1-X516/eco)^n),alpha*fck),0)</f>
      </c>
      <c r="Z516" s="30">
        <f>PM_Angle!$J$15+PM_Angle!$K$15*$C516+PM_Angle!$L$15*$B516</f>
      </c>
      <c r="AA516" s="12">
        <f>IF(Z516&gt;0,IF(Z516&lt;=eco,alpha*fck*(1-(1-Z516/eco)^n),alpha*fck),0)</f>
      </c>
      <c r="AB516" s="30">
        <f>PM_Angle!$J$16+PM_Angle!$K$16*$C516+PM_Angle!$L$16*$B516</f>
      </c>
      <c r="AC516" s="12">
        <f>IF(AB516&gt;0,IF(AB516&lt;=eco,alpha*fck*(1-(1-AB516/eco)^n),alpha*fck),0)</f>
      </c>
      <c r="AD516" s="30">
        <f>PM_Angle!$J$17+PM_Angle!$K$17*$C516+PM_Angle!$L$17*$B516</f>
      </c>
      <c r="AE516" s="12">
        <f>IF(AD516&gt;0,IF(AD516&lt;=eco,alpha*fck*(1-(1-AD516/eco)^n),alpha*fck),0)</f>
      </c>
      <c r="AF516" s="30">
        <f>PM_Angle!$J$18+PM_Angle!$K$18*$C516+PM_Angle!$L$18*$B516</f>
      </c>
      <c r="AG516" s="12">
        <f>IF(AF516&gt;0,IF(AF516&lt;=eco,alpha*fck*(1-(1-AF516/eco)^n),alpha*fck),0)</f>
      </c>
      <c r="AH516" s="30">
        <f>PM_Angle!$J$19+PM_Angle!$K$19*$C516+PM_Angle!$L$19*$B516</f>
      </c>
      <c r="AI516" s="12">
        <f>IF(AH516&gt;0,IF(AH516&lt;=eco,alpha*fck*(1-(1-AH516/eco)^n),alpha*fck),0)</f>
      </c>
      <c r="AJ516" s="30">
        <f>PM_Angle!$J$20+PM_Angle!$K$20*$C516+PM_Angle!$L$20*$B516</f>
      </c>
      <c r="AK516" s="12">
        <f>IF(AJ516&gt;0,IF(AJ516&lt;=eco,alpha*fck*(1-(1-AJ516/eco)^n),alpha*fck),0)</f>
      </c>
      <c r="AL516" s="30">
        <f>PM_Angle!$J$21+PM_Angle!$K$21*$C516+PM_Angle!$L$21*$B516</f>
      </c>
      <c r="AM516" s="12">
        <f>IF(AL516&gt;0,IF(AL516&lt;=eco,alpha*fck*(1-(1-AL516/eco)^n),alpha*fck),0)</f>
      </c>
      <c r="AN516" s="30">
        <f>PM_Angle!$J$22+PM_Angle!$K$22*$C516+PM_Angle!$L$22*$B516</f>
      </c>
      <c r="AO516" s="12">
        <f>IF(AN516&gt;0,IF(AN516&lt;=eco,alpha*fck*(1-(1-AN516/eco)^n),alpha*fck),0)</f>
      </c>
      <c r="AP516" s="30">
        <f>PM_Angle!$J$23+PM_Angle!$K$23*$C516+PM_Angle!$L$23*$B516</f>
      </c>
      <c r="AQ516" s="12">
        <f>IF(AP516&gt;0,IF(AP516&lt;=eco,alpha*fck*(1-(1-AP516/eco)^n),alpha*fck),0)</f>
      </c>
      <c r="AR516" s="30">
        <f>PM_Angle!$J$24+PM_Angle!$K$24*$C516+PM_Angle!$L$24*$B516</f>
      </c>
      <c r="AS516" s="12">
        <f>IF(AR516&gt;0,IF(AR516&lt;=eco,alpha*fck*(1-(1-AR516/eco)^n),alpha*fck),0)</f>
      </c>
      <c r="AT516" s="30">
        <f>PM_Angle!$J$25+PM_Angle!$K$25*$C516+PM_Angle!$L$25*$B516</f>
      </c>
      <c r="AU516" s="12">
        <f>IF(AT516&gt;0,IF(AT516&lt;=eco,alpha*fck*(1-(1-AT516/eco)^n),alpha*fck),0)</f>
      </c>
    </row>
    <row r="517" spans="1:47" x14ac:dyDescent="0.25">
      <c r="A517">
        <f>Mesh!A514</f>
      </c>
      <c r="B517" s="12">
        <f>Mesh!B514</f>
      </c>
      <c r="C517" s="12">
        <f>Mesh!C514</f>
      </c>
      <c r="D517" s="12">
        <f>Mesh!D514</f>
      </c>
      <c r="E517" s="30">
        <f>INDEX(St_e0,Det+1)+INDEX(St_kx,Det+1)*C517+INDEX(St_ky,Det+1)*B517</f>
      </c>
      <c r="F517" s="12">
        <f>IF(E517&gt;0,IF(E517&lt;=eco,alpha*fck*(1-(1-E517/eco)^n),alpha*fck),0)</f>
      </c>
      <c r="G517" s="11">
        <f>F517*D517</f>
      </c>
      <c r="H517" s="11">
        <f>G517*C517</f>
      </c>
      <c r="I517" s="11">
        <f>G517*B517</f>
      </c>
      <c r="J517" s="30">
        <f>PM_Angle!$J$7+PM_Angle!$K$7*$C517+PM_Angle!$L$7*$B517</f>
      </c>
      <c r="K517" s="12">
        <f>IF(J517&gt;0,IF(J517&lt;=eco,alpha*fck*(1-(1-J517/eco)^n),alpha*fck),0)</f>
      </c>
      <c r="L517" s="30">
        <f>PM_Angle!$J$8+PM_Angle!$K$8*$C517+PM_Angle!$L$8*$B517</f>
      </c>
      <c r="M517" s="12">
        <f>IF(L517&gt;0,IF(L517&lt;=eco,alpha*fck*(1-(1-L517/eco)^n),alpha*fck),0)</f>
      </c>
      <c r="N517" s="30">
        <f>PM_Angle!$J$9+PM_Angle!$K$9*$C517+PM_Angle!$L$9*$B517</f>
      </c>
      <c r="O517" s="12">
        <f>IF(N517&gt;0,IF(N517&lt;=eco,alpha*fck*(1-(1-N517/eco)^n),alpha*fck),0)</f>
      </c>
      <c r="P517" s="30">
        <f>PM_Angle!$J$10+PM_Angle!$K$10*$C517+PM_Angle!$L$10*$B517</f>
      </c>
      <c r="Q517" s="12">
        <f>IF(P517&gt;0,IF(P517&lt;=eco,alpha*fck*(1-(1-P517/eco)^n),alpha*fck),0)</f>
      </c>
      <c r="R517" s="30">
        <f>PM_Angle!$J$11+PM_Angle!$K$11*$C517+PM_Angle!$L$11*$B517</f>
      </c>
      <c r="S517" s="12">
        <f>IF(R517&gt;0,IF(R517&lt;=eco,alpha*fck*(1-(1-R517/eco)^n),alpha*fck),0)</f>
      </c>
      <c r="T517" s="30">
        <f>PM_Angle!$J$12+PM_Angle!$K$12*$C517+PM_Angle!$L$12*$B517</f>
      </c>
      <c r="U517" s="12">
        <f>IF(T517&gt;0,IF(T517&lt;=eco,alpha*fck*(1-(1-T517/eco)^n),alpha*fck),0)</f>
      </c>
      <c r="V517" s="30">
        <f>PM_Angle!$J$13+PM_Angle!$K$13*$C517+PM_Angle!$L$13*$B517</f>
      </c>
      <c r="W517" s="12">
        <f>IF(V517&gt;0,IF(V517&lt;=eco,alpha*fck*(1-(1-V517/eco)^n),alpha*fck),0)</f>
      </c>
      <c r="X517" s="30">
        <f>PM_Angle!$J$14+PM_Angle!$K$14*$C517+PM_Angle!$L$14*$B517</f>
      </c>
      <c r="Y517" s="12">
        <f>IF(X517&gt;0,IF(X517&lt;=eco,alpha*fck*(1-(1-X517/eco)^n),alpha*fck),0)</f>
      </c>
      <c r="Z517" s="30">
        <f>PM_Angle!$J$15+PM_Angle!$K$15*$C517+PM_Angle!$L$15*$B517</f>
      </c>
      <c r="AA517" s="12">
        <f>IF(Z517&gt;0,IF(Z517&lt;=eco,alpha*fck*(1-(1-Z517/eco)^n),alpha*fck),0)</f>
      </c>
      <c r="AB517" s="30">
        <f>PM_Angle!$J$16+PM_Angle!$K$16*$C517+PM_Angle!$L$16*$B517</f>
      </c>
      <c r="AC517" s="12">
        <f>IF(AB517&gt;0,IF(AB517&lt;=eco,alpha*fck*(1-(1-AB517/eco)^n),alpha*fck),0)</f>
      </c>
      <c r="AD517" s="30">
        <f>PM_Angle!$J$17+PM_Angle!$K$17*$C517+PM_Angle!$L$17*$B517</f>
      </c>
      <c r="AE517" s="12">
        <f>IF(AD517&gt;0,IF(AD517&lt;=eco,alpha*fck*(1-(1-AD517/eco)^n),alpha*fck),0)</f>
      </c>
      <c r="AF517" s="30">
        <f>PM_Angle!$J$18+PM_Angle!$K$18*$C517+PM_Angle!$L$18*$B517</f>
      </c>
      <c r="AG517" s="12">
        <f>IF(AF517&gt;0,IF(AF517&lt;=eco,alpha*fck*(1-(1-AF517/eco)^n),alpha*fck),0)</f>
      </c>
      <c r="AH517" s="30">
        <f>PM_Angle!$J$19+PM_Angle!$K$19*$C517+PM_Angle!$L$19*$B517</f>
      </c>
      <c r="AI517" s="12">
        <f>IF(AH517&gt;0,IF(AH517&lt;=eco,alpha*fck*(1-(1-AH517/eco)^n),alpha*fck),0)</f>
      </c>
      <c r="AJ517" s="30">
        <f>PM_Angle!$J$20+PM_Angle!$K$20*$C517+PM_Angle!$L$20*$B517</f>
      </c>
      <c r="AK517" s="12">
        <f>IF(AJ517&gt;0,IF(AJ517&lt;=eco,alpha*fck*(1-(1-AJ517/eco)^n),alpha*fck),0)</f>
      </c>
      <c r="AL517" s="30">
        <f>PM_Angle!$J$21+PM_Angle!$K$21*$C517+PM_Angle!$L$21*$B517</f>
      </c>
      <c r="AM517" s="12">
        <f>IF(AL517&gt;0,IF(AL517&lt;=eco,alpha*fck*(1-(1-AL517/eco)^n),alpha*fck),0)</f>
      </c>
      <c r="AN517" s="30">
        <f>PM_Angle!$J$22+PM_Angle!$K$22*$C517+PM_Angle!$L$22*$B517</f>
      </c>
      <c r="AO517" s="12">
        <f>IF(AN517&gt;0,IF(AN517&lt;=eco,alpha*fck*(1-(1-AN517/eco)^n),alpha*fck),0)</f>
      </c>
      <c r="AP517" s="30">
        <f>PM_Angle!$J$23+PM_Angle!$K$23*$C517+PM_Angle!$L$23*$B517</f>
      </c>
      <c r="AQ517" s="12">
        <f>IF(AP517&gt;0,IF(AP517&lt;=eco,alpha*fck*(1-(1-AP517/eco)^n),alpha*fck),0)</f>
      </c>
      <c r="AR517" s="30">
        <f>PM_Angle!$J$24+PM_Angle!$K$24*$C517+PM_Angle!$L$24*$B517</f>
      </c>
      <c r="AS517" s="12">
        <f>IF(AR517&gt;0,IF(AR517&lt;=eco,alpha*fck*(1-(1-AR517/eco)^n),alpha*fck),0)</f>
      </c>
      <c r="AT517" s="30">
        <f>PM_Angle!$J$25+PM_Angle!$K$25*$C517+PM_Angle!$L$25*$B517</f>
      </c>
      <c r="AU517" s="12">
        <f>IF(AT517&gt;0,IF(AT517&lt;=eco,alpha*fck*(1-(1-AT517/eco)^n),alpha*fck),0)</f>
      </c>
    </row>
    <row r="518" spans="1:47" x14ac:dyDescent="0.25">
      <c r="A518">
        <f>Mesh!A515</f>
      </c>
      <c r="B518" s="12">
        <f>Mesh!B515</f>
      </c>
      <c r="C518" s="12">
        <f>Mesh!C515</f>
      </c>
      <c r="D518" s="12">
        <f>Mesh!D515</f>
      </c>
      <c r="E518" s="30">
        <f>INDEX(St_e0,Det+1)+INDEX(St_kx,Det+1)*C518+INDEX(St_ky,Det+1)*B518</f>
      </c>
      <c r="F518" s="12">
        <f>IF(E518&gt;0,IF(E518&lt;=eco,alpha*fck*(1-(1-E518/eco)^n),alpha*fck),0)</f>
      </c>
      <c r="G518" s="11">
        <f>F518*D518</f>
      </c>
      <c r="H518" s="11">
        <f>G518*C518</f>
      </c>
      <c r="I518" s="11">
        <f>G518*B518</f>
      </c>
      <c r="J518" s="30">
        <f>PM_Angle!$J$7+PM_Angle!$K$7*$C518+PM_Angle!$L$7*$B518</f>
      </c>
      <c r="K518" s="12">
        <f>IF(J518&gt;0,IF(J518&lt;=eco,alpha*fck*(1-(1-J518/eco)^n),alpha*fck),0)</f>
      </c>
      <c r="L518" s="30">
        <f>PM_Angle!$J$8+PM_Angle!$K$8*$C518+PM_Angle!$L$8*$B518</f>
      </c>
      <c r="M518" s="12">
        <f>IF(L518&gt;0,IF(L518&lt;=eco,alpha*fck*(1-(1-L518/eco)^n),alpha*fck),0)</f>
      </c>
      <c r="N518" s="30">
        <f>PM_Angle!$J$9+PM_Angle!$K$9*$C518+PM_Angle!$L$9*$B518</f>
      </c>
      <c r="O518" s="12">
        <f>IF(N518&gt;0,IF(N518&lt;=eco,alpha*fck*(1-(1-N518/eco)^n),alpha*fck),0)</f>
      </c>
      <c r="P518" s="30">
        <f>PM_Angle!$J$10+PM_Angle!$K$10*$C518+PM_Angle!$L$10*$B518</f>
      </c>
      <c r="Q518" s="12">
        <f>IF(P518&gt;0,IF(P518&lt;=eco,alpha*fck*(1-(1-P518/eco)^n),alpha*fck),0)</f>
      </c>
      <c r="R518" s="30">
        <f>PM_Angle!$J$11+PM_Angle!$K$11*$C518+PM_Angle!$L$11*$B518</f>
      </c>
      <c r="S518" s="12">
        <f>IF(R518&gt;0,IF(R518&lt;=eco,alpha*fck*(1-(1-R518/eco)^n),alpha*fck),0)</f>
      </c>
      <c r="T518" s="30">
        <f>PM_Angle!$J$12+PM_Angle!$K$12*$C518+PM_Angle!$L$12*$B518</f>
      </c>
      <c r="U518" s="12">
        <f>IF(T518&gt;0,IF(T518&lt;=eco,alpha*fck*(1-(1-T518/eco)^n),alpha*fck),0)</f>
      </c>
      <c r="V518" s="30">
        <f>PM_Angle!$J$13+PM_Angle!$K$13*$C518+PM_Angle!$L$13*$B518</f>
      </c>
      <c r="W518" s="12">
        <f>IF(V518&gt;0,IF(V518&lt;=eco,alpha*fck*(1-(1-V518/eco)^n),alpha*fck),0)</f>
      </c>
      <c r="X518" s="30">
        <f>PM_Angle!$J$14+PM_Angle!$K$14*$C518+PM_Angle!$L$14*$B518</f>
      </c>
      <c r="Y518" s="12">
        <f>IF(X518&gt;0,IF(X518&lt;=eco,alpha*fck*(1-(1-X518/eco)^n),alpha*fck),0)</f>
      </c>
      <c r="Z518" s="30">
        <f>PM_Angle!$J$15+PM_Angle!$K$15*$C518+PM_Angle!$L$15*$B518</f>
      </c>
      <c r="AA518" s="12">
        <f>IF(Z518&gt;0,IF(Z518&lt;=eco,alpha*fck*(1-(1-Z518/eco)^n),alpha*fck),0)</f>
      </c>
      <c r="AB518" s="30">
        <f>PM_Angle!$J$16+PM_Angle!$K$16*$C518+PM_Angle!$L$16*$B518</f>
      </c>
      <c r="AC518" s="12">
        <f>IF(AB518&gt;0,IF(AB518&lt;=eco,alpha*fck*(1-(1-AB518/eco)^n),alpha*fck),0)</f>
      </c>
      <c r="AD518" s="30">
        <f>PM_Angle!$J$17+PM_Angle!$K$17*$C518+PM_Angle!$L$17*$B518</f>
      </c>
      <c r="AE518" s="12">
        <f>IF(AD518&gt;0,IF(AD518&lt;=eco,alpha*fck*(1-(1-AD518/eco)^n),alpha*fck),0)</f>
      </c>
      <c r="AF518" s="30">
        <f>PM_Angle!$J$18+PM_Angle!$K$18*$C518+PM_Angle!$L$18*$B518</f>
      </c>
      <c r="AG518" s="12">
        <f>IF(AF518&gt;0,IF(AF518&lt;=eco,alpha*fck*(1-(1-AF518/eco)^n),alpha*fck),0)</f>
      </c>
      <c r="AH518" s="30">
        <f>PM_Angle!$J$19+PM_Angle!$K$19*$C518+PM_Angle!$L$19*$B518</f>
      </c>
      <c r="AI518" s="12">
        <f>IF(AH518&gt;0,IF(AH518&lt;=eco,alpha*fck*(1-(1-AH518/eco)^n),alpha*fck),0)</f>
      </c>
      <c r="AJ518" s="30">
        <f>PM_Angle!$J$20+PM_Angle!$K$20*$C518+PM_Angle!$L$20*$B518</f>
      </c>
      <c r="AK518" s="12">
        <f>IF(AJ518&gt;0,IF(AJ518&lt;=eco,alpha*fck*(1-(1-AJ518/eco)^n),alpha*fck),0)</f>
      </c>
      <c r="AL518" s="30">
        <f>PM_Angle!$J$21+PM_Angle!$K$21*$C518+PM_Angle!$L$21*$B518</f>
      </c>
      <c r="AM518" s="12">
        <f>IF(AL518&gt;0,IF(AL518&lt;=eco,alpha*fck*(1-(1-AL518/eco)^n),alpha*fck),0)</f>
      </c>
      <c r="AN518" s="30">
        <f>PM_Angle!$J$22+PM_Angle!$K$22*$C518+PM_Angle!$L$22*$B518</f>
      </c>
      <c r="AO518" s="12">
        <f>IF(AN518&gt;0,IF(AN518&lt;=eco,alpha*fck*(1-(1-AN518/eco)^n),alpha*fck),0)</f>
      </c>
      <c r="AP518" s="30">
        <f>PM_Angle!$J$23+PM_Angle!$K$23*$C518+PM_Angle!$L$23*$B518</f>
      </c>
      <c r="AQ518" s="12">
        <f>IF(AP518&gt;0,IF(AP518&lt;=eco,alpha*fck*(1-(1-AP518/eco)^n),alpha*fck),0)</f>
      </c>
      <c r="AR518" s="30">
        <f>PM_Angle!$J$24+PM_Angle!$K$24*$C518+PM_Angle!$L$24*$B518</f>
      </c>
      <c r="AS518" s="12">
        <f>IF(AR518&gt;0,IF(AR518&lt;=eco,alpha*fck*(1-(1-AR518/eco)^n),alpha*fck),0)</f>
      </c>
      <c r="AT518" s="30">
        <f>PM_Angle!$J$25+PM_Angle!$K$25*$C518+PM_Angle!$L$25*$B518</f>
      </c>
      <c r="AU518" s="12">
        <f>IF(AT518&gt;0,IF(AT518&lt;=eco,alpha*fck*(1-(1-AT518/eco)^n),alpha*fck),0)</f>
      </c>
    </row>
    <row r="519" spans="1:47" x14ac:dyDescent="0.25">
      <c r="A519">
        <f>Mesh!A516</f>
      </c>
      <c r="B519" s="12">
        <f>Mesh!B516</f>
      </c>
      <c r="C519" s="12">
        <f>Mesh!C516</f>
      </c>
      <c r="D519" s="12">
        <f>Mesh!D516</f>
      </c>
      <c r="E519" s="30">
        <f>INDEX(St_e0,Det+1)+INDEX(St_kx,Det+1)*C519+INDEX(St_ky,Det+1)*B519</f>
      </c>
      <c r="F519" s="12">
        <f>IF(E519&gt;0,IF(E519&lt;=eco,alpha*fck*(1-(1-E519/eco)^n),alpha*fck),0)</f>
      </c>
      <c r="G519" s="11">
        <f>F519*D519</f>
      </c>
      <c r="H519" s="11">
        <f>G519*C519</f>
      </c>
      <c r="I519" s="11">
        <f>G519*B519</f>
      </c>
      <c r="J519" s="30">
        <f>PM_Angle!$J$7+PM_Angle!$K$7*$C519+PM_Angle!$L$7*$B519</f>
      </c>
      <c r="K519" s="12">
        <f>IF(J519&gt;0,IF(J519&lt;=eco,alpha*fck*(1-(1-J519/eco)^n),alpha*fck),0)</f>
      </c>
      <c r="L519" s="30">
        <f>PM_Angle!$J$8+PM_Angle!$K$8*$C519+PM_Angle!$L$8*$B519</f>
      </c>
      <c r="M519" s="12">
        <f>IF(L519&gt;0,IF(L519&lt;=eco,alpha*fck*(1-(1-L519/eco)^n),alpha*fck),0)</f>
      </c>
      <c r="N519" s="30">
        <f>PM_Angle!$J$9+PM_Angle!$K$9*$C519+PM_Angle!$L$9*$B519</f>
      </c>
      <c r="O519" s="12">
        <f>IF(N519&gt;0,IF(N519&lt;=eco,alpha*fck*(1-(1-N519/eco)^n),alpha*fck),0)</f>
      </c>
      <c r="P519" s="30">
        <f>PM_Angle!$J$10+PM_Angle!$K$10*$C519+PM_Angle!$L$10*$B519</f>
      </c>
      <c r="Q519" s="12">
        <f>IF(P519&gt;0,IF(P519&lt;=eco,alpha*fck*(1-(1-P519/eco)^n),alpha*fck),0)</f>
      </c>
      <c r="R519" s="30">
        <f>PM_Angle!$J$11+PM_Angle!$K$11*$C519+PM_Angle!$L$11*$B519</f>
      </c>
      <c r="S519" s="12">
        <f>IF(R519&gt;0,IF(R519&lt;=eco,alpha*fck*(1-(1-R519/eco)^n),alpha*fck),0)</f>
      </c>
      <c r="T519" s="30">
        <f>PM_Angle!$J$12+PM_Angle!$K$12*$C519+PM_Angle!$L$12*$B519</f>
      </c>
      <c r="U519" s="12">
        <f>IF(T519&gt;0,IF(T519&lt;=eco,alpha*fck*(1-(1-T519/eco)^n),alpha*fck),0)</f>
      </c>
      <c r="V519" s="30">
        <f>PM_Angle!$J$13+PM_Angle!$K$13*$C519+PM_Angle!$L$13*$B519</f>
      </c>
      <c r="W519" s="12">
        <f>IF(V519&gt;0,IF(V519&lt;=eco,alpha*fck*(1-(1-V519/eco)^n),alpha*fck),0)</f>
      </c>
      <c r="X519" s="30">
        <f>PM_Angle!$J$14+PM_Angle!$K$14*$C519+PM_Angle!$L$14*$B519</f>
      </c>
      <c r="Y519" s="12">
        <f>IF(X519&gt;0,IF(X519&lt;=eco,alpha*fck*(1-(1-X519/eco)^n),alpha*fck),0)</f>
      </c>
      <c r="Z519" s="30">
        <f>PM_Angle!$J$15+PM_Angle!$K$15*$C519+PM_Angle!$L$15*$B519</f>
      </c>
      <c r="AA519" s="12">
        <f>IF(Z519&gt;0,IF(Z519&lt;=eco,alpha*fck*(1-(1-Z519/eco)^n),alpha*fck),0)</f>
      </c>
      <c r="AB519" s="30">
        <f>PM_Angle!$J$16+PM_Angle!$K$16*$C519+PM_Angle!$L$16*$B519</f>
      </c>
      <c r="AC519" s="12">
        <f>IF(AB519&gt;0,IF(AB519&lt;=eco,alpha*fck*(1-(1-AB519/eco)^n),alpha*fck),0)</f>
      </c>
      <c r="AD519" s="30">
        <f>PM_Angle!$J$17+PM_Angle!$K$17*$C519+PM_Angle!$L$17*$B519</f>
      </c>
      <c r="AE519" s="12">
        <f>IF(AD519&gt;0,IF(AD519&lt;=eco,alpha*fck*(1-(1-AD519/eco)^n),alpha*fck),0)</f>
      </c>
      <c r="AF519" s="30">
        <f>PM_Angle!$J$18+PM_Angle!$K$18*$C519+PM_Angle!$L$18*$B519</f>
      </c>
      <c r="AG519" s="12">
        <f>IF(AF519&gt;0,IF(AF519&lt;=eco,alpha*fck*(1-(1-AF519/eco)^n),alpha*fck),0)</f>
      </c>
      <c r="AH519" s="30">
        <f>PM_Angle!$J$19+PM_Angle!$K$19*$C519+PM_Angle!$L$19*$B519</f>
      </c>
      <c r="AI519" s="12">
        <f>IF(AH519&gt;0,IF(AH519&lt;=eco,alpha*fck*(1-(1-AH519/eco)^n),alpha*fck),0)</f>
      </c>
      <c r="AJ519" s="30">
        <f>PM_Angle!$J$20+PM_Angle!$K$20*$C519+PM_Angle!$L$20*$B519</f>
      </c>
      <c r="AK519" s="12">
        <f>IF(AJ519&gt;0,IF(AJ519&lt;=eco,alpha*fck*(1-(1-AJ519/eco)^n),alpha*fck),0)</f>
      </c>
      <c r="AL519" s="30">
        <f>PM_Angle!$J$21+PM_Angle!$K$21*$C519+PM_Angle!$L$21*$B519</f>
      </c>
      <c r="AM519" s="12">
        <f>IF(AL519&gt;0,IF(AL519&lt;=eco,alpha*fck*(1-(1-AL519/eco)^n),alpha*fck),0)</f>
      </c>
      <c r="AN519" s="30">
        <f>PM_Angle!$J$22+PM_Angle!$K$22*$C519+PM_Angle!$L$22*$B519</f>
      </c>
      <c r="AO519" s="12">
        <f>IF(AN519&gt;0,IF(AN519&lt;=eco,alpha*fck*(1-(1-AN519/eco)^n),alpha*fck),0)</f>
      </c>
      <c r="AP519" s="30">
        <f>PM_Angle!$J$23+PM_Angle!$K$23*$C519+PM_Angle!$L$23*$B519</f>
      </c>
      <c r="AQ519" s="12">
        <f>IF(AP519&gt;0,IF(AP519&lt;=eco,alpha*fck*(1-(1-AP519/eco)^n),alpha*fck),0)</f>
      </c>
      <c r="AR519" s="30">
        <f>PM_Angle!$J$24+PM_Angle!$K$24*$C519+PM_Angle!$L$24*$B519</f>
      </c>
      <c r="AS519" s="12">
        <f>IF(AR519&gt;0,IF(AR519&lt;=eco,alpha*fck*(1-(1-AR519/eco)^n),alpha*fck),0)</f>
      </c>
      <c r="AT519" s="30">
        <f>PM_Angle!$J$25+PM_Angle!$K$25*$C519+PM_Angle!$L$25*$B519</f>
      </c>
      <c r="AU519" s="12">
        <f>IF(AT519&gt;0,IF(AT519&lt;=eco,alpha*fck*(1-(1-AT519/eco)^n),alpha*fck),0)</f>
      </c>
    </row>
    <row r="520" spans="1:47" x14ac:dyDescent="0.25">
      <c r="A520">
        <f>Mesh!A517</f>
      </c>
      <c r="B520" s="12">
        <f>Mesh!B517</f>
      </c>
      <c r="C520" s="12">
        <f>Mesh!C517</f>
      </c>
      <c r="D520" s="12">
        <f>Mesh!D517</f>
      </c>
      <c r="E520" s="30">
        <f>INDEX(St_e0,Det+1)+INDEX(St_kx,Det+1)*C520+INDEX(St_ky,Det+1)*B520</f>
      </c>
      <c r="F520" s="12">
        <f>IF(E520&gt;0,IF(E520&lt;=eco,alpha*fck*(1-(1-E520/eco)^n),alpha*fck),0)</f>
      </c>
      <c r="G520" s="11">
        <f>F520*D520</f>
      </c>
      <c r="H520" s="11">
        <f>G520*C520</f>
      </c>
      <c r="I520" s="11">
        <f>G520*B520</f>
      </c>
      <c r="J520" s="30">
        <f>PM_Angle!$J$7+PM_Angle!$K$7*$C520+PM_Angle!$L$7*$B520</f>
      </c>
      <c r="K520" s="12">
        <f>IF(J520&gt;0,IF(J520&lt;=eco,alpha*fck*(1-(1-J520/eco)^n),alpha*fck),0)</f>
      </c>
      <c r="L520" s="30">
        <f>PM_Angle!$J$8+PM_Angle!$K$8*$C520+PM_Angle!$L$8*$B520</f>
      </c>
      <c r="M520" s="12">
        <f>IF(L520&gt;0,IF(L520&lt;=eco,alpha*fck*(1-(1-L520/eco)^n),alpha*fck),0)</f>
      </c>
      <c r="N520" s="30">
        <f>PM_Angle!$J$9+PM_Angle!$K$9*$C520+PM_Angle!$L$9*$B520</f>
      </c>
      <c r="O520" s="12">
        <f>IF(N520&gt;0,IF(N520&lt;=eco,alpha*fck*(1-(1-N520/eco)^n),alpha*fck),0)</f>
      </c>
      <c r="P520" s="30">
        <f>PM_Angle!$J$10+PM_Angle!$K$10*$C520+PM_Angle!$L$10*$B520</f>
      </c>
      <c r="Q520" s="12">
        <f>IF(P520&gt;0,IF(P520&lt;=eco,alpha*fck*(1-(1-P520/eco)^n),alpha*fck),0)</f>
      </c>
      <c r="R520" s="30">
        <f>PM_Angle!$J$11+PM_Angle!$K$11*$C520+PM_Angle!$L$11*$B520</f>
      </c>
      <c r="S520" s="12">
        <f>IF(R520&gt;0,IF(R520&lt;=eco,alpha*fck*(1-(1-R520/eco)^n),alpha*fck),0)</f>
      </c>
      <c r="T520" s="30">
        <f>PM_Angle!$J$12+PM_Angle!$K$12*$C520+PM_Angle!$L$12*$B520</f>
      </c>
      <c r="U520" s="12">
        <f>IF(T520&gt;0,IF(T520&lt;=eco,alpha*fck*(1-(1-T520/eco)^n),alpha*fck),0)</f>
      </c>
      <c r="V520" s="30">
        <f>PM_Angle!$J$13+PM_Angle!$K$13*$C520+PM_Angle!$L$13*$B520</f>
      </c>
      <c r="W520" s="12">
        <f>IF(V520&gt;0,IF(V520&lt;=eco,alpha*fck*(1-(1-V520/eco)^n),alpha*fck),0)</f>
      </c>
      <c r="X520" s="30">
        <f>PM_Angle!$J$14+PM_Angle!$K$14*$C520+PM_Angle!$L$14*$B520</f>
      </c>
      <c r="Y520" s="12">
        <f>IF(X520&gt;0,IF(X520&lt;=eco,alpha*fck*(1-(1-X520/eco)^n),alpha*fck),0)</f>
      </c>
      <c r="Z520" s="30">
        <f>PM_Angle!$J$15+PM_Angle!$K$15*$C520+PM_Angle!$L$15*$B520</f>
      </c>
      <c r="AA520" s="12">
        <f>IF(Z520&gt;0,IF(Z520&lt;=eco,alpha*fck*(1-(1-Z520/eco)^n),alpha*fck),0)</f>
      </c>
      <c r="AB520" s="30">
        <f>PM_Angle!$J$16+PM_Angle!$K$16*$C520+PM_Angle!$L$16*$B520</f>
      </c>
      <c r="AC520" s="12">
        <f>IF(AB520&gt;0,IF(AB520&lt;=eco,alpha*fck*(1-(1-AB520/eco)^n),alpha*fck),0)</f>
      </c>
      <c r="AD520" s="30">
        <f>PM_Angle!$J$17+PM_Angle!$K$17*$C520+PM_Angle!$L$17*$B520</f>
      </c>
      <c r="AE520" s="12">
        <f>IF(AD520&gt;0,IF(AD520&lt;=eco,alpha*fck*(1-(1-AD520/eco)^n),alpha*fck),0)</f>
      </c>
      <c r="AF520" s="30">
        <f>PM_Angle!$J$18+PM_Angle!$K$18*$C520+PM_Angle!$L$18*$B520</f>
      </c>
      <c r="AG520" s="12">
        <f>IF(AF520&gt;0,IF(AF520&lt;=eco,alpha*fck*(1-(1-AF520/eco)^n),alpha*fck),0)</f>
      </c>
      <c r="AH520" s="30">
        <f>PM_Angle!$J$19+PM_Angle!$K$19*$C520+PM_Angle!$L$19*$B520</f>
      </c>
      <c r="AI520" s="12">
        <f>IF(AH520&gt;0,IF(AH520&lt;=eco,alpha*fck*(1-(1-AH520/eco)^n),alpha*fck),0)</f>
      </c>
      <c r="AJ520" s="30">
        <f>PM_Angle!$J$20+PM_Angle!$K$20*$C520+PM_Angle!$L$20*$B520</f>
      </c>
      <c r="AK520" s="12">
        <f>IF(AJ520&gt;0,IF(AJ520&lt;=eco,alpha*fck*(1-(1-AJ520/eco)^n),alpha*fck),0)</f>
      </c>
      <c r="AL520" s="30">
        <f>PM_Angle!$J$21+PM_Angle!$K$21*$C520+PM_Angle!$L$21*$B520</f>
      </c>
      <c r="AM520" s="12">
        <f>IF(AL520&gt;0,IF(AL520&lt;=eco,alpha*fck*(1-(1-AL520/eco)^n),alpha*fck),0)</f>
      </c>
      <c r="AN520" s="30">
        <f>PM_Angle!$J$22+PM_Angle!$K$22*$C520+PM_Angle!$L$22*$B520</f>
      </c>
      <c r="AO520" s="12">
        <f>IF(AN520&gt;0,IF(AN520&lt;=eco,alpha*fck*(1-(1-AN520/eco)^n),alpha*fck),0)</f>
      </c>
      <c r="AP520" s="30">
        <f>PM_Angle!$J$23+PM_Angle!$K$23*$C520+PM_Angle!$L$23*$B520</f>
      </c>
      <c r="AQ520" s="12">
        <f>IF(AP520&gt;0,IF(AP520&lt;=eco,alpha*fck*(1-(1-AP520/eco)^n),alpha*fck),0)</f>
      </c>
      <c r="AR520" s="30">
        <f>PM_Angle!$J$24+PM_Angle!$K$24*$C520+PM_Angle!$L$24*$B520</f>
      </c>
      <c r="AS520" s="12">
        <f>IF(AR520&gt;0,IF(AR520&lt;=eco,alpha*fck*(1-(1-AR520/eco)^n),alpha*fck),0)</f>
      </c>
      <c r="AT520" s="30">
        <f>PM_Angle!$J$25+PM_Angle!$K$25*$C520+PM_Angle!$L$25*$B520</f>
      </c>
      <c r="AU520" s="12">
        <f>IF(AT520&gt;0,IF(AT520&lt;=eco,alpha*fck*(1-(1-AT520/eco)^n),alpha*fck),0)</f>
      </c>
    </row>
    <row r="521" spans="1:47" x14ac:dyDescent="0.25">
      <c r="A521">
        <f>Mesh!A518</f>
      </c>
      <c r="B521" s="12">
        <f>Mesh!B518</f>
      </c>
      <c r="C521" s="12">
        <f>Mesh!C518</f>
      </c>
      <c r="D521" s="12">
        <f>Mesh!D518</f>
      </c>
      <c r="E521" s="30">
        <f>INDEX(St_e0,Det+1)+INDEX(St_kx,Det+1)*C521+INDEX(St_ky,Det+1)*B521</f>
      </c>
      <c r="F521" s="12">
        <f>IF(E521&gt;0,IF(E521&lt;=eco,alpha*fck*(1-(1-E521/eco)^n),alpha*fck),0)</f>
      </c>
      <c r="G521" s="11">
        <f>F521*D521</f>
      </c>
      <c r="H521" s="11">
        <f>G521*C521</f>
      </c>
      <c r="I521" s="11">
        <f>G521*B521</f>
      </c>
      <c r="J521" s="30">
        <f>PM_Angle!$J$7+PM_Angle!$K$7*$C521+PM_Angle!$L$7*$B521</f>
      </c>
      <c r="K521" s="12">
        <f>IF(J521&gt;0,IF(J521&lt;=eco,alpha*fck*(1-(1-J521/eco)^n),alpha*fck),0)</f>
      </c>
      <c r="L521" s="30">
        <f>PM_Angle!$J$8+PM_Angle!$K$8*$C521+PM_Angle!$L$8*$B521</f>
      </c>
      <c r="M521" s="12">
        <f>IF(L521&gt;0,IF(L521&lt;=eco,alpha*fck*(1-(1-L521/eco)^n),alpha*fck),0)</f>
      </c>
      <c r="N521" s="30">
        <f>PM_Angle!$J$9+PM_Angle!$K$9*$C521+PM_Angle!$L$9*$B521</f>
      </c>
      <c r="O521" s="12">
        <f>IF(N521&gt;0,IF(N521&lt;=eco,alpha*fck*(1-(1-N521/eco)^n),alpha*fck),0)</f>
      </c>
      <c r="P521" s="30">
        <f>PM_Angle!$J$10+PM_Angle!$K$10*$C521+PM_Angle!$L$10*$B521</f>
      </c>
      <c r="Q521" s="12">
        <f>IF(P521&gt;0,IF(P521&lt;=eco,alpha*fck*(1-(1-P521/eco)^n),alpha*fck),0)</f>
      </c>
      <c r="R521" s="30">
        <f>PM_Angle!$J$11+PM_Angle!$K$11*$C521+PM_Angle!$L$11*$B521</f>
      </c>
      <c r="S521" s="12">
        <f>IF(R521&gt;0,IF(R521&lt;=eco,alpha*fck*(1-(1-R521/eco)^n),alpha*fck),0)</f>
      </c>
      <c r="T521" s="30">
        <f>PM_Angle!$J$12+PM_Angle!$K$12*$C521+PM_Angle!$L$12*$B521</f>
      </c>
      <c r="U521" s="12">
        <f>IF(T521&gt;0,IF(T521&lt;=eco,alpha*fck*(1-(1-T521/eco)^n),alpha*fck),0)</f>
      </c>
      <c r="V521" s="30">
        <f>PM_Angle!$J$13+PM_Angle!$K$13*$C521+PM_Angle!$L$13*$B521</f>
      </c>
      <c r="W521" s="12">
        <f>IF(V521&gt;0,IF(V521&lt;=eco,alpha*fck*(1-(1-V521/eco)^n),alpha*fck),0)</f>
      </c>
      <c r="X521" s="30">
        <f>PM_Angle!$J$14+PM_Angle!$K$14*$C521+PM_Angle!$L$14*$B521</f>
      </c>
      <c r="Y521" s="12">
        <f>IF(X521&gt;0,IF(X521&lt;=eco,alpha*fck*(1-(1-X521/eco)^n),alpha*fck),0)</f>
      </c>
      <c r="Z521" s="30">
        <f>PM_Angle!$J$15+PM_Angle!$K$15*$C521+PM_Angle!$L$15*$B521</f>
      </c>
      <c r="AA521" s="12">
        <f>IF(Z521&gt;0,IF(Z521&lt;=eco,alpha*fck*(1-(1-Z521/eco)^n),alpha*fck),0)</f>
      </c>
      <c r="AB521" s="30">
        <f>PM_Angle!$J$16+PM_Angle!$K$16*$C521+PM_Angle!$L$16*$B521</f>
      </c>
      <c r="AC521" s="12">
        <f>IF(AB521&gt;0,IF(AB521&lt;=eco,alpha*fck*(1-(1-AB521/eco)^n),alpha*fck),0)</f>
      </c>
      <c r="AD521" s="30">
        <f>PM_Angle!$J$17+PM_Angle!$K$17*$C521+PM_Angle!$L$17*$B521</f>
      </c>
      <c r="AE521" s="12">
        <f>IF(AD521&gt;0,IF(AD521&lt;=eco,alpha*fck*(1-(1-AD521/eco)^n),alpha*fck),0)</f>
      </c>
      <c r="AF521" s="30">
        <f>PM_Angle!$J$18+PM_Angle!$K$18*$C521+PM_Angle!$L$18*$B521</f>
      </c>
      <c r="AG521" s="12">
        <f>IF(AF521&gt;0,IF(AF521&lt;=eco,alpha*fck*(1-(1-AF521/eco)^n),alpha*fck),0)</f>
      </c>
      <c r="AH521" s="30">
        <f>PM_Angle!$J$19+PM_Angle!$K$19*$C521+PM_Angle!$L$19*$B521</f>
      </c>
      <c r="AI521" s="12">
        <f>IF(AH521&gt;0,IF(AH521&lt;=eco,alpha*fck*(1-(1-AH521/eco)^n),alpha*fck),0)</f>
      </c>
      <c r="AJ521" s="30">
        <f>PM_Angle!$J$20+PM_Angle!$K$20*$C521+PM_Angle!$L$20*$B521</f>
      </c>
      <c r="AK521" s="12">
        <f>IF(AJ521&gt;0,IF(AJ521&lt;=eco,alpha*fck*(1-(1-AJ521/eco)^n),alpha*fck),0)</f>
      </c>
      <c r="AL521" s="30">
        <f>PM_Angle!$J$21+PM_Angle!$K$21*$C521+PM_Angle!$L$21*$B521</f>
      </c>
      <c r="AM521" s="12">
        <f>IF(AL521&gt;0,IF(AL521&lt;=eco,alpha*fck*(1-(1-AL521/eco)^n),alpha*fck),0)</f>
      </c>
      <c r="AN521" s="30">
        <f>PM_Angle!$J$22+PM_Angle!$K$22*$C521+PM_Angle!$L$22*$B521</f>
      </c>
      <c r="AO521" s="12">
        <f>IF(AN521&gt;0,IF(AN521&lt;=eco,alpha*fck*(1-(1-AN521/eco)^n),alpha*fck),0)</f>
      </c>
      <c r="AP521" s="30">
        <f>PM_Angle!$J$23+PM_Angle!$K$23*$C521+PM_Angle!$L$23*$B521</f>
      </c>
      <c r="AQ521" s="12">
        <f>IF(AP521&gt;0,IF(AP521&lt;=eco,alpha*fck*(1-(1-AP521/eco)^n),alpha*fck),0)</f>
      </c>
      <c r="AR521" s="30">
        <f>PM_Angle!$J$24+PM_Angle!$K$24*$C521+PM_Angle!$L$24*$B521</f>
      </c>
      <c r="AS521" s="12">
        <f>IF(AR521&gt;0,IF(AR521&lt;=eco,alpha*fck*(1-(1-AR521/eco)^n),alpha*fck),0)</f>
      </c>
      <c r="AT521" s="30">
        <f>PM_Angle!$J$25+PM_Angle!$K$25*$C521+PM_Angle!$L$25*$B521</f>
      </c>
      <c r="AU521" s="12">
        <f>IF(AT521&gt;0,IF(AT521&lt;=eco,alpha*fck*(1-(1-AT521/eco)^n),alpha*fck),0)</f>
      </c>
    </row>
    <row r="522" spans="1:47" x14ac:dyDescent="0.25">
      <c r="A522">
        <f>Mesh!A519</f>
      </c>
      <c r="B522" s="12">
        <f>Mesh!B519</f>
      </c>
      <c r="C522" s="12">
        <f>Mesh!C519</f>
      </c>
      <c r="D522" s="12">
        <f>Mesh!D519</f>
      </c>
      <c r="E522" s="30">
        <f>INDEX(St_e0,Det+1)+INDEX(St_kx,Det+1)*C522+INDEX(St_ky,Det+1)*B522</f>
      </c>
      <c r="F522" s="12">
        <f>IF(E522&gt;0,IF(E522&lt;=eco,alpha*fck*(1-(1-E522/eco)^n),alpha*fck),0)</f>
      </c>
      <c r="G522" s="11">
        <f>F522*D522</f>
      </c>
      <c r="H522" s="11">
        <f>G522*C522</f>
      </c>
      <c r="I522" s="11">
        <f>G522*B522</f>
      </c>
      <c r="J522" s="30">
        <f>PM_Angle!$J$7+PM_Angle!$K$7*$C522+PM_Angle!$L$7*$B522</f>
      </c>
      <c r="K522" s="12">
        <f>IF(J522&gt;0,IF(J522&lt;=eco,alpha*fck*(1-(1-J522/eco)^n),alpha*fck),0)</f>
      </c>
      <c r="L522" s="30">
        <f>PM_Angle!$J$8+PM_Angle!$K$8*$C522+PM_Angle!$L$8*$B522</f>
      </c>
      <c r="M522" s="12">
        <f>IF(L522&gt;0,IF(L522&lt;=eco,alpha*fck*(1-(1-L522/eco)^n),alpha*fck),0)</f>
      </c>
      <c r="N522" s="30">
        <f>PM_Angle!$J$9+PM_Angle!$K$9*$C522+PM_Angle!$L$9*$B522</f>
      </c>
      <c r="O522" s="12">
        <f>IF(N522&gt;0,IF(N522&lt;=eco,alpha*fck*(1-(1-N522/eco)^n),alpha*fck),0)</f>
      </c>
      <c r="P522" s="30">
        <f>PM_Angle!$J$10+PM_Angle!$K$10*$C522+PM_Angle!$L$10*$B522</f>
      </c>
      <c r="Q522" s="12">
        <f>IF(P522&gt;0,IF(P522&lt;=eco,alpha*fck*(1-(1-P522/eco)^n),alpha*fck),0)</f>
      </c>
      <c r="R522" s="30">
        <f>PM_Angle!$J$11+PM_Angle!$K$11*$C522+PM_Angle!$L$11*$B522</f>
      </c>
      <c r="S522" s="12">
        <f>IF(R522&gt;0,IF(R522&lt;=eco,alpha*fck*(1-(1-R522/eco)^n),alpha*fck),0)</f>
      </c>
      <c r="T522" s="30">
        <f>PM_Angle!$J$12+PM_Angle!$K$12*$C522+PM_Angle!$L$12*$B522</f>
      </c>
      <c r="U522" s="12">
        <f>IF(T522&gt;0,IF(T522&lt;=eco,alpha*fck*(1-(1-T522/eco)^n),alpha*fck),0)</f>
      </c>
      <c r="V522" s="30">
        <f>PM_Angle!$J$13+PM_Angle!$K$13*$C522+PM_Angle!$L$13*$B522</f>
      </c>
      <c r="W522" s="12">
        <f>IF(V522&gt;0,IF(V522&lt;=eco,alpha*fck*(1-(1-V522/eco)^n),alpha*fck),0)</f>
      </c>
      <c r="X522" s="30">
        <f>PM_Angle!$J$14+PM_Angle!$K$14*$C522+PM_Angle!$L$14*$B522</f>
      </c>
      <c r="Y522" s="12">
        <f>IF(X522&gt;0,IF(X522&lt;=eco,alpha*fck*(1-(1-X522/eco)^n),alpha*fck),0)</f>
      </c>
      <c r="Z522" s="30">
        <f>PM_Angle!$J$15+PM_Angle!$K$15*$C522+PM_Angle!$L$15*$B522</f>
      </c>
      <c r="AA522" s="12">
        <f>IF(Z522&gt;0,IF(Z522&lt;=eco,alpha*fck*(1-(1-Z522/eco)^n),alpha*fck),0)</f>
      </c>
      <c r="AB522" s="30">
        <f>PM_Angle!$J$16+PM_Angle!$K$16*$C522+PM_Angle!$L$16*$B522</f>
      </c>
      <c r="AC522" s="12">
        <f>IF(AB522&gt;0,IF(AB522&lt;=eco,alpha*fck*(1-(1-AB522/eco)^n),alpha*fck),0)</f>
      </c>
      <c r="AD522" s="30">
        <f>PM_Angle!$J$17+PM_Angle!$K$17*$C522+PM_Angle!$L$17*$B522</f>
      </c>
      <c r="AE522" s="12">
        <f>IF(AD522&gt;0,IF(AD522&lt;=eco,alpha*fck*(1-(1-AD522/eco)^n),alpha*fck),0)</f>
      </c>
      <c r="AF522" s="30">
        <f>PM_Angle!$J$18+PM_Angle!$K$18*$C522+PM_Angle!$L$18*$B522</f>
      </c>
      <c r="AG522" s="12">
        <f>IF(AF522&gt;0,IF(AF522&lt;=eco,alpha*fck*(1-(1-AF522/eco)^n),alpha*fck),0)</f>
      </c>
      <c r="AH522" s="30">
        <f>PM_Angle!$J$19+PM_Angle!$K$19*$C522+PM_Angle!$L$19*$B522</f>
      </c>
      <c r="AI522" s="12">
        <f>IF(AH522&gt;0,IF(AH522&lt;=eco,alpha*fck*(1-(1-AH522/eco)^n),alpha*fck),0)</f>
      </c>
      <c r="AJ522" s="30">
        <f>PM_Angle!$J$20+PM_Angle!$K$20*$C522+PM_Angle!$L$20*$B522</f>
      </c>
      <c r="AK522" s="12">
        <f>IF(AJ522&gt;0,IF(AJ522&lt;=eco,alpha*fck*(1-(1-AJ522/eco)^n),alpha*fck),0)</f>
      </c>
      <c r="AL522" s="30">
        <f>PM_Angle!$J$21+PM_Angle!$K$21*$C522+PM_Angle!$L$21*$B522</f>
      </c>
      <c r="AM522" s="12">
        <f>IF(AL522&gt;0,IF(AL522&lt;=eco,alpha*fck*(1-(1-AL522/eco)^n),alpha*fck),0)</f>
      </c>
      <c r="AN522" s="30">
        <f>PM_Angle!$J$22+PM_Angle!$K$22*$C522+PM_Angle!$L$22*$B522</f>
      </c>
      <c r="AO522" s="12">
        <f>IF(AN522&gt;0,IF(AN522&lt;=eco,alpha*fck*(1-(1-AN522/eco)^n),alpha*fck),0)</f>
      </c>
      <c r="AP522" s="30">
        <f>PM_Angle!$J$23+PM_Angle!$K$23*$C522+PM_Angle!$L$23*$B522</f>
      </c>
      <c r="AQ522" s="12">
        <f>IF(AP522&gt;0,IF(AP522&lt;=eco,alpha*fck*(1-(1-AP522/eco)^n),alpha*fck),0)</f>
      </c>
      <c r="AR522" s="30">
        <f>PM_Angle!$J$24+PM_Angle!$K$24*$C522+PM_Angle!$L$24*$B522</f>
      </c>
      <c r="AS522" s="12">
        <f>IF(AR522&gt;0,IF(AR522&lt;=eco,alpha*fck*(1-(1-AR522/eco)^n),alpha*fck),0)</f>
      </c>
      <c r="AT522" s="30">
        <f>PM_Angle!$J$25+PM_Angle!$K$25*$C522+PM_Angle!$L$25*$B522</f>
      </c>
      <c r="AU522" s="12">
        <f>IF(AT522&gt;0,IF(AT522&lt;=eco,alpha*fck*(1-(1-AT522/eco)^n),alpha*fck),0)</f>
      </c>
    </row>
    <row r="523" spans="1:47" x14ac:dyDescent="0.25">
      <c r="A523">
        <f>Mesh!A520</f>
      </c>
      <c r="B523" s="12">
        <f>Mesh!B520</f>
      </c>
      <c r="C523" s="12">
        <f>Mesh!C520</f>
      </c>
      <c r="D523" s="12">
        <f>Mesh!D520</f>
      </c>
      <c r="E523" s="30">
        <f>INDEX(St_e0,Det+1)+INDEX(St_kx,Det+1)*C523+INDEX(St_ky,Det+1)*B523</f>
      </c>
      <c r="F523" s="12">
        <f>IF(E523&gt;0,IF(E523&lt;=eco,alpha*fck*(1-(1-E523/eco)^n),alpha*fck),0)</f>
      </c>
      <c r="G523" s="11">
        <f>F523*D523</f>
      </c>
      <c r="H523" s="11">
        <f>G523*C523</f>
      </c>
      <c r="I523" s="11">
        <f>G523*B523</f>
      </c>
      <c r="J523" s="30">
        <f>PM_Angle!$J$7+PM_Angle!$K$7*$C523+PM_Angle!$L$7*$B523</f>
      </c>
      <c r="K523" s="12">
        <f>IF(J523&gt;0,IF(J523&lt;=eco,alpha*fck*(1-(1-J523/eco)^n),alpha*fck),0)</f>
      </c>
      <c r="L523" s="30">
        <f>PM_Angle!$J$8+PM_Angle!$K$8*$C523+PM_Angle!$L$8*$B523</f>
      </c>
      <c r="M523" s="12">
        <f>IF(L523&gt;0,IF(L523&lt;=eco,alpha*fck*(1-(1-L523/eco)^n),alpha*fck),0)</f>
      </c>
      <c r="N523" s="30">
        <f>PM_Angle!$J$9+PM_Angle!$K$9*$C523+PM_Angle!$L$9*$B523</f>
      </c>
      <c r="O523" s="12">
        <f>IF(N523&gt;0,IF(N523&lt;=eco,alpha*fck*(1-(1-N523/eco)^n),alpha*fck),0)</f>
      </c>
      <c r="P523" s="30">
        <f>PM_Angle!$J$10+PM_Angle!$K$10*$C523+PM_Angle!$L$10*$B523</f>
      </c>
      <c r="Q523" s="12">
        <f>IF(P523&gt;0,IF(P523&lt;=eco,alpha*fck*(1-(1-P523/eco)^n),alpha*fck),0)</f>
      </c>
      <c r="R523" s="30">
        <f>PM_Angle!$J$11+PM_Angle!$K$11*$C523+PM_Angle!$L$11*$B523</f>
      </c>
      <c r="S523" s="12">
        <f>IF(R523&gt;0,IF(R523&lt;=eco,alpha*fck*(1-(1-R523/eco)^n),alpha*fck),0)</f>
      </c>
      <c r="T523" s="30">
        <f>PM_Angle!$J$12+PM_Angle!$K$12*$C523+PM_Angle!$L$12*$B523</f>
      </c>
      <c r="U523" s="12">
        <f>IF(T523&gt;0,IF(T523&lt;=eco,alpha*fck*(1-(1-T523/eco)^n),alpha*fck),0)</f>
      </c>
      <c r="V523" s="30">
        <f>PM_Angle!$J$13+PM_Angle!$K$13*$C523+PM_Angle!$L$13*$B523</f>
      </c>
      <c r="W523" s="12">
        <f>IF(V523&gt;0,IF(V523&lt;=eco,alpha*fck*(1-(1-V523/eco)^n),alpha*fck),0)</f>
      </c>
      <c r="X523" s="30">
        <f>PM_Angle!$J$14+PM_Angle!$K$14*$C523+PM_Angle!$L$14*$B523</f>
      </c>
      <c r="Y523" s="12">
        <f>IF(X523&gt;0,IF(X523&lt;=eco,alpha*fck*(1-(1-X523/eco)^n),alpha*fck),0)</f>
      </c>
      <c r="Z523" s="30">
        <f>PM_Angle!$J$15+PM_Angle!$K$15*$C523+PM_Angle!$L$15*$B523</f>
      </c>
      <c r="AA523" s="12">
        <f>IF(Z523&gt;0,IF(Z523&lt;=eco,alpha*fck*(1-(1-Z523/eco)^n),alpha*fck),0)</f>
      </c>
      <c r="AB523" s="30">
        <f>PM_Angle!$J$16+PM_Angle!$K$16*$C523+PM_Angle!$L$16*$B523</f>
      </c>
      <c r="AC523" s="12">
        <f>IF(AB523&gt;0,IF(AB523&lt;=eco,alpha*fck*(1-(1-AB523/eco)^n),alpha*fck),0)</f>
      </c>
      <c r="AD523" s="30">
        <f>PM_Angle!$J$17+PM_Angle!$K$17*$C523+PM_Angle!$L$17*$B523</f>
      </c>
      <c r="AE523" s="12">
        <f>IF(AD523&gt;0,IF(AD523&lt;=eco,alpha*fck*(1-(1-AD523/eco)^n),alpha*fck),0)</f>
      </c>
      <c r="AF523" s="30">
        <f>PM_Angle!$J$18+PM_Angle!$K$18*$C523+PM_Angle!$L$18*$B523</f>
      </c>
      <c r="AG523" s="12">
        <f>IF(AF523&gt;0,IF(AF523&lt;=eco,alpha*fck*(1-(1-AF523/eco)^n),alpha*fck),0)</f>
      </c>
      <c r="AH523" s="30">
        <f>PM_Angle!$J$19+PM_Angle!$K$19*$C523+PM_Angle!$L$19*$B523</f>
      </c>
      <c r="AI523" s="12">
        <f>IF(AH523&gt;0,IF(AH523&lt;=eco,alpha*fck*(1-(1-AH523/eco)^n),alpha*fck),0)</f>
      </c>
      <c r="AJ523" s="30">
        <f>PM_Angle!$J$20+PM_Angle!$K$20*$C523+PM_Angle!$L$20*$B523</f>
      </c>
      <c r="AK523" s="12">
        <f>IF(AJ523&gt;0,IF(AJ523&lt;=eco,alpha*fck*(1-(1-AJ523/eco)^n),alpha*fck),0)</f>
      </c>
      <c r="AL523" s="30">
        <f>PM_Angle!$J$21+PM_Angle!$K$21*$C523+PM_Angle!$L$21*$B523</f>
      </c>
      <c r="AM523" s="12">
        <f>IF(AL523&gt;0,IF(AL523&lt;=eco,alpha*fck*(1-(1-AL523/eco)^n),alpha*fck),0)</f>
      </c>
      <c r="AN523" s="30">
        <f>PM_Angle!$J$22+PM_Angle!$K$22*$C523+PM_Angle!$L$22*$B523</f>
      </c>
      <c r="AO523" s="12">
        <f>IF(AN523&gt;0,IF(AN523&lt;=eco,alpha*fck*(1-(1-AN523/eco)^n),alpha*fck),0)</f>
      </c>
      <c r="AP523" s="30">
        <f>PM_Angle!$J$23+PM_Angle!$K$23*$C523+PM_Angle!$L$23*$B523</f>
      </c>
      <c r="AQ523" s="12">
        <f>IF(AP523&gt;0,IF(AP523&lt;=eco,alpha*fck*(1-(1-AP523/eco)^n),alpha*fck),0)</f>
      </c>
      <c r="AR523" s="30">
        <f>PM_Angle!$J$24+PM_Angle!$K$24*$C523+PM_Angle!$L$24*$B523</f>
      </c>
      <c r="AS523" s="12">
        <f>IF(AR523&gt;0,IF(AR523&lt;=eco,alpha*fck*(1-(1-AR523/eco)^n),alpha*fck),0)</f>
      </c>
      <c r="AT523" s="30">
        <f>PM_Angle!$J$25+PM_Angle!$K$25*$C523+PM_Angle!$L$25*$B523</f>
      </c>
      <c r="AU523" s="12">
        <f>IF(AT523&gt;0,IF(AT523&lt;=eco,alpha*fck*(1-(1-AT523/eco)^n),alpha*fck),0)</f>
      </c>
    </row>
    <row r="524" spans="1:47" x14ac:dyDescent="0.25">
      <c r="A524">
        <f>Mesh!A521</f>
      </c>
      <c r="B524" s="12">
        <f>Mesh!B521</f>
      </c>
      <c r="C524" s="12">
        <f>Mesh!C521</f>
      </c>
      <c r="D524" s="12">
        <f>Mesh!D521</f>
      </c>
      <c r="E524" s="30">
        <f>INDEX(St_e0,Det+1)+INDEX(St_kx,Det+1)*C524+INDEX(St_ky,Det+1)*B524</f>
      </c>
      <c r="F524" s="12">
        <f>IF(E524&gt;0,IF(E524&lt;=eco,alpha*fck*(1-(1-E524/eco)^n),alpha*fck),0)</f>
      </c>
      <c r="G524" s="11">
        <f>F524*D524</f>
      </c>
      <c r="H524" s="11">
        <f>G524*C524</f>
      </c>
      <c r="I524" s="11">
        <f>G524*B524</f>
      </c>
      <c r="J524" s="30">
        <f>PM_Angle!$J$7+PM_Angle!$K$7*$C524+PM_Angle!$L$7*$B524</f>
      </c>
      <c r="K524" s="12">
        <f>IF(J524&gt;0,IF(J524&lt;=eco,alpha*fck*(1-(1-J524/eco)^n),alpha*fck),0)</f>
      </c>
      <c r="L524" s="30">
        <f>PM_Angle!$J$8+PM_Angle!$K$8*$C524+PM_Angle!$L$8*$B524</f>
      </c>
      <c r="M524" s="12">
        <f>IF(L524&gt;0,IF(L524&lt;=eco,alpha*fck*(1-(1-L524/eco)^n),alpha*fck),0)</f>
      </c>
      <c r="N524" s="30">
        <f>PM_Angle!$J$9+PM_Angle!$K$9*$C524+PM_Angle!$L$9*$B524</f>
      </c>
      <c r="O524" s="12">
        <f>IF(N524&gt;0,IF(N524&lt;=eco,alpha*fck*(1-(1-N524/eco)^n),alpha*fck),0)</f>
      </c>
      <c r="P524" s="30">
        <f>PM_Angle!$J$10+PM_Angle!$K$10*$C524+PM_Angle!$L$10*$B524</f>
      </c>
      <c r="Q524" s="12">
        <f>IF(P524&gt;0,IF(P524&lt;=eco,alpha*fck*(1-(1-P524/eco)^n),alpha*fck),0)</f>
      </c>
      <c r="R524" s="30">
        <f>PM_Angle!$J$11+PM_Angle!$K$11*$C524+PM_Angle!$L$11*$B524</f>
      </c>
      <c r="S524" s="12">
        <f>IF(R524&gt;0,IF(R524&lt;=eco,alpha*fck*(1-(1-R524/eco)^n),alpha*fck),0)</f>
      </c>
      <c r="T524" s="30">
        <f>PM_Angle!$J$12+PM_Angle!$K$12*$C524+PM_Angle!$L$12*$B524</f>
      </c>
      <c r="U524" s="12">
        <f>IF(T524&gt;0,IF(T524&lt;=eco,alpha*fck*(1-(1-T524/eco)^n),alpha*fck),0)</f>
      </c>
      <c r="V524" s="30">
        <f>PM_Angle!$J$13+PM_Angle!$K$13*$C524+PM_Angle!$L$13*$B524</f>
      </c>
      <c r="W524" s="12">
        <f>IF(V524&gt;0,IF(V524&lt;=eco,alpha*fck*(1-(1-V524/eco)^n),alpha*fck),0)</f>
      </c>
      <c r="X524" s="30">
        <f>PM_Angle!$J$14+PM_Angle!$K$14*$C524+PM_Angle!$L$14*$B524</f>
      </c>
      <c r="Y524" s="12">
        <f>IF(X524&gt;0,IF(X524&lt;=eco,alpha*fck*(1-(1-X524/eco)^n),alpha*fck),0)</f>
      </c>
      <c r="Z524" s="30">
        <f>PM_Angle!$J$15+PM_Angle!$K$15*$C524+PM_Angle!$L$15*$B524</f>
      </c>
      <c r="AA524" s="12">
        <f>IF(Z524&gt;0,IF(Z524&lt;=eco,alpha*fck*(1-(1-Z524/eco)^n),alpha*fck),0)</f>
      </c>
      <c r="AB524" s="30">
        <f>PM_Angle!$J$16+PM_Angle!$K$16*$C524+PM_Angle!$L$16*$B524</f>
      </c>
      <c r="AC524" s="12">
        <f>IF(AB524&gt;0,IF(AB524&lt;=eco,alpha*fck*(1-(1-AB524/eco)^n),alpha*fck),0)</f>
      </c>
      <c r="AD524" s="30">
        <f>PM_Angle!$J$17+PM_Angle!$K$17*$C524+PM_Angle!$L$17*$B524</f>
      </c>
      <c r="AE524" s="12">
        <f>IF(AD524&gt;0,IF(AD524&lt;=eco,alpha*fck*(1-(1-AD524/eco)^n),alpha*fck),0)</f>
      </c>
      <c r="AF524" s="30">
        <f>PM_Angle!$J$18+PM_Angle!$K$18*$C524+PM_Angle!$L$18*$B524</f>
      </c>
      <c r="AG524" s="12">
        <f>IF(AF524&gt;0,IF(AF524&lt;=eco,alpha*fck*(1-(1-AF524/eco)^n),alpha*fck),0)</f>
      </c>
      <c r="AH524" s="30">
        <f>PM_Angle!$J$19+PM_Angle!$K$19*$C524+PM_Angle!$L$19*$B524</f>
      </c>
      <c r="AI524" s="12">
        <f>IF(AH524&gt;0,IF(AH524&lt;=eco,alpha*fck*(1-(1-AH524/eco)^n),alpha*fck),0)</f>
      </c>
      <c r="AJ524" s="30">
        <f>PM_Angle!$J$20+PM_Angle!$K$20*$C524+PM_Angle!$L$20*$B524</f>
      </c>
      <c r="AK524" s="12">
        <f>IF(AJ524&gt;0,IF(AJ524&lt;=eco,alpha*fck*(1-(1-AJ524/eco)^n),alpha*fck),0)</f>
      </c>
      <c r="AL524" s="30">
        <f>PM_Angle!$J$21+PM_Angle!$K$21*$C524+PM_Angle!$L$21*$B524</f>
      </c>
      <c r="AM524" s="12">
        <f>IF(AL524&gt;0,IF(AL524&lt;=eco,alpha*fck*(1-(1-AL524/eco)^n),alpha*fck),0)</f>
      </c>
      <c r="AN524" s="30">
        <f>PM_Angle!$J$22+PM_Angle!$K$22*$C524+PM_Angle!$L$22*$B524</f>
      </c>
      <c r="AO524" s="12">
        <f>IF(AN524&gt;0,IF(AN524&lt;=eco,alpha*fck*(1-(1-AN524/eco)^n),alpha*fck),0)</f>
      </c>
      <c r="AP524" s="30">
        <f>PM_Angle!$J$23+PM_Angle!$K$23*$C524+PM_Angle!$L$23*$B524</f>
      </c>
      <c r="AQ524" s="12">
        <f>IF(AP524&gt;0,IF(AP524&lt;=eco,alpha*fck*(1-(1-AP524/eco)^n),alpha*fck),0)</f>
      </c>
      <c r="AR524" s="30">
        <f>PM_Angle!$J$24+PM_Angle!$K$24*$C524+PM_Angle!$L$24*$B524</f>
      </c>
      <c r="AS524" s="12">
        <f>IF(AR524&gt;0,IF(AR524&lt;=eco,alpha*fck*(1-(1-AR524/eco)^n),alpha*fck),0)</f>
      </c>
      <c r="AT524" s="30">
        <f>PM_Angle!$J$25+PM_Angle!$K$25*$C524+PM_Angle!$L$25*$B524</f>
      </c>
      <c r="AU524" s="12">
        <f>IF(AT524&gt;0,IF(AT524&lt;=eco,alpha*fck*(1-(1-AT524/eco)^n),alpha*fck),0)</f>
      </c>
    </row>
    <row r="525" spans="1:47" x14ac:dyDescent="0.25">
      <c r="A525">
        <f>Mesh!A522</f>
      </c>
      <c r="B525" s="12">
        <f>Mesh!B522</f>
      </c>
      <c r="C525" s="12">
        <f>Mesh!C522</f>
      </c>
      <c r="D525" s="12">
        <f>Mesh!D522</f>
      </c>
      <c r="E525" s="30">
        <f>INDEX(St_e0,Det+1)+INDEX(St_kx,Det+1)*C525+INDEX(St_ky,Det+1)*B525</f>
      </c>
      <c r="F525" s="12">
        <f>IF(E525&gt;0,IF(E525&lt;=eco,alpha*fck*(1-(1-E525/eco)^n),alpha*fck),0)</f>
      </c>
      <c r="G525" s="11">
        <f>F525*D525</f>
      </c>
      <c r="H525" s="11">
        <f>G525*C525</f>
      </c>
      <c r="I525" s="11">
        <f>G525*B525</f>
      </c>
      <c r="J525" s="30">
        <f>PM_Angle!$J$7+PM_Angle!$K$7*$C525+PM_Angle!$L$7*$B525</f>
      </c>
      <c r="K525" s="12">
        <f>IF(J525&gt;0,IF(J525&lt;=eco,alpha*fck*(1-(1-J525/eco)^n),alpha*fck),0)</f>
      </c>
      <c r="L525" s="30">
        <f>PM_Angle!$J$8+PM_Angle!$K$8*$C525+PM_Angle!$L$8*$B525</f>
      </c>
      <c r="M525" s="12">
        <f>IF(L525&gt;0,IF(L525&lt;=eco,alpha*fck*(1-(1-L525/eco)^n),alpha*fck),0)</f>
      </c>
      <c r="N525" s="30">
        <f>PM_Angle!$J$9+PM_Angle!$K$9*$C525+PM_Angle!$L$9*$B525</f>
      </c>
      <c r="O525" s="12">
        <f>IF(N525&gt;0,IF(N525&lt;=eco,alpha*fck*(1-(1-N525/eco)^n),alpha*fck),0)</f>
      </c>
      <c r="P525" s="30">
        <f>PM_Angle!$J$10+PM_Angle!$K$10*$C525+PM_Angle!$L$10*$B525</f>
      </c>
      <c r="Q525" s="12">
        <f>IF(P525&gt;0,IF(P525&lt;=eco,alpha*fck*(1-(1-P525/eco)^n),alpha*fck),0)</f>
      </c>
      <c r="R525" s="30">
        <f>PM_Angle!$J$11+PM_Angle!$K$11*$C525+PM_Angle!$L$11*$B525</f>
      </c>
      <c r="S525" s="12">
        <f>IF(R525&gt;0,IF(R525&lt;=eco,alpha*fck*(1-(1-R525/eco)^n),alpha*fck),0)</f>
      </c>
      <c r="T525" s="30">
        <f>PM_Angle!$J$12+PM_Angle!$K$12*$C525+PM_Angle!$L$12*$B525</f>
      </c>
      <c r="U525" s="12">
        <f>IF(T525&gt;0,IF(T525&lt;=eco,alpha*fck*(1-(1-T525/eco)^n),alpha*fck),0)</f>
      </c>
      <c r="V525" s="30">
        <f>PM_Angle!$J$13+PM_Angle!$K$13*$C525+PM_Angle!$L$13*$B525</f>
      </c>
      <c r="W525" s="12">
        <f>IF(V525&gt;0,IF(V525&lt;=eco,alpha*fck*(1-(1-V525/eco)^n),alpha*fck),0)</f>
      </c>
      <c r="X525" s="30">
        <f>PM_Angle!$J$14+PM_Angle!$K$14*$C525+PM_Angle!$L$14*$B525</f>
      </c>
      <c r="Y525" s="12">
        <f>IF(X525&gt;0,IF(X525&lt;=eco,alpha*fck*(1-(1-X525/eco)^n),alpha*fck),0)</f>
      </c>
      <c r="Z525" s="30">
        <f>PM_Angle!$J$15+PM_Angle!$K$15*$C525+PM_Angle!$L$15*$B525</f>
      </c>
      <c r="AA525" s="12">
        <f>IF(Z525&gt;0,IF(Z525&lt;=eco,alpha*fck*(1-(1-Z525/eco)^n),alpha*fck),0)</f>
      </c>
      <c r="AB525" s="30">
        <f>PM_Angle!$J$16+PM_Angle!$K$16*$C525+PM_Angle!$L$16*$B525</f>
      </c>
      <c r="AC525" s="12">
        <f>IF(AB525&gt;0,IF(AB525&lt;=eco,alpha*fck*(1-(1-AB525/eco)^n),alpha*fck),0)</f>
      </c>
      <c r="AD525" s="30">
        <f>PM_Angle!$J$17+PM_Angle!$K$17*$C525+PM_Angle!$L$17*$B525</f>
      </c>
      <c r="AE525" s="12">
        <f>IF(AD525&gt;0,IF(AD525&lt;=eco,alpha*fck*(1-(1-AD525/eco)^n),alpha*fck),0)</f>
      </c>
      <c r="AF525" s="30">
        <f>PM_Angle!$J$18+PM_Angle!$K$18*$C525+PM_Angle!$L$18*$B525</f>
      </c>
      <c r="AG525" s="12">
        <f>IF(AF525&gt;0,IF(AF525&lt;=eco,alpha*fck*(1-(1-AF525/eco)^n),alpha*fck),0)</f>
      </c>
      <c r="AH525" s="30">
        <f>PM_Angle!$J$19+PM_Angle!$K$19*$C525+PM_Angle!$L$19*$B525</f>
      </c>
      <c r="AI525" s="12">
        <f>IF(AH525&gt;0,IF(AH525&lt;=eco,alpha*fck*(1-(1-AH525/eco)^n),alpha*fck),0)</f>
      </c>
      <c r="AJ525" s="30">
        <f>PM_Angle!$J$20+PM_Angle!$K$20*$C525+PM_Angle!$L$20*$B525</f>
      </c>
      <c r="AK525" s="12">
        <f>IF(AJ525&gt;0,IF(AJ525&lt;=eco,alpha*fck*(1-(1-AJ525/eco)^n),alpha*fck),0)</f>
      </c>
      <c r="AL525" s="30">
        <f>PM_Angle!$J$21+PM_Angle!$K$21*$C525+PM_Angle!$L$21*$B525</f>
      </c>
      <c r="AM525" s="12">
        <f>IF(AL525&gt;0,IF(AL525&lt;=eco,alpha*fck*(1-(1-AL525/eco)^n),alpha*fck),0)</f>
      </c>
      <c r="AN525" s="30">
        <f>PM_Angle!$J$22+PM_Angle!$K$22*$C525+PM_Angle!$L$22*$B525</f>
      </c>
      <c r="AO525" s="12">
        <f>IF(AN525&gt;0,IF(AN525&lt;=eco,alpha*fck*(1-(1-AN525/eco)^n),alpha*fck),0)</f>
      </c>
      <c r="AP525" s="30">
        <f>PM_Angle!$J$23+PM_Angle!$K$23*$C525+PM_Angle!$L$23*$B525</f>
      </c>
      <c r="AQ525" s="12">
        <f>IF(AP525&gt;0,IF(AP525&lt;=eco,alpha*fck*(1-(1-AP525/eco)^n),alpha*fck),0)</f>
      </c>
      <c r="AR525" s="30">
        <f>PM_Angle!$J$24+PM_Angle!$K$24*$C525+PM_Angle!$L$24*$B525</f>
      </c>
      <c r="AS525" s="12">
        <f>IF(AR525&gt;0,IF(AR525&lt;=eco,alpha*fck*(1-(1-AR525/eco)^n),alpha*fck),0)</f>
      </c>
      <c r="AT525" s="30">
        <f>PM_Angle!$J$25+PM_Angle!$K$25*$C525+PM_Angle!$L$25*$B525</f>
      </c>
      <c r="AU525" s="12">
        <f>IF(AT525&gt;0,IF(AT525&lt;=eco,alpha*fck*(1-(1-AT525/eco)^n),alpha*fck),0)</f>
      </c>
    </row>
    <row r="526" spans="1:47" x14ac:dyDescent="0.25">
      <c r="A526">
        <f>Mesh!A523</f>
      </c>
      <c r="B526" s="12">
        <f>Mesh!B523</f>
      </c>
      <c r="C526" s="12">
        <f>Mesh!C523</f>
      </c>
      <c r="D526" s="12">
        <f>Mesh!D523</f>
      </c>
      <c r="E526" s="30">
        <f>INDEX(St_e0,Det+1)+INDEX(St_kx,Det+1)*C526+INDEX(St_ky,Det+1)*B526</f>
      </c>
      <c r="F526" s="12">
        <f>IF(E526&gt;0,IF(E526&lt;=eco,alpha*fck*(1-(1-E526/eco)^n),alpha*fck),0)</f>
      </c>
      <c r="G526" s="11">
        <f>F526*D526</f>
      </c>
      <c r="H526" s="11">
        <f>G526*C526</f>
      </c>
      <c r="I526" s="11">
        <f>G526*B526</f>
      </c>
      <c r="J526" s="30">
        <f>PM_Angle!$J$7+PM_Angle!$K$7*$C526+PM_Angle!$L$7*$B526</f>
      </c>
      <c r="K526" s="12">
        <f>IF(J526&gt;0,IF(J526&lt;=eco,alpha*fck*(1-(1-J526/eco)^n),alpha*fck),0)</f>
      </c>
      <c r="L526" s="30">
        <f>PM_Angle!$J$8+PM_Angle!$K$8*$C526+PM_Angle!$L$8*$B526</f>
      </c>
      <c r="M526" s="12">
        <f>IF(L526&gt;0,IF(L526&lt;=eco,alpha*fck*(1-(1-L526/eco)^n),alpha*fck),0)</f>
      </c>
      <c r="N526" s="30">
        <f>PM_Angle!$J$9+PM_Angle!$K$9*$C526+PM_Angle!$L$9*$B526</f>
      </c>
      <c r="O526" s="12">
        <f>IF(N526&gt;0,IF(N526&lt;=eco,alpha*fck*(1-(1-N526/eco)^n),alpha*fck),0)</f>
      </c>
      <c r="P526" s="30">
        <f>PM_Angle!$J$10+PM_Angle!$K$10*$C526+PM_Angle!$L$10*$B526</f>
      </c>
      <c r="Q526" s="12">
        <f>IF(P526&gt;0,IF(P526&lt;=eco,alpha*fck*(1-(1-P526/eco)^n),alpha*fck),0)</f>
      </c>
      <c r="R526" s="30">
        <f>PM_Angle!$J$11+PM_Angle!$K$11*$C526+PM_Angle!$L$11*$B526</f>
      </c>
      <c r="S526" s="12">
        <f>IF(R526&gt;0,IF(R526&lt;=eco,alpha*fck*(1-(1-R526/eco)^n),alpha*fck),0)</f>
      </c>
      <c r="T526" s="30">
        <f>PM_Angle!$J$12+PM_Angle!$K$12*$C526+PM_Angle!$L$12*$B526</f>
      </c>
      <c r="U526" s="12">
        <f>IF(T526&gt;0,IF(T526&lt;=eco,alpha*fck*(1-(1-T526/eco)^n),alpha*fck),0)</f>
      </c>
      <c r="V526" s="30">
        <f>PM_Angle!$J$13+PM_Angle!$K$13*$C526+PM_Angle!$L$13*$B526</f>
      </c>
      <c r="W526" s="12">
        <f>IF(V526&gt;0,IF(V526&lt;=eco,alpha*fck*(1-(1-V526/eco)^n),alpha*fck),0)</f>
      </c>
      <c r="X526" s="30">
        <f>PM_Angle!$J$14+PM_Angle!$K$14*$C526+PM_Angle!$L$14*$B526</f>
      </c>
      <c r="Y526" s="12">
        <f>IF(X526&gt;0,IF(X526&lt;=eco,alpha*fck*(1-(1-X526/eco)^n),alpha*fck),0)</f>
      </c>
      <c r="Z526" s="30">
        <f>PM_Angle!$J$15+PM_Angle!$K$15*$C526+PM_Angle!$L$15*$B526</f>
      </c>
      <c r="AA526" s="12">
        <f>IF(Z526&gt;0,IF(Z526&lt;=eco,alpha*fck*(1-(1-Z526/eco)^n),alpha*fck),0)</f>
      </c>
      <c r="AB526" s="30">
        <f>PM_Angle!$J$16+PM_Angle!$K$16*$C526+PM_Angle!$L$16*$B526</f>
      </c>
      <c r="AC526" s="12">
        <f>IF(AB526&gt;0,IF(AB526&lt;=eco,alpha*fck*(1-(1-AB526/eco)^n),alpha*fck),0)</f>
      </c>
      <c r="AD526" s="30">
        <f>PM_Angle!$J$17+PM_Angle!$K$17*$C526+PM_Angle!$L$17*$B526</f>
      </c>
      <c r="AE526" s="12">
        <f>IF(AD526&gt;0,IF(AD526&lt;=eco,alpha*fck*(1-(1-AD526/eco)^n),alpha*fck),0)</f>
      </c>
      <c r="AF526" s="30">
        <f>PM_Angle!$J$18+PM_Angle!$K$18*$C526+PM_Angle!$L$18*$B526</f>
      </c>
      <c r="AG526" s="12">
        <f>IF(AF526&gt;0,IF(AF526&lt;=eco,alpha*fck*(1-(1-AF526/eco)^n),alpha*fck),0)</f>
      </c>
      <c r="AH526" s="30">
        <f>PM_Angle!$J$19+PM_Angle!$K$19*$C526+PM_Angle!$L$19*$B526</f>
      </c>
      <c r="AI526" s="12">
        <f>IF(AH526&gt;0,IF(AH526&lt;=eco,alpha*fck*(1-(1-AH526/eco)^n),alpha*fck),0)</f>
      </c>
      <c r="AJ526" s="30">
        <f>PM_Angle!$J$20+PM_Angle!$K$20*$C526+PM_Angle!$L$20*$B526</f>
      </c>
      <c r="AK526" s="12">
        <f>IF(AJ526&gt;0,IF(AJ526&lt;=eco,alpha*fck*(1-(1-AJ526/eco)^n),alpha*fck),0)</f>
      </c>
      <c r="AL526" s="30">
        <f>PM_Angle!$J$21+PM_Angle!$K$21*$C526+PM_Angle!$L$21*$B526</f>
      </c>
      <c r="AM526" s="12">
        <f>IF(AL526&gt;0,IF(AL526&lt;=eco,alpha*fck*(1-(1-AL526/eco)^n),alpha*fck),0)</f>
      </c>
      <c r="AN526" s="30">
        <f>PM_Angle!$J$22+PM_Angle!$K$22*$C526+PM_Angle!$L$22*$B526</f>
      </c>
      <c r="AO526" s="12">
        <f>IF(AN526&gt;0,IF(AN526&lt;=eco,alpha*fck*(1-(1-AN526/eco)^n),alpha*fck),0)</f>
      </c>
      <c r="AP526" s="30">
        <f>PM_Angle!$J$23+PM_Angle!$K$23*$C526+PM_Angle!$L$23*$B526</f>
      </c>
      <c r="AQ526" s="12">
        <f>IF(AP526&gt;0,IF(AP526&lt;=eco,alpha*fck*(1-(1-AP526/eco)^n),alpha*fck),0)</f>
      </c>
      <c r="AR526" s="30">
        <f>PM_Angle!$J$24+PM_Angle!$K$24*$C526+PM_Angle!$L$24*$B526</f>
      </c>
      <c r="AS526" s="12">
        <f>IF(AR526&gt;0,IF(AR526&lt;=eco,alpha*fck*(1-(1-AR526/eco)^n),alpha*fck),0)</f>
      </c>
      <c r="AT526" s="30">
        <f>PM_Angle!$J$25+PM_Angle!$K$25*$C526+PM_Angle!$L$25*$B526</f>
      </c>
      <c r="AU526" s="12">
        <f>IF(AT526&gt;0,IF(AT526&lt;=eco,alpha*fck*(1-(1-AT526/eco)^n),alpha*fck),0)</f>
      </c>
    </row>
    <row r="527" spans="1:47" x14ac:dyDescent="0.25">
      <c r="A527">
        <f>Mesh!A524</f>
      </c>
      <c r="B527" s="12">
        <f>Mesh!B524</f>
      </c>
      <c r="C527" s="12">
        <f>Mesh!C524</f>
      </c>
      <c r="D527" s="12">
        <f>Mesh!D524</f>
      </c>
      <c r="E527" s="30">
        <f>INDEX(St_e0,Det+1)+INDEX(St_kx,Det+1)*C527+INDEX(St_ky,Det+1)*B527</f>
      </c>
      <c r="F527" s="12">
        <f>IF(E527&gt;0,IF(E527&lt;=eco,alpha*fck*(1-(1-E527/eco)^n),alpha*fck),0)</f>
      </c>
      <c r="G527" s="11">
        <f>F527*D527</f>
      </c>
      <c r="H527" s="11">
        <f>G527*C527</f>
      </c>
      <c r="I527" s="11">
        <f>G527*B527</f>
      </c>
      <c r="J527" s="30">
        <f>PM_Angle!$J$7+PM_Angle!$K$7*$C527+PM_Angle!$L$7*$B527</f>
      </c>
      <c r="K527" s="12">
        <f>IF(J527&gt;0,IF(J527&lt;=eco,alpha*fck*(1-(1-J527/eco)^n),alpha*fck),0)</f>
      </c>
      <c r="L527" s="30">
        <f>PM_Angle!$J$8+PM_Angle!$K$8*$C527+PM_Angle!$L$8*$B527</f>
      </c>
      <c r="M527" s="12">
        <f>IF(L527&gt;0,IF(L527&lt;=eco,alpha*fck*(1-(1-L527/eco)^n),alpha*fck),0)</f>
      </c>
      <c r="N527" s="30">
        <f>PM_Angle!$J$9+PM_Angle!$K$9*$C527+PM_Angle!$L$9*$B527</f>
      </c>
      <c r="O527" s="12">
        <f>IF(N527&gt;0,IF(N527&lt;=eco,alpha*fck*(1-(1-N527/eco)^n),alpha*fck),0)</f>
      </c>
      <c r="P527" s="30">
        <f>PM_Angle!$J$10+PM_Angle!$K$10*$C527+PM_Angle!$L$10*$B527</f>
      </c>
      <c r="Q527" s="12">
        <f>IF(P527&gt;0,IF(P527&lt;=eco,alpha*fck*(1-(1-P527/eco)^n),alpha*fck),0)</f>
      </c>
      <c r="R527" s="30">
        <f>PM_Angle!$J$11+PM_Angle!$K$11*$C527+PM_Angle!$L$11*$B527</f>
      </c>
      <c r="S527" s="12">
        <f>IF(R527&gt;0,IF(R527&lt;=eco,alpha*fck*(1-(1-R527/eco)^n),alpha*fck),0)</f>
      </c>
      <c r="T527" s="30">
        <f>PM_Angle!$J$12+PM_Angle!$K$12*$C527+PM_Angle!$L$12*$B527</f>
      </c>
      <c r="U527" s="12">
        <f>IF(T527&gt;0,IF(T527&lt;=eco,alpha*fck*(1-(1-T527/eco)^n),alpha*fck),0)</f>
      </c>
      <c r="V527" s="30">
        <f>PM_Angle!$J$13+PM_Angle!$K$13*$C527+PM_Angle!$L$13*$B527</f>
      </c>
      <c r="W527" s="12">
        <f>IF(V527&gt;0,IF(V527&lt;=eco,alpha*fck*(1-(1-V527/eco)^n),alpha*fck),0)</f>
      </c>
      <c r="X527" s="30">
        <f>PM_Angle!$J$14+PM_Angle!$K$14*$C527+PM_Angle!$L$14*$B527</f>
      </c>
      <c r="Y527" s="12">
        <f>IF(X527&gt;0,IF(X527&lt;=eco,alpha*fck*(1-(1-X527/eco)^n),alpha*fck),0)</f>
      </c>
      <c r="Z527" s="30">
        <f>PM_Angle!$J$15+PM_Angle!$K$15*$C527+PM_Angle!$L$15*$B527</f>
      </c>
      <c r="AA527" s="12">
        <f>IF(Z527&gt;0,IF(Z527&lt;=eco,alpha*fck*(1-(1-Z527/eco)^n),alpha*fck),0)</f>
      </c>
      <c r="AB527" s="30">
        <f>PM_Angle!$J$16+PM_Angle!$K$16*$C527+PM_Angle!$L$16*$B527</f>
      </c>
      <c r="AC527" s="12">
        <f>IF(AB527&gt;0,IF(AB527&lt;=eco,alpha*fck*(1-(1-AB527/eco)^n),alpha*fck),0)</f>
      </c>
      <c r="AD527" s="30">
        <f>PM_Angle!$J$17+PM_Angle!$K$17*$C527+PM_Angle!$L$17*$B527</f>
      </c>
      <c r="AE527" s="12">
        <f>IF(AD527&gt;0,IF(AD527&lt;=eco,alpha*fck*(1-(1-AD527/eco)^n),alpha*fck),0)</f>
      </c>
      <c r="AF527" s="30">
        <f>PM_Angle!$J$18+PM_Angle!$K$18*$C527+PM_Angle!$L$18*$B527</f>
      </c>
      <c r="AG527" s="12">
        <f>IF(AF527&gt;0,IF(AF527&lt;=eco,alpha*fck*(1-(1-AF527/eco)^n),alpha*fck),0)</f>
      </c>
      <c r="AH527" s="30">
        <f>PM_Angle!$J$19+PM_Angle!$K$19*$C527+PM_Angle!$L$19*$B527</f>
      </c>
      <c r="AI527" s="12">
        <f>IF(AH527&gt;0,IF(AH527&lt;=eco,alpha*fck*(1-(1-AH527/eco)^n),alpha*fck),0)</f>
      </c>
      <c r="AJ527" s="30">
        <f>PM_Angle!$J$20+PM_Angle!$K$20*$C527+PM_Angle!$L$20*$B527</f>
      </c>
      <c r="AK527" s="12">
        <f>IF(AJ527&gt;0,IF(AJ527&lt;=eco,alpha*fck*(1-(1-AJ527/eco)^n),alpha*fck),0)</f>
      </c>
      <c r="AL527" s="30">
        <f>PM_Angle!$J$21+PM_Angle!$K$21*$C527+PM_Angle!$L$21*$B527</f>
      </c>
      <c r="AM527" s="12">
        <f>IF(AL527&gt;0,IF(AL527&lt;=eco,alpha*fck*(1-(1-AL527/eco)^n),alpha*fck),0)</f>
      </c>
      <c r="AN527" s="30">
        <f>PM_Angle!$J$22+PM_Angle!$K$22*$C527+PM_Angle!$L$22*$B527</f>
      </c>
      <c r="AO527" s="12">
        <f>IF(AN527&gt;0,IF(AN527&lt;=eco,alpha*fck*(1-(1-AN527/eco)^n),alpha*fck),0)</f>
      </c>
      <c r="AP527" s="30">
        <f>PM_Angle!$J$23+PM_Angle!$K$23*$C527+PM_Angle!$L$23*$B527</f>
      </c>
      <c r="AQ527" s="12">
        <f>IF(AP527&gt;0,IF(AP527&lt;=eco,alpha*fck*(1-(1-AP527/eco)^n),alpha*fck),0)</f>
      </c>
      <c r="AR527" s="30">
        <f>PM_Angle!$J$24+PM_Angle!$K$24*$C527+PM_Angle!$L$24*$B527</f>
      </c>
      <c r="AS527" s="12">
        <f>IF(AR527&gt;0,IF(AR527&lt;=eco,alpha*fck*(1-(1-AR527/eco)^n),alpha*fck),0)</f>
      </c>
      <c r="AT527" s="30">
        <f>PM_Angle!$J$25+PM_Angle!$K$25*$C527+PM_Angle!$L$25*$B527</f>
      </c>
      <c r="AU527" s="12">
        <f>IF(AT527&gt;0,IF(AT527&lt;=eco,alpha*fck*(1-(1-AT527/eco)^n),alpha*fck),0)</f>
      </c>
    </row>
    <row r="528" spans="1:47" x14ac:dyDescent="0.25">
      <c r="A528">
        <f>Mesh!A525</f>
      </c>
      <c r="B528" s="12">
        <f>Mesh!B525</f>
      </c>
      <c r="C528" s="12">
        <f>Mesh!C525</f>
      </c>
      <c r="D528" s="12">
        <f>Mesh!D525</f>
      </c>
      <c r="E528" s="30">
        <f>INDEX(St_e0,Det+1)+INDEX(St_kx,Det+1)*C528+INDEX(St_ky,Det+1)*B528</f>
      </c>
      <c r="F528" s="12">
        <f>IF(E528&gt;0,IF(E528&lt;=eco,alpha*fck*(1-(1-E528/eco)^n),alpha*fck),0)</f>
      </c>
      <c r="G528" s="11">
        <f>F528*D528</f>
      </c>
      <c r="H528" s="11">
        <f>G528*C528</f>
      </c>
      <c r="I528" s="11">
        <f>G528*B528</f>
      </c>
      <c r="J528" s="30">
        <f>PM_Angle!$J$7+PM_Angle!$K$7*$C528+PM_Angle!$L$7*$B528</f>
      </c>
      <c r="K528" s="12">
        <f>IF(J528&gt;0,IF(J528&lt;=eco,alpha*fck*(1-(1-J528/eco)^n),alpha*fck),0)</f>
      </c>
      <c r="L528" s="30">
        <f>PM_Angle!$J$8+PM_Angle!$K$8*$C528+PM_Angle!$L$8*$B528</f>
      </c>
      <c r="M528" s="12">
        <f>IF(L528&gt;0,IF(L528&lt;=eco,alpha*fck*(1-(1-L528/eco)^n),alpha*fck),0)</f>
      </c>
      <c r="N528" s="30">
        <f>PM_Angle!$J$9+PM_Angle!$K$9*$C528+PM_Angle!$L$9*$B528</f>
      </c>
      <c r="O528" s="12">
        <f>IF(N528&gt;0,IF(N528&lt;=eco,alpha*fck*(1-(1-N528/eco)^n),alpha*fck),0)</f>
      </c>
      <c r="P528" s="30">
        <f>PM_Angle!$J$10+PM_Angle!$K$10*$C528+PM_Angle!$L$10*$B528</f>
      </c>
      <c r="Q528" s="12">
        <f>IF(P528&gt;0,IF(P528&lt;=eco,alpha*fck*(1-(1-P528/eco)^n),alpha*fck),0)</f>
      </c>
      <c r="R528" s="30">
        <f>PM_Angle!$J$11+PM_Angle!$K$11*$C528+PM_Angle!$L$11*$B528</f>
      </c>
      <c r="S528" s="12">
        <f>IF(R528&gt;0,IF(R528&lt;=eco,alpha*fck*(1-(1-R528/eco)^n),alpha*fck),0)</f>
      </c>
      <c r="T528" s="30">
        <f>PM_Angle!$J$12+PM_Angle!$K$12*$C528+PM_Angle!$L$12*$B528</f>
      </c>
      <c r="U528" s="12">
        <f>IF(T528&gt;0,IF(T528&lt;=eco,alpha*fck*(1-(1-T528/eco)^n),alpha*fck),0)</f>
      </c>
      <c r="V528" s="30">
        <f>PM_Angle!$J$13+PM_Angle!$K$13*$C528+PM_Angle!$L$13*$B528</f>
      </c>
      <c r="W528" s="12">
        <f>IF(V528&gt;0,IF(V528&lt;=eco,alpha*fck*(1-(1-V528/eco)^n),alpha*fck),0)</f>
      </c>
      <c r="X528" s="30">
        <f>PM_Angle!$J$14+PM_Angle!$K$14*$C528+PM_Angle!$L$14*$B528</f>
      </c>
      <c r="Y528" s="12">
        <f>IF(X528&gt;0,IF(X528&lt;=eco,alpha*fck*(1-(1-X528/eco)^n),alpha*fck),0)</f>
      </c>
      <c r="Z528" s="30">
        <f>PM_Angle!$J$15+PM_Angle!$K$15*$C528+PM_Angle!$L$15*$B528</f>
      </c>
      <c r="AA528" s="12">
        <f>IF(Z528&gt;0,IF(Z528&lt;=eco,alpha*fck*(1-(1-Z528/eco)^n),alpha*fck),0)</f>
      </c>
      <c r="AB528" s="30">
        <f>PM_Angle!$J$16+PM_Angle!$K$16*$C528+PM_Angle!$L$16*$B528</f>
      </c>
      <c r="AC528" s="12">
        <f>IF(AB528&gt;0,IF(AB528&lt;=eco,alpha*fck*(1-(1-AB528/eco)^n),alpha*fck),0)</f>
      </c>
      <c r="AD528" s="30">
        <f>PM_Angle!$J$17+PM_Angle!$K$17*$C528+PM_Angle!$L$17*$B528</f>
      </c>
      <c r="AE528" s="12">
        <f>IF(AD528&gt;0,IF(AD528&lt;=eco,alpha*fck*(1-(1-AD528/eco)^n),alpha*fck),0)</f>
      </c>
      <c r="AF528" s="30">
        <f>PM_Angle!$J$18+PM_Angle!$K$18*$C528+PM_Angle!$L$18*$B528</f>
      </c>
      <c r="AG528" s="12">
        <f>IF(AF528&gt;0,IF(AF528&lt;=eco,alpha*fck*(1-(1-AF528/eco)^n),alpha*fck),0)</f>
      </c>
      <c r="AH528" s="30">
        <f>PM_Angle!$J$19+PM_Angle!$K$19*$C528+PM_Angle!$L$19*$B528</f>
      </c>
      <c r="AI528" s="12">
        <f>IF(AH528&gt;0,IF(AH528&lt;=eco,alpha*fck*(1-(1-AH528/eco)^n),alpha*fck),0)</f>
      </c>
      <c r="AJ528" s="30">
        <f>PM_Angle!$J$20+PM_Angle!$K$20*$C528+PM_Angle!$L$20*$B528</f>
      </c>
      <c r="AK528" s="12">
        <f>IF(AJ528&gt;0,IF(AJ528&lt;=eco,alpha*fck*(1-(1-AJ528/eco)^n),alpha*fck),0)</f>
      </c>
      <c r="AL528" s="30">
        <f>PM_Angle!$J$21+PM_Angle!$K$21*$C528+PM_Angle!$L$21*$B528</f>
      </c>
      <c r="AM528" s="12">
        <f>IF(AL528&gt;0,IF(AL528&lt;=eco,alpha*fck*(1-(1-AL528/eco)^n),alpha*fck),0)</f>
      </c>
      <c r="AN528" s="30">
        <f>PM_Angle!$J$22+PM_Angle!$K$22*$C528+PM_Angle!$L$22*$B528</f>
      </c>
      <c r="AO528" s="12">
        <f>IF(AN528&gt;0,IF(AN528&lt;=eco,alpha*fck*(1-(1-AN528/eco)^n),alpha*fck),0)</f>
      </c>
      <c r="AP528" s="30">
        <f>PM_Angle!$J$23+PM_Angle!$K$23*$C528+PM_Angle!$L$23*$B528</f>
      </c>
      <c r="AQ528" s="12">
        <f>IF(AP528&gt;0,IF(AP528&lt;=eco,alpha*fck*(1-(1-AP528/eco)^n),alpha*fck),0)</f>
      </c>
      <c r="AR528" s="30">
        <f>PM_Angle!$J$24+PM_Angle!$K$24*$C528+PM_Angle!$L$24*$B528</f>
      </c>
      <c r="AS528" s="12">
        <f>IF(AR528&gt;0,IF(AR528&lt;=eco,alpha*fck*(1-(1-AR528/eco)^n),alpha*fck),0)</f>
      </c>
      <c r="AT528" s="30">
        <f>PM_Angle!$J$25+PM_Angle!$K$25*$C528+PM_Angle!$L$25*$B528</f>
      </c>
      <c r="AU528" s="12">
        <f>IF(AT528&gt;0,IF(AT528&lt;=eco,alpha*fck*(1-(1-AT528/eco)^n),alpha*fck),0)</f>
      </c>
    </row>
    <row r="529" spans="1:47" x14ac:dyDescent="0.25">
      <c r="A529">
        <f>Mesh!A526</f>
      </c>
      <c r="B529" s="12">
        <f>Mesh!B526</f>
      </c>
      <c r="C529" s="12">
        <f>Mesh!C526</f>
      </c>
      <c r="D529" s="12">
        <f>Mesh!D526</f>
      </c>
      <c r="E529" s="30">
        <f>INDEX(St_e0,Det+1)+INDEX(St_kx,Det+1)*C529+INDEX(St_ky,Det+1)*B529</f>
      </c>
      <c r="F529" s="12">
        <f>IF(E529&gt;0,IF(E529&lt;=eco,alpha*fck*(1-(1-E529/eco)^n),alpha*fck),0)</f>
      </c>
      <c r="G529" s="11">
        <f>F529*D529</f>
      </c>
      <c r="H529" s="11">
        <f>G529*C529</f>
      </c>
      <c r="I529" s="11">
        <f>G529*B529</f>
      </c>
      <c r="J529" s="30">
        <f>PM_Angle!$J$7+PM_Angle!$K$7*$C529+PM_Angle!$L$7*$B529</f>
      </c>
      <c r="K529" s="12">
        <f>IF(J529&gt;0,IF(J529&lt;=eco,alpha*fck*(1-(1-J529/eco)^n),alpha*fck),0)</f>
      </c>
      <c r="L529" s="30">
        <f>PM_Angle!$J$8+PM_Angle!$K$8*$C529+PM_Angle!$L$8*$B529</f>
      </c>
      <c r="M529" s="12">
        <f>IF(L529&gt;0,IF(L529&lt;=eco,alpha*fck*(1-(1-L529/eco)^n),alpha*fck),0)</f>
      </c>
      <c r="N529" s="30">
        <f>PM_Angle!$J$9+PM_Angle!$K$9*$C529+PM_Angle!$L$9*$B529</f>
      </c>
      <c r="O529" s="12">
        <f>IF(N529&gt;0,IF(N529&lt;=eco,alpha*fck*(1-(1-N529/eco)^n),alpha*fck),0)</f>
      </c>
      <c r="P529" s="30">
        <f>PM_Angle!$J$10+PM_Angle!$K$10*$C529+PM_Angle!$L$10*$B529</f>
      </c>
      <c r="Q529" s="12">
        <f>IF(P529&gt;0,IF(P529&lt;=eco,alpha*fck*(1-(1-P529/eco)^n),alpha*fck),0)</f>
      </c>
      <c r="R529" s="30">
        <f>PM_Angle!$J$11+PM_Angle!$K$11*$C529+PM_Angle!$L$11*$B529</f>
      </c>
      <c r="S529" s="12">
        <f>IF(R529&gt;0,IF(R529&lt;=eco,alpha*fck*(1-(1-R529/eco)^n),alpha*fck),0)</f>
      </c>
      <c r="T529" s="30">
        <f>PM_Angle!$J$12+PM_Angle!$K$12*$C529+PM_Angle!$L$12*$B529</f>
      </c>
      <c r="U529" s="12">
        <f>IF(T529&gt;0,IF(T529&lt;=eco,alpha*fck*(1-(1-T529/eco)^n),alpha*fck),0)</f>
      </c>
      <c r="V529" s="30">
        <f>PM_Angle!$J$13+PM_Angle!$K$13*$C529+PM_Angle!$L$13*$B529</f>
      </c>
      <c r="W529" s="12">
        <f>IF(V529&gt;0,IF(V529&lt;=eco,alpha*fck*(1-(1-V529/eco)^n),alpha*fck),0)</f>
      </c>
      <c r="X529" s="30">
        <f>PM_Angle!$J$14+PM_Angle!$K$14*$C529+PM_Angle!$L$14*$B529</f>
      </c>
      <c r="Y529" s="12">
        <f>IF(X529&gt;0,IF(X529&lt;=eco,alpha*fck*(1-(1-X529/eco)^n),alpha*fck),0)</f>
      </c>
      <c r="Z529" s="30">
        <f>PM_Angle!$J$15+PM_Angle!$K$15*$C529+PM_Angle!$L$15*$B529</f>
      </c>
      <c r="AA529" s="12">
        <f>IF(Z529&gt;0,IF(Z529&lt;=eco,alpha*fck*(1-(1-Z529/eco)^n),alpha*fck),0)</f>
      </c>
      <c r="AB529" s="30">
        <f>PM_Angle!$J$16+PM_Angle!$K$16*$C529+PM_Angle!$L$16*$B529</f>
      </c>
      <c r="AC529" s="12">
        <f>IF(AB529&gt;0,IF(AB529&lt;=eco,alpha*fck*(1-(1-AB529/eco)^n),alpha*fck),0)</f>
      </c>
      <c r="AD529" s="30">
        <f>PM_Angle!$J$17+PM_Angle!$K$17*$C529+PM_Angle!$L$17*$B529</f>
      </c>
      <c r="AE529" s="12">
        <f>IF(AD529&gt;0,IF(AD529&lt;=eco,alpha*fck*(1-(1-AD529/eco)^n),alpha*fck),0)</f>
      </c>
      <c r="AF529" s="30">
        <f>PM_Angle!$J$18+PM_Angle!$K$18*$C529+PM_Angle!$L$18*$B529</f>
      </c>
      <c r="AG529" s="12">
        <f>IF(AF529&gt;0,IF(AF529&lt;=eco,alpha*fck*(1-(1-AF529/eco)^n),alpha*fck),0)</f>
      </c>
      <c r="AH529" s="30">
        <f>PM_Angle!$J$19+PM_Angle!$K$19*$C529+PM_Angle!$L$19*$B529</f>
      </c>
      <c r="AI529" s="12">
        <f>IF(AH529&gt;0,IF(AH529&lt;=eco,alpha*fck*(1-(1-AH529/eco)^n),alpha*fck),0)</f>
      </c>
      <c r="AJ529" s="30">
        <f>PM_Angle!$J$20+PM_Angle!$K$20*$C529+PM_Angle!$L$20*$B529</f>
      </c>
      <c r="AK529" s="12">
        <f>IF(AJ529&gt;0,IF(AJ529&lt;=eco,alpha*fck*(1-(1-AJ529/eco)^n),alpha*fck),0)</f>
      </c>
      <c r="AL529" s="30">
        <f>PM_Angle!$J$21+PM_Angle!$K$21*$C529+PM_Angle!$L$21*$B529</f>
      </c>
      <c r="AM529" s="12">
        <f>IF(AL529&gt;0,IF(AL529&lt;=eco,alpha*fck*(1-(1-AL529/eco)^n),alpha*fck),0)</f>
      </c>
      <c r="AN529" s="30">
        <f>PM_Angle!$J$22+PM_Angle!$K$22*$C529+PM_Angle!$L$22*$B529</f>
      </c>
      <c r="AO529" s="12">
        <f>IF(AN529&gt;0,IF(AN529&lt;=eco,alpha*fck*(1-(1-AN529/eco)^n),alpha*fck),0)</f>
      </c>
      <c r="AP529" s="30">
        <f>PM_Angle!$J$23+PM_Angle!$K$23*$C529+PM_Angle!$L$23*$B529</f>
      </c>
      <c r="AQ529" s="12">
        <f>IF(AP529&gt;0,IF(AP529&lt;=eco,alpha*fck*(1-(1-AP529/eco)^n),alpha*fck),0)</f>
      </c>
      <c r="AR529" s="30">
        <f>PM_Angle!$J$24+PM_Angle!$K$24*$C529+PM_Angle!$L$24*$B529</f>
      </c>
      <c r="AS529" s="12">
        <f>IF(AR529&gt;0,IF(AR529&lt;=eco,alpha*fck*(1-(1-AR529/eco)^n),alpha*fck),0)</f>
      </c>
      <c r="AT529" s="30">
        <f>PM_Angle!$J$25+PM_Angle!$K$25*$C529+PM_Angle!$L$25*$B529</f>
      </c>
      <c r="AU529" s="12">
        <f>IF(AT529&gt;0,IF(AT529&lt;=eco,alpha*fck*(1-(1-AT529/eco)^n),alpha*fck),0)</f>
      </c>
    </row>
    <row r="530" spans="1:47" x14ac:dyDescent="0.25">
      <c r="A530">
        <f>Mesh!A527</f>
      </c>
      <c r="B530" s="12">
        <f>Mesh!B527</f>
      </c>
      <c r="C530" s="12">
        <f>Mesh!C527</f>
      </c>
      <c r="D530" s="12">
        <f>Mesh!D527</f>
      </c>
      <c r="E530" s="30">
        <f>INDEX(St_e0,Det+1)+INDEX(St_kx,Det+1)*C530+INDEX(St_ky,Det+1)*B530</f>
      </c>
      <c r="F530" s="12">
        <f>IF(E530&gt;0,IF(E530&lt;=eco,alpha*fck*(1-(1-E530/eco)^n),alpha*fck),0)</f>
      </c>
      <c r="G530" s="11">
        <f>F530*D530</f>
      </c>
      <c r="H530" s="11">
        <f>G530*C530</f>
      </c>
      <c r="I530" s="11">
        <f>G530*B530</f>
      </c>
      <c r="J530" s="30">
        <f>PM_Angle!$J$7+PM_Angle!$K$7*$C530+PM_Angle!$L$7*$B530</f>
      </c>
      <c r="K530" s="12">
        <f>IF(J530&gt;0,IF(J530&lt;=eco,alpha*fck*(1-(1-J530/eco)^n),alpha*fck),0)</f>
      </c>
      <c r="L530" s="30">
        <f>PM_Angle!$J$8+PM_Angle!$K$8*$C530+PM_Angle!$L$8*$B530</f>
      </c>
      <c r="M530" s="12">
        <f>IF(L530&gt;0,IF(L530&lt;=eco,alpha*fck*(1-(1-L530/eco)^n),alpha*fck),0)</f>
      </c>
      <c r="N530" s="30">
        <f>PM_Angle!$J$9+PM_Angle!$K$9*$C530+PM_Angle!$L$9*$B530</f>
      </c>
      <c r="O530" s="12">
        <f>IF(N530&gt;0,IF(N530&lt;=eco,alpha*fck*(1-(1-N530/eco)^n),alpha*fck),0)</f>
      </c>
      <c r="P530" s="30">
        <f>PM_Angle!$J$10+PM_Angle!$K$10*$C530+PM_Angle!$L$10*$B530</f>
      </c>
      <c r="Q530" s="12">
        <f>IF(P530&gt;0,IF(P530&lt;=eco,alpha*fck*(1-(1-P530/eco)^n),alpha*fck),0)</f>
      </c>
      <c r="R530" s="30">
        <f>PM_Angle!$J$11+PM_Angle!$K$11*$C530+PM_Angle!$L$11*$B530</f>
      </c>
      <c r="S530" s="12">
        <f>IF(R530&gt;0,IF(R530&lt;=eco,alpha*fck*(1-(1-R530/eco)^n),alpha*fck),0)</f>
      </c>
      <c r="T530" s="30">
        <f>PM_Angle!$J$12+PM_Angle!$K$12*$C530+PM_Angle!$L$12*$B530</f>
      </c>
      <c r="U530" s="12">
        <f>IF(T530&gt;0,IF(T530&lt;=eco,alpha*fck*(1-(1-T530/eco)^n),alpha*fck),0)</f>
      </c>
      <c r="V530" s="30">
        <f>PM_Angle!$J$13+PM_Angle!$K$13*$C530+PM_Angle!$L$13*$B530</f>
      </c>
      <c r="W530" s="12">
        <f>IF(V530&gt;0,IF(V530&lt;=eco,alpha*fck*(1-(1-V530/eco)^n),alpha*fck),0)</f>
      </c>
      <c r="X530" s="30">
        <f>PM_Angle!$J$14+PM_Angle!$K$14*$C530+PM_Angle!$L$14*$B530</f>
      </c>
      <c r="Y530" s="12">
        <f>IF(X530&gt;0,IF(X530&lt;=eco,alpha*fck*(1-(1-X530/eco)^n),alpha*fck),0)</f>
      </c>
      <c r="Z530" s="30">
        <f>PM_Angle!$J$15+PM_Angle!$K$15*$C530+PM_Angle!$L$15*$B530</f>
      </c>
      <c r="AA530" s="12">
        <f>IF(Z530&gt;0,IF(Z530&lt;=eco,alpha*fck*(1-(1-Z530/eco)^n),alpha*fck),0)</f>
      </c>
      <c r="AB530" s="30">
        <f>PM_Angle!$J$16+PM_Angle!$K$16*$C530+PM_Angle!$L$16*$B530</f>
      </c>
      <c r="AC530" s="12">
        <f>IF(AB530&gt;0,IF(AB530&lt;=eco,alpha*fck*(1-(1-AB530/eco)^n),alpha*fck),0)</f>
      </c>
      <c r="AD530" s="30">
        <f>PM_Angle!$J$17+PM_Angle!$K$17*$C530+PM_Angle!$L$17*$B530</f>
      </c>
      <c r="AE530" s="12">
        <f>IF(AD530&gt;0,IF(AD530&lt;=eco,alpha*fck*(1-(1-AD530/eco)^n),alpha*fck),0)</f>
      </c>
      <c r="AF530" s="30">
        <f>PM_Angle!$J$18+PM_Angle!$K$18*$C530+PM_Angle!$L$18*$B530</f>
      </c>
      <c r="AG530" s="12">
        <f>IF(AF530&gt;0,IF(AF530&lt;=eco,alpha*fck*(1-(1-AF530/eco)^n),alpha*fck),0)</f>
      </c>
      <c r="AH530" s="30">
        <f>PM_Angle!$J$19+PM_Angle!$K$19*$C530+PM_Angle!$L$19*$B530</f>
      </c>
      <c r="AI530" s="12">
        <f>IF(AH530&gt;0,IF(AH530&lt;=eco,alpha*fck*(1-(1-AH530/eco)^n),alpha*fck),0)</f>
      </c>
      <c r="AJ530" s="30">
        <f>PM_Angle!$J$20+PM_Angle!$K$20*$C530+PM_Angle!$L$20*$B530</f>
      </c>
      <c r="AK530" s="12">
        <f>IF(AJ530&gt;0,IF(AJ530&lt;=eco,alpha*fck*(1-(1-AJ530/eco)^n),alpha*fck),0)</f>
      </c>
      <c r="AL530" s="30">
        <f>PM_Angle!$J$21+PM_Angle!$K$21*$C530+PM_Angle!$L$21*$B530</f>
      </c>
      <c r="AM530" s="12">
        <f>IF(AL530&gt;0,IF(AL530&lt;=eco,alpha*fck*(1-(1-AL530/eco)^n),alpha*fck),0)</f>
      </c>
      <c r="AN530" s="30">
        <f>PM_Angle!$J$22+PM_Angle!$K$22*$C530+PM_Angle!$L$22*$B530</f>
      </c>
      <c r="AO530" s="12">
        <f>IF(AN530&gt;0,IF(AN530&lt;=eco,alpha*fck*(1-(1-AN530/eco)^n),alpha*fck),0)</f>
      </c>
      <c r="AP530" s="30">
        <f>PM_Angle!$J$23+PM_Angle!$K$23*$C530+PM_Angle!$L$23*$B530</f>
      </c>
      <c r="AQ530" s="12">
        <f>IF(AP530&gt;0,IF(AP530&lt;=eco,alpha*fck*(1-(1-AP530/eco)^n),alpha*fck),0)</f>
      </c>
      <c r="AR530" s="30">
        <f>PM_Angle!$J$24+PM_Angle!$K$24*$C530+PM_Angle!$L$24*$B530</f>
      </c>
      <c r="AS530" s="12">
        <f>IF(AR530&gt;0,IF(AR530&lt;=eco,alpha*fck*(1-(1-AR530/eco)^n),alpha*fck),0)</f>
      </c>
      <c r="AT530" s="30">
        <f>PM_Angle!$J$25+PM_Angle!$K$25*$C530+PM_Angle!$L$25*$B530</f>
      </c>
      <c r="AU530" s="12">
        <f>IF(AT530&gt;0,IF(AT530&lt;=eco,alpha*fck*(1-(1-AT530/eco)^n),alpha*fck),0)</f>
      </c>
    </row>
    <row r="531" spans="1:47" x14ac:dyDescent="0.25">
      <c r="A531">
        <f>Mesh!A528</f>
      </c>
      <c r="B531" s="12">
        <f>Mesh!B528</f>
      </c>
      <c r="C531" s="12">
        <f>Mesh!C528</f>
      </c>
      <c r="D531" s="12">
        <f>Mesh!D528</f>
      </c>
      <c r="E531" s="30">
        <f>INDEX(St_e0,Det+1)+INDEX(St_kx,Det+1)*C531+INDEX(St_ky,Det+1)*B531</f>
      </c>
      <c r="F531" s="12">
        <f>IF(E531&gt;0,IF(E531&lt;=eco,alpha*fck*(1-(1-E531/eco)^n),alpha*fck),0)</f>
      </c>
      <c r="G531" s="11">
        <f>F531*D531</f>
      </c>
      <c r="H531" s="11">
        <f>G531*C531</f>
      </c>
      <c r="I531" s="11">
        <f>G531*B531</f>
      </c>
      <c r="J531" s="30">
        <f>PM_Angle!$J$7+PM_Angle!$K$7*$C531+PM_Angle!$L$7*$B531</f>
      </c>
      <c r="K531" s="12">
        <f>IF(J531&gt;0,IF(J531&lt;=eco,alpha*fck*(1-(1-J531/eco)^n),alpha*fck),0)</f>
      </c>
      <c r="L531" s="30">
        <f>PM_Angle!$J$8+PM_Angle!$K$8*$C531+PM_Angle!$L$8*$B531</f>
      </c>
      <c r="M531" s="12">
        <f>IF(L531&gt;0,IF(L531&lt;=eco,alpha*fck*(1-(1-L531/eco)^n),alpha*fck),0)</f>
      </c>
      <c r="N531" s="30">
        <f>PM_Angle!$J$9+PM_Angle!$K$9*$C531+PM_Angle!$L$9*$B531</f>
      </c>
      <c r="O531" s="12">
        <f>IF(N531&gt;0,IF(N531&lt;=eco,alpha*fck*(1-(1-N531/eco)^n),alpha*fck),0)</f>
      </c>
      <c r="P531" s="30">
        <f>PM_Angle!$J$10+PM_Angle!$K$10*$C531+PM_Angle!$L$10*$B531</f>
      </c>
      <c r="Q531" s="12">
        <f>IF(P531&gt;0,IF(P531&lt;=eco,alpha*fck*(1-(1-P531/eco)^n),alpha*fck),0)</f>
      </c>
      <c r="R531" s="30">
        <f>PM_Angle!$J$11+PM_Angle!$K$11*$C531+PM_Angle!$L$11*$B531</f>
      </c>
      <c r="S531" s="12">
        <f>IF(R531&gt;0,IF(R531&lt;=eco,alpha*fck*(1-(1-R531/eco)^n),alpha*fck),0)</f>
      </c>
      <c r="T531" s="30">
        <f>PM_Angle!$J$12+PM_Angle!$K$12*$C531+PM_Angle!$L$12*$B531</f>
      </c>
      <c r="U531" s="12">
        <f>IF(T531&gt;0,IF(T531&lt;=eco,alpha*fck*(1-(1-T531/eco)^n),alpha*fck),0)</f>
      </c>
      <c r="V531" s="30">
        <f>PM_Angle!$J$13+PM_Angle!$K$13*$C531+PM_Angle!$L$13*$B531</f>
      </c>
      <c r="W531" s="12">
        <f>IF(V531&gt;0,IF(V531&lt;=eco,alpha*fck*(1-(1-V531/eco)^n),alpha*fck),0)</f>
      </c>
      <c r="X531" s="30">
        <f>PM_Angle!$J$14+PM_Angle!$K$14*$C531+PM_Angle!$L$14*$B531</f>
      </c>
      <c r="Y531" s="12">
        <f>IF(X531&gt;0,IF(X531&lt;=eco,alpha*fck*(1-(1-X531/eco)^n),alpha*fck),0)</f>
      </c>
      <c r="Z531" s="30">
        <f>PM_Angle!$J$15+PM_Angle!$K$15*$C531+PM_Angle!$L$15*$B531</f>
      </c>
      <c r="AA531" s="12">
        <f>IF(Z531&gt;0,IF(Z531&lt;=eco,alpha*fck*(1-(1-Z531/eco)^n),alpha*fck),0)</f>
      </c>
      <c r="AB531" s="30">
        <f>PM_Angle!$J$16+PM_Angle!$K$16*$C531+PM_Angle!$L$16*$B531</f>
      </c>
      <c r="AC531" s="12">
        <f>IF(AB531&gt;0,IF(AB531&lt;=eco,alpha*fck*(1-(1-AB531/eco)^n),alpha*fck),0)</f>
      </c>
      <c r="AD531" s="30">
        <f>PM_Angle!$J$17+PM_Angle!$K$17*$C531+PM_Angle!$L$17*$B531</f>
      </c>
      <c r="AE531" s="12">
        <f>IF(AD531&gt;0,IF(AD531&lt;=eco,alpha*fck*(1-(1-AD531/eco)^n),alpha*fck),0)</f>
      </c>
      <c r="AF531" s="30">
        <f>PM_Angle!$J$18+PM_Angle!$K$18*$C531+PM_Angle!$L$18*$B531</f>
      </c>
      <c r="AG531" s="12">
        <f>IF(AF531&gt;0,IF(AF531&lt;=eco,alpha*fck*(1-(1-AF531/eco)^n),alpha*fck),0)</f>
      </c>
      <c r="AH531" s="30">
        <f>PM_Angle!$J$19+PM_Angle!$K$19*$C531+PM_Angle!$L$19*$B531</f>
      </c>
      <c r="AI531" s="12">
        <f>IF(AH531&gt;0,IF(AH531&lt;=eco,alpha*fck*(1-(1-AH531/eco)^n),alpha*fck),0)</f>
      </c>
      <c r="AJ531" s="30">
        <f>PM_Angle!$J$20+PM_Angle!$K$20*$C531+PM_Angle!$L$20*$B531</f>
      </c>
      <c r="AK531" s="12">
        <f>IF(AJ531&gt;0,IF(AJ531&lt;=eco,alpha*fck*(1-(1-AJ531/eco)^n),alpha*fck),0)</f>
      </c>
      <c r="AL531" s="30">
        <f>PM_Angle!$J$21+PM_Angle!$K$21*$C531+PM_Angle!$L$21*$B531</f>
      </c>
      <c r="AM531" s="12">
        <f>IF(AL531&gt;0,IF(AL531&lt;=eco,alpha*fck*(1-(1-AL531/eco)^n),alpha*fck),0)</f>
      </c>
      <c r="AN531" s="30">
        <f>PM_Angle!$J$22+PM_Angle!$K$22*$C531+PM_Angle!$L$22*$B531</f>
      </c>
      <c r="AO531" s="12">
        <f>IF(AN531&gt;0,IF(AN531&lt;=eco,alpha*fck*(1-(1-AN531/eco)^n),alpha*fck),0)</f>
      </c>
      <c r="AP531" s="30">
        <f>PM_Angle!$J$23+PM_Angle!$K$23*$C531+PM_Angle!$L$23*$B531</f>
      </c>
      <c r="AQ531" s="12">
        <f>IF(AP531&gt;0,IF(AP531&lt;=eco,alpha*fck*(1-(1-AP531/eco)^n),alpha*fck),0)</f>
      </c>
      <c r="AR531" s="30">
        <f>PM_Angle!$J$24+PM_Angle!$K$24*$C531+PM_Angle!$L$24*$B531</f>
      </c>
      <c r="AS531" s="12">
        <f>IF(AR531&gt;0,IF(AR531&lt;=eco,alpha*fck*(1-(1-AR531/eco)^n),alpha*fck),0)</f>
      </c>
      <c r="AT531" s="30">
        <f>PM_Angle!$J$25+PM_Angle!$K$25*$C531+PM_Angle!$L$25*$B531</f>
      </c>
      <c r="AU531" s="12">
        <f>IF(AT531&gt;0,IF(AT531&lt;=eco,alpha*fck*(1-(1-AT531/eco)^n),alpha*fck),0)</f>
      </c>
    </row>
    <row r="532" spans="1:47" x14ac:dyDescent="0.25">
      <c r="A532">
        <f>Mesh!A529</f>
      </c>
      <c r="B532" s="12">
        <f>Mesh!B529</f>
      </c>
      <c r="C532" s="12">
        <f>Mesh!C529</f>
      </c>
      <c r="D532" s="12">
        <f>Mesh!D529</f>
      </c>
      <c r="E532" s="30">
        <f>INDEX(St_e0,Det+1)+INDEX(St_kx,Det+1)*C532+INDEX(St_ky,Det+1)*B532</f>
      </c>
      <c r="F532" s="12">
        <f>IF(E532&gt;0,IF(E532&lt;=eco,alpha*fck*(1-(1-E532/eco)^n),alpha*fck),0)</f>
      </c>
      <c r="G532" s="11">
        <f>F532*D532</f>
      </c>
      <c r="H532" s="11">
        <f>G532*C532</f>
      </c>
      <c r="I532" s="11">
        <f>G532*B532</f>
      </c>
      <c r="J532" s="30">
        <f>PM_Angle!$J$7+PM_Angle!$K$7*$C532+PM_Angle!$L$7*$B532</f>
      </c>
      <c r="K532" s="12">
        <f>IF(J532&gt;0,IF(J532&lt;=eco,alpha*fck*(1-(1-J532/eco)^n),alpha*fck),0)</f>
      </c>
      <c r="L532" s="30">
        <f>PM_Angle!$J$8+PM_Angle!$K$8*$C532+PM_Angle!$L$8*$B532</f>
      </c>
      <c r="M532" s="12">
        <f>IF(L532&gt;0,IF(L532&lt;=eco,alpha*fck*(1-(1-L532/eco)^n),alpha*fck),0)</f>
      </c>
      <c r="N532" s="30">
        <f>PM_Angle!$J$9+PM_Angle!$K$9*$C532+PM_Angle!$L$9*$B532</f>
      </c>
      <c r="O532" s="12">
        <f>IF(N532&gt;0,IF(N532&lt;=eco,alpha*fck*(1-(1-N532/eco)^n),alpha*fck),0)</f>
      </c>
      <c r="P532" s="30">
        <f>PM_Angle!$J$10+PM_Angle!$K$10*$C532+PM_Angle!$L$10*$B532</f>
      </c>
      <c r="Q532" s="12">
        <f>IF(P532&gt;0,IF(P532&lt;=eco,alpha*fck*(1-(1-P532/eco)^n),alpha*fck),0)</f>
      </c>
      <c r="R532" s="30">
        <f>PM_Angle!$J$11+PM_Angle!$K$11*$C532+PM_Angle!$L$11*$B532</f>
      </c>
      <c r="S532" s="12">
        <f>IF(R532&gt;0,IF(R532&lt;=eco,alpha*fck*(1-(1-R532/eco)^n),alpha*fck),0)</f>
      </c>
      <c r="T532" s="30">
        <f>PM_Angle!$J$12+PM_Angle!$K$12*$C532+PM_Angle!$L$12*$B532</f>
      </c>
      <c r="U532" s="12">
        <f>IF(T532&gt;0,IF(T532&lt;=eco,alpha*fck*(1-(1-T532/eco)^n),alpha*fck),0)</f>
      </c>
      <c r="V532" s="30">
        <f>PM_Angle!$J$13+PM_Angle!$K$13*$C532+PM_Angle!$L$13*$B532</f>
      </c>
      <c r="W532" s="12">
        <f>IF(V532&gt;0,IF(V532&lt;=eco,alpha*fck*(1-(1-V532/eco)^n),alpha*fck),0)</f>
      </c>
      <c r="X532" s="30">
        <f>PM_Angle!$J$14+PM_Angle!$K$14*$C532+PM_Angle!$L$14*$B532</f>
      </c>
      <c r="Y532" s="12">
        <f>IF(X532&gt;0,IF(X532&lt;=eco,alpha*fck*(1-(1-X532/eco)^n),alpha*fck),0)</f>
      </c>
      <c r="Z532" s="30">
        <f>PM_Angle!$J$15+PM_Angle!$K$15*$C532+PM_Angle!$L$15*$B532</f>
      </c>
      <c r="AA532" s="12">
        <f>IF(Z532&gt;0,IF(Z532&lt;=eco,alpha*fck*(1-(1-Z532/eco)^n),alpha*fck),0)</f>
      </c>
      <c r="AB532" s="30">
        <f>PM_Angle!$J$16+PM_Angle!$K$16*$C532+PM_Angle!$L$16*$B532</f>
      </c>
      <c r="AC532" s="12">
        <f>IF(AB532&gt;0,IF(AB532&lt;=eco,alpha*fck*(1-(1-AB532/eco)^n),alpha*fck),0)</f>
      </c>
      <c r="AD532" s="30">
        <f>PM_Angle!$J$17+PM_Angle!$K$17*$C532+PM_Angle!$L$17*$B532</f>
      </c>
      <c r="AE532" s="12">
        <f>IF(AD532&gt;0,IF(AD532&lt;=eco,alpha*fck*(1-(1-AD532/eco)^n),alpha*fck),0)</f>
      </c>
      <c r="AF532" s="30">
        <f>PM_Angle!$J$18+PM_Angle!$K$18*$C532+PM_Angle!$L$18*$B532</f>
      </c>
      <c r="AG532" s="12">
        <f>IF(AF532&gt;0,IF(AF532&lt;=eco,alpha*fck*(1-(1-AF532/eco)^n),alpha*fck),0)</f>
      </c>
      <c r="AH532" s="30">
        <f>PM_Angle!$J$19+PM_Angle!$K$19*$C532+PM_Angle!$L$19*$B532</f>
      </c>
      <c r="AI532" s="12">
        <f>IF(AH532&gt;0,IF(AH532&lt;=eco,alpha*fck*(1-(1-AH532/eco)^n),alpha*fck),0)</f>
      </c>
      <c r="AJ532" s="30">
        <f>PM_Angle!$J$20+PM_Angle!$K$20*$C532+PM_Angle!$L$20*$B532</f>
      </c>
      <c r="AK532" s="12">
        <f>IF(AJ532&gt;0,IF(AJ532&lt;=eco,alpha*fck*(1-(1-AJ532/eco)^n),alpha*fck),0)</f>
      </c>
      <c r="AL532" s="30">
        <f>PM_Angle!$J$21+PM_Angle!$K$21*$C532+PM_Angle!$L$21*$B532</f>
      </c>
      <c r="AM532" s="12">
        <f>IF(AL532&gt;0,IF(AL532&lt;=eco,alpha*fck*(1-(1-AL532/eco)^n),alpha*fck),0)</f>
      </c>
      <c r="AN532" s="30">
        <f>PM_Angle!$J$22+PM_Angle!$K$22*$C532+PM_Angle!$L$22*$B532</f>
      </c>
      <c r="AO532" s="12">
        <f>IF(AN532&gt;0,IF(AN532&lt;=eco,alpha*fck*(1-(1-AN532/eco)^n),alpha*fck),0)</f>
      </c>
      <c r="AP532" s="30">
        <f>PM_Angle!$J$23+PM_Angle!$K$23*$C532+PM_Angle!$L$23*$B532</f>
      </c>
      <c r="AQ532" s="12">
        <f>IF(AP532&gt;0,IF(AP532&lt;=eco,alpha*fck*(1-(1-AP532/eco)^n),alpha*fck),0)</f>
      </c>
      <c r="AR532" s="30">
        <f>PM_Angle!$J$24+PM_Angle!$K$24*$C532+PM_Angle!$L$24*$B532</f>
      </c>
      <c r="AS532" s="12">
        <f>IF(AR532&gt;0,IF(AR532&lt;=eco,alpha*fck*(1-(1-AR532/eco)^n),alpha*fck),0)</f>
      </c>
      <c r="AT532" s="30">
        <f>PM_Angle!$J$25+PM_Angle!$K$25*$C532+PM_Angle!$L$25*$B532</f>
      </c>
      <c r="AU532" s="12">
        <f>IF(AT532&gt;0,IF(AT532&lt;=eco,alpha*fck*(1-(1-AT532/eco)^n),alpha*fck),0)</f>
      </c>
    </row>
    <row r="533" spans="1:47" x14ac:dyDescent="0.25">
      <c r="A533">
        <f>Mesh!A530</f>
      </c>
      <c r="B533" s="12">
        <f>Mesh!B530</f>
      </c>
      <c r="C533" s="12">
        <f>Mesh!C530</f>
      </c>
      <c r="D533" s="12">
        <f>Mesh!D530</f>
      </c>
      <c r="E533" s="30">
        <f>INDEX(St_e0,Det+1)+INDEX(St_kx,Det+1)*C533+INDEX(St_ky,Det+1)*B533</f>
      </c>
      <c r="F533" s="12">
        <f>IF(E533&gt;0,IF(E533&lt;=eco,alpha*fck*(1-(1-E533/eco)^n),alpha*fck),0)</f>
      </c>
      <c r="G533" s="11">
        <f>F533*D533</f>
      </c>
      <c r="H533" s="11">
        <f>G533*C533</f>
      </c>
      <c r="I533" s="11">
        <f>G533*B533</f>
      </c>
      <c r="J533" s="30">
        <f>PM_Angle!$J$7+PM_Angle!$K$7*$C533+PM_Angle!$L$7*$B533</f>
      </c>
      <c r="K533" s="12">
        <f>IF(J533&gt;0,IF(J533&lt;=eco,alpha*fck*(1-(1-J533/eco)^n),alpha*fck),0)</f>
      </c>
      <c r="L533" s="30">
        <f>PM_Angle!$J$8+PM_Angle!$K$8*$C533+PM_Angle!$L$8*$B533</f>
      </c>
      <c r="M533" s="12">
        <f>IF(L533&gt;0,IF(L533&lt;=eco,alpha*fck*(1-(1-L533/eco)^n),alpha*fck),0)</f>
      </c>
      <c r="N533" s="30">
        <f>PM_Angle!$J$9+PM_Angle!$K$9*$C533+PM_Angle!$L$9*$B533</f>
      </c>
      <c r="O533" s="12">
        <f>IF(N533&gt;0,IF(N533&lt;=eco,alpha*fck*(1-(1-N533/eco)^n),alpha*fck),0)</f>
      </c>
      <c r="P533" s="30">
        <f>PM_Angle!$J$10+PM_Angle!$K$10*$C533+PM_Angle!$L$10*$B533</f>
      </c>
      <c r="Q533" s="12">
        <f>IF(P533&gt;0,IF(P533&lt;=eco,alpha*fck*(1-(1-P533/eco)^n),alpha*fck),0)</f>
      </c>
      <c r="R533" s="30">
        <f>PM_Angle!$J$11+PM_Angle!$K$11*$C533+PM_Angle!$L$11*$B533</f>
      </c>
      <c r="S533" s="12">
        <f>IF(R533&gt;0,IF(R533&lt;=eco,alpha*fck*(1-(1-R533/eco)^n),alpha*fck),0)</f>
      </c>
      <c r="T533" s="30">
        <f>PM_Angle!$J$12+PM_Angle!$K$12*$C533+PM_Angle!$L$12*$B533</f>
      </c>
      <c r="U533" s="12">
        <f>IF(T533&gt;0,IF(T533&lt;=eco,alpha*fck*(1-(1-T533/eco)^n),alpha*fck),0)</f>
      </c>
      <c r="V533" s="30">
        <f>PM_Angle!$J$13+PM_Angle!$K$13*$C533+PM_Angle!$L$13*$B533</f>
      </c>
      <c r="W533" s="12">
        <f>IF(V533&gt;0,IF(V533&lt;=eco,alpha*fck*(1-(1-V533/eco)^n),alpha*fck),0)</f>
      </c>
      <c r="X533" s="30">
        <f>PM_Angle!$J$14+PM_Angle!$K$14*$C533+PM_Angle!$L$14*$B533</f>
      </c>
      <c r="Y533" s="12">
        <f>IF(X533&gt;0,IF(X533&lt;=eco,alpha*fck*(1-(1-X533/eco)^n),alpha*fck),0)</f>
      </c>
      <c r="Z533" s="30">
        <f>PM_Angle!$J$15+PM_Angle!$K$15*$C533+PM_Angle!$L$15*$B533</f>
      </c>
      <c r="AA533" s="12">
        <f>IF(Z533&gt;0,IF(Z533&lt;=eco,alpha*fck*(1-(1-Z533/eco)^n),alpha*fck),0)</f>
      </c>
      <c r="AB533" s="30">
        <f>PM_Angle!$J$16+PM_Angle!$K$16*$C533+PM_Angle!$L$16*$B533</f>
      </c>
      <c r="AC533" s="12">
        <f>IF(AB533&gt;0,IF(AB533&lt;=eco,alpha*fck*(1-(1-AB533/eco)^n),alpha*fck),0)</f>
      </c>
      <c r="AD533" s="30">
        <f>PM_Angle!$J$17+PM_Angle!$K$17*$C533+PM_Angle!$L$17*$B533</f>
      </c>
      <c r="AE533" s="12">
        <f>IF(AD533&gt;0,IF(AD533&lt;=eco,alpha*fck*(1-(1-AD533/eco)^n),alpha*fck),0)</f>
      </c>
      <c r="AF533" s="30">
        <f>PM_Angle!$J$18+PM_Angle!$K$18*$C533+PM_Angle!$L$18*$B533</f>
      </c>
      <c r="AG533" s="12">
        <f>IF(AF533&gt;0,IF(AF533&lt;=eco,alpha*fck*(1-(1-AF533/eco)^n),alpha*fck),0)</f>
      </c>
      <c r="AH533" s="30">
        <f>PM_Angle!$J$19+PM_Angle!$K$19*$C533+PM_Angle!$L$19*$B533</f>
      </c>
      <c r="AI533" s="12">
        <f>IF(AH533&gt;0,IF(AH533&lt;=eco,alpha*fck*(1-(1-AH533/eco)^n),alpha*fck),0)</f>
      </c>
      <c r="AJ533" s="30">
        <f>PM_Angle!$J$20+PM_Angle!$K$20*$C533+PM_Angle!$L$20*$B533</f>
      </c>
      <c r="AK533" s="12">
        <f>IF(AJ533&gt;0,IF(AJ533&lt;=eco,alpha*fck*(1-(1-AJ533/eco)^n),alpha*fck),0)</f>
      </c>
      <c r="AL533" s="30">
        <f>PM_Angle!$J$21+PM_Angle!$K$21*$C533+PM_Angle!$L$21*$B533</f>
      </c>
      <c r="AM533" s="12">
        <f>IF(AL533&gt;0,IF(AL533&lt;=eco,alpha*fck*(1-(1-AL533/eco)^n),alpha*fck),0)</f>
      </c>
      <c r="AN533" s="30">
        <f>PM_Angle!$J$22+PM_Angle!$K$22*$C533+PM_Angle!$L$22*$B533</f>
      </c>
      <c r="AO533" s="12">
        <f>IF(AN533&gt;0,IF(AN533&lt;=eco,alpha*fck*(1-(1-AN533/eco)^n),alpha*fck),0)</f>
      </c>
      <c r="AP533" s="30">
        <f>PM_Angle!$J$23+PM_Angle!$K$23*$C533+PM_Angle!$L$23*$B533</f>
      </c>
      <c r="AQ533" s="12">
        <f>IF(AP533&gt;0,IF(AP533&lt;=eco,alpha*fck*(1-(1-AP533/eco)^n),alpha*fck),0)</f>
      </c>
      <c r="AR533" s="30">
        <f>PM_Angle!$J$24+PM_Angle!$K$24*$C533+PM_Angle!$L$24*$B533</f>
      </c>
      <c r="AS533" s="12">
        <f>IF(AR533&gt;0,IF(AR533&lt;=eco,alpha*fck*(1-(1-AR533/eco)^n),alpha*fck),0)</f>
      </c>
      <c r="AT533" s="30">
        <f>PM_Angle!$J$25+PM_Angle!$K$25*$C533+PM_Angle!$L$25*$B533</f>
      </c>
      <c r="AU533" s="12">
        <f>IF(AT533&gt;0,IF(AT533&lt;=eco,alpha*fck*(1-(1-AT533/eco)^n),alpha*fck),0)</f>
      </c>
    </row>
    <row r="534" spans="1:47" x14ac:dyDescent="0.25">
      <c r="A534">
        <f>Mesh!A531</f>
      </c>
      <c r="B534" s="12">
        <f>Mesh!B531</f>
      </c>
      <c r="C534" s="12">
        <f>Mesh!C531</f>
      </c>
      <c r="D534" s="12">
        <f>Mesh!D531</f>
      </c>
      <c r="E534" s="30">
        <f>INDEX(St_e0,Det+1)+INDEX(St_kx,Det+1)*C534+INDEX(St_ky,Det+1)*B534</f>
      </c>
      <c r="F534" s="12">
        <f>IF(E534&gt;0,IF(E534&lt;=eco,alpha*fck*(1-(1-E534/eco)^n),alpha*fck),0)</f>
      </c>
      <c r="G534" s="11">
        <f>F534*D534</f>
      </c>
      <c r="H534" s="11">
        <f>G534*C534</f>
      </c>
      <c r="I534" s="11">
        <f>G534*B534</f>
      </c>
      <c r="J534" s="30">
        <f>PM_Angle!$J$7+PM_Angle!$K$7*$C534+PM_Angle!$L$7*$B534</f>
      </c>
      <c r="K534" s="12">
        <f>IF(J534&gt;0,IF(J534&lt;=eco,alpha*fck*(1-(1-J534/eco)^n),alpha*fck),0)</f>
      </c>
      <c r="L534" s="30">
        <f>PM_Angle!$J$8+PM_Angle!$K$8*$C534+PM_Angle!$L$8*$B534</f>
      </c>
      <c r="M534" s="12">
        <f>IF(L534&gt;0,IF(L534&lt;=eco,alpha*fck*(1-(1-L534/eco)^n),alpha*fck),0)</f>
      </c>
      <c r="N534" s="30">
        <f>PM_Angle!$J$9+PM_Angle!$K$9*$C534+PM_Angle!$L$9*$B534</f>
      </c>
      <c r="O534" s="12">
        <f>IF(N534&gt;0,IF(N534&lt;=eco,alpha*fck*(1-(1-N534/eco)^n),alpha*fck),0)</f>
      </c>
      <c r="P534" s="30">
        <f>PM_Angle!$J$10+PM_Angle!$K$10*$C534+PM_Angle!$L$10*$B534</f>
      </c>
      <c r="Q534" s="12">
        <f>IF(P534&gt;0,IF(P534&lt;=eco,alpha*fck*(1-(1-P534/eco)^n),alpha*fck),0)</f>
      </c>
      <c r="R534" s="30">
        <f>PM_Angle!$J$11+PM_Angle!$K$11*$C534+PM_Angle!$L$11*$B534</f>
      </c>
      <c r="S534" s="12">
        <f>IF(R534&gt;0,IF(R534&lt;=eco,alpha*fck*(1-(1-R534/eco)^n),alpha*fck),0)</f>
      </c>
      <c r="T534" s="30">
        <f>PM_Angle!$J$12+PM_Angle!$K$12*$C534+PM_Angle!$L$12*$B534</f>
      </c>
      <c r="U534" s="12">
        <f>IF(T534&gt;0,IF(T534&lt;=eco,alpha*fck*(1-(1-T534/eco)^n),alpha*fck),0)</f>
      </c>
      <c r="V534" s="30">
        <f>PM_Angle!$J$13+PM_Angle!$K$13*$C534+PM_Angle!$L$13*$B534</f>
      </c>
      <c r="W534" s="12">
        <f>IF(V534&gt;0,IF(V534&lt;=eco,alpha*fck*(1-(1-V534/eco)^n),alpha*fck),0)</f>
      </c>
      <c r="X534" s="30">
        <f>PM_Angle!$J$14+PM_Angle!$K$14*$C534+PM_Angle!$L$14*$B534</f>
      </c>
      <c r="Y534" s="12">
        <f>IF(X534&gt;0,IF(X534&lt;=eco,alpha*fck*(1-(1-X534/eco)^n),alpha*fck),0)</f>
      </c>
      <c r="Z534" s="30">
        <f>PM_Angle!$J$15+PM_Angle!$K$15*$C534+PM_Angle!$L$15*$B534</f>
      </c>
      <c r="AA534" s="12">
        <f>IF(Z534&gt;0,IF(Z534&lt;=eco,alpha*fck*(1-(1-Z534/eco)^n),alpha*fck),0)</f>
      </c>
      <c r="AB534" s="30">
        <f>PM_Angle!$J$16+PM_Angle!$K$16*$C534+PM_Angle!$L$16*$B534</f>
      </c>
      <c r="AC534" s="12">
        <f>IF(AB534&gt;0,IF(AB534&lt;=eco,alpha*fck*(1-(1-AB534/eco)^n),alpha*fck),0)</f>
      </c>
      <c r="AD534" s="30">
        <f>PM_Angle!$J$17+PM_Angle!$K$17*$C534+PM_Angle!$L$17*$B534</f>
      </c>
      <c r="AE534" s="12">
        <f>IF(AD534&gt;0,IF(AD534&lt;=eco,alpha*fck*(1-(1-AD534/eco)^n),alpha*fck),0)</f>
      </c>
      <c r="AF534" s="30">
        <f>PM_Angle!$J$18+PM_Angle!$K$18*$C534+PM_Angle!$L$18*$B534</f>
      </c>
      <c r="AG534" s="12">
        <f>IF(AF534&gt;0,IF(AF534&lt;=eco,alpha*fck*(1-(1-AF534/eco)^n),alpha*fck),0)</f>
      </c>
      <c r="AH534" s="30">
        <f>PM_Angle!$J$19+PM_Angle!$K$19*$C534+PM_Angle!$L$19*$B534</f>
      </c>
      <c r="AI534" s="12">
        <f>IF(AH534&gt;0,IF(AH534&lt;=eco,alpha*fck*(1-(1-AH534/eco)^n),alpha*fck),0)</f>
      </c>
      <c r="AJ534" s="30">
        <f>PM_Angle!$J$20+PM_Angle!$K$20*$C534+PM_Angle!$L$20*$B534</f>
      </c>
      <c r="AK534" s="12">
        <f>IF(AJ534&gt;0,IF(AJ534&lt;=eco,alpha*fck*(1-(1-AJ534/eco)^n),alpha*fck),0)</f>
      </c>
      <c r="AL534" s="30">
        <f>PM_Angle!$J$21+PM_Angle!$K$21*$C534+PM_Angle!$L$21*$B534</f>
      </c>
      <c r="AM534" s="12">
        <f>IF(AL534&gt;0,IF(AL534&lt;=eco,alpha*fck*(1-(1-AL534/eco)^n),alpha*fck),0)</f>
      </c>
      <c r="AN534" s="30">
        <f>PM_Angle!$J$22+PM_Angle!$K$22*$C534+PM_Angle!$L$22*$B534</f>
      </c>
      <c r="AO534" s="12">
        <f>IF(AN534&gt;0,IF(AN534&lt;=eco,alpha*fck*(1-(1-AN534/eco)^n),alpha*fck),0)</f>
      </c>
      <c r="AP534" s="30">
        <f>PM_Angle!$J$23+PM_Angle!$K$23*$C534+PM_Angle!$L$23*$B534</f>
      </c>
      <c r="AQ534" s="12">
        <f>IF(AP534&gt;0,IF(AP534&lt;=eco,alpha*fck*(1-(1-AP534/eco)^n),alpha*fck),0)</f>
      </c>
      <c r="AR534" s="30">
        <f>PM_Angle!$J$24+PM_Angle!$K$24*$C534+PM_Angle!$L$24*$B534</f>
      </c>
      <c r="AS534" s="12">
        <f>IF(AR534&gt;0,IF(AR534&lt;=eco,alpha*fck*(1-(1-AR534/eco)^n),alpha*fck),0)</f>
      </c>
      <c r="AT534" s="30">
        <f>PM_Angle!$J$25+PM_Angle!$K$25*$C534+PM_Angle!$L$25*$B534</f>
      </c>
      <c r="AU534" s="12">
        <f>IF(AT534&gt;0,IF(AT534&lt;=eco,alpha*fck*(1-(1-AT534/eco)^n),alpha*fck),0)</f>
      </c>
    </row>
    <row r="535" spans="1:47" x14ac:dyDescent="0.25">
      <c r="A535">
        <f>Mesh!A532</f>
      </c>
      <c r="B535" s="12">
        <f>Mesh!B532</f>
      </c>
      <c r="C535" s="12">
        <f>Mesh!C532</f>
      </c>
      <c r="D535" s="12">
        <f>Mesh!D532</f>
      </c>
      <c r="E535" s="30">
        <f>INDEX(St_e0,Det+1)+INDEX(St_kx,Det+1)*C535+INDEX(St_ky,Det+1)*B535</f>
      </c>
      <c r="F535" s="12">
        <f>IF(E535&gt;0,IF(E535&lt;=eco,alpha*fck*(1-(1-E535/eco)^n),alpha*fck),0)</f>
      </c>
      <c r="G535" s="11">
        <f>F535*D535</f>
      </c>
      <c r="H535" s="11">
        <f>G535*C535</f>
      </c>
      <c r="I535" s="11">
        <f>G535*B535</f>
      </c>
      <c r="J535" s="30">
        <f>PM_Angle!$J$7+PM_Angle!$K$7*$C535+PM_Angle!$L$7*$B535</f>
      </c>
      <c r="K535" s="12">
        <f>IF(J535&gt;0,IF(J535&lt;=eco,alpha*fck*(1-(1-J535/eco)^n),alpha*fck),0)</f>
      </c>
      <c r="L535" s="30">
        <f>PM_Angle!$J$8+PM_Angle!$K$8*$C535+PM_Angle!$L$8*$B535</f>
      </c>
      <c r="M535" s="12">
        <f>IF(L535&gt;0,IF(L535&lt;=eco,alpha*fck*(1-(1-L535/eco)^n),alpha*fck),0)</f>
      </c>
      <c r="N535" s="30">
        <f>PM_Angle!$J$9+PM_Angle!$K$9*$C535+PM_Angle!$L$9*$B535</f>
      </c>
      <c r="O535" s="12">
        <f>IF(N535&gt;0,IF(N535&lt;=eco,alpha*fck*(1-(1-N535/eco)^n),alpha*fck),0)</f>
      </c>
      <c r="P535" s="30">
        <f>PM_Angle!$J$10+PM_Angle!$K$10*$C535+PM_Angle!$L$10*$B535</f>
      </c>
      <c r="Q535" s="12">
        <f>IF(P535&gt;0,IF(P535&lt;=eco,alpha*fck*(1-(1-P535/eco)^n),alpha*fck),0)</f>
      </c>
      <c r="R535" s="30">
        <f>PM_Angle!$J$11+PM_Angle!$K$11*$C535+PM_Angle!$L$11*$B535</f>
      </c>
      <c r="S535" s="12">
        <f>IF(R535&gt;0,IF(R535&lt;=eco,alpha*fck*(1-(1-R535/eco)^n),alpha*fck),0)</f>
      </c>
      <c r="T535" s="30">
        <f>PM_Angle!$J$12+PM_Angle!$K$12*$C535+PM_Angle!$L$12*$B535</f>
      </c>
      <c r="U535" s="12">
        <f>IF(T535&gt;0,IF(T535&lt;=eco,alpha*fck*(1-(1-T535/eco)^n),alpha*fck),0)</f>
      </c>
      <c r="V535" s="30">
        <f>PM_Angle!$J$13+PM_Angle!$K$13*$C535+PM_Angle!$L$13*$B535</f>
      </c>
      <c r="W535" s="12">
        <f>IF(V535&gt;0,IF(V535&lt;=eco,alpha*fck*(1-(1-V535/eco)^n),alpha*fck),0)</f>
      </c>
      <c r="X535" s="30">
        <f>PM_Angle!$J$14+PM_Angle!$K$14*$C535+PM_Angle!$L$14*$B535</f>
      </c>
      <c r="Y535" s="12">
        <f>IF(X535&gt;0,IF(X535&lt;=eco,alpha*fck*(1-(1-X535/eco)^n),alpha*fck),0)</f>
      </c>
      <c r="Z535" s="30">
        <f>PM_Angle!$J$15+PM_Angle!$K$15*$C535+PM_Angle!$L$15*$B535</f>
      </c>
      <c r="AA535" s="12">
        <f>IF(Z535&gt;0,IF(Z535&lt;=eco,alpha*fck*(1-(1-Z535/eco)^n),alpha*fck),0)</f>
      </c>
      <c r="AB535" s="30">
        <f>PM_Angle!$J$16+PM_Angle!$K$16*$C535+PM_Angle!$L$16*$B535</f>
      </c>
      <c r="AC535" s="12">
        <f>IF(AB535&gt;0,IF(AB535&lt;=eco,alpha*fck*(1-(1-AB535/eco)^n),alpha*fck),0)</f>
      </c>
      <c r="AD535" s="30">
        <f>PM_Angle!$J$17+PM_Angle!$K$17*$C535+PM_Angle!$L$17*$B535</f>
      </c>
      <c r="AE535" s="12">
        <f>IF(AD535&gt;0,IF(AD535&lt;=eco,alpha*fck*(1-(1-AD535/eco)^n),alpha*fck),0)</f>
      </c>
      <c r="AF535" s="30">
        <f>PM_Angle!$J$18+PM_Angle!$K$18*$C535+PM_Angle!$L$18*$B535</f>
      </c>
      <c r="AG535" s="12">
        <f>IF(AF535&gt;0,IF(AF535&lt;=eco,alpha*fck*(1-(1-AF535/eco)^n),alpha*fck),0)</f>
      </c>
      <c r="AH535" s="30">
        <f>PM_Angle!$J$19+PM_Angle!$K$19*$C535+PM_Angle!$L$19*$B535</f>
      </c>
      <c r="AI535" s="12">
        <f>IF(AH535&gt;0,IF(AH535&lt;=eco,alpha*fck*(1-(1-AH535/eco)^n),alpha*fck),0)</f>
      </c>
      <c r="AJ535" s="30">
        <f>PM_Angle!$J$20+PM_Angle!$K$20*$C535+PM_Angle!$L$20*$B535</f>
      </c>
      <c r="AK535" s="12">
        <f>IF(AJ535&gt;0,IF(AJ535&lt;=eco,alpha*fck*(1-(1-AJ535/eco)^n),alpha*fck),0)</f>
      </c>
      <c r="AL535" s="30">
        <f>PM_Angle!$J$21+PM_Angle!$K$21*$C535+PM_Angle!$L$21*$B535</f>
      </c>
      <c r="AM535" s="12">
        <f>IF(AL535&gt;0,IF(AL535&lt;=eco,alpha*fck*(1-(1-AL535/eco)^n),alpha*fck),0)</f>
      </c>
      <c r="AN535" s="30">
        <f>PM_Angle!$J$22+PM_Angle!$K$22*$C535+PM_Angle!$L$22*$B535</f>
      </c>
      <c r="AO535" s="12">
        <f>IF(AN535&gt;0,IF(AN535&lt;=eco,alpha*fck*(1-(1-AN535/eco)^n),alpha*fck),0)</f>
      </c>
      <c r="AP535" s="30">
        <f>PM_Angle!$J$23+PM_Angle!$K$23*$C535+PM_Angle!$L$23*$B535</f>
      </c>
      <c r="AQ535" s="12">
        <f>IF(AP535&gt;0,IF(AP535&lt;=eco,alpha*fck*(1-(1-AP535/eco)^n),alpha*fck),0)</f>
      </c>
      <c r="AR535" s="30">
        <f>PM_Angle!$J$24+PM_Angle!$K$24*$C535+PM_Angle!$L$24*$B535</f>
      </c>
      <c r="AS535" s="12">
        <f>IF(AR535&gt;0,IF(AR535&lt;=eco,alpha*fck*(1-(1-AR535/eco)^n),alpha*fck),0)</f>
      </c>
      <c r="AT535" s="30">
        <f>PM_Angle!$J$25+PM_Angle!$K$25*$C535+PM_Angle!$L$25*$B535</f>
      </c>
      <c r="AU535" s="12">
        <f>IF(AT535&gt;0,IF(AT535&lt;=eco,alpha*fck*(1-(1-AT535/eco)^n),alpha*fck),0)</f>
      </c>
    </row>
    <row r="536" spans="1:47" x14ac:dyDescent="0.25">
      <c r="A536">
        <f>Mesh!A533</f>
      </c>
      <c r="B536" s="12">
        <f>Mesh!B533</f>
      </c>
      <c r="C536" s="12">
        <f>Mesh!C533</f>
      </c>
      <c r="D536" s="12">
        <f>Mesh!D533</f>
      </c>
      <c r="E536" s="30">
        <f>INDEX(St_e0,Det+1)+INDEX(St_kx,Det+1)*C536+INDEX(St_ky,Det+1)*B536</f>
      </c>
      <c r="F536" s="12">
        <f>IF(E536&gt;0,IF(E536&lt;=eco,alpha*fck*(1-(1-E536/eco)^n),alpha*fck),0)</f>
      </c>
      <c r="G536" s="11">
        <f>F536*D536</f>
      </c>
      <c r="H536" s="11">
        <f>G536*C536</f>
      </c>
      <c r="I536" s="11">
        <f>G536*B536</f>
      </c>
      <c r="J536" s="30">
        <f>PM_Angle!$J$7+PM_Angle!$K$7*$C536+PM_Angle!$L$7*$B536</f>
      </c>
      <c r="K536" s="12">
        <f>IF(J536&gt;0,IF(J536&lt;=eco,alpha*fck*(1-(1-J536/eco)^n),alpha*fck),0)</f>
      </c>
      <c r="L536" s="30">
        <f>PM_Angle!$J$8+PM_Angle!$K$8*$C536+PM_Angle!$L$8*$B536</f>
      </c>
      <c r="M536" s="12">
        <f>IF(L536&gt;0,IF(L536&lt;=eco,alpha*fck*(1-(1-L536/eco)^n),alpha*fck),0)</f>
      </c>
      <c r="N536" s="30">
        <f>PM_Angle!$J$9+PM_Angle!$K$9*$C536+PM_Angle!$L$9*$B536</f>
      </c>
      <c r="O536" s="12">
        <f>IF(N536&gt;0,IF(N536&lt;=eco,alpha*fck*(1-(1-N536/eco)^n),alpha*fck),0)</f>
      </c>
      <c r="P536" s="30">
        <f>PM_Angle!$J$10+PM_Angle!$K$10*$C536+PM_Angle!$L$10*$B536</f>
      </c>
      <c r="Q536" s="12">
        <f>IF(P536&gt;0,IF(P536&lt;=eco,alpha*fck*(1-(1-P536/eco)^n),alpha*fck),0)</f>
      </c>
      <c r="R536" s="30">
        <f>PM_Angle!$J$11+PM_Angle!$K$11*$C536+PM_Angle!$L$11*$B536</f>
      </c>
      <c r="S536" s="12">
        <f>IF(R536&gt;0,IF(R536&lt;=eco,alpha*fck*(1-(1-R536/eco)^n),alpha*fck),0)</f>
      </c>
      <c r="T536" s="30">
        <f>PM_Angle!$J$12+PM_Angle!$K$12*$C536+PM_Angle!$L$12*$B536</f>
      </c>
      <c r="U536" s="12">
        <f>IF(T536&gt;0,IF(T536&lt;=eco,alpha*fck*(1-(1-T536/eco)^n),alpha*fck),0)</f>
      </c>
      <c r="V536" s="30">
        <f>PM_Angle!$J$13+PM_Angle!$K$13*$C536+PM_Angle!$L$13*$B536</f>
      </c>
      <c r="W536" s="12">
        <f>IF(V536&gt;0,IF(V536&lt;=eco,alpha*fck*(1-(1-V536/eco)^n),alpha*fck),0)</f>
      </c>
      <c r="X536" s="30">
        <f>PM_Angle!$J$14+PM_Angle!$K$14*$C536+PM_Angle!$L$14*$B536</f>
      </c>
      <c r="Y536" s="12">
        <f>IF(X536&gt;0,IF(X536&lt;=eco,alpha*fck*(1-(1-X536/eco)^n),alpha*fck),0)</f>
      </c>
      <c r="Z536" s="30">
        <f>PM_Angle!$J$15+PM_Angle!$K$15*$C536+PM_Angle!$L$15*$B536</f>
      </c>
      <c r="AA536" s="12">
        <f>IF(Z536&gt;0,IF(Z536&lt;=eco,alpha*fck*(1-(1-Z536/eco)^n),alpha*fck),0)</f>
      </c>
      <c r="AB536" s="30">
        <f>PM_Angle!$J$16+PM_Angle!$K$16*$C536+PM_Angle!$L$16*$B536</f>
      </c>
      <c r="AC536" s="12">
        <f>IF(AB536&gt;0,IF(AB536&lt;=eco,alpha*fck*(1-(1-AB536/eco)^n),alpha*fck),0)</f>
      </c>
      <c r="AD536" s="30">
        <f>PM_Angle!$J$17+PM_Angle!$K$17*$C536+PM_Angle!$L$17*$B536</f>
      </c>
      <c r="AE536" s="12">
        <f>IF(AD536&gt;0,IF(AD536&lt;=eco,alpha*fck*(1-(1-AD536/eco)^n),alpha*fck),0)</f>
      </c>
      <c r="AF536" s="30">
        <f>PM_Angle!$J$18+PM_Angle!$K$18*$C536+PM_Angle!$L$18*$B536</f>
      </c>
      <c r="AG536" s="12">
        <f>IF(AF536&gt;0,IF(AF536&lt;=eco,alpha*fck*(1-(1-AF536/eco)^n),alpha*fck),0)</f>
      </c>
      <c r="AH536" s="30">
        <f>PM_Angle!$J$19+PM_Angle!$K$19*$C536+PM_Angle!$L$19*$B536</f>
      </c>
      <c r="AI536" s="12">
        <f>IF(AH536&gt;0,IF(AH536&lt;=eco,alpha*fck*(1-(1-AH536/eco)^n),alpha*fck),0)</f>
      </c>
      <c r="AJ536" s="30">
        <f>PM_Angle!$J$20+PM_Angle!$K$20*$C536+PM_Angle!$L$20*$B536</f>
      </c>
      <c r="AK536" s="12">
        <f>IF(AJ536&gt;0,IF(AJ536&lt;=eco,alpha*fck*(1-(1-AJ536/eco)^n),alpha*fck),0)</f>
      </c>
      <c r="AL536" s="30">
        <f>PM_Angle!$J$21+PM_Angle!$K$21*$C536+PM_Angle!$L$21*$B536</f>
      </c>
      <c r="AM536" s="12">
        <f>IF(AL536&gt;0,IF(AL536&lt;=eco,alpha*fck*(1-(1-AL536/eco)^n),alpha*fck),0)</f>
      </c>
      <c r="AN536" s="30">
        <f>PM_Angle!$J$22+PM_Angle!$K$22*$C536+PM_Angle!$L$22*$B536</f>
      </c>
      <c r="AO536" s="12">
        <f>IF(AN536&gt;0,IF(AN536&lt;=eco,alpha*fck*(1-(1-AN536/eco)^n),alpha*fck),0)</f>
      </c>
      <c r="AP536" s="30">
        <f>PM_Angle!$J$23+PM_Angle!$K$23*$C536+PM_Angle!$L$23*$B536</f>
      </c>
      <c r="AQ536" s="12">
        <f>IF(AP536&gt;0,IF(AP536&lt;=eco,alpha*fck*(1-(1-AP536/eco)^n),alpha*fck),0)</f>
      </c>
      <c r="AR536" s="30">
        <f>PM_Angle!$J$24+PM_Angle!$K$24*$C536+PM_Angle!$L$24*$B536</f>
      </c>
      <c r="AS536" s="12">
        <f>IF(AR536&gt;0,IF(AR536&lt;=eco,alpha*fck*(1-(1-AR536/eco)^n),alpha*fck),0)</f>
      </c>
      <c r="AT536" s="30">
        <f>PM_Angle!$J$25+PM_Angle!$K$25*$C536+PM_Angle!$L$25*$B536</f>
      </c>
      <c r="AU536" s="12">
        <f>IF(AT536&gt;0,IF(AT536&lt;=eco,alpha*fck*(1-(1-AT536/eco)^n),alpha*fck),0)</f>
      </c>
    </row>
    <row r="537" spans="1:47" x14ac:dyDescent="0.25">
      <c r="A537">
        <f>Mesh!A534</f>
      </c>
      <c r="B537" s="12">
        <f>Mesh!B534</f>
      </c>
      <c r="C537" s="12">
        <f>Mesh!C534</f>
      </c>
      <c r="D537" s="12">
        <f>Mesh!D534</f>
      </c>
      <c r="E537" s="30">
        <f>INDEX(St_e0,Det+1)+INDEX(St_kx,Det+1)*C537+INDEX(St_ky,Det+1)*B537</f>
      </c>
      <c r="F537" s="12">
        <f>IF(E537&gt;0,IF(E537&lt;=eco,alpha*fck*(1-(1-E537/eco)^n),alpha*fck),0)</f>
      </c>
      <c r="G537" s="11">
        <f>F537*D537</f>
      </c>
      <c r="H537" s="11">
        <f>G537*C537</f>
      </c>
      <c r="I537" s="11">
        <f>G537*B537</f>
      </c>
      <c r="J537" s="30">
        <f>PM_Angle!$J$7+PM_Angle!$K$7*$C537+PM_Angle!$L$7*$B537</f>
      </c>
      <c r="K537" s="12">
        <f>IF(J537&gt;0,IF(J537&lt;=eco,alpha*fck*(1-(1-J537/eco)^n),alpha*fck),0)</f>
      </c>
      <c r="L537" s="30">
        <f>PM_Angle!$J$8+PM_Angle!$K$8*$C537+PM_Angle!$L$8*$B537</f>
      </c>
      <c r="M537" s="12">
        <f>IF(L537&gt;0,IF(L537&lt;=eco,alpha*fck*(1-(1-L537/eco)^n),alpha*fck),0)</f>
      </c>
      <c r="N537" s="30">
        <f>PM_Angle!$J$9+PM_Angle!$K$9*$C537+PM_Angle!$L$9*$B537</f>
      </c>
      <c r="O537" s="12">
        <f>IF(N537&gt;0,IF(N537&lt;=eco,alpha*fck*(1-(1-N537/eco)^n),alpha*fck),0)</f>
      </c>
      <c r="P537" s="30">
        <f>PM_Angle!$J$10+PM_Angle!$K$10*$C537+PM_Angle!$L$10*$B537</f>
      </c>
      <c r="Q537" s="12">
        <f>IF(P537&gt;0,IF(P537&lt;=eco,alpha*fck*(1-(1-P537/eco)^n),alpha*fck),0)</f>
      </c>
      <c r="R537" s="30">
        <f>PM_Angle!$J$11+PM_Angle!$K$11*$C537+PM_Angle!$L$11*$B537</f>
      </c>
      <c r="S537" s="12">
        <f>IF(R537&gt;0,IF(R537&lt;=eco,alpha*fck*(1-(1-R537/eco)^n),alpha*fck),0)</f>
      </c>
      <c r="T537" s="30">
        <f>PM_Angle!$J$12+PM_Angle!$K$12*$C537+PM_Angle!$L$12*$B537</f>
      </c>
      <c r="U537" s="12">
        <f>IF(T537&gt;0,IF(T537&lt;=eco,alpha*fck*(1-(1-T537/eco)^n),alpha*fck),0)</f>
      </c>
      <c r="V537" s="30">
        <f>PM_Angle!$J$13+PM_Angle!$K$13*$C537+PM_Angle!$L$13*$B537</f>
      </c>
      <c r="W537" s="12">
        <f>IF(V537&gt;0,IF(V537&lt;=eco,alpha*fck*(1-(1-V537/eco)^n),alpha*fck),0)</f>
      </c>
      <c r="X537" s="30">
        <f>PM_Angle!$J$14+PM_Angle!$K$14*$C537+PM_Angle!$L$14*$B537</f>
      </c>
      <c r="Y537" s="12">
        <f>IF(X537&gt;0,IF(X537&lt;=eco,alpha*fck*(1-(1-X537/eco)^n),alpha*fck),0)</f>
      </c>
      <c r="Z537" s="30">
        <f>PM_Angle!$J$15+PM_Angle!$K$15*$C537+PM_Angle!$L$15*$B537</f>
      </c>
      <c r="AA537" s="12">
        <f>IF(Z537&gt;0,IF(Z537&lt;=eco,alpha*fck*(1-(1-Z537/eco)^n),alpha*fck),0)</f>
      </c>
      <c r="AB537" s="30">
        <f>PM_Angle!$J$16+PM_Angle!$K$16*$C537+PM_Angle!$L$16*$B537</f>
      </c>
      <c r="AC537" s="12">
        <f>IF(AB537&gt;0,IF(AB537&lt;=eco,alpha*fck*(1-(1-AB537/eco)^n),alpha*fck),0)</f>
      </c>
      <c r="AD537" s="30">
        <f>PM_Angle!$J$17+PM_Angle!$K$17*$C537+PM_Angle!$L$17*$B537</f>
      </c>
      <c r="AE537" s="12">
        <f>IF(AD537&gt;0,IF(AD537&lt;=eco,alpha*fck*(1-(1-AD537/eco)^n),alpha*fck),0)</f>
      </c>
      <c r="AF537" s="30">
        <f>PM_Angle!$J$18+PM_Angle!$K$18*$C537+PM_Angle!$L$18*$B537</f>
      </c>
      <c r="AG537" s="12">
        <f>IF(AF537&gt;0,IF(AF537&lt;=eco,alpha*fck*(1-(1-AF537/eco)^n),alpha*fck),0)</f>
      </c>
      <c r="AH537" s="30">
        <f>PM_Angle!$J$19+PM_Angle!$K$19*$C537+PM_Angle!$L$19*$B537</f>
      </c>
      <c r="AI537" s="12">
        <f>IF(AH537&gt;0,IF(AH537&lt;=eco,alpha*fck*(1-(1-AH537/eco)^n),alpha*fck),0)</f>
      </c>
      <c r="AJ537" s="30">
        <f>PM_Angle!$J$20+PM_Angle!$K$20*$C537+PM_Angle!$L$20*$B537</f>
      </c>
      <c r="AK537" s="12">
        <f>IF(AJ537&gt;0,IF(AJ537&lt;=eco,alpha*fck*(1-(1-AJ537/eco)^n),alpha*fck),0)</f>
      </c>
      <c r="AL537" s="30">
        <f>PM_Angle!$J$21+PM_Angle!$K$21*$C537+PM_Angle!$L$21*$B537</f>
      </c>
      <c r="AM537" s="12">
        <f>IF(AL537&gt;0,IF(AL537&lt;=eco,alpha*fck*(1-(1-AL537/eco)^n),alpha*fck),0)</f>
      </c>
      <c r="AN537" s="30">
        <f>PM_Angle!$J$22+PM_Angle!$K$22*$C537+PM_Angle!$L$22*$B537</f>
      </c>
      <c r="AO537" s="12">
        <f>IF(AN537&gt;0,IF(AN537&lt;=eco,alpha*fck*(1-(1-AN537/eco)^n),alpha*fck),0)</f>
      </c>
      <c r="AP537" s="30">
        <f>PM_Angle!$J$23+PM_Angle!$K$23*$C537+PM_Angle!$L$23*$B537</f>
      </c>
      <c r="AQ537" s="12">
        <f>IF(AP537&gt;0,IF(AP537&lt;=eco,alpha*fck*(1-(1-AP537/eco)^n),alpha*fck),0)</f>
      </c>
      <c r="AR537" s="30">
        <f>PM_Angle!$J$24+PM_Angle!$K$24*$C537+PM_Angle!$L$24*$B537</f>
      </c>
      <c r="AS537" s="12">
        <f>IF(AR537&gt;0,IF(AR537&lt;=eco,alpha*fck*(1-(1-AR537/eco)^n),alpha*fck),0)</f>
      </c>
      <c r="AT537" s="30">
        <f>PM_Angle!$J$25+PM_Angle!$K$25*$C537+PM_Angle!$L$25*$B537</f>
      </c>
      <c r="AU537" s="12">
        <f>IF(AT537&gt;0,IF(AT537&lt;=eco,alpha*fck*(1-(1-AT537/eco)^n),alpha*fck),0)</f>
      </c>
    </row>
    <row r="538" spans="1:47" x14ac:dyDescent="0.25">
      <c r="A538">
        <f>Mesh!A535</f>
      </c>
      <c r="B538" s="12">
        <f>Mesh!B535</f>
      </c>
      <c r="C538" s="12">
        <f>Mesh!C535</f>
      </c>
      <c r="D538" s="12">
        <f>Mesh!D535</f>
      </c>
      <c r="E538" s="30">
        <f>INDEX(St_e0,Det+1)+INDEX(St_kx,Det+1)*C538+INDEX(St_ky,Det+1)*B538</f>
      </c>
      <c r="F538" s="12">
        <f>IF(E538&gt;0,IF(E538&lt;=eco,alpha*fck*(1-(1-E538/eco)^n),alpha*fck),0)</f>
      </c>
      <c r="G538" s="11">
        <f>F538*D538</f>
      </c>
      <c r="H538" s="11">
        <f>G538*C538</f>
      </c>
      <c r="I538" s="11">
        <f>G538*B538</f>
      </c>
      <c r="J538" s="30">
        <f>PM_Angle!$J$7+PM_Angle!$K$7*$C538+PM_Angle!$L$7*$B538</f>
      </c>
      <c r="K538" s="12">
        <f>IF(J538&gt;0,IF(J538&lt;=eco,alpha*fck*(1-(1-J538/eco)^n),alpha*fck),0)</f>
      </c>
      <c r="L538" s="30">
        <f>PM_Angle!$J$8+PM_Angle!$K$8*$C538+PM_Angle!$L$8*$B538</f>
      </c>
      <c r="M538" s="12">
        <f>IF(L538&gt;0,IF(L538&lt;=eco,alpha*fck*(1-(1-L538/eco)^n),alpha*fck),0)</f>
      </c>
      <c r="N538" s="30">
        <f>PM_Angle!$J$9+PM_Angle!$K$9*$C538+PM_Angle!$L$9*$B538</f>
      </c>
      <c r="O538" s="12">
        <f>IF(N538&gt;0,IF(N538&lt;=eco,alpha*fck*(1-(1-N538/eco)^n),alpha*fck),0)</f>
      </c>
      <c r="P538" s="30">
        <f>PM_Angle!$J$10+PM_Angle!$K$10*$C538+PM_Angle!$L$10*$B538</f>
      </c>
      <c r="Q538" s="12">
        <f>IF(P538&gt;0,IF(P538&lt;=eco,alpha*fck*(1-(1-P538/eco)^n),alpha*fck),0)</f>
      </c>
      <c r="R538" s="30">
        <f>PM_Angle!$J$11+PM_Angle!$K$11*$C538+PM_Angle!$L$11*$B538</f>
      </c>
      <c r="S538" s="12">
        <f>IF(R538&gt;0,IF(R538&lt;=eco,alpha*fck*(1-(1-R538/eco)^n),alpha*fck),0)</f>
      </c>
      <c r="T538" s="30">
        <f>PM_Angle!$J$12+PM_Angle!$K$12*$C538+PM_Angle!$L$12*$B538</f>
      </c>
      <c r="U538" s="12">
        <f>IF(T538&gt;0,IF(T538&lt;=eco,alpha*fck*(1-(1-T538/eco)^n),alpha*fck),0)</f>
      </c>
      <c r="V538" s="30">
        <f>PM_Angle!$J$13+PM_Angle!$K$13*$C538+PM_Angle!$L$13*$B538</f>
      </c>
      <c r="W538" s="12">
        <f>IF(V538&gt;0,IF(V538&lt;=eco,alpha*fck*(1-(1-V538/eco)^n),alpha*fck),0)</f>
      </c>
      <c r="X538" s="30">
        <f>PM_Angle!$J$14+PM_Angle!$K$14*$C538+PM_Angle!$L$14*$B538</f>
      </c>
      <c r="Y538" s="12">
        <f>IF(X538&gt;0,IF(X538&lt;=eco,alpha*fck*(1-(1-X538/eco)^n),alpha*fck),0)</f>
      </c>
      <c r="Z538" s="30">
        <f>PM_Angle!$J$15+PM_Angle!$K$15*$C538+PM_Angle!$L$15*$B538</f>
      </c>
      <c r="AA538" s="12">
        <f>IF(Z538&gt;0,IF(Z538&lt;=eco,alpha*fck*(1-(1-Z538/eco)^n),alpha*fck),0)</f>
      </c>
      <c r="AB538" s="30">
        <f>PM_Angle!$J$16+PM_Angle!$K$16*$C538+PM_Angle!$L$16*$B538</f>
      </c>
      <c r="AC538" s="12">
        <f>IF(AB538&gt;0,IF(AB538&lt;=eco,alpha*fck*(1-(1-AB538/eco)^n),alpha*fck),0)</f>
      </c>
      <c r="AD538" s="30">
        <f>PM_Angle!$J$17+PM_Angle!$K$17*$C538+PM_Angle!$L$17*$B538</f>
      </c>
      <c r="AE538" s="12">
        <f>IF(AD538&gt;0,IF(AD538&lt;=eco,alpha*fck*(1-(1-AD538/eco)^n),alpha*fck),0)</f>
      </c>
      <c r="AF538" s="30">
        <f>PM_Angle!$J$18+PM_Angle!$K$18*$C538+PM_Angle!$L$18*$B538</f>
      </c>
      <c r="AG538" s="12">
        <f>IF(AF538&gt;0,IF(AF538&lt;=eco,alpha*fck*(1-(1-AF538/eco)^n),alpha*fck),0)</f>
      </c>
      <c r="AH538" s="30">
        <f>PM_Angle!$J$19+PM_Angle!$K$19*$C538+PM_Angle!$L$19*$B538</f>
      </c>
      <c r="AI538" s="12">
        <f>IF(AH538&gt;0,IF(AH538&lt;=eco,alpha*fck*(1-(1-AH538/eco)^n),alpha*fck),0)</f>
      </c>
      <c r="AJ538" s="30">
        <f>PM_Angle!$J$20+PM_Angle!$K$20*$C538+PM_Angle!$L$20*$B538</f>
      </c>
      <c r="AK538" s="12">
        <f>IF(AJ538&gt;0,IF(AJ538&lt;=eco,alpha*fck*(1-(1-AJ538/eco)^n),alpha*fck),0)</f>
      </c>
      <c r="AL538" s="30">
        <f>PM_Angle!$J$21+PM_Angle!$K$21*$C538+PM_Angle!$L$21*$B538</f>
      </c>
      <c r="AM538" s="12">
        <f>IF(AL538&gt;0,IF(AL538&lt;=eco,alpha*fck*(1-(1-AL538/eco)^n),alpha*fck),0)</f>
      </c>
      <c r="AN538" s="30">
        <f>PM_Angle!$J$22+PM_Angle!$K$22*$C538+PM_Angle!$L$22*$B538</f>
      </c>
      <c r="AO538" s="12">
        <f>IF(AN538&gt;0,IF(AN538&lt;=eco,alpha*fck*(1-(1-AN538/eco)^n),alpha*fck),0)</f>
      </c>
      <c r="AP538" s="30">
        <f>PM_Angle!$J$23+PM_Angle!$K$23*$C538+PM_Angle!$L$23*$B538</f>
      </c>
      <c r="AQ538" s="12">
        <f>IF(AP538&gt;0,IF(AP538&lt;=eco,alpha*fck*(1-(1-AP538/eco)^n),alpha*fck),0)</f>
      </c>
      <c r="AR538" s="30">
        <f>PM_Angle!$J$24+PM_Angle!$K$24*$C538+PM_Angle!$L$24*$B538</f>
      </c>
      <c r="AS538" s="12">
        <f>IF(AR538&gt;0,IF(AR538&lt;=eco,alpha*fck*(1-(1-AR538/eco)^n),alpha*fck),0)</f>
      </c>
      <c r="AT538" s="30">
        <f>PM_Angle!$J$25+PM_Angle!$K$25*$C538+PM_Angle!$L$25*$B538</f>
      </c>
      <c r="AU538" s="12">
        <f>IF(AT538&gt;0,IF(AT538&lt;=eco,alpha*fck*(1-(1-AT538/eco)^n),alpha*fck),0)</f>
      </c>
    </row>
    <row r="539" spans="1:47" x14ac:dyDescent="0.25">
      <c r="A539">
        <f>Mesh!A536</f>
      </c>
      <c r="B539" s="12">
        <f>Mesh!B536</f>
      </c>
      <c r="C539" s="12">
        <f>Mesh!C536</f>
      </c>
      <c r="D539" s="12">
        <f>Mesh!D536</f>
      </c>
      <c r="E539" s="30">
        <f>INDEX(St_e0,Det+1)+INDEX(St_kx,Det+1)*C539+INDEX(St_ky,Det+1)*B539</f>
      </c>
      <c r="F539" s="12">
        <f>IF(E539&gt;0,IF(E539&lt;=eco,alpha*fck*(1-(1-E539/eco)^n),alpha*fck),0)</f>
      </c>
      <c r="G539" s="11">
        <f>F539*D539</f>
      </c>
      <c r="H539" s="11">
        <f>G539*C539</f>
      </c>
      <c r="I539" s="11">
        <f>G539*B539</f>
      </c>
      <c r="J539" s="30">
        <f>PM_Angle!$J$7+PM_Angle!$K$7*$C539+PM_Angle!$L$7*$B539</f>
      </c>
      <c r="K539" s="12">
        <f>IF(J539&gt;0,IF(J539&lt;=eco,alpha*fck*(1-(1-J539/eco)^n),alpha*fck),0)</f>
      </c>
      <c r="L539" s="30">
        <f>PM_Angle!$J$8+PM_Angle!$K$8*$C539+PM_Angle!$L$8*$B539</f>
      </c>
      <c r="M539" s="12">
        <f>IF(L539&gt;0,IF(L539&lt;=eco,alpha*fck*(1-(1-L539/eco)^n),alpha*fck),0)</f>
      </c>
      <c r="N539" s="30">
        <f>PM_Angle!$J$9+PM_Angle!$K$9*$C539+PM_Angle!$L$9*$B539</f>
      </c>
      <c r="O539" s="12">
        <f>IF(N539&gt;0,IF(N539&lt;=eco,alpha*fck*(1-(1-N539/eco)^n),alpha*fck),0)</f>
      </c>
      <c r="P539" s="30">
        <f>PM_Angle!$J$10+PM_Angle!$K$10*$C539+PM_Angle!$L$10*$B539</f>
      </c>
      <c r="Q539" s="12">
        <f>IF(P539&gt;0,IF(P539&lt;=eco,alpha*fck*(1-(1-P539/eco)^n),alpha*fck),0)</f>
      </c>
      <c r="R539" s="30">
        <f>PM_Angle!$J$11+PM_Angle!$K$11*$C539+PM_Angle!$L$11*$B539</f>
      </c>
      <c r="S539" s="12">
        <f>IF(R539&gt;0,IF(R539&lt;=eco,alpha*fck*(1-(1-R539/eco)^n),alpha*fck),0)</f>
      </c>
      <c r="T539" s="30">
        <f>PM_Angle!$J$12+PM_Angle!$K$12*$C539+PM_Angle!$L$12*$B539</f>
      </c>
      <c r="U539" s="12">
        <f>IF(T539&gt;0,IF(T539&lt;=eco,alpha*fck*(1-(1-T539/eco)^n),alpha*fck),0)</f>
      </c>
      <c r="V539" s="30">
        <f>PM_Angle!$J$13+PM_Angle!$K$13*$C539+PM_Angle!$L$13*$B539</f>
      </c>
      <c r="W539" s="12">
        <f>IF(V539&gt;0,IF(V539&lt;=eco,alpha*fck*(1-(1-V539/eco)^n),alpha*fck),0)</f>
      </c>
      <c r="X539" s="30">
        <f>PM_Angle!$J$14+PM_Angle!$K$14*$C539+PM_Angle!$L$14*$B539</f>
      </c>
      <c r="Y539" s="12">
        <f>IF(X539&gt;0,IF(X539&lt;=eco,alpha*fck*(1-(1-X539/eco)^n),alpha*fck),0)</f>
      </c>
      <c r="Z539" s="30">
        <f>PM_Angle!$J$15+PM_Angle!$K$15*$C539+PM_Angle!$L$15*$B539</f>
      </c>
      <c r="AA539" s="12">
        <f>IF(Z539&gt;0,IF(Z539&lt;=eco,alpha*fck*(1-(1-Z539/eco)^n),alpha*fck),0)</f>
      </c>
      <c r="AB539" s="30">
        <f>PM_Angle!$J$16+PM_Angle!$K$16*$C539+PM_Angle!$L$16*$B539</f>
      </c>
      <c r="AC539" s="12">
        <f>IF(AB539&gt;0,IF(AB539&lt;=eco,alpha*fck*(1-(1-AB539/eco)^n),alpha*fck),0)</f>
      </c>
      <c r="AD539" s="30">
        <f>PM_Angle!$J$17+PM_Angle!$K$17*$C539+PM_Angle!$L$17*$B539</f>
      </c>
      <c r="AE539" s="12">
        <f>IF(AD539&gt;0,IF(AD539&lt;=eco,alpha*fck*(1-(1-AD539/eco)^n),alpha*fck),0)</f>
      </c>
      <c r="AF539" s="30">
        <f>PM_Angle!$J$18+PM_Angle!$K$18*$C539+PM_Angle!$L$18*$B539</f>
      </c>
      <c r="AG539" s="12">
        <f>IF(AF539&gt;0,IF(AF539&lt;=eco,alpha*fck*(1-(1-AF539/eco)^n),alpha*fck),0)</f>
      </c>
      <c r="AH539" s="30">
        <f>PM_Angle!$J$19+PM_Angle!$K$19*$C539+PM_Angle!$L$19*$B539</f>
      </c>
      <c r="AI539" s="12">
        <f>IF(AH539&gt;0,IF(AH539&lt;=eco,alpha*fck*(1-(1-AH539/eco)^n),alpha*fck),0)</f>
      </c>
      <c r="AJ539" s="30">
        <f>PM_Angle!$J$20+PM_Angle!$K$20*$C539+PM_Angle!$L$20*$B539</f>
      </c>
      <c r="AK539" s="12">
        <f>IF(AJ539&gt;0,IF(AJ539&lt;=eco,alpha*fck*(1-(1-AJ539/eco)^n),alpha*fck),0)</f>
      </c>
      <c r="AL539" s="30">
        <f>PM_Angle!$J$21+PM_Angle!$K$21*$C539+PM_Angle!$L$21*$B539</f>
      </c>
      <c r="AM539" s="12">
        <f>IF(AL539&gt;0,IF(AL539&lt;=eco,alpha*fck*(1-(1-AL539/eco)^n),alpha*fck),0)</f>
      </c>
      <c r="AN539" s="30">
        <f>PM_Angle!$J$22+PM_Angle!$K$22*$C539+PM_Angle!$L$22*$B539</f>
      </c>
      <c r="AO539" s="12">
        <f>IF(AN539&gt;0,IF(AN539&lt;=eco,alpha*fck*(1-(1-AN539/eco)^n),alpha*fck),0)</f>
      </c>
      <c r="AP539" s="30">
        <f>PM_Angle!$J$23+PM_Angle!$K$23*$C539+PM_Angle!$L$23*$B539</f>
      </c>
      <c r="AQ539" s="12">
        <f>IF(AP539&gt;0,IF(AP539&lt;=eco,alpha*fck*(1-(1-AP539/eco)^n),alpha*fck),0)</f>
      </c>
      <c r="AR539" s="30">
        <f>PM_Angle!$J$24+PM_Angle!$K$24*$C539+PM_Angle!$L$24*$B539</f>
      </c>
      <c r="AS539" s="12">
        <f>IF(AR539&gt;0,IF(AR539&lt;=eco,alpha*fck*(1-(1-AR539/eco)^n),alpha*fck),0)</f>
      </c>
      <c r="AT539" s="30">
        <f>PM_Angle!$J$25+PM_Angle!$K$25*$C539+PM_Angle!$L$25*$B539</f>
      </c>
      <c r="AU539" s="12">
        <f>IF(AT539&gt;0,IF(AT539&lt;=eco,alpha*fck*(1-(1-AT539/eco)^n),alpha*fck),0)</f>
      </c>
    </row>
    <row r="540" spans="1:47" x14ac:dyDescent="0.25">
      <c r="A540">
        <f>Mesh!A537</f>
      </c>
      <c r="B540" s="12">
        <f>Mesh!B537</f>
      </c>
      <c r="C540" s="12">
        <f>Mesh!C537</f>
      </c>
      <c r="D540" s="12">
        <f>Mesh!D537</f>
      </c>
      <c r="E540" s="30">
        <f>INDEX(St_e0,Det+1)+INDEX(St_kx,Det+1)*C540+INDEX(St_ky,Det+1)*B540</f>
      </c>
      <c r="F540" s="12">
        <f>IF(E540&gt;0,IF(E540&lt;=eco,alpha*fck*(1-(1-E540/eco)^n),alpha*fck),0)</f>
      </c>
      <c r="G540" s="11">
        <f>F540*D540</f>
      </c>
      <c r="H540" s="11">
        <f>G540*C540</f>
      </c>
      <c r="I540" s="11">
        <f>G540*B540</f>
      </c>
      <c r="J540" s="30">
        <f>PM_Angle!$J$7+PM_Angle!$K$7*$C540+PM_Angle!$L$7*$B540</f>
      </c>
      <c r="K540" s="12">
        <f>IF(J540&gt;0,IF(J540&lt;=eco,alpha*fck*(1-(1-J540/eco)^n),alpha*fck),0)</f>
      </c>
      <c r="L540" s="30">
        <f>PM_Angle!$J$8+PM_Angle!$K$8*$C540+PM_Angle!$L$8*$B540</f>
      </c>
      <c r="M540" s="12">
        <f>IF(L540&gt;0,IF(L540&lt;=eco,alpha*fck*(1-(1-L540/eco)^n),alpha*fck),0)</f>
      </c>
      <c r="N540" s="30">
        <f>PM_Angle!$J$9+PM_Angle!$K$9*$C540+PM_Angle!$L$9*$B540</f>
      </c>
      <c r="O540" s="12">
        <f>IF(N540&gt;0,IF(N540&lt;=eco,alpha*fck*(1-(1-N540/eco)^n),alpha*fck),0)</f>
      </c>
      <c r="P540" s="30">
        <f>PM_Angle!$J$10+PM_Angle!$K$10*$C540+PM_Angle!$L$10*$B540</f>
      </c>
      <c r="Q540" s="12">
        <f>IF(P540&gt;0,IF(P540&lt;=eco,alpha*fck*(1-(1-P540/eco)^n),alpha*fck),0)</f>
      </c>
      <c r="R540" s="30">
        <f>PM_Angle!$J$11+PM_Angle!$K$11*$C540+PM_Angle!$L$11*$B540</f>
      </c>
      <c r="S540" s="12">
        <f>IF(R540&gt;0,IF(R540&lt;=eco,alpha*fck*(1-(1-R540/eco)^n),alpha*fck),0)</f>
      </c>
      <c r="T540" s="30">
        <f>PM_Angle!$J$12+PM_Angle!$K$12*$C540+PM_Angle!$L$12*$B540</f>
      </c>
      <c r="U540" s="12">
        <f>IF(T540&gt;0,IF(T540&lt;=eco,alpha*fck*(1-(1-T540/eco)^n),alpha*fck),0)</f>
      </c>
      <c r="V540" s="30">
        <f>PM_Angle!$J$13+PM_Angle!$K$13*$C540+PM_Angle!$L$13*$B540</f>
      </c>
      <c r="W540" s="12">
        <f>IF(V540&gt;0,IF(V540&lt;=eco,alpha*fck*(1-(1-V540/eco)^n),alpha*fck),0)</f>
      </c>
      <c r="X540" s="30">
        <f>PM_Angle!$J$14+PM_Angle!$K$14*$C540+PM_Angle!$L$14*$B540</f>
      </c>
      <c r="Y540" s="12">
        <f>IF(X540&gt;0,IF(X540&lt;=eco,alpha*fck*(1-(1-X540/eco)^n),alpha*fck),0)</f>
      </c>
      <c r="Z540" s="30">
        <f>PM_Angle!$J$15+PM_Angle!$K$15*$C540+PM_Angle!$L$15*$B540</f>
      </c>
      <c r="AA540" s="12">
        <f>IF(Z540&gt;0,IF(Z540&lt;=eco,alpha*fck*(1-(1-Z540/eco)^n),alpha*fck),0)</f>
      </c>
      <c r="AB540" s="30">
        <f>PM_Angle!$J$16+PM_Angle!$K$16*$C540+PM_Angle!$L$16*$B540</f>
      </c>
      <c r="AC540" s="12">
        <f>IF(AB540&gt;0,IF(AB540&lt;=eco,alpha*fck*(1-(1-AB540/eco)^n),alpha*fck),0)</f>
      </c>
      <c r="AD540" s="30">
        <f>PM_Angle!$J$17+PM_Angle!$K$17*$C540+PM_Angle!$L$17*$B540</f>
      </c>
      <c r="AE540" s="12">
        <f>IF(AD540&gt;0,IF(AD540&lt;=eco,alpha*fck*(1-(1-AD540/eco)^n),alpha*fck),0)</f>
      </c>
      <c r="AF540" s="30">
        <f>PM_Angle!$J$18+PM_Angle!$K$18*$C540+PM_Angle!$L$18*$B540</f>
      </c>
      <c r="AG540" s="12">
        <f>IF(AF540&gt;0,IF(AF540&lt;=eco,alpha*fck*(1-(1-AF540/eco)^n),alpha*fck),0)</f>
      </c>
      <c r="AH540" s="30">
        <f>PM_Angle!$J$19+PM_Angle!$K$19*$C540+PM_Angle!$L$19*$B540</f>
      </c>
      <c r="AI540" s="12">
        <f>IF(AH540&gt;0,IF(AH540&lt;=eco,alpha*fck*(1-(1-AH540/eco)^n),alpha*fck),0)</f>
      </c>
      <c r="AJ540" s="30">
        <f>PM_Angle!$J$20+PM_Angle!$K$20*$C540+PM_Angle!$L$20*$B540</f>
      </c>
      <c r="AK540" s="12">
        <f>IF(AJ540&gt;0,IF(AJ540&lt;=eco,alpha*fck*(1-(1-AJ540/eco)^n),alpha*fck),0)</f>
      </c>
      <c r="AL540" s="30">
        <f>PM_Angle!$J$21+PM_Angle!$K$21*$C540+PM_Angle!$L$21*$B540</f>
      </c>
      <c r="AM540" s="12">
        <f>IF(AL540&gt;0,IF(AL540&lt;=eco,alpha*fck*(1-(1-AL540/eco)^n),alpha*fck),0)</f>
      </c>
      <c r="AN540" s="30">
        <f>PM_Angle!$J$22+PM_Angle!$K$22*$C540+PM_Angle!$L$22*$B540</f>
      </c>
      <c r="AO540" s="12">
        <f>IF(AN540&gt;0,IF(AN540&lt;=eco,alpha*fck*(1-(1-AN540/eco)^n),alpha*fck),0)</f>
      </c>
      <c r="AP540" s="30">
        <f>PM_Angle!$J$23+PM_Angle!$K$23*$C540+PM_Angle!$L$23*$B540</f>
      </c>
      <c r="AQ540" s="12">
        <f>IF(AP540&gt;0,IF(AP540&lt;=eco,alpha*fck*(1-(1-AP540/eco)^n),alpha*fck),0)</f>
      </c>
      <c r="AR540" s="30">
        <f>PM_Angle!$J$24+PM_Angle!$K$24*$C540+PM_Angle!$L$24*$B540</f>
      </c>
      <c r="AS540" s="12">
        <f>IF(AR540&gt;0,IF(AR540&lt;=eco,alpha*fck*(1-(1-AR540/eco)^n),alpha*fck),0)</f>
      </c>
      <c r="AT540" s="30">
        <f>PM_Angle!$J$25+PM_Angle!$K$25*$C540+PM_Angle!$L$25*$B540</f>
      </c>
      <c r="AU540" s="12">
        <f>IF(AT540&gt;0,IF(AT540&lt;=eco,alpha*fck*(1-(1-AT540/eco)^n),alpha*fck),0)</f>
      </c>
    </row>
    <row r="541" spans="1:47" x14ac:dyDescent="0.25">
      <c r="A541">
        <f>Mesh!A538</f>
      </c>
      <c r="B541" s="12">
        <f>Mesh!B538</f>
      </c>
      <c r="C541" s="12">
        <f>Mesh!C538</f>
      </c>
      <c r="D541" s="12">
        <f>Mesh!D538</f>
      </c>
      <c r="E541" s="30">
        <f>INDEX(St_e0,Det+1)+INDEX(St_kx,Det+1)*C541+INDEX(St_ky,Det+1)*B541</f>
      </c>
      <c r="F541" s="12">
        <f>IF(E541&gt;0,IF(E541&lt;=eco,alpha*fck*(1-(1-E541/eco)^n),alpha*fck),0)</f>
      </c>
      <c r="G541" s="11">
        <f>F541*D541</f>
      </c>
      <c r="H541" s="11">
        <f>G541*C541</f>
      </c>
      <c r="I541" s="11">
        <f>G541*B541</f>
      </c>
      <c r="J541" s="30">
        <f>PM_Angle!$J$7+PM_Angle!$K$7*$C541+PM_Angle!$L$7*$B541</f>
      </c>
      <c r="K541" s="12">
        <f>IF(J541&gt;0,IF(J541&lt;=eco,alpha*fck*(1-(1-J541/eco)^n),alpha*fck),0)</f>
      </c>
      <c r="L541" s="30">
        <f>PM_Angle!$J$8+PM_Angle!$K$8*$C541+PM_Angle!$L$8*$B541</f>
      </c>
      <c r="M541" s="12">
        <f>IF(L541&gt;0,IF(L541&lt;=eco,alpha*fck*(1-(1-L541/eco)^n),alpha*fck),0)</f>
      </c>
      <c r="N541" s="30">
        <f>PM_Angle!$J$9+PM_Angle!$K$9*$C541+PM_Angle!$L$9*$B541</f>
      </c>
      <c r="O541" s="12">
        <f>IF(N541&gt;0,IF(N541&lt;=eco,alpha*fck*(1-(1-N541/eco)^n),alpha*fck),0)</f>
      </c>
      <c r="P541" s="30">
        <f>PM_Angle!$J$10+PM_Angle!$K$10*$C541+PM_Angle!$L$10*$B541</f>
      </c>
      <c r="Q541" s="12">
        <f>IF(P541&gt;0,IF(P541&lt;=eco,alpha*fck*(1-(1-P541/eco)^n),alpha*fck),0)</f>
      </c>
      <c r="R541" s="30">
        <f>PM_Angle!$J$11+PM_Angle!$K$11*$C541+PM_Angle!$L$11*$B541</f>
      </c>
      <c r="S541" s="12">
        <f>IF(R541&gt;0,IF(R541&lt;=eco,alpha*fck*(1-(1-R541/eco)^n),alpha*fck),0)</f>
      </c>
      <c r="T541" s="30">
        <f>PM_Angle!$J$12+PM_Angle!$K$12*$C541+PM_Angle!$L$12*$B541</f>
      </c>
      <c r="U541" s="12">
        <f>IF(T541&gt;0,IF(T541&lt;=eco,alpha*fck*(1-(1-T541/eco)^n),alpha*fck),0)</f>
      </c>
      <c r="V541" s="30">
        <f>PM_Angle!$J$13+PM_Angle!$K$13*$C541+PM_Angle!$L$13*$B541</f>
      </c>
      <c r="W541" s="12">
        <f>IF(V541&gt;0,IF(V541&lt;=eco,alpha*fck*(1-(1-V541/eco)^n),alpha*fck),0)</f>
      </c>
      <c r="X541" s="30">
        <f>PM_Angle!$J$14+PM_Angle!$K$14*$C541+PM_Angle!$L$14*$B541</f>
      </c>
      <c r="Y541" s="12">
        <f>IF(X541&gt;0,IF(X541&lt;=eco,alpha*fck*(1-(1-X541/eco)^n),alpha*fck),0)</f>
      </c>
      <c r="Z541" s="30">
        <f>PM_Angle!$J$15+PM_Angle!$K$15*$C541+PM_Angle!$L$15*$B541</f>
      </c>
      <c r="AA541" s="12">
        <f>IF(Z541&gt;0,IF(Z541&lt;=eco,alpha*fck*(1-(1-Z541/eco)^n),alpha*fck),0)</f>
      </c>
      <c r="AB541" s="30">
        <f>PM_Angle!$J$16+PM_Angle!$K$16*$C541+PM_Angle!$L$16*$B541</f>
      </c>
      <c r="AC541" s="12">
        <f>IF(AB541&gt;0,IF(AB541&lt;=eco,alpha*fck*(1-(1-AB541/eco)^n),alpha*fck),0)</f>
      </c>
      <c r="AD541" s="30">
        <f>PM_Angle!$J$17+PM_Angle!$K$17*$C541+PM_Angle!$L$17*$B541</f>
      </c>
      <c r="AE541" s="12">
        <f>IF(AD541&gt;0,IF(AD541&lt;=eco,alpha*fck*(1-(1-AD541/eco)^n),alpha*fck),0)</f>
      </c>
      <c r="AF541" s="30">
        <f>PM_Angle!$J$18+PM_Angle!$K$18*$C541+PM_Angle!$L$18*$B541</f>
      </c>
      <c r="AG541" s="12">
        <f>IF(AF541&gt;0,IF(AF541&lt;=eco,alpha*fck*(1-(1-AF541/eco)^n),alpha*fck),0)</f>
      </c>
      <c r="AH541" s="30">
        <f>PM_Angle!$J$19+PM_Angle!$K$19*$C541+PM_Angle!$L$19*$B541</f>
      </c>
      <c r="AI541" s="12">
        <f>IF(AH541&gt;0,IF(AH541&lt;=eco,alpha*fck*(1-(1-AH541/eco)^n),alpha*fck),0)</f>
      </c>
      <c r="AJ541" s="30">
        <f>PM_Angle!$J$20+PM_Angle!$K$20*$C541+PM_Angle!$L$20*$B541</f>
      </c>
      <c r="AK541" s="12">
        <f>IF(AJ541&gt;0,IF(AJ541&lt;=eco,alpha*fck*(1-(1-AJ541/eco)^n),alpha*fck),0)</f>
      </c>
      <c r="AL541" s="30">
        <f>PM_Angle!$J$21+PM_Angle!$K$21*$C541+PM_Angle!$L$21*$B541</f>
      </c>
      <c r="AM541" s="12">
        <f>IF(AL541&gt;0,IF(AL541&lt;=eco,alpha*fck*(1-(1-AL541/eco)^n),alpha*fck),0)</f>
      </c>
      <c r="AN541" s="30">
        <f>PM_Angle!$J$22+PM_Angle!$K$22*$C541+PM_Angle!$L$22*$B541</f>
      </c>
      <c r="AO541" s="12">
        <f>IF(AN541&gt;0,IF(AN541&lt;=eco,alpha*fck*(1-(1-AN541/eco)^n),alpha*fck),0)</f>
      </c>
      <c r="AP541" s="30">
        <f>PM_Angle!$J$23+PM_Angle!$K$23*$C541+PM_Angle!$L$23*$B541</f>
      </c>
      <c r="AQ541" s="12">
        <f>IF(AP541&gt;0,IF(AP541&lt;=eco,alpha*fck*(1-(1-AP541/eco)^n),alpha*fck),0)</f>
      </c>
      <c r="AR541" s="30">
        <f>PM_Angle!$J$24+PM_Angle!$K$24*$C541+PM_Angle!$L$24*$B541</f>
      </c>
      <c r="AS541" s="12">
        <f>IF(AR541&gt;0,IF(AR541&lt;=eco,alpha*fck*(1-(1-AR541/eco)^n),alpha*fck),0)</f>
      </c>
      <c r="AT541" s="30">
        <f>PM_Angle!$J$25+PM_Angle!$K$25*$C541+PM_Angle!$L$25*$B541</f>
      </c>
      <c r="AU541" s="12">
        <f>IF(AT541&gt;0,IF(AT541&lt;=eco,alpha*fck*(1-(1-AT541/eco)^n),alpha*fck),0)</f>
      </c>
    </row>
    <row r="542" spans="1:47" x14ac:dyDescent="0.25">
      <c r="A542">
        <f>Mesh!A539</f>
      </c>
      <c r="B542" s="12">
        <f>Mesh!B539</f>
      </c>
      <c r="C542" s="12">
        <f>Mesh!C539</f>
      </c>
      <c r="D542" s="12">
        <f>Mesh!D539</f>
      </c>
      <c r="E542" s="30">
        <f>INDEX(St_e0,Det+1)+INDEX(St_kx,Det+1)*C542+INDEX(St_ky,Det+1)*B542</f>
      </c>
      <c r="F542" s="12">
        <f>IF(E542&gt;0,IF(E542&lt;=eco,alpha*fck*(1-(1-E542/eco)^n),alpha*fck),0)</f>
      </c>
      <c r="G542" s="11">
        <f>F542*D542</f>
      </c>
      <c r="H542" s="11">
        <f>G542*C542</f>
      </c>
      <c r="I542" s="11">
        <f>G542*B542</f>
      </c>
      <c r="J542" s="30">
        <f>PM_Angle!$J$7+PM_Angle!$K$7*$C542+PM_Angle!$L$7*$B542</f>
      </c>
      <c r="K542" s="12">
        <f>IF(J542&gt;0,IF(J542&lt;=eco,alpha*fck*(1-(1-J542/eco)^n),alpha*fck),0)</f>
      </c>
      <c r="L542" s="30">
        <f>PM_Angle!$J$8+PM_Angle!$K$8*$C542+PM_Angle!$L$8*$B542</f>
      </c>
      <c r="M542" s="12">
        <f>IF(L542&gt;0,IF(L542&lt;=eco,alpha*fck*(1-(1-L542/eco)^n),alpha*fck),0)</f>
      </c>
      <c r="N542" s="30">
        <f>PM_Angle!$J$9+PM_Angle!$K$9*$C542+PM_Angle!$L$9*$B542</f>
      </c>
      <c r="O542" s="12">
        <f>IF(N542&gt;0,IF(N542&lt;=eco,alpha*fck*(1-(1-N542/eco)^n),alpha*fck),0)</f>
      </c>
      <c r="P542" s="30">
        <f>PM_Angle!$J$10+PM_Angle!$K$10*$C542+PM_Angle!$L$10*$B542</f>
      </c>
      <c r="Q542" s="12">
        <f>IF(P542&gt;0,IF(P542&lt;=eco,alpha*fck*(1-(1-P542/eco)^n),alpha*fck),0)</f>
      </c>
      <c r="R542" s="30">
        <f>PM_Angle!$J$11+PM_Angle!$K$11*$C542+PM_Angle!$L$11*$B542</f>
      </c>
      <c r="S542" s="12">
        <f>IF(R542&gt;0,IF(R542&lt;=eco,alpha*fck*(1-(1-R542/eco)^n),alpha*fck),0)</f>
      </c>
      <c r="T542" s="30">
        <f>PM_Angle!$J$12+PM_Angle!$K$12*$C542+PM_Angle!$L$12*$B542</f>
      </c>
      <c r="U542" s="12">
        <f>IF(T542&gt;0,IF(T542&lt;=eco,alpha*fck*(1-(1-T542/eco)^n),alpha*fck),0)</f>
      </c>
      <c r="V542" s="30">
        <f>PM_Angle!$J$13+PM_Angle!$K$13*$C542+PM_Angle!$L$13*$B542</f>
      </c>
      <c r="W542" s="12">
        <f>IF(V542&gt;0,IF(V542&lt;=eco,alpha*fck*(1-(1-V542/eco)^n),alpha*fck),0)</f>
      </c>
      <c r="X542" s="30">
        <f>PM_Angle!$J$14+PM_Angle!$K$14*$C542+PM_Angle!$L$14*$B542</f>
      </c>
      <c r="Y542" s="12">
        <f>IF(X542&gt;0,IF(X542&lt;=eco,alpha*fck*(1-(1-X542/eco)^n),alpha*fck),0)</f>
      </c>
      <c r="Z542" s="30">
        <f>PM_Angle!$J$15+PM_Angle!$K$15*$C542+PM_Angle!$L$15*$B542</f>
      </c>
      <c r="AA542" s="12">
        <f>IF(Z542&gt;0,IF(Z542&lt;=eco,alpha*fck*(1-(1-Z542/eco)^n),alpha*fck),0)</f>
      </c>
      <c r="AB542" s="30">
        <f>PM_Angle!$J$16+PM_Angle!$K$16*$C542+PM_Angle!$L$16*$B542</f>
      </c>
      <c r="AC542" s="12">
        <f>IF(AB542&gt;0,IF(AB542&lt;=eco,alpha*fck*(1-(1-AB542/eco)^n),alpha*fck),0)</f>
      </c>
      <c r="AD542" s="30">
        <f>PM_Angle!$J$17+PM_Angle!$K$17*$C542+PM_Angle!$L$17*$B542</f>
      </c>
      <c r="AE542" s="12">
        <f>IF(AD542&gt;0,IF(AD542&lt;=eco,alpha*fck*(1-(1-AD542/eco)^n),alpha*fck),0)</f>
      </c>
      <c r="AF542" s="30">
        <f>PM_Angle!$J$18+PM_Angle!$K$18*$C542+PM_Angle!$L$18*$B542</f>
      </c>
      <c r="AG542" s="12">
        <f>IF(AF542&gt;0,IF(AF542&lt;=eco,alpha*fck*(1-(1-AF542/eco)^n),alpha*fck),0)</f>
      </c>
      <c r="AH542" s="30">
        <f>PM_Angle!$J$19+PM_Angle!$K$19*$C542+PM_Angle!$L$19*$B542</f>
      </c>
      <c r="AI542" s="12">
        <f>IF(AH542&gt;0,IF(AH542&lt;=eco,alpha*fck*(1-(1-AH542/eco)^n),alpha*fck),0)</f>
      </c>
      <c r="AJ542" s="30">
        <f>PM_Angle!$J$20+PM_Angle!$K$20*$C542+PM_Angle!$L$20*$B542</f>
      </c>
      <c r="AK542" s="12">
        <f>IF(AJ542&gt;0,IF(AJ542&lt;=eco,alpha*fck*(1-(1-AJ542/eco)^n),alpha*fck),0)</f>
      </c>
      <c r="AL542" s="30">
        <f>PM_Angle!$J$21+PM_Angle!$K$21*$C542+PM_Angle!$L$21*$B542</f>
      </c>
      <c r="AM542" s="12">
        <f>IF(AL542&gt;0,IF(AL542&lt;=eco,alpha*fck*(1-(1-AL542/eco)^n),alpha*fck),0)</f>
      </c>
      <c r="AN542" s="30">
        <f>PM_Angle!$J$22+PM_Angle!$K$22*$C542+PM_Angle!$L$22*$B542</f>
      </c>
      <c r="AO542" s="12">
        <f>IF(AN542&gt;0,IF(AN542&lt;=eco,alpha*fck*(1-(1-AN542/eco)^n),alpha*fck),0)</f>
      </c>
      <c r="AP542" s="30">
        <f>PM_Angle!$J$23+PM_Angle!$K$23*$C542+PM_Angle!$L$23*$B542</f>
      </c>
      <c r="AQ542" s="12">
        <f>IF(AP542&gt;0,IF(AP542&lt;=eco,alpha*fck*(1-(1-AP542/eco)^n),alpha*fck),0)</f>
      </c>
      <c r="AR542" s="30">
        <f>PM_Angle!$J$24+PM_Angle!$K$24*$C542+PM_Angle!$L$24*$B542</f>
      </c>
      <c r="AS542" s="12">
        <f>IF(AR542&gt;0,IF(AR542&lt;=eco,alpha*fck*(1-(1-AR542/eco)^n),alpha*fck),0)</f>
      </c>
      <c r="AT542" s="30">
        <f>PM_Angle!$J$25+PM_Angle!$K$25*$C542+PM_Angle!$L$25*$B542</f>
      </c>
      <c r="AU542" s="12">
        <f>IF(AT542&gt;0,IF(AT542&lt;=eco,alpha*fck*(1-(1-AT542/eco)^n),alpha*fck),0)</f>
      </c>
    </row>
    <row r="543" spans="1:47" x14ac:dyDescent="0.25">
      <c r="A543">
        <f>Mesh!A540</f>
      </c>
      <c r="B543" s="12">
        <f>Mesh!B540</f>
      </c>
      <c r="C543" s="12">
        <f>Mesh!C540</f>
      </c>
      <c r="D543" s="12">
        <f>Mesh!D540</f>
      </c>
      <c r="E543" s="30">
        <f>INDEX(St_e0,Det+1)+INDEX(St_kx,Det+1)*C543+INDEX(St_ky,Det+1)*B543</f>
      </c>
      <c r="F543" s="12">
        <f>IF(E543&gt;0,IF(E543&lt;=eco,alpha*fck*(1-(1-E543/eco)^n),alpha*fck),0)</f>
      </c>
      <c r="G543" s="11">
        <f>F543*D543</f>
      </c>
      <c r="H543" s="11">
        <f>G543*C543</f>
      </c>
      <c r="I543" s="11">
        <f>G543*B543</f>
      </c>
      <c r="J543" s="30">
        <f>PM_Angle!$J$7+PM_Angle!$K$7*$C543+PM_Angle!$L$7*$B543</f>
      </c>
      <c r="K543" s="12">
        <f>IF(J543&gt;0,IF(J543&lt;=eco,alpha*fck*(1-(1-J543/eco)^n),alpha*fck),0)</f>
      </c>
      <c r="L543" s="30">
        <f>PM_Angle!$J$8+PM_Angle!$K$8*$C543+PM_Angle!$L$8*$B543</f>
      </c>
      <c r="M543" s="12">
        <f>IF(L543&gt;0,IF(L543&lt;=eco,alpha*fck*(1-(1-L543/eco)^n),alpha*fck),0)</f>
      </c>
      <c r="N543" s="30">
        <f>PM_Angle!$J$9+PM_Angle!$K$9*$C543+PM_Angle!$L$9*$B543</f>
      </c>
      <c r="O543" s="12">
        <f>IF(N543&gt;0,IF(N543&lt;=eco,alpha*fck*(1-(1-N543/eco)^n),alpha*fck),0)</f>
      </c>
      <c r="P543" s="30">
        <f>PM_Angle!$J$10+PM_Angle!$K$10*$C543+PM_Angle!$L$10*$B543</f>
      </c>
      <c r="Q543" s="12">
        <f>IF(P543&gt;0,IF(P543&lt;=eco,alpha*fck*(1-(1-P543/eco)^n),alpha*fck),0)</f>
      </c>
      <c r="R543" s="30">
        <f>PM_Angle!$J$11+PM_Angle!$K$11*$C543+PM_Angle!$L$11*$B543</f>
      </c>
      <c r="S543" s="12">
        <f>IF(R543&gt;0,IF(R543&lt;=eco,alpha*fck*(1-(1-R543/eco)^n),alpha*fck),0)</f>
      </c>
      <c r="T543" s="30">
        <f>PM_Angle!$J$12+PM_Angle!$K$12*$C543+PM_Angle!$L$12*$B543</f>
      </c>
      <c r="U543" s="12">
        <f>IF(T543&gt;0,IF(T543&lt;=eco,alpha*fck*(1-(1-T543/eco)^n),alpha*fck),0)</f>
      </c>
      <c r="V543" s="30">
        <f>PM_Angle!$J$13+PM_Angle!$K$13*$C543+PM_Angle!$L$13*$B543</f>
      </c>
      <c r="W543" s="12">
        <f>IF(V543&gt;0,IF(V543&lt;=eco,alpha*fck*(1-(1-V543/eco)^n),alpha*fck),0)</f>
      </c>
      <c r="X543" s="30">
        <f>PM_Angle!$J$14+PM_Angle!$K$14*$C543+PM_Angle!$L$14*$B543</f>
      </c>
      <c r="Y543" s="12">
        <f>IF(X543&gt;0,IF(X543&lt;=eco,alpha*fck*(1-(1-X543/eco)^n),alpha*fck),0)</f>
      </c>
      <c r="Z543" s="30">
        <f>PM_Angle!$J$15+PM_Angle!$K$15*$C543+PM_Angle!$L$15*$B543</f>
      </c>
      <c r="AA543" s="12">
        <f>IF(Z543&gt;0,IF(Z543&lt;=eco,alpha*fck*(1-(1-Z543/eco)^n),alpha*fck),0)</f>
      </c>
      <c r="AB543" s="30">
        <f>PM_Angle!$J$16+PM_Angle!$K$16*$C543+PM_Angle!$L$16*$B543</f>
      </c>
      <c r="AC543" s="12">
        <f>IF(AB543&gt;0,IF(AB543&lt;=eco,alpha*fck*(1-(1-AB543/eco)^n),alpha*fck),0)</f>
      </c>
      <c r="AD543" s="30">
        <f>PM_Angle!$J$17+PM_Angle!$K$17*$C543+PM_Angle!$L$17*$B543</f>
      </c>
      <c r="AE543" s="12">
        <f>IF(AD543&gt;0,IF(AD543&lt;=eco,alpha*fck*(1-(1-AD543/eco)^n),alpha*fck),0)</f>
      </c>
      <c r="AF543" s="30">
        <f>PM_Angle!$J$18+PM_Angle!$K$18*$C543+PM_Angle!$L$18*$B543</f>
      </c>
      <c r="AG543" s="12">
        <f>IF(AF543&gt;0,IF(AF543&lt;=eco,alpha*fck*(1-(1-AF543/eco)^n),alpha*fck),0)</f>
      </c>
      <c r="AH543" s="30">
        <f>PM_Angle!$J$19+PM_Angle!$K$19*$C543+PM_Angle!$L$19*$B543</f>
      </c>
      <c r="AI543" s="12">
        <f>IF(AH543&gt;0,IF(AH543&lt;=eco,alpha*fck*(1-(1-AH543/eco)^n),alpha*fck),0)</f>
      </c>
      <c r="AJ543" s="30">
        <f>PM_Angle!$J$20+PM_Angle!$K$20*$C543+PM_Angle!$L$20*$B543</f>
      </c>
      <c r="AK543" s="12">
        <f>IF(AJ543&gt;0,IF(AJ543&lt;=eco,alpha*fck*(1-(1-AJ543/eco)^n),alpha*fck),0)</f>
      </c>
      <c r="AL543" s="30">
        <f>PM_Angle!$J$21+PM_Angle!$K$21*$C543+PM_Angle!$L$21*$B543</f>
      </c>
      <c r="AM543" s="12">
        <f>IF(AL543&gt;0,IF(AL543&lt;=eco,alpha*fck*(1-(1-AL543/eco)^n),alpha*fck),0)</f>
      </c>
      <c r="AN543" s="30">
        <f>PM_Angle!$J$22+PM_Angle!$K$22*$C543+PM_Angle!$L$22*$B543</f>
      </c>
      <c r="AO543" s="12">
        <f>IF(AN543&gt;0,IF(AN543&lt;=eco,alpha*fck*(1-(1-AN543/eco)^n),alpha*fck),0)</f>
      </c>
      <c r="AP543" s="30">
        <f>PM_Angle!$J$23+PM_Angle!$K$23*$C543+PM_Angle!$L$23*$B543</f>
      </c>
      <c r="AQ543" s="12">
        <f>IF(AP543&gt;0,IF(AP543&lt;=eco,alpha*fck*(1-(1-AP543/eco)^n),alpha*fck),0)</f>
      </c>
      <c r="AR543" s="30">
        <f>PM_Angle!$J$24+PM_Angle!$K$24*$C543+PM_Angle!$L$24*$B543</f>
      </c>
      <c r="AS543" s="12">
        <f>IF(AR543&gt;0,IF(AR543&lt;=eco,alpha*fck*(1-(1-AR543/eco)^n),alpha*fck),0)</f>
      </c>
      <c r="AT543" s="30">
        <f>PM_Angle!$J$25+PM_Angle!$K$25*$C543+PM_Angle!$L$25*$B543</f>
      </c>
      <c r="AU543" s="12">
        <f>IF(AT543&gt;0,IF(AT543&lt;=eco,alpha*fck*(1-(1-AT543/eco)^n),alpha*fck),0)</f>
      </c>
    </row>
    <row r="544" spans="1:47" x14ac:dyDescent="0.25">
      <c r="A544">
        <f>Mesh!A541</f>
      </c>
      <c r="B544" s="12">
        <f>Mesh!B541</f>
      </c>
      <c r="C544" s="12">
        <f>Mesh!C541</f>
      </c>
      <c r="D544" s="12">
        <f>Mesh!D541</f>
      </c>
      <c r="E544" s="30">
        <f>INDEX(St_e0,Det+1)+INDEX(St_kx,Det+1)*C544+INDEX(St_ky,Det+1)*B544</f>
      </c>
      <c r="F544" s="12">
        <f>IF(E544&gt;0,IF(E544&lt;=eco,alpha*fck*(1-(1-E544/eco)^n),alpha*fck),0)</f>
      </c>
      <c r="G544" s="11">
        <f>F544*D544</f>
      </c>
      <c r="H544" s="11">
        <f>G544*C544</f>
      </c>
      <c r="I544" s="11">
        <f>G544*B544</f>
      </c>
      <c r="J544" s="30">
        <f>PM_Angle!$J$7+PM_Angle!$K$7*$C544+PM_Angle!$L$7*$B544</f>
      </c>
      <c r="K544" s="12">
        <f>IF(J544&gt;0,IF(J544&lt;=eco,alpha*fck*(1-(1-J544/eco)^n),alpha*fck),0)</f>
      </c>
      <c r="L544" s="30">
        <f>PM_Angle!$J$8+PM_Angle!$K$8*$C544+PM_Angle!$L$8*$B544</f>
      </c>
      <c r="M544" s="12">
        <f>IF(L544&gt;0,IF(L544&lt;=eco,alpha*fck*(1-(1-L544/eco)^n),alpha*fck),0)</f>
      </c>
      <c r="N544" s="30">
        <f>PM_Angle!$J$9+PM_Angle!$K$9*$C544+PM_Angle!$L$9*$B544</f>
      </c>
      <c r="O544" s="12">
        <f>IF(N544&gt;0,IF(N544&lt;=eco,alpha*fck*(1-(1-N544/eco)^n),alpha*fck),0)</f>
      </c>
      <c r="P544" s="30">
        <f>PM_Angle!$J$10+PM_Angle!$K$10*$C544+PM_Angle!$L$10*$B544</f>
      </c>
      <c r="Q544" s="12">
        <f>IF(P544&gt;0,IF(P544&lt;=eco,alpha*fck*(1-(1-P544/eco)^n),alpha*fck),0)</f>
      </c>
      <c r="R544" s="30">
        <f>PM_Angle!$J$11+PM_Angle!$K$11*$C544+PM_Angle!$L$11*$B544</f>
      </c>
      <c r="S544" s="12">
        <f>IF(R544&gt;0,IF(R544&lt;=eco,alpha*fck*(1-(1-R544/eco)^n),alpha*fck),0)</f>
      </c>
      <c r="T544" s="30">
        <f>PM_Angle!$J$12+PM_Angle!$K$12*$C544+PM_Angle!$L$12*$B544</f>
      </c>
      <c r="U544" s="12">
        <f>IF(T544&gt;0,IF(T544&lt;=eco,alpha*fck*(1-(1-T544/eco)^n),alpha*fck),0)</f>
      </c>
      <c r="V544" s="30">
        <f>PM_Angle!$J$13+PM_Angle!$K$13*$C544+PM_Angle!$L$13*$B544</f>
      </c>
      <c r="W544" s="12">
        <f>IF(V544&gt;0,IF(V544&lt;=eco,alpha*fck*(1-(1-V544/eco)^n),alpha*fck),0)</f>
      </c>
      <c r="X544" s="30">
        <f>PM_Angle!$J$14+PM_Angle!$K$14*$C544+PM_Angle!$L$14*$B544</f>
      </c>
      <c r="Y544" s="12">
        <f>IF(X544&gt;0,IF(X544&lt;=eco,alpha*fck*(1-(1-X544/eco)^n),alpha*fck),0)</f>
      </c>
      <c r="Z544" s="30">
        <f>PM_Angle!$J$15+PM_Angle!$K$15*$C544+PM_Angle!$L$15*$B544</f>
      </c>
      <c r="AA544" s="12">
        <f>IF(Z544&gt;0,IF(Z544&lt;=eco,alpha*fck*(1-(1-Z544/eco)^n),alpha*fck),0)</f>
      </c>
      <c r="AB544" s="30">
        <f>PM_Angle!$J$16+PM_Angle!$K$16*$C544+PM_Angle!$L$16*$B544</f>
      </c>
      <c r="AC544" s="12">
        <f>IF(AB544&gt;0,IF(AB544&lt;=eco,alpha*fck*(1-(1-AB544/eco)^n),alpha*fck),0)</f>
      </c>
      <c r="AD544" s="30">
        <f>PM_Angle!$J$17+PM_Angle!$K$17*$C544+PM_Angle!$L$17*$B544</f>
      </c>
      <c r="AE544" s="12">
        <f>IF(AD544&gt;0,IF(AD544&lt;=eco,alpha*fck*(1-(1-AD544/eco)^n),alpha*fck),0)</f>
      </c>
      <c r="AF544" s="30">
        <f>PM_Angle!$J$18+PM_Angle!$K$18*$C544+PM_Angle!$L$18*$B544</f>
      </c>
      <c r="AG544" s="12">
        <f>IF(AF544&gt;0,IF(AF544&lt;=eco,alpha*fck*(1-(1-AF544/eco)^n),alpha*fck),0)</f>
      </c>
      <c r="AH544" s="30">
        <f>PM_Angle!$J$19+PM_Angle!$K$19*$C544+PM_Angle!$L$19*$B544</f>
      </c>
      <c r="AI544" s="12">
        <f>IF(AH544&gt;0,IF(AH544&lt;=eco,alpha*fck*(1-(1-AH544/eco)^n),alpha*fck),0)</f>
      </c>
      <c r="AJ544" s="30">
        <f>PM_Angle!$J$20+PM_Angle!$K$20*$C544+PM_Angle!$L$20*$B544</f>
      </c>
      <c r="AK544" s="12">
        <f>IF(AJ544&gt;0,IF(AJ544&lt;=eco,alpha*fck*(1-(1-AJ544/eco)^n),alpha*fck),0)</f>
      </c>
      <c r="AL544" s="30">
        <f>PM_Angle!$J$21+PM_Angle!$K$21*$C544+PM_Angle!$L$21*$B544</f>
      </c>
      <c r="AM544" s="12">
        <f>IF(AL544&gt;0,IF(AL544&lt;=eco,alpha*fck*(1-(1-AL544/eco)^n),alpha*fck),0)</f>
      </c>
      <c r="AN544" s="30">
        <f>PM_Angle!$J$22+PM_Angle!$K$22*$C544+PM_Angle!$L$22*$B544</f>
      </c>
      <c r="AO544" s="12">
        <f>IF(AN544&gt;0,IF(AN544&lt;=eco,alpha*fck*(1-(1-AN544/eco)^n),alpha*fck),0)</f>
      </c>
      <c r="AP544" s="30">
        <f>PM_Angle!$J$23+PM_Angle!$K$23*$C544+PM_Angle!$L$23*$B544</f>
      </c>
      <c r="AQ544" s="12">
        <f>IF(AP544&gt;0,IF(AP544&lt;=eco,alpha*fck*(1-(1-AP544/eco)^n),alpha*fck),0)</f>
      </c>
      <c r="AR544" s="30">
        <f>PM_Angle!$J$24+PM_Angle!$K$24*$C544+PM_Angle!$L$24*$B544</f>
      </c>
      <c r="AS544" s="12">
        <f>IF(AR544&gt;0,IF(AR544&lt;=eco,alpha*fck*(1-(1-AR544/eco)^n),alpha*fck),0)</f>
      </c>
      <c r="AT544" s="30">
        <f>PM_Angle!$J$25+PM_Angle!$K$25*$C544+PM_Angle!$L$25*$B544</f>
      </c>
      <c r="AU544" s="12">
        <f>IF(AT544&gt;0,IF(AT544&lt;=eco,alpha*fck*(1-(1-AT544/eco)^n),alpha*fck),0)</f>
      </c>
    </row>
    <row r="545" spans="1:47" x14ac:dyDescent="0.25">
      <c r="A545">
        <f>Mesh!A542</f>
      </c>
      <c r="B545" s="12">
        <f>Mesh!B542</f>
      </c>
      <c r="C545" s="12">
        <f>Mesh!C542</f>
      </c>
      <c r="D545" s="12">
        <f>Mesh!D542</f>
      </c>
      <c r="E545" s="30">
        <f>INDEX(St_e0,Det+1)+INDEX(St_kx,Det+1)*C545+INDEX(St_ky,Det+1)*B545</f>
      </c>
      <c r="F545" s="12">
        <f>IF(E545&gt;0,IF(E545&lt;=eco,alpha*fck*(1-(1-E545/eco)^n),alpha*fck),0)</f>
      </c>
      <c r="G545" s="11">
        <f>F545*D545</f>
      </c>
      <c r="H545" s="11">
        <f>G545*C545</f>
      </c>
      <c r="I545" s="11">
        <f>G545*B545</f>
      </c>
      <c r="J545" s="30">
        <f>PM_Angle!$J$7+PM_Angle!$K$7*$C545+PM_Angle!$L$7*$B545</f>
      </c>
      <c r="K545" s="12">
        <f>IF(J545&gt;0,IF(J545&lt;=eco,alpha*fck*(1-(1-J545/eco)^n),alpha*fck),0)</f>
      </c>
      <c r="L545" s="30">
        <f>PM_Angle!$J$8+PM_Angle!$K$8*$C545+PM_Angle!$L$8*$B545</f>
      </c>
      <c r="M545" s="12">
        <f>IF(L545&gt;0,IF(L545&lt;=eco,alpha*fck*(1-(1-L545/eco)^n),alpha*fck),0)</f>
      </c>
      <c r="N545" s="30">
        <f>PM_Angle!$J$9+PM_Angle!$K$9*$C545+PM_Angle!$L$9*$B545</f>
      </c>
      <c r="O545" s="12">
        <f>IF(N545&gt;0,IF(N545&lt;=eco,alpha*fck*(1-(1-N545/eco)^n),alpha*fck),0)</f>
      </c>
      <c r="P545" s="30">
        <f>PM_Angle!$J$10+PM_Angle!$K$10*$C545+PM_Angle!$L$10*$B545</f>
      </c>
      <c r="Q545" s="12">
        <f>IF(P545&gt;0,IF(P545&lt;=eco,alpha*fck*(1-(1-P545/eco)^n),alpha*fck),0)</f>
      </c>
      <c r="R545" s="30">
        <f>PM_Angle!$J$11+PM_Angle!$K$11*$C545+PM_Angle!$L$11*$B545</f>
      </c>
      <c r="S545" s="12">
        <f>IF(R545&gt;0,IF(R545&lt;=eco,alpha*fck*(1-(1-R545/eco)^n),alpha*fck),0)</f>
      </c>
      <c r="T545" s="30">
        <f>PM_Angle!$J$12+PM_Angle!$K$12*$C545+PM_Angle!$L$12*$B545</f>
      </c>
      <c r="U545" s="12">
        <f>IF(T545&gt;0,IF(T545&lt;=eco,alpha*fck*(1-(1-T545/eco)^n),alpha*fck),0)</f>
      </c>
      <c r="V545" s="30">
        <f>PM_Angle!$J$13+PM_Angle!$K$13*$C545+PM_Angle!$L$13*$B545</f>
      </c>
      <c r="W545" s="12">
        <f>IF(V545&gt;0,IF(V545&lt;=eco,alpha*fck*(1-(1-V545/eco)^n),alpha*fck),0)</f>
      </c>
      <c r="X545" s="30">
        <f>PM_Angle!$J$14+PM_Angle!$K$14*$C545+PM_Angle!$L$14*$B545</f>
      </c>
      <c r="Y545" s="12">
        <f>IF(X545&gt;0,IF(X545&lt;=eco,alpha*fck*(1-(1-X545/eco)^n),alpha*fck),0)</f>
      </c>
      <c r="Z545" s="30">
        <f>PM_Angle!$J$15+PM_Angle!$K$15*$C545+PM_Angle!$L$15*$B545</f>
      </c>
      <c r="AA545" s="12">
        <f>IF(Z545&gt;0,IF(Z545&lt;=eco,alpha*fck*(1-(1-Z545/eco)^n),alpha*fck),0)</f>
      </c>
      <c r="AB545" s="30">
        <f>PM_Angle!$J$16+PM_Angle!$K$16*$C545+PM_Angle!$L$16*$B545</f>
      </c>
      <c r="AC545" s="12">
        <f>IF(AB545&gt;0,IF(AB545&lt;=eco,alpha*fck*(1-(1-AB545/eco)^n),alpha*fck),0)</f>
      </c>
      <c r="AD545" s="30">
        <f>PM_Angle!$J$17+PM_Angle!$K$17*$C545+PM_Angle!$L$17*$B545</f>
      </c>
      <c r="AE545" s="12">
        <f>IF(AD545&gt;0,IF(AD545&lt;=eco,alpha*fck*(1-(1-AD545/eco)^n),alpha*fck),0)</f>
      </c>
      <c r="AF545" s="30">
        <f>PM_Angle!$J$18+PM_Angle!$K$18*$C545+PM_Angle!$L$18*$B545</f>
      </c>
      <c r="AG545" s="12">
        <f>IF(AF545&gt;0,IF(AF545&lt;=eco,alpha*fck*(1-(1-AF545/eco)^n),alpha*fck),0)</f>
      </c>
      <c r="AH545" s="30">
        <f>PM_Angle!$J$19+PM_Angle!$K$19*$C545+PM_Angle!$L$19*$B545</f>
      </c>
      <c r="AI545" s="12">
        <f>IF(AH545&gt;0,IF(AH545&lt;=eco,alpha*fck*(1-(1-AH545/eco)^n),alpha*fck),0)</f>
      </c>
      <c r="AJ545" s="30">
        <f>PM_Angle!$J$20+PM_Angle!$K$20*$C545+PM_Angle!$L$20*$B545</f>
      </c>
      <c r="AK545" s="12">
        <f>IF(AJ545&gt;0,IF(AJ545&lt;=eco,alpha*fck*(1-(1-AJ545/eco)^n),alpha*fck),0)</f>
      </c>
      <c r="AL545" s="30">
        <f>PM_Angle!$J$21+PM_Angle!$K$21*$C545+PM_Angle!$L$21*$B545</f>
      </c>
      <c r="AM545" s="12">
        <f>IF(AL545&gt;0,IF(AL545&lt;=eco,alpha*fck*(1-(1-AL545/eco)^n),alpha*fck),0)</f>
      </c>
      <c r="AN545" s="30">
        <f>PM_Angle!$J$22+PM_Angle!$K$22*$C545+PM_Angle!$L$22*$B545</f>
      </c>
      <c r="AO545" s="12">
        <f>IF(AN545&gt;0,IF(AN545&lt;=eco,alpha*fck*(1-(1-AN545/eco)^n),alpha*fck),0)</f>
      </c>
      <c r="AP545" s="30">
        <f>PM_Angle!$J$23+PM_Angle!$K$23*$C545+PM_Angle!$L$23*$B545</f>
      </c>
      <c r="AQ545" s="12">
        <f>IF(AP545&gt;0,IF(AP545&lt;=eco,alpha*fck*(1-(1-AP545/eco)^n),alpha*fck),0)</f>
      </c>
      <c r="AR545" s="30">
        <f>PM_Angle!$J$24+PM_Angle!$K$24*$C545+PM_Angle!$L$24*$B545</f>
      </c>
      <c r="AS545" s="12">
        <f>IF(AR545&gt;0,IF(AR545&lt;=eco,alpha*fck*(1-(1-AR545/eco)^n),alpha*fck),0)</f>
      </c>
      <c r="AT545" s="30">
        <f>PM_Angle!$J$25+PM_Angle!$K$25*$C545+PM_Angle!$L$25*$B545</f>
      </c>
      <c r="AU545" s="12">
        <f>IF(AT545&gt;0,IF(AT545&lt;=eco,alpha*fck*(1-(1-AT545/eco)^n),alpha*fck),0)</f>
      </c>
    </row>
    <row r="546" spans="1:47" x14ac:dyDescent="0.25">
      <c r="A546">
        <f>Mesh!A543</f>
      </c>
      <c r="B546" s="12">
        <f>Mesh!B543</f>
      </c>
      <c r="C546" s="12">
        <f>Mesh!C543</f>
      </c>
      <c r="D546" s="12">
        <f>Mesh!D543</f>
      </c>
      <c r="E546" s="30">
        <f>INDEX(St_e0,Det+1)+INDEX(St_kx,Det+1)*C546+INDEX(St_ky,Det+1)*B546</f>
      </c>
      <c r="F546" s="12">
        <f>IF(E546&gt;0,IF(E546&lt;=eco,alpha*fck*(1-(1-E546/eco)^n),alpha*fck),0)</f>
      </c>
      <c r="G546" s="11">
        <f>F546*D546</f>
      </c>
      <c r="H546" s="11">
        <f>G546*C546</f>
      </c>
      <c r="I546" s="11">
        <f>G546*B546</f>
      </c>
      <c r="J546" s="30">
        <f>PM_Angle!$J$7+PM_Angle!$K$7*$C546+PM_Angle!$L$7*$B546</f>
      </c>
      <c r="K546" s="12">
        <f>IF(J546&gt;0,IF(J546&lt;=eco,alpha*fck*(1-(1-J546/eco)^n),alpha*fck),0)</f>
      </c>
      <c r="L546" s="30">
        <f>PM_Angle!$J$8+PM_Angle!$K$8*$C546+PM_Angle!$L$8*$B546</f>
      </c>
      <c r="M546" s="12">
        <f>IF(L546&gt;0,IF(L546&lt;=eco,alpha*fck*(1-(1-L546/eco)^n),alpha*fck),0)</f>
      </c>
      <c r="N546" s="30">
        <f>PM_Angle!$J$9+PM_Angle!$K$9*$C546+PM_Angle!$L$9*$B546</f>
      </c>
      <c r="O546" s="12">
        <f>IF(N546&gt;0,IF(N546&lt;=eco,alpha*fck*(1-(1-N546/eco)^n),alpha*fck),0)</f>
      </c>
      <c r="P546" s="30">
        <f>PM_Angle!$J$10+PM_Angle!$K$10*$C546+PM_Angle!$L$10*$B546</f>
      </c>
      <c r="Q546" s="12">
        <f>IF(P546&gt;0,IF(P546&lt;=eco,alpha*fck*(1-(1-P546/eco)^n),alpha*fck),0)</f>
      </c>
      <c r="R546" s="30">
        <f>PM_Angle!$J$11+PM_Angle!$K$11*$C546+PM_Angle!$L$11*$B546</f>
      </c>
      <c r="S546" s="12">
        <f>IF(R546&gt;0,IF(R546&lt;=eco,alpha*fck*(1-(1-R546/eco)^n),alpha*fck),0)</f>
      </c>
      <c r="T546" s="30">
        <f>PM_Angle!$J$12+PM_Angle!$K$12*$C546+PM_Angle!$L$12*$B546</f>
      </c>
      <c r="U546" s="12">
        <f>IF(T546&gt;0,IF(T546&lt;=eco,alpha*fck*(1-(1-T546/eco)^n),alpha*fck),0)</f>
      </c>
      <c r="V546" s="30">
        <f>PM_Angle!$J$13+PM_Angle!$K$13*$C546+PM_Angle!$L$13*$B546</f>
      </c>
      <c r="W546" s="12">
        <f>IF(V546&gt;0,IF(V546&lt;=eco,alpha*fck*(1-(1-V546/eco)^n),alpha*fck),0)</f>
      </c>
      <c r="X546" s="30">
        <f>PM_Angle!$J$14+PM_Angle!$K$14*$C546+PM_Angle!$L$14*$B546</f>
      </c>
      <c r="Y546" s="12">
        <f>IF(X546&gt;0,IF(X546&lt;=eco,alpha*fck*(1-(1-X546/eco)^n),alpha*fck),0)</f>
      </c>
      <c r="Z546" s="30">
        <f>PM_Angle!$J$15+PM_Angle!$K$15*$C546+PM_Angle!$L$15*$B546</f>
      </c>
      <c r="AA546" s="12">
        <f>IF(Z546&gt;0,IF(Z546&lt;=eco,alpha*fck*(1-(1-Z546/eco)^n),alpha*fck),0)</f>
      </c>
      <c r="AB546" s="30">
        <f>PM_Angle!$J$16+PM_Angle!$K$16*$C546+PM_Angle!$L$16*$B546</f>
      </c>
      <c r="AC546" s="12">
        <f>IF(AB546&gt;0,IF(AB546&lt;=eco,alpha*fck*(1-(1-AB546/eco)^n),alpha*fck),0)</f>
      </c>
      <c r="AD546" s="30">
        <f>PM_Angle!$J$17+PM_Angle!$K$17*$C546+PM_Angle!$L$17*$B546</f>
      </c>
      <c r="AE546" s="12">
        <f>IF(AD546&gt;0,IF(AD546&lt;=eco,alpha*fck*(1-(1-AD546/eco)^n),alpha*fck),0)</f>
      </c>
      <c r="AF546" s="30">
        <f>PM_Angle!$J$18+PM_Angle!$K$18*$C546+PM_Angle!$L$18*$B546</f>
      </c>
      <c r="AG546" s="12">
        <f>IF(AF546&gt;0,IF(AF546&lt;=eco,alpha*fck*(1-(1-AF546/eco)^n),alpha*fck),0)</f>
      </c>
      <c r="AH546" s="30">
        <f>PM_Angle!$J$19+PM_Angle!$K$19*$C546+PM_Angle!$L$19*$B546</f>
      </c>
      <c r="AI546" s="12">
        <f>IF(AH546&gt;0,IF(AH546&lt;=eco,alpha*fck*(1-(1-AH546/eco)^n),alpha*fck),0)</f>
      </c>
      <c r="AJ546" s="30">
        <f>PM_Angle!$J$20+PM_Angle!$K$20*$C546+PM_Angle!$L$20*$B546</f>
      </c>
      <c r="AK546" s="12">
        <f>IF(AJ546&gt;0,IF(AJ546&lt;=eco,alpha*fck*(1-(1-AJ546/eco)^n),alpha*fck),0)</f>
      </c>
      <c r="AL546" s="30">
        <f>PM_Angle!$J$21+PM_Angle!$K$21*$C546+PM_Angle!$L$21*$B546</f>
      </c>
      <c r="AM546" s="12">
        <f>IF(AL546&gt;0,IF(AL546&lt;=eco,alpha*fck*(1-(1-AL546/eco)^n),alpha*fck),0)</f>
      </c>
      <c r="AN546" s="30">
        <f>PM_Angle!$J$22+PM_Angle!$K$22*$C546+PM_Angle!$L$22*$B546</f>
      </c>
      <c r="AO546" s="12">
        <f>IF(AN546&gt;0,IF(AN546&lt;=eco,alpha*fck*(1-(1-AN546/eco)^n),alpha*fck),0)</f>
      </c>
      <c r="AP546" s="30">
        <f>PM_Angle!$J$23+PM_Angle!$K$23*$C546+PM_Angle!$L$23*$B546</f>
      </c>
      <c r="AQ546" s="12">
        <f>IF(AP546&gt;0,IF(AP546&lt;=eco,alpha*fck*(1-(1-AP546/eco)^n),alpha*fck),0)</f>
      </c>
      <c r="AR546" s="30">
        <f>PM_Angle!$J$24+PM_Angle!$K$24*$C546+PM_Angle!$L$24*$B546</f>
      </c>
      <c r="AS546" s="12">
        <f>IF(AR546&gt;0,IF(AR546&lt;=eco,alpha*fck*(1-(1-AR546/eco)^n),alpha*fck),0)</f>
      </c>
      <c r="AT546" s="30">
        <f>PM_Angle!$J$25+PM_Angle!$K$25*$C546+PM_Angle!$L$25*$B546</f>
      </c>
      <c r="AU546" s="12">
        <f>IF(AT546&gt;0,IF(AT546&lt;=eco,alpha*fck*(1-(1-AT546/eco)^n),alpha*fck),0)</f>
      </c>
    </row>
    <row r="547" spans="1:47" x14ac:dyDescent="0.25">
      <c r="A547">
        <f>Mesh!A544</f>
      </c>
      <c r="B547" s="12">
        <f>Mesh!B544</f>
      </c>
      <c r="C547" s="12">
        <f>Mesh!C544</f>
      </c>
      <c r="D547" s="12">
        <f>Mesh!D544</f>
      </c>
      <c r="E547" s="30">
        <f>INDEX(St_e0,Det+1)+INDEX(St_kx,Det+1)*C547+INDEX(St_ky,Det+1)*B547</f>
      </c>
      <c r="F547" s="12">
        <f>IF(E547&gt;0,IF(E547&lt;=eco,alpha*fck*(1-(1-E547/eco)^n),alpha*fck),0)</f>
      </c>
      <c r="G547" s="11">
        <f>F547*D547</f>
      </c>
      <c r="H547" s="11">
        <f>G547*C547</f>
      </c>
      <c r="I547" s="11">
        <f>G547*B547</f>
      </c>
      <c r="J547" s="30">
        <f>PM_Angle!$J$7+PM_Angle!$K$7*$C547+PM_Angle!$L$7*$B547</f>
      </c>
      <c r="K547" s="12">
        <f>IF(J547&gt;0,IF(J547&lt;=eco,alpha*fck*(1-(1-J547/eco)^n),alpha*fck),0)</f>
      </c>
      <c r="L547" s="30">
        <f>PM_Angle!$J$8+PM_Angle!$K$8*$C547+PM_Angle!$L$8*$B547</f>
      </c>
      <c r="M547" s="12">
        <f>IF(L547&gt;0,IF(L547&lt;=eco,alpha*fck*(1-(1-L547/eco)^n),alpha*fck),0)</f>
      </c>
      <c r="N547" s="30">
        <f>PM_Angle!$J$9+PM_Angle!$K$9*$C547+PM_Angle!$L$9*$B547</f>
      </c>
      <c r="O547" s="12">
        <f>IF(N547&gt;0,IF(N547&lt;=eco,alpha*fck*(1-(1-N547/eco)^n),alpha*fck),0)</f>
      </c>
      <c r="P547" s="30">
        <f>PM_Angle!$J$10+PM_Angle!$K$10*$C547+PM_Angle!$L$10*$B547</f>
      </c>
      <c r="Q547" s="12">
        <f>IF(P547&gt;0,IF(P547&lt;=eco,alpha*fck*(1-(1-P547/eco)^n),alpha*fck),0)</f>
      </c>
      <c r="R547" s="30">
        <f>PM_Angle!$J$11+PM_Angle!$K$11*$C547+PM_Angle!$L$11*$B547</f>
      </c>
      <c r="S547" s="12">
        <f>IF(R547&gt;0,IF(R547&lt;=eco,alpha*fck*(1-(1-R547/eco)^n),alpha*fck),0)</f>
      </c>
      <c r="T547" s="30">
        <f>PM_Angle!$J$12+PM_Angle!$K$12*$C547+PM_Angle!$L$12*$B547</f>
      </c>
      <c r="U547" s="12">
        <f>IF(T547&gt;0,IF(T547&lt;=eco,alpha*fck*(1-(1-T547/eco)^n),alpha*fck),0)</f>
      </c>
      <c r="V547" s="30">
        <f>PM_Angle!$J$13+PM_Angle!$K$13*$C547+PM_Angle!$L$13*$B547</f>
      </c>
      <c r="W547" s="12">
        <f>IF(V547&gt;0,IF(V547&lt;=eco,alpha*fck*(1-(1-V547/eco)^n),alpha*fck),0)</f>
      </c>
      <c r="X547" s="30">
        <f>PM_Angle!$J$14+PM_Angle!$K$14*$C547+PM_Angle!$L$14*$B547</f>
      </c>
      <c r="Y547" s="12">
        <f>IF(X547&gt;0,IF(X547&lt;=eco,alpha*fck*(1-(1-X547/eco)^n),alpha*fck),0)</f>
      </c>
      <c r="Z547" s="30">
        <f>PM_Angle!$J$15+PM_Angle!$K$15*$C547+PM_Angle!$L$15*$B547</f>
      </c>
      <c r="AA547" s="12">
        <f>IF(Z547&gt;0,IF(Z547&lt;=eco,alpha*fck*(1-(1-Z547/eco)^n),alpha*fck),0)</f>
      </c>
      <c r="AB547" s="30">
        <f>PM_Angle!$J$16+PM_Angle!$K$16*$C547+PM_Angle!$L$16*$B547</f>
      </c>
      <c r="AC547" s="12">
        <f>IF(AB547&gt;0,IF(AB547&lt;=eco,alpha*fck*(1-(1-AB547/eco)^n),alpha*fck),0)</f>
      </c>
      <c r="AD547" s="30">
        <f>PM_Angle!$J$17+PM_Angle!$K$17*$C547+PM_Angle!$L$17*$B547</f>
      </c>
      <c r="AE547" s="12">
        <f>IF(AD547&gt;0,IF(AD547&lt;=eco,alpha*fck*(1-(1-AD547/eco)^n),alpha*fck),0)</f>
      </c>
      <c r="AF547" s="30">
        <f>PM_Angle!$J$18+PM_Angle!$K$18*$C547+PM_Angle!$L$18*$B547</f>
      </c>
      <c r="AG547" s="12">
        <f>IF(AF547&gt;0,IF(AF547&lt;=eco,alpha*fck*(1-(1-AF547/eco)^n),alpha*fck),0)</f>
      </c>
      <c r="AH547" s="30">
        <f>PM_Angle!$J$19+PM_Angle!$K$19*$C547+PM_Angle!$L$19*$B547</f>
      </c>
      <c r="AI547" s="12">
        <f>IF(AH547&gt;0,IF(AH547&lt;=eco,alpha*fck*(1-(1-AH547/eco)^n),alpha*fck),0)</f>
      </c>
      <c r="AJ547" s="30">
        <f>PM_Angle!$J$20+PM_Angle!$K$20*$C547+PM_Angle!$L$20*$B547</f>
      </c>
      <c r="AK547" s="12">
        <f>IF(AJ547&gt;0,IF(AJ547&lt;=eco,alpha*fck*(1-(1-AJ547/eco)^n),alpha*fck),0)</f>
      </c>
      <c r="AL547" s="30">
        <f>PM_Angle!$J$21+PM_Angle!$K$21*$C547+PM_Angle!$L$21*$B547</f>
      </c>
      <c r="AM547" s="12">
        <f>IF(AL547&gt;0,IF(AL547&lt;=eco,alpha*fck*(1-(1-AL547/eco)^n),alpha*fck),0)</f>
      </c>
      <c r="AN547" s="30">
        <f>PM_Angle!$J$22+PM_Angle!$K$22*$C547+PM_Angle!$L$22*$B547</f>
      </c>
      <c r="AO547" s="12">
        <f>IF(AN547&gt;0,IF(AN547&lt;=eco,alpha*fck*(1-(1-AN547/eco)^n),alpha*fck),0)</f>
      </c>
      <c r="AP547" s="30">
        <f>PM_Angle!$J$23+PM_Angle!$K$23*$C547+PM_Angle!$L$23*$B547</f>
      </c>
      <c r="AQ547" s="12">
        <f>IF(AP547&gt;0,IF(AP547&lt;=eco,alpha*fck*(1-(1-AP547/eco)^n),alpha*fck),0)</f>
      </c>
      <c r="AR547" s="30">
        <f>PM_Angle!$J$24+PM_Angle!$K$24*$C547+PM_Angle!$L$24*$B547</f>
      </c>
      <c r="AS547" s="12">
        <f>IF(AR547&gt;0,IF(AR547&lt;=eco,alpha*fck*(1-(1-AR547/eco)^n),alpha*fck),0)</f>
      </c>
      <c r="AT547" s="30">
        <f>PM_Angle!$J$25+PM_Angle!$K$25*$C547+PM_Angle!$L$25*$B547</f>
      </c>
      <c r="AU547" s="12">
        <f>IF(AT547&gt;0,IF(AT547&lt;=eco,alpha*fck*(1-(1-AT547/eco)^n),alpha*fck),0)</f>
      </c>
    </row>
    <row r="548" spans="1:47" x14ac:dyDescent="0.25">
      <c r="A548">
        <f>Mesh!A545</f>
      </c>
      <c r="B548" s="12">
        <f>Mesh!B545</f>
      </c>
      <c r="C548" s="12">
        <f>Mesh!C545</f>
      </c>
      <c r="D548" s="12">
        <f>Mesh!D545</f>
      </c>
      <c r="E548" s="30">
        <f>INDEX(St_e0,Det+1)+INDEX(St_kx,Det+1)*C548+INDEX(St_ky,Det+1)*B548</f>
      </c>
      <c r="F548" s="12">
        <f>IF(E548&gt;0,IF(E548&lt;=eco,alpha*fck*(1-(1-E548/eco)^n),alpha*fck),0)</f>
      </c>
      <c r="G548" s="11">
        <f>F548*D548</f>
      </c>
      <c r="H548" s="11">
        <f>G548*C548</f>
      </c>
      <c r="I548" s="11">
        <f>G548*B548</f>
      </c>
      <c r="J548" s="30">
        <f>PM_Angle!$J$7+PM_Angle!$K$7*$C548+PM_Angle!$L$7*$B548</f>
      </c>
      <c r="K548" s="12">
        <f>IF(J548&gt;0,IF(J548&lt;=eco,alpha*fck*(1-(1-J548/eco)^n),alpha*fck),0)</f>
      </c>
      <c r="L548" s="30">
        <f>PM_Angle!$J$8+PM_Angle!$K$8*$C548+PM_Angle!$L$8*$B548</f>
      </c>
      <c r="M548" s="12">
        <f>IF(L548&gt;0,IF(L548&lt;=eco,alpha*fck*(1-(1-L548/eco)^n),alpha*fck),0)</f>
      </c>
      <c r="N548" s="30">
        <f>PM_Angle!$J$9+PM_Angle!$K$9*$C548+PM_Angle!$L$9*$B548</f>
      </c>
      <c r="O548" s="12">
        <f>IF(N548&gt;0,IF(N548&lt;=eco,alpha*fck*(1-(1-N548/eco)^n),alpha*fck),0)</f>
      </c>
      <c r="P548" s="30">
        <f>PM_Angle!$J$10+PM_Angle!$K$10*$C548+PM_Angle!$L$10*$B548</f>
      </c>
      <c r="Q548" s="12">
        <f>IF(P548&gt;0,IF(P548&lt;=eco,alpha*fck*(1-(1-P548/eco)^n),alpha*fck),0)</f>
      </c>
      <c r="R548" s="30">
        <f>PM_Angle!$J$11+PM_Angle!$K$11*$C548+PM_Angle!$L$11*$B548</f>
      </c>
      <c r="S548" s="12">
        <f>IF(R548&gt;0,IF(R548&lt;=eco,alpha*fck*(1-(1-R548/eco)^n),alpha*fck),0)</f>
      </c>
      <c r="T548" s="30">
        <f>PM_Angle!$J$12+PM_Angle!$K$12*$C548+PM_Angle!$L$12*$B548</f>
      </c>
      <c r="U548" s="12">
        <f>IF(T548&gt;0,IF(T548&lt;=eco,alpha*fck*(1-(1-T548/eco)^n),alpha*fck),0)</f>
      </c>
      <c r="V548" s="30">
        <f>PM_Angle!$J$13+PM_Angle!$K$13*$C548+PM_Angle!$L$13*$B548</f>
      </c>
      <c r="W548" s="12">
        <f>IF(V548&gt;0,IF(V548&lt;=eco,alpha*fck*(1-(1-V548/eco)^n),alpha*fck),0)</f>
      </c>
      <c r="X548" s="30">
        <f>PM_Angle!$J$14+PM_Angle!$K$14*$C548+PM_Angle!$L$14*$B548</f>
      </c>
      <c r="Y548" s="12">
        <f>IF(X548&gt;0,IF(X548&lt;=eco,alpha*fck*(1-(1-X548/eco)^n),alpha*fck),0)</f>
      </c>
      <c r="Z548" s="30">
        <f>PM_Angle!$J$15+PM_Angle!$K$15*$C548+PM_Angle!$L$15*$B548</f>
      </c>
      <c r="AA548" s="12">
        <f>IF(Z548&gt;0,IF(Z548&lt;=eco,alpha*fck*(1-(1-Z548/eco)^n),alpha*fck),0)</f>
      </c>
      <c r="AB548" s="30">
        <f>PM_Angle!$J$16+PM_Angle!$K$16*$C548+PM_Angle!$L$16*$B548</f>
      </c>
      <c r="AC548" s="12">
        <f>IF(AB548&gt;0,IF(AB548&lt;=eco,alpha*fck*(1-(1-AB548/eco)^n),alpha*fck),0)</f>
      </c>
      <c r="AD548" s="30">
        <f>PM_Angle!$J$17+PM_Angle!$K$17*$C548+PM_Angle!$L$17*$B548</f>
      </c>
      <c r="AE548" s="12">
        <f>IF(AD548&gt;0,IF(AD548&lt;=eco,alpha*fck*(1-(1-AD548/eco)^n),alpha*fck),0)</f>
      </c>
      <c r="AF548" s="30">
        <f>PM_Angle!$J$18+PM_Angle!$K$18*$C548+PM_Angle!$L$18*$B548</f>
      </c>
      <c r="AG548" s="12">
        <f>IF(AF548&gt;0,IF(AF548&lt;=eco,alpha*fck*(1-(1-AF548/eco)^n),alpha*fck),0)</f>
      </c>
      <c r="AH548" s="30">
        <f>PM_Angle!$J$19+PM_Angle!$K$19*$C548+PM_Angle!$L$19*$B548</f>
      </c>
      <c r="AI548" s="12">
        <f>IF(AH548&gt;0,IF(AH548&lt;=eco,alpha*fck*(1-(1-AH548/eco)^n),alpha*fck),0)</f>
      </c>
      <c r="AJ548" s="30">
        <f>PM_Angle!$J$20+PM_Angle!$K$20*$C548+PM_Angle!$L$20*$B548</f>
      </c>
      <c r="AK548" s="12">
        <f>IF(AJ548&gt;0,IF(AJ548&lt;=eco,alpha*fck*(1-(1-AJ548/eco)^n),alpha*fck),0)</f>
      </c>
      <c r="AL548" s="30">
        <f>PM_Angle!$J$21+PM_Angle!$K$21*$C548+PM_Angle!$L$21*$B548</f>
      </c>
      <c r="AM548" s="12">
        <f>IF(AL548&gt;0,IF(AL548&lt;=eco,alpha*fck*(1-(1-AL548/eco)^n),alpha*fck),0)</f>
      </c>
      <c r="AN548" s="30">
        <f>PM_Angle!$J$22+PM_Angle!$K$22*$C548+PM_Angle!$L$22*$B548</f>
      </c>
      <c r="AO548" s="12">
        <f>IF(AN548&gt;0,IF(AN548&lt;=eco,alpha*fck*(1-(1-AN548/eco)^n),alpha*fck),0)</f>
      </c>
      <c r="AP548" s="30">
        <f>PM_Angle!$J$23+PM_Angle!$K$23*$C548+PM_Angle!$L$23*$B548</f>
      </c>
      <c r="AQ548" s="12">
        <f>IF(AP548&gt;0,IF(AP548&lt;=eco,alpha*fck*(1-(1-AP548/eco)^n),alpha*fck),0)</f>
      </c>
      <c r="AR548" s="30">
        <f>PM_Angle!$J$24+PM_Angle!$K$24*$C548+PM_Angle!$L$24*$B548</f>
      </c>
      <c r="AS548" s="12">
        <f>IF(AR548&gt;0,IF(AR548&lt;=eco,alpha*fck*(1-(1-AR548/eco)^n),alpha*fck),0)</f>
      </c>
      <c r="AT548" s="30">
        <f>PM_Angle!$J$25+PM_Angle!$K$25*$C548+PM_Angle!$L$25*$B548</f>
      </c>
      <c r="AU548" s="12">
        <f>IF(AT548&gt;0,IF(AT548&lt;=eco,alpha*fck*(1-(1-AT548/eco)^n),alpha*fck),0)</f>
      </c>
    </row>
    <row r="549" spans="1:47" x14ac:dyDescent="0.25">
      <c r="A549">
        <f>Mesh!A546</f>
      </c>
      <c r="B549" s="12">
        <f>Mesh!B546</f>
      </c>
      <c r="C549" s="12">
        <f>Mesh!C546</f>
      </c>
      <c r="D549" s="12">
        <f>Mesh!D546</f>
      </c>
      <c r="E549" s="30">
        <f>INDEX(St_e0,Det+1)+INDEX(St_kx,Det+1)*C549+INDEX(St_ky,Det+1)*B549</f>
      </c>
      <c r="F549" s="12">
        <f>IF(E549&gt;0,IF(E549&lt;=eco,alpha*fck*(1-(1-E549/eco)^n),alpha*fck),0)</f>
      </c>
      <c r="G549" s="11">
        <f>F549*D549</f>
      </c>
      <c r="H549" s="11">
        <f>G549*C549</f>
      </c>
      <c r="I549" s="11">
        <f>G549*B549</f>
      </c>
      <c r="J549" s="30">
        <f>PM_Angle!$J$7+PM_Angle!$K$7*$C549+PM_Angle!$L$7*$B549</f>
      </c>
      <c r="K549" s="12">
        <f>IF(J549&gt;0,IF(J549&lt;=eco,alpha*fck*(1-(1-J549/eco)^n),alpha*fck),0)</f>
      </c>
      <c r="L549" s="30">
        <f>PM_Angle!$J$8+PM_Angle!$K$8*$C549+PM_Angle!$L$8*$B549</f>
      </c>
      <c r="M549" s="12">
        <f>IF(L549&gt;0,IF(L549&lt;=eco,alpha*fck*(1-(1-L549/eco)^n),alpha*fck),0)</f>
      </c>
      <c r="N549" s="30">
        <f>PM_Angle!$J$9+PM_Angle!$K$9*$C549+PM_Angle!$L$9*$B549</f>
      </c>
      <c r="O549" s="12">
        <f>IF(N549&gt;0,IF(N549&lt;=eco,alpha*fck*(1-(1-N549/eco)^n),alpha*fck),0)</f>
      </c>
      <c r="P549" s="30">
        <f>PM_Angle!$J$10+PM_Angle!$K$10*$C549+PM_Angle!$L$10*$B549</f>
      </c>
      <c r="Q549" s="12">
        <f>IF(P549&gt;0,IF(P549&lt;=eco,alpha*fck*(1-(1-P549/eco)^n),alpha*fck),0)</f>
      </c>
      <c r="R549" s="30">
        <f>PM_Angle!$J$11+PM_Angle!$K$11*$C549+PM_Angle!$L$11*$B549</f>
      </c>
      <c r="S549" s="12">
        <f>IF(R549&gt;0,IF(R549&lt;=eco,alpha*fck*(1-(1-R549/eco)^n),alpha*fck),0)</f>
      </c>
      <c r="T549" s="30">
        <f>PM_Angle!$J$12+PM_Angle!$K$12*$C549+PM_Angle!$L$12*$B549</f>
      </c>
      <c r="U549" s="12">
        <f>IF(T549&gt;0,IF(T549&lt;=eco,alpha*fck*(1-(1-T549/eco)^n),alpha*fck),0)</f>
      </c>
      <c r="V549" s="30">
        <f>PM_Angle!$J$13+PM_Angle!$K$13*$C549+PM_Angle!$L$13*$B549</f>
      </c>
      <c r="W549" s="12">
        <f>IF(V549&gt;0,IF(V549&lt;=eco,alpha*fck*(1-(1-V549/eco)^n),alpha*fck),0)</f>
      </c>
      <c r="X549" s="30">
        <f>PM_Angle!$J$14+PM_Angle!$K$14*$C549+PM_Angle!$L$14*$B549</f>
      </c>
      <c r="Y549" s="12">
        <f>IF(X549&gt;0,IF(X549&lt;=eco,alpha*fck*(1-(1-X549/eco)^n),alpha*fck),0)</f>
      </c>
      <c r="Z549" s="30">
        <f>PM_Angle!$J$15+PM_Angle!$K$15*$C549+PM_Angle!$L$15*$B549</f>
      </c>
      <c r="AA549" s="12">
        <f>IF(Z549&gt;0,IF(Z549&lt;=eco,alpha*fck*(1-(1-Z549/eco)^n),alpha*fck),0)</f>
      </c>
      <c r="AB549" s="30">
        <f>PM_Angle!$J$16+PM_Angle!$K$16*$C549+PM_Angle!$L$16*$B549</f>
      </c>
      <c r="AC549" s="12">
        <f>IF(AB549&gt;0,IF(AB549&lt;=eco,alpha*fck*(1-(1-AB549/eco)^n),alpha*fck),0)</f>
      </c>
      <c r="AD549" s="30">
        <f>PM_Angle!$J$17+PM_Angle!$K$17*$C549+PM_Angle!$L$17*$B549</f>
      </c>
      <c r="AE549" s="12">
        <f>IF(AD549&gt;0,IF(AD549&lt;=eco,alpha*fck*(1-(1-AD549/eco)^n),alpha*fck),0)</f>
      </c>
      <c r="AF549" s="30">
        <f>PM_Angle!$J$18+PM_Angle!$K$18*$C549+PM_Angle!$L$18*$B549</f>
      </c>
      <c r="AG549" s="12">
        <f>IF(AF549&gt;0,IF(AF549&lt;=eco,alpha*fck*(1-(1-AF549/eco)^n),alpha*fck),0)</f>
      </c>
      <c r="AH549" s="30">
        <f>PM_Angle!$J$19+PM_Angle!$K$19*$C549+PM_Angle!$L$19*$B549</f>
      </c>
      <c r="AI549" s="12">
        <f>IF(AH549&gt;0,IF(AH549&lt;=eco,alpha*fck*(1-(1-AH549/eco)^n),alpha*fck),0)</f>
      </c>
      <c r="AJ549" s="30">
        <f>PM_Angle!$J$20+PM_Angle!$K$20*$C549+PM_Angle!$L$20*$B549</f>
      </c>
      <c r="AK549" s="12">
        <f>IF(AJ549&gt;0,IF(AJ549&lt;=eco,alpha*fck*(1-(1-AJ549/eco)^n),alpha*fck),0)</f>
      </c>
      <c r="AL549" s="30">
        <f>PM_Angle!$J$21+PM_Angle!$K$21*$C549+PM_Angle!$L$21*$B549</f>
      </c>
      <c r="AM549" s="12">
        <f>IF(AL549&gt;0,IF(AL549&lt;=eco,alpha*fck*(1-(1-AL549/eco)^n),alpha*fck),0)</f>
      </c>
      <c r="AN549" s="30">
        <f>PM_Angle!$J$22+PM_Angle!$K$22*$C549+PM_Angle!$L$22*$B549</f>
      </c>
      <c r="AO549" s="12">
        <f>IF(AN549&gt;0,IF(AN549&lt;=eco,alpha*fck*(1-(1-AN549/eco)^n),alpha*fck),0)</f>
      </c>
      <c r="AP549" s="30">
        <f>PM_Angle!$J$23+PM_Angle!$K$23*$C549+PM_Angle!$L$23*$B549</f>
      </c>
      <c r="AQ549" s="12">
        <f>IF(AP549&gt;0,IF(AP549&lt;=eco,alpha*fck*(1-(1-AP549/eco)^n),alpha*fck),0)</f>
      </c>
      <c r="AR549" s="30">
        <f>PM_Angle!$J$24+PM_Angle!$K$24*$C549+PM_Angle!$L$24*$B549</f>
      </c>
      <c r="AS549" s="12">
        <f>IF(AR549&gt;0,IF(AR549&lt;=eco,alpha*fck*(1-(1-AR549/eco)^n),alpha*fck),0)</f>
      </c>
      <c r="AT549" s="30">
        <f>PM_Angle!$J$25+PM_Angle!$K$25*$C549+PM_Angle!$L$25*$B549</f>
      </c>
      <c r="AU549" s="12">
        <f>IF(AT549&gt;0,IF(AT549&lt;=eco,alpha*fck*(1-(1-AT549/eco)^n),alpha*fck),0)</f>
      </c>
    </row>
    <row r="550" spans="1:47" x14ac:dyDescent="0.25">
      <c r="A550">
        <f>Mesh!A547</f>
      </c>
      <c r="B550" s="12">
        <f>Mesh!B547</f>
      </c>
      <c r="C550" s="12">
        <f>Mesh!C547</f>
      </c>
      <c r="D550" s="12">
        <f>Mesh!D547</f>
      </c>
      <c r="E550" s="30">
        <f>INDEX(St_e0,Det+1)+INDEX(St_kx,Det+1)*C550+INDEX(St_ky,Det+1)*B550</f>
      </c>
      <c r="F550" s="12">
        <f>IF(E550&gt;0,IF(E550&lt;=eco,alpha*fck*(1-(1-E550/eco)^n),alpha*fck),0)</f>
      </c>
      <c r="G550" s="11">
        <f>F550*D550</f>
      </c>
      <c r="H550" s="11">
        <f>G550*C550</f>
      </c>
      <c r="I550" s="11">
        <f>G550*B550</f>
      </c>
      <c r="J550" s="30">
        <f>PM_Angle!$J$7+PM_Angle!$K$7*$C550+PM_Angle!$L$7*$B550</f>
      </c>
      <c r="K550" s="12">
        <f>IF(J550&gt;0,IF(J550&lt;=eco,alpha*fck*(1-(1-J550/eco)^n),alpha*fck),0)</f>
      </c>
      <c r="L550" s="30">
        <f>PM_Angle!$J$8+PM_Angle!$K$8*$C550+PM_Angle!$L$8*$B550</f>
      </c>
      <c r="M550" s="12">
        <f>IF(L550&gt;0,IF(L550&lt;=eco,alpha*fck*(1-(1-L550/eco)^n),alpha*fck),0)</f>
      </c>
      <c r="N550" s="30">
        <f>PM_Angle!$J$9+PM_Angle!$K$9*$C550+PM_Angle!$L$9*$B550</f>
      </c>
      <c r="O550" s="12">
        <f>IF(N550&gt;0,IF(N550&lt;=eco,alpha*fck*(1-(1-N550/eco)^n),alpha*fck),0)</f>
      </c>
      <c r="P550" s="30">
        <f>PM_Angle!$J$10+PM_Angle!$K$10*$C550+PM_Angle!$L$10*$B550</f>
      </c>
      <c r="Q550" s="12">
        <f>IF(P550&gt;0,IF(P550&lt;=eco,alpha*fck*(1-(1-P550/eco)^n),alpha*fck),0)</f>
      </c>
      <c r="R550" s="30">
        <f>PM_Angle!$J$11+PM_Angle!$K$11*$C550+PM_Angle!$L$11*$B550</f>
      </c>
      <c r="S550" s="12">
        <f>IF(R550&gt;0,IF(R550&lt;=eco,alpha*fck*(1-(1-R550/eco)^n),alpha*fck),0)</f>
      </c>
      <c r="T550" s="30">
        <f>PM_Angle!$J$12+PM_Angle!$K$12*$C550+PM_Angle!$L$12*$B550</f>
      </c>
      <c r="U550" s="12">
        <f>IF(T550&gt;0,IF(T550&lt;=eco,alpha*fck*(1-(1-T550/eco)^n),alpha*fck),0)</f>
      </c>
      <c r="V550" s="30">
        <f>PM_Angle!$J$13+PM_Angle!$K$13*$C550+PM_Angle!$L$13*$B550</f>
      </c>
      <c r="W550" s="12">
        <f>IF(V550&gt;0,IF(V550&lt;=eco,alpha*fck*(1-(1-V550/eco)^n),alpha*fck),0)</f>
      </c>
      <c r="X550" s="30">
        <f>PM_Angle!$J$14+PM_Angle!$K$14*$C550+PM_Angle!$L$14*$B550</f>
      </c>
      <c r="Y550" s="12">
        <f>IF(X550&gt;0,IF(X550&lt;=eco,alpha*fck*(1-(1-X550/eco)^n),alpha*fck),0)</f>
      </c>
      <c r="Z550" s="30">
        <f>PM_Angle!$J$15+PM_Angle!$K$15*$C550+PM_Angle!$L$15*$B550</f>
      </c>
      <c r="AA550" s="12">
        <f>IF(Z550&gt;0,IF(Z550&lt;=eco,alpha*fck*(1-(1-Z550/eco)^n),alpha*fck),0)</f>
      </c>
      <c r="AB550" s="30">
        <f>PM_Angle!$J$16+PM_Angle!$K$16*$C550+PM_Angle!$L$16*$B550</f>
      </c>
      <c r="AC550" s="12">
        <f>IF(AB550&gt;0,IF(AB550&lt;=eco,alpha*fck*(1-(1-AB550/eco)^n),alpha*fck),0)</f>
      </c>
      <c r="AD550" s="30">
        <f>PM_Angle!$J$17+PM_Angle!$K$17*$C550+PM_Angle!$L$17*$B550</f>
      </c>
      <c r="AE550" s="12">
        <f>IF(AD550&gt;0,IF(AD550&lt;=eco,alpha*fck*(1-(1-AD550/eco)^n),alpha*fck),0)</f>
      </c>
      <c r="AF550" s="30">
        <f>PM_Angle!$J$18+PM_Angle!$K$18*$C550+PM_Angle!$L$18*$B550</f>
      </c>
      <c r="AG550" s="12">
        <f>IF(AF550&gt;0,IF(AF550&lt;=eco,alpha*fck*(1-(1-AF550/eco)^n),alpha*fck),0)</f>
      </c>
      <c r="AH550" s="30">
        <f>PM_Angle!$J$19+PM_Angle!$K$19*$C550+PM_Angle!$L$19*$B550</f>
      </c>
      <c r="AI550" s="12">
        <f>IF(AH550&gt;0,IF(AH550&lt;=eco,alpha*fck*(1-(1-AH550/eco)^n),alpha*fck),0)</f>
      </c>
      <c r="AJ550" s="30">
        <f>PM_Angle!$J$20+PM_Angle!$K$20*$C550+PM_Angle!$L$20*$B550</f>
      </c>
      <c r="AK550" s="12">
        <f>IF(AJ550&gt;0,IF(AJ550&lt;=eco,alpha*fck*(1-(1-AJ550/eco)^n),alpha*fck),0)</f>
      </c>
      <c r="AL550" s="30">
        <f>PM_Angle!$J$21+PM_Angle!$K$21*$C550+PM_Angle!$L$21*$B550</f>
      </c>
      <c r="AM550" s="12">
        <f>IF(AL550&gt;0,IF(AL550&lt;=eco,alpha*fck*(1-(1-AL550/eco)^n),alpha*fck),0)</f>
      </c>
      <c r="AN550" s="30">
        <f>PM_Angle!$J$22+PM_Angle!$K$22*$C550+PM_Angle!$L$22*$B550</f>
      </c>
      <c r="AO550" s="12">
        <f>IF(AN550&gt;0,IF(AN550&lt;=eco,alpha*fck*(1-(1-AN550/eco)^n),alpha*fck),0)</f>
      </c>
      <c r="AP550" s="30">
        <f>PM_Angle!$J$23+PM_Angle!$K$23*$C550+PM_Angle!$L$23*$B550</f>
      </c>
      <c r="AQ550" s="12">
        <f>IF(AP550&gt;0,IF(AP550&lt;=eco,alpha*fck*(1-(1-AP550/eco)^n),alpha*fck),0)</f>
      </c>
      <c r="AR550" s="30">
        <f>PM_Angle!$J$24+PM_Angle!$K$24*$C550+PM_Angle!$L$24*$B550</f>
      </c>
      <c r="AS550" s="12">
        <f>IF(AR550&gt;0,IF(AR550&lt;=eco,alpha*fck*(1-(1-AR550/eco)^n),alpha*fck),0)</f>
      </c>
      <c r="AT550" s="30">
        <f>PM_Angle!$J$25+PM_Angle!$K$25*$C550+PM_Angle!$L$25*$B550</f>
      </c>
      <c r="AU550" s="12">
        <f>IF(AT550&gt;0,IF(AT550&lt;=eco,alpha*fck*(1-(1-AT550/eco)^n),alpha*fck),0)</f>
      </c>
    </row>
    <row r="551" spans="1:47" x14ac:dyDescent="0.25">
      <c r="A551">
        <f>Mesh!A548</f>
      </c>
      <c r="B551" s="12">
        <f>Mesh!B548</f>
      </c>
      <c r="C551" s="12">
        <f>Mesh!C548</f>
      </c>
      <c r="D551" s="12">
        <f>Mesh!D548</f>
      </c>
      <c r="E551" s="30">
        <f>INDEX(St_e0,Det+1)+INDEX(St_kx,Det+1)*C551+INDEX(St_ky,Det+1)*B551</f>
      </c>
      <c r="F551" s="12">
        <f>IF(E551&gt;0,IF(E551&lt;=eco,alpha*fck*(1-(1-E551/eco)^n),alpha*fck),0)</f>
      </c>
      <c r="G551" s="11">
        <f>F551*D551</f>
      </c>
      <c r="H551" s="11">
        <f>G551*C551</f>
      </c>
      <c r="I551" s="11">
        <f>G551*B551</f>
      </c>
      <c r="J551" s="30">
        <f>PM_Angle!$J$7+PM_Angle!$K$7*$C551+PM_Angle!$L$7*$B551</f>
      </c>
      <c r="K551" s="12">
        <f>IF(J551&gt;0,IF(J551&lt;=eco,alpha*fck*(1-(1-J551/eco)^n),alpha*fck),0)</f>
      </c>
      <c r="L551" s="30">
        <f>PM_Angle!$J$8+PM_Angle!$K$8*$C551+PM_Angle!$L$8*$B551</f>
      </c>
      <c r="M551" s="12">
        <f>IF(L551&gt;0,IF(L551&lt;=eco,alpha*fck*(1-(1-L551/eco)^n),alpha*fck),0)</f>
      </c>
      <c r="N551" s="30">
        <f>PM_Angle!$J$9+PM_Angle!$K$9*$C551+PM_Angle!$L$9*$B551</f>
      </c>
      <c r="O551" s="12">
        <f>IF(N551&gt;0,IF(N551&lt;=eco,alpha*fck*(1-(1-N551/eco)^n),alpha*fck),0)</f>
      </c>
      <c r="P551" s="30">
        <f>PM_Angle!$J$10+PM_Angle!$K$10*$C551+PM_Angle!$L$10*$B551</f>
      </c>
      <c r="Q551" s="12">
        <f>IF(P551&gt;0,IF(P551&lt;=eco,alpha*fck*(1-(1-P551/eco)^n),alpha*fck),0)</f>
      </c>
      <c r="R551" s="30">
        <f>PM_Angle!$J$11+PM_Angle!$K$11*$C551+PM_Angle!$L$11*$B551</f>
      </c>
      <c r="S551" s="12">
        <f>IF(R551&gt;0,IF(R551&lt;=eco,alpha*fck*(1-(1-R551/eco)^n),alpha*fck),0)</f>
      </c>
      <c r="T551" s="30">
        <f>PM_Angle!$J$12+PM_Angle!$K$12*$C551+PM_Angle!$L$12*$B551</f>
      </c>
      <c r="U551" s="12">
        <f>IF(T551&gt;0,IF(T551&lt;=eco,alpha*fck*(1-(1-T551/eco)^n),alpha*fck),0)</f>
      </c>
      <c r="V551" s="30">
        <f>PM_Angle!$J$13+PM_Angle!$K$13*$C551+PM_Angle!$L$13*$B551</f>
      </c>
      <c r="W551" s="12">
        <f>IF(V551&gt;0,IF(V551&lt;=eco,alpha*fck*(1-(1-V551/eco)^n),alpha*fck),0)</f>
      </c>
      <c r="X551" s="30">
        <f>PM_Angle!$J$14+PM_Angle!$K$14*$C551+PM_Angle!$L$14*$B551</f>
      </c>
      <c r="Y551" s="12">
        <f>IF(X551&gt;0,IF(X551&lt;=eco,alpha*fck*(1-(1-X551/eco)^n),alpha*fck),0)</f>
      </c>
      <c r="Z551" s="30">
        <f>PM_Angle!$J$15+PM_Angle!$K$15*$C551+PM_Angle!$L$15*$B551</f>
      </c>
      <c r="AA551" s="12">
        <f>IF(Z551&gt;0,IF(Z551&lt;=eco,alpha*fck*(1-(1-Z551/eco)^n),alpha*fck),0)</f>
      </c>
      <c r="AB551" s="30">
        <f>PM_Angle!$J$16+PM_Angle!$K$16*$C551+PM_Angle!$L$16*$B551</f>
      </c>
      <c r="AC551" s="12">
        <f>IF(AB551&gt;0,IF(AB551&lt;=eco,alpha*fck*(1-(1-AB551/eco)^n),alpha*fck),0)</f>
      </c>
      <c r="AD551" s="30">
        <f>PM_Angle!$J$17+PM_Angle!$K$17*$C551+PM_Angle!$L$17*$B551</f>
      </c>
      <c r="AE551" s="12">
        <f>IF(AD551&gt;0,IF(AD551&lt;=eco,alpha*fck*(1-(1-AD551/eco)^n),alpha*fck),0)</f>
      </c>
      <c r="AF551" s="30">
        <f>PM_Angle!$J$18+PM_Angle!$K$18*$C551+PM_Angle!$L$18*$B551</f>
      </c>
      <c r="AG551" s="12">
        <f>IF(AF551&gt;0,IF(AF551&lt;=eco,alpha*fck*(1-(1-AF551/eco)^n),alpha*fck),0)</f>
      </c>
      <c r="AH551" s="30">
        <f>PM_Angle!$J$19+PM_Angle!$K$19*$C551+PM_Angle!$L$19*$B551</f>
      </c>
      <c r="AI551" s="12">
        <f>IF(AH551&gt;0,IF(AH551&lt;=eco,alpha*fck*(1-(1-AH551/eco)^n),alpha*fck),0)</f>
      </c>
      <c r="AJ551" s="30">
        <f>PM_Angle!$J$20+PM_Angle!$K$20*$C551+PM_Angle!$L$20*$B551</f>
      </c>
      <c r="AK551" s="12">
        <f>IF(AJ551&gt;0,IF(AJ551&lt;=eco,alpha*fck*(1-(1-AJ551/eco)^n),alpha*fck),0)</f>
      </c>
      <c r="AL551" s="30">
        <f>PM_Angle!$J$21+PM_Angle!$K$21*$C551+PM_Angle!$L$21*$B551</f>
      </c>
      <c r="AM551" s="12">
        <f>IF(AL551&gt;0,IF(AL551&lt;=eco,alpha*fck*(1-(1-AL551/eco)^n),alpha*fck),0)</f>
      </c>
      <c r="AN551" s="30">
        <f>PM_Angle!$J$22+PM_Angle!$K$22*$C551+PM_Angle!$L$22*$B551</f>
      </c>
      <c r="AO551" s="12">
        <f>IF(AN551&gt;0,IF(AN551&lt;=eco,alpha*fck*(1-(1-AN551/eco)^n),alpha*fck),0)</f>
      </c>
      <c r="AP551" s="30">
        <f>PM_Angle!$J$23+PM_Angle!$K$23*$C551+PM_Angle!$L$23*$B551</f>
      </c>
      <c r="AQ551" s="12">
        <f>IF(AP551&gt;0,IF(AP551&lt;=eco,alpha*fck*(1-(1-AP551/eco)^n),alpha*fck),0)</f>
      </c>
      <c r="AR551" s="30">
        <f>PM_Angle!$J$24+PM_Angle!$K$24*$C551+PM_Angle!$L$24*$B551</f>
      </c>
      <c r="AS551" s="12">
        <f>IF(AR551&gt;0,IF(AR551&lt;=eco,alpha*fck*(1-(1-AR551/eco)^n),alpha*fck),0)</f>
      </c>
      <c r="AT551" s="30">
        <f>PM_Angle!$J$25+PM_Angle!$K$25*$C551+PM_Angle!$L$25*$B551</f>
      </c>
      <c r="AU551" s="12">
        <f>IF(AT551&gt;0,IF(AT551&lt;=eco,alpha*fck*(1-(1-AT551/eco)^n),alpha*fck),0)</f>
      </c>
    </row>
    <row r="552" spans="1:47" x14ac:dyDescent="0.25">
      <c r="A552">
        <f>Mesh!A549</f>
      </c>
      <c r="B552" s="12">
        <f>Mesh!B549</f>
      </c>
      <c r="C552" s="12">
        <f>Mesh!C549</f>
      </c>
      <c r="D552" s="12">
        <f>Mesh!D549</f>
      </c>
      <c r="E552" s="30">
        <f>INDEX(St_e0,Det+1)+INDEX(St_kx,Det+1)*C552+INDEX(St_ky,Det+1)*B552</f>
      </c>
      <c r="F552" s="12">
        <f>IF(E552&gt;0,IF(E552&lt;=eco,alpha*fck*(1-(1-E552/eco)^n),alpha*fck),0)</f>
      </c>
      <c r="G552" s="11">
        <f>F552*D552</f>
      </c>
      <c r="H552" s="11">
        <f>G552*C552</f>
      </c>
      <c r="I552" s="11">
        <f>G552*B552</f>
      </c>
      <c r="J552" s="30">
        <f>PM_Angle!$J$7+PM_Angle!$K$7*$C552+PM_Angle!$L$7*$B552</f>
      </c>
      <c r="K552" s="12">
        <f>IF(J552&gt;0,IF(J552&lt;=eco,alpha*fck*(1-(1-J552/eco)^n),alpha*fck),0)</f>
      </c>
      <c r="L552" s="30">
        <f>PM_Angle!$J$8+PM_Angle!$K$8*$C552+PM_Angle!$L$8*$B552</f>
      </c>
      <c r="M552" s="12">
        <f>IF(L552&gt;0,IF(L552&lt;=eco,alpha*fck*(1-(1-L552/eco)^n),alpha*fck),0)</f>
      </c>
      <c r="N552" s="30">
        <f>PM_Angle!$J$9+PM_Angle!$K$9*$C552+PM_Angle!$L$9*$B552</f>
      </c>
      <c r="O552" s="12">
        <f>IF(N552&gt;0,IF(N552&lt;=eco,alpha*fck*(1-(1-N552/eco)^n),alpha*fck),0)</f>
      </c>
      <c r="P552" s="30">
        <f>PM_Angle!$J$10+PM_Angle!$K$10*$C552+PM_Angle!$L$10*$B552</f>
      </c>
      <c r="Q552" s="12">
        <f>IF(P552&gt;0,IF(P552&lt;=eco,alpha*fck*(1-(1-P552/eco)^n),alpha*fck),0)</f>
      </c>
      <c r="R552" s="30">
        <f>PM_Angle!$J$11+PM_Angle!$K$11*$C552+PM_Angle!$L$11*$B552</f>
      </c>
      <c r="S552" s="12">
        <f>IF(R552&gt;0,IF(R552&lt;=eco,alpha*fck*(1-(1-R552/eco)^n),alpha*fck),0)</f>
      </c>
      <c r="T552" s="30">
        <f>PM_Angle!$J$12+PM_Angle!$K$12*$C552+PM_Angle!$L$12*$B552</f>
      </c>
      <c r="U552" s="12">
        <f>IF(T552&gt;0,IF(T552&lt;=eco,alpha*fck*(1-(1-T552/eco)^n),alpha*fck),0)</f>
      </c>
      <c r="V552" s="30">
        <f>PM_Angle!$J$13+PM_Angle!$K$13*$C552+PM_Angle!$L$13*$B552</f>
      </c>
      <c r="W552" s="12">
        <f>IF(V552&gt;0,IF(V552&lt;=eco,alpha*fck*(1-(1-V552/eco)^n),alpha*fck),0)</f>
      </c>
      <c r="X552" s="30">
        <f>PM_Angle!$J$14+PM_Angle!$K$14*$C552+PM_Angle!$L$14*$B552</f>
      </c>
      <c r="Y552" s="12">
        <f>IF(X552&gt;0,IF(X552&lt;=eco,alpha*fck*(1-(1-X552/eco)^n),alpha*fck),0)</f>
      </c>
      <c r="Z552" s="30">
        <f>PM_Angle!$J$15+PM_Angle!$K$15*$C552+PM_Angle!$L$15*$B552</f>
      </c>
      <c r="AA552" s="12">
        <f>IF(Z552&gt;0,IF(Z552&lt;=eco,alpha*fck*(1-(1-Z552/eco)^n),alpha*fck),0)</f>
      </c>
      <c r="AB552" s="30">
        <f>PM_Angle!$J$16+PM_Angle!$K$16*$C552+PM_Angle!$L$16*$B552</f>
      </c>
      <c r="AC552" s="12">
        <f>IF(AB552&gt;0,IF(AB552&lt;=eco,alpha*fck*(1-(1-AB552/eco)^n),alpha*fck),0)</f>
      </c>
      <c r="AD552" s="30">
        <f>PM_Angle!$J$17+PM_Angle!$K$17*$C552+PM_Angle!$L$17*$B552</f>
      </c>
      <c r="AE552" s="12">
        <f>IF(AD552&gt;0,IF(AD552&lt;=eco,alpha*fck*(1-(1-AD552/eco)^n),alpha*fck),0)</f>
      </c>
      <c r="AF552" s="30">
        <f>PM_Angle!$J$18+PM_Angle!$K$18*$C552+PM_Angle!$L$18*$B552</f>
      </c>
      <c r="AG552" s="12">
        <f>IF(AF552&gt;0,IF(AF552&lt;=eco,alpha*fck*(1-(1-AF552/eco)^n),alpha*fck),0)</f>
      </c>
      <c r="AH552" s="30">
        <f>PM_Angle!$J$19+PM_Angle!$K$19*$C552+PM_Angle!$L$19*$B552</f>
      </c>
      <c r="AI552" s="12">
        <f>IF(AH552&gt;0,IF(AH552&lt;=eco,alpha*fck*(1-(1-AH552/eco)^n),alpha*fck),0)</f>
      </c>
      <c r="AJ552" s="30">
        <f>PM_Angle!$J$20+PM_Angle!$K$20*$C552+PM_Angle!$L$20*$B552</f>
      </c>
      <c r="AK552" s="12">
        <f>IF(AJ552&gt;0,IF(AJ552&lt;=eco,alpha*fck*(1-(1-AJ552/eco)^n),alpha*fck),0)</f>
      </c>
      <c r="AL552" s="30">
        <f>PM_Angle!$J$21+PM_Angle!$K$21*$C552+PM_Angle!$L$21*$B552</f>
      </c>
      <c r="AM552" s="12">
        <f>IF(AL552&gt;0,IF(AL552&lt;=eco,alpha*fck*(1-(1-AL552/eco)^n),alpha*fck),0)</f>
      </c>
      <c r="AN552" s="30">
        <f>PM_Angle!$J$22+PM_Angle!$K$22*$C552+PM_Angle!$L$22*$B552</f>
      </c>
      <c r="AO552" s="12">
        <f>IF(AN552&gt;0,IF(AN552&lt;=eco,alpha*fck*(1-(1-AN552/eco)^n),alpha*fck),0)</f>
      </c>
      <c r="AP552" s="30">
        <f>PM_Angle!$J$23+PM_Angle!$K$23*$C552+PM_Angle!$L$23*$B552</f>
      </c>
      <c r="AQ552" s="12">
        <f>IF(AP552&gt;0,IF(AP552&lt;=eco,alpha*fck*(1-(1-AP552/eco)^n),alpha*fck),0)</f>
      </c>
      <c r="AR552" s="30">
        <f>PM_Angle!$J$24+PM_Angle!$K$24*$C552+PM_Angle!$L$24*$B552</f>
      </c>
      <c r="AS552" s="12">
        <f>IF(AR552&gt;0,IF(AR552&lt;=eco,alpha*fck*(1-(1-AR552/eco)^n),alpha*fck),0)</f>
      </c>
      <c r="AT552" s="30">
        <f>PM_Angle!$J$25+PM_Angle!$K$25*$C552+PM_Angle!$L$25*$B552</f>
      </c>
      <c r="AU552" s="12">
        <f>IF(AT552&gt;0,IF(AT552&lt;=eco,alpha*fck*(1-(1-AT552/eco)^n),alpha*fck),0)</f>
      </c>
    </row>
    <row r="553" spans="1:47" x14ac:dyDescent="0.25">
      <c r="A553">
        <f>Mesh!A550</f>
      </c>
      <c r="B553" s="12">
        <f>Mesh!B550</f>
      </c>
      <c r="C553" s="12">
        <f>Mesh!C550</f>
      </c>
      <c r="D553" s="12">
        <f>Mesh!D550</f>
      </c>
      <c r="E553" s="30">
        <f>INDEX(St_e0,Det+1)+INDEX(St_kx,Det+1)*C553+INDEX(St_ky,Det+1)*B553</f>
      </c>
      <c r="F553" s="12">
        <f>IF(E553&gt;0,IF(E553&lt;=eco,alpha*fck*(1-(1-E553/eco)^n),alpha*fck),0)</f>
      </c>
      <c r="G553" s="11">
        <f>F553*D553</f>
      </c>
      <c r="H553" s="11">
        <f>G553*C553</f>
      </c>
      <c r="I553" s="11">
        <f>G553*B553</f>
      </c>
      <c r="J553" s="30">
        <f>PM_Angle!$J$7+PM_Angle!$K$7*$C553+PM_Angle!$L$7*$B553</f>
      </c>
      <c r="K553" s="12">
        <f>IF(J553&gt;0,IF(J553&lt;=eco,alpha*fck*(1-(1-J553/eco)^n),alpha*fck),0)</f>
      </c>
      <c r="L553" s="30">
        <f>PM_Angle!$J$8+PM_Angle!$K$8*$C553+PM_Angle!$L$8*$B553</f>
      </c>
      <c r="M553" s="12">
        <f>IF(L553&gt;0,IF(L553&lt;=eco,alpha*fck*(1-(1-L553/eco)^n),alpha*fck),0)</f>
      </c>
      <c r="N553" s="30">
        <f>PM_Angle!$J$9+PM_Angle!$K$9*$C553+PM_Angle!$L$9*$B553</f>
      </c>
      <c r="O553" s="12">
        <f>IF(N553&gt;0,IF(N553&lt;=eco,alpha*fck*(1-(1-N553/eco)^n),alpha*fck),0)</f>
      </c>
      <c r="P553" s="30">
        <f>PM_Angle!$J$10+PM_Angle!$K$10*$C553+PM_Angle!$L$10*$B553</f>
      </c>
      <c r="Q553" s="12">
        <f>IF(P553&gt;0,IF(P553&lt;=eco,alpha*fck*(1-(1-P553/eco)^n),alpha*fck),0)</f>
      </c>
      <c r="R553" s="30">
        <f>PM_Angle!$J$11+PM_Angle!$K$11*$C553+PM_Angle!$L$11*$B553</f>
      </c>
      <c r="S553" s="12">
        <f>IF(R553&gt;0,IF(R553&lt;=eco,alpha*fck*(1-(1-R553/eco)^n),alpha*fck),0)</f>
      </c>
      <c r="T553" s="30">
        <f>PM_Angle!$J$12+PM_Angle!$K$12*$C553+PM_Angle!$L$12*$B553</f>
      </c>
      <c r="U553" s="12">
        <f>IF(T553&gt;0,IF(T553&lt;=eco,alpha*fck*(1-(1-T553/eco)^n),alpha*fck),0)</f>
      </c>
      <c r="V553" s="30">
        <f>PM_Angle!$J$13+PM_Angle!$K$13*$C553+PM_Angle!$L$13*$B553</f>
      </c>
      <c r="W553" s="12">
        <f>IF(V553&gt;0,IF(V553&lt;=eco,alpha*fck*(1-(1-V553/eco)^n),alpha*fck),0)</f>
      </c>
      <c r="X553" s="30">
        <f>PM_Angle!$J$14+PM_Angle!$K$14*$C553+PM_Angle!$L$14*$B553</f>
      </c>
      <c r="Y553" s="12">
        <f>IF(X553&gt;0,IF(X553&lt;=eco,alpha*fck*(1-(1-X553/eco)^n),alpha*fck),0)</f>
      </c>
      <c r="Z553" s="30">
        <f>PM_Angle!$J$15+PM_Angle!$K$15*$C553+PM_Angle!$L$15*$B553</f>
      </c>
      <c r="AA553" s="12">
        <f>IF(Z553&gt;0,IF(Z553&lt;=eco,alpha*fck*(1-(1-Z553/eco)^n),alpha*fck),0)</f>
      </c>
      <c r="AB553" s="30">
        <f>PM_Angle!$J$16+PM_Angle!$K$16*$C553+PM_Angle!$L$16*$B553</f>
      </c>
      <c r="AC553" s="12">
        <f>IF(AB553&gt;0,IF(AB553&lt;=eco,alpha*fck*(1-(1-AB553/eco)^n),alpha*fck),0)</f>
      </c>
      <c r="AD553" s="30">
        <f>PM_Angle!$J$17+PM_Angle!$K$17*$C553+PM_Angle!$L$17*$B553</f>
      </c>
      <c r="AE553" s="12">
        <f>IF(AD553&gt;0,IF(AD553&lt;=eco,alpha*fck*(1-(1-AD553/eco)^n),alpha*fck),0)</f>
      </c>
      <c r="AF553" s="30">
        <f>PM_Angle!$J$18+PM_Angle!$K$18*$C553+PM_Angle!$L$18*$B553</f>
      </c>
      <c r="AG553" s="12">
        <f>IF(AF553&gt;0,IF(AF553&lt;=eco,alpha*fck*(1-(1-AF553/eco)^n),alpha*fck),0)</f>
      </c>
      <c r="AH553" s="30">
        <f>PM_Angle!$J$19+PM_Angle!$K$19*$C553+PM_Angle!$L$19*$B553</f>
      </c>
      <c r="AI553" s="12">
        <f>IF(AH553&gt;0,IF(AH553&lt;=eco,alpha*fck*(1-(1-AH553/eco)^n),alpha*fck),0)</f>
      </c>
      <c r="AJ553" s="30">
        <f>PM_Angle!$J$20+PM_Angle!$K$20*$C553+PM_Angle!$L$20*$B553</f>
      </c>
      <c r="AK553" s="12">
        <f>IF(AJ553&gt;0,IF(AJ553&lt;=eco,alpha*fck*(1-(1-AJ553/eco)^n),alpha*fck),0)</f>
      </c>
      <c r="AL553" s="30">
        <f>PM_Angle!$J$21+PM_Angle!$K$21*$C553+PM_Angle!$L$21*$B553</f>
      </c>
      <c r="AM553" s="12">
        <f>IF(AL553&gt;0,IF(AL553&lt;=eco,alpha*fck*(1-(1-AL553/eco)^n),alpha*fck),0)</f>
      </c>
      <c r="AN553" s="30">
        <f>PM_Angle!$J$22+PM_Angle!$K$22*$C553+PM_Angle!$L$22*$B553</f>
      </c>
      <c r="AO553" s="12">
        <f>IF(AN553&gt;0,IF(AN553&lt;=eco,alpha*fck*(1-(1-AN553/eco)^n),alpha*fck),0)</f>
      </c>
      <c r="AP553" s="30">
        <f>PM_Angle!$J$23+PM_Angle!$K$23*$C553+PM_Angle!$L$23*$B553</f>
      </c>
      <c r="AQ553" s="12">
        <f>IF(AP553&gt;0,IF(AP553&lt;=eco,alpha*fck*(1-(1-AP553/eco)^n),alpha*fck),0)</f>
      </c>
      <c r="AR553" s="30">
        <f>PM_Angle!$J$24+PM_Angle!$K$24*$C553+PM_Angle!$L$24*$B553</f>
      </c>
      <c r="AS553" s="12">
        <f>IF(AR553&gt;0,IF(AR553&lt;=eco,alpha*fck*(1-(1-AR553/eco)^n),alpha*fck),0)</f>
      </c>
      <c r="AT553" s="30">
        <f>PM_Angle!$J$25+PM_Angle!$K$25*$C553+PM_Angle!$L$25*$B553</f>
      </c>
      <c r="AU553" s="12">
        <f>IF(AT553&gt;0,IF(AT553&lt;=eco,alpha*fck*(1-(1-AT553/eco)^n),alpha*fck),0)</f>
      </c>
    </row>
    <row r="554" spans="1:47" x14ac:dyDescent="0.25">
      <c r="A554">
        <f>Mesh!A551</f>
      </c>
      <c r="B554" s="12">
        <f>Mesh!B551</f>
      </c>
      <c r="C554" s="12">
        <f>Mesh!C551</f>
      </c>
      <c r="D554" s="12">
        <f>Mesh!D551</f>
      </c>
      <c r="E554" s="30">
        <f>INDEX(St_e0,Det+1)+INDEX(St_kx,Det+1)*C554+INDEX(St_ky,Det+1)*B554</f>
      </c>
      <c r="F554" s="12">
        <f>IF(E554&gt;0,IF(E554&lt;=eco,alpha*fck*(1-(1-E554/eco)^n),alpha*fck),0)</f>
      </c>
      <c r="G554" s="11">
        <f>F554*D554</f>
      </c>
      <c r="H554" s="11">
        <f>G554*C554</f>
      </c>
      <c r="I554" s="11">
        <f>G554*B554</f>
      </c>
      <c r="J554" s="30">
        <f>PM_Angle!$J$7+PM_Angle!$K$7*$C554+PM_Angle!$L$7*$B554</f>
      </c>
      <c r="K554" s="12">
        <f>IF(J554&gt;0,IF(J554&lt;=eco,alpha*fck*(1-(1-J554/eco)^n),alpha*fck),0)</f>
      </c>
      <c r="L554" s="30">
        <f>PM_Angle!$J$8+PM_Angle!$K$8*$C554+PM_Angle!$L$8*$B554</f>
      </c>
      <c r="M554" s="12">
        <f>IF(L554&gt;0,IF(L554&lt;=eco,alpha*fck*(1-(1-L554/eco)^n),alpha*fck),0)</f>
      </c>
      <c r="N554" s="30">
        <f>PM_Angle!$J$9+PM_Angle!$K$9*$C554+PM_Angle!$L$9*$B554</f>
      </c>
      <c r="O554" s="12">
        <f>IF(N554&gt;0,IF(N554&lt;=eco,alpha*fck*(1-(1-N554/eco)^n),alpha*fck),0)</f>
      </c>
      <c r="P554" s="30">
        <f>PM_Angle!$J$10+PM_Angle!$K$10*$C554+PM_Angle!$L$10*$B554</f>
      </c>
      <c r="Q554" s="12">
        <f>IF(P554&gt;0,IF(P554&lt;=eco,alpha*fck*(1-(1-P554/eco)^n),alpha*fck),0)</f>
      </c>
      <c r="R554" s="30">
        <f>PM_Angle!$J$11+PM_Angle!$K$11*$C554+PM_Angle!$L$11*$B554</f>
      </c>
      <c r="S554" s="12">
        <f>IF(R554&gt;0,IF(R554&lt;=eco,alpha*fck*(1-(1-R554/eco)^n),alpha*fck),0)</f>
      </c>
      <c r="T554" s="30">
        <f>PM_Angle!$J$12+PM_Angle!$K$12*$C554+PM_Angle!$L$12*$B554</f>
      </c>
      <c r="U554" s="12">
        <f>IF(T554&gt;0,IF(T554&lt;=eco,alpha*fck*(1-(1-T554/eco)^n),alpha*fck),0)</f>
      </c>
      <c r="V554" s="30">
        <f>PM_Angle!$J$13+PM_Angle!$K$13*$C554+PM_Angle!$L$13*$B554</f>
      </c>
      <c r="W554" s="12">
        <f>IF(V554&gt;0,IF(V554&lt;=eco,alpha*fck*(1-(1-V554/eco)^n),alpha*fck),0)</f>
      </c>
      <c r="X554" s="30">
        <f>PM_Angle!$J$14+PM_Angle!$K$14*$C554+PM_Angle!$L$14*$B554</f>
      </c>
      <c r="Y554" s="12">
        <f>IF(X554&gt;0,IF(X554&lt;=eco,alpha*fck*(1-(1-X554/eco)^n),alpha*fck),0)</f>
      </c>
      <c r="Z554" s="30">
        <f>PM_Angle!$J$15+PM_Angle!$K$15*$C554+PM_Angle!$L$15*$B554</f>
      </c>
      <c r="AA554" s="12">
        <f>IF(Z554&gt;0,IF(Z554&lt;=eco,alpha*fck*(1-(1-Z554/eco)^n),alpha*fck),0)</f>
      </c>
      <c r="AB554" s="30">
        <f>PM_Angle!$J$16+PM_Angle!$K$16*$C554+PM_Angle!$L$16*$B554</f>
      </c>
      <c r="AC554" s="12">
        <f>IF(AB554&gt;0,IF(AB554&lt;=eco,alpha*fck*(1-(1-AB554/eco)^n),alpha*fck),0)</f>
      </c>
      <c r="AD554" s="30">
        <f>PM_Angle!$J$17+PM_Angle!$K$17*$C554+PM_Angle!$L$17*$B554</f>
      </c>
      <c r="AE554" s="12">
        <f>IF(AD554&gt;0,IF(AD554&lt;=eco,alpha*fck*(1-(1-AD554/eco)^n),alpha*fck),0)</f>
      </c>
      <c r="AF554" s="30">
        <f>PM_Angle!$J$18+PM_Angle!$K$18*$C554+PM_Angle!$L$18*$B554</f>
      </c>
      <c r="AG554" s="12">
        <f>IF(AF554&gt;0,IF(AF554&lt;=eco,alpha*fck*(1-(1-AF554/eco)^n),alpha*fck),0)</f>
      </c>
      <c r="AH554" s="30">
        <f>PM_Angle!$J$19+PM_Angle!$K$19*$C554+PM_Angle!$L$19*$B554</f>
      </c>
      <c r="AI554" s="12">
        <f>IF(AH554&gt;0,IF(AH554&lt;=eco,alpha*fck*(1-(1-AH554/eco)^n),alpha*fck),0)</f>
      </c>
      <c r="AJ554" s="30">
        <f>PM_Angle!$J$20+PM_Angle!$K$20*$C554+PM_Angle!$L$20*$B554</f>
      </c>
      <c r="AK554" s="12">
        <f>IF(AJ554&gt;0,IF(AJ554&lt;=eco,alpha*fck*(1-(1-AJ554/eco)^n),alpha*fck),0)</f>
      </c>
      <c r="AL554" s="30">
        <f>PM_Angle!$J$21+PM_Angle!$K$21*$C554+PM_Angle!$L$21*$B554</f>
      </c>
      <c r="AM554" s="12">
        <f>IF(AL554&gt;0,IF(AL554&lt;=eco,alpha*fck*(1-(1-AL554/eco)^n),alpha*fck),0)</f>
      </c>
      <c r="AN554" s="30">
        <f>PM_Angle!$J$22+PM_Angle!$K$22*$C554+PM_Angle!$L$22*$B554</f>
      </c>
      <c r="AO554" s="12">
        <f>IF(AN554&gt;0,IF(AN554&lt;=eco,alpha*fck*(1-(1-AN554/eco)^n),alpha*fck),0)</f>
      </c>
      <c r="AP554" s="30">
        <f>PM_Angle!$J$23+PM_Angle!$K$23*$C554+PM_Angle!$L$23*$B554</f>
      </c>
      <c r="AQ554" s="12">
        <f>IF(AP554&gt;0,IF(AP554&lt;=eco,alpha*fck*(1-(1-AP554/eco)^n),alpha*fck),0)</f>
      </c>
      <c r="AR554" s="30">
        <f>PM_Angle!$J$24+PM_Angle!$K$24*$C554+PM_Angle!$L$24*$B554</f>
      </c>
      <c r="AS554" s="12">
        <f>IF(AR554&gt;0,IF(AR554&lt;=eco,alpha*fck*(1-(1-AR554/eco)^n),alpha*fck),0)</f>
      </c>
      <c r="AT554" s="30">
        <f>PM_Angle!$J$25+PM_Angle!$K$25*$C554+PM_Angle!$L$25*$B554</f>
      </c>
      <c r="AU554" s="12">
        <f>IF(AT554&gt;0,IF(AT554&lt;=eco,alpha*fck*(1-(1-AT554/eco)^n),alpha*fck),0)</f>
      </c>
    </row>
    <row r="555" spans="1:47" x14ac:dyDescent="0.25">
      <c r="A555">
        <f>Mesh!A552</f>
      </c>
      <c r="B555" s="12">
        <f>Mesh!B552</f>
      </c>
      <c r="C555" s="12">
        <f>Mesh!C552</f>
      </c>
      <c r="D555" s="12">
        <f>Mesh!D552</f>
      </c>
      <c r="E555" s="30">
        <f>INDEX(St_e0,Det+1)+INDEX(St_kx,Det+1)*C555+INDEX(St_ky,Det+1)*B555</f>
      </c>
      <c r="F555" s="12">
        <f>IF(E555&gt;0,IF(E555&lt;=eco,alpha*fck*(1-(1-E555/eco)^n),alpha*fck),0)</f>
      </c>
      <c r="G555" s="11">
        <f>F555*D555</f>
      </c>
      <c r="H555" s="11">
        <f>G555*C555</f>
      </c>
      <c r="I555" s="11">
        <f>G555*B555</f>
      </c>
      <c r="J555" s="30">
        <f>PM_Angle!$J$7+PM_Angle!$K$7*$C555+PM_Angle!$L$7*$B555</f>
      </c>
      <c r="K555" s="12">
        <f>IF(J555&gt;0,IF(J555&lt;=eco,alpha*fck*(1-(1-J555/eco)^n),alpha*fck),0)</f>
      </c>
      <c r="L555" s="30">
        <f>PM_Angle!$J$8+PM_Angle!$K$8*$C555+PM_Angle!$L$8*$B555</f>
      </c>
      <c r="M555" s="12">
        <f>IF(L555&gt;0,IF(L555&lt;=eco,alpha*fck*(1-(1-L555/eco)^n),alpha*fck),0)</f>
      </c>
      <c r="N555" s="30">
        <f>PM_Angle!$J$9+PM_Angle!$K$9*$C555+PM_Angle!$L$9*$B555</f>
      </c>
      <c r="O555" s="12">
        <f>IF(N555&gt;0,IF(N555&lt;=eco,alpha*fck*(1-(1-N555/eco)^n),alpha*fck),0)</f>
      </c>
      <c r="P555" s="30">
        <f>PM_Angle!$J$10+PM_Angle!$K$10*$C555+PM_Angle!$L$10*$B555</f>
      </c>
      <c r="Q555" s="12">
        <f>IF(P555&gt;0,IF(P555&lt;=eco,alpha*fck*(1-(1-P555/eco)^n),alpha*fck),0)</f>
      </c>
      <c r="R555" s="30">
        <f>PM_Angle!$J$11+PM_Angle!$K$11*$C555+PM_Angle!$L$11*$B555</f>
      </c>
      <c r="S555" s="12">
        <f>IF(R555&gt;0,IF(R555&lt;=eco,alpha*fck*(1-(1-R555/eco)^n),alpha*fck),0)</f>
      </c>
      <c r="T555" s="30">
        <f>PM_Angle!$J$12+PM_Angle!$K$12*$C555+PM_Angle!$L$12*$B555</f>
      </c>
      <c r="U555" s="12">
        <f>IF(T555&gt;0,IF(T555&lt;=eco,alpha*fck*(1-(1-T555/eco)^n),alpha*fck),0)</f>
      </c>
      <c r="V555" s="30">
        <f>PM_Angle!$J$13+PM_Angle!$K$13*$C555+PM_Angle!$L$13*$B555</f>
      </c>
      <c r="W555" s="12">
        <f>IF(V555&gt;0,IF(V555&lt;=eco,alpha*fck*(1-(1-V555/eco)^n),alpha*fck),0)</f>
      </c>
      <c r="X555" s="30">
        <f>PM_Angle!$J$14+PM_Angle!$K$14*$C555+PM_Angle!$L$14*$B555</f>
      </c>
      <c r="Y555" s="12">
        <f>IF(X555&gt;0,IF(X555&lt;=eco,alpha*fck*(1-(1-X555/eco)^n),alpha*fck),0)</f>
      </c>
      <c r="Z555" s="30">
        <f>PM_Angle!$J$15+PM_Angle!$K$15*$C555+PM_Angle!$L$15*$B555</f>
      </c>
      <c r="AA555" s="12">
        <f>IF(Z555&gt;0,IF(Z555&lt;=eco,alpha*fck*(1-(1-Z555/eco)^n),alpha*fck),0)</f>
      </c>
      <c r="AB555" s="30">
        <f>PM_Angle!$J$16+PM_Angle!$K$16*$C555+PM_Angle!$L$16*$B555</f>
      </c>
      <c r="AC555" s="12">
        <f>IF(AB555&gt;0,IF(AB555&lt;=eco,alpha*fck*(1-(1-AB555/eco)^n),alpha*fck),0)</f>
      </c>
      <c r="AD555" s="30">
        <f>PM_Angle!$J$17+PM_Angle!$K$17*$C555+PM_Angle!$L$17*$B555</f>
      </c>
      <c r="AE555" s="12">
        <f>IF(AD555&gt;0,IF(AD555&lt;=eco,alpha*fck*(1-(1-AD555/eco)^n),alpha*fck),0)</f>
      </c>
      <c r="AF555" s="30">
        <f>PM_Angle!$J$18+PM_Angle!$K$18*$C555+PM_Angle!$L$18*$B555</f>
      </c>
      <c r="AG555" s="12">
        <f>IF(AF555&gt;0,IF(AF555&lt;=eco,alpha*fck*(1-(1-AF555/eco)^n),alpha*fck),0)</f>
      </c>
      <c r="AH555" s="30">
        <f>PM_Angle!$J$19+PM_Angle!$K$19*$C555+PM_Angle!$L$19*$B555</f>
      </c>
      <c r="AI555" s="12">
        <f>IF(AH555&gt;0,IF(AH555&lt;=eco,alpha*fck*(1-(1-AH555/eco)^n),alpha*fck),0)</f>
      </c>
      <c r="AJ555" s="30">
        <f>PM_Angle!$J$20+PM_Angle!$K$20*$C555+PM_Angle!$L$20*$B555</f>
      </c>
      <c r="AK555" s="12">
        <f>IF(AJ555&gt;0,IF(AJ555&lt;=eco,alpha*fck*(1-(1-AJ555/eco)^n),alpha*fck),0)</f>
      </c>
      <c r="AL555" s="30">
        <f>PM_Angle!$J$21+PM_Angle!$K$21*$C555+PM_Angle!$L$21*$B555</f>
      </c>
      <c r="AM555" s="12">
        <f>IF(AL555&gt;0,IF(AL555&lt;=eco,alpha*fck*(1-(1-AL555/eco)^n),alpha*fck),0)</f>
      </c>
      <c r="AN555" s="30">
        <f>PM_Angle!$J$22+PM_Angle!$K$22*$C555+PM_Angle!$L$22*$B555</f>
      </c>
      <c r="AO555" s="12">
        <f>IF(AN555&gt;0,IF(AN555&lt;=eco,alpha*fck*(1-(1-AN555/eco)^n),alpha*fck),0)</f>
      </c>
      <c r="AP555" s="30">
        <f>PM_Angle!$J$23+PM_Angle!$K$23*$C555+PM_Angle!$L$23*$B555</f>
      </c>
      <c r="AQ555" s="12">
        <f>IF(AP555&gt;0,IF(AP555&lt;=eco,alpha*fck*(1-(1-AP555/eco)^n),alpha*fck),0)</f>
      </c>
      <c r="AR555" s="30">
        <f>PM_Angle!$J$24+PM_Angle!$K$24*$C555+PM_Angle!$L$24*$B555</f>
      </c>
      <c r="AS555" s="12">
        <f>IF(AR555&gt;0,IF(AR555&lt;=eco,alpha*fck*(1-(1-AR555/eco)^n),alpha*fck),0)</f>
      </c>
      <c r="AT555" s="30">
        <f>PM_Angle!$J$25+PM_Angle!$K$25*$C555+PM_Angle!$L$25*$B555</f>
      </c>
      <c r="AU555" s="12">
        <f>IF(AT555&gt;0,IF(AT555&lt;=eco,alpha*fck*(1-(1-AT555/eco)^n),alpha*fck),0)</f>
      </c>
    </row>
    <row r="556" spans="1:47" x14ac:dyDescent="0.25">
      <c r="A556">
        <f>Mesh!A553</f>
      </c>
      <c r="B556" s="12">
        <f>Mesh!B553</f>
      </c>
      <c r="C556" s="12">
        <f>Mesh!C553</f>
      </c>
      <c r="D556" s="12">
        <f>Mesh!D553</f>
      </c>
      <c r="E556" s="30">
        <f>INDEX(St_e0,Det+1)+INDEX(St_kx,Det+1)*C556+INDEX(St_ky,Det+1)*B556</f>
      </c>
      <c r="F556" s="12">
        <f>IF(E556&gt;0,IF(E556&lt;=eco,alpha*fck*(1-(1-E556/eco)^n),alpha*fck),0)</f>
      </c>
      <c r="G556" s="11">
        <f>F556*D556</f>
      </c>
      <c r="H556" s="11">
        <f>G556*C556</f>
      </c>
      <c r="I556" s="11">
        <f>G556*B556</f>
      </c>
      <c r="J556" s="30">
        <f>PM_Angle!$J$7+PM_Angle!$K$7*$C556+PM_Angle!$L$7*$B556</f>
      </c>
      <c r="K556" s="12">
        <f>IF(J556&gt;0,IF(J556&lt;=eco,alpha*fck*(1-(1-J556/eco)^n),alpha*fck),0)</f>
      </c>
      <c r="L556" s="30">
        <f>PM_Angle!$J$8+PM_Angle!$K$8*$C556+PM_Angle!$L$8*$B556</f>
      </c>
      <c r="M556" s="12">
        <f>IF(L556&gt;0,IF(L556&lt;=eco,alpha*fck*(1-(1-L556/eco)^n),alpha*fck),0)</f>
      </c>
      <c r="N556" s="30">
        <f>PM_Angle!$J$9+PM_Angle!$K$9*$C556+PM_Angle!$L$9*$B556</f>
      </c>
      <c r="O556" s="12">
        <f>IF(N556&gt;0,IF(N556&lt;=eco,alpha*fck*(1-(1-N556/eco)^n),alpha*fck),0)</f>
      </c>
      <c r="P556" s="30">
        <f>PM_Angle!$J$10+PM_Angle!$K$10*$C556+PM_Angle!$L$10*$B556</f>
      </c>
      <c r="Q556" s="12">
        <f>IF(P556&gt;0,IF(P556&lt;=eco,alpha*fck*(1-(1-P556/eco)^n),alpha*fck),0)</f>
      </c>
      <c r="R556" s="30">
        <f>PM_Angle!$J$11+PM_Angle!$K$11*$C556+PM_Angle!$L$11*$B556</f>
      </c>
      <c r="S556" s="12">
        <f>IF(R556&gt;0,IF(R556&lt;=eco,alpha*fck*(1-(1-R556/eco)^n),alpha*fck),0)</f>
      </c>
      <c r="T556" s="30">
        <f>PM_Angle!$J$12+PM_Angle!$K$12*$C556+PM_Angle!$L$12*$B556</f>
      </c>
      <c r="U556" s="12">
        <f>IF(T556&gt;0,IF(T556&lt;=eco,alpha*fck*(1-(1-T556/eco)^n),alpha*fck),0)</f>
      </c>
      <c r="V556" s="30">
        <f>PM_Angle!$J$13+PM_Angle!$K$13*$C556+PM_Angle!$L$13*$B556</f>
      </c>
      <c r="W556" s="12">
        <f>IF(V556&gt;0,IF(V556&lt;=eco,alpha*fck*(1-(1-V556/eco)^n),alpha*fck),0)</f>
      </c>
      <c r="X556" s="30">
        <f>PM_Angle!$J$14+PM_Angle!$K$14*$C556+PM_Angle!$L$14*$B556</f>
      </c>
      <c r="Y556" s="12">
        <f>IF(X556&gt;0,IF(X556&lt;=eco,alpha*fck*(1-(1-X556/eco)^n),alpha*fck),0)</f>
      </c>
      <c r="Z556" s="30">
        <f>PM_Angle!$J$15+PM_Angle!$K$15*$C556+PM_Angle!$L$15*$B556</f>
      </c>
      <c r="AA556" s="12">
        <f>IF(Z556&gt;0,IF(Z556&lt;=eco,alpha*fck*(1-(1-Z556/eco)^n),alpha*fck),0)</f>
      </c>
      <c r="AB556" s="30">
        <f>PM_Angle!$J$16+PM_Angle!$K$16*$C556+PM_Angle!$L$16*$B556</f>
      </c>
      <c r="AC556" s="12">
        <f>IF(AB556&gt;0,IF(AB556&lt;=eco,alpha*fck*(1-(1-AB556/eco)^n),alpha*fck),0)</f>
      </c>
      <c r="AD556" s="30">
        <f>PM_Angle!$J$17+PM_Angle!$K$17*$C556+PM_Angle!$L$17*$B556</f>
      </c>
      <c r="AE556" s="12">
        <f>IF(AD556&gt;0,IF(AD556&lt;=eco,alpha*fck*(1-(1-AD556/eco)^n),alpha*fck),0)</f>
      </c>
      <c r="AF556" s="30">
        <f>PM_Angle!$J$18+PM_Angle!$K$18*$C556+PM_Angle!$L$18*$B556</f>
      </c>
      <c r="AG556" s="12">
        <f>IF(AF556&gt;0,IF(AF556&lt;=eco,alpha*fck*(1-(1-AF556/eco)^n),alpha*fck),0)</f>
      </c>
      <c r="AH556" s="30">
        <f>PM_Angle!$J$19+PM_Angle!$K$19*$C556+PM_Angle!$L$19*$B556</f>
      </c>
      <c r="AI556" s="12">
        <f>IF(AH556&gt;0,IF(AH556&lt;=eco,alpha*fck*(1-(1-AH556/eco)^n),alpha*fck),0)</f>
      </c>
      <c r="AJ556" s="30">
        <f>PM_Angle!$J$20+PM_Angle!$K$20*$C556+PM_Angle!$L$20*$B556</f>
      </c>
      <c r="AK556" s="12">
        <f>IF(AJ556&gt;0,IF(AJ556&lt;=eco,alpha*fck*(1-(1-AJ556/eco)^n),alpha*fck),0)</f>
      </c>
      <c r="AL556" s="30">
        <f>PM_Angle!$J$21+PM_Angle!$K$21*$C556+PM_Angle!$L$21*$B556</f>
      </c>
      <c r="AM556" s="12">
        <f>IF(AL556&gt;0,IF(AL556&lt;=eco,alpha*fck*(1-(1-AL556/eco)^n),alpha*fck),0)</f>
      </c>
      <c r="AN556" s="30">
        <f>PM_Angle!$J$22+PM_Angle!$K$22*$C556+PM_Angle!$L$22*$B556</f>
      </c>
      <c r="AO556" s="12">
        <f>IF(AN556&gt;0,IF(AN556&lt;=eco,alpha*fck*(1-(1-AN556/eco)^n),alpha*fck),0)</f>
      </c>
      <c r="AP556" s="30">
        <f>PM_Angle!$J$23+PM_Angle!$K$23*$C556+PM_Angle!$L$23*$B556</f>
      </c>
      <c r="AQ556" s="12">
        <f>IF(AP556&gt;0,IF(AP556&lt;=eco,alpha*fck*(1-(1-AP556/eco)^n),alpha*fck),0)</f>
      </c>
      <c r="AR556" s="30">
        <f>PM_Angle!$J$24+PM_Angle!$K$24*$C556+PM_Angle!$L$24*$B556</f>
      </c>
      <c r="AS556" s="12">
        <f>IF(AR556&gt;0,IF(AR556&lt;=eco,alpha*fck*(1-(1-AR556/eco)^n),alpha*fck),0)</f>
      </c>
      <c r="AT556" s="30">
        <f>PM_Angle!$J$25+PM_Angle!$K$25*$C556+PM_Angle!$L$25*$B556</f>
      </c>
      <c r="AU556" s="12">
        <f>IF(AT556&gt;0,IF(AT556&lt;=eco,alpha*fck*(1-(1-AT556/eco)^n),alpha*fck),0)</f>
      </c>
    </row>
    <row r="557" spans="1:47" x14ac:dyDescent="0.25">
      <c r="A557">
        <f>Mesh!A554</f>
      </c>
      <c r="B557" s="12">
        <f>Mesh!B554</f>
      </c>
      <c r="C557" s="12">
        <f>Mesh!C554</f>
      </c>
      <c r="D557" s="12">
        <f>Mesh!D554</f>
      </c>
      <c r="E557" s="30">
        <f>INDEX(St_e0,Det+1)+INDEX(St_kx,Det+1)*C557+INDEX(St_ky,Det+1)*B557</f>
      </c>
      <c r="F557" s="12">
        <f>IF(E557&gt;0,IF(E557&lt;=eco,alpha*fck*(1-(1-E557/eco)^n),alpha*fck),0)</f>
      </c>
      <c r="G557" s="11">
        <f>F557*D557</f>
      </c>
      <c r="H557" s="11">
        <f>G557*C557</f>
      </c>
      <c r="I557" s="11">
        <f>G557*B557</f>
      </c>
      <c r="J557" s="30">
        <f>PM_Angle!$J$7+PM_Angle!$K$7*$C557+PM_Angle!$L$7*$B557</f>
      </c>
      <c r="K557" s="12">
        <f>IF(J557&gt;0,IF(J557&lt;=eco,alpha*fck*(1-(1-J557/eco)^n),alpha*fck),0)</f>
      </c>
      <c r="L557" s="30">
        <f>PM_Angle!$J$8+PM_Angle!$K$8*$C557+PM_Angle!$L$8*$B557</f>
      </c>
      <c r="M557" s="12">
        <f>IF(L557&gt;0,IF(L557&lt;=eco,alpha*fck*(1-(1-L557/eco)^n),alpha*fck),0)</f>
      </c>
      <c r="N557" s="30">
        <f>PM_Angle!$J$9+PM_Angle!$K$9*$C557+PM_Angle!$L$9*$B557</f>
      </c>
      <c r="O557" s="12">
        <f>IF(N557&gt;0,IF(N557&lt;=eco,alpha*fck*(1-(1-N557/eco)^n),alpha*fck),0)</f>
      </c>
      <c r="P557" s="30">
        <f>PM_Angle!$J$10+PM_Angle!$K$10*$C557+PM_Angle!$L$10*$B557</f>
      </c>
      <c r="Q557" s="12">
        <f>IF(P557&gt;0,IF(P557&lt;=eco,alpha*fck*(1-(1-P557/eco)^n),alpha*fck),0)</f>
      </c>
      <c r="R557" s="30">
        <f>PM_Angle!$J$11+PM_Angle!$K$11*$C557+PM_Angle!$L$11*$B557</f>
      </c>
      <c r="S557" s="12">
        <f>IF(R557&gt;0,IF(R557&lt;=eco,alpha*fck*(1-(1-R557/eco)^n),alpha*fck),0)</f>
      </c>
      <c r="T557" s="30">
        <f>PM_Angle!$J$12+PM_Angle!$K$12*$C557+PM_Angle!$L$12*$B557</f>
      </c>
      <c r="U557" s="12">
        <f>IF(T557&gt;0,IF(T557&lt;=eco,alpha*fck*(1-(1-T557/eco)^n),alpha*fck),0)</f>
      </c>
      <c r="V557" s="30">
        <f>PM_Angle!$J$13+PM_Angle!$K$13*$C557+PM_Angle!$L$13*$B557</f>
      </c>
      <c r="W557" s="12">
        <f>IF(V557&gt;0,IF(V557&lt;=eco,alpha*fck*(1-(1-V557/eco)^n),alpha*fck),0)</f>
      </c>
      <c r="X557" s="30">
        <f>PM_Angle!$J$14+PM_Angle!$K$14*$C557+PM_Angle!$L$14*$B557</f>
      </c>
      <c r="Y557" s="12">
        <f>IF(X557&gt;0,IF(X557&lt;=eco,alpha*fck*(1-(1-X557/eco)^n),alpha*fck),0)</f>
      </c>
      <c r="Z557" s="30">
        <f>PM_Angle!$J$15+PM_Angle!$K$15*$C557+PM_Angle!$L$15*$B557</f>
      </c>
      <c r="AA557" s="12">
        <f>IF(Z557&gt;0,IF(Z557&lt;=eco,alpha*fck*(1-(1-Z557/eco)^n),alpha*fck),0)</f>
      </c>
      <c r="AB557" s="30">
        <f>PM_Angle!$J$16+PM_Angle!$K$16*$C557+PM_Angle!$L$16*$B557</f>
      </c>
      <c r="AC557" s="12">
        <f>IF(AB557&gt;0,IF(AB557&lt;=eco,alpha*fck*(1-(1-AB557/eco)^n),alpha*fck),0)</f>
      </c>
      <c r="AD557" s="30">
        <f>PM_Angle!$J$17+PM_Angle!$K$17*$C557+PM_Angle!$L$17*$B557</f>
      </c>
      <c r="AE557" s="12">
        <f>IF(AD557&gt;0,IF(AD557&lt;=eco,alpha*fck*(1-(1-AD557/eco)^n),alpha*fck),0)</f>
      </c>
      <c r="AF557" s="30">
        <f>PM_Angle!$J$18+PM_Angle!$K$18*$C557+PM_Angle!$L$18*$B557</f>
      </c>
      <c r="AG557" s="12">
        <f>IF(AF557&gt;0,IF(AF557&lt;=eco,alpha*fck*(1-(1-AF557/eco)^n),alpha*fck),0)</f>
      </c>
      <c r="AH557" s="30">
        <f>PM_Angle!$J$19+PM_Angle!$K$19*$C557+PM_Angle!$L$19*$B557</f>
      </c>
      <c r="AI557" s="12">
        <f>IF(AH557&gt;0,IF(AH557&lt;=eco,alpha*fck*(1-(1-AH557/eco)^n),alpha*fck),0)</f>
      </c>
      <c r="AJ557" s="30">
        <f>PM_Angle!$J$20+PM_Angle!$K$20*$C557+PM_Angle!$L$20*$B557</f>
      </c>
      <c r="AK557" s="12">
        <f>IF(AJ557&gt;0,IF(AJ557&lt;=eco,alpha*fck*(1-(1-AJ557/eco)^n),alpha*fck),0)</f>
      </c>
      <c r="AL557" s="30">
        <f>PM_Angle!$J$21+PM_Angle!$K$21*$C557+PM_Angle!$L$21*$B557</f>
      </c>
      <c r="AM557" s="12">
        <f>IF(AL557&gt;0,IF(AL557&lt;=eco,alpha*fck*(1-(1-AL557/eco)^n),alpha*fck),0)</f>
      </c>
      <c r="AN557" s="30">
        <f>PM_Angle!$J$22+PM_Angle!$K$22*$C557+PM_Angle!$L$22*$B557</f>
      </c>
      <c r="AO557" s="12">
        <f>IF(AN557&gt;0,IF(AN557&lt;=eco,alpha*fck*(1-(1-AN557/eco)^n),alpha*fck),0)</f>
      </c>
      <c r="AP557" s="30">
        <f>PM_Angle!$J$23+PM_Angle!$K$23*$C557+PM_Angle!$L$23*$B557</f>
      </c>
      <c r="AQ557" s="12">
        <f>IF(AP557&gt;0,IF(AP557&lt;=eco,alpha*fck*(1-(1-AP557/eco)^n),alpha*fck),0)</f>
      </c>
      <c r="AR557" s="30">
        <f>PM_Angle!$J$24+PM_Angle!$K$24*$C557+PM_Angle!$L$24*$B557</f>
      </c>
      <c r="AS557" s="12">
        <f>IF(AR557&gt;0,IF(AR557&lt;=eco,alpha*fck*(1-(1-AR557/eco)^n),alpha*fck),0)</f>
      </c>
      <c r="AT557" s="30">
        <f>PM_Angle!$J$25+PM_Angle!$K$25*$C557+PM_Angle!$L$25*$B557</f>
      </c>
      <c r="AU557" s="12">
        <f>IF(AT557&gt;0,IF(AT557&lt;=eco,alpha*fck*(1-(1-AT557/eco)^n),alpha*fck),0)</f>
      </c>
    </row>
    <row r="558" spans="1:47" x14ac:dyDescent="0.25">
      <c r="A558">
        <f>Mesh!A555</f>
      </c>
      <c r="B558" s="12">
        <f>Mesh!B555</f>
      </c>
      <c r="C558" s="12">
        <f>Mesh!C555</f>
      </c>
      <c r="D558" s="12">
        <f>Mesh!D555</f>
      </c>
      <c r="E558" s="30">
        <f>INDEX(St_e0,Det+1)+INDEX(St_kx,Det+1)*C558+INDEX(St_ky,Det+1)*B558</f>
      </c>
      <c r="F558" s="12">
        <f>IF(E558&gt;0,IF(E558&lt;=eco,alpha*fck*(1-(1-E558/eco)^n),alpha*fck),0)</f>
      </c>
      <c r="G558" s="11">
        <f>F558*D558</f>
      </c>
      <c r="H558" s="11">
        <f>G558*C558</f>
      </c>
      <c r="I558" s="11">
        <f>G558*B558</f>
      </c>
      <c r="J558" s="30">
        <f>PM_Angle!$J$7+PM_Angle!$K$7*$C558+PM_Angle!$L$7*$B558</f>
      </c>
      <c r="K558" s="12">
        <f>IF(J558&gt;0,IF(J558&lt;=eco,alpha*fck*(1-(1-J558/eco)^n),alpha*fck),0)</f>
      </c>
      <c r="L558" s="30">
        <f>PM_Angle!$J$8+PM_Angle!$K$8*$C558+PM_Angle!$L$8*$B558</f>
      </c>
      <c r="M558" s="12">
        <f>IF(L558&gt;0,IF(L558&lt;=eco,alpha*fck*(1-(1-L558/eco)^n),alpha*fck),0)</f>
      </c>
      <c r="N558" s="30">
        <f>PM_Angle!$J$9+PM_Angle!$K$9*$C558+PM_Angle!$L$9*$B558</f>
      </c>
      <c r="O558" s="12">
        <f>IF(N558&gt;0,IF(N558&lt;=eco,alpha*fck*(1-(1-N558/eco)^n),alpha*fck),0)</f>
      </c>
      <c r="P558" s="30">
        <f>PM_Angle!$J$10+PM_Angle!$K$10*$C558+PM_Angle!$L$10*$B558</f>
      </c>
      <c r="Q558" s="12">
        <f>IF(P558&gt;0,IF(P558&lt;=eco,alpha*fck*(1-(1-P558/eco)^n),alpha*fck),0)</f>
      </c>
      <c r="R558" s="30">
        <f>PM_Angle!$J$11+PM_Angle!$K$11*$C558+PM_Angle!$L$11*$B558</f>
      </c>
      <c r="S558" s="12">
        <f>IF(R558&gt;0,IF(R558&lt;=eco,alpha*fck*(1-(1-R558/eco)^n),alpha*fck),0)</f>
      </c>
      <c r="T558" s="30">
        <f>PM_Angle!$J$12+PM_Angle!$K$12*$C558+PM_Angle!$L$12*$B558</f>
      </c>
      <c r="U558" s="12">
        <f>IF(T558&gt;0,IF(T558&lt;=eco,alpha*fck*(1-(1-T558/eco)^n),alpha*fck),0)</f>
      </c>
      <c r="V558" s="30">
        <f>PM_Angle!$J$13+PM_Angle!$K$13*$C558+PM_Angle!$L$13*$B558</f>
      </c>
      <c r="W558" s="12">
        <f>IF(V558&gt;0,IF(V558&lt;=eco,alpha*fck*(1-(1-V558/eco)^n),alpha*fck),0)</f>
      </c>
      <c r="X558" s="30">
        <f>PM_Angle!$J$14+PM_Angle!$K$14*$C558+PM_Angle!$L$14*$B558</f>
      </c>
      <c r="Y558" s="12">
        <f>IF(X558&gt;0,IF(X558&lt;=eco,alpha*fck*(1-(1-X558/eco)^n),alpha*fck),0)</f>
      </c>
      <c r="Z558" s="30">
        <f>PM_Angle!$J$15+PM_Angle!$K$15*$C558+PM_Angle!$L$15*$B558</f>
      </c>
      <c r="AA558" s="12">
        <f>IF(Z558&gt;0,IF(Z558&lt;=eco,alpha*fck*(1-(1-Z558/eco)^n),alpha*fck),0)</f>
      </c>
      <c r="AB558" s="30">
        <f>PM_Angle!$J$16+PM_Angle!$K$16*$C558+PM_Angle!$L$16*$B558</f>
      </c>
      <c r="AC558" s="12">
        <f>IF(AB558&gt;0,IF(AB558&lt;=eco,alpha*fck*(1-(1-AB558/eco)^n),alpha*fck),0)</f>
      </c>
      <c r="AD558" s="30">
        <f>PM_Angle!$J$17+PM_Angle!$K$17*$C558+PM_Angle!$L$17*$B558</f>
      </c>
      <c r="AE558" s="12">
        <f>IF(AD558&gt;0,IF(AD558&lt;=eco,alpha*fck*(1-(1-AD558/eco)^n),alpha*fck),0)</f>
      </c>
      <c r="AF558" s="30">
        <f>PM_Angle!$J$18+PM_Angle!$K$18*$C558+PM_Angle!$L$18*$B558</f>
      </c>
      <c r="AG558" s="12">
        <f>IF(AF558&gt;0,IF(AF558&lt;=eco,alpha*fck*(1-(1-AF558/eco)^n),alpha*fck),0)</f>
      </c>
      <c r="AH558" s="30">
        <f>PM_Angle!$J$19+PM_Angle!$K$19*$C558+PM_Angle!$L$19*$B558</f>
      </c>
      <c r="AI558" s="12">
        <f>IF(AH558&gt;0,IF(AH558&lt;=eco,alpha*fck*(1-(1-AH558/eco)^n),alpha*fck),0)</f>
      </c>
      <c r="AJ558" s="30">
        <f>PM_Angle!$J$20+PM_Angle!$K$20*$C558+PM_Angle!$L$20*$B558</f>
      </c>
      <c r="AK558" s="12">
        <f>IF(AJ558&gt;0,IF(AJ558&lt;=eco,alpha*fck*(1-(1-AJ558/eco)^n),alpha*fck),0)</f>
      </c>
      <c r="AL558" s="30">
        <f>PM_Angle!$J$21+PM_Angle!$K$21*$C558+PM_Angle!$L$21*$B558</f>
      </c>
      <c r="AM558" s="12">
        <f>IF(AL558&gt;0,IF(AL558&lt;=eco,alpha*fck*(1-(1-AL558/eco)^n),alpha*fck),0)</f>
      </c>
      <c r="AN558" s="30">
        <f>PM_Angle!$J$22+PM_Angle!$K$22*$C558+PM_Angle!$L$22*$B558</f>
      </c>
      <c r="AO558" s="12">
        <f>IF(AN558&gt;0,IF(AN558&lt;=eco,alpha*fck*(1-(1-AN558/eco)^n),alpha*fck),0)</f>
      </c>
      <c r="AP558" s="30">
        <f>PM_Angle!$J$23+PM_Angle!$K$23*$C558+PM_Angle!$L$23*$B558</f>
      </c>
      <c r="AQ558" s="12">
        <f>IF(AP558&gt;0,IF(AP558&lt;=eco,alpha*fck*(1-(1-AP558/eco)^n),alpha*fck),0)</f>
      </c>
      <c r="AR558" s="30">
        <f>PM_Angle!$J$24+PM_Angle!$K$24*$C558+PM_Angle!$L$24*$B558</f>
      </c>
      <c r="AS558" s="12">
        <f>IF(AR558&gt;0,IF(AR558&lt;=eco,alpha*fck*(1-(1-AR558/eco)^n),alpha*fck),0)</f>
      </c>
      <c r="AT558" s="30">
        <f>PM_Angle!$J$25+PM_Angle!$K$25*$C558+PM_Angle!$L$25*$B558</f>
      </c>
      <c r="AU558" s="12">
        <f>IF(AT558&gt;0,IF(AT558&lt;=eco,alpha*fck*(1-(1-AT558/eco)^n),alpha*fck),0)</f>
      </c>
    </row>
    <row r="559" spans="1:47" x14ac:dyDescent="0.25">
      <c r="A559">
        <f>Mesh!A556</f>
      </c>
      <c r="B559" s="12">
        <f>Mesh!B556</f>
      </c>
      <c r="C559" s="12">
        <f>Mesh!C556</f>
      </c>
      <c r="D559" s="12">
        <f>Mesh!D556</f>
      </c>
      <c r="E559" s="30">
        <f>INDEX(St_e0,Det+1)+INDEX(St_kx,Det+1)*C559+INDEX(St_ky,Det+1)*B559</f>
      </c>
      <c r="F559" s="12">
        <f>IF(E559&gt;0,IF(E559&lt;=eco,alpha*fck*(1-(1-E559/eco)^n),alpha*fck),0)</f>
      </c>
      <c r="G559" s="11">
        <f>F559*D559</f>
      </c>
      <c r="H559" s="11">
        <f>G559*C559</f>
      </c>
      <c r="I559" s="11">
        <f>G559*B559</f>
      </c>
      <c r="J559" s="30">
        <f>PM_Angle!$J$7+PM_Angle!$K$7*$C559+PM_Angle!$L$7*$B559</f>
      </c>
      <c r="K559" s="12">
        <f>IF(J559&gt;0,IF(J559&lt;=eco,alpha*fck*(1-(1-J559/eco)^n),alpha*fck),0)</f>
      </c>
      <c r="L559" s="30">
        <f>PM_Angle!$J$8+PM_Angle!$K$8*$C559+PM_Angle!$L$8*$B559</f>
      </c>
      <c r="M559" s="12">
        <f>IF(L559&gt;0,IF(L559&lt;=eco,alpha*fck*(1-(1-L559/eco)^n),alpha*fck),0)</f>
      </c>
      <c r="N559" s="30">
        <f>PM_Angle!$J$9+PM_Angle!$K$9*$C559+PM_Angle!$L$9*$B559</f>
      </c>
      <c r="O559" s="12">
        <f>IF(N559&gt;0,IF(N559&lt;=eco,alpha*fck*(1-(1-N559/eco)^n),alpha*fck),0)</f>
      </c>
      <c r="P559" s="30">
        <f>PM_Angle!$J$10+PM_Angle!$K$10*$C559+PM_Angle!$L$10*$B559</f>
      </c>
      <c r="Q559" s="12">
        <f>IF(P559&gt;0,IF(P559&lt;=eco,alpha*fck*(1-(1-P559/eco)^n),alpha*fck),0)</f>
      </c>
      <c r="R559" s="30">
        <f>PM_Angle!$J$11+PM_Angle!$K$11*$C559+PM_Angle!$L$11*$B559</f>
      </c>
      <c r="S559" s="12">
        <f>IF(R559&gt;0,IF(R559&lt;=eco,alpha*fck*(1-(1-R559/eco)^n),alpha*fck),0)</f>
      </c>
      <c r="T559" s="30">
        <f>PM_Angle!$J$12+PM_Angle!$K$12*$C559+PM_Angle!$L$12*$B559</f>
      </c>
      <c r="U559" s="12">
        <f>IF(T559&gt;0,IF(T559&lt;=eco,alpha*fck*(1-(1-T559/eco)^n),alpha*fck),0)</f>
      </c>
      <c r="V559" s="30">
        <f>PM_Angle!$J$13+PM_Angle!$K$13*$C559+PM_Angle!$L$13*$B559</f>
      </c>
      <c r="W559" s="12">
        <f>IF(V559&gt;0,IF(V559&lt;=eco,alpha*fck*(1-(1-V559/eco)^n),alpha*fck),0)</f>
      </c>
      <c r="X559" s="30">
        <f>PM_Angle!$J$14+PM_Angle!$K$14*$C559+PM_Angle!$L$14*$B559</f>
      </c>
      <c r="Y559" s="12">
        <f>IF(X559&gt;0,IF(X559&lt;=eco,alpha*fck*(1-(1-X559/eco)^n),alpha*fck),0)</f>
      </c>
      <c r="Z559" s="30">
        <f>PM_Angle!$J$15+PM_Angle!$K$15*$C559+PM_Angle!$L$15*$B559</f>
      </c>
      <c r="AA559" s="12">
        <f>IF(Z559&gt;0,IF(Z559&lt;=eco,alpha*fck*(1-(1-Z559/eco)^n),alpha*fck),0)</f>
      </c>
      <c r="AB559" s="30">
        <f>PM_Angle!$J$16+PM_Angle!$K$16*$C559+PM_Angle!$L$16*$B559</f>
      </c>
      <c r="AC559" s="12">
        <f>IF(AB559&gt;0,IF(AB559&lt;=eco,alpha*fck*(1-(1-AB559/eco)^n),alpha*fck),0)</f>
      </c>
      <c r="AD559" s="30">
        <f>PM_Angle!$J$17+PM_Angle!$K$17*$C559+PM_Angle!$L$17*$B559</f>
      </c>
      <c r="AE559" s="12">
        <f>IF(AD559&gt;0,IF(AD559&lt;=eco,alpha*fck*(1-(1-AD559/eco)^n),alpha*fck),0)</f>
      </c>
      <c r="AF559" s="30">
        <f>PM_Angle!$J$18+PM_Angle!$K$18*$C559+PM_Angle!$L$18*$B559</f>
      </c>
      <c r="AG559" s="12">
        <f>IF(AF559&gt;0,IF(AF559&lt;=eco,alpha*fck*(1-(1-AF559/eco)^n),alpha*fck),0)</f>
      </c>
      <c r="AH559" s="30">
        <f>PM_Angle!$J$19+PM_Angle!$K$19*$C559+PM_Angle!$L$19*$B559</f>
      </c>
      <c r="AI559" s="12">
        <f>IF(AH559&gt;0,IF(AH559&lt;=eco,alpha*fck*(1-(1-AH559/eco)^n),alpha*fck),0)</f>
      </c>
      <c r="AJ559" s="30">
        <f>PM_Angle!$J$20+PM_Angle!$K$20*$C559+PM_Angle!$L$20*$B559</f>
      </c>
      <c r="AK559" s="12">
        <f>IF(AJ559&gt;0,IF(AJ559&lt;=eco,alpha*fck*(1-(1-AJ559/eco)^n),alpha*fck),0)</f>
      </c>
      <c r="AL559" s="30">
        <f>PM_Angle!$J$21+PM_Angle!$K$21*$C559+PM_Angle!$L$21*$B559</f>
      </c>
      <c r="AM559" s="12">
        <f>IF(AL559&gt;0,IF(AL559&lt;=eco,alpha*fck*(1-(1-AL559/eco)^n),alpha*fck),0)</f>
      </c>
      <c r="AN559" s="30">
        <f>PM_Angle!$J$22+PM_Angle!$K$22*$C559+PM_Angle!$L$22*$B559</f>
      </c>
      <c r="AO559" s="12">
        <f>IF(AN559&gt;0,IF(AN559&lt;=eco,alpha*fck*(1-(1-AN559/eco)^n),alpha*fck),0)</f>
      </c>
      <c r="AP559" s="30">
        <f>PM_Angle!$J$23+PM_Angle!$K$23*$C559+PM_Angle!$L$23*$B559</f>
      </c>
      <c r="AQ559" s="12">
        <f>IF(AP559&gt;0,IF(AP559&lt;=eco,alpha*fck*(1-(1-AP559/eco)^n),alpha*fck),0)</f>
      </c>
      <c r="AR559" s="30">
        <f>PM_Angle!$J$24+PM_Angle!$K$24*$C559+PM_Angle!$L$24*$B559</f>
      </c>
      <c r="AS559" s="12">
        <f>IF(AR559&gt;0,IF(AR559&lt;=eco,alpha*fck*(1-(1-AR559/eco)^n),alpha*fck),0)</f>
      </c>
      <c r="AT559" s="30">
        <f>PM_Angle!$J$25+PM_Angle!$K$25*$C559+PM_Angle!$L$25*$B559</f>
      </c>
      <c r="AU559" s="12">
        <f>IF(AT559&gt;0,IF(AT559&lt;=eco,alpha*fck*(1-(1-AT559/eco)^n),alpha*fck),0)</f>
      </c>
    </row>
    <row r="560" spans="1:47" x14ac:dyDescent="0.25">
      <c r="A560">
        <f>Mesh!A557</f>
      </c>
      <c r="B560" s="12">
        <f>Mesh!B557</f>
      </c>
      <c r="C560" s="12">
        <f>Mesh!C557</f>
      </c>
      <c r="D560" s="12">
        <f>Mesh!D557</f>
      </c>
      <c r="E560" s="30">
        <f>INDEX(St_e0,Det+1)+INDEX(St_kx,Det+1)*C560+INDEX(St_ky,Det+1)*B560</f>
      </c>
      <c r="F560" s="12">
        <f>IF(E560&gt;0,IF(E560&lt;=eco,alpha*fck*(1-(1-E560/eco)^n),alpha*fck),0)</f>
      </c>
      <c r="G560" s="11">
        <f>F560*D560</f>
      </c>
      <c r="H560" s="11">
        <f>G560*C560</f>
      </c>
      <c r="I560" s="11">
        <f>G560*B560</f>
      </c>
      <c r="J560" s="30">
        <f>PM_Angle!$J$7+PM_Angle!$K$7*$C560+PM_Angle!$L$7*$B560</f>
      </c>
      <c r="K560" s="12">
        <f>IF(J560&gt;0,IF(J560&lt;=eco,alpha*fck*(1-(1-J560/eco)^n),alpha*fck),0)</f>
      </c>
      <c r="L560" s="30">
        <f>PM_Angle!$J$8+PM_Angle!$K$8*$C560+PM_Angle!$L$8*$B560</f>
      </c>
      <c r="M560" s="12">
        <f>IF(L560&gt;0,IF(L560&lt;=eco,alpha*fck*(1-(1-L560/eco)^n),alpha*fck),0)</f>
      </c>
      <c r="N560" s="30">
        <f>PM_Angle!$J$9+PM_Angle!$K$9*$C560+PM_Angle!$L$9*$B560</f>
      </c>
      <c r="O560" s="12">
        <f>IF(N560&gt;0,IF(N560&lt;=eco,alpha*fck*(1-(1-N560/eco)^n),alpha*fck),0)</f>
      </c>
      <c r="P560" s="30">
        <f>PM_Angle!$J$10+PM_Angle!$K$10*$C560+PM_Angle!$L$10*$B560</f>
      </c>
      <c r="Q560" s="12">
        <f>IF(P560&gt;0,IF(P560&lt;=eco,alpha*fck*(1-(1-P560/eco)^n),alpha*fck),0)</f>
      </c>
      <c r="R560" s="30">
        <f>PM_Angle!$J$11+PM_Angle!$K$11*$C560+PM_Angle!$L$11*$B560</f>
      </c>
      <c r="S560" s="12">
        <f>IF(R560&gt;0,IF(R560&lt;=eco,alpha*fck*(1-(1-R560/eco)^n),alpha*fck),0)</f>
      </c>
      <c r="T560" s="30">
        <f>PM_Angle!$J$12+PM_Angle!$K$12*$C560+PM_Angle!$L$12*$B560</f>
      </c>
      <c r="U560" s="12">
        <f>IF(T560&gt;0,IF(T560&lt;=eco,alpha*fck*(1-(1-T560/eco)^n),alpha*fck),0)</f>
      </c>
      <c r="V560" s="30">
        <f>PM_Angle!$J$13+PM_Angle!$K$13*$C560+PM_Angle!$L$13*$B560</f>
      </c>
      <c r="W560" s="12">
        <f>IF(V560&gt;0,IF(V560&lt;=eco,alpha*fck*(1-(1-V560/eco)^n),alpha*fck),0)</f>
      </c>
      <c r="X560" s="30">
        <f>PM_Angle!$J$14+PM_Angle!$K$14*$C560+PM_Angle!$L$14*$B560</f>
      </c>
      <c r="Y560" s="12">
        <f>IF(X560&gt;0,IF(X560&lt;=eco,alpha*fck*(1-(1-X560/eco)^n),alpha*fck),0)</f>
      </c>
      <c r="Z560" s="30">
        <f>PM_Angle!$J$15+PM_Angle!$K$15*$C560+PM_Angle!$L$15*$B560</f>
      </c>
      <c r="AA560" s="12">
        <f>IF(Z560&gt;0,IF(Z560&lt;=eco,alpha*fck*(1-(1-Z560/eco)^n),alpha*fck),0)</f>
      </c>
      <c r="AB560" s="30">
        <f>PM_Angle!$J$16+PM_Angle!$K$16*$C560+PM_Angle!$L$16*$B560</f>
      </c>
      <c r="AC560" s="12">
        <f>IF(AB560&gt;0,IF(AB560&lt;=eco,alpha*fck*(1-(1-AB560/eco)^n),alpha*fck),0)</f>
      </c>
      <c r="AD560" s="30">
        <f>PM_Angle!$J$17+PM_Angle!$K$17*$C560+PM_Angle!$L$17*$B560</f>
      </c>
      <c r="AE560" s="12">
        <f>IF(AD560&gt;0,IF(AD560&lt;=eco,alpha*fck*(1-(1-AD560/eco)^n),alpha*fck),0)</f>
      </c>
      <c r="AF560" s="30">
        <f>PM_Angle!$J$18+PM_Angle!$K$18*$C560+PM_Angle!$L$18*$B560</f>
      </c>
      <c r="AG560" s="12">
        <f>IF(AF560&gt;0,IF(AF560&lt;=eco,alpha*fck*(1-(1-AF560/eco)^n),alpha*fck),0)</f>
      </c>
      <c r="AH560" s="30">
        <f>PM_Angle!$J$19+PM_Angle!$K$19*$C560+PM_Angle!$L$19*$B560</f>
      </c>
      <c r="AI560" s="12">
        <f>IF(AH560&gt;0,IF(AH560&lt;=eco,alpha*fck*(1-(1-AH560/eco)^n),alpha*fck),0)</f>
      </c>
      <c r="AJ560" s="30">
        <f>PM_Angle!$J$20+PM_Angle!$K$20*$C560+PM_Angle!$L$20*$B560</f>
      </c>
      <c r="AK560" s="12">
        <f>IF(AJ560&gt;0,IF(AJ560&lt;=eco,alpha*fck*(1-(1-AJ560/eco)^n),alpha*fck),0)</f>
      </c>
      <c r="AL560" s="30">
        <f>PM_Angle!$J$21+PM_Angle!$K$21*$C560+PM_Angle!$L$21*$B560</f>
      </c>
      <c r="AM560" s="12">
        <f>IF(AL560&gt;0,IF(AL560&lt;=eco,alpha*fck*(1-(1-AL560/eco)^n),alpha*fck),0)</f>
      </c>
      <c r="AN560" s="30">
        <f>PM_Angle!$J$22+PM_Angle!$K$22*$C560+PM_Angle!$L$22*$B560</f>
      </c>
      <c r="AO560" s="12">
        <f>IF(AN560&gt;0,IF(AN560&lt;=eco,alpha*fck*(1-(1-AN560/eco)^n),alpha*fck),0)</f>
      </c>
      <c r="AP560" s="30">
        <f>PM_Angle!$J$23+PM_Angle!$K$23*$C560+PM_Angle!$L$23*$B560</f>
      </c>
      <c r="AQ560" s="12">
        <f>IF(AP560&gt;0,IF(AP560&lt;=eco,alpha*fck*(1-(1-AP560/eco)^n),alpha*fck),0)</f>
      </c>
      <c r="AR560" s="30">
        <f>PM_Angle!$J$24+PM_Angle!$K$24*$C560+PM_Angle!$L$24*$B560</f>
      </c>
      <c r="AS560" s="12">
        <f>IF(AR560&gt;0,IF(AR560&lt;=eco,alpha*fck*(1-(1-AR560/eco)^n),alpha*fck),0)</f>
      </c>
      <c r="AT560" s="30">
        <f>PM_Angle!$J$25+PM_Angle!$K$25*$C560+PM_Angle!$L$25*$B560</f>
      </c>
      <c r="AU560" s="12">
        <f>IF(AT560&gt;0,IF(AT560&lt;=eco,alpha*fck*(1-(1-AT560/eco)^n),alpha*fck),0)</f>
      </c>
    </row>
    <row r="561" spans="1:47" x14ac:dyDescent="0.25">
      <c r="A561">
        <f>Mesh!A558</f>
      </c>
      <c r="B561" s="12">
        <f>Mesh!B558</f>
      </c>
      <c r="C561" s="12">
        <f>Mesh!C558</f>
      </c>
      <c r="D561" s="12">
        <f>Mesh!D558</f>
      </c>
      <c r="E561" s="30">
        <f>INDEX(St_e0,Det+1)+INDEX(St_kx,Det+1)*C561+INDEX(St_ky,Det+1)*B561</f>
      </c>
      <c r="F561" s="12">
        <f>IF(E561&gt;0,IF(E561&lt;=eco,alpha*fck*(1-(1-E561/eco)^n),alpha*fck),0)</f>
      </c>
      <c r="G561" s="11">
        <f>F561*D561</f>
      </c>
      <c r="H561" s="11">
        <f>G561*C561</f>
      </c>
      <c r="I561" s="11">
        <f>G561*B561</f>
      </c>
      <c r="J561" s="30">
        <f>PM_Angle!$J$7+PM_Angle!$K$7*$C561+PM_Angle!$L$7*$B561</f>
      </c>
      <c r="K561" s="12">
        <f>IF(J561&gt;0,IF(J561&lt;=eco,alpha*fck*(1-(1-J561/eco)^n),alpha*fck),0)</f>
      </c>
      <c r="L561" s="30">
        <f>PM_Angle!$J$8+PM_Angle!$K$8*$C561+PM_Angle!$L$8*$B561</f>
      </c>
      <c r="M561" s="12">
        <f>IF(L561&gt;0,IF(L561&lt;=eco,alpha*fck*(1-(1-L561/eco)^n),alpha*fck),0)</f>
      </c>
      <c r="N561" s="30">
        <f>PM_Angle!$J$9+PM_Angle!$K$9*$C561+PM_Angle!$L$9*$B561</f>
      </c>
      <c r="O561" s="12">
        <f>IF(N561&gt;0,IF(N561&lt;=eco,alpha*fck*(1-(1-N561/eco)^n),alpha*fck),0)</f>
      </c>
      <c r="P561" s="30">
        <f>PM_Angle!$J$10+PM_Angle!$K$10*$C561+PM_Angle!$L$10*$B561</f>
      </c>
      <c r="Q561" s="12">
        <f>IF(P561&gt;0,IF(P561&lt;=eco,alpha*fck*(1-(1-P561/eco)^n),alpha*fck),0)</f>
      </c>
      <c r="R561" s="30">
        <f>PM_Angle!$J$11+PM_Angle!$K$11*$C561+PM_Angle!$L$11*$B561</f>
      </c>
      <c r="S561" s="12">
        <f>IF(R561&gt;0,IF(R561&lt;=eco,alpha*fck*(1-(1-R561/eco)^n),alpha*fck),0)</f>
      </c>
      <c r="T561" s="30">
        <f>PM_Angle!$J$12+PM_Angle!$K$12*$C561+PM_Angle!$L$12*$B561</f>
      </c>
      <c r="U561" s="12">
        <f>IF(T561&gt;0,IF(T561&lt;=eco,alpha*fck*(1-(1-T561/eco)^n),alpha*fck),0)</f>
      </c>
      <c r="V561" s="30">
        <f>PM_Angle!$J$13+PM_Angle!$K$13*$C561+PM_Angle!$L$13*$B561</f>
      </c>
      <c r="W561" s="12">
        <f>IF(V561&gt;0,IF(V561&lt;=eco,alpha*fck*(1-(1-V561/eco)^n),alpha*fck),0)</f>
      </c>
      <c r="X561" s="30">
        <f>PM_Angle!$J$14+PM_Angle!$K$14*$C561+PM_Angle!$L$14*$B561</f>
      </c>
      <c r="Y561" s="12">
        <f>IF(X561&gt;0,IF(X561&lt;=eco,alpha*fck*(1-(1-X561/eco)^n),alpha*fck),0)</f>
      </c>
      <c r="Z561" s="30">
        <f>PM_Angle!$J$15+PM_Angle!$K$15*$C561+PM_Angle!$L$15*$B561</f>
      </c>
      <c r="AA561" s="12">
        <f>IF(Z561&gt;0,IF(Z561&lt;=eco,alpha*fck*(1-(1-Z561/eco)^n),alpha*fck),0)</f>
      </c>
      <c r="AB561" s="30">
        <f>PM_Angle!$J$16+PM_Angle!$K$16*$C561+PM_Angle!$L$16*$B561</f>
      </c>
      <c r="AC561" s="12">
        <f>IF(AB561&gt;0,IF(AB561&lt;=eco,alpha*fck*(1-(1-AB561/eco)^n),alpha*fck),0)</f>
      </c>
      <c r="AD561" s="30">
        <f>PM_Angle!$J$17+PM_Angle!$K$17*$C561+PM_Angle!$L$17*$B561</f>
      </c>
      <c r="AE561" s="12">
        <f>IF(AD561&gt;0,IF(AD561&lt;=eco,alpha*fck*(1-(1-AD561/eco)^n),alpha*fck),0)</f>
      </c>
      <c r="AF561" s="30">
        <f>PM_Angle!$J$18+PM_Angle!$K$18*$C561+PM_Angle!$L$18*$B561</f>
      </c>
      <c r="AG561" s="12">
        <f>IF(AF561&gt;0,IF(AF561&lt;=eco,alpha*fck*(1-(1-AF561/eco)^n),alpha*fck),0)</f>
      </c>
      <c r="AH561" s="30">
        <f>PM_Angle!$J$19+PM_Angle!$K$19*$C561+PM_Angle!$L$19*$B561</f>
      </c>
      <c r="AI561" s="12">
        <f>IF(AH561&gt;0,IF(AH561&lt;=eco,alpha*fck*(1-(1-AH561/eco)^n),alpha*fck),0)</f>
      </c>
      <c r="AJ561" s="30">
        <f>PM_Angle!$J$20+PM_Angle!$K$20*$C561+PM_Angle!$L$20*$B561</f>
      </c>
      <c r="AK561" s="12">
        <f>IF(AJ561&gt;0,IF(AJ561&lt;=eco,alpha*fck*(1-(1-AJ561/eco)^n),alpha*fck),0)</f>
      </c>
      <c r="AL561" s="30">
        <f>PM_Angle!$J$21+PM_Angle!$K$21*$C561+PM_Angle!$L$21*$B561</f>
      </c>
      <c r="AM561" s="12">
        <f>IF(AL561&gt;0,IF(AL561&lt;=eco,alpha*fck*(1-(1-AL561/eco)^n),alpha*fck),0)</f>
      </c>
      <c r="AN561" s="30">
        <f>PM_Angle!$J$22+PM_Angle!$K$22*$C561+PM_Angle!$L$22*$B561</f>
      </c>
      <c r="AO561" s="12">
        <f>IF(AN561&gt;0,IF(AN561&lt;=eco,alpha*fck*(1-(1-AN561/eco)^n),alpha*fck),0)</f>
      </c>
      <c r="AP561" s="30">
        <f>PM_Angle!$J$23+PM_Angle!$K$23*$C561+PM_Angle!$L$23*$B561</f>
      </c>
      <c r="AQ561" s="12">
        <f>IF(AP561&gt;0,IF(AP561&lt;=eco,alpha*fck*(1-(1-AP561/eco)^n),alpha*fck),0)</f>
      </c>
      <c r="AR561" s="30">
        <f>PM_Angle!$J$24+PM_Angle!$K$24*$C561+PM_Angle!$L$24*$B561</f>
      </c>
      <c r="AS561" s="12">
        <f>IF(AR561&gt;0,IF(AR561&lt;=eco,alpha*fck*(1-(1-AR561/eco)^n),alpha*fck),0)</f>
      </c>
      <c r="AT561" s="30">
        <f>PM_Angle!$J$25+PM_Angle!$K$25*$C561+PM_Angle!$L$25*$B561</f>
      </c>
      <c r="AU561" s="12">
        <f>IF(AT561&gt;0,IF(AT561&lt;=eco,alpha*fck*(1-(1-AT561/eco)^n),alpha*fck),0)</f>
      </c>
    </row>
    <row r="562" spans="1:47" x14ac:dyDescent="0.25">
      <c r="A562">
        <f>Mesh!A559</f>
      </c>
      <c r="B562" s="12">
        <f>Mesh!B559</f>
      </c>
      <c r="C562" s="12">
        <f>Mesh!C559</f>
      </c>
      <c r="D562" s="12">
        <f>Mesh!D559</f>
      </c>
      <c r="E562" s="30">
        <f>INDEX(St_e0,Det+1)+INDEX(St_kx,Det+1)*C562+INDEX(St_ky,Det+1)*B562</f>
      </c>
      <c r="F562" s="12">
        <f>IF(E562&gt;0,IF(E562&lt;=eco,alpha*fck*(1-(1-E562/eco)^n),alpha*fck),0)</f>
      </c>
      <c r="G562" s="11">
        <f>F562*D562</f>
      </c>
      <c r="H562" s="11">
        <f>G562*C562</f>
      </c>
      <c r="I562" s="11">
        <f>G562*B562</f>
      </c>
      <c r="J562" s="30">
        <f>PM_Angle!$J$7+PM_Angle!$K$7*$C562+PM_Angle!$L$7*$B562</f>
      </c>
      <c r="K562" s="12">
        <f>IF(J562&gt;0,IF(J562&lt;=eco,alpha*fck*(1-(1-J562/eco)^n),alpha*fck),0)</f>
      </c>
      <c r="L562" s="30">
        <f>PM_Angle!$J$8+PM_Angle!$K$8*$C562+PM_Angle!$L$8*$B562</f>
      </c>
      <c r="M562" s="12">
        <f>IF(L562&gt;0,IF(L562&lt;=eco,alpha*fck*(1-(1-L562/eco)^n),alpha*fck),0)</f>
      </c>
      <c r="N562" s="30">
        <f>PM_Angle!$J$9+PM_Angle!$K$9*$C562+PM_Angle!$L$9*$B562</f>
      </c>
      <c r="O562" s="12">
        <f>IF(N562&gt;0,IF(N562&lt;=eco,alpha*fck*(1-(1-N562/eco)^n),alpha*fck),0)</f>
      </c>
      <c r="P562" s="30">
        <f>PM_Angle!$J$10+PM_Angle!$K$10*$C562+PM_Angle!$L$10*$B562</f>
      </c>
      <c r="Q562" s="12">
        <f>IF(P562&gt;0,IF(P562&lt;=eco,alpha*fck*(1-(1-P562/eco)^n),alpha*fck),0)</f>
      </c>
      <c r="R562" s="30">
        <f>PM_Angle!$J$11+PM_Angle!$K$11*$C562+PM_Angle!$L$11*$B562</f>
      </c>
      <c r="S562" s="12">
        <f>IF(R562&gt;0,IF(R562&lt;=eco,alpha*fck*(1-(1-R562/eco)^n),alpha*fck),0)</f>
      </c>
      <c r="T562" s="30">
        <f>PM_Angle!$J$12+PM_Angle!$K$12*$C562+PM_Angle!$L$12*$B562</f>
      </c>
      <c r="U562" s="12">
        <f>IF(T562&gt;0,IF(T562&lt;=eco,alpha*fck*(1-(1-T562/eco)^n),alpha*fck),0)</f>
      </c>
      <c r="V562" s="30">
        <f>PM_Angle!$J$13+PM_Angle!$K$13*$C562+PM_Angle!$L$13*$B562</f>
      </c>
      <c r="W562" s="12">
        <f>IF(V562&gt;0,IF(V562&lt;=eco,alpha*fck*(1-(1-V562/eco)^n),alpha*fck),0)</f>
      </c>
      <c r="X562" s="30">
        <f>PM_Angle!$J$14+PM_Angle!$K$14*$C562+PM_Angle!$L$14*$B562</f>
      </c>
      <c r="Y562" s="12">
        <f>IF(X562&gt;0,IF(X562&lt;=eco,alpha*fck*(1-(1-X562/eco)^n),alpha*fck),0)</f>
      </c>
      <c r="Z562" s="30">
        <f>PM_Angle!$J$15+PM_Angle!$K$15*$C562+PM_Angle!$L$15*$B562</f>
      </c>
      <c r="AA562" s="12">
        <f>IF(Z562&gt;0,IF(Z562&lt;=eco,alpha*fck*(1-(1-Z562/eco)^n),alpha*fck),0)</f>
      </c>
      <c r="AB562" s="30">
        <f>PM_Angle!$J$16+PM_Angle!$K$16*$C562+PM_Angle!$L$16*$B562</f>
      </c>
      <c r="AC562" s="12">
        <f>IF(AB562&gt;0,IF(AB562&lt;=eco,alpha*fck*(1-(1-AB562/eco)^n),alpha*fck),0)</f>
      </c>
      <c r="AD562" s="30">
        <f>PM_Angle!$J$17+PM_Angle!$K$17*$C562+PM_Angle!$L$17*$B562</f>
      </c>
      <c r="AE562" s="12">
        <f>IF(AD562&gt;0,IF(AD562&lt;=eco,alpha*fck*(1-(1-AD562/eco)^n),alpha*fck),0)</f>
      </c>
      <c r="AF562" s="30">
        <f>PM_Angle!$J$18+PM_Angle!$K$18*$C562+PM_Angle!$L$18*$B562</f>
      </c>
      <c r="AG562" s="12">
        <f>IF(AF562&gt;0,IF(AF562&lt;=eco,alpha*fck*(1-(1-AF562/eco)^n),alpha*fck),0)</f>
      </c>
      <c r="AH562" s="30">
        <f>PM_Angle!$J$19+PM_Angle!$K$19*$C562+PM_Angle!$L$19*$B562</f>
      </c>
      <c r="AI562" s="12">
        <f>IF(AH562&gt;0,IF(AH562&lt;=eco,alpha*fck*(1-(1-AH562/eco)^n),alpha*fck),0)</f>
      </c>
      <c r="AJ562" s="30">
        <f>PM_Angle!$J$20+PM_Angle!$K$20*$C562+PM_Angle!$L$20*$B562</f>
      </c>
      <c r="AK562" s="12">
        <f>IF(AJ562&gt;0,IF(AJ562&lt;=eco,alpha*fck*(1-(1-AJ562/eco)^n),alpha*fck),0)</f>
      </c>
      <c r="AL562" s="30">
        <f>PM_Angle!$J$21+PM_Angle!$K$21*$C562+PM_Angle!$L$21*$B562</f>
      </c>
      <c r="AM562" s="12">
        <f>IF(AL562&gt;0,IF(AL562&lt;=eco,alpha*fck*(1-(1-AL562/eco)^n),alpha*fck),0)</f>
      </c>
      <c r="AN562" s="30">
        <f>PM_Angle!$J$22+PM_Angle!$K$22*$C562+PM_Angle!$L$22*$B562</f>
      </c>
      <c r="AO562" s="12">
        <f>IF(AN562&gt;0,IF(AN562&lt;=eco,alpha*fck*(1-(1-AN562/eco)^n),alpha*fck),0)</f>
      </c>
      <c r="AP562" s="30">
        <f>PM_Angle!$J$23+PM_Angle!$K$23*$C562+PM_Angle!$L$23*$B562</f>
      </c>
      <c r="AQ562" s="12">
        <f>IF(AP562&gt;0,IF(AP562&lt;=eco,alpha*fck*(1-(1-AP562/eco)^n),alpha*fck),0)</f>
      </c>
      <c r="AR562" s="30">
        <f>PM_Angle!$J$24+PM_Angle!$K$24*$C562+PM_Angle!$L$24*$B562</f>
      </c>
      <c r="AS562" s="12">
        <f>IF(AR562&gt;0,IF(AR562&lt;=eco,alpha*fck*(1-(1-AR562/eco)^n),alpha*fck),0)</f>
      </c>
      <c r="AT562" s="30">
        <f>PM_Angle!$J$25+PM_Angle!$K$25*$C562+PM_Angle!$L$25*$B562</f>
      </c>
      <c r="AU562" s="12">
        <f>IF(AT562&gt;0,IF(AT562&lt;=eco,alpha*fck*(1-(1-AT562/eco)^n),alpha*fck),0)</f>
      </c>
    </row>
    <row r="563" spans="1:47" x14ac:dyDescent="0.25">
      <c r="A563">
        <f>Mesh!A560</f>
      </c>
      <c r="B563" s="12">
        <f>Mesh!B560</f>
      </c>
      <c r="C563" s="12">
        <f>Mesh!C560</f>
      </c>
      <c r="D563" s="12">
        <f>Mesh!D560</f>
      </c>
      <c r="E563" s="30">
        <f>INDEX(St_e0,Det+1)+INDEX(St_kx,Det+1)*C563+INDEX(St_ky,Det+1)*B563</f>
      </c>
      <c r="F563" s="12">
        <f>IF(E563&gt;0,IF(E563&lt;=eco,alpha*fck*(1-(1-E563/eco)^n),alpha*fck),0)</f>
      </c>
      <c r="G563" s="11">
        <f>F563*D563</f>
      </c>
      <c r="H563" s="11">
        <f>G563*C563</f>
      </c>
      <c r="I563" s="11">
        <f>G563*B563</f>
      </c>
      <c r="J563" s="30">
        <f>PM_Angle!$J$7+PM_Angle!$K$7*$C563+PM_Angle!$L$7*$B563</f>
      </c>
      <c r="K563" s="12">
        <f>IF(J563&gt;0,IF(J563&lt;=eco,alpha*fck*(1-(1-J563/eco)^n),alpha*fck),0)</f>
      </c>
      <c r="L563" s="30">
        <f>PM_Angle!$J$8+PM_Angle!$K$8*$C563+PM_Angle!$L$8*$B563</f>
      </c>
      <c r="M563" s="12">
        <f>IF(L563&gt;0,IF(L563&lt;=eco,alpha*fck*(1-(1-L563/eco)^n),alpha*fck),0)</f>
      </c>
      <c r="N563" s="30">
        <f>PM_Angle!$J$9+PM_Angle!$K$9*$C563+PM_Angle!$L$9*$B563</f>
      </c>
      <c r="O563" s="12">
        <f>IF(N563&gt;0,IF(N563&lt;=eco,alpha*fck*(1-(1-N563/eco)^n),alpha*fck),0)</f>
      </c>
      <c r="P563" s="30">
        <f>PM_Angle!$J$10+PM_Angle!$K$10*$C563+PM_Angle!$L$10*$B563</f>
      </c>
      <c r="Q563" s="12">
        <f>IF(P563&gt;0,IF(P563&lt;=eco,alpha*fck*(1-(1-P563/eco)^n),alpha*fck),0)</f>
      </c>
      <c r="R563" s="30">
        <f>PM_Angle!$J$11+PM_Angle!$K$11*$C563+PM_Angle!$L$11*$B563</f>
      </c>
      <c r="S563" s="12">
        <f>IF(R563&gt;0,IF(R563&lt;=eco,alpha*fck*(1-(1-R563/eco)^n),alpha*fck),0)</f>
      </c>
      <c r="T563" s="30">
        <f>PM_Angle!$J$12+PM_Angle!$K$12*$C563+PM_Angle!$L$12*$B563</f>
      </c>
      <c r="U563" s="12">
        <f>IF(T563&gt;0,IF(T563&lt;=eco,alpha*fck*(1-(1-T563/eco)^n),alpha*fck),0)</f>
      </c>
      <c r="V563" s="30">
        <f>PM_Angle!$J$13+PM_Angle!$K$13*$C563+PM_Angle!$L$13*$B563</f>
      </c>
      <c r="W563" s="12">
        <f>IF(V563&gt;0,IF(V563&lt;=eco,alpha*fck*(1-(1-V563/eco)^n),alpha*fck),0)</f>
      </c>
      <c r="X563" s="30">
        <f>PM_Angle!$J$14+PM_Angle!$K$14*$C563+PM_Angle!$L$14*$B563</f>
      </c>
      <c r="Y563" s="12">
        <f>IF(X563&gt;0,IF(X563&lt;=eco,alpha*fck*(1-(1-X563/eco)^n),alpha*fck),0)</f>
      </c>
      <c r="Z563" s="30">
        <f>PM_Angle!$J$15+PM_Angle!$K$15*$C563+PM_Angle!$L$15*$B563</f>
      </c>
      <c r="AA563" s="12">
        <f>IF(Z563&gt;0,IF(Z563&lt;=eco,alpha*fck*(1-(1-Z563/eco)^n),alpha*fck),0)</f>
      </c>
      <c r="AB563" s="30">
        <f>PM_Angle!$J$16+PM_Angle!$K$16*$C563+PM_Angle!$L$16*$B563</f>
      </c>
      <c r="AC563" s="12">
        <f>IF(AB563&gt;0,IF(AB563&lt;=eco,alpha*fck*(1-(1-AB563/eco)^n),alpha*fck),0)</f>
      </c>
      <c r="AD563" s="30">
        <f>PM_Angle!$J$17+PM_Angle!$K$17*$C563+PM_Angle!$L$17*$B563</f>
      </c>
      <c r="AE563" s="12">
        <f>IF(AD563&gt;0,IF(AD563&lt;=eco,alpha*fck*(1-(1-AD563/eco)^n),alpha*fck),0)</f>
      </c>
      <c r="AF563" s="30">
        <f>PM_Angle!$J$18+PM_Angle!$K$18*$C563+PM_Angle!$L$18*$B563</f>
      </c>
      <c r="AG563" s="12">
        <f>IF(AF563&gt;0,IF(AF563&lt;=eco,alpha*fck*(1-(1-AF563/eco)^n),alpha*fck),0)</f>
      </c>
      <c r="AH563" s="30">
        <f>PM_Angle!$J$19+PM_Angle!$K$19*$C563+PM_Angle!$L$19*$B563</f>
      </c>
      <c r="AI563" s="12">
        <f>IF(AH563&gt;0,IF(AH563&lt;=eco,alpha*fck*(1-(1-AH563/eco)^n),alpha*fck),0)</f>
      </c>
      <c r="AJ563" s="30">
        <f>PM_Angle!$J$20+PM_Angle!$K$20*$C563+PM_Angle!$L$20*$B563</f>
      </c>
      <c r="AK563" s="12">
        <f>IF(AJ563&gt;0,IF(AJ563&lt;=eco,alpha*fck*(1-(1-AJ563/eco)^n),alpha*fck),0)</f>
      </c>
      <c r="AL563" s="30">
        <f>PM_Angle!$J$21+PM_Angle!$K$21*$C563+PM_Angle!$L$21*$B563</f>
      </c>
      <c r="AM563" s="12">
        <f>IF(AL563&gt;0,IF(AL563&lt;=eco,alpha*fck*(1-(1-AL563/eco)^n),alpha*fck),0)</f>
      </c>
      <c r="AN563" s="30">
        <f>PM_Angle!$J$22+PM_Angle!$K$22*$C563+PM_Angle!$L$22*$B563</f>
      </c>
      <c r="AO563" s="12">
        <f>IF(AN563&gt;0,IF(AN563&lt;=eco,alpha*fck*(1-(1-AN563/eco)^n),alpha*fck),0)</f>
      </c>
      <c r="AP563" s="30">
        <f>PM_Angle!$J$23+PM_Angle!$K$23*$C563+PM_Angle!$L$23*$B563</f>
      </c>
      <c r="AQ563" s="12">
        <f>IF(AP563&gt;0,IF(AP563&lt;=eco,alpha*fck*(1-(1-AP563/eco)^n),alpha*fck),0)</f>
      </c>
      <c r="AR563" s="30">
        <f>PM_Angle!$J$24+PM_Angle!$K$24*$C563+PM_Angle!$L$24*$B563</f>
      </c>
      <c r="AS563" s="12">
        <f>IF(AR563&gt;0,IF(AR563&lt;=eco,alpha*fck*(1-(1-AR563/eco)^n),alpha*fck),0)</f>
      </c>
      <c r="AT563" s="30">
        <f>PM_Angle!$J$25+PM_Angle!$K$25*$C563+PM_Angle!$L$25*$B563</f>
      </c>
      <c r="AU563" s="12">
        <f>IF(AT563&gt;0,IF(AT563&lt;=eco,alpha*fck*(1-(1-AT563/eco)^n),alpha*fck),0)</f>
      </c>
    </row>
    <row r="564" spans="1:47" x14ac:dyDescent="0.25">
      <c r="A564">
        <f>Mesh!A561</f>
      </c>
      <c r="B564" s="12">
        <f>Mesh!B561</f>
      </c>
      <c r="C564" s="12">
        <f>Mesh!C561</f>
      </c>
      <c r="D564" s="12">
        <f>Mesh!D561</f>
      </c>
      <c r="E564" s="30">
        <f>INDEX(St_e0,Det+1)+INDEX(St_kx,Det+1)*C564+INDEX(St_ky,Det+1)*B564</f>
      </c>
      <c r="F564" s="12">
        <f>IF(E564&gt;0,IF(E564&lt;=eco,alpha*fck*(1-(1-E564/eco)^n),alpha*fck),0)</f>
      </c>
      <c r="G564" s="11">
        <f>F564*D564</f>
      </c>
      <c r="H564" s="11">
        <f>G564*C564</f>
      </c>
      <c r="I564" s="11">
        <f>G564*B564</f>
      </c>
      <c r="J564" s="30">
        <f>PM_Angle!$J$7+PM_Angle!$K$7*$C564+PM_Angle!$L$7*$B564</f>
      </c>
      <c r="K564" s="12">
        <f>IF(J564&gt;0,IF(J564&lt;=eco,alpha*fck*(1-(1-J564/eco)^n),alpha*fck),0)</f>
      </c>
      <c r="L564" s="30">
        <f>PM_Angle!$J$8+PM_Angle!$K$8*$C564+PM_Angle!$L$8*$B564</f>
      </c>
      <c r="M564" s="12">
        <f>IF(L564&gt;0,IF(L564&lt;=eco,alpha*fck*(1-(1-L564/eco)^n),alpha*fck),0)</f>
      </c>
      <c r="N564" s="30">
        <f>PM_Angle!$J$9+PM_Angle!$K$9*$C564+PM_Angle!$L$9*$B564</f>
      </c>
      <c r="O564" s="12">
        <f>IF(N564&gt;0,IF(N564&lt;=eco,alpha*fck*(1-(1-N564/eco)^n),alpha*fck),0)</f>
      </c>
      <c r="P564" s="30">
        <f>PM_Angle!$J$10+PM_Angle!$K$10*$C564+PM_Angle!$L$10*$B564</f>
      </c>
      <c r="Q564" s="12">
        <f>IF(P564&gt;0,IF(P564&lt;=eco,alpha*fck*(1-(1-P564/eco)^n),alpha*fck),0)</f>
      </c>
      <c r="R564" s="30">
        <f>PM_Angle!$J$11+PM_Angle!$K$11*$C564+PM_Angle!$L$11*$B564</f>
      </c>
      <c r="S564" s="12">
        <f>IF(R564&gt;0,IF(R564&lt;=eco,alpha*fck*(1-(1-R564/eco)^n),alpha*fck),0)</f>
      </c>
      <c r="T564" s="30">
        <f>PM_Angle!$J$12+PM_Angle!$K$12*$C564+PM_Angle!$L$12*$B564</f>
      </c>
      <c r="U564" s="12">
        <f>IF(T564&gt;0,IF(T564&lt;=eco,alpha*fck*(1-(1-T564/eco)^n),alpha*fck),0)</f>
      </c>
      <c r="V564" s="30">
        <f>PM_Angle!$J$13+PM_Angle!$K$13*$C564+PM_Angle!$L$13*$B564</f>
      </c>
      <c r="W564" s="12">
        <f>IF(V564&gt;0,IF(V564&lt;=eco,alpha*fck*(1-(1-V564/eco)^n),alpha*fck),0)</f>
      </c>
      <c r="X564" s="30">
        <f>PM_Angle!$J$14+PM_Angle!$K$14*$C564+PM_Angle!$L$14*$B564</f>
      </c>
      <c r="Y564" s="12">
        <f>IF(X564&gt;0,IF(X564&lt;=eco,alpha*fck*(1-(1-X564/eco)^n),alpha*fck),0)</f>
      </c>
      <c r="Z564" s="30">
        <f>PM_Angle!$J$15+PM_Angle!$K$15*$C564+PM_Angle!$L$15*$B564</f>
      </c>
      <c r="AA564" s="12">
        <f>IF(Z564&gt;0,IF(Z564&lt;=eco,alpha*fck*(1-(1-Z564/eco)^n),alpha*fck),0)</f>
      </c>
      <c r="AB564" s="30">
        <f>PM_Angle!$J$16+PM_Angle!$K$16*$C564+PM_Angle!$L$16*$B564</f>
      </c>
      <c r="AC564" s="12">
        <f>IF(AB564&gt;0,IF(AB564&lt;=eco,alpha*fck*(1-(1-AB564/eco)^n),alpha*fck),0)</f>
      </c>
      <c r="AD564" s="30">
        <f>PM_Angle!$J$17+PM_Angle!$K$17*$C564+PM_Angle!$L$17*$B564</f>
      </c>
      <c r="AE564" s="12">
        <f>IF(AD564&gt;0,IF(AD564&lt;=eco,alpha*fck*(1-(1-AD564/eco)^n),alpha*fck),0)</f>
      </c>
      <c r="AF564" s="30">
        <f>PM_Angle!$J$18+PM_Angle!$K$18*$C564+PM_Angle!$L$18*$B564</f>
      </c>
      <c r="AG564" s="12">
        <f>IF(AF564&gt;0,IF(AF564&lt;=eco,alpha*fck*(1-(1-AF564/eco)^n),alpha*fck),0)</f>
      </c>
      <c r="AH564" s="30">
        <f>PM_Angle!$J$19+PM_Angle!$K$19*$C564+PM_Angle!$L$19*$B564</f>
      </c>
      <c r="AI564" s="12">
        <f>IF(AH564&gt;0,IF(AH564&lt;=eco,alpha*fck*(1-(1-AH564/eco)^n),alpha*fck),0)</f>
      </c>
      <c r="AJ564" s="30">
        <f>PM_Angle!$J$20+PM_Angle!$K$20*$C564+PM_Angle!$L$20*$B564</f>
      </c>
      <c r="AK564" s="12">
        <f>IF(AJ564&gt;0,IF(AJ564&lt;=eco,alpha*fck*(1-(1-AJ564/eco)^n),alpha*fck),0)</f>
      </c>
      <c r="AL564" s="30">
        <f>PM_Angle!$J$21+PM_Angle!$K$21*$C564+PM_Angle!$L$21*$B564</f>
      </c>
      <c r="AM564" s="12">
        <f>IF(AL564&gt;0,IF(AL564&lt;=eco,alpha*fck*(1-(1-AL564/eco)^n),alpha*fck),0)</f>
      </c>
      <c r="AN564" s="30">
        <f>PM_Angle!$J$22+PM_Angle!$K$22*$C564+PM_Angle!$L$22*$B564</f>
      </c>
      <c r="AO564" s="12">
        <f>IF(AN564&gt;0,IF(AN564&lt;=eco,alpha*fck*(1-(1-AN564/eco)^n),alpha*fck),0)</f>
      </c>
      <c r="AP564" s="30">
        <f>PM_Angle!$J$23+PM_Angle!$K$23*$C564+PM_Angle!$L$23*$B564</f>
      </c>
      <c r="AQ564" s="12">
        <f>IF(AP564&gt;0,IF(AP564&lt;=eco,alpha*fck*(1-(1-AP564/eco)^n),alpha*fck),0)</f>
      </c>
      <c r="AR564" s="30">
        <f>PM_Angle!$J$24+PM_Angle!$K$24*$C564+PM_Angle!$L$24*$B564</f>
      </c>
      <c r="AS564" s="12">
        <f>IF(AR564&gt;0,IF(AR564&lt;=eco,alpha*fck*(1-(1-AR564/eco)^n),alpha*fck),0)</f>
      </c>
      <c r="AT564" s="30">
        <f>PM_Angle!$J$25+PM_Angle!$K$25*$C564+PM_Angle!$L$25*$B564</f>
      </c>
      <c r="AU564" s="12">
        <f>IF(AT564&gt;0,IF(AT564&lt;=eco,alpha*fck*(1-(1-AT564/eco)^n),alpha*fck),0)</f>
      </c>
    </row>
    <row r="565" spans="1:47" x14ac:dyDescent="0.25">
      <c r="A565">
        <f>Mesh!A562</f>
      </c>
      <c r="B565" s="12">
        <f>Mesh!B562</f>
      </c>
      <c r="C565" s="12">
        <f>Mesh!C562</f>
      </c>
      <c r="D565" s="12">
        <f>Mesh!D562</f>
      </c>
      <c r="E565" s="30">
        <f>INDEX(St_e0,Det+1)+INDEX(St_kx,Det+1)*C565+INDEX(St_ky,Det+1)*B565</f>
      </c>
      <c r="F565" s="12">
        <f>IF(E565&gt;0,IF(E565&lt;=eco,alpha*fck*(1-(1-E565/eco)^n),alpha*fck),0)</f>
      </c>
      <c r="G565" s="11">
        <f>F565*D565</f>
      </c>
      <c r="H565" s="11">
        <f>G565*C565</f>
      </c>
      <c r="I565" s="11">
        <f>G565*B565</f>
      </c>
      <c r="J565" s="30">
        <f>PM_Angle!$J$7+PM_Angle!$K$7*$C565+PM_Angle!$L$7*$B565</f>
      </c>
      <c r="K565" s="12">
        <f>IF(J565&gt;0,IF(J565&lt;=eco,alpha*fck*(1-(1-J565/eco)^n),alpha*fck),0)</f>
      </c>
      <c r="L565" s="30">
        <f>PM_Angle!$J$8+PM_Angle!$K$8*$C565+PM_Angle!$L$8*$B565</f>
      </c>
      <c r="M565" s="12">
        <f>IF(L565&gt;0,IF(L565&lt;=eco,alpha*fck*(1-(1-L565/eco)^n),alpha*fck),0)</f>
      </c>
      <c r="N565" s="30">
        <f>PM_Angle!$J$9+PM_Angle!$K$9*$C565+PM_Angle!$L$9*$B565</f>
      </c>
      <c r="O565" s="12">
        <f>IF(N565&gt;0,IF(N565&lt;=eco,alpha*fck*(1-(1-N565/eco)^n),alpha*fck),0)</f>
      </c>
      <c r="P565" s="30">
        <f>PM_Angle!$J$10+PM_Angle!$K$10*$C565+PM_Angle!$L$10*$B565</f>
      </c>
      <c r="Q565" s="12">
        <f>IF(P565&gt;0,IF(P565&lt;=eco,alpha*fck*(1-(1-P565/eco)^n),alpha*fck),0)</f>
      </c>
      <c r="R565" s="30">
        <f>PM_Angle!$J$11+PM_Angle!$K$11*$C565+PM_Angle!$L$11*$B565</f>
      </c>
      <c r="S565" s="12">
        <f>IF(R565&gt;0,IF(R565&lt;=eco,alpha*fck*(1-(1-R565/eco)^n),alpha*fck),0)</f>
      </c>
      <c r="T565" s="30">
        <f>PM_Angle!$J$12+PM_Angle!$K$12*$C565+PM_Angle!$L$12*$B565</f>
      </c>
      <c r="U565" s="12">
        <f>IF(T565&gt;0,IF(T565&lt;=eco,alpha*fck*(1-(1-T565/eco)^n),alpha*fck),0)</f>
      </c>
      <c r="V565" s="30">
        <f>PM_Angle!$J$13+PM_Angle!$K$13*$C565+PM_Angle!$L$13*$B565</f>
      </c>
      <c r="W565" s="12">
        <f>IF(V565&gt;0,IF(V565&lt;=eco,alpha*fck*(1-(1-V565/eco)^n),alpha*fck),0)</f>
      </c>
      <c r="X565" s="30">
        <f>PM_Angle!$J$14+PM_Angle!$K$14*$C565+PM_Angle!$L$14*$B565</f>
      </c>
      <c r="Y565" s="12">
        <f>IF(X565&gt;0,IF(X565&lt;=eco,alpha*fck*(1-(1-X565/eco)^n),alpha*fck),0)</f>
      </c>
      <c r="Z565" s="30">
        <f>PM_Angle!$J$15+PM_Angle!$K$15*$C565+PM_Angle!$L$15*$B565</f>
      </c>
      <c r="AA565" s="12">
        <f>IF(Z565&gt;0,IF(Z565&lt;=eco,alpha*fck*(1-(1-Z565/eco)^n),alpha*fck),0)</f>
      </c>
      <c r="AB565" s="30">
        <f>PM_Angle!$J$16+PM_Angle!$K$16*$C565+PM_Angle!$L$16*$B565</f>
      </c>
      <c r="AC565" s="12">
        <f>IF(AB565&gt;0,IF(AB565&lt;=eco,alpha*fck*(1-(1-AB565/eco)^n),alpha*fck),0)</f>
      </c>
      <c r="AD565" s="30">
        <f>PM_Angle!$J$17+PM_Angle!$K$17*$C565+PM_Angle!$L$17*$B565</f>
      </c>
      <c r="AE565" s="12">
        <f>IF(AD565&gt;0,IF(AD565&lt;=eco,alpha*fck*(1-(1-AD565/eco)^n),alpha*fck),0)</f>
      </c>
      <c r="AF565" s="30">
        <f>PM_Angle!$J$18+PM_Angle!$K$18*$C565+PM_Angle!$L$18*$B565</f>
      </c>
      <c r="AG565" s="12">
        <f>IF(AF565&gt;0,IF(AF565&lt;=eco,alpha*fck*(1-(1-AF565/eco)^n),alpha*fck),0)</f>
      </c>
      <c r="AH565" s="30">
        <f>PM_Angle!$J$19+PM_Angle!$K$19*$C565+PM_Angle!$L$19*$B565</f>
      </c>
      <c r="AI565" s="12">
        <f>IF(AH565&gt;0,IF(AH565&lt;=eco,alpha*fck*(1-(1-AH565/eco)^n),alpha*fck),0)</f>
      </c>
      <c r="AJ565" s="30">
        <f>PM_Angle!$J$20+PM_Angle!$K$20*$C565+PM_Angle!$L$20*$B565</f>
      </c>
      <c r="AK565" s="12">
        <f>IF(AJ565&gt;0,IF(AJ565&lt;=eco,alpha*fck*(1-(1-AJ565/eco)^n),alpha*fck),0)</f>
      </c>
      <c r="AL565" s="30">
        <f>PM_Angle!$J$21+PM_Angle!$K$21*$C565+PM_Angle!$L$21*$B565</f>
      </c>
      <c r="AM565" s="12">
        <f>IF(AL565&gt;0,IF(AL565&lt;=eco,alpha*fck*(1-(1-AL565/eco)^n),alpha*fck),0)</f>
      </c>
      <c r="AN565" s="30">
        <f>PM_Angle!$J$22+PM_Angle!$K$22*$C565+PM_Angle!$L$22*$B565</f>
      </c>
      <c r="AO565" s="12">
        <f>IF(AN565&gt;0,IF(AN565&lt;=eco,alpha*fck*(1-(1-AN565/eco)^n),alpha*fck),0)</f>
      </c>
      <c r="AP565" s="30">
        <f>PM_Angle!$J$23+PM_Angle!$K$23*$C565+PM_Angle!$L$23*$B565</f>
      </c>
      <c r="AQ565" s="12">
        <f>IF(AP565&gt;0,IF(AP565&lt;=eco,alpha*fck*(1-(1-AP565/eco)^n),alpha*fck),0)</f>
      </c>
      <c r="AR565" s="30">
        <f>PM_Angle!$J$24+PM_Angle!$K$24*$C565+PM_Angle!$L$24*$B565</f>
      </c>
      <c r="AS565" s="12">
        <f>IF(AR565&gt;0,IF(AR565&lt;=eco,alpha*fck*(1-(1-AR565/eco)^n),alpha*fck),0)</f>
      </c>
      <c r="AT565" s="30">
        <f>PM_Angle!$J$25+PM_Angle!$K$25*$C565+PM_Angle!$L$25*$B565</f>
      </c>
      <c r="AU565" s="12">
        <f>IF(AT565&gt;0,IF(AT565&lt;=eco,alpha*fck*(1-(1-AT565/eco)^n),alpha*fck),0)</f>
      </c>
    </row>
    <row r="566" spans="1:47" x14ac:dyDescent="0.25">
      <c r="A566">
        <f>Mesh!A563</f>
      </c>
      <c r="B566" s="12">
        <f>Mesh!B563</f>
      </c>
      <c r="C566" s="12">
        <f>Mesh!C563</f>
      </c>
      <c r="D566" s="12">
        <f>Mesh!D563</f>
      </c>
      <c r="E566" s="30">
        <f>INDEX(St_e0,Det+1)+INDEX(St_kx,Det+1)*C566+INDEX(St_ky,Det+1)*B566</f>
      </c>
      <c r="F566" s="12">
        <f>IF(E566&gt;0,IF(E566&lt;=eco,alpha*fck*(1-(1-E566/eco)^n),alpha*fck),0)</f>
      </c>
      <c r="G566" s="11">
        <f>F566*D566</f>
      </c>
      <c r="H566" s="11">
        <f>G566*C566</f>
      </c>
      <c r="I566" s="11">
        <f>G566*B566</f>
      </c>
      <c r="J566" s="30">
        <f>PM_Angle!$J$7+PM_Angle!$K$7*$C566+PM_Angle!$L$7*$B566</f>
      </c>
      <c r="K566" s="12">
        <f>IF(J566&gt;0,IF(J566&lt;=eco,alpha*fck*(1-(1-J566/eco)^n),alpha*fck),0)</f>
      </c>
      <c r="L566" s="30">
        <f>PM_Angle!$J$8+PM_Angle!$K$8*$C566+PM_Angle!$L$8*$B566</f>
      </c>
      <c r="M566" s="12">
        <f>IF(L566&gt;0,IF(L566&lt;=eco,alpha*fck*(1-(1-L566/eco)^n),alpha*fck),0)</f>
      </c>
      <c r="N566" s="30">
        <f>PM_Angle!$J$9+PM_Angle!$K$9*$C566+PM_Angle!$L$9*$B566</f>
      </c>
      <c r="O566" s="12">
        <f>IF(N566&gt;0,IF(N566&lt;=eco,alpha*fck*(1-(1-N566/eco)^n),alpha*fck),0)</f>
      </c>
      <c r="P566" s="30">
        <f>PM_Angle!$J$10+PM_Angle!$K$10*$C566+PM_Angle!$L$10*$B566</f>
      </c>
      <c r="Q566" s="12">
        <f>IF(P566&gt;0,IF(P566&lt;=eco,alpha*fck*(1-(1-P566/eco)^n),alpha*fck),0)</f>
      </c>
      <c r="R566" s="30">
        <f>PM_Angle!$J$11+PM_Angle!$K$11*$C566+PM_Angle!$L$11*$B566</f>
      </c>
      <c r="S566" s="12">
        <f>IF(R566&gt;0,IF(R566&lt;=eco,alpha*fck*(1-(1-R566/eco)^n),alpha*fck),0)</f>
      </c>
      <c r="T566" s="30">
        <f>PM_Angle!$J$12+PM_Angle!$K$12*$C566+PM_Angle!$L$12*$B566</f>
      </c>
      <c r="U566" s="12">
        <f>IF(T566&gt;0,IF(T566&lt;=eco,alpha*fck*(1-(1-T566/eco)^n),alpha*fck),0)</f>
      </c>
      <c r="V566" s="30">
        <f>PM_Angle!$J$13+PM_Angle!$K$13*$C566+PM_Angle!$L$13*$B566</f>
      </c>
      <c r="W566" s="12">
        <f>IF(V566&gt;0,IF(V566&lt;=eco,alpha*fck*(1-(1-V566/eco)^n),alpha*fck),0)</f>
      </c>
      <c r="X566" s="30">
        <f>PM_Angle!$J$14+PM_Angle!$K$14*$C566+PM_Angle!$L$14*$B566</f>
      </c>
      <c r="Y566" s="12">
        <f>IF(X566&gt;0,IF(X566&lt;=eco,alpha*fck*(1-(1-X566/eco)^n),alpha*fck),0)</f>
      </c>
      <c r="Z566" s="30">
        <f>PM_Angle!$J$15+PM_Angle!$K$15*$C566+PM_Angle!$L$15*$B566</f>
      </c>
      <c r="AA566" s="12">
        <f>IF(Z566&gt;0,IF(Z566&lt;=eco,alpha*fck*(1-(1-Z566/eco)^n),alpha*fck),0)</f>
      </c>
      <c r="AB566" s="30">
        <f>PM_Angle!$J$16+PM_Angle!$K$16*$C566+PM_Angle!$L$16*$B566</f>
      </c>
      <c r="AC566" s="12">
        <f>IF(AB566&gt;0,IF(AB566&lt;=eco,alpha*fck*(1-(1-AB566/eco)^n),alpha*fck),0)</f>
      </c>
      <c r="AD566" s="30">
        <f>PM_Angle!$J$17+PM_Angle!$K$17*$C566+PM_Angle!$L$17*$B566</f>
      </c>
      <c r="AE566" s="12">
        <f>IF(AD566&gt;0,IF(AD566&lt;=eco,alpha*fck*(1-(1-AD566/eco)^n),alpha*fck),0)</f>
      </c>
      <c r="AF566" s="30">
        <f>PM_Angle!$J$18+PM_Angle!$K$18*$C566+PM_Angle!$L$18*$B566</f>
      </c>
      <c r="AG566" s="12">
        <f>IF(AF566&gt;0,IF(AF566&lt;=eco,alpha*fck*(1-(1-AF566/eco)^n),alpha*fck),0)</f>
      </c>
      <c r="AH566" s="30">
        <f>PM_Angle!$J$19+PM_Angle!$K$19*$C566+PM_Angle!$L$19*$B566</f>
      </c>
      <c r="AI566" s="12">
        <f>IF(AH566&gt;0,IF(AH566&lt;=eco,alpha*fck*(1-(1-AH566/eco)^n),alpha*fck),0)</f>
      </c>
      <c r="AJ566" s="30">
        <f>PM_Angle!$J$20+PM_Angle!$K$20*$C566+PM_Angle!$L$20*$B566</f>
      </c>
      <c r="AK566" s="12">
        <f>IF(AJ566&gt;0,IF(AJ566&lt;=eco,alpha*fck*(1-(1-AJ566/eco)^n),alpha*fck),0)</f>
      </c>
      <c r="AL566" s="30">
        <f>PM_Angle!$J$21+PM_Angle!$K$21*$C566+PM_Angle!$L$21*$B566</f>
      </c>
      <c r="AM566" s="12">
        <f>IF(AL566&gt;0,IF(AL566&lt;=eco,alpha*fck*(1-(1-AL566/eco)^n),alpha*fck),0)</f>
      </c>
      <c r="AN566" s="30">
        <f>PM_Angle!$J$22+PM_Angle!$K$22*$C566+PM_Angle!$L$22*$B566</f>
      </c>
      <c r="AO566" s="12">
        <f>IF(AN566&gt;0,IF(AN566&lt;=eco,alpha*fck*(1-(1-AN566/eco)^n),alpha*fck),0)</f>
      </c>
      <c r="AP566" s="30">
        <f>PM_Angle!$J$23+PM_Angle!$K$23*$C566+PM_Angle!$L$23*$B566</f>
      </c>
      <c r="AQ566" s="12">
        <f>IF(AP566&gt;0,IF(AP566&lt;=eco,alpha*fck*(1-(1-AP566/eco)^n),alpha*fck),0)</f>
      </c>
      <c r="AR566" s="30">
        <f>PM_Angle!$J$24+PM_Angle!$K$24*$C566+PM_Angle!$L$24*$B566</f>
      </c>
      <c r="AS566" s="12">
        <f>IF(AR566&gt;0,IF(AR566&lt;=eco,alpha*fck*(1-(1-AR566/eco)^n),alpha*fck),0)</f>
      </c>
      <c r="AT566" s="30">
        <f>PM_Angle!$J$25+PM_Angle!$K$25*$C566+PM_Angle!$L$25*$B566</f>
      </c>
      <c r="AU566" s="12">
        <f>IF(AT566&gt;0,IF(AT566&lt;=eco,alpha*fck*(1-(1-AT566/eco)^n),alpha*fck),0)</f>
      </c>
    </row>
    <row r="567" spans="1:47" x14ac:dyDescent="0.25">
      <c r="A567">
        <f>Mesh!A564</f>
      </c>
      <c r="B567" s="12">
        <f>Mesh!B564</f>
      </c>
      <c r="C567" s="12">
        <f>Mesh!C564</f>
      </c>
      <c r="D567" s="12">
        <f>Mesh!D564</f>
      </c>
      <c r="E567" s="30">
        <f>INDEX(St_e0,Det+1)+INDEX(St_kx,Det+1)*C567+INDEX(St_ky,Det+1)*B567</f>
      </c>
      <c r="F567" s="12">
        <f>IF(E567&gt;0,IF(E567&lt;=eco,alpha*fck*(1-(1-E567/eco)^n),alpha*fck),0)</f>
      </c>
      <c r="G567" s="11">
        <f>F567*D567</f>
      </c>
      <c r="H567" s="11">
        <f>G567*C567</f>
      </c>
      <c r="I567" s="11">
        <f>G567*B567</f>
      </c>
      <c r="J567" s="30">
        <f>PM_Angle!$J$7+PM_Angle!$K$7*$C567+PM_Angle!$L$7*$B567</f>
      </c>
      <c r="K567" s="12">
        <f>IF(J567&gt;0,IF(J567&lt;=eco,alpha*fck*(1-(1-J567/eco)^n),alpha*fck),0)</f>
      </c>
      <c r="L567" s="30">
        <f>PM_Angle!$J$8+PM_Angle!$K$8*$C567+PM_Angle!$L$8*$B567</f>
      </c>
      <c r="M567" s="12">
        <f>IF(L567&gt;0,IF(L567&lt;=eco,alpha*fck*(1-(1-L567/eco)^n),alpha*fck),0)</f>
      </c>
      <c r="N567" s="30">
        <f>PM_Angle!$J$9+PM_Angle!$K$9*$C567+PM_Angle!$L$9*$B567</f>
      </c>
      <c r="O567" s="12">
        <f>IF(N567&gt;0,IF(N567&lt;=eco,alpha*fck*(1-(1-N567/eco)^n),alpha*fck),0)</f>
      </c>
      <c r="P567" s="30">
        <f>PM_Angle!$J$10+PM_Angle!$K$10*$C567+PM_Angle!$L$10*$B567</f>
      </c>
      <c r="Q567" s="12">
        <f>IF(P567&gt;0,IF(P567&lt;=eco,alpha*fck*(1-(1-P567/eco)^n),alpha*fck),0)</f>
      </c>
      <c r="R567" s="30">
        <f>PM_Angle!$J$11+PM_Angle!$K$11*$C567+PM_Angle!$L$11*$B567</f>
      </c>
      <c r="S567" s="12">
        <f>IF(R567&gt;0,IF(R567&lt;=eco,alpha*fck*(1-(1-R567/eco)^n),alpha*fck),0)</f>
      </c>
      <c r="T567" s="30">
        <f>PM_Angle!$J$12+PM_Angle!$K$12*$C567+PM_Angle!$L$12*$B567</f>
      </c>
      <c r="U567" s="12">
        <f>IF(T567&gt;0,IF(T567&lt;=eco,alpha*fck*(1-(1-T567/eco)^n),alpha*fck),0)</f>
      </c>
      <c r="V567" s="30">
        <f>PM_Angle!$J$13+PM_Angle!$K$13*$C567+PM_Angle!$L$13*$B567</f>
      </c>
      <c r="W567" s="12">
        <f>IF(V567&gt;0,IF(V567&lt;=eco,alpha*fck*(1-(1-V567/eco)^n),alpha*fck),0)</f>
      </c>
      <c r="X567" s="30">
        <f>PM_Angle!$J$14+PM_Angle!$K$14*$C567+PM_Angle!$L$14*$B567</f>
      </c>
      <c r="Y567" s="12">
        <f>IF(X567&gt;0,IF(X567&lt;=eco,alpha*fck*(1-(1-X567/eco)^n),alpha*fck),0)</f>
      </c>
      <c r="Z567" s="30">
        <f>PM_Angle!$J$15+PM_Angle!$K$15*$C567+PM_Angle!$L$15*$B567</f>
      </c>
      <c r="AA567" s="12">
        <f>IF(Z567&gt;0,IF(Z567&lt;=eco,alpha*fck*(1-(1-Z567/eco)^n),alpha*fck),0)</f>
      </c>
      <c r="AB567" s="30">
        <f>PM_Angle!$J$16+PM_Angle!$K$16*$C567+PM_Angle!$L$16*$B567</f>
      </c>
      <c r="AC567" s="12">
        <f>IF(AB567&gt;0,IF(AB567&lt;=eco,alpha*fck*(1-(1-AB567/eco)^n),alpha*fck),0)</f>
      </c>
      <c r="AD567" s="30">
        <f>PM_Angle!$J$17+PM_Angle!$K$17*$C567+PM_Angle!$L$17*$B567</f>
      </c>
      <c r="AE567" s="12">
        <f>IF(AD567&gt;0,IF(AD567&lt;=eco,alpha*fck*(1-(1-AD567/eco)^n),alpha*fck),0)</f>
      </c>
      <c r="AF567" s="30">
        <f>PM_Angle!$J$18+PM_Angle!$K$18*$C567+PM_Angle!$L$18*$B567</f>
      </c>
      <c r="AG567" s="12">
        <f>IF(AF567&gt;0,IF(AF567&lt;=eco,alpha*fck*(1-(1-AF567/eco)^n),alpha*fck),0)</f>
      </c>
      <c r="AH567" s="30">
        <f>PM_Angle!$J$19+PM_Angle!$K$19*$C567+PM_Angle!$L$19*$B567</f>
      </c>
      <c r="AI567" s="12">
        <f>IF(AH567&gt;0,IF(AH567&lt;=eco,alpha*fck*(1-(1-AH567/eco)^n),alpha*fck),0)</f>
      </c>
      <c r="AJ567" s="30">
        <f>PM_Angle!$J$20+PM_Angle!$K$20*$C567+PM_Angle!$L$20*$B567</f>
      </c>
      <c r="AK567" s="12">
        <f>IF(AJ567&gt;0,IF(AJ567&lt;=eco,alpha*fck*(1-(1-AJ567/eco)^n),alpha*fck),0)</f>
      </c>
      <c r="AL567" s="30">
        <f>PM_Angle!$J$21+PM_Angle!$K$21*$C567+PM_Angle!$L$21*$B567</f>
      </c>
      <c r="AM567" s="12">
        <f>IF(AL567&gt;0,IF(AL567&lt;=eco,alpha*fck*(1-(1-AL567/eco)^n),alpha*fck),0)</f>
      </c>
      <c r="AN567" s="30">
        <f>PM_Angle!$J$22+PM_Angle!$K$22*$C567+PM_Angle!$L$22*$B567</f>
      </c>
      <c r="AO567" s="12">
        <f>IF(AN567&gt;0,IF(AN567&lt;=eco,alpha*fck*(1-(1-AN567/eco)^n),alpha*fck),0)</f>
      </c>
      <c r="AP567" s="30">
        <f>PM_Angle!$J$23+PM_Angle!$K$23*$C567+PM_Angle!$L$23*$B567</f>
      </c>
      <c r="AQ567" s="12">
        <f>IF(AP567&gt;0,IF(AP567&lt;=eco,alpha*fck*(1-(1-AP567/eco)^n),alpha*fck),0)</f>
      </c>
      <c r="AR567" s="30">
        <f>PM_Angle!$J$24+PM_Angle!$K$24*$C567+PM_Angle!$L$24*$B567</f>
      </c>
      <c r="AS567" s="12">
        <f>IF(AR567&gt;0,IF(AR567&lt;=eco,alpha*fck*(1-(1-AR567/eco)^n),alpha*fck),0)</f>
      </c>
      <c r="AT567" s="30">
        <f>PM_Angle!$J$25+PM_Angle!$K$25*$C567+PM_Angle!$L$25*$B567</f>
      </c>
      <c r="AU567" s="12">
        <f>IF(AT567&gt;0,IF(AT567&lt;=eco,alpha*fck*(1-(1-AT567/eco)^n),alpha*fck),0)</f>
      </c>
    </row>
    <row r="568" spans="1:47" x14ac:dyDescent="0.25">
      <c r="A568">
        <f>Mesh!A565</f>
      </c>
      <c r="B568" s="12">
        <f>Mesh!B565</f>
      </c>
      <c r="C568" s="12">
        <f>Mesh!C565</f>
      </c>
      <c r="D568" s="12">
        <f>Mesh!D565</f>
      </c>
      <c r="E568" s="30">
        <f>INDEX(St_e0,Det+1)+INDEX(St_kx,Det+1)*C568+INDEX(St_ky,Det+1)*B568</f>
      </c>
      <c r="F568" s="12">
        <f>IF(E568&gt;0,IF(E568&lt;=eco,alpha*fck*(1-(1-E568/eco)^n),alpha*fck),0)</f>
      </c>
      <c r="G568" s="11">
        <f>F568*D568</f>
      </c>
      <c r="H568" s="11">
        <f>G568*C568</f>
      </c>
      <c r="I568" s="11">
        <f>G568*B568</f>
      </c>
      <c r="J568" s="30">
        <f>PM_Angle!$J$7+PM_Angle!$K$7*$C568+PM_Angle!$L$7*$B568</f>
      </c>
      <c r="K568" s="12">
        <f>IF(J568&gt;0,IF(J568&lt;=eco,alpha*fck*(1-(1-J568/eco)^n),alpha*fck),0)</f>
      </c>
      <c r="L568" s="30">
        <f>PM_Angle!$J$8+PM_Angle!$K$8*$C568+PM_Angle!$L$8*$B568</f>
      </c>
      <c r="M568" s="12">
        <f>IF(L568&gt;0,IF(L568&lt;=eco,alpha*fck*(1-(1-L568/eco)^n),alpha*fck),0)</f>
      </c>
      <c r="N568" s="30">
        <f>PM_Angle!$J$9+PM_Angle!$K$9*$C568+PM_Angle!$L$9*$B568</f>
      </c>
      <c r="O568" s="12">
        <f>IF(N568&gt;0,IF(N568&lt;=eco,alpha*fck*(1-(1-N568/eco)^n),alpha*fck),0)</f>
      </c>
      <c r="P568" s="30">
        <f>PM_Angle!$J$10+PM_Angle!$K$10*$C568+PM_Angle!$L$10*$B568</f>
      </c>
      <c r="Q568" s="12">
        <f>IF(P568&gt;0,IF(P568&lt;=eco,alpha*fck*(1-(1-P568/eco)^n),alpha*fck),0)</f>
      </c>
      <c r="R568" s="30">
        <f>PM_Angle!$J$11+PM_Angle!$K$11*$C568+PM_Angle!$L$11*$B568</f>
      </c>
      <c r="S568" s="12">
        <f>IF(R568&gt;0,IF(R568&lt;=eco,alpha*fck*(1-(1-R568/eco)^n),alpha*fck),0)</f>
      </c>
      <c r="T568" s="30">
        <f>PM_Angle!$J$12+PM_Angle!$K$12*$C568+PM_Angle!$L$12*$B568</f>
      </c>
      <c r="U568" s="12">
        <f>IF(T568&gt;0,IF(T568&lt;=eco,alpha*fck*(1-(1-T568/eco)^n),alpha*fck),0)</f>
      </c>
      <c r="V568" s="30">
        <f>PM_Angle!$J$13+PM_Angle!$K$13*$C568+PM_Angle!$L$13*$B568</f>
      </c>
      <c r="W568" s="12">
        <f>IF(V568&gt;0,IF(V568&lt;=eco,alpha*fck*(1-(1-V568/eco)^n),alpha*fck),0)</f>
      </c>
      <c r="X568" s="30">
        <f>PM_Angle!$J$14+PM_Angle!$K$14*$C568+PM_Angle!$L$14*$B568</f>
      </c>
      <c r="Y568" s="12">
        <f>IF(X568&gt;0,IF(X568&lt;=eco,alpha*fck*(1-(1-X568/eco)^n),alpha*fck),0)</f>
      </c>
      <c r="Z568" s="30">
        <f>PM_Angle!$J$15+PM_Angle!$K$15*$C568+PM_Angle!$L$15*$B568</f>
      </c>
      <c r="AA568" s="12">
        <f>IF(Z568&gt;0,IF(Z568&lt;=eco,alpha*fck*(1-(1-Z568/eco)^n),alpha*fck),0)</f>
      </c>
      <c r="AB568" s="30">
        <f>PM_Angle!$J$16+PM_Angle!$K$16*$C568+PM_Angle!$L$16*$B568</f>
      </c>
      <c r="AC568" s="12">
        <f>IF(AB568&gt;0,IF(AB568&lt;=eco,alpha*fck*(1-(1-AB568/eco)^n),alpha*fck),0)</f>
      </c>
      <c r="AD568" s="30">
        <f>PM_Angle!$J$17+PM_Angle!$K$17*$C568+PM_Angle!$L$17*$B568</f>
      </c>
      <c r="AE568" s="12">
        <f>IF(AD568&gt;0,IF(AD568&lt;=eco,alpha*fck*(1-(1-AD568/eco)^n),alpha*fck),0)</f>
      </c>
      <c r="AF568" s="30">
        <f>PM_Angle!$J$18+PM_Angle!$K$18*$C568+PM_Angle!$L$18*$B568</f>
      </c>
      <c r="AG568" s="12">
        <f>IF(AF568&gt;0,IF(AF568&lt;=eco,alpha*fck*(1-(1-AF568/eco)^n),alpha*fck),0)</f>
      </c>
      <c r="AH568" s="30">
        <f>PM_Angle!$J$19+PM_Angle!$K$19*$C568+PM_Angle!$L$19*$B568</f>
      </c>
      <c r="AI568" s="12">
        <f>IF(AH568&gt;0,IF(AH568&lt;=eco,alpha*fck*(1-(1-AH568/eco)^n),alpha*fck),0)</f>
      </c>
      <c r="AJ568" s="30">
        <f>PM_Angle!$J$20+PM_Angle!$K$20*$C568+PM_Angle!$L$20*$B568</f>
      </c>
      <c r="AK568" s="12">
        <f>IF(AJ568&gt;0,IF(AJ568&lt;=eco,alpha*fck*(1-(1-AJ568/eco)^n),alpha*fck),0)</f>
      </c>
      <c r="AL568" s="30">
        <f>PM_Angle!$J$21+PM_Angle!$K$21*$C568+PM_Angle!$L$21*$B568</f>
      </c>
      <c r="AM568" s="12">
        <f>IF(AL568&gt;0,IF(AL568&lt;=eco,alpha*fck*(1-(1-AL568/eco)^n),alpha*fck),0)</f>
      </c>
      <c r="AN568" s="30">
        <f>PM_Angle!$J$22+PM_Angle!$K$22*$C568+PM_Angle!$L$22*$B568</f>
      </c>
      <c r="AO568" s="12">
        <f>IF(AN568&gt;0,IF(AN568&lt;=eco,alpha*fck*(1-(1-AN568/eco)^n),alpha*fck),0)</f>
      </c>
      <c r="AP568" s="30">
        <f>PM_Angle!$J$23+PM_Angle!$K$23*$C568+PM_Angle!$L$23*$B568</f>
      </c>
      <c r="AQ568" s="12">
        <f>IF(AP568&gt;0,IF(AP568&lt;=eco,alpha*fck*(1-(1-AP568/eco)^n),alpha*fck),0)</f>
      </c>
      <c r="AR568" s="30">
        <f>PM_Angle!$J$24+PM_Angle!$K$24*$C568+PM_Angle!$L$24*$B568</f>
      </c>
      <c r="AS568" s="12">
        <f>IF(AR568&gt;0,IF(AR568&lt;=eco,alpha*fck*(1-(1-AR568/eco)^n),alpha*fck),0)</f>
      </c>
      <c r="AT568" s="30">
        <f>PM_Angle!$J$25+PM_Angle!$K$25*$C568+PM_Angle!$L$25*$B568</f>
      </c>
      <c r="AU568" s="12">
        <f>IF(AT568&gt;0,IF(AT568&lt;=eco,alpha*fck*(1-(1-AT568/eco)^n),alpha*fck),0)</f>
      </c>
    </row>
    <row r="569" spans="1:47" x14ac:dyDescent="0.25">
      <c r="A569">
        <f>Mesh!A566</f>
      </c>
      <c r="B569" s="12">
        <f>Mesh!B566</f>
      </c>
      <c r="C569" s="12">
        <f>Mesh!C566</f>
      </c>
      <c r="D569" s="12">
        <f>Mesh!D566</f>
      </c>
      <c r="E569" s="30">
        <f>INDEX(St_e0,Det+1)+INDEX(St_kx,Det+1)*C569+INDEX(St_ky,Det+1)*B569</f>
      </c>
      <c r="F569" s="12">
        <f>IF(E569&gt;0,IF(E569&lt;=eco,alpha*fck*(1-(1-E569/eco)^n),alpha*fck),0)</f>
      </c>
      <c r="G569" s="11">
        <f>F569*D569</f>
      </c>
      <c r="H569" s="11">
        <f>G569*C569</f>
      </c>
      <c r="I569" s="11">
        <f>G569*B569</f>
      </c>
      <c r="J569" s="30">
        <f>PM_Angle!$J$7+PM_Angle!$K$7*$C569+PM_Angle!$L$7*$B569</f>
      </c>
      <c r="K569" s="12">
        <f>IF(J569&gt;0,IF(J569&lt;=eco,alpha*fck*(1-(1-J569/eco)^n),alpha*fck),0)</f>
      </c>
      <c r="L569" s="30">
        <f>PM_Angle!$J$8+PM_Angle!$K$8*$C569+PM_Angle!$L$8*$B569</f>
      </c>
      <c r="M569" s="12">
        <f>IF(L569&gt;0,IF(L569&lt;=eco,alpha*fck*(1-(1-L569/eco)^n),alpha*fck),0)</f>
      </c>
      <c r="N569" s="30">
        <f>PM_Angle!$J$9+PM_Angle!$K$9*$C569+PM_Angle!$L$9*$B569</f>
      </c>
      <c r="O569" s="12">
        <f>IF(N569&gt;0,IF(N569&lt;=eco,alpha*fck*(1-(1-N569/eco)^n),alpha*fck),0)</f>
      </c>
      <c r="P569" s="30">
        <f>PM_Angle!$J$10+PM_Angle!$K$10*$C569+PM_Angle!$L$10*$B569</f>
      </c>
      <c r="Q569" s="12">
        <f>IF(P569&gt;0,IF(P569&lt;=eco,alpha*fck*(1-(1-P569/eco)^n),alpha*fck),0)</f>
      </c>
      <c r="R569" s="30">
        <f>PM_Angle!$J$11+PM_Angle!$K$11*$C569+PM_Angle!$L$11*$B569</f>
      </c>
      <c r="S569" s="12">
        <f>IF(R569&gt;0,IF(R569&lt;=eco,alpha*fck*(1-(1-R569/eco)^n),alpha*fck),0)</f>
      </c>
      <c r="T569" s="30">
        <f>PM_Angle!$J$12+PM_Angle!$K$12*$C569+PM_Angle!$L$12*$B569</f>
      </c>
      <c r="U569" s="12">
        <f>IF(T569&gt;0,IF(T569&lt;=eco,alpha*fck*(1-(1-T569/eco)^n),alpha*fck),0)</f>
      </c>
      <c r="V569" s="30">
        <f>PM_Angle!$J$13+PM_Angle!$K$13*$C569+PM_Angle!$L$13*$B569</f>
      </c>
      <c r="W569" s="12">
        <f>IF(V569&gt;0,IF(V569&lt;=eco,alpha*fck*(1-(1-V569/eco)^n),alpha*fck),0)</f>
      </c>
      <c r="X569" s="30">
        <f>PM_Angle!$J$14+PM_Angle!$K$14*$C569+PM_Angle!$L$14*$B569</f>
      </c>
      <c r="Y569" s="12">
        <f>IF(X569&gt;0,IF(X569&lt;=eco,alpha*fck*(1-(1-X569/eco)^n),alpha*fck),0)</f>
      </c>
      <c r="Z569" s="30">
        <f>PM_Angle!$J$15+PM_Angle!$K$15*$C569+PM_Angle!$L$15*$B569</f>
      </c>
      <c r="AA569" s="12">
        <f>IF(Z569&gt;0,IF(Z569&lt;=eco,alpha*fck*(1-(1-Z569/eco)^n),alpha*fck),0)</f>
      </c>
      <c r="AB569" s="30">
        <f>PM_Angle!$J$16+PM_Angle!$K$16*$C569+PM_Angle!$L$16*$B569</f>
      </c>
      <c r="AC569" s="12">
        <f>IF(AB569&gt;0,IF(AB569&lt;=eco,alpha*fck*(1-(1-AB569/eco)^n),alpha*fck),0)</f>
      </c>
      <c r="AD569" s="30">
        <f>PM_Angle!$J$17+PM_Angle!$K$17*$C569+PM_Angle!$L$17*$B569</f>
      </c>
      <c r="AE569" s="12">
        <f>IF(AD569&gt;0,IF(AD569&lt;=eco,alpha*fck*(1-(1-AD569/eco)^n),alpha*fck),0)</f>
      </c>
      <c r="AF569" s="30">
        <f>PM_Angle!$J$18+PM_Angle!$K$18*$C569+PM_Angle!$L$18*$B569</f>
      </c>
      <c r="AG569" s="12">
        <f>IF(AF569&gt;0,IF(AF569&lt;=eco,alpha*fck*(1-(1-AF569/eco)^n),alpha*fck),0)</f>
      </c>
      <c r="AH569" s="30">
        <f>PM_Angle!$J$19+PM_Angle!$K$19*$C569+PM_Angle!$L$19*$B569</f>
      </c>
      <c r="AI569" s="12">
        <f>IF(AH569&gt;0,IF(AH569&lt;=eco,alpha*fck*(1-(1-AH569/eco)^n),alpha*fck),0)</f>
      </c>
      <c r="AJ569" s="30">
        <f>PM_Angle!$J$20+PM_Angle!$K$20*$C569+PM_Angle!$L$20*$B569</f>
      </c>
      <c r="AK569" s="12">
        <f>IF(AJ569&gt;0,IF(AJ569&lt;=eco,alpha*fck*(1-(1-AJ569/eco)^n),alpha*fck),0)</f>
      </c>
      <c r="AL569" s="30">
        <f>PM_Angle!$J$21+PM_Angle!$K$21*$C569+PM_Angle!$L$21*$B569</f>
      </c>
      <c r="AM569" s="12">
        <f>IF(AL569&gt;0,IF(AL569&lt;=eco,alpha*fck*(1-(1-AL569/eco)^n),alpha*fck),0)</f>
      </c>
      <c r="AN569" s="30">
        <f>PM_Angle!$J$22+PM_Angle!$K$22*$C569+PM_Angle!$L$22*$B569</f>
      </c>
      <c r="AO569" s="12">
        <f>IF(AN569&gt;0,IF(AN569&lt;=eco,alpha*fck*(1-(1-AN569/eco)^n),alpha*fck),0)</f>
      </c>
      <c r="AP569" s="30">
        <f>PM_Angle!$J$23+PM_Angle!$K$23*$C569+PM_Angle!$L$23*$B569</f>
      </c>
      <c r="AQ569" s="12">
        <f>IF(AP569&gt;0,IF(AP569&lt;=eco,alpha*fck*(1-(1-AP569/eco)^n),alpha*fck),0)</f>
      </c>
      <c r="AR569" s="30">
        <f>PM_Angle!$J$24+PM_Angle!$K$24*$C569+PM_Angle!$L$24*$B569</f>
      </c>
      <c r="AS569" s="12">
        <f>IF(AR569&gt;0,IF(AR569&lt;=eco,alpha*fck*(1-(1-AR569/eco)^n),alpha*fck),0)</f>
      </c>
      <c r="AT569" s="30">
        <f>PM_Angle!$J$25+PM_Angle!$K$25*$C569+PM_Angle!$L$25*$B569</f>
      </c>
      <c r="AU569" s="12">
        <f>IF(AT569&gt;0,IF(AT569&lt;=eco,alpha*fck*(1-(1-AT569/eco)^n),alpha*fck),0)</f>
      </c>
    </row>
    <row r="570" spans="1:47" x14ac:dyDescent="0.25">
      <c r="A570">
        <f>Mesh!A567</f>
      </c>
      <c r="B570" s="12">
        <f>Mesh!B567</f>
      </c>
      <c r="C570" s="12">
        <f>Mesh!C567</f>
      </c>
      <c r="D570" s="12">
        <f>Mesh!D567</f>
      </c>
      <c r="E570" s="30">
        <f>INDEX(St_e0,Det+1)+INDEX(St_kx,Det+1)*C570+INDEX(St_ky,Det+1)*B570</f>
      </c>
      <c r="F570" s="12">
        <f>IF(E570&gt;0,IF(E570&lt;=eco,alpha*fck*(1-(1-E570/eco)^n),alpha*fck),0)</f>
      </c>
      <c r="G570" s="11">
        <f>F570*D570</f>
      </c>
      <c r="H570" s="11">
        <f>G570*C570</f>
      </c>
      <c r="I570" s="11">
        <f>G570*B570</f>
      </c>
      <c r="J570" s="30">
        <f>PM_Angle!$J$7+PM_Angle!$K$7*$C570+PM_Angle!$L$7*$B570</f>
      </c>
      <c r="K570" s="12">
        <f>IF(J570&gt;0,IF(J570&lt;=eco,alpha*fck*(1-(1-J570/eco)^n),alpha*fck),0)</f>
      </c>
      <c r="L570" s="30">
        <f>PM_Angle!$J$8+PM_Angle!$K$8*$C570+PM_Angle!$L$8*$B570</f>
      </c>
      <c r="M570" s="12">
        <f>IF(L570&gt;0,IF(L570&lt;=eco,alpha*fck*(1-(1-L570/eco)^n),alpha*fck),0)</f>
      </c>
      <c r="N570" s="30">
        <f>PM_Angle!$J$9+PM_Angle!$K$9*$C570+PM_Angle!$L$9*$B570</f>
      </c>
      <c r="O570" s="12">
        <f>IF(N570&gt;0,IF(N570&lt;=eco,alpha*fck*(1-(1-N570/eco)^n),alpha*fck),0)</f>
      </c>
      <c r="P570" s="30">
        <f>PM_Angle!$J$10+PM_Angle!$K$10*$C570+PM_Angle!$L$10*$B570</f>
      </c>
      <c r="Q570" s="12">
        <f>IF(P570&gt;0,IF(P570&lt;=eco,alpha*fck*(1-(1-P570/eco)^n),alpha*fck),0)</f>
      </c>
      <c r="R570" s="30">
        <f>PM_Angle!$J$11+PM_Angle!$K$11*$C570+PM_Angle!$L$11*$B570</f>
      </c>
      <c r="S570" s="12">
        <f>IF(R570&gt;0,IF(R570&lt;=eco,alpha*fck*(1-(1-R570/eco)^n),alpha*fck),0)</f>
      </c>
      <c r="T570" s="30">
        <f>PM_Angle!$J$12+PM_Angle!$K$12*$C570+PM_Angle!$L$12*$B570</f>
      </c>
      <c r="U570" s="12">
        <f>IF(T570&gt;0,IF(T570&lt;=eco,alpha*fck*(1-(1-T570/eco)^n),alpha*fck),0)</f>
      </c>
      <c r="V570" s="30">
        <f>PM_Angle!$J$13+PM_Angle!$K$13*$C570+PM_Angle!$L$13*$B570</f>
      </c>
      <c r="W570" s="12">
        <f>IF(V570&gt;0,IF(V570&lt;=eco,alpha*fck*(1-(1-V570/eco)^n),alpha*fck),0)</f>
      </c>
      <c r="X570" s="30">
        <f>PM_Angle!$J$14+PM_Angle!$K$14*$C570+PM_Angle!$L$14*$B570</f>
      </c>
      <c r="Y570" s="12">
        <f>IF(X570&gt;0,IF(X570&lt;=eco,alpha*fck*(1-(1-X570/eco)^n),alpha*fck),0)</f>
      </c>
      <c r="Z570" s="30">
        <f>PM_Angle!$J$15+PM_Angle!$K$15*$C570+PM_Angle!$L$15*$B570</f>
      </c>
      <c r="AA570" s="12">
        <f>IF(Z570&gt;0,IF(Z570&lt;=eco,alpha*fck*(1-(1-Z570/eco)^n),alpha*fck),0)</f>
      </c>
      <c r="AB570" s="30">
        <f>PM_Angle!$J$16+PM_Angle!$K$16*$C570+PM_Angle!$L$16*$B570</f>
      </c>
      <c r="AC570" s="12">
        <f>IF(AB570&gt;0,IF(AB570&lt;=eco,alpha*fck*(1-(1-AB570/eco)^n),alpha*fck),0)</f>
      </c>
      <c r="AD570" s="30">
        <f>PM_Angle!$J$17+PM_Angle!$K$17*$C570+PM_Angle!$L$17*$B570</f>
      </c>
      <c r="AE570" s="12">
        <f>IF(AD570&gt;0,IF(AD570&lt;=eco,alpha*fck*(1-(1-AD570/eco)^n),alpha*fck),0)</f>
      </c>
      <c r="AF570" s="30">
        <f>PM_Angle!$J$18+PM_Angle!$K$18*$C570+PM_Angle!$L$18*$B570</f>
      </c>
      <c r="AG570" s="12">
        <f>IF(AF570&gt;0,IF(AF570&lt;=eco,alpha*fck*(1-(1-AF570/eco)^n),alpha*fck),0)</f>
      </c>
      <c r="AH570" s="30">
        <f>PM_Angle!$J$19+PM_Angle!$K$19*$C570+PM_Angle!$L$19*$B570</f>
      </c>
      <c r="AI570" s="12">
        <f>IF(AH570&gt;0,IF(AH570&lt;=eco,alpha*fck*(1-(1-AH570/eco)^n),alpha*fck),0)</f>
      </c>
      <c r="AJ570" s="30">
        <f>PM_Angle!$J$20+PM_Angle!$K$20*$C570+PM_Angle!$L$20*$B570</f>
      </c>
      <c r="AK570" s="12">
        <f>IF(AJ570&gt;0,IF(AJ570&lt;=eco,alpha*fck*(1-(1-AJ570/eco)^n),alpha*fck),0)</f>
      </c>
      <c r="AL570" s="30">
        <f>PM_Angle!$J$21+PM_Angle!$K$21*$C570+PM_Angle!$L$21*$B570</f>
      </c>
      <c r="AM570" s="12">
        <f>IF(AL570&gt;0,IF(AL570&lt;=eco,alpha*fck*(1-(1-AL570/eco)^n),alpha*fck),0)</f>
      </c>
      <c r="AN570" s="30">
        <f>PM_Angle!$J$22+PM_Angle!$K$22*$C570+PM_Angle!$L$22*$B570</f>
      </c>
      <c r="AO570" s="12">
        <f>IF(AN570&gt;0,IF(AN570&lt;=eco,alpha*fck*(1-(1-AN570/eco)^n),alpha*fck),0)</f>
      </c>
      <c r="AP570" s="30">
        <f>PM_Angle!$J$23+PM_Angle!$K$23*$C570+PM_Angle!$L$23*$B570</f>
      </c>
      <c r="AQ570" s="12">
        <f>IF(AP570&gt;0,IF(AP570&lt;=eco,alpha*fck*(1-(1-AP570/eco)^n),alpha*fck),0)</f>
      </c>
      <c r="AR570" s="30">
        <f>PM_Angle!$J$24+PM_Angle!$K$24*$C570+PM_Angle!$L$24*$B570</f>
      </c>
      <c r="AS570" s="12">
        <f>IF(AR570&gt;0,IF(AR570&lt;=eco,alpha*fck*(1-(1-AR570/eco)^n),alpha*fck),0)</f>
      </c>
      <c r="AT570" s="30">
        <f>PM_Angle!$J$25+PM_Angle!$K$25*$C570+PM_Angle!$L$25*$B570</f>
      </c>
      <c r="AU570" s="12">
        <f>IF(AT570&gt;0,IF(AT570&lt;=eco,alpha*fck*(1-(1-AT570/eco)^n),alpha*fck),0)</f>
      </c>
    </row>
    <row r="571" spans="1:47" x14ac:dyDescent="0.25">
      <c r="A571">
        <f>Mesh!A568</f>
      </c>
      <c r="B571" s="12">
        <f>Mesh!B568</f>
      </c>
      <c r="C571" s="12">
        <f>Mesh!C568</f>
      </c>
      <c r="D571" s="12">
        <f>Mesh!D568</f>
      </c>
      <c r="E571" s="30">
        <f>INDEX(St_e0,Det+1)+INDEX(St_kx,Det+1)*C571+INDEX(St_ky,Det+1)*B571</f>
      </c>
      <c r="F571" s="12">
        <f>IF(E571&gt;0,IF(E571&lt;=eco,alpha*fck*(1-(1-E571/eco)^n),alpha*fck),0)</f>
      </c>
      <c r="G571" s="11">
        <f>F571*D571</f>
      </c>
      <c r="H571" s="11">
        <f>G571*C571</f>
      </c>
      <c r="I571" s="11">
        <f>G571*B571</f>
      </c>
      <c r="J571" s="30">
        <f>PM_Angle!$J$7+PM_Angle!$K$7*$C571+PM_Angle!$L$7*$B571</f>
      </c>
      <c r="K571" s="12">
        <f>IF(J571&gt;0,IF(J571&lt;=eco,alpha*fck*(1-(1-J571/eco)^n),alpha*fck),0)</f>
      </c>
      <c r="L571" s="30">
        <f>PM_Angle!$J$8+PM_Angle!$K$8*$C571+PM_Angle!$L$8*$B571</f>
      </c>
      <c r="M571" s="12">
        <f>IF(L571&gt;0,IF(L571&lt;=eco,alpha*fck*(1-(1-L571/eco)^n),alpha*fck),0)</f>
      </c>
      <c r="N571" s="30">
        <f>PM_Angle!$J$9+PM_Angle!$K$9*$C571+PM_Angle!$L$9*$B571</f>
      </c>
      <c r="O571" s="12">
        <f>IF(N571&gt;0,IF(N571&lt;=eco,alpha*fck*(1-(1-N571/eco)^n),alpha*fck),0)</f>
      </c>
      <c r="P571" s="30">
        <f>PM_Angle!$J$10+PM_Angle!$K$10*$C571+PM_Angle!$L$10*$B571</f>
      </c>
      <c r="Q571" s="12">
        <f>IF(P571&gt;0,IF(P571&lt;=eco,alpha*fck*(1-(1-P571/eco)^n),alpha*fck),0)</f>
      </c>
      <c r="R571" s="30">
        <f>PM_Angle!$J$11+PM_Angle!$K$11*$C571+PM_Angle!$L$11*$B571</f>
      </c>
      <c r="S571" s="12">
        <f>IF(R571&gt;0,IF(R571&lt;=eco,alpha*fck*(1-(1-R571/eco)^n),alpha*fck),0)</f>
      </c>
      <c r="T571" s="30">
        <f>PM_Angle!$J$12+PM_Angle!$K$12*$C571+PM_Angle!$L$12*$B571</f>
      </c>
      <c r="U571" s="12">
        <f>IF(T571&gt;0,IF(T571&lt;=eco,alpha*fck*(1-(1-T571/eco)^n),alpha*fck),0)</f>
      </c>
      <c r="V571" s="30">
        <f>PM_Angle!$J$13+PM_Angle!$K$13*$C571+PM_Angle!$L$13*$B571</f>
      </c>
      <c r="W571" s="12">
        <f>IF(V571&gt;0,IF(V571&lt;=eco,alpha*fck*(1-(1-V571/eco)^n),alpha*fck),0)</f>
      </c>
      <c r="X571" s="30">
        <f>PM_Angle!$J$14+PM_Angle!$K$14*$C571+PM_Angle!$L$14*$B571</f>
      </c>
      <c r="Y571" s="12">
        <f>IF(X571&gt;0,IF(X571&lt;=eco,alpha*fck*(1-(1-X571/eco)^n),alpha*fck),0)</f>
      </c>
      <c r="Z571" s="30">
        <f>PM_Angle!$J$15+PM_Angle!$K$15*$C571+PM_Angle!$L$15*$B571</f>
      </c>
      <c r="AA571" s="12">
        <f>IF(Z571&gt;0,IF(Z571&lt;=eco,alpha*fck*(1-(1-Z571/eco)^n),alpha*fck),0)</f>
      </c>
      <c r="AB571" s="30">
        <f>PM_Angle!$J$16+PM_Angle!$K$16*$C571+PM_Angle!$L$16*$B571</f>
      </c>
      <c r="AC571" s="12">
        <f>IF(AB571&gt;0,IF(AB571&lt;=eco,alpha*fck*(1-(1-AB571/eco)^n),alpha*fck),0)</f>
      </c>
      <c r="AD571" s="30">
        <f>PM_Angle!$J$17+PM_Angle!$K$17*$C571+PM_Angle!$L$17*$B571</f>
      </c>
      <c r="AE571" s="12">
        <f>IF(AD571&gt;0,IF(AD571&lt;=eco,alpha*fck*(1-(1-AD571/eco)^n),alpha*fck),0)</f>
      </c>
      <c r="AF571" s="30">
        <f>PM_Angle!$J$18+PM_Angle!$K$18*$C571+PM_Angle!$L$18*$B571</f>
      </c>
      <c r="AG571" s="12">
        <f>IF(AF571&gt;0,IF(AF571&lt;=eco,alpha*fck*(1-(1-AF571/eco)^n),alpha*fck),0)</f>
      </c>
      <c r="AH571" s="30">
        <f>PM_Angle!$J$19+PM_Angle!$K$19*$C571+PM_Angle!$L$19*$B571</f>
      </c>
      <c r="AI571" s="12">
        <f>IF(AH571&gt;0,IF(AH571&lt;=eco,alpha*fck*(1-(1-AH571/eco)^n),alpha*fck),0)</f>
      </c>
      <c r="AJ571" s="30">
        <f>PM_Angle!$J$20+PM_Angle!$K$20*$C571+PM_Angle!$L$20*$B571</f>
      </c>
      <c r="AK571" s="12">
        <f>IF(AJ571&gt;0,IF(AJ571&lt;=eco,alpha*fck*(1-(1-AJ571/eco)^n),alpha*fck),0)</f>
      </c>
      <c r="AL571" s="30">
        <f>PM_Angle!$J$21+PM_Angle!$K$21*$C571+PM_Angle!$L$21*$B571</f>
      </c>
      <c r="AM571" s="12">
        <f>IF(AL571&gt;0,IF(AL571&lt;=eco,alpha*fck*(1-(1-AL571/eco)^n),alpha*fck),0)</f>
      </c>
      <c r="AN571" s="30">
        <f>PM_Angle!$J$22+PM_Angle!$K$22*$C571+PM_Angle!$L$22*$B571</f>
      </c>
      <c r="AO571" s="12">
        <f>IF(AN571&gt;0,IF(AN571&lt;=eco,alpha*fck*(1-(1-AN571/eco)^n),alpha*fck),0)</f>
      </c>
      <c r="AP571" s="30">
        <f>PM_Angle!$J$23+PM_Angle!$K$23*$C571+PM_Angle!$L$23*$B571</f>
      </c>
      <c r="AQ571" s="12">
        <f>IF(AP571&gt;0,IF(AP571&lt;=eco,alpha*fck*(1-(1-AP571/eco)^n),alpha*fck),0)</f>
      </c>
      <c r="AR571" s="30">
        <f>PM_Angle!$J$24+PM_Angle!$K$24*$C571+PM_Angle!$L$24*$B571</f>
      </c>
      <c r="AS571" s="12">
        <f>IF(AR571&gt;0,IF(AR571&lt;=eco,alpha*fck*(1-(1-AR571/eco)^n),alpha*fck),0)</f>
      </c>
      <c r="AT571" s="30">
        <f>PM_Angle!$J$25+PM_Angle!$K$25*$C571+PM_Angle!$L$25*$B571</f>
      </c>
      <c r="AU571" s="12">
        <f>IF(AT571&gt;0,IF(AT571&lt;=eco,alpha*fck*(1-(1-AT571/eco)^n),alpha*fck),0)</f>
      </c>
    </row>
    <row r="572" spans="1:47" x14ac:dyDescent="0.25">
      <c r="A572">
        <f>Mesh!A569</f>
      </c>
      <c r="B572" s="12">
        <f>Mesh!B569</f>
      </c>
      <c r="C572" s="12">
        <f>Mesh!C569</f>
      </c>
      <c r="D572" s="12">
        <f>Mesh!D569</f>
      </c>
      <c r="E572" s="30">
        <f>INDEX(St_e0,Det+1)+INDEX(St_kx,Det+1)*C572+INDEX(St_ky,Det+1)*B572</f>
      </c>
      <c r="F572" s="12">
        <f>IF(E572&gt;0,IF(E572&lt;=eco,alpha*fck*(1-(1-E572/eco)^n),alpha*fck),0)</f>
      </c>
      <c r="G572" s="11">
        <f>F572*D572</f>
      </c>
      <c r="H572" s="11">
        <f>G572*C572</f>
      </c>
      <c r="I572" s="11">
        <f>G572*B572</f>
      </c>
      <c r="J572" s="30">
        <f>PM_Angle!$J$7+PM_Angle!$K$7*$C572+PM_Angle!$L$7*$B572</f>
      </c>
      <c r="K572" s="12">
        <f>IF(J572&gt;0,IF(J572&lt;=eco,alpha*fck*(1-(1-J572/eco)^n),alpha*fck),0)</f>
      </c>
      <c r="L572" s="30">
        <f>PM_Angle!$J$8+PM_Angle!$K$8*$C572+PM_Angle!$L$8*$B572</f>
      </c>
      <c r="M572" s="12">
        <f>IF(L572&gt;0,IF(L572&lt;=eco,alpha*fck*(1-(1-L572/eco)^n),alpha*fck),0)</f>
      </c>
      <c r="N572" s="30">
        <f>PM_Angle!$J$9+PM_Angle!$K$9*$C572+PM_Angle!$L$9*$B572</f>
      </c>
      <c r="O572" s="12">
        <f>IF(N572&gt;0,IF(N572&lt;=eco,alpha*fck*(1-(1-N572/eco)^n),alpha*fck),0)</f>
      </c>
      <c r="P572" s="30">
        <f>PM_Angle!$J$10+PM_Angle!$K$10*$C572+PM_Angle!$L$10*$B572</f>
      </c>
      <c r="Q572" s="12">
        <f>IF(P572&gt;0,IF(P572&lt;=eco,alpha*fck*(1-(1-P572/eco)^n),alpha*fck),0)</f>
      </c>
      <c r="R572" s="30">
        <f>PM_Angle!$J$11+PM_Angle!$K$11*$C572+PM_Angle!$L$11*$B572</f>
      </c>
      <c r="S572" s="12">
        <f>IF(R572&gt;0,IF(R572&lt;=eco,alpha*fck*(1-(1-R572/eco)^n),alpha*fck),0)</f>
      </c>
      <c r="T572" s="30">
        <f>PM_Angle!$J$12+PM_Angle!$K$12*$C572+PM_Angle!$L$12*$B572</f>
      </c>
      <c r="U572" s="12">
        <f>IF(T572&gt;0,IF(T572&lt;=eco,alpha*fck*(1-(1-T572/eco)^n),alpha*fck),0)</f>
      </c>
      <c r="V572" s="30">
        <f>PM_Angle!$J$13+PM_Angle!$K$13*$C572+PM_Angle!$L$13*$B572</f>
      </c>
      <c r="W572" s="12">
        <f>IF(V572&gt;0,IF(V572&lt;=eco,alpha*fck*(1-(1-V572/eco)^n),alpha*fck),0)</f>
      </c>
      <c r="X572" s="30">
        <f>PM_Angle!$J$14+PM_Angle!$K$14*$C572+PM_Angle!$L$14*$B572</f>
      </c>
      <c r="Y572" s="12">
        <f>IF(X572&gt;0,IF(X572&lt;=eco,alpha*fck*(1-(1-X572/eco)^n),alpha*fck),0)</f>
      </c>
      <c r="Z572" s="30">
        <f>PM_Angle!$J$15+PM_Angle!$K$15*$C572+PM_Angle!$L$15*$B572</f>
      </c>
      <c r="AA572" s="12">
        <f>IF(Z572&gt;0,IF(Z572&lt;=eco,alpha*fck*(1-(1-Z572/eco)^n),alpha*fck),0)</f>
      </c>
      <c r="AB572" s="30">
        <f>PM_Angle!$J$16+PM_Angle!$K$16*$C572+PM_Angle!$L$16*$B572</f>
      </c>
      <c r="AC572" s="12">
        <f>IF(AB572&gt;0,IF(AB572&lt;=eco,alpha*fck*(1-(1-AB572/eco)^n),alpha*fck),0)</f>
      </c>
      <c r="AD572" s="30">
        <f>PM_Angle!$J$17+PM_Angle!$K$17*$C572+PM_Angle!$L$17*$B572</f>
      </c>
      <c r="AE572" s="12">
        <f>IF(AD572&gt;0,IF(AD572&lt;=eco,alpha*fck*(1-(1-AD572/eco)^n),alpha*fck),0)</f>
      </c>
      <c r="AF572" s="30">
        <f>PM_Angle!$J$18+PM_Angle!$K$18*$C572+PM_Angle!$L$18*$B572</f>
      </c>
      <c r="AG572" s="12">
        <f>IF(AF572&gt;0,IF(AF572&lt;=eco,alpha*fck*(1-(1-AF572/eco)^n),alpha*fck),0)</f>
      </c>
      <c r="AH572" s="30">
        <f>PM_Angle!$J$19+PM_Angle!$K$19*$C572+PM_Angle!$L$19*$B572</f>
      </c>
      <c r="AI572" s="12">
        <f>IF(AH572&gt;0,IF(AH572&lt;=eco,alpha*fck*(1-(1-AH572/eco)^n),alpha*fck),0)</f>
      </c>
      <c r="AJ572" s="30">
        <f>PM_Angle!$J$20+PM_Angle!$K$20*$C572+PM_Angle!$L$20*$B572</f>
      </c>
      <c r="AK572" s="12">
        <f>IF(AJ572&gt;0,IF(AJ572&lt;=eco,alpha*fck*(1-(1-AJ572/eco)^n),alpha*fck),0)</f>
      </c>
      <c r="AL572" s="30">
        <f>PM_Angle!$J$21+PM_Angle!$K$21*$C572+PM_Angle!$L$21*$B572</f>
      </c>
      <c r="AM572" s="12">
        <f>IF(AL572&gt;0,IF(AL572&lt;=eco,alpha*fck*(1-(1-AL572/eco)^n),alpha*fck),0)</f>
      </c>
      <c r="AN572" s="30">
        <f>PM_Angle!$J$22+PM_Angle!$K$22*$C572+PM_Angle!$L$22*$B572</f>
      </c>
      <c r="AO572" s="12">
        <f>IF(AN572&gt;0,IF(AN572&lt;=eco,alpha*fck*(1-(1-AN572/eco)^n),alpha*fck),0)</f>
      </c>
      <c r="AP572" s="30">
        <f>PM_Angle!$J$23+PM_Angle!$K$23*$C572+PM_Angle!$L$23*$B572</f>
      </c>
      <c r="AQ572" s="12">
        <f>IF(AP572&gt;0,IF(AP572&lt;=eco,alpha*fck*(1-(1-AP572/eco)^n),alpha*fck),0)</f>
      </c>
      <c r="AR572" s="30">
        <f>PM_Angle!$J$24+PM_Angle!$K$24*$C572+PM_Angle!$L$24*$B572</f>
      </c>
      <c r="AS572" s="12">
        <f>IF(AR572&gt;0,IF(AR572&lt;=eco,alpha*fck*(1-(1-AR572/eco)^n),alpha*fck),0)</f>
      </c>
      <c r="AT572" s="30">
        <f>PM_Angle!$J$25+PM_Angle!$K$25*$C572+PM_Angle!$L$25*$B572</f>
      </c>
      <c r="AU572" s="12">
        <f>IF(AT572&gt;0,IF(AT572&lt;=eco,alpha*fck*(1-(1-AT572/eco)^n),alpha*fck),0)</f>
      </c>
    </row>
    <row r="573" spans="1:47" x14ac:dyDescent="0.25">
      <c r="A573">
        <f>Mesh!A570</f>
      </c>
      <c r="B573" s="12">
        <f>Mesh!B570</f>
      </c>
      <c r="C573" s="12">
        <f>Mesh!C570</f>
      </c>
      <c r="D573" s="12">
        <f>Mesh!D570</f>
      </c>
      <c r="E573" s="30">
        <f>INDEX(St_e0,Det+1)+INDEX(St_kx,Det+1)*C573+INDEX(St_ky,Det+1)*B573</f>
      </c>
      <c r="F573" s="12">
        <f>IF(E573&gt;0,IF(E573&lt;=eco,alpha*fck*(1-(1-E573/eco)^n),alpha*fck),0)</f>
      </c>
      <c r="G573" s="11">
        <f>F573*D573</f>
      </c>
      <c r="H573" s="11">
        <f>G573*C573</f>
      </c>
      <c r="I573" s="11">
        <f>G573*B573</f>
      </c>
      <c r="J573" s="30">
        <f>PM_Angle!$J$7+PM_Angle!$K$7*$C573+PM_Angle!$L$7*$B573</f>
      </c>
      <c r="K573" s="12">
        <f>IF(J573&gt;0,IF(J573&lt;=eco,alpha*fck*(1-(1-J573/eco)^n),alpha*fck),0)</f>
      </c>
      <c r="L573" s="30">
        <f>PM_Angle!$J$8+PM_Angle!$K$8*$C573+PM_Angle!$L$8*$B573</f>
      </c>
      <c r="M573" s="12">
        <f>IF(L573&gt;0,IF(L573&lt;=eco,alpha*fck*(1-(1-L573/eco)^n),alpha*fck),0)</f>
      </c>
      <c r="N573" s="30">
        <f>PM_Angle!$J$9+PM_Angle!$K$9*$C573+PM_Angle!$L$9*$B573</f>
      </c>
      <c r="O573" s="12">
        <f>IF(N573&gt;0,IF(N573&lt;=eco,alpha*fck*(1-(1-N573/eco)^n),alpha*fck),0)</f>
      </c>
      <c r="P573" s="30">
        <f>PM_Angle!$J$10+PM_Angle!$K$10*$C573+PM_Angle!$L$10*$B573</f>
      </c>
      <c r="Q573" s="12">
        <f>IF(P573&gt;0,IF(P573&lt;=eco,alpha*fck*(1-(1-P573/eco)^n),alpha*fck),0)</f>
      </c>
      <c r="R573" s="30">
        <f>PM_Angle!$J$11+PM_Angle!$K$11*$C573+PM_Angle!$L$11*$B573</f>
      </c>
      <c r="S573" s="12">
        <f>IF(R573&gt;0,IF(R573&lt;=eco,alpha*fck*(1-(1-R573/eco)^n),alpha*fck),0)</f>
      </c>
      <c r="T573" s="30">
        <f>PM_Angle!$J$12+PM_Angle!$K$12*$C573+PM_Angle!$L$12*$B573</f>
      </c>
      <c r="U573" s="12">
        <f>IF(T573&gt;0,IF(T573&lt;=eco,alpha*fck*(1-(1-T573/eco)^n),alpha*fck),0)</f>
      </c>
      <c r="V573" s="30">
        <f>PM_Angle!$J$13+PM_Angle!$K$13*$C573+PM_Angle!$L$13*$B573</f>
      </c>
      <c r="W573" s="12">
        <f>IF(V573&gt;0,IF(V573&lt;=eco,alpha*fck*(1-(1-V573/eco)^n),alpha*fck),0)</f>
      </c>
      <c r="X573" s="30">
        <f>PM_Angle!$J$14+PM_Angle!$K$14*$C573+PM_Angle!$L$14*$B573</f>
      </c>
      <c r="Y573" s="12">
        <f>IF(X573&gt;0,IF(X573&lt;=eco,alpha*fck*(1-(1-X573/eco)^n),alpha*fck),0)</f>
      </c>
      <c r="Z573" s="30">
        <f>PM_Angle!$J$15+PM_Angle!$K$15*$C573+PM_Angle!$L$15*$B573</f>
      </c>
      <c r="AA573" s="12">
        <f>IF(Z573&gt;0,IF(Z573&lt;=eco,alpha*fck*(1-(1-Z573/eco)^n),alpha*fck),0)</f>
      </c>
      <c r="AB573" s="30">
        <f>PM_Angle!$J$16+PM_Angle!$K$16*$C573+PM_Angle!$L$16*$B573</f>
      </c>
      <c r="AC573" s="12">
        <f>IF(AB573&gt;0,IF(AB573&lt;=eco,alpha*fck*(1-(1-AB573/eco)^n),alpha*fck),0)</f>
      </c>
      <c r="AD573" s="30">
        <f>PM_Angle!$J$17+PM_Angle!$K$17*$C573+PM_Angle!$L$17*$B573</f>
      </c>
      <c r="AE573" s="12">
        <f>IF(AD573&gt;0,IF(AD573&lt;=eco,alpha*fck*(1-(1-AD573/eco)^n),alpha*fck),0)</f>
      </c>
      <c r="AF573" s="30">
        <f>PM_Angle!$J$18+PM_Angle!$K$18*$C573+PM_Angle!$L$18*$B573</f>
      </c>
      <c r="AG573" s="12">
        <f>IF(AF573&gt;0,IF(AF573&lt;=eco,alpha*fck*(1-(1-AF573/eco)^n),alpha*fck),0)</f>
      </c>
      <c r="AH573" s="30">
        <f>PM_Angle!$J$19+PM_Angle!$K$19*$C573+PM_Angle!$L$19*$B573</f>
      </c>
      <c r="AI573" s="12">
        <f>IF(AH573&gt;0,IF(AH573&lt;=eco,alpha*fck*(1-(1-AH573/eco)^n),alpha*fck),0)</f>
      </c>
      <c r="AJ573" s="30">
        <f>PM_Angle!$J$20+PM_Angle!$K$20*$C573+PM_Angle!$L$20*$B573</f>
      </c>
      <c r="AK573" s="12">
        <f>IF(AJ573&gt;0,IF(AJ573&lt;=eco,alpha*fck*(1-(1-AJ573/eco)^n),alpha*fck),0)</f>
      </c>
      <c r="AL573" s="30">
        <f>PM_Angle!$J$21+PM_Angle!$K$21*$C573+PM_Angle!$L$21*$B573</f>
      </c>
      <c r="AM573" s="12">
        <f>IF(AL573&gt;0,IF(AL573&lt;=eco,alpha*fck*(1-(1-AL573/eco)^n),alpha*fck),0)</f>
      </c>
      <c r="AN573" s="30">
        <f>PM_Angle!$J$22+PM_Angle!$K$22*$C573+PM_Angle!$L$22*$B573</f>
      </c>
      <c r="AO573" s="12">
        <f>IF(AN573&gt;0,IF(AN573&lt;=eco,alpha*fck*(1-(1-AN573/eco)^n),alpha*fck),0)</f>
      </c>
      <c r="AP573" s="30">
        <f>PM_Angle!$J$23+PM_Angle!$K$23*$C573+PM_Angle!$L$23*$B573</f>
      </c>
      <c r="AQ573" s="12">
        <f>IF(AP573&gt;0,IF(AP573&lt;=eco,alpha*fck*(1-(1-AP573/eco)^n),alpha*fck),0)</f>
      </c>
      <c r="AR573" s="30">
        <f>PM_Angle!$J$24+PM_Angle!$K$24*$C573+PM_Angle!$L$24*$B573</f>
      </c>
      <c r="AS573" s="12">
        <f>IF(AR573&gt;0,IF(AR573&lt;=eco,alpha*fck*(1-(1-AR573/eco)^n),alpha*fck),0)</f>
      </c>
      <c r="AT573" s="30">
        <f>PM_Angle!$J$25+PM_Angle!$K$25*$C573+PM_Angle!$L$25*$B573</f>
      </c>
      <c r="AU573" s="12">
        <f>IF(AT573&gt;0,IF(AT573&lt;=eco,alpha*fck*(1-(1-AT573/eco)^n),alpha*fck),0)</f>
      </c>
    </row>
    <row r="574" spans="1:47" x14ac:dyDescent="0.25">
      <c r="A574">
        <f>Mesh!A571</f>
      </c>
      <c r="B574" s="12">
        <f>Mesh!B571</f>
      </c>
      <c r="C574" s="12">
        <f>Mesh!C571</f>
      </c>
      <c r="D574" s="12">
        <f>Mesh!D571</f>
      </c>
      <c r="E574" s="30">
        <f>INDEX(St_e0,Det+1)+INDEX(St_kx,Det+1)*C574+INDEX(St_ky,Det+1)*B574</f>
      </c>
      <c r="F574" s="12">
        <f>IF(E574&gt;0,IF(E574&lt;=eco,alpha*fck*(1-(1-E574/eco)^n),alpha*fck),0)</f>
      </c>
      <c r="G574" s="11">
        <f>F574*D574</f>
      </c>
      <c r="H574" s="11">
        <f>G574*C574</f>
      </c>
      <c r="I574" s="11">
        <f>G574*B574</f>
      </c>
      <c r="J574" s="30">
        <f>PM_Angle!$J$7+PM_Angle!$K$7*$C574+PM_Angle!$L$7*$B574</f>
      </c>
      <c r="K574" s="12">
        <f>IF(J574&gt;0,IF(J574&lt;=eco,alpha*fck*(1-(1-J574/eco)^n),alpha*fck),0)</f>
      </c>
      <c r="L574" s="30">
        <f>PM_Angle!$J$8+PM_Angle!$K$8*$C574+PM_Angle!$L$8*$B574</f>
      </c>
      <c r="M574" s="12">
        <f>IF(L574&gt;0,IF(L574&lt;=eco,alpha*fck*(1-(1-L574/eco)^n),alpha*fck),0)</f>
      </c>
      <c r="N574" s="30">
        <f>PM_Angle!$J$9+PM_Angle!$K$9*$C574+PM_Angle!$L$9*$B574</f>
      </c>
      <c r="O574" s="12">
        <f>IF(N574&gt;0,IF(N574&lt;=eco,alpha*fck*(1-(1-N574/eco)^n),alpha*fck),0)</f>
      </c>
      <c r="P574" s="30">
        <f>PM_Angle!$J$10+PM_Angle!$K$10*$C574+PM_Angle!$L$10*$B574</f>
      </c>
      <c r="Q574" s="12">
        <f>IF(P574&gt;0,IF(P574&lt;=eco,alpha*fck*(1-(1-P574/eco)^n),alpha*fck),0)</f>
      </c>
      <c r="R574" s="30">
        <f>PM_Angle!$J$11+PM_Angle!$K$11*$C574+PM_Angle!$L$11*$B574</f>
      </c>
      <c r="S574" s="12">
        <f>IF(R574&gt;0,IF(R574&lt;=eco,alpha*fck*(1-(1-R574/eco)^n),alpha*fck),0)</f>
      </c>
      <c r="T574" s="30">
        <f>PM_Angle!$J$12+PM_Angle!$K$12*$C574+PM_Angle!$L$12*$B574</f>
      </c>
      <c r="U574" s="12">
        <f>IF(T574&gt;0,IF(T574&lt;=eco,alpha*fck*(1-(1-T574/eco)^n),alpha*fck),0)</f>
      </c>
      <c r="V574" s="30">
        <f>PM_Angle!$J$13+PM_Angle!$K$13*$C574+PM_Angle!$L$13*$B574</f>
      </c>
      <c r="W574" s="12">
        <f>IF(V574&gt;0,IF(V574&lt;=eco,alpha*fck*(1-(1-V574/eco)^n),alpha*fck),0)</f>
      </c>
      <c r="X574" s="30">
        <f>PM_Angle!$J$14+PM_Angle!$K$14*$C574+PM_Angle!$L$14*$B574</f>
      </c>
      <c r="Y574" s="12">
        <f>IF(X574&gt;0,IF(X574&lt;=eco,alpha*fck*(1-(1-X574/eco)^n),alpha*fck),0)</f>
      </c>
      <c r="Z574" s="30">
        <f>PM_Angle!$J$15+PM_Angle!$K$15*$C574+PM_Angle!$L$15*$B574</f>
      </c>
      <c r="AA574" s="12">
        <f>IF(Z574&gt;0,IF(Z574&lt;=eco,alpha*fck*(1-(1-Z574/eco)^n),alpha*fck),0)</f>
      </c>
      <c r="AB574" s="30">
        <f>PM_Angle!$J$16+PM_Angle!$K$16*$C574+PM_Angle!$L$16*$B574</f>
      </c>
      <c r="AC574" s="12">
        <f>IF(AB574&gt;0,IF(AB574&lt;=eco,alpha*fck*(1-(1-AB574/eco)^n),alpha*fck),0)</f>
      </c>
      <c r="AD574" s="30">
        <f>PM_Angle!$J$17+PM_Angle!$K$17*$C574+PM_Angle!$L$17*$B574</f>
      </c>
      <c r="AE574" s="12">
        <f>IF(AD574&gt;0,IF(AD574&lt;=eco,alpha*fck*(1-(1-AD574/eco)^n),alpha*fck),0)</f>
      </c>
      <c r="AF574" s="30">
        <f>PM_Angle!$J$18+PM_Angle!$K$18*$C574+PM_Angle!$L$18*$B574</f>
      </c>
      <c r="AG574" s="12">
        <f>IF(AF574&gt;0,IF(AF574&lt;=eco,alpha*fck*(1-(1-AF574/eco)^n),alpha*fck),0)</f>
      </c>
      <c r="AH574" s="30">
        <f>PM_Angle!$J$19+PM_Angle!$K$19*$C574+PM_Angle!$L$19*$B574</f>
      </c>
      <c r="AI574" s="12">
        <f>IF(AH574&gt;0,IF(AH574&lt;=eco,alpha*fck*(1-(1-AH574/eco)^n),alpha*fck),0)</f>
      </c>
      <c r="AJ574" s="30">
        <f>PM_Angle!$J$20+PM_Angle!$K$20*$C574+PM_Angle!$L$20*$B574</f>
      </c>
      <c r="AK574" s="12">
        <f>IF(AJ574&gt;0,IF(AJ574&lt;=eco,alpha*fck*(1-(1-AJ574/eco)^n),alpha*fck),0)</f>
      </c>
      <c r="AL574" s="30">
        <f>PM_Angle!$J$21+PM_Angle!$K$21*$C574+PM_Angle!$L$21*$B574</f>
      </c>
      <c r="AM574" s="12">
        <f>IF(AL574&gt;0,IF(AL574&lt;=eco,alpha*fck*(1-(1-AL574/eco)^n),alpha*fck),0)</f>
      </c>
      <c r="AN574" s="30">
        <f>PM_Angle!$J$22+PM_Angle!$K$22*$C574+PM_Angle!$L$22*$B574</f>
      </c>
      <c r="AO574" s="12">
        <f>IF(AN574&gt;0,IF(AN574&lt;=eco,alpha*fck*(1-(1-AN574/eco)^n),alpha*fck),0)</f>
      </c>
      <c r="AP574" s="30">
        <f>PM_Angle!$J$23+PM_Angle!$K$23*$C574+PM_Angle!$L$23*$B574</f>
      </c>
      <c r="AQ574" s="12">
        <f>IF(AP574&gt;0,IF(AP574&lt;=eco,alpha*fck*(1-(1-AP574/eco)^n),alpha*fck),0)</f>
      </c>
      <c r="AR574" s="30">
        <f>PM_Angle!$J$24+PM_Angle!$K$24*$C574+PM_Angle!$L$24*$B574</f>
      </c>
      <c r="AS574" s="12">
        <f>IF(AR574&gt;0,IF(AR574&lt;=eco,alpha*fck*(1-(1-AR574/eco)^n),alpha*fck),0)</f>
      </c>
      <c r="AT574" s="30">
        <f>PM_Angle!$J$25+PM_Angle!$K$25*$C574+PM_Angle!$L$25*$B574</f>
      </c>
      <c r="AU574" s="12">
        <f>IF(AT574&gt;0,IF(AT574&lt;=eco,alpha*fck*(1-(1-AT574/eco)^n),alpha*fck),0)</f>
      </c>
    </row>
    <row r="575" spans="1:47" x14ac:dyDescent="0.25">
      <c r="A575">
        <f>Mesh!A572</f>
      </c>
      <c r="B575" s="12">
        <f>Mesh!B572</f>
      </c>
      <c r="C575" s="12">
        <f>Mesh!C572</f>
      </c>
      <c r="D575" s="12">
        <f>Mesh!D572</f>
      </c>
      <c r="E575" s="30">
        <f>INDEX(St_e0,Det+1)+INDEX(St_kx,Det+1)*C575+INDEX(St_ky,Det+1)*B575</f>
      </c>
      <c r="F575" s="12">
        <f>IF(E575&gt;0,IF(E575&lt;=eco,alpha*fck*(1-(1-E575/eco)^n),alpha*fck),0)</f>
      </c>
      <c r="G575" s="11">
        <f>F575*D575</f>
      </c>
      <c r="H575" s="11">
        <f>G575*C575</f>
      </c>
      <c r="I575" s="11">
        <f>G575*B575</f>
      </c>
      <c r="J575" s="30">
        <f>PM_Angle!$J$7+PM_Angle!$K$7*$C575+PM_Angle!$L$7*$B575</f>
      </c>
      <c r="K575" s="12">
        <f>IF(J575&gt;0,IF(J575&lt;=eco,alpha*fck*(1-(1-J575/eco)^n),alpha*fck),0)</f>
      </c>
      <c r="L575" s="30">
        <f>PM_Angle!$J$8+PM_Angle!$K$8*$C575+PM_Angle!$L$8*$B575</f>
      </c>
      <c r="M575" s="12">
        <f>IF(L575&gt;0,IF(L575&lt;=eco,alpha*fck*(1-(1-L575/eco)^n),alpha*fck),0)</f>
      </c>
      <c r="N575" s="30">
        <f>PM_Angle!$J$9+PM_Angle!$K$9*$C575+PM_Angle!$L$9*$B575</f>
      </c>
      <c r="O575" s="12">
        <f>IF(N575&gt;0,IF(N575&lt;=eco,alpha*fck*(1-(1-N575/eco)^n),alpha*fck),0)</f>
      </c>
      <c r="P575" s="30">
        <f>PM_Angle!$J$10+PM_Angle!$K$10*$C575+PM_Angle!$L$10*$B575</f>
      </c>
      <c r="Q575" s="12">
        <f>IF(P575&gt;0,IF(P575&lt;=eco,alpha*fck*(1-(1-P575/eco)^n),alpha*fck),0)</f>
      </c>
      <c r="R575" s="30">
        <f>PM_Angle!$J$11+PM_Angle!$K$11*$C575+PM_Angle!$L$11*$B575</f>
      </c>
      <c r="S575" s="12">
        <f>IF(R575&gt;0,IF(R575&lt;=eco,alpha*fck*(1-(1-R575/eco)^n),alpha*fck),0)</f>
      </c>
      <c r="T575" s="30">
        <f>PM_Angle!$J$12+PM_Angle!$K$12*$C575+PM_Angle!$L$12*$B575</f>
      </c>
      <c r="U575" s="12">
        <f>IF(T575&gt;0,IF(T575&lt;=eco,alpha*fck*(1-(1-T575/eco)^n),alpha*fck),0)</f>
      </c>
      <c r="V575" s="30">
        <f>PM_Angle!$J$13+PM_Angle!$K$13*$C575+PM_Angle!$L$13*$B575</f>
      </c>
      <c r="W575" s="12">
        <f>IF(V575&gt;0,IF(V575&lt;=eco,alpha*fck*(1-(1-V575/eco)^n),alpha*fck),0)</f>
      </c>
      <c r="X575" s="30">
        <f>PM_Angle!$J$14+PM_Angle!$K$14*$C575+PM_Angle!$L$14*$B575</f>
      </c>
      <c r="Y575" s="12">
        <f>IF(X575&gt;0,IF(X575&lt;=eco,alpha*fck*(1-(1-X575/eco)^n),alpha*fck),0)</f>
      </c>
      <c r="Z575" s="30">
        <f>PM_Angle!$J$15+PM_Angle!$K$15*$C575+PM_Angle!$L$15*$B575</f>
      </c>
      <c r="AA575" s="12">
        <f>IF(Z575&gt;0,IF(Z575&lt;=eco,alpha*fck*(1-(1-Z575/eco)^n),alpha*fck),0)</f>
      </c>
      <c r="AB575" s="30">
        <f>PM_Angle!$J$16+PM_Angle!$K$16*$C575+PM_Angle!$L$16*$B575</f>
      </c>
      <c r="AC575" s="12">
        <f>IF(AB575&gt;0,IF(AB575&lt;=eco,alpha*fck*(1-(1-AB575/eco)^n),alpha*fck),0)</f>
      </c>
      <c r="AD575" s="30">
        <f>PM_Angle!$J$17+PM_Angle!$K$17*$C575+PM_Angle!$L$17*$B575</f>
      </c>
      <c r="AE575" s="12">
        <f>IF(AD575&gt;0,IF(AD575&lt;=eco,alpha*fck*(1-(1-AD575/eco)^n),alpha*fck),0)</f>
      </c>
      <c r="AF575" s="30">
        <f>PM_Angle!$J$18+PM_Angle!$K$18*$C575+PM_Angle!$L$18*$B575</f>
      </c>
      <c r="AG575" s="12">
        <f>IF(AF575&gt;0,IF(AF575&lt;=eco,alpha*fck*(1-(1-AF575/eco)^n),alpha*fck),0)</f>
      </c>
      <c r="AH575" s="30">
        <f>PM_Angle!$J$19+PM_Angle!$K$19*$C575+PM_Angle!$L$19*$B575</f>
      </c>
      <c r="AI575" s="12">
        <f>IF(AH575&gt;0,IF(AH575&lt;=eco,alpha*fck*(1-(1-AH575/eco)^n),alpha*fck),0)</f>
      </c>
      <c r="AJ575" s="30">
        <f>PM_Angle!$J$20+PM_Angle!$K$20*$C575+PM_Angle!$L$20*$B575</f>
      </c>
      <c r="AK575" s="12">
        <f>IF(AJ575&gt;0,IF(AJ575&lt;=eco,alpha*fck*(1-(1-AJ575/eco)^n),alpha*fck),0)</f>
      </c>
      <c r="AL575" s="30">
        <f>PM_Angle!$J$21+PM_Angle!$K$21*$C575+PM_Angle!$L$21*$B575</f>
      </c>
      <c r="AM575" s="12">
        <f>IF(AL575&gt;0,IF(AL575&lt;=eco,alpha*fck*(1-(1-AL575/eco)^n),alpha*fck),0)</f>
      </c>
      <c r="AN575" s="30">
        <f>PM_Angle!$J$22+PM_Angle!$K$22*$C575+PM_Angle!$L$22*$B575</f>
      </c>
      <c r="AO575" s="12">
        <f>IF(AN575&gt;0,IF(AN575&lt;=eco,alpha*fck*(1-(1-AN575/eco)^n),alpha*fck),0)</f>
      </c>
      <c r="AP575" s="30">
        <f>PM_Angle!$J$23+PM_Angle!$K$23*$C575+PM_Angle!$L$23*$B575</f>
      </c>
      <c r="AQ575" s="12">
        <f>IF(AP575&gt;0,IF(AP575&lt;=eco,alpha*fck*(1-(1-AP575/eco)^n),alpha*fck),0)</f>
      </c>
      <c r="AR575" s="30">
        <f>PM_Angle!$J$24+PM_Angle!$K$24*$C575+PM_Angle!$L$24*$B575</f>
      </c>
      <c r="AS575" s="12">
        <f>IF(AR575&gt;0,IF(AR575&lt;=eco,alpha*fck*(1-(1-AR575/eco)^n),alpha*fck),0)</f>
      </c>
      <c r="AT575" s="30">
        <f>PM_Angle!$J$25+PM_Angle!$K$25*$C575+PM_Angle!$L$25*$B575</f>
      </c>
      <c r="AU575" s="12">
        <f>IF(AT575&gt;0,IF(AT575&lt;=eco,alpha*fck*(1-(1-AT575/eco)^n),alpha*fck),0)</f>
      </c>
    </row>
    <row r="576" spans="1:47" x14ac:dyDescent="0.25">
      <c r="A576">
        <f>Mesh!A573</f>
      </c>
      <c r="B576" s="12">
        <f>Mesh!B573</f>
      </c>
      <c r="C576" s="12">
        <f>Mesh!C573</f>
      </c>
      <c r="D576" s="12">
        <f>Mesh!D573</f>
      </c>
      <c r="E576" s="30">
        <f>INDEX(St_e0,Det+1)+INDEX(St_kx,Det+1)*C576+INDEX(St_ky,Det+1)*B576</f>
      </c>
      <c r="F576" s="12">
        <f>IF(E576&gt;0,IF(E576&lt;=eco,alpha*fck*(1-(1-E576/eco)^n),alpha*fck),0)</f>
      </c>
      <c r="G576" s="11">
        <f>F576*D576</f>
      </c>
      <c r="H576" s="11">
        <f>G576*C576</f>
      </c>
      <c r="I576" s="11">
        <f>G576*B576</f>
      </c>
      <c r="J576" s="30">
        <f>PM_Angle!$J$7+PM_Angle!$K$7*$C576+PM_Angle!$L$7*$B576</f>
      </c>
      <c r="K576" s="12">
        <f>IF(J576&gt;0,IF(J576&lt;=eco,alpha*fck*(1-(1-J576/eco)^n),alpha*fck),0)</f>
      </c>
      <c r="L576" s="30">
        <f>PM_Angle!$J$8+PM_Angle!$K$8*$C576+PM_Angle!$L$8*$B576</f>
      </c>
      <c r="M576" s="12">
        <f>IF(L576&gt;0,IF(L576&lt;=eco,alpha*fck*(1-(1-L576/eco)^n),alpha*fck),0)</f>
      </c>
      <c r="N576" s="30">
        <f>PM_Angle!$J$9+PM_Angle!$K$9*$C576+PM_Angle!$L$9*$B576</f>
      </c>
      <c r="O576" s="12">
        <f>IF(N576&gt;0,IF(N576&lt;=eco,alpha*fck*(1-(1-N576/eco)^n),alpha*fck),0)</f>
      </c>
      <c r="P576" s="30">
        <f>PM_Angle!$J$10+PM_Angle!$K$10*$C576+PM_Angle!$L$10*$B576</f>
      </c>
      <c r="Q576" s="12">
        <f>IF(P576&gt;0,IF(P576&lt;=eco,alpha*fck*(1-(1-P576/eco)^n),alpha*fck),0)</f>
      </c>
      <c r="R576" s="30">
        <f>PM_Angle!$J$11+PM_Angle!$K$11*$C576+PM_Angle!$L$11*$B576</f>
      </c>
      <c r="S576" s="12">
        <f>IF(R576&gt;0,IF(R576&lt;=eco,alpha*fck*(1-(1-R576/eco)^n),alpha*fck),0)</f>
      </c>
      <c r="T576" s="30">
        <f>PM_Angle!$J$12+PM_Angle!$K$12*$C576+PM_Angle!$L$12*$B576</f>
      </c>
      <c r="U576" s="12">
        <f>IF(T576&gt;0,IF(T576&lt;=eco,alpha*fck*(1-(1-T576/eco)^n),alpha*fck),0)</f>
      </c>
      <c r="V576" s="30">
        <f>PM_Angle!$J$13+PM_Angle!$K$13*$C576+PM_Angle!$L$13*$B576</f>
      </c>
      <c r="W576" s="12">
        <f>IF(V576&gt;0,IF(V576&lt;=eco,alpha*fck*(1-(1-V576/eco)^n),alpha*fck),0)</f>
      </c>
      <c r="X576" s="30">
        <f>PM_Angle!$J$14+PM_Angle!$K$14*$C576+PM_Angle!$L$14*$B576</f>
      </c>
      <c r="Y576" s="12">
        <f>IF(X576&gt;0,IF(X576&lt;=eco,alpha*fck*(1-(1-X576/eco)^n),alpha*fck),0)</f>
      </c>
      <c r="Z576" s="30">
        <f>PM_Angle!$J$15+PM_Angle!$K$15*$C576+PM_Angle!$L$15*$B576</f>
      </c>
      <c r="AA576" s="12">
        <f>IF(Z576&gt;0,IF(Z576&lt;=eco,alpha*fck*(1-(1-Z576/eco)^n),alpha*fck),0)</f>
      </c>
      <c r="AB576" s="30">
        <f>PM_Angle!$J$16+PM_Angle!$K$16*$C576+PM_Angle!$L$16*$B576</f>
      </c>
      <c r="AC576" s="12">
        <f>IF(AB576&gt;0,IF(AB576&lt;=eco,alpha*fck*(1-(1-AB576/eco)^n),alpha*fck),0)</f>
      </c>
      <c r="AD576" s="30">
        <f>PM_Angle!$J$17+PM_Angle!$K$17*$C576+PM_Angle!$L$17*$B576</f>
      </c>
      <c r="AE576" s="12">
        <f>IF(AD576&gt;0,IF(AD576&lt;=eco,alpha*fck*(1-(1-AD576/eco)^n),alpha*fck),0)</f>
      </c>
      <c r="AF576" s="30">
        <f>PM_Angle!$J$18+PM_Angle!$K$18*$C576+PM_Angle!$L$18*$B576</f>
      </c>
      <c r="AG576" s="12">
        <f>IF(AF576&gt;0,IF(AF576&lt;=eco,alpha*fck*(1-(1-AF576/eco)^n),alpha*fck),0)</f>
      </c>
      <c r="AH576" s="30">
        <f>PM_Angle!$J$19+PM_Angle!$K$19*$C576+PM_Angle!$L$19*$B576</f>
      </c>
      <c r="AI576" s="12">
        <f>IF(AH576&gt;0,IF(AH576&lt;=eco,alpha*fck*(1-(1-AH576/eco)^n),alpha*fck),0)</f>
      </c>
      <c r="AJ576" s="30">
        <f>PM_Angle!$J$20+PM_Angle!$K$20*$C576+PM_Angle!$L$20*$B576</f>
      </c>
      <c r="AK576" s="12">
        <f>IF(AJ576&gt;0,IF(AJ576&lt;=eco,alpha*fck*(1-(1-AJ576/eco)^n),alpha*fck),0)</f>
      </c>
      <c r="AL576" s="30">
        <f>PM_Angle!$J$21+PM_Angle!$K$21*$C576+PM_Angle!$L$21*$B576</f>
      </c>
      <c r="AM576" s="12">
        <f>IF(AL576&gt;0,IF(AL576&lt;=eco,alpha*fck*(1-(1-AL576/eco)^n),alpha*fck),0)</f>
      </c>
      <c r="AN576" s="30">
        <f>PM_Angle!$J$22+PM_Angle!$K$22*$C576+PM_Angle!$L$22*$B576</f>
      </c>
      <c r="AO576" s="12">
        <f>IF(AN576&gt;0,IF(AN576&lt;=eco,alpha*fck*(1-(1-AN576/eco)^n),alpha*fck),0)</f>
      </c>
      <c r="AP576" s="30">
        <f>PM_Angle!$J$23+PM_Angle!$K$23*$C576+PM_Angle!$L$23*$B576</f>
      </c>
      <c r="AQ576" s="12">
        <f>IF(AP576&gt;0,IF(AP576&lt;=eco,alpha*fck*(1-(1-AP576/eco)^n),alpha*fck),0)</f>
      </c>
      <c r="AR576" s="30">
        <f>PM_Angle!$J$24+PM_Angle!$K$24*$C576+PM_Angle!$L$24*$B576</f>
      </c>
      <c r="AS576" s="12">
        <f>IF(AR576&gt;0,IF(AR576&lt;=eco,alpha*fck*(1-(1-AR576/eco)^n),alpha*fck),0)</f>
      </c>
      <c r="AT576" s="30">
        <f>PM_Angle!$J$25+PM_Angle!$K$25*$C576+PM_Angle!$L$25*$B576</f>
      </c>
      <c r="AU576" s="12">
        <f>IF(AT576&gt;0,IF(AT576&lt;=eco,alpha*fck*(1-(1-AT576/eco)^n),alpha*fck),0)</f>
      </c>
    </row>
    <row r="577" spans="1:47" x14ac:dyDescent="0.25">
      <c r="A577">
        <f>Mesh!A574</f>
      </c>
      <c r="B577" s="12">
        <f>Mesh!B574</f>
      </c>
      <c r="C577" s="12">
        <f>Mesh!C574</f>
      </c>
      <c r="D577" s="12">
        <f>Mesh!D574</f>
      </c>
      <c r="E577" s="30">
        <f>INDEX(St_e0,Det+1)+INDEX(St_kx,Det+1)*C577+INDEX(St_ky,Det+1)*B577</f>
      </c>
      <c r="F577" s="12">
        <f>IF(E577&gt;0,IF(E577&lt;=eco,alpha*fck*(1-(1-E577/eco)^n),alpha*fck),0)</f>
      </c>
      <c r="G577" s="11">
        <f>F577*D577</f>
      </c>
      <c r="H577" s="11">
        <f>G577*C577</f>
      </c>
      <c r="I577" s="11">
        <f>G577*B577</f>
      </c>
      <c r="J577" s="30">
        <f>PM_Angle!$J$7+PM_Angle!$K$7*$C577+PM_Angle!$L$7*$B577</f>
      </c>
      <c r="K577" s="12">
        <f>IF(J577&gt;0,IF(J577&lt;=eco,alpha*fck*(1-(1-J577/eco)^n),alpha*fck),0)</f>
      </c>
      <c r="L577" s="30">
        <f>PM_Angle!$J$8+PM_Angle!$K$8*$C577+PM_Angle!$L$8*$B577</f>
      </c>
      <c r="M577" s="12">
        <f>IF(L577&gt;0,IF(L577&lt;=eco,alpha*fck*(1-(1-L577/eco)^n),alpha*fck),0)</f>
      </c>
      <c r="N577" s="30">
        <f>PM_Angle!$J$9+PM_Angle!$K$9*$C577+PM_Angle!$L$9*$B577</f>
      </c>
      <c r="O577" s="12">
        <f>IF(N577&gt;0,IF(N577&lt;=eco,alpha*fck*(1-(1-N577/eco)^n),alpha*fck),0)</f>
      </c>
      <c r="P577" s="30">
        <f>PM_Angle!$J$10+PM_Angle!$K$10*$C577+PM_Angle!$L$10*$B577</f>
      </c>
      <c r="Q577" s="12">
        <f>IF(P577&gt;0,IF(P577&lt;=eco,alpha*fck*(1-(1-P577/eco)^n),alpha*fck),0)</f>
      </c>
      <c r="R577" s="30">
        <f>PM_Angle!$J$11+PM_Angle!$K$11*$C577+PM_Angle!$L$11*$B577</f>
      </c>
      <c r="S577" s="12">
        <f>IF(R577&gt;0,IF(R577&lt;=eco,alpha*fck*(1-(1-R577/eco)^n),alpha*fck),0)</f>
      </c>
      <c r="T577" s="30">
        <f>PM_Angle!$J$12+PM_Angle!$K$12*$C577+PM_Angle!$L$12*$B577</f>
      </c>
      <c r="U577" s="12">
        <f>IF(T577&gt;0,IF(T577&lt;=eco,alpha*fck*(1-(1-T577/eco)^n),alpha*fck),0)</f>
      </c>
      <c r="V577" s="30">
        <f>PM_Angle!$J$13+PM_Angle!$K$13*$C577+PM_Angle!$L$13*$B577</f>
      </c>
      <c r="W577" s="12">
        <f>IF(V577&gt;0,IF(V577&lt;=eco,alpha*fck*(1-(1-V577/eco)^n),alpha*fck),0)</f>
      </c>
      <c r="X577" s="30">
        <f>PM_Angle!$J$14+PM_Angle!$K$14*$C577+PM_Angle!$L$14*$B577</f>
      </c>
      <c r="Y577" s="12">
        <f>IF(X577&gt;0,IF(X577&lt;=eco,alpha*fck*(1-(1-X577/eco)^n),alpha*fck),0)</f>
      </c>
      <c r="Z577" s="30">
        <f>PM_Angle!$J$15+PM_Angle!$K$15*$C577+PM_Angle!$L$15*$B577</f>
      </c>
      <c r="AA577" s="12">
        <f>IF(Z577&gt;0,IF(Z577&lt;=eco,alpha*fck*(1-(1-Z577/eco)^n),alpha*fck),0)</f>
      </c>
      <c r="AB577" s="30">
        <f>PM_Angle!$J$16+PM_Angle!$K$16*$C577+PM_Angle!$L$16*$B577</f>
      </c>
      <c r="AC577" s="12">
        <f>IF(AB577&gt;0,IF(AB577&lt;=eco,alpha*fck*(1-(1-AB577/eco)^n),alpha*fck),0)</f>
      </c>
      <c r="AD577" s="30">
        <f>PM_Angle!$J$17+PM_Angle!$K$17*$C577+PM_Angle!$L$17*$B577</f>
      </c>
      <c r="AE577" s="12">
        <f>IF(AD577&gt;0,IF(AD577&lt;=eco,alpha*fck*(1-(1-AD577/eco)^n),alpha*fck),0)</f>
      </c>
      <c r="AF577" s="30">
        <f>PM_Angle!$J$18+PM_Angle!$K$18*$C577+PM_Angle!$L$18*$B577</f>
      </c>
      <c r="AG577" s="12">
        <f>IF(AF577&gt;0,IF(AF577&lt;=eco,alpha*fck*(1-(1-AF577/eco)^n),alpha*fck),0)</f>
      </c>
      <c r="AH577" s="30">
        <f>PM_Angle!$J$19+PM_Angle!$K$19*$C577+PM_Angle!$L$19*$B577</f>
      </c>
      <c r="AI577" s="12">
        <f>IF(AH577&gt;0,IF(AH577&lt;=eco,alpha*fck*(1-(1-AH577/eco)^n),alpha*fck),0)</f>
      </c>
      <c r="AJ577" s="30">
        <f>PM_Angle!$J$20+PM_Angle!$K$20*$C577+PM_Angle!$L$20*$B577</f>
      </c>
      <c r="AK577" s="12">
        <f>IF(AJ577&gt;0,IF(AJ577&lt;=eco,alpha*fck*(1-(1-AJ577/eco)^n),alpha*fck),0)</f>
      </c>
      <c r="AL577" s="30">
        <f>PM_Angle!$J$21+PM_Angle!$K$21*$C577+PM_Angle!$L$21*$B577</f>
      </c>
      <c r="AM577" s="12">
        <f>IF(AL577&gt;0,IF(AL577&lt;=eco,alpha*fck*(1-(1-AL577/eco)^n),alpha*fck),0)</f>
      </c>
      <c r="AN577" s="30">
        <f>PM_Angle!$J$22+PM_Angle!$K$22*$C577+PM_Angle!$L$22*$B577</f>
      </c>
      <c r="AO577" s="12">
        <f>IF(AN577&gt;0,IF(AN577&lt;=eco,alpha*fck*(1-(1-AN577/eco)^n),alpha*fck),0)</f>
      </c>
      <c r="AP577" s="30">
        <f>PM_Angle!$J$23+PM_Angle!$K$23*$C577+PM_Angle!$L$23*$B577</f>
      </c>
      <c r="AQ577" s="12">
        <f>IF(AP577&gt;0,IF(AP577&lt;=eco,alpha*fck*(1-(1-AP577/eco)^n),alpha*fck),0)</f>
      </c>
      <c r="AR577" s="30">
        <f>PM_Angle!$J$24+PM_Angle!$K$24*$C577+PM_Angle!$L$24*$B577</f>
      </c>
      <c r="AS577" s="12">
        <f>IF(AR577&gt;0,IF(AR577&lt;=eco,alpha*fck*(1-(1-AR577/eco)^n),alpha*fck),0)</f>
      </c>
      <c r="AT577" s="30">
        <f>PM_Angle!$J$25+PM_Angle!$K$25*$C577+PM_Angle!$L$25*$B577</f>
      </c>
      <c r="AU577" s="12">
        <f>IF(AT577&gt;0,IF(AT577&lt;=eco,alpha*fck*(1-(1-AT577/eco)^n),alpha*fck),0)</f>
      </c>
    </row>
    <row r="578" spans="1:47" x14ac:dyDescent="0.25">
      <c r="A578">
        <f>Mesh!A575</f>
      </c>
      <c r="B578" s="12">
        <f>Mesh!B575</f>
      </c>
      <c r="C578" s="12">
        <f>Mesh!C575</f>
      </c>
      <c r="D578" s="12">
        <f>Mesh!D575</f>
      </c>
      <c r="E578" s="30">
        <f>INDEX(St_e0,Det+1)+INDEX(St_kx,Det+1)*C578+INDEX(St_ky,Det+1)*B578</f>
      </c>
      <c r="F578" s="12">
        <f>IF(E578&gt;0,IF(E578&lt;=eco,alpha*fck*(1-(1-E578/eco)^n),alpha*fck),0)</f>
      </c>
      <c r="G578" s="11">
        <f>F578*D578</f>
      </c>
      <c r="H578" s="11">
        <f>G578*C578</f>
      </c>
      <c r="I578" s="11">
        <f>G578*B578</f>
      </c>
      <c r="J578" s="30">
        <f>PM_Angle!$J$7+PM_Angle!$K$7*$C578+PM_Angle!$L$7*$B578</f>
      </c>
      <c r="K578" s="12">
        <f>IF(J578&gt;0,IF(J578&lt;=eco,alpha*fck*(1-(1-J578/eco)^n),alpha*fck),0)</f>
      </c>
      <c r="L578" s="30">
        <f>PM_Angle!$J$8+PM_Angle!$K$8*$C578+PM_Angle!$L$8*$B578</f>
      </c>
      <c r="M578" s="12">
        <f>IF(L578&gt;0,IF(L578&lt;=eco,alpha*fck*(1-(1-L578/eco)^n),alpha*fck),0)</f>
      </c>
      <c r="N578" s="30">
        <f>PM_Angle!$J$9+PM_Angle!$K$9*$C578+PM_Angle!$L$9*$B578</f>
      </c>
      <c r="O578" s="12">
        <f>IF(N578&gt;0,IF(N578&lt;=eco,alpha*fck*(1-(1-N578/eco)^n),alpha*fck),0)</f>
      </c>
      <c r="P578" s="30">
        <f>PM_Angle!$J$10+PM_Angle!$K$10*$C578+PM_Angle!$L$10*$B578</f>
      </c>
      <c r="Q578" s="12">
        <f>IF(P578&gt;0,IF(P578&lt;=eco,alpha*fck*(1-(1-P578/eco)^n),alpha*fck),0)</f>
      </c>
      <c r="R578" s="30">
        <f>PM_Angle!$J$11+PM_Angle!$K$11*$C578+PM_Angle!$L$11*$B578</f>
      </c>
      <c r="S578" s="12">
        <f>IF(R578&gt;0,IF(R578&lt;=eco,alpha*fck*(1-(1-R578/eco)^n),alpha*fck),0)</f>
      </c>
      <c r="T578" s="30">
        <f>PM_Angle!$J$12+PM_Angle!$K$12*$C578+PM_Angle!$L$12*$B578</f>
      </c>
      <c r="U578" s="12">
        <f>IF(T578&gt;0,IF(T578&lt;=eco,alpha*fck*(1-(1-T578/eco)^n),alpha*fck),0)</f>
      </c>
      <c r="V578" s="30">
        <f>PM_Angle!$J$13+PM_Angle!$K$13*$C578+PM_Angle!$L$13*$B578</f>
      </c>
      <c r="W578" s="12">
        <f>IF(V578&gt;0,IF(V578&lt;=eco,alpha*fck*(1-(1-V578/eco)^n),alpha*fck),0)</f>
      </c>
      <c r="X578" s="30">
        <f>PM_Angle!$J$14+PM_Angle!$K$14*$C578+PM_Angle!$L$14*$B578</f>
      </c>
      <c r="Y578" s="12">
        <f>IF(X578&gt;0,IF(X578&lt;=eco,alpha*fck*(1-(1-X578/eco)^n),alpha*fck),0)</f>
      </c>
      <c r="Z578" s="30">
        <f>PM_Angle!$J$15+PM_Angle!$K$15*$C578+PM_Angle!$L$15*$B578</f>
      </c>
      <c r="AA578" s="12">
        <f>IF(Z578&gt;0,IF(Z578&lt;=eco,alpha*fck*(1-(1-Z578/eco)^n),alpha*fck),0)</f>
      </c>
      <c r="AB578" s="30">
        <f>PM_Angle!$J$16+PM_Angle!$K$16*$C578+PM_Angle!$L$16*$B578</f>
      </c>
      <c r="AC578" s="12">
        <f>IF(AB578&gt;0,IF(AB578&lt;=eco,alpha*fck*(1-(1-AB578/eco)^n),alpha*fck),0)</f>
      </c>
      <c r="AD578" s="30">
        <f>PM_Angle!$J$17+PM_Angle!$K$17*$C578+PM_Angle!$L$17*$B578</f>
      </c>
      <c r="AE578" s="12">
        <f>IF(AD578&gt;0,IF(AD578&lt;=eco,alpha*fck*(1-(1-AD578/eco)^n),alpha*fck),0)</f>
      </c>
      <c r="AF578" s="30">
        <f>PM_Angle!$J$18+PM_Angle!$K$18*$C578+PM_Angle!$L$18*$B578</f>
      </c>
      <c r="AG578" s="12">
        <f>IF(AF578&gt;0,IF(AF578&lt;=eco,alpha*fck*(1-(1-AF578/eco)^n),alpha*fck),0)</f>
      </c>
      <c r="AH578" s="30">
        <f>PM_Angle!$J$19+PM_Angle!$K$19*$C578+PM_Angle!$L$19*$B578</f>
      </c>
      <c r="AI578" s="12">
        <f>IF(AH578&gt;0,IF(AH578&lt;=eco,alpha*fck*(1-(1-AH578/eco)^n),alpha*fck),0)</f>
      </c>
      <c r="AJ578" s="30">
        <f>PM_Angle!$J$20+PM_Angle!$K$20*$C578+PM_Angle!$L$20*$B578</f>
      </c>
      <c r="AK578" s="12">
        <f>IF(AJ578&gt;0,IF(AJ578&lt;=eco,alpha*fck*(1-(1-AJ578/eco)^n),alpha*fck),0)</f>
      </c>
      <c r="AL578" s="30">
        <f>PM_Angle!$J$21+PM_Angle!$K$21*$C578+PM_Angle!$L$21*$B578</f>
      </c>
      <c r="AM578" s="12">
        <f>IF(AL578&gt;0,IF(AL578&lt;=eco,alpha*fck*(1-(1-AL578/eco)^n),alpha*fck),0)</f>
      </c>
      <c r="AN578" s="30">
        <f>PM_Angle!$J$22+PM_Angle!$K$22*$C578+PM_Angle!$L$22*$B578</f>
      </c>
      <c r="AO578" s="12">
        <f>IF(AN578&gt;0,IF(AN578&lt;=eco,alpha*fck*(1-(1-AN578/eco)^n),alpha*fck),0)</f>
      </c>
      <c r="AP578" s="30">
        <f>PM_Angle!$J$23+PM_Angle!$K$23*$C578+PM_Angle!$L$23*$B578</f>
      </c>
      <c r="AQ578" s="12">
        <f>IF(AP578&gt;0,IF(AP578&lt;=eco,alpha*fck*(1-(1-AP578/eco)^n),alpha*fck),0)</f>
      </c>
      <c r="AR578" s="30">
        <f>PM_Angle!$J$24+PM_Angle!$K$24*$C578+PM_Angle!$L$24*$B578</f>
      </c>
      <c r="AS578" s="12">
        <f>IF(AR578&gt;0,IF(AR578&lt;=eco,alpha*fck*(1-(1-AR578/eco)^n),alpha*fck),0)</f>
      </c>
      <c r="AT578" s="30">
        <f>PM_Angle!$J$25+PM_Angle!$K$25*$C578+PM_Angle!$L$25*$B578</f>
      </c>
      <c r="AU578" s="12">
        <f>IF(AT578&gt;0,IF(AT578&lt;=eco,alpha*fck*(1-(1-AT578/eco)^n),alpha*fck),0)</f>
      </c>
    </row>
    <row r="579" spans="1:47" x14ac:dyDescent="0.25">
      <c r="A579">
        <f>Mesh!A576</f>
      </c>
      <c r="B579" s="12">
        <f>Mesh!B576</f>
      </c>
      <c r="C579" s="12">
        <f>Mesh!C576</f>
      </c>
      <c r="D579" s="12">
        <f>Mesh!D576</f>
      </c>
      <c r="E579" s="30">
        <f>INDEX(St_e0,Det+1)+INDEX(St_kx,Det+1)*C579+INDEX(St_ky,Det+1)*B579</f>
      </c>
      <c r="F579" s="12">
        <f>IF(E579&gt;0,IF(E579&lt;=eco,alpha*fck*(1-(1-E579/eco)^n),alpha*fck),0)</f>
      </c>
      <c r="G579" s="11">
        <f>F579*D579</f>
      </c>
      <c r="H579" s="11">
        <f>G579*C579</f>
      </c>
      <c r="I579" s="11">
        <f>G579*B579</f>
      </c>
      <c r="J579" s="30">
        <f>PM_Angle!$J$7+PM_Angle!$K$7*$C579+PM_Angle!$L$7*$B579</f>
      </c>
      <c r="K579" s="12">
        <f>IF(J579&gt;0,IF(J579&lt;=eco,alpha*fck*(1-(1-J579/eco)^n),alpha*fck),0)</f>
      </c>
      <c r="L579" s="30">
        <f>PM_Angle!$J$8+PM_Angle!$K$8*$C579+PM_Angle!$L$8*$B579</f>
      </c>
      <c r="M579" s="12">
        <f>IF(L579&gt;0,IF(L579&lt;=eco,alpha*fck*(1-(1-L579/eco)^n),alpha*fck),0)</f>
      </c>
      <c r="N579" s="30">
        <f>PM_Angle!$J$9+PM_Angle!$K$9*$C579+PM_Angle!$L$9*$B579</f>
      </c>
      <c r="O579" s="12">
        <f>IF(N579&gt;0,IF(N579&lt;=eco,alpha*fck*(1-(1-N579/eco)^n),alpha*fck),0)</f>
      </c>
      <c r="P579" s="30">
        <f>PM_Angle!$J$10+PM_Angle!$K$10*$C579+PM_Angle!$L$10*$B579</f>
      </c>
      <c r="Q579" s="12">
        <f>IF(P579&gt;0,IF(P579&lt;=eco,alpha*fck*(1-(1-P579/eco)^n),alpha*fck),0)</f>
      </c>
      <c r="R579" s="30">
        <f>PM_Angle!$J$11+PM_Angle!$K$11*$C579+PM_Angle!$L$11*$B579</f>
      </c>
      <c r="S579" s="12">
        <f>IF(R579&gt;0,IF(R579&lt;=eco,alpha*fck*(1-(1-R579/eco)^n),alpha*fck),0)</f>
      </c>
      <c r="T579" s="30">
        <f>PM_Angle!$J$12+PM_Angle!$K$12*$C579+PM_Angle!$L$12*$B579</f>
      </c>
      <c r="U579" s="12">
        <f>IF(T579&gt;0,IF(T579&lt;=eco,alpha*fck*(1-(1-T579/eco)^n),alpha*fck),0)</f>
      </c>
      <c r="V579" s="30">
        <f>PM_Angle!$J$13+PM_Angle!$K$13*$C579+PM_Angle!$L$13*$B579</f>
      </c>
      <c r="W579" s="12">
        <f>IF(V579&gt;0,IF(V579&lt;=eco,alpha*fck*(1-(1-V579/eco)^n),alpha*fck),0)</f>
      </c>
      <c r="X579" s="30">
        <f>PM_Angle!$J$14+PM_Angle!$K$14*$C579+PM_Angle!$L$14*$B579</f>
      </c>
      <c r="Y579" s="12">
        <f>IF(X579&gt;0,IF(X579&lt;=eco,alpha*fck*(1-(1-X579/eco)^n),alpha*fck),0)</f>
      </c>
      <c r="Z579" s="30">
        <f>PM_Angle!$J$15+PM_Angle!$K$15*$C579+PM_Angle!$L$15*$B579</f>
      </c>
      <c r="AA579" s="12">
        <f>IF(Z579&gt;0,IF(Z579&lt;=eco,alpha*fck*(1-(1-Z579/eco)^n),alpha*fck),0)</f>
      </c>
      <c r="AB579" s="30">
        <f>PM_Angle!$J$16+PM_Angle!$K$16*$C579+PM_Angle!$L$16*$B579</f>
      </c>
      <c r="AC579" s="12">
        <f>IF(AB579&gt;0,IF(AB579&lt;=eco,alpha*fck*(1-(1-AB579/eco)^n),alpha*fck),0)</f>
      </c>
      <c r="AD579" s="30">
        <f>PM_Angle!$J$17+PM_Angle!$K$17*$C579+PM_Angle!$L$17*$B579</f>
      </c>
      <c r="AE579" s="12">
        <f>IF(AD579&gt;0,IF(AD579&lt;=eco,alpha*fck*(1-(1-AD579/eco)^n),alpha*fck),0)</f>
      </c>
      <c r="AF579" s="30">
        <f>PM_Angle!$J$18+PM_Angle!$K$18*$C579+PM_Angle!$L$18*$B579</f>
      </c>
      <c r="AG579" s="12">
        <f>IF(AF579&gt;0,IF(AF579&lt;=eco,alpha*fck*(1-(1-AF579/eco)^n),alpha*fck),0)</f>
      </c>
      <c r="AH579" s="30">
        <f>PM_Angle!$J$19+PM_Angle!$K$19*$C579+PM_Angle!$L$19*$B579</f>
      </c>
      <c r="AI579" s="12">
        <f>IF(AH579&gt;0,IF(AH579&lt;=eco,alpha*fck*(1-(1-AH579/eco)^n),alpha*fck),0)</f>
      </c>
      <c r="AJ579" s="30">
        <f>PM_Angle!$J$20+PM_Angle!$K$20*$C579+PM_Angle!$L$20*$B579</f>
      </c>
      <c r="AK579" s="12">
        <f>IF(AJ579&gt;0,IF(AJ579&lt;=eco,alpha*fck*(1-(1-AJ579/eco)^n),alpha*fck),0)</f>
      </c>
      <c r="AL579" s="30">
        <f>PM_Angle!$J$21+PM_Angle!$K$21*$C579+PM_Angle!$L$21*$B579</f>
      </c>
      <c r="AM579" s="12">
        <f>IF(AL579&gt;0,IF(AL579&lt;=eco,alpha*fck*(1-(1-AL579/eco)^n),alpha*fck),0)</f>
      </c>
      <c r="AN579" s="30">
        <f>PM_Angle!$J$22+PM_Angle!$K$22*$C579+PM_Angle!$L$22*$B579</f>
      </c>
      <c r="AO579" s="12">
        <f>IF(AN579&gt;0,IF(AN579&lt;=eco,alpha*fck*(1-(1-AN579/eco)^n),alpha*fck),0)</f>
      </c>
      <c r="AP579" s="30">
        <f>PM_Angle!$J$23+PM_Angle!$K$23*$C579+PM_Angle!$L$23*$B579</f>
      </c>
      <c r="AQ579" s="12">
        <f>IF(AP579&gt;0,IF(AP579&lt;=eco,alpha*fck*(1-(1-AP579/eco)^n),alpha*fck),0)</f>
      </c>
      <c r="AR579" s="30">
        <f>PM_Angle!$J$24+PM_Angle!$K$24*$C579+PM_Angle!$L$24*$B579</f>
      </c>
      <c r="AS579" s="12">
        <f>IF(AR579&gt;0,IF(AR579&lt;=eco,alpha*fck*(1-(1-AR579/eco)^n),alpha*fck),0)</f>
      </c>
      <c r="AT579" s="30">
        <f>PM_Angle!$J$25+PM_Angle!$K$25*$C579+PM_Angle!$L$25*$B579</f>
      </c>
      <c r="AU579" s="12">
        <f>IF(AT579&gt;0,IF(AT579&lt;=eco,alpha*fck*(1-(1-AT579/eco)^n),alpha*fck),0)</f>
      </c>
    </row>
    <row r="580" spans="1:47" x14ac:dyDescent="0.25">
      <c r="A580">
        <f>Mesh!A577</f>
      </c>
      <c r="B580" s="12">
        <f>Mesh!B577</f>
      </c>
      <c r="C580" s="12">
        <f>Mesh!C577</f>
      </c>
      <c r="D580" s="12">
        <f>Mesh!D577</f>
      </c>
      <c r="E580" s="30">
        <f>INDEX(St_e0,Det+1)+INDEX(St_kx,Det+1)*C580+INDEX(St_ky,Det+1)*B580</f>
      </c>
      <c r="F580" s="12">
        <f>IF(E580&gt;0,IF(E580&lt;=eco,alpha*fck*(1-(1-E580/eco)^n),alpha*fck),0)</f>
      </c>
      <c r="G580" s="11">
        <f>F580*D580</f>
      </c>
      <c r="H580" s="11">
        <f>G580*C580</f>
      </c>
      <c r="I580" s="11">
        <f>G580*B580</f>
      </c>
      <c r="J580" s="30">
        <f>PM_Angle!$J$7+PM_Angle!$K$7*$C580+PM_Angle!$L$7*$B580</f>
      </c>
      <c r="K580" s="12">
        <f>IF(J580&gt;0,IF(J580&lt;=eco,alpha*fck*(1-(1-J580/eco)^n),alpha*fck),0)</f>
      </c>
      <c r="L580" s="30">
        <f>PM_Angle!$J$8+PM_Angle!$K$8*$C580+PM_Angle!$L$8*$B580</f>
      </c>
      <c r="M580" s="12">
        <f>IF(L580&gt;0,IF(L580&lt;=eco,alpha*fck*(1-(1-L580/eco)^n),alpha*fck),0)</f>
      </c>
      <c r="N580" s="30">
        <f>PM_Angle!$J$9+PM_Angle!$K$9*$C580+PM_Angle!$L$9*$B580</f>
      </c>
      <c r="O580" s="12">
        <f>IF(N580&gt;0,IF(N580&lt;=eco,alpha*fck*(1-(1-N580/eco)^n),alpha*fck),0)</f>
      </c>
      <c r="P580" s="30">
        <f>PM_Angle!$J$10+PM_Angle!$K$10*$C580+PM_Angle!$L$10*$B580</f>
      </c>
      <c r="Q580" s="12">
        <f>IF(P580&gt;0,IF(P580&lt;=eco,alpha*fck*(1-(1-P580/eco)^n),alpha*fck),0)</f>
      </c>
      <c r="R580" s="30">
        <f>PM_Angle!$J$11+PM_Angle!$K$11*$C580+PM_Angle!$L$11*$B580</f>
      </c>
      <c r="S580" s="12">
        <f>IF(R580&gt;0,IF(R580&lt;=eco,alpha*fck*(1-(1-R580/eco)^n),alpha*fck),0)</f>
      </c>
      <c r="T580" s="30">
        <f>PM_Angle!$J$12+PM_Angle!$K$12*$C580+PM_Angle!$L$12*$B580</f>
      </c>
      <c r="U580" s="12">
        <f>IF(T580&gt;0,IF(T580&lt;=eco,alpha*fck*(1-(1-T580/eco)^n),alpha*fck),0)</f>
      </c>
      <c r="V580" s="30">
        <f>PM_Angle!$J$13+PM_Angle!$K$13*$C580+PM_Angle!$L$13*$B580</f>
      </c>
      <c r="W580" s="12">
        <f>IF(V580&gt;0,IF(V580&lt;=eco,alpha*fck*(1-(1-V580/eco)^n),alpha*fck),0)</f>
      </c>
      <c r="X580" s="30">
        <f>PM_Angle!$J$14+PM_Angle!$K$14*$C580+PM_Angle!$L$14*$B580</f>
      </c>
      <c r="Y580" s="12">
        <f>IF(X580&gt;0,IF(X580&lt;=eco,alpha*fck*(1-(1-X580/eco)^n),alpha*fck),0)</f>
      </c>
      <c r="Z580" s="30">
        <f>PM_Angle!$J$15+PM_Angle!$K$15*$C580+PM_Angle!$L$15*$B580</f>
      </c>
      <c r="AA580" s="12">
        <f>IF(Z580&gt;0,IF(Z580&lt;=eco,alpha*fck*(1-(1-Z580/eco)^n),alpha*fck),0)</f>
      </c>
      <c r="AB580" s="30">
        <f>PM_Angle!$J$16+PM_Angle!$K$16*$C580+PM_Angle!$L$16*$B580</f>
      </c>
      <c r="AC580" s="12">
        <f>IF(AB580&gt;0,IF(AB580&lt;=eco,alpha*fck*(1-(1-AB580/eco)^n),alpha*fck),0)</f>
      </c>
      <c r="AD580" s="30">
        <f>PM_Angle!$J$17+PM_Angle!$K$17*$C580+PM_Angle!$L$17*$B580</f>
      </c>
      <c r="AE580" s="12">
        <f>IF(AD580&gt;0,IF(AD580&lt;=eco,alpha*fck*(1-(1-AD580/eco)^n),alpha*fck),0)</f>
      </c>
      <c r="AF580" s="30">
        <f>PM_Angle!$J$18+PM_Angle!$K$18*$C580+PM_Angle!$L$18*$B580</f>
      </c>
      <c r="AG580" s="12">
        <f>IF(AF580&gt;0,IF(AF580&lt;=eco,alpha*fck*(1-(1-AF580/eco)^n),alpha*fck),0)</f>
      </c>
      <c r="AH580" s="30">
        <f>PM_Angle!$J$19+PM_Angle!$K$19*$C580+PM_Angle!$L$19*$B580</f>
      </c>
      <c r="AI580" s="12">
        <f>IF(AH580&gt;0,IF(AH580&lt;=eco,alpha*fck*(1-(1-AH580/eco)^n),alpha*fck),0)</f>
      </c>
      <c r="AJ580" s="30">
        <f>PM_Angle!$J$20+PM_Angle!$K$20*$C580+PM_Angle!$L$20*$B580</f>
      </c>
      <c r="AK580" s="12">
        <f>IF(AJ580&gt;0,IF(AJ580&lt;=eco,alpha*fck*(1-(1-AJ580/eco)^n),alpha*fck),0)</f>
      </c>
      <c r="AL580" s="30">
        <f>PM_Angle!$J$21+PM_Angle!$K$21*$C580+PM_Angle!$L$21*$B580</f>
      </c>
      <c r="AM580" s="12">
        <f>IF(AL580&gt;0,IF(AL580&lt;=eco,alpha*fck*(1-(1-AL580/eco)^n),alpha*fck),0)</f>
      </c>
      <c r="AN580" s="30">
        <f>PM_Angle!$J$22+PM_Angle!$K$22*$C580+PM_Angle!$L$22*$B580</f>
      </c>
      <c r="AO580" s="12">
        <f>IF(AN580&gt;0,IF(AN580&lt;=eco,alpha*fck*(1-(1-AN580/eco)^n),alpha*fck),0)</f>
      </c>
      <c r="AP580" s="30">
        <f>PM_Angle!$J$23+PM_Angle!$K$23*$C580+PM_Angle!$L$23*$B580</f>
      </c>
      <c r="AQ580" s="12">
        <f>IF(AP580&gt;0,IF(AP580&lt;=eco,alpha*fck*(1-(1-AP580/eco)^n),alpha*fck),0)</f>
      </c>
      <c r="AR580" s="30">
        <f>PM_Angle!$J$24+PM_Angle!$K$24*$C580+PM_Angle!$L$24*$B580</f>
      </c>
      <c r="AS580" s="12">
        <f>IF(AR580&gt;0,IF(AR580&lt;=eco,alpha*fck*(1-(1-AR580/eco)^n),alpha*fck),0)</f>
      </c>
      <c r="AT580" s="30">
        <f>PM_Angle!$J$25+PM_Angle!$K$25*$C580+PM_Angle!$L$25*$B580</f>
      </c>
      <c r="AU580" s="12">
        <f>IF(AT580&gt;0,IF(AT580&lt;=eco,alpha*fck*(1-(1-AT580/eco)^n),alpha*fck),0)</f>
      </c>
    </row>
    <row r="581" spans="1:47" x14ac:dyDescent="0.25">
      <c r="A581">
        <f>Mesh!A578</f>
      </c>
      <c r="B581" s="12">
        <f>Mesh!B578</f>
      </c>
      <c r="C581" s="12">
        <f>Mesh!C578</f>
      </c>
      <c r="D581" s="12">
        <f>Mesh!D578</f>
      </c>
      <c r="E581" s="30">
        <f>INDEX(St_e0,Det+1)+INDEX(St_kx,Det+1)*C581+INDEX(St_ky,Det+1)*B581</f>
      </c>
      <c r="F581" s="12">
        <f>IF(E581&gt;0,IF(E581&lt;=eco,alpha*fck*(1-(1-E581/eco)^n),alpha*fck),0)</f>
      </c>
      <c r="G581" s="11">
        <f>F581*D581</f>
      </c>
      <c r="H581" s="11">
        <f>G581*C581</f>
      </c>
      <c r="I581" s="11">
        <f>G581*B581</f>
      </c>
      <c r="J581" s="30">
        <f>PM_Angle!$J$7+PM_Angle!$K$7*$C581+PM_Angle!$L$7*$B581</f>
      </c>
      <c r="K581" s="12">
        <f>IF(J581&gt;0,IF(J581&lt;=eco,alpha*fck*(1-(1-J581/eco)^n),alpha*fck),0)</f>
      </c>
      <c r="L581" s="30">
        <f>PM_Angle!$J$8+PM_Angle!$K$8*$C581+PM_Angle!$L$8*$B581</f>
      </c>
      <c r="M581" s="12">
        <f>IF(L581&gt;0,IF(L581&lt;=eco,alpha*fck*(1-(1-L581/eco)^n),alpha*fck),0)</f>
      </c>
      <c r="N581" s="30">
        <f>PM_Angle!$J$9+PM_Angle!$K$9*$C581+PM_Angle!$L$9*$B581</f>
      </c>
      <c r="O581" s="12">
        <f>IF(N581&gt;0,IF(N581&lt;=eco,alpha*fck*(1-(1-N581/eco)^n),alpha*fck),0)</f>
      </c>
      <c r="P581" s="30">
        <f>PM_Angle!$J$10+PM_Angle!$K$10*$C581+PM_Angle!$L$10*$B581</f>
      </c>
      <c r="Q581" s="12">
        <f>IF(P581&gt;0,IF(P581&lt;=eco,alpha*fck*(1-(1-P581/eco)^n),alpha*fck),0)</f>
      </c>
      <c r="R581" s="30">
        <f>PM_Angle!$J$11+PM_Angle!$K$11*$C581+PM_Angle!$L$11*$B581</f>
      </c>
      <c r="S581" s="12">
        <f>IF(R581&gt;0,IF(R581&lt;=eco,alpha*fck*(1-(1-R581/eco)^n),alpha*fck),0)</f>
      </c>
      <c r="T581" s="30">
        <f>PM_Angle!$J$12+PM_Angle!$K$12*$C581+PM_Angle!$L$12*$B581</f>
      </c>
      <c r="U581" s="12">
        <f>IF(T581&gt;0,IF(T581&lt;=eco,alpha*fck*(1-(1-T581/eco)^n),alpha*fck),0)</f>
      </c>
      <c r="V581" s="30">
        <f>PM_Angle!$J$13+PM_Angle!$K$13*$C581+PM_Angle!$L$13*$B581</f>
      </c>
      <c r="W581" s="12">
        <f>IF(V581&gt;0,IF(V581&lt;=eco,alpha*fck*(1-(1-V581/eco)^n),alpha*fck),0)</f>
      </c>
      <c r="X581" s="30">
        <f>PM_Angle!$J$14+PM_Angle!$K$14*$C581+PM_Angle!$L$14*$B581</f>
      </c>
      <c r="Y581" s="12">
        <f>IF(X581&gt;0,IF(X581&lt;=eco,alpha*fck*(1-(1-X581/eco)^n),alpha*fck),0)</f>
      </c>
      <c r="Z581" s="30">
        <f>PM_Angle!$J$15+PM_Angle!$K$15*$C581+PM_Angle!$L$15*$B581</f>
      </c>
      <c r="AA581" s="12">
        <f>IF(Z581&gt;0,IF(Z581&lt;=eco,alpha*fck*(1-(1-Z581/eco)^n),alpha*fck),0)</f>
      </c>
      <c r="AB581" s="30">
        <f>PM_Angle!$J$16+PM_Angle!$K$16*$C581+PM_Angle!$L$16*$B581</f>
      </c>
      <c r="AC581" s="12">
        <f>IF(AB581&gt;0,IF(AB581&lt;=eco,alpha*fck*(1-(1-AB581/eco)^n),alpha*fck),0)</f>
      </c>
      <c r="AD581" s="30">
        <f>PM_Angle!$J$17+PM_Angle!$K$17*$C581+PM_Angle!$L$17*$B581</f>
      </c>
      <c r="AE581" s="12">
        <f>IF(AD581&gt;0,IF(AD581&lt;=eco,alpha*fck*(1-(1-AD581/eco)^n),alpha*fck),0)</f>
      </c>
      <c r="AF581" s="30">
        <f>PM_Angle!$J$18+PM_Angle!$K$18*$C581+PM_Angle!$L$18*$B581</f>
      </c>
      <c r="AG581" s="12">
        <f>IF(AF581&gt;0,IF(AF581&lt;=eco,alpha*fck*(1-(1-AF581/eco)^n),alpha*fck),0)</f>
      </c>
      <c r="AH581" s="30">
        <f>PM_Angle!$J$19+PM_Angle!$K$19*$C581+PM_Angle!$L$19*$B581</f>
      </c>
      <c r="AI581" s="12">
        <f>IF(AH581&gt;0,IF(AH581&lt;=eco,alpha*fck*(1-(1-AH581/eco)^n),alpha*fck),0)</f>
      </c>
      <c r="AJ581" s="30">
        <f>PM_Angle!$J$20+PM_Angle!$K$20*$C581+PM_Angle!$L$20*$B581</f>
      </c>
      <c r="AK581" s="12">
        <f>IF(AJ581&gt;0,IF(AJ581&lt;=eco,alpha*fck*(1-(1-AJ581/eco)^n),alpha*fck),0)</f>
      </c>
      <c r="AL581" s="30">
        <f>PM_Angle!$J$21+PM_Angle!$K$21*$C581+PM_Angle!$L$21*$B581</f>
      </c>
      <c r="AM581" s="12">
        <f>IF(AL581&gt;0,IF(AL581&lt;=eco,alpha*fck*(1-(1-AL581/eco)^n),alpha*fck),0)</f>
      </c>
      <c r="AN581" s="30">
        <f>PM_Angle!$J$22+PM_Angle!$K$22*$C581+PM_Angle!$L$22*$B581</f>
      </c>
      <c r="AO581" s="12">
        <f>IF(AN581&gt;0,IF(AN581&lt;=eco,alpha*fck*(1-(1-AN581/eco)^n),alpha*fck),0)</f>
      </c>
      <c r="AP581" s="30">
        <f>PM_Angle!$J$23+PM_Angle!$K$23*$C581+PM_Angle!$L$23*$B581</f>
      </c>
      <c r="AQ581" s="12">
        <f>IF(AP581&gt;0,IF(AP581&lt;=eco,alpha*fck*(1-(1-AP581/eco)^n),alpha*fck),0)</f>
      </c>
      <c r="AR581" s="30">
        <f>PM_Angle!$J$24+PM_Angle!$K$24*$C581+PM_Angle!$L$24*$B581</f>
      </c>
      <c r="AS581" s="12">
        <f>IF(AR581&gt;0,IF(AR581&lt;=eco,alpha*fck*(1-(1-AR581/eco)^n),alpha*fck),0)</f>
      </c>
      <c r="AT581" s="30">
        <f>PM_Angle!$J$25+PM_Angle!$K$25*$C581+PM_Angle!$L$25*$B581</f>
      </c>
      <c r="AU581" s="12">
        <f>IF(AT581&gt;0,IF(AT581&lt;=eco,alpha*fck*(1-(1-AT581/eco)^n),alpha*fck),0)</f>
      </c>
    </row>
    <row r="582" spans="1:47" x14ac:dyDescent="0.25">
      <c r="A582">
        <f>Mesh!A579</f>
      </c>
      <c r="B582" s="12">
        <f>Mesh!B579</f>
      </c>
      <c r="C582" s="12">
        <f>Mesh!C579</f>
      </c>
      <c r="D582" s="12">
        <f>Mesh!D579</f>
      </c>
      <c r="E582" s="30">
        <f>INDEX(St_e0,Det+1)+INDEX(St_kx,Det+1)*C582+INDEX(St_ky,Det+1)*B582</f>
      </c>
      <c r="F582" s="12">
        <f>IF(E582&gt;0,IF(E582&lt;=eco,alpha*fck*(1-(1-E582/eco)^n),alpha*fck),0)</f>
      </c>
      <c r="G582" s="11">
        <f>F582*D582</f>
      </c>
      <c r="H582" s="11">
        <f>G582*C582</f>
      </c>
      <c r="I582" s="11">
        <f>G582*B582</f>
      </c>
      <c r="J582" s="30">
        <f>PM_Angle!$J$7+PM_Angle!$K$7*$C582+PM_Angle!$L$7*$B582</f>
      </c>
      <c r="K582" s="12">
        <f>IF(J582&gt;0,IF(J582&lt;=eco,alpha*fck*(1-(1-J582/eco)^n),alpha*fck),0)</f>
      </c>
      <c r="L582" s="30">
        <f>PM_Angle!$J$8+PM_Angle!$K$8*$C582+PM_Angle!$L$8*$B582</f>
      </c>
      <c r="M582" s="12">
        <f>IF(L582&gt;0,IF(L582&lt;=eco,alpha*fck*(1-(1-L582/eco)^n),alpha*fck),0)</f>
      </c>
      <c r="N582" s="30">
        <f>PM_Angle!$J$9+PM_Angle!$K$9*$C582+PM_Angle!$L$9*$B582</f>
      </c>
      <c r="O582" s="12">
        <f>IF(N582&gt;0,IF(N582&lt;=eco,alpha*fck*(1-(1-N582/eco)^n),alpha*fck),0)</f>
      </c>
      <c r="P582" s="30">
        <f>PM_Angle!$J$10+PM_Angle!$K$10*$C582+PM_Angle!$L$10*$B582</f>
      </c>
      <c r="Q582" s="12">
        <f>IF(P582&gt;0,IF(P582&lt;=eco,alpha*fck*(1-(1-P582/eco)^n),alpha*fck),0)</f>
      </c>
      <c r="R582" s="30">
        <f>PM_Angle!$J$11+PM_Angle!$K$11*$C582+PM_Angle!$L$11*$B582</f>
      </c>
      <c r="S582" s="12">
        <f>IF(R582&gt;0,IF(R582&lt;=eco,alpha*fck*(1-(1-R582/eco)^n),alpha*fck),0)</f>
      </c>
      <c r="T582" s="30">
        <f>PM_Angle!$J$12+PM_Angle!$K$12*$C582+PM_Angle!$L$12*$B582</f>
      </c>
      <c r="U582" s="12">
        <f>IF(T582&gt;0,IF(T582&lt;=eco,alpha*fck*(1-(1-T582/eco)^n),alpha*fck),0)</f>
      </c>
      <c r="V582" s="30">
        <f>PM_Angle!$J$13+PM_Angle!$K$13*$C582+PM_Angle!$L$13*$B582</f>
      </c>
      <c r="W582" s="12">
        <f>IF(V582&gt;0,IF(V582&lt;=eco,alpha*fck*(1-(1-V582/eco)^n),alpha*fck),0)</f>
      </c>
      <c r="X582" s="30">
        <f>PM_Angle!$J$14+PM_Angle!$K$14*$C582+PM_Angle!$L$14*$B582</f>
      </c>
      <c r="Y582" s="12">
        <f>IF(X582&gt;0,IF(X582&lt;=eco,alpha*fck*(1-(1-X582/eco)^n),alpha*fck),0)</f>
      </c>
      <c r="Z582" s="30">
        <f>PM_Angle!$J$15+PM_Angle!$K$15*$C582+PM_Angle!$L$15*$B582</f>
      </c>
      <c r="AA582" s="12">
        <f>IF(Z582&gt;0,IF(Z582&lt;=eco,alpha*fck*(1-(1-Z582/eco)^n),alpha*fck),0)</f>
      </c>
      <c r="AB582" s="30">
        <f>PM_Angle!$J$16+PM_Angle!$K$16*$C582+PM_Angle!$L$16*$B582</f>
      </c>
      <c r="AC582" s="12">
        <f>IF(AB582&gt;0,IF(AB582&lt;=eco,alpha*fck*(1-(1-AB582/eco)^n),alpha*fck),0)</f>
      </c>
      <c r="AD582" s="30">
        <f>PM_Angle!$J$17+PM_Angle!$K$17*$C582+PM_Angle!$L$17*$B582</f>
      </c>
      <c r="AE582" s="12">
        <f>IF(AD582&gt;0,IF(AD582&lt;=eco,alpha*fck*(1-(1-AD582/eco)^n),alpha*fck),0)</f>
      </c>
      <c r="AF582" s="30">
        <f>PM_Angle!$J$18+PM_Angle!$K$18*$C582+PM_Angle!$L$18*$B582</f>
      </c>
      <c r="AG582" s="12">
        <f>IF(AF582&gt;0,IF(AF582&lt;=eco,alpha*fck*(1-(1-AF582/eco)^n),alpha*fck),0)</f>
      </c>
      <c r="AH582" s="30">
        <f>PM_Angle!$J$19+PM_Angle!$K$19*$C582+PM_Angle!$L$19*$B582</f>
      </c>
      <c r="AI582" s="12">
        <f>IF(AH582&gt;0,IF(AH582&lt;=eco,alpha*fck*(1-(1-AH582/eco)^n),alpha*fck),0)</f>
      </c>
      <c r="AJ582" s="30">
        <f>PM_Angle!$J$20+PM_Angle!$K$20*$C582+PM_Angle!$L$20*$B582</f>
      </c>
      <c r="AK582" s="12">
        <f>IF(AJ582&gt;0,IF(AJ582&lt;=eco,alpha*fck*(1-(1-AJ582/eco)^n),alpha*fck),0)</f>
      </c>
      <c r="AL582" s="30">
        <f>PM_Angle!$J$21+PM_Angle!$K$21*$C582+PM_Angle!$L$21*$B582</f>
      </c>
      <c r="AM582" s="12">
        <f>IF(AL582&gt;0,IF(AL582&lt;=eco,alpha*fck*(1-(1-AL582/eco)^n),alpha*fck),0)</f>
      </c>
      <c r="AN582" s="30">
        <f>PM_Angle!$J$22+PM_Angle!$K$22*$C582+PM_Angle!$L$22*$B582</f>
      </c>
      <c r="AO582" s="12">
        <f>IF(AN582&gt;0,IF(AN582&lt;=eco,alpha*fck*(1-(1-AN582/eco)^n),alpha*fck),0)</f>
      </c>
      <c r="AP582" s="30">
        <f>PM_Angle!$J$23+PM_Angle!$K$23*$C582+PM_Angle!$L$23*$B582</f>
      </c>
      <c r="AQ582" s="12">
        <f>IF(AP582&gt;0,IF(AP582&lt;=eco,alpha*fck*(1-(1-AP582/eco)^n),alpha*fck),0)</f>
      </c>
      <c r="AR582" s="30">
        <f>PM_Angle!$J$24+PM_Angle!$K$24*$C582+PM_Angle!$L$24*$B582</f>
      </c>
      <c r="AS582" s="12">
        <f>IF(AR582&gt;0,IF(AR582&lt;=eco,alpha*fck*(1-(1-AR582/eco)^n),alpha*fck),0)</f>
      </c>
      <c r="AT582" s="30">
        <f>PM_Angle!$J$25+PM_Angle!$K$25*$C582+PM_Angle!$L$25*$B582</f>
      </c>
      <c r="AU582" s="12">
        <f>IF(AT582&gt;0,IF(AT582&lt;=eco,alpha*fck*(1-(1-AT582/eco)^n),alpha*fck),0)</f>
      </c>
    </row>
    <row r="583" spans="1:47" x14ac:dyDescent="0.25">
      <c r="A583">
        <f>Mesh!A580</f>
      </c>
      <c r="B583" s="12">
        <f>Mesh!B580</f>
      </c>
      <c r="C583" s="12">
        <f>Mesh!C580</f>
      </c>
      <c r="D583" s="12">
        <f>Mesh!D580</f>
      </c>
      <c r="E583" s="30">
        <f>INDEX(St_e0,Det+1)+INDEX(St_kx,Det+1)*C583+INDEX(St_ky,Det+1)*B583</f>
      </c>
      <c r="F583" s="12">
        <f>IF(E583&gt;0,IF(E583&lt;=eco,alpha*fck*(1-(1-E583/eco)^n),alpha*fck),0)</f>
      </c>
      <c r="G583" s="11">
        <f>F583*D583</f>
      </c>
      <c r="H583" s="11">
        <f>G583*C583</f>
      </c>
      <c r="I583" s="11">
        <f>G583*B583</f>
      </c>
      <c r="J583" s="30">
        <f>PM_Angle!$J$7+PM_Angle!$K$7*$C583+PM_Angle!$L$7*$B583</f>
      </c>
      <c r="K583" s="12">
        <f>IF(J583&gt;0,IF(J583&lt;=eco,alpha*fck*(1-(1-J583/eco)^n),alpha*fck),0)</f>
      </c>
      <c r="L583" s="30">
        <f>PM_Angle!$J$8+PM_Angle!$K$8*$C583+PM_Angle!$L$8*$B583</f>
      </c>
      <c r="M583" s="12">
        <f>IF(L583&gt;0,IF(L583&lt;=eco,alpha*fck*(1-(1-L583/eco)^n),alpha*fck),0)</f>
      </c>
      <c r="N583" s="30">
        <f>PM_Angle!$J$9+PM_Angle!$K$9*$C583+PM_Angle!$L$9*$B583</f>
      </c>
      <c r="O583" s="12">
        <f>IF(N583&gt;0,IF(N583&lt;=eco,alpha*fck*(1-(1-N583/eco)^n),alpha*fck),0)</f>
      </c>
      <c r="P583" s="30">
        <f>PM_Angle!$J$10+PM_Angle!$K$10*$C583+PM_Angle!$L$10*$B583</f>
      </c>
      <c r="Q583" s="12">
        <f>IF(P583&gt;0,IF(P583&lt;=eco,alpha*fck*(1-(1-P583/eco)^n),alpha*fck),0)</f>
      </c>
      <c r="R583" s="30">
        <f>PM_Angle!$J$11+PM_Angle!$K$11*$C583+PM_Angle!$L$11*$B583</f>
      </c>
      <c r="S583" s="12">
        <f>IF(R583&gt;0,IF(R583&lt;=eco,alpha*fck*(1-(1-R583/eco)^n),alpha*fck),0)</f>
      </c>
      <c r="T583" s="30">
        <f>PM_Angle!$J$12+PM_Angle!$K$12*$C583+PM_Angle!$L$12*$B583</f>
      </c>
      <c r="U583" s="12">
        <f>IF(T583&gt;0,IF(T583&lt;=eco,alpha*fck*(1-(1-T583/eco)^n),alpha*fck),0)</f>
      </c>
      <c r="V583" s="30">
        <f>PM_Angle!$J$13+PM_Angle!$K$13*$C583+PM_Angle!$L$13*$B583</f>
      </c>
      <c r="W583" s="12">
        <f>IF(V583&gt;0,IF(V583&lt;=eco,alpha*fck*(1-(1-V583/eco)^n),alpha*fck),0)</f>
      </c>
      <c r="X583" s="30">
        <f>PM_Angle!$J$14+PM_Angle!$K$14*$C583+PM_Angle!$L$14*$B583</f>
      </c>
      <c r="Y583" s="12">
        <f>IF(X583&gt;0,IF(X583&lt;=eco,alpha*fck*(1-(1-X583/eco)^n),alpha*fck),0)</f>
      </c>
      <c r="Z583" s="30">
        <f>PM_Angle!$J$15+PM_Angle!$K$15*$C583+PM_Angle!$L$15*$B583</f>
      </c>
      <c r="AA583" s="12">
        <f>IF(Z583&gt;0,IF(Z583&lt;=eco,alpha*fck*(1-(1-Z583/eco)^n),alpha*fck),0)</f>
      </c>
      <c r="AB583" s="30">
        <f>PM_Angle!$J$16+PM_Angle!$K$16*$C583+PM_Angle!$L$16*$B583</f>
      </c>
      <c r="AC583" s="12">
        <f>IF(AB583&gt;0,IF(AB583&lt;=eco,alpha*fck*(1-(1-AB583/eco)^n),alpha*fck),0)</f>
      </c>
      <c r="AD583" s="30">
        <f>PM_Angle!$J$17+PM_Angle!$K$17*$C583+PM_Angle!$L$17*$B583</f>
      </c>
      <c r="AE583" s="12">
        <f>IF(AD583&gt;0,IF(AD583&lt;=eco,alpha*fck*(1-(1-AD583/eco)^n),alpha*fck),0)</f>
      </c>
      <c r="AF583" s="30">
        <f>PM_Angle!$J$18+PM_Angle!$K$18*$C583+PM_Angle!$L$18*$B583</f>
      </c>
      <c r="AG583" s="12">
        <f>IF(AF583&gt;0,IF(AF583&lt;=eco,alpha*fck*(1-(1-AF583/eco)^n),alpha*fck),0)</f>
      </c>
      <c r="AH583" s="30">
        <f>PM_Angle!$J$19+PM_Angle!$K$19*$C583+PM_Angle!$L$19*$B583</f>
      </c>
      <c r="AI583" s="12">
        <f>IF(AH583&gt;0,IF(AH583&lt;=eco,alpha*fck*(1-(1-AH583/eco)^n),alpha*fck),0)</f>
      </c>
      <c r="AJ583" s="30">
        <f>PM_Angle!$J$20+PM_Angle!$K$20*$C583+PM_Angle!$L$20*$B583</f>
      </c>
      <c r="AK583" s="12">
        <f>IF(AJ583&gt;0,IF(AJ583&lt;=eco,alpha*fck*(1-(1-AJ583/eco)^n),alpha*fck),0)</f>
      </c>
      <c r="AL583" s="30">
        <f>PM_Angle!$J$21+PM_Angle!$K$21*$C583+PM_Angle!$L$21*$B583</f>
      </c>
      <c r="AM583" s="12">
        <f>IF(AL583&gt;0,IF(AL583&lt;=eco,alpha*fck*(1-(1-AL583/eco)^n),alpha*fck),0)</f>
      </c>
      <c r="AN583" s="30">
        <f>PM_Angle!$J$22+PM_Angle!$K$22*$C583+PM_Angle!$L$22*$B583</f>
      </c>
      <c r="AO583" s="12">
        <f>IF(AN583&gt;0,IF(AN583&lt;=eco,alpha*fck*(1-(1-AN583/eco)^n),alpha*fck),0)</f>
      </c>
      <c r="AP583" s="30">
        <f>PM_Angle!$J$23+PM_Angle!$K$23*$C583+PM_Angle!$L$23*$B583</f>
      </c>
      <c r="AQ583" s="12">
        <f>IF(AP583&gt;0,IF(AP583&lt;=eco,alpha*fck*(1-(1-AP583/eco)^n),alpha*fck),0)</f>
      </c>
      <c r="AR583" s="30">
        <f>PM_Angle!$J$24+PM_Angle!$K$24*$C583+PM_Angle!$L$24*$B583</f>
      </c>
      <c r="AS583" s="12">
        <f>IF(AR583&gt;0,IF(AR583&lt;=eco,alpha*fck*(1-(1-AR583/eco)^n),alpha*fck),0)</f>
      </c>
      <c r="AT583" s="30">
        <f>PM_Angle!$J$25+PM_Angle!$K$25*$C583+PM_Angle!$L$25*$B583</f>
      </c>
      <c r="AU583" s="12">
        <f>IF(AT583&gt;0,IF(AT583&lt;=eco,alpha*fck*(1-(1-AT583/eco)^n),alpha*fck),0)</f>
      </c>
    </row>
    <row r="584" spans="1:47" x14ac:dyDescent="0.25">
      <c r="A584">
        <f>Mesh!A581</f>
      </c>
      <c r="B584" s="12">
        <f>Mesh!B581</f>
      </c>
      <c r="C584" s="12">
        <f>Mesh!C581</f>
      </c>
      <c r="D584" s="12">
        <f>Mesh!D581</f>
      </c>
      <c r="E584" s="30">
        <f>INDEX(St_e0,Det+1)+INDEX(St_kx,Det+1)*C584+INDEX(St_ky,Det+1)*B584</f>
      </c>
      <c r="F584" s="12">
        <f>IF(E584&gt;0,IF(E584&lt;=eco,alpha*fck*(1-(1-E584/eco)^n),alpha*fck),0)</f>
      </c>
      <c r="G584" s="11">
        <f>F584*D584</f>
      </c>
      <c r="H584" s="11">
        <f>G584*C584</f>
      </c>
      <c r="I584" s="11">
        <f>G584*B584</f>
      </c>
      <c r="J584" s="30">
        <f>PM_Angle!$J$7+PM_Angle!$K$7*$C584+PM_Angle!$L$7*$B584</f>
      </c>
      <c r="K584" s="12">
        <f>IF(J584&gt;0,IF(J584&lt;=eco,alpha*fck*(1-(1-J584/eco)^n),alpha*fck),0)</f>
      </c>
      <c r="L584" s="30">
        <f>PM_Angle!$J$8+PM_Angle!$K$8*$C584+PM_Angle!$L$8*$B584</f>
      </c>
      <c r="M584" s="12">
        <f>IF(L584&gt;0,IF(L584&lt;=eco,alpha*fck*(1-(1-L584/eco)^n),alpha*fck),0)</f>
      </c>
      <c r="N584" s="30">
        <f>PM_Angle!$J$9+PM_Angle!$K$9*$C584+PM_Angle!$L$9*$B584</f>
      </c>
      <c r="O584" s="12">
        <f>IF(N584&gt;0,IF(N584&lt;=eco,alpha*fck*(1-(1-N584/eco)^n),alpha*fck),0)</f>
      </c>
      <c r="P584" s="30">
        <f>PM_Angle!$J$10+PM_Angle!$K$10*$C584+PM_Angle!$L$10*$B584</f>
      </c>
      <c r="Q584" s="12">
        <f>IF(P584&gt;0,IF(P584&lt;=eco,alpha*fck*(1-(1-P584/eco)^n),alpha*fck),0)</f>
      </c>
      <c r="R584" s="30">
        <f>PM_Angle!$J$11+PM_Angle!$K$11*$C584+PM_Angle!$L$11*$B584</f>
      </c>
      <c r="S584" s="12">
        <f>IF(R584&gt;0,IF(R584&lt;=eco,alpha*fck*(1-(1-R584/eco)^n),alpha*fck),0)</f>
      </c>
      <c r="T584" s="30">
        <f>PM_Angle!$J$12+PM_Angle!$K$12*$C584+PM_Angle!$L$12*$B584</f>
      </c>
      <c r="U584" s="12">
        <f>IF(T584&gt;0,IF(T584&lt;=eco,alpha*fck*(1-(1-T584/eco)^n),alpha*fck),0)</f>
      </c>
      <c r="V584" s="30">
        <f>PM_Angle!$J$13+PM_Angle!$K$13*$C584+PM_Angle!$L$13*$B584</f>
      </c>
      <c r="W584" s="12">
        <f>IF(V584&gt;0,IF(V584&lt;=eco,alpha*fck*(1-(1-V584/eco)^n),alpha*fck),0)</f>
      </c>
      <c r="X584" s="30">
        <f>PM_Angle!$J$14+PM_Angle!$K$14*$C584+PM_Angle!$L$14*$B584</f>
      </c>
      <c r="Y584" s="12">
        <f>IF(X584&gt;0,IF(X584&lt;=eco,alpha*fck*(1-(1-X584/eco)^n),alpha*fck),0)</f>
      </c>
      <c r="Z584" s="30">
        <f>PM_Angle!$J$15+PM_Angle!$K$15*$C584+PM_Angle!$L$15*$B584</f>
      </c>
      <c r="AA584" s="12">
        <f>IF(Z584&gt;0,IF(Z584&lt;=eco,alpha*fck*(1-(1-Z584/eco)^n),alpha*fck),0)</f>
      </c>
      <c r="AB584" s="30">
        <f>PM_Angle!$J$16+PM_Angle!$K$16*$C584+PM_Angle!$L$16*$B584</f>
      </c>
      <c r="AC584" s="12">
        <f>IF(AB584&gt;0,IF(AB584&lt;=eco,alpha*fck*(1-(1-AB584/eco)^n),alpha*fck),0)</f>
      </c>
      <c r="AD584" s="30">
        <f>PM_Angle!$J$17+PM_Angle!$K$17*$C584+PM_Angle!$L$17*$B584</f>
      </c>
      <c r="AE584" s="12">
        <f>IF(AD584&gt;0,IF(AD584&lt;=eco,alpha*fck*(1-(1-AD584/eco)^n),alpha*fck),0)</f>
      </c>
      <c r="AF584" s="30">
        <f>PM_Angle!$J$18+PM_Angle!$K$18*$C584+PM_Angle!$L$18*$B584</f>
      </c>
      <c r="AG584" s="12">
        <f>IF(AF584&gt;0,IF(AF584&lt;=eco,alpha*fck*(1-(1-AF584/eco)^n),alpha*fck),0)</f>
      </c>
      <c r="AH584" s="30">
        <f>PM_Angle!$J$19+PM_Angle!$K$19*$C584+PM_Angle!$L$19*$B584</f>
      </c>
      <c r="AI584" s="12">
        <f>IF(AH584&gt;0,IF(AH584&lt;=eco,alpha*fck*(1-(1-AH584/eco)^n),alpha*fck),0)</f>
      </c>
      <c r="AJ584" s="30">
        <f>PM_Angle!$J$20+PM_Angle!$K$20*$C584+PM_Angle!$L$20*$B584</f>
      </c>
      <c r="AK584" s="12">
        <f>IF(AJ584&gt;0,IF(AJ584&lt;=eco,alpha*fck*(1-(1-AJ584/eco)^n),alpha*fck),0)</f>
      </c>
      <c r="AL584" s="30">
        <f>PM_Angle!$J$21+PM_Angle!$K$21*$C584+PM_Angle!$L$21*$B584</f>
      </c>
      <c r="AM584" s="12">
        <f>IF(AL584&gt;0,IF(AL584&lt;=eco,alpha*fck*(1-(1-AL584/eco)^n),alpha*fck),0)</f>
      </c>
      <c r="AN584" s="30">
        <f>PM_Angle!$J$22+PM_Angle!$K$22*$C584+PM_Angle!$L$22*$B584</f>
      </c>
      <c r="AO584" s="12">
        <f>IF(AN584&gt;0,IF(AN584&lt;=eco,alpha*fck*(1-(1-AN584/eco)^n),alpha*fck),0)</f>
      </c>
      <c r="AP584" s="30">
        <f>PM_Angle!$J$23+PM_Angle!$K$23*$C584+PM_Angle!$L$23*$B584</f>
      </c>
      <c r="AQ584" s="12">
        <f>IF(AP584&gt;0,IF(AP584&lt;=eco,alpha*fck*(1-(1-AP584/eco)^n),alpha*fck),0)</f>
      </c>
      <c r="AR584" s="30">
        <f>PM_Angle!$J$24+PM_Angle!$K$24*$C584+PM_Angle!$L$24*$B584</f>
      </c>
      <c r="AS584" s="12">
        <f>IF(AR584&gt;0,IF(AR584&lt;=eco,alpha*fck*(1-(1-AR584/eco)^n),alpha*fck),0)</f>
      </c>
      <c r="AT584" s="30">
        <f>PM_Angle!$J$25+PM_Angle!$K$25*$C584+PM_Angle!$L$25*$B584</f>
      </c>
      <c r="AU584" s="12">
        <f>IF(AT584&gt;0,IF(AT584&lt;=eco,alpha*fck*(1-(1-AT584/eco)^n),alpha*fck),0)</f>
      </c>
    </row>
    <row r="585" spans="1:47" x14ac:dyDescent="0.25">
      <c r="A585">
        <f>Mesh!A582</f>
      </c>
      <c r="B585" s="12">
        <f>Mesh!B582</f>
      </c>
      <c r="C585" s="12">
        <f>Mesh!C582</f>
      </c>
      <c r="D585" s="12">
        <f>Mesh!D582</f>
      </c>
      <c r="E585" s="30">
        <f>INDEX(St_e0,Det+1)+INDEX(St_kx,Det+1)*C585+INDEX(St_ky,Det+1)*B585</f>
      </c>
      <c r="F585" s="12">
        <f>IF(E585&gt;0,IF(E585&lt;=eco,alpha*fck*(1-(1-E585/eco)^n),alpha*fck),0)</f>
      </c>
      <c r="G585" s="11">
        <f>F585*D585</f>
      </c>
      <c r="H585" s="11">
        <f>G585*C585</f>
      </c>
      <c r="I585" s="11">
        <f>G585*B585</f>
      </c>
      <c r="J585" s="30">
        <f>PM_Angle!$J$7+PM_Angle!$K$7*$C585+PM_Angle!$L$7*$B585</f>
      </c>
      <c r="K585" s="12">
        <f>IF(J585&gt;0,IF(J585&lt;=eco,alpha*fck*(1-(1-J585/eco)^n),alpha*fck),0)</f>
      </c>
      <c r="L585" s="30">
        <f>PM_Angle!$J$8+PM_Angle!$K$8*$C585+PM_Angle!$L$8*$B585</f>
      </c>
      <c r="M585" s="12">
        <f>IF(L585&gt;0,IF(L585&lt;=eco,alpha*fck*(1-(1-L585/eco)^n),alpha*fck),0)</f>
      </c>
      <c r="N585" s="30">
        <f>PM_Angle!$J$9+PM_Angle!$K$9*$C585+PM_Angle!$L$9*$B585</f>
      </c>
      <c r="O585" s="12">
        <f>IF(N585&gt;0,IF(N585&lt;=eco,alpha*fck*(1-(1-N585/eco)^n),alpha*fck),0)</f>
      </c>
      <c r="P585" s="30">
        <f>PM_Angle!$J$10+PM_Angle!$K$10*$C585+PM_Angle!$L$10*$B585</f>
      </c>
      <c r="Q585" s="12">
        <f>IF(P585&gt;0,IF(P585&lt;=eco,alpha*fck*(1-(1-P585/eco)^n),alpha*fck),0)</f>
      </c>
      <c r="R585" s="30">
        <f>PM_Angle!$J$11+PM_Angle!$K$11*$C585+PM_Angle!$L$11*$B585</f>
      </c>
      <c r="S585" s="12">
        <f>IF(R585&gt;0,IF(R585&lt;=eco,alpha*fck*(1-(1-R585/eco)^n),alpha*fck),0)</f>
      </c>
      <c r="T585" s="30">
        <f>PM_Angle!$J$12+PM_Angle!$K$12*$C585+PM_Angle!$L$12*$B585</f>
      </c>
      <c r="U585" s="12">
        <f>IF(T585&gt;0,IF(T585&lt;=eco,alpha*fck*(1-(1-T585/eco)^n),alpha*fck),0)</f>
      </c>
      <c r="V585" s="30">
        <f>PM_Angle!$J$13+PM_Angle!$K$13*$C585+PM_Angle!$L$13*$B585</f>
      </c>
      <c r="W585" s="12">
        <f>IF(V585&gt;0,IF(V585&lt;=eco,alpha*fck*(1-(1-V585/eco)^n),alpha*fck),0)</f>
      </c>
      <c r="X585" s="30">
        <f>PM_Angle!$J$14+PM_Angle!$K$14*$C585+PM_Angle!$L$14*$B585</f>
      </c>
      <c r="Y585" s="12">
        <f>IF(X585&gt;0,IF(X585&lt;=eco,alpha*fck*(1-(1-X585/eco)^n),alpha*fck),0)</f>
      </c>
      <c r="Z585" s="30">
        <f>PM_Angle!$J$15+PM_Angle!$K$15*$C585+PM_Angle!$L$15*$B585</f>
      </c>
      <c r="AA585" s="12">
        <f>IF(Z585&gt;0,IF(Z585&lt;=eco,alpha*fck*(1-(1-Z585/eco)^n),alpha*fck),0)</f>
      </c>
      <c r="AB585" s="30">
        <f>PM_Angle!$J$16+PM_Angle!$K$16*$C585+PM_Angle!$L$16*$B585</f>
      </c>
      <c r="AC585" s="12">
        <f>IF(AB585&gt;0,IF(AB585&lt;=eco,alpha*fck*(1-(1-AB585/eco)^n),alpha*fck),0)</f>
      </c>
      <c r="AD585" s="30">
        <f>PM_Angle!$J$17+PM_Angle!$K$17*$C585+PM_Angle!$L$17*$B585</f>
      </c>
      <c r="AE585" s="12">
        <f>IF(AD585&gt;0,IF(AD585&lt;=eco,alpha*fck*(1-(1-AD585/eco)^n),alpha*fck),0)</f>
      </c>
      <c r="AF585" s="30">
        <f>PM_Angle!$J$18+PM_Angle!$K$18*$C585+PM_Angle!$L$18*$B585</f>
      </c>
      <c r="AG585" s="12">
        <f>IF(AF585&gt;0,IF(AF585&lt;=eco,alpha*fck*(1-(1-AF585/eco)^n),alpha*fck),0)</f>
      </c>
      <c r="AH585" s="30">
        <f>PM_Angle!$J$19+PM_Angle!$K$19*$C585+PM_Angle!$L$19*$B585</f>
      </c>
      <c r="AI585" s="12">
        <f>IF(AH585&gt;0,IF(AH585&lt;=eco,alpha*fck*(1-(1-AH585/eco)^n),alpha*fck),0)</f>
      </c>
      <c r="AJ585" s="30">
        <f>PM_Angle!$J$20+PM_Angle!$K$20*$C585+PM_Angle!$L$20*$B585</f>
      </c>
      <c r="AK585" s="12">
        <f>IF(AJ585&gt;0,IF(AJ585&lt;=eco,alpha*fck*(1-(1-AJ585/eco)^n),alpha*fck),0)</f>
      </c>
      <c r="AL585" s="30">
        <f>PM_Angle!$J$21+PM_Angle!$K$21*$C585+PM_Angle!$L$21*$B585</f>
      </c>
      <c r="AM585" s="12">
        <f>IF(AL585&gt;0,IF(AL585&lt;=eco,alpha*fck*(1-(1-AL585/eco)^n),alpha*fck),0)</f>
      </c>
      <c r="AN585" s="30">
        <f>PM_Angle!$J$22+PM_Angle!$K$22*$C585+PM_Angle!$L$22*$B585</f>
      </c>
      <c r="AO585" s="12">
        <f>IF(AN585&gt;0,IF(AN585&lt;=eco,alpha*fck*(1-(1-AN585/eco)^n),alpha*fck),0)</f>
      </c>
      <c r="AP585" s="30">
        <f>PM_Angle!$J$23+PM_Angle!$K$23*$C585+PM_Angle!$L$23*$B585</f>
      </c>
      <c r="AQ585" s="12">
        <f>IF(AP585&gt;0,IF(AP585&lt;=eco,alpha*fck*(1-(1-AP585/eco)^n),alpha*fck),0)</f>
      </c>
      <c r="AR585" s="30">
        <f>PM_Angle!$J$24+PM_Angle!$K$24*$C585+PM_Angle!$L$24*$B585</f>
      </c>
      <c r="AS585" s="12">
        <f>IF(AR585&gt;0,IF(AR585&lt;=eco,alpha*fck*(1-(1-AR585/eco)^n),alpha*fck),0)</f>
      </c>
      <c r="AT585" s="30">
        <f>PM_Angle!$J$25+PM_Angle!$K$25*$C585+PM_Angle!$L$25*$B585</f>
      </c>
      <c r="AU585" s="12">
        <f>IF(AT585&gt;0,IF(AT585&lt;=eco,alpha*fck*(1-(1-AT585/eco)^n),alpha*fck),0)</f>
      </c>
    </row>
    <row r="586" spans="1:47" x14ac:dyDescent="0.25">
      <c r="A586">
        <f>Mesh!A583</f>
      </c>
      <c r="B586" s="12">
        <f>Mesh!B583</f>
      </c>
      <c r="C586" s="12">
        <f>Mesh!C583</f>
      </c>
      <c r="D586" s="12">
        <f>Mesh!D583</f>
      </c>
      <c r="E586" s="30">
        <f>INDEX(St_e0,Det+1)+INDEX(St_kx,Det+1)*C586+INDEX(St_ky,Det+1)*B586</f>
      </c>
      <c r="F586" s="12">
        <f>IF(E586&gt;0,IF(E586&lt;=eco,alpha*fck*(1-(1-E586/eco)^n),alpha*fck),0)</f>
      </c>
      <c r="G586" s="11">
        <f>F586*D586</f>
      </c>
      <c r="H586" s="11">
        <f>G586*C586</f>
      </c>
      <c r="I586" s="11">
        <f>G586*B586</f>
      </c>
      <c r="J586" s="30">
        <f>PM_Angle!$J$7+PM_Angle!$K$7*$C586+PM_Angle!$L$7*$B586</f>
      </c>
      <c r="K586" s="12">
        <f>IF(J586&gt;0,IF(J586&lt;=eco,alpha*fck*(1-(1-J586/eco)^n),alpha*fck),0)</f>
      </c>
      <c r="L586" s="30">
        <f>PM_Angle!$J$8+PM_Angle!$K$8*$C586+PM_Angle!$L$8*$B586</f>
      </c>
      <c r="M586" s="12">
        <f>IF(L586&gt;0,IF(L586&lt;=eco,alpha*fck*(1-(1-L586/eco)^n),alpha*fck),0)</f>
      </c>
      <c r="N586" s="30">
        <f>PM_Angle!$J$9+PM_Angle!$K$9*$C586+PM_Angle!$L$9*$B586</f>
      </c>
      <c r="O586" s="12">
        <f>IF(N586&gt;0,IF(N586&lt;=eco,alpha*fck*(1-(1-N586/eco)^n),alpha*fck),0)</f>
      </c>
      <c r="P586" s="30">
        <f>PM_Angle!$J$10+PM_Angle!$K$10*$C586+PM_Angle!$L$10*$B586</f>
      </c>
      <c r="Q586" s="12">
        <f>IF(P586&gt;0,IF(P586&lt;=eco,alpha*fck*(1-(1-P586/eco)^n),alpha*fck),0)</f>
      </c>
      <c r="R586" s="30">
        <f>PM_Angle!$J$11+PM_Angle!$K$11*$C586+PM_Angle!$L$11*$B586</f>
      </c>
      <c r="S586" s="12">
        <f>IF(R586&gt;0,IF(R586&lt;=eco,alpha*fck*(1-(1-R586/eco)^n),alpha*fck),0)</f>
      </c>
      <c r="T586" s="30">
        <f>PM_Angle!$J$12+PM_Angle!$K$12*$C586+PM_Angle!$L$12*$B586</f>
      </c>
      <c r="U586" s="12">
        <f>IF(T586&gt;0,IF(T586&lt;=eco,alpha*fck*(1-(1-T586/eco)^n),alpha*fck),0)</f>
      </c>
      <c r="V586" s="30">
        <f>PM_Angle!$J$13+PM_Angle!$K$13*$C586+PM_Angle!$L$13*$B586</f>
      </c>
      <c r="W586" s="12">
        <f>IF(V586&gt;0,IF(V586&lt;=eco,alpha*fck*(1-(1-V586/eco)^n),alpha*fck),0)</f>
      </c>
      <c r="X586" s="30">
        <f>PM_Angle!$J$14+PM_Angle!$K$14*$C586+PM_Angle!$L$14*$B586</f>
      </c>
      <c r="Y586" s="12">
        <f>IF(X586&gt;0,IF(X586&lt;=eco,alpha*fck*(1-(1-X586/eco)^n),alpha*fck),0)</f>
      </c>
      <c r="Z586" s="30">
        <f>PM_Angle!$J$15+PM_Angle!$K$15*$C586+PM_Angle!$L$15*$B586</f>
      </c>
      <c r="AA586" s="12">
        <f>IF(Z586&gt;0,IF(Z586&lt;=eco,alpha*fck*(1-(1-Z586/eco)^n),alpha*fck),0)</f>
      </c>
      <c r="AB586" s="30">
        <f>PM_Angle!$J$16+PM_Angle!$K$16*$C586+PM_Angle!$L$16*$B586</f>
      </c>
      <c r="AC586" s="12">
        <f>IF(AB586&gt;0,IF(AB586&lt;=eco,alpha*fck*(1-(1-AB586/eco)^n),alpha*fck),0)</f>
      </c>
      <c r="AD586" s="30">
        <f>PM_Angle!$J$17+PM_Angle!$K$17*$C586+PM_Angle!$L$17*$B586</f>
      </c>
      <c r="AE586" s="12">
        <f>IF(AD586&gt;0,IF(AD586&lt;=eco,alpha*fck*(1-(1-AD586/eco)^n),alpha*fck),0)</f>
      </c>
      <c r="AF586" s="30">
        <f>PM_Angle!$J$18+PM_Angle!$K$18*$C586+PM_Angle!$L$18*$B586</f>
      </c>
      <c r="AG586" s="12">
        <f>IF(AF586&gt;0,IF(AF586&lt;=eco,alpha*fck*(1-(1-AF586/eco)^n),alpha*fck),0)</f>
      </c>
      <c r="AH586" s="30">
        <f>PM_Angle!$J$19+PM_Angle!$K$19*$C586+PM_Angle!$L$19*$B586</f>
      </c>
      <c r="AI586" s="12">
        <f>IF(AH586&gt;0,IF(AH586&lt;=eco,alpha*fck*(1-(1-AH586/eco)^n),alpha*fck),0)</f>
      </c>
      <c r="AJ586" s="30">
        <f>PM_Angle!$J$20+PM_Angle!$K$20*$C586+PM_Angle!$L$20*$B586</f>
      </c>
      <c r="AK586" s="12">
        <f>IF(AJ586&gt;0,IF(AJ586&lt;=eco,alpha*fck*(1-(1-AJ586/eco)^n),alpha*fck),0)</f>
      </c>
      <c r="AL586" s="30">
        <f>PM_Angle!$J$21+PM_Angle!$K$21*$C586+PM_Angle!$L$21*$B586</f>
      </c>
      <c r="AM586" s="12">
        <f>IF(AL586&gt;0,IF(AL586&lt;=eco,alpha*fck*(1-(1-AL586/eco)^n),alpha*fck),0)</f>
      </c>
      <c r="AN586" s="30">
        <f>PM_Angle!$J$22+PM_Angle!$K$22*$C586+PM_Angle!$L$22*$B586</f>
      </c>
      <c r="AO586" s="12">
        <f>IF(AN586&gt;0,IF(AN586&lt;=eco,alpha*fck*(1-(1-AN586/eco)^n),alpha*fck),0)</f>
      </c>
      <c r="AP586" s="30">
        <f>PM_Angle!$J$23+PM_Angle!$K$23*$C586+PM_Angle!$L$23*$B586</f>
      </c>
      <c r="AQ586" s="12">
        <f>IF(AP586&gt;0,IF(AP586&lt;=eco,alpha*fck*(1-(1-AP586/eco)^n),alpha*fck),0)</f>
      </c>
      <c r="AR586" s="30">
        <f>PM_Angle!$J$24+PM_Angle!$K$24*$C586+PM_Angle!$L$24*$B586</f>
      </c>
      <c r="AS586" s="12">
        <f>IF(AR586&gt;0,IF(AR586&lt;=eco,alpha*fck*(1-(1-AR586/eco)^n),alpha*fck),0)</f>
      </c>
      <c r="AT586" s="30">
        <f>PM_Angle!$J$25+PM_Angle!$K$25*$C586+PM_Angle!$L$25*$B586</f>
      </c>
      <c r="AU586" s="12">
        <f>IF(AT586&gt;0,IF(AT586&lt;=eco,alpha*fck*(1-(1-AT586/eco)^n),alpha*fck),0)</f>
      </c>
    </row>
    <row r="587" spans="1:47" x14ac:dyDescent="0.25">
      <c r="A587">
        <f>Mesh!A584</f>
      </c>
      <c r="B587" s="12">
        <f>Mesh!B584</f>
      </c>
      <c r="C587" s="12">
        <f>Mesh!C584</f>
      </c>
      <c r="D587" s="12">
        <f>Mesh!D584</f>
      </c>
      <c r="E587" s="30">
        <f>INDEX(St_e0,Det+1)+INDEX(St_kx,Det+1)*C587+INDEX(St_ky,Det+1)*B587</f>
      </c>
      <c r="F587" s="12">
        <f>IF(E587&gt;0,IF(E587&lt;=eco,alpha*fck*(1-(1-E587/eco)^n),alpha*fck),0)</f>
      </c>
      <c r="G587" s="11">
        <f>F587*D587</f>
      </c>
      <c r="H587" s="11">
        <f>G587*C587</f>
      </c>
      <c r="I587" s="11">
        <f>G587*B587</f>
      </c>
      <c r="J587" s="30">
        <f>PM_Angle!$J$7+PM_Angle!$K$7*$C587+PM_Angle!$L$7*$B587</f>
      </c>
      <c r="K587" s="12">
        <f>IF(J587&gt;0,IF(J587&lt;=eco,alpha*fck*(1-(1-J587/eco)^n),alpha*fck),0)</f>
      </c>
      <c r="L587" s="30">
        <f>PM_Angle!$J$8+PM_Angle!$K$8*$C587+PM_Angle!$L$8*$B587</f>
      </c>
      <c r="M587" s="12">
        <f>IF(L587&gt;0,IF(L587&lt;=eco,alpha*fck*(1-(1-L587/eco)^n),alpha*fck),0)</f>
      </c>
      <c r="N587" s="30">
        <f>PM_Angle!$J$9+PM_Angle!$K$9*$C587+PM_Angle!$L$9*$B587</f>
      </c>
      <c r="O587" s="12">
        <f>IF(N587&gt;0,IF(N587&lt;=eco,alpha*fck*(1-(1-N587/eco)^n),alpha*fck),0)</f>
      </c>
      <c r="P587" s="30">
        <f>PM_Angle!$J$10+PM_Angle!$K$10*$C587+PM_Angle!$L$10*$B587</f>
      </c>
      <c r="Q587" s="12">
        <f>IF(P587&gt;0,IF(P587&lt;=eco,alpha*fck*(1-(1-P587/eco)^n),alpha*fck),0)</f>
      </c>
      <c r="R587" s="30">
        <f>PM_Angle!$J$11+PM_Angle!$K$11*$C587+PM_Angle!$L$11*$B587</f>
      </c>
      <c r="S587" s="12">
        <f>IF(R587&gt;0,IF(R587&lt;=eco,alpha*fck*(1-(1-R587/eco)^n),alpha*fck),0)</f>
      </c>
      <c r="T587" s="30">
        <f>PM_Angle!$J$12+PM_Angle!$K$12*$C587+PM_Angle!$L$12*$B587</f>
      </c>
      <c r="U587" s="12">
        <f>IF(T587&gt;0,IF(T587&lt;=eco,alpha*fck*(1-(1-T587/eco)^n),alpha*fck),0)</f>
      </c>
      <c r="V587" s="30">
        <f>PM_Angle!$J$13+PM_Angle!$K$13*$C587+PM_Angle!$L$13*$B587</f>
      </c>
      <c r="W587" s="12">
        <f>IF(V587&gt;0,IF(V587&lt;=eco,alpha*fck*(1-(1-V587/eco)^n),alpha*fck),0)</f>
      </c>
      <c r="X587" s="30">
        <f>PM_Angle!$J$14+PM_Angle!$K$14*$C587+PM_Angle!$L$14*$B587</f>
      </c>
      <c r="Y587" s="12">
        <f>IF(X587&gt;0,IF(X587&lt;=eco,alpha*fck*(1-(1-X587/eco)^n),alpha*fck),0)</f>
      </c>
      <c r="Z587" s="30">
        <f>PM_Angle!$J$15+PM_Angle!$K$15*$C587+PM_Angle!$L$15*$B587</f>
      </c>
      <c r="AA587" s="12">
        <f>IF(Z587&gt;0,IF(Z587&lt;=eco,alpha*fck*(1-(1-Z587/eco)^n),alpha*fck),0)</f>
      </c>
      <c r="AB587" s="30">
        <f>PM_Angle!$J$16+PM_Angle!$K$16*$C587+PM_Angle!$L$16*$B587</f>
      </c>
      <c r="AC587" s="12">
        <f>IF(AB587&gt;0,IF(AB587&lt;=eco,alpha*fck*(1-(1-AB587/eco)^n),alpha*fck),0)</f>
      </c>
      <c r="AD587" s="30">
        <f>PM_Angle!$J$17+PM_Angle!$K$17*$C587+PM_Angle!$L$17*$B587</f>
      </c>
      <c r="AE587" s="12">
        <f>IF(AD587&gt;0,IF(AD587&lt;=eco,alpha*fck*(1-(1-AD587/eco)^n),alpha*fck),0)</f>
      </c>
      <c r="AF587" s="30">
        <f>PM_Angle!$J$18+PM_Angle!$K$18*$C587+PM_Angle!$L$18*$B587</f>
      </c>
      <c r="AG587" s="12">
        <f>IF(AF587&gt;0,IF(AF587&lt;=eco,alpha*fck*(1-(1-AF587/eco)^n),alpha*fck),0)</f>
      </c>
      <c r="AH587" s="30">
        <f>PM_Angle!$J$19+PM_Angle!$K$19*$C587+PM_Angle!$L$19*$B587</f>
      </c>
      <c r="AI587" s="12">
        <f>IF(AH587&gt;0,IF(AH587&lt;=eco,alpha*fck*(1-(1-AH587/eco)^n),alpha*fck),0)</f>
      </c>
      <c r="AJ587" s="30">
        <f>PM_Angle!$J$20+PM_Angle!$K$20*$C587+PM_Angle!$L$20*$B587</f>
      </c>
      <c r="AK587" s="12">
        <f>IF(AJ587&gt;0,IF(AJ587&lt;=eco,alpha*fck*(1-(1-AJ587/eco)^n),alpha*fck),0)</f>
      </c>
      <c r="AL587" s="30">
        <f>PM_Angle!$J$21+PM_Angle!$K$21*$C587+PM_Angle!$L$21*$B587</f>
      </c>
      <c r="AM587" s="12">
        <f>IF(AL587&gt;0,IF(AL587&lt;=eco,alpha*fck*(1-(1-AL587/eco)^n),alpha*fck),0)</f>
      </c>
      <c r="AN587" s="30">
        <f>PM_Angle!$J$22+PM_Angle!$K$22*$C587+PM_Angle!$L$22*$B587</f>
      </c>
      <c r="AO587" s="12">
        <f>IF(AN587&gt;0,IF(AN587&lt;=eco,alpha*fck*(1-(1-AN587/eco)^n),alpha*fck),0)</f>
      </c>
      <c r="AP587" s="30">
        <f>PM_Angle!$J$23+PM_Angle!$K$23*$C587+PM_Angle!$L$23*$B587</f>
      </c>
      <c r="AQ587" s="12">
        <f>IF(AP587&gt;0,IF(AP587&lt;=eco,alpha*fck*(1-(1-AP587/eco)^n),alpha*fck),0)</f>
      </c>
      <c r="AR587" s="30">
        <f>PM_Angle!$J$24+PM_Angle!$K$24*$C587+PM_Angle!$L$24*$B587</f>
      </c>
      <c r="AS587" s="12">
        <f>IF(AR587&gt;0,IF(AR587&lt;=eco,alpha*fck*(1-(1-AR587/eco)^n),alpha*fck),0)</f>
      </c>
      <c r="AT587" s="30">
        <f>PM_Angle!$J$25+PM_Angle!$K$25*$C587+PM_Angle!$L$25*$B587</f>
      </c>
      <c r="AU587" s="12">
        <f>IF(AT587&gt;0,IF(AT587&lt;=eco,alpha*fck*(1-(1-AT587/eco)^n),alpha*fck),0)</f>
      </c>
    </row>
    <row r="588" spans="1:47" x14ac:dyDescent="0.25">
      <c r="A588">
        <f>Mesh!A585</f>
      </c>
      <c r="B588" s="12">
        <f>Mesh!B585</f>
      </c>
      <c r="C588" s="12">
        <f>Mesh!C585</f>
      </c>
      <c r="D588" s="12">
        <f>Mesh!D585</f>
      </c>
      <c r="E588" s="30">
        <f>INDEX(St_e0,Det+1)+INDEX(St_kx,Det+1)*C588+INDEX(St_ky,Det+1)*B588</f>
      </c>
      <c r="F588" s="12">
        <f>IF(E588&gt;0,IF(E588&lt;=eco,alpha*fck*(1-(1-E588/eco)^n),alpha*fck),0)</f>
      </c>
      <c r="G588" s="11">
        <f>F588*D588</f>
      </c>
      <c r="H588" s="11">
        <f>G588*C588</f>
      </c>
      <c r="I588" s="11">
        <f>G588*B588</f>
      </c>
      <c r="J588" s="30">
        <f>PM_Angle!$J$7+PM_Angle!$K$7*$C588+PM_Angle!$L$7*$B588</f>
      </c>
      <c r="K588" s="12">
        <f>IF(J588&gt;0,IF(J588&lt;=eco,alpha*fck*(1-(1-J588/eco)^n),alpha*fck),0)</f>
      </c>
      <c r="L588" s="30">
        <f>PM_Angle!$J$8+PM_Angle!$K$8*$C588+PM_Angle!$L$8*$B588</f>
      </c>
      <c r="M588" s="12">
        <f>IF(L588&gt;0,IF(L588&lt;=eco,alpha*fck*(1-(1-L588/eco)^n),alpha*fck),0)</f>
      </c>
      <c r="N588" s="30">
        <f>PM_Angle!$J$9+PM_Angle!$K$9*$C588+PM_Angle!$L$9*$B588</f>
      </c>
      <c r="O588" s="12">
        <f>IF(N588&gt;0,IF(N588&lt;=eco,alpha*fck*(1-(1-N588/eco)^n),alpha*fck),0)</f>
      </c>
      <c r="P588" s="30">
        <f>PM_Angle!$J$10+PM_Angle!$K$10*$C588+PM_Angle!$L$10*$B588</f>
      </c>
      <c r="Q588" s="12">
        <f>IF(P588&gt;0,IF(P588&lt;=eco,alpha*fck*(1-(1-P588/eco)^n),alpha*fck),0)</f>
      </c>
      <c r="R588" s="30">
        <f>PM_Angle!$J$11+PM_Angle!$K$11*$C588+PM_Angle!$L$11*$B588</f>
      </c>
      <c r="S588" s="12">
        <f>IF(R588&gt;0,IF(R588&lt;=eco,alpha*fck*(1-(1-R588/eco)^n),alpha*fck),0)</f>
      </c>
      <c r="T588" s="30">
        <f>PM_Angle!$J$12+PM_Angle!$K$12*$C588+PM_Angle!$L$12*$B588</f>
      </c>
      <c r="U588" s="12">
        <f>IF(T588&gt;0,IF(T588&lt;=eco,alpha*fck*(1-(1-T588/eco)^n),alpha*fck),0)</f>
      </c>
      <c r="V588" s="30">
        <f>PM_Angle!$J$13+PM_Angle!$K$13*$C588+PM_Angle!$L$13*$B588</f>
      </c>
      <c r="W588" s="12">
        <f>IF(V588&gt;0,IF(V588&lt;=eco,alpha*fck*(1-(1-V588/eco)^n),alpha*fck),0)</f>
      </c>
      <c r="X588" s="30">
        <f>PM_Angle!$J$14+PM_Angle!$K$14*$C588+PM_Angle!$L$14*$B588</f>
      </c>
      <c r="Y588" s="12">
        <f>IF(X588&gt;0,IF(X588&lt;=eco,alpha*fck*(1-(1-X588/eco)^n),alpha*fck),0)</f>
      </c>
      <c r="Z588" s="30">
        <f>PM_Angle!$J$15+PM_Angle!$K$15*$C588+PM_Angle!$L$15*$B588</f>
      </c>
      <c r="AA588" s="12">
        <f>IF(Z588&gt;0,IF(Z588&lt;=eco,alpha*fck*(1-(1-Z588/eco)^n),alpha*fck),0)</f>
      </c>
      <c r="AB588" s="30">
        <f>PM_Angle!$J$16+PM_Angle!$K$16*$C588+PM_Angle!$L$16*$B588</f>
      </c>
      <c r="AC588" s="12">
        <f>IF(AB588&gt;0,IF(AB588&lt;=eco,alpha*fck*(1-(1-AB588/eco)^n),alpha*fck),0)</f>
      </c>
      <c r="AD588" s="30">
        <f>PM_Angle!$J$17+PM_Angle!$K$17*$C588+PM_Angle!$L$17*$B588</f>
      </c>
      <c r="AE588" s="12">
        <f>IF(AD588&gt;0,IF(AD588&lt;=eco,alpha*fck*(1-(1-AD588/eco)^n),alpha*fck),0)</f>
      </c>
      <c r="AF588" s="30">
        <f>PM_Angle!$J$18+PM_Angle!$K$18*$C588+PM_Angle!$L$18*$B588</f>
      </c>
      <c r="AG588" s="12">
        <f>IF(AF588&gt;0,IF(AF588&lt;=eco,alpha*fck*(1-(1-AF588/eco)^n),alpha*fck),0)</f>
      </c>
      <c r="AH588" s="30">
        <f>PM_Angle!$J$19+PM_Angle!$K$19*$C588+PM_Angle!$L$19*$B588</f>
      </c>
      <c r="AI588" s="12">
        <f>IF(AH588&gt;0,IF(AH588&lt;=eco,alpha*fck*(1-(1-AH588/eco)^n),alpha*fck),0)</f>
      </c>
      <c r="AJ588" s="30">
        <f>PM_Angle!$J$20+PM_Angle!$K$20*$C588+PM_Angle!$L$20*$B588</f>
      </c>
      <c r="AK588" s="12">
        <f>IF(AJ588&gt;0,IF(AJ588&lt;=eco,alpha*fck*(1-(1-AJ588/eco)^n),alpha*fck),0)</f>
      </c>
      <c r="AL588" s="30">
        <f>PM_Angle!$J$21+PM_Angle!$K$21*$C588+PM_Angle!$L$21*$B588</f>
      </c>
      <c r="AM588" s="12">
        <f>IF(AL588&gt;0,IF(AL588&lt;=eco,alpha*fck*(1-(1-AL588/eco)^n),alpha*fck),0)</f>
      </c>
      <c r="AN588" s="30">
        <f>PM_Angle!$J$22+PM_Angle!$K$22*$C588+PM_Angle!$L$22*$B588</f>
      </c>
      <c r="AO588" s="12">
        <f>IF(AN588&gt;0,IF(AN588&lt;=eco,alpha*fck*(1-(1-AN588/eco)^n),alpha*fck),0)</f>
      </c>
      <c r="AP588" s="30">
        <f>PM_Angle!$J$23+PM_Angle!$K$23*$C588+PM_Angle!$L$23*$B588</f>
      </c>
      <c r="AQ588" s="12">
        <f>IF(AP588&gt;0,IF(AP588&lt;=eco,alpha*fck*(1-(1-AP588/eco)^n),alpha*fck),0)</f>
      </c>
      <c r="AR588" s="30">
        <f>PM_Angle!$J$24+PM_Angle!$K$24*$C588+PM_Angle!$L$24*$B588</f>
      </c>
      <c r="AS588" s="12">
        <f>IF(AR588&gt;0,IF(AR588&lt;=eco,alpha*fck*(1-(1-AR588/eco)^n),alpha*fck),0)</f>
      </c>
      <c r="AT588" s="30">
        <f>PM_Angle!$J$25+PM_Angle!$K$25*$C588+PM_Angle!$L$25*$B588</f>
      </c>
      <c r="AU588" s="12">
        <f>IF(AT588&gt;0,IF(AT588&lt;=eco,alpha*fck*(1-(1-AT588/eco)^n),alpha*fck),0)</f>
      </c>
    </row>
    <row r="589" spans="1:47" x14ac:dyDescent="0.25">
      <c r="A589">
        <f>Mesh!A586</f>
      </c>
      <c r="B589" s="12">
        <f>Mesh!B586</f>
      </c>
      <c r="C589" s="12">
        <f>Mesh!C586</f>
      </c>
      <c r="D589" s="12">
        <f>Mesh!D586</f>
      </c>
      <c r="E589" s="30">
        <f>INDEX(St_e0,Det+1)+INDEX(St_kx,Det+1)*C589+INDEX(St_ky,Det+1)*B589</f>
      </c>
      <c r="F589" s="12">
        <f>IF(E589&gt;0,IF(E589&lt;=eco,alpha*fck*(1-(1-E589/eco)^n),alpha*fck),0)</f>
      </c>
      <c r="G589" s="11">
        <f>F589*D589</f>
      </c>
      <c r="H589" s="11">
        <f>G589*C589</f>
      </c>
      <c r="I589" s="11">
        <f>G589*B589</f>
      </c>
      <c r="J589" s="30">
        <f>PM_Angle!$J$7+PM_Angle!$K$7*$C589+PM_Angle!$L$7*$B589</f>
      </c>
      <c r="K589" s="12">
        <f>IF(J589&gt;0,IF(J589&lt;=eco,alpha*fck*(1-(1-J589/eco)^n),alpha*fck),0)</f>
      </c>
      <c r="L589" s="30">
        <f>PM_Angle!$J$8+PM_Angle!$K$8*$C589+PM_Angle!$L$8*$B589</f>
      </c>
      <c r="M589" s="12">
        <f>IF(L589&gt;0,IF(L589&lt;=eco,alpha*fck*(1-(1-L589/eco)^n),alpha*fck),0)</f>
      </c>
      <c r="N589" s="30">
        <f>PM_Angle!$J$9+PM_Angle!$K$9*$C589+PM_Angle!$L$9*$B589</f>
      </c>
      <c r="O589" s="12">
        <f>IF(N589&gt;0,IF(N589&lt;=eco,alpha*fck*(1-(1-N589/eco)^n),alpha*fck),0)</f>
      </c>
      <c r="P589" s="30">
        <f>PM_Angle!$J$10+PM_Angle!$K$10*$C589+PM_Angle!$L$10*$B589</f>
      </c>
      <c r="Q589" s="12">
        <f>IF(P589&gt;0,IF(P589&lt;=eco,alpha*fck*(1-(1-P589/eco)^n),alpha*fck),0)</f>
      </c>
      <c r="R589" s="30">
        <f>PM_Angle!$J$11+PM_Angle!$K$11*$C589+PM_Angle!$L$11*$B589</f>
      </c>
      <c r="S589" s="12">
        <f>IF(R589&gt;0,IF(R589&lt;=eco,alpha*fck*(1-(1-R589/eco)^n),alpha*fck),0)</f>
      </c>
      <c r="T589" s="30">
        <f>PM_Angle!$J$12+PM_Angle!$K$12*$C589+PM_Angle!$L$12*$B589</f>
      </c>
      <c r="U589" s="12">
        <f>IF(T589&gt;0,IF(T589&lt;=eco,alpha*fck*(1-(1-T589/eco)^n),alpha*fck),0)</f>
      </c>
      <c r="V589" s="30">
        <f>PM_Angle!$J$13+PM_Angle!$K$13*$C589+PM_Angle!$L$13*$B589</f>
      </c>
      <c r="W589" s="12">
        <f>IF(V589&gt;0,IF(V589&lt;=eco,alpha*fck*(1-(1-V589/eco)^n),alpha*fck),0)</f>
      </c>
      <c r="X589" s="30">
        <f>PM_Angle!$J$14+PM_Angle!$K$14*$C589+PM_Angle!$L$14*$B589</f>
      </c>
      <c r="Y589" s="12">
        <f>IF(X589&gt;0,IF(X589&lt;=eco,alpha*fck*(1-(1-X589/eco)^n),alpha*fck),0)</f>
      </c>
      <c r="Z589" s="30">
        <f>PM_Angle!$J$15+PM_Angle!$K$15*$C589+PM_Angle!$L$15*$B589</f>
      </c>
      <c r="AA589" s="12">
        <f>IF(Z589&gt;0,IF(Z589&lt;=eco,alpha*fck*(1-(1-Z589/eco)^n),alpha*fck),0)</f>
      </c>
      <c r="AB589" s="30">
        <f>PM_Angle!$J$16+PM_Angle!$K$16*$C589+PM_Angle!$L$16*$B589</f>
      </c>
      <c r="AC589" s="12">
        <f>IF(AB589&gt;0,IF(AB589&lt;=eco,alpha*fck*(1-(1-AB589/eco)^n),alpha*fck),0)</f>
      </c>
      <c r="AD589" s="30">
        <f>PM_Angle!$J$17+PM_Angle!$K$17*$C589+PM_Angle!$L$17*$B589</f>
      </c>
      <c r="AE589" s="12">
        <f>IF(AD589&gt;0,IF(AD589&lt;=eco,alpha*fck*(1-(1-AD589/eco)^n),alpha*fck),0)</f>
      </c>
      <c r="AF589" s="30">
        <f>PM_Angle!$J$18+PM_Angle!$K$18*$C589+PM_Angle!$L$18*$B589</f>
      </c>
      <c r="AG589" s="12">
        <f>IF(AF589&gt;0,IF(AF589&lt;=eco,alpha*fck*(1-(1-AF589/eco)^n),alpha*fck),0)</f>
      </c>
      <c r="AH589" s="30">
        <f>PM_Angle!$J$19+PM_Angle!$K$19*$C589+PM_Angle!$L$19*$B589</f>
      </c>
      <c r="AI589" s="12">
        <f>IF(AH589&gt;0,IF(AH589&lt;=eco,alpha*fck*(1-(1-AH589/eco)^n),alpha*fck),0)</f>
      </c>
      <c r="AJ589" s="30">
        <f>PM_Angle!$J$20+PM_Angle!$K$20*$C589+PM_Angle!$L$20*$B589</f>
      </c>
      <c r="AK589" s="12">
        <f>IF(AJ589&gt;0,IF(AJ589&lt;=eco,alpha*fck*(1-(1-AJ589/eco)^n),alpha*fck),0)</f>
      </c>
      <c r="AL589" s="30">
        <f>PM_Angle!$J$21+PM_Angle!$K$21*$C589+PM_Angle!$L$21*$B589</f>
      </c>
      <c r="AM589" s="12">
        <f>IF(AL589&gt;0,IF(AL589&lt;=eco,alpha*fck*(1-(1-AL589/eco)^n),alpha*fck),0)</f>
      </c>
      <c r="AN589" s="30">
        <f>PM_Angle!$J$22+PM_Angle!$K$22*$C589+PM_Angle!$L$22*$B589</f>
      </c>
      <c r="AO589" s="12">
        <f>IF(AN589&gt;0,IF(AN589&lt;=eco,alpha*fck*(1-(1-AN589/eco)^n),alpha*fck),0)</f>
      </c>
      <c r="AP589" s="30">
        <f>PM_Angle!$J$23+PM_Angle!$K$23*$C589+PM_Angle!$L$23*$B589</f>
      </c>
      <c r="AQ589" s="12">
        <f>IF(AP589&gt;0,IF(AP589&lt;=eco,alpha*fck*(1-(1-AP589/eco)^n),alpha*fck),0)</f>
      </c>
      <c r="AR589" s="30">
        <f>PM_Angle!$J$24+PM_Angle!$K$24*$C589+PM_Angle!$L$24*$B589</f>
      </c>
      <c r="AS589" s="12">
        <f>IF(AR589&gt;0,IF(AR589&lt;=eco,alpha*fck*(1-(1-AR589/eco)^n),alpha*fck),0)</f>
      </c>
      <c r="AT589" s="30">
        <f>PM_Angle!$J$25+PM_Angle!$K$25*$C589+PM_Angle!$L$25*$B589</f>
      </c>
      <c r="AU589" s="12">
        <f>IF(AT589&gt;0,IF(AT589&lt;=eco,alpha*fck*(1-(1-AT589/eco)^n),alpha*fck),0)</f>
      </c>
    </row>
    <row r="590" spans="1:47" x14ac:dyDescent="0.25">
      <c r="A590">
        <f>Mesh!A587</f>
      </c>
      <c r="B590" s="12">
        <f>Mesh!B587</f>
      </c>
      <c r="C590" s="12">
        <f>Mesh!C587</f>
      </c>
      <c r="D590" s="12">
        <f>Mesh!D587</f>
      </c>
      <c r="E590" s="30">
        <f>INDEX(St_e0,Det+1)+INDEX(St_kx,Det+1)*C590+INDEX(St_ky,Det+1)*B590</f>
      </c>
      <c r="F590" s="12">
        <f>IF(E590&gt;0,IF(E590&lt;=eco,alpha*fck*(1-(1-E590/eco)^n),alpha*fck),0)</f>
      </c>
      <c r="G590" s="11">
        <f>F590*D590</f>
      </c>
      <c r="H590" s="11">
        <f>G590*C590</f>
      </c>
      <c r="I590" s="11">
        <f>G590*B590</f>
      </c>
      <c r="J590" s="30">
        <f>PM_Angle!$J$7+PM_Angle!$K$7*$C590+PM_Angle!$L$7*$B590</f>
      </c>
      <c r="K590" s="12">
        <f>IF(J590&gt;0,IF(J590&lt;=eco,alpha*fck*(1-(1-J590/eco)^n),alpha*fck),0)</f>
      </c>
      <c r="L590" s="30">
        <f>PM_Angle!$J$8+PM_Angle!$K$8*$C590+PM_Angle!$L$8*$B590</f>
      </c>
      <c r="M590" s="12">
        <f>IF(L590&gt;0,IF(L590&lt;=eco,alpha*fck*(1-(1-L590/eco)^n),alpha*fck),0)</f>
      </c>
      <c r="N590" s="30">
        <f>PM_Angle!$J$9+PM_Angle!$K$9*$C590+PM_Angle!$L$9*$B590</f>
      </c>
      <c r="O590" s="12">
        <f>IF(N590&gt;0,IF(N590&lt;=eco,alpha*fck*(1-(1-N590/eco)^n),alpha*fck),0)</f>
      </c>
      <c r="P590" s="30">
        <f>PM_Angle!$J$10+PM_Angle!$K$10*$C590+PM_Angle!$L$10*$B590</f>
      </c>
      <c r="Q590" s="12">
        <f>IF(P590&gt;0,IF(P590&lt;=eco,alpha*fck*(1-(1-P590/eco)^n),alpha*fck),0)</f>
      </c>
      <c r="R590" s="30">
        <f>PM_Angle!$J$11+PM_Angle!$K$11*$C590+PM_Angle!$L$11*$B590</f>
      </c>
      <c r="S590" s="12">
        <f>IF(R590&gt;0,IF(R590&lt;=eco,alpha*fck*(1-(1-R590/eco)^n),alpha*fck),0)</f>
      </c>
      <c r="T590" s="30">
        <f>PM_Angle!$J$12+PM_Angle!$K$12*$C590+PM_Angle!$L$12*$B590</f>
      </c>
      <c r="U590" s="12">
        <f>IF(T590&gt;0,IF(T590&lt;=eco,alpha*fck*(1-(1-T590/eco)^n),alpha*fck),0)</f>
      </c>
      <c r="V590" s="30">
        <f>PM_Angle!$J$13+PM_Angle!$K$13*$C590+PM_Angle!$L$13*$B590</f>
      </c>
      <c r="W590" s="12">
        <f>IF(V590&gt;0,IF(V590&lt;=eco,alpha*fck*(1-(1-V590/eco)^n),alpha*fck),0)</f>
      </c>
      <c r="X590" s="30">
        <f>PM_Angle!$J$14+PM_Angle!$K$14*$C590+PM_Angle!$L$14*$B590</f>
      </c>
      <c r="Y590" s="12">
        <f>IF(X590&gt;0,IF(X590&lt;=eco,alpha*fck*(1-(1-X590/eco)^n),alpha*fck),0)</f>
      </c>
      <c r="Z590" s="30">
        <f>PM_Angle!$J$15+PM_Angle!$K$15*$C590+PM_Angle!$L$15*$B590</f>
      </c>
      <c r="AA590" s="12">
        <f>IF(Z590&gt;0,IF(Z590&lt;=eco,alpha*fck*(1-(1-Z590/eco)^n),alpha*fck),0)</f>
      </c>
      <c r="AB590" s="30">
        <f>PM_Angle!$J$16+PM_Angle!$K$16*$C590+PM_Angle!$L$16*$B590</f>
      </c>
      <c r="AC590" s="12">
        <f>IF(AB590&gt;0,IF(AB590&lt;=eco,alpha*fck*(1-(1-AB590/eco)^n),alpha*fck),0)</f>
      </c>
      <c r="AD590" s="30">
        <f>PM_Angle!$J$17+PM_Angle!$K$17*$C590+PM_Angle!$L$17*$B590</f>
      </c>
      <c r="AE590" s="12">
        <f>IF(AD590&gt;0,IF(AD590&lt;=eco,alpha*fck*(1-(1-AD590/eco)^n),alpha*fck),0)</f>
      </c>
      <c r="AF590" s="30">
        <f>PM_Angle!$J$18+PM_Angle!$K$18*$C590+PM_Angle!$L$18*$B590</f>
      </c>
      <c r="AG590" s="12">
        <f>IF(AF590&gt;0,IF(AF590&lt;=eco,alpha*fck*(1-(1-AF590/eco)^n),alpha*fck),0)</f>
      </c>
      <c r="AH590" s="30">
        <f>PM_Angle!$J$19+PM_Angle!$K$19*$C590+PM_Angle!$L$19*$B590</f>
      </c>
      <c r="AI590" s="12">
        <f>IF(AH590&gt;0,IF(AH590&lt;=eco,alpha*fck*(1-(1-AH590/eco)^n),alpha*fck),0)</f>
      </c>
      <c r="AJ590" s="30">
        <f>PM_Angle!$J$20+PM_Angle!$K$20*$C590+PM_Angle!$L$20*$B590</f>
      </c>
      <c r="AK590" s="12">
        <f>IF(AJ590&gt;0,IF(AJ590&lt;=eco,alpha*fck*(1-(1-AJ590/eco)^n),alpha*fck),0)</f>
      </c>
      <c r="AL590" s="30">
        <f>PM_Angle!$J$21+PM_Angle!$K$21*$C590+PM_Angle!$L$21*$B590</f>
      </c>
      <c r="AM590" s="12">
        <f>IF(AL590&gt;0,IF(AL590&lt;=eco,alpha*fck*(1-(1-AL590/eco)^n),alpha*fck),0)</f>
      </c>
      <c r="AN590" s="30">
        <f>PM_Angle!$J$22+PM_Angle!$K$22*$C590+PM_Angle!$L$22*$B590</f>
      </c>
      <c r="AO590" s="12">
        <f>IF(AN590&gt;0,IF(AN590&lt;=eco,alpha*fck*(1-(1-AN590/eco)^n),alpha*fck),0)</f>
      </c>
      <c r="AP590" s="30">
        <f>PM_Angle!$J$23+PM_Angle!$K$23*$C590+PM_Angle!$L$23*$B590</f>
      </c>
      <c r="AQ590" s="12">
        <f>IF(AP590&gt;0,IF(AP590&lt;=eco,alpha*fck*(1-(1-AP590/eco)^n),alpha*fck),0)</f>
      </c>
      <c r="AR590" s="30">
        <f>PM_Angle!$J$24+PM_Angle!$K$24*$C590+PM_Angle!$L$24*$B590</f>
      </c>
      <c r="AS590" s="12">
        <f>IF(AR590&gt;0,IF(AR590&lt;=eco,alpha*fck*(1-(1-AR590/eco)^n),alpha*fck),0)</f>
      </c>
      <c r="AT590" s="30">
        <f>PM_Angle!$J$25+PM_Angle!$K$25*$C590+PM_Angle!$L$25*$B590</f>
      </c>
      <c r="AU590" s="12">
        <f>IF(AT590&gt;0,IF(AT590&lt;=eco,alpha*fck*(1-(1-AT590/eco)^n),alpha*fck),0)</f>
      </c>
    </row>
    <row r="591" spans="1:47" x14ac:dyDescent="0.25">
      <c r="A591">
        <f>Mesh!A588</f>
      </c>
      <c r="B591" s="12">
        <f>Mesh!B588</f>
      </c>
      <c r="C591" s="12">
        <f>Mesh!C588</f>
      </c>
      <c r="D591" s="12">
        <f>Mesh!D588</f>
      </c>
      <c r="E591" s="30">
        <f>INDEX(St_e0,Det+1)+INDEX(St_kx,Det+1)*C591+INDEX(St_ky,Det+1)*B591</f>
      </c>
      <c r="F591" s="12">
        <f>IF(E591&gt;0,IF(E591&lt;=eco,alpha*fck*(1-(1-E591/eco)^n),alpha*fck),0)</f>
      </c>
      <c r="G591" s="11">
        <f>F591*D591</f>
      </c>
      <c r="H591" s="11">
        <f>G591*C591</f>
      </c>
      <c r="I591" s="11">
        <f>G591*B591</f>
      </c>
      <c r="J591" s="30">
        <f>PM_Angle!$J$7+PM_Angle!$K$7*$C591+PM_Angle!$L$7*$B591</f>
      </c>
      <c r="K591" s="12">
        <f>IF(J591&gt;0,IF(J591&lt;=eco,alpha*fck*(1-(1-J591/eco)^n),alpha*fck),0)</f>
      </c>
      <c r="L591" s="30">
        <f>PM_Angle!$J$8+PM_Angle!$K$8*$C591+PM_Angle!$L$8*$B591</f>
      </c>
      <c r="M591" s="12">
        <f>IF(L591&gt;0,IF(L591&lt;=eco,alpha*fck*(1-(1-L591/eco)^n),alpha*fck),0)</f>
      </c>
      <c r="N591" s="30">
        <f>PM_Angle!$J$9+PM_Angle!$K$9*$C591+PM_Angle!$L$9*$B591</f>
      </c>
      <c r="O591" s="12">
        <f>IF(N591&gt;0,IF(N591&lt;=eco,alpha*fck*(1-(1-N591/eco)^n),alpha*fck),0)</f>
      </c>
      <c r="P591" s="30">
        <f>PM_Angle!$J$10+PM_Angle!$K$10*$C591+PM_Angle!$L$10*$B591</f>
      </c>
      <c r="Q591" s="12">
        <f>IF(P591&gt;0,IF(P591&lt;=eco,alpha*fck*(1-(1-P591/eco)^n),alpha*fck),0)</f>
      </c>
      <c r="R591" s="30">
        <f>PM_Angle!$J$11+PM_Angle!$K$11*$C591+PM_Angle!$L$11*$B591</f>
      </c>
      <c r="S591" s="12">
        <f>IF(R591&gt;0,IF(R591&lt;=eco,alpha*fck*(1-(1-R591/eco)^n),alpha*fck),0)</f>
      </c>
      <c r="T591" s="30">
        <f>PM_Angle!$J$12+PM_Angle!$K$12*$C591+PM_Angle!$L$12*$B591</f>
      </c>
      <c r="U591" s="12">
        <f>IF(T591&gt;0,IF(T591&lt;=eco,alpha*fck*(1-(1-T591/eco)^n),alpha*fck),0)</f>
      </c>
      <c r="V591" s="30">
        <f>PM_Angle!$J$13+PM_Angle!$K$13*$C591+PM_Angle!$L$13*$B591</f>
      </c>
      <c r="W591" s="12">
        <f>IF(V591&gt;0,IF(V591&lt;=eco,alpha*fck*(1-(1-V591/eco)^n),alpha*fck),0)</f>
      </c>
      <c r="X591" s="30">
        <f>PM_Angle!$J$14+PM_Angle!$K$14*$C591+PM_Angle!$L$14*$B591</f>
      </c>
      <c r="Y591" s="12">
        <f>IF(X591&gt;0,IF(X591&lt;=eco,alpha*fck*(1-(1-X591/eco)^n),alpha*fck),0)</f>
      </c>
      <c r="Z591" s="30">
        <f>PM_Angle!$J$15+PM_Angle!$K$15*$C591+PM_Angle!$L$15*$B591</f>
      </c>
      <c r="AA591" s="12">
        <f>IF(Z591&gt;0,IF(Z591&lt;=eco,alpha*fck*(1-(1-Z591/eco)^n),alpha*fck),0)</f>
      </c>
      <c r="AB591" s="30">
        <f>PM_Angle!$J$16+PM_Angle!$K$16*$C591+PM_Angle!$L$16*$B591</f>
      </c>
      <c r="AC591" s="12">
        <f>IF(AB591&gt;0,IF(AB591&lt;=eco,alpha*fck*(1-(1-AB591/eco)^n),alpha*fck),0)</f>
      </c>
      <c r="AD591" s="30">
        <f>PM_Angle!$J$17+PM_Angle!$K$17*$C591+PM_Angle!$L$17*$B591</f>
      </c>
      <c r="AE591" s="12">
        <f>IF(AD591&gt;0,IF(AD591&lt;=eco,alpha*fck*(1-(1-AD591/eco)^n),alpha*fck),0)</f>
      </c>
      <c r="AF591" s="30">
        <f>PM_Angle!$J$18+PM_Angle!$K$18*$C591+PM_Angle!$L$18*$B591</f>
      </c>
      <c r="AG591" s="12">
        <f>IF(AF591&gt;0,IF(AF591&lt;=eco,alpha*fck*(1-(1-AF591/eco)^n),alpha*fck),0)</f>
      </c>
      <c r="AH591" s="30">
        <f>PM_Angle!$J$19+PM_Angle!$K$19*$C591+PM_Angle!$L$19*$B591</f>
      </c>
      <c r="AI591" s="12">
        <f>IF(AH591&gt;0,IF(AH591&lt;=eco,alpha*fck*(1-(1-AH591/eco)^n),alpha*fck),0)</f>
      </c>
      <c r="AJ591" s="30">
        <f>PM_Angle!$J$20+PM_Angle!$K$20*$C591+PM_Angle!$L$20*$B591</f>
      </c>
      <c r="AK591" s="12">
        <f>IF(AJ591&gt;0,IF(AJ591&lt;=eco,alpha*fck*(1-(1-AJ591/eco)^n),alpha*fck),0)</f>
      </c>
      <c r="AL591" s="30">
        <f>PM_Angle!$J$21+PM_Angle!$K$21*$C591+PM_Angle!$L$21*$B591</f>
      </c>
      <c r="AM591" s="12">
        <f>IF(AL591&gt;0,IF(AL591&lt;=eco,alpha*fck*(1-(1-AL591/eco)^n),alpha*fck),0)</f>
      </c>
      <c r="AN591" s="30">
        <f>PM_Angle!$J$22+PM_Angle!$K$22*$C591+PM_Angle!$L$22*$B591</f>
      </c>
      <c r="AO591" s="12">
        <f>IF(AN591&gt;0,IF(AN591&lt;=eco,alpha*fck*(1-(1-AN591/eco)^n),alpha*fck),0)</f>
      </c>
      <c r="AP591" s="30">
        <f>PM_Angle!$J$23+PM_Angle!$K$23*$C591+PM_Angle!$L$23*$B591</f>
      </c>
      <c r="AQ591" s="12">
        <f>IF(AP591&gt;0,IF(AP591&lt;=eco,alpha*fck*(1-(1-AP591/eco)^n),alpha*fck),0)</f>
      </c>
      <c r="AR591" s="30">
        <f>PM_Angle!$J$24+PM_Angle!$K$24*$C591+PM_Angle!$L$24*$B591</f>
      </c>
      <c r="AS591" s="12">
        <f>IF(AR591&gt;0,IF(AR591&lt;=eco,alpha*fck*(1-(1-AR591/eco)^n),alpha*fck),0)</f>
      </c>
      <c r="AT591" s="30">
        <f>PM_Angle!$J$25+PM_Angle!$K$25*$C591+PM_Angle!$L$25*$B591</f>
      </c>
      <c r="AU591" s="12">
        <f>IF(AT591&gt;0,IF(AT591&lt;=eco,alpha*fck*(1-(1-AT591/eco)^n),alpha*fck),0)</f>
      </c>
    </row>
    <row r="592" spans="1:47" x14ac:dyDescent="0.25">
      <c r="A592">
        <f>Mesh!A589</f>
      </c>
      <c r="B592" s="12">
        <f>Mesh!B589</f>
      </c>
      <c r="C592" s="12">
        <f>Mesh!C589</f>
      </c>
      <c r="D592" s="12">
        <f>Mesh!D589</f>
      </c>
      <c r="E592" s="30">
        <f>INDEX(St_e0,Det+1)+INDEX(St_kx,Det+1)*C592+INDEX(St_ky,Det+1)*B592</f>
      </c>
      <c r="F592" s="12">
        <f>IF(E592&gt;0,IF(E592&lt;=eco,alpha*fck*(1-(1-E592/eco)^n),alpha*fck),0)</f>
      </c>
      <c r="G592" s="11">
        <f>F592*D592</f>
      </c>
      <c r="H592" s="11">
        <f>G592*C592</f>
      </c>
      <c r="I592" s="11">
        <f>G592*B592</f>
      </c>
      <c r="J592" s="30">
        <f>PM_Angle!$J$7+PM_Angle!$K$7*$C592+PM_Angle!$L$7*$B592</f>
      </c>
      <c r="K592" s="12">
        <f>IF(J592&gt;0,IF(J592&lt;=eco,alpha*fck*(1-(1-J592/eco)^n),alpha*fck),0)</f>
      </c>
      <c r="L592" s="30">
        <f>PM_Angle!$J$8+PM_Angle!$K$8*$C592+PM_Angle!$L$8*$B592</f>
      </c>
      <c r="M592" s="12">
        <f>IF(L592&gt;0,IF(L592&lt;=eco,alpha*fck*(1-(1-L592/eco)^n),alpha*fck),0)</f>
      </c>
      <c r="N592" s="30">
        <f>PM_Angle!$J$9+PM_Angle!$K$9*$C592+PM_Angle!$L$9*$B592</f>
      </c>
      <c r="O592" s="12">
        <f>IF(N592&gt;0,IF(N592&lt;=eco,alpha*fck*(1-(1-N592/eco)^n),alpha*fck),0)</f>
      </c>
      <c r="P592" s="30">
        <f>PM_Angle!$J$10+PM_Angle!$K$10*$C592+PM_Angle!$L$10*$B592</f>
      </c>
      <c r="Q592" s="12">
        <f>IF(P592&gt;0,IF(P592&lt;=eco,alpha*fck*(1-(1-P592/eco)^n),alpha*fck),0)</f>
      </c>
      <c r="R592" s="30">
        <f>PM_Angle!$J$11+PM_Angle!$K$11*$C592+PM_Angle!$L$11*$B592</f>
      </c>
      <c r="S592" s="12">
        <f>IF(R592&gt;0,IF(R592&lt;=eco,alpha*fck*(1-(1-R592/eco)^n),alpha*fck),0)</f>
      </c>
      <c r="T592" s="30">
        <f>PM_Angle!$J$12+PM_Angle!$K$12*$C592+PM_Angle!$L$12*$B592</f>
      </c>
      <c r="U592" s="12">
        <f>IF(T592&gt;0,IF(T592&lt;=eco,alpha*fck*(1-(1-T592/eco)^n),alpha*fck),0)</f>
      </c>
      <c r="V592" s="30">
        <f>PM_Angle!$J$13+PM_Angle!$K$13*$C592+PM_Angle!$L$13*$B592</f>
      </c>
      <c r="W592" s="12">
        <f>IF(V592&gt;0,IF(V592&lt;=eco,alpha*fck*(1-(1-V592/eco)^n),alpha*fck),0)</f>
      </c>
      <c r="X592" s="30">
        <f>PM_Angle!$J$14+PM_Angle!$K$14*$C592+PM_Angle!$L$14*$B592</f>
      </c>
      <c r="Y592" s="12">
        <f>IF(X592&gt;0,IF(X592&lt;=eco,alpha*fck*(1-(1-X592/eco)^n),alpha*fck),0)</f>
      </c>
      <c r="Z592" s="30">
        <f>PM_Angle!$J$15+PM_Angle!$K$15*$C592+PM_Angle!$L$15*$B592</f>
      </c>
      <c r="AA592" s="12">
        <f>IF(Z592&gt;0,IF(Z592&lt;=eco,alpha*fck*(1-(1-Z592/eco)^n),alpha*fck),0)</f>
      </c>
      <c r="AB592" s="30">
        <f>PM_Angle!$J$16+PM_Angle!$K$16*$C592+PM_Angle!$L$16*$B592</f>
      </c>
      <c r="AC592" s="12">
        <f>IF(AB592&gt;0,IF(AB592&lt;=eco,alpha*fck*(1-(1-AB592/eco)^n),alpha*fck),0)</f>
      </c>
      <c r="AD592" s="30">
        <f>PM_Angle!$J$17+PM_Angle!$K$17*$C592+PM_Angle!$L$17*$B592</f>
      </c>
      <c r="AE592" s="12">
        <f>IF(AD592&gt;0,IF(AD592&lt;=eco,alpha*fck*(1-(1-AD592/eco)^n),alpha*fck),0)</f>
      </c>
      <c r="AF592" s="30">
        <f>PM_Angle!$J$18+PM_Angle!$K$18*$C592+PM_Angle!$L$18*$B592</f>
      </c>
      <c r="AG592" s="12">
        <f>IF(AF592&gt;0,IF(AF592&lt;=eco,alpha*fck*(1-(1-AF592/eco)^n),alpha*fck),0)</f>
      </c>
      <c r="AH592" s="30">
        <f>PM_Angle!$J$19+PM_Angle!$K$19*$C592+PM_Angle!$L$19*$B592</f>
      </c>
      <c r="AI592" s="12">
        <f>IF(AH592&gt;0,IF(AH592&lt;=eco,alpha*fck*(1-(1-AH592/eco)^n),alpha*fck),0)</f>
      </c>
      <c r="AJ592" s="30">
        <f>PM_Angle!$J$20+PM_Angle!$K$20*$C592+PM_Angle!$L$20*$B592</f>
      </c>
      <c r="AK592" s="12">
        <f>IF(AJ592&gt;0,IF(AJ592&lt;=eco,alpha*fck*(1-(1-AJ592/eco)^n),alpha*fck),0)</f>
      </c>
      <c r="AL592" s="30">
        <f>PM_Angle!$J$21+PM_Angle!$K$21*$C592+PM_Angle!$L$21*$B592</f>
      </c>
      <c r="AM592" s="12">
        <f>IF(AL592&gt;0,IF(AL592&lt;=eco,alpha*fck*(1-(1-AL592/eco)^n),alpha*fck),0)</f>
      </c>
      <c r="AN592" s="30">
        <f>PM_Angle!$J$22+PM_Angle!$K$22*$C592+PM_Angle!$L$22*$B592</f>
      </c>
      <c r="AO592" s="12">
        <f>IF(AN592&gt;0,IF(AN592&lt;=eco,alpha*fck*(1-(1-AN592/eco)^n),alpha*fck),0)</f>
      </c>
      <c r="AP592" s="30">
        <f>PM_Angle!$J$23+PM_Angle!$K$23*$C592+PM_Angle!$L$23*$B592</f>
      </c>
      <c r="AQ592" s="12">
        <f>IF(AP592&gt;0,IF(AP592&lt;=eco,alpha*fck*(1-(1-AP592/eco)^n),alpha*fck),0)</f>
      </c>
      <c r="AR592" s="30">
        <f>PM_Angle!$J$24+PM_Angle!$K$24*$C592+PM_Angle!$L$24*$B592</f>
      </c>
      <c r="AS592" s="12">
        <f>IF(AR592&gt;0,IF(AR592&lt;=eco,alpha*fck*(1-(1-AR592/eco)^n),alpha*fck),0)</f>
      </c>
      <c r="AT592" s="30">
        <f>PM_Angle!$J$25+PM_Angle!$K$25*$C592+PM_Angle!$L$25*$B592</f>
      </c>
      <c r="AU592" s="12">
        <f>IF(AT592&gt;0,IF(AT592&lt;=eco,alpha*fck*(1-(1-AT592/eco)^n),alpha*fck),0)</f>
      </c>
    </row>
    <row r="593" spans="1:47" x14ac:dyDescent="0.25">
      <c r="A593">
        <f>Mesh!A590</f>
      </c>
      <c r="B593" s="12">
        <f>Mesh!B590</f>
      </c>
      <c r="C593" s="12">
        <f>Mesh!C590</f>
      </c>
      <c r="D593" s="12">
        <f>Mesh!D590</f>
      </c>
      <c r="E593" s="30">
        <f>INDEX(St_e0,Det+1)+INDEX(St_kx,Det+1)*C593+INDEX(St_ky,Det+1)*B593</f>
      </c>
      <c r="F593" s="12">
        <f>IF(E593&gt;0,IF(E593&lt;=eco,alpha*fck*(1-(1-E593/eco)^n),alpha*fck),0)</f>
      </c>
      <c r="G593" s="11">
        <f>F593*D593</f>
      </c>
      <c r="H593" s="11">
        <f>G593*C593</f>
      </c>
      <c r="I593" s="11">
        <f>G593*B593</f>
      </c>
      <c r="J593" s="30">
        <f>PM_Angle!$J$7+PM_Angle!$K$7*$C593+PM_Angle!$L$7*$B593</f>
      </c>
      <c r="K593" s="12">
        <f>IF(J593&gt;0,IF(J593&lt;=eco,alpha*fck*(1-(1-J593/eco)^n),alpha*fck),0)</f>
      </c>
      <c r="L593" s="30">
        <f>PM_Angle!$J$8+PM_Angle!$K$8*$C593+PM_Angle!$L$8*$B593</f>
      </c>
      <c r="M593" s="12">
        <f>IF(L593&gt;0,IF(L593&lt;=eco,alpha*fck*(1-(1-L593/eco)^n),alpha*fck),0)</f>
      </c>
      <c r="N593" s="30">
        <f>PM_Angle!$J$9+PM_Angle!$K$9*$C593+PM_Angle!$L$9*$B593</f>
      </c>
      <c r="O593" s="12">
        <f>IF(N593&gt;0,IF(N593&lt;=eco,alpha*fck*(1-(1-N593/eco)^n),alpha*fck),0)</f>
      </c>
      <c r="P593" s="30">
        <f>PM_Angle!$J$10+PM_Angle!$K$10*$C593+PM_Angle!$L$10*$B593</f>
      </c>
      <c r="Q593" s="12">
        <f>IF(P593&gt;0,IF(P593&lt;=eco,alpha*fck*(1-(1-P593/eco)^n),alpha*fck),0)</f>
      </c>
      <c r="R593" s="30">
        <f>PM_Angle!$J$11+PM_Angle!$K$11*$C593+PM_Angle!$L$11*$B593</f>
      </c>
      <c r="S593" s="12">
        <f>IF(R593&gt;0,IF(R593&lt;=eco,alpha*fck*(1-(1-R593/eco)^n),alpha*fck),0)</f>
      </c>
      <c r="T593" s="30">
        <f>PM_Angle!$J$12+PM_Angle!$K$12*$C593+PM_Angle!$L$12*$B593</f>
      </c>
      <c r="U593" s="12">
        <f>IF(T593&gt;0,IF(T593&lt;=eco,alpha*fck*(1-(1-T593/eco)^n),alpha*fck),0)</f>
      </c>
      <c r="V593" s="30">
        <f>PM_Angle!$J$13+PM_Angle!$K$13*$C593+PM_Angle!$L$13*$B593</f>
      </c>
      <c r="W593" s="12">
        <f>IF(V593&gt;0,IF(V593&lt;=eco,alpha*fck*(1-(1-V593/eco)^n),alpha*fck),0)</f>
      </c>
      <c r="X593" s="30">
        <f>PM_Angle!$J$14+PM_Angle!$K$14*$C593+PM_Angle!$L$14*$B593</f>
      </c>
      <c r="Y593" s="12">
        <f>IF(X593&gt;0,IF(X593&lt;=eco,alpha*fck*(1-(1-X593/eco)^n),alpha*fck),0)</f>
      </c>
      <c r="Z593" s="30">
        <f>PM_Angle!$J$15+PM_Angle!$K$15*$C593+PM_Angle!$L$15*$B593</f>
      </c>
      <c r="AA593" s="12">
        <f>IF(Z593&gt;0,IF(Z593&lt;=eco,alpha*fck*(1-(1-Z593/eco)^n),alpha*fck),0)</f>
      </c>
      <c r="AB593" s="30">
        <f>PM_Angle!$J$16+PM_Angle!$K$16*$C593+PM_Angle!$L$16*$B593</f>
      </c>
      <c r="AC593" s="12">
        <f>IF(AB593&gt;0,IF(AB593&lt;=eco,alpha*fck*(1-(1-AB593/eco)^n),alpha*fck),0)</f>
      </c>
      <c r="AD593" s="30">
        <f>PM_Angle!$J$17+PM_Angle!$K$17*$C593+PM_Angle!$L$17*$B593</f>
      </c>
      <c r="AE593" s="12">
        <f>IF(AD593&gt;0,IF(AD593&lt;=eco,alpha*fck*(1-(1-AD593/eco)^n),alpha*fck),0)</f>
      </c>
      <c r="AF593" s="30">
        <f>PM_Angle!$J$18+PM_Angle!$K$18*$C593+PM_Angle!$L$18*$B593</f>
      </c>
      <c r="AG593" s="12">
        <f>IF(AF593&gt;0,IF(AF593&lt;=eco,alpha*fck*(1-(1-AF593/eco)^n),alpha*fck),0)</f>
      </c>
      <c r="AH593" s="30">
        <f>PM_Angle!$J$19+PM_Angle!$K$19*$C593+PM_Angle!$L$19*$B593</f>
      </c>
      <c r="AI593" s="12">
        <f>IF(AH593&gt;0,IF(AH593&lt;=eco,alpha*fck*(1-(1-AH593/eco)^n),alpha*fck),0)</f>
      </c>
      <c r="AJ593" s="30">
        <f>PM_Angle!$J$20+PM_Angle!$K$20*$C593+PM_Angle!$L$20*$B593</f>
      </c>
      <c r="AK593" s="12">
        <f>IF(AJ593&gt;0,IF(AJ593&lt;=eco,alpha*fck*(1-(1-AJ593/eco)^n),alpha*fck),0)</f>
      </c>
      <c r="AL593" s="30">
        <f>PM_Angle!$J$21+PM_Angle!$K$21*$C593+PM_Angle!$L$21*$B593</f>
      </c>
      <c r="AM593" s="12">
        <f>IF(AL593&gt;0,IF(AL593&lt;=eco,alpha*fck*(1-(1-AL593/eco)^n),alpha*fck),0)</f>
      </c>
      <c r="AN593" s="30">
        <f>PM_Angle!$J$22+PM_Angle!$K$22*$C593+PM_Angle!$L$22*$B593</f>
      </c>
      <c r="AO593" s="12">
        <f>IF(AN593&gt;0,IF(AN593&lt;=eco,alpha*fck*(1-(1-AN593/eco)^n),alpha*fck),0)</f>
      </c>
      <c r="AP593" s="30">
        <f>PM_Angle!$J$23+PM_Angle!$K$23*$C593+PM_Angle!$L$23*$B593</f>
      </c>
      <c r="AQ593" s="12">
        <f>IF(AP593&gt;0,IF(AP593&lt;=eco,alpha*fck*(1-(1-AP593/eco)^n),alpha*fck),0)</f>
      </c>
      <c r="AR593" s="30">
        <f>PM_Angle!$J$24+PM_Angle!$K$24*$C593+PM_Angle!$L$24*$B593</f>
      </c>
      <c r="AS593" s="12">
        <f>IF(AR593&gt;0,IF(AR593&lt;=eco,alpha*fck*(1-(1-AR593/eco)^n),alpha*fck),0)</f>
      </c>
      <c r="AT593" s="30">
        <f>PM_Angle!$J$25+PM_Angle!$K$25*$C593+PM_Angle!$L$25*$B593</f>
      </c>
      <c r="AU593" s="12">
        <f>IF(AT593&gt;0,IF(AT593&lt;=eco,alpha*fck*(1-(1-AT593/eco)^n),alpha*fck),0)</f>
      </c>
    </row>
    <row r="594" spans="1:47" x14ac:dyDescent="0.25">
      <c r="A594">
        <f>Mesh!A591</f>
      </c>
      <c r="B594" s="12">
        <f>Mesh!B591</f>
      </c>
      <c r="C594" s="12">
        <f>Mesh!C591</f>
      </c>
      <c r="D594" s="12">
        <f>Mesh!D591</f>
      </c>
      <c r="E594" s="30">
        <f>INDEX(St_e0,Det+1)+INDEX(St_kx,Det+1)*C594+INDEX(St_ky,Det+1)*B594</f>
      </c>
      <c r="F594" s="12">
        <f>IF(E594&gt;0,IF(E594&lt;=eco,alpha*fck*(1-(1-E594/eco)^n),alpha*fck),0)</f>
      </c>
      <c r="G594" s="11">
        <f>F594*D594</f>
      </c>
      <c r="H594" s="11">
        <f>G594*C594</f>
      </c>
      <c r="I594" s="11">
        <f>G594*B594</f>
      </c>
      <c r="J594" s="30">
        <f>PM_Angle!$J$7+PM_Angle!$K$7*$C594+PM_Angle!$L$7*$B594</f>
      </c>
      <c r="K594" s="12">
        <f>IF(J594&gt;0,IF(J594&lt;=eco,alpha*fck*(1-(1-J594/eco)^n),alpha*fck),0)</f>
      </c>
      <c r="L594" s="30">
        <f>PM_Angle!$J$8+PM_Angle!$K$8*$C594+PM_Angle!$L$8*$B594</f>
      </c>
      <c r="M594" s="12">
        <f>IF(L594&gt;0,IF(L594&lt;=eco,alpha*fck*(1-(1-L594/eco)^n),alpha*fck),0)</f>
      </c>
      <c r="N594" s="30">
        <f>PM_Angle!$J$9+PM_Angle!$K$9*$C594+PM_Angle!$L$9*$B594</f>
      </c>
      <c r="O594" s="12">
        <f>IF(N594&gt;0,IF(N594&lt;=eco,alpha*fck*(1-(1-N594/eco)^n),alpha*fck),0)</f>
      </c>
      <c r="P594" s="30">
        <f>PM_Angle!$J$10+PM_Angle!$K$10*$C594+PM_Angle!$L$10*$B594</f>
      </c>
      <c r="Q594" s="12">
        <f>IF(P594&gt;0,IF(P594&lt;=eco,alpha*fck*(1-(1-P594/eco)^n),alpha*fck),0)</f>
      </c>
      <c r="R594" s="30">
        <f>PM_Angle!$J$11+PM_Angle!$K$11*$C594+PM_Angle!$L$11*$B594</f>
      </c>
      <c r="S594" s="12">
        <f>IF(R594&gt;0,IF(R594&lt;=eco,alpha*fck*(1-(1-R594/eco)^n),alpha*fck),0)</f>
      </c>
      <c r="T594" s="30">
        <f>PM_Angle!$J$12+PM_Angle!$K$12*$C594+PM_Angle!$L$12*$B594</f>
      </c>
      <c r="U594" s="12">
        <f>IF(T594&gt;0,IF(T594&lt;=eco,alpha*fck*(1-(1-T594/eco)^n),alpha*fck),0)</f>
      </c>
      <c r="V594" s="30">
        <f>PM_Angle!$J$13+PM_Angle!$K$13*$C594+PM_Angle!$L$13*$B594</f>
      </c>
      <c r="W594" s="12">
        <f>IF(V594&gt;0,IF(V594&lt;=eco,alpha*fck*(1-(1-V594/eco)^n),alpha*fck),0)</f>
      </c>
      <c r="X594" s="30">
        <f>PM_Angle!$J$14+PM_Angle!$K$14*$C594+PM_Angle!$L$14*$B594</f>
      </c>
      <c r="Y594" s="12">
        <f>IF(X594&gt;0,IF(X594&lt;=eco,alpha*fck*(1-(1-X594/eco)^n),alpha*fck),0)</f>
      </c>
      <c r="Z594" s="30">
        <f>PM_Angle!$J$15+PM_Angle!$K$15*$C594+PM_Angle!$L$15*$B594</f>
      </c>
      <c r="AA594" s="12">
        <f>IF(Z594&gt;0,IF(Z594&lt;=eco,alpha*fck*(1-(1-Z594/eco)^n),alpha*fck),0)</f>
      </c>
      <c r="AB594" s="30">
        <f>PM_Angle!$J$16+PM_Angle!$K$16*$C594+PM_Angle!$L$16*$B594</f>
      </c>
      <c r="AC594" s="12">
        <f>IF(AB594&gt;0,IF(AB594&lt;=eco,alpha*fck*(1-(1-AB594/eco)^n),alpha*fck),0)</f>
      </c>
      <c r="AD594" s="30">
        <f>PM_Angle!$J$17+PM_Angle!$K$17*$C594+PM_Angle!$L$17*$B594</f>
      </c>
      <c r="AE594" s="12">
        <f>IF(AD594&gt;0,IF(AD594&lt;=eco,alpha*fck*(1-(1-AD594/eco)^n),alpha*fck),0)</f>
      </c>
      <c r="AF594" s="30">
        <f>PM_Angle!$J$18+PM_Angle!$K$18*$C594+PM_Angle!$L$18*$B594</f>
      </c>
      <c r="AG594" s="12">
        <f>IF(AF594&gt;0,IF(AF594&lt;=eco,alpha*fck*(1-(1-AF594/eco)^n),alpha*fck),0)</f>
      </c>
      <c r="AH594" s="30">
        <f>PM_Angle!$J$19+PM_Angle!$K$19*$C594+PM_Angle!$L$19*$B594</f>
      </c>
      <c r="AI594" s="12">
        <f>IF(AH594&gt;0,IF(AH594&lt;=eco,alpha*fck*(1-(1-AH594/eco)^n),alpha*fck),0)</f>
      </c>
      <c r="AJ594" s="30">
        <f>PM_Angle!$J$20+PM_Angle!$K$20*$C594+PM_Angle!$L$20*$B594</f>
      </c>
      <c r="AK594" s="12">
        <f>IF(AJ594&gt;0,IF(AJ594&lt;=eco,alpha*fck*(1-(1-AJ594/eco)^n),alpha*fck),0)</f>
      </c>
      <c r="AL594" s="30">
        <f>PM_Angle!$J$21+PM_Angle!$K$21*$C594+PM_Angle!$L$21*$B594</f>
      </c>
      <c r="AM594" s="12">
        <f>IF(AL594&gt;0,IF(AL594&lt;=eco,alpha*fck*(1-(1-AL594/eco)^n),alpha*fck),0)</f>
      </c>
      <c r="AN594" s="30">
        <f>PM_Angle!$J$22+PM_Angle!$K$22*$C594+PM_Angle!$L$22*$B594</f>
      </c>
      <c r="AO594" s="12">
        <f>IF(AN594&gt;0,IF(AN594&lt;=eco,alpha*fck*(1-(1-AN594/eco)^n),alpha*fck),0)</f>
      </c>
      <c r="AP594" s="30">
        <f>PM_Angle!$J$23+PM_Angle!$K$23*$C594+PM_Angle!$L$23*$B594</f>
      </c>
      <c r="AQ594" s="12">
        <f>IF(AP594&gt;0,IF(AP594&lt;=eco,alpha*fck*(1-(1-AP594/eco)^n),alpha*fck),0)</f>
      </c>
      <c r="AR594" s="30">
        <f>PM_Angle!$J$24+PM_Angle!$K$24*$C594+PM_Angle!$L$24*$B594</f>
      </c>
      <c r="AS594" s="12">
        <f>IF(AR594&gt;0,IF(AR594&lt;=eco,alpha*fck*(1-(1-AR594/eco)^n),alpha*fck),0)</f>
      </c>
      <c r="AT594" s="30">
        <f>PM_Angle!$J$25+PM_Angle!$K$25*$C594+PM_Angle!$L$25*$B594</f>
      </c>
      <c r="AU594" s="12">
        <f>IF(AT594&gt;0,IF(AT594&lt;=eco,alpha*fck*(1-(1-AT594/eco)^n),alpha*fck),0)</f>
      </c>
    </row>
    <row r="595" spans="1:47" x14ac:dyDescent="0.25">
      <c r="A595">
        <f>Mesh!A592</f>
      </c>
      <c r="B595" s="12">
        <f>Mesh!B592</f>
      </c>
      <c r="C595" s="12">
        <f>Mesh!C592</f>
      </c>
      <c r="D595" s="12">
        <f>Mesh!D592</f>
      </c>
      <c r="E595" s="30">
        <f>INDEX(St_e0,Det+1)+INDEX(St_kx,Det+1)*C595+INDEX(St_ky,Det+1)*B595</f>
      </c>
      <c r="F595" s="12">
        <f>IF(E595&gt;0,IF(E595&lt;=eco,alpha*fck*(1-(1-E595/eco)^n),alpha*fck),0)</f>
      </c>
      <c r="G595" s="11">
        <f>F595*D595</f>
      </c>
      <c r="H595" s="11">
        <f>G595*C595</f>
      </c>
      <c r="I595" s="11">
        <f>G595*B595</f>
      </c>
      <c r="J595" s="30">
        <f>PM_Angle!$J$7+PM_Angle!$K$7*$C595+PM_Angle!$L$7*$B595</f>
      </c>
      <c r="K595" s="12">
        <f>IF(J595&gt;0,IF(J595&lt;=eco,alpha*fck*(1-(1-J595/eco)^n),alpha*fck),0)</f>
      </c>
      <c r="L595" s="30">
        <f>PM_Angle!$J$8+PM_Angle!$K$8*$C595+PM_Angle!$L$8*$B595</f>
      </c>
      <c r="M595" s="12">
        <f>IF(L595&gt;0,IF(L595&lt;=eco,alpha*fck*(1-(1-L595/eco)^n),alpha*fck),0)</f>
      </c>
      <c r="N595" s="30">
        <f>PM_Angle!$J$9+PM_Angle!$K$9*$C595+PM_Angle!$L$9*$B595</f>
      </c>
      <c r="O595" s="12">
        <f>IF(N595&gt;0,IF(N595&lt;=eco,alpha*fck*(1-(1-N595/eco)^n),alpha*fck),0)</f>
      </c>
      <c r="P595" s="30">
        <f>PM_Angle!$J$10+PM_Angle!$K$10*$C595+PM_Angle!$L$10*$B595</f>
      </c>
      <c r="Q595" s="12">
        <f>IF(P595&gt;0,IF(P595&lt;=eco,alpha*fck*(1-(1-P595/eco)^n),alpha*fck),0)</f>
      </c>
      <c r="R595" s="30">
        <f>PM_Angle!$J$11+PM_Angle!$K$11*$C595+PM_Angle!$L$11*$B595</f>
      </c>
      <c r="S595" s="12">
        <f>IF(R595&gt;0,IF(R595&lt;=eco,alpha*fck*(1-(1-R595/eco)^n),alpha*fck),0)</f>
      </c>
      <c r="T595" s="30">
        <f>PM_Angle!$J$12+PM_Angle!$K$12*$C595+PM_Angle!$L$12*$B595</f>
      </c>
      <c r="U595" s="12">
        <f>IF(T595&gt;0,IF(T595&lt;=eco,alpha*fck*(1-(1-T595/eco)^n),alpha*fck),0)</f>
      </c>
      <c r="V595" s="30">
        <f>PM_Angle!$J$13+PM_Angle!$K$13*$C595+PM_Angle!$L$13*$B595</f>
      </c>
      <c r="W595" s="12">
        <f>IF(V595&gt;0,IF(V595&lt;=eco,alpha*fck*(1-(1-V595/eco)^n),alpha*fck),0)</f>
      </c>
      <c r="X595" s="30">
        <f>PM_Angle!$J$14+PM_Angle!$K$14*$C595+PM_Angle!$L$14*$B595</f>
      </c>
      <c r="Y595" s="12">
        <f>IF(X595&gt;0,IF(X595&lt;=eco,alpha*fck*(1-(1-X595/eco)^n),alpha*fck),0)</f>
      </c>
      <c r="Z595" s="30">
        <f>PM_Angle!$J$15+PM_Angle!$K$15*$C595+PM_Angle!$L$15*$B595</f>
      </c>
      <c r="AA595" s="12">
        <f>IF(Z595&gt;0,IF(Z595&lt;=eco,alpha*fck*(1-(1-Z595/eco)^n),alpha*fck),0)</f>
      </c>
      <c r="AB595" s="30">
        <f>PM_Angle!$J$16+PM_Angle!$K$16*$C595+PM_Angle!$L$16*$B595</f>
      </c>
      <c r="AC595" s="12">
        <f>IF(AB595&gt;0,IF(AB595&lt;=eco,alpha*fck*(1-(1-AB595/eco)^n),alpha*fck),0)</f>
      </c>
      <c r="AD595" s="30">
        <f>PM_Angle!$J$17+PM_Angle!$K$17*$C595+PM_Angle!$L$17*$B595</f>
      </c>
      <c r="AE595" s="12">
        <f>IF(AD595&gt;0,IF(AD595&lt;=eco,alpha*fck*(1-(1-AD595/eco)^n),alpha*fck),0)</f>
      </c>
      <c r="AF595" s="30">
        <f>PM_Angle!$J$18+PM_Angle!$K$18*$C595+PM_Angle!$L$18*$B595</f>
      </c>
      <c r="AG595" s="12">
        <f>IF(AF595&gt;0,IF(AF595&lt;=eco,alpha*fck*(1-(1-AF595/eco)^n),alpha*fck),0)</f>
      </c>
      <c r="AH595" s="30">
        <f>PM_Angle!$J$19+PM_Angle!$K$19*$C595+PM_Angle!$L$19*$B595</f>
      </c>
      <c r="AI595" s="12">
        <f>IF(AH595&gt;0,IF(AH595&lt;=eco,alpha*fck*(1-(1-AH595/eco)^n),alpha*fck),0)</f>
      </c>
      <c r="AJ595" s="30">
        <f>PM_Angle!$J$20+PM_Angle!$K$20*$C595+PM_Angle!$L$20*$B595</f>
      </c>
      <c r="AK595" s="12">
        <f>IF(AJ595&gt;0,IF(AJ595&lt;=eco,alpha*fck*(1-(1-AJ595/eco)^n),alpha*fck),0)</f>
      </c>
      <c r="AL595" s="30">
        <f>PM_Angle!$J$21+PM_Angle!$K$21*$C595+PM_Angle!$L$21*$B595</f>
      </c>
      <c r="AM595" s="12">
        <f>IF(AL595&gt;0,IF(AL595&lt;=eco,alpha*fck*(1-(1-AL595/eco)^n),alpha*fck),0)</f>
      </c>
      <c r="AN595" s="30">
        <f>PM_Angle!$J$22+PM_Angle!$K$22*$C595+PM_Angle!$L$22*$B595</f>
      </c>
      <c r="AO595" s="12">
        <f>IF(AN595&gt;0,IF(AN595&lt;=eco,alpha*fck*(1-(1-AN595/eco)^n),alpha*fck),0)</f>
      </c>
      <c r="AP595" s="30">
        <f>PM_Angle!$J$23+PM_Angle!$K$23*$C595+PM_Angle!$L$23*$B595</f>
      </c>
      <c r="AQ595" s="12">
        <f>IF(AP595&gt;0,IF(AP595&lt;=eco,alpha*fck*(1-(1-AP595/eco)^n),alpha*fck),0)</f>
      </c>
      <c r="AR595" s="30">
        <f>PM_Angle!$J$24+PM_Angle!$K$24*$C595+PM_Angle!$L$24*$B595</f>
      </c>
      <c r="AS595" s="12">
        <f>IF(AR595&gt;0,IF(AR595&lt;=eco,alpha*fck*(1-(1-AR595/eco)^n),alpha*fck),0)</f>
      </c>
      <c r="AT595" s="30">
        <f>PM_Angle!$J$25+PM_Angle!$K$25*$C595+PM_Angle!$L$25*$B595</f>
      </c>
      <c r="AU595" s="12">
        <f>IF(AT595&gt;0,IF(AT595&lt;=eco,alpha*fck*(1-(1-AT595/eco)^n),alpha*fck),0)</f>
      </c>
    </row>
    <row r="596" spans="1:47" x14ac:dyDescent="0.25">
      <c r="A596">
        <f>Mesh!A593</f>
      </c>
      <c r="B596" s="12">
        <f>Mesh!B593</f>
      </c>
      <c r="C596" s="12">
        <f>Mesh!C593</f>
      </c>
      <c r="D596" s="12">
        <f>Mesh!D593</f>
      </c>
      <c r="E596" s="30">
        <f>INDEX(St_e0,Det+1)+INDEX(St_kx,Det+1)*C596+INDEX(St_ky,Det+1)*B596</f>
      </c>
      <c r="F596" s="12">
        <f>IF(E596&gt;0,IF(E596&lt;=eco,alpha*fck*(1-(1-E596/eco)^n),alpha*fck),0)</f>
      </c>
      <c r="G596" s="11">
        <f>F596*D596</f>
      </c>
      <c r="H596" s="11">
        <f>G596*C596</f>
      </c>
      <c r="I596" s="11">
        <f>G596*B596</f>
      </c>
      <c r="J596" s="30">
        <f>PM_Angle!$J$7+PM_Angle!$K$7*$C596+PM_Angle!$L$7*$B596</f>
      </c>
      <c r="K596" s="12">
        <f>IF(J596&gt;0,IF(J596&lt;=eco,alpha*fck*(1-(1-J596/eco)^n),alpha*fck),0)</f>
      </c>
      <c r="L596" s="30">
        <f>PM_Angle!$J$8+PM_Angle!$K$8*$C596+PM_Angle!$L$8*$B596</f>
      </c>
      <c r="M596" s="12">
        <f>IF(L596&gt;0,IF(L596&lt;=eco,alpha*fck*(1-(1-L596/eco)^n),alpha*fck),0)</f>
      </c>
      <c r="N596" s="30">
        <f>PM_Angle!$J$9+PM_Angle!$K$9*$C596+PM_Angle!$L$9*$B596</f>
      </c>
      <c r="O596" s="12">
        <f>IF(N596&gt;0,IF(N596&lt;=eco,alpha*fck*(1-(1-N596/eco)^n),alpha*fck),0)</f>
      </c>
      <c r="P596" s="30">
        <f>PM_Angle!$J$10+PM_Angle!$K$10*$C596+PM_Angle!$L$10*$B596</f>
      </c>
      <c r="Q596" s="12">
        <f>IF(P596&gt;0,IF(P596&lt;=eco,alpha*fck*(1-(1-P596/eco)^n),alpha*fck),0)</f>
      </c>
      <c r="R596" s="30">
        <f>PM_Angle!$J$11+PM_Angle!$K$11*$C596+PM_Angle!$L$11*$B596</f>
      </c>
      <c r="S596" s="12">
        <f>IF(R596&gt;0,IF(R596&lt;=eco,alpha*fck*(1-(1-R596/eco)^n),alpha*fck),0)</f>
      </c>
      <c r="T596" s="30">
        <f>PM_Angle!$J$12+PM_Angle!$K$12*$C596+PM_Angle!$L$12*$B596</f>
      </c>
      <c r="U596" s="12">
        <f>IF(T596&gt;0,IF(T596&lt;=eco,alpha*fck*(1-(1-T596/eco)^n),alpha*fck),0)</f>
      </c>
      <c r="V596" s="30">
        <f>PM_Angle!$J$13+PM_Angle!$K$13*$C596+PM_Angle!$L$13*$B596</f>
      </c>
      <c r="W596" s="12">
        <f>IF(V596&gt;0,IF(V596&lt;=eco,alpha*fck*(1-(1-V596/eco)^n),alpha*fck),0)</f>
      </c>
      <c r="X596" s="30">
        <f>PM_Angle!$J$14+PM_Angle!$K$14*$C596+PM_Angle!$L$14*$B596</f>
      </c>
      <c r="Y596" s="12">
        <f>IF(X596&gt;0,IF(X596&lt;=eco,alpha*fck*(1-(1-X596/eco)^n),alpha*fck),0)</f>
      </c>
      <c r="Z596" s="30">
        <f>PM_Angle!$J$15+PM_Angle!$K$15*$C596+PM_Angle!$L$15*$B596</f>
      </c>
      <c r="AA596" s="12">
        <f>IF(Z596&gt;0,IF(Z596&lt;=eco,alpha*fck*(1-(1-Z596/eco)^n),alpha*fck),0)</f>
      </c>
      <c r="AB596" s="30">
        <f>PM_Angle!$J$16+PM_Angle!$K$16*$C596+PM_Angle!$L$16*$B596</f>
      </c>
      <c r="AC596" s="12">
        <f>IF(AB596&gt;0,IF(AB596&lt;=eco,alpha*fck*(1-(1-AB596/eco)^n),alpha*fck),0)</f>
      </c>
      <c r="AD596" s="30">
        <f>PM_Angle!$J$17+PM_Angle!$K$17*$C596+PM_Angle!$L$17*$B596</f>
      </c>
      <c r="AE596" s="12">
        <f>IF(AD596&gt;0,IF(AD596&lt;=eco,alpha*fck*(1-(1-AD596/eco)^n),alpha*fck),0)</f>
      </c>
      <c r="AF596" s="30">
        <f>PM_Angle!$J$18+PM_Angle!$K$18*$C596+PM_Angle!$L$18*$B596</f>
      </c>
      <c r="AG596" s="12">
        <f>IF(AF596&gt;0,IF(AF596&lt;=eco,alpha*fck*(1-(1-AF596/eco)^n),alpha*fck),0)</f>
      </c>
      <c r="AH596" s="30">
        <f>PM_Angle!$J$19+PM_Angle!$K$19*$C596+PM_Angle!$L$19*$B596</f>
      </c>
      <c r="AI596" s="12">
        <f>IF(AH596&gt;0,IF(AH596&lt;=eco,alpha*fck*(1-(1-AH596/eco)^n),alpha*fck),0)</f>
      </c>
      <c r="AJ596" s="30">
        <f>PM_Angle!$J$20+PM_Angle!$K$20*$C596+PM_Angle!$L$20*$B596</f>
      </c>
      <c r="AK596" s="12">
        <f>IF(AJ596&gt;0,IF(AJ596&lt;=eco,alpha*fck*(1-(1-AJ596/eco)^n),alpha*fck),0)</f>
      </c>
      <c r="AL596" s="30">
        <f>PM_Angle!$J$21+PM_Angle!$K$21*$C596+PM_Angle!$L$21*$B596</f>
      </c>
      <c r="AM596" s="12">
        <f>IF(AL596&gt;0,IF(AL596&lt;=eco,alpha*fck*(1-(1-AL596/eco)^n),alpha*fck),0)</f>
      </c>
      <c r="AN596" s="30">
        <f>PM_Angle!$J$22+PM_Angle!$K$22*$C596+PM_Angle!$L$22*$B596</f>
      </c>
      <c r="AO596" s="12">
        <f>IF(AN596&gt;0,IF(AN596&lt;=eco,alpha*fck*(1-(1-AN596/eco)^n),alpha*fck),0)</f>
      </c>
      <c r="AP596" s="30">
        <f>PM_Angle!$J$23+PM_Angle!$K$23*$C596+PM_Angle!$L$23*$B596</f>
      </c>
      <c r="AQ596" s="12">
        <f>IF(AP596&gt;0,IF(AP596&lt;=eco,alpha*fck*(1-(1-AP596/eco)^n),alpha*fck),0)</f>
      </c>
      <c r="AR596" s="30">
        <f>PM_Angle!$J$24+PM_Angle!$K$24*$C596+PM_Angle!$L$24*$B596</f>
      </c>
      <c r="AS596" s="12">
        <f>IF(AR596&gt;0,IF(AR596&lt;=eco,alpha*fck*(1-(1-AR596/eco)^n),alpha*fck),0)</f>
      </c>
      <c r="AT596" s="30">
        <f>PM_Angle!$J$25+PM_Angle!$K$25*$C596+PM_Angle!$L$25*$B596</f>
      </c>
      <c r="AU596" s="12">
        <f>IF(AT596&gt;0,IF(AT596&lt;=eco,alpha*fck*(1-(1-AT596/eco)^n),alpha*fck),0)</f>
      </c>
    </row>
    <row r="597" spans="1:47" x14ac:dyDescent="0.25">
      <c r="A597">
        <f>Mesh!A594</f>
      </c>
      <c r="B597" s="12">
        <f>Mesh!B594</f>
      </c>
      <c r="C597" s="12">
        <f>Mesh!C594</f>
      </c>
      <c r="D597" s="12">
        <f>Mesh!D594</f>
      </c>
      <c r="E597" s="30">
        <f>INDEX(St_e0,Det+1)+INDEX(St_kx,Det+1)*C597+INDEX(St_ky,Det+1)*B597</f>
      </c>
      <c r="F597" s="12">
        <f>IF(E597&gt;0,IF(E597&lt;=eco,alpha*fck*(1-(1-E597/eco)^n),alpha*fck),0)</f>
      </c>
      <c r="G597" s="11">
        <f>F597*D597</f>
      </c>
      <c r="H597" s="11">
        <f>G597*C597</f>
      </c>
      <c r="I597" s="11">
        <f>G597*B597</f>
      </c>
      <c r="J597" s="30">
        <f>PM_Angle!$J$7+PM_Angle!$K$7*$C597+PM_Angle!$L$7*$B597</f>
      </c>
      <c r="K597" s="12">
        <f>IF(J597&gt;0,IF(J597&lt;=eco,alpha*fck*(1-(1-J597/eco)^n),alpha*fck),0)</f>
      </c>
      <c r="L597" s="30">
        <f>PM_Angle!$J$8+PM_Angle!$K$8*$C597+PM_Angle!$L$8*$B597</f>
      </c>
      <c r="M597" s="12">
        <f>IF(L597&gt;0,IF(L597&lt;=eco,alpha*fck*(1-(1-L597/eco)^n),alpha*fck),0)</f>
      </c>
      <c r="N597" s="30">
        <f>PM_Angle!$J$9+PM_Angle!$K$9*$C597+PM_Angle!$L$9*$B597</f>
      </c>
      <c r="O597" s="12">
        <f>IF(N597&gt;0,IF(N597&lt;=eco,alpha*fck*(1-(1-N597/eco)^n),alpha*fck),0)</f>
      </c>
      <c r="P597" s="30">
        <f>PM_Angle!$J$10+PM_Angle!$K$10*$C597+PM_Angle!$L$10*$B597</f>
      </c>
      <c r="Q597" s="12">
        <f>IF(P597&gt;0,IF(P597&lt;=eco,alpha*fck*(1-(1-P597/eco)^n),alpha*fck),0)</f>
      </c>
      <c r="R597" s="30">
        <f>PM_Angle!$J$11+PM_Angle!$K$11*$C597+PM_Angle!$L$11*$B597</f>
      </c>
      <c r="S597" s="12">
        <f>IF(R597&gt;0,IF(R597&lt;=eco,alpha*fck*(1-(1-R597/eco)^n),alpha*fck),0)</f>
      </c>
      <c r="T597" s="30">
        <f>PM_Angle!$J$12+PM_Angle!$K$12*$C597+PM_Angle!$L$12*$B597</f>
      </c>
      <c r="U597" s="12">
        <f>IF(T597&gt;0,IF(T597&lt;=eco,alpha*fck*(1-(1-T597/eco)^n),alpha*fck),0)</f>
      </c>
      <c r="V597" s="30">
        <f>PM_Angle!$J$13+PM_Angle!$K$13*$C597+PM_Angle!$L$13*$B597</f>
      </c>
      <c r="W597" s="12">
        <f>IF(V597&gt;0,IF(V597&lt;=eco,alpha*fck*(1-(1-V597/eco)^n),alpha*fck),0)</f>
      </c>
      <c r="X597" s="30">
        <f>PM_Angle!$J$14+PM_Angle!$K$14*$C597+PM_Angle!$L$14*$B597</f>
      </c>
      <c r="Y597" s="12">
        <f>IF(X597&gt;0,IF(X597&lt;=eco,alpha*fck*(1-(1-X597/eco)^n),alpha*fck),0)</f>
      </c>
      <c r="Z597" s="30">
        <f>PM_Angle!$J$15+PM_Angle!$K$15*$C597+PM_Angle!$L$15*$B597</f>
      </c>
      <c r="AA597" s="12">
        <f>IF(Z597&gt;0,IF(Z597&lt;=eco,alpha*fck*(1-(1-Z597/eco)^n),alpha*fck),0)</f>
      </c>
      <c r="AB597" s="30">
        <f>PM_Angle!$J$16+PM_Angle!$K$16*$C597+PM_Angle!$L$16*$B597</f>
      </c>
      <c r="AC597" s="12">
        <f>IF(AB597&gt;0,IF(AB597&lt;=eco,alpha*fck*(1-(1-AB597/eco)^n),alpha*fck),0)</f>
      </c>
      <c r="AD597" s="30">
        <f>PM_Angle!$J$17+PM_Angle!$K$17*$C597+PM_Angle!$L$17*$B597</f>
      </c>
      <c r="AE597" s="12">
        <f>IF(AD597&gt;0,IF(AD597&lt;=eco,alpha*fck*(1-(1-AD597/eco)^n),alpha*fck),0)</f>
      </c>
      <c r="AF597" s="30">
        <f>PM_Angle!$J$18+PM_Angle!$K$18*$C597+PM_Angle!$L$18*$B597</f>
      </c>
      <c r="AG597" s="12">
        <f>IF(AF597&gt;0,IF(AF597&lt;=eco,alpha*fck*(1-(1-AF597/eco)^n),alpha*fck),0)</f>
      </c>
      <c r="AH597" s="30">
        <f>PM_Angle!$J$19+PM_Angle!$K$19*$C597+PM_Angle!$L$19*$B597</f>
      </c>
      <c r="AI597" s="12">
        <f>IF(AH597&gt;0,IF(AH597&lt;=eco,alpha*fck*(1-(1-AH597/eco)^n),alpha*fck),0)</f>
      </c>
      <c r="AJ597" s="30">
        <f>PM_Angle!$J$20+PM_Angle!$K$20*$C597+PM_Angle!$L$20*$B597</f>
      </c>
      <c r="AK597" s="12">
        <f>IF(AJ597&gt;0,IF(AJ597&lt;=eco,alpha*fck*(1-(1-AJ597/eco)^n),alpha*fck),0)</f>
      </c>
      <c r="AL597" s="30">
        <f>PM_Angle!$J$21+PM_Angle!$K$21*$C597+PM_Angle!$L$21*$B597</f>
      </c>
      <c r="AM597" s="12">
        <f>IF(AL597&gt;0,IF(AL597&lt;=eco,alpha*fck*(1-(1-AL597/eco)^n),alpha*fck),0)</f>
      </c>
      <c r="AN597" s="30">
        <f>PM_Angle!$J$22+PM_Angle!$K$22*$C597+PM_Angle!$L$22*$B597</f>
      </c>
      <c r="AO597" s="12">
        <f>IF(AN597&gt;0,IF(AN597&lt;=eco,alpha*fck*(1-(1-AN597/eco)^n),alpha*fck),0)</f>
      </c>
      <c r="AP597" s="30">
        <f>PM_Angle!$J$23+PM_Angle!$K$23*$C597+PM_Angle!$L$23*$B597</f>
      </c>
      <c r="AQ597" s="12">
        <f>IF(AP597&gt;0,IF(AP597&lt;=eco,alpha*fck*(1-(1-AP597/eco)^n),alpha*fck),0)</f>
      </c>
      <c r="AR597" s="30">
        <f>PM_Angle!$J$24+PM_Angle!$K$24*$C597+PM_Angle!$L$24*$B597</f>
      </c>
      <c r="AS597" s="12">
        <f>IF(AR597&gt;0,IF(AR597&lt;=eco,alpha*fck*(1-(1-AR597/eco)^n),alpha*fck),0)</f>
      </c>
      <c r="AT597" s="30">
        <f>PM_Angle!$J$25+PM_Angle!$K$25*$C597+PM_Angle!$L$25*$B597</f>
      </c>
      <c r="AU597" s="12">
        <f>IF(AT597&gt;0,IF(AT597&lt;=eco,alpha*fck*(1-(1-AT597/eco)^n),alpha*fck),0)</f>
      </c>
    </row>
    <row r="598" spans="1:47" x14ac:dyDescent="0.25">
      <c r="A598">
        <f>Mesh!A595</f>
      </c>
      <c r="B598" s="12">
        <f>Mesh!B595</f>
      </c>
      <c r="C598" s="12">
        <f>Mesh!C595</f>
      </c>
      <c r="D598" s="12">
        <f>Mesh!D595</f>
      </c>
      <c r="E598" s="30">
        <f>INDEX(St_e0,Det+1)+INDEX(St_kx,Det+1)*C598+INDEX(St_ky,Det+1)*B598</f>
      </c>
      <c r="F598" s="12">
        <f>IF(E598&gt;0,IF(E598&lt;=eco,alpha*fck*(1-(1-E598/eco)^n),alpha*fck),0)</f>
      </c>
      <c r="G598" s="11">
        <f>F598*D598</f>
      </c>
      <c r="H598" s="11">
        <f>G598*C598</f>
      </c>
      <c r="I598" s="11">
        <f>G598*B598</f>
      </c>
      <c r="J598" s="30">
        <f>PM_Angle!$J$7+PM_Angle!$K$7*$C598+PM_Angle!$L$7*$B598</f>
      </c>
      <c r="K598" s="12">
        <f>IF(J598&gt;0,IF(J598&lt;=eco,alpha*fck*(1-(1-J598/eco)^n),alpha*fck),0)</f>
      </c>
      <c r="L598" s="30">
        <f>PM_Angle!$J$8+PM_Angle!$K$8*$C598+PM_Angle!$L$8*$B598</f>
      </c>
      <c r="M598" s="12">
        <f>IF(L598&gt;0,IF(L598&lt;=eco,alpha*fck*(1-(1-L598/eco)^n),alpha*fck),0)</f>
      </c>
      <c r="N598" s="30">
        <f>PM_Angle!$J$9+PM_Angle!$K$9*$C598+PM_Angle!$L$9*$B598</f>
      </c>
      <c r="O598" s="12">
        <f>IF(N598&gt;0,IF(N598&lt;=eco,alpha*fck*(1-(1-N598/eco)^n),alpha*fck),0)</f>
      </c>
      <c r="P598" s="30">
        <f>PM_Angle!$J$10+PM_Angle!$K$10*$C598+PM_Angle!$L$10*$B598</f>
      </c>
      <c r="Q598" s="12">
        <f>IF(P598&gt;0,IF(P598&lt;=eco,alpha*fck*(1-(1-P598/eco)^n),alpha*fck),0)</f>
      </c>
      <c r="R598" s="30">
        <f>PM_Angle!$J$11+PM_Angle!$K$11*$C598+PM_Angle!$L$11*$B598</f>
      </c>
      <c r="S598" s="12">
        <f>IF(R598&gt;0,IF(R598&lt;=eco,alpha*fck*(1-(1-R598/eco)^n),alpha*fck),0)</f>
      </c>
      <c r="T598" s="30">
        <f>PM_Angle!$J$12+PM_Angle!$K$12*$C598+PM_Angle!$L$12*$B598</f>
      </c>
      <c r="U598" s="12">
        <f>IF(T598&gt;0,IF(T598&lt;=eco,alpha*fck*(1-(1-T598/eco)^n),alpha*fck),0)</f>
      </c>
      <c r="V598" s="30">
        <f>PM_Angle!$J$13+PM_Angle!$K$13*$C598+PM_Angle!$L$13*$B598</f>
      </c>
      <c r="W598" s="12">
        <f>IF(V598&gt;0,IF(V598&lt;=eco,alpha*fck*(1-(1-V598/eco)^n),alpha*fck),0)</f>
      </c>
      <c r="X598" s="30">
        <f>PM_Angle!$J$14+PM_Angle!$K$14*$C598+PM_Angle!$L$14*$B598</f>
      </c>
      <c r="Y598" s="12">
        <f>IF(X598&gt;0,IF(X598&lt;=eco,alpha*fck*(1-(1-X598/eco)^n),alpha*fck),0)</f>
      </c>
      <c r="Z598" s="30">
        <f>PM_Angle!$J$15+PM_Angle!$K$15*$C598+PM_Angle!$L$15*$B598</f>
      </c>
      <c r="AA598" s="12">
        <f>IF(Z598&gt;0,IF(Z598&lt;=eco,alpha*fck*(1-(1-Z598/eco)^n),alpha*fck),0)</f>
      </c>
      <c r="AB598" s="30">
        <f>PM_Angle!$J$16+PM_Angle!$K$16*$C598+PM_Angle!$L$16*$B598</f>
      </c>
      <c r="AC598" s="12">
        <f>IF(AB598&gt;0,IF(AB598&lt;=eco,alpha*fck*(1-(1-AB598/eco)^n),alpha*fck),0)</f>
      </c>
      <c r="AD598" s="30">
        <f>PM_Angle!$J$17+PM_Angle!$K$17*$C598+PM_Angle!$L$17*$B598</f>
      </c>
      <c r="AE598" s="12">
        <f>IF(AD598&gt;0,IF(AD598&lt;=eco,alpha*fck*(1-(1-AD598/eco)^n),alpha*fck),0)</f>
      </c>
      <c r="AF598" s="30">
        <f>PM_Angle!$J$18+PM_Angle!$K$18*$C598+PM_Angle!$L$18*$B598</f>
      </c>
      <c r="AG598" s="12">
        <f>IF(AF598&gt;0,IF(AF598&lt;=eco,alpha*fck*(1-(1-AF598/eco)^n),alpha*fck),0)</f>
      </c>
      <c r="AH598" s="30">
        <f>PM_Angle!$J$19+PM_Angle!$K$19*$C598+PM_Angle!$L$19*$B598</f>
      </c>
      <c r="AI598" s="12">
        <f>IF(AH598&gt;0,IF(AH598&lt;=eco,alpha*fck*(1-(1-AH598/eco)^n),alpha*fck),0)</f>
      </c>
      <c r="AJ598" s="30">
        <f>PM_Angle!$J$20+PM_Angle!$K$20*$C598+PM_Angle!$L$20*$B598</f>
      </c>
      <c r="AK598" s="12">
        <f>IF(AJ598&gt;0,IF(AJ598&lt;=eco,alpha*fck*(1-(1-AJ598/eco)^n),alpha*fck),0)</f>
      </c>
      <c r="AL598" s="30">
        <f>PM_Angle!$J$21+PM_Angle!$K$21*$C598+PM_Angle!$L$21*$B598</f>
      </c>
      <c r="AM598" s="12">
        <f>IF(AL598&gt;0,IF(AL598&lt;=eco,alpha*fck*(1-(1-AL598/eco)^n),alpha*fck),0)</f>
      </c>
      <c r="AN598" s="30">
        <f>PM_Angle!$J$22+PM_Angle!$K$22*$C598+PM_Angle!$L$22*$B598</f>
      </c>
      <c r="AO598" s="12">
        <f>IF(AN598&gt;0,IF(AN598&lt;=eco,alpha*fck*(1-(1-AN598/eco)^n),alpha*fck),0)</f>
      </c>
      <c r="AP598" s="30">
        <f>PM_Angle!$J$23+PM_Angle!$K$23*$C598+PM_Angle!$L$23*$B598</f>
      </c>
      <c r="AQ598" s="12">
        <f>IF(AP598&gt;0,IF(AP598&lt;=eco,alpha*fck*(1-(1-AP598/eco)^n),alpha*fck),0)</f>
      </c>
      <c r="AR598" s="30">
        <f>PM_Angle!$J$24+PM_Angle!$K$24*$C598+PM_Angle!$L$24*$B598</f>
      </c>
      <c r="AS598" s="12">
        <f>IF(AR598&gt;0,IF(AR598&lt;=eco,alpha*fck*(1-(1-AR598/eco)^n),alpha*fck),0)</f>
      </c>
      <c r="AT598" s="30">
        <f>PM_Angle!$J$25+PM_Angle!$K$25*$C598+PM_Angle!$L$25*$B598</f>
      </c>
      <c r="AU598" s="12">
        <f>IF(AT598&gt;0,IF(AT598&lt;=eco,alpha*fck*(1-(1-AT598/eco)^n),alpha*fck),0)</f>
      </c>
    </row>
    <row r="599" spans="1:47" x14ac:dyDescent="0.25">
      <c r="A599">
        <f>Mesh!A596</f>
      </c>
      <c r="B599" s="12">
        <f>Mesh!B596</f>
      </c>
      <c r="C599" s="12">
        <f>Mesh!C596</f>
      </c>
      <c r="D599" s="12">
        <f>Mesh!D596</f>
      </c>
      <c r="E599" s="30">
        <f>INDEX(St_e0,Det+1)+INDEX(St_kx,Det+1)*C599+INDEX(St_ky,Det+1)*B599</f>
      </c>
      <c r="F599" s="12">
        <f>IF(E599&gt;0,IF(E599&lt;=eco,alpha*fck*(1-(1-E599/eco)^n),alpha*fck),0)</f>
      </c>
      <c r="G599" s="11">
        <f>F599*D599</f>
      </c>
      <c r="H599" s="11">
        <f>G599*C599</f>
      </c>
      <c r="I599" s="11">
        <f>G599*B599</f>
      </c>
      <c r="J599" s="30">
        <f>PM_Angle!$J$7+PM_Angle!$K$7*$C599+PM_Angle!$L$7*$B599</f>
      </c>
      <c r="K599" s="12">
        <f>IF(J599&gt;0,IF(J599&lt;=eco,alpha*fck*(1-(1-J599/eco)^n),alpha*fck),0)</f>
      </c>
      <c r="L599" s="30">
        <f>PM_Angle!$J$8+PM_Angle!$K$8*$C599+PM_Angle!$L$8*$B599</f>
      </c>
      <c r="M599" s="12">
        <f>IF(L599&gt;0,IF(L599&lt;=eco,alpha*fck*(1-(1-L599/eco)^n),alpha*fck),0)</f>
      </c>
      <c r="N599" s="30">
        <f>PM_Angle!$J$9+PM_Angle!$K$9*$C599+PM_Angle!$L$9*$B599</f>
      </c>
      <c r="O599" s="12">
        <f>IF(N599&gt;0,IF(N599&lt;=eco,alpha*fck*(1-(1-N599/eco)^n),alpha*fck),0)</f>
      </c>
      <c r="P599" s="30">
        <f>PM_Angle!$J$10+PM_Angle!$K$10*$C599+PM_Angle!$L$10*$B599</f>
      </c>
      <c r="Q599" s="12">
        <f>IF(P599&gt;0,IF(P599&lt;=eco,alpha*fck*(1-(1-P599/eco)^n),alpha*fck),0)</f>
      </c>
      <c r="R599" s="30">
        <f>PM_Angle!$J$11+PM_Angle!$K$11*$C599+PM_Angle!$L$11*$B599</f>
      </c>
      <c r="S599" s="12">
        <f>IF(R599&gt;0,IF(R599&lt;=eco,alpha*fck*(1-(1-R599/eco)^n),alpha*fck),0)</f>
      </c>
      <c r="T599" s="30">
        <f>PM_Angle!$J$12+PM_Angle!$K$12*$C599+PM_Angle!$L$12*$B599</f>
      </c>
      <c r="U599" s="12">
        <f>IF(T599&gt;0,IF(T599&lt;=eco,alpha*fck*(1-(1-T599/eco)^n),alpha*fck),0)</f>
      </c>
      <c r="V599" s="30">
        <f>PM_Angle!$J$13+PM_Angle!$K$13*$C599+PM_Angle!$L$13*$B599</f>
      </c>
      <c r="W599" s="12">
        <f>IF(V599&gt;0,IF(V599&lt;=eco,alpha*fck*(1-(1-V599/eco)^n),alpha*fck),0)</f>
      </c>
      <c r="X599" s="30">
        <f>PM_Angle!$J$14+PM_Angle!$K$14*$C599+PM_Angle!$L$14*$B599</f>
      </c>
      <c r="Y599" s="12">
        <f>IF(X599&gt;0,IF(X599&lt;=eco,alpha*fck*(1-(1-X599/eco)^n),alpha*fck),0)</f>
      </c>
      <c r="Z599" s="30">
        <f>PM_Angle!$J$15+PM_Angle!$K$15*$C599+PM_Angle!$L$15*$B599</f>
      </c>
      <c r="AA599" s="12">
        <f>IF(Z599&gt;0,IF(Z599&lt;=eco,alpha*fck*(1-(1-Z599/eco)^n),alpha*fck),0)</f>
      </c>
      <c r="AB599" s="30">
        <f>PM_Angle!$J$16+PM_Angle!$K$16*$C599+PM_Angle!$L$16*$B599</f>
      </c>
      <c r="AC599" s="12">
        <f>IF(AB599&gt;0,IF(AB599&lt;=eco,alpha*fck*(1-(1-AB599/eco)^n),alpha*fck),0)</f>
      </c>
      <c r="AD599" s="30">
        <f>PM_Angle!$J$17+PM_Angle!$K$17*$C599+PM_Angle!$L$17*$B599</f>
      </c>
      <c r="AE599" s="12">
        <f>IF(AD599&gt;0,IF(AD599&lt;=eco,alpha*fck*(1-(1-AD599/eco)^n),alpha*fck),0)</f>
      </c>
      <c r="AF599" s="30">
        <f>PM_Angle!$J$18+PM_Angle!$K$18*$C599+PM_Angle!$L$18*$B599</f>
      </c>
      <c r="AG599" s="12">
        <f>IF(AF599&gt;0,IF(AF599&lt;=eco,alpha*fck*(1-(1-AF599/eco)^n),alpha*fck),0)</f>
      </c>
      <c r="AH599" s="30">
        <f>PM_Angle!$J$19+PM_Angle!$K$19*$C599+PM_Angle!$L$19*$B599</f>
      </c>
      <c r="AI599" s="12">
        <f>IF(AH599&gt;0,IF(AH599&lt;=eco,alpha*fck*(1-(1-AH599/eco)^n),alpha*fck),0)</f>
      </c>
      <c r="AJ599" s="30">
        <f>PM_Angle!$J$20+PM_Angle!$K$20*$C599+PM_Angle!$L$20*$B599</f>
      </c>
      <c r="AK599" s="12">
        <f>IF(AJ599&gt;0,IF(AJ599&lt;=eco,alpha*fck*(1-(1-AJ599/eco)^n),alpha*fck),0)</f>
      </c>
      <c r="AL599" s="30">
        <f>PM_Angle!$J$21+PM_Angle!$K$21*$C599+PM_Angle!$L$21*$B599</f>
      </c>
      <c r="AM599" s="12">
        <f>IF(AL599&gt;0,IF(AL599&lt;=eco,alpha*fck*(1-(1-AL599/eco)^n),alpha*fck),0)</f>
      </c>
      <c r="AN599" s="30">
        <f>PM_Angle!$J$22+PM_Angle!$K$22*$C599+PM_Angle!$L$22*$B599</f>
      </c>
      <c r="AO599" s="12">
        <f>IF(AN599&gt;0,IF(AN599&lt;=eco,alpha*fck*(1-(1-AN599/eco)^n),alpha*fck),0)</f>
      </c>
      <c r="AP599" s="30">
        <f>PM_Angle!$J$23+PM_Angle!$K$23*$C599+PM_Angle!$L$23*$B599</f>
      </c>
      <c r="AQ599" s="12">
        <f>IF(AP599&gt;0,IF(AP599&lt;=eco,alpha*fck*(1-(1-AP599/eco)^n),alpha*fck),0)</f>
      </c>
      <c r="AR599" s="30">
        <f>PM_Angle!$J$24+PM_Angle!$K$24*$C599+PM_Angle!$L$24*$B599</f>
      </c>
      <c r="AS599" s="12">
        <f>IF(AR599&gt;0,IF(AR599&lt;=eco,alpha*fck*(1-(1-AR599/eco)^n),alpha*fck),0)</f>
      </c>
      <c r="AT599" s="30">
        <f>PM_Angle!$J$25+PM_Angle!$K$25*$C599+PM_Angle!$L$25*$B599</f>
      </c>
      <c r="AU599" s="12">
        <f>IF(AT599&gt;0,IF(AT599&lt;=eco,alpha*fck*(1-(1-AT599/eco)^n),alpha*fck),0)</f>
      </c>
    </row>
    <row r="600" spans="1:47" x14ac:dyDescent="0.25">
      <c r="A600">
        <f>Mesh!A597</f>
      </c>
      <c r="B600" s="12">
        <f>Mesh!B597</f>
      </c>
      <c r="C600" s="12">
        <f>Mesh!C597</f>
      </c>
      <c r="D600" s="12">
        <f>Mesh!D597</f>
      </c>
      <c r="E600" s="30">
        <f>INDEX(St_e0,Det+1)+INDEX(St_kx,Det+1)*C600+INDEX(St_ky,Det+1)*B600</f>
      </c>
      <c r="F600" s="12">
        <f>IF(E600&gt;0,IF(E600&lt;=eco,alpha*fck*(1-(1-E600/eco)^n),alpha*fck),0)</f>
      </c>
      <c r="G600" s="11">
        <f>F600*D600</f>
      </c>
      <c r="H600" s="11">
        <f>G600*C600</f>
      </c>
      <c r="I600" s="11">
        <f>G600*B600</f>
      </c>
      <c r="J600" s="30">
        <f>PM_Angle!$J$7+PM_Angle!$K$7*$C600+PM_Angle!$L$7*$B600</f>
      </c>
      <c r="K600" s="12">
        <f>IF(J600&gt;0,IF(J600&lt;=eco,alpha*fck*(1-(1-J600/eco)^n),alpha*fck),0)</f>
      </c>
      <c r="L600" s="30">
        <f>PM_Angle!$J$8+PM_Angle!$K$8*$C600+PM_Angle!$L$8*$B600</f>
      </c>
      <c r="M600" s="12">
        <f>IF(L600&gt;0,IF(L600&lt;=eco,alpha*fck*(1-(1-L600/eco)^n),alpha*fck),0)</f>
      </c>
      <c r="N600" s="30">
        <f>PM_Angle!$J$9+PM_Angle!$K$9*$C600+PM_Angle!$L$9*$B600</f>
      </c>
      <c r="O600" s="12">
        <f>IF(N600&gt;0,IF(N600&lt;=eco,alpha*fck*(1-(1-N600/eco)^n),alpha*fck),0)</f>
      </c>
      <c r="P600" s="30">
        <f>PM_Angle!$J$10+PM_Angle!$K$10*$C600+PM_Angle!$L$10*$B600</f>
      </c>
      <c r="Q600" s="12">
        <f>IF(P600&gt;0,IF(P600&lt;=eco,alpha*fck*(1-(1-P600/eco)^n),alpha*fck),0)</f>
      </c>
      <c r="R600" s="30">
        <f>PM_Angle!$J$11+PM_Angle!$K$11*$C600+PM_Angle!$L$11*$B600</f>
      </c>
      <c r="S600" s="12">
        <f>IF(R600&gt;0,IF(R600&lt;=eco,alpha*fck*(1-(1-R600/eco)^n),alpha*fck),0)</f>
      </c>
      <c r="T600" s="30">
        <f>PM_Angle!$J$12+PM_Angle!$K$12*$C600+PM_Angle!$L$12*$B600</f>
      </c>
      <c r="U600" s="12">
        <f>IF(T600&gt;0,IF(T600&lt;=eco,alpha*fck*(1-(1-T600/eco)^n),alpha*fck),0)</f>
      </c>
      <c r="V600" s="30">
        <f>PM_Angle!$J$13+PM_Angle!$K$13*$C600+PM_Angle!$L$13*$B600</f>
      </c>
      <c r="W600" s="12">
        <f>IF(V600&gt;0,IF(V600&lt;=eco,alpha*fck*(1-(1-V600/eco)^n),alpha*fck),0)</f>
      </c>
      <c r="X600" s="30">
        <f>PM_Angle!$J$14+PM_Angle!$K$14*$C600+PM_Angle!$L$14*$B600</f>
      </c>
      <c r="Y600" s="12">
        <f>IF(X600&gt;0,IF(X600&lt;=eco,alpha*fck*(1-(1-X600/eco)^n),alpha*fck),0)</f>
      </c>
      <c r="Z600" s="30">
        <f>PM_Angle!$J$15+PM_Angle!$K$15*$C600+PM_Angle!$L$15*$B600</f>
      </c>
      <c r="AA600" s="12">
        <f>IF(Z600&gt;0,IF(Z600&lt;=eco,alpha*fck*(1-(1-Z600/eco)^n),alpha*fck),0)</f>
      </c>
      <c r="AB600" s="30">
        <f>PM_Angle!$J$16+PM_Angle!$K$16*$C600+PM_Angle!$L$16*$B600</f>
      </c>
      <c r="AC600" s="12">
        <f>IF(AB600&gt;0,IF(AB600&lt;=eco,alpha*fck*(1-(1-AB600/eco)^n),alpha*fck),0)</f>
      </c>
      <c r="AD600" s="30">
        <f>PM_Angle!$J$17+PM_Angle!$K$17*$C600+PM_Angle!$L$17*$B600</f>
      </c>
      <c r="AE600" s="12">
        <f>IF(AD600&gt;0,IF(AD600&lt;=eco,alpha*fck*(1-(1-AD600/eco)^n),alpha*fck),0)</f>
      </c>
      <c r="AF600" s="30">
        <f>PM_Angle!$J$18+PM_Angle!$K$18*$C600+PM_Angle!$L$18*$B600</f>
      </c>
      <c r="AG600" s="12">
        <f>IF(AF600&gt;0,IF(AF600&lt;=eco,alpha*fck*(1-(1-AF600/eco)^n),alpha*fck),0)</f>
      </c>
      <c r="AH600" s="30">
        <f>PM_Angle!$J$19+PM_Angle!$K$19*$C600+PM_Angle!$L$19*$B600</f>
      </c>
      <c r="AI600" s="12">
        <f>IF(AH600&gt;0,IF(AH600&lt;=eco,alpha*fck*(1-(1-AH600/eco)^n),alpha*fck),0)</f>
      </c>
      <c r="AJ600" s="30">
        <f>PM_Angle!$J$20+PM_Angle!$K$20*$C600+PM_Angle!$L$20*$B600</f>
      </c>
      <c r="AK600" s="12">
        <f>IF(AJ600&gt;0,IF(AJ600&lt;=eco,alpha*fck*(1-(1-AJ600/eco)^n),alpha*fck),0)</f>
      </c>
      <c r="AL600" s="30">
        <f>PM_Angle!$J$21+PM_Angle!$K$21*$C600+PM_Angle!$L$21*$B600</f>
      </c>
      <c r="AM600" s="12">
        <f>IF(AL600&gt;0,IF(AL600&lt;=eco,alpha*fck*(1-(1-AL600/eco)^n),alpha*fck),0)</f>
      </c>
      <c r="AN600" s="30">
        <f>PM_Angle!$J$22+PM_Angle!$K$22*$C600+PM_Angle!$L$22*$B600</f>
      </c>
      <c r="AO600" s="12">
        <f>IF(AN600&gt;0,IF(AN600&lt;=eco,alpha*fck*(1-(1-AN600/eco)^n),alpha*fck),0)</f>
      </c>
      <c r="AP600" s="30">
        <f>PM_Angle!$J$23+PM_Angle!$K$23*$C600+PM_Angle!$L$23*$B600</f>
      </c>
      <c r="AQ600" s="12">
        <f>IF(AP600&gt;0,IF(AP600&lt;=eco,alpha*fck*(1-(1-AP600/eco)^n),alpha*fck),0)</f>
      </c>
      <c r="AR600" s="30">
        <f>PM_Angle!$J$24+PM_Angle!$K$24*$C600+PM_Angle!$L$24*$B600</f>
      </c>
      <c r="AS600" s="12">
        <f>IF(AR600&gt;0,IF(AR600&lt;=eco,alpha*fck*(1-(1-AR600/eco)^n),alpha*fck),0)</f>
      </c>
      <c r="AT600" s="30">
        <f>PM_Angle!$J$25+PM_Angle!$K$25*$C600+PM_Angle!$L$25*$B600</f>
      </c>
      <c r="AU600" s="12">
        <f>IF(AT600&gt;0,IF(AT600&lt;=eco,alpha*fck*(1-(1-AT600/eco)^n),alpha*fck),0)</f>
      </c>
    </row>
    <row r="601" spans="1:47" x14ac:dyDescent="0.25">
      <c r="A601">
        <f>Mesh!A598</f>
      </c>
      <c r="B601" s="12">
        <f>Mesh!B598</f>
      </c>
      <c r="C601" s="12">
        <f>Mesh!C598</f>
      </c>
      <c r="D601" s="12">
        <f>Mesh!D598</f>
      </c>
      <c r="E601" s="30">
        <f>INDEX(St_e0,Det+1)+INDEX(St_kx,Det+1)*C601+INDEX(St_ky,Det+1)*B601</f>
      </c>
      <c r="F601" s="12">
        <f>IF(E601&gt;0,IF(E601&lt;=eco,alpha*fck*(1-(1-E601/eco)^n),alpha*fck),0)</f>
      </c>
      <c r="G601" s="11">
        <f>F601*D601</f>
      </c>
      <c r="H601" s="11">
        <f>G601*C601</f>
      </c>
      <c r="I601" s="11">
        <f>G601*B601</f>
      </c>
      <c r="J601" s="30">
        <f>PM_Angle!$J$7+PM_Angle!$K$7*$C601+PM_Angle!$L$7*$B601</f>
      </c>
      <c r="K601" s="12">
        <f>IF(J601&gt;0,IF(J601&lt;=eco,alpha*fck*(1-(1-J601/eco)^n),alpha*fck),0)</f>
      </c>
      <c r="L601" s="30">
        <f>PM_Angle!$J$8+PM_Angle!$K$8*$C601+PM_Angle!$L$8*$B601</f>
      </c>
      <c r="M601" s="12">
        <f>IF(L601&gt;0,IF(L601&lt;=eco,alpha*fck*(1-(1-L601/eco)^n),alpha*fck),0)</f>
      </c>
      <c r="N601" s="30">
        <f>PM_Angle!$J$9+PM_Angle!$K$9*$C601+PM_Angle!$L$9*$B601</f>
      </c>
      <c r="O601" s="12">
        <f>IF(N601&gt;0,IF(N601&lt;=eco,alpha*fck*(1-(1-N601/eco)^n),alpha*fck),0)</f>
      </c>
      <c r="P601" s="30">
        <f>PM_Angle!$J$10+PM_Angle!$K$10*$C601+PM_Angle!$L$10*$B601</f>
      </c>
      <c r="Q601" s="12">
        <f>IF(P601&gt;0,IF(P601&lt;=eco,alpha*fck*(1-(1-P601/eco)^n),alpha*fck),0)</f>
      </c>
      <c r="R601" s="30">
        <f>PM_Angle!$J$11+PM_Angle!$K$11*$C601+PM_Angle!$L$11*$B601</f>
      </c>
      <c r="S601" s="12">
        <f>IF(R601&gt;0,IF(R601&lt;=eco,alpha*fck*(1-(1-R601/eco)^n),alpha*fck),0)</f>
      </c>
      <c r="T601" s="30">
        <f>PM_Angle!$J$12+PM_Angle!$K$12*$C601+PM_Angle!$L$12*$B601</f>
      </c>
      <c r="U601" s="12">
        <f>IF(T601&gt;0,IF(T601&lt;=eco,alpha*fck*(1-(1-T601/eco)^n),alpha*fck),0)</f>
      </c>
      <c r="V601" s="30">
        <f>PM_Angle!$J$13+PM_Angle!$K$13*$C601+PM_Angle!$L$13*$B601</f>
      </c>
      <c r="W601" s="12">
        <f>IF(V601&gt;0,IF(V601&lt;=eco,alpha*fck*(1-(1-V601/eco)^n),alpha*fck),0)</f>
      </c>
      <c r="X601" s="30">
        <f>PM_Angle!$J$14+PM_Angle!$K$14*$C601+PM_Angle!$L$14*$B601</f>
      </c>
      <c r="Y601" s="12">
        <f>IF(X601&gt;0,IF(X601&lt;=eco,alpha*fck*(1-(1-X601/eco)^n),alpha*fck),0)</f>
      </c>
      <c r="Z601" s="30">
        <f>PM_Angle!$J$15+PM_Angle!$K$15*$C601+PM_Angle!$L$15*$B601</f>
      </c>
      <c r="AA601" s="12">
        <f>IF(Z601&gt;0,IF(Z601&lt;=eco,alpha*fck*(1-(1-Z601/eco)^n),alpha*fck),0)</f>
      </c>
      <c r="AB601" s="30">
        <f>PM_Angle!$J$16+PM_Angle!$K$16*$C601+PM_Angle!$L$16*$B601</f>
      </c>
      <c r="AC601" s="12">
        <f>IF(AB601&gt;0,IF(AB601&lt;=eco,alpha*fck*(1-(1-AB601/eco)^n),alpha*fck),0)</f>
      </c>
      <c r="AD601" s="30">
        <f>PM_Angle!$J$17+PM_Angle!$K$17*$C601+PM_Angle!$L$17*$B601</f>
      </c>
      <c r="AE601" s="12">
        <f>IF(AD601&gt;0,IF(AD601&lt;=eco,alpha*fck*(1-(1-AD601/eco)^n),alpha*fck),0)</f>
      </c>
      <c r="AF601" s="30">
        <f>PM_Angle!$J$18+PM_Angle!$K$18*$C601+PM_Angle!$L$18*$B601</f>
      </c>
      <c r="AG601" s="12">
        <f>IF(AF601&gt;0,IF(AF601&lt;=eco,alpha*fck*(1-(1-AF601/eco)^n),alpha*fck),0)</f>
      </c>
      <c r="AH601" s="30">
        <f>PM_Angle!$J$19+PM_Angle!$K$19*$C601+PM_Angle!$L$19*$B601</f>
      </c>
      <c r="AI601" s="12">
        <f>IF(AH601&gt;0,IF(AH601&lt;=eco,alpha*fck*(1-(1-AH601/eco)^n),alpha*fck),0)</f>
      </c>
      <c r="AJ601" s="30">
        <f>PM_Angle!$J$20+PM_Angle!$K$20*$C601+PM_Angle!$L$20*$B601</f>
      </c>
      <c r="AK601" s="12">
        <f>IF(AJ601&gt;0,IF(AJ601&lt;=eco,alpha*fck*(1-(1-AJ601/eco)^n),alpha*fck),0)</f>
      </c>
      <c r="AL601" s="30">
        <f>PM_Angle!$J$21+PM_Angle!$K$21*$C601+PM_Angle!$L$21*$B601</f>
      </c>
      <c r="AM601" s="12">
        <f>IF(AL601&gt;0,IF(AL601&lt;=eco,alpha*fck*(1-(1-AL601/eco)^n),alpha*fck),0)</f>
      </c>
      <c r="AN601" s="30">
        <f>PM_Angle!$J$22+PM_Angle!$K$22*$C601+PM_Angle!$L$22*$B601</f>
      </c>
      <c r="AO601" s="12">
        <f>IF(AN601&gt;0,IF(AN601&lt;=eco,alpha*fck*(1-(1-AN601/eco)^n),alpha*fck),0)</f>
      </c>
      <c r="AP601" s="30">
        <f>PM_Angle!$J$23+PM_Angle!$K$23*$C601+PM_Angle!$L$23*$B601</f>
      </c>
      <c r="AQ601" s="12">
        <f>IF(AP601&gt;0,IF(AP601&lt;=eco,alpha*fck*(1-(1-AP601/eco)^n),alpha*fck),0)</f>
      </c>
      <c r="AR601" s="30">
        <f>PM_Angle!$J$24+PM_Angle!$K$24*$C601+PM_Angle!$L$24*$B601</f>
      </c>
      <c r="AS601" s="12">
        <f>IF(AR601&gt;0,IF(AR601&lt;=eco,alpha*fck*(1-(1-AR601/eco)^n),alpha*fck),0)</f>
      </c>
      <c r="AT601" s="30">
        <f>PM_Angle!$J$25+PM_Angle!$K$25*$C601+PM_Angle!$L$25*$B601</f>
      </c>
      <c r="AU601" s="12">
        <f>IF(AT601&gt;0,IF(AT601&lt;=eco,alpha*fck*(1-(1-AT601/eco)^n),alpha*fck),0)</f>
      </c>
    </row>
    <row r="602" spans="1:47" x14ac:dyDescent="0.25">
      <c r="A602">
        <f>Mesh!A599</f>
      </c>
      <c r="B602" s="12">
        <f>Mesh!B599</f>
      </c>
      <c r="C602" s="12">
        <f>Mesh!C599</f>
      </c>
      <c r="D602" s="12">
        <f>Mesh!D599</f>
      </c>
      <c r="E602" s="30">
        <f>INDEX(St_e0,Det+1)+INDEX(St_kx,Det+1)*C602+INDEX(St_ky,Det+1)*B602</f>
      </c>
      <c r="F602" s="12">
        <f>IF(E602&gt;0,IF(E602&lt;=eco,alpha*fck*(1-(1-E602/eco)^n),alpha*fck),0)</f>
      </c>
      <c r="G602" s="11">
        <f>F602*D602</f>
      </c>
      <c r="H602" s="11">
        <f>G602*C602</f>
      </c>
      <c r="I602" s="11">
        <f>G602*B602</f>
      </c>
      <c r="J602" s="30">
        <f>PM_Angle!$J$7+PM_Angle!$K$7*$C602+PM_Angle!$L$7*$B602</f>
      </c>
      <c r="K602" s="12">
        <f>IF(J602&gt;0,IF(J602&lt;=eco,alpha*fck*(1-(1-J602/eco)^n),alpha*fck),0)</f>
      </c>
      <c r="L602" s="30">
        <f>PM_Angle!$J$8+PM_Angle!$K$8*$C602+PM_Angle!$L$8*$B602</f>
      </c>
      <c r="M602" s="12">
        <f>IF(L602&gt;0,IF(L602&lt;=eco,alpha*fck*(1-(1-L602/eco)^n),alpha*fck),0)</f>
      </c>
      <c r="N602" s="30">
        <f>PM_Angle!$J$9+PM_Angle!$K$9*$C602+PM_Angle!$L$9*$B602</f>
      </c>
      <c r="O602" s="12">
        <f>IF(N602&gt;0,IF(N602&lt;=eco,alpha*fck*(1-(1-N602/eco)^n),alpha*fck),0)</f>
      </c>
      <c r="P602" s="30">
        <f>PM_Angle!$J$10+PM_Angle!$K$10*$C602+PM_Angle!$L$10*$B602</f>
      </c>
      <c r="Q602" s="12">
        <f>IF(P602&gt;0,IF(P602&lt;=eco,alpha*fck*(1-(1-P602/eco)^n),alpha*fck),0)</f>
      </c>
      <c r="R602" s="30">
        <f>PM_Angle!$J$11+PM_Angle!$K$11*$C602+PM_Angle!$L$11*$B602</f>
      </c>
      <c r="S602" s="12">
        <f>IF(R602&gt;0,IF(R602&lt;=eco,alpha*fck*(1-(1-R602/eco)^n),alpha*fck),0)</f>
      </c>
      <c r="T602" s="30">
        <f>PM_Angle!$J$12+PM_Angle!$K$12*$C602+PM_Angle!$L$12*$B602</f>
      </c>
      <c r="U602" s="12">
        <f>IF(T602&gt;0,IF(T602&lt;=eco,alpha*fck*(1-(1-T602/eco)^n),alpha*fck),0)</f>
      </c>
      <c r="V602" s="30">
        <f>PM_Angle!$J$13+PM_Angle!$K$13*$C602+PM_Angle!$L$13*$B602</f>
      </c>
      <c r="W602" s="12">
        <f>IF(V602&gt;0,IF(V602&lt;=eco,alpha*fck*(1-(1-V602/eco)^n),alpha*fck),0)</f>
      </c>
      <c r="X602" s="30">
        <f>PM_Angle!$J$14+PM_Angle!$K$14*$C602+PM_Angle!$L$14*$B602</f>
      </c>
      <c r="Y602" s="12">
        <f>IF(X602&gt;0,IF(X602&lt;=eco,alpha*fck*(1-(1-X602/eco)^n),alpha*fck),0)</f>
      </c>
      <c r="Z602" s="30">
        <f>PM_Angle!$J$15+PM_Angle!$K$15*$C602+PM_Angle!$L$15*$B602</f>
      </c>
      <c r="AA602" s="12">
        <f>IF(Z602&gt;0,IF(Z602&lt;=eco,alpha*fck*(1-(1-Z602/eco)^n),alpha*fck),0)</f>
      </c>
      <c r="AB602" s="30">
        <f>PM_Angle!$J$16+PM_Angle!$K$16*$C602+PM_Angle!$L$16*$B602</f>
      </c>
      <c r="AC602" s="12">
        <f>IF(AB602&gt;0,IF(AB602&lt;=eco,alpha*fck*(1-(1-AB602/eco)^n),alpha*fck),0)</f>
      </c>
      <c r="AD602" s="30">
        <f>PM_Angle!$J$17+PM_Angle!$K$17*$C602+PM_Angle!$L$17*$B602</f>
      </c>
      <c r="AE602" s="12">
        <f>IF(AD602&gt;0,IF(AD602&lt;=eco,alpha*fck*(1-(1-AD602/eco)^n),alpha*fck),0)</f>
      </c>
      <c r="AF602" s="30">
        <f>PM_Angle!$J$18+PM_Angle!$K$18*$C602+PM_Angle!$L$18*$B602</f>
      </c>
      <c r="AG602" s="12">
        <f>IF(AF602&gt;0,IF(AF602&lt;=eco,alpha*fck*(1-(1-AF602/eco)^n),alpha*fck),0)</f>
      </c>
      <c r="AH602" s="30">
        <f>PM_Angle!$J$19+PM_Angle!$K$19*$C602+PM_Angle!$L$19*$B602</f>
      </c>
      <c r="AI602" s="12">
        <f>IF(AH602&gt;0,IF(AH602&lt;=eco,alpha*fck*(1-(1-AH602/eco)^n),alpha*fck),0)</f>
      </c>
      <c r="AJ602" s="30">
        <f>PM_Angle!$J$20+PM_Angle!$K$20*$C602+PM_Angle!$L$20*$B602</f>
      </c>
      <c r="AK602" s="12">
        <f>IF(AJ602&gt;0,IF(AJ602&lt;=eco,alpha*fck*(1-(1-AJ602/eco)^n),alpha*fck),0)</f>
      </c>
      <c r="AL602" s="30">
        <f>PM_Angle!$J$21+PM_Angle!$K$21*$C602+PM_Angle!$L$21*$B602</f>
      </c>
      <c r="AM602" s="12">
        <f>IF(AL602&gt;0,IF(AL602&lt;=eco,alpha*fck*(1-(1-AL602/eco)^n),alpha*fck),0)</f>
      </c>
      <c r="AN602" s="30">
        <f>PM_Angle!$J$22+PM_Angle!$K$22*$C602+PM_Angle!$L$22*$B602</f>
      </c>
      <c r="AO602" s="12">
        <f>IF(AN602&gt;0,IF(AN602&lt;=eco,alpha*fck*(1-(1-AN602/eco)^n),alpha*fck),0)</f>
      </c>
      <c r="AP602" s="30">
        <f>PM_Angle!$J$23+PM_Angle!$K$23*$C602+PM_Angle!$L$23*$B602</f>
      </c>
      <c r="AQ602" s="12">
        <f>IF(AP602&gt;0,IF(AP602&lt;=eco,alpha*fck*(1-(1-AP602/eco)^n),alpha*fck),0)</f>
      </c>
      <c r="AR602" s="30">
        <f>PM_Angle!$J$24+PM_Angle!$K$24*$C602+PM_Angle!$L$24*$B602</f>
      </c>
      <c r="AS602" s="12">
        <f>IF(AR602&gt;0,IF(AR602&lt;=eco,alpha*fck*(1-(1-AR602/eco)^n),alpha*fck),0)</f>
      </c>
      <c r="AT602" s="30">
        <f>PM_Angle!$J$25+PM_Angle!$K$25*$C602+PM_Angle!$L$25*$B602</f>
      </c>
      <c r="AU602" s="12">
        <f>IF(AT602&gt;0,IF(AT602&lt;=eco,alpha*fck*(1-(1-AT602/eco)^n),alpha*fck),0)</f>
      </c>
    </row>
    <row r="603" spans="1:47" x14ac:dyDescent="0.25">
      <c r="A603">
        <f>Mesh!A600</f>
      </c>
      <c r="B603" s="12">
        <f>Mesh!B600</f>
      </c>
      <c r="C603" s="12">
        <f>Mesh!C600</f>
      </c>
      <c r="D603" s="12">
        <f>Mesh!D600</f>
      </c>
      <c r="E603" s="30">
        <f>INDEX(St_e0,Det+1)+INDEX(St_kx,Det+1)*C603+INDEX(St_ky,Det+1)*B603</f>
      </c>
      <c r="F603" s="12">
        <f>IF(E603&gt;0,IF(E603&lt;=eco,alpha*fck*(1-(1-E603/eco)^n),alpha*fck),0)</f>
      </c>
      <c r="G603" s="11">
        <f>F603*D603</f>
      </c>
      <c r="H603" s="11">
        <f>G603*C603</f>
      </c>
      <c r="I603" s="11">
        <f>G603*B603</f>
      </c>
      <c r="J603" s="30">
        <f>PM_Angle!$J$7+PM_Angle!$K$7*$C603+PM_Angle!$L$7*$B603</f>
      </c>
      <c r="K603" s="12">
        <f>IF(J603&gt;0,IF(J603&lt;=eco,alpha*fck*(1-(1-J603/eco)^n),alpha*fck),0)</f>
      </c>
      <c r="L603" s="30">
        <f>PM_Angle!$J$8+PM_Angle!$K$8*$C603+PM_Angle!$L$8*$B603</f>
      </c>
      <c r="M603" s="12">
        <f>IF(L603&gt;0,IF(L603&lt;=eco,alpha*fck*(1-(1-L603/eco)^n),alpha*fck),0)</f>
      </c>
      <c r="N603" s="30">
        <f>PM_Angle!$J$9+PM_Angle!$K$9*$C603+PM_Angle!$L$9*$B603</f>
      </c>
      <c r="O603" s="12">
        <f>IF(N603&gt;0,IF(N603&lt;=eco,alpha*fck*(1-(1-N603/eco)^n),alpha*fck),0)</f>
      </c>
      <c r="P603" s="30">
        <f>PM_Angle!$J$10+PM_Angle!$K$10*$C603+PM_Angle!$L$10*$B603</f>
      </c>
      <c r="Q603" s="12">
        <f>IF(P603&gt;0,IF(P603&lt;=eco,alpha*fck*(1-(1-P603/eco)^n),alpha*fck),0)</f>
      </c>
      <c r="R603" s="30">
        <f>PM_Angle!$J$11+PM_Angle!$K$11*$C603+PM_Angle!$L$11*$B603</f>
      </c>
      <c r="S603" s="12">
        <f>IF(R603&gt;0,IF(R603&lt;=eco,alpha*fck*(1-(1-R603/eco)^n),alpha*fck),0)</f>
      </c>
      <c r="T603" s="30">
        <f>PM_Angle!$J$12+PM_Angle!$K$12*$C603+PM_Angle!$L$12*$B603</f>
      </c>
      <c r="U603" s="12">
        <f>IF(T603&gt;0,IF(T603&lt;=eco,alpha*fck*(1-(1-T603/eco)^n),alpha*fck),0)</f>
      </c>
      <c r="V603" s="30">
        <f>PM_Angle!$J$13+PM_Angle!$K$13*$C603+PM_Angle!$L$13*$B603</f>
      </c>
      <c r="W603" s="12">
        <f>IF(V603&gt;0,IF(V603&lt;=eco,alpha*fck*(1-(1-V603/eco)^n),alpha*fck),0)</f>
      </c>
      <c r="X603" s="30">
        <f>PM_Angle!$J$14+PM_Angle!$K$14*$C603+PM_Angle!$L$14*$B603</f>
      </c>
      <c r="Y603" s="12">
        <f>IF(X603&gt;0,IF(X603&lt;=eco,alpha*fck*(1-(1-X603/eco)^n),alpha*fck),0)</f>
      </c>
      <c r="Z603" s="30">
        <f>PM_Angle!$J$15+PM_Angle!$K$15*$C603+PM_Angle!$L$15*$B603</f>
      </c>
      <c r="AA603" s="12">
        <f>IF(Z603&gt;0,IF(Z603&lt;=eco,alpha*fck*(1-(1-Z603/eco)^n),alpha*fck),0)</f>
      </c>
      <c r="AB603" s="30">
        <f>PM_Angle!$J$16+PM_Angle!$K$16*$C603+PM_Angle!$L$16*$B603</f>
      </c>
      <c r="AC603" s="12">
        <f>IF(AB603&gt;0,IF(AB603&lt;=eco,alpha*fck*(1-(1-AB603/eco)^n),alpha*fck),0)</f>
      </c>
      <c r="AD603" s="30">
        <f>PM_Angle!$J$17+PM_Angle!$K$17*$C603+PM_Angle!$L$17*$B603</f>
      </c>
      <c r="AE603" s="12">
        <f>IF(AD603&gt;0,IF(AD603&lt;=eco,alpha*fck*(1-(1-AD603/eco)^n),alpha*fck),0)</f>
      </c>
      <c r="AF603" s="30">
        <f>PM_Angle!$J$18+PM_Angle!$K$18*$C603+PM_Angle!$L$18*$B603</f>
      </c>
      <c r="AG603" s="12">
        <f>IF(AF603&gt;0,IF(AF603&lt;=eco,alpha*fck*(1-(1-AF603/eco)^n),alpha*fck),0)</f>
      </c>
      <c r="AH603" s="30">
        <f>PM_Angle!$J$19+PM_Angle!$K$19*$C603+PM_Angle!$L$19*$B603</f>
      </c>
      <c r="AI603" s="12">
        <f>IF(AH603&gt;0,IF(AH603&lt;=eco,alpha*fck*(1-(1-AH603/eco)^n),alpha*fck),0)</f>
      </c>
      <c r="AJ603" s="30">
        <f>PM_Angle!$J$20+PM_Angle!$K$20*$C603+PM_Angle!$L$20*$B603</f>
      </c>
      <c r="AK603" s="12">
        <f>IF(AJ603&gt;0,IF(AJ603&lt;=eco,alpha*fck*(1-(1-AJ603/eco)^n),alpha*fck),0)</f>
      </c>
      <c r="AL603" s="30">
        <f>PM_Angle!$J$21+PM_Angle!$K$21*$C603+PM_Angle!$L$21*$B603</f>
      </c>
      <c r="AM603" s="12">
        <f>IF(AL603&gt;0,IF(AL603&lt;=eco,alpha*fck*(1-(1-AL603/eco)^n),alpha*fck),0)</f>
      </c>
      <c r="AN603" s="30">
        <f>PM_Angle!$J$22+PM_Angle!$K$22*$C603+PM_Angle!$L$22*$B603</f>
      </c>
      <c r="AO603" s="12">
        <f>IF(AN603&gt;0,IF(AN603&lt;=eco,alpha*fck*(1-(1-AN603/eco)^n),alpha*fck),0)</f>
      </c>
      <c r="AP603" s="30">
        <f>PM_Angle!$J$23+PM_Angle!$K$23*$C603+PM_Angle!$L$23*$B603</f>
      </c>
      <c r="AQ603" s="12">
        <f>IF(AP603&gt;0,IF(AP603&lt;=eco,alpha*fck*(1-(1-AP603/eco)^n),alpha*fck),0)</f>
      </c>
      <c r="AR603" s="30">
        <f>PM_Angle!$J$24+PM_Angle!$K$24*$C603+PM_Angle!$L$24*$B603</f>
      </c>
      <c r="AS603" s="12">
        <f>IF(AR603&gt;0,IF(AR603&lt;=eco,alpha*fck*(1-(1-AR603/eco)^n),alpha*fck),0)</f>
      </c>
      <c r="AT603" s="30">
        <f>PM_Angle!$J$25+PM_Angle!$K$25*$C603+PM_Angle!$L$25*$B603</f>
      </c>
      <c r="AU603" s="12">
        <f>IF(AT603&gt;0,IF(AT603&lt;=eco,alpha*fck*(1-(1-AT603/eco)^n),alpha*fck),0)</f>
      </c>
    </row>
    <row r="604" spans="1:47" x14ac:dyDescent="0.25">
      <c r="A604">
        <f>Mesh!A601</f>
      </c>
      <c r="B604" s="12">
        <f>Mesh!B601</f>
      </c>
      <c r="C604" s="12">
        <f>Mesh!C601</f>
      </c>
      <c r="D604" s="12">
        <f>Mesh!D601</f>
      </c>
      <c r="E604" s="30">
        <f>INDEX(St_e0,Det+1)+INDEX(St_kx,Det+1)*C604+INDEX(St_ky,Det+1)*B604</f>
      </c>
      <c r="F604" s="12">
        <f>IF(E604&gt;0,IF(E604&lt;=eco,alpha*fck*(1-(1-E604/eco)^n),alpha*fck),0)</f>
      </c>
      <c r="G604" s="11">
        <f>F604*D604</f>
      </c>
      <c r="H604" s="11">
        <f>G604*C604</f>
      </c>
      <c r="I604" s="11">
        <f>G604*B604</f>
      </c>
      <c r="J604" s="30">
        <f>PM_Angle!$J$7+PM_Angle!$K$7*$C604+PM_Angle!$L$7*$B604</f>
      </c>
      <c r="K604" s="12">
        <f>IF(J604&gt;0,IF(J604&lt;=eco,alpha*fck*(1-(1-J604/eco)^n),alpha*fck),0)</f>
      </c>
      <c r="L604" s="30">
        <f>PM_Angle!$J$8+PM_Angle!$K$8*$C604+PM_Angle!$L$8*$B604</f>
      </c>
      <c r="M604" s="12">
        <f>IF(L604&gt;0,IF(L604&lt;=eco,alpha*fck*(1-(1-L604/eco)^n),alpha*fck),0)</f>
      </c>
      <c r="N604" s="30">
        <f>PM_Angle!$J$9+PM_Angle!$K$9*$C604+PM_Angle!$L$9*$B604</f>
      </c>
      <c r="O604" s="12">
        <f>IF(N604&gt;0,IF(N604&lt;=eco,alpha*fck*(1-(1-N604/eco)^n),alpha*fck),0)</f>
      </c>
      <c r="P604" s="30">
        <f>PM_Angle!$J$10+PM_Angle!$K$10*$C604+PM_Angle!$L$10*$B604</f>
      </c>
      <c r="Q604" s="12">
        <f>IF(P604&gt;0,IF(P604&lt;=eco,alpha*fck*(1-(1-P604/eco)^n),alpha*fck),0)</f>
      </c>
      <c r="R604" s="30">
        <f>PM_Angle!$J$11+PM_Angle!$K$11*$C604+PM_Angle!$L$11*$B604</f>
      </c>
      <c r="S604" s="12">
        <f>IF(R604&gt;0,IF(R604&lt;=eco,alpha*fck*(1-(1-R604/eco)^n),alpha*fck),0)</f>
      </c>
      <c r="T604" s="30">
        <f>PM_Angle!$J$12+PM_Angle!$K$12*$C604+PM_Angle!$L$12*$B604</f>
      </c>
      <c r="U604" s="12">
        <f>IF(T604&gt;0,IF(T604&lt;=eco,alpha*fck*(1-(1-T604/eco)^n),alpha*fck),0)</f>
      </c>
      <c r="V604" s="30">
        <f>PM_Angle!$J$13+PM_Angle!$K$13*$C604+PM_Angle!$L$13*$B604</f>
      </c>
      <c r="W604" s="12">
        <f>IF(V604&gt;0,IF(V604&lt;=eco,alpha*fck*(1-(1-V604/eco)^n),alpha*fck),0)</f>
      </c>
      <c r="X604" s="30">
        <f>PM_Angle!$J$14+PM_Angle!$K$14*$C604+PM_Angle!$L$14*$B604</f>
      </c>
      <c r="Y604" s="12">
        <f>IF(X604&gt;0,IF(X604&lt;=eco,alpha*fck*(1-(1-X604/eco)^n),alpha*fck),0)</f>
      </c>
      <c r="Z604" s="30">
        <f>PM_Angle!$J$15+PM_Angle!$K$15*$C604+PM_Angle!$L$15*$B604</f>
      </c>
      <c r="AA604" s="12">
        <f>IF(Z604&gt;0,IF(Z604&lt;=eco,alpha*fck*(1-(1-Z604/eco)^n),alpha*fck),0)</f>
      </c>
      <c r="AB604" s="30">
        <f>PM_Angle!$J$16+PM_Angle!$K$16*$C604+PM_Angle!$L$16*$B604</f>
      </c>
      <c r="AC604" s="12">
        <f>IF(AB604&gt;0,IF(AB604&lt;=eco,alpha*fck*(1-(1-AB604/eco)^n),alpha*fck),0)</f>
      </c>
      <c r="AD604" s="30">
        <f>PM_Angle!$J$17+PM_Angle!$K$17*$C604+PM_Angle!$L$17*$B604</f>
      </c>
      <c r="AE604" s="12">
        <f>IF(AD604&gt;0,IF(AD604&lt;=eco,alpha*fck*(1-(1-AD604/eco)^n),alpha*fck),0)</f>
      </c>
      <c r="AF604" s="30">
        <f>PM_Angle!$J$18+PM_Angle!$K$18*$C604+PM_Angle!$L$18*$B604</f>
      </c>
      <c r="AG604" s="12">
        <f>IF(AF604&gt;0,IF(AF604&lt;=eco,alpha*fck*(1-(1-AF604/eco)^n),alpha*fck),0)</f>
      </c>
      <c r="AH604" s="30">
        <f>PM_Angle!$J$19+PM_Angle!$K$19*$C604+PM_Angle!$L$19*$B604</f>
      </c>
      <c r="AI604" s="12">
        <f>IF(AH604&gt;0,IF(AH604&lt;=eco,alpha*fck*(1-(1-AH604/eco)^n),alpha*fck),0)</f>
      </c>
      <c r="AJ604" s="30">
        <f>PM_Angle!$J$20+PM_Angle!$K$20*$C604+PM_Angle!$L$20*$B604</f>
      </c>
      <c r="AK604" s="12">
        <f>IF(AJ604&gt;0,IF(AJ604&lt;=eco,alpha*fck*(1-(1-AJ604/eco)^n),alpha*fck),0)</f>
      </c>
      <c r="AL604" s="30">
        <f>PM_Angle!$J$21+PM_Angle!$K$21*$C604+PM_Angle!$L$21*$B604</f>
      </c>
      <c r="AM604" s="12">
        <f>IF(AL604&gt;0,IF(AL604&lt;=eco,alpha*fck*(1-(1-AL604/eco)^n),alpha*fck),0)</f>
      </c>
      <c r="AN604" s="30">
        <f>PM_Angle!$J$22+PM_Angle!$K$22*$C604+PM_Angle!$L$22*$B604</f>
      </c>
      <c r="AO604" s="12">
        <f>IF(AN604&gt;0,IF(AN604&lt;=eco,alpha*fck*(1-(1-AN604/eco)^n),alpha*fck),0)</f>
      </c>
      <c r="AP604" s="30">
        <f>PM_Angle!$J$23+PM_Angle!$K$23*$C604+PM_Angle!$L$23*$B604</f>
      </c>
      <c r="AQ604" s="12">
        <f>IF(AP604&gt;0,IF(AP604&lt;=eco,alpha*fck*(1-(1-AP604/eco)^n),alpha*fck),0)</f>
      </c>
      <c r="AR604" s="30">
        <f>PM_Angle!$J$24+PM_Angle!$K$24*$C604+PM_Angle!$L$24*$B604</f>
      </c>
      <c r="AS604" s="12">
        <f>IF(AR604&gt;0,IF(AR604&lt;=eco,alpha*fck*(1-(1-AR604/eco)^n),alpha*fck),0)</f>
      </c>
      <c r="AT604" s="30">
        <f>PM_Angle!$J$25+PM_Angle!$K$25*$C604+PM_Angle!$L$25*$B604</f>
      </c>
      <c r="AU604" s="12">
        <f>IF(AT604&gt;0,IF(AT604&lt;=eco,alpha*fck*(1-(1-AT604/eco)^n),alpha*fck),0)</f>
      </c>
    </row>
    <row r="605" spans="1:47" x14ac:dyDescent="0.25">
      <c r="A605">
        <f>Mesh!A602</f>
      </c>
      <c r="B605" s="12">
        <f>Mesh!B602</f>
      </c>
      <c r="C605" s="12">
        <f>Mesh!C602</f>
      </c>
      <c r="D605" s="12">
        <f>Mesh!D602</f>
      </c>
      <c r="E605" s="30">
        <f>INDEX(St_e0,Det+1)+INDEX(St_kx,Det+1)*C605+INDEX(St_ky,Det+1)*B605</f>
      </c>
      <c r="F605" s="12">
        <f>IF(E605&gt;0,IF(E605&lt;=eco,alpha*fck*(1-(1-E605/eco)^n),alpha*fck),0)</f>
      </c>
      <c r="G605" s="11">
        <f>F605*D605</f>
      </c>
      <c r="H605" s="11">
        <f>G605*C605</f>
      </c>
      <c r="I605" s="11">
        <f>G605*B605</f>
      </c>
      <c r="J605" s="30">
        <f>PM_Angle!$J$7+PM_Angle!$K$7*$C605+PM_Angle!$L$7*$B605</f>
      </c>
      <c r="K605" s="12">
        <f>IF(J605&gt;0,IF(J605&lt;=eco,alpha*fck*(1-(1-J605/eco)^n),alpha*fck),0)</f>
      </c>
      <c r="L605" s="30">
        <f>PM_Angle!$J$8+PM_Angle!$K$8*$C605+PM_Angle!$L$8*$B605</f>
      </c>
      <c r="M605" s="12">
        <f>IF(L605&gt;0,IF(L605&lt;=eco,alpha*fck*(1-(1-L605/eco)^n),alpha*fck),0)</f>
      </c>
      <c r="N605" s="30">
        <f>PM_Angle!$J$9+PM_Angle!$K$9*$C605+PM_Angle!$L$9*$B605</f>
      </c>
      <c r="O605" s="12">
        <f>IF(N605&gt;0,IF(N605&lt;=eco,alpha*fck*(1-(1-N605/eco)^n),alpha*fck),0)</f>
      </c>
      <c r="P605" s="30">
        <f>PM_Angle!$J$10+PM_Angle!$K$10*$C605+PM_Angle!$L$10*$B605</f>
      </c>
      <c r="Q605" s="12">
        <f>IF(P605&gt;0,IF(P605&lt;=eco,alpha*fck*(1-(1-P605/eco)^n),alpha*fck),0)</f>
      </c>
      <c r="R605" s="30">
        <f>PM_Angle!$J$11+PM_Angle!$K$11*$C605+PM_Angle!$L$11*$B605</f>
      </c>
      <c r="S605" s="12">
        <f>IF(R605&gt;0,IF(R605&lt;=eco,alpha*fck*(1-(1-R605/eco)^n),alpha*fck),0)</f>
      </c>
      <c r="T605" s="30">
        <f>PM_Angle!$J$12+PM_Angle!$K$12*$C605+PM_Angle!$L$12*$B605</f>
      </c>
      <c r="U605" s="12">
        <f>IF(T605&gt;0,IF(T605&lt;=eco,alpha*fck*(1-(1-T605/eco)^n),alpha*fck),0)</f>
      </c>
      <c r="V605" s="30">
        <f>PM_Angle!$J$13+PM_Angle!$K$13*$C605+PM_Angle!$L$13*$B605</f>
      </c>
      <c r="W605" s="12">
        <f>IF(V605&gt;0,IF(V605&lt;=eco,alpha*fck*(1-(1-V605/eco)^n),alpha*fck),0)</f>
      </c>
      <c r="X605" s="30">
        <f>PM_Angle!$J$14+PM_Angle!$K$14*$C605+PM_Angle!$L$14*$B605</f>
      </c>
      <c r="Y605" s="12">
        <f>IF(X605&gt;0,IF(X605&lt;=eco,alpha*fck*(1-(1-X605/eco)^n),alpha*fck),0)</f>
      </c>
      <c r="Z605" s="30">
        <f>PM_Angle!$J$15+PM_Angle!$K$15*$C605+PM_Angle!$L$15*$B605</f>
      </c>
      <c r="AA605" s="12">
        <f>IF(Z605&gt;0,IF(Z605&lt;=eco,alpha*fck*(1-(1-Z605/eco)^n),alpha*fck),0)</f>
      </c>
      <c r="AB605" s="30">
        <f>PM_Angle!$J$16+PM_Angle!$K$16*$C605+PM_Angle!$L$16*$B605</f>
      </c>
      <c r="AC605" s="12">
        <f>IF(AB605&gt;0,IF(AB605&lt;=eco,alpha*fck*(1-(1-AB605/eco)^n),alpha*fck),0)</f>
      </c>
      <c r="AD605" s="30">
        <f>PM_Angle!$J$17+PM_Angle!$K$17*$C605+PM_Angle!$L$17*$B605</f>
      </c>
      <c r="AE605" s="12">
        <f>IF(AD605&gt;0,IF(AD605&lt;=eco,alpha*fck*(1-(1-AD605/eco)^n),alpha*fck),0)</f>
      </c>
      <c r="AF605" s="30">
        <f>PM_Angle!$J$18+PM_Angle!$K$18*$C605+PM_Angle!$L$18*$B605</f>
      </c>
      <c r="AG605" s="12">
        <f>IF(AF605&gt;0,IF(AF605&lt;=eco,alpha*fck*(1-(1-AF605/eco)^n),alpha*fck),0)</f>
      </c>
      <c r="AH605" s="30">
        <f>PM_Angle!$J$19+PM_Angle!$K$19*$C605+PM_Angle!$L$19*$B605</f>
      </c>
      <c r="AI605" s="12">
        <f>IF(AH605&gt;0,IF(AH605&lt;=eco,alpha*fck*(1-(1-AH605/eco)^n),alpha*fck),0)</f>
      </c>
      <c r="AJ605" s="30">
        <f>PM_Angle!$J$20+PM_Angle!$K$20*$C605+PM_Angle!$L$20*$B605</f>
      </c>
      <c r="AK605" s="12">
        <f>IF(AJ605&gt;0,IF(AJ605&lt;=eco,alpha*fck*(1-(1-AJ605/eco)^n),alpha*fck),0)</f>
      </c>
      <c r="AL605" s="30">
        <f>PM_Angle!$J$21+PM_Angle!$K$21*$C605+PM_Angle!$L$21*$B605</f>
      </c>
      <c r="AM605" s="12">
        <f>IF(AL605&gt;0,IF(AL605&lt;=eco,alpha*fck*(1-(1-AL605/eco)^n),alpha*fck),0)</f>
      </c>
      <c r="AN605" s="30">
        <f>PM_Angle!$J$22+PM_Angle!$K$22*$C605+PM_Angle!$L$22*$B605</f>
      </c>
      <c r="AO605" s="12">
        <f>IF(AN605&gt;0,IF(AN605&lt;=eco,alpha*fck*(1-(1-AN605/eco)^n),alpha*fck),0)</f>
      </c>
      <c r="AP605" s="30">
        <f>PM_Angle!$J$23+PM_Angle!$K$23*$C605+PM_Angle!$L$23*$B605</f>
      </c>
      <c r="AQ605" s="12">
        <f>IF(AP605&gt;0,IF(AP605&lt;=eco,alpha*fck*(1-(1-AP605/eco)^n),alpha*fck),0)</f>
      </c>
      <c r="AR605" s="30">
        <f>PM_Angle!$J$24+PM_Angle!$K$24*$C605+PM_Angle!$L$24*$B605</f>
      </c>
      <c r="AS605" s="12">
        <f>IF(AR605&gt;0,IF(AR605&lt;=eco,alpha*fck*(1-(1-AR605/eco)^n),alpha*fck),0)</f>
      </c>
      <c r="AT605" s="30">
        <f>PM_Angle!$J$25+PM_Angle!$K$25*$C605+PM_Angle!$L$25*$B605</f>
      </c>
      <c r="AU605" s="12">
        <f>IF(AT605&gt;0,IF(AT605&lt;=eco,alpha*fck*(1-(1-AT605/eco)^n),alpha*fck),0)</f>
      </c>
    </row>
    <row r="606" spans="1:47" x14ac:dyDescent="0.25">
      <c r="A606">
        <f>Mesh!A603</f>
      </c>
      <c r="B606" s="12">
        <f>Mesh!B603</f>
      </c>
      <c r="C606" s="12">
        <f>Mesh!C603</f>
      </c>
      <c r="D606" s="12">
        <f>Mesh!D603</f>
      </c>
      <c r="E606" s="30">
        <f>INDEX(St_e0,Det+1)+INDEX(St_kx,Det+1)*C606+INDEX(St_ky,Det+1)*B606</f>
      </c>
      <c r="F606" s="12">
        <f>IF(E606&gt;0,IF(E606&lt;=eco,alpha*fck*(1-(1-E606/eco)^n),alpha*fck),0)</f>
      </c>
      <c r="G606" s="11">
        <f>F606*D606</f>
      </c>
      <c r="H606" s="11">
        <f>G606*C606</f>
      </c>
      <c r="I606" s="11">
        <f>G606*B606</f>
      </c>
      <c r="J606" s="30">
        <f>PM_Angle!$J$7+PM_Angle!$K$7*$C606+PM_Angle!$L$7*$B606</f>
      </c>
      <c r="K606" s="12">
        <f>IF(J606&gt;0,IF(J606&lt;=eco,alpha*fck*(1-(1-J606/eco)^n),alpha*fck),0)</f>
      </c>
      <c r="L606" s="30">
        <f>PM_Angle!$J$8+PM_Angle!$K$8*$C606+PM_Angle!$L$8*$B606</f>
      </c>
      <c r="M606" s="12">
        <f>IF(L606&gt;0,IF(L606&lt;=eco,alpha*fck*(1-(1-L606/eco)^n),alpha*fck),0)</f>
      </c>
      <c r="N606" s="30">
        <f>PM_Angle!$J$9+PM_Angle!$K$9*$C606+PM_Angle!$L$9*$B606</f>
      </c>
      <c r="O606" s="12">
        <f>IF(N606&gt;0,IF(N606&lt;=eco,alpha*fck*(1-(1-N606/eco)^n),alpha*fck),0)</f>
      </c>
      <c r="P606" s="30">
        <f>PM_Angle!$J$10+PM_Angle!$K$10*$C606+PM_Angle!$L$10*$B606</f>
      </c>
      <c r="Q606" s="12">
        <f>IF(P606&gt;0,IF(P606&lt;=eco,alpha*fck*(1-(1-P606/eco)^n),alpha*fck),0)</f>
      </c>
      <c r="R606" s="30">
        <f>PM_Angle!$J$11+PM_Angle!$K$11*$C606+PM_Angle!$L$11*$B606</f>
      </c>
      <c r="S606" s="12">
        <f>IF(R606&gt;0,IF(R606&lt;=eco,alpha*fck*(1-(1-R606/eco)^n),alpha*fck),0)</f>
      </c>
      <c r="T606" s="30">
        <f>PM_Angle!$J$12+PM_Angle!$K$12*$C606+PM_Angle!$L$12*$B606</f>
      </c>
      <c r="U606" s="12">
        <f>IF(T606&gt;0,IF(T606&lt;=eco,alpha*fck*(1-(1-T606/eco)^n),alpha*fck),0)</f>
      </c>
      <c r="V606" s="30">
        <f>PM_Angle!$J$13+PM_Angle!$K$13*$C606+PM_Angle!$L$13*$B606</f>
      </c>
      <c r="W606" s="12">
        <f>IF(V606&gt;0,IF(V606&lt;=eco,alpha*fck*(1-(1-V606/eco)^n),alpha*fck),0)</f>
      </c>
      <c r="X606" s="30">
        <f>PM_Angle!$J$14+PM_Angle!$K$14*$C606+PM_Angle!$L$14*$B606</f>
      </c>
      <c r="Y606" s="12">
        <f>IF(X606&gt;0,IF(X606&lt;=eco,alpha*fck*(1-(1-X606/eco)^n),alpha*fck),0)</f>
      </c>
      <c r="Z606" s="30">
        <f>PM_Angle!$J$15+PM_Angle!$K$15*$C606+PM_Angle!$L$15*$B606</f>
      </c>
      <c r="AA606" s="12">
        <f>IF(Z606&gt;0,IF(Z606&lt;=eco,alpha*fck*(1-(1-Z606/eco)^n),alpha*fck),0)</f>
      </c>
      <c r="AB606" s="30">
        <f>PM_Angle!$J$16+PM_Angle!$K$16*$C606+PM_Angle!$L$16*$B606</f>
      </c>
      <c r="AC606" s="12">
        <f>IF(AB606&gt;0,IF(AB606&lt;=eco,alpha*fck*(1-(1-AB606/eco)^n),alpha*fck),0)</f>
      </c>
      <c r="AD606" s="30">
        <f>PM_Angle!$J$17+PM_Angle!$K$17*$C606+PM_Angle!$L$17*$B606</f>
      </c>
      <c r="AE606" s="12">
        <f>IF(AD606&gt;0,IF(AD606&lt;=eco,alpha*fck*(1-(1-AD606/eco)^n),alpha*fck),0)</f>
      </c>
      <c r="AF606" s="30">
        <f>PM_Angle!$J$18+PM_Angle!$K$18*$C606+PM_Angle!$L$18*$B606</f>
      </c>
      <c r="AG606" s="12">
        <f>IF(AF606&gt;0,IF(AF606&lt;=eco,alpha*fck*(1-(1-AF606/eco)^n),alpha*fck),0)</f>
      </c>
      <c r="AH606" s="30">
        <f>PM_Angle!$J$19+PM_Angle!$K$19*$C606+PM_Angle!$L$19*$B606</f>
      </c>
      <c r="AI606" s="12">
        <f>IF(AH606&gt;0,IF(AH606&lt;=eco,alpha*fck*(1-(1-AH606/eco)^n),alpha*fck),0)</f>
      </c>
      <c r="AJ606" s="30">
        <f>PM_Angle!$J$20+PM_Angle!$K$20*$C606+PM_Angle!$L$20*$B606</f>
      </c>
      <c r="AK606" s="12">
        <f>IF(AJ606&gt;0,IF(AJ606&lt;=eco,alpha*fck*(1-(1-AJ606/eco)^n),alpha*fck),0)</f>
      </c>
      <c r="AL606" s="30">
        <f>PM_Angle!$J$21+PM_Angle!$K$21*$C606+PM_Angle!$L$21*$B606</f>
      </c>
      <c r="AM606" s="12">
        <f>IF(AL606&gt;0,IF(AL606&lt;=eco,alpha*fck*(1-(1-AL606/eco)^n),alpha*fck),0)</f>
      </c>
      <c r="AN606" s="30">
        <f>PM_Angle!$J$22+PM_Angle!$K$22*$C606+PM_Angle!$L$22*$B606</f>
      </c>
      <c r="AO606" s="12">
        <f>IF(AN606&gt;0,IF(AN606&lt;=eco,alpha*fck*(1-(1-AN606/eco)^n),alpha*fck),0)</f>
      </c>
      <c r="AP606" s="30">
        <f>PM_Angle!$J$23+PM_Angle!$K$23*$C606+PM_Angle!$L$23*$B606</f>
      </c>
      <c r="AQ606" s="12">
        <f>IF(AP606&gt;0,IF(AP606&lt;=eco,alpha*fck*(1-(1-AP606/eco)^n),alpha*fck),0)</f>
      </c>
      <c r="AR606" s="30">
        <f>PM_Angle!$J$24+PM_Angle!$K$24*$C606+PM_Angle!$L$24*$B606</f>
      </c>
      <c r="AS606" s="12">
        <f>IF(AR606&gt;0,IF(AR606&lt;=eco,alpha*fck*(1-(1-AR606/eco)^n),alpha*fck),0)</f>
      </c>
      <c r="AT606" s="30">
        <f>PM_Angle!$J$25+PM_Angle!$K$25*$C606+PM_Angle!$L$25*$B606</f>
      </c>
      <c r="AU606" s="12">
        <f>IF(AT606&gt;0,IF(AT606&lt;=eco,alpha*fck*(1-(1-AT606/eco)^n),alpha*fck),0)</f>
      </c>
    </row>
    <row r="607" spans="1:47" x14ac:dyDescent="0.25">
      <c r="A607">
        <f>Mesh!A604</f>
      </c>
      <c r="B607" s="12">
        <f>Mesh!B604</f>
      </c>
      <c r="C607" s="12">
        <f>Mesh!C604</f>
      </c>
      <c r="D607" s="12">
        <f>Mesh!D604</f>
      </c>
      <c r="E607" s="30">
        <f>INDEX(St_e0,Det+1)+INDEX(St_kx,Det+1)*C607+INDEX(St_ky,Det+1)*B607</f>
      </c>
      <c r="F607" s="12">
        <f>IF(E607&gt;0,IF(E607&lt;=eco,alpha*fck*(1-(1-E607/eco)^n),alpha*fck),0)</f>
      </c>
      <c r="G607" s="11">
        <f>F607*D607</f>
      </c>
      <c r="H607" s="11">
        <f>G607*C607</f>
      </c>
      <c r="I607" s="11">
        <f>G607*B607</f>
      </c>
      <c r="J607" s="30">
        <f>PM_Angle!$J$7+PM_Angle!$K$7*$C607+PM_Angle!$L$7*$B607</f>
      </c>
      <c r="K607" s="12">
        <f>IF(J607&gt;0,IF(J607&lt;=eco,alpha*fck*(1-(1-J607/eco)^n),alpha*fck),0)</f>
      </c>
      <c r="L607" s="30">
        <f>PM_Angle!$J$8+PM_Angle!$K$8*$C607+PM_Angle!$L$8*$B607</f>
      </c>
      <c r="M607" s="12">
        <f>IF(L607&gt;0,IF(L607&lt;=eco,alpha*fck*(1-(1-L607/eco)^n),alpha*fck),0)</f>
      </c>
      <c r="N607" s="30">
        <f>PM_Angle!$J$9+PM_Angle!$K$9*$C607+PM_Angle!$L$9*$B607</f>
      </c>
      <c r="O607" s="12">
        <f>IF(N607&gt;0,IF(N607&lt;=eco,alpha*fck*(1-(1-N607/eco)^n),alpha*fck),0)</f>
      </c>
      <c r="P607" s="30">
        <f>PM_Angle!$J$10+PM_Angle!$K$10*$C607+PM_Angle!$L$10*$B607</f>
      </c>
      <c r="Q607" s="12">
        <f>IF(P607&gt;0,IF(P607&lt;=eco,alpha*fck*(1-(1-P607/eco)^n),alpha*fck),0)</f>
      </c>
      <c r="R607" s="30">
        <f>PM_Angle!$J$11+PM_Angle!$K$11*$C607+PM_Angle!$L$11*$B607</f>
      </c>
      <c r="S607" s="12">
        <f>IF(R607&gt;0,IF(R607&lt;=eco,alpha*fck*(1-(1-R607/eco)^n),alpha*fck),0)</f>
      </c>
      <c r="T607" s="30">
        <f>PM_Angle!$J$12+PM_Angle!$K$12*$C607+PM_Angle!$L$12*$B607</f>
      </c>
      <c r="U607" s="12">
        <f>IF(T607&gt;0,IF(T607&lt;=eco,alpha*fck*(1-(1-T607/eco)^n),alpha*fck),0)</f>
      </c>
      <c r="V607" s="30">
        <f>PM_Angle!$J$13+PM_Angle!$K$13*$C607+PM_Angle!$L$13*$B607</f>
      </c>
      <c r="W607" s="12">
        <f>IF(V607&gt;0,IF(V607&lt;=eco,alpha*fck*(1-(1-V607/eco)^n),alpha*fck),0)</f>
      </c>
      <c r="X607" s="30">
        <f>PM_Angle!$J$14+PM_Angle!$K$14*$C607+PM_Angle!$L$14*$B607</f>
      </c>
      <c r="Y607" s="12">
        <f>IF(X607&gt;0,IF(X607&lt;=eco,alpha*fck*(1-(1-X607/eco)^n),alpha*fck),0)</f>
      </c>
      <c r="Z607" s="30">
        <f>PM_Angle!$J$15+PM_Angle!$K$15*$C607+PM_Angle!$L$15*$B607</f>
      </c>
      <c r="AA607" s="12">
        <f>IF(Z607&gt;0,IF(Z607&lt;=eco,alpha*fck*(1-(1-Z607/eco)^n),alpha*fck),0)</f>
      </c>
      <c r="AB607" s="30">
        <f>PM_Angle!$J$16+PM_Angle!$K$16*$C607+PM_Angle!$L$16*$B607</f>
      </c>
      <c r="AC607" s="12">
        <f>IF(AB607&gt;0,IF(AB607&lt;=eco,alpha*fck*(1-(1-AB607/eco)^n),alpha*fck),0)</f>
      </c>
      <c r="AD607" s="30">
        <f>PM_Angle!$J$17+PM_Angle!$K$17*$C607+PM_Angle!$L$17*$B607</f>
      </c>
      <c r="AE607" s="12">
        <f>IF(AD607&gt;0,IF(AD607&lt;=eco,alpha*fck*(1-(1-AD607/eco)^n),alpha*fck),0)</f>
      </c>
      <c r="AF607" s="30">
        <f>PM_Angle!$J$18+PM_Angle!$K$18*$C607+PM_Angle!$L$18*$B607</f>
      </c>
      <c r="AG607" s="12">
        <f>IF(AF607&gt;0,IF(AF607&lt;=eco,alpha*fck*(1-(1-AF607/eco)^n),alpha*fck),0)</f>
      </c>
      <c r="AH607" s="30">
        <f>PM_Angle!$J$19+PM_Angle!$K$19*$C607+PM_Angle!$L$19*$B607</f>
      </c>
      <c r="AI607" s="12">
        <f>IF(AH607&gt;0,IF(AH607&lt;=eco,alpha*fck*(1-(1-AH607/eco)^n),alpha*fck),0)</f>
      </c>
      <c r="AJ607" s="30">
        <f>PM_Angle!$J$20+PM_Angle!$K$20*$C607+PM_Angle!$L$20*$B607</f>
      </c>
      <c r="AK607" s="12">
        <f>IF(AJ607&gt;0,IF(AJ607&lt;=eco,alpha*fck*(1-(1-AJ607/eco)^n),alpha*fck),0)</f>
      </c>
      <c r="AL607" s="30">
        <f>PM_Angle!$J$21+PM_Angle!$K$21*$C607+PM_Angle!$L$21*$B607</f>
      </c>
      <c r="AM607" s="12">
        <f>IF(AL607&gt;0,IF(AL607&lt;=eco,alpha*fck*(1-(1-AL607/eco)^n),alpha*fck),0)</f>
      </c>
      <c r="AN607" s="30">
        <f>PM_Angle!$J$22+PM_Angle!$K$22*$C607+PM_Angle!$L$22*$B607</f>
      </c>
      <c r="AO607" s="12">
        <f>IF(AN607&gt;0,IF(AN607&lt;=eco,alpha*fck*(1-(1-AN607/eco)^n),alpha*fck),0)</f>
      </c>
      <c r="AP607" s="30">
        <f>PM_Angle!$J$23+PM_Angle!$K$23*$C607+PM_Angle!$L$23*$B607</f>
      </c>
      <c r="AQ607" s="12">
        <f>IF(AP607&gt;0,IF(AP607&lt;=eco,alpha*fck*(1-(1-AP607/eco)^n),alpha*fck),0)</f>
      </c>
      <c r="AR607" s="30">
        <f>PM_Angle!$J$24+PM_Angle!$K$24*$C607+PM_Angle!$L$24*$B607</f>
      </c>
      <c r="AS607" s="12">
        <f>IF(AR607&gt;0,IF(AR607&lt;=eco,alpha*fck*(1-(1-AR607/eco)^n),alpha*fck),0)</f>
      </c>
      <c r="AT607" s="30">
        <f>PM_Angle!$J$25+PM_Angle!$K$25*$C607+PM_Angle!$L$25*$B607</f>
      </c>
      <c r="AU607" s="12">
        <f>IF(AT607&gt;0,IF(AT607&lt;=eco,alpha*fck*(1-(1-AT607/eco)^n),alpha*fck),0)</f>
      </c>
    </row>
    <row r="608" spans="1:47" x14ac:dyDescent="0.25">
      <c r="A608">
        <f>Mesh!A605</f>
      </c>
      <c r="B608" s="12">
        <f>Mesh!B605</f>
      </c>
      <c r="C608" s="12">
        <f>Mesh!C605</f>
      </c>
      <c r="D608" s="12">
        <f>Mesh!D605</f>
      </c>
      <c r="E608" s="30">
        <f>INDEX(St_e0,Det+1)+INDEX(St_kx,Det+1)*C608+INDEX(St_ky,Det+1)*B608</f>
      </c>
      <c r="F608" s="12">
        <f>IF(E608&gt;0,IF(E608&lt;=eco,alpha*fck*(1-(1-E608/eco)^n),alpha*fck),0)</f>
      </c>
      <c r="G608" s="11">
        <f>F608*D608</f>
      </c>
      <c r="H608" s="11">
        <f>G608*C608</f>
      </c>
      <c r="I608" s="11">
        <f>G608*B608</f>
      </c>
      <c r="J608" s="30">
        <f>PM_Angle!$J$7+PM_Angle!$K$7*$C608+PM_Angle!$L$7*$B608</f>
      </c>
      <c r="K608" s="12">
        <f>IF(J608&gt;0,IF(J608&lt;=eco,alpha*fck*(1-(1-J608/eco)^n),alpha*fck),0)</f>
      </c>
      <c r="L608" s="30">
        <f>PM_Angle!$J$8+PM_Angle!$K$8*$C608+PM_Angle!$L$8*$B608</f>
      </c>
      <c r="M608" s="12">
        <f>IF(L608&gt;0,IF(L608&lt;=eco,alpha*fck*(1-(1-L608/eco)^n),alpha*fck),0)</f>
      </c>
      <c r="N608" s="30">
        <f>PM_Angle!$J$9+PM_Angle!$K$9*$C608+PM_Angle!$L$9*$B608</f>
      </c>
      <c r="O608" s="12">
        <f>IF(N608&gt;0,IF(N608&lt;=eco,alpha*fck*(1-(1-N608/eco)^n),alpha*fck),0)</f>
      </c>
      <c r="P608" s="30">
        <f>PM_Angle!$J$10+PM_Angle!$K$10*$C608+PM_Angle!$L$10*$B608</f>
      </c>
      <c r="Q608" s="12">
        <f>IF(P608&gt;0,IF(P608&lt;=eco,alpha*fck*(1-(1-P608/eco)^n),alpha*fck),0)</f>
      </c>
      <c r="R608" s="30">
        <f>PM_Angle!$J$11+PM_Angle!$K$11*$C608+PM_Angle!$L$11*$B608</f>
      </c>
      <c r="S608" s="12">
        <f>IF(R608&gt;0,IF(R608&lt;=eco,alpha*fck*(1-(1-R608/eco)^n),alpha*fck),0)</f>
      </c>
      <c r="T608" s="30">
        <f>PM_Angle!$J$12+PM_Angle!$K$12*$C608+PM_Angle!$L$12*$B608</f>
      </c>
      <c r="U608" s="12">
        <f>IF(T608&gt;0,IF(T608&lt;=eco,alpha*fck*(1-(1-T608/eco)^n),alpha*fck),0)</f>
      </c>
      <c r="V608" s="30">
        <f>PM_Angle!$J$13+PM_Angle!$K$13*$C608+PM_Angle!$L$13*$B608</f>
      </c>
      <c r="W608" s="12">
        <f>IF(V608&gt;0,IF(V608&lt;=eco,alpha*fck*(1-(1-V608/eco)^n),alpha*fck),0)</f>
      </c>
      <c r="X608" s="30">
        <f>PM_Angle!$J$14+PM_Angle!$K$14*$C608+PM_Angle!$L$14*$B608</f>
      </c>
      <c r="Y608" s="12">
        <f>IF(X608&gt;0,IF(X608&lt;=eco,alpha*fck*(1-(1-X608/eco)^n),alpha*fck),0)</f>
      </c>
      <c r="Z608" s="30">
        <f>PM_Angle!$J$15+PM_Angle!$K$15*$C608+PM_Angle!$L$15*$B608</f>
      </c>
      <c r="AA608" s="12">
        <f>IF(Z608&gt;0,IF(Z608&lt;=eco,alpha*fck*(1-(1-Z608/eco)^n),alpha*fck),0)</f>
      </c>
      <c r="AB608" s="30">
        <f>PM_Angle!$J$16+PM_Angle!$K$16*$C608+PM_Angle!$L$16*$B608</f>
      </c>
      <c r="AC608" s="12">
        <f>IF(AB608&gt;0,IF(AB608&lt;=eco,alpha*fck*(1-(1-AB608/eco)^n),alpha*fck),0)</f>
      </c>
      <c r="AD608" s="30">
        <f>PM_Angle!$J$17+PM_Angle!$K$17*$C608+PM_Angle!$L$17*$B608</f>
      </c>
      <c r="AE608" s="12">
        <f>IF(AD608&gt;0,IF(AD608&lt;=eco,alpha*fck*(1-(1-AD608/eco)^n),alpha*fck),0)</f>
      </c>
      <c r="AF608" s="30">
        <f>PM_Angle!$J$18+PM_Angle!$K$18*$C608+PM_Angle!$L$18*$B608</f>
      </c>
      <c r="AG608" s="12">
        <f>IF(AF608&gt;0,IF(AF608&lt;=eco,alpha*fck*(1-(1-AF608/eco)^n),alpha*fck),0)</f>
      </c>
      <c r="AH608" s="30">
        <f>PM_Angle!$J$19+PM_Angle!$K$19*$C608+PM_Angle!$L$19*$B608</f>
      </c>
      <c r="AI608" s="12">
        <f>IF(AH608&gt;0,IF(AH608&lt;=eco,alpha*fck*(1-(1-AH608/eco)^n),alpha*fck),0)</f>
      </c>
      <c r="AJ608" s="30">
        <f>PM_Angle!$J$20+PM_Angle!$K$20*$C608+PM_Angle!$L$20*$B608</f>
      </c>
      <c r="AK608" s="12">
        <f>IF(AJ608&gt;0,IF(AJ608&lt;=eco,alpha*fck*(1-(1-AJ608/eco)^n),alpha*fck),0)</f>
      </c>
      <c r="AL608" s="30">
        <f>PM_Angle!$J$21+PM_Angle!$K$21*$C608+PM_Angle!$L$21*$B608</f>
      </c>
      <c r="AM608" s="12">
        <f>IF(AL608&gt;0,IF(AL608&lt;=eco,alpha*fck*(1-(1-AL608/eco)^n),alpha*fck),0)</f>
      </c>
      <c r="AN608" s="30">
        <f>PM_Angle!$J$22+PM_Angle!$K$22*$C608+PM_Angle!$L$22*$B608</f>
      </c>
      <c r="AO608" s="12">
        <f>IF(AN608&gt;0,IF(AN608&lt;=eco,alpha*fck*(1-(1-AN608/eco)^n),alpha*fck),0)</f>
      </c>
      <c r="AP608" s="30">
        <f>PM_Angle!$J$23+PM_Angle!$K$23*$C608+PM_Angle!$L$23*$B608</f>
      </c>
      <c r="AQ608" s="12">
        <f>IF(AP608&gt;0,IF(AP608&lt;=eco,alpha*fck*(1-(1-AP608/eco)^n),alpha*fck),0)</f>
      </c>
      <c r="AR608" s="30">
        <f>PM_Angle!$J$24+PM_Angle!$K$24*$C608+PM_Angle!$L$24*$B608</f>
      </c>
      <c r="AS608" s="12">
        <f>IF(AR608&gt;0,IF(AR608&lt;=eco,alpha*fck*(1-(1-AR608/eco)^n),alpha*fck),0)</f>
      </c>
      <c r="AT608" s="30">
        <f>PM_Angle!$J$25+PM_Angle!$K$25*$C608+PM_Angle!$L$25*$B608</f>
      </c>
      <c r="AU608" s="12">
        <f>IF(AT608&gt;0,IF(AT608&lt;=eco,alpha*fck*(1-(1-AT608/eco)^n),alpha*fck),0)</f>
      </c>
    </row>
    <row r="609" spans="1:47" x14ac:dyDescent="0.25">
      <c r="A609">
        <f>Mesh!A606</f>
      </c>
      <c r="B609" s="12">
        <f>Mesh!B606</f>
      </c>
      <c r="C609" s="12">
        <f>Mesh!C606</f>
      </c>
      <c r="D609" s="12">
        <f>Mesh!D606</f>
      </c>
      <c r="E609" s="30">
        <f>INDEX(St_e0,Det+1)+INDEX(St_kx,Det+1)*C609+INDEX(St_ky,Det+1)*B609</f>
      </c>
      <c r="F609" s="12">
        <f>IF(E609&gt;0,IF(E609&lt;=eco,alpha*fck*(1-(1-E609/eco)^n),alpha*fck),0)</f>
      </c>
      <c r="G609" s="11">
        <f>F609*D609</f>
      </c>
      <c r="H609" s="11">
        <f>G609*C609</f>
      </c>
      <c r="I609" s="11">
        <f>G609*B609</f>
      </c>
      <c r="J609" s="30">
        <f>PM_Angle!$J$7+PM_Angle!$K$7*$C609+PM_Angle!$L$7*$B609</f>
      </c>
      <c r="K609" s="12">
        <f>IF(J609&gt;0,IF(J609&lt;=eco,alpha*fck*(1-(1-J609/eco)^n),alpha*fck),0)</f>
      </c>
      <c r="L609" s="30">
        <f>PM_Angle!$J$8+PM_Angle!$K$8*$C609+PM_Angle!$L$8*$B609</f>
      </c>
      <c r="M609" s="12">
        <f>IF(L609&gt;0,IF(L609&lt;=eco,alpha*fck*(1-(1-L609/eco)^n),alpha*fck),0)</f>
      </c>
      <c r="N609" s="30">
        <f>PM_Angle!$J$9+PM_Angle!$K$9*$C609+PM_Angle!$L$9*$B609</f>
      </c>
      <c r="O609" s="12">
        <f>IF(N609&gt;0,IF(N609&lt;=eco,alpha*fck*(1-(1-N609/eco)^n),alpha*fck),0)</f>
      </c>
      <c r="P609" s="30">
        <f>PM_Angle!$J$10+PM_Angle!$K$10*$C609+PM_Angle!$L$10*$B609</f>
      </c>
      <c r="Q609" s="12">
        <f>IF(P609&gt;0,IF(P609&lt;=eco,alpha*fck*(1-(1-P609/eco)^n),alpha*fck),0)</f>
      </c>
      <c r="R609" s="30">
        <f>PM_Angle!$J$11+PM_Angle!$K$11*$C609+PM_Angle!$L$11*$B609</f>
      </c>
      <c r="S609" s="12">
        <f>IF(R609&gt;0,IF(R609&lt;=eco,alpha*fck*(1-(1-R609/eco)^n),alpha*fck),0)</f>
      </c>
      <c r="T609" s="30">
        <f>PM_Angle!$J$12+PM_Angle!$K$12*$C609+PM_Angle!$L$12*$B609</f>
      </c>
      <c r="U609" s="12">
        <f>IF(T609&gt;0,IF(T609&lt;=eco,alpha*fck*(1-(1-T609/eco)^n),alpha*fck),0)</f>
      </c>
      <c r="V609" s="30">
        <f>PM_Angle!$J$13+PM_Angle!$K$13*$C609+PM_Angle!$L$13*$B609</f>
      </c>
      <c r="W609" s="12">
        <f>IF(V609&gt;0,IF(V609&lt;=eco,alpha*fck*(1-(1-V609/eco)^n),alpha*fck),0)</f>
      </c>
      <c r="X609" s="30">
        <f>PM_Angle!$J$14+PM_Angle!$K$14*$C609+PM_Angle!$L$14*$B609</f>
      </c>
      <c r="Y609" s="12">
        <f>IF(X609&gt;0,IF(X609&lt;=eco,alpha*fck*(1-(1-X609/eco)^n),alpha*fck),0)</f>
      </c>
      <c r="Z609" s="30">
        <f>PM_Angle!$J$15+PM_Angle!$K$15*$C609+PM_Angle!$L$15*$B609</f>
      </c>
      <c r="AA609" s="12">
        <f>IF(Z609&gt;0,IF(Z609&lt;=eco,alpha*fck*(1-(1-Z609/eco)^n),alpha*fck),0)</f>
      </c>
      <c r="AB609" s="30">
        <f>PM_Angle!$J$16+PM_Angle!$K$16*$C609+PM_Angle!$L$16*$B609</f>
      </c>
      <c r="AC609" s="12">
        <f>IF(AB609&gt;0,IF(AB609&lt;=eco,alpha*fck*(1-(1-AB609/eco)^n),alpha*fck),0)</f>
      </c>
      <c r="AD609" s="30">
        <f>PM_Angle!$J$17+PM_Angle!$K$17*$C609+PM_Angle!$L$17*$B609</f>
      </c>
      <c r="AE609" s="12">
        <f>IF(AD609&gt;0,IF(AD609&lt;=eco,alpha*fck*(1-(1-AD609/eco)^n),alpha*fck),0)</f>
      </c>
      <c r="AF609" s="30">
        <f>PM_Angle!$J$18+PM_Angle!$K$18*$C609+PM_Angle!$L$18*$B609</f>
      </c>
      <c r="AG609" s="12">
        <f>IF(AF609&gt;0,IF(AF609&lt;=eco,alpha*fck*(1-(1-AF609/eco)^n),alpha*fck),0)</f>
      </c>
      <c r="AH609" s="30">
        <f>PM_Angle!$J$19+PM_Angle!$K$19*$C609+PM_Angle!$L$19*$B609</f>
      </c>
      <c r="AI609" s="12">
        <f>IF(AH609&gt;0,IF(AH609&lt;=eco,alpha*fck*(1-(1-AH609/eco)^n),alpha*fck),0)</f>
      </c>
      <c r="AJ609" s="30">
        <f>PM_Angle!$J$20+PM_Angle!$K$20*$C609+PM_Angle!$L$20*$B609</f>
      </c>
      <c r="AK609" s="12">
        <f>IF(AJ609&gt;0,IF(AJ609&lt;=eco,alpha*fck*(1-(1-AJ609/eco)^n),alpha*fck),0)</f>
      </c>
      <c r="AL609" s="30">
        <f>PM_Angle!$J$21+PM_Angle!$K$21*$C609+PM_Angle!$L$21*$B609</f>
      </c>
      <c r="AM609" s="12">
        <f>IF(AL609&gt;0,IF(AL609&lt;=eco,alpha*fck*(1-(1-AL609/eco)^n),alpha*fck),0)</f>
      </c>
      <c r="AN609" s="30">
        <f>PM_Angle!$J$22+PM_Angle!$K$22*$C609+PM_Angle!$L$22*$B609</f>
      </c>
      <c r="AO609" s="12">
        <f>IF(AN609&gt;0,IF(AN609&lt;=eco,alpha*fck*(1-(1-AN609/eco)^n),alpha*fck),0)</f>
      </c>
      <c r="AP609" s="30">
        <f>PM_Angle!$J$23+PM_Angle!$K$23*$C609+PM_Angle!$L$23*$B609</f>
      </c>
      <c r="AQ609" s="12">
        <f>IF(AP609&gt;0,IF(AP609&lt;=eco,alpha*fck*(1-(1-AP609/eco)^n),alpha*fck),0)</f>
      </c>
      <c r="AR609" s="30">
        <f>PM_Angle!$J$24+PM_Angle!$K$24*$C609+PM_Angle!$L$24*$B609</f>
      </c>
      <c r="AS609" s="12">
        <f>IF(AR609&gt;0,IF(AR609&lt;=eco,alpha*fck*(1-(1-AR609/eco)^n),alpha*fck),0)</f>
      </c>
      <c r="AT609" s="30">
        <f>PM_Angle!$J$25+PM_Angle!$K$25*$C609+PM_Angle!$L$25*$B609</f>
      </c>
      <c r="AU609" s="12">
        <f>IF(AT609&gt;0,IF(AT609&lt;=eco,alpha*fck*(1-(1-AT609/eco)^n),alpha*fck),0)</f>
      </c>
    </row>
    <row r="610" spans="1:47" x14ac:dyDescent="0.25">
      <c r="A610">
        <f>Mesh!A607</f>
      </c>
      <c r="B610" s="12">
        <f>Mesh!B607</f>
      </c>
      <c r="C610" s="12">
        <f>Mesh!C607</f>
      </c>
      <c r="D610" s="12">
        <f>Mesh!D607</f>
      </c>
      <c r="E610" s="30">
        <f>INDEX(St_e0,Det+1)+INDEX(St_kx,Det+1)*C610+INDEX(St_ky,Det+1)*B610</f>
      </c>
      <c r="F610" s="12">
        <f>IF(E610&gt;0,IF(E610&lt;=eco,alpha*fck*(1-(1-E610/eco)^n),alpha*fck),0)</f>
      </c>
      <c r="G610" s="11">
        <f>F610*D610</f>
      </c>
      <c r="H610" s="11">
        <f>G610*C610</f>
      </c>
      <c r="I610" s="11">
        <f>G610*B610</f>
      </c>
      <c r="J610" s="30">
        <f>PM_Angle!$J$7+PM_Angle!$K$7*$C610+PM_Angle!$L$7*$B610</f>
      </c>
      <c r="K610" s="12">
        <f>IF(J610&gt;0,IF(J610&lt;=eco,alpha*fck*(1-(1-J610/eco)^n),alpha*fck),0)</f>
      </c>
      <c r="L610" s="30">
        <f>PM_Angle!$J$8+PM_Angle!$K$8*$C610+PM_Angle!$L$8*$B610</f>
      </c>
      <c r="M610" s="12">
        <f>IF(L610&gt;0,IF(L610&lt;=eco,alpha*fck*(1-(1-L610/eco)^n),alpha*fck),0)</f>
      </c>
      <c r="N610" s="30">
        <f>PM_Angle!$J$9+PM_Angle!$K$9*$C610+PM_Angle!$L$9*$B610</f>
      </c>
      <c r="O610" s="12">
        <f>IF(N610&gt;0,IF(N610&lt;=eco,alpha*fck*(1-(1-N610/eco)^n),alpha*fck),0)</f>
      </c>
      <c r="P610" s="30">
        <f>PM_Angle!$J$10+PM_Angle!$K$10*$C610+PM_Angle!$L$10*$B610</f>
      </c>
      <c r="Q610" s="12">
        <f>IF(P610&gt;0,IF(P610&lt;=eco,alpha*fck*(1-(1-P610/eco)^n),alpha*fck),0)</f>
      </c>
      <c r="R610" s="30">
        <f>PM_Angle!$J$11+PM_Angle!$K$11*$C610+PM_Angle!$L$11*$B610</f>
      </c>
      <c r="S610" s="12">
        <f>IF(R610&gt;0,IF(R610&lt;=eco,alpha*fck*(1-(1-R610/eco)^n),alpha*fck),0)</f>
      </c>
      <c r="T610" s="30">
        <f>PM_Angle!$J$12+PM_Angle!$K$12*$C610+PM_Angle!$L$12*$B610</f>
      </c>
      <c r="U610" s="12">
        <f>IF(T610&gt;0,IF(T610&lt;=eco,alpha*fck*(1-(1-T610/eco)^n),alpha*fck),0)</f>
      </c>
      <c r="V610" s="30">
        <f>PM_Angle!$J$13+PM_Angle!$K$13*$C610+PM_Angle!$L$13*$B610</f>
      </c>
      <c r="W610" s="12">
        <f>IF(V610&gt;0,IF(V610&lt;=eco,alpha*fck*(1-(1-V610/eco)^n),alpha*fck),0)</f>
      </c>
      <c r="X610" s="30">
        <f>PM_Angle!$J$14+PM_Angle!$K$14*$C610+PM_Angle!$L$14*$B610</f>
      </c>
      <c r="Y610" s="12">
        <f>IF(X610&gt;0,IF(X610&lt;=eco,alpha*fck*(1-(1-X610/eco)^n),alpha*fck),0)</f>
      </c>
      <c r="Z610" s="30">
        <f>PM_Angle!$J$15+PM_Angle!$K$15*$C610+PM_Angle!$L$15*$B610</f>
      </c>
      <c r="AA610" s="12">
        <f>IF(Z610&gt;0,IF(Z610&lt;=eco,alpha*fck*(1-(1-Z610/eco)^n),alpha*fck),0)</f>
      </c>
      <c r="AB610" s="30">
        <f>PM_Angle!$J$16+PM_Angle!$K$16*$C610+PM_Angle!$L$16*$B610</f>
      </c>
      <c r="AC610" s="12">
        <f>IF(AB610&gt;0,IF(AB610&lt;=eco,alpha*fck*(1-(1-AB610/eco)^n),alpha*fck),0)</f>
      </c>
      <c r="AD610" s="30">
        <f>PM_Angle!$J$17+PM_Angle!$K$17*$C610+PM_Angle!$L$17*$B610</f>
      </c>
      <c r="AE610" s="12">
        <f>IF(AD610&gt;0,IF(AD610&lt;=eco,alpha*fck*(1-(1-AD610/eco)^n),alpha*fck),0)</f>
      </c>
      <c r="AF610" s="30">
        <f>PM_Angle!$J$18+PM_Angle!$K$18*$C610+PM_Angle!$L$18*$B610</f>
      </c>
      <c r="AG610" s="12">
        <f>IF(AF610&gt;0,IF(AF610&lt;=eco,alpha*fck*(1-(1-AF610/eco)^n),alpha*fck),0)</f>
      </c>
      <c r="AH610" s="30">
        <f>PM_Angle!$J$19+PM_Angle!$K$19*$C610+PM_Angle!$L$19*$B610</f>
      </c>
      <c r="AI610" s="12">
        <f>IF(AH610&gt;0,IF(AH610&lt;=eco,alpha*fck*(1-(1-AH610/eco)^n),alpha*fck),0)</f>
      </c>
      <c r="AJ610" s="30">
        <f>PM_Angle!$J$20+PM_Angle!$K$20*$C610+PM_Angle!$L$20*$B610</f>
      </c>
      <c r="AK610" s="12">
        <f>IF(AJ610&gt;0,IF(AJ610&lt;=eco,alpha*fck*(1-(1-AJ610/eco)^n),alpha*fck),0)</f>
      </c>
      <c r="AL610" s="30">
        <f>PM_Angle!$J$21+PM_Angle!$K$21*$C610+PM_Angle!$L$21*$B610</f>
      </c>
      <c r="AM610" s="12">
        <f>IF(AL610&gt;0,IF(AL610&lt;=eco,alpha*fck*(1-(1-AL610/eco)^n),alpha*fck),0)</f>
      </c>
      <c r="AN610" s="30">
        <f>PM_Angle!$J$22+PM_Angle!$K$22*$C610+PM_Angle!$L$22*$B610</f>
      </c>
      <c r="AO610" s="12">
        <f>IF(AN610&gt;0,IF(AN610&lt;=eco,alpha*fck*(1-(1-AN610/eco)^n),alpha*fck),0)</f>
      </c>
      <c r="AP610" s="30">
        <f>PM_Angle!$J$23+PM_Angle!$K$23*$C610+PM_Angle!$L$23*$B610</f>
      </c>
      <c r="AQ610" s="12">
        <f>IF(AP610&gt;0,IF(AP610&lt;=eco,alpha*fck*(1-(1-AP610/eco)^n),alpha*fck),0)</f>
      </c>
      <c r="AR610" s="30">
        <f>PM_Angle!$J$24+PM_Angle!$K$24*$C610+PM_Angle!$L$24*$B610</f>
      </c>
      <c r="AS610" s="12">
        <f>IF(AR610&gt;0,IF(AR610&lt;=eco,alpha*fck*(1-(1-AR610/eco)^n),alpha*fck),0)</f>
      </c>
      <c r="AT610" s="30">
        <f>PM_Angle!$J$25+PM_Angle!$K$25*$C610+PM_Angle!$L$25*$B610</f>
      </c>
      <c r="AU610" s="12">
        <f>IF(AT610&gt;0,IF(AT610&lt;=eco,alpha*fck*(1-(1-AT610/eco)^n),alpha*fck),0)</f>
      </c>
    </row>
    <row r="611" spans="1:47" x14ac:dyDescent="0.25">
      <c r="A611">
        <f>Mesh!A608</f>
      </c>
      <c r="B611" s="12">
        <f>Mesh!B608</f>
      </c>
      <c r="C611" s="12">
        <f>Mesh!C608</f>
      </c>
      <c r="D611" s="12">
        <f>Mesh!D608</f>
      </c>
      <c r="E611" s="30">
        <f>INDEX(St_e0,Det+1)+INDEX(St_kx,Det+1)*C611+INDEX(St_ky,Det+1)*B611</f>
      </c>
      <c r="F611" s="12">
        <f>IF(E611&gt;0,IF(E611&lt;=eco,alpha*fck*(1-(1-E611/eco)^n),alpha*fck),0)</f>
      </c>
      <c r="G611" s="11">
        <f>F611*D611</f>
      </c>
      <c r="H611" s="11">
        <f>G611*C611</f>
      </c>
      <c r="I611" s="11">
        <f>G611*B611</f>
      </c>
      <c r="J611" s="30">
        <f>PM_Angle!$J$7+PM_Angle!$K$7*$C611+PM_Angle!$L$7*$B611</f>
      </c>
      <c r="K611" s="12">
        <f>IF(J611&gt;0,IF(J611&lt;=eco,alpha*fck*(1-(1-J611/eco)^n),alpha*fck),0)</f>
      </c>
      <c r="L611" s="30">
        <f>PM_Angle!$J$8+PM_Angle!$K$8*$C611+PM_Angle!$L$8*$B611</f>
      </c>
      <c r="M611" s="12">
        <f>IF(L611&gt;0,IF(L611&lt;=eco,alpha*fck*(1-(1-L611/eco)^n),alpha*fck),0)</f>
      </c>
      <c r="N611" s="30">
        <f>PM_Angle!$J$9+PM_Angle!$K$9*$C611+PM_Angle!$L$9*$B611</f>
      </c>
      <c r="O611" s="12">
        <f>IF(N611&gt;0,IF(N611&lt;=eco,alpha*fck*(1-(1-N611/eco)^n),alpha*fck),0)</f>
      </c>
      <c r="P611" s="30">
        <f>PM_Angle!$J$10+PM_Angle!$K$10*$C611+PM_Angle!$L$10*$B611</f>
      </c>
      <c r="Q611" s="12">
        <f>IF(P611&gt;0,IF(P611&lt;=eco,alpha*fck*(1-(1-P611/eco)^n),alpha*fck),0)</f>
      </c>
      <c r="R611" s="30">
        <f>PM_Angle!$J$11+PM_Angle!$K$11*$C611+PM_Angle!$L$11*$B611</f>
      </c>
      <c r="S611" s="12">
        <f>IF(R611&gt;0,IF(R611&lt;=eco,alpha*fck*(1-(1-R611/eco)^n),alpha*fck),0)</f>
      </c>
      <c r="T611" s="30">
        <f>PM_Angle!$J$12+PM_Angle!$K$12*$C611+PM_Angle!$L$12*$B611</f>
      </c>
      <c r="U611" s="12">
        <f>IF(T611&gt;0,IF(T611&lt;=eco,alpha*fck*(1-(1-T611/eco)^n),alpha*fck),0)</f>
      </c>
      <c r="V611" s="30">
        <f>PM_Angle!$J$13+PM_Angle!$K$13*$C611+PM_Angle!$L$13*$B611</f>
      </c>
      <c r="W611" s="12">
        <f>IF(V611&gt;0,IF(V611&lt;=eco,alpha*fck*(1-(1-V611/eco)^n),alpha*fck),0)</f>
      </c>
      <c r="X611" s="30">
        <f>PM_Angle!$J$14+PM_Angle!$K$14*$C611+PM_Angle!$L$14*$B611</f>
      </c>
      <c r="Y611" s="12">
        <f>IF(X611&gt;0,IF(X611&lt;=eco,alpha*fck*(1-(1-X611/eco)^n),alpha*fck),0)</f>
      </c>
      <c r="Z611" s="30">
        <f>PM_Angle!$J$15+PM_Angle!$K$15*$C611+PM_Angle!$L$15*$B611</f>
      </c>
      <c r="AA611" s="12">
        <f>IF(Z611&gt;0,IF(Z611&lt;=eco,alpha*fck*(1-(1-Z611/eco)^n),alpha*fck),0)</f>
      </c>
      <c r="AB611" s="30">
        <f>PM_Angle!$J$16+PM_Angle!$K$16*$C611+PM_Angle!$L$16*$B611</f>
      </c>
      <c r="AC611" s="12">
        <f>IF(AB611&gt;0,IF(AB611&lt;=eco,alpha*fck*(1-(1-AB611/eco)^n),alpha*fck),0)</f>
      </c>
      <c r="AD611" s="30">
        <f>PM_Angle!$J$17+PM_Angle!$K$17*$C611+PM_Angle!$L$17*$B611</f>
      </c>
      <c r="AE611" s="12">
        <f>IF(AD611&gt;0,IF(AD611&lt;=eco,alpha*fck*(1-(1-AD611/eco)^n),alpha*fck),0)</f>
      </c>
      <c r="AF611" s="30">
        <f>PM_Angle!$J$18+PM_Angle!$K$18*$C611+PM_Angle!$L$18*$B611</f>
      </c>
      <c r="AG611" s="12">
        <f>IF(AF611&gt;0,IF(AF611&lt;=eco,alpha*fck*(1-(1-AF611/eco)^n),alpha*fck),0)</f>
      </c>
      <c r="AH611" s="30">
        <f>PM_Angle!$J$19+PM_Angle!$K$19*$C611+PM_Angle!$L$19*$B611</f>
      </c>
      <c r="AI611" s="12">
        <f>IF(AH611&gt;0,IF(AH611&lt;=eco,alpha*fck*(1-(1-AH611/eco)^n),alpha*fck),0)</f>
      </c>
      <c r="AJ611" s="30">
        <f>PM_Angle!$J$20+PM_Angle!$K$20*$C611+PM_Angle!$L$20*$B611</f>
      </c>
      <c r="AK611" s="12">
        <f>IF(AJ611&gt;0,IF(AJ611&lt;=eco,alpha*fck*(1-(1-AJ611/eco)^n),alpha*fck),0)</f>
      </c>
      <c r="AL611" s="30">
        <f>PM_Angle!$J$21+PM_Angle!$K$21*$C611+PM_Angle!$L$21*$B611</f>
      </c>
      <c r="AM611" s="12">
        <f>IF(AL611&gt;0,IF(AL611&lt;=eco,alpha*fck*(1-(1-AL611/eco)^n),alpha*fck),0)</f>
      </c>
      <c r="AN611" s="30">
        <f>PM_Angle!$J$22+PM_Angle!$K$22*$C611+PM_Angle!$L$22*$B611</f>
      </c>
      <c r="AO611" s="12">
        <f>IF(AN611&gt;0,IF(AN611&lt;=eco,alpha*fck*(1-(1-AN611/eco)^n),alpha*fck),0)</f>
      </c>
      <c r="AP611" s="30">
        <f>PM_Angle!$J$23+PM_Angle!$K$23*$C611+PM_Angle!$L$23*$B611</f>
      </c>
      <c r="AQ611" s="12">
        <f>IF(AP611&gt;0,IF(AP611&lt;=eco,alpha*fck*(1-(1-AP611/eco)^n),alpha*fck),0)</f>
      </c>
      <c r="AR611" s="30">
        <f>PM_Angle!$J$24+PM_Angle!$K$24*$C611+PM_Angle!$L$24*$B611</f>
      </c>
      <c r="AS611" s="12">
        <f>IF(AR611&gt;0,IF(AR611&lt;=eco,alpha*fck*(1-(1-AR611/eco)^n),alpha*fck),0)</f>
      </c>
      <c r="AT611" s="30">
        <f>PM_Angle!$J$25+PM_Angle!$K$25*$C611+PM_Angle!$L$25*$B611</f>
      </c>
      <c r="AU611" s="12">
        <f>IF(AT611&gt;0,IF(AT611&lt;=eco,alpha*fck*(1-(1-AT611/eco)^n),alpha*fck),0)</f>
      </c>
    </row>
    <row r="612" spans="1:47" x14ac:dyDescent="0.25">
      <c r="A612">
        <f>Mesh!A609</f>
      </c>
      <c r="B612" s="12">
        <f>Mesh!B609</f>
      </c>
      <c r="C612" s="12">
        <f>Mesh!C609</f>
      </c>
      <c r="D612" s="12">
        <f>Mesh!D609</f>
      </c>
      <c r="E612" s="30">
        <f>INDEX(St_e0,Det+1)+INDEX(St_kx,Det+1)*C612+INDEX(St_ky,Det+1)*B612</f>
      </c>
      <c r="F612" s="12">
        <f>IF(E612&gt;0,IF(E612&lt;=eco,alpha*fck*(1-(1-E612/eco)^n),alpha*fck),0)</f>
      </c>
      <c r="G612" s="11">
        <f>F612*D612</f>
      </c>
      <c r="H612" s="11">
        <f>G612*C612</f>
      </c>
      <c r="I612" s="11">
        <f>G612*B612</f>
      </c>
      <c r="J612" s="30">
        <f>PM_Angle!$J$7+PM_Angle!$K$7*$C612+PM_Angle!$L$7*$B612</f>
      </c>
      <c r="K612" s="12">
        <f>IF(J612&gt;0,IF(J612&lt;=eco,alpha*fck*(1-(1-J612/eco)^n),alpha*fck),0)</f>
      </c>
      <c r="L612" s="30">
        <f>PM_Angle!$J$8+PM_Angle!$K$8*$C612+PM_Angle!$L$8*$B612</f>
      </c>
      <c r="M612" s="12">
        <f>IF(L612&gt;0,IF(L612&lt;=eco,alpha*fck*(1-(1-L612/eco)^n),alpha*fck),0)</f>
      </c>
      <c r="N612" s="30">
        <f>PM_Angle!$J$9+PM_Angle!$K$9*$C612+PM_Angle!$L$9*$B612</f>
      </c>
      <c r="O612" s="12">
        <f>IF(N612&gt;0,IF(N612&lt;=eco,alpha*fck*(1-(1-N612/eco)^n),alpha*fck),0)</f>
      </c>
      <c r="P612" s="30">
        <f>PM_Angle!$J$10+PM_Angle!$K$10*$C612+PM_Angle!$L$10*$B612</f>
      </c>
      <c r="Q612" s="12">
        <f>IF(P612&gt;0,IF(P612&lt;=eco,alpha*fck*(1-(1-P612/eco)^n),alpha*fck),0)</f>
      </c>
      <c r="R612" s="30">
        <f>PM_Angle!$J$11+PM_Angle!$K$11*$C612+PM_Angle!$L$11*$B612</f>
      </c>
      <c r="S612" s="12">
        <f>IF(R612&gt;0,IF(R612&lt;=eco,alpha*fck*(1-(1-R612/eco)^n),alpha*fck),0)</f>
      </c>
      <c r="T612" s="30">
        <f>PM_Angle!$J$12+PM_Angle!$K$12*$C612+PM_Angle!$L$12*$B612</f>
      </c>
      <c r="U612" s="12">
        <f>IF(T612&gt;0,IF(T612&lt;=eco,alpha*fck*(1-(1-T612/eco)^n),alpha*fck),0)</f>
      </c>
      <c r="V612" s="30">
        <f>PM_Angle!$J$13+PM_Angle!$K$13*$C612+PM_Angle!$L$13*$B612</f>
      </c>
      <c r="W612" s="12">
        <f>IF(V612&gt;0,IF(V612&lt;=eco,alpha*fck*(1-(1-V612/eco)^n),alpha*fck),0)</f>
      </c>
      <c r="X612" s="30">
        <f>PM_Angle!$J$14+PM_Angle!$K$14*$C612+PM_Angle!$L$14*$B612</f>
      </c>
      <c r="Y612" s="12">
        <f>IF(X612&gt;0,IF(X612&lt;=eco,alpha*fck*(1-(1-X612/eco)^n),alpha*fck),0)</f>
      </c>
      <c r="Z612" s="30">
        <f>PM_Angle!$J$15+PM_Angle!$K$15*$C612+PM_Angle!$L$15*$B612</f>
      </c>
      <c r="AA612" s="12">
        <f>IF(Z612&gt;0,IF(Z612&lt;=eco,alpha*fck*(1-(1-Z612/eco)^n),alpha*fck),0)</f>
      </c>
      <c r="AB612" s="30">
        <f>PM_Angle!$J$16+PM_Angle!$K$16*$C612+PM_Angle!$L$16*$B612</f>
      </c>
      <c r="AC612" s="12">
        <f>IF(AB612&gt;0,IF(AB612&lt;=eco,alpha*fck*(1-(1-AB612/eco)^n),alpha*fck),0)</f>
      </c>
      <c r="AD612" s="30">
        <f>PM_Angle!$J$17+PM_Angle!$K$17*$C612+PM_Angle!$L$17*$B612</f>
      </c>
      <c r="AE612" s="12">
        <f>IF(AD612&gt;0,IF(AD612&lt;=eco,alpha*fck*(1-(1-AD612/eco)^n),alpha*fck),0)</f>
      </c>
      <c r="AF612" s="30">
        <f>PM_Angle!$J$18+PM_Angle!$K$18*$C612+PM_Angle!$L$18*$B612</f>
      </c>
      <c r="AG612" s="12">
        <f>IF(AF612&gt;0,IF(AF612&lt;=eco,alpha*fck*(1-(1-AF612/eco)^n),alpha*fck),0)</f>
      </c>
      <c r="AH612" s="30">
        <f>PM_Angle!$J$19+PM_Angle!$K$19*$C612+PM_Angle!$L$19*$B612</f>
      </c>
      <c r="AI612" s="12">
        <f>IF(AH612&gt;0,IF(AH612&lt;=eco,alpha*fck*(1-(1-AH612/eco)^n),alpha*fck),0)</f>
      </c>
      <c r="AJ612" s="30">
        <f>PM_Angle!$J$20+PM_Angle!$K$20*$C612+PM_Angle!$L$20*$B612</f>
      </c>
      <c r="AK612" s="12">
        <f>IF(AJ612&gt;0,IF(AJ612&lt;=eco,alpha*fck*(1-(1-AJ612/eco)^n),alpha*fck),0)</f>
      </c>
      <c r="AL612" s="30">
        <f>PM_Angle!$J$21+PM_Angle!$K$21*$C612+PM_Angle!$L$21*$B612</f>
      </c>
      <c r="AM612" s="12">
        <f>IF(AL612&gt;0,IF(AL612&lt;=eco,alpha*fck*(1-(1-AL612/eco)^n),alpha*fck),0)</f>
      </c>
      <c r="AN612" s="30">
        <f>PM_Angle!$J$22+PM_Angle!$K$22*$C612+PM_Angle!$L$22*$B612</f>
      </c>
      <c r="AO612" s="12">
        <f>IF(AN612&gt;0,IF(AN612&lt;=eco,alpha*fck*(1-(1-AN612/eco)^n),alpha*fck),0)</f>
      </c>
      <c r="AP612" s="30">
        <f>PM_Angle!$J$23+PM_Angle!$K$23*$C612+PM_Angle!$L$23*$B612</f>
      </c>
      <c r="AQ612" s="12">
        <f>IF(AP612&gt;0,IF(AP612&lt;=eco,alpha*fck*(1-(1-AP612/eco)^n),alpha*fck),0)</f>
      </c>
      <c r="AR612" s="30">
        <f>PM_Angle!$J$24+PM_Angle!$K$24*$C612+PM_Angle!$L$24*$B612</f>
      </c>
      <c r="AS612" s="12">
        <f>IF(AR612&gt;0,IF(AR612&lt;=eco,alpha*fck*(1-(1-AR612/eco)^n),alpha*fck),0)</f>
      </c>
      <c r="AT612" s="30">
        <f>PM_Angle!$J$25+PM_Angle!$K$25*$C612+PM_Angle!$L$25*$B612</f>
      </c>
      <c r="AU612" s="12">
        <f>IF(AT612&gt;0,IF(AT612&lt;=eco,alpha*fck*(1-(1-AT612/eco)^n),alpha*fck),0)</f>
      </c>
    </row>
    <row r="613" spans="1:47" x14ac:dyDescent="0.25">
      <c r="A613">
        <f>Mesh!A610</f>
      </c>
      <c r="B613" s="12">
        <f>Mesh!B610</f>
      </c>
      <c r="C613" s="12">
        <f>Mesh!C610</f>
      </c>
      <c r="D613" s="12">
        <f>Mesh!D610</f>
      </c>
      <c r="E613" s="30">
        <f>INDEX(St_e0,Det+1)+INDEX(St_kx,Det+1)*C613+INDEX(St_ky,Det+1)*B613</f>
      </c>
      <c r="F613" s="12">
        <f>IF(E613&gt;0,IF(E613&lt;=eco,alpha*fck*(1-(1-E613/eco)^n),alpha*fck),0)</f>
      </c>
      <c r="G613" s="11">
        <f>F613*D613</f>
      </c>
      <c r="H613" s="11">
        <f>G613*C613</f>
      </c>
      <c r="I613" s="11">
        <f>G613*B613</f>
      </c>
      <c r="J613" s="30">
        <f>PM_Angle!$J$7+PM_Angle!$K$7*$C613+PM_Angle!$L$7*$B613</f>
      </c>
      <c r="K613" s="12">
        <f>IF(J613&gt;0,IF(J613&lt;=eco,alpha*fck*(1-(1-J613/eco)^n),alpha*fck),0)</f>
      </c>
      <c r="L613" s="30">
        <f>PM_Angle!$J$8+PM_Angle!$K$8*$C613+PM_Angle!$L$8*$B613</f>
      </c>
      <c r="M613" s="12">
        <f>IF(L613&gt;0,IF(L613&lt;=eco,alpha*fck*(1-(1-L613/eco)^n),alpha*fck),0)</f>
      </c>
      <c r="N613" s="30">
        <f>PM_Angle!$J$9+PM_Angle!$K$9*$C613+PM_Angle!$L$9*$B613</f>
      </c>
      <c r="O613" s="12">
        <f>IF(N613&gt;0,IF(N613&lt;=eco,alpha*fck*(1-(1-N613/eco)^n),alpha*fck),0)</f>
      </c>
      <c r="P613" s="30">
        <f>PM_Angle!$J$10+PM_Angle!$K$10*$C613+PM_Angle!$L$10*$B613</f>
      </c>
      <c r="Q613" s="12">
        <f>IF(P613&gt;0,IF(P613&lt;=eco,alpha*fck*(1-(1-P613/eco)^n),alpha*fck),0)</f>
      </c>
      <c r="R613" s="30">
        <f>PM_Angle!$J$11+PM_Angle!$K$11*$C613+PM_Angle!$L$11*$B613</f>
      </c>
      <c r="S613" s="12">
        <f>IF(R613&gt;0,IF(R613&lt;=eco,alpha*fck*(1-(1-R613/eco)^n),alpha*fck),0)</f>
      </c>
      <c r="T613" s="30">
        <f>PM_Angle!$J$12+PM_Angle!$K$12*$C613+PM_Angle!$L$12*$B613</f>
      </c>
      <c r="U613" s="12">
        <f>IF(T613&gt;0,IF(T613&lt;=eco,alpha*fck*(1-(1-T613/eco)^n),alpha*fck),0)</f>
      </c>
      <c r="V613" s="30">
        <f>PM_Angle!$J$13+PM_Angle!$K$13*$C613+PM_Angle!$L$13*$B613</f>
      </c>
      <c r="W613" s="12">
        <f>IF(V613&gt;0,IF(V613&lt;=eco,alpha*fck*(1-(1-V613/eco)^n),alpha*fck),0)</f>
      </c>
      <c r="X613" s="30">
        <f>PM_Angle!$J$14+PM_Angle!$K$14*$C613+PM_Angle!$L$14*$B613</f>
      </c>
      <c r="Y613" s="12">
        <f>IF(X613&gt;0,IF(X613&lt;=eco,alpha*fck*(1-(1-X613/eco)^n),alpha*fck),0)</f>
      </c>
      <c r="Z613" s="30">
        <f>PM_Angle!$J$15+PM_Angle!$K$15*$C613+PM_Angle!$L$15*$B613</f>
      </c>
      <c r="AA613" s="12">
        <f>IF(Z613&gt;0,IF(Z613&lt;=eco,alpha*fck*(1-(1-Z613/eco)^n),alpha*fck),0)</f>
      </c>
      <c r="AB613" s="30">
        <f>PM_Angle!$J$16+PM_Angle!$K$16*$C613+PM_Angle!$L$16*$B613</f>
      </c>
      <c r="AC613" s="12">
        <f>IF(AB613&gt;0,IF(AB613&lt;=eco,alpha*fck*(1-(1-AB613/eco)^n),alpha*fck),0)</f>
      </c>
      <c r="AD613" s="30">
        <f>PM_Angle!$J$17+PM_Angle!$K$17*$C613+PM_Angle!$L$17*$B613</f>
      </c>
      <c r="AE613" s="12">
        <f>IF(AD613&gt;0,IF(AD613&lt;=eco,alpha*fck*(1-(1-AD613/eco)^n),alpha*fck),0)</f>
      </c>
      <c r="AF613" s="30">
        <f>PM_Angle!$J$18+PM_Angle!$K$18*$C613+PM_Angle!$L$18*$B613</f>
      </c>
      <c r="AG613" s="12">
        <f>IF(AF613&gt;0,IF(AF613&lt;=eco,alpha*fck*(1-(1-AF613/eco)^n),alpha*fck),0)</f>
      </c>
      <c r="AH613" s="30">
        <f>PM_Angle!$J$19+PM_Angle!$K$19*$C613+PM_Angle!$L$19*$B613</f>
      </c>
      <c r="AI613" s="12">
        <f>IF(AH613&gt;0,IF(AH613&lt;=eco,alpha*fck*(1-(1-AH613/eco)^n),alpha*fck),0)</f>
      </c>
      <c r="AJ613" s="30">
        <f>PM_Angle!$J$20+PM_Angle!$K$20*$C613+PM_Angle!$L$20*$B613</f>
      </c>
      <c r="AK613" s="12">
        <f>IF(AJ613&gt;0,IF(AJ613&lt;=eco,alpha*fck*(1-(1-AJ613/eco)^n),alpha*fck),0)</f>
      </c>
      <c r="AL613" s="30">
        <f>PM_Angle!$J$21+PM_Angle!$K$21*$C613+PM_Angle!$L$21*$B613</f>
      </c>
      <c r="AM613" s="12">
        <f>IF(AL613&gt;0,IF(AL613&lt;=eco,alpha*fck*(1-(1-AL613/eco)^n),alpha*fck),0)</f>
      </c>
      <c r="AN613" s="30">
        <f>PM_Angle!$J$22+PM_Angle!$K$22*$C613+PM_Angle!$L$22*$B613</f>
      </c>
      <c r="AO613" s="12">
        <f>IF(AN613&gt;0,IF(AN613&lt;=eco,alpha*fck*(1-(1-AN613/eco)^n),alpha*fck),0)</f>
      </c>
      <c r="AP613" s="30">
        <f>PM_Angle!$J$23+PM_Angle!$K$23*$C613+PM_Angle!$L$23*$B613</f>
      </c>
      <c r="AQ613" s="12">
        <f>IF(AP613&gt;0,IF(AP613&lt;=eco,alpha*fck*(1-(1-AP613/eco)^n),alpha*fck),0)</f>
      </c>
      <c r="AR613" s="30">
        <f>PM_Angle!$J$24+PM_Angle!$K$24*$C613+PM_Angle!$L$24*$B613</f>
      </c>
      <c r="AS613" s="12">
        <f>IF(AR613&gt;0,IF(AR613&lt;=eco,alpha*fck*(1-(1-AR613/eco)^n),alpha*fck),0)</f>
      </c>
      <c r="AT613" s="30">
        <f>PM_Angle!$J$25+PM_Angle!$K$25*$C613+PM_Angle!$L$25*$B613</f>
      </c>
      <c r="AU613" s="12">
        <f>IF(AT613&gt;0,IF(AT613&lt;=eco,alpha*fck*(1-(1-AT613/eco)^n),alpha*fck),0)</f>
      </c>
    </row>
    <row r="614" spans="1:47" x14ac:dyDescent="0.25">
      <c r="A614">
        <f>Mesh!A611</f>
      </c>
      <c r="B614" s="12">
        <f>Mesh!B611</f>
      </c>
      <c r="C614" s="12">
        <f>Mesh!C611</f>
      </c>
      <c r="D614" s="12">
        <f>Mesh!D611</f>
      </c>
      <c r="E614" s="30">
        <f>INDEX(St_e0,Det+1)+INDEX(St_kx,Det+1)*C614+INDEX(St_ky,Det+1)*B614</f>
      </c>
      <c r="F614" s="12">
        <f>IF(E614&gt;0,IF(E614&lt;=eco,alpha*fck*(1-(1-E614/eco)^n),alpha*fck),0)</f>
      </c>
      <c r="G614" s="11">
        <f>F614*D614</f>
      </c>
      <c r="H614" s="11">
        <f>G614*C614</f>
      </c>
      <c r="I614" s="11">
        <f>G614*B614</f>
      </c>
      <c r="J614" s="30">
        <f>PM_Angle!$J$7+PM_Angle!$K$7*$C614+PM_Angle!$L$7*$B614</f>
      </c>
      <c r="K614" s="12">
        <f>IF(J614&gt;0,IF(J614&lt;=eco,alpha*fck*(1-(1-J614/eco)^n),alpha*fck),0)</f>
      </c>
      <c r="L614" s="30">
        <f>PM_Angle!$J$8+PM_Angle!$K$8*$C614+PM_Angle!$L$8*$B614</f>
      </c>
      <c r="M614" s="12">
        <f>IF(L614&gt;0,IF(L614&lt;=eco,alpha*fck*(1-(1-L614/eco)^n),alpha*fck),0)</f>
      </c>
      <c r="N614" s="30">
        <f>PM_Angle!$J$9+PM_Angle!$K$9*$C614+PM_Angle!$L$9*$B614</f>
      </c>
      <c r="O614" s="12">
        <f>IF(N614&gt;0,IF(N614&lt;=eco,alpha*fck*(1-(1-N614/eco)^n),alpha*fck),0)</f>
      </c>
      <c r="P614" s="30">
        <f>PM_Angle!$J$10+PM_Angle!$K$10*$C614+PM_Angle!$L$10*$B614</f>
      </c>
      <c r="Q614" s="12">
        <f>IF(P614&gt;0,IF(P614&lt;=eco,alpha*fck*(1-(1-P614/eco)^n),alpha*fck),0)</f>
      </c>
      <c r="R614" s="30">
        <f>PM_Angle!$J$11+PM_Angle!$K$11*$C614+PM_Angle!$L$11*$B614</f>
      </c>
      <c r="S614" s="12">
        <f>IF(R614&gt;0,IF(R614&lt;=eco,alpha*fck*(1-(1-R614/eco)^n),alpha*fck),0)</f>
      </c>
      <c r="T614" s="30">
        <f>PM_Angle!$J$12+PM_Angle!$K$12*$C614+PM_Angle!$L$12*$B614</f>
      </c>
      <c r="U614" s="12">
        <f>IF(T614&gt;0,IF(T614&lt;=eco,alpha*fck*(1-(1-T614/eco)^n),alpha*fck),0)</f>
      </c>
      <c r="V614" s="30">
        <f>PM_Angle!$J$13+PM_Angle!$K$13*$C614+PM_Angle!$L$13*$B614</f>
      </c>
      <c r="W614" s="12">
        <f>IF(V614&gt;0,IF(V614&lt;=eco,alpha*fck*(1-(1-V614/eco)^n),alpha*fck),0)</f>
      </c>
      <c r="X614" s="30">
        <f>PM_Angle!$J$14+PM_Angle!$K$14*$C614+PM_Angle!$L$14*$B614</f>
      </c>
      <c r="Y614" s="12">
        <f>IF(X614&gt;0,IF(X614&lt;=eco,alpha*fck*(1-(1-X614/eco)^n),alpha*fck),0)</f>
      </c>
      <c r="Z614" s="30">
        <f>PM_Angle!$J$15+PM_Angle!$K$15*$C614+PM_Angle!$L$15*$B614</f>
      </c>
      <c r="AA614" s="12">
        <f>IF(Z614&gt;0,IF(Z614&lt;=eco,alpha*fck*(1-(1-Z614/eco)^n),alpha*fck),0)</f>
      </c>
      <c r="AB614" s="30">
        <f>PM_Angle!$J$16+PM_Angle!$K$16*$C614+PM_Angle!$L$16*$B614</f>
      </c>
      <c r="AC614" s="12">
        <f>IF(AB614&gt;0,IF(AB614&lt;=eco,alpha*fck*(1-(1-AB614/eco)^n),alpha*fck),0)</f>
      </c>
      <c r="AD614" s="30">
        <f>PM_Angle!$J$17+PM_Angle!$K$17*$C614+PM_Angle!$L$17*$B614</f>
      </c>
      <c r="AE614" s="12">
        <f>IF(AD614&gt;0,IF(AD614&lt;=eco,alpha*fck*(1-(1-AD614/eco)^n),alpha*fck),0)</f>
      </c>
      <c r="AF614" s="30">
        <f>PM_Angle!$J$18+PM_Angle!$K$18*$C614+PM_Angle!$L$18*$B614</f>
      </c>
      <c r="AG614" s="12">
        <f>IF(AF614&gt;0,IF(AF614&lt;=eco,alpha*fck*(1-(1-AF614/eco)^n),alpha*fck),0)</f>
      </c>
      <c r="AH614" s="30">
        <f>PM_Angle!$J$19+PM_Angle!$K$19*$C614+PM_Angle!$L$19*$B614</f>
      </c>
      <c r="AI614" s="12">
        <f>IF(AH614&gt;0,IF(AH614&lt;=eco,alpha*fck*(1-(1-AH614/eco)^n),alpha*fck),0)</f>
      </c>
      <c r="AJ614" s="30">
        <f>PM_Angle!$J$20+PM_Angle!$K$20*$C614+PM_Angle!$L$20*$B614</f>
      </c>
      <c r="AK614" s="12">
        <f>IF(AJ614&gt;0,IF(AJ614&lt;=eco,alpha*fck*(1-(1-AJ614/eco)^n),alpha*fck),0)</f>
      </c>
      <c r="AL614" s="30">
        <f>PM_Angle!$J$21+PM_Angle!$K$21*$C614+PM_Angle!$L$21*$B614</f>
      </c>
      <c r="AM614" s="12">
        <f>IF(AL614&gt;0,IF(AL614&lt;=eco,alpha*fck*(1-(1-AL614/eco)^n),alpha*fck),0)</f>
      </c>
      <c r="AN614" s="30">
        <f>PM_Angle!$J$22+PM_Angle!$K$22*$C614+PM_Angle!$L$22*$B614</f>
      </c>
      <c r="AO614" s="12">
        <f>IF(AN614&gt;0,IF(AN614&lt;=eco,alpha*fck*(1-(1-AN614/eco)^n),alpha*fck),0)</f>
      </c>
      <c r="AP614" s="30">
        <f>PM_Angle!$J$23+PM_Angle!$K$23*$C614+PM_Angle!$L$23*$B614</f>
      </c>
      <c r="AQ614" s="12">
        <f>IF(AP614&gt;0,IF(AP614&lt;=eco,alpha*fck*(1-(1-AP614/eco)^n),alpha*fck),0)</f>
      </c>
      <c r="AR614" s="30">
        <f>PM_Angle!$J$24+PM_Angle!$K$24*$C614+PM_Angle!$L$24*$B614</f>
      </c>
      <c r="AS614" s="12">
        <f>IF(AR614&gt;0,IF(AR614&lt;=eco,alpha*fck*(1-(1-AR614/eco)^n),alpha*fck),0)</f>
      </c>
      <c r="AT614" s="30">
        <f>PM_Angle!$J$25+PM_Angle!$K$25*$C614+PM_Angle!$L$25*$B614</f>
      </c>
      <c r="AU614" s="12">
        <f>IF(AT614&gt;0,IF(AT614&lt;=eco,alpha*fck*(1-(1-AT614/eco)^n),alpha*fck),0)</f>
      </c>
    </row>
    <row r="615" spans="1:47" x14ac:dyDescent="0.25">
      <c r="A615">
        <f>Mesh!A612</f>
      </c>
      <c r="B615" s="12">
        <f>Mesh!B612</f>
      </c>
      <c r="C615" s="12">
        <f>Mesh!C612</f>
      </c>
      <c r="D615" s="12">
        <f>Mesh!D612</f>
      </c>
      <c r="E615" s="30">
        <f>INDEX(St_e0,Det+1)+INDEX(St_kx,Det+1)*C615+INDEX(St_ky,Det+1)*B615</f>
      </c>
      <c r="F615" s="12">
        <f>IF(E615&gt;0,IF(E615&lt;=eco,alpha*fck*(1-(1-E615/eco)^n),alpha*fck),0)</f>
      </c>
      <c r="G615" s="11">
        <f>F615*D615</f>
      </c>
      <c r="H615" s="11">
        <f>G615*C615</f>
      </c>
      <c r="I615" s="11">
        <f>G615*B615</f>
      </c>
      <c r="J615" s="30">
        <f>PM_Angle!$J$7+PM_Angle!$K$7*$C615+PM_Angle!$L$7*$B615</f>
      </c>
      <c r="K615" s="12">
        <f>IF(J615&gt;0,IF(J615&lt;=eco,alpha*fck*(1-(1-J615/eco)^n),alpha*fck),0)</f>
      </c>
      <c r="L615" s="30">
        <f>PM_Angle!$J$8+PM_Angle!$K$8*$C615+PM_Angle!$L$8*$B615</f>
      </c>
      <c r="M615" s="12">
        <f>IF(L615&gt;0,IF(L615&lt;=eco,alpha*fck*(1-(1-L615/eco)^n),alpha*fck),0)</f>
      </c>
      <c r="N615" s="30">
        <f>PM_Angle!$J$9+PM_Angle!$K$9*$C615+PM_Angle!$L$9*$B615</f>
      </c>
      <c r="O615" s="12">
        <f>IF(N615&gt;0,IF(N615&lt;=eco,alpha*fck*(1-(1-N615/eco)^n),alpha*fck),0)</f>
      </c>
      <c r="P615" s="30">
        <f>PM_Angle!$J$10+PM_Angle!$K$10*$C615+PM_Angle!$L$10*$B615</f>
      </c>
      <c r="Q615" s="12">
        <f>IF(P615&gt;0,IF(P615&lt;=eco,alpha*fck*(1-(1-P615/eco)^n),alpha*fck),0)</f>
      </c>
      <c r="R615" s="30">
        <f>PM_Angle!$J$11+PM_Angle!$K$11*$C615+PM_Angle!$L$11*$B615</f>
      </c>
      <c r="S615" s="12">
        <f>IF(R615&gt;0,IF(R615&lt;=eco,alpha*fck*(1-(1-R615/eco)^n),alpha*fck),0)</f>
      </c>
      <c r="T615" s="30">
        <f>PM_Angle!$J$12+PM_Angle!$K$12*$C615+PM_Angle!$L$12*$B615</f>
      </c>
      <c r="U615" s="12">
        <f>IF(T615&gt;0,IF(T615&lt;=eco,alpha*fck*(1-(1-T615/eco)^n),alpha*fck),0)</f>
      </c>
      <c r="V615" s="30">
        <f>PM_Angle!$J$13+PM_Angle!$K$13*$C615+PM_Angle!$L$13*$B615</f>
      </c>
      <c r="W615" s="12">
        <f>IF(V615&gt;0,IF(V615&lt;=eco,alpha*fck*(1-(1-V615/eco)^n),alpha*fck),0)</f>
      </c>
      <c r="X615" s="30">
        <f>PM_Angle!$J$14+PM_Angle!$K$14*$C615+PM_Angle!$L$14*$B615</f>
      </c>
      <c r="Y615" s="12">
        <f>IF(X615&gt;0,IF(X615&lt;=eco,alpha*fck*(1-(1-X615/eco)^n),alpha*fck),0)</f>
      </c>
      <c r="Z615" s="30">
        <f>PM_Angle!$J$15+PM_Angle!$K$15*$C615+PM_Angle!$L$15*$B615</f>
      </c>
      <c r="AA615" s="12">
        <f>IF(Z615&gt;0,IF(Z615&lt;=eco,alpha*fck*(1-(1-Z615/eco)^n),alpha*fck),0)</f>
      </c>
      <c r="AB615" s="30">
        <f>PM_Angle!$J$16+PM_Angle!$K$16*$C615+PM_Angle!$L$16*$B615</f>
      </c>
      <c r="AC615" s="12">
        <f>IF(AB615&gt;0,IF(AB615&lt;=eco,alpha*fck*(1-(1-AB615/eco)^n),alpha*fck),0)</f>
      </c>
      <c r="AD615" s="30">
        <f>PM_Angle!$J$17+PM_Angle!$K$17*$C615+PM_Angle!$L$17*$B615</f>
      </c>
      <c r="AE615" s="12">
        <f>IF(AD615&gt;0,IF(AD615&lt;=eco,alpha*fck*(1-(1-AD615/eco)^n),alpha*fck),0)</f>
      </c>
      <c r="AF615" s="30">
        <f>PM_Angle!$J$18+PM_Angle!$K$18*$C615+PM_Angle!$L$18*$B615</f>
      </c>
      <c r="AG615" s="12">
        <f>IF(AF615&gt;0,IF(AF615&lt;=eco,alpha*fck*(1-(1-AF615/eco)^n),alpha*fck),0)</f>
      </c>
      <c r="AH615" s="30">
        <f>PM_Angle!$J$19+PM_Angle!$K$19*$C615+PM_Angle!$L$19*$B615</f>
      </c>
      <c r="AI615" s="12">
        <f>IF(AH615&gt;0,IF(AH615&lt;=eco,alpha*fck*(1-(1-AH615/eco)^n),alpha*fck),0)</f>
      </c>
      <c r="AJ615" s="30">
        <f>PM_Angle!$J$20+PM_Angle!$K$20*$C615+PM_Angle!$L$20*$B615</f>
      </c>
      <c r="AK615" s="12">
        <f>IF(AJ615&gt;0,IF(AJ615&lt;=eco,alpha*fck*(1-(1-AJ615/eco)^n),alpha*fck),0)</f>
      </c>
      <c r="AL615" s="30">
        <f>PM_Angle!$J$21+PM_Angle!$K$21*$C615+PM_Angle!$L$21*$B615</f>
      </c>
      <c r="AM615" s="12">
        <f>IF(AL615&gt;0,IF(AL615&lt;=eco,alpha*fck*(1-(1-AL615/eco)^n),alpha*fck),0)</f>
      </c>
      <c r="AN615" s="30">
        <f>PM_Angle!$J$22+PM_Angle!$K$22*$C615+PM_Angle!$L$22*$B615</f>
      </c>
      <c r="AO615" s="12">
        <f>IF(AN615&gt;0,IF(AN615&lt;=eco,alpha*fck*(1-(1-AN615/eco)^n),alpha*fck),0)</f>
      </c>
      <c r="AP615" s="30">
        <f>PM_Angle!$J$23+PM_Angle!$K$23*$C615+PM_Angle!$L$23*$B615</f>
      </c>
      <c r="AQ615" s="12">
        <f>IF(AP615&gt;0,IF(AP615&lt;=eco,alpha*fck*(1-(1-AP615/eco)^n),alpha*fck),0)</f>
      </c>
      <c r="AR615" s="30">
        <f>PM_Angle!$J$24+PM_Angle!$K$24*$C615+PM_Angle!$L$24*$B615</f>
      </c>
      <c r="AS615" s="12">
        <f>IF(AR615&gt;0,IF(AR615&lt;=eco,alpha*fck*(1-(1-AR615/eco)^n),alpha*fck),0)</f>
      </c>
      <c r="AT615" s="30">
        <f>PM_Angle!$J$25+PM_Angle!$K$25*$C615+PM_Angle!$L$25*$B615</f>
      </c>
      <c r="AU615" s="12">
        <f>IF(AT615&gt;0,IF(AT615&lt;=eco,alpha*fck*(1-(1-AT615/eco)^n),alpha*fck),0)</f>
      </c>
    </row>
    <row r="616" spans="1:47" x14ac:dyDescent="0.25">
      <c r="A616">
        <f>Mesh!A613</f>
      </c>
      <c r="B616" s="12">
        <f>Mesh!B613</f>
      </c>
      <c r="C616" s="12">
        <f>Mesh!C613</f>
      </c>
      <c r="D616" s="12">
        <f>Mesh!D613</f>
      </c>
      <c r="E616" s="30">
        <f>INDEX(St_e0,Det+1)+INDEX(St_kx,Det+1)*C616+INDEX(St_ky,Det+1)*B616</f>
      </c>
      <c r="F616" s="12">
        <f>IF(E616&gt;0,IF(E616&lt;=eco,alpha*fck*(1-(1-E616/eco)^n),alpha*fck),0)</f>
      </c>
      <c r="G616" s="11">
        <f>F616*D616</f>
      </c>
      <c r="H616" s="11">
        <f>G616*C616</f>
      </c>
      <c r="I616" s="11">
        <f>G616*B616</f>
      </c>
      <c r="J616" s="30">
        <f>PM_Angle!$J$7+PM_Angle!$K$7*$C616+PM_Angle!$L$7*$B616</f>
      </c>
      <c r="K616" s="12">
        <f>IF(J616&gt;0,IF(J616&lt;=eco,alpha*fck*(1-(1-J616/eco)^n),alpha*fck),0)</f>
      </c>
      <c r="L616" s="30">
        <f>PM_Angle!$J$8+PM_Angle!$K$8*$C616+PM_Angle!$L$8*$B616</f>
      </c>
      <c r="M616" s="12">
        <f>IF(L616&gt;0,IF(L616&lt;=eco,alpha*fck*(1-(1-L616/eco)^n),alpha*fck),0)</f>
      </c>
      <c r="N616" s="30">
        <f>PM_Angle!$J$9+PM_Angle!$K$9*$C616+PM_Angle!$L$9*$B616</f>
      </c>
      <c r="O616" s="12">
        <f>IF(N616&gt;0,IF(N616&lt;=eco,alpha*fck*(1-(1-N616/eco)^n),alpha*fck),0)</f>
      </c>
      <c r="P616" s="30">
        <f>PM_Angle!$J$10+PM_Angle!$K$10*$C616+PM_Angle!$L$10*$B616</f>
      </c>
      <c r="Q616" s="12">
        <f>IF(P616&gt;0,IF(P616&lt;=eco,alpha*fck*(1-(1-P616/eco)^n),alpha*fck),0)</f>
      </c>
      <c r="R616" s="30">
        <f>PM_Angle!$J$11+PM_Angle!$K$11*$C616+PM_Angle!$L$11*$B616</f>
      </c>
      <c r="S616" s="12">
        <f>IF(R616&gt;0,IF(R616&lt;=eco,alpha*fck*(1-(1-R616/eco)^n),alpha*fck),0)</f>
      </c>
      <c r="T616" s="30">
        <f>PM_Angle!$J$12+PM_Angle!$K$12*$C616+PM_Angle!$L$12*$B616</f>
      </c>
      <c r="U616" s="12">
        <f>IF(T616&gt;0,IF(T616&lt;=eco,alpha*fck*(1-(1-T616/eco)^n),alpha*fck),0)</f>
      </c>
      <c r="V616" s="30">
        <f>PM_Angle!$J$13+PM_Angle!$K$13*$C616+PM_Angle!$L$13*$B616</f>
      </c>
      <c r="W616" s="12">
        <f>IF(V616&gt;0,IF(V616&lt;=eco,alpha*fck*(1-(1-V616/eco)^n),alpha*fck),0)</f>
      </c>
      <c r="X616" s="30">
        <f>PM_Angle!$J$14+PM_Angle!$K$14*$C616+PM_Angle!$L$14*$B616</f>
      </c>
      <c r="Y616" s="12">
        <f>IF(X616&gt;0,IF(X616&lt;=eco,alpha*fck*(1-(1-X616/eco)^n),alpha*fck),0)</f>
      </c>
      <c r="Z616" s="30">
        <f>PM_Angle!$J$15+PM_Angle!$K$15*$C616+PM_Angle!$L$15*$B616</f>
      </c>
      <c r="AA616" s="12">
        <f>IF(Z616&gt;0,IF(Z616&lt;=eco,alpha*fck*(1-(1-Z616/eco)^n),alpha*fck),0)</f>
      </c>
      <c r="AB616" s="30">
        <f>PM_Angle!$J$16+PM_Angle!$K$16*$C616+PM_Angle!$L$16*$B616</f>
      </c>
      <c r="AC616" s="12">
        <f>IF(AB616&gt;0,IF(AB616&lt;=eco,alpha*fck*(1-(1-AB616/eco)^n),alpha*fck),0)</f>
      </c>
      <c r="AD616" s="30">
        <f>PM_Angle!$J$17+PM_Angle!$K$17*$C616+PM_Angle!$L$17*$B616</f>
      </c>
      <c r="AE616" s="12">
        <f>IF(AD616&gt;0,IF(AD616&lt;=eco,alpha*fck*(1-(1-AD616/eco)^n),alpha*fck),0)</f>
      </c>
      <c r="AF616" s="30">
        <f>PM_Angle!$J$18+PM_Angle!$K$18*$C616+PM_Angle!$L$18*$B616</f>
      </c>
      <c r="AG616" s="12">
        <f>IF(AF616&gt;0,IF(AF616&lt;=eco,alpha*fck*(1-(1-AF616/eco)^n),alpha*fck),0)</f>
      </c>
      <c r="AH616" s="30">
        <f>PM_Angle!$J$19+PM_Angle!$K$19*$C616+PM_Angle!$L$19*$B616</f>
      </c>
      <c r="AI616" s="12">
        <f>IF(AH616&gt;0,IF(AH616&lt;=eco,alpha*fck*(1-(1-AH616/eco)^n),alpha*fck),0)</f>
      </c>
      <c r="AJ616" s="30">
        <f>PM_Angle!$J$20+PM_Angle!$K$20*$C616+PM_Angle!$L$20*$B616</f>
      </c>
      <c r="AK616" s="12">
        <f>IF(AJ616&gt;0,IF(AJ616&lt;=eco,alpha*fck*(1-(1-AJ616/eco)^n),alpha*fck),0)</f>
      </c>
      <c r="AL616" s="30">
        <f>PM_Angle!$J$21+PM_Angle!$K$21*$C616+PM_Angle!$L$21*$B616</f>
      </c>
      <c r="AM616" s="12">
        <f>IF(AL616&gt;0,IF(AL616&lt;=eco,alpha*fck*(1-(1-AL616/eco)^n),alpha*fck),0)</f>
      </c>
      <c r="AN616" s="30">
        <f>PM_Angle!$J$22+PM_Angle!$K$22*$C616+PM_Angle!$L$22*$B616</f>
      </c>
      <c r="AO616" s="12">
        <f>IF(AN616&gt;0,IF(AN616&lt;=eco,alpha*fck*(1-(1-AN616/eco)^n),alpha*fck),0)</f>
      </c>
      <c r="AP616" s="30">
        <f>PM_Angle!$J$23+PM_Angle!$K$23*$C616+PM_Angle!$L$23*$B616</f>
      </c>
      <c r="AQ616" s="12">
        <f>IF(AP616&gt;0,IF(AP616&lt;=eco,alpha*fck*(1-(1-AP616/eco)^n),alpha*fck),0)</f>
      </c>
      <c r="AR616" s="30">
        <f>PM_Angle!$J$24+PM_Angle!$K$24*$C616+PM_Angle!$L$24*$B616</f>
      </c>
      <c r="AS616" s="12">
        <f>IF(AR616&gt;0,IF(AR616&lt;=eco,alpha*fck*(1-(1-AR616/eco)^n),alpha*fck),0)</f>
      </c>
      <c r="AT616" s="30">
        <f>PM_Angle!$J$25+PM_Angle!$K$25*$C616+PM_Angle!$L$25*$B616</f>
      </c>
      <c r="AU616" s="12">
        <f>IF(AT616&gt;0,IF(AT616&lt;=eco,alpha*fck*(1-(1-AT616/eco)^n),alpha*fck),0)</f>
      </c>
    </row>
    <row r="617" spans="1:47" x14ac:dyDescent="0.25">
      <c r="A617">
        <f>Mesh!A614</f>
      </c>
      <c r="B617" s="12">
        <f>Mesh!B614</f>
      </c>
      <c r="C617" s="12">
        <f>Mesh!C614</f>
      </c>
      <c r="D617" s="12">
        <f>Mesh!D614</f>
      </c>
      <c r="E617" s="30">
        <f>INDEX(St_e0,Det+1)+INDEX(St_kx,Det+1)*C617+INDEX(St_ky,Det+1)*B617</f>
      </c>
      <c r="F617" s="12">
        <f>IF(E617&gt;0,IF(E617&lt;=eco,alpha*fck*(1-(1-E617/eco)^n),alpha*fck),0)</f>
      </c>
      <c r="G617" s="11">
        <f>F617*D617</f>
      </c>
      <c r="H617" s="11">
        <f>G617*C617</f>
      </c>
      <c r="I617" s="11">
        <f>G617*B617</f>
      </c>
      <c r="J617" s="30">
        <f>PM_Angle!$J$7+PM_Angle!$K$7*$C617+PM_Angle!$L$7*$B617</f>
      </c>
      <c r="K617" s="12">
        <f>IF(J617&gt;0,IF(J617&lt;=eco,alpha*fck*(1-(1-J617/eco)^n),alpha*fck),0)</f>
      </c>
      <c r="L617" s="30">
        <f>PM_Angle!$J$8+PM_Angle!$K$8*$C617+PM_Angle!$L$8*$B617</f>
      </c>
      <c r="M617" s="12">
        <f>IF(L617&gt;0,IF(L617&lt;=eco,alpha*fck*(1-(1-L617/eco)^n),alpha*fck),0)</f>
      </c>
      <c r="N617" s="30">
        <f>PM_Angle!$J$9+PM_Angle!$K$9*$C617+PM_Angle!$L$9*$B617</f>
      </c>
      <c r="O617" s="12">
        <f>IF(N617&gt;0,IF(N617&lt;=eco,alpha*fck*(1-(1-N617/eco)^n),alpha*fck),0)</f>
      </c>
      <c r="P617" s="30">
        <f>PM_Angle!$J$10+PM_Angle!$K$10*$C617+PM_Angle!$L$10*$B617</f>
      </c>
      <c r="Q617" s="12">
        <f>IF(P617&gt;0,IF(P617&lt;=eco,alpha*fck*(1-(1-P617/eco)^n),alpha*fck),0)</f>
      </c>
      <c r="R617" s="30">
        <f>PM_Angle!$J$11+PM_Angle!$K$11*$C617+PM_Angle!$L$11*$B617</f>
      </c>
      <c r="S617" s="12">
        <f>IF(R617&gt;0,IF(R617&lt;=eco,alpha*fck*(1-(1-R617/eco)^n),alpha*fck),0)</f>
      </c>
      <c r="T617" s="30">
        <f>PM_Angle!$J$12+PM_Angle!$K$12*$C617+PM_Angle!$L$12*$B617</f>
      </c>
      <c r="U617" s="12">
        <f>IF(T617&gt;0,IF(T617&lt;=eco,alpha*fck*(1-(1-T617/eco)^n),alpha*fck),0)</f>
      </c>
      <c r="V617" s="30">
        <f>PM_Angle!$J$13+PM_Angle!$K$13*$C617+PM_Angle!$L$13*$B617</f>
      </c>
      <c r="W617" s="12">
        <f>IF(V617&gt;0,IF(V617&lt;=eco,alpha*fck*(1-(1-V617/eco)^n),alpha*fck),0)</f>
      </c>
      <c r="X617" s="30">
        <f>PM_Angle!$J$14+PM_Angle!$K$14*$C617+PM_Angle!$L$14*$B617</f>
      </c>
      <c r="Y617" s="12">
        <f>IF(X617&gt;0,IF(X617&lt;=eco,alpha*fck*(1-(1-X617/eco)^n),alpha*fck),0)</f>
      </c>
      <c r="Z617" s="30">
        <f>PM_Angle!$J$15+PM_Angle!$K$15*$C617+PM_Angle!$L$15*$B617</f>
      </c>
      <c r="AA617" s="12">
        <f>IF(Z617&gt;0,IF(Z617&lt;=eco,alpha*fck*(1-(1-Z617/eco)^n),alpha*fck),0)</f>
      </c>
      <c r="AB617" s="30">
        <f>PM_Angle!$J$16+PM_Angle!$K$16*$C617+PM_Angle!$L$16*$B617</f>
      </c>
      <c r="AC617" s="12">
        <f>IF(AB617&gt;0,IF(AB617&lt;=eco,alpha*fck*(1-(1-AB617/eco)^n),alpha*fck),0)</f>
      </c>
      <c r="AD617" s="30">
        <f>PM_Angle!$J$17+PM_Angle!$K$17*$C617+PM_Angle!$L$17*$B617</f>
      </c>
      <c r="AE617" s="12">
        <f>IF(AD617&gt;0,IF(AD617&lt;=eco,alpha*fck*(1-(1-AD617/eco)^n),alpha*fck),0)</f>
      </c>
      <c r="AF617" s="30">
        <f>PM_Angle!$J$18+PM_Angle!$K$18*$C617+PM_Angle!$L$18*$B617</f>
      </c>
      <c r="AG617" s="12">
        <f>IF(AF617&gt;0,IF(AF617&lt;=eco,alpha*fck*(1-(1-AF617/eco)^n),alpha*fck),0)</f>
      </c>
      <c r="AH617" s="30">
        <f>PM_Angle!$J$19+PM_Angle!$K$19*$C617+PM_Angle!$L$19*$B617</f>
      </c>
      <c r="AI617" s="12">
        <f>IF(AH617&gt;0,IF(AH617&lt;=eco,alpha*fck*(1-(1-AH617/eco)^n),alpha*fck),0)</f>
      </c>
      <c r="AJ617" s="30">
        <f>PM_Angle!$J$20+PM_Angle!$K$20*$C617+PM_Angle!$L$20*$B617</f>
      </c>
      <c r="AK617" s="12">
        <f>IF(AJ617&gt;0,IF(AJ617&lt;=eco,alpha*fck*(1-(1-AJ617/eco)^n),alpha*fck),0)</f>
      </c>
      <c r="AL617" s="30">
        <f>PM_Angle!$J$21+PM_Angle!$K$21*$C617+PM_Angle!$L$21*$B617</f>
      </c>
      <c r="AM617" s="12">
        <f>IF(AL617&gt;0,IF(AL617&lt;=eco,alpha*fck*(1-(1-AL617/eco)^n),alpha*fck),0)</f>
      </c>
      <c r="AN617" s="30">
        <f>PM_Angle!$J$22+PM_Angle!$K$22*$C617+PM_Angle!$L$22*$B617</f>
      </c>
      <c r="AO617" s="12">
        <f>IF(AN617&gt;0,IF(AN617&lt;=eco,alpha*fck*(1-(1-AN617/eco)^n),alpha*fck),0)</f>
      </c>
      <c r="AP617" s="30">
        <f>PM_Angle!$J$23+PM_Angle!$K$23*$C617+PM_Angle!$L$23*$B617</f>
      </c>
      <c r="AQ617" s="12">
        <f>IF(AP617&gt;0,IF(AP617&lt;=eco,alpha*fck*(1-(1-AP617/eco)^n),alpha*fck),0)</f>
      </c>
      <c r="AR617" s="30">
        <f>PM_Angle!$J$24+PM_Angle!$K$24*$C617+PM_Angle!$L$24*$B617</f>
      </c>
      <c r="AS617" s="12">
        <f>IF(AR617&gt;0,IF(AR617&lt;=eco,alpha*fck*(1-(1-AR617/eco)^n),alpha*fck),0)</f>
      </c>
      <c r="AT617" s="30">
        <f>PM_Angle!$J$25+PM_Angle!$K$25*$C617+PM_Angle!$L$25*$B617</f>
      </c>
      <c r="AU617" s="12">
        <f>IF(AT617&gt;0,IF(AT617&lt;=eco,alpha*fck*(1-(1-AT617/eco)^n),alpha*fck),0)</f>
      </c>
    </row>
    <row r="618" spans="1:47" x14ac:dyDescent="0.25">
      <c r="A618">
        <f>Mesh!A615</f>
      </c>
      <c r="B618" s="12">
        <f>Mesh!B615</f>
      </c>
      <c r="C618" s="12">
        <f>Mesh!C615</f>
      </c>
      <c r="D618" s="12">
        <f>Mesh!D615</f>
      </c>
      <c r="E618" s="30">
        <f>INDEX(St_e0,Det+1)+INDEX(St_kx,Det+1)*C618+INDEX(St_ky,Det+1)*B618</f>
      </c>
      <c r="F618" s="12">
        <f>IF(E618&gt;0,IF(E618&lt;=eco,alpha*fck*(1-(1-E618/eco)^n),alpha*fck),0)</f>
      </c>
      <c r="G618" s="11">
        <f>F618*D618</f>
      </c>
      <c r="H618" s="11">
        <f>G618*C618</f>
      </c>
      <c r="I618" s="11">
        <f>G618*B618</f>
      </c>
      <c r="J618" s="30">
        <f>PM_Angle!$J$7+PM_Angle!$K$7*$C618+PM_Angle!$L$7*$B618</f>
      </c>
      <c r="K618" s="12">
        <f>IF(J618&gt;0,IF(J618&lt;=eco,alpha*fck*(1-(1-J618/eco)^n),alpha*fck),0)</f>
      </c>
      <c r="L618" s="30">
        <f>PM_Angle!$J$8+PM_Angle!$K$8*$C618+PM_Angle!$L$8*$B618</f>
      </c>
      <c r="M618" s="12">
        <f>IF(L618&gt;0,IF(L618&lt;=eco,alpha*fck*(1-(1-L618/eco)^n),alpha*fck),0)</f>
      </c>
      <c r="N618" s="30">
        <f>PM_Angle!$J$9+PM_Angle!$K$9*$C618+PM_Angle!$L$9*$B618</f>
      </c>
      <c r="O618" s="12">
        <f>IF(N618&gt;0,IF(N618&lt;=eco,alpha*fck*(1-(1-N618/eco)^n),alpha*fck),0)</f>
      </c>
      <c r="P618" s="30">
        <f>PM_Angle!$J$10+PM_Angle!$K$10*$C618+PM_Angle!$L$10*$B618</f>
      </c>
      <c r="Q618" s="12">
        <f>IF(P618&gt;0,IF(P618&lt;=eco,alpha*fck*(1-(1-P618/eco)^n),alpha*fck),0)</f>
      </c>
      <c r="R618" s="30">
        <f>PM_Angle!$J$11+PM_Angle!$K$11*$C618+PM_Angle!$L$11*$B618</f>
      </c>
      <c r="S618" s="12">
        <f>IF(R618&gt;0,IF(R618&lt;=eco,alpha*fck*(1-(1-R618/eco)^n),alpha*fck),0)</f>
      </c>
      <c r="T618" s="30">
        <f>PM_Angle!$J$12+PM_Angle!$K$12*$C618+PM_Angle!$L$12*$B618</f>
      </c>
      <c r="U618" s="12">
        <f>IF(T618&gt;0,IF(T618&lt;=eco,alpha*fck*(1-(1-T618/eco)^n),alpha*fck),0)</f>
      </c>
      <c r="V618" s="30">
        <f>PM_Angle!$J$13+PM_Angle!$K$13*$C618+PM_Angle!$L$13*$B618</f>
      </c>
      <c r="W618" s="12">
        <f>IF(V618&gt;0,IF(V618&lt;=eco,alpha*fck*(1-(1-V618/eco)^n),alpha*fck),0)</f>
      </c>
      <c r="X618" s="30">
        <f>PM_Angle!$J$14+PM_Angle!$K$14*$C618+PM_Angle!$L$14*$B618</f>
      </c>
      <c r="Y618" s="12">
        <f>IF(X618&gt;0,IF(X618&lt;=eco,alpha*fck*(1-(1-X618/eco)^n),alpha*fck),0)</f>
      </c>
      <c r="Z618" s="30">
        <f>PM_Angle!$J$15+PM_Angle!$K$15*$C618+PM_Angle!$L$15*$B618</f>
      </c>
      <c r="AA618" s="12">
        <f>IF(Z618&gt;0,IF(Z618&lt;=eco,alpha*fck*(1-(1-Z618/eco)^n),alpha*fck),0)</f>
      </c>
      <c r="AB618" s="30">
        <f>PM_Angle!$J$16+PM_Angle!$K$16*$C618+PM_Angle!$L$16*$B618</f>
      </c>
      <c r="AC618" s="12">
        <f>IF(AB618&gt;0,IF(AB618&lt;=eco,alpha*fck*(1-(1-AB618/eco)^n),alpha*fck),0)</f>
      </c>
      <c r="AD618" s="30">
        <f>PM_Angle!$J$17+PM_Angle!$K$17*$C618+PM_Angle!$L$17*$B618</f>
      </c>
      <c r="AE618" s="12">
        <f>IF(AD618&gt;0,IF(AD618&lt;=eco,alpha*fck*(1-(1-AD618/eco)^n),alpha*fck),0)</f>
      </c>
      <c r="AF618" s="30">
        <f>PM_Angle!$J$18+PM_Angle!$K$18*$C618+PM_Angle!$L$18*$B618</f>
      </c>
      <c r="AG618" s="12">
        <f>IF(AF618&gt;0,IF(AF618&lt;=eco,alpha*fck*(1-(1-AF618/eco)^n),alpha*fck),0)</f>
      </c>
      <c r="AH618" s="30">
        <f>PM_Angle!$J$19+PM_Angle!$K$19*$C618+PM_Angle!$L$19*$B618</f>
      </c>
      <c r="AI618" s="12">
        <f>IF(AH618&gt;0,IF(AH618&lt;=eco,alpha*fck*(1-(1-AH618/eco)^n),alpha*fck),0)</f>
      </c>
      <c r="AJ618" s="30">
        <f>PM_Angle!$J$20+PM_Angle!$K$20*$C618+PM_Angle!$L$20*$B618</f>
      </c>
      <c r="AK618" s="12">
        <f>IF(AJ618&gt;0,IF(AJ618&lt;=eco,alpha*fck*(1-(1-AJ618/eco)^n),alpha*fck),0)</f>
      </c>
      <c r="AL618" s="30">
        <f>PM_Angle!$J$21+PM_Angle!$K$21*$C618+PM_Angle!$L$21*$B618</f>
      </c>
      <c r="AM618" s="12">
        <f>IF(AL618&gt;0,IF(AL618&lt;=eco,alpha*fck*(1-(1-AL618/eco)^n),alpha*fck),0)</f>
      </c>
      <c r="AN618" s="30">
        <f>PM_Angle!$J$22+PM_Angle!$K$22*$C618+PM_Angle!$L$22*$B618</f>
      </c>
      <c r="AO618" s="12">
        <f>IF(AN618&gt;0,IF(AN618&lt;=eco,alpha*fck*(1-(1-AN618/eco)^n),alpha*fck),0)</f>
      </c>
      <c r="AP618" s="30">
        <f>PM_Angle!$J$23+PM_Angle!$K$23*$C618+PM_Angle!$L$23*$B618</f>
      </c>
      <c r="AQ618" s="12">
        <f>IF(AP618&gt;0,IF(AP618&lt;=eco,alpha*fck*(1-(1-AP618/eco)^n),alpha*fck),0)</f>
      </c>
      <c r="AR618" s="30">
        <f>PM_Angle!$J$24+PM_Angle!$K$24*$C618+PM_Angle!$L$24*$B618</f>
      </c>
      <c r="AS618" s="12">
        <f>IF(AR618&gt;0,IF(AR618&lt;=eco,alpha*fck*(1-(1-AR618/eco)^n),alpha*fck),0)</f>
      </c>
      <c r="AT618" s="30">
        <f>PM_Angle!$J$25+PM_Angle!$K$25*$C618+PM_Angle!$L$25*$B618</f>
      </c>
      <c r="AU618" s="12">
        <f>IF(AT618&gt;0,IF(AT618&lt;=eco,alpha*fck*(1-(1-AT618/eco)^n),alpha*fck),0)</f>
      </c>
    </row>
    <row r="619" spans="1:47" x14ac:dyDescent="0.25">
      <c r="A619">
        <f>Mesh!A616</f>
      </c>
      <c r="B619" s="12">
        <f>Mesh!B616</f>
      </c>
      <c r="C619" s="12">
        <f>Mesh!C616</f>
      </c>
      <c r="D619" s="12">
        <f>Mesh!D616</f>
      </c>
      <c r="E619" s="30">
        <f>INDEX(St_e0,Det+1)+INDEX(St_kx,Det+1)*C619+INDEX(St_ky,Det+1)*B619</f>
      </c>
      <c r="F619" s="12">
        <f>IF(E619&gt;0,IF(E619&lt;=eco,alpha*fck*(1-(1-E619/eco)^n),alpha*fck),0)</f>
      </c>
      <c r="G619" s="11">
        <f>F619*D619</f>
      </c>
      <c r="H619" s="11">
        <f>G619*C619</f>
      </c>
      <c r="I619" s="11">
        <f>G619*B619</f>
      </c>
      <c r="J619" s="30">
        <f>PM_Angle!$J$7+PM_Angle!$K$7*$C619+PM_Angle!$L$7*$B619</f>
      </c>
      <c r="K619" s="12">
        <f>IF(J619&gt;0,IF(J619&lt;=eco,alpha*fck*(1-(1-J619/eco)^n),alpha*fck),0)</f>
      </c>
      <c r="L619" s="30">
        <f>PM_Angle!$J$8+PM_Angle!$K$8*$C619+PM_Angle!$L$8*$B619</f>
      </c>
      <c r="M619" s="12">
        <f>IF(L619&gt;0,IF(L619&lt;=eco,alpha*fck*(1-(1-L619/eco)^n),alpha*fck),0)</f>
      </c>
      <c r="N619" s="30">
        <f>PM_Angle!$J$9+PM_Angle!$K$9*$C619+PM_Angle!$L$9*$B619</f>
      </c>
      <c r="O619" s="12">
        <f>IF(N619&gt;0,IF(N619&lt;=eco,alpha*fck*(1-(1-N619/eco)^n),alpha*fck),0)</f>
      </c>
      <c r="P619" s="30">
        <f>PM_Angle!$J$10+PM_Angle!$K$10*$C619+PM_Angle!$L$10*$B619</f>
      </c>
      <c r="Q619" s="12">
        <f>IF(P619&gt;0,IF(P619&lt;=eco,alpha*fck*(1-(1-P619/eco)^n),alpha*fck),0)</f>
      </c>
      <c r="R619" s="30">
        <f>PM_Angle!$J$11+PM_Angle!$K$11*$C619+PM_Angle!$L$11*$B619</f>
      </c>
      <c r="S619" s="12">
        <f>IF(R619&gt;0,IF(R619&lt;=eco,alpha*fck*(1-(1-R619/eco)^n),alpha*fck),0)</f>
      </c>
      <c r="T619" s="30">
        <f>PM_Angle!$J$12+PM_Angle!$K$12*$C619+PM_Angle!$L$12*$B619</f>
      </c>
      <c r="U619" s="12">
        <f>IF(T619&gt;0,IF(T619&lt;=eco,alpha*fck*(1-(1-T619/eco)^n),alpha*fck),0)</f>
      </c>
      <c r="V619" s="30">
        <f>PM_Angle!$J$13+PM_Angle!$K$13*$C619+PM_Angle!$L$13*$B619</f>
      </c>
      <c r="W619" s="12">
        <f>IF(V619&gt;0,IF(V619&lt;=eco,alpha*fck*(1-(1-V619/eco)^n),alpha*fck),0)</f>
      </c>
      <c r="X619" s="30">
        <f>PM_Angle!$J$14+PM_Angle!$K$14*$C619+PM_Angle!$L$14*$B619</f>
      </c>
      <c r="Y619" s="12">
        <f>IF(X619&gt;0,IF(X619&lt;=eco,alpha*fck*(1-(1-X619/eco)^n),alpha*fck),0)</f>
      </c>
      <c r="Z619" s="30">
        <f>PM_Angle!$J$15+PM_Angle!$K$15*$C619+PM_Angle!$L$15*$B619</f>
      </c>
      <c r="AA619" s="12">
        <f>IF(Z619&gt;0,IF(Z619&lt;=eco,alpha*fck*(1-(1-Z619/eco)^n),alpha*fck),0)</f>
      </c>
      <c r="AB619" s="30">
        <f>PM_Angle!$J$16+PM_Angle!$K$16*$C619+PM_Angle!$L$16*$B619</f>
      </c>
      <c r="AC619" s="12">
        <f>IF(AB619&gt;0,IF(AB619&lt;=eco,alpha*fck*(1-(1-AB619/eco)^n),alpha*fck),0)</f>
      </c>
      <c r="AD619" s="30">
        <f>PM_Angle!$J$17+PM_Angle!$K$17*$C619+PM_Angle!$L$17*$B619</f>
      </c>
      <c r="AE619" s="12">
        <f>IF(AD619&gt;0,IF(AD619&lt;=eco,alpha*fck*(1-(1-AD619/eco)^n),alpha*fck),0)</f>
      </c>
      <c r="AF619" s="30">
        <f>PM_Angle!$J$18+PM_Angle!$K$18*$C619+PM_Angle!$L$18*$B619</f>
      </c>
      <c r="AG619" s="12">
        <f>IF(AF619&gt;0,IF(AF619&lt;=eco,alpha*fck*(1-(1-AF619/eco)^n),alpha*fck),0)</f>
      </c>
      <c r="AH619" s="30">
        <f>PM_Angle!$J$19+PM_Angle!$K$19*$C619+PM_Angle!$L$19*$B619</f>
      </c>
      <c r="AI619" s="12">
        <f>IF(AH619&gt;0,IF(AH619&lt;=eco,alpha*fck*(1-(1-AH619/eco)^n),alpha*fck),0)</f>
      </c>
      <c r="AJ619" s="30">
        <f>PM_Angle!$J$20+PM_Angle!$K$20*$C619+PM_Angle!$L$20*$B619</f>
      </c>
      <c r="AK619" s="12">
        <f>IF(AJ619&gt;0,IF(AJ619&lt;=eco,alpha*fck*(1-(1-AJ619/eco)^n),alpha*fck),0)</f>
      </c>
      <c r="AL619" s="30">
        <f>PM_Angle!$J$21+PM_Angle!$K$21*$C619+PM_Angle!$L$21*$B619</f>
      </c>
      <c r="AM619" s="12">
        <f>IF(AL619&gt;0,IF(AL619&lt;=eco,alpha*fck*(1-(1-AL619/eco)^n),alpha*fck),0)</f>
      </c>
      <c r="AN619" s="30">
        <f>PM_Angle!$J$22+PM_Angle!$K$22*$C619+PM_Angle!$L$22*$B619</f>
      </c>
      <c r="AO619" s="12">
        <f>IF(AN619&gt;0,IF(AN619&lt;=eco,alpha*fck*(1-(1-AN619/eco)^n),alpha*fck),0)</f>
      </c>
      <c r="AP619" s="30">
        <f>PM_Angle!$J$23+PM_Angle!$K$23*$C619+PM_Angle!$L$23*$B619</f>
      </c>
      <c r="AQ619" s="12">
        <f>IF(AP619&gt;0,IF(AP619&lt;=eco,alpha*fck*(1-(1-AP619/eco)^n),alpha*fck),0)</f>
      </c>
      <c r="AR619" s="30">
        <f>PM_Angle!$J$24+PM_Angle!$K$24*$C619+PM_Angle!$L$24*$B619</f>
      </c>
      <c r="AS619" s="12">
        <f>IF(AR619&gt;0,IF(AR619&lt;=eco,alpha*fck*(1-(1-AR619/eco)^n),alpha*fck),0)</f>
      </c>
      <c r="AT619" s="30">
        <f>PM_Angle!$J$25+PM_Angle!$K$25*$C619+PM_Angle!$L$25*$B619</f>
      </c>
      <c r="AU619" s="12">
        <f>IF(AT619&gt;0,IF(AT619&lt;=eco,alpha*fck*(1-(1-AT619/eco)^n),alpha*fck),0)</f>
      </c>
    </row>
    <row r="620" spans="1:47" x14ac:dyDescent="0.25">
      <c r="A620">
        <f>Mesh!A617</f>
      </c>
      <c r="B620" s="12">
        <f>Mesh!B617</f>
      </c>
      <c r="C620" s="12">
        <f>Mesh!C617</f>
      </c>
      <c r="D620" s="12">
        <f>Mesh!D617</f>
      </c>
      <c r="E620" s="30">
        <f>INDEX(St_e0,Det+1)+INDEX(St_kx,Det+1)*C620+INDEX(St_ky,Det+1)*B620</f>
      </c>
      <c r="F620" s="12">
        <f>IF(E620&gt;0,IF(E620&lt;=eco,alpha*fck*(1-(1-E620/eco)^n),alpha*fck),0)</f>
      </c>
      <c r="G620" s="11">
        <f>F620*D620</f>
      </c>
      <c r="H620" s="11">
        <f>G620*C620</f>
      </c>
      <c r="I620" s="11">
        <f>G620*B620</f>
      </c>
      <c r="J620" s="30">
        <f>PM_Angle!$J$7+PM_Angle!$K$7*$C620+PM_Angle!$L$7*$B620</f>
      </c>
      <c r="K620" s="12">
        <f>IF(J620&gt;0,IF(J620&lt;=eco,alpha*fck*(1-(1-J620/eco)^n),alpha*fck),0)</f>
      </c>
      <c r="L620" s="30">
        <f>PM_Angle!$J$8+PM_Angle!$K$8*$C620+PM_Angle!$L$8*$B620</f>
      </c>
      <c r="M620" s="12">
        <f>IF(L620&gt;0,IF(L620&lt;=eco,alpha*fck*(1-(1-L620/eco)^n),alpha*fck),0)</f>
      </c>
      <c r="N620" s="30">
        <f>PM_Angle!$J$9+PM_Angle!$K$9*$C620+PM_Angle!$L$9*$B620</f>
      </c>
      <c r="O620" s="12">
        <f>IF(N620&gt;0,IF(N620&lt;=eco,alpha*fck*(1-(1-N620/eco)^n),alpha*fck),0)</f>
      </c>
      <c r="P620" s="30">
        <f>PM_Angle!$J$10+PM_Angle!$K$10*$C620+PM_Angle!$L$10*$B620</f>
      </c>
      <c r="Q620" s="12">
        <f>IF(P620&gt;0,IF(P620&lt;=eco,alpha*fck*(1-(1-P620/eco)^n),alpha*fck),0)</f>
      </c>
      <c r="R620" s="30">
        <f>PM_Angle!$J$11+PM_Angle!$K$11*$C620+PM_Angle!$L$11*$B620</f>
      </c>
      <c r="S620" s="12">
        <f>IF(R620&gt;0,IF(R620&lt;=eco,alpha*fck*(1-(1-R620/eco)^n),alpha*fck),0)</f>
      </c>
      <c r="T620" s="30">
        <f>PM_Angle!$J$12+PM_Angle!$K$12*$C620+PM_Angle!$L$12*$B620</f>
      </c>
      <c r="U620" s="12">
        <f>IF(T620&gt;0,IF(T620&lt;=eco,alpha*fck*(1-(1-T620/eco)^n),alpha*fck),0)</f>
      </c>
      <c r="V620" s="30">
        <f>PM_Angle!$J$13+PM_Angle!$K$13*$C620+PM_Angle!$L$13*$B620</f>
      </c>
      <c r="W620" s="12">
        <f>IF(V620&gt;0,IF(V620&lt;=eco,alpha*fck*(1-(1-V620/eco)^n),alpha*fck),0)</f>
      </c>
      <c r="X620" s="30">
        <f>PM_Angle!$J$14+PM_Angle!$K$14*$C620+PM_Angle!$L$14*$B620</f>
      </c>
      <c r="Y620" s="12">
        <f>IF(X620&gt;0,IF(X620&lt;=eco,alpha*fck*(1-(1-X620/eco)^n),alpha*fck),0)</f>
      </c>
      <c r="Z620" s="30">
        <f>PM_Angle!$J$15+PM_Angle!$K$15*$C620+PM_Angle!$L$15*$B620</f>
      </c>
      <c r="AA620" s="12">
        <f>IF(Z620&gt;0,IF(Z620&lt;=eco,alpha*fck*(1-(1-Z620/eco)^n),alpha*fck),0)</f>
      </c>
      <c r="AB620" s="30">
        <f>PM_Angle!$J$16+PM_Angle!$K$16*$C620+PM_Angle!$L$16*$B620</f>
      </c>
      <c r="AC620" s="12">
        <f>IF(AB620&gt;0,IF(AB620&lt;=eco,alpha*fck*(1-(1-AB620/eco)^n),alpha*fck),0)</f>
      </c>
      <c r="AD620" s="30">
        <f>PM_Angle!$J$17+PM_Angle!$K$17*$C620+PM_Angle!$L$17*$B620</f>
      </c>
      <c r="AE620" s="12">
        <f>IF(AD620&gt;0,IF(AD620&lt;=eco,alpha*fck*(1-(1-AD620/eco)^n),alpha*fck),0)</f>
      </c>
      <c r="AF620" s="30">
        <f>PM_Angle!$J$18+PM_Angle!$K$18*$C620+PM_Angle!$L$18*$B620</f>
      </c>
      <c r="AG620" s="12">
        <f>IF(AF620&gt;0,IF(AF620&lt;=eco,alpha*fck*(1-(1-AF620/eco)^n),alpha*fck),0)</f>
      </c>
      <c r="AH620" s="30">
        <f>PM_Angle!$J$19+PM_Angle!$K$19*$C620+PM_Angle!$L$19*$B620</f>
      </c>
      <c r="AI620" s="12">
        <f>IF(AH620&gt;0,IF(AH620&lt;=eco,alpha*fck*(1-(1-AH620/eco)^n),alpha*fck),0)</f>
      </c>
      <c r="AJ620" s="30">
        <f>PM_Angle!$J$20+PM_Angle!$K$20*$C620+PM_Angle!$L$20*$B620</f>
      </c>
      <c r="AK620" s="12">
        <f>IF(AJ620&gt;0,IF(AJ620&lt;=eco,alpha*fck*(1-(1-AJ620/eco)^n),alpha*fck),0)</f>
      </c>
      <c r="AL620" s="30">
        <f>PM_Angle!$J$21+PM_Angle!$K$21*$C620+PM_Angle!$L$21*$B620</f>
      </c>
      <c r="AM620" s="12">
        <f>IF(AL620&gt;0,IF(AL620&lt;=eco,alpha*fck*(1-(1-AL620/eco)^n),alpha*fck),0)</f>
      </c>
      <c r="AN620" s="30">
        <f>PM_Angle!$J$22+PM_Angle!$K$22*$C620+PM_Angle!$L$22*$B620</f>
      </c>
      <c r="AO620" s="12">
        <f>IF(AN620&gt;0,IF(AN620&lt;=eco,alpha*fck*(1-(1-AN620/eco)^n),alpha*fck),0)</f>
      </c>
      <c r="AP620" s="30">
        <f>PM_Angle!$J$23+PM_Angle!$K$23*$C620+PM_Angle!$L$23*$B620</f>
      </c>
      <c r="AQ620" s="12">
        <f>IF(AP620&gt;0,IF(AP620&lt;=eco,alpha*fck*(1-(1-AP620/eco)^n),alpha*fck),0)</f>
      </c>
      <c r="AR620" s="30">
        <f>PM_Angle!$J$24+PM_Angle!$K$24*$C620+PM_Angle!$L$24*$B620</f>
      </c>
      <c r="AS620" s="12">
        <f>IF(AR620&gt;0,IF(AR620&lt;=eco,alpha*fck*(1-(1-AR620/eco)^n),alpha*fck),0)</f>
      </c>
      <c r="AT620" s="30">
        <f>PM_Angle!$J$25+PM_Angle!$K$25*$C620+PM_Angle!$L$25*$B620</f>
      </c>
      <c r="AU620" s="12">
        <f>IF(AT620&gt;0,IF(AT620&lt;=eco,alpha*fck*(1-(1-AT620/eco)^n),alpha*fck),0)</f>
      </c>
    </row>
    <row r="621" spans="1:47" x14ac:dyDescent="0.25">
      <c r="A621">
        <f>Mesh!A618</f>
      </c>
      <c r="B621" s="12">
        <f>Mesh!B618</f>
      </c>
      <c r="C621" s="12">
        <f>Mesh!C618</f>
      </c>
      <c r="D621" s="12">
        <f>Mesh!D618</f>
      </c>
      <c r="E621" s="30">
        <f>INDEX(St_e0,Det+1)+INDEX(St_kx,Det+1)*C621+INDEX(St_ky,Det+1)*B621</f>
      </c>
      <c r="F621" s="12">
        <f>IF(E621&gt;0,IF(E621&lt;=eco,alpha*fck*(1-(1-E621/eco)^n),alpha*fck),0)</f>
      </c>
      <c r="G621" s="11">
        <f>F621*D621</f>
      </c>
      <c r="H621" s="11">
        <f>G621*C621</f>
      </c>
      <c r="I621" s="11">
        <f>G621*B621</f>
      </c>
      <c r="J621" s="30">
        <f>PM_Angle!$J$7+PM_Angle!$K$7*$C621+PM_Angle!$L$7*$B621</f>
      </c>
      <c r="K621" s="12">
        <f>IF(J621&gt;0,IF(J621&lt;=eco,alpha*fck*(1-(1-J621/eco)^n),alpha*fck),0)</f>
      </c>
      <c r="L621" s="30">
        <f>PM_Angle!$J$8+PM_Angle!$K$8*$C621+PM_Angle!$L$8*$B621</f>
      </c>
      <c r="M621" s="12">
        <f>IF(L621&gt;0,IF(L621&lt;=eco,alpha*fck*(1-(1-L621/eco)^n),alpha*fck),0)</f>
      </c>
      <c r="N621" s="30">
        <f>PM_Angle!$J$9+PM_Angle!$K$9*$C621+PM_Angle!$L$9*$B621</f>
      </c>
      <c r="O621" s="12">
        <f>IF(N621&gt;0,IF(N621&lt;=eco,alpha*fck*(1-(1-N621/eco)^n),alpha*fck),0)</f>
      </c>
      <c r="P621" s="30">
        <f>PM_Angle!$J$10+PM_Angle!$K$10*$C621+PM_Angle!$L$10*$B621</f>
      </c>
      <c r="Q621" s="12">
        <f>IF(P621&gt;0,IF(P621&lt;=eco,alpha*fck*(1-(1-P621/eco)^n),alpha*fck),0)</f>
      </c>
      <c r="R621" s="30">
        <f>PM_Angle!$J$11+PM_Angle!$K$11*$C621+PM_Angle!$L$11*$B621</f>
      </c>
      <c r="S621" s="12">
        <f>IF(R621&gt;0,IF(R621&lt;=eco,alpha*fck*(1-(1-R621/eco)^n),alpha*fck),0)</f>
      </c>
      <c r="T621" s="30">
        <f>PM_Angle!$J$12+PM_Angle!$K$12*$C621+PM_Angle!$L$12*$B621</f>
      </c>
      <c r="U621" s="12">
        <f>IF(T621&gt;0,IF(T621&lt;=eco,alpha*fck*(1-(1-T621/eco)^n),alpha*fck),0)</f>
      </c>
      <c r="V621" s="30">
        <f>PM_Angle!$J$13+PM_Angle!$K$13*$C621+PM_Angle!$L$13*$B621</f>
      </c>
      <c r="W621" s="12">
        <f>IF(V621&gt;0,IF(V621&lt;=eco,alpha*fck*(1-(1-V621/eco)^n),alpha*fck),0)</f>
      </c>
      <c r="X621" s="30">
        <f>PM_Angle!$J$14+PM_Angle!$K$14*$C621+PM_Angle!$L$14*$B621</f>
      </c>
      <c r="Y621" s="12">
        <f>IF(X621&gt;0,IF(X621&lt;=eco,alpha*fck*(1-(1-X621/eco)^n),alpha*fck),0)</f>
      </c>
      <c r="Z621" s="30">
        <f>PM_Angle!$J$15+PM_Angle!$K$15*$C621+PM_Angle!$L$15*$B621</f>
      </c>
      <c r="AA621" s="12">
        <f>IF(Z621&gt;0,IF(Z621&lt;=eco,alpha*fck*(1-(1-Z621/eco)^n),alpha*fck),0)</f>
      </c>
      <c r="AB621" s="30">
        <f>PM_Angle!$J$16+PM_Angle!$K$16*$C621+PM_Angle!$L$16*$B621</f>
      </c>
      <c r="AC621" s="12">
        <f>IF(AB621&gt;0,IF(AB621&lt;=eco,alpha*fck*(1-(1-AB621/eco)^n),alpha*fck),0)</f>
      </c>
      <c r="AD621" s="30">
        <f>PM_Angle!$J$17+PM_Angle!$K$17*$C621+PM_Angle!$L$17*$B621</f>
      </c>
      <c r="AE621" s="12">
        <f>IF(AD621&gt;0,IF(AD621&lt;=eco,alpha*fck*(1-(1-AD621/eco)^n),alpha*fck),0)</f>
      </c>
      <c r="AF621" s="30">
        <f>PM_Angle!$J$18+PM_Angle!$K$18*$C621+PM_Angle!$L$18*$B621</f>
      </c>
      <c r="AG621" s="12">
        <f>IF(AF621&gt;0,IF(AF621&lt;=eco,alpha*fck*(1-(1-AF621/eco)^n),alpha*fck),0)</f>
      </c>
      <c r="AH621" s="30">
        <f>PM_Angle!$J$19+PM_Angle!$K$19*$C621+PM_Angle!$L$19*$B621</f>
      </c>
      <c r="AI621" s="12">
        <f>IF(AH621&gt;0,IF(AH621&lt;=eco,alpha*fck*(1-(1-AH621/eco)^n),alpha*fck),0)</f>
      </c>
      <c r="AJ621" s="30">
        <f>PM_Angle!$J$20+PM_Angle!$K$20*$C621+PM_Angle!$L$20*$B621</f>
      </c>
      <c r="AK621" s="12">
        <f>IF(AJ621&gt;0,IF(AJ621&lt;=eco,alpha*fck*(1-(1-AJ621/eco)^n),alpha*fck),0)</f>
      </c>
      <c r="AL621" s="30">
        <f>PM_Angle!$J$21+PM_Angle!$K$21*$C621+PM_Angle!$L$21*$B621</f>
      </c>
      <c r="AM621" s="12">
        <f>IF(AL621&gt;0,IF(AL621&lt;=eco,alpha*fck*(1-(1-AL621/eco)^n),alpha*fck),0)</f>
      </c>
      <c r="AN621" s="30">
        <f>PM_Angle!$J$22+PM_Angle!$K$22*$C621+PM_Angle!$L$22*$B621</f>
      </c>
      <c r="AO621" s="12">
        <f>IF(AN621&gt;0,IF(AN621&lt;=eco,alpha*fck*(1-(1-AN621/eco)^n),alpha*fck),0)</f>
      </c>
      <c r="AP621" s="30">
        <f>PM_Angle!$J$23+PM_Angle!$K$23*$C621+PM_Angle!$L$23*$B621</f>
      </c>
      <c r="AQ621" s="12">
        <f>IF(AP621&gt;0,IF(AP621&lt;=eco,alpha*fck*(1-(1-AP621/eco)^n),alpha*fck),0)</f>
      </c>
      <c r="AR621" s="30">
        <f>PM_Angle!$J$24+PM_Angle!$K$24*$C621+PM_Angle!$L$24*$B621</f>
      </c>
      <c r="AS621" s="12">
        <f>IF(AR621&gt;0,IF(AR621&lt;=eco,alpha*fck*(1-(1-AR621/eco)^n),alpha*fck),0)</f>
      </c>
      <c r="AT621" s="30">
        <f>PM_Angle!$J$25+PM_Angle!$K$25*$C621+PM_Angle!$L$25*$B621</f>
      </c>
      <c r="AU621" s="12">
        <f>IF(AT621&gt;0,IF(AT621&lt;=eco,alpha*fck*(1-(1-AT621/eco)^n),alpha*fck),0)</f>
      </c>
    </row>
    <row r="622" spans="1:47" x14ac:dyDescent="0.25">
      <c r="A622">
        <f>Mesh!A619</f>
      </c>
      <c r="B622" s="12">
        <f>Mesh!B619</f>
      </c>
      <c r="C622" s="12">
        <f>Mesh!C619</f>
      </c>
      <c r="D622" s="12">
        <f>Mesh!D619</f>
      </c>
      <c r="E622" s="30">
        <f>INDEX(St_e0,Det+1)+INDEX(St_kx,Det+1)*C622+INDEX(St_ky,Det+1)*B622</f>
      </c>
      <c r="F622" s="12">
        <f>IF(E622&gt;0,IF(E622&lt;=eco,alpha*fck*(1-(1-E622/eco)^n),alpha*fck),0)</f>
      </c>
      <c r="G622" s="11">
        <f>F622*D622</f>
      </c>
      <c r="H622" s="11">
        <f>G622*C622</f>
      </c>
      <c r="I622" s="11">
        <f>G622*B622</f>
      </c>
      <c r="J622" s="30">
        <f>PM_Angle!$J$7+PM_Angle!$K$7*$C622+PM_Angle!$L$7*$B622</f>
      </c>
      <c r="K622" s="12">
        <f>IF(J622&gt;0,IF(J622&lt;=eco,alpha*fck*(1-(1-J622/eco)^n),alpha*fck),0)</f>
      </c>
      <c r="L622" s="30">
        <f>PM_Angle!$J$8+PM_Angle!$K$8*$C622+PM_Angle!$L$8*$B622</f>
      </c>
      <c r="M622" s="12">
        <f>IF(L622&gt;0,IF(L622&lt;=eco,alpha*fck*(1-(1-L622/eco)^n),alpha*fck),0)</f>
      </c>
      <c r="N622" s="30">
        <f>PM_Angle!$J$9+PM_Angle!$K$9*$C622+PM_Angle!$L$9*$B622</f>
      </c>
      <c r="O622" s="12">
        <f>IF(N622&gt;0,IF(N622&lt;=eco,alpha*fck*(1-(1-N622/eco)^n),alpha*fck),0)</f>
      </c>
      <c r="P622" s="30">
        <f>PM_Angle!$J$10+PM_Angle!$K$10*$C622+PM_Angle!$L$10*$B622</f>
      </c>
      <c r="Q622" s="12">
        <f>IF(P622&gt;0,IF(P622&lt;=eco,alpha*fck*(1-(1-P622/eco)^n),alpha*fck),0)</f>
      </c>
      <c r="R622" s="30">
        <f>PM_Angle!$J$11+PM_Angle!$K$11*$C622+PM_Angle!$L$11*$B622</f>
      </c>
      <c r="S622" s="12">
        <f>IF(R622&gt;0,IF(R622&lt;=eco,alpha*fck*(1-(1-R622/eco)^n),alpha*fck),0)</f>
      </c>
      <c r="T622" s="30">
        <f>PM_Angle!$J$12+PM_Angle!$K$12*$C622+PM_Angle!$L$12*$B622</f>
      </c>
      <c r="U622" s="12">
        <f>IF(T622&gt;0,IF(T622&lt;=eco,alpha*fck*(1-(1-T622/eco)^n),alpha*fck),0)</f>
      </c>
      <c r="V622" s="30">
        <f>PM_Angle!$J$13+PM_Angle!$K$13*$C622+PM_Angle!$L$13*$B622</f>
      </c>
      <c r="W622" s="12">
        <f>IF(V622&gt;0,IF(V622&lt;=eco,alpha*fck*(1-(1-V622/eco)^n),alpha*fck),0)</f>
      </c>
      <c r="X622" s="30">
        <f>PM_Angle!$J$14+PM_Angle!$K$14*$C622+PM_Angle!$L$14*$B622</f>
      </c>
      <c r="Y622" s="12">
        <f>IF(X622&gt;0,IF(X622&lt;=eco,alpha*fck*(1-(1-X622/eco)^n),alpha*fck),0)</f>
      </c>
      <c r="Z622" s="30">
        <f>PM_Angle!$J$15+PM_Angle!$K$15*$C622+PM_Angle!$L$15*$B622</f>
      </c>
      <c r="AA622" s="12">
        <f>IF(Z622&gt;0,IF(Z622&lt;=eco,alpha*fck*(1-(1-Z622/eco)^n),alpha*fck),0)</f>
      </c>
      <c r="AB622" s="30">
        <f>PM_Angle!$J$16+PM_Angle!$K$16*$C622+PM_Angle!$L$16*$B622</f>
      </c>
      <c r="AC622" s="12">
        <f>IF(AB622&gt;0,IF(AB622&lt;=eco,alpha*fck*(1-(1-AB622/eco)^n),alpha*fck),0)</f>
      </c>
      <c r="AD622" s="30">
        <f>PM_Angle!$J$17+PM_Angle!$K$17*$C622+PM_Angle!$L$17*$B622</f>
      </c>
      <c r="AE622" s="12">
        <f>IF(AD622&gt;0,IF(AD622&lt;=eco,alpha*fck*(1-(1-AD622/eco)^n),alpha*fck),0)</f>
      </c>
      <c r="AF622" s="30">
        <f>PM_Angle!$J$18+PM_Angle!$K$18*$C622+PM_Angle!$L$18*$B622</f>
      </c>
      <c r="AG622" s="12">
        <f>IF(AF622&gt;0,IF(AF622&lt;=eco,alpha*fck*(1-(1-AF622/eco)^n),alpha*fck),0)</f>
      </c>
      <c r="AH622" s="30">
        <f>PM_Angle!$J$19+PM_Angle!$K$19*$C622+PM_Angle!$L$19*$B622</f>
      </c>
      <c r="AI622" s="12">
        <f>IF(AH622&gt;0,IF(AH622&lt;=eco,alpha*fck*(1-(1-AH622/eco)^n),alpha*fck),0)</f>
      </c>
      <c r="AJ622" s="30">
        <f>PM_Angle!$J$20+PM_Angle!$K$20*$C622+PM_Angle!$L$20*$B622</f>
      </c>
      <c r="AK622" s="12">
        <f>IF(AJ622&gt;0,IF(AJ622&lt;=eco,alpha*fck*(1-(1-AJ622/eco)^n),alpha*fck),0)</f>
      </c>
      <c r="AL622" s="30">
        <f>PM_Angle!$J$21+PM_Angle!$K$21*$C622+PM_Angle!$L$21*$B622</f>
      </c>
      <c r="AM622" s="12">
        <f>IF(AL622&gt;0,IF(AL622&lt;=eco,alpha*fck*(1-(1-AL622/eco)^n),alpha*fck),0)</f>
      </c>
      <c r="AN622" s="30">
        <f>PM_Angle!$J$22+PM_Angle!$K$22*$C622+PM_Angle!$L$22*$B622</f>
      </c>
      <c r="AO622" s="12">
        <f>IF(AN622&gt;0,IF(AN622&lt;=eco,alpha*fck*(1-(1-AN622/eco)^n),alpha*fck),0)</f>
      </c>
      <c r="AP622" s="30">
        <f>PM_Angle!$J$23+PM_Angle!$K$23*$C622+PM_Angle!$L$23*$B622</f>
      </c>
      <c r="AQ622" s="12">
        <f>IF(AP622&gt;0,IF(AP622&lt;=eco,alpha*fck*(1-(1-AP622/eco)^n),alpha*fck),0)</f>
      </c>
      <c r="AR622" s="30">
        <f>PM_Angle!$J$24+PM_Angle!$K$24*$C622+PM_Angle!$L$24*$B622</f>
      </c>
      <c r="AS622" s="12">
        <f>IF(AR622&gt;0,IF(AR622&lt;=eco,alpha*fck*(1-(1-AR622/eco)^n),alpha*fck),0)</f>
      </c>
      <c r="AT622" s="30">
        <f>PM_Angle!$J$25+PM_Angle!$K$25*$C622+PM_Angle!$L$25*$B622</f>
      </c>
      <c r="AU622" s="12">
        <f>IF(AT622&gt;0,IF(AT622&lt;=eco,alpha*fck*(1-(1-AT622/eco)^n),alpha*fck),0)</f>
      </c>
    </row>
    <row r="623" spans="1:47" x14ac:dyDescent="0.25">
      <c r="A623">
        <f>Mesh!A620</f>
      </c>
      <c r="B623" s="12">
        <f>Mesh!B620</f>
      </c>
      <c r="C623" s="12">
        <f>Mesh!C620</f>
      </c>
      <c r="D623" s="12">
        <f>Mesh!D620</f>
      </c>
      <c r="E623" s="30">
        <f>INDEX(St_e0,Det+1)+INDEX(St_kx,Det+1)*C623+INDEX(St_ky,Det+1)*B623</f>
      </c>
      <c r="F623" s="12">
        <f>IF(E623&gt;0,IF(E623&lt;=eco,alpha*fck*(1-(1-E623/eco)^n),alpha*fck),0)</f>
      </c>
      <c r="G623" s="11">
        <f>F623*D623</f>
      </c>
      <c r="H623" s="11">
        <f>G623*C623</f>
      </c>
      <c r="I623" s="11">
        <f>G623*B623</f>
      </c>
      <c r="J623" s="30">
        <f>PM_Angle!$J$7+PM_Angle!$K$7*$C623+PM_Angle!$L$7*$B623</f>
      </c>
      <c r="K623" s="12">
        <f>IF(J623&gt;0,IF(J623&lt;=eco,alpha*fck*(1-(1-J623/eco)^n),alpha*fck),0)</f>
      </c>
      <c r="L623" s="30">
        <f>PM_Angle!$J$8+PM_Angle!$K$8*$C623+PM_Angle!$L$8*$B623</f>
      </c>
      <c r="M623" s="12">
        <f>IF(L623&gt;0,IF(L623&lt;=eco,alpha*fck*(1-(1-L623/eco)^n),alpha*fck),0)</f>
      </c>
      <c r="N623" s="30">
        <f>PM_Angle!$J$9+PM_Angle!$K$9*$C623+PM_Angle!$L$9*$B623</f>
      </c>
      <c r="O623" s="12">
        <f>IF(N623&gt;0,IF(N623&lt;=eco,alpha*fck*(1-(1-N623/eco)^n),alpha*fck),0)</f>
      </c>
      <c r="P623" s="30">
        <f>PM_Angle!$J$10+PM_Angle!$K$10*$C623+PM_Angle!$L$10*$B623</f>
      </c>
      <c r="Q623" s="12">
        <f>IF(P623&gt;0,IF(P623&lt;=eco,alpha*fck*(1-(1-P623/eco)^n),alpha*fck),0)</f>
      </c>
      <c r="R623" s="30">
        <f>PM_Angle!$J$11+PM_Angle!$K$11*$C623+PM_Angle!$L$11*$B623</f>
      </c>
      <c r="S623" s="12">
        <f>IF(R623&gt;0,IF(R623&lt;=eco,alpha*fck*(1-(1-R623/eco)^n),alpha*fck),0)</f>
      </c>
      <c r="T623" s="30">
        <f>PM_Angle!$J$12+PM_Angle!$K$12*$C623+PM_Angle!$L$12*$B623</f>
      </c>
      <c r="U623" s="12">
        <f>IF(T623&gt;0,IF(T623&lt;=eco,alpha*fck*(1-(1-T623/eco)^n),alpha*fck),0)</f>
      </c>
      <c r="V623" s="30">
        <f>PM_Angle!$J$13+PM_Angle!$K$13*$C623+PM_Angle!$L$13*$B623</f>
      </c>
      <c r="W623" s="12">
        <f>IF(V623&gt;0,IF(V623&lt;=eco,alpha*fck*(1-(1-V623/eco)^n),alpha*fck),0)</f>
      </c>
      <c r="X623" s="30">
        <f>PM_Angle!$J$14+PM_Angle!$K$14*$C623+PM_Angle!$L$14*$B623</f>
      </c>
      <c r="Y623" s="12">
        <f>IF(X623&gt;0,IF(X623&lt;=eco,alpha*fck*(1-(1-X623/eco)^n),alpha*fck),0)</f>
      </c>
      <c r="Z623" s="30">
        <f>PM_Angle!$J$15+PM_Angle!$K$15*$C623+PM_Angle!$L$15*$B623</f>
      </c>
      <c r="AA623" s="12">
        <f>IF(Z623&gt;0,IF(Z623&lt;=eco,alpha*fck*(1-(1-Z623/eco)^n),alpha*fck),0)</f>
      </c>
      <c r="AB623" s="30">
        <f>PM_Angle!$J$16+PM_Angle!$K$16*$C623+PM_Angle!$L$16*$B623</f>
      </c>
      <c r="AC623" s="12">
        <f>IF(AB623&gt;0,IF(AB623&lt;=eco,alpha*fck*(1-(1-AB623/eco)^n),alpha*fck),0)</f>
      </c>
      <c r="AD623" s="30">
        <f>PM_Angle!$J$17+PM_Angle!$K$17*$C623+PM_Angle!$L$17*$B623</f>
      </c>
      <c r="AE623" s="12">
        <f>IF(AD623&gt;0,IF(AD623&lt;=eco,alpha*fck*(1-(1-AD623/eco)^n),alpha*fck),0)</f>
      </c>
      <c r="AF623" s="30">
        <f>PM_Angle!$J$18+PM_Angle!$K$18*$C623+PM_Angle!$L$18*$B623</f>
      </c>
      <c r="AG623" s="12">
        <f>IF(AF623&gt;0,IF(AF623&lt;=eco,alpha*fck*(1-(1-AF623/eco)^n),alpha*fck),0)</f>
      </c>
      <c r="AH623" s="30">
        <f>PM_Angle!$J$19+PM_Angle!$K$19*$C623+PM_Angle!$L$19*$B623</f>
      </c>
      <c r="AI623" s="12">
        <f>IF(AH623&gt;0,IF(AH623&lt;=eco,alpha*fck*(1-(1-AH623/eco)^n),alpha*fck),0)</f>
      </c>
      <c r="AJ623" s="30">
        <f>PM_Angle!$J$20+PM_Angle!$K$20*$C623+PM_Angle!$L$20*$B623</f>
      </c>
      <c r="AK623" s="12">
        <f>IF(AJ623&gt;0,IF(AJ623&lt;=eco,alpha*fck*(1-(1-AJ623/eco)^n),alpha*fck),0)</f>
      </c>
      <c r="AL623" s="30">
        <f>PM_Angle!$J$21+PM_Angle!$K$21*$C623+PM_Angle!$L$21*$B623</f>
      </c>
      <c r="AM623" s="12">
        <f>IF(AL623&gt;0,IF(AL623&lt;=eco,alpha*fck*(1-(1-AL623/eco)^n),alpha*fck),0)</f>
      </c>
      <c r="AN623" s="30">
        <f>PM_Angle!$J$22+PM_Angle!$K$22*$C623+PM_Angle!$L$22*$B623</f>
      </c>
      <c r="AO623" s="12">
        <f>IF(AN623&gt;0,IF(AN623&lt;=eco,alpha*fck*(1-(1-AN623/eco)^n),alpha*fck),0)</f>
      </c>
      <c r="AP623" s="30">
        <f>PM_Angle!$J$23+PM_Angle!$K$23*$C623+PM_Angle!$L$23*$B623</f>
      </c>
      <c r="AQ623" s="12">
        <f>IF(AP623&gt;0,IF(AP623&lt;=eco,alpha*fck*(1-(1-AP623/eco)^n),alpha*fck),0)</f>
      </c>
      <c r="AR623" s="30">
        <f>PM_Angle!$J$24+PM_Angle!$K$24*$C623+PM_Angle!$L$24*$B623</f>
      </c>
      <c r="AS623" s="12">
        <f>IF(AR623&gt;0,IF(AR623&lt;=eco,alpha*fck*(1-(1-AR623/eco)^n),alpha*fck),0)</f>
      </c>
      <c r="AT623" s="30">
        <f>PM_Angle!$J$25+PM_Angle!$K$25*$C623+PM_Angle!$L$25*$B623</f>
      </c>
      <c r="AU623" s="12">
        <f>IF(AT623&gt;0,IF(AT623&lt;=eco,alpha*fck*(1-(1-AT623/eco)^n),alpha*fck),0)</f>
      </c>
    </row>
    <row r="624" spans="1:47" x14ac:dyDescent="0.25">
      <c r="A624">
        <f>Mesh!A621</f>
      </c>
      <c r="B624" s="12">
        <f>Mesh!B621</f>
      </c>
      <c r="C624" s="12">
        <f>Mesh!C621</f>
      </c>
      <c r="D624" s="12">
        <f>Mesh!D621</f>
      </c>
      <c r="E624" s="30">
        <f>INDEX(St_e0,Det+1)+INDEX(St_kx,Det+1)*C624+INDEX(St_ky,Det+1)*B624</f>
      </c>
      <c r="F624" s="12">
        <f>IF(E624&gt;0,IF(E624&lt;=eco,alpha*fck*(1-(1-E624/eco)^n),alpha*fck),0)</f>
      </c>
      <c r="G624" s="11">
        <f>F624*D624</f>
      </c>
      <c r="H624" s="11">
        <f>G624*C624</f>
      </c>
      <c r="I624" s="11">
        <f>G624*B624</f>
      </c>
      <c r="J624" s="30">
        <f>PM_Angle!$J$7+PM_Angle!$K$7*$C624+PM_Angle!$L$7*$B624</f>
      </c>
      <c r="K624" s="12">
        <f>IF(J624&gt;0,IF(J624&lt;=eco,alpha*fck*(1-(1-J624/eco)^n),alpha*fck),0)</f>
      </c>
      <c r="L624" s="30">
        <f>PM_Angle!$J$8+PM_Angle!$K$8*$C624+PM_Angle!$L$8*$B624</f>
      </c>
      <c r="M624" s="12">
        <f>IF(L624&gt;0,IF(L624&lt;=eco,alpha*fck*(1-(1-L624/eco)^n),alpha*fck),0)</f>
      </c>
      <c r="N624" s="30">
        <f>PM_Angle!$J$9+PM_Angle!$K$9*$C624+PM_Angle!$L$9*$B624</f>
      </c>
      <c r="O624" s="12">
        <f>IF(N624&gt;0,IF(N624&lt;=eco,alpha*fck*(1-(1-N624/eco)^n),alpha*fck),0)</f>
      </c>
      <c r="P624" s="30">
        <f>PM_Angle!$J$10+PM_Angle!$K$10*$C624+PM_Angle!$L$10*$B624</f>
      </c>
      <c r="Q624" s="12">
        <f>IF(P624&gt;0,IF(P624&lt;=eco,alpha*fck*(1-(1-P624/eco)^n),alpha*fck),0)</f>
      </c>
      <c r="R624" s="30">
        <f>PM_Angle!$J$11+PM_Angle!$K$11*$C624+PM_Angle!$L$11*$B624</f>
      </c>
      <c r="S624" s="12">
        <f>IF(R624&gt;0,IF(R624&lt;=eco,alpha*fck*(1-(1-R624/eco)^n),alpha*fck),0)</f>
      </c>
      <c r="T624" s="30">
        <f>PM_Angle!$J$12+PM_Angle!$K$12*$C624+PM_Angle!$L$12*$B624</f>
      </c>
      <c r="U624" s="12">
        <f>IF(T624&gt;0,IF(T624&lt;=eco,alpha*fck*(1-(1-T624/eco)^n),alpha*fck),0)</f>
      </c>
      <c r="V624" s="30">
        <f>PM_Angle!$J$13+PM_Angle!$K$13*$C624+PM_Angle!$L$13*$B624</f>
      </c>
      <c r="W624" s="12">
        <f>IF(V624&gt;0,IF(V624&lt;=eco,alpha*fck*(1-(1-V624/eco)^n),alpha*fck),0)</f>
      </c>
      <c r="X624" s="30">
        <f>PM_Angle!$J$14+PM_Angle!$K$14*$C624+PM_Angle!$L$14*$B624</f>
      </c>
      <c r="Y624" s="12">
        <f>IF(X624&gt;0,IF(X624&lt;=eco,alpha*fck*(1-(1-X624/eco)^n),alpha*fck),0)</f>
      </c>
      <c r="Z624" s="30">
        <f>PM_Angle!$J$15+PM_Angle!$K$15*$C624+PM_Angle!$L$15*$B624</f>
      </c>
      <c r="AA624" s="12">
        <f>IF(Z624&gt;0,IF(Z624&lt;=eco,alpha*fck*(1-(1-Z624/eco)^n),alpha*fck),0)</f>
      </c>
      <c r="AB624" s="30">
        <f>PM_Angle!$J$16+PM_Angle!$K$16*$C624+PM_Angle!$L$16*$B624</f>
      </c>
      <c r="AC624" s="12">
        <f>IF(AB624&gt;0,IF(AB624&lt;=eco,alpha*fck*(1-(1-AB624/eco)^n),alpha*fck),0)</f>
      </c>
      <c r="AD624" s="30">
        <f>PM_Angle!$J$17+PM_Angle!$K$17*$C624+PM_Angle!$L$17*$B624</f>
      </c>
      <c r="AE624" s="12">
        <f>IF(AD624&gt;0,IF(AD624&lt;=eco,alpha*fck*(1-(1-AD624/eco)^n),alpha*fck),0)</f>
      </c>
      <c r="AF624" s="30">
        <f>PM_Angle!$J$18+PM_Angle!$K$18*$C624+PM_Angle!$L$18*$B624</f>
      </c>
      <c r="AG624" s="12">
        <f>IF(AF624&gt;0,IF(AF624&lt;=eco,alpha*fck*(1-(1-AF624/eco)^n),alpha*fck),0)</f>
      </c>
      <c r="AH624" s="30">
        <f>PM_Angle!$J$19+PM_Angle!$K$19*$C624+PM_Angle!$L$19*$B624</f>
      </c>
      <c r="AI624" s="12">
        <f>IF(AH624&gt;0,IF(AH624&lt;=eco,alpha*fck*(1-(1-AH624/eco)^n),alpha*fck),0)</f>
      </c>
      <c r="AJ624" s="30">
        <f>PM_Angle!$J$20+PM_Angle!$K$20*$C624+PM_Angle!$L$20*$B624</f>
      </c>
      <c r="AK624" s="12">
        <f>IF(AJ624&gt;0,IF(AJ624&lt;=eco,alpha*fck*(1-(1-AJ624/eco)^n),alpha*fck),0)</f>
      </c>
      <c r="AL624" s="30">
        <f>PM_Angle!$J$21+PM_Angle!$K$21*$C624+PM_Angle!$L$21*$B624</f>
      </c>
      <c r="AM624" s="12">
        <f>IF(AL624&gt;0,IF(AL624&lt;=eco,alpha*fck*(1-(1-AL624/eco)^n),alpha*fck),0)</f>
      </c>
      <c r="AN624" s="30">
        <f>PM_Angle!$J$22+PM_Angle!$K$22*$C624+PM_Angle!$L$22*$B624</f>
      </c>
      <c r="AO624" s="12">
        <f>IF(AN624&gt;0,IF(AN624&lt;=eco,alpha*fck*(1-(1-AN624/eco)^n),alpha*fck),0)</f>
      </c>
      <c r="AP624" s="30">
        <f>PM_Angle!$J$23+PM_Angle!$K$23*$C624+PM_Angle!$L$23*$B624</f>
      </c>
      <c r="AQ624" s="12">
        <f>IF(AP624&gt;0,IF(AP624&lt;=eco,alpha*fck*(1-(1-AP624/eco)^n),alpha*fck),0)</f>
      </c>
      <c r="AR624" s="30">
        <f>PM_Angle!$J$24+PM_Angle!$K$24*$C624+PM_Angle!$L$24*$B624</f>
      </c>
      <c r="AS624" s="12">
        <f>IF(AR624&gt;0,IF(AR624&lt;=eco,alpha*fck*(1-(1-AR624/eco)^n),alpha*fck),0)</f>
      </c>
      <c r="AT624" s="30">
        <f>PM_Angle!$J$25+PM_Angle!$K$25*$C624+PM_Angle!$L$25*$B624</f>
      </c>
      <c r="AU624" s="12">
        <f>IF(AT624&gt;0,IF(AT624&lt;=eco,alpha*fck*(1-(1-AT624/eco)^n),alpha*fck),0)</f>
      </c>
    </row>
    <row r="625" spans="1:47" x14ac:dyDescent="0.25">
      <c r="A625">
        <f>Mesh!A622</f>
      </c>
      <c r="B625" s="12">
        <f>Mesh!B622</f>
      </c>
      <c r="C625" s="12">
        <f>Mesh!C622</f>
      </c>
      <c r="D625" s="12">
        <f>Mesh!D622</f>
      </c>
      <c r="E625" s="30">
        <f>INDEX(St_e0,Det+1)+INDEX(St_kx,Det+1)*C625+INDEX(St_ky,Det+1)*B625</f>
      </c>
      <c r="F625" s="12">
        <f>IF(E625&gt;0,IF(E625&lt;=eco,alpha*fck*(1-(1-E625/eco)^n),alpha*fck),0)</f>
      </c>
      <c r="G625" s="11">
        <f>F625*D625</f>
      </c>
      <c r="H625" s="11">
        <f>G625*C625</f>
      </c>
      <c r="I625" s="11">
        <f>G625*B625</f>
      </c>
      <c r="J625" s="30">
        <f>PM_Angle!$J$7+PM_Angle!$K$7*$C625+PM_Angle!$L$7*$B625</f>
      </c>
      <c r="K625" s="12">
        <f>IF(J625&gt;0,IF(J625&lt;=eco,alpha*fck*(1-(1-J625/eco)^n),alpha*fck),0)</f>
      </c>
      <c r="L625" s="30">
        <f>PM_Angle!$J$8+PM_Angle!$K$8*$C625+PM_Angle!$L$8*$B625</f>
      </c>
      <c r="M625" s="12">
        <f>IF(L625&gt;0,IF(L625&lt;=eco,alpha*fck*(1-(1-L625/eco)^n),alpha*fck),0)</f>
      </c>
      <c r="N625" s="30">
        <f>PM_Angle!$J$9+PM_Angle!$K$9*$C625+PM_Angle!$L$9*$B625</f>
      </c>
      <c r="O625" s="12">
        <f>IF(N625&gt;0,IF(N625&lt;=eco,alpha*fck*(1-(1-N625/eco)^n),alpha*fck),0)</f>
      </c>
      <c r="P625" s="30">
        <f>PM_Angle!$J$10+PM_Angle!$K$10*$C625+PM_Angle!$L$10*$B625</f>
      </c>
      <c r="Q625" s="12">
        <f>IF(P625&gt;0,IF(P625&lt;=eco,alpha*fck*(1-(1-P625/eco)^n),alpha*fck),0)</f>
      </c>
      <c r="R625" s="30">
        <f>PM_Angle!$J$11+PM_Angle!$K$11*$C625+PM_Angle!$L$11*$B625</f>
      </c>
      <c r="S625" s="12">
        <f>IF(R625&gt;0,IF(R625&lt;=eco,alpha*fck*(1-(1-R625/eco)^n),alpha*fck),0)</f>
      </c>
      <c r="T625" s="30">
        <f>PM_Angle!$J$12+PM_Angle!$K$12*$C625+PM_Angle!$L$12*$B625</f>
      </c>
      <c r="U625" s="12">
        <f>IF(T625&gt;0,IF(T625&lt;=eco,alpha*fck*(1-(1-T625/eco)^n),alpha*fck),0)</f>
      </c>
      <c r="V625" s="30">
        <f>PM_Angle!$J$13+PM_Angle!$K$13*$C625+PM_Angle!$L$13*$B625</f>
      </c>
      <c r="W625" s="12">
        <f>IF(V625&gt;0,IF(V625&lt;=eco,alpha*fck*(1-(1-V625/eco)^n),alpha*fck),0)</f>
      </c>
      <c r="X625" s="30">
        <f>PM_Angle!$J$14+PM_Angle!$K$14*$C625+PM_Angle!$L$14*$B625</f>
      </c>
      <c r="Y625" s="12">
        <f>IF(X625&gt;0,IF(X625&lt;=eco,alpha*fck*(1-(1-X625/eco)^n),alpha*fck),0)</f>
      </c>
      <c r="Z625" s="30">
        <f>PM_Angle!$J$15+PM_Angle!$K$15*$C625+PM_Angle!$L$15*$B625</f>
      </c>
      <c r="AA625" s="12">
        <f>IF(Z625&gt;0,IF(Z625&lt;=eco,alpha*fck*(1-(1-Z625/eco)^n),alpha*fck),0)</f>
      </c>
      <c r="AB625" s="30">
        <f>PM_Angle!$J$16+PM_Angle!$K$16*$C625+PM_Angle!$L$16*$B625</f>
      </c>
      <c r="AC625" s="12">
        <f>IF(AB625&gt;0,IF(AB625&lt;=eco,alpha*fck*(1-(1-AB625/eco)^n),alpha*fck),0)</f>
      </c>
      <c r="AD625" s="30">
        <f>PM_Angle!$J$17+PM_Angle!$K$17*$C625+PM_Angle!$L$17*$B625</f>
      </c>
      <c r="AE625" s="12">
        <f>IF(AD625&gt;0,IF(AD625&lt;=eco,alpha*fck*(1-(1-AD625/eco)^n),alpha*fck),0)</f>
      </c>
      <c r="AF625" s="30">
        <f>PM_Angle!$J$18+PM_Angle!$K$18*$C625+PM_Angle!$L$18*$B625</f>
      </c>
      <c r="AG625" s="12">
        <f>IF(AF625&gt;0,IF(AF625&lt;=eco,alpha*fck*(1-(1-AF625/eco)^n),alpha*fck),0)</f>
      </c>
      <c r="AH625" s="30">
        <f>PM_Angle!$J$19+PM_Angle!$K$19*$C625+PM_Angle!$L$19*$B625</f>
      </c>
      <c r="AI625" s="12">
        <f>IF(AH625&gt;0,IF(AH625&lt;=eco,alpha*fck*(1-(1-AH625/eco)^n),alpha*fck),0)</f>
      </c>
      <c r="AJ625" s="30">
        <f>PM_Angle!$J$20+PM_Angle!$K$20*$C625+PM_Angle!$L$20*$B625</f>
      </c>
      <c r="AK625" s="12">
        <f>IF(AJ625&gt;0,IF(AJ625&lt;=eco,alpha*fck*(1-(1-AJ625/eco)^n),alpha*fck),0)</f>
      </c>
      <c r="AL625" s="30">
        <f>PM_Angle!$J$21+PM_Angle!$K$21*$C625+PM_Angle!$L$21*$B625</f>
      </c>
      <c r="AM625" s="12">
        <f>IF(AL625&gt;0,IF(AL625&lt;=eco,alpha*fck*(1-(1-AL625/eco)^n),alpha*fck),0)</f>
      </c>
      <c r="AN625" s="30">
        <f>PM_Angle!$J$22+PM_Angle!$K$22*$C625+PM_Angle!$L$22*$B625</f>
      </c>
      <c r="AO625" s="12">
        <f>IF(AN625&gt;0,IF(AN625&lt;=eco,alpha*fck*(1-(1-AN625/eco)^n),alpha*fck),0)</f>
      </c>
      <c r="AP625" s="30">
        <f>PM_Angle!$J$23+PM_Angle!$K$23*$C625+PM_Angle!$L$23*$B625</f>
      </c>
      <c r="AQ625" s="12">
        <f>IF(AP625&gt;0,IF(AP625&lt;=eco,alpha*fck*(1-(1-AP625/eco)^n),alpha*fck),0)</f>
      </c>
      <c r="AR625" s="30">
        <f>PM_Angle!$J$24+PM_Angle!$K$24*$C625+PM_Angle!$L$24*$B625</f>
      </c>
      <c r="AS625" s="12">
        <f>IF(AR625&gt;0,IF(AR625&lt;=eco,alpha*fck*(1-(1-AR625/eco)^n),alpha*fck),0)</f>
      </c>
      <c r="AT625" s="30">
        <f>PM_Angle!$J$25+PM_Angle!$K$25*$C625+PM_Angle!$L$25*$B625</f>
      </c>
      <c r="AU625" s="12">
        <f>IF(AT625&gt;0,IF(AT625&lt;=eco,alpha*fck*(1-(1-AT625/eco)^n),alpha*fck),0)</f>
      </c>
    </row>
    <row r="626" spans="1:47" x14ac:dyDescent="0.25">
      <c r="A626">
        <f>Mesh!A623</f>
      </c>
      <c r="B626" s="12">
        <f>Mesh!B623</f>
      </c>
      <c r="C626" s="12">
        <f>Mesh!C623</f>
      </c>
      <c r="D626" s="12">
        <f>Mesh!D623</f>
      </c>
      <c r="E626" s="30">
        <f>INDEX(St_e0,Det+1)+INDEX(St_kx,Det+1)*C626+INDEX(St_ky,Det+1)*B626</f>
      </c>
      <c r="F626" s="12">
        <f>IF(E626&gt;0,IF(E626&lt;=eco,alpha*fck*(1-(1-E626/eco)^n),alpha*fck),0)</f>
      </c>
      <c r="G626" s="11">
        <f>F626*D626</f>
      </c>
      <c r="H626" s="11">
        <f>G626*C626</f>
      </c>
      <c r="I626" s="11">
        <f>G626*B626</f>
      </c>
      <c r="J626" s="30">
        <f>PM_Angle!$J$7+PM_Angle!$K$7*$C626+PM_Angle!$L$7*$B626</f>
      </c>
      <c r="K626" s="12">
        <f>IF(J626&gt;0,IF(J626&lt;=eco,alpha*fck*(1-(1-J626/eco)^n),alpha*fck),0)</f>
      </c>
      <c r="L626" s="30">
        <f>PM_Angle!$J$8+PM_Angle!$K$8*$C626+PM_Angle!$L$8*$B626</f>
      </c>
      <c r="M626" s="12">
        <f>IF(L626&gt;0,IF(L626&lt;=eco,alpha*fck*(1-(1-L626/eco)^n),alpha*fck),0)</f>
      </c>
      <c r="N626" s="30">
        <f>PM_Angle!$J$9+PM_Angle!$K$9*$C626+PM_Angle!$L$9*$B626</f>
      </c>
      <c r="O626" s="12">
        <f>IF(N626&gt;0,IF(N626&lt;=eco,alpha*fck*(1-(1-N626/eco)^n),alpha*fck),0)</f>
      </c>
      <c r="P626" s="30">
        <f>PM_Angle!$J$10+PM_Angle!$K$10*$C626+PM_Angle!$L$10*$B626</f>
      </c>
      <c r="Q626" s="12">
        <f>IF(P626&gt;0,IF(P626&lt;=eco,alpha*fck*(1-(1-P626/eco)^n),alpha*fck),0)</f>
      </c>
      <c r="R626" s="30">
        <f>PM_Angle!$J$11+PM_Angle!$K$11*$C626+PM_Angle!$L$11*$B626</f>
      </c>
      <c r="S626" s="12">
        <f>IF(R626&gt;0,IF(R626&lt;=eco,alpha*fck*(1-(1-R626/eco)^n),alpha*fck),0)</f>
      </c>
      <c r="T626" s="30">
        <f>PM_Angle!$J$12+PM_Angle!$K$12*$C626+PM_Angle!$L$12*$B626</f>
      </c>
      <c r="U626" s="12">
        <f>IF(T626&gt;0,IF(T626&lt;=eco,alpha*fck*(1-(1-T626/eco)^n),alpha*fck),0)</f>
      </c>
      <c r="V626" s="30">
        <f>PM_Angle!$J$13+PM_Angle!$K$13*$C626+PM_Angle!$L$13*$B626</f>
      </c>
      <c r="W626" s="12">
        <f>IF(V626&gt;0,IF(V626&lt;=eco,alpha*fck*(1-(1-V626/eco)^n),alpha*fck),0)</f>
      </c>
      <c r="X626" s="30">
        <f>PM_Angle!$J$14+PM_Angle!$K$14*$C626+PM_Angle!$L$14*$B626</f>
      </c>
      <c r="Y626" s="12">
        <f>IF(X626&gt;0,IF(X626&lt;=eco,alpha*fck*(1-(1-X626/eco)^n),alpha*fck),0)</f>
      </c>
      <c r="Z626" s="30">
        <f>PM_Angle!$J$15+PM_Angle!$K$15*$C626+PM_Angle!$L$15*$B626</f>
      </c>
      <c r="AA626" s="12">
        <f>IF(Z626&gt;0,IF(Z626&lt;=eco,alpha*fck*(1-(1-Z626/eco)^n),alpha*fck),0)</f>
      </c>
      <c r="AB626" s="30">
        <f>PM_Angle!$J$16+PM_Angle!$K$16*$C626+PM_Angle!$L$16*$B626</f>
      </c>
      <c r="AC626" s="12">
        <f>IF(AB626&gt;0,IF(AB626&lt;=eco,alpha*fck*(1-(1-AB626/eco)^n),alpha*fck),0)</f>
      </c>
      <c r="AD626" s="30">
        <f>PM_Angle!$J$17+PM_Angle!$K$17*$C626+PM_Angle!$L$17*$B626</f>
      </c>
      <c r="AE626" s="12">
        <f>IF(AD626&gt;0,IF(AD626&lt;=eco,alpha*fck*(1-(1-AD626/eco)^n),alpha*fck),0)</f>
      </c>
      <c r="AF626" s="30">
        <f>PM_Angle!$J$18+PM_Angle!$K$18*$C626+PM_Angle!$L$18*$B626</f>
      </c>
      <c r="AG626" s="12">
        <f>IF(AF626&gt;0,IF(AF626&lt;=eco,alpha*fck*(1-(1-AF626/eco)^n),alpha*fck),0)</f>
      </c>
      <c r="AH626" s="30">
        <f>PM_Angle!$J$19+PM_Angle!$K$19*$C626+PM_Angle!$L$19*$B626</f>
      </c>
      <c r="AI626" s="12">
        <f>IF(AH626&gt;0,IF(AH626&lt;=eco,alpha*fck*(1-(1-AH626/eco)^n),alpha*fck),0)</f>
      </c>
      <c r="AJ626" s="30">
        <f>PM_Angle!$J$20+PM_Angle!$K$20*$C626+PM_Angle!$L$20*$B626</f>
      </c>
      <c r="AK626" s="12">
        <f>IF(AJ626&gt;0,IF(AJ626&lt;=eco,alpha*fck*(1-(1-AJ626/eco)^n),alpha*fck),0)</f>
      </c>
      <c r="AL626" s="30">
        <f>PM_Angle!$J$21+PM_Angle!$K$21*$C626+PM_Angle!$L$21*$B626</f>
      </c>
      <c r="AM626" s="12">
        <f>IF(AL626&gt;0,IF(AL626&lt;=eco,alpha*fck*(1-(1-AL626/eco)^n),alpha*fck),0)</f>
      </c>
      <c r="AN626" s="30">
        <f>PM_Angle!$J$22+PM_Angle!$K$22*$C626+PM_Angle!$L$22*$B626</f>
      </c>
      <c r="AO626" s="12">
        <f>IF(AN626&gt;0,IF(AN626&lt;=eco,alpha*fck*(1-(1-AN626/eco)^n),alpha*fck),0)</f>
      </c>
      <c r="AP626" s="30">
        <f>PM_Angle!$J$23+PM_Angle!$K$23*$C626+PM_Angle!$L$23*$B626</f>
      </c>
      <c r="AQ626" s="12">
        <f>IF(AP626&gt;0,IF(AP626&lt;=eco,alpha*fck*(1-(1-AP626/eco)^n),alpha*fck),0)</f>
      </c>
      <c r="AR626" s="30">
        <f>PM_Angle!$J$24+PM_Angle!$K$24*$C626+PM_Angle!$L$24*$B626</f>
      </c>
      <c r="AS626" s="12">
        <f>IF(AR626&gt;0,IF(AR626&lt;=eco,alpha*fck*(1-(1-AR626/eco)^n),alpha*fck),0)</f>
      </c>
      <c r="AT626" s="30">
        <f>PM_Angle!$J$25+PM_Angle!$K$25*$C626+PM_Angle!$L$25*$B626</f>
      </c>
      <c r="AU626" s="12">
        <f>IF(AT626&gt;0,IF(AT626&lt;=eco,alpha*fck*(1-(1-AT626/eco)^n),alpha*fck),0)</f>
      </c>
    </row>
    <row r="627" spans="1:47" x14ac:dyDescent="0.25">
      <c r="A627">
        <f>Mesh!A624</f>
      </c>
      <c r="B627" s="12">
        <f>Mesh!B624</f>
      </c>
      <c r="C627" s="12">
        <f>Mesh!C624</f>
      </c>
      <c r="D627" s="12">
        <f>Mesh!D624</f>
      </c>
      <c r="E627" s="30">
        <f>INDEX(St_e0,Det+1)+INDEX(St_kx,Det+1)*C627+INDEX(St_ky,Det+1)*B627</f>
      </c>
      <c r="F627" s="12">
        <f>IF(E627&gt;0,IF(E627&lt;=eco,alpha*fck*(1-(1-E627/eco)^n),alpha*fck),0)</f>
      </c>
      <c r="G627" s="11">
        <f>F627*D627</f>
      </c>
      <c r="H627" s="11">
        <f>G627*C627</f>
      </c>
      <c r="I627" s="11">
        <f>G627*B627</f>
      </c>
      <c r="J627" s="30">
        <f>PM_Angle!$J$7+PM_Angle!$K$7*$C627+PM_Angle!$L$7*$B627</f>
      </c>
      <c r="K627" s="12">
        <f>IF(J627&gt;0,IF(J627&lt;=eco,alpha*fck*(1-(1-J627/eco)^n),alpha*fck),0)</f>
      </c>
      <c r="L627" s="30">
        <f>PM_Angle!$J$8+PM_Angle!$K$8*$C627+PM_Angle!$L$8*$B627</f>
      </c>
      <c r="M627" s="12">
        <f>IF(L627&gt;0,IF(L627&lt;=eco,alpha*fck*(1-(1-L627/eco)^n),alpha*fck),0)</f>
      </c>
      <c r="N627" s="30">
        <f>PM_Angle!$J$9+PM_Angle!$K$9*$C627+PM_Angle!$L$9*$B627</f>
      </c>
      <c r="O627" s="12">
        <f>IF(N627&gt;0,IF(N627&lt;=eco,alpha*fck*(1-(1-N627/eco)^n),alpha*fck),0)</f>
      </c>
      <c r="P627" s="30">
        <f>PM_Angle!$J$10+PM_Angle!$K$10*$C627+PM_Angle!$L$10*$B627</f>
      </c>
      <c r="Q627" s="12">
        <f>IF(P627&gt;0,IF(P627&lt;=eco,alpha*fck*(1-(1-P627/eco)^n),alpha*fck),0)</f>
      </c>
      <c r="R627" s="30">
        <f>PM_Angle!$J$11+PM_Angle!$K$11*$C627+PM_Angle!$L$11*$B627</f>
      </c>
      <c r="S627" s="12">
        <f>IF(R627&gt;0,IF(R627&lt;=eco,alpha*fck*(1-(1-R627/eco)^n),alpha*fck),0)</f>
      </c>
      <c r="T627" s="30">
        <f>PM_Angle!$J$12+PM_Angle!$K$12*$C627+PM_Angle!$L$12*$B627</f>
      </c>
      <c r="U627" s="12">
        <f>IF(T627&gt;0,IF(T627&lt;=eco,alpha*fck*(1-(1-T627/eco)^n),alpha*fck),0)</f>
      </c>
      <c r="V627" s="30">
        <f>PM_Angle!$J$13+PM_Angle!$K$13*$C627+PM_Angle!$L$13*$B627</f>
      </c>
      <c r="W627" s="12">
        <f>IF(V627&gt;0,IF(V627&lt;=eco,alpha*fck*(1-(1-V627/eco)^n),alpha*fck),0)</f>
      </c>
      <c r="X627" s="30">
        <f>PM_Angle!$J$14+PM_Angle!$K$14*$C627+PM_Angle!$L$14*$B627</f>
      </c>
      <c r="Y627" s="12">
        <f>IF(X627&gt;0,IF(X627&lt;=eco,alpha*fck*(1-(1-X627/eco)^n),alpha*fck),0)</f>
      </c>
      <c r="Z627" s="30">
        <f>PM_Angle!$J$15+PM_Angle!$K$15*$C627+PM_Angle!$L$15*$B627</f>
      </c>
      <c r="AA627" s="12">
        <f>IF(Z627&gt;0,IF(Z627&lt;=eco,alpha*fck*(1-(1-Z627/eco)^n),alpha*fck),0)</f>
      </c>
      <c r="AB627" s="30">
        <f>PM_Angle!$J$16+PM_Angle!$K$16*$C627+PM_Angle!$L$16*$B627</f>
      </c>
      <c r="AC627" s="12">
        <f>IF(AB627&gt;0,IF(AB627&lt;=eco,alpha*fck*(1-(1-AB627/eco)^n),alpha*fck),0)</f>
      </c>
      <c r="AD627" s="30">
        <f>PM_Angle!$J$17+PM_Angle!$K$17*$C627+PM_Angle!$L$17*$B627</f>
      </c>
      <c r="AE627" s="12">
        <f>IF(AD627&gt;0,IF(AD627&lt;=eco,alpha*fck*(1-(1-AD627/eco)^n),alpha*fck),0)</f>
      </c>
      <c r="AF627" s="30">
        <f>PM_Angle!$J$18+PM_Angle!$K$18*$C627+PM_Angle!$L$18*$B627</f>
      </c>
      <c r="AG627" s="12">
        <f>IF(AF627&gt;0,IF(AF627&lt;=eco,alpha*fck*(1-(1-AF627/eco)^n),alpha*fck),0)</f>
      </c>
      <c r="AH627" s="30">
        <f>PM_Angle!$J$19+PM_Angle!$K$19*$C627+PM_Angle!$L$19*$B627</f>
      </c>
      <c r="AI627" s="12">
        <f>IF(AH627&gt;0,IF(AH627&lt;=eco,alpha*fck*(1-(1-AH627/eco)^n),alpha*fck),0)</f>
      </c>
      <c r="AJ627" s="30">
        <f>PM_Angle!$J$20+PM_Angle!$K$20*$C627+PM_Angle!$L$20*$B627</f>
      </c>
      <c r="AK627" s="12">
        <f>IF(AJ627&gt;0,IF(AJ627&lt;=eco,alpha*fck*(1-(1-AJ627/eco)^n),alpha*fck),0)</f>
      </c>
      <c r="AL627" s="30">
        <f>PM_Angle!$J$21+PM_Angle!$K$21*$C627+PM_Angle!$L$21*$B627</f>
      </c>
      <c r="AM627" s="12">
        <f>IF(AL627&gt;0,IF(AL627&lt;=eco,alpha*fck*(1-(1-AL627/eco)^n),alpha*fck),0)</f>
      </c>
      <c r="AN627" s="30">
        <f>PM_Angle!$J$22+PM_Angle!$K$22*$C627+PM_Angle!$L$22*$B627</f>
      </c>
      <c r="AO627" s="12">
        <f>IF(AN627&gt;0,IF(AN627&lt;=eco,alpha*fck*(1-(1-AN627/eco)^n),alpha*fck),0)</f>
      </c>
      <c r="AP627" s="30">
        <f>PM_Angle!$J$23+PM_Angle!$K$23*$C627+PM_Angle!$L$23*$B627</f>
      </c>
      <c r="AQ627" s="12">
        <f>IF(AP627&gt;0,IF(AP627&lt;=eco,alpha*fck*(1-(1-AP627/eco)^n),alpha*fck),0)</f>
      </c>
      <c r="AR627" s="30">
        <f>PM_Angle!$J$24+PM_Angle!$K$24*$C627+PM_Angle!$L$24*$B627</f>
      </c>
      <c r="AS627" s="12">
        <f>IF(AR627&gt;0,IF(AR627&lt;=eco,alpha*fck*(1-(1-AR627/eco)^n),alpha*fck),0)</f>
      </c>
      <c r="AT627" s="30">
        <f>PM_Angle!$J$25+PM_Angle!$K$25*$C627+PM_Angle!$L$25*$B627</f>
      </c>
      <c r="AU627" s="12">
        <f>IF(AT627&gt;0,IF(AT627&lt;=eco,alpha*fck*(1-(1-AT627/eco)^n),alpha*fck),0)</f>
      </c>
    </row>
    <row r="628" spans="1:47" x14ac:dyDescent="0.25">
      <c r="A628">
        <f>Mesh!A625</f>
      </c>
      <c r="B628" s="12">
        <f>Mesh!B625</f>
      </c>
      <c r="C628" s="12">
        <f>Mesh!C625</f>
      </c>
      <c r="D628" s="12">
        <f>Mesh!D625</f>
      </c>
      <c r="E628" s="30">
        <f>INDEX(St_e0,Det+1)+INDEX(St_kx,Det+1)*C628+INDEX(St_ky,Det+1)*B628</f>
      </c>
      <c r="F628" s="12">
        <f>IF(E628&gt;0,IF(E628&lt;=eco,alpha*fck*(1-(1-E628/eco)^n),alpha*fck),0)</f>
      </c>
      <c r="G628" s="11">
        <f>F628*D628</f>
      </c>
      <c r="H628" s="11">
        <f>G628*C628</f>
      </c>
      <c r="I628" s="11">
        <f>G628*B628</f>
      </c>
      <c r="J628" s="30">
        <f>PM_Angle!$J$7+PM_Angle!$K$7*$C628+PM_Angle!$L$7*$B628</f>
      </c>
      <c r="K628" s="12">
        <f>IF(J628&gt;0,IF(J628&lt;=eco,alpha*fck*(1-(1-J628/eco)^n),alpha*fck),0)</f>
      </c>
      <c r="L628" s="30">
        <f>PM_Angle!$J$8+PM_Angle!$K$8*$C628+PM_Angle!$L$8*$B628</f>
      </c>
      <c r="M628" s="12">
        <f>IF(L628&gt;0,IF(L628&lt;=eco,alpha*fck*(1-(1-L628/eco)^n),alpha*fck),0)</f>
      </c>
      <c r="N628" s="30">
        <f>PM_Angle!$J$9+PM_Angle!$K$9*$C628+PM_Angle!$L$9*$B628</f>
      </c>
      <c r="O628" s="12">
        <f>IF(N628&gt;0,IF(N628&lt;=eco,alpha*fck*(1-(1-N628/eco)^n),alpha*fck),0)</f>
      </c>
      <c r="P628" s="30">
        <f>PM_Angle!$J$10+PM_Angle!$K$10*$C628+PM_Angle!$L$10*$B628</f>
      </c>
      <c r="Q628" s="12">
        <f>IF(P628&gt;0,IF(P628&lt;=eco,alpha*fck*(1-(1-P628/eco)^n),alpha*fck),0)</f>
      </c>
      <c r="R628" s="30">
        <f>PM_Angle!$J$11+PM_Angle!$K$11*$C628+PM_Angle!$L$11*$B628</f>
      </c>
      <c r="S628" s="12">
        <f>IF(R628&gt;0,IF(R628&lt;=eco,alpha*fck*(1-(1-R628/eco)^n),alpha*fck),0)</f>
      </c>
      <c r="T628" s="30">
        <f>PM_Angle!$J$12+PM_Angle!$K$12*$C628+PM_Angle!$L$12*$B628</f>
      </c>
      <c r="U628" s="12">
        <f>IF(T628&gt;0,IF(T628&lt;=eco,alpha*fck*(1-(1-T628/eco)^n),alpha*fck),0)</f>
      </c>
      <c r="V628" s="30">
        <f>PM_Angle!$J$13+PM_Angle!$K$13*$C628+PM_Angle!$L$13*$B628</f>
      </c>
      <c r="W628" s="12">
        <f>IF(V628&gt;0,IF(V628&lt;=eco,alpha*fck*(1-(1-V628/eco)^n),alpha*fck),0)</f>
      </c>
      <c r="X628" s="30">
        <f>PM_Angle!$J$14+PM_Angle!$K$14*$C628+PM_Angle!$L$14*$B628</f>
      </c>
      <c r="Y628" s="12">
        <f>IF(X628&gt;0,IF(X628&lt;=eco,alpha*fck*(1-(1-X628/eco)^n),alpha*fck),0)</f>
      </c>
      <c r="Z628" s="30">
        <f>PM_Angle!$J$15+PM_Angle!$K$15*$C628+PM_Angle!$L$15*$B628</f>
      </c>
      <c r="AA628" s="12">
        <f>IF(Z628&gt;0,IF(Z628&lt;=eco,alpha*fck*(1-(1-Z628/eco)^n),alpha*fck),0)</f>
      </c>
      <c r="AB628" s="30">
        <f>PM_Angle!$J$16+PM_Angle!$K$16*$C628+PM_Angle!$L$16*$B628</f>
      </c>
      <c r="AC628" s="12">
        <f>IF(AB628&gt;0,IF(AB628&lt;=eco,alpha*fck*(1-(1-AB628/eco)^n),alpha*fck),0)</f>
      </c>
      <c r="AD628" s="30">
        <f>PM_Angle!$J$17+PM_Angle!$K$17*$C628+PM_Angle!$L$17*$B628</f>
      </c>
      <c r="AE628" s="12">
        <f>IF(AD628&gt;0,IF(AD628&lt;=eco,alpha*fck*(1-(1-AD628/eco)^n),alpha*fck),0)</f>
      </c>
      <c r="AF628" s="30">
        <f>PM_Angle!$J$18+PM_Angle!$K$18*$C628+PM_Angle!$L$18*$B628</f>
      </c>
      <c r="AG628" s="12">
        <f>IF(AF628&gt;0,IF(AF628&lt;=eco,alpha*fck*(1-(1-AF628/eco)^n),alpha*fck),0)</f>
      </c>
      <c r="AH628" s="30">
        <f>PM_Angle!$J$19+PM_Angle!$K$19*$C628+PM_Angle!$L$19*$B628</f>
      </c>
      <c r="AI628" s="12">
        <f>IF(AH628&gt;0,IF(AH628&lt;=eco,alpha*fck*(1-(1-AH628/eco)^n),alpha*fck),0)</f>
      </c>
      <c r="AJ628" s="30">
        <f>PM_Angle!$J$20+PM_Angle!$K$20*$C628+PM_Angle!$L$20*$B628</f>
      </c>
      <c r="AK628" s="12">
        <f>IF(AJ628&gt;0,IF(AJ628&lt;=eco,alpha*fck*(1-(1-AJ628/eco)^n),alpha*fck),0)</f>
      </c>
      <c r="AL628" s="30">
        <f>PM_Angle!$J$21+PM_Angle!$K$21*$C628+PM_Angle!$L$21*$B628</f>
      </c>
      <c r="AM628" s="12">
        <f>IF(AL628&gt;0,IF(AL628&lt;=eco,alpha*fck*(1-(1-AL628/eco)^n),alpha*fck),0)</f>
      </c>
      <c r="AN628" s="30">
        <f>PM_Angle!$J$22+PM_Angle!$K$22*$C628+PM_Angle!$L$22*$B628</f>
      </c>
      <c r="AO628" s="12">
        <f>IF(AN628&gt;0,IF(AN628&lt;=eco,alpha*fck*(1-(1-AN628/eco)^n),alpha*fck),0)</f>
      </c>
      <c r="AP628" s="30">
        <f>PM_Angle!$J$23+PM_Angle!$K$23*$C628+PM_Angle!$L$23*$B628</f>
      </c>
      <c r="AQ628" s="12">
        <f>IF(AP628&gt;0,IF(AP628&lt;=eco,alpha*fck*(1-(1-AP628/eco)^n),alpha*fck),0)</f>
      </c>
      <c r="AR628" s="30">
        <f>PM_Angle!$J$24+PM_Angle!$K$24*$C628+PM_Angle!$L$24*$B628</f>
      </c>
      <c r="AS628" s="12">
        <f>IF(AR628&gt;0,IF(AR628&lt;=eco,alpha*fck*(1-(1-AR628/eco)^n),alpha*fck),0)</f>
      </c>
      <c r="AT628" s="30">
        <f>PM_Angle!$J$25+PM_Angle!$K$25*$C628+PM_Angle!$L$25*$B628</f>
      </c>
      <c r="AU628" s="12">
        <f>IF(AT628&gt;0,IF(AT628&lt;=eco,alpha*fck*(1-(1-AT628/eco)^n),alpha*fck),0)</f>
      </c>
    </row>
    <row r="629" spans="1:47" x14ac:dyDescent="0.25">
      <c r="A629">
        <f>Mesh!A626</f>
      </c>
      <c r="B629" s="12">
        <f>Mesh!B626</f>
      </c>
      <c r="C629" s="12">
        <f>Mesh!C626</f>
      </c>
      <c r="D629" s="12">
        <f>Mesh!D626</f>
      </c>
      <c r="E629" s="30">
        <f>INDEX(St_e0,Det+1)+INDEX(St_kx,Det+1)*C629+INDEX(St_ky,Det+1)*B629</f>
      </c>
      <c r="F629" s="12">
        <f>IF(E629&gt;0,IF(E629&lt;=eco,alpha*fck*(1-(1-E629/eco)^n),alpha*fck),0)</f>
      </c>
      <c r="G629" s="11">
        <f>F629*D629</f>
      </c>
      <c r="H629" s="11">
        <f>G629*C629</f>
      </c>
      <c r="I629" s="11">
        <f>G629*B629</f>
      </c>
      <c r="J629" s="30">
        <f>PM_Angle!$J$7+PM_Angle!$K$7*$C629+PM_Angle!$L$7*$B629</f>
      </c>
      <c r="K629" s="12">
        <f>IF(J629&gt;0,IF(J629&lt;=eco,alpha*fck*(1-(1-J629/eco)^n),alpha*fck),0)</f>
      </c>
      <c r="L629" s="30">
        <f>PM_Angle!$J$8+PM_Angle!$K$8*$C629+PM_Angle!$L$8*$B629</f>
      </c>
      <c r="M629" s="12">
        <f>IF(L629&gt;0,IF(L629&lt;=eco,alpha*fck*(1-(1-L629/eco)^n),alpha*fck),0)</f>
      </c>
      <c r="N629" s="30">
        <f>PM_Angle!$J$9+PM_Angle!$K$9*$C629+PM_Angle!$L$9*$B629</f>
      </c>
      <c r="O629" s="12">
        <f>IF(N629&gt;0,IF(N629&lt;=eco,alpha*fck*(1-(1-N629/eco)^n),alpha*fck),0)</f>
      </c>
      <c r="P629" s="30">
        <f>PM_Angle!$J$10+PM_Angle!$K$10*$C629+PM_Angle!$L$10*$B629</f>
      </c>
      <c r="Q629" s="12">
        <f>IF(P629&gt;0,IF(P629&lt;=eco,alpha*fck*(1-(1-P629/eco)^n),alpha*fck),0)</f>
      </c>
      <c r="R629" s="30">
        <f>PM_Angle!$J$11+PM_Angle!$K$11*$C629+PM_Angle!$L$11*$B629</f>
      </c>
      <c r="S629" s="12">
        <f>IF(R629&gt;0,IF(R629&lt;=eco,alpha*fck*(1-(1-R629/eco)^n),alpha*fck),0)</f>
      </c>
      <c r="T629" s="30">
        <f>PM_Angle!$J$12+PM_Angle!$K$12*$C629+PM_Angle!$L$12*$B629</f>
      </c>
      <c r="U629" s="12">
        <f>IF(T629&gt;0,IF(T629&lt;=eco,alpha*fck*(1-(1-T629/eco)^n),alpha*fck),0)</f>
      </c>
      <c r="V629" s="30">
        <f>PM_Angle!$J$13+PM_Angle!$K$13*$C629+PM_Angle!$L$13*$B629</f>
      </c>
      <c r="W629" s="12">
        <f>IF(V629&gt;0,IF(V629&lt;=eco,alpha*fck*(1-(1-V629/eco)^n),alpha*fck),0)</f>
      </c>
      <c r="X629" s="30">
        <f>PM_Angle!$J$14+PM_Angle!$K$14*$C629+PM_Angle!$L$14*$B629</f>
      </c>
      <c r="Y629" s="12">
        <f>IF(X629&gt;0,IF(X629&lt;=eco,alpha*fck*(1-(1-X629/eco)^n),alpha*fck),0)</f>
      </c>
      <c r="Z629" s="30">
        <f>PM_Angle!$J$15+PM_Angle!$K$15*$C629+PM_Angle!$L$15*$B629</f>
      </c>
      <c r="AA629" s="12">
        <f>IF(Z629&gt;0,IF(Z629&lt;=eco,alpha*fck*(1-(1-Z629/eco)^n),alpha*fck),0)</f>
      </c>
      <c r="AB629" s="30">
        <f>PM_Angle!$J$16+PM_Angle!$K$16*$C629+PM_Angle!$L$16*$B629</f>
      </c>
      <c r="AC629" s="12">
        <f>IF(AB629&gt;0,IF(AB629&lt;=eco,alpha*fck*(1-(1-AB629/eco)^n),alpha*fck),0)</f>
      </c>
      <c r="AD629" s="30">
        <f>PM_Angle!$J$17+PM_Angle!$K$17*$C629+PM_Angle!$L$17*$B629</f>
      </c>
      <c r="AE629" s="12">
        <f>IF(AD629&gt;0,IF(AD629&lt;=eco,alpha*fck*(1-(1-AD629/eco)^n),alpha*fck),0)</f>
      </c>
      <c r="AF629" s="30">
        <f>PM_Angle!$J$18+PM_Angle!$K$18*$C629+PM_Angle!$L$18*$B629</f>
      </c>
      <c r="AG629" s="12">
        <f>IF(AF629&gt;0,IF(AF629&lt;=eco,alpha*fck*(1-(1-AF629/eco)^n),alpha*fck),0)</f>
      </c>
      <c r="AH629" s="30">
        <f>PM_Angle!$J$19+PM_Angle!$K$19*$C629+PM_Angle!$L$19*$B629</f>
      </c>
      <c r="AI629" s="12">
        <f>IF(AH629&gt;0,IF(AH629&lt;=eco,alpha*fck*(1-(1-AH629/eco)^n),alpha*fck),0)</f>
      </c>
      <c r="AJ629" s="30">
        <f>PM_Angle!$J$20+PM_Angle!$K$20*$C629+PM_Angle!$L$20*$B629</f>
      </c>
      <c r="AK629" s="12">
        <f>IF(AJ629&gt;0,IF(AJ629&lt;=eco,alpha*fck*(1-(1-AJ629/eco)^n),alpha*fck),0)</f>
      </c>
      <c r="AL629" s="30">
        <f>PM_Angle!$J$21+PM_Angle!$K$21*$C629+PM_Angle!$L$21*$B629</f>
      </c>
      <c r="AM629" s="12">
        <f>IF(AL629&gt;0,IF(AL629&lt;=eco,alpha*fck*(1-(1-AL629/eco)^n),alpha*fck),0)</f>
      </c>
      <c r="AN629" s="30">
        <f>PM_Angle!$J$22+PM_Angle!$K$22*$C629+PM_Angle!$L$22*$B629</f>
      </c>
      <c r="AO629" s="12">
        <f>IF(AN629&gt;0,IF(AN629&lt;=eco,alpha*fck*(1-(1-AN629/eco)^n),alpha*fck),0)</f>
      </c>
      <c r="AP629" s="30">
        <f>PM_Angle!$J$23+PM_Angle!$K$23*$C629+PM_Angle!$L$23*$B629</f>
      </c>
      <c r="AQ629" s="12">
        <f>IF(AP629&gt;0,IF(AP629&lt;=eco,alpha*fck*(1-(1-AP629/eco)^n),alpha*fck),0)</f>
      </c>
      <c r="AR629" s="30">
        <f>PM_Angle!$J$24+PM_Angle!$K$24*$C629+PM_Angle!$L$24*$B629</f>
      </c>
      <c r="AS629" s="12">
        <f>IF(AR629&gt;0,IF(AR629&lt;=eco,alpha*fck*(1-(1-AR629/eco)^n),alpha*fck),0)</f>
      </c>
      <c r="AT629" s="30">
        <f>PM_Angle!$J$25+PM_Angle!$K$25*$C629+PM_Angle!$L$25*$B629</f>
      </c>
      <c r="AU629" s="12">
        <f>IF(AT629&gt;0,IF(AT629&lt;=eco,alpha*fck*(1-(1-AT629/eco)^n),alpha*fck),0)</f>
      </c>
    </row>
    <row r="630" spans="1:47" x14ac:dyDescent="0.25">
      <c r="A630">
        <f>Mesh!A627</f>
      </c>
      <c r="B630" s="12">
        <f>Mesh!B627</f>
      </c>
      <c r="C630" s="12">
        <f>Mesh!C627</f>
      </c>
      <c r="D630" s="12">
        <f>Mesh!D627</f>
      </c>
      <c r="E630" s="30">
        <f>INDEX(St_e0,Det+1)+INDEX(St_kx,Det+1)*C630+INDEX(St_ky,Det+1)*B630</f>
      </c>
      <c r="F630" s="12">
        <f>IF(E630&gt;0,IF(E630&lt;=eco,alpha*fck*(1-(1-E630/eco)^n),alpha*fck),0)</f>
      </c>
      <c r="G630" s="11">
        <f>F630*D630</f>
      </c>
      <c r="H630" s="11">
        <f>G630*C630</f>
      </c>
      <c r="I630" s="11">
        <f>G630*B630</f>
      </c>
      <c r="J630" s="30">
        <f>PM_Angle!$J$7+PM_Angle!$K$7*$C630+PM_Angle!$L$7*$B630</f>
      </c>
      <c r="K630" s="12">
        <f>IF(J630&gt;0,IF(J630&lt;=eco,alpha*fck*(1-(1-J630/eco)^n),alpha*fck),0)</f>
      </c>
      <c r="L630" s="30">
        <f>PM_Angle!$J$8+PM_Angle!$K$8*$C630+PM_Angle!$L$8*$B630</f>
      </c>
      <c r="M630" s="12">
        <f>IF(L630&gt;0,IF(L630&lt;=eco,alpha*fck*(1-(1-L630/eco)^n),alpha*fck),0)</f>
      </c>
      <c r="N630" s="30">
        <f>PM_Angle!$J$9+PM_Angle!$K$9*$C630+PM_Angle!$L$9*$B630</f>
      </c>
      <c r="O630" s="12">
        <f>IF(N630&gt;0,IF(N630&lt;=eco,alpha*fck*(1-(1-N630/eco)^n),alpha*fck),0)</f>
      </c>
      <c r="P630" s="30">
        <f>PM_Angle!$J$10+PM_Angle!$K$10*$C630+PM_Angle!$L$10*$B630</f>
      </c>
      <c r="Q630" s="12">
        <f>IF(P630&gt;0,IF(P630&lt;=eco,alpha*fck*(1-(1-P630/eco)^n),alpha*fck),0)</f>
      </c>
      <c r="R630" s="30">
        <f>PM_Angle!$J$11+PM_Angle!$K$11*$C630+PM_Angle!$L$11*$B630</f>
      </c>
      <c r="S630" s="12">
        <f>IF(R630&gt;0,IF(R630&lt;=eco,alpha*fck*(1-(1-R630/eco)^n),alpha*fck),0)</f>
      </c>
      <c r="T630" s="30">
        <f>PM_Angle!$J$12+PM_Angle!$K$12*$C630+PM_Angle!$L$12*$B630</f>
      </c>
      <c r="U630" s="12">
        <f>IF(T630&gt;0,IF(T630&lt;=eco,alpha*fck*(1-(1-T630/eco)^n),alpha*fck),0)</f>
      </c>
      <c r="V630" s="30">
        <f>PM_Angle!$J$13+PM_Angle!$K$13*$C630+PM_Angle!$L$13*$B630</f>
      </c>
      <c r="W630" s="12">
        <f>IF(V630&gt;0,IF(V630&lt;=eco,alpha*fck*(1-(1-V630/eco)^n),alpha*fck),0)</f>
      </c>
      <c r="X630" s="30">
        <f>PM_Angle!$J$14+PM_Angle!$K$14*$C630+PM_Angle!$L$14*$B630</f>
      </c>
      <c r="Y630" s="12">
        <f>IF(X630&gt;0,IF(X630&lt;=eco,alpha*fck*(1-(1-X630/eco)^n),alpha*fck),0)</f>
      </c>
      <c r="Z630" s="30">
        <f>PM_Angle!$J$15+PM_Angle!$K$15*$C630+PM_Angle!$L$15*$B630</f>
      </c>
      <c r="AA630" s="12">
        <f>IF(Z630&gt;0,IF(Z630&lt;=eco,alpha*fck*(1-(1-Z630/eco)^n),alpha*fck),0)</f>
      </c>
      <c r="AB630" s="30">
        <f>PM_Angle!$J$16+PM_Angle!$K$16*$C630+PM_Angle!$L$16*$B630</f>
      </c>
      <c r="AC630" s="12">
        <f>IF(AB630&gt;0,IF(AB630&lt;=eco,alpha*fck*(1-(1-AB630/eco)^n),alpha*fck),0)</f>
      </c>
      <c r="AD630" s="30">
        <f>PM_Angle!$J$17+PM_Angle!$K$17*$C630+PM_Angle!$L$17*$B630</f>
      </c>
      <c r="AE630" s="12">
        <f>IF(AD630&gt;0,IF(AD630&lt;=eco,alpha*fck*(1-(1-AD630/eco)^n),alpha*fck),0)</f>
      </c>
      <c r="AF630" s="30">
        <f>PM_Angle!$J$18+PM_Angle!$K$18*$C630+PM_Angle!$L$18*$B630</f>
      </c>
      <c r="AG630" s="12">
        <f>IF(AF630&gt;0,IF(AF630&lt;=eco,alpha*fck*(1-(1-AF630/eco)^n),alpha*fck),0)</f>
      </c>
      <c r="AH630" s="30">
        <f>PM_Angle!$J$19+PM_Angle!$K$19*$C630+PM_Angle!$L$19*$B630</f>
      </c>
      <c r="AI630" s="12">
        <f>IF(AH630&gt;0,IF(AH630&lt;=eco,alpha*fck*(1-(1-AH630/eco)^n),alpha*fck),0)</f>
      </c>
      <c r="AJ630" s="30">
        <f>PM_Angle!$J$20+PM_Angle!$K$20*$C630+PM_Angle!$L$20*$B630</f>
      </c>
      <c r="AK630" s="12">
        <f>IF(AJ630&gt;0,IF(AJ630&lt;=eco,alpha*fck*(1-(1-AJ630/eco)^n),alpha*fck),0)</f>
      </c>
      <c r="AL630" s="30">
        <f>PM_Angle!$J$21+PM_Angle!$K$21*$C630+PM_Angle!$L$21*$B630</f>
      </c>
      <c r="AM630" s="12">
        <f>IF(AL630&gt;0,IF(AL630&lt;=eco,alpha*fck*(1-(1-AL630/eco)^n),alpha*fck),0)</f>
      </c>
      <c r="AN630" s="30">
        <f>PM_Angle!$J$22+PM_Angle!$K$22*$C630+PM_Angle!$L$22*$B630</f>
      </c>
      <c r="AO630" s="12">
        <f>IF(AN630&gt;0,IF(AN630&lt;=eco,alpha*fck*(1-(1-AN630/eco)^n),alpha*fck),0)</f>
      </c>
      <c r="AP630" s="30">
        <f>PM_Angle!$J$23+PM_Angle!$K$23*$C630+PM_Angle!$L$23*$B630</f>
      </c>
      <c r="AQ630" s="12">
        <f>IF(AP630&gt;0,IF(AP630&lt;=eco,alpha*fck*(1-(1-AP630/eco)^n),alpha*fck),0)</f>
      </c>
      <c r="AR630" s="30">
        <f>PM_Angle!$J$24+PM_Angle!$K$24*$C630+PM_Angle!$L$24*$B630</f>
      </c>
      <c r="AS630" s="12">
        <f>IF(AR630&gt;0,IF(AR630&lt;=eco,alpha*fck*(1-(1-AR630/eco)^n),alpha*fck),0)</f>
      </c>
      <c r="AT630" s="30">
        <f>PM_Angle!$J$25+PM_Angle!$K$25*$C630+PM_Angle!$L$25*$B630</f>
      </c>
      <c r="AU630" s="12">
        <f>IF(AT630&gt;0,IF(AT630&lt;=eco,alpha*fck*(1-(1-AT630/eco)^n),alpha*fck),0)</f>
      </c>
    </row>
    <row r="631" spans="1:47" x14ac:dyDescent="0.25">
      <c r="A631">
        <f>Mesh!A628</f>
      </c>
      <c r="B631" s="12">
        <f>Mesh!B628</f>
      </c>
      <c r="C631" s="12">
        <f>Mesh!C628</f>
      </c>
      <c r="D631" s="12">
        <f>Mesh!D628</f>
      </c>
      <c r="E631" s="30">
        <f>INDEX(St_e0,Det+1)+INDEX(St_kx,Det+1)*C631+INDEX(St_ky,Det+1)*B631</f>
      </c>
      <c r="F631" s="12">
        <f>IF(E631&gt;0,IF(E631&lt;=eco,alpha*fck*(1-(1-E631/eco)^n),alpha*fck),0)</f>
      </c>
      <c r="G631" s="11">
        <f>F631*D631</f>
      </c>
      <c r="H631" s="11">
        <f>G631*C631</f>
      </c>
      <c r="I631" s="11">
        <f>G631*B631</f>
      </c>
      <c r="J631" s="30">
        <f>PM_Angle!$J$7+PM_Angle!$K$7*$C631+PM_Angle!$L$7*$B631</f>
      </c>
      <c r="K631" s="12">
        <f>IF(J631&gt;0,IF(J631&lt;=eco,alpha*fck*(1-(1-J631/eco)^n),alpha*fck),0)</f>
      </c>
      <c r="L631" s="30">
        <f>PM_Angle!$J$8+PM_Angle!$K$8*$C631+PM_Angle!$L$8*$B631</f>
      </c>
      <c r="M631" s="12">
        <f>IF(L631&gt;0,IF(L631&lt;=eco,alpha*fck*(1-(1-L631/eco)^n),alpha*fck),0)</f>
      </c>
      <c r="N631" s="30">
        <f>PM_Angle!$J$9+PM_Angle!$K$9*$C631+PM_Angle!$L$9*$B631</f>
      </c>
      <c r="O631" s="12">
        <f>IF(N631&gt;0,IF(N631&lt;=eco,alpha*fck*(1-(1-N631/eco)^n),alpha*fck),0)</f>
      </c>
      <c r="P631" s="30">
        <f>PM_Angle!$J$10+PM_Angle!$K$10*$C631+PM_Angle!$L$10*$B631</f>
      </c>
      <c r="Q631" s="12">
        <f>IF(P631&gt;0,IF(P631&lt;=eco,alpha*fck*(1-(1-P631/eco)^n),alpha*fck),0)</f>
      </c>
      <c r="R631" s="30">
        <f>PM_Angle!$J$11+PM_Angle!$K$11*$C631+PM_Angle!$L$11*$B631</f>
      </c>
      <c r="S631" s="12">
        <f>IF(R631&gt;0,IF(R631&lt;=eco,alpha*fck*(1-(1-R631/eco)^n),alpha*fck),0)</f>
      </c>
      <c r="T631" s="30">
        <f>PM_Angle!$J$12+PM_Angle!$K$12*$C631+PM_Angle!$L$12*$B631</f>
      </c>
      <c r="U631" s="12">
        <f>IF(T631&gt;0,IF(T631&lt;=eco,alpha*fck*(1-(1-T631/eco)^n),alpha*fck),0)</f>
      </c>
      <c r="V631" s="30">
        <f>PM_Angle!$J$13+PM_Angle!$K$13*$C631+PM_Angle!$L$13*$B631</f>
      </c>
      <c r="W631" s="12">
        <f>IF(V631&gt;0,IF(V631&lt;=eco,alpha*fck*(1-(1-V631/eco)^n),alpha*fck),0)</f>
      </c>
      <c r="X631" s="30">
        <f>PM_Angle!$J$14+PM_Angle!$K$14*$C631+PM_Angle!$L$14*$B631</f>
      </c>
      <c r="Y631" s="12">
        <f>IF(X631&gt;0,IF(X631&lt;=eco,alpha*fck*(1-(1-X631/eco)^n),alpha*fck),0)</f>
      </c>
      <c r="Z631" s="30">
        <f>PM_Angle!$J$15+PM_Angle!$K$15*$C631+PM_Angle!$L$15*$B631</f>
      </c>
      <c r="AA631" s="12">
        <f>IF(Z631&gt;0,IF(Z631&lt;=eco,alpha*fck*(1-(1-Z631/eco)^n),alpha*fck),0)</f>
      </c>
      <c r="AB631" s="30">
        <f>PM_Angle!$J$16+PM_Angle!$K$16*$C631+PM_Angle!$L$16*$B631</f>
      </c>
      <c r="AC631" s="12">
        <f>IF(AB631&gt;0,IF(AB631&lt;=eco,alpha*fck*(1-(1-AB631/eco)^n),alpha*fck),0)</f>
      </c>
      <c r="AD631" s="30">
        <f>PM_Angle!$J$17+PM_Angle!$K$17*$C631+PM_Angle!$L$17*$B631</f>
      </c>
      <c r="AE631" s="12">
        <f>IF(AD631&gt;0,IF(AD631&lt;=eco,alpha*fck*(1-(1-AD631/eco)^n),alpha*fck),0)</f>
      </c>
      <c r="AF631" s="30">
        <f>PM_Angle!$J$18+PM_Angle!$K$18*$C631+PM_Angle!$L$18*$B631</f>
      </c>
      <c r="AG631" s="12">
        <f>IF(AF631&gt;0,IF(AF631&lt;=eco,alpha*fck*(1-(1-AF631/eco)^n),alpha*fck),0)</f>
      </c>
      <c r="AH631" s="30">
        <f>PM_Angle!$J$19+PM_Angle!$K$19*$C631+PM_Angle!$L$19*$B631</f>
      </c>
      <c r="AI631" s="12">
        <f>IF(AH631&gt;0,IF(AH631&lt;=eco,alpha*fck*(1-(1-AH631/eco)^n),alpha*fck),0)</f>
      </c>
      <c r="AJ631" s="30">
        <f>PM_Angle!$J$20+PM_Angle!$K$20*$C631+PM_Angle!$L$20*$B631</f>
      </c>
      <c r="AK631" s="12">
        <f>IF(AJ631&gt;0,IF(AJ631&lt;=eco,alpha*fck*(1-(1-AJ631/eco)^n),alpha*fck),0)</f>
      </c>
      <c r="AL631" s="30">
        <f>PM_Angle!$J$21+PM_Angle!$K$21*$C631+PM_Angle!$L$21*$B631</f>
      </c>
      <c r="AM631" s="12">
        <f>IF(AL631&gt;0,IF(AL631&lt;=eco,alpha*fck*(1-(1-AL631/eco)^n),alpha*fck),0)</f>
      </c>
      <c r="AN631" s="30">
        <f>PM_Angle!$J$22+PM_Angle!$K$22*$C631+PM_Angle!$L$22*$B631</f>
      </c>
      <c r="AO631" s="12">
        <f>IF(AN631&gt;0,IF(AN631&lt;=eco,alpha*fck*(1-(1-AN631/eco)^n),alpha*fck),0)</f>
      </c>
      <c r="AP631" s="30">
        <f>PM_Angle!$J$23+PM_Angle!$K$23*$C631+PM_Angle!$L$23*$B631</f>
      </c>
      <c r="AQ631" s="12">
        <f>IF(AP631&gt;0,IF(AP631&lt;=eco,alpha*fck*(1-(1-AP631/eco)^n),alpha*fck),0)</f>
      </c>
      <c r="AR631" s="30">
        <f>PM_Angle!$J$24+PM_Angle!$K$24*$C631+PM_Angle!$L$24*$B631</f>
      </c>
      <c r="AS631" s="12">
        <f>IF(AR631&gt;0,IF(AR631&lt;=eco,alpha*fck*(1-(1-AR631/eco)^n),alpha*fck),0)</f>
      </c>
      <c r="AT631" s="30">
        <f>PM_Angle!$J$25+PM_Angle!$K$25*$C631+PM_Angle!$L$25*$B631</f>
      </c>
      <c r="AU631" s="12">
        <f>IF(AT631&gt;0,IF(AT631&lt;=eco,alpha*fck*(1-(1-AT631/eco)^n),alpha*fck),0)</f>
      </c>
    </row>
    <row r="632" spans="1:47" x14ac:dyDescent="0.25">
      <c r="A632">
        <f>Mesh!A629</f>
      </c>
      <c r="B632" s="12">
        <f>Mesh!B629</f>
      </c>
      <c r="C632" s="12">
        <f>Mesh!C629</f>
      </c>
      <c r="D632" s="12">
        <f>Mesh!D629</f>
      </c>
      <c r="E632" s="30">
        <f>INDEX(St_e0,Det+1)+INDEX(St_kx,Det+1)*C632+INDEX(St_ky,Det+1)*B632</f>
      </c>
      <c r="F632" s="12">
        <f>IF(E632&gt;0,IF(E632&lt;=eco,alpha*fck*(1-(1-E632/eco)^n),alpha*fck),0)</f>
      </c>
      <c r="G632" s="11">
        <f>F632*D632</f>
      </c>
      <c r="H632" s="11">
        <f>G632*C632</f>
      </c>
      <c r="I632" s="11">
        <f>G632*B632</f>
      </c>
      <c r="J632" s="30">
        <f>PM_Angle!$J$7+PM_Angle!$K$7*$C632+PM_Angle!$L$7*$B632</f>
      </c>
      <c r="K632" s="12">
        <f>IF(J632&gt;0,IF(J632&lt;=eco,alpha*fck*(1-(1-J632/eco)^n),alpha*fck),0)</f>
      </c>
      <c r="L632" s="30">
        <f>PM_Angle!$J$8+PM_Angle!$K$8*$C632+PM_Angle!$L$8*$B632</f>
      </c>
      <c r="M632" s="12">
        <f>IF(L632&gt;0,IF(L632&lt;=eco,alpha*fck*(1-(1-L632/eco)^n),alpha*fck),0)</f>
      </c>
      <c r="N632" s="30">
        <f>PM_Angle!$J$9+PM_Angle!$K$9*$C632+PM_Angle!$L$9*$B632</f>
      </c>
      <c r="O632" s="12">
        <f>IF(N632&gt;0,IF(N632&lt;=eco,alpha*fck*(1-(1-N632/eco)^n),alpha*fck),0)</f>
      </c>
      <c r="P632" s="30">
        <f>PM_Angle!$J$10+PM_Angle!$K$10*$C632+PM_Angle!$L$10*$B632</f>
      </c>
      <c r="Q632" s="12">
        <f>IF(P632&gt;0,IF(P632&lt;=eco,alpha*fck*(1-(1-P632/eco)^n),alpha*fck),0)</f>
      </c>
      <c r="R632" s="30">
        <f>PM_Angle!$J$11+PM_Angle!$K$11*$C632+PM_Angle!$L$11*$B632</f>
      </c>
      <c r="S632" s="12">
        <f>IF(R632&gt;0,IF(R632&lt;=eco,alpha*fck*(1-(1-R632/eco)^n),alpha*fck),0)</f>
      </c>
      <c r="T632" s="30">
        <f>PM_Angle!$J$12+PM_Angle!$K$12*$C632+PM_Angle!$L$12*$B632</f>
      </c>
      <c r="U632" s="12">
        <f>IF(T632&gt;0,IF(T632&lt;=eco,alpha*fck*(1-(1-T632/eco)^n),alpha*fck),0)</f>
      </c>
      <c r="V632" s="30">
        <f>PM_Angle!$J$13+PM_Angle!$K$13*$C632+PM_Angle!$L$13*$B632</f>
      </c>
      <c r="W632" s="12">
        <f>IF(V632&gt;0,IF(V632&lt;=eco,alpha*fck*(1-(1-V632/eco)^n),alpha*fck),0)</f>
      </c>
      <c r="X632" s="30">
        <f>PM_Angle!$J$14+PM_Angle!$K$14*$C632+PM_Angle!$L$14*$B632</f>
      </c>
      <c r="Y632" s="12">
        <f>IF(X632&gt;0,IF(X632&lt;=eco,alpha*fck*(1-(1-X632/eco)^n),alpha*fck),0)</f>
      </c>
      <c r="Z632" s="30">
        <f>PM_Angle!$J$15+PM_Angle!$K$15*$C632+PM_Angle!$L$15*$B632</f>
      </c>
      <c r="AA632" s="12">
        <f>IF(Z632&gt;0,IF(Z632&lt;=eco,alpha*fck*(1-(1-Z632/eco)^n),alpha*fck),0)</f>
      </c>
      <c r="AB632" s="30">
        <f>PM_Angle!$J$16+PM_Angle!$K$16*$C632+PM_Angle!$L$16*$B632</f>
      </c>
      <c r="AC632" s="12">
        <f>IF(AB632&gt;0,IF(AB632&lt;=eco,alpha*fck*(1-(1-AB632/eco)^n),alpha*fck),0)</f>
      </c>
      <c r="AD632" s="30">
        <f>PM_Angle!$J$17+PM_Angle!$K$17*$C632+PM_Angle!$L$17*$B632</f>
      </c>
      <c r="AE632" s="12">
        <f>IF(AD632&gt;0,IF(AD632&lt;=eco,alpha*fck*(1-(1-AD632/eco)^n),alpha*fck),0)</f>
      </c>
      <c r="AF632" s="30">
        <f>PM_Angle!$J$18+PM_Angle!$K$18*$C632+PM_Angle!$L$18*$B632</f>
      </c>
      <c r="AG632" s="12">
        <f>IF(AF632&gt;0,IF(AF632&lt;=eco,alpha*fck*(1-(1-AF632/eco)^n),alpha*fck),0)</f>
      </c>
      <c r="AH632" s="30">
        <f>PM_Angle!$J$19+PM_Angle!$K$19*$C632+PM_Angle!$L$19*$B632</f>
      </c>
      <c r="AI632" s="12">
        <f>IF(AH632&gt;0,IF(AH632&lt;=eco,alpha*fck*(1-(1-AH632/eco)^n),alpha*fck),0)</f>
      </c>
      <c r="AJ632" s="30">
        <f>PM_Angle!$J$20+PM_Angle!$K$20*$C632+PM_Angle!$L$20*$B632</f>
      </c>
      <c r="AK632" s="12">
        <f>IF(AJ632&gt;0,IF(AJ632&lt;=eco,alpha*fck*(1-(1-AJ632/eco)^n),alpha*fck),0)</f>
      </c>
      <c r="AL632" s="30">
        <f>PM_Angle!$J$21+PM_Angle!$K$21*$C632+PM_Angle!$L$21*$B632</f>
      </c>
      <c r="AM632" s="12">
        <f>IF(AL632&gt;0,IF(AL632&lt;=eco,alpha*fck*(1-(1-AL632/eco)^n),alpha*fck),0)</f>
      </c>
      <c r="AN632" s="30">
        <f>PM_Angle!$J$22+PM_Angle!$K$22*$C632+PM_Angle!$L$22*$B632</f>
      </c>
      <c r="AO632" s="12">
        <f>IF(AN632&gt;0,IF(AN632&lt;=eco,alpha*fck*(1-(1-AN632/eco)^n),alpha*fck),0)</f>
      </c>
      <c r="AP632" s="30">
        <f>PM_Angle!$J$23+PM_Angle!$K$23*$C632+PM_Angle!$L$23*$B632</f>
      </c>
      <c r="AQ632" s="12">
        <f>IF(AP632&gt;0,IF(AP632&lt;=eco,alpha*fck*(1-(1-AP632/eco)^n),alpha*fck),0)</f>
      </c>
      <c r="AR632" s="30">
        <f>PM_Angle!$J$24+PM_Angle!$K$24*$C632+PM_Angle!$L$24*$B632</f>
      </c>
      <c r="AS632" s="12">
        <f>IF(AR632&gt;0,IF(AR632&lt;=eco,alpha*fck*(1-(1-AR632/eco)^n),alpha*fck),0)</f>
      </c>
      <c r="AT632" s="30">
        <f>PM_Angle!$J$25+PM_Angle!$K$25*$C632+PM_Angle!$L$25*$B632</f>
      </c>
      <c r="AU632" s="12">
        <f>IF(AT632&gt;0,IF(AT632&lt;=eco,alpha*fck*(1-(1-AT632/eco)^n),alpha*fck),0)</f>
      </c>
    </row>
    <row r="633" spans="1:47" x14ac:dyDescent="0.25">
      <c r="A633">
        <f>Mesh!A630</f>
      </c>
      <c r="B633" s="12">
        <f>Mesh!B630</f>
      </c>
      <c r="C633" s="12">
        <f>Mesh!C630</f>
      </c>
      <c r="D633" s="12">
        <f>Mesh!D630</f>
      </c>
      <c r="E633" s="30">
        <f>INDEX(St_e0,Det+1)+INDEX(St_kx,Det+1)*C633+INDEX(St_ky,Det+1)*B633</f>
      </c>
      <c r="F633" s="12">
        <f>IF(E633&gt;0,IF(E633&lt;=eco,alpha*fck*(1-(1-E633/eco)^n),alpha*fck),0)</f>
      </c>
      <c r="G633" s="11">
        <f>F633*D633</f>
      </c>
      <c r="H633" s="11">
        <f>G633*C633</f>
      </c>
      <c r="I633" s="11">
        <f>G633*B633</f>
      </c>
      <c r="J633" s="30">
        <f>PM_Angle!$J$7+PM_Angle!$K$7*$C633+PM_Angle!$L$7*$B633</f>
      </c>
      <c r="K633" s="12">
        <f>IF(J633&gt;0,IF(J633&lt;=eco,alpha*fck*(1-(1-J633/eco)^n),alpha*fck),0)</f>
      </c>
      <c r="L633" s="30">
        <f>PM_Angle!$J$8+PM_Angle!$K$8*$C633+PM_Angle!$L$8*$B633</f>
      </c>
      <c r="M633" s="12">
        <f>IF(L633&gt;0,IF(L633&lt;=eco,alpha*fck*(1-(1-L633/eco)^n),alpha*fck),0)</f>
      </c>
      <c r="N633" s="30">
        <f>PM_Angle!$J$9+PM_Angle!$K$9*$C633+PM_Angle!$L$9*$B633</f>
      </c>
      <c r="O633" s="12">
        <f>IF(N633&gt;0,IF(N633&lt;=eco,alpha*fck*(1-(1-N633/eco)^n),alpha*fck),0)</f>
      </c>
      <c r="P633" s="30">
        <f>PM_Angle!$J$10+PM_Angle!$K$10*$C633+PM_Angle!$L$10*$B633</f>
      </c>
      <c r="Q633" s="12">
        <f>IF(P633&gt;0,IF(P633&lt;=eco,alpha*fck*(1-(1-P633/eco)^n),alpha*fck),0)</f>
      </c>
      <c r="R633" s="30">
        <f>PM_Angle!$J$11+PM_Angle!$K$11*$C633+PM_Angle!$L$11*$B633</f>
      </c>
      <c r="S633" s="12">
        <f>IF(R633&gt;0,IF(R633&lt;=eco,alpha*fck*(1-(1-R633/eco)^n),alpha*fck),0)</f>
      </c>
      <c r="T633" s="30">
        <f>PM_Angle!$J$12+PM_Angle!$K$12*$C633+PM_Angle!$L$12*$B633</f>
      </c>
      <c r="U633" s="12">
        <f>IF(T633&gt;0,IF(T633&lt;=eco,alpha*fck*(1-(1-T633/eco)^n),alpha*fck),0)</f>
      </c>
      <c r="V633" s="30">
        <f>PM_Angle!$J$13+PM_Angle!$K$13*$C633+PM_Angle!$L$13*$B633</f>
      </c>
      <c r="W633" s="12">
        <f>IF(V633&gt;0,IF(V633&lt;=eco,alpha*fck*(1-(1-V633/eco)^n),alpha*fck),0)</f>
      </c>
      <c r="X633" s="30">
        <f>PM_Angle!$J$14+PM_Angle!$K$14*$C633+PM_Angle!$L$14*$B633</f>
      </c>
      <c r="Y633" s="12">
        <f>IF(X633&gt;0,IF(X633&lt;=eco,alpha*fck*(1-(1-X633/eco)^n),alpha*fck),0)</f>
      </c>
      <c r="Z633" s="30">
        <f>PM_Angle!$J$15+PM_Angle!$K$15*$C633+PM_Angle!$L$15*$B633</f>
      </c>
      <c r="AA633" s="12">
        <f>IF(Z633&gt;0,IF(Z633&lt;=eco,alpha*fck*(1-(1-Z633/eco)^n),alpha*fck),0)</f>
      </c>
      <c r="AB633" s="30">
        <f>PM_Angle!$J$16+PM_Angle!$K$16*$C633+PM_Angle!$L$16*$B633</f>
      </c>
      <c r="AC633" s="12">
        <f>IF(AB633&gt;0,IF(AB633&lt;=eco,alpha*fck*(1-(1-AB633/eco)^n),alpha*fck),0)</f>
      </c>
      <c r="AD633" s="30">
        <f>PM_Angle!$J$17+PM_Angle!$K$17*$C633+PM_Angle!$L$17*$B633</f>
      </c>
      <c r="AE633" s="12">
        <f>IF(AD633&gt;0,IF(AD633&lt;=eco,alpha*fck*(1-(1-AD633/eco)^n),alpha*fck),0)</f>
      </c>
      <c r="AF633" s="30">
        <f>PM_Angle!$J$18+PM_Angle!$K$18*$C633+PM_Angle!$L$18*$B633</f>
      </c>
      <c r="AG633" s="12">
        <f>IF(AF633&gt;0,IF(AF633&lt;=eco,alpha*fck*(1-(1-AF633/eco)^n),alpha*fck),0)</f>
      </c>
      <c r="AH633" s="30">
        <f>PM_Angle!$J$19+PM_Angle!$K$19*$C633+PM_Angle!$L$19*$B633</f>
      </c>
      <c r="AI633" s="12">
        <f>IF(AH633&gt;0,IF(AH633&lt;=eco,alpha*fck*(1-(1-AH633/eco)^n),alpha*fck),0)</f>
      </c>
      <c r="AJ633" s="30">
        <f>PM_Angle!$J$20+PM_Angle!$K$20*$C633+PM_Angle!$L$20*$B633</f>
      </c>
      <c r="AK633" s="12">
        <f>IF(AJ633&gt;0,IF(AJ633&lt;=eco,alpha*fck*(1-(1-AJ633/eco)^n),alpha*fck),0)</f>
      </c>
      <c r="AL633" s="30">
        <f>PM_Angle!$J$21+PM_Angle!$K$21*$C633+PM_Angle!$L$21*$B633</f>
      </c>
      <c r="AM633" s="12">
        <f>IF(AL633&gt;0,IF(AL633&lt;=eco,alpha*fck*(1-(1-AL633/eco)^n),alpha*fck),0)</f>
      </c>
      <c r="AN633" s="30">
        <f>PM_Angle!$J$22+PM_Angle!$K$22*$C633+PM_Angle!$L$22*$B633</f>
      </c>
      <c r="AO633" s="12">
        <f>IF(AN633&gt;0,IF(AN633&lt;=eco,alpha*fck*(1-(1-AN633/eco)^n),alpha*fck),0)</f>
      </c>
      <c r="AP633" s="30">
        <f>PM_Angle!$J$23+PM_Angle!$K$23*$C633+PM_Angle!$L$23*$B633</f>
      </c>
      <c r="AQ633" s="12">
        <f>IF(AP633&gt;0,IF(AP633&lt;=eco,alpha*fck*(1-(1-AP633/eco)^n),alpha*fck),0)</f>
      </c>
      <c r="AR633" s="30">
        <f>PM_Angle!$J$24+PM_Angle!$K$24*$C633+PM_Angle!$L$24*$B633</f>
      </c>
      <c r="AS633" s="12">
        <f>IF(AR633&gt;0,IF(AR633&lt;=eco,alpha*fck*(1-(1-AR633/eco)^n),alpha*fck),0)</f>
      </c>
      <c r="AT633" s="30">
        <f>PM_Angle!$J$25+PM_Angle!$K$25*$C633+PM_Angle!$L$25*$B633</f>
      </c>
      <c r="AU633" s="12">
        <f>IF(AT633&gt;0,IF(AT633&lt;=eco,alpha*fck*(1-(1-AT633/eco)^n),alpha*fck),0)</f>
      </c>
    </row>
    <row r="634" spans="1:47" x14ac:dyDescent="0.25">
      <c r="A634">
        <f>Mesh!A631</f>
      </c>
      <c r="B634" s="12">
        <f>Mesh!B631</f>
      </c>
      <c r="C634" s="12">
        <f>Mesh!C631</f>
      </c>
      <c r="D634" s="12">
        <f>Mesh!D631</f>
      </c>
      <c r="E634" s="30">
        <f>INDEX(St_e0,Det+1)+INDEX(St_kx,Det+1)*C634+INDEX(St_ky,Det+1)*B634</f>
      </c>
      <c r="F634" s="12">
        <f>IF(E634&gt;0,IF(E634&lt;=eco,alpha*fck*(1-(1-E634/eco)^n),alpha*fck),0)</f>
      </c>
      <c r="G634" s="11">
        <f>F634*D634</f>
      </c>
      <c r="H634" s="11">
        <f>G634*C634</f>
      </c>
      <c r="I634" s="11">
        <f>G634*B634</f>
      </c>
      <c r="J634" s="30">
        <f>PM_Angle!$J$7+PM_Angle!$K$7*$C634+PM_Angle!$L$7*$B634</f>
      </c>
      <c r="K634" s="12">
        <f>IF(J634&gt;0,IF(J634&lt;=eco,alpha*fck*(1-(1-J634/eco)^n),alpha*fck),0)</f>
      </c>
      <c r="L634" s="30">
        <f>PM_Angle!$J$8+PM_Angle!$K$8*$C634+PM_Angle!$L$8*$B634</f>
      </c>
      <c r="M634" s="12">
        <f>IF(L634&gt;0,IF(L634&lt;=eco,alpha*fck*(1-(1-L634/eco)^n),alpha*fck),0)</f>
      </c>
      <c r="N634" s="30">
        <f>PM_Angle!$J$9+PM_Angle!$K$9*$C634+PM_Angle!$L$9*$B634</f>
      </c>
      <c r="O634" s="12">
        <f>IF(N634&gt;0,IF(N634&lt;=eco,alpha*fck*(1-(1-N634/eco)^n),alpha*fck),0)</f>
      </c>
      <c r="P634" s="30">
        <f>PM_Angle!$J$10+PM_Angle!$K$10*$C634+PM_Angle!$L$10*$B634</f>
      </c>
      <c r="Q634" s="12">
        <f>IF(P634&gt;0,IF(P634&lt;=eco,alpha*fck*(1-(1-P634/eco)^n),alpha*fck),0)</f>
      </c>
      <c r="R634" s="30">
        <f>PM_Angle!$J$11+PM_Angle!$K$11*$C634+PM_Angle!$L$11*$B634</f>
      </c>
      <c r="S634" s="12">
        <f>IF(R634&gt;0,IF(R634&lt;=eco,alpha*fck*(1-(1-R634/eco)^n),alpha*fck),0)</f>
      </c>
      <c r="T634" s="30">
        <f>PM_Angle!$J$12+PM_Angle!$K$12*$C634+PM_Angle!$L$12*$B634</f>
      </c>
      <c r="U634" s="12">
        <f>IF(T634&gt;0,IF(T634&lt;=eco,alpha*fck*(1-(1-T634/eco)^n),alpha*fck),0)</f>
      </c>
      <c r="V634" s="30">
        <f>PM_Angle!$J$13+PM_Angle!$K$13*$C634+PM_Angle!$L$13*$B634</f>
      </c>
      <c r="W634" s="12">
        <f>IF(V634&gt;0,IF(V634&lt;=eco,alpha*fck*(1-(1-V634/eco)^n),alpha*fck),0)</f>
      </c>
      <c r="X634" s="30">
        <f>PM_Angle!$J$14+PM_Angle!$K$14*$C634+PM_Angle!$L$14*$B634</f>
      </c>
      <c r="Y634" s="12">
        <f>IF(X634&gt;0,IF(X634&lt;=eco,alpha*fck*(1-(1-X634/eco)^n),alpha*fck),0)</f>
      </c>
      <c r="Z634" s="30">
        <f>PM_Angle!$J$15+PM_Angle!$K$15*$C634+PM_Angle!$L$15*$B634</f>
      </c>
      <c r="AA634" s="12">
        <f>IF(Z634&gt;0,IF(Z634&lt;=eco,alpha*fck*(1-(1-Z634/eco)^n),alpha*fck),0)</f>
      </c>
      <c r="AB634" s="30">
        <f>PM_Angle!$J$16+PM_Angle!$K$16*$C634+PM_Angle!$L$16*$B634</f>
      </c>
      <c r="AC634" s="12">
        <f>IF(AB634&gt;0,IF(AB634&lt;=eco,alpha*fck*(1-(1-AB634/eco)^n),alpha*fck),0)</f>
      </c>
      <c r="AD634" s="30">
        <f>PM_Angle!$J$17+PM_Angle!$K$17*$C634+PM_Angle!$L$17*$B634</f>
      </c>
      <c r="AE634" s="12">
        <f>IF(AD634&gt;0,IF(AD634&lt;=eco,alpha*fck*(1-(1-AD634/eco)^n),alpha*fck),0)</f>
      </c>
      <c r="AF634" s="30">
        <f>PM_Angle!$J$18+PM_Angle!$K$18*$C634+PM_Angle!$L$18*$B634</f>
      </c>
      <c r="AG634" s="12">
        <f>IF(AF634&gt;0,IF(AF634&lt;=eco,alpha*fck*(1-(1-AF634/eco)^n),alpha*fck),0)</f>
      </c>
      <c r="AH634" s="30">
        <f>PM_Angle!$J$19+PM_Angle!$K$19*$C634+PM_Angle!$L$19*$B634</f>
      </c>
      <c r="AI634" s="12">
        <f>IF(AH634&gt;0,IF(AH634&lt;=eco,alpha*fck*(1-(1-AH634/eco)^n),alpha*fck),0)</f>
      </c>
      <c r="AJ634" s="30">
        <f>PM_Angle!$J$20+PM_Angle!$K$20*$C634+PM_Angle!$L$20*$B634</f>
      </c>
      <c r="AK634" s="12">
        <f>IF(AJ634&gt;0,IF(AJ634&lt;=eco,alpha*fck*(1-(1-AJ634/eco)^n),alpha*fck),0)</f>
      </c>
      <c r="AL634" s="30">
        <f>PM_Angle!$J$21+PM_Angle!$K$21*$C634+PM_Angle!$L$21*$B634</f>
      </c>
      <c r="AM634" s="12">
        <f>IF(AL634&gt;0,IF(AL634&lt;=eco,alpha*fck*(1-(1-AL634/eco)^n),alpha*fck),0)</f>
      </c>
      <c r="AN634" s="30">
        <f>PM_Angle!$J$22+PM_Angle!$K$22*$C634+PM_Angle!$L$22*$B634</f>
      </c>
      <c r="AO634" s="12">
        <f>IF(AN634&gt;0,IF(AN634&lt;=eco,alpha*fck*(1-(1-AN634/eco)^n),alpha*fck),0)</f>
      </c>
      <c r="AP634" s="30">
        <f>PM_Angle!$J$23+PM_Angle!$K$23*$C634+PM_Angle!$L$23*$B634</f>
      </c>
      <c r="AQ634" s="12">
        <f>IF(AP634&gt;0,IF(AP634&lt;=eco,alpha*fck*(1-(1-AP634/eco)^n),alpha*fck),0)</f>
      </c>
      <c r="AR634" s="30">
        <f>PM_Angle!$J$24+PM_Angle!$K$24*$C634+PM_Angle!$L$24*$B634</f>
      </c>
      <c r="AS634" s="12">
        <f>IF(AR634&gt;0,IF(AR634&lt;=eco,alpha*fck*(1-(1-AR634/eco)^n),alpha*fck),0)</f>
      </c>
      <c r="AT634" s="30">
        <f>PM_Angle!$J$25+PM_Angle!$K$25*$C634+PM_Angle!$L$25*$B634</f>
      </c>
      <c r="AU634" s="12">
        <f>IF(AT634&gt;0,IF(AT634&lt;=eco,alpha*fck*(1-(1-AT634/eco)^n),alpha*fck),0)</f>
      </c>
    </row>
    <row r="635" spans="1:47" x14ac:dyDescent="0.25">
      <c r="A635">
        <f>Mesh!A632</f>
      </c>
      <c r="B635" s="12">
        <f>Mesh!B632</f>
      </c>
      <c r="C635" s="12">
        <f>Mesh!C632</f>
      </c>
      <c r="D635" s="12">
        <f>Mesh!D632</f>
      </c>
      <c r="E635" s="30">
        <f>INDEX(St_e0,Det+1)+INDEX(St_kx,Det+1)*C635+INDEX(St_ky,Det+1)*B635</f>
      </c>
      <c r="F635" s="12">
        <f>IF(E635&gt;0,IF(E635&lt;=eco,alpha*fck*(1-(1-E635/eco)^n),alpha*fck),0)</f>
      </c>
      <c r="G635" s="11">
        <f>F635*D635</f>
      </c>
      <c r="H635" s="11">
        <f>G635*C635</f>
      </c>
      <c r="I635" s="11">
        <f>G635*B635</f>
      </c>
      <c r="J635" s="30">
        <f>PM_Angle!$J$7+PM_Angle!$K$7*$C635+PM_Angle!$L$7*$B635</f>
      </c>
      <c r="K635" s="12">
        <f>IF(J635&gt;0,IF(J635&lt;=eco,alpha*fck*(1-(1-J635/eco)^n),alpha*fck),0)</f>
      </c>
      <c r="L635" s="30">
        <f>PM_Angle!$J$8+PM_Angle!$K$8*$C635+PM_Angle!$L$8*$B635</f>
      </c>
      <c r="M635" s="12">
        <f>IF(L635&gt;0,IF(L635&lt;=eco,alpha*fck*(1-(1-L635/eco)^n),alpha*fck),0)</f>
      </c>
      <c r="N635" s="30">
        <f>PM_Angle!$J$9+PM_Angle!$K$9*$C635+PM_Angle!$L$9*$B635</f>
      </c>
      <c r="O635" s="12">
        <f>IF(N635&gt;0,IF(N635&lt;=eco,alpha*fck*(1-(1-N635/eco)^n),alpha*fck),0)</f>
      </c>
      <c r="P635" s="30">
        <f>PM_Angle!$J$10+PM_Angle!$K$10*$C635+PM_Angle!$L$10*$B635</f>
      </c>
      <c r="Q635" s="12">
        <f>IF(P635&gt;0,IF(P635&lt;=eco,alpha*fck*(1-(1-P635/eco)^n),alpha*fck),0)</f>
      </c>
      <c r="R635" s="30">
        <f>PM_Angle!$J$11+PM_Angle!$K$11*$C635+PM_Angle!$L$11*$B635</f>
      </c>
      <c r="S635" s="12">
        <f>IF(R635&gt;0,IF(R635&lt;=eco,alpha*fck*(1-(1-R635/eco)^n),alpha*fck),0)</f>
      </c>
      <c r="T635" s="30">
        <f>PM_Angle!$J$12+PM_Angle!$K$12*$C635+PM_Angle!$L$12*$B635</f>
      </c>
      <c r="U635" s="12">
        <f>IF(T635&gt;0,IF(T635&lt;=eco,alpha*fck*(1-(1-T635/eco)^n),alpha*fck),0)</f>
      </c>
      <c r="V635" s="30">
        <f>PM_Angle!$J$13+PM_Angle!$K$13*$C635+PM_Angle!$L$13*$B635</f>
      </c>
      <c r="W635" s="12">
        <f>IF(V635&gt;0,IF(V635&lt;=eco,alpha*fck*(1-(1-V635/eco)^n),alpha*fck),0)</f>
      </c>
      <c r="X635" s="30">
        <f>PM_Angle!$J$14+PM_Angle!$K$14*$C635+PM_Angle!$L$14*$B635</f>
      </c>
      <c r="Y635" s="12">
        <f>IF(X635&gt;0,IF(X635&lt;=eco,alpha*fck*(1-(1-X635/eco)^n),alpha*fck),0)</f>
      </c>
      <c r="Z635" s="30">
        <f>PM_Angle!$J$15+PM_Angle!$K$15*$C635+PM_Angle!$L$15*$B635</f>
      </c>
      <c r="AA635" s="12">
        <f>IF(Z635&gt;0,IF(Z635&lt;=eco,alpha*fck*(1-(1-Z635/eco)^n),alpha*fck),0)</f>
      </c>
      <c r="AB635" s="30">
        <f>PM_Angle!$J$16+PM_Angle!$K$16*$C635+PM_Angle!$L$16*$B635</f>
      </c>
      <c r="AC635" s="12">
        <f>IF(AB635&gt;0,IF(AB635&lt;=eco,alpha*fck*(1-(1-AB635/eco)^n),alpha*fck),0)</f>
      </c>
      <c r="AD635" s="30">
        <f>PM_Angle!$J$17+PM_Angle!$K$17*$C635+PM_Angle!$L$17*$B635</f>
      </c>
      <c r="AE635" s="12">
        <f>IF(AD635&gt;0,IF(AD635&lt;=eco,alpha*fck*(1-(1-AD635/eco)^n),alpha*fck),0)</f>
      </c>
      <c r="AF635" s="30">
        <f>PM_Angle!$J$18+PM_Angle!$K$18*$C635+PM_Angle!$L$18*$B635</f>
      </c>
      <c r="AG635" s="12">
        <f>IF(AF635&gt;0,IF(AF635&lt;=eco,alpha*fck*(1-(1-AF635/eco)^n),alpha*fck),0)</f>
      </c>
      <c r="AH635" s="30">
        <f>PM_Angle!$J$19+PM_Angle!$K$19*$C635+PM_Angle!$L$19*$B635</f>
      </c>
      <c r="AI635" s="12">
        <f>IF(AH635&gt;0,IF(AH635&lt;=eco,alpha*fck*(1-(1-AH635/eco)^n),alpha*fck),0)</f>
      </c>
      <c r="AJ635" s="30">
        <f>PM_Angle!$J$20+PM_Angle!$K$20*$C635+PM_Angle!$L$20*$B635</f>
      </c>
      <c r="AK635" s="12">
        <f>IF(AJ635&gt;0,IF(AJ635&lt;=eco,alpha*fck*(1-(1-AJ635/eco)^n),alpha*fck),0)</f>
      </c>
      <c r="AL635" s="30">
        <f>PM_Angle!$J$21+PM_Angle!$K$21*$C635+PM_Angle!$L$21*$B635</f>
      </c>
      <c r="AM635" s="12">
        <f>IF(AL635&gt;0,IF(AL635&lt;=eco,alpha*fck*(1-(1-AL635/eco)^n),alpha*fck),0)</f>
      </c>
      <c r="AN635" s="30">
        <f>PM_Angle!$J$22+PM_Angle!$K$22*$C635+PM_Angle!$L$22*$B635</f>
      </c>
      <c r="AO635" s="12">
        <f>IF(AN635&gt;0,IF(AN635&lt;=eco,alpha*fck*(1-(1-AN635/eco)^n),alpha*fck),0)</f>
      </c>
      <c r="AP635" s="30">
        <f>PM_Angle!$J$23+PM_Angle!$K$23*$C635+PM_Angle!$L$23*$B635</f>
      </c>
      <c r="AQ635" s="12">
        <f>IF(AP635&gt;0,IF(AP635&lt;=eco,alpha*fck*(1-(1-AP635/eco)^n),alpha*fck),0)</f>
      </c>
      <c r="AR635" s="30">
        <f>PM_Angle!$J$24+PM_Angle!$K$24*$C635+PM_Angle!$L$24*$B635</f>
      </c>
      <c r="AS635" s="12">
        <f>IF(AR635&gt;0,IF(AR635&lt;=eco,alpha*fck*(1-(1-AR635/eco)^n),alpha*fck),0)</f>
      </c>
      <c r="AT635" s="30">
        <f>PM_Angle!$J$25+PM_Angle!$K$25*$C635+PM_Angle!$L$25*$B635</f>
      </c>
      <c r="AU635" s="12">
        <f>IF(AT635&gt;0,IF(AT635&lt;=eco,alpha*fck*(1-(1-AT635/eco)^n),alpha*fck),0)</f>
      </c>
    </row>
    <row r="636" spans="1:47" x14ac:dyDescent="0.25">
      <c r="A636">
        <f>Mesh!A633</f>
      </c>
      <c r="B636" s="12">
        <f>Mesh!B633</f>
      </c>
      <c r="C636" s="12">
        <f>Mesh!C633</f>
      </c>
      <c r="D636" s="12">
        <f>Mesh!D633</f>
      </c>
      <c r="E636" s="30">
        <f>INDEX(St_e0,Det+1)+INDEX(St_kx,Det+1)*C636+INDEX(St_ky,Det+1)*B636</f>
      </c>
      <c r="F636" s="12">
        <f>IF(E636&gt;0,IF(E636&lt;=eco,alpha*fck*(1-(1-E636/eco)^n),alpha*fck),0)</f>
      </c>
      <c r="G636" s="11">
        <f>F636*D636</f>
      </c>
      <c r="H636" s="11">
        <f>G636*C636</f>
      </c>
      <c r="I636" s="11">
        <f>G636*B636</f>
      </c>
      <c r="J636" s="30">
        <f>PM_Angle!$J$7+PM_Angle!$K$7*$C636+PM_Angle!$L$7*$B636</f>
      </c>
      <c r="K636" s="12">
        <f>IF(J636&gt;0,IF(J636&lt;=eco,alpha*fck*(1-(1-J636/eco)^n),alpha*fck),0)</f>
      </c>
      <c r="L636" s="30">
        <f>PM_Angle!$J$8+PM_Angle!$K$8*$C636+PM_Angle!$L$8*$B636</f>
      </c>
      <c r="M636" s="12">
        <f>IF(L636&gt;0,IF(L636&lt;=eco,alpha*fck*(1-(1-L636/eco)^n),alpha*fck),0)</f>
      </c>
      <c r="N636" s="30">
        <f>PM_Angle!$J$9+PM_Angle!$K$9*$C636+PM_Angle!$L$9*$B636</f>
      </c>
      <c r="O636" s="12">
        <f>IF(N636&gt;0,IF(N636&lt;=eco,alpha*fck*(1-(1-N636/eco)^n),alpha*fck),0)</f>
      </c>
      <c r="P636" s="30">
        <f>PM_Angle!$J$10+PM_Angle!$K$10*$C636+PM_Angle!$L$10*$B636</f>
      </c>
      <c r="Q636" s="12">
        <f>IF(P636&gt;0,IF(P636&lt;=eco,alpha*fck*(1-(1-P636/eco)^n),alpha*fck),0)</f>
      </c>
      <c r="R636" s="30">
        <f>PM_Angle!$J$11+PM_Angle!$K$11*$C636+PM_Angle!$L$11*$B636</f>
      </c>
      <c r="S636" s="12">
        <f>IF(R636&gt;0,IF(R636&lt;=eco,alpha*fck*(1-(1-R636/eco)^n),alpha*fck),0)</f>
      </c>
      <c r="T636" s="30">
        <f>PM_Angle!$J$12+PM_Angle!$K$12*$C636+PM_Angle!$L$12*$B636</f>
      </c>
      <c r="U636" s="12">
        <f>IF(T636&gt;0,IF(T636&lt;=eco,alpha*fck*(1-(1-T636/eco)^n),alpha*fck),0)</f>
      </c>
      <c r="V636" s="30">
        <f>PM_Angle!$J$13+PM_Angle!$K$13*$C636+PM_Angle!$L$13*$B636</f>
      </c>
      <c r="W636" s="12">
        <f>IF(V636&gt;0,IF(V636&lt;=eco,alpha*fck*(1-(1-V636/eco)^n),alpha*fck),0)</f>
      </c>
      <c r="X636" s="30">
        <f>PM_Angle!$J$14+PM_Angle!$K$14*$C636+PM_Angle!$L$14*$B636</f>
      </c>
      <c r="Y636" s="12">
        <f>IF(X636&gt;0,IF(X636&lt;=eco,alpha*fck*(1-(1-X636/eco)^n),alpha*fck),0)</f>
      </c>
      <c r="Z636" s="30">
        <f>PM_Angle!$J$15+PM_Angle!$K$15*$C636+PM_Angle!$L$15*$B636</f>
      </c>
      <c r="AA636" s="12">
        <f>IF(Z636&gt;0,IF(Z636&lt;=eco,alpha*fck*(1-(1-Z636/eco)^n),alpha*fck),0)</f>
      </c>
      <c r="AB636" s="30">
        <f>PM_Angle!$J$16+PM_Angle!$K$16*$C636+PM_Angle!$L$16*$B636</f>
      </c>
      <c r="AC636" s="12">
        <f>IF(AB636&gt;0,IF(AB636&lt;=eco,alpha*fck*(1-(1-AB636/eco)^n),alpha*fck),0)</f>
      </c>
      <c r="AD636" s="30">
        <f>PM_Angle!$J$17+PM_Angle!$K$17*$C636+PM_Angle!$L$17*$B636</f>
      </c>
      <c r="AE636" s="12">
        <f>IF(AD636&gt;0,IF(AD636&lt;=eco,alpha*fck*(1-(1-AD636/eco)^n),alpha*fck),0)</f>
      </c>
      <c r="AF636" s="30">
        <f>PM_Angle!$J$18+PM_Angle!$K$18*$C636+PM_Angle!$L$18*$B636</f>
      </c>
      <c r="AG636" s="12">
        <f>IF(AF636&gt;0,IF(AF636&lt;=eco,alpha*fck*(1-(1-AF636/eco)^n),alpha*fck),0)</f>
      </c>
      <c r="AH636" s="30">
        <f>PM_Angle!$J$19+PM_Angle!$K$19*$C636+PM_Angle!$L$19*$B636</f>
      </c>
      <c r="AI636" s="12">
        <f>IF(AH636&gt;0,IF(AH636&lt;=eco,alpha*fck*(1-(1-AH636/eco)^n),alpha*fck),0)</f>
      </c>
      <c r="AJ636" s="30">
        <f>PM_Angle!$J$20+PM_Angle!$K$20*$C636+PM_Angle!$L$20*$B636</f>
      </c>
      <c r="AK636" s="12">
        <f>IF(AJ636&gt;0,IF(AJ636&lt;=eco,alpha*fck*(1-(1-AJ636/eco)^n),alpha*fck),0)</f>
      </c>
      <c r="AL636" s="30">
        <f>PM_Angle!$J$21+PM_Angle!$K$21*$C636+PM_Angle!$L$21*$B636</f>
      </c>
      <c r="AM636" s="12">
        <f>IF(AL636&gt;0,IF(AL636&lt;=eco,alpha*fck*(1-(1-AL636/eco)^n),alpha*fck),0)</f>
      </c>
      <c r="AN636" s="30">
        <f>PM_Angle!$J$22+PM_Angle!$K$22*$C636+PM_Angle!$L$22*$B636</f>
      </c>
      <c r="AO636" s="12">
        <f>IF(AN636&gt;0,IF(AN636&lt;=eco,alpha*fck*(1-(1-AN636/eco)^n),alpha*fck),0)</f>
      </c>
      <c r="AP636" s="30">
        <f>PM_Angle!$J$23+PM_Angle!$K$23*$C636+PM_Angle!$L$23*$B636</f>
      </c>
      <c r="AQ636" s="12">
        <f>IF(AP636&gt;0,IF(AP636&lt;=eco,alpha*fck*(1-(1-AP636/eco)^n),alpha*fck),0)</f>
      </c>
      <c r="AR636" s="30">
        <f>PM_Angle!$J$24+PM_Angle!$K$24*$C636+PM_Angle!$L$24*$B636</f>
      </c>
      <c r="AS636" s="12">
        <f>IF(AR636&gt;0,IF(AR636&lt;=eco,alpha*fck*(1-(1-AR636/eco)^n),alpha*fck),0)</f>
      </c>
      <c r="AT636" s="30">
        <f>PM_Angle!$J$25+PM_Angle!$K$25*$C636+PM_Angle!$L$25*$B636</f>
      </c>
      <c r="AU636" s="12">
        <f>IF(AT636&gt;0,IF(AT636&lt;=eco,alpha*fck*(1-(1-AT636/eco)^n),alpha*fck),0)</f>
      </c>
    </row>
    <row r="637" spans="1:47" x14ac:dyDescent="0.25">
      <c r="A637">
        <f>Mesh!A634</f>
      </c>
      <c r="B637" s="12">
        <f>Mesh!B634</f>
      </c>
      <c r="C637" s="12">
        <f>Mesh!C634</f>
      </c>
      <c r="D637" s="12">
        <f>Mesh!D634</f>
      </c>
      <c r="E637" s="30">
        <f>INDEX(St_e0,Det+1)+INDEX(St_kx,Det+1)*C637+INDEX(St_ky,Det+1)*B637</f>
      </c>
      <c r="F637" s="12">
        <f>IF(E637&gt;0,IF(E637&lt;=eco,alpha*fck*(1-(1-E637/eco)^n),alpha*fck),0)</f>
      </c>
      <c r="G637" s="11">
        <f>F637*D637</f>
      </c>
      <c r="H637" s="11">
        <f>G637*C637</f>
      </c>
      <c r="I637" s="11">
        <f>G637*B637</f>
      </c>
      <c r="J637" s="30">
        <f>PM_Angle!$J$7+PM_Angle!$K$7*$C637+PM_Angle!$L$7*$B637</f>
      </c>
      <c r="K637" s="12">
        <f>IF(J637&gt;0,IF(J637&lt;=eco,alpha*fck*(1-(1-J637/eco)^n),alpha*fck),0)</f>
      </c>
      <c r="L637" s="30">
        <f>PM_Angle!$J$8+PM_Angle!$K$8*$C637+PM_Angle!$L$8*$B637</f>
      </c>
      <c r="M637" s="12">
        <f>IF(L637&gt;0,IF(L637&lt;=eco,alpha*fck*(1-(1-L637/eco)^n),alpha*fck),0)</f>
      </c>
      <c r="N637" s="30">
        <f>PM_Angle!$J$9+PM_Angle!$K$9*$C637+PM_Angle!$L$9*$B637</f>
      </c>
      <c r="O637" s="12">
        <f>IF(N637&gt;0,IF(N637&lt;=eco,alpha*fck*(1-(1-N637/eco)^n),alpha*fck),0)</f>
      </c>
      <c r="P637" s="30">
        <f>PM_Angle!$J$10+PM_Angle!$K$10*$C637+PM_Angle!$L$10*$B637</f>
      </c>
      <c r="Q637" s="12">
        <f>IF(P637&gt;0,IF(P637&lt;=eco,alpha*fck*(1-(1-P637/eco)^n),alpha*fck),0)</f>
      </c>
      <c r="R637" s="30">
        <f>PM_Angle!$J$11+PM_Angle!$K$11*$C637+PM_Angle!$L$11*$B637</f>
      </c>
      <c r="S637" s="12">
        <f>IF(R637&gt;0,IF(R637&lt;=eco,alpha*fck*(1-(1-R637/eco)^n),alpha*fck),0)</f>
      </c>
      <c r="T637" s="30">
        <f>PM_Angle!$J$12+PM_Angle!$K$12*$C637+PM_Angle!$L$12*$B637</f>
      </c>
      <c r="U637" s="12">
        <f>IF(T637&gt;0,IF(T637&lt;=eco,alpha*fck*(1-(1-T637/eco)^n),alpha*fck),0)</f>
      </c>
      <c r="V637" s="30">
        <f>PM_Angle!$J$13+PM_Angle!$K$13*$C637+PM_Angle!$L$13*$B637</f>
      </c>
      <c r="W637" s="12">
        <f>IF(V637&gt;0,IF(V637&lt;=eco,alpha*fck*(1-(1-V637/eco)^n),alpha*fck),0)</f>
      </c>
      <c r="X637" s="30">
        <f>PM_Angle!$J$14+PM_Angle!$K$14*$C637+PM_Angle!$L$14*$B637</f>
      </c>
      <c r="Y637" s="12">
        <f>IF(X637&gt;0,IF(X637&lt;=eco,alpha*fck*(1-(1-X637/eco)^n),alpha*fck),0)</f>
      </c>
      <c r="Z637" s="30">
        <f>PM_Angle!$J$15+PM_Angle!$K$15*$C637+PM_Angle!$L$15*$B637</f>
      </c>
      <c r="AA637" s="12">
        <f>IF(Z637&gt;0,IF(Z637&lt;=eco,alpha*fck*(1-(1-Z637/eco)^n),alpha*fck),0)</f>
      </c>
      <c r="AB637" s="30">
        <f>PM_Angle!$J$16+PM_Angle!$K$16*$C637+PM_Angle!$L$16*$B637</f>
      </c>
      <c r="AC637" s="12">
        <f>IF(AB637&gt;0,IF(AB637&lt;=eco,alpha*fck*(1-(1-AB637/eco)^n),alpha*fck),0)</f>
      </c>
      <c r="AD637" s="30">
        <f>PM_Angle!$J$17+PM_Angle!$K$17*$C637+PM_Angle!$L$17*$B637</f>
      </c>
      <c r="AE637" s="12">
        <f>IF(AD637&gt;0,IF(AD637&lt;=eco,alpha*fck*(1-(1-AD637/eco)^n),alpha*fck),0)</f>
      </c>
      <c r="AF637" s="30">
        <f>PM_Angle!$J$18+PM_Angle!$K$18*$C637+PM_Angle!$L$18*$B637</f>
      </c>
      <c r="AG637" s="12">
        <f>IF(AF637&gt;0,IF(AF637&lt;=eco,alpha*fck*(1-(1-AF637/eco)^n),alpha*fck),0)</f>
      </c>
      <c r="AH637" s="30">
        <f>PM_Angle!$J$19+PM_Angle!$K$19*$C637+PM_Angle!$L$19*$B637</f>
      </c>
      <c r="AI637" s="12">
        <f>IF(AH637&gt;0,IF(AH637&lt;=eco,alpha*fck*(1-(1-AH637/eco)^n),alpha*fck),0)</f>
      </c>
      <c r="AJ637" s="30">
        <f>PM_Angle!$J$20+PM_Angle!$K$20*$C637+PM_Angle!$L$20*$B637</f>
      </c>
      <c r="AK637" s="12">
        <f>IF(AJ637&gt;0,IF(AJ637&lt;=eco,alpha*fck*(1-(1-AJ637/eco)^n),alpha*fck),0)</f>
      </c>
      <c r="AL637" s="30">
        <f>PM_Angle!$J$21+PM_Angle!$K$21*$C637+PM_Angle!$L$21*$B637</f>
      </c>
      <c r="AM637" s="12">
        <f>IF(AL637&gt;0,IF(AL637&lt;=eco,alpha*fck*(1-(1-AL637/eco)^n),alpha*fck),0)</f>
      </c>
      <c r="AN637" s="30">
        <f>PM_Angle!$J$22+PM_Angle!$K$22*$C637+PM_Angle!$L$22*$B637</f>
      </c>
      <c r="AO637" s="12">
        <f>IF(AN637&gt;0,IF(AN637&lt;=eco,alpha*fck*(1-(1-AN637/eco)^n),alpha*fck),0)</f>
      </c>
      <c r="AP637" s="30">
        <f>PM_Angle!$J$23+PM_Angle!$K$23*$C637+PM_Angle!$L$23*$B637</f>
      </c>
      <c r="AQ637" s="12">
        <f>IF(AP637&gt;0,IF(AP637&lt;=eco,alpha*fck*(1-(1-AP637/eco)^n),alpha*fck),0)</f>
      </c>
      <c r="AR637" s="30">
        <f>PM_Angle!$J$24+PM_Angle!$K$24*$C637+PM_Angle!$L$24*$B637</f>
      </c>
      <c r="AS637" s="12">
        <f>IF(AR637&gt;0,IF(AR637&lt;=eco,alpha*fck*(1-(1-AR637/eco)^n),alpha*fck),0)</f>
      </c>
      <c r="AT637" s="30">
        <f>PM_Angle!$J$25+PM_Angle!$K$25*$C637+PM_Angle!$L$25*$B637</f>
      </c>
      <c r="AU637" s="12">
        <f>IF(AT637&gt;0,IF(AT637&lt;=eco,alpha*fck*(1-(1-AT637/eco)^n),alpha*fck),0)</f>
      </c>
    </row>
    <row r="638" spans="1:47" x14ac:dyDescent="0.25">
      <c r="A638">
        <f>Mesh!A635</f>
      </c>
      <c r="B638" s="12">
        <f>Mesh!B635</f>
      </c>
      <c r="C638" s="12">
        <f>Mesh!C635</f>
      </c>
      <c r="D638" s="12">
        <f>Mesh!D635</f>
      </c>
      <c r="E638" s="30">
        <f>INDEX(St_e0,Det+1)+INDEX(St_kx,Det+1)*C638+INDEX(St_ky,Det+1)*B638</f>
      </c>
      <c r="F638" s="12">
        <f>IF(E638&gt;0,IF(E638&lt;=eco,alpha*fck*(1-(1-E638/eco)^n),alpha*fck),0)</f>
      </c>
      <c r="G638" s="11">
        <f>F638*D638</f>
      </c>
      <c r="H638" s="11">
        <f>G638*C638</f>
      </c>
      <c r="I638" s="11">
        <f>G638*B638</f>
      </c>
      <c r="J638" s="30">
        <f>PM_Angle!$J$7+PM_Angle!$K$7*$C638+PM_Angle!$L$7*$B638</f>
      </c>
      <c r="K638" s="12">
        <f>IF(J638&gt;0,IF(J638&lt;=eco,alpha*fck*(1-(1-J638/eco)^n),alpha*fck),0)</f>
      </c>
      <c r="L638" s="30">
        <f>PM_Angle!$J$8+PM_Angle!$K$8*$C638+PM_Angle!$L$8*$B638</f>
      </c>
      <c r="M638" s="12">
        <f>IF(L638&gt;0,IF(L638&lt;=eco,alpha*fck*(1-(1-L638/eco)^n),alpha*fck),0)</f>
      </c>
      <c r="N638" s="30">
        <f>PM_Angle!$J$9+PM_Angle!$K$9*$C638+PM_Angle!$L$9*$B638</f>
      </c>
      <c r="O638" s="12">
        <f>IF(N638&gt;0,IF(N638&lt;=eco,alpha*fck*(1-(1-N638/eco)^n),alpha*fck),0)</f>
      </c>
      <c r="P638" s="30">
        <f>PM_Angle!$J$10+PM_Angle!$K$10*$C638+PM_Angle!$L$10*$B638</f>
      </c>
      <c r="Q638" s="12">
        <f>IF(P638&gt;0,IF(P638&lt;=eco,alpha*fck*(1-(1-P638/eco)^n),alpha*fck),0)</f>
      </c>
      <c r="R638" s="30">
        <f>PM_Angle!$J$11+PM_Angle!$K$11*$C638+PM_Angle!$L$11*$B638</f>
      </c>
      <c r="S638" s="12">
        <f>IF(R638&gt;0,IF(R638&lt;=eco,alpha*fck*(1-(1-R638/eco)^n),alpha*fck),0)</f>
      </c>
      <c r="T638" s="30">
        <f>PM_Angle!$J$12+PM_Angle!$K$12*$C638+PM_Angle!$L$12*$B638</f>
      </c>
      <c r="U638" s="12">
        <f>IF(T638&gt;0,IF(T638&lt;=eco,alpha*fck*(1-(1-T638/eco)^n),alpha*fck),0)</f>
      </c>
      <c r="V638" s="30">
        <f>PM_Angle!$J$13+PM_Angle!$K$13*$C638+PM_Angle!$L$13*$B638</f>
      </c>
      <c r="W638" s="12">
        <f>IF(V638&gt;0,IF(V638&lt;=eco,alpha*fck*(1-(1-V638/eco)^n),alpha*fck),0)</f>
      </c>
      <c r="X638" s="30">
        <f>PM_Angle!$J$14+PM_Angle!$K$14*$C638+PM_Angle!$L$14*$B638</f>
      </c>
      <c r="Y638" s="12">
        <f>IF(X638&gt;0,IF(X638&lt;=eco,alpha*fck*(1-(1-X638/eco)^n),alpha*fck),0)</f>
      </c>
      <c r="Z638" s="30">
        <f>PM_Angle!$J$15+PM_Angle!$K$15*$C638+PM_Angle!$L$15*$B638</f>
      </c>
      <c r="AA638" s="12">
        <f>IF(Z638&gt;0,IF(Z638&lt;=eco,alpha*fck*(1-(1-Z638/eco)^n),alpha*fck),0)</f>
      </c>
      <c r="AB638" s="30">
        <f>PM_Angle!$J$16+PM_Angle!$K$16*$C638+PM_Angle!$L$16*$B638</f>
      </c>
      <c r="AC638" s="12">
        <f>IF(AB638&gt;0,IF(AB638&lt;=eco,alpha*fck*(1-(1-AB638/eco)^n),alpha*fck),0)</f>
      </c>
      <c r="AD638" s="30">
        <f>PM_Angle!$J$17+PM_Angle!$K$17*$C638+PM_Angle!$L$17*$B638</f>
      </c>
      <c r="AE638" s="12">
        <f>IF(AD638&gt;0,IF(AD638&lt;=eco,alpha*fck*(1-(1-AD638/eco)^n),alpha*fck),0)</f>
      </c>
      <c r="AF638" s="30">
        <f>PM_Angle!$J$18+PM_Angle!$K$18*$C638+PM_Angle!$L$18*$B638</f>
      </c>
      <c r="AG638" s="12">
        <f>IF(AF638&gt;0,IF(AF638&lt;=eco,alpha*fck*(1-(1-AF638/eco)^n),alpha*fck),0)</f>
      </c>
      <c r="AH638" s="30">
        <f>PM_Angle!$J$19+PM_Angle!$K$19*$C638+PM_Angle!$L$19*$B638</f>
      </c>
      <c r="AI638" s="12">
        <f>IF(AH638&gt;0,IF(AH638&lt;=eco,alpha*fck*(1-(1-AH638/eco)^n),alpha*fck),0)</f>
      </c>
      <c r="AJ638" s="30">
        <f>PM_Angle!$J$20+PM_Angle!$K$20*$C638+PM_Angle!$L$20*$B638</f>
      </c>
      <c r="AK638" s="12">
        <f>IF(AJ638&gt;0,IF(AJ638&lt;=eco,alpha*fck*(1-(1-AJ638/eco)^n),alpha*fck),0)</f>
      </c>
      <c r="AL638" s="30">
        <f>PM_Angle!$J$21+PM_Angle!$K$21*$C638+PM_Angle!$L$21*$B638</f>
      </c>
      <c r="AM638" s="12">
        <f>IF(AL638&gt;0,IF(AL638&lt;=eco,alpha*fck*(1-(1-AL638/eco)^n),alpha*fck),0)</f>
      </c>
      <c r="AN638" s="30">
        <f>PM_Angle!$J$22+PM_Angle!$K$22*$C638+PM_Angle!$L$22*$B638</f>
      </c>
      <c r="AO638" s="12">
        <f>IF(AN638&gt;0,IF(AN638&lt;=eco,alpha*fck*(1-(1-AN638/eco)^n),alpha*fck),0)</f>
      </c>
      <c r="AP638" s="30">
        <f>PM_Angle!$J$23+PM_Angle!$K$23*$C638+PM_Angle!$L$23*$B638</f>
      </c>
      <c r="AQ638" s="12">
        <f>IF(AP638&gt;0,IF(AP638&lt;=eco,alpha*fck*(1-(1-AP638/eco)^n),alpha*fck),0)</f>
      </c>
      <c r="AR638" s="30">
        <f>PM_Angle!$J$24+PM_Angle!$K$24*$C638+PM_Angle!$L$24*$B638</f>
      </c>
      <c r="AS638" s="12">
        <f>IF(AR638&gt;0,IF(AR638&lt;=eco,alpha*fck*(1-(1-AR638/eco)^n),alpha*fck),0)</f>
      </c>
      <c r="AT638" s="30">
        <f>PM_Angle!$J$25+PM_Angle!$K$25*$C638+PM_Angle!$L$25*$B638</f>
      </c>
      <c r="AU638" s="12">
        <f>IF(AT638&gt;0,IF(AT638&lt;=eco,alpha*fck*(1-(1-AT638/eco)^n),alpha*fck),0)</f>
      </c>
    </row>
    <row r="639" spans="1:47" x14ac:dyDescent="0.25">
      <c r="A639">
        <f>Mesh!A636</f>
      </c>
      <c r="B639" s="12">
        <f>Mesh!B636</f>
      </c>
      <c r="C639" s="12">
        <f>Mesh!C636</f>
      </c>
      <c r="D639" s="12">
        <f>Mesh!D636</f>
      </c>
      <c r="E639" s="30">
        <f>INDEX(St_e0,Det+1)+INDEX(St_kx,Det+1)*C639+INDEX(St_ky,Det+1)*B639</f>
      </c>
      <c r="F639" s="12">
        <f>IF(E639&gt;0,IF(E639&lt;=eco,alpha*fck*(1-(1-E639/eco)^n),alpha*fck),0)</f>
      </c>
      <c r="G639" s="11">
        <f>F639*D639</f>
      </c>
      <c r="H639" s="11">
        <f>G639*C639</f>
      </c>
      <c r="I639" s="11">
        <f>G639*B639</f>
      </c>
      <c r="J639" s="30">
        <f>PM_Angle!$J$7+PM_Angle!$K$7*$C639+PM_Angle!$L$7*$B639</f>
      </c>
      <c r="K639" s="12">
        <f>IF(J639&gt;0,IF(J639&lt;=eco,alpha*fck*(1-(1-J639/eco)^n),alpha*fck),0)</f>
      </c>
      <c r="L639" s="30">
        <f>PM_Angle!$J$8+PM_Angle!$K$8*$C639+PM_Angle!$L$8*$B639</f>
      </c>
      <c r="M639" s="12">
        <f>IF(L639&gt;0,IF(L639&lt;=eco,alpha*fck*(1-(1-L639/eco)^n),alpha*fck),0)</f>
      </c>
      <c r="N639" s="30">
        <f>PM_Angle!$J$9+PM_Angle!$K$9*$C639+PM_Angle!$L$9*$B639</f>
      </c>
      <c r="O639" s="12">
        <f>IF(N639&gt;0,IF(N639&lt;=eco,alpha*fck*(1-(1-N639/eco)^n),alpha*fck),0)</f>
      </c>
      <c r="P639" s="30">
        <f>PM_Angle!$J$10+PM_Angle!$K$10*$C639+PM_Angle!$L$10*$B639</f>
      </c>
      <c r="Q639" s="12">
        <f>IF(P639&gt;0,IF(P639&lt;=eco,alpha*fck*(1-(1-P639/eco)^n),alpha*fck),0)</f>
      </c>
      <c r="R639" s="30">
        <f>PM_Angle!$J$11+PM_Angle!$K$11*$C639+PM_Angle!$L$11*$B639</f>
      </c>
      <c r="S639" s="12">
        <f>IF(R639&gt;0,IF(R639&lt;=eco,alpha*fck*(1-(1-R639/eco)^n),alpha*fck),0)</f>
      </c>
      <c r="T639" s="30">
        <f>PM_Angle!$J$12+PM_Angle!$K$12*$C639+PM_Angle!$L$12*$B639</f>
      </c>
      <c r="U639" s="12">
        <f>IF(T639&gt;0,IF(T639&lt;=eco,alpha*fck*(1-(1-T639/eco)^n),alpha*fck),0)</f>
      </c>
      <c r="V639" s="30">
        <f>PM_Angle!$J$13+PM_Angle!$K$13*$C639+PM_Angle!$L$13*$B639</f>
      </c>
      <c r="W639" s="12">
        <f>IF(V639&gt;0,IF(V639&lt;=eco,alpha*fck*(1-(1-V639/eco)^n),alpha*fck),0)</f>
      </c>
      <c r="X639" s="30">
        <f>PM_Angle!$J$14+PM_Angle!$K$14*$C639+PM_Angle!$L$14*$B639</f>
      </c>
      <c r="Y639" s="12">
        <f>IF(X639&gt;0,IF(X639&lt;=eco,alpha*fck*(1-(1-X639/eco)^n),alpha*fck),0)</f>
      </c>
      <c r="Z639" s="30">
        <f>PM_Angle!$J$15+PM_Angle!$K$15*$C639+PM_Angle!$L$15*$B639</f>
      </c>
      <c r="AA639" s="12">
        <f>IF(Z639&gt;0,IF(Z639&lt;=eco,alpha*fck*(1-(1-Z639/eco)^n),alpha*fck),0)</f>
      </c>
      <c r="AB639" s="30">
        <f>PM_Angle!$J$16+PM_Angle!$K$16*$C639+PM_Angle!$L$16*$B639</f>
      </c>
      <c r="AC639" s="12">
        <f>IF(AB639&gt;0,IF(AB639&lt;=eco,alpha*fck*(1-(1-AB639/eco)^n),alpha*fck),0)</f>
      </c>
      <c r="AD639" s="30">
        <f>PM_Angle!$J$17+PM_Angle!$K$17*$C639+PM_Angle!$L$17*$B639</f>
      </c>
      <c r="AE639" s="12">
        <f>IF(AD639&gt;0,IF(AD639&lt;=eco,alpha*fck*(1-(1-AD639/eco)^n),alpha*fck),0)</f>
      </c>
      <c r="AF639" s="30">
        <f>PM_Angle!$J$18+PM_Angle!$K$18*$C639+PM_Angle!$L$18*$B639</f>
      </c>
      <c r="AG639" s="12">
        <f>IF(AF639&gt;0,IF(AF639&lt;=eco,alpha*fck*(1-(1-AF639/eco)^n),alpha*fck),0)</f>
      </c>
      <c r="AH639" s="30">
        <f>PM_Angle!$J$19+PM_Angle!$K$19*$C639+PM_Angle!$L$19*$B639</f>
      </c>
      <c r="AI639" s="12">
        <f>IF(AH639&gt;0,IF(AH639&lt;=eco,alpha*fck*(1-(1-AH639/eco)^n),alpha*fck),0)</f>
      </c>
      <c r="AJ639" s="30">
        <f>PM_Angle!$J$20+PM_Angle!$K$20*$C639+PM_Angle!$L$20*$B639</f>
      </c>
      <c r="AK639" s="12">
        <f>IF(AJ639&gt;0,IF(AJ639&lt;=eco,alpha*fck*(1-(1-AJ639/eco)^n),alpha*fck),0)</f>
      </c>
      <c r="AL639" s="30">
        <f>PM_Angle!$J$21+PM_Angle!$K$21*$C639+PM_Angle!$L$21*$B639</f>
      </c>
      <c r="AM639" s="12">
        <f>IF(AL639&gt;0,IF(AL639&lt;=eco,alpha*fck*(1-(1-AL639/eco)^n),alpha*fck),0)</f>
      </c>
      <c r="AN639" s="30">
        <f>PM_Angle!$J$22+PM_Angle!$K$22*$C639+PM_Angle!$L$22*$B639</f>
      </c>
      <c r="AO639" s="12">
        <f>IF(AN639&gt;0,IF(AN639&lt;=eco,alpha*fck*(1-(1-AN639/eco)^n),alpha*fck),0)</f>
      </c>
      <c r="AP639" s="30">
        <f>PM_Angle!$J$23+PM_Angle!$K$23*$C639+PM_Angle!$L$23*$B639</f>
      </c>
      <c r="AQ639" s="12">
        <f>IF(AP639&gt;0,IF(AP639&lt;=eco,alpha*fck*(1-(1-AP639/eco)^n),alpha*fck),0)</f>
      </c>
      <c r="AR639" s="30">
        <f>PM_Angle!$J$24+PM_Angle!$K$24*$C639+PM_Angle!$L$24*$B639</f>
      </c>
      <c r="AS639" s="12">
        <f>IF(AR639&gt;0,IF(AR639&lt;=eco,alpha*fck*(1-(1-AR639/eco)^n),alpha*fck),0)</f>
      </c>
      <c r="AT639" s="30">
        <f>PM_Angle!$J$25+PM_Angle!$K$25*$C639+PM_Angle!$L$25*$B639</f>
      </c>
      <c r="AU639" s="12">
        <f>IF(AT639&gt;0,IF(AT639&lt;=eco,alpha*fck*(1-(1-AT639/eco)^n),alpha*fck),0)</f>
      </c>
    </row>
    <row r="640" spans="1:47" x14ac:dyDescent="0.25">
      <c r="A640">
        <f>Mesh!A637</f>
      </c>
      <c r="B640" s="12">
        <f>Mesh!B637</f>
      </c>
      <c r="C640" s="12">
        <f>Mesh!C637</f>
      </c>
      <c r="D640" s="12">
        <f>Mesh!D637</f>
      </c>
      <c r="E640" s="30">
        <f>INDEX(St_e0,Det+1)+INDEX(St_kx,Det+1)*C640+INDEX(St_ky,Det+1)*B640</f>
      </c>
      <c r="F640" s="12">
        <f>IF(E640&gt;0,IF(E640&lt;=eco,alpha*fck*(1-(1-E640/eco)^n),alpha*fck),0)</f>
      </c>
      <c r="G640" s="11">
        <f>F640*D640</f>
      </c>
      <c r="H640" s="11">
        <f>G640*C640</f>
      </c>
      <c r="I640" s="11">
        <f>G640*B640</f>
      </c>
      <c r="J640" s="30">
        <f>PM_Angle!$J$7+PM_Angle!$K$7*$C640+PM_Angle!$L$7*$B640</f>
      </c>
      <c r="K640" s="12">
        <f>IF(J640&gt;0,IF(J640&lt;=eco,alpha*fck*(1-(1-J640/eco)^n),alpha*fck),0)</f>
      </c>
      <c r="L640" s="30">
        <f>PM_Angle!$J$8+PM_Angle!$K$8*$C640+PM_Angle!$L$8*$B640</f>
      </c>
      <c r="M640" s="12">
        <f>IF(L640&gt;0,IF(L640&lt;=eco,alpha*fck*(1-(1-L640/eco)^n),alpha*fck),0)</f>
      </c>
      <c r="N640" s="30">
        <f>PM_Angle!$J$9+PM_Angle!$K$9*$C640+PM_Angle!$L$9*$B640</f>
      </c>
      <c r="O640" s="12">
        <f>IF(N640&gt;0,IF(N640&lt;=eco,alpha*fck*(1-(1-N640/eco)^n),alpha*fck),0)</f>
      </c>
      <c r="P640" s="30">
        <f>PM_Angle!$J$10+PM_Angle!$K$10*$C640+PM_Angle!$L$10*$B640</f>
      </c>
      <c r="Q640" s="12">
        <f>IF(P640&gt;0,IF(P640&lt;=eco,alpha*fck*(1-(1-P640/eco)^n),alpha*fck),0)</f>
      </c>
      <c r="R640" s="30">
        <f>PM_Angle!$J$11+PM_Angle!$K$11*$C640+PM_Angle!$L$11*$B640</f>
      </c>
      <c r="S640" s="12">
        <f>IF(R640&gt;0,IF(R640&lt;=eco,alpha*fck*(1-(1-R640/eco)^n),alpha*fck),0)</f>
      </c>
      <c r="T640" s="30">
        <f>PM_Angle!$J$12+PM_Angle!$K$12*$C640+PM_Angle!$L$12*$B640</f>
      </c>
      <c r="U640" s="12">
        <f>IF(T640&gt;0,IF(T640&lt;=eco,alpha*fck*(1-(1-T640/eco)^n),alpha*fck),0)</f>
      </c>
      <c r="V640" s="30">
        <f>PM_Angle!$J$13+PM_Angle!$K$13*$C640+PM_Angle!$L$13*$B640</f>
      </c>
      <c r="W640" s="12">
        <f>IF(V640&gt;0,IF(V640&lt;=eco,alpha*fck*(1-(1-V640/eco)^n),alpha*fck),0)</f>
      </c>
      <c r="X640" s="30">
        <f>PM_Angle!$J$14+PM_Angle!$K$14*$C640+PM_Angle!$L$14*$B640</f>
      </c>
      <c r="Y640" s="12">
        <f>IF(X640&gt;0,IF(X640&lt;=eco,alpha*fck*(1-(1-X640/eco)^n),alpha*fck),0)</f>
      </c>
      <c r="Z640" s="30">
        <f>PM_Angle!$J$15+PM_Angle!$K$15*$C640+PM_Angle!$L$15*$B640</f>
      </c>
      <c r="AA640" s="12">
        <f>IF(Z640&gt;0,IF(Z640&lt;=eco,alpha*fck*(1-(1-Z640/eco)^n),alpha*fck),0)</f>
      </c>
      <c r="AB640" s="30">
        <f>PM_Angle!$J$16+PM_Angle!$K$16*$C640+PM_Angle!$L$16*$B640</f>
      </c>
      <c r="AC640" s="12">
        <f>IF(AB640&gt;0,IF(AB640&lt;=eco,alpha*fck*(1-(1-AB640/eco)^n),alpha*fck),0)</f>
      </c>
      <c r="AD640" s="30">
        <f>PM_Angle!$J$17+PM_Angle!$K$17*$C640+PM_Angle!$L$17*$B640</f>
      </c>
      <c r="AE640" s="12">
        <f>IF(AD640&gt;0,IF(AD640&lt;=eco,alpha*fck*(1-(1-AD640/eco)^n),alpha*fck),0)</f>
      </c>
      <c r="AF640" s="30">
        <f>PM_Angle!$J$18+PM_Angle!$K$18*$C640+PM_Angle!$L$18*$B640</f>
      </c>
      <c r="AG640" s="12">
        <f>IF(AF640&gt;0,IF(AF640&lt;=eco,alpha*fck*(1-(1-AF640/eco)^n),alpha*fck),0)</f>
      </c>
      <c r="AH640" s="30">
        <f>PM_Angle!$J$19+PM_Angle!$K$19*$C640+PM_Angle!$L$19*$B640</f>
      </c>
      <c r="AI640" s="12">
        <f>IF(AH640&gt;0,IF(AH640&lt;=eco,alpha*fck*(1-(1-AH640/eco)^n),alpha*fck),0)</f>
      </c>
      <c r="AJ640" s="30">
        <f>PM_Angle!$J$20+PM_Angle!$K$20*$C640+PM_Angle!$L$20*$B640</f>
      </c>
      <c r="AK640" s="12">
        <f>IF(AJ640&gt;0,IF(AJ640&lt;=eco,alpha*fck*(1-(1-AJ640/eco)^n),alpha*fck),0)</f>
      </c>
      <c r="AL640" s="30">
        <f>PM_Angle!$J$21+PM_Angle!$K$21*$C640+PM_Angle!$L$21*$B640</f>
      </c>
      <c r="AM640" s="12">
        <f>IF(AL640&gt;0,IF(AL640&lt;=eco,alpha*fck*(1-(1-AL640/eco)^n),alpha*fck),0)</f>
      </c>
      <c r="AN640" s="30">
        <f>PM_Angle!$J$22+PM_Angle!$K$22*$C640+PM_Angle!$L$22*$B640</f>
      </c>
      <c r="AO640" s="12">
        <f>IF(AN640&gt;0,IF(AN640&lt;=eco,alpha*fck*(1-(1-AN640/eco)^n),alpha*fck),0)</f>
      </c>
      <c r="AP640" s="30">
        <f>PM_Angle!$J$23+PM_Angle!$K$23*$C640+PM_Angle!$L$23*$B640</f>
      </c>
      <c r="AQ640" s="12">
        <f>IF(AP640&gt;0,IF(AP640&lt;=eco,alpha*fck*(1-(1-AP640/eco)^n),alpha*fck),0)</f>
      </c>
      <c r="AR640" s="30">
        <f>PM_Angle!$J$24+PM_Angle!$K$24*$C640+PM_Angle!$L$24*$B640</f>
      </c>
      <c r="AS640" s="12">
        <f>IF(AR640&gt;0,IF(AR640&lt;=eco,alpha*fck*(1-(1-AR640/eco)^n),alpha*fck),0)</f>
      </c>
      <c r="AT640" s="30">
        <f>PM_Angle!$J$25+PM_Angle!$K$25*$C640+PM_Angle!$L$25*$B640</f>
      </c>
      <c r="AU640" s="12">
        <f>IF(AT640&gt;0,IF(AT640&lt;=eco,alpha*fck*(1-(1-AT640/eco)^n),alpha*fck),0)</f>
      </c>
    </row>
    <row r="641" spans="1:47" x14ac:dyDescent="0.25">
      <c r="A641">
        <f>Mesh!A638</f>
      </c>
      <c r="B641" s="12">
        <f>Mesh!B638</f>
      </c>
      <c r="C641" s="12">
        <f>Mesh!C638</f>
      </c>
      <c r="D641" s="12">
        <f>Mesh!D638</f>
      </c>
      <c r="E641" s="30">
        <f>INDEX(St_e0,Det+1)+INDEX(St_kx,Det+1)*C641+INDEX(St_ky,Det+1)*B641</f>
      </c>
      <c r="F641" s="12">
        <f>IF(E641&gt;0,IF(E641&lt;=eco,alpha*fck*(1-(1-E641/eco)^n),alpha*fck),0)</f>
      </c>
      <c r="G641" s="11">
        <f>F641*D641</f>
      </c>
      <c r="H641" s="11">
        <f>G641*C641</f>
      </c>
      <c r="I641" s="11">
        <f>G641*B641</f>
      </c>
      <c r="J641" s="30">
        <f>PM_Angle!$J$7+PM_Angle!$K$7*$C641+PM_Angle!$L$7*$B641</f>
      </c>
      <c r="K641" s="12">
        <f>IF(J641&gt;0,IF(J641&lt;=eco,alpha*fck*(1-(1-J641/eco)^n),alpha*fck),0)</f>
      </c>
      <c r="L641" s="30">
        <f>PM_Angle!$J$8+PM_Angle!$K$8*$C641+PM_Angle!$L$8*$B641</f>
      </c>
      <c r="M641" s="12">
        <f>IF(L641&gt;0,IF(L641&lt;=eco,alpha*fck*(1-(1-L641/eco)^n),alpha*fck),0)</f>
      </c>
      <c r="N641" s="30">
        <f>PM_Angle!$J$9+PM_Angle!$K$9*$C641+PM_Angle!$L$9*$B641</f>
      </c>
      <c r="O641" s="12">
        <f>IF(N641&gt;0,IF(N641&lt;=eco,alpha*fck*(1-(1-N641/eco)^n),alpha*fck),0)</f>
      </c>
      <c r="P641" s="30">
        <f>PM_Angle!$J$10+PM_Angle!$K$10*$C641+PM_Angle!$L$10*$B641</f>
      </c>
      <c r="Q641" s="12">
        <f>IF(P641&gt;0,IF(P641&lt;=eco,alpha*fck*(1-(1-P641/eco)^n),alpha*fck),0)</f>
      </c>
      <c r="R641" s="30">
        <f>PM_Angle!$J$11+PM_Angle!$K$11*$C641+PM_Angle!$L$11*$B641</f>
      </c>
      <c r="S641" s="12">
        <f>IF(R641&gt;0,IF(R641&lt;=eco,alpha*fck*(1-(1-R641/eco)^n),alpha*fck),0)</f>
      </c>
      <c r="T641" s="30">
        <f>PM_Angle!$J$12+PM_Angle!$K$12*$C641+PM_Angle!$L$12*$B641</f>
      </c>
      <c r="U641" s="12">
        <f>IF(T641&gt;0,IF(T641&lt;=eco,alpha*fck*(1-(1-T641/eco)^n),alpha*fck),0)</f>
      </c>
      <c r="V641" s="30">
        <f>PM_Angle!$J$13+PM_Angle!$K$13*$C641+PM_Angle!$L$13*$B641</f>
      </c>
      <c r="W641" s="12">
        <f>IF(V641&gt;0,IF(V641&lt;=eco,alpha*fck*(1-(1-V641/eco)^n),alpha*fck),0)</f>
      </c>
      <c r="X641" s="30">
        <f>PM_Angle!$J$14+PM_Angle!$K$14*$C641+PM_Angle!$L$14*$B641</f>
      </c>
      <c r="Y641" s="12">
        <f>IF(X641&gt;0,IF(X641&lt;=eco,alpha*fck*(1-(1-X641/eco)^n),alpha*fck),0)</f>
      </c>
      <c r="Z641" s="30">
        <f>PM_Angle!$J$15+PM_Angle!$K$15*$C641+PM_Angle!$L$15*$B641</f>
      </c>
      <c r="AA641" s="12">
        <f>IF(Z641&gt;0,IF(Z641&lt;=eco,alpha*fck*(1-(1-Z641/eco)^n),alpha*fck),0)</f>
      </c>
      <c r="AB641" s="30">
        <f>PM_Angle!$J$16+PM_Angle!$K$16*$C641+PM_Angle!$L$16*$B641</f>
      </c>
      <c r="AC641" s="12">
        <f>IF(AB641&gt;0,IF(AB641&lt;=eco,alpha*fck*(1-(1-AB641/eco)^n),alpha*fck),0)</f>
      </c>
      <c r="AD641" s="30">
        <f>PM_Angle!$J$17+PM_Angle!$K$17*$C641+PM_Angle!$L$17*$B641</f>
      </c>
      <c r="AE641" s="12">
        <f>IF(AD641&gt;0,IF(AD641&lt;=eco,alpha*fck*(1-(1-AD641/eco)^n),alpha*fck),0)</f>
      </c>
      <c r="AF641" s="30">
        <f>PM_Angle!$J$18+PM_Angle!$K$18*$C641+PM_Angle!$L$18*$B641</f>
      </c>
      <c r="AG641" s="12">
        <f>IF(AF641&gt;0,IF(AF641&lt;=eco,alpha*fck*(1-(1-AF641/eco)^n),alpha*fck),0)</f>
      </c>
      <c r="AH641" s="30">
        <f>PM_Angle!$J$19+PM_Angle!$K$19*$C641+PM_Angle!$L$19*$B641</f>
      </c>
      <c r="AI641" s="12">
        <f>IF(AH641&gt;0,IF(AH641&lt;=eco,alpha*fck*(1-(1-AH641/eco)^n),alpha*fck),0)</f>
      </c>
      <c r="AJ641" s="30">
        <f>PM_Angle!$J$20+PM_Angle!$K$20*$C641+PM_Angle!$L$20*$B641</f>
      </c>
      <c r="AK641" s="12">
        <f>IF(AJ641&gt;0,IF(AJ641&lt;=eco,alpha*fck*(1-(1-AJ641/eco)^n),alpha*fck),0)</f>
      </c>
      <c r="AL641" s="30">
        <f>PM_Angle!$J$21+PM_Angle!$K$21*$C641+PM_Angle!$L$21*$B641</f>
      </c>
      <c r="AM641" s="12">
        <f>IF(AL641&gt;0,IF(AL641&lt;=eco,alpha*fck*(1-(1-AL641/eco)^n),alpha*fck),0)</f>
      </c>
      <c r="AN641" s="30">
        <f>PM_Angle!$J$22+PM_Angle!$K$22*$C641+PM_Angle!$L$22*$B641</f>
      </c>
      <c r="AO641" s="12">
        <f>IF(AN641&gt;0,IF(AN641&lt;=eco,alpha*fck*(1-(1-AN641/eco)^n),alpha*fck),0)</f>
      </c>
      <c r="AP641" s="30">
        <f>PM_Angle!$J$23+PM_Angle!$K$23*$C641+PM_Angle!$L$23*$B641</f>
      </c>
      <c r="AQ641" s="12">
        <f>IF(AP641&gt;0,IF(AP641&lt;=eco,alpha*fck*(1-(1-AP641/eco)^n),alpha*fck),0)</f>
      </c>
      <c r="AR641" s="30">
        <f>PM_Angle!$J$24+PM_Angle!$K$24*$C641+PM_Angle!$L$24*$B641</f>
      </c>
      <c r="AS641" s="12">
        <f>IF(AR641&gt;0,IF(AR641&lt;=eco,alpha*fck*(1-(1-AR641/eco)^n),alpha*fck),0)</f>
      </c>
      <c r="AT641" s="30">
        <f>PM_Angle!$J$25+PM_Angle!$K$25*$C641+PM_Angle!$L$25*$B641</f>
      </c>
      <c r="AU641" s="12">
        <f>IF(AT641&gt;0,IF(AT641&lt;=eco,alpha*fck*(1-(1-AT641/eco)^n),alpha*fck),0)</f>
      </c>
    </row>
    <row r="642" spans="1:47" x14ac:dyDescent="0.25">
      <c r="A642">
        <f>Mesh!A639</f>
      </c>
      <c r="B642" s="12">
        <f>Mesh!B639</f>
      </c>
      <c r="C642" s="12">
        <f>Mesh!C639</f>
      </c>
      <c r="D642" s="12">
        <f>Mesh!D639</f>
      </c>
      <c r="E642" s="30">
        <f>INDEX(St_e0,Det+1)+INDEX(St_kx,Det+1)*C642+INDEX(St_ky,Det+1)*B642</f>
      </c>
      <c r="F642" s="12">
        <f>IF(E642&gt;0,IF(E642&lt;=eco,alpha*fck*(1-(1-E642/eco)^n),alpha*fck),0)</f>
      </c>
      <c r="G642" s="11">
        <f>F642*D642</f>
      </c>
      <c r="H642" s="11">
        <f>G642*C642</f>
      </c>
      <c r="I642" s="11">
        <f>G642*B642</f>
      </c>
      <c r="J642" s="30">
        <f>PM_Angle!$J$7+PM_Angle!$K$7*$C642+PM_Angle!$L$7*$B642</f>
      </c>
      <c r="K642" s="12">
        <f>IF(J642&gt;0,IF(J642&lt;=eco,alpha*fck*(1-(1-J642/eco)^n),alpha*fck),0)</f>
      </c>
      <c r="L642" s="30">
        <f>PM_Angle!$J$8+PM_Angle!$K$8*$C642+PM_Angle!$L$8*$B642</f>
      </c>
      <c r="M642" s="12">
        <f>IF(L642&gt;0,IF(L642&lt;=eco,alpha*fck*(1-(1-L642/eco)^n),alpha*fck),0)</f>
      </c>
      <c r="N642" s="30">
        <f>PM_Angle!$J$9+PM_Angle!$K$9*$C642+PM_Angle!$L$9*$B642</f>
      </c>
      <c r="O642" s="12">
        <f>IF(N642&gt;0,IF(N642&lt;=eco,alpha*fck*(1-(1-N642/eco)^n),alpha*fck),0)</f>
      </c>
      <c r="P642" s="30">
        <f>PM_Angle!$J$10+PM_Angle!$K$10*$C642+PM_Angle!$L$10*$B642</f>
      </c>
      <c r="Q642" s="12">
        <f>IF(P642&gt;0,IF(P642&lt;=eco,alpha*fck*(1-(1-P642/eco)^n),alpha*fck),0)</f>
      </c>
      <c r="R642" s="30">
        <f>PM_Angle!$J$11+PM_Angle!$K$11*$C642+PM_Angle!$L$11*$B642</f>
      </c>
      <c r="S642" s="12">
        <f>IF(R642&gt;0,IF(R642&lt;=eco,alpha*fck*(1-(1-R642/eco)^n),alpha*fck),0)</f>
      </c>
      <c r="T642" s="30">
        <f>PM_Angle!$J$12+PM_Angle!$K$12*$C642+PM_Angle!$L$12*$B642</f>
      </c>
      <c r="U642" s="12">
        <f>IF(T642&gt;0,IF(T642&lt;=eco,alpha*fck*(1-(1-T642/eco)^n),alpha*fck),0)</f>
      </c>
      <c r="V642" s="30">
        <f>PM_Angle!$J$13+PM_Angle!$K$13*$C642+PM_Angle!$L$13*$B642</f>
      </c>
      <c r="W642" s="12">
        <f>IF(V642&gt;0,IF(V642&lt;=eco,alpha*fck*(1-(1-V642/eco)^n),alpha*fck),0)</f>
      </c>
      <c r="X642" s="30">
        <f>PM_Angle!$J$14+PM_Angle!$K$14*$C642+PM_Angle!$L$14*$B642</f>
      </c>
      <c r="Y642" s="12">
        <f>IF(X642&gt;0,IF(X642&lt;=eco,alpha*fck*(1-(1-X642/eco)^n),alpha*fck),0)</f>
      </c>
      <c r="Z642" s="30">
        <f>PM_Angle!$J$15+PM_Angle!$K$15*$C642+PM_Angle!$L$15*$B642</f>
      </c>
      <c r="AA642" s="12">
        <f>IF(Z642&gt;0,IF(Z642&lt;=eco,alpha*fck*(1-(1-Z642/eco)^n),alpha*fck),0)</f>
      </c>
      <c r="AB642" s="30">
        <f>PM_Angle!$J$16+PM_Angle!$K$16*$C642+PM_Angle!$L$16*$B642</f>
      </c>
      <c r="AC642" s="12">
        <f>IF(AB642&gt;0,IF(AB642&lt;=eco,alpha*fck*(1-(1-AB642/eco)^n),alpha*fck),0)</f>
      </c>
      <c r="AD642" s="30">
        <f>PM_Angle!$J$17+PM_Angle!$K$17*$C642+PM_Angle!$L$17*$B642</f>
      </c>
      <c r="AE642" s="12">
        <f>IF(AD642&gt;0,IF(AD642&lt;=eco,alpha*fck*(1-(1-AD642/eco)^n),alpha*fck),0)</f>
      </c>
      <c r="AF642" s="30">
        <f>PM_Angle!$J$18+PM_Angle!$K$18*$C642+PM_Angle!$L$18*$B642</f>
      </c>
      <c r="AG642" s="12">
        <f>IF(AF642&gt;0,IF(AF642&lt;=eco,alpha*fck*(1-(1-AF642/eco)^n),alpha*fck),0)</f>
      </c>
      <c r="AH642" s="30">
        <f>PM_Angle!$J$19+PM_Angle!$K$19*$C642+PM_Angle!$L$19*$B642</f>
      </c>
      <c r="AI642" s="12">
        <f>IF(AH642&gt;0,IF(AH642&lt;=eco,alpha*fck*(1-(1-AH642/eco)^n),alpha*fck),0)</f>
      </c>
      <c r="AJ642" s="30">
        <f>PM_Angle!$J$20+PM_Angle!$K$20*$C642+PM_Angle!$L$20*$B642</f>
      </c>
      <c r="AK642" s="12">
        <f>IF(AJ642&gt;0,IF(AJ642&lt;=eco,alpha*fck*(1-(1-AJ642/eco)^n),alpha*fck),0)</f>
      </c>
      <c r="AL642" s="30">
        <f>PM_Angle!$J$21+PM_Angle!$K$21*$C642+PM_Angle!$L$21*$B642</f>
      </c>
      <c r="AM642" s="12">
        <f>IF(AL642&gt;0,IF(AL642&lt;=eco,alpha*fck*(1-(1-AL642/eco)^n),alpha*fck),0)</f>
      </c>
      <c r="AN642" s="30">
        <f>PM_Angle!$J$22+PM_Angle!$K$22*$C642+PM_Angle!$L$22*$B642</f>
      </c>
      <c r="AO642" s="12">
        <f>IF(AN642&gt;0,IF(AN642&lt;=eco,alpha*fck*(1-(1-AN642/eco)^n),alpha*fck),0)</f>
      </c>
      <c r="AP642" s="30">
        <f>PM_Angle!$J$23+PM_Angle!$K$23*$C642+PM_Angle!$L$23*$B642</f>
      </c>
      <c r="AQ642" s="12">
        <f>IF(AP642&gt;0,IF(AP642&lt;=eco,alpha*fck*(1-(1-AP642/eco)^n),alpha*fck),0)</f>
      </c>
      <c r="AR642" s="30">
        <f>PM_Angle!$J$24+PM_Angle!$K$24*$C642+PM_Angle!$L$24*$B642</f>
      </c>
      <c r="AS642" s="12">
        <f>IF(AR642&gt;0,IF(AR642&lt;=eco,alpha*fck*(1-(1-AR642/eco)^n),alpha*fck),0)</f>
      </c>
      <c r="AT642" s="30">
        <f>PM_Angle!$J$25+PM_Angle!$K$25*$C642+PM_Angle!$L$25*$B642</f>
      </c>
      <c r="AU642" s="12">
        <f>IF(AT642&gt;0,IF(AT642&lt;=eco,alpha*fck*(1-(1-AT642/eco)^n),alpha*fck),0)</f>
      </c>
    </row>
    <row r="643" spans="1:47" x14ac:dyDescent="0.25">
      <c r="A643">
        <f>Mesh!A640</f>
      </c>
      <c r="B643" s="12">
        <f>Mesh!B640</f>
      </c>
      <c r="C643" s="12">
        <f>Mesh!C640</f>
      </c>
      <c r="D643" s="12">
        <f>Mesh!D640</f>
      </c>
      <c r="E643" s="30">
        <f>INDEX(St_e0,Det+1)+INDEX(St_kx,Det+1)*C643+INDEX(St_ky,Det+1)*B643</f>
      </c>
      <c r="F643" s="12">
        <f>IF(E643&gt;0,IF(E643&lt;=eco,alpha*fck*(1-(1-E643/eco)^n),alpha*fck),0)</f>
      </c>
      <c r="G643" s="11">
        <f>F643*D643</f>
      </c>
      <c r="H643" s="11">
        <f>G643*C643</f>
      </c>
      <c r="I643" s="11">
        <f>G643*B643</f>
      </c>
      <c r="J643" s="30">
        <f>PM_Angle!$J$7+PM_Angle!$K$7*$C643+PM_Angle!$L$7*$B643</f>
      </c>
      <c r="K643" s="12">
        <f>IF(J643&gt;0,IF(J643&lt;=eco,alpha*fck*(1-(1-J643/eco)^n),alpha*fck),0)</f>
      </c>
      <c r="L643" s="30">
        <f>PM_Angle!$J$8+PM_Angle!$K$8*$C643+PM_Angle!$L$8*$B643</f>
      </c>
      <c r="M643" s="12">
        <f>IF(L643&gt;0,IF(L643&lt;=eco,alpha*fck*(1-(1-L643/eco)^n),alpha*fck),0)</f>
      </c>
      <c r="N643" s="30">
        <f>PM_Angle!$J$9+PM_Angle!$K$9*$C643+PM_Angle!$L$9*$B643</f>
      </c>
      <c r="O643" s="12">
        <f>IF(N643&gt;0,IF(N643&lt;=eco,alpha*fck*(1-(1-N643/eco)^n),alpha*fck),0)</f>
      </c>
      <c r="P643" s="30">
        <f>PM_Angle!$J$10+PM_Angle!$K$10*$C643+PM_Angle!$L$10*$B643</f>
      </c>
      <c r="Q643" s="12">
        <f>IF(P643&gt;0,IF(P643&lt;=eco,alpha*fck*(1-(1-P643/eco)^n),alpha*fck),0)</f>
      </c>
      <c r="R643" s="30">
        <f>PM_Angle!$J$11+PM_Angle!$K$11*$C643+PM_Angle!$L$11*$B643</f>
      </c>
      <c r="S643" s="12">
        <f>IF(R643&gt;0,IF(R643&lt;=eco,alpha*fck*(1-(1-R643/eco)^n),alpha*fck),0)</f>
      </c>
      <c r="T643" s="30">
        <f>PM_Angle!$J$12+PM_Angle!$K$12*$C643+PM_Angle!$L$12*$B643</f>
      </c>
      <c r="U643" s="12">
        <f>IF(T643&gt;0,IF(T643&lt;=eco,alpha*fck*(1-(1-T643/eco)^n),alpha*fck),0)</f>
      </c>
      <c r="V643" s="30">
        <f>PM_Angle!$J$13+PM_Angle!$K$13*$C643+PM_Angle!$L$13*$B643</f>
      </c>
      <c r="W643" s="12">
        <f>IF(V643&gt;0,IF(V643&lt;=eco,alpha*fck*(1-(1-V643/eco)^n),alpha*fck),0)</f>
      </c>
      <c r="X643" s="30">
        <f>PM_Angle!$J$14+PM_Angle!$K$14*$C643+PM_Angle!$L$14*$B643</f>
      </c>
      <c r="Y643" s="12">
        <f>IF(X643&gt;0,IF(X643&lt;=eco,alpha*fck*(1-(1-X643/eco)^n),alpha*fck),0)</f>
      </c>
      <c r="Z643" s="30">
        <f>PM_Angle!$J$15+PM_Angle!$K$15*$C643+PM_Angle!$L$15*$B643</f>
      </c>
      <c r="AA643" s="12">
        <f>IF(Z643&gt;0,IF(Z643&lt;=eco,alpha*fck*(1-(1-Z643/eco)^n),alpha*fck),0)</f>
      </c>
      <c r="AB643" s="30">
        <f>PM_Angle!$J$16+PM_Angle!$K$16*$C643+PM_Angle!$L$16*$B643</f>
      </c>
      <c r="AC643" s="12">
        <f>IF(AB643&gt;0,IF(AB643&lt;=eco,alpha*fck*(1-(1-AB643/eco)^n),alpha*fck),0)</f>
      </c>
      <c r="AD643" s="30">
        <f>PM_Angle!$J$17+PM_Angle!$K$17*$C643+PM_Angle!$L$17*$B643</f>
      </c>
      <c r="AE643" s="12">
        <f>IF(AD643&gt;0,IF(AD643&lt;=eco,alpha*fck*(1-(1-AD643/eco)^n),alpha*fck),0)</f>
      </c>
      <c r="AF643" s="30">
        <f>PM_Angle!$J$18+PM_Angle!$K$18*$C643+PM_Angle!$L$18*$B643</f>
      </c>
      <c r="AG643" s="12">
        <f>IF(AF643&gt;0,IF(AF643&lt;=eco,alpha*fck*(1-(1-AF643/eco)^n),alpha*fck),0)</f>
      </c>
      <c r="AH643" s="30">
        <f>PM_Angle!$J$19+PM_Angle!$K$19*$C643+PM_Angle!$L$19*$B643</f>
      </c>
      <c r="AI643" s="12">
        <f>IF(AH643&gt;0,IF(AH643&lt;=eco,alpha*fck*(1-(1-AH643/eco)^n),alpha*fck),0)</f>
      </c>
      <c r="AJ643" s="30">
        <f>PM_Angle!$J$20+PM_Angle!$K$20*$C643+PM_Angle!$L$20*$B643</f>
      </c>
      <c r="AK643" s="12">
        <f>IF(AJ643&gt;0,IF(AJ643&lt;=eco,alpha*fck*(1-(1-AJ643/eco)^n),alpha*fck),0)</f>
      </c>
      <c r="AL643" s="30">
        <f>PM_Angle!$J$21+PM_Angle!$K$21*$C643+PM_Angle!$L$21*$B643</f>
      </c>
      <c r="AM643" s="12">
        <f>IF(AL643&gt;0,IF(AL643&lt;=eco,alpha*fck*(1-(1-AL643/eco)^n),alpha*fck),0)</f>
      </c>
      <c r="AN643" s="30">
        <f>PM_Angle!$J$22+PM_Angle!$K$22*$C643+PM_Angle!$L$22*$B643</f>
      </c>
      <c r="AO643" s="12">
        <f>IF(AN643&gt;0,IF(AN643&lt;=eco,alpha*fck*(1-(1-AN643/eco)^n),alpha*fck),0)</f>
      </c>
      <c r="AP643" s="30">
        <f>PM_Angle!$J$23+PM_Angle!$K$23*$C643+PM_Angle!$L$23*$B643</f>
      </c>
      <c r="AQ643" s="12">
        <f>IF(AP643&gt;0,IF(AP643&lt;=eco,alpha*fck*(1-(1-AP643/eco)^n),alpha*fck),0)</f>
      </c>
      <c r="AR643" s="30">
        <f>PM_Angle!$J$24+PM_Angle!$K$24*$C643+PM_Angle!$L$24*$B643</f>
      </c>
      <c r="AS643" s="12">
        <f>IF(AR643&gt;0,IF(AR643&lt;=eco,alpha*fck*(1-(1-AR643/eco)^n),alpha*fck),0)</f>
      </c>
      <c r="AT643" s="30">
        <f>PM_Angle!$J$25+PM_Angle!$K$25*$C643+PM_Angle!$L$25*$B643</f>
      </c>
      <c r="AU643" s="12">
        <f>IF(AT643&gt;0,IF(AT643&lt;=eco,alpha*fck*(1-(1-AT643/eco)^n),alpha*fck),0)</f>
      </c>
    </row>
    <row r="644" spans="1:47" x14ac:dyDescent="0.25">
      <c r="A644">
        <f>Mesh!A641</f>
      </c>
      <c r="B644" s="12">
        <f>Mesh!B641</f>
      </c>
      <c r="C644" s="12">
        <f>Mesh!C641</f>
      </c>
      <c r="D644" s="12">
        <f>Mesh!D641</f>
      </c>
      <c r="E644" s="30">
        <f>INDEX(St_e0,Det+1)+INDEX(St_kx,Det+1)*C644+INDEX(St_ky,Det+1)*B644</f>
      </c>
      <c r="F644" s="12">
        <f>IF(E644&gt;0,IF(E644&lt;=eco,alpha*fck*(1-(1-E644/eco)^n),alpha*fck),0)</f>
      </c>
      <c r="G644" s="11">
        <f>F644*D644</f>
      </c>
      <c r="H644" s="11">
        <f>G644*C644</f>
      </c>
      <c r="I644" s="11">
        <f>G644*B644</f>
      </c>
      <c r="J644" s="30">
        <f>PM_Angle!$J$7+PM_Angle!$K$7*$C644+PM_Angle!$L$7*$B644</f>
      </c>
      <c r="K644" s="12">
        <f>IF(J644&gt;0,IF(J644&lt;=eco,alpha*fck*(1-(1-J644/eco)^n),alpha*fck),0)</f>
      </c>
      <c r="L644" s="30">
        <f>PM_Angle!$J$8+PM_Angle!$K$8*$C644+PM_Angle!$L$8*$B644</f>
      </c>
      <c r="M644" s="12">
        <f>IF(L644&gt;0,IF(L644&lt;=eco,alpha*fck*(1-(1-L644/eco)^n),alpha*fck),0)</f>
      </c>
      <c r="N644" s="30">
        <f>PM_Angle!$J$9+PM_Angle!$K$9*$C644+PM_Angle!$L$9*$B644</f>
      </c>
      <c r="O644" s="12">
        <f>IF(N644&gt;0,IF(N644&lt;=eco,alpha*fck*(1-(1-N644/eco)^n),alpha*fck),0)</f>
      </c>
      <c r="P644" s="30">
        <f>PM_Angle!$J$10+PM_Angle!$K$10*$C644+PM_Angle!$L$10*$B644</f>
      </c>
      <c r="Q644" s="12">
        <f>IF(P644&gt;0,IF(P644&lt;=eco,alpha*fck*(1-(1-P644/eco)^n),alpha*fck),0)</f>
      </c>
      <c r="R644" s="30">
        <f>PM_Angle!$J$11+PM_Angle!$K$11*$C644+PM_Angle!$L$11*$B644</f>
      </c>
      <c r="S644" s="12">
        <f>IF(R644&gt;0,IF(R644&lt;=eco,alpha*fck*(1-(1-R644/eco)^n),alpha*fck),0)</f>
      </c>
      <c r="T644" s="30">
        <f>PM_Angle!$J$12+PM_Angle!$K$12*$C644+PM_Angle!$L$12*$B644</f>
      </c>
      <c r="U644" s="12">
        <f>IF(T644&gt;0,IF(T644&lt;=eco,alpha*fck*(1-(1-T644/eco)^n),alpha*fck),0)</f>
      </c>
      <c r="V644" s="30">
        <f>PM_Angle!$J$13+PM_Angle!$K$13*$C644+PM_Angle!$L$13*$B644</f>
      </c>
      <c r="W644" s="12">
        <f>IF(V644&gt;0,IF(V644&lt;=eco,alpha*fck*(1-(1-V644/eco)^n),alpha*fck),0)</f>
      </c>
      <c r="X644" s="30">
        <f>PM_Angle!$J$14+PM_Angle!$K$14*$C644+PM_Angle!$L$14*$B644</f>
      </c>
      <c r="Y644" s="12">
        <f>IF(X644&gt;0,IF(X644&lt;=eco,alpha*fck*(1-(1-X644/eco)^n),alpha*fck),0)</f>
      </c>
      <c r="Z644" s="30">
        <f>PM_Angle!$J$15+PM_Angle!$K$15*$C644+PM_Angle!$L$15*$B644</f>
      </c>
      <c r="AA644" s="12">
        <f>IF(Z644&gt;0,IF(Z644&lt;=eco,alpha*fck*(1-(1-Z644/eco)^n),alpha*fck),0)</f>
      </c>
      <c r="AB644" s="30">
        <f>PM_Angle!$J$16+PM_Angle!$K$16*$C644+PM_Angle!$L$16*$B644</f>
      </c>
      <c r="AC644" s="12">
        <f>IF(AB644&gt;0,IF(AB644&lt;=eco,alpha*fck*(1-(1-AB644/eco)^n),alpha*fck),0)</f>
      </c>
      <c r="AD644" s="30">
        <f>PM_Angle!$J$17+PM_Angle!$K$17*$C644+PM_Angle!$L$17*$B644</f>
      </c>
      <c r="AE644" s="12">
        <f>IF(AD644&gt;0,IF(AD644&lt;=eco,alpha*fck*(1-(1-AD644/eco)^n),alpha*fck),0)</f>
      </c>
      <c r="AF644" s="30">
        <f>PM_Angle!$J$18+PM_Angle!$K$18*$C644+PM_Angle!$L$18*$B644</f>
      </c>
      <c r="AG644" s="12">
        <f>IF(AF644&gt;0,IF(AF644&lt;=eco,alpha*fck*(1-(1-AF644/eco)^n),alpha*fck),0)</f>
      </c>
      <c r="AH644" s="30">
        <f>PM_Angle!$J$19+PM_Angle!$K$19*$C644+PM_Angle!$L$19*$B644</f>
      </c>
      <c r="AI644" s="12">
        <f>IF(AH644&gt;0,IF(AH644&lt;=eco,alpha*fck*(1-(1-AH644/eco)^n),alpha*fck),0)</f>
      </c>
      <c r="AJ644" s="30">
        <f>PM_Angle!$J$20+PM_Angle!$K$20*$C644+PM_Angle!$L$20*$B644</f>
      </c>
      <c r="AK644" s="12">
        <f>IF(AJ644&gt;0,IF(AJ644&lt;=eco,alpha*fck*(1-(1-AJ644/eco)^n),alpha*fck),0)</f>
      </c>
      <c r="AL644" s="30">
        <f>PM_Angle!$J$21+PM_Angle!$K$21*$C644+PM_Angle!$L$21*$B644</f>
      </c>
      <c r="AM644" s="12">
        <f>IF(AL644&gt;0,IF(AL644&lt;=eco,alpha*fck*(1-(1-AL644/eco)^n),alpha*fck),0)</f>
      </c>
      <c r="AN644" s="30">
        <f>PM_Angle!$J$22+PM_Angle!$K$22*$C644+PM_Angle!$L$22*$B644</f>
      </c>
      <c r="AO644" s="12">
        <f>IF(AN644&gt;0,IF(AN644&lt;=eco,alpha*fck*(1-(1-AN644/eco)^n),alpha*fck),0)</f>
      </c>
      <c r="AP644" s="30">
        <f>PM_Angle!$J$23+PM_Angle!$K$23*$C644+PM_Angle!$L$23*$B644</f>
      </c>
      <c r="AQ644" s="12">
        <f>IF(AP644&gt;0,IF(AP644&lt;=eco,alpha*fck*(1-(1-AP644/eco)^n),alpha*fck),0)</f>
      </c>
      <c r="AR644" s="30">
        <f>PM_Angle!$J$24+PM_Angle!$K$24*$C644+PM_Angle!$L$24*$B644</f>
      </c>
      <c r="AS644" s="12">
        <f>IF(AR644&gt;0,IF(AR644&lt;=eco,alpha*fck*(1-(1-AR644/eco)^n),alpha*fck),0)</f>
      </c>
      <c r="AT644" s="30">
        <f>PM_Angle!$J$25+PM_Angle!$K$25*$C644+PM_Angle!$L$25*$B644</f>
      </c>
      <c r="AU644" s="12">
        <f>IF(AT644&gt;0,IF(AT644&lt;=eco,alpha*fck*(1-(1-AT644/eco)^n),alpha*fck),0)</f>
      </c>
    </row>
    <row r="645" spans="1:47" x14ac:dyDescent="0.25">
      <c r="A645">
        <f>Mesh!A642</f>
      </c>
      <c r="B645" s="12">
        <f>Mesh!B642</f>
      </c>
      <c r="C645" s="12">
        <f>Mesh!C642</f>
      </c>
      <c r="D645" s="12">
        <f>Mesh!D642</f>
      </c>
      <c r="E645" s="30">
        <f>INDEX(St_e0,Det+1)+INDEX(St_kx,Det+1)*C645+INDEX(St_ky,Det+1)*B645</f>
      </c>
      <c r="F645" s="12">
        <f>IF(E645&gt;0,IF(E645&lt;=eco,alpha*fck*(1-(1-E645/eco)^n),alpha*fck),0)</f>
      </c>
      <c r="G645" s="11">
        <f>F645*D645</f>
      </c>
      <c r="H645" s="11">
        <f>G645*C645</f>
      </c>
      <c r="I645" s="11">
        <f>G645*B645</f>
      </c>
      <c r="J645" s="30">
        <f>PM_Angle!$J$7+PM_Angle!$K$7*$C645+PM_Angle!$L$7*$B645</f>
      </c>
      <c r="K645" s="12">
        <f>IF(J645&gt;0,IF(J645&lt;=eco,alpha*fck*(1-(1-J645/eco)^n),alpha*fck),0)</f>
      </c>
      <c r="L645" s="30">
        <f>PM_Angle!$J$8+PM_Angle!$K$8*$C645+PM_Angle!$L$8*$B645</f>
      </c>
      <c r="M645" s="12">
        <f>IF(L645&gt;0,IF(L645&lt;=eco,alpha*fck*(1-(1-L645/eco)^n),alpha*fck),0)</f>
      </c>
      <c r="N645" s="30">
        <f>PM_Angle!$J$9+PM_Angle!$K$9*$C645+PM_Angle!$L$9*$B645</f>
      </c>
      <c r="O645" s="12">
        <f>IF(N645&gt;0,IF(N645&lt;=eco,alpha*fck*(1-(1-N645/eco)^n),alpha*fck),0)</f>
      </c>
      <c r="P645" s="30">
        <f>PM_Angle!$J$10+PM_Angle!$K$10*$C645+PM_Angle!$L$10*$B645</f>
      </c>
      <c r="Q645" s="12">
        <f>IF(P645&gt;0,IF(P645&lt;=eco,alpha*fck*(1-(1-P645/eco)^n),alpha*fck),0)</f>
      </c>
      <c r="R645" s="30">
        <f>PM_Angle!$J$11+PM_Angle!$K$11*$C645+PM_Angle!$L$11*$B645</f>
      </c>
      <c r="S645" s="12">
        <f>IF(R645&gt;0,IF(R645&lt;=eco,alpha*fck*(1-(1-R645/eco)^n),alpha*fck),0)</f>
      </c>
      <c r="T645" s="30">
        <f>PM_Angle!$J$12+PM_Angle!$K$12*$C645+PM_Angle!$L$12*$B645</f>
      </c>
      <c r="U645" s="12">
        <f>IF(T645&gt;0,IF(T645&lt;=eco,alpha*fck*(1-(1-T645/eco)^n),alpha*fck),0)</f>
      </c>
      <c r="V645" s="30">
        <f>PM_Angle!$J$13+PM_Angle!$K$13*$C645+PM_Angle!$L$13*$B645</f>
      </c>
      <c r="W645" s="12">
        <f>IF(V645&gt;0,IF(V645&lt;=eco,alpha*fck*(1-(1-V645/eco)^n),alpha*fck),0)</f>
      </c>
      <c r="X645" s="30">
        <f>PM_Angle!$J$14+PM_Angle!$K$14*$C645+PM_Angle!$L$14*$B645</f>
      </c>
      <c r="Y645" s="12">
        <f>IF(X645&gt;0,IF(X645&lt;=eco,alpha*fck*(1-(1-X645/eco)^n),alpha*fck),0)</f>
      </c>
      <c r="Z645" s="30">
        <f>PM_Angle!$J$15+PM_Angle!$K$15*$C645+PM_Angle!$L$15*$B645</f>
      </c>
      <c r="AA645" s="12">
        <f>IF(Z645&gt;0,IF(Z645&lt;=eco,alpha*fck*(1-(1-Z645/eco)^n),alpha*fck),0)</f>
      </c>
      <c r="AB645" s="30">
        <f>PM_Angle!$J$16+PM_Angle!$K$16*$C645+PM_Angle!$L$16*$B645</f>
      </c>
      <c r="AC645" s="12">
        <f>IF(AB645&gt;0,IF(AB645&lt;=eco,alpha*fck*(1-(1-AB645/eco)^n),alpha*fck),0)</f>
      </c>
      <c r="AD645" s="30">
        <f>PM_Angle!$J$17+PM_Angle!$K$17*$C645+PM_Angle!$L$17*$B645</f>
      </c>
      <c r="AE645" s="12">
        <f>IF(AD645&gt;0,IF(AD645&lt;=eco,alpha*fck*(1-(1-AD645/eco)^n),alpha*fck),0)</f>
      </c>
      <c r="AF645" s="30">
        <f>PM_Angle!$J$18+PM_Angle!$K$18*$C645+PM_Angle!$L$18*$B645</f>
      </c>
      <c r="AG645" s="12">
        <f>IF(AF645&gt;0,IF(AF645&lt;=eco,alpha*fck*(1-(1-AF645/eco)^n),alpha*fck),0)</f>
      </c>
      <c r="AH645" s="30">
        <f>PM_Angle!$J$19+PM_Angle!$K$19*$C645+PM_Angle!$L$19*$B645</f>
      </c>
      <c r="AI645" s="12">
        <f>IF(AH645&gt;0,IF(AH645&lt;=eco,alpha*fck*(1-(1-AH645/eco)^n),alpha*fck),0)</f>
      </c>
      <c r="AJ645" s="30">
        <f>PM_Angle!$J$20+PM_Angle!$K$20*$C645+PM_Angle!$L$20*$B645</f>
      </c>
      <c r="AK645" s="12">
        <f>IF(AJ645&gt;0,IF(AJ645&lt;=eco,alpha*fck*(1-(1-AJ645/eco)^n),alpha*fck),0)</f>
      </c>
      <c r="AL645" s="30">
        <f>PM_Angle!$J$21+PM_Angle!$K$21*$C645+PM_Angle!$L$21*$B645</f>
      </c>
      <c r="AM645" s="12">
        <f>IF(AL645&gt;0,IF(AL645&lt;=eco,alpha*fck*(1-(1-AL645/eco)^n),alpha*fck),0)</f>
      </c>
      <c r="AN645" s="30">
        <f>PM_Angle!$J$22+PM_Angle!$K$22*$C645+PM_Angle!$L$22*$B645</f>
      </c>
      <c r="AO645" s="12">
        <f>IF(AN645&gt;0,IF(AN645&lt;=eco,alpha*fck*(1-(1-AN645/eco)^n),alpha*fck),0)</f>
      </c>
      <c r="AP645" s="30">
        <f>PM_Angle!$J$23+PM_Angle!$K$23*$C645+PM_Angle!$L$23*$B645</f>
      </c>
      <c r="AQ645" s="12">
        <f>IF(AP645&gt;0,IF(AP645&lt;=eco,alpha*fck*(1-(1-AP645/eco)^n),alpha*fck),0)</f>
      </c>
      <c r="AR645" s="30">
        <f>PM_Angle!$J$24+PM_Angle!$K$24*$C645+PM_Angle!$L$24*$B645</f>
      </c>
      <c r="AS645" s="12">
        <f>IF(AR645&gt;0,IF(AR645&lt;=eco,alpha*fck*(1-(1-AR645/eco)^n),alpha*fck),0)</f>
      </c>
      <c r="AT645" s="30">
        <f>PM_Angle!$J$25+PM_Angle!$K$25*$C645+PM_Angle!$L$25*$B645</f>
      </c>
      <c r="AU645" s="12">
        <f>IF(AT645&gt;0,IF(AT645&lt;=eco,alpha*fck*(1-(1-AT645/eco)^n),alpha*fck),0)</f>
      </c>
    </row>
    <row r="646" spans="1:47" x14ac:dyDescent="0.25">
      <c r="A646">
        <f>Mesh!A643</f>
      </c>
      <c r="B646" s="12">
        <f>Mesh!B643</f>
      </c>
      <c r="C646" s="12">
        <f>Mesh!C643</f>
      </c>
      <c r="D646" s="12">
        <f>Mesh!D643</f>
      </c>
      <c r="E646" s="30">
        <f>INDEX(St_e0,Det+1)+INDEX(St_kx,Det+1)*C646+INDEX(St_ky,Det+1)*B646</f>
      </c>
      <c r="F646" s="12">
        <f>IF(E646&gt;0,IF(E646&lt;=eco,alpha*fck*(1-(1-E646/eco)^n),alpha*fck),0)</f>
      </c>
      <c r="G646" s="11">
        <f>F646*D646</f>
      </c>
      <c r="H646" s="11">
        <f>G646*C646</f>
      </c>
      <c r="I646" s="11">
        <f>G646*B646</f>
      </c>
      <c r="J646" s="30">
        <f>PM_Angle!$J$7+PM_Angle!$K$7*$C646+PM_Angle!$L$7*$B646</f>
      </c>
      <c r="K646" s="12">
        <f>IF(J646&gt;0,IF(J646&lt;=eco,alpha*fck*(1-(1-J646/eco)^n),alpha*fck),0)</f>
      </c>
      <c r="L646" s="30">
        <f>PM_Angle!$J$8+PM_Angle!$K$8*$C646+PM_Angle!$L$8*$B646</f>
      </c>
      <c r="M646" s="12">
        <f>IF(L646&gt;0,IF(L646&lt;=eco,alpha*fck*(1-(1-L646/eco)^n),alpha*fck),0)</f>
      </c>
      <c r="N646" s="30">
        <f>PM_Angle!$J$9+PM_Angle!$K$9*$C646+PM_Angle!$L$9*$B646</f>
      </c>
      <c r="O646" s="12">
        <f>IF(N646&gt;0,IF(N646&lt;=eco,alpha*fck*(1-(1-N646/eco)^n),alpha*fck),0)</f>
      </c>
      <c r="P646" s="30">
        <f>PM_Angle!$J$10+PM_Angle!$K$10*$C646+PM_Angle!$L$10*$B646</f>
      </c>
      <c r="Q646" s="12">
        <f>IF(P646&gt;0,IF(P646&lt;=eco,alpha*fck*(1-(1-P646/eco)^n),alpha*fck),0)</f>
      </c>
      <c r="R646" s="30">
        <f>PM_Angle!$J$11+PM_Angle!$K$11*$C646+PM_Angle!$L$11*$B646</f>
      </c>
      <c r="S646" s="12">
        <f>IF(R646&gt;0,IF(R646&lt;=eco,alpha*fck*(1-(1-R646/eco)^n),alpha*fck),0)</f>
      </c>
      <c r="T646" s="30">
        <f>PM_Angle!$J$12+PM_Angle!$K$12*$C646+PM_Angle!$L$12*$B646</f>
      </c>
      <c r="U646" s="12">
        <f>IF(T646&gt;0,IF(T646&lt;=eco,alpha*fck*(1-(1-T646/eco)^n),alpha*fck),0)</f>
      </c>
      <c r="V646" s="30">
        <f>PM_Angle!$J$13+PM_Angle!$K$13*$C646+PM_Angle!$L$13*$B646</f>
      </c>
      <c r="W646" s="12">
        <f>IF(V646&gt;0,IF(V646&lt;=eco,alpha*fck*(1-(1-V646/eco)^n),alpha*fck),0)</f>
      </c>
      <c r="X646" s="30">
        <f>PM_Angle!$J$14+PM_Angle!$K$14*$C646+PM_Angle!$L$14*$B646</f>
      </c>
      <c r="Y646" s="12">
        <f>IF(X646&gt;0,IF(X646&lt;=eco,alpha*fck*(1-(1-X646/eco)^n),alpha*fck),0)</f>
      </c>
      <c r="Z646" s="30">
        <f>PM_Angle!$J$15+PM_Angle!$K$15*$C646+PM_Angle!$L$15*$B646</f>
      </c>
      <c r="AA646" s="12">
        <f>IF(Z646&gt;0,IF(Z646&lt;=eco,alpha*fck*(1-(1-Z646/eco)^n),alpha*fck),0)</f>
      </c>
      <c r="AB646" s="30">
        <f>PM_Angle!$J$16+PM_Angle!$K$16*$C646+PM_Angle!$L$16*$B646</f>
      </c>
      <c r="AC646" s="12">
        <f>IF(AB646&gt;0,IF(AB646&lt;=eco,alpha*fck*(1-(1-AB646/eco)^n),alpha*fck),0)</f>
      </c>
      <c r="AD646" s="30">
        <f>PM_Angle!$J$17+PM_Angle!$K$17*$C646+PM_Angle!$L$17*$B646</f>
      </c>
      <c r="AE646" s="12">
        <f>IF(AD646&gt;0,IF(AD646&lt;=eco,alpha*fck*(1-(1-AD646/eco)^n),alpha*fck),0)</f>
      </c>
      <c r="AF646" s="30">
        <f>PM_Angle!$J$18+PM_Angle!$K$18*$C646+PM_Angle!$L$18*$B646</f>
      </c>
      <c r="AG646" s="12">
        <f>IF(AF646&gt;0,IF(AF646&lt;=eco,alpha*fck*(1-(1-AF646/eco)^n),alpha*fck),0)</f>
      </c>
      <c r="AH646" s="30">
        <f>PM_Angle!$J$19+PM_Angle!$K$19*$C646+PM_Angle!$L$19*$B646</f>
      </c>
      <c r="AI646" s="12">
        <f>IF(AH646&gt;0,IF(AH646&lt;=eco,alpha*fck*(1-(1-AH646/eco)^n),alpha*fck),0)</f>
      </c>
      <c r="AJ646" s="30">
        <f>PM_Angle!$J$20+PM_Angle!$K$20*$C646+PM_Angle!$L$20*$B646</f>
      </c>
      <c r="AK646" s="12">
        <f>IF(AJ646&gt;0,IF(AJ646&lt;=eco,alpha*fck*(1-(1-AJ646/eco)^n),alpha*fck),0)</f>
      </c>
      <c r="AL646" s="30">
        <f>PM_Angle!$J$21+PM_Angle!$K$21*$C646+PM_Angle!$L$21*$B646</f>
      </c>
      <c r="AM646" s="12">
        <f>IF(AL646&gt;0,IF(AL646&lt;=eco,alpha*fck*(1-(1-AL646/eco)^n),alpha*fck),0)</f>
      </c>
      <c r="AN646" s="30">
        <f>PM_Angle!$J$22+PM_Angle!$K$22*$C646+PM_Angle!$L$22*$B646</f>
      </c>
      <c r="AO646" s="12">
        <f>IF(AN646&gt;0,IF(AN646&lt;=eco,alpha*fck*(1-(1-AN646/eco)^n),alpha*fck),0)</f>
      </c>
      <c r="AP646" s="30">
        <f>PM_Angle!$J$23+PM_Angle!$K$23*$C646+PM_Angle!$L$23*$B646</f>
      </c>
      <c r="AQ646" s="12">
        <f>IF(AP646&gt;0,IF(AP646&lt;=eco,alpha*fck*(1-(1-AP646/eco)^n),alpha*fck),0)</f>
      </c>
      <c r="AR646" s="30">
        <f>PM_Angle!$J$24+PM_Angle!$K$24*$C646+PM_Angle!$L$24*$B646</f>
      </c>
      <c r="AS646" s="12">
        <f>IF(AR646&gt;0,IF(AR646&lt;=eco,alpha*fck*(1-(1-AR646/eco)^n),alpha*fck),0)</f>
      </c>
      <c r="AT646" s="30">
        <f>PM_Angle!$J$25+PM_Angle!$K$25*$C646+PM_Angle!$L$25*$B646</f>
      </c>
      <c r="AU646" s="12">
        <f>IF(AT646&gt;0,IF(AT646&lt;=eco,alpha*fck*(1-(1-AT646/eco)^n),alpha*fck),0)</f>
      </c>
    </row>
    <row r="647" spans="1:47" x14ac:dyDescent="0.25">
      <c r="A647">
        <f>Mesh!A644</f>
      </c>
      <c r="B647" s="12">
        <f>Mesh!B644</f>
      </c>
      <c r="C647" s="12">
        <f>Mesh!C644</f>
      </c>
      <c r="D647" s="12">
        <f>Mesh!D644</f>
      </c>
      <c r="E647" s="30">
        <f>INDEX(St_e0,Det+1)+INDEX(St_kx,Det+1)*C647+INDEX(St_ky,Det+1)*B647</f>
      </c>
      <c r="F647" s="12">
        <f>IF(E647&gt;0,IF(E647&lt;=eco,alpha*fck*(1-(1-E647/eco)^n),alpha*fck),0)</f>
      </c>
      <c r="G647" s="11">
        <f>F647*D647</f>
      </c>
      <c r="H647" s="11">
        <f>G647*C647</f>
      </c>
      <c r="I647" s="11">
        <f>G647*B647</f>
      </c>
      <c r="J647" s="30">
        <f>PM_Angle!$J$7+PM_Angle!$K$7*$C647+PM_Angle!$L$7*$B647</f>
      </c>
      <c r="K647" s="12">
        <f>IF(J647&gt;0,IF(J647&lt;=eco,alpha*fck*(1-(1-J647/eco)^n),alpha*fck),0)</f>
      </c>
      <c r="L647" s="30">
        <f>PM_Angle!$J$8+PM_Angle!$K$8*$C647+PM_Angle!$L$8*$B647</f>
      </c>
      <c r="M647" s="12">
        <f>IF(L647&gt;0,IF(L647&lt;=eco,alpha*fck*(1-(1-L647/eco)^n),alpha*fck),0)</f>
      </c>
      <c r="N647" s="30">
        <f>PM_Angle!$J$9+PM_Angle!$K$9*$C647+PM_Angle!$L$9*$B647</f>
      </c>
      <c r="O647" s="12">
        <f>IF(N647&gt;0,IF(N647&lt;=eco,alpha*fck*(1-(1-N647/eco)^n),alpha*fck),0)</f>
      </c>
      <c r="P647" s="30">
        <f>PM_Angle!$J$10+PM_Angle!$K$10*$C647+PM_Angle!$L$10*$B647</f>
      </c>
      <c r="Q647" s="12">
        <f>IF(P647&gt;0,IF(P647&lt;=eco,alpha*fck*(1-(1-P647/eco)^n),alpha*fck),0)</f>
      </c>
      <c r="R647" s="30">
        <f>PM_Angle!$J$11+PM_Angle!$K$11*$C647+PM_Angle!$L$11*$B647</f>
      </c>
      <c r="S647" s="12">
        <f>IF(R647&gt;0,IF(R647&lt;=eco,alpha*fck*(1-(1-R647/eco)^n),alpha*fck),0)</f>
      </c>
      <c r="T647" s="30">
        <f>PM_Angle!$J$12+PM_Angle!$K$12*$C647+PM_Angle!$L$12*$B647</f>
      </c>
      <c r="U647" s="12">
        <f>IF(T647&gt;0,IF(T647&lt;=eco,alpha*fck*(1-(1-T647/eco)^n),alpha*fck),0)</f>
      </c>
      <c r="V647" s="30">
        <f>PM_Angle!$J$13+PM_Angle!$K$13*$C647+PM_Angle!$L$13*$B647</f>
      </c>
      <c r="W647" s="12">
        <f>IF(V647&gt;0,IF(V647&lt;=eco,alpha*fck*(1-(1-V647/eco)^n),alpha*fck),0)</f>
      </c>
      <c r="X647" s="30">
        <f>PM_Angle!$J$14+PM_Angle!$K$14*$C647+PM_Angle!$L$14*$B647</f>
      </c>
      <c r="Y647" s="12">
        <f>IF(X647&gt;0,IF(X647&lt;=eco,alpha*fck*(1-(1-X647/eco)^n),alpha*fck),0)</f>
      </c>
      <c r="Z647" s="30">
        <f>PM_Angle!$J$15+PM_Angle!$K$15*$C647+PM_Angle!$L$15*$B647</f>
      </c>
      <c r="AA647" s="12">
        <f>IF(Z647&gt;0,IF(Z647&lt;=eco,alpha*fck*(1-(1-Z647/eco)^n),alpha*fck),0)</f>
      </c>
      <c r="AB647" s="30">
        <f>PM_Angle!$J$16+PM_Angle!$K$16*$C647+PM_Angle!$L$16*$B647</f>
      </c>
      <c r="AC647" s="12">
        <f>IF(AB647&gt;0,IF(AB647&lt;=eco,alpha*fck*(1-(1-AB647/eco)^n),alpha*fck),0)</f>
      </c>
      <c r="AD647" s="30">
        <f>PM_Angle!$J$17+PM_Angle!$K$17*$C647+PM_Angle!$L$17*$B647</f>
      </c>
      <c r="AE647" s="12">
        <f>IF(AD647&gt;0,IF(AD647&lt;=eco,alpha*fck*(1-(1-AD647/eco)^n),alpha*fck),0)</f>
      </c>
      <c r="AF647" s="30">
        <f>PM_Angle!$J$18+PM_Angle!$K$18*$C647+PM_Angle!$L$18*$B647</f>
      </c>
      <c r="AG647" s="12">
        <f>IF(AF647&gt;0,IF(AF647&lt;=eco,alpha*fck*(1-(1-AF647/eco)^n),alpha*fck),0)</f>
      </c>
      <c r="AH647" s="30">
        <f>PM_Angle!$J$19+PM_Angle!$K$19*$C647+PM_Angle!$L$19*$B647</f>
      </c>
      <c r="AI647" s="12">
        <f>IF(AH647&gt;0,IF(AH647&lt;=eco,alpha*fck*(1-(1-AH647/eco)^n),alpha*fck),0)</f>
      </c>
      <c r="AJ647" s="30">
        <f>PM_Angle!$J$20+PM_Angle!$K$20*$C647+PM_Angle!$L$20*$B647</f>
      </c>
      <c r="AK647" s="12">
        <f>IF(AJ647&gt;0,IF(AJ647&lt;=eco,alpha*fck*(1-(1-AJ647/eco)^n),alpha*fck),0)</f>
      </c>
      <c r="AL647" s="30">
        <f>PM_Angle!$J$21+PM_Angle!$K$21*$C647+PM_Angle!$L$21*$B647</f>
      </c>
      <c r="AM647" s="12">
        <f>IF(AL647&gt;0,IF(AL647&lt;=eco,alpha*fck*(1-(1-AL647/eco)^n),alpha*fck),0)</f>
      </c>
      <c r="AN647" s="30">
        <f>PM_Angle!$J$22+PM_Angle!$K$22*$C647+PM_Angle!$L$22*$B647</f>
      </c>
      <c r="AO647" s="12">
        <f>IF(AN647&gt;0,IF(AN647&lt;=eco,alpha*fck*(1-(1-AN647/eco)^n),alpha*fck),0)</f>
      </c>
      <c r="AP647" s="30">
        <f>PM_Angle!$J$23+PM_Angle!$K$23*$C647+PM_Angle!$L$23*$B647</f>
      </c>
      <c r="AQ647" s="12">
        <f>IF(AP647&gt;0,IF(AP647&lt;=eco,alpha*fck*(1-(1-AP647/eco)^n),alpha*fck),0)</f>
      </c>
      <c r="AR647" s="30">
        <f>PM_Angle!$J$24+PM_Angle!$K$24*$C647+PM_Angle!$L$24*$B647</f>
      </c>
      <c r="AS647" s="12">
        <f>IF(AR647&gt;0,IF(AR647&lt;=eco,alpha*fck*(1-(1-AR647/eco)^n),alpha*fck),0)</f>
      </c>
      <c r="AT647" s="30">
        <f>PM_Angle!$J$25+PM_Angle!$K$25*$C647+PM_Angle!$L$25*$B647</f>
      </c>
      <c r="AU647" s="12">
        <f>IF(AT647&gt;0,IF(AT647&lt;=eco,alpha*fck*(1-(1-AT647/eco)^n),alpha*fck),0)</f>
      </c>
    </row>
    <row r="648" spans="1:47" x14ac:dyDescent="0.25">
      <c r="A648">
        <f>Mesh!A645</f>
      </c>
      <c r="B648" s="12">
        <f>Mesh!B645</f>
      </c>
      <c r="C648" s="12">
        <f>Mesh!C645</f>
      </c>
      <c r="D648" s="12">
        <f>Mesh!D645</f>
      </c>
      <c r="E648" s="30">
        <f>INDEX(St_e0,Det+1)+INDEX(St_kx,Det+1)*C648+INDEX(St_ky,Det+1)*B648</f>
      </c>
      <c r="F648" s="12">
        <f>IF(E648&gt;0,IF(E648&lt;=eco,alpha*fck*(1-(1-E648/eco)^n),alpha*fck),0)</f>
      </c>
      <c r="G648" s="11">
        <f>F648*D648</f>
      </c>
      <c r="H648" s="11">
        <f>G648*C648</f>
      </c>
      <c r="I648" s="11">
        <f>G648*B648</f>
      </c>
      <c r="J648" s="30">
        <f>PM_Angle!$J$7+PM_Angle!$K$7*$C648+PM_Angle!$L$7*$B648</f>
      </c>
      <c r="K648" s="12">
        <f>IF(J648&gt;0,IF(J648&lt;=eco,alpha*fck*(1-(1-J648/eco)^n),alpha*fck),0)</f>
      </c>
      <c r="L648" s="30">
        <f>PM_Angle!$J$8+PM_Angle!$K$8*$C648+PM_Angle!$L$8*$B648</f>
      </c>
      <c r="M648" s="12">
        <f>IF(L648&gt;0,IF(L648&lt;=eco,alpha*fck*(1-(1-L648/eco)^n),alpha*fck),0)</f>
      </c>
      <c r="N648" s="30">
        <f>PM_Angle!$J$9+PM_Angle!$K$9*$C648+PM_Angle!$L$9*$B648</f>
      </c>
      <c r="O648" s="12">
        <f>IF(N648&gt;0,IF(N648&lt;=eco,alpha*fck*(1-(1-N648/eco)^n),alpha*fck),0)</f>
      </c>
      <c r="P648" s="30">
        <f>PM_Angle!$J$10+PM_Angle!$K$10*$C648+PM_Angle!$L$10*$B648</f>
      </c>
      <c r="Q648" s="12">
        <f>IF(P648&gt;0,IF(P648&lt;=eco,alpha*fck*(1-(1-P648/eco)^n),alpha*fck),0)</f>
      </c>
      <c r="R648" s="30">
        <f>PM_Angle!$J$11+PM_Angle!$K$11*$C648+PM_Angle!$L$11*$B648</f>
      </c>
      <c r="S648" s="12">
        <f>IF(R648&gt;0,IF(R648&lt;=eco,alpha*fck*(1-(1-R648/eco)^n),alpha*fck),0)</f>
      </c>
      <c r="T648" s="30">
        <f>PM_Angle!$J$12+PM_Angle!$K$12*$C648+PM_Angle!$L$12*$B648</f>
      </c>
      <c r="U648" s="12">
        <f>IF(T648&gt;0,IF(T648&lt;=eco,alpha*fck*(1-(1-T648/eco)^n),alpha*fck),0)</f>
      </c>
      <c r="V648" s="30">
        <f>PM_Angle!$J$13+PM_Angle!$K$13*$C648+PM_Angle!$L$13*$B648</f>
      </c>
      <c r="W648" s="12">
        <f>IF(V648&gt;0,IF(V648&lt;=eco,alpha*fck*(1-(1-V648/eco)^n),alpha*fck),0)</f>
      </c>
      <c r="X648" s="30">
        <f>PM_Angle!$J$14+PM_Angle!$K$14*$C648+PM_Angle!$L$14*$B648</f>
      </c>
      <c r="Y648" s="12">
        <f>IF(X648&gt;0,IF(X648&lt;=eco,alpha*fck*(1-(1-X648/eco)^n),alpha*fck),0)</f>
      </c>
      <c r="Z648" s="30">
        <f>PM_Angle!$J$15+PM_Angle!$K$15*$C648+PM_Angle!$L$15*$B648</f>
      </c>
      <c r="AA648" s="12">
        <f>IF(Z648&gt;0,IF(Z648&lt;=eco,alpha*fck*(1-(1-Z648/eco)^n),alpha*fck),0)</f>
      </c>
      <c r="AB648" s="30">
        <f>PM_Angle!$J$16+PM_Angle!$K$16*$C648+PM_Angle!$L$16*$B648</f>
      </c>
      <c r="AC648" s="12">
        <f>IF(AB648&gt;0,IF(AB648&lt;=eco,alpha*fck*(1-(1-AB648/eco)^n),alpha*fck),0)</f>
      </c>
      <c r="AD648" s="30">
        <f>PM_Angle!$J$17+PM_Angle!$K$17*$C648+PM_Angle!$L$17*$B648</f>
      </c>
      <c r="AE648" s="12">
        <f>IF(AD648&gt;0,IF(AD648&lt;=eco,alpha*fck*(1-(1-AD648/eco)^n),alpha*fck),0)</f>
      </c>
      <c r="AF648" s="30">
        <f>PM_Angle!$J$18+PM_Angle!$K$18*$C648+PM_Angle!$L$18*$B648</f>
      </c>
      <c r="AG648" s="12">
        <f>IF(AF648&gt;0,IF(AF648&lt;=eco,alpha*fck*(1-(1-AF648/eco)^n),alpha*fck),0)</f>
      </c>
      <c r="AH648" s="30">
        <f>PM_Angle!$J$19+PM_Angle!$K$19*$C648+PM_Angle!$L$19*$B648</f>
      </c>
      <c r="AI648" s="12">
        <f>IF(AH648&gt;0,IF(AH648&lt;=eco,alpha*fck*(1-(1-AH648/eco)^n),alpha*fck),0)</f>
      </c>
      <c r="AJ648" s="30">
        <f>PM_Angle!$J$20+PM_Angle!$K$20*$C648+PM_Angle!$L$20*$B648</f>
      </c>
      <c r="AK648" s="12">
        <f>IF(AJ648&gt;0,IF(AJ648&lt;=eco,alpha*fck*(1-(1-AJ648/eco)^n),alpha*fck),0)</f>
      </c>
      <c r="AL648" s="30">
        <f>PM_Angle!$J$21+PM_Angle!$K$21*$C648+PM_Angle!$L$21*$B648</f>
      </c>
      <c r="AM648" s="12">
        <f>IF(AL648&gt;0,IF(AL648&lt;=eco,alpha*fck*(1-(1-AL648/eco)^n),alpha*fck),0)</f>
      </c>
      <c r="AN648" s="30">
        <f>PM_Angle!$J$22+PM_Angle!$K$22*$C648+PM_Angle!$L$22*$B648</f>
      </c>
      <c r="AO648" s="12">
        <f>IF(AN648&gt;0,IF(AN648&lt;=eco,alpha*fck*(1-(1-AN648/eco)^n),alpha*fck),0)</f>
      </c>
      <c r="AP648" s="30">
        <f>PM_Angle!$J$23+PM_Angle!$K$23*$C648+PM_Angle!$L$23*$B648</f>
      </c>
      <c r="AQ648" s="12">
        <f>IF(AP648&gt;0,IF(AP648&lt;=eco,alpha*fck*(1-(1-AP648/eco)^n),alpha*fck),0)</f>
      </c>
      <c r="AR648" s="30">
        <f>PM_Angle!$J$24+PM_Angle!$K$24*$C648+PM_Angle!$L$24*$B648</f>
      </c>
      <c r="AS648" s="12">
        <f>IF(AR648&gt;0,IF(AR648&lt;=eco,alpha*fck*(1-(1-AR648/eco)^n),alpha*fck),0)</f>
      </c>
      <c r="AT648" s="30">
        <f>PM_Angle!$J$25+PM_Angle!$K$25*$C648+PM_Angle!$L$25*$B648</f>
      </c>
      <c r="AU648" s="12">
        <f>IF(AT648&gt;0,IF(AT648&lt;=eco,alpha*fck*(1-(1-AT648/eco)^n),alpha*fck),0)</f>
      </c>
    </row>
    <row r="649" spans="1:47" x14ac:dyDescent="0.25">
      <c r="A649">
        <f>Mesh!A646</f>
      </c>
      <c r="B649" s="12">
        <f>Mesh!B646</f>
      </c>
      <c r="C649" s="12">
        <f>Mesh!C646</f>
      </c>
      <c r="D649" s="12">
        <f>Mesh!D646</f>
      </c>
      <c r="E649" s="30">
        <f>INDEX(St_e0,Det+1)+INDEX(St_kx,Det+1)*C649+INDEX(St_ky,Det+1)*B649</f>
      </c>
      <c r="F649" s="12">
        <f>IF(E649&gt;0,IF(E649&lt;=eco,alpha*fck*(1-(1-E649/eco)^n),alpha*fck),0)</f>
      </c>
      <c r="G649" s="11">
        <f>F649*D649</f>
      </c>
      <c r="H649" s="11">
        <f>G649*C649</f>
      </c>
      <c r="I649" s="11">
        <f>G649*B649</f>
      </c>
      <c r="J649" s="30">
        <f>PM_Angle!$J$7+PM_Angle!$K$7*$C649+PM_Angle!$L$7*$B649</f>
      </c>
      <c r="K649" s="12">
        <f>IF(J649&gt;0,IF(J649&lt;=eco,alpha*fck*(1-(1-J649/eco)^n),alpha*fck),0)</f>
      </c>
      <c r="L649" s="30">
        <f>PM_Angle!$J$8+PM_Angle!$K$8*$C649+PM_Angle!$L$8*$B649</f>
      </c>
      <c r="M649" s="12">
        <f>IF(L649&gt;0,IF(L649&lt;=eco,alpha*fck*(1-(1-L649/eco)^n),alpha*fck),0)</f>
      </c>
      <c r="N649" s="30">
        <f>PM_Angle!$J$9+PM_Angle!$K$9*$C649+PM_Angle!$L$9*$B649</f>
      </c>
      <c r="O649" s="12">
        <f>IF(N649&gt;0,IF(N649&lt;=eco,alpha*fck*(1-(1-N649/eco)^n),alpha*fck),0)</f>
      </c>
      <c r="P649" s="30">
        <f>PM_Angle!$J$10+PM_Angle!$K$10*$C649+PM_Angle!$L$10*$B649</f>
      </c>
      <c r="Q649" s="12">
        <f>IF(P649&gt;0,IF(P649&lt;=eco,alpha*fck*(1-(1-P649/eco)^n),alpha*fck),0)</f>
      </c>
      <c r="R649" s="30">
        <f>PM_Angle!$J$11+PM_Angle!$K$11*$C649+PM_Angle!$L$11*$B649</f>
      </c>
      <c r="S649" s="12">
        <f>IF(R649&gt;0,IF(R649&lt;=eco,alpha*fck*(1-(1-R649/eco)^n),alpha*fck),0)</f>
      </c>
      <c r="T649" s="30">
        <f>PM_Angle!$J$12+PM_Angle!$K$12*$C649+PM_Angle!$L$12*$B649</f>
      </c>
      <c r="U649" s="12">
        <f>IF(T649&gt;0,IF(T649&lt;=eco,alpha*fck*(1-(1-T649/eco)^n),alpha*fck),0)</f>
      </c>
      <c r="V649" s="30">
        <f>PM_Angle!$J$13+PM_Angle!$K$13*$C649+PM_Angle!$L$13*$B649</f>
      </c>
      <c r="W649" s="12">
        <f>IF(V649&gt;0,IF(V649&lt;=eco,alpha*fck*(1-(1-V649/eco)^n),alpha*fck),0)</f>
      </c>
      <c r="X649" s="30">
        <f>PM_Angle!$J$14+PM_Angle!$K$14*$C649+PM_Angle!$L$14*$B649</f>
      </c>
      <c r="Y649" s="12">
        <f>IF(X649&gt;0,IF(X649&lt;=eco,alpha*fck*(1-(1-X649/eco)^n),alpha*fck),0)</f>
      </c>
      <c r="Z649" s="30">
        <f>PM_Angle!$J$15+PM_Angle!$K$15*$C649+PM_Angle!$L$15*$B649</f>
      </c>
      <c r="AA649" s="12">
        <f>IF(Z649&gt;0,IF(Z649&lt;=eco,alpha*fck*(1-(1-Z649/eco)^n),alpha*fck),0)</f>
      </c>
      <c r="AB649" s="30">
        <f>PM_Angle!$J$16+PM_Angle!$K$16*$C649+PM_Angle!$L$16*$B649</f>
      </c>
      <c r="AC649" s="12">
        <f>IF(AB649&gt;0,IF(AB649&lt;=eco,alpha*fck*(1-(1-AB649/eco)^n),alpha*fck),0)</f>
      </c>
      <c r="AD649" s="30">
        <f>PM_Angle!$J$17+PM_Angle!$K$17*$C649+PM_Angle!$L$17*$B649</f>
      </c>
      <c r="AE649" s="12">
        <f>IF(AD649&gt;0,IF(AD649&lt;=eco,alpha*fck*(1-(1-AD649/eco)^n),alpha*fck),0)</f>
      </c>
      <c r="AF649" s="30">
        <f>PM_Angle!$J$18+PM_Angle!$K$18*$C649+PM_Angle!$L$18*$B649</f>
      </c>
      <c r="AG649" s="12">
        <f>IF(AF649&gt;0,IF(AF649&lt;=eco,alpha*fck*(1-(1-AF649/eco)^n),alpha*fck),0)</f>
      </c>
      <c r="AH649" s="30">
        <f>PM_Angle!$J$19+PM_Angle!$K$19*$C649+PM_Angle!$L$19*$B649</f>
      </c>
      <c r="AI649" s="12">
        <f>IF(AH649&gt;0,IF(AH649&lt;=eco,alpha*fck*(1-(1-AH649/eco)^n),alpha*fck),0)</f>
      </c>
      <c r="AJ649" s="30">
        <f>PM_Angle!$J$20+PM_Angle!$K$20*$C649+PM_Angle!$L$20*$B649</f>
      </c>
      <c r="AK649" s="12">
        <f>IF(AJ649&gt;0,IF(AJ649&lt;=eco,alpha*fck*(1-(1-AJ649/eco)^n),alpha*fck),0)</f>
      </c>
      <c r="AL649" s="30">
        <f>PM_Angle!$J$21+PM_Angle!$K$21*$C649+PM_Angle!$L$21*$B649</f>
      </c>
      <c r="AM649" s="12">
        <f>IF(AL649&gt;0,IF(AL649&lt;=eco,alpha*fck*(1-(1-AL649/eco)^n),alpha*fck),0)</f>
      </c>
      <c r="AN649" s="30">
        <f>PM_Angle!$J$22+PM_Angle!$K$22*$C649+PM_Angle!$L$22*$B649</f>
      </c>
      <c r="AO649" s="12">
        <f>IF(AN649&gt;0,IF(AN649&lt;=eco,alpha*fck*(1-(1-AN649/eco)^n),alpha*fck),0)</f>
      </c>
      <c r="AP649" s="30">
        <f>PM_Angle!$J$23+PM_Angle!$K$23*$C649+PM_Angle!$L$23*$B649</f>
      </c>
      <c r="AQ649" s="12">
        <f>IF(AP649&gt;0,IF(AP649&lt;=eco,alpha*fck*(1-(1-AP649/eco)^n),alpha*fck),0)</f>
      </c>
      <c r="AR649" s="30">
        <f>PM_Angle!$J$24+PM_Angle!$K$24*$C649+PM_Angle!$L$24*$B649</f>
      </c>
      <c r="AS649" s="12">
        <f>IF(AR649&gt;0,IF(AR649&lt;=eco,alpha*fck*(1-(1-AR649/eco)^n),alpha*fck),0)</f>
      </c>
      <c r="AT649" s="30">
        <f>PM_Angle!$J$25+PM_Angle!$K$25*$C649+PM_Angle!$L$25*$B649</f>
      </c>
      <c r="AU649" s="12">
        <f>IF(AT649&gt;0,IF(AT649&lt;=eco,alpha*fck*(1-(1-AT649/eco)^n),alpha*fck),0)</f>
      </c>
    </row>
    <row r="650" spans="1:47" x14ac:dyDescent="0.25">
      <c r="A650">
        <f>Mesh!A647</f>
      </c>
      <c r="B650" s="12">
        <f>Mesh!B647</f>
      </c>
      <c r="C650" s="12">
        <f>Mesh!C647</f>
      </c>
      <c r="D650" s="12">
        <f>Mesh!D647</f>
      </c>
      <c r="E650" s="30">
        <f>INDEX(St_e0,Det+1)+INDEX(St_kx,Det+1)*C650+INDEX(St_ky,Det+1)*B650</f>
      </c>
      <c r="F650" s="12">
        <f>IF(E650&gt;0,IF(E650&lt;=eco,alpha*fck*(1-(1-E650/eco)^n),alpha*fck),0)</f>
      </c>
      <c r="G650" s="11">
        <f>F650*D650</f>
      </c>
      <c r="H650" s="11">
        <f>G650*C650</f>
      </c>
      <c r="I650" s="11">
        <f>G650*B650</f>
      </c>
      <c r="J650" s="30">
        <f>PM_Angle!$J$7+PM_Angle!$K$7*$C650+PM_Angle!$L$7*$B650</f>
      </c>
      <c r="K650" s="12">
        <f>IF(J650&gt;0,IF(J650&lt;=eco,alpha*fck*(1-(1-J650/eco)^n),alpha*fck),0)</f>
      </c>
      <c r="L650" s="30">
        <f>PM_Angle!$J$8+PM_Angle!$K$8*$C650+PM_Angle!$L$8*$B650</f>
      </c>
      <c r="M650" s="12">
        <f>IF(L650&gt;0,IF(L650&lt;=eco,alpha*fck*(1-(1-L650/eco)^n),alpha*fck),0)</f>
      </c>
      <c r="N650" s="30">
        <f>PM_Angle!$J$9+PM_Angle!$K$9*$C650+PM_Angle!$L$9*$B650</f>
      </c>
      <c r="O650" s="12">
        <f>IF(N650&gt;0,IF(N650&lt;=eco,alpha*fck*(1-(1-N650/eco)^n),alpha*fck),0)</f>
      </c>
      <c r="P650" s="30">
        <f>PM_Angle!$J$10+PM_Angle!$K$10*$C650+PM_Angle!$L$10*$B650</f>
      </c>
      <c r="Q650" s="12">
        <f>IF(P650&gt;0,IF(P650&lt;=eco,alpha*fck*(1-(1-P650/eco)^n),alpha*fck),0)</f>
      </c>
      <c r="R650" s="30">
        <f>PM_Angle!$J$11+PM_Angle!$K$11*$C650+PM_Angle!$L$11*$B650</f>
      </c>
      <c r="S650" s="12">
        <f>IF(R650&gt;0,IF(R650&lt;=eco,alpha*fck*(1-(1-R650/eco)^n),alpha*fck),0)</f>
      </c>
      <c r="T650" s="30">
        <f>PM_Angle!$J$12+PM_Angle!$K$12*$C650+PM_Angle!$L$12*$B650</f>
      </c>
      <c r="U650" s="12">
        <f>IF(T650&gt;0,IF(T650&lt;=eco,alpha*fck*(1-(1-T650/eco)^n),alpha*fck),0)</f>
      </c>
      <c r="V650" s="30">
        <f>PM_Angle!$J$13+PM_Angle!$K$13*$C650+PM_Angle!$L$13*$B650</f>
      </c>
      <c r="W650" s="12">
        <f>IF(V650&gt;0,IF(V650&lt;=eco,alpha*fck*(1-(1-V650/eco)^n),alpha*fck),0)</f>
      </c>
      <c r="X650" s="30">
        <f>PM_Angle!$J$14+PM_Angle!$K$14*$C650+PM_Angle!$L$14*$B650</f>
      </c>
      <c r="Y650" s="12">
        <f>IF(X650&gt;0,IF(X650&lt;=eco,alpha*fck*(1-(1-X650/eco)^n),alpha*fck),0)</f>
      </c>
      <c r="Z650" s="30">
        <f>PM_Angle!$J$15+PM_Angle!$K$15*$C650+PM_Angle!$L$15*$B650</f>
      </c>
      <c r="AA650" s="12">
        <f>IF(Z650&gt;0,IF(Z650&lt;=eco,alpha*fck*(1-(1-Z650/eco)^n),alpha*fck),0)</f>
      </c>
      <c r="AB650" s="30">
        <f>PM_Angle!$J$16+PM_Angle!$K$16*$C650+PM_Angle!$L$16*$B650</f>
      </c>
      <c r="AC650" s="12">
        <f>IF(AB650&gt;0,IF(AB650&lt;=eco,alpha*fck*(1-(1-AB650/eco)^n),alpha*fck),0)</f>
      </c>
      <c r="AD650" s="30">
        <f>PM_Angle!$J$17+PM_Angle!$K$17*$C650+PM_Angle!$L$17*$B650</f>
      </c>
      <c r="AE650" s="12">
        <f>IF(AD650&gt;0,IF(AD650&lt;=eco,alpha*fck*(1-(1-AD650/eco)^n),alpha*fck),0)</f>
      </c>
      <c r="AF650" s="30">
        <f>PM_Angle!$J$18+PM_Angle!$K$18*$C650+PM_Angle!$L$18*$B650</f>
      </c>
      <c r="AG650" s="12">
        <f>IF(AF650&gt;0,IF(AF650&lt;=eco,alpha*fck*(1-(1-AF650/eco)^n),alpha*fck),0)</f>
      </c>
      <c r="AH650" s="30">
        <f>PM_Angle!$J$19+PM_Angle!$K$19*$C650+PM_Angle!$L$19*$B650</f>
      </c>
      <c r="AI650" s="12">
        <f>IF(AH650&gt;0,IF(AH650&lt;=eco,alpha*fck*(1-(1-AH650/eco)^n),alpha*fck),0)</f>
      </c>
      <c r="AJ650" s="30">
        <f>PM_Angle!$J$20+PM_Angle!$K$20*$C650+PM_Angle!$L$20*$B650</f>
      </c>
      <c r="AK650" s="12">
        <f>IF(AJ650&gt;0,IF(AJ650&lt;=eco,alpha*fck*(1-(1-AJ650/eco)^n),alpha*fck),0)</f>
      </c>
      <c r="AL650" s="30">
        <f>PM_Angle!$J$21+PM_Angle!$K$21*$C650+PM_Angle!$L$21*$B650</f>
      </c>
      <c r="AM650" s="12">
        <f>IF(AL650&gt;0,IF(AL650&lt;=eco,alpha*fck*(1-(1-AL650/eco)^n),alpha*fck),0)</f>
      </c>
      <c r="AN650" s="30">
        <f>PM_Angle!$J$22+PM_Angle!$K$22*$C650+PM_Angle!$L$22*$B650</f>
      </c>
      <c r="AO650" s="12">
        <f>IF(AN650&gt;0,IF(AN650&lt;=eco,alpha*fck*(1-(1-AN650/eco)^n),alpha*fck),0)</f>
      </c>
      <c r="AP650" s="30">
        <f>PM_Angle!$J$23+PM_Angle!$K$23*$C650+PM_Angle!$L$23*$B650</f>
      </c>
      <c r="AQ650" s="12">
        <f>IF(AP650&gt;0,IF(AP650&lt;=eco,alpha*fck*(1-(1-AP650/eco)^n),alpha*fck),0)</f>
      </c>
      <c r="AR650" s="30">
        <f>PM_Angle!$J$24+PM_Angle!$K$24*$C650+PM_Angle!$L$24*$B650</f>
      </c>
      <c r="AS650" s="12">
        <f>IF(AR650&gt;0,IF(AR650&lt;=eco,alpha*fck*(1-(1-AR650/eco)^n),alpha*fck),0)</f>
      </c>
      <c r="AT650" s="30">
        <f>PM_Angle!$J$25+PM_Angle!$K$25*$C650+PM_Angle!$L$25*$B650</f>
      </c>
      <c r="AU650" s="12">
        <f>IF(AT650&gt;0,IF(AT650&lt;=eco,alpha*fck*(1-(1-AT650/eco)^n),alpha*fck),0)</f>
      </c>
    </row>
    <row r="651" spans="1:47" x14ac:dyDescent="0.25">
      <c r="A651">
        <f>Mesh!A648</f>
      </c>
      <c r="B651" s="12">
        <f>Mesh!B648</f>
      </c>
      <c r="C651" s="12">
        <f>Mesh!C648</f>
      </c>
      <c r="D651" s="12">
        <f>Mesh!D648</f>
      </c>
      <c r="E651" s="30">
        <f>INDEX(St_e0,Det+1)+INDEX(St_kx,Det+1)*C651+INDEX(St_ky,Det+1)*B651</f>
      </c>
      <c r="F651" s="12">
        <f>IF(E651&gt;0,IF(E651&lt;=eco,alpha*fck*(1-(1-E651/eco)^n),alpha*fck),0)</f>
      </c>
      <c r="G651" s="11">
        <f>F651*D651</f>
      </c>
      <c r="H651" s="11">
        <f>G651*C651</f>
      </c>
      <c r="I651" s="11">
        <f>G651*B651</f>
      </c>
      <c r="J651" s="30">
        <f>PM_Angle!$J$7+PM_Angle!$K$7*$C651+PM_Angle!$L$7*$B651</f>
      </c>
      <c r="K651" s="12">
        <f>IF(J651&gt;0,IF(J651&lt;=eco,alpha*fck*(1-(1-J651/eco)^n),alpha*fck),0)</f>
      </c>
      <c r="L651" s="30">
        <f>PM_Angle!$J$8+PM_Angle!$K$8*$C651+PM_Angle!$L$8*$B651</f>
      </c>
      <c r="M651" s="12">
        <f>IF(L651&gt;0,IF(L651&lt;=eco,alpha*fck*(1-(1-L651/eco)^n),alpha*fck),0)</f>
      </c>
      <c r="N651" s="30">
        <f>PM_Angle!$J$9+PM_Angle!$K$9*$C651+PM_Angle!$L$9*$B651</f>
      </c>
      <c r="O651" s="12">
        <f>IF(N651&gt;0,IF(N651&lt;=eco,alpha*fck*(1-(1-N651/eco)^n),alpha*fck),0)</f>
      </c>
      <c r="P651" s="30">
        <f>PM_Angle!$J$10+PM_Angle!$K$10*$C651+PM_Angle!$L$10*$B651</f>
      </c>
      <c r="Q651" s="12">
        <f>IF(P651&gt;0,IF(P651&lt;=eco,alpha*fck*(1-(1-P651/eco)^n),alpha*fck),0)</f>
      </c>
      <c r="R651" s="30">
        <f>PM_Angle!$J$11+PM_Angle!$K$11*$C651+PM_Angle!$L$11*$B651</f>
      </c>
      <c r="S651" s="12">
        <f>IF(R651&gt;0,IF(R651&lt;=eco,alpha*fck*(1-(1-R651/eco)^n),alpha*fck),0)</f>
      </c>
      <c r="T651" s="30">
        <f>PM_Angle!$J$12+PM_Angle!$K$12*$C651+PM_Angle!$L$12*$B651</f>
      </c>
      <c r="U651" s="12">
        <f>IF(T651&gt;0,IF(T651&lt;=eco,alpha*fck*(1-(1-T651/eco)^n),alpha*fck),0)</f>
      </c>
      <c r="V651" s="30">
        <f>PM_Angle!$J$13+PM_Angle!$K$13*$C651+PM_Angle!$L$13*$B651</f>
      </c>
      <c r="W651" s="12">
        <f>IF(V651&gt;0,IF(V651&lt;=eco,alpha*fck*(1-(1-V651/eco)^n),alpha*fck),0)</f>
      </c>
      <c r="X651" s="30">
        <f>PM_Angle!$J$14+PM_Angle!$K$14*$C651+PM_Angle!$L$14*$B651</f>
      </c>
      <c r="Y651" s="12">
        <f>IF(X651&gt;0,IF(X651&lt;=eco,alpha*fck*(1-(1-X651/eco)^n),alpha*fck),0)</f>
      </c>
      <c r="Z651" s="30">
        <f>PM_Angle!$J$15+PM_Angle!$K$15*$C651+PM_Angle!$L$15*$B651</f>
      </c>
      <c r="AA651" s="12">
        <f>IF(Z651&gt;0,IF(Z651&lt;=eco,alpha*fck*(1-(1-Z651/eco)^n),alpha*fck),0)</f>
      </c>
      <c r="AB651" s="30">
        <f>PM_Angle!$J$16+PM_Angle!$K$16*$C651+PM_Angle!$L$16*$B651</f>
      </c>
      <c r="AC651" s="12">
        <f>IF(AB651&gt;0,IF(AB651&lt;=eco,alpha*fck*(1-(1-AB651/eco)^n),alpha*fck),0)</f>
      </c>
      <c r="AD651" s="30">
        <f>PM_Angle!$J$17+PM_Angle!$K$17*$C651+PM_Angle!$L$17*$B651</f>
      </c>
      <c r="AE651" s="12">
        <f>IF(AD651&gt;0,IF(AD651&lt;=eco,alpha*fck*(1-(1-AD651/eco)^n),alpha*fck),0)</f>
      </c>
      <c r="AF651" s="30">
        <f>PM_Angle!$J$18+PM_Angle!$K$18*$C651+PM_Angle!$L$18*$B651</f>
      </c>
      <c r="AG651" s="12">
        <f>IF(AF651&gt;0,IF(AF651&lt;=eco,alpha*fck*(1-(1-AF651/eco)^n),alpha*fck),0)</f>
      </c>
      <c r="AH651" s="30">
        <f>PM_Angle!$J$19+PM_Angle!$K$19*$C651+PM_Angle!$L$19*$B651</f>
      </c>
      <c r="AI651" s="12">
        <f>IF(AH651&gt;0,IF(AH651&lt;=eco,alpha*fck*(1-(1-AH651/eco)^n),alpha*fck),0)</f>
      </c>
      <c r="AJ651" s="30">
        <f>PM_Angle!$J$20+PM_Angle!$K$20*$C651+PM_Angle!$L$20*$B651</f>
      </c>
      <c r="AK651" s="12">
        <f>IF(AJ651&gt;0,IF(AJ651&lt;=eco,alpha*fck*(1-(1-AJ651/eco)^n),alpha*fck),0)</f>
      </c>
      <c r="AL651" s="30">
        <f>PM_Angle!$J$21+PM_Angle!$K$21*$C651+PM_Angle!$L$21*$B651</f>
      </c>
      <c r="AM651" s="12">
        <f>IF(AL651&gt;0,IF(AL651&lt;=eco,alpha*fck*(1-(1-AL651/eco)^n),alpha*fck),0)</f>
      </c>
      <c r="AN651" s="30">
        <f>PM_Angle!$J$22+PM_Angle!$K$22*$C651+PM_Angle!$L$22*$B651</f>
      </c>
      <c r="AO651" s="12">
        <f>IF(AN651&gt;0,IF(AN651&lt;=eco,alpha*fck*(1-(1-AN651/eco)^n),alpha*fck),0)</f>
      </c>
      <c r="AP651" s="30">
        <f>PM_Angle!$J$23+PM_Angle!$K$23*$C651+PM_Angle!$L$23*$B651</f>
      </c>
      <c r="AQ651" s="12">
        <f>IF(AP651&gt;0,IF(AP651&lt;=eco,alpha*fck*(1-(1-AP651/eco)^n),alpha*fck),0)</f>
      </c>
      <c r="AR651" s="30">
        <f>PM_Angle!$J$24+PM_Angle!$K$24*$C651+PM_Angle!$L$24*$B651</f>
      </c>
      <c r="AS651" s="12">
        <f>IF(AR651&gt;0,IF(AR651&lt;=eco,alpha*fck*(1-(1-AR651/eco)^n),alpha*fck),0)</f>
      </c>
      <c r="AT651" s="30">
        <f>PM_Angle!$J$25+PM_Angle!$K$25*$C651+PM_Angle!$L$25*$B651</f>
      </c>
      <c r="AU651" s="12">
        <f>IF(AT651&gt;0,IF(AT651&lt;=eco,alpha*fck*(1-(1-AT651/eco)^n),alpha*fck),0)</f>
      </c>
    </row>
    <row r="652" spans="1:47" x14ac:dyDescent="0.25">
      <c r="A652">
        <f>Mesh!A649</f>
      </c>
      <c r="B652" s="12">
        <f>Mesh!B649</f>
      </c>
      <c r="C652" s="12">
        <f>Mesh!C649</f>
      </c>
      <c r="D652" s="12">
        <f>Mesh!D649</f>
      </c>
      <c r="E652" s="30">
        <f>INDEX(St_e0,Det+1)+INDEX(St_kx,Det+1)*C652+INDEX(St_ky,Det+1)*B652</f>
      </c>
      <c r="F652" s="12">
        <f>IF(E652&gt;0,IF(E652&lt;=eco,alpha*fck*(1-(1-E652/eco)^n),alpha*fck),0)</f>
      </c>
      <c r="G652" s="11">
        <f>F652*D652</f>
      </c>
      <c r="H652" s="11">
        <f>G652*C652</f>
      </c>
      <c r="I652" s="11">
        <f>G652*B652</f>
      </c>
      <c r="J652" s="30">
        <f>PM_Angle!$J$7+PM_Angle!$K$7*$C652+PM_Angle!$L$7*$B652</f>
      </c>
      <c r="K652" s="12">
        <f>IF(J652&gt;0,IF(J652&lt;=eco,alpha*fck*(1-(1-J652/eco)^n),alpha*fck),0)</f>
      </c>
      <c r="L652" s="30">
        <f>PM_Angle!$J$8+PM_Angle!$K$8*$C652+PM_Angle!$L$8*$B652</f>
      </c>
      <c r="M652" s="12">
        <f>IF(L652&gt;0,IF(L652&lt;=eco,alpha*fck*(1-(1-L652/eco)^n),alpha*fck),0)</f>
      </c>
      <c r="N652" s="30">
        <f>PM_Angle!$J$9+PM_Angle!$K$9*$C652+PM_Angle!$L$9*$B652</f>
      </c>
      <c r="O652" s="12">
        <f>IF(N652&gt;0,IF(N652&lt;=eco,alpha*fck*(1-(1-N652/eco)^n),alpha*fck),0)</f>
      </c>
      <c r="P652" s="30">
        <f>PM_Angle!$J$10+PM_Angle!$K$10*$C652+PM_Angle!$L$10*$B652</f>
      </c>
      <c r="Q652" s="12">
        <f>IF(P652&gt;0,IF(P652&lt;=eco,alpha*fck*(1-(1-P652/eco)^n),alpha*fck),0)</f>
      </c>
      <c r="R652" s="30">
        <f>PM_Angle!$J$11+PM_Angle!$K$11*$C652+PM_Angle!$L$11*$B652</f>
      </c>
      <c r="S652" s="12">
        <f>IF(R652&gt;0,IF(R652&lt;=eco,alpha*fck*(1-(1-R652/eco)^n),alpha*fck),0)</f>
      </c>
      <c r="T652" s="30">
        <f>PM_Angle!$J$12+PM_Angle!$K$12*$C652+PM_Angle!$L$12*$B652</f>
      </c>
      <c r="U652" s="12">
        <f>IF(T652&gt;0,IF(T652&lt;=eco,alpha*fck*(1-(1-T652/eco)^n),alpha*fck),0)</f>
      </c>
      <c r="V652" s="30">
        <f>PM_Angle!$J$13+PM_Angle!$K$13*$C652+PM_Angle!$L$13*$B652</f>
      </c>
      <c r="W652" s="12">
        <f>IF(V652&gt;0,IF(V652&lt;=eco,alpha*fck*(1-(1-V652/eco)^n),alpha*fck),0)</f>
      </c>
      <c r="X652" s="30">
        <f>PM_Angle!$J$14+PM_Angle!$K$14*$C652+PM_Angle!$L$14*$B652</f>
      </c>
      <c r="Y652" s="12">
        <f>IF(X652&gt;0,IF(X652&lt;=eco,alpha*fck*(1-(1-X652/eco)^n),alpha*fck),0)</f>
      </c>
      <c r="Z652" s="30">
        <f>PM_Angle!$J$15+PM_Angle!$K$15*$C652+PM_Angle!$L$15*$B652</f>
      </c>
      <c r="AA652" s="12">
        <f>IF(Z652&gt;0,IF(Z652&lt;=eco,alpha*fck*(1-(1-Z652/eco)^n),alpha*fck),0)</f>
      </c>
      <c r="AB652" s="30">
        <f>PM_Angle!$J$16+PM_Angle!$K$16*$C652+PM_Angle!$L$16*$B652</f>
      </c>
      <c r="AC652" s="12">
        <f>IF(AB652&gt;0,IF(AB652&lt;=eco,alpha*fck*(1-(1-AB652/eco)^n),alpha*fck),0)</f>
      </c>
      <c r="AD652" s="30">
        <f>PM_Angle!$J$17+PM_Angle!$K$17*$C652+PM_Angle!$L$17*$B652</f>
      </c>
      <c r="AE652" s="12">
        <f>IF(AD652&gt;0,IF(AD652&lt;=eco,alpha*fck*(1-(1-AD652/eco)^n),alpha*fck),0)</f>
      </c>
      <c r="AF652" s="30">
        <f>PM_Angle!$J$18+PM_Angle!$K$18*$C652+PM_Angle!$L$18*$B652</f>
      </c>
      <c r="AG652" s="12">
        <f>IF(AF652&gt;0,IF(AF652&lt;=eco,alpha*fck*(1-(1-AF652/eco)^n),alpha*fck),0)</f>
      </c>
      <c r="AH652" s="30">
        <f>PM_Angle!$J$19+PM_Angle!$K$19*$C652+PM_Angle!$L$19*$B652</f>
      </c>
      <c r="AI652" s="12">
        <f>IF(AH652&gt;0,IF(AH652&lt;=eco,alpha*fck*(1-(1-AH652/eco)^n),alpha*fck),0)</f>
      </c>
      <c r="AJ652" s="30">
        <f>PM_Angle!$J$20+PM_Angle!$K$20*$C652+PM_Angle!$L$20*$B652</f>
      </c>
      <c r="AK652" s="12">
        <f>IF(AJ652&gt;0,IF(AJ652&lt;=eco,alpha*fck*(1-(1-AJ652/eco)^n),alpha*fck),0)</f>
      </c>
      <c r="AL652" s="30">
        <f>PM_Angle!$J$21+PM_Angle!$K$21*$C652+PM_Angle!$L$21*$B652</f>
      </c>
      <c r="AM652" s="12">
        <f>IF(AL652&gt;0,IF(AL652&lt;=eco,alpha*fck*(1-(1-AL652/eco)^n),alpha*fck),0)</f>
      </c>
      <c r="AN652" s="30">
        <f>PM_Angle!$J$22+PM_Angle!$K$22*$C652+PM_Angle!$L$22*$B652</f>
      </c>
      <c r="AO652" s="12">
        <f>IF(AN652&gt;0,IF(AN652&lt;=eco,alpha*fck*(1-(1-AN652/eco)^n),alpha*fck),0)</f>
      </c>
      <c r="AP652" s="30">
        <f>PM_Angle!$J$23+PM_Angle!$K$23*$C652+PM_Angle!$L$23*$B652</f>
      </c>
      <c r="AQ652" s="12">
        <f>IF(AP652&gt;0,IF(AP652&lt;=eco,alpha*fck*(1-(1-AP652/eco)^n),alpha*fck),0)</f>
      </c>
      <c r="AR652" s="30">
        <f>PM_Angle!$J$24+PM_Angle!$K$24*$C652+PM_Angle!$L$24*$B652</f>
      </c>
      <c r="AS652" s="12">
        <f>IF(AR652&gt;0,IF(AR652&lt;=eco,alpha*fck*(1-(1-AR652/eco)^n),alpha*fck),0)</f>
      </c>
      <c r="AT652" s="30">
        <f>PM_Angle!$J$25+PM_Angle!$K$25*$C652+PM_Angle!$L$25*$B652</f>
      </c>
      <c r="AU652" s="12">
        <f>IF(AT652&gt;0,IF(AT652&lt;=eco,alpha*fck*(1-(1-AT652/eco)^n),alpha*fck),0)</f>
      </c>
    </row>
    <row r="653" spans="1:47" x14ac:dyDescent="0.25">
      <c r="A653">
        <f>Mesh!A650</f>
      </c>
      <c r="B653" s="12">
        <f>Mesh!B650</f>
      </c>
      <c r="C653" s="12">
        <f>Mesh!C650</f>
      </c>
      <c r="D653" s="12">
        <f>Mesh!D650</f>
      </c>
      <c r="E653" s="30">
        <f>INDEX(St_e0,Det+1)+INDEX(St_kx,Det+1)*C653+INDEX(St_ky,Det+1)*B653</f>
      </c>
      <c r="F653" s="12">
        <f>IF(E653&gt;0,IF(E653&lt;=eco,alpha*fck*(1-(1-E653/eco)^n),alpha*fck),0)</f>
      </c>
      <c r="G653" s="11">
        <f>F653*D653</f>
      </c>
      <c r="H653" s="11">
        <f>G653*C653</f>
      </c>
      <c r="I653" s="11">
        <f>G653*B653</f>
      </c>
      <c r="J653" s="30">
        <f>PM_Angle!$J$7+PM_Angle!$K$7*$C653+PM_Angle!$L$7*$B653</f>
      </c>
      <c r="K653" s="12">
        <f>IF(J653&gt;0,IF(J653&lt;=eco,alpha*fck*(1-(1-J653/eco)^n),alpha*fck),0)</f>
      </c>
      <c r="L653" s="30">
        <f>PM_Angle!$J$8+PM_Angle!$K$8*$C653+PM_Angle!$L$8*$B653</f>
      </c>
      <c r="M653" s="12">
        <f>IF(L653&gt;0,IF(L653&lt;=eco,alpha*fck*(1-(1-L653/eco)^n),alpha*fck),0)</f>
      </c>
      <c r="N653" s="30">
        <f>PM_Angle!$J$9+PM_Angle!$K$9*$C653+PM_Angle!$L$9*$B653</f>
      </c>
      <c r="O653" s="12">
        <f>IF(N653&gt;0,IF(N653&lt;=eco,alpha*fck*(1-(1-N653/eco)^n),alpha*fck),0)</f>
      </c>
      <c r="P653" s="30">
        <f>PM_Angle!$J$10+PM_Angle!$K$10*$C653+PM_Angle!$L$10*$B653</f>
      </c>
      <c r="Q653" s="12">
        <f>IF(P653&gt;0,IF(P653&lt;=eco,alpha*fck*(1-(1-P653/eco)^n),alpha*fck),0)</f>
      </c>
      <c r="R653" s="30">
        <f>PM_Angle!$J$11+PM_Angle!$K$11*$C653+PM_Angle!$L$11*$B653</f>
      </c>
      <c r="S653" s="12">
        <f>IF(R653&gt;0,IF(R653&lt;=eco,alpha*fck*(1-(1-R653/eco)^n),alpha*fck),0)</f>
      </c>
      <c r="T653" s="30">
        <f>PM_Angle!$J$12+PM_Angle!$K$12*$C653+PM_Angle!$L$12*$B653</f>
      </c>
      <c r="U653" s="12">
        <f>IF(T653&gt;0,IF(T653&lt;=eco,alpha*fck*(1-(1-T653/eco)^n),alpha*fck),0)</f>
      </c>
      <c r="V653" s="30">
        <f>PM_Angle!$J$13+PM_Angle!$K$13*$C653+PM_Angle!$L$13*$B653</f>
      </c>
      <c r="W653" s="12">
        <f>IF(V653&gt;0,IF(V653&lt;=eco,alpha*fck*(1-(1-V653/eco)^n),alpha*fck),0)</f>
      </c>
      <c r="X653" s="30">
        <f>PM_Angle!$J$14+PM_Angle!$K$14*$C653+PM_Angle!$L$14*$B653</f>
      </c>
      <c r="Y653" s="12">
        <f>IF(X653&gt;0,IF(X653&lt;=eco,alpha*fck*(1-(1-X653/eco)^n),alpha*fck),0)</f>
      </c>
      <c r="Z653" s="30">
        <f>PM_Angle!$J$15+PM_Angle!$K$15*$C653+PM_Angle!$L$15*$B653</f>
      </c>
      <c r="AA653" s="12">
        <f>IF(Z653&gt;0,IF(Z653&lt;=eco,alpha*fck*(1-(1-Z653/eco)^n),alpha*fck),0)</f>
      </c>
      <c r="AB653" s="30">
        <f>PM_Angle!$J$16+PM_Angle!$K$16*$C653+PM_Angle!$L$16*$B653</f>
      </c>
      <c r="AC653" s="12">
        <f>IF(AB653&gt;0,IF(AB653&lt;=eco,alpha*fck*(1-(1-AB653/eco)^n),alpha*fck),0)</f>
      </c>
      <c r="AD653" s="30">
        <f>PM_Angle!$J$17+PM_Angle!$K$17*$C653+PM_Angle!$L$17*$B653</f>
      </c>
      <c r="AE653" s="12">
        <f>IF(AD653&gt;0,IF(AD653&lt;=eco,alpha*fck*(1-(1-AD653/eco)^n),alpha*fck),0)</f>
      </c>
      <c r="AF653" s="30">
        <f>PM_Angle!$J$18+PM_Angle!$K$18*$C653+PM_Angle!$L$18*$B653</f>
      </c>
      <c r="AG653" s="12">
        <f>IF(AF653&gt;0,IF(AF653&lt;=eco,alpha*fck*(1-(1-AF653/eco)^n),alpha*fck),0)</f>
      </c>
      <c r="AH653" s="30">
        <f>PM_Angle!$J$19+PM_Angle!$K$19*$C653+PM_Angle!$L$19*$B653</f>
      </c>
      <c r="AI653" s="12">
        <f>IF(AH653&gt;0,IF(AH653&lt;=eco,alpha*fck*(1-(1-AH653/eco)^n),alpha*fck),0)</f>
      </c>
      <c r="AJ653" s="30">
        <f>PM_Angle!$J$20+PM_Angle!$K$20*$C653+PM_Angle!$L$20*$B653</f>
      </c>
      <c r="AK653" s="12">
        <f>IF(AJ653&gt;0,IF(AJ653&lt;=eco,alpha*fck*(1-(1-AJ653/eco)^n),alpha*fck),0)</f>
      </c>
      <c r="AL653" s="30">
        <f>PM_Angle!$J$21+PM_Angle!$K$21*$C653+PM_Angle!$L$21*$B653</f>
      </c>
      <c r="AM653" s="12">
        <f>IF(AL653&gt;0,IF(AL653&lt;=eco,alpha*fck*(1-(1-AL653/eco)^n),alpha*fck),0)</f>
      </c>
      <c r="AN653" s="30">
        <f>PM_Angle!$J$22+PM_Angle!$K$22*$C653+PM_Angle!$L$22*$B653</f>
      </c>
      <c r="AO653" s="12">
        <f>IF(AN653&gt;0,IF(AN653&lt;=eco,alpha*fck*(1-(1-AN653/eco)^n),alpha*fck),0)</f>
      </c>
      <c r="AP653" s="30">
        <f>PM_Angle!$J$23+PM_Angle!$K$23*$C653+PM_Angle!$L$23*$B653</f>
      </c>
      <c r="AQ653" s="12">
        <f>IF(AP653&gt;0,IF(AP653&lt;=eco,alpha*fck*(1-(1-AP653/eco)^n),alpha*fck),0)</f>
      </c>
      <c r="AR653" s="30">
        <f>PM_Angle!$J$24+PM_Angle!$K$24*$C653+PM_Angle!$L$24*$B653</f>
      </c>
      <c r="AS653" s="12">
        <f>IF(AR653&gt;0,IF(AR653&lt;=eco,alpha*fck*(1-(1-AR653/eco)^n),alpha*fck),0)</f>
      </c>
      <c r="AT653" s="30">
        <f>PM_Angle!$J$25+PM_Angle!$K$25*$C653+PM_Angle!$L$25*$B653</f>
      </c>
      <c r="AU653" s="12">
        <f>IF(AT653&gt;0,IF(AT653&lt;=eco,alpha*fck*(1-(1-AT653/eco)^n),alpha*fck),0)</f>
      </c>
    </row>
    <row r="654" spans="1:47" x14ac:dyDescent="0.25">
      <c r="A654">
        <f>Mesh!A651</f>
      </c>
      <c r="B654" s="12">
        <f>Mesh!B651</f>
      </c>
      <c r="C654" s="12">
        <f>Mesh!C651</f>
      </c>
      <c r="D654" s="12">
        <f>Mesh!D651</f>
      </c>
      <c r="E654" s="30">
        <f>INDEX(St_e0,Det+1)+INDEX(St_kx,Det+1)*C654+INDEX(St_ky,Det+1)*B654</f>
      </c>
      <c r="F654" s="12">
        <f>IF(E654&gt;0,IF(E654&lt;=eco,alpha*fck*(1-(1-E654/eco)^n),alpha*fck),0)</f>
      </c>
      <c r="G654" s="11">
        <f>F654*D654</f>
      </c>
      <c r="H654" s="11">
        <f>G654*C654</f>
      </c>
      <c r="I654" s="11">
        <f>G654*B654</f>
      </c>
      <c r="J654" s="30">
        <f>PM_Angle!$J$7+PM_Angle!$K$7*$C654+PM_Angle!$L$7*$B654</f>
      </c>
      <c r="K654" s="12">
        <f>IF(J654&gt;0,IF(J654&lt;=eco,alpha*fck*(1-(1-J654/eco)^n),alpha*fck),0)</f>
      </c>
      <c r="L654" s="30">
        <f>PM_Angle!$J$8+PM_Angle!$K$8*$C654+PM_Angle!$L$8*$B654</f>
      </c>
      <c r="M654" s="12">
        <f>IF(L654&gt;0,IF(L654&lt;=eco,alpha*fck*(1-(1-L654/eco)^n),alpha*fck),0)</f>
      </c>
      <c r="N654" s="30">
        <f>PM_Angle!$J$9+PM_Angle!$K$9*$C654+PM_Angle!$L$9*$B654</f>
      </c>
      <c r="O654" s="12">
        <f>IF(N654&gt;0,IF(N654&lt;=eco,alpha*fck*(1-(1-N654/eco)^n),alpha*fck),0)</f>
      </c>
      <c r="P654" s="30">
        <f>PM_Angle!$J$10+PM_Angle!$K$10*$C654+PM_Angle!$L$10*$B654</f>
      </c>
      <c r="Q654" s="12">
        <f>IF(P654&gt;0,IF(P654&lt;=eco,alpha*fck*(1-(1-P654/eco)^n),alpha*fck),0)</f>
      </c>
      <c r="R654" s="30">
        <f>PM_Angle!$J$11+PM_Angle!$K$11*$C654+PM_Angle!$L$11*$B654</f>
      </c>
      <c r="S654" s="12">
        <f>IF(R654&gt;0,IF(R654&lt;=eco,alpha*fck*(1-(1-R654/eco)^n),alpha*fck),0)</f>
      </c>
      <c r="T654" s="30">
        <f>PM_Angle!$J$12+PM_Angle!$K$12*$C654+PM_Angle!$L$12*$B654</f>
      </c>
      <c r="U654" s="12">
        <f>IF(T654&gt;0,IF(T654&lt;=eco,alpha*fck*(1-(1-T654/eco)^n),alpha*fck),0)</f>
      </c>
      <c r="V654" s="30">
        <f>PM_Angle!$J$13+PM_Angle!$K$13*$C654+PM_Angle!$L$13*$B654</f>
      </c>
      <c r="W654" s="12">
        <f>IF(V654&gt;0,IF(V654&lt;=eco,alpha*fck*(1-(1-V654/eco)^n),alpha*fck),0)</f>
      </c>
      <c r="X654" s="30">
        <f>PM_Angle!$J$14+PM_Angle!$K$14*$C654+PM_Angle!$L$14*$B654</f>
      </c>
      <c r="Y654" s="12">
        <f>IF(X654&gt;0,IF(X654&lt;=eco,alpha*fck*(1-(1-X654/eco)^n),alpha*fck),0)</f>
      </c>
      <c r="Z654" s="30">
        <f>PM_Angle!$J$15+PM_Angle!$K$15*$C654+PM_Angle!$L$15*$B654</f>
      </c>
      <c r="AA654" s="12">
        <f>IF(Z654&gt;0,IF(Z654&lt;=eco,alpha*fck*(1-(1-Z654/eco)^n),alpha*fck),0)</f>
      </c>
      <c r="AB654" s="30">
        <f>PM_Angle!$J$16+PM_Angle!$K$16*$C654+PM_Angle!$L$16*$B654</f>
      </c>
      <c r="AC654" s="12">
        <f>IF(AB654&gt;0,IF(AB654&lt;=eco,alpha*fck*(1-(1-AB654/eco)^n),alpha*fck),0)</f>
      </c>
      <c r="AD654" s="30">
        <f>PM_Angle!$J$17+PM_Angle!$K$17*$C654+PM_Angle!$L$17*$B654</f>
      </c>
      <c r="AE654" s="12">
        <f>IF(AD654&gt;0,IF(AD654&lt;=eco,alpha*fck*(1-(1-AD654/eco)^n),alpha*fck),0)</f>
      </c>
      <c r="AF654" s="30">
        <f>PM_Angle!$J$18+PM_Angle!$K$18*$C654+PM_Angle!$L$18*$B654</f>
      </c>
      <c r="AG654" s="12">
        <f>IF(AF654&gt;0,IF(AF654&lt;=eco,alpha*fck*(1-(1-AF654/eco)^n),alpha*fck),0)</f>
      </c>
      <c r="AH654" s="30">
        <f>PM_Angle!$J$19+PM_Angle!$K$19*$C654+PM_Angle!$L$19*$B654</f>
      </c>
      <c r="AI654" s="12">
        <f>IF(AH654&gt;0,IF(AH654&lt;=eco,alpha*fck*(1-(1-AH654/eco)^n),alpha*fck),0)</f>
      </c>
      <c r="AJ654" s="30">
        <f>PM_Angle!$J$20+PM_Angle!$K$20*$C654+PM_Angle!$L$20*$B654</f>
      </c>
      <c r="AK654" s="12">
        <f>IF(AJ654&gt;0,IF(AJ654&lt;=eco,alpha*fck*(1-(1-AJ654/eco)^n),alpha*fck),0)</f>
      </c>
      <c r="AL654" s="30">
        <f>PM_Angle!$J$21+PM_Angle!$K$21*$C654+PM_Angle!$L$21*$B654</f>
      </c>
      <c r="AM654" s="12">
        <f>IF(AL654&gt;0,IF(AL654&lt;=eco,alpha*fck*(1-(1-AL654/eco)^n),alpha*fck),0)</f>
      </c>
      <c r="AN654" s="30">
        <f>PM_Angle!$J$22+PM_Angle!$K$22*$C654+PM_Angle!$L$22*$B654</f>
      </c>
      <c r="AO654" s="12">
        <f>IF(AN654&gt;0,IF(AN654&lt;=eco,alpha*fck*(1-(1-AN654/eco)^n),alpha*fck),0)</f>
      </c>
      <c r="AP654" s="30">
        <f>PM_Angle!$J$23+PM_Angle!$K$23*$C654+PM_Angle!$L$23*$B654</f>
      </c>
      <c r="AQ654" s="12">
        <f>IF(AP654&gt;0,IF(AP654&lt;=eco,alpha*fck*(1-(1-AP654/eco)^n),alpha*fck),0)</f>
      </c>
      <c r="AR654" s="30">
        <f>PM_Angle!$J$24+PM_Angle!$K$24*$C654+PM_Angle!$L$24*$B654</f>
      </c>
      <c r="AS654" s="12">
        <f>IF(AR654&gt;0,IF(AR654&lt;=eco,alpha*fck*(1-(1-AR654/eco)^n),alpha*fck),0)</f>
      </c>
      <c r="AT654" s="30">
        <f>PM_Angle!$J$25+PM_Angle!$K$25*$C654+PM_Angle!$L$25*$B654</f>
      </c>
      <c r="AU654" s="12">
        <f>IF(AT654&gt;0,IF(AT654&lt;=eco,alpha*fck*(1-(1-AT654/eco)^n),alpha*fck),0)</f>
      </c>
    </row>
    <row r="655" spans="1:47" x14ac:dyDescent="0.25">
      <c r="A655">
        <f>Mesh!A652</f>
      </c>
      <c r="B655" s="12">
        <f>Mesh!B652</f>
      </c>
      <c r="C655" s="12">
        <f>Mesh!C652</f>
      </c>
      <c r="D655" s="12">
        <f>Mesh!D652</f>
      </c>
      <c r="E655" s="30">
        <f>INDEX(St_e0,Det+1)+INDEX(St_kx,Det+1)*C655+INDEX(St_ky,Det+1)*B655</f>
      </c>
      <c r="F655" s="12">
        <f>IF(E655&gt;0,IF(E655&lt;=eco,alpha*fck*(1-(1-E655/eco)^n),alpha*fck),0)</f>
      </c>
      <c r="G655" s="11">
        <f>F655*D655</f>
      </c>
      <c r="H655" s="11">
        <f>G655*C655</f>
      </c>
      <c r="I655" s="11">
        <f>G655*B655</f>
      </c>
      <c r="J655" s="30">
        <f>PM_Angle!$J$7+PM_Angle!$K$7*$C655+PM_Angle!$L$7*$B655</f>
      </c>
      <c r="K655" s="12">
        <f>IF(J655&gt;0,IF(J655&lt;=eco,alpha*fck*(1-(1-J655/eco)^n),alpha*fck),0)</f>
      </c>
      <c r="L655" s="30">
        <f>PM_Angle!$J$8+PM_Angle!$K$8*$C655+PM_Angle!$L$8*$B655</f>
      </c>
      <c r="M655" s="12">
        <f>IF(L655&gt;0,IF(L655&lt;=eco,alpha*fck*(1-(1-L655/eco)^n),alpha*fck),0)</f>
      </c>
      <c r="N655" s="30">
        <f>PM_Angle!$J$9+PM_Angle!$K$9*$C655+PM_Angle!$L$9*$B655</f>
      </c>
      <c r="O655" s="12">
        <f>IF(N655&gt;0,IF(N655&lt;=eco,alpha*fck*(1-(1-N655/eco)^n),alpha*fck),0)</f>
      </c>
      <c r="P655" s="30">
        <f>PM_Angle!$J$10+PM_Angle!$K$10*$C655+PM_Angle!$L$10*$B655</f>
      </c>
      <c r="Q655" s="12">
        <f>IF(P655&gt;0,IF(P655&lt;=eco,alpha*fck*(1-(1-P655/eco)^n),alpha*fck),0)</f>
      </c>
      <c r="R655" s="30">
        <f>PM_Angle!$J$11+PM_Angle!$K$11*$C655+PM_Angle!$L$11*$B655</f>
      </c>
      <c r="S655" s="12">
        <f>IF(R655&gt;0,IF(R655&lt;=eco,alpha*fck*(1-(1-R655/eco)^n),alpha*fck),0)</f>
      </c>
      <c r="T655" s="30">
        <f>PM_Angle!$J$12+PM_Angle!$K$12*$C655+PM_Angle!$L$12*$B655</f>
      </c>
      <c r="U655" s="12">
        <f>IF(T655&gt;0,IF(T655&lt;=eco,alpha*fck*(1-(1-T655/eco)^n),alpha*fck),0)</f>
      </c>
      <c r="V655" s="30">
        <f>PM_Angle!$J$13+PM_Angle!$K$13*$C655+PM_Angle!$L$13*$B655</f>
      </c>
      <c r="W655" s="12">
        <f>IF(V655&gt;0,IF(V655&lt;=eco,alpha*fck*(1-(1-V655/eco)^n),alpha*fck),0)</f>
      </c>
      <c r="X655" s="30">
        <f>PM_Angle!$J$14+PM_Angle!$K$14*$C655+PM_Angle!$L$14*$B655</f>
      </c>
      <c r="Y655" s="12">
        <f>IF(X655&gt;0,IF(X655&lt;=eco,alpha*fck*(1-(1-X655/eco)^n),alpha*fck),0)</f>
      </c>
      <c r="Z655" s="30">
        <f>PM_Angle!$J$15+PM_Angle!$K$15*$C655+PM_Angle!$L$15*$B655</f>
      </c>
      <c r="AA655" s="12">
        <f>IF(Z655&gt;0,IF(Z655&lt;=eco,alpha*fck*(1-(1-Z655/eco)^n),alpha*fck),0)</f>
      </c>
      <c r="AB655" s="30">
        <f>PM_Angle!$J$16+PM_Angle!$K$16*$C655+PM_Angle!$L$16*$B655</f>
      </c>
      <c r="AC655" s="12">
        <f>IF(AB655&gt;0,IF(AB655&lt;=eco,alpha*fck*(1-(1-AB655/eco)^n),alpha*fck),0)</f>
      </c>
      <c r="AD655" s="30">
        <f>PM_Angle!$J$17+PM_Angle!$K$17*$C655+PM_Angle!$L$17*$B655</f>
      </c>
      <c r="AE655" s="12">
        <f>IF(AD655&gt;0,IF(AD655&lt;=eco,alpha*fck*(1-(1-AD655/eco)^n),alpha*fck),0)</f>
      </c>
      <c r="AF655" s="30">
        <f>PM_Angle!$J$18+PM_Angle!$K$18*$C655+PM_Angle!$L$18*$B655</f>
      </c>
      <c r="AG655" s="12">
        <f>IF(AF655&gt;0,IF(AF655&lt;=eco,alpha*fck*(1-(1-AF655/eco)^n),alpha*fck),0)</f>
      </c>
      <c r="AH655" s="30">
        <f>PM_Angle!$J$19+PM_Angle!$K$19*$C655+PM_Angle!$L$19*$B655</f>
      </c>
      <c r="AI655" s="12">
        <f>IF(AH655&gt;0,IF(AH655&lt;=eco,alpha*fck*(1-(1-AH655/eco)^n),alpha*fck),0)</f>
      </c>
      <c r="AJ655" s="30">
        <f>PM_Angle!$J$20+PM_Angle!$K$20*$C655+PM_Angle!$L$20*$B655</f>
      </c>
      <c r="AK655" s="12">
        <f>IF(AJ655&gt;0,IF(AJ655&lt;=eco,alpha*fck*(1-(1-AJ655/eco)^n),alpha*fck),0)</f>
      </c>
      <c r="AL655" s="30">
        <f>PM_Angle!$J$21+PM_Angle!$K$21*$C655+PM_Angle!$L$21*$B655</f>
      </c>
      <c r="AM655" s="12">
        <f>IF(AL655&gt;0,IF(AL655&lt;=eco,alpha*fck*(1-(1-AL655/eco)^n),alpha*fck),0)</f>
      </c>
      <c r="AN655" s="30">
        <f>PM_Angle!$J$22+PM_Angle!$K$22*$C655+PM_Angle!$L$22*$B655</f>
      </c>
      <c r="AO655" s="12">
        <f>IF(AN655&gt;0,IF(AN655&lt;=eco,alpha*fck*(1-(1-AN655/eco)^n),alpha*fck),0)</f>
      </c>
      <c r="AP655" s="30">
        <f>PM_Angle!$J$23+PM_Angle!$K$23*$C655+PM_Angle!$L$23*$B655</f>
      </c>
      <c r="AQ655" s="12">
        <f>IF(AP655&gt;0,IF(AP655&lt;=eco,alpha*fck*(1-(1-AP655/eco)^n),alpha*fck),0)</f>
      </c>
      <c r="AR655" s="30">
        <f>PM_Angle!$J$24+PM_Angle!$K$24*$C655+PM_Angle!$L$24*$B655</f>
      </c>
      <c r="AS655" s="12">
        <f>IF(AR655&gt;0,IF(AR655&lt;=eco,alpha*fck*(1-(1-AR655/eco)^n),alpha*fck),0)</f>
      </c>
      <c r="AT655" s="30">
        <f>PM_Angle!$J$25+PM_Angle!$K$25*$C655+PM_Angle!$L$25*$B655</f>
      </c>
      <c r="AU655" s="12">
        <f>IF(AT655&gt;0,IF(AT655&lt;=eco,alpha*fck*(1-(1-AT655/eco)^n),alpha*fck),0)</f>
      </c>
    </row>
    <row r="656" spans="1:47" x14ac:dyDescent="0.25">
      <c r="A656">
        <f>Mesh!A653</f>
      </c>
      <c r="B656" s="12">
        <f>Mesh!B653</f>
      </c>
      <c r="C656" s="12">
        <f>Mesh!C653</f>
      </c>
      <c r="D656" s="12">
        <f>Mesh!D653</f>
      </c>
      <c r="E656" s="30">
        <f>INDEX(St_e0,Det+1)+INDEX(St_kx,Det+1)*C656+INDEX(St_ky,Det+1)*B656</f>
      </c>
      <c r="F656" s="12">
        <f>IF(E656&gt;0,IF(E656&lt;=eco,alpha*fck*(1-(1-E656/eco)^n),alpha*fck),0)</f>
      </c>
      <c r="G656" s="11">
        <f>F656*D656</f>
      </c>
      <c r="H656" s="11">
        <f>G656*C656</f>
      </c>
      <c r="I656" s="11">
        <f>G656*B656</f>
      </c>
      <c r="J656" s="30">
        <f>PM_Angle!$J$7+PM_Angle!$K$7*$C656+PM_Angle!$L$7*$B656</f>
      </c>
      <c r="K656" s="12">
        <f>IF(J656&gt;0,IF(J656&lt;=eco,alpha*fck*(1-(1-J656/eco)^n),alpha*fck),0)</f>
      </c>
      <c r="L656" s="30">
        <f>PM_Angle!$J$8+PM_Angle!$K$8*$C656+PM_Angle!$L$8*$B656</f>
      </c>
      <c r="M656" s="12">
        <f>IF(L656&gt;0,IF(L656&lt;=eco,alpha*fck*(1-(1-L656/eco)^n),alpha*fck),0)</f>
      </c>
      <c r="N656" s="30">
        <f>PM_Angle!$J$9+PM_Angle!$K$9*$C656+PM_Angle!$L$9*$B656</f>
      </c>
      <c r="O656" s="12">
        <f>IF(N656&gt;0,IF(N656&lt;=eco,alpha*fck*(1-(1-N656/eco)^n),alpha*fck),0)</f>
      </c>
      <c r="P656" s="30">
        <f>PM_Angle!$J$10+PM_Angle!$K$10*$C656+PM_Angle!$L$10*$B656</f>
      </c>
      <c r="Q656" s="12">
        <f>IF(P656&gt;0,IF(P656&lt;=eco,alpha*fck*(1-(1-P656/eco)^n),alpha*fck),0)</f>
      </c>
      <c r="R656" s="30">
        <f>PM_Angle!$J$11+PM_Angle!$K$11*$C656+PM_Angle!$L$11*$B656</f>
      </c>
      <c r="S656" s="12">
        <f>IF(R656&gt;0,IF(R656&lt;=eco,alpha*fck*(1-(1-R656/eco)^n),alpha*fck),0)</f>
      </c>
      <c r="T656" s="30">
        <f>PM_Angle!$J$12+PM_Angle!$K$12*$C656+PM_Angle!$L$12*$B656</f>
      </c>
      <c r="U656" s="12">
        <f>IF(T656&gt;0,IF(T656&lt;=eco,alpha*fck*(1-(1-T656/eco)^n),alpha*fck),0)</f>
      </c>
      <c r="V656" s="30">
        <f>PM_Angle!$J$13+PM_Angle!$K$13*$C656+PM_Angle!$L$13*$B656</f>
      </c>
      <c r="W656" s="12">
        <f>IF(V656&gt;0,IF(V656&lt;=eco,alpha*fck*(1-(1-V656/eco)^n),alpha*fck),0)</f>
      </c>
      <c r="X656" s="30">
        <f>PM_Angle!$J$14+PM_Angle!$K$14*$C656+PM_Angle!$L$14*$B656</f>
      </c>
      <c r="Y656" s="12">
        <f>IF(X656&gt;0,IF(X656&lt;=eco,alpha*fck*(1-(1-X656/eco)^n),alpha*fck),0)</f>
      </c>
      <c r="Z656" s="30">
        <f>PM_Angle!$J$15+PM_Angle!$K$15*$C656+PM_Angle!$L$15*$B656</f>
      </c>
      <c r="AA656" s="12">
        <f>IF(Z656&gt;0,IF(Z656&lt;=eco,alpha*fck*(1-(1-Z656/eco)^n),alpha*fck),0)</f>
      </c>
      <c r="AB656" s="30">
        <f>PM_Angle!$J$16+PM_Angle!$K$16*$C656+PM_Angle!$L$16*$B656</f>
      </c>
      <c r="AC656" s="12">
        <f>IF(AB656&gt;0,IF(AB656&lt;=eco,alpha*fck*(1-(1-AB656/eco)^n),alpha*fck),0)</f>
      </c>
      <c r="AD656" s="30">
        <f>PM_Angle!$J$17+PM_Angle!$K$17*$C656+PM_Angle!$L$17*$B656</f>
      </c>
      <c r="AE656" s="12">
        <f>IF(AD656&gt;0,IF(AD656&lt;=eco,alpha*fck*(1-(1-AD656/eco)^n),alpha*fck),0)</f>
      </c>
      <c r="AF656" s="30">
        <f>PM_Angle!$J$18+PM_Angle!$K$18*$C656+PM_Angle!$L$18*$B656</f>
      </c>
      <c r="AG656" s="12">
        <f>IF(AF656&gt;0,IF(AF656&lt;=eco,alpha*fck*(1-(1-AF656/eco)^n),alpha*fck),0)</f>
      </c>
      <c r="AH656" s="30">
        <f>PM_Angle!$J$19+PM_Angle!$K$19*$C656+PM_Angle!$L$19*$B656</f>
      </c>
      <c r="AI656" s="12">
        <f>IF(AH656&gt;0,IF(AH656&lt;=eco,alpha*fck*(1-(1-AH656/eco)^n),alpha*fck),0)</f>
      </c>
      <c r="AJ656" s="30">
        <f>PM_Angle!$J$20+PM_Angle!$K$20*$C656+PM_Angle!$L$20*$B656</f>
      </c>
      <c r="AK656" s="12">
        <f>IF(AJ656&gt;0,IF(AJ656&lt;=eco,alpha*fck*(1-(1-AJ656/eco)^n),alpha*fck),0)</f>
      </c>
      <c r="AL656" s="30">
        <f>PM_Angle!$J$21+PM_Angle!$K$21*$C656+PM_Angle!$L$21*$B656</f>
      </c>
      <c r="AM656" s="12">
        <f>IF(AL656&gt;0,IF(AL656&lt;=eco,alpha*fck*(1-(1-AL656/eco)^n),alpha*fck),0)</f>
      </c>
      <c r="AN656" s="30">
        <f>PM_Angle!$J$22+PM_Angle!$K$22*$C656+PM_Angle!$L$22*$B656</f>
      </c>
      <c r="AO656" s="12">
        <f>IF(AN656&gt;0,IF(AN656&lt;=eco,alpha*fck*(1-(1-AN656/eco)^n),alpha*fck),0)</f>
      </c>
      <c r="AP656" s="30">
        <f>PM_Angle!$J$23+PM_Angle!$K$23*$C656+PM_Angle!$L$23*$B656</f>
      </c>
      <c r="AQ656" s="12">
        <f>IF(AP656&gt;0,IF(AP656&lt;=eco,alpha*fck*(1-(1-AP656/eco)^n),alpha*fck),0)</f>
      </c>
      <c r="AR656" s="30">
        <f>PM_Angle!$J$24+PM_Angle!$K$24*$C656+PM_Angle!$L$24*$B656</f>
      </c>
      <c r="AS656" s="12">
        <f>IF(AR656&gt;0,IF(AR656&lt;=eco,alpha*fck*(1-(1-AR656/eco)^n),alpha*fck),0)</f>
      </c>
      <c r="AT656" s="30">
        <f>PM_Angle!$J$25+PM_Angle!$K$25*$C656+PM_Angle!$L$25*$B656</f>
      </c>
      <c r="AU656" s="12">
        <f>IF(AT656&gt;0,IF(AT656&lt;=eco,alpha*fck*(1-(1-AT656/eco)^n),alpha*fck),0)</f>
      </c>
    </row>
    <row r="657" spans="1:47" x14ac:dyDescent="0.25">
      <c r="A657">
        <f>Mesh!A654</f>
      </c>
      <c r="B657" s="12">
        <f>Mesh!B654</f>
      </c>
      <c r="C657" s="12">
        <f>Mesh!C654</f>
      </c>
      <c r="D657" s="12">
        <f>Mesh!D654</f>
      </c>
      <c r="E657" s="30">
        <f>INDEX(St_e0,Det+1)+INDEX(St_kx,Det+1)*C657+INDEX(St_ky,Det+1)*B657</f>
      </c>
      <c r="F657" s="12">
        <f>IF(E657&gt;0,IF(E657&lt;=eco,alpha*fck*(1-(1-E657/eco)^n),alpha*fck),0)</f>
      </c>
      <c r="G657" s="11">
        <f>F657*D657</f>
      </c>
      <c r="H657" s="11">
        <f>G657*C657</f>
      </c>
      <c r="I657" s="11">
        <f>G657*B657</f>
      </c>
      <c r="J657" s="30">
        <f>PM_Angle!$J$7+PM_Angle!$K$7*$C657+PM_Angle!$L$7*$B657</f>
      </c>
      <c r="K657" s="12">
        <f>IF(J657&gt;0,IF(J657&lt;=eco,alpha*fck*(1-(1-J657/eco)^n),alpha*fck),0)</f>
      </c>
      <c r="L657" s="30">
        <f>PM_Angle!$J$8+PM_Angle!$K$8*$C657+PM_Angle!$L$8*$B657</f>
      </c>
      <c r="M657" s="12">
        <f>IF(L657&gt;0,IF(L657&lt;=eco,alpha*fck*(1-(1-L657/eco)^n),alpha*fck),0)</f>
      </c>
      <c r="N657" s="30">
        <f>PM_Angle!$J$9+PM_Angle!$K$9*$C657+PM_Angle!$L$9*$B657</f>
      </c>
      <c r="O657" s="12">
        <f>IF(N657&gt;0,IF(N657&lt;=eco,alpha*fck*(1-(1-N657/eco)^n),alpha*fck),0)</f>
      </c>
      <c r="P657" s="30">
        <f>PM_Angle!$J$10+PM_Angle!$K$10*$C657+PM_Angle!$L$10*$B657</f>
      </c>
      <c r="Q657" s="12">
        <f>IF(P657&gt;0,IF(P657&lt;=eco,alpha*fck*(1-(1-P657/eco)^n),alpha*fck),0)</f>
      </c>
      <c r="R657" s="30">
        <f>PM_Angle!$J$11+PM_Angle!$K$11*$C657+PM_Angle!$L$11*$B657</f>
      </c>
      <c r="S657" s="12">
        <f>IF(R657&gt;0,IF(R657&lt;=eco,alpha*fck*(1-(1-R657/eco)^n),alpha*fck),0)</f>
      </c>
      <c r="T657" s="30">
        <f>PM_Angle!$J$12+PM_Angle!$K$12*$C657+PM_Angle!$L$12*$B657</f>
      </c>
      <c r="U657" s="12">
        <f>IF(T657&gt;0,IF(T657&lt;=eco,alpha*fck*(1-(1-T657/eco)^n),alpha*fck),0)</f>
      </c>
      <c r="V657" s="30">
        <f>PM_Angle!$J$13+PM_Angle!$K$13*$C657+PM_Angle!$L$13*$B657</f>
      </c>
      <c r="W657" s="12">
        <f>IF(V657&gt;0,IF(V657&lt;=eco,alpha*fck*(1-(1-V657/eco)^n),alpha*fck),0)</f>
      </c>
      <c r="X657" s="30">
        <f>PM_Angle!$J$14+PM_Angle!$K$14*$C657+PM_Angle!$L$14*$B657</f>
      </c>
      <c r="Y657" s="12">
        <f>IF(X657&gt;0,IF(X657&lt;=eco,alpha*fck*(1-(1-X657/eco)^n),alpha*fck),0)</f>
      </c>
      <c r="Z657" s="30">
        <f>PM_Angle!$J$15+PM_Angle!$K$15*$C657+PM_Angle!$L$15*$B657</f>
      </c>
      <c r="AA657" s="12">
        <f>IF(Z657&gt;0,IF(Z657&lt;=eco,alpha*fck*(1-(1-Z657/eco)^n),alpha*fck),0)</f>
      </c>
      <c r="AB657" s="30">
        <f>PM_Angle!$J$16+PM_Angle!$K$16*$C657+PM_Angle!$L$16*$B657</f>
      </c>
      <c r="AC657" s="12">
        <f>IF(AB657&gt;0,IF(AB657&lt;=eco,alpha*fck*(1-(1-AB657/eco)^n),alpha*fck),0)</f>
      </c>
      <c r="AD657" s="30">
        <f>PM_Angle!$J$17+PM_Angle!$K$17*$C657+PM_Angle!$L$17*$B657</f>
      </c>
      <c r="AE657" s="12">
        <f>IF(AD657&gt;0,IF(AD657&lt;=eco,alpha*fck*(1-(1-AD657/eco)^n),alpha*fck),0)</f>
      </c>
      <c r="AF657" s="30">
        <f>PM_Angle!$J$18+PM_Angle!$K$18*$C657+PM_Angle!$L$18*$B657</f>
      </c>
      <c r="AG657" s="12">
        <f>IF(AF657&gt;0,IF(AF657&lt;=eco,alpha*fck*(1-(1-AF657/eco)^n),alpha*fck),0)</f>
      </c>
      <c r="AH657" s="30">
        <f>PM_Angle!$J$19+PM_Angle!$K$19*$C657+PM_Angle!$L$19*$B657</f>
      </c>
      <c r="AI657" s="12">
        <f>IF(AH657&gt;0,IF(AH657&lt;=eco,alpha*fck*(1-(1-AH657/eco)^n),alpha*fck),0)</f>
      </c>
      <c r="AJ657" s="30">
        <f>PM_Angle!$J$20+PM_Angle!$K$20*$C657+PM_Angle!$L$20*$B657</f>
      </c>
      <c r="AK657" s="12">
        <f>IF(AJ657&gt;0,IF(AJ657&lt;=eco,alpha*fck*(1-(1-AJ657/eco)^n),alpha*fck),0)</f>
      </c>
      <c r="AL657" s="30">
        <f>PM_Angle!$J$21+PM_Angle!$K$21*$C657+PM_Angle!$L$21*$B657</f>
      </c>
      <c r="AM657" s="12">
        <f>IF(AL657&gt;0,IF(AL657&lt;=eco,alpha*fck*(1-(1-AL657/eco)^n),alpha*fck),0)</f>
      </c>
      <c r="AN657" s="30">
        <f>PM_Angle!$J$22+PM_Angle!$K$22*$C657+PM_Angle!$L$22*$B657</f>
      </c>
      <c r="AO657" s="12">
        <f>IF(AN657&gt;0,IF(AN657&lt;=eco,alpha*fck*(1-(1-AN657/eco)^n),alpha*fck),0)</f>
      </c>
      <c r="AP657" s="30">
        <f>PM_Angle!$J$23+PM_Angle!$K$23*$C657+PM_Angle!$L$23*$B657</f>
      </c>
      <c r="AQ657" s="12">
        <f>IF(AP657&gt;0,IF(AP657&lt;=eco,alpha*fck*(1-(1-AP657/eco)^n),alpha*fck),0)</f>
      </c>
      <c r="AR657" s="30">
        <f>PM_Angle!$J$24+PM_Angle!$K$24*$C657+PM_Angle!$L$24*$B657</f>
      </c>
      <c r="AS657" s="12">
        <f>IF(AR657&gt;0,IF(AR657&lt;=eco,alpha*fck*(1-(1-AR657/eco)^n),alpha*fck),0)</f>
      </c>
      <c r="AT657" s="30">
        <f>PM_Angle!$J$25+PM_Angle!$K$25*$C657+PM_Angle!$L$25*$B657</f>
      </c>
      <c r="AU657" s="12">
        <f>IF(AT657&gt;0,IF(AT657&lt;=eco,alpha*fck*(1-(1-AT657/eco)^n),alpha*fck),0)</f>
      </c>
    </row>
    <row r="658" spans="1:47" x14ac:dyDescent="0.25">
      <c r="A658">
        <f>Mesh!A655</f>
      </c>
      <c r="B658" s="12">
        <f>Mesh!B655</f>
      </c>
      <c r="C658" s="12">
        <f>Mesh!C655</f>
      </c>
      <c r="D658" s="12">
        <f>Mesh!D655</f>
      </c>
      <c r="E658" s="30">
        <f>INDEX(St_e0,Det+1)+INDEX(St_kx,Det+1)*C658+INDEX(St_ky,Det+1)*B658</f>
      </c>
      <c r="F658" s="12">
        <f>IF(E658&gt;0,IF(E658&lt;=eco,alpha*fck*(1-(1-E658/eco)^n),alpha*fck),0)</f>
      </c>
      <c r="G658" s="11">
        <f>F658*D658</f>
      </c>
      <c r="H658" s="11">
        <f>G658*C658</f>
      </c>
      <c r="I658" s="11">
        <f>G658*B658</f>
      </c>
      <c r="J658" s="30">
        <f>PM_Angle!$J$7+PM_Angle!$K$7*$C658+PM_Angle!$L$7*$B658</f>
      </c>
      <c r="K658" s="12">
        <f>IF(J658&gt;0,IF(J658&lt;=eco,alpha*fck*(1-(1-J658/eco)^n),alpha*fck),0)</f>
      </c>
      <c r="L658" s="30">
        <f>PM_Angle!$J$8+PM_Angle!$K$8*$C658+PM_Angle!$L$8*$B658</f>
      </c>
      <c r="M658" s="12">
        <f>IF(L658&gt;0,IF(L658&lt;=eco,alpha*fck*(1-(1-L658/eco)^n),alpha*fck),0)</f>
      </c>
      <c r="N658" s="30">
        <f>PM_Angle!$J$9+PM_Angle!$K$9*$C658+PM_Angle!$L$9*$B658</f>
      </c>
      <c r="O658" s="12">
        <f>IF(N658&gt;0,IF(N658&lt;=eco,alpha*fck*(1-(1-N658/eco)^n),alpha*fck),0)</f>
      </c>
      <c r="P658" s="30">
        <f>PM_Angle!$J$10+PM_Angle!$K$10*$C658+PM_Angle!$L$10*$B658</f>
      </c>
      <c r="Q658" s="12">
        <f>IF(P658&gt;0,IF(P658&lt;=eco,alpha*fck*(1-(1-P658/eco)^n),alpha*fck),0)</f>
      </c>
      <c r="R658" s="30">
        <f>PM_Angle!$J$11+PM_Angle!$K$11*$C658+PM_Angle!$L$11*$B658</f>
      </c>
      <c r="S658" s="12">
        <f>IF(R658&gt;0,IF(R658&lt;=eco,alpha*fck*(1-(1-R658/eco)^n),alpha*fck),0)</f>
      </c>
      <c r="T658" s="30">
        <f>PM_Angle!$J$12+PM_Angle!$K$12*$C658+PM_Angle!$L$12*$B658</f>
      </c>
      <c r="U658" s="12">
        <f>IF(T658&gt;0,IF(T658&lt;=eco,alpha*fck*(1-(1-T658/eco)^n),alpha*fck),0)</f>
      </c>
      <c r="V658" s="30">
        <f>PM_Angle!$J$13+PM_Angle!$K$13*$C658+PM_Angle!$L$13*$B658</f>
      </c>
      <c r="W658" s="12">
        <f>IF(V658&gt;0,IF(V658&lt;=eco,alpha*fck*(1-(1-V658/eco)^n),alpha*fck),0)</f>
      </c>
      <c r="X658" s="30">
        <f>PM_Angle!$J$14+PM_Angle!$K$14*$C658+PM_Angle!$L$14*$B658</f>
      </c>
      <c r="Y658" s="12">
        <f>IF(X658&gt;0,IF(X658&lt;=eco,alpha*fck*(1-(1-X658/eco)^n),alpha*fck),0)</f>
      </c>
      <c r="Z658" s="30">
        <f>PM_Angle!$J$15+PM_Angle!$K$15*$C658+PM_Angle!$L$15*$B658</f>
      </c>
      <c r="AA658" s="12">
        <f>IF(Z658&gt;0,IF(Z658&lt;=eco,alpha*fck*(1-(1-Z658/eco)^n),alpha*fck),0)</f>
      </c>
      <c r="AB658" s="30">
        <f>PM_Angle!$J$16+PM_Angle!$K$16*$C658+PM_Angle!$L$16*$B658</f>
      </c>
      <c r="AC658" s="12">
        <f>IF(AB658&gt;0,IF(AB658&lt;=eco,alpha*fck*(1-(1-AB658/eco)^n),alpha*fck),0)</f>
      </c>
      <c r="AD658" s="30">
        <f>PM_Angle!$J$17+PM_Angle!$K$17*$C658+PM_Angle!$L$17*$B658</f>
      </c>
      <c r="AE658" s="12">
        <f>IF(AD658&gt;0,IF(AD658&lt;=eco,alpha*fck*(1-(1-AD658/eco)^n),alpha*fck),0)</f>
      </c>
      <c r="AF658" s="30">
        <f>PM_Angle!$J$18+PM_Angle!$K$18*$C658+PM_Angle!$L$18*$B658</f>
      </c>
      <c r="AG658" s="12">
        <f>IF(AF658&gt;0,IF(AF658&lt;=eco,alpha*fck*(1-(1-AF658/eco)^n),alpha*fck),0)</f>
      </c>
      <c r="AH658" s="30">
        <f>PM_Angle!$J$19+PM_Angle!$K$19*$C658+PM_Angle!$L$19*$B658</f>
      </c>
      <c r="AI658" s="12">
        <f>IF(AH658&gt;0,IF(AH658&lt;=eco,alpha*fck*(1-(1-AH658/eco)^n),alpha*fck),0)</f>
      </c>
      <c r="AJ658" s="30">
        <f>PM_Angle!$J$20+PM_Angle!$K$20*$C658+PM_Angle!$L$20*$B658</f>
      </c>
      <c r="AK658" s="12">
        <f>IF(AJ658&gt;0,IF(AJ658&lt;=eco,alpha*fck*(1-(1-AJ658/eco)^n),alpha*fck),0)</f>
      </c>
      <c r="AL658" s="30">
        <f>PM_Angle!$J$21+PM_Angle!$K$21*$C658+PM_Angle!$L$21*$B658</f>
      </c>
      <c r="AM658" s="12">
        <f>IF(AL658&gt;0,IF(AL658&lt;=eco,alpha*fck*(1-(1-AL658/eco)^n),alpha*fck),0)</f>
      </c>
      <c r="AN658" s="30">
        <f>PM_Angle!$J$22+PM_Angle!$K$22*$C658+PM_Angle!$L$22*$B658</f>
      </c>
      <c r="AO658" s="12">
        <f>IF(AN658&gt;0,IF(AN658&lt;=eco,alpha*fck*(1-(1-AN658/eco)^n),alpha*fck),0)</f>
      </c>
      <c r="AP658" s="30">
        <f>PM_Angle!$J$23+PM_Angle!$K$23*$C658+PM_Angle!$L$23*$B658</f>
      </c>
      <c r="AQ658" s="12">
        <f>IF(AP658&gt;0,IF(AP658&lt;=eco,alpha*fck*(1-(1-AP658/eco)^n),alpha*fck),0)</f>
      </c>
      <c r="AR658" s="30">
        <f>PM_Angle!$J$24+PM_Angle!$K$24*$C658+PM_Angle!$L$24*$B658</f>
      </c>
      <c r="AS658" s="12">
        <f>IF(AR658&gt;0,IF(AR658&lt;=eco,alpha*fck*(1-(1-AR658/eco)^n),alpha*fck),0)</f>
      </c>
      <c r="AT658" s="30">
        <f>PM_Angle!$J$25+PM_Angle!$K$25*$C658+PM_Angle!$L$25*$B658</f>
      </c>
      <c r="AU658" s="12">
        <f>IF(AT658&gt;0,IF(AT658&lt;=eco,alpha*fck*(1-(1-AT658/eco)^n),alpha*fck),0)</f>
      </c>
    </row>
    <row r="659" spans="1:47" x14ac:dyDescent="0.25">
      <c r="A659">
        <f>Mesh!A656</f>
      </c>
      <c r="B659" s="12">
        <f>Mesh!B656</f>
      </c>
      <c r="C659" s="12">
        <f>Mesh!C656</f>
      </c>
      <c r="D659" s="12">
        <f>Mesh!D656</f>
      </c>
      <c r="E659" s="30">
        <f>INDEX(St_e0,Det+1)+INDEX(St_kx,Det+1)*C659+INDEX(St_ky,Det+1)*B659</f>
      </c>
      <c r="F659" s="12">
        <f>IF(E659&gt;0,IF(E659&lt;=eco,alpha*fck*(1-(1-E659/eco)^n),alpha*fck),0)</f>
      </c>
      <c r="G659" s="11">
        <f>F659*D659</f>
      </c>
      <c r="H659" s="11">
        <f>G659*C659</f>
      </c>
      <c r="I659" s="11">
        <f>G659*B659</f>
      </c>
      <c r="J659" s="30">
        <f>PM_Angle!$J$7+PM_Angle!$K$7*$C659+PM_Angle!$L$7*$B659</f>
      </c>
      <c r="K659" s="12">
        <f>IF(J659&gt;0,IF(J659&lt;=eco,alpha*fck*(1-(1-J659/eco)^n),alpha*fck),0)</f>
      </c>
      <c r="L659" s="30">
        <f>PM_Angle!$J$8+PM_Angle!$K$8*$C659+PM_Angle!$L$8*$B659</f>
      </c>
      <c r="M659" s="12">
        <f>IF(L659&gt;0,IF(L659&lt;=eco,alpha*fck*(1-(1-L659/eco)^n),alpha*fck),0)</f>
      </c>
      <c r="N659" s="30">
        <f>PM_Angle!$J$9+PM_Angle!$K$9*$C659+PM_Angle!$L$9*$B659</f>
      </c>
      <c r="O659" s="12">
        <f>IF(N659&gt;0,IF(N659&lt;=eco,alpha*fck*(1-(1-N659/eco)^n),alpha*fck),0)</f>
      </c>
      <c r="P659" s="30">
        <f>PM_Angle!$J$10+PM_Angle!$K$10*$C659+PM_Angle!$L$10*$B659</f>
      </c>
      <c r="Q659" s="12">
        <f>IF(P659&gt;0,IF(P659&lt;=eco,alpha*fck*(1-(1-P659/eco)^n),alpha*fck),0)</f>
      </c>
      <c r="R659" s="30">
        <f>PM_Angle!$J$11+PM_Angle!$K$11*$C659+PM_Angle!$L$11*$B659</f>
      </c>
      <c r="S659" s="12">
        <f>IF(R659&gt;0,IF(R659&lt;=eco,alpha*fck*(1-(1-R659/eco)^n),alpha*fck),0)</f>
      </c>
      <c r="T659" s="30">
        <f>PM_Angle!$J$12+PM_Angle!$K$12*$C659+PM_Angle!$L$12*$B659</f>
      </c>
      <c r="U659" s="12">
        <f>IF(T659&gt;0,IF(T659&lt;=eco,alpha*fck*(1-(1-T659/eco)^n),alpha*fck),0)</f>
      </c>
      <c r="V659" s="30">
        <f>PM_Angle!$J$13+PM_Angle!$K$13*$C659+PM_Angle!$L$13*$B659</f>
      </c>
      <c r="W659" s="12">
        <f>IF(V659&gt;0,IF(V659&lt;=eco,alpha*fck*(1-(1-V659/eco)^n),alpha*fck),0)</f>
      </c>
      <c r="X659" s="30">
        <f>PM_Angle!$J$14+PM_Angle!$K$14*$C659+PM_Angle!$L$14*$B659</f>
      </c>
      <c r="Y659" s="12">
        <f>IF(X659&gt;0,IF(X659&lt;=eco,alpha*fck*(1-(1-X659/eco)^n),alpha*fck),0)</f>
      </c>
      <c r="Z659" s="30">
        <f>PM_Angle!$J$15+PM_Angle!$K$15*$C659+PM_Angle!$L$15*$B659</f>
      </c>
      <c r="AA659" s="12">
        <f>IF(Z659&gt;0,IF(Z659&lt;=eco,alpha*fck*(1-(1-Z659/eco)^n),alpha*fck),0)</f>
      </c>
      <c r="AB659" s="30">
        <f>PM_Angle!$J$16+PM_Angle!$K$16*$C659+PM_Angle!$L$16*$B659</f>
      </c>
      <c r="AC659" s="12">
        <f>IF(AB659&gt;0,IF(AB659&lt;=eco,alpha*fck*(1-(1-AB659/eco)^n),alpha*fck),0)</f>
      </c>
      <c r="AD659" s="30">
        <f>PM_Angle!$J$17+PM_Angle!$K$17*$C659+PM_Angle!$L$17*$B659</f>
      </c>
      <c r="AE659" s="12">
        <f>IF(AD659&gt;0,IF(AD659&lt;=eco,alpha*fck*(1-(1-AD659/eco)^n),alpha*fck),0)</f>
      </c>
      <c r="AF659" s="30">
        <f>PM_Angle!$J$18+PM_Angle!$K$18*$C659+PM_Angle!$L$18*$B659</f>
      </c>
      <c r="AG659" s="12">
        <f>IF(AF659&gt;0,IF(AF659&lt;=eco,alpha*fck*(1-(1-AF659/eco)^n),alpha*fck),0)</f>
      </c>
      <c r="AH659" s="30">
        <f>PM_Angle!$J$19+PM_Angle!$K$19*$C659+PM_Angle!$L$19*$B659</f>
      </c>
      <c r="AI659" s="12">
        <f>IF(AH659&gt;0,IF(AH659&lt;=eco,alpha*fck*(1-(1-AH659/eco)^n),alpha*fck),0)</f>
      </c>
      <c r="AJ659" s="30">
        <f>PM_Angle!$J$20+PM_Angle!$K$20*$C659+PM_Angle!$L$20*$B659</f>
      </c>
      <c r="AK659" s="12">
        <f>IF(AJ659&gt;0,IF(AJ659&lt;=eco,alpha*fck*(1-(1-AJ659/eco)^n),alpha*fck),0)</f>
      </c>
      <c r="AL659" s="30">
        <f>PM_Angle!$J$21+PM_Angle!$K$21*$C659+PM_Angle!$L$21*$B659</f>
      </c>
      <c r="AM659" s="12">
        <f>IF(AL659&gt;0,IF(AL659&lt;=eco,alpha*fck*(1-(1-AL659/eco)^n),alpha*fck),0)</f>
      </c>
      <c r="AN659" s="30">
        <f>PM_Angle!$J$22+PM_Angle!$K$22*$C659+PM_Angle!$L$22*$B659</f>
      </c>
      <c r="AO659" s="12">
        <f>IF(AN659&gt;0,IF(AN659&lt;=eco,alpha*fck*(1-(1-AN659/eco)^n),alpha*fck),0)</f>
      </c>
      <c r="AP659" s="30">
        <f>PM_Angle!$J$23+PM_Angle!$K$23*$C659+PM_Angle!$L$23*$B659</f>
      </c>
      <c r="AQ659" s="12">
        <f>IF(AP659&gt;0,IF(AP659&lt;=eco,alpha*fck*(1-(1-AP659/eco)^n),alpha*fck),0)</f>
      </c>
      <c r="AR659" s="30">
        <f>PM_Angle!$J$24+PM_Angle!$K$24*$C659+PM_Angle!$L$24*$B659</f>
      </c>
      <c r="AS659" s="12">
        <f>IF(AR659&gt;0,IF(AR659&lt;=eco,alpha*fck*(1-(1-AR659/eco)^n),alpha*fck),0)</f>
      </c>
      <c r="AT659" s="30">
        <f>PM_Angle!$J$25+PM_Angle!$K$25*$C659+PM_Angle!$L$25*$B659</f>
      </c>
      <c r="AU659" s="12">
        <f>IF(AT659&gt;0,IF(AT659&lt;=eco,alpha*fck*(1-(1-AT659/eco)^n),alpha*fck),0)</f>
      </c>
    </row>
    <row r="660" spans="1:47" x14ac:dyDescent="0.25">
      <c r="A660">
        <f>Mesh!A657</f>
      </c>
      <c r="B660" s="12">
        <f>Mesh!B657</f>
      </c>
      <c r="C660" s="12">
        <f>Mesh!C657</f>
      </c>
      <c r="D660" s="12">
        <f>Mesh!D657</f>
      </c>
      <c r="E660" s="30">
        <f>INDEX(St_e0,Det+1)+INDEX(St_kx,Det+1)*C660+INDEX(St_ky,Det+1)*B660</f>
      </c>
      <c r="F660" s="12">
        <f>IF(E660&gt;0,IF(E660&lt;=eco,alpha*fck*(1-(1-E660/eco)^n),alpha*fck),0)</f>
      </c>
      <c r="G660" s="11">
        <f>F660*D660</f>
      </c>
      <c r="H660" s="11">
        <f>G660*C660</f>
      </c>
      <c r="I660" s="11">
        <f>G660*B660</f>
      </c>
      <c r="J660" s="30">
        <f>PM_Angle!$J$7+PM_Angle!$K$7*$C660+PM_Angle!$L$7*$B660</f>
      </c>
      <c r="K660" s="12">
        <f>IF(J660&gt;0,IF(J660&lt;=eco,alpha*fck*(1-(1-J660/eco)^n),alpha*fck),0)</f>
      </c>
      <c r="L660" s="30">
        <f>PM_Angle!$J$8+PM_Angle!$K$8*$C660+PM_Angle!$L$8*$B660</f>
      </c>
      <c r="M660" s="12">
        <f>IF(L660&gt;0,IF(L660&lt;=eco,alpha*fck*(1-(1-L660/eco)^n),alpha*fck),0)</f>
      </c>
      <c r="N660" s="30">
        <f>PM_Angle!$J$9+PM_Angle!$K$9*$C660+PM_Angle!$L$9*$B660</f>
      </c>
      <c r="O660" s="12">
        <f>IF(N660&gt;0,IF(N660&lt;=eco,alpha*fck*(1-(1-N660/eco)^n),alpha*fck),0)</f>
      </c>
      <c r="P660" s="30">
        <f>PM_Angle!$J$10+PM_Angle!$K$10*$C660+PM_Angle!$L$10*$B660</f>
      </c>
      <c r="Q660" s="12">
        <f>IF(P660&gt;0,IF(P660&lt;=eco,alpha*fck*(1-(1-P660/eco)^n),alpha*fck),0)</f>
      </c>
      <c r="R660" s="30">
        <f>PM_Angle!$J$11+PM_Angle!$K$11*$C660+PM_Angle!$L$11*$B660</f>
      </c>
      <c r="S660" s="12">
        <f>IF(R660&gt;0,IF(R660&lt;=eco,alpha*fck*(1-(1-R660/eco)^n),alpha*fck),0)</f>
      </c>
      <c r="T660" s="30">
        <f>PM_Angle!$J$12+PM_Angle!$K$12*$C660+PM_Angle!$L$12*$B660</f>
      </c>
      <c r="U660" s="12">
        <f>IF(T660&gt;0,IF(T660&lt;=eco,alpha*fck*(1-(1-T660/eco)^n),alpha*fck),0)</f>
      </c>
      <c r="V660" s="30">
        <f>PM_Angle!$J$13+PM_Angle!$K$13*$C660+PM_Angle!$L$13*$B660</f>
      </c>
      <c r="W660" s="12">
        <f>IF(V660&gt;0,IF(V660&lt;=eco,alpha*fck*(1-(1-V660/eco)^n),alpha*fck),0)</f>
      </c>
      <c r="X660" s="30">
        <f>PM_Angle!$J$14+PM_Angle!$K$14*$C660+PM_Angle!$L$14*$B660</f>
      </c>
      <c r="Y660" s="12">
        <f>IF(X660&gt;0,IF(X660&lt;=eco,alpha*fck*(1-(1-X660/eco)^n),alpha*fck),0)</f>
      </c>
      <c r="Z660" s="30">
        <f>PM_Angle!$J$15+PM_Angle!$K$15*$C660+PM_Angle!$L$15*$B660</f>
      </c>
      <c r="AA660" s="12">
        <f>IF(Z660&gt;0,IF(Z660&lt;=eco,alpha*fck*(1-(1-Z660/eco)^n),alpha*fck),0)</f>
      </c>
      <c r="AB660" s="30">
        <f>PM_Angle!$J$16+PM_Angle!$K$16*$C660+PM_Angle!$L$16*$B660</f>
      </c>
      <c r="AC660" s="12">
        <f>IF(AB660&gt;0,IF(AB660&lt;=eco,alpha*fck*(1-(1-AB660/eco)^n),alpha*fck),0)</f>
      </c>
      <c r="AD660" s="30">
        <f>PM_Angle!$J$17+PM_Angle!$K$17*$C660+PM_Angle!$L$17*$B660</f>
      </c>
      <c r="AE660" s="12">
        <f>IF(AD660&gt;0,IF(AD660&lt;=eco,alpha*fck*(1-(1-AD660/eco)^n),alpha*fck),0)</f>
      </c>
      <c r="AF660" s="30">
        <f>PM_Angle!$J$18+PM_Angle!$K$18*$C660+PM_Angle!$L$18*$B660</f>
      </c>
      <c r="AG660" s="12">
        <f>IF(AF660&gt;0,IF(AF660&lt;=eco,alpha*fck*(1-(1-AF660/eco)^n),alpha*fck),0)</f>
      </c>
      <c r="AH660" s="30">
        <f>PM_Angle!$J$19+PM_Angle!$K$19*$C660+PM_Angle!$L$19*$B660</f>
      </c>
      <c r="AI660" s="12">
        <f>IF(AH660&gt;0,IF(AH660&lt;=eco,alpha*fck*(1-(1-AH660/eco)^n),alpha*fck),0)</f>
      </c>
      <c r="AJ660" s="30">
        <f>PM_Angle!$J$20+PM_Angle!$K$20*$C660+PM_Angle!$L$20*$B660</f>
      </c>
      <c r="AK660" s="12">
        <f>IF(AJ660&gt;0,IF(AJ660&lt;=eco,alpha*fck*(1-(1-AJ660/eco)^n),alpha*fck),0)</f>
      </c>
      <c r="AL660" s="30">
        <f>PM_Angle!$J$21+PM_Angle!$K$21*$C660+PM_Angle!$L$21*$B660</f>
      </c>
      <c r="AM660" s="12">
        <f>IF(AL660&gt;0,IF(AL660&lt;=eco,alpha*fck*(1-(1-AL660/eco)^n),alpha*fck),0)</f>
      </c>
      <c r="AN660" s="30">
        <f>PM_Angle!$J$22+PM_Angle!$K$22*$C660+PM_Angle!$L$22*$B660</f>
      </c>
      <c r="AO660" s="12">
        <f>IF(AN660&gt;0,IF(AN660&lt;=eco,alpha*fck*(1-(1-AN660/eco)^n),alpha*fck),0)</f>
      </c>
      <c r="AP660" s="30">
        <f>PM_Angle!$J$23+PM_Angle!$K$23*$C660+PM_Angle!$L$23*$B660</f>
      </c>
      <c r="AQ660" s="12">
        <f>IF(AP660&gt;0,IF(AP660&lt;=eco,alpha*fck*(1-(1-AP660/eco)^n),alpha*fck),0)</f>
      </c>
      <c r="AR660" s="30">
        <f>PM_Angle!$J$24+PM_Angle!$K$24*$C660+PM_Angle!$L$24*$B660</f>
      </c>
      <c r="AS660" s="12">
        <f>IF(AR660&gt;0,IF(AR660&lt;=eco,alpha*fck*(1-(1-AR660/eco)^n),alpha*fck),0)</f>
      </c>
      <c r="AT660" s="30">
        <f>PM_Angle!$J$25+PM_Angle!$K$25*$C660+PM_Angle!$L$25*$B660</f>
      </c>
      <c r="AU660" s="12">
        <f>IF(AT660&gt;0,IF(AT660&lt;=eco,alpha*fck*(1-(1-AT660/eco)^n),alpha*fck),0)</f>
      </c>
    </row>
    <row r="661" spans="1:47" x14ac:dyDescent="0.25">
      <c r="A661">
        <f>Mesh!A658</f>
      </c>
      <c r="B661" s="12">
        <f>Mesh!B658</f>
      </c>
      <c r="C661" s="12">
        <f>Mesh!C658</f>
      </c>
      <c r="D661" s="12">
        <f>Mesh!D658</f>
      </c>
      <c r="E661" s="30">
        <f>INDEX(St_e0,Det+1)+INDEX(St_kx,Det+1)*C661+INDEX(St_ky,Det+1)*B661</f>
      </c>
      <c r="F661" s="12">
        <f>IF(E661&gt;0,IF(E661&lt;=eco,alpha*fck*(1-(1-E661/eco)^n),alpha*fck),0)</f>
      </c>
      <c r="G661" s="11">
        <f>F661*D661</f>
      </c>
      <c r="H661" s="11">
        <f>G661*C661</f>
      </c>
      <c r="I661" s="11">
        <f>G661*B661</f>
      </c>
      <c r="J661" s="30">
        <f>PM_Angle!$J$7+PM_Angle!$K$7*$C661+PM_Angle!$L$7*$B661</f>
      </c>
      <c r="K661" s="12">
        <f>IF(J661&gt;0,IF(J661&lt;=eco,alpha*fck*(1-(1-J661/eco)^n),alpha*fck),0)</f>
      </c>
      <c r="L661" s="30">
        <f>PM_Angle!$J$8+PM_Angle!$K$8*$C661+PM_Angle!$L$8*$B661</f>
      </c>
      <c r="M661" s="12">
        <f>IF(L661&gt;0,IF(L661&lt;=eco,alpha*fck*(1-(1-L661/eco)^n),alpha*fck),0)</f>
      </c>
      <c r="N661" s="30">
        <f>PM_Angle!$J$9+PM_Angle!$K$9*$C661+PM_Angle!$L$9*$B661</f>
      </c>
      <c r="O661" s="12">
        <f>IF(N661&gt;0,IF(N661&lt;=eco,alpha*fck*(1-(1-N661/eco)^n),alpha*fck),0)</f>
      </c>
      <c r="P661" s="30">
        <f>PM_Angle!$J$10+PM_Angle!$K$10*$C661+PM_Angle!$L$10*$B661</f>
      </c>
      <c r="Q661" s="12">
        <f>IF(P661&gt;0,IF(P661&lt;=eco,alpha*fck*(1-(1-P661/eco)^n),alpha*fck),0)</f>
      </c>
      <c r="R661" s="30">
        <f>PM_Angle!$J$11+PM_Angle!$K$11*$C661+PM_Angle!$L$11*$B661</f>
      </c>
      <c r="S661" s="12">
        <f>IF(R661&gt;0,IF(R661&lt;=eco,alpha*fck*(1-(1-R661/eco)^n),alpha*fck),0)</f>
      </c>
      <c r="T661" s="30">
        <f>PM_Angle!$J$12+PM_Angle!$K$12*$C661+PM_Angle!$L$12*$B661</f>
      </c>
      <c r="U661" s="12">
        <f>IF(T661&gt;0,IF(T661&lt;=eco,alpha*fck*(1-(1-T661/eco)^n),alpha*fck),0)</f>
      </c>
      <c r="V661" s="30">
        <f>PM_Angle!$J$13+PM_Angle!$K$13*$C661+PM_Angle!$L$13*$B661</f>
      </c>
      <c r="W661" s="12">
        <f>IF(V661&gt;0,IF(V661&lt;=eco,alpha*fck*(1-(1-V661/eco)^n),alpha*fck),0)</f>
      </c>
      <c r="X661" s="30">
        <f>PM_Angle!$J$14+PM_Angle!$K$14*$C661+PM_Angle!$L$14*$B661</f>
      </c>
      <c r="Y661" s="12">
        <f>IF(X661&gt;0,IF(X661&lt;=eco,alpha*fck*(1-(1-X661/eco)^n),alpha*fck),0)</f>
      </c>
      <c r="Z661" s="30">
        <f>PM_Angle!$J$15+PM_Angle!$K$15*$C661+PM_Angle!$L$15*$B661</f>
      </c>
      <c r="AA661" s="12">
        <f>IF(Z661&gt;0,IF(Z661&lt;=eco,alpha*fck*(1-(1-Z661/eco)^n),alpha*fck),0)</f>
      </c>
      <c r="AB661" s="30">
        <f>PM_Angle!$J$16+PM_Angle!$K$16*$C661+PM_Angle!$L$16*$B661</f>
      </c>
      <c r="AC661" s="12">
        <f>IF(AB661&gt;0,IF(AB661&lt;=eco,alpha*fck*(1-(1-AB661/eco)^n),alpha*fck),0)</f>
      </c>
      <c r="AD661" s="30">
        <f>PM_Angle!$J$17+PM_Angle!$K$17*$C661+PM_Angle!$L$17*$B661</f>
      </c>
      <c r="AE661" s="12">
        <f>IF(AD661&gt;0,IF(AD661&lt;=eco,alpha*fck*(1-(1-AD661/eco)^n),alpha*fck),0)</f>
      </c>
      <c r="AF661" s="30">
        <f>PM_Angle!$J$18+PM_Angle!$K$18*$C661+PM_Angle!$L$18*$B661</f>
      </c>
      <c r="AG661" s="12">
        <f>IF(AF661&gt;0,IF(AF661&lt;=eco,alpha*fck*(1-(1-AF661/eco)^n),alpha*fck),0)</f>
      </c>
      <c r="AH661" s="30">
        <f>PM_Angle!$J$19+PM_Angle!$K$19*$C661+PM_Angle!$L$19*$B661</f>
      </c>
      <c r="AI661" s="12">
        <f>IF(AH661&gt;0,IF(AH661&lt;=eco,alpha*fck*(1-(1-AH661/eco)^n),alpha*fck),0)</f>
      </c>
      <c r="AJ661" s="30">
        <f>PM_Angle!$J$20+PM_Angle!$K$20*$C661+PM_Angle!$L$20*$B661</f>
      </c>
      <c r="AK661" s="12">
        <f>IF(AJ661&gt;0,IF(AJ661&lt;=eco,alpha*fck*(1-(1-AJ661/eco)^n),alpha*fck),0)</f>
      </c>
      <c r="AL661" s="30">
        <f>PM_Angle!$J$21+PM_Angle!$K$21*$C661+PM_Angle!$L$21*$B661</f>
      </c>
      <c r="AM661" s="12">
        <f>IF(AL661&gt;0,IF(AL661&lt;=eco,alpha*fck*(1-(1-AL661/eco)^n),alpha*fck),0)</f>
      </c>
      <c r="AN661" s="30">
        <f>PM_Angle!$J$22+PM_Angle!$K$22*$C661+PM_Angle!$L$22*$B661</f>
      </c>
      <c r="AO661" s="12">
        <f>IF(AN661&gt;0,IF(AN661&lt;=eco,alpha*fck*(1-(1-AN661/eco)^n),alpha*fck),0)</f>
      </c>
      <c r="AP661" s="30">
        <f>PM_Angle!$J$23+PM_Angle!$K$23*$C661+PM_Angle!$L$23*$B661</f>
      </c>
      <c r="AQ661" s="12">
        <f>IF(AP661&gt;0,IF(AP661&lt;=eco,alpha*fck*(1-(1-AP661/eco)^n),alpha*fck),0)</f>
      </c>
      <c r="AR661" s="30">
        <f>PM_Angle!$J$24+PM_Angle!$K$24*$C661+PM_Angle!$L$24*$B661</f>
      </c>
      <c r="AS661" s="12">
        <f>IF(AR661&gt;0,IF(AR661&lt;=eco,alpha*fck*(1-(1-AR661/eco)^n),alpha*fck),0)</f>
      </c>
      <c r="AT661" s="30">
        <f>PM_Angle!$J$25+PM_Angle!$K$25*$C661+PM_Angle!$L$25*$B661</f>
      </c>
      <c r="AU661" s="12">
        <f>IF(AT661&gt;0,IF(AT661&lt;=eco,alpha*fck*(1-(1-AT661/eco)^n),alpha*fck),0)</f>
      </c>
    </row>
    <row r="662" spans="1:47" x14ac:dyDescent="0.25">
      <c r="A662">
        <f>Mesh!A659</f>
      </c>
      <c r="B662" s="12">
        <f>Mesh!B659</f>
      </c>
      <c r="C662" s="12">
        <f>Mesh!C659</f>
      </c>
      <c r="D662" s="12">
        <f>Mesh!D659</f>
      </c>
      <c r="E662" s="30">
        <f>INDEX(St_e0,Det+1)+INDEX(St_kx,Det+1)*C662+INDEX(St_ky,Det+1)*B662</f>
      </c>
      <c r="F662" s="12">
        <f>IF(E662&gt;0,IF(E662&lt;=eco,alpha*fck*(1-(1-E662/eco)^n),alpha*fck),0)</f>
      </c>
      <c r="G662" s="11">
        <f>F662*D662</f>
      </c>
      <c r="H662" s="11">
        <f>G662*C662</f>
      </c>
      <c r="I662" s="11">
        <f>G662*B662</f>
      </c>
      <c r="J662" s="30">
        <f>PM_Angle!$J$7+PM_Angle!$K$7*$C662+PM_Angle!$L$7*$B662</f>
      </c>
      <c r="K662" s="12">
        <f>IF(J662&gt;0,IF(J662&lt;=eco,alpha*fck*(1-(1-J662/eco)^n),alpha*fck),0)</f>
      </c>
      <c r="L662" s="30">
        <f>PM_Angle!$J$8+PM_Angle!$K$8*$C662+PM_Angle!$L$8*$B662</f>
      </c>
      <c r="M662" s="12">
        <f>IF(L662&gt;0,IF(L662&lt;=eco,alpha*fck*(1-(1-L662/eco)^n),alpha*fck),0)</f>
      </c>
      <c r="N662" s="30">
        <f>PM_Angle!$J$9+PM_Angle!$K$9*$C662+PM_Angle!$L$9*$B662</f>
      </c>
      <c r="O662" s="12">
        <f>IF(N662&gt;0,IF(N662&lt;=eco,alpha*fck*(1-(1-N662/eco)^n),alpha*fck),0)</f>
      </c>
      <c r="P662" s="30">
        <f>PM_Angle!$J$10+PM_Angle!$K$10*$C662+PM_Angle!$L$10*$B662</f>
      </c>
      <c r="Q662" s="12">
        <f>IF(P662&gt;0,IF(P662&lt;=eco,alpha*fck*(1-(1-P662/eco)^n),alpha*fck),0)</f>
      </c>
      <c r="R662" s="30">
        <f>PM_Angle!$J$11+PM_Angle!$K$11*$C662+PM_Angle!$L$11*$B662</f>
      </c>
      <c r="S662" s="12">
        <f>IF(R662&gt;0,IF(R662&lt;=eco,alpha*fck*(1-(1-R662/eco)^n),alpha*fck),0)</f>
      </c>
      <c r="T662" s="30">
        <f>PM_Angle!$J$12+PM_Angle!$K$12*$C662+PM_Angle!$L$12*$B662</f>
      </c>
      <c r="U662" s="12">
        <f>IF(T662&gt;0,IF(T662&lt;=eco,alpha*fck*(1-(1-T662/eco)^n),alpha*fck),0)</f>
      </c>
      <c r="V662" s="30">
        <f>PM_Angle!$J$13+PM_Angle!$K$13*$C662+PM_Angle!$L$13*$B662</f>
      </c>
      <c r="W662" s="12">
        <f>IF(V662&gt;0,IF(V662&lt;=eco,alpha*fck*(1-(1-V662/eco)^n),alpha*fck),0)</f>
      </c>
      <c r="X662" s="30">
        <f>PM_Angle!$J$14+PM_Angle!$K$14*$C662+PM_Angle!$L$14*$B662</f>
      </c>
      <c r="Y662" s="12">
        <f>IF(X662&gt;0,IF(X662&lt;=eco,alpha*fck*(1-(1-X662/eco)^n),alpha*fck),0)</f>
      </c>
      <c r="Z662" s="30">
        <f>PM_Angle!$J$15+PM_Angle!$K$15*$C662+PM_Angle!$L$15*$B662</f>
      </c>
      <c r="AA662" s="12">
        <f>IF(Z662&gt;0,IF(Z662&lt;=eco,alpha*fck*(1-(1-Z662/eco)^n),alpha*fck),0)</f>
      </c>
      <c r="AB662" s="30">
        <f>PM_Angle!$J$16+PM_Angle!$K$16*$C662+PM_Angle!$L$16*$B662</f>
      </c>
      <c r="AC662" s="12">
        <f>IF(AB662&gt;0,IF(AB662&lt;=eco,alpha*fck*(1-(1-AB662/eco)^n),alpha*fck),0)</f>
      </c>
      <c r="AD662" s="30">
        <f>PM_Angle!$J$17+PM_Angle!$K$17*$C662+PM_Angle!$L$17*$B662</f>
      </c>
      <c r="AE662" s="12">
        <f>IF(AD662&gt;0,IF(AD662&lt;=eco,alpha*fck*(1-(1-AD662/eco)^n),alpha*fck),0)</f>
      </c>
      <c r="AF662" s="30">
        <f>PM_Angle!$J$18+PM_Angle!$K$18*$C662+PM_Angle!$L$18*$B662</f>
      </c>
      <c r="AG662" s="12">
        <f>IF(AF662&gt;0,IF(AF662&lt;=eco,alpha*fck*(1-(1-AF662/eco)^n),alpha*fck),0)</f>
      </c>
      <c r="AH662" s="30">
        <f>PM_Angle!$J$19+PM_Angle!$K$19*$C662+PM_Angle!$L$19*$B662</f>
      </c>
      <c r="AI662" s="12">
        <f>IF(AH662&gt;0,IF(AH662&lt;=eco,alpha*fck*(1-(1-AH662/eco)^n),alpha*fck),0)</f>
      </c>
      <c r="AJ662" s="30">
        <f>PM_Angle!$J$20+PM_Angle!$K$20*$C662+PM_Angle!$L$20*$B662</f>
      </c>
      <c r="AK662" s="12">
        <f>IF(AJ662&gt;0,IF(AJ662&lt;=eco,alpha*fck*(1-(1-AJ662/eco)^n),alpha*fck),0)</f>
      </c>
      <c r="AL662" s="30">
        <f>PM_Angle!$J$21+PM_Angle!$K$21*$C662+PM_Angle!$L$21*$B662</f>
      </c>
      <c r="AM662" s="12">
        <f>IF(AL662&gt;0,IF(AL662&lt;=eco,alpha*fck*(1-(1-AL662/eco)^n),alpha*fck),0)</f>
      </c>
      <c r="AN662" s="30">
        <f>PM_Angle!$J$22+PM_Angle!$K$22*$C662+PM_Angle!$L$22*$B662</f>
      </c>
      <c r="AO662" s="12">
        <f>IF(AN662&gt;0,IF(AN662&lt;=eco,alpha*fck*(1-(1-AN662/eco)^n),alpha*fck),0)</f>
      </c>
      <c r="AP662" s="30">
        <f>PM_Angle!$J$23+PM_Angle!$K$23*$C662+PM_Angle!$L$23*$B662</f>
      </c>
      <c r="AQ662" s="12">
        <f>IF(AP662&gt;0,IF(AP662&lt;=eco,alpha*fck*(1-(1-AP662/eco)^n),alpha*fck),0)</f>
      </c>
      <c r="AR662" s="30">
        <f>PM_Angle!$J$24+PM_Angle!$K$24*$C662+PM_Angle!$L$24*$B662</f>
      </c>
      <c r="AS662" s="12">
        <f>IF(AR662&gt;0,IF(AR662&lt;=eco,alpha*fck*(1-(1-AR662/eco)^n),alpha*fck),0)</f>
      </c>
      <c r="AT662" s="30">
        <f>PM_Angle!$J$25+PM_Angle!$K$25*$C662+PM_Angle!$L$25*$B662</f>
      </c>
      <c r="AU662" s="12">
        <f>IF(AT662&gt;0,IF(AT662&lt;=eco,alpha*fck*(1-(1-AT662/eco)^n),alpha*fck),0)</f>
      </c>
    </row>
    <row r="663" spans="1:47" x14ac:dyDescent="0.25">
      <c r="A663">
        <f>Mesh!A660</f>
      </c>
      <c r="B663" s="12">
        <f>Mesh!B660</f>
      </c>
      <c r="C663" s="12">
        <f>Mesh!C660</f>
      </c>
      <c r="D663" s="12">
        <f>Mesh!D660</f>
      </c>
      <c r="E663" s="30">
        <f>INDEX(St_e0,Det+1)+INDEX(St_kx,Det+1)*C663+INDEX(St_ky,Det+1)*B663</f>
      </c>
      <c r="F663" s="12">
        <f>IF(E663&gt;0,IF(E663&lt;=eco,alpha*fck*(1-(1-E663/eco)^n),alpha*fck),0)</f>
      </c>
      <c r="G663" s="11">
        <f>F663*D663</f>
      </c>
      <c r="H663" s="11">
        <f>G663*C663</f>
      </c>
      <c r="I663" s="11">
        <f>G663*B663</f>
      </c>
      <c r="J663" s="30">
        <f>PM_Angle!$J$7+PM_Angle!$K$7*$C663+PM_Angle!$L$7*$B663</f>
      </c>
      <c r="K663" s="12">
        <f>IF(J663&gt;0,IF(J663&lt;=eco,alpha*fck*(1-(1-J663/eco)^n),alpha*fck),0)</f>
      </c>
      <c r="L663" s="30">
        <f>PM_Angle!$J$8+PM_Angle!$K$8*$C663+PM_Angle!$L$8*$B663</f>
      </c>
      <c r="M663" s="12">
        <f>IF(L663&gt;0,IF(L663&lt;=eco,alpha*fck*(1-(1-L663/eco)^n),alpha*fck),0)</f>
      </c>
      <c r="N663" s="30">
        <f>PM_Angle!$J$9+PM_Angle!$K$9*$C663+PM_Angle!$L$9*$B663</f>
      </c>
      <c r="O663" s="12">
        <f>IF(N663&gt;0,IF(N663&lt;=eco,alpha*fck*(1-(1-N663/eco)^n),alpha*fck),0)</f>
      </c>
      <c r="P663" s="30">
        <f>PM_Angle!$J$10+PM_Angle!$K$10*$C663+PM_Angle!$L$10*$B663</f>
      </c>
      <c r="Q663" s="12">
        <f>IF(P663&gt;0,IF(P663&lt;=eco,alpha*fck*(1-(1-P663/eco)^n),alpha*fck),0)</f>
      </c>
      <c r="R663" s="30">
        <f>PM_Angle!$J$11+PM_Angle!$K$11*$C663+PM_Angle!$L$11*$B663</f>
      </c>
      <c r="S663" s="12">
        <f>IF(R663&gt;0,IF(R663&lt;=eco,alpha*fck*(1-(1-R663/eco)^n),alpha*fck),0)</f>
      </c>
      <c r="T663" s="30">
        <f>PM_Angle!$J$12+PM_Angle!$K$12*$C663+PM_Angle!$L$12*$B663</f>
      </c>
      <c r="U663" s="12">
        <f>IF(T663&gt;0,IF(T663&lt;=eco,alpha*fck*(1-(1-T663/eco)^n),alpha*fck),0)</f>
      </c>
      <c r="V663" s="30">
        <f>PM_Angle!$J$13+PM_Angle!$K$13*$C663+PM_Angle!$L$13*$B663</f>
      </c>
      <c r="W663" s="12">
        <f>IF(V663&gt;0,IF(V663&lt;=eco,alpha*fck*(1-(1-V663/eco)^n),alpha*fck),0)</f>
      </c>
      <c r="X663" s="30">
        <f>PM_Angle!$J$14+PM_Angle!$K$14*$C663+PM_Angle!$L$14*$B663</f>
      </c>
      <c r="Y663" s="12">
        <f>IF(X663&gt;0,IF(X663&lt;=eco,alpha*fck*(1-(1-X663/eco)^n),alpha*fck),0)</f>
      </c>
      <c r="Z663" s="30">
        <f>PM_Angle!$J$15+PM_Angle!$K$15*$C663+PM_Angle!$L$15*$B663</f>
      </c>
      <c r="AA663" s="12">
        <f>IF(Z663&gt;0,IF(Z663&lt;=eco,alpha*fck*(1-(1-Z663/eco)^n),alpha*fck),0)</f>
      </c>
      <c r="AB663" s="30">
        <f>PM_Angle!$J$16+PM_Angle!$K$16*$C663+PM_Angle!$L$16*$B663</f>
      </c>
      <c r="AC663" s="12">
        <f>IF(AB663&gt;0,IF(AB663&lt;=eco,alpha*fck*(1-(1-AB663/eco)^n),alpha*fck),0)</f>
      </c>
      <c r="AD663" s="30">
        <f>PM_Angle!$J$17+PM_Angle!$K$17*$C663+PM_Angle!$L$17*$B663</f>
      </c>
      <c r="AE663" s="12">
        <f>IF(AD663&gt;0,IF(AD663&lt;=eco,alpha*fck*(1-(1-AD663/eco)^n),alpha*fck),0)</f>
      </c>
      <c r="AF663" s="30">
        <f>PM_Angle!$J$18+PM_Angle!$K$18*$C663+PM_Angle!$L$18*$B663</f>
      </c>
      <c r="AG663" s="12">
        <f>IF(AF663&gt;0,IF(AF663&lt;=eco,alpha*fck*(1-(1-AF663/eco)^n),alpha*fck),0)</f>
      </c>
      <c r="AH663" s="30">
        <f>PM_Angle!$J$19+PM_Angle!$K$19*$C663+PM_Angle!$L$19*$B663</f>
      </c>
      <c r="AI663" s="12">
        <f>IF(AH663&gt;0,IF(AH663&lt;=eco,alpha*fck*(1-(1-AH663/eco)^n),alpha*fck),0)</f>
      </c>
      <c r="AJ663" s="30">
        <f>PM_Angle!$J$20+PM_Angle!$K$20*$C663+PM_Angle!$L$20*$B663</f>
      </c>
      <c r="AK663" s="12">
        <f>IF(AJ663&gt;0,IF(AJ663&lt;=eco,alpha*fck*(1-(1-AJ663/eco)^n),alpha*fck),0)</f>
      </c>
      <c r="AL663" s="30">
        <f>PM_Angle!$J$21+PM_Angle!$K$21*$C663+PM_Angle!$L$21*$B663</f>
      </c>
      <c r="AM663" s="12">
        <f>IF(AL663&gt;0,IF(AL663&lt;=eco,alpha*fck*(1-(1-AL663/eco)^n),alpha*fck),0)</f>
      </c>
      <c r="AN663" s="30">
        <f>PM_Angle!$J$22+PM_Angle!$K$22*$C663+PM_Angle!$L$22*$B663</f>
      </c>
      <c r="AO663" s="12">
        <f>IF(AN663&gt;0,IF(AN663&lt;=eco,alpha*fck*(1-(1-AN663/eco)^n),alpha*fck),0)</f>
      </c>
      <c r="AP663" s="30">
        <f>PM_Angle!$J$23+PM_Angle!$K$23*$C663+PM_Angle!$L$23*$B663</f>
      </c>
      <c r="AQ663" s="12">
        <f>IF(AP663&gt;0,IF(AP663&lt;=eco,alpha*fck*(1-(1-AP663/eco)^n),alpha*fck),0)</f>
      </c>
      <c r="AR663" s="30">
        <f>PM_Angle!$J$24+PM_Angle!$K$24*$C663+PM_Angle!$L$24*$B663</f>
      </c>
      <c r="AS663" s="12">
        <f>IF(AR663&gt;0,IF(AR663&lt;=eco,alpha*fck*(1-(1-AR663/eco)^n),alpha*fck),0)</f>
      </c>
      <c r="AT663" s="30">
        <f>PM_Angle!$J$25+PM_Angle!$K$25*$C663+PM_Angle!$L$25*$B663</f>
      </c>
      <c r="AU663" s="12">
        <f>IF(AT663&gt;0,IF(AT663&lt;=eco,alpha*fck*(1-(1-AT663/eco)^n),alpha*fck),0)</f>
      </c>
    </row>
    <row r="664" spans="1:47" x14ac:dyDescent="0.25">
      <c r="A664">
        <f>Mesh!A661</f>
      </c>
      <c r="B664" s="12">
        <f>Mesh!B661</f>
      </c>
      <c r="C664" s="12">
        <f>Mesh!C661</f>
      </c>
      <c r="D664" s="12">
        <f>Mesh!D661</f>
      </c>
      <c r="E664" s="30">
        <f>INDEX(St_e0,Det+1)+INDEX(St_kx,Det+1)*C664+INDEX(St_ky,Det+1)*B664</f>
      </c>
      <c r="F664" s="12">
        <f>IF(E664&gt;0,IF(E664&lt;=eco,alpha*fck*(1-(1-E664/eco)^n),alpha*fck),0)</f>
      </c>
      <c r="G664" s="11">
        <f>F664*D664</f>
      </c>
      <c r="H664" s="11">
        <f>G664*C664</f>
      </c>
      <c r="I664" s="11">
        <f>G664*B664</f>
      </c>
      <c r="J664" s="30">
        <f>PM_Angle!$J$7+PM_Angle!$K$7*$C664+PM_Angle!$L$7*$B664</f>
      </c>
      <c r="K664" s="12">
        <f>IF(J664&gt;0,IF(J664&lt;=eco,alpha*fck*(1-(1-J664/eco)^n),alpha*fck),0)</f>
      </c>
      <c r="L664" s="30">
        <f>PM_Angle!$J$8+PM_Angle!$K$8*$C664+PM_Angle!$L$8*$B664</f>
      </c>
      <c r="M664" s="12">
        <f>IF(L664&gt;0,IF(L664&lt;=eco,alpha*fck*(1-(1-L664/eco)^n),alpha*fck),0)</f>
      </c>
      <c r="N664" s="30">
        <f>PM_Angle!$J$9+PM_Angle!$K$9*$C664+PM_Angle!$L$9*$B664</f>
      </c>
      <c r="O664" s="12">
        <f>IF(N664&gt;0,IF(N664&lt;=eco,alpha*fck*(1-(1-N664/eco)^n),alpha*fck),0)</f>
      </c>
      <c r="P664" s="30">
        <f>PM_Angle!$J$10+PM_Angle!$K$10*$C664+PM_Angle!$L$10*$B664</f>
      </c>
      <c r="Q664" s="12">
        <f>IF(P664&gt;0,IF(P664&lt;=eco,alpha*fck*(1-(1-P664/eco)^n),alpha*fck),0)</f>
      </c>
      <c r="R664" s="30">
        <f>PM_Angle!$J$11+PM_Angle!$K$11*$C664+PM_Angle!$L$11*$B664</f>
      </c>
      <c r="S664" s="12">
        <f>IF(R664&gt;0,IF(R664&lt;=eco,alpha*fck*(1-(1-R664/eco)^n),alpha*fck),0)</f>
      </c>
      <c r="T664" s="30">
        <f>PM_Angle!$J$12+PM_Angle!$K$12*$C664+PM_Angle!$L$12*$B664</f>
      </c>
      <c r="U664" s="12">
        <f>IF(T664&gt;0,IF(T664&lt;=eco,alpha*fck*(1-(1-T664/eco)^n),alpha*fck),0)</f>
      </c>
      <c r="V664" s="30">
        <f>PM_Angle!$J$13+PM_Angle!$K$13*$C664+PM_Angle!$L$13*$B664</f>
      </c>
      <c r="W664" s="12">
        <f>IF(V664&gt;0,IF(V664&lt;=eco,alpha*fck*(1-(1-V664/eco)^n),alpha*fck),0)</f>
      </c>
      <c r="X664" s="30">
        <f>PM_Angle!$J$14+PM_Angle!$K$14*$C664+PM_Angle!$L$14*$B664</f>
      </c>
      <c r="Y664" s="12">
        <f>IF(X664&gt;0,IF(X664&lt;=eco,alpha*fck*(1-(1-X664/eco)^n),alpha*fck),0)</f>
      </c>
      <c r="Z664" s="30">
        <f>PM_Angle!$J$15+PM_Angle!$K$15*$C664+PM_Angle!$L$15*$B664</f>
      </c>
      <c r="AA664" s="12">
        <f>IF(Z664&gt;0,IF(Z664&lt;=eco,alpha*fck*(1-(1-Z664/eco)^n),alpha*fck),0)</f>
      </c>
      <c r="AB664" s="30">
        <f>PM_Angle!$J$16+PM_Angle!$K$16*$C664+PM_Angle!$L$16*$B664</f>
      </c>
      <c r="AC664" s="12">
        <f>IF(AB664&gt;0,IF(AB664&lt;=eco,alpha*fck*(1-(1-AB664/eco)^n),alpha*fck),0)</f>
      </c>
      <c r="AD664" s="30">
        <f>PM_Angle!$J$17+PM_Angle!$K$17*$C664+PM_Angle!$L$17*$B664</f>
      </c>
      <c r="AE664" s="12">
        <f>IF(AD664&gt;0,IF(AD664&lt;=eco,alpha*fck*(1-(1-AD664/eco)^n),alpha*fck),0)</f>
      </c>
      <c r="AF664" s="30">
        <f>PM_Angle!$J$18+PM_Angle!$K$18*$C664+PM_Angle!$L$18*$B664</f>
      </c>
      <c r="AG664" s="12">
        <f>IF(AF664&gt;0,IF(AF664&lt;=eco,alpha*fck*(1-(1-AF664/eco)^n),alpha*fck),0)</f>
      </c>
      <c r="AH664" s="30">
        <f>PM_Angle!$J$19+PM_Angle!$K$19*$C664+PM_Angle!$L$19*$B664</f>
      </c>
      <c r="AI664" s="12">
        <f>IF(AH664&gt;0,IF(AH664&lt;=eco,alpha*fck*(1-(1-AH664/eco)^n),alpha*fck),0)</f>
      </c>
      <c r="AJ664" s="30">
        <f>PM_Angle!$J$20+PM_Angle!$K$20*$C664+PM_Angle!$L$20*$B664</f>
      </c>
      <c r="AK664" s="12">
        <f>IF(AJ664&gt;0,IF(AJ664&lt;=eco,alpha*fck*(1-(1-AJ664/eco)^n),alpha*fck),0)</f>
      </c>
      <c r="AL664" s="30">
        <f>PM_Angle!$J$21+PM_Angle!$K$21*$C664+PM_Angle!$L$21*$B664</f>
      </c>
      <c r="AM664" s="12">
        <f>IF(AL664&gt;0,IF(AL664&lt;=eco,alpha*fck*(1-(1-AL664/eco)^n),alpha*fck),0)</f>
      </c>
      <c r="AN664" s="30">
        <f>PM_Angle!$J$22+PM_Angle!$K$22*$C664+PM_Angle!$L$22*$B664</f>
      </c>
      <c r="AO664" s="12">
        <f>IF(AN664&gt;0,IF(AN664&lt;=eco,alpha*fck*(1-(1-AN664/eco)^n),alpha*fck),0)</f>
      </c>
      <c r="AP664" s="30">
        <f>PM_Angle!$J$23+PM_Angle!$K$23*$C664+PM_Angle!$L$23*$B664</f>
      </c>
      <c r="AQ664" s="12">
        <f>IF(AP664&gt;0,IF(AP664&lt;=eco,alpha*fck*(1-(1-AP664/eco)^n),alpha*fck),0)</f>
      </c>
      <c r="AR664" s="30">
        <f>PM_Angle!$J$24+PM_Angle!$K$24*$C664+PM_Angle!$L$24*$B664</f>
      </c>
      <c r="AS664" s="12">
        <f>IF(AR664&gt;0,IF(AR664&lt;=eco,alpha*fck*(1-(1-AR664/eco)^n),alpha*fck),0)</f>
      </c>
      <c r="AT664" s="30">
        <f>PM_Angle!$J$25+PM_Angle!$K$25*$C664+PM_Angle!$L$25*$B664</f>
      </c>
      <c r="AU664" s="12">
        <f>IF(AT664&gt;0,IF(AT664&lt;=eco,alpha*fck*(1-(1-AT664/eco)^n),alpha*fck),0)</f>
      </c>
    </row>
    <row r="665" spans="1:47" x14ac:dyDescent="0.25">
      <c r="A665">
        <f>Mesh!A662</f>
      </c>
      <c r="B665" s="12">
        <f>Mesh!B662</f>
      </c>
      <c r="C665" s="12">
        <f>Mesh!C662</f>
      </c>
      <c r="D665" s="12">
        <f>Mesh!D662</f>
      </c>
      <c r="E665" s="30">
        <f>INDEX(St_e0,Det+1)+INDEX(St_kx,Det+1)*C665+INDEX(St_ky,Det+1)*B665</f>
      </c>
      <c r="F665" s="12">
        <f>IF(E665&gt;0,IF(E665&lt;=eco,alpha*fck*(1-(1-E665/eco)^n),alpha*fck),0)</f>
      </c>
      <c r="G665" s="11">
        <f>F665*D665</f>
      </c>
      <c r="H665" s="11">
        <f>G665*C665</f>
      </c>
      <c r="I665" s="11">
        <f>G665*B665</f>
      </c>
      <c r="J665" s="30">
        <f>PM_Angle!$J$7+PM_Angle!$K$7*$C665+PM_Angle!$L$7*$B665</f>
      </c>
      <c r="K665" s="12">
        <f>IF(J665&gt;0,IF(J665&lt;=eco,alpha*fck*(1-(1-J665/eco)^n),alpha*fck),0)</f>
      </c>
      <c r="L665" s="30">
        <f>PM_Angle!$J$8+PM_Angle!$K$8*$C665+PM_Angle!$L$8*$B665</f>
      </c>
      <c r="M665" s="12">
        <f>IF(L665&gt;0,IF(L665&lt;=eco,alpha*fck*(1-(1-L665/eco)^n),alpha*fck),0)</f>
      </c>
      <c r="N665" s="30">
        <f>PM_Angle!$J$9+PM_Angle!$K$9*$C665+PM_Angle!$L$9*$B665</f>
      </c>
      <c r="O665" s="12">
        <f>IF(N665&gt;0,IF(N665&lt;=eco,alpha*fck*(1-(1-N665/eco)^n),alpha*fck),0)</f>
      </c>
      <c r="P665" s="30">
        <f>PM_Angle!$J$10+PM_Angle!$K$10*$C665+PM_Angle!$L$10*$B665</f>
      </c>
      <c r="Q665" s="12">
        <f>IF(P665&gt;0,IF(P665&lt;=eco,alpha*fck*(1-(1-P665/eco)^n),alpha*fck),0)</f>
      </c>
      <c r="R665" s="30">
        <f>PM_Angle!$J$11+PM_Angle!$K$11*$C665+PM_Angle!$L$11*$B665</f>
      </c>
      <c r="S665" s="12">
        <f>IF(R665&gt;0,IF(R665&lt;=eco,alpha*fck*(1-(1-R665/eco)^n),alpha*fck),0)</f>
      </c>
      <c r="T665" s="30">
        <f>PM_Angle!$J$12+PM_Angle!$K$12*$C665+PM_Angle!$L$12*$B665</f>
      </c>
      <c r="U665" s="12">
        <f>IF(T665&gt;0,IF(T665&lt;=eco,alpha*fck*(1-(1-T665/eco)^n),alpha*fck),0)</f>
      </c>
      <c r="V665" s="30">
        <f>PM_Angle!$J$13+PM_Angle!$K$13*$C665+PM_Angle!$L$13*$B665</f>
      </c>
      <c r="W665" s="12">
        <f>IF(V665&gt;0,IF(V665&lt;=eco,alpha*fck*(1-(1-V665/eco)^n),alpha*fck),0)</f>
      </c>
      <c r="X665" s="30">
        <f>PM_Angle!$J$14+PM_Angle!$K$14*$C665+PM_Angle!$L$14*$B665</f>
      </c>
      <c r="Y665" s="12">
        <f>IF(X665&gt;0,IF(X665&lt;=eco,alpha*fck*(1-(1-X665/eco)^n),alpha*fck),0)</f>
      </c>
      <c r="Z665" s="30">
        <f>PM_Angle!$J$15+PM_Angle!$K$15*$C665+PM_Angle!$L$15*$B665</f>
      </c>
      <c r="AA665" s="12">
        <f>IF(Z665&gt;0,IF(Z665&lt;=eco,alpha*fck*(1-(1-Z665/eco)^n),alpha*fck),0)</f>
      </c>
      <c r="AB665" s="30">
        <f>PM_Angle!$J$16+PM_Angle!$K$16*$C665+PM_Angle!$L$16*$B665</f>
      </c>
      <c r="AC665" s="12">
        <f>IF(AB665&gt;0,IF(AB665&lt;=eco,alpha*fck*(1-(1-AB665/eco)^n),alpha*fck),0)</f>
      </c>
      <c r="AD665" s="30">
        <f>PM_Angle!$J$17+PM_Angle!$K$17*$C665+PM_Angle!$L$17*$B665</f>
      </c>
      <c r="AE665" s="12">
        <f>IF(AD665&gt;0,IF(AD665&lt;=eco,alpha*fck*(1-(1-AD665/eco)^n),alpha*fck),0)</f>
      </c>
      <c r="AF665" s="30">
        <f>PM_Angle!$J$18+PM_Angle!$K$18*$C665+PM_Angle!$L$18*$B665</f>
      </c>
      <c r="AG665" s="12">
        <f>IF(AF665&gt;0,IF(AF665&lt;=eco,alpha*fck*(1-(1-AF665/eco)^n),alpha*fck),0)</f>
      </c>
      <c r="AH665" s="30">
        <f>PM_Angle!$J$19+PM_Angle!$K$19*$C665+PM_Angle!$L$19*$B665</f>
      </c>
      <c r="AI665" s="12">
        <f>IF(AH665&gt;0,IF(AH665&lt;=eco,alpha*fck*(1-(1-AH665/eco)^n),alpha*fck),0)</f>
      </c>
      <c r="AJ665" s="30">
        <f>PM_Angle!$J$20+PM_Angle!$K$20*$C665+PM_Angle!$L$20*$B665</f>
      </c>
      <c r="AK665" s="12">
        <f>IF(AJ665&gt;0,IF(AJ665&lt;=eco,alpha*fck*(1-(1-AJ665/eco)^n),alpha*fck),0)</f>
      </c>
      <c r="AL665" s="30">
        <f>PM_Angle!$J$21+PM_Angle!$K$21*$C665+PM_Angle!$L$21*$B665</f>
      </c>
      <c r="AM665" s="12">
        <f>IF(AL665&gt;0,IF(AL665&lt;=eco,alpha*fck*(1-(1-AL665/eco)^n),alpha*fck),0)</f>
      </c>
      <c r="AN665" s="30">
        <f>PM_Angle!$J$22+PM_Angle!$K$22*$C665+PM_Angle!$L$22*$B665</f>
      </c>
      <c r="AO665" s="12">
        <f>IF(AN665&gt;0,IF(AN665&lt;=eco,alpha*fck*(1-(1-AN665/eco)^n),alpha*fck),0)</f>
      </c>
      <c r="AP665" s="30">
        <f>PM_Angle!$J$23+PM_Angle!$K$23*$C665+PM_Angle!$L$23*$B665</f>
      </c>
      <c r="AQ665" s="12">
        <f>IF(AP665&gt;0,IF(AP665&lt;=eco,alpha*fck*(1-(1-AP665/eco)^n),alpha*fck),0)</f>
      </c>
      <c r="AR665" s="30">
        <f>PM_Angle!$J$24+PM_Angle!$K$24*$C665+PM_Angle!$L$24*$B665</f>
      </c>
      <c r="AS665" s="12">
        <f>IF(AR665&gt;0,IF(AR665&lt;=eco,alpha*fck*(1-(1-AR665/eco)^n),alpha*fck),0)</f>
      </c>
      <c r="AT665" s="30">
        <f>PM_Angle!$J$25+PM_Angle!$K$25*$C665+PM_Angle!$L$25*$B665</f>
      </c>
      <c r="AU665" s="12">
        <f>IF(AT665&gt;0,IF(AT665&lt;=eco,alpha*fck*(1-(1-AT665/eco)^n),alpha*fck),0)</f>
      </c>
    </row>
    <row r="666" spans="1:47" x14ac:dyDescent="0.25">
      <c r="A666">
        <f>Mesh!A663</f>
      </c>
      <c r="B666" s="12">
        <f>Mesh!B663</f>
      </c>
      <c r="C666" s="12">
        <f>Mesh!C663</f>
      </c>
      <c r="D666" s="12">
        <f>Mesh!D663</f>
      </c>
      <c r="E666" s="30">
        <f>INDEX(St_e0,Det+1)+INDEX(St_kx,Det+1)*C666+INDEX(St_ky,Det+1)*B666</f>
      </c>
      <c r="F666" s="12">
        <f>IF(E666&gt;0,IF(E666&lt;=eco,alpha*fck*(1-(1-E666/eco)^n),alpha*fck),0)</f>
      </c>
      <c r="G666" s="11">
        <f>F666*D666</f>
      </c>
      <c r="H666" s="11">
        <f>G666*C666</f>
      </c>
      <c r="I666" s="11">
        <f>G666*B666</f>
      </c>
      <c r="J666" s="30">
        <f>PM_Angle!$J$7+PM_Angle!$K$7*$C666+PM_Angle!$L$7*$B666</f>
      </c>
      <c r="K666" s="12">
        <f>IF(J666&gt;0,IF(J666&lt;=eco,alpha*fck*(1-(1-J666/eco)^n),alpha*fck),0)</f>
      </c>
      <c r="L666" s="30">
        <f>PM_Angle!$J$8+PM_Angle!$K$8*$C666+PM_Angle!$L$8*$B666</f>
      </c>
      <c r="M666" s="12">
        <f>IF(L666&gt;0,IF(L666&lt;=eco,alpha*fck*(1-(1-L666/eco)^n),alpha*fck),0)</f>
      </c>
      <c r="N666" s="30">
        <f>PM_Angle!$J$9+PM_Angle!$K$9*$C666+PM_Angle!$L$9*$B666</f>
      </c>
      <c r="O666" s="12">
        <f>IF(N666&gt;0,IF(N666&lt;=eco,alpha*fck*(1-(1-N666/eco)^n),alpha*fck),0)</f>
      </c>
      <c r="P666" s="30">
        <f>PM_Angle!$J$10+PM_Angle!$K$10*$C666+PM_Angle!$L$10*$B666</f>
      </c>
      <c r="Q666" s="12">
        <f>IF(P666&gt;0,IF(P666&lt;=eco,alpha*fck*(1-(1-P666/eco)^n),alpha*fck),0)</f>
      </c>
      <c r="R666" s="30">
        <f>PM_Angle!$J$11+PM_Angle!$K$11*$C666+PM_Angle!$L$11*$B666</f>
      </c>
      <c r="S666" s="12">
        <f>IF(R666&gt;0,IF(R666&lt;=eco,alpha*fck*(1-(1-R666/eco)^n),alpha*fck),0)</f>
      </c>
      <c r="T666" s="30">
        <f>PM_Angle!$J$12+PM_Angle!$K$12*$C666+PM_Angle!$L$12*$B666</f>
      </c>
      <c r="U666" s="12">
        <f>IF(T666&gt;0,IF(T666&lt;=eco,alpha*fck*(1-(1-T666/eco)^n),alpha*fck),0)</f>
      </c>
      <c r="V666" s="30">
        <f>PM_Angle!$J$13+PM_Angle!$K$13*$C666+PM_Angle!$L$13*$B666</f>
      </c>
      <c r="W666" s="12">
        <f>IF(V666&gt;0,IF(V666&lt;=eco,alpha*fck*(1-(1-V666/eco)^n),alpha*fck),0)</f>
      </c>
      <c r="X666" s="30">
        <f>PM_Angle!$J$14+PM_Angle!$K$14*$C666+PM_Angle!$L$14*$B666</f>
      </c>
      <c r="Y666" s="12">
        <f>IF(X666&gt;0,IF(X666&lt;=eco,alpha*fck*(1-(1-X666/eco)^n),alpha*fck),0)</f>
      </c>
      <c r="Z666" s="30">
        <f>PM_Angle!$J$15+PM_Angle!$K$15*$C666+PM_Angle!$L$15*$B666</f>
      </c>
      <c r="AA666" s="12">
        <f>IF(Z666&gt;0,IF(Z666&lt;=eco,alpha*fck*(1-(1-Z666/eco)^n),alpha*fck),0)</f>
      </c>
      <c r="AB666" s="30">
        <f>PM_Angle!$J$16+PM_Angle!$K$16*$C666+PM_Angle!$L$16*$B666</f>
      </c>
      <c r="AC666" s="12">
        <f>IF(AB666&gt;0,IF(AB666&lt;=eco,alpha*fck*(1-(1-AB666/eco)^n),alpha*fck),0)</f>
      </c>
      <c r="AD666" s="30">
        <f>PM_Angle!$J$17+PM_Angle!$K$17*$C666+PM_Angle!$L$17*$B666</f>
      </c>
      <c r="AE666" s="12">
        <f>IF(AD666&gt;0,IF(AD666&lt;=eco,alpha*fck*(1-(1-AD666/eco)^n),alpha*fck),0)</f>
      </c>
      <c r="AF666" s="30">
        <f>PM_Angle!$J$18+PM_Angle!$K$18*$C666+PM_Angle!$L$18*$B666</f>
      </c>
      <c r="AG666" s="12">
        <f>IF(AF666&gt;0,IF(AF666&lt;=eco,alpha*fck*(1-(1-AF666/eco)^n),alpha*fck),0)</f>
      </c>
      <c r="AH666" s="30">
        <f>PM_Angle!$J$19+PM_Angle!$K$19*$C666+PM_Angle!$L$19*$B666</f>
      </c>
      <c r="AI666" s="12">
        <f>IF(AH666&gt;0,IF(AH666&lt;=eco,alpha*fck*(1-(1-AH666/eco)^n),alpha*fck),0)</f>
      </c>
      <c r="AJ666" s="30">
        <f>PM_Angle!$J$20+PM_Angle!$K$20*$C666+PM_Angle!$L$20*$B666</f>
      </c>
      <c r="AK666" s="12">
        <f>IF(AJ666&gt;0,IF(AJ666&lt;=eco,alpha*fck*(1-(1-AJ666/eco)^n),alpha*fck),0)</f>
      </c>
      <c r="AL666" s="30">
        <f>PM_Angle!$J$21+PM_Angle!$K$21*$C666+PM_Angle!$L$21*$B666</f>
      </c>
      <c r="AM666" s="12">
        <f>IF(AL666&gt;0,IF(AL666&lt;=eco,alpha*fck*(1-(1-AL666/eco)^n),alpha*fck),0)</f>
      </c>
      <c r="AN666" s="30">
        <f>PM_Angle!$J$22+PM_Angle!$K$22*$C666+PM_Angle!$L$22*$B666</f>
      </c>
      <c r="AO666" s="12">
        <f>IF(AN666&gt;0,IF(AN666&lt;=eco,alpha*fck*(1-(1-AN666/eco)^n),alpha*fck),0)</f>
      </c>
      <c r="AP666" s="30">
        <f>PM_Angle!$J$23+PM_Angle!$K$23*$C666+PM_Angle!$L$23*$B666</f>
      </c>
      <c r="AQ666" s="12">
        <f>IF(AP666&gt;0,IF(AP666&lt;=eco,alpha*fck*(1-(1-AP666/eco)^n),alpha*fck),0)</f>
      </c>
      <c r="AR666" s="30">
        <f>PM_Angle!$J$24+PM_Angle!$K$24*$C666+PM_Angle!$L$24*$B666</f>
      </c>
      <c r="AS666" s="12">
        <f>IF(AR666&gt;0,IF(AR666&lt;=eco,alpha*fck*(1-(1-AR666/eco)^n),alpha*fck),0)</f>
      </c>
      <c r="AT666" s="30">
        <f>PM_Angle!$J$25+PM_Angle!$K$25*$C666+PM_Angle!$L$25*$B666</f>
      </c>
      <c r="AU666" s="12">
        <f>IF(AT666&gt;0,IF(AT666&lt;=eco,alpha*fck*(1-(1-AT666/eco)^n),alpha*fck),0)</f>
      </c>
    </row>
    <row r="667" spans="1:47" x14ac:dyDescent="0.25">
      <c r="A667">
        <f>Mesh!A664</f>
      </c>
      <c r="B667" s="12">
        <f>Mesh!B664</f>
      </c>
      <c r="C667" s="12">
        <f>Mesh!C664</f>
      </c>
      <c r="D667" s="12">
        <f>Mesh!D664</f>
      </c>
      <c r="E667" s="30">
        <f>INDEX(St_e0,Det+1)+INDEX(St_kx,Det+1)*C667+INDEX(St_ky,Det+1)*B667</f>
      </c>
      <c r="F667" s="12">
        <f>IF(E667&gt;0,IF(E667&lt;=eco,alpha*fck*(1-(1-E667/eco)^n),alpha*fck),0)</f>
      </c>
      <c r="G667" s="11">
        <f>F667*D667</f>
      </c>
      <c r="H667" s="11">
        <f>G667*C667</f>
      </c>
      <c r="I667" s="11">
        <f>G667*B667</f>
      </c>
      <c r="J667" s="30">
        <f>PM_Angle!$J$7+PM_Angle!$K$7*$C667+PM_Angle!$L$7*$B667</f>
      </c>
      <c r="K667" s="12">
        <f>IF(J667&gt;0,IF(J667&lt;=eco,alpha*fck*(1-(1-J667/eco)^n),alpha*fck),0)</f>
      </c>
      <c r="L667" s="30">
        <f>PM_Angle!$J$8+PM_Angle!$K$8*$C667+PM_Angle!$L$8*$B667</f>
      </c>
      <c r="M667" s="12">
        <f>IF(L667&gt;0,IF(L667&lt;=eco,alpha*fck*(1-(1-L667/eco)^n),alpha*fck),0)</f>
      </c>
      <c r="N667" s="30">
        <f>PM_Angle!$J$9+PM_Angle!$K$9*$C667+PM_Angle!$L$9*$B667</f>
      </c>
      <c r="O667" s="12">
        <f>IF(N667&gt;0,IF(N667&lt;=eco,alpha*fck*(1-(1-N667/eco)^n),alpha*fck),0)</f>
      </c>
      <c r="P667" s="30">
        <f>PM_Angle!$J$10+PM_Angle!$K$10*$C667+PM_Angle!$L$10*$B667</f>
      </c>
      <c r="Q667" s="12">
        <f>IF(P667&gt;0,IF(P667&lt;=eco,alpha*fck*(1-(1-P667/eco)^n),alpha*fck),0)</f>
      </c>
      <c r="R667" s="30">
        <f>PM_Angle!$J$11+PM_Angle!$K$11*$C667+PM_Angle!$L$11*$B667</f>
      </c>
      <c r="S667" s="12">
        <f>IF(R667&gt;0,IF(R667&lt;=eco,alpha*fck*(1-(1-R667/eco)^n),alpha*fck),0)</f>
      </c>
      <c r="T667" s="30">
        <f>PM_Angle!$J$12+PM_Angle!$K$12*$C667+PM_Angle!$L$12*$B667</f>
      </c>
      <c r="U667" s="12">
        <f>IF(T667&gt;0,IF(T667&lt;=eco,alpha*fck*(1-(1-T667/eco)^n),alpha*fck),0)</f>
      </c>
      <c r="V667" s="30">
        <f>PM_Angle!$J$13+PM_Angle!$K$13*$C667+PM_Angle!$L$13*$B667</f>
      </c>
      <c r="W667" s="12">
        <f>IF(V667&gt;0,IF(V667&lt;=eco,alpha*fck*(1-(1-V667/eco)^n),alpha*fck),0)</f>
      </c>
      <c r="X667" s="30">
        <f>PM_Angle!$J$14+PM_Angle!$K$14*$C667+PM_Angle!$L$14*$B667</f>
      </c>
      <c r="Y667" s="12">
        <f>IF(X667&gt;0,IF(X667&lt;=eco,alpha*fck*(1-(1-X667/eco)^n),alpha*fck),0)</f>
      </c>
      <c r="Z667" s="30">
        <f>PM_Angle!$J$15+PM_Angle!$K$15*$C667+PM_Angle!$L$15*$B667</f>
      </c>
      <c r="AA667" s="12">
        <f>IF(Z667&gt;0,IF(Z667&lt;=eco,alpha*fck*(1-(1-Z667/eco)^n),alpha*fck),0)</f>
      </c>
      <c r="AB667" s="30">
        <f>PM_Angle!$J$16+PM_Angle!$K$16*$C667+PM_Angle!$L$16*$B667</f>
      </c>
      <c r="AC667" s="12">
        <f>IF(AB667&gt;0,IF(AB667&lt;=eco,alpha*fck*(1-(1-AB667/eco)^n),alpha*fck),0)</f>
      </c>
      <c r="AD667" s="30">
        <f>PM_Angle!$J$17+PM_Angle!$K$17*$C667+PM_Angle!$L$17*$B667</f>
      </c>
      <c r="AE667" s="12">
        <f>IF(AD667&gt;0,IF(AD667&lt;=eco,alpha*fck*(1-(1-AD667/eco)^n),alpha*fck),0)</f>
      </c>
      <c r="AF667" s="30">
        <f>PM_Angle!$J$18+PM_Angle!$K$18*$C667+PM_Angle!$L$18*$B667</f>
      </c>
      <c r="AG667" s="12">
        <f>IF(AF667&gt;0,IF(AF667&lt;=eco,alpha*fck*(1-(1-AF667/eco)^n),alpha*fck),0)</f>
      </c>
      <c r="AH667" s="30">
        <f>PM_Angle!$J$19+PM_Angle!$K$19*$C667+PM_Angle!$L$19*$B667</f>
      </c>
      <c r="AI667" s="12">
        <f>IF(AH667&gt;0,IF(AH667&lt;=eco,alpha*fck*(1-(1-AH667/eco)^n),alpha*fck),0)</f>
      </c>
      <c r="AJ667" s="30">
        <f>PM_Angle!$J$20+PM_Angle!$K$20*$C667+PM_Angle!$L$20*$B667</f>
      </c>
      <c r="AK667" s="12">
        <f>IF(AJ667&gt;0,IF(AJ667&lt;=eco,alpha*fck*(1-(1-AJ667/eco)^n),alpha*fck),0)</f>
      </c>
      <c r="AL667" s="30">
        <f>PM_Angle!$J$21+PM_Angle!$K$21*$C667+PM_Angle!$L$21*$B667</f>
      </c>
      <c r="AM667" s="12">
        <f>IF(AL667&gt;0,IF(AL667&lt;=eco,alpha*fck*(1-(1-AL667/eco)^n),alpha*fck),0)</f>
      </c>
      <c r="AN667" s="30">
        <f>PM_Angle!$J$22+PM_Angle!$K$22*$C667+PM_Angle!$L$22*$B667</f>
      </c>
      <c r="AO667" s="12">
        <f>IF(AN667&gt;0,IF(AN667&lt;=eco,alpha*fck*(1-(1-AN667/eco)^n),alpha*fck),0)</f>
      </c>
      <c r="AP667" s="30">
        <f>PM_Angle!$J$23+PM_Angle!$K$23*$C667+PM_Angle!$L$23*$B667</f>
      </c>
      <c r="AQ667" s="12">
        <f>IF(AP667&gt;0,IF(AP667&lt;=eco,alpha*fck*(1-(1-AP667/eco)^n),alpha*fck),0)</f>
      </c>
      <c r="AR667" s="30">
        <f>PM_Angle!$J$24+PM_Angle!$K$24*$C667+PM_Angle!$L$24*$B667</f>
      </c>
      <c r="AS667" s="12">
        <f>IF(AR667&gt;0,IF(AR667&lt;=eco,alpha*fck*(1-(1-AR667/eco)^n),alpha*fck),0)</f>
      </c>
      <c r="AT667" s="30">
        <f>PM_Angle!$J$25+PM_Angle!$K$25*$C667+PM_Angle!$L$25*$B667</f>
      </c>
      <c r="AU667" s="12">
        <f>IF(AT667&gt;0,IF(AT667&lt;=eco,alpha*fck*(1-(1-AT667/eco)^n),alpha*fck),0)</f>
      </c>
    </row>
    <row r="668" spans="1:47" x14ac:dyDescent="0.25">
      <c r="A668">
        <f>Mesh!A665</f>
      </c>
      <c r="B668" s="12">
        <f>Mesh!B665</f>
      </c>
      <c r="C668" s="12">
        <f>Mesh!C665</f>
      </c>
      <c r="D668" s="12">
        <f>Mesh!D665</f>
      </c>
      <c r="E668" s="30">
        <f>INDEX(St_e0,Det+1)+INDEX(St_kx,Det+1)*C668+INDEX(St_ky,Det+1)*B668</f>
      </c>
      <c r="F668" s="12">
        <f>IF(E668&gt;0,IF(E668&lt;=eco,alpha*fck*(1-(1-E668/eco)^n),alpha*fck),0)</f>
      </c>
      <c r="G668" s="11">
        <f>F668*D668</f>
      </c>
      <c r="H668" s="11">
        <f>G668*C668</f>
      </c>
      <c r="I668" s="11">
        <f>G668*B668</f>
      </c>
      <c r="J668" s="30">
        <f>PM_Angle!$J$7+PM_Angle!$K$7*$C668+PM_Angle!$L$7*$B668</f>
      </c>
      <c r="K668" s="12">
        <f>IF(J668&gt;0,IF(J668&lt;=eco,alpha*fck*(1-(1-J668/eco)^n),alpha*fck),0)</f>
      </c>
      <c r="L668" s="30">
        <f>PM_Angle!$J$8+PM_Angle!$K$8*$C668+PM_Angle!$L$8*$B668</f>
      </c>
      <c r="M668" s="12">
        <f>IF(L668&gt;0,IF(L668&lt;=eco,alpha*fck*(1-(1-L668/eco)^n),alpha*fck),0)</f>
      </c>
      <c r="N668" s="30">
        <f>PM_Angle!$J$9+PM_Angle!$K$9*$C668+PM_Angle!$L$9*$B668</f>
      </c>
      <c r="O668" s="12">
        <f>IF(N668&gt;0,IF(N668&lt;=eco,alpha*fck*(1-(1-N668/eco)^n),alpha*fck),0)</f>
      </c>
      <c r="P668" s="30">
        <f>PM_Angle!$J$10+PM_Angle!$K$10*$C668+PM_Angle!$L$10*$B668</f>
      </c>
      <c r="Q668" s="12">
        <f>IF(P668&gt;0,IF(P668&lt;=eco,alpha*fck*(1-(1-P668/eco)^n),alpha*fck),0)</f>
      </c>
      <c r="R668" s="30">
        <f>PM_Angle!$J$11+PM_Angle!$K$11*$C668+PM_Angle!$L$11*$B668</f>
      </c>
      <c r="S668" s="12">
        <f>IF(R668&gt;0,IF(R668&lt;=eco,alpha*fck*(1-(1-R668/eco)^n),alpha*fck),0)</f>
      </c>
      <c r="T668" s="30">
        <f>PM_Angle!$J$12+PM_Angle!$K$12*$C668+PM_Angle!$L$12*$B668</f>
      </c>
      <c r="U668" s="12">
        <f>IF(T668&gt;0,IF(T668&lt;=eco,alpha*fck*(1-(1-T668/eco)^n),alpha*fck),0)</f>
      </c>
      <c r="V668" s="30">
        <f>PM_Angle!$J$13+PM_Angle!$K$13*$C668+PM_Angle!$L$13*$B668</f>
      </c>
      <c r="W668" s="12">
        <f>IF(V668&gt;0,IF(V668&lt;=eco,alpha*fck*(1-(1-V668/eco)^n),alpha*fck),0)</f>
      </c>
      <c r="X668" s="30">
        <f>PM_Angle!$J$14+PM_Angle!$K$14*$C668+PM_Angle!$L$14*$B668</f>
      </c>
      <c r="Y668" s="12">
        <f>IF(X668&gt;0,IF(X668&lt;=eco,alpha*fck*(1-(1-X668/eco)^n),alpha*fck),0)</f>
      </c>
      <c r="Z668" s="30">
        <f>PM_Angle!$J$15+PM_Angle!$K$15*$C668+PM_Angle!$L$15*$B668</f>
      </c>
      <c r="AA668" s="12">
        <f>IF(Z668&gt;0,IF(Z668&lt;=eco,alpha*fck*(1-(1-Z668/eco)^n),alpha*fck),0)</f>
      </c>
      <c r="AB668" s="30">
        <f>PM_Angle!$J$16+PM_Angle!$K$16*$C668+PM_Angle!$L$16*$B668</f>
      </c>
      <c r="AC668" s="12">
        <f>IF(AB668&gt;0,IF(AB668&lt;=eco,alpha*fck*(1-(1-AB668/eco)^n),alpha*fck),0)</f>
      </c>
      <c r="AD668" s="30">
        <f>PM_Angle!$J$17+PM_Angle!$K$17*$C668+PM_Angle!$L$17*$B668</f>
      </c>
      <c r="AE668" s="12">
        <f>IF(AD668&gt;0,IF(AD668&lt;=eco,alpha*fck*(1-(1-AD668/eco)^n),alpha*fck),0)</f>
      </c>
      <c r="AF668" s="30">
        <f>PM_Angle!$J$18+PM_Angle!$K$18*$C668+PM_Angle!$L$18*$B668</f>
      </c>
      <c r="AG668" s="12">
        <f>IF(AF668&gt;0,IF(AF668&lt;=eco,alpha*fck*(1-(1-AF668/eco)^n),alpha*fck),0)</f>
      </c>
      <c r="AH668" s="30">
        <f>PM_Angle!$J$19+PM_Angle!$K$19*$C668+PM_Angle!$L$19*$B668</f>
      </c>
      <c r="AI668" s="12">
        <f>IF(AH668&gt;0,IF(AH668&lt;=eco,alpha*fck*(1-(1-AH668/eco)^n),alpha*fck),0)</f>
      </c>
      <c r="AJ668" s="30">
        <f>PM_Angle!$J$20+PM_Angle!$K$20*$C668+PM_Angle!$L$20*$B668</f>
      </c>
      <c r="AK668" s="12">
        <f>IF(AJ668&gt;0,IF(AJ668&lt;=eco,alpha*fck*(1-(1-AJ668/eco)^n),alpha*fck),0)</f>
      </c>
      <c r="AL668" s="30">
        <f>PM_Angle!$J$21+PM_Angle!$K$21*$C668+PM_Angle!$L$21*$B668</f>
      </c>
      <c r="AM668" s="12">
        <f>IF(AL668&gt;0,IF(AL668&lt;=eco,alpha*fck*(1-(1-AL668/eco)^n),alpha*fck),0)</f>
      </c>
      <c r="AN668" s="30">
        <f>PM_Angle!$J$22+PM_Angle!$K$22*$C668+PM_Angle!$L$22*$B668</f>
      </c>
      <c r="AO668" s="12">
        <f>IF(AN668&gt;0,IF(AN668&lt;=eco,alpha*fck*(1-(1-AN668/eco)^n),alpha*fck),0)</f>
      </c>
      <c r="AP668" s="30">
        <f>PM_Angle!$J$23+PM_Angle!$K$23*$C668+PM_Angle!$L$23*$B668</f>
      </c>
      <c r="AQ668" s="12">
        <f>IF(AP668&gt;0,IF(AP668&lt;=eco,alpha*fck*(1-(1-AP668/eco)^n),alpha*fck),0)</f>
      </c>
      <c r="AR668" s="30">
        <f>PM_Angle!$J$24+PM_Angle!$K$24*$C668+PM_Angle!$L$24*$B668</f>
      </c>
      <c r="AS668" s="12">
        <f>IF(AR668&gt;0,IF(AR668&lt;=eco,alpha*fck*(1-(1-AR668/eco)^n),alpha*fck),0)</f>
      </c>
      <c r="AT668" s="30">
        <f>PM_Angle!$J$25+PM_Angle!$K$25*$C668+PM_Angle!$L$25*$B668</f>
      </c>
      <c r="AU668" s="12">
        <f>IF(AT668&gt;0,IF(AT668&lt;=eco,alpha*fck*(1-(1-AT668/eco)^n),alpha*fck),0)</f>
      </c>
    </row>
    <row r="669" spans="1:47" x14ac:dyDescent="0.25">
      <c r="A669">
        <f>Mesh!A666</f>
      </c>
      <c r="B669" s="12">
        <f>Mesh!B666</f>
      </c>
      <c r="C669" s="12">
        <f>Mesh!C666</f>
      </c>
      <c r="D669" s="12">
        <f>Mesh!D666</f>
      </c>
      <c r="E669" s="30">
        <f>INDEX(St_e0,Det+1)+INDEX(St_kx,Det+1)*C669+INDEX(St_ky,Det+1)*B669</f>
      </c>
      <c r="F669" s="12">
        <f>IF(E669&gt;0,IF(E669&lt;=eco,alpha*fck*(1-(1-E669/eco)^n),alpha*fck),0)</f>
      </c>
      <c r="G669" s="11">
        <f>F669*D669</f>
      </c>
      <c r="H669" s="11">
        <f>G669*C669</f>
      </c>
      <c r="I669" s="11">
        <f>G669*B669</f>
      </c>
      <c r="J669" s="30">
        <f>PM_Angle!$J$7+PM_Angle!$K$7*$C669+PM_Angle!$L$7*$B669</f>
      </c>
      <c r="K669" s="12">
        <f>IF(J669&gt;0,IF(J669&lt;=eco,alpha*fck*(1-(1-J669/eco)^n),alpha*fck),0)</f>
      </c>
      <c r="L669" s="30">
        <f>PM_Angle!$J$8+PM_Angle!$K$8*$C669+PM_Angle!$L$8*$B669</f>
      </c>
      <c r="M669" s="12">
        <f>IF(L669&gt;0,IF(L669&lt;=eco,alpha*fck*(1-(1-L669/eco)^n),alpha*fck),0)</f>
      </c>
      <c r="N669" s="30">
        <f>PM_Angle!$J$9+PM_Angle!$K$9*$C669+PM_Angle!$L$9*$B669</f>
      </c>
      <c r="O669" s="12">
        <f>IF(N669&gt;0,IF(N669&lt;=eco,alpha*fck*(1-(1-N669/eco)^n),alpha*fck),0)</f>
      </c>
      <c r="P669" s="30">
        <f>PM_Angle!$J$10+PM_Angle!$K$10*$C669+PM_Angle!$L$10*$B669</f>
      </c>
      <c r="Q669" s="12">
        <f>IF(P669&gt;0,IF(P669&lt;=eco,alpha*fck*(1-(1-P669/eco)^n),alpha*fck),0)</f>
      </c>
      <c r="R669" s="30">
        <f>PM_Angle!$J$11+PM_Angle!$K$11*$C669+PM_Angle!$L$11*$B669</f>
      </c>
      <c r="S669" s="12">
        <f>IF(R669&gt;0,IF(R669&lt;=eco,alpha*fck*(1-(1-R669/eco)^n),alpha*fck),0)</f>
      </c>
      <c r="T669" s="30">
        <f>PM_Angle!$J$12+PM_Angle!$K$12*$C669+PM_Angle!$L$12*$B669</f>
      </c>
      <c r="U669" s="12">
        <f>IF(T669&gt;0,IF(T669&lt;=eco,alpha*fck*(1-(1-T669/eco)^n),alpha*fck),0)</f>
      </c>
      <c r="V669" s="30">
        <f>PM_Angle!$J$13+PM_Angle!$K$13*$C669+PM_Angle!$L$13*$B669</f>
      </c>
      <c r="W669" s="12">
        <f>IF(V669&gt;0,IF(V669&lt;=eco,alpha*fck*(1-(1-V669/eco)^n),alpha*fck),0)</f>
      </c>
      <c r="X669" s="30">
        <f>PM_Angle!$J$14+PM_Angle!$K$14*$C669+PM_Angle!$L$14*$B669</f>
      </c>
      <c r="Y669" s="12">
        <f>IF(X669&gt;0,IF(X669&lt;=eco,alpha*fck*(1-(1-X669/eco)^n),alpha*fck),0)</f>
      </c>
      <c r="Z669" s="30">
        <f>PM_Angle!$J$15+PM_Angle!$K$15*$C669+PM_Angle!$L$15*$B669</f>
      </c>
      <c r="AA669" s="12">
        <f>IF(Z669&gt;0,IF(Z669&lt;=eco,alpha*fck*(1-(1-Z669/eco)^n),alpha*fck),0)</f>
      </c>
      <c r="AB669" s="30">
        <f>PM_Angle!$J$16+PM_Angle!$K$16*$C669+PM_Angle!$L$16*$B669</f>
      </c>
      <c r="AC669" s="12">
        <f>IF(AB669&gt;0,IF(AB669&lt;=eco,alpha*fck*(1-(1-AB669/eco)^n),alpha*fck),0)</f>
      </c>
      <c r="AD669" s="30">
        <f>PM_Angle!$J$17+PM_Angle!$K$17*$C669+PM_Angle!$L$17*$B669</f>
      </c>
      <c r="AE669" s="12">
        <f>IF(AD669&gt;0,IF(AD669&lt;=eco,alpha*fck*(1-(1-AD669/eco)^n),alpha*fck),0)</f>
      </c>
      <c r="AF669" s="30">
        <f>PM_Angle!$J$18+PM_Angle!$K$18*$C669+PM_Angle!$L$18*$B669</f>
      </c>
      <c r="AG669" s="12">
        <f>IF(AF669&gt;0,IF(AF669&lt;=eco,alpha*fck*(1-(1-AF669/eco)^n),alpha*fck),0)</f>
      </c>
      <c r="AH669" s="30">
        <f>PM_Angle!$J$19+PM_Angle!$K$19*$C669+PM_Angle!$L$19*$B669</f>
      </c>
      <c r="AI669" s="12">
        <f>IF(AH669&gt;0,IF(AH669&lt;=eco,alpha*fck*(1-(1-AH669/eco)^n),alpha*fck),0)</f>
      </c>
      <c r="AJ669" s="30">
        <f>PM_Angle!$J$20+PM_Angle!$K$20*$C669+PM_Angle!$L$20*$B669</f>
      </c>
      <c r="AK669" s="12">
        <f>IF(AJ669&gt;0,IF(AJ669&lt;=eco,alpha*fck*(1-(1-AJ669/eco)^n),alpha*fck),0)</f>
      </c>
      <c r="AL669" s="30">
        <f>PM_Angle!$J$21+PM_Angle!$K$21*$C669+PM_Angle!$L$21*$B669</f>
      </c>
      <c r="AM669" s="12">
        <f>IF(AL669&gt;0,IF(AL669&lt;=eco,alpha*fck*(1-(1-AL669/eco)^n),alpha*fck),0)</f>
      </c>
      <c r="AN669" s="30">
        <f>PM_Angle!$J$22+PM_Angle!$K$22*$C669+PM_Angle!$L$22*$B669</f>
      </c>
      <c r="AO669" s="12">
        <f>IF(AN669&gt;0,IF(AN669&lt;=eco,alpha*fck*(1-(1-AN669/eco)^n),alpha*fck),0)</f>
      </c>
      <c r="AP669" s="30">
        <f>PM_Angle!$J$23+PM_Angle!$K$23*$C669+PM_Angle!$L$23*$B669</f>
      </c>
      <c r="AQ669" s="12">
        <f>IF(AP669&gt;0,IF(AP669&lt;=eco,alpha*fck*(1-(1-AP669/eco)^n),alpha*fck),0)</f>
      </c>
      <c r="AR669" s="30">
        <f>PM_Angle!$J$24+PM_Angle!$K$24*$C669+PM_Angle!$L$24*$B669</f>
      </c>
      <c r="AS669" s="12">
        <f>IF(AR669&gt;0,IF(AR669&lt;=eco,alpha*fck*(1-(1-AR669/eco)^n),alpha*fck),0)</f>
      </c>
      <c r="AT669" s="30">
        <f>PM_Angle!$J$25+PM_Angle!$K$25*$C669+PM_Angle!$L$25*$B669</f>
      </c>
      <c r="AU669" s="12">
        <f>IF(AT669&gt;0,IF(AT669&lt;=eco,alpha*fck*(1-(1-AT669/eco)^n),alpha*fck),0)</f>
      </c>
    </row>
    <row r="670" spans="1:47" x14ac:dyDescent="0.25">
      <c r="A670">
        <f>Mesh!A667</f>
      </c>
      <c r="B670" s="12">
        <f>Mesh!B667</f>
      </c>
      <c r="C670" s="12">
        <f>Mesh!C667</f>
      </c>
      <c r="D670" s="12">
        <f>Mesh!D667</f>
      </c>
      <c r="E670" s="30">
        <f>INDEX(St_e0,Det+1)+INDEX(St_kx,Det+1)*C670+INDEX(St_ky,Det+1)*B670</f>
      </c>
      <c r="F670" s="12">
        <f>IF(E670&gt;0,IF(E670&lt;=eco,alpha*fck*(1-(1-E670/eco)^n),alpha*fck),0)</f>
      </c>
      <c r="G670" s="11">
        <f>F670*D670</f>
      </c>
      <c r="H670" s="11">
        <f>G670*C670</f>
      </c>
      <c r="I670" s="11">
        <f>G670*B670</f>
      </c>
      <c r="J670" s="30">
        <f>PM_Angle!$J$7+PM_Angle!$K$7*$C670+PM_Angle!$L$7*$B670</f>
      </c>
      <c r="K670" s="12">
        <f>IF(J670&gt;0,IF(J670&lt;=eco,alpha*fck*(1-(1-J670/eco)^n),alpha*fck),0)</f>
      </c>
      <c r="L670" s="30">
        <f>PM_Angle!$J$8+PM_Angle!$K$8*$C670+PM_Angle!$L$8*$B670</f>
      </c>
      <c r="M670" s="12">
        <f>IF(L670&gt;0,IF(L670&lt;=eco,alpha*fck*(1-(1-L670/eco)^n),alpha*fck),0)</f>
      </c>
      <c r="N670" s="30">
        <f>PM_Angle!$J$9+PM_Angle!$K$9*$C670+PM_Angle!$L$9*$B670</f>
      </c>
      <c r="O670" s="12">
        <f>IF(N670&gt;0,IF(N670&lt;=eco,alpha*fck*(1-(1-N670/eco)^n),alpha*fck),0)</f>
      </c>
      <c r="P670" s="30">
        <f>PM_Angle!$J$10+PM_Angle!$K$10*$C670+PM_Angle!$L$10*$B670</f>
      </c>
      <c r="Q670" s="12">
        <f>IF(P670&gt;0,IF(P670&lt;=eco,alpha*fck*(1-(1-P670/eco)^n),alpha*fck),0)</f>
      </c>
      <c r="R670" s="30">
        <f>PM_Angle!$J$11+PM_Angle!$K$11*$C670+PM_Angle!$L$11*$B670</f>
      </c>
      <c r="S670" s="12">
        <f>IF(R670&gt;0,IF(R670&lt;=eco,alpha*fck*(1-(1-R670/eco)^n),alpha*fck),0)</f>
      </c>
      <c r="T670" s="30">
        <f>PM_Angle!$J$12+PM_Angle!$K$12*$C670+PM_Angle!$L$12*$B670</f>
      </c>
      <c r="U670" s="12">
        <f>IF(T670&gt;0,IF(T670&lt;=eco,alpha*fck*(1-(1-T670/eco)^n),alpha*fck),0)</f>
      </c>
      <c r="V670" s="30">
        <f>PM_Angle!$J$13+PM_Angle!$K$13*$C670+PM_Angle!$L$13*$B670</f>
      </c>
      <c r="W670" s="12">
        <f>IF(V670&gt;0,IF(V670&lt;=eco,alpha*fck*(1-(1-V670/eco)^n),alpha*fck),0)</f>
      </c>
      <c r="X670" s="30">
        <f>PM_Angle!$J$14+PM_Angle!$K$14*$C670+PM_Angle!$L$14*$B670</f>
      </c>
      <c r="Y670" s="12">
        <f>IF(X670&gt;0,IF(X670&lt;=eco,alpha*fck*(1-(1-X670/eco)^n),alpha*fck),0)</f>
      </c>
      <c r="Z670" s="30">
        <f>PM_Angle!$J$15+PM_Angle!$K$15*$C670+PM_Angle!$L$15*$B670</f>
      </c>
      <c r="AA670" s="12">
        <f>IF(Z670&gt;0,IF(Z670&lt;=eco,alpha*fck*(1-(1-Z670/eco)^n),alpha*fck),0)</f>
      </c>
      <c r="AB670" s="30">
        <f>PM_Angle!$J$16+PM_Angle!$K$16*$C670+PM_Angle!$L$16*$B670</f>
      </c>
      <c r="AC670" s="12">
        <f>IF(AB670&gt;0,IF(AB670&lt;=eco,alpha*fck*(1-(1-AB670/eco)^n),alpha*fck),0)</f>
      </c>
      <c r="AD670" s="30">
        <f>PM_Angle!$J$17+PM_Angle!$K$17*$C670+PM_Angle!$L$17*$B670</f>
      </c>
      <c r="AE670" s="12">
        <f>IF(AD670&gt;0,IF(AD670&lt;=eco,alpha*fck*(1-(1-AD670/eco)^n),alpha*fck),0)</f>
      </c>
      <c r="AF670" s="30">
        <f>PM_Angle!$J$18+PM_Angle!$K$18*$C670+PM_Angle!$L$18*$B670</f>
      </c>
      <c r="AG670" s="12">
        <f>IF(AF670&gt;0,IF(AF670&lt;=eco,alpha*fck*(1-(1-AF670/eco)^n),alpha*fck),0)</f>
      </c>
      <c r="AH670" s="30">
        <f>PM_Angle!$J$19+PM_Angle!$K$19*$C670+PM_Angle!$L$19*$B670</f>
      </c>
      <c r="AI670" s="12">
        <f>IF(AH670&gt;0,IF(AH670&lt;=eco,alpha*fck*(1-(1-AH670/eco)^n),alpha*fck),0)</f>
      </c>
      <c r="AJ670" s="30">
        <f>PM_Angle!$J$20+PM_Angle!$K$20*$C670+PM_Angle!$L$20*$B670</f>
      </c>
      <c r="AK670" s="12">
        <f>IF(AJ670&gt;0,IF(AJ670&lt;=eco,alpha*fck*(1-(1-AJ670/eco)^n),alpha*fck),0)</f>
      </c>
      <c r="AL670" s="30">
        <f>PM_Angle!$J$21+PM_Angle!$K$21*$C670+PM_Angle!$L$21*$B670</f>
      </c>
      <c r="AM670" s="12">
        <f>IF(AL670&gt;0,IF(AL670&lt;=eco,alpha*fck*(1-(1-AL670/eco)^n),alpha*fck),0)</f>
      </c>
      <c r="AN670" s="30">
        <f>PM_Angle!$J$22+PM_Angle!$K$22*$C670+PM_Angle!$L$22*$B670</f>
      </c>
      <c r="AO670" s="12">
        <f>IF(AN670&gt;0,IF(AN670&lt;=eco,alpha*fck*(1-(1-AN670/eco)^n),alpha*fck),0)</f>
      </c>
      <c r="AP670" s="30">
        <f>PM_Angle!$J$23+PM_Angle!$K$23*$C670+PM_Angle!$L$23*$B670</f>
      </c>
      <c r="AQ670" s="12">
        <f>IF(AP670&gt;0,IF(AP670&lt;=eco,alpha*fck*(1-(1-AP670/eco)^n),alpha*fck),0)</f>
      </c>
      <c r="AR670" s="30">
        <f>PM_Angle!$J$24+PM_Angle!$K$24*$C670+PM_Angle!$L$24*$B670</f>
      </c>
      <c r="AS670" s="12">
        <f>IF(AR670&gt;0,IF(AR670&lt;=eco,alpha*fck*(1-(1-AR670/eco)^n),alpha*fck),0)</f>
      </c>
      <c r="AT670" s="30">
        <f>PM_Angle!$J$25+PM_Angle!$K$25*$C670+PM_Angle!$L$25*$B670</f>
      </c>
      <c r="AU670" s="12">
        <f>IF(AT670&gt;0,IF(AT670&lt;=eco,alpha*fck*(1-(1-AT670/eco)^n),alpha*fck),0)</f>
      </c>
    </row>
    <row r="671" spans="1:47" x14ac:dyDescent="0.25">
      <c r="A671">
        <f>Mesh!A668</f>
      </c>
      <c r="B671" s="12">
        <f>Mesh!B668</f>
      </c>
      <c r="C671" s="12">
        <f>Mesh!C668</f>
      </c>
      <c r="D671" s="12">
        <f>Mesh!D668</f>
      </c>
      <c r="E671" s="30">
        <f>INDEX(St_e0,Det+1)+INDEX(St_kx,Det+1)*C671+INDEX(St_ky,Det+1)*B671</f>
      </c>
      <c r="F671" s="12">
        <f>IF(E671&gt;0,IF(E671&lt;=eco,alpha*fck*(1-(1-E671/eco)^n),alpha*fck),0)</f>
      </c>
      <c r="G671" s="11">
        <f>F671*D671</f>
      </c>
      <c r="H671" s="11">
        <f>G671*C671</f>
      </c>
      <c r="I671" s="11">
        <f>G671*B671</f>
      </c>
      <c r="J671" s="30">
        <f>PM_Angle!$J$7+PM_Angle!$K$7*$C671+PM_Angle!$L$7*$B671</f>
      </c>
      <c r="K671" s="12">
        <f>IF(J671&gt;0,IF(J671&lt;=eco,alpha*fck*(1-(1-J671/eco)^n),alpha*fck),0)</f>
      </c>
      <c r="L671" s="30">
        <f>PM_Angle!$J$8+PM_Angle!$K$8*$C671+PM_Angle!$L$8*$B671</f>
      </c>
      <c r="M671" s="12">
        <f>IF(L671&gt;0,IF(L671&lt;=eco,alpha*fck*(1-(1-L671/eco)^n),alpha*fck),0)</f>
      </c>
      <c r="N671" s="30">
        <f>PM_Angle!$J$9+PM_Angle!$K$9*$C671+PM_Angle!$L$9*$B671</f>
      </c>
      <c r="O671" s="12">
        <f>IF(N671&gt;0,IF(N671&lt;=eco,alpha*fck*(1-(1-N671/eco)^n),alpha*fck),0)</f>
      </c>
      <c r="P671" s="30">
        <f>PM_Angle!$J$10+PM_Angle!$K$10*$C671+PM_Angle!$L$10*$B671</f>
      </c>
      <c r="Q671" s="12">
        <f>IF(P671&gt;0,IF(P671&lt;=eco,alpha*fck*(1-(1-P671/eco)^n),alpha*fck),0)</f>
      </c>
      <c r="R671" s="30">
        <f>PM_Angle!$J$11+PM_Angle!$K$11*$C671+PM_Angle!$L$11*$B671</f>
      </c>
      <c r="S671" s="12">
        <f>IF(R671&gt;0,IF(R671&lt;=eco,alpha*fck*(1-(1-R671/eco)^n),alpha*fck),0)</f>
      </c>
      <c r="T671" s="30">
        <f>PM_Angle!$J$12+PM_Angle!$K$12*$C671+PM_Angle!$L$12*$B671</f>
      </c>
      <c r="U671" s="12">
        <f>IF(T671&gt;0,IF(T671&lt;=eco,alpha*fck*(1-(1-T671/eco)^n),alpha*fck),0)</f>
      </c>
      <c r="V671" s="30">
        <f>PM_Angle!$J$13+PM_Angle!$K$13*$C671+PM_Angle!$L$13*$B671</f>
      </c>
      <c r="W671" s="12">
        <f>IF(V671&gt;0,IF(V671&lt;=eco,alpha*fck*(1-(1-V671/eco)^n),alpha*fck),0)</f>
      </c>
      <c r="X671" s="30">
        <f>PM_Angle!$J$14+PM_Angle!$K$14*$C671+PM_Angle!$L$14*$B671</f>
      </c>
      <c r="Y671" s="12">
        <f>IF(X671&gt;0,IF(X671&lt;=eco,alpha*fck*(1-(1-X671/eco)^n),alpha*fck),0)</f>
      </c>
      <c r="Z671" s="30">
        <f>PM_Angle!$J$15+PM_Angle!$K$15*$C671+PM_Angle!$L$15*$B671</f>
      </c>
      <c r="AA671" s="12">
        <f>IF(Z671&gt;0,IF(Z671&lt;=eco,alpha*fck*(1-(1-Z671/eco)^n),alpha*fck),0)</f>
      </c>
      <c r="AB671" s="30">
        <f>PM_Angle!$J$16+PM_Angle!$K$16*$C671+PM_Angle!$L$16*$B671</f>
      </c>
      <c r="AC671" s="12">
        <f>IF(AB671&gt;0,IF(AB671&lt;=eco,alpha*fck*(1-(1-AB671/eco)^n),alpha*fck),0)</f>
      </c>
      <c r="AD671" s="30">
        <f>PM_Angle!$J$17+PM_Angle!$K$17*$C671+PM_Angle!$L$17*$B671</f>
      </c>
      <c r="AE671" s="12">
        <f>IF(AD671&gt;0,IF(AD671&lt;=eco,alpha*fck*(1-(1-AD671/eco)^n),alpha*fck),0)</f>
      </c>
      <c r="AF671" s="30">
        <f>PM_Angle!$J$18+PM_Angle!$K$18*$C671+PM_Angle!$L$18*$B671</f>
      </c>
      <c r="AG671" s="12">
        <f>IF(AF671&gt;0,IF(AF671&lt;=eco,alpha*fck*(1-(1-AF671/eco)^n),alpha*fck),0)</f>
      </c>
      <c r="AH671" s="30">
        <f>PM_Angle!$J$19+PM_Angle!$K$19*$C671+PM_Angle!$L$19*$B671</f>
      </c>
      <c r="AI671" s="12">
        <f>IF(AH671&gt;0,IF(AH671&lt;=eco,alpha*fck*(1-(1-AH671/eco)^n),alpha*fck),0)</f>
      </c>
      <c r="AJ671" s="30">
        <f>PM_Angle!$J$20+PM_Angle!$K$20*$C671+PM_Angle!$L$20*$B671</f>
      </c>
      <c r="AK671" s="12">
        <f>IF(AJ671&gt;0,IF(AJ671&lt;=eco,alpha*fck*(1-(1-AJ671/eco)^n),alpha*fck),0)</f>
      </c>
      <c r="AL671" s="30">
        <f>PM_Angle!$J$21+PM_Angle!$K$21*$C671+PM_Angle!$L$21*$B671</f>
      </c>
      <c r="AM671" s="12">
        <f>IF(AL671&gt;0,IF(AL671&lt;=eco,alpha*fck*(1-(1-AL671/eco)^n),alpha*fck),0)</f>
      </c>
      <c r="AN671" s="30">
        <f>PM_Angle!$J$22+PM_Angle!$K$22*$C671+PM_Angle!$L$22*$B671</f>
      </c>
      <c r="AO671" s="12">
        <f>IF(AN671&gt;0,IF(AN671&lt;=eco,alpha*fck*(1-(1-AN671/eco)^n),alpha*fck),0)</f>
      </c>
      <c r="AP671" s="30">
        <f>PM_Angle!$J$23+PM_Angle!$K$23*$C671+PM_Angle!$L$23*$B671</f>
      </c>
      <c r="AQ671" s="12">
        <f>IF(AP671&gt;0,IF(AP671&lt;=eco,alpha*fck*(1-(1-AP671/eco)^n),alpha*fck),0)</f>
      </c>
      <c r="AR671" s="30">
        <f>PM_Angle!$J$24+PM_Angle!$K$24*$C671+PM_Angle!$L$24*$B671</f>
      </c>
      <c r="AS671" s="12">
        <f>IF(AR671&gt;0,IF(AR671&lt;=eco,alpha*fck*(1-(1-AR671/eco)^n),alpha*fck),0)</f>
      </c>
      <c r="AT671" s="30">
        <f>PM_Angle!$J$25+PM_Angle!$K$25*$C671+PM_Angle!$L$25*$B671</f>
      </c>
      <c r="AU671" s="12">
        <f>IF(AT671&gt;0,IF(AT671&lt;=eco,alpha*fck*(1-(1-AT671/eco)^n),alpha*fck),0)</f>
      </c>
    </row>
    <row r="672" spans="1:47" x14ac:dyDescent="0.25">
      <c r="A672">
        <f>Mesh!A669</f>
      </c>
      <c r="B672" s="12">
        <f>Mesh!B669</f>
      </c>
      <c r="C672" s="12">
        <f>Mesh!C669</f>
      </c>
      <c r="D672" s="12">
        <f>Mesh!D669</f>
      </c>
      <c r="E672" s="30">
        <f>INDEX(St_e0,Det+1)+INDEX(St_kx,Det+1)*C672+INDEX(St_ky,Det+1)*B672</f>
      </c>
      <c r="F672" s="12">
        <f>IF(E672&gt;0,IF(E672&lt;=eco,alpha*fck*(1-(1-E672/eco)^n),alpha*fck),0)</f>
      </c>
      <c r="G672" s="11">
        <f>F672*D672</f>
      </c>
      <c r="H672" s="11">
        <f>G672*C672</f>
      </c>
      <c r="I672" s="11">
        <f>G672*B672</f>
      </c>
      <c r="J672" s="30">
        <f>PM_Angle!$J$7+PM_Angle!$K$7*$C672+PM_Angle!$L$7*$B672</f>
      </c>
      <c r="K672" s="12">
        <f>IF(J672&gt;0,IF(J672&lt;=eco,alpha*fck*(1-(1-J672/eco)^n),alpha*fck),0)</f>
      </c>
      <c r="L672" s="30">
        <f>PM_Angle!$J$8+PM_Angle!$K$8*$C672+PM_Angle!$L$8*$B672</f>
      </c>
      <c r="M672" s="12">
        <f>IF(L672&gt;0,IF(L672&lt;=eco,alpha*fck*(1-(1-L672/eco)^n),alpha*fck),0)</f>
      </c>
      <c r="N672" s="30">
        <f>PM_Angle!$J$9+PM_Angle!$K$9*$C672+PM_Angle!$L$9*$B672</f>
      </c>
      <c r="O672" s="12">
        <f>IF(N672&gt;0,IF(N672&lt;=eco,alpha*fck*(1-(1-N672/eco)^n),alpha*fck),0)</f>
      </c>
      <c r="P672" s="30">
        <f>PM_Angle!$J$10+PM_Angle!$K$10*$C672+PM_Angle!$L$10*$B672</f>
      </c>
      <c r="Q672" s="12">
        <f>IF(P672&gt;0,IF(P672&lt;=eco,alpha*fck*(1-(1-P672/eco)^n),alpha*fck),0)</f>
      </c>
      <c r="R672" s="30">
        <f>PM_Angle!$J$11+PM_Angle!$K$11*$C672+PM_Angle!$L$11*$B672</f>
      </c>
      <c r="S672" s="12">
        <f>IF(R672&gt;0,IF(R672&lt;=eco,alpha*fck*(1-(1-R672/eco)^n),alpha*fck),0)</f>
      </c>
      <c r="T672" s="30">
        <f>PM_Angle!$J$12+PM_Angle!$K$12*$C672+PM_Angle!$L$12*$B672</f>
      </c>
      <c r="U672" s="12">
        <f>IF(T672&gt;0,IF(T672&lt;=eco,alpha*fck*(1-(1-T672/eco)^n),alpha*fck),0)</f>
      </c>
      <c r="V672" s="30">
        <f>PM_Angle!$J$13+PM_Angle!$K$13*$C672+PM_Angle!$L$13*$B672</f>
      </c>
      <c r="W672" s="12">
        <f>IF(V672&gt;0,IF(V672&lt;=eco,alpha*fck*(1-(1-V672/eco)^n),alpha*fck),0)</f>
      </c>
      <c r="X672" s="30">
        <f>PM_Angle!$J$14+PM_Angle!$K$14*$C672+PM_Angle!$L$14*$B672</f>
      </c>
      <c r="Y672" s="12">
        <f>IF(X672&gt;0,IF(X672&lt;=eco,alpha*fck*(1-(1-X672/eco)^n),alpha*fck),0)</f>
      </c>
      <c r="Z672" s="30">
        <f>PM_Angle!$J$15+PM_Angle!$K$15*$C672+PM_Angle!$L$15*$B672</f>
      </c>
      <c r="AA672" s="12">
        <f>IF(Z672&gt;0,IF(Z672&lt;=eco,alpha*fck*(1-(1-Z672/eco)^n),alpha*fck),0)</f>
      </c>
      <c r="AB672" s="30">
        <f>PM_Angle!$J$16+PM_Angle!$K$16*$C672+PM_Angle!$L$16*$B672</f>
      </c>
      <c r="AC672" s="12">
        <f>IF(AB672&gt;0,IF(AB672&lt;=eco,alpha*fck*(1-(1-AB672/eco)^n),alpha*fck),0)</f>
      </c>
      <c r="AD672" s="30">
        <f>PM_Angle!$J$17+PM_Angle!$K$17*$C672+PM_Angle!$L$17*$B672</f>
      </c>
      <c r="AE672" s="12">
        <f>IF(AD672&gt;0,IF(AD672&lt;=eco,alpha*fck*(1-(1-AD672/eco)^n),alpha*fck),0)</f>
      </c>
      <c r="AF672" s="30">
        <f>PM_Angle!$J$18+PM_Angle!$K$18*$C672+PM_Angle!$L$18*$B672</f>
      </c>
      <c r="AG672" s="12">
        <f>IF(AF672&gt;0,IF(AF672&lt;=eco,alpha*fck*(1-(1-AF672/eco)^n),alpha*fck),0)</f>
      </c>
      <c r="AH672" s="30">
        <f>PM_Angle!$J$19+PM_Angle!$K$19*$C672+PM_Angle!$L$19*$B672</f>
      </c>
      <c r="AI672" s="12">
        <f>IF(AH672&gt;0,IF(AH672&lt;=eco,alpha*fck*(1-(1-AH672/eco)^n),alpha*fck),0)</f>
      </c>
      <c r="AJ672" s="30">
        <f>PM_Angle!$J$20+PM_Angle!$K$20*$C672+PM_Angle!$L$20*$B672</f>
      </c>
      <c r="AK672" s="12">
        <f>IF(AJ672&gt;0,IF(AJ672&lt;=eco,alpha*fck*(1-(1-AJ672/eco)^n),alpha*fck),0)</f>
      </c>
      <c r="AL672" s="30">
        <f>PM_Angle!$J$21+PM_Angle!$K$21*$C672+PM_Angle!$L$21*$B672</f>
      </c>
      <c r="AM672" s="12">
        <f>IF(AL672&gt;0,IF(AL672&lt;=eco,alpha*fck*(1-(1-AL672/eco)^n),alpha*fck),0)</f>
      </c>
      <c r="AN672" s="30">
        <f>PM_Angle!$J$22+PM_Angle!$K$22*$C672+PM_Angle!$L$22*$B672</f>
      </c>
      <c r="AO672" s="12">
        <f>IF(AN672&gt;0,IF(AN672&lt;=eco,alpha*fck*(1-(1-AN672/eco)^n),alpha*fck),0)</f>
      </c>
      <c r="AP672" s="30">
        <f>PM_Angle!$J$23+PM_Angle!$K$23*$C672+PM_Angle!$L$23*$B672</f>
      </c>
      <c r="AQ672" s="12">
        <f>IF(AP672&gt;0,IF(AP672&lt;=eco,alpha*fck*(1-(1-AP672/eco)^n),alpha*fck),0)</f>
      </c>
      <c r="AR672" s="30">
        <f>PM_Angle!$J$24+PM_Angle!$K$24*$C672+PM_Angle!$L$24*$B672</f>
      </c>
      <c r="AS672" s="12">
        <f>IF(AR672&gt;0,IF(AR672&lt;=eco,alpha*fck*(1-(1-AR672/eco)^n),alpha*fck),0)</f>
      </c>
      <c r="AT672" s="30">
        <f>PM_Angle!$J$25+PM_Angle!$K$25*$C672+PM_Angle!$L$25*$B672</f>
      </c>
      <c r="AU672" s="12">
        <f>IF(AT672&gt;0,IF(AT672&lt;=eco,alpha*fck*(1-(1-AT672/eco)^n),alpha*fck),0)</f>
      </c>
    </row>
    <row r="673" spans="1:47" x14ac:dyDescent="0.25">
      <c r="A673">
        <f>Mesh!A670</f>
      </c>
      <c r="B673" s="12">
        <f>Mesh!B670</f>
      </c>
      <c r="C673" s="12">
        <f>Mesh!C670</f>
      </c>
      <c r="D673" s="12">
        <f>Mesh!D670</f>
      </c>
      <c r="E673" s="30">
        <f>INDEX(St_e0,Det+1)+INDEX(St_kx,Det+1)*C673+INDEX(St_ky,Det+1)*B673</f>
      </c>
      <c r="F673" s="12">
        <f>IF(E673&gt;0,IF(E673&lt;=eco,alpha*fck*(1-(1-E673/eco)^n),alpha*fck),0)</f>
      </c>
      <c r="G673" s="11">
        <f>F673*D673</f>
      </c>
      <c r="H673" s="11">
        <f>G673*C673</f>
      </c>
      <c r="I673" s="11">
        <f>G673*B673</f>
      </c>
      <c r="J673" s="30">
        <f>PM_Angle!$J$7+PM_Angle!$K$7*$C673+PM_Angle!$L$7*$B673</f>
      </c>
      <c r="K673" s="12">
        <f>IF(J673&gt;0,IF(J673&lt;=eco,alpha*fck*(1-(1-J673/eco)^n),alpha*fck),0)</f>
      </c>
      <c r="L673" s="30">
        <f>PM_Angle!$J$8+PM_Angle!$K$8*$C673+PM_Angle!$L$8*$B673</f>
      </c>
      <c r="M673" s="12">
        <f>IF(L673&gt;0,IF(L673&lt;=eco,alpha*fck*(1-(1-L673/eco)^n),alpha*fck),0)</f>
      </c>
      <c r="N673" s="30">
        <f>PM_Angle!$J$9+PM_Angle!$K$9*$C673+PM_Angle!$L$9*$B673</f>
      </c>
      <c r="O673" s="12">
        <f>IF(N673&gt;0,IF(N673&lt;=eco,alpha*fck*(1-(1-N673/eco)^n),alpha*fck),0)</f>
      </c>
      <c r="P673" s="30">
        <f>PM_Angle!$J$10+PM_Angle!$K$10*$C673+PM_Angle!$L$10*$B673</f>
      </c>
      <c r="Q673" s="12">
        <f>IF(P673&gt;0,IF(P673&lt;=eco,alpha*fck*(1-(1-P673/eco)^n),alpha*fck),0)</f>
      </c>
      <c r="R673" s="30">
        <f>PM_Angle!$J$11+PM_Angle!$K$11*$C673+PM_Angle!$L$11*$B673</f>
      </c>
      <c r="S673" s="12">
        <f>IF(R673&gt;0,IF(R673&lt;=eco,alpha*fck*(1-(1-R673/eco)^n),alpha*fck),0)</f>
      </c>
      <c r="T673" s="30">
        <f>PM_Angle!$J$12+PM_Angle!$K$12*$C673+PM_Angle!$L$12*$B673</f>
      </c>
      <c r="U673" s="12">
        <f>IF(T673&gt;0,IF(T673&lt;=eco,alpha*fck*(1-(1-T673/eco)^n),alpha*fck),0)</f>
      </c>
      <c r="V673" s="30">
        <f>PM_Angle!$J$13+PM_Angle!$K$13*$C673+PM_Angle!$L$13*$B673</f>
      </c>
      <c r="W673" s="12">
        <f>IF(V673&gt;0,IF(V673&lt;=eco,alpha*fck*(1-(1-V673/eco)^n),alpha*fck),0)</f>
      </c>
      <c r="X673" s="30">
        <f>PM_Angle!$J$14+PM_Angle!$K$14*$C673+PM_Angle!$L$14*$B673</f>
      </c>
      <c r="Y673" s="12">
        <f>IF(X673&gt;0,IF(X673&lt;=eco,alpha*fck*(1-(1-X673/eco)^n),alpha*fck),0)</f>
      </c>
      <c r="Z673" s="30">
        <f>PM_Angle!$J$15+PM_Angle!$K$15*$C673+PM_Angle!$L$15*$B673</f>
      </c>
      <c r="AA673" s="12">
        <f>IF(Z673&gt;0,IF(Z673&lt;=eco,alpha*fck*(1-(1-Z673/eco)^n),alpha*fck),0)</f>
      </c>
      <c r="AB673" s="30">
        <f>PM_Angle!$J$16+PM_Angle!$K$16*$C673+PM_Angle!$L$16*$B673</f>
      </c>
      <c r="AC673" s="12">
        <f>IF(AB673&gt;0,IF(AB673&lt;=eco,alpha*fck*(1-(1-AB673/eco)^n),alpha*fck),0)</f>
      </c>
      <c r="AD673" s="30">
        <f>PM_Angle!$J$17+PM_Angle!$K$17*$C673+PM_Angle!$L$17*$B673</f>
      </c>
      <c r="AE673" s="12">
        <f>IF(AD673&gt;0,IF(AD673&lt;=eco,alpha*fck*(1-(1-AD673/eco)^n),alpha*fck),0)</f>
      </c>
      <c r="AF673" s="30">
        <f>PM_Angle!$J$18+PM_Angle!$K$18*$C673+PM_Angle!$L$18*$B673</f>
      </c>
      <c r="AG673" s="12">
        <f>IF(AF673&gt;0,IF(AF673&lt;=eco,alpha*fck*(1-(1-AF673/eco)^n),alpha*fck),0)</f>
      </c>
      <c r="AH673" s="30">
        <f>PM_Angle!$J$19+PM_Angle!$K$19*$C673+PM_Angle!$L$19*$B673</f>
      </c>
      <c r="AI673" s="12">
        <f>IF(AH673&gt;0,IF(AH673&lt;=eco,alpha*fck*(1-(1-AH673/eco)^n),alpha*fck),0)</f>
      </c>
      <c r="AJ673" s="30">
        <f>PM_Angle!$J$20+PM_Angle!$K$20*$C673+PM_Angle!$L$20*$B673</f>
      </c>
      <c r="AK673" s="12">
        <f>IF(AJ673&gt;0,IF(AJ673&lt;=eco,alpha*fck*(1-(1-AJ673/eco)^n),alpha*fck),0)</f>
      </c>
      <c r="AL673" s="30">
        <f>PM_Angle!$J$21+PM_Angle!$K$21*$C673+PM_Angle!$L$21*$B673</f>
      </c>
      <c r="AM673" s="12">
        <f>IF(AL673&gt;0,IF(AL673&lt;=eco,alpha*fck*(1-(1-AL673/eco)^n),alpha*fck),0)</f>
      </c>
      <c r="AN673" s="30">
        <f>PM_Angle!$J$22+PM_Angle!$K$22*$C673+PM_Angle!$L$22*$B673</f>
      </c>
      <c r="AO673" s="12">
        <f>IF(AN673&gt;0,IF(AN673&lt;=eco,alpha*fck*(1-(1-AN673/eco)^n),alpha*fck),0)</f>
      </c>
      <c r="AP673" s="30">
        <f>PM_Angle!$J$23+PM_Angle!$K$23*$C673+PM_Angle!$L$23*$B673</f>
      </c>
      <c r="AQ673" s="12">
        <f>IF(AP673&gt;0,IF(AP673&lt;=eco,alpha*fck*(1-(1-AP673/eco)^n),alpha*fck),0)</f>
      </c>
      <c r="AR673" s="30">
        <f>PM_Angle!$J$24+PM_Angle!$K$24*$C673+PM_Angle!$L$24*$B673</f>
      </c>
      <c r="AS673" s="12">
        <f>IF(AR673&gt;0,IF(AR673&lt;=eco,alpha*fck*(1-(1-AR673/eco)^n),alpha*fck),0)</f>
      </c>
      <c r="AT673" s="30">
        <f>PM_Angle!$J$25+PM_Angle!$K$25*$C673+PM_Angle!$L$25*$B673</f>
      </c>
      <c r="AU673" s="12">
        <f>IF(AT673&gt;0,IF(AT673&lt;=eco,alpha*fck*(1-(1-AT673/eco)^n),alpha*fck),0)</f>
      </c>
    </row>
    <row r="674" spans="1:47" x14ac:dyDescent="0.25">
      <c r="A674">
        <f>Mesh!A671</f>
      </c>
      <c r="B674" s="12">
        <f>Mesh!B671</f>
      </c>
      <c r="C674" s="12">
        <f>Mesh!C671</f>
      </c>
      <c r="D674" s="12">
        <f>Mesh!D671</f>
      </c>
      <c r="E674" s="30">
        <f>INDEX(St_e0,Det+1)+INDEX(St_kx,Det+1)*C674+INDEX(St_ky,Det+1)*B674</f>
      </c>
      <c r="F674" s="12">
        <f>IF(E674&gt;0,IF(E674&lt;=eco,alpha*fck*(1-(1-E674/eco)^n),alpha*fck),0)</f>
      </c>
      <c r="G674" s="11">
        <f>F674*D674</f>
      </c>
      <c r="H674" s="11">
        <f>G674*C674</f>
      </c>
      <c r="I674" s="11">
        <f>G674*B674</f>
      </c>
      <c r="J674" s="30">
        <f>PM_Angle!$J$7+PM_Angle!$K$7*$C674+PM_Angle!$L$7*$B674</f>
      </c>
      <c r="K674" s="12">
        <f>IF(J674&gt;0,IF(J674&lt;=eco,alpha*fck*(1-(1-J674/eco)^n),alpha*fck),0)</f>
      </c>
      <c r="L674" s="30">
        <f>PM_Angle!$J$8+PM_Angle!$K$8*$C674+PM_Angle!$L$8*$B674</f>
      </c>
      <c r="M674" s="12">
        <f>IF(L674&gt;0,IF(L674&lt;=eco,alpha*fck*(1-(1-L674/eco)^n),alpha*fck),0)</f>
      </c>
      <c r="N674" s="30">
        <f>PM_Angle!$J$9+PM_Angle!$K$9*$C674+PM_Angle!$L$9*$B674</f>
      </c>
      <c r="O674" s="12">
        <f>IF(N674&gt;0,IF(N674&lt;=eco,alpha*fck*(1-(1-N674/eco)^n),alpha*fck),0)</f>
      </c>
      <c r="P674" s="30">
        <f>PM_Angle!$J$10+PM_Angle!$K$10*$C674+PM_Angle!$L$10*$B674</f>
      </c>
      <c r="Q674" s="12">
        <f>IF(P674&gt;0,IF(P674&lt;=eco,alpha*fck*(1-(1-P674/eco)^n),alpha*fck),0)</f>
      </c>
      <c r="R674" s="30">
        <f>PM_Angle!$J$11+PM_Angle!$K$11*$C674+PM_Angle!$L$11*$B674</f>
      </c>
      <c r="S674" s="12">
        <f>IF(R674&gt;0,IF(R674&lt;=eco,alpha*fck*(1-(1-R674/eco)^n),alpha*fck),0)</f>
      </c>
      <c r="T674" s="30">
        <f>PM_Angle!$J$12+PM_Angle!$K$12*$C674+PM_Angle!$L$12*$B674</f>
      </c>
      <c r="U674" s="12">
        <f>IF(T674&gt;0,IF(T674&lt;=eco,alpha*fck*(1-(1-T674/eco)^n),alpha*fck),0)</f>
      </c>
      <c r="V674" s="30">
        <f>PM_Angle!$J$13+PM_Angle!$K$13*$C674+PM_Angle!$L$13*$B674</f>
      </c>
      <c r="W674" s="12">
        <f>IF(V674&gt;0,IF(V674&lt;=eco,alpha*fck*(1-(1-V674/eco)^n),alpha*fck),0)</f>
      </c>
      <c r="X674" s="30">
        <f>PM_Angle!$J$14+PM_Angle!$K$14*$C674+PM_Angle!$L$14*$B674</f>
      </c>
      <c r="Y674" s="12">
        <f>IF(X674&gt;0,IF(X674&lt;=eco,alpha*fck*(1-(1-X674/eco)^n),alpha*fck),0)</f>
      </c>
      <c r="Z674" s="30">
        <f>PM_Angle!$J$15+PM_Angle!$K$15*$C674+PM_Angle!$L$15*$B674</f>
      </c>
      <c r="AA674" s="12">
        <f>IF(Z674&gt;0,IF(Z674&lt;=eco,alpha*fck*(1-(1-Z674/eco)^n),alpha*fck),0)</f>
      </c>
      <c r="AB674" s="30">
        <f>PM_Angle!$J$16+PM_Angle!$K$16*$C674+PM_Angle!$L$16*$B674</f>
      </c>
      <c r="AC674" s="12">
        <f>IF(AB674&gt;0,IF(AB674&lt;=eco,alpha*fck*(1-(1-AB674/eco)^n),alpha*fck),0)</f>
      </c>
      <c r="AD674" s="30">
        <f>PM_Angle!$J$17+PM_Angle!$K$17*$C674+PM_Angle!$L$17*$B674</f>
      </c>
      <c r="AE674" s="12">
        <f>IF(AD674&gt;0,IF(AD674&lt;=eco,alpha*fck*(1-(1-AD674/eco)^n),alpha*fck),0)</f>
      </c>
      <c r="AF674" s="30">
        <f>PM_Angle!$J$18+PM_Angle!$K$18*$C674+PM_Angle!$L$18*$B674</f>
      </c>
      <c r="AG674" s="12">
        <f>IF(AF674&gt;0,IF(AF674&lt;=eco,alpha*fck*(1-(1-AF674/eco)^n),alpha*fck),0)</f>
      </c>
      <c r="AH674" s="30">
        <f>PM_Angle!$J$19+PM_Angle!$K$19*$C674+PM_Angle!$L$19*$B674</f>
      </c>
      <c r="AI674" s="12">
        <f>IF(AH674&gt;0,IF(AH674&lt;=eco,alpha*fck*(1-(1-AH674/eco)^n),alpha*fck),0)</f>
      </c>
      <c r="AJ674" s="30">
        <f>PM_Angle!$J$20+PM_Angle!$K$20*$C674+PM_Angle!$L$20*$B674</f>
      </c>
      <c r="AK674" s="12">
        <f>IF(AJ674&gt;0,IF(AJ674&lt;=eco,alpha*fck*(1-(1-AJ674/eco)^n),alpha*fck),0)</f>
      </c>
      <c r="AL674" s="30">
        <f>PM_Angle!$J$21+PM_Angle!$K$21*$C674+PM_Angle!$L$21*$B674</f>
      </c>
      <c r="AM674" s="12">
        <f>IF(AL674&gt;0,IF(AL674&lt;=eco,alpha*fck*(1-(1-AL674/eco)^n),alpha*fck),0)</f>
      </c>
      <c r="AN674" s="30">
        <f>PM_Angle!$J$22+PM_Angle!$K$22*$C674+PM_Angle!$L$22*$B674</f>
      </c>
      <c r="AO674" s="12">
        <f>IF(AN674&gt;0,IF(AN674&lt;=eco,alpha*fck*(1-(1-AN674/eco)^n),alpha*fck),0)</f>
      </c>
      <c r="AP674" s="30">
        <f>PM_Angle!$J$23+PM_Angle!$K$23*$C674+PM_Angle!$L$23*$B674</f>
      </c>
      <c r="AQ674" s="12">
        <f>IF(AP674&gt;0,IF(AP674&lt;=eco,alpha*fck*(1-(1-AP674/eco)^n),alpha*fck),0)</f>
      </c>
      <c r="AR674" s="30">
        <f>PM_Angle!$J$24+PM_Angle!$K$24*$C674+PM_Angle!$L$24*$B674</f>
      </c>
      <c r="AS674" s="12">
        <f>IF(AR674&gt;0,IF(AR674&lt;=eco,alpha*fck*(1-(1-AR674/eco)^n),alpha*fck),0)</f>
      </c>
      <c r="AT674" s="30">
        <f>PM_Angle!$J$25+PM_Angle!$K$25*$C674+PM_Angle!$L$25*$B674</f>
      </c>
      <c r="AU674" s="12">
        <f>IF(AT674&gt;0,IF(AT674&lt;=eco,alpha*fck*(1-(1-AT674/eco)^n),alpha*fck),0)</f>
      </c>
    </row>
    <row r="675" spans="1:47" x14ac:dyDescent="0.25">
      <c r="A675">
        <f>Mesh!A672</f>
      </c>
      <c r="B675" s="12">
        <f>Mesh!B672</f>
      </c>
      <c r="C675" s="12">
        <f>Mesh!C672</f>
      </c>
      <c r="D675" s="12">
        <f>Mesh!D672</f>
      </c>
      <c r="E675" s="30">
        <f>INDEX(St_e0,Det+1)+INDEX(St_kx,Det+1)*C675+INDEX(St_ky,Det+1)*B675</f>
      </c>
      <c r="F675" s="12">
        <f>IF(E675&gt;0,IF(E675&lt;=eco,alpha*fck*(1-(1-E675/eco)^n),alpha*fck),0)</f>
      </c>
      <c r="G675" s="11">
        <f>F675*D675</f>
      </c>
      <c r="H675" s="11">
        <f>G675*C675</f>
      </c>
      <c r="I675" s="11">
        <f>G675*B675</f>
      </c>
      <c r="J675" s="30">
        <f>PM_Angle!$J$7+PM_Angle!$K$7*$C675+PM_Angle!$L$7*$B675</f>
      </c>
      <c r="K675" s="12">
        <f>IF(J675&gt;0,IF(J675&lt;=eco,alpha*fck*(1-(1-J675/eco)^n),alpha*fck),0)</f>
      </c>
      <c r="L675" s="30">
        <f>PM_Angle!$J$8+PM_Angle!$K$8*$C675+PM_Angle!$L$8*$B675</f>
      </c>
      <c r="M675" s="12">
        <f>IF(L675&gt;0,IF(L675&lt;=eco,alpha*fck*(1-(1-L675/eco)^n),alpha*fck),0)</f>
      </c>
      <c r="N675" s="30">
        <f>PM_Angle!$J$9+PM_Angle!$K$9*$C675+PM_Angle!$L$9*$B675</f>
      </c>
      <c r="O675" s="12">
        <f>IF(N675&gt;0,IF(N675&lt;=eco,alpha*fck*(1-(1-N675/eco)^n),alpha*fck),0)</f>
      </c>
      <c r="P675" s="30">
        <f>PM_Angle!$J$10+PM_Angle!$K$10*$C675+PM_Angle!$L$10*$B675</f>
      </c>
      <c r="Q675" s="12">
        <f>IF(P675&gt;0,IF(P675&lt;=eco,alpha*fck*(1-(1-P675/eco)^n),alpha*fck),0)</f>
      </c>
      <c r="R675" s="30">
        <f>PM_Angle!$J$11+PM_Angle!$K$11*$C675+PM_Angle!$L$11*$B675</f>
      </c>
      <c r="S675" s="12">
        <f>IF(R675&gt;0,IF(R675&lt;=eco,alpha*fck*(1-(1-R675/eco)^n),alpha*fck),0)</f>
      </c>
      <c r="T675" s="30">
        <f>PM_Angle!$J$12+PM_Angle!$K$12*$C675+PM_Angle!$L$12*$B675</f>
      </c>
      <c r="U675" s="12">
        <f>IF(T675&gt;0,IF(T675&lt;=eco,alpha*fck*(1-(1-T675/eco)^n),alpha*fck),0)</f>
      </c>
      <c r="V675" s="30">
        <f>PM_Angle!$J$13+PM_Angle!$K$13*$C675+PM_Angle!$L$13*$B675</f>
      </c>
      <c r="W675" s="12">
        <f>IF(V675&gt;0,IF(V675&lt;=eco,alpha*fck*(1-(1-V675/eco)^n),alpha*fck),0)</f>
      </c>
      <c r="X675" s="30">
        <f>PM_Angle!$J$14+PM_Angle!$K$14*$C675+PM_Angle!$L$14*$B675</f>
      </c>
      <c r="Y675" s="12">
        <f>IF(X675&gt;0,IF(X675&lt;=eco,alpha*fck*(1-(1-X675/eco)^n),alpha*fck),0)</f>
      </c>
      <c r="Z675" s="30">
        <f>PM_Angle!$J$15+PM_Angle!$K$15*$C675+PM_Angle!$L$15*$B675</f>
      </c>
      <c r="AA675" s="12">
        <f>IF(Z675&gt;0,IF(Z675&lt;=eco,alpha*fck*(1-(1-Z675/eco)^n),alpha*fck),0)</f>
      </c>
      <c r="AB675" s="30">
        <f>PM_Angle!$J$16+PM_Angle!$K$16*$C675+PM_Angle!$L$16*$B675</f>
      </c>
      <c r="AC675" s="12">
        <f>IF(AB675&gt;0,IF(AB675&lt;=eco,alpha*fck*(1-(1-AB675/eco)^n),alpha*fck),0)</f>
      </c>
      <c r="AD675" s="30">
        <f>PM_Angle!$J$17+PM_Angle!$K$17*$C675+PM_Angle!$L$17*$B675</f>
      </c>
      <c r="AE675" s="12">
        <f>IF(AD675&gt;0,IF(AD675&lt;=eco,alpha*fck*(1-(1-AD675/eco)^n),alpha*fck),0)</f>
      </c>
      <c r="AF675" s="30">
        <f>PM_Angle!$J$18+PM_Angle!$K$18*$C675+PM_Angle!$L$18*$B675</f>
      </c>
      <c r="AG675" s="12">
        <f>IF(AF675&gt;0,IF(AF675&lt;=eco,alpha*fck*(1-(1-AF675/eco)^n),alpha*fck),0)</f>
      </c>
      <c r="AH675" s="30">
        <f>PM_Angle!$J$19+PM_Angle!$K$19*$C675+PM_Angle!$L$19*$B675</f>
      </c>
      <c r="AI675" s="12">
        <f>IF(AH675&gt;0,IF(AH675&lt;=eco,alpha*fck*(1-(1-AH675/eco)^n),alpha*fck),0)</f>
      </c>
      <c r="AJ675" s="30">
        <f>PM_Angle!$J$20+PM_Angle!$K$20*$C675+PM_Angle!$L$20*$B675</f>
      </c>
      <c r="AK675" s="12">
        <f>IF(AJ675&gt;0,IF(AJ675&lt;=eco,alpha*fck*(1-(1-AJ675/eco)^n),alpha*fck),0)</f>
      </c>
      <c r="AL675" s="30">
        <f>PM_Angle!$J$21+PM_Angle!$K$21*$C675+PM_Angle!$L$21*$B675</f>
      </c>
      <c r="AM675" s="12">
        <f>IF(AL675&gt;0,IF(AL675&lt;=eco,alpha*fck*(1-(1-AL675/eco)^n),alpha*fck),0)</f>
      </c>
      <c r="AN675" s="30">
        <f>PM_Angle!$J$22+PM_Angle!$K$22*$C675+PM_Angle!$L$22*$B675</f>
      </c>
      <c r="AO675" s="12">
        <f>IF(AN675&gt;0,IF(AN675&lt;=eco,alpha*fck*(1-(1-AN675/eco)^n),alpha*fck),0)</f>
      </c>
      <c r="AP675" s="30">
        <f>PM_Angle!$J$23+PM_Angle!$K$23*$C675+PM_Angle!$L$23*$B675</f>
      </c>
      <c r="AQ675" s="12">
        <f>IF(AP675&gt;0,IF(AP675&lt;=eco,alpha*fck*(1-(1-AP675/eco)^n),alpha*fck),0)</f>
      </c>
      <c r="AR675" s="30">
        <f>PM_Angle!$J$24+PM_Angle!$K$24*$C675+PM_Angle!$L$24*$B675</f>
      </c>
      <c r="AS675" s="12">
        <f>IF(AR675&gt;0,IF(AR675&lt;=eco,alpha*fck*(1-(1-AR675/eco)^n),alpha*fck),0)</f>
      </c>
      <c r="AT675" s="30">
        <f>PM_Angle!$J$25+PM_Angle!$K$25*$C675+PM_Angle!$L$25*$B675</f>
      </c>
      <c r="AU675" s="12">
        <f>IF(AT675&gt;0,IF(AT675&lt;=eco,alpha*fck*(1-(1-AT675/eco)^n),alpha*fck),0)</f>
      </c>
    </row>
    <row r="676" spans="1:47" x14ac:dyDescent="0.25">
      <c r="A676">
        <f>Mesh!A673</f>
      </c>
      <c r="B676" s="12">
        <f>Mesh!B673</f>
      </c>
      <c r="C676" s="12">
        <f>Mesh!C673</f>
      </c>
      <c r="D676" s="12">
        <f>Mesh!D673</f>
      </c>
      <c r="E676" s="30">
        <f>INDEX(St_e0,Det+1)+INDEX(St_kx,Det+1)*C676+INDEX(St_ky,Det+1)*B676</f>
      </c>
      <c r="F676" s="12">
        <f>IF(E676&gt;0,IF(E676&lt;=eco,alpha*fck*(1-(1-E676/eco)^n),alpha*fck),0)</f>
      </c>
      <c r="G676" s="11">
        <f>F676*D676</f>
      </c>
      <c r="H676" s="11">
        <f>G676*C676</f>
      </c>
      <c r="I676" s="11">
        <f>G676*B676</f>
      </c>
      <c r="J676" s="30">
        <f>PM_Angle!$J$7+PM_Angle!$K$7*$C676+PM_Angle!$L$7*$B676</f>
      </c>
      <c r="K676" s="12">
        <f>IF(J676&gt;0,IF(J676&lt;=eco,alpha*fck*(1-(1-J676/eco)^n),alpha*fck),0)</f>
      </c>
      <c r="L676" s="30">
        <f>PM_Angle!$J$8+PM_Angle!$K$8*$C676+PM_Angle!$L$8*$B676</f>
      </c>
      <c r="M676" s="12">
        <f>IF(L676&gt;0,IF(L676&lt;=eco,alpha*fck*(1-(1-L676/eco)^n),alpha*fck),0)</f>
      </c>
      <c r="N676" s="30">
        <f>PM_Angle!$J$9+PM_Angle!$K$9*$C676+PM_Angle!$L$9*$B676</f>
      </c>
      <c r="O676" s="12">
        <f>IF(N676&gt;0,IF(N676&lt;=eco,alpha*fck*(1-(1-N676/eco)^n),alpha*fck),0)</f>
      </c>
      <c r="P676" s="30">
        <f>PM_Angle!$J$10+PM_Angle!$K$10*$C676+PM_Angle!$L$10*$B676</f>
      </c>
      <c r="Q676" s="12">
        <f>IF(P676&gt;0,IF(P676&lt;=eco,alpha*fck*(1-(1-P676/eco)^n),alpha*fck),0)</f>
      </c>
      <c r="R676" s="30">
        <f>PM_Angle!$J$11+PM_Angle!$K$11*$C676+PM_Angle!$L$11*$B676</f>
      </c>
      <c r="S676" s="12">
        <f>IF(R676&gt;0,IF(R676&lt;=eco,alpha*fck*(1-(1-R676/eco)^n),alpha*fck),0)</f>
      </c>
      <c r="T676" s="30">
        <f>PM_Angle!$J$12+PM_Angle!$K$12*$C676+PM_Angle!$L$12*$B676</f>
      </c>
      <c r="U676" s="12">
        <f>IF(T676&gt;0,IF(T676&lt;=eco,alpha*fck*(1-(1-T676/eco)^n),alpha*fck),0)</f>
      </c>
      <c r="V676" s="30">
        <f>PM_Angle!$J$13+PM_Angle!$K$13*$C676+PM_Angle!$L$13*$B676</f>
      </c>
      <c r="W676" s="12">
        <f>IF(V676&gt;0,IF(V676&lt;=eco,alpha*fck*(1-(1-V676/eco)^n),alpha*fck),0)</f>
      </c>
      <c r="X676" s="30">
        <f>PM_Angle!$J$14+PM_Angle!$K$14*$C676+PM_Angle!$L$14*$B676</f>
      </c>
      <c r="Y676" s="12">
        <f>IF(X676&gt;0,IF(X676&lt;=eco,alpha*fck*(1-(1-X676/eco)^n),alpha*fck),0)</f>
      </c>
      <c r="Z676" s="30">
        <f>PM_Angle!$J$15+PM_Angle!$K$15*$C676+PM_Angle!$L$15*$B676</f>
      </c>
      <c r="AA676" s="12">
        <f>IF(Z676&gt;0,IF(Z676&lt;=eco,alpha*fck*(1-(1-Z676/eco)^n),alpha*fck),0)</f>
      </c>
      <c r="AB676" s="30">
        <f>PM_Angle!$J$16+PM_Angle!$K$16*$C676+PM_Angle!$L$16*$B676</f>
      </c>
      <c r="AC676" s="12">
        <f>IF(AB676&gt;0,IF(AB676&lt;=eco,alpha*fck*(1-(1-AB676/eco)^n),alpha*fck),0)</f>
      </c>
      <c r="AD676" s="30">
        <f>PM_Angle!$J$17+PM_Angle!$K$17*$C676+PM_Angle!$L$17*$B676</f>
      </c>
      <c r="AE676" s="12">
        <f>IF(AD676&gt;0,IF(AD676&lt;=eco,alpha*fck*(1-(1-AD676/eco)^n),alpha*fck),0)</f>
      </c>
      <c r="AF676" s="30">
        <f>PM_Angle!$J$18+PM_Angle!$K$18*$C676+PM_Angle!$L$18*$B676</f>
      </c>
      <c r="AG676" s="12">
        <f>IF(AF676&gt;0,IF(AF676&lt;=eco,alpha*fck*(1-(1-AF676/eco)^n),alpha*fck),0)</f>
      </c>
      <c r="AH676" s="30">
        <f>PM_Angle!$J$19+PM_Angle!$K$19*$C676+PM_Angle!$L$19*$B676</f>
      </c>
      <c r="AI676" s="12">
        <f>IF(AH676&gt;0,IF(AH676&lt;=eco,alpha*fck*(1-(1-AH676/eco)^n),alpha*fck),0)</f>
      </c>
      <c r="AJ676" s="30">
        <f>PM_Angle!$J$20+PM_Angle!$K$20*$C676+PM_Angle!$L$20*$B676</f>
      </c>
      <c r="AK676" s="12">
        <f>IF(AJ676&gt;0,IF(AJ676&lt;=eco,alpha*fck*(1-(1-AJ676/eco)^n),alpha*fck),0)</f>
      </c>
      <c r="AL676" s="30">
        <f>PM_Angle!$J$21+PM_Angle!$K$21*$C676+PM_Angle!$L$21*$B676</f>
      </c>
      <c r="AM676" s="12">
        <f>IF(AL676&gt;0,IF(AL676&lt;=eco,alpha*fck*(1-(1-AL676/eco)^n),alpha*fck),0)</f>
      </c>
      <c r="AN676" s="30">
        <f>PM_Angle!$J$22+PM_Angle!$K$22*$C676+PM_Angle!$L$22*$B676</f>
      </c>
      <c r="AO676" s="12">
        <f>IF(AN676&gt;0,IF(AN676&lt;=eco,alpha*fck*(1-(1-AN676/eco)^n),alpha*fck),0)</f>
      </c>
      <c r="AP676" s="30">
        <f>PM_Angle!$J$23+PM_Angle!$K$23*$C676+PM_Angle!$L$23*$B676</f>
      </c>
      <c r="AQ676" s="12">
        <f>IF(AP676&gt;0,IF(AP676&lt;=eco,alpha*fck*(1-(1-AP676/eco)^n),alpha*fck),0)</f>
      </c>
      <c r="AR676" s="30">
        <f>PM_Angle!$J$24+PM_Angle!$K$24*$C676+PM_Angle!$L$24*$B676</f>
      </c>
      <c r="AS676" s="12">
        <f>IF(AR676&gt;0,IF(AR676&lt;=eco,alpha*fck*(1-(1-AR676/eco)^n),alpha*fck),0)</f>
      </c>
      <c r="AT676" s="30">
        <f>PM_Angle!$J$25+PM_Angle!$K$25*$C676+PM_Angle!$L$25*$B676</f>
      </c>
      <c r="AU676" s="12">
        <f>IF(AT676&gt;0,IF(AT676&lt;=eco,alpha*fck*(1-(1-AT676/eco)^n),alpha*fck),0)</f>
      </c>
    </row>
    <row r="677" spans="1:47" x14ac:dyDescent="0.25">
      <c r="A677">
        <f>Mesh!A674</f>
      </c>
      <c r="B677" s="12">
        <f>Mesh!B674</f>
      </c>
      <c r="C677" s="12">
        <f>Mesh!C674</f>
      </c>
      <c r="D677" s="12">
        <f>Mesh!D674</f>
      </c>
      <c r="E677" s="30">
        <f>INDEX(St_e0,Det+1)+INDEX(St_kx,Det+1)*C677+INDEX(St_ky,Det+1)*B677</f>
      </c>
      <c r="F677" s="12">
        <f>IF(E677&gt;0,IF(E677&lt;=eco,alpha*fck*(1-(1-E677/eco)^n),alpha*fck),0)</f>
      </c>
      <c r="G677" s="11">
        <f>F677*D677</f>
      </c>
      <c r="H677" s="11">
        <f>G677*C677</f>
      </c>
      <c r="I677" s="11">
        <f>G677*B677</f>
      </c>
      <c r="J677" s="30">
        <f>PM_Angle!$J$7+PM_Angle!$K$7*$C677+PM_Angle!$L$7*$B677</f>
      </c>
      <c r="K677" s="12">
        <f>IF(J677&gt;0,IF(J677&lt;=eco,alpha*fck*(1-(1-J677/eco)^n),alpha*fck),0)</f>
      </c>
      <c r="L677" s="30">
        <f>PM_Angle!$J$8+PM_Angle!$K$8*$C677+PM_Angle!$L$8*$B677</f>
      </c>
      <c r="M677" s="12">
        <f>IF(L677&gt;0,IF(L677&lt;=eco,alpha*fck*(1-(1-L677/eco)^n),alpha*fck),0)</f>
      </c>
      <c r="N677" s="30">
        <f>PM_Angle!$J$9+PM_Angle!$K$9*$C677+PM_Angle!$L$9*$B677</f>
      </c>
      <c r="O677" s="12">
        <f>IF(N677&gt;0,IF(N677&lt;=eco,alpha*fck*(1-(1-N677/eco)^n),alpha*fck),0)</f>
      </c>
      <c r="P677" s="30">
        <f>PM_Angle!$J$10+PM_Angle!$K$10*$C677+PM_Angle!$L$10*$B677</f>
      </c>
      <c r="Q677" s="12">
        <f>IF(P677&gt;0,IF(P677&lt;=eco,alpha*fck*(1-(1-P677/eco)^n),alpha*fck),0)</f>
      </c>
      <c r="R677" s="30">
        <f>PM_Angle!$J$11+PM_Angle!$K$11*$C677+PM_Angle!$L$11*$B677</f>
      </c>
      <c r="S677" s="12">
        <f>IF(R677&gt;0,IF(R677&lt;=eco,alpha*fck*(1-(1-R677/eco)^n),alpha*fck),0)</f>
      </c>
      <c r="T677" s="30">
        <f>PM_Angle!$J$12+PM_Angle!$K$12*$C677+PM_Angle!$L$12*$B677</f>
      </c>
      <c r="U677" s="12">
        <f>IF(T677&gt;0,IF(T677&lt;=eco,alpha*fck*(1-(1-T677/eco)^n),alpha*fck),0)</f>
      </c>
      <c r="V677" s="30">
        <f>PM_Angle!$J$13+PM_Angle!$K$13*$C677+PM_Angle!$L$13*$B677</f>
      </c>
      <c r="W677" s="12">
        <f>IF(V677&gt;0,IF(V677&lt;=eco,alpha*fck*(1-(1-V677/eco)^n),alpha*fck),0)</f>
      </c>
      <c r="X677" s="30">
        <f>PM_Angle!$J$14+PM_Angle!$K$14*$C677+PM_Angle!$L$14*$B677</f>
      </c>
      <c r="Y677" s="12">
        <f>IF(X677&gt;0,IF(X677&lt;=eco,alpha*fck*(1-(1-X677/eco)^n),alpha*fck),0)</f>
      </c>
      <c r="Z677" s="30">
        <f>PM_Angle!$J$15+PM_Angle!$K$15*$C677+PM_Angle!$L$15*$B677</f>
      </c>
      <c r="AA677" s="12">
        <f>IF(Z677&gt;0,IF(Z677&lt;=eco,alpha*fck*(1-(1-Z677/eco)^n),alpha*fck),0)</f>
      </c>
      <c r="AB677" s="30">
        <f>PM_Angle!$J$16+PM_Angle!$K$16*$C677+PM_Angle!$L$16*$B677</f>
      </c>
      <c r="AC677" s="12">
        <f>IF(AB677&gt;0,IF(AB677&lt;=eco,alpha*fck*(1-(1-AB677/eco)^n),alpha*fck),0)</f>
      </c>
      <c r="AD677" s="30">
        <f>PM_Angle!$J$17+PM_Angle!$K$17*$C677+PM_Angle!$L$17*$B677</f>
      </c>
      <c r="AE677" s="12">
        <f>IF(AD677&gt;0,IF(AD677&lt;=eco,alpha*fck*(1-(1-AD677/eco)^n),alpha*fck),0)</f>
      </c>
      <c r="AF677" s="30">
        <f>PM_Angle!$J$18+PM_Angle!$K$18*$C677+PM_Angle!$L$18*$B677</f>
      </c>
      <c r="AG677" s="12">
        <f>IF(AF677&gt;0,IF(AF677&lt;=eco,alpha*fck*(1-(1-AF677/eco)^n),alpha*fck),0)</f>
      </c>
      <c r="AH677" s="30">
        <f>PM_Angle!$J$19+PM_Angle!$K$19*$C677+PM_Angle!$L$19*$B677</f>
      </c>
      <c r="AI677" s="12">
        <f>IF(AH677&gt;0,IF(AH677&lt;=eco,alpha*fck*(1-(1-AH677/eco)^n),alpha*fck),0)</f>
      </c>
      <c r="AJ677" s="30">
        <f>PM_Angle!$J$20+PM_Angle!$K$20*$C677+PM_Angle!$L$20*$B677</f>
      </c>
      <c r="AK677" s="12">
        <f>IF(AJ677&gt;0,IF(AJ677&lt;=eco,alpha*fck*(1-(1-AJ677/eco)^n),alpha*fck),0)</f>
      </c>
      <c r="AL677" s="30">
        <f>PM_Angle!$J$21+PM_Angle!$K$21*$C677+PM_Angle!$L$21*$B677</f>
      </c>
      <c r="AM677" s="12">
        <f>IF(AL677&gt;0,IF(AL677&lt;=eco,alpha*fck*(1-(1-AL677/eco)^n),alpha*fck),0)</f>
      </c>
      <c r="AN677" s="30">
        <f>PM_Angle!$J$22+PM_Angle!$K$22*$C677+PM_Angle!$L$22*$B677</f>
      </c>
      <c r="AO677" s="12">
        <f>IF(AN677&gt;0,IF(AN677&lt;=eco,alpha*fck*(1-(1-AN677/eco)^n),alpha*fck),0)</f>
      </c>
      <c r="AP677" s="30">
        <f>PM_Angle!$J$23+PM_Angle!$K$23*$C677+PM_Angle!$L$23*$B677</f>
      </c>
      <c r="AQ677" s="12">
        <f>IF(AP677&gt;0,IF(AP677&lt;=eco,alpha*fck*(1-(1-AP677/eco)^n),alpha*fck),0)</f>
      </c>
      <c r="AR677" s="30">
        <f>PM_Angle!$J$24+PM_Angle!$K$24*$C677+PM_Angle!$L$24*$B677</f>
      </c>
      <c r="AS677" s="12">
        <f>IF(AR677&gt;0,IF(AR677&lt;=eco,alpha*fck*(1-(1-AR677/eco)^n),alpha*fck),0)</f>
      </c>
      <c r="AT677" s="30">
        <f>PM_Angle!$J$25+PM_Angle!$K$25*$C677+PM_Angle!$L$25*$B677</f>
      </c>
      <c r="AU677" s="12">
        <f>IF(AT677&gt;0,IF(AT677&lt;=eco,alpha*fck*(1-(1-AT677/eco)^n),alpha*fck),0)</f>
      </c>
    </row>
    <row r="678" spans="1:47" x14ac:dyDescent="0.25">
      <c r="A678">
        <f>Mesh!A675</f>
      </c>
      <c r="B678" s="12">
        <f>Mesh!B675</f>
      </c>
      <c r="C678" s="12">
        <f>Mesh!C675</f>
      </c>
      <c r="D678" s="12">
        <f>Mesh!D675</f>
      </c>
      <c r="E678" s="30">
        <f>INDEX(St_e0,Det+1)+INDEX(St_kx,Det+1)*C678+INDEX(St_ky,Det+1)*B678</f>
      </c>
      <c r="F678" s="12">
        <f>IF(E678&gt;0,IF(E678&lt;=eco,alpha*fck*(1-(1-E678/eco)^n),alpha*fck),0)</f>
      </c>
      <c r="G678" s="11">
        <f>F678*D678</f>
      </c>
      <c r="H678" s="11">
        <f>G678*C678</f>
      </c>
      <c r="I678" s="11">
        <f>G678*B678</f>
      </c>
      <c r="J678" s="30">
        <f>PM_Angle!$J$7+PM_Angle!$K$7*$C678+PM_Angle!$L$7*$B678</f>
      </c>
      <c r="K678" s="12">
        <f>IF(J678&gt;0,IF(J678&lt;=eco,alpha*fck*(1-(1-J678/eco)^n),alpha*fck),0)</f>
      </c>
      <c r="L678" s="30">
        <f>PM_Angle!$J$8+PM_Angle!$K$8*$C678+PM_Angle!$L$8*$B678</f>
      </c>
      <c r="M678" s="12">
        <f>IF(L678&gt;0,IF(L678&lt;=eco,alpha*fck*(1-(1-L678/eco)^n),alpha*fck),0)</f>
      </c>
      <c r="N678" s="30">
        <f>PM_Angle!$J$9+PM_Angle!$K$9*$C678+PM_Angle!$L$9*$B678</f>
      </c>
      <c r="O678" s="12">
        <f>IF(N678&gt;0,IF(N678&lt;=eco,alpha*fck*(1-(1-N678/eco)^n),alpha*fck),0)</f>
      </c>
      <c r="P678" s="30">
        <f>PM_Angle!$J$10+PM_Angle!$K$10*$C678+PM_Angle!$L$10*$B678</f>
      </c>
      <c r="Q678" s="12">
        <f>IF(P678&gt;0,IF(P678&lt;=eco,alpha*fck*(1-(1-P678/eco)^n),alpha*fck),0)</f>
      </c>
      <c r="R678" s="30">
        <f>PM_Angle!$J$11+PM_Angle!$K$11*$C678+PM_Angle!$L$11*$B678</f>
      </c>
      <c r="S678" s="12">
        <f>IF(R678&gt;0,IF(R678&lt;=eco,alpha*fck*(1-(1-R678/eco)^n),alpha*fck),0)</f>
      </c>
      <c r="T678" s="30">
        <f>PM_Angle!$J$12+PM_Angle!$K$12*$C678+PM_Angle!$L$12*$B678</f>
      </c>
      <c r="U678" s="12">
        <f>IF(T678&gt;0,IF(T678&lt;=eco,alpha*fck*(1-(1-T678/eco)^n),alpha*fck),0)</f>
      </c>
      <c r="V678" s="30">
        <f>PM_Angle!$J$13+PM_Angle!$K$13*$C678+PM_Angle!$L$13*$B678</f>
      </c>
      <c r="W678" s="12">
        <f>IF(V678&gt;0,IF(V678&lt;=eco,alpha*fck*(1-(1-V678/eco)^n),alpha*fck),0)</f>
      </c>
      <c r="X678" s="30">
        <f>PM_Angle!$J$14+PM_Angle!$K$14*$C678+PM_Angle!$L$14*$B678</f>
      </c>
      <c r="Y678" s="12">
        <f>IF(X678&gt;0,IF(X678&lt;=eco,alpha*fck*(1-(1-X678/eco)^n),alpha*fck),0)</f>
      </c>
      <c r="Z678" s="30">
        <f>PM_Angle!$J$15+PM_Angle!$K$15*$C678+PM_Angle!$L$15*$B678</f>
      </c>
      <c r="AA678" s="12">
        <f>IF(Z678&gt;0,IF(Z678&lt;=eco,alpha*fck*(1-(1-Z678/eco)^n),alpha*fck),0)</f>
      </c>
      <c r="AB678" s="30">
        <f>PM_Angle!$J$16+PM_Angle!$K$16*$C678+PM_Angle!$L$16*$B678</f>
      </c>
      <c r="AC678" s="12">
        <f>IF(AB678&gt;0,IF(AB678&lt;=eco,alpha*fck*(1-(1-AB678/eco)^n),alpha*fck),0)</f>
      </c>
      <c r="AD678" s="30">
        <f>PM_Angle!$J$17+PM_Angle!$K$17*$C678+PM_Angle!$L$17*$B678</f>
      </c>
      <c r="AE678" s="12">
        <f>IF(AD678&gt;0,IF(AD678&lt;=eco,alpha*fck*(1-(1-AD678/eco)^n),alpha*fck),0)</f>
      </c>
      <c r="AF678" s="30">
        <f>PM_Angle!$J$18+PM_Angle!$K$18*$C678+PM_Angle!$L$18*$B678</f>
      </c>
      <c r="AG678" s="12">
        <f>IF(AF678&gt;0,IF(AF678&lt;=eco,alpha*fck*(1-(1-AF678/eco)^n),alpha*fck),0)</f>
      </c>
      <c r="AH678" s="30">
        <f>PM_Angle!$J$19+PM_Angle!$K$19*$C678+PM_Angle!$L$19*$B678</f>
      </c>
      <c r="AI678" s="12">
        <f>IF(AH678&gt;0,IF(AH678&lt;=eco,alpha*fck*(1-(1-AH678/eco)^n),alpha*fck),0)</f>
      </c>
      <c r="AJ678" s="30">
        <f>PM_Angle!$J$20+PM_Angle!$K$20*$C678+PM_Angle!$L$20*$B678</f>
      </c>
      <c r="AK678" s="12">
        <f>IF(AJ678&gt;0,IF(AJ678&lt;=eco,alpha*fck*(1-(1-AJ678/eco)^n),alpha*fck),0)</f>
      </c>
      <c r="AL678" s="30">
        <f>PM_Angle!$J$21+PM_Angle!$K$21*$C678+PM_Angle!$L$21*$B678</f>
      </c>
      <c r="AM678" s="12">
        <f>IF(AL678&gt;0,IF(AL678&lt;=eco,alpha*fck*(1-(1-AL678/eco)^n),alpha*fck),0)</f>
      </c>
      <c r="AN678" s="30">
        <f>PM_Angle!$J$22+PM_Angle!$K$22*$C678+PM_Angle!$L$22*$B678</f>
      </c>
      <c r="AO678" s="12">
        <f>IF(AN678&gt;0,IF(AN678&lt;=eco,alpha*fck*(1-(1-AN678/eco)^n),alpha*fck),0)</f>
      </c>
      <c r="AP678" s="30">
        <f>PM_Angle!$J$23+PM_Angle!$K$23*$C678+PM_Angle!$L$23*$B678</f>
      </c>
      <c r="AQ678" s="12">
        <f>IF(AP678&gt;0,IF(AP678&lt;=eco,alpha*fck*(1-(1-AP678/eco)^n),alpha*fck),0)</f>
      </c>
      <c r="AR678" s="30">
        <f>PM_Angle!$J$24+PM_Angle!$K$24*$C678+PM_Angle!$L$24*$B678</f>
      </c>
      <c r="AS678" s="12">
        <f>IF(AR678&gt;0,IF(AR678&lt;=eco,alpha*fck*(1-(1-AR678/eco)^n),alpha*fck),0)</f>
      </c>
      <c r="AT678" s="30">
        <f>PM_Angle!$J$25+PM_Angle!$K$25*$C678+PM_Angle!$L$25*$B678</f>
      </c>
      <c r="AU678" s="12">
        <f>IF(AT678&gt;0,IF(AT678&lt;=eco,alpha*fck*(1-(1-AT678/eco)^n),alpha*fck),0)</f>
      </c>
    </row>
    <row r="679" spans="1:47" x14ac:dyDescent="0.25">
      <c r="A679">
        <f>Mesh!A676</f>
      </c>
      <c r="B679" s="12">
        <f>Mesh!B676</f>
      </c>
      <c r="C679" s="12">
        <f>Mesh!C676</f>
      </c>
      <c r="D679" s="12">
        <f>Mesh!D676</f>
      </c>
      <c r="E679" s="30">
        <f>INDEX(St_e0,Det+1)+INDEX(St_kx,Det+1)*C679+INDEX(St_ky,Det+1)*B679</f>
      </c>
      <c r="F679" s="12">
        <f>IF(E679&gt;0,IF(E679&lt;=eco,alpha*fck*(1-(1-E679/eco)^n),alpha*fck),0)</f>
      </c>
      <c r="G679" s="11">
        <f>F679*D679</f>
      </c>
      <c r="H679" s="11">
        <f>G679*C679</f>
      </c>
      <c r="I679" s="11">
        <f>G679*B679</f>
      </c>
      <c r="J679" s="30">
        <f>PM_Angle!$J$7+PM_Angle!$K$7*$C679+PM_Angle!$L$7*$B679</f>
      </c>
      <c r="K679" s="12">
        <f>IF(J679&gt;0,IF(J679&lt;=eco,alpha*fck*(1-(1-J679/eco)^n),alpha*fck),0)</f>
      </c>
      <c r="L679" s="30">
        <f>PM_Angle!$J$8+PM_Angle!$K$8*$C679+PM_Angle!$L$8*$B679</f>
      </c>
      <c r="M679" s="12">
        <f>IF(L679&gt;0,IF(L679&lt;=eco,alpha*fck*(1-(1-L679/eco)^n),alpha*fck),0)</f>
      </c>
      <c r="N679" s="30">
        <f>PM_Angle!$J$9+PM_Angle!$K$9*$C679+PM_Angle!$L$9*$B679</f>
      </c>
      <c r="O679" s="12">
        <f>IF(N679&gt;0,IF(N679&lt;=eco,alpha*fck*(1-(1-N679/eco)^n),alpha*fck),0)</f>
      </c>
      <c r="P679" s="30">
        <f>PM_Angle!$J$10+PM_Angle!$K$10*$C679+PM_Angle!$L$10*$B679</f>
      </c>
      <c r="Q679" s="12">
        <f>IF(P679&gt;0,IF(P679&lt;=eco,alpha*fck*(1-(1-P679/eco)^n),alpha*fck),0)</f>
      </c>
      <c r="R679" s="30">
        <f>PM_Angle!$J$11+PM_Angle!$K$11*$C679+PM_Angle!$L$11*$B679</f>
      </c>
      <c r="S679" s="12">
        <f>IF(R679&gt;0,IF(R679&lt;=eco,alpha*fck*(1-(1-R679/eco)^n),alpha*fck),0)</f>
      </c>
      <c r="T679" s="30">
        <f>PM_Angle!$J$12+PM_Angle!$K$12*$C679+PM_Angle!$L$12*$B679</f>
      </c>
      <c r="U679" s="12">
        <f>IF(T679&gt;0,IF(T679&lt;=eco,alpha*fck*(1-(1-T679/eco)^n),alpha*fck),0)</f>
      </c>
      <c r="V679" s="30">
        <f>PM_Angle!$J$13+PM_Angle!$K$13*$C679+PM_Angle!$L$13*$B679</f>
      </c>
      <c r="W679" s="12">
        <f>IF(V679&gt;0,IF(V679&lt;=eco,alpha*fck*(1-(1-V679/eco)^n),alpha*fck),0)</f>
      </c>
      <c r="X679" s="30">
        <f>PM_Angle!$J$14+PM_Angle!$K$14*$C679+PM_Angle!$L$14*$B679</f>
      </c>
      <c r="Y679" s="12">
        <f>IF(X679&gt;0,IF(X679&lt;=eco,alpha*fck*(1-(1-X679/eco)^n),alpha*fck),0)</f>
      </c>
      <c r="Z679" s="30">
        <f>PM_Angle!$J$15+PM_Angle!$K$15*$C679+PM_Angle!$L$15*$B679</f>
      </c>
      <c r="AA679" s="12">
        <f>IF(Z679&gt;0,IF(Z679&lt;=eco,alpha*fck*(1-(1-Z679/eco)^n),alpha*fck),0)</f>
      </c>
      <c r="AB679" s="30">
        <f>PM_Angle!$J$16+PM_Angle!$K$16*$C679+PM_Angle!$L$16*$B679</f>
      </c>
      <c r="AC679" s="12">
        <f>IF(AB679&gt;0,IF(AB679&lt;=eco,alpha*fck*(1-(1-AB679/eco)^n),alpha*fck),0)</f>
      </c>
      <c r="AD679" s="30">
        <f>PM_Angle!$J$17+PM_Angle!$K$17*$C679+PM_Angle!$L$17*$B679</f>
      </c>
      <c r="AE679" s="12">
        <f>IF(AD679&gt;0,IF(AD679&lt;=eco,alpha*fck*(1-(1-AD679/eco)^n),alpha*fck),0)</f>
      </c>
      <c r="AF679" s="30">
        <f>PM_Angle!$J$18+PM_Angle!$K$18*$C679+PM_Angle!$L$18*$B679</f>
      </c>
      <c r="AG679" s="12">
        <f>IF(AF679&gt;0,IF(AF679&lt;=eco,alpha*fck*(1-(1-AF679/eco)^n),alpha*fck),0)</f>
      </c>
      <c r="AH679" s="30">
        <f>PM_Angle!$J$19+PM_Angle!$K$19*$C679+PM_Angle!$L$19*$B679</f>
      </c>
      <c r="AI679" s="12">
        <f>IF(AH679&gt;0,IF(AH679&lt;=eco,alpha*fck*(1-(1-AH679/eco)^n),alpha*fck),0)</f>
      </c>
      <c r="AJ679" s="30">
        <f>PM_Angle!$J$20+PM_Angle!$K$20*$C679+PM_Angle!$L$20*$B679</f>
      </c>
      <c r="AK679" s="12">
        <f>IF(AJ679&gt;0,IF(AJ679&lt;=eco,alpha*fck*(1-(1-AJ679/eco)^n),alpha*fck),0)</f>
      </c>
      <c r="AL679" s="30">
        <f>PM_Angle!$J$21+PM_Angle!$K$21*$C679+PM_Angle!$L$21*$B679</f>
      </c>
      <c r="AM679" s="12">
        <f>IF(AL679&gt;0,IF(AL679&lt;=eco,alpha*fck*(1-(1-AL679/eco)^n),alpha*fck),0)</f>
      </c>
      <c r="AN679" s="30">
        <f>PM_Angle!$J$22+PM_Angle!$K$22*$C679+PM_Angle!$L$22*$B679</f>
      </c>
      <c r="AO679" s="12">
        <f>IF(AN679&gt;0,IF(AN679&lt;=eco,alpha*fck*(1-(1-AN679/eco)^n),alpha*fck),0)</f>
      </c>
      <c r="AP679" s="30">
        <f>PM_Angle!$J$23+PM_Angle!$K$23*$C679+PM_Angle!$L$23*$B679</f>
      </c>
      <c r="AQ679" s="12">
        <f>IF(AP679&gt;0,IF(AP679&lt;=eco,alpha*fck*(1-(1-AP679/eco)^n),alpha*fck),0)</f>
      </c>
      <c r="AR679" s="30">
        <f>PM_Angle!$J$24+PM_Angle!$K$24*$C679+PM_Angle!$L$24*$B679</f>
      </c>
      <c r="AS679" s="12">
        <f>IF(AR679&gt;0,IF(AR679&lt;=eco,alpha*fck*(1-(1-AR679/eco)^n),alpha*fck),0)</f>
      </c>
      <c r="AT679" s="30">
        <f>PM_Angle!$J$25+PM_Angle!$K$25*$C679+PM_Angle!$L$25*$B679</f>
      </c>
      <c r="AU679" s="12">
        <f>IF(AT679&gt;0,IF(AT679&lt;=eco,alpha*fck*(1-(1-AT679/eco)^n),alpha*fck),0)</f>
      </c>
    </row>
    <row r="680" spans="1:47" x14ac:dyDescent="0.25">
      <c r="A680">
        <f>Mesh!A677</f>
      </c>
      <c r="B680" s="12">
        <f>Mesh!B677</f>
      </c>
      <c r="C680" s="12">
        <f>Mesh!C677</f>
      </c>
      <c r="D680" s="12">
        <f>Mesh!D677</f>
      </c>
      <c r="E680" s="30">
        <f>INDEX(St_e0,Det+1)+INDEX(St_kx,Det+1)*C680+INDEX(St_ky,Det+1)*B680</f>
      </c>
      <c r="F680" s="12">
        <f>IF(E680&gt;0,IF(E680&lt;=eco,alpha*fck*(1-(1-E680/eco)^n),alpha*fck),0)</f>
      </c>
      <c r="G680" s="11">
        <f>F680*D680</f>
      </c>
      <c r="H680" s="11">
        <f>G680*C680</f>
      </c>
      <c r="I680" s="11">
        <f>G680*B680</f>
      </c>
      <c r="J680" s="30">
        <f>PM_Angle!$J$7+PM_Angle!$K$7*$C680+PM_Angle!$L$7*$B680</f>
      </c>
      <c r="K680" s="12">
        <f>IF(J680&gt;0,IF(J680&lt;=eco,alpha*fck*(1-(1-J680/eco)^n),alpha*fck),0)</f>
      </c>
      <c r="L680" s="30">
        <f>PM_Angle!$J$8+PM_Angle!$K$8*$C680+PM_Angle!$L$8*$B680</f>
      </c>
      <c r="M680" s="12">
        <f>IF(L680&gt;0,IF(L680&lt;=eco,alpha*fck*(1-(1-L680/eco)^n),alpha*fck),0)</f>
      </c>
      <c r="N680" s="30">
        <f>PM_Angle!$J$9+PM_Angle!$K$9*$C680+PM_Angle!$L$9*$B680</f>
      </c>
      <c r="O680" s="12">
        <f>IF(N680&gt;0,IF(N680&lt;=eco,alpha*fck*(1-(1-N680/eco)^n),alpha*fck),0)</f>
      </c>
      <c r="P680" s="30">
        <f>PM_Angle!$J$10+PM_Angle!$K$10*$C680+PM_Angle!$L$10*$B680</f>
      </c>
      <c r="Q680" s="12">
        <f>IF(P680&gt;0,IF(P680&lt;=eco,alpha*fck*(1-(1-P680/eco)^n),alpha*fck),0)</f>
      </c>
      <c r="R680" s="30">
        <f>PM_Angle!$J$11+PM_Angle!$K$11*$C680+PM_Angle!$L$11*$B680</f>
      </c>
      <c r="S680" s="12">
        <f>IF(R680&gt;0,IF(R680&lt;=eco,alpha*fck*(1-(1-R680/eco)^n),alpha*fck),0)</f>
      </c>
      <c r="T680" s="30">
        <f>PM_Angle!$J$12+PM_Angle!$K$12*$C680+PM_Angle!$L$12*$B680</f>
      </c>
      <c r="U680" s="12">
        <f>IF(T680&gt;0,IF(T680&lt;=eco,alpha*fck*(1-(1-T680/eco)^n),alpha*fck),0)</f>
      </c>
      <c r="V680" s="30">
        <f>PM_Angle!$J$13+PM_Angle!$K$13*$C680+PM_Angle!$L$13*$B680</f>
      </c>
      <c r="W680" s="12">
        <f>IF(V680&gt;0,IF(V680&lt;=eco,alpha*fck*(1-(1-V680/eco)^n),alpha*fck),0)</f>
      </c>
      <c r="X680" s="30">
        <f>PM_Angle!$J$14+PM_Angle!$K$14*$C680+PM_Angle!$L$14*$B680</f>
      </c>
      <c r="Y680" s="12">
        <f>IF(X680&gt;0,IF(X680&lt;=eco,alpha*fck*(1-(1-X680/eco)^n),alpha*fck),0)</f>
      </c>
      <c r="Z680" s="30">
        <f>PM_Angle!$J$15+PM_Angle!$K$15*$C680+PM_Angle!$L$15*$B680</f>
      </c>
      <c r="AA680" s="12">
        <f>IF(Z680&gt;0,IF(Z680&lt;=eco,alpha*fck*(1-(1-Z680/eco)^n),alpha*fck),0)</f>
      </c>
      <c r="AB680" s="30">
        <f>PM_Angle!$J$16+PM_Angle!$K$16*$C680+PM_Angle!$L$16*$B680</f>
      </c>
      <c r="AC680" s="12">
        <f>IF(AB680&gt;0,IF(AB680&lt;=eco,alpha*fck*(1-(1-AB680/eco)^n),alpha*fck),0)</f>
      </c>
      <c r="AD680" s="30">
        <f>PM_Angle!$J$17+PM_Angle!$K$17*$C680+PM_Angle!$L$17*$B680</f>
      </c>
      <c r="AE680" s="12">
        <f>IF(AD680&gt;0,IF(AD680&lt;=eco,alpha*fck*(1-(1-AD680/eco)^n),alpha*fck),0)</f>
      </c>
      <c r="AF680" s="30">
        <f>PM_Angle!$J$18+PM_Angle!$K$18*$C680+PM_Angle!$L$18*$B680</f>
      </c>
      <c r="AG680" s="12">
        <f>IF(AF680&gt;0,IF(AF680&lt;=eco,alpha*fck*(1-(1-AF680/eco)^n),alpha*fck),0)</f>
      </c>
      <c r="AH680" s="30">
        <f>PM_Angle!$J$19+PM_Angle!$K$19*$C680+PM_Angle!$L$19*$B680</f>
      </c>
      <c r="AI680" s="12">
        <f>IF(AH680&gt;0,IF(AH680&lt;=eco,alpha*fck*(1-(1-AH680/eco)^n),alpha*fck),0)</f>
      </c>
      <c r="AJ680" s="30">
        <f>PM_Angle!$J$20+PM_Angle!$K$20*$C680+PM_Angle!$L$20*$B680</f>
      </c>
      <c r="AK680" s="12">
        <f>IF(AJ680&gt;0,IF(AJ680&lt;=eco,alpha*fck*(1-(1-AJ680/eco)^n),alpha*fck),0)</f>
      </c>
      <c r="AL680" s="30">
        <f>PM_Angle!$J$21+PM_Angle!$K$21*$C680+PM_Angle!$L$21*$B680</f>
      </c>
      <c r="AM680" s="12">
        <f>IF(AL680&gt;0,IF(AL680&lt;=eco,alpha*fck*(1-(1-AL680/eco)^n),alpha*fck),0)</f>
      </c>
      <c r="AN680" s="30">
        <f>PM_Angle!$J$22+PM_Angle!$K$22*$C680+PM_Angle!$L$22*$B680</f>
      </c>
      <c r="AO680" s="12">
        <f>IF(AN680&gt;0,IF(AN680&lt;=eco,alpha*fck*(1-(1-AN680/eco)^n),alpha*fck),0)</f>
      </c>
      <c r="AP680" s="30">
        <f>PM_Angle!$J$23+PM_Angle!$K$23*$C680+PM_Angle!$L$23*$B680</f>
      </c>
      <c r="AQ680" s="12">
        <f>IF(AP680&gt;0,IF(AP680&lt;=eco,alpha*fck*(1-(1-AP680/eco)^n),alpha*fck),0)</f>
      </c>
      <c r="AR680" s="30">
        <f>PM_Angle!$J$24+PM_Angle!$K$24*$C680+PM_Angle!$L$24*$B680</f>
      </c>
      <c r="AS680" s="12">
        <f>IF(AR680&gt;0,IF(AR680&lt;=eco,alpha*fck*(1-(1-AR680/eco)^n),alpha*fck),0)</f>
      </c>
      <c r="AT680" s="30">
        <f>PM_Angle!$J$25+PM_Angle!$K$25*$C680+PM_Angle!$L$25*$B680</f>
      </c>
      <c r="AU680" s="12">
        <f>IF(AT680&gt;0,IF(AT680&lt;=eco,alpha*fck*(1-(1-AT680/eco)^n),alpha*fck),0)</f>
      </c>
    </row>
    <row r="681" spans="1:47" x14ac:dyDescent="0.25">
      <c r="A681">
        <f>Mesh!A678</f>
      </c>
      <c r="B681" s="12">
        <f>Mesh!B678</f>
      </c>
      <c r="C681" s="12">
        <f>Mesh!C678</f>
      </c>
      <c r="D681" s="12">
        <f>Mesh!D678</f>
      </c>
      <c r="E681" s="30">
        <f>INDEX(St_e0,Det+1)+INDEX(St_kx,Det+1)*C681+INDEX(St_ky,Det+1)*B681</f>
      </c>
      <c r="F681" s="12">
        <f>IF(E681&gt;0,IF(E681&lt;=eco,alpha*fck*(1-(1-E681/eco)^n),alpha*fck),0)</f>
      </c>
      <c r="G681" s="11">
        <f>F681*D681</f>
      </c>
      <c r="H681" s="11">
        <f>G681*C681</f>
      </c>
      <c r="I681" s="11">
        <f>G681*B681</f>
      </c>
      <c r="J681" s="30">
        <f>PM_Angle!$J$7+PM_Angle!$K$7*$C681+PM_Angle!$L$7*$B681</f>
      </c>
      <c r="K681" s="12">
        <f>IF(J681&gt;0,IF(J681&lt;=eco,alpha*fck*(1-(1-J681/eco)^n),alpha*fck),0)</f>
      </c>
      <c r="L681" s="30">
        <f>PM_Angle!$J$8+PM_Angle!$K$8*$C681+PM_Angle!$L$8*$B681</f>
      </c>
      <c r="M681" s="12">
        <f>IF(L681&gt;0,IF(L681&lt;=eco,alpha*fck*(1-(1-L681/eco)^n),alpha*fck),0)</f>
      </c>
      <c r="N681" s="30">
        <f>PM_Angle!$J$9+PM_Angle!$K$9*$C681+PM_Angle!$L$9*$B681</f>
      </c>
      <c r="O681" s="12">
        <f>IF(N681&gt;0,IF(N681&lt;=eco,alpha*fck*(1-(1-N681/eco)^n),alpha*fck),0)</f>
      </c>
      <c r="P681" s="30">
        <f>PM_Angle!$J$10+PM_Angle!$K$10*$C681+PM_Angle!$L$10*$B681</f>
      </c>
      <c r="Q681" s="12">
        <f>IF(P681&gt;0,IF(P681&lt;=eco,alpha*fck*(1-(1-P681/eco)^n),alpha*fck),0)</f>
      </c>
      <c r="R681" s="30">
        <f>PM_Angle!$J$11+PM_Angle!$K$11*$C681+PM_Angle!$L$11*$B681</f>
      </c>
      <c r="S681" s="12">
        <f>IF(R681&gt;0,IF(R681&lt;=eco,alpha*fck*(1-(1-R681/eco)^n),alpha*fck),0)</f>
      </c>
      <c r="T681" s="30">
        <f>PM_Angle!$J$12+PM_Angle!$K$12*$C681+PM_Angle!$L$12*$B681</f>
      </c>
      <c r="U681" s="12">
        <f>IF(T681&gt;0,IF(T681&lt;=eco,alpha*fck*(1-(1-T681/eco)^n),alpha*fck),0)</f>
      </c>
      <c r="V681" s="30">
        <f>PM_Angle!$J$13+PM_Angle!$K$13*$C681+PM_Angle!$L$13*$B681</f>
      </c>
      <c r="W681" s="12">
        <f>IF(V681&gt;0,IF(V681&lt;=eco,alpha*fck*(1-(1-V681/eco)^n),alpha*fck),0)</f>
      </c>
      <c r="X681" s="30">
        <f>PM_Angle!$J$14+PM_Angle!$K$14*$C681+PM_Angle!$L$14*$B681</f>
      </c>
      <c r="Y681" s="12">
        <f>IF(X681&gt;0,IF(X681&lt;=eco,alpha*fck*(1-(1-X681/eco)^n),alpha*fck),0)</f>
      </c>
      <c r="Z681" s="30">
        <f>PM_Angle!$J$15+PM_Angle!$K$15*$C681+PM_Angle!$L$15*$B681</f>
      </c>
      <c r="AA681" s="12">
        <f>IF(Z681&gt;0,IF(Z681&lt;=eco,alpha*fck*(1-(1-Z681/eco)^n),alpha*fck),0)</f>
      </c>
      <c r="AB681" s="30">
        <f>PM_Angle!$J$16+PM_Angle!$K$16*$C681+PM_Angle!$L$16*$B681</f>
      </c>
      <c r="AC681" s="12">
        <f>IF(AB681&gt;0,IF(AB681&lt;=eco,alpha*fck*(1-(1-AB681/eco)^n),alpha*fck),0)</f>
      </c>
      <c r="AD681" s="30">
        <f>PM_Angle!$J$17+PM_Angle!$K$17*$C681+PM_Angle!$L$17*$B681</f>
      </c>
      <c r="AE681" s="12">
        <f>IF(AD681&gt;0,IF(AD681&lt;=eco,alpha*fck*(1-(1-AD681/eco)^n),alpha*fck),0)</f>
      </c>
      <c r="AF681" s="30">
        <f>PM_Angle!$J$18+PM_Angle!$K$18*$C681+PM_Angle!$L$18*$B681</f>
      </c>
      <c r="AG681" s="12">
        <f>IF(AF681&gt;0,IF(AF681&lt;=eco,alpha*fck*(1-(1-AF681/eco)^n),alpha*fck),0)</f>
      </c>
      <c r="AH681" s="30">
        <f>PM_Angle!$J$19+PM_Angle!$K$19*$C681+PM_Angle!$L$19*$B681</f>
      </c>
      <c r="AI681" s="12">
        <f>IF(AH681&gt;0,IF(AH681&lt;=eco,alpha*fck*(1-(1-AH681/eco)^n),alpha*fck),0)</f>
      </c>
      <c r="AJ681" s="30">
        <f>PM_Angle!$J$20+PM_Angle!$K$20*$C681+PM_Angle!$L$20*$B681</f>
      </c>
      <c r="AK681" s="12">
        <f>IF(AJ681&gt;0,IF(AJ681&lt;=eco,alpha*fck*(1-(1-AJ681/eco)^n),alpha*fck),0)</f>
      </c>
      <c r="AL681" s="30">
        <f>PM_Angle!$J$21+PM_Angle!$K$21*$C681+PM_Angle!$L$21*$B681</f>
      </c>
      <c r="AM681" s="12">
        <f>IF(AL681&gt;0,IF(AL681&lt;=eco,alpha*fck*(1-(1-AL681/eco)^n),alpha*fck),0)</f>
      </c>
      <c r="AN681" s="30">
        <f>PM_Angle!$J$22+PM_Angle!$K$22*$C681+PM_Angle!$L$22*$B681</f>
      </c>
      <c r="AO681" s="12">
        <f>IF(AN681&gt;0,IF(AN681&lt;=eco,alpha*fck*(1-(1-AN681/eco)^n),alpha*fck),0)</f>
      </c>
      <c r="AP681" s="30">
        <f>PM_Angle!$J$23+PM_Angle!$K$23*$C681+PM_Angle!$L$23*$B681</f>
      </c>
      <c r="AQ681" s="12">
        <f>IF(AP681&gt;0,IF(AP681&lt;=eco,alpha*fck*(1-(1-AP681/eco)^n),alpha*fck),0)</f>
      </c>
      <c r="AR681" s="30">
        <f>PM_Angle!$J$24+PM_Angle!$K$24*$C681+PM_Angle!$L$24*$B681</f>
      </c>
      <c r="AS681" s="12">
        <f>IF(AR681&gt;0,IF(AR681&lt;=eco,alpha*fck*(1-(1-AR681/eco)^n),alpha*fck),0)</f>
      </c>
      <c r="AT681" s="30">
        <f>PM_Angle!$J$25+PM_Angle!$K$25*$C681+PM_Angle!$L$25*$B681</f>
      </c>
      <c r="AU681" s="12">
        <f>IF(AT681&gt;0,IF(AT681&lt;=eco,alpha*fck*(1-(1-AT681/eco)^n),alpha*fck),0)</f>
      </c>
    </row>
    <row r="682" spans="1:47" x14ac:dyDescent="0.25">
      <c r="A682">
        <f>Mesh!A679</f>
      </c>
      <c r="B682" s="12">
        <f>Mesh!B679</f>
      </c>
      <c r="C682" s="12">
        <f>Mesh!C679</f>
      </c>
      <c r="D682" s="12">
        <f>Mesh!D679</f>
      </c>
      <c r="E682" s="30">
        <f>INDEX(St_e0,Det+1)+INDEX(St_kx,Det+1)*C682+INDEX(St_ky,Det+1)*B682</f>
      </c>
      <c r="F682" s="12">
        <f>IF(E682&gt;0,IF(E682&lt;=eco,alpha*fck*(1-(1-E682/eco)^n),alpha*fck),0)</f>
      </c>
      <c r="G682" s="11">
        <f>F682*D682</f>
      </c>
      <c r="H682" s="11">
        <f>G682*C682</f>
      </c>
      <c r="I682" s="11">
        <f>G682*B682</f>
      </c>
      <c r="J682" s="30">
        <f>PM_Angle!$J$7+PM_Angle!$K$7*$C682+PM_Angle!$L$7*$B682</f>
      </c>
      <c r="K682" s="12">
        <f>IF(J682&gt;0,IF(J682&lt;=eco,alpha*fck*(1-(1-J682/eco)^n),alpha*fck),0)</f>
      </c>
      <c r="L682" s="30">
        <f>PM_Angle!$J$8+PM_Angle!$K$8*$C682+PM_Angle!$L$8*$B682</f>
      </c>
      <c r="M682" s="12">
        <f>IF(L682&gt;0,IF(L682&lt;=eco,alpha*fck*(1-(1-L682/eco)^n),alpha*fck),0)</f>
      </c>
      <c r="N682" s="30">
        <f>PM_Angle!$J$9+PM_Angle!$K$9*$C682+PM_Angle!$L$9*$B682</f>
      </c>
      <c r="O682" s="12">
        <f>IF(N682&gt;0,IF(N682&lt;=eco,alpha*fck*(1-(1-N682/eco)^n),alpha*fck),0)</f>
      </c>
      <c r="P682" s="30">
        <f>PM_Angle!$J$10+PM_Angle!$K$10*$C682+PM_Angle!$L$10*$B682</f>
      </c>
      <c r="Q682" s="12">
        <f>IF(P682&gt;0,IF(P682&lt;=eco,alpha*fck*(1-(1-P682/eco)^n),alpha*fck),0)</f>
      </c>
      <c r="R682" s="30">
        <f>PM_Angle!$J$11+PM_Angle!$K$11*$C682+PM_Angle!$L$11*$B682</f>
      </c>
      <c r="S682" s="12">
        <f>IF(R682&gt;0,IF(R682&lt;=eco,alpha*fck*(1-(1-R682/eco)^n),alpha*fck),0)</f>
      </c>
      <c r="T682" s="30">
        <f>PM_Angle!$J$12+PM_Angle!$K$12*$C682+PM_Angle!$L$12*$B682</f>
      </c>
      <c r="U682" s="12">
        <f>IF(T682&gt;0,IF(T682&lt;=eco,alpha*fck*(1-(1-T682/eco)^n),alpha*fck),0)</f>
      </c>
      <c r="V682" s="30">
        <f>PM_Angle!$J$13+PM_Angle!$K$13*$C682+PM_Angle!$L$13*$B682</f>
      </c>
      <c r="W682" s="12">
        <f>IF(V682&gt;0,IF(V682&lt;=eco,alpha*fck*(1-(1-V682/eco)^n),alpha*fck),0)</f>
      </c>
      <c r="X682" s="30">
        <f>PM_Angle!$J$14+PM_Angle!$K$14*$C682+PM_Angle!$L$14*$B682</f>
      </c>
      <c r="Y682" s="12">
        <f>IF(X682&gt;0,IF(X682&lt;=eco,alpha*fck*(1-(1-X682/eco)^n),alpha*fck),0)</f>
      </c>
      <c r="Z682" s="30">
        <f>PM_Angle!$J$15+PM_Angle!$K$15*$C682+PM_Angle!$L$15*$B682</f>
      </c>
      <c r="AA682" s="12">
        <f>IF(Z682&gt;0,IF(Z682&lt;=eco,alpha*fck*(1-(1-Z682/eco)^n),alpha*fck),0)</f>
      </c>
      <c r="AB682" s="30">
        <f>PM_Angle!$J$16+PM_Angle!$K$16*$C682+PM_Angle!$L$16*$B682</f>
      </c>
      <c r="AC682" s="12">
        <f>IF(AB682&gt;0,IF(AB682&lt;=eco,alpha*fck*(1-(1-AB682/eco)^n),alpha*fck),0)</f>
      </c>
      <c r="AD682" s="30">
        <f>PM_Angle!$J$17+PM_Angle!$K$17*$C682+PM_Angle!$L$17*$B682</f>
      </c>
      <c r="AE682" s="12">
        <f>IF(AD682&gt;0,IF(AD682&lt;=eco,alpha*fck*(1-(1-AD682/eco)^n),alpha*fck),0)</f>
      </c>
      <c r="AF682" s="30">
        <f>PM_Angle!$J$18+PM_Angle!$K$18*$C682+PM_Angle!$L$18*$B682</f>
      </c>
      <c r="AG682" s="12">
        <f>IF(AF682&gt;0,IF(AF682&lt;=eco,alpha*fck*(1-(1-AF682/eco)^n),alpha*fck),0)</f>
      </c>
      <c r="AH682" s="30">
        <f>PM_Angle!$J$19+PM_Angle!$K$19*$C682+PM_Angle!$L$19*$B682</f>
      </c>
      <c r="AI682" s="12">
        <f>IF(AH682&gt;0,IF(AH682&lt;=eco,alpha*fck*(1-(1-AH682/eco)^n),alpha*fck),0)</f>
      </c>
      <c r="AJ682" s="30">
        <f>PM_Angle!$J$20+PM_Angle!$K$20*$C682+PM_Angle!$L$20*$B682</f>
      </c>
      <c r="AK682" s="12">
        <f>IF(AJ682&gt;0,IF(AJ682&lt;=eco,alpha*fck*(1-(1-AJ682/eco)^n),alpha*fck),0)</f>
      </c>
      <c r="AL682" s="30">
        <f>PM_Angle!$J$21+PM_Angle!$K$21*$C682+PM_Angle!$L$21*$B682</f>
      </c>
      <c r="AM682" s="12">
        <f>IF(AL682&gt;0,IF(AL682&lt;=eco,alpha*fck*(1-(1-AL682/eco)^n),alpha*fck),0)</f>
      </c>
      <c r="AN682" s="30">
        <f>PM_Angle!$J$22+PM_Angle!$K$22*$C682+PM_Angle!$L$22*$B682</f>
      </c>
      <c r="AO682" s="12">
        <f>IF(AN682&gt;0,IF(AN682&lt;=eco,alpha*fck*(1-(1-AN682/eco)^n),alpha*fck),0)</f>
      </c>
      <c r="AP682" s="30">
        <f>PM_Angle!$J$23+PM_Angle!$K$23*$C682+PM_Angle!$L$23*$B682</f>
      </c>
      <c r="AQ682" s="12">
        <f>IF(AP682&gt;0,IF(AP682&lt;=eco,alpha*fck*(1-(1-AP682/eco)^n),alpha*fck),0)</f>
      </c>
      <c r="AR682" s="30">
        <f>PM_Angle!$J$24+PM_Angle!$K$24*$C682+PM_Angle!$L$24*$B682</f>
      </c>
      <c r="AS682" s="12">
        <f>IF(AR682&gt;0,IF(AR682&lt;=eco,alpha*fck*(1-(1-AR682/eco)^n),alpha*fck),0)</f>
      </c>
      <c r="AT682" s="30">
        <f>PM_Angle!$J$25+PM_Angle!$K$25*$C682+PM_Angle!$L$25*$B682</f>
      </c>
      <c r="AU682" s="12">
        <f>IF(AT682&gt;0,IF(AT682&lt;=eco,alpha*fck*(1-(1-AT682/eco)^n),alpha*fck),0)</f>
      </c>
    </row>
    <row r="683" spans="1:47" x14ac:dyDescent="0.25">
      <c r="A683">
        <f>Mesh!A680</f>
      </c>
      <c r="B683" s="12">
        <f>Mesh!B680</f>
      </c>
      <c r="C683" s="12">
        <f>Mesh!C680</f>
      </c>
      <c r="D683" s="12">
        <f>Mesh!D680</f>
      </c>
      <c r="E683" s="30">
        <f>INDEX(St_e0,Det+1)+INDEX(St_kx,Det+1)*C683+INDEX(St_ky,Det+1)*B683</f>
      </c>
      <c r="F683" s="12">
        <f>IF(E683&gt;0,IF(E683&lt;=eco,alpha*fck*(1-(1-E683/eco)^n),alpha*fck),0)</f>
      </c>
      <c r="G683" s="11">
        <f>F683*D683</f>
      </c>
      <c r="H683" s="11">
        <f>G683*C683</f>
      </c>
      <c r="I683" s="11">
        <f>G683*B683</f>
      </c>
      <c r="J683" s="30">
        <f>PM_Angle!$J$7+PM_Angle!$K$7*$C683+PM_Angle!$L$7*$B683</f>
      </c>
      <c r="K683" s="12">
        <f>IF(J683&gt;0,IF(J683&lt;=eco,alpha*fck*(1-(1-J683/eco)^n),alpha*fck),0)</f>
      </c>
      <c r="L683" s="30">
        <f>PM_Angle!$J$8+PM_Angle!$K$8*$C683+PM_Angle!$L$8*$B683</f>
      </c>
      <c r="M683" s="12">
        <f>IF(L683&gt;0,IF(L683&lt;=eco,alpha*fck*(1-(1-L683/eco)^n),alpha*fck),0)</f>
      </c>
      <c r="N683" s="30">
        <f>PM_Angle!$J$9+PM_Angle!$K$9*$C683+PM_Angle!$L$9*$B683</f>
      </c>
      <c r="O683" s="12">
        <f>IF(N683&gt;0,IF(N683&lt;=eco,alpha*fck*(1-(1-N683/eco)^n),alpha*fck),0)</f>
      </c>
      <c r="P683" s="30">
        <f>PM_Angle!$J$10+PM_Angle!$K$10*$C683+PM_Angle!$L$10*$B683</f>
      </c>
      <c r="Q683" s="12">
        <f>IF(P683&gt;0,IF(P683&lt;=eco,alpha*fck*(1-(1-P683/eco)^n),alpha*fck),0)</f>
      </c>
      <c r="R683" s="30">
        <f>PM_Angle!$J$11+PM_Angle!$K$11*$C683+PM_Angle!$L$11*$B683</f>
      </c>
      <c r="S683" s="12">
        <f>IF(R683&gt;0,IF(R683&lt;=eco,alpha*fck*(1-(1-R683/eco)^n),alpha*fck),0)</f>
      </c>
      <c r="T683" s="30">
        <f>PM_Angle!$J$12+PM_Angle!$K$12*$C683+PM_Angle!$L$12*$B683</f>
      </c>
      <c r="U683" s="12">
        <f>IF(T683&gt;0,IF(T683&lt;=eco,alpha*fck*(1-(1-T683/eco)^n),alpha*fck),0)</f>
      </c>
      <c r="V683" s="30">
        <f>PM_Angle!$J$13+PM_Angle!$K$13*$C683+PM_Angle!$L$13*$B683</f>
      </c>
      <c r="W683" s="12">
        <f>IF(V683&gt;0,IF(V683&lt;=eco,alpha*fck*(1-(1-V683/eco)^n),alpha*fck),0)</f>
      </c>
      <c r="X683" s="30">
        <f>PM_Angle!$J$14+PM_Angle!$K$14*$C683+PM_Angle!$L$14*$B683</f>
      </c>
      <c r="Y683" s="12">
        <f>IF(X683&gt;0,IF(X683&lt;=eco,alpha*fck*(1-(1-X683/eco)^n),alpha*fck),0)</f>
      </c>
      <c r="Z683" s="30">
        <f>PM_Angle!$J$15+PM_Angle!$K$15*$C683+PM_Angle!$L$15*$B683</f>
      </c>
      <c r="AA683" s="12">
        <f>IF(Z683&gt;0,IF(Z683&lt;=eco,alpha*fck*(1-(1-Z683/eco)^n),alpha*fck),0)</f>
      </c>
      <c r="AB683" s="30">
        <f>PM_Angle!$J$16+PM_Angle!$K$16*$C683+PM_Angle!$L$16*$B683</f>
      </c>
      <c r="AC683" s="12">
        <f>IF(AB683&gt;0,IF(AB683&lt;=eco,alpha*fck*(1-(1-AB683/eco)^n),alpha*fck),0)</f>
      </c>
      <c r="AD683" s="30">
        <f>PM_Angle!$J$17+PM_Angle!$K$17*$C683+PM_Angle!$L$17*$B683</f>
      </c>
      <c r="AE683" s="12">
        <f>IF(AD683&gt;0,IF(AD683&lt;=eco,alpha*fck*(1-(1-AD683/eco)^n),alpha*fck),0)</f>
      </c>
      <c r="AF683" s="30">
        <f>PM_Angle!$J$18+PM_Angle!$K$18*$C683+PM_Angle!$L$18*$B683</f>
      </c>
      <c r="AG683" s="12">
        <f>IF(AF683&gt;0,IF(AF683&lt;=eco,alpha*fck*(1-(1-AF683/eco)^n),alpha*fck),0)</f>
      </c>
      <c r="AH683" s="30">
        <f>PM_Angle!$J$19+PM_Angle!$K$19*$C683+PM_Angle!$L$19*$B683</f>
      </c>
      <c r="AI683" s="12">
        <f>IF(AH683&gt;0,IF(AH683&lt;=eco,alpha*fck*(1-(1-AH683/eco)^n),alpha*fck),0)</f>
      </c>
      <c r="AJ683" s="30">
        <f>PM_Angle!$J$20+PM_Angle!$K$20*$C683+PM_Angle!$L$20*$B683</f>
      </c>
      <c r="AK683" s="12">
        <f>IF(AJ683&gt;0,IF(AJ683&lt;=eco,alpha*fck*(1-(1-AJ683/eco)^n),alpha*fck),0)</f>
      </c>
      <c r="AL683" s="30">
        <f>PM_Angle!$J$21+PM_Angle!$K$21*$C683+PM_Angle!$L$21*$B683</f>
      </c>
      <c r="AM683" s="12">
        <f>IF(AL683&gt;0,IF(AL683&lt;=eco,alpha*fck*(1-(1-AL683/eco)^n),alpha*fck),0)</f>
      </c>
      <c r="AN683" s="30">
        <f>PM_Angle!$J$22+PM_Angle!$K$22*$C683+PM_Angle!$L$22*$B683</f>
      </c>
      <c r="AO683" s="12">
        <f>IF(AN683&gt;0,IF(AN683&lt;=eco,alpha*fck*(1-(1-AN683/eco)^n),alpha*fck),0)</f>
      </c>
      <c r="AP683" s="30">
        <f>PM_Angle!$J$23+PM_Angle!$K$23*$C683+PM_Angle!$L$23*$B683</f>
      </c>
      <c r="AQ683" s="12">
        <f>IF(AP683&gt;0,IF(AP683&lt;=eco,alpha*fck*(1-(1-AP683/eco)^n),alpha*fck),0)</f>
      </c>
      <c r="AR683" s="30">
        <f>PM_Angle!$J$24+PM_Angle!$K$24*$C683+PM_Angle!$L$24*$B683</f>
      </c>
      <c r="AS683" s="12">
        <f>IF(AR683&gt;0,IF(AR683&lt;=eco,alpha*fck*(1-(1-AR683/eco)^n),alpha*fck),0)</f>
      </c>
      <c r="AT683" s="30">
        <f>PM_Angle!$J$25+PM_Angle!$K$25*$C683+PM_Angle!$L$25*$B683</f>
      </c>
      <c r="AU683" s="12">
        <f>IF(AT683&gt;0,IF(AT683&lt;=eco,alpha*fck*(1-(1-AT683/eco)^n),alpha*fck),0)</f>
      </c>
    </row>
    <row r="684" spans="1:47" x14ac:dyDescent="0.25">
      <c r="A684">
        <f>Mesh!A681</f>
      </c>
      <c r="B684" s="12">
        <f>Mesh!B681</f>
      </c>
      <c r="C684" s="12">
        <f>Mesh!C681</f>
      </c>
      <c r="D684" s="12">
        <f>Mesh!D681</f>
      </c>
      <c r="E684" s="30">
        <f>INDEX(St_e0,Det+1)+INDEX(St_kx,Det+1)*C684+INDEX(St_ky,Det+1)*B684</f>
      </c>
      <c r="F684" s="12">
        <f>IF(E684&gt;0,IF(E684&lt;=eco,alpha*fck*(1-(1-E684/eco)^n),alpha*fck),0)</f>
      </c>
      <c r="G684" s="11">
        <f>F684*D684</f>
      </c>
      <c r="H684" s="11">
        <f>G684*C684</f>
      </c>
      <c r="I684" s="11">
        <f>G684*B684</f>
      </c>
      <c r="J684" s="30">
        <f>PM_Angle!$J$7+PM_Angle!$K$7*$C684+PM_Angle!$L$7*$B684</f>
      </c>
      <c r="K684" s="12">
        <f>IF(J684&gt;0,IF(J684&lt;=eco,alpha*fck*(1-(1-J684/eco)^n),alpha*fck),0)</f>
      </c>
      <c r="L684" s="30">
        <f>PM_Angle!$J$8+PM_Angle!$K$8*$C684+PM_Angle!$L$8*$B684</f>
      </c>
      <c r="M684" s="12">
        <f>IF(L684&gt;0,IF(L684&lt;=eco,alpha*fck*(1-(1-L684/eco)^n),alpha*fck),0)</f>
      </c>
      <c r="N684" s="30">
        <f>PM_Angle!$J$9+PM_Angle!$K$9*$C684+PM_Angle!$L$9*$B684</f>
      </c>
      <c r="O684" s="12">
        <f>IF(N684&gt;0,IF(N684&lt;=eco,alpha*fck*(1-(1-N684/eco)^n),alpha*fck),0)</f>
      </c>
      <c r="P684" s="30">
        <f>PM_Angle!$J$10+PM_Angle!$K$10*$C684+PM_Angle!$L$10*$B684</f>
      </c>
      <c r="Q684" s="12">
        <f>IF(P684&gt;0,IF(P684&lt;=eco,alpha*fck*(1-(1-P684/eco)^n),alpha*fck),0)</f>
      </c>
      <c r="R684" s="30">
        <f>PM_Angle!$J$11+PM_Angle!$K$11*$C684+PM_Angle!$L$11*$B684</f>
      </c>
      <c r="S684" s="12">
        <f>IF(R684&gt;0,IF(R684&lt;=eco,alpha*fck*(1-(1-R684/eco)^n),alpha*fck),0)</f>
      </c>
      <c r="T684" s="30">
        <f>PM_Angle!$J$12+PM_Angle!$K$12*$C684+PM_Angle!$L$12*$B684</f>
      </c>
      <c r="U684" s="12">
        <f>IF(T684&gt;0,IF(T684&lt;=eco,alpha*fck*(1-(1-T684/eco)^n),alpha*fck),0)</f>
      </c>
      <c r="V684" s="30">
        <f>PM_Angle!$J$13+PM_Angle!$K$13*$C684+PM_Angle!$L$13*$B684</f>
      </c>
      <c r="W684" s="12">
        <f>IF(V684&gt;0,IF(V684&lt;=eco,alpha*fck*(1-(1-V684/eco)^n),alpha*fck),0)</f>
      </c>
      <c r="X684" s="30">
        <f>PM_Angle!$J$14+PM_Angle!$K$14*$C684+PM_Angle!$L$14*$B684</f>
      </c>
      <c r="Y684" s="12">
        <f>IF(X684&gt;0,IF(X684&lt;=eco,alpha*fck*(1-(1-X684/eco)^n),alpha*fck),0)</f>
      </c>
      <c r="Z684" s="30">
        <f>PM_Angle!$J$15+PM_Angle!$K$15*$C684+PM_Angle!$L$15*$B684</f>
      </c>
      <c r="AA684" s="12">
        <f>IF(Z684&gt;0,IF(Z684&lt;=eco,alpha*fck*(1-(1-Z684/eco)^n),alpha*fck),0)</f>
      </c>
      <c r="AB684" s="30">
        <f>PM_Angle!$J$16+PM_Angle!$K$16*$C684+PM_Angle!$L$16*$B684</f>
      </c>
      <c r="AC684" s="12">
        <f>IF(AB684&gt;0,IF(AB684&lt;=eco,alpha*fck*(1-(1-AB684/eco)^n),alpha*fck),0)</f>
      </c>
      <c r="AD684" s="30">
        <f>PM_Angle!$J$17+PM_Angle!$K$17*$C684+PM_Angle!$L$17*$B684</f>
      </c>
      <c r="AE684" s="12">
        <f>IF(AD684&gt;0,IF(AD684&lt;=eco,alpha*fck*(1-(1-AD684/eco)^n),alpha*fck),0)</f>
      </c>
      <c r="AF684" s="30">
        <f>PM_Angle!$J$18+PM_Angle!$K$18*$C684+PM_Angle!$L$18*$B684</f>
      </c>
      <c r="AG684" s="12">
        <f>IF(AF684&gt;0,IF(AF684&lt;=eco,alpha*fck*(1-(1-AF684/eco)^n),alpha*fck),0)</f>
      </c>
      <c r="AH684" s="30">
        <f>PM_Angle!$J$19+PM_Angle!$K$19*$C684+PM_Angle!$L$19*$B684</f>
      </c>
      <c r="AI684" s="12">
        <f>IF(AH684&gt;0,IF(AH684&lt;=eco,alpha*fck*(1-(1-AH684/eco)^n),alpha*fck),0)</f>
      </c>
      <c r="AJ684" s="30">
        <f>PM_Angle!$J$20+PM_Angle!$K$20*$C684+PM_Angle!$L$20*$B684</f>
      </c>
      <c r="AK684" s="12">
        <f>IF(AJ684&gt;0,IF(AJ684&lt;=eco,alpha*fck*(1-(1-AJ684/eco)^n),alpha*fck),0)</f>
      </c>
      <c r="AL684" s="30">
        <f>PM_Angle!$J$21+PM_Angle!$K$21*$C684+PM_Angle!$L$21*$B684</f>
      </c>
      <c r="AM684" s="12">
        <f>IF(AL684&gt;0,IF(AL684&lt;=eco,alpha*fck*(1-(1-AL684/eco)^n),alpha*fck),0)</f>
      </c>
      <c r="AN684" s="30">
        <f>PM_Angle!$J$22+PM_Angle!$K$22*$C684+PM_Angle!$L$22*$B684</f>
      </c>
      <c r="AO684" s="12">
        <f>IF(AN684&gt;0,IF(AN684&lt;=eco,alpha*fck*(1-(1-AN684/eco)^n),alpha*fck),0)</f>
      </c>
      <c r="AP684" s="30">
        <f>PM_Angle!$J$23+PM_Angle!$K$23*$C684+PM_Angle!$L$23*$B684</f>
      </c>
      <c r="AQ684" s="12">
        <f>IF(AP684&gt;0,IF(AP684&lt;=eco,alpha*fck*(1-(1-AP684/eco)^n),alpha*fck),0)</f>
      </c>
      <c r="AR684" s="30">
        <f>PM_Angle!$J$24+PM_Angle!$K$24*$C684+PM_Angle!$L$24*$B684</f>
      </c>
      <c r="AS684" s="12">
        <f>IF(AR684&gt;0,IF(AR684&lt;=eco,alpha*fck*(1-(1-AR684/eco)^n),alpha*fck),0)</f>
      </c>
      <c r="AT684" s="30">
        <f>PM_Angle!$J$25+PM_Angle!$K$25*$C684+PM_Angle!$L$25*$B684</f>
      </c>
      <c r="AU684" s="12">
        <f>IF(AT684&gt;0,IF(AT684&lt;=eco,alpha*fck*(1-(1-AT684/eco)^n),alpha*fck),0)</f>
      </c>
    </row>
    <row r="685" spans="1:47" x14ac:dyDescent="0.25">
      <c r="A685">
        <f>Mesh!A682</f>
      </c>
      <c r="B685" s="12">
        <f>Mesh!B682</f>
      </c>
      <c r="C685" s="12">
        <f>Mesh!C682</f>
      </c>
      <c r="D685" s="12">
        <f>Mesh!D682</f>
      </c>
      <c r="E685" s="30">
        <f>INDEX(St_e0,Det+1)+INDEX(St_kx,Det+1)*C685+INDEX(St_ky,Det+1)*B685</f>
      </c>
      <c r="F685" s="12">
        <f>IF(E685&gt;0,IF(E685&lt;=eco,alpha*fck*(1-(1-E685/eco)^n),alpha*fck),0)</f>
      </c>
      <c r="G685" s="11">
        <f>F685*D685</f>
      </c>
      <c r="H685" s="11">
        <f>G685*C685</f>
      </c>
      <c r="I685" s="11">
        <f>G685*B685</f>
      </c>
      <c r="J685" s="30">
        <f>PM_Angle!$J$7+PM_Angle!$K$7*$C685+PM_Angle!$L$7*$B685</f>
      </c>
      <c r="K685" s="12">
        <f>IF(J685&gt;0,IF(J685&lt;=eco,alpha*fck*(1-(1-J685/eco)^n),alpha*fck),0)</f>
      </c>
      <c r="L685" s="30">
        <f>PM_Angle!$J$8+PM_Angle!$K$8*$C685+PM_Angle!$L$8*$B685</f>
      </c>
      <c r="M685" s="12">
        <f>IF(L685&gt;0,IF(L685&lt;=eco,alpha*fck*(1-(1-L685/eco)^n),alpha*fck),0)</f>
      </c>
      <c r="N685" s="30">
        <f>PM_Angle!$J$9+PM_Angle!$K$9*$C685+PM_Angle!$L$9*$B685</f>
      </c>
      <c r="O685" s="12">
        <f>IF(N685&gt;0,IF(N685&lt;=eco,alpha*fck*(1-(1-N685/eco)^n),alpha*fck),0)</f>
      </c>
      <c r="P685" s="30">
        <f>PM_Angle!$J$10+PM_Angle!$K$10*$C685+PM_Angle!$L$10*$B685</f>
      </c>
      <c r="Q685" s="12">
        <f>IF(P685&gt;0,IF(P685&lt;=eco,alpha*fck*(1-(1-P685/eco)^n),alpha*fck),0)</f>
      </c>
      <c r="R685" s="30">
        <f>PM_Angle!$J$11+PM_Angle!$K$11*$C685+PM_Angle!$L$11*$B685</f>
      </c>
      <c r="S685" s="12">
        <f>IF(R685&gt;0,IF(R685&lt;=eco,alpha*fck*(1-(1-R685/eco)^n),alpha*fck),0)</f>
      </c>
      <c r="T685" s="30">
        <f>PM_Angle!$J$12+PM_Angle!$K$12*$C685+PM_Angle!$L$12*$B685</f>
      </c>
      <c r="U685" s="12">
        <f>IF(T685&gt;0,IF(T685&lt;=eco,alpha*fck*(1-(1-T685/eco)^n),alpha*fck),0)</f>
      </c>
      <c r="V685" s="30">
        <f>PM_Angle!$J$13+PM_Angle!$K$13*$C685+PM_Angle!$L$13*$B685</f>
      </c>
      <c r="W685" s="12">
        <f>IF(V685&gt;0,IF(V685&lt;=eco,alpha*fck*(1-(1-V685/eco)^n),alpha*fck),0)</f>
      </c>
      <c r="X685" s="30">
        <f>PM_Angle!$J$14+PM_Angle!$K$14*$C685+PM_Angle!$L$14*$B685</f>
      </c>
      <c r="Y685" s="12">
        <f>IF(X685&gt;0,IF(X685&lt;=eco,alpha*fck*(1-(1-X685/eco)^n),alpha*fck),0)</f>
      </c>
      <c r="Z685" s="30">
        <f>PM_Angle!$J$15+PM_Angle!$K$15*$C685+PM_Angle!$L$15*$B685</f>
      </c>
      <c r="AA685" s="12">
        <f>IF(Z685&gt;0,IF(Z685&lt;=eco,alpha*fck*(1-(1-Z685/eco)^n),alpha*fck),0)</f>
      </c>
      <c r="AB685" s="30">
        <f>PM_Angle!$J$16+PM_Angle!$K$16*$C685+PM_Angle!$L$16*$B685</f>
      </c>
      <c r="AC685" s="12">
        <f>IF(AB685&gt;0,IF(AB685&lt;=eco,alpha*fck*(1-(1-AB685/eco)^n),alpha*fck),0)</f>
      </c>
      <c r="AD685" s="30">
        <f>PM_Angle!$J$17+PM_Angle!$K$17*$C685+PM_Angle!$L$17*$B685</f>
      </c>
      <c r="AE685" s="12">
        <f>IF(AD685&gt;0,IF(AD685&lt;=eco,alpha*fck*(1-(1-AD685/eco)^n),alpha*fck),0)</f>
      </c>
      <c r="AF685" s="30">
        <f>PM_Angle!$J$18+PM_Angle!$K$18*$C685+PM_Angle!$L$18*$B685</f>
      </c>
      <c r="AG685" s="12">
        <f>IF(AF685&gt;0,IF(AF685&lt;=eco,alpha*fck*(1-(1-AF685/eco)^n),alpha*fck),0)</f>
      </c>
      <c r="AH685" s="30">
        <f>PM_Angle!$J$19+PM_Angle!$K$19*$C685+PM_Angle!$L$19*$B685</f>
      </c>
      <c r="AI685" s="12">
        <f>IF(AH685&gt;0,IF(AH685&lt;=eco,alpha*fck*(1-(1-AH685/eco)^n),alpha*fck),0)</f>
      </c>
      <c r="AJ685" s="30">
        <f>PM_Angle!$J$20+PM_Angle!$K$20*$C685+PM_Angle!$L$20*$B685</f>
      </c>
      <c r="AK685" s="12">
        <f>IF(AJ685&gt;0,IF(AJ685&lt;=eco,alpha*fck*(1-(1-AJ685/eco)^n),alpha*fck),0)</f>
      </c>
      <c r="AL685" s="30">
        <f>PM_Angle!$J$21+PM_Angle!$K$21*$C685+PM_Angle!$L$21*$B685</f>
      </c>
      <c r="AM685" s="12">
        <f>IF(AL685&gt;0,IF(AL685&lt;=eco,alpha*fck*(1-(1-AL685/eco)^n),alpha*fck),0)</f>
      </c>
      <c r="AN685" s="30">
        <f>PM_Angle!$J$22+PM_Angle!$K$22*$C685+PM_Angle!$L$22*$B685</f>
      </c>
      <c r="AO685" s="12">
        <f>IF(AN685&gt;0,IF(AN685&lt;=eco,alpha*fck*(1-(1-AN685/eco)^n),alpha*fck),0)</f>
      </c>
      <c r="AP685" s="30">
        <f>PM_Angle!$J$23+PM_Angle!$K$23*$C685+PM_Angle!$L$23*$B685</f>
      </c>
      <c r="AQ685" s="12">
        <f>IF(AP685&gt;0,IF(AP685&lt;=eco,alpha*fck*(1-(1-AP685/eco)^n),alpha*fck),0)</f>
      </c>
      <c r="AR685" s="30">
        <f>PM_Angle!$J$24+PM_Angle!$K$24*$C685+PM_Angle!$L$24*$B685</f>
      </c>
      <c r="AS685" s="12">
        <f>IF(AR685&gt;0,IF(AR685&lt;=eco,alpha*fck*(1-(1-AR685/eco)^n),alpha*fck),0)</f>
      </c>
      <c r="AT685" s="30">
        <f>PM_Angle!$J$25+PM_Angle!$K$25*$C685+PM_Angle!$L$25*$B685</f>
      </c>
      <c r="AU685" s="12">
        <f>IF(AT685&gt;0,IF(AT685&lt;=eco,alpha*fck*(1-(1-AT685/eco)^n),alpha*fck),0)</f>
      </c>
    </row>
    <row r="686" spans="1:47" x14ac:dyDescent="0.25">
      <c r="A686">
        <f>Mesh!A683</f>
      </c>
      <c r="B686" s="12">
        <f>Mesh!B683</f>
      </c>
      <c r="C686" s="12">
        <f>Mesh!C683</f>
      </c>
      <c r="D686" s="12">
        <f>Mesh!D683</f>
      </c>
      <c r="E686" s="30">
        <f>INDEX(St_e0,Det+1)+INDEX(St_kx,Det+1)*C686+INDEX(St_ky,Det+1)*B686</f>
      </c>
      <c r="F686" s="12">
        <f>IF(E686&gt;0,IF(E686&lt;=eco,alpha*fck*(1-(1-E686/eco)^n),alpha*fck),0)</f>
      </c>
      <c r="G686" s="11">
        <f>F686*D686</f>
      </c>
      <c r="H686" s="11">
        <f>G686*C686</f>
      </c>
      <c r="I686" s="11">
        <f>G686*B686</f>
      </c>
      <c r="J686" s="30">
        <f>PM_Angle!$J$7+PM_Angle!$K$7*$C686+PM_Angle!$L$7*$B686</f>
      </c>
      <c r="K686" s="12">
        <f>IF(J686&gt;0,IF(J686&lt;=eco,alpha*fck*(1-(1-J686/eco)^n),alpha*fck),0)</f>
      </c>
      <c r="L686" s="30">
        <f>PM_Angle!$J$8+PM_Angle!$K$8*$C686+PM_Angle!$L$8*$B686</f>
      </c>
      <c r="M686" s="12">
        <f>IF(L686&gt;0,IF(L686&lt;=eco,alpha*fck*(1-(1-L686/eco)^n),alpha*fck),0)</f>
      </c>
      <c r="N686" s="30">
        <f>PM_Angle!$J$9+PM_Angle!$K$9*$C686+PM_Angle!$L$9*$B686</f>
      </c>
      <c r="O686" s="12">
        <f>IF(N686&gt;0,IF(N686&lt;=eco,alpha*fck*(1-(1-N686/eco)^n),alpha*fck),0)</f>
      </c>
      <c r="P686" s="30">
        <f>PM_Angle!$J$10+PM_Angle!$K$10*$C686+PM_Angle!$L$10*$B686</f>
      </c>
      <c r="Q686" s="12">
        <f>IF(P686&gt;0,IF(P686&lt;=eco,alpha*fck*(1-(1-P686/eco)^n),alpha*fck),0)</f>
      </c>
      <c r="R686" s="30">
        <f>PM_Angle!$J$11+PM_Angle!$K$11*$C686+PM_Angle!$L$11*$B686</f>
      </c>
      <c r="S686" s="12">
        <f>IF(R686&gt;0,IF(R686&lt;=eco,alpha*fck*(1-(1-R686/eco)^n),alpha*fck),0)</f>
      </c>
      <c r="T686" s="30">
        <f>PM_Angle!$J$12+PM_Angle!$K$12*$C686+PM_Angle!$L$12*$B686</f>
      </c>
      <c r="U686" s="12">
        <f>IF(T686&gt;0,IF(T686&lt;=eco,alpha*fck*(1-(1-T686/eco)^n),alpha*fck),0)</f>
      </c>
      <c r="V686" s="30">
        <f>PM_Angle!$J$13+PM_Angle!$K$13*$C686+PM_Angle!$L$13*$B686</f>
      </c>
      <c r="W686" s="12">
        <f>IF(V686&gt;0,IF(V686&lt;=eco,alpha*fck*(1-(1-V686/eco)^n),alpha*fck),0)</f>
      </c>
      <c r="X686" s="30">
        <f>PM_Angle!$J$14+PM_Angle!$K$14*$C686+PM_Angle!$L$14*$B686</f>
      </c>
      <c r="Y686" s="12">
        <f>IF(X686&gt;0,IF(X686&lt;=eco,alpha*fck*(1-(1-X686/eco)^n),alpha*fck),0)</f>
      </c>
      <c r="Z686" s="30">
        <f>PM_Angle!$J$15+PM_Angle!$K$15*$C686+PM_Angle!$L$15*$B686</f>
      </c>
      <c r="AA686" s="12">
        <f>IF(Z686&gt;0,IF(Z686&lt;=eco,alpha*fck*(1-(1-Z686/eco)^n),alpha*fck),0)</f>
      </c>
      <c r="AB686" s="30">
        <f>PM_Angle!$J$16+PM_Angle!$K$16*$C686+PM_Angle!$L$16*$B686</f>
      </c>
      <c r="AC686" s="12">
        <f>IF(AB686&gt;0,IF(AB686&lt;=eco,alpha*fck*(1-(1-AB686/eco)^n),alpha*fck),0)</f>
      </c>
      <c r="AD686" s="30">
        <f>PM_Angle!$J$17+PM_Angle!$K$17*$C686+PM_Angle!$L$17*$B686</f>
      </c>
      <c r="AE686" s="12">
        <f>IF(AD686&gt;0,IF(AD686&lt;=eco,alpha*fck*(1-(1-AD686/eco)^n),alpha*fck),0)</f>
      </c>
      <c r="AF686" s="30">
        <f>PM_Angle!$J$18+PM_Angle!$K$18*$C686+PM_Angle!$L$18*$B686</f>
      </c>
      <c r="AG686" s="12">
        <f>IF(AF686&gt;0,IF(AF686&lt;=eco,alpha*fck*(1-(1-AF686/eco)^n),alpha*fck),0)</f>
      </c>
      <c r="AH686" s="30">
        <f>PM_Angle!$J$19+PM_Angle!$K$19*$C686+PM_Angle!$L$19*$B686</f>
      </c>
      <c r="AI686" s="12">
        <f>IF(AH686&gt;0,IF(AH686&lt;=eco,alpha*fck*(1-(1-AH686/eco)^n),alpha*fck),0)</f>
      </c>
      <c r="AJ686" s="30">
        <f>PM_Angle!$J$20+PM_Angle!$K$20*$C686+PM_Angle!$L$20*$B686</f>
      </c>
      <c r="AK686" s="12">
        <f>IF(AJ686&gt;0,IF(AJ686&lt;=eco,alpha*fck*(1-(1-AJ686/eco)^n),alpha*fck),0)</f>
      </c>
      <c r="AL686" s="30">
        <f>PM_Angle!$J$21+PM_Angle!$K$21*$C686+PM_Angle!$L$21*$B686</f>
      </c>
      <c r="AM686" s="12">
        <f>IF(AL686&gt;0,IF(AL686&lt;=eco,alpha*fck*(1-(1-AL686/eco)^n),alpha*fck),0)</f>
      </c>
      <c r="AN686" s="30">
        <f>PM_Angle!$J$22+PM_Angle!$K$22*$C686+PM_Angle!$L$22*$B686</f>
      </c>
      <c r="AO686" s="12">
        <f>IF(AN686&gt;0,IF(AN686&lt;=eco,alpha*fck*(1-(1-AN686/eco)^n),alpha*fck),0)</f>
      </c>
      <c r="AP686" s="30">
        <f>PM_Angle!$J$23+PM_Angle!$K$23*$C686+PM_Angle!$L$23*$B686</f>
      </c>
      <c r="AQ686" s="12">
        <f>IF(AP686&gt;0,IF(AP686&lt;=eco,alpha*fck*(1-(1-AP686/eco)^n),alpha*fck),0)</f>
      </c>
      <c r="AR686" s="30">
        <f>PM_Angle!$J$24+PM_Angle!$K$24*$C686+PM_Angle!$L$24*$B686</f>
      </c>
      <c r="AS686" s="12">
        <f>IF(AR686&gt;0,IF(AR686&lt;=eco,alpha*fck*(1-(1-AR686/eco)^n),alpha*fck),0)</f>
      </c>
      <c r="AT686" s="30">
        <f>PM_Angle!$J$25+PM_Angle!$K$25*$C686+PM_Angle!$L$25*$B686</f>
      </c>
      <c r="AU686" s="12">
        <f>IF(AT686&gt;0,IF(AT686&lt;=eco,alpha*fck*(1-(1-AT686/eco)^n),alpha*fck),0)</f>
      </c>
    </row>
    <row r="687" spans="1:47" x14ac:dyDescent="0.25">
      <c r="A687">
        <f>Mesh!A684</f>
      </c>
      <c r="B687" s="12">
        <f>Mesh!B684</f>
      </c>
      <c r="C687" s="12">
        <f>Mesh!C684</f>
      </c>
      <c r="D687" s="12">
        <f>Mesh!D684</f>
      </c>
      <c r="E687" s="30">
        <f>INDEX(St_e0,Det+1)+INDEX(St_kx,Det+1)*C687+INDEX(St_ky,Det+1)*B687</f>
      </c>
      <c r="F687" s="12">
        <f>IF(E687&gt;0,IF(E687&lt;=eco,alpha*fck*(1-(1-E687/eco)^n),alpha*fck),0)</f>
      </c>
      <c r="G687" s="11">
        <f>F687*D687</f>
      </c>
      <c r="H687" s="11">
        <f>G687*C687</f>
      </c>
      <c r="I687" s="11">
        <f>G687*B687</f>
      </c>
      <c r="J687" s="30">
        <f>PM_Angle!$J$7+PM_Angle!$K$7*$C687+PM_Angle!$L$7*$B687</f>
      </c>
      <c r="K687" s="12">
        <f>IF(J687&gt;0,IF(J687&lt;=eco,alpha*fck*(1-(1-J687/eco)^n),alpha*fck),0)</f>
      </c>
      <c r="L687" s="30">
        <f>PM_Angle!$J$8+PM_Angle!$K$8*$C687+PM_Angle!$L$8*$B687</f>
      </c>
      <c r="M687" s="12">
        <f>IF(L687&gt;0,IF(L687&lt;=eco,alpha*fck*(1-(1-L687/eco)^n),alpha*fck),0)</f>
      </c>
      <c r="N687" s="30">
        <f>PM_Angle!$J$9+PM_Angle!$K$9*$C687+PM_Angle!$L$9*$B687</f>
      </c>
      <c r="O687" s="12">
        <f>IF(N687&gt;0,IF(N687&lt;=eco,alpha*fck*(1-(1-N687/eco)^n),alpha*fck),0)</f>
      </c>
      <c r="P687" s="30">
        <f>PM_Angle!$J$10+PM_Angle!$K$10*$C687+PM_Angle!$L$10*$B687</f>
      </c>
      <c r="Q687" s="12">
        <f>IF(P687&gt;0,IF(P687&lt;=eco,alpha*fck*(1-(1-P687/eco)^n),alpha*fck),0)</f>
      </c>
      <c r="R687" s="30">
        <f>PM_Angle!$J$11+PM_Angle!$K$11*$C687+PM_Angle!$L$11*$B687</f>
      </c>
      <c r="S687" s="12">
        <f>IF(R687&gt;0,IF(R687&lt;=eco,alpha*fck*(1-(1-R687/eco)^n),alpha*fck),0)</f>
      </c>
      <c r="T687" s="30">
        <f>PM_Angle!$J$12+PM_Angle!$K$12*$C687+PM_Angle!$L$12*$B687</f>
      </c>
      <c r="U687" s="12">
        <f>IF(T687&gt;0,IF(T687&lt;=eco,alpha*fck*(1-(1-T687/eco)^n),alpha*fck),0)</f>
      </c>
      <c r="V687" s="30">
        <f>PM_Angle!$J$13+PM_Angle!$K$13*$C687+PM_Angle!$L$13*$B687</f>
      </c>
      <c r="W687" s="12">
        <f>IF(V687&gt;0,IF(V687&lt;=eco,alpha*fck*(1-(1-V687/eco)^n),alpha*fck),0)</f>
      </c>
      <c r="X687" s="30">
        <f>PM_Angle!$J$14+PM_Angle!$K$14*$C687+PM_Angle!$L$14*$B687</f>
      </c>
      <c r="Y687" s="12">
        <f>IF(X687&gt;0,IF(X687&lt;=eco,alpha*fck*(1-(1-X687/eco)^n),alpha*fck),0)</f>
      </c>
      <c r="Z687" s="30">
        <f>PM_Angle!$J$15+PM_Angle!$K$15*$C687+PM_Angle!$L$15*$B687</f>
      </c>
      <c r="AA687" s="12">
        <f>IF(Z687&gt;0,IF(Z687&lt;=eco,alpha*fck*(1-(1-Z687/eco)^n),alpha*fck),0)</f>
      </c>
      <c r="AB687" s="30">
        <f>PM_Angle!$J$16+PM_Angle!$K$16*$C687+PM_Angle!$L$16*$B687</f>
      </c>
      <c r="AC687" s="12">
        <f>IF(AB687&gt;0,IF(AB687&lt;=eco,alpha*fck*(1-(1-AB687/eco)^n),alpha*fck),0)</f>
      </c>
      <c r="AD687" s="30">
        <f>PM_Angle!$J$17+PM_Angle!$K$17*$C687+PM_Angle!$L$17*$B687</f>
      </c>
      <c r="AE687" s="12">
        <f>IF(AD687&gt;0,IF(AD687&lt;=eco,alpha*fck*(1-(1-AD687/eco)^n),alpha*fck),0)</f>
      </c>
      <c r="AF687" s="30">
        <f>PM_Angle!$J$18+PM_Angle!$K$18*$C687+PM_Angle!$L$18*$B687</f>
      </c>
      <c r="AG687" s="12">
        <f>IF(AF687&gt;0,IF(AF687&lt;=eco,alpha*fck*(1-(1-AF687/eco)^n),alpha*fck),0)</f>
      </c>
      <c r="AH687" s="30">
        <f>PM_Angle!$J$19+PM_Angle!$K$19*$C687+PM_Angle!$L$19*$B687</f>
      </c>
      <c r="AI687" s="12">
        <f>IF(AH687&gt;0,IF(AH687&lt;=eco,alpha*fck*(1-(1-AH687/eco)^n),alpha*fck),0)</f>
      </c>
      <c r="AJ687" s="30">
        <f>PM_Angle!$J$20+PM_Angle!$K$20*$C687+PM_Angle!$L$20*$B687</f>
      </c>
      <c r="AK687" s="12">
        <f>IF(AJ687&gt;0,IF(AJ687&lt;=eco,alpha*fck*(1-(1-AJ687/eco)^n),alpha*fck),0)</f>
      </c>
      <c r="AL687" s="30">
        <f>PM_Angle!$J$21+PM_Angle!$K$21*$C687+PM_Angle!$L$21*$B687</f>
      </c>
      <c r="AM687" s="12">
        <f>IF(AL687&gt;0,IF(AL687&lt;=eco,alpha*fck*(1-(1-AL687/eco)^n),alpha*fck),0)</f>
      </c>
      <c r="AN687" s="30">
        <f>PM_Angle!$J$22+PM_Angle!$K$22*$C687+PM_Angle!$L$22*$B687</f>
      </c>
      <c r="AO687" s="12">
        <f>IF(AN687&gt;0,IF(AN687&lt;=eco,alpha*fck*(1-(1-AN687/eco)^n),alpha*fck),0)</f>
      </c>
      <c r="AP687" s="30">
        <f>PM_Angle!$J$23+PM_Angle!$K$23*$C687+PM_Angle!$L$23*$B687</f>
      </c>
      <c r="AQ687" s="12">
        <f>IF(AP687&gt;0,IF(AP687&lt;=eco,alpha*fck*(1-(1-AP687/eco)^n),alpha*fck),0)</f>
      </c>
      <c r="AR687" s="30">
        <f>PM_Angle!$J$24+PM_Angle!$K$24*$C687+PM_Angle!$L$24*$B687</f>
      </c>
      <c r="AS687" s="12">
        <f>IF(AR687&gt;0,IF(AR687&lt;=eco,alpha*fck*(1-(1-AR687/eco)^n),alpha*fck),0)</f>
      </c>
      <c r="AT687" s="30">
        <f>PM_Angle!$J$25+PM_Angle!$K$25*$C687+PM_Angle!$L$25*$B687</f>
      </c>
      <c r="AU687" s="12">
        <f>IF(AT687&gt;0,IF(AT687&lt;=eco,alpha*fck*(1-(1-AT687/eco)^n),alpha*fck),0)</f>
      </c>
    </row>
    <row r="688" spans="1:47" x14ac:dyDescent="0.25">
      <c r="A688">
        <f>Mesh!A685</f>
      </c>
      <c r="B688" s="12">
        <f>Mesh!B685</f>
      </c>
      <c r="C688" s="12">
        <f>Mesh!C685</f>
      </c>
      <c r="D688" s="12">
        <f>Mesh!D685</f>
      </c>
      <c r="E688" s="30">
        <f>INDEX(St_e0,Det+1)+INDEX(St_kx,Det+1)*C688+INDEX(St_ky,Det+1)*B688</f>
      </c>
      <c r="F688" s="12">
        <f>IF(E688&gt;0,IF(E688&lt;=eco,alpha*fck*(1-(1-E688/eco)^n),alpha*fck),0)</f>
      </c>
      <c r="G688" s="11">
        <f>F688*D688</f>
      </c>
      <c r="H688" s="11">
        <f>G688*C688</f>
      </c>
      <c r="I688" s="11">
        <f>G688*B688</f>
      </c>
      <c r="J688" s="30">
        <f>PM_Angle!$J$7+PM_Angle!$K$7*$C688+PM_Angle!$L$7*$B688</f>
      </c>
      <c r="K688" s="12">
        <f>IF(J688&gt;0,IF(J688&lt;=eco,alpha*fck*(1-(1-J688/eco)^n),alpha*fck),0)</f>
      </c>
      <c r="L688" s="30">
        <f>PM_Angle!$J$8+PM_Angle!$K$8*$C688+PM_Angle!$L$8*$B688</f>
      </c>
      <c r="M688" s="12">
        <f>IF(L688&gt;0,IF(L688&lt;=eco,alpha*fck*(1-(1-L688/eco)^n),alpha*fck),0)</f>
      </c>
      <c r="N688" s="30">
        <f>PM_Angle!$J$9+PM_Angle!$K$9*$C688+PM_Angle!$L$9*$B688</f>
      </c>
      <c r="O688" s="12">
        <f>IF(N688&gt;0,IF(N688&lt;=eco,alpha*fck*(1-(1-N688/eco)^n),alpha*fck),0)</f>
      </c>
      <c r="P688" s="30">
        <f>PM_Angle!$J$10+PM_Angle!$K$10*$C688+PM_Angle!$L$10*$B688</f>
      </c>
      <c r="Q688" s="12">
        <f>IF(P688&gt;0,IF(P688&lt;=eco,alpha*fck*(1-(1-P688/eco)^n),alpha*fck),0)</f>
      </c>
      <c r="R688" s="30">
        <f>PM_Angle!$J$11+PM_Angle!$K$11*$C688+PM_Angle!$L$11*$B688</f>
      </c>
      <c r="S688" s="12">
        <f>IF(R688&gt;0,IF(R688&lt;=eco,alpha*fck*(1-(1-R688/eco)^n),alpha*fck),0)</f>
      </c>
      <c r="T688" s="30">
        <f>PM_Angle!$J$12+PM_Angle!$K$12*$C688+PM_Angle!$L$12*$B688</f>
      </c>
      <c r="U688" s="12">
        <f>IF(T688&gt;0,IF(T688&lt;=eco,alpha*fck*(1-(1-T688/eco)^n),alpha*fck),0)</f>
      </c>
      <c r="V688" s="30">
        <f>PM_Angle!$J$13+PM_Angle!$K$13*$C688+PM_Angle!$L$13*$B688</f>
      </c>
      <c r="W688" s="12">
        <f>IF(V688&gt;0,IF(V688&lt;=eco,alpha*fck*(1-(1-V688/eco)^n),alpha*fck),0)</f>
      </c>
      <c r="X688" s="30">
        <f>PM_Angle!$J$14+PM_Angle!$K$14*$C688+PM_Angle!$L$14*$B688</f>
      </c>
      <c r="Y688" s="12">
        <f>IF(X688&gt;0,IF(X688&lt;=eco,alpha*fck*(1-(1-X688/eco)^n),alpha*fck),0)</f>
      </c>
      <c r="Z688" s="30">
        <f>PM_Angle!$J$15+PM_Angle!$K$15*$C688+PM_Angle!$L$15*$B688</f>
      </c>
      <c r="AA688" s="12">
        <f>IF(Z688&gt;0,IF(Z688&lt;=eco,alpha*fck*(1-(1-Z688/eco)^n),alpha*fck),0)</f>
      </c>
      <c r="AB688" s="30">
        <f>PM_Angle!$J$16+PM_Angle!$K$16*$C688+PM_Angle!$L$16*$B688</f>
      </c>
      <c r="AC688" s="12">
        <f>IF(AB688&gt;0,IF(AB688&lt;=eco,alpha*fck*(1-(1-AB688/eco)^n),alpha*fck),0)</f>
      </c>
      <c r="AD688" s="30">
        <f>PM_Angle!$J$17+PM_Angle!$K$17*$C688+PM_Angle!$L$17*$B688</f>
      </c>
      <c r="AE688" s="12">
        <f>IF(AD688&gt;0,IF(AD688&lt;=eco,alpha*fck*(1-(1-AD688/eco)^n),alpha*fck),0)</f>
      </c>
      <c r="AF688" s="30">
        <f>PM_Angle!$J$18+PM_Angle!$K$18*$C688+PM_Angle!$L$18*$B688</f>
      </c>
      <c r="AG688" s="12">
        <f>IF(AF688&gt;0,IF(AF688&lt;=eco,alpha*fck*(1-(1-AF688/eco)^n),alpha*fck),0)</f>
      </c>
      <c r="AH688" s="30">
        <f>PM_Angle!$J$19+PM_Angle!$K$19*$C688+PM_Angle!$L$19*$B688</f>
      </c>
      <c r="AI688" s="12">
        <f>IF(AH688&gt;0,IF(AH688&lt;=eco,alpha*fck*(1-(1-AH688/eco)^n),alpha*fck),0)</f>
      </c>
      <c r="AJ688" s="30">
        <f>PM_Angle!$J$20+PM_Angle!$K$20*$C688+PM_Angle!$L$20*$B688</f>
      </c>
      <c r="AK688" s="12">
        <f>IF(AJ688&gt;0,IF(AJ688&lt;=eco,alpha*fck*(1-(1-AJ688/eco)^n),alpha*fck),0)</f>
      </c>
      <c r="AL688" s="30">
        <f>PM_Angle!$J$21+PM_Angle!$K$21*$C688+PM_Angle!$L$21*$B688</f>
      </c>
      <c r="AM688" s="12">
        <f>IF(AL688&gt;0,IF(AL688&lt;=eco,alpha*fck*(1-(1-AL688/eco)^n),alpha*fck),0)</f>
      </c>
      <c r="AN688" s="30">
        <f>PM_Angle!$J$22+PM_Angle!$K$22*$C688+PM_Angle!$L$22*$B688</f>
      </c>
      <c r="AO688" s="12">
        <f>IF(AN688&gt;0,IF(AN688&lt;=eco,alpha*fck*(1-(1-AN688/eco)^n),alpha*fck),0)</f>
      </c>
      <c r="AP688" s="30">
        <f>PM_Angle!$J$23+PM_Angle!$K$23*$C688+PM_Angle!$L$23*$B688</f>
      </c>
      <c r="AQ688" s="12">
        <f>IF(AP688&gt;0,IF(AP688&lt;=eco,alpha*fck*(1-(1-AP688/eco)^n),alpha*fck),0)</f>
      </c>
      <c r="AR688" s="30">
        <f>PM_Angle!$J$24+PM_Angle!$K$24*$C688+PM_Angle!$L$24*$B688</f>
      </c>
      <c r="AS688" s="12">
        <f>IF(AR688&gt;0,IF(AR688&lt;=eco,alpha*fck*(1-(1-AR688/eco)^n),alpha*fck),0)</f>
      </c>
      <c r="AT688" s="30">
        <f>PM_Angle!$J$25+PM_Angle!$K$25*$C688+PM_Angle!$L$25*$B688</f>
      </c>
      <c r="AU688" s="12">
        <f>IF(AT688&gt;0,IF(AT688&lt;=eco,alpha*fck*(1-(1-AT688/eco)^n),alpha*fck),0)</f>
      </c>
    </row>
    <row r="689" spans="1:47" x14ac:dyDescent="0.25">
      <c r="A689">
        <f>Mesh!A686</f>
      </c>
      <c r="B689" s="12">
        <f>Mesh!B686</f>
      </c>
      <c r="C689" s="12">
        <f>Mesh!C686</f>
      </c>
      <c r="D689" s="12">
        <f>Mesh!D686</f>
      </c>
      <c r="E689" s="30">
        <f>INDEX(St_e0,Det+1)+INDEX(St_kx,Det+1)*C689+INDEX(St_ky,Det+1)*B689</f>
      </c>
      <c r="F689" s="12">
        <f>IF(E689&gt;0,IF(E689&lt;=eco,alpha*fck*(1-(1-E689/eco)^n),alpha*fck),0)</f>
      </c>
      <c r="G689" s="11">
        <f>F689*D689</f>
      </c>
      <c r="H689" s="11">
        <f>G689*C689</f>
      </c>
      <c r="I689" s="11">
        <f>G689*B689</f>
      </c>
      <c r="J689" s="30">
        <f>PM_Angle!$J$7+PM_Angle!$K$7*$C689+PM_Angle!$L$7*$B689</f>
      </c>
      <c r="K689" s="12">
        <f>IF(J689&gt;0,IF(J689&lt;=eco,alpha*fck*(1-(1-J689/eco)^n),alpha*fck),0)</f>
      </c>
      <c r="L689" s="30">
        <f>PM_Angle!$J$8+PM_Angle!$K$8*$C689+PM_Angle!$L$8*$B689</f>
      </c>
      <c r="M689" s="12">
        <f>IF(L689&gt;0,IF(L689&lt;=eco,alpha*fck*(1-(1-L689/eco)^n),alpha*fck),0)</f>
      </c>
      <c r="N689" s="30">
        <f>PM_Angle!$J$9+PM_Angle!$K$9*$C689+PM_Angle!$L$9*$B689</f>
      </c>
      <c r="O689" s="12">
        <f>IF(N689&gt;0,IF(N689&lt;=eco,alpha*fck*(1-(1-N689/eco)^n),alpha*fck),0)</f>
      </c>
      <c r="P689" s="30">
        <f>PM_Angle!$J$10+PM_Angle!$K$10*$C689+PM_Angle!$L$10*$B689</f>
      </c>
      <c r="Q689" s="12">
        <f>IF(P689&gt;0,IF(P689&lt;=eco,alpha*fck*(1-(1-P689/eco)^n),alpha*fck),0)</f>
      </c>
      <c r="R689" s="30">
        <f>PM_Angle!$J$11+PM_Angle!$K$11*$C689+PM_Angle!$L$11*$B689</f>
      </c>
      <c r="S689" s="12">
        <f>IF(R689&gt;0,IF(R689&lt;=eco,alpha*fck*(1-(1-R689/eco)^n),alpha*fck),0)</f>
      </c>
      <c r="T689" s="30">
        <f>PM_Angle!$J$12+PM_Angle!$K$12*$C689+PM_Angle!$L$12*$B689</f>
      </c>
      <c r="U689" s="12">
        <f>IF(T689&gt;0,IF(T689&lt;=eco,alpha*fck*(1-(1-T689/eco)^n),alpha*fck),0)</f>
      </c>
      <c r="V689" s="30">
        <f>PM_Angle!$J$13+PM_Angle!$K$13*$C689+PM_Angle!$L$13*$B689</f>
      </c>
      <c r="W689" s="12">
        <f>IF(V689&gt;0,IF(V689&lt;=eco,alpha*fck*(1-(1-V689/eco)^n),alpha*fck),0)</f>
      </c>
      <c r="X689" s="30">
        <f>PM_Angle!$J$14+PM_Angle!$K$14*$C689+PM_Angle!$L$14*$B689</f>
      </c>
      <c r="Y689" s="12">
        <f>IF(X689&gt;0,IF(X689&lt;=eco,alpha*fck*(1-(1-X689/eco)^n),alpha*fck),0)</f>
      </c>
      <c r="Z689" s="30">
        <f>PM_Angle!$J$15+PM_Angle!$K$15*$C689+PM_Angle!$L$15*$B689</f>
      </c>
      <c r="AA689" s="12">
        <f>IF(Z689&gt;0,IF(Z689&lt;=eco,alpha*fck*(1-(1-Z689/eco)^n),alpha*fck),0)</f>
      </c>
      <c r="AB689" s="30">
        <f>PM_Angle!$J$16+PM_Angle!$K$16*$C689+PM_Angle!$L$16*$B689</f>
      </c>
      <c r="AC689" s="12">
        <f>IF(AB689&gt;0,IF(AB689&lt;=eco,alpha*fck*(1-(1-AB689/eco)^n),alpha*fck),0)</f>
      </c>
      <c r="AD689" s="30">
        <f>PM_Angle!$J$17+PM_Angle!$K$17*$C689+PM_Angle!$L$17*$B689</f>
      </c>
      <c r="AE689" s="12">
        <f>IF(AD689&gt;0,IF(AD689&lt;=eco,alpha*fck*(1-(1-AD689/eco)^n),alpha*fck),0)</f>
      </c>
      <c r="AF689" s="30">
        <f>PM_Angle!$J$18+PM_Angle!$K$18*$C689+PM_Angle!$L$18*$B689</f>
      </c>
      <c r="AG689" s="12">
        <f>IF(AF689&gt;0,IF(AF689&lt;=eco,alpha*fck*(1-(1-AF689/eco)^n),alpha*fck),0)</f>
      </c>
      <c r="AH689" s="30">
        <f>PM_Angle!$J$19+PM_Angle!$K$19*$C689+PM_Angle!$L$19*$B689</f>
      </c>
      <c r="AI689" s="12">
        <f>IF(AH689&gt;0,IF(AH689&lt;=eco,alpha*fck*(1-(1-AH689/eco)^n),alpha*fck),0)</f>
      </c>
      <c r="AJ689" s="30">
        <f>PM_Angle!$J$20+PM_Angle!$K$20*$C689+PM_Angle!$L$20*$B689</f>
      </c>
      <c r="AK689" s="12">
        <f>IF(AJ689&gt;0,IF(AJ689&lt;=eco,alpha*fck*(1-(1-AJ689/eco)^n),alpha*fck),0)</f>
      </c>
      <c r="AL689" s="30">
        <f>PM_Angle!$J$21+PM_Angle!$K$21*$C689+PM_Angle!$L$21*$B689</f>
      </c>
      <c r="AM689" s="12">
        <f>IF(AL689&gt;0,IF(AL689&lt;=eco,alpha*fck*(1-(1-AL689/eco)^n),alpha*fck),0)</f>
      </c>
      <c r="AN689" s="30">
        <f>PM_Angle!$J$22+PM_Angle!$K$22*$C689+PM_Angle!$L$22*$B689</f>
      </c>
      <c r="AO689" s="12">
        <f>IF(AN689&gt;0,IF(AN689&lt;=eco,alpha*fck*(1-(1-AN689/eco)^n),alpha*fck),0)</f>
      </c>
      <c r="AP689" s="30">
        <f>PM_Angle!$J$23+PM_Angle!$K$23*$C689+PM_Angle!$L$23*$B689</f>
      </c>
      <c r="AQ689" s="12">
        <f>IF(AP689&gt;0,IF(AP689&lt;=eco,alpha*fck*(1-(1-AP689/eco)^n),alpha*fck),0)</f>
      </c>
      <c r="AR689" s="30">
        <f>PM_Angle!$J$24+PM_Angle!$K$24*$C689+PM_Angle!$L$24*$B689</f>
      </c>
      <c r="AS689" s="12">
        <f>IF(AR689&gt;0,IF(AR689&lt;=eco,alpha*fck*(1-(1-AR689/eco)^n),alpha*fck),0)</f>
      </c>
      <c r="AT689" s="30">
        <f>PM_Angle!$J$25+PM_Angle!$K$25*$C689+PM_Angle!$L$25*$B689</f>
      </c>
      <c r="AU689" s="12">
        <f>IF(AT689&gt;0,IF(AT689&lt;=eco,alpha*fck*(1-(1-AT689/eco)^n),alpha*fck),0)</f>
      </c>
    </row>
    <row r="690" spans="1:47" x14ac:dyDescent="0.25">
      <c r="A690">
        <f>Mesh!A687</f>
      </c>
      <c r="B690" s="12">
        <f>Mesh!B687</f>
      </c>
      <c r="C690" s="12">
        <f>Mesh!C687</f>
      </c>
      <c r="D690" s="12">
        <f>Mesh!D687</f>
      </c>
      <c r="E690" s="30">
        <f>INDEX(St_e0,Det+1)+INDEX(St_kx,Det+1)*C690+INDEX(St_ky,Det+1)*B690</f>
      </c>
      <c r="F690" s="12">
        <f>IF(E690&gt;0,IF(E690&lt;=eco,alpha*fck*(1-(1-E690/eco)^n),alpha*fck),0)</f>
      </c>
      <c r="G690" s="11">
        <f>F690*D690</f>
      </c>
      <c r="H690" s="11">
        <f>G690*C690</f>
      </c>
      <c r="I690" s="11">
        <f>G690*B690</f>
      </c>
      <c r="J690" s="30">
        <f>PM_Angle!$J$7+PM_Angle!$K$7*$C690+PM_Angle!$L$7*$B690</f>
      </c>
      <c r="K690" s="12">
        <f>IF(J690&gt;0,IF(J690&lt;=eco,alpha*fck*(1-(1-J690/eco)^n),alpha*fck),0)</f>
      </c>
      <c r="L690" s="30">
        <f>PM_Angle!$J$8+PM_Angle!$K$8*$C690+PM_Angle!$L$8*$B690</f>
      </c>
      <c r="M690" s="12">
        <f>IF(L690&gt;0,IF(L690&lt;=eco,alpha*fck*(1-(1-L690/eco)^n),alpha*fck),0)</f>
      </c>
      <c r="N690" s="30">
        <f>PM_Angle!$J$9+PM_Angle!$K$9*$C690+PM_Angle!$L$9*$B690</f>
      </c>
      <c r="O690" s="12">
        <f>IF(N690&gt;0,IF(N690&lt;=eco,alpha*fck*(1-(1-N690/eco)^n),alpha*fck),0)</f>
      </c>
      <c r="P690" s="30">
        <f>PM_Angle!$J$10+PM_Angle!$K$10*$C690+PM_Angle!$L$10*$B690</f>
      </c>
      <c r="Q690" s="12">
        <f>IF(P690&gt;0,IF(P690&lt;=eco,alpha*fck*(1-(1-P690/eco)^n),alpha*fck),0)</f>
      </c>
      <c r="R690" s="30">
        <f>PM_Angle!$J$11+PM_Angle!$K$11*$C690+PM_Angle!$L$11*$B690</f>
      </c>
      <c r="S690" s="12">
        <f>IF(R690&gt;0,IF(R690&lt;=eco,alpha*fck*(1-(1-R690/eco)^n),alpha*fck),0)</f>
      </c>
      <c r="T690" s="30">
        <f>PM_Angle!$J$12+PM_Angle!$K$12*$C690+PM_Angle!$L$12*$B690</f>
      </c>
      <c r="U690" s="12">
        <f>IF(T690&gt;0,IF(T690&lt;=eco,alpha*fck*(1-(1-T690/eco)^n),alpha*fck),0)</f>
      </c>
      <c r="V690" s="30">
        <f>PM_Angle!$J$13+PM_Angle!$K$13*$C690+PM_Angle!$L$13*$B690</f>
      </c>
      <c r="W690" s="12">
        <f>IF(V690&gt;0,IF(V690&lt;=eco,alpha*fck*(1-(1-V690/eco)^n),alpha*fck),0)</f>
      </c>
      <c r="X690" s="30">
        <f>PM_Angle!$J$14+PM_Angle!$K$14*$C690+PM_Angle!$L$14*$B690</f>
      </c>
      <c r="Y690" s="12">
        <f>IF(X690&gt;0,IF(X690&lt;=eco,alpha*fck*(1-(1-X690/eco)^n),alpha*fck),0)</f>
      </c>
      <c r="Z690" s="30">
        <f>PM_Angle!$J$15+PM_Angle!$K$15*$C690+PM_Angle!$L$15*$B690</f>
      </c>
      <c r="AA690" s="12">
        <f>IF(Z690&gt;0,IF(Z690&lt;=eco,alpha*fck*(1-(1-Z690/eco)^n),alpha*fck),0)</f>
      </c>
      <c r="AB690" s="30">
        <f>PM_Angle!$J$16+PM_Angle!$K$16*$C690+PM_Angle!$L$16*$B690</f>
      </c>
      <c r="AC690" s="12">
        <f>IF(AB690&gt;0,IF(AB690&lt;=eco,alpha*fck*(1-(1-AB690/eco)^n),alpha*fck),0)</f>
      </c>
      <c r="AD690" s="30">
        <f>PM_Angle!$J$17+PM_Angle!$K$17*$C690+PM_Angle!$L$17*$B690</f>
      </c>
      <c r="AE690" s="12">
        <f>IF(AD690&gt;0,IF(AD690&lt;=eco,alpha*fck*(1-(1-AD690/eco)^n),alpha*fck),0)</f>
      </c>
      <c r="AF690" s="30">
        <f>PM_Angle!$J$18+PM_Angle!$K$18*$C690+PM_Angle!$L$18*$B690</f>
      </c>
      <c r="AG690" s="12">
        <f>IF(AF690&gt;0,IF(AF690&lt;=eco,alpha*fck*(1-(1-AF690/eco)^n),alpha*fck),0)</f>
      </c>
      <c r="AH690" s="30">
        <f>PM_Angle!$J$19+PM_Angle!$K$19*$C690+PM_Angle!$L$19*$B690</f>
      </c>
      <c r="AI690" s="12">
        <f>IF(AH690&gt;0,IF(AH690&lt;=eco,alpha*fck*(1-(1-AH690/eco)^n),alpha*fck),0)</f>
      </c>
      <c r="AJ690" s="30">
        <f>PM_Angle!$J$20+PM_Angle!$K$20*$C690+PM_Angle!$L$20*$B690</f>
      </c>
      <c r="AK690" s="12">
        <f>IF(AJ690&gt;0,IF(AJ690&lt;=eco,alpha*fck*(1-(1-AJ690/eco)^n),alpha*fck),0)</f>
      </c>
      <c r="AL690" s="30">
        <f>PM_Angle!$J$21+PM_Angle!$K$21*$C690+PM_Angle!$L$21*$B690</f>
      </c>
      <c r="AM690" s="12">
        <f>IF(AL690&gt;0,IF(AL690&lt;=eco,alpha*fck*(1-(1-AL690/eco)^n),alpha*fck),0)</f>
      </c>
      <c r="AN690" s="30">
        <f>PM_Angle!$J$22+PM_Angle!$K$22*$C690+PM_Angle!$L$22*$B690</f>
      </c>
      <c r="AO690" s="12">
        <f>IF(AN690&gt;0,IF(AN690&lt;=eco,alpha*fck*(1-(1-AN690/eco)^n),alpha*fck),0)</f>
      </c>
      <c r="AP690" s="30">
        <f>PM_Angle!$J$23+PM_Angle!$K$23*$C690+PM_Angle!$L$23*$B690</f>
      </c>
      <c r="AQ690" s="12">
        <f>IF(AP690&gt;0,IF(AP690&lt;=eco,alpha*fck*(1-(1-AP690/eco)^n),alpha*fck),0)</f>
      </c>
      <c r="AR690" s="30">
        <f>PM_Angle!$J$24+PM_Angle!$K$24*$C690+PM_Angle!$L$24*$B690</f>
      </c>
      <c r="AS690" s="12">
        <f>IF(AR690&gt;0,IF(AR690&lt;=eco,alpha*fck*(1-(1-AR690/eco)^n),alpha*fck),0)</f>
      </c>
      <c r="AT690" s="30">
        <f>PM_Angle!$J$25+PM_Angle!$K$25*$C690+PM_Angle!$L$25*$B690</f>
      </c>
      <c r="AU690" s="12">
        <f>IF(AT690&gt;0,IF(AT690&lt;=eco,alpha*fck*(1-(1-AT690/eco)^n),alpha*fck),0)</f>
      </c>
    </row>
    <row r="691" spans="1:47" x14ac:dyDescent="0.25">
      <c r="A691">
        <f>Mesh!A688</f>
      </c>
      <c r="B691" s="12">
        <f>Mesh!B688</f>
      </c>
      <c r="C691" s="12">
        <f>Mesh!C688</f>
      </c>
      <c r="D691" s="12">
        <f>Mesh!D688</f>
      </c>
      <c r="E691" s="30">
        <f>INDEX(St_e0,Det+1)+INDEX(St_kx,Det+1)*C691+INDEX(St_ky,Det+1)*B691</f>
      </c>
      <c r="F691" s="12">
        <f>IF(E691&gt;0,IF(E691&lt;=eco,alpha*fck*(1-(1-E691/eco)^n),alpha*fck),0)</f>
      </c>
      <c r="G691" s="11">
        <f>F691*D691</f>
      </c>
      <c r="H691" s="11">
        <f>G691*C691</f>
      </c>
      <c r="I691" s="11">
        <f>G691*B691</f>
      </c>
      <c r="J691" s="30">
        <f>PM_Angle!$J$7+PM_Angle!$K$7*$C691+PM_Angle!$L$7*$B691</f>
      </c>
      <c r="K691" s="12">
        <f>IF(J691&gt;0,IF(J691&lt;=eco,alpha*fck*(1-(1-J691/eco)^n),alpha*fck),0)</f>
      </c>
      <c r="L691" s="30">
        <f>PM_Angle!$J$8+PM_Angle!$K$8*$C691+PM_Angle!$L$8*$B691</f>
      </c>
      <c r="M691" s="12">
        <f>IF(L691&gt;0,IF(L691&lt;=eco,alpha*fck*(1-(1-L691/eco)^n),alpha*fck),0)</f>
      </c>
      <c r="N691" s="30">
        <f>PM_Angle!$J$9+PM_Angle!$K$9*$C691+PM_Angle!$L$9*$B691</f>
      </c>
      <c r="O691" s="12">
        <f>IF(N691&gt;0,IF(N691&lt;=eco,alpha*fck*(1-(1-N691/eco)^n),alpha*fck),0)</f>
      </c>
      <c r="P691" s="30">
        <f>PM_Angle!$J$10+PM_Angle!$K$10*$C691+PM_Angle!$L$10*$B691</f>
      </c>
      <c r="Q691" s="12">
        <f>IF(P691&gt;0,IF(P691&lt;=eco,alpha*fck*(1-(1-P691/eco)^n),alpha*fck),0)</f>
      </c>
      <c r="R691" s="30">
        <f>PM_Angle!$J$11+PM_Angle!$K$11*$C691+PM_Angle!$L$11*$B691</f>
      </c>
      <c r="S691" s="12">
        <f>IF(R691&gt;0,IF(R691&lt;=eco,alpha*fck*(1-(1-R691/eco)^n),alpha*fck),0)</f>
      </c>
      <c r="T691" s="30">
        <f>PM_Angle!$J$12+PM_Angle!$K$12*$C691+PM_Angle!$L$12*$B691</f>
      </c>
      <c r="U691" s="12">
        <f>IF(T691&gt;0,IF(T691&lt;=eco,alpha*fck*(1-(1-T691/eco)^n),alpha*fck),0)</f>
      </c>
      <c r="V691" s="30">
        <f>PM_Angle!$J$13+PM_Angle!$K$13*$C691+PM_Angle!$L$13*$B691</f>
      </c>
      <c r="W691" s="12">
        <f>IF(V691&gt;0,IF(V691&lt;=eco,alpha*fck*(1-(1-V691/eco)^n),alpha*fck),0)</f>
      </c>
      <c r="X691" s="30">
        <f>PM_Angle!$J$14+PM_Angle!$K$14*$C691+PM_Angle!$L$14*$B691</f>
      </c>
      <c r="Y691" s="12">
        <f>IF(X691&gt;0,IF(X691&lt;=eco,alpha*fck*(1-(1-X691/eco)^n),alpha*fck),0)</f>
      </c>
      <c r="Z691" s="30">
        <f>PM_Angle!$J$15+PM_Angle!$K$15*$C691+PM_Angle!$L$15*$B691</f>
      </c>
      <c r="AA691" s="12">
        <f>IF(Z691&gt;0,IF(Z691&lt;=eco,alpha*fck*(1-(1-Z691/eco)^n),alpha*fck),0)</f>
      </c>
      <c r="AB691" s="30">
        <f>PM_Angle!$J$16+PM_Angle!$K$16*$C691+PM_Angle!$L$16*$B691</f>
      </c>
      <c r="AC691" s="12">
        <f>IF(AB691&gt;0,IF(AB691&lt;=eco,alpha*fck*(1-(1-AB691/eco)^n),alpha*fck),0)</f>
      </c>
      <c r="AD691" s="30">
        <f>PM_Angle!$J$17+PM_Angle!$K$17*$C691+PM_Angle!$L$17*$B691</f>
      </c>
      <c r="AE691" s="12">
        <f>IF(AD691&gt;0,IF(AD691&lt;=eco,alpha*fck*(1-(1-AD691/eco)^n),alpha*fck),0)</f>
      </c>
      <c r="AF691" s="30">
        <f>PM_Angle!$J$18+PM_Angle!$K$18*$C691+PM_Angle!$L$18*$B691</f>
      </c>
      <c r="AG691" s="12">
        <f>IF(AF691&gt;0,IF(AF691&lt;=eco,alpha*fck*(1-(1-AF691/eco)^n),alpha*fck),0)</f>
      </c>
      <c r="AH691" s="30">
        <f>PM_Angle!$J$19+PM_Angle!$K$19*$C691+PM_Angle!$L$19*$B691</f>
      </c>
      <c r="AI691" s="12">
        <f>IF(AH691&gt;0,IF(AH691&lt;=eco,alpha*fck*(1-(1-AH691/eco)^n),alpha*fck),0)</f>
      </c>
      <c r="AJ691" s="30">
        <f>PM_Angle!$J$20+PM_Angle!$K$20*$C691+PM_Angle!$L$20*$B691</f>
      </c>
      <c r="AK691" s="12">
        <f>IF(AJ691&gt;0,IF(AJ691&lt;=eco,alpha*fck*(1-(1-AJ691/eco)^n),alpha*fck),0)</f>
      </c>
      <c r="AL691" s="30">
        <f>PM_Angle!$J$21+PM_Angle!$K$21*$C691+PM_Angle!$L$21*$B691</f>
      </c>
      <c r="AM691" s="12">
        <f>IF(AL691&gt;0,IF(AL691&lt;=eco,alpha*fck*(1-(1-AL691/eco)^n),alpha*fck),0)</f>
      </c>
      <c r="AN691" s="30">
        <f>PM_Angle!$J$22+PM_Angle!$K$22*$C691+PM_Angle!$L$22*$B691</f>
      </c>
      <c r="AO691" s="12">
        <f>IF(AN691&gt;0,IF(AN691&lt;=eco,alpha*fck*(1-(1-AN691/eco)^n),alpha*fck),0)</f>
      </c>
      <c r="AP691" s="30">
        <f>PM_Angle!$J$23+PM_Angle!$K$23*$C691+PM_Angle!$L$23*$B691</f>
      </c>
      <c r="AQ691" s="12">
        <f>IF(AP691&gt;0,IF(AP691&lt;=eco,alpha*fck*(1-(1-AP691/eco)^n),alpha*fck),0)</f>
      </c>
      <c r="AR691" s="30">
        <f>PM_Angle!$J$24+PM_Angle!$K$24*$C691+PM_Angle!$L$24*$B691</f>
      </c>
      <c r="AS691" s="12">
        <f>IF(AR691&gt;0,IF(AR691&lt;=eco,alpha*fck*(1-(1-AR691/eco)^n),alpha*fck),0)</f>
      </c>
      <c r="AT691" s="30">
        <f>PM_Angle!$J$25+PM_Angle!$K$25*$C691+PM_Angle!$L$25*$B691</f>
      </c>
      <c r="AU691" s="12">
        <f>IF(AT691&gt;0,IF(AT691&lt;=eco,alpha*fck*(1-(1-AT691/eco)^n),alpha*fck),0)</f>
      </c>
    </row>
    <row r="692" spans="1:47" x14ac:dyDescent="0.25">
      <c r="A692">
        <f>Mesh!A689</f>
      </c>
      <c r="B692" s="12">
        <f>Mesh!B689</f>
      </c>
      <c r="C692" s="12">
        <f>Mesh!C689</f>
      </c>
      <c r="D692" s="12">
        <f>Mesh!D689</f>
      </c>
      <c r="E692" s="30">
        <f>INDEX(St_e0,Det+1)+INDEX(St_kx,Det+1)*C692+INDEX(St_ky,Det+1)*B692</f>
      </c>
      <c r="F692" s="12">
        <f>IF(E692&gt;0,IF(E692&lt;=eco,alpha*fck*(1-(1-E692/eco)^n),alpha*fck),0)</f>
      </c>
      <c r="G692" s="11">
        <f>F692*D692</f>
      </c>
      <c r="H692" s="11">
        <f>G692*C692</f>
      </c>
      <c r="I692" s="11">
        <f>G692*B692</f>
      </c>
      <c r="J692" s="30">
        <f>PM_Angle!$J$7+PM_Angle!$K$7*$C692+PM_Angle!$L$7*$B692</f>
      </c>
      <c r="K692" s="12">
        <f>IF(J692&gt;0,IF(J692&lt;=eco,alpha*fck*(1-(1-J692/eco)^n),alpha*fck),0)</f>
      </c>
      <c r="L692" s="30">
        <f>PM_Angle!$J$8+PM_Angle!$K$8*$C692+PM_Angle!$L$8*$B692</f>
      </c>
      <c r="M692" s="12">
        <f>IF(L692&gt;0,IF(L692&lt;=eco,alpha*fck*(1-(1-L692/eco)^n),alpha*fck),0)</f>
      </c>
      <c r="N692" s="30">
        <f>PM_Angle!$J$9+PM_Angle!$K$9*$C692+PM_Angle!$L$9*$B692</f>
      </c>
      <c r="O692" s="12">
        <f>IF(N692&gt;0,IF(N692&lt;=eco,alpha*fck*(1-(1-N692/eco)^n),alpha*fck),0)</f>
      </c>
      <c r="P692" s="30">
        <f>PM_Angle!$J$10+PM_Angle!$K$10*$C692+PM_Angle!$L$10*$B692</f>
      </c>
      <c r="Q692" s="12">
        <f>IF(P692&gt;0,IF(P692&lt;=eco,alpha*fck*(1-(1-P692/eco)^n),alpha*fck),0)</f>
      </c>
      <c r="R692" s="30">
        <f>PM_Angle!$J$11+PM_Angle!$K$11*$C692+PM_Angle!$L$11*$B692</f>
      </c>
      <c r="S692" s="12">
        <f>IF(R692&gt;0,IF(R692&lt;=eco,alpha*fck*(1-(1-R692/eco)^n),alpha*fck),0)</f>
      </c>
      <c r="T692" s="30">
        <f>PM_Angle!$J$12+PM_Angle!$K$12*$C692+PM_Angle!$L$12*$B692</f>
      </c>
      <c r="U692" s="12">
        <f>IF(T692&gt;0,IF(T692&lt;=eco,alpha*fck*(1-(1-T692/eco)^n),alpha*fck),0)</f>
      </c>
      <c r="V692" s="30">
        <f>PM_Angle!$J$13+PM_Angle!$K$13*$C692+PM_Angle!$L$13*$B692</f>
      </c>
      <c r="W692" s="12">
        <f>IF(V692&gt;0,IF(V692&lt;=eco,alpha*fck*(1-(1-V692/eco)^n),alpha*fck),0)</f>
      </c>
      <c r="X692" s="30">
        <f>PM_Angle!$J$14+PM_Angle!$K$14*$C692+PM_Angle!$L$14*$B692</f>
      </c>
      <c r="Y692" s="12">
        <f>IF(X692&gt;0,IF(X692&lt;=eco,alpha*fck*(1-(1-X692/eco)^n),alpha*fck),0)</f>
      </c>
      <c r="Z692" s="30">
        <f>PM_Angle!$J$15+PM_Angle!$K$15*$C692+PM_Angle!$L$15*$B692</f>
      </c>
      <c r="AA692" s="12">
        <f>IF(Z692&gt;0,IF(Z692&lt;=eco,alpha*fck*(1-(1-Z692/eco)^n),alpha*fck),0)</f>
      </c>
      <c r="AB692" s="30">
        <f>PM_Angle!$J$16+PM_Angle!$K$16*$C692+PM_Angle!$L$16*$B692</f>
      </c>
      <c r="AC692" s="12">
        <f>IF(AB692&gt;0,IF(AB692&lt;=eco,alpha*fck*(1-(1-AB692/eco)^n),alpha*fck),0)</f>
      </c>
      <c r="AD692" s="30">
        <f>PM_Angle!$J$17+PM_Angle!$K$17*$C692+PM_Angle!$L$17*$B692</f>
      </c>
      <c r="AE692" s="12">
        <f>IF(AD692&gt;0,IF(AD692&lt;=eco,alpha*fck*(1-(1-AD692/eco)^n),alpha*fck),0)</f>
      </c>
      <c r="AF692" s="30">
        <f>PM_Angle!$J$18+PM_Angle!$K$18*$C692+PM_Angle!$L$18*$B692</f>
      </c>
      <c r="AG692" s="12">
        <f>IF(AF692&gt;0,IF(AF692&lt;=eco,alpha*fck*(1-(1-AF692/eco)^n),alpha*fck),0)</f>
      </c>
      <c r="AH692" s="30">
        <f>PM_Angle!$J$19+PM_Angle!$K$19*$C692+PM_Angle!$L$19*$B692</f>
      </c>
      <c r="AI692" s="12">
        <f>IF(AH692&gt;0,IF(AH692&lt;=eco,alpha*fck*(1-(1-AH692/eco)^n),alpha*fck),0)</f>
      </c>
      <c r="AJ692" s="30">
        <f>PM_Angle!$J$20+PM_Angle!$K$20*$C692+PM_Angle!$L$20*$B692</f>
      </c>
      <c r="AK692" s="12">
        <f>IF(AJ692&gt;0,IF(AJ692&lt;=eco,alpha*fck*(1-(1-AJ692/eco)^n),alpha*fck),0)</f>
      </c>
      <c r="AL692" s="30">
        <f>PM_Angle!$J$21+PM_Angle!$K$21*$C692+PM_Angle!$L$21*$B692</f>
      </c>
      <c r="AM692" s="12">
        <f>IF(AL692&gt;0,IF(AL692&lt;=eco,alpha*fck*(1-(1-AL692/eco)^n),alpha*fck),0)</f>
      </c>
      <c r="AN692" s="30">
        <f>PM_Angle!$J$22+PM_Angle!$K$22*$C692+PM_Angle!$L$22*$B692</f>
      </c>
      <c r="AO692" s="12">
        <f>IF(AN692&gt;0,IF(AN692&lt;=eco,alpha*fck*(1-(1-AN692/eco)^n),alpha*fck),0)</f>
      </c>
      <c r="AP692" s="30">
        <f>PM_Angle!$J$23+PM_Angle!$K$23*$C692+PM_Angle!$L$23*$B692</f>
      </c>
      <c r="AQ692" s="12">
        <f>IF(AP692&gt;0,IF(AP692&lt;=eco,alpha*fck*(1-(1-AP692/eco)^n),alpha*fck),0)</f>
      </c>
      <c r="AR692" s="30">
        <f>PM_Angle!$J$24+PM_Angle!$K$24*$C692+PM_Angle!$L$24*$B692</f>
      </c>
      <c r="AS692" s="12">
        <f>IF(AR692&gt;0,IF(AR692&lt;=eco,alpha*fck*(1-(1-AR692/eco)^n),alpha*fck),0)</f>
      </c>
      <c r="AT692" s="30">
        <f>PM_Angle!$J$25+PM_Angle!$K$25*$C692+PM_Angle!$L$25*$B692</f>
      </c>
      <c r="AU692" s="12">
        <f>IF(AT692&gt;0,IF(AT692&lt;=eco,alpha*fck*(1-(1-AT692/eco)^n),alpha*fck),0)</f>
      </c>
    </row>
    <row r="693" spans="1:47" x14ac:dyDescent="0.25">
      <c r="A693">
        <f>Mesh!A690</f>
      </c>
      <c r="B693" s="12">
        <f>Mesh!B690</f>
      </c>
      <c r="C693" s="12">
        <f>Mesh!C690</f>
      </c>
      <c r="D693" s="12">
        <f>Mesh!D690</f>
      </c>
      <c r="E693" s="30">
        <f>INDEX(St_e0,Det+1)+INDEX(St_kx,Det+1)*C693+INDEX(St_ky,Det+1)*B693</f>
      </c>
      <c r="F693" s="12">
        <f>IF(E693&gt;0,IF(E693&lt;=eco,alpha*fck*(1-(1-E693/eco)^n),alpha*fck),0)</f>
      </c>
      <c r="G693" s="11">
        <f>F693*D693</f>
      </c>
      <c r="H693" s="11">
        <f>G693*C693</f>
      </c>
      <c r="I693" s="11">
        <f>G693*B693</f>
      </c>
      <c r="J693" s="30">
        <f>PM_Angle!$J$7+PM_Angle!$K$7*$C693+PM_Angle!$L$7*$B693</f>
      </c>
      <c r="K693" s="12">
        <f>IF(J693&gt;0,IF(J693&lt;=eco,alpha*fck*(1-(1-J693/eco)^n),alpha*fck),0)</f>
      </c>
      <c r="L693" s="30">
        <f>PM_Angle!$J$8+PM_Angle!$K$8*$C693+PM_Angle!$L$8*$B693</f>
      </c>
      <c r="M693" s="12">
        <f>IF(L693&gt;0,IF(L693&lt;=eco,alpha*fck*(1-(1-L693/eco)^n),alpha*fck),0)</f>
      </c>
      <c r="N693" s="30">
        <f>PM_Angle!$J$9+PM_Angle!$K$9*$C693+PM_Angle!$L$9*$B693</f>
      </c>
      <c r="O693" s="12">
        <f>IF(N693&gt;0,IF(N693&lt;=eco,alpha*fck*(1-(1-N693/eco)^n),alpha*fck),0)</f>
      </c>
      <c r="P693" s="30">
        <f>PM_Angle!$J$10+PM_Angle!$K$10*$C693+PM_Angle!$L$10*$B693</f>
      </c>
      <c r="Q693" s="12">
        <f>IF(P693&gt;0,IF(P693&lt;=eco,alpha*fck*(1-(1-P693/eco)^n),alpha*fck),0)</f>
      </c>
      <c r="R693" s="30">
        <f>PM_Angle!$J$11+PM_Angle!$K$11*$C693+PM_Angle!$L$11*$B693</f>
      </c>
      <c r="S693" s="12">
        <f>IF(R693&gt;0,IF(R693&lt;=eco,alpha*fck*(1-(1-R693/eco)^n),alpha*fck),0)</f>
      </c>
      <c r="T693" s="30">
        <f>PM_Angle!$J$12+PM_Angle!$K$12*$C693+PM_Angle!$L$12*$B693</f>
      </c>
      <c r="U693" s="12">
        <f>IF(T693&gt;0,IF(T693&lt;=eco,alpha*fck*(1-(1-T693/eco)^n),alpha*fck),0)</f>
      </c>
      <c r="V693" s="30">
        <f>PM_Angle!$J$13+PM_Angle!$K$13*$C693+PM_Angle!$L$13*$B693</f>
      </c>
      <c r="W693" s="12">
        <f>IF(V693&gt;0,IF(V693&lt;=eco,alpha*fck*(1-(1-V693/eco)^n),alpha*fck),0)</f>
      </c>
      <c r="X693" s="30">
        <f>PM_Angle!$J$14+PM_Angle!$K$14*$C693+PM_Angle!$L$14*$B693</f>
      </c>
      <c r="Y693" s="12">
        <f>IF(X693&gt;0,IF(X693&lt;=eco,alpha*fck*(1-(1-X693/eco)^n),alpha*fck),0)</f>
      </c>
      <c r="Z693" s="30">
        <f>PM_Angle!$J$15+PM_Angle!$K$15*$C693+PM_Angle!$L$15*$B693</f>
      </c>
      <c r="AA693" s="12">
        <f>IF(Z693&gt;0,IF(Z693&lt;=eco,alpha*fck*(1-(1-Z693/eco)^n),alpha*fck),0)</f>
      </c>
      <c r="AB693" s="30">
        <f>PM_Angle!$J$16+PM_Angle!$K$16*$C693+PM_Angle!$L$16*$B693</f>
      </c>
      <c r="AC693" s="12">
        <f>IF(AB693&gt;0,IF(AB693&lt;=eco,alpha*fck*(1-(1-AB693/eco)^n),alpha*fck),0)</f>
      </c>
      <c r="AD693" s="30">
        <f>PM_Angle!$J$17+PM_Angle!$K$17*$C693+PM_Angle!$L$17*$B693</f>
      </c>
      <c r="AE693" s="12">
        <f>IF(AD693&gt;0,IF(AD693&lt;=eco,alpha*fck*(1-(1-AD693/eco)^n),alpha*fck),0)</f>
      </c>
      <c r="AF693" s="30">
        <f>PM_Angle!$J$18+PM_Angle!$K$18*$C693+PM_Angle!$L$18*$B693</f>
      </c>
      <c r="AG693" s="12">
        <f>IF(AF693&gt;0,IF(AF693&lt;=eco,alpha*fck*(1-(1-AF693/eco)^n),alpha*fck),0)</f>
      </c>
      <c r="AH693" s="30">
        <f>PM_Angle!$J$19+PM_Angle!$K$19*$C693+PM_Angle!$L$19*$B693</f>
      </c>
      <c r="AI693" s="12">
        <f>IF(AH693&gt;0,IF(AH693&lt;=eco,alpha*fck*(1-(1-AH693/eco)^n),alpha*fck),0)</f>
      </c>
      <c r="AJ693" s="30">
        <f>PM_Angle!$J$20+PM_Angle!$K$20*$C693+PM_Angle!$L$20*$B693</f>
      </c>
      <c r="AK693" s="12">
        <f>IF(AJ693&gt;0,IF(AJ693&lt;=eco,alpha*fck*(1-(1-AJ693/eco)^n),alpha*fck),0)</f>
      </c>
      <c r="AL693" s="30">
        <f>PM_Angle!$J$21+PM_Angle!$K$21*$C693+PM_Angle!$L$21*$B693</f>
      </c>
      <c r="AM693" s="12">
        <f>IF(AL693&gt;0,IF(AL693&lt;=eco,alpha*fck*(1-(1-AL693/eco)^n),alpha*fck),0)</f>
      </c>
      <c r="AN693" s="30">
        <f>PM_Angle!$J$22+PM_Angle!$K$22*$C693+PM_Angle!$L$22*$B693</f>
      </c>
      <c r="AO693" s="12">
        <f>IF(AN693&gt;0,IF(AN693&lt;=eco,alpha*fck*(1-(1-AN693/eco)^n),alpha*fck),0)</f>
      </c>
      <c r="AP693" s="30">
        <f>PM_Angle!$J$23+PM_Angle!$K$23*$C693+PM_Angle!$L$23*$B693</f>
      </c>
      <c r="AQ693" s="12">
        <f>IF(AP693&gt;0,IF(AP693&lt;=eco,alpha*fck*(1-(1-AP693/eco)^n),alpha*fck),0)</f>
      </c>
      <c r="AR693" s="30">
        <f>PM_Angle!$J$24+PM_Angle!$K$24*$C693+PM_Angle!$L$24*$B693</f>
      </c>
      <c r="AS693" s="12">
        <f>IF(AR693&gt;0,IF(AR693&lt;=eco,alpha*fck*(1-(1-AR693/eco)^n),alpha*fck),0)</f>
      </c>
      <c r="AT693" s="30">
        <f>PM_Angle!$J$25+PM_Angle!$K$25*$C693+PM_Angle!$L$25*$B693</f>
      </c>
      <c r="AU693" s="12">
        <f>IF(AT693&gt;0,IF(AT693&lt;=eco,alpha*fck*(1-(1-AT693/eco)^n),alpha*fck),0)</f>
      </c>
    </row>
    <row r="694" spans="1:47" x14ac:dyDescent="0.25">
      <c r="A694">
        <f>Mesh!A691</f>
      </c>
      <c r="B694" s="12">
        <f>Mesh!B691</f>
      </c>
      <c r="C694" s="12">
        <f>Mesh!C691</f>
      </c>
      <c r="D694" s="12">
        <f>Mesh!D691</f>
      </c>
      <c r="E694" s="30">
        <f>INDEX(St_e0,Det+1)+INDEX(St_kx,Det+1)*C694+INDEX(St_ky,Det+1)*B694</f>
      </c>
      <c r="F694" s="12">
        <f>IF(E694&gt;0,IF(E694&lt;=eco,alpha*fck*(1-(1-E694/eco)^n),alpha*fck),0)</f>
      </c>
      <c r="G694" s="11">
        <f>F694*D694</f>
      </c>
      <c r="H694" s="11">
        <f>G694*C694</f>
      </c>
      <c r="I694" s="11">
        <f>G694*B694</f>
      </c>
      <c r="J694" s="30">
        <f>PM_Angle!$J$7+PM_Angle!$K$7*$C694+PM_Angle!$L$7*$B694</f>
      </c>
      <c r="K694" s="12">
        <f>IF(J694&gt;0,IF(J694&lt;=eco,alpha*fck*(1-(1-J694/eco)^n),alpha*fck),0)</f>
      </c>
      <c r="L694" s="30">
        <f>PM_Angle!$J$8+PM_Angle!$K$8*$C694+PM_Angle!$L$8*$B694</f>
      </c>
      <c r="M694" s="12">
        <f>IF(L694&gt;0,IF(L694&lt;=eco,alpha*fck*(1-(1-L694/eco)^n),alpha*fck),0)</f>
      </c>
      <c r="N694" s="30">
        <f>PM_Angle!$J$9+PM_Angle!$K$9*$C694+PM_Angle!$L$9*$B694</f>
      </c>
      <c r="O694" s="12">
        <f>IF(N694&gt;0,IF(N694&lt;=eco,alpha*fck*(1-(1-N694/eco)^n),alpha*fck),0)</f>
      </c>
      <c r="P694" s="30">
        <f>PM_Angle!$J$10+PM_Angle!$K$10*$C694+PM_Angle!$L$10*$B694</f>
      </c>
      <c r="Q694" s="12">
        <f>IF(P694&gt;0,IF(P694&lt;=eco,alpha*fck*(1-(1-P694/eco)^n),alpha*fck),0)</f>
      </c>
      <c r="R694" s="30">
        <f>PM_Angle!$J$11+PM_Angle!$K$11*$C694+PM_Angle!$L$11*$B694</f>
      </c>
      <c r="S694" s="12">
        <f>IF(R694&gt;0,IF(R694&lt;=eco,alpha*fck*(1-(1-R694/eco)^n),alpha*fck),0)</f>
      </c>
      <c r="T694" s="30">
        <f>PM_Angle!$J$12+PM_Angle!$K$12*$C694+PM_Angle!$L$12*$B694</f>
      </c>
      <c r="U694" s="12">
        <f>IF(T694&gt;0,IF(T694&lt;=eco,alpha*fck*(1-(1-T694/eco)^n),alpha*fck),0)</f>
      </c>
      <c r="V694" s="30">
        <f>PM_Angle!$J$13+PM_Angle!$K$13*$C694+PM_Angle!$L$13*$B694</f>
      </c>
      <c r="W694" s="12">
        <f>IF(V694&gt;0,IF(V694&lt;=eco,alpha*fck*(1-(1-V694/eco)^n),alpha*fck),0)</f>
      </c>
      <c r="X694" s="30">
        <f>PM_Angle!$J$14+PM_Angle!$K$14*$C694+PM_Angle!$L$14*$B694</f>
      </c>
      <c r="Y694" s="12">
        <f>IF(X694&gt;0,IF(X694&lt;=eco,alpha*fck*(1-(1-X694/eco)^n),alpha*fck),0)</f>
      </c>
      <c r="Z694" s="30">
        <f>PM_Angle!$J$15+PM_Angle!$K$15*$C694+PM_Angle!$L$15*$B694</f>
      </c>
      <c r="AA694" s="12">
        <f>IF(Z694&gt;0,IF(Z694&lt;=eco,alpha*fck*(1-(1-Z694/eco)^n),alpha*fck),0)</f>
      </c>
      <c r="AB694" s="30">
        <f>PM_Angle!$J$16+PM_Angle!$K$16*$C694+PM_Angle!$L$16*$B694</f>
      </c>
      <c r="AC694" s="12">
        <f>IF(AB694&gt;0,IF(AB694&lt;=eco,alpha*fck*(1-(1-AB694/eco)^n),alpha*fck),0)</f>
      </c>
      <c r="AD694" s="30">
        <f>PM_Angle!$J$17+PM_Angle!$K$17*$C694+PM_Angle!$L$17*$B694</f>
      </c>
      <c r="AE694" s="12">
        <f>IF(AD694&gt;0,IF(AD694&lt;=eco,alpha*fck*(1-(1-AD694/eco)^n),alpha*fck),0)</f>
      </c>
      <c r="AF694" s="30">
        <f>PM_Angle!$J$18+PM_Angle!$K$18*$C694+PM_Angle!$L$18*$B694</f>
      </c>
      <c r="AG694" s="12">
        <f>IF(AF694&gt;0,IF(AF694&lt;=eco,alpha*fck*(1-(1-AF694/eco)^n),alpha*fck),0)</f>
      </c>
      <c r="AH694" s="30">
        <f>PM_Angle!$J$19+PM_Angle!$K$19*$C694+PM_Angle!$L$19*$B694</f>
      </c>
      <c r="AI694" s="12">
        <f>IF(AH694&gt;0,IF(AH694&lt;=eco,alpha*fck*(1-(1-AH694/eco)^n),alpha*fck),0)</f>
      </c>
      <c r="AJ694" s="30">
        <f>PM_Angle!$J$20+PM_Angle!$K$20*$C694+PM_Angle!$L$20*$B694</f>
      </c>
      <c r="AK694" s="12">
        <f>IF(AJ694&gt;0,IF(AJ694&lt;=eco,alpha*fck*(1-(1-AJ694/eco)^n),alpha*fck),0)</f>
      </c>
      <c r="AL694" s="30">
        <f>PM_Angle!$J$21+PM_Angle!$K$21*$C694+PM_Angle!$L$21*$B694</f>
      </c>
      <c r="AM694" s="12">
        <f>IF(AL694&gt;0,IF(AL694&lt;=eco,alpha*fck*(1-(1-AL694/eco)^n),alpha*fck),0)</f>
      </c>
      <c r="AN694" s="30">
        <f>PM_Angle!$J$22+PM_Angle!$K$22*$C694+PM_Angle!$L$22*$B694</f>
      </c>
      <c r="AO694" s="12">
        <f>IF(AN694&gt;0,IF(AN694&lt;=eco,alpha*fck*(1-(1-AN694/eco)^n),alpha*fck),0)</f>
      </c>
      <c r="AP694" s="30">
        <f>PM_Angle!$J$23+PM_Angle!$K$23*$C694+PM_Angle!$L$23*$B694</f>
      </c>
      <c r="AQ694" s="12">
        <f>IF(AP694&gt;0,IF(AP694&lt;=eco,alpha*fck*(1-(1-AP694/eco)^n),alpha*fck),0)</f>
      </c>
      <c r="AR694" s="30">
        <f>PM_Angle!$J$24+PM_Angle!$K$24*$C694+PM_Angle!$L$24*$B694</f>
      </c>
      <c r="AS694" s="12">
        <f>IF(AR694&gt;0,IF(AR694&lt;=eco,alpha*fck*(1-(1-AR694/eco)^n),alpha*fck),0)</f>
      </c>
      <c r="AT694" s="30">
        <f>PM_Angle!$J$25+PM_Angle!$K$25*$C694+PM_Angle!$L$25*$B694</f>
      </c>
      <c r="AU694" s="12">
        <f>IF(AT694&gt;0,IF(AT694&lt;=eco,alpha*fck*(1-(1-AT694/eco)^n),alpha*fck),0)</f>
      </c>
    </row>
    <row r="695" spans="1:47" x14ac:dyDescent="0.25">
      <c r="A695">
        <f>Mesh!A692</f>
      </c>
      <c r="B695" s="12">
        <f>Mesh!B692</f>
      </c>
      <c r="C695" s="12">
        <f>Mesh!C692</f>
      </c>
      <c r="D695" s="12">
        <f>Mesh!D692</f>
      </c>
      <c r="E695" s="30">
        <f>INDEX(St_e0,Det+1)+INDEX(St_kx,Det+1)*C695+INDEX(St_ky,Det+1)*B695</f>
      </c>
      <c r="F695" s="12">
        <f>IF(E695&gt;0,IF(E695&lt;=eco,alpha*fck*(1-(1-E695/eco)^n),alpha*fck),0)</f>
      </c>
      <c r="G695" s="11">
        <f>F695*D695</f>
      </c>
      <c r="H695" s="11">
        <f>G695*C695</f>
      </c>
      <c r="I695" s="11">
        <f>G695*B695</f>
      </c>
      <c r="J695" s="30">
        <f>PM_Angle!$J$7+PM_Angle!$K$7*$C695+PM_Angle!$L$7*$B695</f>
      </c>
      <c r="K695" s="12">
        <f>IF(J695&gt;0,IF(J695&lt;=eco,alpha*fck*(1-(1-J695/eco)^n),alpha*fck),0)</f>
      </c>
      <c r="L695" s="30">
        <f>PM_Angle!$J$8+PM_Angle!$K$8*$C695+PM_Angle!$L$8*$B695</f>
      </c>
      <c r="M695" s="12">
        <f>IF(L695&gt;0,IF(L695&lt;=eco,alpha*fck*(1-(1-L695/eco)^n),alpha*fck),0)</f>
      </c>
      <c r="N695" s="30">
        <f>PM_Angle!$J$9+PM_Angle!$K$9*$C695+PM_Angle!$L$9*$B695</f>
      </c>
      <c r="O695" s="12">
        <f>IF(N695&gt;0,IF(N695&lt;=eco,alpha*fck*(1-(1-N695/eco)^n),alpha*fck),0)</f>
      </c>
      <c r="P695" s="30">
        <f>PM_Angle!$J$10+PM_Angle!$K$10*$C695+PM_Angle!$L$10*$B695</f>
      </c>
      <c r="Q695" s="12">
        <f>IF(P695&gt;0,IF(P695&lt;=eco,alpha*fck*(1-(1-P695/eco)^n),alpha*fck),0)</f>
      </c>
      <c r="R695" s="30">
        <f>PM_Angle!$J$11+PM_Angle!$K$11*$C695+PM_Angle!$L$11*$B695</f>
      </c>
      <c r="S695" s="12">
        <f>IF(R695&gt;0,IF(R695&lt;=eco,alpha*fck*(1-(1-R695/eco)^n),alpha*fck),0)</f>
      </c>
      <c r="T695" s="30">
        <f>PM_Angle!$J$12+PM_Angle!$K$12*$C695+PM_Angle!$L$12*$B695</f>
      </c>
      <c r="U695" s="12">
        <f>IF(T695&gt;0,IF(T695&lt;=eco,alpha*fck*(1-(1-T695/eco)^n),alpha*fck),0)</f>
      </c>
      <c r="V695" s="30">
        <f>PM_Angle!$J$13+PM_Angle!$K$13*$C695+PM_Angle!$L$13*$B695</f>
      </c>
      <c r="W695" s="12">
        <f>IF(V695&gt;0,IF(V695&lt;=eco,alpha*fck*(1-(1-V695/eco)^n),alpha*fck),0)</f>
      </c>
      <c r="X695" s="30">
        <f>PM_Angle!$J$14+PM_Angle!$K$14*$C695+PM_Angle!$L$14*$B695</f>
      </c>
      <c r="Y695" s="12">
        <f>IF(X695&gt;0,IF(X695&lt;=eco,alpha*fck*(1-(1-X695/eco)^n),alpha*fck),0)</f>
      </c>
      <c r="Z695" s="30">
        <f>PM_Angle!$J$15+PM_Angle!$K$15*$C695+PM_Angle!$L$15*$B695</f>
      </c>
      <c r="AA695" s="12">
        <f>IF(Z695&gt;0,IF(Z695&lt;=eco,alpha*fck*(1-(1-Z695/eco)^n),alpha*fck),0)</f>
      </c>
      <c r="AB695" s="30">
        <f>PM_Angle!$J$16+PM_Angle!$K$16*$C695+PM_Angle!$L$16*$B695</f>
      </c>
      <c r="AC695" s="12">
        <f>IF(AB695&gt;0,IF(AB695&lt;=eco,alpha*fck*(1-(1-AB695/eco)^n),alpha*fck),0)</f>
      </c>
      <c r="AD695" s="30">
        <f>PM_Angle!$J$17+PM_Angle!$K$17*$C695+PM_Angle!$L$17*$B695</f>
      </c>
      <c r="AE695" s="12">
        <f>IF(AD695&gt;0,IF(AD695&lt;=eco,alpha*fck*(1-(1-AD695/eco)^n),alpha*fck),0)</f>
      </c>
      <c r="AF695" s="30">
        <f>PM_Angle!$J$18+PM_Angle!$K$18*$C695+PM_Angle!$L$18*$B695</f>
      </c>
      <c r="AG695" s="12">
        <f>IF(AF695&gt;0,IF(AF695&lt;=eco,alpha*fck*(1-(1-AF695/eco)^n),alpha*fck),0)</f>
      </c>
      <c r="AH695" s="30">
        <f>PM_Angle!$J$19+PM_Angle!$K$19*$C695+PM_Angle!$L$19*$B695</f>
      </c>
      <c r="AI695" s="12">
        <f>IF(AH695&gt;0,IF(AH695&lt;=eco,alpha*fck*(1-(1-AH695/eco)^n),alpha*fck),0)</f>
      </c>
      <c r="AJ695" s="30">
        <f>PM_Angle!$J$20+PM_Angle!$K$20*$C695+PM_Angle!$L$20*$B695</f>
      </c>
      <c r="AK695" s="12">
        <f>IF(AJ695&gt;0,IF(AJ695&lt;=eco,alpha*fck*(1-(1-AJ695/eco)^n),alpha*fck),0)</f>
      </c>
      <c r="AL695" s="30">
        <f>PM_Angle!$J$21+PM_Angle!$K$21*$C695+PM_Angle!$L$21*$B695</f>
      </c>
      <c r="AM695" s="12">
        <f>IF(AL695&gt;0,IF(AL695&lt;=eco,alpha*fck*(1-(1-AL695/eco)^n),alpha*fck),0)</f>
      </c>
      <c r="AN695" s="30">
        <f>PM_Angle!$J$22+PM_Angle!$K$22*$C695+PM_Angle!$L$22*$B695</f>
      </c>
      <c r="AO695" s="12">
        <f>IF(AN695&gt;0,IF(AN695&lt;=eco,alpha*fck*(1-(1-AN695/eco)^n),alpha*fck),0)</f>
      </c>
      <c r="AP695" s="30">
        <f>PM_Angle!$J$23+PM_Angle!$K$23*$C695+PM_Angle!$L$23*$B695</f>
      </c>
      <c r="AQ695" s="12">
        <f>IF(AP695&gt;0,IF(AP695&lt;=eco,alpha*fck*(1-(1-AP695/eco)^n),alpha*fck),0)</f>
      </c>
      <c r="AR695" s="30">
        <f>PM_Angle!$J$24+PM_Angle!$K$24*$C695+PM_Angle!$L$24*$B695</f>
      </c>
      <c r="AS695" s="12">
        <f>IF(AR695&gt;0,IF(AR695&lt;=eco,alpha*fck*(1-(1-AR695/eco)^n),alpha*fck),0)</f>
      </c>
      <c r="AT695" s="30">
        <f>PM_Angle!$J$25+PM_Angle!$K$25*$C695+PM_Angle!$L$25*$B695</f>
      </c>
      <c r="AU695" s="12">
        <f>IF(AT695&gt;0,IF(AT695&lt;=eco,alpha*fck*(1-(1-AT695/eco)^n),alpha*fck),0)</f>
      </c>
    </row>
    <row r="696" spans="1:47" x14ac:dyDescent="0.25">
      <c r="A696">
        <f>Mesh!A693</f>
      </c>
      <c r="B696" s="12">
        <f>Mesh!B693</f>
      </c>
      <c r="C696" s="12">
        <f>Mesh!C693</f>
      </c>
      <c r="D696" s="12">
        <f>Mesh!D693</f>
      </c>
      <c r="E696" s="30">
        <f>INDEX(St_e0,Det+1)+INDEX(St_kx,Det+1)*C696+INDEX(St_ky,Det+1)*B696</f>
      </c>
      <c r="F696" s="12">
        <f>IF(E696&gt;0,IF(E696&lt;=eco,alpha*fck*(1-(1-E696/eco)^n),alpha*fck),0)</f>
      </c>
      <c r="G696" s="11">
        <f>F696*D696</f>
      </c>
      <c r="H696" s="11">
        <f>G696*C696</f>
      </c>
      <c r="I696" s="11">
        <f>G696*B696</f>
      </c>
      <c r="J696" s="30">
        <f>PM_Angle!$J$7+PM_Angle!$K$7*$C696+PM_Angle!$L$7*$B696</f>
      </c>
      <c r="K696" s="12">
        <f>IF(J696&gt;0,IF(J696&lt;=eco,alpha*fck*(1-(1-J696/eco)^n),alpha*fck),0)</f>
      </c>
      <c r="L696" s="30">
        <f>PM_Angle!$J$8+PM_Angle!$K$8*$C696+PM_Angle!$L$8*$B696</f>
      </c>
      <c r="M696" s="12">
        <f>IF(L696&gt;0,IF(L696&lt;=eco,alpha*fck*(1-(1-L696/eco)^n),alpha*fck),0)</f>
      </c>
      <c r="N696" s="30">
        <f>PM_Angle!$J$9+PM_Angle!$K$9*$C696+PM_Angle!$L$9*$B696</f>
      </c>
      <c r="O696" s="12">
        <f>IF(N696&gt;0,IF(N696&lt;=eco,alpha*fck*(1-(1-N696/eco)^n),alpha*fck),0)</f>
      </c>
      <c r="P696" s="30">
        <f>PM_Angle!$J$10+PM_Angle!$K$10*$C696+PM_Angle!$L$10*$B696</f>
      </c>
      <c r="Q696" s="12">
        <f>IF(P696&gt;0,IF(P696&lt;=eco,alpha*fck*(1-(1-P696/eco)^n),alpha*fck),0)</f>
      </c>
      <c r="R696" s="30">
        <f>PM_Angle!$J$11+PM_Angle!$K$11*$C696+PM_Angle!$L$11*$B696</f>
      </c>
      <c r="S696" s="12">
        <f>IF(R696&gt;0,IF(R696&lt;=eco,alpha*fck*(1-(1-R696/eco)^n),alpha*fck),0)</f>
      </c>
      <c r="T696" s="30">
        <f>PM_Angle!$J$12+PM_Angle!$K$12*$C696+PM_Angle!$L$12*$B696</f>
      </c>
      <c r="U696" s="12">
        <f>IF(T696&gt;0,IF(T696&lt;=eco,alpha*fck*(1-(1-T696/eco)^n),alpha*fck),0)</f>
      </c>
      <c r="V696" s="30">
        <f>PM_Angle!$J$13+PM_Angle!$K$13*$C696+PM_Angle!$L$13*$B696</f>
      </c>
      <c r="W696" s="12">
        <f>IF(V696&gt;0,IF(V696&lt;=eco,alpha*fck*(1-(1-V696/eco)^n),alpha*fck),0)</f>
      </c>
      <c r="X696" s="30">
        <f>PM_Angle!$J$14+PM_Angle!$K$14*$C696+PM_Angle!$L$14*$B696</f>
      </c>
      <c r="Y696" s="12">
        <f>IF(X696&gt;0,IF(X696&lt;=eco,alpha*fck*(1-(1-X696/eco)^n),alpha*fck),0)</f>
      </c>
      <c r="Z696" s="30">
        <f>PM_Angle!$J$15+PM_Angle!$K$15*$C696+PM_Angle!$L$15*$B696</f>
      </c>
      <c r="AA696" s="12">
        <f>IF(Z696&gt;0,IF(Z696&lt;=eco,alpha*fck*(1-(1-Z696/eco)^n),alpha*fck),0)</f>
      </c>
      <c r="AB696" s="30">
        <f>PM_Angle!$J$16+PM_Angle!$K$16*$C696+PM_Angle!$L$16*$B696</f>
      </c>
      <c r="AC696" s="12">
        <f>IF(AB696&gt;0,IF(AB696&lt;=eco,alpha*fck*(1-(1-AB696/eco)^n),alpha*fck),0)</f>
      </c>
      <c r="AD696" s="30">
        <f>PM_Angle!$J$17+PM_Angle!$K$17*$C696+PM_Angle!$L$17*$B696</f>
      </c>
      <c r="AE696" s="12">
        <f>IF(AD696&gt;0,IF(AD696&lt;=eco,alpha*fck*(1-(1-AD696/eco)^n),alpha*fck),0)</f>
      </c>
      <c r="AF696" s="30">
        <f>PM_Angle!$J$18+PM_Angle!$K$18*$C696+PM_Angle!$L$18*$B696</f>
      </c>
      <c r="AG696" s="12">
        <f>IF(AF696&gt;0,IF(AF696&lt;=eco,alpha*fck*(1-(1-AF696/eco)^n),alpha*fck),0)</f>
      </c>
      <c r="AH696" s="30">
        <f>PM_Angle!$J$19+PM_Angle!$K$19*$C696+PM_Angle!$L$19*$B696</f>
      </c>
      <c r="AI696" s="12">
        <f>IF(AH696&gt;0,IF(AH696&lt;=eco,alpha*fck*(1-(1-AH696/eco)^n),alpha*fck),0)</f>
      </c>
      <c r="AJ696" s="30">
        <f>PM_Angle!$J$20+PM_Angle!$K$20*$C696+PM_Angle!$L$20*$B696</f>
      </c>
      <c r="AK696" s="12">
        <f>IF(AJ696&gt;0,IF(AJ696&lt;=eco,alpha*fck*(1-(1-AJ696/eco)^n),alpha*fck),0)</f>
      </c>
      <c r="AL696" s="30">
        <f>PM_Angle!$J$21+PM_Angle!$K$21*$C696+PM_Angle!$L$21*$B696</f>
      </c>
      <c r="AM696" s="12">
        <f>IF(AL696&gt;0,IF(AL696&lt;=eco,alpha*fck*(1-(1-AL696/eco)^n),alpha*fck),0)</f>
      </c>
      <c r="AN696" s="30">
        <f>PM_Angle!$J$22+PM_Angle!$K$22*$C696+PM_Angle!$L$22*$B696</f>
      </c>
      <c r="AO696" s="12">
        <f>IF(AN696&gt;0,IF(AN696&lt;=eco,alpha*fck*(1-(1-AN696/eco)^n),alpha*fck),0)</f>
      </c>
      <c r="AP696" s="30">
        <f>PM_Angle!$J$23+PM_Angle!$K$23*$C696+PM_Angle!$L$23*$B696</f>
      </c>
      <c r="AQ696" s="12">
        <f>IF(AP696&gt;0,IF(AP696&lt;=eco,alpha*fck*(1-(1-AP696/eco)^n),alpha*fck),0)</f>
      </c>
      <c r="AR696" s="30">
        <f>PM_Angle!$J$24+PM_Angle!$K$24*$C696+PM_Angle!$L$24*$B696</f>
      </c>
      <c r="AS696" s="12">
        <f>IF(AR696&gt;0,IF(AR696&lt;=eco,alpha*fck*(1-(1-AR696/eco)^n),alpha*fck),0)</f>
      </c>
      <c r="AT696" s="30">
        <f>PM_Angle!$J$25+PM_Angle!$K$25*$C696+PM_Angle!$L$25*$B696</f>
      </c>
      <c r="AU696" s="12">
        <f>IF(AT696&gt;0,IF(AT696&lt;=eco,alpha*fck*(1-(1-AT696/eco)^n),alpha*fck),0)</f>
      </c>
    </row>
    <row r="697" spans="1:47" x14ac:dyDescent="0.25">
      <c r="A697">
        <f>Mesh!A694</f>
      </c>
      <c r="B697" s="12">
        <f>Mesh!B694</f>
      </c>
      <c r="C697" s="12">
        <f>Mesh!C694</f>
      </c>
      <c r="D697" s="12">
        <f>Mesh!D694</f>
      </c>
      <c r="E697" s="30">
        <f>INDEX(St_e0,Det+1)+INDEX(St_kx,Det+1)*C697+INDEX(St_ky,Det+1)*B697</f>
      </c>
      <c r="F697" s="12">
        <f>IF(E697&gt;0,IF(E697&lt;=eco,alpha*fck*(1-(1-E697/eco)^n),alpha*fck),0)</f>
      </c>
      <c r="G697" s="11">
        <f>F697*D697</f>
      </c>
      <c r="H697" s="11">
        <f>G697*C697</f>
      </c>
      <c r="I697" s="11">
        <f>G697*B697</f>
      </c>
      <c r="J697" s="30">
        <f>PM_Angle!$J$7+PM_Angle!$K$7*$C697+PM_Angle!$L$7*$B697</f>
      </c>
      <c r="K697" s="12">
        <f>IF(J697&gt;0,IF(J697&lt;=eco,alpha*fck*(1-(1-J697/eco)^n),alpha*fck),0)</f>
      </c>
      <c r="L697" s="30">
        <f>PM_Angle!$J$8+PM_Angle!$K$8*$C697+PM_Angle!$L$8*$B697</f>
      </c>
      <c r="M697" s="12">
        <f>IF(L697&gt;0,IF(L697&lt;=eco,alpha*fck*(1-(1-L697/eco)^n),alpha*fck),0)</f>
      </c>
      <c r="N697" s="30">
        <f>PM_Angle!$J$9+PM_Angle!$K$9*$C697+PM_Angle!$L$9*$B697</f>
      </c>
      <c r="O697" s="12">
        <f>IF(N697&gt;0,IF(N697&lt;=eco,alpha*fck*(1-(1-N697/eco)^n),alpha*fck),0)</f>
      </c>
      <c r="P697" s="30">
        <f>PM_Angle!$J$10+PM_Angle!$K$10*$C697+PM_Angle!$L$10*$B697</f>
      </c>
      <c r="Q697" s="12">
        <f>IF(P697&gt;0,IF(P697&lt;=eco,alpha*fck*(1-(1-P697/eco)^n),alpha*fck),0)</f>
      </c>
      <c r="R697" s="30">
        <f>PM_Angle!$J$11+PM_Angle!$K$11*$C697+PM_Angle!$L$11*$B697</f>
      </c>
      <c r="S697" s="12">
        <f>IF(R697&gt;0,IF(R697&lt;=eco,alpha*fck*(1-(1-R697/eco)^n),alpha*fck),0)</f>
      </c>
      <c r="T697" s="30">
        <f>PM_Angle!$J$12+PM_Angle!$K$12*$C697+PM_Angle!$L$12*$B697</f>
      </c>
      <c r="U697" s="12">
        <f>IF(T697&gt;0,IF(T697&lt;=eco,alpha*fck*(1-(1-T697/eco)^n),alpha*fck),0)</f>
      </c>
      <c r="V697" s="30">
        <f>PM_Angle!$J$13+PM_Angle!$K$13*$C697+PM_Angle!$L$13*$B697</f>
      </c>
      <c r="W697" s="12">
        <f>IF(V697&gt;0,IF(V697&lt;=eco,alpha*fck*(1-(1-V697/eco)^n),alpha*fck),0)</f>
      </c>
      <c r="X697" s="30">
        <f>PM_Angle!$J$14+PM_Angle!$K$14*$C697+PM_Angle!$L$14*$B697</f>
      </c>
      <c r="Y697" s="12">
        <f>IF(X697&gt;0,IF(X697&lt;=eco,alpha*fck*(1-(1-X697/eco)^n),alpha*fck),0)</f>
      </c>
      <c r="Z697" s="30">
        <f>PM_Angle!$J$15+PM_Angle!$K$15*$C697+PM_Angle!$L$15*$B697</f>
      </c>
      <c r="AA697" s="12">
        <f>IF(Z697&gt;0,IF(Z697&lt;=eco,alpha*fck*(1-(1-Z697/eco)^n),alpha*fck),0)</f>
      </c>
      <c r="AB697" s="30">
        <f>PM_Angle!$J$16+PM_Angle!$K$16*$C697+PM_Angle!$L$16*$B697</f>
      </c>
      <c r="AC697" s="12">
        <f>IF(AB697&gt;0,IF(AB697&lt;=eco,alpha*fck*(1-(1-AB697/eco)^n),alpha*fck),0)</f>
      </c>
      <c r="AD697" s="30">
        <f>PM_Angle!$J$17+PM_Angle!$K$17*$C697+PM_Angle!$L$17*$B697</f>
      </c>
      <c r="AE697" s="12">
        <f>IF(AD697&gt;0,IF(AD697&lt;=eco,alpha*fck*(1-(1-AD697/eco)^n),alpha*fck),0)</f>
      </c>
      <c r="AF697" s="30">
        <f>PM_Angle!$J$18+PM_Angle!$K$18*$C697+PM_Angle!$L$18*$B697</f>
      </c>
      <c r="AG697" s="12">
        <f>IF(AF697&gt;0,IF(AF697&lt;=eco,alpha*fck*(1-(1-AF697/eco)^n),alpha*fck),0)</f>
      </c>
      <c r="AH697" s="30">
        <f>PM_Angle!$J$19+PM_Angle!$K$19*$C697+PM_Angle!$L$19*$B697</f>
      </c>
      <c r="AI697" s="12">
        <f>IF(AH697&gt;0,IF(AH697&lt;=eco,alpha*fck*(1-(1-AH697/eco)^n),alpha*fck),0)</f>
      </c>
      <c r="AJ697" s="30">
        <f>PM_Angle!$J$20+PM_Angle!$K$20*$C697+PM_Angle!$L$20*$B697</f>
      </c>
      <c r="AK697" s="12">
        <f>IF(AJ697&gt;0,IF(AJ697&lt;=eco,alpha*fck*(1-(1-AJ697/eco)^n),alpha*fck),0)</f>
      </c>
      <c r="AL697" s="30">
        <f>PM_Angle!$J$21+PM_Angle!$K$21*$C697+PM_Angle!$L$21*$B697</f>
      </c>
      <c r="AM697" s="12">
        <f>IF(AL697&gt;0,IF(AL697&lt;=eco,alpha*fck*(1-(1-AL697/eco)^n),alpha*fck),0)</f>
      </c>
      <c r="AN697" s="30">
        <f>PM_Angle!$J$22+PM_Angle!$K$22*$C697+PM_Angle!$L$22*$B697</f>
      </c>
      <c r="AO697" s="12">
        <f>IF(AN697&gt;0,IF(AN697&lt;=eco,alpha*fck*(1-(1-AN697/eco)^n),alpha*fck),0)</f>
      </c>
      <c r="AP697" s="30">
        <f>PM_Angle!$J$23+PM_Angle!$K$23*$C697+PM_Angle!$L$23*$B697</f>
      </c>
      <c r="AQ697" s="12">
        <f>IF(AP697&gt;0,IF(AP697&lt;=eco,alpha*fck*(1-(1-AP697/eco)^n),alpha*fck),0)</f>
      </c>
      <c r="AR697" s="30">
        <f>PM_Angle!$J$24+PM_Angle!$K$24*$C697+PM_Angle!$L$24*$B697</f>
      </c>
      <c r="AS697" s="12">
        <f>IF(AR697&gt;0,IF(AR697&lt;=eco,alpha*fck*(1-(1-AR697/eco)^n),alpha*fck),0)</f>
      </c>
      <c r="AT697" s="30">
        <f>PM_Angle!$J$25+PM_Angle!$K$25*$C697+PM_Angle!$L$25*$B697</f>
      </c>
      <c r="AU697" s="12">
        <f>IF(AT697&gt;0,IF(AT697&lt;=eco,alpha*fck*(1-(1-AT697/eco)^n),alpha*fck),0)</f>
      </c>
    </row>
    <row r="698" spans="1:47" x14ac:dyDescent="0.25">
      <c r="A698">
        <f>Mesh!A695</f>
      </c>
      <c r="B698" s="12">
        <f>Mesh!B695</f>
      </c>
      <c r="C698" s="12">
        <f>Mesh!C695</f>
      </c>
      <c r="D698" s="12">
        <f>Mesh!D695</f>
      </c>
      <c r="E698" s="30">
        <f>INDEX(St_e0,Det+1)+INDEX(St_kx,Det+1)*C698+INDEX(St_ky,Det+1)*B698</f>
      </c>
      <c r="F698" s="12">
        <f>IF(E698&gt;0,IF(E698&lt;=eco,alpha*fck*(1-(1-E698/eco)^n),alpha*fck),0)</f>
      </c>
      <c r="G698" s="11">
        <f>F698*D698</f>
      </c>
      <c r="H698" s="11">
        <f>G698*C698</f>
      </c>
      <c r="I698" s="11">
        <f>G698*B698</f>
      </c>
      <c r="J698" s="30">
        <f>PM_Angle!$J$7+PM_Angle!$K$7*$C698+PM_Angle!$L$7*$B698</f>
      </c>
      <c r="K698" s="12">
        <f>IF(J698&gt;0,IF(J698&lt;=eco,alpha*fck*(1-(1-J698/eco)^n),alpha*fck),0)</f>
      </c>
      <c r="L698" s="30">
        <f>PM_Angle!$J$8+PM_Angle!$K$8*$C698+PM_Angle!$L$8*$B698</f>
      </c>
      <c r="M698" s="12">
        <f>IF(L698&gt;0,IF(L698&lt;=eco,alpha*fck*(1-(1-L698/eco)^n),alpha*fck),0)</f>
      </c>
      <c r="N698" s="30">
        <f>PM_Angle!$J$9+PM_Angle!$K$9*$C698+PM_Angle!$L$9*$B698</f>
      </c>
      <c r="O698" s="12">
        <f>IF(N698&gt;0,IF(N698&lt;=eco,alpha*fck*(1-(1-N698/eco)^n),alpha*fck),0)</f>
      </c>
      <c r="P698" s="30">
        <f>PM_Angle!$J$10+PM_Angle!$K$10*$C698+PM_Angle!$L$10*$B698</f>
      </c>
      <c r="Q698" s="12">
        <f>IF(P698&gt;0,IF(P698&lt;=eco,alpha*fck*(1-(1-P698/eco)^n),alpha*fck),0)</f>
      </c>
      <c r="R698" s="30">
        <f>PM_Angle!$J$11+PM_Angle!$K$11*$C698+PM_Angle!$L$11*$B698</f>
      </c>
      <c r="S698" s="12">
        <f>IF(R698&gt;0,IF(R698&lt;=eco,alpha*fck*(1-(1-R698/eco)^n),alpha*fck),0)</f>
      </c>
      <c r="T698" s="30">
        <f>PM_Angle!$J$12+PM_Angle!$K$12*$C698+PM_Angle!$L$12*$B698</f>
      </c>
      <c r="U698" s="12">
        <f>IF(T698&gt;0,IF(T698&lt;=eco,alpha*fck*(1-(1-T698/eco)^n),alpha*fck),0)</f>
      </c>
      <c r="V698" s="30">
        <f>PM_Angle!$J$13+PM_Angle!$K$13*$C698+PM_Angle!$L$13*$B698</f>
      </c>
      <c r="W698" s="12">
        <f>IF(V698&gt;0,IF(V698&lt;=eco,alpha*fck*(1-(1-V698/eco)^n),alpha*fck),0)</f>
      </c>
      <c r="X698" s="30">
        <f>PM_Angle!$J$14+PM_Angle!$K$14*$C698+PM_Angle!$L$14*$B698</f>
      </c>
      <c r="Y698" s="12">
        <f>IF(X698&gt;0,IF(X698&lt;=eco,alpha*fck*(1-(1-X698/eco)^n),alpha*fck),0)</f>
      </c>
      <c r="Z698" s="30">
        <f>PM_Angle!$J$15+PM_Angle!$K$15*$C698+PM_Angle!$L$15*$B698</f>
      </c>
      <c r="AA698" s="12">
        <f>IF(Z698&gt;0,IF(Z698&lt;=eco,alpha*fck*(1-(1-Z698/eco)^n),alpha*fck),0)</f>
      </c>
      <c r="AB698" s="30">
        <f>PM_Angle!$J$16+PM_Angle!$K$16*$C698+PM_Angle!$L$16*$B698</f>
      </c>
      <c r="AC698" s="12">
        <f>IF(AB698&gt;0,IF(AB698&lt;=eco,alpha*fck*(1-(1-AB698/eco)^n),alpha*fck),0)</f>
      </c>
      <c r="AD698" s="30">
        <f>PM_Angle!$J$17+PM_Angle!$K$17*$C698+PM_Angle!$L$17*$B698</f>
      </c>
      <c r="AE698" s="12">
        <f>IF(AD698&gt;0,IF(AD698&lt;=eco,alpha*fck*(1-(1-AD698/eco)^n),alpha*fck),0)</f>
      </c>
      <c r="AF698" s="30">
        <f>PM_Angle!$J$18+PM_Angle!$K$18*$C698+PM_Angle!$L$18*$B698</f>
      </c>
      <c r="AG698" s="12">
        <f>IF(AF698&gt;0,IF(AF698&lt;=eco,alpha*fck*(1-(1-AF698/eco)^n),alpha*fck),0)</f>
      </c>
      <c r="AH698" s="30">
        <f>PM_Angle!$J$19+PM_Angle!$K$19*$C698+PM_Angle!$L$19*$B698</f>
      </c>
      <c r="AI698" s="12">
        <f>IF(AH698&gt;0,IF(AH698&lt;=eco,alpha*fck*(1-(1-AH698/eco)^n),alpha*fck),0)</f>
      </c>
      <c r="AJ698" s="30">
        <f>PM_Angle!$J$20+PM_Angle!$K$20*$C698+PM_Angle!$L$20*$B698</f>
      </c>
      <c r="AK698" s="12">
        <f>IF(AJ698&gt;0,IF(AJ698&lt;=eco,alpha*fck*(1-(1-AJ698/eco)^n),alpha*fck),0)</f>
      </c>
      <c r="AL698" s="30">
        <f>PM_Angle!$J$21+PM_Angle!$K$21*$C698+PM_Angle!$L$21*$B698</f>
      </c>
      <c r="AM698" s="12">
        <f>IF(AL698&gt;0,IF(AL698&lt;=eco,alpha*fck*(1-(1-AL698/eco)^n),alpha*fck),0)</f>
      </c>
      <c r="AN698" s="30">
        <f>PM_Angle!$J$22+PM_Angle!$K$22*$C698+PM_Angle!$L$22*$B698</f>
      </c>
      <c r="AO698" s="12">
        <f>IF(AN698&gt;0,IF(AN698&lt;=eco,alpha*fck*(1-(1-AN698/eco)^n),alpha*fck),0)</f>
      </c>
      <c r="AP698" s="30">
        <f>PM_Angle!$J$23+PM_Angle!$K$23*$C698+PM_Angle!$L$23*$B698</f>
      </c>
      <c r="AQ698" s="12">
        <f>IF(AP698&gt;0,IF(AP698&lt;=eco,alpha*fck*(1-(1-AP698/eco)^n),alpha*fck),0)</f>
      </c>
      <c r="AR698" s="30">
        <f>PM_Angle!$J$24+PM_Angle!$K$24*$C698+PM_Angle!$L$24*$B698</f>
      </c>
      <c r="AS698" s="12">
        <f>IF(AR698&gt;0,IF(AR698&lt;=eco,alpha*fck*(1-(1-AR698/eco)^n),alpha*fck),0)</f>
      </c>
      <c r="AT698" s="30">
        <f>PM_Angle!$J$25+PM_Angle!$K$25*$C698+PM_Angle!$L$25*$B698</f>
      </c>
      <c r="AU698" s="12">
        <f>IF(AT698&gt;0,IF(AT698&lt;=eco,alpha*fck*(1-(1-AT698/eco)^n),alpha*fck),0)</f>
      </c>
    </row>
    <row r="699" spans="1:47" x14ac:dyDescent="0.25">
      <c r="A699">
        <f>Mesh!A696</f>
      </c>
      <c r="B699" s="12">
        <f>Mesh!B696</f>
      </c>
      <c r="C699" s="12">
        <f>Mesh!C696</f>
      </c>
      <c r="D699" s="12">
        <f>Mesh!D696</f>
      </c>
      <c r="E699" s="30">
        <f>INDEX(St_e0,Det+1)+INDEX(St_kx,Det+1)*C699+INDEX(St_ky,Det+1)*B699</f>
      </c>
      <c r="F699" s="12">
        <f>IF(E699&gt;0,IF(E699&lt;=eco,alpha*fck*(1-(1-E699/eco)^n),alpha*fck),0)</f>
      </c>
      <c r="G699" s="11">
        <f>F699*D699</f>
      </c>
      <c r="H699" s="11">
        <f>G699*C699</f>
      </c>
      <c r="I699" s="11">
        <f>G699*B699</f>
      </c>
      <c r="J699" s="30">
        <f>PM_Angle!$J$7+PM_Angle!$K$7*$C699+PM_Angle!$L$7*$B699</f>
      </c>
      <c r="K699" s="12">
        <f>IF(J699&gt;0,IF(J699&lt;=eco,alpha*fck*(1-(1-J699/eco)^n),alpha*fck),0)</f>
      </c>
      <c r="L699" s="30">
        <f>PM_Angle!$J$8+PM_Angle!$K$8*$C699+PM_Angle!$L$8*$B699</f>
      </c>
      <c r="M699" s="12">
        <f>IF(L699&gt;0,IF(L699&lt;=eco,alpha*fck*(1-(1-L699/eco)^n),alpha*fck),0)</f>
      </c>
      <c r="N699" s="30">
        <f>PM_Angle!$J$9+PM_Angle!$K$9*$C699+PM_Angle!$L$9*$B699</f>
      </c>
      <c r="O699" s="12">
        <f>IF(N699&gt;0,IF(N699&lt;=eco,alpha*fck*(1-(1-N699/eco)^n),alpha*fck),0)</f>
      </c>
      <c r="P699" s="30">
        <f>PM_Angle!$J$10+PM_Angle!$K$10*$C699+PM_Angle!$L$10*$B699</f>
      </c>
      <c r="Q699" s="12">
        <f>IF(P699&gt;0,IF(P699&lt;=eco,alpha*fck*(1-(1-P699/eco)^n),alpha*fck),0)</f>
      </c>
      <c r="R699" s="30">
        <f>PM_Angle!$J$11+PM_Angle!$K$11*$C699+PM_Angle!$L$11*$B699</f>
      </c>
      <c r="S699" s="12">
        <f>IF(R699&gt;0,IF(R699&lt;=eco,alpha*fck*(1-(1-R699/eco)^n),alpha*fck),0)</f>
      </c>
      <c r="T699" s="30">
        <f>PM_Angle!$J$12+PM_Angle!$K$12*$C699+PM_Angle!$L$12*$B699</f>
      </c>
      <c r="U699" s="12">
        <f>IF(T699&gt;0,IF(T699&lt;=eco,alpha*fck*(1-(1-T699/eco)^n),alpha*fck),0)</f>
      </c>
      <c r="V699" s="30">
        <f>PM_Angle!$J$13+PM_Angle!$K$13*$C699+PM_Angle!$L$13*$B699</f>
      </c>
      <c r="W699" s="12">
        <f>IF(V699&gt;0,IF(V699&lt;=eco,alpha*fck*(1-(1-V699/eco)^n),alpha*fck),0)</f>
      </c>
      <c r="X699" s="30">
        <f>PM_Angle!$J$14+PM_Angle!$K$14*$C699+PM_Angle!$L$14*$B699</f>
      </c>
      <c r="Y699" s="12">
        <f>IF(X699&gt;0,IF(X699&lt;=eco,alpha*fck*(1-(1-X699/eco)^n),alpha*fck),0)</f>
      </c>
      <c r="Z699" s="30">
        <f>PM_Angle!$J$15+PM_Angle!$K$15*$C699+PM_Angle!$L$15*$B699</f>
      </c>
      <c r="AA699" s="12">
        <f>IF(Z699&gt;0,IF(Z699&lt;=eco,alpha*fck*(1-(1-Z699/eco)^n),alpha*fck),0)</f>
      </c>
      <c r="AB699" s="30">
        <f>PM_Angle!$J$16+PM_Angle!$K$16*$C699+PM_Angle!$L$16*$B699</f>
      </c>
      <c r="AC699" s="12">
        <f>IF(AB699&gt;0,IF(AB699&lt;=eco,alpha*fck*(1-(1-AB699/eco)^n),alpha*fck),0)</f>
      </c>
      <c r="AD699" s="30">
        <f>PM_Angle!$J$17+PM_Angle!$K$17*$C699+PM_Angle!$L$17*$B699</f>
      </c>
      <c r="AE699" s="12">
        <f>IF(AD699&gt;0,IF(AD699&lt;=eco,alpha*fck*(1-(1-AD699/eco)^n),alpha*fck),0)</f>
      </c>
      <c r="AF699" s="30">
        <f>PM_Angle!$J$18+PM_Angle!$K$18*$C699+PM_Angle!$L$18*$B699</f>
      </c>
      <c r="AG699" s="12">
        <f>IF(AF699&gt;0,IF(AF699&lt;=eco,alpha*fck*(1-(1-AF699/eco)^n),alpha*fck),0)</f>
      </c>
      <c r="AH699" s="30">
        <f>PM_Angle!$J$19+PM_Angle!$K$19*$C699+PM_Angle!$L$19*$B699</f>
      </c>
      <c r="AI699" s="12">
        <f>IF(AH699&gt;0,IF(AH699&lt;=eco,alpha*fck*(1-(1-AH699/eco)^n),alpha*fck),0)</f>
      </c>
      <c r="AJ699" s="30">
        <f>PM_Angle!$J$20+PM_Angle!$K$20*$C699+PM_Angle!$L$20*$B699</f>
      </c>
      <c r="AK699" s="12">
        <f>IF(AJ699&gt;0,IF(AJ699&lt;=eco,alpha*fck*(1-(1-AJ699/eco)^n),alpha*fck),0)</f>
      </c>
      <c r="AL699" s="30">
        <f>PM_Angle!$J$21+PM_Angle!$K$21*$C699+PM_Angle!$L$21*$B699</f>
      </c>
      <c r="AM699" s="12">
        <f>IF(AL699&gt;0,IF(AL699&lt;=eco,alpha*fck*(1-(1-AL699/eco)^n),alpha*fck),0)</f>
      </c>
      <c r="AN699" s="30">
        <f>PM_Angle!$J$22+PM_Angle!$K$22*$C699+PM_Angle!$L$22*$B699</f>
      </c>
      <c r="AO699" s="12">
        <f>IF(AN699&gt;0,IF(AN699&lt;=eco,alpha*fck*(1-(1-AN699/eco)^n),alpha*fck),0)</f>
      </c>
      <c r="AP699" s="30">
        <f>PM_Angle!$J$23+PM_Angle!$K$23*$C699+PM_Angle!$L$23*$B699</f>
      </c>
      <c r="AQ699" s="12">
        <f>IF(AP699&gt;0,IF(AP699&lt;=eco,alpha*fck*(1-(1-AP699/eco)^n),alpha*fck),0)</f>
      </c>
      <c r="AR699" s="30">
        <f>PM_Angle!$J$24+PM_Angle!$K$24*$C699+PM_Angle!$L$24*$B699</f>
      </c>
      <c r="AS699" s="12">
        <f>IF(AR699&gt;0,IF(AR699&lt;=eco,alpha*fck*(1-(1-AR699/eco)^n),alpha*fck),0)</f>
      </c>
      <c r="AT699" s="30">
        <f>PM_Angle!$J$25+PM_Angle!$K$25*$C699+PM_Angle!$L$25*$B699</f>
      </c>
      <c r="AU699" s="12">
        <f>IF(AT699&gt;0,IF(AT699&lt;=eco,alpha*fck*(1-(1-AT699/eco)^n),alpha*fck),0)</f>
      </c>
    </row>
    <row r="700" spans="1:47" x14ac:dyDescent="0.25">
      <c r="A700">
        <f>Mesh!A697</f>
      </c>
      <c r="B700" s="12">
        <f>Mesh!B697</f>
      </c>
      <c r="C700" s="12">
        <f>Mesh!C697</f>
      </c>
      <c r="D700" s="12">
        <f>Mesh!D697</f>
      </c>
      <c r="E700" s="30">
        <f>INDEX(St_e0,Det+1)+INDEX(St_kx,Det+1)*C700+INDEX(St_ky,Det+1)*B700</f>
      </c>
      <c r="F700" s="12">
        <f>IF(E700&gt;0,IF(E700&lt;=eco,alpha*fck*(1-(1-E700/eco)^n),alpha*fck),0)</f>
      </c>
      <c r="G700" s="11">
        <f>F700*D700</f>
      </c>
      <c r="H700" s="11">
        <f>G700*C700</f>
      </c>
      <c r="I700" s="11">
        <f>G700*B700</f>
      </c>
      <c r="J700" s="30">
        <f>PM_Angle!$J$7+PM_Angle!$K$7*$C700+PM_Angle!$L$7*$B700</f>
      </c>
      <c r="K700" s="12">
        <f>IF(J700&gt;0,IF(J700&lt;=eco,alpha*fck*(1-(1-J700/eco)^n),alpha*fck),0)</f>
      </c>
      <c r="L700" s="30">
        <f>PM_Angle!$J$8+PM_Angle!$K$8*$C700+PM_Angle!$L$8*$B700</f>
      </c>
      <c r="M700" s="12">
        <f>IF(L700&gt;0,IF(L700&lt;=eco,alpha*fck*(1-(1-L700/eco)^n),alpha*fck),0)</f>
      </c>
      <c r="N700" s="30">
        <f>PM_Angle!$J$9+PM_Angle!$K$9*$C700+PM_Angle!$L$9*$B700</f>
      </c>
      <c r="O700" s="12">
        <f>IF(N700&gt;0,IF(N700&lt;=eco,alpha*fck*(1-(1-N700/eco)^n),alpha*fck),0)</f>
      </c>
      <c r="P700" s="30">
        <f>PM_Angle!$J$10+PM_Angle!$K$10*$C700+PM_Angle!$L$10*$B700</f>
      </c>
      <c r="Q700" s="12">
        <f>IF(P700&gt;0,IF(P700&lt;=eco,alpha*fck*(1-(1-P700/eco)^n),alpha*fck),0)</f>
      </c>
      <c r="R700" s="30">
        <f>PM_Angle!$J$11+PM_Angle!$K$11*$C700+PM_Angle!$L$11*$B700</f>
      </c>
      <c r="S700" s="12">
        <f>IF(R700&gt;0,IF(R700&lt;=eco,alpha*fck*(1-(1-R700/eco)^n),alpha*fck),0)</f>
      </c>
      <c r="T700" s="30">
        <f>PM_Angle!$J$12+PM_Angle!$K$12*$C700+PM_Angle!$L$12*$B700</f>
      </c>
      <c r="U700" s="12">
        <f>IF(T700&gt;0,IF(T700&lt;=eco,alpha*fck*(1-(1-T700/eco)^n),alpha*fck),0)</f>
      </c>
      <c r="V700" s="30">
        <f>PM_Angle!$J$13+PM_Angle!$K$13*$C700+PM_Angle!$L$13*$B700</f>
      </c>
      <c r="W700" s="12">
        <f>IF(V700&gt;0,IF(V700&lt;=eco,alpha*fck*(1-(1-V700/eco)^n),alpha*fck),0)</f>
      </c>
      <c r="X700" s="30">
        <f>PM_Angle!$J$14+PM_Angle!$K$14*$C700+PM_Angle!$L$14*$B700</f>
      </c>
      <c r="Y700" s="12">
        <f>IF(X700&gt;0,IF(X700&lt;=eco,alpha*fck*(1-(1-X700/eco)^n),alpha*fck),0)</f>
      </c>
      <c r="Z700" s="30">
        <f>PM_Angle!$J$15+PM_Angle!$K$15*$C700+PM_Angle!$L$15*$B700</f>
      </c>
      <c r="AA700" s="12">
        <f>IF(Z700&gt;0,IF(Z700&lt;=eco,alpha*fck*(1-(1-Z700/eco)^n),alpha*fck),0)</f>
      </c>
      <c r="AB700" s="30">
        <f>PM_Angle!$J$16+PM_Angle!$K$16*$C700+PM_Angle!$L$16*$B700</f>
      </c>
      <c r="AC700" s="12">
        <f>IF(AB700&gt;0,IF(AB700&lt;=eco,alpha*fck*(1-(1-AB700/eco)^n),alpha*fck),0)</f>
      </c>
      <c r="AD700" s="30">
        <f>PM_Angle!$J$17+PM_Angle!$K$17*$C700+PM_Angle!$L$17*$B700</f>
      </c>
      <c r="AE700" s="12">
        <f>IF(AD700&gt;0,IF(AD700&lt;=eco,alpha*fck*(1-(1-AD700/eco)^n),alpha*fck),0)</f>
      </c>
      <c r="AF700" s="30">
        <f>PM_Angle!$J$18+PM_Angle!$K$18*$C700+PM_Angle!$L$18*$B700</f>
      </c>
      <c r="AG700" s="12">
        <f>IF(AF700&gt;0,IF(AF700&lt;=eco,alpha*fck*(1-(1-AF700/eco)^n),alpha*fck),0)</f>
      </c>
      <c r="AH700" s="30">
        <f>PM_Angle!$J$19+PM_Angle!$K$19*$C700+PM_Angle!$L$19*$B700</f>
      </c>
      <c r="AI700" s="12">
        <f>IF(AH700&gt;0,IF(AH700&lt;=eco,alpha*fck*(1-(1-AH700/eco)^n),alpha*fck),0)</f>
      </c>
      <c r="AJ700" s="30">
        <f>PM_Angle!$J$20+PM_Angle!$K$20*$C700+PM_Angle!$L$20*$B700</f>
      </c>
      <c r="AK700" s="12">
        <f>IF(AJ700&gt;0,IF(AJ700&lt;=eco,alpha*fck*(1-(1-AJ700/eco)^n),alpha*fck),0)</f>
      </c>
      <c r="AL700" s="30">
        <f>PM_Angle!$J$21+PM_Angle!$K$21*$C700+PM_Angle!$L$21*$B700</f>
      </c>
      <c r="AM700" s="12">
        <f>IF(AL700&gt;0,IF(AL700&lt;=eco,alpha*fck*(1-(1-AL700/eco)^n),alpha*fck),0)</f>
      </c>
      <c r="AN700" s="30">
        <f>PM_Angle!$J$22+PM_Angle!$K$22*$C700+PM_Angle!$L$22*$B700</f>
      </c>
      <c r="AO700" s="12">
        <f>IF(AN700&gt;0,IF(AN700&lt;=eco,alpha*fck*(1-(1-AN700/eco)^n),alpha*fck),0)</f>
      </c>
      <c r="AP700" s="30">
        <f>PM_Angle!$J$23+PM_Angle!$K$23*$C700+PM_Angle!$L$23*$B700</f>
      </c>
      <c r="AQ700" s="12">
        <f>IF(AP700&gt;0,IF(AP700&lt;=eco,alpha*fck*(1-(1-AP700/eco)^n),alpha*fck),0)</f>
      </c>
      <c r="AR700" s="30">
        <f>PM_Angle!$J$24+PM_Angle!$K$24*$C700+PM_Angle!$L$24*$B700</f>
      </c>
      <c r="AS700" s="12">
        <f>IF(AR700&gt;0,IF(AR700&lt;=eco,alpha*fck*(1-(1-AR700/eco)^n),alpha*fck),0)</f>
      </c>
      <c r="AT700" s="30">
        <f>PM_Angle!$J$25+PM_Angle!$K$25*$C700+PM_Angle!$L$25*$B700</f>
      </c>
      <c r="AU700" s="12">
        <f>IF(AT700&gt;0,IF(AT700&lt;=eco,alpha*fck*(1-(1-AT700/eco)^n),alpha*fck),0)</f>
      </c>
    </row>
    <row r="701" spans="1:47" x14ac:dyDescent="0.25">
      <c r="A701">
        <f>Mesh!A698</f>
      </c>
      <c r="B701" s="12">
        <f>Mesh!B698</f>
      </c>
      <c r="C701" s="12">
        <f>Mesh!C698</f>
      </c>
      <c r="D701" s="12">
        <f>Mesh!D698</f>
      </c>
      <c r="E701" s="30">
        <f>INDEX(St_e0,Det+1)+INDEX(St_kx,Det+1)*C701+INDEX(St_ky,Det+1)*B701</f>
      </c>
      <c r="F701" s="12">
        <f>IF(E701&gt;0,IF(E701&lt;=eco,alpha*fck*(1-(1-E701/eco)^n),alpha*fck),0)</f>
      </c>
      <c r="G701" s="11">
        <f>F701*D701</f>
      </c>
      <c r="H701" s="11">
        <f>G701*C701</f>
      </c>
      <c r="I701" s="11">
        <f>G701*B701</f>
      </c>
      <c r="J701" s="30">
        <f>PM_Angle!$J$7+PM_Angle!$K$7*$C701+PM_Angle!$L$7*$B701</f>
      </c>
      <c r="K701" s="12">
        <f>IF(J701&gt;0,IF(J701&lt;=eco,alpha*fck*(1-(1-J701/eco)^n),alpha*fck),0)</f>
      </c>
      <c r="L701" s="30">
        <f>PM_Angle!$J$8+PM_Angle!$K$8*$C701+PM_Angle!$L$8*$B701</f>
      </c>
      <c r="M701" s="12">
        <f>IF(L701&gt;0,IF(L701&lt;=eco,alpha*fck*(1-(1-L701/eco)^n),alpha*fck),0)</f>
      </c>
      <c r="N701" s="30">
        <f>PM_Angle!$J$9+PM_Angle!$K$9*$C701+PM_Angle!$L$9*$B701</f>
      </c>
      <c r="O701" s="12">
        <f>IF(N701&gt;0,IF(N701&lt;=eco,alpha*fck*(1-(1-N701/eco)^n),alpha*fck),0)</f>
      </c>
      <c r="P701" s="30">
        <f>PM_Angle!$J$10+PM_Angle!$K$10*$C701+PM_Angle!$L$10*$B701</f>
      </c>
      <c r="Q701" s="12">
        <f>IF(P701&gt;0,IF(P701&lt;=eco,alpha*fck*(1-(1-P701/eco)^n),alpha*fck),0)</f>
      </c>
      <c r="R701" s="30">
        <f>PM_Angle!$J$11+PM_Angle!$K$11*$C701+PM_Angle!$L$11*$B701</f>
      </c>
      <c r="S701" s="12">
        <f>IF(R701&gt;0,IF(R701&lt;=eco,alpha*fck*(1-(1-R701/eco)^n),alpha*fck),0)</f>
      </c>
      <c r="T701" s="30">
        <f>PM_Angle!$J$12+PM_Angle!$K$12*$C701+PM_Angle!$L$12*$B701</f>
      </c>
      <c r="U701" s="12">
        <f>IF(T701&gt;0,IF(T701&lt;=eco,alpha*fck*(1-(1-T701/eco)^n),alpha*fck),0)</f>
      </c>
      <c r="V701" s="30">
        <f>PM_Angle!$J$13+PM_Angle!$K$13*$C701+PM_Angle!$L$13*$B701</f>
      </c>
      <c r="W701" s="12">
        <f>IF(V701&gt;0,IF(V701&lt;=eco,alpha*fck*(1-(1-V701/eco)^n),alpha*fck),0)</f>
      </c>
      <c r="X701" s="30">
        <f>PM_Angle!$J$14+PM_Angle!$K$14*$C701+PM_Angle!$L$14*$B701</f>
      </c>
      <c r="Y701" s="12">
        <f>IF(X701&gt;0,IF(X701&lt;=eco,alpha*fck*(1-(1-X701/eco)^n),alpha*fck),0)</f>
      </c>
      <c r="Z701" s="30">
        <f>PM_Angle!$J$15+PM_Angle!$K$15*$C701+PM_Angle!$L$15*$B701</f>
      </c>
      <c r="AA701" s="12">
        <f>IF(Z701&gt;0,IF(Z701&lt;=eco,alpha*fck*(1-(1-Z701/eco)^n),alpha*fck),0)</f>
      </c>
      <c r="AB701" s="30">
        <f>PM_Angle!$J$16+PM_Angle!$K$16*$C701+PM_Angle!$L$16*$B701</f>
      </c>
      <c r="AC701" s="12">
        <f>IF(AB701&gt;0,IF(AB701&lt;=eco,alpha*fck*(1-(1-AB701/eco)^n),alpha*fck),0)</f>
      </c>
      <c r="AD701" s="30">
        <f>PM_Angle!$J$17+PM_Angle!$K$17*$C701+PM_Angle!$L$17*$B701</f>
      </c>
      <c r="AE701" s="12">
        <f>IF(AD701&gt;0,IF(AD701&lt;=eco,alpha*fck*(1-(1-AD701/eco)^n),alpha*fck),0)</f>
      </c>
      <c r="AF701" s="30">
        <f>PM_Angle!$J$18+PM_Angle!$K$18*$C701+PM_Angle!$L$18*$B701</f>
      </c>
      <c r="AG701" s="12">
        <f>IF(AF701&gt;0,IF(AF701&lt;=eco,alpha*fck*(1-(1-AF701/eco)^n),alpha*fck),0)</f>
      </c>
      <c r="AH701" s="30">
        <f>PM_Angle!$J$19+PM_Angle!$K$19*$C701+PM_Angle!$L$19*$B701</f>
      </c>
      <c r="AI701" s="12">
        <f>IF(AH701&gt;0,IF(AH701&lt;=eco,alpha*fck*(1-(1-AH701/eco)^n),alpha*fck),0)</f>
      </c>
      <c r="AJ701" s="30">
        <f>PM_Angle!$J$20+PM_Angle!$K$20*$C701+PM_Angle!$L$20*$B701</f>
      </c>
      <c r="AK701" s="12">
        <f>IF(AJ701&gt;0,IF(AJ701&lt;=eco,alpha*fck*(1-(1-AJ701/eco)^n),alpha*fck),0)</f>
      </c>
      <c r="AL701" s="30">
        <f>PM_Angle!$J$21+PM_Angle!$K$21*$C701+PM_Angle!$L$21*$B701</f>
      </c>
      <c r="AM701" s="12">
        <f>IF(AL701&gt;0,IF(AL701&lt;=eco,alpha*fck*(1-(1-AL701/eco)^n),alpha*fck),0)</f>
      </c>
      <c r="AN701" s="30">
        <f>PM_Angle!$J$22+PM_Angle!$K$22*$C701+PM_Angle!$L$22*$B701</f>
      </c>
      <c r="AO701" s="12">
        <f>IF(AN701&gt;0,IF(AN701&lt;=eco,alpha*fck*(1-(1-AN701/eco)^n),alpha*fck),0)</f>
      </c>
      <c r="AP701" s="30">
        <f>PM_Angle!$J$23+PM_Angle!$K$23*$C701+PM_Angle!$L$23*$B701</f>
      </c>
      <c r="AQ701" s="12">
        <f>IF(AP701&gt;0,IF(AP701&lt;=eco,alpha*fck*(1-(1-AP701/eco)^n),alpha*fck),0)</f>
      </c>
      <c r="AR701" s="30">
        <f>PM_Angle!$J$24+PM_Angle!$K$24*$C701+PM_Angle!$L$24*$B701</f>
      </c>
      <c r="AS701" s="12">
        <f>IF(AR701&gt;0,IF(AR701&lt;=eco,alpha*fck*(1-(1-AR701/eco)^n),alpha*fck),0)</f>
      </c>
      <c r="AT701" s="30">
        <f>PM_Angle!$J$25+PM_Angle!$K$25*$C701+PM_Angle!$L$25*$B701</f>
      </c>
      <c r="AU701" s="12">
        <f>IF(AT701&gt;0,IF(AT701&lt;=eco,alpha*fck*(1-(1-AT701/eco)^n),alpha*fck),0)</f>
      </c>
    </row>
    <row r="702" spans="1:47" x14ac:dyDescent="0.25">
      <c r="A702">
        <f>Mesh!A699</f>
      </c>
      <c r="B702" s="12">
        <f>Mesh!B699</f>
      </c>
      <c r="C702" s="12">
        <f>Mesh!C699</f>
      </c>
      <c r="D702" s="12">
        <f>Mesh!D699</f>
      </c>
      <c r="E702" s="30">
        <f>INDEX(St_e0,Det+1)+INDEX(St_kx,Det+1)*C702+INDEX(St_ky,Det+1)*B702</f>
      </c>
      <c r="F702" s="12">
        <f>IF(E702&gt;0,IF(E702&lt;=eco,alpha*fck*(1-(1-E702/eco)^n),alpha*fck),0)</f>
      </c>
      <c r="G702" s="11">
        <f>F702*D702</f>
      </c>
      <c r="H702" s="11">
        <f>G702*C702</f>
      </c>
      <c r="I702" s="11">
        <f>G702*B702</f>
      </c>
      <c r="J702" s="30">
        <f>PM_Angle!$J$7+PM_Angle!$K$7*$C702+PM_Angle!$L$7*$B702</f>
      </c>
      <c r="K702" s="12">
        <f>IF(J702&gt;0,IF(J702&lt;=eco,alpha*fck*(1-(1-J702/eco)^n),alpha*fck),0)</f>
      </c>
      <c r="L702" s="30">
        <f>PM_Angle!$J$8+PM_Angle!$K$8*$C702+PM_Angle!$L$8*$B702</f>
      </c>
      <c r="M702" s="12">
        <f>IF(L702&gt;0,IF(L702&lt;=eco,alpha*fck*(1-(1-L702/eco)^n),alpha*fck),0)</f>
      </c>
      <c r="N702" s="30">
        <f>PM_Angle!$J$9+PM_Angle!$K$9*$C702+PM_Angle!$L$9*$B702</f>
      </c>
      <c r="O702" s="12">
        <f>IF(N702&gt;0,IF(N702&lt;=eco,alpha*fck*(1-(1-N702/eco)^n),alpha*fck),0)</f>
      </c>
      <c r="P702" s="30">
        <f>PM_Angle!$J$10+PM_Angle!$K$10*$C702+PM_Angle!$L$10*$B702</f>
      </c>
      <c r="Q702" s="12">
        <f>IF(P702&gt;0,IF(P702&lt;=eco,alpha*fck*(1-(1-P702/eco)^n),alpha*fck),0)</f>
      </c>
      <c r="R702" s="30">
        <f>PM_Angle!$J$11+PM_Angle!$K$11*$C702+PM_Angle!$L$11*$B702</f>
      </c>
      <c r="S702" s="12">
        <f>IF(R702&gt;0,IF(R702&lt;=eco,alpha*fck*(1-(1-R702/eco)^n),alpha*fck),0)</f>
      </c>
      <c r="T702" s="30">
        <f>PM_Angle!$J$12+PM_Angle!$K$12*$C702+PM_Angle!$L$12*$B702</f>
      </c>
      <c r="U702" s="12">
        <f>IF(T702&gt;0,IF(T702&lt;=eco,alpha*fck*(1-(1-T702/eco)^n),alpha*fck),0)</f>
      </c>
      <c r="V702" s="30">
        <f>PM_Angle!$J$13+PM_Angle!$K$13*$C702+PM_Angle!$L$13*$B702</f>
      </c>
      <c r="W702" s="12">
        <f>IF(V702&gt;0,IF(V702&lt;=eco,alpha*fck*(1-(1-V702/eco)^n),alpha*fck),0)</f>
      </c>
      <c r="X702" s="30">
        <f>PM_Angle!$J$14+PM_Angle!$K$14*$C702+PM_Angle!$L$14*$B702</f>
      </c>
      <c r="Y702" s="12">
        <f>IF(X702&gt;0,IF(X702&lt;=eco,alpha*fck*(1-(1-X702/eco)^n),alpha*fck),0)</f>
      </c>
      <c r="Z702" s="30">
        <f>PM_Angle!$J$15+PM_Angle!$K$15*$C702+PM_Angle!$L$15*$B702</f>
      </c>
      <c r="AA702" s="12">
        <f>IF(Z702&gt;0,IF(Z702&lt;=eco,alpha*fck*(1-(1-Z702/eco)^n),alpha*fck),0)</f>
      </c>
      <c r="AB702" s="30">
        <f>PM_Angle!$J$16+PM_Angle!$K$16*$C702+PM_Angle!$L$16*$B702</f>
      </c>
      <c r="AC702" s="12">
        <f>IF(AB702&gt;0,IF(AB702&lt;=eco,alpha*fck*(1-(1-AB702/eco)^n),alpha*fck),0)</f>
      </c>
      <c r="AD702" s="30">
        <f>PM_Angle!$J$17+PM_Angle!$K$17*$C702+PM_Angle!$L$17*$B702</f>
      </c>
      <c r="AE702" s="12">
        <f>IF(AD702&gt;0,IF(AD702&lt;=eco,alpha*fck*(1-(1-AD702/eco)^n),alpha*fck),0)</f>
      </c>
      <c r="AF702" s="30">
        <f>PM_Angle!$J$18+PM_Angle!$K$18*$C702+PM_Angle!$L$18*$B702</f>
      </c>
      <c r="AG702" s="12">
        <f>IF(AF702&gt;0,IF(AF702&lt;=eco,alpha*fck*(1-(1-AF702/eco)^n),alpha*fck),0)</f>
      </c>
      <c r="AH702" s="30">
        <f>PM_Angle!$J$19+PM_Angle!$K$19*$C702+PM_Angle!$L$19*$B702</f>
      </c>
      <c r="AI702" s="12">
        <f>IF(AH702&gt;0,IF(AH702&lt;=eco,alpha*fck*(1-(1-AH702/eco)^n),alpha*fck),0)</f>
      </c>
      <c r="AJ702" s="30">
        <f>PM_Angle!$J$20+PM_Angle!$K$20*$C702+PM_Angle!$L$20*$B702</f>
      </c>
      <c r="AK702" s="12">
        <f>IF(AJ702&gt;0,IF(AJ702&lt;=eco,alpha*fck*(1-(1-AJ702/eco)^n),alpha*fck),0)</f>
      </c>
      <c r="AL702" s="30">
        <f>PM_Angle!$J$21+PM_Angle!$K$21*$C702+PM_Angle!$L$21*$B702</f>
      </c>
      <c r="AM702" s="12">
        <f>IF(AL702&gt;0,IF(AL702&lt;=eco,alpha*fck*(1-(1-AL702/eco)^n),alpha*fck),0)</f>
      </c>
      <c r="AN702" s="30">
        <f>PM_Angle!$J$22+PM_Angle!$K$22*$C702+PM_Angle!$L$22*$B702</f>
      </c>
      <c r="AO702" s="12">
        <f>IF(AN702&gt;0,IF(AN702&lt;=eco,alpha*fck*(1-(1-AN702/eco)^n),alpha*fck),0)</f>
      </c>
      <c r="AP702" s="30">
        <f>PM_Angle!$J$23+PM_Angle!$K$23*$C702+PM_Angle!$L$23*$B702</f>
      </c>
      <c r="AQ702" s="12">
        <f>IF(AP702&gt;0,IF(AP702&lt;=eco,alpha*fck*(1-(1-AP702/eco)^n),alpha*fck),0)</f>
      </c>
      <c r="AR702" s="30">
        <f>PM_Angle!$J$24+PM_Angle!$K$24*$C702+PM_Angle!$L$24*$B702</f>
      </c>
      <c r="AS702" s="12">
        <f>IF(AR702&gt;0,IF(AR702&lt;=eco,alpha*fck*(1-(1-AR702/eco)^n),alpha*fck),0)</f>
      </c>
      <c r="AT702" s="30">
        <f>PM_Angle!$J$25+PM_Angle!$K$25*$C702+PM_Angle!$L$25*$B702</f>
      </c>
      <c r="AU702" s="12">
        <f>IF(AT702&gt;0,IF(AT702&lt;=eco,alpha*fck*(1-(1-AT702/eco)^n),alpha*fck),0)</f>
      </c>
    </row>
    <row r="703" spans="1:47" x14ac:dyDescent="0.25">
      <c r="A703">
        <f>Mesh!A700</f>
      </c>
      <c r="B703" s="12">
        <f>Mesh!B700</f>
      </c>
      <c r="C703" s="12">
        <f>Mesh!C700</f>
      </c>
      <c r="D703" s="12">
        <f>Mesh!D700</f>
      </c>
      <c r="E703" s="30">
        <f>INDEX(St_e0,Det+1)+INDEX(St_kx,Det+1)*C703+INDEX(St_ky,Det+1)*B703</f>
      </c>
      <c r="F703" s="12">
        <f>IF(E703&gt;0,IF(E703&lt;=eco,alpha*fck*(1-(1-E703/eco)^n),alpha*fck),0)</f>
      </c>
      <c r="G703" s="11">
        <f>F703*D703</f>
      </c>
      <c r="H703" s="11">
        <f>G703*C703</f>
      </c>
      <c r="I703" s="11">
        <f>G703*B703</f>
      </c>
      <c r="J703" s="30">
        <f>PM_Angle!$J$7+PM_Angle!$K$7*$C703+PM_Angle!$L$7*$B703</f>
      </c>
      <c r="K703" s="12">
        <f>IF(J703&gt;0,IF(J703&lt;=eco,alpha*fck*(1-(1-J703/eco)^n),alpha*fck),0)</f>
      </c>
      <c r="L703" s="30">
        <f>PM_Angle!$J$8+PM_Angle!$K$8*$C703+PM_Angle!$L$8*$B703</f>
      </c>
      <c r="M703" s="12">
        <f>IF(L703&gt;0,IF(L703&lt;=eco,alpha*fck*(1-(1-L703/eco)^n),alpha*fck),0)</f>
      </c>
      <c r="N703" s="30">
        <f>PM_Angle!$J$9+PM_Angle!$K$9*$C703+PM_Angle!$L$9*$B703</f>
      </c>
      <c r="O703" s="12">
        <f>IF(N703&gt;0,IF(N703&lt;=eco,alpha*fck*(1-(1-N703/eco)^n),alpha*fck),0)</f>
      </c>
      <c r="P703" s="30">
        <f>PM_Angle!$J$10+PM_Angle!$K$10*$C703+PM_Angle!$L$10*$B703</f>
      </c>
      <c r="Q703" s="12">
        <f>IF(P703&gt;0,IF(P703&lt;=eco,alpha*fck*(1-(1-P703/eco)^n),alpha*fck),0)</f>
      </c>
      <c r="R703" s="30">
        <f>PM_Angle!$J$11+PM_Angle!$K$11*$C703+PM_Angle!$L$11*$B703</f>
      </c>
      <c r="S703" s="12">
        <f>IF(R703&gt;0,IF(R703&lt;=eco,alpha*fck*(1-(1-R703/eco)^n),alpha*fck),0)</f>
      </c>
      <c r="T703" s="30">
        <f>PM_Angle!$J$12+PM_Angle!$K$12*$C703+PM_Angle!$L$12*$B703</f>
      </c>
      <c r="U703" s="12">
        <f>IF(T703&gt;0,IF(T703&lt;=eco,alpha*fck*(1-(1-T703/eco)^n),alpha*fck),0)</f>
      </c>
      <c r="V703" s="30">
        <f>PM_Angle!$J$13+PM_Angle!$K$13*$C703+PM_Angle!$L$13*$B703</f>
      </c>
      <c r="W703" s="12">
        <f>IF(V703&gt;0,IF(V703&lt;=eco,alpha*fck*(1-(1-V703/eco)^n),alpha*fck),0)</f>
      </c>
      <c r="X703" s="30">
        <f>PM_Angle!$J$14+PM_Angle!$K$14*$C703+PM_Angle!$L$14*$B703</f>
      </c>
      <c r="Y703" s="12">
        <f>IF(X703&gt;0,IF(X703&lt;=eco,alpha*fck*(1-(1-X703/eco)^n),alpha*fck),0)</f>
      </c>
      <c r="Z703" s="30">
        <f>PM_Angle!$J$15+PM_Angle!$K$15*$C703+PM_Angle!$L$15*$B703</f>
      </c>
      <c r="AA703" s="12">
        <f>IF(Z703&gt;0,IF(Z703&lt;=eco,alpha*fck*(1-(1-Z703/eco)^n),alpha*fck),0)</f>
      </c>
      <c r="AB703" s="30">
        <f>PM_Angle!$J$16+PM_Angle!$K$16*$C703+PM_Angle!$L$16*$B703</f>
      </c>
      <c r="AC703" s="12">
        <f>IF(AB703&gt;0,IF(AB703&lt;=eco,alpha*fck*(1-(1-AB703/eco)^n),alpha*fck),0)</f>
      </c>
      <c r="AD703" s="30">
        <f>PM_Angle!$J$17+PM_Angle!$K$17*$C703+PM_Angle!$L$17*$B703</f>
      </c>
      <c r="AE703" s="12">
        <f>IF(AD703&gt;0,IF(AD703&lt;=eco,alpha*fck*(1-(1-AD703/eco)^n),alpha*fck),0)</f>
      </c>
      <c r="AF703" s="30">
        <f>PM_Angle!$J$18+PM_Angle!$K$18*$C703+PM_Angle!$L$18*$B703</f>
      </c>
      <c r="AG703" s="12">
        <f>IF(AF703&gt;0,IF(AF703&lt;=eco,alpha*fck*(1-(1-AF703/eco)^n),alpha*fck),0)</f>
      </c>
      <c r="AH703" s="30">
        <f>PM_Angle!$J$19+PM_Angle!$K$19*$C703+PM_Angle!$L$19*$B703</f>
      </c>
      <c r="AI703" s="12">
        <f>IF(AH703&gt;0,IF(AH703&lt;=eco,alpha*fck*(1-(1-AH703/eco)^n),alpha*fck),0)</f>
      </c>
      <c r="AJ703" s="30">
        <f>PM_Angle!$J$20+PM_Angle!$K$20*$C703+PM_Angle!$L$20*$B703</f>
      </c>
      <c r="AK703" s="12">
        <f>IF(AJ703&gt;0,IF(AJ703&lt;=eco,alpha*fck*(1-(1-AJ703/eco)^n),alpha*fck),0)</f>
      </c>
      <c r="AL703" s="30">
        <f>PM_Angle!$J$21+PM_Angle!$K$21*$C703+PM_Angle!$L$21*$B703</f>
      </c>
      <c r="AM703" s="12">
        <f>IF(AL703&gt;0,IF(AL703&lt;=eco,alpha*fck*(1-(1-AL703/eco)^n),alpha*fck),0)</f>
      </c>
      <c r="AN703" s="30">
        <f>PM_Angle!$J$22+PM_Angle!$K$22*$C703+PM_Angle!$L$22*$B703</f>
      </c>
      <c r="AO703" s="12">
        <f>IF(AN703&gt;0,IF(AN703&lt;=eco,alpha*fck*(1-(1-AN703/eco)^n),alpha*fck),0)</f>
      </c>
      <c r="AP703" s="30">
        <f>PM_Angle!$J$23+PM_Angle!$K$23*$C703+PM_Angle!$L$23*$B703</f>
      </c>
      <c r="AQ703" s="12">
        <f>IF(AP703&gt;0,IF(AP703&lt;=eco,alpha*fck*(1-(1-AP703/eco)^n),alpha*fck),0)</f>
      </c>
      <c r="AR703" s="30">
        <f>PM_Angle!$J$24+PM_Angle!$K$24*$C703+PM_Angle!$L$24*$B703</f>
      </c>
      <c r="AS703" s="12">
        <f>IF(AR703&gt;0,IF(AR703&lt;=eco,alpha*fck*(1-(1-AR703/eco)^n),alpha*fck),0)</f>
      </c>
      <c r="AT703" s="30">
        <f>PM_Angle!$J$25+PM_Angle!$K$25*$C703+PM_Angle!$L$25*$B703</f>
      </c>
      <c r="AU703" s="12">
        <f>IF(AT703&gt;0,IF(AT703&lt;=eco,alpha*fck*(1-(1-AT703/eco)^n),alpha*fck),0)</f>
      </c>
    </row>
    <row r="704" spans="1:47" x14ac:dyDescent="0.25">
      <c r="A704">
        <f>Mesh!A701</f>
      </c>
      <c r="B704" s="12">
        <f>Mesh!B701</f>
      </c>
      <c r="C704" s="12">
        <f>Mesh!C701</f>
      </c>
      <c r="D704" s="12">
        <f>Mesh!D701</f>
      </c>
      <c r="E704" s="30">
        <f>INDEX(St_e0,Det+1)+INDEX(St_kx,Det+1)*C704+INDEX(St_ky,Det+1)*B704</f>
      </c>
      <c r="F704" s="12">
        <f>IF(E704&gt;0,IF(E704&lt;=eco,alpha*fck*(1-(1-E704/eco)^n),alpha*fck),0)</f>
      </c>
      <c r="G704" s="11">
        <f>F704*D704</f>
      </c>
      <c r="H704" s="11">
        <f>G704*C704</f>
      </c>
      <c r="I704" s="11">
        <f>G704*B704</f>
      </c>
      <c r="J704" s="30">
        <f>PM_Angle!$J$7+PM_Angle!$K$7*$C704+PM_Angle!$L$7*$B704</f>
      </c>
      <c r="K704" s="12">
        <f>IF(J704&gt;0,IF(J704&lt;=eco,alpha*fck*(1-(1-J704/eco)^n),alpha*fck),0)</f>
      </c>
      <c r="L704" s="30">
        <f>PM_Angle!$J$8+PM_Angle!$K$8*$C704+PM_Angle!$L$8*$B704</f>
      </c>
      <c r="M704" s="12">
        <f>IF(L704&gt;0,IF(L704&lt;=eco,alpha*fck*(1-(1-L704/eco)^n),alpha*fck),0)</f>
      </c>
      <c r="N704" s="30">
        <f>PM_Angle!$J$9+PM_Angle!$K$9*$C704+PM_Angle!$L$9*$B704</f>
      </c>
      <c r="O704" s="12">
        <f>IF(N704&gt;0,IF(N704&lt;=eco,alpha*fck*(1-(1-N704/eco)^n),alpha*fck),0)</f>
      </c>
      <c r="P704" s="30">
        <f>PM_Angle!$J$10+PM_Angle!$K$10*$C704+PM_Angle!$L$10*$B704</f>
      </c>
      <c r="Q704" s="12">
        <f>IF(P704&gt;0,IF(P704&lt;=eco,alpha*fck*(1-(1-P704/eco)^n),alpha*fck),0)</f>
      </c>
      <c r="R704" s="30">
        <f>PM_Angle!$J$11+PM_Angle!$K$11*$C704+PM_Angle!$L$11*$B704</f>
      </c>
      <c r="S704" s="12">
        <f>IF(R704&gt;0,IF(R704&lt;=eco,alpha*fck*(1-(1-R704/eco)^n),alpha*fck),0)</f>
      </c>
      <c r="T704" s="30">
        <f>PM_Angle!$J$12+PM_Angle!$K$12*$C704+PM_Angle!$L$12*$B704</f>
      </c>
      <c r="U704" s="12">
        <f>IF(T704&gt;0,IF(T704&lt;=eco,alpha*fck*(1-(1-T704/eco)^n),alpha*fck),0)</f>
      </c>
      <c r="V704" s="30">
        <f>PM_Angle!$J$13+PM_Angle!$K$13*$C704+PM_Angle!$L$13*$B704</f>
      </c>
      <c r="W704" s="12">
        <f>IF(V704&gt;0,IF(V704&lt;=eco,alpha*fck*(1-(1-V704/eco)^n),alpha*fck),0)</f>
      </c>
      <c r="X704" s="30">
        <f>PM_Angle!$J$14+PM_Angle!$K$14*$C704+PM_Angle!$L$14*$B704</f>
      </c>
      <c r="Y704" s="12">
        <f>IF(X704&gt;0,IF(X704&lt;=eco,alpha*fck*(1-(1-X704/eco)^n),alpha*fck),0)</f>
      </c>
      <c r="Z704" s="30">
        <f>PM_Angle!$J$15+PM_Angle!$K$15*$C704+PM_Angle!$L$15*$B704</f>
      </c>
      <c r="AA704" s="12">
        <f>IF(Z704&gt;0,IF(Z704&lt;=eco,alpha*fck*(1-(1-Z704/eco)^n),alpha*fck),0)</f>
      </c>
      <c r="AB704" s="30">
        <f>PM_Angle!$J$16+PM_Angle!$K$16*$C704+PM_Angle!$L$16*$B704</f>
      </c>
      <c r="AC704" s="12">
        <f>IF(AB704&gt;0,IF(AB704&lt;=eco,alpha*fck*(1-(1-AB704/eco)^n),alpha*fck),0)</f>
      </c>
      <c r="AD704" s="30">
        <f>PM_Angle!$J$17+PM_Angle!$K$17*$C704+PM_Angle!$L$17*$B704</f>
      </c>
      <c r="AE704" s="12">
        <f>IF(AD704&gt;0,IF(AD704&lt;=eco,alpha*fck*(1-(1-AD704/eco)^n),alpha*fck),0)</f>
      </c>
      <c r="AF704" s="30">
        <f>PM_Angle!$J$18+PM_Angle!$K$18*$C704+PM_Angle!$L$18*$B704</f>
      </c>
      <c r="AG704" s="12">
        <f>IF(AF704&gt;0,IF(AF704&lt;=eco,alpha*fck*(1-(1-AF704/eco)^n),alpha*fck),0)</f>
      </c>
      <c r="AH704" s="30">
        <f>PM_Angle!$J$19+PM_Angle!$K$19*$C704+PM_Angle!$L$19*$B704</f>
      </c>
      <c r="AI704" s="12">
        <f>IF(AH704&gt;0,IF(AH704&lt;=eco,alpha*fck*(1-(1-AH704/eco)^n),alpha*fck),0)</f>
      </c>
      <c r="AJ704" s="30">
        <f>PM_Angle!$J$20+PM_Angle!$K$20*$C704+PM_Angle!$L$20*$B704</f>
      </c>
      <c r="AK704" s="12">
        <f>IF(AJ704&gt;0,IF(AJ704&lt;=eco,alpha*fck*(1-(1-AJ704/eco)^n),alpha*fck),0)</f>
      </c>
      <c r="AL704" s="30">
        <f>PM_Angle!$J$21+PM_Angle!$K$21*$C704+PM_Angle!$L$21*$B704</f>
      </c>
      <c r="AM704" s="12">
        <f>IF(AL704&gt;0,IF(AL704&lt;=eco,alpha*fck*(1-(1-AL704/eco)^n),alpha*fck),0)</f>
      </c>
      <c r="AN704" s="30">
        <f>PM_Angle!$J$22+PM_Angle!$K$22*$C704+PM_Angle!$L$22*$B704</f>
      </c>
      <c r="AO704" s="12">
        <f>IF(AN704&gt;0,IF(AN704&lt;=eco,alpha*fck*(1-(1-AN704/eco)^n),alpha*fck),0)</f>
      </c>
      <c r="AP704" s="30">
        <f>PM_Angle!$J$23+PM_Angle!$K$23*$C704+PM_Angle!$L$23*$B704</f>
      </c>
      <c r="AQ704" s="12">
        <f>IF(AP704&gt;0,IF(AP704&lt;=eco,alpha*fck*(1-(1-AP704/eco)^n),alpha*fck),0)</f>
      </c>
      <c r="AR704" s="30">
        <f>PM_Angle!$J$24+PM_Angle!$K$24*$C704+PM_Angle!$L$24*$B704</f>
      </c>
      <c r="AS704" s="12">
        <f>IF(AR704&gt;0,IF(AR704&lt;=eco,alpha*fck*(1-(1-AR704/eco)^n),alpha*fck),0)</f>
      </c>
      <c r="AT704" s="30">
        <f>PM_Angle!$J$25+PM_Angle!$K$25*$C704+PM_Angle!$L$25*$B704</f>
      </c>
      <c r="AU704" s="12">
        <f>IF(AT704&gt;0,IF(AT704&lt;=eco,alpha*fck*(1-(1-AT704/eco)^n),alpha*fck),0)</f>
      </c>
    </row>
    <row r="705" spans="1:47" x14ac:dyDescent="0.25">
      <c r="A705">
        <f>Mesh!A702</f>
      </c>
      <c r="B705" s="12">
        <f>Mesh!B702</f>
      </c>
      <c r="C705" s="12">
        <f>Mesh!C702</f>
      </c>
      <c r="D705" s="12">
        <f>Mesh!D702</f>
      </c>
      <c r="E705" s="30">
        <f>INDEX(St_e0,Det+1)+INDEX(St_kx,Det+1)*C705+INDEX(St_ky,Det+1)*B705</f>
      </c>
      <c r="F705" s="12">
        <f>IF(E705&gt;0,IF(E705&lt;=eco,alpha*fck*(1-(1-E705/eco)^n),alpha*fck),0)</f>
      </c>
      <c r="G705" s="11">
        <f>F705*D705</f>
      </c>
      <c r="H705" s="11">
        <f>G705*C705</f>
      </c>
      <c r="I705" s="11">
        <f>G705*B705</f>
      </c>
      <c r="J705" s="30">
        <f>PM_Angle!$J$7+PM_Angle!$K$7*$C705+PM_Angle!$L$7*$B705</f>
      </c>
      <c r="K705" s="12">
        <f>IF(J705&gt;0,IF(J705&lt;=eco,alpha*fck*(1-(1-J705/eco)^n),alpha*fck),0)</f>
      </c>
      <c r="L705" s="30">
        <f>PM_Angle!$J$8+PM_Angle!$K$8*$C705+PM_Angle!$L$8*$B705</f>
      </c>
      <c r="M705" s="12">
        <f>IF(L705&gt;0,IF(L705&lt;=eco,alpha*fck*(1-(1-L705/eco)^n),alpha*fck),0)</f>
      </c>
      <c r="N705" s="30">
        <f>PM_Angle!$J$9+PM_Angle!$K$9*$C705+PM_Angle!$L$9*$B705</f>
      </c>
      <c r="O705" s="12">
        <f>IF(N705&gt;0,IF(N705&lt;=eco,alpha*fck*(1-(1-N705/eco)^n),alpha*fck),0)</f>
      </c>
      <c r="P705" s="30">
        <f>PM_Angle!$J$10+PM_Angle!$K$10*$C705+PM_Angle!$L$10*$B705</f>
      </c>
      <c r="Q705" s="12">
        <f>IF(P705&gt;0,IF(P705&lt;=eco,alpha*fck*(1-(1-P705/eco)^n),alpha*fck),0)</f>
      </c>
      <c r="R705" s="30">
        <f>PM_Angle!$J$11+PM_Angle!$K$11*$C705+PM_Angle!$L$11*$B705</f>
      </c>
      <c r="S705" s="12">
        <f>IF(R705&gt;0,IF(R705&lt;=eco,alpha*fck*(1-(1-R705/eco)^n),alpha*fck),0)</f>
      </c>
      <c r="T705" s="30">
        <f>PM_Angle!$J$12+PM_Angle!$K$12*$C705+PM_Angle!$L$12*$B705</f>
      </c>
      <c r="U705" s="12">
        <f>IF(T705&gt;0,IF(T705&lt;=eco,alpha*fck*(1-(1-T705/eco)^n),alpha*fck),0)</f>
      </c>
      <c r="V705" s="30">
        <f>PM_Angle!$J$13+PM_Angle!$K$13*$C705+PM_Angle!$L$13*$B705</f>
      </c>
      <c r="W705" s="12">
        <f>IF(V705&gt;0,IF(V705&lt;=eco,alpha*fck*(1-(1-V705/eco)^n),alpha*fck),0)</f>
      </c>
      <c r="X705" s="30">
        <f>PM_Angle!$J$14+PM_Angle!$K$14*$C705+PM_Angle!$L$14*$B705</f>
      </c>
      <c r="Y705" s="12">
        <f>IF(X705&gt;0,IF(X705&lt;=eco,alpha*fck*(1-(1-X705/eco)^n),alpha*fck),0)</f>
      </c>
      <c r="Z705" s="30">
        <f>PM_Angle!$J$15+PM_Angle!$K$15*$C705+PM_Angle!$L$15*$B705</f>
      </c>
      <c r="AA705" s="12">
        <f>IF(Z705&gt;0,IF(Z705&lt;=eco,alpha*fck*(1-(1-Z705/eco)^n),alpha*fck),0)</f>
      </c>
      <c r="AB705" s="30">
        <f>PM_Angle!$J$16+PM_Angle!$K$16*$C705+PM_Angle!$L$16*$B705</f>
      </c>
      <c r="AC705" s="12">
        <f>IF(AB705&gt;0,IF(AB705&lt;=eco,alpha*fck*(1-(1-AB705/eco)^n),alpha*fck),0)</f>
      </c>
      <c r="AD705" s="30">
        <f>PM_Angle!$J$17+PM_Angle!$K$17*$C705+PM_Angle!$L$17*$B705</f>
      </c>
      <c r="AE705" s="12">
        <f>IF(AD705&gt;0,IF(AD705&lt;=eco,alpha*fck*(1-(1-AD705/eco)^n),alpha*fck),0)</f>
      </c>
      <c r="AF705" s="30">
        <f>PM_Angle!$J$18+PM_Angle!$K$18*$C705+PM_Angle!$L$18*$B705</f>
      </c>
      <c r="AG705" s="12">
        <f>IF(AF705&gt;0,IF(AF705&lt;=eco,alpha*fck*(1-(1-AF705/eco)^n),alpha*fck),0)</f>
      </c>
      <c r="AH705" s="30">
        <f>PM_Angle!$J$19+PM_Angle!$K$19*$C705+PM_Angle!$L$19*$B705</f>
      </c>
      <c r="AI705" s="12">
        <f>IF(AH705&gt;0,IF(AH705&lt;=eco,alpha*fck*(1-(1-AH705/eco)^n),alpha*fck),0)</f>
      </c>
      <c r="AJ705" s="30">
        <f>PM_Angle!$J$20+PM_Angle!$K$20*$C705+PM_Angle!$L$20*$B705</f>
      </c>
      <c r="AK705" s="12">
        <f>IF(AJ705&gt;0,IF(AJ705&lt;=eco,alpha*fck*(1-(1-AJ705/eco)^n),alpha*fck),0)</f>
      </c>
      <c r="AL705" s="30">
        <f>PM_Angle!$J$21+PM_Angle!$K$21*$C705+PM_Angle!$L$21*$B705</f>
      </c>
      <c r="AM705" s="12">
        <f>IF(AL705&gt;0,IF(AL705&lt;=eco,alpha*fck*(1-(1-AL705/eco)^n),alpha*fck),0)</f>
      </c>
      <c r="AN705" s="30">
        <f>PM_Angle!$J$22+PM_Angle!$K$22*$C705+PM_Angle!$L$22*$B705</f>
      </c>
      <c r="AO705" s="12">
        <f>IF(AN705&gt;0,IF(AN705&lt;=eco,alpha*fck*(1-(1-AN705/eco)^n),alpha*fck),0)</f>
      </c>
      <c r="AP705" s="30">
        <f>PM_Angle!$J$23+PM_Angle!$K$23*$C705+PM_Angle!$L$23*$B705</f>
      </c>
      <c r="AQ705" s="12">
        <f>IF(AP705&gt;0,IF(AP705&lt;=eco,alpha*fck*(1-(1-AP705/eco)^n),alpha*fck),0)</f>
      </c>
      <c r="AR705" s="30">
        <f>PM_Angle!$J$24+PM_Angle!$K$24*$C705+PM_Angle!$L$24*$B705</f>
      </c>
      <c r="AS705" s="12">
        <f>IF(AR705&gt;0,IF(AR705&lt;=eco,alpha*fck*(1-(1-AR705/eco)^n),alpha*fck),0)</f>
      </c>
      <c r="AT705" s="30">
        <f>PM_Angle!$J$25+PM_Angle!$K$25*$C705+PM_Angle!$L$25*$B705</f>
      </c>
      <c r="AU705" s="12">
        <f>IF(AT705&gt;0,IF(AT705&lt;=eco,alpha*fck*(1-(1-AT705/eco)^n),alpha*fck),0)</f>
      </c>
    </row>
    <row r="706" spans="1:47" x14ac:dyDescent="0.25">
      <c r="A706">
        <f>Mesh!A703</f>
      </c>
      <c r="B706" s="12">
        <f>Mesh!B703</f>
      </c>
      <c r="C706" s="12">
        <f>Mesh!C703</f>
      </c>
      <c r="D706" s="12">
        <f>Mesh!D703</f>
      </c>
      <c r="E706" s="30">
        <f>INDEX(St_e0,Det+1)+INDEX(St_kx,Det+1)*C706+INDEX(St_ky,Det+1)*B706</f>
      </c>
      <c r="F706" s="12">
        <f>IF(E706&gt;0,IF(E706&lt;=eco,alpha*fck*(1-(1-E706/eco)^n),alpha*fck),0)</f>
      </c>
      <c r="G706" s="11">
        <f>F706*D706</f>
      </c>
      <c r="H706" s="11">
        <f>G706*C706</f>
      </c>
      <c r="I706" s="11">
        <f>G706*B706</f>
      </c>
      <c r="J706" s="30">
        <f>PM_Angle!$J$7+PM_Angle!$K$7*$C706+PM_Angle!$L$7*$B706</f>
      </c>
      <c r="K706" s="12">
        <f>IF(J706&gt;0,IF(J706&lt;=eco,alpha*fck*(1-(1-J706/eco)^n),alpha*fck),0)</f>
      </c>
      <c r="L706" s="30">
        <f>PM_Angle!$J$8+PM_Angle!$K$8*$C706+PM_Angle!$L$8*$B706</f>
      </c>
      <c r="M706" s="12">
        <f>IF(L706&gt;0,IF(L706&lt;=eco,alpha*fck*(1-(1-L706/eco)^n),alpha*fck),0)</f>
      </c>
      <c r="N706" s="30">
        <f>PM_Angle!$J$9+PM_Angle!$K$9*$C706+PM_Angle!$L$9*$B706</f>
      </c>
      <c r="O706" s="12">
        <f>IF(N706&gt;0,IF(N706&lt;=eco,alpha*fck*(1-(1-N706/eco)^n),alpha*fck),0)</f>
      </c>
      <c r="P706" s="30">
        <f>PM_Angle!$J$10+PM_Angle!$K$10*$C706+PM_Angle!$L$10*$B706</f>
      </c>
      <c r="Q706" s="12">
        <f>IF(P706&gt;0,IF(P706&lt;=eco,alpha*fck*(1-(1-P706/eco)^n),alpha*fck),0)</f>
      </c>
      <c r="R706" s="30">
        <f>PM_Angle!$J$11+PM_Angle!$K$11*$C706+PM_Angle!$L$11*$B706</f>
      </c>
      <c r="S706" s="12">
        <f>IF(R706&gt;0,IF(R706&lt;=eco,alpha*fck*(1-(1-R706/eco)^n),alpha*fck),0)</f>
      </c>
      <c r="T706" s="30">
        <f>PM_Angle!$J$12+PM_Angle!$K$12*$C706+PM_Angle!$L$12*$B706</f>
      </c>
      <c r="U706" s="12">
        <f>IF(T706&gt;0,IF(T706&lt;=eco,alpha*fck*(1-(1-T706/eco)^n),alpha*fck),0)</f>
      </c>
      <c r="V706" s="30">
        <f>PM_Angle!$J$13+PM_Angle!$K$13*$C706+PM_Angle!$L$13*$B706</f>
      </c>
      <c r="W706" s="12">
        <f>IF(V706&gt;0,IF(V706&lt;=eco,alpha*fck*(1-(1-V706/eco)^n),alpha*fck),0)</f>
      </c>
      <c r="X706" s="30">
        <f>PM_Angle!$J$14+PM_Angle!$K$14*$C706+PM_Angle!$L$14*$B706</f>
      </c>
      <c r="Y706" s="12">
        <f>IF(X706&gt;0,IF(X706&lt;=eco,alpha*fck*(1-(1-X706/eco)^n),alpha*fck),0)</f>
      </c>
      <c r="Z706" s="30">
        <f>PM_Angle!$J$15+PM_Angle!$K$15*$C706+PM_Angle!$L$15*$B706</f>
      </c>
      <c r="AA706" s="12">
        <f>IF(Z706&gt;0,IF(Z706&lt;=eco,alpha*fck*(1-(1-Z706/eco)^n),alpha*fck),0)</f>
      </c>
      <c r="AB706" s="30">
        <f>PM_Angle!$J$16+PM_Angle!$K$16*$C706+PM_Angle!$L$16*$B706</f>
      </c>
      <c r="AC706" s="12">
        <f>IF(AB706&gt;0,IF(AB706&lt;=eco,alpha*fck*(1-(1-AB706/eco)^n),alpha*fck),0)</f>
      </c>
      <c r="AD706" s="30">
        <f>PM_Angle!$J$17+PM_Angle!$K$17*$C706+PM_Angle!$L$17*$B706</f>
      </c>
      <c r="AE706" s="12">
        <f>IF(AD706&gt;0,IF(AD706&lt;=eco,alpha*fck*(1-(1-AD706/eco)^n),alpha*fck),0)</f>
      </c>
      <c r="AF706" s="30">
        <f>PM_Angle!$J$18+PM_Angle!$K$18*$C706+PM_Angle!$L$18*$B706</f>
      </c>
      <c r="AG706" s="12">
        <f>IF(AF706&gt;0,IF(AF706&lt;=eco,alpha*fck*(1-(1-AF706/eco)^n),alpha*fck),0)</f>
      </c>
      <c r="AH706" s="30">
        <f>PM_Angle!$J$19+PM_Angle!$K$19*$C706+PM_Angle!$L$19*$B706</f>
      </c>
      <c r="AI706" s="12">
        <f>IF(AH706&gt;0,IF(AH706&lt;=eco,alpha*fck*(1-(1-AH706/eco)^n),alpha*fck),0)</f>
      </c>
      <c r="AJ706" s="30">
        <f>PM_Angle!$J$20+PM_Angle!$K$20*$C706+PM_Angle!$L$20*$B706</f>
      </c>
      <c r="AK706" s="12">
        <f>IF(AJ706&gt;0,IF(AJ706&lt;=eco,alpha*fck*(1-(1-AJ706/eco)^n),alpha*fck),0)</f>
      </c>
      <c r="AL706" s="30">
        <f>PM_Angle!$J$21+PM_Angle!$K$21*$C706+PM_Angle!$L$21*$B706</f>
      </c>
      <c r="AM706" s="12">
        <f>IF(AL706&gt;0,IF(AL706&lt;=eco,alpha*fck*(1-(1-AL706/eco)^n),alpha*fck),0)</f>
      </c>
      <c r="AN706" s="30">
        <f>PM_Angle!$J$22+PM_Angle!$K$22*$C706+PM_Angle!$L$22*$B706</f>
      </c>
      <c r="AO706" s="12">
        <f>IF(AN706&gt;0,IF(AN706&lt;=eco,alpha*fck*(1-(1-AN706/eco)^n),alpha*fck),0)</f>
      </c>
      <c r="AP706" s="30">
        <f>PM_Angle!$J$23+PM_Angle!$K$23*$C706+PM_Angle!$L$23*$B706</f>
      </c>
      <c r="AQ706" s="12">
        <f>IF(AP706&gt;0,IF(AP706&lt;=eco,alpha*fck*(1-(1-AP706/eco)^n),alpha*fck),0)</f>
      </c>
      <c r="AR706" s="30">
        <f>PM_Angle!$J$24+PM_Angle!$K$24*$C706+PM_Angle!$L$24*$B706</f>
      </c>
      <c r="AS706" s="12">
        <f>IF(AR706&gt;0,IF(AR706&lt;=eco,alpha*fck*(1-(1-AR706/eco)^n),alpha*fck),0)</f>
      </c>
      <c r="AT706" s="30">
        <f>PM_Angle!$J$25+PM_Angle!$K$25*$C706+PM_Angle!$L$25*$B706</f>
      </c>
      <c r="AU706" s="12">
        <f>IF(AT706&gt;0,IF(AT706&lt;=eco,alpha*fck*(1-(1-AT706/eco)^n),alpha*fck),0)</f>
      </c>
    </row>
    <row r="707" spans="1:47" x14ac:dyDescent="0.25">
      <c r="A707">
        <f>Mesh!A704</f>
      </c>
      <c r="B707" s="12">
        <f>Mesh!B704</f>
      </c>
      <c r="C707" s="12">
        <f>Mesh!C704</f>
      </c>
      <c r="D707" s="12">
        <f>Mesh!D704</f>
      </c>
      <c r="E707" s="30">
        <f>INDEX(St_e0,Det+1)+INDEX(St_kx,Det+1)*C707+INDEX(St_ky,Det+1)*B707</f>
      </c>
      <c r="F707" s="12">
        <f>IF(E707&gt;0,IF(E707&lt;=eco,alpha*fck*(1-(1-E707/eco)^n),alpha*fck),0)</f>
      </c>
      <c r="G707" s="11">
        <f>F707*D707</f>
      </c>
      <c r="H707" s="11">
        <f>G707*C707</f>
      </c>
      <c r="I707" s="11">
        <f>G707*B707</f>
      </c>
      <c r="J707" s="30">
        <f>PM_Angle!$J$7+PM_Angle!$K$7*$C707+PM_Angle!$L$7*$B707</f>
      </c>
      <c r="K707" s="12">
        <f>IF(J707&gt;0,IF(J707&lt;=eco,alpha*fck*(1-(1-J707/eco)^n),alpha*fck),0)</f>
      </c>
      <c r="L707" s="30">
        <f>PM_Angle!$J$8+PM_Angle!$K$8*$C707+PM_Angle!$L$8*$B707</f>
      </c>
      <c r="M707" s="12">
        <f>IF(L707&gt;0,IF(L707&lt;=eco,alpha*fck*(1-(1-L707/eco)^n),alpha*fck),0)</f>
      </c>
      <c r="N707" s="30">
        <f>PM_Angle!$J$9+PM_Angle!$K$9*$C707+PM_Angle!$L$9*$B707</f>
      </c>
      <c r="O707" s="12">
        <f>IF(N707&gt;0,IF(N707&lt;=eco,alpha*fck*(1-(1-N707/eco)^n),alpha*fck),0)</f>
      </c>
      <c r="P707" s="30">
        <f>PM_Angle!$J$10+PM_Angle!$K$10*$C707+PM_Angle!$L$10*$B707</f>
      </c>
      <c r="Q707" s="12">
        <f>IF(P707&gt;0,IF(P707&lt;=eco,alpha*fck*(1-(1-P707/eco)^n),alpha*fck),0)</f>
      </c>
      <c r="R707" s="30">
        <f>PM_Angle!$J$11+PM_Angle!$K$11*$C707+PM_Angle!$L$11*$B707</f>
      </c>
      <c r="S707" s="12">
        <f>IF(R707&gt;0,IF(R707&lt;=eco,alpha*fck*(1-(1-R707/eco)^n),alpha*fck),0)</f>
      </c>
      <c r="T707" s="30">
        <f>PM_Angle!$J$12+PM_Angle!$K$12*$C707+PM_Angle!$L$12*$B707</f>
      </c>
      <c r="U707" s="12">
        <f>IF(T707&gt;0,IF(T707&lt;=eco,alpha*fck*(1-(1-T707/eco)^n),alpha*fck),0)</f>
      </c>
      <c r="V707" s="30">
        <f>PM_Angle!$J$13+PM_Angle!$K$13*$C707+PM_Angle!$L$13*$B707</f>
      </c>
      <c r="W707" s="12">
        <f>IF(V707&gt;0,IF(V707&lt;=eco,alpha*fck*(1-(1-V707/eco)^n),alpha*fck),0)</f>
      </c>
      <c r="X707" s="30">
        <f>PM_Angle!$J$14+PM_Angle!$K$14*$C707+PM_Angle!$L$14*$B707</f>
      </c>
      <c r="Y707" s="12">
        <f>IF(X707&gt;0,IF(X707&lt;=eco,alpha*fck*(1-(1-X707/eco)^n),alpha*fck),0)</f>
      </c>
      <c r="Z707" s="30">
        <f>PM_Angle!$J$15+PM_Angle!$K$15*$C707+PM_Angle!$L$15*$B707</f>
      </c>
      <c r="AA707" s="12">
        <f>IF(Z707&gt;0,IF(Z707&lt;=eco,alpha*fck*(1-(1-Z707/eco)^n),alpha*fck),0)</f>
      </c>
      <c r="AB707" s="30">
        <f>PM_Angle!$J$16+PM_Angle!$K$16*$C707+PM_Angle!$L$16*$B707</f>
      </c>
      <c r="AC707" s="12">
        <f>IF(AB707&gt;0,IF(AB707&lt;=eco,alpha*fck*(1-(1-AB707/eco)^n),alpha*fck),0)</f>
      </c>
      <c r="AD707" s="30">
        <f>PM_Angle!$J$17+PM_Angle!$K$17*$C707+PM_Angle!$L$17*$B707</f>
      </c>
      <c r="AE707" s="12">
        <f>IF(AD707&gt;0,IF(AD707&lt;=eco,alpha*fck*(1-(1-AD707/eco)^n),alpha*fck),0)</f>
      </c>
      <c r="AF707" s="30">
        <f>PM_Angle!$J$18+PM_Angle!$K$18*$C707+PM_Angle!$L$18*$B707</f>
      </c>
      <c r="AG707" s="12">
        <f>IF(AF707&gt;0,IF(AF707&lt;=eco,alpha*fck*(1-(1-AF707/eco)^n),alpha*fck),0)</f>
      </c>
      <c r="AH707" s="30">
        <f>PM_Angle!$J$19+PM_Angle!$K$19*$C707+PM_Angle!$L$19*$B707</f>
      </c>
      <c r="AI707" s="12">
        <f>IF(AH707&gt;0,IF(AH707&lt;=eco,alpha*fck*(1-(1-AH707/eco)^n),alpha*fck),0)</f>
      </c>
      <c r="AJ707" s="30">
        <f>PM_Angle!$J$20+PM_Angle!$K$20*$C707+PM_Angle!$L$20*$B707</f>
      </c>
      <c r="AK707" s="12">
        <f>IF(AJ707&gt;0,IF(AJ707&lt;=eco,alpha*fck*(1-(1-AJ707/eco)^n),alpha*fck),0)</f>
      </c>
      <c r="AL707" s="30">
        <f>PM_Angle!$J$21+PM_Angle!$K$21*$C707+PM_Angle!$L$21*$B707</f>
      </c>
      <c r="AM707" s="12">
        <f>IF(AL707&gt;0,IF(AL707&lt;=eco,alpha*fck*(1-(1-AL707/eco)^n),alpha*fck),0)</f>
      </c>
      <c r="AN707" s="30">
        <f>PM_Angle!$J$22+PM_Angle!$K$22*$C707+PM_Angle!$L$22*$B707</f>
      </c>
      <c r="AO707" s="12">
        <f>IF(AN707&gt;0,IF(AN707&lt;=eco,alpha*fck*(1-(1-AN707/eco)^n),alpha*fck),0)</f>
      </c>
      <c r="AP707" s="30">
        <f>PM_Angle!$J$23+PM_Angle!$K$23*$C707+PM_Angle!$L$23*$B707</f>
      </c>
      <c r="AQ707" s="12">
        <f>IF(AP707&gt;0,IF(AP707&lt;=eco,alpha*fck*(1-(1-AP707/eco)^n),alpha*fck),0)</f>
      </c>
      <c r="AR707" s="30">
        <f>PM_Angle!$J$24+PM_Angle!$K$24*$C707+PM_Angle!$L$24*$B707</f>
      </c>
      <c r="AS707" s="12">
        <f>IF(AR707&gt;0,IF(AR707&lt;=eco,alpha*fck*(1-(1-AR707/eco)^n),alpha*fck),0)</f>
      </c>
      <c r="AT707" s="30">
        <f>PM_Angle!$J$25+PM_Angle!$K$25*$C707+PM_Angle!$L$25*$B707</f>
      </c>
      <c r="AU707" s="12">
        <f>IF(AT707&gt;0,IF(AT707&lt;=eco,alpha*fck*(1-(1-AT707/eco)^n),alpha*fck),0)</f>
      </c>
    </row>
    <row r="708" spans="1:47" x14ac:dyDescent="0.25">
      <c r="A708">
        <f>Mesh!A705</f>
      </c>
      <c r="B708" s="12">
        <f>Mesh!B705</f>
      </c>
      <c r="C708" s="12">
        <f>Mesh!C705</f>
      </c>
      <c r="D708" s="12">
        <f>Mesh!D705</f>
      </c>
      <c r="E708" s="30">
        <f>INDEX(St_e0,Det+1)+INDEX(St_kx,Det+1)*C708+INDEX(St_ky,Det+1)*B708</f>
      </c>
      <c r="F708" s="12">
        <f>IF(E708&gt;0,IF(E708&lt;=eco,alpha*fck*(1-(1-E708/eco)^n),alpha*fck),0)</f>
      </c>
      <c r="G708" s="11">
        <f>F708*D708</f>
      </c>
      <c r="H708" s="11">
        <f>G708*C708</f>
      </c>
      <c r="I708" s="11">
        <f>G708*B708</f>
      </c>
      <c r="J708" s="30">
        <f>PM_Angle!$J$7+PM_Angle!$K$7*$C708+PM_Angle!$L$7*$B708</f>
      </c>
      <c r="K708" s="12">
        <f>IF(J708&gt;0,IF(J708&lt;=eco,alpha*fck*(1-(1-J708/eco)^n),alpha*fck),0)</f>
      </c>
      <c r="L708" s="30">
        <f>PM_Angle!$J$8+PM_Angle!$K$8*$C708+PM_Angle!$L$8*$B708</f>
      </c>
      <c r="M708" s="12">
        <f>IF(L708&gt;0,IF(L708&lt;=eco,alpha*fck*(1-(1-L708/eco)^n),alpha*fck),0)</f>
      </c>
      <c r="N708" s="30">
        <f>PM_Angle!$J$9+PM_Angle!$K$9*$C708+PM_Angle!$L$9*$B708</f>
      </c>
      <c r="O708" s="12">
        <f>IF(N708&gt;0,IF(N708&lt;=eco,alpha*fck*(1-(1-N708/eco)^n),alpha*fck),0)</f>
      </c>
      <c r="P708" s="30">
        <f>PM_Angle!$J$10+PM_Angle!$K$10*$C708+PM_Angle!$L$10*$B708</f>
      </c>
      <c r="Q708" s="12">
        <f>IF(P708&gt;0,IF(P708&lt;=eco,alpha*fck*(1-(1-P708/eco)^n),alpha*fck),0)</f>
      </c>
      <c r="R708" s="30">
        <f>PM_Angle!$J$11+PM_Angle!$K$11*$C708+PM_Angle!$L$11*$B708</f>
      </c>
      <c r="S708" s="12">
        <f>IF(R708&gt;0,IF(R708&lt;=eco,alpha*fck*(1-(1-R708/eco)^n),alpha*fck),0)</f>
      </c>
      <c r="T708" s="30">
        <f>PM_Angle!$J$12+PM_Angle!$K$12*$C708+PM_Angle!$L$12*$B708</f>
      </c>
      <c r="U708" s="12">
        <f>IF(T708&gt;0,IF(T708&lt;=eco,alpha*fck*(1-(1-T708/eco)^n),alpha*fck),0)</f>
      </c>
      <c r="V708" s="30">
        <f>PM_Angle!$J$13+PM_Angle!$K$13*$C708+PM_Angle!$L$13*$B708</f>
      </c>
      <c r="W708" s="12">
        <f>IF(V708&gt;0,IF(V708&lt;=eco,alpha*fck*(1-(1-V708/eco)^n),alpha*fck),0)</f>
      </c>
      <c r="X708" s="30">
        <f>PM_Angle!$J$14+PM_Angle!$K$14*$C708+PM_Angle!$L$14*$B708</f>
      </c>
      <c r="Y708" s="12">
        <f>IF(X708&gt;0,IF(X708&lt;=eco,alpha*fck*(1-(1-X708/eco)^n),alpha*fck),0)</f>
      </c>
      <c r="Z708" s="30">
        <f>PM_Angle!$J$15+PM_Angle!$K$15*$C708+PM_Angle!$L$15*$B708</f>
      </c>
      <c r="AA708" s="12">
        <f>IF(Z708&gt;0,IF(Z708&lt;=eco,alpha*fck*(1-(1-Z708/eco)^n),alpha*fck),0)</f>
      </c>
      <c r="AB708" s="30">
        <f>PM_Angle!$J$16+PM_Angle!$K$16*$C708+PM_Angle!$L$16*$B708</f>
      </c>
      <c r="AC708" s="12">
        <f>IF(AB708&gt;0,IF(AB708&lt;=eco,alpha*fck*(1-(1-AB708/eco)^n),alpha*fck),0)</f>
      </c>
      <c r="AD708" s="30">
        <f>PM_Angle!$J$17+PM_Angle!$K$17*$C708+PM_Angle!$L$17*$B708</f>
      </c>
      <c r="AE708" s="12">
        <f>IF(AD708&gt;0,IF(AD708&lt;=eco,alpha*fck*(1-(1-AD708/eco)^n),alpha*fck),0)</f>
      </c>
      <c r="AF708" s="30">
        <f>PM_Angle!$J$18+PM_Angle!$K$18*$C708+PM_Angle!$L$18*$B708</f>
      </c>
      <c r="AG708" s="12">
        <f>IF(AF708&gt;0,IF(AF708&lt;=eco,alpha*fck*(1-(1-AF708/eco)^n),alpha*fck),0)</f>
      </c>
      <c r="AH708" s="30">
        <f>PM_Angle!$J$19+PM_Angle!$K$19*$C708+PM_Angle!$L$19*$B708</f>
      </c>
      <c r="AI708" s="12">
        <f>IF(AH708&gt;0,IF(AH708&lt;=eco,alpha*fck*(1-(1-AH708/eco)^n),alpha*fck),0)</f>
      </c>
      <c r="AJ708" s="30">
        <f>PM_Angle!$J$20+PM_Angle!$K$20*$C708+PM_Angle!$L$20*$B708</f>
      </c>
      <c r="AK708" s="12">
        <f>IF(AJ708&gt;0,IF(AJ708&lt;=eco,alpha*fck*(1-(1-AJ708/eco)^n),alpha*fck),0)</f>
      </c>
      <c r="AL708" s="30">
        <f>PM_Angle!$J$21+PM_Angle!$K$21*$C708+PM_Angle!$L$21*$B708</f>
      </c>
      <c r="AM708" s="12">
        <f>IF(AL708&gt;0,IF(AL708&lt;=eco,alpha*fck*(1-(1-AL708/eco)^n),alpha*fck),0)</f>
      </c>
      <c r="AN708" s="30">
        <f>PM_Angle!$J$22+PM_Angle!$K$22*$C708+PM_Angle!$L$22*$B708</f>
      </c>
      <c r="AO708" s="12">
        <f>IF(AN708&gt;0,IF(AN708&lt;=eco,alpha*fck*(1-(1-AN708/eco)^n),alpha*fck),0)</f>
      </c>
      <c r="AP708" s="30">
        <f>PM_Angle!$J$23+PM_Angle!$K$23*$C708+PM_Angle!$L$23*$B708</f>
      </c>
      <c r="AQ708" s="12">
        <f>IF(AP708&gt;0,IF(AP708&lt;=eco,alpha*fck*(1-(1-AP708/eco)^n),alpha*fck),0)</f>
      </c>
      <c r="AR708" s="30">
        <f>PM_Angle!$J$24+PM_Angle!$K$24*$C708+PM_Angle!$L$24*$B708</f>
      </c>
      <c r="AS708" s="12">
        <f>IF(AR708&gt;0,IF(AR708&lt;=eco,alpha*fck*(1-(1-AR708/eco)^n),alpha*fck),0)</f>
      </c>
      <c r="AT708" s="30">
        <f>PM_Angle!$J$25+PM_Angle!$K$25*$C708+PM_Angle!$L$25*$B708</f>
      </c>
      <c r="AU708" s="12">
        <f>IF(AT708&gt;0,IF(AT708&lt;=eco,alpha*fck*(1-(1-AT708/eco)^n),alpha*fck),0)</f>
      </c>
    </row>
    <row r="709" spans="1:47" x14ac:dyDescent="0.25">
      <c r="A709">
        <f>Mesh!A706</f>
      </c>
      <c r="B709" s="12">
        <f>Mesh!B706</f>
      </c>
      <c r="C709" s="12">
        <f>Mesh!C706</f>
      </c>
      <c r="D709" s="12">
        <f>Mesh!D706</f>
      </c>
      <c r="E709" s="30">
        <f>INDEX(St_e0,Det+1)+INDEX(St_kx,Det+1)*C709+INDEX(St_ky,Det+1)*B709</f>
      </c>
      <c r="F709" s="12">
        <f>IF(E709&gt;0,IF(E709&lt;=eco,alpha*fck*(1-(1-E709/eco)^n),alpha*fck),0)</f>
      </c>
      <c r="G709" s="11">
        <f>F709*D709</f>
      </c>
      <c r="H709" s="11">
        <f>G709*C709</f>
      </c>
      <c r="I709" s="11">
        <f>G709*B709</f>
      </c>
      <c r="J709" s="30">
        <f>PM_Angle!$J$7+PM_Angle!$K$7*$C709+PM_Angle!$L$7*$B709</f>
      </c>
      <c r="K709" s="12">
        <f>IF(J709&gt;0,IF(J709&lt;=eco,alpha*fck*(1-(1-J709/eco)^n),alpha*fck),0)</f>
      </c>
      <c r="L709" s="30">
        <f>PM_Angle!$J$8+PM_Angle!$K$8*$C709+PM_Angle!$L$8*$B709</f>
      </c>
      <c r="M709" s="12">
        <f>IF(L709&gt;0,IF(L709&lt;=eco,alpha*fck*(1-(1-L709/eco)^n),alpha*fck),0)</f>
      </c>
      <c r="N709" s="30">
        <f>PM_Angle!$J$9+PM_Angle!$K$9*$C709+PM_Angle!$L$9*$B709</f>
      </c>
      <c r="O709" s="12">
        <f>IF(N709&gt;0,IF(N709&lt;=eco,alpha*fck*(1-(1-N709/eco)^n),alpha*fck),0)</f>
      </c>
      <c r="P709" s="30">
        <f>PM_Angle!$J$10+PM_Angle!$K$10*$C709+PM_Angle!$L$10*$B709</f>
      </c>
      <c r="Q709" s="12">
        <f>IF(P709&gt;0,IF(P709&lt;=eco,alpha*fck*(1-(1-P709/eco)^n),alpha*fck),0)</f>
      </c>
      <c r="R709" s="30">
        <f>PM_Angle!$J$11+PM_Angle!$K$11*$C709+PM_Angle!$L$11*$B709</f>
      </c>
      <c r="S709" s="12">
        <f>IF(R709&gt;0,IF(R709&lt;=eco,alpha*fck*(1-(1-R709/eco)^n),alpha*fck),0)</f>
      </c>
      <c r="T709" s="30">
        <f>PM_Angle!$J$12+PM_Angle!$K$12*$C709+PM_Angle!$L$12*$B709</f>
      </c>
      <c r="U709" s="12">
        <f>IF(T709&gt;0,IF(T709&lt;=eco,alpha*fck*(1-(1-T709/eco)^n),alpha*fck),0)</f>
      </c>
      <c r="V709" s="30">
        <f>PM_Angle!$J$13+PM_Angle!$K$13*$C709+PM_Angle!$L$13*$B709</f>
      </c>
      <c r="W709" s="12">
        <f>IF(V709&gt;0,IF(V709&lt;=eco,alpha*fck*(1-(1-V709/eco)^n),alpha*fck),0)</f>
      </c>
      <c r="X709" s="30">
        <f>PM_Angle!$J$14+PM_Angle!$K$14*$C709+PM_Angle!$L$14*$B709</f>
      </c>
      <c r="Y709" s="12">
        <f>IF(X709&gt;0,IF(X709&lt;=eco,alpha*fck*(1-(1-X709/eco)^n),alpha*fck),0)</f>
      </c>
      <c r="Z709" s="30">
        <f>PM_Angle!$J$15+PM_Angle!$K$15*$C709+PM_Angle!$L$15*$B709</f>
      </c>
      <c r="AA709" s="12">
        <f>IF(Z709&gt;0,IF(Z709&lt;=eco,alpha*fck*(1-(1-Z709/eco)^n),alpha*fck),0)</f>
      </c>
      <c r="AB709" s="30">
        <f>PM_Angle!$J$16+PM_Angle!$K$16*$C709+PM_Angle!$L$16*$B709</f>
      </c>
      <c r="AC709" s="12">
        <f>IF(AB709&gt;0,IF(AB709&lt;=eco,alpha*fck*(1-(1-AB709/eco)^n),alpha*fck),0)</f>
      </c>
      <c r="AD709" s="30">
        <f>PM_Angle!$J$17+PM_Angle!$K$17*$C709+PM_Angle!$L$17*$B709</f>
      </c>
      <c r="AE709" s="12">
        <f>IF(AD709&gt;0,IF(AD709&lt;=eco,alpha*fck*(1-(1-AD709/eco)^n),alpha*fck),0)</f>
      </c>
      <c r="AF709" s="30">
        <f>PM_Angle!$J$18+PM_Angle!$K$18*$C709+PM_Angle!$L$18*$B709</f>
      </c>
      <c r="AG709" s="12">
        <f>IF(AF709&gt;0,IF(AF709&lt;=eco,alpha*fck*(1-(1-AF709/eco)^n),alpha*fck),0)</f>
      </c>
      <c r="AH709" s="30">
        <f>PM_Angle!$J$19+PM_Angle!$K$19*$C709+PM_Angle!$L$19*$B709</f>
      </c>
      <c r="AI709" s="12">
        <f>IF(AH709&gt;0,IF(AH709&lt;=eco,alpha*fck*(1-(1-AH709/eco)^n),alpha*fck),0)</f>
      </c>
      <c r="AJ709" s="30">
        <f>PM_Angle!$J$20+PM_Angle!$K$20*$C709+PM_Angle!$L$20*$B709</f>
      </c>
      <c r="AK709" s="12">
        <f>IF(AJ709&gt;0,IF(AJ709&lt;=eco,alpha*fck*(1-(1-AJ709/eco)^n),alpha*fck),0)</f>
      </c>
      <c r="AL709" s="30">
        <f>PM_Angle!$J$21+PM_Angle!$K$21*$C709+PM_Angle!$L$21*$B709</f>
      </c>
      <c r="AM709" s="12">
        <f>IF(AL709&gt;0,IF(AL709&lt;=eco,alpha*fck*(1-(1-AL709/eco)^n),alpha*fck),0)</f>
      </c>
      <c r="AN709" s="30">
        <f>PM_Angle!$J$22+PM_Angle!$K$22*$C709+PM_Angle!$L$22*$B709</f>
      </c>
      <c r="AO709" s="12">
        <f>IF(AN709&gt;0,IF(AN709&lt;=eco,alpha*fck*(1-(1-AN709/eco)^n),alpha*fck),0)</f>
      </c>
      <c r="AP709" s="30">
        <f>PM_Angle!$J$23+PM_Angle!$K$23*$C709+PM_Angle!$L$23*$B709</f>
      </c>
      <c r="AQ709" s="12">
        <f>IF(AP709&gt;0,IF(AP709&lt;=eco,alpha*fck*(1-(1-AP709/eco)^n),alpha*fck),0)</f>
      </c>
      <c r="AR709" s="30">
        <f>PM_Angle!$J$24+PM_Angle!$K$24*$C709+PM_Angle!$L$24*$B709</f>
      </c>
      <c r="AS709" s="12">
        <f>IF(AR709&gt;0,IF(AR709&lt;=eco,alpha*fck*(1-(1-AR709/eco)^n),alpha*fck),0)</f>
      </c>
      <c r="AT709" s="30">
        <f>PM_Angle!$J$25+PM_Angle!$K$25*$C709+PM_Angle!$L$25*$B709</f>
      </c>
      <c r="AU709" s="12">
        <f>IF(AT709&gt;0,IF(AT709&lt;=eco,alpha*fck*(1-(1-AT709/eco)^n),alpha*fck),0)</f>
      </c>
    </row>
    <row r="710" spans="1:47" x14ac:dyDescent="0.25">
      <c r="A710">
        <f>Mesh!A707</f>
      </c>
      <c r="B710" s="12">
        <f>Mesh!B707</f>
      </c>
      <c r="C710" s="12">
        <f>Mesh!C707</f>
      </c>
      <c r="D710" s="12">
        <f>Mesh!D707</f>
      </c>
      <c r="E710" s="30">
        <f>INDEX(St_e0,Det+1)+INDEX(St_kx,Det+1)*C710+INDEX(St_ky,Det+1)*B710</f>
      </c>
      <c r="F710" s="12">
        <f>IF(E710&gt;0,IF(E710&lt;=eco,alpha*fck*(1-(1-E710/eco)^n),alpha*fck),0)</f>
      </c>
      <c r="G710" s="11">
        <f>F710*D710</f>
      </c>
      <c r="H710" s="11">
        <f>G710*C710</f>
      </c>
      <c r="I710" s="11">
        <f>G710*B710</f>
      </c>
      <c r="J710" s="30">
        <f>PM_Angle!$J$7+PM_Angle!$K$7*$C710+PM_Angle!$L$7*$B710</f>
      </c>
      <c r="K710" s="12">
        <f>IF(J710&gt;0,IF(J710&lt;=eco,alpha*fck*(1-(1-J710/eco)^n),alpha*fck),0)</f>
      </c>
      <c r="L710" s="30">
        <f>PM_Angle!$J$8+PM_Angle!$K$8*$C710+PM_Angle!$L$8*$B710</f>
      </c>
      <c r="M710" s="12">
        <f>IF(L710&gt;0,IF(L710&lt;=eco,alpha*fck*(1-(1-L710/eco)^n),alpha*fck),0)</f>
      </c>
      <c r="N710" s="30">
        <f>PM_Angle!$J$9+PM_Angle!$K$9*$C710+PM_Angle!$L$9*$B710</f>
      </c>
      <c r="O710" s="12">
        <f>IF(N710&gt;0,IF(N710&lt;=eco,alpha*fck*(1-(1-N710/eco)^n),alpha*fck),0)</f>
      </c>
      <c r="P710" s="30">
        <f>PM_Angle!$J$10+PM_Angle!$K$10*$C710+PM_Angle!$L$10*$B710</f>
      </c>
      <c r="Q710" s="12">
        <f>IF(P710&gt;0,IF(P710&lt;=eco,alpha*fck*(1-(1-P710/eco)^n),alpha*fck),0)</f>
      </c>
      <c r="R710" s="30">
        <f>PM_Angle!$J$11+PM_Angle!$K$11*$C710+PM_Angle!$L$11*$B710</f>
      </c>
      <c r="S710" s="12">
        <f>IF(R710&gt;0,IF(R710&lt;=eco,alpha*fck*(1-(1-R710/eco)^n),alpha*fck),0)</f>
      </c>
      <c r="T710" s="30">
        <f>PM_Angle!$J$12+PM_Angle!$K$12*$C710+PM_Angle!$L$12*$B710</f>
      </c>
      <c r="U710" s="12">
        <f>IF(T710&gt;0,IF(T710&lt;=eco,alpha*fck*(1-(1-T710/eco)^n),alpha*fck),0)</f>
      </c>
      <c r="V710" s="30">
        <f>PM_Angle!$J$13+PM_Angle!$K$13*$C710+PM_Angle!$L$13*$B710</f>
      </c>
      <c r="W710" s="12">
        <f>IF(V710&gt;0,IF(V710&lt;=eco,alpha*fck*(1-(1-V710/eco)^n),alpha*fck),0)</f>
      </c>
      <c r="X710" s="30">
        <f>PM_Angle!$J$14+PM_Angle!$K$14*$C710+PM_Angle!$L$14*$B710</f>
      </c>
      <c r="Y710" s="12">
        <f>IF(X710&gt;0,IF(X710&lt;=eco,alpha*fck*(1-(1-X710/eco)^n),alpha*fck),0)</f>
      </c>
      <c r="Z710" s="30">
        <f>PM_Angle!$J$15+PM_Angle!$K$15*$C710+PM_Angle!$L$15*$B710</f>
      </c>
      <c r="AA710" s="12">
        <f>IF(Z710&gt;0,IF(Z710&lt;=eco,alpha*fck*(1-(1-Z710/eco)^n),alpha*fck),0)</f>
      </c>
      <c r="AB710" s="30">
        <f>PM_Angle!$J$16+PM_Angle!$K$16*$C710+PM_Angle!$L$16*$B710</f>
      </c>
      <c r="AC710" s="12">
        <f>IF(AB710&gt;0,IF(AB710&lt;=eco,alpha*fck*(1-(1-AB710/eco)^n),alpha*fck),0)</f>
      </c>
      <c r="AD710" s="30">
        <f>PM_Angle!$J$17+PM_Angle!$K$17*$C710+PM_Angle!$L$17*$B710</f>
      </c>
      <c r="AE710" s="12">
        <f>IF(AD710&gt;0,IF(AD710&lt;=eco,alpha*fck*(1-(1-AD710/eco)^n),alpha*fck),0)</f>
      </c>
      <c r="AF710" s="30">
        <f>PM_Angle!$J$18+PM_Angle!$K$18*$C710+PM_Angle!$L$18*$B710</f>
      </c>
      <c r="AG710" s="12">
        <f>IF(AF710&gt;0,IF(AF710&lt;=eco,alpha*fck*(1-(1-AF710/eco)^n),alpha*fck),0)</f>
      </c>
      <c r="AH710" s="30">
        <f>PM_Angle!$J$19+PM_Angle!$K$19*$C710+PM_Angle!$L$19*$B710</f>
      </c>
      <c r="AI710" s="12">
        <f>IF(AH710&gt;0,IF(AH710&lt;=eco,alpha*fck*(1-(1-AH710/eco)^n),alpha*fck),0)</f>
      </c>
      <c r="AJ710" s="30">
        <f>PM_Angle!$J$20+PM_Angle!$K$20*$C710+PM_Angle!$L$20*$B710</f>
      </c>
      <c r="AK710" s="12">
        <f>IF(AJ710&gt;0,IF(AJ710&lt;=eco,alpha*fck*(1-(1-AJ710/eco)^n),alpha*fck),0)</f>
      </c>
      <c r="AL710" s="30">
        <f>PM_Angle!$J$21+PM_Angle!$K$21*$C710+PM_Angle!$L$21*$B710</f>
      </c>
      <c r="AM710" s="12">
        <f>IF(AL710&gt;0,IF(AL710&lt;=eco,alpha*fck*(1-(1-AL710/eco)^n),alpha*fck),0)</f>
      </c>
      <c r="AN710" s="30">
        <f>PM_Angle!$J$22+PM_Angle!$K$22*$C710+PM_Angle!$L$22*$B710</f>
      </c>
      <c r="AO710" s="12">
        <f>IF(AN710&gt;0,IF(AN710&lt;=eco,alpha*fck*(1-(1-AN710/eco)^n),alpha*fck),0)</f>
      </c>
      <c r="AP710" s="30">
        <f>PM_Angle!$J$23+PM_Angle!$K$23*$C710+PM_Angle!$L$23*$B710</f>
      </c>
      <c r="AQ710" s="12">
        <f>IF(AP710&gt;0,IF(AP710&lt;=eco,alpha*fck*(1-(1-AP710/eco)^n),alpha*fck),0)</f>
      </c>
      <c r="AR710" s="30">
        <f>PM_Angle!$J$24+PM_Angle!$K$24*$C710+PM_Angle!$L$24*$B710</f>
      </c>
      <c r="AS710" s="12">
        <f>IF(AR710&gt;0,IF(AR710&lt;=eco,alpha*fck*(1-(1-AR710/eco)^n),alpha*fck),0)</f>
      </c>
      <c r="AT710" s="30">
        <f>PM_Angle!$J$25+PM_Angle!$K$25*$C710+PM_Angle!$L$25*$B710</f>
      </c>
      <c r="AU710" s="12">
        <f>IF(AT710&gt;0,IF(AT710&lt;=eco,alpha*fck*(1-(1-AT710/eco)^n),alpha*fck),0)</f>
      </c>
    </row>
    <row r="711" spans="1:47" x14ac:dyDescent="0.25">
      <c r="A711">
        <f>Mesh!A708</f>
      </c>
      <c r="B711" s="12">
        <f>Mesh!B708</f>
      </c>
      <c r="C711" s="12">
        <f>Mesh!C708</f>
      </c>
      <c r="D711" s="12">
        <f>Mesh!D708</f>
      </c>
      <c r="E711" s="30">
        <f>INDEX(St_e0,Det+1)+INDEX(St_kx,Det+1)*C711+INDEX(St_ky,Det+1)*B711</f>
      </c>
      <c r="F711" s="12">
        <f>IF(E711&gt;0,IF(E711&lt;=eco,alpha*fck*(1-(1-E711/eco)^n),alpha*fck),0)</f>
      </c>
      <c r="G711" s="11">
        <f>F711*D711</f>
      </c>
      <c r="H711" s="11">
        <f>G711*C711</f>
      </c>
      <c r="I711" s="11">
        <f>G711*B711</f>
      </c>
      <c r="J711" s="30">
        <f>PM_Angle!$J$7+PM_Angle!$K$7*$C711+PM_Angle!$L$7*$B711</f>
      </c>
      <c r="K711" s="12">
        <f>IF(J711&gt;0,IF(J711&lt;=eco,alpha*fck*(1-(1-J711/eco)^n),alpha*fck),0)</f>
      </c>
      <c r="L711" s="30">
        <f>PM_Angle!$J$8+PM_Angle!$K$8*$C711+PM_Angle!$L$8*$B711</f>
      </c>
      <c r="M711" s="12">
        <f>IF(L711&gt;0,IF(L711&lt;=eco,alpha*fck*(1-(1-L711/eco)^n),alpha*fck),0)</f>
      </c>
      <c r="N711" s="30">
        <f>PM_Angle!$J$9+PM_Angle!$K$9*$C711+PM_Angle!$L$9*$B711</f>
      </c>
      <c r="O711" s="12">
        <f>IF(N711&gt;0,IF(N711&lt;=eco,alpha*fck*(1-(1-N711/eco)^n),alpha*fck),0)</f>
      </c>
      <c r="P711" s="30">
        <f>PM_Angle!$J$10+PM_Angle!$K$10*$C711+PM_Angle!$L$10*$B711</f>
      </c>
      <c r="Q711" s="12">
        <f>IF(P711&gt;0,IF(P711&lt;=eco,alpha*fck*(1-(1-P711/eco)^n),alpha*fck),0)</f>
      </c>
      <c r="R711" s="30">
        <f>PM_Angle!$J$11+PM_Angle!$K$11*$C711+PM_Angle!$L$11*$B711</f>
      </c>
      <c r="S711" s="12">
        <f>IF(R711&gt;0,IF(R711&lt;=eco,alpha*fck*(1-(1-R711/eco)^n),alpha*fck),0)</f>
      </c>
      <c r="T711" s="30">
        <f>PM_Angle!$J$12+PM_Angle!$K$12*$C711+PM_Angle!$L$12*$B711</f>
      </c>
      <c r="U711" s="12">
        <f>IF(T711&gt;0,IF(T711&lt;=eco,alpha*fck*(1-(1-T711/eco)^n),alpha*fck),0)</f>
      </c>
      <c r="V711" s="30">
        <f>PM_Angle!$J$13+PM_Angle!$K$13*$C711+PM_Angle!$L$13*$B711</f>
      </c>
      <c r="W711" s="12">
        <f>IF(V711&gt;0,IF(V711&lt;=eco,alpha*fck*(1-(1-V711/eco)^n),alpha*fck),0)</f>
      </c>
      <c r="X711" s="30">
        <f>PM_Angle!$J$14+PM_Angle!$K$14*$C711+PM_Angle!$L$14*$B711</f>
      </c>
      <c r="Y711" s="12">
        <f>IF(X711&gt;0,IF(X711&lt;=eco,alpha*fck*(1-(1-X711/eco)^n),alpha*fck),0)</f>
      </c>
      <c r="Z711" s="30">
        <f>PM_Angle!$J$15+PM_Angle!$K$15*$C711+PM_Angle!$L$15*$B711</f>
      </c>
      <c r="AA711" s="12">
        <f>IF(Z711&gt;0,IF(Z711&lt;=eco,alpha*fck*(1-(1-Z711/eco)^n),alpha*fck),0)</f>
      </c>
      <c r="AB711" s="30">
        <f>PM_Angle!$J$16+PM_Angle!$K$16*$C711+PM_Angle!$L$16*$B711</f>
      </c>
      <c r="AC711" s="12">
        <f>IF(AB711&gt;0,IF(AB711&lt;=eco,alpha*fck*(1-(1-AB711/eco)^n),alpha*fck),0)</f>
      </c>
      <c r="AD711" s="30">
        <f>PM_Angle!$J$17+PM_Angle!$K$17*$C711+PM_Angle!$L$17*$B711</f>
      </c>
      <c r="AE711" s="12">
        <f>IF(AD711&gt;0,IF(AD711&lt;=eco,alpha*fck*(1-(1-AD711/eco)^n),alpha*fck),0)</f>
      </c>
      <c r="AF711" s="30">
        <f>PM_Angle!$J$18+PM_Angle!$K$18*$C711+PM_Angle!$L$18*$B711</f>
      </c>
      <c r="AG711" s="12">
        <f>IF(AF711&gt;0,IF(AF711&lt;=eco,alpha*fck*(1-(1-AF711/eco)^n),alpha*fck),0)</f>
      </c>
      <c r="AH711" s="30">
        <f>PM_Angle!$J$19+PM_Angle!$K$19*$C711+PM_Angle!$L$19*$B711</f>
      </c>
      <c r="AI711" s="12">
        <f>IF(AH711&gt;0,IF(AH711&lt;=eco,alpha*fck*(1-(1-AH711/eco)^n),alpha*fck),0)</f>
      </c>
      <c r="AJ711" s="30">
        <f>PM_Angle!$J$20+PM_Angle!$K$20*$C711+PM_Angle!$L$20*$B711</f>
      </c>
      <c r="AK711" s="12">
        <f>IF(AJ711&gt;0,IF(AJ711&lt;=eco,alpha*fck*(1-(1-AJ711/eco)^n),alpha*fck),0)</f>
      </c>
      <c r="AL711" s="30">
        <f>PM_Angle!$J$21+PM_Angle!$K$21*$C711+PM_Angle!$L$21*$B711</f>
      </c>
      <c r="AM711" s="12">
        <f>IF(AL711&gt;0,IF(AL711&lt;=eco,alpha*fck*(1-(1-AL711/eco)^n),alpha*fck),0)</f>
      </c>
      <c r="AN711" s="30">
        <f>PM_Angle!$J$22+PM_Angle!$K$22*$C711+PM_Angle!$L$22*$B711</f>
      </c>
      <c r="AO711" s="12">
        <f>IF(AN711&gt;0,IF(AN711&lt;=eco,alpha*fck*(1-(1-AN711/eco)^n),alpha*fck),0)</f>
      </c>
      <c r="AP711" s="30">
        <f>PM_Angle!$J$23+PM_Angle!$K$23*$C711+PM_Angle!$L$23*$B711</f>
      </c>
      <c r="AQ711" s="12">
        <f>IF(AP711&gt;0,IF(AP711&lt;=eco,alpha*fck*(1-(1-AP711/eco)^n),alpha*fck),0)</f>
      </c>
      <c r="AR711" s="30">
        <f>PM_Angle!$J$24+PM_Angle!$K$24*$C711+PM_Angle!$L$24*$B711</f>
      </c>
      <c r="AS711" s="12">
        <f>IF(AR711&gt;0,IF(AR711&lt;=eco,alpha*fck*(1-(1-AR711/eco)^n),alpha*fck),0)</f>
      </c>
      <c r="AT711" s="30">
        <f>PM_Angle!$J$25+PM_Angle!$K$25*$C711+PM_Angle!$L$25*$B711</f>
      </c>
      <c r="AU711" s="12">
        <f>IF(AT711&gt;0,IF(AT711&lt;=eco,alpha*fck*(1-(1-AT711/eco)^n),alpha*fck),0)</f>
      </c>
    </row>
    <row r="712" spans="1:47" x14ac:dyDescent="0.25">
      <c r="A712">
        <f>Mesh!A709</f>
      </c>
      <c r="B712" s="12">
        <f>Mesh!B709</f>
      </c>
      <c r="C712" s="12">
        <f>Mesh!C709</f>
      </c>
      <c r="D712" s="12">
        <f>Mesh!D709</f>
      </c>
      <c r="E712" s="30">
        <f>INDEX(St_e0,Det+1)+INDEX(St_kx,Det+1)*C712+INDEX(St_ky,Det+1)*B712</f>
      </c>
      <c r="F712" s="12">
        <f>IF(E712&gt;0,IF(E712&lt;=eco,alpha*fck*(1-(1-E712/eco)^n),alpha*fck),0)</f>
      </c>
      <c r="G712" s="11">
        <f>F712*D712</f>
      </c>
      <c r="H712" s="11">
        <f>G712*C712</f>
      </c>
      <c r="I712" s="11">
        <f>G712*B712</f>
      </c>
      <c r="J712" s="30">
        <f>PM_Angle!$J$7+PM_Angle!$K$7*$C712+PM_Angle!$L$7*$B712</f>
      </c>
      <c r="K712" s="12">
        <f>IF(J712&gt;0,IF(J712&lt;=eco,alpha*fck*(1-(1-J712/eco)^n),alpha*fck),0)</f>
      </c>
      <c r="L712" s="30">
        <f>PM_Angle!$J$8+PM_Angle!$K$8*$C712+PM_Angle!$L$8*$B712</f>
      </c>
      <c r="M712" s="12">
        <f>IF(L712&gt;0,IF(L712&lt;=eco,alpha*fck*(1-(1-L712/eco)^n),alpha*fck),0)</f>
      </c>
      <c r="N712" s="30">
        <f>PM_Angle!$J$9+PM_Angle!$K$9*$C712+PM_Angle!$L$9*$B712</f>
      </c>
      <c r="O712" s="12">
        <f>IF(N712&gt;0,IF(N712&lt;=eco,alpha*fck*(1-(1-N712/eco)^n),alpha*fck),0)</f>
      </c>
      <c r="P712" s="30">
        <f>PM_Angle!$J$10+PM_Angle!$K$10*$C712+PM_Angle!$L$10*$B712</f>
      </c>
      <c r="Q712" s="12">
        <f>IF(P712&gt;0,IF(P712&lt;=eco,alpha*fck*(1-(1-P712/eco)^n),alpha*fck),0)</f>
      </c>
      <c r="R712" s="30">
        <f>PM_Angle!$J$11+PM_Angle!$K$11*$C712+PM_Angle!$L$11*$B712</f>
      </c>
      <c r="S712" s="12">
        <f>IF(R712&gt;0,IF(R712&lt;=eco,alpha*fck*(1-(1-R712/eco)^n),alpha*fck),0)</f>
      </c>
      <c r="T712" s="30">
        <f>PM_Angle!$J$12+PM_Angle!$K$12*$C712+PM_Angle!$L$12*$B712</f>
      </c>
      <c r="U712" s="12">
        <f>IF(T712&gt;0,IF(T712&lt;=eco,alpha*fck*(1-(1-T712/eco)^n),alpha*fck),0)</f>
      </c>
      <c r="V712" s="30">
        <f>PM_Angle!$J$13+PM_Angle!$K$13*$C712+PM_Angle!$L$13*$B712</f>
      </c>
      <c r="W712" s="12">
        <f>IF(V712&gt;0,IF(V712&lt;=eco,alpha*fck*(1-(1-V712/eco)^n),alpha*fck),0)</f>
      </c>
      <c r="X712" s="30">
        <f>PM_Angle!$J$14+PM_Angle!$K$14*$C712+PM_Angle!$L$14*$B712</f>
      </c>
      <c r="Y712" s="12">
        <f>IF(X712&gt;0,IF(X712&lt;=eco,alpha*fck*(1-(1-X712/eco)^n),alpha*fck),0)</f>
      </c>
      <c r="Z712" s="30">
        <f>PM_Angle!$J$15+PM_Angle!$K$15*$C712+PM_Angle!$L$15*$B712</f>
      </c>
      <c r="AA712" s="12">
        <f>IF(Z712&gt;0,IF(Z712&lt;=eco,alpha*fck*(1-(1-Z712/eco)^n),alpha*fck),0)</f>
      </c>
      <c r="AB712" s="30">
        <f>PM_Angle!$J$16+PM_Angle!$K$16*$C712+PM_Angle!$L$16*$B712</f>
      </c>
      <c r="AC712" s="12">
        <f>IF(AB712&gt;0,IF(AB712&lt;=eco,alpha*fck*(1-(1-AB712/eco)^n),alpha*fck),0)</f>
      </c>
      <c r="AD712" s="30">
        <f>PM_Angle!$J$17+PM_Angle!$K$17*$C712+PM_Angle!$L$17*$B712</f>
      </c>
      <c r="AE712" s="12">
        <f>IF(AD712&gt;0,IF(AD712&lt;=eco,alpha*fck*(1-(1-AD712/eco)^n),alpha*fck),0)</f>
      </c>
      <c r="AF712" s="30">
        <f>PM_Angle!$J$18+PM_Angle!$K$18*$C712+PM_Angle!$L$18*$B712</f>
      </c>
      <c r="AG712" s="12">
        <f>IF(AF712&gt;0,IF(AF712&lt;=eco,alpha*fck*(1-(1-AF712/eco)^n),alpha*fck),0)</f>
      </c>
      <c r="AH712" s="30">
        <f>PM_Angle!$J$19+PM_Angle!$K$19*$C712+PM_Angle!$L$19*$B712</f>
      </c>
      <c r="AI712" s="12">
        <f>IF(AH712&gt;0,IF(AH712&lt;=eco,alpha*fck*(1-(1-AH712/eco)^n),alpha*fck),0)</f>
      </c>
      <c r="AJ712" s="30">
        <f>PM_Angle!$J$20+PM_Angle!$K$20*$C712+PM_Angle!$L$20*$B712</f>
      </c>
      <c r="AK712" s="12">
        <f>IF(AJ712&gt;0,IF(AJ712&lt;=eco,alpha*fck*(1-(1-AJ712/eco)^n),alpha*fck),0)</f>
      </c>
      <c r="AL712" s="30">
        <f>PM_Angle!$J$21+PM_Angle!$K$21*$C712+PM_Angle!$L$21*$B712</f>
      </c>
      <c r="AM712" s="12">
        <f>IF(AL712&gt;0,IF(AL712&lt;=eco,alpha*fck*(1-(1-AL712/eco)^n),alpha*fck),0)</f>
      </c>
      <c r="AN712" s="30">
        <f>PM_Angle!$J$22+PM_Angle!$K$22*$C712+PM_Angle!$L$22*$B712</f>
      </c>
      <c r="AO712" s="12">
        <f>IF(AN712&gt;0,IF(AN712&lt;=eco,alpha*fck*(1-(1-AN712/eco)^n),alpha*fck),0)</f>
      </c>
      <c r="AP712" s="30">
        <f>PM_Angle!$J$23+PM_Angle!$K$23*$C712+PM_Angle!$L$23*$B712</f>
      </c>
      <c r="AQ712" s="12">
        <f>IF(AP712&gt;0,IF(AP712&lt;=eco,alpha*fck*(1-(1-AP712/eco)^n),alpha*fck),0)</f>
      </c>
      <c r="AR712" s="30">
        <f>PM_Angle!$J$24+PM_Angle!$K$24*$C712+PM_Angle!$L$24*$B712</f>
      </c>
      <c r="AS712" s="12">
        <f>IF(AR712&gt;0,IF(AR712&lt;=eco,alpha*fck*(1-(1-AR712/eco)^n),alpha*fck),0)</f>
      </c>
      <c r="AT712" s="30">
        <f>PM_Angle!$J$25+PM_Angle!$K$25*$C712+PM_Angle!$L$25*$B712</f>
      </c>
      <c r="AU712" s="12">
        <f>IF(AT712&gt;0,IF(AT712&lt;=eco,alpha*fck*(1-(1-AT712/eco)^n),alpha*fck),0)</f>
      </c>
    </row>
    <row r="713" spans="1:47" x14ac:dyDescent="0.25">
      <c r="A713">
        <f>Mesh!A710</f>
      </c>
      <c r="B713" s="12">
        <f>Mesh!B710</f>
      </c>
      <c r="C713" s="12">
        <f>Mesh!C710</f>
      </c>
      <c r="D713" s="12">
        <f>Mesh!D710</f>
      </c>
      <c r="E713" s="30">
        <f>INDEX(St_e0,Det+1)+INDEX(St_kx,Det+1)*C713+INDEX(St_ky,Det+1)*B713</f>
      </c>
      <c r="F713" s="12">
        <f>IF(E713&gt;0,IF(E713&lt;=eco,alpha*fck*(1-(1-E713/eco)^n),alpha*fck),0)</f>
      </c>
      <c r="G713" s="11">
        <f>F713*D713</f>
      </c>
      <c r="H713" s="11">
        <f>G713*C713</f>
      </c>
      <c r="I713" s="11">
        <f>G713*B713</f>
      </c>
      <c r="J713" s="30">
        <f>PM_Angle!$J$7+PM_Angle!$K$7*$C713+PM_Angle!$L$7*$B713</f>
      </c>
      <c r="K713" s="12">
        <f>IF(J713&gt;0,IF(J713&lt;=eco,alpha*fck*(1-(1-J713/eco)^n),alpha*fck),0)</f>
      </c>
      <c r="L713" s="30">
        <f>PM_Angle!$J$8+PM_Angle!$K$8*$C713+PM_Angle!$L$8*$B713</f>
      </c>
      <c r="M713" s="12">
        <f>IF(L713&gt;0,IF(L713&lt;=eco,alpha*fck*(1-(1-L713/eco)^n),alpha*fck),0)</f>
      </c>
      <c r="N713" s="30">
        <f>PM_Angle!$J$9+PM_Angle!$K$9*$C713+PM_Angle!$L$9*$B713</f>
      </c>
      <c r="O713" s="12">
        <f>IF(N713&gt;0,IF(N713&lt;=eco,alpha*fck*(1-(1-N713/eco)^n),alpha*fck),0)</f>
      </c>
      <c r="P713" s="30">
        <f>PM_Angle!$J$10+PM_Angle!$K$10*$C713+PM_Angle!$L$10*$B713</f>
      </c>
      <c r="Q713" s="12">
        <f>IF(P713&gt;0,IF(P713&lt;=eco,alpha*fck*(1-(1-P713/eco)^n),alpha*fck),0)</f>
      </c>
      <c r="R713" s="30">
        <f>PM_Angle!$J$11+PM_Angle!$K$11*$C713+PM_Angle!$L$11*$B713</f>
      </c>
      <c r="S713" s="12">
        <f>IF(R713&gt;0,IF(R713&lt;=eco,alpha*fck*(1-(1-R713/eco)^n),alpha*fck),0)</f>
      </c>
      <c r="T713" s="30">
        <f>PM_Angle!$J$12+PM_Angle!$K$12*$C713+PM_Angle!$L$12*$B713</f>
      </c>
      <c r="U713" s="12">
        <f>IF(T713&gt;0,IF(T713&lt;=eco,alpha*fck*(1-(1-T713/eco)^n),alpha*fck),0)</f>
      </c>
      <c r="V713" s="30">
        <f>PM_Angle!$J$13+PM_Angle!$K$13*$C713+PM_Angle!$L$13*$B713</f>
      </c>
      <c r="W713" s="12">
        <f>IF(V713&gt;0,IF(V713&lt;=eco,alpha*fck*(1-(1-V713/eco)^n),alpha*fck),0)</f>
      </c>
      <c r="X713" s="30">
        <f>PM_Angle!$J$14+PM_Angle!$K$14*$C713+PM_Angle!$L$14*$B713</f>
      </c>
      <c r="Y713" s="12">
        <f>IF(X713&gt;0,IF(X713&lt;=eco,alpha*fck*(1-(1-X713/eco)^n),alpha*fck),0)</f>
      </c>
      <c r="Z713" s="30">
        <f>PM_Angle!$J$15+PM_Angle!$K$15*$C713+PM_Angle!$L$15*$B713</f>
      </c>
      <c r="AA713" s="12">
        <f>IF(Z713&gt;0,IF(Z713&lt;=eco,alpha*fck*(1-(1-Z713/eco)^n),alpha*fck),0)</f>
      </c>
      <c r="AB713" s="30">
        <f>PM_Angle!$J$16+PM_Angle!$K$16*$C713+PM_Angle!$L$16*$B713</f>
      </c>
      <c r="AC713" s="12">
        <f>IF(AB713&gt;0,IF(AB713&lt;=eco,alpha*fck*(1-(1-AB713/eco)^n),alpha*fck),0)</f>
      </c>
      <c r="AD713" s="30">
        <f>PM_Angle!$J$17+PM_Angle!$K$17*$C713+PM_Angle!$L$17*$B713</f>
      </c>
      <c r="AE713" s="12">
        <f>IF(AD713&gt;0,IF(AD713&lt;=eco,alpha*fck*(1-(1-AD713/eco)^n),alpha*fck),0)</f>
      </c>
      <c r="AF713" s="30">
        <f>PM_Angle!$J$18+PM_Angle!$K$18*$C713+PM_Angle!$L$18*$B713</f>
      </c>
      <c r="AG713" s="12">
        <f>IF(AF713&gt;0,IF(AF713&lt;=eco,alpha*fck*(1-(1-AF713/eco)^n),alpha*fck),0)</f>
      </c>
      <c r="AH713" s="30">
        <f>PM_Angle!$J$19+PM_Angle!$K$19*$C713+PM_Angle!$L$19*$B713</f>
      </c>
      <c r="AI713" s="12">
        <f>IF(AH713&gt;0,IF(AH713&lt;=eco,alpha*fck*(1-(1-AH713/eco)^n),alpha*fck),0)</f>
      </c>
      <c r="AJ713" s="30">
        <f>PM_Angle!$J$20+PM_Angle!$K$20*$C713+PM_Angle!$L$20*$B713</f>
      </c>
      <c r="AK713" s="12">
        <f>IF(AJ713&gt;0,IF(AJ713&lt;=eco,alpha*fck*(1-(1-AJ713/eco)^n),alpha*fck),0)</f>
      </c>
      <c r="AL713" s="30">
        <f>PM_Angle!$J$21+PM_Angle!$K$21*$C713+PM_Angle!$L$21*$B713</f>
      </c>
      <c r="AM713" s="12">
        <f>IF(AL713&gt;0,IF(AL713&lt;=eco,alpha*fck*(1-(1-AL713/eco)^n),alpha*fck),0)</f>
      </c>
      <c r="AN713" s="30">
        <f>PM_Angle!$J$22+PM_Angle!$K$22*$C713+PM_Angle!$L$22*$B713</f>
      </c>
      <c r="AO713" s="12">
        <f>IF(AN713&gt;0,IF(AN713&lt;=eco,alpha*fck*(1-(1-AN713/eco)^n),alpha*fck),0)</f>
      </c>
      <c r="AP713" s="30">
        <f>PM_Angle!$J$23+PM_Angle!$K$23*$C713+PM_Angle!$L$23*$B713</f>
      </c>
      <c r="AQ713" s="12">
        <f>IF(AP713&gt;0,IF(AP713&lt;=eco,alpha*fck*(1-(1-AP713/eco)^n),alpha*fck),0)</f>
      </c>
      <c r="AR713" s="30">
        <f>PM_Angle!$J$24+PM_Angle!$K$24*$C713+PM_Angle!$L$24*$B713</f>
      </c>
      <c r="AS713" s="12">
        <f>IF(AR713&gt;0,IF(AR713&lt;=eco,alpha*fck*(1-(1-AR713/eco)^n),alpha*fck),0)</f>
      </c>
      <c r="AT713" s="30">
        <f>PM_Angle!$J$25+PM_Angle!$K$25*$C713+PM_Angle!$L$25*$B713</f>
      </c>
      <c r="AU713" s="12">
        <f>IF(AT713&gt;0,IF(AT713&lt;=eco,alpha*fck*(1-(1-AT713/eco)^n),alpha*fck),0)</f>
      </c>
    </row>
    <row r="714" spans="1:47" x14ac:dyDescent="0.25">
      <c r="A714">
        <f>Mesh!A711</f>
      </c>
      <c r="B714" s="12">
        <f>Mesh!B711</f>
      </c>
      <c r="C714" s="12">
        <f>Mesh!C711</f>
      </c>
      <c r="D714" s="12">
        <f>Mesh!D711</f>
      </c>
      <c r="E714" s="30">
        <f>INDEX(St_e0,Det+1)+INDEX(St_kx,Det+1)*C714+INDEX(St_ky,Det+1)*B714</f>
      </c>
      <c r="F714" s="12">
        <f>IF(E714&gt;0,IF(E714&lt;=eco,alpha*fck*(1-(1-E714/eco)^n),alpha*fck),0)</f>
      </c>
      <c r="G714" s="11">
        <f>F714*D714</f>
      </c>
      <c r="H714" s="11">
        <f>G714*C714</f>
      </c>
      <c r="I714" s="11">
        <f>G714*B714</f>
      </c>
      <c r="J714" s="30">
        <f>PM_Angle!$J$7+PM_Angle!$K$7*$C714+PM_Angle!$L$7*$B714</f>
      </c>
      <c r="K714" s="12">
        <f>IF(J714&gt;0,IF(J714&lt;=eco,alpha*fck*(1-(1-J714/eco)^n),alpha*fck),0)</f>
      </c>
      <c r="L714" s="30">
        <f>PM_Angle!$J$8+PM_Angle!$K$8*$C714+PM_Angle!$L$8*$B714</f>
      </c>
      <c r="M714" s="12">
        <f>IF(L714&gt;0,IF(L714&lt;=eco,alpha*fck*(1-(1-L714/eco)^n),alpha*fck),0)</f>
      </c>
      <c r="N714" s="30">
        <f>PM_Angle!$J$9+PM_Angle!$K$9*$C714+PM_Angle!$L$9*$B714</f>
      </c>
      <c r="O714" s="12">
        <f>IF(N714&gt;0,IF(N714&lt;=eco,alpha*fck*(1-(1-N714/eco)^n),alpha*fck),0)</f>
      </c>
      <c r="P714" s="30">
        <f>PM_Angle!$J$10+PM_Angle!$K$10*$C714+PM_Angle!$L$10*$B714</f>
      </c>
      <c r="Q714" s="12">
        <f>IF(P714&gt;0,IF(P714&lt;=eco,alpha*fck*(1-(1-P714/eco)^n),alpha*fck),0)</f>
      </c>
      <c r="R714" s="30">
        <f>PM_Angle!$J$11+PM_Angle!$K$11*$C714+PM_Angle!$L$11*$B714</f>
      </c>
      <c r="S714" s="12">
        <f>IF(R714&gt;0,IF(R714&lt;=eco,alpha*fck*(1-(1-R714/eco)^n),alpha*fck),0)</f>
      </c>
      <c r="T714" s="30">
        <f>PM_Angle!$J$12+PM_Angle!$K$12*$C714+PM_Angle!$L$12*$B714</f>
      </c>
      <c r="U714" s="12">
        <f>IF(T714&gt;0,IF(T714&lt;=eco,alpha*fck*(1-(1-T714/eco)^n),alpha*fck),0)</f>
      </c>
      <c r="V714" s="30">
        <f>PM_Angle!$J$13+PM_Angle!$K$13*$C714+PM_Angle!$L$13*$B714</f>
      </c>
      <c r="W714" s="12">
        <f>IF(V714&gt;0,IF(V714&lt;=eco,alpha*fck*(1-(1-V714/eco)^n),alpha*fck),0)</f>
      </c>
      <c r="X714" s="30">
        <f>PM_Angle!$J$14+PM_Angle!$K$14*$C714+PM_Angle!$L$14*$B714</f>
      </c>
      <c r="Y714" s="12">
        <f>IF(X714&gt;0,IF(X714&lt;=eco,alpha*fck*(1-(1-X714/eco)^n),alpha*fck),0)</f>
      </c>
      <c r="Z714" s="30">
        <f>PM_Angle!$J$15+PM_Angle!$K$15*$C714+PM_Angle!$L$15*$B714</f>
      </c>
      <c r="AA714" s="12">
        <f>IF(Z714&gt;0,IF(Z714&lt;=eco,alpha*fck*(1-(1-Z714/eco)^n),alpha*fck),0)</f>
      </c>
      <c r="AB714" s="30">
        <f>PM_Angle!$J$16+PM_Angle!$K$16*$C714+PM_Angle!$L$16*$B714</f>
      </c>
      <c r="AC714" s="12">
        <f>IF(AB714&gt;0,IF(AB714&lt;=eco,alpha*fck*(1-(1-AB714/eco)^n),alpha*fck),0)</f>
      </c>
      <c r="AD714" s="30">
        <f>PM_Angle!$J$17+PM_Angle!$K$17*$C714+PM_Angle!$L$17*$B714</f>
      </c>
      <c r="AE714" s="12">
        <f>IF(AD714&gt;0,IF(AD714&lt;=eco,alpha*fck*(1-(1-AD714/eco)^n),alpha*fck),0)</f>
      </c>
      <c r="AF714" s="30">
        <f>PM_Angle!$J$18+PM_Angle!$K$18*$C714+PM_Angle!$L$18*$B714</f>
      </c>
      <c r="AG714" s="12">
        <f>IF(AF714&gt;0,IF(AF714&lt;=eco,alpha*fck*(1-(1-AF714/eco)^n),alpha*fck),0)</f>
      </c>
      <c r="AH714" s="30">
        <f>PM_Angle!$J$19+PM_Angle!$K$19*$C714+PM_Angle!$L$19*$B714</f>
      </c>
      <c r="AI714" s="12">
        <f>IF(AH714&gt;0,IF(AH714&lt;=eco,alpha*fck*(1-(1-AH714/eco)^n),alpha*fck),0)</f>
      </c>
      <c r="AJ714" s="30">
        <f>PM_Angle!$J$20+PM_Angle!$K$20*$C714+PM_Angle!$L$20*$B714</f>
      </c>
      <c r="AK714" s="12">
        <f>IF(AJ714&gt;0,IF(AJ714&lt;=eco,alpha*fck*(1-(1-AJ714/eco)^n),alpha*fck),0)</f>
      </c>
      <c r="AL714" s="30">
        <f>PM_Angle!$J$21+PM_Angle!$K$21*$C714+PM_Angle!$L$21*$B714</f>
      </c>
      <c r="AM714" s="12">
        <f>IF(AL714&gt;0,IF(AL714&lt;=eco,alpha*fck*(1-(1-AL714/eco)^n),alpha*fck),0)</f>
      </c>
      <c r="AN714" s="30">
        <f>PM_Angle!$J$22+PM_Angle!$K$22*$C714+PM_Angle!$L$22*$B714</f>
      </c>
      <c r="AO714" s="12">
        <f>IF(AN714&gt;0,IF(AN714&lt;=eco,alpha*fck*(1-(1-AN714/eco)^n),alpha*fck),0)</f>
      </c>
      <c r="AP714" s="30">
        <f>PM_Angle!$J$23+PM_Angle!$K$23*$C714+PM_Angle!$L$23*$B714</f>
      </c>
      <c r="AQ714" s="12">
        <f>IF(AP714&gt;0,IF(AP714&lt;=eco,alpha*fck*(1-(1-AP714/eco)^n),alpha*fck),0)</f>
      </c>
      <c r="AR714" s="30">
        <f>PM_Angle!$J$24+PM_Angle!$K$24*$C714+PM_Angle!$L$24*$B714</f>
      </c>
      <c r="AS714" s="12">
        <f>IF(AR714&gt;0,IF(AR714&lt;=eco,alpha*fck*(1-(1-AR714/eco)^n),alpha*fck),0)</f>
      </c>
      <c r="AT714" s="30">
        <f>PM_Angle!$J$25+PM_Angle!$K$25*$C714+PM_Angle!$L$25*$B714</f>
      </c>
      <c r="AU714" s="12">
        <f>IF(AT714&gt;0,IF(AT714&lt;=eco,alpha*fck*(1-(1-AT714/eco)^n),alpha*fck),0)</f>
      </c>
    </row>
    <row r="715" spans="1:47" x14ac:dyDescent="0.25">
      <c r="A715">
        <f>Mesh!A712</f>
      </c>
      <c r="B715" s="12">
        <f>Mesh!B712</f>
      </c>
      <c r="C715" s="12">
        <f>Mesh!C712</f>
      </c>
      <c r="D715" s="12">
        <f>Mesh!D712</f>
      </c>
      <c r="E715" s="30">
        <f>INDEX(St_e0,Det+1)+INDEX(St_kx,Det+1)*C715+INDEX(St_ky,Det+1)*B715</f>
      </c>
      <c r="F715" s="12">
        <f>IF(E715&gt;0,IF(E715&lt;=eco,alpha*fck*(1-(1-E715/eco)^n),alpha*fck),0)</f>
      </c>
      <c r="G715" s="11">
        <f>F715*D715</f>
      </c>
      <c r="H715" s="11">
        <f>G715*C715</f>
      </c>
      <c r="I715" s="11">
        <f>G715*B715</f>
      </c>
      <c r="J715" s="30">
        <f>PM_Angle!$J$7+PM_Angle!$K$7*$C715+PM_Angle!$L$7*$B715</f>
      </c>
      <c r="K715" s="12">
        <f>IF(J715&gt;0,IF(J715&lt;=eco,alpha*fck*(1-(1-J715/eco)^n),alpha*fck),0)</f>
      </c>
      <c r="L715" s="30">
        <f>PM_Angle!$J$8+PM_Angle!$K$8*$C715+PM_Angle!$L$8*$B715</f>
      </c>
      <c r="M715" s="12">
        <f>IF(L715&gt;0,IF(L715&lt;=eco,alpha*fck*(1-(1-L715/eco)^n),alpha*fck),0)</f>
      </c>
      <c r="N715" s="30">
        <f>PM_Angle!$J$9+PM_Angle!$K$9*$C715+PM_Angle!$L$9*$B715</f>
      </c>
      <c r="O715" s="12">
        <f>IF(N715&gt;0,IF(N715&lt;=eco,alpha*fck*(1-(1-N715/eco)^n),alpha*fck),0)</f>
      </c>
      <c r="P715" s="30">
        <f>PM_Angle!$J$10+PM_Angle!$K$10*$C715+PM_Angle!$L$10*$B715</f>
      </c>
      <c r="Q715" s="12">
        <f>IF(P715&gt;0,IF(P715&lt;=eco,alpha*fck*(1-(1-P715/eco)^n),alpha*fck),0)</f>
      </c>
      <c r="R715" s="30">
        <f>PM_Angle!$J$11+PM_Angle!$K$11*$C715+PM_Angle!$L$11*$B715</f>
      </c>
      <c r="S715" s="12">
        <f>IF(R715&gt;0,IF(R715&lt;=eco,alpha*fck*(1-(1-R715/eco)^n),alpha*fck),0)</f>
      </c>
      <c r="T715" s="30">
        <f>PM_Angle!$J$12+PM_Angle!$K$12*$C715+PM_Angle!$L$12*$B715</f>
      </c>
      <c r="U715" s="12">
        <f>IF(T715&gt;0,IF(T715&lt;=eco,alpha*fck*(1-(1-T715/eco)^n),alpha*fck),0)</f>
      </c>
      <c r="V715" s="30">
        <f>PM_Angle!$J$13+PM_Angle!$K$13*$C715+PM_Angle!$L$13*$B715</f>
      </c>
      <c r="W715" s="12">
        <f>IF(V715&gt;0,IF(V715&lt;=eco,alpha*fck*(1-(1-V715/eco)^n),alpha*fck),0)</f>
      </c>
      <c r="X715" s="30">
        <f>PM_Angle!$J$14+PM_Angle!$K$14*$C715+PM_Angle!$L$14*$B715</f>
      </c>
      <c r="Y715" s="12">
        <f>IF(X715&gt;0,IF(X715&lt;=eco,alpha*fck*(1-(1-X715/eco)^n),alpha*fck),0)</f>
      </c>
      <c r="Z715" s="30">
        <f>PM_Angle!$J$15+PM_Angle!$K$15*$C715+PM_Angle!$L$15*$B715</f>
      </c>
      <c r="AA715" s="12">
        <f>IF(Z715&gt;0,IF(Z715&lt;=eco,alpha*fck*(1-(1-Z715/eco)^n),alpha*fck),0)</f>
      </c>
      <c r="AB715" s="30">
        <f>PM_Angle!$J$16+PM_Angle!$K$16*$C715+PM_Angle!$L$16*$B715</f>
      </c>
      <c r="AC715" s="12">
        <f>IF(AB715&gt;0,IF(AB715&lt;=eco,alpha*fck*(1-(1-AB715/eco)^n),alpha*fck),0)</f>
      </c>
      <c r="AD715" s="30">
        <f>PM_Angle!$J$17+PM_Angle!$K$17*$C715+PM_Angle!$L$17*$B715</f>
      </c>
      <c r="AE715" s="12">
        <f>IF(AD715&gt;0,IF(AD715&lt;=eco,alpha*fck*(1-(1-AD715/eco)^n),alpha*fck),0)</f>
      </c>
      <c r="AF715" s="30">
        <f>PM_Angle!$J$18+PM_Angle!$K$18*$C715+PM_Angle!$L$18*$B715</f>
      </c>
      <c r="AG715" s="12">
        <f>IF(AF715&gt;0,IF(AF715&lt;=eco,alpha*fck*(1-(1-AF715/eco)^n),alpha*fck),0)</f>
      </c>
      <c r="AH715" s="30">
        <f>PM_Angle!$J$19+PM_Angle!$K$19*$C715+PM_Angle!$L$19*$B715</f>
      </c>
      <c r="AI715" s="12">
        <f>IF(AH715&gt;0,IF(AH715&lt;=eco,alpha*fck*(1-(1-AH715/eco)^n),alpha*fck),0)</f>
      </c>
      <c r="AJ715" s="30">
        <f>PM_Angle!$J$20+PM_Angle!$K$20*$C715+PM_Angle!$L$20*$B715</f>
      </c>
      <c r="AK715" s="12">
        <f>IF(AJ715&gt;0,IF(AJ715&lt;=eco,alpha*fck*(1-(1-AJ715/eco)^n),alpha*fck),0)</f>
      </c>
      <c r="AL715" s="30">
        <f>PM_Angle!$J$21+PM_Angle!$K$21*$C715+PM_Angle!$L$21*$B715</f>
      </c>
      <c r="AM715" s="12">
        <f>IF(AL715&gt;0,IF(AL715&lt;=eco,alpha*fck*(1-(1-AL715/eco)^n),alpha*fck),0)</f>
      </c>
      <c r="AN715" s="30">
        <f>PM_Angle!$J$22+PM_Angle!$K$22*$C715+PM_Angle!$L$22*$B715</f>
      </c>
      <c r="AO715" s="12">
        <f>IF(AN715&gt;0,IF(AN715&lt;=eco,alpha*fck*(1-(1-AN715/eco)^n),alpha*fck),0)</f>
      </c>
      <c r="AP715" s="30">
        <f>PM_Angle!$J$23+PM_Angle!$K$23*$C715+PM_Angle!$L$23*$B715</f>
      </c>
      <c r="AQ715" s="12">
        <f>IF(AP715&gt;0,IF(AP715&lt;=eco,alpha*fck*(1-(1-AP715/eco)^n),alpha*fck),0)</f>
      </c>
      <c r="AR715" s="30">
        <f>PM_Angle!$J$24+PM_Angle!$K$24*$C715+PM_Angle!$L$24*$B715</f>
      </c>
      <c r="AS715" s="12">
        <f>IF(AR715&gt;0,IF(AR715&lt;=eco,alpha*fck*(1-(1-AR715/eco)^n),alpha*fck),0)</f>
      </c>
      <c r="AT715" s="30">
        <f>PM_Angle!$J$25+PM_Angle!$K$25*$C715+PM_Angle!$L$25*$B715</f>
      </c>
      <c r="AU715" s="12">
        <f>IF(AT715&gt;0,IF(AT715&lt;=eco,alpha*fck*(1-(1-AT715/eco)^n),alpha*fck),0)</f>
      </c>
    </row>
    <row r="716" spans="1:47" x14ac:dyDescent="0.25">
      <c r="A716">
        <f>Mesh!A713</f>
      </c>
      <c r="B716" s="12">
        <f>Mesh!B713</f>
      </c>
      <c r="C716" s="12">
        <f>Mesh!C713</f>
      </c>
      <c r="D716" s="12">
        <f>Mesh!D713</f>
      </c>
      <c r="E716" s="30">
        <f>INDEX(St_e0,Det+1)+INDEX(St_kx,Det+1)*C716+INDEX(St_ky,Det+1)*B716</f>
      </c>
      <c r="F716" s="12">
        <f>IF(E716&gt;0,IF(E716&lt;=eco,alpha*fck*(1-(1-E716/eco)^n),alpha*fck),0)</f>
      </c>
      <c r="G716" s="11">
        <f>F716*D716</f>
      </c>
      <c r="H716" s="11">
        <f>G716*C716</f>
      </c>
      <c r="I716" s="11">
        <f>G716*B716</f>
      </c>
      <c r="J716" s="30">
        <f>PM_Angle!$J$7+PM_Angle!$K$7*$C716+PM_Angle!$L$7*$B716</f>
      </c>
      <c r="K716" s="12">
        <f>IF(J716&gt;0,IF(J716&lt;=eco,alpha*fck*(1-(1-J716/eco)^n),alpha*fck),0)</f>
      </c>
      <c r="L716" s="30">
        <f>PM_Angle!$J$8+PM_Angle!$K$8*$C716+PM_Angle!$L$8*$B716</f>
      </c>
      <c r="M716" s="12">
        <f>IF(L716&gt;0,IF(L716&lt;=eco,alpha*fck*(1-(1-L716/eco)^n),alpha*fck),0)</f>
      </c>
      <c r="N716" s="30">
        <f>PM_Angle!$J$9+PM_Angle!$K$9*$C716+PM_Angle!$L$9*$B716</f>
      </c>
      <c r="O716" s="12">
        <f>IF(N716&gt;0,IF(N716&lt;=eco,alpha*fck*(1-(1-N716/eco)^n),alpha*fck),0)</f>
      </c>
      <c r="P716" s="30">
        <f>PM_Angle!$J$10+PM_Angle!$K$10*$C716+PM_Angle!$L$10*$B716</f>
      </c>
      <c r="Q716" s="12">
        <f>IF(P716&gt;0,IF(P716&lt;=eco,alpha*fck*(1-(1-P716/eco)^n),alpha*fck),0)</f>
      </c>
      <c r="R716" s="30">
        <f>PM_Angle!$J$11+PM_Angle!$K$11*$C716+PM_Angle!$L$11*$B716</f>
      </c>
      <c r="S716" s="12">
        <f>IF(R716&gt;0,IF(R716&lt;=eco,alpha*fck*(1-(1-R716/eco)^n),alpha*fck),0)</f>
      </c>
      <c r="T716" s="30">
        <f>PM_Angle!$J$12+PM_Angle!$K$12*$C716+PM_Angle!$L$12*$B716</f>
      </c>
      <c r="U716" s="12">
        <f>IF(T716&gt;0,IF(T716&lt;=eco,alpha*fck*(1-(1-T716/eco)^n),alpha*fck),0)</f>
      </c>
      <c r="V716" s="30">
        <f>PM_Angle!$J$13+PM_Angle!$K$13*$C716+PM_Angle!$L$13*$B716</f>
      </c>
      <c r="W716" s="12">
        <f>IF(V716&gt;0,IF(V716&lt;=eco,alpha*fck*(1-(1-V716/eco)^n),alpha*fck),0)</f>
      </c>
      <c r="X716" s="30">
        <f>PM_Angle!$J$14+PM_Angle!$K$14*$C716+PM_Angle!$L$14*$B716</f>
      </c>
      <c r="Y716" s="12">
        <f>IF(X716&gt;0,IF(X716&lt;=eco,alpha*fck*(1-(1-X716/eco)^n),alpha*fck),0)</f>
      </c>
      <c r="Z716" s="30">
        <f>PM_Angle!$J$15+PM_Angle!$K$15*$C716+PM_Angle!$L$15*$B716</f>
      </c>
      <c r="AA716" s="12">
        <f>IF(Z716&gt;0,IF(Z716&lt;=eco,alpha*fck*(1-(1-Z716/eco)^n),alpha*fck),0)</f>
      </c>
      <c r="AB716" s="30">
        <f>PM_Angle!$J$16+PM_Angle!$K$16*$C716+PM_Angle!$L$16*$B716</f>
      </c>
      <c r="AC716" s="12">
        <f>IF(AB716&gt;0,IF(AB716&lt;=eco,alpha*fck*(1-(1-AB716/eco)^n),alpha*fck),0)</f>
      </c>
      <c r="AD716" s="30">
        <f>PM_Angle!$J$17+PM_Angle!$K$17*$C716+PM_Angle!$L$17*$B716</f>
      </c>
      <c r="AE716" s="12">
        <f>IF(AD716&gt;0,IF(AD716&lt;=eco,alpha*fck*(1-(1-AD716/eco)^n),alpha*fck),0)</f>
      </c>
      <c r="AF716" s="30">
        <f>PM_Angle!$J$18+PM_Angle!$K$18*$C716+PM_Angle!$L$18*$B716</f>
      </c>
      <c r="AG716" s="12">
        <f>IF(AF716&gt;0,IF(AF716&lt;=eco,alpha*fck*(1-(1-AF716/eco)^n),alpha*fck),0)</f>
      </c>
      <c r="AH716" s="30">
        <f>PM_Angle!$J$19+PM_Angle!$K$19*$C716+PM_Angle!$L$19*$B716</f>
      </c>
      <c r="AI716" s="12">
        <f>IF(AH716&gt;0,IF(AH716&lt;=eco,alpha*fck*(1-(1-AH716/eco)^n),alpha*fck),0)</f>
      </c>
      <c r="AJ716" s="30">
        <f>PM_Angle!$J$20+PM_Angle!$K$20*$C716+PM_Angle!$L$20*$B716</f>
      </c>
      <c r="AK716" s="12">
        <f>IF(AJ716&gt;0,IF(AJ716&lt;=eco,alpha*fck*(1-(1-AJ716/eco)^n),alpha*fck),0)</f>
      </c>
      <c r="AL716" s="30">
        <f>PM_Angle!$J$21+PM_Angle!$K$21*$C716+PM_Angle!$L$21*$B716</f>
      </c>
      <c r="AM716" s="12">
        <f>IF(AL716&gt;0,IF(AL716&lt;=eco,alpha*fck*(1-(1-AL716/eco)^n),alpha*fck),0)</f>
      </c>
      <c r="AN716" s="30">
        <f>PM_Angle!$J$22+PM_Angle!$K$22*$C716+PM_Angle!$L$22*$B716</f>
      </c>
      <c r="AO716" s="12">
        <f>IF(AN716&gt;0,IF(AN716&lt;=eco,alpha*fck*(1-(1-AN716/eco)^n),alpha*fck),0)</f>
      </c>
      <c r="AP716" s="30">
        <f>PM_Angle!$J$23+PM_Angle!$K$23*$C716+PM_Angle!$L$23*$B716</f>
      </c>
      <c r="AQ716" s="12">
        <f>IF(AP716&gt;0,IF(AP716&lt;=eco,alpha*fck*(1-(1-AP716/eco)^n),alpha*fck),0)</f>
      </c>
      <c r="AR716" s="30">
        <f>PM_Angle!$J$24+PM_Angle!$K$24*$C716+PM_Angle!$L$24*$B716</f>
      </c>
      <c r="AS716" s="12">
        <f>IF(AR716&gt;0,IF(AR716&lt;=eco,alpha*fck*(1-(1-AR716/eco)^n),alpha*fck),0)</f>
      </c>
      <c r="AT716" s="30">
        <f>PM_Angle!$J$25+PM_Angle!$K$25*$C716+PM_Angle!$L$25*$B716</f>
      </c>
      <c r="AU716" s="12">
        <f>IF(AT716&gt;0,IF(AT716&lt;=eco,alpha*fck*(1-(1-AT716/eco)^n),alpha*fck),0)</f>
      </c>
    </row>
    <row r="717" spans="1:47" x14ac:dyDescent="0.25">
      <c r="A717">
        <f>Mesh!A714</f>
      </c>
      <c r="B717" s="12">
        <f>Mesh!B714</f>
      </c>
      <c r="C717" s="12">
        <f>Mesh!C714</f>
      </c>
      <c r="D717" s="12">
        <f>Mesh!D714</f>
      </c>
      <c r="E717" s="30">
        <f>INDEX(St_e0,Det+1)+INDEX(St_kx,Det+1)*C717+INDEX(St_ky,Det+1)*B717</f>
      </c>
      <c r="F717" s="12">
        <f>IF(E717&gt;0,IF(E717&lt;=eco,alpha*fck*(1-(1-E717/eco)^n),alpha*fck),0)</f>
      </c>
      <c r="G717" s="11">
        <f>F717*D717</f>
      </c>
      <c r="H717" s="11">
        <f>G717*C717</f>
      </c>
      <c r="I717" s="11">
        <f>G717*B717</f>
      </c>
      <c r="J717" s="30">
        <f>PM_Angle!$J$7+PM_Angle!$K$7*$C717+PM_Angle!$L$7*$B717</f>
      </c>
      <c r="K717" s="12">
        <f>IF(J717&gt;0,IF(J717&lt;=eco,alpha*fck*(1-(1-J717/eco)^n),alpha*fck),0)</f>
      </c>
      <c r="L717" s="30">
        <f>PM_Angle!$J$8+PM_Angle!$K$8*$C717+PM_Angle!$L$8*$B717</f>
      </c>
      <c r="M717" s="12">
        <f>IF(L717&gt;0,IF(L717&lt;=eco,alpha*fck*(1-(1-L717/eco)^n),alpha*fck),0)</f>
      </c>
      <c r="N717" s="30">
        <f>PM_Angle!$J$9+PM_Angle!$K$9*$C717+PM_Angle!$L$9*$B717</f>
      </c>
      <c r="O717" s="12">
        <f>IF(N717&gt;0,IF(N717&lt;=eco,alpha*fck*(1-(1-N717/eco)^n),alpha*fck),0)</f>
      </c>
      <c r="P717" s="30">
        <f>PM_Angle!$J$10+PM_Angle!$K$10*$C717+PM_Angle!$L$10*$B717</f>
      </c>
      <c r="Q717" s="12">
        <f>IF(P717&gt;0,IF(P717&lt;=eco,alpha*fck*(1-(1-P717/eco)^n),alpha*fck),0)</f>
      </c>
      <c r="R717" s="30">
        <f>PM_Angle!$J$11+PM_Angle!$K$11*$C717+PM_Angle!$L$11*$B717</f>
      </c>
      <c r="S717" s="12">
        <f>IF(R717&gt;0,IF(R717&lt;=eco,alpha*fck*(1-(1-R717/eco)^n),alpha*fck),0)</f>
      </c>
      <c r="T717" s="30">
        <f>PM_Angle!$J$12+PM_Angle!$K$12*$C717+PM_Angle!$L$12*$B717</f>
      </c>
      <c r="U717" s="12">
        <f>IF(T717&gt;0,IF(T717&lt;=eco,alpha*fck*(1-(1-T717/eco)^n),alpha*fck),0)</f>
      </c>
      <c r="V717" s="30">
        <f>PM_Angle!$J$13+PM_Angle!$K$13*$C717+PM_Angle!$L$13*$B717</f>
      </c>
      <c r="W717" s="12">
        <f>IF(V717&gt;0,IF(V717&lt;=eco,alpha*fck*(1-(1-V717/eco)^n),alpha*fck),0)</f>
      </c>
      <c r="X717" s="30">
        <f>PM_Angle!$J$14+PM_Angle!$K$14*$C717+PM_Angle!$L$14*$B717</f>
      </c>
      <c r="Y717" s="12">
        <f>IF(X717&gt;0,IF(X717&lt;=eco,alpha*fck*(1-(1-X717/eco)^n),alpha*fck),0)</f>
      </c>
      <c r="Z717" s="30">
        <f>PM_Angle!$J$15+PM_Angle!$K$15*$C717+PM_Angle!$L$15*$B717</f>
      </c>
      <c r="AA717" s="12">
        <f>IF(Z717&gt;0,IF(Z717&lt;=eco,alpha*fck*(1-(1-Z717/eco)^n),alpha*fck),0)</f>
      </c>
      <c r="AB717" s="30">
        <f>PM_Angle!$J$16+PM_Angle!$K$16*$C717+PM_Angle!$L$16*$B717</f>
      </c>
      <c r="AC717" s="12">
        <f>IF(AB717&gt;0,IF(AB717&lt;=eco,alpha*fck*(1-(1-AB717/eco)^n),alpha*fck),0)</f>
      </c>
      <c r="AD717" s="30">
        <f>PM_Angle!$J$17+PM_Angle!$K$17*$C717+PM_Angle!$L$17*$B717</f>
      </c>
      <c r="AE717" s="12">
        <f>IF(AD717&gt;0,IF(AD717&lt;=eco,alpha*fck*(1-(1-AD717/eco)^n),alpha*fck),0)</f>
      </c>
      <c r="AF717" s="30">
        <f>PM_Angle!$J$18+PM_Angle!$K$18*$C717+PM_Angle!$L$18*$B717</f>
      </c>
      <c r="AG717" s="12">
        <f>IF(AF717&gt;0,IF(AF717&lt;=eco,alpha*fck*(1-(1-AF717/eco)^n),alpha*fck),0)</f>
      </c>
      <c r="AH717" s="30">
        <f>PM_Angle!$J$19+PM_Angle!$K$19*$C717+PM_Angle!$L$19*$B717</f>
      </c>
      <c r="AI717" s="12">
        <f>IF(AH717&gt;0,IF(AH717&lt;=eco,alpha*fck*(1-(1-AH717/eco)^n),alpha*fck),0)</f>
      </c>
      <c r="AJ717" s="30">
        <f>PM_Angle!$J$20+PM_Angle!$K$20*$C717+PM_Angle!$L$20*$B717</f>
      </c>
      <c r="AK717" s="12">
        <f>IF(AJ717&gt;0,IF(AJ717&lt;=eco,alpha*fck*(1-(1-AJ717/eco)^n),alpha*fck),0)</f>
      </c>
      <c r="AL717" s="30">
        <f>PM_Angle!$J$21+PM_Angle!$K$21*$C717+PM_Angle!$L$21*$B717</f>
      </c>
      <c r="AM717" s="12">
        <f>IF(AL717&gt;0,IF(AL717&lt;=eco,alpha*fck*(1-(1-AL717/eco)^n),alpha*fck),0)</f>
      </c>
      <c r="AN717" s="30">
        <f>PM_Angle!$J$22+PM_Angle!$K$22*$C717+PM_Angle!$L$22*$B717</f>
      </c>
      <c r="AO717" s="12">
        <f>IF(AN717&gt;0,IF(AN717&lt;=eco,alpha*fck*(1-(1-AN717/eco)^n),alpha*fck),0)</f>
      </c>
      <c r="AP717" s="30">
        <f>PM_Angle!$J$23+PM_Angle!$K$23*$C717+PM_Angle!$L$23*$B717</f>
      </c>
      <c r="AQ717" s="12">
        <f>IF(AP717&gt;0,IF(AP717&lt;=eco,alpha*fck*(1-(1-AP717/eco)^n),alpha*fck),0)</f>
      </c>
      <c r="AR717" s="30">
        <f>PM_Angle!$J$24+PM_Angle!$K$24*$C717+PM_Angle!$L$24*$B717</f>
      </c>
      <c r="AS717" s="12">
        <f>IF(AR717&gt;0,IF(AR717&lt;=eco,alpha*fck*(1-(1-AR717/eco)^n),alpha*fck),0)</f>
      </c>
      <c r="AT717" s="30">
        <f>PM_Angle!$J$25+PM_Angle!$K$25*$C717+PM_Angle!$L$25*$B717</f>
      </c>
      <c r="AU717" s="12">
        <f>IF(AT717&gt;0,IF(AT717&lt;=eco,alpha*fck*(1-(1-AT717/eco)^n),alpha*fck),0)</f>
      </c>
    </row>
    <row r="718" spans="1:47" x14ac:dyDescent="0.25">
      <c r="A718">
        <f>Mesh!A715</f>
      </c>
      <c r="B718" s="12">
        <f>Mesh!B715</f>
      </c>
      <c r="C718" s="12">
        <f>Mesh!C715</f>
      </c>
      <c r="D718" s="12">
        <f>Mesh!D715</f>
      </c>
      <c r="E718" s="30">
        <f>INDEX(St_e0,Det+1)+INDEX(St_kx,Det+1)*C718+INDEX(St_ky,Det+1)*B718</f>
      </c>
      <c r="F718" s="12">
        <f>IF(E718&gt;0,IF(E718&lt;=eco,alpha*fck*(1-(1-E718/eco)^n),alpha*fck),0)</f>
      </c>
      <c r="G718" s="11">
        <f>F718*D718</f>
      </c>
      <c r="H718" s="11">
        <f>G718*C718</f>
      </c>
      <c r="I718" s="11">
        <f>G718*B718</f>
      </c>
      <c r="J718" s="30">
        <f>PM_Angle!$J$7+PM_Angle!$K$7*$C718+PM_Angle!$L$7*$B718</f>
      </c>
      <c r="K718" s="12">
        <f>IF(J718&gt;0,IF(J718&lt;=eco,alpha*fck*(1-(1-J718/eco)^n),alpha*fck),0)</f>
      </c>
      <c r="L718" s="30">
        <f>PM_Angle!$J$8+PM_Angle!$K$8*$C718+PM_Angle!$L$8*$B718</f>
      </c>
      <c r="M718" s="12">
        <f>IF(L718&gt;0,IF(L718&lt;=eco,alpha*fck*(1-(1-L718/eco)^n),alpha*fck),0)</f>
      </c>
      <c r="N718" s="30">
        <f>PM_Angle!$J$9+PM_Angle!$K$9*$C718+PM_Angle!$L$9*$B718</f>
      </c>
      <c r="O718" s="12">
        <f>IF(N718&gt;0,IF(N718&lt;=eco,alpha*fck*(1-(1-N718/eco)^n),alpha*fck),0)</f>
      </c>
      <c r="P718" s="30">
        <f>PM_Angle!$J$10+PM_Angle!$K$10*$C718+PM_Angle!$L$10*$B718</f>
      </c>
      <c r="Q718" s="12">
        <f>IF(P718&gt;0,IF(P718&lt;=eco,alpha*fck*(1-(1-P718/eco)^n),alpha*fck),0)</f>
      </c>
      <c r="R718" s="30">
        <f>PM_Angle!$J$11+PM_Angle!$K$11*$C718+PM_Angle!$L$11*$B718</f>
      </c>
      <c r="S718" s="12">
        <f>IF(R718&gt;0,IF(R718&lt;=eco,alpha*fck*(1-(1-R718/eco)^n),alpha*fck),0)</f>
      </c>
      <c r="T718" s="30">
        <f>PM_Angle!$J$12+PM_Angle!$K$12*$C718+PM_Angle!$L$12*$B718</f>
      </c>
      <c r="U718" s="12">
        <f>IF(T718&gt;0,IF(T718&lt;=eco,alpha*fck*(1-(1-T718/eco)^n),alpha*fck),0)</f>
      </c>
      <c r="V718" s="30">
        <f>PM_Angle!$J$13+PM_Angle!$K$13*$C718+PM_Angle!$L$13*$B718</f>
      </c>
      <c r="W718" s="12">
        <f>IF(V718&gt;0,IF(V718&lt;=eco,alpha*fck*(1-(1-V718/eco)^n),alpha*fck),0)</f>
      </c>
      <c r="X718" s="30">
        <f>PM_Angle!$J$14+PM_Angle!$K$14*$C718+PM_Angle!$L$14*$B718</f>
      </c>
      <c r="Y718" s="12">
        <f>IF(X718&gt;0,IF(X718&lt;=eco,alpha*fck*(1-(1-X718/eco)^n),alpha*fck),0)</f>
      </c>
      <c r="Z718" s="30">
        <f>PM_Angle!$J$15+PM_Angle!$K$15*$C718+PM_Angle!$L$15*$B718</f>
      </c>
      <c r="AA718" s="12">
        <f>IF(Z718&gt;0,IF(Z718&lt;=eco,alpha*fck*(1-(1-Z718/eco)^n),alpha*fck),0)</f>
      </c>
      <c r="AB718" s="30">
        <f>PM_Angle!$J$16+PM_Angle!$K$16*$C718+PM_Angle!$L$16*$B718</f>
      </c>
      <c r="AC718" s="12">
        <f>IF(AB718&gt;0,IF(AB718&lt;=eco,alpha*fck*(1-(1-AB718/eco)^n),alpha*fck),0)</f>
      </c>
      <c r="AD718" s="30">
        <f>PM_Angle!$J$17+PM_Angle!$K$17*$C718+PM_Angle!$L$17*$B718</f>
      </c>
      <c r="AE718" s="12">
        <f>IF(AD718&gt;0,IF(AD718&lt;=eco,alpha*fck*(1-(1-AD718/eco)^n),alpha*fck),0)</f>
      </c>
      <c r="AF718" s="30">
        <f>PM_Angle!$J$18+PM_Angle!$K$18*$C718+PM_Angle!$L$18*$B718</f>
      </c>
      <c r="AG718" s="12">
        <f>IF(AF718&gt;0,IF(AF718&lt;=eco,alpha*fck*(1-(1-AF718/eco)^n),alpha*fck),0)</f>
      </c>
      <c r="AH718" s="30">
        <f>PM_Angle!$J$19+PM_Angle!$K$19*$C718+PM_Angle!$L$19*$B718</f>
      </c>
      <c r="AI718" s="12">
        <f>IF(AH718&gt;0,IF(AH718&lt;=eco,alpha*fck*(1-(1-AH718/eco)^n),alpha*fck),0)</f>
      </c>
      <c r="AJ718" s="30">
        <f>PM_Angle!$J$20+PM_Angle!$K$20*$C718+PM_Angle!$L$20*$B718</f>
      </c>
      <c r="AK718" s="12">
        <f>IF(AJ718&gt;0,IF(AJ718&lt;=eco,alpha*fck*(1-(1-AJ718/eco)^n),alpha*fck),0)</f>
      </c>
      <c r="AL718" s="30">
        <f>PM_Angle!$J$21+PM_Angle!$K$21*$C718+PM_Angle!$L$21*$B718</f>
      </c>
      <c r="AM718" s="12">
        <f>IF(AL718&gt;0,IF(AL718&lt;=eco,alpha*fck*(1-(1-AL718/eco)^n),alpha*fck),0)</f>
      </c>
      <c r="AN718" s="30">
        <f>PM_Angle!$J$22+PM_Angle!$K$22*$C718+PM_Angle!$L$22*$B718</f>
      </c>
      <c r="AO718" s="12">
        <f>IF(AN718&gt;0,IF(AN718&lt;=eco,alpha*fck*(1-(1-AN718/eco)^n),alpha*fck),0)</f>
      </c>
      <c r="AP718" s="30">
        <f>PM_Angle!$J$23+PM_Angle!$K$23*$C718+PM_Angle!$L$23*$B718</f>
      </c>
      <c r="AQ718" s="12">
        <f>IF(AP718&gt;0,IF(AP718&lt;=eco,alpha*fck*(1-(1-AP718/eco)^n),alpha*fck),0)</f>
      </c>
      <c r="AR718" s="30">
        <f>PM_Angle!$J$24+PM_Angle!$K$24*$C718+PM_Angle!$L$24*$B718</f>
      </c>
      <c r="AS718" s="12">
        <f>IF(AR718&gt;0,IF(AR718&lt;=eco,alpha*fck*(1-(1-AR718/eco)^n),alpha*fck),0)</f>
      </c>
      <c r="AT718" s="30">
        <f>PM_Angle!$J$25+PM_Angle!$K$25*$C718+PM_Angle!$L$25*$B718</f>
      </c>
      <c r="AU718" s="12">
        <f>IF(AT718&gt;0,IF(AT718&lt;=eco,alpha*fck*(1-(1-AT718/eco)^n),alpha*fck),0)</f>
      </c>
    </row>
    <row r="719" spans="1:47" x14ac:dyDescent="0.25">
      <c r="A719">
        <f>Mesh!A716</f>
      </c>
      <c r="B719" s="12">
        <f>Mesh!B716</f>
      </c>
      <c r="C719" s="12">
        <f>Mesh!C716</f>
      </c>
      <c r="D719" s="12">
        <f>Mesh!D716</f>
      </c>
      <c r="E719" s="30">
        <f>INDEX(St_e0,Det+1)+INDEX(St_kx,Det+1)*C719+INDEX(St_ky,Det+1)*B719</f>
      </c>
      <c r="F719" s="12">
        <f>IF(E719&gt;0,IF(E719&lt;=eco,alpha*fck*(1-(1-E719/eco)^n),alpha*fck),0)</f>
      </c>
      <c r="G719" s="11">
        <f>F719*D719</f>
      </c>
      <c r="H719" s="11">
        <f>G719*C719</f>
      </c>
      <c r="I719" s="11">
        <f>G719*B719</f>
      </c>
      <c r="J719" s="30">
        <f>PM_Angle!$J$7+PM_Angle!$K$7*$C719+PM_Angle!$L$7*$B719</f>
      </c>
      <c r="K719" s="12">
        <f>IF(J719&gt;0,IF(J719&lt;=eco,alpha*fck*(1-(1-J719/eco)^n),alpha*fck),0)</f>
      </c>
      <c r="L719" s="30">
        <f>PM_Angle!$J$8+PM_Angle!$K$8*$C719+PM_Angle!$L$8*$B719</f>
      </c>
      <c r="M719" s="12">
        <f>IF(L719&gt;0,IF(L719&lt;=eco,alpha*fck*(1-(1-L719/eco)^n),alpha*fck),0)</f>
      </c>
      <c r="N719" s="30">
        <f>PM_Angle!$J$9+PM_Angle!$K$9*$C719+PM_Angle!$L$9*$B719</f>
      </c>
      <c r="O719" s="12">
        <f>IF(N719&gt;0,IF(N719&lt;=eco,alpha*fck*(1-(1-N719/eco)^n),alpha*fck),0)</f>
      </c>
      <c r="P719" s="30">
        <f>PM_Angle!$J$10+PM_Angle!$K$10*$C719+PM_Angle!$L$10*$B719</f>
      </c>
      <c r="Q719" s="12">
        <f>IF(P719&gt;0,IF(P719&lt;=eco,alpha*fck*(1-(1-P719/eco)^n),alpha*fck),0)</f>
      </c>
      <c r="R719" s="30">
        <f>PM_Angle!$J$11+PM_Angle!$K$11*$C719+PM_Angle!$L$11*$B719</f>
      </c>
      <c r="S719" s="12">
        <f>IF(R719&gt;0,IF(R719&lt;=eco,alpha*fck*(1-(1-R719/eco)^n),alpha*fck),0)</f>
      </c>
      <c r="T719" s="30">
        <f>PM_Angle!$J$12+PM_Angle!$K$12*$C719+PM_Angle!$L$12*$B719</f>
      </c>
      <c r="U719" s="12">
        <f>IF(T719&gt;0,IF(T719&lt;=eco,alpha*fck*(1-(1-T719/eco)^n),alpha*fck),0)</f>
      </c>
      <c r="V719" s="30">
        <f>PM_Angle!$J$13+PM_Angle!$K$13*$C719+PM_Angle!$L$13*$B719</f>
      </c>
      <c r="W719" s="12">
        <f>IF(V719&gt;0,IF(V719&lt;=eco,alpha*fck*(1-(1-V719/eco)^n),alpha*fck),0)</f>
      </c>
      <c r="X719" s="30">
        <f>PM_Angle!$J$14+PM_Angle!$K$14*$C719+PM_Angle!$L$14*$B719</f>
      </c>
      <c r="Y719" s="12">
        <f>IF(X719&gt;0,IF(X719&lt;=eco,alpha*fck*(1-(1-X719/eco)^n),alpha*fck),0)</f>
      </c>
      <c r="Z719" s="30">
        <f>PM_Angle!$J$15+PM_Angle!$K$15*$C719+PM_Angle!$L$15*$B719</f>
      </c>
      <c r="AA719" s="12">
        <f>IF(Z719&gt;0,IF(Z719&lt;=eco,alpha*fck*(1-(1-Z719/eco)^n),alpha*fck),0)</f>
      </c>
      <c r="AB719" s="30">
        <f>PM_Angle!$J$16+PM_Angle!$K$16*$C719+PM_Angle!$L$16*$B719</f>
      </c>
      <c r="AC719" s="12">
        <f>IF(AB719&gt;0,IF(AB719&lt;=eco,alpha*fck*(1-(1-AB719/eco)^n),alpha*fck),0)</f>
      </c>
      <c r="AD719" s="30">
        <f>PM_Angle!$J$17+PM_Angle!$K$17*$C719+PM_Angle!$L$17*$B719</f>
      </c>
      <c r="AE719" s="12">
        <f>IF(AD719&gt;0,IF(AD719&lt;=eco,alpha*fck*(1-(1-AD719/eco)^n),alpha*fck),0)</f>
      </c>
      <c r="AF719" s="30">
        <f>PM_Angle!$J$18+PM_Angle!$K$18*$C719+PM_Angle!$L$18*$B719</f>
      </c>
      <c r="AG719" s="12">
        <f>IF(AF719&gt;0,IF(AF719&lt;=eco,alpha*fck*(1-(1-AF719/eco)^n),alpha*fck),0)</f>
      </c>
      <c r="AH719" s="30">
        <f>PM_Angle!$J$19+PM_Angle!$K$19*$C719+PM_Angle!$L$19*$B719</f>
      </c>
      <c r="AI719" s="12">
        <f>IF(AH719&gt;0,IF(AH719&lt;=eco,alpha*fck*(1-(1-AH719/eco)^n),alpha*fck),0)</f>
      </c>
      <c r="AJ719" s="30">
        <f>PM_Angle!$J$20+PM_Angle!$K$20*$C719+PM_Angle!$L$20*$B719</f>
      </c>
      <c r="AK719" s="12">
        <f>IF(AJ719&gt;0,IF(AJ719&lt;=eco,alpha*fck*(1-(1-AJ719/eco)^n),alpha*fck),0)</f>
      </c>
      <c r="AL719" s="30">
        <f>PM_Angle!$J$21+PM_Angle!$K$21*$C719+PM_Angle!$L$21*$B719</f>
      </c>
      <c r="AM719" s="12">
        <f>IF(AL719&gt;0,IF(AL719&lt;=eco,alpha*fck*(1-(1-AL719/eco)^n),alpha*fck),0)</f>
      </c>
      <c r="AN719" s="30">
        <f>PM_Angle!$J$22+PM_Angle!$K$22*$C719+PM_Angle!$L$22*$B719</f>
      </c>
      <c r="AO719" s="12">
        <f>IF(AN719&gt;0,IF(AN719&lt;=eco,alpha*fck*(1-(1-AN719/eco)^n),alpha*fck),0)</f>
      </c>
      <c r="AP719" s="30">
        <f>PM_Angle!$J$23+PM_Angle!$K$23*$C719+PM_Angle!$L$23*$B719</f>
      </c>
      <c r="AQ719" s="12">
        <f>IF(AP719&gt;0,IF(AP719&lt;=eco,alpha*fck*(1-(1-AP719/eco)^n),alpha*fck),0)</f>
      </c>
      <c r="AR719" s="30">
        <f>PM_Angle!$J$24+PM_Angle!$K$24*$C719+PM_Angle!$L$24*$B719</f>
      </c>
      <c r="AS719" s="12">
        <f>IF(AR719&gt;0,IF(AR719&lt;=eco,alpha*fck*(1-(1-AR719/eco)^n),alpha*fck),0)</f>
      </c>
      <c r="AT719" s="30">
        <f>PM_Angle!$J$25+PM_Angle!$K$25*$C719+PM_Angle!$L$25*$B719</f>
      </c>
      <c r="AU719" s="12">
        <f>IF(AT719&gt;0,IF(AT719&lt;=eco,alpha*fck*(1-(1-AT719/eco)^n),alpha*fck),0)</f>
      </c>
    </row>
    <row r="720" spans="1:47" x14ac:dyDescent="0.25">
      <c r="A720">
        <f>Mesh!A717</f>
      </c>
      <c r="B720" s="12">
        <f>Mesh!B717</f>
      </c>
      <c r="C720" s="12">
        <f>Mesh!C717</f>
      </c>
      <c r="D720" s="12">
        <f>Mesh!D717</f>
      </c>
      <c r="E720" s="30">
        <f>INDEX(St_e0,Det+1)+INDEX(St_kx,Det+1)*C720+INDEX(St_ky,Det+1)*B720</f>
      </c>
      <c r="F720" s="12">
        <f>IF(E720&gt;0,IF(E720&lt;=eco,alpha*fck*(1-(1-E720/eco)^n),alpha*fck),0)</f>
      </c>
      <c r="G720" s="11">
        <f>F720*D720</f>
      </c>
      <c r="H720" s="11">
        <f>G720*C720</f>
      </c>
      <c r="I720" s="11">
        <f>G720*B720</f>
      </c>
      <c r="J720" s="30">
        <f>PM_Angle!$J$7+PM_Angle!$K$7*$C720+PM_Angle!$L$7*$B720</f>
      </c>
      <c r="K720" s="12">
        <f>IF(J720&gt;0,IF(J720&lt;=eco,alpha*fck*(1-(1-J720/eco)^n),alpha*fck),0)</f>
      </c>
      <c r="L720" s="30">
        <f>PM_Angle!$J$8+PM_Angle!$K$8*$C720+PM_Angle!$L$8*$B720</f>
      </c>
      <c r="M720" s="12">
        <f>IF(L720&gt;0,IF(L720&lt;=eco,alpha*fck*(1-(1-L720/eco)^n),alpha*fck),0)</f>
      </c>
      <c r="N720" s="30">
        <f>PM_Angle!$J$9+PM_Angle!$K$9*$C720+PM_Angle!$L$9*$B720</f>
      </c>
      <c r="O720" s="12">
        <f>IF(N720&gt;0,IF(N720&lt;=eco,alpha*fck*(1-(1-N720/eco)^n),alpha*fck),0)</f>
      </c>
      <c r="P720" s="30">
        <f>PM_Angle!$J$10+PM_Angle!$K$10*$C720+PM_Angle!$L$10*$B720</f>
      </c>
      <c r="Q720" s="12">
        <f>IF(P720&gt;0,IF(P720&lt;=eco,alpha*fck*(1-(1-P720/eco)^n),alpha*fck),0)</f>
      </c>
      <c r="R720" s="30">
        <f>PM_Angle!$J$11+PM_Angle!$K$11*$C720+PM_Angle!$L$11*$B720</f>
      </c>
      <c r="S720" s="12">
        <f>IF(R720&gt;0,IF(R720&lt;=eco,alpha*fck*(1-(1-R720/eco)^n),alpha*fck),0)</f>
      </c>
      <c r="T720" s="30">
        <f>PM_Angle!$J$12+PM_Angle!$K$12*$C720+PM_Angle!$L$12*$B720</f>
      </c>
      <c r="U720" s="12">
        <f>IF(T720&gt;0,IF(T720&lt;=eco,alpha*fck*(1-(1-T720/eco)^n),alpha*fck),0)</f>
      </c>
      <c r="V720" s="30">
        <f>PM_Angle!$J$13+PM_Angle!$K$13*$C720+PM_Angle!$L$13*$B720</f>
      </c>
      <c r="W720" s="12">
        <f>IF(V720&gt;0,IF(V720&lt;=eco,alpha*fck*(1-(1-V720/eco)^n),alpha*fck),0)</f>
      </c>
      <c r="X720" s="30">
        <f>PM_Angle!$J$14+PM_Angle!$K$14*$C720+PM_Angle!$L$14*$B720</f>
      </c>
      <c r="Y720" s="12">
        <f>IF(X720&gt;0,IF(X720&lt;=eco,alpha*fck*(1-(1-X720/eco)^n),alpha*fck),0)</f>
      </c>
      <c r="Z720" s="30">
        <f>PM_Angle!$J$15+PM_Angle!$K$15*$C720+PM_Angle!$L$15*$B720</f>
      </c>
      <c r="AA720" s="12">
        <f>IF(Z720&gt;0,IF(Z720&lt;=eco,alpha*fck*(1-(1-Z720/eco)^n),alpha*fck),0)</f>
      </c>
      <c r="AB720" s="30">
        <f>PM_Angle!$J$16+PM_Angle!$K$16*$C720+PM_Angle!$L$16*$B720</f>
      </c>
      <c r="AC720" s="12">
        <f>IF(AB720&gt;0,IF(AB720&lt;=eco,alpha*fck*(1-(1-AB720/eco)^n),alpha*fck),0)</f>
      </c>
      <c r="AD720" s="30">
        <f>PM_Angle!$J$17+PM_Angle!$K$17*$C720+PM_Angle!$L$17*$B720</f>
      </c>
      <c r="AE720" s="12">
        <f>IF(AD720&gt;0,IF(AD720&lt;=eco,alpha*fck*(1-(1-AD720/eco)^n),alpha*fck),0)</f>
      </c>
      <c r="AF720" s="30">
        <f>PM_Angle!$J$18+PM_Angle!$K$18*$C720+PM_Angle!$L$18*$B720</f>
      </c>
      <c r="AG720" s="12">
        <f>IF(AF720&gt;0,IF(AF720&lt;=eco,alpha*fck*(1-(1-AF720/eco)^n),alpha*fck),0)</f>
      </c>
      <c r="AH720" s="30">
        <f>PM_Angle!$J$19+PM_Angle!$K$19*$C720+PM_Angle!$L$19*$B720</f>
      </c>
      <c r="AI720" s="12">
        <f>IF(AH720&gt;0,IF(AH720&lt;=eco,alpha*fck*(1-(1-AH720/eco)^n),alpha*fck),0)</f>
      </c>
      <c r="AJ720" s="30">
        <f>PM_Angle!$J$20+PM_Angle!$K$20*$C720+PM_Angle!$L$20*$B720</f>
      </c>
      <c r="AK720" s="12">
        <f>IF(AJ720&gt;0,IF(AJ720&lt;=eco,alpha*fck*(1-(1-AJ720/eco)^n),alpha*fck),0)</f>
      </c>
      <c r="AL720" s="30">
        <f>PM_Angle!$J$21+PM_Angle!$K$21*$C720+PM_Angle!$L$21*$B720</f>
      </c>
      <c r="AM720" s="12">
        <f>IF(AL720&gt;0,IF(AL720&lt;=eco,alpha*fck*(1-(1-AL720/eco)^n),alpha*fck),0)</f>
      </c>
      <c r="AN720" s="30">
        <f>PM_Angle!$J$22+PM_Angle!$K$22*$C720+PM_Angle!$L$22*$B720</f>
      </c>
      <c r="AO720" s="12">
        <f>IF(AN720&gt;0,IF(AN720&lt;=eco,alpha*fck*(1-(1-AN720/eco)^n),alpha*fck),0)</f>
      </c>
      <c r="AP720" s="30">
        <f>PM_Angle!$J$23+PM_Angle!$K$23*$C720+PM_Angle!$L$23*$B720</f>
      </c>
      <c r="AQ720" s="12">
        <f>IF(AP720&gt;0,IF(AP720&lt;=eco,alpha*fck*(1-(1-AP720/eco)^n),alpha*fck),0)</f>
      </c>
      <c r="AR720" s="30">
        <f>PM_Angle!$J$24+PM_Angle!$K$24*$C720+PM_Angle!$L$24*$B720</f>
      </c>
      <c r="AS720" s="12">
        <f>IF(AR720&gt;0,IF(AR720&lt;=eco,alpha*fck*(1-(1-AR720/eco)^n),alpha*fck),0)</f>
      </c>
      <c r="AT720" s="30">
        <f>PM_Angle!$J$25+PM_Angle!$K$25*$C720+PM_Angle!$L$25*$B720</f>
      </c>
      <c r="AU720" s="12">
        <f>IF(AT720&gt;0,IF(AT720&lt;=eco,alpha*fck*(1-(1-AT720/eco)^n),alpha*fck),0)</f>
      </c>
    </row>
    <row r="721" spans="1:47" x14ac:dyDescent="0.25">
      <c r="A721">
        <f>Mesh!A718</f>
      </c>
      <c r="B721" s="12">
        <f>Mesh!B718</f>
      </c>
      <c r="C721" s="12">
        <f>Mesh!C718</f>
      </c>
      <c r="D721" s="12">
        <f>Mesh!D718</f>
      </c>
      <c r="E721" s="30">
        <f>INDEX(St_e0,Det+1)+INDEX(St_kx,Det+1)*C721+INDEX(St_ky,Det+1)*B721</f>
      </c>
      <c r="F721" s="12">
        <f>IF(E721&gt;0,IF(E721&lt;=eco,alpha*fck*(1-(1-E721/eco)^n),alpha*fck),0)</f>
      </c>
      <c r="G721" s="11">
        <f>F721*D721</f>
      </c>
      <c r="H721" s="11">
        <f>G721*C721</f>
      </c>
      <c r="I721" s="11">
        <f>G721*B721</f>
      </c>
      <c r="J721" s="30">
        <f>PM_Angle!$J$7+PM_Angle!$K$7*$C721+PM_Angle!$L$7*$B721</f>
      </c>
      <c r="K721" s="12">
        <f>IF(J721&gt;0,IF(J721&lt;=eco,alpha*fck*(1-(1-J721/eco)^n),alpha*fck),0)</f>
      </c>
      <c r="L721" s="30">
        <f>PM_Angle!$J$8+PM_Angle!$K$8*$C721+PM_Angle!$L$8*$B721</f>
      </c>
      <c r="M721" s="12">
        <f>IF(L721&gt;0,IF(L721&lt;=eco,alpha*fck*(1-(1-L721/eco)^n),alpha*fck),0)</f>
      </c>
      <c r="N721" s="30">
        <f>PM_Angle!$J$9+PM_Angle!$K$9*$C721+PM_Angle!$L$9*$B721</f>
      </c>
      <c r="O721" s="12">
        <f>IF(N721&gt;0,IF(N721&lt;=eco,alpha*fck*(1-(1-N721/eco)^n),alpha*fck),0)</f>
      </c>
      <c r="P721" s="30">
        <f>PM_Angle!$J$10+PM_Angle!$K$10*$C721+PM_Angle!$L$10*$B721</f>
      </c>
      <c r="Q721" s="12">
        <f>IF(P721&gt;0,IF(P721&lt;=eco,alpha*fck*(1-(1-P721/eco)^n),alpha*fck),0)</f>
      </c>
      <c r="R721" s="30">
        <f>PM_Angle!$J$11+PM_Angle!$K$11*$C721+PM_Angle!$L$11*$B721</f>
      </c>
      <c r="S721" s="12">
        <f>IF(R721&gt;0,IF(R721&lt;=eco,alpha*fck*(1-(1-R721/eco)^n),alpha*fck),0)</f>
      </c>
      <c r="T721" s="30">
        <f>PM_Angle!$J$12+PM_Angle!$K$12*$C721+PM_Angle!$L$12*$B721</f>
      </c>
      <c r="U721" s="12">
        <f>IF(T721&gt;0,IF(T721&lt;=eco,alpha*fck*(1-(1-T721/eco)^n),alpha*fck),0)</f>
      </c>
      <c r="V721" s="30">
        <f>PM_Angle!$J$13+PM_Angle!$K$13*$C721+PM_Angle!$L$13*$B721</f>
      </c>
      <c r="W721" s="12">
        <f>IF(V721&gt;0,IF(V721&lt;=eco,alpha*fck*(1-(1-V721/eco)^n),alpha*fck),0)</f>
      </c>
      <c r="X721" s="30">
        <f>PM_Angle!$J$14+PM_Angle!$K$14*$C721+PM_Angle!$L$14*$B721</f>
      </c>
      <c r="Y721" s="12">
        <f>IF(X721&gt;0,IF(X721&lt;=eco,alpha*fck*(1-(1-X721/eco)^n),alpha*fck),0)</f>
      </c>
      <c r="Z721" s="30">
        <f>PM_Angle!$J$15+PM_Angle!$K$15*$C721+PM_Angle!$L$15*$B721</f>
      </c>
      <c r="AA721" s="12">
        <f>IF(Z721&gt;0,IF(Z721&lt;=eco,alpha*fck*(1-(1-Z721/eco)^n),alpha*fck),0)</f>
      </c>
      <c r="AB721" s="30">
        <f>PM_Angle!$J$16+PM_Angle!$K$16*$C721+PM_Angle!$L$16*$B721</f>
      </c>
      <c r="AC721" s="12">
        <f>IF(AB721&gt;0,IF(AB721&lt;=eco,alpha*fck*(1-(1-AB721/eco)^n),alpha*fck),0)</f>
      </c>
      <c r="AD721" s="30">
        <f>PM_Angle!$J$17+PM_Angle!$K$17*$C721+PM_Angle!$L$17*$B721</f>
      </c>
      <c r="AE721" s="12">
        <f>IF(AD721&gt;0,IF(AD721&lt;=eco,alpha*fck*(1-(1-AD721/eco)^n),alpha*fck),0)</f>
      </c>
      <c r="AF721" s="30">
        <f>PM_Angle!$J$18+PM_Angle!$K$18*$C721+PM_Angle!$L$18*$B721</f>
      </c>
      <c r="AG721" s="12">
        <f>IF(AF721&gt;0,IF(AF721&lt;=eco,alpha*fck*(1-(1-AF721/eco)^n),alpha*fck),0)</f>
      </c>
      <c r="AH721" s="30">
        <f>PM_Angle!$J$19+PM_Angle!$K$19*$C721+PM_Angle!$L$19*$B721</f>
      </c>
      <c r="AI721" s="12">
        <f>IF(AH721&gt;0,IF(AH721&lt;=eco,alpha*fck*(1-(1-AH721/eco)^n),alpha*fck),0)</f>
      </c>
      <c r="AJ721" s="30">
        <f>PM_Angle!$J$20+PM_Angle!$K$20*$C721+PM_Angle!$L$20*$B721</f>
      </c>
      <c r="AK721" s="12">
        <f>IF(AJ721&gt;0,IF(AJ721&lt;=eco,alpha*fck*(1-(1-AJ721/eco)^n),alpha*fck),0)</f>
      </c>
      <c r="AL721" s="30">
        <f>PM_Angle!$J$21+PM_Angle!$K$21*$C721+PM_Angle!$L$21*$B721</f>
      </c>
      <c r="AM721" s="12">
        <f>IF(AL721&gt;0,IF(AL721&lt;=eco,alpha*fck*(1-(1-AL721/eco)^n),alpha*fck),0)</f>
      </c>
      <c r="AN721" s="30">
        <f>PM_Angle!$J$22+PM_Angle!$K$22*$C721+PM_Angle!$L$22*$B721</f>
      </c>
      <c r="AO721" s="12">
        <f>IF(AN721&gt;0,IF(AN721&lt;=eco,alpha*fck*(1-(1-AN721/eco)^n),alpha*fck),0)</f>
      </c>
      <c r="AP721" s="30">
        <f>PM_Angle!$J$23+PM_Angle!$K$23*$C721+PM_Angle!$L$23*$B721</f>
      </c>
      <c r="AQ721" s="12">
        <f>IF(AP721&gt;0,IF(AP721&lt;=eco,alpha*fck*(1-(1-AP721/eco)^n),alpha*fck),0)</f>
      </c>
      <c r="AR721" s="30">
        <f>PM_Angle!$J$24+PM_Angle!$K$24*$C721+PM_Angle!$L$24*$B721</f>
      </c>
      <c r="AS721" s="12">
        <f>IF(AR721&gt;0,IF(AR721&lt;=eco,alpha*fck*(1-(1-AR721/eco)^n),alpha*fck),0)</f>
      </c>
      <c r="AT721" s="30">
        <f>PM_Angle!$J$25+PM_Angle!$K$25*$C721+PM_Angle!$L$25*$B721</f>
      </c>
      <c r="AU721" s="12">
        <f>IF(AT721&gt;0,IF(AT721&lt;=eco,alpha*fck*(1-(1-AT721/eco)^n),alpha*fck),0)</f>
      </c>
    </row>
    <row r="722" spans="1:47" x14ac:dyDescent="0.25">
      <c r="A722">
        <f>Mesh!A719</f>
      </c>
      <c r="B722" s="12">
        <f>Mesh!B719</f>
      </c>
      <c r="C722" s="12">
        <f>Mesh!C719</f>
      </c>
      <c r="D722" s="12">
        <f>Mesh!D719</f>
      </c>
      <c r="E722" s="30">
        <f>INDEX(St_e0,Det+1)+INDEX(St_kx,Det+1)*C722+INDEX(St_ky,Det+1)*B722</f>
      </c>
      <c r="F722" s="12">
        <f>IF(E722&gt;0,IF(E722&lt;=eco,alpha*fck*(1-(1-E722/eco)^n),alpha*fck),0)</f>
      </c>
      <c r="G722" s="11">
        <f>F722*D722</f>
      </c>
      <c r="H722" s="11">
        <f>G722*C722</f>
      </c>
      <c r="I722" s="11">
        <f>G722*B722</f>
      </c>
      <c r="J722" s="30">
        <f>PM_Angle!$J$7+PM_Angle!$K$7*$C722+PM_Angle!$L$7*$B722</f>
      </c>
      <c r="K722" s="12">
        <f>IF(J722&gt;0,IF(J722&lt;=eco,alpha*fck*(1-(1-J722/eco)^n),alpha*fck),0)</f>
      </c>
      <c r="L722" s="30">
        <f>PM_Angle!$J$8+PM_Angle!$K$8*$C722+PM_Angle!$L$8*$B722</f>
      </c>
      <c r="M722" s="12">
        <f>IF(L722&gt;0,IF(L722&lt;=eco,alpha*fck*(1-(1-L722/eco)^n),alpha*fck),0)</f>
      </c>
      <c r="N722" s="30">
        <f>PM_Angle!$J$9+PM_Angle!$K$9*$C722+PM_Angle!$L$9*$B722</f>
      </c>
      <c r="O722" s="12">
        <f>IF(N722&gt;0,IF(N722&lt;=eco,alpha*fck*(1-(1-N722/eco)^n),alpha*fck),0)</f>
      </c>
      <c r="P722" s="30">
        <f>PM_Angle!$J$10+PM_Angle!$K$10*$C722+PM_Angle!$L$10*$B722</f>
      </c>
      <c r="Q722" s="12">
        <f>IF(P722&gt;0,IF(P722&lt;=eco,alpha*fck*(1-(1-P722/eco)^n),alpha*fck),0)</f>
      </c>
      <c r="R722" s="30">
        <f>PM_Angle!$J$11+PM_Angle!$K$11*$C722+PM_Angle!$L$11*$B722</f>
      </c>
      <c r="S722" s="12">
        <f>IF(R722&gt;0,IF(R722&lt;=eco,alpha*fck*(1-(1-R722/eco)^n),alpha*fck),0)</f>
      </c>
      <c r="T722" s="30">
        <f>PM_Angle!$J$12+PM_Angle!$K$12*$C722+PM_Angle!$L$12*$B722</f>
      </c>
      <c r="U722" s="12">
        <f>IF(T722&gt;0,IF(T722&lt;=eco,alpha*fck*(1-(1-T722/eco)^n),alpha*fck),0)</f>
      </c>
      <c r="V722" s="30">
        <f>PM_Angle!$J$13+PM_Angle!$K$13*$C722+PM_Angle!$L$13*$B722</f>
      </c>
      <c r="W722" s="12">
        <f>IF(V722&gt;0,IF(V722&lt;=eco,alpha*fck*(1-(1-V722/eco)^n),alpha*fck),0)</f>
      </c>
      <c r="X722" s="30">
        <f>PM_Angle!$J$14+PM_Angle!$K$14*$C722+PM_Angle!$L$14*$B722</f>
      </c>
      <c r="Y722" s="12">
        <f>IF(X722&gt;0,IF(X722&lt;=eco,alpha*fck*(1-(1-X722/eco)^n),alpha*fck),0)</f>
      </c>
      <c r="Z722" s="30">
        <f>PM_Angle!$J$15+PM_Angle!$K$15*$C722+PM_Angle!$L$15*$B722</f>
      </c>
      <c r="AA722" s="12">
        <f>IF(Z722&gt;0,IF(Z722&lt;=eco,alpha*fck*(1-(1-Z722/eco)^n),alpha*fck),0)</f>
      </c>
      <c r="AB722" s="30">
        <f>PM_Angle!$J$16+PM_Angle!$K$16*$C722+PM_Angle!$L$16*$B722</f>
      </c>
      <c r="AC722" s="12">
        <f>IF(AB722&gt;0,IF(AB722&lt;=eco,alpha*fck*(1-(1-AB722/eco)^n),alpha*fck),0)</f>
      </c>
      <c r="AD722" s="30">
        <f>PM_Angle!$J$17+PM_Angle!$K$17*$C722+PM_Angle!$L$17*$B722</f>
      </c>
      <c r="AE722" s="12">
        <f>IF(AD722&gt;0,IF(AD722&lt;=eco,alpha*fck*(1-(1-AD722/eco)^n),alpha*fck),0)</f>
      </c>
      <c r="AF722" s="30">
        <f>PM_Angle!$J$18+PM_Angle!$K$18*$C722+PM_Angle!$L$18*$B722</f>
      </c>
      <c r="AG722" s="12">
        <f>IF(AF722&gt;0,IF(AF722&lt;=eco,alpha*fck*(1-(1-AF722/eco)^n),alpha*fck),0)</f>
      </c>
      <c r="AH722" s="30">
        <f>PM_Angle!$J$19+PM_Angle!$K$19*$C722+PM_Angle!$L$19*$B722</f>
      </c>
      <c r="AI722" s="12">
        <f>IF(AH722&gt;0,IF(AH722&lt;=eco,alpha*fck*(1-(1-AH722/eco)^n),alpha*fck),0)</f>
      </c>
      <c r="AJ722" s="30">
        <f>PM_Angle!$J$20+PM_Angle!$K$20*$C722+PM_Angle!$L$20*$B722</f>
      </c>
      <c r="AK722" s="12">
        <f>IF(AJ722&gt;0,IF(AJ722&lt;=eco,alpha*fck*(1-(1-AJ722/eco)^n),alpha*fck),0)</f>
      </c>
      <c r="AL722" s="30">
        <f>PM_Angle!$J$21+PM_Angle!$K$21*$C722+PM_Angle!$L$21*$B722</f>
      </c>
      <c r="AM722" s="12">
        <f>IF(AL722&gt;0,IF(AL722&lt;=eco,alpha*fck*(1-(1-AL722/eco)^n),alpha*fck),0)</f>
      </c>
      <c r="AN722" s="30">
        <f>PM_Angle!$J$22+PM_Angle!$K$22*$C722+PM_Angle!$L$22*$B722</f>
      </c>
      <c r="AO722" s="12">
        <f>IF(AN722&gt;0,IF(AN722&lt;=eco,alpha*fck*(1-(1-AN722/eco)^n),alpha*fck),0)</f>
      </c>
      <c r="AP722" s="30">
        <f>PM_Angle!$J$23+PM_Angle!$K$23*$C722+PM_Angle!$L$23*$B722</f>
      </c>
      <c r="AQ722" s="12">
        <f>IF(AP722&gt;0,IF(AP722&lt;=eco,alpha*fck*(1-(1-AP722/eco)^n),alpha*fck),0)</f>
      </c>
      <c r="AR722" s="30">
        <f>PM_Angle!$J$24+PM_Angle!$K$24*$C722+PM_Angle!$L$24*$B722</f>
      </c>
      <c r="AS722" s="12">
        <f>IF(AR722&gt;0,IF(AR722&lt;=eco,alpha*fck*(1-(1-AR722/eco)^n),alpha*fck),0)</f>
      </c>
      <c r="AT722" s="30">
        <f>PM_Angle!$J$25+PM_Angle!$K$25*$C722+PM_Angle!$L$25*$B722</f>
      </c>
      <c r="AU722" s="12">
        <f>IF(AT722&gt;0,IF(AT722&lt;=eco,alpha*fck*(1-(1-AT722/eco)^n),alpha*fck),0)</f>
      </c>
    </row>
    <row r="723" spans="1:47" x14ac:dyDescent="0.25">
      <c r="A723">
        <f>Mesh!A720</f>
      </c>
      <c r="B723" s="12">
        <f>Mesh!B720</f>
      </c>
      <c r="C723" s="12">
        <f>Mesh!C720</f>
      </c>
      <c r="D723" s="12">
        <f>Mesh!D720</f>
      </c>
      <c r="E723" s="30">
        <f>INDEX(St_e0,Det+1)+INDEX(St_kx,Det+1)*C723+INDEX(St_ky,Det+1)*B723</f>
      </c>
      <c r="F723" s="12">
        <f>IF(E723&gt;0,IF(E723&lt;=eco,alpha*fck*(1-(1-E723/eco)^n),alpha*fck),0)</f>
      </c>
      <c r="G723" s="11">
        <f>F723*D723</f>
      </c>
      <c r="H723" s="11">
        <f>G723*C723</f>
      </c>
      <c r="I723" s="11">
        <f>G723*B723</f>
      </c>
      <c r="J723" s="30">
        <f>PM_Angle!$J$7+PM_Angle!$K$7*$C723+PM_Angle!$L$7*$B723</f>
      </c>
      <c r="K723" s="12">
        <f>IF(J723&gt;0,IF(J723&lt;=eco,alpha*fck*(1-(1-J723/eco)^n),alpha*fck),0)</f>
      </c>
      <c r="L723" s="30">
        <f>PM_Angle!$J$8+PM_Angle!$K$8*$C723+PM_Angle!$L$8*$B723</f>
      </c>
      <c r="M723" s="12">
        <f>IF(L723&gt;0,IF(L723&lt;=eco,alpha*fck*(1-(1-L723/eco)^n),alpha*fck),0)</f>
      </c>
      <c r="N723" s="30">
        <f>PM_Angle!$J$9+PM_Angle!$K$9*$C723+PM_Angle!$L$9*$B723</f>
      </c>
      <c r="O723" s="12">
        <f>IF(N723&gt;0,IF(N723&lt;=eco,alpha*fck*(1-(1-N723/eco)^n),alpha*fck),0)</f>
      </c>
      <c r="P723" s="30">
        <f>PM_Angle!$J$10+PM_Angle!$K$10*$C723+PM_Angle!$L$10*$B723</f>
      </c>
      <c r="Q723" s="12">
        <f>IF(P723&gt;0,IF(P723&lt;=eco,alpha*fck*(1-(1-P723/eco)^n),alpha*fck),0)</f>
      </c>
      <c r="R723" s="30">
        <f>PM_Angle!$J$11+PM_Angle!$K$11*$C723+PM_Angle!$L$11*$B723</f>
      </c>
      <c r="S723" s="12">
        <f>IF(R723&gt;0,IF(R723&lt;=eco,alpha*fck*(1-(1-R723/eco)^n),alpha*fck),0)</f>
      </c>
      <c r="T723" s="30">
        <f>PM_Angle!$J$12+PM_Angle!$K$12*$C723+PM_Angle!$L$12*$B723</f>
      </c>
      <c r="U723" s="12">
        <f>IF(T723&gt;0,IF(T723&lt;=eco,alpha*fck*(1-(1-T723/eco)^n),alpha*fck),0)</f>
      </c>
      <c r="V723" s="30">
        <f>PM_Angle!$J$13+PM_Angle!$K$13*$C723+PM_Angle!$L$13*$B723</f>
      </c>
      <c r="W723" s="12">
        <f>IF(V723&gt;0,IF(V723&lt;=eco,alpha*fck*(1-(1-V723/eco)^n),alpha*fck),0)</f>
      </c>
      <c r="X723" s="30">
        <f>PM_Angle!$J$14+PM_Angle!$K$14*$C723+PM_Angle!$L$14*$B723</f>
      </c>
      <c r="Y723" s="12">
        <f>IF(X723&gt;0,IF(X723&lt;=eco,alpha*fck*(1-(1-X723/eco)^n),alpha*fck),0)</f>
      </c>
      <c r="Z723" s="30">
        <f>PM_Angle!$J$15+PM_Angle!$K$15*$C723+PM_Angle!$L$15*$B723</f>
      </c>
      <c r="AA723" s="12">
        <f>IF(Z723&gt;0,IF(Z723&lt;=eco,alpha*fck*(1-(1-Z723/eco)^n),alpha*fck),0)</f>
      </c>
      <c r="AB723" s="30">
        <f>PM_Angle!$J$16+PM_Angle!$K$16*$C723+PM_Angle!$L$16*$B723</f>
      </c>
      <c r="AC723" s="12">
        <f>IF(AB723&gt;0,IF(AB723&lt;=eco,alpha*fck*(1-(1-AB723/eco)^n),alpha*fck),0)</f>
      </c>
      <c r="AD723" s="30">
        <f>PM_Angle!$J$17+PM_Angle!$K$17*$C723+PM_Angle!$L$17*$B723</f>
      </c>
      <c r="AE723" s="12">
        <f>IF(AD723&gt;0,IF(AD723&lt;=eco,alpha*fck*(1-(1-AD723/eco)^n),alpha*fck),0)</f>
      </c>
      <c r="AF723" s="30">
        <f>PM_Angle!$J$18+PM_Angle!$K$18*$C723+PM_Angle!$L$18*$B723</f>
      </c>
      <c r="AG723" s="12">
        <f>IF(AF723&gt;0,IF(AF723&lt;=eco,alpha*fck*(1-(1-AF723/eco)^n),alpha*fck),0)</f>
      </c>
      <c r="AH723" s="30">
        <f>PM_Angle!$J$19+PM_Angle!$K$19*$C723+PM_Angle!$L$19*$B723</f>
      </c>
      <c r="AI723" s="12">
        <f>IF(AH723&gt;0,IF(AH723&lt;=eco,alpha*fck*(1-(1-AH723/eco)^n),alpha*fck),0)</f>
      </c>
      <c r="AJ723" s="30">
        <f>PM_Angle!$J$20+PM_Angle!$K$20*$C723+PM_Angle!$L$20*$B723</f>
      </c>
      <c r="AK723" s="12">
        <f>IF(AJ723&gt;0,IF(AJ723&lt;=eco,alpha*fck*(1-(1-AJ723/eco)^n),alpha*fck),0)</f>
      </c>
      <c r="AL723" s="30">
        <f>PM_Angle!$J$21+PM_Angle!$K$21*$C723+PM_Angle!$L$21*$B723</f>
      </c>
      <c r="AM723" s="12">
        <f>IF(AL723&gt;0,IF(AL723&lt;=eco,alpha*fck*(1-(1-AL723/eco)^n),alpha*fck),0)</f>
      </c>
      <c r="AN723" s="30">
        <f>PM_Angle!$J$22+PM_Angle!$K$22*$C723+PM_Angle!$L$22*$B723</f>
      </c>
      <c r="AO723" s="12">
        <f>IF(AN723&gt;0,IF(AN723&lt;=eco,alpha*fck*(1-(1-AN723/eco)^n),alpha*fck),0)</f>
      </c>
      <c r="AP723" s="30">
        <f>PM_Angle!$J$23+PM_Angle!$K$23*$C723+PM_Angle!$L$23*$B723</f>
      </c>
      <c r="AQ723" s="12">
        <f>IF(AP723&gt;0,IF(AP723&lt;=eco,alpha*fck*(1-(1-AP723/eco)^n),alpha*fck),0)</f>
      </c>
      <c r="AR723" s="30">
        <f>PM_Angle!$J$24+PM_Angle!$K$24*$C723+PM_Angle!$L$24*$B723</f>
      </c>
      <c r="AS723" s="12">
        <f>IF(AR723&gt;0,IF(AR723&lt;=eco,alpha*fck*(1-(1-AR723/eco)^n),alpha*fck),0)</f>
      </c>
      <c r="AT723" s="30">
        <f>PM_Angle!$J$25+PM_Angle!$K$25*$C723+PM_Angle!$L$25*$B723</f>
      </c>
      <c r="AU723" s="12">
        <f>IF(AT723&gt;0,IF(AT723&lt;=eco,alpha*fck*(1-(1-AT723/eco)^n),alpha*fck),0)</f>
      </c>
    </row>
    <row r="724" spans="1:47" x14ac:dyDescent="0.25">
      <c r="A724">
        <f>Mesh!A721</f>
      </c>
      <c r="B724" s="12">
        <f>Mesh!B721</f>
      </c>
      <c r="C724" s="12">
        <f>Mesh!C721</f>
      </c>
      <c r="D724" s="12">
        <f>Mesh!D721</f>
      </c>
      <c r="E724" s="30">
        <f>INDEX(St_e0,Det+1)+INDEX(St_kx,Det+1)*C724+INDEX(St_ky,Det+1)*B724</f>
      </c>
      <c r="F724" s="12">
        <f>IF(E724&gt;0,IF(E724&lt;=eco,alpha*fck*(1-(1-E724/eco)^n),alpha*fck),0)</f>
      </c>
      <c r="G724" s="11">
        <f>F724*D724</f>
      </c>
      <c r="H724" s="11">
        <f>G724*C724</f>
      </c>
      <c r="I724" s="11">
        <f>G724*B724</f>
      </c>
      <c r="J724" s="30">
        <f>PM_Angle!$J$7+PM_Angle!$K$7*$C724+PM_Angle!$L$7*$B724</f>
      </c>
      <c r="K724" s="12">
        <f>IF(J724&gt;0,IF(J724&lt;=eco,alpha*fck*(1-(1-J724/eco)^n),alpha*fck),0)</f>
      </c>
      <c r="L724" s="30">
        <f>PM_Angle!$J$8+PM_Angle!$K$8*$C724+PM_Angle!$L$8*$B724</f>
      </c>
      <c r="M724" s="12">
        <f>IF(L724&gt;0,IF(L724&lt;=eco,alpha*fck*(1-(1-L724/eco)^n),alpha*fck),0)</f>
      </c>
      <c r="N724" s="30">
        <f>PM_Angle!$J$9+PM_Angle!$K$9*$C724+PM_Angle!$L$9*$B724</f>
      </c>
      <c r="O724" s="12">
        <f>IF(N724&gt;0,IF(N724&lt;=eco,alpha*fck*(1-(1-N724/eco)^n),alpha*fck),0)</f>
      </c>
      <c r="P724" s="30">
        <f>PM_Angle!$J$10+PM_Angle!$K$10*$C724+PM_Angle!$L$10*$B724</f>
      </c>
      <c r="Q724" s="12">
        <f>IF(P724&gt;0,IF(P724&lt;=eco,alpha*fck*(1-(1-P724/eco)^n),alpha*fck),0)</f>
      </c>
      <c r="R724" s="30">
        <f>PM_Angle!$J$11+PM_Angle!$K$11*$C724+PM_Angle!$L$11*$B724</f>
      </c>
      <c r="S724" s="12">
        <f>IF(R724&gt;0,IF(R724&lt;=eco,alpha*fck*(1-(1-R724/eco)^n),alpha*fck),0)</f>
      </c>
      <c r="T724" s="30">
        <f>PM_Angle!$J$12+PM_Angle!$K$12*$C724+PM_Angle!$L$12*$B724</f>
      </c>
      <c r="U724" s="12">
        <f>IF(T724&gt;0,IF(T724&lt;=eco,alpha*fck*(1-(1-T724/eco)^n),alpha*fck),0)</f>
      </c>
      <c r="V724" s="30">
        <f>PM_Angle!$J$13+PM_Angle!$K$13*$C724+PM_Angle!$L$13*$B724</f>
      </c>
      <c r="W724" s="12">
        <f>IF(V724&gt;0,IF(V724&lt;=eco,alpha*fck*(1-(1-V724/eco)^n),alpha*fck),0)</f>
      </c>
      <c r="X724" s="30">
        <f>PM_Angle!$J$14+PM_Angle!$K$14*$C724+PM_Angle!$L$14*$B724</f>
      </c>
      <c r="Y724" s="12">
        <f>IF(X724&gt;0,IF(X724&lt;=eco,alpha*fck*(1-(1-X724/eco)^n),alpha*fck),0)</f>
      </c>
      <c r="Z724" s="30">
        <f>PM_Angle!$J$15+PM_Angle!$K$15*$C724+PM_Angle!$L$15*$B724</f>
      </c>
      <c r="AA724" s="12">
        <f>IF(Z724&gt;0,IF(Z724&lt;=eco,alpha*fck*(1-(1-Z724/eco)^n),alpha*fck),0)</f>
      </c>
      <c r="AB724" s="30">
        <f>PM_Angle!$J$16+PM_Angle!$K$16*$C724+PM_Angle!$L$16*$B724</f>
      </c>
      <c r="AC724" s="12">
        <f>IF(AB724&gt;0,IF(AB724&lt;=eco,alpha*fck*(1-(1-AB724/eco)^n),alpha*fck),0)</f>
      </c>
      <c r="AD724" s="30">
        <f>PM_Angle!$J$17+PM_Angle!$K$17*$C724+PM_Angle!$L$17*$B724</f>
      </c>
      <c r="AE724" s="12">
        <f>IF(AD724&gt;0,IF(AD724&lt;=eco,alpha*fck*(1-(1-AD724/eco)^n),alpha*fck),0)</f>
      </c>
      <c r="AF724" s="30">
        <f>PM_Angle!$J$18+PM_Angle!$K$18*$C724+PM_Angle!$L$18*$B724</f>
      </c>
      <c r="AG724" s="12">
        <f>IF(AF724&gt;0,IF(AF724&lt;=eco,alpha*fck*(1-(1-AF724/eco)^n),alpha*fck),0)</f>
      </c>
      <c r="AH724" s="30">
        <f>PM_Angle!$J$19+PM_Angle!$K$19*$C724+PM_Angle!$L$19*$B724</f>
      </c>
      <c r="AI724" s="12">
        <f>IF(AH724&gt;0,IF(AH724&lt;=eco,alpha*fck*(1-(1-AH724/eco)^n),alpha*fck),0)</f>
      </c>
      <c r="AJ724" s="30">
        <f>PM_Angle!$J$20+PM_Angle!$K$20*$C724+PM_Angle!$L$20*$B724</f>
      </c>
      <c r="AK724" s="12">
        <f>IF(AJ724&gt;0,IF(AJ724&lt;=eco,alpha*fck*(1-(1-AJ724/eco)^n),alpha*fck),0)</f>
      </c>
      <c r="AL724" s="30">
        <f>PM_Angle!$J$21+PM_Angle!$K$21*$C724+PM_Angle!$L$21*$B724</f>
      </c>
      <c r="AM724" s="12">
        <f>IF(AL724&gt;0,IF(AL724&lt;=eco,alpha*fck*(1-(1-AL724/eco)^n),alpha*fck),0)</f>
      </c>
      <c r="AN724" s="30">
        <f>PM_Angle!$J$22+PM_Angle!$K$22*$C724+PM_Angle!$L$22*$B724</f>
      </c>
      <c r="AO724" s="12">
        <f>IF(AN724&gt;0,IF(AN724&lt;=eco,alpha*fck*(1-(1-AN724/eco)^n),alpha*fck),0)</f>
      </c>
      <c r="AP724" s="30">
        <f>PM_Angle!$J$23+PM_Angle!$K$23*$C724+PM_Angle!$L$23*$B724</f>
      </c>
      <c r="AQ724" s="12">
        <f>IF(AP724&gt;0,IF(AP724&lt;=eco,alpha*fck*(1-(1-AP724/eco)^n),alpha*fck),0)</f>
      </c>
      <c r="AR724" s="30">
        <f>PM_Angle!$J$24+PM_Angle!$K$24*$C724+PM_Angle!$L$24*$B724</f>
      </c>
      <c r="AS724" s="12">
        <f>IF(AR724&gt;0,IF(AR724&lt;=eco,alpha*fck*(1-(1-AR724/eco)^n),alpha*fck),0)</f>
      </c>
      <c r="AT724" s="30">
        <f>PM_Angle!$J$25+PM_Angle!$K$25*$C724+PM_Angle!$L$25*$B724</f>
      </c>
      <c r="AU724" s="12">
        <f>IF(AT724&gt;0,IF(AT724&lt;=eco,alpha*fck*(1-(1-AT724/eco)^n),alpha*fck),0)</f>
      </c>
    </row>
    <row r="725" spans="1:47" x14ac:dyDescent="0.25">
      <c r="A725">
        <f>Mesh!A722</f>
      </c>
      <c r="B725" s="12">
        <f>Mesh!B722</f>
      </c>
      <c r="C725" s="12">
        <f>Mesh!C722</f>
      </c>
      <c r="D725" s="12">
        <f>Mesh!D722</f>
      </c>
      <c r="E725" s="30">
        <f>INDEX(St_e0,Det+1)+INDEX(St_kx,Det+1)*C725+INDEX(St_ky,Det+1)*B725</f>
      </c>
      <c r="F725" s="12">
        <f>IF(E725&gt;0,IF(E725&lt;=eco,alpha*fck*(1-(1-E725/eco)^n),alpha*fck),0)</f>
      </c>
      <c r="G725" s="11">
        <f>F725*D725</f>
      </c>
      <c r="H725" s="11">
        <f>G725*C725</f>
      </c>
      <c r="I725" s="11">
        <f>G725*B725</f>
      </c>
      <c r="J725" s="30">
        <f>PM_Angle!$J$7+PM_Angle!$K$7*$C725+PM_Angle!$L$7*$B725</f>
      </c>
      <c r="K725" s="12">
        <f>IF(J725&gt;0,IF(J725&lt;=eco,alpha*fck*(1-(1-J725/eco)^n),alpha*fck),0)</f>
      </c>
      <c r="L725" s="30">
        <f>PM_Angle!$J$8+PM_Angle!$K$8*$C725+PM_Angle!$L$8*$B725</f>
      </c>
      <c r="M725" s="12">
        <f>IF(L725&gt;0,IF(L725&lt;=eco,alpha*fck*(1-(1-L725/eco)^n),alpha*fck),0)</f>
      </c>
      <c r="N725" s="30">
        <f>PM_Angle!$J$9+PM_Angle!$K$9*$C725+PM_Angle!$L$9*$B725</f>
      </c>
      <c r="O725" s="12">
        <f>IF(N725&gt;0,IF(N725&lt;=eco,alpha*fck*(1-(1-N725/eco)^n),alpha*fck),0)</f>
      </c>
      <c r="P725" s="30">
        <f>PM_Angle!$J$10+PM_Angle!$K$10*$C725+PM_Angle!$L$10*$B725</f>
      </c>
      <c r="Q725" s="12">
        <f>IF(P725&gt;0,IF(P725&lt;=eco,alpha*fck*(1-(1-P725/eco)^n),alpha*fck),0)</f>
      </c>
      <c r="R725" s="30">
        <f>PM_Angle!$J$11+PM_Angle!$K$11*$C725+PM_Angle!$L$11*$B725</f>
      </c>
      <c r="S725" s="12">
        <f>IF(R725&gt;0,IF(R725&lt;=eco,alpha*fck*(1-(1-R725/eco)^n),alpha*fck),0)</f>
      </c>
      <c r="T725" s="30">
        <f>PM_Angle!$J$12+PM_Angle!$K$12*$C725+PM_Angle!$L$12*$B725</f>
      </c>
      <c r="U725" s="12">
        <f>IF(T725&gt;0,IF(T725&lt;=eco,alpha*fck*(1-(1-T725/eco)^n),alpha*fck),0)</f>
      </c>
      <c r="V725" s="30">
        <f>PM_Angle!$J$13+PM_Angle!$K$13*$C725+PM_Angle!$L$13*$B725</f>
      </c>
      <c r="W725" s="12">
        <f>IF(V725&gt;0,IF(V725&lt;=eco,alpha*fck*(1-(1-V725/eco)^n),alpha*fck),0)</f>
      </c>
      <c r="X725" s="30">
        <f>PM_Angle!$J$14+PM_Angle!$K$14*$C725+PM_Angle!$L$14*$B725</f>
      </c>
      <c r="Y725" s="12">
        <f>IF(X725&gt;0,IF(X725&lt;=eco,alpha*fck*(1-(1-X725/eco)^n),alpha*fck),0)</f>
      </c>
      <c r="Z725" s="30">
        <f>PM_Angle!$J$15+PM_Angle!$K$15*$C725+PM_Angle!$L$15*$B725</f>
      </c>
      <c r="AA725" s="12">
        <f>IF(Z725&gt;0,IF(Z725&lt;=eco,alpha*fck*(1-(1-Z725/eco)^n),alpha*fck),0)</f>
      </c>
      <c r="AB725" s="30">
        <f>PM_Angle!$J$16+PM_Angle!$K$16*$C725+PM_Angle!$L$16*$B725</f>
      </c>
      <c r="AC725" s="12">
        <f>IF(AB725&gt;0,IF(AB725&lt;=eco,alpha*fck*(1-(1-AB725/eco)^n),alpha*fck),0)</f>
      </c>
      <c r="AD725" s="30">
        <f>PM_Angle!$J$17+PM_Angle!$K$17*$C725+PM_Angle!$L$17*$B725</f>
      </c>
      <c r="AE725" s="12">
        <f>IF(AD725&gt;0,IF(AD725&lt;=eco,alpha*fck*(1-(1-AD725/eco)^n),alpha*fck),0)</f>
      </c>
      <c r="AF725" s="30">
        <f>PM_Angle!$J$18+PM_Angle!$K$18*$C725+PM_Angle!$L$18*$B725</f>
      </c>
      <c r="AG725" s="12">
        <f>IF(AF725&gt;0,IF(AF725&lt;=eco,alpha*fck*(1-(1-AF725/eco)^n),alpha*fck),0)</f>
      </c>
      <c r="AH725" s="30">
        <f>PM_Angle!$J$19+PM_Angle!$K$19*$C725+PM_Angle!$L$19*$B725</f>
      </c>
      <c r="AI725" s="12">
        <f>IF(AH725&gt;0,IF(AH725&lt;=eco,alpha*fck*(1-(1-AH725/eco)^n),alpha*fck),0)</f>
      </c>
      <c r="AJ725" s="30">
        <f>PM_Angle!$J$20+PM_Angle!$K$20*$C725+PM_Angle!$L$20*$B725</f>
      </c>
      <c r="AK725" s="12">
        <f>IF(AJ725&gt;0,IF(AJ725&lt;=eco,alpha*fck*(1-(1-AJ725/eco)^n),alpha*fck),0)</f>
      </c>
      <c r="AL725" s="30">
        <f>PM_Angle!$J$21+PM_Angle!$K$21*$C725+PM_Angle!$L$21*$B725</f>
      </c>
      <c r="AM725" s="12">
        <f>IF(AL725&gt;0,IF(AL725&lt;=eco,alpha*fck*(1-(1-AL725/eco)^n),alpha*fck),0)</f>
      </c>
      <c r="AN725" s="30">
        <f>PM_Angle!$J$22+PM_Angle!$K$22*$C725+PM_Angle!$L$22*$B725</f>
      </c>
      <c r="AO725" s="12">
        <f>IF(AN725&gt;0,IF(AN725&lt;=eco,alpha*fck*(1-(1-AN725/eco)^n),alpha*fck),0)</f>
      </c>
      <c r="AP725" s="30">
        <f>PM_Angle!$J$23+PM_Angle!$K$23*$C725+PM_Angle!$L$23*$B725</f>
      </c>
      <c r="AQ725" s="12">
        <f>IF(AP725&gt;0,IF(AP725&lt;=eco,alpha*fck*(1-(1-AP725/eco)^n),alpha*fck),0)</f>
      </c>
      <c r="AR725" s="30">
        <f>PM_Angle!$J$24+PM_Angle!$K$24*$C725+PM_Angle!$L$24*$B725</f>
      </c>
      <c r="AS725" s="12">
        <f>IF(AR725&gt;0,IF(AR725&lt;=eco,alpha*fck*(1-(1-AR725/eco)^n),alpha*fck),0)</f>
      </c>
      <c r="AT725" s="30">
        <f>PM_Angle!$J$25+PM_Angle!$K$25*$C725+PM_Angle!$L$25*$B725</f>
      </c>
      <c r="AU725" s="12">
        <f>IF(AT725&gt;0,IF(AT725&lt;=eco,alpha*fck*(1-(1-AT725/eco)^n),alpha*fck),0)</f>
      </c>
    </row>
    <row r="726" spans="1:47" x14ac:dyDescent="0.25">
      <c r="A726">
        <f>Mesh!A723</f>
      </c>
      <c r="B726" s="12">
        <f>Mesh!B723</f>
      </c>
      <c r="C726" s="12">
        <f>Mesh!C723</f>
      </c>
      <c r="D726" s="12">
        <f>Mesh!D723</f>
      </c>
      <c r="E726" s="30">
        <f>INDEX(St_e0,Det+1)+INDEX(St_kx,Det+1)*C726+INDEX(St_ky,Det+1)*B726</f>
      </c>
      <c r="F726" s="12">
        <f>IF(E726&gt;0,IF(E726&lt;=eco,alpha*fck*(1-(1-E726/eco)^n),alpha*fck),0)</f>
      </c>
      <c r="G726" s="11">
        <f>F726*D726</f>
      </c>
      <c r="H726" s="11">
        <f>G726*C726</f>
      </c>
      <c r="I726" s="11">
        <f>G726*B726</f>
      </c>
      <c r="J726" s="30">
        <f>PM_Angle!$J$7+PM_Angle!$K$7*$C726+PM_Angle!$L$7*$B726</f>
      </c>
      <c r="K726" s="12">
        <f>IF(J726&gt;0,IF(J726&lt;=eco,alpha*fck*(1-(1-J726/eco)^n),alpha*fck),0)</f>
      </c>
      <c r="L726" s="30">
        <f>PM_Angle!$J$8+PM_Angle!$K$8*$C726+PM_Angle!$L$8*$B726</f>
      </c>
      <c r="M726" s="12">
        <f>IF(L726&gt;0,IF(L726&lt;=eco,alpha*fck*(1-(1-L726/eco)^n),alpha*fck),0)</f>
      </c>
      <c r="N726" s="30">
        <f>PM_Angle!$J$9+PM_Angle!$K$9*$C726+PM_Angle!$L$9*$B726</f>
      </c>
      <c r="O726" s="12">
        <f>IF(N726&gt;0,IF(N726&lt;=eco,alpha*fck*(1-(1-N726/eco)^n),alpha*fck),0)</f>
      </c>
      <c r="P726" s="30">
        <f>PM_Angle!$J$10+PM_Angle!$K$10*$C726+PM_Angle!$L$10*$B726</f>
      </c>
      <c r="Q726" s="12">
        <f>IF(P726&gt;0,IF(P726&lt;=eco,alpha*fck*(1-(1-P726/eco)^n),alpha*fck),0)</f>
      </c>
      <c r="R726" s="30">
        <f>PM_Angle!$J$11+PM_Angle!$K$11*$C726+PM_Angle!$L$11*$B726</f>
      </c>
      <c r="S726" s="12">
        <f>IF(R726&gt;0,IF(R726&lt;=eco,alpha*fck*(1-(1-R726/eco)^n),alpha*fck),0)</f>
      </c>
      <c r="T726" s="30">
        <f>PM_Angle!$J$12+PM_Angle!$K$12*$C726+PM_Angle!$L$12*$B726</f>
      </c>
      <c r="U726" s="12">
        <f>IF(T726&gt;0,IF(T726&lt;=eco,alpha*fck*(1-(1-T726/eco)^n),alpha*fck),0)</f>
      </c>
      <c r="V726" s="30">
        <f>PM_Angle!$J$13+PM_Angle!$K$13*$C726+PM_Angle!$L$13*$B726</f>
      </c>
      <c r="W726" s="12">
        <f>IF(V726&gt;0,IF(V726&lt;=eco,alpha*fck*(1-(1-V726/eco)^n),alpha*fck),0)</f>
      </c>
      <c r="X726" s="30">
        <f>PM_Angle!$J$14+PM_Angle!$K$14*$C726+PM_Angle!$L$14*$B726</f>
      </c>
      <c r="Y726" s="12">
        <f>IF(X726&gt;0,IF(X726&lt;=eco,alpha*fck*(1-(1-X726/eco)^n),alpha*fck),0)</f>
      </c>
      <c r="Z726" s="30">
        <f>PM_Angle!$J$15+PM_Angle!$K$15*$C726+PM_Angle!$L$15*$B726</f>
      </c>
      <c r="AA726" s="12">
        <f>IF(Z726&gt;0,IF(Z726&lt;=eco,alpha*fck*(1-(1-Z726/eco)^n),alpha*fck),0)</f>
      </c>
      <c r="AB726" s="30">
        <f>PM_Angle!$J$16+PM_Angle!$K$16*$C726+PM_Angle!$L$16*$B726</f>
      </c>
      <c r="AC726" s="12">
        <f>IF(AB726&gt;0,IF(AB726&lt;=eco,alpha*fck*(1-(1-AB726/eco)^n),alpha*fck),0)</f>
      </c>
      <c r="AD726" s="30">
        <f>PM_Angle!$J$17+PM_Angle!$K$17*$C726+PM_Angle!$L$17*$B726</f>
      </c>
      <c r="AE726" s="12">
        <f>IF(AD726&gt;0,IF(AD726&lt;=eco,alpha*fck*(1-(1-AD726/eco)^n),alpha*fck),0)</f>
      </c>
      <c r="AF726" s="30">
        <f>PM_Angle!$J$18+PM_Angle!$K$18*$C726+PM_Angle!$L$18*$B726</f>
      </c>
      <c r="AG726" s="12">
        <f>IF(AF726&gt;0,IF(AF726&lt;=eco,alpha*fck*(1-(1-AF726/eco)^n),alpha*fck),0)</f>
      </c>
      <c r="AH726" s="30">
        <f>PM_Angle!$J$19+PM_Angle!$K$19*$C726+PM_Angle!$L$19*$B726</f>
      </c>
      <c r="AI726" s="12">
        <f>IF(AH726&gt;0,IF(AH726&lt;=eco,alpha*fck*(1-(1-AH726/eco)^n),alpha*fck),0)</f>
      </c>
      <c r="AJ726" s="30">
        <f>PM_Angle!$J$20+PM_Angle!$K$20*$C726+PM_Angle!$L$20*$B726</f>
      </c>
      <c r="AK726" s="12">
        <f>IF(AJ726&gt;0,IF(AJ726&lt;=eco,alpha*fck*(1-(1-AJ726/eco)^n),alpha*fck),0)</f>
      </c>
      <c r="AL726" s="30">
        <f>PM_Angle!$J$21+PM_Angle!$K$21*$C726+PM_Angle!$L$21*$B726</f>
      </c>
      <c r="AM726" s="12">
        <f>IF(AL726&gt;0,IF(AL726&lt;=eco,alpha*fck*(1-(1-AL726/eco)^n),alpha*fck),0)</f>
      </c>
      <c r="AN726" s="30">
        <f>PM_Angle!$J$22+PM_Angle!$K$22*$C726+PM_Angle!$L$22*$B726</f>
      </c>
      <c r="AO726" s="12">
        <f>IF(AN726&gt;0,IF(AN726&lt;=eco,alpha*fck*(1-(1-AN726/eco)^n),alpha*fck),0)</f>
      </c>
      <c r="AP726" s="30">
        <f>PM_Angle!$J$23+PM_Angle!$K$23*$C726+PM_Angle!$L$23*$B726</f>
      </c>
      <c r="AQ726" s="12">
        <f>IF(AP726&gt;0,IF(AP726&lt;=eco,alpha*fck*(1-(1-AP726/eco)^n),alpha*fck),0)</f>
      </c>
      <c r="AR726" s="30">
        <f>PM_Angle!$J$24+PM_Angle!$K$24*$C726+PM_Angle!$L$24*$B726</f>
      </c>
      <c r="AS726" s="12">
        <f>IF(AR726&gt;0,IF(AR726&lt;=eco,alpha*fck*(1-(1-AR726/eco)^n),alpha*fck),0)</f>
      </c>
      <c r="AT726" s="30">
        <f>PM_Angle!$J$25+PM_Angle!$K$25*$C726+PM_Angle!$L$25*$B726</f>
      </c>
      <c r="AU726" s="12">
        <f>IF(AT726&gt;0,IF(AT726&lt;=eco,alpha*fck*(1-(1-AT726/eco)^n),alpha*fck),0)</f>
      </c>
    </row>
    <row r="727" spans="1:47" x14ac:dyDescent="0.25">
      <c r="A727">
        <f>Mesh!A724</f>
      </c>
      <c r="B727" s="12">
        <f>Mesh!B724</f>
      </c>
      <c r="C727" s="12">
        <f>Mesh!C724</f>
      </c>
      <c r="D727" s="12">
        <f>Mesh!D724</f>
      </c>
      <c r="E727" s="30">
        <f>INDEX(St_e0,Det+1)+INDEX(St_kx,Det+1)*C727+INDEX(St_ky,Det+1)*B727</f>
      </c>
      <c r="F727" s="12">
        <f>IF(E727&gt;0,IF(E727&lt;=eco,alpha*fck*(1-(1-E727/eco)^n),alpha*fck),0)</f>
      </c>
      <c r="G727" s="11">
        <f>F727*D727</f>
      </c>
      <c r="H727" s="11">
        <f>G727*C727</f>
      </c>
      <c r="I727" s="11">
        <f>G727*B727</f>
      </c>
      <c r="J727" s="30">
        <f>PM_Angle!$J$7+PM_Angle!$K$7*$C727+PM_Angle!$L$7*$B727</f>
      </c>
      <c r="K727" s="12">
        <f>IF(J727&gt;0,IF(J727&lt;=eco,alpha*fck*(1-(1-J727/eco)^n),alpha*fck),0)</f>
      </c>
      <c r="L727" s="30">
        <f>PM_Angle!$J$8+PM_Angle!$K$8*$C727+PM_Angle!$L$8*$B727</f>
      </c>
      <c r="M727" s="12">
        <f>IF(L727&gt;0,IF(L727&lt;=eco,alpha*fck*(1-(1-L727/eco)^n),alpha*fck),0)</f>
      </c>
      <c r="N727" s="30">
        <f>PM_Angle!$J$9+PM_Angle!$K$9*$C727+PM_Angle!$L$9*$B727</f>
      </c>
      <c r="O727" s="12">
        <f>IF(N727&gt;0,IF(N727&lt;=eco,alpha*fck*(1-(1-N727/eco)^n),alpha*fck),0)</f>
      </c>
      <c r="P727" s="30">
        <f>PM_Angle!$J$10+PM_Angle!$K$10*$C727+PM_Angle!$L$10*$B727</f>
      </c>
      <c r="Q727" s="12">
        <f>IF(P727&gt;0,IF(P727&lt;=eco,alpha*fck*(1-(1-P727/eco)^n),alpha*fck),0)</f>
      </c>
      <c r="R727" s="30">
        <f>PM_Angle!$J$11+PM_Angle!$K$11*$C727+PM_Angle!$L$11*$B727</f>
      </c>
      <c r="S727" s="12">
        <f>IF(R727&gt;0,IF(R727&lt;=eco,alpha*fck*(1-(1-R727/eco)^n),alpha*fck),0)</f>
      </c>
      <c r="T727" s="30">
        <f>PM_Angle!$J$12+PM_Angle!$K$12*$C727+PM_Angle!$L$12*$B727</f>
      </c>
      <c r="U727" s="12">
        <f>IF(T727&gt;0,IF(T727&lt;=eco,alpha*fck*(1-(1-T727/eco)^n),alpha*fck),0)</f>
      </c>
      <c r="V727" s="30">
        <f>PM_Angle!$J$13+PM_Angle!$K$13*$C727+PM_Angle!$L$13*$B727</f>
      </c>
      <c r="W727" s="12">
        <f>IF(V727&gt;0,IF(V727&lt;=eco,alpha*fck*(1-(1-V727/eco)^n),alpha*fck),0)</f>
      </c>
      <c r="X727" s="30">
        <f>PM_Angle!$J$14+PM_Angle!$K$14*$C727+PM_Angle!$L$14*$B727</f>
      </c>
      <c r="Y727" s="12">
        <f>IF(X727&gt;0,IF(X727&lt;=eco,alpha*fck*(1-(1-X727/eco)^n),alpha*fck),0)</f>
      </c>
      <c r="Z727" s="30">
        <f>PM_Angle!$J$15+PM_Angle!$K$15*$C727+PM_Angle!$L$15*$B727</f>
      </c>
      <c r="AA727" s="12">
        <f>IF(Z727&gt;0,IF(Z727&lt;=eco,alpha*fck*(1-(1-Z727/eco)^n),alpha*fck),0)</f>
      </c>
      <c r="AB727" s="30">
        <f>PM_Angle!$J$16+PM_Angle!$K$16*$C727+PM_Angle!$L$16*$B727</f>
      </c>
      <c r="AC727" s="12">
        <f>IF(AB727&gt;0,IF(AB727&lt;=eco,alpha*fck*(1-(1-AB727/eco)^n),alpha*fck),0)</f>
      </c>
      <c r="AD727" s="30">
        <f>PM_Angle!$J$17+PM_Angle!$K$17*$C727+PM_Angle!$L$17*$B727</f>
      </c>
      <c r="AE727" s="12">
        <f>IF(AD727&gt;0,IF(AD727&lt;=eco,alpha*fck*(1-(1-AD727/eco)^n),alpha*fck),0)</f>
      </c>
      <c r="AF727" s="30">
        <f>PM_Angle!$J$18+PM_Angle!$K$18*$C727+PM_Angle!$L$18*$B727</f>
      </c>
      <c r="AG727" s="12">
        <f>IF(AF727&gt;0,IF(AF727&lt;=eco,alpha*fck*(1-(1-AF727/eco)^n),alpha*fck),0)</f>
      </c>
      <c r="AH727" s="30">
        <f>PM_Angle!$J$19+PM_Angle!$K$19*$C727+PM_Angle!$L$19*$B727</f>
      </c>
      <c r="AI727" s="12">
        <f>IF(AH727&gt;0,IF(AH727&lt;=eco,alpha*fck*(1-(1-AH727/eco)^n),alpha*fck),0)</f>
      </c>
      <c r="AJ727" s="30">
        <f>PM_Angle!$J$20+PM_Angle!$K$20*$C727+PM_Angle!$L$20*$B727</f>
      </c>
      <c r="AK727" s="12">
        <f>IF(AJ727&gt;0,IF(AJ727&lt;=eco,alpha*fck*(1-(1-AJ727/eco)^n),alpha*fck),0)</f>
      </c>
      <c r="AL727" s="30">
        <f>PM_Angle!$J$21+PM_Angle!$K$21*$C727+PM_Angle!$L$21*$B727</f>
      </c>
      <c r="AM727" s="12">
        <f>IF(AL727&gt;0,IF(AL727&lt;=eco,alpha*fck*(1-(1-AL727/eco)^n),alpha*fck),0)</f>
      </c>
      <c r="AN727" s="30">
        <f>PM_Angle!$J$22+PM_Angle!$K$22*$C727+PM_Angle!$L$22*$B727</f>
      </c>
      <c r="AO727" s="12">
        <f>IF(AN727&gt;0,IF(AN727&lt;=eco,alpha*fck*(1-(1-AN727/eco)^n),alpha*fck),0)</f>
      </c>
      <c r="AP727" s="30">
        <f>PM_Angle!$J$23+PM_Angle!$K$23*$C727+PM_Angle!$L$23*$B727</f>
      </c>
      <c r="AQ727" s="12">
        <f>IF(AP727&gt;0,IF(AP727&lt;=eco,alpha*fck*(1-(1-AP727/eco)^n),alpha*fck),0)</f>
      </c>
      <c r="AR727" s="30">
        <f>PM_Angle!$J$24+PM_Angle!$K$24*$C727+PM_Angle!$L$24*$B727</f>
      </c>
      <c r="AS727" s="12">
        <f>IF(AR727&gt;0,IF(AR727&lt;=eco,alpha*fck*(1-(1-AR727/eco)^n),alpha*fck),0)</f>
      </c>
      <c r="AT727" s="30">
        <f>PM_Angle!$J$25+PM_Angle!$K$25*$C727+PM_Angle!$L$25*$B727</f>
      </c>
      <c r="AU727" s="12">
        <f>IF(AT727&gt;0,IF(AT727&lt;=eco,alpha*fck*(1-(1-AT727/eco)^n),alpha*fck),0)</f>
      </c>
    </row>
    <row r="728" spans="1:47" x14ac:dyDescent="0.25">
      <c r="A728">
        <f>Mesh!A725</f>
      </c>
      <c r="B728" s="12">
        <f>Mesh!B725</f>
      </c>
      <c r="C728" s="12">
        <f>Mesh!C725</f>
      </c>
      <c r="D728" s="12">
        <f>Mesh!D725</f>
      </c>
      <c r="E728" s="30">
        <f>INDEX(St_e0,Det+1)+INDEX(St_kx,Det+1)*C728+INDEX(St_ky,Det+1)*B728</f>
      </c>
      <c r="F728" s="12">
        <f>IF(E728&gt;0,IF(E728&lt;=eco,alpha*fck*(1-(1-E728/eco)^n),alpha*fck),0)</f>
      </c>
      <c r="G728" s="11">
        <f>F728*D728</f>
      </c>
      <c r="H728" s="11">
        <f>G728*C728</f>
      </c>
      <c r="I728" s="11">
        <f>G728*B728</f>
      </c>
      <c r="J728" s="30">
        <f>PM_Angle!$J$7+PM_Angle!$K$7*$C728+PM_Angle!$L$7*$B728</f>
      </c>
      <c r="K728" s="12">
        <f>IF(J728&gt;0,IF(J728&lt;=eco,alpha*fck*(1-(1-J728/eco)^n),alpha*fck),0)</f>
      </c>
      <c r="L728" s="30">
        <f>PM_Angle!$J$8+PM_Angle!$K$8*$C728+PM_Angle!$L$8*$B728</f>
      </c>
      <c r="M728" s="12">
        <f>IF(L728&gt;0,IF(L728&lt;=eco,alpha*fck*(1-(1-L728/eco)^n),alpha*fck),0)</f>
      </c>
      <c r="N728" s="30">
        <f>PM_Angle!$J$9+PM_Angle!$K$9*$C728+PM_Angle!$L$9*$B728</f>
      </c>
      <c r="O728" s="12">
        <f>IF(N728&gt;0,IF(N728&lt;=eco,alpha*fck*(1-(1-N728/eco)^n),alpha*fck),0)</f>
      </c>
      <c r="P728" s="30">
        <f>PM_Angle!$J$10+PM_Angle!$K$10*$C728+PM_Angle!$L$10*$B728</f>
      </c>
      <c r="Q728" s="12">
        <f>IF(P728&gt;0,IF(P728&lt;=eco,alpha*fck*(1-(1-P728/eco)^n),alpha*fck),0)</f>
      </c>
      <c r="R728" s="30">
        <f>PM_Angle!$J$11+PM_Angle!$K$11*$C728+PM_Angle!$L$11*$B728</f>
      </c>
      <c r="S728" s="12">
        <f>IF(R728&gt;0,IF(R728&lt;=eco,alpha*fck*(1-(1-R728/eco)^n),alpha*fck),0)</f>
      </c>
      <c r="T728" s="30">
        <f>PM_Angle!$J$12+PM_Angle!$K$12*$C728+PM_Angle!$L$12*$B728</f>
      </c>
      <c r="U728" s="12">
        <f>IF(T728&gt;0,IF(T728&lt;=eco,alpha*fck*(1-(1-T728/eco)^n),alpha*fck),0)</f>
      </c>
      <c r="V728" s="30">
        <f>PM_Angle!$J$13+PM_Angle!$K$13*$C728+PM_Angle!$L$13*$B728</f>
      </c>
      <c r="W728" s="12">
        <f>IF(V728&gt;0,IF(V728&lt;=eco,alpha*fck*(1-(1-V728/eco)^n),alpha*fck),0)</f>
      </c>
      <c r="X728" s="30">
        <f>PM_Angle!$J$14+PM_Angle!$K$14*$C728+PM_Angle!$L$14*$B728</f>
      </c>
      <c r="Y728" s="12">
        <f>IF(X728&gt;0,IF(X728&lt;=eco,alpha*fck*(1-(1-X728/eco)^n),alpha*fck),0)</f>
      </c>
      <c r="Z728" s="30">
        <f>PM_Angle!$J$15+PM_Angle!$K$15*$C728+PM_Angle!$L$15*$B728</f>
      </c>
      <c r="AA728" s="12">
        <f>IF(Z728&gt;0,IF(Z728&lt;=eco,alpha*fck*(1-(1-Z728/eco)^n),alpha*fck),0)</f>
      </c>
      <c r="AB728" s="30">
        <f>PM_Angle!$J$16+PM_Angle!$K$16*$C728+PM_Angle!$L$16*$B728</f>
      </c>
      <c r="AC728" s="12">
        <f>IF(AB728&gt;0,IF(AB728&lt;=eco,alpha*fck*(1-(1-AB728/eco)^n),alpha*fck),0)</f>
      </c>
      <c r="AD728" s="30">
        <f>PM_Angle!$J$17+PM_Angle!$K$17*$C728+PM_Angle!$L$17*$B728</f>
      </c>
      <c r="AE728" s="12">
        <f>IF(AD728&gt;0,IF(AD728&lt;=eco,alpha*fck*(1-(1-AD728/eco)^n),alpha*fck),0)</f>
      </c>
      <c r="AF728" s="30">
        <f>PM_Angle!$J$18+PM_Angle!$K$18*$C728+PM_Angle!$L$18*$B728</f>
      </c>
      <c r="AG728" s="12">
        <f>IF(AF728&gt;0,IF(AF728&lt;=eco,alpha*fck*(1-(1-AF728/eco)^n),alpha*fck),0)</f>
      </c>
      <c r="AH728" s="30">
        <f>PM_Angle!$J$19+PM_Angle!$K$19*$C728+PM_Angle!$L$19*$B728</f>
      </c>
      <c r="AI728" s="12">
        <f>IF(AH728&gt;0,IF(AH728&lt;=eco,alpha*fck*(1-(1-AH728/eco)^n),alpha*fck),0)</f>
      </c>
      <c r="AJ728" s="30">
        <f>PM_Angle!$J$20+PM_Angle!$K$20*$C728+PM_Angle!$L$20*$B728</f>
      </c>
      <c r="AK728" s="12">
        <f>IF(AJ728&gt;0,IF(AJ728&lt;=eco,alpha*fck*(1-(1-AJ728/eco)^n),alpha*fck),0)</f>
      </c>
      <c r="AL728" s="30">
        <f>PM_Angle!$J$21+PM_Angle!$K$21*$C728+PM_Angle!$L$21*$B728</f>
      </c>
      <c r="AM728" s="12">
        <f>IF(AL728&gt;0,IF(AL728&lt;=eco,alpha*fck*(1-(1-AL728/eco)^n),alpha*fck),0)</f>
      </c>
      <c r="AN728" s="30">
        <f>PM_Angle!$J$22+PM_Angle!$K$22*$C728+PM_Angle!$L$22*$B728</f>
      </c>
      <c r="AO728" s="12">
        <f>IF(AN728&gt;0,IF(AN728&lt;=eco,alpha*fck*(1-(1-AN728/eco)^n),alpha*fck),0)</f>
      </c>
      <c r="AP728" s="30">
        <f>PM_Angle!$J$23+PM_Angle!$K$23*$C728+PM_Angle!$L$23*$B728</f>
      </c>
      <c r="AQ728" s="12">
        <f>IF(AP728&gt;0,IF(AP728&lt;=eco,alpha*fck*(1-(1-AP728/eco)^n),alpha*fck),0)</f>
      </c>
      <c r="AR728" s="30">
        <f>PM_Angle!$J$24+PM_Angle!$K$24*$C728+PM_Angle!$L$24*$B728</f>
      </c>
      <c r="AS728" s="12">
        <f>IF(AR728&gt;0,IF(AR728&lt;=eco,alpha*fck*(1-(1-AR728/eco)^n),alpha*fck),0)</f>
      </c>
      <c r="AT728" s="30">
        <f>PM_Angle!$J$25+PM_Angle!$K$25*$C728+PM_Angle!$L$25*$B728</f>
      </c>
      <c r="AU728" s="12">
        <f>IF(AT728&gt;0,IF(AT728&lt;=eco,alpha*fck*(1-(1-AT728/eco)^n),alpha*fck),0)</f>
      </c>
    </row>
    <row r="729" spans="1:47" x14ac:dyDescent="0.25">
      <c r="A729">
        <f>Mesh!A726</f>
      </c>
      <c r="B729" s="12">
        <f>Mesh!B726</f>
      </c>
      <c r="C729" s="12">
        <f>Mesh!C726</f>
      </c>
      <c r="D729" s="12">
        <f>Mesh!D726</f>
      </c>
      <c r="E729" s="30">
        <f>INDEX(St_e0,Det+1)+INDEX(St_kx,Det+1)*C729+INDEX(St_ky,Det+1)*B729</f>
      </c>
      <c r="F729" s="12">
        <f>IF(E729&gt;0,IF(E729&lt;=eco,alpha*fck*(1-(1-E729/eco)^n),alpha*fck),0)</f>
      </c>
      <c r="G729" s="11">
        <f>F729*D729</f>
      </c>
      <c r="H729" s="11">
        <f>G729*C729</f>
      </c>
      <c r="I729" s="11">
        <f>G729*B729</f>
      </c>
      <c r="J729" s="30">
        <f>PM_Angle!$J$7+PM_Angle!$K$7*$C729+PM_Angle!$L$7*$B729</f>
      </c>
      <c r="K729" s="12">
        <f>IF(J729&gt;0,IF(J729&lt;=eco,alpha*fck*(1-(1-J729/eco)^n),alpha*fck),0)</f>
      </c>
      <c r="L729" s="30">
        <f>PM_Angle!$J$8+PM_Angle!$K$8*$C729+PM_Angle!$L$8*$B729</f>
      </c>
      <c r="M729" s="12">
        <f>IF(L729&gt;0,IF(L729&lt;=eco,alpha*fck*(1-(1-L729/eco)^n),alpha*fck),0)</f>
      </c>
      <c r="N729" s="30">
        <f>PM_Angle!$J$9+PM_Angle!$K$9*$C729+PM_Angle!$L$9*$B729</f>
      </c>
      <c r="O729" s="12">
        <f>IF(N729&gt;0,IF(N729&lt;=eco,alpha*fck*(1-(1-N729/eco)^n),alpha*fck),0)</f>
      </c>
      <c r="P729" s="30">
        <f>PM_Angle!$J$10+PM_Angle!$K$10*$C729+PM_Angle!$L$10*$B729</f>
      </c>
      <c r="Q729" s="12">
        <f>IF(P729&gt;0,IF(P729&lt;=eco,alpha*fck*(1-(1-P729/eco)^n),alpha*fck),0)</f>
      </c>
      <c r="R729" s="30">
        <f>PM_Angle!$J$11+PM_Angle!$K$11*$C729+PM_Angle!$L$11*$B729</f>
      </c>
      <c r="S729" s="12">
        <f>IF(R729&gt;0,IF(R729&lt;=eco,alpha*fck*(1-(1-R729/eco)^n),alpha*fck),0)</f>
      </c>
      <c r="T729" s="30">
        <f>PM_Angle!$J$12+PM_Angle!$K$12*$C729+PM_Angle!$L$12*$B729</f>
      </c>
      <c r="U729" s="12">
        <f>IF(T729&gt;0,IF(T729&lt;=eco,alpha*fck*(1-(1-T729/eco)^n),alpha*fck),0)</f>
      </c>
      <c r="V729" s="30">
        <f>PM_Angle!$J$13+PM_Angle!$K$13*$C729+PM_Angle!$L$13*$B729</f>
      </c>
      <c r="W729" s="12">
        <f>IF(V729&gt;0,IF(V729&lt;=eco,alpha*fck*(1-(1-V729/eco)^n),alpha*fck),0)</f>
      </c>
      <c r="X729" s="30">
        <f>PM_Angle!$J$14+PM_Angle!$K$14*$C729+PM_Angle!$L$14*$B729</f>
      </c>
      <c r="Y729" s="12">
        <f>IF(X729&gt;0,IF(X729&lt;=eco,alpha*fck*(1-(1-X729/eco)^n),alpha*fck),0)</f>
      </c>
      <c r="Z729" s="30">
        <f>PM_Angle!$J$15+PM_Angle!$K$15*$C729+PM_Angle!$L$15*$B729</f>
      </c>
      <c r="AA729" s="12">
        <f>IF(Z729&gt;0,IF(Z729&lt;=eco,alpha*fck*(1-(1-Z729/eco)^n),alpha*fck),0)</f>
      </c>
      <c r="AB729" s="30">
        <f>PM_Angle!$J$16+PM_Angle!$K$16*$C729+PM_Angle!$L$16*$B729</f>
      </c>
      <c r="AC729" s="12">
        <f>IF(AB729&gt;0,IF(AB729&lt;=eco,alpha*fck*(1-(1-AB729/eco)^n),alpha*fck),0)</f>
      </c>
      <c r="AD729" s="30">
        <f>PM_Angle!$J$17+PM_Angle!$K$17*$C729+PM_Angle!$L$17*$B729</f>
      </c>
      <c r="AE729" s="12">
        <f>IF(AD729&gt;0,IF(AD729&lt;=eco,alpha*fck*(1-(1-AD729/eco)^n),alpha*fck),0)</f>
      </c>
      <c r="AF729" s="30">
        <f>PM_Angle!$J$18+PM_Angle!$K$18*$C729+PM_Angle!$L$18*$B729</f>
      </c>
      <c r="AG729" s="12">
        <f>IF(AF729&gt;0,IF(AF729&lt;=eco,alpha*fck*(1-(1-AF729/eco)^n),alpha*fck),0)</f>
      </c>
      <c r="AH729" s="30">
        <f>PM_Angle!$J$19+PM_Angle!$K$19*$C729+PM_Angle!$L$19*$B729</f>
      </c>
      <c r="AI729" s="12">
        <f>IF(AH729&gt;0,IF(AH729&lt;=eco,alpha*fck*(1-(1-AH729/eco)^n),alpha*fck),0)</f>
      </c>
      <c r="AJ729" s="30">
        <f>PM_Angle!$J$20+PM_Angle!$K$20*$C729+PM_Angle!$L$20*$B729</f>
      </c>
      <c r="AK729" s="12">
        <f>IF(AJ729&gt;0,IF(AJ729&lt;=eco,alpha*fck*(1-(1-AJ729/eco)^n),alpha*fck),0)</f>
      </c>
      <c r="AL729" s="30">
        <f>PM_Angle!$J$21+PM_Angle!$K$21*$C729+PM_Angle!$L$21*$B729</f>
      </c>
      <c r="AM729" s="12">
        <f>IF(AL729&gt;0,IF(AL729&lt;=eco,alpha*fck*(1-(1-AL729/eco)^n),alpha*fck),0)</f>
      </c>
      <c r="AN729" s="30">
        <f>PM_Angle!$J$22+PM_Angle!$K$22*$C729+PM_Angle!$L$22*$B729</f>
      </c>
      <c r="AO729" s="12">
        <f>IF(AN729&gt;0,IF(AN729&lt;=eco,alpha*fck*(1-(1-AN729/eco)^n),alpha*fck),0)</f>
      </c>
      <c r="AP729" s="30">
        <f>PM_Angle!$J$23+PM_Angle!$K$23*$C729+PM_Angle!$L$23*$B729</f>
      </c>
      <c r="AQ729" s="12">
        <f>IF(AP729&gt;0,IF(AP729&lt;=eco,alpha*fck*(1-(1-AP729/eco)^n),alpha*fck),0)</f>
      </c>
      <c r="AR729" s="30">
        <f>PM_Angle!$J$24+PM_Angle!$K$24*$C729+PM_Angle!$L$24*$B729</f>
      </c>
      <c r="AS729" s="12">
        <f>IF(AR729&gt;0,IF(AR729&lt;=eco,alpha*fck*(1-(1-AR729/eco)^n),alpha*fck),0)</f>
      </c>
      <c r="AT729" s="30">
        <f>PM_Angle!$J$25+PM_Angle!$K$25*$C729+PM_Angle!$L$25*$B729</f>
      </c>
      <c r="AU729" s="12">
        <f>IF(AT729&gt;0,IF(AT729&lt;=eco,alpha*fck*(1-(1-AT729/eco)^n),alpha*fck),0)</f>
      </c>
    </row>
    <row r="730" spans="1:47" x14ac:dyDescent="0.25">
      <c r="A730">
        <f>Mesh!A727</f>
      </c>
      <c r="B730" s="12">
        <f>Mesh!B727</f>
      </c>
      <c r="C730" s="12">
        <f>Mesh!C727</f>
      </c>
      <c r="D730" s="12">
        <f>Mesh!D727</f>
      </c>
      <c r="E730" s="30">
        <f>INDEX(St_e0,Det+1)+INDEX(St_kx,Det+1)*C730+INDEX(St_ky,Det+1)*B730</f>
      </c>
      <c r="F730" s="12">
        <f>IF(E730&gt;0,IF(E730&lt;=eco,alpha*fck*(1-(1-E730/eco)^n),alpha*fck),0)</f>
      </c>
      <c r="G730" s="11">
        <f>F730*D730</f>
      </c>
      <c r="H730" s="11">
        <f>G730*C730</f>
      </c>
      <c r="I730" s="11">
        <f>G730*B730</f>
      </c>
      <c r="J730" s="30">
        <f>PM_Angle!$J$7+PM_Angle!$K$7*$C730+PM_Angle!$L$7*$B730</f>
      </c>
      <c r="K730" s="12">
        <f>IF(J730&gt;0,IF(J730&lt;=eco,alpha*fck*(1-(1-J730/eco)^n),alpha*fck),0)</f>
      </c>
      <c r="L730" s="30">
        <f>PM_Angle!$J$8+PM_Angle!$K$8*$C730+PM_Angle!$L$8*$B730</f>
      </c>
      <c r="M730" s="12">
        <f>IF(L730&gt;0,IF(L730&lt;=eco,alpha*fck*(1-(1-L730/eco)^n),alpha*fck),0)</f>
      </c>
      <c r="N730" s="30">
        <f>PM_Angle!$J$9+PM_Angle!$K$9*$C730+PM_Angle!$L$9*$B730</f>
      </c>
      <c r="O730" s="12">
        <f>IF(N730&gt;0,IF(N730&lt;=eco,alpha*fck*(1-(1-N730/eco)^n),alpha*fck),0)</f>
      </c>
      <c r="P730" s="30">
        <f>PM_Angle!$J$10+PM_Angle!$K$10*$C730+PM_Angle!$L$10*$B730</f>
      </c>
      <c r="Q730" s="12">
        <f>IF(P730&gt;0,IF(P730&lt;=eco,alpha*fck*(1-(1-P730/eco)^n),alpha*fck),0)</f>
      </c>
      <c r="R730" s="30">
        <f>PM_Angle!$J$11+PM_Angle!$K$11*$C730+PM_Angle!$L$11*$B730</f>
      </c>
      <c r="S730" s="12">
        <f>IF(R730&gt;0,IF(R730&lt;=eco,alpha*fck*(1-(1-R730/eco)^n),alpha*fck),0)</f>
      </c>
      <c r="T730" s="30">
        <f>PM_Angle!$J$12+PM_Angle!$K$12*$C730+PM_Angle!$L$12*$B730</f>
      </c>
      <c r="U730" s="12">
        <f>IF(T730&gt;0,IF(T730&lt;=eco,alpha*fck*(1-(1-T730/eco)^n),alpha*fck),0)</f>
      </c>
      <c r="V730" s="30">
        <f>PM_Angle!$J$13+PM_Angle!$K$13*$C730+PM_Angle!$L$13*$B730</f>
      </c>
      <c r="W730" s="12">
        <f>IF(V730&gt;0,IF(V730&lt;=eco,alpha*fck*(1-(1-V730/eco)^n),alpha*fck),0)</f>
      </c>
      <c r="X730" s="30">
        <f>PM_Angle!$J$14+PM_Angle!$K$14*$C730+PM_Angle!$L$14*$B730</f>
      </c>
      <c r="Y730" s="12">
        <f>IF(X730&gt;0,IF(X730&lt;=eco,alpha*fck*(1-(1-X730/eco)^n),alpha*fck),0)</f>
      </c>
      <c r="Z730" s="30">
        <f>PM_Angle!$J$15+PM_Angle!$K$15*$C730+PM_Angle!$L$15*$B730</f>
      </c>
      <c r="AA730" s="12">
        <f>IF(Z730&gt;0,IF(Z730&lt;=eco,alpha*fck*(1-(1-Z730/eco)^n),alpha*fck),0)</f>
      </c>
      <c r="AB730" s="30">
        <f>PM_Angle!$J$16+PM_Angle!$K$16*$C730+PM_Angle!$L$16*$B730</f>
      </c>
      <c r="AC730" s="12">
        <f>IF(AB730&gt;0,IF(AB730&lt;=eco,alpha*fck*(1-(1-AB730/eco)^n),alpha*fck),0)</f>
      </c>
      <c r="AD730" s="30">
        <f>PM_Angle!$J$17+PM_Angle!$K$17*$C730+PM_Angle!$L$17*$B730</f>
      </c>
      <c r="AE730" s="12">
        <f>IF(AD730&gt;0,IF(AD730&lt;=eco,alpha*fck*(1-(1-AD730/eco)^n),alpha*fck),0)</f>
      </c>
      <c r="AF730" s="30">
        <f>PM_Angle!$J$18+PM_Angle!$K$18*$C730+PM_Angle!$L$18*$B730</f>
      </c>
      <c r="AG730" s="12">
        <f>IF(AF730&gt;0,IF(AF730&lt;=eco,alpha*fck*(1-(1-AF730/eco)^n),alpha*fck),0)</f>
      </c>
      <c r="AH730" s="30">
        <f>PM_Angle!$J$19+PM_Angle!$K$19*$C730+PM_Angle!$L$19*$B730</f>
      </c>
      <c r="AI730" s="12">
        <f>IF(AH730&gt;0,IF(AH730&lt;=eco,alpha*fck*(1-(1-AH730/eco)^n),alpha*fck),0)</f>
      </c>
      <c r="AJ730" s="30">
        <f>PM_Angle!$J$20+PM_Angle!$K$20*$C730+PM_Angle!$L$20*$B730</f>
      </c>
      <c r="AK730" s="12">
        <f>IF(AJ730&gt;0,IF(AJ730&lt;=eco,alpha*fck*(1-(1-AJ730/eco)^n),alpha*fck),0)</f>
      </c>
      <c r="AL730" s="30">
        <f>PM_Angle!$J$21+PM_Angle!$K$21*$C730+PM_Angle!$L$21*$B730</f>
      </c>
      <c r="AM730" s="12">
        <f>IF(AL730&gt;0,IF(AL730&lt;=eco,alpha*fck*(1-(1-AL730/eco)^n),alpha*fck),0)</f>
      </c>
      <c r="AN730" s="30">
        <f>PM_Angle!$J$22+PM_Angle!$K$22*$C730+PM_Angle!$L$22*$B730</f>
      </c>
      <c r="AO730" s="12">
        <f>IF(AN730&gt;0,IF(AN730&lt;=eco,alpha*fck*(1-(1-AN730/eco)^n),alpha*fck),0)</f>
      </c>
      <c r="AP730" s="30">
        <f>PM_Angle!$J$23+PM_Angle!$K$23*$C730+PM_Angle!$L$23*$B730</f>
      </c>
      <c r="AQ730" s="12">
        <f>IF(AP730&gt;0,IF(AP730&lt;=eco,alpha*fck*(1-(1-AP730/eco)^n),alpha*fck),0)</f>
      </c>
      <c r="AR730" s="30">
        <f>PM_Angle!$J$24+PM_Angle!$K$24*$C730+PM_Angle!$L$24*$B730</f>
      </c>
      <c r="AS730" s="12">
        <f>IF(AR730&gt;0,IF(AR730&lt;=eco,alpha*fck*(1-(1-AR730/eco)^n),alpha*fck),0)</f>
      </c>
      <c r="AT730" s="30">
        <f>PM_Angle!$J$25+PM_Angle!$K$25*$C730+PM_Angle!$L$25*$B730</f>
      </c>
      <c r="AU730" s="12">
        <f>IF(AT730&gt;0,IF(AT730&lt;=eco,alpha*fck*(1-(1-AT730/eco)^n),alpha*fck),0)</f>
      </c>
    </row>
    <row r="731" spans="1:47" x14ac:dyDescent="0.25">
      <c r="A731">
        <f>Mesh!A728</f>
      </c>
      <c r="B731" s="12">
        <f>Mesh!B728</f>
      </c>
      <c r="C731" s="12">
        <f>Mesh!C728</f>
      </c>
      <c r="D731" s="12">
        <f>Mesh!D728</f>
      </c>
      <c r="E731" s="30">
        <f>INDEX(St_e0,Det+1)+INDEX(St_kx,Det+1)*C731+INDEX(St_ky,Det+1)*B731</f>
      </c>
      <c r="F731" s="12">
        <f>IF(E731&gt;0,IF(E731&lt;=eco,alpha*fck*(1-(1-E731/eco)^n),alpha*fck),0)</f>
      </c>
      <c r="G731" s="11">
        <f>F731*D731</f>
      </c>
      <c r="H731" s="11">
        <f>G731*C731</f>
      </c>
      <c r="I731" s="11">
        <f>G731*B731</f>
      </c>
      <c r="J731" s="30">
        <f>PM_Angle!$J$7+PM_Angle!$K$7*$C731+PM_Angle!$L$7*$B731</f>
      </c>
      <c r="K731" s="12">
        <f>IF(J731&gt;0,IF(J731&lt;=eco,alpha*fck*(1-(1-J731/eco)^n),alpha*fck),0)</f>
      </c>
      <c r="L731" s="30">
        <f>PM_Angle!$J$8+PM_Angle!$K$8*$C731+PM_Angle!$L$8*$B731</f>
      </c>
      <c r="M731" s="12">
        <f>IF(L731&gt;0,IF(L731&lt;=eco,alpha*fck*(1-(1-L731/eco)^n),alpha*fck),0)</f>
      </c>
      <c r="N731" s="30">
        <f>PM_Angle!$J$9+PM_Angle!$K$9*$C731+PM_Angle!$L$9*$B731</f>
      </c>
      <c r="O731" s="12">
        <f>IF(N731&gt;0,IF(N731&lt;=eco,alpha*fck*(1-(1-N731/eco)^n),alpha*fck),0)</f>
      </c>
      <c r="P731" s="30">
        <f>PM_Angle!$J$10+PM_Angle!$K$10*$C731+PM_Angle!$L$10*$B731</f>
      </c>
      <c r="Q731" s="12">
        <f>IF(P731&gt;0,IF(P731&lt;=eco,alpha*fck*(1-(1-P731/eco)^n),alpha*fck),0)</f>
      </c>
      <c r="R731" s="30">
        <f>PM_Angle!$J$11+PM_Angle!$K$11*$C731+PM_Angle!$L$11*$B731</f>
      </c>
      <c r="S731" s="12">
        <f>IF(R731&gt;0,IF(R731&lt;=eco,alpha*fck*(1-(1-R731/eco)^n),alpha*fck),0)</f>
      </c>
      <c r="T731" s="30">
        <f>PM_Angle!$J$12+PM_Angle!$K$12*$C731+PM_Angle!$L$12*$B731</f>
      </c>
      <c r="U731" s="12">
        <f>IF(T731&gt;0,IF(T731&lt;=eco,alpha*fck*(1-(1-T731/eco)^n),alpha*fck),0)</f>
      </c>
      <c r="V731" s="30">
        <f>PM_Angle!$J$13+PM_Angle!$K$13*$C731+PM_Angle!$L$13*$B731</f>
      </c>
      <c r="W731" s="12">
        <f>IF(V731&gt;0,IF(V731&lt;=eco,alpha*fck*(1-(1-V731/eco)^n),alpha*fck),0)</f>
      </c>
      <c r="X731" s="30">
        <f>PM_Angle!$J$14+PM_Angle!$K$14*$C731+PM_Angle!$L$14*$B731</f>
      </c>
      <c r="Y731" s="12">
        <f>IF(X731&gt;0,IF(X731&lt;=eco,alpha*fck*(1-(1-X731/eco)^n),alpha*fck),0)</f>
      </c>
      <c r="Z731" s="30">
        <f>PM_Angle!$J$15+PM_Angle!$K$15*$C731+PM_Angle!$L$15*$B731</f>
      </c>
      <c r="AA731" s="12">
        <f>IF(Z731&gt;0,IF(Z731&lt;=eco,alpha*fck*(1-(1-Z731/eco)^n),alpha*fck),0)</f>
      </c>
      <c r="AB731" s="30">
        <f>PM_Angle!$J$16+PM_Angle!$K$16*$C731+PM_Angle!$L$16*$B731</f>
      </c>
      <c r="AC731" s="12">
        <f>IF(AB731&gt;0,IF(AB731&lt;=eco,alpha*fck*(1-(1-AB731/eco)^n),alpha*fck),0)</f>
      </c>
      <c r="AD731" s="30">
        <f>PM_Angle!$J$17+PM_Angle!$K$17*$C731+PM_Angle!$L$17*$B731</f>
      </c>
      <c r="AE731" s="12">
        <f>IF(AD731&gt;0,IF(AD731&lt;=eco,alpha*fck*(1-(1-AD731/eco)^n),alpha*fck),0)</f>
      </c>
      <c r="AF731" s="30">
        <f>PM_Angle!$J$18+PM_Angle!$K$18*$C731+PM_Angle!$L$18*$B731</f>
      </c>
      <c r="AG731" s="12">
        <f>IF(AF731&gt;0,IF(AF731&lt;=eco,alpha*fck*(1-(1-AF731/eco)^n),alpha*fck),0)</f>
      </c>
      <c r="AH731" s="30">
        <f>PM_Angle!$J$19+PM_Angle!$K$19*$C731+PM_Angle!$L$19*$B731</f>
      </c>
      <c r="AI731" s="12">
        <f>IF(AH731&gt;0,IF(AH731&lt;=eco,alpha*fck*(1-(1-AH731/eco)^n),alpha*fck),0)</f>
      </c>
      <c r="AJ731" s="30">
        <f>PM_Angle!$J$20+PM_Angle!$K$20*$C731+PM_Angle!$L$20*$B731</f>
      </c>
      <c r="AK731" s="12">
        <f>IF(AJ731&gt;0,IF(AJ731&lt;=eco,alpha*fck*(1-(1-AJ731/eco)^n),alpha*fck),0)</f>
      </c>
      <c r="AL731" s="30">
        <f>PM_Angle!$J$21+PM_Angle!$K$21*$C731+PM_Angle!$L$21*$B731</f>
      </c>
      <c r="AM731" s="12">
        <f>IF(AL731&gt;0,IF(AL731&lt;=eco,alpha*fck*(1-(1-AL731/eco)^n),alpha*fck),0)</f>
      </c>
      <c r="AN731" s="30">
        <f>PM_Angle!$J$22+PM_Angle!$K$22*$C731+PM_Angle!$L$22*$B731</f>
      </c>
      <c r="AO731" s="12">
        <f>IF(AN731&gt;0,IF(AN731&lt;=eco,alpha*fck*(1-(1-AN731/eco)^n),alpha*fck),0)</f>
      </c>
      <c r="AP731" s="30">
        <f>PM_Angle!$J$23+PM_Angle!$K$23*$C731+PM_Angle!$L$23*$B731</f>
      </c>
      <c r="AQ731" s="12">
        <f>IF(AP731&gt;0,IF(AP731&lt;=eco,alpha*fck*(1-(1-AP731/eco)^n),alpha*fck),0)</f>
      </c>
      <c r="AR731" s="30">
        <f>PM_Angle!$J$24+PM_Angle!$K$24*$C731+PM_Angle!$L$24*$B731</f>
      </c>
      <c r="AS731" s="12">
        <f>IF(AR731&gt;0,IF(AR731&lt;=eco,alpha*fck*(1-(1-AR731/eco)^n),alpha*fck),0)</f>
      </c>
      <c r="AT731" s="30">
        <f>PM_Angle!$J$25+PM_Angle!$K$25*$C731+PM_Angle!$L$25*$B731</f>
      </c>
      <c r="AU731" s="12">
        <f>IF(AT731&gt;0,IF(AT731&lt;=eco,alpha*fck*(1-(1-AT731/eco)^n),alpha*fck),0)</f>
      </c>
    </row>
    <row r="732" spans="1:47" x14ac:dyDescent="0.25">
      <c r="A732">
        <f>Mesh!A729</f>
      </c>
      <c r="B732" s="12">
        <f>Mesh!B729</f>
      </c>
      <c r="C732" s="12">
        <f>Mesh!C729</f>
      </c>
      <c r="D732" s="12">
        <f>Mesh!D729</f>
      </c>
      <c r="E732" s="30">
        <f>INDEX(St_e0,Det+1)+INDEX(St_kx,Det+1)*C732+INDEX(St_ky,Det+1)*B732</f>
      </c>
      <c r="F732" s="12">
        <f>IF(E732&gt;0,IF(E732&lt;=eco,alpha*fck*(1-(1-E732/eco)^n),alpha*fck),0)</f>
      </c>
      <c r="G732" s="11">
        <f>F732*D732</f>
      </c>
      <c r="H732" s="11">
        <f>G732*C732</f>
      </c>
      <c r="I732" s="11">
        <f>G732*B732</f>
      </c>
      <c r="J732" s="30">
        <f>PM_Angle!$J$7+PM_Angle!$K$7*$C732+PM_Angle!$L$7*$B732</f>
      </c>
      <c r="K732" s="12">
        <f>IF(J732&gt;0,IF(J732&lt;=eco,alpha*fck*(1-(1-J732/eco)^n),alpha*fck),0)</f>
      </c>
      <c r="L732" s="30">
        <f>PM_Angle!$J$8+PM_Angle!$K$8*$C732+PM_Angle!$L$8*$B732</f>
      </c>
      <c r="M732" s="12">
        <f>IF(L732&gt;0,IF(L732&lt;=eco,alpha*fck*(1-(1-L732/eco)^n),alpha*fck),0)</f>
      </c>
      <c r="N732" s="30">
        <f>PM_Angle!$J$9+PM_Angle!$K$9*$C732+PM_Angle!$L$9*$B732</f>
      </c>
      <c r="O732" s="12">
        <f>IF(N732&gt;0,IF(N732&lt;=eco,alpha*fck*(1-(1-N732/eco)^n),alpha*fck),0)</f>
      </c>
      <c r="P732" s="30">
        <f>PM_Angle!$J$10+PM_Angle!$K$10*$C732+PM_Angle!$L$10*$B732</f>
      </c>
      <c r="Q732" s="12">
        <f>IF(P732&gt;0,IF(P732&lt;=eco,alpha*fck*(1-(1-P732/eco)^n),alpha*fck),0)</f>
      </c>
      <c r="R732" s="30">
        <f>PM_Angle!$J$11+PM_Angle!$K$11*$C732+PM_Angle!$L$11*$B732</f>
      </c>
      <c r="S732" s="12">
        <f>IF(R732&gt;0,IF(R732&lt;=eco,alpha*fck*(1-(1-R732/eco)^n),alpha*fck),0)</f>
      </c>
      <c r="T732" s="30">
        <f>PM_Angle!$J$12+PM_Angle!$K$12*$C732+PM_Angle!$L$12*$B732</f>
      </c>
      <c r="U732" s="12">
        <f>IF(T732&gt;0,IF(T732&lt;=eco,alpha*fck*(1-(1-T732/eco)^n),alpha*fck),0)</f>
      </c>
      <c r="V732" s="30">
        <f>PM_Angle!$J$13+PM_Angle!$K$13*$C732+PM_Angle!$L$13*$B732</f>
      </c>
      <c r="W732" s="12">
        <f>IF(V732&gt;0,IF(V732&lt;=eco,alpha*fck*(1-(1-V732/eco)^n),alpha*fck),0)</f>
      </c>
      <c r="X732" s="30">
        <f>PM_Angle!$J$14+PM_Angle!$K$14*$C732+PM_Angle!$L$14*$B732</f>
      </c>
      <c r="Y732" s="12">
        <f>IF(X732&gt;0,IF(X732&lt;=eco,alpha*fck*(1-(1-X732/eco)^n),alpha*fck),0)</f>
      </c>
      <c r="Z732" s="30">
        <f>PM_Angle!$J$15+PM_Angle!$K$15*$C732+PM_Angle!$L$15*$B732</f>
      </c>
      <c r="AA732" s="12">
        <f>IF(Z732&gt;0,IF(Z732&lt;=eco,alpha*fck*(1-(1-Z732/eco)^n),alpha*fck),0)</f>
      </c>
      <c r="AB732" s="30">
        <f>PM_Angle!$J$16+PM_Angle!$K$16*$C732+PM_Angle!$L$16*$B732</f>
      </c>
      <c r="AC732" s="12">
        <f>IF(AB732&gt;0,IF(AB732&lt;=eco,alpha*fck*(1-(1-AB732/eco)^n),alpha*fck),0)</f>
      </c>
      <c r="AD732" s="30">
        <f>PM_Angle!$J$17+PM_Angle!$K$17*$C732+PM_Angle!$L$17*$B732</f>
      </c>
      <c r="AE732" s="12">
        <f>IF(AD732&gt;0,IF(AD732&lt;=eco,alpha*fck*(1-(1-AD732/eco)^n),alpha*fck),0)</f>
      </c>
      <c r="AF732" s="30">
        <f>PM_Angle!$J$18+PM_Angle!$K$18*$C732+PM_Angle!$L$18*$B732</f>
      </c>
      <c r="AG732" s="12">
        <f>IF(AF732&gt;0,IF(AF732&lt;=eco,alpha*fck*(1-(1-AF732/eco)^n),alpha*fck),0)</f>
      </c>
      <c r="AH732" s="30">
        <f>PM_Angle!$J$19+PM_Angle!$K$19*$C732+PM_Angle!$L$19*$B732</f>
      </c>
      <c r="AI732" s="12">
        <f>IF(AH732&gt;0,IF(AH732&lt;=eco,alpha*fck*(1-(1-AH732/eco)^n),alpha*fck),0)</f>
      </c>
      <c r="AJ732" s="30">
        <f>PM_Angle!$J$20+PM_Angle!$K$20*$C732+PM_Angle!$L$20*$B732</f>
      </c>
      <c r="AK732" s="12">
        <f>IF(AJ732&gt;0,IF(AJ732&lt;=eco,alpha*fck*(1-(1-AJ732/eco)^n),alpha*fck),0)</f>
      </c>
      <c r="AL732" s="30">
        <f>PM_Angle!$J$21+PM_Angle!$K$21*$C732+PM_Angle!$L$21*$B732</f>
      </c>
      <c r="AM732" s="12">
        <f>IF(AL732&gt;0,IF(AL732&lt;=eco,alpha*fck*(1-(1-AL732/eco)^n),alpha*fck),0)</f>
      </c>
      <c r="AN732" s="30">
        <f>PM_Angle!$J$22+PM_Angle!$K$22*$C732+PM_Angle!$L$22*$B732</f>
      </c>
      <c r="AO732" s="12">
        <f>IF(AN732&gt;0,IF(AN732&lt;=eco,alpha*fck*(1-(1-AN732/eco)^n),alpha*fck),0)</f>
      </c>
      <c r="AP732" s="30">
        <f>PM_Angle!$J$23+PM_Angle!$K$23*$C732+PM_Angle!$L$23*$B732</f>
      </c>
      <c r="AQ732" s="12">
        <f>IF(AP732&gt;0,IF(AP732&lt;=eco,alpha*fck*(1-(1-AP732/eco)^n),alpha*fck),0)</f>
      </c>
      <c r="AR732" s="30">
        <f>PM_Angle!$J$24+PM_Angle!$K$24*$C732+PM_Angle!$L$24*$B732</f>
      </c>
      <c r="AS732" s="12">
        <f>IF(AR732&gt;0,IF(AR732&lt;=eco,alpha*fck*(1-(1-AR732/eco)^n),alpha*fck),0)</f>
      </c>
      <c r="AT732" s="30">
        <f>PM_Angle!$J$25+PM_Angle!$K$25*$C732+PM_Angle!$L$25*$B732</f>
      </c>
      <c r="AU732" s="12">
        <f>IF(AT732&gt;0,IF(AT732&lt;=eco,alpha*fck*(1-(1-AT732/eco)^n),alpha*fck),0)</f>
      </c>
    </row>
    <row r="733" spans="1:47" x14ac:dyDescent="0.25">
      <c r="A733">
        <f>Mesh!A730</f>
      </c>
      <c r="B733" s="12">
        <f>Mesh!B730</f>
      </c>
      <c r="C733" s="12">
        <f>Mesh!C730</f>
      </c>
      <c r="D733" s="12">
        <f>Mesh!D730</f>
      </c>
      <c r="E733" s="30">
        <f>INDEX(St_e0,Det+1)+INDEX(St_kx,Det+1)*C733+INDEX(St_ky,Det+1)*B733</f>
      </c>
      <c r="F733" s="12">
        <f>IF(E733&gt;0,IF(E733&lt;=eco,alpha*fck*(1-(1-E733/eco)^n),alpha*fck),0)</f>
      </c>
      <c r="G733" s="11">
        <f>F733*D733</f>
      </c>
      <c r="H733" s="11">
        <f>G733*C733</f>
      </c>
      <c r="I733" s="11">
        <f>G733*B733</f>
      </c>
      <c r="J733" s="30">
        <f>PM_Angle!$J$7+PM_Angle!$K$7*$C733+PM_Angle!$L$7*$B733</f>
      </c>
      <c r="K733" s="12">
        <f>IF(J733&gt;0,IF(J733&lt;=eco,alpha*fck*(1-(1-J733/eco)^n),alpha*fck),0)</f>
      </c>
      <c r="L733" s="30">
        <f>PM_Angle!$J$8+PM_Angle!$K$8*$C733+PM_Angle!$L$8*$B733</f>
      </c>
      <c r="M733" s="12">
        <f>IF(L733&gt;0,IF(L733&lt;=eco,alpha*fck*(1-(1-L733/eco)^n),alpha*fck),0)</f>
      </c>
      <c r="N733" s="30">
        <f>PM_Angle!$J$9+PM_Angle!$K$9*$C733+PM_Angle!$L$9*$B733</f>
      </c>
      <c r="O733" s="12">
        <f>IF(N733&gt;0,IF(N733&lt;=eco,alpha*fck*(1-(1-N733/eco)^n),alpha*fck),0)</f>
      </c>
      <c r="P733" s="30">
        <f>PM_Angle!$J$10+PM_Angle!$K$10*$C733+PM_Angle!$L$10*$B733</f>
      </c>
      <c r="Q733" s="12">
        <f>IF(P733&gt;0,IF(P733&lt;=eco,alpha*fck*(1-(1-P733/eco)^n),alpha*fck),0)</f>
      </c>
      <c r="R733" s="30">
        <f>PM_Angle!$J$11+PM_Angle!$K$11*$C733+PM_Angle!$L$11*$B733</f>
      </c>
      <c r="S733" s="12">
        <f>IF(R733&gt;0,IF(R733&lt;=eco,alpha*fck*(1-(1-R733/eco)^n),alpha*fck),0)</f>
      </c>
      <c r="T733" s="30">
        <f>PM_Angle!$J$12+PM_Angle!$K$12*$C733+PM_Angle!$L$12*$B733</f>
      </c>
      <c r="U733" s="12">
        <f>IF(T733&gt;0,IF(T733&lt;=eco,alpha*fck*(1-(1-T733/eco)^n),alpha*fck),0)</f>
      </c>
      <c r="V733" s="30">
        <f>PM_Angle!$J$13+PM_Angle!$K$13*$C733+PM_Angle!$L$13*$B733</f>
      </c>
      <c r="W733" s="12">
        <f>IF(V733&gt;0,IF(V733&lt;=eco,alpha*fck*(1-(1-V733/eco)^n),alpha*fck),0)</f>
      </c>
      <c r="X733" s="30">
        <f>PM_Angle!$J$14+PM_Angle!$K$14*$C733+PM_Angle!$L$14*$B733</f>
      </c>
      <c r="Y733" s="12">
        <f>IF(X733&gt;0,IF(X733&lt;=eco,alpha*fck*(1-(1-X733/eco)^n),alpha*fck),0)</f>
      </c>
      <c r="Z733" s="30">
        <f>PM_Angle!$J$15+PM_Angle!$K$15*$C733+PM_Angle!$L$15*$B733</f>
      </c>
      <c r="AA733" s="12">
        <f>IF(Z733&gt;0,IF(Z733&lt;=eco,alpha*fck*(1-(1-Z733/eco)^n),alpha*fck),0)</f>
      </c>
      <c r="AB733" s="30">
        <f>PM_Angle!$J$16+PM_Angle!$K$16*$C733+PM_Angle!$L$16*$B733</f>
      </c>
      <c r="AC733" s="12">
        <f>IF(AB733&gt;0,IF(AB733&lt;=eco,alpha*fck*(1-(1-AB733/eco)^n),alpha*fck),0)</f>
      </c>
      <c r="AD733" s="30">
        <f>PM_Angle!$J$17+PM_Angle!$K$17*$C733+PM_Angle!$L$17*$B733</f>
      </c>
      <c r="AE733" s="12">
        <f>IF(AD733&gt;0,IF(AD733&lt;=eco,alpha*fck*(1-(1-AD733/eco)^n),alpha*fck),0)</f>
      </c>
      <c r="AF733" s="30">
        <f>PM_Angle!$J$18+PM_Angle!$K$18*$C733+PM_Angle!$L$18*$B733</f>
      </c>
      <c r="AG733" s="12">
        <f>IF(AF733&gt;0,IF(AF733&lt;=eco,alpha*fck*(1-(1-AF733/eco)^n),alpha*fck),0)</f>
      </c>
      <c r="AH733" s="30">
        <f>PM_Angle!$J$19+PM_Angle!$K$19*$C733+PM_Angle!$L$19*$B733</f>
      </c>
      <c r="AI733" s="12">
        <f>IF(AH733&gt;0,IF(AH733&lt;=eco,alpha*fck*(1-(1-AH733/eco)^n),alpha*fck),0)</f>
      </c>
      <c r="AJ733" s="30">
        <f>PM_Angle!$J$20+PM_Angle!$K$20*$C733+PM_Angle!$L$20*$B733</f>
      </c>
      <c r="AK733" s="12">
        <f>IF(AJ733&gt;0,IF(AJ733&lt;=eco,alpha*fck*(1-(1-AJ733/eco)^n),alpha*fck),0)</f>
      </c>
      <c r="AL733" s="30">
        <f>PM_Angle!$J$21+PM_Angle!$K$21*$C733+PM_Angle!$L$21*$B733</f>
      </c>
      <c r="AM733" s="12">
        <f>IF(AL733&gt;0,IF(AL733&lt;=eco,alpha*fck*(1-(1-AL733/eco)^n),alpha*fck),0)</f>
      </c>
      <c r="AN733" s="30">
        <f>PM_Angle!$J$22+PM_Angle!$K$22*$C733+PM_Angle!$L$22*$B733</f>
      </c>
      <c r="AO733" s="12">
        <f>IF(AN733&gt;0,IF(AN733&lt;=eco,alpha*fck*(1-(1-AN733/eco)^n),alpha*fck),0)</f>
      </c>
      <c r="AP733" s="30">
        <f>PM_Angle!$J$23+PM_Angle!$K$23*$C733+PM_Angle!$L$23*$B733</f>
      </c>
      <c r="AQ733" s="12">
        <f>IF(AP733&gt;0,IF(AP733&lt;=eco,alpha*fck*(1-(1-AP733/eco)^n),alpha*fck),0)</f>
      </c>
      <c r="AR733" s="30">
        <f>PM_Angle!$J$24+PM_Angle!$K$24*$C733+PM_Angle!$L$24*$B733</f>
      </c>
      <c r="AS733" s="12">
        <f>IF(AR733&gt;0,IF(AR733&lt;=eco,alpha*fck*(1-(1-AR733/eco)^n),alpha*fck),0)</f>
      </c>
      <c r="AT733" s="30">
        <f>PM_Angle!$J$25+PM_Angle!$K$25*$C733+PM_Angle!$L$25*$B733</f>
      </c>
      <c r="AU733" s="12">
        <f>IF(AT733&gt;0,IF(AT733&lt;=eco,alpha*fck*(1-(1-AT733/eco)^n),alpha*fck),0)</f>
      </c>
    </row>
    <row r="734" spans="1:47" x14ac:dyDescent="0.25">
      <c r="A734">
        <f>Mesh!A731</f>
      </c>
      <c r="B734" s="12">
        <f>Mesh!B731</f>
      </c>
      <c r="C734" s="12">
        <f>Mesh!C731</f>
      </c>
      <c r="D734" s="12">
        <f>Mesh!D731</f>
      </c>
      <c r="E734" s="30">
        <f>INDEX(St_e0,Det+1)+INDEX(St_kx,Det+1)*C734+INDEX(St_ky,Det+1)*B734</f>
      </c>
      <c r="F734" s="12">
        <f>IF(E734&gt;0,IF(E734&lt;=eco,alpha*fck*(1-(1-E734/eco)^n),alpha*fck),0)</f>
      </c>
      <c r="G734" s="11">
        <f>F734*D734</f>
      </c>
      <c r="H734" s="11">
        <f>G734*C734</f>
      </c>
      <c r="I734" s="11">
        <f>G734*B734</f>
      </c>
      <c r="J734" s="30">
        <f>PM_Angle!$J$7+PM_Angle!$K$7*$C734+PM_Angle!$L$7*$B734</f>
      </c>
      <c r="K734" s="12">
        <f>IF(J734&gt;0,IF(J734&lt;=eco,alpha*fck*(1-(1-J734/eco)^n),alpha*fck),0)</f>
      </c>
      <c r="L734" s="30">
        <f>PM_Angle!$J$8+PM_Angle!$K$8*$C734+PM_Angle!$L$8*$B734</f>
      </c>
      <c r="M734" s="12">
        <f>IF(L734&gt;0,IF(L734&lt;=eco,alpha*fck*(1-(1-L734/eco)^n),alpha*fck),0)</f>
      </c>
      <c r="N734" s="30">
        <f>PM_Angle!$J$9+PM_Angle!$K$9*$C734+PM_Angle!$L$9*$B734</f>
      </c>
      <c r="O734" s="12">
        <f>IF(N734&gt;0,IF(N734&lt;=eco,alpha*fck*(1-(1-N734/eco)^n),alpha*fck),0)</f>
      </c>
      <c r="P734" s="30">
        <f>PM_Angle!$J$10+PM_Angle!$K$10*$C734+PM_Angle!$L$10*$B734</f>
      </c>
      <c r="Q734" s="12">
        <f>IF(P734&gt;0,IF(P734&lt;=eco,alpha*fck*(1-(1-P734/eco)^n),alpha*fck),0)</f>
      </c>
      <c r="R734" s="30">
        <f>PM_Angle!$J$11+PM_Angle!$K$11*$C734+PM_Angle!$L$11*$B734</f>
      </c>
      <c r="S734" s="12">
        <f>IF(R734&gt;0,IF(R734&lt;=eco,alpha*fck*(1-(1-R734/eco)^n),alpha*fck),0)</f>
      </c>
      <c r="T734" s="30">
        <f>PM_Angle!$J$12+PM_Angle!$K$12*$C734+PM_Angle!$L$12*$B734</f>
      </c>
      <c r="U734" s="12">
        <f>IF(T734&gt;0,IF(T734&lt;=eco,alpha*fck*(1-(1-T734/eco)^n),alpha*fck),0)</f>
      </c>
      <c r="V734" s="30">
        <f>PM_Angle!$J$13+PM_Angle!$K$13*$C734+PM_Angle!$L$13*$B734</f>
      </c>
      <c r="W734" s="12">
        <f>IF(V734&gt;0,IF(V734&lt;=eco,alpha*fck*(1-(1-V734/eco)^n),alpha*fck),0)</f>
      </c>
      <c r="X734" s="30">
        <f>PM_Angle!$J$14+PM_Angle!$K$14*$C734+PM_Angle!$L$14*$B734</f>
      </c>
      <c r="Y734" s="12">
        <f>IF(X734&gt;0,IF(X734&lt;=eco,alpha*fck*(1-(1-X734/eco)^n),alpha*fck),0)</f>
      </c>
      <c r="Z734" s="30">
        <f>PM_Angle!$J$15+PM_Angle!$K$15*$C734+PM_Angle!$L$15*$B734</f>
      </c>
      <c r="AA734" s="12">
        <f>IF(Z734&gt;0,IF(Z734&lt;=eco,alpha*fck*(1-(1-Z734/eco)^n),alpha*fck),0)</f>
      </c>
      <c r="AB734" s="30">
        <f>PM_Angle!$J$16+PM_Angle!$K$16*$C734+PM_Angle!$L$16*$B734</f>
      </c>
      <c r="AC734" s="12">
        <f>IF(AB734&gt;0,IF(AB734&lt;=eco,alpha*fck*(1-(1-AB734/eco)^n),alpha*fck),0)</f>
      </c>
      <c r="AD734" s="30">
        <f>PM_Angle!$J$17+PM_Angle!$K$17*$C734+PM_Angle!$L$17*$B734</f>
      </c>
      <c r="AE734" s="12">
        <f>IF(AD734&gt;0,IF(AD734&lt;=eco,alpha*fck*(1-(1-AD734/eco)^n),alpha*fck),0)</f>
      </c>
      <c r="AF734" s="30">
        <f>PM_Angle!$J$18+PM_Angle!$K$18*$C734+PM_Angle!$L$18*$B734</f>
      </c>
      <c r="AG734" s="12">
        <f>IF(AF734&gt;0,IF(AF734&lt;=eco,alpha*fck*(1-(1-AF734/eco)^n),alpha*fck),0)</f>
      </c>
      <c r="AH734" s="30">
        <f>PM_Angle!$J$19+PM_Angle!$K$19*$C734+PM_Angle!$L$19*$B734</f>
      </c>
      <c r="AI734" s="12">
        <f>IF(AH734&gt;0,IF(AH734&lt;=eco,alpha*fck*(1-(1-AH734/eco)^n),alpha*fck),0)</f>
      </c>
      <c r="AJ734" s="30">
        <f>PM_Angle!$J$20+PM_Angle!$K$20*$C734+PM_Angle!$L$20*$B734</f>
      </c>
      <c r="AK734" s="12">
        <f>IF(AJ734&gt;0,IF(AJ734&lt;=eco,alpha*fck*(1-(1-AJ734/eco)^n),alpha*fck),0)</f>
      </c>
      <c r="AL734" s="30">
        <f>PM_Angle!$J$21+PM_Angle!$K$21*$C734+PM_Angle!$L$21*$B734</f>
      </c>
      <c r="AM734" s="12">
        <f>IF(AL734&gt;0,IF(AL734&lt;=eco,alpha*fck*(1-(1-AL734/eco)^n),alpha*fck),0)</f>
      </c>
      <c r="AN734" s="30">
        <f>PM_Angle!$J$22+PM_Angle!$K$22*$C734+PM_Angle!$L$22*$B734</f>
      </c>
      <c r="AO734" s="12">
        <f>IF(AN734&gt;0,IF(AN734&lt;=eco,alpha*fck*(1-(1-AN734/eco)^n),alpha*fck),0)</f>
      </c>
      <c r="AP734" s="30">
        <f>PM_Angle!$J$23+PM_Angle!$K$23*$C734+PM_Angle!$L$23*$B734</f>
      </c>
      <c r="AQ734" s="12">
        <f>IF(AP734&gt;0,IF(AP734&lt;=eco,alpha*fck*(1-(1-AP734/eco)^n),alpha*fck),0)</f>
      </c>
      <c r="AR734" s="30">
        <f>PM_Angle!$J$24+PM_Angle!$K$24*$C734+PM_Angle!$L$24*$B734</f>
      </c>
      <c r="AS734" s="12">
        <f>IF(AR734&gt;0,IF(AR734&lt;=eco,alpha*fck*(1-(1-AR734/eco)^n),alpha*fck),0)</f>
      </c>
      <c r="AT734" s="30">
        <f>PM_Angle!$J$25+PM_Angle!$K$25*$C734+PM_Angle!$L$25*$B734</f>
      </c>
      <c r="AU734" s="12">
        <f>IF(AT734&gt;0,IF(AT734&lt;=eco,alpha*fck*(1-(1-AT734/eco)^n),alpha*fck),0)</f>
      </c>
    </row>
    <row r="735" spans="1:47" x14ac:dyDescent="0.25">
      <c r="A735">
        <f>Mesh!A732</f>
      </c>
      <c r="B735" s="12">
        <f>Mesh!B732</f>
      </c>
      <c r="C735" s="12">
        <f>Mesh!C732</f>
      </c>
      <c r="D735" s="12">
        <f>Mesh!D732</f>
      </c>
      <c r="E735" s="30">
        <f>INDEX(St_e0,Det+1)+INDEX(St_kx,Det+1)*C735+INDEX(St_ky,Det+1)*B735</f>
      </c>
      <c r="F735" s="12">
        <f>IF(E735&gt;0,IF(E735&lt;=eco,alpha*fck*(1-(1-E735/eco)^n),alpha*fck),0)</f>
      </c>
      <c r="G735" s="11">
        <f>F735*D735</f>
      </c>
      <c r="H735" s="11">
        <f>G735*C735</f>
      </c>
      <c r="I735" s="11">
        <f>G735*B735</f>
      </c>
      <c r="J735" s="30">
        <f>PM_Angle!$J$7+PM_Angle!$K$7*$C735+PM_Angle!$L$7*$B735</f>
      </c>
      <c r="K735" s="12">
        <f>IF(J735&gt;0,IF(J735&lt;=eco,alpha*fck*(1-(1-J735/eco)^n),alpha*fck),0)</f>
      </c>
      <c r="L735" s="30">
        <f>PM_Angle!$J$8+PM_Angle!$K$8*$C735+PM_Angle!$L$8*$B735</f>
      </c>
      <c r="M735" s="12">
        <f>IF(L735&gt;0,IF(L735&lt;=eco,alpha*fck*(1-(1-L735/eco)^n),alpha*fck),0)</f>
      </c>
      <c r="N735" s="30">
        <f>PM_Angle!$J$9+PM_Angle!$K$9*$C735+PM_Angle!$L$9*$B735</f>
      </c>
      <c r="O735" s="12">
        <f>IF(N735&gt;0,IF(N735&lt;=eco,alpha*fck*(1-(1-N735/eco)^n),alpha*fck),0)</f>
      </c>
      <c r="P735" s="30">
        <f>PM_Angle!$J$10+PM_Angle!$K$10*$C735+PM_Angle!$L$10*$B735</f>
      </c>
      <c r="Q735" s="12">
        <f>IF(P735&gt;0,IF(P735&lt;=eco,alpha*fck*(1-(1-P735/eco)^n),alpha*fck),0)</f>
      </c>
      <c r="R735" s="30">
        <f>PM_Angle!$J$11+PM_Angle!$K$11*$C735+PM_Angle!$L$11*$B735</f>
      </c>
      <c r="S735" s="12">
        <f>IF(R735&gt;0,IF(R735&lt;=eco,alpha*fck*(1-(1-R735/eco)^n),alpha*fck),0)</f>
      </c>
      <c r="T735" s="30">
        <f>PM_Angle!$J$12+PM_Angle!$K$12*$C735+PM_Angle!$L$12*$B735</f>
      </c>
      <c r="U735" s="12">
        <f>IF(T735&gt;0,IF(T735&lt;=eco,alpha*fck*(1-(1-T735/eco)^n),alpha*fck),0)</f>
      </c>
      <c r="V735" s="30">
        <f>PM_Angle!$J$13+PM_Angle!$K$13*$C735+PM_Angle!$L$13*$B735</f>
      </c>
      <c r="W735" s="12">
        <f>IF(V735&gt;0,IF(V735&lt;=eco,alpha*fck*(1-(1-V735/eco)^n),alpha*fck),0)</f>
      </c>
      <c r="X735" s="30">
        <f>PM_Angle!$J$14+PM_Angle!$K$14*$C735+PM_Angle!$L$14*$B735</f>
      </c>
      <c r="Y735" s="12">
        <f>IF(X735&gt;0,IF(X735&lt;=eco,alpha*fck*(1-(1-X735/eco)^n),alpha*fck),0)</f>
      </c>
      <c r="Z735" s="30">
        <f>PM_Angle!$J$15+PM_Angle!$K$15*$C735+PM_Angle!$L$15*$B735</f>
      </c>
      <c r="AA735" s="12">
        <f>IF(Z735&gt;0,IF(Z735&lt;=eco,alpha*fck*(1-(1-Z735/eco)^n),alpha*fck),0)</f>
      </c>
      <c r="AB735" s="30">
        <f>PM_Angle!$J$16+PM_Angle!$K$16*$C735+PM_Angle!$L$16*$B735</f>
      </c>
      <c r="AC735" s="12">
        <f>IF(AB735&gt;0,IF(AB735&lt;=eco,alpha*fck*(1-(1-AB735/eco)^n),alpha*fck),0)</f>
      </c>
      <c r="AD735" s="30">
        <f>PM_Angle!$J$17+PM_Angle!$K$17*$C735+PM_Angle!$L$17*$B735</f>
      </c>
      <c r="AE735" s="12">
        <f>IF(AD735&gt;0,IF(AD735&lt;=eco,alpha*fck*(1-(1-AD735/eco)^n),alpha*fck),0)</f>
      </c>
      <c r="AF735" s="30">
        <f>PM_Angle!$J$18+PM_Angle!$K$18*$C735+PM_Angle!$L$18*$B735</f>
      </c>
      <c r="AG735" s="12">
        <f>IF(AF735&gt;0,IF(AF735&lt;=eco,alpha*fck*(1-(1-AF735/eco)^n),alpha*fck),0)</f>
      </c>
      <c r="AH735" s="30">
        <f>PM_Angle!$J$19+PM_Angle!$K$19*$C735+PM_Angle!$L$19*$B735</f>
      </c>
      <c r="AI735" s="12">
        <f>IF(AH735&gt;0,IF(AH735&lt;=eco,alpha*fck*(1-(1-AH735/eco)^n),alpha*fck),0)</f>
      </c>
      <c r="AJ735" s="30">
        <f>PM_Angle!$J$20+PM_Angle!$K$20*$C735+PM_Angle!$L$20*$B735</f>
      </c>
      <c r="AK735" s="12">
        <f>IF(AJ735&gt;0,IF(AJ735&lt;=eco,alpha*fck*(1-(1-AJ735/eco)^n),alpha*fck),0)</f>
      </c>
      <c r="AL735" s="30">
        <f>PM_Angle!$J$21+PM_Angle!$K$21*$C735+PM_Angle!$L$21*$B735</f>
      </c>
      <c r="AM735" s="12">
        <f>IF(AL735&gt;0,IF(AL735&lt;=eco,alpha*fck*(1-(1-AL735/eco)^n),alpha*fck),0)</f>
      </c>
      <c r="AN735" s="30">
        <f>PM_Angle!$J$22+PM_Angle!$K$22*$C735+PM_Angle!$L$22*$B735</f>
      </c>
      <c r="AO735" s="12">
        <f>IF(AN735&gt;0,IF(AN735&lt;=eco,alpha*fck*(1-(1-AN735/eco)^n),alpha*fck),0)</f>
      </c>
      <c r="AP735" s="30">
        <f>PM_Angle!$J$23+PM_Angle!$K$23*$C735+PM_Angle!$L$23*$B735</f>
      </c>
      <c r="AQ735" s="12">
        <f>IF(AP735&gt;0,IF(AP735&lt;=eco,alpha*fck*(1-(1-AP735/eco)^n),alpha*fck),0)</f>
      </c>
      <c r="AR735" s="30">
        <f>PM_Angle!$J$24+PM_Angle!$K$24*$C735+PM_Angle!$L$24*$B735</f>
      </c>
      <c r="AS735" s="12">
        <f>IF(AR735&gt;0,IF(AR735&lt;=eco,alpha*fck*(1-(1-AR735/eco)^n),alpha*fck),0)</f>
      </c>
      <c r="AT735" s="30">
        <f>PM_Angle!$J$25+PM_Angle!$K$25*$C735+PM_Angle!$L$25*$B735</f>
      </c>
      <c r="AU735" s="12">
        <f>IF(AT735&gt;0,IF(AT735&lt;=eco,alpha*fck*(1-(1-AT735/eco)^n),alpha*fck),0)</f>
      </c>
    </row>
    <row r="736" spans="1:47" x14ac:dyDescent="0.25">
      <c r="A736">
        <f>Mesh!A733</f>
      </c>
      <c r="B736" s="12">
        <f>Mesh!B733</f>
      </c>
      <c r="C736" s="12">
        <f>Mesh!C733</f>
      </c>
      <c r="D736" s="12">
        <f>Mesh!D733</f>
      </c>
      <c r="E736" s="30">
        <f>INDEX(St_e0,Det+1)+INDEX(St_kx,Det+1)*C736+INDEX(St_ky,Det+1)*B736</f>
      </c>
      <c r="F736" s="12">
        <f>IF(E736&gt;0,IF(E736&lt;=eco,alpha*fck*(1-(1-E736/eco)^n),alpha*fck),0)</f>
      </c>
      <c r="G736" s="11">
        <f>F736*D736</f>
      </c>
      <c r="H736" s="11">
        <f>G736*C736</f>
      </c>
      <c r="I736" s="11">
        <f>G736*B736</f>
      </c>
      <c r="J736" s="30">
        <f>PM_Angle!$J$7+PM_Angle!$K$7*$C736+PM_Angle!$L$7*$B736</f>
      </c>
      <c r="K736" s="12">
        <f>IF(J736&gt;0,IF(J736&lt;=eco,alpha*fck*(1-(1-J736/eco)^n),alpha*fck),0)</f>
      </c>
      <c r="L736" s="30">
        <f>PM_Angle!$J$8+PM_Angle!$K$8*$C736+PM_Angle!$L$8*$B736</f>
      </c>
      <c r="M736" s="12">
        <f>IF(L736&gt;0,IF(L736&lt;=eco,alpha*fck*(1-(1-L736/eco)^n),alpha*fck),0)</f>
      </c>
      <c r="N736" s="30">
        <f>PM_Angle!$J$9+PM_Angle!$K$9*$C736+PM_Angle!$L$9*$B736</f>
      </c>
      <c r="O736" s="12">
        <f>IF(N736&gt;0,IF(N736&lt;=eco,alpha*fck*(1-(1-N736/eco)^n),alpha*fck),0)</f>
      </c>
      <c r="P736" s="30">
        <f>PM_Angle!$J$10+PM_Angle!$K$10*$C736+PM_Angle!$L$10*$B736</f>
      </c>
      <c r="Q736" s="12">
        <f>IF(P736&gt;0,IF(P736&lt;=eco,alpha*fck*(1-(1-P736/eco)^n),alpha*fck),0)</f>
      </c>
      <c r="R736" s="30">
        <f>PM_Angle!$J$11+PM_Angle!$K$11*$C736+PM_Angle!$L$11*$B736</f>
      </c>
      <c r="S736" s="12">
        <f>IF(R736&gt;0,IF(R736&lt;=eco,alpha*fck*(1-(1-R736/eco)^n),alpha*fck),0)</f>
      </c>
      <c r="T736" s="30">
        <f>PM_Angle!$J$12+PM_Angle!$K$12*$C736+PM_Angle!$L$12*$B736</f>
      </c>
      <c r="U736" s="12">
        <f>IF(T736&gt;0,IF(T736&lt;=eco,alpha*fck*(1-(1-T736/eco)^n),alpha*fck),0)</f>
      </c>
      <c r="V736" s="30">
        <f>PM_Angle!$J$13+PM_Angle!$K$13*$C736+PM_Angle!$L$13*$B736</f>
      </c>
      <c r="W736" s="12">
        <f>IF(V736&gt;0,IF(V736&lt;=eco,alpha*fck*(1-(1-V736/eco)^n),alpha*fck),0)</f>
      </c>
      <c r="X736" s="30">
        <f>PM_Angle!$J$14+PM_Angle!$K$14*$C736+PM_Angle!$L$14*$B736</f>
      </c>
      <c r="Y736" s="12">
        <f>IF(X736&gt;0,IF(X736&lt;=eco,alpha*fck*(1-(1-X736/eco)^n),alpha*fck),0)</f>
      </c>
      <c r="Z736" s="30">
        <f>PM_Angle!$J$15+PM_Angle!$K$15*$C736+PM_Angle!$L$15*$B736</f>
      </c>
      <c r="AA736" s="12">
        <f>IF(Z736&gt;0,IF(Z736&lt;=eco,alpha*fck*(1-(1-Z736/eco)^n),alpha*fck),0)</f>
      </c>
      <c r="AB736" s="30">
        <f>PM_Angle!$J$16+PM_Angle!$K$16*$C736+PM_Angle!$L$16*$B736</f>
      </c>
      <c r="AC736" s="12">
        <f>IF(AB736&gt;0,IF(AB736&lt;=eco,alpha*fck*(1-(1-AB736/eco)^n),alpha*fck),0)</f>
      </c>
      <c r="AD736" s="30">
        <f>PM_Angle!$J$17+PM_Angle!$K$17*$C736+PM_Angle!$L$17*$B736</f>
      </c>
      <c r="AE736" s="12">
        <f>IF(AD736&gt;0,IF(AD736&lt;=eco,alpha*fck*(1-(1-AD736/eco)^n),alpha*fck),0)</f>
      </c>
      <c r="AF736" s="30">
        <f>PM_Angle!$J$18+PM_Angle!$K$18*$C736+PM_Angle!$L$18*$B736</f>
      </c>
      <c r="AG736" s="12">
        <f>IF(AF736&gt;0,IF(AF736&lt;=eco,alpha*fck*(1-(1-AF736/eco)^n),alpha*fck),0)</f>
      </c>
      <c r="AH736" s="30">
        <f>PM_Angle!$J$19+PM_Angle!$K$19*$C736+PM_Angle!$L$19*$B736</f>
      </c>
      <c r="AI736" s="12">
        <f>IF(AH736&gt;0,IF(AH736&lt;=eco,alpha*fck*(1-(1-AH736/eco)^n),alpha*fck),0)</f>
      </c>
      <c r="AJ736" s="30">
        <f>PM_Angle!$J$20+PM_Angle!$K$20*$C736+PM_Angle!$L$20*$B736</f>
      </c>
      <c r="AK736" s="12">
        <f>IF(AJ736&gt;0,IF(AJ736&lt;=eco,alpha*fck*(1-(1-AJ736/eco)^n),alpha*fck),0)</f>
      </c>
      <c r="AL736" s="30">
        <f>PM_Angle!$J$21+PM_Angle!$K$21*$C736+PM_Angle!$L$21*$B736</f>
      </c>
      <c r="AM736" s="12">
        <f>IF(AL736&gt;0,IF(AL736&lt;=eco,alpha*fck*(1-(1-AL736/eco)^n),alpha*fck),0)</f>
      </c>
      <c r="AN736" s="30">
        <f>PM_Angle!$J$22+PM_Angle!$K$22*$C736+PM_Angle!$L$22*$B736</f>
      </c>
      <c r="AO736" s="12">
        <f>IF(AN736&gt;0,IF(AN736&lt;=eco,alpha*fck*(1-(1-AN736/eco)^n),alpha*fck),0)</f>
      </c>
      <c r="AP736" s="30">
        <f>PM_Angle!$J$23+PM_Angle!$K$23*$C736+PM_Angle!$L$23*$B736</f>
      </c>
      <c r="AQ736" s="12">
        <f>IF(AP736&gt;0,IF(AP736&lt;=eco,alpha*fck*(1-(1-AP736/eco)^n),alpha*fck),0)</f>
      </c>
      <c r="AR736" s="30">
        <f>PM_Angle!$J$24+PM_Angle!$K$24*$C736+PM_Angle!$L$24*$B736</f>
      </c>
      <c r="AS736" s="12">
        <f>IF(AR736&gt;0,IF(AR736&lt;=eco,alpha*fck*(1-(1-AR736/eco)^n),alpha*fck),0)</f>
      </c>
      <c r="AT736" s="30">
        <f>PM_Angle!$J$25+PM_Angle!$K$25*$C736+PM_Angle!$L$25*$B736</f>
      </c>
      <c r="AU736" s="12">
        <f>IF(AT736&gt;0,IF(AT736&lt;=eco,alpha*fck*(1-(1-AT736/eco)^n),alpha*fck),0)</f>
      </c>
    </row>
    <row r="737" spans="1:47" x14ac:dyDescent="0.25">
      <c r="A737">
        <f>Mesh!A734</f>
      </c>
      <c r="B737" s="12">
        <f>Mesh!B734</f>
      </c>
      <c r="C737" s="12">
        <f>Mesh!C734</f>
      </c>
      <c r="D737" s="12">
        <f>Mesh!D734</f>
      </c>
      <c r="E737" s="30">
        <f>INDEX(St_e0,Det+1)+INDEX(St_kx,Det+1)*C737+INDEX(St_ky,Det+1)*B737</f>
      </c>
      <c r="F737" s="12">
        <f>IF(E737&gt;0,IF(E737&lt;=eco,alpha*fck*(1-(1-E737/eco)^n),alpha*fck),0)</f>
      </c>
      <c r="G737" s="11">
        <f>F737*D737</f>
      </c>
      <c r="H737" s="11">
        <f>G737*C737</f>
      </c>
      <c r="I737" s="11">
        <f>G737*B737</f>
      </c>
      <c r="J737" s="30">
        <f>PM_Angle!$J$7+PM_Angle!$K$7*$C737+PM_Angle!$L$7*$B737</f>
      </c>
      <c r="K737" s="12">
        <f>IF(J737&gt;0,IF(J737&lt;=eco,alpha*fck*(1-(1-J737/eco)^n),alpha*fck),0)</f>
      </c>
      <c r="L737" s="30">
        <f>PM_Angle!$J$8+PM_Angle!$K$8*$C737+PM_Angle!$L$8*$B737</f>
      </c>
      <c r="M737" s="12">
        <f>IF(L737&gt;0,IF(L737&lt;=eco,alpha*fck*(1-(1-L737/eco)^n),alpha*fck),0)</f>
      </c>
      <c r="N737" s="30">
        <f>PM_Angle!$J$9+PM_Angle!$K$9*$C737+PM_Angle!$L$9*$B737</f>
      </c>
      <c r="O737" s="12">
        <f>IF(N737&gt;0,IF(N737&lt;=eco,alpha*fck*(1-(1-N737/eco)^n),alpha*fck),0)</f>
      </c>
      <c r="P737" s="30">
        <f>PM_Angle!$J$10+PM_Angle!$K$10*$C737+PM_Angle!$L$10*$B737</f>
      </c>
      <c r="Q737" s="12">
        <f>IF(P737&gt;0,IF(P737&lt;=eco,alpha*fck*(1-(1-P737/eco)^n),alpha*fck),0)</f>
      </c>
      <c r="R737" s="30">
        <f>PM_Angle!$J$11+PM_Angle!$K$11*$C737+PM_Angle!$L$11*$B737</f>
      </c>
      <c r="S737" s="12">
        <f>IF(R737&gt;0,IF(R737&lt;=eco,alpha*fck*(1-(1-R737/eco)^n),alpha*fck),0)</f>
      </c>
      <c r="T737" s="30">
        <f>PM_Angle!$J$12+PM_Angle!$K$12*$C737+PM_Angle!$L$12*$B737</f>
      </c>
      <c r="U737" s="12">
        <f>IF(T737&gt;0,IF(T737&lt;=eco,alpha*fck*(1-(1-T737/eco)^n),alpha*fck),0)</f>
      </c>
      <c r="V737" s="30">
        <f>PM_Angle!$J$13+PM_Angle!$K$13*$C737+PM_Angle!$L$13*$B737</f>
      </c>
      <c r="W737" s="12">
        <f>IF(V737&gt;0,IF(V737&lt;=eco,alpha*fck*(1-(1-V737/eco)^n),alpha*fck),0)</f>
      </c>
      <c r="X737" s="30">
        <f>PM_Angle!$J$14+PM_Angle!$K$14*$C737+PM_Angle!$L$14*$B737</f>
      </c>
      <c r="Y737" s="12">
        <f>IF(X737&gt;0,IF(X737&lt;=eco,alpha*fck*(1-(1-X737/eco)^n),alpha*fck),0)</f>
      </c>
      <c r="Z737" s="30">
        <f>PM_Angle!$J$15+PM_Angle!$K$15*$C737+PM_Angle!$L$15*$B737</f>
      </c>
      <c r="AA737" s="12">
        <f>IF(Z737&gt;0,IF(Z737&lt;=eco,alpha*fck*(1-(1-Z737/eco)^n),alpha*fck),0)</f>
      </c>
      <c r="AB737" s="30">
        <f>PM_Angle!$J$16+PM_Angle!$K$16*$C737+PM_Angle!$L$16*$B737</f>
      </c>
      <c r="AC737" s="12">
        <f>IF(AB737&gt;0,IF(AB737&lt;=eco,alpha*fck*(1-(1-AB737/eco)^n),alpha*fck),0)</f>
      </c>
      <c r="AD737" s="30">
        <f>PM_Angle!$J$17+PM_Angle!$K$17*$C737+PM_Angle!$L$17*$B737</f>
      </c>
      <c r="AE737" s="12">
        <f>IF(AD737&gt;0,IF(AD737&lt;=eco,alpha*fck*(1-(1-AD737/eco)^n),alpha*fck),0)</f>
      </c>
      <c r="AF737" s="30">
        <f>PM_Angle!$J$18+PM_Angle!$K$18*$C737+PM_Angle!$L$18*$B737</f>
      </c>
      <c r="AG737" s="12">
        <f>IF(AF737&gt;0,IF(AF737&lt;=eco,alpha*fck*(1-(1-AF737/eco)^n),alpha*fck),0)</f>
      </c>
      <c r="AH737" s="30">
        <f>PM_Angle!$J$19+PM_Angle!$K$19*$C737+PM_Angle!$L$19*$B737</f>
      </c>
      <c r="AI737" s="12">
        <f>IF(AH737&gt;0,IF(AH737&lt;=eco,alpha*fck*(1-(1-AH737/eco)^n),alpha*fck),0)</f>
      </c>
      <c r="AJ737" s="30">
        <f>PM_Angle!$J$20+PM_Angle!$K$20*$C737+PM_Angle!$L$20*$B737</f>
      </c>
      <c r="AK737" s="12">
        <f>IF(AJ737&gt;0,IF(AJ737&lt;=eco,alpha*fck*(1-(1-AJ737/eco)^n),alpha*fck),0)</f>
      </c>
      <c r="AL737" s="30">
        <f>PM_Angle!$J$21+PM_Angle!$K$21*$C737+PM_Angle!$L$21*$B737</f>
      </c>
      <c r="AM737" s="12">
        <f>IF(AL737&gt;0,IF(AL737&lt;=eco,alpha*fck*(1-(1-AL737/eco)^n),alpha*fck),0)</f>
      </c>
      <c r="AN737" s="30">
        <f>PM_Angle!$J$22+PM_Angle!$K$22*$C737+PM_Angle!$L$22*$B737</f>
      </c>
      <c r="AO737" s="12">
        <f>IF(AN737&gt;0,IF(AN737&lt;=eco,alpha*fck*(1-(1-AN737/eco)^n),alpha*fck),0)</f>
      </c>
      <c r="AP737" s="30">
        <f>PM_Angle!$J$23+PM_Angle!$K$23*$C737+PM_Angle!$L$23*$B737</f>
      </c>
      <c r="AQ737" s="12">
        <f>IF(AP737&gt;0,IF(AP737&lt;=eco,alpha*fck*(1-(1-AP737/eco)^n),alpha*fck),0)</f>
      </c>
      <c r="AR737" s="30">
        <f>PM_Angle!$J$24+PM_Angle!$K$24*$C737+PM_Angle!$L$24*$B737</f>
      </c>
      <c r="AS737" s="12">
        <f>IF(AR737&gt;0,IF(AR737&lt;=eco,alpha*fck*(1-(1-AR737/eco)^n),alpha*fck),0)</f>
      </c>
      <c r="AT737" s="30">
        <f>PM_Angle!$J$25+PM_Angle!$K$25*$C737+PM_Angle!$L$25*$B737</f>
      </c>
      <c r="AU737" s="12">
        <f>IF(AT737&gt;0,IF(AT737&lt;=eco,alpha*fck*(1-(1-AT737/eco)^n),alpha*fck),0)</f>
      </c>
    </row>
    <row r="738" spans="1:47" x14ac:dyDescent="0.25">
      <c r="A738">
        <f>Mesh!A735</f>
      </c>
      <c r="B738" s="12">
        <f>Mesh!B735</f>
      </c>
      <c r="C738" s="12">
        <f>Mesh!C735</f>
      </c>
      <c r="D738" s="12">
        <f>Mesh!D735</f>
      </c>
      <c r="E738" s="30">
        <f>INDEX(St_e0,Det+1)+INDEX(St_kx,Det+1)*C738+INDEX(St_ky,Det+1)*B738</f>
      </c>
      <c r="F738" s="12">
        <f>IF(E738&gt;0,IF(E738&lt;=eco,alpha*fck*(1-(1-E738/eco)^n),alpha*fck),0)</f>
      </c>
      <c r="G738" s="11">
        <f>F738*D738</f>
      </c>
      <c r="H738" s="11">
        <f>G738*C738</f>
      </c>
      <c r="I738" s="11">
        <f>G738*B738</f>
      </c>
      <c r="J738" s="30">
        <f>PM_Angle!$J$7+PM_Angle!$K$7*$C738+PM_Angle!$L$7*$B738</f>
      </c>
      <c r="K738" s="12">
        <f>IF(J738&gt;0,IF(J738&lt;=eco,alpha*fck*(1-(1-J738/eco)^n),alpha*fck),0)</f>
      </c>
      <c r="L738" s="30">
        <f>PM_Angle!$J$8+PM_Angle!$K$8*$C738+PM_Angle!$L$8*$B738</f>
      </c>
      <c r="M738" s="12">
        <f>IF(L738&gt;0,IF(L738&lt;=eco,alpha*fck*(1-(1-L738/eco)^n),alpha*fck),0)</f>
      </c>
      <c r="N738" s="30">
        <f>PM_Angle!$J$9+PM_Angle!$K$9*$C738+PM_Angle!$L$9*$B738</f>
      </c>
      <c r="O738" s="12">
        <f>IF(N738&gt;0,IF(N738&lt;=eco,alpha*fck*(1-(1-N738/eco)^n),alpha*fck),0)</f>
      </c>
      <c r="P738" s="30">
        <f>PM_Angle!$J$10+PM_Angle!$K$10*$C738+PM_Angle!$L$10*$B738</f>
      </c>
      <c r="Q738" s="12">
        <f>IF(P738&gt;0,IF(P738&lt;=eco,alpha*fck*(1-(1-P738/eco)^n),alpha*fck),0)</f>
      </c>
      <c r="R738" s="30">
        <f>PM_Angle!$J$11+PM_Angle!$K$11*$C738+PM_Angle!$L$11*$B738</f>
      </c>
      <c r="S738" s="12">
        <f>IF(R738&gt;0,IF(R738&lt;=eco,alpha*fck*(1-(1-R738/eco)^n),alpha*fck),0)</f>
      </c>
      <c r="T738" s="30">
        <f>PM_Angle!$J$12+PM_Angle!$K$12*$C738+PM_Angle!$L$12*$B738</f>
      </c>
      <c r="U738" s="12">
        <f>IF(T738&gt;0,IF(T738&lt;=eco,alpha*fck*(1-(1-T738/eco)^n),alpha*fck),0)</f>
      </c>
      <c r="V738" s="30">
        <f>PM_Angle!$J$13+PM_Angle!$K$13*$C738+PM_Angle!$L$13*$B738</f>
      </c>
      <c r="W738" s="12">
        <f>IF(V738&gt;0,IF(V738&lt;=eco,alpha*fck*(1-(1-V738/eco)^n),alpha*fck),0)</f>
      </c>
      <c r="X738" s="30">
        <f>PM_Angle!$J$14+PM_Angle!$K$14*$C738+PM_Angle!$L$14*$B738</f>
      </c>
      <c r="Y738" s="12">
        <f>IF(X738&gt;0,IF(X738&lt;=eco,alpha*fck*(1-(1-X738/eco)^n),alpha*fck),0)</f>
      </c>
      <c r="Z738" s="30">
        <f>PM_Angle!$J$15+PM_Angle!$K$15*$C738+PM_Angle!$L$15*$B738</f>
      </c>
      <c r="AA738" s="12">
        <f>IF(Z738&gt;0,IF(Z738&lt;=eco,alpha*fck*(1-(1-Z738/eco)^n),alpha*fck),0)</f>
      </c>
      <c r="AB738" s="30">
        <f>PM_Angle!$J$16+PM_Angle!$K$16*$C738+PM_Angle!$L$16*$B738</f>
      </c>
      <c r="AC738" s="12">
        <f>IF(AB738&gt;0,IF(AB738&lt;=eco,alpha*fck*(1-(1-AB738/eco)^n),alpha*fck),0)</f>
      </c>
      <c r="AD738" s="30">
        <f>PM_Angle!$J$17+PM_Angle!$K$17*$C738+PM_Angle!$L$17*$B738</f>
      </c>
      <c r="AE738" s="12">
        <f>IF(AD738&gt;0,IF(AD738&lt;=eco,alpha*fck*(1-(1-AD738/eco)^n),alpha*fck),0)</f>
      </c>
      <c r="AF738" s="30">
        <f>PM_Angle!$J$18+PM_Angle!$K$18*$C738+PM_Angle!$L$18*$B738</f>
      </c>
      <c r="AG738" s="12">
        <f>IF(AF738&gt;0,IF(AF738&lt;=eco,alpha*fck*(1-(1-AF738/eco)^n),alpha*fck),0)</f>
      </c>
      <c r="AH738" s="30">
        <f>PM_Angle!$J$19+PM_Angle!$K$19*$C738+PM_Angle!$L$19*$B738</f>
      </c>
      <c r="AI738" s="12">
        <f>IF(AH738&gt;0,IF(AH738&lt;=eco,alpha*fck*(1-(1-AH738/eco)^n),alpha*fck),0)</f>
      </c>
      <c r="AJ738" s="30">
        <f>PM_Angle!$J$20+PM_Angle!$K$20*$C738+PM_Angle!$L$20*$B738</f>
      </c>
      <c r="AK738" s="12">
        <f>IF(AJ738&gt;0,IF(AJ738&lt;=eco,alpha*fck*(1-(1-AJ738/eco)^n),alpha*fck),0)</f>
      </c>
      <c r="AL738" s="30">
        <f>PM_Angle!$J$21+PM_Angle!$K$21*$C738+PM_Angle!$L$21*$B738</f>
      </c>
      <c r="AM738" s="12">
        <f>IF(AL738&gt;0,IF(AL738&lt;=eco,alpha*fck*(1-(1-AL738/eco)^n),alpha*fck),0)</f>
      </c>
      <c r="AN738" s="30">
        <f>PM_Angle!$J$22+PM_Angle!$K$22*$C738+PM_Angle!$L$22*$B738</f>
      </c>
      <c r="AO738" s="12">
        <f>IF(AN738&gt;0,IF(AN738&lt;=eco,alpha*fck*(1-(1-AN738/eco)^n),alpha*fck),0)</f>
      </c>
      <c r="AP738" s="30">
        <f>PM_Angle!$J$23+PM_Angle!$K$23*$C738+PM_Angle!$L$23*$B738</f>
      </c>
      <c r="AQ738" s="12">
        <f>IF(AP738&gt;0,IF(AP738&lt;=eco,alpha*fck*(1-(1-AP738/eco)^n),alpha*fck),0)</f>
      </c>
      <c r="AR738" s="30">
        <f>PM_Angle!$J$24+PM_Angle!$K$24*$C738+PM_Angle!$L$24*$B738</f>
      </c>
      <c r="AS738" s="12">
        <f>IF(AR738&gt;0,IF(AR738&lt;=eco,alpha*fck*(1-(1-AR738/eco)^n),alpha*fck),0)</f>
      </c>
      <c r="AT738" s="30">
        <f>PM_Angle!$J$25+PM_Angle!$K$25*$C738+PM_Angle!$L$25*$B738</f>
      </c>
      <c r="AU738" s="12">
        <f>IF(AT738&gt;0,IF(AT738&lt;=eco,alpha*fck*(1-(1-AT738/eco)^n),alpha*fck),0)</f>
      </c>
    </row>
    <row r="739" spans="1:47" x14ac:dyDescent="0.25">
      <c r="A739">
        <f>Mesh!A736</f>
      </c>
      <c r="B739" s="12">
        <f>Mesh!B736</f>
      </c>
      <c r="C739" s="12">
        <f>Mesh!C736</f>
      </c>
      <c r="D739" s="12">
        <f>Mesh!D736</f>
      </c>
      <c r="E739" s="30">
        <f>INDEX(St_e0,Det+1)+INDEX(St_kx,Det+1)*C739+INDEX(St_ky,Det+1)*B739</f>
      </c>
      <c r="F739" s="12">
        <f>IF(E739&gt;0,IF(E739&lt;=eco,alpha*fck*(1-(1-E739/eco)^n),alpha*fck),0)</f>
      </c>
      <c r="G739" s="11">
        <f>F739*D739</f>
      </c>
      <c r="H739" s="11">
        <f>G739*C739</f>
      </c>
      <c r="I739" s="11">
        <f>G739*B739</f>
      </c>
      <c r="J739" s="30">
        <f>PM_Angle!$J$7+PM_Angle!$K$7*$C739+PM_Angle!$L$7*$B739</f>
      </c>
      <c r="K739" s="12">
        <f>IF(J739&gt;0,IF(J739&lt;=eco,alpha*fck*(1-(1-J739/eco)^n),alpha*fck),0)</f>
      </c>
      <c r="L739" s="30">
        <f>PM_Angle!$J$8+PM_Angle!$K$8*$C739+PM_Angle!$L$8*$B739</f>
      </c>
      <c r="M739" s="12">
        <f>IF(L739&gt;0,IF(L739&lt;=eco,alpha*fck*(1-(1-L739/eco)^n),alpha*fck),0)</f>
      </c>
      <c r="N739" s="30">
        <f>PM_Angle!$J$9+PM_Angle!$K$9*$C739+PM_Angle!$L$9*$B739</f>
      </c>
      <c r="O739" s="12">
        <f>IF(N739&gt;0,IF(N739&lt;=eco,alpha*fck*(1-(1-N739/eco)^n),alpha*fck),0)</f>
      </c>
      <c r="P739" s="30">
        <f>PM_Angle!$J$10+PM_Angle!$K$10*$C739+PM_Angle!$L$10*$B739</f>
      </c>
      <c r="Q739" s="12">
        <f>IF(P739&gt;0,IF(P739&lt;=eco,alpha*fck*(1-(1-P739/eco)^n),alpha*fck),0)</f>
      </c>
      <c r="R739" s="30">
        <f>PM_Angle!$J$11+PM_Angle!$K$11*$C739+PM_Angle!$L$11*$B739</f>
      </c>
      <c r="S739" s="12">
        <f>IF(R739&gt;0,IF(R739&lt;=eco,alpha*fck*(1-(1-R739/eco)^n),alpha*fck),0)</f>
      </c>
      <c r="T739" s="30">
        <f>PM_Angle!$J$12+PM_Angle!$K$12*$C739+PM_Angle!$L$12*$B739</f>
      </c>
      <c r="U739" s="12">
        <f>IF(T739&gt;0,IF(T739&lt;=eco,alpha*fck*(1-(1-T739/eco)^n),alpha*fck),0)</f>
      </c>
      <c r="V739" s="30">
        <f>PM_Angle!$J$13+PM_Angle!$K$13*$C739+PM_Angle!$L$13*$B739</f>
      </c>
      <c r="W739" s="12">
        <f>IF(V739&gt;0,IF(V739&lt;=eco,alpha*fck*(1-(1-V739/eco)^n),alpha*fck),0)</f>
      </c>
      <c r="X739" s="30">
        <f>PM_Angle!$J$14+PM_Angle!$K$14*$C739+PM_Angle!$L$14*$B739</f>
      </c>
      <c r="Y739" s="12">
        <f>IF(X739&gt;0,IF(X739&lt;=eco,alpha*fck*(1-(1-X739/eco)^n),alpha*fck),0)</f>
      </c>
      <c r="Z739" s="30">
        <f>PM_Angle!$J$15+PM_Angle!$K$15*$C739+PM_Angle!$L$15*$B739</f>
      </c>
      <c r="AA739" s="12">
        <f>IF(Z739&gt;0,IF(Z739&lt;=eco,alpha*fck*(1-(1-Z739/eco)^n),alpha*fck),0)</f>
      </c>
      <c r="AB739" s="30">
        <f>PM_Angle!$J$16+PM_Angle!$K$16*$C739+PM_Angle!$L$16*$B739</f>
      </c>
      <c r="AC739" s="12">
        <f>IF(AB739&gt;0,IF(AB739&lt;=eco,alpha*fck*(1-(1-AB739/eco)^n),alpha*fck),0)</f>
      </c>
      <c r="AD739" s="30">
        <f>PM_Angle!$J$17+PM_Angle!$K$17*$C739+PM_Angle!$L$17*$B739</f>
      </c>
      <c r="AE739" s="12">
        <f>IF(AD739&gt;0,IF(AD739&lt;=eco,alpha*fck*(1-(1-AD739/eco)^n),alpha*fck),0)</f>
      </c>
      <c r="AF739" s="30">
        <f>PM_Angle!$J$18+PM_Angle!$K$18*$C739+PM_Angle!$L$18*$B739</f>
      </c>
      <c r="AG739" s="12">
        <f>IF(AF739&gt;0,IF(AF739&lt;=eco,alpha*fck*(1-(1-AF739/eco)^n),alpha*fck),0)</f>
      </c>
      <c r="AH739" s="30">
        <f>PM_Angle!$J$19+PM_Angle!$K$19*$C739+PM_Angle!$L$19*$B739</f>
      </c>
      <c r="AI739" s="12">
        <f>IF(AH739&gt;0,IF(AH739&lt;=eco,alpha*fck*(1-(1-AH739/eco)^n),alpha*fck),0)</f>
      </c>
      <c r="AJ739" s="30">
        <f>PM_Angle!$J$20+PM_Angle!$K$20*$C739+PM_Angle!$L$20*$B739</f>
      </c>
      <c r="AK739" s="12">
        <f>IF(AJ739&gt;0,IF(AJ739&lt;=eco,alpha*fck*(1-(1-AJ739/eco)^n),alpha*fck),0)</f>
      </c>
      <c r="AL739" s="30">
        <f>PM_Angle!$J$21+PM_Angle!$K$21*$C739+PM_Angle!$L$21*$B739</f>
      </c>
      <c r="AM739" s="12">
        <f>IF(AL739&gt;0,IF(AL739&lt;=eco,alpha*fck*(1-(1-AL739/eco)^n),alpha*fck),0)</f>
      </c>
      <c r="AN739" s="30">
        <f>PM_Angle!$J$22+PM_Angle!$K$22*$C739+PM_Angle!$L$22*$B739</f>
      </c>
      <c r="AO739" s="12">
        <f>IF(AN739&gt;0,IF(AN739&lt;=eco,alpha*fck*(1-(1-AN739/eco)^n),alpha*fck),0)</f>
      </c>
      <c r="AP739" s="30">
        <f>PM_Angle!$J$23+PM_Angle!$K$23*$C739+PM_Angle!$L$23*$B739</f>
      </c>
      <c r="AQ739" s="12">
        <f>IF(AP739&gt;0,IF(AP739&lt;=eco,alpha*fck*(1-(1-AP739/eco)^n),alpha*fck),0)</f>
      </c>
      <c r="AR739" s="30">
        <f>PM_Angle!$J$24+PM_Angle!$K$24*$C739+PM_Angle!$L$24*$B739</f>
      </c>
      <c r="AS739" s="12">
        <f>IF(AR739&gt;0,IF(AR739&lt;=eco,alpha*fck*(1-(1-AR739/eco)^n),alpha*fck),0)</f>
      </c>
      <c r="AT739" s="30">
        <f>PM_Angle!$J$25+PM_Angle!$K$25*$C739+PM_Angle!$L$25*$B739</f>
      </c>
      <c r="AU739" s="12">
        <f>IF(AT739&gt;0,IF(AT739&lt;=eco,alpha*fck*(1-(1-AT739/eco)^n),alpha*fck),0)</f>
      </c>
    </row>
    <row r="740" spans="1:47" x14ac:dyDescent="0.25">
      <c r="A740">
        <f>Mesh!A737</f>
      </c>
      <c r="B740" s="12">
        <f>Mesh!B737</f>
      </c>
      <c r="C740" s="12">
        <f>Mesh!C737</f>
      </c>
      <c r="D740" s="12">
        <f>Mesh!D737</f>
      </c>
      <c r="E740" s="30">
        <f>INDEX(St_e0,Det+1)+INDEX(St_kx,Det+1)*C740+INDEX(St_ky,Det+1)*B740</f>
      </c>
      <c r="F740" s="12">
        <f>IF(E740&gt;0,IF(E740&lt;=eco,alpha*fck*(1-(1-E740/eco)^n),alpha*fck),0)</f>
      </c>
      <c r="G740" s="11">
        <f>F740*D740</f>
      </c>
      <c r="H740" s="11">
        <f>G740*C740</f>
      </c>
      <c r="I740" s="11">
        <f>G740*B740</f>
      </c>
      <c r="J740" s="30">
        <f>PM_Angle!$J$7+PM_Angle!$K$7*$C740+PM_Angle!$L$7*$B740</f>
      </c>
      <c r="K740" s="12">
        <f>IF(J740&gt;0,IF(J740&lt;=eco,alpha*fck*(1-(1-J740/eco)^n),alpha*fck),0)</f>
      </c>
      <c r="L740" s="30">
        <f>PM_Angle!$J$8+PM_Angle!$K$8*$C740+PM_Angle!$L$8*$B740</f>
      </c>
      <c r="M740" s="12">
        <f>IF(L740&gt;0,IF(L740&lt;=eco,alpha*fck*(1-(1-L740/eco)^n),alpha*fck),0)</f>
      </c>
      <c r="N740" s="30">
        <f>PM_Angle!$J$9+PM_Angle!$K$9*$C740+PM_Angle!$L$9*$B740</f>
      </c>
      <c r="O740" s="12">
        <f>IF(N740&gt;0,IF(N740&lt;=eco,alpha*fck*(1-(1-N740/eco)^n),alpha*fck),0)</f>
      </c>
      <c r="P740" s="30">
        <f>PM_Angle!$J$10+PM_Angle!$K$10*$C740+PM_Angle!$L$10*$B740</f>
      </c>
      <c r="Q740" s="12">
        <f>IF(P740&gt;0,IF(P740&lt;=eco,alpha*fck*(1-(1-P740/eco)^n),alpha*fck),0)</f>
      </c>
      <c r="R740" s="30">
        <f>PM_Angle!$J$11+PM_Angle!$K$11*$C740+PM_Angle!$L$11*$B740</f>
      </c>
      <c r="S740" s="12">
        <f>IF(R740&gt;0,IF(R740&lt;=eco,alpha*fck*(1-(1-R740/eco)^n),alpha*fck),0)</f>
      </c>
      <c r="T740" s="30">
        <f>PM_Angle!$J$12+PM_Angle!$K$12*$C740+PM_Angle!$L$12*$B740</f>
      </c>
      <c r="U740" s="12">
        <f>IF(T740&gt;0,IF(T740&lt;=eco,alpha*fck*(1-(1-T740/eco)^n),alpha*fck),0)</f>
      </c>
      <c r="V740" s="30">
        <f>PM_Angle!$J$13+PM_Angle!$K$13*$C740+PM_Angle!$L$13*$B740</f>
      </c>
      <c r="W740" s="12">
        <f>IF(V740&gt;0,IF(V740&lt;=eco,alpha*fck*(1-(1-V740/eco)^n),alpha*fck),0)</f>
      </c>
      <c r="X740" s="30">
        <f>PM_Angle!$J$14+PM_Angle!$K$14*$C740+PM_Angle!$L$14*$B740</f>
      </c>
      <c r="Y740" s="12">
        <f>IF(X740&gt;0,IF(X740&lt;=eco,alpha*fck*(1-(1-X740/eco)^n),alpha*fck),0)</f>
      </c>
      <c r="Z740" s="30">
        <f>PM_Angle!$J$15+PM_Angle!$K$15*$C740+PM_Angle!$L$15*$B740</f>
      </c>
      <c r="AA740" s="12">
        <f>IF(Z740&gt;0,IF(Z740&lt;=eco,alpha*fck*(1-(1-Z740/eco)^n),alpha*fck),0)</f>
      </c>
      <c r="AB740" s="30">
        <f>PM_Angle!$J$16+PM_Angle!$K$16*$C740+PM_Angle!$L$16*$B740</f>
      </c>
      <c r="AC740" s="12">
        <f>IF(AB740&gt;0,IF(AB740&lt;=eco,alpha*fck*(1-(1-AB740/eco)^n),alpha*fck),0)</f>
      </c>
      <c r="AD740" s="30">
        <f>PM_Angle!$J$17+PM_Angle!$K$17*$C740+PM_Angle!$L$17*$B740</f>
      </c>
      <c r="AE740" s="12">
        <f>IF(AD740&gt;0,IF(AD740&lt;=eco,alpha*fck*(1-(1-AD740/eco)^n),alpha*fck),0)</f>
      </c>
      <c r="AF740" s="30">
        <f>PM_Angle!$J$18+PM_Angle!$K$18*$C740+PM_Angle!$L$18*$B740</f>
      </c>
      <c r="AG740" s="12">
        <f>IF(AF740&gt;0,IF(AF740&lt;=eco,alpha*fck*(1-(1-AF740/eco)^n),alpha*fck),0)</f>
      </c>
      <c r="AH740" s="30">
        <f>PM_Angle!$J$19+PM_Angle!$K$19*$C740+PM_Angle!$L$19*$B740</f>
      </c>
      <c r="AI740" s="12">
        <f>IF(AH740&gt;0,IF(AH740&lt;=eco,alpha*fck*(1-(1-AH740/eco)^n),alpha*fck),0)</f>
      </c>
      <c r="AJ740" s="30">
        <f>PM_Angle!$J$20+PM_Angle!$K$20*$C740+PM_Angle!$L$20*$B740</f>
      </c>
      <c r="AK740" s="12">
        <f>IF(AJ740&gt;0,IF(AJ740&lt;=eco,alpha*fck*(1-(1-AJ740/eco)^n),alpha*fck),0)</f>
      </c>
      <c r="AL740" s="30">
        <f>PM_Angle!$J$21+PM_Angle!$K$21*$C740+PM_Angle!$L$21*$B740</f>
      </c>
      <c r="AM740" s="12">
        <f>IF(AL740&gt;0,IF(AL740&lt;=eco,alpha*fck*(1-(1-AL740/eco)^n),alpha*fck),0)</f>
      </c>
      <c r="AN740" s="30">
        <f>PM_Angle!$J$22+PM_Angle!$K$22*$C740+PM_Angle!$L$22*$B740</f>
      </c>
      <c r="AO740" s="12">
        <f>IF(AN740&gt;0,IF(AN740&lt;=eco,alpha*fck*(1-(1-AN740/eco)^n),alpha*fck),0)</f>
      </c>
      <c r="AP740" s="30">
        <f>PM_Angle!$J$23+PM_Angle!$K$23*$C740+PM_Angle!$L$23*$B740</f>
      </c>
      <c r="AQ740" s="12">
        <f>IF(AP740&gt;0,IF(AP740&lt;=eco,alpha*fck*(1-(1-AP740/eco)^n),alpha*fck),0)</f>
      </c>
      <c r="AR740" s="30">
        <f>PM_Angle!$J$24+PM_Angle!$K$24*$C740+PM_Angle!$L$24*$B740</f>
      </c>
      <c r="AS740" s="12">
        <f>IF(AR740&gt;0,IF(AR740&lt;=eco,alpha*fck*(1-(1-AR740/eco)^n),alpha*fck),0)</f>
      </c>
      <c r="AT740" s="30">
        <f>PM_Angle!$J$25+PM_Angle!$K$25*$C740+PM_Angle!$L$25*$B740</f>
      </c>
      <c r="AU740" s="12">
        <f>IF(AT740&gt;0,IF(AT740&lt;=eco,alpha*fck*(1-(1-AT740/eco)^n),alpha*fck),0)</f>
      </c>
    </row>
    <row r="741" spans="1:47" x14ac:dyDescent="0.25">
      <c r="A741">
        <f>Mesh!A738</f>
      </c>
      <c r="B741" s="12">
        <f>Mesh!B738</f>
      </c>
      <c r="C741" s="12">
        <f>Mesh!C738</f>
      </c>
      <c r="D741" s="12">
        <f>Mesh!D738</f>
      </c>
      <c r="E741" s="30">
        <f>INDEX(St_e0,Det+1)+INDEX(St_kx,Det+1)*C741+INDEX(St_ky,Det+1)*B741</f>
      </c>
      <c r="F741" s="12">
        <f>IF(E741&gt;0,IF(E741&lt;=eco,alpha*fck*(1-(1-E741/eco)^n),alpha*fck),0)</f>
      </c>
      <c r="G741" s="11">
        <f>F741*D741</f>
      </c>
      <c r="H741" s="11">
        <f>G741*C741</f>
      </c>
      <c r="I741" s="11">
        <f>G741*B741</f>
      </c>
      <c r="J741" s="30">
        <f>PM_Angle!$J$7+PM_Angle!$K$7*$C741+PM_Angle!$L$7*$B741</f>
      </c>
      <c r="K741" s="12">
        <f>IF(J741&gt;0,IF(J741&lt;=eco,alpha*fck*(1-(1-J741/eco)^n),alpha*fck),0)</f>
      </c>
      <c r="L741" s="30">
        <f>PM_Angle!$J$8+PM_Angle!$K$8*$C741+PM_Angle!$L$8*$B741</f>
      </c>
      <c r="M741" s="12">
        <f>IF(L741&gt;0,IF(L741&lt;=eco,alpha*fck*(1-(1-L741/eco)^n),alpha*fck),0)</f>
      </c>
      <c r="N741" s="30">
        <f>PM_Angle!$J$9+PM_Angle!$K$9*$C741+PM_Angle!$L$9*$B741</f>
      </c>
      <c r="O741" s="12">
        <f>IF(N741&gt;0,IF(N741&lt;=eco,alpha*fck*(1-(1-N741/eco)^n),alpha*fck),0)</f>
      </c>
      <c r="P741" s="30">
        <f>PM_Angle!$J$10+PM_Angle!$K$10*$C741+PM_Angle!$L$10*$B741</f>
      </c>
      <c r="Q741" s="12">
        <f>IF(P741&gt;0,IF(P741&lt;=eco,alpha*fck*(1-(1-P741/eco)^n),alpha*fck),0)</f>
      </c>
      <c r="R741" s="30">
        <f>PM_Angle!$J$11+PM_Angle!$K$11*$C741+PM_Angle!$L$11*$B741</f>
      </c>
      <c r="S741" s="12">
        <f>IF(R741&gt;0,IF(R741&lt;=eco,alpha*fck*(1-(1-R741/eco)^n),alpha*fck),0)</f>
      </c>
      <c r="T741" s="30">
        <f>PM_Angle!$J$12+PM_Angle!$K$12*$C741+PM_Angle!$L$12*$B741</f>
      </c>
      <c r="U741" s="12">
        <f>IF(T741&gt;0,IF(T741&lt;=eco,alpha*fck*(1-(1-T741/eco)^n),alpha*fck),0)</f>
      </c>
      <c r="V741" s="30">
        <f>PM_Angle!$J$13+PM_Angle!$K$13*$C741+PM_Angle!$L$13*$B741</f>
      </c>
      <c r="W741" s="12">
        <f>IF(V741&gt;0,IF(V741&lt;=eco,alpha*fck*(1-(1-V741/eco)^n),alpha*fck),0)</f>
      </c>
      <c r="X741" s="30">
        <f>PM_Angle!$J$14+PM_Angle!$K$14*$C741+PM_Angle!$L$14*$B741</f>
      </c>
      <c r="Y741" s="12">
        <f>IF(X741&gt;0,IF(X741&lt;=eco,alpha*fck*(1-(1-X741/eco)^n),alpha*fck),0)</f>
      </c>
      <c r="Z741" s="30">
        <f>PM_Angle!$J$15+PM_Angle!$K$15*$C741+PM_Angle!$L$15*$B741</f>
      </c>
      <c r="AA741" s="12">
        <f>IF(Z741&gt;0,IF(Z741&lt;=eco,alpha*fck*(1-(1-Z741/eco)^n),alpha*fck),0)</f>
      </c>
      <c r="AB741" s="30">
        <f>PM_Angle!$J$16+PM_Angle!$K$16*$C741+PM_Angle!$L$16*$B741</f>
      </c>
      <c r="AC741" s="12">
        <f>IF(AB741&gt;0,IF(AB741&lt;=eco,alpha*fck*(1-(1-AB741/eco)^n),alpha*fck),0)</f>
      </c>
      <c r="AD741" s="30">
        <f>PM_Angle!$J$17+PM_Angle!$K$17*$C741+PM_Angle!$L$17*$B741</f>
      </c>
      <c r="AE741" s="12">
        <f>IF(AD741&gt;0,IF(AD741&lt;=eco,alpha*fck*(1-(1-AD741/eco)^n),alpha*fck),0)</f>
      </c>
      <c r="AF741" s="30">
        <f>PM_Angle!$J$18+PM_Angle!$K$18*$C741+PM_Angle!$L$18*$B741</f>
      </c>
      <c r="AG741" s="12">
        <f>IF(AF741&gt;0,IF(AF741&lt;=eco,alpha*fck*(1-(1-AF741/eco)^n),alpha*fck),0)</f>
      </c>
      <c r="AH741" s="30">
        <f>PM_Angle!$J$19+PM_Angle!$K$19*$C741+PM_Angle!$L$19*$B741</f>
      </c>
      <c r="AI741" s="12">
        <f>IF(AH741&gt;0,IF(AH741&lt;=eco,alpha*fck*(1-(1-AH741/eco)^n),alpha*fck),0)</f>
      </c>
      <c r="AJ741" s="30">
        <f>PM_Angle!$J$20+PM_Angle!$K$20*$C741+PM_Angle!$L$20*$B741</f>
      </c>
      <c r="AK741" s="12">
        <f>IF(AJ741&gt;0,IF(AJ741&lt;=eco,alpha*fck*(1-(1-AJ741/eco)^n),alpha*fck),0)</f>
      </c>
      <c r="AL741" s="30">
        <f>PM_Angle!$J$21+PM_Angle!$K$21*$C741+PM_Angle!$L$21*$B741</f>
      </c>
      <c r="AM741" s="12">
        <f>IF(AL741&gt;0,IF(AL741&lt;=eco,alpha*fck*(1-(1-AL741/eco)^n),alpha*fck),0)</f>
      </c>
      <c r="AN741" s="30">
        <f>PM_Angle!$J$22+PM_Angle!$K$22*$C741+PM_Angle!$L$22*$B741</f>
      </c>
      <c r="AO741" s="12">
        <f>IF(AN741&gt;0,IF(AN741&lt;=eco,alpha*fck*(1-(1-AN741/eco)^n),alpha*fck),0)</f>
      </c>
      <c r="AP741" s="30">
        <f>PM_Angle!$J$23+PM_Angle!$K$23*$C741+PM_Angle!$L$23*$B741</f>
      </c>
      <c r="AQ741" s="12">
        <f>IF(AP741&gt;0,IF(AP741&lt;=eco,alpha*fck*(1-(1-AP741/eco)^n),alpha*fck),0)</f>
      </c>
      <c r="AR741" s="30">
        <f>PM_Angle!$J$24+PM_Angle!$K$24*$C741+PM_Angle!$L$24*$B741</f>
      </c>
      <c r="AS741" s="12">
        <f>IF(AR741&gt;0,IF(AR741&lt;=eco,alpha*fck*(1-(1-AR741/eco)^n),alpha*fck),0)</f>
      </c>
      <c r="AT741" s="30">
        <f>PM_Angle!$J$25+PM_Angle!$K$25*$C741+PM_Angle!$L$25*$B741</f>
      </c>
      <c r="AU741" s="12">
        <f>IF(AT741&gt;0,IF(AT741&lt;=eco,alpha*fck*(1-(1-AT741/eco)^n),alpha*fck),0)</f>
      </c>
    </row>
    <row r="742" spans="1:47" x14ac:dyDescent="0.25">
      <c r="A742">
        <f>Mesh!A739</f>
      </c>
      <c r="B742" s="12">
        <f>Mesh!B739</f>
      </c>
      <c r="C742" s="12">
        <f>Mesh!C739</f>
      </c>
      <c r="D742" s="12">
        <f>Mesh!D739</f>
      </c>
      <c r="E742" s="30">
        <f>INDEX(St_e0,Det+1)+INDEX(St_kx,Det+1)*C742+INDEX(St_ky,Det+1)*B742</f>
      </c>
      <c r="F742" s="12">
        <f>IF(E742&gt;0,IF(E742&lt;=eco,alpha*fck*(1-(1-E742/eco)^n),alpha*fck),0)</f>
      </c>
      <c r="G742" s="11">
        <f>F742*D742</f>
      </c>
      <c r="H742" s="11">
        <f>G742*C742</f>
      </c>
      <c r="I742" s="11">
        <f>G742*B742</f>
      </c>
      <c r="J742" s="30">
        <f>PM_Angle!$J$7+PM_Angle!$K$7*$C742+PM_Angle!$L$7*$B742</f>
      </c>
      <c r="K742" s="12">
        <f>IF(J742&gt;0,IF(J742&lt;=eco,alpha*fck*(1-(1-J742/eco)^n),alpha*fck),0)</f>
      </c>
      <c r="L742" s="30">
        <f>PM_Angle!$J$8+PM_Angle!$K$8*$C742+PM_Angle!$L$8*$B742</f>
      </c>
      <c r="M742" s="12">
        <f>IF(L742&gt;0,IF(L742&lt;=eco,alpha*fck*(1-(1-L742/eco)^n),alpha*fck),0)</f>
      </c>
      <c r="N742" s="30">
        <f>PM_Angle!$J$9+PM_Angle!$K$9*$C742+PM_Angle!$L$9*$B742</f>
      </c>
      <c r="O742" s="12">
        <f>IF(N742&gt;0,IF(N742&lt;=eco,alpha*fck*(1-(1-N742/eco)^n),alpha*fck),0)</f>
      </c>
      <c r="P742" s="30">
        <f>PM_Angle!$J$10+PM_Angle!$K$10*$C742+PM_Angle!$L$10*$B742</f>
      </c>
      <c r="Q742" s="12">
        <f>IF(P742&gt;0,IF(P742&lt;=eco,alpha*fck*(1-(1-P742/eco)^n),alpha*fck),0)</f>
      </c>
      <c r="R742" s="30">
        <f>PM_Angle!$J$11+PM_Angle!$K$11*$C742+PM_Angle!$L$11*$B742</f>
      </c>
      <c r="S742" s="12">
        <f>IF(R742&gt;0,IF(R742&lt;=eco,alpha*fck*(1-(1-R742/eco)^n),alpha*fck),0)</f>
      </c>
      <c r="T742" s="30">
        <f>PM_Angle!$J$12+PM_Angle!$K$12*$C742+PM_Angle!$L$12*$B742</f>
      </c>
      <c r="U742" s="12">
        <f>IF(T742&gt;0,IF(T742&lt;=eco,alpha*fck*(1-(1-T742/eco)^n),alpha*fck),0)</f>
      </c>
      <c r="V742" s="30">
        <f>PM_Angle!$J$13+PM_Angle!$K$13*$C742+PM_Angle!$L$13*$B742</f>
      </c>
      <c r="W742" s="12">
        <f>IF(V742&gt;0,IF(V742&lt;=eco,alpha*fck*(1-(1-V742/eco)^n),alpha*fck),0)</f>
      </c>
      <c r="X742" s="30">
        <f>PM_Angle!$J$14+PM_Angle!$K$14*$C742+PM_Angle!$L$14*$B742</f>
      </c>
      <c r="Y742" s="12">
        <f>IF(X742&gt;0,IF(X742&lt;=eco,alpha*fck*(1-(1-X742/eco)^n),alpha*fck),0)</f>
      </c>
      <c r="Z742" s="30">
        <f>PM_Angle!$J$15+PM_Angle!$K$15*$C742+PM_Angle!$L$15*$B742</f>
      </c>
      <c r="AA742" s="12">
        <f>IF(Z742&gt;0,IF(Z742&lt;=eco,alpha*fck*(1-(1-Z742/eco)^n),alpha*fck),0)</f>
      </c>
      <c r="AB742" s="30">
        <f>PM_Angle!$J$16+PM_Angle!$K$16*$C742+PM_Angle!$L$16*$B742</f>
      </c>
      <c r="AC742" s="12">
        <f>IF(AB742&gt;0,IF(AB742&lt;=eco,alpha*fck*(1-(1-AB742/eco)^n),alpha*fck),0)</f>
      </c>
      <c r="AD742" s="30">
        <f>PM_Angle!$J$17+PM_Angle!$K$17*$C742+PM_Angle!$L$17*$B742</f>
      </c>
      <c r="AE742" s="12">
        <f>IF(AD742&gt;0,IF(AD742&lt;=eco,alpha*fck*(1-(1-AD742/eco)^n),alpha*fck),0)</f>
      </c>
      <c r="AF742" s="30">
        <f>PM_Angle!$J$18+PM_Angle!$K$18*$C742+PM_Angle!$L$18*$B742</f>
      </c>
      <c r="AG742" s="12">
        <f>IF(AF742&gt;0,IF(AF742&lt;=eco,alpha*fck*(1-(1-AF742/eco)^n),alpha*fck),0)</f>
      </c>
      <c r="AH742" s="30">
        <f>PM_Angle!$J$19+PM_Angle!$K$19*$C742+PM_Angle!$L$19*$B742</f>
      </c>
      <c r="AI742" s="12">
        <f>IF(AH742&gt;0,IF(AH742&lt;=eco,alpha*fck*(1-(1-AH742/eco)^n),alpha*fck),0)</f>
      </c>
      <c r="AJ742" s="30">
        <f>PM_Angle!$J$20+PM_Angle!$K$20*$C742+PM_Angle!$L$20*$B742</f>
      </c>
      <c r="AK742" s="12">
        <f>IF(AJ742&gt;0,IF(AJ742&lt;=eco,alpha*fck*(1-(1-AJ742/eco)^n),alpha*fck),0)</f>
      </c>
      <c r="AL742" s="30">
        <f>PM_Angle!$J$21+PM_Angle!$K$21*$C742+PM_Angle!$L$21*$B742</f>
      </c>
      <c r="AM742" s="12">
        <f>IF(AL742&gt;0,IF(AL742&lt;=eco,alpha*fck*(1-(1-AL742/eco)^n),alpha*fck),0)</f>
      </c>
      <c r="AN742" s="30">
        <f>PM_Angle!$J$22+PM_Angle!$K$22*$C742+PM_Angle!$L$22*$B742</f>
      </c>
      <c r="AO742" s="12">
        <f>IF(AN742&gt;0,IF(AN742&lt;=eco,alpha*fck*(1-(1-AN742/eco)^n),alpha*fck),0)</f>
      </c>
      <c r="AP742" s="30">
        <f>PM_Angle!$J$23+PM_Angle!$K$23*$C742+PM_Angle!$L$23*$B742</f>
      </c>
      <c r="AQ742" s="12">
        <f>IF(AP742&gt;0,IF(AP742&lt;=eco,alpha*fck*(1-(1-AP742/eco)^n),alpha*fck),0)</f>
      </c>
      <c r="AR742" s="30">
        <f>PM_Angle!$J$24+PM_Angle!$K$24*$C742+PM_Angle!$L$24*$B742</f>
      </c>
      <c r="AS742" s="12">
        <f>IF(AR742&gt;0,IF(AR742&lt;=eco,alpha*fck*(1-(1-AR742/eco)^n),alpha*fck),0)</f>
      </c>
      <c r="AT742" s="30">
        <f>PM_Angle!$J$25+PM_Angle!$K$25*$C742+PM_Angle!$L$25*$B742</f>
      </c>
      <c r="AU742" s="12">
        <f>IF(AT742&gt;0,IF(AT742&lt;=eco,alpha*fck*(1-(1-AT742/eco)^n),alpha*fck),0)</f>
      </c>
    </row>
    <row r="743" spans="1:47" x14ac:dyDescent="0.25">
      <c r="A743">
        <f>Mesh!A740</f>
      </c>
      <c r="B743" s="12">
        <f>Mesh!B740</f>
      </c>
      <c r="C743" s="12">
        <f>Mesh!C740</f>
      </c>
      <c r="D743" s="12">
        <f>Mesh!D740</f>
      </c>
      <c r="E743" s="30">
        <f>INDEX(St_e0,Det+1)+INDEX(St_kx,Det+1)*C743+INDEX(St_ky,Det+1)*B743</f>
      </c>
      <c r="F743" s="12">
        <f>IF(E743&gt;0,IF(E743&lt;=eco,alpha*fck*(1-(1-E743/eco)^n),alpha*fck),0)</f>
      </c>
      <c r="G743" s="11">
        <f>F743*D743</f>
      </c>
      <c r="H743" s="11">
        <f>G743*C743</f>
      </c>
      <c r="I743" s="11">
        <f>G743*B743</f>
      </c>
      <c r="J743" s="30">
        <f>PM_Angle!$J$7+PM_Angle!$K$7*$C743+PM_Angle!$L$7*$B743</f>
      </c>
      <c r="K743" s="12">
        <f>IF(J743&gt;0,IF(J743&lt;=eco,alpha*fck*(1-(1-J743/eco)^n),alpha*fck),0)</f>
      </c>
      <c r="L743" s="30">
        <f>PM_Angle!$J$8+PM_Angle!$K$8*$C743+PM_Angle!$L$8*$B743</f>
      </c>
      <c r="M743" s="12">
        <f>IF(L743&gt;0,IF(L743&lt;=eco,alpha*fck*(1-(1-L743/eco)^n),alpha*fck),0)</f>
      </c>
      <c r="N743" s="30">
        <f>PM_Angle!$J$9+PM_Angle!$K$9*$C743+PM_Angle!$L$9*$B743</f>
      </c>
      <c r="O743" s="12">
        <f>IF(N743&gt;0,IF(N743&lt;=eco,alpha*fck*(1-(1-N743/eco)^n),alpha*fck),0)</f>
      </c>
      <c r="P743" s="30">
        <f>PM_Angle!$J$10+PM_Angle!$K$10*$C743+PM_Angle!$L$10*$B743</f>
      </c>
      <c r="Q743" s="12">
        <f>IF(P743&gt;0,IF(P743&lt;=eco,alpha*fck*(1-(1-P743/eco)^n),alpha*fck),0)</f>
      </c>
      <c r="R743" s="30">
        <f>PM_Angle!$J$11+PM_Angle!$K$11*$C743+PM_Angle!$L$11*$B743</f>
      </c>
      <c r="S743" s="12">
        <f>IF(R743&gt;0,IF(R743&lt;=eco,alpha*fck*(1-(1-R743/eco)^n),alpha*fck),0)</f>
      </c>
      <c r="T743" s="30">
        <f>PM_Angle!$J$12+PM_Angle!$K$12*$C743+PM_Angle!$L$12*$B743</f>
      </c>
      <c r="U743" s="12">
        <f>IF(T743&gt;0,IF(T743&lt;=eco,alpha*fck*(1-(1-T743/eco)^n),alpha*fck),0)</f>
      </c>
      <c r="V743" s="30">
        <f>PM_Angle!$J$13+PM_Angle!$K$13*$C743+PM_Angle!$L$13*$B743</f>
      </c>
      <c r="W743" s="12">
        <f>IF(V743&gt;0,IF(V743&lt;=eco,alpha*fck*(1-(1-V743/eco)^n),alpha*fck),0)</f>
      </c>
      <c r="X743" s="30">
        <f>PM_Angle!$J$14+PM_Angle!$K$14*$C743+PM_Angle!$L$14*$B743</f>
      </c>
      <c r="Y743" s="12">
        <f>IF(X743&gt;0,IF(X743&lt;=eco,alpha*fck*(1-(1-X743/eco)^n),alpha*fck),0)</f>
      </c>
      <c r="Z743" s="30">
        <f>PM_Angle!$J$15+PM_Angle!$K$15*$C743+PM_Angle!$L$15*$B743</f>
      </c>
      <c r="AA743" s="12">
        <f>IF(Z743&gt;0,IF(Z743&lt;=eco,alpha*fck*(1-(1-Z743/eco)^n),alpha*fck),0)</f>
      </c>
      <c r="AB743" s="30">
        <f>PM_Angle!$J$16+PM_Angle!$K$16*$C743+PM_Angle!$L$16*$B743</f>
      </c>
      <c r="AC743" s="12">
        <f>IF(AB743&gt;0,IF(AB743&lt;=eco,alpha*fck*(1-(1-AB743/eco)^n),alpha*fck),0)</f>
      </c>
      <c r="AD743" s="30">
        <f>PM_Angle!$J$17+PM_Angle!$K$17*$C743+PM_Angle!$L$17*$B743</f>
      </c>
      <c r="AE743" s="12">
        <f>IF(AD743&gt;0,IF(AD743&lt;=eco,alpha*fck*(1-(1-AD743/eco)^n),alpha*fck),0)</f>
      </c>
      <c r="AF743" s="30">
        <f>PM_Angle!$J$18+PM_Angle!$K$18*$C743+PM_Angle!$L$18*$B743</f>
      </c>
      <c r="AG743" s="12">
        <f>IF(AF743&gt;0,IF(AF743&lt;=eco,alpha*fck*(1-(1-AF743/eco)^n),alpha*fck),0)</f>
      </c>
      <c r="AH743" s="30">
        <f>PM_Angle!$J$19+PM_Angle!$K$19*$C743+PM_Angle!$L$19*$B743</f>
      </c>
      <c r="AI743" s="12">
        <f>IF(AH743&gt;0,IF(AH743&lt;=eco,alpha*fck*(1-(1-AH743/eco)^n),alpha*fck),0)</f>
      </c>
      <c r="AJ743" s="30">
        <f>PM_Angle!$J$20+PM_Angle!$K$20*$C743+PM_Angle!$L$20*$B743</f>
      </c>
      <c r="AK743" s="12">
        <f>IF(AJ743&gt;0,IF(AJ743&lt;=eco,alpha*fck*(1-(1-AJ743/eco)^n),alpha*fck),0)</f>
      </c>
      <c r="AL743" s="30">
        <f>PM_Angle!$J$21+PM_Angle!$K$21*$C743+PM_Angle!$L$21*$B743</f>
      </c>
      <c r="AM743" s="12">
        <f>IF(AL743&gt;0,IF(AL743&lt;=eco,alpha*fck*(1-(1-AL743/eco)^n),alpha*fck),0)</f>
      </c>
      <c r="AN743" s="30">
        <f>PM_Angle!$J$22+PM_Angle!$K$22*$C743+PM_Angle!$L$22*$B743</f>
      </c>
      <c r="AO743" s="12">
        <f>IF(AN743&gt;0,IF(AN743&lt;=eco,alpha*fck*(1-(1-AN743/eco)^n),alpha*fck),0)</f>
      </c>
      <c r="AP743" s="30">
        <f>PM_Angle!$J$23+PM_Angle!$K$23*$C743+PM_Angle!$L$23*$B743</f>
      </c>
      <c r="AQ743" s="12">
        <f>IF(AP743&gt;0,IF(AP743&lt;=eco,alpha*fck*(1-(1-AP743/eco)^n),alpha*fck),0)</f>
      </c>
      <c r="AR743" s="30">
        <f>PM_Angle!$J$24+PM_Angle!$K$24*$C743+PM_Angle!$L$24*$B743</f>
      </c>
      <c r="AS743" s="12">
        <f>IF(AR743&gt;0,IF(AR743&lt;=eco,alpha*fck*(1-(1-AR743/eco)^n),alpha*fck),0)</f>
      </c>
      <c r="AT743" s="30">
        <f>PM_Angle!$J$25+PM_Angle!$K$25*$C743+PM_Angle!$L$25*$B743</f>
      </c>
      <c r="AU743" s="12">
        <f>IF(AT743&gt;0,IF(AT743&lt;=eco,alpha*fck*(1-(1-AT743/eco)^n),alpha*fck),0)</f>
      </c>
    </row>
    <row r="744" spans="1:47" x14ac:dyDescent="0.25">
      <c r="A744">
        <f>Mesh!A741</f>
      </c>
      <c r="B744" s="12">
        <f>Mesh!B741</f>
      </c>
      <c r="C744" s="12">
        <f>Mesh!C741</f>
      </c>
      <c r="D744" s="12">
        <f>Mesh!D741</f>
      </c>
      <c r="E744" s="30">
        <f>INDEX(St_e0,Det+1)+INDEX(St_kx,Det+1)*C744+INDEX(St_ky,Det+1)*B744</f>
      </c>
      <c r="F744" s="12">
        <f>IF(E744&gt;0,IF(E744&lt;=eco,alpha*fck*(1-(1-E744/eco)^n),alpha*fck),0)</f>
      </c>
      <c r="G744" s="11">
        <f>F744*D744</f>
      </c>
      <c r="H744" s="11">
        <f>G744*C744</f>
      </c>
      <c r="I744" s="11">
        <f>G744*B744</f>
      </c>
      <c r="J744" s="30">
        <f>PM_Angle!$J$7+PM_Angle!$K$7*$C744+PM_Angle!$L$7*$B744</f>
      </c>
      <c r="K744" s="12">
        <f>IF(J744&gt;0,IF(J744&lt;=eco,alpha*fck*(1-(1-J744/eco)^n),alpha*fck),0)</f>
      </c>
      <c r="L744" s="30">
        <f>PM_Angle!$J$8+PM_Angle!$K$8*$C744+PM_Angle!$L$8*$B744</f>
      </c>
      <c r="M744" s="12">
        <f>IF(L744&gt;0,IF(L744&lt;=eco,alpha*fck*(1-(1-L744/eco)^n),alpha*fck),0)</f>
      </c>
      <c r="N744" s="30">
        <f>PM_Angle!$J$9+PM_Angle!$K$9*$C744+PM_Angle!$L$9*$B744</f>
      </c>
      <c r="O744" s="12">
        <f>IF(N744&gt;0,IF(N744&lt;=eco,alpha*fck*(1-(1-N744/eco)^n),alpha*fck),0)</f>
      </c>
      <c r="P744" s="30">
        <f>PM_Angle!$J$10+PM_Angle!$K$10*$C744+PM_Angle!$L$10*$B744</f>
      </c>
      <c r="Q744" s="12">
        <f>IF(P744&gt;0,IF(P744&lt;=eco,alpha*fck*(1-(1-P744/eco)^n),alpha*fck),0)</f>
      </c>
      <c r="R744" s="30">
        <f>PM_Angle!$J$11+PM_Angle!$K$11*$C744+PM_Angle!$L$11*$B744</f>
      </c>
      <c r="S744" s="12">
        <f>IF(R744&gt;0,IF(R744&lt;=eco,alpha*fck*(1-(1-R744/eco)^n),alpha*fck),0)</f>
      </c>
      <c r="T744" s="30">
        <f>PM_Angle!$J$12+PM_Angle!$K$12*$C744+PM_Angle!$L$12*$B744</f>
      </c>
      <c r="U744" s="12">
        <f>IF(T744&gt;0,IF(T744&lt;=eco,alpha*fck*(1-(1-T744/eco)^n),alpha*fck),0)</f>
      </c>
      <c r="V744" s="30">
        <f>PM_Angle!$J$13+PM_Angle!$K$13*$C744+PM_Angle!$L$13*$B744</f>
      </c>
      <c r="W744" s="12">
        <f>IF(V744&gt;0,IF(V744&lt;=eco,alpha*fck*(1-(1-V744/eco)^n),alpha*fck),0)</f>
      </c>
      <c r="X744" s="30">
        <f>PM_Angle!$J$14+PM_Angle!$K$14*$C744+PM_Angle!$L$14*$B744</f>
      </c>
      <c r="Y744" s="12">
        <f>IF(X744&gt;0,IF(X744&lt;=eco,alpha*fck*(1-(1-X744/eco)^n),alpha*fck),0)</f>
      </c>
      <c r="Z744" s="30">
        <f>PM_Angle!$J$15+PM_Angle!$K$15*$C744+PM_Angle!$L$15*$B744</f>
      </c>
      <c r="AA744" s="12">
        <f>IF(Z744&gt;0,IF(Z744&lt;=eco,alpha*fck*(1-(1-Z744/eco)^n),alpha*fck),0)</f>
      </c>
      <c r="AB744" s="30">
        <f>PM_Angle!$J$16+PM_Angle!$K$16*$C744+PM_Angle!$L$16*$B744</f>
      </c>
      <c r="AC744" s="12">
        <f>IF(AB744&gt;0,IF(AB744&lt;=eco,alpha*fck*(1-(1-AB744/eco)^n),alpha*fck),0)</f>
      </c>
      <c r="AD744" s="30">
        <f>PM_Angle!$J$17+PM_Angle!$K$17*$C744+PM_Angle!$L$17*$B744</f>
      </c>
      <c r="AE744" s="12">
        <f>IF(AD744&gt;0,IF(AD744&lt;=eco,alpha*fck*(1-(1-AD744/eco)^n),alpha*fck),0)</f>
      </c>
      <c r="AF744" s="30">
        <f>PM_Angle!$J$18+PM_Angle!$K$18*$C744+PM_Angle!$L$18*$B744</f>
      </c>
      <c r="AG744" s="12">
        <f>IF(AF744&gt;0,IF(AF744&lt;=eco,alpha*fck*(1-(1-AF744/eco)^n),alpha*fck),0)</f>
      </c>
      <c r="AH744" s="30">
        <f>PM_Angle!$J$19+PM_Angle!$K$19*$C744+PM_Angle!$L$19*$B744</f>
      </c>
      <c r="AI744" s="12">
        <f>IF(AH744&gt;0,IF(AH744&lt;=eco,alpha*fck*(1-(1-AH744/eco)^n),alpha*fck),0)</f>
      </c>
      <c r="AJ744" s="30">
        <f>PM_Angle!$J$20+PM_Angle!$K$20*$C744+PM_Angle!$L$20*$B744</f>
      </c>
      <c r="AK744" s="12">
        <f>IF(AJ744&gt;0,IF(AJ744&lt;=eco,alpha*fck*(1-(1-AJ744/eco)^n),alpha*fck),0)</f>
      </c>
      <c r="AL744" s="30">
        <f>PM_Angle!$J$21+PM_Angle!$K$21*$C744+PM_Angle!$L$21*$B744</f>
      </c>
      <c r="AM744" s="12">
        <f>IF(AL744&gt;0,IF(AL744&lt;=eco,alpha*fck*(1-(1-AL744/eco)^n),alpha*fck),0)</f>
      </c>
      <c r="AN744" s="30">
        <f>PM_Angle!$J$22+PM_Angle!$K$22*$C744+PM_Angle!$L$22*$B744</f>
      </c>
      <c r="AO744" s="12">
        <f>IF(AN744&gt;0,IF(AN744&lt;=eco,alpha*fck*(1-(1-AN744/eco)^n),alpha*fck),0)</f>
      </c>
      <c r="AP744" s="30">
        <f>PM_Angle!$J$23+PM_Angle!$K$23*$C744+PM_Angle!$L$23*$B744</f>
      </c>
      <c r="AQ744" s="12">
        <f>IF(AP744&gt;0,IF(AP744&lt;=eco,alpha*fck*(1-(1-AP744/eco)^n),alpha*fck),0)</f>
      </c>
      <c r="AR744" s="30">
        <f>PM_Angle!$J$24+PM_Angle!$K$24*$C744+PM_Angle!$L$24*$B744</f>
      </c>
      <c r="AS744" s="12">
        <f>IF(AR744&gt;0,IF(AR744&lt;=eco,alpha*fck*(1-(1-AR744/eco)^n),alpha*fck),0)</f>
      </c>
      <c r="AT744" s="30">
        <f>PM_Angle!$J$25+PM_Angle!$K$25*$C744+PM_Angle!$L$25*$B744</f>
      </c>
      <c r="AU744" s="12">
        <f>IF(AT744&gt;0,IF(AT744&lt;=eco,alpha*fck*(1-(1-AT744/eco)^n),alpha*fck),0)</f>
      </c>
    </row>
    <row r="745" spans="1:47" x14ac:dyDescent="0.25">
      <c r="A745">
        <f>Mesh!A742</f>
      </c>
      <c r="B745" s="12">
        <f>Mesh!B742</f>
      </c>
      <c r="C745" s="12">
        <f>Mesh!C742</f>
      </c>
      <c r="D745" s="12">
        <f>Mesh!D742</f>
      </c>
      <c r="E745" s="30">
        <f>INDEX(St_e0,Det+1)+INDEX(St_kx,Det+1)*C745+INDEX(St_ky,Det+1)*B745</f>
      </c>
      <c r="F745" s="12">
        <f>IF(E745&gt;0,IF(E745&lt;=eco,alpha*fck*(1-(1-E745/eco)^n),alpha*fck),0)</f>
      </c>
      <c r="G745" s="11">
        <f>F745*D745</f>
      </c>
      <c r="H745" s="11">
        <f>G745*C745</f>
      </c>
      <c r="I745" s="11">
        <f>G745*B745</f>
      </c>
      <c r="J745" s="30">
        <f>PM_Angle!$J$7+PM_Angle!$K$7*$C745+PM_Angle!$L$7*$B745</f>
      </c>
      <c r="K745" s="12">
        <f>IF(J745&gt;0,IF(J745&lt;=eco,alpha*fck*(1-(1-J745/eco)^n),alpha*fck),0)</f>
      </c>
      <c r="L745" s="30">
        <f>PM_Angle!$J$8+PM_Angle!$K$8*$C745+PM_Angle!$L$8*$B745</f>
      </c>
      <c r="M745" s="12">
        <f>IF(L745&gt;0,IF(L745&lt;=eco,alpha*fck*(1-(1-L745/eco)^n),alpha*fck),0)</f>
      </c>
      <c r="N745" s="30">
        <f>PM_Angle!$J$9+PM_Angle!$K$9*$C745+PM_Angle!$L$9*$B745</f>
      </c>
      <c r="O745" s="12">
        <f>IF(N745&gt;0,IF(N745&lt;=eco,alpha*fck*(1-(1-N745/eco)^n),alpha*fck),0)</f>
      </c>
      <c r="P745" s="30">
        <f>PM_Angle!$J$10+PM_Angle!$K$10*$C745+PM_Angle!$L$10*$B745</f>
      </c>
      <c r="Q745" s="12">
        <f>IF(P745&gt;0,IF(P745&lt;=eco,alpha*fck*(1-(1-P745/eco)^n),alpha*fck),0)</f>
      </c>
      <c r="R745" s="30">
        <f>PM_Angle!$J$11+PM_Angle!$K$11*$C745+PM_Angle!$L$11*$B745</f>
      </c>
      <c r="S745" s="12">
        <f>IF(R745&gt;0,IF(R745&lt;=eco,alpha*fck*(1-(1-R745/eco)^n),alpha*fck),0)</f>
      </c>
      <c r="T745" s="30">
        <f>PM_Angle!$J$12+PM_Angle!$K$12*$C745+PM_Angle!$L$12*$B745</f>
      </c>
      <c r="U745" s="12">
        <f>IF(T745&gt;0,IF(T745&lt;=eco,alpha*fck*(1-(1-T745/eco)^n),alpha*fck),0)</f>
      </c>
      <c r="V745" s="30">
        <f>PM_Angle!$J$13+PM_Angle!$K$13*$C745+PM_Angle!$L$13*$B745</f>
      </c>
      <c r="W745" s="12">
        <f>IF(V745&gt;0,IF(V745&lt;=eco,alpha*fck*(1-(1-V745/eco)^n),alpha*fck),0)</f>
      </c>
      <c r="X745" s="30">
        <f>PM_Angle!$J$14+PM_Angle!$K$14*$C745+PM_Angle!$L$14*$B745</f>
      </c>
      <c r="Y745" s="12">
        <f>IF(X745&gt;0,IF(X745&lt;=eco,alpha*fck*(1-(1-X745/eco)^n),alpha*fck),0)</f>
      </c>
      <c r="Z745" s="30">
        <f>PM_Angle!$J$15+PM_Angle!$K$15*$C745+PM_Angle!$L$15*$B745</f>
      </c>
      <c r="AA745" s="12">
        <f>IF(Z745&gt;0,IF(Z745&lt;=eco,alpha*fck*(1-(1-Z745/eco)^n),alpha*fck),0)</f>
      </c>
      <c r="AB745" s="30">
        <f>PM_Angle!$J$16+PM_Angle!$K$16*$C745+PM_Angle!$L$16*$B745</f>
      </c>
      <c r="AC745" s="12">
        <f>IF(AB745&gt;0,IF(AB745&lt;=eco,alpha*fck*(1-(1-AB745/eco)^n),alpha*fck),0)</f>
      </c>
      <c r="AD745" s="30">
        <f>PM_Angle!$J$17+PM_Angle!$K$17*$C745+PM_Angle!$L$17*$B745</f>
      </c>
      <c r="AE745" s="12">
        <f>IF(AD745&gt;0,IF(AD745&lt;=eco,alpha*fck*(1-(1-AD745/eco)^n),alpha*fck),0)</f>
      </c>
      <c r="AF745" s="30">
        <f>PM_Angle!$J$18+PM_Angle!$K$18*$C745+PM_Angle!$L$18*$B745</f>
      </c>
      <c r="AG745" s="12">
        <f>IF(AF745&gt;0,IF(AF745&lt;=eco,alpha*fck*(1-(1-AF745/eco)^n),alpha*fck),0)</f>
      </c>
      <c r="AH745" s="30">
        <f>PM_Angle!$J$19+PM_Angle!$K$19*$C745+PM_Angle!$L$19*$B745</f>
      </c>
      <c r="AI745" s="12">
        <f>IF(AH745&gt;0,IF(AH745&lt;=eco,alpha*fck*(1-(1-AH745/eco)^n),alpha*fck),0)</f>
      </c>
      <c r="AJ745" s="30">
        <f>PM_Angle!$J$20+PM_Angle!$K$20*$C745+PM_Angle!$L$20*$B745</f>
      </c>
      <c r="AK745" s="12">
        <f>IF(AJ745&gt;0,IF(AJ745&lt;=eco,alpha*fck*(1-(1-AJ745/eco)^n),alpha*fck),0)</f>
      </c>
      <c r="AL745" s="30">
        <f>PM_Angle!$J$21+PM_Angle!$K$21*$C745+PM_Angle!$L$21*$B745</f>
      </c>
      <c r="AM745" s="12">
        <f>IF(AL745&gt;0,IF(AL745&lt;=eco,alpha*fck*(1-(1-AL745/eco)^n),alpha*fck),0)</f>
      </c>
      <c r="AN745" s="30">
        <f>PM_Angle!$J$22+PM_Angle!$K$22*$C745+PM_Angle!$L$22*$B745</f>
      </c>
      <c r="AO745" s="12">
        <f>IF(AN745&gt;0,IF(AN745&lt;=eco,alpha*fck*(1-(1-AN745/eco)^n),alpha*fck),0)</f>
      </c>
      <c r="AP745" s="30">
        <f>PM_Angle!$J$23+PM_Angle!$K$23*$C745+PM_Angle!$L$23*$B745</f>
      </c>
      <c r="AQ745" s="12">
        <f>IF(AP745&gt;0,IF(AP745&lt;=eco,alpha*fck*(1-(1-AP745/eco)^n),alpha*fck),0)</f>
      </c>
      <c r="AR745" s="30">
        <f>PM_Angle!$J$24+PM_Angle!$K$24*$C745+PM_Angle!$L$24*$B745</f>
      </c>
      <c r="AS745" s="12">
        <f>IF(AR745&gt;0,IF(AR745&lt;=eco,alpha*fck*(1-(1-AR745/eco)^n),alpha*fck),0)</f>
      </c>
      <c r="AT745" s="30">
        <f>PM_Angle!$J$25+PM_Angle!$K$25*$C745+PM_Angle!$L$25*$B745</f>
      </c>
      <c r="AU745" s="12">
        <f>IF(AT745&gt;0,IF(AT745&lt;=eco,alpha*fck*(1-(1-AT745/eco)^n),alpha*fck),0)</f>
      </c>
    </row>
    <row r="746" spans="1:47" x14ac:dyDescent="0.25">
      <c r="A746">
        <f>Mesh!A743</f>
      </c>
      <c r="B746" s="12">
        <f>Mesh!B743</f>
      </c>
      <c r="C746" s="12">
        <f>Mesh!C743</f>
      </c>
      <c r="D746" s="12">
        <f>Mesh!D743</f>
      </c>
      <c r="E746" s="30">
        <f>INDEX(St_e0,Det+1)+INDEX(St_kx,Det+1)*C746+INDEX(St_ky,Det+1)*B746</f>
      </c>
      <c r="F746" s="12">
        <f>IF(E746&gt;0,IF(E746&lt;=eco,alpha*fck*(1-(1-E746/eco)^n),alpha*fck),0)</f>
      </c>
      <c r="G746" s="11">
        <f>F746*D746</f>
      </c>
      <c r="H746" s="11">
        <f>G746*C746</f>
      </c>
      <c r="I746" s="11">
        <f>G746*B746</f>
      </c>
      <c r="J746" s="30">
        <f>PM_Angle!$J$7+PM_Angle!$K$7*$C746+PM_Angle!$L$7*$B746</f>
      </c>
      <c r="K746" s="12">
        <f>IF(J746&gt;0,IF(J746&lt;=eco,alpha*fck*(1-(1-J746/eco)^n),alpha*fck),0)</f>
      </c>
      <c r="L746" s="30">
        <f>PM_Angle!$J$8+PM_Angle!$K$8*$C746+PM_Angle!$L$8*$B746</f>
      </c>
      <c r="M746" s="12">
        <f>IF(L746&gt;0,IF(L746&lt;=eco,alpha*fck*(1-(1-L746/eco)^n),alpha*fck),0)</f>
      </c>
      <c r="N746" s="30">
        <f>PM_Angle!$J$9+PM_Angle!$K$9*$C746+PM_Angle!$L$9*$B746</f>
      </c>
      <c r="O746" s="12">
        <f>IF(N746&gt;0,IF(N746&lt;=eco,alpha*fck*(1-(1-N746/eco)^n),alpha*fck),0)</f>
      </c>
      <c r="P746" s="30">
        <f>PM_Angle!$J$10+PM_Angle!$K$10*$C746+PM_Angle!$L$10*$B746</f>
      </c>
      <c r="Q746" s="12">
        <f>IF(P746&gt;0,IF(P746&lt;=eco,alpha*fck*(1-(1-P746/eco)^n),alpha*fck),0)</f>
      </c>
      <c r="R746" s="30">
        <f>PM_Angle!$J$11+PM_Angle!$K$11*$C746+PM_Angle!$L$11*$B746</f>
      </c>
      <c r="S746" s="12">
        <f>IF(R746&gt;0,IF(R746&lt;=eco,alpha*fck*(1-(1-R746/eco)^n),alpha*fck),0)</f>
      </c>
      <c r="T746" s="30">
        <f>PM_Angle!$J$12+PM_Angle!$K$12*$C746+PM_Angle!$L$12*$B746</f>
      </c>
      <c r="U746" s="12">
        <f>IF(T746&gt;0,IF(T746&lt;=eco,alpha*fck*(1-(1-T746/eco)^n),alpha*fck),0)</f>
      </c>
      <c r="V746" s="30">
        <f>PM_Angle!$J$13+PM_Angle!$K$13*$C746+PM_Angle!$L$13*$B746</f>
      </c>
      <c r="W746" s="12">
        <f>IF(V746&gt;0,IF(V746&lt;=eco,alpha*fck*(1-(1-V746/eco)^n),alpha*fck),0)</f>
      </c>
      <c r="X746" s="30">
        <f>PM_Angle!$J$14+PM_Angle!$K$14*$C746+PM_Angle!$L$14*$B746</f>
      </c>
      <c r="Y746" s="12">
        <f>IF(X746&gt;0,IF(X746&lt;=eco,alpha*fck*(1-(1-X746/eco)^n),alpha*fck),0)</f>
      </c>
      <c r="Z746" s="30">
        <f>PM_Angle!$J$15+PM_Angle!$K$15*$C746+PM_Angle!$L$15*$B746</f>
      </c>
      <c r="AA746" s="12">
        <f>IF(Z746&gt;0,IF(Z746&lt;=eco,alpha*fck*(1-(1-Z746/eco)^n),alpha*fck),0)</f>
      </c>
      <c r="AB746" s="30">
        <f>PM_Angle!$J$16+PM_Angle!$K$16*$C746+PM_Angle!$L$16*$B746</f>
      </c>
      <c r="AC746" s="12">
        <f>IF(AB746&gt;0,IF(AB746&lt;=eco,alpha*fck*(1-(1-AB746/eco)^n),alpha*fck),0)</f>
      </c>
      <c r="AD746" s="30">
        <f>PM_Angle!$J$17+PM_Angle!$K$17*$C746+PM_Angle!$L$17*$B746</f>
      </c>
      <c r="AE746" s="12">
        <f>IF(AD746&gt;0,IF(AD746&lt;=eco,alpha*fck*(1-(1-AD746/eco)^n),alpha*fck),0)</f>
      </c>
      <c r="AF746" s="30">
        <f>PM_Angle!$J$18+PM_Angle!$K$18*$C746+PM_Angle!$L$18*$B746</f>
      </c>
      <c r="AG746" s="12">
        <f>IF(AF746&gt;0,IF(AF746&lt;=eco,alpha*fck*(1-(1-AF746/eco)^n),alpha*fck),0)</f>
      </c>
      <c r="AH746" s="30">
        <f>PM_Angle!$J$19+PM_Angle!$K$19*$C746+PM_Angle!$L$19*$B746</f>
      </c>
      <c r="AI746" s="12">
        <f>IF(AH746&gt;0,IF(AH746&lt;=eco,alpha*fck*(1-(1-AH746/eco)^n),alpha*fck),0)</f>
      </c>
      <c r="AJ746" s="30">
        <f>PM_Angle!$J$20+PM_Angle!$K$20*$C746+PM_Angle!$L$20*$B746</f>
      </c>
      <c r="AK746" s="12">
        <f>IF(AJ746&gt;0,IF(AJ746&lt;=eco,alpha*fck*(1-(1-AJ746/eco)^n),alpha*fck),0)</f>
      </c>
      <c r="AL746" s="30">
        <f>PM_Angle!$J$21+PM_Angle!$K$21*$C746+PM_Angle!$L$21*$B746</f>
      </c>
      <c r="AM746" s="12">
        <f>IF(AL746&gt;0,IF(AL746&lt;=eco,alpha*fck*(1-(1-AL746/eco)^n),alpha*fck),0)</f>
      </c>
      <c r="AN746" s="30">
        <f>PM_Angle!$J$22+PM_Angle!$K$22*$C746+PM_Angle!$L$22*$B746</f>
      </c>
      <c r="AO746" s="12">
        <f>IF(AN746&gt;0,IF(AN746&lt;=eco,alpha*fck*(1-(1-AN746/eco)^n),alpha*fck),0)</f>
      </c>
      <c r="AP746" s="30">
        <f>PM_Angle!$J$23+PM_Angle!$K$23*$C746+PM_Angle!$L$23*$B746</f>
      </c>
      <c r="AQ746" s="12">
        <f>IF(AP746&gt;0,IF(AP746&lt;=eco,alpha*fck*(1-(1-AP746/eco)^n),alpha*fck),0)</f>
      </c>
      <c r="AR746" s="30">
        <f>PM_Angle!$J$24+PM_Angle!$K$24*$C746+PM_Angle!$L$24*$B746</f>
      </c>
      <c r="AS746" s="12">
        <f>IF(AR746&gt;0,IF(AR746&lt;=eco,alpha*fck*(1-(1-AR746/eco)^n),alpha*fck),0)</f>
      </c>
      <c r="AT746" s="30">
        <f>PM_Angle!$J$25+PM_Angle!$K$25*$C746+PM_Angle!$L$25*$B746</f>
      </c>
      <c r="AU746" s="12">
        <f>IF(AT746&gt;0,IF(AT746&lt;=eco,alpha*fck*(1-(1-AT746/eco)^n),alpha*fck),0)</f>
      </c>
    </row>
    <row r="747" spans="1:47" x14ac:dyDescent="0.25">
      <c r="A747">
        <f>Mesh!A744</f>
      </c>
      <c r="B747" s="12">
        <f>Mesh!B744</f>
      </c>
      <c r="C747" s="12">
        <f>Mesh!C744</f>
      </c>
      <c r="D747" s="12">
        <f>Mesh!D744</f>
      </c>
      <c r="E747" s="30">
        <f>INDEX(St_e0,Det+1)+INDEX(St_kx,Det+1)*C747+INDEX(St_ky,Det+1)*B747</f>
      </c>
      <c r="F747" s="12">
        <f>IF(E747&gt;0,IF(E747&lt;=eco,alpha*fck*(1-(1-E747/eco)^n),alpha*fck),0)</f>
      </c>
      <c r="G747" s="11">
        <f>F747*D747</f>
      </c>
      <c r="H747" s="11">
        <f>G747*C747</f>
      </c>
      <c r="I747" s="11">
        <f>G747*B747</f>
      </c>
      <c r="J747" s="30">
        <f>PM_Angle!$J$7+PM_Angle!$K$7*$C747+PM_Angle!$L$7*$B747</f>
      </c>
      <c r="K747" s="12">
        <f>IF(J747&gt;0,IF(J747&lt;=eco,alpha*fck*(1-(1-J747/eco)^n),alpha*fck),0)</f>
      </c>
      <c r="L747" s="30">
        <f>PM_Angle!$J$8+PM_Angle!$K$8*$C747+PM_Angle!$L$8*$B747</f>
      </c>
      <c r="M747" s="12">
        <f>IF(L747&gt;0,IF(L747&lt;=eco,alpha*fck*(1-(1-L747/eco)^n),alpha*fck),0)</f>
      </c>
      <c r="N747" s="30">
        <f>PM_Angle!$J$9+PM_Angle!$K$9*$C747+PM_Angle!$L$9*$B747</f>
      </c>
      <c r="O747" s="12">
        <f>IF(N747&gt;0,IF(N747&lt;=eco,alpha*fck*(1-(1-N747/eco)^n),alpha*fck),0)</f>
      </c>
      <c r="P747" s="30">
        <f>PM_Angle!$J$10+PM_Angle!$K$10*$C747+PM_Angle!$L$10*$B747</f>
      </c>
      <c r="Q747" s="12">
        <f>IF(P747&gt;0,IF(P747&lt;=eco,alpha*fck*(1-(1-P747/eco)^n),alpha*fck),0)</f>
      </c>
      <c r="R747" s="30">
        <f>PM_Angle!$J$11+PM_Angle!$K$11*$C747+PM_Angle!$L$11*$B747</f>
      </c>
      <c r="S747" s="12">
        <f>IF(R747&gt;0,IF(R747&lt;=eco,alpha*fck*(1-(1-R747/eco)^n),alpha*fck),0)</f>
      </c>
      <c r="T747" s="30">
        <f>PM_Angle!$J$12+PM_Angle!$K$12*$C747+PM_Angle!$L$12*$B747</f>
      </c>
      <c r="U747" s="12">
        <f>IF(T747&gt;0,IF(T747&lt;=eco,alpha*fck*(1-(1-T747/eco)^n),alpha*fck),0)</f>
      </c>
      <c r="V747" s="30">
        <f>PM_Angle!$J$13+PM_Angle!$K$13*$C747+PM_Angle!$L$13*$B747</f>
      </c>
      <c r="W747" s="12">
        <f>IF(V747&gt;0,IF(V747&lt;=eco,alpha*fck*(1-(1-V747/eco)^n),alpha*fck),0)</f>
      </c>
      <c r="X747" s="30">
        <f>PM_Angle!$J$14+PM_Angle!$K$14*$C747+PM_Angle!$L$14*$B747</f>
      </c>
      <c r="Y747" s="12">
        <f>IF(X747&gt;0,IF(X747&lt;=eco,alpha*fck*(1-(1-X747/eco)^n),alpha*fck),0)</f>
      </c>
      <c r="Z747" s="30">
        <f>PM_Angle!$J$15+PM_Angle!$K$15*$C747+PM_Angle!$L$15*$B747</f>
      </c>
      <c r="AA747" s="12">
        <f>IF(Z747&gt;0,IF(Z747&lt;=eco,alpha*fck*(1-(1-Z747/eco)^n),alpha*fck),0)</f>
      </c>
      <c r="AB747" s="30">
        <f>PM_Angle!$J$16+PM_Angle!$K$16*$C747+PM_Angle!$L$16*$B747</f>
      </c>
      <c r="AC747" s="12">
        <f>IF(AB747&gt;0,IF(AB747&lt;=eco,alpha*fck*(1-(1-AB747/eco)^n),alpha*fck),0)</f>
      </c>
      <c r="AD747" s="30">
        <f>PM_Angle!$J$17+PM_Angle!$K$17*$C747+PM_Angle!$L$17*$B747</f>
      </c>
      <c r="AE747" s="12">
        <f>IF(AD747&gt;0,IF(AD747&lt;=eco,alpha*fck*(1-(1-AD747/eco)^n),alpha*fck),0)</f>
      </c>
      <c r="AF747" s="30">
        <f>PM_Angle!$J$18+PM_Angle!$K$18*$C747+PM_Angle!$L$18*$B747</f>
      </c>
      <c r="AG747" s="12">
        <f>IF(AF747&gt;0,IF(AF747&lt;=eco,alpha*fck*(1-(1-AF747/eco)^n),alpha*fck),0)</f>
      </c>
      <c r="AH747" s="30">
        <f>PM_Angle!$J$19+PM_Angle!$K$19*$C747+PM_Angle!$L$19*$B747</f>
      </c>
      <c r="AI747" s="12">
        <f>IF(AH747&gt;0,IF(AH747&lt;=eco,alpha*fck*(1-(1-AH747/eco)^n),alpha*fck),0)</f>
      </c>
      <c r="AJ747" s="30">
        <f>PM_Angle!$J$20+PM_Angle!$K$20*$C747+PM_Angle!$L$20*$B747</f>
      </c>
      <c r="AK747" s="12">
        <f>IF(AJ747&gt;0,IF(AJ747&lt;=eco,alpha*fck*(1-(1-AJ747/eco)^n),alpha*fck),0)</f>
      </c>
      <c r="AL747" s="30">
        <f>PM_Angle!$J$21+PM_Angle!$K$21*$C747+PM_Angle!$L$21*$B747</f>
      </c>
      <c r="AM747" s="12">
        <f>IF(AL747&gt;0,IF(AL747&lt;=eco,alpha*fck*(1-(1-AL747/eco)^n),alpha*fck),0)</f>
      </c>
      <c r="AN747" s="30">
        <f>PM_Angle!$J$22+PM_Angle!$K$22*$C747+PM_Angle!$L$22*$B747</f>
      </c>
      <c r="AO747" s="12">
        <f>IF(AN747&gt;0,IF(AN747&lt;=eco,alpha*fck*(1-(1-AN747/eco)^n),alpha*fck),0)</f>
      </c>
      <c r="AP747" s="30">
        <f>PM_Angle!$J$23+PM_Angle!$K$23*$C747+PM_Angle!$L$23*$B747</f>
      </c>
      <c r="AQ747" s="12">
        <f>IF(AP747&gt;0,IF(AP747&lt;=eco,alpha*fck*(1-(1-AP747/eco)^n),alpha*fck),0)</f>
      </c>
      <c r="AR747" s="30">
        <f>PM_Angle!$J$24+PM_Angle!$K$24*$C747+PM_Angle!$L$24*$B747</f>
      </c>
      <c r="AS747" s="12">
        <f>IF(AR747&gt;0,IF(AR747&lt;=eco,alpha*fck*(1-(1-AR747/eco)^n),alpha*fck),0)</f>
      </c>
      <c r="AT747" s="30">
        <f>PM_Angle!$J$25+PM_Angle!$K$25*$C747+PM_Angle!$L$25*$B747</f>
      </c>
      <c r="AU747" s="12">
        <f>IF(AT747&gt;0,IF(AT747&lt;=eco,alpha*fck*(1-(1-AT747/eco)^n),alpha*fck),0)</f>
      </c>
    </row>
    <row r="748" spans="1:47" x14ac:dyDescent="0.25">
      <c r="A748">
        <f>Mesh!A745</f>
      </c>
      <c r="B748" s="12">
        <f>Mesh!B745</f>
      </c>
      <c r="C748" s="12">
        <f>Mesh!C745</f>
      </c>
      <c r="D748" s="12">
        <f>Mesh!D745</f>
      </c>
      <c r="E748" s="30">
        <f>INDEX(St_e0,Det+1)+INDEX(St_kx,Det+1)*C748+INDEX(St_ky,Det+1)*B748</f>
      </c>
      <c r="F748" s="12">
        <f>IF(E748&gt;0,IF(E748&lt;=eco,alpha*fck*(1-(1-E748/eco)^n),alpha*fck),0)</f>
      </c>
      <c r="G748" s="11">
        <f>F748*D748</f>
      </c>
      <c r="H748" s="11">
        <f>G748*C748</f>
      </c>
      <c r="I748" s="11">
        <f>G748*B748</f>
      </c>
      <c r="J748" s="30">
        <f>PM_Angle!$J$7+PM_Angle!$K$7*$C748+PM_Angle!$L$7*$B748</f>
      </c>
      <c r="K748" s="12">
        <f>IF(J748&gt;0,IF(J748&lt;=eco,alpha*fck*(1-(1-J748/eco)^n),alpha*fck),0)</f>
      </c>
      <c r="L748" s="30">
        <f>PM_Angle!$J$8+PM_Angle!$K$8*$C748+PM_Angle!$L$8*$B748</f>
      </c>
      <c r="M748" s="12">
        <f>IF(L748&gt;0,IF(L748&lt;=eco,alpha*fck*(1-(1-L748/eco)^n),alpha*fck),0)</f>
      </c>
      <c r="N748" s="30">
        <f>PM_Angle!$J$9+PM_Angle!$K$9*$C748+PM_Angle!$L$9*$B748</f>
      </c>
      <c r="O748" s="12">
        <f>IF(N748&gt;0,IF(N748&lt;=eco,alpha*fck*(1-(1-N748/eco)^n),alpha*fck),0)</f>
      </c>
      <c r="P748" s="30">
        <f>PM_Angle!$J$10+PM_Angle!$K$10*$C748+PM_Angle!$L$10*$B748</f>
      </c>
      <c r="Q748" s="12">
        <f>IF(P748&gt;0,IF(P748&lt;=eco,alpha*fck*(1-(1-P748/eco)^n),alpha*fck),0)</f>
      </c>
      <c r="R748" s="30">
        <f>PM_Angle!$J$11+PM_Angle!$K$11*$C748+PM_Angle!$L$11*$B748</f>
      </c>
      <c r="S748" s="12">
        <f>IF(R748&gt;0,IF(R748&lt;=eco,alpha*fck*(1-(1-R748/eco)^n),alpha*fck),0)</f>
      </c>
      <c r="T748" s="30">
        <f>PM_Angle!$J$12+PM_Angle!$K$12*$C748+PM_Angle!$L$12*$B748</f>
      </c>
      <c r="U748" s="12">
        <f>IF(T748&gt;0,IF(T748&lt;=eco,alpha*fck*(1-(1-T748/eco)^n),alpha*fck),0)</f>
      </c>
      <c r="V748" s="30">
        <f>PM_Angle!$J$13+PM_Angle!$K$13*$C748+PM_Angle!$L$13*$B748</f>
      </c>
      <c r="W748" s="12">
        <f>IF(V748&gt;0,IF(V748&lt;=eco,alpha*fck*(1-(1-V748/eco)^n),alpha*fck),0)</f>
      </c>
      <c r="X748" s="30">
        <f>PM_Angle!$J$14+PM_Angle!$K$14*$C748+PM_Angle!$L$14*$B748</f>
      </c>
      <c r="Y748" s="12">
        <f>IF(X748&gt;0,IF(X748&lt;=eco,alpha*fck*(1-(1-X748/eco)^n),alpha*fck),0)</f>
      </c>
      <c r="Z748" s="30">
        <f>PM_Angle!$J$15+PM_Angle!$K$15*$C748+PM_Angle!$L$15*$B748</f>
      </c>
      <c r="AA748" s="12">
        <f>IF(Z748&gt;0,IF(Z748&lt;=eco,alpha*fck*(1-(1-Z748/eco)^n),alpha*fck),0)</f>
      </c>
      <c r="AB748" s="30">
        <f>PM_Angle!$J$16+PM_Angle!$K$16*$C748+PM_Angle!$L$16*$B748</f>
      </c>
      <c r="AC748" s="12">
        <f>IF(AB748&gt;0,IF(AB748&lt;=eco,alpha*fck*(1-(1-AB748/eco)^n),alpha*fck),0)</f>
      </c>
      <c r="AD748" s="30">
        <f>PM_Angle!$J$17+PM_Angle!$K$17*$C748+PM_Angle!$L$17*$B748</f>
      </c>
      <c r="AE748" s="12">
        <f>IF(AD748&gt;0,IF(AD748&lt;=eco,alpha*fck*(1-(1-AD748/eco)^n),alpha*fck),0)</f>
      </c>
      <c r="AF748" s="30">
        <f>PM_Angle!$J$18+PM_Angle!$K$18*$C748+PM_Angle!$L$18*$B748</f>
      </c>
      <c r="AG748" s="12">
        <f>IF(AF748&gt;0,IF(AF748&lt;=eco,alpha*fck*(1-(1-AF748/eco)^n),alpha*fck),0)</f>
      </c>
      <c r="AH748" s="30">
        <f>PM_Angle!$J$19+PM_Angle!$K$19*$C748+PM_Angle!$L$19*$B748</f>
      </c>
      <c r="AI748" s="12">
        <f>IF(AH748&gt;0,IF(AH748&lt;=eco,alpha*fck*(1-(1-AH748/eco)^n),alpha*fck),0)</f>
      </c>
      <c r="AJ748" s="30">
        <f>PM_Angle!$J$20+PM_Angle!$K$20*$C748+PM_Angle!$L$20*$B748</f>
      </c>
      <c r="AK748" s="12">
        <f>IF(AJ748&gt;0,IF(AJ748&lt;=eco,alpha*fck*(1-(1-AJ748/eco)^n),alpha*fck),0)</f>
      </c>
      <c r="AL748" s="30">
        <f>PM_Angle!$J$21+PM_Angle!$K$21*$C748+PM_Angle!$L$21*$B748</f>
      </c>
      <c r="AM748" s="12">
        <f>IF(AL748&gt;0,IF(AL748&lt;=eco,alpha*fck*(1-(1-AL748/eco)^n),alpha*fck),0)</f>
      </c>
      <c r="AN748" s="30">
        <f>PM_Angle!$J$22+PM_Angle!$K$22*$C748+PM_Angle!$L$22*$B748</f>
      </c>
      <c r="AO748" s="12">
        <f>IF(AN748&gt;0,IF(AN748&lt;=eco,alpha*fck*(1-(1-AN748/eco)^n),alpha*fck),0)</f>
      </c>
      <c r="AP748" s="30">
        <f>PM_Angle!$J$23+PM_Angle!$K$23*$C748+PM_Angle!$L$23*$B748</f>
      </c>
      <c r="AQ748" s="12">
        <f>IF(AP748&gt;0,IF(AP748&lt;=eco,alpha*fck*(1-(1-AP748/eco)^n),alpha*fck),0)</f>
      </c>
      <c r="AR748" s="30">
        <f>PM_Angle!$J$24+PM_Angle!$K$24*$C748+PM_Angle!$L$24*$B748</f>
      </c>
      <c r="AS748" s="12">
        <f>IF(AR748&gt;0,IF(AR748&lt;=eco,alpha*fck*(1-(1-AR748/eco)^n),alpha*fck),0)</f>
      </c>
      <c r="AT748" s="30">
        <f>PM_Angle!$J$25+PM_Angle!$K$25*$C748+PM_Angle!$L$25*$B748</f>
      </c>
      <c r="AU748" s="12">
        <f>IF(AT748&gt;0,IF(AT748&lt;=eco,alpha*fck*(1-(1-AT748/eco)^n),alpha*fck),0)</f>
      </c>
    </row>
    <row r="749" spans="1:47" x14ac:dyDescent="0.25">
      <c r="A749">
        <f>Mesh!A746</f>
      </c>
      <c r="B749" s="12">
        <f>Mesh!B746</f>
      </c>
      <c r="C749" s="12">
        <f>Mesh!C746</f>
      </c>
      <c r="D749" s="12">
        <f>Mesh!D746</f>
      </c>
      <c r="E749" s="30">
        <f>INDEX(St_e0,Det+1)+INDEX(St_kx,Det+1)*C749+INDEX(St_ky,Det+1)*B749</f>
      </c>
      <c r="F749" s="12">
        <f>IF(E749&gt;0,IF(E749&lt;=eco,alpha*fck*(1-(1-E749/eco)^n),alpha*fck),0)</f>
      </c>
      <c r="G749" s="11">
        <f>F749*D749</f>
      </c>
      <c r="H749" s="11">
        <f>G749*C749</f>
      </c>
      <c r="I749" s="11">
        <f>G749*B749</f>
      </c>
      <c r="J749" s="30">
        <f>PM_Angle!$J$7+PM_Angle!$K$7*$C749+PM_Angle!$L$7*$B749</f>
      </c>
      <c r="K749" s="12">
        <f>IF(J749&gt;0,IF(J749&lt;=eco,alpha*fck*(1-(1-J749/eco)^n),alpha*fck),0)</f>
      </c>
      <c r="L749" s="30">
        <f>PM_Angle!$J$8+PM_Angle!$K$8*$C749+PM_Angle!$L$8*$B749</f>
      </c>
      <c r="M749" s="12">
        <f>IF(L749&gt;0,IF(L749&lt;=eco,alpha*fck*(1-(1-L749/eco)^n),alpha*fck),0)</f>
      </c>
      <c r="N749" s="30">
        <f>PM_Angle!$J$9+PM_Angle!$K$9*$C749+PM_Angle!$L$9*$B749</f>
      </c>
      <c r="O749" s="12">
        <f>IF(N749&gt;0,IF(N749&lt;=eco,alpha*fck*(1-(1-N749/eco)^n),alpha*fck),0)</f>
      </c>
      <c r="P749" s="30">
        <f>PM_Angle!$J$10+PM_Angle!$K$10*$C749+PM_Angle!$L$10*$B749</f>
      </c>
      <c r="Q749" s="12">
        <f>IF(P749&gt;0,IF(P749&lt;=eco,alpha*fck*(1-(1-P749/eco)^n),alpha*fck),0)</f>
      </c>
      <c r="R749" s="30">
        <f>PM_Angle!$J$11+PM_Angle!$K$11*$C749+PM_Angle!$L$11*$B749</f>
      </c>
      <c r="S749" s="12">
        <f>IF(R749&gt;0,IF(R749&lt;=eco,alpha*fck*(1-(1-R749/eco)^n),alpha*fck),0)</f>
      </c>
      <c r="T749" s="30">
        <f>PM_Angle!$J$12+PM_Angle!$K$12*$C749+PM_Angle!$L$12*$B749</f>
      </c>
      <c r="U749" s="12">
        <f>IF(T749&gt;0,IF(T749&lt;=eco,alpha*fck*(1-(1-T749/eco)^n),alpha*fck),0)</f>
      </c>
      <c r="V749" s="30">
        <f>PM_Angle!$J$13+PM_Angle!$K$13*$C749+PM_Angle!$L$13*$B749</f>
      </c>
      <c r="W749" s="12">
        <f>IF(V749&gt;0,IF(V749&lt;=eco,alpha*fck*(1-(1-V749/eco)^n),alpha*fck),0)</f>
      </c>
      <c r="X749" s="30">
        <f>PM_Angle!$J$14+PM_Angle!$K$14*$C749+PM_Angle!$L$14*$B749</f>
      </c>
      <c r="Y749" s="12">
        <f>IF(X749&gt;0,IF(X749&lt;=eco,alpha*fck*(1-(1-X749/eco)^n),alpha*fck),0)</f>
      </c>
      <c r="Z749" s="30">
        <f>PM_Angle!$J$15+PM_Angle!$K$15*$C749+PM_Angle!$L$15*$B749</f>
      </c>
      <c r="AA749" s="12">
        <f>IF(Z749&gt;0,IF(Z749&lt;=eco,alpha*fck*(1-(1-Z749/eco)^n),alpha*fck),0)</f>
      </c>
      <c r="AB749" s="30">
        <f>PM_Angle!$J$16+PM_Angle!$K$16*$C749+PM_Angle!$L$16*$B749</f>
      </c>
      <c r="AC749" s="12">
        <f>IF(AB749&gt;0,IF(AB749&lt;=eco,alpha*fck*(1-(1-AB749/eco)^n),alpha*fck),0)</f>
      </c>
      <c r="AD749" s="30">
        <f>PM_Angle!$J$17+PM_Angle!$K$17*$C749+PM_Angle!$L$17*$B749</f>
      </c>
      <c r="AE749" s="12">
        <f>IF(AD749&gt;0,IF(AD749&lt;=eco,alpha*fck*(1-(1-AD749/eco)^n),alpha*fck),0)</f>
      </c>
      <c r="AF749" s="30">
        <f>PM_Angle!$J$18+PM_Angle!$K$18*$C749+PM_Angle!$L$18*$B749</f>
      </c>
      <c r="AG749" s="12">
        <f>IF(AF749&gt;0,IF(AF749&lt;=eco,alpha*fck*(1-(1-AF749/eco)^n),alpha*fck),0)</f>
      </c>
      <c r="AH749" s="30">
        <f>PM_Angle!$J$19+PM_Angle!$K$19*$C749+PM_Angle!$L$19*$B749</f>
      </c>
      <c r="AI749" s="12">
        <f>IF(AH749&gt;0,IF(AH749&lt;=eco,alpha*fck*(1-(1-AH749/eco)^n),alpha*fck),0)</f>
      </c>
      <c r="AJ749" s="30">
        <f>PM_Angle!$J$20+PM_Angle!$K$20*$C749+PM_Angle!$L$20*$B749</f>
      </c>
      <c r="AK749" s="12">
        <f>IF(AJ749&gt;0,IF(AJ749&lt;=eco,alpha*fck*(1-(1-AJ749/eco)^n),alpha*fck),0)</f>
      </c>
      <c r="AL749" s="30">
        <f>PM_Angle!$J$21+PM_Angle!$K$21*$C749+PM_Angle!$L$21*$B749</f>
      </c>
      <c r="AM749" s="12">
        <f>IF(AL749&gt;0,IF(AL749&lt;=eco,alpha*fck*(1-(1-AL749/eco)^n),alpha*fck),0)</f>
      </c>
      <c r="AN749" s="30">
        <f>PM_Angle!$J$22+PM_Angle!$K$22*$C749+PM_Angle!$L$22*$B749</f>
      </c>
      <c r="AO749" s="12">
        <f>IF(AN749&gt;0,IF(AN749&lt;=eco,alpha*fck*(1-(1-AN749/eco)^n),alpha*fck),0)</f>
      </c>
      <c r="AP749" s="30">
        <f>PM_Angle!$J$23+PM_Angle!$K$23*$C749+PM_Angle!$L$23*$B749</f>
      </c>
      <c r="AQ749" s="12">
        <f>IF(AP749&gt;0,IF(AP749&lt;=eco,alpha*fck*(1-(1-AP749/eco)^n),alpha*fck),0)</f>
      </c>
      <c r="AR749" s="30">
        <f>PM_Angle!$J$24+PM_Angle!$K$24*$C749+PM_Angle!$L$24*$B749</f>
      </c>
      <c r="AS749" s="12">
        <f>IF(AR749&gt;0,IF(AR749&lt;=eco,alpha*fck*(1-(1-AR749/eco)^n),alpha*fck),0)</f>
      </c>
      <c r="AT749" s="30">
        <f>PM_Angle!$J$25+PM_Angle!$K$25*$C749+PM_Angle!$L$25*$B749</f>
      </c>
      <c r="AU749" s="12">
        <f>IF(AT749&gt;0,IF(AT749&lt;=eco,alpha*fck*(1-(1-AT749/eco)^n),alpha*fck),0)</f>
      </c>
    </row>
    <row r="750" spans="1:47" x14ac:dyDescent="0.25">
      <c r="A750">
        <f>Mesh!A747</f>
      </c>
      <c r="B750" s="12">
        <f>Mesh!B747</f>
      </c>
      <c r="C750" s="12">
        <f>Mesh!C747</f>
      </c>
      <c r="D750" s="12">
        <f>Mesh!D747</f>
      </c>
      <c r="E750" s="30">
        <f>INDEX(St_e0,Det+1)+INDEX(St_kx,Det+1)*C750+INDEX(St_ky,Det+1)*B750</f>
      </c>
      <c r="F750" s="12">
        <f>IF(E750&gt;0,IF(E750&lt;=eco,alpha*fck*(1-(1-E750/eco)^n),alpha*fck),0)</f>
      </c>
      <c r="G750" s="11">
        <f>F750*D750</f>
      </c>
      <c r="H750" s="11">
        <f>G750*C750</f>
      </c>
      <c r="I750" s="11">
        <f>G750*B750</f>
      </c>
      <c r="J750" s="30">
        <f>PM_Angle!$J$7+PM_Angle!$K$7*$C750+PM_Angle!$L$7*$B750</f>
      </c>
      <c r="K750" s="12">
        <f>IF(J750&gt;0,IF(J750&lt;=eco,alpha*fck*(1-(1-J750/eco)^n),alpha*fck),0)</f>
      </c>
      <c r="L750" s="30">
        <f>PM_Angle!$J$8+PM_Angle!$K$8*$C750+PM_Angle!$L$8*$B750</f>
      </c>
      <c r="M750" s="12">
        <f>IF(L750&gt;0,IF(L750&lt;=eco,alpha*fck*(1-(1-L750/eco)^n),alpha*fck),0)</f>
      </c>
      <c r="N750" s="30">
        <f>PM_Angle!$J$9+PM_Angle!$K$9*$C750+PM_Angle!$L$9*$B750</f>
      </c>
      <c r="O750" s="12">
        <f>IF(N750&gt;0,IF(N750&lt;=eco,alpha*fck*(1-(1-N750/eco)^n),alpha*fck),0)</f>
      </c>
      <c r="P750" s="30">
        <f>PM_Angle!$J$10+PM_Angle!$K$10*$C750+PM_Angle!$L$10*$B750</f>
      </c>
      <c r="Q750" s="12">
        <f>IF(P750&gt;0,IF(P750&lt;=eco,alpha*fck*(1-(1-P750/eco)^n),alpha*fck),0)</f>
      </c>
      <c r="R750" s="30">
        <f>PM_Angle!$J$11+PM_Angle!$K$11*$C750+PM_Angle!$L$11*$B750</f>
      </c>
      <c r="S750" s="12">
        <f>IF(R750&gt;0,IF(R750&lt;=eco,alpha*fck*(1-(1-R750/eco)^n),alpha*fck),0)</f>
      </c>
      <c r="T750" s="30">
        <f>PM_Angle!$J$12+PM_Angle!$K$12*$C750+PM_Angle!$L$12*$B750</f>
      </c>
      <c r="U750" s="12">
        <f>IF(T750&gt;0,IF(T750&lt;=eco,alpha*fck*(1-(1-T750/eco)^n),alpha*fck),0)</f>
      </c>
      <c r="V750" s="30">
        <f>PM_Angle!$J$13+PM_Angle!$K$13*$C750+PM_Angle!$L$13*$B750</f>
      </c>
      <c r="W750" s="12">
        <f>IF(V750&gt;0,IF(V750&lt;=eco,alpha*fck*(1-(1-V750/eco)^n),alpha*fck),0)</f>
      </c>
      <c r="X750" s="30">
        <f>PM_Angle!$J$14+PM_Angle!$K$14*$C750+PM_Angle!$L$14*$B750</f>
      </c>
      <c r="Y750" s="12">
        <f>IF(X750&gt;0,IF(X750&lt;=eco,alpha*fck*(1-(1-X750/eco)^n),alpha*fck),0)</f>
      </c>
      <c r="Z750" s="30">
        <f>PM_Angle!$J$15+PM_Angle!$K$15*$C750+PM_Angle!$L$15*$B750</f>
      </c>
      <c r="AA750" s="12">
        <f>IF(Z750&gt;0,IF(Z750&lt;=eco,alpha*fck*(1-(1-Z750/eco)^n),alpha*fck),0)</f>
      </c>
      <c r="AB750" s="30">
        <f>PM_Angle!$J$16+PM_Angle!$K$16*$C750+PM_Angle!$L$16*$B750</f>
      </c>
      <c r="AC750" s="12">
        <f>IF(AB750&gt;0,IF(AB750&lt;=eco,alpha*fck*(1-(1-AB750/eco)^n),alpha*fck),0)</f>
      </c>
      <c r="AD750" s="30">
        <f>PM_Angle!$J$17+PM_Angle!$K$17*$C750+PM_Angle!$L$17*$B750</f>
      </c>
      <c r="AE750" s="12">
        <f>IF(AD750&gt;0,IF(AD750&lt;=eco,alpha*fck*(1-(1-AD750/eco)^n),alpha*fck),0)</f>
      </c>
      <c r="AF750" s="30">
        <f>PM_Angle!$J$18+PM_Angle!$K$18*$C750+PM_Angle!$L$18*$B750</f>
      </c>
      <c r="AG750" s="12">
        <f>IF(AF750&gt;0,IF(AF750&lt;=eco,alpha*fck*(1-(1-AF750/eco)^n),alpha*fck),0)</f>
      </c>
      <c r="AH750" s="30">
        <f>PM_Angle!$J$19+PM_Angle!$K$19*$C750+PM_Angle!$L$19*$B750</f>
      </c>
      <c r="AI750" s="12">
        <f>IF(AH750&gt;0,IF(AH750&lt;=eco,alpha*fck*(1-(1-AH750/eco)^n),alpha*fck),0)</f>
      </c>
      <c r="AJ750" s="30">
        <f>PM_Angle!$J$20+PM_Angle!$K$20*$C750+PM_Angle!$L$20*$B750</f>
      </c>
      <c r="AK750" s="12">
        <f>IF(AJ750&gt;0,IF(AJ750&lt;=eco,alpha*fck*(1-(1-AJ750/eco)^n),alpha*fck),0)</f>
      </c>
      <c r="AL750" s="30">
        <f>PM_Angle!$J$21+PM_Angle!$K$21*$C750+PM_Angle!$L$21*$B750</f>
      </c>
      <c r="AM750" s="12">
        <f>IF(AL750&gt;0,IF(AL750&lt;=eco,alpha*fck*(1-(1-AL750/eco)^n),alpha*fck),0)</f>
      </c>
      <c r="AN750" s="30">
        <f>PM_Angle!$J$22+PM_Angle!$K$22*$C750+PM_Angle!$L$22*$B750</f>
      </c>
      <c r="AO750" s="12">
        <f>IF(AN750&gt;0,IF(AN750&lt;=eco,alpha*fck*(1-(1-AN750/eco)^n),alpha*fck),0)</f>
      </c>
      <c r="AP750" s="30">
        <f>PM_Angle!$J$23+PM_Angle!$K$23*$C750+PM_Angle!$L$23*$B750</f>
      </c>
      <c r="AQ750" s="12">
        <f>IF(AP750&gt;0,IF(AP750&lt;=eco,alpha*fck*(1-(1-AP750/eco)^n),alpha*fck),0)</f>
      </c>
      <c r="AR750" s="30">
        <f>PM_Angle!$J$24+PM_Angle!$K$24*$C750+PM_Angle!$L$24*$B750</f>
      </c>
      <c r="AS750" s="12">
        <f>IF(AR750&gt;0,IF(AR750&lt;=eco,alpha*fck*(1-(1-AR750/eco)^n),alpha*fck),0)</f>
      </c>
      <c r="AT750" s="30">
        <f>PM_Angle!$J$25+PM_Angle!$K$25*$C750+PM_Angle!$L$25*$B750</f>
      </c>
      <c r="AU750" s="12">
        <f>IF(AT750&gt;0,IF(AT750&lt;=eco,alpha*fck*(1-(1-AT750/eco)^n),alpha*fck),0)</f>
      </c>
    </row>
    <row r="751" spans="1:47" x14ac:dyDescent="0.25">
      <c r="A751">
        <f>Mesh!A748</f>
      </c>
      <c r="B751" s="12">
        <f>Mesh!B748</f>
      </c>
      <c r="C751" s="12">
        <f>Mesh!C748</f>
      </c>
      <c r="D751" s="12">
        <f>Mesh!D748</f>
      </c>
      <c r="E751" s="30">
        <f>INDEX(St_e0,Det+1)+INDEX(St_kx,Det+1)*C751+INDEX(St_ky,Det+1)*B751</f>
      </c>
      <c r="F751" s="12">
        <f>IF(E751&gt;0,IF(E751&lt;=eco,alpha*fck*(1-(1-E751/eco)^n),alpha*fck),0)</f>
      </c>
      <c r="G751" s="11">
        <f>F751*D751</f>
      </c>
      <c r="H751" s="11">
        <f>G751*C751</f>
      </c>
      <c r="I751" s="11">
        <f>G751*B751</f>
      </c>
      <c r="J751" s="30">
        <f>PM_Angle!$J$7+PM_Angle!$K$7*$C751+PM_Angle!$L$7*$B751</f>
      </c>
      <c r="K751" s="12">
        <f>IF(J751&gt;0,IF(J751&lt;=eco,alpha*fck*(1-(1-J751/eco)^n),alpha*fck),0)</f>
      </c>
      <c r="L751" s="30">
        <f>PM_Angle!$J$8+PM_Angle!$K$8*$C751+PM_Angle!$L$8*$B751</f>
      </c>
      <c r="M751" s="12">
        <f>IF(L751&gt;0,IF(L751&lt;=eco,alpha*fck*(1-(1-L751/eco)^n),alpha*fck),0)</f>
      </c>
      <c r="N751" s="30">
        <f>PM_Angle!$J$9+PM_Angle!$K$9*$C751+PM_Angle!$L$9*$B751</f>
      </c>
      <c r="O751" s="12">
        <f>IF(N751&gt;0,IF(N751&lt;=eco,alpha*fck*(1-(1-N751/eco)^n),alpha*fck),0)</f>
      </c>
      <c r="P751" s="30">
        <f>PM_Angle!$J$10+PM_Angle!$K$10*$C751+PM_Angle!$L$10*$B751</f>
      </c>
      <c r="Q751" s="12">
        <f>IF(P751&gt;0,IF(P751&lt;=eco,alpha*fck*(1-(1-P751/eco)^n),alpha*fck),0)</f>
      </c>
      <c r="R751" s="30">
        <f>PM_Angle!$J$11+PM_Angle!$K$11*$C751+PM_Angle!$L$11*$B751</f>
      </c>
      <c r="S751" s="12">
        <f>IF(R751&gt;0,IF(R751&lt;=eco,alpha*fck*(1-(1-R751/eco)^n),alpha*fck),0)</f>
      </c>
      <c r="T751" s="30">
        <f>PM_Angle!$J$12+PM_Angle!$K$12*$C751+PM_Angle!$L$12*$B751</f>
      </c>
      <c r="U751" s="12">
        <f>IF(T751&gt;0,IF(T751&lt;=eco,alpha*fck*(1-(1-T751/eco)^n),alpha*fck),0)</f>
      </c>
      <c r="V751" s="30">
        <f>PM_Angle!$J$13+PM_Angle!$K$13*$C751+PM_Angle!$L$13*$B751</f>
      </c>
      <c r="W751" s="12">
        <f>IF(V751&gt;0,IF(V751&lt;=eco,alpha*fck*(1-(1-V751/eco)^n),alpha*fck),0)</f>
      </c>
      <c r="X751" s="30">
        <f>PM_Angle!$J$14+PM_Angle!$K$14*$C751+PM_Angle!$L$14*$B751</f>
      </c>
      <c r="Y751" s="12">
        <f>IF(X751&gt;0,IF(X751&lt;=eco,alpha*fck*(1-(1-X751/eco)^n),alpha*fck),0)</f>
      </c>
      <c r="Z751" s="30">
        <f>PM_Angle!$J$15+PM_Angle!$K$15*$C751+PM_Angle!$L$15*$B751</f>
      </c>
      <c r="AA751" s="12">
        <f>IF(Z751&gt;0,IF(Z751&lt;=eco,alpha*fck*(1-(1-Z751/eco)^n),alpha*fck),0)</f>
      </c>
      <c r="AB751" s="30">
        <f>PM_Angle!$J$16+PM_Angle!$K$16*$C751+PM_Angle!$L$16*$B751</f>
      </c>
      <c r="AC751" s="12">
        <f>IF(AB751&gt;0,IF(AB751&lt;=eco,alpha*fck*(1-(1-AB751/eco)^n),alpha*fck),0)</f>
      </c>
      <c r="AD751" s="30">
        <f>PM_Angle!$J$17+PM_Angle!$K$17*$C751+PM_Angle!$L$17*$B751</f>
      </c>
      <c r="AE751" s="12">
        <f>IF(AD751&gt;0,IF(AD751&lt;=eco,alpha*fck*(1-(1-AD751/eco)^n),alpha*fck),0)</f>
      </c>
      <c r="AF751" s="30">
        <f>PM_Angle!$J$18+PM_Angle!$K$18*$C751+PM_Angle!$L$18*$B751</f>
      </c>
      <c r="AG751" s="12">
        <f>IF(AF751&gt;0,IF(AF751&lt;=eco,alpha*fck*(1-(1-AF751/eco)^n),alpha*fck),0)</f>
      </c>
      <c r="AH751" s="30">
        <f>PM_Angle!$J$19+PM_Angle!$K$19*$C751+PM_Angle!$L$19*$B751</f>
      </c>
      <c r="AI751" s="12">
        <f>IF(AH751&gt;0,IF(AH751&lt;=eco,alpha*fck*(1-(1-AH751/eco)^n),alpha*fck),0)</f>
      </c>
      <c r="AJ751" s="30">
        <f>PM_Angle!$J$20+PM_Angle!$K$20*$C751+PM_Angle!$L$20*$B751</f>
      </c>
      <c r="AK751" s="12">
        <f>IF(AJ751&gt;0,IF(AJ751&lt;=eco,alpha*fck*(1-(1-AJ751/eco)^n),alpha*fck),0)</f>
      </c>
      <c r="AL751" s="30">
        <f>PM_Angle!$J$21+PM_Angle!$K$21*$C751+PM_Angle!$L$21*$B751</f>
      </c>
      <c r="AM751" s="12">
        <f>IF(AL751&gt;0,IF(AL751&lt;=eco,alpha*fck*(1-(1-AL751/eco)^n),alpha*fck),0)</f>
      </c>
      <c r="AN751" s="30">
        <f>PM_Angle!$J$22+PM_Angle!$K$22*$C751+PM_Angle!$L$22*$B751</f>
      </c>
      <c r="AO751" s="12">
        <f>IF(AN751&gt;0,IF(AN751&lt;=eco,alpha*fck*(1-(1-AN751/eco)^n),alpha*fck),0)</f>
      </c>
      <c r="AP751" s="30">
        <f>PM_Angle!$J$23+PM_Angle!$K$23*$C751+PM_Angle!$L$23*$B751</f>
      </c>
      <c r="AQ751" s="12">
        <f>IF(AP751&gt;0,IF(AP751&lt;=eco,alpha*fck*(1-(1-AP751/eco)^n),alpha*fck),0)</f>
      </c>
      <c r="AR751" s="30">
        <f>PM_Angle!$J$24+PM_Angle!$K$24*$C751+PM_Angle!$L$24*$B751</f>
      </c>
      <c r="AS751" s="12">
        <f>IF(AR751&gt;0,IF(AR751&lt;=eco,alpha*fck*(1-(1-AR751/eco)^n),alpha*fck),0)</f>
      </c>
      <c r="AT751" s="30">
        <f>PM_Angle!$J$25+PM_Angle!$K$25*$C751+PM_Angle!$L$25*$B751</f>
      </c>
      <c r="AU751" s="12">
        <f>IF(AT751&gt;0,IF(AT751&lt;=eco,alpha*fck*(1-(1-AT751/eco)^n),alpha*fck),0)</f>
      </c>
    </row>
    <row r="752" spans="1:47" x14ac:dyDescent="0.25">
      <c r="A752">
        <f>Mesh!A749</f>
      </c>
      <c r="B752" s="12">
        <f>Mesh!B749</f>
      </c>
      <c r="C752" s="12">
        <f>Mesh!C749</f>
      </c>
      <c r="D752" s="12">
        <f>Mesh!D749</f>
      </c>
      <c r="E752" s="30">
        <f>INDEX(St_e0,Det+1)+INDEX(St_kx,Det+1)*C752+INDEX(St_ky,Det+1)*B752</f>
      </c>
      <c r="F752" s="12">
        <f>IF(E752&gt;0,IF(E752&lt;=eco,alpha*fck*(1-(1-E752/eco)^n),alpha*fck),0)</f>
      </c>
      <c r="G752" s="11">
        <f>F752*D752</f>
      </c>
      <c r="H752" s="11">
        <f>G752*C752</f>
      </c>
      <c r="I752" s="11">
        <f>G752*B752</f>
      </c>
      <c r="J752" s="30">
        <f>PM_Angle!$J$7+PM_Angle!$K$7*$C752+PM_Angle!$L$7*$B752</f>
      </c>
      <c r="K752" s="12">
        <f>IF(J752&gt;0,IF(J752&lt;=eco,alpha*fck*(1-(1-J752/eco)^n),alpha*fck),0)</f>
      </c>
      <c r="L752" s="30">
        <f>PM_Angle!$J$8+PM_Angle!$K$8*$C752+PM_Angle!$L$8*$B752</f>
      </c>
      <c r="M752" s="12">
        <f>IF(L752&gt;0,IF(L752&lt;=eco,alpha*fck*(1-(1-L752/eco)^n),alpha*fck),0)</f>
      </c>
      <c r="N752" s="30">
        <f>PM_Angle!$J$9+PM_Angle!$K$9*$C752+PM_Angle!$L$9*$B752</f>
      </c>
      <c r="O752" s="12">
        <f>IF(N752&gt;0,IF(N752&lt;=eco,alpha*fck*(1-(1-N752/eco)^n),alpha*fck),0)</f>
      </c>
      <c r="P752" s="30">
        <f>PM_Angle!$J$10+PM_Angle!$K$10*$C752+PM_Angle!$L$10*$B752</f>
      </c>
      <c r="Q752" s="12">
        <f>IF(P752&gt;0,IF(P752&lt;=eco,alpha*fck*(1-(1-P752/eco)^n),alpha*fck),0)</f>
      </c>
      <c r="R752" s="30">
        <f>PM_Angle!$J$11+PM_Angle!$K$11*$C752+PM_Angle!$L$11*$B752</f>
      </c>
      <c r="S752" s="12">
        <f>IF(R752&gt;0,IF(R752&lt;=eco,alpha*fck*(1-(1-R752/eco)^n),alpha*fck),0)</f>
      </c>
      <c r="T752" s="30">
        <f>PM_Angle!$J$12+PM_Angle!$K$12*$C752+PM_Angle!$L$12*$B752</f>
      </c>
      <c r="U752" s="12">
        <f>IF(T752&gt;0,IF(T752&lt;=eco,alpha*fck*(1-(1-T752/eco)^n),alpha*fck),0)</f>
      </c>
      <c r="V752" s="30">
        <f>PM_Angle!$J$13+PM_Angle!$K$13*$C752+PM_Angle!$L$13*$B752</f>
      </c>
      <c r="W752" s="12">
        <f>IF(V752&gt;0,IF(V752&lt;=eco,alpha*fck*(1-(1-V752/eco)^n),alpha*fck),0)</f>
      </c>
      <c r="X752" s="30">
        <f>PM_Angle!$J$14+PM_Angle!$K$14*$C752+PM_Angle!$L$14*$B752</f>
      </c>
      <c r="Y752" s="12">
        <f>IF(X752&gt;0,IF(X752&lt;=eco,alpha*fck*(1-(1-X752/eco)^n),alpha*fck),0)</f>
      </c>
      <c r="Z752" s="30">
        <f>PM_Angle!$J$15+PM_Angle!$K$15*$C752+PM_Angle!$L$15*$B752</f>
      </c>
      <c r="AA752" s="12">
        <f>IF(Z752&gt;0,IF(Z752&lt;=eco,alpha*fck*(1-(1-Z752/eco)^n),alpha*fck),0)</f>
      </c>
      <c r="AB752" s="30">
        <f>PM_Angle!$J$16+PM_Angle!$K$16*$C752+PM_Angle!$L$16*$B752</f>
      </c>
      <c r="AC752" s="12">
        <f>IF(AB752&gt;0,IF(AB752&lt;=eco,alpha*fck*(1-(1-AB752/eco)^n),alpha*fck),0)</f>
      </c>
      <c r="AD752" s="30">
        <f>PM_Angle!$J$17+PM_Angle!$K$17*$C752+PM_Angle!$L$17*$B752</f>
      </c>
      <c r="AE752" s="12">
        <f>IF(AD752&gt;0,IF(AD752&lt;=eco,alpha*fck*(1-(1-AD752/eco)^n),alpha*fck),0)</f>
      </c>
      <c r="AF752" s="30">
        <f>PM_Angle!$J$18+PM_Angle!$K$18*$C752+PM_Angle!$L$18*$B752</f>
      </c>
      <c r="AG752" s="12">
        <f>IF(AF752&gt;0,IF(AF752&lt;=eco,alpha*fck*(1-(1-AF752/eco)^n),alpha*fck),0)</f>
      </c>
      <c r="AH752" s="30">
        <f>PM_Angle!$J$19+PM_Angle!$K$19*$C752+PM_Angle!$L$19*$B752</f>
      </c>
      <c r="AI752" s="12">
        <f>IF(AH752&gt;0,IF(AH752&lt;=eco,alpha*fck*(1-(1-AH752/eco)^n),alpha*fck),0)</f>
      </c>
      <c r="AJ752" s="30">
        <f>PM_Angle!$J$20+PM_Angle!$K$20*$C752+PM_Angle!$L$20*$B752</f>
      </c>
      <c r="AK752" s="12">
        <f>IF(AJ752&gt;0,IF(AJ752&lt;=eco,alpha*fck*(1-(1-AJ752/eco)^n),alpha*fck),0)</f>
      </c>
      <c r="AL752" s="30">
        <f>PM_Angle!$J$21+PM_Angle!$K$21*$C752+PM_Angle!$L$21*$B752</f>
      </c>
      <c r="AM752" s="12">
        <f>IF(AL752&gt;0,IF(AL752&lt;=eco,alpha*fck*(1-(1-AL752/eco)^n),alpha*fck),0)</f>
      </c>
      <c r="AN752" s="30">
        <f>PM_Angle!$J$22+PM_Angle!$K$22*$C752+PM_Angle!$L$22*$B752</f>
      </c>
      <c r="AO752" s="12">
        <f>IF(AN752&gt;0,IF(AN752&lt;=eco,alpha*fck*(1-(1-AN752/eco)^n),alpha*fck),0)</f>
      </c>
      <c r="AP752" s="30">
        <f>PM_Angle!$J$23+PM_Angle!$K$23*$C752+PM_Angle!$L$23*$B752</f>
      </c>
      <c r="AQ752" s="12">
        <f>IF(AP752&gt;0,IF(AP752&lt;=eco,alpha*fck*(1-(1-AP752/eco)^n),alpha*fck),0)</f>
      </c>
      <c r="AR752" s="30">
        <f>PM_Angle!$J$24+PM_Angle!$K$24*$C752+PM_Angle!$L$24*$B752</f>
      </c>
      <c r="AS752" s="12">
        <f>IF(AR752&gt;0,IF(AR752&lt;=eco,alpha*fck*(1-(1-AR752/eco)^n),alpha*fck),0)</f>
      </c>
      <c r="AT752" s="30">
        <f>PM_Angle!$J$25+PM_Angle!$K$25*$C752+PM_Angle!$L$25*$B752</f>
      </c>
      <c r="AU752" s="12">
        <f>IF(AT752&gt;0,IF(AT752&lt;=eco,alpha*fck*(1-(1-AT752/eco)^n),alpha*fck),0)</f>
      </c>
    </row>
    <row r="753" spans="1:47" x14ac:dyDescent="0.25">
      <c r="A753">
        <f>Mesh!A750</f>
      </c>
      <c r="B753" s="12">
        <f>Mesh!B750</f>
      </c>
      <c r="C753" s="12">
        <f>Mesh!C750</f>
      </c>
      <c r="D753" s="12">
        <f>Mesh!D750</f>
      </c>
      <c r="E753" s="30">
        <f>INDEX(St_e0,Det+1)+INDEX(St_kx,Det+1)*C753+INDEX(St_ky,Det+1)*B753</f>
      </c>
      <c r="F753" s="12">
        <f>IF(E753&gt;0,IF(E753&lt;=eco,alpha*fck*(1-(1-E753/eco)^n),alpha*fck),0)</f>
      </c>
      <c r="G753" s="11">
        <f>F753*D753</f>
      </c>
      <c r="H753" s="11">
        <f>G753*C753</f>
      </c>
      <c r="I753" s="11">
        <f>G753*B753</f>
      </c>
      <c r="J753" s="30">
        <f>PM_Angle!$J$7+PM_Angle!$K$7*$C753+PM_Angle!$L$7*$B753</f>
      </c>
      <c r="K753" s="12">
        <f>IF(J753&gt;0,IF(J753&lt;=eco,alpha*fck*(1-(1-J753/eco)^n),alpha*fck),0)</f>
      </c>
      <c r="L753" s="30">
        <f>PM_Angle!$J$8+PM_Angle!$K$8*$C753+PM_Angle!$L$8*$B753</f>
      </c>
      <c r="M753" s="12">
        <f>IF(L753&gt;0,IF(L753&lt;=eco,alpha*fck*(1-(1-L753/eco)^n),alpha*fck),0)</f>
      </c>
      <c r="N753" s="30">
        <f>PM_Angle!$J$9+PM_Angle!$K$9*$C753+PM_Angle!$L$9*$B753</f>
      </c>
      <c r="O753" s="12">
        <f>IF(N753&gt;0,IF(N753&lt;=eco,alpha*fck*(1-(1-N753/eco)^n),alpha*fck),0)</f>
      </c>
      <c r="P753" s="30">
        <f>PM_Angle!$J$10+PM_Angle!$K$10*$C753+PM_Angle!$L$10*$B753</f>
      </c>
      <c r="Q753" s="12">
        <f>IF(P753&gt;0,IF(P753&lt;=eco,alpha*fck*(1-(1-P753/eco)^n),alpha*fck),0)</f>
      </c>
      <c r="R753" s="30">
        <f>PM_Angle!$J$11+PM_Angle!$K$11*$C753+PM_Angle!$L$11*$B753</f>
      </c>
      <c r="S753" s="12">
        <f>IF(R753&gt;0,IF(R753&lt;=eco,alpha*fck*(1-(1-R753/eco)^n),alpha*fck),0)</f>
      </c>
      <c r="T753" s="30">
        <f>PM_Angle!$J$12+PM_Angle!$K$12*$C753+PM_Angle!$L$12*$B753</f>
      </c>
      <c r="U753" s="12">
        <f>IF(T753&gt;0,IF(T753&lt;=eco,alpha*fck*(1-(1-T753/eco)^n),alpha*fck),0)</f>
      </c>
      <c r="V753" s="30">
        <f>PM_Angle!$J$13+PM_Angle!$K$13*$C753+PM_Angle!$L$13*$B753</f>
      </c>
      <c r="W753" s="12">
        <f>IF(V753&gt;0,IF(V753&lt;=eco,alpha*fck*(1-(1-V753/eco)^n),alpha*fck),0)</f>
      </c>
      <c r="X753" s="30">
        <f>PM_Angle!$J$14+PM_Angle!$K$14*$C753+PM_Angle!$L$14*$B753</f>
      </c>
      <c r="Y753" s="12">
        <f>IF(X753&gt;0,IF(X753&lt;=eco,alpha*fck*(1-(1-X753/eco)^n),alpha*fck),0)</f>
      </c>
      <c r="Z753" s="30">
        <f>PM_Angle!$J$15+PM_Angle!$K$15*$C753+PM_Angle!$L$15*$B753</f>
      </c>
      <c r="AA753" s="12">
        <f>IF(Z753&gt;0,IF(Z753&lt;=eco,alpha*fck*(1-(1-Z753/eco)^n),alpha*fck),0)</f>
      </c>
      <c r="AB753" s="30">
        <f>PM_Angle!$J$16+PM_Angle!$K$16*$C753+PM_Angle!$L$16*$B753</f>
      </c>
      <c r="AC753" s="12">
        <f>IF(AB753&gt;0,IF(AB753&lt;=eco,alpha*fck*(1-(1-AB753/eco)^n),alpha*fck),0)</f>
      </c>
      <c r="AD753" s="30">
        <f>PM_Angle!$J$17+PM_Angle!$K$17*$C753+PM_Angle!$L$17*$B753</f>
      </c>
      <c r="AE753" s="12">
        <f>IF(AD753&gt;0,IF(AD753&lt;=eco,alpha*fck*(1-(1-AD753/eco)^n),alpha*fck),0)</f>
      </c>
      <c r="AF753" s="30">
        <f>PM_Angle!$J$18+PM_Angle!$K$18*$C753+PM_Angle!$L$18*$B753</f>
      </c>
      <c r="AG753" s="12">
        <f>IF(AF753&gt;0,IF(AF753&lt;=eco,alpha*fck*(1-(1-AF753/eco)^n),alpha*fck),0)</f>
      </c>
      <c r="AH753" s="30">
        <f>PM_Angle!$J$19+PM_Angle!$K$19*$C753+PM_Angle!$L$19*$B753</f>
      </c>
      <c r="AI753" s="12">
        <f>IF(AH753&gt;0,IF(AH753&lt;=eco,alpha*fck*(1-(1-AH753/eco)^n),alpha*fck),0)</f>
      </c>
      <c r="AJ753" s="30">
        <f>PM_Angle!$J$20+PM_Angle!$K$20*$C753+PM_Angle!$L$20*$B753</f>
      </c>
      <c r="AK753" s="12">
        <f>IF(AJ753&gt;0,IF(AJ753&lt;=eco,alpha*fck*(1-(1-AJ753/eco)^n),alpha*fck),0)</f>
      </c>
      <c r="AL753" s="30">
        <f>PM_Angle!$J$21+PM_Angle!$K$21*$C753+PM_Angle!$L$21*$B753</f>
      </c>
      <c r="AM753" s="12">
        <f>IF(AL753&gt;0,IF(AL753&lt;=eco,alpha*fck*(1-(1-AL753/eco)^n),alpha*fck),0)</f>
      </c>
      <c r="AN753" s="30">
        <f>PM_Angle!$J$22+PM_Angle!$K$22*$C753+PM_Angle!$L$22*$B753</f>
      </c>
      <c r="AO753" s="12">
        <f>IF(AN753&gt;0,IF(AN753&lt;=eco,alpha*fck*(1-(1-AN753/eco)^n),alpha*fck),0)</f>
      </c>
      <c r="AP753" s="30">
        <f>PM_Angle!$J$23+PM_Angle!$K$23*$C753+PM_Angle!$L$23*$B753</f>
      </c>
      <c r="AQ753" s="12">
        <f>IF(AP753&gt;0,IF(AP753&lt;=eco,alpha*fck*(1-(1-AP753/eco)^n),alpha*fck),0)</f>
      </c>
      <c r="AR753" s="30">
        <f>PM_Angle!$J$24+PM_Angle!$K$24*$C753+PM_Angle!$L$24*$B753</f>
      </c>
      <c r="AS753" s="12">
        <f>IF(AR753&gt;0,IF(AR753&lt;=eco,alpha*fck*(1-(1-AR753/eco)^n),alpha*fck),0)</f>
      </c>
      <c r="AT753" s="30">
        <f>PM_Angle!$J$25+PM_Angle!$K$25*$C753+PM_Angle!$L$25*$B753</f>
      </c>
      <c r="AU753" s="12">
        <f>IF(AT753&gt;0,IF(AT753&lt;=eco,alpha*fck*(1-(1-AT753/eco)^n),alpha*fck),0)</f>
      </c>
    </row>
    <row r="754" spans="1:47" x14ac:dyDescent="0.25">
      <c r="A754">
        <f>Mesh!A751</f>
      </c>
      <c r="B754" s="12">
        <f>Mesh!B751</f>
      </c>
      <c r="C754" s="12">
        <f>Mesh!C751</f>
      </c>
      <c r="D754" s="12">
        <f>Mesh!D751</f>
      </c>
      <c r="E754" s="30">
        <f>INDEX(St_e0,Det+1)+INDEX(St_kx,Det+1)*C754+INDEX(St_ky,Det+1)*B754</f>
      </c>
      <c r="F754" s="12">
        <f>IF(E754&gt;0,IF(E754&lt;=eco,alpha*fck*(1-(1-E754/eco)^n),alpha*fck),0)</f>
      </c>
      <c r="G754" s="11">
        <f>F754*D754</f>
      </c>
      <c r="H754" s="11">
        <f>G754*C754</f>
      </c>
      <c r="I754" s="11">
        <f>G754*B754</f>
      </c>
      <c r="J754" s="30">
        <f>PM_Angle!$J$7+PM_Angle!$K$7*$C754+PM_Angle!$L$7*$B754</f>
      </c>
      <c r="K754" s="12">
        <f>IF(J754&gt;0,IF(J754&lt;=eco,alpha*fck*(1-(1-J754/eco)^n),alpha*fck),0)</f>
      </c>
      <c r="L754" s="30">
        <f>PM_Angle!$J$8+PM_Angle!$K$8*$C754+PM_Angle!$L$8*$B754</f>
      </c>
      <c r="M754" s="12">
        <f>IF(L754&gt;0,IF(L754&lt;=eco,alpha*fck*(1-(1-L754/eco)^n),alpha*fck),0)</f>
      </c>
      <c r="N754" s="30">
        <f>PM_Angle!$J$9+PM_Angle!$K$9*$C754+PM_Angle!$L$9*$B754</f>
      </c>
      <c r="O754" s="12">
        <f>IF(N754&gt;0,IF(N754&lt;=eco,alpha*fck*(1-(1-N754/eco)^n),alpha*fck),0)</f>
      </c>
      <c r="P754" s="30">
        <f>PM_Angle!$J$10+PM_Angle!$K$10*$C754+PM_Angle!$L$10*$B754</f>
      </c>
      <c r="Q754" s="12">
        <f>IF(P754&gt;0,IF(P754&lt;=eco,alpha*fck*(1-(1-P754/eco)^n),alpha*fck),0)</f>
      </c>
      <c r="R754" s="30">
        <f>PM_Angle!$J$11+PM_Angle!$K$11*$C754+PM_Angle!$L$11*$B754</f>
      </c>
      <c r="S754" s="12">
        <f>IF(R754&gt;0,IF(R754&lt;=eco,alpha*fck*(1-(1-R754/eco)^n),alpha*fck),0)</f>
      </c>
      <c r="T754" s="30">
        <f>PM_Angle!$J$12+PM_Angle!$K$12*$C754+PM_Angle!$L$12*$B754</f>
      </c>
      <c r="U754" s="12">
        <f>IF(T754&gt;0,IF(T754&lt;=eco,alpha*fck*(1-(1-T754/eco)^n),alpha*fck),0)</f>
      </c>
      <c r="V754" s="30">
        <f>PM_Angle!$J$13+PM_Angle!$K$13*$C754+PM_Angle!$L$13*$B754</f>
      </c>
      <c r="W754" s="12">
        <f>IF(V754&gt;0,IF(V754&lt;=eco,alpha*fck*(1-(1-V754/eco)^n),alpha*fck),0)</f>
      </c>
      <c r="X754" s="30">
        <f>PM_Angle!$J$14+PM_Angle!$K$14*$C754+PM_Angle!$L$14*$B754</f>
      </c>
      <c r="Y754" s="12">
        <f>IF(X754&gt;0,IF(X754&lt;=eco,alpha*fck*(1-(1-X754/eco)^n),alpha*fck),0)</f>
      </c>
      <c r="Z754" s="30">
        <f>PM_Angle!$J$15+PM_Angle!$K$15*$C754+PM_Angle!$L$15*$B754</f>
      </c>
      <c r="AA754" s="12">
        <f>IF(Z754&gt;0,IF(Z754&lt;=eco,alpha*fck*(1-(1-Z754/eco)^n),alpha*fck),0)</f>
      </c>
      <c r="AB754" s="30">
        <f>PM_Angle!$J$16+PM_Angle!$K$16*$C754+PM_Angle!$L$16*$B754</f>
      </c>
      <c r="AC754" s="12">
        <f>IF(AB754&gt;0,IF(AB754&lt;=eco,alpha*fck*(1-(1-AB754/eco)^n),alpha*fck),0)</f>
      </c>
      <c r="AD754" s="30">
        <f>PM_Angle!$J$17+PM_Angle!$K$17*$C754+PM_Angle!$L$17*$B754</f>
      </c>
      <c r="AE754" s="12">
        <f>IF(AD754&gt;0,IF(AD754&lt;=eco,alpha*fck*(1-(1-AD754/eco)^n),alpha*fck),0)</f>
      </c>
      <c r="AF754" s="30">
        <f>PM_Angle!$J$18+PM_Angle!$K$18*$C754+PM_Angle!$L$18*$B754</f>
      </c>
      <c r="AG754" s="12">
        <f>IF(AF754&gt;0,IF(AF754&lt;=eco,alpha*fck*(1-(1-AF754/eco)^n),alpha*fck),0)</f>
      </c>
      <c r="AH754" s="30">
        <f>PM_Angle!$J$19+PM_Angle!$K$19*$C754+PM_Angle!$L$19*$B754</f>
      </c>
      <c r="AI754" s="12">
        <f>IF(AH754&gt;0,IF(AH754&lt;=eco,alpha*fck*(1-(1-AH754/eco)^n),alpha*fck),0)</f>
      </c>
      <c r="AJ754" s="30">
        <f>PM_Angle!$J$20+PM_Angle!$K$20*$C754+PM_Angle!$L$20*$B754</f>
      </c>
      <c r="AK754" s="12">
        <f>IF(AJ754&gt;0,IF(AJ754&lt;=eco,alpha*fck*(1-(1-AJ754/eco)^n),alpha*fck),0)</f>
      </c>
      <c r="AL754" s="30">
        <f>PM_Angle!$J$21+PM_Angle!$K$21*$C754+PM_Angle!$L$21*$B754</f>
      </c>
      <c r="AM754" s="12">
        <f>IF(AL754&gt;0,IF(AL754&lt;=eco,alpha*fck*(1-(1-AL754/eco)^n),alpha*fck),0)</f>
      </c>
      <c r="AN754" s="30">
        <f>PM_Angle!$J$22+PM_Angle!$K$22*$C754+PM_Angle!$L$22*$B754</f>
      </c>
      <c r="AO754" s="12">
        <f>IF(AN754&gt;0,IF(AN754&lt;=eco,alpha*fck*(1-(1-AN754/eco)^n),alpha*fck),0)</f>
      </c>
      <c r="AP754" s="30">
        <f>PM_Angle!$J$23+PM_Angle!$K$23*$C754+PM_Angle!$L$23*$B754</f>
      </c>
      <c r="AQ754" s="12">
        <f>IF(AP754&gt;0,IF(AP754&lt;=eco,alpha*fck*(1-(1-AP754/eco)^n),alpha*fck),0)</f>
      </c>
      <c r="AR754" s="30">
        <f>PM_Angle!$J$24+PM_Angle!$K$24*$C754+PM_Angle!$L$24*$B754</f>
      </c>
      <c r="AS754" s="12">
        <f>IF(AR754&gt;0,IF(AR754&lt;=eco,alpha*fck*(1-(1-AR754/eco)^n),alpha*fck),0)</f>
      </c>
      <c r="AT754" s="30">
        <f>PM_Angle!$J$25+PM_Angle!$K$25*$C754+PM_Angle!$L$25*$B754</f>
      </c>
      <c r="AU754" s="12">
        <f>IF(AT754&gt;0,IF(AT754&lt;=eco,alpha*fck*(1-(1-AT754/eco)^n),alpha*fck),0)</f>
      </c>
    </row>
    <row r="755" spans="1:47" x14ac:dyDescent="0.25">
      <c r="A755">
        <f>Mesh!A752</f>
      </c>
      <c r="B755" s="12">
        <f>Mesh!B752</f>
      </c>
      <c r="C755" s="12">
        <f>Mesh!C752</f>
      </c>
      <c r="D755" s="12">
        <f>Mesh!D752</f>
      </c>
      <c r="E755" s="30">
        <f>INDEX(St_e0,Det+1)+INDEX(St_kx,Det+1)*C755+INDEX(St_ky,Det+1)*B755</f>
      </c>
      <c r="F755" s="12">
        <f>IF(E755&gt;0,IF(E755&lt;=eco,alpha*fck*(1-(1-E755/eco)^n),alpha*fck),0)</f>
      </c>
      <c r="G755" s="11">
        <f>F755*D755</f>
      </c>
      <c r="H755" s="11">
        <f>G755*C755</f>
      </c>
      <c r="I755" s="11">
        <f>G755*B755</f>
      </c>
      <c r="J755" s="30">
        <f>PM_Angle!$J$7+PM_Angle!$K$7*$C755+PM_Angle!$L$7*$B755</f>
      </c>
      <c r="K755" s="12">
        <f>IF(J755&gt;0,IF(J755&lt;=eco,alpha*fck*(1-(1-J755/eco)^n),alpha*fck),0)</f>
      </c>
      <c r="L755" s="30">
        <f>PM_Angle!$J$8+PM_Angle!$K$8*$C755+PM_Angle!$L$8*$B755</f>
      </c>
      <c r="M755" s="12">
        <f>IF(L755&gt;0,IF(L755&lt;=eco,alpha*fck*(1-(1-L755/eco)^n),alpha*fck),0)</f>
      </c>
      <c r="N755" s="30">
        <f>PM_Angle!$J$9+PM_Angle!$K$9*$C755+PM_Angle!$L$9*$B755</f>
      </c>
      <c r="O755" s="12">
        <f>IF(N755&gt;0,IF(N755&lt;=eco,alpha*fck*(1-(1-N755/eco)^n),alpha*fck),0)</f>
      </c>
      <c r="P755" s="30">
        <f>PM_Angle!$J$10+PM_Angle!$K$10*$C755+PM_Angle!$L$10*$B755</f>
      </c>
      <c r="Q755" s="12">
        <f>IF(P755&gt;0,IF(P755&lt;=eco,alpha*fck*(1-(1-P755/eco)^n),alpha*fck),0)</f>
      </c>
      <c r="R755" s="30">
        <f>PM_Angle!$J$11+PM_Angle!$K$11*$C755+PM_Angle!$L$11*$B755</f>
      </c>
      <c r="S755" s="12">
        <f>IF(R755&gt;0,IF(R755&lt;=eco,alpha*fck*(1-(1-R755/eco)^n),alpha*fck),0)</f>
      </c>
      <c r="T755" s="30">
        <f>PM_Angle!$J$12+PM_Angle!$K$12*$C755+PM_Angle!$L$12*$B755</f>
      </c>
      <c r="U755" s="12">
        <f>IF(T755&gt;0,IF(T755&lt;=eco,alpha*fck*(1-(1-T755/eco)^n),alpha*fck),0)</f>
      </c>
      <c r="V755" s="30">
        <f>PM_Angle!$J$13+PM_Angle!$K$13*$C755+PM_Angle!$L$13*$B755</f>
      </c>
      <c r="W755" s="12">
        <f>IF(V755&gt;0,IF(V755&lt;=eco,alpha*fck*(1-(1-V755/eco)^n),alpha*fck),0)</f>
      </c>
      <c r="X755" s="30">
        <f>PM_Angle!$J$14+PM_Angle!$K$14*$C755+PM_Angle!$L$14*$B755</f>
      </c>
      <c r="Y755" s="12">
        <f>IF(X755&gt;0,IF(X755&lt;=eco,alpha*fck*(1-(1-X755/eco)^n),alpha*fck),0)</f>
      </c>
      <c r="Z755" s="30">
        <f>PM_Angle!$J$15+PM_Angle!$K$15*$C755+PM_Angle!$L$15*$B755</f>
      </c>
      <c r="AA755" s="12">
        <f>IF(Z755&gt;0,IF(Z755&lt;=eco,alpha*fck*(1-(1-Z755/eco)^n),alpha*fck),0)</f>
      </c>
      <c r="AB755" s="30">
        <f>PM_Angle!$J$16+PM_Angle!$K$16*$C755+PM_Angle!$L$16*$B755</f>
      </c>
      <c r="AC755" s="12">
        <f>IF(AB755&gt;0,IF(AB755&lt;=eco,alpha*fck*(1-(1-AB755/eco)^n),alpha*fck),0)</f>
      </c>
      <c r="AD755" s="30">
        <f>PM_Angle!$J$17+PM_Angle!$K$17*$C755+PM_Angle!$L$17*$B755</f>
      </c>
      <c r="AE755" s="12">
        <f>IF(AD755&gt;0,IF(AD755&lt;=eco,alpha*fck*(1-(1-AD755/eco)^n),alpha*fck),0)</f>
      </c>
      <c r="AF755" s="30">
        <f>PM_Angle!$J$18+PM_Angle!$K$18*$C755+PM_Angle!$L$18*$B755</f>
      </c>
      <c r="AG755" s="12">
        <f>IF(AF755&gt;0,IF(AF755&lt;=eco,alpha*fck*(1-(1-AF755/eco)^n),alpha*fck),0)</f>
      </c>
      <c r="AH755" s="30">
        <f>PM_Angle!$J$19+PM_Angle!$K$19*$C755+PM_Angle!$L$19*$B755</f>
      </c>
      <c r="AI755" s="12">
        <f>IF(AH755&gt;0,IF(AH755&lt;=eco,alpha*fck*(1-(1-AH755/eco)^n),alpha*fck),0)</f>
      </c>
      <c r="AJ755" s="30">
        <f>PM_Angle!$J$20+PM_Angle!$K$20*$C755+PM_Angle!$L$20*$B755</f>
      </c>
      <c r="AK755" s="12">
        <f>IF(AJ755&gt;0,IF(AJ755&lt;=eco,alpha*fck*(1-(1-AJ755/eco)^n),alpha*fck),0)</f>
      </c>
      <c r="AL755" s="30">
        <f>PM_Angle!$J$21+PM_Angle!$K$21*$C755+PM_Angle!$L$21*$B755</f>
      </c>
      <c r="AM755" s="12">
        <f>IF(AL755&gt;0,IF(AL755&lt;=eco,alpha*fck*(1-(1-AL755/eco)^n),alpha*fck),0)</f>
      </c>
      <c r="AN755" s="30">
        <f>PM_Angle!$J$22+PM_Angle!$K$22*$C755+PM_Angle!$L$22*$B755</f>
      </c>
      <c r="AO755" s="12">
        <f>IF(AN755&gt;0,IF(AN755&lt;=eco,alpha*fck*(1-(1-AN755/eco)^n),alpha*fck),0)</f>
      </c>
      <c r="AP755" s="30">
        <f>PM_Angle!$J$23+PM_Angle!$K$23*$C755+PM_Angle!$L$23*$B755</f>
      </c>
      <c r="AQ755" s="12">
        <f>IF(AP755&gt;0,IF(AP755&lt;=eco,alpha*fck*(1-(1-AP755/eco)^n),alpha*fck),0)</f>
      </c>
      <c r="AR755" s="30">
        <f>PM_Angle!$J$24+PM_Angle!$K$24*$C755+PM_Angle!$L$24*$B755</f>
      </c>
      <c r="AS755" s="12">
        <f>IF(AR755&gt;0,IF(AR755&lt;=eco,alpha*fck*(1-(1-AR755/eco)^n),alpha*fck),0)</f>
      </c>
      <c r="AT755" s="30">
        <f>PM_Angle!$J$25+PM_Angle!$K$25*$C755+PM_Angle!$L$25*$B755</f>
      </c>
      <c r="AU755" s="12">
        <f>IF(AT755&gt;0,IF(AT755&lt;=eco,alpha*fck*(1-(1-AT755/eco)^n),alpha*fck),0)</f>
      </c>
    </row>
    <row r="756" spans="1:47" x14ac:dyDescent="0.25">
      <c r="A756">
        <f>Mesh!A753</f>
      </c>
      <c r="B756" s="12">
        <f>Mesh!B753</f>
      </c>
      <c r="C756" s="12">
        <f>Mesh!C753</f>
      </c>
      <c r="D756" s="12">
        <f>Mesh!D753</f>
      </c>
      <c r="E756" s="30">
        <f>INDEX(St_e0,Det+1)+INDEX(St_kx,Det+1)*C756+INDEX(St_ky,Det+1)*B756</f>
      </c>
      <c r="F756" s="12">
        <f>IF(E756&gt;0,IF(E756&lt;=eco,alpha*fck*(1-(1-E756/eco)^n),alpha*fck),0)</f>
      </c>
      <c r="G756" s="11">
        <f>F756*D756</f>
      </c>
      <c r="H756" s="11">
        <f>G756*C756</f>
      </c>
      <c r="I756" s="11">
        <f>G756*B756</f>
      </c>
      <c r="J756" s="30">
        <f>PM_Angle!$J$7+PM_Angle!$K$7*$C756+PM_Angle!$L$7*$B756</f>
      </c>
      <c r="K756" s="12">
        <f>IF(J756&gt;0,IF(J756&lt;=eco,alpha*fck*(1-(1-J756/eco)^n),alpha*fck),0)</f>
      </c>
      <c r="L756" s="30">
        <f>PM_Angle!$J$8+PM_Angle!$K$8*$C756+PM_Angle!$L$8*$B756</f>
      </c>
      <c r="M756" s="12">
        <f>IF(L756&gt;0,IF(L756&lt;=eco,alpha*fck*(1-(1-L756/eco)^n),alpha*fck),0)</f>
      </c>
      <c r="N756" s="30">
        <f>PM_Angle!$J$9+PM_Angle!$K$9*$C756+PM_Angle!$L$9*$B756</f>
      </c>
      <c r="O756" s="12">
        <f>IF(N756&gt;0,IF(N756&lt;=eco,alpha*fck*(1-(1-N756/eco)^n),alpha*fck),0)</f>
      </c>
      <c r="P756" s="30">
        <f>PM_Angle!$J$10+PM_Angle!$K$10*$C756+PM_Angle!$L$10*$B756</f>
      </c>
      <c r="Q756" s="12">
        <f>IF(P756&gt;0,IF(P756&lt;=eco,alpha*fck*(1-(1-P756/eco)^n),alpha*fck),0)</f>
      </c>
      <c r="R756" s="30">
        <f>PM_Angle!$J$11+PM_Angle!$K$11*$C756+PM_Angle!$L$11*$B756</f>
      </c>
      <c r="S756" s="12">
        <f>IF(R756&gt;0,IF(R756&lt;=eco,alpha*fck*(1-(1-R756/eco)^n),alpha*fck),0)</f>
      </c>
      <c r="T756" s="30">
        <f>PM_Angle!$J$12+PM_Angle!$K$12*$C756+PM_Angle!$L$12*$B756</f>
      </c>
      <c r="U756" s="12">
        <f>IF(T756&gt;0,IF(T756&lt;=eco,alpha*fck*(1-(1-T756/eco)^n),alpha*fck),0)</f>
      </c>
      <c r="V756" s="30">
        <f>PM_Angle!$J$13+PM_Angle!$K$13*$C756+PM_Angle!$L$13*$B756</f>
      </c>
      <c r="W756" s="12">
        <f>IF(V756&gt;0,IF(V756&lt;=eco,alpha*fck*(1-(1-V756/eco)^n),alpha*fck),0)</f>
      </c>
      <c r="X756" s="30">
        <f>PM_Angle!$J$14+PM_Angle!$K$14*$C756+PM_Angle!$L$14*$B756</f>
      </c>
      <c r="Y756" s="12">
        <f>IF(X756&gt;0,IF(X756&lt;=eco,alpha*fck*(1-(1-X756/eco)^n),alpha*fck),0)</f>
      </c>
      <c r="Z756" s="30">
        <f>PM_Angle!$J$15+PM_Angle!$K$15*$C756+PM_Angle!$L$15*$B756</f>
      </c>
      <c r="AA756" s="12">
        <f>IF(Z756&gt;0,IF(Z756&lt;=eco,alpha*fck*(1-(1-Z756/eco)^n),alpha*fck),0)</f>
      </c>
      <c r="AB756" s="30">
        <f>PM_Angle!$J$16+PM_Angle!$K$16*$C756+PM_Angle!$L$16*$B756</f>
      </c>
      <c r="AC756" s="12">
        <f>IF(AB756&gt;0,IF(AB756&lt;=eco,alpha*fck*(1-(1-AB756/eco)^n),alpha*fck),0)</f>
      </c>
      <c r="AD756" s="30">
        <f>PM_Angle!$J$17+PM_Angle!$K$17*$C756+PM_Angle!$L$17*$B756</f>
      </c>
      <c r="AE756" s="12">
        <f>IF(AD756&gt;0,IF(AD756&lt;=eco,alpha*fck*(1-(1-AD756/eco)^n),alpha*fck),0)</f>
      </c>
      <c r="AF756" s="30">
        <f>PM_Angle!$J$18+PM_Angle!$K$18*$C756+PM_Angle!$L$18*$B756</f>
      </c>
      <c r="AG756" s="12">
        <f>IF(AF756&gt;0,IF(AF756&lt;=eco,alpha*fck*(1-(1-AF756/eco)^n),alpha*fck),0)</f>
      </c>
      <c r="AH756" s="30">
        <f>PM_Angle!$J$19+PM_Angle!$K$19*$C756+PM_Angle!$L$19*$B756</f>
      </c>
      <c r="AI756" s="12">
        <f>IF(AH756&gt;0,IF(AH756&lt;=eco,alpha*fck*(1-(1-AH756/eco)^n),alpha*fck),0)</f>
      </c>
      <c r="AJ756" s="30">
        <f>PM_Angle!$J$20+PM_Angle!$K$20*$C756+PM_Angle!$L$20*$B756</f>
      </c>
      <c r="AK756" s="12">
        <f>IF(AJ756&gt;0,IF(AJ756&lt;=eco,alpha*fck*(1-(1-AJ756/eco)^n),alpha*fck),0)</f>
      </c>
      <c r="AL756" s="30">
        <f>PM_Angle!$J$21+PM_Angle!$K$21*$C756+PM_Angle!$L$21*$B756</f>
      </c>
      <c r="AM756" s="12">
        <f>IF(AL756&gt;0,IF(AL756&lt;=eco,alpha*fck*(1-(1-AL756/eco)^n),alpha*fck),0)</f>
      </c>
      <c r="AN756" s="30">
        <f>PM_Angle!$J$22+PM_Angle!$K$22*$C756+PM_Angle!$L$22*$B756</f>
      </c>
      <c r="AO756" s="12">
        <f>IF(AN756&gt;0,IF(AN756&lt;=eco,alpha*fck*(1-(1-AN756/eco)^n),alpha*fck),0)</f>
      </c>
      <c r="AP756" s="30">
        <f>PM_Angle!$J$23+PM_Angle!$K$23*$C756+PM_Angle!$L$23*$B756</f>
      </c>
      <c r="AQ756" s="12">
        <f>IF(AP756&gt;0,IF(AP756&lt;=eco,alpha*fck*(1-(1-AP756/eco)^n),alpha*fck),0)</f>
      </c>
      <c r="AR756" s="30">
        <f>PM_Angle!$J$24+PM_Angle!$K$24*$C756+PM_Angle!$L$24*$B756</f>
      </c>
      <c r="AS756" s="12">
        <f>IF(AR756&gt;0,IF(AR756&lt;=eco,alpha*fck*(1-(1-AR756/eco)^n),alpha*fck),0)</f>
      </c>
      <c r="AT756" s="30">
        <f>PM_Angle!$J$25+PM_Angle!$K$25*$C756+PM_Angle!$L$25*$B756</f>
      </c>
      <c r="AU756" s="12">
        <f>IF(AT756&gt;0,IF(AT756&lt;=eco,alpha*fck*(1-(1-AT756/eco)^n),alpha*fck),0)</f>
      </c>
    </row>
    <row r="757" spans="1:47" x14ac:dyDescent="0.25">
      <c r="A757">
        <f>Mesh!A754</f>
      </c>
      <c r="B757" s="12">
        <f>Mesh!B754</f>
      </c>
      <c r="C757" s="12">
        <f>Mesh!C754</f>
      </c>
      <c r="D757" s="12">
        <f>Mesh!D754</f>
      </c>
      <c r="E757" s="30">
        <f>INDEX(St_e0,Det+1)+INDEX(St_kx,Det+1)*C757+INDEX(St_ky,Det+1)*B757</f>
      </c>
      <c r="F757" s="12">
        <f>IF(E757&gt;0,IF(E757&lt;=eco,alpha*fck*(1-(1-E757/eco)^n),alpha*fck),0)</f>
      </c>
      <c r="G757" s="11">
        <f>F757*D757</f>
      </c>
      <c r="H757" s="11">
        <f>G757*C757</f>
      </c>
      <c r="I757" s="11">
        <f>G757*B757</f>
      </c>
      <c r="J757" s="30">
        <f>PM_Angle!$J$7+PM_Angle!$K$7*$C757+PM_Angle!$L$7*$B757</f>
      </c>
      <c r="K757" s="12">
        <f>IF(J757&gt;0,IF(J757&lt;=eco,alpha*fck*(1-(1-J757/eco)^n),alpha*fck),0)</f>
      </c>
      <c r="L757" s="30">
        <f>PM_Angle!$J$8+PM_Angle!$K$8*$C757+PM_Angle!$L$8*$B757</f>
      </c>
      <c r="M757" s="12">
        <f>IF(L757&gt;0,IF(L757&lt;=eco,alpha*fck*(1-(1-L757/eco)^n),alpha*fck),0)</f>
      </c>
      <c r="N757" s="30">
        <f>PM_Angle!$J$9+PM_Angle!$K$9*$C757+PM_Angle!$L$9*$B757</f>
      </c>
      <c r="O757" s="12">
        <f>IF(N757&gt;0,IF(N757&lt;=eco,alpha*fck*(1-(1-N757/eco)^n),alpha*fck),0)</f>
      </c>
      <c r="P757" s="30">
        <f>PM_Angle!$J$10+PM_Angle!$K$10*$C757+PM_Angle!$L$10*$B757</f>
      </c>
      <c r="Q757" s="12">
        <f>IF(P757&gt;0,IF(P757&lt;=eco,alpha*fck*(1-(1-P757/eco)^n),alpha*fck),0)</f>
      </c>
      <c r="R757" s="30">
        <f>PM_Angle!$J$11+PM_Angle!$K$11*$C757+PM_Angle!$L$11*$B757</f>
      </c>
      <c r="S757" s="12">
        <f>IF(R757&gt;0,IF(R757&lt;=eco,alpha*fck*(1-(1-R757/eco)^n),alpha*fck),0)</f>
      </c>
      <c r="T757" s="30">
        <f>PM_Angle!$J$12+PM_Angle!$K$12*$C757+PM_Angle!$L$12*$B757</f>
      </c>
      <c r="U757" s="12">
        <f>IF(T757&gt;0,IF(T757&lt;=eco,alpha*fck*(1-(1-T757/eco)^n),alpha*fck),0)</f>
      </c>
      <c r="V757" s="30">
        <f>PM_Angle!$J$13+PM_Angle!$K$13*$C757+PM_Angle!$L$13*$B757</f>
      </c>
      <c r="W757" s="12">
        <f>IF(V757&gt;0,IF(V757&lt;=eco,alpha*fck*(1-(1-V757/eco)^n),alpha*fck),0)</f>
      </c>
      <c r="X757" s="30">
        <f>PM_Angle!$J$14+PM_Angle!$K$14*$C757+PM_Angle!$L$14*$B757</f>
      </c>
      <c r="Y757" s="12">
        <f>IF(X757&gt;0,IF(X757&lt;=eco,alpha*fck*(1-(1-X757/eco)^n),alpha*fck),0)</f>
      </c>
      <c r="Z757" s="30">
        <f>PM_Angle!$J$15+PM_Angle!$K$15*$C757+PM_Angle!$L$15*$B757</f>
      </c>
      <c r="AA757" s="12">
        <f>IF(Z757&gt;0,IF(Z757&lt;=eco,alpha*fck*(1-(1-Z757/eco)^n),alpha*fck),0)</f>
      </c>
      <c r="AB757" s="30">
        <f>PM_Angle!$J$16+PM_Angle!$K$16*$C757+PM_Angle!$L$16*$B757</f>
      </c>
      <c r="AC757" s="12">
        <f>IF(AB757&gt;0,IF(AB757&lt;=eco,alpha*fck*(1-(1-AB757/eco)^n),alpha*fck),0)</f>
      </c>
      <c r="AD757" s="30">
        <f>PM_Angle!$J$17+PM_Angle!$K$17*$C757+PM_Angle!$L$17*$B757</f>
      </c>
      <c r="AE757" s="12">
        <f>IF(AD757&gt;0,IF(AD757&lt;=eco,alpha*fck*(1-(1-AD757/eco)^n),alpha*fck),0)</f>
      </c>
      <c r="AF757" s="30">
        <f>PM_Angle!$J$18+PM_Angle!$K$18*$C757+PM_Angle!$L$18*$B757</f>
      </c>
      <c r="AG757" s="12">
        <f>IF(AF757&gt;0,IF(AF757&lt;=eco,alpha*fck*(1-(1-AF757/eco)^n),alpha*fck),0)</f>
      </c>
      <c r="AH757" s="30">
        <f>PM_Angle!$J$19+PM_Angle!$K$19*$C757+PM_Angle!$L$19*$B757</f>
      </c>
      <c r="AI757" s="12">
        <f>IF(AH757&gt;0,IF(AH757&lt;=eco,alpha*fck*(1-(1-AH757/eco)^n),alpha*fck),0)</f>
      </c>
      <c r="AJ757" s="30">
        <f>PM_Angle!$J$20+PM_Angle!$K$20*$C757+PM_Angle!$L$20*$B757</f>
      </c>
      <c r="AK757" s="12">
        <f>IF(AJ757&gt;0,IF(AJ757&lt;=eco,alpha*fck*(1-(1-AJ757/eco)^n),alpha*fck),0)</f>
      </c>
      <c r="AL757" s="30">
        <f>PM_Angle!$J$21+PM_Angle!$K$21*$C757+PM_Angle!$L$21*$B757</f>
      </c>
      <c r="AM757" s="12">
        <f>IF(AL757&gt;0,IF(AL757&lt;=eco,alpha*fck*(1-(1-AL757/eco)^n),alpha*fck),0)</f>
      </c>
      <c r="AN757" s="30">
        <f>PM_Angle!$J$22+PM_Angle!$K$22*$C757+PM_Angle!$L$22*$B757</f>
      </c>
      <c r="AO757" s="12">
        <f>IF(AN757&gt;0,IF(AN757&lt;=eco,alpha*fck*(1-(1-AN757/eco)^n),alpha*fck),0)</f>
      </c>
      <c r="AP757" s="30">
        <f>PM_Angle!$J$23+PM_Angle!$K$23*$C757+PM_Angle!$L$23*$B757</f>
      </c>
      <c r="AQ757" s="12">
        <f>IF(AP757&gt;0,IF(AP757&lt;=eco,alpha*fck*(1-(1-AP757/eco)^n),alpha*fck),0)</f>
      </c>
      <c r="AR757" s="30">
        <f>PM_Angle!$J$24+PM_Angle!$K$24*$C757+PM_Angle!$L$24*$B757</f>
      </c>
      <c r="AS757" s="12">
        <f>IF(AR757&gt;0,IF(AR757&lt;=eco,alpha*fck*(1-(1-AR757/eco)^n),alpha*fck),0)</f>
      </c>
      <c r="AT757" s="30">
        <f>PM_Angle!$J$25+PM_Angle!$K$25*$C757+PM_Angle!$L$25*$B757</f>
      </c>
      <c r="AU757" s="12">
        <f>IF(AT757&gt;0,IF(AT757&lt;=eco,alpha*fck*(1-(1-AT757/eco)^n),alpha*fck),0)</f>
      </c>
    </row>
    <row r="758" spans="1:47" x14ac:dyDescent="0.25">
      <c r="A758">
        <f>Mesh!A755</f>
      </c>
      <c r="B758" s="12">
        <f>Mesh!B755</f>
      </c>
      <c r="C758" s="12">
        <f>Mesh!C755</f>
      </c>
      <c r="D758" s="12">
        <f>Mesh!D755</f>
      </c>
      <c r="E758" s="30">
        <f>INDEX(St_e0,Det+1)+INDEX(St_kx,Det+1)*C758+INDEX(St_ky,Det+1)*B758</f>
      </c>
      <c r="F758" s="12">
        <f>IF(E758&gt;0,IF(E758&lt;=eco,alpha*fck*(1-(1-E758/eco)^n),alpha*fck),0)</f>
      </c>
      <c r="G758" s="11">
        <f>F758*D758</f>
      </c>
      <c r="H758" s="11">
        <f>G758*C758</f>
      </c>
      <c r="I758" s="11">
        <f>G758*B758</f>
      </c>
      <c r="J758" s="30">
        <f>PM_Angle!$J$7+PM_Angle!$K$7*$C758+PM_Angle!$L$7*$B758</f>
      </c>
      <c r="K758" s="12">
        <f>IF(J758&gt;0,IF(J758&lt;=eco,alpha*fck*(1-(1-J758/eco)^n),alpha*fck),0)</f>
      </c>
      <c r="L758" s="30">
        <f>PM_Angle!$J$8+PM_Angle!$K$8*$C758+PM_Angle!$L$8*$B758</f>
      </c>
      <c r="M758" s="12">
        <f>IF(L758&gt;0,IF(L758&lt;=eco,alpha*fck*(1-(1-L758/eco)^n),alpha*fck),0)</f>
      </c>
      <c r="N758" s="30">
        <f>PM_Angle!$J$9+PM_Angle!$K$9*$C758+PM_Angle!$L$9*$B758</f>
      </c>
      <c r="O758" s="12">
        <f>IF(N758&gt;0,IF(N758&lt;=eco,alpha*fck*(1-(1-N758/eco)^n),alpha*fck),0)</f>
      </c>
      <c r="P758" s="30">
        <f>PM_Angle!$J$10+PM_Angle!$K$10*$C758+PM_Angle!$L$10*$B758</f>
      </c>
      <c r="Q758" s="12">
        <f>IF(P758&gt;0,IF(P758&lt;=eco,alpha*fck*(1-(1-P758/eco)^n),alpha*fck),0)</f>
      </c>
      <c r="R758" s="30">
        <f>PM_Angle!$J$11+PM_Angle!$K$11*$C758+PM_Angle!$L$11*$B758</f>
      </c>
      <c r="S758" s="12">
        <f>IF(R758&gt;0,IF(R758&lt;=eco,alpha*fck*(1-(1-R758/eco)^n),alpha*fck),0)</f>
      </c>
      <c r="T758" s="30">
        <f>PM_Angle!$J$12+PM_Angle!$K$12*$C758+PM_Angle!$L$12*$B758</f>
      </c>
      <c r="U758" s="12">
        <f>IF(T758&gt;0,IF(T758&lt;=eco,alpha*fck*(1-(1-T758/eco)^n),alpha*fck),0)</f>
      </c>
      <c r="V758" s="30">
        <f>PM_Angle!$J$13+PM_Angle!$K$13*$C758+PM_Angle!$L$13*$B758</f>
      </c>
      <c r="W758" s="12">
        <f>IF(V758&gt;0,IF(V758&lt;=eco,alpha*fck*(1-(1-V758/eco)^n),alpha*fck),0)</f>
      </c>
      <c r="X758" s="30">
        <f>PM_Angle!$J$14+PM_Angle!$K$14*$C758+PM_Angle!$L$14*$B758</f>
      </c>
      <c r="Y758" s="12">
        <f>IF(X758&gt;0,IF(X758&lt;=eco,alpha*fck*(1-(1-X758/eco)^n),alpha*fck),0)</f>
      </c>
      <c r="Z758" s="30">
        <f>PM_Angle!$J$15+PM_Angle!$K$15*$C758+PM_Angle!$L$15*$B758</f>
      </c>
      <c r="AA758" s="12">
        <f>IF(Z758&gt;0,IF(Z758&lt;=eco,alpha*fck*(1-(1-Z758/eco)^n),alpha*fck),0)</f>
      </c>
      <c r="AB758" s="30">
        <f>PM_Angle!$J$16+PM_Angle!$K$16*$C758+PM_Angle!$L$16*$B758</f>
      </c>
      <c r="AC758" s="12">
        <f>IF(AB758&gt;0,IF(AB758&lt;=eco,alpha*fck*(1-(1-AB758/eco)^n),alpha*fck),0)</f>
      </c>
      <c r="AD758" s="30">
        <f>PM_Angle!$J$17+PM_Angle!$K$17*$C758+PM_Angle!$L$17*$B758</f>
      </c>
      <c r="AE758" s="12">
        <f>IF(AD758&gt;0,IF(AD758&lt;=eco,alpha*fck*(1-(1-AD758/eco)^n),alpha*fck),0)</f>
      </c>
      <c r="AF758" s="30">
        <f>PM_Angle!$J$18+PM_Angle!$K$18*$C758+PM_Angle!$L$18*$B758</f>
      </c>
      <c r="AG758" s="12">
        <f>IF(AF758&gt;0,IF(AF758&lt;=eco,alpha*fck*(1-(1-AF758/eco)^n),alpha*fck),0)</f>
      </c>
      <c r="AH758" s="30">
        <f>PM_Angle!$J$19+PM_Angle!$K$19*$C758+PM_Angle!$L$19*$B758</f>
      </c>
      <c r="AI758" s="12">
        <f>IF(AH758&gt;0,IF(AH758&lt;=eco,alpha*fck*(1-(1-AH758/eco)^n),alpha*fck),0)</f>
      </c>
      <c r="AJ758" s="30">
        <f>PM_Angle!$J$20+PM_Angle!$K$20*$C758+PM_Angle!$L$20*$B758</f>
      </c>
      <c r="AK758" s="12">
        <f>IF(AJ758&gt;0,IF(AJ758&lt;=eco,alpha*fck*(1-(1-AJ758/eco)^n),alpha*fck),0)</f>
      </c>
      <c r="AL758" s="30">
        <f>PM_Angle!$J$21+PM_Angle!$K$21*$C758+PM_Angle!$L$21*$B758</f>
      </c>
      <c r="AM758" s="12">
        <f>IF(AL758&gt;0,IF(AL758&lt;=eco,alpha*fck*(1-(1-AL758/eco)^n),alpha*fck),0)</f>
      </c>
      <c r="AN758" s="30">
        <f>PM_Angle!$J$22+PM_Angle!$K$22*$C758+PM_Angle!$L$22*$B758</f>
      </c>
      <c r="AO758" s="12">
        <f>IF(AN758&gt;0,IF(AN758&lt;=eco,alpha*fck*(1-(1-AN758/eco)^n),alpha*fck),0)</f>
      </c>
      <c r="AP758" s="30">
        <f>PM_Angle!$J$23+PM_Angle!$K$23*$C758+PM_Angle!$L$23*$B758</f>
      </c>
      <c r="AQ758" s="12">
        <f>IF(AP758&gt;0,IF(AP758&lt;=eco,alpha*fck*(1-(1-AP758/eco)^n),alpha*fck),0)</f>
      </c>
      <c r="AR758" s="30">
        <f>PM_Angle!$J$24+PM_Angle!$K$24*$C758+PM_Angle!$L$24*$B758</f>
      </c>
      <c r="AS758" s="12">
        <f>IF(AR758&gt;0,IF(AR758&lt;=eco,alpha*fck*(1-(1-AR758/eco)^n),alpha*fck),0)</f>
      </c>
      <c r="AT758" s="30">
        <f>PM_Angle!$J$25+PM_Angle!$K$25*$C758+PM_Angle!$L$25*$B758</f>
      </c>
      <c r="AU758" s="12">
        <f>IF(AT758&gt;0,IF(AT758&lt;=eco,alpha*fck*(1-(1-AT758/eco)^n),alpha*fck),0)</f>
      </c>
    </row>
    <row r="759" spans="1:47" x14ac:dyDescent="0.25">
      <c r="A759">
        <f>Mesh!A756</f>
      </c>
      <c r="B759" s="12">
        <f>Mesh!B756</f>
      </c>
      <c r="C759" s="12">
        <f>Mesh!C756</f>
      </c>
      <c r="D759" s="12">
        <f>Mesh!D756</f>
      </c>
      <c r="E759" s="30">
        <f>INDEX(St_e0,Det+1)+INDEX(St_kx,Det+1)*C759+INDEX(St_ky,Det+1)*B759</f>
      </c>
      <c r="F759" s="12">
        <f>IF(E759&gt;0,IF(E759&lt;=eco,alpha*fck*(1-(1-E759/eco)^n),alpha*fck),0)</f>
      </c>
      <c r="G759" s="11">
        <f>F759*D759</f>
      </c>
      <c r="H759" s="11">
        <f>G759*C759</f>
      </c>
      <c r="I759" s="11">
        <f>G759*B759</f>
      </c>
      <c r="J759" s="30">
        <f>PM_Angle!$J$7+PM_Angle!$K$7*$C759+PM_Angle!$L$7*$B759</f>
      </c>
      <c r="K759" s="12">
        <f>IF(J759&gt;0,IF(J759&lt;=eco,alpha*fck*(1-(1-J759/eco)^n),alpha*fck),0)</f>
      </c>
      <c r="L759" s="30">
        <f>PM_Angle!$J$8+PM_Angle!$K$8*$C759+PM_Angle!$L$8*$B759</f>
      </c>
      <c r="M759" s="12">
        <f>IF(L759&gt;0,IF(L759&lt;=eco,alpha*fck*(1-(1-L759/eco)^n),alpha*fck),0)</f>
      </c>
      <c r="N759" s="30">
        <f>PM_Angle!$J$9+PM_Angle!$K$9*$C759+PM_Angle!$L$9*$B759</f>
      </c>
      <c r="O759" s="12">
        <f>IF(N759&gt;0,IF(N759&lt;=eco,alpha*fck*(1-(1-N759/eco)^n),alpha*fck),0)</f>
      </c>
      <c r="P759" s="30">
        <f>PM_Angle!$J$10+PM_Angle!$K$10*$C759+PM_Angle!$L$10*$B759</f>
      </c>
      <c r="Q759" s="12">
        <f>IF(P759&gt;0,IF(P759&lt;=eco,alpha*fck*(1-(1-P759/eco)^n),alpha*fck),0)</f>
      </c>
      <c r="R759" s="30">
        <f>PM_Angle!$J$11+PM_Angle!$K$11*$C759+PM_Angle!$L$11*$B759</f>
      </c>
      <c r="S759" s="12">
        <f>IF(R759&gt;0,IF(R759&lt;=eco,alpha*fck*(1-(1-R759/eco)^n),alpha*fck),0)</f>
      </c>
      <c r="T759" s="30">
        <f>PM_Angle!$J$12+PM_Angle!$K$12*$C759+PM_Angle!$L$12*$B759</f>
      </c>
      <c r="U759" s="12">
        <f>IF(T759&gt;0,IF(T759&lt;=eco,alpha*fck*(1-(1-T759/eco)^n),alpha*fck),0)</f>
      </c>
      <c r="V759" s="30">
        <f>PM_Angle!$J$13+PM_Angle!$K$13*$C759+PM_Angle!$L$13*$B759</f>
      </c>
      <c r="W759" s="12">
        <f>IF(V759&gt;0,IF(V759&lt;=eco,alpha*fck*(1-(1-V759/eco)^n),alpha*fck),0)</f>
      </c>
      <c r="X759" s="30">
        <f>PM_Angle!$J$14+PM_Angle!$K$14*$C759+PM_Angle!$L$14*$B759</f>
      </c>
      <c r="Y759" s="12">
        <f>IF(X759&gt;0,IF(X759&lt;=eco,alpha*fck*(1-(1-X759/eco)^n),alpha*fck),0)</f>
      </c>
      <c r="Z759" s="30">
        <f>PM_Angle!$J$15+PM_Angle!$K$15*$C759+PM_Angle!$L$15*$B759</f>
      </c>
      <c r="AA759" s="12">
        <f>IF(Z759&gt;0,IF(Z759&lt;=eco,alpha*fck*(1-(1-Z759/eco)^n),alpha*fck),0)</f>
      </c>
      <c r="AB759" s="30">
        <f>PM_Angle!$J$16+PM_Angle!$K$16*$C759+PM_Angle!$L$16*$B759</f>
      </c>
      <c r="AC759" s="12">
        <f>IF(AB759&gt;0,IF(AB759&lt;=eco,alpha*fck*(1-(1-AB759/eco)^n),alpha*fck),0)</f>
      </c>
      <c r="AD759" s="30">
        <f>PM_Angle!$J$17+PM_Angle!$K$17*$C759+PM_Angle!$L$17*$B759</f>
      </c>
      <c r="AE759" s="12">
        <f>IF(AD759&gt;0,IF(AD759&lt;=eco,alpha*fck*(1-(1-AD759/eco)^n),alpha*fck),0)</f>
      </c>
      <c r="AF759" s="30">
        <f>PM_Angle!$J$18+PM_Angle!$K$18*$C759+PM_Angle!$L$18*$B759</f>
      </c>
      <c r="AG759" s="12">
        <f>IF(AF759&gt;0,IF(AF759&lt;=eco,alpha*fck*(1-(1-AF759/eco)^n),alpha*fck),0)</f>
      </c>
      <c r="AH759" s="30">
        <f>PM_Angle!$J$19+PM_Angle!$K$19*$C759+PM_Angle!$L$19*$B759</f>
      </c>
      <c r="AI759" s="12">
        <f>IF(AH759&gt;0,IF(AH759&lt;=eco,alpha*fck*(1-(1-AH759/eco)^n),alpha*fck),0)</f>
      </c>
      <c r="AJ759" s="30">
        <f>PM_Angle!$J$20+PM_Angle!$K$20*$C759+PM_Angle!$L$20*$B759</f>
      </c>
      <c r="AK759" s="12">
        <f>IF(AJ759&gt;0,IF(AJ759&lt;=eco,alpha*fck*(1-(1-AJ759/eco)^n),alpha*fck),0)</f>
      </c>
      <c r="AL759" s="30">
        <f>PM_Angle!$J$21+PM_Angle!$K$21*$C759+PM_Angle!$L$21*$B759</f>
      </c>
      <c r="AM759" s="12">
        <f>IF(AL759&gt;0,IF(AL759&lt;=eco,alpha*fck*(1-(1-AL759/eco)^n),alpha*fck),0)</f>
      </c>
      <c r="AN759" s="30">
        <f>PM_Angle!$J$22+PM_Angle!$K$22*$C759+PM_Angle!$L$22*$B759</f>
      </c>
      <c r="AO759" s="12">
        <f>IF(AN759&gt;0,IF(AN759&lt;=eco,alpha*fck*(1-(1-AN759/eco)^n),alpha*fck),0)</f>
      </c>
      <c r="AP759" s="30">
        <f>PM_Angle!$J$23+PM_Angle!$K$23*$C759+PM_Angle!$L$23*$B759</f>
      </c>
      <c r="AQ759" s="12">
        <f>IF(AP759&gt;0,IF(AP759&lt;=eco,alpha*fck*(1-(1-AP759/eco)^n),alpha*fck),0)</f>
      </c>
      <c r="AR759" s="30">
        <f>PM_Angle!$J$24+PM_Angle!$K$24*$C759+PM_Angle!$L$24*$B759</f>
      </c>
      <c r="AS759" s="12">
        <f>IF(AR759&gt;0,IF(AR759&lt;=eco,alpha*fck*(1-(1-AR759/eco)^n),alpha*fck),0)</f>
      </c>
      <c r="AT759" s="30">
        <f>PM_Angle!$J$25+PM_Angle!$K$25*$C759+PM_Angle!$L$25*$B759</f>
      </c>
      <c r="AU759" s="12">
        <f>IF(AT759&gt;0,IF(AT759&lt;=eco,alpha*fck*(1-(1-AT759/eco)^n),alpha*fck),0)</f>
      </c>
    </row>
    <row r="760" spans="1:47" x14ac:dyDescent="0.25">
      <c r="A760">
        <f>Mesh!A757</f>
      </c>
      <c r="B760" s="12">
        <f>Mesh!B757</f>
      </c>
      <c r="C760" s="12">
        <f>Mesh!C757</f>
      </c>
      <c r="D760" s="12">
        <f>Mesh!D757</f>
      </c>
      <c r="E760" s="30">
        <f>INDEX(St_e0,Det+1)+INDEX(St_kx,Det+1)*C760+INDEX(St_ky,Det+1)*B760</f>
      </c>
      <c r="F760" s="12">
        <f>IF(E760&gt;0,IF(E760&lt;=eco,alpha*fck*(1-(1-E760/eco)^n),alpha*fck),0)</f>
      </c>
      <c r="G760" s="11">
        <f>F760*D760</f>
      </c>
      <c r="H760" s="11">
        <f>G760*C760</f>
      </c>
      <c r="I760" s="11">
        <f>G760*B760</f>
      </c>
      <c r="J760" s="30">
        <f>PM_Angle!$J$7+PM_Angle!$K$7*$C760+PM_Angle!$L$7*$B760</f>
      </c>
      <c r="K760" s="12">
        <f>IF(J760&gt;0,IF(J760&lt;=eco,alpha*fck*(1-(1-J760/eco)^n),alpha*fck),0)</f>
      </c>
      <c r="L760" s="30">
        <f>PM_Angle!$J$8+PM_Angle!$K$8*$C760+PM_Angle!$L$8*$B760</f>
      </c>
      <c r="M760" s="12">
        <f>IF(L760&gt;0,IF(L760&lt;=eco,alpha*fck*(1-(1-L760/eco)^n),alpha*fck),0)</f>
      </c>
      <c r="N760" s="30">
        <f>PM_Angle!$J$9+PM_Angle!$K$9*$C760+PM_Angle!$L$9*$B760</f>
      </c>
      <c r="O760" s="12">
        <f>IF(N760&gt;0,IF(N760&lt;=eco,alpha*fck*(1-(1-N760/eco)^n),alpha*fck),0)</f>
      </c>
      <c r="P760" s="30">
        <f>PM_Angle!$J$10+PM_Angle!$K$10*$C760+PM_Angle!$L$10*$B760</f>
      </c>
      <c r="Q760" s="12">
        <f>IF(P760&gt;0,IF(P760&lt;=eco,alpha*fck*(1-(1-P760/eco)^n),alpha*fck),0)</f>
      </c>
      <c r="R760" s="30">
        <f>PM_Angle!$J$11+PM_Angle!$K$11*$C760+PM_Angle!$L$11*$B760</f>
      </c>
      <c r="S760" s="12">
        <f>IF(R760&gt;0,IF(R760&lt;=eco,alpha*fck*(1-(1-R760/eco)^n),alpha*fck),0)</f>
      </c>
      <c r="T760" s="30">
        <f>PM_Angle!$J$12+PM_Angle!$K$12*$C760+PM_Angle!$L$12*$B760</f>
      </c>
      <c r="U760" s="12">
        <f>IF(T760&gt;0,IF(T760&lt;=eco,alpha*fck*(1-(1-T760/eco)^n),alpha*fck),0)</f>
      </c>
      <c r="V760" s="30">
        <f>PM_Angle!$J$13+PM_Angle!$K$13*$C760+PM_Angle!$L$13*$B760</f>
      </c>
      <c r="W760" s="12">
        <f>IF(V760&gt;0,IF(V760&lt;=eco,alpha*fck*(1-(1-V760/eco)^n),alpha*fck),0)</f>
      </c>
      <c r="X760" s="30">
        <f>PM_Angle!$J$14+PM_Angle!$K$14*$C760+PM_Angle!$L$14*$B760</f>
      </c>
      <c r="Y760" s="12">
        <f>IF(X760&gt;0,IF(X760&lt;=eco,alpha*fck*(1-(1-X760/eco)^n),alpha*fck),0)</f>
      </c>
      <c r="Z760" s="30">
        <f>PM_Angle!$J$15+PM_Angle!$K$15*$C760+PM_Angle!$L$15*$B760</f>
      </c>
      <c r="AA760" s="12">
        <f>IF(Z760&gt;0,IF(Z760&lt;=eco,alpha*fck*(1-(1-Z760/eco)^n),alpha*fck),0)</f>
      </c>
      <c r="AB760" s="30">
        <f>PM_Angle!$J$16+PM_Angle!$K$16*$C760+PM_Angle!$L$16*$B760</f>
      </c>
      <c r="AC760" s="12">
        <f>IF(AB760&gt;0,IF(AB760&lt;=eco,alpha*fck*(1-(1-AB760/eco)^n),alpha*fck),0)</f>
      </c>
      <c r="AD760" s="30">
        <f>PM_Angle!$J$17+PM_Angle!$K$17*$C760+PM_Angle!$L$17*$B760</f>
      </c>
      <c r="AE760" s="12">
        <f>IF(AD760&gt;0,IF(AD760&lt;=eco,alpha*fck*(1-(1-AD760/eco)^n),alpha*fck),0)</f>
      </c>
      <c r="AF760" s="30">
        <f>PM_Angle!$J$18+PM_Angle!$K$18*$C760+PM_Angle!$L$18*$B760</f>
      </c>
      <c r="AG760" s="12">
        <f>IF(AF760&gt;0,IF(AF760&lt;=eco,alpha*fck*(1-(1-AF760/eco)^n),alpha*fck),0)</f>
      </c>
      <c r="AH760" s="30">
        <f>PM_Angle!$J$19+PM_Angle!$K$19*$C760+PM_Angle!$L$19*$B760</f>
      </c>
      <c r="AI760" s="12">
        <f>IF(AH760&gt;0,IF(AH760&lt;=eco,alpha*fck*(1-(1-AH760/eco)^n),alpha*fck),0)</f>
      </c>
      <c r="AJ760" s="30">
        <f>PM_Angle!$J$20+PM_Angle!$K$20*$C760+PM_Angle!$L$20*$B760</f>
      </c>
      <c r="AK760" s="12">
        <f>IF(AJ760&gt;0,IF(AJ760&lt;=eco,alpha*fck*(1-(1-AJ760/eco)^n),alpha*fck),0)</f>
      </c>
      <c r="AL760" s="30">
        <f>PM_Angle!$J$21+PM_Angle!$K$21*$C760+PM_Angle!$L$21*$B760</f>
      </c>
      <c r="AM760" s="12">
        <f>IF(AL760&gt;0,IF(AL760&lt;=eco,alpha*fck*(1-(1-AL760/eco)^n),alpha*fck),0)</f>
      </c>
      <c r="AN760" s="30">
        <f>PM_Angle!$J$22+PM_Angle!$K$22*$C760+PM_Angle!$L$22*$B760</f>
      </c>
      <c r="AO760" s="12">
        <f>IF(AN760&gt;0,IF(AN760&lt;=eco,alpha*fck*(1-(1-AN760/eco)^n),alpha*fck),0)</f>
      </c>
      <c r="AP760" s="30">
        <f>PM_Angle!$J$23+PM_Angle!$K$23*$C760+PM_Angle!$L$23*$B760</f>
      </c>
      <c r="AQ760" s="12">
        <f>IF(AP760&gt;0,IF(AP760&lt;=eco,alpha*fck*(1-(1-AP760/eco)^n),alpha*fck),0)</f>
      </c>
      <c r="AR760" s="30">
        <f>PM_Angle!$J$24+PM_Angle!$K$24*$C760+PM_Angle!$L$24*$B760</f>
      </c>
      <c r="AS760" s="12">
        <f>IF(AR760&gt;0,IF(AR760&lt;=eco,alpha*fck*(1-(1-AR760/eco)^n),alpha*fck),0)</f>
      </c>
      <c r="AT760" s="30">
        <f>PM_Angle!$J$25+PM_Angle!$K$25*$C760+PM_Angle!$L$25*$B760</f>
      </c>
      <c r="AU760" s="12">
        <f>IF(AT760&gt;0,IF(AT760&lt;=eco,alpha*fck*(1-(1-AT760/eco)^n),alpha*fck),0)</f>
      </c>
    </row>
    <row r="761" spans="1:47" x14ac:dyDescent="0.25">
      <c r="A761">
        <f>Mesh!A758</f>
      </c>
      <c r="B761" s="12">
        <f>Mesh!B758</f>
      </c>
      <c r="C761" s="12">
        <f>Mesh!C758</f>
      </c>
      <c r="D761" s="12">
        <f>Mesh!D758</f>
      </c>
      <c r="E761" s="30">
        <f>INDEX(St_e0,Det+1)+INDEX(St_kx,Det+1)*C761+INDEX(St_ky,Det+1)*B761</f>
      </c>
      <c r="F761" s="12">
        <f>IF(E761&gt;0,IF(E761&lt;=eco,alpha*fck*(1-(1-E761/eco)^n),alpha*fck),0)</f>
      </c>
      <c r="G761" s="11">
        <f>F761*D761</f>
      </c>
      <c r="H761" s="11">
        <f>G761*C761</f>
      </c>
      <c r="I761" s="11">
        <f>G761*B761</f>
      </c>
      <c r="J761" s="30">
        <f>PM_Angle!$J$7+PM_Angle!$K$7*$C761+PM_Angle!$L$7*$B761</f>
      </c>
      <c r="K761" s="12">
        <f>IF(J761&gt;0,IF(J761&lt;=eco,alpha*fck*(1-(1-J761/eco)^n),alpha*fck),0)</f>
      </c>
      <c r="L761" s="30">
        <f>PM_Angle!$J$8+PM_Angle!$K$8*$C761+PM_Angle!$L$8*$B761</f>
      </c>
      <c r="M761" s="12">
        <f>IF(L761&gt;0,IF(L761&lt;=eco,alpha*fck*(1-(1-L761/eco)^n),alpha*fck),0)</f>
      </c>
      <c r="N761" s="30">
        <f>PM_Angle!$J$9+PM_Angle!$K$9*$C761+PM_Angle!$L$9*$B761</f>
      </c>
      <c r="O761" s="12">
        <f>IF(N761&gt;0,IF(N761&lt;=eco,alpha*fck*(1-(1-N761/eco)^n),alpha*fck),0)</f>
      </c>
      <c r="P761" s="30">
        <f>PM_Angle!$J$10+PM_Angle!$K$10*$C761+PM_Angle!$L$10*$B761</f>
      </c>
      <c r="Q761" s="12">
        <f>IF(P761&gt;0,IF(P761&lt;=eco,alpha*fck*(1-(1-P761/eco)^n),alpha*fck),0)</f>
      </c>
      <c r="R761" s="30">
        <f>PM_Angle!$J$11+PM_Angle!$K$11*$C761+PM_Angle!$L$11*$B761</f>
      </c>
      <c r="S761" s="12">
        <f>IF(R761&gt;0,IF(R761&lt;=eco,alpha*fck*(1-(1-R761/eco)^n),alpha*fck),0)</f>
      </c>
      <c r="T761" s="30">
        <f>PM_Angle!$J$12+PM_Angle!$K$12*$C761+PM_Angle!$L$12*$B761</f>
      </c>
      <c r="U761" s="12">
        <f>IF(T761&gt;0,IF(T761&lt;=eco,alpha*fck*(1-(1-T761/eco)^n),alpha*fck),0)</f>
      </c>
      <c r="V761" s="30">
        <f>PM_Angle!$J$13+PM_Angle!$K$13*$C761+PM_Angle!$L$13*$B761</f>
      </c>
      <c r="W761" s="12">
        <f>IF(V761&gt;0,IF(V761&lt;=eco,alpha*fck*(1-(1-V761/eco)^n),alpha*fck),0)</f>
      </c>
      <c r="X761" s="30">
        <f>PM_Angle!$J$14+PM_Angle!$K$14*$C761+PM_Angle!$L$14*$B761</f>
      </c>
      <c r="Y761" s="12">
        <f>IF(X761&gt;0,IF(X761&lt;=eco,alpha*fck*(1-(1-X761/eco)^n),alpha*fck),0)</f>
      </c>
      <c r="Z761" s="30">
        <f>PM_Angle!$J$15+PM_Angle!$K$15*$C761+PM_Angle!$L$15*$B761</f>
      </c>
      <c r="AA761" s="12">
        <f>IF(Z761&gt;0,IF(Z761&lt;=eco,alpha*fck*(1-(1-Z761/eco)^n),alpha*fck),0)</f>
      </c>
      <c r="AB761" s="30">
        <f>PM_Angle!$J$16+PM_Angle!$K$16*$C761+PM_Angle!$L$16*$B761</f>
      </c>
      <c r="AC761" s="12">
        <f>IF(AB761&gt;0,IF(AB761&lt;=eco,alpha*fck*(1-(1-AB761/eco)^n),alpha*fck),0)</f>
      </c>
      <c r="AD761" s="30">
        <f>PM_Angle!$J$17+PM_Angle!$K$17*$C761+PM_Angle!$L$17*$B761</f>
      </c>
      <c r="AE761" s="12">
        <f>IF(AD761&gt;0,IF(AD761&lt;=eco,alpha*fck*(1-(1-AD761/eco)^n),alpha*fck),0)</f>
      </c>
      <c r="AF761" s="30">
        <f>PM_Angle!$J$18+PM_Angle!$K$18*$C761+PM_Angle!$L$18*$B761</f>
      </c>
      <c r="AG761" s="12">
        <f>IF(AF761&gt;0,IF(AF761&lt;=eco,alpha*fck*(1-(1-AF761/eco)^n),alpha*fck),0)</f>
      </c>
      <c r="AH761" s="30">
        <f>PM_Angle!$J$19+PM_Angle!$K$19*$C761+PM_Angle!$L$19*$B761</f>
      </c>
      <c r="AI761" s="12">
        <f>IF(AH761&gt;0,IF(AH761&lt;=eco,alpha*fck*(1-(1-AH761/eco)^n),alpha*fck),0)</f>
      </c>
      <c r="AJ761" s="30">
        <f>PM_Angle!$J$20+PM_Angle!$K$20*$C761+PM_Angle!$L$20*$B761</f>
      </c>
      <c r="AK761" s="12">
        <f>IF(AJ761&gt;0,IF(AJ761&lt;=eco,alpha*fck*(1-(1-AJ761/eco)^n),alpha*fck),0)</f>
      </c>
      <c r="AL761" s="30">
        <f>PM_Angle!$J$21+PM_Angle!$K$21*$C761+PM_Angle!$L$21*$B761</f>
      </c>
      <c r="AM761" s="12">
        <f>IF(AL761&gt;0,IF(AL761&lt;=eco,alpha*fck*(1-(1-AL761/eco)^n),alpha*fck),0)</f>
      </c>
      <c r="AN761" s="30">
        <f>PM_Angle!$J$22+PM_Angle!$K$22*$C761+PM_Angle!$L$22*$B761</f>
      </c>
      <c r="AO761" s="12">
        <f>IF(AN761&gt;0,IF(AN761&lt;=eco,alpha*fck*(1-(1-AN761/eco)^n),alpha*fck),0)</f>
      </c>
      <c r="AP761" s="30">
        <f>PM_Angle!$J$23+PM_Angle!$K$23*$C761+PM_Angle!$L$23*$B761</f>
      </c>
      <c r="AQ761" s="12">
        <f>IF(AP761&gt;0,IF(AP761&lt;=eco,alpha*fck*(1-(1-AP761/eco)^n),alpha*fck),0)</f>
      </c>
      <c r="AR761" s="30">
        <f>PM_Angle!$J$24+PM_Angle!$K$24*$C761+PM_Angle!$L$24*$B761</f>
      </c>
      <c r="AS761" s="12">
        <f>IF(AR761&gt;0,IF(AR761&lt;=eco,alpha*fck*(1-(1-AR761/eco)^n),alpha*fck),0)</f>
      </c>
      <c r="AT761" s="30">
        <f>PM_Angle!$J$25+PM_Angle!$K$25*$C761+PM_Angle!$L$25*$B761</f>
      </c>
      <c r="AU761" s="12">
        <f>IF(AT761&gt;0,IF(AT761&lt;=eco,alpha*fck*(1-(1-AT761/eco)^n),alpha*fck),0)</f>
      </c>
    </row>
    <row r="762" spans="1:47" x14ac:dyDescent="0.25">
      <c r="A762">
        <f>Mesh!A759</f>
      </c>
      <c r="B762" s="12">
        <f>Mesh!B759</f>
      </c>
      <c r="C762" s="12">
        <f>Mesh!C759</f>
      </c>
      <c r="D762" s="12">
        <f>Mesh!D759</f>
      </c>
      <c r="E762" s="30">
        <f>INDEX(St_e0,Det+1)+INDEX(St_kx,Det+1)*C762+INDEX(St_ky,Det+1)*B762</f>
      </c>
      <c r="F762" s="12">
        <f>IF(E762&gt;0,IF(E762&lt;=eco,alpha*fck*(1-(1-E762/eco)^n),alpha*fck),0)</f>
      </c>
      <c r="G762" s="11">
        <f>F762*D762</f>
      </c>
      <c r="H762" s="11">
        <f>G762*C762</f>
      </c>
      <c r="I762" s="11">
        <f>G762*B762</f>
      </c>
      <c r="J762" s="30">
        <f>PM_Angle!$J$7+PM_Angle!$K$7*$C762+PM_Angle!$L$7*$B762</f>
      </c>
      <c r="K762" s="12">
        <f>IF(J762&gt;0,IF(J762&lt;=eco,alpha*fck*(1-(1-J762/eco)^n),alpha*fck),0)</f>
      </c>
      <c r="L762" s="30">
        <f>PM_Angle!$J$8+PM_Angle!$K$8*$C762+PM_Angle!$L$8*$B762</f>
      </c>
      <c r="M762" s="12">
        <f>IF(L762&gt;0,IF(L762&lt;=eco,alpha*fck*(1-(1-L762/eco)^n),alpha*fck),0)</f>
      </c>
      <c r="N762" s="30">
        <f>PM_Angle!$J$9+PM_Angle!$K$9*$C762+PM_Angle!$L$9*$B762</f>
      </c>
      <c r="O762" s="12">
        <f>IF(N762&gt;0,IF(N762&lt;=eco,alpha*fck*(1-(1-N762/eco)^n),alpha*fck),0)</f>
      </c>
      <c r="P762" s="30">
        <f>PM_Angle!$J$10+PM_Angle!$K$10*$C762+PM_Angle!$L$10*$B762</f>
      </c>
      <c r="Q762" s="12">
        <f>IF(P762&gt;0,IF(P762&lt;=eco,alpha*fck*(1-(1-P762/eco)^n),alpha*fck),0)</f>
      </c>
      <c r="R762" s="30">
        <f>PM_Angle!$J$11+PM_Angle!$K$11*$C762+PM_Angle!$L$11*$B762</f>
      </c>
      <c r="S762" s="12">
        <f>IF(R762&gt;0,IF(R762&lt;=eco,alpha*fck*(1-(1-R762/eco)^n),alpha*fck),0)</f>
      </c>
      <c r="T762" s="30">
        <f>PM_Angle!$J$12+PM_Angle!$K$12*$C762+PM_Angle!$L$12*$B762</f>
      </c>
      <c r="U762" s="12">
        <f>IF(T762&gt;0,IF(T762&lt;=eco,alpha*fck*(1-(1-T762/eco)^n),alpha*fck),0)</f>
      </c>
      <c r="V762" s="30">
        <f>PM_Angle!$J$13+PM_Angle!$K$13*$C762+PM_Angle!$L$13*$B762</f>
      </c>
      <c r="W762" s="12">
        <f>IF(V762&gt;0,IF(V762&lt;=eco,alpha*fck*(1-(1-V762/eco)^n),alpha*fck),0)</f>
      </c>
      <c r="X762" s="30">
        <f>PM_Angle!$J$14+PM_Angle!$K$14*$C762+PM_Angle!$L$14*$B762</f>
      </c>
      <c r="Y762" s="12">
        <f>IF(X762&gt;0,IF(X762&lt;=eco,alpha*fck*(1-(1-X762/eco)^n),alpha*fck),0)</f>
      </c>
      <c r="Z762" s="30">
        <f>PM_Angle!$J$15+PM_Angle!$K$15*$C762+PM_Angle!$L$15*$B762</f>
      </c>
      <c r="AA762" s="12">
        <f>IF(Z762&gt;0,IF(Z762&lt;=eco,alpha*fck*(1-(1-Z762/eco)^n),alpha*fck),0)</f>
      </c>
      <c r="AB762" s="30">
        <f>PM_Angle!$J$16+PM_Angle!$K$16*$C762+PM_Angle!$L$16*$B762</f>
      </c>
      <c r="AC762" s="12">
        <f>IF(AB762&gt;0,IF(AB762&lt;=eco,alpha*fck*(1-(1-AB762/eco)^n),alpha*fck),0)</f>
      </c>
      <c r="AD762" s="30">
        <f>PM_Angle!$J$17+PM_Angle!$K$17*$C762+PM_Angle!$L$17*$B762</f>
      </c>
      <c r="AE762" s="12">
        <f>IF(AD762&gt;0,IF(AD762&lt;=eco,alpha*fck*(1-(1-AD762/eco)^n),alpha*fck),0)</f>
      </c>
      <c r="AF762" s="30">
        <f>PM_Angle!$J$18+PM_Angle!$K$18*$C762+PM_Angle!$L$18*$B762</f>
      </c>
      <c r="AG762" s="12">
        <f>IF(AF762&gt;0,IF(AF762&lt;=eco,alpha*fck*(1-(1-AF762/eco)^n),alpha*fck),0)</f>
      </c>
      <c r="AH762" s="30">
        <f>PM_Angle!$J$19+PM_Angle!$K$19*$C762+PM_Angle!$L$19*$B762</f>
      </c>
      <c r="AI762" s="12">
        <f>IF(AH762&gt;0,IF(AH762&lt;=eco,alpha*fck*(1-(1-AH762/eco)^n),alpha*fck),0)</f>
      </c>
      <c r="AJ762" s="30">
        <f>PM_Angle!$J$20+PM_Angle!$K$20*$C762+PM_Angle!$L$20*$B762</f>
      </c>
      <c r="AK762" s="12">
        <f>IF(AJ762&gt;0,IF(AJ762&lt;=eco,alpha*fck*(1-(1-AJ762/eco)^n),alpha*fck),0)</f>
      </c>
      <c r="AL762" s="30">
        <f>PM_Angle!$J$21+PM_Angle!$K$21*$C762+PM_Angle!$L$21*$B762</f>
      </c>
      <c r="AM762" s="12">
        <f>IF(AL762&gt;0,IF(AL762&lt;=eco,alpha*fck*(1-(1-AL762/eco)^n),alpha*fck),0)</f>
      </c>
      <c r="AN762" s="30">
        <f>PM_Angle!$J$22+PM_Angle!$K$22*$C762+PM_Angle!$L$22*$B762</f>
      </c>
      <c r="AO762" s="12">
        <f>IF(AN762&gt;0,IF(AN762&lt;=eco,alpha*fck*(1-(1-AN762/eco)^n),alpha*fck),0)</f>
      </c>
      <c r="AP762" s="30">
        <f>PM_Angle!$J$23+PM_Angle!$K$23*$C762+PM_Angle!$L$23*$B762</f>
      </c>
      <c r="AQ762" s="12">
        <f>IF(AP762&gt;0,IF(AP762&lt;=eco,alpha*fck*(1-(1-AP762/eco)^n),alpha*fck),0)</f>
      </c>
      <c r="AR762" s="30">
        <f>PM_Angle!$J$24+PM_Angle!$K$24*$C762+PM_Angle!$L$24*$B762</f>
      </c>
      <c r="AS762" s="12">
        <f>IF(AR762&gt;0,IF(AR762&lt;=eco,alpha*fck*(1-(1-AR762/eco)^n),alpha*fck),0)</f>
      </c>
      <c r="AT762" s="30">
        <f>PM_Angle!$J$25+PM_Angle!$K$25*$C762+PM_Angle!$L$25*$B762</f>
      </c>
      <c r="AU762" s="12">
        <f>IF(AT762&gt;0,IF(AT762&lt;=eco,alpha*fck*(1-(1-AT762/eco)^n),alpha*fck),0)</f>
      </c>
    </row>
    <row r="763" spans="1:47" x14ac:dyDescent="0.25">
      <c r="A763">
        <f>Mesh!A760</f>
      </c>
      <c r="B763" s="12">
        <f>Mesh!B760</f>
      </c>
      <c r="C763" s="12">
        <f>Mesh!C760</f>
      </c>
      <c r="D763" s="12">
        <f>Mesh!D760</f>
      </c>
      <c r="E763" s="30">
        <f>INDEX(St_e0,Det+1)+INDEX(St_kx,Det+1)*C763+INDEX(St_ky,Det+1)*B763</f>
      </c>
      <c r="F763" s="12">
        <f>IF(E763&gt;0,IF(E763&lt;=eco,alpha*fck*(1-(1-E763/eco)^n),alpha*fck),0)</f>
      </c>
      <c r="G763" s="11">
        <f>F763*D763</f>
      </c>
      <c r="H763" s="11">
        <f>G763*C763</f>
      </c>
      <c r="I763" s="11">
        <f>G763*B763</f>
      </c>
      <c r="J763" s="30">
        <f>PM_Angle!$J$7+PM_Angle!$K$7*$C763+PM_Angle!$L$7*$B763</f>
      </c>
      <c r="K763" s="12">
        <f>IF(J763&gt;0,IF(J763&lt;=eco,alpha*fck*(1-(1-J763/eco)^n),alpha*fck),0)</f>
      </c>
      <c r="L763" s="30">
        <f>PM_Angle!$J$8+PM_Angle!$K$8*$C763+PM_Angle!$L$8*$B763</f>
      </c>
      <c r="M763" s="12">
        <f>IF(L763&gt;0,IF(L763&lt;=eco,alpha*fck*(1-(1-L763/eco)^n),alpha*fck),0)</f>
      </c>
      <c r="N763" s="30">
        <f>PM_Angle!$J$9+PM_Angle!$K$9*$C763+PM_Angle!$L$9*$B763</f>
      </c>
      <c r="O763" s="12">
        <f>IF(N763&gt;0,IF(N763&lt;=eco,alpha*fck*(1-(1-N763/eco)^n),alpha*fck),0)</f>
      </c>
      <c r="P763" s="30">
        <f>PM_Angle!$J$10+PM_Angle!$K$10*$C763+PM_Angle!$L$10*$B763</f>
      </c>
      <c r="Q763" s="12">
        <f>IF(P763&gt;0,IF(P763&lt;=eco,alpha*fck*(1-(1-P763/eco)^n),alpha*fck),0)</f>
      </c>
      <c r="R763" s="30">
        <f>PM_Angle!$J$11+PM_Angle!$K$11*$C763+PM_Angle!$L$11*$B763</f>
      </c>
      <c r="S763" s="12">
        <f>IF(R763&gt;0,IF(R763&lt;=eco,alpha*fck*(1-(1-R763/eco)^n),alpha*fck),0)</f>
      </c>
      <c r="T763" s="30">
        <f>PM_Angle!$J$12+PM_Angle!$K$12*$C763+PM_Angle!$L$12*$B763</f>
      </c>
      <c r="U763" s="12">
        <f>IF(T763&gt;0,IF(T763&lt;=eco,alpha*fck*(1-(1-T763/eco)^n),alpha*fck),0)</f>
      </c>
      <c r="V763" s="30">
        <f>PM_Angle!$J$13+PM_Angle!$K$13*$C763+PM_Angle!$L$13*$B763</f>
      </c>
      <c r="W763" s="12">
        <f>IF(V763&gt;0,IF(V763&lt;=eco,alpha*fck*(1-(1-V763/eco)^n),alpha*fck),0)</f>
      </c>
      <c r="X763" s="30">
        <f>PM_Angle!$J$14+PM_Angle!$K$14*$C763+PM_Angle!$L$14*$B763</f>
      </c>
      <c r="Y763" s="12">
        <f>IF(X763&gt;0,IF(X763&lt;=eco,alpha*fck*(1-(1-X763/eco)^n),alpha*fck),0)</f>
      </c>
      <c r="Z763" s="30">
        <f>PM_Angle!$J$15+PM_Angle!$K$15*$C763+PM_Angle!$L$15*$B763</f>
      </c>
      <c r="AA763" s="12">
        <f>IF(Z763&gt;0,IF(Z763&lt;=eco,alpha*fck*(1-(1-Z763/eco)^n),alpha*fck),0)</f>
      </c>
      <c r="AB763" s="30">
        <f>PM_Angle!$J$16+PM_Angle!$K$16*$C763+PM_Angle!$L$16*$B763</f>
      </c>
      <c r="AC763" s="12">
        <f>IF(AB763&gt;0,IF(AB763&lt;=eco,alpha*fck*(1-(1-AB763/eco)^n),alpha*fck),0)</f>
      </c>
      <c r="AD763" s="30">
        <f>PM_Angle!$J$17+PM_Angle!$K$17*$C763+PM_Angle!$L$17*$B763</f>
      </c>
      <c r="AE763" s="12">
        <f>IF(AD763&gt;0,IF(AD763&lt;=eco,alpha*fck*(1-(1-AD763/eco)^n),alpha*fck),0)</f>
      </c>
      <c r="AF763" s="30">
        <f>PM_Angle!$J$18+PM_Angle!$K$18*$C763+PM_Angle!$L$18*$B763</f>
      </c>
      <c r="AG763" s="12">
        <f>IF(AF763&gt;0,IF(AF763&lt;=eco,alpha*fck*(1-(1-AF763/eco)^n),alpha*fck),0)</f>
      </c>
      <c r="AH763" s="30">
        <f>PM_Angle!$J$19+PM_Angle!$K$19*$C763+PM_Angle!$L$19*$B763</f>
      </c>
      <c r="AI763" s="12">
        <f>IF(AH763&gt;0,IF(AH763&lt;=eco,alpha*fck*(1-(1-AH763/eco)^n),alpha*fck),0)</f>
      </c>
      <c r="AJ763" s="30">
        <f>PM_Angle!$J$20+PM_Angle!$K$20*$C763+PM_Angle!$L$20*$B763</f>
      </c>
      <c r="AK763" s="12">
        <f>IF(AJ763&gt;0,IF(AJ763&lt;=eco,alpha*fck*(1-(1-AJ763/eco)^n),alpha*fck),0)</f>
      </c>
      <c r="AL763" s="30">
        <f>PM_Angle!$J$21+PM_Angle!$K$21*$C763+PM_Angle!$L$21*$B763</f>
      </c>
      <c r="AM763" s="12">
        <f>IF(AL763&gt;0,IF(AL763&lt;=eco,alpha*fck*(1-(1-AL763/eco)^n),alpha*fck),0)</f>
      </c>
      <c r="AN763" s="30">
        <f>PM_Angle!$J$22+PM_Angle!$K$22*$C763+PM_Angle!$L$22*$B763</f>
      </c>
      <c r="AO763" s="12">
        <f>IF(AN763&gt;0,IF(AN763&lt;=eco,alpha*fck*(1-(1-AN763/eco)^n),alpha*fck),0)</f>
      </c>
      <c r="AP763" s="30">
        <f>PM_Angle!$J$23+PM_Angle!$K$23*$C763+PM_Angle!$L$23*$B763</f>
      </c>
      <c r="AQ763" s="12">
        <f>IF(AP763&gt;0,IF(AP763&lt;=eco,alpha*fck*(1-(1-AP763/eco)^n),alpha*fck),0)</f>
      </c>
      <c r="AR763" s="30">
        <f>PM_Angle!$J$24+PM_Angle!$K$24*$C763+PM_Angle!$L$24*$B763</f>
      </c>
      <c r="AS763" s="12">
        <f>IF(AR763&gt;0,IF(AR763&lt;=eco,alpha*fck*(1-(1-AR763/eco)^n),alpha*fck),0)</f>
      </c>
      <c r="AT763" s="30">
        <f>PM_Angle!$J$25+PM_Angle!$K$25*$C763+PM_Angle!$L$25*$B763</f>
      </c>
      <c r="AU763" s="12">
        <f>IF(AT763&gt;0,IF(AT763&lt;=eco,alpha*fck*(1-(1-AT763/eco)^n),alpha*fck),0)</f>
      </c>
    </row>
    <row r="764" spans="1:47" x14ac:dyDescent="0.25">
      <c r="A764">
        <f>Mesh!A761</f>
      </c>
      <c r="B764" s="12">
        <f>Mesh!B761</f>
      </c>
      <c r="C764" s="12">
        <f>Mesh!C761</f>
      </c>
      <c r="D764" s="12">
        <f>Mesh!D761</f>
      </c>
      <c r="E764" s="30">
        <f>INDEX(St_e0,Det+1)+INDEX(St_kx,Det+1)*C764+INDEX(St_ky,Det+1)*B764</f>
      </c>
      <c r="F764" s="12">
        <f>IF(E764&gt;0,IF(E764&lt;=eco,alpha*fck*(1-(1-E764/eco)^n),alpha*fck),0)</f>
      </c>
      <c r="G764" s="11">
        <f>F764*D764</f>
      </c>
      <c r="H764" s="11">
        <f>G764*C764</f>
      </c>
      <c r="I764" s="11">
        <f>G764*B764</f>
      </c>
      <c r="J764" s="30">
        <f>PM_Angle!$J$7+PM_Angle!$K$7*$C764+PM_Angle!$L$7*$B764</f>
      </c>
      <c r="K764" s="12">
        <f>IF(J764&gt;0,IF(J764&lt;=eco,alpha*fck*(1-(1-J764/eco)^n),alpha*fck),0)</f>
      </c>
      <c r="L764" s="30">
        <f>PM_Angle!$J$8+PM_Angle!$K$8*$C764+PM_Angle!$L$8*$B764</f>
      </c>
      <c r="M764" s="12">
        <f>IF(L764&gt;0,IF(L764&lt;=eco,alpha*fck*(1-(1-L764/eco)^n),alpha*fck),0)</f>
      </c>
      <c r="N764" s="30">
        <f>PM_Angle!$J$9+PM_Angle!$K$9*$C764+PM_Angle!$L$9*$B764</f>
      </c>
      <c r="O764" s="12">
        <f>IF(N764&gt;0,IF(N764&lt;=eco,alpha*fck*(1-(1-N764/eco)^n),alpha*fck),0)</f>
      </c>
      <c r="P764" s="30">
        <f>PM_Angle!$J$10+PM_Angle!$K$10*$C764+PM_Angle!$L$10*$B764</f>
      </c>
      <c r="Q764" s="12">
        <f>IF(P764&gt;0,IF(P764&lt;=eco,alpha*fck*(1-(1-P764/eco)^n),alpha*fck),0)</f>
      </c>
      <c r="R764" s="30">
        <f>PM_Angle!$J$11+PM_Angle!$K$11*$C764+PM_Angle!$L$11*$B764</f>
      </c>
      <c r="S764" s="12">
        <f>IF(R764&gt;0,IF(R764&lt;=eco,alpha*fck*(1-(1-R764/eco)^n),alpha*fck),0)</f>
      </c>
      <c r="T764" s="30">
        <f>PM_Angle!$J$12+PM_Angle!$K$12*$C764+PM_Angle!$L$12*$B764</f>
      </c>
      <c r="U764" s="12">
        <f>IF(T764&gt;0,IF(T764&lt;=eco,alpha*fck*(1-(1-T764/eco)^n),alpha*fck),0)</f>
      </c>
      <c r="V764" s="30">
        <f>PM_Angle!$J$13+PM_Angle!$K$13*$C764+PM_Angle!$L$13*$B764</f>
      </c>
      <c r="W764" s="12">
        <f>IF(V764&gt;0,IF(V764&lt;=eco,alpha*fck*(1-(1-V764/eco)^n),alpha*fck),0)</f>
      </c>
      <c r="X764" s="30">
        <f>PM_Angle!$J$14+PM_Angle!$K$14*$C764+PM_Angle!$L$14*$B764</f>
      </c>
      <c r="Y764" s="12">
        <f>IF(X764&gt;0,IF(X764&lt;=eco,alpha*fck*(1-(1-X764/eco)^n),alpha*fck),0)</f>
      </c>
      <c r="Z764" s="30">
        <f>PM_Angle!$J$15+PM_Angle!$K$15*$C764+PM_Angle!$L$15*$B764</f>
      </c>
      <c r="AA764" s="12">
        <f>IF(Z764&gt;0,IF(Z764&lt;=eco,alpha*fck*(1-(1-Z764/eco)^n),alpha*fck),0)</f>
      </c>
      <c r="AB764" s="30">
        <f>PM_Angle!$J$16+PM_Angle!$K$16*$C764+PM_Angle!$L$16*$B764</f>
      </c>
      <c r="AC764" s="12">
        <f>IF(AB764&gt;0,IF(AB764&lt;=eco,alpha*fck*(1-(1-AB764/eco)^n),alpha*fck),0)</f>
      </c>
      <c r="AD764" s="30">
        <f>PM_Angle!$J$17+PM_Angle!$K$17*$C764+PM_Angle!$L$17*$B764</f>
      </c>
      <c r="AE764" s="12">
        <f>IF(AD764&gt;0,IF(AD764&lt;=eco,alpha*fck*(1-(1-AD764/eco)^n),alpha*fck),0)</f>
      </c>
      <c r="AF764" s="30">
        <f>PM_Angle!$J$18+PM_Angle!$K$18*$C764+PM_Angle!$L$18*$B764</f>
      </c>
      <c r="AG764" s="12">
        <f>IF(AF764&gt;0,IF(AF764&lt;=eco,alpha*fck*(1-(1-AF764/eco)^n),alpha*fck),0)</f>
      </c>
      <c r="AH764" s="30">
        <f>PM_Angle!$J$19+PM_Angle!$K$19*$C764+PM_Angle!$L$19*$B764</f>
      </c>
      <c r="AI764" s="12">
        <f>IF(AH764&gt;0,IF(AH764&lt;=eco,alpha*fck*(1-(1-AH764/eco)^n),alpha*fck),0)</f>
      </c>
      <c r="AJ764" s="30">
        <f>PM_Angle!$J$20+PM_Angle!$K$20*$C764+PM_Angle!$L$20*$B764</f>
      </c>
      <c r="AK764" s="12">
        <f>IF(AJ764&gt;0,IF(AJ764&lt;=eco,alpha*fck*(1-(1-AJ764/eco)^n),alpha*fck),0)</f>
      </c>
      <c r="AL764" s="30">
        <f>PM_Angle!$J$21+PM_Angle!$K$21*$C764+PM_Angle!$L$21*$B764</f>
      </c>
      <c r="AM764" s="12">
        <f>IF(AL764&gt;0,IF(AL764&lt;=eco,alpha*fck*(1-(1-AL764/eco)^n),alpha*fck),0)</f>
      </c>
      <c r="AN764" s="30">
        <f>PM_Angle!$J$22+PM_Angle!$K$22*$C764+PM_Angle!$L$22*$B764</f>
      </c>
      <c r="AO764" s="12">
        <f>IF(AN764&gt;0,IF(AN764&lt;=eco,alpha*fck*(1-(1-AN764/eco)^n),alpha*fck),0)</f>
      </c>
      <c r="AP764" s="30">
        <f>PM_Angle!$J$23+PM_Angle!$K$23*$C764+PM_Angle!$L$23*$B764</f>
      </c>
      <c r="AQ764" s="12">
        <f>IF(AP764&gt;0,IF(AP764&lt;=eco,alpha*fck*(1-(1-AP764/eco)^n),alpha*fck),0)</f>
      </c>
      <c r="AR764" s="30">
        <f>PM_Angle!$J$24+PM_Angle!$K$24*$C764+PM_Angle!$L$24*$B764</f>
      </c>
      <c r="AS764" s="12">
        <f>IF(AR764&gt;0,IF(AR764&lt;=eco,alpha*fck*(1-(1-AR764/eco)^n),alpha*fck),0)</f>
      </c>
      <c r="AT764" s="30">
        <f>PM_Angle!$J$25+PM_Angle!$K$25*$C764+PM_Angle!$L$25*$B764</f>
      </c>
      <c r="AU764" s="12">
        <f>IF(AT764&gt;0,IF(AT764&lt;=eco,alpha*fck*(1-(1-AT764/eco)^n),alpha*fck),0)</f>
      </c>
    </row>
    <row r="765" spans="1:47" x14ac:dyDescent="0.25">
      <c r="A765">
        <f>Mesh!A762</f>
      </c>
      <c r="B765" s="12">
        <f>Mesh!B762</f>
      </c>
      <c r="C765" s="12">
        <f>Mesh!C762</f>
      </c>
      <c r="D765" s="12">
        <f>Mesh!D762</f>
      </c>
      <c r="E765" s="30">
        <f>INDEX(St_e0,Det+1)+INDEX(St_kx,Det+1)*C765+INDEX(St_ky,Det+1)*B765</f>
      </c>
      <c r="F765" s="12">
        <f>IF(E765&gt;0,IF(E765&lt;=eco,alpha*fck*(1-(1-E765/eco)^n),alpha*fck),0)</f>
      </c>
      <c r="G765" s="11">
        <f>F765*D765</f>
      </c>
      <c r="H765" s="11">
        <f>G765*C765</f>
      </c>
      <c r="I765" s="11">
        <f>G765*B765</f>
      </c>
      <c r="J765" s="30">
        <f>PM_Angle!$J$7+PM_Angle!$K$7*$C765+PM_Angle!$L$7*$B765</f>
      </c>
      <c r="K765" s="12">
        <f>IF(J765&gt;0,IF(J765&lt;=eco,alpha*fck*(1-(1-J765/eco)^n),alpha*fck),0)</f>
      </c>
      <c r="L765" s="30">
        <f>PM_Angle!$J$8+PM_Angle!$K$8*$C765+PM_Angle!$L$8*$B765</f>
      </c>
      <c r="M765" s="12">
        <f>IF(L765&gt;0,IF(L765&lt;=eco,alpha*fck*(1-(1-L765/eco)^n),alpha*fck),0)</f>
      </c>
      <c r="N765" s="30">
        <f>PM_Angle!$J$9+PM_Angle!$K$9*$C765+PM_Angle!$L$9*$B765</f>
      </c>
      <c r="O765" s="12">
        <f>IF(N765&gt;0,IF(N765&lt;=eco,alpha*fck*(1-(1-N765/eco)^n),alpha*fck),0)</f>
      </c>
      <c r="P765" s="30">
        <f>PM_Angle!$J$10+PM_Angle!$K$10*$C765+PM_Angle!$L$10*$B765</f>
      </c>
      <c r="Q765" s="12">
        <f>IF(P765&gt;0,IF(P765&lt;=eco,alpha*fck*(1-(1-P765/eco)^n),alpha*fck),0)</f>
      </c>
      <c r="R765" s="30">
        <f>PM_Angle!$J$11+PM_Angle!$K$11*$C765+PM_Angle!$L$11*$B765</f>
      </c>
      <c r="S765" s="12">
        <f>IF(R765&gt;0,IF(R765&lt;=eco,alpha*fck*(1-(1-R765/eco)^n),alpha*fck),0)</f>
      </c>
      <c r="T765" s="30">
        <f>PM_Angle!$J$12+PM_Angle!$K$12*$C765+PM_Angle!$L$12*$B765</f>
      </c>
      <c r="U765" s="12">
        <f>IF(T765&gt;0,IF(T765&lt;=eco,alpha*fck*(1-(1-T765/eco)^n),alpha*fck),0)</f>
      </c>
      <c r="V765" s="30">
        <f>PM_Angle!$J$13+PM_Angle!$K$13*$C765+PM_Angle!$L$13*$B765</f>
      </c>
      <c r="W765" s="12">
        <f>IF(V765&gt;0,IF(V765&lt;=eco,alpha*fck*(1-(1-V765/eco)^n),alpha*fck),0)</f>
      </c>
      <c r="X765" s="30">
        <f>PM_Angle!$J$14+PM_Angle!$K$14*$C765+PM_Angle!$L$14*$B765</f>
      </c>
      <c r="Y765" s="12">
        <f>IF(X765&gt;0,IF(X765&lt;=eco,alpha*fck*(1-(1-X765/eco)^n),alpha*fck),0)</f>
      </c>
      <c r="Z765" s="30">
        <f>PM_Angle!$J$15+PM_Angle!$K$15*$C765+PM_Angle!$L$15*$B765</f>
      </c>
      <c r="AA765" s="12">
        <f>IF(Z765&gt;0,IF(Z765&lt;=eco,alpha*fck*(1-(1-Z765/eco)^n),alpha*fck),0)</f>
      </c>
      <c r="AB765" s="30">
        <f>PM_Angle!$J$16+PM_Angle!$K$16*$C765+PM_Angle!$L$16*$B765</f>
      </c>
      <c r="AC765" s="12">
        <f>IF(AB765&gt;0,IF(AB765&lt;=eco,alpha*fck*(1-(1-AB765/eco)^n),alpha*fck),0)</f>
      </c>
      <c r="AD765" s="30">
        <f>PM_Angle!$J$17+PM_Angle!$K$17*$C765+PM_Angle!$L$17*$B765</f>
      </c>
      <c r="AE765" s="12">
        <f>IF(AD765&gt;0,IF(AD765&lt;=eco,alpha*fck*(1-(1-AD765/eco)^n),alpha*fck),0)</f>
      </c>
      <c r="AF765" s="30">
        <f>PM_Angle!$J$18+PM_Angle!$K$18*$C765+PM_Angle!$L$18*$B765</f>
      </c>
      <c r="AG765" s="12">
        <f>IF(AF765&gt;0,IF(AF765&lt;=eco,alpha*fck*(1-(1-AF765/eco)^n),alpha*fck),0)</f>
      </c>
      <c r="AH765" s="30">
        <f>PM_Angle!$J$19+PM_Angle!$K$19*$C765+PM_Angle!$L$19*$B765</f>
      </c>
      <c r="AI765" s="12">
        <f>IF(AH765&gt;0,IF(AH765&lt;=eco,alpha*fck*(1-(1-AH765/eco)^n),alpha*fck),0)</f>
      </c>
      <c r="AJ765" s="30">
        <f>PM_Angle!$J$20+PM_Angle!$K$20*$C765+PM_Angle!$L$20*$B765</f>
      </c>
      <c r="AK765" s="12">
        <f>IF(AJ765&gt;0,IF(AJ765&lt;=eco,alpha*fck*(1-(1-AJ765/eco)^n),alpha*fck),0)</f>
      </c>
      <c r="AL765" s="30">
        <f>PM_Angle!$J$21+PM_Angle!$K$21*$C765+PM_Angle!$L$21*$B765</f>
      </c>
      <c r="AM765" s="12">
        <f>IF(AL765&gt;0,IF(AL765&lt;=eco,alpha*fck*(1-(1-AL765/eco)^n),alpha*fck),0)</f>
      </c>
      <c r="AN765" s="30">
        <f>PM_Angle!$J$22+PM_Angle!$K$22*$C765+PM_Angle!$L$22*$B765</f>
      </c>
      <c r="AO765" s="12">
        <f>IF(AN765&gt;0,IF(AN765&lt;=eco,alpha*fck*(1-(1-AN765/eco)^n),alpha*fck),0)</f>
      </c>
      <c r="AP765" s="30">
        <f>PM_Angle!$J$23+PM_Angle!$K$23*$C765+PM_Angle!$L$23*$B765</f>
      </c>
      <c r="AQ765" s="12">
        <f>IF(AP765&gt;0,IF(AP765&lt;=eco,alpha*fck*(1-(1-AP765/eco)^n),alpha*fck),0)</f>
      </c>
      <c r="AR765" s="30">
        <f>PM_Angle!$J$24+PM_Angle!$K$24*$C765+PM_Angle!$L$24*$B765</f>
      </c>
      <c r="AS765" s="12">
        <f>IF(AR765&gt;0,IF(AR765&lt;=eco,alpha*fck*(1-(1-AR765/eco)^n),alpha*fck),0)</f>
      </c>
      <c r="AT765" s="30">
        <f>PM_Angle!$J$25+PM_Angle!$K$25*$C765+PM_Angle!$L$25*$B765</f>
      </c>
      <c r="AU765" s="12">
        <f>IF(AT765&gt;0,IF(AT765&lt;=eco,alpha*fck*(1-(1-AT765/eco)^n),alpha*fck),0)</f>
      </c>
    </row>
    <row r="766" spans="1:47" x14ac:dyDescent="0.25">
      <c r="A766">
        <f>Mesh!A763</f>
      </c>
      <c r="B766" s="12">
        <f>Mesh!B763</f>
      </c>
      <c r="C766" s="12">
        <f>Mesh!C763</f>
      </c>
      <c r="D766" s="12">
        <f>Mesh!D763</f>
      </c>
      <c r="E766" s="30">
        <f>INDEX(St_e0,Det+1)+INDEX(St_kx,Det+1)*C766+INDEX(St_ky,Det+1)*B766</f>
      </c>
      <c r="F766" s="12">
        <f>IF(E766&gt;0,IF(E766&lt;=eco,alpha*fck*(1-(1-E766/eco)^n),alpha*fck),0)</f>
      </c>
      <c r="G766" s="11">
        <f>F766*D766</f>
      </c>
      <c r="H766" s="11">
        <f>G766*C766</f>
      </c>
      <c r="I766" s="11">
        <f>G766*B766</f>
      </c>
      <c r="J766" s="30">
        <f>PM_Angle!$J$7+PM_Angle!$K$7*$C766+PM_Angle!$L$7*$B766</f>
      </c>
      <c r="K766" s="12">
        <f>IF(J766&gt;0,IF(J766&lt;=eco,alpha*fck*(1-(1-J766/eco)^n),alpha*fck),0)</f>
      </c>
      <c r="L766" s="30">
        <f>PM_Angle!$J$8+PM_Angle!$K$8*$C766+PM_Angle!$L$8*$B766</f>
      </c>
      <c r="M766" s="12">
        <f>IF(L766&gt;0,IF(L766&lt;=eco,alpha*fck*(1-(1-L766/eco)^n),alpha*fck),0)</f>
      </c>
      <c r="N766" s="30">
        <f>PM_Angle!$J$9+PM_Angle!$K$9*$C766+PM_Angle!$L$9*$B766</f>
      </c>
      <c r="O766" s="12">
        <f>IF(N766&gt;0,IF(N766&lt;=eco,alpha*fck*(1-(1-N766/eco)^n),alpha*fck),0)</f>
      </c>
      <c r="P766" s="30">
        <f>PM_Angle!$J$10+PM_Angle!$K$10*$C766+PM_Angle!$L$10*$B766</f>
      </c>
      <c r="Q766" s="12">
        <f>IF(P766&gt;0,IF(P766&lt;=eco,alpha*fck*(1-(1-P766/eco)^n),alpha*fck),0)</f>
      </c>
      <c r="R766" s="30">
        <f>PM_Angle!$J$11+PM_Angle!$K$11*$C766+PM_Angle!$L$11*$B766</f>
      </c>
      <c r="S766" s="12">
        <f>IF(R766&gt;0,IF(R766&lt;=eco,alpha*fck*(1-(1-R766/eco)^n),alpha*fck),0)</f>
      </c>
      <c r="T766" s="30">
        <f>PM_Angle!$J$12+PM_Angle!$K$12*$C766+PM_Angle!$L$12*$B766</f>
      </c>
      <c r="U766" s="12">
        <f>IF(T766&gt;0,IF(T766&lt;=eco,alpha*fck*(1-(1-T766/eco)^n),alpha*fck),0)</f>
      </c>
      <c r="V766" s="30">
        <f>PM_Angle!$J$13+PM_Angle!$K$13*$C766+PM_Angle!$L$13*$B766</f>
      </c>
      <c r="W766" s="12">
        <f>IF(V766&gt;0,IF(V766&lt;=eco,alpha*fck*(1-(1-V766/eco)^n),alpha*fck),0)</f>
      </c>
      <c r="X766" s="30">
        <f>PM_Angle!$J$14+PM_Angle!$K$14*$C766+PM_Angle!$L$14*$B766</f>
      </c>
      <c r="Y766" s="12">
        <f>IF(X766&gt;0,IF(X766&lt;=eco,alpha*fck*(1-(1-X766/eco)^n),alpha*fck),0)</f>
      </c>
      <c r="Z766" s="30">
        <f>PM_Angle!$J$15+PM_Angle!$K$15*$C766+PM_Angle!$L$15*$B766</f>
      </c>
      <c r="AA766" s="12">
        <f>IF(Z766&gt;0,IF(Z766&lt;=eco,alpha*fck*(1-(1-Z766/eco)^n),alpha*fck),0)</f>
      </c>
      <c r="AB766" s="30">
        <f>PM_Angle!$J$16+PM_Angle!$K$16*$C766+PM_Angle!$L$16*$B766</f>
      </c>
      <c r="AC766" s="12">
        <f>IF(AB766&gt;0,IF(AB766&lt;=eco,alpha*fck*(1-(1-AB766/eco)^n),alpha*fck),0)</f>
      </c>
      <c r="AD766" s="30">
        <f>PM_Angle!$J$17+PM_Angle!$K$17*$C766+PM_Angle!$L$17*$B766</f>
      </c>
      <c r="AE766" s="12">
        <f>IF(AD766&gt;0,IF(AD766&lt;=eco,alpha*fck*(1-(1-AD766/eco)^n),alpha*fck),0)</f>
      </c>
      <c r="AF766" s="30">
        <f>PM_Angle!$J$18+PM_Angle!$K$18*$C766+PM_Angle!$L$18*$B766</f>
      </c>
      <c r="AG766" s="12">
        <f>IF(AF766&gt;0,IF(AF766&lt;=eco,alpha*fck*(1-(1-AF766/eco)^n),alpha*fck),0)</f>
      </c>
      <c r="AH766" s="30">
        <f>PM_Angle!$J$19+PM_Angle!$K$19*$C766+PM_Angle!$L$19*$B766</f>
      </c>
      <c r="AI766" s="12">
        <f>IF(AH766&gt;0,IF(AH766&lt;=eco,alpha*fck*(1-(1-AH766/eco)^n),alpha*fck),0)</f>
      </c>
      <c r="AJ766" s="30">
        <f>PM_Angle!$J$20+PM_Angle!$K$20*$C766+PM_Angle!$L$20*$B766</f>
      </c>
      <c r="AK766" s="12">
        <f>IF(AJ766&gt;0,IF(AJ766&lt;=eco,alpha*fck*(1-(1-AJ766/eco)^n),alpha*fck),0)</f>
      </c>
      <c r="AL766" s="30">
        <f>PM_Angle!$J$21+PM_Angle!$K$21*$C766+PM_Angle!$L$21*$B766</f>
      </c>
      <c r="AM766" s="12">
        <f>IF(AL766&gt;0,IF(AL766&lt;=eco,alpha*fck*(1-(1-AL766/eco)^n),alpha*fck),0)</f>
      </c>
      <c r="AN766" s="30">
        <f>PM_Angle!$J$22+PM_Angle!$K$22*$C766+PM_Angle!$L$22*$B766</f>
      </c>
      <c r="AO766" s="12">
        <f>IF(AN766&gt;0,IF(AN766&lt;=eco,alpha*fck*(1-(1-AN766/eco)^n),alpha*fck),0)</f>
      </c>
      <c r="AP766" s="30">
        <f>PM_Angle!$J$23+PM_Angle!$K$23*$C766+PM_Angle!$L$23*$B766</f>
      </c>
      <c r="AQ766" s="12">
        <f>IF(AP766&gt;0,IF(AP766&lt;=eco,alpha*fck*(1-(1-AP766/eco)^n),alpha*fck),0)</f>
      </c>
      <c r="AR766" s="30">
        <f>PM_Angle!$J$24+PM_Angle!$K$24*$C766+PM_Angle!$L$24*$B766</f>
      </c>
      <c r="AS766" s="12">
        <f>IF(AR766&gt;0,IF(AR766&lt;=eco,alpha*fck*(1-(1-AR766/eco)^n),alpha*fck),0)</f>
      </c>
      <c r="AT766" s="30">
        <f>PM_Angle!$J$25+PM_Angle!$K$25*$C766+PM_Angle!$L$25*$B766</f>
      </c>
      <c r="AU766" s="12">
        <f>IF(AT766&gt;0,IF(AT766&lt;=eco,alpha*fck*(1-(1-AT766/eco)^n),alpha*fck),0)</f>
      </c>
    </row>
    <row r="767" spans="1:47" x14ac:dyDescent="0.25">
      <c r="A767">
        <f>Mesh!A764</f>
      </c>
      <c r="B767" s="12">
        <f>Mesh!B764</f>
      </c>
      <c r="C767" s="12">
        <f>Mesh!C764</f>
      </c>
      <c r="D767" s="12">
        <f>Mesh!D764</f>
      </c>
      <c r="E767" s="30">
        <f>INDEX(St_e0,Det+1)+INDEX(St_kx,Det+1)*C767+INDEX(St_ky,Det+1)*B767</f>
      </c>
      <c r="F767" s="12">
        <f>IF(E767&gt;0,IF(E767&lt;=eco,alpha*fck*(1-(1-E767/eco)^n),alpha*fck),0)</f>
      </c>
      <c r="G767" s="11">
        <f>F767*D767</f>
      </c>
      <c r="H767" s="11">
        <f>G767*C767</f>
      </c>
      <c r="I767" s="11">
        <f>G767*B767</f>
      </c>
      <c r="J767" s="30">
        <f>PM_Angle!$J$7+PM_Angle!$K$7*$C767+PM_Angle!$L$7*$B767</f>
      </c>
      <c r="K767" s="12">
        <f>IF(J767&gt;0,IF(J767&lt;=eco,alpha*fck*(1-(1-J767/eco)^n),alpha*fck),0)</f>
      </c>
      <c r="L767" s="30">
        <f>PM_Angle!$J$8+PM_Angle!$K$8*$C767+PM_Angle!$L$8*$B767</f>
      </c>
      <c r="M767" s="12">
        <f>IF(L767&gt;0,IF(L767&lt;=eco,alpha*fck*(1-(1-L767/eco)^n),alpha*fck),0)</f>
      </c>
      <c r="N767" s="30">
        <f>PM_Angle!$J$9+PM_Angle!$K$9*$C767+PM_Angle!$L$9*$B767</f>
      </c>
      <c r="O767" s="12">
        <f>IF(N767&gt;0,IF(N767&lt;=eco,alpha*fck*(1-(1-N767/eco)^n),alpha*fck),0)</f>
      </c>
      <c r="P767" s="30">
        <f>PM_Angle!$J$10+PM_Angle!$K$10*$C767+PM_Angle!$L$10*$B767</f>
      </c>
      <c r="Q767" s="12">
        <f>IF(P767&gt;0,IF(P767&lt;=eco,alpha*fck*(1-(1-P767/eco)^n),alpha*fck),0)</f>
      </c>
      <c r="R767" s="30">
        <f>PM_Angle!$J$11+PM_Angle!$K$11*$C767+PM_Angle!$L$11*$B767</f>
      </c>
      <c r="S767" s="12">
        <f>IF(R767&gt;0,IF(R767&lt;=eco,alpha*fck*(1-(1-R767/eco)^n),alpha*fck),0)</f>
      </c>
      <c r="T767" s="30">
        <f>PM_Angle!$J$12+PM_Angle!$K$12*$C767+PM_Angle!$L$12*$B767</f>
      </c>
      <c r="U767" s="12">
        <f>IF(T767&gt;0,IF(T767&lt;=eco,alpha*fck*(1-(1-T767/eco)^n),alpha*fck),0)</f>
      </c>
      <c r="V767" s="30">
        <f>PM_Angle!$J$13+PM_Angle!$K$13*$C767+PM_Angle!$L$13*$B767</f>
      </c>
      <c r="W767" s="12">
        <f>IF(V767&gt;0,IF(V767&lt;=eco,alpha*fck*(1-(1-V767/eco)^n),alpha*fck),0)</f>
      </c>
      <c r="X767" s="30">
        <f>PM_Angle!$J$14+PM_Angle!$K$14*$C767+PM_Angle!$L$14*$B767</f>
      </c>
      <c r="Y767" s="12">
        <f>IF(X767&gt;0,IF(X767&lt;=eco,alpha*fck*(1-(1-X767/eco)^n),alpha*fck),0)</f>
      </c>
      <c r="Z767" s="30">
        <f>PM_Angle!$J$15+PM_Angle!$K$15*$C767+PM_Angle!$L$15*$B767</f>
      </c>
      <c r="AA767" s="12">
        <f>IF(Z767&gt;0,IF(Z767&lt;=eco,alpha*fck*(1-(1-Z767/eco)^n),alpha*fck),0)</f>
      </c>
      <c r="AB767" s="30">
        <f>PM_Angle!$J$16+PM_Angle!$K$16*$C767+PM_Angle!$L$16*$B767</f>
      </c>
      <c r="AC767" s="12">
        <f>IF(AB767&gt;0,IF(AB767&lt;=eco,alpha*fck*(1-(1-AB767/eco)^n),alpha*fck),0)</f>
      </c>
      <c r="AD767" s="30">
        <f>PM_Angle!$J$17+PM_Angle!$K$17*$C767+PM_Angle!$L$17*$B767</f>
      </c>
      <c r="AE767" s="12">
        <f>IF(AD767&gt;0,IF(AD767&lt;=eco,alpha*fck*(1-(1-AD767/eco)^n),alpha*fck),0)</f>
      </c>
      <c r="AF767" s="30">
        <f>PM_Angle!$J$18+PM_Angle!$K$18*$C767+PM_Angle!$L$18*$B767</f>
      </c>
      <c r="AG767" s="12">
        <f>IF(AF767&gt;0,IF(AF767&lt;=eco,alpha*fck*(1-(1-AF767/eco)^n),alpha*fck),0)</f>
      </c>
      <c r="AH767" s="30">
        <f>PM_Angle!$J$19+PM_Angle!$K$19*$C767+PM_Angle!$L$19*$B767</f>
      </c>
      <c r="AI767" s="12">
        <f>IF(AH767&gt;0,IF(AH767&lt;=eco,alpha*fck*(1-(1-AH767/eco)^n),alpha*fck),0)</f>
      </c>
      <c r="AJ767" s="30">
        <f>PM_Angle!$J$20+PM_Angle!$K$20*$C767+PM_Angle!$L$20*$B767</f>
      </c>
      <c r="AK767" s="12">
        <f>IF(AJ767&gt;0,IF(AJ767&lt;=eco,alpha*fck*(1-(1-AJ767/eco)^n),alpha*fck),0)</f>
      </c>
      <c r="AL767" s="30">
        <f>PM_Angle!$J$21+PM_Angle!$K$21*$C767+PM_Angle!$L$21*$B767</f>
      </c>
      <c r="AM767" s="12">
        <f>IF(AL767&gt;0,IF(AL767&lt;=eco,alpha*fck*(1-(1-AL767/eco)^n),alpha*fck),0)</f>
      </c>
      <c r="AN767" s="30">
        <f>PM_Angle!$J$22+PM_Angle!$K$22*$C767+PM_Angle!$L$22*$B767</f>
      </c>
      <c r="AO767" s="12">
        <f>IF(AN767&gt;0,IF(AN767&lt;=eco,alpha*fck*(1-(1-AN767/eco)^n),alpha*fck),0)</f>
      </c>
      <c r="AP767" s="30">
        <f>PM_Angle!$J$23+PM_Angle!$K$23*$C767+PM_Angle!$L$23*$B767</f>
      </c>
      <c r="AQ767" s="12">
        <f>IF(AP767&gt;0,IF(AP767&lt;=eco,alpha*fck*(1-(1-AP767/eco)^n),alpha*fck),0)</f>
      </c>
      <c r="AR767" s="30">
        <f>PM_Angle!$J$24+PM_Angle!$K$24*$C767+PM_Angle!$L$24*$B767</f>
      </c>
      <c r="AS767" s="12">
        <f>IF(AR767&gt;0,IF(AR767&lt;=eco,alpha*fck*(1-(1-AR767/eco)^n),alpha*fck),0)</f>
      </c>
      <c r="AT767" s="30">
        <f>PM_Angle!$J$25+PM_Angle!$K$25*$C767+PM_Angle!$L$25*$B767</f>
      </c>
      <c r="AU767" s="12">
        <f>IF(AT767&gt;0,IF(AT767&lt;=eco,alpha*fck*(1-(1-AT767/eco)^n),alpha*fck),0)</f>
      </c>
    </row>
    <row r="768" spans="1:47" x14ac:dyDescent="0.25">
      <c r="A768">
        <f>Mesh!A765</f>
      </c>
      <c r="B768" s="12">
        <f>Mesh!B765</f>
      </c>
      <c r="C768" s="12">
        <f>Mesh!C765</f>
      </c>
      <c r="D768" s="12">
        <f>Mesh!D765</f>
      </c>
      <c r="E768" s="30">
        <f>INDEX(St_e0,Det+1)+INDEX(St_kx,Det+1)*C768+INDEX(St_ky,Det+1)*B768</f>
      </c>
      <c r="F768" s="12">
        <f>IF(E768&gt;0,IF(E768&lt;=eco,alpha*fck*(1-(1-E768/eco)^n),alpha*fck),0)</f>
      </c>
      <c r="G768" s="11">
        <f>F768*D768</f>
      </c>
      <c r="H768" s="11">
        <f>G768*C768</f>
      </c>
      <c r="I768" s="11">
        <f>G768*B768</f>
      </c>
      <c r="J768" s="30">
        <f>PM_Angle!$J$7+PM_Angle!$K$7*$C768+PM_Angle!$L$7*$B768</f>
      </c>
      <c r="K768" s="12">
        <f>IF(J768&gt;0,IF(J768&lt;=eco,alpha*fck*(1-(1-J768/eco)^n),alpha*fck),0)</f>
      </c>
      <c r="L768" s="30">
        <f>PM_Angle!$J$8+PM_Angle!$K$8*$C768+PM_Angle!$L$8*$B768</f>
      </c>
      <c r="M768" s="12">
        <f>IF(L768&gt;0,IF(L768&lt;=eco,alpha*fck*(1-(1-L768/eco)^n),alpha*fck),0)</f>
      </c>
      <c r="N768" s="30">
        <f>PM_Angle!$J$9+PM_Angle!$K$9*$C768+PM_Angle!$L$9*$B768</f>
      </c>
      <c r="O768" s="12">
        <f>IF(N768&gt;0,IF(N768&lt;=eco,alpha*fck*(1-(1-N768/eco)^n),alpha*fck),0)</f>
      </c>
      <c r="P768" s="30">
        <f>PM_Angle!$J$10+PM_Angle!$K$10*$C768+PM_Angle!$L$10*$B768</f>
      </c>
      <c r="Q768" s="12">
        <f>IF(P768&gt;0,IF(P768&lt;=eco,alpha*fck*(1-(1-P768/eco)^n),alpha*fck),0)</f>
      </c>
      <c r="R768" s="30">
        <f>PM_Angle!$J$11+PM_Angle!$K$11*$C768+PM_Angle!$L$11*$B768</f>
      </c>
      <c r="S768" s="12">
        <f>IF(R768&gt;0,IF(R768&lt;=eco,alpha*fck*(1-(1-R768/eco)^n),alpha*fck),0)</f>
      </c>
      <c r="T768" s="30">
        <f>PM_Angle!$J$12+PM_Angle!$K$12*$C768+PM_Angle!$L$12*$B768</f>
      </c>
      <c r="U768" s="12">
        <f>IF(T768&gt;0,IF(T768&lt;=eco,alpha*fck*(1-(1-T768/eco)^n),alpha*fck),0)</f>
      </c>
      <c r="V768" s="30">
        <f>PM_Angle!$J$13+PM_Angle!$K$13*$C768+PM_Angle!$L$13*$B768</f>
      </c>
      <c r="W768" s="12">
        <f>IF(V768&gt;0,IF(V768&lt;=eco,alpha*fck*(1-(1-V768/eco)^n),alpha*fck),0)</f>
      </c>
      <c r="X768" s="30">
        <f>PM_Angle!$J$14+PM_Angle!$K$14*$C768+PM_Angle!$L$14*$B768</f>
      </c>
      <c r="Y768" s="12">
        <f>IF(X768&gt;0,IF(X768&lt;=eco,alpha*fck*(1-(1-X768/eco)^n),alpha*fck),0)</f>
      </c>
      <c r="Z768" s="30">
        <f>PM_Angle!$J$15+PM_Angle!$K$15*$C768+PM_Angle!$L$15*$B768</f>
      </c>
      <c r="AA768" s="12">
        <f>IF(Z768&gt;0,IF(Z768&lt;=eco,alpha*fck*(1-(1-Z768/eco)^n),alpha*fck),0)</f>
      </c>
      <c r="AB768" s="30">
        <f>PM_Angle!$J$16+PM_Angle!$K$16*$C768+PM_Angle!$L$16*$B768</f>
      </c>
      <c r="AC768" s="12">
        <f>IF(AB768&gt;0,IF(AB768&lt;=eco,alpha*fck*(1-(1-AB768/eco)^n),alpha*fck),0)</f>
      </c>
      <c r="AD768" s="30">
        <f>PM_Angle!$J$17+PM_Angle!$K$17*$C768+PM_Angle!$L$17*$B768</f>
      </c>
      <c r="AE768" s="12">
        <f>IF(AD768&gt;0,IF(AD768&lt;=eco,alpha*fck*(1-(1-AD768/eco)^n),alpha*fck),0)</f>
      </c>
      <c r="AF768" s="30">
        <f>PM_Angle!$J$18+PM_Angle!$K$18*$C768+PM_Angle!$L$18*$B768</f>
      </c>
      <c r="AG768" s="12">
        <f>IF(AF768&gt;0,IF(AF768&lt;=eco,alpha*fck*(1-(1-AF768/eco)^n),alpha*fck),0)</f>
      </c>
      <c r="AH768" s="30">
        <f>PM_Angle!$J$19+PM_Angle!$K$19*$C768+PM_Angle!$L$19*$B768</f>
      </c>
      <c r="AI768" s="12">
        <f>IF(AH768&gt;0,IF(AH768&lt;=eco,alpha*fck*(1-(1-AH768/eco)^n),alpha*fck),0)</f>
      </c>
      <c r="AJ768" s="30">
        <f>PM_Angle!$J$20+PM_Angle!$K$20*$C768+PM_Angle!$L$20*$B768</f>
      </c>
      <c r="AK768" s="12">
        <f>IF(AJ768&gt;0,IF(AJ768&lt;=eco,alpha*fck*(1-(1-AJ768/eco)^n),alpha*fck),0)</f>
      </c>
      <c r="AL768" s="30">
        <f>PM_Angle!$J$21+PM_Angle!$K$21*$C768+PM_Angle!$L$21*$B768</f>
      </c>
      <c r="AM768" s="12">
        <f>IF(AL768&gt;0,IF(AL768&lt;=eco,alpha*fck*(1-(1-AL768/eco)^n),alpha*fck),0)</f>
      </c>
      <c r="AN768" s="30">
        <f>PM_Angle!$J$22+PM_Angle!$K$22*$C768+PM_Angle!$L$22*$B768</f>
      </c>
      <c r="AO768" s="12">
        <f>IF(AN768&gt;0,IF(AN768&lt;=eco,alpha*fck*(1-(1-AN768/eco)^n),alpha*fck),0)</f>
      </c>
      <c r="AP768" s="30">
        <f>PM_Angle!$J$23+PM_Angle!$K$23*$C768+PM_Angle!$L$23*$B768</f>
      </c>
      <c r="AQ768" s="12">
        <f>IF(AP768&gt;0,IF(AP768&lt;=eco,alpha*fck*(1-(1-AP768/eco)^n),alpha*fck),0)</f>
      </c>
      <c r="AR768" s="30">
        <f>PM_Angle!$J$24+PM_Angle!$K$24*$C768+PM_Angle!$L$24*$B768</f>
      </c>
      <c r="AS768" s="12">
        <f>IF(AR768&gt;0,IF(AR768&lt;=eco,alpha*fck*(1-(1-AR768/eco)^n),alpha*fck),0)</f>
      </c>
      <c r="AT768" s="30">
        <f>PM_Angle!$J$25+PM_Angle!$K$25*$C768+PM_Angle!$L$25*$B768</f>
      </c>
      <c r="AU768" s="12">
        <f>IF(AT768&gt;0,IF(AT768&lt;=eco,alpha*fck*(1-(1-AT768/eco)^n),alpha*fck),0)</f>
      </c>
    </row>
    <row r="769" spans="1:47" x14ac:dyDescent="0.25">
      <c r="A769">
        <f>Mesh!A766</f>
      </c>
      <c r="B769" s="12">
        <f>Mesh!B766</f>
      </c>
      <c r="C769" s="12">
        <f>Mesh!C766</f>
      </c>
      <c r="D769" s="12">
        <f>Mesh!D766</f>
      </c>
      <c r="E769" s="30">
        <f>INDEX(St_e0,Det+1)+INDEX(St_kx,Det+1)*C769+INDEX(St_ky,Det+1)*B769</f>
      </c>
      <c r="F769" s="12">
        <f>IF(E769&gt;0,IF(E769&lt;=eco,alpha*fck*(1-(1-E769/eco)^n),alpha*fck),0)</f>
      </c>
      <c r="G769" s="11">
        <f>F769*D769</f>
      </c>
      <c r="H769" s="11">
        <f>G769*C769</f>
      </c>
      <c r="I769" s="11">
        <f>G769*B769</f>
      </c>
      <c r="J769" s="30">
        <f>PM_Angle!$J$7+PM_Angle!$K$7*$C769+PM_Angle!$L$7*$B769</f>
      </c>
      <c r="K769" s="12">
        <f>IF(J769&gt;0,IF(J769&lt;=eco,alpha*fck*(1-(1-J769/eco)^n),alpha*fck),0)</f>
      </c>
      <c r="L769" s="30">
        <f>PM_Angle!$J$8+PM_Angle!$K$8*$C769+PM_Angle!$L$8*$B769</f>
      </c>
      <c r="M769" s="12">
        <f>IF(L769&gt;0,IF(L769&lt;=eco,alpha*fck*(1-(1-L769/eco)^n),alpha*fck),0)</f>
      </c>
      <c r="N769" s="30">
        <f>PM_Angle!$J$9+PM_Angle!$K$9*$C769+PM_Angle!$L$9*$B769</f>
      </c>
      <c r="O769" s="12">
        <f>IF(N769&gt;0,IF(N769&lt;=eco,alpha*fck*(1-(1-N769/eco)^n),alpha*fck),0)</f>
      </c>
      <c r="P769" s="30">
        <f>PM_Angle!$J$10+PM_Angle!$K$10*$C769+PM_Angle!$L$10*$B769</f>
      </c>
      <c r="Q769" s="12">
        <f>IF(P769&gt;0,IF(P769&lt;=eco,alpha*fck*(1-(1-P769/eco)^n),alpha*fck),0)</f>
      </c>
      <c r="R769" s="30">
        <f>PM_Angle!$J$11+PM_Angle!$K$11*$C769+PM_Angle!$L$11*$B769</f>
      </c>
      <c r="S769" s="12">
        <f>IF(R769&gt;0,IF(R769&lt;=eco,alpha*fck*(1-(1-R769/eco)^n),alpha*fck),0)</f>
      </c>
      <c r="T769" s="30">
        <f>PM_Angle!$J$12+PM_Angle!$K$12*$C769+PM_Angle!$L$12*$B769</f>
      </c>
      <c r="U769" s="12">
        <f>IF(T769&gt;0,IF(T769&lt;=eco,alpha*fck*(1-(1-T769/eco)^n),alpha*fck),0)</f>
      </c>
      <c r="V769" s="30">
        <f>PM_Angle!$J$13+PM_Angle!$K$13*$C769+PM_Angle!$L$13*$B769</f>
      </c>
      <c r="W769" s="12">
        <f>IF(V769&gt;0,IF(V769&lt;=eco,alpha*fck*(1-(1-V769/eco)^n),alpha*fck),0)</f>
      </c>
      <c r="X769" s="30">
        <f>PM_Angle!$J$14+PM_Angle!$K$14*$C769+PM_Angle!$L$14*$B769</f>
      </c>
      <c r="Y769" s="12">
        <f>IF(X769&gt;0,IF(X769&lt;=eco,alpha*fck*(1-(1-X769/eco)^n),alpha*fck),0)</f>
      </c>
      <c r="Z769" s="30">
        <f>PM_Angle!$J$15+PM_Angle!$K$15*$C769+PM_Angle!$L$15*$B769</f>
      </c>
      <c r="AA769" s="12">
        <f>IF(Z769&gt;0,IF(Z769&lt;=eco,alpha*fck*(1-(1-Z769/eco)^n),alpha*fck),0)</f>
      </c>
      <c r="AB769" s="30">
        <f>PM_Angle!$J$16+PM_Angle!$K$16*$C769+PM_Angle!$L$16*$B769</f>
      </c>
      <c r="AC769" s="12">
        <f>IF(AB769&gt;0,IF(AB769&lt;=eco,alpha*fck*(1-(1-AB769/eco)^n),alpha*fck),0)</f>
      </c>
      <c r="AD769" s="30">
        <f>PM_Angle!$J$17+PM_Angle!$K$17*$C769+PM_Angle!$L$17*$B769</f>
      </c>
      <c r="AE769" s="12">
        <f>IF(AD769&gt;0,IF(AD769&lt;=eco,alpha*fck*(1-(1-AD769/eco)^n),alpha*fck),0)</f>
      </c>
      <c r="AF769" s="30">
        <f>PM_Angle!$J$18+PM_Angle!$K$18*$C769+PM_Angle!$L$18*$B769</f>
      </c>
      <c r="AG769" s="12">
        <f>IF(AF769&gt;0,IF(AF769&lt;=eco,alpha*fck*(1-(1-AF769/eco)^n),alpha*fck),0)</f>
      </c>
      <c r="AH769" s="30">
        <f>PM_Angle!$J$19+PM_Angle!$K$19*$C769+PM_Angle!$L$19*$B769</f>
      </c>
      <c r="AI769" s="12">
        <f>IF(AH769&gt;0,IF(AH769&lt;=eco,alpha*fck*(1-(1-AH769/eco)^n),alpha*fck),0)</f>
      </c>
      <c r="AJ769" s="30">
        <f>PM_Angle!$J$20+PM_Angle!$K$20*$C769+PM_Angle!$L$20*$B769</f>
      </c>
      <c r="AK769" s="12">
        <f>IF(AJ769&gt;0,IF(AJ769&lt;=eco,alpha*fck*(1-(1-AJ769/eco)^n),alpha*fck),0)</f>
      </c>
      <c r="AL769" s="30">
        <f>PM_Angle!$J$21+PM_Angle!$K$21*$C769+PM_Angle!$L$21*$B769</f>
      </c>
      <c r="AM769" s="12">
        <f>IF(AL769&gt;0,IF(AL769&lt;=eco,alpha*fck*(1-(1-AL769/eco)^n),alpha*fck),0)</f>
      </c>
      <c r="AN769" s="30">
        <f>PM_Angle!$J$22+PM_Angle!$K$22*$C769+PM_Angle!$L$22*$B769</f>
      </c>
      <c r="AO769" s="12">
        <f>IF(AN769&gt;0,IF(AN769&lt;=eco,alpha*fck*(1-(1-AN769/eco)^n),alpha*fck),0)</f>
      </c>
      <c r="AP769" s="30">
        <f>PM_Angle!$J$23+PM_Angle!$K$23*$C769+PM_Angle!$L$23*$B769</f>
      </c>
      <c r="AQ769" s="12">
        <f>IF(AP769&gt;0,IF(AP769&lt;=eco,alpha*fck*(1-(1-AP769/eco)^n),alpha*fck),0)</f>
      </c>
      <c r="AR769" s="30">
        <f>PM_Angle!$J$24+PM_Angle!$K$24*$C769+PM_Angle!$L$24*$B769</f>
      </c>
      <c r="AS769" s="12">
        <f>IF(AR769&gt;0,IF(AR769&lt;=eco,alpha*fck*(1-(1-AR769/eco)^n),alpha*fck),0)</f>
      </c>
      <c r="AT769" s="30">
        <f>PM_Angle!$J$25+PM_Angle!$K$25*$C769+PM_Angle!$L$25*$B769</f>
      </c>
      <c r="AU769" s="12">
        <f>IF(AT769&gt;0,IF(AT769&lt;=eco,alpha*fck*(1-(1-AT769/eco)^n),alpha*fck),0)</f>
      </c>
    </row>
    <row r="770" spans="1:47" x14ac:dyDescent="0.25">
      <c r="A770">
        <f>Mesh!A767</f>
      </c>
      <c r="B770" s="12">
        <f>Mesh!B767</f>
      </c>
      <c r="C770" s="12">
        <f>Mesh!C767</f>
      </c>
      <c r="D770" s="12">
        <f>Mesh!D767</f>
      </c>
      <c r="E770" s="30">
        <f>INDEX(St_e0,Det+1)+INDEX(St_kx,Det+1)*C770+INDEX(St_ky,Det+1)*B770</f>
      </c>
      <c r="F770" s="12">
        <f>IF(E770&gt;0,IF(E770&lt;=eco,alpha*fck*(1-(1-E770/eco)^n),alpha*fck),0)</f>
      </c>
      <c r="G770" s="11">
        <f>F770*D770</f>
      </c>
      <c r="H770" s="11">
        <f>G770*C770</f>
      </c>
      <c r="I770" s="11">
        <f>G770*B770</f>
      </c>
      <c r="J770" s="30">
        <f>PM_Angle!$J$7+PM_Angle!$K$7*$C770+PM_Angle!$L$7*$B770</f>
      </c>
      <c r="K770" s="12">
        <f>IF(J770&gt;0,IF(J770&lt;=eco,alpha*fck*(1-(1-J770/eco)^n),alpha*fck),0)</f>
      </c>
      <c r="L770" s="30">
        <f>PM_Angle!$J$8+PM_Angle!$K$8*$C770+PM_Angle!$L$8*$B770</f>
      </c>
      <c r="M770" s="12">
        <f>IF(L770&gt;0,IF(L770&lt;=eco,alpha*fck*(1-(1-L770/eco)^n),alpha*fck),0)</f>
      </c>
      <c r="N770" s="30">
        <f>PM_Angle!$J$9+PM_Angle!$K$9*$C770+PM_Angle!$L$9*$B770</f>
      </c>
      <c r="O770" s="12">
        <f>IF(N770&gt;0,IF(N770&lt;=eco,alpha*fck*(1-(1-N770/eco)^n),alpha*fck),0)</f>
      </c>
      <c r="P770" s="30">
        <f>PM_Angle!$J$10+PM_Angle!$K$10*$C770+PM_Angle!$L$10*$B770</f>
      </c>
      <c r="Q770" s="12">
        <f>IF(P770&gt;0,IF(P770&lt;=eco,alpha*fck*(1-(1-P770/eco)^n),alpha*fck),0)</f>
      </c>
      <c r="R770" s="30">
        <f>PM_Angle!$J$11+PM_Angle!$K$11*$C770+PM_Angle!$L$11*$B770</f>
      </c>
      <c r="S770" s="12">
        <f>IF(R770&gt;0,IF(R770&lt;=eco,alpha*fck*(1-(1-R770/eco)^n),alpha*fck),0)</f>
      </c>
      <c r="T770" s="30">
        <f>PM_Angle!$J$12+PM_Angle!$K$12*$C770+PM_Angle!$L$12*$B770</f>
      </c>
      <c r="U770" s="12">
        <f>IF(T770&gt;0,IF(T770&lt;=eco,alpha*fck*(1-(1-T770/eco)^n),alpha*fck),0)</f>
      </c>
      <c r="V770" s="30">
        <f>PM_Angle!$J$13+PM_Angle!$K$13*$C770+PM_Angle!$L$13*$B770</f>
      </c>
      <c r="W770" s="12">
        <f>IF(V770&gt;0,IF(V770&lt;=eco,alpha*fck*(1-(1-V770/eco)^n),alpha*fck),0)</f>
      </c>
      <c r="X770" s="30">
        <f>PM_Angle!$J$14+PM_Angle!$K$14*$C770+PM_Angle!$L$14*$B770</f>
      </c>
      <c r="Y770" s="12">
        <f>IF(X770&gt;0,IF(X770&lt;=eco,alpha*fck*(1-(1-X770/eco)^n),alpha*fck),0)</f>
      </c>
      <c r="Z770" s="30">
        <f>PM_Angle!$J$15+PM_Angle!$K$15*$C770+PM_Angle!$L$15*$B770</f>
      </c>
      <c r="AA770" s="12">
        <f>IF(Z770&gt;0,IF(Z770&lt;=eco,alpha*fck*(1-(1-Z770/eco)^n),alpha*fck),0)</f>
      </c>
      <c r="AB770" s="30">
        <f>PM_Angle!$J$16+PM_Angle!$K$16*$C770+PM_Angle!$L$16*$B770</f>
      </c>
      <c r="AC770" s="12">
        <f>IF(AB770&gt;0,IF(AB770&lt;=eco,alpha*fck*(1-(1-AB770/eco)^n),alpha*fck),0)</f>
      </c>
      <c r="AD770" s="30">
        <f>PM_Angle!$J$17+PM_Angle!$K$17*$C770+PM_Angle!$L$17*$B770</f>
      </c>
      <c r="AE770" s="12">
        <f>IF(AD770&gt;0,IF(AD770&lt;=eco,alpha*fck*(1-(1-AD770/eco)^n),alpha*fck),0)</f>
      </c>
      <c r="AF770" s="30">
        <f>PM_Angle!$J$18+PM_Angle!$K$18*$C770+PM_Angle!$L$18*$B770</f>
      </c>
      <c r="AG770" s="12">
        <f>IF(AF770&gt;0,IF(AF770&lt;=eco,alpha*fck*(1-(1-AF770/eco)^n),alpha*fck),0)</f>
      </c>
      <c r="AH770" s="30">
        <f>PM_Angle!$J$19+PM_Angle!$K$19*$C770+PM_Angle!$L$19*$B770</f>
      </c>
      <c r="AI770" s="12">
        <f>IF(AH770&gt;0,IF(AH770&lt;=eco,alpha*fck*(1-(1-AH770/eco)^n),alpha*fck),0)</f>
      </c>
      <c r="AJ770" s="30">
        <f>PM_Angle!$J$20+PM_Angle!$K$20*$C770+PM_Angle!$L$20*$B770</f>
      </c>
      <c r="AK770" s="12">
        <f>IF(AJ770&gt;0,IF(AJ770&lt;=eco,alpha*fck*(1-(1-AJ770/eco)^n),alpha*fck),0)</f>
      </c>
      <c r="AL770" s="30">
        <f>PM_Angle!$J$21+PM_Angle!$K$21*$C770+PM_Angle!$L$21*$B770</f>
      </c>
      <c r="AM770" s="12">
        <f>IF(AL770&gt;0,IF(AL770&lt;=eco,alpha*fck*(1-(1-AL770/eco)^n),alpha*fck),0)</f>
      </c>
      <c r="AN770" s="30">
        <f>PM_Angle!$J$22+PM_Angle!$K$22*$C770+PM_Angle!$L$22*$B770</f>
      </c>
      <c r="AO770" s="12">
        <f>IF(AN770&gt;0,IF(AN770&lt;=eco,alpha*fck*(1-(1-AN770/eco)^n),alpha*fck),0)</f>
      </c>
      <c r="AP770" s="30">
        <f>PM_Angle!$J$23+PM_Angle!$K$23*$C770+PM_Angle!$L$23*$B770</f>
      </c>
      <c r="AQ770" s="12">
        <f>IF(AP770&gt;0,IF(AP770&lt;=eco,alpha*fck*(1-(1-AP770/eco)^n),alpha*fck),0)</f>
      </c>
      <c r="AR770" s="30">
        <f>PM_Angle!$J$24+PM_Angle!$K$24*$C770+PM_Angle!$L$24*$B770</f>
      </c>
      <c r="AS770" s="12">
        <f>IF(AR770&gt;0,IF(AR770&lt;=eco,alpha*fck*(1-(1-AR770/eco)^n),alpha*fck),0)</f>
      </c>
      <c r="AT770" s="30">
        <f>PM_Angle!$J$25+PM_Angle!$K$25*$C770+PM_Angle!$L$25*$B770</f>
      </c>
      <c r="AU770" s="12">
        <f>IF(AT770&gt;0,IF(AT770&lt;=eco,alpha*fck*(1-(1-AT770/eco)^n),alpha*fck),0)</f>
      </c>
    </row>
    <row r="771" spans="1:47" x14ac:dyDescent="0.25">
      <c r="A771">
        <f>Mesh!A768</f>
      </c>
      <c r="B771" s="12">
        <f>Mesh!B768</f>
      </c>
      <c r="C771" s="12">
        <f>Mesh!C768</f>
      </c>
      <c r="D771" s="12">
        <f>Mesh!D768</f>
      </c>
      <c r="E771" s="30">
        <f>INDEX(St_e0,Det+1)+INDEX(St_kx,Det+1)*C771+INDEX(St_ky,Det+1)*B771</f>
      </c>
      <c r="F771" s="12">
        <f>IF(E771&gt;0,IF(E771&lt;=eco,alpha*fck*(1-(1-E771/eco)^n),alpha*fck),0)</f>
      </c>
      <c r="G771" s="11">
        <f>F771*D771</f>
      </c>
      <c r="H771" s="11">
        <f>G771*C771</f>
      </c>
      <c r="I771" s="11">
        <f>G771*B771</f>
      </c>
      <c r="J771" s="30">
        <f>PM_Angle!$J$7+PM_Angle!$K$7*$C771+PM_Angle!$L$7*$B771</f>
      </c>
      <c r="K771" s="12">
        <f>IF(J771&gt;0,IF(J771&lt;=eco,alpha*fck*(1-(1-J771/eco)^n),alpha*fck),0)</f>
      </c>
      <c r="L771" s="30">
        <f>PM_Angle!$J$8+PM_Angle!$K$8*$C771+PM_Angle!$L$8*$B771</f>
      </c>
      <c r="M771" s="12">
        <f>IF(L771&gt;0,IF(L771&lt;=eco,alpha*fck*(1-(1-L771/eco)^n),alpha*fck),0)</f>
      </c>
      <c r="N771" s="30">
        <f>PM_Angle!$J$9+PM_Angle!$K$9*$C771+PM_Angle!$L$9*$B771</f>
      </c>
      <c r="O771" s="12">
        <f>IF(N771&gt;0,IF(N771&lt;=eco,alpha*fck*(1-(1-N771/eco)^n),alpha*fck),0)</f>
      </c>
      <c r="P771" s="30">
        <f>PM_Angle!$J$10+PM_Angle!$K$10*$C771+PM_Angle!$L$10*$B771</f>
      </c>
      <c r="Q771" s="12">
        <f>IF(P771&gt;0,IF(P771&lt;=eco,alpha*fck*(1-(1-P771/eco)^n),alpha*fck),0)</f>
      </c>
      <c r="R771" s="30">
        <f>PM_Angle!$J$11+PM_Angle!$K$11*$C771+PM_Angle!$L$11*$B771</f>
      </c>
      <c r="S771" s="12">
        <f>IF(R771&gt;0,IF(R771&lt;=eco,alpha*fck*(1-(1-R771/eco)^n),alpha*fck),0)</f>
      </c>
      <c r="T771" s="30">
        <f>PM_Angle!$J$12+PM_Angle!$K$12*$C771+PM_Angle!$L$12*$B771</f>
      </c>
      <c r="U771" s="12">
        <f>IF(T771&gt;0,IF(T771&lt;=eco,alpha*fck*(1-(1-T771/eco)^n),alpha*fck),0)</f>
      </c>
      <c r="V771" s="30">
        <f>PM_Angle!$J$13+PM_Angle!$K$13*$C771+PM_Angle!$L$13*$B771</f>
      </c>
      <c r="W771" s="12">
        <f>IF(V771&gt;0,IF(V771&lt;=eco,alpha*fck*(1-(1-V771/eco)^n),alpha*fck),0)</f>
      </c>
      <c r="X771" s="30">
        <f>PM_Angle!$J$14+PM_Angle!$K$14*$C771+PM_Angle!$L$14*$B771</f>
      </c>
      <c r="Y771" s="12">
        <f>IF(X771&gt;0,IF(X771&lt;=eco,alpha*fck*(1-(1-X771/eco)^n),alpha*fck),0)</f>
      </c>
      <c r="Z771" s="30">
        <f>PM_Angle!$J$15+PM_Angle!$K$15*$C771+PM_Angle!$L$15*$B771</f>
      </c>
      <c r="AA771" s="12">
        <f>IF(Z771&gt;0,IF(Z771&lt;=eco,alpha*fck*(1-(1-Z771/eco)^n),alpha*fck),0)</f>
      </c>
      <c r="AB771" s="30">
        <f>PM_Angle!$J$16+PM_Angle!$K$16*$C771+PM_Angle!$L$16*$B771</f>
      </c>
      <c r="AC771" s="12">
        <f>IF(AB771&gt;0,IF(AB771&lt;=eco,alpha*fck*(1-(1-AB771/eco)^n),alpha*fck),0)</f>
      </c>
      <c r="AD771" s="30">
        <f>PM_Angle!$J$17+PM_Angle!$K$17*$C771+PM_Angle!$L$17*$B771</f>
      </c>
      <c r="AE771" s="12">
        <f>IF(AD771&gt;0,IF(AD771&lt;=eco,alpha*fck*(1-(1-AD771/eco)^n),alpha*fck),0)</f>
      </c>
      <c r="AF771" s="30">
        <f>PM_Angle!$J$18+PM_Angle!$K$18*$C771+PM_Angle!$L$18*$B771</f>
      </c>
      <c r="AG771" s="12">
        <f>IF(AF771&gt;0,IF(AF771&lt;=eco,alpha*fck*(1-(1-AF771/eco)^n),alpha*fck),0)</f>
      </c>
      <c r="AH771" s="30">
        <f>PM_Angle!$J$19+PM_Angle!$K$19*$C771+PM_Angle!$L$19*$B771</f>
      </c>
      <c r="AI771" s="12">
        <f>IF(AH771&gt;0,IF(AH771&lt;=eco,alpha*fck*(1-(1-AH771/eco)^n),alpha*fck),0)</f>
      </c>
      <c r="AJ771" s="30">
        <f>PM_Angle!$J$20+PM_Angle!$K$20*$C771+PM_Angle!$L$20*$B771</f>
      </c>
      <c r="AK771" s="12">
        <f>IF(AJ771&gt;0,IF(AJ771&lt;=eco,alpha*fck*(1-(1-AJ771/eco)^n),alpha*fck),0)</f>
      </c>
      <c r="AL771" s="30">
        <f>PM_Angle!$J$21+PM_Angle!$K$21*$C771+PM_Angle!$L$21*$B771</f>
      </c>
      <c r="AM771" s="12">
        <f>IF(AL771&gt;0,IF(AL771&lt;=eco,alpha*fck*(1-(1-AL771/eco)^n),alpha*fck),0)</f>
      </c>
      <c r="AN771" s="30">
        <f>PM_Angle!$J$22+PM_Angle!$K$22*$C771+PM_Angle!$L$22*$B771</f>
      </c>
      <c r="AO771" s="12">
        <f>IF(AN771&gt;0,IF(AN771&lt;=eco,alpha*fck*(1-(1-AN771/eco)^n),alpha*fck),0)</f>
      </c>
      <c r="AP771" s="30">
        <f>PM_Angle!$J$23+PM_Angle!$K$23*$C771+PM_Angle!$L$23*$B771</f>
      </c>
      <c r="AQ771" s="12">
        <f>IF(AP771&gt;0,IF(AP771&lt;=eco,alpha*fck*(1-(1-AP771/eco)^n),alpha*fck),0)</f>
      </c>
      <c r="AR771" s="30">
        <f>PM_Angle!$J$24+PM_Angle!$K$24*$C771+PM_Angle!$L$24*$B771</f>
      </c>
      <c r="AS771" s="12">
        <f>IF(AR771&gt;0,IF(AR771&lt;=eco,alpha*fck*(1-(1-AR771/eco)^n),alpha*fck),0)</f>
      </c>
      <c r="AT771" s="30">
        <f>PM_Angle!$J$25+PM_Angle!$K$25*$C771+PM_Angle!$L$25*$B771</f>
      </c>
      <c r="AU771" s="12">
        <f>IF(AT771&gt;0,IF(AT771&lt;=eco,alpha*fck*(1-(1-AT771/eco)^n),alpha*fck),0)</f>
      </c>
    </row>
    <row r="772" spans="1:47" x14ac:dyDescent="0.25">
      <c r="A772">
        <f>Mesh!A769</f>
      </c>
      <c r="B772" s="12">
        <f>Mesh!B769</f>
      </c>
      <c r="C772" s="12">
        <f>Mesh!C769</f>
      </c>
      <c r="D772" s="12">
        <f>Mesh!D769</f>
      </c>
      <c r="E772" s="30">
        <f>INDEX(St_e0,Det+1)+INDEX(St_kx,Det+1)*C772+INDEX(St_ky,Det+1)*B772</f>
      </c>
      <c r="F772" s="12">
        <f>IF(E772&gt;0,IF(E772&lt;=eco,alpha*fck*(1-(1-E772/eco)^n),alpha*fck),0)</f>
      </c>
      <c r="G772" s="11">
        <f>F772*D772</f>
      </c>
      <c r="H772" s="11">
        <f>G772*C772</f>
      </c>
      <c r="I772" s="11">
        <f>G772*B772</f>
      </c>
      <c r="J772" s="30">
        <f>PM_Angle!$J$7+PM_Angle!$K$7*$C772+PM_Angle!$L$7*$B772</f>
      </c>
      <c r="K772" s="12">
        <f>IF(J772&gt;0,IF(J772&lt;=eco,alpha*fck*(1-(1-J772/eco)^n),alpha*fck),0)</f>
      </c>
      <c r="L772" s="30">
        <f>PM_Angle!$J$8+PM_Angle!$K$8*$C772+PM_Angle!$L$8*$B772</f>
      </c>
      <c r="M772" s="12">
        <f>IF(L772&gt;0,IF(L772&lt;=eco,alpha*fck*(1-(1-L772/eco)^n),alpha*fck),0)</f>
      </c>
      <c r="N772" s="30">
        <f>PM_Angle!$J$9+PM_Angle!$K$9*$C772+PM_Angle!$L$9*$B772</f>
      </c>
      <c r="O772" s="12">
        <f>IF(N772&gt;0,IF(N772&lt;=eco,alpha*fck*(1-(1-N772/eco)^n),alpha*fck),0)</f>
      </c>
      <c r="P772" s="30">
        <f>PM_Angle!$J$10+PM_Angle!$K$10*$C772+PM_Angle!$L$10*$B772</f>
      </c>
      <c r="Q772" s="12">
        <f>IF(P772&gt;0,IF(P772&lt;=eco,alpha*fck*(1-(1-P772/eco)^n),alpha*fck),0)</f>
      </c>
      <c r="R772" s="30">
        <f>PM_Angle!$J$11+PM_Angle!$K$11*$C772+PM_Angle!$L$11*$B772</f>
      </c>
      <c r="S772" s="12">
        <f>IF(R772&gt;0,IF(R772&lt;=eco,alpha*fck*(1-(1-R772/eco)^n),alpha*fck),0)</f>
      </c>
      <c r="T772" s="30">
        <f>PM_Angle!$J$12+PM_Angle!$K$12*$C772+PM_Angle!$L$12*$B772</f>
      </c>
      <c r="U772" s="12">
        <f>IF(T772&gt;0,IF(T772&lt;=eco,alpha*fck*(1-(1-T772/eco)^n),alpha*fck),0)</f>
      </c>
      <c r="V772" s="30">
        <f>PM_Angle!$J$13+PM_Angle!$K$13*$C772+PM_Angle!$L$13*$B772</f>
      </c>
      <c r="W772" s="12">
        <f>IF(V772&gt;0,IF(V772&lt;=eco,alpha*fck*(1-(1-V772/eco)^n),alpha*fck),0)</f>
      </c>
      <c r="X772" s="30">
        <f>PM_Angle!$J$14+PM_Angle!$K$14*$C772+PM_Angle!$L$14*$B772</f>
      </c>
      <c r="Y772" s="12">
        <f>IF(X772&gt;0,IF(X772&lt;=eco,alpha*fck*(1-(1-X772/eco)^n),alpha*fck),0)</f>
      </c>
      <c r="Z772" s="30">
        <f>PM_Angle!$J$15+PM_Angle!$K$15*$C772+PM_Angle!$L$15*$B772</f>
      </c>
      <c r="AA772" s="12">
        <f>IF(Z772&gt;0,IF(Z772&lt;=eco,alpha*fck*(1-(1-Z772/eco)^n),alpha*fck),0)</f>
      </c>
      <c r="AB772" s="30">
        <f>PM_Angle!$J$16+PM_Angle!$K$16*$C772+PM_Angle!$L$16*$B772</f>
      </c>
      <c r="AC772" s="12">
        <f>IF(AB772&gt;0,IF(AB772&lt;=eco,alpha*fck*(1-(1-AB772/eco)^n),alpha*fck),0)</f>
      </c>
      <c r="AD772" s="30">
        <f>PM_Angle!$J$17+PM_Angle!$K$17*$C772+PM_Angle!$L$17*$B772</f>
      </c>
      <c r="AE772" s="12">
        <f>IF(AD772&gt;0,IF(AD772&lt;=eco,alpha*fck*(1-(1-AD772/eco)^n),alpha*fck),0)</f>
      </c>
      <c r="AF772" s="30">
        <f>PM_Angle!$J$18+PM_Angle!$K$18*$C772+PM_Angle!$L$18*$B772</f>
      </c>
      <c r="AG772" s="12">
        <f>IF(AF772&gt;0,IF(AF772&lt;=eco,alpha*fck*(1-(1-AF772/eco)^n),alpha*fck),0)</f>
      </c>
      <c r="AH772" s="30">
        <f>PM_Angle!$J$19+PM_Angle!$K$19*$C772+PM_Angle!$L$19*$B772</f>
      </c>
      <c r="AI772" s="12">
        <f>IF(AH772&gt;0,IF(AH772&lt;=eco,alpha*fck*(1-(1-AH772/eco)^n),alpha*fck),0)</f>
      </c>
      <c r="AJ772" s="30">
        <f>PM_Angle!$J$20+PM_Angle!$K$20*$C772+PM_Angle!$L$20*$B772</f>
      </c>
      <c r="AK772" s="12">
        <f>IF(AJ772&gt;0,IF(AJ772&lt;=eco,alpha*fck*(1-(1-AJ772/eco)^n),alpha*fck),0)</f>
      </c>
      <c r="AL772" s="30">
        <f>PM_Angle!$J$21+PM_Angle!$K$21*$C772+PM_Angle!$L$21*$B772</f>
      </c>
      <c r="AM772" s="12">
        <f>IF(AL772&gt;0,IF(AL772&lt;=eco,alpha*fck*(1-(1-AL772/eco)^n),alpha*fck),0)</f>
      </c>
      <c r="AN772" s="30">
        <f>PM_Angle!$J$22+PM_Angle!$K$22*$C772+PM_Angle!$L$22*$B772</f>
      </c>
      <c r="AO772" s="12">
        <f>IF(AN772&gt;0,IF(AN772&lt;=eco,alpha*fck*(1-(1-AN772/eco)^n),alpha*fck),0)</f>
      </c>
      <c r="AP772" s="30">
        <f>PM_Angle!$J$23+PM_Angle!$K$23*$C772+PM_Angle!$L$23*$B772</f>
      </c>
      <c r="AQ772" s="12">
        <f>IF(AP772&gt;0,IF(AP772&lt;=eco,alpha*fck*(1-(1-AP772/eco)^n),alpha*fck),0)</f>
      </c>
      <c r="AR772" s="30">
        <f>PM_Angle!$J$24+PM_Angle!$K$24*$C772+PM_Angle!$L$24*$B772</f>
      </c>
      <c r="AS772" s="12">
        <f>IF(AR772&gt;0,IF(AR772&lt;=eco,alpha*fck*(1-(1-AR772/eco)^n),alpha*fck),0)</f>
      </c>
      <c r="AT772" s="30">
        <f>PM_Angle!$J$25+PM_Angle!$K$25*$C772+PM_Angle!$L$25*$B772</f>
      </c>
      <c r="AU772" s="12">
        <f>IF(AT772&gt;0,IF(AT772&lt;=eco,alpha*fck*(1-(1-AT772/eco)^n),alpha*fck),0)</f>
      </c>
    </row>
    <row r="773" spans="1:47" x14ac:dyDescent="0.25">
      <c r="A773">
        <f>Mesh!A770</f>
      </c>
      <c r="B773" s="12">
        <f>Mesh!B770</f>
      </c>
      <c r="C773" s="12">
        <f>Mesh!C770</f>
      </c>
      <c r="D773" s="12">
        <f>Mesh!D770</f>
      </c>
      <c r="E773" s="30">
        <f>INDEX(St_e0,Det+1)+INDEX(St_kx,Det+1)*C773+INDEX(St_ky,Det+1)*B773</f>
      </c>
      <c r="F773" s="12">
        <f>IF(E773&gt;0,IF(E773&lt;=eco,alpha*fck*(1-(1-E773/eco)^n),alpha*fck),0)</f>
      </c>
      <c r="G773" s="11">
        <f>F773*D773</f>
      </c>
      <c r="H773" s="11">
        <f>G773*C773</f>
      </c>
      <c r="I773" s="11">
        <f>G773*B773</f>
      </c>
      <c r="J773" s="30">
        <f>PM_Angle!$J$7+PM_Angle!$K$7*$C773+PM_Angle!$L$7*$B773</f>
      </c>
      <c r="K773" s="12">
        <f>IF(J773&gt;0,IF(J773&lt;=eco,alpha*fck*(1-(1-J773/eco)^n),alpha*fck),0)</f>
      </c>
      <c r="L773" s="30">
        <f>PM_Angle!$J$8+PM_Angle!$K$8*$C773+PM_Angle!$L$8*$B773</f>
      </c>
      <c r="M773" s="12">
        <f>IF(L773&gt;0,IF(L773&lt;=eco,alpha*fck*(1-(1-L773/eco)^n),alpha*fck),0)</f>
      </c>
      <c r="N773" s="30">
        <f>PM_Angle!$J$9+PM_Angle!$K$9*$C773+PM_Angle!$L$9*$B773</f>
      </c>
      <c r="O773" s="12">
        <f>IF(N773&gt;0,IF(N773&lt;=eco,alpha*fck*(1-(1-N773/eco)^n),alpha*fck),0)</f>
      </c>
      <c r="P773" s="30">
        <f>PM_Angle!$J$10+PM_Angle!$K$10*$C773+PM_Angle!$L$10*$B773</f>
      </c>
      <c r="Q773" s="12">
        <f>IF(P773&gt;0,IF(P773&lt;=eco,alpha*fck*(1-(1-P773/eco)^n),alpha*fck),0)</f>
      </c>
      <c r="R773" s="30">
        <f>PM_Angle!$J$11+PM_Angle!$K$11*$C773+PM_Angle!$L$11*$B773</f>
      </c>
      <c r="S773" s="12">
        <f>IF(R773&gt;0,IF(R773&lt;=eco,alpha*fck*(1-(1-R773/eco)^n),alpha*fck),0)</f>
      </c>
      <c r="T773" s="30">
        <f>PM_Angle!$J$12+PM_Angle!$K$12*$C773+PM_Angle!$L$12*$B773</f>
      </c>
      <c r="U773" s="12">
        <f>IF(T773&gt;0,IF(T773&lt;=eco,alpha*fck*(1-(1-T773/eco)^n),alpha*fck),0)</f>
      </c>
      <c r="V773" s="30">
        <f>PM_Angle!$J$13+PM_Angle!$K$13*$C773+PM_Angle!$L$13*$B773</f>
      </c>
      <c r="W773" s="12">
        <f>IF(V773&gt;0,IF(V773&lt;=eco,alpha*fck*(1-(1-V773/eco)^n),alpha*fck),0)</f>
      </c>
      <c r="X773" s="30">
        <f>PM_Angle!$J$14+PM_Angle!$K$14*$C773+PM_Angle!$L$14*$B773</f>
      </c>
      <c r="Y773" s="12">
        <f>IF(X773&gt;0,IF(X773&lt;=eco,alpha*fck*(1-(1-X773/eco)^n),alpha*fck),0)</f>
      </c>
      <c r="Z773" s="30">
        <f>PM_Angle!$J$15+PM_Angle!$K$15*$C773+PM_Angle!$L$15*$B773</f>
      </c>
      <c r="AA773" s="12">
        <f>IF(Z773&gt;0,IF(Z773&lt;=eco,alpha*fck*(1-(1-Z773/eco)^n),alpha*fck),0)</f>
      </c>
      <c r="AB773" s="30">
        <f>PM_Angle!$J$16+PM_Angle!$K$16*$C773+PM_Angle!$L$16*$B773</f>
      </c>
      <c r="AC773" s="12">
        <f>IF(AB773&gt;0,IF(AB773&lt;=eco,alpha*fck*(1-(1-AB773/eco)^n),alpha*fck),0)</f>
      </c>
      <c r="AD773" s="30">
        <f>PM_Angle!$J$17+PM_Angle!$K$17*$C773+PM_Angle!$L$17*$B773</f>
      </c>
      <c r="AE773" s="12">
        <f>IF(AD773&gt;0,IF(AD773&lt;=eco,alpha*fck*(1-(1-AD773/eco)^n),alpha*fck),0)</f>
      </c>
      <c r="AF773" s="30">
        <f>PM_Angle!$J$18+PM_Angle!$K$18*$C773+PM_Angle!$L$18*$B773</f>
      </c>
      <c r="AG773" s="12">
        <f>IF(AF773&gt;0,IF(AF773&lt;=eco,alpha*fck*(1-(1-AF773/eco)^n),alpha*fck),0)</f>
      </c>
      <c r="AH773" s="30">
        <f>PM_Angle!$J$19+PM_Angle!$K$19*$C773+PM_Angle!$L$19*$B773</f>
      </c>
      <c r="AI773" s="12">
        <f>IF(AH773&gt;0,IF(AH773&lt;=eco,alpha*fck*(1-(1-AH773/eco)^n),alpha*fck),0)</f>
      </c>
      <c r="AJ773" s="30">
        <f>PM_Angle!$J$20+PM_Angle!$K$20*$C773+PM_Angle!$L$20*$B773</f>
      </c>
      <c r="AK773" s="12">
        <f>IF(AJ773&gt;0,IF(AJ773&lt;=eco,alpha*fck*(1-(1-AJ773/eco)^n),alpha*fck),0)</f>
      </c>
      <c r="AL773" s="30">
        <f>PM_Angle!$J$21+PM_Angle!$K$21*$C773+PM_Angle!$L$21*$B773</f>
      </c>
      <c r="AM773" s="12">
        <f>IF(AL773&gt;0,IF(AL773&lt;=eco,alpha*fck*(1-(1-AL773/eco)^n),alpha*fck),0)</f>
      </c>
      <c r="AN773" s="30">
        <f>PM_Angle!$J$22+PM_Angle!$K$22*$C773+PM_Angle!$L$22*$B773</f>
      </c>
      <c r="AO773" s="12">
        <f>IF(AN773&gt;0,IF(AN773&lt;=eco,alpha*fck*(1-(1-AN773/eco)^n),alpha*fck),0)</f>
      </c>
      <c r="AP773" s="30">
        <f>PM_Angle!$J$23+PM_Angle!$K$23*$C773+PM_Angle!$L$23*$B773</f>
      </c>
      <c r="AQ773" s="12">
        <f>IF(AP773&gt;0,IF(AP773&lt;=eco,alpha*fck*(1-(1-AP773/eco)^n),alpha*fck),0)</f>
      </c>
      <c r="AR773" s="30">
        <f>PM_Angle!$J$24+PM_Angle!$K$24*$C773+PM_Angle!$L$24*$B773</f>
      </c>
      <c r="AS773" s="12">
        <f>IF(AR773&gt;0,IF(AR773&lt;=eco,alpha*fck*(1-(1-AR773/eco)^n),alpha*fck),0)</f>
      </c>
      <c r="AT773" s="30">
        <f>PM_Angle!$J$25+PM_Angle!$K$25*$C773+PM_Angle!$L$25*$B773</f>
      </c>
      <c r="AU773" s="12">
        <f>IF(AT773&gt;0,IF(AT773&lt;=eco,alpha*fck*(1-(1-AT773/eco)^n),alpha*fck),0)</f>
      </c>
    </row>
    <row r="774" spans="1:47" x14ac:dyDescent="0.25">
      <c r="A774">
        <f>Mesh!A771</f>
      </c>
      <c r="B774" s="12">
        <f>Mesh!B771</f>
      </c>
      <c r="C774" s="12">
        <f>Mesh!C771</f>
      </c>
      <c r="D774" s="12">
        <f>Mesh!D771</f>
      </c>
      <c r="E774" s="30">
        <f>INDEX(St_e0,Det+1)+INDEX(St_kx,Det+1)*C774+INDEX(St_ky,Det+1)*B774</f>
      </c>
      <c r="F774" s="12">
        <f>IF(E774&gt;0,IF(E774&lt;=eco,alpha*fck*(1-(1-E774/eco)^n),alpha*fck),0)</f>
      </c>
      <c r="G774" s="11">
        <f>F774*D774</f>
      </c>
      <c r="H774" s="11">
        <f>G774*C774</f>
      </c>
      <c r="I774" s="11">
        <f>G774*B774</f>
      </c>
      <c r="J774" s="30">
        <f>PM_Angle!$J$7+PM_Angle!$K$7*$C774+PM_Angle!$L$7*$B774</f>
      </c>
      <c r="K774" s="12">
        <f>IF(J774&gt;0,IF(J774&lt;=eco,alpha*fck*(1-(1-J774/eco)^n),alpha*fck),0)</f>
      </c>
      <c r="L774" s="30">
        <f>PM_Angle!$J$8+PM_Angle!$K$8*$C774+PM_Angle!$L$8*$B774</f>
      </c>
      <c r="M774" s="12">
        <f>IF(L774&gt;0,IF(L774&lt;=eco,alpha*fck*(1-(1-L774/eco)^n),alpha*fck),0)</f>
      </c>
      <c r="N774" s="30">
        <f>PM_Angle!$J$9+PM_Angle!$K$9*$C774+PM_Angle!$L$9*$B774</f>
      </c>
      <c r="O774" s="12">
        <f>IF(N774&gt;0,IF(N774&lt;=eco,alpha*fck*(1-(1-N774/eco)^n),alpha*fck),0)</f>
      </c>
      <c r="P774" s="30">
        <f>PM_Angle!$J$10+PM_Angle!$K$10*$C774+PM_Angle!$L$10*$B774</f>
      </c>
      <c r="Q774" s="12">
        <f>IF(P774&gt;0,IF(P774&lt;=eco,alpha*fck*(1-(1-P774/eco)^n),alpha*fck),0)</f>
      </c>
      <c r="R774" s="30">
        <f>PM_Angle!$J$11+PM_Angle!$K$11*$C774+PM_Angle!$L$11*$B774</f>
      </c>
      <c r="S774" s="12">
        <f>IF(R774&gt;0,IF(R774&lt;=eco,alpha*fck*(1-(1-R774/eco)^n),alpha*fck),0)</f>
      </c>
      <c r="T774" s="30">
        <f>PM_Angle!$J$12+PM_Angle!$K$12*$C774+PM_Angle!$L$12*$B774</f>
      </c>
      <c r="U774" s="12">
        <f>IF(T774&gt;0,IF(T774&lt;=eco,alpha*fck*(1-(1-T774/eco)^n),alpha*fck),0)</f>
      </c>
      <c r="V774" s="30">
        <f>PM_Angle!$J$13+PM_Angle!$K$13*$C774+PM_Angle!$L$13*$B774</f>
      </c>
      <c r="W774" s="12">
        <f>IF(V774&gt;0,IF(V774&lt;=eco,alpha*fck*(1-(1-V774/eco)^n),alpha*fck),0)</f>
      </c>
      <c r="X774" s="30">
        <f>PM_Angle!$J$14+PM_Angle!$K$14*$C774+PM_Angle!$L$14*$B774</f>
      </c>
      <c r="Y774" s="12">
        <f>IF(X774&gt;0,IF(X774&lt;=eco,alpha*fck*(1-(1-X774/eco)^n),alpha*fck),0)</f>
      </c>
      <c r="Z774" s="30">
        <f>PM_Angle!$J$15+PM_Angle!$K$15*$C774+PM_Angle!$L$15*$B774</f>
      </c>
      <c r="AA774" s="12">
        <f>IF(Z774&gt;0,IF(Z774&lt;=eco,alpha*fck*(1-(1-Z774/eco)^n),alpha*fck),0)</f>
      </c>
      <c r="AB774" s="30">
        <f>PM_Angle!$J$16+PM_Angle!$K$16*$C774+PM_Angle!$L$16*$B774</f>
      </c>
      <c r="AC774" s="12">
        <f>IF(AB774&gt;0,IF(AB774&lt;=eco,alpha*fck*(1-(1-AB774/eco)^n),alpha*fck),0)</f>
      </c>
      <c r="AD774" s="30">
        <f>PM_Angle!$J$17+PM_Angle!$K$17*$C774+PM_Angle!$L$17*$B774</f>
      </c>
      <c r="AE774" s="12">
        <f>IF(AD774&gt;0,IF(AD774&lt;=eco,alpha*fck*(1-(1-AD774/eco)^n),alpha*fck),0)</f>
      </c>
      <c r="AF774" s="30">
        <f>PM_Angle!$J$18+PM_Angle!$K$18*$C774+PM_Angle!$L$18*$B774</f>
      </c>
      <c r="AG774" s="12">
        <f>IF(AF774&gt;0,IF(AF774&lt;=eco,alpha*fck*(1-(1-AF774/eco)^n),alpha*fck),0)</f>
      </c>
      <c r="AH774" s="30">
        <f>PM_Angle!$J$19+PM_Angle!$K$19*$C774+PM_Angle!$L$19*$B774</f>
      </c>
      <c r="AI774" s="12">
        <f>IF(AH774&gt;0,IF(AH774&lt;=eco,alpha*fck*(1-(1-AH774/eco)^n),alpha*fck),0)</f>
      </c>
      <c r="AJ774" s="30">
        <f>PM_Angle!$J$20+PM_Angle!$K$20*$C774+PM_Angle!$L$20*$B774</f>
      </c>
      <c r="AK774" s="12">
        <f>IF(AJ774&gt;0,IF(AJ774&lt;=eco,alpha*fck*(1-(1-AJ774/eco)^n),alpha*fck),0)</f>
      </c>
      <c r="AL774" s="30">
        <f>PM_Angle!$J$21+PM_Angle!$K$21*$C774+PM_Angle!$L$21*$B774</f>
      </c>
      <c r="AM774" s="12">
        <f>IF(AL774&gt;0,IF(AL774&lt;=eco,alpha*fck*(1-(1-AL774/eco)^n),alpha*fck),0)</f>
      </c>
      <c r="AN774" s="30">
        <f>PM_Angle!$J$22+PM_Angle!$K$22*$C774+PM_Angle!$L$22*$B774</f>
      </c>
      <c r="AO774" s="12">
        <f>IF(AN774&gt;0,IF(AN774&lt;=eco,alpha*fck*(1-(1-AN774/eco)^n),alpha*fck),0)</f>
      </c>
      <c r="AP774" s="30">
        <f>PM_Angle!$J$23+PM_Angle!$K$23*$C774+PM_Angle!$L$23*$B774</f>
      </c>
      <c r="AQ774" s="12">
        <f>IF(AP774&gt;0,IF(AP774&lt;=eco,alpha*fck*(1-(1-AP774/eco)^n),alpha*fck),0)</f>
      </c>
      <c r="AR774" s="30">
        <f>PM_Angle!$J$24+PM_Angle!$K$24*$C774+PM_Angle!$L$24*$B774</f>
      </c>
      <c r="AS774" s="12">
        <f>IF(AR774&gt;0,IF(AR774&lt;=eco,alpha*fck*(1-(1-AR774/eco)^n),alpha*fck),0)</f>
      </c>
      <c r="AT774" s="30">
        <f>PM_Angle!$J$25+PM_Angle!$K$25*$C774+PM_Angle!$L$25*$B774</f>
      </c>
      <c r="AU774" s="12">
        <f>IF(AT774&gt;0,IF(AT774&lt;=eco,alpha*fck*(1-(1-AT774/eco)^n),alpha*fck),0)</f>
      </c>
    </row>
    <row r="775" spans="1:47" x14ac:dyDescent="0.25">
      <c r="A775">
        <f>Mesh!A772</f>
      </c>
      <c r="B775" s="12">
        <f>Mesh!B772</f>
      </c>
      <c r="C775" s="12">
        <f>Mesh!C772</f>
      </c>
      <c r="D775" s="12">
        <f>Mesh!D772</f>
      </c>
      <c r="E775" s="30">
        <f>INDEX(St_e0,Det+1)+INDEX(St_kx,Det+1)*C775+INDEX(St_ky,Det+1)*B775</f>
      </c>
      <c r="F775" s="12">
        <f>IF(E775&gt;0,IF(E775&lt;=eco,alpha*fck*(1-(1-E775/eco)^n),alpha*fck),0)</f>
      </c>
      <c r="G775" s="11">
        <f>F775*D775</f>
      </c>
      <c r="H775" s="11">
        <f>G775*C775</f>
      </c>
      <c r="I775" s="11">
        <f>G775*B775</f>
      </c>
      <c r="J775" s="30">
        <f>PM_Angle!$J$7+PM_Angle!$K$7*$C775+PM_Angle!$L$7*$B775</f>
      </c>
      <c r="K775" s="12">
        <f>IF(J775&gt;0,IF(J775&lt;=eco,alpha*fck*(1-(1-J775/eco)^n),alpha*fck),0)</f>
      </c>
      <c r="L775" s="30">
        <f>PM_Angle!$J$8+PM_Angle!$K$8*$C775+PM_Angle!$L$8*$B775</f>
      </c>
      <c r="M775" s="12">
        <f>IF(L775&gt;0,IF(L775&lt;=eco,alpha*fck*(1-(1-L775/eco)^n),alpha*fck),0)</f>
      </c>
      <c r="N775" s="30">
        <f>PM_Angle!$J$9+PM_Angle!$K$9*$C775+PM_Angle!$L$9*$B775</f>
      </c>
      <c r="O775" s="12">
        <f>IF(N775&gt;0,IF(N775&lt;=eco,alpha*fck*(1-(1-N775/eco)^n),alpha*fck),0)</f>
      </c>
      <c r="P775" s="30">
        <f>PM_Angle!$J$10+PM_Angle!$K$10*$C775+PM_Angle!$L$10*$B775</f>
      </c>
      <c r="Q775" s="12">
        <f>IF(P775&gt;0,IF(P775&lt;=eco,alpha*fck*(1-(1-P775/eco)^n),alpha*fck),0)</f>
      </c>
      <c r="R775" s="30">
        <f>PM_Angle!$J$11+PM_Angle!$K$11*$C775+PM_Angle!$L$11*$B775</f>
      </c>
      <c r="S775" s="12">
        <f>IF(R775&gt;0,IF(R775&lt;=eco,alpha*fck*(1-(1-R775/eco)^n),alpha*fck),0)</f>
      </c>
      <c r="T775" s="30">
        <f>PM_Angle!$J$12+PM_Angle!$K$12*$C775+PM_Angle!$L$12*$B775</f>
      </c>
      <c r="U775" s="12">
        <f>IF(T775&gt;0,IF(T775&lt;=eco,alpha*fck*(1-(1-T775/eco)^n),alpha*fck),0)</f>
      </c>
      <c r="V775" s="30">
        <f>PM_Angle!$J$13+PM_Angle!$K$13*$C775+PM_Angle!$L$13*$B775</f>
      </c>
      <c r="W775" s="12">
        <f>IF(V775&gt;0,IF(V775&lt;=eco,alpha*fck*(1-(1-V775/eco)^n),alpha*fck),0)</f>
      </c>
      <c r="X775" s="30">
        <f>PM_Angle!$J$14+PM_Angle!$K$14*$C775+PM_Angle!$L$14*$B775</f>
      </c>
      <c r="Y775" s="12">
        <f>IF(X775&gt;0,IF(X775&lt;=eco,alpha*fck*(1-(1-X775/eco)^n),alpha*fck),0)</f>
      </c>
      <c r="Z775" s="30">
        <f>PM_Angle!$J$15+PM_Angle!$K$15*$C775+PM_Angle!$L$15*$B775</f>
      </c>
      <c r="AA775" s="12">
        <f>IF(Z775&gt;0,IF(Z775&lt;=eco,alpha*fck*(1-(1-Z775/eco)^n),alpha*fck),0)</f>
      </c>
      <c r="AB775" s="30">
        <f>PM_Angle!$J$16+PM_Angle!$K$16*$C775+PM_Angle!$L$16*$B775</f>
      </c>
      <c r="AC775" s="12">
        <f>IF(AB775&gt;0,IF(AB775&lt;=eco,alpha*fck*(1-(1-AB775/eco)^n),alpha*fck),0)</f>
      </c>
      <c r="AD775" s="30">
        <f>PM_Angle!$J$17+PM_Angle!$K$17*$C775+PM_Angle!$L$17*$B775</f>
      </c>
      <c r="AE775" s="12">
        <f>IF(AD775&gt;0,IF(AD775&lt;=eco,alpha*fck*(1-(1-AD775/eco)^n),alpha*fck),0)</f>
      </c>
      <c r="AF775" s="30">
        <f>PM_Angle!$J$18+PM_Angle!$K$18*$C775+PM_Angle!$L$18*$B775</f>
      </c>
      <c r="AG775" s="12">
        <f>IF(AF775&gt;0,IF(AF775&lt;=eco,alpha*fck*(1-(1-AF775/eco)^n),alpha*fck),0)</f>
      </c>
      <c r="AH775" s="30">
        <f>PM_Angle!$J$19+PM_Angle!$K$19*$C775+PM_Angle!$L$19*$B775</f>
      </c>
      <c r="AI775" s="12">
        <f>IF(AH775&gt;0,IF(AH775&lt;=eco,alpha*fck*(1-(1-AH775/eco)^n),alpha*fck),0)</f>
      </c>
      <c r="AJ775" s="30">
        <f>PM_Angle!$J$20+PM_Angle!$K$20*$C775+PM_Angle!$L$20*$B775</f>
      </c>
      <c r="AK775" s="12">
        <f>IF(AJ775&gt;0,IF(AJ775&lt;=eco,alpha*fck*(1-(1-AJ775/eco)^n),alpha*fck),0)</f>
      </c>
      <c r="AL775" s="30">
        <f>PM_Angle!$J$21+PM_Angle!$K$21*$C775+PM_Angle!$L$21*$B775</f>
      </c>
      <c r="AM775" s="12">
        <f>IF(AL775&gt;0,IF(AL775&lt;=eco,alpha*fck*(1-(1-AL775/eco)^n),alpha*fck),0)</f>
      </c>
      <c r="AN775" s="30">
        <f>PM_Angle!$J$22+PM_Angle!$K$22*$C775+PM_Angle!$L$22*$B775</f>
      </c>
      <c r="AO775" s="12">
        <f>IF(AN775&gt;0,IF(AN775&lt;=eco,alpha*fck*(1-(1-AN775/eco)^n),alpha*fck),0)</f>
      </c>
      <c r="AP775" s="30">
        <f>PM_Angle!$J$23+PM_Angle!$K$23*$C775+PM_Angle!$L$23*$B775</f>
      </c>
      <c r="AQ775" s="12">
        <f>IF(AP775&gt;0,IF(AP775&lt;=eco,alpha*fck*(1-(1-AP775/eco)^n),alpha*fck),0)</f>
      </c>
      <c r="AR775" s="30">
        <f>PM_Angle!$J$24+PM_Angle!$K$24*$C775+PM_Angle!$L$24*$B775</f>
      </c>
      <c r="AS775" s="12">
        <f>IF(AR775&gt;0,IF(AR775&lt;=eco,alpha*fck*(1-(1-AR775/eco)^n),alpha*fck),0)</f>
      </c>
      <c r="AT775" s="30">
        <f>PM_Angle!$J$25+PM_Angle!$K$25*$C775+PM_Angle!$L$25*$B775</f>
      </c>
      <c r="AU775" s="12">
        <f>IF(AT775&gt;0,IF(AT775&lt;=eco,alpha*fck*(1-(1-AT775/eco)^n),alpha*fck),0)</f>
      </c>
    </row>
    <row r="776" spans="1:47" x14ac:dyDescent="0.25">
      <c r="A776">
        <f>Mesh!A773</f>
      </c>
      <c r="B776" s="12">
        <f>Mesh!B773</f>
      </c>
      <c r="C776" s="12">
        <f>Mesh!C773</f>
      </c>
      <c r="D776" s="12">
        <f>Mesh!D773</f>
      </c>
      <c r="E776" s="30">
        <f>INDEX(St_e0,Det+1)+INDEX(St_kx,Det+1)*C776+INDEX(St_ky,Det+1)*B776</f>
      </c>
      <c r="F776" s="12">
        <f>IF(E776&gt;0,IF(E776&lt;=eco,alpha*fck*(1-(1-E776/eco)^n),alpha*fck),0)</f>
      </c>
      <c r="G776" s="11">
        <f>F776*D776</f>
      </c>
      <c r="H776" s="11">
        <f>G776*C776</f>
      </c>
      <c r="I776" s="11">
        <f>G776*B776</f>
      </c>
      <c r="J776" s="30">
        <f>PM_Angle!$J$7+PM_Angle!$K$7*$C776+PM_Angle!$L$7*$B776</f>
      </c>
      <c r="K776" s="12">
        <f>IF(J776&gt;0,IF(J776&lt;=eco,alpha*fck*(1-(1-J776/eco)^n),alpha*fck),0)</f>
      </c>
      <c r="L776" s="30">
        <f>PM_Angle!$J$8+PM_Angle!$K$8*$C776+PM_Angle!$L$8*$B776</f>
      </c>
      <c r="M776" s="12">
        <f>IF(L776&gt;0,IF(L776&lt;=eco,alpha*fck*(1-(1-L776/eco)^n),alpha*fck),0)</f>
      </c>
      <c r="N776" s="30">
        <f>PM_Angle!$J$9+PM_Angle!$K$9*$C776+PM_Angle!$L$9*$B776</f>
      </c>
      <c r="O776" s="12">
        <f>IF(N776&gt;0,IF(N776&lt;=eco,alpha*fck*(1-(1-N776/eco)^n),alpha*fck),0)</f>
      </c>
      <c r="P776" s="30">
        <f>PM_Angle!$J$10+PM_Angle!$K$10*$C776+PM_Angle!$L$10*$B776</f>
      </c>
      <c r="Q776" s="12">
        <f>IF(P776&gt;0,IF(P776&lt;=eco,alpha*fck*(1-(1-P776/eco)^n),alpha*fck),0)</f>
      </c>
      <c r="R776" s="30">
        <f>PM_Angle!$J$11+PM_Angle!$K$11*$C776+PM_Angle!$L$11*$B776</f>
      </c>
      <c r="S776" s="12">
        <f>IF(R776&gt;0,IF(R776&lt;=eco,alpha*fck*(1-(1-R776/eco)^n),alpha*fck),0)</f>
      </c>
      <c r="T776" s="30">
        <f>PM_Angle!$J$12+PM_Angle!$K$12*$C776+PM_Angle!$L$12*$B776</f>
      </c>
      <c r="U776" s="12">
        <f>IF(T776&gt;0,IF(T776&lt;=eco,alpha*fck*(1-(1-T776/eco)^n),alpha*fck),0)</f>
      </c>
      <c r="V776" s="30">
        <f>PM_Angle!$J$13+PM_Angle!$K$13*$C776+PM_Angle!$L$13*$B776</f>
      </c>
      <c r="W776" s="12">
        <f>IF(V776&gt;0,IF(V776&lt;=eco,alpha*fck*(1-(1-V776/eco)^n),alpha*fck),0)</f>
      </c>
      <c r="X776" s="30">
        <f>PM_Angle!$J$14+PM_Angle!$K$14*$C776+PM_Angle!$L$14*$B776</f>
      </c>
      <c r="Y776" s="12">
        <f>IF(X776&gt;0,IF(X776&lt;=eco,alpha*fck*(1-(1-X776/eco)^n),alpha*fck),0)</f>
      </c>
      <c r="Z776" s="30">
        <f>PM_Angle!$J$15+PM_Angle!$K$15*$C776+PM_Angle!$L$15*$B776</f>
      </c>
      <c r="AA776" s="12">
        <f>IF(Z776&gt;0,IF(Z776&lt;=eco,alpha*fck*(1-(1-Z776/eco)^n),alpha*fck),0)</f>
      </c>
      <c r="AB776" s="30">
        <f>PM_Angle!$J$16+PM_Angle!$K$16*$C776+PM_Angle!$L$16*$B776</f>
      </c>
      <c r="AC776" s="12">
        <f>IF(AB776&gt;0,IF(AB776&lt;=eco,alpha*fck*(1-(1-AB776/eco)^n),alpha*fck),0)</f>
      </c>
      <c r="AD776" s="30">
        <f>PM_Angle!$J$17+PM_Angle!$K$17*$C776+PM_Angle!$L$17*$B776</f>
      </c>
      <c r="AE776" s="12">
        <f>IF(AD776&gt;0,IF(AD776&lt;=eco,alpha*fck*(1-(1-AD776/eco)^n),alpha*fck),0)</f>
      </c>
      <c r="AF776" s="30">
        <f>PM_Angle!$J$18+PM_Angle!$K$18*$C776+PM_Angle!$L$18*$B776</f>
      </c>
      <c r="AG776" s="12">
        <f>IF(AF776&gt;0,IF(AF776&lt;=eco,alpha*fck*(1-(1-AF776/eco)^n),alpha*fck),0)</f>
      </c>
      <c r="AH776" s="30">
        <f>PM_Angle!$J$19+PM_Angle!$K$19*$C776+PM_Angle!$L$19*$B776</f>
      </c>
      <c r="AI776" s="12">
        <f>IF(AH776&gt;0,IF(AH776&lt;=eco,alpha*fck*(1-(1-AH776/eco)^n),alpha*fck),0)</f>
      </c>
      <c r="AJ776" s="30">
        <f>PM_Angle!$J$20+PM_Angle!$K$20*$C776+PM_Angle!$L$20*$B776</f>
      </c>
      <c r="AK776" s="12">
        <f>IF(AJ776&gt;0,IF(AJ776&lt;=eco,alpha*fck*(1-(1-AJ776/eco)^n),alpha*fck),0)</f>
      </c>
      <c r="AL776" s="30">
        <f>PM_Angle!$J$21+PM_Angle!$K$21*$C776+PM_Angle!$L$21*$B776</f>
      </c>
      <c r="AM776" s="12">
        <f>IF(AL776&gt;0,IF(AL776&lt;=eco,alpha*fck*(1-(1-AL776/eco)^n),alpha*fck),0)</f>
      </c>
      <c r="AN776" s="30">
        <f>PM_Angle!$J$22+PM_Angle!$K$22*$C776+PM_Angle!$L$22*$B776</f>
      </c>
      <c r="AO776" s="12">
        <f>IF(AN776&gt;0,IF(AN776&lt;=eco,alpha*fck*(1-(1-AN776/eco)^n),alpha*fck),0)</f>
      </c>
      <c r="AP776" s="30">
        <f>PM_Angle!$J$23+PM_Angle!$K$23*$C776+PM_Angle!$L$23*$B776</f>
      </c>
      <c r="AQ776" s="12">
        <f>IF(AP776&gt;0,IF(AP776&lt;=eco,alpha*fck*(1-(1-AP776/eco)^n),alpha*fck),0)</f>
      </c>
      <c r="AR776" s="30">
        <f>PM_Angle!$J$24+PM_Angle!$K$24*$C776+PM_Angle!$L$24*$B776</f>
      </c>
      <c r="AS776" s="12">
        <f>IF(AR776&gt;0,IF(AR776&lt;=eco,alpha*fck*(1-(1-AR776/eco)^n),alpha*fck),0)</f>
      </c>
      <c r="AT776" s="30">
        <f>PM_Angle!$J$25+PM_Angle!$K$25*$C776+PM_Angle!$L$25*$B776</f>
      </c>
      <c r="AU776" s="12">
        <f>IF(AT776&gt;0,IF(AT776&lt;=eco,alpha*fck*(1-(1-AT776/eco)^n),alpha*fck),0)</f>
      </c>
    </row>
    <row r="777" spans="1:47" x14ac:dyDescent="0.25">
      <c r="A777">
        <f>Mesh!A774</f>
      </c>
      <c r="B777" s="12">
        <f>Mesh!B774</f>
      </c>
      <c r="C777" s="12">
        <f>Mesh!C774</f>
      </c>
      <c r="D777" s="12">
        <f>Mesh!D774</f>
      </c>
      <c r="E777" s="30">
        <f>INDEX(St_e0,Det+1)+INDEX(St_kx,Det+1)*C777+INDEX(St_ky,Det+1)*B777</f>
      </c>
      <c r="F777" s="12">
        <f>IF(E777&gt;0,IF(E777&lt;=eco,alpha*fck*(1-(1-E777/eco)^n),alpha*fck),0)</f>
      </c>
      <c r="G777" s="11">
        <f>F777*D777</f>
      </c>
      <c r="H777" s="11">
        <f>G777*C777</f>
      </c>
      <c r="I777" s="11">
        <f>G777*B777</f>
      </c>
      <c r="J777" s="30">
        <f>PM_Angle!$J$7+PM_Angle!$K$7*$C777+PM_Angle!$L$7*$B777</f>
      </c>
      <c r="K777" s="12">
        <f>IF(J777&gt;0,IF(J777&lt;=eco,alpha*fck*(1-(1-J777/eco)^n),alpha*fck),0)</f>
      </c>
      <c r="L777" s="30">
        <f>PM_Angle!$J$8+PM_Angle!$K$8*$C777+PM_Angle!$L$8*$B777</f>
      </c>
      <c r="M777" s="12">
        <f>IF(L777&gt;0,IF(L777&lt;=eco,alpha*fck*(1-(1-L777/eco)^n),alpha*fck),0)</f>
      </c>
      <c r="N777" s="30">
        <f>PM_Angle!$J$9+PM_Angle!$K$9*$C777+PM_Angle!$L$9*$B777</f>
      </c>
      <c r="O777" s="12">
        <f>IF(N777&gt;0,IF(N777&lt;=eco,alpha*fck*(1-(1-N777/eco)^n),alpha*fck),0)</f>
      </c>
      <c r="P777" s="30">
        <f>PM_Angle!$J$10+PM_Angle!$K$10*$C777+PM_Angle!$L$10*$B777</f>
      </c>
      <c r="Q777" s="12">
        <f>IF(P777&gt;0,IF(P777&lt;=eco,alpha*fck*(1-(1-P777/eco)^n),alpha*fck),0)</f>
      </c>
      <c r="R777" s="30">
        <f>PM_Angle!$J$11+PM_Angle!$K$11*$C777+PM_Angle!$L$11*$B777</f>
      </c>
      <c r="S777" s="12">
        <f>IF(R777&gt;0,IF(R777&lt;=eco,alpha*fck*(1-(1-R777/eco)^n),alpha*fck),0)</f>
      </c>
      <c r="T777" s="30">
        <f>PM_Angle!$J$12+PM_Angle!$K$12*$C777+PM_Angle!$L$12*$B777</f>
      </c>
      <c r="U777" s="12">
        <f>IF(T777&gt;0,IF(T777&lt;=eco,alpha*fck*(1-(1-T777/eco)^n),alpha*fck),0)</f>
      </c>
      <c r="V777" s="30">
        <f>PM_Angle!$J$13+PM_Angle!$K$13*$C777+PM_Angle!$L$13*$B777</f>
      </c>
      <c r="W777" s="12">
        <f>IF(V777&gt;0,IF(V777&lt;=eco,alpha*fck*(1-(1-V777/eco)^n),alpha*fck),0)</f>
      </c>
      <c r="X777" s="30">
        <f>PM_Angle!$J$14+PM_Angle!$K$14*$C777+PM_Angle!$L$14*$B777</f>
      </c>
      <c r="Y777" s="12">
        <f>IF(X777&gt;0,IF(X777&lt;=eco,alpha*fck*(1-(1-X777/eco)^n),alpha*fck),0)</f>
      </c>
      <c r="Z777" s="30">
        <f>PM_Angle!$J$15+PM_Angle!$K$15*$C777+PM_Angle!$L$15*$B777</f>
      </c>
      <c r="AA777" s="12">
        <f>IF(Z777&gt;0,IF(Z777&lt;=eco,alpha*fck*(1-(1-Z777/eco)^n),alpha*fck),0)</f>
      </c>
      <c r="AB777" s="30">
        <f>PM_Angle!$J$16+PM_Angle!$K$16*$C777+PM_Angle!$L$16*$B777</f>
      </c>
      <c r="AC777" s="12">
        <f>IF(AB777&gt;0,IF(AB777&lt;=eco,alpha*fck*(1-(1-AB777/eco)^n),alpha*fck),0)</f>
      </c>
      <c r="AD777" s="30">
        <f>PM_Angle!$J$17+PM_Angle!$K$17*$C777+PM_Angle!$L$17*$B777</f>
      </c>
      <c r="AE777" s="12">
        <f>IF(AD777&gt;0,IF(AD777&lt;=eco,alpha*fck*(1-(1-AD777/eco)^n),alpha*fck),0)</f>
      </c>
      <c r="AF777" s="30">
        <f>PM_Angle!$J$18+PM_Angle!$K$18*$C777+PM_Angle!$L$18*$B777</f>
      </c>
      <c r="AG777" s="12">
        <f>IF(AF777&gt;0,IF(AF777&lt;=eco,alpha*fck*(1-(1-AF777/eco)^n),alpha*fck),0)</f>
      </c>
      <c r="AH777" s="30">
        <f>PM_Angle!$J$19+PM_Angle!$K$19*$C777+PM_Angle!$L$19*$B777</f>
      </c>
      <c r="AI777" s="12">
        <f>IF(AH777&gt;0,IF(AH777&lt;=eco,alpha*fck*(1-(1-AH777/eco)^n),alpha*fck),0)</f>
      </c>
      <c r="AJ777" s="30">
        <f>PM_Angle!$J$20+PM_Angle!$K$20*$C777+PM_Angle!$L$20*$B777</f>
      </c>
      <c r="AK777" s="12">
        <f>IF(AJ777&gt;0,IF(AJ777&lt;=eco,alpha*fck*(1-(1-AJ777/eco)^n),alpha*fck),0)</f>
      </c>
      <c r="AL777" s="30">
        <f>PM_Angle!$J$21+PM_Angle!$K$21*$C777+PM_Angle!$L$21*$B777</f>
      </c>
      <c r="AM777" s="12">
        <f>IF(AL777&gt;0,IF(AL777&lt;=eco,alpha*fck*(1-(1-AL777/eco)^n),alpha*fck),0)</f>
      </c>
      <c r="AN777" s="30">
        <f>PM_Angle!$J$22+PM_Angle!$K$22*$C777+PM_Angle!$L$22*$B777</f>
      </c>
      <c r="AO777" s="12">
        <f>IF(AN777&gt;0,IF(AN777&lt;=eco,alpha*fck*(1-(1-AN777/eco)^n),alpha*fck),0)</f>
      </c>
      <c r="AP777" s="30">
        <f>PM_Angle!$J$23+PM_Angle!$K$23*$C777+PM_Angle!$L$23*$B777</f>
      </c>
      <c r="AQ777" s="12">
        <f>IF(AP777&gt;0,IF(AP777&lt;=eco,alpha*fck*(1-(1-AP777/eco)^n),alpha*fck),0)</f>
      </c>
      <c r="AR777" s="30">
        <f>PM_Angle!$J$24+PM_Angle!$K$24*$C777+PM_Angle!$L$24*$B777</f>
      </c>
      <c r="AS777" s="12">
        <f>IF(AR777&gt;0,IF(AR777&lt;=eco,alpha*fck*(1-(1-AR777/eco)^n),alpha*fck),0)</f>
      </c>
      <c r="AT777" s="30">
        <f>PM_Angle!$J$25+PM_Angle!$K$25*$C777+PM_Angle!$L$25*$B777</f>
      </c>
      <c r="AU777" s="12">
        <f>IF(AT777&gt;0,IF(AT777&lt;=eco,alpha*fck*(1-(1-AT777/eco)^n),alpha*fck),0)</f>
      </c>
    </row>
    <row r="778" spans="1:47" x14ac:dyDescent="0.25">
      <c r="A778">
        <f>Mesh!A775</f>
      </c>
      <c r="B778" s="12">
        <f>Mesh!B775</f>
      </c>
      <c r="C778" s="12">
        <f>Mesh!C775</f>
      </c>
      <c r="D778" s="12">
        <f>Mesh!D775</f>
      </c>
      <c r="E778" s="30">
        <f>INDEX(St_e0,Det+1)+INDEX(St_kx,Det+1)*C778+INDEX(St_ky,Det+1)*B778</f>
      </c>
      <c r="F778" s="12">
        <f>IF(E778&gt;0,IF(E778&lt;=eco,alpha*fck*(1-(1-E778/eco)^n),alpha*fck),0)</f>
      </c>
      <c r="G778" s="11">
        <f>F778*D778</f>
      </c>
      <c r="H778" s="11">
        <f>G778*C778</f>
      </c>
      <c r="I778" s="11">
        <f>G778*B778</f>
      </c>
      <c r="J778" s="30">
        <f>PM_Angle!$J$7+PM_Angle!$K$7*$C778+PM_Angle!$L$7*$B778</f>
      </c>
      <c r="K778" s="12">
        <f>IF(J778&gt;0,IF(J778&lt;=eco,alpha*fck*(1-(1-J778/eco)^n),alpha*fck),0)</f>
      </c>
      <c r="L778" s="30">
        <f>PM_Angle!$J$8+PM_Angle!$K$8*$C778+PM_Angle!$L$8*$B778</f>
      </c>
      <c r="M778" s="12">
        <f>IF(L778&gt;0,IF(L778&lt;=eco,alpha*fck*(1-(1-L778/eco)^n),alpha*fck),0)</f>
      </c>
      <c r="N778" s="30">
        <f>PM_Angle!$J$9+PM_Angle!$K$9*$C778+PM_Angle!$L$9*$B778</f>
      </c>
      <c r="O778" s="12">
        <f>IF(N778&gt;0,IF(N778&lt;=eco,alpha*fck*(1-(1-N778/eco)^n),alpha*fck),0)</f>
      </c>
      <c r="P778" s="30">
        <f>PM_Angle!$J$10+PM_Angle!$K$10*$C778+PM_Angle!$L$10*$B778</f>
      </c>
      <c r="Q778" s="12">
        <f>IF(P778&gt;0,IF(P778&lt;=eco,alpha*fck*(1-(1-P778/eco)^n),alpha*fck),0)</f>
      </c>
      <c r="R778" s="30">
        <f>PM_Angle!$J$11+PM_Angle!$K$11*$C778+PM_Angle!$L$11*$B778</f>
      </c>
      <c r="S778" s="12">
        <f>IF(R778&gt;0,IF(R778&lt;=eco,alpha*fck*(1-(1-R778/eco)^n),alpha*fck),0)</f>
      </c>
      <c r="T778" s="30">
        <f>PM_Angle!$J$12+PM_Angle!$K$12*$C778+PM_Angle!$L$12*$B778</f>
      </c>
      <c r="U778" s="12">
        <f>IF(T778&gt;0,IF(T778&lt;=eco,alpha*fck*(1-(1-T778/eco)^n),alpha*fck),0)</f>
      </c>
      <c r="V778" s="30">
        <f>PM_Angle!$J$13+PM_Angle!$K$13*$C778+PM_Angle!$L$13*$B778</f>
      </c>
      <c r="W778" s="12">
        <f>IF(V778&gt;0,IF(V778&lt;=eco,alpha*fck*(1-(1-V778/eco)^n),alpha*fck),0)</f>
      </c>
      <c r="X778" s="30">
        <f>PM_Angle!$J$14+PM_Angle!$K$14*$C778+PM_Angle!$L$14*$B778</f>
      </c>
      <c r="Y778" s="12">
        <f>IF(X778&gt;0,IF(X778&lt;=eco,alpha*fck*(1-(1-X778/eco)^n),alpha*fck),0)</f>
      </c>
      <c r="Z778" s="30">
        <f>PM_Angle!$J$15+PM_Angle!$K$15*$C778+PM_Angle!$L$15*$B778</f>
      </c>
      <c r="AA778" s="12">
        <f>IF(Z778&gt;0,IF(Z778&lt;=eco,alpha*fck*(1-(1-Z778/eco)^n),alpha*fck),0)</f>
      </c>
      <c r="AB778" s="30">
        <f>PM_Angle!$J$16+PM_Angle!$K$16*$C778+PM_Angle!$L$16*$B778</f>
      </c>
      <c r="AC778" s="12">
        <f>IF(AB778&gt;0,IF(AB778&lt;=eco,alpha*fck*(1-(1-AB778/eco)^n),alpha*fck),0)</f>
      </c>
      <c r="AD778" s="30">
        <f>PM_Angle!$J$17+PM_Angle!$K$17*$C778+PM_Angle!$L$17*$B778</f>
      </c>
      <c r="AE778" s="12">
        <f>IF(AD778&gt;0,IF(AD778&lt;=eco,alpha*fck*(1-(1-AD778/eco)^n),alpha*fck),0)</f>
      </c>
      <c r="AF778" s="30">
        <f>PM_Angle!$J$18+PM_Angle!$K$18*$C778+PM_Angle!$L$18*$B778</f>
      </c>
      <c r="AG778" s="12">
        <f>IF(AF778&gt;0,IF(AF778&lt;=eco,alpha*fck*(1-(1-AF778/eco)^n),alpha*fck),0)</f>
      </c>
      <c r="AH778" s="30">
        <f>PM_Angle!$J$19+PM_Angle!$K$19*$C778+PM_Angle!$L$19*$B778</f>
      </c>
      <c r="AI778" s="12">
        <f>IF(AH778&gt;0,IF(AH778&lt;=eco,alpha*fck*(1-(1-AH778/eco)^n),alpha*fck),0)</f>
      </c>
      <c r="AJ778" s="30">
        <f>PM_Angle!$J$20+PM_Angle!$K$20*$C778+PM_Angle!$L$20*$B778</f>
      </c>
      <c r="AK778" s="12">
        <f>IF(AJ778&gt;0,IF(AJ778&lt;=eco,alpha*fck*(1-(1-AJ778/eco)^n),alpha*fck),0)</f>
      </c>
      <c r="AL778" s="30">
        <f>PM_Angle!$J$21+PM_Angle!$K$21*$C778+PM_Angle!$L$21*$B778</f>
      </c>
      <c r="AM778" s="12">
        <f>IF(AL778&gt;0,IF(AL778&lt;=eco,alpha*fck*(1-(1-AL778/eco)^n),alpha*fck),0)</f>
      </c>
      <c r="AN778" s="30">
        <f>PM_Angle!$J$22+PM_Angle!$K$22*$C778+PM_Angle!$L$22*$B778</f>
      </c>
      <c r="AO778" s="12">
        <f>IF(AN778&gt;0,IF(AN778&lt;=eco,alpha*fck*(1-(1-AN778/eco)^n),alpha*fck),0)</f>
      </c>
      <c r="AP778" s="30">
        <f>PM_Angle!$J$23+PM_Angle!$K$23*$C778+PM_Angle!$L$23*$B778</f>
      </c>
      <c r="AQ778" s="12">
        <f>IF(AP778&gt;0,IF(AP778&lt;=eco,alpha*fck*(1-(1-AP778/eco)^n),alpha*fck),0)</f>
      </c>
      <c r="AR778" s="30">
        <f>PM_Angle!$J$24+PM_Angle!$K$24*$C778+PM_Angle!$L$24*$B778</f>
      </c>
      <c r="AS778" s="12">
        <f>IF(AR778&gt;0,IF(AR778&lt;=eco,alpha*fck*(1-(1-AR778/eco)^n),alpha*fck),0)</f>
      </c>
      <c r="AT778" s="30">
        <f>PM_Angle!$J$25+PM_Angle!$K$25*$C778+PM_Angle!$L$25*$B778</f>
      </c>
      <c r="AU778" s="12">
        <f>IF(AT778&gt;0,IF(AT778&lt;=eco,alpha*fck*(1-(1-AT778/eco)^n),alpha*fck),0)</f>
      </c>
    </row>
    <row r="779" spans="1:47" x14ac:dyDescent="0.25">
      <c r="A779">
        <f>Mesh!A776</f>
      </c>
      <c r="B779" s="12">
        <f>Mesh!B776</f>
      </c>
      <c r="C779" s="12">
        <f>Mesh!C776</f>
      </c>
      <c r="D779" s="12">
        <f>Mesh!D776</f>
      </c>
      <c r="E779" s="30">
        <f>INDEX(St_e0,Det+1)+INDEX(St_kx,Det+1)*C779+INDEX(St_ky,Det+1)*B779</f>
      </c>
      <c r="F779" s="12">
        <f>IF(E779&gt;0,IF(E779&lt;=eco,alpha*fck*(1-(1-E779/eco)^n),alpha*fck),0)</f>
      </c>
      <c r="G779" s="11">
        <f>F779*D779</f>
      </c>
      <c r="H779" s="11">
        <f>G779*C779</f>
      </c>
      <c r="I779" s="11">
        <f>G779*B779</f>
      </c>
      <c r="J779" s="30">
        <f>PM_Angle!$J$7+PM_Angle!$K$7*$C779+PM_Angle!$L$7*$B779</f>
      </c>
      <c r="K779" s="12">
        <f>IF(J779&gt;0,IF(J779&lt;=eco,alpha*fck*(1-(1-J779/eco)^n),alpha*fck),0)</f>
      </c>
      <c r="L779" s="30">
        <f>PM_Angle!$J$8+PM_Angle!$K$8*$C779+PM_Angle!$L$8*$B779</f>
      </c>
      <c r="M779" s="12">
        <f>IF(L779&gt;0,IF(L779&lt;=eco,alpha*fck*(1-(1-L779/eco)^n),alpha*fck),0)</f>
      </c>
      <c r="N779" s="30">
        <f>PM_Angle!$J$9+PM_Angle!$K$9*$C779+PM_Angle!$L$9*$B779</f>
      </c>
      <c r="O779" s="12">
        <f>IF(N779&gt;0,IF(N779&lt;=eco,alpha*fck*(1-(1-N779/eco)^n),alpha*fck),0)</f>
      </c>
      <c r="P779" s="30">
        <f>PM_Angle!$J$10+PM_Angle!$K$10*$C779+PM_Angle!$L$10*$B779</f>
      </c>
      <c r="Q779" s="12">
        <f>IF(P779&gt;0,IF(P779&lt;=eco,alpha*fck*(1-(1-P779/eco)^n),alpha*fck),0)</f>
      </c>
      <c r="R779" s="30">
        <f>PM_Angle!$J$11+PM_Angle!$K$11*$C779+PM_Angle!$L$11*$B779</f>
      </c>
      <c r="S779" s="12">
        <f>IF(R779&gt;0,IF(R779&lt;=eco,alpha*fck*(1-(1-R779/eco)^n),alpha*fck),0)</f>
      </c>
      <c r="T779" s="30">
        <f>PM_Angle!$J$12+PM_Angle!$K$12*$C779+PM_Angle!$L$12*$B779</f>
      </c>
      <c r="U779" s="12">
        <f>IF(T779&gt;0,IF(T779&lt;=eco,alpha*fck*(1-(1-T779/eco)^n),alpha*fck),0)</f>
      </c>
      <c r="V779" s="30">
        <f>PM_Angle!$J$13+PM_Angle!$K$13*$C779+PM_Angle!$L$13*$B779</f>
      </c>
      <c r="W779" s="12">
        <f>IF(V779&gt;0,IF(V779&lt;=eco,alpha*fck*(1-(1-V779/eco)^n),alpha*fck),0)</f>
      </c>
      <c r="X779" s="30">
        <f>PM_Angle!$J$14+PM_Angle!$K$14*$C779+PM_Angle!$L$14*$B779</f>
      </c>
      <c r="Y779" s="12">
        <f>IF(X779&gt;0,IF(X779&lt;=eco,alpha*fck*(1-(1-X779/eco)^n),alpha*fck),0)</f>
      </c>
      <c r="Z779" s="30">
        <f>PM_Angle!$J$15+PM_Angle!$K$15*$C779+PM_Angle!$L$15*$B779</f>
      </c>
      <c r="AA779" s="12">
        <f>IF(Z779&gt;0,IF(Z779&lt;=eco,alpha*fck*(1-(1-Z779/eco)^n),alpha*fck),0)</f>
      </c>
      <c r="AB779" s="30">
        <f>PM_Angle!$J$16+PM_Angle!$K$16*$C779+PM_Angle!$L$16*$B779</f>
      </c>
      <c r="AC779" s="12">
        <f>IF(AB779&gt;0,IF(AB779&lt;=eco,alpha*fck*(1-(1-AB779/eco)^n),alpha*fck),0)</f>
      </c>
      <c r="AD779" s="30">
        <f>PM_Angle!$J$17+PM_Angle!$K$17*$C779+PM_Angle!$L$17*$B779</f>
      </c>
      <c r="AE779" s="12">
        <f>IF(AD779&gt;0,IF(AD779&lt;=eco,alpha*fck*(1-(1-AD779/eco)^n),alpha*fck),0)</f>
      </c>
      <c r="AF779" s="30">
        <f>PM_Angle!$J$18+PM_Angle!$K$18*$C779+PM_Angle!$L$18*$B779</f>
      </c>
      <c r="AG779" s="12">
        <f>IF(AF779&gt;0,IF(AF779&lt;=eco,alpha*fck*(1-(1-AF779/eco)^n),alpha*fck),0)</f>
      </c>
      <c r="AH779" s="30">
        <f>PM_Angle!$J$19+PM_Angle!$K$19*$C779+PM_Angle!$L$19*$B779</f>
      </c>
      <c r="AI779" s="12">
        <f>IF(AH779&gt;0,IF(AH779&lt;=eco,alpha*fck*(1-(1-AH779/eco)^n),alpha*fck),0)</f>
      </c>
      <c r="AJ779" s="30">
        <f>PM_Angle!$J$20+PM_Angle!$K$20*$C779+PM_Angle!$L$20*$B779</f>
      </c>
      <c r="AK779" s="12">
        <f>IF(AJ779&gt;0,IF(AJ779&lt;=eco,alpha*fck*(1-(1-AJ779/eco)^n),alpha*fck),0)</f>
      </c>
      <c r="AL779" s="30">
        <f>PM_Angle!$J$21+PM_Angle!$K$21*$C779+PM_Angle!$L$21*$B779</f>
      </c>
      <c r="AM779" s="12">
        <f>IF(AL779&gt;0,IF(AL779&lt;=eco,alpha*fck*(1-(1-AL779/eco)^n),alpha*fck),0)</f>
      </c>
      <c r="AN779" s="30">
        <f>PM_Angle!$J$22+PM_Angle!$K$22*$C779+PM_Angle!$L$22*$B779</f>
      </c>
      <c r="AO779" s="12">
        <f>IF(AN779&gt;0,IF(AN779&lt;=eco,alpha*fck*(1-(1-AN779/eco)^n),alpha*fck),0)</f>
      </c>
      <c r="AP779" s="30">
        <f>PM_Angle!$J$23+PM_Angle!$K$23*$C779+PM_Angle!$L$23*$B779</f>
      </c>
      <c r="AQ779" s="12">
        <f>IF(AP779&gt;0,IF(AP779&lt;=eco,alpha*fck*(1-(1-AP779/eco)^n),alpha*fck),0)</f>
      </c>
      <c r="AR779" s="30">
        <f>PM_Angle!$J$24+PM_Angle!$K$24*$C779+PM_Angle!$L$24*$B779</f>
      </c>
      <c r="AS779" s="12">
        <f>IF(AR779&gt;0,IF(AR779&lt;=eco,alpha*fck*(1-(1-AR779/eco)^n),alpha*fck),0)</f>
      </c>
      <c r="AT779" s="30">
        <f>PM_Angle!$J$25+PM_Angle!$K$25*$C779+PM_Angle!$L$25*$B779</f>
      </c>
      <c r="AU779" s="12">
        <f>IF(AT779&gt;0,IF(AT779&lt;=eco,alpha*fck*(1-(1-AT779/eco)^n),alpha*fck),0)</f>
      </c>
    </row>
    <row r="780" spans="1:47" x14ac:dyDescent="0.25">
      <c r="A780">
        <f>Mesh!A777</f>
      </c>
      <c r="B780" s="12">
        <f>Mesh!B777</f>
      </c>
      <c r="C780" s="12">
        <f>Mesh!C777</f>
      </c>
      <c r="D780" s="12">
        <f>Mesh!D777</f>
      </c>
      <c r="E780" s="30">
        <f>INDEX(St_e0,Det+1)+INDEX(St_kx,Det+1)*C780+INDEX(St_ky,Det+1)*B780</f>
      </c>
      <c r="F780" s="12">
        <f>IF(E780&gt;0,IF(E780&lt;=eco,alpha*fck*(1-(1-E780/eco)^n),alpha*fck),0)</f>
      </c>
      <c r="G780" s="11">
        <f>F780*D780</f>
      </c>
      <c r="H780" s="11">
        <f>G780*C780</f>
      </c>
      <c r="I780" s="11">
        <f>G780*B780</f>
      </c>
      <c r="J780" s="30">
        <f>PM_Angle!$J$7+PM_Angle!$K$7*$C780+PM_Angle!$L$7*$B780</f>
      </c>
      <c r="K780" s="12">
        <f>IF(J780&gt;0,IF(J780&lt;=eco,alpha*fck*(1-(1-J780/eco)^n),alpha*fck),0)</f>
      </c>
      <c r="L780" s="30">
        <f>PM_Angle!$J$8+PM_Angle!$K$8*$C780+PM_Angle!$L$8*$B780</f>
      </c>
      <c r="M780" s="12">
        <f>IF(L780&gt;0,IF(L780&lt;=eco,alpha*fck*(1-(1-L780/eco)^n),alpha*fck),0)</f>
      </c>
      <c r="N780" s="30">
        <f>PM_Angle!$J$9+PM_Angle!$K$9*$C780+PM_Angle!$L$9*$B780</f>
      </c>
      <c r="O780" s="12">
        <f>IF(N780&gt;0,IF(N780&lt;=eco,alpha*fck*(1-(1-N780/eco)^n),alpha*fck),0)</f>
      </c>
      <c r="P780" s="30">
        <f>PM_Angle!$J$10+PM_Angle!$K$10*$C780+PM_Angle!$L$10*$B780</f>
      </c>
      <c r="Q780" s="12">
        <f>IF(P780&gt;0,IF(P780&lt;=eco,alpha*fck*(1-(1-P780/eco)^n),alpha*fck),0)</f>
      </c>
      <c r="R780" s="30">
        <f>PM_Angle!$J$11+PM_Angle!$K$11*$C780+PM_Angle!$L$11*$B780</f>
      </c>
      <c r="S780" s="12">
        <f>IF(R780&gt;0,IF(R780&lt;=eco,alpha*fck*(1-(1-R780/eco)^n),alpha*fck),0)</f>
      </c>
      <c r="T780" s="30">
        <f>PM_Angle!$J$12+PM_Angle!$K$12*$C780+PM_Angle!$L$12*$B780</f>
      </c>
      <c r="U780" s="12">
        <f>IF(T780&gt;0,IF(T780&lt;=eco,alpha*fck*(1-(1-T780/eco)^n),alpha*fck),0)</f>
      </c>
      <c r="V780" s="30">
        <f>PM_Angle!$J$13+PM_Angle!$K$13*$C780+PM_Angle!$L$13*$B780</f>
      </c>
      <c r="W780" s="12">
        <f>IF(V780&gt;0,IF(V780&lt;=eco,alpha*fck*(1-(1-V780/eco)^n),alpha*fck),0)</f>
      </c>
      <c r="X780" s="30">
        <f>PM_Angle!$J$14+PM_Angle!$K$14*$C780+PM_Angle!$L$14*$B780</f>
      </c>
      <c r="Y780" s="12">
        <f>IF(X780&gt;0,IF(X780&lt;=eco,alpha*fck*(1-(1-X780/eco)^n),alpha*fck),0)</f>
      </c>
      <c r="Z780" s="30">
        <f>PM_Angle!$J$15+PM_Angle!$K$15*$C780+PM_Angle!$L$15*$B780</f>
      </c>
      <c r="AA780" s="12">
        <f>IF(Z780&gt;0,IF(Z780&lt;=eco,alpha*fck*(1-(1-Z780/eco)^n),alpha*fck),0)</f>
      </c>
      <c r="AB780" s="30">
        <f>PM_Angle!$J$16+PM_Angle!$K$16*$C780+PM_Angle!$L$16*$B780</f>
      </c>
      <c r="AC780" s="12">
        <f>IF(AB780&gt;0,IF(AB780&lt;=eco,alpha*fck*(1-(1-AB780/eco)^n),alpha*fck),0)</f>
      </c>
      <c r="AD780" s="30">
        <f>PM_Angle!$J$17+PM_Angle!$K$17*$C780+PM_Angle!$L$17*$B780</f>
      </c>
      <c r="AE780" s="12">
        <f>IF(AD780&gt;0,IF(AD780&lt;=eco,alpha*fck*(1-(1-AD780/eco)^n),alpha*fck),0)</f>
      </c>
      <c r="AF780" s="30">
        <f>PM_Angle!$J$18+PM_Angle!$K$18*$C780+PM_Angle!$L$18*$B780</f>
      </c>
      <c r="AG780" s="12">
        <f>IF(AF780&gt;0,IF(AF780&lt;=eco,alpha*fck*(1-(1-AF780/eco)^n),alpha*fck),0)</f>
      </c>
      <c r="AH780" s="30">
        <f>PM_Angle!$J$19+PM_Angle!$K$19*$C780+PM_Angle!$L$19*$B780</f>
      </c>
      <c r="AI780" s="12">
        <f>IF(AH780&gt;0,IF(AH780&lt;=eco,alpha*fck*(1-(1-AH780/eco)^n),alpha*fck),0)</f>
      </c>
      <c r="AJ780" s="30">
        <f>PM_Angle!$J$20+PM_Angle!$K$20*$C780+PM_Angle!$L$20*$B780</f>
      </c>
      <c r="AK780" s="12">
        <f>IF(AJ780&gt;0,IF(AJ780&lt;=eco,alpha*fck*(1-(1-AJ780/eco)^n),alpha*fck),0)</f>
      </c>
      <c r="AL780" s="30">
        <f>PM_Angle!$J$21+PM_Angle!$K$21*$C780+PM_Angle!$L$21*$B780</f>
      </c>
      <c r="AM780" s="12">
        <f>IF(AL780&gt;0,IF(AL780&lt;=eco,alpha*fck*(1-(1-AL780/eco)^n),alpha*fck),0)</f>
      </c>
      <c r="AN780" s="30">
        <f>PM_Angle!$J$22+PM_Angle!$K$22*$C780+PM_Angle!$L$22*$B780</f>
      </c>
      <c r="AO780" s="12">
        <f>IF(AN780&gt;0,IF(AN780&lt;=eco,alpha*fck*(1-(1-AN780/eco)^n),alpha*fck),0)</f>
      </c>
      <c r="AP780" s="30">
        <f>PM_Angle!$J$23+PM_Angle!$K$23*$C780+PM_Angle!$L$23*$B780</f>
      </c>
      <c r="AQ780" s="12">
        <f>IF(AP780&gt;0,IF(AP780&lt;=eco,alpha*fck*(1-(1-AP780/eco)^n),alpha*fck),0)</f>
      </c>
      <c r="AR780" s="30">
        <f>PM_Angle!$J$24+PM_Angle!$K$24*$C780+PM_Angle!$L$24*$B780</f>
      </c>
      <c r="AS780" s="12">
        <f>IF(AR780&gt;0,IF(AR780&lt;=eco,alpha*fck*(1-(1-AR780/eco)^n),alpha*fck),0)</f>
      </c>
      <c r="AT780" s="30">
        <f>PM_Angle!$J$25+PM_Angle!$K$25*$C780+PM_Angle!$L$25*$B780</f>
      </c>
      <c r="AU780" s="12">
        <f>IF(AT780&gt;0,IF(AT780&lt;=eco,alpha*fck*(1-(1-AT780/eco)^n),alpha*fck),0)</f>
      </c>
    </row>
    <row r="781" spans="1:47" x14ac:dyDescent="0.25">
      <c r="A781">
        <f>Mesh!A778</f>
      </c>
      <c r="B781" s="12">
        <f>Mesh!B778</f>
      </c>
      <c r="C781" s="12">
        <f>Mesh!C778</f>
      </c>
      <c r="D781" s="12">
        <f>Mesh!D778</f>
      </c>
      <c r="E781" s="30">
        <f>INDEX(St_e0,Det+1)+INDEX(St_kx,Det+1)*C781+INDEX(St_ky,Det+1)*B781</f>
      </c>
      <c r="F781" s="12">
        <f>IF(E781&gt;0,IF(E781&lt;=eco,alpha*fck*(1-(1-E781/eco)^n),alpha*fck),0)</f>
      </c>
      <c r="G781" s="11">
        <f>F781*D781</f>
      </c>
      <c r="H781" s="11">
        <f>G781*C781</f>
      </c>
      <c r="I781" s="11">
        <f>G781*B781</f>
      </c>
      <c r="J781" s="30">
        <f>PM_Angle!$J$7+PM_Angle!$K$7*$C781+PM_Angle!$L$7*$B781</f>
      </c>
      <c r="K781" s="12">
        <f>IF(J781&gt;0,IF(J781&lt;=eco,alpha*fck*(1-(1-J781/eco)^n),alpha*fck),0)</f>
      </c>
      <c r="L781" s="30">
        <f>PM_Angle!$J$8+PM_Angle!$K$8*$C781+PM_Angle!$L$8*$B781</f>
      </c>
      <c r="M781" s="12">
        <f>IF(L781&gt;0,IF(L781&lt;=eco,alpha*fck*(1-(1-L781/eco)^n),alpha*fck),0)</f>
      </c>
      <c r="N781" s="30">
        <f>PM_Angle!$J$9+PM_Angle!$K$9*$C781+PM_Angle!$L$9*$B781</f>
      </c>
      <c r="O781" s="12">
        <f>IF(N781&gt;0,IF(N781&lt;=eco,alpha*fck*(1-(1-N781/eco)^n),alpha*fck),0)</f>
      </c>
      <c r="P781" s="30">
        <f>PM_Angle!$J$10+PM_Angle!$K$10*$C781+PM_Angle!$L$10*$B781</f>
      </c>
      <c r="Q781" s="12">
        <f>IF(P781&gt;0,IF(P781&lt;=eco,alpha*fck*(1-(1-P781/eco)^n),alpha*fck),0)</f>
      </c>
      <c r="R781" s="30">
        <f>PM_Angle!$J$11+PM_Angle!$K$11*$C781+PM_Angle!$L$11*$B781</f>
      </c>
      <c r="S781" s="12">
        <f>IF(R781&gt;0,IF(R781&lt;=eco,alpha*fck*(1-(1-R781/eco)^n),alpha*fck),0)</f>
      </c>
      <c r="T781" s="30">
        <f>PM_Angle!$J$12+PM_Angle!$K$12*$C781+PM_Angle!$L$12*$B781</f>
      </c>
      <c r="U781" s="12">
        <f>IF(T781&gt;0,IF(T781&lt;=eco,alpha*fck*(1-(1-T781/eco)^n),alpha*fck),0)</f>
      </c>
      <c r="V781" s="30">
        <f>PM_Angle!$J$13+PM_Angle!$K$13*$C781+PM_Angle!$L$13*$B781</f>
      </c>
      <c r="W781" s="12">
        <f>IF(V781&gt;0,IF(V781&lt;=eco,alpha*fck*(1-(1-V781/eco)^n),alpha*fck),0)</f>
      </c>
      <c r="X781" s="30">
        <f>PM_Angle!$J$14+PM_Angle!$K$14*$C781+PM_Angle!$L$14*$B781</f>
      </c>
      <c r="Y781" s="12">
        <f>IF(X781&gt;0,IF(X781&lt;=eco,alpha*fck*(1-(1-X781/eco)^n),alpha*fck),0)</f>
      </c>
      <c r="Z781" s="30">
        <f>PM_Angle!$J$15+PM_Angle!$K$15*$C781+PM_Angle!$L$15*$B781</f>
      </c>
      <c r="AA781" s="12">
        <f>IF(Z781&gt;0,IF(Z781&lt;=eco,alpha*fck*(1-(1-Z781/eco)^n),alpha*fck),0)</f>
      </c>
      <c r="AB781" s="30">
        <f>PM_Angle!$J$16+PM_Angle!$K$16*$C781+PM_Angle!$L$16*$B781</f>
      </c>
      <c r="AC781" s="12">
        <f>IF(AB781&gt;0,IF(AB781&lt;=eco,alpha*fck*(1-(1-AB781/eco)^n),alpha*fck),0)</f>
      </c>
      <c r="AD781" s="30">
        <f>PM_Angle!$J$17+PM_Angle!$K$17*$C781+PM_Angle!$L$17*$B781</f>
      </c>
      <c r="AE781" s="12">
        <f>IF(AD781&gt;0,IF(AD781&lt;=eco,alpha*fck*(1-(1-AD781/eco)^n),alpha*fck),0)</f>
      </c>
      <c r="AF781" s="30">
        <f>PM_Angle!$J$18+PM_Angle!$K$18*$C781+PM_Angle!$L$18*$B781</f>
      </c>
      <c r="AG781" s="12">
        <f>IF(AF781&gt;0,IF(AF781&lt;=eco,alpha*fck*(1-(1-AF781/eco)^n),alpha*fck),0)</f>
      </c>
      <c r="AH781" s="30">
        <f>PM_Angle!$J$19+PM_Angle!$K$19*$C781+PM_Angle!$L$19*$B781</f>
      </c>
      <c r="AI781" s="12">
        <f>IF(AH781&gt;0,IF(AH781&lt;=eco,alpha*fck*(1-(1-AH781/eco)^n),alpha*fck),0)</f>
      </c>
      <c r="AJ781" s="30">
        <f>PM_Angle!$J$20+PM_Angle!$K$20*$C781+PM_Angle!$L$20*$B781</f>
      </c>
      <c r="AK781" s="12">
        <f>IF(AJ781&gt;0,IF(AJ781&lt;=eco,alpha*fck*(1-(1-AJ781/eco)^n),alpha*fck),0)</f>
      </c>
      <c r="AL781" s="30">
        <f>PM_Angle!$J$21+PM_Angle!$K$21*$C781+PM_Angle!$L$21*$B781</f>
      </c>
      <c r="AM781" s="12">
        <f>IF(AL781&gt;0,IF(AL781&lt;=eco,alpha*fck*(1-(1-AL781/eco)^n),alpha*fck),0)</f>
      </c>
      <c r="AN781" s="30">
        <f>PM_Angle!$J$22+PM_Angle!$K$22*$C781+PM_Angle!$L$22*$B781</f>
      </c>
      <c r="AO781" s="12">
        <f>IF(AN781&gt;0,IF(AN781&lt;=eco,alpha*fck*(1-(1-AN781/eco)^n),alpha*fck),0)</f>
      </c>
      <c r="AP781" s="30">
        <f>PM_Angle!$J$23+PM_Angle!$K$23*$C781+PM_Angle!$L$23*$B781</f>
      </c>
      <c r="AQ781" s="12">
        <f>IF(AP781&gt;0,IF(AP781&lt;=eco,alpha*fck*(1-(1-AP781/eco)^n),alpha*fck),0)</f>
      </c>
      <c r="AR781" s="30">
        <f>PM_Angle!$J$24+PM_Angle!$K$24*$C781+PM_Angle!$L$24*$B781</f>
      </c>
      <c r="AS781" s="12">
        <f>IF(AR781&gt;0,IF(AR781&lt;=eco,alpha*fck*(1-(1-AR781/eco)^n),alpha*fck),0)</f>
      </c>
      <c r="AT781" s="30">
        <f>PM_Angle!$J$25+PM_Angle!$K$25*$C781+PM_Angle!$L$25*$B781</f>
      </c>
      <c r="AU781" s="12">
        <f>IF(AT781&gt;0,IF(AT781&lt;=eco,alpha*fck*(1-(1-AT781/eco)^n),alpha*fck),0)</f>
      </c>
    </row>
    <row r="782" spans="1:47" x14ac:dyDescent="0.25">
      <c r="A782">
        <f>Mesh!A779</f>
      </c>
      <c r="B782" s="12">
        <f>Mesh!B779</f>
      </c>
      <c r="C782" s="12">
        <f>Mesh!C779</f>
      </c>
      <c r="D782" s="12">
        <f>Mesh!D779</f>
      </c>
      <c r="E782" s="30">
        <f>INDEX(St_e0,Det+1)+INDEX(St_kx,Det+1)*C782+INDEX(St_ky,Det+1)*B782</f>
      </c>
      <c r="F782" s="12">
        <f>IF(E782&gt;0,IF(E782&lt;=eco,alpha*fck*(1-(1-E782/eco)^n),alpha*fck),0)</f>
      </c>
      <c r="G782" s="11">
        <f>F782*D782</f>
      </c>
      <c r="H782" s="11">
        <f>G782*C782</f>
      </c>
      <c r="I782" s="11">
        <f>G782*B782</f>
      </c>
      <c r="J782" s="30">
        <f>PM_Angle!$J$7+PM_Angle!$K$7*$C782+PM_Angle!$L$7*$B782</f>
      </c>
      <c r="K782" s="12">
        <f>IF(J782&gt;0,IF(J782&lt;=eco,alpha*fck*(1-(1-J782/eco)^n),alpha*fck),0)</f>
      </c>
      <c r="L782" s="30">
        <f>PM_Angle!$J$8+PM_Angle!$K$8*$C782+PM_Angle!$L$8*$B782</f>
      </c>
      <c r="M782" s="12">
        <f>IF(L782&gt;0,IF(L782&lt;=eco,alpha*fck*(1-(1-L782/eco)^n),alpha*fck),0)</f>
      </c>
      <c r="N782" s="30">
        <f>PM_Angle!$J$9+PM_Angle!$K$9*$C782+PM_Angle!$L$9*$B782</f>
      </c>
      <c r="O782" s="12">
        <f>IF(N782&gt;0,IF(N782&lt;=eco,alpha*fck*(1-(1-N782/eco)^n),alpha*fck),0)</f>
      </c>
      <c r="P782" s="30">
        <f>PM_Angle!$J$10+PM_Angle!$K$10*$C782+PM_Angle!$L$10*$B782</f>
      </c>
      <c r="Q782" s="12">
        <f>IF(P782&gt;0,IF(P782&lt;=eco,alpha*fck*(1-(1-P782/eco)^n),alpha*fck),0)</f>
      </c>
      <c r="R782" s="30">
        <f>PM_Angle!$J$11+PM_Angle!$K$11*$C782+PM_Angle!$L$11*$B782</f>
      </c>
      <c r="S782" s="12">
        <f>IF(R782&gt;0,IF(R782&lt;=eco,alpha*fck*(1-(1-R782/eco)^n),alpha*fck),0)</f>
      </c>
      <c r="T782" s="30">
        <f>PM_Angle!$J$12+PM_Angle!$K$12*$C782+PM_Angle!$L$12*$B782</f>
      </c>
      <c r="U782" s="12">
        <f>IF(T782&gt;0,IF(T782&lt;=eco,alpha*fck*(1-(1-T782/eco)^n),alpha*fck),0)</f>
      </c>
      <c r="V782" s="30">
        <f>PM_Angle!$J$13+PM_Angle!$K$13*$C782+PM_Angle!$L$13*$B782</f>
      </c>
      <c r="W782" s="12">
        <f>IF(V782&gt;0,IF(V782&lt;=eco,alpha*fck*(1-(1-V782/eco)^n),alpha*fck),0)</f>
      </c>
      <c r="X782" s="30">
        <f>PM_Angle!$J$14+PM_Angle!$K$14*$C782+PM_Angle!$L$14*$B782</f>
      </c>
      <c r="Y782" s="12">
        <f>IF(X782&gt;0,IF(X782&lt;=eco,alpha*fck*(1-(1-X782/eco)^n),alpha*fck),0)</f>
      </c>
      <c r="Z782" s="30">
        <f>PM_Angle!$J$15+PM_Angle!$K$15*$C782+PM_Angle!$L$15*$B782</f>
      </c>
      <c r="AA782" s="12">
        <f>IF(Z782&gt;0,IF(Z782&lt;=eco,alpha*fck*(1-(1-Z782/eco)^n),alpha*fck),0)</f>
      </c>
      <c r="AB782" s="30">
        <f>PM_Angle!$J$16+PM_Angle!$K$16*$C782+PM_Angle!$L$16*$B782</f>
      </c>
      <c r="AC782" s="12">
        <f>IF(AB782&gt;0,IF(AB782&lt;=eco,alpha*fck*(1-(1-AB782/eco)^n),alpha*fck),0)</f>
      </c>
      <c r="AD782" s="30">
        <f>PM_Angle!$J$17+PM_Angle!$K$17*$C782+PM_Angle!$L$17*$B782</f>
      </c>
      <c r="AE782" s="12">
        <f>IF(AD782&gt;0,IF(AD782&lt;=eco,alpha*fck*(1-(1-AD782/eco)^n),alpha*fck),0)</f>
      </c>
      <c r="AF782" s="30">
        <f>PM_Angle!$J$18+PM_Angle!$K$18*$C782+PM_Angle!$L$18*$B782</f>
      </c>
      <c r="AG782" s="12">
        <f>IF(AF782&gt;0,IF(AF782&lt;=eco,alpha*fck*(1-(1-AF782/eco)^n),alpha*fck),0)</f>
      </c>
      <c r="AH782" s="30">
        <f>PM_Angle!$J$19+PM_Angle!$K$19*$C782+PM_Angle!$L$19*$B782</f>
      </c>
      <c r="AI782" s="12">
        <f>IF(AH782&gt;0,IF(AH782&lt;=eco,alpha*fck*(1-(1-AH782/eco)^n),alpha*fck),0)</f>
      </c>
      <c r="AJ782" s="30">
        <f>PM_Angle!$J$20+PM_Angle!$K$20*$C782+PM_Angle!$L$20*$B782</f>
      </c>
      <c r="AK782" s="12">
        <f>IF(AJ782&gt;0,IF(AJ782&lt;=eco,alpha*fck*(1-(1-AJ782/eco)^n),alpha*fck),0)</f>
      </c>
      <c r="AL782" s="30">
        <f>PM_Angle!$J$21+PM_Angle!$K$21*$C782+PM_Angle!$L$21*$B782</f>
      </c>
      <c r="AM782" s="12">
        <f>IF(AL782&gt;0,IF(AL782&lt;=eco,alpha*fck*(1-(1-AL782/eco)^n),alpha*fck),0)</f>
      </c>
      <c r="AN782" s="30">
        <f>PM_Angle!$J$22+PM_Angle!$K$22*$C782+PM_Angle!$L$22*$B782</f>
      </c>
      <c r="AO782" s="12">
        <f>IF(AN782&gt;0,IF(AN782&lt;=eco,alpha*fck*(1-(1-AN782/eco)^n),alpha*fck),0)</f>
      </c>
      <c r="AP782" s="30">
        <f>PM_Angle!$J$23+PM_Angle!$K$23*$C782+PM_Angle!$L$23*$B782</f>
      </c>
      <c r="AQ782" s="12">
        <f>IF(AP782&gt;0,IF(AP782&lt;=eco,alpha*fck*(1-(1-AP782/eco)^n),alpha*fck),0)</f>
      </c>
      <c r="AR782" s="30">
        <f>PM_Angle!$J$24+PM_Angle!$K$24*$C782+PM_Angle!$L$24*$B782</f>
      </c>
      <c r="AS782" s="12">
        <f>IF(AR782&gt;0,IF(AR782&lt;=eco,alpha*fck*(1-(1-AR782/eco)^n),alpha*fck),0)</f>
      </c>
      <c r="AT782" s="30">
        <f>PM_Angle!$J$25+PM_Angle!$K$25*$C782+PM_Angle!$L$25*$B782</f>
      </c>
      <c r="AU782" s="12">
        <f>IF(AT782&gt;0,IF(AT782&lt;=eco,alpha*fck*(1-(1-AT782/eco)^n),alpha*fck),0)</f>
      </c>
    </row>
    <row r="783" spans="1:47" x14ac:dyDescent="0.25">
      <c r="A783">
        <f>Mesh!A780</f>
      </c>
      <c r="B783" s="12">
        <f>Mesh!B780</f>
      </c>
      <c r="C783" s="12">
        <f>Mesh!C780</f>
      </c>
      <c r="D783" s="12">
        <f>Mesh!D780</f>
      </c>
      <c r="E783" s="30">
        <f>INDEX(St_e0,Det+1)+INDEX(St_kx,Det+1)*C783+INDEX(St_ky,Det+1)*B783</f>
      </c>
      <c r="F783" s="12">
        <f>IF(E783&gt;0,IF(E783&lt;=eco,alpha*fck*(1-(1-E783/eco)^n),alpha*fck),0)</f>
      </c>
      <c r="G783" s="11">
        <f>F783*D783</f>
      </c>
      <c r="H783" s="11">
        <f>G783*C783</f>
      </c>
      <c r="I783" s="11">
        <f>G783*B783</f>
      </c>
      <c r="J783" s="30">
        <f>PM_Angle!$J$7+PM_Angle!$K$7*$C783+PM_Angle!$L$7*$B783</f>
      </c>
      <c r="K783" s="12">
        <f>IF(J783&gt;0,IF(J783&lt;=eco,alpha*fck*(1-(1-J783/eco)^n),alpha*fck),0)</f>
      </c>
      <c r="L783" s="30">
        <f>PM_Angle!$J$8+PM_Angle!$K$8*$C783+PM_Angle!$L$8*$B783</f>
      </c>
      <c r="M783" s="12">
        <f>IF(L783&gt;0,IF(L783&lt;=eco,alpha*fck*(1-(1-L783/eco)^n),alpha*fck),0)</f>
      </c>
      <c r="N783" s="30">
        <f>PM_Angle!$J$9+PM_Angle!$K$9*$C783+PM_Angle!$L$9*$B783</f>
      </c>
      <c r="O783" s="12">
        <f>IF(N783&gt;0,IF(N783&lt;=eco,alpha*fck*(1-(1-N783/eco)^n),alpha*fck),0)</f>
      </c>
      <c r="P783" s="30">
        <f>PM_Angle!$J$10+PM_Angle!$K$10*$C783+PM_Angle!$L$10*$B783</f>
      </c>
      <c r="Q783" s="12">
        <f>IF(P783&gt;0,IF(P783&lt;=eco,alpha*fck*(1-(1-P783/eco)^n),alpha*fck),0)</f>
      </c>
      <c r="R783" s="30">
        <f>PM_Angle!$J$11+PM_Angle!$K$11*$C783+PM_Angle!$L$11*$B783</f>
      </c>
      <c r="S783" s="12">
        <f>IF(R783&gt;0,IF(R783&lt;=eco,alpha*fck*(1-(1-R783/eco)^n),alpha*fck),0)</f>
      </c>
      <c r="T783" s="30">
        <f>PM_Angle!$J$12+PM_Angle!$K$12*$C783+PM_Angle!$L$12*$B783</f>
      </c>
      <c r="U783" s="12">
        <f>IF(T783&gt;0,IF(T783&lt;=eco,alpha*fck*(1-(1-T783/eco)^n),alpha*fck),0)</f>
      </c>
      <c r="V783" s="30">
        <f>PM_Angle!$J$13+PM_Angle!$K$13*$C783+PM_Angle!$L$13*$B783</f>
      </c>
      <c r="W783" s="12">
        <f>IF(V783&gt;0,IF(V783&lt;=eco,alpha*fck*(1-(1-V783/eco)^n),alpha*fck),0)</f>
      </c>
      <c r="X783" s="30">
        <f>PM_Angle!$J$14+PM_Angle!$K$14*$C783+PM_Angle!$L$14*$B783</f>
      </c>
      <c r="Y783" s="12">
        <f>IF(X783&gt;0,IF(X783&lt;=eco,alpha*fck*(1-(1-X783/eco)^n),alpha*fck),0)</f>
      </c>
      <c r="Z783" s="30">
        <f>PM_Angle!$J$15+PM_Angle!$K$15*$C783+PM_Angle!$L$15*$B783</f>
      </c>
      <c r="AA783" s="12">
        <f>IF(Z783&gt;0,IF(Z783&lt;=eco,alpha*fck*(1-(1-Z783/eco)^n),alpha*fck),0)</f>
      </c>
      <c r="AB783" s="30">
        <f>PM_Angle!$J$16+PM_Angle!$K$16*$C783+PM_Angle!$L$16*$B783</f>
      </c>
      <c r="AC783" s="12">
        <f>IF(AB783&gt;0,IF(AB783&lt;=eco,alpha*fck*(1-(1-AB783/eco)^n),alpha*fck),0)</f>
      </c>
      <c r="AD783" s="30">
        <f>PM_Angle!$J$17+PM_Angle!$K$17*$C783+PM_Angle!$L$17*$B783</f>
      </c>
      <c r="AE783" s="12">
        <f>IF(AD783&gt;0,IF(AD783&lt;=eco,alpha*fck*(1-(1-AD783/eco)^n),alpha*fck),0)</f>
      </c>
      <c r="AF783" s="30">
        <f>PM_Angle!$J$18+PM_Angle!$K$18*$C783+PM_Angle!$L$18*$B783</f>
      </c>
      <c r="AG783" s="12">
        <f>IF(AF783&gt;0,IF(AF783&lt;=eco,alpha*fck*(1-(1-AF783/eco)^n),alpha*fck),0)</f>
      </c>
      <c r="AH783" s="30">
        <f>PM_Angle!$J$19+PM_Angle!$K$19*$C783+PM_Angle!$L$19*$B783</f>
      </c>
      <c r="AI783" s="12">
        <f>IF(AH783&gt;0,IF(AH783&lt;=eco,alpha*fck*(1-(1-AH783/eco)^n),alpha*fck),0)</f>
      </c>
      <c r="AJ783" s="30">
        <f>PM_Angle!$J$20+PM_Angle!$K$20*$C783+PM_Angle!$L$20*$B783</f>
      </c>
      <c r="AK783" s="12">
        <f>IF(AJ783&gt;0,IF(AJ783&lt;=eco,alpha*fck*(1-(1-AJ783/eco)^n),alpha*fck),0)</f>
      </c>
      <c r="AL783" s="30">
        <f>PM_Angle!$J$21+PM_Angle!$K$21*$C783+PM_Angle!$L$21*$B783</f>
      </c>
      <c r="AM783" s="12">
        <f>IF(AL783&gt;0,IF(AL783&lt;=eco,alpha*fck*(1-(1-AL783/eco)^n),alpha*fck),0)</f>
      </c>
      <c r="AN783" s="30">
        <f>PM_Angle!$J$22+PM_Angle!$K$22*$C783+PM_Angle!$L$22*$B783</f>
      </c>
      <c r="AO783" s="12">
        <f>IF(AN783&gt;0,IF(AN783&lt;=eco,alpha*fck*(1-(1-AN783/eco)^n),alpha*fck),0)</f>
      </c>
      <c r="AP783" s="30">
        <f>PM_Angle!$J$23+PM_Angle!$K$23*$C783+PM_Angle!$L$23*$B783</f>
      </c>
      <c r="AQ783" s="12">
        <f>IF(AP783&gt;0,IF(AP783&lt;=eco,alpha*fck*(1-(1-AP783/eco)^n),alpha*fck),0)</f>
      </c>
      <c r="AR783" s="30">
        <f>PM_Angle!$J$24+PM_Angle!$K$24*$C783+PM_Angle!$L$24*$B783</f>
      </c>
      <c r="AS783" s="12">
        <f>IF(AR783&gt;0,IF(AR783&lt;=eco,alpha*fck*(1-(1-AR783/eco)^n),alpha*fck),0)</f>
      </c>
      <c r="AT783" s="30">
        <f>PM_Angle!$J$25+PM_Angle!$K$25*$C783+PM_Angle!$L$25*$B783</f>
      </c>
      <c r="AU783" s="12">
        <f>IF(AT783&gt;0,IF(AT783&lt;=eco,alpha*fck*(1-(1-AT783/eco)^n),alpha*fck),0)</f>
      </c>
    </row>
    <row r="784" spans="1:47" x14ac:dyDescent="0.25">
      <c r="A784">
        <f>Mesh!A781</f>
      </c>
      <c r="B784" s="12">
        <f>Mesh!B781</f>
      </c>
      <c r="C784" s="12">
        <f>Mesh!C781</f>
      </c>
      <c r="D784" s="12">
        <f>Mesh!D781</f>
      </c>
      <c r="E784" s="30">
        <f>INDEX(St_e0,Det+1)+INDEX(St_kx,Det+1)*C784+INDEX(St_ky,Det+1)*B784</f>
      </c>
      <c r="F784" s="12">
        <f>IF(E784&gt;0,IF(E784&lt;=eco,alpha*fck*(1-(1-E784/eco)^n),alpha*fck),0)</f>
      </c>
      <c r="G784" s="11">
        <f>F784*D784</f>
      </c>
      <c r="H784" s="11">
        <f>G784*C784</f>
      </c>
      <c r="I784" s="11">
        <f>G784*B784</f>
      </c>
      <c r="J784" s="30">
        <f>PM_Angle!$J$7+PM_Angle!$K$7*$C784+PM_Angle!$L$7*$B784</f>
      </c>
      <c r="K784" s="12">
        <f>IF(J784&gt;0,IF(J784&lt;=eco,alpha*fck*(1-(1-J784/eco)^n),alpha*fck),0)</f>
      </c>
      <c r="L784" s="30">
        <f>PM_Angle!$J$8+PM_Angle!$K$8*$C784+PM_Angle!$L$8*$B784</f>
      </c>
      <c r="M784" s="12">
        <f>IF(L784&gt;0,IF(L784&lt;=eco,alpha*fck*(1-(1-L784/eco)^n),alpha*fck),0)</f>
      </c>
      <c r="N784" s="30">
        <f>PM_Angle!$J$9+PM_Angle!$K$9*$C784+PM_Angle!$L$9*$B784</f>
      </c>
      <c r="O784" s="12">
        <f>IF(N784&gt;0,IF(N784&lt;=eco,alpha*fck*(1-(1-N784/eco)^n),alpha*fck),0)</f>
      </c>
      <c r="P784" s="30">
        <f>PM_Angle!$J$10+PM_Angle!$K$10*$C784+PM_Angle!$L$10*$B784</f>
      </c>
      <c r="Q784" s="12">
        <f>IF(P784&gt;0,IF(P784&lt;=eco,alpha*fck*(1-(1-P784/eco)^n),alpha*fck),0)</f>
      </c>
      <c r="R784" s="30">
        <f>PM_Angle!$J$11+PM_Angle!$K$11*$C784+PM_Angle!$L$11*$B784</f>
      </c>
      <c r="S784" s="12">
        <f>IF(R784&gt;0,IF(R784&lt;=eco,alpha*fck*(1-(1-R784/eco)^n),alpha*fck),0)</f>
      </c>
      <c r="T784" s="30">
        <f>PM_Angle!$J$12+PM_Angle!$K$12*$C784+PM_Angle!$L$12*$B784</f>
      </c>
      <c r="U784" s="12">
        <f>IF(T784&gt;0,IF(T784&lt;=eco,alpha*fck*(1-(1-T784/eco)^n),alpha*fck),0)</f>
      </c>
      <c r="V784" s="30">
        <f>PM_Angle!$J$13+PM_Angle!$K$13*$C784+PM_Angle!$L$13*$B784</f>
      </c>
      <c r="W784" s="12">
        <f>IF(V784&gt;0,IF(V784&lt;=eco,alpha*fck*(1-(1-V784/eco)^n),alpha*fck),0)</f>
      </c>
      <c r="X784" s="30">
        <f>PM_Angle!$J$14+PM_Angle!$K$14*$C784+PM_Angle!$L$14*$B784</f>
      </c>
      <c r="Y784" s="12">
        <f>IF(X784&gt;0,IF(X784&lt;=eco,alpha*fck*(1-(1-X784/eco)^n),alpha*fck),0)</f>
      </c>
      <c r="Z784" s="30">
        <f>PM_Angle!$J$15+PM_Angle!$K$15*$C784+PM_Angle!$L$15*$B784</f>
      </c>
      <c r="AA784" s="12">
        <f>IF(Z784&gt;0,IF(Z784&lt;=eco,alpha*fck*(1-(1-Z784/eco)^n),alpha*fck),0)</f>
      </c>
      <c r="AB784" s="30">
        <f>PM_Angle!$J$16+PM_Angle!$K$16*$C784+PM_Angle!$L$16*$B784</f>
      </c>
      <c r="AC784" s="12">
        <f>IF(AB784&gt;0,IF(AB784&lt;=eco,alpha*fck*(1-(1-AB784/eco)^n),alpha*fck),0)</f>
      </c>
      <c r="AD784" s="30">
        <f>PM_Angle!$J$17+PM_Angle!$K$17*$C784+PM_Angle!$L$17*$B784</f>
      </c>
      <c r="AE784" s="12">
        <f>IF(AD784&gt;0,IF(AD784&lt;=eco,alpha*fck*(1-(1-AD784/eco)^n),alpha*fck),0)</f>
      </c>
      <c r="AF784" s="30">
        <f>PM_Angle!$J$18+PM_Angle!$K$18*$C784+PM_Angle!$L$18*$B784</f>
      </c>
      <c r="AG784" s="12">
        <f>IF(AF784&gt;0,IF(AF784&lt;=eco,alpha*fck*(1-(1-AF784/eco)^n),alpha*fck),0)</f>
      </c>
      <c r="AH784" s="30">
        <f>PM_Angle!$J$19+PM_Angle!$K$19*$C784+PM_Angle!$L$19*$B784</f>
      </c>
      <c r="AI784" s="12">
        <f>IF(AH784&gt;0,IF(AH784&lt;=eco,alpha*fck*(1-(1-AH784/eco)^n),alpha*fck),0)</f>
      </c>
      <c r="AJ784" s="30">
        <f>PM_Angle!$J$20+PM_Angle!$K$20*$C784+PM_Angle!$L$20*$B784</f>
      </c>
      <c r="AK784" s="12">
        <f>IF(AJ784&gt;0,IF(AJ784&lt;=eco,alpha*fck*(1-(1-AJ784/eco)^n),alpha*fck),0)</f>
      </c>
      <c r="AL784" s="30">
        <f>PM_Angle!$J$21+PM_Angle!$K$21*$C784+PM_Angle!$L$21*$B784</f>
      </c>
      <c r="AM784" s="12">
        <f>IF(AL784&gt;0,IF(AL784&lt;=eco,alpha*fck*(1-(1-AL784/eco)^n),alpha*fck),0)</f>
      </c>
      <c r="AN784" s="30">
        <f>PM_Angle!$J$22+PM_Angle!$K$22*$C784+PM_Angle!$L$22*$B784</f>
      </c>
      <c r="AO784" s="12">
        <f>IF(AN784&gt;0,IF(AN784&lt;=eco,alpha*fck*(1-(1-AN784/eco)^n),alpha*fck),0)</f>
      </c>
      <c r="AP784" s="30">
        <f>PM_Angle!$J$23+PM_Angle!$K$23*$C784+PM_Angle!$L$23*$B784</f>
      </c>
      <c r="AQ784" s="12">
        <f>IF(AP784&gt;0,IF(AP784&lt;=eco,alpha*fck*(1-(1-AP784/eco)^n),alpha*fck),0)</f>
      </c>
      <c r="AR784" s="30">
        <f>PM_Angle!$J$24+PM_Angle!$K$24*$C784+PM_Angle!$L$24*$B784</f>
      </c>
      <c r="AS784" s="12">
        <f>IF(AR784&gt;0,IF(AR784&lt;=eco,alpha*fck*(1-(1-AR784/eco)^n),alpha*fck),0)</f>
      </c>
      <c r="AT784" s="30">
        <f>PM_Angle!$J$25+PM_Angle!$K$25*$C784+PM_Angle!$L$25*$B784</f>
      </c>
      <c r="AU784" s="12">
        <f>IF(AT784&gt;0,IF(AT784&lt;=eco,alpha*fck*(1-(1-AT784/eco)^n),alpha*fck),0)</f>
      </c>
    </row>
    <row r="785" spans="1:47" x14ac:dyDescent="0.25">
      <c r="A785">
        <f>Mesh!A782</f>
      </c>
      <c r="B785" s="12">
        <f>Mesh!B782</f>
      </c>
      <c r="C785" s="12">
        <f>Mesh!C782</f>
      </c>
      <c r="D785" s="12">
        <f>Mesh!D782</f>
      </c>
      <c r="E785" s="30">
        <f>INDEX(St_e0,Det+1)+INDEX(St_kx,Det+1)*C785+INDEX(St_ky,Det+1)*B785</f>
      </c>
      <c r="F785" s="12">
        <f>IF(E785&gt;0,IF(E785&lt;=eco,alpha*fck*(1-(1-E785/eco)^n),alpha*fck),0)</f>
      </c>
      <c r="G785" s="11">
        <f>F785*D785</f>
      </c>
      <c r="H785" s="11">
        <f>G785*C785</f>
      </c>
      <c r="I785" s="11">
        <f>G785*B785</f>
      </c>
      <c r="J785" s="30">
        <f>PM_Angle!$J$7+PM_Angle!$K$7*$C785+PM_Angle!$L$7*$B785</f>
      </c>
      <c r="K785" s="12">
        <f>IF(J785&gt;0,IF(J785&lt;=eco,alpha*fck*(1-(1-J785/eco)^n),alpha*fck),0)</f>
      </c>
      <c r="L785" s="30">
        <f>PM_Angle!$J$8+PM_Angle!$K$8*$C785+PM_Angle!$L$8*$B785</f>
      </c>
      <c r="M785" s="12">
        <f>IF(L785&gt;0,IF(L785&lt;=eco,alpha*fck*(1-(1-L785/eco)^n),alpha*fck),0)</f>
      </c>
      <c r="N785" s="30">
        <f>PM_Angle!$J$9+PM_Angle!$K$9*$C785+PM_Angle!$L$9*$B785</f>
      </c>
      <c r="O785" s="12">
        <f>IF(N785&gt;0,IF(N785&lt;=eco,alpha*fck*(1-(1-N785/eco)^n),alpha*fck),0)</f>
      </c>
      <c r="P785" s="30">
        <f>PM_Angle!$J$10+PM_Angle!$K$10*$C785+PM_Angle!$L$10*$B785</f>
      </c>
      <c r="Q785" s="12">
        <f>IF(P785&gt;0,IF(P785&lt;=eco,alpha*fck*(1-(1-P785/eco)^n),alpha*fck),0)</f>
      </c>
      <c r="R785" s="30">
        <f>PM_Angle!$J$11+PM_Angle!$K$11*$C785+PM_Angle!$L$11*$B785</f>
      </c>
      <c r="S785" s="12">
        <f>IF(R785&gt;0,IF(R785&lt;=eco,alpha*fck*(1-(1-R785/eco)^n),alpha*fck),0)</f>
      </c>
      <c r="T785" s="30">
        <f>PM_Angle!$J$12+PM_Angle!$K$12*$C785+PM_Angle!$L$12*$B785</f>
      </c>
      <c r="U785" s="12">
        <f>IF(T785&gt;0,IF(T785&lt;=eco,alpha*fck*(1-(1-T785/eco)^n),alpha*fck),0)</f>
      </c>
      <c r="V785" s="30">
        <f>PM_Angle!$J$13+PM_Angle!$K$13*$C785+PM_Angle!$L$13*$B785</f>
      </c>
      <c r="W785" s="12">
        <f>IF(V785&gt;0,IF(V785&lt;=eco,alpha*fck*(1-(1-V785/eco)^n),alpha*fck),0)</f>
      </c>
      <c r="X785" s="30">
        <f>PM_Angle!$J$14+PM_Angle!$K$14*$C785+PM_Angle!$L$14*$B785</f>
      </c>
      <c r="Y785" s="12">
        <f>IF(X785&gt;0,IF(X785&lt;=eco,alpha*fck*(1-(1-X785/eco)^n),alpha*fck),0)</f>
      </c>
      <c r="Z785" s="30">
        <f>PM_Angle!$J$15+PM_Angle!$K$15*$C785+PM_Angle!$L$15*$B785</f>
      </c>
      <c r="AA785" s="12">
        <f>IF(Z785&gt;0,IF(Z785&lt;=eco,alpha*fck*(1-(1-Z785/eco)^n),alpha*fck),0)</f>
      </c>
      <c r="AB785" s="30">
        <f>PM_Angle!$J$16+PM_Angle!$K$16*$C785+PM_Angle!$L$16*$B785</f>
      </c>
      <c r="AC785" s="12">
        <f>IF(AB785&gt;0,IF(AB785&lt;=eco,alpha*fck*(1-(1-AB785/eco)^n),alpha*fck),0)</f>
      </c>
      <c r="AD785" s="30">
        <f>PM_Angle!$J$17+PM_Angle!$K$17*$C785+PM_Angle!$L$17*$B785</f>
      </c>
      <c r="AE785" s="12">
        <f>IF(AD785&gt;0,IF(AD785&lt;=eco,alpha*fck*(1-(1-AD785/eco)^n),alpha*fck),0)</f>
      </c>
      <c r="AF785" s="30">
        <f>PM_Angle!$J$18+PM_Angle!$K$18*$C785+PM_Angle!$L$18*$B785</f>
      </c>
      <c r="AG785" s="12">
        <f>IF(AF785&gt;0,IF(AF785&lt;=eco,alpha*fck*(1-(1-AF785/eco)^n),alpha*fck),0)</f>
      </c>
      <c r="AH785" s="30">
        <f>PM_Angle!$J$19+PM_Angle!$K$19*$C785+PM_Angle!$L$19*$B785</f>
      </c>
      <c r="AI785" s="12">
        <f>IF(AH785&gt;0,IF(AH785&lt;=eco,alpha*fck*(1-(1-AH785/eco)^n),alpha*fck),0)</f>
      </c>
      <c r="AJ785" s="30">
        <f>PM_Angle!$J$20+PM_Angle!$K$20*$C785+PM_Angle!$L$20*$B785</f>
      </c>
      <c r="AK785" s="12">
        <f>IF(AJ785&gt;0,IF(AJ785&lt;=eco,alpha*fck*(1-(1-AJ785/eco)^n),alpha*fck),0)</f>
      </c>
      <c r="AL785" s="30">
        <f>PM_Angle!$J$21+PM_Angle!$K$21*$C785+PM_Angle!$L$21*$B785</f>
      </c>
      <c r="AM785" s="12">
        <f>IF(AL785&gt;0,IF(AL785&lt;=eco,alpha*fck*(1-(1-AL785/eco)^n),alpha*fck),0)</f>
      </c>
      <c r="AN785" s="30">
        <f>PM_Angle!$J$22+PM_Angle!$K$22*$C785+PM_Angle!$L$22*$B785</f>
      </c>
      <c r="AO785" s="12">
        <f>IF(AN785&gt;0,IF(AN785&lt;=eco,alpha*fck*(1-(1-AN785/eco)^n),alpha*fck),0)</f>
      </c>
      <c r="AP785" s="30">
        <f>PM_Angle!$J$23+PM_Angle!$K$23*$C785+PM_Angle!$L$23*$B785</f>
      </c>
      <c r="AQ785" s="12">
        <f>IF(AP785&gt;0,IF(AP785&lt;=eco,alpha*fck*(1-(1-AP785/eco)^n),alpha*fck),0)</f>
      </c>
      <c r="AR785" s="30">
        <f>PM_Angle!$J$24+PM_Angle!$K$24*$C785+PM_Angle!$L$24*$B785</f>
      </c>
      <c r="AS785" s="12">
        <f>IF(AR785&gt;0,IF(AR785&lt;=eco,alpha*fck*(1-(1-AR785/eco)^n),alpha*fck),0)</f>
      </c>
      <c r="AT785" s="30">
        <f>PM_Angle!$J$25+PM_Angle!$K$25*$C785+PM_Angle!$L$25*$B785</f>
      </c>
      <c r="AU785" s="12">
        <f>IF(AT785&gt;0,IF(AT785&lt;=eco,alpha*fck*(1-(1-AT785/eco)^n),alpha*fck),0)</f>
      </c>
    </row>
    <row r="786" spans="1:47" x14ac:dyDescent="0.25">
      <c r="A786">
        <f>Mesh!A783</f>
      </c>
      <c r="B786" s="12">
        <f>Mesh!B783</f>
      </c>
      <c r="C786" s="12">
        <f>Mesh!C783</f>
      </c>
      <c r="D786" s="12">
        <f>Mesh!D783</f>
      </c>
      <c r="E786" s="30">
        <f>INDEX(St_e0,Det+1)+INDEX(St_kx,Det+1)*C786+INDEX(St_ky,Det+1)*B786</f>
      </c>
      <c r="F786" s="12">
        <f>IF(E786&gt;0,IF(E786&lt;=eco,alpha*fck*(1-(1-E786/eco)^n),alpha*fck),0)</f>
      </c>
      <c r="G786" s="11">
        <f>F786*D786</f>
      </c>
      <c r="H786" s="11">
        <f>G786*C786</f>
      </c>
      <c r="I786" s="11">
        <f>G786*B786</f>
      </c>
      <c r="J786" s="30">
        <f>PM_Angle!$J$7+PM_Angle!$K$7*$C786+PM_Angle!$L$7*$B786</f>
      </c>
      <c r="K786" s="12">
        <f>IF(J786&gt;0,IF(J786&lt;=eco,alpha*fck*(1-(1-J786/eco)^n),alpha*fck),0)</f>
      </c>
      <c r="L786" s="30">
        <f>PM_Angle!$J$8+PM_Angle!$K$8*$C786+PM_Angle!$L$8*$B786</f>
      </c>
      <c r="M786" s="12">
        <f>IF(L786&gt;0,IF(L786&lt;=eco,alpha*fck*(1-(1-L786/eco)^n),alpha*fck),0)</f>
      </c>
      <c r="N786" s="30">
        <f>PM_Angle!$J$9+PM_Angle!$K$9*$C786+PM_Angle!$L$9*$B786</f>
      </c>
      <c r="O786" s="12">
        <f>IF(N786&gt;0,IF(N786&lt;=eco,alpha*fck*(1-(1-N786/eco)^n),alpha*fck),0)</f>
      </c>
      <c r="P786" s="30">
        <f>PM_Angle!$J$10+PM_Angle!$K$10*$C786+PM_Angle!$L$10*$B786</f>
      </c>
      <c r="Q786" s="12">
        <f>IF(P786&gt;0,IF(P786&lt;=eco,alpha*fck*(1-(1-P786/eco)^n),alpha*fck),0)</f>
      </c>
      <c r="R786" s="30">
        <f>PM_Angle!$J$11+PM_Angle!$K$11*$C786+PM_Angle!$L$11*$B786</f>
      </c>
      <c r="S786" s="12">
        <f>IF(R786&gt;0,IF(R786&lt;=eco,alpha*fck*(1-(1-R786/eco)^n),alpha*fck),0)</f>
      </c>
      <c r="T786" s="30">
        <f>PM_Angle!$J$12+PM_Angle!$K$12*$C786+PM_Angle!$L$12*$B786</f>
      </c>
      <c r="U786" s="12">
        <f>IF(T786&gt;0,IF(T786&lt;=eco,alpha*fck*(1-(1-T786/eco)^n),alpha*fck),0)</f>
      </c>
      <c r="V786" s="30">
        <f>PM_Angle!$J$13+PM_Angle!$K$13*$C786+PM_Angle!$L$13*$B786</f>
      </c>
      <c r="W786" s="12">
        <f>IF(V786&gt;0,IF(V786&lt;=eco,alpha*fck*(1-(1-V786/eco)^n),alpha*fck),0)</f>
      </c>
      <c r="X786" s="30">
        <f>PM_Angle!$J$14+PM_Angle!$K$14*$C786+PM_Angle!$L$14*$B786</f>
      </c>
      <c r="Y786" s="12">
        <f>IF(X786&gt;0,IF(X786&lt;=eco,alpha*fck*(1-(1-X786/eco)^n),alpha*fck),0)</f>
      </c>
      <c r="Z786" s="30">
        <f>PM_Angle!$J$15+PM_Angle!$K$15*$C786+PM_Angle!$L$15*$B786</f>
      </c>
      <c r="AA786" s="12">
        <f>IF(Z786&gt;0,IF(Z786&lt;=eco,alpha*fck*(1-(1-Z786/eco)^n),alpha*fck),0)</f>
      </c>
      <c r="AB786" s="30">
        <f>PM_Angle!$J$16+PM_Angle!$K$16*$C786+PM_Angle!$L$16*$B786</f>
      </c>
      <c r="AC786" s="12">
        <f>IF(AB786&gt;0,IF(AB786&lt;=eco,alpha*fck*(1-(1-AB786/eco)^n),alpha*fck),0)</f>
      </c>
      <c r="AD786" s="30">
        <f>PM_Angle!$J$17+PM_Angle!$K$17*$C786+PM_Angle!$L$17*$B786</f>
      </c>
      <c r="AE786" s="12">
        <f>IF(AD786&gt;0,IF(AD786&lt;=eco,alpha*fck*(1-(1-AD786/eco)^n),alpha*fck),0)</f>
      </c>
      <c r="AF786" s="30">
        <f>PM_Angle!$J$18+PM_Angle!$K$18*$C786+PM_Angle!$L$18*$B786</f>
      </c>
      <c r="AG786" s="12">
        <f>IF(AF786&gt;0,IF(AF786&lt;=eco,alpha*fck*(1-(1-AF786/eco)^n),alpha*fck),0)</f>
      </c>
      <c r="AH786" s="30">
        <f>PM_Angle!$J$19+PM_Angle!$K$19*$C786+PM_Angle!$L$19*$B786</f>
      </c>
      <c r="AI786" s="12">
        <f>IF(AH786&gt;0,IF(AH786&lt;=eco,alpha*fck*(1-(1-AH786/eco)^n),alpha*fck),0)</f>
      </c>
      <c r="AJ786" s="30">
        <f>PM_Angle!$J$20+PM_Angle!$K$20*$C786+PM_Angle!$L$20*$B786</f>
      </c>
      <c r="AK786" s="12">
        <f>IF(AJ786&gt;0,IF(AJ786&lt;=eco,alpha*fck*(1-(1-AJ786/eco)^n),alpha*fck),0)</f>
      </c>
      <c r="AL786" s="30">
        <f>PM_Angle!$J$21+PM_Angle!$K$21*$C786+PM_Angle!$L$21*$B786</f>
      </c>
      <c r="AM786" s="12">
        <f>IF(AL786&gt;0,IF(AL786&lt;=eco,alpha*fck*(1-(1-AL786/eco)^n),alpha*fck),0)</f>
      </c>
      <c r="AN786" s="30">
        <f>PM_Angle!$J$22+PM_Angle!$K$22*$C786+PM_Angle!$L$22*$B786</f>
      </c>
      <c r="AO786" s="12">
        <f>IF(AN786&gt;0,IF(AN786&lt;=eco,alpha*fck*(1-(1-AN786/eco)^n),alpha*fck),0)</f>
      </c>
      <c r="AP786" s="30">
        <f>PM_Angle!$J$23+PM_Angle!$K$23*$C786+PM_Angle!$L$23*$B786</f>
      </c>
      <c r="AQ786" s="12">
        <f>IF(AP786&gt;0,IF(AP786&lt;=eco,alpha*fck*(1-(1-AP786/eco)^n),alpha*fck),0)</f>
      </c>
      <c r="AR786" s="30">
        <f>PM_Angle!$J$24+PM_Angle!$K$24*$C786+PM_Angle!$L$24*$B786</f>
      </c>
      <c r="AS786" s="12">
        <f>IF(AR786&gt;0,IF(AR786&lt;=eco,alpha*fck*(1-(1-AR786/eco)^n),alpha*fck),0)</f>
      </c>
      <c r="AT786" s="30">
        <f>PM_Angle!$J$25+PM_Angle!$K$25*$C786+PM_Angle!$L$25*$B786</f>
      </c>
      <c r="AU786" s="12">
        <f>IF(AT786&gt;0,IF(AT786&lt;=eco,alpha*fck*(1-(1-AT786/eco)^n),alpha*fck),0)</f>
      </c>
    </row>
    <row r="787" spans="1:47" x14ac:dyDescent="0.25">
      <c r="A787">
        <f>Mesh!A784</f>
      </c>
      <c r="B787" s="12">
        <f>Mesh!B784</f>
      </c>
      <c r="C787" s="12">
        <f>Mesh!C784</f>
      </c>
      <c r="D787" s="12">
        <f>Mesh!D784</f>
      </c>
      <c r="E787" s="30">
        <f>INDEX(St_e0,Det+1)+INDEX(St_kx,Det+1)*C787+INDEX(St_ky,Det+1)*B787</f>
      </c>
      <c r="F787" s="12">
        <f>IF(E787&gt;0,IF(E787&lt;=eco,alpha*fck*(1-(1-E787/eco)^n),alpha*fck),0)</f>
      </c>
      <c r="G787" s="11">
        <f>F787*D787</f>
      </c>
      <c r="H787" s="11">
        <f>G787*C787</f>
      </c>
      <c r="I787" s="11">
        <f>G787*B787</f>
      </c>
      <c r="J787" s="30">
        <f>PM_Angle!$J$7+PM_Angle!$K$7*$C787+PM_Angle!$L$7*$B787</f>
      </c>
      <c r="K787" s="12">
        <f>IF(J787&gt;0,IF(J787&lt;=eco,alpha*fck*(1-(1-J787/eco)^n),alpha*fck),0)</f>
      </c>
      <c r="L787" s="30">
        <f>PM_Angle!$J$8+PM_Angle!$K$8*$C787+PM_Angle!$L$8*$B787</f>
      </c>
      <c r="M787" s="12">
        <f>IF(L787&gt;0,IF(L787&lt;=eco,alpha*fck*(1-(1-L787/eco)^n),alpha*fck),0)</f>
      </c>
      <c r="N787" s="30">
        <f>PM_Angle!$J$9+PM_Angle!$K$9*$C787+PM_Angle!$L$9*$B787</f>
      </c>
      <c r="O787" s="12">
        <f>IF(N787&gt;0,IF(N787&lt;=eco,alpha*fck*(1-(1-N787/eco)^n),alpha*fck),0)</f>
      </c>
      <c r="P787" s="30">
        <f>PM_Angle!$J$10+PM_Angle!$K$10*$C787+PM_Angle!$L$10*$B787</f>
      </c>
      <c r="Q787" s="12">
        <f>IF(P787&gt;0,IF(P787&lt;=eco,alpha*fck*(1-(1-P787/eco)^n),alpha*fck),0)</f>
      </c>
      <c r="R787" s="30">
        <f>PM_Angle!$J$11+PM_Angle!$K$11*$C787+PM_Angle!$L$11*$B787</f>
      </c>
      <c r="S787" s="12">
        <f>IF(R787&gt;0,IF(R787&lt;=eco,alpha*fck*(1-(1-R787/eco)^n),alpha*fck),0)</f>
      </c>
      <c r="T787" s="30">
        <f>PM_Angle!$J$12+PM_Angle!$K$12*$C787+PM_Angle!$L$12*$B787</f>
      </c>
      <c r="U787" s="12">
        <f>IF(T787&gt;0,IF(T787&lt;=eco,alpha*fck*(1-(1-T787/eco)^n),alpha*fck),0)</f>
      </c>
      <c r="V787" s="30">
        <f>PM_Angle!$J$13+PM_Angle!$K$13*$C787+PM_Angle!$L$13*$B787</f>
      </c>
      <c r="W787" s="12">
        <f>IF(V787&gt;0,IF(V787&lt;=eco,alpha*fck*(1-(1-V787/eco)^n),alpha*fck),0)</f>
      </c>
      <c r="X787" s="30">
        <f>PM_Angle!$J$14+PM_Angle!$K$14*$C787+PM_Angle!$L$14*$B787</f>
      </c>
      <c r="Y787" s="12">
        <f>IF(X787&gt;0,IF(X787&lt;=eco,alpha*fck*(1-(1-X787/eco)^n),alpha*fck),0)</f>
      </c>
      <c r="Z787" s="30">
        <f>PM_Angle!$J$15+PM_Angle!$K$15*$C787+PM_Angle!$L$15*$B787</f>
      </c>
      <c r="AA787" s="12">
        <f>IF(Z787&gt;0,IF(Z787&lt;=eco,alpha*fck*(1-(1-Z787/eco)^n),alpha*fck),0)</f>
      </c>
      <c r="AB787" s="30">
        <f>PM_Angle!$J$16+PM_Angle!$K$16*$C787+PM_Angle!$L$16*$B787</f>
      </c>
      <c r="AC787" s="12">
        <f>IF(AB787&gt;0,IF(AB787&lt;=eco,alpha*fck*(1-(1-AB787/eco)^n),alpha*fck),0)</f>
      </c>
      <c r="AD787" s="30">
        <f>PM_Angle!$J$17+PM_Angle!$K$17*$C787+PM_Angle!$L$17*$B787</f>
      </c>
      <c r="AE787" s="12">
        <f>IF(AD787&gt;0,IF(AD787&lt;=eco,alpha*fck*(1-(1-AD787/eco)^n),alpha*fck),0)</f>
      </c>
      <c r="AF787" s="30">
        <f>PM_Angle!$J$18+PM_Angle!$K$18*$C787+PM_Angle!$L$18*$B787</f>
      </c>
      <c r="AG787" s="12">
        <f>IF(AF787&gt;0,IF(AF787&lt;=eco,alpha*fck*(1-(1-AF787/eco)^n),alpha*fck),0)</f>
      </c>
      <c r="AH787" s="30">
        <f>PM_Angle!$J$19+PM_Angle!$K$19*$C787+PM_Angle!$L$19*$B787</f>
      </c>
      <c r="AI787" s="12">
        <f>IF(AH787&gt;0,IF(AH787&lt;=eco,alpha*fck*(1-(1-AH787/eco)^n),alpha*fck),0)</f>
      </c>
      <c r="AJ787" s="30">
        <f>PM_Angle!$J$20+PM_Angle!$K$20*$C787+PM_Angle!$L$20*$B787</f>
      </c>
      <c r="AK787" s="12">
        <f>IF(AJ787&gt;0,IF(AJ787&lt;=eco,alpha*fck*(1-(1-AJ787/eco)^n),alpha*fck),0)</f>
      </c>
      <c r="AL787" s="30">
        <f>PM_Angle!$J$21+PM_Angle!$K$21*$C787+PM_Angle!$L$21*$B787</f>
      </c>
      <c r="AM787" s="12">
        <f>IF(AL787&gt;0,IF(AL787&lt;=eco,alpha*fck*(1-(1-AL787/eco)^n),alpha*fck),0)</f>
      </c>
      <c r="AN787" s="30">
        <f>PM_Angle!$J$22+PM_Angle!$K$22*$C787+PM_Angle!$L$22*$B787</f>
      </c>
      <c r="AO787" s="12">
        <f>IF(AN787&gt;0,IF(AN787&lt;=eco,alpha*fck*(1-(1-AN787/eco)^n),alpha*fck),0)</f>
      </c>
      <c r="AP787" s="30">
        <f>PM_Angle!$J$23+PM_Angle!$K$23*$C787+PM_Angle!$L$23*$B787</f>
      </c>
      <c r="AQ787" s="12">
        <f>IF(AP787&gt;0,IF(AP787&lt;=eco,alpha*fck*(1-(1-AP787/eco)^n),alpha*fck),0)</f>
      </c>
      <c r="AR787" s="30">
        <f>PM_Angle!$J$24+PM_Angle!$K$24*$C787+PM_Angle!$L$24*$B787</f>
      </c>
      <c r="AS787" s="12">
        <f>IF(AR787&gt;0,IF(AR787&lt;=eco,alpha*fck*(1-(1-AR787/eco)^n),alpha*fck),0)</f>
      </c>
      <c r="AT787" s="30">
        <f>PM_Angle!$J$25+PM_Angle!$K$25*$C787+PM_Angle!$L$25*$B787</f>
      </c>
      <c r="AU787" s="12">
        <f>IF(AT787&gt;0,IF(AT787&lt;=eco,alpha*fck*(1-(1-AT787/eco)^n),alpha*fck),0)</f>
      </c>
    </row>
    <row r="788" spans="1:47" x14ac:dyDescent="0.25">
      <c r="A788">
        <f>Mesh!A785</f>
      </c>
      <c r="B788" s="12">
        <f>Mesh!B785</f>
      </c>
      <c r="C788" s="12">
        <f>Mesh!C785</f>
      </c>
      <c r="D788" s="12">
        <f>Mesh!D785</f>
      </c>
      <c r="E788" s="30">
        <f>INDEX(St_e0,Det+1)+INDEX(St_kx,Det+1)*C788+INDEX(St_ky,Det+1)*B788</f>
      </c>
      <c r="F788" s="12">
        <f>IF(E788&gt;0,IF(E788&lt;=eco,alpha*fck*(1-(1-E788/eco)^n),alpha*fck),0)</f>
      </c>
      <c r="G788" s="11">
        <f>F788*D788</f>
      </c>
      <c r="H788" s="11">
        <f>G788*C788</f>
      </c>
      <c r="I788" s="11">
        <f>G788*B788</f>
      </c>
      <c r="J788" s="30">
        <f>PM_Angle!$J$7+PM_Angle!$K$7*$C788+PM_Angle!$L$7*$B788</f>
      </c>
      <c r="K788" s="12">
        <f>IF(J788&gt;0,IF(J788&lt;=eco,alpha*fck*(1-(1-J788/eco)^n),alpha*fck),0)</f>
      </c>
      <c r="L788" s="30">
        <f>PM_Angle!$J$8+PM_Angle!$K$8*$C788+PM_Angle!$L$8*$B788</f>
      </c>
      <c r="M788" s="12">
        <f>IF(L788&gt;0,IF(L788&lt;=eco,alpha*fck*(1-(1-L788/eco)^n),alpha*fck),0)</f>
      </c>
      <c r="N788" s="30">
        <f>PM_Angle!$J$9+PM_Angle!$K$9*$C788+PM_Angle!$L$9*$B788</f>
      </c>
      <c r="O788" s="12">
        <f>IF(N788&gt;0,IF(N788&lt;=eco,alpha*fck*(1-(1-N788/eco)^n),alpha*fck),0)</f>
      </c>
      <c r="P788" s="30">
        <f>PM_Angle!$J$10+PM_Angle!$K$10*$C788+PM_Angle!$L$10*$B788</f>
      </c>
      <c r="Q788" s="12">
        <f>IF(P788&gt;0,IF(P788&lt;=eco,alpha*fck*(1-(1-P788/eco)^n),alpha*fck),0)</f>
      </c>
      <c r="R788" s="30">
        <f>PM_Angle!$J$11+PM_Angle!$K$11*$C788+PM_Angle!$L$11*$B788</f>
      </c>
      <c r="S788" s="12">
        <f>IF(R788&gt;0,IF(R788&lt;=eco,alpha*fck*(1-(1-R788/eco)^n),alpha*fck),0)</f>
      </c>
      <c r="T788" s="30">
        <f>PM_Angle!$J$12+PM_Angle!$K$12*$C788+PM_Angle!$L$12*$B788</f>
      </c>
      <c r="U788" s="12">
        <f>IF(T788&gt;0,IF(T788&lt;=eco,alpha*fck*(1-(1-T788/eco)^n),alpha*fck),0)</f>
      </c>
      <c r="V788" s="30">
        <f>PM_Angle!$J$13+PM_Angle!$K$13*$C788+PM_Angle!$L$13*$B788</f>
      </c>
      <c r="W788" s="12">
        <f>IF(V788&gt;0,IF(V788&lt;=eco,alpha*fck*(1-(1-V788/eco)^n),alpha*fck),0)</f>
      </c>
      <c r="X788" s="30">
        <f>PM_Angle!$J$14+PM_Angle!$K$14*$C788+PM_Angle!$L$14*$B788</f>
      </c>
      <c r="Y788" s="12">
        <f>IF(X788&gt;0,IF(X788&lt;=eco,alpha*fck*(1-(1-X788/eco)^n),alpha*fck),0)</f>
      </c>
      <c r="Z788" s="30">
        <f>PM_Angle!$J$15+PM_Angle!$K$15*$C788+PM_Angle!$L$15*$B788</f>
      </c>
      <c r="AA788" s="12">
        <f>IF(Z788&gt;0,IF(Z788&lt;=eco,alpha*fck*(1-(1-Z788/eco)^n),alpha*fck),0)</f>
      </c>
      <c r="AB788" s="30">
        <f>PM_Angle!$J$16+PM_Angle!$K$16*$C788+PM_Angle!$L$16*$B788</f>
      </c>
      <c r="AC788" s="12">
        <f>IF(AB788&gt;0,IF(AB788&lt;=eco,alpha*fck*(1-(1-AB788/eco)^n),alpha*fck),0)</f>
      </c>
      <c r="AD788" s="30">
        <f>PM_Angle!$J$17+PM_Angle!$K$17*$C788+PM_Angle!$L$17*$B788</f>
      </c>
      <c r="AE788" s="12">
        <f>IF(AD788&gt;0,IF(AD788&lt;=eco,alpha*fck*(1-(1-AD788/eco)^n),alpha*fck),0)</f>
      </c>
      <c r="AF788" s="30">
        <f>PM_Angle!$J$18+PM_Angle!$K$18*$C788+PM_Angle!$L$18*$B788</f>
      </c>
      <c r="AG788" s="12">
        <f>IF(AF788&gt;0,IF(AF788&lt;=eco,alpha*fck*(1-(1-AF788/eco)^n),alpha*fck),0)</f>
      </c>
      <c r="AH788" s="30">
        <f>PM_Angle!$J$19+PM_Angle!$K$19*$C788+PM_Angle!$L$19*$B788</f>
      </c>
      <c r="AI788" s="12">
        <f>IF(AH788&gt;0,IF(AH788&lt;=eco,alpha*fck*(1-(1-AH788/eco)^n),alpha*fck),0)</f>
      </c>
      <c r="AJ788" s="30">
        <f>PM_Angle!$J$20+PM_Angle!$K$20*$C788+PM_Angle!$L$20*$B788</f>
      </c>
      <c r="AK788" s="12">
        <f>IF(AJ788&gt;0,IF(AJ788&lt;=eco,alpha*fck*(1-(1-AJ788/eco)^n),alpha*fck),0)</f>
      </c>
      <c r="AL788" s="30">
        <f>PM_Angle!$J$21+PM_Angle!$K$21*$C788+PM_Angle!$L$21*$B788</f>
      </c>
      <c r="AM788" s="12">
        <f>IF(AL788&gt;0,IF(AL788&lt;=eco,alpha*fck*(1-(1-AL788/eco)^n),alpha*fck),0)</f>
      </c>
      <c r="AN788" s="30">
        <f>PM_Angle!$J$22+PM_Angle!$K$22*$C788+PM_Angle!$L$22*$B788</f>
      </c>
      <c r="AO788" s="12">
        <f>IF(AN788&gt;0,IF(AN788&lt;=eco,alpha*fck*(1-(1-AN788/eco)^n),alpha*fck),0)</f>
      </c>
      <c r="AP788" s="30">
        <f>PM_Angle!$J$23+PM_Angle!$K$23*$C788+PM_Angle!$L$23*$B788</f>
      </c>
      <c r="AQ788" s="12">
        <f>IF(AP788&gt;0,IF(AP788&lt;=eco,alpha*fck*(1-(1-AP788/eco)^n),alpha*fck),0)</f>
      </c>
      <c r="AR788" s="30">
        <f>PM_Angle!$J$24+PM_Angle!$K$24*$C788+PM_Angle!$L$24*$B788</f>
      </c>
      <c r="AS788" s="12">
        <f>IF(AR788&gt;0,IF(AR788&lt;=eco,alpha*fck*(1-(1-AR788/eco)^n),alpha*fck),0)</f>
      </c>
      <c r="AT788" s="30">
        <f>PM_Angle!$J$25+PM_Angle!$K$25*$C788+PM_Angle!$L$25*$B788</f>
      </c>
      <c r="AU788" s="12">
        <f>IF(AT788&gt;0,IF(AT788&lt;=eco,alpha*fck*(1-(1-AT788/eco)^n),alpha*fck),0)</f>
      </c>
    </row>
    <row r="789" spans="1:47" x14ac:dyDescent="0.25">
      <c r="A789">
        <f>Mesh!A786</f>
      </c>
      <c r="B789" s="12">
        <f>Mesh!B786</f>
      </c>
      <c r="C789" s="12">
        <f>Mesh!C786</f>
      </c>
      <c r="D789" s="12">
        <f>Mesh!D786</f>
      </c>
      <c r="E789" s="30">
        <f>INDEX(St_e0,Det+1)+INDEX(St_kx,Det+1)*C789+INDEX(St_ky,Det+1)*B789</f>
      </c>
      <c r="F789" s="12">
        <f>IF(E789&gt;0,IF(E789&lt;=eco,alpha*fck*(1-(1-E789/eco)^n),alpha*fck),0)</f>
      </c>
      <c r="G789" s="11">
        <f>F789*D789</f>
      </c>
      <c r="H789" s="11">
        <f>G789*C789</f>
      </c>
      <c r="I789" s="11">
        <f>G789*B789</f>
      </c>
      <c r="J789" s="30">
        <f>PM_Angle!$J$7+PM_Angle!$K$7*$C789+PM_Angle!$L$7*$B789</f>
      </c>
      <c r="K789" s="12">
        <f>IF(J789&gt;0,IF(J789&lt;=eco,alpha*fck*(1-(1-J789/eco)^n),alpha*fck),0)</f>
      </c>
      <c r="L789" s="30">
        <f>PM_Angle!$J$8+PM_Angle!$K$8*$C789+PM_Angle!$L$8*$B789</f>
      </c>
      <c r="M789" s="12">
        <f>IF(L789&gt;0,IF(L789&lt;=eco,alpha*fck*(1-(1-L789/eco)^n),alpha*fck),0)</f>
      </c>
      <c r="N789" s="30">
        <f>PM_Angle!$J$9+PM_Angle!$K$9*$C789+PM_Angle!$L$9*$B789</f>
      </c>
      <c r="O789" s="12">
        <f>IF(N789&gt;0,IF(N789&lt;=eco,alpha*fck*(1-(1-N789/eco)^n),alpha*fck),0)</f>
      </c>
      <c r="P789" s="30">
        <f>PM_Angle!$J$10+PM_Angle!$K$10*$C789+PM_Angle!$L$10*$B789</f>
      </c>
      <c r="Q789" s="12">
        <f>IF(P789&gt;0,IF(P789&lt;=eco,alpha*fck*(1-(1-P789/eco)^n),alpha*fck),0)</f>
      </c>
      <c r="R789" s="30">
        <f>PM_Angle!$J$11+PM_Angle!$K$11*$C789+PM_Angle!$L$11*$B789</f>
      </c>
      <c r="S789" s="12">
        <f>IF(R789&gt;0,IF(R789&lt;=eco,alpha*fck*(1-(1-R789/eco)^n),alpha*fck),0)</f>
      </c>
      <c r="T789" s="30">
        <f>PM_Angle!$J$12+PM_Angle!$K$12*$C789+PM_Angle!$L$12*$B789</f>
      </c>
      <c r="U789" s="12">
        <f>IF(T789&gt;0,IF(T789&lt;=eco,alpha*fck*(1-(1-T789/eco)^n),alpha*fck),0)</f>
      </c>
      <c r="V789" s="30">
        <f>PM_Angle!$J$13+PM_Angle!$K$13*$C789+PM_Angle!$L$13*$B789</f>
      </c>
      <c r="W789" s="12">
        <f>IF(V789&gt;0,IF(V789&lt;=eco,alpha*fck*(1-(1-V789/eco)^n),alpha*fck),0)</f>
      </c>
      <c r="X789" s="30">
        <f>PM_Angle!$J$14+PM_Angle!$K$14*$C789+PM_Angle!$L$14*$B789</f>
      </c>
      <c r="Y789" s="12">
        <f>IF(X789&gt;0,IF(X789&lt;=eco,alpha*fck*(1-(1-X789/eco)^n),alpha*fck),0)</f>
      </c>
      <c r="Z789" s="30">
        <f>PM_Angle!$J$15+PM_Angle!$K$15*$C789+PM_Angle!$L$15*$B789</f>
      </c>
      <c r="AA789" s="12">
        <f>IF(Z789&gt;0,IF(Z789&lt;=eco,alpha*fck*(1-(1-Z789/eco)^n),alpha*fck),0)</f>
      </c>
      <c r="AB789" s="30">
        <f>PM_Angle!$J$16+PM_Angle!$K$16*$C789+PM_Angle!$L$16*$B789</f>
      </c>
      <c r="AC789" s="12">
        <f>IF(AB789&gt;0,IF(AB789&lt;=eco,alpha*fck*(1-(1-AB789/eco)^n),alpha*fck),0)</f>
      </c>
      <c r="AD789" s="30">
        <f>PM_Angle!$J$17+PM_Angle!$K$17*$C789+PM_Angle!$L$17*$B789</f>
      </c>
      <c r="AE789" s="12">
        <f>IF(AD789&gt;0,IF(AD789&lt;=eco,alpha*fck*(1-(1-AD789/eco)^n),alpha*fck),0)</f>
      </c>
      <c r="AF789" s="30">
        <f>PM_Angle!$J$18+PM_Angle!$K$18*$C789+PM_Angle!$L$18*$B789</f>
      </c>
      <c r="AG789" s="12">
        <f>IF(AF789&gt;0,IF(AF789&lt;=eco,alpha*fck*(1-(1-AF789/eco)^n),alpha*fck),0)</f>
      </c>
      <c r="AH789" s="30">
        <f>PM_Angle!$J$19+PM_Angle!$K$19*$C789+PM_Angle!$L$19*$B789</f>
      </c>
      <c r="AI789" s="12">
        <f>IF(AH789&gt;0,IF(AH789&lt;=eco,alpha*fck*(1-(1-AH789/eco)^n),alpha*fck),0)</f>
      </c>
      <c r="AJ789" s="30">
        <f>PM_Angle!$J$20+PM_Angle!$K$20*$C789+PM_Angle!$L$20*$B789</f>
      </c>
      <c r="AK789" s="12">
        <f>IF(AJ789&gt;0,IF(AJ789&lt;=eco,alpha*fck*(1-(1-AJ789/eco)^n),alpha*fck),0)</f>
      </c>
      <c r="AL789" s="30">
        <f>PM_Angle!$J$21+PM_Angle!$K$21*$C789+PM_Angle!$L$21*$B789</f>
      </c>
      <c r="AM789" s="12">
        <f>IF(AL789&gt;0,IF(AL789&lt;=eco,alpha*fck*(1-(1-AL789/eco)^n),alpha*fck),0)</f>
      </c>
      <c r="AN789" s="30">
        <f>PM_Angle!$J$22+PM_Angle!$K$22*$C789+PM_Angle!$L$22*$B789</f>
      </c>
      <c r="AO789" s="12">
        <f>IF(AN789&gt;0,IF(AN789&lt;=eco,alpha*fck*(1-(1-AN789/eco)^n),alpha*fck),0)</f>
      </c>
      <c r="AP789" s="30">
        <f>PM_Angle!$J$23+PM_Angle!$K$23*$C789+PM_Angle!$L$23*$B789</f>
      </c>
      <c r="AQ789" s="12">
        <f>IF(AP789&gt;0,IF(AP789&lt;=eco,alpha*fck*(1-(1-AP789/eco)^n),alpha*fck),0)</f>
      </c>
      <c r="AR789" s="30">
        <f>PM_Angle!$J$24+PM_Angle!$K$24*$C789+PM_Angle!$L$24*$B789</f>
      </c>
      <c r="AS789" s="12">
        <f>IF(AR789&gt;0,IF(AR789&lt;=eco,alpha*fck*(1-(1-AR789/eco)^n),alpha*fck),0)</f>
      </c>
      <c r="AT789" s="30">
        <f>PM_Angle!$J$25+PM_Angle!$K$25*$C789+PM_Angle!$L$25*$B789</f>
      </c>
      <c r="AU789" s="12">
        <f>IF(AT789&gt;0,IF(AT789&lt;=eco,alpha*fck*(1-(1-AT789/eco)^n),alpha*fck),0)</f>
      </c>
    </row>
    <row r="790" spans="1:47" x14ac:dyDescent="0.25">
      <c r="A790">
        <f>Mesh!A787</f>
      </c>
      <c r="B790" s="12">
        <f>Mesh!B787</f>
      </c>
      <c r="C790" s="12">
        <f>Mesh!C787</f>
      </c>
      <c r="D790" s="12">
        <f>Mesh!D787</f>
      </c>
      <c r="E790" s="30">
        <f>INDEX(St_e0,Det+1)+INDEX(St_kx,Det+1)*C790+INDEX(St_ky,Det+1)*B790</f>
      </c>
      <c r="F790" s="12">
        <f>IF(E790&gt;0,IF(E790&lt;=eco,alpha*fck*(1-(1-E790/eco)^n),alpha*fck),0)</f>
      </c>
      <c r="G790" s="11">
        <f>F790*D790</f>
      </c>
      <c r="H790" s="11">
        <f>G790*C790</f>
      </c>
      <c r="I790" s="11">
        <f>G790*B790</f>
      </c>
      <c r="J790" s="30">
        <f>PM_Angle!$J$7+PM_Angle!$K$7*$C790+PM_Angle!$L$7*$B790</f>
      </c>
      <c r="K790" s="12">
        <f>IF(J790&gt;0,IF(J790&lt;=eco,alpha*fck*(1-(1-J790/eco)^n),alpha*fck),0)</f>
      </c>
      <c r="L790" s="30">
        <f>PM_Angle!$J$8+PM_Angle!$K$8*$C790+PM_Angle!$L$8*$B790</f>
      </c>
      <c r="M790" s="12">
        <f>IF(L790&gt;0,IF(L790&lt;=eco,alpha*fck*(1-(1-L790/eco)^n),alpha*fck),0)</f>
      </c>
      <c r="N790" s="30">
        <f>PM_Angle!$J$9+PM_Angle!$K$9*$C790+PM_Angle!$L$9*$B790</f>
      </c>
      <c r="O790" s="12">
        <f>IF(N790&gt;0,IF(N790&lt;=eco,alpha*fck*(1-(1-N790/eco)^n),alpha*fck),0)</f>
      </c>
      <c r="P790" s="30">
        <f>PM_Angle!$J$10+PM_Angle!$K$10*$C790+PM_Angle!$L$10*$B790</f>
      </c>
      <c r="Q790" s="12">
        <f>IF(P790&gt;0,IF(P790&lt;=eco,alpha*fck*(1-(1-P790/eco)^n),alpha*fck),0)</f>
      </c>
      <c r="R790" s="30">
        <f>PM_Angle!$J$11+PM_Angle!$K$11*$C790+PM_Angle!$L$11*$B790</f>
      </c>
      <c r="S790" s="12">
        <f>IF(R790&gt;0,IF(R790&lt;=eco,alpha*fck*(1-(1-R790/eco)^n),alpha*fck),0)</f>
      </c>
      <c r="T790" s="30">
        <f>PM_Angle!$J$12+PM_Angle!$K$12*$C790+PM_Angle!$L$12*$B790</f>
      </c>
      <c r="U790" s="12">
        <f>IF(T790&gt;0,IF(T790&lt;=eco,alpha*fck*(1-(1-T790/eco)^n),alpha*fck),0)</f>
      </c>
      <c r="V790" s="30">
        <f>PM_Angle!$J$13+PM_Angle!$K$13*$C790+PM_Angle!$L$13*$B790</f>
      </c>
      <c r="W790" s="12">
        <f>IF(V790&gt;0,IF(V790&lt;=eco,alpha*fck*(1-(1-V790/eco)^n),alpha*fck),0)</f>
      </c>
      <c r="X790" s="30">
        <f>PM_Angle!$J$14+PM_Angle!$K$14*$C790+PM_Angle!$L$14*$B790</f>
      </c>
      <c r="Y790" s="12">
        <f>IF(X790&gt;0,IF(X790&lt;=eco,alpha*fck*(1-(1-X790/eco)^n),alpha*fck),0)</f>
      </c>
      <c r="Z790" s="30">
        <f>PM_Angle!$J$15+PM_Angle!$K$15*$C790+PM_Angle!$L$15*$B790</f>
      </c>
      <c r="AA790" s="12">
        <f>IF(Z790&gt;0,IF(Z790&lt;=eco,alpha*fck*(1-(1-Z790/eco)^n),alpha*fck),0)</f>
      </c>
      <c r="AB790" s="30">
        <f>PM_Angle!$J$16+PM_Angle!$K$16*$C790+PM_Angle!$L$16*$B790</f>
      </c>
      <c r="AC790" s="12">
        <f>IF(AB790&gt;0,IF(AB790&lt;=eco,alpha*fck*(1-(1-AB790/eco)^n),alpha*fck),0)</f>
      </c>
      <c r="AD790" s="30">
        <f>PM_Angle!$J$17+PM_Angle!$K$17*$C790+PM_Angle!$L$17*$B790</f>
      </c>
      <c r="AE790" s="12">
        <f>IF(AD790&gt;0,IF(AD790&lt;=eco,alpha*fck*(1-(1-AD790/eco)^n),alpha*fck),0)</f>
      </c>
      <c r="AF790" s="30">
        <f>PM_Angle!$J$18+PM_Angle!$K$18*$C790+PM_Angle!$L$18*$B790</f>
      </c>
      <c r="AG790" s="12">
        <f>IF(AF790&gt;0,IF(AF790&lt;=eco,alpha*fck*(1-(1-AF790/eco)^n),alpha*fck),0)</f>
      </c>
      <c r="AH790" s="30">
        <f>PM_Angle!$J$19+PM_Angle!$K$19*$C790+PM_Angle!$L$19*$B790</f>
      </c>
      <c r="AI790" s="12">
        <f>IF(AH790&gt;0,IF(AH790&lt;=eco,alpha*fck*(1-(1-AH790/eco)^n),alpha*fck),0)</f>
      </c>
      <c r="AJ790" s="30">
        <f>PM_Angle!$J$20+PM_Angle!$K$20*$C790+PM_Angle!$L$20*$B790</f>
      </c>
      <c r="AK790" s="12">
        <f>IF(AJ790&gt;0,IF(AJ790&lt;=eco,alpha*fck*(1-(1-AJ790/eco)^n),alpha*fck),0)</f>
      </c>
      <c r="AL790" s="30">
        <f>PM_Angle!$J$21+PM_Angle!$K$21*$C790+PM_Angle!$L$21*$B790</f>
      </c>
      <c r="AM790" s="12">
        <f>IF(AL790&gt;0,IF(AL790&lt;=eco,alpha*fck*(1-(1-AL790/eco)^n),alpha*fck),0)</f>
      </c>
      <c r="AN790" s="30">
        <f>PM_Angle!$J$22+PM_Angle!$K$22*$C790+PM_Angle!$L$22*$B790</f>
      </c>
      <c r="AO790" s="12">
        <f>IF(AN790&gt;0,IF(AN790&lt;=eco,alpha*fck*(1-(1-AN790/eco)^n),alpha*fck),0)</f>
      </c>
      <c r="AP790" s="30">
        <f>PM_Angle!$J$23+PM_Angle!$K$23*$C790+PM_Angle!$L$23*$B790</f>
      </c>
      <c r="AQ790" s="12">
        <f>IF(AP790&gt;0,IF(AP790&lt;=eco,alpha*fck*(1-(1-AP790/eco)^n),alpha*fck),0)</f>
      </c>
      <c r="AR790" s="30">
        <f>PM_Angle!$J$24+PM_Angle!$K$24*$C790+PM_Angle!$L$24*$B790</f>
      </c>
      <c r="AS790" s="12">
        <f>IF(AR790&gt;0,IF(AR790&lt;=eco,alpha*fck*(1-(1-AR790/eco)^n),alpha*fck),0)</f>
      </c>
      <c r="AT790" s="30">
        <f>PM_Angle!$J$25+PM_Angle!$K$25*$C790+PM_Angle!$L$25*$B790</f>
      </c>
      <c r="AU790" s="12">
        <f>IF(AT790&gt;0,IF(AT790&lt;=eco,alpha*fck*(1-(1-AT790/eco)^n),alpha*fck),0)</f>
      </c>
    </row>
    <row r="791" spans="1:47" x14ac:dyDescent="0.25">
      <c r="A791">
        <f>Mesh!A788</f>
      </c>
      <c r="B791" s="12">
        <f>Mesh!B788</f>
      </c>
      <c r="C791" s="12">
        <f>Mesh!C788</f>
      </c>
      <c r="D791" s="12">
        <f>Mesh!D788</f>
      </c>
      <c r="E791" s="30">
        <f>INDEX(St_e0,Det+1)+INDEX(St_kx,Det+1)*C791+INDEX(St_ky,Det+1)*B791</f>
      </c>
      <c r="F791" s="12">
        <f>IF(E791&gt;0,IF(E791&lt;=eco,alpha*fck*(1-(1-E791/eco)^n),alpha*fck),0)</f>
      </c>
      <c r="G791" s="11">
        <f>F791*D791</f>
      </c>
      <c r="H791" s="11">
        <f>G791*C791</f>
      </c>
      <c r="I791" s="11">
        <f>G791*B791</f>
      </c>
      <c r="J791" s="30">
        <f>PM_Angle!$J$7+PM_Angle!$K$7*$C791+PM_Angle!$L$7*$B791</f>
      </c>
      <c r="K791" s="12">
        <f>IF(J791&gt;0,IF(J791&lt;=eco,alpha*fck*(1-(1-J791/eco)^n),alpha*fck),0)</f>
      </c>
      <c r="L791" s="30">
        <f>PM_Angle!$J$8+PM_Angle!$K$8*$C791+PM_Angle!$L$8*$B791</f>
      </c>
      <c r="M791" s="12">
        <f>IF(L791&gt;0,IF(L791&lt;=eco,alpha*fck*(1-(1-L791/eco)^n),alpha*fck),0)</f>
      </c>
      <c r="N791" s="30">
        <f>PM_Angle!$J$9+PM_Angle!$K$9*$C791+PM_Angle!$L$9*$B791</f>
      </c>
      <c r="O791" s="12">
        <f>IF(N791&gt;0,IF(N791&lt;=eco,alpha*fck*(1-(1-N791/eco)^n),alpha*fck),0)</f>
      </c>
      <c r="P791" s="30">
        <f>PM_Angle!$J$10+PM_Angle!$K$10*$C791+PM_Angle!$L$10*$B791</f>
      </c>
      <c r="Q791" s="12">
        <f>IF(P791&gt;0,IF(P791&lt;=eco,alpha*fck*(1-(1-P791/eco)^n),alpha*fck),0)</f>
      </c>
      <c r="R791" s="30">
        <f>PM_Angle!$J$11+PM_Angle!$K$11*$C791+PM_Angle!$L$11*$B791</f>
      </c>
      <c r="S791" s="12">
        <f>IF(R791&gt;0,IF(R791&lt;=eco,alpha*fck*(1-(1-R791/eco)^n),alpha*fck),0)</f>
      </c>
      <c r="T791" s="30">
        <f>PM_Angle!$J$12+PM_Angle!$K$12*$C791+PM_Angle!$L$12*$B791</f>
      </c>
      <c r="U791" s="12">
        <f>IF(T791&gt;0,IF(T791&lt;=eco,alpha*fck*(1-(1-T791/eco)^n),alpha*fck),0)</f>
      </c>
      <c r="V791" s="30">
        <f>PM_Angle!$J$13+PM_Angle!$K$13*$C791+PM_Angle!$L$13*$B791</f>
      </c>
      <c r="W791" s="12">
        <f>IF(V791&gt;0,IF(V791&lt;=eco,alpha*fck*(1-(1-V791/eco)^n),alpha*fck),0)</f>
      </c>
      <c r="X791" s="30">
        <f>PM_Angle!$J$14+PM_Angle!$K$14*$C791+PM_Angle!$L$14*$B791</f>
      </c>
      <c r="Y791" s="12">
        <f>IF(X791&gt;0,IF(X791&lt;=eco,alpha*fck*(1-(1-X791/eco)^n),alpha*fck),0)</f>
      </c>
      <c r="Z791" s="30">
        <f>PM_Angle!$J$15+PM_Angle!$K$15*$C791+PM_Angle!$L$15*$B791</f>
      </c>
      <c r="AA791" s="12">
        <f>IF(Z791&gt;0,IF(Z791&lt;=eco,alpha*fck*(1-(1-Z791/eco)^n),alpha*fck),0)</f>
      </c>
      <c r="AB791" s="30">
        <f>PM_Angle!$J$16+PM_Angle!$K$16*$C791+PM_Angle!$L$16*$B791</f>
      </c>
      <c r="AC791" s="12">
        <f>IF(AB791&gt;0,IF(AB791&lt;=eco,alpha*fck*(1-(1-AB791/eco)^n),alpha*fck),0)</f>
      </c>
      <c r="AD791" s="30">
        <f>PM_Angle!$J$17+PM_Angle!$K$17*$C791+PM_Angle!$L$17*$B791</f>
      </c>
      <c r="AE791" s="12">
        <f>IF(AD791&gt;0,IF(AD791&lt;=eco,alpha*fck*(1-(1-AD791/eco)^n),alpha*fck),0)</f>
      </c>
      <c r="AF791" s="30">
        <f>PM_Angle!$J$18+PM_Angle!$K$18*$C791+PM_Angle!$L$18*$B791</f>
      </c>
      <c r="AG791" s="12">
        <f>IF(AF791&gt;0,IF(AF791&lt;=eco,alpha*fck*(1-(1-AF791/eco)^n),alpha*fck),0)</f>
      </c>
      <c r="AH791" s="30">
        <f>PM_Angle!$J$19+PM_Angle!$K$19*$C791+PM_Angle!$L$19*$B791</f>
      </c>
      <c r="AI791" s="12">
        <f>IF(AH791&gt;0,IF(AH791&lt;=eco,alpha*fck*(1-(1-AH791/eco)^n),alpha*fck),0)</f>
      </c>
      <c r="AJ791" s="30">
        <f>PM_Angle!$J$20+PM_Angle!$K$20*$C791+PM_Angle!$L$20*$B791</f>
      </c>
      <c r="AK791" s="12">
        <f>IF(AJ791&gt;0,IF(AJ791&lt;=eco,alpha*fck*(1-(1-AJ791/eco)^n),alpha*fck),0)</f>
      </c>
      <c r="AL791" s="30">
        <f>PM_Angle!$J$21+PM_Angle!$K$21*$C791+PM_Angle!$L$21*$B791</f>
      </c>
      <c r="AM791" s="12">
        <f>IF(AL791&gt;0,IF(AL791&lt;=eco,alpha*fck*(1-(1-AL791/eco)^n),alpha*fck),0)</f>
      </c>
      <c r="AN791" s="30">
        <f>PM_Angle!$J$22+PM_Angle!$K$22*$C791+PM_Angle!$L$22*$B791</f>
      </c>
      <c r="AO791" s="12">
        <f>IF(AN791&gt;0,IF(AN791&lt;=eco,alpha*fck*(1-(1-AN791/eco)^n),alpha*fck),0)</f>
      </c>
      <c r="AP791" s="30">
        <f>PM_Angle!$J$23+PM_Angle!$K$23*$C791+PM_Angle!$L$23*$B791</f>
      </c>
      <c r="AQ791" s="12">
        <f>IF(AP791&gt;0,IF(AP791&lt;=eco,alpha*fck*(1-(1-AP791/eco)^n),alpha*fck),0)</f>
      </c>
      <c r="AR791" s="30">
        <f>PM_Angle!$J$24+PM_Angle!$K$24*$C791+PM_Angle!$L$24*$B791</f>
      </c>
      <c r="AS791" s="12">
        <f>IF(AR791&gt;0,IF(AR791&lt;=eco,alpha*fck*(1-(1-AR791/eco)^n),alpha*fck),0)</f>
      </c>
      <c r="AT791" s="30">
        <f>PM_Angle!$J$25+PM_Angle!$K$25*$C791+PM_Angle!$L$25*$B791</f>
      </c>
      <c r="AU791" s="12">
        <f>IF(AT791&gt;0,IF(AT791&lt;=eco,alpha*fck*(1-(1-AT791/eco)^n),alpha*fck),0)</f>
      </c>
    </row>
    <row r="792" spans="1:47" x14ac:dyDescent="0.25">
      <c r="A792">
        <f>Mesh!A789</f>
      </c>
      <c r="B792" s="12">
        <f>Mesh!B789</f>
      </c>
      <c r="C792" s="12">
        <f>Mesh!C789</f>
      </c>
      <c r="D792" s="12">
        <f>Mesh!D789</f>
      </c>
      <c r="E792" s="30">
        <f>INDEX(St_e0,Det+1)+INDEX(St_kx,Det+1)*C792+INDEX(St_ky,Det+1)*B792</f>
      </c>
      <c r="F792" s="12">
        <f>IF(E792&gt;0,IF(E792&lt;=eco,alpha*fck*(1-(1-E792/eco)^n),alpha*fck),0)</f>
      </c>
      <c r="G792" s="11">
        <f>F792*D792</f>
      </c>
      <c r="H792" s="11">
        <f>G792*C792</f>
      </c>
      <c r="I792" s="11">
        <f>G792*B792</f>
      </c>
      <c r="J792" s="30">
        <f>PM_Angle!$J$7+PM_Angle!$K$7*$C792+PM_Angle!$L$7*$B792</f>
      </c>
      <c r="K792" s="12">
        <f>IF(J792&gt;0,IF(J792&lt;=eco,alpha*fck*(1-(1-J792/eco)^n),alpha*fck),0)</f>
      </c>
      <c r="L792" s="30">
        <f>PM_Angle!$J$8+PM_Angle!$K$8*$C792+PM_Angle!$L$8*$B792</f>
      </c>
      <c r="M792" s="12">
        <f>IF(L792&gt;0,IF(L792&lt;=eco,alpha*fck*(1-(1-L792/eco)^n),alpha*fck),0)</f>
      </c>
      <c r="N792" s="30">
        <f>PM_Angle!$J$9+PM_Angle!$K$9*$C792+PM_Angle!$L$9*$B792</f>
      </c>
      <c r="O792" s="12">
        <f>IF(N792&gt;0,IF(N792&lt;=eco,alpha*fck*(1-(1-N792/eco)^n),alpha*fck),0)</f>
      </c>
      <c r="P792" s="30">
        <f>PM_Angle!$J$10+PM_Angle!$K$10*$C792+PM_Angle!$L$10*$B792</f>
      </c>
      <c r="Q792" s="12">
        <f>IF(P792&gt;0,IF(P792&lt;=eco,alpha*fck*(1-(1-P792/eco)^n),alpha*fck),0)</f>
      </c>
      <c r="R792" s="30">
        <f>PM_Angle!$J$11+PM_Angle!$K$11*$C792+PM_Angle!$L$11*$B792</f>
      </c>
      <c r="S792" s="12">
        <f>IF(R792&gt;0,IF(R792&lt;=eco,alpha*fck*(1-(1-R792/eco)^n),alpha*fck),0)</f>
      </c>
      <c r="T792" s="30">
        <f>PM_Angle!$J$12+PM_Angle!$K$12*$C792+PM_Angle!$L$12*$B792</f>
      </c>
      <c r="U792" s="12">
        <f>IF(T792&gt;0,IF(T792&lt;=eco,alpha*fck*(1-(1-T792/eco)^n),alpha*fck),0)</f>
      </c>
      <c r="V792" s="30">
        <f>PM_Angle!$J$13+PM_Angle!$K$13*$C792+PM_Angle!$L$13*$B792</f>
      </c>
      <c r="W792" s="12">
        <f>IF(V792&gt;0,IF(V792&lt;=eco,alpha*fck*(1-(1-V792/eco)^n),alpha*fck),0)</f>
      </c>
      <c r="X792" s="30">
        <f>PM_Angle!$J$14+PM_Angle!$K$14*$C792+PM_Angle!$L$14*$B792</f>
      </c>
      <c r="Y792" s="12">
        <f>IF(X792&gt;0,IF(X792&lt;=eco,alpha*fck*(1-(1-X792/eco)^n),alpha*fck),0)</f>
      </c>
      <c r="Z792" s="30">
        <f>PM_Angle!$J$15+PM_Angle!$K$15*$C792+PM_Angle!$L$15*$B792</f>
      </c>
      <c r="AA792" s="12">
        <f>IF(Z792&gt;0,IF(Z792&lt;=eco,alpha*fck*(1-(1-Z792/eco)^n),alpha*fck),0)</f>
      </c>
      <c r="AB792" s="30">
        <f>PM_Angle!$J$16+PM_Angle!$K$16*$C792+PM_Angle!$L$16*$B792</f>
      </c>
      <c r="AC792" s="12">
        <f>IF(AB792&gt;0,IF(AB792&lt;=eco,alpha*fck*(1-(1-AB792/eco)^n),alpha*fck),0)</f>
      </c>
      <c r="AD792" s="30">
        <f>PM_Angle!$J$17+PM_Angle!$K$17*$C792+PM_Angle!$L$17*$B792</f>
      </c>
      <c r="AE792" s="12">
        <f>IF(AD792&gt;0,IF(AD792&lt;=eco,alpha*fck*(1-(1-AD792/eco)^n),alpha*fck),0)</f>
      </c>
      <c r="AF792" s="30">
        <f>PM_Angle!$J$18+PM_Angle!$K$18*$C792+PM_Angle!$L$18*$B792</f>
      </c>
      <c r="AG792" s="12">
        <f>IF(AF792&gt;0,IF(AF792&lt;=eco,alpha*fck*(1-(1-AF792/eco)^n),alpha*fck),0)</f>
      </c>
      <c r="AH792" s="30">
        <f>PM_Angle!$J$19+PM_Angle!$K$19*$C792+PM_Angle!$L$19*$B792</f>
      </c>
      <c r="AI792" s="12">
        <f>IF(AH792&gt;0,IF(AH792&lt;=eco,alpha*fck*(1-(1-AH792/eco)^n),alpha*fck),0)</f>
      </c>
      <c r="AJ792" s="30">
        <f>PM_Angle!$J$20+PM_Angle!$K$20*$C792+PM_Angle!$L$20*$B792</f>
      </c>
      <c r="AK792" s="12">
        <f>IF(AJ792&gt;0,IF(AJ792&lt;=eco,alpha*fck*(1-(1-AJ792/eco)^n),alpha*fck),0)</f>
      </c>
      <c r="AL792" s="30">
        <f>PM_Angle!$J$21+PM_Angle!$K$21*$C792+PM_Angle!$L$21*$B792</f>
      </c>
      <c r="AM792" s="12">
        <f>IF(AL792&gt;0,IF(AL792&lt;=eco,alpha*fck*(1-(1-AL792/eco)^n),alpha*fck),0)</f>
      </c>
      <c r="AN792" s="30">
        <f>PM_Angle!$J$22+PM_Angle!$K$22*$C792+PM_Angle!$L$22*$B792</f>
      </c>
      <c r="AO792" s="12">
        <f>IF(AN792&gt;0,IF(AN792&lt;=eco,alpha*fck*(1-(1-AN792/eco)^n),alpha*fck),0)</f>
      </c>
      <c r="AP792" s="30">
        <f>PM_Angle!$J$23+PM_Angle!$K$23*$C792+PM_Angle!$L$23*$B792</f>
      </c>
      <c r="AQ792" s="12">
        <f>IF(AP792&gt;0,IF(AP792&lt;=eco,alpha*fck*(1-(1-AP792/eco)^n),alpha*fck),0)</f>
      </c>
      <c r="AR792" s="30">
        <f>PM_Angle!$J$24+PM_Angle!$K$24*$C792+PM_Angle!$L$24*$B792</f>
      </c>
      <c r="AS792" s="12">
        <f>IF(AR792&gt;0,IF(AR792&lt;=eco,alpha*fck*(1-(1-AR792/eco)^n),alpha*fck),0)</f>
      </c>
      <c r="AT792" s="30">
        <f>PM_Angle!$J$25+PM_Angle!$K$25*$C792+PM_Angle!$L$25*$B792</f>
      </c>
      <c r="AU792" s="12">
        <f>IF(AT792&gt;0,IF(AT792&lt;=eco,alpha*fck*(1-(1-AT792/eco)^n),alpha*fck),0)</f>
      </c>
    </row>
    <row r="793" spans="1:47" x14ac:dyDescent="0.25">
      <c r="A793">
        <f>Mesh!A790</f>
      </c>
      <c r="B793" s="12">
        <f>Mesh!B790</f>
      </c>
      <c r="C793" s="12">
        <f>Mesh!C790</f>
      </c>
      <c r="D793" s="12">
        <f>Mesh!D790</f>
      </c>
      <c r="E793" s="30">
        <f>INDEX(St_e0,Det+1)+INDEX(St_kx,Det+1)*C793+INDEX(St_ky,Det+1)*B793</f>
      </c>
      <c r="F793" s="12">
        <f>IF(E793&gt;0,IF(E793&lt;=eco,alpha*fck*(1-(1-E793/eco)^n),alpha*fck),0)</f>
      </c>
      <c r="G793" s="11">
        <f>F793*D793</f>
      </c>
      <c r="H793" s="11">
        <f>G793*C793</f>
      </c>
      <c r="I793" s="11">
        <f>G793*B793</f>
      </c>
      <c r="J793" s="30">
        <f>PM_Angle!$J$7+PM_Angle!$K$7*$C793+PM_Angle!$L$7*$B793</f>
      </c>
      <c r="K793" s="12">
        <f>IF(J793&gt;0,IF(J793&lt;=eco,alpha*fck*(1-(1-J793/eco)^n),alpha*fck),0)</f>
      </c>
      <c r="L793" s="30">
        <f>PM_Angle!$J$8+PM_Angle!$K$8*$C793+PM_Angle!$L$8*$B793</f>
      </c>
      <c r="M793" s="12">
        <f>IF(L793&gt;0,IF(L793&lt;=eco,alpha*fck*(1-(1-L793/eco)^n),alpha*fck),0)</f>
      </c>
      <c r="N793" s="30">
        <f>PM_Angle!$J$9+PM_Angle!$K$9*$C793+PM_Angle!$L$9*$B793</f>
      </c>
      <c r="O793" s="12">
        <f>IF(N793&gt;0,IF(N793&lt;=eco,alpha*fck*(1-(1-N793/eco)^n),alpha*fck),0)</f>
      </c>
      <c r="P793" s="30">
        <f>PM_Angle!$J$10+PM_Angle!$K$10*$C793+PM_Angle!$L$10*$B793</f>
      </c>
      <c r="Q793" s="12">
        <f>IF(P793&gt;0,IF(P793&lt;=eco,alpha*fck*(1-(1-P793/eco)^n),alpha*fck),0)</f>
      </c>
      <c r="R793" s="30">
        <f>PM_Angle!$J$11+PM_Angle!$K$11*$C793+PM_Angle!$L$11*$B793</f>
      </c>
      <c r="S793" s="12">
        <f>IF(R793&gt;0,IF(R793&lt;=eco,alpha*fck*(1-(1-R793/eco)^n),alpha*fck),0)</f>
      </c>
      <c r="T793" s="30">
        <f>PM_Angle!$J$12+PM_Angle!$K$12*$C793+PM_Angle!$L$12*$B793</f>
      </c>
      <c r="U793" s="12">
        <f>IF(T793&gt;0,IF(T793&lt;=eco,alpha*fck*(1-(1-T793/eco)^n),alpha*fck),0)</f>
      </c>
      <c r="V793" s="30">
        <f>PM_Angle!$J$13+PM_Angle!$K$13*$C793+PM_Angle!$L$13*$B793</f>
      </c>
      <c r="W793" s="12">
        <f>IF(V793&gt;0,IF(V793&lt;=eco,alpha*fck*(1-(1-V793/eco)^n),alpha*fck),0)</f>
      </c>
      <c r="X793" s="30">
        <f>PM_Angle!$J$14+PM_Angle!$K$14*$C793+PM_Angle!$L$14*$B793</f>
      </c>
      <c r="Y793" s="12">
        <f>IF(X793&gt;0,IF(X793&lt;=eco,alpha*fck*(1-(1-X793/eco)^n),alpha*fck),0)</f>
      </c>
      <c r="Z793" s="30">
        <f>PM_Angle!$J$15+PM_Angle!$K$15*$C793+PM_Angle!$L$15*$B793</f>
      </c>
      <c r="AA793" s="12">
        <f>IF(Z793&gt;0,IF(Z793&lt;=eco,alpha*fck*(1-(1-Z793/eco)^n),alpha*fck),0)</f>
      </c>
      <c r="AB793" s="30">
        <f>PM_Angle!$J$16+PM_Angle!$K$16*$C793+PM_Angle!$L$16*$B793</f>
      </c>
      <c r="AC793" s="12">
        <f>IF(AB793&gt;0,IF(AB793&lt;=eco,alpha*fck*(1-(1-AB793/eco)^n),alpha*fck),0)</f>
      </c>
      <c r="AD793" s="30">
        <f>PM_Angle!$J$17+PM_Angle!$K$17*$C793+PM_Angle!$L$17*$B793</f>
      </c>
      <c r="AE793" s="12">
        <f>IF(AD793&gt;0,IF(AD793&lt;=eco,alpha*fck*(1-(1-AD793/eco)^n),alpha*fck),0)</f>
      </c>
      <c r="AF793" s="30">
        <f>PM_Angle!$J$18+PM_Angle!$K$18*$C793+PM_Angle!$L$18*$B793</f>
      </c>
      <c r="AG793" s="12">
        <f>IF(AF793&gt;0,IF(AF793&lt;=eco,alpha*fck*(1-(1-AF793/eco)^n),alpha*fck),0)</f>
      </c>
      <c r="AH793" s="30">
        <f>PM_Angle!$J$19+PM_Angle!$K$19*$C793+PM_Angle!$L$19*$B793</f>
      </c>
      <c r="AI793" s="12">
        <f>IF(AH793&gt;0,IF(AH793&lt;=eco,alpha*fck*(1-(1-AH793/eco)^n),alpha*fck),0)</f>
      </c>
      <c r="AJ793" s="30">
        <f>PM_Angle!$J$20+PM_Angle!$K$20*$C793+PM_Angle!$L$20*$B793</f>
      </c>
      <c r="AK793" s="12">
        <f>IF(AJ793&gt;0,IF(AJ793&lt;=eco,alpha*fck*(1-(1-AJ793/eco)^n),alpha*fck),0)</f>
      </c>
      <c r="AL793" s="30">
        <f>PM_Angle!$J$21+PM_Angle!$K$21*$C793+PM_Angle!$L$21*$B793</f>
      </c>
      <c r="AM793" s="12">
        <f>IF(AL793&gt;0,IF(AL793&lt;=eco,alpha*fck*(1-(1-AL793/eco)^n),alpha*fck),0)</f>
      </c>
      <c r="AN793" s="30">
        <f>PM_Angle!$J$22+PM_Angle!$K$22*$C793+PM_Angle!$L$22*$B793</f>
      </c>
      <c r="AO793" s="12">
        <f>IF(AN793&gt;0,IF(AN793&lt;=eco,alpha*fck*(1-(1-AN793/eco)^n),alpha*fck),0)</f>
      </c>
      <c r="AP793" s="30">
        <f>PM_Angle!$J$23+PM_Angle!$K$23*$C793+PM_Angle!$L$23*$B793</f>
      </c>
      <c r="AQ793" s="12">
        <f>IF(AP793&gt;0,IF(AP793&lt;=eco,alpha*fck*(1-(1-AP793/eco)^n),alpha*fck),0)</f>
      </c>
      <c r="AR793" s="30">
        <f>PM_Angle!$J$24+PM_Angle!$K$24*$C793+PM_Angle!$L$24*$B793</f>
      </c>
      <c r="AS793" s="12">
        <f>IF(AR793&gt;0,IF(AR793&lt;=eco,alpha*fck*(1-(1-AR793/eco)^n),alpha*fck),0)</f>
      </c>
      <c r="AT793" s="30">
        <f>PM_Angle!$J$25+PM_Angle!$K$25*$C793+PM_Angle!$L$25*$B793</f>
      </c>
      <c r="AU793" s="12">
        <f>IF(AT793&gt;0,IF(AT793&lt;=eco,alpha*fck*(1-(1-AT793/eco)^n),alpha*fck),0)</f>
      </c>
    </row>
    <row r="794" spans="1:47" x14ac:dyDescent="0.25">
      <c r="A794">
        <f>Mesh!A791</f>
      </c>
      <c r="B794" s="12">
        <f>Mesh!B791</f>
      </c>
      <c r="C794" s="12">
        <f>Mesh!C791</f>
      </c>
      <c r="D794" s="12">
        <f>Mesh!D791</f>
      </c>
      <c r="E794" s="30">
        <f>INDEX(St_e0,Det+1)+INDEX(St_kx,Det+1)*C794+INDEX(St_ky,Det+1)*B794</f>
      </c>
      <c r="F794" s="12">
        <f>IF(E794&gt;0,IF(E794&lt;=eco,alpha*fck*(1-(1-E794/eco)^n),alpha*fck),0)</f>
      </c>
      <c r="G794" s="11">
        <f>F794*D794</f>
      </c>
      <c r="H794" s="11">
        <f>G794*C794</f>
      </c>
      <c r="I794" s="11">
        <f>G794*B794</f>
      </c>
      <c r="J794" s="30">
        <f>PM_Angle!$J$7+PM_Angle!$K$7*$C794+PM_Angle!$L$7*$B794</f>
      </c>
      <c r="K794" s="12">
        <f>IF(J794&gt;0,IF(J794&lt;=eco,alpha*fck*(1-(1-J794/eco)^n),alpha*fck),0)</f>
      </c>
      <c r="L794" s="30">
        <f>PM_Angle!$J$8+PM_Angle!$K$8*$C794+PM_Angle!$L$8*$B794</f>
      </c>
      <c r="M794" s="12">
        <f>IF(L794&gt;0,IF(L794&lt;=eco,alpha*fck*(1-(1-L794/eco)^n),alpha*fck),0)</f>
      </c>
      <c r="N794" s="30">
        <f>PM_Angle!$J$9+PM_Angle!$K$9*$C794+PM_Angle!$L$9*$B794</f>
      </c>
      <c r="O794" s="12">
        <f>IF(N794&gt;0,IF(N794&lt;=eco,alpha*fck*(1-(1-N794/eco)^n),alpha*fck),0)</f>
      </c>
      <c r="P794" s="30">
        <f>PM_Angle!$J$10+PM_Angle!$K$10*$C794+PM_Angle!$L$10*$B794</f>
      </c>
      <c r="Q794" s="12">
        <f>IF(P794&gt;0,IF(P794&lt;=eco,alpha*fck*(1-(1-P794/eco)^n),alpha*fck),0)</f>
      </c>
      <c r="R794" s="30">
        <f>PM_Angle!$J$11+PM_Angle!$K$11*$C794+PM_Angle!$L$11*$B794</f>
      </c>
      <c r="S794" s="12">
        <f>IF(R794&gt;0,IF(R794&lt;=eco,alpha*fck*(1-(1-R794/eco)^n),alpha*fck),0)</f>
      </c>
      <c r="T794" s="30">
        <f>PM_Angle!$J$12+PM_Angle!$K$12*$C794+PM_Angle!$L$12*$B794</f>
      </c>
      <c r="U794" s="12">
        <f>IF(T794&gt;0,IF(T794&lt;=eco,alpha*fck*(1-(1-T794/eco)^n),alpha*fck),0)</f>
      </c>
      <c r="V794" s="30">
        <f>PM_Angle!$J$13+PM_Angle!$K$13*$C794+PM_Angle!$L$13*$B794</f>
      </c>
      <c r="W794" s="12">
        <f>IF(V794&gt;0,IF(V794&lt;=eco,alpha*fck*(1-(1-V794/eco)^n),alpha*fck),0)</f>
      </c>
      <c r="X794" s="30">
        <f>PM_Angle!$J$14+PM_Angle!$K$14*$C794+PM_Angle!$L$14*$B794</f>
      </c>
      <c r="Y794" s="12">
        <f>IF(X794&gt;0,IF(X794&lt;=eco,alpha*fck*(1-(1-X794/eco)^n),alpha*fck),0)</f>
      </c>
      <c r="Z794" s="30">
        <f>PM_Angle!$J$15+PM_Angle!$K$15*$C794+PM_Angle!$L$15*$B794</f>
      </c>
      <c r="AA794" s="12">
        <f>IF(Z794&gt;0,IF(Z794&lt;=eco,alpha*fck*(1-(1-Z794/eco)^n),alpha*fck),0)</f>
      </c>
      <c r="AB794" s="30">
        <f>PM_Angle!$J$16+PM_Angle!$K$16*$C794+PM_Angle!$L$16*$B794</f>
      </c>
      <c r="AC794" s="12">
        <f>IF(AB794&gt;0,IF(AB794&lt;=eco,alpha*fck*(1-(1-AB794/eco)^n),alpha*fck),0)</f>
      </c>
      <c r="AD794" s="30">
        <f>PM_Angle!$J$17+PM_Angle!$K$17*$C794+PM_Angle!$L$17*$B794</f>
      </c>
      <c r="AE794" s="12">
        <f>IF(AD794&gt;0,IF(AD794&lt;=eco,alpha*fck*(1-(1-AD794/eco)^n),alpha*fck),0)</f>
      </c>
      <c r="AF794" s="30">
        <f>PM_Angle!$J$18+PM_Angle!$K$18*$C794+PM_Angle!$L$18*$B794</f>
      </c>
      <c r="AG794" s="12">
        <f>IF(AF794&gt;0,IF(AF794&lt;=eco,alpha*fck*(1-(1-AF794/eco)^n),alpha*fck),0)</f>
      </c>
      <c r="AH794" s="30">
        <f>PM_Angle!$J$19+PM_Angle!$K$19*$C794+PM_Angle!$L$19*$B794</f>
      </c>
      <c r="AI794" s="12">
        <f>IF(AH794&gt;0,IF(AH794&lt;=eco,alpha*fck*(1-(1-AH794/eco)^n),alpha*fck),0)</f>
      </c>
      <c r="AJ794" s="30">
        <f>PM_Angle!$J$20+PM_Angle!$K$20*$C794+PM_Angle!$L$20*$B794</f>
      </c>
      <c r="AK794" s="12">
        <f>IF(AJ794&gt;0,IF(AJ794&lt;=eco,alpha*fck*(1-(1-AJ794/eco)^n),alpha*fck),0)</f>
      </c>
      <c r="AL794" s="30">
        <f>PM_Angle!$J$21+PM_Angle!$K$21*$C794+PM_Angle!$L$21*$B794</f>
      </c>
      <c r="AM794" s="12">
        <f>IF(AL794&gt;0,IF(AL794&lt;=eco,alpha*fck*(1-(1-AL794/eco)^n),alpha*fck),0)</f>
      </c>
      <c r="AN794" s="30">
        <f>PM_Angle!$J$22+PM_Angle!$K$22*$C794+PM_Angle!$L$22*$B794</f>
      </c>
      <c r="AO794" s="12">
        <f>IF(AN794&gt;0,IF(AN794&lt;=eco,alpha*fck*(1-(1-AN794/eco)^n),alpha*fck),0)</f>
      </c>
      <c r="AP794" s="30">
        <f>PM_Angle!$J$23+PM_Angle!$K$23*$C794+PM_Angle!$L$23*$B794</f>
      </c>
      <c r="AQ794" s="12">
        <f>IF(AP794&gt;0,IF(AP794&lt;=eco,alpha*fck*(1-(1-AP794/eco)^n),alpha*fck),0)</f>
      </c>
      <c r="AR794" s="30">
        <f>PM_Angle!$J$24+PM_Angle!$K$24*$C794+PM_Angle!$L$24*$B794</f>
      </c>
      <c r="AS794" s="12">
        <f>IF(AR794&gt;0,IF(AR794&lt;=eco,alpha*fck*(1-(1-AR794/eco)^n),alpha*fck),0)</f>
      </c>
      <c r="AT794" s="30">
        <f>PM_Angle!$J$25+PM_Angle!$K$25*$C794+PM_Angle!$L$25*$B794</f>
      </c>
      <c r="AU794" s="12">
        <f>IF(AT794&gt;0,IF(AT794&lt;=eco,alpha*fck*(1-(1-AT794/eco)^n),alpha*fck),0)</f>
      </c>
    </row>
    <row r="795" spans="1:47" x14ac:dyDescent="0.25">
      <c r="A795">
        <f>Mesh!A792</f>
      </c>
      <c r="B795" s="12">
        <f>Mesh!B792</f>
      </c>
      <c r="C795" s="12">
        <f>Mesh!C792</f>
      </c>
      <c r="D795" s="12">
        <f>Mesh!D792</f>
      </c>
      <c r="E795" s="30">
        <f>INDEX(St_e0,Det+1)+INDEX(St_kx,Det+1)*C795+INDEX(St_ky,Det+1)*B795</f>
      </c>
      <c r="F795" s="12">
        <f>IF(E795&gt;0,IF(E795&lt;=eco,alpha*fck*(1-(1-E795/eco)^n),alpha*fck),0)</f>
      </c>
      <c r="G795" s="11">
        <f>F795*D795</f>
      </c>
      <c r="H795" s="11">
        <f>G795*C795</f>
      </c>
      <c r="I795" s="11">
        <f>G795*B795</f>
      </c>
      <c r="J795" s="30">
        <f>PM_Angle!$J$7+PM_Angle!$K$7*$C795+PM_Angle!$L$7*$B795</f>
      </c>
      <c r="K795" s="12">
        <f>IF(J795&gt;0,IF(J795&lt;=eco,alpha*fck*(1-(1-J795/eco)^n),alpha*fck),0)</f>
      </c>
      <c r="L795" s="30">
        <f>PM_Angle!$J$8+PM_Angle!$K$8*$C795+PM_Angle!$L$8*$B795</f>
      </c>
      <c r="M795" s="12">
        <f>IF(L795&gt;0,IF(L795&lt;=eco,alpha*fck*(1-(1-L795/eco)^n),alpha*fck),0)</f>
      </c>
      <c r="N795" s="30">
        <f>PM_Angle!$J$9+PM_Angle!$K$9*$C795+PM_Angle!$L$9*$B795</f>
      </c>
      <c r="O795" s="12">
        <f>IF(N795&gt;0,IF(N795&lt;=eco,alpha*fck*(1-(1-N795/eco)^n),alpha*fck),0)</f>
      </c>
      <c r="P795" s="30">
        <f>PM_Angle!$J$10+PM_Angle!$K$10*$C795+PM_Angle!$L$10*$B795</f>
      </c>
      <c r="Q795" s="12">
        <f>IF(P795&gt;0,IF(P795&lt;=eco,alpha*fck*(1-(1-P795/eco)^n),alpha*fck),0)</f>
      </c>
      <c r="R795" s="30">
        <f>PM_Angle!$J$11+PM_Angle!$K$11*$C795+PM_Angle!$L$11*$B795</f>
      </c>
      <c r="S795" s="12">
        <f>IF(R795&gt;0,IF(R795&lt;=eco,alpha*fck*(1-(1-R795/eco)^n),alpha*fck),0)</f>
      </c>
      <c r="T795" s="30">
        <f>PM_Angle!$J$12+PM_Angle!$K$12*$C795+PM_Angle!$L$12*$B795</f>
      </c>
      <c r="U795" s="12">
        <f>IF(T795&gt;0,IF(T795&lt;=eco,alpha*fck*(1-(1-T795/eco)^n),alpha*fck),0)</f>
      </c>
      <c r="V795" s="30">
        <f>PM_Angle!$J$13+PM_Angle!$K$13*$C795+PM_Angle!$L$13*$B795</f>
      </c>
      <c r="W795" s="12">
        <f>IF(V795&gt;0,IF(V795&lt;=eco,alpha*fck*(1-(1-V795/eco)^n),alpha*fck),0)</f>
      </c>
      <c r="X795" s="30">
        <f>PM_Angle!$J$14+PM_Angle!$K$14*$C795+PM_Angle!$L$14*$B795</f>
      </c>
      <c r="Y795" s="12">
        <f>IF(X795&gt;0,IF(X795&lt;=eco,alpha*fck*(1-(1-X795/eco)^n),alpha*fck),0)</f>
      </c>
      <c r="Z795" s="30">
        <f>PM_Angle!$J$15+PM_Angle!$K$15*$C795+PM_Angle!$L$15*$B795</f>
      </c>
      <c r="AA795" s="12">
        <f>IF(Z795&gt;0,IF(Z795&lt;=eco,alpha*fck*(1-(1-Z795/eco)^n),alpha*fck),0)</f>
      </c>
      <c r="AB795" s="30">
        <f>PM_Angle!$J$16+PM_Angle!$K$16*$C795+PM_Angle!$L$16*$B795</f>
      </c>
      <c r="AC795" s="12">
        <f>IF(AB795&gt;0,IF(AB795&lt;=eco,alpha*fck*(1-(1-AB795/eco)^n),alpha*fck),0)</f>
      </c>
      <c r="AD795" s="30">
        <f>PM_Angle!$J$17+PM_Angle!$K$17*$C795+PM_Angle!$L$17*$B795</f>
      </c>
      <c r="AE795" s="12">
        <f>IF(AD795&gt;0,IF(AD795&lt;=eco,alpha*fck*(1-(1-AD795/eco)^n),alpha*fck),0)</f>
      </c>
      <c r="AF795" s="30">
        <f>PM_Angle!$J$18+PM_Angle!$K$18*$C795+PM_Angle!$L$18*$B795</f>
      </c>
      <c r="AG795" s="12">
        <f>IF(AF795&gt;0,IF(AF795&lt;=eco,alpha*fck*(1-(1-AF795/eco)^n),alpha*fck),0)</f>
      </c>
      <c r="AH795" s="30">
        <f>PM_Angle!$J$19+PM_Angle!$K$19*$C795+PM_Angle!$L$19*$B795</f>
      </c>
      <c r="AI795" s="12">
        <f>IF(AH795&gt;0,IF(AH795&lt;=eco,alpha*fck*(1-(1-AH795/eco)^n),alpha*fck),0)</f>
      </c>
      <c r="AJ795" s="30">
        <f>PM_Angle!$J$20+PM_Angle!$K$20*$C795+PM_Angle!$L$20*$B795</f>
      </c>
      <c r="AK795" s="12">
        <f>IF(AJ795&gt;0,IF(AJ795&lt;=eco,alpha*fck*(1-(1-AJ795/eco)^n),alpha*fck),0)</f>
      </c>
      <c r="AL795" s="30">
        <f>PM_Angle!$J$21+PM_Angle!$K$21*$C795+PM_Angle!$L$21*$B795</f>
      </c>
      <c r="AM795" s="12">
        <f>IF(AL795&gt;0,IF(AL795&lt;=eco,alpha*fck*(1-(1-AL795/eco)^n),alpha*fck),0)</f>
      </c>
      <c r="AN795" s="30">
        <f>PM_Angle!$J$22+PM_Angle!$K$22*$C795+PM_Angle!$L$22*$B795</f>
      </c>
      <c r="AO795" s="12">
        <f>IF(AN795&gt;0,IF(AN795&lt;=eco,alpha*fck*(1-(1-AN795/eco)^n),alpha*fck),0)</f>
      </c>
      <c r="AP795" s="30">
        <f>PM_Angle!$J$23+PM_Angle!$K$23*$C795+PM_Angle!$L$23*$B795</f>
      </c>
      <c r="AQ795" s="12">
        <f>IF(AP795&gt;0,IF(AP795&lt;=eco,alpha*fck*(1-(1-AP795/eco)^n),alpha*fck),0)</f>
      </c>
      <c r="AR795" s="30">
        <f>PM_Angle!$J$24+PM_Angle!$K$24*$C795+PM_Angle!$L$24*$B795</f>
      </c>
      <c r="AS795" s="12">
        <f>IF(AR795&gt;0,IF(AR795&lt;=eco,alpha*fck*(1-(1-AR795/eco)^n),alpha*fck),0)</f>
      </c>
      <c r="AT795" s="30">
        <f>PM_Angle!$J$25+PM_Angle!$K$25*$C795+PM_Angle!$L$25*$B795</f>
      </c>
      <c r="AU795" s="12">
        <f>IF(AT795&gt;0,IF(AT795&lt;=eco,alpha*fck*(1-(1-AT795/eco)^n),alpha*fck),0)</f>
      </c>
    </row>
    <row r="796" spans="1:47" x14ac:dyDescent="0.25">
      <c r="A796">
        <f>Mesh!A793</f>
      </c>
      <c r="B796" s="12">
        <f>Mesh!B793</f>
      </c>
      <c r="C796" s="12">
        <f>Mesh!C793</f>
      </c>
      <c r="D796" s="12">
        <f>Mesh!D793</f>
      </c>
      <c r="E796" s="30">
        <f>INDEX(St_e0,Det+1)+INDEX(St_kx,Det+1)*C796+INDEX(St_ky,Det+1)*B796</f>
      </c>
      <c r="F796" s="12">
        <f>IF(E796&gt;0,IF(E796&lt;=eco,alpha*fck*(1-(1-E796/eco)^n),alpha*fck),0)</f>
      </c>
      <c r="G796" s="11">
        <f>F796*D796</f>
      </c>
      <c r="H796" s="11">
        <f>G796*C796</f>
      </c>
      <c r="I796" s="11">
        <f>G796*B796</f>
      </c>
      <c r="J796" s="30">
        <f>PM_Angle!$J$7+PM_Angle!$K$7*$C796+PM_Angle!$L$7*$B796</f>
      </c>
      <c r="K796" s="12">
        <f>IF(J796&gt;0,IF(J796&lt;=eco,alpha*fck*(1-(1-J796/eco)^n),alpha*fck),0)</f>
      </c>
      <c r="L796" s="30">
        <f>PM_Angle!$J$8+PM_Angle!$K$8*$C796+PM_Angle!$L$8*$B796</f>
      </c>
      <c r="M796" s="12">
        <f>IF(L796&gt;0,IF(L796&lt;=eco,alpha*fck*(1-(1-L796/eco)^n),alpha*fck),0)</f>
      </c>
      <c r="N796" s="30">
        <f>PM_Angle!$J$9+PM_Angle!$K$9*$C796+PM_Angle!$L$9*$B796</f>
      </c>
      <c r="O796" s="12">
        <f>IF(N796&gt;0,IF(N796&lt;=eco,alpha*fck*(1-(1-N796/eco)^n),alpha*fck),0)</f>
      </c>
      <c r="P796" s="30">
        <f>PM_Angle!$J$10+PM_Angle!$K$10*$C796+PM_Angle!$L$10*$B796</f>
      </c>
      <c r="Q796" s="12">
        <f>IF(P796&gt;0,IF(P796&lt;=eco,alpha*fck*(1-(1-P796/eco)^n),alpha*fck),0)</f>
      </c>
      <c r="R796" s="30">
        <f>PM_Angle!$J$11+PM_Angle!$K$11*$C796+PM_Angle!$L$11*$B796</f>
      </c>
      <c r="S796" s="12">
        <f>IF(R796&gt;0,IF(R796&lt;=eco,alpha*fck*(1-(1-R796/eco)^n),alpha*fck),0)</f>
      </c>
      <c r="T796" s="30">
        <f>PM_Angle!$J$12+PM_Angle!$K$12*$C796+PM_Angle!$L$12*$B796</f>
      </c>
      <c r="U796" s="12">
        <f>IF(T796&gt;0,IF(T796&lt;=eco,alpha*fck*(1-(1-T796/eco)^n),alpha*fck),0)</f>
      </c>
      <c r="V796" s="30">
        <f>PM_Angle!$J$13+PM_Angle!$K$13*$C796+PM_Angle!$L$13*$B796</f>
      </c>
      <c r="W796" s="12">
        <f>IF(V796&gt;0,IF(V796&lt;=eco,alpha*fck*(1-(1-V796/eco)^n),alpha*fck),0)</f>
      </c>
      <c r="X796" s="30">
        <f>PM_Angle!$J$14+PM_Angle!$K$14*$C796+PM_Angle!$L$14*$B796</f>
      </c>
      <c r="Y796" s="12">
        <f>IF(X796&gt;0,IF(X796&lt;=eco,alpha*fck*(1-(1-X796/eco)^n),alpha*fck),0)</f>
      </c>
      <c r="Z796" s="30">
        <f>PM_Angle!$J$15+PM_Angle!$K$15*$C796+PM_Angle!$L$15*$B796</f>
      </c>
      <c r="AA796" s="12">
        <f>IF(Z796&gt;0,IF(Z796&lt;=eco,alpha*fck*(1-(1-Z796/eco)^n),alpha*fck),0)</f>
      </c>
      <c r="AB796" s="30">
        <f>PM_Angle!$J$16+PM_Angle!$K$16*$C796+PM_Angle!$L$16*$B796</f>
      </c>
      <c r="AC796" s="12">
        <f>IF(AB796&gt;0,IF(AB796&lt;=eco,alpha*fck*(1-(1-AB796/eco)^n),alpha*fck),0)</f>
      </c>
      <c r="AD796" s="30">
        <f>PM_Angle!$J$17+PM_Angle!$K$17*$C796+PM_Angle!$L$17*$B796</f>
      </c>
      <c r="AE796" s="12">
        <f>IF(AD796&gt;0,IF(AD796&lt;=eco,alpha*fck*(1-(1-AD796/eco)^n),alpha*fck),0)</f>
      </c>
      <c r="AF796" s="30">
        <f>PM_Angle!$J$18+PM_Angle!$K$18*$C796+PM_Angle!$L$18*$B796</f>
      </c>
      <c r="AG796" s="12">
        <f>IF(AF796&gt;0,IF(AF796&lt;=eco,alpha*fck*(1-(1-AF796/eco)^n),alpha*fck),0)</f>
      </c>
      <c r="AH796" s="30">
        <f>PM_Angle!$J$19+PM_Angle!$K$19*$C796+PM_Angle!$L$19*$B796</f>
      </c>
      <c r="AI796" s="12">
        <f>IF(AH796&gt;0,IF(AH796&lt;=eco,alpha*fck*(1-(1-AH796/eco)^n),alpha*fck),0)</f>
      </c>
      <c r="AJ796" s="30">
        <f>PM_Angle!$J$20+PM_Angle!$K$20*$C796+PM_Angle!$L$20*$B796</f>
      </c>
      <c r="AK796" s="12">
        <f>IF(AJ796&gt;0,IF(AJ796&lt;=eco,alpha*fck*(1-(1-AJ796/eco)^n),alpha*fck),0)</f>
      </c>
      <c r="AL796" s="30">
        <f>PM_Angle!$J$21+PM_Angle!$K$21*$C796+PM_Angle!$L$21*$B796</f>
      </c>
      <c r="AM796" s="12">
        <f>IF(AL796&gt;0,IF(AL796&lt;=eco,alpha*fck*(1-(1-AL796/eco)^n),alpha*fck),0)</f>
      </c>
      <c r="AN796" s="30">
        <f>PM_Angle!$J$22+PM_Angle!$K$22*$C796+PM_Angle!$L$22*$B796</f>
      </c>
      <c r="AO796" s="12">
        <f>IF(AN796&gt;0,IF(AN796&lt;=eco,alpha*fck*(1-(1-AN796/eco)^n),alpha*fck),0)</f>
      </c>
      <c r="AP796" s="30">
        <f>PM_Angle!$J$23+PM_Angle!$K$23*$C796+PM_Angle!$L$23*$B796</f>
      </c>
      <c r="AQ796" s="12">
        <f>IF(AP796&gt;0,IF(AP796&lt;=eco,alpha*fck*(1-(1-AP796/eco)^n),alpha*fck),0)</f>
      </c>
      <c r="AR796" s="30">
        <f>PM_Angle!$J$24+PM_Angle!$K$24*$C796+PM_Angle!$L$24*$B796</f>
      </c>
      <c r="AS796" s="12">
        <f>IF(AR796&gt;0,IF(AR796&lt;=eco,alpha*fck*(1-(1-AR796/eco)^n),alpha*fck),0)</f>
      </c>
      <c r="AT796" s="30">
        <f>PM_Angle!$J$25+PM_Angle!$K$25*$C796+PM_Angle!$L$25*$B796</f>
      </c>
      <c r="AU796" s="12">
        <f>IF(AT796&gt;0,IF(AT796&lt;=eco,alpha*fck*(1-(1-AT796/eco)^n),alpha*fck),0)</f>
      </c>
    </row>
    <row r="797" spans="1:47" x14ac:dyDescent="0.25">
      <c r="A797">
        <f>Mesh!A794</f>
      </c>
      <c r="B797" s="12">
        <f>Mesh!B794</f>
      </c>
      <c r="C797" s="12">
        <f>Mesh!C794</f>
      </c>
      <c r="D797" s="12">
        <f>Mesh!D794</f>
      </c>
      <c r="E797" s="30">
        <f>INDEX(St_e0,Det+1)+INDEX(St_kx,Det+1)*C797+INDEX(St_ky,Det+1)*B797</f>
      </c>
      <c r="F797" s="12">
        <f>IF(E797&gt;0,IF(E797&lt;=eco,alpha*fck*(1-(1-E797/eco)^n),alpha*fck),0)</f>
      </c>
      <c r="G797" s="11">
        <f>F797*D797</f>
      </c>
      <c r="H797" s="11">
        <f>G797*C797</f>
      </c>
      <c r="I797" s="11">
        <f>G797*B797</f>
      </c>
      <c r="J797" s="30">
        <f>PM_Angle!$J$7+PM_Angle!$K$7*$C797+PM_Angle!$L$7*$B797</f>
      </c>
      <c r="K797" s="12">
        <f>IF(J797&gt;0,IF(J797&lt;=eco,alpha*fck*(1-(1-J797/eco)^n),alpha*fck),0)</f>
      </c>
      <c r="L797" s="30">
        <f>PM_Angle!$J$8+PM_Angle!$K$8*$C797+PM_Angle!$L$8*$B797</f>
      </c>
      <c r="M797" s="12">
        <f>IF(L797&gt;0,IF(L797&lt;=eco,alpha*fck*(1-(1-L797/eco)^n),alpha*fck),0)</f>
      </c>
      <c r="N797" s="30">
        <f>PM_Angle!$J$9+PM_Angle!$K$9*$C797+PM_Angle!$L$9*$B797</f>
      </c>
      <c r="O797" s="12">
        <f>IF(N797&gt;0,IF(N797&lt;=eco,alpha*fck*(1-(1-N797/eco)^n),alpha*fck),0)</f>
      </c>
      <c r="P797" s="30">
        <f>PM_Angle!$J$10+PM_Angle!$K$10*$C797+PM_Angle!$L$10*$B797</f>
      </c>
      <c r="Q797" s="12">
        <f>IF(P797&gt;0,IF(P797&lt;=eco,alpha*fck*(1-(1-P797/eco)^n),alpha*fck),0)</f>
      </c>
      <c r="R797" s="30">
        <f>PM_Angle!$J$11+PM_Angle!$K$11*$C797+PM_Angle!$L$11*$B797</f>
      </c>
      <c r="S797" s="12">
        <f>IF(R797&gt;0,IF(R797&lt;=eco,alpha*fck*(1-(1-R797/eco)^n),alpha*fck),0)</f>
      </c>
      <c r="T797" s="30">
        <f>PM_Angle!$J$12+PM_Angle!$K$12*$C797+PM_Angle!$L$12*$B797</f>
      </c>
      <c r="U797" s="12">
        <f>IF(T797&gt;0,IF(T797&lt;=eco,alpha*fck*(1-(1-T797/eco)^n),alpha*fck),0)</f>
      </c>
      <c r="V797" s="30">
        <f>PM_Angle!$J$13+PM_Angle!$K$13*$C797+PM_Angle!$L$13*$B797</f>
      </c>
      <c r="W797" s="12">
        <f>IF(V797&gt;0,IF(V797&lt;=eco,alpha*fck*(1-(1-V797/eco)^n),alpha*fck),0)</f>
      </c>
      <c r="X797" s="30">
        <f>PM_Angle!$J$14+PM_Angle!$K$14*$C797+PM_Angle!$L$14*$B797</f>
      </c>
      <c r="Y797" s="12">
        <f>IF(X797&gt;0,IF(X797&lt;=eco,alpha*fck*(1-(1-X797/eco)^n),alpha*fck),0)</f>
      </c>
      <c r="Z797" s="30">
        <f>PM_Angle!$J$15+PM_Angle!$K$15*$C797+PM_Angle!$L$15*$B797</f>
      </c>
      <c r="AA797" s="12">
        <f>IF(Z797&gt;0,IF(Z797&lt;=eco,alpha*fck*(1-(1-Z797/eco)^n),alpha*fck),0)</f>
      </c>
      <c r="AB797" s="30">
        <f>PM_Angle!$J$16+PM_Angle!$K$16*$C797+PM_Angle!$L$16*$B797</f>
      </c>
      <c r="AC797" s="12">
        <f>IF(AB797&gt;0,IF(AB797&lt;=eco,alpha*fck*(1-(1-AB797/eco)^n),alpha*fck),0)</f>
      </c>
      <c r="AD797" s="30">
        <f>PM_Angle!$J$17+PM_Angle!$K$17*$C797+PM_Angle!$L$17*$B797</f>
      </c>
      <c r="AE797" s="12">
        <f>IF(AD797&gt;0,IF(AD797&lt;=eco,alpha*fck*(1-(1-AD797/eco)^n),alpha*fck),0)</f>
      </c>
      <c r="AF797" s="30">
        <f>PM_Angle!$J$18+PM_Angle!$K$18*$C797+PM_Angle!$L$18*$B797</f>
      </c>
      <c r="AG797" s="12">
        <f>IF(AF797&gt;0,IF(AF797&lt;=eco,alpha*fck*(1-(1-AF797/eco)^n),alpha*fck),0)</f>
      </c>
      <c r="AH797" s="30">
        <f>PM_Angle!$J$19+PM_Angle!$K$19*$C797+PM_Angle!$L$19*$B797</f>
      </c>
      <c r="AI797" s="12">
        <f>IF(AH797&gt;0,IF(AH797&lt;=eco,alpha*fck*(1-(1-AH797/eco)^n),alpha*fck),0)</f>
      </c>
      <c r="AJ797" s="30">
        <f>PM_Angle!$J$20+PM_Angle!$K$20*$C797+PM_Angle!$L$20*$B797</f>
      </c>
      <c r="AK797" s="12">
        <f>IF(AJ797&gt;0,IF(AJ797&lt;=eco,alpha*fck*(1-(1-AJ797/eco)^n),alpha*fck),0)</f>
      </c>
      <c r="AL797" s="30">
        <f>PM_Angle!$J$21+PM_Angle!$K$21*$C797+PM_Angle!$L$21*$B797</f>
      </c>
      <c r="AM797" s="12">
        <f>IF(AL797&gt;0,IF(AL797&lt;=eco,alpha*fck*(1-(1-AL797/eco)^n),alpha*fck),0)</f>
      </c>
      <c r="AN797" s="30">
        <f>PM_Angle!$J$22+PM_Angle!$K$22*$C797+PM_Angle!$L$22*$B797</f>
      </c>
      <c r="AO797" s="12">
        <f>IF(AN797&gt;0,IF(AN797&lt;=eco,alpha*fck*(1-(1-AN797/eco)^n),alpha*fck),0)</f>
      </c>
      <c r="AP797" s="30">
        <f>PM_Angle!$J$23+PM_Angle!$K$23*$C797+PM_Angle!$L$23*$B797</f>
      </c>
      <c r="AQ797" s="12">
        <f>IF(AP797&gt;0,IF(AP797&lt;=eco,alpha*fck*(1-(1-AP797/eco)^n),alpha*fck),0)</f>
      </c>
      <c r="AR797" s="30">
        <f>PM_Angle!$J$24+PM_Angle!$K$24*$C797+PM_Angle!$L$24*$B797</f>
      </c>
      <c r="AS797" s="12">
        <f>IF(AR797&gt;0,IF(AR797&lt;=eco,alpha*fck*(1-(1-AR797/eco)^n),alpha*fck),0)</f>
      </c>
      <c r="AT797" s="30">
        <f>PM_Angle!$J$25+PM_Angle!$K$25*$C797+PM_Angle!$L$25*$B797</f>
      </c>
      <c r="AU797" s="12">
        <f>IF(AT797&gt;0,IF(AT797&lt;=eco,alpha*fck*(1-(1-AT797/eco)^n),alpha*fck),0)</f>
      </c>
    </row>
    <row r="798" spans="1:47" x14ac:dyDescent="0.25">
      <c r="A798">
        <f>Mesh!A795</f>
      </c>
      <c r="B798" s="12">
        <f>Mesh!B795</f>
      </c>
      <c r="C798" s="12">
        <f>Mesh!C795</f>
      </c>
      <c r="D798" s="12">
        <f>Mesh!D795</f>
      </c>
      <c r="E798" s="30">
        <f>INDEX(St_e0,Det+1)+INDEX(St_kx,Det+1)*C798+INDEX(St_ky,Det+1)*B798</f>
      </c>
      <c r="F798" s="12">
        <f>IF(E798&gt;0,IF(E798&lt;=eco,alpha*fck*(1-(1-E798/eco)^n),alpha*fck),0)</f>
      </c>
      <c r="G798" s="11">
        <f>F798*D798</f>
      </c>
      <c r="H798" s="11">
        <f>G798*C798</f>
      </c>
      <c r="I798" s="11">
        <f>G798*B798</f>
      </c>
      <c r="J798" s="30">
        <f>PM_Angle!$J$7+PM_Angle!$K$7*$C798+PM_Angle!$L$7*$B798</f>
      </c>
      <c r="K798" s="12">
        <f>IF(J798&gt;0,IF(J798&lt;=eco,alpha*fck*(1-(1-J798/eco)^n),alpha*fck),0)</f>
      </c>
      <c r="L798" s="30">
        <f>PM_Angle!$J$8+PM_Angle!$K$8*$C798+PM_Angle!$L$8*$B798</f>
      </c>
      <c r="M798" s="12">
        <f>IF(L798&gt;0,IF(L798&lt;=eco,alpha*fck*(1-(1-L798/eco)^n),alpha*fck),0)</f>
      </c>
      <c r="N798" s="30">
        <f>PM_Angle!$J$9+PM_Angle!$K$9*$C798+PM_Angle!$L$9*$B798</f>
      </c>
      <c r="O798" s="12">
        <f>IF(N798&gt;0,IF(N798&lt;=eco,alpha*fck*(1-(1-N798/eco)^n),alpha*fck),0)</f>
      </c>
      <c r="P798" s="30">
        <f>PM_Angle!$J$10+PM_Angle!$K$10*$C798+PM_Angle!$L$10*$B798</f>
      </c>
      <c r="Q798" s="12">
        <f>IF(P798&gt;0,IF(P798&lt;=eco,alpha*fck*(1-(1-P798/eco)^n),alpha*fck),0)</f>
      </c>
      <c r="R798" s="30">
        <f>PM_Angle!$J$11+PM_Angle!$K$11*$C798+PM_Angle!$L$11*$B798</f>
      </c>
      <c r="S798" s="12">
        <f>IF(R798&gt;0,IF(R798&lt;=eco,alpha*fck*(1-(1-R798/eco)^n),alpha*fck),0)</f>
      </c>
      <c r="T798" s="30">
        <f>PM_Angle!$J$12+PM_Angle!$K$12*$C798+PM_Angle!$L$12*$B798</f>
      </c>
      <c r="U798" s="12">
        <f>IF(T798&gt;0,IF(T798&lt;=eco,alpha*fck*(1-(1-T798/eco)^n),alpha*fck),0)</f>
      </c>
      <c r="V798" s="30">
        <f>PM_Angle!$J$13+PM_Angle!$K$13*$C798+PM_Angle!$L$13*$B798</f>
      </c>
      <c r="W798" s="12">
        <f>IF(V798&gt;0,IF(V798&lt;=eco,alpha*fck*(1-(1-V798/eco)^n),alpha*fck),0)</f>
      </c>
      <c r="X798" s="30">
        <f>PM_Angle!$J$14+PM_Angle!$K$14*$C798+PM_Angle!$L$14*$B798</f>
      </c>
      <c r="Y798" s="12">
        <f>IF(X798&gt;0,IF(X798&lt;=eco,alpha*fck*(1-(1-X798/eco)^n),alpha*fck),0)</f>
      </c>
      <c r="Z798" s="30">
        <f>PM_Angle!$J$15+PM_Angle!$K$15*$C798+PM_Angle!$L$15*$B798</f>
      </c>
      <c r="AA798" s="12">
        <f>IF(Z798&gt;0,IF(Z798&lt;=eco,alpha*fck*(1-(1-Z798/eco)^n),alpha*fck),0)</f>
      </c>
      <c r="AB798" s="30">
        <f>PM_Angle!$J$16+PM_Angle!$K$16*$C798+PM_Angle!$L$16*$B798</f>
      </c>
      <c r="AC798" s="12">
        <f>IF(AB798&gt;0,IF(AB798&lt;=eco,alpha*fck*(1-(1-AB798/eco)^n),alpha*fck),0)</f>
      </c>
      <c r="AD798" s="30">
        <f>PM_Angle!$J$17+PM_Angle!$K$17*$C798+PM_Angle!$L$17*$B798</f>
      </c>
      <c r="AE798" s="12">
        <f>IF(AD798&gt;0,IF(AD798&lt;=eco,alpha*fck*(1-(1-AD798/eco)^n),alpha*fck),0)</f>
      </c>
      <c r="AF798" s="30">
        <f>PM_Angle!$J$18+PM_Angle!$K$18*$C798+PM_Angle!$L$18*$B798</f>
      </c>
      <c r="AG798" s="12">
        <f>IF(AF798&gt;0,IF(AF798&lt;=eco,alpha*fck*(1-(1-AF798/eco)^n),alpha*fck),0)</f>
      </c>
      <c r="AH798" s="30">
        <f>PM_Angle!$J$19+PM_Angle!$K$19*$C798+PM_Angle!$L$19*$B798</f>
      </c>
      <c r="AI798" s="12">
        <f>IF(AH798&gt;0,IF(AH798&lt;=eco,alpha*fck*(1-(1-AH798/eco)^n),alpha*fck),0)</f>
      </c>
      <c r="AJ798" s="30">
        <f>PM_Angle!$J$20+PM_Angle!$K$20*$C798+PM_Angle!$L$20*$B798</f>
      </c>
      <c r="AK798" s="12">
        <f>IF(AJ798&gt;0,IF(AJ798&lt;=eco,alpha*fck*(1-(1-AJ798/eco)^n),alpha*fck),0)</f>
      </c>
      <c r="AL798" s="30">
        <f>PM_Angle!$J$21+PM_Angle!$K$21*$C798+PM_Angle!$L$21*$B798</f>
      </c>
      <c r="AM798" s="12">
        <f>IF(AL798&gt;0,IF(AL798&lt;=eco,alpha*fck*(1-(1-AL798/eco)^n),alpha*fck),0)</f>
      </c>
      <c r="AN798" s="30">
        <f>PM_Angle!$J$22+PM_Angle!$K$22*$C798+PM_Angle!$L$22*$B798</f>
      </c>
      <c r="AO798" s="12">
        <f>IF(AN798&gt;0,IF(AN798&lt;=eco,alpha*fck*(1-(1-AN798/eco)^n),alpha*fck),0)</f>
      </c>
      <c r="AP798" s="30">
        <f>PM_Angle!$J$23+PM_Angle!$K$23*$C798+PM_Angle!$L$23*$B798</f>
      </c>
      <c r="AQ798" s="12">
        <f>IF(AP798&gt;0,IF(AP798&lt;=eco,alpha*fck*(1-(1-AP798/eco)^n),alpha*fck),0)</f>
      </c>
      <c r="AR798" s="30">
        <f>PM_Angle!$J$24+PM_Angle!$K$24*$C798+PM_Angle!$L$24*$B798</f>
      </c>
      <c r="AS798" s="12">
        <f>IF(AR798&gt;0,IF(AR798&lt;=eco,alpha*fck*(1-(1-AR798/eco)^n),alpha*fck),0)</f>
      </c>
      <c r="AT798" s="30">
        <f>PM_Angle!$J$25+PM_Angle!$K$25*$C798+PM_Angle!$L$25*$B798</f>
      </c>
      <c r="AU798" s="12">
        <f>IF(AT798&gt;0,IF(AT798&lt;=eco,alpha*fck*(1-(1-AT798/eco)^n),alpha*fck),0)</f>
      </c>
    </row>
    <row r="799" spans="1:47" x14ac:dyDescent="0.25">
      <c r="A799">
        <f>Mesh!A796</f>
      </c>
      <c r="B799" s="12">
        <f>Mesh!B796</f>
      </c>
      <c r="C799" s="12">
        <f>Mesh!C796</f>
      </c>
      <c r="D799" s="12">
        <f>Mesh!D796</f>
      </c>
      <c r="E799" s="30">
        <f>INDEX(St_e0,Det+1)+INDEX(St_kx,Det+1)*C799+INDEX(St_ky,Det+1)*B799</f>
      </c>
      <c r="F799" s="12">
        <f>IF(E799&gt;0,IF(E799&lt;=eco,alpha*fck*(1-(1-E799/eco)^n),alpha*fck),0)</f>
      </c>
      <c r="G799" s="11">
        <f>F799*D799</f>
      </c>
      <c r="H799" s="11">
        <f>G799*C799</f>
      </c>
      <c r="I799" s="11">
        <f>G799*B799</f>
      </c>
      <c r="J799" s="30">
        <f>PM_Angle!$J$7+PM_Angle!$K$7*$C799+PM_Angle!$L$7*$B799</f>
      </c>
      <c r="K799" s="12">
        <f>IF(J799&gt;0,IF(J799&lt;=eco,alpha*fck*(1-(1-J799/eco)^n),alpha*fck),0)</f>
      </c>
      <c r="L799" s="30">
        <f>PM_Angle!$J$8+PM_Angle!$K$8*$C799+PM_Angle!$L$8*$B799</f>
      </c>
      <c r="M799" s="12">
        <f>IF(L799&gt;0,IF(L799&lt;=eco,alpha*fck*(1-(1-L799/eco)^n),alpha*fck),0)</f>
      </c>
      <c r="N799" s="30">
        <f>PM_Angle!$J$9+PM_Angle!$K$9*$C799+PM_Angle!$L$9*$B799</f>
      </c>
      <c r="O799" s="12">
        <f>IF(N799&gt;0,IF(N799&lt;=eco,alpha*fck*(1-(1-N799/eco)^n),alpha*fck),0)</f>
      </c>
      <c r="P799" s="30">
        <f>PM_Angle!$J$10+PM_Angle!$K$10*$C799+PM_Angle!$L$10*$B799</f>
      </c>
      <c r="Q799" s="12">
        <f>IF(P799&gt;0,IF(P799&lt;=eco,alpha*fck*(1-(1-P799/eco)^n),alpha*fck),0)</f>
      </c>
      <c r="R799" s="30">
        <f>PM_Angle!$J$11+PM_Angle!$K$11*$C799+PM_Angle!$L$11*$B799</f>
      </c>
      <c r="S799" s="12">
        <f>IF(R799&gt;0,IF(R799&lt;=eco,alpha*fck*(1-(1-R799/eco)^n),alpha*fck),0)</f>
      </c>
      <c r="T799" s="30">
        <f>PM_Angle!$J$12+PM_Angle!$K$12*$C799+PM_Angle!$L$12*$B799</f>
      </c>
      <c r="U799" s="12">
        <f>IF(T799&gt;0,IF(T799&lt;=eco,alpha*fck*(1-(1-T799/eco)^n),alpha*fck),0)</f>
      </c>
      <c r="V799" s="30">
        <f>PM_Angle!$J$13+PM_Angle!$K$13*$C799+PM_Angle!$L$13*$B799</f>
      </c>
      <c r="W799" s="12">
        <f>IF(V799&gt;0,IF(V799&lt;=eco,alpha*fck*(1-(1-V799/eco)^n),alpha*fck),0)</f>
      </c>
      <c r="X799" s="30">
        <f>PM_Angle!$J$14+PM_Angle!$K$14*$C799+PM_Angle!$L$14*$B799</f>
      </c>
      <c r="Y799" s="12">
        <f>IF(X799&gt;0,IF(X799&lt;=eco,alpha*fck*(1-(1-X799/eco)^n),alpha*fck),0)</f>
      </c>
      <c r="Z799" s="30">
        <f>PM_Angle!$J$15+PM_Angle!$K$15*$C799+PM_Angle!$L$15*$B799</f>
      </c>
      <c r="AA799" s="12">
        <f>IF(Z799&gt;0,IF(Z799&lt;=eco,alpha*fck*(1-(1-Z799/eco)^n),alpha*fck),0)</f>
      </c>
      <c r="AB799" s="30">
        <f>PM_Angle!$J$16+PM_Angle!$K$16*$C799+PM_Angle!$L$16*$B799</f>
      </c>
      <c r="AC799" s="12">
        <f>IF(AB799&gt;0,IF(AB799&lt;=eco,alpha*fck*(1-(1-AB799/eco)^n),alpha*fck),0)</f>
      </c>
      <c r="AD799" s="30">
        <f>PM_Angle!$J$17+PM_Angle!$K$17*$C799+PM_Angle!$L$17*$B799</f>
      </c>
      <c r="AE799" s="12">
        <f>IF(AD799&gt;0,IF(AD799&lt;=eco,alpha*fck*(1-(1-AD799/eco)^n),alpha*fck),0)</f>
      </c>
      <c r="AF799" s="30">
        <f>PM_Angle!$J$18+PM_Angle!$K$18*$C799+PM_Angle!$L$18*$B799</f>
      </c>
      <c r="AG799" s="12">
        <f>IF(AF799&gt;0,IF(AF799&lt;=eco,alpha*fck*(1-(1-AF799/eco)^n),alpha*fck),0)</f>
      </c>
      <c r="AH799" s="30">
        <f>PM_Angle!$J$19+PM_Angle!$K$19*$C799+PM_Angle!$L$19*$B799</f>
      </c>
      <c r="AI799" s="12">
        <f>IF(AH799&gt;0,IF(AH799&lt;=eco,alpha*fck*(1-(1-AH799/eco)^n),alpha*fck),0)</f>
      </c>
      <c r="AJ799" s="30">
        <f>PM_Angle!$J$20+PM_Angle!$K$20*$C799+PM_Angle!$L$20*$B799</f>
      </c>
      <c r="AK799" s="12">
        <f>IF(AJ799&gt;0,IF(AJ799&lt;=eco,alpha*fck*(1-(1-AJ799/eco)^n),alpha*fck),0)</f>
      </c>
      <c r="AL799" s="30">
        <f>PM_Angle!$J$21+PM_Angle!$K$21*$C799+PM_Angle!$L$21*$B799</f>
      </c>
      <c r="AM799" s="12">
        <f>IF(AL799&gt;0,IF(AL799&lt;=eco,alpha*fck*(1-(1-AL799/eco)^n),alpha*fck),0)</f>
      </c>
      <c r="AN799" s="30">
        <f>PM_Angle!$J$22+PM_Angle!$K$22*$C799+PM_Angle!$L$22*$B799</f>
      </c>
      <c r="AO799" s="12">
        <f>IF(AN799&gt;0,IF(AN799&lt;=eco,alpha*fck*(1-(1-AN799/eco)^n),alpha*fck),0)</f>
      </c>
      <c r="AP799" s="30">
        <f>PM_Angle!$J$23+PM_Angle!$K$23*$C799+PM_Angle!$L$23*$B799</f>
      </c>
      <c r="AQ799" s="12">
        <f>IF(AP799&gt;0,IF(AP799&lt;=eco,alpha*fck*(1-(1-AP799/eco)^n),alpha*fck),0)</f>
      </c>
      <c r="AR799" s="30">
        <f>PM_Angle!$J$24+PM_Angle!$K$24*$C799+PM_Angle!$L$24*$B799</f>
      </c>
      <c r="AS799" s="12">
        <f>IF(AR799&gt;0,IF(AR799&lt;=eco,alpha*fck*(1-(1-AR799/eco)^n),alpha*fck),0)</f>
      </c>
      <c r="AT799" s="30">
        <f>PM_Angle!$J$25+PM_Angle!$K$25*$C799+PM_Angle!$L$25*$B799</f>
      </c>
      <c r="AU799" s="12">
        <f>IF(AT799&gt;0,IF(AT799&lt;=eco,alpha*fck*(1-(1-AT799/eco)^n),alpha*fck),0)</f>
      </c>
    </row>
    <row r="800" spans="1:47" x14ac:dyDescent="0.25">
      <c r="A800">
        <f>Mesh!A797</f>
      </c>
      <c r="B800" s="12">
        <f>Mesh!B797</f>
      </c>
      <c r="C800" s="12">
        <f>Mesh!C797</f>
      </c>
      <c r="D800" s="12">
        <f>Mesh!D797</f>
      </c>
      <c r="E800" s="30">
        <f>INDEX(St_e0,Det+1)+INDEX(St_kx,Det+1)*C800+INDEX(St_ky,Det+1)*B800</f>
      </c>
      <c r="F800" s="12">
        <f>IF(E800&gt;0,IF(E800&lt;=eco,alpha*fck*(1-(1-E800/eco)^n),alpha*fck),0)</f>
      </c>
      <c r="G800" s="11">
        <f>F800*D800</f>
      </c>
      <c r="H800" s="11">
        <f>G800*C800</f>
      </c>
      <c r="I800" s="11">
        <f>G800*B800</f>
      </c>
      <c r="J800" s="30">
        <f>PM_Angle!$J$7+PM_Angle!$K$7*$C800+PM_Angle!$L$7*$B800</f>
      </c>
      <c r="K800" s="12">
        <f>IF(J800&gt;0,IF(J800&lt;=eco,alpha*fck*(1-(1-J800/eco)^n),alpha*fck),0)</f>
      </c>
      <c r="L800" s="30">
        <f>PM_Angle!$J$8+PM_Angle!$K$8*$C800+PM_Angle!$L$8*$B800</f>
      </c>
      <c r="M800" s="12">
        <f>IF(L800&gt;0,IF(L800&lt;=eco,alpha*fck*(1-(1-L800/eco)^n),alpha*fck),0)</f>
      </c>
      <c r="N800" s="30">
        <f>PM_Angle!$J$9+PM_Angle!$K$9*$C800+PM_Angle!$L$9*$B800</f>
      </c>
      <c r="O800" s="12">
        <f>IF(N800&gt;0,IF(N800&lt;=eco,alpha*fck*(1-(1-N800/eco)^n),alpha*fck),0)</f>
      </c>
      <c r="P800" s="30">
        <f>PM_Angle!$J$10+PM_Angle!$K$10*$C800+PM_Angle!$L$10*$B800</f>
      </c>
      <c r="Q800" s="12">
        <f>IF(P800&gt;0,IF(P800&lt;=eco,alpha*fck*(1-(1-P800/eco)^n),alpha*fck),0)</f>
      </c>
      <c r="R800" s="30">
        <f>PM_Angle!$J$11+PM_Angle!$K$11*$C800+PM_Angle!$L$11*$B800</f>
      </c>
      <c r="S800" s="12">
        <f>IF(R800&gt;0,IF(R800&lt;=eco,alpha*fck*(1-(1-R800/eco)^n),alpha*fck),0)</f>
      </c>
      <c r="T800" s="30">
        <f>PM_Angle!$J$12+PM_Angle!$K$12*$C800+PM_Angle!$L$12*$B800</f>
      </c>
      <c r="U800" s="12">
        <f>IF(T800&gt;0,IF(T800&lt;=eco,alpha*fck*(1-(1-T800/eco)^n),alpha*fck),0)</f>
      </c>
      <c r="V800" s="30">
        <f>PM_Angle!$J$13+PM_Angle!$K$13*$C800+PM_Angle!$L$13*$B800</f>
      </c>
      <c r="W800" s="12">
        <f>IF(V800&gt;0,IF(V800&lt;=eco,alpha*fck*(1-(1-V800/eco)^n),alpha*fck),0)</f>
      </c>
      <c r="X800" s="30">
        <f>PM_Angle!$J$14+PM_Angle!$K$14*$C800+PM_Angle!$L$14*$B800</f>
      </c>
      <c r="Y800" s="12">
        <f>IF(X800&gt;0,IF(X800&lt;=eco,alpha*fck*(1-(1-X800/eco)^n),alpha*fck),0)</f>
      </c>
      <c r="Z800" s="30">
        <f>PM_Angle!$J$15+PM_Angle!$K$15*$C800+PM_Angle!$L$15*$B800</f>
      </c>
      <c r="AA800" s="12">
        <f>IF(Z800&gt;0,IF(Z800&lt;=eco,alpha*fck*(1-(1-Z800/eco)^n),alpha*fck),0)</f>
      </c>
      <c r="AB800" s="30">
        <f>PM_Angle!$J$16+PM_Angle!$K$16*$C800+PM_Angle!$L$16*$B800</f>
      </c>
      <c r="AC800" s="12">
        <f>IF(AB800&gt;0,IF(AB800&lt;=eco,alpha*fck*(1-(1-AB800/eco)^n),alpha*fck),0)</f>
      </c>
      <c r="AD800" s="30">
        <f>PM_Angle!$J$17+PM_Angle!$K$17*$C800+PM_Angle!$L$17*$B800</f>
      </c>
      <c r="AE800" s="12">
        <f>IF(AD800&gt;0,IF(AD800&lt;=eco,alpha*fck*(1-(1-AD800/eco)^n),alpha*fck),0)</f>
      </c>
      <c r="AF800" s="30">
        <f>PM_Angle!$J$18+PM_Angle!$K$18*$C800+PM_Angle!$L$18*$B800</f>
      </c>
      <c r="AG800" s="12">
        <f>IF(AF800&gt;0,IF(AF800&lt;=eco,alpha*fck*(1-(1-AF800/eco)^n),alpha*fck),0)</f>
      </c>
      <c r="AH800" s="30">
        <f>PM_Angle!$J$19+PM_Angle!$K$19*$C800+PM_Angle!$L$19*$B800</f>
      </c>
      <c r="AI800" s="12">
        <f>IF(AH800&gt;0,IF(AH800&lt;=eco,alpha*fck*(1-(1-AH800/eco)^n),alpha*fck),0)</f>
      </c>
      <c r="AJ800" s="30">
        <f>PM_Angle!$J$20+PM_Angle!$K$20*$C800+PM_Angle!$L$20*$B800</f>
      </c>
      <c r="AK800" s="12">
        <f>IF(AJ800&gt;0,IF(AJ800&lt;=eco,alpha*fck*(1-(1-AJ800/eco)^n),alpha*fck),0)</f>
      </c>
      <c r="AL800" s="30">
        <f>PM_Angle!$J$21+PM_Angle!$K$21*$C800+PM_Angle!$L$21*$B800</f>
      </c>
      <c r="AM800" s="12">
        <f>IF(AL800&gt;0,IF(AL800&lt;=eco,alpha*fck*(1-(1-AL800/eco)^n),alpha*fck),0)</f>
      </c>
      <c r="AN800" s="30">
        <f>PM_Angle!$J$22+PM_Angle!$K$22*$C800+PM_Angle!$L$22*$B800</f>
      </c>
      <c r="AO800" s="12">
        <f>IF(AN800&gt;0,IF(AN800&lt;=eco,alpha*fck*(1-(1-AN800/eco)^n),alpha*fck),0)</f>
      </c>
      <c r="AP800" s="30">
        <f>PM_Angle!$J$23+PM_Angle!$K$23*$C800+PM_Angle!$L$23*$B800</f>
      </c>
      <c r="AQ800" s="12">
        <f>IF(AP800&gt;0,IF(AP800&lt;=eco,alpha*fck*(1-(1-AP800/eco)^n),alpha*fck),0)</f>
      </c>
      <c r="AR800" s="30">
        <f>PM_Angle!$J$24+PM_Angle!$K$24*$C800+PM_Angle!$L$24*$B800</f>
      </c>
      <c r="AS800" s="12">
        <f>IF(AR800&gt;0,IF(AR800&lt;=eco,alpha*fck*(1-(1-AR800/eco)^n),alpha*fck),0)</f>
      </c>
      <c r="AT800" s="30">
        <f>PM_Angle!$J$25+PM_Angle!$K$25*$C800+PM_Angle!$L$25*$B800</f>
      </c>
      <c r="AU800" s="12">
        <f>IF(AT800&gt;0,IF(AT800&lt;=eco,alpha*fck*(1-(1-AT800/eco)^n),alpha*fck),0)</f>
      </c>
    </row>
    <row r="801" spans="1:47" x14ac:dyDescent="0.25">
      <c r="A801">
        <f>Mesh!A798</f>
      </c>
      <c r="B801" s="12">
        <f>Mesh!B798</f>
      </c>
      <c r="C801" s="12">
        <f>Mesh!C798</f>
      </c>
      <c r="D801" s="12">
        <f>Mesh!D798</f>
      </c>
      <c r="E801" s="30">
        <f>INDEX(St_e0,Det+1)+INDEX(St_kx,Det+1)*C801+INDEX(St_ky,Det+1)*B801</f>
      </c>
      <c r="F801" s="12">
        <f>IF(E801&gt;0,IF(E801&lt;=eco,alpha*fck*(1-(1-E801/eco)^n),alpha*fck),0)</f>
      </c>
      <c r="G801" s="11">
        <f>F801*D801</f>
      </c>
      <c r="H801" s="11">
        <f>G801*C801</f>
      </c>
      <c r="I801" s="11">
        <f>G801*B801</f>
      </c>
      <c r="J801" s="30">
        <f>PM_Angle!$J$7+PM_Angle!$K$7*$C801+PM_Angle!$L$7*$B801</f>
      </c>
      <c r="K801" s="12">
        <f>IF(J801&gt;0,IF(J801&lt;=eco,alpha*fck*(1-(1-J801/eco)^n),alpha*fck),0)</f>
      </c>
      <c r="L801" s="30">
        <f>PM_Angle!$J$8+PM_Angle!$K$8*$C801+PM_Angle!$L$8*$B801</f>
      </c>
      <c r="M801" s="12">
        <f>IF(L801&gt;0,IF(L801&lt;=eco,alpha*fck*(1-(1-L801/eco)^n),alpha*fck),0)</f>
      </c>
      <c r="N801" s="30">
        <f>PM_Angle!$J$9+PM_Angle!$K$9*$C801+PM_Angle!$L$9*$B801</f>
      </c>
      <c r="O801" s="12">
        <f>IF(N801&gt;0,IF(N801&lt;=eco,alpha*fck*(1-(1-N801/eco)^n),alpha*fck),0)</f>
      </c>
      <c r="P801" s="30">
        <f>PM_Angle!$J$10+PM_Angle!$K$10*$C801+PM_Angle!$L$10*$B801</f>
      </c>
      <c r="Q801" s="12">
        <f>IF(P801&gt;0,IF(P801&lt;=eco,alpha*fck*(1-(1-P801/eco)^n),alpha*fck),0)</f>
      </c>
      <c r="R801" s="30">
        <f>PM_Angle!$J$11+PM_Angle!$K$11*$C801+PM_Angle!$L$11*$B801</f>
      </c>
      <c r="S801" s="12">
        <f>IF(R801&gt;0,IF(R801&lt;=eco,alpha*fck*(1-(1-R801/eco)^n),alpha*fck),0)</f>
      </c>
      <c r="T801" s="30">
        <f>PM_Angle!$J$12+PM_Angle!$K$12*$C801+PM_Angle!$L$12*$B801</f>
      </c>
      <c r="U801" s="12">
        <f>IF(T801&gt;0,IF(T801&lt;=eco,alpha*fck*(1-(1-T801/eco)^n),alpha*fck),0)</f>
      </c>
      <c r="V801" s="30">
        <f>PM_Angle!$J$13+PM_Angle!$K$13*$C801+PM_Angle!$L$13*$B801</f>
      </c>
      <c r="W801" s="12">
        <f>IF(V801&gt;0,IF(V801&lt;=eco,alpha*fck*(1-(1-V801/eco)^n),alpha*fck),0)</f>
      </c>
      <c r="X801" s="30">
        <f>PM_Angle!$J$14+PM_Angle!$K$14*$C801+PM_Angle!$L$14*$B801</f>
      </c>
      <c r="Y801" s="12">
        <f>IF(X801&gt;0,IF(X801&lt;=eco,alpha*fck*(1-(1-X801/eco)^n),alpha*fck),0)</f>
      </c>
      <c r="Z801" s="30">
        <f>PM_Angle!$J$15+PM_Angle!$K$15*$C801+PM_Angle!$L$15*$B801</f>
      </c>
      <c r="AA801" s="12">
        <f>IF(Z801&gt;0,IF(Z801&lt;=eco,alpha*fck*(1-(1-Z801/eco)^n),alpha*fck),0)</f>
      </c>
      <c r="AB801" s="30">
        <f>PM_Angle!$J$16+PM_Angle!$K$16*$C801+PM_Angle!$L$16*$B801</f>
      </c>
      <c r="AC801" s="12">
        <f>IF(AB801&gt;0,IF(AB801&lt;=eco,alpha*fck*(1-(1-AB801/eco)^n),alpha*fck),0)</f>
      </c>
      <c r="AD801" s="30">
        <f>PM_Angle!$J$17+PM_Angle!$K$17*$C801+PM_Angle!$L$17*$B801</f>
      </c>
      <c r="AE801" s="12">
        <f>IF(AD801&gt;0,IF(AD801&lt;=eco,alpha*fck*(1-(1-AD801/eco)^n),alpha*fck),0)</f>
      </c>
      <c r="AF801" s="30">
        <f>PM_Angle!$J$18+PM_Angle!$K$18*$C801+PM_Angle!$L$18*$B801</f>
      </c>
      <c r="AG801" s="12">
        <f>IF(AF801&gt;0,IF(AF801&lt;=eco,alpha*fck*(1-(1-AF801/eco)^n),alpha*fck),0)</f>
      </c>
      <c r="AH801" s="30">
        <f>PM_Angle!$J$19+PM_Angle!$K$19*$C801+PM_Angle!$L$19*$B801</f>
      </c>
      <c r="AI801" s="12">
        <f>IF(AH801&gt;0,IF(AH801&lt;=eco,alpha*fck*(1-(1-AH801/eco)^n),alpha*fck),0)</f>
      </c>
      <c r="AJ801" s="30">
        <f>PM_Angle!$J$20+PM_Angle!$K$20*$C801+PM_Angle!$L$20*$B801</f>
      </c>
      <c r="AK801" s="12">
        <f>IF(AJ801&gt;0,IF(AJ801&lt;=eco,alpha*fck*(1-(1-AJ801/eco)^n),alpha*fck),0)</f>
      </c>
      <c r="AL801" s="30">
        <f>PM_Angle!$J$21+PM_Angle!$K$21*$C801+PM_Angle!$L$21*$B801</f>
      </c>
      <c r="AM801" s="12">
        <f>IF(AL801&gt;0,IF(AL801&lt;=eco,alpha*fck*(1-(1-AL801/eco)^n),alpha*fck),0)</f>
      </c>
      <c r="AN801" s="30">
        <f>PM_Angle!$J$22+PM_Angle!$K$22*$C801+PM_Angle!$L$22*$B801</f>
      </c>
      <c r="AO801" s="12">
        <f>IF(AN801&gt;0,IF(AN801&lt;=eco,alpha*fck*(1-(1-AN801/eco)^n),alpha*fck),0)</f>
      </c>
      <c r="AP801" s="30">
        <f>PM_Angle!$J$23+PM_Angle!$K$23*$C801+PM_Angle!$L$23*$B801</f>
      </c>
      <c r="AQ801" s="12">
        <f>IF(AP801&gt;0,IF(AP801&lt;=eco,alpha*fck*(1-(1-AP801/eco)^n),alpha*fck),0)</f>
      </c>
      <c r="AR801" s="30">
        <f>PM_Angle!$J$24+PM_Angle!$K$24*$C801+PM_Angle!$L$24*$B801</f>
      </c>
      <c r="AS801" s="12">
        <f>IF(AR801&gt;0,IF(AR801&lt;=eco,alpha*fck*(1-(1-AR801/eco)^n),alpha*fck),0)</f>
      </c>
      <c r="AT801" s="30">
        <f>PM_Angle!$J$25+PM_Angle!$K$25*$C801+PM_Angle!$L$25*$B801</f>
      </c>
      <c r="AU801" s="12">
        <f>IF(AT801&gt;0,IF(AT801&lt;=eco,alpha*fck*(1-(1-AT801/eco)^n),alpha*fck),0)</f>
      </c>
    </row>
    <row r="802" spans="1:47" x14ac:dyDescent="0.25">
      <c r="A802">
        <f>Mesh!A799</f>
      </c>
      <c r="B802" s="12">
        <f>Mesh!B799</f>
      </c>
      <c r="C802" s="12">
        <f>Mesh!C799</f>
      </c>
      <c r="D802" s="12">
        <f>Mesh!D799</f>
      </c>
      <c r="E802" s="30">
        <f>INDEX(St_e0,Det+1)+INDEX(St_kx,Det+1)*C802+INDEX(St_ky,Det+1)*B802</f>
      </c>
      <c r="F802" s="12">
        <f>IF(E802&gt;0,IF(E802&lt;=eco,alpha*fck*(1-(1-E802/eco)^n),alpha*fck),0)</f>
      </c>
      <c r="G802" s="11">
        <f>F802*D802</f>
      </c>
      <c r="H802" s="11">
        <f>G802*C802</f>
      </c>
      <c r="I802" s="11">
        <f>G802*B802</f>
      </c>
      <c r="J802" s="30">
        <f>PM_Angle!$J$7+PM_Angle!$K$7*$C802+PM_Angle!$L$7*$B802</f>
      </c>
      <c r="K802" s="12">
        <f>IF(J802&gt;0,IF(J802&lt;=eco,alpha*fck*(1-(1-J802/eco)^n),alpha*fck),0)</f>
      </c>
      <c r="L802" s="30">
        <f>PM_Angle!$J$8+PM_Angle!$K$8*$C802+PM_Angle!$L$8*$B802</f>
      </c>
      <c r="M802" s="12">
        <f>IF(L802&gt;0,IF(L802&lt;=eco,alpha*fck*(1-(1-L802/eco)^n),alpha*fck),0)</f>
      </c>
      <c r="N802" s="30">
        <f>PM_Angle!$J$9+PM_Angle!$K$9*$C802+PM_Angle!$L$9*$B802</f>
      </c>
      <c r="O802" s="12">
        <f>IF(N802&gt;0,IF(N802&lt;=eco,alpha*fck*(1-(1-N802/eco)^n),alpha*fck),0)</f>
      </c>
      <c r="P802" s="30">
        <f>PM_Angle!$J$10+PM_Angle!$K$10*$C802+PM_Angle!$L$10*$B802</f>
      </c>
      <c r="Q802" s="12">
        <f>IF(P802&gt;0,IF(P802&lt;=eco,alpha*fck*(1-(1-P802/eco)^n),alpha*fck),0)</f>
      </c>
      <c r="R802" s="30">
        <f>PM_Angle!$J$11+PM_Angle!$K$11*$C802+PM_Angle!$L$11*$B802</f>
      </c>
      <c r="S802" s="12">
        <f>IF(R802&gt;0,IF(R802&lt;=eco,alpha*fck*(1-(1-R802/eco)^n),alpha*fck),0)</f>
      </c>
      <c r="T802" s="30">
        <f>PM_Angle!$J$12+PM_Angle!$K$12*$C802+PM_Angle!$L$12*$B802</f>
      </c>
      <c r="U802" s="12">
        <f>IF(T802&gt;0,IF(T802&lt;=eco,alpha*fck*(1-(1-T802/eco)^n),alpha*fck),0)</f>
      </c>
      <c r="V802" s="30">
        <f>PM_Angle!$J$13+PM_Angle!$K$13*$C802+PM_Angle!$L$13*$B802</f>
      </c>
      <c r="W802" s="12">
        <f>IF(V802&gt;0,IF(V802&lt;=eco,alpha*fck*(1-(1-V802/eco)^n),alpha*fck),0)</f>
      </c>
      <c r="X802" s="30">
        <f>PM_Angle!$J$14+PM_Angle!$K$14*$C802+PM_Angle!$L$14*$B802</f>
      </c>
      <c r="Y802" s="12">
        <f>IF(X802&gt;0,IF(X802&lt;=eco,alpha*fck*(1-(1-X802/eco)^n),alpha*fck),0)</f>
      </c>
      <c r="Z802" s="30">
        <f>PM_Angle!$J$15+PM_Angle!$K$15*$C802+PM_Angle!$L$15*$B802</f>
      </c>
      <c r="AA802" s="12">
        <f>IF(Z802&gt;0,IF(Z802&lt;=eco,alpha*fck*(1-(1-Z802/eco)^n),alpha*fck),0)</f>
      </c>
      <c r="AB802" s="30">
        <f>PM_Angle!$J$16+PM_Angle!$K$16*$C802+PM_Angle!$L$16*$B802</f>
      </c>
      <c r="AC802" s="12">
        <f>IF(AB802&gt;0,IF(AB802&lt;=eco,alpha*fck*(1-(1-AB802/eco)^n),alpha*fck),0)</f>
      </c>
      <c r="AD802" s="30">
        <f>PM_Angle!$J$17+PM_Angle!$K$17*$C802+PM_Angle!$L$17*$B802</f>
      </c>
      <c r="AE802" s="12">
        <f>IF(AD802&gt;0,IF(AD802&lt;=eco,alpha*fck*(1-(1-AD802/eco)^n),alpha*fck),0)</f>
      </c>
      <c r="AF802" s="30">
        <f>PM_Angle!$J$18+PM_Angle!$K$18*$C802+PM_Angle!$L$18*$B802</f>
      </c>
      <c r="AG802" s="12">
        <f>IF(AF802&gt;0,IF(AF802&lt;=eco,alpha*fck*(1-(1-AF802/eco)^n),alpha*fck),0)</f>
      </c>
      <c r="AH802" s="30">
        <f>PM_Angle!$J$19+PM_Angle!$K$19*$C802+PM_Angle!$L$19*$B802</f>
      </c>
      <c r="AI802" s="12">
        <f>IF(AH802&gt;0,IF(AH802&lt;=eco,alpha*fck*(1-(1-AH802/eco)^n),alpha*fck),0)</f>
      </c>
      <c r="AJ802" s="30">
        <f>PM_Angle!$J$20+PM_Angle!$K$20*$C802+PM_Angle!$L$20*$B802</f>
      </c>
      <c r="AK802" s="12">
        <f>IF(AJ802&gt;0,IF(AJ802&lt;=eco,alpha*fck*(1-(1-AJ802/eco)^n),alpha*fck),0)</f>
      </c>
      <c r="AL802" s="30">
        <f>PM_Angle!$J$21+PM_Angle!$K$21*$C802+PM_Angle!$L$21*$B802</f>
      </c>
      <c r="AM802" s="12">
        <f>IF(AL802&gt;0,IF(AL802&lt;=eco,alpha*fck*(1-(1-AL802/eco)^n),alpha*fck),0)</f>
      </c>
      <c r="AN802" s="30">
        <f>PM_Angle!$J$22+PM_Angle!$K$22*$C802+PM_Angle!$L$22*$B802</f>
      </c>
      <c r="AO802" s="12">
        <f>IF(AN802&gt;0,IF(AN802&lt;=eco,alpha*fck*(1-(1-AN802/eco)^n),alpha*fck),0)</f>
      </c>
      <c r="AP802" s="30">
        <f>PM_Angle!$J$23+PM_Angle!$K$23*$C802+PM_Angle!$L$23*$B802</f>
      </c>
      <c r="AQ802" s="12">
        <f>IF(AP802&gt;0,IF(AP802&lt;=eco,alpha*fck*(1-(1-AP802/eco)^n),alpha*fck),0)</f>
      </c>
      <c r="AR802" s="30">
        <f>PM_Angle!$J$24+PM_Angle!$K$24*$C802+PM_Angle!$L$24*$B802</f>
      </c>
      <c r="AS802" s="12">
        <f>IF(AR802&gt;0,IF(AR802&lt;=eco,alpha*fck*(1-(1-AR802/eco)^n),alpha*fck),0)</f>
      </c>
      <c r="AT802" s="30">
        <f>PM_Angle!$J$25+PM_Angle!$K$25*$C802+PM_Angle!$L$25*$B802</f>
      </c>
      <c r="AU802" s="12">
        <f>IF(AT802&gt;0,IF(AT802&lt;=eco,alpha*fck*(1-(1-AT802/eco)^n),alpha*fck),0)</f>
      </c>
    </row>
    <row r="803" spans="1:47" x14ac:dyDescent="0.25">
      <c r="A803">
        <f>Mesh!A800</f>
      </c>
      <c r="B803" s="12">
        <f>Mesh!B800</f>
      </c>
      <c r="C803" s="12">
        <f>Mesh!C800</f>
      </c>
      <c r="D803" s="12">
        <f>Mesh!D800</f>
      </c>
      <c r="E803" s="30">
        <f>INDEX(St_e0,Det+1)+INDEX(St_kx,Det+1)*C803+INDEX(St_ky,Det+1)*B803</f>
      </c>
      <c r="F803" s="12">
        <f>IF(E803&gt;0,IF(E803&lt;=eco,alpha*fck*(1-(1-E803/eco)^n),alpha*fck),0)</f>
      </c>
      <c r="G803" s="11">
        <f>F803*D803</f>
      </c>
      <c r="H803" s="11">
        <f>G803*C803</f>
      </c>
      <c r="I803" s="11">
        <f>G803*B803</f>
      </c>
      <c r="J803" s="30">
        <f>PM_Angle!$J$7+PM_Angle!$K$7*$C803+PM_Angle!$L$7*$B803</f>
      </c>
      <c r="K803" s="12">
        <f>IF(J803&gt;0,IF(J803&lt;=eco,alpha*fck*(1-(1-J803/eco)^n),alpha*fck),0)</f>
      </c>
      <c r="L803" s="30">
        <f>PM_Angle!$J$8+PM_Angle!$K$8*$C803+PM_Angle!$L$8*$B803</f>
      </c>
      <c r="M803" s="12">
        <f>IF(L803&gt;0,IF(L803&lt;=eco,alpha*fck*(1-(1-L803/eco)^n),alpha*fck),0)</f>
      </c>
      <c r="N803" s="30">
        <f>PM_Angle!$J$9+PM_Angle!$K$9*$C803+PM_Angle!$L$9*$B803</f>
      </c>
      <c r="O803" s="12">
        <f>IF(N803&gt;0,IF(N803&lt;=eco,alpha*fck*(1-(1-N803/eco)^n),alpha*fck),0)</f>
      </c>
      <c r="P803" s="30">
        <f>PM_Angle!$J$10+PM_Angle!$K$10*$C803+PM_Angle!$L$10*$B803</f>
      </c>
      <c r="Q803" s="12">
        <f>IF(P803&gt;0,IF(P803&lt;=eco,alpha*fck*(1-(1-P803/eco)^n),alpha*fck),0)</f>
      </c>
      <c r="R803" s="30">
        <f>PM_Angle!$J$11+PM_Angle!$K$11*$C803+PM_Angle!$L$11*$B803</f>
      </c>
      <c r="S803" s="12">
        <f>IF(R803&gt;0,IF(R803&lt;=eco,alpha*fck*(1-(1-R803/eco)^n),alpha*fck),0)</f>
      </c>
      <c r="T803" s="30">
        <f>PM_Angle!$J$12+PM_Angle!$K$12*$C803+PM_Angle!$L$12*$B803</f>
      </c>
      <c r="U803" s="12">
        <f>IF(T803&gt;0,IF(T803&lt;=eco,alpha*fck*(1-(1-T803/eco)^n),alpha*fck),0)</f>
      </c>
      <c r="V803" s="30">
        <f>PM_Angle!$J$13+PM_Angle!$K$13*$C803+PM_Angle!$L$13*$B803</f>
      </c>
      <c r="W803" s="12">
        <f>IF(V803&gt;0,IF(V803&lt;=eco,alpha*fck*(1-(1-V803/eco)^n),alpha*fck),0)</f>
      </c>
      <c r="X803" s="30">
        <f>PM_Angle!$J$14+PM_Angle!$K$14*$C803+PM_Angle!$L$14*$B803</f>
      </c>
      <c r="Y803" s="12">
        <f>IF(X803&gt;0,IF(X803&lt;=eco,alpha*fck*(1-(1-X803/eco)^n),alpha*fck),0)</f>
      </c>
      <c r="Z803" s="30">
        <f>PM_Angle!$J$15+PM_Angle!$K$15*$C803+PM_Angle!$L$15*$B803</f>
      </c>
      <c r="AA803" s="12">
        <f>IF(Z803&gt;0,IF(Z803&lt;=eco,alpha*fck*(1-(1-Z803/eco)^n),alpha*fck),0)</f>
      </c>
      <c r="AB803" s="30">
        <f>PM_Angle!$J$16+PM_Angle!$K$16*$C803+PM_Angle!$L$16*$B803</f>
      </c>
      <c r="AC803" s="12">
        <f>IF(AB803&gt;0,IF(AB803&lt;=eco,alpha*fck*(1-(1-AB803/eco)^n),alpha*fck),0)</f>
      </c>
      <c r="AD803" s="30">
        <f>PM_Angle!$J$17+PM_Angle!$K$17*$C803+PM_Angle!$L$17*$B803</f>
      </c>
      <c r="AE803" s="12">
        <f>IF(AD803&gt;0,IF(AD803&lt;=eco,alpha*fck*(1-(1-AD803/eco)^n),alpha*fck),0)</f>
      </c>
      <c r="AF803" s="30">
        <f>PM_Angle!$J$18+PM_Angle!$K$18*$C803+PM_Angle!$L$18*$B803</f>
      </c>
      <c r="AG803" s="12">
        <f>IF(AF803&gt;0,IF(AF803&lt;=eco,alpha*fck*(1-(1-AF803/eco)^n),alpha*fck),0)</f>
      </c>
      <c r="AH803" s="30">
        <f>PM_Angle!$J$19+PM_Angle!$K$19*$C803+PM_Angle!$L$19*$B803</f>
      </c>
      <c r="AI803" s="12">
        <f>IF(AH803&gt;0,IF(AH803&lt;=eco,alpha*fck*(1-(1-AH803/eco)^n),alpha*fck),0)</f>
      </c>
      <c r="AJ803" s="30">
        <f>PM_Angle!$J$20+PM_Angle!$K$20*$C803+PM_Angle!$L$20*$B803</f>
      </c>
      <c r="AK803" s="12">
        <f>IF(AJ803&gt;0,IF(AJ803&lt;=eco,alpha*fck*(1-(1-AJ803/eco)^n),alpha*fck),0)</f>
      </c>
      <c r="AL803" s="30">
        <f>PM_Angle!$J$21+PM_Angle!$K$21*$C803+PM_Angle!$L$21*$B803</f>
      </c>
      <c r="AM803" s="12">
        <f>IF(AL803&gt;0,IF(AL803&lt;=eco,alpha*fck*(1-(1-AL803/eco)^n),alpha*fck),0)</f>
      </c>
      <c r="AN803" s="30">
        <f>PM_Angle!$J$22+PM_Angle!$K$22*$C803+PM_Angle!$L$22*$B803</f>
      </c>
      <c r="AO803" s="12">
        <f>IF(AN803&gt;0,IF(AN803&lt;=eco,alpha*fck*(1-(1-AN803/eco)^n),alpha*fck),0)</f>
      </c>
      <c r="AP803" s="30">
        <f>PM_Angle!$J$23+PM_Angle!$K$23*$C803+PM_Angle!$L$23*$B803</f>
      </c>
      <c r="AQ803" s="12">
        <f>IF(AP803&gt;0,IF(AP803&lt;=eco,alpha*fck*(1-(1-AP803/eco)^n),alpha*fck),0)</f>
      </c>
      <c r="AR803" s="30">
        <f>PM_Angle!$J$24+PM_Angle!$K$24*$C803+PM_Angle!$L$24*$B803</f>
      </c>
      <c r="AS803" s="12">
        <f>IF(AR803&gt;0,IF(AR803&lt;=eco,alpha*fck*(1-(1-AR803/eco)^n),alpha*fck),0)</f>
      </c>
      <c r="AT803" s="30">
        <f>PM_Angle!$J$25+PM_Angle!$K$25*$C803+PM_Angle!$L$25*$B803</f>
      </c>
      <c r="AU803" s="12">
        <f>IF(AT803&gt;0,IF(AT803&lt;=eco,alpha*fck*(1-(1-AT803/eco)^n),alpha*fck),0)</f>
      </c>
    </row>
    <row r="804" spans="1:47" x14ac:dyDescent="0.25">
      <c r="A804">
        <f>Mesh!A801</f>
      </c>
      <c r="B804" s="12">
        <f>Mesh!B801</f>
      </c>
      <c r="C804" s="12">
        <f>Mesh!C801</f>
      </c>
      <c r="D804" s="12">
        <f>Mesh!D801</f>
      </c>
      <c r="E804" s="30">
        <f>INDEX(St_e0,Det+1)+INDEX(St_kx,Det+1)*C804+INDEX(St_ky,Det+1)*B804</f>
      </c>
      <c r="F804" s="12">
        <f>IF(E804&gt;0,IF(E804&lt;=eco,alpha*fck*(1-(1-E804/eco)^n),alpha*fck),0)</f>
      </c>
      <c r="G804" s="11">
        <f>F804*D804</f>
      </c>
      <c r="H804" s="11">
        <f>G804*C804</f>
      </c>
      <c r="I804" s="11">
        <f>G804*B804</f>
      </c>
      <c r="J804" s="30">
        <f>PM_Angle!$J$7+PM_Angle!$K$7*$C804+PM_Angle!$L$7*$B804</f>
      </c>
      <c r="K804" s="12">
        <f>IF(J804&gt;0,IF(J804&lt;=eco,alpha*fck*(1-(1-J804/eco)^n),alpha*fck),0)</f>
      </c>
      <c r="L804" s="30">
        <f>PM_Angle!$J$8+PM_Angle!$K$8*$C804+PM_Angle!$L$8*$B804</f>
      </c>
      <c r="M804" s="12">
        <f>IF(L804&gt;0,IF(L804&lt;=eco,alpha*fck*(1-(1-L804/eco)^n),alpha*fck),0)</f>
      </c>
      <c r="N804" s="30">
        <f>PM_Angle!$J$9+PM_Angle!$K$9*$C804+PM_Angle!$L$9*$B804</f>
      </c>
      <c r="O804" s="12">
        <f>IF(N804&gt;0,IF(N804&lt;=eco,alpha*fck*(1-(1-N804/eco)^n),alpha*fck),0)</f>
      </c>
      <c r="P804" s="30">
        <f>PM_Angle!$J$10+PM_Angle!$K$10*$C804+PM_Angle!$L$10*$B804</f>
      </c>
      <c r="Q804" s="12">
        <f>IF(P804&gt;0,IF(P804&lt;=eco,alpha*fck*(1-(1-P804/eco)^n),alpha*fck),0)</f>
      </c>
      <c r="R804" s="30">
        <f>PM_Angle!$J$11+PM_Angle!$K$11*$C804+PM_Angle!$L$11*$B804</f>
      </c>
      <c r="S804" s="12">
        <f>IF(R804&gt;0,IF(R804&lt;=eco,alpha*fck*(1-(1-R804/eco)^n),alpha*fck),0)</f>
      </c>
      <c r="T804" s="30">
        <f>PM_Angle!$J$12+PM_Angle!$K$12*$C804+PM_Angle!$L$12*$B804</f>
      </c>
      <c r="U804" s="12">
        <f>IF(T804&gt;0,IF(T804&lt;=eco,alpha*fck*(1-(1-T804/eco)^n),alpha*fck),0)</f>
      </c>
      <c r="V804" s="30">
        <f>PM_Angle!$J$13+PM_Angle!$K$13*$C804+PM_Angle!$L$13*$B804</f>
      </c>
      <c r="W804" s="12">
        <f>IF(V804&gt;0,IF(V804&lt;=eco,alpha*fck*(1-(1-V804/eco)^n),alpha*fck),0)</f>
      </c>
      <c r="X804" s="30">
        <f>PM_Angle!$J$14+PM_Angle!$K$14*$C804+PM_Angle!$L$14*$B804</f>
      </c>
      <c r="Y804" s="12">
        <f>IF(X804&gt;0,IF(X804&lt;=eco,alpha*fck*(1-(1-X804/eco)^n),alpha*fck),0)</f>
      </c>
      <c r="Z804" s="30">
        <f>PM_Angle!$J$15+PM_Angle!$K$15*$C804+PM_Angle!$L$15*$B804</f>
      </c>
      <c r="AA804" s="12">
        <f>IF(Z804&gt;0,IF(Z804&lt;=eco,alpha*fck*(1-(1-Z804/eco)^n),alpha*fck),0)</f>
      </c>
      <c r="AB804" s="30">
        <f>PM_Angle!$J$16+PM_Angle!$K$16*$C804+PM_Angle!$L$16*$B804</f>
      </c>
      <c r="AC804" s="12">
        <f>IF(AB804&gt;0,IF(AB804&lt;=eco,alpha*fck*(1-(1-AB804/eco)^n),alpha*fck),0)</f>
      </c>
      <c r="AD804" s="30">
        <f>PM_Angle!$J$17+PM_Angle!$K$17*$C804+PM_Angle!$L$17*$B804</f>
      </c>
      <c r="AE804" s="12">
        <f>IF(AD804&gt;0,IF(AD804&lt;=eco,alpha*fck*(1-(1-AD804/eco)^n),alpha*fck),0)</f>
      </c>
      <c r="AF804" s="30">
        <f>PM_Angle!$J$18+PM_Angle!$K$18*$C804+PM_Angle!$L$18*$B804</f>
      </c>
      <c r="AG804" s="12">
        <f>IF(AF804&gt;0,IF(AF804&lt;=eco,alpha*fck*(1-(1-AF804/eco)^n),alpha*fck),0)</f>
      </c>
      <c r="AH804" s="30">
        <f>PM_Angle!$J$19+PM_Angle!$K$19*$C804+PM_Angle!$L$19*$B804</f>
      </c>
      <c r="AI804" s="12">
        <f>IF(AH804&gt;0,IF(AH804&lt;=eco,alpha*fck*(1-(1-AH804/eco)^n),alpha*fck),0)</f>
      </c>
      <c r="AJ804" s="30">
        <f>PM_Angle!$J$20+PM_Angle!$K$20*$C804+PM_Angle!$L$20*$B804</f>
      </c>
      <c r="AK804" s="12">
        <f>IF(AJ804&gt;0,IF(AJ804&lt;=eco,alpha*fck*(1-(1-AJ804/eco)^n),alpha*fck),0)</f>
      </c>
      <c r="AL804" s="30">
        <f>PM_Angle!$J$21+PM_Angle!$K$21*$C804+PM_Angle!$L$21*$B804</f>
      </c>
      <c r="AM804" s="12">
        <f>IF(AL804&gt;0,IF(AL804&lt;=eco,alpha*fck*(1-(1-AL804/eco)^n),alpha*fck),0)</f>
      </c>
      <c r="AN804" s="30">
        <f>PM_Angle!$J$22+PM_Angle!$K$22*$C804+PM_Angle!$L$22*$B804</f>
      </c>
      <c r="AO804" s="12">
        <f>IF(AN804&gt;0,IF(AN804&lt;=eco,alpha*fck*(1-(1-AN804/eco)^n),alpha*fck),0)</f>
      </c>
      <c r="AP804" s="30">
        <f>PM_Angle!$J$23+PM_Angle!$K$23*$C804+PM_Angle!$L$23*$B804</f>
      </c>
      <c r="AQ804" s="12">
        <f>IF(AP804&gt;0,IF(AP804&lt;=eco,alpha*fck*(1-(1-AP804/eco)^n),alpha*fck),0)</f>
      </c>
      <c r="AR804" s="30">
        <f>PM_Angle!$J$24+PM_Angle!$K$24*$C804+PM_Angle!$L$24*$B804</f>
      </c>
      <c r="AS804" s="12">
        <f>IF(AR804&gt;0,IF(AR804&lt;=eco,alpha*fck*(1-(1-AR804/eco)^n),alpha*fck),0)</f>
      </c>
      <c r="AT804" s="30">
        <f>PM_Angle!$J$25+PM_Angle!$K$25*$C804+PM_Angle!$L$25*$B804</f>
      </c>
      <c r="AU804" s="12">
        <f>IF(AT804&gt;0,IF(AT804&lt;=eco,alpha*fck*(1-(1-AT804/eco)^n),alpha*fck),0)</f>
      </c>
    </row>
    <row r="805" spans="1:47" x14ac:dyDescent="0.25">
      <c r="A805">
        <f>Mesh!A802</f>
      </c>
      <c r="B805" s="12">
        <f>Mesh!B802</f>
      </c>
      <c r="C805" s="12">
        <f>Mesh!C802</f>
      </c>
      <c r="D805" s="12">
        <f>Mesh!D802</f>
      </c>
      <c r="E805" s="30">
        <f>INDEX(St_e0,Det+1)+INDEX(St_kx,Det+1)*C805+INDEX(St_ky,Det+1)*B805</f>
      </c>
      <c r="F805" s="12">
        <f>IF(E805&gt;0,IF(E805&lt;=eco,alpha*fck*(1-(1-E805/eco)^n),alpha*fck),0)</f>
      </c>
      <c r="G805" s="11">
        <f>F805*D805</f>
      </c>
      <c r="H805" s="11">
        <f>G805*C805</f>
      </c>
      <c r="I805" s="11">
        <f>G805*B805</f>
      </c>
      <c r="J805" s="30">
        <f>PM_Angle!$J$7+PM_Angle!$K$7*$C805+PM_Angle!$L$7*$B805</f>
      </c>
      <c r="K805" s="12">
        <f>IF(J805&gt;0,IF(J805&lt;=eco,alpha*fck*(1-(1-J805/eco)^n),alpha*fck),0)</f>
      </c>
      <c r="L805" s="30">
        <f>PM_Angle!$J$8+PM_Angle!$K$8*$C805+PM_Angle!$L$8*$B805</f>
      </c>
      <c r="M805" s="12">
        <f>IF(L805&gt;0,IF(L805&lt;=eco,alpha*fck*(1-(1-L805/eco)^n),alpha*fck),0)</f>
      </c>
      <c r="N805" s="30">
        <f>PM_Angle!$J$9+PM_Angle!$K$9*$C805+PM_Angle!$L$9*$B805</f>
      </c>
      <c r="O805" s="12">
        <f>IF(N805&gt;0,IF(N805&lt;=eco,alpha*fck*(1-(1-N805/eco)^n),alpha*fck),0)</f>
      </c>
      <c r="P805" s="30">
        <f>PM_Angle!$J$10+PM_Angle!$K$10*$C805+PM_Angle!$L$10*$B805</f>
      </c>
      <c r="Q805" s="12">
        <f>IF(P805&gt;0,IF(P805&lt;=eco,alpha*fck*(1-(1-P805/eco)^n),alpha*fck),0)</f>
      </c>
      <c r="R805" s="30">
        <f>PM_Angle!$J$11+PM_Angle!$K$11*$C805+PM_Angle!$L$11*$B805</f>
      </c>
      <c r="S805" s="12">
        <f>IF(R805&gt;0,IF(R805&lt;=eco,alpha*fck*(1-(1-R805/eco)^n),alpha*fck),0)</f>
      </c>
      <c r="T805" s="30">
        <f>PM_Angle!$J$12+PM_Angle!$K$12*$C805+PM_Angle!$L$12*$B805</f>
      </c>
      <c r="U805" s="12">
        <f>IF(T805&gt;0,IF(T805&lt;=eco,alpha*fck*(1-(1-T805/eco)^n),alpha*fck),0)</f>
      </c>
      <c r="V805" s="30">
        <f>PM_Angle!$J$13+PM_Angle!$K$13*$C805+PM_Angle!$L$13*$B805</f>
      </c>
      <c r="W805" s="12">
        <f>IF(V805&gt;0,IF(V805&lt;=eco,alpha*fck*(1-(1-V805/eco)^n),alpha*fck),0)</f>
      </c>
      <c r="X805" s="30">
        <f>PM_Angle!$J$14+PM_Angle!$K$14*$C805+PM_Angle!$L$14*$B805</f>
      </c>
      <c r="Y805" s="12">
        <f>IF(X805&gt;0,IF(X805&lt;=eco,alpha*fck*(1-(1-X805/eco)^n),alpha*fck),0)</f>
      </c>
      <c r="Z805" s="30">
        <f>PM_Angle!$J$15+PM_Angle!$K$15*$C805+PM_Angle!$L$15*$B805</f>
      </c>
      <c r="AA805" s="12">
        <f>IF(Z805&gt;0,IF(Z805&lt;=eco,alpha*fck*(1-(1-Z805/eco)^n),alpha*fck),0)</f>
      </c>
      <c r="AB805" s="30">
        <f>PM_Angle!$J$16+PM_Angle!$K$16*$C805+PM_Angle!$L$16*$B805</f>
      </c>
      <c r="AC805" s="12">
        <f>IF(AB805&gt;0,IF(AB805&lt;=eco,alpha*fck*(1-(1-AB805/eco)^n),alpha*fck),0)</f>
      </c>
      <c r="AD805" s="30">
        <f>PM_Angle!$J$17+PM_Angle!$K$17*$C805+PM_Angle!$L$17*$B805</f>
      </c>
      <c r="AE805" s="12">
        <f>IF(AD805&gt;0,IF(AD805&lt;=eco,alpha*fck*(1-(1-AD805/eco)^n),alpha*fck),0)</f>
      </c>
      <c r="AF805" s="30">
        <f>PM_Angle!$J$18+PM_Angle!$K$18*$C805+PM_Angle!$L$18*$B805</f>
      </c>
      <c r="AG805" s="12">
        <f>IF(AF805&gt;0,IF(AF805&lt;=eco,alpha*fck*(1-(1-AF805/eco)^n),alpha*fck),0)</f>
      </c>
      <c r="AH805" s="30">
        <f>PM_Angle!$J$19+PM_Angle!$K$19*$C805+PM_Angle!$L$19*$B805</f>
      </c>
      <c r="AI805" s="12">
        <f>IF(AH805&gt;0,IF(AH805&lt;=eco,alpha*fck*(1-(1-AH805/eco)^n),alpha*fck),0)</f>
      </c>
      <c r="AJ805" s="30">
        <f>PM_Angle!$J$20+PM_Angle!$K$20*$C805+PM_Angle!$L$20*$B805</f>
      </c>
      <c r="AK805" s="12">
        <f>IF(AJ805&gt;0,IF(AJ805&lt;=eco,alpha*fck*(1-(1-AJ805/eco)^n),alpha*fck),0)</f>
      </c>
      <c r="AL805" s="30">
        <f>PM_Angle!$J$21+PM_Angle!$K$21*$C805+PM_Angle!$L$21*$B805</f>
      </c>
      <c r="AM805" s="12">
        <f>IF(AL805&gt;0,IF(AL805&lt;=eco,alpha*fck*(1-(1-AL805/eco)^n),alpha*fck),0)</f>
      </c>
      <c r="AN805" s="30">
        <f>PM_Angle!$J$22+PM_Angle!$K$22*$C805+PM_Angle!$L$22*$B805</f>
      </c>
      <c r="AO805" s="12">
        <f>IF(AN805&gt;0,IF(AN805&lt;=eco,alpha*fck*(1-(1-AN805/eco)^n),alpha*fck),0)</f>
      </c>
      <c r="AP805" s="30">
        <f>PM_Angle!$J$23+PM_Angle!$K$23*$C805+PM_Angle!$L$23*$B805</f>
      </c>
      <c r="AQ805" s="12">
        <f>IF(AP805&gt;0,IF(AP805&lt;=eco,alpha*fck*(1-(1-AP805/eco)^n),alpha*fck),0)</f>
      </c>
      <c r="AR805" s="30">
        <f>PM_Angle!$J$24+PM_Angle!$K$24*$C805+PM_Angle!$L$24*$B805</f>
      </c>
      <c r="AS805" s="12">
        <f>IF(AR805&gt;0,IF(AR805&lt;=eco,alpha*fck*(1-(1-AR805/eco)^n),alpha*fck),0)</f>
      </c>
      <c r="AT805" s="30">
        <f>PM_Angle!$J$25+PM_Angle!$K$25*$C805+PM_Angle!$L$25*$B805</f>
      </c>
      <c r="AU805" s="12">
        <f>IF(AT805&gt;0,IF(AT805&lt;=eco,alpha*fck*(1-(1-AT805/eco)^n),alpha*fck),0)</f>
      </c>
    </row>
    <row r="806" spans="1:47" x14ac:dyDescent="0.25">
      <c r="A806">
        <f>Mesh!A803</f>
      </c>
      <c r="B806" s="12">
        <f>Mesh!B803</f>
      </c>
      <c r="C806" s="12">
        <f>Mesh!C803</f>
      </c>
      <c r="D806" s="12">
        <f>Mesh!D803</f>
      </c>
      <c r="E806" s="30">
        <f>INDEX(St_e0,Det+1)+INDEX(St_kx,Det+1)*C806+INDEX(St_ky,Det+1)*B806</f>
      </c>
      <c r="F806" s="12">
        <f>IF(E806&gt;0,IF(E806&lt;=eco,alpha*fck*(1-(1-E806/eco)^n),alpha*fck),0)</f>
      </c>
      <c r="G806" s="11">
        <f>F806*D806</f>
      </c>
      <c r="H806" s="11">
        <f>G806*C806</f>
      </c>
      <c r="I806" s="11">
        <f>G806*B806</f>
      </c>
      <c r="J806" s="30">
        <f>PM_Angle!$J$7+PM_Angle!$K$7*$C806+PM_Angle!$L$7*$B806</f>
      </c>
      <c r="K806" s="12">
        <f>IF(J806&gt;0,IF(J806&lt;=eco,alpha*fck*(1-(1-J806/eco)^n),alpha*fck),0)</f>
      </c>
      <c r="L806" s="30">
        <f>PM_Angle!$J$8+PM_Angle!$K$8*$C806+PM_Angle!$L$8*$B806</f>
      </c>
      <c r="M806" s="12">
        <f>IF(L806&gt;0,IF(L806&lt;=eco,alpha*fck*(1-(1-L806/eco)^n),alpha*fck),0)</f>
      </c>
      <c r="N806" s="30">
        <f>PM_Angle!$J$9+PM_Angle!$K$9*$C806+PM_Angle!$L$9*$B806</f>
      </c>
      <c r="O806" s="12">
        <f>IF(N806&gt;0,IF(N806&lt;=eco,alpha*fck*(1-(1-N806/eco)^n),alpha*fck),0)</f>
      </c>
      <c r="P806" s="30">
        <f>PM_Angle!$J$10+PM_Angle!$K$10*$C806+PM_Angle!$L$10*$B806</f>
      </c>
      <c r="Q806" s="12">
        <f>IF(P806&gt;0,IF(P806&lt;=eco,alpha*fck*(1-(1-P806/eco)^n),alpha*fck),0)</f>
      </c>
      <c r="R806" s="30">
        <f>PM_Angle!$J$11+PM_Angle!$K$11*$C806+PM_Angle!$L$11*$B806</f>
      </c>
      <c r="S806" s="12">
        <f>IF(R806&gt;0,IF(R806&lt;=eco,alpha*fck*(1-(1-R806/eco)^n),alpha*fck),0)</f>
      </c>
      <c r="T806" s="30">
        <f>PM_Angle!$J$12+PM_Angle!$K$12*$C806+PM_Angle!$L$12*$B806</f>
      </c>
      <c r="U806" s="12">
        <f>IF(T806&gt;0,IF(T806&lt;=eco,alpha*fck*(1-(1-T806/eco)^n),alpha*fck),0)</f>
      </c>
      <c r="V806" s="30">
        <f>PM_Angle!$J$13+PM_Angle!$K$13*$C806+PM_Angle!$L$13*$B806</f>
      </c>
      <c r="W806" s="12">
        <f>IF(V806&gt;0,IF(V806&lt;=eco,alpha*fck*(1-(1-V806/eco)^n),alpha*fck),0)</f>
      </c>
      <c r="X806" s="30">
        <f>PM_Angle!$J$14+PM_Angle!$K$14*$C806+PM_Angle!$L$14*$B806</f>
      </c>
      <c r="Y806" s="12">
        <f>IF(X806&gt;0,IF(X806&lt;=eco,alpha*fck*(1-(1-X806/eco)^n),alpha*fck),0)</f>
      </c>
      <c r="Z806" s="30">
        <f>PM_Angle!$J$15+PM_Angle!$K$15*$C806+PM_Angle!$L$15*$B806</f>
      </c>
      <c r="AA806" s="12">
        <f>IF(Z806&gt;0,IF(Z806&lt;=eco,alpha*fck*(1-(1-Z806/eco)^n),alpha*fck),0)</f>
      </c>
      <c r="AB806" s="30">
        <f>PM_Angle!$J$16+PM_Angle!$K$16*$C806+PM_Angle!$L$16*$B806</f>
      </c>
      <c r="AC806" s="12">
        <f>IF(AB806&gt;0,IF(AB806&lt;=eco,alpha*fck*(1-(1-AB806/eco)^n),alpha*fck),0)</f>
      </c>
      <c r="AD806" s="30">
        <f>PM_Angle!$J$17+PM_Angle!$K$17*$C806+PM_Angle!$L$17*$B806</f>
      </c>
      <c r="AE806" s="12">
        <f>IF(AD806&gt;0,IF(AD806&lt;=eco,alpha*fck*(1-(1-AD806/eco)^n),alpha*fck),0)</f>
      </c>
      <c r="AF806" s="30">
        <f>PM_Angle!$J$18+PM_Angle!$K$18*$C806+PM_Angle!$L$18*$B806</f>
      </c>
      <c r="AG806" s="12">
        <f>IF(AF806&gt;0,IF(AF806&lt;=eco,alpha*fck*(1-(1-AF806/eco)^n),alpha*fck),0)</f>
      </c>
      <c r="AH806" s="30">
        <f>PM_Angle!$J$19+PM_Angle!$K$19*$C806+PM_Angle!$L$19*$B806</f>
      </c>
      <c r="AI806" s="12">
        <f>IF(AH806&gt;0,IF(AH806&lt;=eco,alpha*fck*(1-(1-AH806/eco)^n),alpha*fck),0)</f>
      </c>
      <c r="AJ806" s="30">
        <f>PM_Angle!$J$20+PM_Angle!$K$20*$C806+PM_Angle!$L$20*$B806</f>
      </c>
      <c r="AK806" s="12">
        <f>IF(AJ806&gt;0,IF(AJ806&lt;=eco,alpha*fck*(1-(1-AJ806/eco)^n),alpha*fck),0)</f>
      </c>
      <c r="AL806" s="30">
        <f>PM_Angle!$J$21+PM_Angle!$K$21*$C806+PM_Angle!$L$21*$B806</f>
      </c>
      <c r="AM806" s="12">
        <f>IF(AL806&gt;0,IF(AL806&lt;=eco,alpha*fck*(1-(1-AL806/eco)^n),alpha*fck),0)</f>
      </c>
      <c r="AN806" s="30">
        <f>PM_Angle!$J$22+PM_Angle!$K$22*$C806+PM_Angle!$L$22*$B806</f>
      </c>
      <c r="AO806" s="12">
        <f>IF(AN806&gt;0,IF(AN806&lt;=eco,alpha*fck*(1-(1-AN806/eco)^n),alpha*fck),0)</f>
      </c>
      <c r="AP806" s="30">
        <f>PM_Angle!$J$23+PM_Angle!$K$23*$C806+PM_Angle!$L$23*$B806</f>
      </c>
      <c r="AQ806" s="12">
        <f>IF(AP806&gt;0,IF(AP806&lt;=eco,alpha*fck*(1-(1-AP806/eco)^n),alpha*fck),0)</f>
      </c>
      <c r="AR806" s="30">
        <f>PM_Angle!$J$24+PM_Angle!$K$24*$C806+PM_Angle!$L$24*$B806</f>
      </c>
      <c r="AS806" s="12">
        <f>IF(AR806&gt;0,IF(AR806&lt;=eco,alpha*fck*(1-(1-AR806/eco)^n),alpha*fck),0)</f>
      </c>
      <c r="AT806" s="30">
        <f>PM_Angle!$J$25+PM_Angle!$K$25*$C806+PM_Angle!$L$25*$B806</f>
      </c>
      <c r="AU806" s="12">
        <f>IF(AT806&gt;0,IF(AT806&lt;=eco,alpha*fck*(1-(1-AT806/eco)^n),alpha*fck),0)</f>
      </c>
    </row>
    <row r="807" spans="1:47" x14ac:dyDescent="0.25">
      <c r="A807">
        <f>Mesh!A804</f>
      </c>
      <c r="B807" s="12">
        <f>Mesh!B804</f>
      </c>
      <c r="C807" s="12">
        <f>Mesh!C804</f>
      </c>
      <c r="D807" s="12">
        <f>Mesh!D804</f>
      </c>
      <c r="E807" s="30">
        <f>INDEX(St_e0,Det+1)+INDEX(St_kx,Det+1)*C807+INDEX(St_ky,Det+1)*B807</f>
      </c>
      <c r="F807" s="12">
        <f>IF(E807&gt;0,IF(E807&lt;=eco,alpha*fck*(1-(1-E807/eco)^n),alpha*fck),0)</f>
      </c>
      <c r="G807" s="11">
        <f>F807*D807</f>
      </c>
      <c r="H807" s="11">
        <f>G807*C807</f>
      </c>
      <c r="I807" s="11">
        <f>G807*B807</f>
      </c>
      <c r="J807" s="30">
        <f>PM_Angle!$J$7+PM_Angle!$K$7*$C807+PM_Angle!$L$7*$B807</f>
      </c>
      <c r="K807" s="12">
        <f>IF(J807&gt;0,IF(J807&lt;=eco,alpha*fck*(1-(1-J807/eco)^n),alpha*fck),0)</f>
      </c>
      <c r="L807" s="30">
        <f>PM_Angle!$J$8+PM_Angle!$K$8*$C807+PM_Angle!$L$8*$B807</f>
      </c>
      <c r="M807" s="12">
        <f>IF(L807&gt;0,IF(L807&lt;=eco,alpha*fck*(1-(1-L807/eco)^n),alpha*fck),0)</f>
      </c>
      <c r="N807" s="30">
        <f>PM_Angle!$J$9+PM_Angle!$K$9*$C807+PM_Angle!$L$9*$B807</f>
      </c>
      <c r="O807" s="12">
        <f>IF(N807&gt;0,IF(N807&lt;=eco,alpha*fck*(1-(1-N807/eco)^n),alpha*fck),0)</f>
      </c>
      <c r="P807" s="30">
        <f>PM_Angle!$J$10+PM_Angle!$K$10*$C807+PM_Angle!$L$10*$B807</f>
      </c>
      <c r="Q807" s="12">
        <f>IF(P807&gt;0,IF(P807&lt;=eco,alpha*fck*(1-(1-P807/eco)^n),alpha*fck),0)</f>
      </c>
      <c r="R807" s="30">
        <f>PM_Angle!$J$11+PM_Angle!$K$11*$C807+PM_Angle!$L$11*$B807</f>
      </c>
      <c r="S807" s="12">
        <f>IF(R807&gt;0,IF(R807&lt;=eco,alpha*fck*(1-(1-R807/eco)^n),alpha*fck),0)</f>
      </c>
      <c r="T807" s="30">
        <f>PM_Angle!$J$12+PM_Angle!$K$12*$C807+PM_Angle!$L$12*$B807</f>
      </c>
      <c r="U807" s="12">
        <f>IF(T807&gt;0,IF(T807&lt;=eco,alpha*fck*(1-(1-T807/eco)^n),alpha*fck),0)</f>
      </c>
      <c r="V807" s="30">
        <f>PM_Angle!$J$13+PM_Angle!$K$13*$C807+PM_Angle!$L$13*$B807</f>
      </c>
      <c r="W807" s="12">
        <f>IF(V807&gt;0,IF(V807&lt;=eco,alpha*fck*(1-(1-V807/eco)^n),alpha*fck),0)</f>
      </c>
      <c r="X807" s="30">
        <f>PM_Angle!$J$14+PM_Angle!$K$14*$C807+PM_Angle!$L$14*$B807</f>
      </c>
      <c r="Y807" s="12">
        <f>IF(X807&gt;0,IF(X807&lt;=eco,alpha*fck*(1-(1-X807/eco)^n),alpha*fck),0)</f>
      </c>
      <c r="Z807" s="30">
        <f>PM_Angle!$J$15+PM_Angle!$K$15*$C807+PM_Angle!$L$15*$B807</f>
      </c>
      <c r="AA807" s="12">
        <f>IF(Z807&gt;0,IF(Z807&lt;=eco,alpha*fck*(1-(1-Z807/eco)^n),alpha*fck),0)</f>
      </c>
      <c r="AB807" s="30">
        <f>PM_Angle!$J$16+PM_Angle!$K$16*$C807+PM_Angle!$L$16*$B807</f>
      </c>
      <c r="AC807" s="12">
        <f>IF(AB807&gt;0,IF(AB807&lt;=eco,alpha*fck*(1-(1-AB807/eco)^n),alpha*fck),0)</f>
      </c>
      <c r="AD807" s="30">
        <f>PM_Angle!$J$17+PM_Angle!$K$17*$C807+PM_Angle!$L$17*$B807</f>
      </c>
      <c r="AE807" s="12">
        <f>IF(AD807&gt;0,IF(AD807&lt;=eco,alpha*fck*(1-(1-AD807/eco)^n),alpha*fck),0)</f>
      </c>
      <c r="AF807" s="30">
        <f>PM_Angle!$J$18+PM_Angle!$K$18*$C807+PM_Angle!$L$18*$B807</f>
      </c>
      <c r="AG807" s="12">
        <f>IF(AF807&gt;0,IF(AF807&lt;=eco,alpha*fck*(1-(1-AF807/eco)^n),alpha*fck),0)</f>
      </c>
      <c r="AH807" s="30">
        <f>PM_Angle!$J$19+PM_Angle!$K$19*$C807+PM_Angle!$L$19*$B807</f>
      </c>
      <c r="AI807" s="12">
        <f>IF(AH807&gt;0,IF(AH807&lt;=eco,alpha*fck*(1-(1-AH807/eco)^n),alpha*fck),0)</f>
      </c>
      <c r="AJ807" s="30">
        <f>PM_Angle!$J$20+PM_Angle!$K$20*$C807+PM_Angle!$L$20*$B807</f>
      </c>
      <c r="AK807" s="12">
        <f>IF(AJ807&gt;0,IF(AJ807&lt;=eco,alpha*fck*(1-(1-AJ807/eco)^n),alpha*fck),0)</f>
      </c>
      <c r="AL807" s="30">
        <f>PM_Angle!$J$21+PM_Angle!$K$21*$C807+PM_Angle!$L$21*$B807</f>
      </c>
      <c r="AM807" s="12">
        <f>IF(AL807&gt;0,IF(AL807&lt;=eco,alpha*fck*(1-(1-AL807/eco)^n),alpha*fck),0)</f>
      </c>
      <c r="AN807" s="30">
        <f>PM_Angle!$J$22+PM_Angle!$K$22*$C807+PM_Angle!$L$22*$B807</f>
      </c>
      <c r="AO807" s="12">
        <f>IF(AN807&gt;0,IF(AN807&lt;=eco,alpha*fck*(1-(1-AN807/eco)^n),alpha*fck),0)</f>
      </c>
      <c r="AP807" s="30">
        <f>PM_Angle!$J$23+PM_Angle!$K$23*$C807+PM_Angle!$L$23*$B807</f>
      </c>
      <c r="AQ807" s="12">
        <f>IF(AP807&gt;0,IF(AP807&lt;=eco,alpha*fck*(1-(1-AP807/eco)^n),alpha*fck),0)</f>
      </c>
      <c r="AR807" s="30">
        <f>PM_Angle!$J$24+PM_Angle!$K$24*$C807+PM_Angle!$L$24*$B807</f>
      </c>
      <c r="AS807" s="12">
        <f>IF(AR807&gt;0,IF(AR807&lt;=eco,alpha*fck*(1-(1-AR807/eco)^n),alpha*fck),0)</f>
      </c>
      <c r="AT807" s="30">
        <f>PM_Angle!$J$25+PM_Angle!$K$25*$C807+PM_Angle!$L$25*$B807</f>
      </c>
      <c r="AU807" s="12">
        <f>IF(AT807&gt;0,IF(AT807&lt;=eco,alpha*fck*(1-(1-AT807/eco)^n),alpha*fck),0)</f>
      </c>
    </row>
    <row r="808" spans="1:47" x14ac:dyDescent="0.25">
      <c r="A808">
        <f>Mesh!A805</f>
      </c>
      <c r="B808" s="12">
        <f>Mesh!B805</f>
      </c>
      <c r="C808" s="12">
        <f>Mesh!C805</f>
      </c>
      <c r="D808" s="12">
        <f>Mesh!D805</f>
      </c>
      <c r="E808" s="30">
        <f>INDEX(St_e0,Det+1)+INDEX(St_kx,Det+1)*C808+INDEX(St_ky,Det+1)*B808</f>
      </c>
      <c r="F808" s="12">
        <f>IF(E808&gt;0,IF(E808&lt;=eco,alpha*fck*(1-(1-E808/eco)^n),alpha*fck),0)</f>
      </c>
      <c r="G808" s="11">
        <f>F808*D808</f>
      </c>
      <c r="H808" s="11">
        <f>G808*C808</f>
      </c>
      <c r="I808" s="11">
        <f>G808*B808</f>
      </c>
      <c r="J808" s="30">
        <f>PM_Angle!$J$7+PM_Angle!$K$7*$C808+PM_Angle!$L$7*$B808</f>
      </c>
      <c r="K808" s="12">
        <f>IF(J808&gt;0,IF(J808&lt;=eco,alpha*fck*(1-(1-J808/eco)^n),alpha*fck),0)</f>
      </c>
      <c r="L808" s="30">
        <f>PM_Angle!$J$8+PM_Angle!$K$8*$C808+PM_Angle!$L$8*$B808</f>
      </c>
      <c r="M808" s="12">
        <f>IF(L808&gt;0,IF(L808&lt;=eco,alpha*fck*(1-(1-L808/eco)^n),alpha*fck),0)</f>
      </c>
      <c r="N808" s="30">
        <f>PM_Angle!$J$9+PM_Angle!$K$9*$C808+PM_Angle!$L$9*$B808</f>
      </c>
      <c r="O808" s="12">
        <f>IF(N808&gt;0,IF(N808&lt;=eco,alpha*fck*(1-(1-N808/eco)^n),alpha*fck),0)</f>
      </c>
      <c r="P808" s="30">
        <f>PM_Angle!$J$10+PM_Angle!$K$10*$C808+PM_Angle!$L$10*$B808</f>
      </c>
      <c r="Q808" s="12">
        <f>IF(P808&gt;0,IF(P808&lt;=eco,alpha*fck*(1-(1-P808/eco)^n),alpha*fck),0)</f>
      </c>
      <c r="R808" s="30">
        <f>PM_Angle!$J$11+PM_Angle!$K$11*$C808+PM_Angle!$L$11*$B808</f>
      </c>
      <c r="S808" s="12">
        <f>IF(R808&gt;0,IF(R808&lt;=eco,alpha*fck*(1-(1-R808/eco)^n),alpha*fck),0)</f>
      </c>
      <c r="T808" s="30">
        <f>PM_Angle!$J$12+PM_Angle!$K$12*$C808+PM_Angle!$L$12*$B808</f>
      </c>
      <c r="U808" s="12">
        <f>IF(T808&gt;0,IF(T808&lt;=eco,alpha*fck*(1-(1-T808/eco)^n),alpha*fck),0)</f>
      </c>
      <c r="V808" s="30">
        <f>PM_Angle!$J$13+PM_Angle!$K$13*$C808+PM_Angle!$L$13*$B808</f>
      </c>
      <c r="W808" s="12">
        <f>IF(V808&gt;0,IF(V808&lt;=eco,alpha*fck*(1-(1-V808/eco)^n),alpha*fck),0)</f>
      </c>
      <c r="X808" s="30">
        <f>PM_Angle!$J$14+PM_Angle!$K$14*$C808+PM_Angle!$L$14*$B808</f>
      </c>
      <c r="Y808" s="12">
        <f>IF(X808&gt;0,IF(X808&lt;=eco,alpha*fck*(1-(1-X808/eco)^n),alpha*fck),0)</f>
      </c>
      <c r="Z808" s="30">
        <f>PM_Angle!$J$15+PM_Angle!$K$15*$C808+PM_Angle!$L$15*$B808</f>
      </c>
      <c r="AA808" s="12">
        <f>IF(Z808&gt;0,IF(Z808&lt;=eco,alpha*fck*(1-(1-Z808/eco)^n),alpha*fck),0)</f>
      </c>
      <c r="AB808" s="30">
        <f>PM_Angle!$J$16+PM_Angle!$K$16*$C808+PM_Angle!$L$16*$B808</f>
      </c>
      <c r="AC808" s="12">
        <f>IF(AB808&gt;0,IF(AB808&lt;=eco,alpha*fck*(1-(1-AB808/eco)^n),alpha*fck),0)</f>
      </c>
      <c r="AD808" s="30">
        <f>PM_Angle!$J$17+PM_Angle!$K$17*$C808+PM_Angle!$L$17*$B808</f>
      </c>
      <c r="AE808" s="12">
        <f>IF(AD808&gt;0,IF(AD808&lt;=eco,alpha*fck*(1-(1-AD808/eco)^n),alpha*fck),0)</f>
      </c>
      <c r="AF808" s="30">
        <f>PM_Angle!$J$18+PM_Angle!$K$18*$C808+PM_Angle!$L$18*$B808</f>
      </c>
      <c r="AG808" s="12">
        <f>IF(AF808&gt;0,IF(AF808&lt;=eco,alpha*fck*(1-(1-AF808/eco)^n),alpha*fck),0)</f>
      </c>
      <c r="AH808" s="30">
        <f>PM_Angle!$J$19+PM_Angle!$K$19*$C808+PM_Angle!$L$19*$B808</f>
      </c>
      <c r="AI808" s="12">
        <f>IF(AH808&gt;0,IF(AH808&lt;=eco,alpha*fck*(1-(1-AH808/eco)^n),alpha*fck),0)</f>
      </c>
      <c r="AJ808" s="30">
        <f>PM_Angle!$J$20+PM_Angle!$K$20*$C808+PM_Angle!$L$20*$B808</f>
      </c>
      <c r="AK808" s="12">
        <f>IF(AJ808&gt;0,IF(AJ808&lt;=eco,alpha*fck*(1-(1-AJ808/eco)^n),alpha*fck),0)</f>
      </c>
      <c r="AL808" s="30">
        <f>PM_Angle!$J$21+PM_Angle!$K$21*$C808+PM_Angle!$L$21*$B808</f>
      </c>
      <c r="AM808" s="12">
        <f>IF(AL808&gt;0,IF(AL808&lt;=eco,alpha*fck*(1-(1-AL808/eco)^n),alpha*fck),0)</f>
      </c>
      <c r="AN808" s="30">
        <f>PM_Angle!$J$22+PM_Angle!$K$22*$C808+PM_Angle!$L$22*$B808</f>
      </c>
      <c r="AO808" s="12">
        <f>IF(AN808&gt;0,IF(AN808&lt;=eco,alpha*fck*(1-(1-AN808/eco)^n),alpha*fck),0)</f>
      </c>
      <c r="AP808" s="30">
        <f>PM_Angle!$J$23+PM_Angle!$K$23*$C808+PM_Angle!$L$23*$B808</f>
      </c>
      <c r="AQ808" s="12">
        <f>IF(AP808&gt;0,IF(AP808&lt;=eco,alpha*fck*(1-(1-AP808/eco)^n),alpha*fck),0)</f>
      </c>
      <c r="AR808" s="30">
        <f>PM_Angle!$J$24+PM_Angle!$K$24*$C808+PM_Angle!$L$24*$B808</f>
      </c>
      <c r="AS808" s="12">
        <f>IF(AR808&gt;0,IF(AR808&lt;=eco,alpha*fck*(1-(1-AR808/eco)^n),alpha*fck),0)</f>
      </c>
      <c r="AT808" s="30">
        <f>PM_Angle!$J$25+PM_Angle!$K$25*$C808+PM_Angle!$L$25*$B808</f>
      </c>
      <c r="AU808" s="12">
        <f>IF(AT808&gt;0,IF(AT808&lt;=eco,alpha*fck*(1-(1-AT808/eco)^n),alpha*fck),0)</f>
      </c>
    </row>
    <row r="809" spans="1:47" x14ac:dyDescent="0.25">
      <c r="A809">
        <f>Mesh!A806</f>
      </c>
      <c r="B809" s="12">
        <f>Mesh!B806</f>
      </c>
      <c r="C809" s="12">
        <f>Mesh!C806</f>
      </c>
      <c r="D809" s="12">
        <f>Mesh!D806</f>
      </c>
      <c r="E809" s="30">
        <f>INDEX(St_e0,Det+1)+INDEX(St_kx,Det+1)*C809+INDEX(St_ky,Det+1)*B809</f>
      </c>
      <c r="F809" s="12">
        <f>IF(E809&gt;0,IF(E809&lt;=eco,alpha*fck*(1-(1-E809/eco)^n),alpha*fck),0)</f>
      </c>
      <c r="G809" s="11">
        <f>F809*D809</f>
      </c>
      <c r="H809" s="11">
        <f>G809*C809</f>
      </c>
      <c r="I809" s="11">
        <f>G809*B809</f>
      </c>
      <c r="J809" s="30">
        <f>PM_Angle!$J$7+PM_Angle!$K$7*$C809+PM_Angle!$L$7*$B809</f>
      </c>
      <c r="K809" s="12">
        <f>IF(J809&gt;0,IF(J809&lt;=eco,alpha*fck*(1-(1-J809/eco)^n),alpha*fck),0)</f>
      </c>
      <c r="L809" s="30">
        <f>PM_Angle!$J$8+PM_Angle!$K$8*$C809+PM_Angle!$L$8*$B809</f>
      </c>
      <c r="M809" s="12">
        <f>IF(L809&gt;0,IF(L809&lt;=eco,alpha*fck*(1-(1-L809/eco)^n),alpha*fck),0)</f>
      </c>
      <c r="N809" s="30">
        <f>PM_Angle!$J$9+PM_Angle!$K$9*$C809+PM_Angle!$L$9*$B809</f>
      </c>
      <c r="O809" s="12">
        <f>IF(N809&gt;0,IF(N809&lt;=eco,alpha*fck*(1-(1-N809/eco)^n),alpha*fck),0)</f>
      </c>
      <c r="P809" s="30">
        <f>PM_Angle!$J$10+PM_Angle!$K$10*$C809+PM_Angle!$L$10*$B809</f>
      </c>
      <c r="Q809" s="12">
        <f>IF(P809&gt;0,IF(P809&lt;=eco,alpha*fck*(1-(1-P809/eco)^n),alpha*fck),0)</f>
      </c>
      <c r="R809" s="30">
        <f>PM_Angle!$J$11+PM_Angle!$K$11*$C809+PM_Angle!$L$11*$B809</f>
      </c>
      <c r="S809" s="12">
        <f>IF(R809&gt;0,IF(R809&lt;=eco,alpha*fck*(1-(1-R809/eco)^n),alpha*fck),0)</f>
      </c>
      <c r="T809" s="30">
        <f>PM_Angle!$J$12+PM_Angle!$K$12*$C809+PM_Angle!$L$12*$B809</f>
      </c>
      <c r="U809" s="12">
        <f>IF(T809&gt;0,IF(T809&lt;=eco,alpha*fck*(1-(1-T809/eco)^n),alpha*fck),0)</f>
      </c>
      <c r="V809" s="30">
        <f>PM_Angle!$J$13+PM_Angle!$K$13*$C809+PM_Angle!$L$13*$B809</f>
      </c>
      <c r="W809" s="12">
        <f>IF(V809&gt;0,IF(V809&lt;=eco,alpha*fck*(1-(1-V809/eco)^n),alpha*fck),0)</f>
      </c>
      <c r="X809" s="30">
        <f>PM_Angle!$J$14+PM_Angle!$K$14*$C809+PM_Angle!$L$14*$B809</f>
      </c>
      <c r="Y809" s="12">
        <f>IF(X809&gt;0,IF(X809&lt;=eco,alpha*fck*(1-(1-X809/eco)^n),alpha*fck),0)</f>
      </c>
      <c r="Z809" s="30">
        <f>PM_Angle!$J$15+PM_Angle!$K$15*$C809+PM_Angle!$L$15*$B809</f>
      </c>
      <c r="AA809" s="12">
        <f>IF(Z809&gt;0,IF(Z809&lt;=eco,alpha*fck*(1-(1-Z809/eco)^n),alpha*fck),0)</f>
      </c>
      <c r="AB809" s="30">
        <f>PM_Angle!$J$16+PM_Angle!$K$16*$C809+PM_Angle!$L$16*$B809</f>
      </c>
      <c r="AC809" s="12">
        <f>IF(AB809&gt;0,IF(AB809&lt;=eco,alpha*fck*(1-(1-AB809/eco)^n),alpha*fck),0)</f>
      </c>
      <c r="AD809" s="30">
        <f>PM_Angle!$J$17+PM_Angle!$K$17*$C809+PM_Angle!$L$17*$B809</f>
      </c>
      <c r="AE809" s="12">
        <f>IF(AD809&gt;0,IF(AD809&lt;=eco,alpha*fck*(1-(1-AD809/eco)^n),alpha*fck),0)</f>
      </c>
      <c r="AF809" s="30">
        <f>PM_Angle!$J$18+PM_Angle!$K$18*$C809+PM_Angle!$L$18*$B809</f>
      </c>
      <c r="AG809" s="12">
        <f>IF(AF809&gt;0,IF(AF809&lt;=eco,alpha*fck*(1-(1-AF809/eco)^n),alpha*fck),0)</f>
      </c>
      <c r="AH809" s="30">
        <f>PM_Angle!$J$19+PM_Angle!$K$19*$C809+PM_Angle!$L$19*$B809</f>
      </c>
      <c r="AI809" s="12">
        <f>IF(AH809&gt;0,IF(AH809&lt;=eco,alpha*fck*(1-(1-AH809/eco)^n),alpha*fck),0)</f>
      </c>
      <c r="AJ809" s="30">
        <f>PM_Angle!$J$20+PM_Angle!$K$20*$C809+PM_Angle!$L$20*$B809</f>
      </c>
      <c r="AK809" s="12">
        <f>IF(AJ809&gt;0,IF(AJ809&lt;=eco,alpha*fck*(1-(1-AJ809/eco)^n),alpha*fck),0)</f>
      </c>
      <c r="AL809" s="30">
        <f>PM_Angle!$J$21+PM_Angle!$K$21*$C809+PM_Angle!$L$21*$B809</f>
      </c>
      <c r="AM809" s="12">
        <f>IF(AL809&gt;0,IF(AL809&lt;=eco,alpha*fck*(1-(1-AL809/eco)^n),alpha*fck),0)</f>
      </c>
      <c r="AN809" s="30">
        <f>PM_Angle!$J$22+PM_Angle!$K$22*$C809+PM_Angle!$L$22*$B809</f>
      </c>
      <c r="AO809" s="12">
        <f>IF(AN809&gt;0,IF(AN809&lt;=eco,alpha*fck*(1-(1-AN809/eco)^n),alpha*fck),0)</f>
      </c>
      <c r="AP809" s="30">
        <f>PM_Angle!$J$23+PM_Angle!$K$23*$C809+PM_Angle!$L$23*$B809</f>
      </c>
      <c r="AQ809" s="12">
        <f>IF(AP809&gt;0,IF(AP809&lt;=eco,alpha*fck*(1-(1-AP809/eco)^n),alpha*fck),0)</f>
      </c>
      <c r="AR809" s="30">
        <f>PM_Angle!$J$24+PM_Angle!$K$24*$C809+PM_Angle!$L$24*$B809</f>
      </c>
      <c r="AS809" s="12">
        <f>IF(AR809&gt;0,IF(AR809&lt;=eco,alpha*fck*(1-(1-AR809/eco)^n),alpha*fck),0)</f>
      </c>
      <c r="AT809" s="30">
        <f>PM_Angle!$J$25+PM_Angle!$K$25*$C809+PM_Angle!$L$25*$B809</f>
      </c>
      <c r="AU809" s="12">
        <f>IF(AT809&gt;0,IF(AT809&lt;=eco,alpha*fck*(1-(1-AT809/eco)^n),alpha*fck),0)</f>
      </c>
    </row>
    <row r="810" spans="1:47" x14ac:dyDescent="0.25">
      <c r="A810">
        <f>Mesh!A807</f>
      </c>
      <c r="B810" s="12">
        <f>Mesh!B807</f>
      </c>
      <c r="C810" s="12">
        <f>Mesh!C807</f>
      </c>
      <c r="D810" s="12">
        <f>Mesh!D807</f>
      </c>
      <c r="E810" s="30">
        <f>INDEX(St_e0,Det+1)+INDEX(St_kx,Det+1)*C810+INDEX(St_ky,Det+1)*B810</f>
      </c>
      <c r="F810" s="12">
        <f>IF(E810&gt;0,IF(E810&lt;=eco,alpha*fck*(1-(1-E810/eco)^n),alpha*fck),0)</f>
      </c>
      <c r="G810" s="11">
        <f>F810*D810</f>
      </c>
      <c r="H810" s="11">
        <f>G810*C810</f>
      </c>
      <c r="I810" s="11">
        <f>G810*B810</f>
      </c>
      <c r="J810" s="30">
        <f>PM_Angle!$J$7+PM_Angle!$K$7*$C810+PM_Angle!$L$7*$B810</f>
      </c>
      <c r="K810" s="12">
        <f>IF(J810&gt;0,IF(J810&lt;=eco,alpha*fck*(1-(1-J810/eco)^n),alpha*fck),0)</f>
      </c>
      <c r="L810" s="30">
        <f>PM_Angle!$J$8+PM_Angle!$K$8*$C810+PM_Angle!$L$8*$B810</f>
      </c>
      <c r="M810" s="12">
        <f>IF(L810&gt;0,IF(L810&lt;=eco,alpha*fck*(1-(1-L810/eco)^n),alpha*fck),0)</f>
      </c>
      <c r="N810" s="30">
        <f>PM_Angle!$J$9+PM_Angle!$K$9*$C810+PM_Angle!$L$9*$B810</f>
      </c>
      <c r="O810" s="12">
        <f>IF(N810&gt;0,IF(N810&lt;=eco,alpha*fck*(1-(1-N810/eco)^n),alpha*fck),0)</f>
      </c>
      <c r="P810" s="30">
        <f>PM_Angle!$J$10+PM_Angle!$K$10*$C810+PM_Angle!$L$10*$B810</f>
      </c>
      <c r="Q810" s="12">
        <f>IF(P810&gt;0,IF(P810&lt;=eco,alpha*fck*(1-(1-P810/eco)^n),alpha*fck),0)</f>
      </c>
      <c r="R810" s="30">
        <f>PM_Angle!$J$11+PM_Angle!$K$11*$C810+PM_Angle!$L$11*$B810</f>
      </c>
      <c r="S810" s="12">
        <f>IF(R810&gt;0,IF(R810&lt;=eco,alpha*fck*(1-(1-R810/eco)^n),alpha*fck),0)</f>
      </c>
      <c r="T810" s="30">
        <f>PM_Angle!$J$12+PM_Angle!$K$12*$C810+PM_Angle!$L$12*$B810</f>
      </c>
      <c r="U810" s="12">
        <f>IF(T810&gt;0,IF(T810&lt;=eco,alpha*fck*(1-(1-T810/eco)^n),alpha*fck),0)</f>
      </c>
      <c r="V810" s="30">
        <f>PM_Angle!$J$13+PM_Angle!$K$13*$C810+PM_Angle!$L$13*$B810</f>
      </c>
      <c r="W810" s="12">
        <f>IF(V810&gt;0,IF(V810&lt;=eco,alpha*fck*(1-(1-V810/eco)^n),alpha*fck),0)</f>
      </c>
      <c r="X810" s="30">
        <f>PM_Angle!$J$14+PM_Angle!$K$14*$C810+PM_Angle!$L$14*$B810</f>
      </c>
      <c r="Y810" s="12">
        <f>IF(X810&gt;0,IF(X810&lt;=eco,alpha*fck*(1-(1-X810/eco)^n),alpha*fck),0)</f>
      </c>
      <c r="Z810" s="30">
        <f>PM_Angle!$J$15+PM_Angle!$K$15*$C810+PM_Angle!$L$15*$B810</f>
      </c>
      <c r="AA810" s="12">
        <f>IF(Z810&gt;0,IF(Z810&lt;=eco,alpha*fck*(1-(1-Z810/eco)^n),alpha*fck),0)</f>
      </c>
      <c r="AB810" s="30">
        <f>PM_Angle!$J$16+PM_Angle!$K$16*$C810+PM_Angle!$L$16*$B810</f>
      </c>
      <c r="AC810" s="12">
        <f>IF(AB810&gt;0,IF(AB810&lt;=eco,alpha*fck*(1-(1-AB810/eco)^n),alpha*fck),0)</f>
      </c>
      <c r="AD810" s="30">
        <f>PM_Angle!$J$17+PM_Angle!$K$17*$C810+PM_Angle!$L$17*$B810</f>
      </c>
      <c r="AE810" s="12">
        <f>IF(AD810&gt;0,IF(AD810&lt;=eco,alpha*fck*(1-(1-AD810/eco)^n),alpha*fck),0)</f>
      </c>
      <c r="AF810" s="30">
        <f>PM_Angle!$J$18+PM_Angle!$K$18*$C810+PM_Angle!$L$18*$B810</f>
      </c>
      <c r="AG810" s="12">
        <f>IF(AF810&gt;0,IF(AF810&lt;=eco,alpha*fck*(1-(1-AF810/eco)^n),alpha*fck),0)</f>
      </c>
      <c r="AH810" s="30">
        <f>PM_Angle!$J$19+PM_Angle!$K$19*$C810+PM_Angle!$L$19*$B810</f>
      </c>
      <c r="AI810" s="12">
        <f>IF(AH810&gt;0,IF(AH810&lt;=eco,alpha*fck*(1-(1-AH810/eco)^n),alpha*fck),0)</f>
      </c>
      <c r="AJ810" s="30">
        <f>PM_Angle!$J$20+PM_Angle!$K$20*$C810+PM_Angle!$L$20*$B810</f>
      </c>
      <c r="AK810" s="12">
        <f>IF(AJ810&gt;0,IF(AJ810&lt;=eco,alpha*fck*(1-(1-AJ810/eco)^n),alpha*fck),0)</f>
      </c>
      <c r="AL810" s="30">
        <f>PM_Angle!$J$21+PM_Angle!$K$21*$C810+PM_Angle!$L$21*$B810</f>
      </c>
      <c r="AM810" s="12">
        <f>IF(AL810&gt;0,IF(AL810&lt;=eco,alpha*fck*(1-(1-AL810/eco)^n),alpha*fck),0)</f>
      </c>
      <c r="AN810" s="30">
        <f>PM_Angle!$J$22+PM_Angle!$K$22*$C810+PM_Angle!$L$22*$B810</f>
      </c>
      <c r="AO810" s="12">
        <f>IF(AN810&gt;0,IF(AN810&lt;=eco,alpha*fck*(1-(1-AN810/eco)^n),alpha*fck),0)</f>
      </c>
      <c r="AP810" s="30">
        <f>PM_Angle!$J$23+PM_Angle!$K$23*$C810+PM_Angle!$L$23*$B810</f>
      </c>
      <c r="AQ810" s="12">
        <f>IF(AP810&gt;0,IF(AP810&lt;=eco,alpha*fck*(1-(1-AP810/eco)^n),alpha*fck),0)</f>
      </c>
      <c r="AR810" s="30">
        <f>PM_Angle!$J$24+PM_Angle!$K$24*$C810+PM_Angle!$L$24*$B810</f>
      </c>
      <c r="AS810" s="12">
        <f>IF(AR810&gt;0,IF(AR810&lt;=eco,alpha*fck*(1-(1-AR810/eco)^n),alpha*fck),0)</f>
      </c>
      <c r="AT810" s="30">
        <f>PM_Angle!$J$25+PM_Angle!$K$25*$C810+PM_Angle!$L$25*$B810</f>
      </c>
      <c r="AU810" s="12">
        <f>IF(AT810&gt;0,IF(AT810&lt;=eco,alpha*fck*(1-(1-AT810/eco)^n),alpha*fck),0)</f>
      </c>
    </row>
    <row r="811" spans="1:47" x14ac:dyDescent="0.25">
      <c r="A811">
        <f>Mesh!A808</f>
      </c>
      <c r="B811" s="12">
        <f>Mesh!B808</f>
      </c>
      <c r="C811" s="12">
        <f>Mesh!C808</f>
      </c>
      <c r="D811" s="12">
        <f>Mesh!D808</f>
      </c>
      <c r="E811" s="30">
        <f>INDEX(St_e0,Det+1)+INDEX(St_kx,Det+1)*C811+INDEX(St_ky,Det+1)*B811</f>
      </c>
      <c r="F811" s="12">
        <f>IF(E811&gt;0,IF(E811&lt;=eco,alpha*fck*(1-(1-E811/eco)^n),alpha*fck),0)</f>
      </c>
      <c r="G811" s="11">
        <f>F811*D811</f>
      </c>
      <c r="H811" s="11">
        <f>G811*C811</f>
      </c>
      <c r="I811" s="11">
        <f>G811*B811</f>
      </c>
      <c r="J811" s="30">
        <f>PM_Angle!$J$7+PM_Angle!$K$7*$C811+PM_Angle!$L$7*$B811</f>
      </c>
      <c r="K811" s="12">
        <f>IF(J811&gt;0,IF(J811&lt;=eco,alpha*fck*(1-(1-J811/eco)^n),alpha*fck),0)</f>
      </c>
      <c r="L811" s="30">
        <f>PM_Angle!$J$8+PM_Angle!$K$8*$C811+PM_Angle!$L$8*$B811</f>
      </c>
      <c r="M811" s="12">
        <f>IF(L811&gt;0,IF(L811&lt;=eco,alpha*fck*(1-(1-L811/eco)^n),alpha*fck),0)</f>
      </c>
      <c r="N811" s="30">
        <f>PM_Angle!$J$9+PM_Angle!$K$9*$C811+PM_Angle!$L$9*$B811</f>
      </c>
      <c r="O811" s="12">
        <f>IF(N811&gt;0,IF(N811&lt;=eco,alpha*fck*(1-(1-N811/eco)^n),alpha*fck),0)</f>
      </c>
      <c r="P811" s="30">
        <f>PM_Angle!$J$10+PM_Angle!$K$10*$C811+PM_Angle!$L$10*$B811</f>
      </c>
      <c r="Q811" s="12">
        <f>IF(P811&gt;0,IF(P811&lt;=eco,alpha*fck*(1-(1-P811/eco)^n),alpha*fck),0)</f>
      </c>
      <c r="R811" s="30">
        <f>PM_Angle!$J$11+PM_Angle!$K$11*$C811+PM_Angle!$L$11*$B811</f>
      </c>
      <c r="S811" s="12">
        <f>IF(R811&gt;0,IF(R811&lt;=eco,alpha*fck*(1-(1-R811/eco)^n),alpha*fck),0)</f>
      </c>
      <c r="T811" s="30">
        <f>PM_Angle!$J$12+PM_Angle!$K$12*$C811+PM_Angle!$L$12*$B811</f>
      </c>
      <c r="U811" s="12">
        <f>IF(T811&gt;0,IF(T811&lt;=eco,alpha*fck*(1-(1-T811/eco)^n),alpha*fck),0)</f>
      </c>
      <c r="V811" s="30">
        <f>PM_Angle!$J$13+PM_Angle!$K$13*$C811+PM_Angle!$L$13*$B811</f>
      </c>
      <c r="W811" s="12">
        <f>IF(V811&gt;0,IF(V811&lt;=eco,alpha*fck*(1-(1-V811/eco)^n),alpha*fck),0)</f>
      </c>
      <c r="X811" s="30">
        <f>PM_Angle!$J$14+PM_Angle!$K$14*$C811+PM_Angle!$L$14*$B811</f>
      </c>
      <c r="Y811" s="12">
        <f>IF(X811&gt;0,IF(X811&lt;=eco,alpha*fck*(1-(1-X811/eco)^n),alpha*fck),0)</f>
      </c>
      <c r="Z811" s="30">
        <f>PM_Angle!$J$15+PM_Angle!$K$15*$C811+PM_Angle!$L$15*$B811</f>
      </c>
      <c r="AA811" s="12">
        <f>IF(Z811&gt;0,IF(Z811&lt;=eco,alpha*fck*(1-(1-Z811/eco)^n),alpha*fck),0)</f>
      </c>
      <c r="AB811" s="30">
        <f>PM_Angle!$J$16+PM_Angle!$K$16*$C811+PM_Angle!$L$16*$B811</f>
      </c>
      <c r="AC811" s="12">
        <f>IF(AB811&gt;0,IF(AB811&lt;=eco,alpha*fck*(1-(1-AB811/eco)^n),alpha*fck),0)</f>
      </c>
      <c r="AD811" s="30">
        <f>PM_Angle!$J$17+PM_Angle!$K$17*$C811+PM_Angle!$L$17*$B811</f>
      </c>
      <c r="AE811" s="12">
        <f>IF(AD811&gt;0,IF(AD811&lt;=eco,alpha*fck*(1-(1-AD811/eco)^n),alpha*fck),0)</f>
      </c>
      <c r="AF811" s="30">
        <f>PM_Angle!$J$18+PM_Angle!$K$18*$C811+PM_Angle!$L$18*$B811</f>
      </c>
      <c r="AG811" s="12">
        <f>IF(AF811&gt;0,IF(AF811&lt;=eco,alpha*fck*(1-(1-AF811/eco)^n),alpha*fck),0)</f>
      </c>
      <c r="AH811" s="30">
        <f>PM_Angle!$J$19+PM_Angle!$K$19*$C811+PM_Angle!$L$19*$B811</f>
      </c>
      <c r="AI811" s="12">
        <f>IF(AH811&gt;0,IF(AH811&lt;=eco,alpha*fck*(1-(1-AH811/eco)^n),alpha*fck),0)</f>
      </c>
      <c r="AJ811" s="30">
        <f>PM_Angle!$J$20+PM_Angle!$K$20*$C811+PM_Angle!$L$20*$B811</f>
      </c>
      <c r="AK811" s="12">
        <f>IF(AJ811&gt;0,IF(AJ811&lt;=eco,alpha*fck*(1-(1-AJ811/eco)^n),alpha*fck),0)</f>
      </c>
      <c r="AL811" s="30">
        <f>PM_Angle!$J$21+PM_Angle!$K$21*$C811+PM_Angle!$L$21*$B811</f>
      </c>
      <c r="AM811" s="12">
        <f>IF(AL811&gt;0,IF(AL811&lt;=eco,alpha*fck*(1-(1-AL811/eco)^n),alpha*fck),0)</f>
      </c>
      <c r="AN811" s="30">
        <f>PM_Angle!$J$22+PM_Angle!$K$22*$C811+PM_Angle!$L$22*$B811</f>
      </c>
      <c r="AO811" s="12">
        <f>IF(AN811&gt;0,IF(AN811&lt;=eco,alpha*fck*(1-(1-AN811/eco)^n),alpha*fck),0)</f>
      </c>
      <c r="AP811" s="30">
        <f>PM_Angle!$J$23+PM_Angle!$K$23*$C811+PM_Angle!$L$23*$B811</f>
      </c>
      <c r="AQ811" s="12">
        <f>IF(AP811&gt;0,IF(AP811&lt;=eco,alpha*fck*(1-(1-AP811/eco)^n),alpha*fck),0)</f>
      </c>
      <c r="AR811" s="30">
        <f>PM_Angle!$J$24+PM_Angle!$K$24*$C811+PM_Angle!$L$24*$B811</f>
      </c>
      <c r="AS811" s="12">
        <f>IF(AR811&gt;0,IF(AR811&lt;=eco,alpha*fck*(1-(1-AR811/eco)^n),alpha*fck),0)</f>
      </c>
      <c r="AT811" s="30">
        <f>PM_Angle!$J$25+PM_Angle!$K$25*$C811+PM_Angle!$L$25*$B811</f>
      </c>
      <c r="AU811" s="12">
        <f>IF(AT811&gt;0,IF(AT811&lt;=eco,alpha*fck*(1-(1-AT811/eco)^n),alpha*fck),0)</f>
      </c>
    </row>
    <row r="812" spans="1:47" x14ac:dyDescent="0.25">
      <c r="A812">
        <f>Mesh!A809</f>
      </c>
      <c r="B812" s="12">
        <f>Mesh!B809</f>
      </c>
      <c r="C812" s="12">
        <f>Mesh!C809</f>
      </c>
      <c r="D812" s="12">
        <f>Mesh!D809</f>
      </c>
      <c r="E812" s="30">
        <f>INDEX(St_e0,Det+1)+INDEX(St_kx,Det+1)*C812+INDEX(St_ky,Det+1)*B812</f>
      </c>
      <c r="F812" s="12">
        <f>IF(E812&gt;0,IF(E812&lt;=eco,alpha*fck*(1-(1-E812/eco)^n),alpha*fck),0)</f>
      </c>
      <c r="G812" s="11">
        <f>F812*D812</f>
      </c>
      <c r="H812" s="11">
        <f>G812*C812</f>
      </c>
      <c r="I812" s="11">
        <f>G812*B812</f>
      </c>
      <c r="J812" s="30">
        <f>PM_Angle!$J$7+PM_Angle!$K$7*$C812+PM_Angle!$L$7*$B812</f>
      </c>
      <c r="K812" s="12">
        <f>IF(J812&gt;0,IF(J812&lt;=eco,alpha*fck*(1-(1-J812/eco)^n),alpha*fck),0)</f>
      </c>
      <c r="L812" s="30">
        <f>PM_Angle!$J$8+PM_Angle!$K$8*$C812+PM_Angle!$L$8*$B812</f>
      </c>
      <c r="M812" s="12">
        <f>IF(L812&gt;0,IF(L812&lt;=eco,alpha*fck*(1-(1-L812/eco)^n),alpha*fck),0)</f>
      </c>
      <c r="N812" s="30">
        <f>PM_Angle!$J$9+PM_Angle!$K$9*$C812+PM_Angle!$L$9*$B812</f>
      </c>
      <c r="O812" s="12">
        <f>IF(N812&gt;0,IF(N812&lt;=eco,alpha*fck*(1-(1-N812/eco)^n),alpha*fck),0)</f>
      </c>
      <c r="P812" s="30">
        <f>PM_Angle!$J$10+PM_Angle!$K$10*$C812+PM_Angle!$L$10*$B812</f>
      </c>
      <c r="Q812" s="12">
        <f>IF(P812&gt;0,IF(P812&lt;=eco,alpha*fck*(1-(1-P812/eco)^n),alpha*fck),0)</f>
      </c>
      <c r="R812" s="30">
        <f>PM_Angle!$J$11+PM_Angle!$K$11*$C812+PM_Angle!$L$11*$B812</f>
      </c>
      <c r="S812" s="12">
        <f>IF(R812&gt;0,IF(R812&lt;=eco,alpha*fck*(1-(1-R812/eco)^n),alpha*fck),0)</f>
      </c>
      <c r="T812" s="30">
        <f>PM_Angle!$J$12+PM_Angle!$K$12*$C812+PM_Angle!$L$12*$B812</f>
      </c>
      <c r="U812" s="12">
        <f>IF(T812&gt;0,IF(T812&lt;=eco,alpha*fck*(1-(1-T812/eco)^n),alpha*fck),0)</f>
      </c>
      <c r="V812" s="30">
        <f>PM_Angle!$J$13+PM_Angle!$K$13*$C812+PM_Angle!$L$13*$B812</f>
      </c>
      <c r="W812" s="12">
        <f>IF(V812&gt;0,IF(V812&lt;=eco,alpha*fck*(1-(1-V812/eco)^n),alpha*fck),0)</f>
      </c>
      <c r="X812" s="30">
        <f>PM_Angle!$J$14+PM_Angle!$K$14*$C812+PM_Angle!$L$14*$B812</f>
      </c>
      <c r="Y812" s="12">
        <f>IF(X812&gt;0,IF(X812&lt;=eco,alpha*fck*(1-(1-X812/eco)^n),alpha*fck),0)</f>
      </c>
      <c r="Z812" s="30">
        <f>PM_Angle!$J$15+PM_Angle!$K$15*$C812+PM_Angle!$L$15*$B812</f>
      </c>
      <c r="AA812" s="12">
        <f>IF(Z812&gt;0,IF(Z812&lt;=eco,alpha*fck*(1-(1-Z812/eco)^n),alpha*fck),0)</f>
      </c>
      <c r="AB812" s="30">
        <f>PM_Angle!$J$16+PM_Angle!$K$16*$C812+PM_Angle!$L$16*$B812</f>
      </c>
      <c r="AC812" s="12">
        <f>IF(AB812&gt;0,IF(AB812&lt;=eco,alpha*fck*(1-(1-AB812/eco)^n),alpha*fck),0)</f>
      </c>
      <c r="AD812" s="30">
        <f>PM_Angle!$J$17+PM_Angle!$K$17*$C812+PM_Angle!$L$17*$B812</f>
      </c>
      <c r="AE812" s="12">
        <f>IF(AD812&gt;0,IF(AD812&lt;=eco,alpha*fck*(1-(1-AD812/eco)^n),alpha*fck),0)</f>
      </c>
      <c r="AF812" s="30">
        <f>PM_Angle!$J$18+PM_Angle!$K$18*$C812+PM_Angle!$L$18*$B812</f>
      </c>
      <c r="AG812" s="12">
        <f>IF(AF812&gt;0,IF(AF812&lt;=eco,alpha*fck*(1-(1-AF812/eco)^n),alpha*fck),0)</f>
      </c>
      <c r="AH812" s="30">
        <f>PM_Angle!$J$19+PM_Angle!$K$19*$C812+PM_Angle!$L$19*$B812</f>
      </c>
      <c r="AI812" s="12">
        <f>IF(AH812&gt;0,IF(AH812&lt;=eco,alpha*fck*(1-(1-AH812/eco)^n),alpha*fck),0)</f>
      </c>
      <c r="AJ812" s="30">
        <f>PM_Angle!$J$20+PM_Angle!$K$20*$C812+PM_Angle!$L$20*$B812</f>
      </c>
      <c r="AK812" s="12">
        <f>IF(AJ812&gt;0,IF(AJ812&lt;=eco,alpha*fck*(1-(1-AJ812/eco)^n),alpha*fck),0)</f>
      </c>
      <c r="AL812" s="30">
        <f>PM_Angle!$J$21+PM_Angle!$K$21*$C812+PM_Angle!$L$21*$B812</f>
      </c>
      <c r="AM812" s="12">
        <f>IF(AL812&gt;0,IF(AL812&lt;=eco,alpha*fck*(1-(1-AL812/eco)^n),alpha*fck),0)</f>
      </c>
      <c r="AN812" s="30">
        <f>PM_Angle!$J$22+PM_Angle!$K$22*$C812+PM_Angle!$L$22*$B812</f>
      </c>
      <c r="AO812" s="12">
        <f>IF(AN812&gt;0,IF(AN812&lt;=eco,alpha*fck*(1-(1-AN812/eco)^n),alpha*fck),0)</f>
      </c>
      <c r="AP812" s="30">
        <f>PM_Angle!$J$23+PM_Angle!$K$23*$C812+PM_Angle!$L$23*$B812</f>
      </c>
      <c r="AQ812" s="12">
        <f>IF(AP812&gt;0,IF(AP812&lt;=eco,alpha*fck*(1-(1-AP812/eco)^n),alpha*fck),0)</f>
      </c>
      <c r="AR812" s="30">
        <f>PM_Angle!$J$24+PM_Angle!$K$24*$C812+PM_Angle!$L$24*$B812</f>
      </c>
      <c r="AS812" s="12">
        <f>IF(AR812&gt;0,IF(AR812&lt;=eco,alpha*fck*(1-(1-AR812/eco)^n),alpha*fck),0)</f>
      </c>
      <c r="AT812" s="30">
        <f>PM_Angle!$J$25+PM_Angle!$K$25*$C812+PM_Angle!$L$25*$B812</f>
      </c>
      <c r="AU812" s="12">
        <f>IF(AT812&gt;0,IF(AT812&lt;=eco,alpha*fck*(1-(1-AT812/eco)^n),alpha*fck),0)</f>
      </c>
    </row>
    <row r="813" spans="1:47" x14ac:dyDescent="0.25">
      <c r="A813">
        <f>Mesh!A810</f>
      </c>
      <c r="B813" s="12">
        <f>Mesh!B810</f>
      </c>
      <c r="C813" s="12">
        <f>Mesh!C810</f>
      </c>
      <c r="D813" s="12">
        <f>Mesh!D810</f>
      </c>
      <c r="E813" s="30">
        <f>INDEX(St_e0,Det+1)+INDEX(St_kx,Det+1)*C813+INDEX(St_ky,Det+1)*B813</f>
      </c>
      <c r="F813" s="12">
        <f>IF(E813&gt;0,IF(E813&lt;=eco,alpha*fck*(1-(1-E813/eco)^n),alpha*fck),0)</f>
      </c>
      <c r="G813" s="11">
        <f>F813*D813</f>
      </c>
      <c r="H813" s="11">
        <f>G813*C813</f>
      </c>
      <c r="I813" s="11">
        <f>G813*B813</f>
      </c>
      <c r="J813" s="30">
        <f>PM_Angle!$J$7+PM_Angle!$K$7*$C813+PM_Angle!$L$7*$B813</f>
      </c>
      <c r="K813" s="12">
        <f>IF(J813&gt;0,IF(J813&lt;=eco,alpha*fck*(1-(1-J813/eco)^n),alpha*fck),0)</f>
      </c>
      <c r="L813" s="30">
        <f>PM_Angle!$J$8+PM_Angle!$K$8*$C813+PM_Angle!$L$8*$B813</f>
      </c>
      <c r="M813" s="12">
        <f>IF(L813&gt;0,IF(L813&lt;=eco,alpha*fck*(1-(1-L813/eco)^n),alpha*fck),0)</f>
      </c>
      <c r="N813" s="30">
        <f>PM_Angle!$J$9+PM_Angle!$K$9*$C813+PM_Angle!$L$9*$B813</f>
      </c>
      <c r="O813" s="12">
        <f>IF(N813&gt;0,IF(N813&lt;=eco,alpha*fck*(1-(1-N813/eco)^n),alpha*fck),0)</f>
      </c>
      <c r="P813" s="30">
        <f>PM_Angle!$J$10+PM_Angle!$K$10*$C813+PM_Angle!$L$10*$B813</f>
      </c>
      <c r="Q813" s="12">
        <f>IF(P813&gt;0,IF(P813&lt;=eco,alpha*fck*(1-(1-P813/eco)^n),alpha*fck),0)</f>
      </c>
      <c r="R813" s="30">
        <f>PM_Angle!$J$11+PM_Angle!$K$11*$C813+PM_Angle!$L$11*$B813</f>
      </c>
      <c r="S813" s="12">
        <f>IF(R813&gt;0,IF(R813&lt;=eco,alpha*fck*(1-(1-R813/eco)^n),alpha*fck),0)</f>
      </c>
      <c r="T813" s="30">
        <f>PM_Angle!$J$12+PM_Angle!$K$12*$C813+PM_Angle!$L$12*$B813</f>
      </c>
      <c r="U813" s="12">
        <f>IF(T813&gt;0,IF(T813&lt;=eco,alpha*fck*(1-(1-T813/eco)^n),alpha*fck),0)</f>
      </c>
      <c r="V813" s="30">
        <f>PM_Angle!$J$13+PM_Angle!$K$13*$C813+PM_Angle!$L$13*$B813</f>
      </c>
      <c r="W813" s="12">
        <f>IF(V813&gt;0,IF(V813&lt;=eco,alpha*fck*(1-(1-V813/eco)^n),alpha*fck),0)</f>
      </c>
      <c r="X813" s="30">
        <f>PM_Angle!$J$14+PM_Angle!$K$14*$C813+PM_Angle!$L$14*$B813</f>
      </c>
      <c r="Y813" s="12">
        <f>IF(X813&gt;0,IF(X813&lt;=eco,alpha*fck*(1-(1-X813/eco)^n),alpha*fck),0)</f>
      </c>
      <c r="Z813" s="30">
        <f>PM_Angle!$J$15+PM_Angle!$K$15*$C813+PM_Angle!$L$15*$B813</f>
      </c>
      <c r="AA813" s="12">
        <f>IF(Z813&gt;0,IF(Z813&lt;=eco,alpha*fck*(1-(1-Z813/eco)^n),alpha*fck),0)</f>
      </c>
      <c r="AB813" s="30">
        <f>PM_Angle!$J$16+PM_Angle!$K$16*$C813+PM_Angle!$L$16*$B813</f>
      </c>
      <c r="AC813" s="12">
        <f>IF(AB813&gt;0,IF(AB813&lt;=eco,alpha*fck*(1-(1-AB813/eco)^n),alpha*fck),0)</f>
      </c>
      <c r="AD813" s="30">
        <f>PM_Angle!$J$17+PM_Angle!$K$17*$C813+PM_Angle!$L$17*$B813</f>
      </c>
      <c r="AE813" s="12">
        <f>IF(AD813&gt;0,IF(AD813&lt;=eco,alpha*fck*(1-(1-AD813/eco)^n),alpha*fck),0)</f>
      </c>
      <c r="AF813" s="30">
        <f>PM_Angle!$J$18+PM_Angle!$K$18*$C813+PM_Angle!$L$18*$B813</f>
      </c>
      <c r="AG813" s="12">
        <f>IF(AF813&gt;0,IF(AF813&lt;=eco,alpha*fck*(1-(1-AF813/eco)^n),alpha*fck),0)</f>
      </c>
      <c r="AH813" s="30">
        <f>PM_Angle!$J$19+PM_Angle!$K$19*$C813+PM_Angle!$L$19*$B813</f>
      </c>
      <c r="AI813" s="12">
        <f>IF(AH813&gt;0,IF(AH813&lt;=eco,alpha*fck*(1-(1-AH813/eco)^n),alpha*fck),0)</f>
      </c>
      <c r="AJ813" s="30">
        <f>PM_Angle!$J$20+PM_Angle!$K$20*$C813+PM_Angle!$L$20*$B813</f>
      </c>
      <c r="AK813" s="12">
        <f>IF(AJ813&gt;0,IF(AJ813&lt;=eco,alpha*fck*(1-(1-AJ813/eco)^n),alpha*fck),0)</f>
      </c>
      <c r="AL813" s="30">
        <f>PM_Angle!$J$21+PM_Angle!$K$21*$C813+PM_Angle!$L$21*$B813</f>
      </c>
      <c r="AM813" s="12">
        <f>IF(AL813&gt;0,IF(AL813&lt;=eco,alpha*fck*(1-(1-AL813/eco)^n),alpha*fck),0)</f>
      </c>
      <c r="AN813" s="30">
        <f>PM_Angle!$J$22+PM_Angle!$K$22*$C813+PM_Angle!$L$22*$B813</f>
      </c>
      <c r="AO813" s="12">
        <f>IF(AN813&gt;0,IF(AN813&lt;=eco,alpha*fck*(1-(1-AN813/eco)^n),alpha*fck),0)</f>
      </c>
      <c r="AP813" s="30">
        <f>PM_Angle!$J$23+PM_Angle!$K$23*$C813+PM_Angle!$L$23*$B813</f>
      </c>
      <c r="AQ813" s="12">
        <f>IF(AP813&gt;0,IF(AP813&lt;=eco,alpha*fck*(1-(1-AP813/eco)^n),alpha*fck),0)</f>
      </c>
      <c r="AR813" s="30">
        <f>PM_Angle!$J$24+PM_Angle!$K$24*$C813+PM_Angle!$L$24*$B813</f>
      </c>
      <c r="AS813" s="12">
        <f>IF(AR813&gt;0,IF(AR813&lt;=eco,alpha*fck*(1-(1-AR813/eco)^n),alpha*fck),0)</f>
      </c>
      <c r="AT813" s="30">
        <f>PM_Angle!$J$25+PM_Angle!$K$25*$C813+PM_Angle!$L$25*$B813</f>
      </c>
      <c r="AU813" s="12">
        <f>IF(AT813&gt;0,IF(AT813&lt;=eco,alpha*fck*(1-(1-AT813/eco)^n),alpha*fck),0)</f>
      </c>
    </row>
    <row r="814" spans="1:47" x14ac:dyDescent="0.25">
      <c r="A814">
        <f>Mesh!A811</f>
      </c>
      <c r="B814" s="12">
        <f>Mesh!B811</f>
      </c>
      <c r="C814" s="12">
        <f>Mesh!C811</f>
      </c>
      <c r="D814" s="12">
        <f>Mesh!D811</f>
      </c>
      <c r="E814" s="30">
        <f>INDEX(St_e0,Det+1)+INDEX(St_kx,Det+1)*C814+INDEX(St_ky,Det+1)*B814</f>
      </c>
      <c r="F814" s="12">
        <f>IF(E814&gt;0,IF(E814&lt;=eco,alpha*fck*(1-(1-E814/eco)^n),alpha*fck),0)</f>
      </c>
      <c r="G814" s="11">
        <f>F814*D814</f>
      </c>
      <c r="H814" s="11">
        <f>G814*C814</f>
      </c>
      <c r="I814" s="11">
        <f>G814*B814</f>
      </c>
      <c r="J814" s="30">
        <f>PM_Angle!$J$7+PM_Angle!$K$7*$C814+PM_Angle!$L$7*$B814</f>
      </c>
      <c r="K814" s="12">
        <f>IF(J814&gt;0,IF(J814&lt;=eco,alpha*fck*(1-(1-J814/eco)^n),alpha*fck),0)</f>
      </c>
      <c r="L814" s="30">
        <f>PM_Angle!$J$8+PM_Angle!$K$8*$C814+PM_Angle!$L$8*$B814</f>
      </c>
      <c r="M814" s="12">
        <f>IF(L814&gt;0,IF(L814&lt;=eco,alpha*fck*(1-(1-L814/eco)^n),alpha*fck),0)</f>
      </c>
      <c r="N814" s="30">
        <f>PM_Angle!$J$9+PM_Angle!$K$9*$C814+PM_Angle!$L$9*$B814</f>
      </c>
      <c r="O814" s="12">
        <f>IF(N814&gt;0,IF(N814&lt;=eco,alpha*fck*(1-(1-N814/eco)^n),alpha*fck),0)</f>
      </c>
      <c r="P814" s="30">
        <f>PM_Angle!$J$10+PM_Angle!$K$10*$C814+PM_Angle!$L$10*$B814</f>
      </c>
      <c r="Q814" s="12">
        <f>IF(P814&gt;0,IF(P814&lt;=eco,alpha*fck*(1-(1-P814/eco)^n),alpha*fck),0)</f>
      </c>
      <c r="R814" s="30">
        <f>PM_Angle!$J$11+PM_Angle!$K$11*$C814+PM_Angle!$L$11*$B814</f>
      </c>
      <c r="S814" s="12">
        <f>IF(R814&gt;0,IF(R814&lt;=eco,alpha*fck*(1-(1-R814/eco)^n),alpha*fck),0)</f>
      </c>
      <c r="T814" s="30">
        <f>PM_Angle!$J$12+PM_Angle!$K$12*$C814+PM_Angle!$L$12*$B814</f>
      </c>
      <c r="U814" s="12">
        <f>IF(T814&gt;0,IF(T814&lt;=eco,alpha*fck*(1-(1-T814/eco)^n),alpha*fck),0)</f>
      </c>
      <c r="V814" s="30">
        <f>PM_Angle!$J$13+PM_Angle!$K$13*$C814+PM_Angle!$L$13*$B814</f>
      </c>
      <c r="W814" s="12">
        <f>IF(V814&gt;0,IF(V814&lt;=eco,alpha*fck*(1-(1-V814/eco)^n),alpha*fck),0)</f>
      </c>
      <c r="X814" s="30">
        <f>PM_Angle!$J$14+PM_Angle!$K$14*$C814+PM_Angle!$L$14*$B814</f>
      </c>
      <c r="Y814" s="12">
        <f>IF(X814&gt;0,IF(X814&lt;=eco,alpha*fck*(1-(1-X814/eco)^n),alpha*fck),0)</f>
      </c>
      <c r="Z814" s="30">
        <f>PM_Angle!$J$15+PM_Angle!$K$15*$C814+PM_Angle!$L$15*$B814</f>
      </c>
      <c r="AA814" s="12">
        <f>IF(Z814&gt;0,IF(Z814&lt;=eco,alpha*fck*(1-(1-Z814/eco)^n),alpha*fck),0)</f>
      </c>
      <c r="AB814" s="30">
        <f>PM_Angle!$J$16+PM_Angle!$K$16*$C814+PM_Angle!$L$16*$B814</f>
      </c>
      <c r="AC814" s="12">
        <f>IF(AB814&gt;0,IF(AB814&lt;=eco,alpha*fck*(1-(1-AB814/eco)^n),alpha*fck),0)</f>
      </c>
      <c r="AD814" s="30">
        <f>PM_Angle!$J$17+PM_Angle!$K$17*$C814+PM_Angle!$L$17*$B814</f>
      </c>
      <c r="AE814" s="12">
        <f>IF(AD814&gt;0,IF(AD814&lt;=eco,alpha*fck*(1-(1-AD814/eco)^n),alpha*fck),0)</f>
      </c>
      <c r="AF814" s="30">
        <f>PM_Angle!$J$18+PM_Angle!$K$18*$C814+PM_Angle!$L$18*$B814</f>
      </c>
      <c r="AG814" s="12">
        <f>IF(AF814&gt;0,IF(AF814&lt;=eco,alpha*fck*(1-(1-AF814/eco)^n),alpha*fck),0)</f>
      </c>
      <c r="AH814" s="30">
        <f>PM_Angle!$J$19+PM_Angle!$K$19*$C814+PM_Angle!$L$19*$B814</f>
      </c>
      <c r="AI814" s="12">
        <f>IF(AH814&gt;0,IF(AH814&lt;=eco,alpha*fck*(1-(1-AH814/eco)^n),alpha*fck),0)</f>
      </c>
      <c r="AJ814" s="30">
        <f>PM_Angle!$J$20+PM_Angle!$K$20*$C814+PM_Angle!$L$20*$B814</f>
      </c>
      <c r="AK814" s="12">
        <f>IF(AJ814&gt;0,IF(AJ814&lt;=eco,alpha*fck*(1-(1-AJ814/eco)^n),alpha*fck),0)</f>
      </c>
      <c r="AL814" s="30">
        <f>PM_Angle!$J$21+PM_Angle!$K$21*$C814+PM_Angle!$L$21*$B814</f>
      </c>
      <c r="AM814" s="12">
        <f>IF(AL814&gt;0,IF(AL814&lt;=eco,alpha*fck*(1-(1-AL814/eco)^n),alpha*fck),0)</f>
      </c>
      <c r="AN814" s="30">
        <f>PM_Angle!$J$22+PM_Angle!$K$22*$C814+PM_Angle!$L$22*$B814</f>
      </c>
      <c r="AO814" s="12">
        <f>IF(AN814&gt;0,IF(AN814&lt;=eco,alpha*fck*(1-(1-AN814/eco)^n),alpha*fck),0)</f>
      </c>
      <c r="AP814" s="30">
        <f>PM_Angle!$J$23+PM_Angle!$K$23*$C814+PM_Angle!$L$23*$B814</f>
      </c>
      <c r="AQ814" s="12">
        <f>IF(AP814&gt;0,IF(AP814&lt;=eco,alpha*fck*(1-(1-AP814/eco)^n),alpha*fck),0)</f>
      </c>
      <c r="AR814" s="30">
        <f>PM_Angle!$J$24+PM_Angle!$K$24*$C814+PM_Angle!$L$24*$B814</f>
      </c>
      <c r="AS814" s="12">
        <f>IF(AR814&gt;0,IF(AR814&lt;=eco,alpha*fck*(1-(1-AR814/eco)^n),alpha*fck),0)</f>
      </c>
      <c r="AT814" s="30">
        <f>PM_Angle!$J$25+PM_Angle!$K$25*$C814+PM_Angle!$L$25*$B814</f>
      </c>
      <c r="AU814" s="12">
        <f>IF(AT814&gt;0,IF(AT814&lt;=eco,alpha*fck*(1-(1-AT814/eco)^n),alpha*fck),0)</f>
      </c>
    </row>
    <row r="815" spans="1:47" x14ac:dyDescent="0.25">
      <c r="A815">
        <f>Mesh!A812</f>
      </c>
      <c r="B815" s="12">
        <f>Mesh!B812</f>
      </c>
      <c r="C815" s="12">
        <f>Mesh!C812</f>
      </c>
      <c r="D815" s="12">
        <f>Mesh!D812</f>
      </c>
      <c r="E815" s="30">
        <f>INDEX(St_e0,Det+1)+INDEX(St_kx,Det+1)*C815+INDEX(St_ky,Det+1)*B815</f>
      </c>
      <c r="F815" s="12">
        <f>IF(E815&gt;0,IF(E815&lt;=eco,alpha*fck*(1-(1-E815/eco)^n),alpha*fck),0)</f>
      </c>
      <c r="G815" s="11">
        <f>F815*D815</f>
      </c>
      <c r="H815" s="11">
        <f>G815*C815</f>
      </c>
      <c r="I815" s="11">
        <f>G815*B815</f>
      </c>
      <c r="J815" s="30">
        <f>PM_Angle!$J$7+PM_Angle!$K$7*$C815+PM_Angle!$L$7*$B815</f>
      </c>
      <c r="K815" s="12">
        <f>IF(J815&gt;0,IF(J815&lt;=eco,alpha*fck*(1-(1-J815/eco)^n),alpha*fck),0)</f>
      </c>
      <c r="L815" s="30">
        <f>PM_Angle!$J$8+PM_Angle!$K$8*$C815+PM_Angle!$L$8*$B815</f>
      </c>
      <c r="M815" s="12">
        <f>IF(L815&gt;0,IF(L815&lt;=eco,alpha*fck*(1-(1-L815/eco)^n),alpha*fck),0)</f>
      </c>
      <c r="N815" s="30">
        <f>PM_Angle!$J$9+PM_Angle!$K$9*$C815+PM_Angle!$L$9*$B815</f>
      </c>
      <c r="O815" s="12">
        <f>IF(N815&gt;0,IF(N815&lt;=eco,alpha*fck*(1-(1-N815/eco)^n),alpha*fck),0)</f>
      </c>
      <c r="P815" s="30">
        <f>PM_Angle!$J$10+PM_Angle!$K$10*$C815+PM_Angle!$L$10*$B815</f>
      </c>
      <c r="Q815" s="12">
        <f>IF(P815&gt;0,IF(P815&lt;=eco,alpha*fck*(1-(1-P815/eco)^n),alpha*fck),0)</f>
      </c>
      <c r="R815" s="30">
        <f>PM_Angle!$J$11+PM_Angle!$K$11*$C815+PM_Angle!$L$11*$B815</f>
      </c>
      <c r="S815" s="12">
        <f>IF(R815&gt;0,IF(R815&lt;=eco,alpha*fck*(1-(1-R815/eco)^n),alpha*fck),0)</f>
      </c>
      <c r="T815" s="30">
        <f>PM_Angle!$J$12+PM_Angle!$K$12*$C815+PM_Angle!$L$12*$B815</f>
      </c>
      <c r="U815" s="12">
        <f>IF(T815&gt;0,IF(T815&lt;=eco,alpha*fck*(1-(1-T815/eco)^n),alpha*fck),0)</f>
      </c>
      <c r="V815" s="30">
        <f>PM_Angle!$J$13+PM_Angle!$K$13*$C815+PM_Angle!$L$13*$B815</f>
      </c>
      <c r="W815" s="12">
        <f>IF(V815&gt;0,IF(V815&lt;=eco,alpha*fck*(1-(1-V815/eco)^n),alpha*fck),0)</f>
      </c>
      <c r="X815" s="30">
        <f>PM_Angle!$J$14+PM_Angle!$K$14*$C815+PM_Angle!$L$14*$B815</f>
      </c>
      <c r="Y815" s="12">
        <f>IF(X815&gt;0,IF(X815&lt;=eco,alpha*fck*(1-(1-X815/eco)^n),alpha*fck),0)</f>
      </c>
      <c r="Z815" s="30">
        <f>PM_Angle!$J$15+PM_Angle!$K$15*$C815+PM_Angle!$L$15*$B815</f>
      </c>
      <c r="AA815" s="12">
        <f>IF(Z815&gt;0,IF(Z815&lt;=eco,alpha*fck*(1-(1-Z815/eco)^n),alpha*fck),0)</f>
      </c>
      <c r="AB815" s="30">
        <f>PM_Angle!$J$16+PM_Angle!$K$16*$C815+PM_Angle!$L$16*$B815</f>
      </c>
      <c r="AC815" s="12">
        <f>IF(AB815&gt;0,IF(AB815&lt;=eco,alpha*fck*(1-(1-AB815/eco)^n),alpha*fck),0)</f>
      </c>
      <c r="AD815" s="30">
        <f>PM_Angle!$J$17+PM_Angle!$K$17*$C815+PM_Angle!$L$17*$B815</f>
      </c>
      <c r="AE815" s="12">
        <f>IF(AD815&gt;0,IF(AD815&lt;=eco,alpha*fck*(1-(1-AD815/eco)^n),alpha*fck),0)</f>
      </c>
      <c r="AF815" s="30">
        <f>PM_Angle!$J$18+PM_Angle!$K$18*$C815+PM_Angle!$L$18*$B815</f>
      </c>
      <c r="AG815" s="12">
        <f>IF(AF815&gt;0,IF(AF815&lt;=eco,alpha*fck*(1-(1-AF815/eco)^n),alpha*fck),0)</f>
      </c>
      <c r="AH815" s="30">
        <f>PM_Angle!$J$19+PM_Angle!$K$19*$C815+PM_Angle!$L$19*$B815</f>
      </c>
      <c r="AI815" s="12">
        <f>IF(AH815&gt;0,IF(AH815&lt;=eco,alpha*fck*(1-(1-AH815/eco)^n),alpha*fck),0)</f>
      </c>
      <c r="AJ815" s="30">
        <f>PM_Angle!$J$20+PM_Angle!$K$20*$C815+PM_Angle!$L$20*$B815</f>
      </c>
      <c r="AK815" s="12">
        <f>IF(AJ815&gt;0,IF(AJ815&lt;=eco,alpha*fck*(1-(1-AJ815/eco)^n),alpha*fck),0)</f>
      </c>
      <c r="AL815" s="30">
        <f>PM_Angle!$J$21+PM_Angle!$K$21*$C815+PM_Angle!$L$21*$B815</f>
      </c>
      <c r="AM815" s="12">
        <f>IF(AL815&gt;0,IF(AL815&lt;=eco,alpha*fck*(1-(1-AL815/eco)^n),alpha*fck),0)</f>
      </c>
      <c r="AN815" s="30">
        <f>PM_Angle!$J$22+PM_Angle!$K$22*$C815+PM_Angle!$L$22*$B815</f>
      </c>
      <c r="AO815" s="12">
        <f>IF(AN815&gt;0,IF(AN815&lt;=eco,alpha*fck*(1-(1-AN815/eco)^n),alpha*fck),0)</f>
      </c>
      <c r="AP815" s="30">
        <f>PM_Angle!$J$23+PM_Angle!$K$23*$C815+PM_Angle!$L$23*$B815</f>
      </c>
      <c r="AQ815" s="12">
        <f>IF(AP815&gt;0,IF(AP815&lt;=eco,alpha*fck*(1-(1-AP815/eco)^n),alpha*fck),0)</f>
      </c>
      <c r="AR815" s="30">
        <f>PM_Angle!$J$24+PM_Angle!$K$24*$C815+PM_Angle!$L$24*$B815</f>
      </c>
      <c r="AS815" s="12">
        <f>IF(AR815&gt;0,IF(AR815&lt;=eco,alpha*fck*(1-(1-AR815/eco)^n),alpha*fck),0)</f>
      </c>
      <c r="AT815" s="30">
        <f>PM_Angle!$J$25+PM_Angle!$K$25*$C815+PM_Angle!$L$25*$B815</f>
      </c>
      <c r="AU815" s="12">
        <f>IF(AT815&gt;0,IF(AT815&lt;=eco,alpha*fck*(1-(1-AT815/eco)^n),alpha*fck),0)</f>
      </c>
    </row>
    <row r="816" spans="1:47" x14ac:dyDescent="0.25">
      <c r="A816">
        <f>Mesh!A813</f>
      </c>
      <c r="B816" s="12">
        <f>Mesh!B813</f>
      </c>
      <c r="C816" s="12">
        <f>Mesh!C813</f>
      </c>
      <c r="D816" s="12">
        <f>Mesh!D813</f>
      </c>
      <c r="E816" s="30">
        <f>INDEX(St_e0,Det+1)+INDEX(St_kx,Det+1)*C816+INDEX(St_ky,Det+1)*B816</f>
      </c>
      <c r="F816" s="12">
        <f>IF(E816&gt;0,IF(E816&lt;=eco,alpha*fck*(1-(1-E816/eco)^n),alpha*fck),0)</f>
      </c>
      <c r="G816" s="11">
        <f>F816*D816</f>
      </c>
      <c r="H816" s="11">
        <f>G816*C816</f>
      </c>
      <c r="I816" s="11">
        <f>G816*B816</f>
      </c>
      <c r="J816" s="30">
        <f>PM_Angle!$J$7+PM_Angle!$K$7*$C816+PM_Angle!$L$7*$B816</f>
      </c>
      <c r="K816" s="12">
        <f>IF(J816&gt;0,IF(J816&lt;=eco,alpha*fck*(1-(1-J816/eco)^n),alpha*fck),0)</f>
      </c>
      <c r="L816" s="30">
        <f>PM_Angle!$J$8+PM_Angle!$K$8*$C816+PM_Angle!$L$8*$B816</f>
      </c>
      <c r="M816" s="12">
        <f>IF(L816&gt;0,IF(L816&lt;=eco,alpha*fck*(1-(1-L816/eco)^n),alpha*fck),0)</f>
      </c>
      <c r="N816" s="30">
        <f>PM_Angle!$J$9+PM_Angle!$K$9*$C816+PM_Angle!$L$9*$B816</f>
      </c>
      <c r="O816" s="12">
        <f>IF(N816&gt;0,IF(N816&lt;=eco,alpha*fck*(1-(1-N816/eco)^n),alpha*fck),0)</f>
      </c>
      <c r="P816" s="30">
        <f>PM_Angle!$J$10+PM_Angle!$K$10*$C816+PM_Angle!$L$10*$B816</f>
      </c>
      <c r="Q816" s="12">
        <f>IF(P816&gt;0,IF(P816&lt;=eco,alpha*fck*(1-(1-P816/eco)^n),alpha*fck),0)</f>
      </c>
      <c r="R816" s="30">
        <f>PM_Angle!$J$11+PM_Angle!$K$11*$C816+PM_Angle!$L$11*$B816</f>
      </c>
      <c r="S816" s="12">
        <f>IF(R816&gt;0,IF(R816&lt;=eco,alpha*fck*(1-(1-R816/eco)^n),alpha*fck),0)</f>
      </c>
      <c r="T816" s="30">
        <f>PM_Angle!$J$12+PM_Angle!$K$12*$C816+PM_Angle!$L$12*$B816</f>
      </c>
      <c r="U816" s="12">
        <f>IF(T816&gt;0,IF(T816&lt;=eco,alpha*fck*(1-(1-T816/eco)^n),alpha*fck),0)</f>
      </c>
      <c r="V816" s="30">
        <f>PM_Angle!$J$13+PM_Angle!$K$13*$C816+PM_Angle!$L$13*$B816</f>
      </c>
      <c r="W816" s="12">
        <f>IF(V816&gt;0,IF(V816&lt;=eco,alpha*fck*(1-(1-V816/eco)^n),alpha*fck),0)</f>
      </c>
      <c r="X816" s="30">
        <f>PM_Angle!$J$14+PM_Angle!$K$14*$C816+PM_Angle!$L$14*$B816</f>
      </c>
      <c r="Y816" s="12">
        <f>IF(X816&gt;0,IF(X816&lt;=eco,alpha*fck*(1-(1-X816/eco)^n),alpha*fck),0)</f>
      </c>
      <c r="Z816" s="30">
        <f>PM_Angle!$J$15+PM_Angle!$K$15*$C816+PM_Angle!$L$15*$B816</f>
      </c>
      <c r="AA816" s="12">
        <f>IF(Z816&gt;0,IF(Z816&lt;=eco,alpha*fck*(1-(1-Z816/eco)^n),alpha*fck),0)</f>
      </c>
      <c r="AB816" s="30">
        <f>PM_Angle!$J$16+PM_Angle!$K$16*$C816+PM_Angle!$L$16*$B816</f>
      </c>
      <c r="AC816" s="12">
        <f>IF(AB816&gt;0,IF(AB816&lt;=eco,alpha*fck*(1-(1-AB816/eco)^n),alpha*fck),0)</f>
      </c>
      <c r="AD816" s="30">
        <f>PM_Angle!$J$17+PM_Angle!$K$17*$C816+PM_Angle!$L$17*$B816</f>
      </c>
      <c r="AE816" s="12">
        <f>IF(AD816&gt;0,IF(AD816&lt;=eco,alpha*fck*(1-(1-AD816/eco)^n),alpha*fck),0)</f>
      </c>
      <c r="AF816" s="30">
        <f>PM_Angle!$J$18+PM_Angle!$K$18*$C816+PM_Angle!$L$18*$B816</f>
      </c>
      <c r="AG816" s="12">
        <f>IF(AF816&gt;0,IF(AF816&lt;=eco,alpha*fck*(1-(1-AF816/eco)^n),alpha*fck),0)</f>
      </c>
      <c r="AH816" s="30">
        <f>PM_Angle!$J$19+PM_Angle!$K$19*$C816+PM_Angle!$L$19*$B816</f>
      </c>
      <c r="AI816" s="12">
        <f>IF(AH816&gt;0,IF(AH816&lt;=eco,alpha*fck*(1-(1-AH816/eco)^n),alpha*fck),0)</f>
      </c>
      <c r="AJ816" s="30">
        <f>PM_Angle!$J$20+PM_Angle!$K$20*$C816+PM_Angle!$L$20*$B816</f>
      </c>
      <c r="AK816" s="12">
        <f>IF(AJ816&gt;0,IF(AJ816&lt;=eco,alpha*fck*(1-(1-AJ816/eco)^n),alpha*fck),0)</f>
      </c>
      <c r="AL816" s="30">
        <f>PM_Angle!$J$21+PM_Angle!$K$21*$C816+PM_Angle!$L$21*$B816</f>
      </c>
      <c r="AM816" s="12">
        <f>IF(AL816&gt;0,IF(AL816&lt;=eco,alpha*fck*(1-(1-AL816/eco)^n),alpha*fck),0)</f>
      </c>
      <c r="AN816" s="30">
        <f>PM_Angle!$J$22+PM_Angle!$K$22*$C816+PM_Angle!$L$22*$B816</f>
      </c>
      <c r="AO816" s="12">
        <f>IF(AN816&gt;0,IF(AN816&lt;=eco,alpha*fck*(1-(1-AN816/eco)^n),alpha*fck),0)</f>
      </c>
      <c r="AP816" s="30">
        <f>PM_Angle!$J$23+PM_Angle!$K$23*$C816+PM_Angle!$L$23*$B816</f>
      </c>
      <c r="AQ816" s="12">
        <f>IF(AP816&gt;0,IF(AP816&lt;=eco,alpha*fck*(1-(1-AP816/eco)^n),alpha*fck),0)</f>
      </c>
      <c r="AR816" s="30">
        <f>PM_Angle!$J$24+PM_Angle!$K$24*$C816+PM_Angle!$L$24*$B816</f>
      </c>
      <c r="AS816" s="12">
        <f>IF(AR816&gt;0,IF(AR816&lt;=eco,alpha*fck*(1-(1-AR816/eco)^n),alpha*fck),0)</f>
      </c>
      <c r="AT816" s="30">
        <f>PM_Angle!$J$25+PM_Angle!$K$25*$C816+PM_Angle!$L$25*$B816</f>
      </c>
      <c r="AU816" s="12">
        <f>IF(AT816&gt;0,IF(AT816&lt;=eco,alpha*fck*(1-(1-AT816/eco)^n),alpha*fck),0)</f>
      </c>
    </row>
    <row r="817" spans="1:47" x14ac:dyDescent="0.25">
      <c r="A817">
        <f>Mesh!A814</f>
      </c>
      <c r="B817" s="12">
        <f>Mesh!B814</f>
      </c>
      <c r="C817" s="12">
        <f>Mesh!C814</f>
      </c>
      <c r="D817" s="12">
        <f>Mesh!D814</f>
      </c>
      <c r="E817" s="30">
        <f>INDEX(St_e0,Det+1)+INDEX(St_kx,Det+1)*C817+INDEX(St_ky,Det+1)*B817</f>
      </c>
      <c r="F817" s="12">
        <f>IF(E817&gt;0,IF(E817&lt;=eco,alpha*fck*(1-(1-E817/eco)^n),alpha*fck),0)</f>
      </c>
      <c r="G817" s="11">
        <f>F817*D817</f>
      </c>
      <c r="H817" s="11">
        <f>G817*C817</f>
      </c>
      <c r="I817" s="11">
        <f>G817*B817</f>
      </c>
      <c r="J817" s="30">
        <f>PM_Angle!$J$7+PM_Angle!$K$7*$C817+PM_Angle!$L$7*$B817</f>
      </c>
      <c r="K817" s="12">
        <f>IF(J817&gt;0,IF(J817&lt;=eco,alpha*fck*(1-(1-J817/eco)^n),alpha*fck),0)</f>
      </c>
      <c r="L817" s="30">
        <f>PM_Angle!$J$8+PM_Angle!$K$8*$C817+PM_Angle!$L$8*$B817</f>
      </c>
      <c r="M817" s="12">
        <f>IF(L817&gt;0,IF(L817&lt;=eco,alpha*fck*(1-(1-L817/eco)^n),alpha*fck),0)</f>
      </c>
      <c r="N817" s="30">
        <f>PM_Angle!$J$9+PM_Angle!$K$9*$C817+PM_Angle!$L$9*$B817</f>
      </c>
      <c r="O817" s="12">
        <f>IF(N817&gt;0,IF(N817&lt;=eco,alpha*fck*(1-(1-N817/eco)^n),alpha*fck),0)</f>
      </c>
      <c r="P817" s="30">
        <f>PM_Angle!$J$10+PM_Angle!$K$10*$C817+PM_Angle!$L$10*$B817</f>
      </c>
      <c r="Q817" s="12">
        <f>IF(P817&gt;0,IF(P817&lt;=eco,alpha*fck*(1-(1-P817/eco)^n),alpha*fck),0)</f>
      </c>
      <c r="R817" s="30">
        <f>PM_Angle!$J$11+PM_Angle!$K$11*$C817+PM_Angle!$L$11*$B817</f>
      </c>
      <c r="S817" s="12">
        <f>IF(R817&gt;0,IF(R817&lt;=eco,alpha*fck*(1-(1-R817/eco)^n),alpha*fck),0)</f>
      </c>
      <c r="T817" s="30">
        <f>PM_Angle!$J$12+PM_Angle!$K$12*$C817+PM_Angle!$L$12*$B817</f>
      </c>
      <c r="U817" s="12">
        <f>IF(T817&gt;0,IF(T817&lt;=eco,alpha*fck*(1-(1-T817/eco)^n),alpha*fck),0)</f>
      </c>
      <c r="V817" s="30">
        <f>PM_Angle!$J$13+PM_Angle!$K$13*$C817+PM_Angle!$L$13*$B817</f>
      </c>
      <c r="W817" s="12">
        <f>IF(V817&gt;0,IF(V817&lt;=eco,alpha*fck*(1-(1-V817/eco)^n),alpha*fck),0)</f>
      </c>
      <c r="X817" s="30">
        <f>PM_Angle!$J$14+PM_Angle!$K$14*$C817+PM_Angle!$L$14*$B817</f>
      </c>
      <c r="Y817" s="12">
        <f>IF(X817&gt;0,IF(X817&lt;=eco,alpha*fck*(1-(1-X817/eco)^n),alpha*fck),0)</f>
      </c>
      <c r="Z817" s="30">
        <f>PM_Angle!$J$15+PM_Angle!$K$15*$C817+PM_Angle!$L$15*$B817</f>
      </c>
      <c r="AA817" s="12">
        <f>IF(Z817&gt;0,IF(Z817&lt;=eco,alpha*fck*(1-(1-Z817/eco)^n),alpha*fck),0)</f>
      </c>
      <c r="AB817" s="30">
        <f>PM_Angle!$J$16+PM_Angle!$K$16*$C817+PM_Angle!$L$16*$B817</f>
      </c>
      <c r="AC817" s="12">
        <f>IF(AB817&gt;0,IF(AB817&lt;=eco,alpha*fck*(1-(1-AB817/eco)^n),alpha*fck),0)</f>
      </c>
      <c r="AD817" s="30">
        <f>PM_Angle!$J$17+PM_Angle!$K$17*$C817+PM_Angle!$L$17*$B817</f>
      </c>
      <c r="AE817" s="12">
        <f>IF(AD817&gt;0,IF(AD817&lt;=eco,alpha*fck*(1-(1-AD817/eco)^n),alpha*fck),0)</f>
      </c>
      <c r="AF817" s="30">
        <f>PM_Angle!$J$18+PM_Angle!$K$18*$C817+PM_Angle!$L$18*$B817</f>
      </c>
      <c r="AG817" s="12">
        <f>IF(AF817&gt;0,IF(AF817&lt;=eco,alpha*fck*(1-(1-AF817/eco)^n),alpha*fck),0)</f>
      </c>
      <c r="AH817" s="30">
        <f>PM_Angle!$J$19+PM_Angle!$K$19*$C817+PM_Angle!$L$19*$B817</f>
      </c>
      <c r="AI817" s="12">
        <f>IF(AH817&gt;0,IF(AH817&lt;=eco,alpha*fck*(1-(1-AH817/eco)^n),alpha*fck),0)</f>
      </c>
      <c r="AJ817" s="30">
        <f>PM_Angle!$J$20+PM_Angle!$K$20*$C817+PM_Angle!$L$20*$B817</f>
      </c>
      <c r="AK817" s="12">
        <f>IF(AJ817&gt;0,IF(AJ817&lt;=eco,alpha*fck*(1-(1-AJ817/eco)^n),alpha*fck),0)</f>
      </c>
      <c r="AL817" s="30">
        <f>PM_Angle!$J$21+PM_Angle!$K$21*$C817+PM_Angle!$L$21*$B817</f>
      </c>
      <c r="AM817" s="12">
        <f>IF(AL817&gt;0,IF(AL817&lt;=eco,alpha*fck*(1-(1-AL817/eco)^n),alpha*fck),0)</f>
      </c>
      <c r="AN817" s="30">
        <f>PM_Angle!$J$22+PM_Angle!$K$22*$C817+PM_Angle!$L$22*$B817</f>
      </c>
      <c r="AO817" s="12">
        <f>IF(AN817&gt;0,IF(AN817&lt;=eco,alpha*fck*(1-(1-AN817/eco)^n),alpha*fck),0)</f>
      </c>
      <c r="AP817" s="30">
        <f>PM_Angle!$J$23+PM_Angle!$K$23*$C817+PM_Angle!$L$23*$B817</f>
      </c>
      <c r="AQ817" s="12">
        <f>IF(AP817&gt;0,IF(AP817&lt;=eco,alpha*fck*(1-(1-AP817/eco)^n),alpha*fck),0)</f>
      </c>
      <c r="AR817" s="30">
        <f>PM_Angle!$J$24+PM_Angle!$K$24*$C817+PM_Angle!$L$24*$B817</f>
      </c>
      <c r="AS817" s="12">
        <f>IF(AR817&gt;0,IF(AR817&lt;=eco,alpha*fck*(1-(1-AR817/eco)^n),alpha*fck),0)</f>
      </c>
      <c r="AT817" s="30">
        <f>PM_Angle!$J$25+PM_Angle!$K$25*$C817+PM_Angle!$L$25*$B817</f>
      </c>
      <c r="AU817" s="12">
        <f>IF(AT817&gt;0,IF(AT817&lt;=eco,alpha*fck*(1-(1-AT817/eco)^n),alpha*fck),0)</f>
      </c>
    </row>
    <row r="818" spans="1:47" x14ac:dyDescent="0.25">
      <c r="A818">
        <f>Mesh!A815</f>
      </c>
      <c r="B818" s="12">
        <f>Mesh!B815</f>
      </c>
      <c r="C818" s="12">
        <f>Mesh!C815</f>
      </c>
      <c r="D818" s="12">
        <f>Mesh!D815</f>
      </c>
      <c r="E818" s="30">
        <f>INDEX(St_e0,Det+1)+INDEX(St_kx,Det+1)*C818+INDEX(St_ky,Det+1)*B818</f>
      </c>
      <c r="F818" s="12">
        <f>IF(E818&gt;0,IF(E818&lt;=eco,alpha*fck*(1-(1-E818/eco)^n),alpha*fck),0)</f>
      </c>
      <c r="G818" s="11">
        <f>F818*D818</f>
      </c>
      <c r="H818" s="11">
        <f>G818*C818</f>
      </c>
      <c r="I818" s="11">
        <f>G818*B818</f>
      </c>
      <c r="J818" s="30">
        <f>PM_Angle!$J$7+PM_Angle!$K$7*$C818+PM_Angle!$L$7*$B818</f>
      </c>
      <c r="K818" s="12">
        <f>IF(J818&gt;0,IF(J818&lt;=eco,alpha*fck*(1-(1-J818/eco)^n),alpha*fck),0)</f>
      </c>
      <c r="L818" s="30">
        <f>PM_Angle!$J$8+PM_Angle!$K$8*$C818+PM_Angle!$L$8*$B818</f>
      </c>
      <c r="M818" s="12">
        <f>IF(L818&gt;0,IF(L818&lt;=eco,alpha*fck*(1-(1-L818/eco)^n),alpha*fck),0)</f>
      </c>
      <c r="N818" s="30">
        <f>PM_Angle!$J$9+PM_Angle!$K$9*$C818+PM_Angle!$L$9*$B818</f>
      </c>
      <c r="O818" s="12">
        <f>IF(N818&gt;0,IF(N818&lt;=eco,alpha*fck*(1-(1-N818/eco)^n),alpha*fck),0)</f>
      </c>
      <c r="P818" s="30">
        <f>PM_Angle!$J$10+PM_Angle!$K$10*$C818+PM_Angle!$L$10*$B818</f>
      </c>
      <c r="Q818" s="12">
        <f>IF(P818&gt;0,IF(P818&lt;=eco,alpha*fck*(1-(1-P818/eco)^n),alpha*fck),0)</f>
      </c>
      <c r="R818" s="30">
        <f>PM_Angle!$J$11+PM_Angle!$K$11*$C818+PM_Angle!$L$11*$B818</f>
      </c>
      <c r="S818" s="12">
        <f>IF(R818&gt;0,IF(R818&lt;=eco,alpha*fck*(1-(1-R818/eco)^n),alpha*fck),0)</f>
      </c>
      <c r="T818" s="30">
        <f>PM_Angle!$J$12+PM_Angle!$K$12*$C818+PM_Angle!$L$12*$B818</f>
      </c>
      <c r="U818" s="12">
        <f>IF(T818&gt;0,IF(T818&lt;=eco,alpha*fck*(1-(1-T818/eco)^n),alpha*fck),0)</f>
      </c>
      <c r="V818" s="30">
        <f>PM_Angle!$J$13+PM_Angle!$K$13*$C818+PM_Angle!$L$13*$B818</f>
      </c>
      <c r="W818" s="12">
        <f>IF(V818&gt;0,IF(V818&lt;=eco,alpha*fck*(1-(1-V818/eco)^n),alpha*fck),0)</f>
      </c>
      <c r="X818" s="30">
        <f>PM_Angle!$J$14+PM_Angle!$K$14*$C818+PM_Angle!$L$14*$B818</f>
      </c>
      <c r="Y818" s="12">
        <f>IF(X818&gt;0,IF(X818&lt;=eco,alpha*fck*(1-(1-X818/eco)^n),alpha*fck),0)</f>
      </c>
      <c r="Z818" s="30">
        <f>PM_Angle!$J$15+PM_Angle!$K$15*$C818+PM_Angle!$L$15*$B818</f>
      </c>
      <c r="AA818" s="12">
        <f>IF(Z818&gt;0,IF(Z818&lt;=eco,alpha*fck*(1-(1-Z818/eco)^n),alpha*fck),0)</f>
      </c>
      <c r="AB818" s="30">
        <f>PM_Angle!$J$16+PM_Angle!$K$16*$C818+PM_Angle!$L$16*$B818</f>
      </c>
      <c r="AC818" s="12">
        <f>IF(AB818&gt;0,IF(AB818&lt;=eco,alpha*fck*(1-(1-AB818/eco)^n),alpha*fck),0)</f>
      </c>
      <c r="AD818" s="30">
        <f>PM_Angle!$J$17+PM_Angle!$K$17*$C818+PM_Angle!$L$17*$B818</f>
      </c>
      <c r="AE818" s="12">
        <f>IF(AD818&gt;0,IF(AD818&lt;=eco,alpha*fck*(1-(1-AD818/eco)^n),alpha*fck),0)</f>
      </c>
      <c r="AF818" s="30">
        <f>PM_Angle!$J$18+PM_Angle!$K$18*$C818+PM_Angle!$L$18*$B818</f>
      </c>
      <c r="AG818" s="12">
        <f>IF(AF818&gt;0,IF(AF818&lt;=eco,alpha*fck*(1-(1-AF818/eco)^n),alpha*fck),0)</f>
      </c>
      <c r="AH818" s="30">
        <f>PM_Angle!$J$19+PM_Angle!$K$19*$C818+PM_Angle!$L$19*$B818</f>
      </c>
      <c r="AI818" s="12">
        <f>IF(AH818&gt;0,IF(AH818&lt;=eco,alpha*fck*(1-(1-AH818/eco)^n),alpha*fck),0)</f>
      </c>
      <c r="AJ818" s="30">
        <f>PM_Angle!$J$20+PM_Angle!$K$20*$C818+PM_Angle!$L$20*$B818</f>
      </c>
      <c r="AK818" s="12">
        <f>IF(AJ818&gt;0,IF(AJ818&lt;=eco,alpha*fck*(1-(1-AJ818/eco)^n),alpha*fck),0)</f>
      </c>
      <c r="AL818" s="30">
        <f>PM_Angle!$J$21+PM_Angle!$K$21*$C818+PM_Angle!$L$21*$B818</f>
      </c>
      <c r="AM818" s="12">
        <f>IF(AL818&gt;0,IF(AL818&lt;=eco,alpha*fck*(1-(1-AL818/eco)^n),alpha*fck),0)</f>
      </c>
      <c r="AN818" s="30">
        <f>PM_Angle!$J$22+PM_Angle!$K$22*$C818+PM_Angle!$L$22*$B818</f>
      </c>
      <c r="AO818" s="12">
        <f>IF(AN818&gt;0,IF(AN818&lt;=eco,alpha*fck*(1-(1-AN818/eco)^n),alpha*fck),0)</f>
      </c>
      <c r="AP818" s="30">
        <f>PM_Angle!$J$23+PM_Angle!$K$23*$C818+PM_Angle!$L$23*$B818</f>
      </c>
      <c r="AQ818" s="12">
        <f>IF(AP818&gt;0,IF(AP818&lt;=eco,alpha*fck*(1-(1-AP818/eco)^n),alpha*fck),0)</f>
      </c>
      <c r="AR818" s="30">
        <f>PM_Angle!$J$24+PM_Angle!$K$24*$C818+PM_Angle!$L$24*$B818</f>
      </c>
      <c r="AS818" s="12">
        <f>IF(AR818&gt;0,IF(AR818&lt;=eco,alpha*fck*(1-(1-AR818/eco)^n),alpha*fck),0)</f>
      </c>
      <c r="AT818" s="30">
        <f>PM_Angle!$J$25+PM_Angle!$K$25*$C818+PM_Angle!$L$25*$B818</f>
      </c>
      <c r="AU818" s="12">
        <f>IF(AT818&gt;0,IF(AT818&lt;=eco,alpha*fck*(1-(1-AT818/eco)^n),alpha*fck),0)</f>
      </c>
    </row>
    <row r="819" spans="1:47" x14ac:dyDescent="0.25">
      <c r="A819">
        <f>Mesh!A816</f>
      </c>
      <c r="B819" s="12">
        <f>Mesh!B816</f>
      </c>
      <c r="C819" s="12">
        <f>Mesh!C816</f>
      </c>
      <c r="D819" s="12">
        <f>Mesh!D816</f>
      </c>
      <c r="E819" s="30">
        <f>INDEX(St_e0,Det+1)+INDEX(St_kx,Det+1)*C819+INDEX(St_ky,Det+1)*B819</f>
      </c>
      <c r="F819" s="12">
        <f>IF(E819&gt;0,IF(E819&lt;=eco,alpha*fck*(1-(1-E819/eco)^n),alpha*fck),0)</f>
      </c>
      <c r="G819" s="11">
        <f>F819*D819</f>
      </c>
      <c r="H819" s="11">
        <f>G819*C819</f>
      </c>
      <c r="I819" s="11">
        <f>G819*B819</f>
      </c>
      <c r="J819" s="30">
        <f>PM_Angle!$J$7+PM_Angle!$K$7*$C819+PM_Angle!$L$7*$B819</f>
      </c>
      <c r="K819" s="12">
        <f>IF(J819&gt;0,IF(J819&lt;=eco,alpha*fck*(1-(1-J819/eco)^n),alpha*fck),0)</f>
      </c>
      <c r="L819" s="30">
        <f>PM_Angle!$J$8+PM_Angle!$K$8*$C819+PM_Angle!$L$8*$B819</f>
      </c>
      <c r="M819" s="12">
        <f>IF(L819&gt;0,IF(L819&lt;=eco,alpha*fck*(1-(1-L819/eco)^n),alpha*fck),0)</f>
      </c>
      <c r="N819" s="30">
        <f>PM_Angle!$J$9+PM_Angle!$K$9*$C819+PM_Angle!$L$9*$B819</f>
      </c>
      <c r="O819" s="12">
        <f>IF(N819&gt;0,IF(N819&lt;=eco,alpha*fck*(1-(1-N819/eco)^n),alpha*fck),0)</f>
      </c>
      <c r="P819" s="30">
        <f>PM_Angle!$J$10+PM_Angle!$K$10*$C819+PM_Angle!$L$10*$B819</f>
      </c>
      <c r="Q819" s="12">
        <f>IF(P819&gt;0,IF(P819&lt;=eco,alpha*fck*(1-(1-P819/eco)^n),alpha*fck),0)</f>
      </c>
      <c r="R819" s="30">
        <f>PM_Angle!$J$11+PM_Angle!$K$11*$C819+PM_Angle!$L$11*$B819</f>
      </c>
      <c r="S819" s="12">
        <f>IF(R819&gt;0,IF(R819&lt;=eco,alpha*fck*(1-(1-R819/eco)^n),alpha*fck),0)</f>
      </c>
      <c r="T819" s="30">
        <f>PM_Angle!$J$12+PM_Angle!$K$12*$C819+PM_Angle!$L$12*$B819</f>
      </c>
      <c r="U819" s="12">
        <f>IF(T819&gt;0,IF(T819&lt;=eco,alpha*fck*(1-(1-T819/eco)^n),alpha*fck),0)</f>
      </c>
      <c r="V819" s="30">
        <f>PM_Angle!$J$13+PM_Angle!$K$13*$C819+PM_Angle!$L$13*$B819</f>
      </c>
      <c r="W819" s="12">
        <f>IF(V819&gt;0,IF(V819&lt;=eco,alpha*fck*(1-(1-V819/eco)^n),alpha*fck),0)</f>
      </c>
      <c r="X819" s="30">
        <f>PM_Angle!$J$14+PM_Angle!$K$14*$C819+PM_Angle!$L$14*$B819</f>
      </c>
      <c r="Y819" s="12">
        <f>IF(X819&gt;0,IF(X819&lt;=eco,alpha*fck*(1-(1-X819/eco)^n),alpha*fck),0)</f>
      </c>
      <c r="Z819" s="30">
        <f>PM_Angle!$J$15+PM_Angle!$K$15*$C819+PM_Angle!$L$15*$B819</f>
      </c>
      <c r="AA819" s="12">
        <f>IF(Z819&gt;0,IF(Z819&lt;=eco,alpha*fck*(1-(1-Z819/eco)^n),alpha*fck),0)</f>
      </c>
      <c r="AB819" s="30">
        <f>PM_Angle!$J$16+PM_Angle!$K$16*$C819+PM_Angle!$L$16*$B819</f>
      </c>
      <c r="AC819" s="12">
        <f>IF(AB819&gt;0,IF(AB819&lt;=eco,alpha*fck*(1-(1-AB819/eco)^n),alpha*fck),0)</f>
      </c>
      <c r="AD819" s="30">
        <f>PM_Angle!$J$17+PM_Angle!$K$17*$C819+PM_Angle!$L$17*$B819</f>
      </c>
      <c r="AE819" s="12">
        <f>IF(AD819&gt;0,IF(AD819&lt;=eco,alpha*fck*(1-(1-AD819/eco)^n),alpha*fck),0)</f>
      </c>
      <c r="AF819" s="30">
        <f>PM_Angle!$J$18+PM_Angle!$K$18*$C819+PM_Angle!$L$18*$B819</f>
      </c>
      <c r="AG819" s="12">
        <f>IF(AF819&gt;0,IF(AF819&lt;=eco,alpha*fck*(1-(1-AF819/eco)^n),alpha*fck),0)</f>
      </c>
      <c r="AH819" s="30">
        <f>PM_Angle!$J$19+PM_Angle!$K$19*$C819+PM_Angle!$L$19*$B819</f>
      </c>
      <c r="AI819" s="12">
        <f>IF(AH819&gt;0,IF(AH819&lt;=eco,alpha*fck*(1-(1-AH819/eco)^n),alpha*fck),0)</f>
      </c>
      <c r="AJ819" s="30">
        <f>PM_Angle!$J$20+PM_Angle!$K$20*$C819+PM_Angle!$L$20*$B819</f>
      </c>
      <c r="AK819" s="12">
        <f>IF(AJ819&gt;0,IF(AJ819&lt;=eco,alpha*fck*(1-(1-AJ819/eco)^n),alpha*fck),0)</f>
      </c>
      <c r="AL819" s="30">
        <f>PM_Angle!$J$21+PM_Angle!$K$21*$C819+PM_Angle!$L$21*$B819</f>
      </c>
      <c r="AM819" s="12">
        <f>IF(AL819&gt;0,IF(AL819&lt;=eco,alpha*fck*(1-(1-AL819/eco)^n),alpha*fck),0)</f>
      </c>
      <c r="AN819" s="30">
        <f>PM_Angle!$J$22+PM_Angle!$K$22*$C819+PM_Angle!$L$22*$B819</f>
      </c>
      <c r="AO819" s="12">
        <f>IF(AN819&gt;0,IF(AN819&lt;=eco,alpha*fck*(1-(1-AN819/eco)^n),alpha*fck),0)</f>
      </c>
      <c r="AP819" s="30">
        <f>PM_Angle!$J$23+PM_Angle!$K$23*$C819+PM_Angle!$L$23*$B819</f>
      </c>
      <c r="AQ819" s="12">
        <f>IF(AP819&gt;0,IF(AP819&lt;=eco,alpha*fck*(1-(1-AP819/eco)^n),alpha*fck),0)</f>
      </c>
      <c r="AR819" s="30">
        <f>PM_Angle!$J$24+PM_Angle!$K$24*$C819+PM_Angle!$L$24*$B819</f>
      </c>
      <c r="AS819" s="12">
        <f>IF(AR819&gt;0,IF(AR819&lt;=eco,alpha*fck*(1-(1-AR819/eco)^n),alpha*fck),0)</f>
      </c>
      <c r="AT819" s="30">
        <f>PM_Angle!$J$25+PM_Angle!$K$25*$C819+PM_Angle!$L$25*$B819</f>
      </c>
      <c r="AU819" s="12">
        <f>IF(AT819&gt;0,IF(AT819&lt;=eco,alpha*fck*(1-(1-AT819/eco)^n),alpha*fck),0)</f>
      </c>
    </row>
    <row r="820" spans="1:47" x14ac:dyDescent="0.25">
      <c r="A820">
        <f>Mesh!A817</f>
      </c>
      <c r="B820" s="12">
        <f>Mesh!B817</f>
      </c>
      <c r="C820" s="12">
        <f>Mesh!C817</f>
      </c>
      <c r="D820" s="12">
        <f>Mesh!D817</f>
      </c>
      <c r="E820" s="30">
        <f>INDEX(St_e0,Det+1)+INDEX(St_kx,Det+1)*C820+INDEX(St_ky,Det+1)*B820</f>
      </c>
      <c r="F820" s="12">
        <f>IF(E820&gt;0,IF(E820&lt;=eco,alpha*fck*(1-(1-E820/eco)^n),alpha*fck),0)</f>
      </c>
      <c r="G820" s="11">
        <f>F820*D820</f>
      </c>
      <c r="H820" s="11">
        <f>G820*C820</f>
      </c>
      <c r="I820" s="11">
        <f>G820*B820</f>
      </c>
      <c r="J820" s="30">
        <f>PM_Angle!$J$7+PM_Angle!$K$7*$C820+PM_Angle!$L$7*$B820</f>
      </c>
      <c r="K820" s="12">
        <f>IF(J820&gt;0,IF(J820&lt;=eco,alpha*fck*(1-(1-J820/eco)^n),alpha*fck),0)</f>
      </c>
      <c r="L820" s="30">
        <f>PM_Angle!$J$8+PM_Angle!$K$8*$C820+PM_Angle!$L$8*$B820</f>
      </c>
      <c r="M820" s="12">
        <f>IF(L820&gt;0,IF(L820&lt;=eco,alpha*fck*(1-(1-L820/eco)^n),alpha*fck),0)</f>
      </c>
      <c r="N820" s="30">
        <f>PM_Angle!$J$9+PM_Angle!$K$9*$C820+PM_Angle!$L$9*$B820</f>
      </c>
      <c r="O820" s="12">
        <f>IF(N820&gt;0,IF(N820&lt;=eco,alpha*fck*(1-(1-N820/eco)^n),alpha*fck),0)</f>
      </c>
      <c r="P820" s="30">
        <f>PM_Angle!$J$10+PM_Angle!$K$10*$C820+PM_Angle!$L$10*$B820</f>
      </c>
      <c r="Q820" s="12">
        <f>IF(P820&gt;0,IF(P820&lt;=eco,alpha*fck*(1-(1-P820/eco)^n),alpha*fck),0)</f>
      </c>
      <c r="R820" s="30">
        <f>PM_Angle!$J$11+PM_Angle!$K$11*$C820+PM_Angle!$L$11*$B820</f>
      </c>
      <c r="S820" s="12">
        <f>IF(R820&gt;0,IF(R820&lt;=eco,alpha*fck*(1-(1-R820/eco)^n),alpha*fck),0)</f>
      </c>
      <c r="T820" s="30">
        <f>PM_Angle!$J$12+PM_Angle!$K$12*$C820+PM_Angle!$L$12*$B820</f>
      </c>
      <c r="U820" s="12">
        <f>IF(T820&gt;0,IF(T820&lt;=eco,alpha*fck*(1-(1-T820/eco)^n),alpha*fck),0)</f>
      </c>
      <c r="V820" s="30">
        <f>PM_Angle!$J$13+PM_Angle!$K$13*$C820+PM_Angle!$L$13*$B820</f>
      </c>
      <c r="W820" s="12">
        <f>IF(V820&gt;0,IF(V820&lt;=eco,alpha*fck*(1-(1-V820/eco)^n),alpha*fck),0)</f>
      </c>
      <c r="X820" s="30">
        <f>PM_Angle!$J$14+PM_Angle!$K$14*$C820+PM_Angle!$L$14*$B820</f>
      </c>
      <c r="Y820" s="12">
        <f>IF(X820&gt;0,IF(X820&lt;=eco,alpha*fck*(1-(1-X820/eco)^n),alpha*fck),0)</f>
      </c>
      <c r="Z820" s="30">
        <f>PM_Angle!$J$15+PM_Angle!$K$15*$C820+PM_Angle!$L$15*$B820</f>
      </c>
      <c r="AA820" s="12">
        <f>IF(Z820&gt;0,IF(Z820&lt;=eco,alpha*fck*(1-(1-Z820/eco)^n),alpha*fck),0)</f>
      </c>
      <c r="AB820" s="30">
        <f>PM_Angle!$J$16+PM_Angle!$K$16*$C820+PM_Angle!$L$16*$B820</f>
      </c>
      <c r="AC820" s="12">
        <f>IF(AB820&gt;0,IF(AB820&lt;=eco,alpha*fck*(1-(1-AB820/eco)^n),alpha*fck),0)</f>
      </c>
      <c r="AD820" s="30">
        <f>PM_Angle!$J$17+PM_Angle!$K$17*$C820+PM_Angle!$L$17*$B820</f>
      </c>
      <c r="AE820" s="12">
        <f>IF(AD820&gt;0,IF(AD820&lt;=eco,alpha*fck*(1-(1-AD820/eco)^n),alpha*fck),0)</f>
      </c>
      <c r="AF820" s="30">
        <f>PM_Angle!$J$18+PM_Angle!$K$18*$C820+PM_Angle!$L$18*$B820</f>
      </c>
      <c r="AG820" s="12">
        <f>IF(AF820&gt;0,IF(AF820&lt;=eco,alpha*fck*(1-(1-AF820/eco)^n),alpha*fck),0)</f>
      </c>
      <c r="AH820" s="30">
        <f>PM_Angle!$J$19+PM_Angle!$K$19*$C820+PM_Angle!$L$19*$B820</f>
      </c>
      <c r="AI820" s="12">
        <f>IF(AH820&gt;0,IF(AH820&lt;=eco,alpha*fck*(1-(1-AH820/eco)^n),alpha*fck),0)</f>
      </c>
      <c r="AJ820" s="30">
        <f>PM_Angle!$J$20+PM_Angle!$K$20*$C820+PM_Angle!$L$20*$B820</f>
      </c>
      <c r="AK820" s="12">
        <f>IF(AJ820&gt;0,IF(AJ820&lt;=eco,alpha*fck*(1-(1-AJ820/eco)^n),alpha*fck),0)</f>
      </c>
      <c r="AL820" s="30">
        <f>PM_Angle!$J$21+PM_Angle!$K$21*$C820+PM_Angle!$L$21*$B820</f>
      </c>
      <c r="AM820" s="12">
        <f>IF(AL820&gt;0,IF(AL820&lt;=eco,alpha*fck*(1-(1-AL820/eco)^n),alpha*fck),0)</f>
      </c>
      <c r="AN820" s="30">
        <f>PM_Angle!$J$22+PM_Angle!$K$22*$C820+PM_Angle!$L$22*$B820</f>
      </c>
      <c r="AO820" s="12">
        <f>IF(AN820&gt;0,IF(AN820&lt;=eco,alpha*fck*(1-(1-AN820/eco)^n),alpha*fck),0)</f>
      </c>
      <c r="AP820" s="30">
        <f>PM_Angle!$J$23+PM_Angle!$K$23*$C820+PM_Angle!$L$23*$B820</f>
      </c>
      <c r="AQ820" s="12">
        <f>IF(AP820&gt;0,IF(AP820&lt;=eco,alpha*fck*(1-(1-AP820/eco)^n),alpha*fck),0)</f>
      </c>
      <c r="AR820" s="30">
        <f>PM_Angle!$J$24+PM_Angle!$K$24*$C820+PM_Angle!$L$24*$B820</f>
      </c>
      <c r="AS820" s="12">
        <f>IF(AR820&gt;0,IF(AR820&lt;=eco,alpha*fck*(1-(1-AR820/eco)^n),alpha*fck),0)</f>
      </c>
      <c r="AT820" s="30">
        <f>PM_Angle!$J$25+PM_Angle!$K$25*$C820+PM_Angle!$L$25*$B820</f>
      </c>
      <c r="AU820" s="12">
        <f>IF(AT820&gt;0,IF(AT820&lt;=eco,alpha*fck*(1-(1-AT820/eco)^n),alpha*fck),0)</f>
      </c>
    </row>
    <row r="821" spans="1:47" x14ac:dyDescent="0.25">
      <c r="A821">
        <f>Mesh!A818</f>
      </c>
      <c r="B821" s="12">
        <f>Mesh!B818</f>
      </c>
      <c r="C821" s="12">
        <f>Mesh!C818</f>
      </c>
      <c r="D821" s="12">
        <f>Mesh!D818</f>
      </c>
      <c r="E821" s="30">
        <f>INDEX(St_e0,Det+1)+INDEX(St_kx,Det+1)*C821+INDEX(St_ky,Det+1)*B821</f>
      </c>
      <c r="F821" s="12">
        <f>IF(E821&gt;0,IF(E821&lt;=eco,alpha*fck*(1-(1-E821/eco)^n),alpha*fck),0)</f>
      </c>
      <c r="G821" s="11">
        <f>F821*D821</f>
      </c>
      <c r="H821" s="11">
        <f>G821*C821</f>
      </c>
      <c r="I821" s="11">
        <f>G821*B821</f>
      </c>
      <c r="J821" s="30">
        <f>PM_Angle!$J$7+PM_Angle!$K$7*$C821+PM_Angle!$L$7*$B821</f>
      </c>
      <c r="K821" s="12">
        <f>IF(J821&gt;0,IF(J821&lt;=eco,alpha*fck*(1-(1-J821/eco)^n),alpha*fck),0)</f>
      </c>
      <c r="L821" s="30">
        <f>PM_Angle!$J$8+PM_Angle!$K$8*$C821+PM_Angle!$L$8*$B821</f>
      </c>
      <c r="M821" s="12">
        <f>IF(L821&gt;0,IF(L821&lt;=eco,alpha*fck*(1-(1-L821/eco)^n),alpha*fck),0)</f>
      </c>
      <c r="N821" s="30">
        <f>PM_Angle!$J$9+PM_Angle!$K$9*$C821+PM_Angle!$L$9*$B821</f>
      </c>
      <c r="O821" s="12">
        <f>IF(N821&gt;0,IF(N821&lt;=eco,alpha*fck*(1-(1-N821/eco)^n),alpha*fck),0)</f>
      </c>
      <c r="P821" s="30">
        <f>PM_Angle!$J$10+PM_Angle!$K$10*$C821+PM_Angle!$L$10*$B821</f>
      </c>
      <c r="Q821" s="12">
        <f>IF(P821&gt;0,IF(P821&lt;=eco,alpha*fck*(1-(1-P821/eco)^n),alpha*fck),0)</f>
      </c>
      <c r="R821" s="30">
        <f>PM_Angle!$J$11+PM_Angle!$K$11*$C821+PM_Angle!$L$11*$B821</f>
      </c>
      <c r="S821" s="12">
        <f>IF(R821&gt;0,IF(R821&lt;=eco,alpha*fck*(1-(1-R821/eco)^n),alpha*fck),0)</f>
      </c>
      <c r="T821" s="30">
        <f>PM_Angle!$J$12+PM_Angle!$K$12*$C821+PM_Angle!$L$12*$B821</f>
      </c>
      <c r="U821" s="12">
        <f>IF(T821&gt;0,IF(T821&lt;=eco,alpha*fck*(1-(1-T821/eco)^n),alpha*fck),0)</f>
      </c>
      <c r="V821" s="30">
        <f>PM_Angle!$J$13+PM_Angle!$K$13*$C821+PM_Angle!$L$13*$B821</f>
      </c>
      <c r="W821" s="12">
        <f>IF(V821&gt;0,IF(V821&lt;=eco,alpha*fck*(1-(1-V821/eco)^n),alpha*fck),0)</f>
      </c>
      <c r="X821" s="30">
        <f>PM_Angle!$J$14+PM_Angle!$K$14*$C821+PM_Angle!$L$14*$B821</f>
      </c>
      <c r="Y821" s="12">
        <f>IF(X821&gt;0,IF(X821&lt;=eco,alpha*fck*(1-(1-X821/eco)^n),alpha*fck),0)</f>
      </c>
      <c r="Z821" s="30">
        <f>PM_Angle!$J$15+PM_Angle!$K$15*$C821+PM_Angle!$L$15*$B821</f>
      </c>
      <c r="AA821" s="12">
        <f>IF(Z821&gt;0,IF(Z821&lt;=eco,alpha*fck*(1-(1-Z821/eco)^n),alpha*fck),0)</f>
      </c>
      <c r="AB821" s="30">
        <f>PM_Angle!$J$16+PM_Angle!$K$16*$C821+PM_Angle!$L$16*$B821</f>
      </c>
      <c r="AC821" s="12">
        <f>IF(AB821&gt;0,IF(AB821&lt;=eco,alpha*fck*(1-(1-AB821/eco)^n),alpha*fck),0)</f>
      </c>
      <c r="AD821" s="30">
        <f>PM_Angle!$J$17+PM_Angle!$K$17*$C821+PM_Angle!$L$17*$B821</f>
      </c>
      <c r="AE821" s="12">
        <f>IF(AD821&gt;0,IF(AD821&lt;=eco,alpha*fck*(1-(1-AD821/eco)^n),alpha*fck),0)</f>
      </c>
      <c r="AF821" s="30">
        <f>PM_Angle!$J$18+PM_Angle!$K$18*$C821+PM_Angle!$L$18*$B821</f>
      </c>
      <c r="AG821" s="12">
        <f>IF(AF821&gt;0,IF(AF821&lt;=eco,alpha*fck*(1-(1-AF821/eco)^n),alpha*fck),0)</f>
      </c>
      <c r="AH821" s="30">
        <f>PM_Angle!$J$19+PM_Angle!$K$19*$C821+PM_Angle!$L$19*$B821</f>
      </c>
      <c r="AI821" s="12">
        <f>IF(AH821&gt;0,IF(AH821&lt;=eco,alpha*fck*(1-(1-AH821/eco)^n),alpha*fck),0)</f>
      </c>
      <c r="AJ821" s="30">
        <f>PM_Angle!$J$20+PM_Angle!$K$20*$C821+PM_Angle!$L$20*$B821</f>
      </c>
      <c r="AK821" s="12">
        <f>IF(AJ821&gt;0,IF(AJ821&lt;=eco,alpha*fck*(1-(1-AJ821/eco)^n),alpha*fck),0)</f>
      </c>
      <c r="AL821" s="30">
        <f>PM_Angle!$J$21+PM_Angle!$K$21*$C821+PM_Angle!$L$21*$B821</f>
      </c>
      <c r="AM821" s="12">
        <f>IF(AL821&gt;0,IF(AL821&lt;=eco,alpha*fck*(1-(1-AL821/eco)^n),alpha*fck),0)</f>
      </c>
      <c r="AN821" s="30">
        <f>PM_Angle!$J$22+PM_Angle!$K$22*$C821+PM_Angle!$L$22*$B821</f>
      </c>
      <c r="AO821" s="12">
        <f>IF(AN821&gt;0,IF(AN821&lt;=eco,alpha*fck*(1-(1-AN821/eco)^n),alpha*fck),0)</f>
      </c>
      <c r="AP821" s="30">
        <f>PM_Angle!$J$23+PM_Angle!$K$23*$C821+PM_Angle!$L$23*$B821</f>
      </c>
      <c r="AQ821" s="12">
        <f>IF(AP821&gt;0,IF(AP821&lt;=eco,alpha*fck*(1-(1-AP821/eco)^n),alpha*fck),0)</f>
      </c>
      <c r="AR821" s="30">
        <f>PM_Angle!$J$24+PM_Angle!$K$24*$C821+PM_Angle!$L$24*$B821</f>
      </c>
      <c r="AS821" s="12">
        <f>IF(AR821&gt;0,IF(AR821&lt;=eco,alpha*fck*(1-(1-AR821/eco)^n),alpha*fck),0)</f>
      </c>
      <c r="AT821" s="30">
        <f>PM_Angle!$J$25+PM_Angle!$K$25*$C821+PM_Angle!$L$25*$B821</f>
      </c>
      <c r="AU821" s="12">
        <f>IF(AT821&gt;0,IF(AT821&lt;=eco,alpha*fck*(1-(1-AT821/eco)^n),alpha*fck),0)</f>
      </c>
    </row>
    <row r="822" spans="1:47" x14ac:dyDescent="0.25">
      <c r="A822">
        <f>Mesh!A819</f>
      </c>
      <c r="B822" s="12">
        <f>Mesh!B819</f>
      </c>
      <c r="C822" s="12">
        <f>Mesh!C819</f>
      </c>
      <c r="D822" s="12">
        <f>Mesh!D819</f>
      </c>
      <c r="E822" s="30">
        <f>INDEX(St_e0,Det+1)+INDEX(St_kx,Det+1)*C822+INDEX(St_ky,Det+1)*B822</f>
      </c>
      <c r="F822" s="12">
        <f>IF(E822&gt;0,IF(E822&lt;=eco,alpha*fck*(1-(1-E822/eco)^n),alpha*fck),0)</f>
      </c>
      <c r="G822" s="11">
        <f>F822*D822</f>
      </c>
      <c r="H822" s="11">
        <f>G822*C822</f>
      </c>
      <c r="I822" s="11">
        <f>G822*B822</f>
      </c>
      <c r="J822" s="30">
        <f>PM_Angle!$J$7+PM_Angle!$K$7*$C822+PM_Angle!$L$7*$B822</f>
      </c>
      <c r="K822" s="12">
        <f>IF(J822&gt;0,IF(J822&lt;=eco,alpha*fck*(1-(1-J822/eco)^n),alpha*fck),0)</f>
      </c>
      <c r="L822" s="30">
        <f>PM_Angle!$J$8+PM_Angle!$K$8*$C822+PM_Angle!$L$8*$B822</f>
      </c>
      <c r="M822" s="12">
        <f>IF(L822&gt;0,IF(L822&lt;=eco,alpha*fck*(1-(1-L822/eco)^n),alpha*fck),0)</f>
      </c>
      <c r="N822" s="30">
        <f>PM_Angle!$J$9+PM_Angle!$K$9*$C822+PM_Angle!$L$9*$B822</f>
      </c>
      <c r="O822" s="12">
        <f>IF(N822&gt;0,IF(N822&lt;=eco,alpha*fck*(1-(1-N822/eco)^n),alpha*fck),0)</f>
      </c>
      <c r="P822" s="30">
        <f>PM_Angle!$J$10+PM_Angle!$K$10*$C822+PM_Angle!$L$10*$B822</f>
      </c>
      <c r="Q822" s="12">
        <f>IF(P822&gt;0,IF(P822&lt;=eco,alpha*fck*(1-(1-P822/eco)^n),alpha*fck),0)</f>
      </c>
      <c r="R822" s="30">
        <f>PM_Angle!$J$11+PM_Angle!$K$11*$C822+PM_Angle!$L$11*$B822</f>
      </c>
      <c r="S822" s="12">
        <f>IF(R822&gt;0,IF(R822&lt;=eco,alpha*fck*(1-(1-R822/eco)^n),alpha*fck),0)</f>
      </c>
      <c r="T822" s="30">
        <f>PM_Angle!$J$12+PM_Angle!$K$12*$C822+PM_Angle!$L$12*$B822</f>
      </c>
      <c r="U822" s="12">
        <f>IF(T822&gt;0,IF(T822&lt;=eco,alpha*fck*(1-(1-T822/eco)^n),alpha*fck),0)</f>
      </c>
      <c r="V822" s="30">
        <f>PM_Angle!$J$13+PM_Angle!$K$13*$C822+PM_Angle!$L$13*$B822</f>
      </c>
      <c r="W822" s="12">
        <f>IF(V822&gt;0,IF(V822&lt;=eco,alpha*fck*(1-(1-V822/eco)^n),alpha*fck),0)</f>
      </c>
      <c r="X822" s="30">
        <f>PM_Angle!$J$14+PM_Angle!$K$14*$C822+PM_Angle!$L$14*$B822</f>
      </c>
      <c r="Y822" s="12">
        <f>IF(X822&gt;0,IF(X822&lt;=eco,alpha*fck*(1-(1-X822/eco)^n),alpha*fck),0)</f>
      </c>
      <c r="Z822" s="30">
        <f>PM_Angle!$J$15+PM_Angle!$K$15*$C822+PM_Angle!$L$15*$B822</f>
      </c>
      <c r="AA822" s="12">
        <f>IF(Z822&gt;0,IF(Z822&lt;=eco,alpha*fck*(1-(1-Z822/eco)^n),alpha*fck),0)</f>
      </c>
      <c r="AB822" s="30">
        <f>PM_Angle!$J$16+PM_Angle!$K$16*$C822+PM_Angle!$L$16*$B822</f>
      </c>
      <c r="AC822" s="12">
        <f>IF(AB822&gt;0,IF(AB822&lt;=eco,alpha*fck*(1-(1-AB822/eco)^n),alpha*fck),0)</f>
      </c>
      <c r="AD822" s="30">
        <f>PM_Angle!$J$17+PM_Angle!$K$17*$C822+PM_Angle!$L$17*$B822</f>
      </c>
      <c r="AE822" s="12">
        <f>IF(AD822&gt;0,IF(AD822&lt;=eco,alpha*fck*(1-(1-AD822/eco)^n),alpha*fck),0)</f>
      </c>
      <c r="AF822" s="30">
        <f>PM_Angle!$J$18+PM_Angle!$K$18*$C822+PM_Angle!$L$18*$B822</f>
      </c>
      <c r="AG822" s="12">
        <f>IF(AF822&gt;0,IF(AF822&lt;=eco,alpha*fck*(1-(1-AF822/eco)^n),alpha*fck),0)</f>
      </c>
      <c r="AH822" s="30">
        <f>PM_Angle!$J$19+PM_Angle!$K$19*$C822+PM_Angle!$L$19*$B822</f>
      </c>
      <c r="AI822" s="12">
        <f>IF(AH822&gt;0,IF(AH822&lt;=eco,alpha*fck*(1-(1-AH822/eco)^n),alpha*fck),0)</f>
      </c>
      <c r="AJ822" s="30">
        <f>PM_Angle!$J$20+PM_Angle!$K$20*$C822+PM_Angle!$L$20*$B822</f>
      </c>
      <c r="AK822" s="12">
        <f>IF(AJ822&gt;0,IF(AJ822&lt;=eco,alpha*fck*(1-(1-AJ822/eco)^n),alpha*fck),0)</f>
      </c>
      <c r="AL822" s="30">
        <f>PM_Angle!$J$21+PM_Angle!$K$21*$C822+PM_Angle!$L$21*$B822</f>
      </c>
      <c r="AM822" s="12">
        <f>IF(AL822&gt;0,IF(AL822&lt;=eco,alpha*fck*(1-(1-AL822/eco)^n),alpha*fck),0)</f>
      </c>
      <c r="AN822" s="30">
        <f>PM_Angle!$J$22+PM_Angle!$K$22*$C822+PM_Angle!$L$22*$B822</f>
      </c>
      <c r="AO822" s="12">
        <f>IF(AN822&gt;0,IF(AN822&lt;=eco,alpha*fck*(1-(1-AN822/eco)^n),alpha*fck),0)</f>
      </c>
      <c r="AP822" s="30">
        <f>PM_Angle!$J$23+PM_Angle!$K$23*$C822+PM_Angle!$L$23*$B822</f>
      </c>
      <c r="AQ822" s="12">
        <f>IF(AP822&gt;0,IF(AP822&lt;=eco,alpha*fck*(1-(1-AP822/eco)^n),alpha*fck),0)</f>
      </c>
      <c r="AR822" s="30">
        <f>PM_Angle!$J$24+PM_Angle!$K$24*$C822+PM_Angle!$L$24*$B822</f>
      </c>
      <c r="AS822" s="12">
        <f>IF(AR822&gt;0,IF(AR822&lt;=eco,alpha*fck*(1-(1-AR822/eco)^n),alpha*fck),0)</f>
      </c>
      <c r="AT822" s="30">
        <f>PM_Angle!$J$25+PM_Angle!$K$25*$C822+PM_Angle!$L$25*$B822</f>
      </c>
      <c r="AU822" s="12">
        <f>IF(AT822&gt;0,IF(AT822&lt;=eco,alpha*fck*(1-(1-AT822/eco)^n),alpha*fck),0)</f>
      </c>
    </row>
    <row r="823" spans="1:47" x14ac:dyDescent="0.25">
      <c r="A823">
        <f>Mesh!A820</f>
      </c>
      <c r="B823" s="12">
        <f>Mesh!B820</f>
      </c>
      <c r="C823" s="12">
        <f>Mesh!C820</f>
      </c>
      <c r="D823" s="12">
        <f>Mesh!D820</f>
      </c>
      <c r="E823" s="30">
        <f>INDEX(St_e0,Det+1)+INDEX(St_kx,Det+1)*C823+INDEX(St_ky,Det+1)*B823</f>
      </c>
      <c r="F823" s="12">
        <f>IF(E823&gt;0,IF(E823&lt;=eco,alpha*fck*(1-(1-E823/eco)^n),alpha*fck),0)</f>
      </c>
      <c r="G823" s="11">
        <f>F823*D823</f>
      </c>
      <c r="H823" s="11">
        <f>G823*C823</f>
      </c>
      <c r="I823" s="11">
        <f>G823*B823</f>
      </c>
      <c r="J823" s="30">
        <f>PM_Angle!$J$7+PM_Angle!$K$7*$C823+PM_Angle!$L$7*$B823</f>
      </c>
      <c r="K823" s="12">
        <f>IF(J823&gt;0,IF(J823&lt;=eco,alpha*fck*(1-(1-J823/eco)^n),alpha*fck),0)</f>
      </c>
      <c r="L823" s="30">
        <f>PM_Angle!$J$8+PM_Angle!$K$8*$C823+PM_Angle!$L$8*$B823</f>
      </c>
      <c r="M823" s="12">
        <f>IF(L823&gt;0,IF(L823&lt;=eco,alpha*fck*(1-(1-L823/eco)^n),alpha*fck),0)</f>
      </c>
      <c r="N823" s="30">
        <f>PM_Angle!$J$9+PM_Angle!$K$9*$C823+PM_Angle!$L$9*$B823</f>
      </c>
      <c r="O823" s="12">
        <f>IF(N823&gt;0,IF(N823&lt;=eco,alpha*fck*(1-(1-N823/eco)^n),alpha*fck),0)</f>
      </c>
      <c r="P823" s="30">
        <f>PM_Angle!$J$10+PM_Angle!$K$10*$C823+PM_Angle!$L$10*$B823</f>
      </c>
      <c r="Q823" s="12">
        <f>IF(P823&gt;0,IF(P823&lt;=eco,alpha*fck*(1-(1-P823/eco)^n),alpha*fck),0)</f>
      </c>
      <c r="R823" s="30">
        <f>PM_Angle!$J$11+PM_Angle!$K$11*$C823+PM_Angle!$L$11*$B823</f>
      </c>
      <c r="S823" s="12">
        <f>IF(R823&gt;0,IF(R823&lt;=eco,alpha*fck*(1-(1-R823/eco)^n),alpha*fck),0)</f>
      </c>
      <c r="T823" s="30">
        <f>PM_Angle!$J$12+PM_Angle!$K$12*$C823+PM_Angle!$L$12*$B823</f>
      </c>
      <c r="U823" s="12">
        <f>IF(T823&gt;0,IF(T823&lt;=eco,alpha*fck*(1-(1-T823/eco)^n),alpha*fck),0)</f>
      </c>
      <c r="V823" s="30">
        <f>PM_Angle!$J$13+PM_Angle!$K$13*$C823+PM_Angle!$L$13*$B823</f>
      </c>
      <c r="W823" s="12">
        <f>IF(V823&gt;0,IF(V823&lt;=eco,alpha*fck*(1-(1-V823/eco)^n),alpha*fck),0)</f>
      </c>
      <c r="X823" s="30">
        <f>PM_Angle!$J$14+PM_Angle!$K$14*$C823+PM_Angle!$L$14*$B823</f>
      </c>
      <c r="Y823" s="12">
        <f>IF(X823&gt;0,IF(X823&lt;=eco,alpha*fck*(1-(1-X823/eco)^n),alpha*fck),0)</f>
      </c>
      <c r="Z823" s="30">
        <f>PM_Angle!$J$15+PM_Angle!$K$15*$C823+PM_Angle!$L$15*$B823</f>
      </c>
      <c r="AA823" s="12">
        <f>IF(Z823&gt;0,IF(Z823&lt;=eco,alpha*fck*(1-(1-Z823/eco)^n),alpha*fck),0)</f>
      </c>
      <c r="AB823" s="30">
        <f>PM_Angle!$J$16+PM_Angle!$K$16*$C823+PM_Angle!$L$16*$B823</f>
      </c>
      <c r="AC823" s="12">
        <f>IF(AB823&gt;0,IF(AB823&lt;=eco,alpha*fck*(1-(1-AB823/eco)^n),alpha*fck),0)</f>
      </c>
      <c r="AD823" s="30">
        <f>PM_Angle!$J$17+PM_Angle!$K$17*$C823+PM_Angle!$L$17*$B823</f>
      </c>
      <c r="AE823" s="12">
        <f>IF(AD823&gt;0,IF(AD823&lt;=eco,alpha*fck*(1-(1-AD823/eco)^n),alpha*fck),0)</f>
      </c>
      <c r="AF823" s="30">
        <f>PM_Angle!$J$18+PM_Angle!$K$18*$C823+PM_Angle!$L$18*$B823</f>
      </c>
      <c r="AG823" s="12">
        <f>IF(AF823&gt;0,IF(AF823&lt;=eco,alpha*fck*(1-(1-AF823/eco)^n),alpha*fck),0)</f>
      </c>
      <c r="AH823" s="30">
        <f>PM_Angle!$J$19+PM_Angle!$K$19*$C823+PM_Angle!$L$19*$B823</f>
      </c>
      <c r="AI823" s="12">
        <f>IF(AH823&gt;0,IF(AH823&lt;=eco,alpha*fck*(1-(1-AH823/eco)^n),alpha*fck),0)</f>
      </c>
      <c r="AJ823" s="30">
        <f>PM_Angle!$J$20+PM_Angle!$K$20*$C823+PM_Angle!$L$20*$B823</f>
      </c>
      <c r="AK823" s="12">
        <f>IF(AJ823&gt;0,IF(AJ823&lt;=eco,alpha*fck*(1-(1-AJ823/eco)^n),alpha*fck),0)</f>
      </c>
      <c r="AL823" s="30">
        <f>PM_Angle!$J$21+PM_Angle!$K$21*$C823+PM_Angle!$L$21*$B823</f>
      </c>
      <c r="AM823" s="12">
        <f>IF(AL823&gt;0,IF(AL823&lt;=eco,alpha*fck*(1-(1-AL823/eco)^n),alpha*fck),0)</f>
      </c>
      <c r="AN823" s="30">
        <f>PM_Angle!$J$22+PM_Angle!$K$22*$C823+PM_Angle!$L$22*$B823</f>
      </c>
      <c r="AO823" s="12">
        <f>IF(AN823&gt;0,IF(AN823&lt;=eco,alpha*fck*(1-(1-AN823/eco)^n),alpha*fck),0)</f>
      </c>
      <c r="AP823" s="30">
        <f>PM_Angle!$J$23+PM_Angle!$K$23*$C823+PM_Angle!$L$23*$B823</f>
      </c>
      <c r="AQ823" s="12">
        <f>IF(AP823&gt;0,IF(AP823&lt;=eco,alpha*fck*(1-(1-AP823/eco)^n),alpha*fck),0)</f>
      </c>
      <c r="AR823" s="30">
        <f>PM_Angle!$J$24+PM_Angle!$K$24*$C823+PM_Angle!$L$24*$B823</f>
      </c>
      <c r="AS823" s="12">
        <f>IF(AR823&gt;0,IF(AR823&lt;=eco,alpha*fck*(1-(1-AR823/eco)^n),alpha*fck),0)</f>
      </c>
      <c r="AT823" s="30">
        <f>PM_Angle!$J$25+PM_Angle!$K$25*$C823+PM_Angle!$L$25*$B823</f>
      </c>
      <c r="AU823" s="12">
        <f>IF(AT823&gt;0,IF(AT823&lt;=eco,alpha*fck*(1-(1-AT823/eco)^n),alpha*fck),0)</f>
      </c>
    </row>
    <row r="824" spans="1:47" x14ac:dyDescent="0.25">
      <c r="A824">
        <f>Mesh!A821</f>
      </c>
      <c r="B824" s="12">
        <f>Mesh!B821</f>
      </c>
      <c r="C824" s="12">
        <f>Mesh!C821</f>
      </c>
      <c r="D824" s="12">
        <f>Mesh!D821</f>
      </c>
      <c r="E824" s="30">
        <f>INDEX(St_e0,Det+1)+INDEX(St_kx,Det+1)*C824+INDEX(St_ky,Det+1)*B824</f>
      </c>
      <c r="F824" s="12">
        <f>IF(E824&gt;0,IF(E824&lt;=eco,alpha*fck*(1-(1-E824/eco)^n),alpha*fck),0)</f>
      </c>
      <c r="G824" s="11">
        <f>F824*D824</f>
      </c>
      <c r="H824" s="11">
        <f>G824*C824</f>
      </c>
      <c r="I824" s="11">
        <f>G824*B824</f>
      </c>
      <c r="J824" s="30">
        <f>PM_Angle!$J$7+PM_Angle!$K$7*$C824+PM_Angle!$L$7*$B824</f>
      </c>
      <c r="K824" s="12">
        <f>IF(J824&gt;0,IF(J824&lt;=eco,alpha*fck*(1-(1-J824/eco)^n),alpha*fck),0)</f>
      </c>
      <c r="L824" s="30">
        <f>PM_Angle!$J$8+PM_Angle!$K$8*$C824+PM_Angle!$L$8*$B824</f>
      </c>
      <c r="M824" s="12">
        <f>IF(L824&gt;0,IF(L824&lt;=eco,alpha*fck*(1-(1-L824/eco)^n),alpha*fck),0)</f>
      </c>
      <c r="N824" s="30">
        <f>PM_Angle!$J$9+PM_Angle!$K$9*$C824+PM_Angle!$L$9*$B824</f>
      </c>
      <c r="O824" s="12">
        <f>IF(N824&gt;0,IF(N824&lt;=eco,alpha*fck*(1-(1-N824/eco)^n),alpha*fck),0)</f>
      </c>
      <c r="P824" s="30">
        <f>PM_Angle!$J$10+PM_Angle!$K$10*$C824+PM_Angle!$L$10*$B824</f>
      </c>
      <c r="Q824" s="12">
        <f>IF(P824&gt;0,IF(P824&lt;=eco,alpha*fck*(1-(1-P824/eco)^n),alpha*fck),0)</f>
      </c>
      <c r="R824" s="30">
        <f>PM_Angle!$J$11+PM_Angle!$K$11*$C824+PM_Angle!$L$11*$B824</f>
      </c>
      <c r="S824" s="12">
        <f>IF(R824&gt;0,IF(R824&lt;=eco,alpha*fck*(1-(1-R824/eco)^n),alpha*fck),0)</f>
      </c>
      <c r="T824" s="30">
        <f>PM_Angle!$J$12+PM_Angle!$K$12*$C824+PM_Angle!$L$12*$B824</f>
      </c>
      <c r="U824" s="12">
        <f>IF(T824&gt;0,IF(T824&lt;=eco,alpha*fck*(1-(1-T824/eco)^n),alpha*fck),0)</f>
      </c>
      <c r="V824" s="30">
        <f>PM_Angle!$J$13+PM_Angle!$K$13*$C824+PM_Angle!$L$13*$B824</f>
      </c>
      <c r="W824" s="12">
        <f>IF(V824&gt;0,IF(V824&lt;=eco,alpha*fck*(1-(1-V824/eco)^n),alpha*fck),0)</f>
      </c>
      <c r="X824" s="30">
        <f>PM_Angle!$J$14+PM_Angle!$K$14*$C824+PM_Angle!$L$14*$B824</f>
      </c>
      <c r="Y824" s="12">
        <f>IF(X824&gt;0,IF(X824&lt;=eco,alpha*fck*(1-(1-X824/eco)^n),alpha*fck),0)</f>
      </c>
      <c r="Z824" s="30">
        <f>PM_Angle!$J$15+PM_Angle!$K$15*$C824+PM_Angle!$L$15*$B824</f>
      </c>
      <c r="AA824" s="12">
        <f>IF(Z824&gt;0,IF(Z824&lt;=eco,alpha*fck*(1-(1-Z824/eco)^n),alpha*fck),0)</f>
      </c>
      <c r="AB824" s="30">
        <f>PM_Angle!$J$16+PM_Angle!$K$16*$C824+PM_Angle!$L$16*$B824</f>
      </c>
      <c r="AC824" s="12">
        <f>IF(AB824&gt;0,IF(AB824&lt;=eco,alpha*fck*(1-(1-AB824/eco)^n),alpha*fck),0)</f>
      </c>
      <c r="AD824" s="30">
        <f>PM_Angle!$J$17+PM_Angle!$K$17*$C824+PM_Angle!$L$17*$B824</f>
      </c>
      <c r="AE824" s="12">
        <f>IF(AD824&gt;0,IF(AD824&lt;=eco,alpha*fck*(1-(1-AD824/eco)^n),alpha*fck),0)</f>
      </c>
      <c r="AF824" s="30">
        <f>PM_Angle!$J$18+PM_Angle!$K$18*$C824+PM_Angle!$L$18*$B824</f>
      </c>
      <c r="AG824" s="12">
        <f>IF(AF824&gt;0,IF(AF824&lt;=eco,alpha*fck*(1-(1-AF824/eco)^n),alpha*fck),0)</f>
      </c>
      <c r="AH824" s="30">
        <f>PM_Angle!$J$19+PM_Angle!$K$19*$C824+PM_Angle!$L$19*$B824</f>
      </c>
      <c r="AI824" s="12">
        <f>IF(AH824&gt;0,IF(AH824&lt;=eco,alpha*fck*(1-(1-AH824/eco)^n),alpha*fck),0)</f>
      </c>
      <c r="AJ824" s="30">
        <f>PM_Angle!$J$20+PM_Angle!$K$20*$C824+PM_Angle!$L$20*$B824</f>
      </c>
      <c r="AK824" s="12">
        <f>IF(AJ824&gt;0,IF(AJ824&lt;=eco,alpha*fck*(1-(1-AJ824/eco)^n),alpha*fck),0)</f>
      </c>
      <c r="AL824" s="30">
        <f>PM_Angle!$J$21+PM_Angle!$K$21*$C824+PM_Angle!$L$21*$B824</f>
      </c>
      <c r="AM824" s="12">
        <f>IF(AL824&gt;0,IF(AL824&lt;=eco,alpha*fck*(1-(1-AL824/eco)^n),alpha*fck),0)</f>
      </c>
      <c r="AN824" s="30">
        <f>PM_Angle!$J$22+PM_Angle!$K$22*$C824+PM_Angle!$L$22*$B824</f>
      </c>
      <c r="AO824" s="12">
        <f>IF(AN824&gt;0,IF(AN824&lt;=eco,alpha*fck*(1-(1-AN824/eco)^n),alpha*fck),0)</f>
      </c>
      <c r="AP824" s="30">
        <f>PM_Angle!$J$23+PM_Angle!$K$23*$C824+PM_Angle!$L$23*$B824</f>
      </c>
      <c r="AQ824" s="12">
        <f>IF(AP824&gt;0,IF(AP824&lt;=eco,alpha*fck*(1-(1-AP824/eco)^n),alpha*fck),0)</f>
      </c>
      <c r="AR824" s="30">
        <f>PM_Angle!$J$24+PM_Angle!$K$24*$C824+PM_Angle!$L$24*$B824</f>
      </c>
      <c r="AS824" s="12">
        <f>IF(AR824&gt;0,IF(AR824&lt;=eco,alpha*fck*(1-(1-AR824/eco)^n),alpha*fck),0)</f>
      </c>
      <c r="AT824" s="30">
        <f>PM_Angle!$J$25+PM_Angle!$K$25*$C824+PM_Angle!$L$25*$B824</f>
      </c>
      <c r="AU824" s="12">
        <f>IF(AT824&gt;0,IF(AT824&lt;=eco,alpha*fck*(1-(1-AT824/eco)^n),alpha*fck),0)</f>
      </c>
    </row>
    <row r="825" spans="1:47" x14ac:dyDescent="0.25">
      <c r="A825">
        <f>Mesh!A822</f>
      </c>
      <c r="B825" s="12">
        <f>Mesh!B822</f>
      </c>
      <c r="C825" s="12">
        <f>Mesh!C822</f>
      </c>
      <c r="D825" s="12">
        <f>Mesh!D822</f>
      </c>
      <c r="E825" s="30">
        <f>INDEX(St_e0,Det+1)+INDEX(St_kx,Det+1)*C825+INDEX(St_ky,Det+1)*B825</f>
      </c>
      <c r="F825" s="12">
        <f>IF(E825&gt;0,IF(E825&lt;=eco,alpha*fck*(1-(1-E825/eco)^n),alpha*fck),0)</f>
      </c>
      <c r="G825" s="11">
        <f>F825*D825</f>
      </c>
      <c r="H825" s="11">
        <f>G825*C825</f>
      </c>
      <c r="I825" s="11">
        <f>G825*B825</f>
      </c>
      <c r="J825" s="30">
        <f>PM_Angle!$J$7+PM_Angle!$K$7*$C825+PM_Angle!$L$7*$B825</f>
      </c>
      <c r="K825" s="12">
        <f>IF(J825&gt;0,IF(J825&lt;=eco,alpha*fck*(1-(1-J825/eco)^n),alpha*fck),0)</f>
      </c>
      <c r="L825" s="30">
        <f>PM_Angle!$J$8+PM_Angle!$K$8*$C825+PM_Angle!$L$8*$B825</f>
      </c>
      <c r="M825" s="12">
        <f>IF(L825&gt;0,IF(L825&lt;=eco,alpha*fck*(1-(1-L825/eco)^n),alpha*fck),0)</f>
      </c>
      <c r="N825" s="30">
        <f>PM_Angle!$J$9+PM_Angle!$K$9*$C825+PM_Angle!$L$9*$B825</f>
      </c>
      <c r="O825" s="12">
        <f>IF(N825&gt;0,IF(N825&lt;=eco,alpha*fck*(1-(1-N825/eco)^n),alpha*fck),0)</f>
      </c>
      <c r="P825" s="30">
        <f>PM_Angle!$J$10+PM_Angle!$K$10*$C825+PM_Angle!$L$10*$B825</f>
      </c>
      <c r="Q825" s="12">
        <f>IF(P825&gt;0,IF(P825&lt;=eco,alpha*fck*(1-(1-P825/eco)^n),alpha*fck),0)</f>
      </c>
      <c r="R825" s="30">
        <f>PM_Angle!$J$11+PM_Angle!$K$11*$C825+PM_Angle!$L$11*$B825</f>
      </c>
      <c r="S825" s="12">
        <f>IF(R825&gt;0,IF(R825&lt;=eco,alpha*fck*(1-(1-R825/eco)^n),alpha*fck),0)</f>
      </c>
      <c r="T825" s="30">
        <f>PM_Angle!$J$12+PM_Angle!$K$12*$C825+PM_Angle!$L$12*$B825</f>
      </c>
      <c r="U825" s="12">
        <f>IF(T825&gt;0,IF(T825&lt;=eco,alpha*fck*(1-(1-T825/eco)^n),alpha*fck),0)</f>
      </c>
      <c r="V825" s="30">
        <f>PM_Angle!$J$13+PM_Angle!$K$13*$C825+PM_Angle!$L$13*$B825</f>
      </c>
      <c r="W825" s="12">
        <f>IF(V825&gt;0,IF(V825&lt;=eco,alpha*fck*(1-(1-V825/eco)^n),alpha*fck),0)</f>
      </c>
      <c r="X825" s="30">
        <f>PM_Angle!$J$14+PM_Angle!$K$14*$C825+PM_Angle!$L$14*$B825</f>
      </c>
      <c r="Y825" s="12">
        <f>IF(X825&gt;0,IF(X825&lt;=eco,alpha*fck*(1-(1-X825/eco)^n),alpha*fck),0)</f>
      </c>
      <c r="Z825" s="30">
        <f>PM_Angle!$J$15+PM_Angle!$K$15*$C825+PM_Angle!$L$15*$B825</f>
      </c>
      <c r="AA825" s="12">
        <f>IF(Z825&gt;0,IF(Z825&lt;=eco,alpha*fck*(1-(1-Z825/eco)^n),alpha*fck),0)</f>
      </c>
      <c r="AB825" s="30">
        <f>PM_Angle!$J$16+PM_Angle!$K$16*$C825+PM_Angle!$L$16*$B825</f>
      </c>
      <c r="AC825" s="12">
        <f>IF(AB825&gt;0,IF(AB825&lt;=eco,alpha*fck*(1-(1-AB825/eco)^n),alpha*fck),0)</f>
      </c>
      <c r="AD825" s="30">
        <f>PM_Angle!$J$17+PM_Angle!$K$17*$C825+PM_Angle!$L$17*$B825</f>
      </c>
      <c r="AE825" s="12">
        <f>IF(AD825&gt;0,IF(AD825&lt;=eco,alpha*fck*(1-(1-AD825/eco)^n),alpha*fck),0)</f>
      </c>
      <c r="AF825" s="30">
        <f>PM_Angle!$J$18+PM_Angle!$K$18*$C825+PM_Angle!$L$18*$B825</f>
      </c>
      <c r="AG825" s="12">
        <f>IF(AF825&gt;0,IF(AF825&lt;=eco,alpha*fck*(1-(1-AF825/eco)^n),alpha*fck),0)</f>
      </c>
      <c r="AH825" s="30">
        <f>PM_Angle!$J$19+PM_Angle!$K$19*$C825+PM_Angle!$L$19*$B825</f>
      </c>
      <c r="AI825" s="12">
        <f>IF(AH825&gt;0,IF(AH825&lt;=eco,alpha*fck*(1-(1-AH825/eco)^n),alpha*fck),0)</f>
      </c>
      <c r="AJ825" s="30">
        <f>PM_Angle!$J$20+PM_Angle!$K$20*$C825+PM_Angle!$L$20*$B825</f>
      </c>
      <c r="AK825" s="12">
        <f>IF(AJ825&gt;0,IF(AJ825&lt;=eco,alpha*fck*(1-(1-AJ825/eco)^n),alpha*fck),0)</f>
      </c>
      <c r="AL825" s="30">
        <f>PM_Angle!$J$21+PM_Angle!$K$21*$C825+PM_Angle!$L$21*$B825</f>
      </c>
      <c r="AM825" s="12">
        <f>IF(AL825&gt;0,IF(AL825&lt;=eco,alpha*fck*(1-(1-AL825/eco)^n),alpha*fck),0)</f>
      </c>
      <c r="AN825" s="30">
        <f>PM_Angle!$J$22+PM_Angle!$K$22*$C825+PM_Angle!$L$22*$B825</f>
      </c>
      <c r="AO825" s="12">
        <f>IF(AN825&gt;0,IF(AN825&lt;=eco,alpha*fck*(1-(1-AN825/eco)^n),alpha*fck),0)</f>
      </c>
      <c r="AP825" s="30">
        <f>PM_Angle!$J$23+PM_Angle!$K$23*$C825+PM_Angle!$L$23*$B825</f>
      </c>
      <c r="AQ825" s="12">
        <f>IF(AP825&gt;0,IF(AP825&lt;=eco,alpha*fck*(1-(1-AP825/eco)^n),alpha*fck),0)</f>
      </c>
      <c r="AR825" s="30">
        <f>PM_Angle!$J$24+PM_Angle!$K$24*$C825+PM_Angle!$L$24*$B825</f>
      </c>
      <c r="AS825" s="12">
        <f>IF(AR825&gt;0,IF(AR825&lt;=eco,alpha*fck*(1-(1-AR825/eco)^n),alpha*fck),0)</f>
      </c>
      <c r="AT825" s="30">
        <f>PM_Angle!$J$25+PM_Angle!$K$25*$C825+PM_Angle!$L$25*$B825</f>
      </c>
      <c r="AU825" s="12">
        <f>IF(AT825&gt;0,IF(AT825&lt;=eco,alpha*fck*(1-(1-AT825/eco)^n),alpha*fck),0)</f>
      </c>
    </row>
    <row r="826" spans="1:47" x14ac:dyDescent="0.25">
      <c r="A826">
        <f>Mesh!A823</f>
      </c>
      <c r="B826" s="12">
        <f>Mesh!B823</f>
      </c>
      <c r="C826" s="12">
        <f>Mesh!C823</f>
      </c>
      <c r="D826" s="12">
        <f>Mesh!D823</f>
      </c>
      <c r="E826" s="30">
        <f>INDEX(St_e0,Det+1)+INDEX(St_kx,Det+1)*C826+INDEX(St_ky,Det+1)*B826</f>
      </c>
      <c r="F826" s="12">
        <f>IF(E826&gt;0,IF(E826&lt;=eco,alpha*fck*(1-(1-E826/eco)^n),alpha*fck),0)</f>
      </c>
      <c r="G826" s="11">
        <f>F826*D826</f>
      </c>
      <c r="H826" s="11">
        <f>G826*C826</f>
      </c>
      <c r="I826" s="11">
        <f>G826*B826</f>
      </c>
      <c r="J826" s="30">
        <f>PM_Angle!$J$7+PM_Angle!$K$7*$C826+PM_Angle!$L$7*$B826</f>
      </c>
      <c r="K826" s="12">
        <f>IF(J826&gt;0,IF(J826&lt;=eco,alpha*fck*(1-(1-J826/eco)^n),alpha*fck),0)</f>
      </c>
      <c r="L826" s="30">
        <f>PM_Angle!$J$8+PM_Angle!$K$8*$C826+PM_Angle!$L$8*$B826</f>
      </c>
      <c r="M826" s="12">
        <f>IF(L826&gt;0,IF(L826&lt;=eco,alpha*fck*(1-(1-L826/eco)^n),alpha*fck),0)</f>
      </c>
      <c r="N826" s="30">
        <f>PM_Angle!$J$9+PM_Angle!$K$9*$C826+PM_Angle!$L$9*$B826</f>
      </c>
      <c r="O826" s="12">
        <f>IF(N826&gt;0,IF(N826&lt;=eco,alpha*fck*(1-(1-N826/eco)^n),alpha*fck),0)</f>
      </c>
      <c r="P826" s="30">
        <f>PM_Angle!$J$10+PM_Angle!$K$10*$C826+PM_Angle!$L$10*$B826</f>
      </c>
      <c r="Q826" s="12">
        <f>IF(P826&gt;0,IF(P826&lt;=eco,alpha*fck*(1-(1-P826/eco)^n),alpha*fck),0)</f>
      </c>
      <c r="R826" s="30">
        <f>PM_Angle!$J$11+PM_Angle!$K$11*$C826+PM_Angle!$L$11*$B826</f>
      </c>
      <c r="S826" s="12">
        <f>IF(R826&gt;0,IF(R826&lt;=eco,alpha*fck*(1-(1-R826/eco)^n),alpha*fck),0)</f>
      </c>
      <c r="T826" s="30">
        <f>PM_Angle!$J$12+PM_Angle!$K$12*$C826+PM_Angle!$L$12*$B826</f>
      </c>
      <c r="U826" s="12">
        <f>IF(T826&gt;0,IF(T826&lt;=eco,alpha*fck*(1-(1-T826/eco)^n),alpha*fck),0)</f>
      </c>
      <c r="V826" s="30">
        <f>PM_Angle!$J$13+PM_Angle!$K$13*$C826+PM_Angle!$L$13*$B826</f>
      </c>
      <c r="W826" s="12">
        <f>IF(V826&gt;0,IF(V826&lt;=eco,alpha*fck*(1-(1-V826/eco)^n),alpha*fck),0)</f>
      </c>
      <c r="X826" s="30">
        <f>PM_Angle!$J$14+PM_Angle!$K$14*$C826+PM_Angle!$L$14*$B826</f>
      </c>
      <c r="Y826" s="12">
        <f>IF(X826&gt;0,IF(X826&lt;=eco,alpha*fck*(1-(1-X826/eco)^n),alpha*fck),0)</f>
      </c>
      <c r="Z826" s="30">
        <f>PM_Angle!$J$15+PM_Angle!$K$15*$C826+PM_Angle!$L$15*$B826</f>
      </c>
      <c r="AA826" s="12">
        <f>IF(Z826&gt;0,IF(Z826&lt;=eco,alpha*fck*(1-(1-Z826/eco)^n),alpha*fck),0)</f>
      </c>
      <c r="AB826" s="30">
        <f>PM_Angle!$J$16+PM_Angle!$K$16*$C826+PM_Angle!$L$16*$B826</f>
      </c>
      <c r="AC826" s="12">
        <f>IF(AB826&gt;0,IF(AB826&lt;=eco,alpha*fck*(1-(1-AB826/eco)^n),alpha*fck),0)</f>
      </c>
      <c r="AD826" s="30">
        <f>PM_Angle!$J$17+PM_Angle!$K$17*$C826+PM_Angle!$L$17*$B826</f>
      </c>
      <c r="AE826" s="12">
        <f>IF(AD826&gt;0,IF(AD826&lt;=eco,alpha*fck*(1-(1-AD826/eco)^n),alpha*fck),0)</f>
      </c>
      <c r="AF826" s="30">
        <f>PM_Angle!$J$18+PM_Angle!$K$18*$C826+PM_Angle!$L$18*$B826</f>
      </c>
      <c r="AG826" s="12">
        <f>IF(AF826&gt;0,IF(AF826&lt;=eco,alpha*fck*(1-(1-AF826/eco)^n),alpha*fck),0)</f>
      </c>
      <c r="AH826" s="30">
        <f>PM_Angle!$J$19+PM_Angle!$K$19*$C826+PM_Angle!$L$19*$B826</f>
      </c>
      <c r="AI826" s="12">
        <f>IF(AH826&gt;0,IF(AH826&lt;=eco,alpha*fck*(1-(1-AH826/eco)^n),alpha*fck),0)</f>
      </c>
      <c r="AJ826" s="30">
        <f>PM_Angle!$J$20+PM_Angle!$K$20*$C826+PM_Angle!$L$20*$B826</f>
      </c>
      <c r="AK826" s="12">
        <f>IF(AJ826&gt;0,IF(AJ826&lt;=eco,alpha*fck*(1-(1-AJ826/eco)^n),alpha*fck),0)</f>
      </c>
      <c r="AL826" s="30">
        <f>PM_Angle!$J$21+PM_Angle!$K$21*$C826+PM_Angle!$L$21*$B826</f>
      </c>
      <c r="AM826" s="12">
        <f>IF(AL826&gt;0,IF(AL826&lt;=eco,alpha*fck*(1-(1-AL826/eco)^n),alpha*fck),0)</f>
      </c>
      <c r="AN826" s="30">
        <f>PM_Angle!$J$22+PM_Angle!$K$22*$C826+PM_Angle!$L$22*$B826</f>
      </c>
      <c r="AO826" s="12">
        <f>IF(AN826&gt;0,IF(AN826&lt;=eco,alpha*fck*(1-(1-AN826/eco)^n),alpha*fck),0)</f>
      </c>
      <c r="AP826" s="30">
        <f>PM_Angle!$J$23+PM_Angle!$K$23*$C826+PM_Angle!$L$23*$B826</f>
      </c>
      <c r="AQ826" s="12">
        <f>IF(AP826&gt;0,IF(AP826&lt;=eco,alpha*fck*(1-(1-AP826/eco)^n),alpha*fck),0)</f>
      </c>
      <c r="AR826" s="30">
        <f>PM_Angle!$J$24+PM_Angle!$K$24*$C826+PM_Angle!$L$24*$B826</f>
      </c>
      <c r="AS826" s="12">
        <f>IF(AR826&gt;0,IF(AR826&lt;=eco,alpha*fck*(1-(1-AR826/eco)^n),alpha*fck),0)</f>
      </c>
      <c r="AT826" s="30">
        <f>PM_Angle!$J$25+PM_Angle!$K$25*$C826+PM_Angle!$L$25*$B826</f>
      </c>
      <c r="AU826" s="12">
        <f>IF(AT826&gt;0,IF(AT826&lt;=eco,alpha*fck*(1-(1-AT826/eco)^n),alpha*fck),0)</f>
      </c>
    </row>
    <row r="827" spans="1:47" x14ac:dyDescent="0.25">
      <c r="A827">
        <f>Mesh!A824</f>
      </c>
      <c r="B827" s="12">
        <f>Mesh!B824</f>
      </c>
      <c r="C827" s="12">
        <f>Mesh!C824</f>
      </c>
      <c r="D827" s="12">
        <f>Mesh!D824</f>
      </c>
      <c r="E827" s="30">
        <f>INDEX(St_e0,Det+1)+INDEX(St_kx,Det+1)*C827+INDEX(St_ky,Det+1)*B827</f>
      </c>
      <c r="F827" s="12">
        <f>IF(E827&gt;0,IF(E827&lt;=eco,alpha*fck*(1-(1-E827/eco)^n),alpha*fck),0)</f>
      </c>
      <c r="G827" s="11">
        <f>F827*D827</f>
      </c>
      <c r="H827" s="11">
        <f>G827*C827</f>
      </c>
      <c r="I827" s="11">
        <f>G827*B827</f>
      </c>
      <c r="J827" s="30">
        <f>PM_Angle!$J$7+PM_Angle!$K$7*$C827+PM_Angle!$L$7*$B827</f>
      </c>
      <c r="K827" s="12">
        <f>IF(J827&gt;0,IF(J827&lt;=eco,alpha*fck*(1-(1-J827/eco)^n),alpha*fck),0)</f>
      </c>
      <c r="L827" s="30">
        <f>PM_Angle!$J$8+PM_Angle!$K$8*$C827+PM_Angle!$L$8*$B827</f>
      </c>
      <c r="M827" s="12">
        <f>IF(L827&gt;0,IF(L827&lt;=eco,alpha*fck*(1-(1-L827/eco)^n),alpha*fck),0)</f>
      </c>
      <c r="N827" s="30">
        <f>PM_Angle!$J$9+PM_Angle!$K$9*$C827+PM_Angle!$L$9*$B827</f>
      </c>
      <c r="O827" s="12">
        <f>IF(N827&gt;0,IF(N827&lt;=eco,alpha*fck*(1-(1-N827/eco)^n),alpha*fck),0)</f>
      </c>
      <c r="P827" s="30">
        <f>PM_Angle!$J$10+PM_Angle!$K$10*$C827+PM_Angle!$L$10*$B827</f>
      </c>
      <c r="Q827" s="12">
        <f>IF(P827&gt;0,IF(P827&lt;=eco,alpha*fck*(1-(1-P827/eco)^n),alpha*fck),0)</f>
      </c>
      <c r="R827" s="30">
        <f>PM_Angle!$J$11+PM_Angle!$K$11*$C827+PM_Angle!$L$11*$B827</f>
      </c>
      <c r="S827" s="12">
        <f>IF(R827&gt;0,IF(R827&lt;=eco,alpha*fck*(1-(1-R827/eco)^n),alpha*fck),0)</f>
      </c>
      <c r="T827" s="30">
        <f>PM_Angle!$J$12+PM_Angle!$K$12*$C827+PM_Angle!$L$12*$B827</f>
      </c>
      <c r="U827" s="12">
        <f>IF(T827&gt;0,IF(T827&lt;=eco,alpha*fck*(1-(1-T827/eco)^n),alpha*fck),0)</f>
      </c>
      <c r="V827" s="30">
        <f>PM_Angle!$J$13+PM_Angle!$K$13*$C827+PM_Angle!$L$13*$B827</f>
      </c>
      <c r="W827" s="12">
        <f>IF(V827&gt;0,IF(V827&lt;=eco,alpha*fck*(1-(1-V827/eco)^n),alpha*fck),0)</f>
      </c>
      <c r="X827" s="30">
        <f>PM_Angle!$J$14+PM_Angle!$K$14*$C827+PM_Angle!$L$14*$B827</f>
      </c>
      <c r="Y827" s="12">
        <f>IF(X827&gt;0,IF(X827&lt;=eco,alpha*fck*(1-(1-X827/eco)^n),alpha*fck),0)</f>
      </c>
      <c r="Z827" s="30">
        <f>PM_Angle!$J$15+PM_Angle!$K$15*$C827+PM_Angle!$L$15*$B827</f>
      </c>
      <c r="AA827" s="12">
        <f>IF(Z827&gt;0,IF(Z827&lt;=eco,alpha*fck*(1-(1-Z827/eco)^n),alpha*fck),0)</f>
      </c>
      <c r="AB827" s="30">
        <f>PM_Angle!$J$16+PM_Angle!$K$16*$C827+PM_Angle!$L$16*$B827</f>
      </c>
      <c r="AC827" s="12">
        <f>IF(AB827&gt;0,IF(AB827&lt;=eco,alpha*fck*(1-(1-AB827/eco)^n),alpha*fck),0)</f>
      </c>
      <c r="AD827" s="30">
        <f>PM_Angle!$J$17+PM_Angle!$K$17*$C827+PM_Angle!$L$17*$B827</f>
      </c>
      <c r="AE827" s="12">
        <f>IF(AD827&gt;0,IF(AD827&lt;=eco,alpha*fck*(1-(1-AD827/eco)^n),alpha*fck),0)</f>
      </c>
      <c r="AF827" s="30">
        <f>PM_Angle!$J$18+PM_Angle!$K$18*$C827+PM_Angle!$L$18*$B827</f>
      </c>
      <c r="AG827" s="12">
        <f>IF(AF827&gt;0,IF(AF827&lt;=eco,alpha*fck*(1-(1-AF827/eco)^n),alpha*fck),0)</f>
      </c>
      <c r="AH827" s="30">
        <f>PM_Angle!$J$19+PM_Angle!$K$19*$C827+PM_Angle!$L$19*$B827</f>
      </c>
      <c r="AI827" s="12">
        <f>IF(AH827&gt;0,IF(AH827&lt;=eco,alpha*fck*(1-(1-AH827/eco)^n),alpha*fck),0)</f>
      </c>
      <c r="AJ827" s="30">
        <f>PM_Angle!$J$20+PM_Angle!$K$20*$C827+PM_Angle!$L$20*$B827</f>
      </c>
      <c r="AK827" s="12">
        <f>IF(AJ827&gt;0,IF(AJ827&lt;=eco,alpha*fck*(1-(1-AJ827/eco)^n),alpha*fck),0)</f>
      </c>
      <c r="AL827" s="30">
        <f>PM_Angle!$J$21+PM_Angle!$K$21*$C827+PM_Angle!$L$21*$B827</f>
      </c>
      <c r="AM827" s="12">
        <f>IF(AL827&gt;0,IF(AL827&lt;=eco,alpha*fck*(1-(1-AL827/eco)^n),alpha*fck),0)</f>
      </c>
      <c r="AN827" s="30">
        <f>PM_Angle!$J$22+PM_Angle!$K$22*$C827+PM_Angle!$L$22*$B827</f>
      </c>
      <c r="AO827" s="12">
        <f>IF(AN827&gt;0,IF(AN827&lt;=eco,alpha*fck*(1-(1-AN827/eco)^n),alpha*fck),0)</f>
      </c>
      <c r="AP827" s="30">
        <f>PM_Angle!$J$23+PM_Angle!$K$23*$C827+PM_Angle!$L$23*$B827</f>
      </c>
      <c r="AQ827" s="12">
        <f>IF(AP827&gt;0,IF(AP827&lt;=eco,alpha*fck*(1-(1-AP827/eco)^n),alpha*fck),0)</f>
      </c>
      <c r="AR827" s="30">
        <f>PM_Angle!$J$24+PM_Angle!$K$24*$C827+PM_Angle!$L$24*$B827</f>
      </c>
      <c r="AS827" s="12">
        <f>IF(AR827&gt;0,IF(AR827&lt;=eco,alpha*fck*(1-(1-AR827/eco)^n),alpha*fck),0)</f>
      </c>
      <c r="AT827" s="30">
        <f>PM_Angle!$J$25+PM_Angle!$K$25*$C827+PM_Angle!$L$25*$B827</f>
      </c>
      <c r="AU827" s="12">
        <f>IF(AT827&gt;0,IF(AT827&lt;=eco,alpha*fck*(1-(1-AT827/eco)^n),alpha*fck),0)</f>
      </c>
    </row>
    <row r="828" spans="1:47" x14ac:dyDescent="0.25">
      <c r="A828">
        <f>Mesh!A825</f>
      </c>
      <c r="B828" s="12">
        <f>Mesh!B825</f>
      </c>
      <c r="C828" s="12">
        <f>Mesh!C825</f>
      </c>
      <c r="D828" s="12">
        <f>Mesh!D825</f>
      </c>
      <c r="E828" s="30">
        <f>INDEX(St_e0,Det+1)+INDEX(St_kx,Det+1)*C828+INDEX(St_ky,Det+1)*B828</f>
      </c>
      <c r="F828" s="12">
        <f>IF(E828&gt;0,IF(E828&lt;=eco,alpha*fck*(1-(1-E828/eco)^n),alpha*fck),0)</f>
      </c>
      <c r="G828" s="11">
        <f>F828*D828</f>
      </c>
      <c r="H828" s="11">
        <f>G828*C828</f>
      </c>
      <c r="I828" s="11">
        <f>G828*B828</f>
      </c>
      <c r="J828" s="30">
        <f>PM_Angle!$J$7+PM_Angle!$K$7*$C828+PM_Angle!$L$7*$B828</f>
      </c>
      <c r="K828" s="12">
        <f>IF(J828&gt;0,IF(J828&lt;=eco,alpha*fck*(1-(1-J828/eco)^n),alpha*fck),0)</f>
      </c>
      <c r="L828" s="30">
        <f>PM_Angle!$J$8+PM_Angle!$K$8*$C828+PM_Angle!$L$8*$B828</f>
      </c>
      <c r="M828" s="12">
        <f>IF(L828&gt;0,IF(L828&lt;=eco,alpha*fck*(1-(1-L828/eco)^n),alpha*fck),0)</f>
      </c>
      <c r="N828" s="30">
        <f>PM_Angle!$J$9+PM_Angle!$K$9*$C828+PM_Angle!$L$9*$B828</f>
      </c>
      <c r="O828" s="12">
        <f>IF(N828&gt;0,IF(N828&lt;=eco,alpha*fck*(1-(1-N828/eco)^n),alpha*fck),0)</f>
      </c>
      <c r="P828" s="30">
        <f>PM_Angle!$J$10+PM_Angle!$K$10*$C828+PM_Angle!$L$10*$B828</f>
      </c>
      <c r="Q828" s="12">
        <f>IF(P828&gt;0,IF(P828&lt;=eco,alpha*fck*(1-(1-P828/eco)^n),alpha*fck),0)</f>
      </c>
      <c r="R828" s="30">
        <f>PM_Angle!$J$11+PM_Angle!$K$11*$C828+PM_Angle!$L$11*$B828</f>
      </c>
      <c r="S828" s="12">
        <f>IF(R828&gt;0,IF(R828&lt;=eco,alpha*fck*(1-(1-R828/eco)^n),alpha*fck),0)</f>
      </c>
      <c r="T828" s="30">
        <f>PM_Angle!$J$12+PM_Angle!$K$12*$C828+PM_Angle!$L$12*$B828</f>
      </c>
      <c r="U828" s="12">
        <f>IF(T828&gt;0,IF(T828&lt;=eco,alpha*fck*(1-(1-T828/eco)^n),alpha*fck),0)</f>
      </c>
      <c r="V828" s="30">
        <f>PM_Angle!$J$13+PM_Angle!$K$13*$C828+PM_Angle!$L$13*$B828</f>
      </c>
      <c r="W828" s="12">
        <f>IF(V828&gt;0,IF(V828&lt;=eco,alpha*fck*(1-(1-V828/eco)^n),alpha*fck),0)</f>
      </c>
      <c r="X828" s="30">
        <f>PM_Angle!$J$14+PM_Angle!$K$14*$C828+PM_Angle!$L$14*$B828</f>
      </c>
      <c r="Y828" s="12">
        <f>IF(X828&gt;0,IF(X828&lt;=eco,alpha*fck*(1-(1-X828/eco)^n),alpha*fck),0)</f>
      </c>
      <c r="Z828" s="30">
        <f>PM_Angle!$J$15+PM_Angle!$K$15*$C828+PM_Angle!$L$15*$B828</f>
      </c>
      <c r="AA828" s="12">
        <f>IF(Z828&gt;0,IF(Z828&lt;=eco,alpha*fck*(1-(1-Z828/eco)^n),alpha*fck),0)</f>
      </c>
      <c r="AB828" s="30">
        <f>PM_Angle!$J$16+PM_Angle!$K$16*$C828+PM_Angle!$L$16*$B828</f>
      </c>
      <c r="AC828" s="12">
        <f>IF(AB828&gt;0,IF(AB828&lt;=eco,alpha*fck*(1-(1-AB828/eco)^n),alpha*fck),0)</f>
      </c>
      <c r="AD828" s="30">
        <f>PM_Angle!$J$17+PM_Angle!$K$17*$C828+PM_Angle!$L$17*$B828</f>
      </c>
      <c r="AE828" s="12">
        <f>IF(AD828&gt;0,IF(AD828&lt;=eco,alpha*fck*(1-(1-AD828/eco)^n),alpha*fck),0)</f>
      </c>
      <c r="AF828" s="30">
        <f>PM_Angle!$J$18+PM_Angle!$K$18*$C828+PM_Angle!$L$18*$B828</f>
      </c>
      <c r="AG828" s="12">
        <f>IF(AF828&gt;0,IF(AF828&lt;=eco,alpha*fck*(1-(1-AF828/eco)^n),alpha*fck),0)</f>
      </c>
      <c r="AH828" s="30">
        <f>PM_Angle!$J$19+PM_Angle!$K$19*$C828+PM_Angle!$L$19*$B828</f>
      </c>
      <c r="AI828" s="12">
        <f>IF(AH828&gt;0,IF(AH828&lt;=eco,alpha*fck*(1-(1-AH828/eco)^n),alpha*fck),0)</f>
      </c>
      <c r="AJ828" s="30">
        <f>PM_Angle!$J$20+PM_Angle!$K$20*$C828+PM_Angle!$L$20*$B828</f>
      </c>
      <c r="AK828" s="12">
        <f>IF(AJ828&gt;0,IF(AJ828&lt;=eco,alpha*fck*(1-(1-AJ828/eco)^n),alpha*fck),0)</f>
      </c>
      <c r="AL828" s="30">
        <f>PM_Angle!$J$21+PM_Angle!$K$21*$C828+PM_Angle!$L$21*$B828</f>
      </c>
      <c r="AM828" s="12">
        <f>IF(AL828&gt;0,IF(AL828&lt;=eco,alpha*fck*(1-(1-AL828/eco)^n),alpha*fck),0)</f>
      </c>
      <c r="AN828" s="30">
        <f>PM_Angle!$J$22+PM_Angle!$K$22*$C828+PM_Angle!$L$22*$B828</f>
      </c>
      <c r="AO828" s="12">
        <f>IF(AN828&gt;0,IF(AN828&lt;=eco,alpha*fck*(1-(1-AN828/eco)^n),alpha*fck),0)</f>
      </c>
      <c r="AP828" s="30">
        <f>PM_Angle!$J$23+PM_Angle!$K$23*$C828+PM_Angle!$L$23*$B828</f>
      </c>
      <c r="AQ828" s="12">
        <f>IF(AP828&gt;0,IF(AP828&lt;=eco,alpha*fck*(1-(1-AP828/eco)^n),alpha*fck),0)</f>
      </c>
      <c r="AR828" s="30">
        <f>PM_Angle!$J$24+PM_Angle!$K$24*$C828+PM_Angle!$L$24*$B828</f>
      </c>
      <c r="AS828" s="12">
        <f>IF(AR828&gt;0,IF(AR828&lt;=eco,alpha*fck*(1-(1-AR828/eco)^n),alpha*fck),0)</f>
      </c>
      <c r="AT828" s="30">
        <f>PM_Angle!$J$25+PM_Angle!$K$25*$C828+PM_Angle!$L$25*$B828</f>
      </c>
      <c r="AU828" s="12">
        <f>IF(AT828&gt;0,IF(AT828&lt;=eco,alpha*fck*(1-(1-AT828/eco)^n),alpha*fck),0)</f>
      </c>
    </row>
    <row r="829" spans="1:47" x14ac:dyDescent="0.25">
      <c r="A829">
        <f>Mesh!A826</f>
      </c>
      <c r="B829" s="12">
        <f>Mesh!B826</f>
      </c>
      <c r="C829" s="12">
        <f>Mesh!C826</f>
      </c>
      <c r="D829" s="12">
        <f>Mesh!D826</f>
      </c>
      <c r="E829" s="30">
        <f>INDEX(St_e0,Det+1)+INDEX(St_kx,Det+1)*C829+INDEX(St_ky,Det+1)*B829</f>
      </c>
      <c r="F829" s="12">
        <f>IF(E829&gt;0,IF(E829&lt;=eco,alpha*fck*(1-(1-E829/eco)^n),alpha*fck),0)</f>
      </c>
      <c r="G829" s="11">
        <f>F829*D829</f>
      </c>
      <c r="H829" s="11">
        <f>G829*C829</f>
      </c>
      <c r="I829" s="11">
        <f>G829*B829</f>
      </c>
      <c r="J829" s="30">
        <f>PM_Angle!$J$7+PM_Angle!$K$7*$C829+PM_Angle!$L$7*$B829</f>
      </c>
      <c r="K829" s="12">
        <f>IF(J829&gt;0,IF(J829&lt;=eco,alpha*fck*(1-(1-J829/eco)^n),alpha*fck),0)</f>
      </c>
      <c r="L829" s="30">
        <f>PM_Angle!$J$8+PM_Angle!$K$8*$C829+PM_Angle!$L$8*$B829</f>
      </c>
      <c r="M829" s="12">
        <f>IF(L829&gt;0,IF(L829&lt;=eco,alpha*fck*(1-(1-L829/eco)^n),alpha*fck),0)</f>
      </c>
      <c r="N829" s="30">
        <f>PM_Angle!$J$9+PM_Angle!$K$9*$C829+PM_Angle!$L$9*$B829</f>
      </c>
      <c r="O829" s="12">
        <f>IF(N829&gt;0,IF(N829&lt;=eco,alpha*fck*(1-(1-N829/eco)^n),alpha*fck),0)</f>
      </c>
      <c r="P829" s="30">
        <f>PM_Angle!$J$10+PM_Angle!$K$10*$C829+PM_Angle!$L$10*$B829</f>
      </c>
      <c r="Q829" s="12">
        <f>IF(P829&gt;0,IF(P829&lt;=eco,alpha*fck*(1-(1-P829/eco)^n),alpha*fck),0)</f>
      </c>
      <c r="R829" s="30">
        <f>PM_Angle!$J$11+PM_Angle!$K$11*$C829+PM_Angle!$L$11*$B829</f>
      </c>
      <c r="S829" s="12">
        <f>IF(R829&gt;0,IF(R829&lt;=eco,alpha*fck*(1-(1-R829/eco)^n),alpha*fck),0)</f>
      </c>
      <c r="T829" s="30">
        <f>PM_Angle!$J$12+PM_Angle!$K$12*$C829+PM_Angle!$L$12*$B829</f>
      </c>
      <c r="U829" s="12">
        <f>IF(T829&gt;0,IF(T829&lt;=eco,alpha*fck*(1-(1-T829/eco)^n),alpha*fck),0)</f>
      </c>
      <c r="V829" s="30">
        <f>PM_Angle!$J$13+PM_Angle!$K$13*$C829+PM_Angle!$L$13*$B829</f>
      </c>
      <c r="W829" s="12">
        <f>IF(V829&gt;0,IF(V829&lt;=eco,alpha*fck*(1-(1-V829/eco)^n),alpha*fck),0)</f>
      </c>
      <c r="X829" s="30">
        <f>PM_Angle!$J$14+PM_Angle!$K$14*$C829+PM_Angle!$L$14*$B829</f>
      </c>
      <c r="Y829" s="12">
        <f>IF(X829&gt;0,IF(X829&lt;=eco,alpha*fck*(1-(1-X829/eco)^n),alpha*fck),0)</f>
      </c>
      <c r="Z829" s="30">
        <f>PM_Angle!$J$15+PM_Angle!$K$15*$C829+PM_Angle!$L$15*$B829</f>
      </c>
      <c r="AA829" s="12">
        <f>IF(Z829&gt;0,IF(Z829&lt;=eco,alpha*fck*(1-(1-Z829/eco)^n),alpha*fck),0)</f>
      </c>
      <c r="AB829" s="30">
        <f>PM_Angle!$J$16+PM_Angle!$K$16*$C829+PM_Angle!$L$16*$B829</f>
      </c>
      <c r="AC829" s="12">
        <f>IF(AB829&gt;0,IF(AB829&lt;=eco,alpha*fck*(1-(1-AB829/eco)^n),alpha*fck),0)</f>
      </c>
      <c r="AD829" s="30">
        <f>PM_Angle!$J$17+PM_Angle!$K$17*$C829+PM_Angle!$L$17*$B829</f>
      </c>
      <c r="AE829" s="12">
        <f>IF(AD829&gt;0,IF(AD829&lt;=eco,alpha*fck*(1-(1-AD829/eco)^n),alpha*fck),0)</f>
      </c>
      <c r="AF829" s="30">
        <f>PM_Angle!$J$18+PM_Angle!$K$18*$C829+PM_Angle!$L$18*$B829</f>
      </c>
      <c r="AG829" s="12">
        <f>IF(AF829&gt;0,IF(AF829&lt;=eco,alpha*fck*(1-(1-AF829/eco)^n),alpha*fck),0)</f>
      </c>
      <c r="AH829" s="30">
        <f>PM_Angle!$J$19+PM_Angle!$K$19*$C829+PM_Angle!$L$19*$B829</f>
      </c>
      <c r="AI829" s="12">
        <f>IF(AH829&gt;0,IF(AH829&lt;=eco,alpha*fck*(1-(1-AH829/eco)^n),alpha*fck),0)</f>
      </c>
      <c r="AJ829" s="30">
        <f>PM_Angle!$J$20+PM_Angle!$K$20*$C829+PM_Angle!$L$20*$B829</f>
      </c>
      <c r="AK829" s="12">
        <f>IF(AJ829&gt;0,IF(AJ829&lt;=eco,alpha*fck*(1-(1-AJ829/eco)^n),alpha*fck),0)</f>
      </c>
      <c r="AL829" s="30">
        <f>PM_Angle!$J$21+PM_Angle!$K$21*$C829+PM_Angle!$L$21*$B829</f>
      </c>
      <c r="AM829" s="12">
        <f>IF(AL829&gt;0,IF(AL829&lt;=eco,alpha*fck*(1-(1-AL829/eco)^n),alpha*fck),0)</f>
      </c>
      <c r="AN829" s="30">
        <f>PM_Angle!$J$22+PM_Angle!$K$22*$C829+PM_Angle!$L$22*$B829</f>
      </c>
      <c r="AO829" s="12">
        <f>IF(AN829&gt;0,IF(AN829&lt;=eco,alpha*fck*(1-(1-AN829/eco)^n),alpha*fck),0)</f>
      </c>
      <c r="AP829" s="30">
        <f>PM_Angle!$J$23+PM_Angle!$K$23*$C829+PM_Angle!$L$23*$B829</f>
      </c>
      <c r="AQ829" s="12">
        <f>IF(AP829&gt;0,IF(AP829&lt;=eco,alpha*fck*(1-(1-AP829/eco)^n),alpha*fck),0)</f>
      </c>
      <c r="AR829" s="30">
        <f>PM_Angle!$J$24+PM_Angle!$K$24*$C829+PM_Angle!$L$24*$B829</f>
      </c>
      <c r="AS829" s="12">
        <f>IF(AR829&gt;0,IF(AR829&lt;=eco,alpha*fck*(1-(1-AR829/eco)^n),alpha*fck),0)</f>
      </c>
      <c r="AT829" s="30">
        <f>PM_Angle!$J$25+PM_Angle!$K$25*$C829+PM_Angle!$L$25*$B829</f>
      </c>
      <c r="AU829" s="12">
        <f>IF(AT829&gt;0,IF(AT829&lt;=eco,alpha*fck*(1-(1-AT829/eco)^n),alpha*fck),0)</f>
      </c>
    </row>
    <row r="830" spans="1:47" x14ac:dyDescent="0.25">
      <c r="A830">
        <f>Mesh!A827</f>
      </c>
      <c r="B830" s="12">
        <f>Mesh!B827</f>
      </c>
      <c r="C830" s="12">
        <f>Mesh!C827</f>
      </c>
      <c r="D830" s="12">
        <f>Mesh!D827</f>
      </c>
      <c r="E830" s="30">
        <f>INDEX(St_e0,Det+1)+INDEX(St_kx,Det+1)*C830+INDEX(St_ky,Det+1)*B830</f>
      </c>
      <c r="F830" s="12">
        <f>IF(E830&gt;0,IF(E830&lt;=eco,alpha*fck*(1-(1-E830/eco)^n),alpha*fck),0)</f>
      </c>
      <c r="G830" s="11">
        <f>F830*D830</f>
      </c>
      <c r="H830" s="11">
        <f>G830*C830</f>
      </c>
      <c r="I830" s="11">
        <f>G830*B830</f>
      </c>
      <c r="J830" s="30">
        <f>PM_Angle!$J$7+PM_Angle!$K$7*$C830+PM_Angle!$L$7*$B830</f>
      </c>
      <c r="K830" s="12">
        <f>IF(J830&gt;0,IF(J830&lt;=eco,alpha*fck*(1-(1-J830/eco)^n),alpha*fck),0)</f>
      </c>
      <c r="L830" s="30">
        <f>PM_Angle!$J$8+PM_Angle!$K$8*$C830+PM_Angle!$L$8*$B830</f>
      </c>
      <c r="M830" s="12">
        <f>IF(L830&gt;0,IF(L830&lt;=eco,alpha*fck*(1-(1-L830/eco)^n),alpha*fck),0)</f>
      </c>
      <c r="N830" s="30">
        <f>PM_Angle!$J$9+PM_Angle!$K$9*$C830+PM_Angle!$L$9*$B830</f>
      </c>
      <c r="O830" s="12">
        <f>IF(N830&gt;0,IF(N830&lt;=eco,alpha*fck*(1-(1-N830/eco)^n),alpha*fck),0)</f>
      </c>
      <c r="P830" s="30">
        <f>PM_Angle!$J$10+PM_Angle!$K$10*$C830+PM_Angle!$L$10*$B830</f>
      </c>
      <c r="Q830" s="12">
        <f>IF(P830&gt;0,IF(P830&lt;=eco,alpha*fck*(1-(1-P830/eco)^n),alpha*fck),0)</f>
      </c>
      <c r="R830" s="30">
        <f>PM_Angle!$J$11+PM_Angle!$K$11*$C830+PM_Angle!$L$11*$B830</f>
      </c>
      <c r="S830" s="12">
        <f>IF(R830&gt;0,IF(R830&lt;=eco,alpha*fck*(1-(1-R830/eco)^n),alpha*fck),0)</f>
      </c>
      <c r="T830" s="30">
        <f>PM_Angle!$J$12+PM_Angle!$K$12*$C830+PM_Angle!$L$12*$B830</f>
      </c>
      <c r="U830" s="12">
        <f>IF(T830&gt;0,IF(T830&lt;=eco,alpha*fck*(1-(1-T830/eco)^n),alpha*fck),0)</f>
      </c>
      <c r="V830" s="30">
        <f>PM_Angle!$J$13+PM_Angle!$K$13*$C830+PM_Angle!$L$13*$B830</f>
      </c>
      <c r="W830" s="12">
        <f>IF(V830&gt;0,IF(V830&lt;=eco,alpha*fck*(1-(1-V830/eco)^n),alpha*fck),0)</f>
      </c>
      <c r="X830" s="30">
        <f>PM_Angle!$J$14+PM_Angle!$K$14*$C830+PM_Angle!$L$14*$B830</f>
      </c>
      <c r="Y830" s="12">
        <f>IF(X830&gt;0,IF(X830&lt;=eco,alpha*fck*(1-(1-X830/eco)^n),alpha*fck),0)</f>
      </c>
      <c r="Z830" s="30">
        <f>PM_Angle!$J$15+PM_Angle!$K$15*$C830+PM_Angle!$L$15*$B830</f>
      </c>
      <c r="AA830" s="12">
        <f>IF(Z830&gt;0,IF(Z830&lt;=eco,alpha*fck*(1-(1-Z830/eco)^n),alpha*fck),0)</f>
      </c>
      <c r="AB830" s="30">
        <f>PM_Angle!$J$16+PM_Angle!$K$16*$C830+PM_Angle!$L$16*$B830</f>
      </c>
      <c r="AC830" s="12">
        <f>IF(AB830&gt;0,IF(AB830&lt;=eco,alpha*fck*(1-(1-AB830/eco)^n),alpha*fck),0)</f>
      </c>
      <c r="AD830" s="30">
        <f>PM_Angle!$J$17+PM_Angle!$K$17*$C830+PM_Angle!$L$17*$B830</f>
      </c>
      <c r="AE830" s="12">
        <f>IF(AD830&gt;0,IF(AD830&lt;=eco,alpha*fck*(1-(1-AD830/eco)^n),alpha*fck),0)</f>
      </c>
      <c r="AF830" s="30">
        <f>PM_Angle!$J$18+PM_Angle!$K$18*$C830+PM_Angle!$L$18*$B830</f>
      </c>
      <c r="AG830" s="12">
        <f>IF(AF830&gt;0,IF(AF830&lt;=eco,alpha*fck*(1-(1-AF830/eco)^n),alpha*fck),0)</f>
      </c>
      <c r="AH830" s="30">
        <f>PM_Angle!$J$19+PM_Angle!$K$19*$C830+PM_Angle!$L$19*$B830</f>
      </c>
      <c r="AI830" s="12">
        <f>IF(AH830&gt;0,IF(AH830&lt;=eco,alpha*fck*(1-(1-AH830/eco)^n),alpha*fck),0)</f>
      </c>
      <c r="AJ830" s="30">
        <f>PM_Angle!$J$20+PM_Angle!$K$20*$C830+PM_Angle!$L$20*$B830</f>
      </c>
      <c r="AK830" s="12">
        <f>IF(AJ830&gt;0,IF(AJ830&lt;=eco,alpha*fck*(1-(1-AJ830/eco)^n),alpha*fck),0)</f>
      </c>
      <c r="AL830" s="30">
        <f>PM_Angle!$J$21+PM_Angle!$K$21*$C830+PM_Angle!$L$21*$B830</f>
      </c>
      <c r="AM830" s="12">
        <f>IF(AL830&gt;0,IF(AL830&lt;=eco,alpha*fck*(1-(1-AL830/eco)^n),alpha*fck),0)</f>
      </c>
      <c r="AN830" s="30">
        <f>PM_Angle!$J$22+PM_Angle!$K$22*$C830+PM_Angle!$L$22*$B830</f>
      </c>
      <c r="AO830" s="12">
        <f>IF(AN830&gt;0,IF(AN830&lt;=eco,alpha*fck*(1-(1-AN830/eco)^n),alpha*fck),0)</f>
      </c>
      <c r="AP830" s="30">
        <f>PM_Angle!$J$23+PM_Angle!$K$23*$C830+PM_Angle!$L$23*$B830</f>
      </c>
      <c r="AQ830" s="12">
        <f>IF(AP830&gt;0,IF(AP830&lt;=eco,alpha*fck*(1-(1-AP830/eco)^n),alpha*fck),0)</f>
      </c>
      <c r="AR830" s="30">
        <f>PM_Angle!$J$24+PM_Angle!$K$24*$C830+PM_Angle!$L$24*$B830</f>
      </c>
      <c r="AS830" s="12">
        <f>IF(AR830&gt;0,IF(AR830&lt;=eco,alpha*fck*(1-(1-AR830/eco)^n),alpha*fck),0)</f>
      </c>
      <c r="AT830" s="30">
        <f>PM_Angle!$J$25+PM_Angle!$K$25*$C830+PM_Angle!$L$25*$B830</f>
      </c>
      <c r="AU830" s="12">
        <f>IF(AT830&gt;0,IF(AT830&lt;=eco,alpha*fck*(1-(1-AT830/eco)^n),alpha*fck),0)</f>
      </c>
    </row>
    <row r="831" spans="1:47" x14ac:dyDescent="0.25">
      <c r="A831">
        <f>Mesh!A828</f>
      </c>
      <c r="B831" s="12">
        <f>Mesh!B828</f>
      </c>
      <c r="C831" s="12">
        <f>Mesh!C828</f>
      </c>
      <c r="D831" s="12">
        <f>Mesh!D828</f>
      </c>
      <c r="E831" s="30">
        <f>INDEX(St_e0,Det+1)+INDEX(St_kx,Det+1)*C831+INDEX(St_ky,Det+1)*B831</f>
      </c>
      <c r="F831" s="12">
        <f>IF(E831&gt;0,IF(E831&lt;=eco,alpha*fck*(1-(1-E831/eco)^n),alpha*fck),0)</f>
      </c>
      <c r="G831" s="11">
        <f>F831*D831</f>
      </c>
      <c r="H831" s="11">
        <f>G831*C831</f>
      </c>
      <c r="I831" s="11">
        <f>G831*B831</f>
      </c>
      <c r="J831" s="30">
        <f>PM_Angle!$J$7+PM_Angle!$K$7*$C831+PM_Angle!$L$7*$B831</f>
      </c>
      <c r="K831" s="12">
        <f>IF(J831&gt;0,IF(J831&lt;=eco,alpha*fck*(1-(1-J831/eco)^n),alpha*fck),0)</f>
      </c>
      <c r="L831" s="30">
        <f>PM_Angle!$J$8+PM_Angle!$K$8*$C831+PM_Angle!$L$8*$B831</f>
      </c>
      <c r="M831" s="12">
        <f>IF(L831&gt;0,IF(L831&lt;=eco,alpha*fck*(1-(1-L831/eco)^n),alpha*fck),0)</f>
      </c>
      <c r="N831" s="30">
        <f>PM_Angle!$J$9+PM_Angle!$K$9*$C831+PM_Angle!$L$9*$B831</f>
      </c>
      <c r="O831" s="12">
        <f>IF(N831&gt;0,IF(N831&lt;=eco,alpha*fck*(1-(1-N831/eco)^n),alpha*fck),0)</f>
      </c>
      <c r="P831" s="30">
        <f>PM_Angle!$J$10+PM_Angle!$K$10*$C831+PM_Angle!$L$10*$B831</f>
      </c>
      <c r="Q831" s="12">
        <f>IF(P831&gt;0,IF(P831&lt;=eco,alpha*fck*(1-(1-P831/eco)^n),alpha*fck),0)</f>
      </c>
      <c r="R831" s="30">
        <f>PM_Angle!$J$11+PM_Angle!$K$11*$C831+PM_Angle!$L$11*$B831</f>
      </c>
      <c r="S831" s="12">
        <f>IF(R831&gt;0,IF(R831&lt;=eco,alpha*fck*(1-(1-R831/eco)^n),alpha*fck),0)</f>
      </c>
      <c r="T831" s="30">
        <f>PM_Angle!$J$12+PM_Angle!$K$12*$C831+PM_Angle!$L$12*$B831</f>
      </c>
      <c r="U831" s="12">
        <f>IF(T831&gt;0,IF(T831&lt;=eco,alpha*fck*(1-(1-T831/eco)^n),alpha*fck),0)</f>
      </c>
      <c r="V831" s="30">
        <f>PM_Angle!$J$13+PM_Angle!$K$13*$C831+PM_Angle!$L$13*$B831</f>
      </c>
      <c r="W831" s="12">
        <f>IF(V831&gt;0,IF(V831&lt;=eco,alpha*fck*(1-(1-V831/eco)^n),alpha*fck),0)</f>
      </c>
      <c r="X831" s="30">
        <f>PM_Angle!$J$14+PM_Angle!$K$14*$C831+PM_Angle!$L$14*$B831</f>
      </c>
      <c r="Y831" s="12">
        <f>IF(X831&gt;0,IF(X831&lt;=eco,alpha*fck*(1-(1-X831/eco)^n),alpha*fck),0)</f>
      </c>
      <c r="Z831" s="30">
        <f>PM_Angle!$J$15+PM_Angle!$K$15*$C831+PM_Angle!$L$15*$B831</f>
      </c>
      <c r="AA831" s="12">
        <f>IF(Z831&gt;0,IF(Z831&lt;=eco,alpha*fck*(1-(1-Z831/eco)^n),alpha*fck),0)</f>
      </c>
      <c r="AB831" s="30">
        <f>PM_Angle!$J$16+PM_Angle!$K$16*$C831+PM_Angle!$L$16*$B831</f>
      </c>
      <c r="AC831" s="12">
        <f>IF(AB831&gt;0,IF(AB831&lt;=eco,alpha*fck*(1-(1-AB831/eco)^n),alpha*fck),0)</f>
      </c>
      <c r="AD831" s="30">
        <f>PM_Angle!$J$17+PM_Angle!$K$17*$C831+PM_Angle!$L$17*$B831</f>
      </c>
      <c r="AE831" s="12">
        <f>IF(AD831&gt;0,IF(AD831&lt;=eco,alpha*fck*(1-(1-AD831/eco)^n),alpha*fck),0)</f>
      </c>
      <c r="AF831" s="30">
        <f>PM_Angle!$J$18+PM_Angle!$K$18*$C831+PM_Angle!$L$18*$B831</f>
      </c>
      <c r="AG831" s="12">
        <f>IF(AF831&gt;0,IF(AF831&lt;=eco,alpha*fck*(1-(1-AF831/eco)^n),alpha*fck),0)</f>
      </c>
      <c r="AH831" s="30">
        <f>PM_Angle!$J$19+PM_Angle!$K$19*$C831+PM_Angle!$L$19*$B831</f>
      </c>
      <c r="AI831" s="12">
        <f>IF(AH831&gt;0,IF(AH831&lt;=eco,alpha*fck*(1-(1-AH831/eco)^n),alpha*fck),0)</f>
      </c>
      <c r="AJ831" s="30">
        <f>PM_Angle!$J$20+PM_Angle!$K$20*$C831+PM_Angle!$L$20*$B831</f>
      </c>
      <c r="AK831" s="12">
        <f>IF(AJ831&gt;0,IF(AJ831&lt;=eco,alpha*fck*(1-(1-AJ831/eco)^n),alpha*fck),0)</f>
      </c>
      <c r="AL831" s="30">
        <f>PM_Angle!$J$21+PM_Angle!$K$21*$C831+PM_Angle!$L$21*$B831</f>
      </c>
      <c r="AM831" s="12">
        <f>IF(AL831&gt;0,IF(AL831&lt;=eco,alpha*fck*(1-(1-AL831/eco)^n),alpha*fck),0)</f>
      </c>
      <c r="AN831" s="30">
        <f>PM_Angle!$J$22+PM_Angle!$K$22*$C831+PM_Angle!$L$22*$B831</f>
      </c>
      <c r="AO831" s="12">
        <f>IF(AN831&gt;0,IF(AN831&lt;=eco,alpha*fck*(1-(1-AN831/eco)^n),alpha*fck),0)</f>
      </c>
      <c r="AP831" s="30">
        <f>PM_Angle!$J$23+PM_Angle!$K$23*$C831+PM_Angle!$L$23*$B831</f>
      </c>
      <c r="AQ831" s="12">
        <f>IF(AP831&gt;0,IF(AP831&lt;=eco,alpha*fck*(1-(1-AP831/eco)^n),alpha*fck),0)</f>
      </c>
      <c r="AR831" s="30">
        <f>PM_Angle!$J$24+PM_Angle!$K$24*$C831+PM_Angle!$L$24*$B831</f>
      </c>
      <c r="AS831" s="12">
        <f>IF(AR831&gt;0,IF(AR831&lt;=eco,alpha*fck*(1-(1-AR831/eco)^n),alpha*fck),0)</f>
      </c>
      <c r="AT831" s="30">
        <f>PM_Angle!$J$25+PM_Angle!$K$25*$C831+PM_Angle!$L$25*$B831</f>
      </c>
      <c r="AU831" s="12">
        <f>IF(AT831&gt;0,IF(AT831&lt;=eco,alpha*fck*(1-(1-AT831/eco)^n),alpha*fck),0)</f>
      </c>
    </row>
    <row r="832" spans="1:47" x14ac:dyDescent="0.25">
      <c r="A832">
        <f>Mesh!A829</f>
      </c>
      <c r="B832" s="12">
        <f>Mesh!B829</f>
      </c>
      <c r="C832" s="12">
        <f>Mesh!C829</f>
      </c>
      <c r="D832" s="12">
        <f>Mesh!D829</f>
      </c>
      <c r="E832" s="30">
        <f>INDEX(St_e0,Det+1)+INDEX(St_kx,Det+1)*C832+INDEX(St_ky,Det+1)*B832</f>
      </c>
      <c r="F832" s="12">
        <f>IF(E832&gt;0,IF(E832&lt;=eco,alpha*fck*(1-(1-E832/eco)^n),alpha*fck),0)</f>
      </c>
      <c r="G832" s="11">
        <f>F832*D832</f>
      </c>
      <c r="H832" s="11">
        <f>G832*C832</f>
      </c>
      <c r="I832" s="11">
        <f>G832*B832</f>
      </c>
      <c r="J832" s="30">
        <f>PM_Angle!$J$7+PM_Angle!$K$7*$C832+PM_Angle!$L$7*$B832</f>
      </c>
      <c r="K832" s="12">
        <f>IF(J832&gt;0,IF(J832&lt;=eco,alpha*fck*(1-(1-J832/eco)^n),alpha*fck),0)</f>
      </c>
      <c r="L832" s="30">
        <f>PM_Angle!$J$8+PM_Angle!$K$8*$C832+PM_Angle!$L$8*$B832</f>
      </c>
      <c r="M832" s="12">
        <f>IF(L832&gt;0,IF(L832&lt;=eco,alpha*fck*(1-(1-L832/eco)^n),alpha*fck),0)</f>
      </c>
      <c r="N832" s="30">
        <f>PM_Angle!$J$9+PM_Angle!$K$9*$C832+PM_Angle!$L$9*$B832</f>
      </c>
      <c r="O832" s="12">
        <f>IF(N832&gt;0,IF(N832&lt;=eco,alpha*fck*(1-(1-N832/eco)^n),alpha*fck),0)</f>
      </c>
      <c r="P832" s="30">
        <f>PM_Angle!$J$10+PM_Angle!$K$10*$C832+PM_Angle!$L$10*$B832</f>
      </c>
      <c r="Q832" s="12">
        <f>IF(P832&gt;0,IF(P832&lt;=eco,alpha*fck*(1-(1-P832/eco)^n),alpha*fck),0)</f>
      </c>
      <c r="R832" s="30">
        <f>PM_Angle!$J$11+PM_Angle!$K$11*$C832+PM_Angle!$L$11*$B832</f>
      </c>
      <c r="S832" s="12">
        <f>IF(R832&gt;0,IF(R832&lt;=eco,alpha*fck*(1-(1-R832/eco)^n),alpha*fck),0)</f>
      </c>
      <c r="T832" s="30">
        <f>PM_Angle!$J$12+PM_Angle!$K$12*$C832+PM_Angle!$L$12*$B832</f>
      </c>
      <c r="U832" s="12">
        <f>IF(T832&gt;0,IF(T832&lt;=eco,alpha*fck*(1-(1-T832/eco)^n),alpha*fck),0)</f>
      </c>
      <c r="V832" s="30">
        <f>PM_Angle!$J$13+PM_Angle!$K$13*$C832+PM_Angle!$L$13*$B832</f>
      </c>
      <c r="W832" s="12">
        <f>IF(V832&gt;0,IF(V832&lt;=eco,alpha*fck*(1-(1-V832/eco)^n),alpha*fck),0)</f>
      </c>
      <c r="X832" s="30">
        <f>PM_Angle!$J$14+PM_Angle!$K$14*$C832+PM_Angle!$L$14*$B832</f>
      </c>
      <c r="Y832" s="12">
        <f>IF(X832&gt;0,IF(X832&lt;=eco,alpha*fck*(1-(1-X832/eco)^n),alpha*fck),0)</f>
      </c>
      <c r="Z832" s="30">
        <f>PM_Angle!$J$15+PM_Angle!$K$15*$C832+PM_Angle!$L$15*$B832</f>
      </c>
      <c r="AA832" s="12">
        <f>IF(Z832&gt;0,IF(Z832&lt;=eco,alpha*fck*(1-(1-Z832/eco)^n),alpha*fck),0)</f>
      </c>
      <c r="AB832" s="30">
        <f>PM_Angle!$J$16+PM_Angle!$K$16*$C832+PM_Angle!$L$16*$B832</f>
      </c>
      <c r="AC832" s="12">
        <f>IF(AB832&gt;0,IF(AB832&lt;=eco,alpha*fck*(1-(1-AB832/eco)^n),alpha*fck),0)</f>
      </c>
      <c r="AD832" s="30">
        <f>PM_Angle!$J$17+PM_Angle!$K$17*$C832+PM_Angle!$L$17*$B832</f>
      </c>
      <c r="AE832" s="12">
        <f>IF(AD832&gt;0,IF(AD832&lt;=eco,alpha*fck*(1-(1-AD832/eco)^n),alpha*fck),0)</f>
      </c>
      <c r="AF832" s="30">
        <f>PM_Angle!$J$18+PM_Angle!$K$18*$C832+PM_Angle!$L$18*$B832</f>
      </c>
      <c r="AG832" s="12">
        <f>IF(AF832&gt;0,IF(AF832&lt;=eco,alpha*fck*(1-(1-AF832/eco)^n),alpha*fck),0)</f>
      </c>
      <c r="AH832" s="30">
        <f>PM_Angle!$J$19+PM_Angle!$K$19*$C832+PM_Angle!$L$19*$B832</f>
      </c>
      <c r="AI832" s="12">
        <f>IF(AH832&gt;0,IF(AH832&lt;=eco,alpha*fck*(1-(1-AH832/eco)^n),alpha*fck),0)</f>
      </c>
      <c r="AJ832" s="30">
        <f>PM_Angle!$J$20+PM_Angle!$K$20*$C832+PM_Angle!$L$20*$B832</f>
      </c>
      <c r="AK832" s="12">
        <f>IF(AJ832&gt;0,IF(AJ832&lt;=eco,alpha*fck*(1-(1-AJ832/eco)^n),alpha*fck),0)</f>
      </c>
      <c r="AL832" s="30">
        <f>PM_Angle!$J$21+PM_Angle!$K$21*$C832+PM_Angle!$L$21*$B832</f>
      </c>
      <c r="AM832" s="12">
        <f>IF(AL832&gt;0,IF(AL832&lt;=eco,alpha*fck*(1-(1-AL832/eco)^n),alpha*fck),0)</f>
      </c>
      <c r="AN832" s="30">
        <f>PM_Angle!$J$22+PM_Angle!$K$22*$C832+PM_Angle!$L$22*$B832</f>
      </c>
      <c r="AO832" s="12">
        <f>IF(AN832&gt;0,IF(AN832&lt;=eco,alpha*fck*(1-(1-AN832/eco)^n),alpha*fck),0)</f>
      </c>
      <c r="AP832" s="30">
        <f>PM_Angle!$J$23+PM_Angle!$K$23*$C832+PM_Angle!$L$23*$B832</f>
      </c>
      <c r="AQ832" s="12">
        <f>IF(AP832&gt;0,IF(AP832&lt;=eco,alpha*fck*(1-(1-AP832/eco)^n),alpha*fck),0)</f>
      </c>
      <c r="AR832" s="30">
        <f>PM_Angle!$J$24+PM_Angle!$K$24*$C832+PM_Angle!$L$24*$B832</f>
      </c>
      <c r="AS832" s="12">
        <f>IF(AR832&gt;0,IF(AR832&lt;=eco,alpha*fck*(1-(1-AR832/eco)^n),alpha*fck),0)</f>
      </c>
      <c r="AT832" s="30">
        <f>PM_Angle!$J$25+PM_Angle!$K$25*$C832+PM_Angle!$L$25*$B832</f>
      </c>
      <c r="AU832" s="12">
        <f>IF(AT832&gt;0,IF(AT832&lt;=eco,alpha*fck*(1-(1-AT832/eco)^n),alpha*fck),0)</f>
      </c>
    </row>
    <row r="833" spans="1:47" x14ac:dyDescent="0.25">
      <c r="A833">
        <f>Mesh!A830</f>
      </c>
      <c r="B833" s="12">
        <f>Mesh!B830</f>
      </c>
      <c r="C833" s="12">
        <f>Mesh!C830</f>
      </c>
      <c r="D833" s="12">
        <f>Mesh!D830</f>
      </c>
      <c r="E833" s="30">
        <f>INDEX(St_e0,Det+1)+INDEX(St_kx,Det+1)*C833+INDEX(St_ky,Det+1)*B833</f>
      </c>
      <c r="F833" s="12">
        <f>IF(E833&gt;0,IF(E833&lt;=eco,alpha*fck*(1-(1-E833/eco)^n),alpha*fck),0)</f>
      </c>
      <c r="G833" s="11">
        <f>F833*D833</f>
      </c>
      <c r="H833" s="11">
        <f>G833*C833</f>
      </c>
      <c r="I833" s="11">
        <f>G833*B833</f>
      </c>
      <c r="J833" s="30">
        <f>PM_Angle!$J$7+PM_Angle!$K$7*$C833+PM_Angle!$L$7*$B833</f>
      </c>
      <c r="K833" s="12">
        <f>IF(J833&gt;0,IF(J833&lt;=eco,alpha*fck*(1-(1-J833/eco)^n),alpha*fck),0)</f>
      </c>
      <c r="L833" s="30">
        <f>PM_Angle!$J$8+PM_Angle!$K$8*$C833+PM_Angle!$L$8*$B833</f>
      </c>
      <c r="M833" s="12">
        <f>IF(L833&gt;0,IF(L833&lt;=eco,alpha*fck*(1-(1-L833/eco)^n),alpha*fck),0)</f>
      </c>
      <c r="N833" s="30">
        <f>PM_Angle!$J$9+PM_Angle!$K$9*$C833+PM_Angle!$L$9*$B833</f>
      </c>
      <c r="O833" s="12">
        <f>IF(N833&gt;0,IF(N833&lt;=eco,alpha*fck*(1-(1-N833/eco)^n),alpha*fck),0)</f>
      </c>
      <c r="P833" s="30">
        <f>PM_Angle!$J$10+PM_Angle!$K$10*$C833+PM_Angle!$L$10*$B833</f>
      </c>
      <c r="Q833" s="12">
        <f>IF(P833&gt;0,IF(P833&lt;=eco,alpha*fck*(1-(1-P833/eco)^n),alpha*fck),0)</f>
      </c>
      <c r="R833" s="30">
        <f>PM_Angle!$J$11+PM_Angle!$K$11*$C833+PM_Angle!$L$11*$B833</f>
      </c>
      <c r="S833" s="12">
        <f>IF(R833&gt;0,IF(R833&lt;=eco,alpha*fck*(1-(1-R833/eco)^n),alpha*fck),0)</f>
      </c>
      <c r="T833" s="30">
        <f>PM_Angle!$J$12+PM_Angle!$K$12*$C833+PM_Angle!$L$12*$B833</f>
      </c>
      <c r="U833" s="12">
        <f>IF(T833&gt;0,IF(T833&lt;=eco,alpha*fck*(1-(1-T833/eco)^n),alpha*fck),0)</f>
      </c>
      <c r="V833" s="30">
        <f>PM_Angle!$J$13+PM_Angle!$K$13*$C833+PM_Angle!$L$13*$B833</f>
      </c>
      <c r="W833" s="12">
        <f>IF(V833&gt;0,IF(V833&lt;=eco,alpha*fck*(1-(1-V833/eco)^n),alpha*fck),0)</f>
      </c>
      <c r="X833" s="30">
        <f>PM_Angle!$J$14+PM_Angle!$K$14*$C833+PM_Angle!$L$14*$B833</f>
      </c>
      <c r="Y833" s="12">
        <f>IF(X833&gt;0,IF(X833&lt;=eco,alpha*fck*(1-(1-X833/eco)^n),alpha*fck),0)</f>
      </c>
      <c r="Z833" s="30">
        <f>PM_Angle!$J$15+PM_Angle!$K$15*$C833+PM_Angle!$L$15*$B833</f>
      </c>
      <c r="AA833" s="12">
        <f>IF(Z833&gt;0,IF(Z833&lt;=eco,alpha*fck*(1-(1-Z833/eco)^n),alpha*fck),0)</f>
      </c>
      <c r="AB833" s="30">
        <f>PM_Angle!$J$16+PM_Angle!$K$16*$C833+PM_Angle!$L$16*$B833</f>
      </c>
      <c r="AC833" s="12">
        <f>IF(AB833&gt;0,IF(AB833&lt;=eco,alpha*fck*(1-(1-AB833/eco)^n),alpha*fck),0)</f>
      </c>
      <c r="AD833" s="30">
        <f>PM_Angle!$J$17+PM_Angle!$K$17*$C833+PM_Angle!$L$17*$B833</f>
      </c>
      <c r="AE833" s="12">
        <f>IF(AD833&gt;0,IF(AD833&lt;=eco,alpha*fck*(1-(1-AD833/eco)^n),alpha*fck),0)</f>
      </c>
      <c r="AF833" s="30">
        <f>PM_Angle!$J$18+PM_Angle!$K$18*$C833+PM_Angle!$L$18*$B833</f>
      </c>
      <c r="AG833" s="12">
        <f>IF(AF833&gt;0,IF(AF833&lt;=eco,alpha*fck*(1-(1-AF833/eco)^n),alpha*fck),0)</f>
      </c>
      <c r="AH833" s="30">
        <f>PM_Angle!$J$19+PM_Angle!$K$19*$C833+PM_Angle!$L$19*$B833</f>
      </c>
      <c r="AI833" s="12">
        <f>IF(AH833&gt;0,IF(AH833&lt;=eco,alpha*fck*(1-(1-AH833/eco)^n),alpha*fck),0)</f>
      </c>
      <c r="AJ833" s="30">
        <f>PM_Angle!$J$20+PM_Angle!$K$20*$C833+PM_Angle!$L$20*$B833</f>
      </c>
      <c r="AK833" s="12">
        <f>IF(AJ833&gt;0,IF(AJ833&lt;=eco,alpha*fck*(1-(1-AJ833/eco)^n),alpha*fck),0)</f>
      </c>
      <c r="AL833" s="30">
        <f>PM_Angle!$J$21+PM_Angle!$K$21*$C833+PM_Angle!$L$21*$B833</f>
      </c>
      <c r="AM833" s="12">
        <f>IF(AL833&gt;0,IF(AL833&lt;=eco,alpha*fck*(1-(1-AL833/eco)^n),alpha*fck),0)</f>
      </c>
      <c r="AN833" s="30">
        <f>PM_Angle!$J$22+PM_Angle!$K$22*$C833+PM_Angle!$L$22*$B833</f>
      </c>
      <c r="AO833" s="12">
        <f>IF(AN833&gt;0,IF(AN833&lt;=eco,alpha*fck*(1-(1-AN833/eco)^n),alpha*fck),0)</f>
      </c>
      <c r="AP833" s="30">
        <f>PM_Angle!$J$23+PM_Angle!$K$23*$C833+PM_Angle!$L$23*$B833</f>
      </c>
      <c r="AQ833" s="12">
        <f>IF(AP833&gt;0,IF(AP833&lt;=eco,alpha*fck*(1-(1-AP833/eco)^n),alpha*fck),0)</f>
      </c>
      <c r="AR833" s="30">
        <f>PM_Angle!$J$24+PM_Angle!$K$24*$C833+PM_Angle!$L$24*$B833</f>
      </c>
      <c r="AS833" s="12">
        <f>IF(AR833&gt;0,IF(AR833&lt;=eco,alpha*fck*(1-(1-AR833/eco)^n),alpha*fck),0)</f>
      </c>
      <c r="AT833" s="30">
        <f>PM_Angle!$J$25+PM_Angle!$K$25*$C833+PM_Angle!$L$25*$B833</f>
      </c>
      <c r="AU833" s="12">
        <f>IF(AT833&gt;0,IF(AT833&lt;=eco,alpha*fck*(1-(1-AT833/eco)^n),alpha*fck),0)</f>
      </c>
    </row>
    <row r="834" spans="1:47" x14ac:dyDescent="0.25">
      <c r="A834">
        <f>Mesh!A831</f>
      </c>
      <c r="B834" s="12">
        <f>Mesh!B831</f>
      </c>
      <c r="C834" s="12">
        <f>Mesh!C831</f>
      </c>
      <c r="D834" s="12">
        <f>Mesh!D831</f>
      </c>
      <c r="E834" s="30">
        <f>INDEX(St_e0,Det+1)+INDEX(St_kx,Det+1)*C834+INDEX(St_ky,Det+1)*B834</f>
      </c>
      <c r="F834" s="12">
        <f>IF(E834&gt;0,IF(E834&lt;=eco,alpha*fck*(1-(1-E834/eco)^n),alpha*fck),0)</f>
      </c>
      <c r="G834" s="11">
        <f>F834*D834</f>
      </c>
      <c r="H834" s="11">
        <f>G834*C834</f>
      </c>
      <c r="I834" s="11">
        <f>G834*B834</f>
      </c>
      <c r="J834" s="30">
        <f>PM_Angle!$J$7+PM_Angle!$K$7*$C834+PM_Angle!$L$7*$B834</f>
      </c>
      <c r="K834" s="12">
        <f>IF(J834&gt;0,IF(J834&lt;=eco,alpha*fck*(1-(1-J834/eco)^n),alpha*fck),0)</f>
      </c>
      <c r="L834" s="30">
        <f>PM_Angle!$J$8+PM_Angle!$K$8*$C834+PM_Angle!$L$8*$B834</f>
      </c>
      <c r="M834" s="12">
        <f>IF(L834&gt;0,IF(L834&lt;=eco,alpha*fck*(1-(1-L834/eco)^n),alpha*fck),0)</f>
      </c>
      <c r="N834" s="30">
        <f>PM_Angle!$J$9+PM_Angle!$K$9*$C834+PM_Angle!$L$9*$B834</f>
      </c>
      <c r="O834" s="12">
        <f>IF(N834&gt;0,IF(N834&lt;=eco,alpha*fck*(1-(1-N834/eco)^n),alpha*fck),0)</f>
      </c>
      <c r="P834" s="30">
        <f>PM_Angle!$J$10+PM_Angle!$K$10*$C834+PM_Angle!$L$10*$B834</f>
      </c>
      <c r="Q834" s="12">
        <f>IF(P834&gt;0,IF(P834&lt;=eco,alpha*fck*(1-(1-P834/eco)^n),alpha*fck),0)</f>
      </c>
      <c r="R834" s="30">
        <f>PM_Angle!$J$11+PM_Angle!$K$11*$C834+PM_Angle!$L$11*$B834</f>
      </c>
      <c r="S834" s="12">
        <f>IF(R834&gt;0,IF(R834&lt;=eco,alpha*fck*(1-(1-R834/eco)^n),alpha*fck),0)</f>
      </c>
      <c r="T834" s="30">
        <f>PM_Angle!$J$12+PM_Angle!$K$12*$C834+PM_Angle!$L$12*$B834</f>
      </c>
      <c r="U834" s="12">
        <f>IF(T834&gt;0,IF(T834&lt;=eco,alpha*fck*(1-(1-T834/eco)^n),alpha*fck),0)</f>
      </c>
      <c r="V834" s="30">
        <f>PM_Angle!$J$13+PM_Angle!$K$13*$C834+PM_Angle!$L$13*$B834</f>
      </c>
      <c r="W834" s="12">
        <f>IF(V834&gt;0,IF(V834&lt;=eco,alpha*fck*(1-(1-V834/eco)^n),alpha*fck),0)</f>
      </c>
      <c r="X834" s="30">
        <f>PM_Angle!$J$14+PM_Angle!$K$14*$C834+PM_Angle!$L$14*$B834</f>
      </c>
      <c r="Y834" s="12">
        <f>IF(X834&gt;0,IF(X834&lt;=eco,alpha*fck*(1-(1-X834/eco)^n),alpha*fck),0)</f>
      </c>
      <c r="Z834" s="30">
        <f>PM_Angle!$J$15+PM_Angle!$K$15*$C834+PM_Angle!$L$15*$B834</f>
      </c>
      <c r="AA834" s="12">
        <f>IF(Z834&gt;0,IF(Z834&lt;=eco,alpha*fck*(1-(1-Z834/eco)^n),alpha*fck),0)</f>
      </c>
      <c r="AB834" s="30">
        <f>PM_Angle!$J$16+PM_Angle!$K$16*$C834+PM_Angle!$L$16*$B834</f>
      </c>
      <c r="AC834" s="12">
        <f>IF(AB834&gt;0,IF(AB834&lt;=eco,alpha*fck*(1-(1-AB834/eco)^n),alpha*fck),0)</f>
      </c>
      <c r="AD834" s="30">
        <f>PM_Angle!$J$17+PM_Angle!$K$17*$C834+PM_Angle!$L$17*$B834</f>
      </c>
      <c r="AE834" s="12">
        <f>IF(AD834&gt;0,IF(AD834&lt;=eco,alpha*fck*(1-(1-AD834/eco)^n),alpha*fck),0)</f>
      </c>
      <c r="AF834" s="30">
        <f>PM_Angle!$J$18+PM_Angle!$K$18*$C834+PM_Angle!$L$18*$B834</f>
      </c>
      <c r="AG834" s="12">
        <f>IF(AF834&gt;0,IF(AF834&lt;=eco,alpha*fck*(1-(1-AF834/eco)^n),alpha*fck),0)</f>
      </c>
      <c r="AH834" s="30">
        <f>PM_Angle!$J$19+PM_Angle!$K$19*$C834+PM_Angle!$L$19*$B834</f>
      </c>
      <c r="AI834" s="12">
        <f>IF(AH834&gt;0,IF(AH834&lt;=eco,alpha*fck*(1-(1-AH834/eco)^n),alpha*fck),0)</f>
      </c>
      <c r="AJ834" s="30">
        <f>PM_Angle!$J$20+PM_Angle!$K$20*$C834+PM_Angle!$L$20*$B834</f>
      </c>
      <c r="AK834" s="12">
        <f>IF(AJ834&gt;0,IF(AJ834&lt;=eco,alpha*fck*(1-(1-AJ834/eco)^n),alpha*fck),0)</f>
      </c>
      <c r="AL834" s="30">
        <f>PM_Angle!$J$21+PM_Angle!$K$21*$C834+PM_Angle!$L$21*$B834</f>
      </c>
      <c r="AM834" s="12">
        <f>IF(AL834&gt;0,IF(AL834&lt;=eco,alpha*fck*(1-(1-AL834/eco)^n),alpha*fck),0)</f>
      </c>
      <c r="AN834" s="30">
        <f>PM_Angle!$J$22+PM_Angle!$K$22*$C834+PM_Angle!$L$22*$B834</f>
      </c>
      <c r="AO834" s="12">
        <f>IF(AN834&gt;0,IF(AN834&lt;=eco,alpha*fck*(1-(1-AN834/eco)^n),alpha*fck),0)</f>
      </c>
      <c r="AP834" s="30">
        <f>PM_Angle!$J$23+PM_Angle!$K$23*$C834+PM_Angle!$L$23*$B834</f>
      </c>
      <c r="AQ834" s="12">
        <f>IF(AP834&gt;0,IF(AP834&lt;=eco,alpha*fck*(1-(1-AP834/eco)^n),alpha*fck),0)</f>
      </c>
      <c r="AR834" s="30">
        <f>PM_Angle!$J$24+PM_Angle!$K$24*$C834+PM_Angle!$L$24*$B834</f>
      </c>
      <c r="AS834" s="12">
        <f>IF(AR834&gt;0,IF(AR834&lt;=eco,alpha*fck*(1-(1-AR834/eco)^n),alpha*fck),0)</f>
      </c>
      <c r="AT834" s="30">
        <f>PM_Angle!$J$25+PM_Angle!$K$25*$C834+PM_Angle!$L$25*$B834</f>
      </c>
      <c r="AU834" s="12">
        <f>IF(AT834&gt;0,IF(AT834&lt;=eco,alpha*fck*(1-(1-AT834/eco)^n),alpha*fck),0)</f>
      </c>
    </row>
    <row r="835" spans="1:47" x14ac:dyDescent="0.25">
      <c r="A835">
        <f>Mesh!A832</f>
      </c>
      <c r="B835" s="12">
        <f>Mesh!B832</f>
      </c>
      <c r="C835" s="12">
        <f>Mesh!C832</f>
      </c>
      <c r="D835" s="12">
        <f>Mesh!D832</f>
      </c>
      <c r="E835" s="30">
        <f>INDEX(St_e0,Det+1)+INDEX(St_kx,Det+1)*C835+INDEX(St_ky,Det+1)*B835</f>
      </c>
      <c r="F835" s="12">
        <f>IF(E835&gt;0,IF(E835&lt;=eco,alpha*fck*(1-(1-E835/eco)^n),alpha*fck),0)</f>
      </c>
      <c r="G835" s="11">
        <f>F835*D835</f>
      </c>
      <c r="H835" s="11">
        <f>G835*C835</f>
      </c>
      <c r="I835" s="11">
        <f>G835*B835</f>
      </c>
      <c r="J835" s="30">
        <f>PM_Angle!$J$7+PM_Angle!$K$7*$C835+PM_Angle!$L$7*$B835</f>
      </c>
      <c r="K835" s="12">
        <f>IF(J835&gt;0,IF(J835&lt;=eco,alpha*fck*(1-(1-J835/eco)^n),alpha*fck),0)</f>
      </c>
      <c r="L835" s="30">
        <f>PM_Angle!$J$8+PM_Angle!$K$8*$C835+PM_Angle!$L$8*$B835</f>
      </c>
      <c r="M835" s="12">
        <f>IF(L835&gt;0,IF(L835&lt;=eco,alpha*fck*(1-(1-L835/eco)^n),alpha*fck),0)</f>
      </c>
      <c r="N835" s="30">
        <f>PM_Angle!$J$9+PM_Angle!$K$9*$C835+PM_Angle!$L$9*$B835</f>
      </c>
      <c r="O835" s="12">
        <f>IF(N835&gt;0,IF(N835&lt;=eco,alpha*fck*(1-(1-N835/eco)^n),alpha*fck),0)</f>
      </c>
      <c r="P835" s="30">
        <f>PM_Angle!$J$10+PM_Angle!$K$10*$C835+PM_Angle!$L$10*$B835</f>
      </c>
      <c r="Q835" s="12">
        <f>IF(P835&gt;0,IF(P835&lt;=eco,alpha*fck*(1-(1-P835/eco)^n),alpha*fck),0)</f>
      </c>
      <c r="R835" s="30">
        <f>PM_Angle!$J$11+PM_Angle!$K$11*$C835+PM_Angle!$L$11*$B835</f>
      </c>
      <c r="S835" s="12">
        <f>IF(R835&gt;0,IF(R835&lt;=eco,alpha*fck*(1-(1-R835/eco)^n),alpha*fck),0)</f>
      </c>
      <c r="T835" s="30">
        <f>PM_Angle!$J$12+PM_Angle!$K$12*$C835+PM_Angle!$L$12*$B835</f>
      </c>
      <c r="U835" s="12">
        <f>IF(T835&gt;0,IF(T835&lt;=eco,alpha*fck*(1-(1-T835/eco)^n),alpha*fck),0)</f>
      </c>
      <c r="V835" s="30">
        <f>PM_Angle!$J$13+PM_Angle!$K$13*$C835+PM_Angle!$L$13*$B835</f>
      </c>
      <c r="W835" s="12">
        <f>IF(V835&gt;0,IF(V835&lt;=eco,alpha*fck*(1-(1-V835/eco)^n),alpha*fck),0)</f>
      </c>
      <c r="X835" s="30">
        <f>PM_Angle!$J$14+PM_Angle!$K$14*$C835+PM_Angle!$L$14*$B835</f>
      </c>
      <c r="Y835" s="12">
        <f>IF(X835&gt;0,IF(X835&lt;=eco,alpha*fck*(1-(1-X835/eco)^n),alpha*fck),0)</f>
      </c>
      <c r="Z835" s="30">
        <f>PM_Angle!$J$15+PM_Angle!$K$15*$C835+PM_Angle!$L$15*$B835</f>
      </c>
      <c r="AA835" s="12">
        <f>IF(Z835&gt;0,IF(Z835&lt;=eco,alpha*fck*(1-(1-Z835/eco)^n),alpha*fck),0)</f>
      </c>
      <c r="AB835" s="30">
        <f>PM_Angle!$J$16+PM_Angle!$K$16*$C835+PM_Angle!$L$16*$B835</f>
      </c>
      <c r="AC835" s="12">
        <f>IF(AB835&gt;0,IF(AB835&lt;=eco,alpha*fck*(1-(1-AB835/eco)^n),alpha*fck),0)</f>
      </c>
      <c r="AD835" s="30">
        <f>PM_Angle!$J$17+PM_Angle!$K$17*$C835+PM_Angle!$L$17*$B835</f>
      </c>
      <c r="AE835" s="12">
        <f>IF(AD835&gt;0,IF(AD835&lt;=eco,alpha*fck*(1-(1-AD835/eco)^n),alpha*fck),0)</f>
      </c>
      <c r="AF835" s="30">
        <f>PM_Angle!$J$18+PM_Angle!$K$18*$C835+PM_Angle!$L$18*$B835</f>
      </c>
      <c r="AG835" s="12">
        <f>IF(AF835&gt;0,IF(AF835&lt;=eco,alpha*fck*(1-(1-AF835/eco)^n),alpha*fck),0)</f>
      </c>
      <c r="AH835" s="30">
        <f>PM_Angle!$J$19+PM_Angle!$K$19*$C835+PM_Angle!$L$19*$B835</f>
      </c>
      <c r="AI835" s="12">
        <f>IF(AH835&gt;0,IF(AH835&lt;=eco,alpha*fck*(1-(1-AH835/eco)^n),alpha*fck),0)</f>
      </c>
      <c r="AJ835" s="30">
        <f>PM_Angle!$J$20+PM_Angle!$K$20*$C835+PM_Angle!$L$20*$B835</f>
      </c>
      <c r="AK835" s="12">
        <f>IF(AJ835&gt;0,IF(AJ835&lt;=eco,alpha*fck*(1-(1-AJ835/eco)^n),alpha*fck),0)</f>
      </c>
      <c r="AL835" s="30">
        <f>PM_Angle!$J$21+PM_Angle!$K$21*$C835+PM_Angle!$L$21*$B835</f>
      </c>
      <c r="AM835" s="12">
        <f>IF(AL835&gt;0,IF(AL835&lt;=eco,alpha*fck*(1-(1-AL835/eco)^n),alpha*fck),0)</f>
      </c>
      <c r="AN835" s="30">
        <f>PM_Angle!$J$22+PM_Angle!$K$22*$C835+PM_Angle!$L$22*$B835</f>
      </c>
      <c r="AO835" s="12">
        <f>IF(AN835&gt;0,IF(AN835&lt;=eco,alpha*fck*(1-(1-AN835/eco)^n),alpha*fck),0)</f>
      </c>
      <c r="AP835" s="30">
        <f>PM_Angle!$J$23+PM_Angle!$K$23*$C835+PM_Angle!$L$23*$B835</f>
      </c>
      <c r="AQ835" s="12">
        <f>IF(AP835&gt;0,IF(AP835&lt;=eco,alpha*fck*(1-(1-AP835/eco)^n),alpha*fck),0)</f>
      </c>
      <c r="AR835" s="30">
        <f>PM_Angle!$J$24+PM_Angle!$K$24*$C835+PM_Angle!$L$24*$B835</f>
      </c>
      <c r="AS835" s="12">
        <f>IF(AR835&gt;0,IF(AR835&lt;=eco,alpha*fck*(1-(1-AR835/eco)^n),alpha*fck),0)</f>
      </c>
      <c r="AT835" s="30">
        <f>PM_Angle!$J$25+PM_Angle!$K$25*$C835+PM_Angle!$L$25*$B835</f>
      </c>
      <c r="AU835" s="12">
        <f>IF(AT835&gt;0,IF(AT835&lt;=eco,alpha*fck*(1-(1-AT835/eco)^n),alpha*fck),0)</f>
      </c>
    </row>
    <row r="836" spans="1:47" x14ac:dyDescent="0.25">
      <c r="A836">
        <f>Mesh!A833</f>
      </c>
      <c r="B836" s="12">
        <f>Mesh!B833</f>
      </c>
      <c r="C836" s="12">
        <f>Mesh!C833</f>
      </c>
      <c r="D836" s="12">
        <f>Mesh!D833</f>
      </c>
      <c r="E836" s="30">
        <f>INDEX(St_e0,Det+1)+INDEX(St_kx,Det+1)*C836+INDEX(St_ky,Det+1)*B836</f>
      </c>
      <c r="F836" s="12">
        <f>IF(E836&gt;0,IF(E836&lt;=eco,alpha*fck*(1-(1-E836/eco)^n),alpha*fck),0)</f>
      </c>
      <c r="G836" s="11">
        <f>F836*D836</f>
      </c>
      <c r="H836" s="11">
        <f>G836*C836</f>
      </c>
      <c r="I836" s="11">
        <f>G836*B836</f>
      </c>
      <c r="J836" s="30">
        <f>PM_Angle!$J$7+PM_Angle!$K$7*$C836+PM_Angle!$L$7*$B836</f>
      </c>
      <c r="K836" s="12">
        <f>IF(J836&gt;0,IF(J836&lt;=eco,alpha*fck*(1-(1-J836/eco)^n),alpha*fck),0)</f>
      </c>
      <c r="L836" s="30">
        <f>PM_Angle!$J$8+PM_Angle!$K$8*$C836+PM_Angle!$L$8*$B836</f>
      </c>
      <c r="M836" s="12">
        <f>IF(L836&gt;0,IF(L836&lt;=eco,alpha*fck*(1-(1-L836/eco)^n),alpha*fck),0)</f>
      </c>
      <c r="N836" s="30">
        <f>PM_Angle!$J$9+PM_Angle!$K$9*$C836+PM_Angle!$L$9*$B836</f>
      </c>
      <c r="O836" s="12">
        <f>IF(N836&gt;0,IF(N836&lt;=eco,alpha*fck*(1-(1-N836/eco)^n),alpha*fck),0)</f>
      </c>
      <c r="P836" s="30">
        <f>PM_Angle!$J$10+PM_Angle!$K$10*$C836+PM_Angle!$L$10*$B836</f>
      </c>
      <c r="Q836" s="12">
        <f>IF(P836&gt;0,IF(P836&lt;=eco,alpha*fck*(1-(1-P836/eco)^n),alpha*fck),0)</f>
      </c>
      <c r="R836" s="30">
        <f>PM_Angle!$J$11+PM_Angle!$K$11*$C836+PM_Angle!$L$11*$B836</f>
      </c>
      <c r="S836" s="12">
        <f>IF(R836&gt;0,IF(R836&lt;=eco,alpha*fck*(1-(1-R836/eco)^n),alpha*fck),0)</f>
      </c>
      <c r="T836" s="30">
        <f>PM_Angle!$J$12+PM_Angle!$K$12*$C836+PM_Angle!$L$12*$B836</f>
      </c>
      <c r="U836" s="12">
        <f>IF(T836&gt;0,IF(T836&lt;=eco,alpha*fck*(1-(1-T836/eco)^n),alpha*fck),0)</f>
      </c>
      <c r="V836" s="30">
        <f>PM_Angle!$J$13+PM_Angle!$K$13*$C836+PM_Angle!$L$13*$B836</f>
      </c>
      <c r="W836" s="12">
        <f>IF(V836&gt;0,IF(V836&lt;=eco,alpha*fck*(1-(1-V836/eco)^n),alpha*fck),0)</f>
      </c>
      <c r="X836" s="30">
        <f>PM_Angle!$J$14+PM_Angle!$K$14*$C836+PM_Angle!$L$14*$B836</f>
      </c>
      <c r="Y836" s="12">
        <f>IF(X836&gt;0,IF(X836&lt;=eco,alpha*fck*(1-(1-X836/eco)^n),alpha*fck),0)</f>
      </c>
      <c r="Z836" s="30">
        <f>PM_Angle!$J$15+PM_Angle!$K$15*$C836+PM_Angle!$L$15*$B836</f>
      </c>
      <c r="AA836" s="12">
        <f>IF(Z836&gt;0,IF(Z836&lt;=eco,alpha*fck*(1-(1-Z836/eco)^n),alpha*fck),0)</f>
      </c>
      <c r="AB836" s="30">
        <f>PM_Angle!$J$16+PM_Angle!$K$16*$C836+PM_Angle!$L$16*$B836</f>
      </c>
      <c r="AC836" s="12">
        <f>IF(AB836&gt;0,IF(AB836&lt;=eco,alpha*fck*(1-(1-AB836/eco)^n),alpha*fck),0)</f>
      </c>
      <c r="AD836" s="30">
        <f>PM_Angle!$J$17+PM_Angle!$K$17*$C836+PM_Angle!$L$17*$B836</f>
      </c>
      <c r="AE836" s="12">
        <f>IF(AD836&gt;0,IF(AD836&lt;=eco,alpha*fck*(1-(1-AD836/eco)^n),alpha*fck),0)</f>
      </c>
      <c r="AF836" s="30">
        <f>PM_Angle!$J$18+PM_Angle!$K$18*$C836+PM_Angle!$L$18*$B836</f>
      </c>
      <c r="AG836" s="12">
        <f>IF(AF836&gt;0,IF(AF836&lt;=eco,alpha*fck*(1-(1-AF836/eco)^n),alpha*fck),0)</f>
      </c>
      <c r="AH836" s="30">
        <f>PM_Angle!$J$19+PM_Angle!$K$19*$C836+PM_Angle!$L$19*$B836</f>
      </c>
      <c r="AI836" s="12">
        <f>IF(AH836&gt;0,IF(AH836&lt;=eco,alpha*fck*(1-(1-AH836/eco)^n),alpha*fck),0)</f>
      </c>
      <c r="AJ836" s="30">
        <f>PM_Angle!$J$20+PM_Angle!$K$20*$C836+PM_Angle!$L$20*$B836</f>
      </c>
      <c r="AK836" s="12">
        <f>IF(AJ836&gt;0,IF(AJ836&lt;=eco,alpha*fck*(1-(1-AJ836/eco)^n),alpha*fck),0)</f>
      </c>
      <c r="AL836" s="30">
        <f>PM_Angle!$J$21+PM_Angle!$K$21*$C836+PM_Angle!$L$21*$B836</f>
      </c>
      <c r="AM836" s="12">
        <f>IF(AL836&gt;0,IF(AL836&lt;=eco,alpha*fck*(1-(1-AL836/eco)^n),alpha*fck),0)</f>
      </c>
      <c r="AN836" s="30">
        <f>PM_Angle!$J$22+PM_Angle!$K$22*$C836+PM_Angle!$L$22*$B836</f>
      </c>
      <c r="AO836" s="12">
        <f>IF(AN836&gt;0,IF(AN836&lt;=eco,alpha*fck*(1-(1-AN836/eco)^n),alpha*fck),0)</f>
      </c>
      <c r="AP836" s="30">
        <f>PM_Angle!$J$23+PM_Angle!$K$23*$C836+PM_Angle!$L$23*$B836</f>
      </c>
      <c r="AQ836" s="12">
        <f>IF(AP836&gt;0,IF(AP836&lt;=eco,alpha*fck*(1-(1-AP836/eco)^n),alpha*fck),0)</f>
      </c>
      <c r="AR836" s="30">
        <f>PM_Angle!$J$24+PM_Angle!$K$24*$C836+PM_Angle!$L$24*$B836</f>
      </c>
      <c r="AS836" s="12">
        <f>IF(AR836&gt;0,IF(AR836&lt;=eco,alpha*fck*(1-(1-AR836/eco)^n),alpha*fck),0)</f>
      </c>
      <c r="AT836" s="30">
        <f>PM_Angle!$J$25+PM_Angle!$K$25*$C836+PM_Angle!$L$25*$B836</f>
      </c>
      <c r="AU836" s="12">
        <f>IF(AT836&gt;0,IF(AT836&lt;=eco,alpha*fck*(1-(1-AT836/eco)^n),alpha*fck),0)</f>
      </c>
    </row>
    <row r="837" spans="1:47" x14ac:dyDescent="0.25">
      <c r="A837">
        <f>Mesh!A834</f>
      </c>
      <c r="B837" s="12">
        <f>Mesh!B834</f>
      </c>
      <c r="C837" s="12">
        <f>Mesh!C834</f>
      </c>
      <c r="D837" s="12">
        <f>Mesh!D834</f>
      </c>
      <c r="E837" s="30">
        <f>INDEX(St_e0,Det+1)+INDEX(St_kx,Det+1)*C837+INDEX(St_ky,Det+1)*B837</f>
      </c>
      <c r="F837" s="12">
        <f>IF(E837&gt;0,IF(E837&lt;=eco,alpha*fck*(1-(1-E837/eco)^n),alpha*fck),0)</f>
      </c>
      <c r="G837" s="11">
        <f>F837*D837</f>
      </c>
      <c r="H837" s="11">
        <f>G837*C837</f>
      </c>
      <c r="I837" s="11">
        <f>G837*B837</f>
      </c>
      <c r="J837" s="30">
        <f>PM_Angle!$J$7+PM_Angle!$K$7*$C837+PM_Angle!$L$7*$B837</f>
      </c>
      <c r="K837" s="12">
        <f>IF(J837&gt;0,IF(J837&lt;=eco,alpha*fck*(1-(1-J837/eco)^n),alpha*fck),0)</f>
      </c>
      <c r="L837" s="30">
        <f>PM_Angle!$J$8+PM_Angle!$K$8*$C837+PM_Angle!$L$8*$B837</f>
      </c>
      <c r="M837" s="12">
        <f>IF(L837&gt;0,IF(L837&lt;=eco,alpha*fck*(1-(1-L837/eco)^n),alpha*fck),0)</f>
      </c>
      <c r="N837" s="30">
        <f>PM_Angle!$J$9+PM_Angle!$K$9*$C837+PM_Angle!$L$9*$B837</f>
      </c>
      <c r="O837" s="12">
        <f>IF(N837&gt;0,IF(N837&lt;=eco,alpha*fck*(1-(1-N837/eco)^n),alpha*fck),0)</f>
      </c>
      <c r="P837" s="30">
        <f>PM_Angle!$J$10+PM_Angle!$K$10*$C837+PM_Angle!$L$10*$B837</f>
      </c>
      <c r="Q837" s="12">
        <f>IF(P837&gt;0,IF(P837&lt;=eco,alpha*fck*(1-(1-P837/eco)^n),alpha*fck),0)</f>
      </c>
      <c r="R837" s="30">
        <f>PM_Angle!$J$11+PM_Angle!$K$11*$C837+PM_Angle!$L$11*$B837</f>
      </c>
      <c r="S837" s="12">
        <f>IF(R837&gt;0,IF(R837&lt;=eco,alpha*fck*(1-(1-R837/eco)^n),alpha*fck),0)</f>
      </c>
      <c r="T837" s="30">
        <f>PM_Angle!$J$12+PM_Angle!$K$12*$C837+PM_Angle!$L$12*$B837</f>
      </c>
      <c r="U837" s="12">
        <f>IF(T837&gt;0,IF(T837&lt;=eco,alpha*fck*(1-(1-T837/eco)^n),alpha*fck),0)</f>
      </c>
      <c r="V837" s="30">
        <f>PM_Angle!$J$13+PM_Angle!$K$13*$C837+PM_Angle!$L$13*$B837</f>
      </c>
      <c r="W837" s="12">
        <f>IF(V837&gt;0,IF(V837&lt;=eco,alpha*fck*(1-(1-V837/eco)^n),alpha*fck),0)</f>
      </c>
      <c r="X837" s="30">
        <f>PM_Angle!$J$14+PM_Angle!$K$14*$C837+PM_Angle!$L$14*$B837</f>
      </c>
      <c r="Y837" s="12">
        <f>IF(X837&gt;0,IF(X837&lt;=eco,alpha*fck*(1-(1-X837/eco)^n),alpha*fck),0)</f>
      </c>
      <c r="Z837" s="30">
        <f>PM_Angle!$J$15+PM_Angle!$K$15*$C837+PM_Angle!$L$15*$B837</f>
      </c>
      <c r="AA837" s="12">
        <f>IF(Z837&gt;0,IF(Z837&lt;=eco,alpha*fck*(1-(1-Z837/eco)^n),alpha*fck),0)</f>
      </c>
      <c r="AB837" s="30">
        <f>PM_Angle!$J$16+PM_Angle!$K$16*$C837+PM_Angle!$L$16*$B837</f>
      </c>
      <c r="AC837" s="12">
        <f>IF(AB837&gt;0,IF(AB837&lt;=eco,alpha*fck*(1-(1-AB837/eco)^n),alpha*fck),0)</f>
      </c>
      <c r="AD837" s="30">
        <f>PM_Angle!$J$17+PM_Angle!$K$17*$C837+PM_Angle!$L$17*$B837</f>
      </c>
      <c r="AE837" s="12">
        <f>IF(AD837&gt;0,IF(AD837&lt;=eco,alpha*fck*(1-(1-AD837/eco)^n),alpha*fck),0)</f>
      </c>
      <c r="AF837" s="30">
        <f>PM_Angle!$J$18+PM_Angle!$K$18*$C837+PM_Angle!$L$18*$B837</f>
      </c>
      <c r="AG837" s="12">
        <f>IF(AF837&gt;0,IF(AF837&lt;=eco,alpha*fck*(1-(1-AF837/eco)^n),alpha*fck),0)</f>
      </c>
      <c r="AH837" s="30">
        <f>PM_Angle!$J$19+PM_Angle!$K$19*$C837+PM_Angle!$L$19*$B837</f>
      </c>
      <c r="AI837" s="12">
        <f>IF(AH837&gt;0,IF(AH837&lt;=eco,alpha*fck*(1-(1-AH837/eco)^n),alpha*fck),0)</f>
      </c>
      <c r="AJ837" s="30">
        <f>PM_Angle!$J$20+PM_Angle!$K$20*$C837+PM_Angle!$L$20*$B837</f>
      </c>
      <c r="AK837" s="12">
        <f>IF(AJ837&gt;0,IF(AJ837&lt;=eco,alpha*fck*(1-(1-AJ837/eco)^n),alpha*fck),0)</f>
      </c>
      <c r="AL837" s="30">
        <f>PM_Angle!$J$21+PM_Angle!$K$21*$C837+PM_Angle!$L$21*$B837</f>
      </c>
      <c r="AM837" s="12">
        <f>IF(AL837&gt;0,IF(AL837&lt;=eco,alpha*fck*(1-(1-AL837/eco)^n),alpha*fck),0)</f>
      </c>
      <c r="AN837" s="30">
        <f>PM_Angle!$J$22+PM_Angle!$K$22*$C837+PM_Angle!$L$22*$B837</f>
      </c>
      <c r="AO837" s="12">
        <f>IF(AN837&gt;0,IF(AN837&lt;=eco,alpha*fck*(1-(1-AN837/eco)^n),alpha*fck),0)</f>
      </c>
      <c r="AP837" s="30">
        <f>PM_Angle!$J$23+PM_Angle!$K$23*$C837+PM_Angle!$L$23*$B837</f>
      </c>
      <c r="AQ837" s="12">
        <f>IF(AP837&gt;0,IF(AP837&lt;=eco,alpha*fck*(1-(1-AP837/eco)^n),alpha*fck),0)</f>
      </c>
      <c r="AR837" s="30">
        <f>PM_Angle!$J$24+PM_Angle!$K$24*$C837+PM_Angle!$L$24*$B837</f>
      </c>
      <c r="AS837" s="12">
        <f>IF(AR837&gt;0,IF(AR837&lt;=eco,alpha*fck*(1-(1-AR837/eco)^n),alpha*fck),0)</f>
      </c>
      <c r="AT837" s="30">
        <f>PM_Angle!$J$25+PM_Angle!$K$25*$C837+PM_Angle!$L$25*$B837</f>
      </c>
      <c r="AU837" s="12">
        <f>IF(AT837&gt;0,IF(AT837&lt;=eco,alpha*fck*(1-(1-AT837/eco)^n),alpha*fck),0)</f>
      </c>
    </row>
    <row r="838" spans="1:47" x14ac:dyDescent="0.25">
      <c r="A838">
        <f>Mesh!A835</f>
      </c>
      <c r="B838" s="12">
        <f>Mesh!B835</f>
      </c>
      <c r="C838" s="12">
        <f>Mesh!C835</f>
      </c>
      <c r="D838" s="12">
        <f>Mesh!D835</f>
      </c>
      <c r="E838" s="30">
        <f>INDEX(St_e0,Det+1)+INDEX(St_kx,Det+1)*C838+INDEX(St_ky,Det+1)*B838</f>
      </c>
      <c r="F838" s="12">
        <f>IF(E838&gt;0,IF(E838&lt;=eco,alpha*fck*(1-(1-E838/eco)^n),alpha*fck),0)</f>
      </c>
      <c r="G838" s="11">
        <f>F838*D838</f>
      </c>
      <c r="H838" s="11">
        <f>G838*C838</f>
      </c>
      <c r="I838" s="11">
        <f>G838*B838</f>
      </c>
      <c r="J838" s="30">
        <f>PM_Angle!$J$7+PM_Angle!$K$7*$C838+PM_Angle!$L$7*$B838</f>
      </c>
      <c r="K838" s="12">
        <f>IF(J838&gt;0,IF(J838&lt;=eco,alpha*fck*(1-(1-J838/eco)^n),alpha*fck),0)</f>
      </c>
      <c r="L838" s="30">
        <f>PM_Angle!$J$8+PM_Angle!$K$8*$C838+PM_Angle!$L$8*$B838</f>
      </c>
      <c r="M838" s="12">
        <f>IF(L838&gt;0,IF(L838&lt;=eco,alpha*fck*(1-(1-L838/eco)^n),alpha*fck),0)</f>
      </c>
      <c r="N838" s="30">
        <f>PM_Angle!$J$9+PM_Angle!$K$9*$C838+PM_Angle!$L$9*$B838</f>
      </c>
      <c r="O838" s="12">
        <f>IF(N838&gt;0,IF(N838&lt;=eco,alpha*fck*(1-(1-N838/eco)^n),alpha*fck),0)</f>
      </c>
      <c r="P838" s="30">
        <f>PM_Angle!$J$10+PM_Angle!$K$10*$C838+PM_Angle!$L$10*$B838</f>
      </c>
      <c r="Q838" s="12">
        <f>IF(P838&gt;0,IF(P838&lt;=eco,alpha*fck*(1-(1-P838/eco)^n),alpha*fck),0)</f>
      </c>
      <c r="R838" s="30">
        <f>PM_Angle!$J$11+PM_Angle!$K$11*$C838+PM_Angle!$L$11*$B838</f>
      </c>
      <c r="S838" s="12">
        <f>IF(R838&gt;0,IF(R838&lt;=eco,alpha*fck*(1-(1-R838/eco)^n),alpha*fck),0)</f>
      </c>
      <c r="T838" s="30">
        <f>PM_Angle!$J$12+PM_Angle!$K$12*$C838+PM_Angle!$L$12*$B838</f>
      </c>
      <c r="U838" s="12">
        <f>IF(T838&gt;0,IF(T838&lt;=eco,alpha*fck*(1-(1-T838/eco)^n),alpha*fck),0)</f>
      </c>
      <c r="V838" s="30">
        <f>PM_Angle!$J$13+PM_Angle!$K$13*$C838+PM_Angle!$L$13*$B838</f>
      </c>
      <c r="W838" s="12">
        <f>IF(V838&gt;0,IF(V838&lt;=eco,alpha*fck*(1-(1-V838/eco)^n),alpha*fck),0)</f>
      </c>
      <c r="X838" s="30">
        <f>PM_Angle!$J$14+PM_Angle!$K$14*$C838+PM_Angle!$L$14*$B838</f>
      </c>
      <c r="Y838" s="12">
        <f>IF(X838&gt;0,IF(X838&lt;=eco,alpha*fck*(1-(1-X838/eco)^n),alpha*fck),0)</f>
      </c>
      <c r="Z838" s="30">
        <f>PM_Angle!$J$15+PM_Angle!$K$15*$C838+PM_Angle!$L$15*$B838</f>
      </c>
      <c r="AA838" s="12">
        <f>IF(Z838&gt;0,IF(Z838&lt;=eco,alpha*fck*(1-(1-Z838/eco)^n),alpha*fck),0)</f>
      </c>
      <c r="AB838" s="30">
        <f>PM_Angle!$J$16+PM_Angle!$K$16*$C838+PM_Angle!$L$16*$B838</f>
      </c>
      <c r="AC838" s="12">
        <f>IF(AB838&gt;0,IF(AB838&lt;=eco,alpha*fck*(1-(1-AB838/eco)^n),alpha*fck),0)</f>
      </c>
      <c r="AD838" s="30">
        <f>PM_Angle!$J$17+PM_Angle!$K$17*$C838+PM_Angle!$L$17*$B838</f>
      </c>
      <c r="AE838" s="12">
        <f>IF(AD838&gt;0,IF(AD838&lt;=eco,alpha*fck*(1-(1-AD838/eco)^n),alpha*fck),0)</f>
      </c>
      <c r="AF838" s="30">
        <f>PM_Angle!$J$18+PM_Angle!$K$18*$C838+PM_Angle!$L$18*$B838</f>
      </c>
      <c r="AG838" s="12">
        <f>IF(AF838&gt;0,IF(AF838&lt;=eco,alpha*fck*(1-(1-AF838/eco)^n),alpha*fck),0)</f>
      </c>
      <c r="AH838" s="30">
        <f>PM_Angle!$J$19+PM_Angle!$K$19*$C838+PM_Angle!$L$19*$B838</f>
      </c>
      <c r="AI838" s="12">
        <f>IF(AH838&gt;0,IF(AH838&lt;=eco,alpha*fck*(1-(1-AH838/eco)^n),alpha*fck),0)</f>
      </c>
      <c r="AJ838" s="30">
        <f>PM_Angle!$J$20+PM_Angle!$K$20*$C838+PM_Angle!$L$20*$B838</f>
      </c>
      <c r="AK838" s="12">
        <f>IF(AJ838&gt;0,IF(AJ838&lt;=eco,alpha*fck*(1-(1-AJ838/eco)^n),alpha*fck),0)</f>
      </c>
      <c r="AL838" s="30">
        <f>PM_Angle!$J$21+PM_Angle!$K$21*$C838+PM_Angle!$L$21*$B838</f>
      </c>
      <c r="AM838" s="12">
        <f>IF(AL838&gt;0,IF(AL838&lt;=eco,alpha*fck*(1-(1-AL838/eco)^n),alpha*fck),0)</f>
      </c>
      <c r="AN838" s="30">
        <f>PM_Angle!$J$22+PM_Angle!$K$22*$C838+PM_Angle!$L$22*$B838</f>
      </c>
      <c r="AO838" s="12">
        <f>IF(AN838&gt;0,IF(AN838&lt;=eco,alpha*fck*(1-(1-AN838/eco)^n),alpha*fck),0)</f>
      </c>
      <c r="AP838" s="30">
        <f>PM_Angle!$J$23+PM_Angle!$K$23*$C838+PM_Angle!$L$23*$B838</f>
      </c>
      <c r="AQ838" s="12">
        <f>IF(AP838&gt;0,IF(AP838&lt;=eco,alpha*fck*(1-(1-AP838/eco)^n),alpha*fck),0)</f>
      </c>
      <c r="AR838" s="30">
        <f>PM_Angle!$J$24+PM_Angle!$K$24*$C838+PM_Angle!$L$24*$B838</f>
      </c>
      <c r="AS838" s="12">
        <f>IF(AR838&gt;0,IF(AR838&lt;=eco,alpha*fck*(1-(1-AR838/eco)^n),alpha*fck),0)</f>
      </c>
      <c r="AT838" s="30">
        <f>PM_Angle!$J$25+PM_Angle!$K$25*$C838+PM_Angle!$L$25*$B838</f>
      </c>
      <c r="AU838" s="12">
        <f>IF(AT838&gt;0,IF(AT838&lt;=eco,alpha*fck*(1-(1-AT838/eco)^n),alpha*fck),0)</f>
      </c>
    </row>
    <row r="839" spans="1:47" x14ac:dyDescent="0.25">
      <c r="A839">
        <f>Mesh!A836</f>
      </c>
      <c r="B839" s="12">
        <f>Mesh!B836</f>
      </c>
      <c r="C839" s="12">
        <f>Mesh!C836</f>
      </c>
      <c r="D839" s="12">
        <f>Mesh!D836</f>
      </c>
      <c r="E839" s="30">
        <f>INDEX(St_e0,Det+1)+INDEX(St_kx,Det+1)*C839+INDEX(St_ky,Det+1)*B839</f>
      </c>
      <c r="F839" s="12">
        <f>IF(E839&gt;0,IF(E839&lt;=eco,alpha*fck*(1-(1-E839/eco)^n),alpha*fck),0)</f>
      </c>
      <c r="G839" s="11">
        <f>F839*D839</f>
      </c>
      <c r="H839" s="11">
        <f>G839*C839</f>
      </c>
      <c r="I839" s="11">
        <f>G839*B839</f>
      </c>
      <c r="J839" s="30">
        <f>PM_Angle!$J$7+PM_Angle!$K$7*$C839+PM_Angle!$L$7*$B839</f>
      </c>
      <c r="K839" s="12">
        <f>IF(J839&gt;0,IF(J839&lt;=eco,alpha*fck*(1-(1-J839/eco)^n),alpha*fck),0)</f>
      </c>
      <c r="L839" s="30">
        <f>PM_Angle!$J$8+PM_Angle!$K$8*$C839+PM_Angle!$L$8*$B839</f>
      </c>
      <c r="M839" s="12">
        <f>IF(L839&gt;0,IF(L839&lt;=eco,alpha*fck*(1-(1-L839/eco)^n),alpha*fck),0)</f>
      </c>
      <c r="N839" s="30">
        <f>PM_Angle!$J$9+PM_Angle!$K$9*$C839+PM_Angle!$L$9*$B839</f>
      </c>
      <c r="O839" s="12">
        <f>IF(N839&gt;0,IF(N839&lt;=eco,alpha*fck*(1-(1-N839/eco)^n),alpha*fck),0)</f>
      </c>
      <c r="P839" s="30">
        <f>PM_Angle!$J$10+PM_Angle!$K$10*$C839+PM_Angle!$L$10*$B839</f>
      </c>
      <c r="Q839" s="12">
        <f>IF(P839&gt;0,IF(P839&lt;=eco,alpha*fck*(1-(1-P839/eco)^n),alpha*fck),0)</f>
      </c>
      <c r="R839" s="30">
        <f>PM_Angle!$J$11+PM_Angle!$K$11*$C839+PM_Angle!$L$11*$B839</f>
      </c>
      <c r="S839" s="12">
        <f>IF(R839&gt;0,IF(R839&lt;=eco,alpha*fck*(1-(1-R839/eco)^n),alpha*fck),0)</f>
      </c>
      <c r="T839" s="30">
        <f>PM_Angle!$J$12+PM_Angle!$K$12*$C839+PM_Angle!$L$12*$B839</f>
      </c>
      <c r="U839" s="12">
        <f>IF(T839&gt;0,IF(T839&lt;=eco,alpha*fck*(1-(1-T839/eco)^n),alpha*fck),0)</f>
      </c>
      <c r="V839" s="30">
        <f>PM_Angle!$J$13+PM_Angle!$K$13*$C839+PM_Angle!$L$13*$B839</f>
      </c>
      <c r="W839" s="12">
        <f>IF(V839&gt;0,IF(V839&lt;=eco,alpha*fck*(1-(1-V839/eco)^n),alpha*fck),0)</f>
      </c>
      <c r="X839" s="30">
        <f>PM_Angle!$J$14+PM_Angle!$K$14*$C839+PM_Angle!$L$14*$B839</f>
      </c>
      <c r="Y839" s="12">
        <f>IF(X839&gt;0,IF(X839&lt;=eco,alpha*fck*(1-(1-X839/eco)^n),alpha*fck),0)</f>
      </c>
      <c r="Z839" s="30">
        <f>PM_Angle!$J$15+PM_Angle!$K$15*$C839+PM_Angle!$L$15*$B839</f>
      </c>
      <c r="AA839" s="12">
        <f>IF(Z839&gt;0,IF(Z839&lt;=eco,alpha*fck*(1-(1-Z839/eco)^n),alpha*fck),0)</f>
      </c>
      <c r="AB839" s="30">
        <f>PM_Angle!$J$16+PM_Angle!$K$16*$C839+PM_Angle!$L$16*$B839</f>
      </c>
      <c r="AC839" s="12">
        <f>IF(AB839&gt;0,IF(AB839&lt;=eco,alpha*fck*(1-(1-AB839/eco)^n),alpha*fck),0)</f>
      </c>
      <c r="AD839" s="30">
        <f>PM_Angle!$J$17+PM_Angle!$K$17*$C839+PM_Angle!$L$17*$B839</f>
      </c>
      <c r="AE839" s="12">
        <f>IF(AD839&gt;0,IF(AD839&lt;=eco,alpha*fck*(1-(1-AD839/eco)^n),alpha*fck),0)</f>
      </c>
      <c r="AF839" s="30">
        <f>PM_Angle!$J$18+PM_Angle!$K$18*$C839+PM_Angle!$L$18*$B839</f>
      </c>
      <c r="AG839" s="12">
        <f>IF(AF839&gt;0,IF(AF839&lt;=eco,alpha*fck*(1-(1-AF839/eco)^n),alpha*fck),0)</f>
      </c>
      <c r="AH839" s="30">
        <f>PM_Angle!$J$19+PM_Angle!$K$19*$C839+PM_Angle!$L$19*$B839</f>
      </c>
      <c r="AI839" s="12">
        <f>IF(AH839&gt;0,IF(AH839&lt;=eco,alpha*fck*(1-(1-AH839/eco)^n),alpha*fck),0)</f>
      </c>
      <c r="AJ839" s="30">
        <f>PM_Angle!$J$20+PM_Angle!$K$20*$C839+PM_Angle!$L$20*$B839</f>
      </c>
      <c r="AK839" s="12">
        <f>IF(AJ839&gt;0,IF(AJ839&lt;=eco,alpha*fck*(1-(1-AJ839/eco)^n),alpha*fck),0)</f>
      </c>
      <c r="AL839" s="30">
        <f>PM_Angle!$J$21+PM_Angle!$K$21*$C839+PM_Angle!$L$21*$B839</f>
      </c>
      <c r="AM839" s="12">
        <f>IF(AL839&gt;0,IF(AL839&lt;=eco,alpha*fck*(1-(1-AL839/eco)^n),alpha*fck),0)</f>
      </c>
      <c r="AN839" s="30">
        <f>PM_Angle!$J$22+PM_Angle!$K$22*$C839+PM_Angle!$L$22*$B839</f>
      </c>
      <c r="AO839" s="12">
        <f>IF(AN839&gt;0,IF(AN839&lt;=eco,alpha*fck*(1-(1-AN839/eco)^n),alpha*fck),0)</f>
      </c>
      <c r="AP839" s="30">
        <f>PM_Angle!$J$23+PM_Angle!$K$23*$C839+PM_Angle!$L$23*$B839</f>
      </c>
      <c r="AQ839" s="12">
        <f>IF(AP839&gt;0,IF(AP839&lt;=eco,alpha*fck*(1-(1-AP839/eco)^n),alpha*fck),0)</f>
      </c>
      <c r="AR839" s="30">
        <f>PM_Angle!$J$24+PM_Angle!$K$24*$C839+PM_Angle!$L$24*$B839</f>
      </c>
      <c r="AS839" s="12">
        <f>IF(AR839&gt;0,IF(AR839&lt;=eco,alpha*fck*(1-(1-AR839/eco)^n),alpha*fck),0)</f>
      </c>
      <c r="AT839" s="30">
        <f>PM_Angle!$J$25+PM_Angle!$K$25*$C839+PM_Angle!$L$25*$B839</f>
      </c>
      <c r="AU839" s="12">
        <f>IF(AT839&gt;0,IF(AT839&lt;=eco,alpha*fck*(1-(1-AT839/eco)^n),alpha*fck),0)</f>
      </c>
    </row>
    <row r="840" spans="1:47" x14ac:dyDescent="0.25">
      <c r="A840">
        <f>Mesh!A837</f>
      </c>
      <c r="B840" s="12">
        <f>Mesh!B837</f>
      </c>
      <c r="C840" s="12">
        <f>Mesh!C837</f>
      </c>
      <c r="D840" s="12">
        <f>Mesh!D837</f>
      </c>
      <c r="E840" s="30">
        <f>INDEX(St_e0,Det+1)+INDEX(St_kx,Det+1)*C840+INDEX(St_ky,Det+1)*B840</f>
      </c>
      <c r="F840" s="12">
        <f>IF(E840&gt;0,IF(E840&lt;=eco,alpha*fck*(1-(1-E840/eco)^n),alpha*fck),0)</f>
      </c>
      <c r="G840" s="11">
        <f>F840*D840</f>
      </c>
      <c r="H840" s="11">
        <f>G840*C840</f>
      </c>
      <c r="I840" s="11">
        <f>G840*B840</f>
      </c>
      <c r="J840" s="30">
        <f>PM_Angle!$J$7+PM_Angle!$K$7*$C840+PM_Angle!$L$7*$B840</f>
      </c>
      <c r="K840" s="12">
        <f>IF(J840&gt;0,IF(J840&lt;=eco,alpha*fck*(1-(1-J840/eco)^n),alpha*fck),0)</f>
      </c>
      <c r="L840" s="30">
        <f>PM_Angle!$J$8+PM_Angle!$K$8*$C840+PM_Angle!$L$8*$B840</f>
      </c>
      <c r="M840" s="12">
        <f>IF(L840&gt;0,IF(L840&lt;=eco,alpha*fck*(1-(1-L840/eco)^n),alpha*fck),0)</f>
      </c>
      <c r="N840" s="30">
        <f>PM_Angle!$J$9+PM_Angle!$K$9*$C840+PM_Angle!$L$9*$B840</f>
      </c>
      <c r="O840" s="12">
        <f>IF(N840&gt;0,IF(N840&lt;=eco,alpha*fck*(1-(1-N840/eco)^n),alpha*fck),0)</f>
      </c>
      <c r="P840" s="30">
        <f>PM_Angle!$J$10+PM_Angle!$K$10*$C840+PM_Angle!$L$10*$B840</f>
      </c>
      <c r="Q840" s="12">
        <f>IF(P840&gt;0,IF(P840&lt;=eco,alpha*fck*(1-(1-P840/eco)^n),alpha*fck),0)</f>
      </c>
      <c r="R840" s="30">
        <f>PM_Angle!$J$11+PM_Angle!$K$11*$C840+PM_Angle!$L$11*$B840</f>
      </c>
      <c r="S840" s="12">
        <f>IF(R840&gt;0,IF(R840&lt;=eco,alpha*fck*(1-(1-R840/eco)^n),alpha*fck),0)</f>
      </c>
      <c r="T840" s="30">
        <f>PM_Angle!$J$12+PM_Angle!$K$12*$C840+PM_Angle!$L$12*$B840</f>
      </c>
      <c r="U840" s="12">
        <f>IF(T840&gt;0,IF(T840&lt;=eco,alpha*fck*(1-(1-T840/eco)^n),alpha*fck),0)</f>
      </c>
      <c r="V840" s="30">
        <f>PM_Angle!$J$13+PM_Angle!$K$13*$C840+PM_Angle!$L$13*$B840</f>
      </c>
      <c r="W840" s="12">
        <f>IF(V840&gt;0,IF(V840&lt;=eco,alpha*fck*(1-(1-V840/eco)^n),alpha*fck),0)</f>
      </c>
      <c r="X840" s="30">
        <f>PM_Angle!$J$14+PM_Angle!$K$14*$C840+PM_Angle!$L$14*$B840</f>
      </c>
      <c r="Y840" s="12">
        <f>IF(X840&gt;0,IF(X840&lt;=eco,alpha*fck*(1-(1-X840/eco)^n),alpha*fck),0)</f>
      </c>
      <c r="Z840" s="30">
        <f>PM_Angle!$J$15+PM_Angle!$K$15*$C840+PM_Angle!$L$15*$B840</f>
      </c>
      <c r="AA840" s="12">
        <f>IF(Z840&gt;0,IF(Z840&lt;=eco,alpha*fck*(1-(1-Z840/eco)^n),alpha*fck),0)</f>
      </c>
      <c r="AB840" s="30">
        <f>PM_Angle!$J$16+PM_Angle!$K$16*$C840+PM_Angle!$L$16*$B840</f>
      </c>
      <c r="AC840" s="12">
        <f>IF(AB840&gt;0,IF(AB840&lt;=eco,alpha*fck*(1-(1-AB840/eco)^n),alpha*fck),0)</f>
      </c>
      <c r="AD840" s="30">
        <f>PM_Angle!$J$17+PM_Angle!$K$17*$C840+PM_Angle!$L$17*$B840</f>
      </c>
      <c r="AE840" s="12">
        <f>IF(AD840&gt;0,IF(AD840&lt;=eco,alpha*fck*(1-(1-AD840/eco)^n),alpha*fck),0)</f>
      </c>
      <c r="AF840" s="30">
        <f>PM_Angle!$J$18+PM_Angle!$K$18*$C840+PM_Angle!$L$18*$B840</f>
      </c>
      <c r="AG840" s="12">
        <f>IF(AF840&gt;0,IF(AF840&lt;=eco,alpha*fck*(1-(1-AF840/eco)^n),alpha*fck),0)</f>
      </c>
      <c r="AH840" s="30">
        <f>PM_Angle!$J$19+PM_Angle!$K$19*$C840+PM_Angle!$L$19*$B840</f>
      </c>
      <c r="AI840" s="12">
        <f>IF(AH840&gt;0,IF(AH840&lt;=eco,alpha*fck*(1-(1-AH840/eco)^n),alpha*fck),0)</f>
      </c>
      <c r="AJ840" s="30">
        <f>PM_Angle!$J$20+PM_Angle!$K$20*$C840+PM_Angle!$L$20*$B840</f>
      </c>
      <c r="AK840" s="12">
        <f>IF(AJ840&gt;0,IF(AJ840&lt;=eco,alpha*fck*(1-(1-AJ840/eco)^n),alpha*fck),0)</f>
      </c>
      <c r="AL840" s="30">
        <f>PM_Angle!$J$21+PM_Angle!$K$21*$C840+PM_Angle!$L$21*$B840</f>
      </c>
      <c r="AM840" s="12">
        <f>IF(AL840&gt;0,IF(AL840&lt;=eco,alpha*fck*(1-(1-AL840/eco)^n),alpha*fck),0)</f>
      </c>
      <c r="AN840" s="30">
        <f>PM_Angle!$J$22+PM_Angle!$K$22*$C840+PM_Angle!$L$22*$B840</f>
      </c>
      <c r="AO840" s="12">
        <f>IF(AN840&gt;0,IF(AN840&lt;=eco,alpha*fck*(1-(1-AN840/eco)^n),alpha*fck),0)</f>
      </c>
      <c r="AP840" s="30">
        <f>PM_Angle!$J$23+PM_Angle!$K$23*$C840+PM_Angle!$L$23*$B840</f>
      </c>
      <c r="AQ840" s="12">
        <f>IF(AP840&gt;0,IF(AP840&lt;=eco,alpha*fck*(1-(1-AP840/eco)^n),alpha*fck),0)</f>
      </c>
      <c r="AR840" s="30">
        <f>PM_Angle!$J$24+PM_Angle!$K$24*$C840+PM_Angle!$L$24*$B840</f>
      </c>
      <c r="AS840" s="12">
        <f>IF(AR840&gt;0,IF(AR840&lt;=eco,alpha*fck*(1-(1-AR840/eco)^n),alpha*fck),0)</f>
      </c>
      <c r="AT840" s="30">
        <f>PM_Angle!$J$25+PM_Angle!$K$25*$C840+PM_Angle!$L$25*$B840</f>
      </c>
      <c r="AU840" s="12">
        <f>IF(AT840&gt;0,IF(AT840&lt;=eco,alpha*fck*(1-(1-AT840/eco)^n),alpha*fck),0)</f>
      </c>
    </row>
    <row r="841" spans="1:47" x14ac:dyDescent="0.25">
      <c r="A841">
        <f>Mesh!A838</f>
      </c>
      <c r="B841" s="12">
        <f>Mesh!B838</f>
      </c>
      <c r="C841" s="12">
        <f>Mesh!C838</f>
      </c>
      <c r="D841" s="12">
        <f>Mesh!D838</f>
      </c>
      <c r="E841" s="30">
        <f>INDEX(St_e0,Det+1)+INDEX(St_kx,Det+1)*C841+INDEX(St_ky,Det+1)*B841</f>
      </c>
      <c r="F841" s="12">
        <f>IF(E841&gt;0,IF(E841&lt;=eco,alpha*fck*(1-(1-E841/eco)^n),alpha*fck),0)</f>
      </c>
      <c r="G841" s="11">
        <f>F841*D841</f>
      </c>
      <c r="H841" s="11">
        <f>G841*C841</f>
      </c>
      <c r="I841" s="11">
        <f>G841*B841</f>
      </c>
      <c r="J841" s="30">
        <f>PM_Angle!$J$7+PM_Angle!$K$7*$C841+PM_Angle!$L$7*$B841</f>
      </c>
      <c r="K841" s="12">
        <f>IF(J841&gt;0,IF(J841&lt;=eco,alpha*fck*(1-(1-J841/eco)^n),alpha*fck),0)</f>
      </c>
      <c r="L841" s="30">
        <f>PM_Angle!$J$8+PM_Angle!$K$8*$C841+PM_Angle!$L$8*$B841</f>
      </c>
      <c r="M841" s="12">
        <f>IF(L841&gt;0,IF(L841&lt;=eco,alpha*fck*(1-(1-L841/eco)^n),alpha*fck),0)</f>
      </c>
      <c r="N841" s="30">
        <f>PM_Angle!$J$9+PM_Angle!$K$9*$C841+PM_Angle!$L$9*$B841</f>
      </c>
      <c r="O841" s="12">
        <f>IF(N841&gt;0,IF(N841&lt;=eco,alpha*fck*(1-(1-N841/eco)^n),alpha*fck),0)</f>
      </c>
      <c r="P841" s="30">
        <f>PM_Angle!$J$10+PM_Angle!$K$10*$C841+PM_Angle!$L$10*$B841</f>
      </c>
      <c r="Q841" s="12">
        <f>IF(P841&gt;0,IF(P841&lt;=eco,alpha*fck*(1-(1-P841/eco)^n),alpha*fck),0)</f>
      </c>
      <c r="R841" s="30">
        <f>PM_Angle!$J$11+PM_Angle!$K$11*$C841+PM_Angle!$L$11*$B841</f>
      </c>
      <c r="S841" s="12">
        <f>IF(R841&gt;0,IF(R841&lt;=eco,alpha*fck*(1-(1-R841/eco)^n),alpha*fck),0)</f>
      </c>
      <c r="T841" s="30">
        <f>PM_Angle!$J$12+PM_Angle!$K$12*$C841+PM_Angle!$L$12*$B841</f>
      </c>
      <c r="U841" s="12">
        <f>IF(T841&gt;0,IF(T841&lt;=eco,alpha*fck*(1-(1-T841/eco)^n),alpha*fck),0)</f>
      </c>
      <c r="V841" s="30">
        <f>PM_Angle!$J$13+PM_Angle!$K$13*$C841+PM_Angle!$L$13*$B841</f>
      </c>
      <c r="W841" s="12">
        <f>IF(V841&gt;0,IF(V841&lt;=eco,alpha*fck*(1-(1-V841/eco)^n),alpha*fck),0)</f>
      </c>
      <c r="X841" s="30">
        <f>PM_Angle!$J$14+PM_Angle!$K$14*$C841+PM_Angle!$L$14*$B841</f>
      </c>
      <c r="Y841" s="12">
        <f>IF(X841&gt;0,IF(X841&lt;=eco,alpha*fck*(1-(1-X841/eco)^n),alpha*fck),0)</f>
      </c>
      <c r="Z841" s="30">
        <f>PM_Angle!$J$15+PM_Angle!$K$15*$C841+PM_Angle!$L$15*$B841</f>
      </c>
      <c r="AA841" s="12">
        <f>IF(Z841&gt;0,IF(Z841&lt;=eco,alpha*fck*(1-(1-Z841/eco)^n),alpha*fck),0)</f>
      </c>
      <c r="AB841" s="30">
        <f>PM_Angle!$J$16+PM_Angle!$K$16*$C841+PM_Angle!$L$16*$B841</f>
      </c>
      <c r="AC841" s="12">
        <f>IF(AB841&gt;0,IF(AB841&lt;=eco,alpha*fck*(1-(1-AB841/eco)^n),alpha*fck),0)</f>
      </c>
      <c r="AD841" s="30">
        <f>PM_Angle!$J$17+PM_Angle!$K$17*$C841+PM_Angle!$L$17*$B841</f>
      </c>
      <c r="AE841" s="12">
        <f>IF(AD841&gt;0,IF(AD841&lt;=eco,alpha*fck*(1-(1-AD841/eco)^n),alpha*fck),0)</f>
      </c>
      <c r="AF841" s="30">
        <f>PM_Angle!$J$18+PM_Angle!$K$18*$C841+PM_Angle!$L$18*$B841</f>
      </c>
      <c r="AG841" s="12">
        <f>IF(AF841&gt;0,IF(AF841&lt;=eco,alpha*fck*(1-(1-AF841/eco)^n),alpha*fck),0)</f>
      </c>
      <c r="AH841" s="30">
        <f>PM_Angle!$J$19+PM_Angle!$K$19*$C841+PM_Angle!$L$19*$B841</f>
      </c>
      <c r="AI841" s="12">
        <f>IF(AH841&gt;0,IF(AH841&lt;=eco,alpha*fck*(1-(1-AH841/eco)^n),alpha*fck),0)</f>
      </c>
      <c r="AJ841" s="30">
        <f>PM_Angle!$J$20+PM_Angle!$K$20*$C841+PM_Angle!$L$20*$B841</f>
      </c>
      <c r="AK841" s="12">
        <f>IF(AJ841&gt;0,IF(AJ841&lt;=eco,alpha*fck*(1-(1-AJ841/eco)^n),alpha*fck),0)</f>
      </c>
      <c r="AL841" s="30">
        <f>PM_Angle!$J$21+PM_Angle!$K$21*$C841+PM_Angle!$L$21*$B841</f>
      </c>
      <c r="AM841" s="12">
        <f>IF(AL841&gt;0,IF(AL841&lt;=eco,alpha*fck*(1-(1-AL841/eco)^n),alpha*fck),0)</f>
      </c>
      <c r="AN841" s="30">
        <f>PM_Angle!$J$22+PM_Angle!$K$22*$C841+PM_Angle!$L$22*$B841</f>
      </c>
      <c r="AO841" s="12">
        <f>IF(AN841&gt;0,IF(AN841&lt;=eco,alpha*fck*(1-(1-AN841/eco)^n),alpha*fck),0)</f>
      </c>
      <c r="AP841" s="30">
        <f>PM_Angle!$J$23+PM_Angle!$K$23*$C841+PM_Angle!$L$23*$B841</f>
      </c>
      <c r="AQ841" s="12">
        <f>IF(AP841&gt;0,IF(AP841&lt;=eco,alpha*fck*(1-(1-AP841/eco)^n),alpha*fck),0)</f>
      </c>
      <c r="AR841" s="30">
        <f>PM_Angle!$J$24+PM_Angle!$K$24*$C841+PM_Angle!$L$24*$B841</f>
      </c>
      <c r="AS841" s="12">
        <f>IF(AR841&gt;0,IF(AR841&lt;=eco,alpha*fck*(1-(1-AR841/eco)^n),alpha*fck),0)</f>
      </c>
      <c r="AT841" s="30">
        <f>PM_Angle!$J$25+PM_Angle!$K$25*$C841+PM_Angle!$L$25*$B841</f>
      </c>
      <c r="AU841" s="12">
        <f>IF(AT841&gt;0,IF(AT841&lt;=eco,alpha*fck*(1-(1-AT841/eco)^n),alpha*fck),0)</f>
      </c>
    </row>
    <row r="842" spans="1:47" x14ac:dyDescent="0.25">
      <c r="A842">
        <f>Mesh!A839</f>
      </c>
      <c r="B842" s="12">
        <f>Mesh!B839</f>
      </c>
      <c r="C842" s="12">
        <f>Mesh!C839</f>
      </c>
      <c r="D842" s="12">
        <f>Mesh!D839</f>
      </c>
      <c r="E842" s="30">
        <f>INDEX(St_e0,Det+1)+INDEX(St_kx,Det+1)*C842+INDEX(St_ky,Det+1)*B842</f>
      </c>
      <c r="F842" s="12">
        <f>IF(E842&gt;0,IF(E842&lt;=eco,alpha*fck*(1-(1-E842/eco)^n),alpha*fck),0)</f>
      </c>
      <c r="G842" s="11">
        <f>F842*D842</f>
      </c>
      <c r="H842" s="11">
        <f>G842*C842</f>
      </c>
      <c r="I842" s="11">
        <f>G842*B842</f>
      </c>
      <c r="J842" s="30">
        <f>PM_Angle!$J$7+PM_Angle!$K$7*$C842+PM_Angle!$L$7*$B842</f>
      </c>
      <c r="K842" s="12">
        <f>IF(J842&gt;0,IF(J842&lt;=eco,alpha*fck*(1-(1-J842/eco)^n),alpha*fck),0)</f>
      </c>
      <c r="L842" s="30">
        <f>PM_Angle!$J$8+PM_Angle!$K$8*$C842+PM_Angle!$L$8*$B842</f>
      </c>
      <c r="M842" s="12">
        <f>IF(L842&gt;0,IF(L842&lt;=eco,alpha*fck*(1-(1-L842/eco)^n),alpha*fck),0)</f>
      </c>
      <c r="N842" s="30">
        <f>PM_Angle!$J$9+PM_Angle!$K$9*$C842+PM_Angle!$L$9*$B842</f>
      </c>
      <c r="O842" s="12">
        <f>IF(N842&gt;0,IF(N842&lt;=eco,alpha*fck*(1-(1-N842/eco)^n),alpha*fck),0)</f>
      </c>
      <c r="P842" s="30">
        <f>PM_Angle!$J$10+PM_Angle!$K$10*$C842+PM_Angle!$L$10*$B842</f>
      </c>
      <c r="Q842" s="12">
        <f>IF(P842&gt;0,IF(P842&lt;=eco,alpha*fck*(1-(1-P842/eco)^n),alpha*fck),0)</f>
      </c>
      <c r="R842" s="30">
        <f>PM_Angle!$J$11+PM_Angle!$K$11*$C842+PM_Angle!$L$11*$B842</f>
      </c>
      <c r="S842" s="12">
        <f>IF(R842&gt;0,IF(R842&lt;=eco,alpha*fck*(1-(1-R842/eco)^n),alpha*fck),0)</f>
      </c>
      <c r="T842" s="30">
        <f>PM_Angle!$J$12+PM_Angle!$K$12*$C842+PM_Angle!$L$12*$B842</f>
      </c>
      <c r="U842" s="12">
        <f>IF(T842&gt;0,IF(T842&lt;=eco,alpha*fck*(1-(1-T842/eco)^n),alpha*fck),0)</f>
      </c>
      <c r="V842" s="30">
        <f>PM_Angle!$J$13+PM_Angle!$K$13*$C842+PM_Angle!$L$13*$B842</f>
      </c>
      <c r="W842" s="12">
        <f>IF(V842&gt;0,IF(V842&lt;=eco,alpha*fck*(1-(1-V842/eco)^n),alpha*fck),0)</f>
      </c>
      <c r="X842" s="30">
        <f>PM_Angle!$J$14+PM_Angle!$K$14*$C842+PM_Angle!$L$14*$B842</f>
      </c>
      <c r="Y842" s="12">
        <f>IF(X842&gt;0,IF(X842&lt;=eco,alpha*fck*(1-(1-X842/eco)^n),alpha*fck),0)</f>
      </c>
      <c r="Z842" s="30">
        <f>PM_Angle!$J$15+PM_Angle!$K$15*$C842+PM_Angle!$L$15*$B842</f>
      </c>
      <c r="AA842" s="12">
        <f>IF(Z842&gt;0,IF(Z842&lt;=eco,alpha*fck*(1-(1-Z842/eco)^n),alpha*fck),0)</f>
      </c>
      <c r="AB842" s="30">
        <f>PM_Angle!$J$16+PM_Angle!$K$16*$C842+PM_Angle!$L$16*$B842</f>
      </c>
      <c r="AC842" s="12">
        <f>IF(AB842&gt;0,IF(AB842&lt;=eco,alpha*fck*(1-(1-AB842/eco)^n),alpha*fck),0)</f>
      </c>
      <c r="AD842" s="30">
        <f>PM_Angle!$J$17+PM_Angle!$K$17*$C842+PM_Angle!$L$17*$B842</f>
      </c>
      <c r="AE842" s="12">
        <f>IF(AD842&gt;0,IF(AD842&lt;=eco,alpha*fck*(1-(1-AD842/eco)^n),alpha*fck),0)</f>
      </c>
      <c r="AF842" s="30">
        <f>PM_Angle!$J$18+PM_Angle!$K$18*$C842+PM_Angle!$L$18*$B842</f>
      </c>
      <c r="AG842" s="12">
        <f>IF(AF842&gt;0,IF(AF842&lt;=eco,alpha*fck*(1-(1-AF842/eco)^n),alpha*fck),0)</f>
      </c>
      <c r="AH842" s="30">
        <f>PM_Angle!$J$19+PM_Angle!$K$19*$C842+PM_Angle!$L$19*$B842</f>
      </c>
      <c r="AI842" s="12">
        <f>IF(AH842&gt;0,IF(AH842&lt;=eco,alpha*fck*(1-(1-AH842/eco)^n),alpha*fck),0)</f>
      </c>
      <c r="AJ842" s="30">
        <f>PM_Angle!$J$20+PM_Angle!$K$20*$C842+PM_Angle!$L$20*$B842</f>
      </c>
      <c r="AK842" s="12">
        <f>IF(AJ842&gt;0,IF(AJ842&lt;=eco,alpha*fck*(1-(1-AJ842/eco)^n),alpha*fck),0)</f>
      </c>
      <c r="AL842" s="30">
        <f>PM_Angle!$J$21+PM_Angle!$K$21*$C842+PM_Angle!$L$21*$B842</f>
      </c>
      <c r="AM842" s="12">
        <f>IF(AL842&gt;0,IF(AL842&lt;=eco,alpha*fck*(1-(1-AL842/eco)^n),alpha*fck),0)</f>
      </c>
      <c r="AN842" s="30">
        <f>PM_Angle!$J$22+PM_Angle!$K$22*$C842+PM_Angle!$L$22*$B842</f>
      </c>
      <c r="AO842" s="12">
        <f>IF(AN842&gt;0,IF(AN842&lt;=eco,alpha*fck*(1-(1-AN842/eco)^n),alpha*fck),0)</f>
      </c>
      <c r="AP842" s="30">
        <f>PM_Angle!$J$23+PM_Angle!$K$23*$C842+PM_Angle!$L$23*$B842</f>
      </c>
      <c r="AQ842" s="12">
        <f>IF(AP842&gt;0,IF(AP842&lt;=eco,alpha*fck*(1-(1-AP842/eco)^n),alpha*fck),0)</f>
      </c>
      <c r="AR842" s="30">
        <f>PM_Angle!$J$24+PM_Angle!$K$24*$C842+PM_Angle!$L$24*$B842</f>
      </c>
      <c r="AS842" s="12">
        <f>IF(AR842&gt;0,IF(AR842&lt;=eco,alpha*fck*(1-(1-AR842/eco)^n),alpha*fck),0)</f>
      </c>
      <c r="AT842" s="30">
        <f>PM_Angle!$J$25+PM_Angle!$K$25*$C842+PM_Angle!$L$25*$B842</f>
      </c>
      <c r="AU842" s="12">
        <f>IF(AT842&gt;0,IF(AT842&lt;=eco,alpha*fck*(1-(1-AT842/eco)^n),alpha*fck),0)</f>
      </c>
    </row>
    <row r="843" spans="1:47" x14ac:dyDescent="0.25">
      <c r="A843">
        <f>Mesh!A840</f>
      </c>
      <c r="B843" s="12">
        <f>Mesh!B840</f>
      </c>
      <c r="C843" s="12">
        <f>Mesh!C840</f>
      </c>
      <c r="D843" s="12">
        <f>Mesh!D840</f>
      </c>
      <c r="E843" s="30">
        <f>INDEX(St_e0,Det+1)+INDEX(St_kx,Det+1)*C843+INDEX(St_ky,Det+1)*B843</f>
      </c>
      <c r="F843" s="12">
        <f>IF(E843&gt;0,IF(E843&lt;=eco,alpha*fck*(1-(1-E843/eco)^n),alpha*fck),0)</f>
      </c>
      <c r="G843" s="11">
        <f>F843*D843</f>
      </c>
      <c r="H843" s="11">
        <f>G843*C843</f>
      </c>
      <c r="I843" s="11">
        <f>G843*B843</f>
      </c>
      <c r="J843" s="30">
        <f>PM_Angle!$J$7+PM_Angle!$K$7*$C843+PM_Angle!$L$7*$B843</f>
      </c>
      <c r="K843" s="12">
        <f>IF(J843&gt;0,IF(J843&lt;=eco,alpha*fck*(1-(1-J843/eco)^n),alpha*fck),0)</f>
      </c>
      <c r="L843" s="30">
        <f>PM_Angle!$J$8+PM_Angle!$K$8*$C843+PM_Angle!$L$8*$B843</f>
      </c>
      <c r="M843" s="12">
        <f>IF(L843&gt;0,IF(L843&lt;=eco,alpha*fck*(1-(1-L843/eco)^n),alpha*fck),0)</f>
      </c>
      <c r="N843" s="30">
        <f>PM_Angle!$J$9+PM_Angle!$K$9*$C843+PM_Angle!$L$9*$B843</f>
      </c>
      <c r="O843" s="12">
        <f>IF(N843&gt;0,IF(N843&lt;=eco,alpha*fck*(1-(1-N843/eco)^n),alpha*fck),0)</f>
      </c>
      <c r="P843" s="30">
        <f>PM_Angle!$J$10+PM_Angle!$K$10*$C843+PM_Angle!$L$10*$B843</f>
      </c>
      <c r="Q843" s="12">
        <f>IF(P843&gt;0,IF(P843&lt;=eco,alpha*fck*(1-(1-P843/eco)^n),alpha*fck),0)</f>
      </c>
      <c r="R843" s="30">
        <f>PM_Angle!$J$11+PM_Angle!$K$11*$C843+PM_Angle!$L$11*$B843</f>
      </c>
      <c r="S843" s="12">
        <f>IF(R843&gt;0,IF(R843&lt;=eco,alpha*fck*(1-(1-R843/eco)^n),alpha*fck),0)</f>
      </c>
      <c r="T843" s="30">
        <f>PM_Angle!$J$12+PM_Angle!$K$12*$C843+PM_Angle!$L$12*$B843</f>
      </c>
      <c r="U843" s="12">
        <f>IF(T843&gt;0,IF(T843&lt;=eco,alpha*fck*(1-(1-T843/eco)^n),alpha*fck),0)</f>
      </c>
      <c r="V843" s="30">
        <f>PM_Angle!$J$13+PM_Angle!$K$13*$C843+PM_Angle!$L$13*$B843</f>
      </c>
      <c r="W843" s="12">
        <f>IF(V843&gt;0,IF(V843&lt;=eco,alpha*fck*(1-(1-V843/eco)^n),alpha*fck),0)</f>
      </c>
      <c r="X843" s="30">
        <f>PM_Angle!$J$14+PM_Angle!$K$14*$C843+PM_Angle!$L$14*$B843</f>
      </c>
      <c r="Y843" s="12">
        <f>IF(X843&gt;0,IF(X843&lt;=eco,alpha*fck*(1-(1-X843/eco)^n),alpha*fck),0)</f>
      </c>
      <c r="Z843" s="30">
        <f>PM_Angle!$J$15+PM_Angle!$K$15*$C843+PM_Angle!$L$15*$B843</f>
      </c>
      <c r="AA843" s="12">
        <f>IF(Z843&gt;0,IF(Z843&lt;=eco,alpha*fck*(1-(1-Z843/eco)^n),alpha*fck),0)</f>
      </c>
      <c r="AB843" s="30">
        <f>PM_Angle!$J$16+PM_Angle!$K$16*$C843+PM_Angle!$L$16*$B843</f>
      </c>
      <c r="AC843" s="12">
        <f>IF(AB843&gt;0,IF(AB843&lt;=eco,alpha*fck*(1-(1-AB843/eco)^n),alpha*fck),0)</f>
      </c>
      <c r="AD843" s="30">
        <f>PM_Angle!$J$17+PM_Angle!$K$17*$C843+PM_Angle!$L$17*$B843</f>
      </c>
      <c r="AE843" s="12">
        <f>IF(AD843&gt;0,IF(AD843&lt;=eco,alpha*fck*(1-(1-AD843/eco)^n),alpha*fck),0)</f>
      </c>
      <c r="AF843" s="30">
        <f>PM_Angle!$J$18+PM_Angle!$K$18*$C843+PM_Angle!$L$18*$B843</f>
      </c>
      <c r="AG843" s="12">
        <f>IF(AF843&gt;0,IF(AF843&lt;=eco,alpha*fck*(1-(1-AF843/eco)^n),alpha*fck),0)</f>
      </c>
      <c r="AH843" s="30">
        <f>PM_Angle!$J$19+PM_Angle!$K$19*$C843+PM_Angle!$L$19*$B843</f>
      </c>
      <c r="AI843" s="12">
        <f>IF(AH843&gt;0,IF(AH843&lt;=eco,alpha*fck*(1-(1-AH843/eco)^n),alpha*fck),0)</f>
      </c>
      <c r="AJ843" s="30">
        <f>PM_Angle!$J$20+PM_Angle!$K$20*$C843+PM_Angle!$L$20*$B843</f>
      </c>
      <c r="AK843" s="12">
        <f>IF(AJ843&gt;0,IF(AJ843&lt;=eco,alpha*fck*(1-(1-AJ843/eco)^n),alpha*fck),0)</f>
      </c>
      <c r="AL843" s="30">
        <f>PM_Angle!$J$21+PM_Angle!$K$21*$C843+PM_Angle!$L$21*$B843</f>
      </c>
      <c r="AM843" s="12">
        <f>IF(AL843&gt;0,IF(AL843&lt;=eco,alpha*fck*(1-(1-AL843/eco)^n),alpha*fck),0)</f>
      </c>
      <c r="AN843" s="30">
        <f>PM_Angle!$J$22+PM_Angle!$K$22*$C843+PM_Angle!$L$22*$B843</f>
      </c>
      <c r="AO843" s="12">
        <f>IF(AN843&gt;0,IF(AN843&lt;=eco,alpha*fck*(1-(1-AN843/eco)^n),alpha*fck),0)</f>
      </c>
      <c r="AP843" s="30">
        <f>PM_Angle!$J$23+PM_Angle!$K$23*$C843+PM_Angle!$L$23*$B843</f>
      </c>
      <c r="AQ843" s="12">
        <f>IF(AP843&gt;0,IF(AP843&lt;=eco,alpha*fck*(1-(1-AP843/eco)^n),alpha*fck),0)</f>
      </c>
      <c r="AR843" s="30">
        <f>PM_Angle!$J$24+PM_Angle!$K$24*$C843+PM_Angle!$L$24*$B843</f>
      </c>
      <c r="AS843" s="12">
        <f>IF(AR843&gt;0,IF(AR843&lt;=eco,alpha*fck*(1-(1-AR843/eco)^n),alpha*fck),0)</f>
      </c>
      <c r="AT843" s="30">
        <f>PM_Angle!$J$25+PM_Angle!$K$25*$C843+PM_Angle!$L$25*$B843</f>
      </c>
      <c r="AU843" s="12">
        <f>IF(AT843&gt;0,IF(AT843&lt;=eco,alpha*fck*(1-(1-AT843/eco)^n),alpha*fck),0)</f>
      </c>
    </row>
    <row r="844" spans="1:47" x14ac:dyDescent="0.25">
      <c r="A844">
        <f>Mesh!A841</f>
      </c>
      <c r="B844" s="12">
        <f>Mesh!B841</f>
      </c>
      <c r="C844" s="12">
        <f>Mesh!C841</f>
      </c>
      <c r="D844" s="12">
        <f>Mesh!D841</f>
      </c>
      <c r="E844" s="30">
        <f>INDEX(St_e0,Det+1)+INDEX(St_kx,Det+1)*C844+INDEX(St_ky,Det+1)*B844</f>
      </c>
      <c r="F844" s="12">
        <f>IF(E844&gt;0,IF(E844&lt;=eco,alpha*fck*(1-(1-E844/eco)^n),alpha*fck),0)</f>
      </c>
      <c r="G844" s="11">
        <f>F844*D844</f>
      </c>
      <c r="H844" s="11">
        <f>G844*C844</f>
      </c>
      <c r="I844" s="11">
        <f>G844*B844</f>
      </c>
      <c r="J844" s="30">
        <f>PM_Angle!$J$7+PM_Angle!$K$7*$C844+PM_Angle!$L$7*$B844</f>
      </c>
      <c r="K844" s="12">
        <f>IF(J844&gt;0,IF(J844&lt;=eco,alpha*fck*(1-(1-J844/eco)^n),alpha*fck),0)</f>
      </c>
      <c r="L844" s="30">
        <f>PM_Angle!$J$8+PM_Angle!$K$8*$C844+PM_Angle!$L$8*$B844</f>
      </c>
      <c r="M844" s="12">
        <f>IF(L844&gt;0,IF(L844&lt;=eco,alpha*fck*(1-(1-L844/eco)^n),alpha*fck),0)</f>
      </c>
      <c r="N844" s="30">
        <f>PM_Angle!$J$9+PM_Angle!$K$9*$C844+PM_Angle!$L$9*$B844</f>
      </c>
      <c r="O844" s="12">
        <f>IF(N844&gt;0,IF(N844&lt;=eco,alpha*fck*(1-(1-N844/eco)^n),alpha*fck),0)</f>
      </c>
      <c r="P844" s="30">
        <f>PM_Angle!$J$10+PM_Angle!$K$10*$C844+PM_Angle!$L$10*$B844</f>
      </c>
      <c r="Q844" s="12">
        <f>IF(P844&gt;0,IF(P844&lt;=eco,alpha*fck*(1-(1-P844/eco)^n),alpha*fck),0)</f>
      </c>
      <c r="R844" s="30">
        <f>PM_Angle!$J$11+PM_Angle!$K$11*$C844+PM_Angle!$L$11*$B844</f>
      </c>
      <c r="S844" s="12">
        <f>IF(R844&gt;0,IF(R844&lt;=eco,alpha*fck*(1-(1-R844/eco)^n),alpha*fck),0)</f>
      </c>
      <c r="T844" s="30">
        <f>PM_Angle!$J$12+PM_Angle!$K$12*$C844+PM_Angle!$L$12*$B844</f>
      </c>
      <c r="U844" s="12">
        <f>IF(T844&gt;0,IF(T844&lt;=eco,alpha*fck*(1-(1-T844/eco)^n),alpha*fck),0)</f>
      </c>
      <c r="V844" s="30">
        <f>PM_Angle!$J$13+PM_Angle!$K$13*$C844+PM_Angle!$L$13*$B844</f>
      </c>
      <c r="W844" s="12">
        <f>IF(V844&gt;0,IF(V844&lt;=eco,alpha*fck*(1-(1-V844/eco)^n),alpha*fck),0)</f>
      </c>
      <c r="X844" s="30">
        <f>PM_Angle!$J$14+PM_Angle!$K$14*$C844+PM_Angle!$L$14*$B844</f>
      </c>
      <c r="Y844" s="12">
        <f>IF(X844&gt;0,IF(X844&lt;=eco,alpha*fck*(1-(1-X844/eco)^n),alpha*fck),0)</f>
      </c>
      <c r="Z844" s="30">
        <f>PM_Angle!$J$15+PM_Angle!$K$15*$C844+PM_Angle!$L$15*$B844</f>
      </c>
      <c r="AA844" s="12">
        <f>IF(Z844&gt;0,IF(Z844&lt;=eco,alpha*fck*(1-(1-Z844/eco)^n),alpha*fck),0)</f>
      </c>
      <c r="AB844" s="30">
        <f>PM_Angle!$J$16+PM_Angle!$K$16*$C844+PM_Angle!$L$16*$B844</f>
      </c>
      <c r="AC844" s="12">
        <f>IF(AB844&gt;0,IF(AB844&lt;=eco,alpha*fck*(1-(1-AB844/eco)^n),alpha*fck),0)</f>
      </c>
      <c r="AD844" s="30">
        <f>PM_Angle!$J$17+PM_Angle!$K$17*$C844+PM_Angle!$L$17*$B844</f>
      </c>
      <c r="AE844" s="12">
        <f>IF(AD844&gt;0,IF(AD844&lt;=eco,alpha*fck*(1-(1-AD844/eco)^n),alpha*fck),0)</f>
      </c>
      <c r="AF844" s="30">
        <f>PM_Angle!$J$18+PM_Angle!$K$18*$C844+PM_Angle!$L$18*$B844</f>
      </c>
      <c r="AG844" s="12">
        <f>IF(AF844&gt;0,IF(AF844&lt;=eco,alpha*fck*(1-(1-AF844/eco)^n),alpha*fck),0)</f>
      </c>
      <c r="AH844" s="30">
        <f>PM_Angle!$J$19+PM_Angle!$K$19*$C844+PM_Angle!$L$19*$B844</f>
      </c>
      <c r="AI844" s="12">
        <f>IF(AH844&gt;0,IF(AH844&lt;=eco,alpha*fck*(1-(1-AH844/eco)^n),alpha*fck),0)</f>
      </c>
      <c r="AJ844" s="30">
        <f>PM_Angle!$J$20+PM_Angle!$K$20*$C844+PM_Angle!$L$20*$B844</f>
      </c>
      <c r="AK844" s="12">
        <f>IF(AJ844&gt;0,IF(AJ844&lt;=eco,alpha*fck*(1-(1-AJ844/eco)^n),alpha*fck),0)</f>
      </c>
      <c r="AL844" s="30">
        <f>PM_Angle!$J$21+PM_Angle!$K$21*$C844+PM_Angle!$L$21*$B844</f>
      </c>
      <c r="AM844" s="12">
        <f>IF(AL844&gt;0,IF(AL844&lt;=eco,alpha*fck*(1-(1-AL844/eco)^n),alpha*fck),0)</f>
      </c>
      <c r="AN844" s="30">
        <f>PM_Angle!$J$22+PM_Angle!$K$22*$C844+PM_Angle!$L$22*$B844</f>
      </c>
      <c r="AO844" s="12">
        <f>IF(AN844&gt;0,IF(AN844&lt;=eco,alpha*fck*(1-(1-AN844/eco)^n),alpha*fck),0)</f>
      </c>
      <c r="AP844" s="30">
        <f>PM_Angle!$J$23+PM_Angle!$K$23*$C844+PM_Angle!$L$23*$B844</f>
      </c>
      <c r="AQ844" s="12">
        <f>IF(AP844&gt;0,IF(AP844&lt;=eco,alpha*fck*(1-(1-AP844/eco)^n),alpha*fck),0)</f>
      </c>
      <c r="AR844" s="30">
        <f>PM_Angle!$J$24+PM_Angle!$K$24*$C844+PM_Angle!$L$24*$B844</f>
      </c>
      <c r="AS844" s="12">
        <f>IF(AR844&gt;0,IF(AR844&lt;=eco,alpha*fck*(1-(1-AR844/eco)^n),alpha*fck),0)</f>
      </c>
      <c r="AT844" s="30">
        <f>PM_Angle!$J$25+PM_Angle!$K$25*$C844+PM_Angle!$L$25*$B844</f>
      </c>
      <c r="AU844" s="12">
        <f>IF(AT844&gt;0,IF(AT844&lt;=eco,alpha*fck*(1-(1-AT844/eco)^n),alpha*fck),0)</f>
      </c>
    </row>
    <row r="845" spans="1:47" x14ac:dyDescent="0.25">
      <c r="A845">
        <f>Mesh!A842</f>
      </c>
      <c r="B845" s="12">
        <f>Mesh!B842</f>
      </c>
      <c r="C845" s="12">
        <f>Mesh!C842</f>
      </c>
      <c r="D845" s="12">
        <f>Mesh!D842</f>
      </c>
      <c r="E845" s="30">
        <f>INDEX(St_e0,Det+1)+INDEX(St_kx,Det+1)*C845+INDEX(St_ky,Det+1)*B845</f>
      </c>
      <c r="F845" s="12">
        <f>IF(E845&gt;0,IF(E845&lt;=eco,alpha*fck*(1-(1-E845/eco)^n),alpha*fck),0)</f>
      </c>
      <c r="G845" s="11">
        <f>F845*D845</f>
      </c>
      <c r="H845" s="11">
        <f>G845*C845</f>
      </c>
      <c r="I845" s="11">
        <f>G845*B845</f>
      </c>
      <c r="J845" s="30">
        <f>PM_Angle!$J$7+PM_Angle!$K$7*$C845+PM_Angle!$L$7*$B845</f>
      </c>
      <c r="K845" s="12">
        <f>IF(J845&gt;0,IF(J845&lt;=eco,alpha*fck*(1-(1-J845/eco)^n),alpha*fck),0)</f>
      </c>
      <c r="L845" s="30">
        <f>PM_Angle!$J$8+PM_Angle!$K$8*$C845+PM_Angle!$L$8*$B845</f>
      </c>
      <c r="M845" s="12">
        <f>IF(L845&gt;0,IF(L845&lt;=eco,alpha*fck*(1-(1-L845/eco)^n),alpha*fck),0)</f>
      </c>
      <c r="N845" s="30">
        <f>PM_Angle!$J$9+PM_Angle!$K$9*$C845+PM_Angle!$L$9*$B845</f>
      </c>
      <c r="O845" s="12">
        <f>IF(N845&gt;0,IF(N845&lt;=eco,alpha*fck*(1-(1-N845/eco)^n),alpha*fck),0)</f>
      </c>
      <c r="P845" s="30">
        <f>PM_Angle!$J$10+PM_Angle!$K$10*$C845+PM_Angle!$L$10*$B845</f>
      </c>
      <c r="Q845" s="12">
        <f>IF(P845&gt;0,IF(P845&lt;=eco,alpha*fck*(1-(1-P845/eco)^n),alpha*fck),0)</f>
      </c>
      <c r="R845" s="30">
        <f>PM_Angle!$J$11+PM_Angle!$K$11*$C845+PM_Angle!$L$11*$B845</f>
      </c>
      <c r="S845" s="12">
        <f>IF(R845&gt;0,IF(R845&lt;=eco,alpha*fck*(1-(1-R845/eco)^n),alpha*fck),0)</f>
      </c>
      <c r="T845" s="30">
        <f>PM_Angle!$J$12+PM_Angle!$K$12*$C845+PM_Angle!$L$12*$B845</f>
      </c>
      <c r="U845" s="12">
        <f>IF(T845&gt;0,IF(T845&lt;=eco,alpha*fck*(1-(1-T845/eco)^n),alpha*fck),0)</f>
      </c>
      <c r="V845" s="30">
        <f>PM_Angle!$J$13+PM_Angle!$K$13*$C845+PM_Angle!$L$13*$B845</f>
      </c>
      <c r="W845" s="12">
        <f>IF(V845&gt;0,IF(V845&lt;=eco,alpha*fck*(1-(1-V845/eco)^n),alpha*fck),0)</f>
      </c>
      <c r="X845" s="30">
        <f>PM_Angle!$J$14+PM_Angle!$K$14*$C845+PM_Angle!$L$14*$B845</f>
      </c>
      <c r="Y845" s="12">
        <f>IF(X845&gt;0,IF(X845&lt;=eco,alpha*fck*(1-(1-X845/eco)^n),alpha*fck),0)</f>
      </c>
      <c r="Z845" s="30">
        <f>PM_Angle!$J$15+PM_Angle!$K$15*$C845+PM_Angle!$L$15*$B845</f>
      </c>
      <c r="AA845" s="12">
        <f>IF(Z845&gt;0,IF(Z845&lt;=eco,alpha*fck*(1-(1-Z845/eco)^n),alpha*fck),0)</f>
      </c>
      <c r="AB845" s="30">
        <f>PM_Angle!$J$16+PM_Angle!$K$16*$C845+PM_Angle!$L$16*$B845</f>
      </c>
      <c r="AC845" s="12">
        <f>IF(AB845&gt;0,IF(AB845&lt;=eco,alpha*fck*(1-(1-AB845/eco)^n),alpha*fck),0)</f>
      </c>
      <c r="AD845" s="30">
        <f>PM_Angle!$J$17+PM_Angle!$K$17*$C845+PM_Angle!$L$17*$B845</f>
      </c>
      <c r="AE845" s="12">
        <f>IF(AD845&gt;0,IF(AD845&lt;=eco,alpha*fck*(1-(1-AD845/eco)^n),alpha*fck),0)</f>
      </c>
      <c r="AF845" s="30">
        <f>PM_Angle!$J$18+PM_Angle!$K$18*$C845+PM_Angle!$L$18*$B845</f>
      </c>
      <c r="AG845" s="12">
        <f>IF(AF845&gt;0,IF(AF845&lt;=eco,alpha*fck*(1-(1-AF845/eco)^n),alpha*fck),0)</f>
      </c>
      <c r="AH845" s="30">
        <f>PM_Angle!$J$19+PM_Angle!$K$19*$C845+PM_Angle!$L$19*$B845</f>
      </c>
      <c r="AI845" s="12">
        <f>IF(AH845&gt;0,IF(AH845&lt;=eco,alpha*fck*(1-(1-AH845/eco)^n),alpha*fck),0)</f>
      </c>
      <c r="AJ845" s="30">
        <f>PM_Angle!$J$20+PM_Angle!$K$20*$C845+PM_Angle!$L$20*$B845</f>
      </c>
      <c r="AK845" s="12">
        <f>IF(AJ845&gt;0,IF(AJ845&lt;=eco,alpha*fck*(1-(1-AJ845/eco)^n),alpha*fck),0)</f>
      </c>
      <c r="AL845" s="30">
        <f>PM_Angle!$J$21+PM_Angle!$K$21*$C845+PM_Angle!$L$21*$B845</f>
      </c>
      <c r="AM845" s="12">
        <f>IF(AL845&gt;0,IF(AL845&lt;=eco,alpha*fck*(1-(1-AL845/eco)^n),alpha*fck),0)</f>
      </c>
      <c r="AN845" s="30">
        <f>PM_Angle!$J$22+PM_Angle!$K$22*$C845+PM_Angle!$L$22*$B845</f>
      </c>
      <c r="AO845" s="12">
        <f>IF(AN845&gt;0,IF(AN845&lt;=eco,alpha*fck*(1-(1-AN845/eco)^n),alpha*fck),0)</f>
      </c>
      <c r="AP845" s="30">
        <f>PM_Angle!$J$23+PM_Angle!$K$23*$C845+PM_Angle!$L$23*$B845</f>
      </c>
      <c r="AQ845" s="12">
        <f>IF(AP845&gt;0,IF(AP845&lt;=eco,alpha*fck*(1-(1-AP845/eco)^n),alpha*fck),0)</f>
      </c>
      <c r="AR845" s="30">
        <f>PM_Angle!$J$24+PM_Angle!$K$24*$C845+PM_Angle!$L$24*$B845</f>
      </c>
      <c r="AS845" s="12">
        <f>IF(AR845&gt;0,IF(AR845&lt;=eco,alpha*fck*(1-(1-AR845/eco)^n),alpha*fck),0)</f>
      </c>
      <c r="AT845" s="30">
        <f>PM_Angle!$J$25+PM_Angle!$K$25*$C845+PM_Angle!$L$25*$B845</f>
      </c>
      <c r="AU845" s="12">
        <f>IF(AT845&gt;0,IF(AT845&lt;=eco,alpha*fck*(1-(1-AT845/eco)^n),alpha*fck),0)</f>
      </c>
    </row>
    <row r="846" spans="1:47" x14ac:dyDescent="0.25">
      <c r="A846">
        <f>Mesh!A843</f>
      </c>
      <c r="B846" s="12">
        <f>Mesh!B843</f>
      </c>
      <c r="C846" s="12">
        <f>Mesh!C843</f>
      </c>
      <c r="D846" s="12">
        <f>Mesh!D843</f>
      </c>
      <c r="E846" s="30">
        <f>INDEX(St_e0,Det+1)+INDEX(St_kx,Det+1)*C846+INDEX(St_ky,Det+1)*B846</f>
      </c>
      <c r="F846" s="12">
        <f>IF(E846&gt;0,IF(E846&lt;=eco,alpha*fck*(1-(1-E846/eco)^n),alpha*fck),0)</f>
      </c>
      <c r="G846" s="11">
        <f>F846*D846</f>
      </c>
      <c r="H846" s="11">
        <f>G846*C846</f>
      </c>
      <c r="I846" s="11">
        <f>G846*B846</f>
      </c>
      <c r="J846" s="30">
        <f>PM_Angle!$J$7+PM_Angle!$K$7*$C846+PM_Angle!$L$7*$B846</f>
      </c>
      <c r="K846" s="12">
        <f>IF(J846&gt;0,IF(J846&lt;=eco,alpha*fck*(1-(1-J846/eco)^n),alpha*fck),0)</f>
      </c>
      <c r="L846" s="30">
        <f>PM_Angle!$J$8+PM_Angle!$K$8*$C846+PM_Angle!$L$8*$B846</f>
      </c>
      <c r="M846" s="12">
        <f>IF(L846&gt;0,IF(L846&lt;=eco,alpha*fck*(1-(1-L846/eco)^n),alpha*fck),0)</f>
      </c>
      <c r="N846" s="30">
        <f>PM_Angle!$J$9+PM_Angle!$K$9*$C846+PM_Angle!$L$9*$B846</f>
      </c>
      <c r="O846" s="12">
        <f>IF(N846&gt;0,IF(N846&lt;=eco,alpha*fck*(1-(1-N846/eco)^n),alpha*fck),0)</f>
      </c>
      <c r="P846" s="30">
        <f>PM_Angle!$J$10+PM_Angle!$K$10*$C846+PM_Angle!$L$10*$B846</f>
      </c>
      <c r="Q846" s="12">
        <f>IF(P846&gt;0,IF(P846&lt;=eco,alpha*fck*(1-(1-P846/eco)^n),alpha*fck),0)</f>
      </c>
      <c r="R846" s="30">
        <f>PM_Angle!$J$11+PM_Angle!$K$11*$C846+PM_Angle!$L$11*$B846</f>
      </c>
      <c r="S846" s="12">
        <f>IF(R846&gt;0,IF(R846&lt;=eco,alpha*fck*(1-(1-R846/eco)^n),alpha*fck),0)</f>
      </c>
      <c r="T846" s="30">
        <f>PM_Angle!$J$12+PM_Angle!$K$12*$C846+PM_Angle!$L$12*$B846</f>
      </c>
      <c r="U846" s="12">
        <f>IF(T846&gt;0,IF(T846&lt;=eco,alpha*fck*(1-(1-T846/eco)^n),alpha*fck),0)</f>
      </c>
      <c r="V846" s="30">
        <f>PM_Angle!$J$13+PM_Angle!$K$13*$C846+PM_Angle!$L$13*$B846</f>
      </c>
      <c r="W846" s="12">
        <f>IF(V846&gt;0,IF(V846&lt;=eco,alpha*fck*(1-(1-V846/eco)^n),alpha*fck),0)</f>
      </c>
      <c r="X846" s="30">
        <f>PM_Angle!$J$14+PM_Angle!$K$14*$C846+PM_Angle!$L$14*$B846</f>
      </c>
      <c r="Y846" s="12">
        <f>IF(X846&gt;0,IF(X846&lt;=eco,alpha*fck*(1-(1-X846/eco)^n),alpha*fck),0)</f>
      </c>
      <c r="Z846" s="30">
        <f>PM_Angle!$J$15+PM_Angle!$K$15*$C846+PM_Angle!$L$15*$B846</f>
      </c>
      <c r="AA846" s="12">
        <f>IF(Z846&gt;0,IF(Z846&lt;=eco,alpha*fck*(1-(1-Z846/eco)^n),alpha*fck),0)</f>
      </c>
      <c r="AB846" s="30">
        <f>PM_Angle!$J$16+PM_Angle!$K$16*$C846+PM_Angle!$L$16*$B846</f>
      </c>
      <c r="AC846" s="12">
        <f>IF(AB846&gt;0,IF(AB846&lt;=eco,alpha*fck*(1-(1-AB846/eco)^n),alpha*fck),0)</f>
      </c>
      <c r="AD846" s="30">
        <f>PM_Angle!$J$17+PM_Angle!$K$17*$C846+PM_Angle!$L$17*$B846</f>
      </c>
      <c r="AE846" s="12">
        <f>IF(AD846&gt;0,IF(AD846&lt;=eco,alpha*fck*(1-(1-AD846/eco)^n),alpha*fck),0)</f>
      </c>
      <c r="AF846" s="30">
        <f>PM_Angle!$J$18+PM_Angle!$K$18*$C846+PM_Angle!$L$18*$B846</f>
      </c>
      <c r="AG846" s="12">
        <f>IF(AF846&gt;0,IF(AF846&lt;=eco,alpha*fck*(1-(1-AF846/eco)^n),alpha*fck),0)</f>
      </c>
      <c r="AH846" s="30">
        <f>PM_Angle!$J$19+PM_Angle!$K$19*$C846+PM_Angle!$L$19*$B846</f>
      </c>
      <c r="AI846" s="12">
        <f>IF(AH846&gt;0,IF(AH846&lt;=eco,alpha*fck*(1-(1-AH846/eco)^n),alpha*fck),0)</f>
      </c>
      <c r="AJ846" s="30">
        <f>PM_Angle!$J$20+PM_Angle!$K$20*$C846+PM_Angle!$L$20*$B846</f>
      </c>
      <c r="AK846" s="12">
        <f>IF(AJ846&gt;0,IF(AJ846&lt;=eco,alpha*fck*(1-(1-AJ846/eco)^n),alpha*fck),0)</f>
      </c>
      <c r="AL846" s="30">
        <f>PM_Angle!$J$21+PM_Angle!$K$21*$C846+PM_Angle!$L$21*$B846</f>
      </c>
      <c r="AM846" s="12">
        <f>IF(AL846&gt;0,IF(AL846&lt;=eco,alpha*fck*(1-(1-AL846/eco)^n),alpha*fck),0)</f>
      </c>
      <c r="AN846" s="30">
        <f>PM_Angle!$J$22+PM_Angle!$K$22*$C846+PM_Angle!$L$22*$B846</f>
      </c>
      <c r="AO846" s="12">
        <f>IF(AN846&gt;0,IF(AN846&lt;=eco,alpha*fck*(1-(1-AN846/eco)^n),alpha*fck),0)</f>
      </c>
      <c r="AP846" s="30">
        <f>PM_Angle!$J$23+PM_Angle!$K$23*$C846+PM_Angle!$L$23*$B846</f>
      </c>
      <c r="AQ846" s="12">
        <f>IF(AP846&gt;0,IF(AP846&lt;=eco,alpha*fck*(1-(1-AP846/eco)^n),alpha*fck),0)</f>
      </c>
      <c r="AR846" s="30">
        <f>PM_Angle!$J$24+PM_Angle!$K$24*$C846+PM_Angle!$L$24*$B846</f>
      </c>
      <c r="AS846" s="12">
        <f>IF(AR846&gt;0,IF(AR846&lt;=eco,alpha*fck*(1-(1-AR846/eco)^n),alpha*fck),0)</f>
      </c>
      <c r="AT846" s="30">
        <f>PM_Angle!$J$25+PM_Angle!$K$25*$C846+PM_Angle!$L$25*$B846</f>
      </c>
      <c r="AU846" s="12">
        <f>IF(AT846&gt;0,IF(AT846&lt;=eco,alpha*fck*(1-(1-AT846/eco)^n),alpha*fck),0)</f>
      </c>
    </row>
    <row r="847" spans="1:47" x14ac:dyDescent="0.25">
      <c r="A847">
        <f>Mesh!A844</f>
      </c>
      <c r="B847" s="12">
        <f>Mesh!B844</f>
      </c>
      <c r="C847" s="12">
        <f>Mesh!C844</f>
      </c>
      <c r="D847" s="12">
        <f>Mesh!D844</f>
      </c>
      <c r="E847" s="30">
        <f>INDEX(St_e0,Det+1)+INDEX(St_kx,Det+1)*C847+INDEX(St_ky,Det+1)*B847</f>
      </c>
      <c r="F847" s="12">
        <f>IF(E847&gt;0,IF(E847&lt;=eco,alpha*fck*(1-(1-E847/eco)^n),alpha*fck),0)</f>
      </c>
      <c r="G847" s="11">
        <f>F847*D847</f>
      </c>
      <c r="H847" s="11">
        <f>G847*C847</f>
      </c>
      <c r="I847" s="11">
        <f>G847*B847</f>
      </c>
      <c r="J847" s="30">
        <f>PM_Angle!$J$7+PM_Angle!$K$7*$C847+PM_Angle!$L$7*$B847</f>
      </c>
      <c r="K847" s="12">
        <f>IF(J847&gt;0,IF(J847&lt;=eco,alpha*fck*(1-(1-J847/eco)^n),alpha*fck),0)</f>
      </c>
      <c r="L847" s="30">
        <f>PM_Angle!$J$8+PM_Angle!$K$8*$C847+PM_Angle!$L$8*$B847</f>
      </c>
      <c r="M847" s="12">
        <f>IF(L847&gt;0,IF(L847&lt;=eco,alpha*fck*(1-(1-L847/eco)^n),alpha*fck),0)</f>
      </c>
      <c r="N847" s="30">
        <f>PM_Angle!$J$9+PM_Angle!$K$9*$C847+PM_Angle!$L$9*$B847</f>
      </c>
      <c r="O847" s="12">
        <f>IF(N847&gt;0,IF(N847&lt;=eco,alpha*fck*(1-(1-N847/eco)^n),alpha*fck),0)</f>
      </c>
      <c r="P847" s="30">
        <f>PM_Angle!$J$10+PM_Angle!$K$10*$C847+PM_Angle!$L$10*$B847</f>
      </c>
      <c r="Q847" s="12">
        <f>IF(P847&gt;0,IF(P847&lt;=eco,alpha*fck*(1-(1-P847/eco)^n),alpha*fck),0)</f>
      </c>
      <c r="R847" s="30">
        <f>PM_Angle!$J$11+PM_Angle!$K$11*$C847+PM_Angle!$L$11*$B847</f>
      </c>
      <c r="S847" s="12">
        <f>IF(R847&gt;0,IF(R847&lt;=eco,alpha*fck*(1-(1-R847/eco)^n),alpha*fck),0)</f>
      </c>
      <c r="T847" s="30">
        <f>PM_Angle!$J$12+PM_Angle!$K$12*$C847+PM_Angle!$L$12*$B847</f>
      </c>
      <c r="U847" s="12">
        <f>IF(T847&gt;0,IF(T847&lt;=eco,alpha*fck*(1-(1-T847/eco)^n),alpha*fck),0)</f>
      </c>
      <c r="V847" s="30">
        <f>PM_Angle!$J$13+PM_Angle!$K$13*$C847+PM_Angle!$L$13*$B847</f>
      </c>
      <c r="W847" s="12">
        <f>IF(V847&gt;0,IF(V847&lt;=eco,alpha*fck*(1-(1-V847/eco)^n),alpha*fck),0)</f>
      </c>
      <c r="X847" s="30">
        <f>PM_Angle!$J$14+PM_Angle!$K$14*$C847+PM_Angle!$L$14*$B847</f>
      </c>
      <c r="Y847" s="12">
        <f>IF(X847&gt;0,IF(X847&lt;=eco,alpha*fck*(1-(1-X847/eco)^n),alpha*fck),0)</f>
      </c>
      <c r="Z847" s="30">
        <f>PM_Angle!$J$15+PM_Angle!$K$15*$C847+PM_Angle!$L$15*$B847</f>
      </c>
      <c r="AA847" s="12">
        <f>IF(Z847&gt;0,IF(Z847&lt;=eco,alpha*fck*(1-(1-Z847/eco)^n),alpha*fck),0)</f>
      </c>
      <c r="AB847" s="30">
        <f>PM_Angle!$J$16+PM_Angle!$K$16*$C847+PM_Angle!$L$16*$B847</f>
      </c>
      <c r="AC847" s="12">
        <f>IF(AB847&gt;0,IF(AB847&lt;=eco,alpha*fck*(1-(1-AB847/eco)^n),alpha*fck),0)</f>
      </c>
      <c r="AD847" s="30">
        <f>PM_Angle!$J$17+PM_Angle!$K$17*$C847+PM_Angle!$L$17*$B847</f>
      </c>
      <c r="AE847" s="12">
        <f>IF(AD847&gt;0,IF(AD847&lt;=eco,alpha*fck*(1-(1-AD847/eco)^n),alpha*fck),0)</f>
      </c>
      <c r="AF847" s="30">
        <f>PM_Angle!$J$18+PM_Angle!$K$18*$C847+PM_Angle!$L$18*$B847</f>
      </c>
      <c r="AG847" s="12">
        <f>IF(AF847&gt;0,IF(AF847&lt;=eco,alpha*fck*(1-(1-AF847/eco)^n),alpha*fck),0)</f>
      </c>
      <c r="AH847" s="30">
        <f>PM_Angle!$J$19+PM_Angle!$K$19*$C847+PM_Angle!$L$19*$B847</f>
      </c>
      <c r="AI847" s="12">
        <f>IF(AH847&gt;0,IF(AH847&lt;=eco,alpha*fck*(1-(1-AH847/eco)^n),alpha*fck),0)</f>
      </c>
      <c r="AJ847" s="30">
        <f>PM_Angle!$J$20+PM_Angle!$K$20*$C847+PM_Angle!$L$20*$B847</f>
      </c>
      <c r="AK847" s="12">
        <f>IF(AJ847&gt;0,IF(AJ847&lt;=eco,alpha*fck*(1-(1-AJ847/eco)^n),alpha*fck),0)</f>
      </c>
      <c r="AL847" s="30">
        <f>PM_Angle!$J$21+PM_Angle!$K$21*$C847+PM_Angle!$L$21*$B847</f>
      </c>
      <c r="AM847" s="12">
        <f>IF(AL847&gt;0,IF(AL847&lt;=eco,alpha*fck*(1-(1-AL847/eco)^n),alpha*fck),0)</f>
      </c>
      <c r="AN847" s="30">
        <f>PM_Angle!$J$22+PM_Angle!$K$22*$C847+PM_Angle!$L$22*$B847</f>
      </c>
      <c r="AO847" s="12">
        <f>IF(AN847&gt;0,IF(AN847&lt;=eco,alpha*fck*(1-(1-AN847/eco)^n),alpha*fck),0)</f>
      </c>
      <c r="AP847" s="30">
        <f>PM_Angle!$J$23+PM_Angle!$K$23*$C847+PM_Angle!$L$23*$B847</f>
      </c>
      <c r="AQ847" s="12">
        <f>IF(AP847&gt;0,IF(AP847&lt;=eco,alpha*fck*(1-(1-AP847/eco)^n),alpha*fck),0)</f>
      </c>
      <c r="AR847" s="30">
        <f>PM_Angle!$J$24+PM_Angle!$K$24*$C847+PM_Angle!$L$24*$B847</f>
      </c>
      <c r="AS847" s="12">
        <f>IF(AR847&gt;0,IF(AR847&lt;=eco,alpha*fck*(1-(1-AR847/eco)^n),alpha*fck),0)</f>
      </c>
      <c r="AT847" s="30">
        <f>PM_Angle!$J$25+PM_Angle!$K$25*$C847+PM_Angle!$L$25*$B847</f>
      </c>
      <c r="AU847" s="12">
        <f>IF(AT847&gt;0,IF(AT847&lt;=eco,alpha*fck*(1-(1-AT847/eco)^n),alpha*fck),0)</f>
      </c>
    </row>
    <row r="848" spans="1:47" x14ac:dyDescent="0.25">
      <c r="A848">
        <f>Mesh!A845</f>
      </c>
      <c r="B848" s="12">
        <f>Mesh!B845</f>
      </c>
      <c r="C848" s="12">
        <f>Mesh!C845</f>
      </c>
      <c r="D848" s="12">
        <f>Mesh!D845</f>
      </c>
      <c r="E848" s="30">
        <f>INDEX(St_e0,Det+1)+INDEX(St_kx,Det+1)*C848+INDEX(St_ky,Det+1)*B848</f>
      </c>
      <c r="F848" s="12">
        <f>IF(E848&gt;0,IF(E848&lt;=eco,alpha*fck*(1-(1-E848/eco)^n),alpha*fck),0)</f>
      </c>
      <c r="G848" s="11">
        <f>F848*D848</f>
      </c>
      <c r="H848" s="11">
        <f>G848*C848</f>
      </c>
      <c r="I848" s="11">
        <f>G848*B848</f>
      </c>
      <c r="J848" s="30">
        <f>PM_Angle!$J$7+PM_Angle!$K$7*$C848+PM_Angle!$L$7*$B848</f>
      </c>
      <c r="K848" s="12">
        <f>IF(J848&gt;0,IF(J848&lt;=eco,alpha*fck*(1-(1-J848/eco)^n),alpha*fck),0)</f>
      </c>
      <c r="L848" s="30">
        <f>PM_Angle!$J$8+PM_Angle!$K$8*$C848+PM_Angle!$L$8*$B848</f>
      </c>
      <c r="M848" s="12">
        <f>IF(L848&gt;0,IF(L848&lt;=eco,alpha*fck*(1-(1-L848/eco)^n),alpha*fck),0)</f>
      </c>
      <c r="N848" s="30">
        <f>PM_Angle!$J$9+PM_Angle!$K$9*$C848+PM_Angle!$L$9*$B848</f>
      </c>
      <c r="O848" s="12">
        <f>IF(N848&gt;0,IF(N848&lt;=eco,alpha*fck*(1-(1-N848/eco)^n),alpha*fck),0)</f>
      </c>
      <c r="P848" s="30">
        <f>PM_Angle!$J$10+PM_Angle!$K$10*$C848+PM_Angle!$L$10*$B848</f>
      </c>
      <c r="Q848" s="12">
        <f>IF(P848&gt;0,IF(P848&lt;=eco,alpha*fck*(1-(1-P848/eco)^n),alpha*fck),0)</f>
      </c>
      <c r="R848" s="30">
        <f>PM_Angle!$J$11+PM_Angle!$K$11*$C848+PM_Angle!$L$11*$B848</f>
      </c>
      <c r="S848" s="12">
        <f>IF(R848&gt;0,IF(R848&lt;=eco,alpha*fck*(1-(1-R848/eco)^n),alpha*fck),0)</f>
      </c>
      <c r="T848" s="30">
        <f>PM_Angle!$J$12+PM_Angle!$K$12*$C848+PM_Angle!$L$12*$B848</f>
      </c>
      <c r="U848" s="12">
        <f>IF(T848&gt;0,IF(T848&lt;=eco,alpha*fck*(1-(1-T848/eco)^n),alpha*fck),0)</f>
      </c>
      <c r="V848" s="30">
        <f>PM_Angle!$J$13+PM_Angle!$K$13*$C848+PM_Angle!$L$13*$B848</f>
      </c>
      <c r="W848" s="12">
        <f>IF(V848&gt;0,IF(V848&lt;=eco,alpha*fck*(1-(1-V848/eco)^n),alpha*fck),0)</f>
      </c>
      <c r="X848" s="30">
        <f>PM_Angle!$J$14+PM_Angle!$K$14*$C848+PM_Angle!$L$14*$B848</f>
      </c>
      <c r="Y848" s="12">
        <f>IF(X848&gt;0,IF(X848&lt;=eco,alpha*fck*(1-(1-X848/eco)^n),alpha*fck),0)</f>
      </c>
      <c r="Z848" s="30">
        <f>PM_Angle!$J$15+PM_Angle!$K$15*$C848+PM_Angle!$L$15*$B848</f>
      </c>
      <c r="AA848" s="12">
        <f>IF(Z848&gt;0,IF(Z848&lt;=eco,alpha*fck*(1-(1-Z848/eco)^n),alpha*fck),0)</f>
      </c>
      <c r="AB848" s="30">
        <f>PM_Angle!$J$16+PM_Angle!$K$16*$C848+PM_Angle!$L$16*$B848</f>
      </c>
      <c r="AC848" s="12">
        <f>IF(AB848&gt;0,IF(AB848&lt;=eco,alpha*fck*(1-(1-AB848/eco)^n),alpha*fck),0)</f>
      </c>
      <c r="AD848" s="30">
        <f>PM_Angle!$J$17+PM_Angle!$K$17*$C848+PM_Angle!$L$17*$B848</f>
      </c>
      <c r="AE848" s="12">
        <f>IF(AD848&gt;0,IF(AD848&lt;=eco,alpha*fck*(1-(1-AD848/eco)^n),alpha*fck),0)</f>
      </c>
      <c r="AF848" s="30">
        <f>PM_Angle!$J$18+PM_Angle!$K$18*$C848+PM_Angle!$L$18*$B848</f>
      </c>
      <c r="AG848" s="12">
        <f>IF(AF848&gt;0,IF(AF848&lt;=eco,alpha*fck*(1-(1-AF848/eco)^n),alpha*fck),0)</f>
      </c>
      <c r="AH848" s="30">
        <f>PM_Angle!$J$19+PM_Angle!$K$19*$C848+PM_Angle!$L$19*$B848</f>
      </c>
      <c r="AI848" s="12">
        <f>IF(AH848&gt;0,IF(AH848&lt;=eco,alpha*fck*(1-(1-AH848/eco)^n),alpha*fck),0)</f>
      </c>
      <c r="AJ848" s="30">
        <f>PM_Angle!$J$20+PM_Angle!$K$20*$C848+PM_Angle!$L$20*$B848</f>
      </c>
      <c r="AK848" s="12">
        <f>IF(AJ848&gt;0,IF(AJ848&lt;=eco,alpha*fck*(1-(1-AJ848/eco)^n),alpha*fck),0)</f>
      </c>
      <c r="AL848" s="30">
        <f>PM_Angle!$J$21+PM_Angle!$K$21*$C848+PM_Angle!$L$21*$B848</f>
      </c>
      <c r="AM848" s="12">
        <f>IF(AL848&gt;0,IF(AL848&lt;=eco,alpha*fck*(1-(1-AL848/eco)^n),alpha*fck),0)</f>
      </c>
      <c r="AN848" s="30">
        <f>PM_Angle!$J$22+PM_Angle!$K$22*$C848+PM_Angle!$L$22*$B848</f>
      </c>
      <c r="AO848" s="12">
        <f>IF(AN848&gt;0,IF(AN848&lt;=eco,alpha*fck*(1-(1-AN848/eco)^n),alpha*fck),0)</f>
      </c>
      <c r="AP848" s="30">
        <f>PM_Angle!$J$23+PM_Angle!$K$23*$C848+PM_Angle!$L$23*$B848</f>
      </c>
      <c r="AQ848" s="12">
        <f>IF(AP848&gt;0,IF(AP848&lt;=eco,alpha*fck*(1-(1-AP848/eco)^n),alpha*fck),0)</f>
      </c>
      <c r="AR848" s="30">
        <f>PM_Angle!$J$24+PM_Angle!$K$24*$C848+PM_Angle!$L$24*$B848</f>
      </c>
      <c r="AS848" s="12">
        <f>IF(AR848&gt;0,IF(AR848&lt;=eco,alpha*fck*(1-(1-AR848/eco)^n),alpha*fck),0)</f>
      </c>
      <c r="AT848" s="30">
        <f>PM_Angle!$J$25+PM_Angle!$K$25*$C848+PM_Angle!$L$25*$B848</f>
      </c>
      <c r="AU848" s="12">
        <f>IF(AT848&gt;0,IF(AT848&lt;=eco,alpha*fck*(1-(1-AT848/eco)^n),alpha*fck),0)</f>
      </c>
    </row>
    <row r="849" spans="1:47" x14ac:dyDescent="0.25">
      <c r="A849">
        <f>Mesh!A846</f>
      </c>
      <c r="B849" s="12">
        <f>Mesh!B846</f>
      </c>
      <c r="C849" s="12">
        <f>Mesh!C846</f>
      </c>
      <c r="D849" s="12">
        <f>Mesh!D846</f>
      </c>
      <c r="E849" s="30">
        <f>INDEX(St_e0,Det+1)+INDEX(St_kx,Det+1)*C849+INDEX(St_ky,Det+1)*B849</f>
      </c>
      <c r="F849" s="12">
        <f>IF(E849&gt;0,IF(E849&lt;=eco,alpha*fck*(1-(1-E849/eco)^n),alpha*fck),0)</f>
      </c>
      <c r="G849" s="11">
        <f>F849*D849</f>
      </c>
      <c r="H849" s="11">
        <f>G849*C849</f>
      </c>
      <c r="I849" s="11">
        <f>G849*B849</f>
      </c>
      <c r="J849" s="30">
        <f>PM_Angle!$J$7+PM_Angle!$K$7*$C849+PM_Angle!$L$7*$B849</f>
      </c>
      <c r="K849" s="12">
        <f>IF(J849&gt;0,IF(J849&lt;=eco,alpha*fck*(1-(1-J849/eco)^n),alpha*fck),0)</f>
      </c>
      <c r="L849" s="30">
        <f>PM_Angle!$J$8+PM_Angle!$K$8*$C849+PM_Angle!$L$8*$B849</f>
      </c>
      <c r="M849" s="12">
        <f>IF(L849&gt;0,IF(L849&lt;=eco,alpha*fck*(1-(1-L849/eco)^n),alpha*fck),0)</f>
      </c>
      <c r="N849" s="30">
        <f>PM_Angle!$J$9+PM_Angle!$K$9*$C849+PM_Angle!$L$9*$B849</f>
      </c>
      <c r="O849" s="12">
        <f>IF(N849&gt;0,IF(N849&lt;=eco,alpha*fck*(1-(1-N849/eco)^n),alpha*fck),0)</f>
      </c>
      <c r="P849" s="30">
        <f>PM_Angle!$J$10+PM_Angle!$K$10*$C849+PM_Angle!$L$10*$B849</f>
      </c>
      <c r="Q849" s="12">
        <f>IF(P849&gt;0,IF(P849&lt;=eco,alpha*fck*(1-(1-P849/eco)^n),alpha*fck),0)</f>
      </c>
      <c r="R849" s="30">
        <f>PM_Angle!$J$11+PM_Angle!$K$11*$C849+PM_Angle!$L$11*$B849</f>
      </c>
      <c r="S849" s="12">
        <f>IF(R849&gt;0,IF(R849&lt;=eco,alpha*fck*(1-(1-R849/eco)^n),alpha*fck),0)</f>
      </c>
      <c r="T849" s="30">
        <f>PM_Angle!$J$12+PM_Angle!$K$12*$C849+PM_Angle!$L$12*$B849</f>
      </c>
      <c r="U849" s="12">
        <f>IF(T849&gt;0,IF(T849&lt;=eco,alpha*fck*(1-(1-T849/eco)^n),alpha*fck),0)</f>
      </c>
      <c r="V849" s="30">
        <f>PM_Angle!$J$13+PM_Angle!$K$13*$C849+PM_Angle!$L$13*$B849</f>
      </c>
      <c r="W849" s="12">
        <f>IF(V849&gt;0,IF(V849&lt;=eco,alpha*fck*(1-(1-V849/eco)^n),alpha*fck),0)</f>
      </c>
      <c r="X849" s="30">
        <f>PM_Angle!$J$14+PM_Angle!$K$14*$C849+PM_Angle!$L$14*$B849</f>
      </c>
      <c r="Y849" s="12">
        <f>IF(X849&gt;0,IF(X849&lt;=eco,alpha*fck*(1-(1-X849/eco)^n),alpha*fck),0)</f>
      </c>
      <c r="Z849" s="30">
        <f>PM_Angle!$J$15+PM_Angle!$K$15*$C849+PM_Angle!$L$15*$B849</f>
      </c>
      <c r="AA849" s="12">
        <f>IF(Z849&gt;0,IF(Z849&lt;=eco,alpha*fck*(1-(1-Z849/eco)^n),alpha*fck),0)</f>
      </c>
      <c r="AB849" s="30">
        <f>PM_Angle!$J$16+PM_Angle!$K$16*$C849+PM_Angle!$L$16*$B849</f>
      </c>
      <c r="AC849" s="12">
        <f>IF(AB849&gt;0,IF(AB849&lt;=eco,alpha*fck*(1-(1-AB849/eco)^n),alpha*fck),0)</f>
      </c>
      <c r="AD849" s="30">
        <f>PM_Angle!$J$17+PM_Angle!$K$17*$C849+PM_Angle!$L$17*$B849</f>
      </c>
      <c r="AE849" s="12">
        <f>IF(AD849&gt;0,IF(AD849&lt;=eco,alpha*fck*(1-(1-AD849/eco)^n),alpha*fck),0)</f>
      </c>
      <c r="AF849" s="30">
        <f>PM_Angle!$J$18+PM_Angle!$K$18*$C849+PM_Angle!$L$18*$B849</f>
      </c>
      <c r="AG849" s="12">
        <f>IF(AF849&gt;0,IF(AF849&lt;=eco,alpha*fck*(1-(1-AF849/eco)^n),alpha*fck),0)</f>
      </c>
      <c r="AH849" s="30">
        <f>PM_Angle!$J$19+PM_Angle!$K$19*$C849+PM_Angle!$L$19*$B849</f>
      </c>
      <c r="AI849" s="12">
        <f>IF(AH849&gt;0,IF(AH849&lt;=eco,alpha*fck*(1-(1-AH849/eco)^n),alpha*fck),0)</f>
      </c>
      <c r="AJ849" s="30">
        <f>PM_Angle!$J$20+PM_Angle!$K$20*$C849+PM_Angle!$L$20*$B849</f>
      </c>
      <c r="AK849" s="12">
        <f>IF(AJ849&gt;0,IF(AJ849&lt;=eco,alpha*fck*(1-(1-AJ849/eco)^n),alpha*fck),0)</f>
      </c>
      <c r="AL849" s="30">
        <f>PM_Angle!$J$21+PM_Angle!$K$21*$C849+PM_Angle!$L$21*$B849</f>
      </c>
      <c r="AM849" s="12">
        <f>IF(AL849&gt;0,IF(AL849&lt;=eco,alpha*fck*(1-(1-AL849/eco)^n),alpha*fck),0)</f>
      </c>
      <c r="AN849" s="30">
        <f>PM_Angle!$J$22+PM_Angle!$K$22*$C849+PM_Angle!$L$22*$B849</f>
      </c>
      <c r="AO849" s="12">
        <f>IF(AN849&gt;0,IF(AN849&lt;=eco,alpha*fck*(1-(1-AN849/eco)^n),alpha*fck),0)</f>
      </c>
      <c r="AP849" s="30">
        <f>PM_Angle!$J$23+PM_Angle!$K$23*$C849+PM_Angle!$L$23*$B849</f>
      </c>
      <c r="AQ849" s="12">
        <f>IF(AP849&gt;0,IF(AP849&lt;=eco,alpha*fck*(1-(1-AP849/eco)^n),alpha*fck),0)</f>
      </c>
      <c r="AR849" s="30">
        <f>PM_Angle!$J$24+PM_Angle!$K$24*$C849+PM_Angle!$L$24*$B849</f>
      </c>
      <c r="AS849" s="12">
        <f>IF(AR849&gt;0,IF(AR849&lt;=eco,alpha*fck*(1-(1-AR849/eco)^n),alpha*fck),0)</f>
      </c>
      <c r="AT849" s="30">
        <f>PM_Angle!$J$25+PM_Angle!$K$25*$C849+PM_Angle!$L$25*$B849</f>
      </c>
      <c r="AU849" s="12">
        <f>IF(AT849&gt;0,IF(AT849&lt;=eco,alpha*fck*(1-(1-AT849/eco)^n),alpha*fck),0)</f>
      </c>
    </row>
    <row r="850" spans="1:47" x14ac:dyDescent="0.25">
      <c r="A850">
        <f>Mesh!A847</f>
      </c>
      <c r="B850" s="12">
        <f>Mesh!B847</f>
      </c>
      <c r="C850" s="12">
        <f>Mesh!C847</f>
      </c>
      <c r="D850" s="12">
        <f>Mesh!D847</f>
      </c>
      <c r="E850" s="30">
        <f>INDEX(St_e0,Det+1)+INDEX(St_kx,Det+1)*C850+INDEX(St_ky,Det+1)*B850</f>
      </c>
      <c r="F850" s="12">
        <f>IF(E850&gt;0,IF(E850&lt;=eco,alpha*fck*(1-(1-E850/eco)^n),alpha*fck),0)</f>
      </c>
      <c r="G850" s="11">
        <f>F850*D850</f>
      </c>
      <c r="H850" s="11">
        <f>G850*C850</f>
      </c>
      <c r="I850" s="11">
        <f>G850*B850</f>
      </c>
      <c r="J850" s="30">
        <f>PM_Angle!$J$7+PM_Angle!$K$7*$C850+PM_Angle!$L$7*$B850</f>
      </c>
      <c r="K850" s="12">
        <f>IF(J850&gt;0,IF(J850&lt;=eco,alpha*fck*(1-(1-J850/eco)^n),alpha*fck),0)</f>
      </c>
      <c r="L850" s="30">
        <f>PM_Angle!$J$8+PM_Angle!$K$8*$C850+PM_Angle!$L$8*$B850</f>
      </c>
      <c r="M850" s="12">
        <f>IF(L850&gt;0,IF(L850&lt;=eco,alpha*fck*(1-(1-L850/eco)^n),alpha*fck),0)</f>
      </c>
      <c r="N850" s="30">
        <f>PM_Angle!$J$9+PM_Angle!$K$9*$C850+PM_Angle!$L$9*$B850</f>
      </c>
      <c r="O850" s="12">
        <f>IF(N850&gt;0,IF(N850&lt;=eco,alpha*fck*(1-(1-N850/eco)^n),alpha*fck),0)</f>
      </c>
      <c r="P850" s="30">
        <f>PM_Angle!$J$10+PM_Angle!$K$10*$C850+PM_Angle!$L$10*$B850</f>
      </c>
      <c r="Q850" s="12">
        <f>IF(P850&gt;0,IF(P850&lt;=eco,alpha*fck*(1-(1-P850/eco)^n),alpha*fck),0)</f>
      </c>
      <c r="R850" s="30">
        <f>PM_Angle!$J$11+PM_Angle!$K$11*$C850+PM_Angle!$L$11*$B850</f>
      </c>
      <c r="S850" s="12">
        <f>IF(R850&gt;0,IF(R850&lt;=eco,alpha*fck*(1-(1-R850/eco)^n),alpha*fck),0)</f>
      </c>
      <c r="T850" s="30">
        <f>PM_Angle!$J$12+PM_Angle!$K$12*$C850+PM_Angle!$L$12*$B850</f>
      </c>
      <c r="U850" s="12">
        <f>IF(T850&gt;0,IF(T850&lt;=eco,alpha*fck*(1-(1-T850/eco)^n),alpha*fck),0)</f>
      </c>
      <c r="V850" s="30">
        <f>PM_Angle!$J$13+PM_Angle!$K$13*$C850+PM_Angle!$L$13*$B850</f>
      </c>
      <c r="W850" s="12">
        <f>IF(V850&gt;0,IF(V850&lt;=eco,alpha*fck*(1-(1-V850/eco)^n),alpha*fck),0)</f>
      </c>
      <c r="X850" s="30">
        <f>PM_Angle!$J$14+PM_Angle!$K$14*$C850+PM_Angle!$L$14*$B850</f>
      </c>
      <c r="Y850" s="12">
        <f>IF(X850&gt;0,IF(X850&lt;=eco,alpha*fck*(1-(1-X850/eco)^n),alpha*fck),0)</f>
      </c>
      <c r="Z850" s="30">
        <f>PM_Angle!$J$15+PM_Angle!$K$15*$C850+PM_Angle!$L$15*$B850</f>
      </c>
      <c r="AA850" s="12">
        <f>IF(Z850&gt;0,IF(Z850&lt;=eco,alpha*fck*(1-(1-Z850/eco)^n),alpha*fck),0)</f>
      </c>
      <c r="AB850" s="30">
        <f>PM_Angle!$J$16+PM_Angle!$K$16*$C850+PM_Angle!$L$16*$B850</f>
      </c>
      <c r="AC850" s="12">
        <f>IF(AB850&gt;0,IF(AB850&lt;=eco,alpha*fck*(1-(1-AB850/eco)^n),alpha*fck),0)</f>
      </c>
      <c r="AD850" s="30">
        <f>PM_Angle!$J$17+PM_Angle!$K$17*$C850+PM_Angle!$L$17*$B850</f>
      </c>
      <c r="AE850" s="12">
        <f>IF(AD850&gt;0,IF(AD850&lt;=eco,alpha*fck*(1-(1-AD850/eco)^n),alpha*fck),0)</f>
      </c>
      <c r="AF850" s="30">
        <f>PM_Angle!$J$18+PM_Angle!$K$18*$C850+PM_Angle!$L$18*$B850</f>
      </c>
      <c r="AG850" s="12">
        <f>IF(AF850&gt;0,IF(AF850&lt;=eco,alpha*fck*(1-(1-AF850/eco)^n),alpha*fck),0)</f>
      </c>
      <c r="AH850" s="30">
        <f>PM_Angle!$J$19+PM_Angle!$K$19*$C850+PM_Angle!$L$19*$B850</f>
      </c>
      <c r="AI850" s="12">
        <f>IF(AH850&gt;0,IF(AH850&lt;=eco,alpha*fck*(1-(1-AH850/eco)^n),alpha*fck),0)</f>
      </c>
      <c r="AJ850" s="30">
        <f>PM_Angle!$J$20+PM_Angle!$K$20*$C850+PM_Angle!$L$20*$B850</f>
      </c>
      <c r="AK850" s="12">
        <f>IF(AJ850&gt;0,IF(AJ850&lt;=eco,alpha*fck*(1-(1-AJ850/eco)^n),alpha*fck),0)</f>
      </c>
      <c r="AL850" s="30">
        <f>PM_Angle!$J$21+PM_Angle!$K$21*$C850+PM_Angle!$L$21*$B850</f>
      </c>
      <c r="AM850" s="12">
        <f>IF(AL850&gt;0,IF(AL850&lt;=eco,alpha*fck*(1-(1-AL850/eco)^n),alpha*fck),0)</f>
      </c>
      <c r="AN850" s="30">
        <f>PM_Angle!$J$22+PM_Angle!$K$22*$C850+PM_Angle!$L$22*$B850</f>
      </c>
      <c r="AO850" s="12">
        <f>IF(AN850&gt;0,IF(AN850&lt;=eco,alpha*fck*(1-(1-AN850/eco)^n),alpha*fck),0)</f>
      </c>
      <c r="AP850" s="30">
        <f>PM_Angle!$J$23+PM_Angle!$K$23*$C850+PM_Angle!$L$23*$B850</f>
      </c>
      <c r="AQ850" s="12">
        <f>IF(AP850&gt;0,IF(AP850&lt;=eco,alpha*fck*(1-(1-AP850/eco)^n),alpha*fck),0)</f>
      </c>
      <c r="AR850" s="30">
        <f>PM_Angle!$J$24+PM_Angle!$K$24*$C850+PM_Angle!$L$24*$B850</f>
      </c>
      <c r="AS850" s="12">
        <f>IF(AR850&gt;0,IF(AR850&lt;=eco,alpha*fck*(1-(1-AR850/eco)^n),alpha*fck),0)</f>
      </c>
      <c r="AT850" s="30">
        <f>PM_Angle!$J$25+PM_Angle!$K$25*$C850+PM_Angle!$L$25*$B850</f>
      </c>
      <c r="AU850" s="12">
        <f>IF(AT850&gt;0,IF(AT850&lt;=eco,alpha*fck*(1-(1-AT850/eco)^n),alpha*fck),0)</f>
      </c>
    </row>
    <row r="851" spans="1:47" x14ac:dyDescent="0.25">
      <c r="A851">
        <f>Mesh!A848</f>
      </c>
      <c r="B851" s="12">
        <f>Mesh!B848</f>
      </c>
      <c r="C851" s="12">
        <f>Mesh!C848</f>
      </c>
      <c r="D851" s="12">
        <f>Mesh!D848</f>
      </c>
      <c r="E851" s="30">
        <f>INDEX(St_e0,Det+1)+INDEX(St_kx,Det+1)*C851+INDEX(St_ky,Det+1)*B851</f>
      </c>
      <c r="F851" s="12">
        <f>IF(E851&gt;0,IF(E851&lt;=eco,alpha*fck*(1-(1-E851/eco)^n),alpha*fck),0)</f>
      </c>
      <c r="G851" s="11">
        <f>F851*D851</f>
      </c>
      <c r="H851" s="11">
        <f>G851*C851</f>
      </c>
      <c r="I851" s="11">
        <f>G851*B851</f>
      </c>
      <c r="J851" s="30">
        <f>PM_Angle!$J$7+PM_Angle!$K$7*$C851+PM_Angle!$L$7*$B851</f>
      </c>
      <c r="K851" s="12">
        <f>IF(J851&gt;0,IF(J851&lt;=eco,alpha*fck*(1-(1-J851/eco)^n),alpha*fck),0)</f>
      </c>
      <c r="L851" s="30">
        <f>PM_Angle!$J$8+PM_Angle!$K$8*$C851+PM_Angle!$L$8*$B851</f>
      </c>
      <c r="M851" s="12">
        <f>IF(L851&gt;0,IF(L851&lt;=eco,alpha*fck*(1-(1-L851/eco)^n),alpha*fck),0)</f>
      </c>
      <c r="N851" s="30">
        <f>PM_Angle!$J$9+PM_Angle!$K$9*$C851+PM_Angle!$L$9*$B851</f>
      </c>
      <c r="O851" s="12">
        <f>IF(N851&gt;0,IF(N851&lt;=eco,alpha*fck*(1-(1-N851/eco)^n),alpha*fck),0)</f>
      </c>
      <c r="P851" s="30">
        <f>PM_Angle!$J$10+PM_Angle!$K$10*$C851+PM_Angle!$L$10*$B851</f>
      </c>
      <c r="Q851" s="12">
        <f>IF(P851&gt;0,IF(P851&lt;=eco,alpha*fck*(1-(1-P851/eco)^n),alpha*fck),0)</f>
      </c>
      <c r="R851" s="30">
        <f>PM_Angle!$J$11+PM_Angle!$K$11*$C851+PM_Angle!$L$11*$B851</f>
      </c>
      <c r="S851" s="12">
        <f>IF(R851&gt;0,IF(R851&lt;=eco,alpha*fck*(1-(1-R851/eco)^n),alpha*fck),0)</f>
      </c>
      <c r="T851" s="30">
        <f>PM_Angle!$J$12+PM_Angle!$K$12*$C851+PM_Angle!$L$12*$B851</f>
      </c>
      <c r="U851" s="12">
        <f>IF(T851&gt;0,IF(T851&lt;=eco,alpha*fck*(1-(1-T851/eco)^n),alpha*fck),0)</f>
      </c>
      <c r="V851" s="30">
        <f>PM_Angle!$J$13+PM_Angle!$K$13*$C851+PM_Angle!$L$13*$B851</f>
      </c>
      <c r="W851" s="12">
        <f>IF(V851&gt;0,IF(V851&lt;=eco,alpha*fck*(1-(1-V851/eco)^n),alpha*fck),0)</f>
      </c>
      <c r="X851" s="30">
        <f>PM_Angle!$J$14+PM_Angle!$K$14*$C851+PM_Angle!$L$14*$B851</f>
      </c>
      <c r="Y851" s="12">
        <f>IF(X851&gt;0,IF(X851&lt;=eco,alpha*fck*(1-(1-X851/eco)^n),alpha*fck),0)</f>
      </c>
      <c r="Z851" s="30">
        <f>PM_Angle!$J$15+PM_Angle!$K$15*$C851+PM_Angle!$L$15*$B851</f>
      </c>
      <c r="AA851" s="12">
        <f>IF(Z851&gt;0,IF(Z851&lt;=eco,alpha*fck*(1-(1-Z851/eco)^n),alpha*fck),0)</f>
      </c>
      <c r="AB851" s="30">
        <f>PM_Angle!$J$16+PM_Angle!$K$16*$C851+PM_Angle!$L$16*$B851</f>
      </c>
      <c r="AC851" s="12">
        <f>IF(AB851&gt;0,IF(AB851&lt;=eco,alpha*fck*(1-(1-AB851/eco)^n),alpha*fck),0)</f>
      </c>
      <c r="AD851" s="30">
        <f>PM_Angle!$J$17+PM_Angle!$K$17*$C851+PM_Angle!$L$17*$B851</f>
      </c>
      <c r="AE851" s="12">
        <f>IF(AD851&gt;0,IF(AD851&lt;=eco,alpha*fck*(1-(1-AD851/eco)^n),alpha*fck),0)</f>
      </c>
      <c r="AF851" s="30">
        <f>PM_Angle!$J$18+PM_Angle!$K$18*$C851+PM_Angle!$L$18*$B851</f>
      </c>
      <c r="AG851" s="12">
        <f>IF(AF851&gt;0,IF(AF851&lt;=eco,alpha*fck*(1-(1-AF851/eco)^n),alpha*fck),0)</f>
      </c>
      <c r="AH851" s="30">
        <f>PM_Angle!$J$19+PM_Angle!$K$19*$C851+PM_Angle!$L$19*$B851</f>
      </c>
      <c r="AI851" s="12">
        <f>IF(AH851&gt;0,IF(AH851&lt;=eco,alpha*fck*(1-(1-AH851/eco)^n),alpha*fck),0)</f>
      </c>
      <c r="AJ851" s="30">
        <f>PM_Angle!$J$20+PM_Angle!$K$20*$C851+PM_Angle!$L$20*$B851</f>
      </c>
      <c r="AK851" s="12">
        <f>IF(AJ851&gt;0,IF(AJ851&lt;=eco,alpha*fck*(1-(1-AJ851/eco)^n),alpha*fck),0)</f>
      </c>
      <c r="AL851" s="30">
        <f>PM_Angle!$J$21+PM_Angle!$K$21*$C851+PM_Angle!$L$21*$B851</f>
      </c>
      <c r="AM851" s="12">
        <f>IF(AL851&gt;0,IF(AL851&lt;=eco,alpha*fck*(1-(1-AL851/eco)^n),alpha*fck),0)</f>
      </c>
      <c r="AN851" s="30">
        <f>PM_Angle!$J$22+PM_Angle!$K$22*$C851+PM_Angle!$L$22*$B851</f>
      </c>
      <c r="AO851" s="12">
        <f>IF(AN851&gt;0,IF(AN851&lt;=eco,alpha*fck*(1-(1-AN851/eco)^n),alpha*fck),0)</f>
      </c>
      <c r="AP851" s="30">
        <f>PM_Angle!$J$23+PM_Angle!$K$23*$C851+PM_Angle!$L$23*$B851</f>
      </c>
      <c r="AQ851" s="12">
        <f>IF(AP851&gt;0,IF(AP851&lt;=eco,alpha*fck*(1-(1-AP851/eco)^n),alpha*fck),0)</f>
      </c>
      <c r="AR851" s="30">
        <f>PM_Angle!$J$24+PM_Angle!$K$24*$C851+PM_Angle!$L$24*$B851</f>
      </c>
      <c r="AS851" s="12">
        <f>IF(AR851&gt;0,IF(AR851&lt;=eco,alpha*fck*(1-(1-AR851/eco)^n),alpha*fck),0)</f>
      </c>
      <c r="AT851" s="30">
        <f>PM_Angle!$J$25+PM_Angle!$K$25*$C851+PM_Angle!$L$25*$B851</f>
      </c>
      <c r="AU851" s="12">
        <f>IF(AT851&gt;0,IF(AT851&lt;=eco,alpha*fck*(1-(1-AT851/eco)^n),alpha*fck),0)</f>
      </c>
    </row>
    <row r="852" spans="1:47" x14ac:dyDescent="0.25">
      <c r="A852">
        <f>Mesh!A849</f>
      </c>
      <c r="B852" s="12">
        <f>Mesh!B849</f>
      </c>
      <c r="C852" s="12">
        <f>Mesh!C849</f>
      </c>
      <c r="D852" s="12">
        <f>Mesh!D849</f>
      </c>
      <c r="E852" s="30">
        <f>INDEX(St_e0,Det+1)+INDEX(St_kx,Det+1)*C852+INDEX(St_ky,Det+1)*B852</f>
      </c>
      <c r="F852" s="12">
        <f>IF(E852&gt;0,IF(E852&lt;=eco,alpha*fck*(1-(1-E852/eco)^n),alpha*fck),0)</f>
      </c>
      <c r="G852" s="11">
        <f>F852*D852</f>
      </c>
      <c r="H852" s="11">
        <f>G852*C852</f>
      </c>
      <c r="I852" s="11">
        <f>G852*B852</f>
      </c>
      <c r="J852" s="30">
        <f>PM_Angle!$J$7+PM_Angle!$K$7*$C852+PM_Angle!$L$7*$B852</f>
      </c>
      <c r="K852" s="12">
        <f>IF(J852&gt;0,IF(J852&lt;=eco,alpha*fck*(1-(1-J852/eco)^n),alpha*fck),0)</f>
      </c>
      <c r="L852" s="30">
        <f>PM_Angle!$J$8+PM_Angle!$K$8*$C852+PM_Angle!$L$8*$B852</f>
      </c>
      <c r="M852" s="12">
        <f>IF(L852&gt;0,IF(L852&lt;=eco,alpha*fck*(1-(1-L852/eco)^n),alpha*fck),0)</f>
      </c>
      <c r="N852" s="30">
        <f>PM_Angle!$J$9+PM_Angle!$K$9*$C852+PM_Angle!$L$9*$B852</f>
      </c>
      <c r="O852" s="12">
        <f>IF(N852&gt;0,IF(N852&lt;=eco,alpha*fck*(1-(1-N852/eco)^n),alpha*fck),0)</f>
      </c>
      <c r="P852" s="30">
        <f>PM_Angle!$J$10+PM_Angle!$K$10*$C852+PM_Angle!$L$10*$B852</f>
      </c>
      <c r="Q852" s="12">
        <f>IF(P852&gt;0,IF(P852&lt;=eco,alpha*fck*(1-(1-P852/eco)^n),alpha*fck),0)</f>
      </c>
      <c r="R852" s="30">
        <f>PM_Angle!$J$11+PM_Angle!$K$11*$C852+PM_Angle!$L$11*$B852</f>
      </c>
      <c r="S852" s="12">
        <f>IF(R852&gt;0,IF(R852&lt;=eco,alpha*fck*(1-(1-R852/eco)^n),alpha*fck),0)</f>
      </c>
      <c r="T852" s="30">
        <f>PM_Angle!$J$12+PM_Angle!$K$12*$C852+PM_Angle!$L$12*$B852</f>
      </c>
      <c r="U852" s="12">
        <f>IF(T852&gt;0,IF(T852&lt;=eco,alpha*fck*(1-(1-T852/eco)^n),alpha*fck),0)</f>
      </c>
      <c r="V852" s="30">
        <f>PM_Angle!$J$13+PM_Angle!$K$13*$C852+PM_Angle!$L$13*$B852</f>
      </c>
      <c r="W852" s="12">
        <f>IF(V852&gt;0,IF(V852&lt;=eco,alpha*fck*(1-(1-V852/eco)^n),alpha*fck),0)</f>
      </c>
      <c r="X852" s="30">
        <f>PM_Angle!$J$14+PM_Angle!$K$14*$C852+PM_Angle!$L$14*$B852</f>
      </c>
      <c r="Y852" s="12">
        <f>IF(X852&gt;0,IF(X852&lt;=eco,alpha*fck*(1-(1-X852/eco)^n),alpha*fck),0)</f>
      </c>
      <c r="Z852" s="30">
        <f>PM_Angle!$J$15+PM_Angle!$K$15*$C852+PM_Angle!$L$15*$B852</f>
      </c>
      <c r="AA852" s="12">
        <f>IF(Z852&gt;0,IF(Z852&lt;=eco,alpha*fck*(1-(1-Z852/eco)^n),alpha*fck),0)</f>
      </c>
      <c r="AB852" s="30">
        <f>PM_Angle!$J$16+PM_Angle!$K$16*$C852+PM_Angle!$L$16*$B852</f>
      </c>
      <c r="AC852" s="12">
        <f>IF(AB852&gt;0,IF(AB852&lt;=eco,alpha*fck*(1-(1-AB852/eco)^n),alpha*fck),0)</f>
      </c>
      <c r="AD852" s="30">
        <f>PM_Angle!$J$17+PM_Angle!$K$17*$C852+PM_Angle!$L$17*$B852</f>
      </c>
      <c r="AE852" s="12">
        <f>IF(AD852&gt;0,IF(AD852&lt;=eco,alpha*fck*(1-(1-AD852/eco)^n),alpha*fck),0)</f>
      </c>
      <c r="AF852" s="30">
        <f>PM_Angle!$J$18+PM_Angle!$K$18*$C852+PM_Angle!$L$18*$B852</f>
      </c>
      <c r="AG852" s="12">
        <f>IF(AF852&gt;0,IF(AF852&lt;=eco,alpha*fck*(1-(1-AF852/eco)^n),alpha*fck),0)</f>
      </c>
      <c r="AH852" s="30">
        <f>PM_Angle!$J$19+PM_Angle!$K$19*$C852+PM_Angle!$L$19*$B852</f>
      </c>
      <c r="AI852" s="12">
        <f>IF(AH852&gt;0,IF(AH852&lt;=eco,alpha*fck*(1-(1-AH852/eco)^n),alpha*fck),0)</f>
      </c>
      <c r="AJ852" s="30">
        <f>PM_Angle!$J$20+PM_Angle!$K$20*$C852+PM_Angle!$L$20*$B852</f>
      </c>
      <c r="AK852" s="12">
        <f>IF(AJ852&gt;0,IF(AJ852&lt;=eco,alpha*fck*(1-(1-AJ852/eco)^n),alpha*fck),0)</f>
      </c>
      <c r="AL852" s="30">
        <f>PM_Angle!$J$21+PM_Angle!$K$21*$C852+PM_Angle!$L$21*$B852</f>
      </c>
      <c r="AM852" s="12">
        <f>IF(AL852&gt;0,IF(AL852&lt;=eco,alpha*fck*(1-(1-AL852/eco)^n),alpha*fck),0)</f>
      </c>
      <c r="AN852" s="30">
        <f>PM_Angle!$J$22+PM_Angle!$K$22*$C852+PM_Angle!$L$22*$B852</f>
      </c>
      <c r="AO852" s="12">
        <f>IF(AN852&gt;0,IF(AN852&lt;=eco,alpha*fck*(1-(1-AN852/eco)^n),alpha*fck),0)</f>
      </c>
      <c r="AP852" s="30">
        <f>PM_Angle!$J$23+PM_Angle!$K$23*$C852+PM_Angle!$L$23*$B852</f>
      </c>
      <c r="AQ852" s="12">
        <f>IF(AP852&gt;0,IF(AP852&lt;=eco,alpha*fck*(1-(1-AP852/eco)^n),alpha*fck),0)</f>
      </c>
      <c r="AR852" s="30">
        <f>PM_Angle!$J$24+PM_Angle!$K$24*$C852+PM_Angle!$L$24*$B852</f>
      </c>
      <c r="AS852" s="12">
        <f>IF(AR852&gt;0,IF(AR852&lt;=eco,alpha*fck*(1-(1-AR852/eco)^n),alpha*fck),0)</f>
      </c>
      <c r="AT852" s="30">
        <f>PM_Angle!$J$25+PM_Angle!$K$25*$C852+PM_Angle!$L$25*$B852</f>
      </c>
      <c r="AU852" s="12">
        <f>IF(AT852&gt;0,IF(AT852&lt;=eco,alpha*fck*(1-(1-AT852/eco)^n),alpha*fck),0)</f>
      </c>
    </row>
    <row r="853" spans="1:47" x14ac:dyDescent="0.25">
      <c r="A853">
        <f>Mesh!A850</f>
      </c>
      <c r="B853" s="12">
        <f>Mesh!B850</f>
      </c>
      <c r="C853" s="12">
        <f>Mesh!C850</f>
      </c>
      <c r="D853" s="12">
        <f>Mesh!D850</f>
      </c>
      <c r="E853" s="30">
        <f>INDEX(St_e0,Det+1)+INDEX(St_kx,Det+1)*C853+INDEX(St_ky,Det+1)*B853</f>
      </c>
      <c r="F853" s="12">
        <f>IF(E853&gt;0,IF(E853&lt;=eco,alpha*fck*(1-(1-E853/eco)^n),alpha*fck),0)</f>
      </c>
      <c r="G853" s="11">
        <f>F853*D853</f>
      </c>
      <c r="H853" s="11">
        <f>G853*C853</f>
      </c>
      <c r="I853" s="11">
        <f>G853*B853</f>
      </c>
      <c r="J853" s="30">
        <f>PM_Angle!$J$7+PM_Angle!$K$7*$C853+PM_Angle!$L$7*$B853</f>
      </c>
      <c r="K853" s="12">
        <f>IF(J853&gt;0,IF(J853&lt;=eco,alpha*fck*(1-(1-J853/eco)^n),alpha*fck),0)</f>
      </c>
      <c r="L853" s="30">
        <f>PM_Angle!$J$8+PM_Angle!$K$8*$C853+PM_Angle!$L$8*$B853</f>
      </c>
      <c r="M853" s="12">
        <f>IF(L853&gt;0,IF(L853&lt;=eco,alpha*fck*(1-(1-L853/eco)^n),alpha*fck),0)</f>
      </c>
      <c r="N853" s="30">
        <f>PM_Angle!$J$9+PM_Angle!$K$9*$C853+PM_Angle!$L$9*$B853</f>
      </c>
      <c r="O853" s="12">
        <f>IF(N853&gt;0,IF(N853&lt;=eco,alpha*fck*(1-(1-N853/eco)^n),alpha*fck),0)</f>
      </c>
      <c r="P853" s="30">
        <f>PM_Angle!$J$10+PM_Angle!$K$10*$C853+PM_Angle!$L$10*$B853</f>
      </c>
      <c r="Q853" s="12">
        <f>IF(P853&gt;0,IF(P853&lt;=eco,alpha*fck*(1-(1-P853/eco)^n),alpha*fck),0)</f>
      </c>
      <c r="R853" s="30">
        <f>PM_Angle!$J$11+PM_Angle!$K$11*$C853+PM_Angle!$L$11*$B853</f>
      </c>
      <c r="S853" s="12">
        <f>IF(R853&gt;0,IF(R853&lt;=eco,alpha*fck*(1-(1-R853/eco)^n),alpha*fck),0)</f>
      </c>
      <c r="T853" s="30">
        <f>PM_Angle!$J$12+PM_Angle!$K$12*$C853+PM_Angle!$L$12*$B853</f>
      </c>
      <c r="U853" s="12">
        <f>IF(T853&gt;0,IF(T853&lt;=eco,alpha*fck*(1-(1-T853/eco)^n),alpha*fck),0)</f>
      </c>
      <c r="V853" s="30">
        <f>PM_Angle!$J$13+PM_Angle!$K$13*$C853+PM_Angle!$L$13*$B853</f>
      </c>
      <c r="W853" s="12">
        <f>IF(V853&gt;0,IF(V853&lt;=eco,alpha*fck*(1-(1-V853/eco)^n),alpha*fck),0)</f>
      </c>
      <c r="X853" s="30">
        <f>PM_Angle!$J$14+PM_Angle!$K$14*$C853+PM_Angle!$L$14*$B853</f>
      </c>
      <c r="Y853" s="12">
        <f>IF(X853&gt;0,IF(X853&lt;=eco,alpha*fck*(1-(1-X853/eco)^n),alpha*fck),0)</f>
      </c>
      <c r="Z853" s="30">
        <f>PM_Angle!$J$15+PM_Angle!$K$15*$C853+PM_Angle!$L$15*$B853</f>
      </c>
      <c r="AA853" s="12">
        <f>IF(Z853&gt;0,IF(Z853&lt;=eco,alpha*fck*(1-(1-Z853/eco)^n),alpha*fck),0)</f>
      </c>
      <c r="AB853" s="30">
        <f>PM_Angle!$J$16+PM_Angle!$K$16*$C853+PM_Angle!$L$16*$B853</f>
      </c>
      <c r="AC853" s="12">
        <f>IF(AB853&gt;0,IF(AB853&lt;=eco,alpha*fck*(1-(1-AB853/eco)^n),alpha*fck),0)</f>
      </c>
      <c r="AD853" s="30">
        <f>PM_Angle!$J$17+PM_Angle!$K$17*$C853+PM_Angle!$L$17*$B853</f>
      </c>
      <c r="AE853" s="12">
        <f>IF(AD853&gt;0,IF(AD853&lt;=eco,alpha*fck*(1-(1-AD853/eco)^n),alpha*fck),0)</f>
      </c>
      <c r="AF853" s="30">
        <f>PM_Angle!$J$18+PM_Angle!$K$18*$C853+PM_Angle!$L$18*$B853</f>
      </c>
      <c r="AG853" s="12">
        <f>IF(AF853&gt;0,IF(AF853&lt;=eco,alpha*fck*(1-(1-AF853/eco)^n),alpha*fck),0)</f>
      </c>
      <c r="AH853" s="30">
        <f>PM_Angle!$J$19+PM_Angle!$K$19*$C853+PM_Angle!$L$19*$B853</f>
      </c>
      <c r="AI853" s="12">
        <f>IF(AH853&gt;0,IF(AH853&lt;=eco,alpha*fck*(1-(1-AH853/eco)^n),alpha*fck),0)</f>
      </c>
      <c r="AJ853" s="30">
        <f>PM_Angle!$J$20+PM_Angle!$K$20*$C853+PM_Angle!$L$20*$B853</f>
      </c>
      <c r="AK853" s="12">
        <f>IF(AJ853&gt;0,IF(AJ853&lt;=eco,alpha*fck*(1-(1-AJ853/eco)^n),alpha*fck),0)</f>
      </c>
      <c r="AL853" s="30">
        <f>PM_Angle!$J$21+PM_Angle!$K$21*$C853+PM_Angle!$L$21*$B853</f>
      </c>
      <c r="AM853" s="12">
        <f>IF(AL853&gt;0,IF(AL853&lt;=eco,alpha*fck*(1-(1-AL853/eco)^n),alpha*fck),0)</f>
      </c>
      <c r="AN853" s="30">
        <f>PM_Angle!$J$22+PM_Angle!$K$22*$C853+PM_Angle!$L$22*$B853</f>
      </c>
      <c r="AO853" s="12">
        <f>IF(AN853&gt;0,IF(AN853&lt;=eco,alpha*fck*(1-(1-AN853/eco)^n),alpha*fck),0)</f>
      </c>
      <c r="AP853" s="30">
        <f>PM_Angle!$J$23+PM_Angle!$K$23*$C853+PM_Angle!$L$23*$B853</f>
      </c>
      <c r="AQ853" s="12">
        <f>IF(AP853&gt;0,IF(AP853&lt;=eco,alpha*fck*(1-(1-AP853/eco)^n),alpha*fck),0)</f>
      </c>
      <c r="AR853" s="30">
        <f>PM_Angle!$J$24+PM_Angle!$K$24*$C853+PM_Angle!$L$24*$B853</f>
      </c>
      <c r="AS853" s="12">
        <f>IF(AR853&gt;0,IF(AR853&lt;=eco,alpha*fck*(1-(1-AR853/eco)^n),alpha*fck),0)</f>
      </c>
      <c r="AT853" s="30">
        <f>PM_Angle!$J$25+PM_Angle!$K$25*$C853+PM_Angle!$L$25*$B853</f>
      </c>
      <c r="AU853" s="12">
        <f>IF(AT853&gt;0,IF(AT853&lt;=eco,alpha*fck*(1-(1-AT853/eco)^n),alpha*fck),0)</f>
      </c>
    </row>
    <row r="854" spans="1:47" x14ac:dyDescent="0.25">
      <c r="A854">
        <f>Mesh!A851</f>
      </c>
      <c r="B854" s="12">
        <f>Mesh!B851</f>
      </c>
      <c r="C854" s="12">
        <f>Mesh!C851</f>
      </c>
      <c r="D854" s="12">
        <f>Mesh!D851</f>
      </c>
      <c r="E854" s="30">
        <f>INDEX(St_e0,Det+1)+INDEX(St_kx,Det+1)*C854+INDEX(St_ky,Det+1)*B854</f>
      </c>
      <c r="F854" s="12">
        <f>IF(E854&gt;0,IF(E854&lt;=eco,alpha*fck*(1-(1-E854/eco)^n),alpha*fck),0)</f>
      </c>
      <c r="G854" s="11">
        <f>F854*D854</f>
      </c>
      <c r="H854" s="11">
        <f>G854*C854</f>
      </c>
      <c r="I854" s="11">
        <f>G854*B854</f>
      </c>
      <c r="J854" s="30">
        <f>PM_Angle!$J$7+PM_Angle!$K$7*$C854+PM_Angle!$L$7*$B854</f>
      </c>
      <c r="K854" s="12">
        <f>IF(J854&gt;0,IF(J854&lt;=eco,alpha*fck*(1-(1-J854/eco)^n),alpha*fck),0)</f>
      </c>
      <c r="L854" s="30">
        <f>PM_Angle!$J$8+PM_Angle!$K$8*$C854+PM_Angle!$L$8*$B854</f>
      </c>
      <c r="M854" s="12">
        <f>IF(L854&gt;0,IF(L854&lt;=eco,alpha*fck*(1-(1-L854/eco)^n),alpha*fck),0)</f>
      </c>
      <c r="N854" s="30">
        <f>PM_Angle!$J$9+PM_Angle!$K$9*$C854+PM_Angle!$L$9*$B854</f>
      </c>
      <c r="O854" s="12">
        <f>IF(N854&gt;0,IF(N854&lt;=eco,alpha*fck*(1-(1-N854/eco)^n),alpha*fck),0)</f>
      </c>
      <c r="P854" s="30">
        <f>PM_Angle!$J$10+PM_Angle!$K$10*$C854+PM_Angle!$L$10*$B854</f>
      </c>
      <c r="Q854" s="12">
        <f>IF(P854&gt;0,IF(P854&lt;=eco,alpha*fck*(1-(1-P854/eco)^n),alpha*fck),0)</f>
      </c>
      <c r="R854" s="30">
        <f>PM_Angle!$J$11+PM_Angle!$K$11*$C854+PM_Angle!$L$11*$B854</f>
      </c>
      <c r="S854" s="12">
        <f>IF(R854&gt;0,IF(R854&lt;=eco,alpha*fck*(1-(1-R854/eco)^n),alpha*fck),0)</f>
      </c>
      <c r="T854" s="30">
        <f>PM_Angle!$J$12+PM_Angle!$K$12*$C854+PM_Angle!$L$12*$B854</f>
      </c>
      <c r="U854" s="12">
        <f>IF(T854&gt;0,IF(T854&lt;=eco,alpha*fck*(1-(1-T854/eco)^n),alpha*fck),0)</f>
      </c>
      <c r="V854" s="30">
        <f>PM_Angle!$J$13+PM_Angle!$K$13*$C854+PM_Angle!$L$13*$B854</f>
      </c>
      <c r="W854" s="12">
        <f>IF(V854&gt;0,IF(V854&lt;=eco,alpha*fck*(1-(1-V854/eco)^n),alpha*fck),0)</f>
      </c>
      <c r="X854" s="30">
        <f>PM_Angle!$J$14+PM_Angle!$K$14*$C854+PM_Angle!$L$14*$B854</f>
      </c>
      <c r="Y854" s="12">
        <f>IF(X854&gt;0,IF(X854&lt;=eco,alpha*fck*(1-(1-X854/eco)^n),alpha*fck),0)</f>
      </c>
      <c r="Z854" s="30">
        <f>PM_Angle!$J$15+PM_Angle!$K$15*$C854+PM_Angle!$L$15*$B854</f>
      </c>
      <c r="AA854" s="12">
        <f>IF(Z854&gt;0,IF(Z854&lt;=eco,alpha*fck*(1-(1-Z854/eco)^n),alpha*fck),0)</f>
      </c>
      <c r="AB854" s="30">
        <f>PM_Angle!$J$16+PM_Angle!$K$16*$C854+PM_Angle!$L$16*$B854</f>
      </c>
      <c r="AC854" s="12">
        <f>IF(AB854&gt;0,IF(AB854&lt;=eco,alpha*fck*(1-(1-AB854/eco)^n),alpha*fck),0)</f>
      </c>
      <c r="AD854" s="30">
        <f>PM_Angle!$J$17+PM_Angle!$K$17*$C854+PM_Angle!$L$17*$B854</f>
      </c>
      <c r="AE854" s="12">
        <f>IF(AD854&gt;0,IF(AD854&lt;=eco,alpha*fck*(1-(1-AD854/eco)^n),alpha*fck),0)</f>
      </c>
      <c r="AF854" s="30">
        <f>PM_Angle!$J$18+PM_Angle!$K$18*$C854+PM_Angle!$L$18*$B854</f>
      </c>
      <c r="AG854" s="12">
        <f>IF(AF854&gt;0,IF(AF854&lt;=eco,alpha*fck*(1-(1-AF854/eco)^n),alpha*fck),0)</f>
      </c>
      <c r="AH854" s="30">
        <f>PM_Angle!$J$19+PM_Angle!$K$19*$C854+PM_Angle!$L$19*$B854</f>
      </c>
      <c r="AI854" s="12">
        <f>IF(AH854&gt;0,IF(AH854&lt;=eco,alpha*fck*(1-(1-AH854/eco)^n),alpha*fck),0)</f>
      </c>
      <c r="AJ854" s="30">
        <f>PM_Angle!$J$20+PM_Angle!$K$20*$C854+PM_Angle!$L$20*$B854</f>
      </c>
      <c r="AK854" s="12">
        <f>IF(AJ854&gt;0,IF(AJ854&lt;=eco,alpha*fck*(1-(1-AJ854/eco)^n),alpha*fck),0)</f>
      </c>
      <c r="AL854" s="30">
        <f>PM_Angle!$J$21+PM_Angle!$K$21*$C854+PM_Angle!$L$21*$B854</f>
      </c>
      <c r="AM854" s="12">
        <f>IF(AL854&gt;0,IF(AL854&lt;=eco,alpha*fck*(1-(1-AL854/eco)^n),alpha*fck),0)</f>
      </c>
      <c r="AN854" s="30">
        <f>PM_Angle!$J$22+PM_Angle!$K$22*$C854+PM_Angle!$L$22*$B854</f>
      </c>
      <c r="AO854" s="12">
        <f>IF(AN854&gt;0,IF(AN854&lt;=eco,alpha*fck*(1-(1-AN854/eco)^n),alpha*fck),0)</f>
      </c>
      <c r="AP854" s="30">
        <f>PM_Angle!$J$23+PM_Angle!$K$23*$C854+PM_Angle!$L$23*$B854</f>
      </c>
      <c r="AQ854" s="12">
        <f>IF(AP854&gt;0,IF(AP854&lt;=eco,alpha*fck*(1-(1-AP854/eco)^n),alpha*fck),0)</f>
      </c>
      <c r="AR854" s="30">
        <f>PM_Angle!$J$24+PM_Angle!$K$24*$C854+PM_Angle!$L$24*$B854</f>
      </c>
      <c r="AS854" s="12">
        <f>IF(AR854&gt;0,IF(AR854&lt;=eco,alpha*fck*(1-(1-AR854/eco)^n),alpha*fck),0)</f>
      </c>
      <c r="AT854" s="30">
        <f>PM_Angle!$J$25+PM_Angle!$K$25*$C854+PM_Angle!$L$25*$B854</f>
      </c>
      <c r="AU854" s="12">
        <f>IF(AT854&gt;0,IF(AT854&lt;=eco,alpha*fck*(1-(1-AT854/eco)^n),alpha*fck),0)</f>
      </c>
    </row>
    <row r="855" spans="1:47" x14ac:dyDescent="0.25">
      <c r="A855">
        <f>Mesh!A852</f>
      </c>
      <c r="B855" s="12">
        <f>Mesh!B852</f>
      </c>
      <c r="C855" s="12">
        <f>Mesh!C852</f>
      </c>
      <c r="D855" s="12">
        <f>Mesh!D852</f>
      </c>
      <c r="E855" s="30">
        <f>INDEX(St_e0,Det+1)+INDEX(St_kx,Det+1)*C855+INDEX(St_ky,Det+1)*B855</f>
      </c>
      <c r="F855" s="12">
        <f>IF(E855&gt;0,IF(E855&lt;=eco,alpha*fck*(1-(1-E855/eco)^n),alpha*fck),0)</f>
      </c>
      <c r="G855" s="11">
        <f>F855*D855</f>
      </c>
      <c r="H855" s="11">
        <f>G855*C855</f>
      </c>
      <c r="I855" s="11">
        <f>G855*B855</f>
      </c>
      <c r="J855" s="30">
        <f>PM_Angle!$J$7+PM_Angle!$K$7*$C855+PM_Angle!$L$7*$B855</f>
      </c>
      <c r="K855" s="12">
        <f>IF(J855&gt;0,IF(J855&lt;=eco,alpha*fck*(1-(1-J855/eco)^n),alpha*fck),0)</f>
      </c>
      <c r="L855" s="30">
        <f>PM_Angle!$J$8+PM_Angle!$K$8*$C855+PM_Angle!$L$8*$B855</f>
      </c>
      <c r="M855" s="12">
        <f>IF(L855&gt;0,IF(L855&lt;=eco,alpha*fck*(1-(1-L855/eco)^n),alpha*fck),0)</f>
      </c>
      <c r="N855" s="30">
        <f>PM_Angle!$J$9+PM_Angle!$K$9*$C855+PM_Angle!$L$9*$B855</f>
      </c>
      <c r="O855" s="12">
        <f>IF(N855&gt;0,IF(N855&lt;=eco,alpha*fck*(1-(1-N855/eco)^n),alpha*fck),0)</f>
      </c>
      <c r="P855" s="30">
        <f>PM_Angle!$J$10+PM_Angle!$K$10*$C855+PM_Angle!$L$10*$B855</f>
      </c>
      <c r="Q855" s="12">
        <f>IF(P855&gt;0,IF(P855&lt;=eco,alpha*fck*(1-(1-P855/eco)^n),alpha*fck),0)</f>
      </c>
      <c r="R855" s="30">
        <f>PM_Angle!$J$11+PM_Angle!$K$11*$C855+PM_Angle!$L$11*$B855</f>
      </c>
      <c r="S855" s="12">
        <f>IF(R855&gt;0,IF(R855&lt;=eco,alpha*fck*(1-(1-R855/eco)^n),alpha*fck),0)</f>
      </c>
      <c r="T855" s="30">
        <f>PM_Angle!$J$12+PM_Angle!$K$12*$C855+PM_Angle!$L$12*$B855</f>
      </c>
      <c r="U855" s="12">
        <f>IF(T855&gt;0,IF(T855&lt;=eco,alpha*fck*(1-(1-T855/eco)^n),alpha*fck),0)</f>
      </c>
      <c r="V855" s="30">
        <f>PM_Angle!$J$13+PM_Angle!$K$13*$C855+PM_Angle!$L$13*$B855</f>
      </c>
      <c r="W855" s="12">
        <f>IF(V855&gt;0,IF(V855&lt;=eco,alpha*fck*(1-(1-V855/eco)^n),alpha*fck),0)</f>
      </c>
      <c r="X855" s="30">
        <f>PM_Angle!$J$14+PM_Angle!$K$14*$C855+PM_Angle!$L$14*$B855</f>
      </c>
      <c r="Y855" s="12">
        <f>IF(X855&gt;0,IF(X855&lt;=eco,alpha*fck*(1-(1-X855/eco)^n),alpha*fck),0)</f>
      </c>
      <c r="Z855" s="30">
        <f>PM_Angle!$J$15+PM_Angle!$K$15*$C855+PM_Angle!$L$15*$B855</f>
      </c>
      <c r="AA855" s="12">
        <f>IF(Z855&gt;0,IF(Z855&lt;=eco,alpha*fck*(1-(1-Z855/eco)^n),alpha*fck),0)</f>
      </c>
      <c r="AB855" s="30">
        <f>PM_Angle!$J$16+PM_Angle!$K$16*$C855+PM_Angle!$L$16*$B855</f>
      </c>
      <c r="AC855" s="12">
        <f>IF(AB855&gt;0,IF(AB855&lt;=eco,alpha*fck*(1-(1-AB855/eco)^n),alpha*fck),0)</f>
      </c>
      <c r="AD855" s="30">
        <f>PM_Angle!$J$17+PM_Angle!$K$17*$C855+PM_Angle!$L$17*$B855</f>
      </c>
      <c r="AE855" s="12">
        <f>IF(AD855&gt;0,IF(AD855&lt;=eco,alpha*fck*(1-(1-AD855/eco)^n),alpha*fck),0)</f>
      </c>
      <c r="AF855" s="30">
        <f>PM_Angle!$J$18+PM_Angle!$K$18*$C855+PM_Angle!$L$18*$B855</f>
      </c>
      <c r="AG855" s="12">
        <f>IF(AF855&gt;0,IF(AF855&lt;=eco,alpha*fck*(1-(1-AF855/eco)^n),alpha*fck),0)</f>
      </c>
      <c r="AH855" s="30">
        <f>PM_Angle!$J$19+PM_Angle!$K$19*$C855+PM_Angle!$L$19*$B855</f>
      </c>
      <c r="AI855" s="12">
        <f>IF(AH855&gt;0,IF(AH855&lt;=eco,alpha*fck*(1-(1-AH855/eco)^n),alpha*fck),0)</f>
      </c>
      <c r="AJ855" s="30">
        <f>PM_Angle!$J$20+PM_Angle!$K$20*$C855+PM_Angle!$L$20*$B855</f>
      </c>
      <c r="AK855" s="12">
        <f>IF(AJ855&gt;0,IF(AJ855&lt;=eco,alpha*fck*(1-(1-AJ855/eco)^n),alpha*fck),0)</f>
      </c>
      <c r="AL855" s="30">
        <f>PM_Angle!$J$21+PM_Angle!$K$21*$C855+PM_Angle!$L$21*$B855</f>
      </c>
      <c r="AM855" s="12">
        <f>IF(AL855&gt;0,IF(AL855&lt;=eco,alpha*fck*(1-(1-AL855/eco)^n),alpha*fck),0)</f>
      </c>
      <c r="AN855" s="30">
        <f>PM_Angle!$J$22+PM_Angle!$K$22*$C855+PM_Angle!$L$22*$B855</f>
      </c>
      <c r="AO855" s="12">
        <f>IF(AN855&gt;0,IF(AN855&lt;=eco,alpha*fck*(1-(1-AN855/eco)^n),alpha*fck),0)</f>
      </c>
      <c r="AP855" s="30">
        <f>PM_Angle!$J$23+PM_Angle!$K$23*$C855+PM_Angle!$L$23*$B855</f>
      </c>
      <c r="AQ855" s="12">
        <f>IF(AP855&gt;0,IF(AP855&lt;=eco,alpha*fck*(1-(1-AP855/eco)^n),alpha*fck),0)</f>
      </c>
      <c r="AR855" s="30">
        <f>PM_Angle!$J$24+PM_Angle!$K$24*$C855+PM_Angle!$L$24*$B855</f>
      </c>
      <c r="AS855" s="12">
        <f>IF(AR855&gt;0,IF(AR855&lt;=eco,alpha*fck*(1-(1-AR855/eco)^n),alpha*fck),0)</f>
      </c>
      <c r="AT855" s="30">
        <f>PM_Angle!$J$25+PM_Angle!$K$25*$C855+PM_Angle!$L$25*$B855</f>
      </c>
      <c r="AU855" s="12">
        <f>IF(AT855&gt;0,IF(AT855&lt;=eco,alpha*fck*(1-(1-AT855/eco)^n),alpha*fck),0)</f>
      </c>
    </row>
    <row r="856" spans="1:47" x14ac:dyDescent="0.25">
      <c r="A856">
        <f>Mesh!A853</f>
      </c>
      <c r="B856" s="12">
        <f>Mesh!B853</f>
      </c>
      <c r="C856" s="12">
        <f>Mesh!C853</f>
      </c>
      <c r="D856" s="12">
        <f>Mesh!D853</f>
      </c>
      <c r="E856" s="30">
        <f>INDEX(St_e0,Det+1)+INDEX(St_kx,Det+1)*C856+INDEX(St_ky,Det+1)*B856</f>
      </c>
      <c r="F856" s="12">
        <f>IF(E856&gt;0,IF(E856&lt;=eco,alpha*fck*(1-(1-E856/eco)^n),alpha*fck),0)</f>
      </c>
      <c r="G856" s="11">
        <f>F856*D856</f>
      </c>
      <c r="H856" s="11">
        <f>G856*C856</f>
      </c>
      <c r="I856" s="11">
        <f>G856*B856</f>
      </c>
      <c r="J856" s="30">
        <f>PM_Angle!$J$7+PM_Angle!$K$7*$C856+PM_Angle!$L$7*$B856</f>
      </c>
      <c r="K856" s="12">
        <f>IF(J856&gt;0,IF(J856&lt;=eco,alpha*fck*(1-(1-J856/eco)^n),alpha*fck),0)</f>
      </c>
      <c r="L856" s="30">
        <f>PM_Angle!$J$8+PM_Angle!$K$8*$C856+PM_Angle!$L$8*$B856</f>
      </c>
      <c r="M856" s="12">
        <f>IF(L856&gt;0,IF(L856&lt;=eco,alpha*fck*(1-(1-L856/eco)^n),alpha*fck),0)</f>
      </c>
      <c r="N856" s="30">
        <f>PM_Angle!$J$9+PM_Angle!$K$9*$C856+PM_Angle!$L$9*$B856</f>
      </c>
      <c r="O856" s="12">
        <f>IF(N856&gt;0,IF(N856&lt;=eco,alpha*fck*(1-(1-N856/eco)^n),alpha*fck),0)</f>
      </c>
      <c r="P856" s="30">
        <f>PM_Angle!$J$10+PM_Angle!$K$10*$C856+PM_Angle!$L$10*$B856</f>
      </c>
      <c r="Q856" s="12">
        <f>IF(P856&gt;0,IF(P856&lt;=eco,alpha*fck*(1-(1-P856/eco)^n),alpha*fck),0)</f>
      </c>
      <c r="R856" s="30">
        <f>PM_Angle!$J$11+PM_Angle!$K$11*$C856+PM_Angle!$L$11*$B856</f>
      </c>
      <c r="S856" s="12">
        <f>IF(R856&gt;0,IF(R856&lt;=eco,alpha*fck*(1-(1-R856/eco)^n),alpha*fck),0)</f>
      </c>
      <c r="T856" s="30">
        <f>PM_Angle!$J$12+PM_Angle!$K$12*$C856+PM_Angle!$L$12*$B856</f>
      </c>
      <c r="U856" s="12">
        <f>IF(T856&gt;0,IF(T856&lt;=eco,alpha*fck*(1-(1-T856/eco)^n),alpha*fck),0)</f>
      </c>
      <c r="V856" s="30">
        <f>PM_Angle!$J$13+PM_Angle!$K$13*$C856+PM_Angle!$L$13*$B856</f>
      </c>
      <c r="W856" s="12">
        <f>IF(V856&gt;0,IF(V856&lt;=eco,alpha*fck*(1-(1-V856/eco)^n),alpha*fck),0)</f>
      </c>
      <c r="X856" s="30">
        <f>PM_Angle!$J$14+PM_Angle!$K$14*$C856+PM_Angle!$L$14*$B856</f>
      </c>
      <c r="Y856" s="12">
        <f>IF(X856&gt;0,IF(X856&lt;=eco,alpha*fck*(1-(1-X856/eco)^n),alpha*fck),0)</f>
      </c>
      <c r="Z856" s="30">
        <f>PM_Angle!$J$15+PM_Angle!$K$15*$C856+PM_Angle!$L$15*$B856</f>
      </c>
      <c r="AA856" s="12">
        <f>IF(Z856&gt;0,IF(Z856&lt;=eco,alpha*fck*(1-(1-Z856/eco)^n),alpha*fck),0)</f>
      </c>
      <c r="AB856" s="30">
        <f>PM_Angle!$J$16+PM_Angle!$K$16*$C856+PM_Angle!$L$16*$B856</f>
      </c>
      <c r="AC856" s="12">
        <f>IF(AB856&gt;0,IF(AB856&lt;=eco,alpha*fck*(1-(1-AB856/eco)^n),alpha*fck),0)</f>
      </c>
      <c r="AD856" s="30">
        <f>PM_Angle!$J$17+PM_Angle!$K$17*$C856+PM_Angle!$L$17*$B856</f>
      </c>
      <c r="AE856" s="12">
        <f>IF(AD856&gt;0,IF(AD856&lt;=eco,alpha*fck*(1-(1-AD856/eco)^n),alpha*fck),0)</f>
      </c>
      <c r="AF856" s="30">
        <f>PM_Angle!$J$18+PM_Angle!$K$18*$C856+PM_Angle!$L$18*$B856</f>
      </c>
      <c r="AG856" s="12">
        <f>IF(AF856&gt;0,IF(AF856&lt;=eco,alpha*fck*(1-(1-AF856/eco)^n),alpha*fck),0)</f>
      </c>
      <c r="AH856" s="30">
        <f>PM_Angle!$J$19+PM_Angle!$K$19*$C856+PM_Angle!$L$19*$B856</f>
      </c>
      <c r="AI856" s="12">
        <f>IF(AH856&gt;0,IF(AH856&lt;=eco,alpha*fck*(1-(1-AH856/eco)^n),alpha*fck),0)</f>
      </c>
      <c r="AJ856" s="30">
        <f>PM_Angle!$J$20+PM_Angle!$K$20*$C856+PM_Angle!$L$20*$B856</f>
      </c>
      <c r="AK856" s="12">
        <f>IF(AJ856&gt;0,IF(AJ856&lt;=eco,alpha*fck*(1-(1-AJ856/eco)^n),alpha*fck),0)</f>
      </c>
      <c r="AL856" s="30">
        <f>PM_Angle!$J$21+PM_Angle!$K$21*$C856+PM_Angle!$L$21*$B856</f>
      </c>
      <c r="AM856" s="12">
        <f>IF(AL856&gt;0,IF(AL856&lt;=eco,alpha*fck*(1-(1-AL856/eco)^n),alpha*fck),0)</f>
      </c>
      <c r="AN856" s="30">
        <f>PM_Angle!$J$22+PM_Angle!$K$22*$C856+PM_Angle!$L$22*$B856</f>
      </c>
      <c r="AO856" s="12">
        <f>IF(AN856&gt;0,IF(AN856&lt;=eco,alpha*fck*(1-(1-AN856/eco)^n),alpha*fck),0)</f>
      </c>
      <c r="AP856" s="30">
        <f>PM_Angle!$J$23+PM_Angle!$K$23*$C856+PM_Angle!$L$23*$B856</f>
      </c>
      <c r="AQ856" s="12">
        <f>IF(AP856&gt;0,IF(AP856&lt;=eco,alpha*fck*(1-(1-AP856/eco)^n),alpha*fck),0)</f>
      </c>
      <c r="AR856" s="30">
        <f>PM_Angle!$J$24+PM_Angle!$K$24*$C856+PM_Angle!$L$24*$B856</f>
      </c>
      <c r="AS856" s="12">
        <f>IF(AR856&gt;0,IF(AR856&lt;=eco,alpha*fck*(1-(1-AR856/eco)^n),alpha*fck),0)</f>
      </c>
      <c r="AT856" s="30">
        <f>PM_Angle!$J$25+PM_Angle!$K$25*$C856+PM_Angle!$L$25*$B856</f>
      </c>
      <c r="AU856" s="12">
        <f>IF(AT856&gt;0,IF(AT856&lt;=eco,alpha*fck*(1-(1-AT856/eco)^n),alpha*fck),0)</f>
      </c>
    </row>
    <row r="857" spans="1:47" x14ac:dyDescent="0.25">
      <c r="A857">
        <f>Mesh!A854</f>
      </c>
      <c r="B857" s="12">
        <f>Mesh!B854</f>
      </c>
      <c r="C857" s="12">
        <f>Mesh!C854</f>
      </c>
      <c r="D857" s="12">
        <f>Mesh!D854</f>
      </c>
      <c r="E857" s="30">
        <f>INDEX(St_e0,Det+1)+INDEX(St_kx,Det+1)*C857+INDEX(St_ky,Det+1)*B857</f>
      </c>
      <c r="F857" s="12">
        <f>IF(E857&gt;0,IF(E857&lt;=eco,alpha*fck*(1-(1-E857/eco)^n),alpha*fck),0)</f>
      </c>
      <c r="G857" s="11">
        <f>F857*D857</f>
      </c>
      <c r="H857" s="11">
        <f>G857*C857</f>
      </c>
      <c r="I857" s="11">
        <f>G857*B857</f>
      </c>
      <c r="J857" s="30">
        <f>PM_Angle!$J$7+PM_Angle!$K$7*$C857+PM_Angle!$L$7*$B857</f>
      </c>
      <c r="K857" s="12">
        <f>IF(J857&gt;0,IF(J857&lt;=eco,alpha*fck*(1-(1-J857/eco)^n),alpha*fck),0)</f>
      </c>
      <c r="L857" s="30">
        <f>PM_Angle!$J$8+PM_Angle!$K$8*$C857+PM_Angle!$L$8*$B857</f>
      </c>
      <c r="M857" s="12">
        <f>IF(L857&gt;0,IF(L857&lt;=eco,alpha*fck*(1-(1-L857/eco)^n),alpha*fck),0)</f>
      </c>
      <c r="N857" s="30">
        <f>PM_Angle!$J$9+PM_Angle!$K$9*$C857+PM_Angle!$L$9*$B857</f>
      </c>
      <c r="O857" s="12">
        <f>IF(N857&gt;0,IF(N857&lt;=eco,alpha*fck*(1-(1-N857/eco)^n),alpha*fck),0)</f>
      </c>
      <c r="P857" s="30">
        <f>PM_Angle!$J$10+PM_Angle!$K$10*$C857+PM_Angle!$L$10*$B857</f>
      </c>
      <c r="Q857" s="12">
        <f>IF(P857&gt;0,IF(P857&lt;=eco,alpha*fck*(1-(1-P857/eco)^n),alpha*fck),0)</f>
      </c>
      <c r="R857" s="30">
        <f>PM_Angle!$J$11+PM_Angle!$K$11*$C857+PM_Angle!$L$11*$B857</f>
      </c>
      <c r="S857" s="12">
        <f>IF(R857&gt;0,IF(R857&lt;=eco,alpha*fck*(1-(1-R857/eco)^n),alpha*fck),0)</f>
      </c>
      <c r="T857" s="30">
        <f>PM_Angle!$J$12+PM_Angle!$K$12*$C857+PM_Angle!$L$12*$B857</f>
      </c>
      <c r="U857" s="12">
        <f>IF(T857&gt;0,IF(T857&lt;=eco,alpha*fck*(1-(1-T857/eco)^n),alpha*fck),0)</f>
      </c>
      <c r="V857" s="30">
        <f>PM_Angle!$J$13+PM_Angle!$K$13*$C857+PM_Angle!$L$13*$B857</f>
      </c>
      <c r="W857" s="12">
        <f>IF(V857&gt;0,IF(V857&lt;=eco,alpha*fck*(1-(1-V857/eco)^n),alpha*fck),0)</f>
      </c>
      <c r="X857" s="30">
        <f>PM_Angle!$J$14+PM_Angle!$K$14*$C857+PM_Angle!$L$14*$B857</f>
      </c>
      <c r="Y857" s="12">
        <f>IF(X857&gt;0,IF(X857&lt;=eco,alpha*fck*(1-(1-X857/eco)^n),alpha*fck),0)</f>
      </c>
      <c r="Z857" s="30">
        <f>PM_Angle!$J$15+PM_Angle!$K$15*$C857+PM_Angle!$L$15*$B857</f>
      </c>
      <c r="AA857" s="12">
        <f>IF(Z857&gt;0,IF(Z857&lt;=eco,alpha*fck*(1-(1-Z857/eco)^n),alpha*fck),0)</f>
      </c>
      <c r="AB857" s="30">
        <f>PM_Angle!$J$16+PM_Angle!$K$16*$C857+PM_Angle!$L$16*$B857</f>
      </c>
      <c r="AC857" s="12">
        <f>IF(AB857&gt;0,IF(AB857&lt;=eco,alpha*fck*(1-(1-AB857/eco)^n),alpha*fck),0)</f>
      </c>
      <c r="AD857" s="30">
        <f>PM_Angle!$J$17+PM_Angle!$K$17*$C857+PM_Angle!$L$17*$B857</f>
      </c>
      <c r="AE857" s="12">
        <f>IF(AD857&gt;0,IF(AD857&lt;=eco,alpha*fck*(1-(1-AD857/eco)^n),alpha*fck),0)</f>
      </c>
      <c r="AF857" s="30">
        <f>PM_Angle!$J$18+PM_Angle!$K$18*$C857+PM_Angle!$L$18*$B857</f>
      </c>
      <c r="AG857" s="12">
        <f>IF(AF857&gt;0,IF(AF857&lt;=eco,alpha*fck*(1-(1-AF857/eco)^n),alpha*fck),0)</f>
      </c>
      <c r="AH857" s="30">
        <f>PM_Angle!$J$19+PM_Angle!$K$19*$C857+PM_Angle!$L$19*$B857</f>
      </c>
      <c r="AI857" s="12">
        <f>IF(AH857&gt;0,IF(AH857&lt;=eco,alpha*fck*(1-(1-AH857/eco)^n),alpha*fck),0)</f>
      </c>
      <c r="AJ857" s="30">
        <f>PM_Angle!$J$20+PM_Angle!$K$20*$C857+PM_Angle!$L$20*$B857</f>
      </c>
      <c r="AK857" s="12">
        <f>IF(AJ857&gt;0,IF(AJ857&lt;=eco,alpha*fck*(1-(1-AJ857/eco)^n),alpha*fck),0)</f>
      </c>
      <c r="AL857" s="30">
        <f>PM_Angle!$J$21+PM_Angle!$K$21*$C857+PM_Angle!$L$21*$B857</f>
      </c>
      <c r="AM857" s="12">
        <f>IF(AL857&gt;0,IF(AL857&lt;=eco,alpha*fck*(1-(1-AL857/eco)^n),alpha*fck),0)</f>
      </c>
      <c r="AN857" s="30">
        <f>PM_Angle!$J$22+PM_Angle!$K$22*$C857+PM_Angle!$L$22*$B857</f>
      </c>
      <c r="AO857" s="12">
        <f>IF(AN857&gt;0,IF(AN857&lt;=eco,alpha*fck*(1-(1-AN857/eco)^n),alpha*fck),0)</f>
      </c>
      <c r="AP857" s="30">
        <f>PM_Angle!$J$23+PM_Angle!$K$23*$C857+PM_Angle!$L$23*$B857</f>
      </c>
      <c r="AQ857" s="12">
        <f>IF(AP857&gt;0,IF(AP857&lt;=eco,alpha*fck*(1-(1-AP857/eco)^n),alpha*fck),0)</f>
      </c>
      <c r="AR857" s="30">
        <f>PM_Angle!$J$24+PM_Angle!$K$24*$C857+PM_Angle!$L$24*$B857</f>
      </c>
      <c r="AS857" s="12">
        <f>IF(AR857&gt;0,IF(AR857&lt;=eco,alpha*fck*(1-(1-AR857/eco)^n),alpha*fck),0)</f>
      </c>
      <c r="AT857" s="30">
        <f>PM_Angle!$J$25+PM_Angle!$K$25*$C857+PM_Angle!$L$25*$B857</f>
      </c>
      <c r="AU857" s="12">
        <f>IF(AT857&gt;0,IF(AT857&lt;=eco,alpha*fck*(1-(1-AT857/eco)^n),alpha*fck),0)</f>
      </c>
    </row>
    <row r="858" spans="1:47" x14ac:dyDescent="0.25">
      <c r="A858">
        <f>Mesh!A855</f>
      </c>
      <c r="B858" s="12">
        <f>Mesh!B855</f>
      </c>
      <c r="C858" s="12">
        <f>Mesh!C855</f>
      </c>
      <c r="D858" s="12">
        <f>Mesh!D855</f>
      </c>
      <c r="E858" s="30">
        <f>INDEX(St_e0,Det+1)+INDEX(St_kx,Det+1)*C858+INDEX(St_ky,Det+1)*B858</f>
      </c>
      <c r="F858" s="12">
        <f>IF(E858&gt;0,IF(E858&lt;=eco,alpha*fck*(1-(1-E858/eco)^n),alpha*fck),0)</f>
      </c>
      <c r="G858" s="11">
        <f>F858*D858</f>
      </c>
      <c r="H858" s="11">
        <f>G858*C858</f>
      </c>
      <c r="I858" s="11">
        <f>G858*B858</f>
      </c>
      <c r="J858" s="30">
        <f>PM_Angle!$J$7+PM_Angle!$K$7*$C858+PM_Angle!$L$7*$B858</f>
      </c>
      <c r="K858" s="12">
        <f>IF(J858&gt;0,IF(J858&lt;=eco,alpha*fck*(1-(1-J858/eco)^n),alpha*fck),0)</f>
      </c>
      <c r="L858" s="30">
        <f>PM_Angle!$J$8+PM_Angle!$K$8*$C858+PM_Angle!$L$8*$B858</f>
      </c>
      <c r="M858" s="12">
        <f>IF(L858&gt;0,IF(L858&lt;=eco,alpha*fck*(1-(1-L858/eco)^n),alpha*fck),0)</f>
      </c>
      <c r="N858" s="30">
        <f>PM_Angle!$J$9+PM_Angle!$K$9*$C858+PM_Angle!$L$9*$B858</f>
      </c>
      <c r="O858" s="12">
        <f>IF(N858&gt;0,IF(N858&lt;=eco,alpha*fck*(1-(1-N858/eco)^n),alpha*fck),0)</f>
      </c>
      <c r="P858" s="30">
        <f>PM_Angle!$J$10+PM_Angle!$K$10*$C858+PM_Angle!$L$10*$B858</f>
      </c>
      <c r="Q858" s="12">
        <f>IF(P858&gt;0,IF(P858&lt;=eco,alpha*fck*(1-(1-P858/eco)^n),alpha*fck),0)</f>
      </c>
      <c r="R858" s="30">
        <f>PM_Angle!$J$11+PM_Angle!$K$11*$C858+PM_Angle!$L$11*$B858</f>
      </c>
      <c r="S858" s="12">
        <f>IF(R858&gt;0,IF(R858&lt;=eco,alpha*fck*(1-(1-R858/eco)^n),alpha*fck),0)</f>
      </c>
      <c r="T858" s="30">
        <f>PM_Angle!$J$12+PM_Angle!$K$12*$C858+PM_Angle!$L$12*$B858</f>
      </c>
      <c r="U858" s="12">
        <f>IF(T858&gt;0,IF(T858&lt;=eco,alpha*fck*(1-(1-T858/eco)^n),alpha*fck),0)</f>
      </c>
      <c r="V858" s="30">
        <f>PM_Angle!$J$13+PM_Angle!$K$13*$C858+PM_Angle!$L$13*$B858</f>
      </c>
      <c r="W858" s="12">
        <f>IF(V858&gt;0,IF(V858&lt;=eco,alpha*fck*(1-(1-V858/eco)^n),alpha*fck),0)</f>
      </c>
      <c r="X858" s="30">
        <f>PM_Angle!$J$14+PM_Angle!$K$14*$C858+PM_Angle!$L$14*$B858</f>
      </c>
      <c r="Y858" s="12">
        <f>IF(X858&gt;0,IF(X858&lt;=eco,alpha*fck*(1-(1-X858/eco)^n),alpha*fck),0)</f>
      </c>
      <c r="Z858" s="30">
        <f>PM_Angle!$J$15+PM_Angle!$K$15*$C858+PM_Angle!$L$15*$B858</f>
      </c>
      <c r="AA858" s="12">
        <f>IF(Z858&gt;0,IF(Z858&lt;=eco,alpha*fck*(1-(1-Z858/eco)^n),alpha*fck),0)</f>
      </c>
      <c r="AB858" s="30">
        <f>PM_Angle!$J$16+PM_Angle!$K$16*$C858+PM_Angle!$L$16*$B858</f>
      </c>
      <c r="AC858" s="12">
        <f>IF(AB858&gt;0,IF(AB858&lt;=eco,alpha*fck*(1-(1-AB858/eco)^n),alpha*fck),0)</f>
      </c>
      <c r="AD858" s="30">
        <f>PM_Angle!$J$17+PM_Angle!$K$17*$C858+PM_Angle!$L$17*$B858</f>
      </c>
      <c r="AE858" s="12">
        <f>IF(AD858&gt;0,IF(AD858&lt;=eco,alpha*fck*(1-(1-AD858/eco)^n),alpha*fck),0)</f>
      </c>
      <c r="AF858" s="30">
        <f>PM_Angle!$J$18+PM_Angle!$K$18*$C858+PM_Angle!$L$18*$B858</f>
      </c>
      <c r="AG858" s="12">
        <f>IF(AF858&gt;0,IF(AF858&lt;=eco,alpha*fck*(1-(1-AF858/eco)^n),alpha*fck),0)</f>
      </c>
      <c r="AH858" s="30">
        <f>PM_Angle!$J$19+PM_Angle!$K$19*$C858+PM_Angle!$L$19*$B858</f>
      </c>
      <c r="AI858" s="12">
        <f>IF(AH858&gt;0,IF(AH858&lt;=eco,alpha*fck*(1-(1-AH858/eco)^n),alpha*fck),0)</f>
      </c>
      <c r="AJ858" s="30">
        <f>PM_Angle!$J$20+PM_Angle!$K$20*$C858+PM_Angle!$L$20*$B858</f>
      </c>
      <c r="AK858" s="12">
        <f>IF(AJ858&gt;0,IF(AJ858&lt;=eco,alpha*fck*(1-(1-AJ858/eco)^n),alpha*fck),0)</f>
      </c>
      <c r="AL858" s="30">
        <f>PM_Angle!$J$21+PM_Angle!$K$21*$C858+PM_Angle!$L$21*$B858</f>
      </c>
      <c r="AM858" s="12">
        <f>IF(AL858&gt;0,IF(AL858&lt;=eco,alpha*fck*(1-(1-AL858/eco)^n),alpha*fck),0)</f>
      </c>
      <c r="AN858" s="30">
        <f>PM_Angle!$J$22+PM_Angle!$K$22*$C858+PM_Angle!$L$22*$B858</f>
      </c>
      <c r="AO858" s="12">
        <f>IF(AN858&gt;0,IF(AN858&lt;=eco,alpha*fck*(1-(1-AN858/eco)^n),alpha*fck),0)</f>
      </c>
      <c r="AP858" s="30">
        <f>PM_Angle!$J$23+PM_Angle!$K$23*$C858+PM_Angle!$L$23*$B858</f>
      </c>
      <c r="AQ858" s="12">
        <f>IF(AP858&gt;0,IF(AP858&lt;=eco,alpha*fck*(1-(1-AP858/eco)^n),alpha*fck),0)</f>
      </c>
      <c r="AR858" s="30">
        <f>PM_Angle!$J$24+PM_Angle!$K$24*$C858+PM_Angle!$L$24*$B858</f>
      </c>
      <c r="AS858" s="12">
        <f>IF(AR858&gt;0,IF(AR858&lt;=eco,alpha*fck*(1-(1-AR858/eco)^n),alpha*fck),0)</f>
      </c>
      <c r="AT858" s="30">
        <f>PM_Angle!$J$25+PM_Angle!$K$25*$C858+PM_Angle!$L$25*$B858</f>
      </c>
      <c r="AU858" s="12">
        <f>IF(AT858&gt;0,IF(AT858&lt;=eco,alpha*fck*(1-(1-AT858/eco)^n),alpha*fck),0)</f>
      </c>
    </row>
    <row r="859" spans="1:47" x14ac:dyDescent="0.25">
      <c r="A859">
        <f>Mesh!A856</f>
      </c>
      <c r="B859" s="12">
        <f>Mesh!B856</f>
      </c>
      <c r="C859" s="12">
        <f>Mesh!C856</f>
      </c>
      <c r="D859" s="12">
        <f>Mesh!D856</f>
      </c>
      <c r="E859" s="30">
        <f>INDEX(St_e0,Det+1)+INDEX(St_kx,Det+1)*C859+INDEX(St_ky,Det+1)*B859</f>
      </c>
      <c r="F859" s="12">
        <f>IF(E859&gt;0,IF(E859&lt;=eco,alpha*fck*(1-(1-E859/eco)^n),alpha*fck),0)</f>
      </c>
      <c r="G859" s="11">
        <f>F859*D859</f>
      </c>
      <c r="H859" s="11">
        <f>G859*C859</f>
      </c>
      <c r="I859" s="11">
        <f>G859*B859</f>
      </c>
      <c r="J859" s="30">
        <f>PM_Angle!$J$7+PM_Angle!$K$7*$C859+PM_Angle!$L$7*$B859</f>
      </c>
      <c r="K859" s="12">
        <f>IF(J859&gt;0,IF(J859&lt;=eco,alpha*fck*(1-(1-J859/eco)^n),alpha*fck),0)</f>
      </c>
      <c r="L859" s="30">
        <f>PM_Angle!$J$8+PM_Angle!$K$8*$C859+PM_Angle!$L$8*$B859</f>
      </c>
      <c r="M859" s="12">
        <f>IF(L859&gt;0,IF(L859&lt;=eco,alpha*fck*(1-(1-L859/eco)^n),alpha*fck),0)</f>
      </c>
      <c r="N859" s="30">
        <f>PM_Angle!$J$9+PM_Angle!$K$9*$C859+PM_Angle!$L$9*$B859</f>
      </c>
      <c r="O859" s="12">
        <f>IF(N859&gt;0,IF(N859&lt;=eco,alpha*fck*(1-(1-N859/eco)^n),alpha*fck),0)</f>
      </c>
      <c r="P859" s="30">
        <f>PM_Angle!$J$10+PM_Angle!$K$10*$C859+PM_Angle!$L$10*$B859</f>
      </c>
      <c r="Q859" s="12">
        <f>IF(P859&gt;0,IF(P859&lt;=eco,alpha*fck*(1-(1-P859/eco)^n),alpha*fck),0)</f>
      </c>
      <c r="R859" s="30">
        <f>PM_Angle!$J$11+PM_Angle!$K$11*$C859+PM_Angle!$L$11*$B859</f>
      </c>
      <c r="S859" s="12">
        <f>IF(R859&gt;0,IF(R859&lt;=eco,alpha*fck*(1-(1-R859/eco)^n),alpha*fck),0)</f>
      </c>
      <c r="T859" s="30">
        <f>PM_Angle!$J$12+PM_Angle!$K$12*$C859+PM_Angle!$L$12*$B859</f>
      </c>
      <c r="U859" s="12">
        <f>IF(T859&gt;0,IF(T859&lt;=eco,alpha*fck*(1-(1-T859/eco)^n),alpha*fck),0)</f>
      </c>
      <c r="V859" s="30">
        <f>PM_Angle!$J$13+PM_Angle!$K$13*$C859+PM_Angle!$L$13*$B859</f>
      </c>
      <c r="W859" s="12">
        <f>IF(V859&gt;0,IF(V859&lt;=eco,alpha*fck*(1-(1-V859/eco)^n),alpha*fck),0)</f>
      </c>
      <c r="X859" s="30">
        <f>PM_Angle!$J$14+PM_Angle!$K$14*$C859+PM_Angle!$L$14*$B859</f>
      </c>
      <c r="Y859" s="12">
        <f>IF(X859&gt;0,IF(X859&lt;=eco,alpha*fck*(1-(1-X859/eco)^n),alpha*fck),0)</f>
      </c>
      <c r="Z859" s="30">
        <f>PM_Angle!$J$15+PM_Angle!$K$15*$C859+PM_Angle!$L$15*$B859</f>
      </c>
      <c r="AA859" s="12">
        <f>IF(Z859&gt;0,IF(Z859&lt;=eco,alpha*fck*(1-(1-Z859/eco)^n),alpha*fck),0)</f>
      </c>
      <c r="AB859" s="30">
        <f>PM_Angle!$J$16+PM_Angle!$K$16*$C859+PM_Angle!$L$16*$B859</f>
      </c>
      <c r="AC859" s="12">
        <f>IF(AB859&gt;0,IF(AB859&lt;=eco,alpha*fck*(1-(1-AB859/eco)^n),alpha*fck),0)</f>
      </c>
      <c r="AD859" s="30">
        <f>PM_Angle!$J$17+PM_Angle!$K$17*$C859+PM_Angle!$L$17*$B859</f>
      </c>
      <c r="AE859" s="12">
        <f>IF(AD859&gt;0,IF(AD859&lt;=eco,alpha*fck*(1-(1-AD859/eco)^n),alpha*fck),0)</f>
      </c>
      <c r="AF859" s="30">
        <f>PM_Angle!$J$18+PM_Angle!$K$18*$C859+PM_Angle!$L$18*$B859</f>
      </c>
      <c r="AG859" s="12">
        <f>IF(AF859&gt;0,IF(AF859&lt;=eco,alpha*fck*(1-(1-AF859/eco)^n),alpha*fck),0)</f>
      </c>
      <c r="AH859" s="30">
        <f>PM_Angle!$J$19+PM_Angle!$K$19*$C859+PM_Angle!$L$19*$B859</f>
      </c>
      <c r="AI859" s="12">
        <f>IF(AH859&gt;0,IF(AH859&lt;=eco,alpha*fck*(1-(1-AH859/eco)^n),alpha*fck),0)</f>
      </c>
      <c r="AJ859" s="30">
        <f>PM_Angle!$J$20+PM_Angle!$K$20*$C859+PM_Angle!$L$20*$B859</f>
      </c>
      <c r="AK859" s="12">
        <f>IF(AJ859&gt;0,IF(AJ859&lt;=eco,alpha*fck*(1-(1-AJ859/eco)^n),alpha*fck),0)</f>
      </c>
      <c r="AL859" s="30">
        <f>PM_Angle!$J$21+PM_Angle!$K$21*$C859+PM_Angle!$L$21*$B859</f>
      </c>
      <c r="AM859" s="12">
        <f>IF(AL859&gt;0,IF(AL859&lt;=eco,alpha*fck*(1-(1-AL859/eco)^n),alpha*fck),0)</f>
      </c>
      <c r="AN859" s="30">
        <f>PM_Angle!$J$22+PM_Angle!$K$22*$C859+PM_Angle!$L$22*$B859</f>
      </c>
      <c r="AO859" s="12">
        <f>IF(AN859&gt;0,IF(AN859&lt;=eco,alpha*fck*(1-(1-AN859/eco)^n),alpha*fck),0)</f>
      </c>
      <c r="AP859" s="30">
        <f>PM_Angle!$J$23+PM_Angle!$K$23*$C859+PM_Angle!$L$23*$B859</f>
      </c>
      <c r="AQ859" s="12">
        <f>IF(AP859&gt;0,IF(AP859&lt;=eco,alpha*fck*(1-(1-AP859/eco)^n),alpha*fck),0)</f>
      </c>
      <c r="AR859" s="30">
        <f>PM_Angle!$J$24+PM_Angle!$K$24*$C859+PM_Angle!$L$24*$B859</f>
      </c>
      <c r="AS859" s="12">
        <f>IF(AR859&gt;0,IF(AR859&lt;=eco,alpha*fck*(1-(1-AR859/eco)^n),alpha*fck),0)</f>
      </c>
      <c r="AT859" s="30">
        <f>PM_Angle!$J$25+PM_Angle!$K$25*$C859+PM_Angle!$L$25*$B859</f>
      </c>
      <c r="AU859" s="12">
        <f>IF(AT859&gt;0,IF(AT859&lt;=eco,alpha*fck*(1-(1-AT859/eco)^n),alpha*fck),0)</f>
      </c>
    </row>
    <row r="860" spans="1:47" x14ac:dyDescent="0.25">
      <c r="A860">
        <f>Mesh!A857</f>
      </c>
      <c r="B860" s="12">
        <f>Mesh!B857</f>
      </c>
      <c r="C860" s="12">
        <f>Mesh!C857</f>
      </c>
      <c r="D860" s="12">
        <f>Mesh!D857</f>
      </c>
      <c r="E860" s="30">
        <f>INDEX(St_e0,Det+1)+INDEX(St_kx,Det+1)*C860+INDEX(St_ky,Det+1)*B860</f>
      </c>
      <c r="F860" s="12">
        <f>IF(E860&gt;0,IF(E860&lt;=eco,alpha*fck*(1-(1-E860/eco)^n),alpha*fck),0)</f>
      </c>
      <c r="G860" s="11">
        <f>F860*D860</f>
      </c>
      <c r="H860" s="11">
        <f>G860*C860</f>
      </c>
      <c r="I860" s="11">
        <f>G860*B860</f>
      </c>
      <c r="J860" s="30">
        <f>PM_Angle!$J$7+PM_Angle!$K$7*$C860+PM_Angle!$L$7*$B860</f>
      </c>
      <c r="K860" s="12">
        <f>IF(J860&gt;0,IF(J860&lt;=eco,alpha*fck*(1-(1-J860/eco)^n),alpha*fck),0)</f>
      </c>
      <c r="L860" s="30">
        <f>PM_Angle!$J$8+PM_Angle!$K$8*$C860+PM_Angle!$L$8*$B860</f>
      </c>
      <c r="M860" s="12">
        <f>IF(L860&gt;0,IF(L860&lt;=eco,alpha*fck*(1-(1-L860/eco)^n),alpha*fck),0)</f>
      </c>
      <c r="N860" s="30">
        <f>PM_Angle!$J$9+PM_Angle!$K$9*$C860+PM_Angle!$L$9*$B860</f>
      </c>
      <c r="O860" s="12">
        <f>IF(N860&gt;0,IF(N860&lt;=eco,alpha*fck*(1-(1-N860/eco)^n),alpha*fck),0)</f>
      </c>
      <c r="P860" s="30">
        <f>PM_Angle!$J$10+PM_Angle!$K$10*$C860+PM_Angle!$L$10*$B860</f>
      </c>
      <c r="Q860" s="12">
        <f>IF(P860&gt;0,IF(P860&lt;=eco,alpha*fck*(1-(1-P860/eco)^n),alpha*fck),0)</f>
      </c>
      <c r="R860" s="30">
        <f>PM_Angle!$J$11+PM_Angle!$K$11*$C860+PM_Angle!$L$11*$B860</f>
      </c>
      <c r="S860" s="12">
        <f>IF(R860&gt;0,IF(R860&lt;=eco,alpha*fck*(1-(1-R860/eco)^n),alpha*fck),0)</f>
      </c>
      <c r="T860" s="30">
        <f>PM_Angle!$J$12+PM_Angle!$K$12*$C860+PM_Angle!$L$12*$B860</f>
      </c>
      <c r="U860" s="12">
        <f>IF(T860&gt;0,IF(T860&lt;=eco,alpha*fck*(1-(1-T860/eco)^n),alpha*fck),0)</f>
      </c>
      <c r="V860" s="30">
        <f>PM_Angle!$J$13+PM_Angle!$K$13*$C860+PM_Angle!$L$13*$B860</f>
      </c>
      <c r="W860" s="12">
        <f>IF(V860&gt;0,IF(V860&lt;=eco,alpha*fck*(1-(1-V860/eco)^n),alpha*fck),0)</f>
      </c>
      <c r="X860" s="30">
        <f>PM_Angle!$J$14+PM_Angle!$K$14*$C860+PM_Angle!$L$14*$B860</f>
      </c>
      <c r="Y860" s="12">
        <f>IF(X860&gt;0,IF(X860&lt;=eco,alpha*fck*(1-(1-X860/eco)^n),alpha*fck),0)</f>
      </c>
      <c r="Z860" s="30">
        <f>PM_Angle!$J$15+PM_Angle!$K$15*$C860+PM_Angle!$L$15*$B860</f>
      </c>
      <c r="AA860" s="12">
        <f>IF(Z860&gt;0,IF(Z860&lt;=eco,alpha*fck*(1-(1-Z860/eco)^n),alpha*fck),0)</f>
      </c>
      <c r="AB860" s="30">
        <f>PM_Angle!$J$16+PM_Angle!$K$16*$C860+PM_Angle!$L$16*$B860</f>
      </c>
      <c r="AC860" s="12">
        <f>IF(AB860&gt;0,IF(AB860&lt;=eco,alpha*fck*(1-(1-AB860/eco)^n),alpha*fck),0)</f>
      </c>
      <c r="AD860" s="30">
        <f>PM_Angle!$J$17+PM_Angle!$K$17*$C860+PM_Angle!$L$17*$B860</f>
      </c>
      <c r="AE860" s="12">
        <f>IF(AD860&gt;0,IF(AD860&lt;=eco,alpha*fck*(1-(1-AD860/eco)^n),alpha*fck),0)</f>
      </c>
      <c r="AF860" s="30">
        <f>PM_Angle!$J$18+PM_Angle!$K$18*$C860+PM_Angle!$L$18*$B860</f>
      </c>
      <c r="AG860" s="12">
        <f>IF(AF860&gt;0,IF(AF860&lt;=eco,alpha*fck*(1-(1-AF860/eco)^n),alpha*fck),0)</f>
      </c>
      <c r="AH860" s="30">
        <f>PM_Angle!$J$19+PM_Angle!$K$19*$C860+PM_Angle!$L$19*$B860</f>
      </c>
      <c r="AI860" s="12">
        <f>IF(AH860&gt;0,IF(AH860&lt;=eco,alpha*fck*(1-(1-AH860/eco)^n),alpha*fck),0)</f>
      </c>
      <c r="AJ860" s="30">
        <f>PM_Angle!$J$20+PM_Angle!$K$20*$C860+PM_Angle!$L$20*$B860</f>
      </c>
      <c r="AK860" s="12">
        <f>IF(AJ860&gt;0,IF(AJ860&lt;=eco,alpha*fck*(1-(1-AJ860/eco)^n),alpha*fck),0)</f>
      </c>
      <c r="AL860" s="30">
        <f>PM_Angle!$J$21+PM_Angle!$K$21*$C860+PM_Angle!$L$21*$B860</f>
      </c>
      <c r="AM860" s="12">
        <f>IF(AL860&gt;0,IF(AL860&lt;=eco,alpha*fck*(1-(1-AL860/eco)^n),alpha*fck),0)</f>
      </c>
      <c r="AN860" s="30">
        <f>PM_Angle!$J$22+PM_Angle!$K$22*$C860+PM_Angle!$L$22*$B860</f>
      </c>
      <c r="AO860" s="12">
        <f>IF(AN860&gt;0,IF(AN860&lt;=eco,alpha*fck*(1-(1-AN860/eco)^n),alpha*fck),0)</f>
      </c>
      <c r="AP860" s="30">
        <f>PM_Angle!$J$23+PM_Angle!$K$23*$C860+PM_Angle!$L$23*$B860</f>
      </c>
      <c r="AQ860" s="12">
        <f>IF(AP860&gt;0,IF(AP860&lt;=eco,alpha*fck*(1-(1-AP860/eco)^n),alpha*fck),0)</f>
      </c>
      <c r="AR860" s="30">
        <f>PM_Angle!$J$24+PM_Angle!$K$24*$C860+PM_Angle!$L$24*$B860</f>
      </c>
      <c r="AS860" s="12">
        <f>IF(AR860&gt;0,IF(AR860&lt;=eco,alpha*fck*(1-(1-AR860/eco)^n),alpha*fck),0)</f>
      </c>
      <c r="AT860" s="30">
        <f>PM_Angle!$J$25+PM_Angle!$K$25*$C860+PM_Angle!$L$25*$B860</f>
      </c>
      <c r="AU860" s="12">
        <f>IF(AT860&gt;0,IF(AT860&lt;=eco,alpha*fck*(1-(1-AT860/eco)^n),alpha*fck),0)</f>
      </c>
    </row>
    <row r="861" spans="1:47" x14ac:dyDescent="0.25">
      <c r="A861">
        <f>Mesh!A858</f>
      </c>
      <c r="B861" s="12">
        <f>Mesh!B858</f>
      </c>
      <c r="C861" s="12">
        <f>Mesh!C858</f>
      </c>
      <c r="D861" s="12">
        <f>Mesh!D858</f>
      </c>
      <c r="E861" s="30">
        <f>INDEX(St_e0,Det+1)+INDEX(St_kx,Det+1)*C861+INDEX(St_ky,Det+1)*B861</f>
      </c>
      <c r="F861" s="12">
        <f>IF(E861&gt;0,IF(E861&lt;=eco,alpha*fck*(1-(1-E861/eco)^n),alpha*fck),0)</f>
      </c>
      <c r="G861" s="11">
        <f>F861*D861</f>
      </c>
      <c r="H861" s="11">
        <f>G861*C861</f>
      </c>
      <c r="I861" s="11">
        <f>G861*B861</f>
      </c>
      <c r="J861" s="30">
        <f>PM_Angle!$J$7+PM_Angle!$K$7*$C861+PM_Angle!$L$7*$B861</f>
      </c>
      <c r="K861" s="12">
        <f>IF(J861&gt;0,IF(J861&lt;=eco,alpha*fck*(1-(1-J861/eco)^n),alpha*fck),0)</f>
      </c>
      <c r="L861" s="30">
        <f>PM_Angle!$J$8+PM_Angle!$K$8*$C861+PM_Angle!$L$8*$B861</f>
      </c>
      <c r="M861" s="12">
        <f>IF(L861&gt;0,IF(L861&lt;=eco,alpha*fck*(1-(1-L861/eco)^n),alpha*fck),0)</f>
      </c>
      <c r="N861" s="30">
        <f>PM_Angle!$J$9+PM_Angle!$K$9*$C861+PM_Angle!$L$9*$B861</f>
      </c>
      <c r="O861" s="12">
        <f>IF(N861&gt;0,IF(N861&lt;=eco,alpha*fck*(1-(1-N861/eco)^n),alpha*fck),0)</f>
      </c>
      <c r="P861" s="30">
        <f>PM_Angle!$J$10+PM_Angle!$K$10*$C861+PM_Angle!$L$10*$B861</f>
      </c>
      <c r="Q861" s="12">
        <f>IF(P861&gt;0,IF(P861&lt;=eco,alpha*fck*(1-(1-P861/eco)^n),alpha*fck),0)</f>
      </c>
      <c r="R861" s="30">
        <f>PM_Angle!$J$11+PM_Angle!$K$11*$C861+PM_Angle!$L$11*$B861</f>
      </c>
      <c r="S861" s="12">
        <f>IF(R861&gt;0,IF(R861&lt;=eco,alpha*fck*(1-(1-R861/eco)^n),alpha*fck),0)</f>
      </c>
      <c r="T861" s="30">
        <f>PM_Angle!$J$12+PM_Angle!$K$12*$C861+PM_Angle!$L$12*$B861</f>
      </c>
      <c r="U861" s="12">
        <f>IF(T861&gt;0,IF(T861&lt;=eco,alpha*fck*(1-(1-T861/eco)^n),alpha*fck),0)</f>
      </c>
      <c r="V861" s="30">
        <f>PM_Angle!$J$13+PM_Angle!$K$13*$C861+PM_Angle!$L$13*$B861</f>
      </c>
      <c r="W861" s="12">
        <f>IF(V861&gt;0,IF(V861&lt;=eco,alpha*fck*(1-(1-V861/eco)^n),alpha*fck),0)</f>
      </c>
      <c r="X861" s="30">
        <f>PM_Angle!$J$14+PM_Angle!$K$14*$C861+PM_Angle!$L$14*$B861</f>
      </c>
      <c r="Y861" s="12">
        <f>IF(X861&gt;0,IF(X861&lt;=eco,alpha*fck*(1-(1-X861/eco)^n),alpha*fck),0)</f>
      </c>
      <c r="Z861" s="30">
        <f>PM_Angle!$J$15+PM_Angle!$K$15*$C861+PM_Angle!$L$15*$B861</f>
      </c>
      <c r="AA861" s="12">
        <f>IF(Z861&gt;0,IF(Z861&lt;=eco,alpha*fck*(1-(1-Z861/eco)^n),alpha*fck),0)</f>
      </c>
      <c r="AB861" s="30">
        <f>PM_Angle!$J$16+PM_Angle!$K$16*$C861+PM_Angle!$L$16*$B861</f>
      </c>
      <c r="AC861" s="12">
        <f>IF(AB861&gt;0,IF(AB861&lt;=eco,alpha*fck*(1-(1-AB861/eco)^n),alpha*fck),0)</f>
      </c>
      <c r="AD861" s="30">
        <f>PM_Angle!$J$17+PM_Angle!$K$17*$C861+PM_Angle!$L$17*$B861</f>
      </c>
      <c r="AE861" s="12">
        <f>IF(AD861&gt;0,IF(AD861&lt;=eco,alpha*fck*(1-(1-AD861/eco)^n),alpha*fck),0)</f>
      </c>
      <c r="AF861" s="30">
        <f>PM_Angle!$J$18+PM_Angle!$K$18*$C861+PM_Angle!$L$18*$B861</f>
      </c>
      <c r="AG861" s="12">
        <f>IF(AF861&gt;0,IF(AF861&lt;=eco,alpha*fck*(1-(1-AF861/eco)^n),alpha*fck),0)</f>
      </c>
      <c r="AH861" s="30">
        <f>PM_Angle!$J$19+PM_Angle!$K$19*$C861+PM_Angle!$L$19*$B861</f>
      </c>
      <c r="AI861" s="12">
        <f>IF(AH861&gt;0,IF(AH861&lt;=eco,alpha*fck*(1-(1-AH861/eco)^n),alpha*fck),0)</f>
      </c>
      <c r="AJ861" s="30">
        <f>PM_Angle!$J$20+PM_Angle!$K$20*$C861+PM_Angle!$L$20*$B861</f>
      </c>
      <c r="AK861" s="12">
        <f>IF(AJ861&gt;0,IF(AJ861&lt;=eco,alpha*fck*(1-(1-AJ861/eco)^n),alpha*fck),0)</f>
      </c>
      <c r="AL861" s="30">
        <f>PM_Angle!$J$21+PM_Angle!$K$21*$C861+PM_Angle!$L$21*$B861</f>
      </c>
      <c r="AM861" s="12">
        <f>IF(AL861&gt;0,IF(AL861&lt;=eco,alpha*fck*(1-(1-AL861/eco)^n),alpha*fck),0)</f>
      </c>
      <c r="AN861" s="30">
        <f>PM_Angle!$J$22+PM_Angle!$K$22*$C861+PM_Angle!$L$22*$B861</f>
      </c>
      <c r="AO861" s="12">
        <f>IF(AN861&gt;0,IF(AN861&lt;=eco,alpha*fck*(1-(1-AN861/eco)^n),alpha*fck),0)</f>
      </c>
      <c r="AP861" s="30">
        <f>PM_Angle!$J$23+PM_Angle!$K$23*$C861+PM_Angle!$L$23*$B861</f>
      </c>
      <c r="AQ861" s="12">
        <f>IF(AP861&gt;0,IF(AP861&lt;=eco,alpha*fck*(1-(1-AP861/eco)^n),alpha*fck),0)</f>
      </c>
      <c r="AR861" s="30">
        <f>PM_Angle!$J$24+PM_Angle!$K$24*$C861+PM_Angle!$L$24*$B861</f>
      </c>
      <c r="AS861" s="12">
        <f>IF(AR861&gt;0,IF(AR861&lt;=eco,alpha*fck*(1-(1-AR861/eco)^n),alpha*fck),0)</f>
      </c>
      <c r="AT861" s="30">
        <f>PM_Angle!$J$25+PM_Angle!$K$25*$C861+PM_Angle!$L$25*$B861</f>
      </c>
      <c r="AU861" s="12">
        <f>IF(AT861&gt;0,IF(AT861&lt;=eco,alpha*fck*(1-(1-AT861/eco)^n),alpha*fck),0)</f>
      </c>
    </row>
    <row r="862" spans="1:47" x14ac:dyDescent="0.25">
      <c r="A862">
        <f>Mesh!A859</f>
      </c>
      <c r="B862" s="12">
        <f>Mesh!B859</f>
      </c>
      <c r="C862" s="12">
        <f>Mesh!C859</f>
      </c>
      <c r="D862" s="12">
        <f>Mesh!D859</f>
      </c>
      <c r="E862" s="30">
        <f>INDEX(St_e0,Det+1)+INDEX(St_kx,Det+1)*C862+INDEX(St_ky,Det+1)*B862</f>
      </c>
      <c r="F862" s="12">
        <f>IF(E862&gt;0,IF(E862&lt;=eco,alpha*fck*(1-(1-E862/eco)^n),alpha*fck),0)</f>
      </c>
      <c r="G862" s="11">
        <f>F862*D862</f>
      </c>
      <c r="H862" s="11">
        <f>G862*C862</f>
      </c>
      <c r="I862" s="11">
        <f>G862*B862</f>
      </c>
      <c r="J862" s="30">
        <f>PM_Angle!$J$7+PM_Angle!$K$7*$C862+PM_Angle!$L$7*$B862</f>
      </c>
      <c r="K862" s="12">
        <f>IF(J862&gt;0,IF(J862&lt;=eco,alpha*fck*(1-(1-J862/eco)^n),alpha*fck),0)</f>
      </c>
      <c r="L862" s="30">
        <f>PM_Angle!$J$8+PM_Angle!$K$8*$C862+PM_Angle!$L$8*$B862</f>
      </c>
      <c r="M862" s="12">
        <f>IF(L862&gt;0,IF(L862&lt;=eco,alpha*fck*(1-(1-L862/eco)^n),alpha*fck),0)</f>
      </c>
      <c r="N862" s="30">
        <f>PM_Angle!$J$9+PM_Angle!$K$9*$C862+PM_Angle!$L$9*$B862</f>
      </c>
      <c r="O862" s="12">
        <f>IF(N862&gt;0,IF(N862&lt;=eco,alpha*fck*(1-(1-N862/eco)^n),alpha*fck),0)</f>
      </c>
      <c r="P862" s="30">
        <f>PM_Angle!$J$10+PM_Angle!$K$10*$C862+PM_Angle!$L$10*$B862</f>
      </c>
      <c r="Q862" s="12">
        <f>IF(P862&gt;0,IF(P862&lt;=eco,alpha*fck*(1-(1-P862/eco)^n),alpha*fck),0)</f>
      </c>
      <c r="R862" s="30">
        <f>PM_Angle!$J$11+PM_Angle!$K$11*$C862+PM_Angle!$L$11*$B862</f>
      </c>
      <c r="S862" s="12">
        <f>IF(R862&gt;0,IF(R862&lt;=eco,alpha*fck*(1-(1-R862/eco)^n),alpha*fck),0)</f>
      </c>
      <c r="T862" s="30">
        <f>PM_Angle!$J$12+PM_Angle!$K$12*$C862+PM_Angle!$L$12*$B862</f>
      </c>
      <c r="U862" s="12">
        <f>IF(T862&gt;0,IF(T862&lt;=eco,alpha*fck*(1-(1-T862/eco)^n),alpha*fck),0)</f>
      </c>
      <c r="V862" s="30">
        <f>PM_Angle!$J$13+PM_Angle!$K$13*$C862+PM_Angle!$L$13*$B862</f>
      </c>
      <c r="W862" s="12">
        <f>IF(V862&gt;0,IF(V862&lt;=eco,alpha*fck*(1-(1-V862/eco)^n),alpha*fck),0)</f>
      </c>
      <c r="X862" s="30">
        <f>PM_Angle!$J$14+PM_Angle!$K$14*$C862+PM_Angle!$L$14*$B862</f>
      </c>
      <c r="Y862" s="12">
        <f>IF(X862&gt;0,IF(X862&lt;=eco,alpha*fck*(1-(1-X862/eco)^n),alpha*fck),0)</f>
      </c>
      <c r="Z862" s="30">
        <f>PM_Angle!$J$15+PM_Angle!$K$15*$C862+PM_Angle!$L$15*$B862</f>
      </c>
      <c r="AA862" s="12">
        <f>IF(Z862&gt;0,IF(Z862&lt;=eco,alpha*fck*(1-(1-Z862/eco)^n),alpha*fck),0)</f>
      </c>
      <c r="AB862" s="30">
        <f>PM_Angle!$J$16+PM_Angle!$K$16*$C862+PM_Angle!$L$16*$B862</f>
      </c>
      <c r="AC862" s="12">
        <f>IF(AB862&gt;0,IF(AB862&lt;=eco,alpha*fck*(1-(1-AB862/eco)^n),alpha*fck),0)</f>
      </c>
      <c r="AD862" s="30">
        <f>PM_Angle!$J$17+PM_Angle!$K$17*$C862+PM_Angle!$L$17*$B862</f>
      </c>
      <c r="AE862" s="12">
        <f>IF(AD862&gt;0,IF(AD862&lt;=eco,alpha*fck*(1-(1-AD862/eco)^n),alpha*fck),0)</f>
      </c>
      <c r="AF862" s="30">
        <f>PM_Angle!$J$18+PM_Angle!$K$18*$C862+PM_Angle!$L$18*$B862</f>
      </c>
      <c r="AG862" s="12">
        <f>IF(AF862&gt;0,IF(AF862&lt;=eco,alpha*fck*(1-(1-AF862/eco)^n),alpha*fck),0)</f>
      </c>
      <c r="AH862" s="30">
        <f>PM_Angle!$J$19+PM_Angle!$K$19*$C862+PM_Angle!$L$19*$B862</f>
      </c>
      <c r="AI862" s="12">
        <f>IF(AH862&gt;0,IF(AH862&lt;=eco,alpha*fck*(1-(1-AH862/eco)^n),alpha*fck),0)</f>
      </c>
      <c r="AJ862" s="30">
        <f>PM_Angle!$J$20+PM_Angle!$K$20*$C862+PM_Angle!$L$20*$B862</f>
      </c>
      <c r="AK862" s="12">
        <f>IF(AJ862&gt;0,IF(AJ862&lt;=eco,alpha*fck*(1-(1-AJ862/eco)^n),alpha*fck),0)</f>
      </c>
      <c r="AL862" s="30">
        <f>PM_Angle!$J$21+PM_Angle!$K$21*$C862+PM_Angle!$L$21*$B862</f>
      </c>
      <c r="AM862" s="12">
        <f>IF(AL862&gt;0,IF(AL862&lt;=eco,alpha*fck*(1-(1-AL862/eco)^n),alpha*fck),0)</f>
      </c>
      <c r="AN862" s="30">
        <f>PM_Angle!$J$22+PM_Angle!$K$22*$C862+PM_Angle!$L$22*$B862</f>
      </c>
      <c r="AO862" s="12">
        <f>IF(AN862&gt;0,IF(AN862&lt;=eco,alpha*fck*(1-(1-AN862/eco)^n),alpha*fck),0)</f>
      </c>
      <c r="AP862" s="30">
        <f>PM_Angle!$J$23+PM_Angle!$K$23*$C862+PM_Angle!$L$23*$B862</f>
      </c>
      <c r="AQ862" s="12">
        <f>IF(AP862&gt;0,IF(AP862&lt;=eco,alpha*fck*(1-(1-AP862/eco)^n),alpha*fck),0)</f>
      </c>
      <c r="AR862" s="30">
        <f>PM_Angle!$J$24+PM_Angle!$K$24*$C862+PM_Angle!$L$24*$B862</f>
      </c>
      <c r="AS862" s="12">
        <f>IF(AR862&gt;0,IF(AR862&lt;=eco,alpha*fck*(1-(1-AR862/eco)^n),alpha*fck),0)</f>
      </c>
      <c r="AT862" s="30">
        <f>PM_Angle!$J$25+PM_Angle!$K$25*$C862+PM_Angle!$L$25*$B862</f>
      </c>
      <c r="AU862" s="12">
        <f>IF(AT862&gt;0,IF(AT862&lt;=eco,alpha*fck*(1-(1-AT862/eco)^n),alpha*fck),0)</f>
      </c>
    </row>
    <row r="863" spans="1:47" x14ac:dyDescent="0.25">
      <c r="A863">
        <f>Mesh!A860</f>
      </c>
      <c r="B863" s="12">
        <f>Mesh!B860</f>
      </c>
      <c r="C863" s="12">
        <f>Mesh!C860</f>
      </c>
      <c r="D863" s="12">
        <f>Mesh!D860</f>
      </c>
      <c r="E863" s="30">
        <f>INDEX(St_e0,Det+1)+INDEX(St_kx,Det+1)*C863+INDEX(St_ky,Det+1)*B863</f>
      </c>
      <c r="F863" s="12">
        <f>IF(E863&gt;0,IF(E863&lt;=eco,alpha*fck*(1-(1-E863/eco)^n),alpha*fck),0)</f>
      </c>
      <c r="G863" s="11">
        <f>F863*D863</f>
      </c>
      <c r="H863" s="11">
        <f>G863*C863</f>
      </c>
      <c r="I863" s="11">
        <f>G863*B863</f>
      </c>
      <c r="J863" s="30">
        <f>PM_Angle!$J$7+PM_Angle!$K$7*$C863+PM_Angle!$L$7*$B863</f>
      </c>
      <c r="K863" s="12">
        <f>IF(J863&gt;0,IF(J863&lt;=eco,alpha*fck*(1-(1-J863/eco)^n),alpha*fck),0)</f>
      </c>
      <c r="L863" s="30">
        <f>PM_Angle!$J$8+PM_Angle!$K$8*$C863+PM_Angle!$L$8*$B863</f>
      </c>
      <c r="M863" s="12">
        <f>IF(L863&gt;0,IF(L863&lt;=eco,alpha*fck*(1-(1-L863/eco)^n),alpha*fck),0)</f>
      </c>
      <c r="N863" s="30">
        <f>PM_Angle!$J$9+PM_Angle!$K$9*$C863+PM_Angle!$L$9*$B863</f>
      </c>
      <c r="O863" s="12">
        <f>IF(N863&gt;0,IF(N863&lt;=eco,alpha*fck*(1-(1-N863/eco)^n),alpha*fck),0)</f>
      </c>
      <c r="P863" s="30">
        <f>PM_Angle!$J$10+PM_Angle!$K$10*$C863+PM_Angle!$L$10*$B863</f>
      </c>
      <c r="Q863" s="12">
        <f>IF(P863&gt;0,IF(P863&lt;=eco,alpha*fck*(1-(1-P863/eco)^n),alpha*fck),0)</f>
      </c>
      <c r="R863" s="30">
        <f>PM_Angle!$J$11+PM_Angle!$K$11*$C863+PM_Angle!$L$11*$B863</f>
      </c>
      <c r="S863" s="12">
        <f>IF(R863&gt;0,IF(R863&lt;=eco,alpha*fck*(1-(1-R863/eco)^n),alpha*fck),0)</f>
      </c>
      <c r="T863" s="30">
        <f>PM_Angle!$J$12+PM_Angle!$K$12*$C863+PM_Angle!$L$12*$B863</f>
      </c>
      <c r="U863" s="12">
        <f>IF(T863&gt;0,IF(T863&lt;=eco,alpha*fck*(1-(1-T863/eco)^n),alpha*fck),0)</f>
      </c>
      <c r="V863" s="30">
        <f>PM_Angle!$J$13+PM_Angle!$K$13*$C863+PM_Angle!$L$13*$B863</f>
      </c>
      <c r="W863" s="12">
        <f>IF(V863&gt;0,IF(V863&lt;=eco,alpha*fck*(1-(1-V863/eco)^n),alpha*fck),0)</f>
      </c>
      <c r="X863" s="30">
        <f>PM_Angle!$J$14+PM_Angle!$K$14*$C863+PM_Angle!$L$14*$B863</f>
      </c>
      <c r="Y863" s="12">
        <f>IF(X863&gt;0,IF(X863&lt;=eco,alpha*fck*(1-(1-X863/eco)^n),alpha*fck),0)</f>
      </c>
      <c r="Z863" s="30">
        <f>PM_Angle!$J$15+PM_Angle!$K$15*$C863+PM_Angle!$L$15*$B863</f>
      </c>
      <c r="AA863" s="12">
        <f>IF(Z863&gt;0,IF(Z863&lt;=eco,alpha*fck*(1-(1-Z863/eco)^n),alpha*fck),0)</f>
      </c>
      <c r="AB863" s="30">
        <f>PM_Angle!$J$16+PM_Angle!$K$16*$C863+PM_Angle!$L$16*$B863</f>
      </c>
      <c r="AC863" s="12">
        <f>IF(AB863&gt;0,IF(AB863&lt;=eco,alpha*fck*(1-(1-AB863/eco)^n),alpha*fck),0)</f>
      </c>
      <c r="AD863" s="30">
        <f>PM_Angle!$J$17+PM_Angle!$K$17*$C863+PM_Angle!$L$17*$B863</f>
      </c>
      <c r="AE863" s="12">
        <f>IF(AD863&gt;0,IF(AD863&lt;=eco,alpha*fck*(1-(1-AD863/eco)^n),alpha*fck),0)</f>
      </c>
      <c r="AF863" s="30">
        <f>PM_Angle!$J$18+PM_Angle!$K$18*$C863+PM_Angle!$L$18*$B863</f>
      </c>
      <c r="AG863" s="12">
        <f>IF(AF863&gt;0,IF(AF863&lt;=eco,alpha*fck*(1-(1-AF863/eco)^n),alpha*fck),0)</f>
      </c>
      <c r="AH863" s="30">
        <f>PM_Angle!$J$19+PM_Angle!$K$19*$C863+PM_Angle!$L$19*$B863</f>
      </c>
      <c r="AI863" s="12">
        <f>IF(AH863&gt;0,IF(AH863&lt;=eco,alpha*fck*(1-(1-AH863/eco)^n),alpha*fck),0)</f>
      </c>
      <c r="AJ863" s="30">
        <f>PM_Angle!$J$20+PM_Angle!$K$20*$C863+PM_Angle!$L$20*$B863</f>
      </c>
      <c r="AK863" s="12">
        <f>IF(AJ863&gt;0,IF(AJ863&lt;=eco,alpha*fck*(1-(1-AJ863/eco)^n),alpha*fck),0)</f>
      </c>
      <c r="AL863" s="30">
        <f>PM_Angle!$J$21+PM_Angle!$K$21*$C863+PM_Angle!$L$21*$B863</f>
      </c>
      <c r="AM863" s="12">
        <f>IF(AL863&gt;0,IF(AL863&lt;=eco,alpha*fck*(1-(1-AL863/eco)^n),alpha*fck),0)</f>
      </c>
      <c r="AN863" s="30">
        <f>PM_Angle!$J$22+PM_Angle!$K$22*$C863+PM_Angle!$L$22*$B863</f>
      </c>
      <c r="AO863" s="12">
        <f>IF(AN863&gt;0,IF(AN863&lt;=eco,alpha*fck*(1-(1-AN863/eco)^n),alpha*fck),0)</f>
      </c>
      <c r="AP863" s="30">
        <f>PM_Angle!$J$23+PM_Angle!$K$23*$C863+PM_Angle!$L$23*$B863</f>
      </c>
      <c r="AQ863" s="12">
        <f>IF(AP863&gt;0,IF(AP863&lt;=eco,alpha*fck*(1-(1-AP863/eco)^n),alpha*fck),0)</f>
      </c>
      <c r="AR863" s="30">
        <f>PM_Angle!$J$24+PM_Angle!$K$24*$C863+PM_Angle!$L$24*$B863</f>
      </c>
      <c r="AS863" s="12">
        <f>IF(AR863&gt;0,IF(AR863&lt;=eco,alpha*fck*(1-(1-AR863/eco)^n),alpha*fck),0)</f>
      </c>
      <c r="AT863" s="30">
        <f>PM_Angle!$J$25+PM_Angle!$K$25*$C863+PM_Angle!$L$25*$B863</f>
      </c>
      <c r="AU863" s="12">
        <f>IF(AT863&gt;0,IF(AT863&lt;=eco,alpha*fck*(1-(1-AT863/eco)^n),alpha*fck),0)</f>
      </c>
    </row>
    <row r="864" spans="1:47" x14ac:dyDescent="0.25">
      <c r="A864">
        <f>Mesh!A861</f>
      </c>
      <c r="B864" s="12">
        <f>Mesh!B861</f>
      </c>
      <c r="C864" s="12">
        <f>Mesh!C861</f>
      </c>
      <c r="D864" s="12">
        <f>Mesh!D861</f>
      </c>
      <c r="E864" s="30">
        <f>INDEX(St_e0,Det+1)+INDEX(St_kx,Det+1)*C864+INDEX(St_ky,Det+1)*B864</f>
      </c>
      <c r="F864" s="12">
        <f>IF(E864&gt;0,IF(E864&lt;=eco,alpha*fck*(1-(1-E864/eco)^n),alpha*fck),0)</f>
      </c>
      <c r="G864" s="11">
        <f>F864*D864</f>
      </c>
      <c r="H864" s="11">
        <f>G864*C864</f>
      </c>
      <c r="I864" s="11">
        <f>G864*B864</f>
      </c>
      <c r="J864" s="30">
        <f>PM_Angle!$J$7+PM_Angle!$K$7*$C864+PM_Angle!$L$7*$B864</f>
      </c>
      <c r="K864" s="12">
        <f>IF(J864&gt;0,IF(J864&lt;=eco,alpha*fck*(1-(1-J864/eco)^n),alpha*fck),0)</f>
      </c>
      <c r="L864" s="30">
        <f>PM_Angle!$J$8+PM_Angle!$K$8*$C864+PM_Angle!$L$8*$B864</f>
      </c>
      <c r="M864" s="12">
        <f>IF(L864&gt;0,IF(L864&lt;=eco,alpha*fck*(1-(1-L864/eco)^n),alpha*fck),0)</f>
      </c>
      <c r="N864" s="30">
        <f>PM_Angle!$J$9+PM_Angle!$K$9*$C864+PM_Angle!$L$9*$B864</f>
      </c>
      <c r="O864" s="12">
        <f>IF(N864&gt;0,IF(N864&lt;=eco,alpha*fck*(1-(1-N864/eco)^n),alpha*fck),0)</f>
      </c>
      <c r="P864" s="30">
        <f>PM_Angle!$J$10+PM_Angle!$K$10*$C864+PM_Angle!$L$10*$B864</f>
      </c>
      <c r="Q864" s="12">
        <f>IF(P864&gt;0,IF(P864&lt;=eco,alpha*fck*(1-(1-P864/eco)^n),alpha*fck),0)</f>
      </c>
      <c r="R864" s="30">
        <f>PM_Angle!$J$11+PM_Angle!$K$11*$C864+PM_Angle!$L$11*$B864</f>
      </c>
      <c r="S864" s="12">
        <f>IF(R864&gt;0,IF(R864&lt;=eco,alpha*fck*(1-(1-R864/eco)^n),alpha*fck),0)</f>
      </c>
      <c r="T864" s="30">
        <f>PM_Angle!$J$12+PM_Angle!$K$12*$C864+PM_Angle!$L$12*$B864</f>
      </c>
      <c r="U864" s="12">
        <f>IF(T864&gt;0,IF(T864&lt;=eco,alpha*fck*(1-(1-T864/eco)^n),alpha*fck),0)</f>
      </c>
      <c r="V864" s="30">
        <f>PM_Angle!$J$13+PM_Angle!$K$13*$C864+PM_Angle!$L$13*$B864</f>
      </c>
      <c r="W864" s="12">
        <f>IF(V864&gt;0,IF(V864&lt;=eco,alpha*fck*(1-(1-V864/eco)^n),alpha*fck),0)</f>
      </c>
      <c r="X864" s="30">
        <f>PM_Angle!$J$14+PM_Angle!$K$14*$C864+PM_Angle!$L$14*$B864</f>
      </c>
      <c r="Y864" s="12">
        <f>IF(X864&gt;0,IF(X864&lt;=eco,alpha*fck*(1-(1-X864/eco)^n),alpha*fck),0)</f>
      </c>
      <c r="Z864" s="30">
        <f>PM_Angle!$J$15+PM_Angle!$K$15*$C864+PM_Angle!$L$15*$B864</f>
      </c>
      <c r="AA864" s="12">
        <f>IF(Z864&gt;0,IF(Z864&lt;=eco,alpha*fck*(1-(1-Z864/eco)^n),alpha*fck),0)</f>
      </c>
      <c r="AB864" s="30">
        <f>PM_Angle!$J$16+PM_Angle!$K$16*$C864+PM_Angle!$L$16*$B864</f>
      </c>
      <c r="AC864" s="12">
        <f>IF(AB864&gt;0,IF(AB864&lt;=eco,alpha*fck*(1-(1-AB864/eco)^n),alpha*fck),0)</f>
      </c>
      <c r="AD864" s="30">
        <f>PM_Angle!$J$17+PM_Angle!$K$17*$C864+PM_Angle!$L$17*$B864</f>
      </c>
      <c r="AE864" s="12">
        <f>IF(AD864&gt;0,IF(AD864&lt;=eco,alpha*fck*(1-(1-AD864/eco)^n),alpha*fck),0)</f>
      </c>
      <c r="AF864" s="30">
        <f>PM_Angle!$J$18+PM_Angle!$K$18*$C864+PM_Angle!$L$18*$B864</f>
      </c>
      <c r="AG864" s="12">
        <f>IF(AF864&gt;0,IF(AF864&lt;=eco,alpha*fck*(1-(1-AF864/eco)^n),alpha*fck),0)</f>
      </c>
      <c r="AH864" s="30">
        <f>PM_Angle!$J$19+PM_Angle!$K$19*$C864+PM_Angle!$L$19*$B864</f>
      </c>
      <c r="AI864" s="12">
        <f>IF(AH864&gt;0,IF(AH864&lt;=eco,alpha*fck*(1-(1-AH864/eco)^n),alpha*fck),0)</f>
      </c>
      <c r="AJ864" s="30">
        <f>PM_Angle!$J$20+PM_Angle!$K$20*$C864+PM_Angle!$L$20*$B864</f>
      </c>
      <c r="AK864" s="12">
        <f>IF(AJ864&gt;0,IF(AJ864&lt;=eco,alpha*fck*(1-(1-AJ864/eco)^n),alpha*fck),0)</f>
      </c>
      <c r="AL864" s="30">
        <f>PM_Angle!$J$21+PM_Angle!$K$21*$C864+PM_Angle!$L$21*$B864</f>
      </c>
      <c r="AM864" s="12">
        <f>IF(AL864&gt;0,IF(AL864&lt;=eco,alpha*fck*(1-(1-AL864/eco)^n),alpha*fck),0)</f>
      </c>
      <c r="AN864" s="30">
        <f>PM_Angle!$J$22+PM_Angle!$K$22*$C864+PM_Angle!$L$22*$B864</f>
      </c>
      <c r="AO864" s="12">
        <f>IF(AN864&gt;0,IF(AN864&lt;=eco,alpha*fck*(1-(1-AN864/eco)^n),alpha*fck),0)</f>
      </c>
      <c r="AP864" s="30">
        <f>PM_Angle!$J$23+PM_Angle!$K$23*$C864+PM_Angle!$L$23*$B864</f>
      </c>
      <c r="AQ864" s="12">
        <f>IF(AP864&gt;0,IF(AP864&lt;=eco,alpha*fck*(1-(1-AP864/eco)^n),alpha*fck),0)</f>
      </c>
      <c r="AR864" s="30">
        <f>PM_Angle!$J$24+PM_Angle!$K$24*$C864+PM_Angle!$L$24*$B864</f>
      </c>
      <c r="AS864" s="12">
        <f>IF(AR864&gt;0,IF(AR864&lt;=eco,alpha*fck*(1-(1-AR864/eco)^n),alpha*fck),0)</f>
      </c>
      <c r="AT864" s="30">
        <f>PM_Angle!$J$25+PM_Angle!$K$25*$C864+PM_Angle!$L$25*$B864</f>
      </c>
      <c r="AU864" s="12">
        <f>IF(AT864&gt;0,IF(AT864&lt;=eco,alpha*fck*(1-(1-AT864/eco)^n),alpha*fck),0)</f>
      </c>
    </row>
    <row r="865" spans="1:47" x14ac:dyDescent="0.25">
      <c r="A865">
        <f>Mesh!A862</f>
      </c>
      <c r="B865" s="12">
        <f>Mesh!B862</f>
      </c>
      <c r="C865" s="12">
        <f>Mesh!C862</f>
      </c>
      <c r="D865" s="12">
        <f>Mesh!D862</f>
      </c>
      <c r="E865" s="30">
        <f>INDEX(St_e0,Det+1)+INDEX(St_kx,Det+1)*C865+INDEX(St_ky,Det+1)*B865</f>
      </c>
      <c r="F865" s="12">
        <f>IF(E865&gt;0,IF(E865&lt;=eco,alpha*fck*(1-(1-E865/eco)^n),alpha*fck),0)</f>
      </c>
      <c r="G865" s="11">
        <f>F865*D865</f>
      </c>
      <c r="H865" s="11">
        <f>G865*C865</f>
      </c>
      <c r="I865" s="11">
        <f>G865*B865</f>
      </c>
      <c r="J865" s="30">
        <f>PM_Angle!$J$7+PM_Angle!$K$7*$C865+PM_Angle!$L$7*$B865</f>
      </c>
      <c r="K865" s="12">
        <f>IF(J865&gt;0,IF(J865&lt;=eco,alpha*fck*(1-(1-J865/eco)^n),alpha*fck),0)</f>
      </c>
      <c r="L865" s="30">
        <f>PM_Angle!$J$8+PM_Angle!$K$8*$C865+PM_Angle!$L$8*$B865</f>
      </c>
      <c r="M865" s="12">
        <f>IF(L865&gt;0,IF(L865&lt;=eco,alpha*fck*(1-(1-L865/eco)^n),alpha*fck),0)</f>
      </c>
      <c r="N865" s="30">
        <f>PM_Angle!$J$9+PM_Angle!$K$9*$C865+PM_Angle!$L$9*$B865</f>
      </c>
      <c r="O865" s="12">
        <f>IF(N865&gt;0,IF(N865&lt;=eco,alpha*fck*(1-(1-N865/eco)^n),alpha*fck),0)</f>
      </c>
      <c r="P865" s="30">
        <f>PM_Angle!$J$10+PM_Angle!$K$10*$C865+PM_Angle!$L$10*$B865</f>
      </c>
      <c r="Q865" s="12">
        <f>IF(P865&gt;0,IF(P865&lt;=eco,alpha*fck*(1-(1-P865/eco)^n),alpha*fck),0)</f>
      </c>
      <c r="R865" s="30">
        <f>PM_Angle!$J$11+PM_Angle!$K$11*$C865+PM_Angle!$L$11*$B865</f>
      </c>
      <c r="S865" s="12">
        <f>IF(R865&gt;0,IF(R865&lt;=eco,alpha*fck*(1-(1-R865/eco)^n),alpha*fck),0)</f>
      </c>
      <c r="T865" s="30">
        <f>PM_Angle!$J$12+PM_Angle!$K$12*$C865+PM_Angle!$L$12*$B865</f>
      </c>
      <c r="U865" s="12">
        <f>IF(T865&gt;0,IF(T865&lt;=eco,alpha*fck*(1-(1-T865/eco)^n),alpha*fck),0)</f>
      </c>
      <c r="V865" s="30">
        <f>PM_Angle!$J$13+PM_Angle!$K$13*$C865+PM_Angle!$L$13*$B865</f>
      </c>
      <c r="W865" s="12">
        <f>IF(V865&gt;0,IF(V865&lt;=eco,alpha*fck*(1-(1-V865/eco)^n),alpha*fck),0)</f>
      </c>
      <c r="X865" s="30">
        <f>PM_Angle!$J$14+PM_Angle!$K$14*$C865+PM_Angle!$L$14*$B865</f>
      </c>
      <c r="Y865" s="12">
        <f>IF(X865&gt;0,IF(X865&lt;=eco,alpha*fck*(1-(1-X865/eco)^n),alpha*fck),0)</f>
      </c>
      <c r="Z865" s="30">
        <f>PM_Angle!$J$15+PM_Angle!$K$15*$C865+PM_Angle!$L$15*$B865</f>
      </c>
      <c r="AA865" s="12">
        <f>IF(Z865&gt;0,IF(Z865&lt;=eco,alpha*fck*(1-(1-Z865/eco)^n),alpha*fck),0)</f>
      </c>
      <c r="AB865" s="30">
        <f>PM_Angle!$J$16+PM_Angle!$K$16*$C865+PM_Angle!$L$16*$B865</f>
      </c>
      <c r="AC865" s="12">
        <f>IF(AB865&gt;0,IF(AB865&lt;=eco,alpha*fck*(1-(1-AB865/eco)^n),alpha*fck),0)</f>
      </c>
      <c r="AD865" s="30">
        <f>PM_Angle!$J$17+PM_Angle!$K$17*$C865+PM_Angle!$L$17*$B865</f>
      </c>
      <c r="AE865" s="12">
        <f>IF(AD865&gt;0,IF(AD865&lt;=eco,alpha*fck*(1-(1-AD865/eco)^n),alpha*fck),0)</f>
      </c>
      <c r="AF865" s="30">
        <f>PM_Angle!$J$18+PM_Angle!$K$18*$C865+PM_Angle!$L$18*$B865</f>
      </c>
      <c r="AG865" s="12">
        <f>IF(AF865&gt;0,IF(AF865&lt;=eco,alpha*fck*(1-(1-AF865/eco)^n),alpha*fck),0)</f>
      </c>
      <c r="AH865" s="30">
        <f>PM_Angle!$J$19+PM_Angle!$K$19*$C865+PM_Angle!$L$19*$B865</f>
      </c>
      <c r="AI865" s="12">
        <f>IF(AH865&gt;0,IF(AH865&lt;=eco,alpha*fck*(1-(1-AH865/eco)^n),alpha*fck),0)</f>
      </c>
      <c r="AJ865" s="30">
        <f>PM_Angle!$J$20+PM_Angle!$K$20*$C865+PM_Angle!$L$20*$B865</f>
      </c>
      <c r="AK865" s="12">
        <f>IF(AJ865&gt;0,IF(AJ865&lt;=eco,alpha*fck*(1-(1-AJ865/eco)^n),alpha*fck),0)</f>
      </c>
      <c r="AL865" s="30">
        <f>PM_Angle!$J$21+PM_Angle!$K$21*$C865+PM_Angle!$L$21*$B865</f>
      </c>
      <c r="AM865" s="12">
        <f>IF(AL865&gt;0,IF(AL865&lt;=eco,alpha*fck*(1-(1-AL865/eco)^n),alpha*fck),0)</f>
      </c>
      <c r="AN865" s="30">
        <f>PM_Angle!$J$22+PM_Angle!$K$22*$C865+PM_Angle!$L$22*$B865</f>
      </c>
      <c r="AO865" s="12">
        <f>IF(AN865&gt;0,IF(AN865&lt;=eco,alpha*fck*(1-(1-AN865/eco)^n),alpha*fck),0)</f>
      </c>
      <c r="AP865" s="30">
        <f>PM_Angle!$J$23+PM_Angle!$K$23*$C865+PM_Angle!$L$23*$B865</f>
      </c>
      <c r="AQ865" s="12">
        <f>IF(AP865&gt;0,IF(AP865&lt;=eco,alpha*fck*(1-(1-AP865/eco)^n),alpha*fck),0)</f>
      </c>
      <c r="AR865" s="30">
        <f>PM_Angle!$J$24+PM_Angle!$K$24*$C865+PM_Angle!$L$24*$B865</f>
      </c>
      <c r="AS865" s="12">
        <f>IF(AR865&gt;0,IF(AR865&lt;=eco,alpha*fck*(1-(1-AR865/eco)^n),alpha*fck),0)</f>
      </c>
      <c r="AT865" s="30">
        <f>PM_Angle!$J$25+PM_Angle!$K$25*$C865+PM_Angle!$L$25*$B865</f>
      </c>
      <c r="AU865" s="12">
        <f>IF(AT865&gt;0,IF(AT865&lt;=eco,alpha*fck*(1-(1-AT865/eco)^n),alpha*fck),0)</f>
      </c>
    </row>
    <row r="866" spans="1:47" x14ac:dyDescent="0.25">
      <c r="A866">
        <f>Mesh!A863</f>
      </c>
      <c r="B866" s="12">
        <f>Mesh!B863</f>
      </c>
      <c r="C866" s="12">
        <f>Mesh!C863</f>
      </c>
      <c r="D866" s="12">
        <f>Mesh!D863</f>
      </c>
      <c r="E866" s="30">
        <f>INDEX(St_e0,Det+1)+INDEX(St_kx,Det+1)*C866+INDEX(St_ky,Det+1)*B866</f>
      </c>
      <c r="F866" s="12">
        <f>IF(E866&gt;0,IF(E866&lt;=eco,alpha*fck*(1-(1-E866/eco)^n),alpha*fck),0)</f>
      </c>
      <c r="G866" s="11">
        <f>F866*D866</f>
      </c>
      <c r="H866" s="11">
        <f>G866*C866</f>
      </c>
      <c r="I866" s="11">
        <f>G866*B866</f>
      </c>
      <c r="J866" s="30">
        <f>PM_Angle!$J$7+PM_Angle!$K$7*$C866+PM_Angle!$L$7*$B866</f>
      </c>
      <c r="K866" s="12">
        <f>IF(J866&gt;0,IF(J866&lt;=eco,alpha*fck*(1-(1-J866/eco)^n),alpha*fck),0)</f>
      </c>
      <c r="L866" s="30">
        <f>PM_Angle!$J$8+PM_Angle!$K$8*$C866+PM_Angle!$L$8*$B866</f>
      </c>
      <c r="M866" s="12">
        <f>IF(L866&gt;0,IF(L866&lt;=eco,alpha*fck*(1-(1-L866/eco)^n),alpha*fck),0)</f>
      </c>
      <c r="N866" s="30">
        <f>PM_Angle!$J$9+PM_Angle!$K$9*$C866+PM_Angle!$L$9*$B866</f>
      </c>
      <c r="O866" s="12">
        <f>IF(N866&gt;0,IF(N866&lt;=eco,alpha*fck*(1-(1-N866/eco)^n),alpha*fck),0)</f>
      </c>
      <c r="P866" s="30">
        <f>PM_Angle!$J$10+PM_Angle!$K$10*$C866+PM_Angle!$L$10*$B866</f>
      </c>
      <c r="Q866" s="12">
        <f>IF(P866&gt;0,IF(P866&lt;=eco,alpha*fck*(1-(1-P866/eco)^n),alpha*fck),0)</f>
      </c>
      <c r="R866" s="30">
        <f>PM_Angle!$J$11+PM_Angle!$K$11*$C866+PM_Angle!$L$11*$B866</f>
      </c>
      <c r="S866" s="12">
        <f>IF(R866&gt;0,IF(R866&lt;=eco,alpha*fck*(1-(1-R866/eco)^n),alpha*fck),0)</f>
      </c>
      <c r="T866" s="30">
        <f>PM_Angle!$J$12+PM_Angle!$K$12*$C866+PM_Angle!$L$12*$B866</f>
      </c>
      <c r="U866" s="12">
        <f>IF(T866&gt;0,IF(T866&lt;=eco,alpha*fck*(1-(1-T866/eco)^n),alpha*fck),0)</f>
      </c>
      <c r="V866" s="30">
        <f>PM_Angle!$J$13+PM_Angle!$K$13*$C866+PM_Angle!$L$13*$B866</f>
      </c>
      <c r="W866" s="12">
        <f>IF(V866&gt;0,IF(V866&lt;=eco,alpha*fck*(1-(1-V866/eco)^n),alpha*fck),0)</f>
      </c>
      <c r="X866" s="30">
        <f>PM_Angle!$J$14+PM_Angle!$K$14*$C866+PM_Angle!$L$14*$B866</f>
      </c>
      <c r="Y866" s="12">
        <f>IF(X866&gt;0,IF(X866&lt;=eco,alpha*fck*(1-(1-X866/eco)^n),alpha*fck),0)</f>
      </c>
      <c r="Z866" s="30">
        <f>PM_Angle!$J$15+PM_Angle!$K$15*$C866+PM_Angle!$L$15*$B866</f>
      </c>
      <c r="AA866" s="12">
        <f>IF(Z866&gt;0,IF(Z866&lt;=eco,alpha*fck*(1-(1-Z866/eco)^n),alpha*fck),0)</f>
      </c>
      <c r="AB866" s="30">
        <f>PM_Angle!$J$16+PM_Angle!$K$16*$C866+PM_Angle!$L$16*$B866</f>
      </c>
      <c r="AC866" s="12">
        <f>IF(AB866&gt;0,IF(AB866&lt;=eco,alpha*fck*(1-(1-AB866/eco)^n),alpha*fck),0)</f>
      </c>
      <c r="AD866" s="30">
        <f>PM_Angle!$J$17+PM_Angle!$K$17*$C866+PM_Angle!$L$17*$B866</f>
      </c>
      <c r="AE866" s="12">
        <f>IF(AD866&gt;0,IF(AD866&lt;=eco,alpha*fck*(1-(1-AD866/eco)^n),alpha*fck),0)</f>
      </c>
      <c r="AF866" s="30">
        <f>PM_Angle!$J$18+PM_Angle!$K$18*$C866+PM_Angle!$L$18*$B866</f>
      </c>
      <c r="AG866" s="12">
        <f>IF(AF866&gt;0,IF(AF866&lt;=eco,alpha*fck*(1-(1-AF866/eco)^n),alpha*fck),0)</f>
      </c>
      <c r="AH866" s="30">
        <f>PM_Angle!$J$19+PM_Angle!$K$19*$C866+PM_Angle!$L$19*$B866</f>
      </c>
      <c r="AI866" s="12">
        <f>IF(AH866&gt;0,IF(AH866&lt;=eco,alpha*fck*(1-(1-AH866/eco)^n),alpha*fck),0)</f>
      </c>
      <c r="AJ866" s="30">
        <f>PM_Angle!$J$20+PM_Angle!$K$20*$C866+PM_Angle!$L$20*$B866</f>
      </c>
      <c r="AK866" s="12">
        <f>IF(AJ866&gt;0,IF(AJ866&lt;=eco,alpha*fck*(1-(1-AJ866/eco)^n),alpha*fck),0)</f>
      </c>
      <c r="AL866" s="30">
        <f>PM_Angle!$J$21+PM_Angle!$K$21*$C866+PM_Angle!$L$21*$B866</f>
      </c>
      <c r="AM866" s="12">
        <f>IF(AL866&gt;0,IF(AL866&lt;=eco,alpha*fck*(1-(1-AL866/eco)^n),alpha*fck),0)</f>
      </c>
      <c r="AN866" s="30">
        <f>PM_Angle!$J$22+PM_Angle!$K$22*$C866+PM_Angle!$L$22*$B866</f>
      </c>
      <c r="AO866" s="12">
        <f>IF(AN866&gt;0,IF(AN866&lt;=eco,alpha*fck*(1-(1-AN866/eco)^n),alpha*fck),0)</f>
      </c>
      <c r="AP866" s="30">
        <f>PM_Angle!$J$23+PM_Angle!$K$23*$C866+PM_Angle!$L$23*$B866</f>
      </c>
      <c r="AQ866" s="12">
        <f>IF(AP866&gt;0,IF(AP866&lt;=eco,alpha*fck*(1-(1-AP866/eco)^n),alpha*fck),0)</f>
      </c>
      <c r="AR866" s="30">
        <f>PM_Angle!$J$24+PM_Angle!$K$24*$C866+PM_Angle!$L$24*$B866</f>
      </c>
      <c r="AS866" s="12">
        <f>IF(AR866&gt;0,IF(AR866&lt;=eco,alpha*fck*(1-(1-AR866/eco)^n),alpha*fck),0)</f>
      </c>
      <c r="AT866" s="30">
        <f>PM_Angle!$J$25+PM_Angle!$K$25*$C866+PM_Angle!$L$25*$B866</f>
      </c>
      <c r="AU866" s="12">
        <f>IF(AT866&gt;0,IF(AT866&lt;=eco,alpha*fck*(1-(1-AT866/eco)^n),alpha*fck),0)</f>
      </c>
    </row>
    <row r="867" spans="1:47" x14ac:dyDescent="0.25">
      <c r="A867">
        <f>Mesh!A864</f>
      </c>
      <c r="B867" s="12">
        <f>Mesh!B864</f>
      </c>
      <c r="C867" s="12">
        <f>Mesh!C864</f>
      </c>
      <c r="D867" s="12">
        <f>Mesh!D864</f>
      </c>
      <c r="E867" s="30">
        <f>INDEX(St_e0,Det+1)+INDEX(St_kx,Det+1)*C867+INDEX(St_ky,Det+1)*B867</f>
      </c>
      <c r="F867" s="12">
        <f>IF(E867&gt;0,IF(E867&lt;=eco,alpha*fck*(1-(1-E867/eco)^n),alpha*fck),0)</f>
      </c>
      <c r="G867" s="11">
        <f>F867*D867</f>
      </c>
      <c r="H867" s="11">
        <f>G867*C867</f>
      </c>
      <c r="I867" s="11">
        <f>G867*B867</f>
      </c>
      <c r="J867" s="30">
        <f>PM_Angle!$J$7+PM_Angle!$K$7*$C867+PM_Angle!$L$7*$B867</f>
      </c>
      <c r="K867" s="12">
        <f>IF(J867&gt;0,IF(J867&lt;=eco,alpha*fck*(1-(1-J867/eco)^n),alpha*fck),0)</f>
      </c>
      <c r="L867" s="30">
        <f>PM_Angle!$J$8+PM_Angle!$K$8*$C867+PM_Angle!$L$8*$B867</f>
      </c>
      <c r="M867" s="12">
        <f>IF(L867&gt;0,IF(L867&lt;=eco,alpha*fck*(1-(1-L867/eco)^n),alpha*fck),0)</f>
      </c>
      <c r="N867" s="30">
        <f>PM_Angle!$J$9+PM_Angle!$K$9*$C867+PM_Angle!$L$9*$B867</f>
      </c>
      <c r="O867" s="12">
        <f>IF(N867&gt;0,IF(N867&lt;=eco,alpha*fck*(1-(1-N867/eco)^n),alpha*fck),0)</f>
      </c>
      <c r="P867" s="30">
        <f>PM_Angle!$J$10+PM_Angle!$K$10*$C867+PM_Angle!$L$10*$B867</f>
      </c>
      <c r="Q867" s="12">
        <f>IF(P867&gt;0,IF(P867&lt;=eco,alpha*fck*(1-(1-P867/eco)^n),alpha*fck),0)</f>
      </c>
      <c r="R867" s="30">
        <f>PM_Angle!$J$11+PM_Angle!$K$11*$C867+PM_Angle!$L$11*$B867</f>
      </c>
      <c r="S867" s="12">
        <f>IF(R867&gt;0,IF(R867&lt;=eco,alpha*fck*(1-(1-R867/eco)^n),alpha*fck),0)</f>
      </c>
      <c r="T867" s="30">
        <f>PM_Angle!$J$12+PM_Angle!$K$12*$C867+PM_Angle!$L$12*$B867</f>
      </c>
      <c r="U867" s="12">
        <f>IF(T867&gt;0,IF(T867&lt;=eco,alpha*fck*(1-(1-T867/eco)^n),alpha*fck),0)</f>
      </c>
      <c r="V867" s="30">
        <f>PM_Angle!$J$13+PM_Angle!$K$13*$C867+PM_Angle!$L$13*$B867</f>
      </c>
      <c r="W867" s="12">
        <f>IF(V867&gt;0,IF(V867&lt;=eco,alpha*fck*(1-(1-V867/eco)^n),alpha*fck),0)</f>
      </c>
      <c r="X867" s="30">
        <f>PM_Angle!$J$14+PM_Angle!$K$14*$C867+PM_Angle!$L$14*$B867</f>
      </c>
      <c r="Y867" s="12">
        <f>IF(X867&gt;0,IF(X867&lt;=eco,alpha*fck*(1-(1-X867/eco)^n),alpha*fck),0)</f>
      </c>
      <c r="Z867" s="30">
        <f>PM_Angle!$J$15+PM_Angle!$K$15*$C867+PM_Angle!$L$15*$B867</f>
      </c>
      <c r="AA867" s="12">
        <f>IF(Z867&gt;0,IF(Z867&lt;=eco,alpha*fck*(1-(1-Z867/eco)^n),alpha*fck),0)</f>
      </c>
      <c r="AB867" s="30">
        <f>PM_Angle!$J$16+PM_Angle!$K$16*$C867+PM_Angle!$L$16*$B867</f>
      </c>
      <c r="AC867" s="12">
        <f>IF(AB867&gt;0,IF(AB867&lt;=eco,alpha*fck*(1-(1-AB867/eco)^n),alpha*fck),0)</f>
      </c>
      <c r="AD867" s="30">
        <f>PM_Angle!$J$17+PM_Angle!$K$17*$C867+PM_Angle!$L$17*$B867</f>
      </c>
      <c r="AE867" s="12">
        <f>IF(AD867&gt;0,IF(AD867&lt;=eco,alpha*fck*(1-(1-AD867/eco)^n),alpha*fck),0)</f>
      </c>
      <c r="AF867" s="30">
        <f>PM_Angle!$J$18+PM_Angle!$K$18*$C867+PM_Angle!$L$18*$B867</f>
      </c>
      <c r="AG867" s="12">
        <f>IF(AF867&gt;0,IF(AF867&lt;=eco,alpha*fck*(1-(1-AF867/eco)^n),alpha*fck),0)</f>
      </c>
      <c r="AH867" s="30">
        <f>PM_Angle!$J$19+PM_Angle!$K$19*$C867+PM_Angle!$L$19*$B867</f>
      </c>
      <c r="AI867" s="12">
        <f>IF(AH867&gt;0,IF(AH867&lt;=eco,alpha*fck*(1-(1-AH867/eco)^n),alpha*fck),0)</f>
      </c>
      <c r="AJ867" s="30">
        <f>PM_Angle!$J$20+PM_Angle!$K$20*$C867+PM_Angle!$L$20*$B867</f>
      </c>
      <c r="AK867" s="12">
        <f>IF(AJ867&gt;0,IF(AJ867&lt;=eco,alpha*fck*(1-(1-AJ867/eco)^n),alpha*fck),0)</f>
      </c>
      <c r="AL867" s="30">
        <f>PM_Angle!$J$21+PM_Angle!$K$21*$C867+PM_Angle!$L$21*$B867</f>
      </c>
      <c r="AM867" s="12">
        <f>IF(AL867&gt;0,IF(AL867&lt;=eco,alpha*fck*(1-(1-AL867/eco)^n),alpha*fck),0)</f>
      </c>
      <c r="AN867" s="30">
        <f>PM_Angle!$J$22+PM_Angle!$K$22*$C867+PM_Angle!$L$22*$B867</f>
      </c>
      <c r="AO867" s="12">
        <f>IF(AN867&gt;0,IF(AN867&lt;=eco,alpha*fck*(1-(1-AN867/eco)^n),alpha*fck),0)</f>
      </c>
      <c r="AP867" s="30">
        <f>PM_Angle!$J$23+PM_Angle!$K$23*$C867+PM_Angle!$L$23*$B867</f>
      </c>
      <c r="AQ867" s="12">
        <f>IF(AP867&gt;0,IF(AP867&lt;=eco,alpha*fck*(1-(1-AP867/eco)^n),alpha*fck),0)</f>
      </c>
      <c r="AR867" s="30">
        <f>PM_Angle!$J$24+PM_Angle!$K$24*$C867+PM_Angle!$L$24*$B867</f>
      </c>
      <c r="AS867" s="12">
        <f>IF(AR867&gt;0,IF(AR867&lt;=eco,alpha*fck*(1-(1-AR867/eco)^n),alpha*fck),0)</f>
      </c>
      <c r="AT867" s="30">
        <f>PM_Angle!$J$25+PM_Angle!$K$25*$C867+PM_Angle!$L$25*$B867</f>
      </c>
      <c r="AU867" s="12">
        <f>IF(AT867&gt;0,IF(AT867&lt;=eco,alpha*fck*(1-(1-AT867/eco)^n),alpha*fck),0)</f>
      </c>
    </row>
    <row r="868" spans="1:47" x14ac:dyDescent="0.25">
      <c r="A868">
        <f>Mesh!A865</f>
      </c>
      <c r="B868" s="12">
        <f>Mesh!B865</f>
      </c>
      <c r="C868" s="12">
        <f>Mesh!C865</f>
      </c>
      <c r="D868" s="12">
        <f>Mesh!D865</f>
      </c>
      <c r="E868" s="30">
        <f>INDEX(St_e0,Det+1)+INDEX(St_kx,Det+1)*C868+INDEX(St_ky,Det+1)*B868</f>
      </c>
      <c r="F868" s="12">
        <f>IF(E868&gt;0,IF(E868&lt;=eco,alpha*fck*(1-(1-E868/eco)^n),alpha*fck),0)</f>
      </c>
      <c r="G868" s="11">
        <f>F868*D868</f>
      </c>
      <c r="H868" s="11">
        <f>G868*C868</f>
      </c>
      <c r="I868" s="11">
        <f>G868*B868</f>
      </c>
      <c r="J868" s="30">
        <f>PM_Angle!$J$7+PM_Angle!$K$7*$C868+PM_Angle!$L$7*$B868</f>
      </c>
      <c r="K868" s="12">
        <f>IF(J868&gt;0,IF(J868&lt;=eco,alpha*fck*(1-(1-J868/eco)^n),alpha*fck),0)</f>
      </c>
      <c r="L868" s="30">
        <f>PM_Angle!$J$8+PM_Angle!$K$8*$C868+PM_Angle!$L$8*$B868</f>
      </c>
      <c r="M868" s="12">
        <f>IF(L868&gt;0,IF(L868&lt;=eco,alpha*fck*(1-(1-L868/eco)^n),alpha*fck),0)</f>
      </c>
      <c r="N868" s="30">
        <f>PM_Angle!$J$9+PM_Angle!$K$9*$C868+PM_Angle!$L$9*$B868</f>
      </c>
      <c r="O868" s="12">
        <f>IF(N868&gt;0,IF(N868&lt;=eco,alpha*fck*(1-(1-N868/eco)^n),alpha*fck),0)</f>
      </c>
      <c r="P868" s="30">
        <f>PM_Angle!$J$10+PM_Angle!$K$10*$C868+PM_Angle!$L$10*$B868</f>
      </c>
      <c r="Q868" s="12">
        <f>IF(P868&gt;0,IF(P868&lt;=eco,alpha*fck*(1-(1-P868/eco)^n),alpha*fck),0)</f>
      </c>
      <c r="R868" s="30">
        <f>PM_Angle!$J$11+PM_Angle!$K$11*$C868+PM_Angle!$L$11*$B868</f>
      </c>
      <c r="S868" s="12">
        <f>IF(R868&gt;0,IF(R868&lt;=eco,alpha*fck*(1-(1-R868/eco)^n),alpha*fck),0)</f>
      </c>
      <c r="T868" s="30">
        <f>PM_Angle!$J$12+PM_Angle!$K$12*$C868+PM_Angle!$L$12*$B868</f>
      </c>
      <c r="U868" s="12">
        <f>IF(T868&gt;0,IF(T868&lt;=eco,alpha*fck*(1-(1-T868/eco)^n),alpha*fck),0)</f>
      </c>
      <c r="V868" s="30">
        <f>PM_Angle!$J$13+PM_Angle!$K$13*$C868+PM_Angle!$L$13*$B868</f>
      </c>
      <c r="W868" s="12">
        <f>IF(V868&gt;0,IF(V868&lt;=eco,alpha*fck*(1-(1-V868/eco)^n),alpha*fck),0)</f>
      </c>
      <c r="X868" s="30">
        <f>PM_Angle!$J$14+PM_Angle!$K$14*$C868+PM_Angle!$L$14*$B868</f>
      </c>
      <c r="Y868" s="12">
        <f>IF(X868&gt;0,IF(X868&lt;=eco,alpha*fck*(1-(1-X868/eco)^n),alpha*fck),0)</f>
      </c>
      <c r="Z868" s="30">
        <f>PM_Angle!$J$15+PM_Angle!$K$15*$C868+PM_Angle!$L$15*$B868</f>
      </c>
      <c r="AA868" s="12">
        <f>IF(Z868&gt;0,IF(Z868&lt;=eco,alpha*fck*(1-(1-Z868/eco)^n),alpha*fck),0)</f>
      </c>
      <c r="AB868" s="30">
        <f>PM_Angle!$J$16+PM_Angle!$K$16*$C868+PM_Angle!$L$16*$B868</f>
      </c>
      <c r="AC868" s="12">
        <f>IF(AB868&gt;0,IF(AB868&lt;=eco,alpha*fck*(1-(1-AB868/eco)^n),alpha*fck),0)</f>
      </c>
      <c r="AD868" s="30">
        <f>PM_Angle!$J$17+PM_Angle!$K$17*$C868+PM_Angle!$L$17*$B868</f>
      </c>
      <c r="AE868" s="12">
        <f>IF(AD868&gt;0,IF(AD868&lt;=eco,alpha*fck*(1-(1-AD868/eco)^n),alpha*fck),0)</f>
      </c>
      <c r="AF868" s="30">
        <f>PM_Angle!$J$18+PM_Angle!$K$18*$C868+PM_Angle!$L$18*$B868</f>
      </c>
      <c r="AG868" s="12">
        <f>IF(AF868&gt;0,IF(AF868&lt;=eco,alpha*fck*(1-(1-AF868/eco)^n),alpha*fck),0)</f>
      </c>
      <c r="AH868" s="30">
        <f>PM_Angle!$J$19+PM_Angle!$K$19*$C868+PM_Angle!$L$19*$B868</f>
      </c>
      <c r="AI868" s="12">
        <f>IF(AH868&gt;0,IF(AH868&lt;=eco,alpha*fck*(1-(1-AH868/eco)^n),alpha*fck),0)</f>
      </c>
      <c r="AJ868" s="30">
        <f>PM_Angle!$J$20+PM_Angle!$K$20*$C868+PM_Angle!$L$20*$B868</f>
      </c>
      <c r="AK868" s="12">
        <f>IF(AJ868&gt;0,IF(AJ868&lt;=eco,alpha*fck*(1-(1-AJ868/eco)^n),alpha*fck),0)</f>
      </c>
      <c r="AL868" s="30">
        <f>PM_Angle!$J$21+PM_Angle!$K$21*$C868+PM_Angle!$L$21*$B868</f>
      </c>
      <c r="AM868" s="12">
        <f>IF(AL868&gt;0,IF(AL868&lt;=eco,alpha*fck*(1-(1-AL868/eco)^n),alpha*fck),0)</f>
      </c>
      <c r="AN868" s="30">
        <f>PM_Angle!$J$22+PM_Angle!$K$22*$C868+PM_Angle!$L$22*$B868</f>
      </c>
      <c r="AO868" s="12">
        <f>IF(AN868&gt;0,IF(AN868&lt;=eco,alpha*fck*(1-(1-AN868/eco)^n),alpha*fck),0)</f>
      </c>
      <c r="AP868" s="30">
        <f>PM_Angle!$J$23+PM_Angle!$K$23*$C868+PM_Angle!$L$23*$B868</f>
      </c>
      <c r="AQ868" s="12">
        <f>IF(AP868&gt;0,IF(AP868&lt;=eco,alpha*fck*(1-(1-AP868/eco)^n),alpha*fck),0)</f>
      </c>
      <c r="AR868" s="30">
        <f>PM_Angle!$J$24+PM_Angle!$K$24*$C868+PM_Angle!$L$24*$B868</f>
      </c>
      <c r="AS868" s="12">
        <f>IF(AR868&gt;0,IF(AR868&lt;=eco,alpha*fck*(1-(1-AR868/eco)^n),alpha*fck),0)</f>
      </c>
      <c r="AT868" s="30">
        <f>PM_Angle!$J$25+PM_Angle!$K$25*$C868+PM_Angle!$L$25*$B868</f>
      </c>
      <c r="AU868" s="12">
        <f>IF(AT868&gt;0,IF(AT868&lt;=eco,alpha*fck*(1-(1-AT868/eco)^n),alpha*fck),0)</f>
      </c>
    </row>
    <row r="869" spans="1:47" x14ac:dyDescent="0.25">
      <c r="A869">
        <f>Mesh!A866</f>
      </c>
      <c r="B869" s="12">
        <f>Mesh!B866</f>
      </c>
      <c r="C869" s="12">
        <f>Mesh!C866</f>
      </c>
      <c r="D869" s="12">
        <f>Mesh!D866</f>
      </c>
      <c r="E869" s="30">
        <f>INDEX(St_e0,Det+1)+INDEX(St_kx,Det+1)*C869+INDEX(St_ky,Det+1)*B869</f>
      </c>
      <c r="F869" s="12">
        <f>IF(E869&gt;0,IF(E869&lt;=eco,alpha*fck*(1-(1-E869/eco)^n),alpha*fck),0)</f>
      </c>
      <c r="G869" s="11">
        <f>F869*D869</f>
      </c>
      <c r="H869" s="11">
        <f>G869*C869</f>
      </c>
      <c r="I869" s="11">
        <f>G869*B869</f>
      </c>
      <c r="J869" s="30">
        <f>PM_Angle!$J$7+PM_Angle!$K$7*$C869+PM_Angle!$L$7*$B869</f>
      </c>
      <c r="K869" s="12">
        <f>IF(J869&gt;0,IF(J869&lt;=eco,alpha*fck*(1-(1-J869/eco)^n),alpha*fck),0)</f>
      </c>
      <c r="L869" s="30">
        <f>PM_Angle!$J$8+PM_Angle!$K$8*$C869+PM_Angle!$L$8*$B869</f>
      </c>
      <c r="M869" s="12">
        <f>IF(L869&gt;0,IF(L869&lt;=eco,alpha*fck*(1-(1-L869/eco)^n),alpha*fck),0)</f>
      </c>
      <c r="N869" s="30">
        <f>PM_Angle!$J$9+PM_Angle!$K$9*$C869+PM_Angle!$L$9*$B869</f>
      </c>
      <c r="O869" s="12">
        <f>IF(N869&gt;0,IF(N869&lt;=eco,alpha*fck*(1-(1-N869/eco)^n),alpha*fck),0)</f>
      </c>
      <c r="P869" s="30">
        <f>PM_Angle!$J$10+PM_Angle!$K$10*$C869+PM_Angle!$L$10*$B869</f>
      </c>
      <c r="Q869" s="12">
        <f>IF(P869&gt;0,IF(P869&lt;=eco,alpha*fck*(1-(1-P869/eco)^n),alpha*fck),0)</f>
      </c>
      <c r="R869" s="30">
        <f>PM_Angle!$J$11+PM_Angle!$K$11*$C869+PM_Angle!$L$11*$B869</f>
      </c>
      <c r="S869" s="12">
        <f>IF(R869&gt;0,IF(R869&lt;=eco,alpha*fck*(1-(1-R869/eco)^n),alpha*fck),0)</f>
      </c>
      <c r="T869" s="30">
        <f>PM_Angle!$J$12+PM_Angle!$K$12*$C869+PM_Angle!$L$12*$B869</f>
      </c>
      <c r="U869" s="12">
        <f>IF(T869&gt;0,IF(T869&lt;=eco,alpha*fck*(1-(1-T869/eco)^n),alpha*fck),0)</f>
      </c>
      <c r="V869" s="30">
        <f>PM_Angle!$J$13+PM_Angle!$K$13*$C869+PM_Angle!$L$13*$B869</f>
      </c>
      <c r="W869" s="12">
        <f>IF(V869&gt;0,IF(V869&lt;=eco,alpha*fck*(1-(1-V869/eco)^n),alpha*fck),0)</f>
      </c>
      <c r="X869" s="30">
        <f>PM_Angle!$J$14+PM_Angle!$K$14*$C869+PM_Angle!$L$14*$B869</f>
      </c>
      <c r="Y869" s="12">
        <f>IF(X869&gt;0,IF(X869&lt;=eco,alpha*fck*(1-(1-X869/eco)^n),alpha*fck),0)</f>
      </c>
      <c r="Z869" s="30">
        <f>PM_Angle!$J$15+PM_Angle!$K$15*$C869+PM_Angle!$L$15*$B869</f>
      </c>
      <c r="AA869" s="12">
        <f>IF(Z869&gt;0,IF(Z869&lt;=eco,alpha*fck*(1-(1-Z869/eco)^n),alpha*fck),0)</f>
      </c>
      <c r="AB869" s="30">
        <f>PM_Angle!$J$16+PM_Angle!$K$16*$C869+PM_Angle!$L$16*$B869</f>
      </c>
      <c r="AC869" s="12">
        <f>IF(AB869&gt;0,IF(AB869&lt;=eco,alpha*fck*(1-(1-AB869/eco)^n),alpha*fck),0)</f>
      </c>
      <c r="AD869" s="30">
        <f>PM_Angle!$J$17+PM_Angle!$K$17*$C869+PM_Angle!$L$17*$B869</f>
      </c>
      <c r="AE869" s="12">
        <f>IF(AD869&gt;0,IF(AD869&lt;=eco,alpha*fck*(1-(1-AD869/eco)^n),alpha*fck),0)</f>
      </c>
      <c r="AF869" s="30">
        <f>PM_Angle!$J$18+PM_Angle!$K$18*$C869+PM_Angle!$L$18*$B869</f>
      </c>
      <c r="AG869" s="12">
        <f>IF(AF869&gt;0,IF(AF869&lt;=eco,alpha*fck*(1-(1-AF869/eco)^n),alpha*fck),0)</f>
      </c>
      <c r="AH869" s="30">
        <f>PM_Angle!$J$19+PM_Angle!$K$19*$C869+PM_Angle!$L$19*$B869</f>
      </c>
      <c r="AI869" s="12">
        <f>IF(AH869&gt;0,IF(AH869&lt;=eco,alpha*fck*(1-(1-AH869/eco)^n),alpha*fck),0)</f>
      </c>
      <c r="AJ869" s="30">
        <f>PM_Angle!$J$20+PM_Angle!$K$20*$C869+PM_Angle!$L$20*$B869</f>
      </c>
      <c r="AK869" s="12">
        <f>IF(AJ869&gt;0,IF(AJ869&lt;=eco,alpha*fck*(1-(1-AJ869/eco)^n),alpha*fck),0)</f>
      </c>
      <c r="AL869" s="30">
        <f>PM_Angle!$J$21+PM_Angle!$K$21*$C869+PM_Angle!$L$21*$B869</f>
      </c>
      <c r="AM869" s="12">
        <f>IF(AL869&gt;0,IF(AL869&lt;=eco,alpha*fck*(1-(1-AL869/eco)^n),alpha*fck),0)</f>
      </c>
      <c r="AN869" s="30">
        <f>PM_Angle!$J$22+PM_Angle!$K$22*$C869+PM_Angle!$L$22*$B869</f>
      </c>
      <c r="AO869" s="12">
        <f>IF(AN869&gt;0,IF(AN869&lt;=eco,alpha*fck*(1-(1-AN869/eco)^n),alpha*fck),0)</f>
      </c>
      <c r="AP869" s="30">
        <f>PM_Angle!$J$23+PM_Angle!$K$23*$C869+PM_Angle!$L$23*$B869</f>
      </c>
      <c r="AQ869" s="12">
        <f>IF(AP869&gt;0,IF(AP869&lt;=eco,alpha*fck*(1-(1-AP869/eco)^n),alpha*fck),0)</f>
      </c>
      <c r="AR869" s="30">
        <f>PM_Angle!$J$24+PM_Angle!$K$24*$C869+PM_Angle!$L$24*$B869</f>
      </c>
      <c r="AS869" s="12">
        <f>IF(AR869&gt;0,IF(AR869&lt;=eco,alpha*fck*(1-(1-AR869/eco)^n),alpha*fck),0)</f>
      </c>
      <c r="AT869" s="30">
        <f>PM_Angle!$J$25+PM_Angle!$K$25*$C869+PM_Angle!$L$25*$B869</f>
      </c>
      <c r="AU869" s="12">
        <f>IF(AT869&gt;0,IF(AT869&lt;=eco,alpha*fck*(1-(1-AT869/eco)^n),alpha*fck),0)</f>
      </c>
    </row>
    <row r="870" spans="1:47" x14ac:dyDescent="0.25">
      <c r="A870">
        <f>Mesh!A867</f>
      </c>
      <c r="B870" s="12">
        <f>Mesh!B867</f>
      </c>
      <c r="C870" s="12">
        <f>Mesh!C867</f>
      </c>
      <c r="D870" s="12">
        <f>Mesh!D867</f>
      </c>
      <c r="E870" s="30">
        <f>INDEX(St_e0,Det+1)+INDEX(St_kx,Det+1)*C870+INDEX(St_ky,Det+1)*B870</f>
      </c>
      <c r="F870" s="12">
        <f>IF(E870&gt;0,IF(E870&lt;=eco,alpha*fck*(1-(1-E870/eco)^n),alpha*fck),0)</f>
      </c>
      <c r="G870" s="11">
        <f>F870*D870</f>
      </c>
      <c r="H870" s="11">
        <f>G870*C870</f>
      </c>
      <c r="I870" s="11">
        <f>G870*B870</f>
      </c>
      <c r="J870" s="30">
        <f>PM_Angle!$J$7+PM_Angle!$K$7*$C870+PM_Angle!$L$7*$B870</f>
      </c>
      <c r="K870" s="12">
        <f>IF(J870&gt;0,IF(J870&lt;=eco,alpha*fck*(1-(1-J870/eco)^n),alpha*fck),0)</f>
      </c>
      <c r="L870" s="30">
        <f>PM_Angle!$J$8+PM_Angle!$K$8*$C870+PM_Angle!$L$8*$B870</f>
      </c>
      <c r="M870" s="12">
        <f>IF(L870&gt;0,IF(L870&lt;=eco,alpha*fck*(1-(1-L870/eco)^n),alpha*fck),0)</f>
      </c>
      <c r="N870" s="30">
        <f>PM_Angle!$J$9+PM_Angle!$K$9*$C870+PM_Angle!$L$9*$B870</f>
      </c>
      <c r="O870" s="12">
        <f>IF(N870&gt;0,IF(N870&lt;=eco,alpha*fck*(1-(1-N870/eco)^n),alpha*fck),0)</f>
      </c>
      <c r="P870" s="30">
        <f>PM_Angle!$J$10+PM_Angle!$K$10*$C870+PM_Angle!$L$10*$B870</f>
      </c>
      <c r="Q870" s="12">
        <f>IF(P870&gt;0,IF(P870&lt;=eco,alpha*fck*(1-(1-P870/eco)^n),alpha*fck),0)</f>
      </c>
      <c r="R870" s="30">
        <f>PM_Angle!$J$11+PM_Angle!$K$11*$C870+PM_Angle!$L$11*$B870</f>
      </c>
      <c r="S870" s="12">
        <f>IF(R870&gt;0,IF(R870&lt;=eco,alpha*fck*(1-(1-R870/eco)^n),alpha*fck),0)</f>
      </c>
      <c r="T870" s="30">
        <f>PM_Angle!$J$12+PM_Angle!$K$12*$C870+PM_Angle!$L$12*$B870</f>
      </c>
      <c r="U870" s="12">
        <f>IF(T870&gt;0,IF(T870&lt;=eco,alpha*fck*(1-(1-T870/eco)^n),alpha*fck),0)</f>
      </c>
      <c r="V870" s="30">
        <f>PM_Angle!$J$13+PM_Angle!$K$13*$C870+PM_Angle!$L$13*$B870</f>
      </c>
      <c r="W870" s="12">
        <f>IF(V870&gt;0,IF(V870&lt;=eco,alpha*fck*(1-(1-V870/eco)^n),alpha*fck),0)</f>
      </c>
      <c r="X870" s="30">
        <f>PM_Angle!$J$14+PM_Angle!$K$14*$C870+PM_Angle!$L$14*$B870</f>
      </c>
      <c r="Y870" s="12">
        <f>IF(X870&gt;0,IF(X870&lt;=eco,alpha*fck*(1-(1-X870/eco)^n),alpha*fck),0)</f>
      </c>
      <c r="Z870" s="30">
        <f>PM_Angle!$J$15+PM_Angle!$K$15*$C870+PM_Angle!$L$15*$B870</f>
      </c>
      <c r="AA870" s="12">
        <f>IF(Z870&gt;0,IF(Z870&lt;=eco,alpha*fck*(1-(1-Z870/eco)^n),alpha*fck),0)</f>
      </c>
      <c r="AB870" s="30">
        <f>PM_Angle!$J$16+PM_Angle!$K$16*$C870+PM_Angle!$L$16*$B870</f>
      </c>
      <c r="AC870" s="12">
        <f>IF(AB870&gt;0,IF(AB870&lt;=eco,alpha*fck*(1-(1-AB870/eco)^n),alpha*fck),0)</f>
      </c>
      <c r="AD870" s="30">
        <f>PM_Angle!$J$17+PM_Angle!$K$17*$C870+PM_Angle!$L$17*$B870</f>
      </c>
      <c r="AE870" s="12">
        <f>IF(AD870&gt;0,IF(AD870&lt;=eco,alpha*fck*(1-(1-AD870/eco)^n),alpha*fck),0)</f>
      </c>
      <c r="AF870" s="30">
        <f>PM_Angle!$J$18+PM_Angle!$K$18*$C870+PM_Angle!$L$18*$B870</f>
      </c>
      <c r="AG870" s="12">
        <f>IF(AF870&gt;0,IF(AF870&lt;=eco,alpha*fck*(1-(1-AF870/eco)^n),alpha*fck),0)</f>
      </c>
      <c r="AH870" s="30">
        <f>PM_Angle!$J$19+PM_Angle!$K$19*$C870+PM_Angle!$L$19*$B870</f>
      </c>
      <c r="AI870" s="12">
        <f>IF(AH870&gt;0,IF(AH870&lt;=eco,alpha*fck*(1-(1-AH870/eco)^n),alpha*fck),0)</f>
      </c>
      <c r="AJ870" s="30">
        <f>PM_Angle!$J$20+PM_Angle!$K$20*$C870+PM_Angle!$L$20*$B870</f>
      </c>
      <c r="AK870" s="12">
        <f>IF(AJ870&gt;0,IF(AJ870&lt;=eco,alpha*fck*(1-(1-AJ870/eco)^n),alpha*fck),0)</f>
      </c>
      <c r="AL870" s="30">
        <f>PM_Angle!$J$21+PM_Angle!$K$21*$C870+PM_Angle!$L$21*$B870</f>
      </c>
      <c r="AM870" s="12">
        <f>IF(AL870&gt;0,IF(AL870&lt;=eco,alpha*fck*(1-(1-AL870/eco)^n),alpha*fck),0)</f>
      </c>
      <c r="AN870" s="30">
        <f>PM_Angle!$J$22+PM_Angle!$K$22*$C870+PM_Angle!$L$22*$B870</f>
      </c>
      <c r="AO870" s="12">
        <f>IF(AN870&gt;0,IF(AN870&lt;=eco,alpha*fck*(1-(1-AN870/eco)^n),alpha*fck),0)</f>
      </c>
      <c r="AP870" s="30">
        <f>PM_Angle!$J$23+PM_Angle!$K$23*$C870+PM_Angle!$L$23*$B870</f>
      </c>
      <c r="AQ870" s="12">
        <f>IF(AP870&gt;0,IF(AP870&lt;=eco,alpha*fck*(1-(1-AP870/eco)^n),alpha*fck),0)</f>
      </c>
      <c r="AR870" s="30">
        <f>PM_Angle!$J$24+PM_Angle!$K$24*$C870+PM_Angle!$L$24*$B870</f>
      </c>
      <c r="AS870" s="12">
        <f>IF(AR870&gt;0,IF(AR870&lt;=eco,alpha*fck*(1-(1-AR870/eco)^n),alpha*fck),0)</f>
      </c>
      <c r="AT870" s="30">
        <f>PM_Angle!$J$25+PM_Angle!$K$25*$C870+PM_Angle!$L$25*$B870</f>
      </c>
      <c r="AU870" s="12">
        <f>IF(AT870&gt;0,IF(AT870&lt;=eco,alpha*fck*(1-(1-AT870/eco)^n),alpha*fck),0)</f>
      </c>
    </row>
    <row r="871" spans="1:47" x14ac:dyDescent="0.25">
      <c r="A871">
        <f>Mesh!A868</f>
      </c>
      <c r="B871" s="12">
        <f>Mesh!B868</f>
      </c>
      <c r="C871" s="12">
        <f>Mesh!C868</f>
      </c>
      <c r="D871" s="12">
        <f>Mesh!D868</f>
      </c>
      <c r="E871" s="30">
        <f>INDEX(St_e0,Det+1)+INDEX(St_kx,Det+1)*C871+INDEX(St_ky,Det+1)*B871</f>
      </c>
      <c r="F871" s="12">
        <f>IF(E871&gt;0,IF(E871&lt;=eco,alpha*fck*(1-(1-E871/eco)^n),alpha*fck),0)</f>
      </c>
      <c r="G871" s="11">
        <f>F871*D871</f>
      </c>
      <c r="H871" s="11">
        <f>G871*C871</f>
      </c>
      <c r="I871" s="11">
        <f>G871*B871</f>
      </c>
      <c r="J871" s="30">
        <f>PM_Angle!$J$7+PM_Angle!$K$7*$C871+PM_Angle!$L$7*$B871</f>
      </c>
      <c r="K871" s="12">
        <f>IF(J871&gt;0,IF(J871&lt;=eco,alpha*fck*(1-(1-J871/eco)^n),alpha*fck),0)</f>
      </c>
      <c r="L871" s="30">
        <f>PM_Angle!$J$8+PM_Angle!$K$8*$C871+PM_Angle!$L$8*$B871</f>
      </c>
      <c r="M871" s="12">
        <f>IF(L871&gt;0,IF(L871&lt;=eco,alpha*fck*(1-(1-L871/eco)^n),alpha*fck),0)</f>
      </c>
      <c r="N871" s="30">
        <f>PM_Angle!$J$9+PM_Angle!$K$9*$C871+PM_Angle!$L$9*$B871</f>
      </c>
      <c r="O871" s="12">
        <f>IF(N871&gt;0,IF(N871&lt;=eco,alpha*fck*(1-(1-N871/eco)^n),alpha*fck),0)</f>
      </c>
      <c r="P871" s="30">
        <f>PM_Angle!$J$10+PM_Angle!$K$10*$C871+PM_Angle!$L$10*$B871</f>
      </c>
      <c r="Q871" s="12">
        <f>IF(P871&gt;0,IF(P871&lt;=eco,alpha*fck*(1-(1-P871/eco)^n),alpha*fck),0)</f>
      </c>
      <c r="R871" s="30">
        <f>PM_Angle!$J$11+PM_Angle!$K$11*$C871+PM_Angle!$L$11*$B871</f>
      </c>
      <c r="S871" s="12">
        <f>IF(R871&gt;0,IF(R871&lt;=eco,alpha*fck*(1-(1-R871/eco)^n),alpha*fck),0)</f>
      </c>
      <c r="T871" s="30">
        <f>PM_Angle!$J$12+PM_Angle!$K$12*$C871+PM_Angle!$L$12*$B871</f>
      </c>
      <c r="U871" s="12">
        <f>IF(T871&gt;0,IF(T871&lt;=eco,alpha*fck*(1-(1-T871/eco)^n),alpha*fck),0)</f>
      </c>
      <c r="V871" s="30">
        <f>PM_Angle!$J$13+PM_Angle!$K$13*$C871+PM_Angle!$L$13*$B871</f>
      </c>
      <c r="W871" s="12">
        <f>IF(V871&gt;0,IF(V871&lt;=eco,alpha*fck*(1-(1-V871/eco)^n),alpha*fck),0)</f>
      </c>
      <c r="X871" s="30">
        <f>PM_Angle!$J$14+PM_Angle!$K$14*$C871+PM_Angle!$L$14*$B871</f>
      </c>
      <c r="Y871" s="12">
        <f>IF(X871&gt;0,IF(X871&lt;=eco,alpha*fck*(1-(1-X871/eco)^n),alpha*fck),0)</f>
      </c>
      <c r="Z871" s="30">
        <f>PM_Angle!$J$15+PM_Angle!$K$15*$C871+PM_Angle!$L$15*$B871</f>
      </c>
      <c r="AA871" s="12">
        <f>IF(Z871&gt;0,IF(Z871&lt;=eco,alpha*fck*(1-(1-Z871/eco)^n),alpha*fck),0)</f>
      </c>
      <c r="AB871" s="30">
        <f>PM_Angle!$J$16+PM_Angle!$K$16*$C871+PM_Angle!$L$16*$B871</f>
      </c>
      <c r="AC871" s="12">
        <f>IF(AB871&gt;0,IF(AB871&lt;=eco,alpha*fck*(1-(1-AB871/eco)^n),alpha*fck),0)</f>
      </c>
      <c r="AD871" s="30">
        <f>PM_Angle!$J$17+PM_Angle!$K$17*$C871+PM_Angle!$L$17*$B871</f>
      </c>
      <c r="AE871" s="12">
        <f>IF(AD871&gt;0,IF(AD871&lt;=eco,alpha*fck*(1-(1-AD871/eco)^n),alpha*fck),0)</f>
      </c>
      <c r="AF871" s="30">
        <f>PM_Angle!$J$18+PM_Angle!$K$18*$C871+PM_Angle!$L$18*$B871</f>
      </c>
      <c r="AG871" s="12">
        <f>IF(AF871&gt;0,IF(AF871&lt;=eco,alpha*fck*(1-(1-AF871/eco)^n),alpha*fck),0)</f>
      </c>
      <c r="AH871" s="30">
        <f>PM_Angle!$J$19+PM_Angle!$K$19*$C871+PM_Angle!$L$19*$B871</f>
      </c>
      <c r="AI871" s="12">
        <f>IF(AH871&gt;0,IF(AH871&lt;=eco,alpha*fck*(1-(1-AH871/eco)^n),alpha*fck),0)</f>
      </c>
      <c r="AJ871" s="30">
        <f>PM_Angle!$J$20+PM_Angle!$K$20*$C871+PM_Angle!$L$20*$B871</f>
      </c>
      <c r="AK871" s="12">
        <f>IF(AJ871&gt;0,IF(AJ871&lt;=eco,alpha*fck*(1-(1-AJ871/eco)^n),alpha*fck),0)</f>
      </c>
      <c r="AL871" s="30">
        <f>PM_Angle!$J$21+PM_Angle!$K$21*$C871+PM_Angle!$L$21*$B871</f>
      </c>
      <c r="AM871" s="12">
        <f>IF(AL871&gt;0,IF(AL871&lt;=eco,alpha*fck*(1-(1-AL871/eco)^n),alpha*fck),0)</f>
      </c>
      <c r="AN871" s="30">
        <f>PM_Angle!$J$22+PM_Angle!$K$22*$C871+PM_Angle!$L$22*$B871</f>
      </c>
      <c r="AO871" s="12">
        <f>IF(AN871&gt;0,IF(AN871&lt;=eco,alpha*fck*(1-(1-AN871/eco)^n),alpha*fck),0)</f>
      </c>
      <c r="AP871" s="30">
        <f>PM_Angle!$J$23+PM_Angle!$K$23*$C871+PM_Angle!$L$23*$B871</f>
      </c>
      <c r="AQ871" s="12">
        <f>IF(AP871&gt;0,IF(AP871&lt;=eco,alpha*fck*(1-(1-AP871/eco)^n),alpha*fck),0)</f>
      </c>
      <c r="AR871" s="30">
        <f>PM_Angle!$J$24+PM_Angle!$K$24*$C871+PM_Angle!$L$24*$B871</f>
      </c>
      <c r="AS871" s="12">
        <f>IF(AR871&gt;0,IF(AR871&lt;=eco,alpha*fck*(1-(1-AR871/eco)^n),alpha*fck),0)</f>
      </c>
      <c r="AT871" s="30">
        <f>PM_Angle!$J$25+PM_Angle!$K$25*$C871+PM_Angle!$L$25*$B871</f>
      </c>
      <c r="AU871" s="12">
        <f>IF(AT871&gt;0,IF(AT871&lt;=eco,alpha*fck*(1-(1-AT871/eco)^n),alpha*fck),0)</f>
      </c>
    </row>
    <row r="872" spans="1:47" x14ac:dyDescent="0.25">
      <c r="A872">
        <f>Mesh!A869</f>
      </c>
      <c r="B872" s="12">
        <f>Mesh!B869</f>
      </c>
      <c r="C872" s="12">
        <f>Mesh!C869</f>
      </c>
      <c r="D872" s="12">
        <f>Mesh!D869</f>
      </c>
      <c r="E872" s="30">
        <f>INDEX(St_e0,Det+1)+INDEX(St_kx,Det+1)*C872+INDEX(St_ky,Det+1)*B872</f>
      </c>
      <c r="F872" s="12">
        <f>IF(E872&gt;0,IF(E872&lt;=eco,alpha*fck*(1-(1-E872/eco)^n),alpha*fck),0)</f>
      </c>
      <c r="G872" s="11">
        <f>F872*D872</f>
      </c>
      <c r="H872" s="11">
        <f>G872*C872</f>
      </c>
      <c r="I872" s="11">
        <f>G872*B872</f>
      </c>
      <c r="J872" s="30">
        <f>PM_Angle!$J$7+PM_Angle!$K$7*$C872+PM_Angle!$L$7*$B872</f>
      </c>
      <c r="K872" s="12">
        <f>IF(J872&gt;0,IF(J872&lt;=eco,alpha*fck*(1-(1-J872/eco)^n),alpha*fck),0)</f>
      </c>
      <c r="L872" s="30">
        <f>PM_Angle!$J$8+PM_Angle!$K$8*$C872+PM_Angle!$L$8*$B872</f>
      </c>
      <c r="M872" s="12">
        <f>IF(L872&gt;0,IF(L872&lt;=eco,alpha*fck*(1-(1-L872/eco)^n),alpha*fck),0)</f>
      </c>
      <c r="N872" s="30">
        <f>PM_Angle!$J$9+PM_Angle!$K$9*$C872+PM_Angle!$L$9*$B872</f>
      </c>
      <c r="O872" s="12">
        <f>IF(N872&gt;0,IF(N872&lt;=eco,alpha*fck*(1-(1-N872/eco)^n),alpha*fck),0)</f>
      </c>
      <c r="P872" s="30">
        <f>PM_Angle!$J$10+PM_Angle!$K$10*$C872+PM_Angle!$L$10*$B872</f>
      </c>
      <c r="Q872" s="12">
        <f>IF(P872&gt;0,IF(P872&lt;=eco,alpha*fck*(1-(1-P872/eco)^n),alpha*fck),0)</f>
      </c>
      <c r="R872" s="30">
        <f>PM_Angle!$J$11+PM_Angle!$K$11*$C872+PM_Angle!$L$11*$B872</f>
      </c>
      <c r="S872" s="12">
        <f>IF(R872&gt;0,IF(R872&lt;=eco,alpha*fck*(1-(1-R872/eco)^n),alpha*fck),0)</f>
      </c>
      <c r="T872" s="30">
        <f>PM_Angle!$J$12+PM_Angle!$K$12*$C872+PM_Angle!$L$12*$B872</f>
      </c>
      <c r="U872" s="12">
        <f>IF(T872&gt;0,IF(T872&lt;=eco,alpha*fck*(1-(1-T872/eco)^n),alpha*fck),0)</f>
      </c>
      <c r="V872" s="30">
        <f>PM_Angle!$J$13+PM_Angle!$K$13*$C872+PM_Angle!$L$13*$B872</f>
      </c>
      <c r="W872" s="12">
        <f>IF(V872&gt;0,IF(V872&lt;=eco,alpha*fck*(1-(1-V872/eco)^n),alpha*fck),0)</f>
      </c>
      <c r="X872" s="30">
        <f>PM_Angle!$J$14+PM_Angle!$K$14*$C872+PM_Angle!$L$14*$B872</f>
      </c>
      <c r="Y872" s="12">
        <f>IF(X872&gt;0,IF(X872&lt;=eco,alpha*fck*(1-(1-X872/eco)^n),alpha*fck),0)</f>
      </c>
      <c r="Z872" s="30">
        <f>PM_Angle!$J$15+PM_Angle!$K$15*$C872+PM_Angle!$L$15*$B872</f>
      </c>
      <c r="AA872" s="12">
        <f>IF(Z872&gt;0,IF(Z872&lt;=eco,alpha*fck*(1-(1-Z872/eco)^n),alpha*fck),0)</f>
      </c>
      <c r="AB872" s="30">
        <f>PM_Angle!$J$16+PM_Angle!$K$16*$C872+PM_Angle!$L$16*$B872</f>
      </c>
      <c r="AC872" s="12">
        <f>IF(AB872&gt;0,IF(AB872&lt;=eco,alpha*fck*(1-(1-AB872/eco)^n),alpha*fck),0)</f>
      </c>
      <c r="AD872" s="30">
        <f>PM_Angle!$J$17+PM_Angle!$K$17*$C872+PM_Angle!$L$17*$B872</f>
      </c>
      <c r="AE872" s="12">
        <f>IF(AD872&gt;0,IF(AD872&lt;=eco,alpha*fck*(1-(1-AD872/eco)^n),alpha*fck),0)</f>
      </c>
      <c r="AF872" s="30">
        <f>PM_Angle!$J$18+PM_Angle!$K$18*$C872+PM_Angle!$L$18*$B872</f>
      </c>
      <c r="AG872" s="12">
        <f>IF(AF872&gt;0,IF(AF872&lt;=eco,alpha*fck*(1-(1-AF872/eco)^n),alpha*fck),0)</f>
      </c>
      <c r="AH872" s="30">
        <f>PM_Angle!$J$19+PM_Angle!$K$19*$C872+PM_Angle!$L$19*$B872</f>
      </c>
      <c r="AI872" s="12">
        <f>IF(AH872&gt;0,IF(AH872&lt;=eco,alpha*fck*(1-(1-AH872/eco)^n),alpha*fck),0)</f>
      </c>
      <c r="AJ872" s="30">
        <f>PM_Angle!$J$20+PM_Angle!$K$20*$C872+PM_Angle!$L$20*$B872</f>
      </c>
      <c r="AK872" s="12">
        <f>IF(AJ872&gt;0,IF(AJ872&lt;=eco,alpha*fck*(1-(1-AJ872/eco)^n),alpha*fck),0)</f>
      </c>
      <c r="AL872" s="30">
        <f>PM_Angle!$J$21+PM_Angle!$K$21*$C872+PM_Angle!$L$21*$B872</f>
      </c>
      <c r="AM872" s="12">
        <f>IF(AL872&gt;0,IF(AL872&lt;=eco,alpha*fck*(1-(1-AL872/eco)^n),alpha*fck),0)</f>
      </c>
      <c r="AN872" s="30">
        <f>PM_Angle!$J$22+PM_Angle!$K$22*$C872+PM_Angle!$L$22*$B872</f>
      </c>
      <c r="AO872" s="12">
        <f>IF(AN872&gt;0,IF(AN872&lt;=eco,alpha*fck*(1-(1-AN872/eco)^n),alpha*fck),0)</f>
      </c>
      <c r="AP872" s="30">
        <f>PM_Angle!$J$23+PM_Angle!$K$23*$C872+PM_Angle!$L$23*$B872</f>
      </c>
      <c r="AQ872" s="12">
        <f>IF(AP872&gt;0,IF(AP872&lt;=eco,alpha*fck*(1-(1-AP872/eco)^n),alpha*fck),0)</f>
      </c>
      <c r="AR872" s="30">
        <f>PM_Angle!$J$24+PM_Angle!$K$24*$C872+PM_Angle!$L$24*$B872</f>
      </c>
      <c r="AS872" s="12">
        <f>IF(AR872&gt;0,IF(AR872&lt;=eco,alpha*fck*(1-(1-AR872/eco)^n),alpha*fck),0)</f>
      </c>
      <c r="AT872" s="30">
        <f>PM_Angle!$J$25+PM_Angle!$K$25*$C872+PM_Angle!$L$25*$B872</f>
      </c>
      <c r="AU872" s="12">
        <f>IF(AT872&gt;0,IF(AT872&lt;=eco,alpha*fck*(1-(1-AT872/eco)^n),alpha*fck),0)</f>
      </c>
    </row>
    <row r="873" spans="1:47" x14ac:dyDescent="0.25">
      <c r="A873">
        <f>Mesh!A870</f>
      </c>
      <c r="B873" s="12">
        <f>Mesh!B870</f>
      </c>
      <c r="C873" s="12">
        <f>Mesh!C870</f>
      </c>
      <c r="D873" s="12">
        <f>Mesh!D870</f>
      </c>
      <c r="E873" s="30">
        <f>INDEX(St_e0,Det+1)+INDEX(St_kx,Det+1)*C873+INDEX(St_ky,Det+1)*B873</f>
      </c>
      <c r="F873" s="12">
        <f>IF(E873&gt;0,IF(E873&lt;=eco,alpha*fck*(1-(1-E873/eco)^n),alpha*fck),0)</f>
      </c>
      <c r="G873" s="11">
        <f>F873*D873</f>
      </c>
      <c r="H873" s="11">
        <f>G873*C873</f>
      </c>
      <c r="I873" s="11">
        <f>G873*B873</f>
      </c>
      <c r="J873" s="30">
        <f>PM_Angle!$J$7+PM_Angle!$K$7*$C873+PM_Angle!$L$7*$B873</f>
      </c>
      <c r="K873" s="12">
        <f>IF(J873&gt;0,IF(J873&lt;=eco,alpha*fck*(1-(1-J873/eco)^n),alpha*fck),0)</f>
      </c>
      <c r="L873" s="30">
        <f>PM_Angle!$J$8+PM_Angle!$K$8*$C873+PM_Angle!$L$8*$B873</f>
      </c>
      <c r="M873" s="12">
        <f>IF(L873&gt;0,IF(L873&lt;=eco,alpha*fck*(1-(1-L873/eco)^n),alpha*fck),0)</f>
      </c>
      <c r="N873" s="30">
        <f>PM_Angle!$J$9+PM_Angle!$K$9*$C873+PM_Angle!$L$9*$B873</f>
      </c>
      <c r="O873" s="12">
        <f>IF(N873&gt;0,IF(N873&lt;=eco,alpha*fck*(1-(1-N873/eco)^n),alpha*fck),0)</f>
      </c>
      <c r="P873" s="30">
        <f>PM_Angle!$J$10+PM_Angle!$K$10*$C873+PM_Angle!$L$10*$B873</f>
      </c>
      <c r="Q873" s="12">
        <f>IF(P873&gt;0,IF(P873&lt;=eco,alpha*fck*(1-(1-P873/eco)^n),alpha*fck),0)</f>
      </c>
      <c r="R873" s="30">
        <f>PM_Angle!$J$11+PM_Angle!$K$11*$C873+PM_Angle!$L$11*$B873</f>
      </c>
      <c r="S873" s="12">
        <f>IF(R873&gt;0,IF(R873&lt;=eco,alpha*fck*(1-(1-R873/eco)^n),alpha*fck),0)</f>
      </c>
      <c r="T873" s="30">
        <f>PM_Angle!$J$12+PM_Angle!$K$12*$C873+PM_Angle!$L$12*$B873</f>
      </c>
      <c r="U873" s="12">
        <f>IF(T873&gt;0,IF(T873&lt;=eco,alpha*fck*(1-(1-T873/eco)^n),alpha*fck),0)</f>
      </c>
      <c r="V873" s="30">
        <f>PM_Angle!$J$13+PM_Angle!$K$13*$C873+PM_Angle!$L$13*$B873</f>
      </c>
      <c r="W873" s="12">
        <f>IF(V873&gt;0,IF(V873&lt;=eco,alpha*fck*(1-(1-V873/eco)^n),alpha*fck),0)</f>
      </c>
      <c r="X873" s="30">
        <f>PM_Angle!$J$14+PM_Angle!$K$14*$C873+PM_Angle!$L$14*$B873</f>
      </c>
      <c r="Y873" s="12">
        <f>IF(X873&gt;0,IF(X873&lt;=eco,alpha*fck*(1-(1-X873/eco)^n),alpha*fck),0)</f>
      </c>
      <c r="Z873" s="30">
        <f>PM_Angle!$J$15+PM_Angle!$K$15*$C873+PM_Angle!$L$15*$B873</f>
      </c>
      <c r="AA873" s="12">
        <f>IF(Z873&gt;0,IF(Z873&lt;=eco,alpha*fck*(1-(1-Z873/eco)^n),alpha*fck),0)</f>
      </c>
      <c r="AB873" s="30">
        <f>PM_Angle!$J$16+PM_Angle!$K$16*$C873+PM_Angle!$L$16*$B873</f>
      </c>
      <c r="AC873" s="12">
        <f>IF(AB873&gt;0,IF(AB873&lt;=eco,alpha*fck*(1-(1-AB873/eco)^n),alpha*fck),0)</f>
      </c>
      <c r="AD873" s="30">
        <f>PM_Angle!$J$17+PM_Angle!$K$17*$C873+PM_Angle!$L$17*$B873</f>
      </c>
      <c r="AE873" s="12">
        <f>IF(AD873&gt;0,IF(AD873&lt;=eco,alpha*fck*(1-(1-AD873/eco)^n),alpha*fck),0)</f>
      </c>
      <c r="AF873" s="30">
        <f>PM_Angle!$J$18+PM_Angle!$K$18*$C873+PM_Angle!$L$18*$B873</f>
      </c>
      <c r="AG873" s="12">
        <f>IF(AF873&gt;0,IF(AF873&lt;=eco,alpha*fck*(1-(1-AF873/eco)^n),alpha*fck),0)</f>
      </c>
      <c r="AH873" s="30">
        <f>PM_Angle!$J$19+PM_Angle!$K$19*$C873+PM_Angle!$L$19*$B873</f>
      </c>
      <c r="AI873" s="12">
        <f>IF(AH873&gt;0,IF(AH873&lt;=eco,alpha*fck*(1-(1-AH873/eco)^n),alpha*fck),0)</f>
      </c>
      <c r="AJ873" s="30">
        <f>PM_Angle!$J$20+PM_Angle!$K$20*$C873+PM_Angle!$L$20*$B873</f>
      </c>
      <c r="AK873" s="12">
        <f>IF(AJ873&gt;0,IF(AJ873&lt;=eco,alpha*fck*(1-(1-AJ873/eco)^n),alpha*fck),0)</f>
      </c>
      <c r="AL873" s="30">
        <f>PM_Angle!$J$21+PM_Angle!$K$21*$C873+PM_Angle!$L$21*$B873</f>
      </c>
      <c r="AM873" s="12">
        <f>IF(AL873&gt;0,IF(AL873&lt;=eco,alpha*fck*(1-(1-AL873/eco)^n),alpha*fck),0)</f>
      </c>
      <c r="AN873" s="30">
        <f>PM_Angle!$J$22+PM_Angle!$K$22*$C873+PM_Angle!$L$22*$B873</f>
      </c>
      <c r="AO873" s="12">
        <f>IF(AN873&gt;0,IF(AN873&lt;=eco,alpha*fck*(1-(1-AN873/eco)^n),alpha*fck),0)</f>
      </c>
      <c r="AP873" s="30">
        <f>PM_Angle!$J$23+PM_Angle!$K$23*$C873+PM_Angle!$L$23*$B873</f>
      </c>
      <c r="AQ873" s="12">
        <f>IF(AP873&gt;0,IF(AP873&lt;=eco,alpha*fck*(1-(1-AP873/eco)^n),alpha*fck),0)</f>
      </c>
      <c r="AR873" s="30">
        <f>PM_Angle!$J$24+PM_Angle!$K$24*$C873+PM_Angle!$L$24*$B873</f>
      </c>
      <c r="AS873" s="12">
        <f>IF(AR873&gt;0,IF(AR873&lt;=eco,alpha*fck*(1-(1-AR873/eco)^n),alpha*fck),0)</f>
      </c>
      <c r="AT873" s="30">
        <f>PM_Angle!$J$25+PM_Angle!$K$25*$C873+PM_Angle!$L$25*$B873</f>
      </c>
      <c r="AU873" s="12">
        <f>IF(AT873&gt;0,IF(AT873&lt;=eco,alpha*fck*(1-(1-AT873/eco)^n),alpha*fck),0)</f>
      </c>
    </row>
    <row r="874" spans="1:47" x14ac:dyDescent="0.25">
      <c r="A874">
        <f>Mesh!A871</f>
      </c>
      <c r="B874" s="12">
        <f>Mesh!B871</f>
      </c>
      <c r="C874" s="12">
        <f>Mesh!C871</f>
      </c>
      <c r="D874" s="12">
        <f>Mesh!D871</f>
      </c>
      <c r="E874" s="30">
        <f>INDEX(St_e0,Det+1)+INDEX(St_kx,Det+1)*C874+INDEX(St_ky,Det+1)*B874</f>
      </c>
      <c r="F874" s="12">
        <f>IF(E874&gt;0,IF(E874&lt;=eco,alpha*fck*(1-(1-E874/eco)^n),alpha*fck),0)</f>
      </c>
      <c r="G874" s="11">
        <f>F874*D874</f>
      </c>
      <c r="H874" s="11">
        <f>G874*C874</f>
      </c>
      <c r="I874" s="11">
        <f>G874*B874</f>
      </c>
      <c r="J874" s="30">
        <f>PM_Angle!$J$7+PM_Angle!$K$7*$C874+PM_Angle!$L$7*$B874</f>
      </c>
      <c r="K874" s="12">
        <f>IF(J874&gt;0,IF(J874&lt;=eco,alpha*fck*(1-(1-J874/eco)^n),alpha*fck),0)</f>
      </c>
      <c r="L874" s="30">
        <f>PM_Angle!$J$8+PM_Angle!$K$8*$C874+PM_Angle!$L$8*$B874</f>
      </c>
      <c r="M874" s="12">
        <f>IF(L874&gt;0,IF(L874&lt;=eco,alpha*fck*(1-(1-L874/eco)^n),alpha*fck),0)</f>
      </c>
      <c r="N874" s="30">
        <f>PM_Angle!$J$9+PM_Angle!$K$9*$C874+PM_Angle!$L$9*$B874</f>
      </c>
      <c r="O874" s="12">
        <f>IF(N874&gt;0,IF(N874&lt;=eco,alpha*fck*(1-(1-N874/eco)^n),alpha*fck),0)</f>
      </c>
      <c r="P874" s="30">
        <f>PM_Angle!$J$10+PM_Angle!$K$10*$C874+PM_Angle!$L$10*$B874</f>
      </c>
      <c r="Q874" s="12">
        <f>IF(P874&gt;0,IF(P874&lt;=eco,alpha*fck*(1-(1-P874/eco)^n),alpha*fck),0)</f>
      </c>
      <c r="R874" s="30">
        <f>PM_Angle!$J$11+PM_Angle!$K$11*$C874+PM_Angle!$L$11*$B874</f>
      </c>
      <c r="S874" s="12">
        <f>IF(R874&gt;0,IF(R874&lt;=eco,alpha*fck*(1-(1-R874/eco)^n),alpha*fck),0)</f>
      </c>
      <c r="T874" s="30">
        <f>PM_Angle!$J$12+PM_Angle!$K$12*$C874+PM_Angle!$L$12*$B874</f>
      </c>
      <c r="U874" s="12">
        <f>IF(T874&gt;0,IF(T874&lt;=eco,alpha*fck*(1-(1-T874/eco)^n),alpha*fck),0)</f>
      </c>
      <c r="V874" s="30">
        <f>PM_Angle!$J$13+PM_Angle!$K$13*$C874+PM_Angle!$L$13*$B874</f>
      </c>
      <c r="W874" s="12">
        <f>IF(V874&gt;0,IF(V874&lt;=eco,alpha*fck*(1-(1-V874/eco)^n),alpha*fck),0)</f>
      </c>
      <c r="X874" s="30">
        <f>PM_Angle!$J$14+PM_Angle!$K$14*$C874+PM_Angle!$L$14*$B874</f>
      </c>
      <c r="Y874" s="12">
        <f>IF(X874&gt;0,IF(X874&lt;=eco,alpha*fck*(1-(1-X874/eco)^n),alpha*fck),0)</f>
      </c>
      <c r="Z874" s="30">
        <f>PM_Angle!$J$15+PM_Angle!$K$15*$C874+PM_Angle!$L$15*$B874</f>
      </c>
      <c r="AA874" s="12">
        <f>IF(Z874&gt;0,IF(Z874&lt;=eco,alpha*fck*(1-(1-Z874/eco)^n),alpha*fck),0)</f>
      </c>
      <c r="AB874" s="30">
        <f>PM_Angle!$J$16+PM_Angle!$K$16*$C874+PM_Angle!$L$16*$B874</f>
      </c>
      <c r="AC874" s="12">
        <f>IF(AB874&gt;0,IF(AB874&lt;=eco,alpha*fck*(1-(1-AB874/eco)^n),alpha*fck),0)</f>
      </c>
      <c r="AD874" s="30">
        <f>PM_Angle!$J$17+PM_Angle!$K$17*$C874+PM_Angle!$L$17*$B874</f>
      </c>
      <c r="AE874" s="12">
        <f>IF(AD874&gt;0,IF(AD874&lt;=eco,alpha*fck*(1-(1-AD874/eco)^n),alpha*fck),0)</f>
      </c>
      <c r="AF874" s="30">
        <f>PM_Angle!$J$18+PM_Angle!$K$18*$C874+PM_Angle!$L$18*$B874</f>
      </c>
      <c r="AG874" s="12">
        <f>IF(AF874&gt;0,IF(AF874&lt;=eco,alpha*fck*(1-(1-AF874/eco)^n),alpha*fck),0)</f>
      </c>
      <c r="AH874" s="30">
        <f>PM_Angle!$J$19+PM_Angle!$K$19*$C874+PM_Angle!$L$19*$B874</f>
      </c>
      <c r="AI874" s="12">
        <f>IF(AH874&gt;0,IF(AH874&lt;=eco,alpha*fck*(1-(1-AH874/eco)^n),alpha*fck),0)</f>
      </c>
      <c r="AJ874" s="30">
        <f>PM_Angle!$J$20+PM_Angle!$K$20*$C874+PM_Angle!$L$20*$B874</f>
      </c>
      <c r="AK874" s="12">
        <f>IF(AJ874&gt;0,IF(AJ874&lt;=eco,alpha*fck*(1-(1-AJ874/eco)^n),alpha*fck),0)</f>
      </c>
      <c r="AL874" s="30">
        <f>PM_Angle!$J$21+PM_Angle!$K$21*$C874+PM_Angle!$L$21*$B874</f>
      </c>
      <c r="AM874" s="12">
        <f>IF(AL874&gt;0,IF(AL874&lt;=eco,alpha*fck*(1-(1-AL874/eco)^n),alpha*fck),0)</f>
      </c>
      <c r="AN874" s="30">
        <f>PM_Angle!$J$22+PM_Angle!$K$22*$C874+PM_Angle!$L$22*$B874</f>
      </c>
      <c r="AO874" s="12">
        <f>IF(AN874&gt;0,IF(AN874&lt;=eco,alpha*fck*(1-(1-AN874/eco)^n),alpha*fck),0)</f>
      </c>
      <c r="AP874" s="30">
        <f>PM_Angle!$J$23+PM_Angle!$K$23*$C874+PM_Angle!$L$23*$B874</f>
      </c>
      <c r="AQ874" s="12">
        <f>IF(AP874&gt;0,IF(AP874&lt;=eco,alpha*fck*(1-(1-AP874/eco)^n),alpha*fck),0)</f>
      </c>
      <c r="AR874" s="30">
        <f>PM_Angle!$J$24+PM_Angle!$K$24*$C874+PM_Angle!$L$24*$B874</f>
      </c>
      <c r="AS874" s="12">
        <f>IF(AR874&gt;0,IF(AR874&lt;=eco,alpha*fck*(1-(1-AR874/eco)^n),alpha*fck),0)</f>
      </c>
      <c r="AT874" s="30">
        <f>PM_Angle!$J$25+PM_Angle!$K$25*$C874+PM_Angle!$L$25*$B874</f>
      </c>
      <c r="AU874" s="12">
        <f>IF(AT874&gt;0,IF(AT874&lt;=eco,alpha*fck*(1-(1-AT874/eco)^n),alpha*fck),0)</f>
      </c>
    </row>
    <row r="875" spans="1:47" x14ac:dyDescent="0.25">
      <c r="A875">
        <f>Mesh!A872</f>
      </c>
      <c r="B875" s="12">
        <f>Mesh!B872</f>
      </c>
      <c r="C875" s="12">
        <f>Mesh!C872</f>
      </c>
      <c r="D875" s="12">
        <f>Mesh!D872</f>
      </c>
      <c r="E875" s="30">
        <f>INDEX(St_e0,Det+1)+INDEX(St_kx,Det+1)*C875+INDEX(St_ky,Det+1)*B875</f>
      </c>
      <c r="F875" s="12">
        <f>IF(E875&gt;0,IF(E875&lt;=eco,alpha*fck*(1-(1-E875/eco)^n),alpha*fck),0)</f>
      </c>
      <c r="G875" s="11">
        <f>F875*D875</f>
      </c>
      <c r="H875" s="11">
        <f>G875*C875</f>
      </c>
      <c r="I875" s="11">
        <f>G875*B875</f>
      </c>
      <c r="J875" s="30">
        <f>PM_Angle!$J$7+PM_Angle!$K$7*$C875+PM_Angle!$L$7*$B875</f>
      </c>
      <c r="K875" s="12">
        <f>IF(J875&gt;0,IF(J875&lt;=eco,alpha*fck*(1-(1-J875/eco)^n),alpha*fck),0)</f>
      </c>
      <c r="L875" s="30">
        <f>PM_Angle!$J$8+PM_Angle!$K$8*$C875+PM_Angle!$L$8*$B875</f>
      </c>
      <c r="M875" s="12">
        <f>IF(L875&gt;0,IF(L875&lt;=eco,alpha*fck*(1-(1-L875/eco)^n),alpha*fck),0)</f>
      </c>
      <c r="N875" s="30">
        <f>PM_Angle!$J$9+PM_Angle!$K$9*$C875+PM_Angle!$L$9*$B875</f>
      </c>
      <c r="O875" s="12">
        <f>IF(N875&gt;0,IF(N875&lt;=eco,alpha*fck*(1-(1-N875/eco)^n),alpha*fck),0)</f>
      </c>
      <c r="P875" s="30">
        <f>PM_Angle!$J$10+PM_Angle!$K$10*$C875+PM_Angle!$L$10*$B875</f>
      </c>
      <c r="Q875" s="12">
        <f>IF(P875&gt;0,IF(P875&lt;=eco,alpha*fck*(1-(1-P875/eco)^n),alpha*fck),0)</f>
      </c>
      <c r="R875" s="30">
        <f>PM_Angle!$J$11+PM_Angle!$K$11*$C875+PM_Angle!$L$11*$B875</f>
      </c>
      <c r="S875" s="12">
        <f>IF(R875&gt;0,IF(R875&lt;=eco,alpha*fck*(1-(1-R875/eco)^n),alpha*fck),0)</f>
      </c>
      <c r="T875" s="30">
        <f>PM_Angle!$J$12+PM_Angle!$K$12*$C875+PM_Angle!$L$12*$B875</f>
      </c>
      <c r="U875" s="12">
        <f>IF(T875&gt;0,IF(T875&lt;=eco,alpha*fck*(1-(1-T875/eco)^n),alpha*fck),0)</f>
      </c>
      <c r="V875" s="30">
        <f>PM_Angle!$J$13+PM_Angle!$K$13*$C875+PM_Angle!$L$13*$B875</f>
      </c>
      <c r="W875" s="12">
        <f>IF(V875&gt;0,IF(V875&lt;=eco,alpha*fck*(1-(1-V875/eco)^n),alpha*fck),0)</f>
      </c>
      <c r="X875" s="30">
        <f>PM_Angle!$J$14+PM_Angle!$K$14*$C875+PM_Angle!$L$14*$B875</f>
      </c>
      <c r="Y875" s="12">
        <f>IF(X875&gt;0,IF(X875&lt;=eco,alpha*fck*(1-(1-X875/eco)^n),alpha*fck),0)</f>
      </c>
      <c r="Z875" s="30">
        <f>PM_Angle!$J$15+PM_Angle!$K$15*$C875+PM_Angle!$L$15*$B875</f>
      </c>
      <c r="AA875" s="12">
        <f>IF(Z875&gt;0,IF(Z875&lt;=eco,alpha*fck*(1-(1-Z875/eco)^n),alpha*fck),0)</f>
      </c>
      <c r="AB875" s="30">
        <f>PM_Angle!$J$16+PM_Angle!$K$16*$C875+PM_Angle!$L$16*$B875</f>
      </c>
      <c r="AC875" s="12">
        <f>IF(AB875&gt;0,IF(AB875&lt;=eco,alpha*fck*(1-(1-AB875/eco)^n),alpha*fck),0)</f>
      </c>
      <c r="AD875" s="30">
        <f>PM_Angle!$J$17+PM_Angle!$K$17*$C875+PM_Angle!$L$17*$B875</f>
      </c>
      <c r="AE875" s="12">
        <f>IF(AD875&gt;0,IF(AD875&lt;=eco,alpha*fck*(1-(1-AD875/eco)^n),alpha*fck),0)</f>
      </c>
      <c r="AF875" s="30">
        <f>PM_Angle!$J$18+PM_Angle!$K$18*$C875+PM_Angle!$L$18*$B875</f>
      </c>
      <c r="AG875" s="12">
        <f>IF(AF875&gt;0,IF(AF875&lt;=eco,alpha*fck*(1-(1-AF875/eco)^n),alpha*fck),0)</f>
      </c>
      <c r="AH875" s="30">
        <f>PM_Angle!$J$19+PM_Angle!$K$19*$C875+PM_Angle!$L$19*$B875</f>
      </c>
      <c r="AI875" s="12">
        <f>IF(AH875&gt;0,IF(AH875&lt;=eco,alpha*fck*(1-(1-AH875/eco)^n),alpha*fck),0)</f>
      </c>
      <c r="AJ875" s="30">
        <f>PM_Angle!$J$20+PM_Angle!$K$20*$C875+PM_Angle!$L$20*$B875</f>
      </c>
      <c r="AK875" s="12">
        <f>IF(AJ875&gt;0,IF(AJ875&lt;=eco,alpha*fck*(1-(1-AJ875/eco)^n),alpha*fck),0)</f>
      </c>
      <c r="AL875" s="30">
        <f>PM_Angle!$J$21+PM_Angle!$K$21*$C875+PM_Angle!$L$21*$B875</f>
      </c>
      <c r="AM875" s="12">
        <f>IF(AL875&gt;0,IF(AL875&lt;=eco,alpha*fck*(1-(1-AL875/eco)^n),alpha*fck),0)</f>
      </c>
      <c r="AN875" s="30">
        <f>PM_Angle!$J$22+PM_Angle!$K$22*$C875+PM_Angle!$L$22*$B875</f>
      </c>
      <c r="AO875" s="12">
        <f>IF(AN875&gt;0,IF(AN875&lt;=eco,alpha*fck*(1-(1-AN875/eco)^n),alpha*fck),0)</f>
      </c>
      <c r="AP875" s="30">
        <f>PM_Angle!$J$23+PM_Angle!$K$23*$C875+PM_Angle!$L$23*$B875</f>
      </c>
      <c r="AQ875" s="12">
        <f>IF(AP875&gt;0,IF(AP875&lt;=eco,alpha*fck*(1-(1-AP875/eco)^n),alpha*fck),0)</f>
      </c>
      <c r="AR875" s="30">
        <f>PM_Angle!$J$24+PM_Angle!$K$24*$C875+PM_Angle!$L$24*$B875</f>
      </c>
      <c r="AS875" s="12">
        <f>IF(AR875&gt;0,IF(AR875&lt;=eco,alpha*fck*(1-(1-AR875/eco)^n),alpha*fck),0)</f>
      </c>
      <c r="AT875" s="30">
        <f>PM_Angle!$J$25+PM_Angle!$K$25*$C875+PM_Angle!$L$25*$B875</f>
      </c>
      <c r="AU875" s="12">
        <f>IF(AT875&gt;0,IF(AT875&lt;=eco,alpha*fck*(1-(1-AT875/eco)^n),alpha*fck),0)</f>
      </c>
    </row>
    <row r="876" spans="1:47" x14ac:dyDescent="0.25">
      <c r="A876">
        <f>Mesh!A873</f>
      </c>
      <c r="B876" s="12">
        <f>Mesh!B873</f>
      </c>
      <c r="C876" s="12">
        <f>Mesh!C873</f>
      </c>
      <c r="D876" s="12">
        <f>Mesh!D873</f>
      </c>
      <c r="E876" s="30">
        <f>INDEX(St_e0,Det+1)+INDEX(St_kx,Det+1)*C876+INDEX(St_ky,Det+1)*B876</f>
      </c>
      <c r="F876" s="12">
        <f>IF(E876&gt;0,IF(E876&lt;=eco,alpha*fck*(1-(1-E876/eco)^n),alpha*fck),0)</f>
      </c>
      <c r="G876" s="11">
        <f>F876*D876</f>
      </c>
      <c r="H876" s="11">
        <f>G876*C876</f>
      </c>
      <c r="I876" s="11">
        <f>G876*B876</f>
      </c>
      <c r="J876" s="30">
        <f>PM_Angle!$J$7+PM_Angle!$K$7*$C876+PM_Angle!$L$7*$B876</f>
      </c>
      <c r="K876" s="12">
        <f>IF(J876&gt;0,IF(J876&lt;=eco,alpha*fck*(1-(1-J876/eco)^n),alpha*fck),0)</f>
      </c>
      <c r="L876" s="30">
        <f>PM_Angle!$J$8+PM_Angle!$K$8*$C876+PM_Angle!$L$8*$B876</f>
      </c>
      <c r="M876" s="12">
        <f>IF(L876&gt;0,IF(L876&lt;=eco,alpha*fck*(1-(1-L876/eco)^n),alpha*fck),0)</f>
      </c>
      <c r="N876" s="30">
        <f>PM_Angle!$J$9+PM_Angle!$K$9*$C876+PM_Angle!$L$9*$B876</f>
      </c>
      <c r="O876" s="12">
        <f>IF(N876&gt;0,IF(N876&lt;=eco,alpha*fck*(1-(1-N876/eco)^n),alpha*fck),0)</f>
      </c>
      <c r="P876" s="30">
        <f>PM_Angle!$J$10+PM_Angle!$K$10*$C876+PM_Angle!$L$10*$B876</f>
      </c>
      <c r="Q876" s="12">
        <f>IF(P876&gt;0,IF(P876&lt;=eco,alpha*fck*(1-(1-P876/eco)^n),alpha*fck),0)</f>
      </c>
      <c r="R876" s="30">
        <f>PM_Angle!$J$11+PM_Angle!$K$11*$C876+PM_Angle!$L$11*$B876</f>
      </c>
      <c r="S876" s="12">
        <f>IF(R876&gt;0,IF(R876&lt;=eco,alpha*fck*(1-(1-R876/eco)^n),alpha*fck),0)</f>
      </c>
      <c r="T876" s="30">
        <f>PM_Angle!$J$12+PM_Angle!$K$12*$C876+PM_Angle!$L$12*$B876</f>
      </c>
      <c r="U876" s="12">
        <f>IF(T876&gt;0,IF(T876&lt;=eco,alpha*fck*(1-(1-T876/eco)^n),alpha*fck),0)</f>
      </c>
      <c r="V876" s="30">
        <f>PM_Angle!$J$13+PM_Angle!$K$13*$C876+PM_Angle!$L$13*$B876</f>
      </c>
      <c r="W876" s="12">
        <f>IF(V876&gt;0,IF(V876&lt;=eco,alpha*fck*(1-(1-V876/eco)^n),alpha*fck),0)</f>
      </c>
      <c r="X876" s="30">
        <f>PM_Angle!$J$14+PM_Angle!$K$14*$C876+PM_Angle!$L$14*$B876</f>
      </c>
      <c r="Y876" s="12">
        <f>IF(X876&gt;0,IF(X876&lt;=eco,alpha*fck*(1-(1-X876/eco)^n),alpha*fck),0)</f>
      </c>
      <c r="Z876" s="30">
        <f>PM_Angle!$J$15+PM_Angle!$K$15*$C876+PM_Angle!$L$15*$B876</f>
      </c>
      <c r="AA876" s="12">
        <f>IF(Z876&gt;0,IF(Z876&lt;=eco,alpha*fck*(1-(1-Z876/eco)^n),alpha*fck),0)</f>
      </c>
      <c r="AB876" s="30">
        <f>PM_Angle!$J$16+PM_Angle!$K$16*$C876+PM_Angle!$L$16*$B876</f>
      </c>
      <c r="AC876" s="12">
        <f>IF(AB876&gt;0,IF(AB876&lt;=eco,alpha*fck*(1-(1-AB876/eco)^n),alpha*fck),0)</f>
      </c>
      <c r="AD876" s="30">
        <f>PM_Angle!$J$17+PM_Angle!$K$17*$C876+PM_Angle!$L$17*$B876</f>
      </c>
      <c r="AE876" s="12">
        <f>IF(AD876&gt;0,IF(AD876&lt;=eco,alpha*fck*(1-(1-AD876/eco)^n),alpha*fck),0)</f>
      </c>
      <c r="AF876" s="30">
        <f>PM_Angle!$J$18+PM_Angle!$K$18*$C876+PM_Angle!$L$18*$B876</f>
      </c>
      <c r="AG876" s="12">
        <f>IF(AF876&gt;0,IF(AF876&lt;=eco,alpha*fck*(1-(1-AF876/eco)^n),alpha*fck),0)</f>
      </c>
      <c r="AH876" s="30">
        <f>PM_Angle!$J$19+PM_Angle!$K$19*$C876+PM_Angle!$L$19*$B876</f>
      </c>
      <c r="AI876" s="12">
        <f>IF(AH876&gt;0,IF(AH876&lt;=eco,alpha*fck*(1-(1-AH876/eco)^n),alpha*fck),0)</f>
      </c>
      <c r="AJ876" s="30">
        <f>PM_Angle!$J$20+PM_Angle!$K$20*$C876+PM_Angle!$L$20*$B876</f>
      </c>
      <c r="AK876" s="12">
        <f>IF(AJ876&gt;0,IF(AJ876&lt;=eco,alpha*fck*(1-(1-AJ876/eco)^n),alpha*fck),0)</f>
      </c>
      <c r="AL876" s="30">
        <f>PM_Angle!$J$21+PM_Angle!$K$21*$C876+PM_Angle!$L$21*$B876</f>
      </c>
      <c r="AM876" s="12">
        <f>IF(AL876&gt;0,IF(AL876&lt;=eco,alpha*fck*(1-(1-AL876/eco)^n),alpha*fck),0)</f>
      </c>
      <c r="AN876" s="30">
        <f>PM_Angle!$J$22+PM_Angle!$K$22*$C876+PM_Angle!$L$22*$B876</f>
      </c>
      <c r="AO876" s="12">
        <f>IF(AN876&gt;0,IF(AN876&lt;=eco,alpha*fck*(1-(1-AN876/eco)^n),alpha*fck),0)</f>
      </c>
      <c r="AP876" s="30">
        <f>PM_Angle!$J$23+PM_Angle!$K$23*$C876+PM_Angle!$L$23*$B876</f>
      </c>
      <c r="AQ876" s="12">
        <f>IF(AP876&gt;0,IF(AP876&lt;=eco,alpha*fck*(1-(1-AP876/eco)^n),alpha*fck),0)</f>
      </c>
      <c r="AR876" s="30">
        <f>PM_Angle!$J$24+PM_Angle!$K$24*$C876+PM_Angle!$L$24*$B876</f>
      </c>
      <c r="AS876" s="12">
        <f>IF(AR876&gt;0,IF(AR876&lt;=eco,alpha*fck*(1-(1-AR876/eco)^n),alpha*fck),0)</f>
      </c>
      <c r="AT876" s="30">
        <f>PM_Angle!$J$25+PM_Angle!$K$25*$C876+PM_Angle!$L$25*$B876</f>
      </c>
      <c r="AU876" s="12">
        <f>IF(AT876&gt;0,IF(AT876&lt;=eco,alpha*fck*(1-(1-AT876/eco)^n),alpha*fck),0)</f>
      </c>
    </row>
    <row r="877" spans="1:47" x14ac:dyDescent="0.25">
      <c r="A877">
        <f>Mesh!A874</f>
      </c>
      <c r="B877" s="12">
        <f>Mesh!B874</f>
      </c>
      <c r="C877" s="12">
        <f>Mesh!C874</f>
      </c>
      <c r="D877" s="12">
        <f>Mesh!D874</f>
      </c>
      <c r="E877" s="30">
        <f>INDEX(St_e0,Det+1)+INDEX(St_kx,Det+1)*C877+INDEX(St_ky,Det+1)*B877</f>
      </c>
      <c r="F877" s="12">
        <f>IF(E877&gt;0,IF(E877&lt;=eco,alpha*fck*(1-(1-E877/eco)^n),alpha*fck),0)</f>
      </c>
      <c r="G877" s="11">
        <f>F877*D877</f>
      </c>
      <c r="H877" s="11">
        <f>G877*C877</f>
      </c>
      <c r="I877" s="11">
        <f>G877*B877</f>
      </c>
      <c r="J877" s="30">
        <f>PM_Angle!$J$7+PM_Angle!$K$7*$C877+PM_Angle!$L$7*$B877</f>
      </c>
      <c r="K877" s="12">
        <f>IF(J877&gt;0,IF(J877&lt;=eco,alpha*fck*(1-(1-J877/eco)^n),alpha*fck),0)</f>
      </c>
      <c r="L877" s="30">
        <f>PM_Angle!$J$8+PM_Angle!$K$8*$C877+PM_Angle!$L$8*$B877</f>
      </c>
      <c r="M877" s="12">
        <f>IF(L877&gt;0,IF(L877&lt;=eco,alpha*fck*(1-(1-L877/eco)^n),alpha*fck),0)</f>
      </c>
      <c r="N877" s="30">
        <f>PM_Angle!$J$9+PM_Angle!$K$9*$C877+PM_Angle!$L$9*$B877</f>
      </c>
      <c r="O877" s="12">
        <f>IF(N877&gt;0,IF(N877&lt;=eco,alpha*fck*(1-(1-N877/eco)^n),alpha*fck),0)</f>
      </c>
      <c r="P877" s="30">
        <f>PM_Angle!$J$10+PM_Angle!$K$10*$C877+PM_Angle!$L$10*$B877</f>
      </c>
      <c r="Q877" s="12">
        <f>IF(P877&gt;0,IF(P877&lt;=eco,alpha*fck*(1-(1-P877/eco)^n),alpha*fck),0)</f>
      </c>
      <c r="R877" s="30">
        <f>PM_Angle!$J$11+PM_Angle!$K$11*$C877+PM_Angle!$L$11*$B877</f>
      </c>
      <c r="S877" s="12">
        <f>IF(R877&gt;0,IF(R877&lt;=eco,alpha*fck*(1-(1-R877/eco)^n),alpha*fck),0)</f>
      </c>
      <c r="T877" s="30">
        <f>PM_Angle!$J$12+PM_Angle!$K$12*$C877+PM_Angle!$L$12*$B877</f>
      </c>
      <c r="U877" s="12">
        <f>IF(T877&gt;0,IF(T877&lt;=eco,alpha*fck*(1-(1-T877/eco)^n),alpha*fck),0)</f>
      </c>
      <c r="V877" s="30">
        <f>PM_Angle!$J$13+PM_Angle!$K$13*$C877+PM_Angle!$L$13*$B877</f>
      </c>
      <c r="W877" s="12">
        <f>IF(V877&gt;0,IF(V877&lt;=eco,alpha*fck*(1-(1-V877/eco)^n),alpha*fck),0)</f>
      </c>
      <c r="X877" s="30">
        <f>PM_Angle!$J$14+PM_Angle!$K$14*$C877+PM_Angle!$L$14*$B877</f>
      </c>
      <c r="Y877" s="12">
        <f>IF(X877&gt;0,IF(X877&lt;=eco,alpha*fck*(1-(1-X877/eco)^n),alpha*fck),0)</f>
      </c>
      <c r="Z877" s="30">
        <f>PM_Angle!$J$15+PM_Angle!$K$15*$C877+PM_Angle!$L$15*$B877</f>
      </c>
      <c r="AA877" s="12">
        <f>IF(Z877&gt;0,IF(Z877&lt;=eco,alpha*fck*(1-(1-Z877/eco)^n),alpha*fck),0)</f>
      </c>
      <c r="AB877" s="30">
        <f>PM_Angle!$J$16+PM_Angle!$K$16*$C877+PM_Angle!$L$16*$B877</f>
      </c>
      <c r="AC877" s="12">
        <f>IF(AB877&gt;0,IF(AB877&lt;=eco,alpha*fck*(1-(1-AB877/eco)^n),alpha*fck),0)</f>
      </c>
      <c r="AD877" s="30">
        <f>PM_Angle!$J$17+PM_Angle!$K$17*$C877+PM_Angle!$L$17*$B877</f>
      </c>
      <c r="AE877" s="12">
        <f>IF(AD877&gt;0,IF(AD877&lt;=eco,alpha*fck*(1-(1-AD877/eco)^n),alpha*fck),0)</f>
      </c>
      <c r="AF877" s="30">
        <f>PM_Angle!$J$18+PM_Angle!$K$18*$C877+PM_Angle!$L$18*$B877</f>
      </c>
      <c r="AG877" s="12">
        <f>IF(AF877&gt;0,IF(AF877&lt;=eco,alpha*fck*(1-(1-AF877/eco)^n),alpha*fck),0)</f>
      </c>
      <c r="AH877" s="30">
        <f>PM_Angle!$J$19+PM_Angle!$K$19*$C877+PM_Angle!$L$19*$B877</f>
      </c>
      <c r="AI877" s="12">
        <f>IF(AH877&gt;0,IF(AH877&lt;=eco,alpha*fck*(1-(1-AH877/eco)^n),alpha*fck),0)</f>
      </c>
      <c r="AJ877" s="30">
        <f>PM_Angle!$J$20+PM_Angle!$K$20*$C877+PM_Angle!$L$20*$B877</f>
      </c>
      <c r="AK877" s="12">
        <f>IF(AJ877&gt;0,IF(AJ877&lt;=eco,alpha*fck*(1-(1-AJ877/eco)^n),alpha*fck),0)</f>
      </c>
      <c r="AL877" s="30">
        <f>PM_Angle!$J$21+PM_Angle!$K$21*$C877+PM_Angle!$L$21*$B877</f>
      </c>
      <c r="AM877" s="12">
        <f>IF(AL877&gt;0,IF(AL877&lt;=eco,alpha*fck*(1-(1-AL877/eco)^n),alpha*fck),0)</f>
      </c>
      <c r="AN877" s="30">
        <f>PM_Angle!$J$22+PM_Angle!$K$22*$C877+PM_Angle!$L$22*$B877</f>
      </c>
      <c r="AO877" s="12">
        <f>IF(AN877&gt;0,IF(AN877&lt;=eco,alpha*fck*(1-(1-AN877/eco)^n),alpha*fck),0)</f>
      </c>
      <c r="AP877" s="30">
        <f>PM_Angle!$J$23+PM_Angle!$K$23*$C877+PM_Angle!$L$23*$B877</f>
      </c>
      <c r="AQ877" s="12">
        <f>IF(AP877&gt;0,IF(AP877&lt;=eco,alpha*fck*(1-(1-AP877/eco)^n),alpha*fck),0)</f>
      </c>
      <c r="AR877" s="30">
        <f>PM_Angle!$J$24+PM_Angle!$K$24*$C877+PM_Angle!$L$24*$B877</f>
      </c>
      <c r="AS877" s="12">
        <f>IF(AR877&gt;0,IF(AR877&lt;=eco,alpha*fck*(1-(1-AR877/eco)^n),alpha*fck),0)</f>
      </c>
      <c r="AT877" s="30">
        <f>PM_Angle!$J$25+PM_Angle!$K$25*$C877+PM_Angle!$L$25*$B877</f>
      </c>
      <c r="AU877" s="12">
        <f>IF(AT877&gt;0,IF(AT877&lt;=eco,alpha*fck*(1-(1-AT877/eco)^n),alpha*fck),0)</f>
      </c>
    </row>
    <row r="878" spans="1:47" x14ac:dyDescent="0.25">
      <c r="A878">
        <f>Mesh!A875</f>
      </c>
      <c r="B878" s="12">
        <f>Mesh!B875</f>
      </c>
      <c r="C878" s="12">
        <f>Mesh!C875</f>
      </c>
      <c r="D878" s="12">
        <f>Mesh!D875</f>
      </c>
      <c r="E878" s="30">
        <f>INDEX(St_e0,Det+1)+INDEX(St_kx,Det+1)*C878+INDEX(St_ky,Det+1)*B878</f>
      </c>
      <c r="F878" s="12">
        <f>IF(E878&gt;0,IF(E878&lt;=eco,alpha*fck*(1-(1-E878/eco)^n),alpha*fck),0)</f>
      </c>
      <c r="G878" s="11">
        <f>F878*D878</f>
      </c>
      <c r="H878" s="11">
        <f>G878*C878</f>
      </c>
      <c r="I878" s="11">
        <f>G878*B878</f>
      </c>
      <c r="J878" s="30">
        <f>PM_Angle!$J$7+PM_Angle!$K$7*$C878+PM_Angle!$L$7*$B878</f>
      </c>
      <c r="K878" s="12">
        <f>IF(J878&gt;0,IF(J878&lt;=eco,alpha*fck*(1-(1-J878/eco)^n),alpha*fck),0)</f>
      </c>
      <c r="L878" s="30">
        <f>PM_Angle!$J$8+PM_Angle!$K$8*$C878+PM_Angle!$L$8*$B878</f>
      </c>
      <c r="M878" s="12">
        <f>IF(L878&gt;0,IF(L878&lt;=eco,alpha*fck*(1-(1-L878/eco)^n),alpha*fck),0)</f>
      </c>
      <c r="N878" s="30">
        <f>PM_Angle!$J$9+PM_Angle!$K$9*$C878+PM_Angle!$L$9*$B878</f>
      </c>
      <c r="O878" s="12">
        <f>IF(N878&gt;0,IF(N878&lt;=eco,alpha*fck*(1-(1-N878/eco)^n),alpha*fck),0)</f>
      </c>
      <c r="P878" s="30">
        <f>PM_Angle!$J$10+PM_Angle!$K$10*$C878+PM_Angle!$L$10*$B878</f>
      </c>
      <c r="Q878" s="12">
        <f>IF(P878&gt;0,IF(P878&lt;=eco,alpha*fck*(1-(1-P878/eco)^n),alpha*fck),0)</f>
      </c>
      <c r="R878" s="30">
        <f>PM_Angle!$J$11+PM_Angle!$K$11*$C878+PM_Angle!$L$11*$B878</f>
      </c>
      <c r="S878" s="12">
        <f>IF(R878&gt;0,IF(R878&lt;=eco,alpha*fck*(1-(1-R878/eco)^n),alpha*fck),0)</f>
      </c>
      <c r="T878" s="30">
        <f>PM_Angle!$J$12+PM_Angle!$K$12*$C878+PM_Angle!$L$12*$B878</f>
      </c>
      <c r="U878" s="12">
        <f>IF(T878&gt;0,IF(T878&lt;=eco,alpha*fck*(1-(1-T878/eco)^n),alpha*fck),0)</f>
      </c>
      <c r="V878" s="30">
        <f>PM_Angle!$J$13+PM_Angle!$K$13*$C878+PM_Angle!$L$13*$B878</f>
      </c>
      <c r="W878" s="12">
        <f>IF(V878&gt;0,IF(V878&lt;=eco,alpha*fck*(1-(1-V878/eco)^n),alpha*fck),0)</f>
      </c>
      <c r="X878" s="30">
        <f>PM_Angle!$J$14+PM_Angle!$K$14*$C878+PM_Angle!$L$14*$B878</f>
      </c>
      <c r="Y878" s="12">
        <f>IF(X878&gt;0,IF(X878&lt;=eco,alpha*fck*(1-(1-X878/eco)^n),alpha*fck),0)</f>
      </c>
      <c r="Z878" s="30">
        <f>PM_Angle!$J$15+PM_Angle!$K$15*$C878+PM_Angle!$L$15*$B878</f>
      </c>
      <c r="AA878" s="12">
        <f>IF(Z878&gt;0,IF(Z878&lt;=eco,alpha*fck*(1-(1-Z878/eco)^n),alpha*fck),0)</f>
      </c>
      <c r="AB878" s="30">
        <f>PM_Angle!$J$16+PM_Angle!$K$16*$C878+PM_Angle!$L$16*$B878</f>
      </c>
      <c r="AC878" s="12">
        <f>IF(AB878&gt;0,IF(AB878&lt;=eco,alpha*fck*(1-(1-AB878/eco)^n),alpha*fck),0)</f>
      </c>
      <c r="AD878" s="30">
        <f>PM_Angle!$J$17+PM_Angle!$K$17*$C878+PM_Angle!$L$17*$B878</f>
      </c>
      <c r="AE878" s="12">
        <f>IF(AD878&gt;0,IF(AD878&lt;=eco,alpha*fck*(1-(1-AD878/eco)^n),alpha*fck),0)</f>
      </c>
      <c r="AF878" s="30">
        <f>PM_Angle!$J$18+PM_Angle!$K$18*$C878+PM_Angle!$L$18*$B878</f>
      </c>
      <c r="AG878" s="12">
        <f>IF(AF878&gt;0,IF(AF878&lt;=eco,alpha*fck*(1-(1-AF878/eco)^n),alpha*fck),0)</f>
      </c>
      <c r="AH878" s="30">
        <f>PM_Angle!$J$19+PM_Angle!$K$19*$C878+PM_Angle!$L$19*$B878</f>
      </c>
      <c r="AI878" s="12">
        <f>IF(AH878&gt;0,IF(AH878&lt;=eco,alpha*fck*(1-(1-AH878/eco)^n),alpha*fck),0)</f>
      </c>
      <c r="AJ878" s="30">
        <f>PM_Angle!$J$20+PM_Angle!$K$20*$C878+PM_Angle!$L$20*$B878</f>
      </c>
      <c r="AK878" s="12">
        <f>IF(AJ878&gt;0,IF(AJ878&lt;=eco,alpha*fck*(1-(1-AJ878/eco)^n),alpha*fck),0)</f>
      </c>
      <c r="AL878" s="30">
        <f>PM_Angle!$J$21+PM_Angle!$K$21*$C878+PM_Angle!$L$21*$B878</f>
      </c>
      <c r="AM878" s="12">
        <f>IF(AL878&gt;0,IF(AL878&lt;=eco,alpha*fck*(1-(1-AL878/eco)^n),alpha*fck),0)</f>
      </c>
      <c r="AN878" s="30">
        <f>PM_Angle!$J$22+PM_Angle!$K$22*$C878+PM_Angle!$L$22*$B878</f>
      </c>
      <c r="AO878" s="12">
        <f>IF(AN878&gt;0,IF(AN878&lt;=eco,alpha*fck*(1-(1-AN878/eco)^n),alpha*fck),0)</f>
      </c>
      <c r="AP878" s="30">
        <f>PM_Angle!$J$23+PM_Angle!$K$23*$C878+PM_Angle!$L$23*$B878</f>
      </c>
      <c r="AQ878" s="12">
        <f>IF(AP878&gt;0,IF(AP878&lt;=eco,alpha*fck*(1-(1-AP878/eco)^n),alpha*fck),0)</f>
      </c>
      <c r="AR878" s="30">
        <f>PM_Angle!$J$24+PM_Angle!$K$24*$C878+PM_Angle!$L$24*$B878</f>
      </c>
      <c r="AS878" s="12">
        <f>IF(AR878&gt;0,IF(AR878&lt;=eco,alpha*fck*(1-(1-AR878/eco)^n),alpha*fck),0)</f>
      </c>
      <c r="AT878" s="30">
        <f>PM_Angle!$J$25+PM_Angle!$K$25*$C878+PM_Angle!$L$25*$B878</f>
      </c>
      <c r="AU878" s="12">
        <f>IF(AT878&gt;0,IF(AT878&lt;=eco,alpha*fck*(1-(1-AT878/eco)^n),alpha*fck),0)</f>
      </c>
    </row>
    <row r="879" spans="1:47" x14ac:dyDescent="0.25">
      <c r="A879">
        <f>Mesh!A876</f>
      </c>
      <c r="B879" s="12">
        <f>Mesh!B876</f>
      </c>
      <c r="C879" s="12">
        <f>Mesh!C876</f>
      </c>
      <c r="D879" s="12">
        <f>Mesh!D876</f>
      </c>
      <c r="E879" s="30">
        <f>INDEX(St_e0,Det+1)+INDEX(St_kx,Det+1)*C879+INDEX(St_ky,Det+1)*B879</f>
      </c>
      <c r="F879" s="12">
        <f>IF(E879&gt;0,IF(E879&lt;=eco,alpha*fck*(1-(1-E879/eco)^n),alpha*fck),0)</f>
      </c>
      <c r="G879" s="11">
        <f>F879*D879</f>
      </c>
      <c r="H879" s="11">
        <f>G879*C879</f>
      </c>
      <c r="I879" s="11">
        <f>G879*B879</f>
      </c>
      <c r="J879" s="30">
        <f>PM_Angle!$J$7+PM_Angle!$K$7*$C879+PM_Angle!$L$7*$B879</f>
      </c>
      <c r="K879" s="12">
        <f>IF(J879&gt;0,IF(J879&lt;=eco,alpha*fck*(1-(1-J879/eco)^n),alpha*fck),0)</f>
      </c>
      <c r="L879" s="30">
        <f>PM_Angle!$J$8+PM_Angle!$K$8*$C879+PM_Angle!$L$8*$B879</f>
      </c>
      <c r="M879" s="12">
        <f>IF(L879&gt;0,IF(L879&lt;=eco,alpha*fck*(1-(1-L879/eco)^n),alpha*fck),0)</f>
      </c>
      <c r="N879" s="30">
        <f>PM_Angle!$J$9+PM_Angle!$K$9*$C879+PM_Angle!$L$9*$B879</f>
      </c>
      <c r="O879" s="12">
        <f>IF(N879&gt;0,IF(N879&lt;=eco,alpha*fck*(1-(1-N879/eco)^n),alpha*fck),0)</f>
      </c>
      <c r="P879" s="30">
        <f>PM_Angle!$J$10+PM_Angle!$K$10*$C879+PM_Angle!$L$10*$B879</f>
      </c>
      <c r="Q879" s="12">
        <f>IF(P879&gt;0,IF(P879&lt;=eco,alpha*fck*(1-(1-P879/eco)^n),alpha*fck),0)</f>
      </c>
      <c r="R879" s="30">
        <f>PM_Angle!$J$11+PM_Angle!$K$11*$C879+PM_Angle!$L$11*$B879</f>
      </c>
      <c r="S879" s="12">
        <f>IF(R879&gt;0,IF(R879&lt;=eco,alpha*fck*(1-(1-R879/eco)^n),alpha*fck),0)</f>
      </c>
      <c r="T879" s="30">
        <f>PM_Angle!$J$12+PM_Angle!$K$12*$C879+PM_Angle!$L$12*$B879</f>
      </c>
      <c r="U879" s="12">
        <f>IF(T879&gt;0,IF(T879&lt;=eco,alpha*fck*(1-(1-T879/eco)^n),alpha*fck),0)</f>
      </c>
      <c r="V879" s="30">
        <f>PM_Angle!$J$13+PM_Angle!$K$13*$C879+PM_Angle!$L$13*$B879</f>
      </c>
      <c r="W879" s="12">
        <f>IF(V879&gt;0,IF(V879&lt;=eco,alpha*fck*(1-(1-V879/eco)^n),alpha*fck),0)</f>
      </c>
      <c r="X879" s="30">
        <f>PM_Angle!$J$14+PM_Angle!$K$14*$C879+PM_Angle!$L$14*$B879</f>
      </c>
      <c r="Y879" s="12">
        <f>IF(X879&gt;0,IF(X879&lt;=eco,alpha*fck*(1-(1-X879/eco)^n),alpha*fck),0)</f>
      </c>
      <c r="Z879" s="30">
        <f>PM_Angle!$J$15+PM_Angle!$K$15*$C879+PM_Angle!$L$15*$B879</f>
      </c>
      <c r="AA879" s="12">
        <f>IF(Z879&gt;0,IF(Z879&lt;=eco,alpha*fck*(1-(1-Z879/eco)^n),alpha*fck),0)</f>
      </c>
      <c r="AB879" s="30">
        <f>PM_Angle!$J$16+PM_Angle!$K$16*$C879+PM_Angle!$L$16*$B879</f>
      </c>
      <c r="AC879" s="12">
        <f>IF(AB879&gt;0,IF(AB879&lt;=eco,alpha*fck*(1-(1-AB879/eco)^n),alpha*fck),0)</f>
      </c>
      <c r="AD879" s="30">
        <f>PM_Angle!$J$17+PM_Angle!$K$17*$C879+PM_Angle!$L$17*$B879</f>
      </c>
      <c r="AE879" s="12">
        <f>IF(AD879&gt;0,IF(AD879&lt;=eco,alpha*fck*(1-(1-AD879/eco)^n),alpha*fck),0)</f>
      </c>
      <c r="AF879" s="30">
        <f>PM_Angle!$J$18+PM_Angle!$K$18*$C879+PM_Angle!$L$18*$B879</f>
      </c>
      <c r="AG879" s="12">
        <f>IF(AF879&gt;0,IF(AF879&lt;=eco,alpha*fck*(1-(1-AF879/eco)^n),alpha*fck),0)</f>
      </c>
      <c r="AH879" s="30">
        <f>PM_Angle!$J$19+PM_Angle!$K$19*$C879+PM_Angle!$L$19*$B879</f>
      </c>
      <c r="AI879" s="12">
        <f>IF(AH879&gt;0,IF(AH879&lt;=eco,alpha*fck*(1-(1-AH879/eco)^n),alpha*fck),0)</f>
      </c>
      <c r="AJ879" s="30">
        <f>PM_Angle!$J$20+PM_Angle!$K$20*$C879+PM_Angle!$L$20*$B879</f>
      </c>
      <c r="AK879" s="12">
        <f>IF(AJ879&gt;0,IF(AJ879&lt;=eco,alpha*fck*(1-(1-AJ879/eco)^n),alpha*fck),0)</f>
      </c>
      <c r="AL879" s="30">
        <f>PM_Angle!$J$21+PM_Angle!$K$21*$C879+PM_Angle!$L$21*$B879</f>
      </c>
      <c r="AM879" s="12">
        <f>IF(AL879&gt;0,IF(AL879&lt;=eco,alpha*fck*(1-(1-AL879/eco)^n),alpha*fck),0)</f>
      </c>
      <c r="AN879" s="30">
        <f>PM_Angle!$J$22+PM_Angle!$K$22*$C879+PM_Angle!$L$22*$B879</f>
      </c>
      <c r="AO879" s="12">
        <f>IF(AN879&gt;0,IF(AN879&lt;=eco,alpha*fck*(1-(1-AN879/eco)^n),alpha*fck),0)</f>
      </c>
      <c r="AP879" s="30">
        <f>PM_Angle!$J$23+PM_Angle!$K$23*$C879+PM_Angle!$L$23*$B879</f>
      </c>
      <c r="AQ879" s="12">
        <f>IF(AP879&gt;0,IF(AP879&lt;=eco,alpha*fck*(1-(1-AP879/eco)^n),alpha*fck),0)</f>
      </c>
      <c r="AR879" s="30">
        <f>PM_Angle!$J$24+PM_Angle!$K$24*$C879+PM_Angle!$L$24*$B879</f>
      </c>
      <c r="AS879" s="12">
        <f>IF(AR879&gt;0,IF(AR879&lt;=eco,alpha*fck*(1-(1-AR879/eco)^n),alpha*fck),0)</f>
      </c>
      <c r="AT879" s="30">
        <f>PM_Angle!$J$25+PM_Angle!$K$25*$C879+PM_Angle!$L$25*$B879</f>
      </c>
      <c r="AU879" s="12">
        <f>IF(AT879&gt;0,IF(AT879&lt;=eco,alpha*fck*(1-(1-AT879/eco)^n),alpha*fck),0)</f>
      </c>
    </row>
    <row r="880" spans="1:47" x14ac:dyDescent="0.25">
      <c r="A880">
        <f>Mesh!A877</f>
      </c>
      <c r="B880" s="12">
        <f>Mesh!B877</f>
      </c>
      <c r="C880" s="12">
        <f>Mesh!C877</f>
      </c>
      <c r="D880" s="12">
        <f>Mesh!D877</f>
      </c>
      <c r="E880" s="30">
        <f>INDEX(St_e0,Det+1)+INDEX(St_kx,Det+1)*C880+INDEX(St_ky,Det+1)*B880</f>
      </c>
      <c r="F880" s="12">
        <f>IF(E880&gt;0,IF(E880&lt;=eco,alpha*fck*(1-(1-E880/eco)^n),alpha*fck),0)</f>
      </c>
      <c r="G880" s="11">
        <f>F880*D880</f>
      </c>
      <c r="H880" s="11">
        <f>G880*C880</f>
      </c>
      <c r="I880" s="11">
        <f>G880*B880</f>
      </c>
      <c r="J880" s="30">
        <f>PM_Angle!$J$7+PM_Angle!$K$7*$C880+PM_Angle!$L$7*$B880</f>
      </c>
      <c r="K880" s="12">
        <f>IF(J880&gt;0,IF(J880&lt;=eco,alpha*fck*(1-(1-J880/eco)^n),alpha*fck),0)</f>
      </c>
      <c r="L880" s="30">
        <f>PM_Angle!$J$8+PM_Angle!$K$8*$C880+PM_Angle!$L$8*$B880</f>
      </c>
      <c r="M880" s="12">
        <f>IF(L880&gt;0,IF(L880&lt;=eco,alpha*fck*(1-(1-L880/eco)^n),alpha*fck),0)</f>
      </c>
      <c r="N880" s="30">
        <f>PM_Angle!$J$9+PM_Angle!$K$9*$C880+PM_Angle!$L$9*$B880</f>
      </c>
      <c r="O880" s="12">
        <f>IF(N880&gt;0,IF(N880&lt;=eco,alpha*fck*(1-(1-N880/eco)^n),alpha*fck),0)</f>
      </c>
      <c r="P880" s="30">
        <f>PM_Angle!$J$10+PM_Angle!$K$10*$C880+PM_Angle!$L$10*$B880</f>
      </c>
      <c r="Q880" s="12">
        <f>IF(P880&gt;0,IF(P880&lt;=eco,alpha*fck*(1-(1-P880/eco)^n),alpha*fck),0)</f>
      </c>
      <c r="R880" s="30">
        <f>PM_Angle!$J$11+PM_Angle!$K$11*$C880+PM_Angle!$L$11*$B880</f>
      </c>
      <c r="S880" s="12">
        <f>IF(R880&gt;0,IF(R880&lt;=eco,alpha*fck*(1-(1-R880/eco)^n),alpha*fck),0)</f>
      </c>
      <c r="T880" s="30">
        <f>PM_Angle!$J$12+PM_Angle!$K$12*$C880+PM_Angle!$L$12*$B880</f>
      </c>
      <c r="U880" s="12">
        <f>IF(T880&gt;0,IF(T880&lt;=eco,alpha*fck*(1-(1-T880/eco)^n),alpha*fck),0)</f>
      </c>
      <c r="V880" s="30">
        <f>PM_Angle!$J$13+PM_Angle!$K$13*$C880+PM_Angle!$L$13*$B880</f>
      </c>
      <c r="W880" s="12">
        <f>IF(V880&gt;0,IF(V880&lt;=eco,alpha*fck*(1-(1-V880/eco)^n),alpha*fck),0)</f>
      </c>
      <c r="X880" s="30">
        <f>PM_Angle!$J$14+PM_Angle!$K$14*$C880+PM_Angle!$L$14*$B880</f>
      </c>
      <c r="Y880" s="12">
        <f>IF(X880&gt;0,IF(X880&lt;=eco,alpha*fck*(1-(1-X880/eco)^n),alpha*fck),0)</f>
      </c>
      <c r="Z880" s="30">
        <f>PM_Angle!$J$15+PM_Angle!$K$15*$C880+PM_Angle!$L$15*$B880</f>
      </c>
      <c r="AA880" s="12">
        <f>IF(Z880&gt;0,IF(Z880&lt;=eco,alpha*fck*(1-(1-Z880/eco)^n),alpha*fck),0)</f>
      </c>
      <c r="AB880" s="30">
        <f>PM_Angle!$J$16+PM_Angle!$K$16*$C880+PM_Angle!$L$16*$B880</f>
      </c>
      <c r="AC880" s="12">
        <f>IF(AB880&gt;0,IF(AB880&lt;=eco,alpha*fck*(1-(1-AB880/eco)^n),alpha*fck),0)</f>
      </c>
      <c r="AD880" s="30">
        <f>PM_Angle!$J$17+PM_Angle!$K$17*$C880+PM_Angle!$L$17*$B880</f>
      </c>
      <c r="AE880" s="12">
        <f>IF(AD880&gt;0,IF(AD880&lt;=eco,alpha*fck*(1-(1-AD880/eco)^n),alpha*fck),0)</f>
      </c>
      <c r="AF880" s="30">
        <f>PM_Angle!$J$18+PM_Angle!$K$18*$C880+PM_Angle!$L$18*$B880</f>
      </c>
      <c r="AG880" s="12">
        <f>IF(AF880&gt;0,IF(AF880&lt;=eco,alpha*fck*(1-(1-AF880/eco)^n),alpha*fck),0)</f>
      </c>
      <c r="AH880" s="30">
        <f>PM_Angle!$J$19+PM_Angle!$K$19*$C880+PM_Angle!$L$19*$B880</f>
      </c>
      <c r="AI880" s="12">
        <f>IF(AH880&gt;0,IF(AH880&lt;=eco,alpha*fck*(1-(1-AH880/eco)^n),alpha*fck),0)</f>
      </c>
      <c r="AJ880" s="30">
        <f>PM_Angle!$J$20+PM_Angle!$K$20*$C880+PM_Angle!$L$20*$B880</f>
      </c>
      <c r="AK880" s="12">
        <f>IF(AJ880&gt;0,IF(AJ880&lt;=eco,alpha*fck*(1-(1-AJ880/eco)^n),alpha*fck),0)</f>
      </c>
      <c r="AL880" s="30">
        <f>PM_Angle!$J$21+PM_Angle!$K$21*$C880+PM_Angle!$L$21*$B880</f>
      </c>
      <c r="AM880" s="12">
        <f>IF(AL880&gt;0,IF(AL880&lt;=eco,alpha*fck*(1-(1-AL880/eco)^n),alpha*fck),0)</f>
      </c>
      <c r="AN880" s="30">
        <f>PM_Angle!$J$22+PM_Angle!$K$22*$C880+PM_Angle!$L$22*$B880</f>
      </c>
      <c r="AO880" s="12">
        <f>IF(AN880&gt;0,IF(AN880&lt;=eco,alpha*fck*(1-(1-AN880/eco)^n),alpha*fck),0)</f>
      </c>
      <c r="AP880" s="30">
        <f>PM_Angle!$J$23+PM_Angle!$K$23*$C880+PM_Angle!$L$23*$B880</f>
      </c>
      <c r="AQ880" s="12">
        <f>IF(AP880&gt;0,IF(AP880&lt;=eco,alpha*fck*(1-(1-AP880/eco)^n),alpha*fck),0)</f>
      </c>
      <c r="AR880" s="30">
        <f>PM_Angle!$J$24+PM_Angle!$K$24*$C880+PM_Angle!$L$24*$B880</f>
      </c>
      <c r="AS880" s="12">
        <f>IF(AR880&gt;0,IF(AR880&lt;=eco,alpha*fck*(1-(1-AR880/eco)^n),alpha*fck),0)</f>
      </c>
      <c r="AT880" s="30">
        <f>PM_Angle!$J$25+PM_Angle!$K$25*$C880+PM_Angle!$L$25*$B880</f>
      </c>
      <c r="AU880" s="12">
        <f>IF(AT880&gt;0,IF(AT880&lt;=eco,alpha*fck*(1-(1-AT880/eco)^n),alpha*fck),0)</f>
      </c>
    </row>
    <row r="881" spans="1:47" x14ac:dyDescent="0.25">
      <c r="A881">
        <f>Mesh!A878</f>
      </c>
      <c r="B881" s="12">
        <f>Mesh!B878</f>
      </c>
      <c r="C881" s="12">
        <f>Mesh!C878</f>
      </c>
      <c r="D881" s="12">
        <f>Mesh!D878</f>
      </c>
      <c r="E881" s="30">
        <f>INDEX(St_e0,Det+1)+INDEX(St_kx,Det+1)*C881+INDEX(St_ky,Det+1)*B881</f>
      </c>
      <c r="F881" s="12">
        <f>IF(E881&gt;0,IF(E881&lt;=eco,alpha*fck*(1-(1-E881/eco)^n),alpha*fck),0)</f>
      </c>
      <c r="G881" s="11">
        <f>F881*D881</f>
      </c>
      <c r="H881" s="11">
        <f>G881*C881</f>
      </c>
      <c r="I881" s="11">
        <f>G881*B881</f>
      </c>
      <c r="J881" s="30">
        <f>PM_Angle!$J$7+PM_Angle!$K$7*$C881+PM_Angle!$L$7*$B881</f>
      </c>
      <c r="K881" s="12">
        <f>IF(J881&gt;0,IF(J881&lt;=eco,alpha*fck*(1-(1-J881/eco)^n),alpha*fck),0)</f>
      </c>
      <c r="L881" s="30">
        <f>PM_Angle!$J$8+PM_Angle!$K$8*$C881+PM_Angle!$L$8*$B881</f>
      </c>
      <c r="M881" s="12">
        <f>IF(L881&gt;0,IF(L881&lt;=eco,alpha*fck*(1-(1-L881/eco)^n),alpha*fck),0)</f>
      </c>
      <c r="N881" s="30">
        <f>PM_Angle!$J$9+PM_Angle!$K$9*$C881+PM_Angle!$L$9*$B881</f>
      </c>
      <c r="O881" s="12">
        <f>IF(N881&gt;0,IF(N881&lt;=eco,alpha*fck*(1-(1-N881/eco)^n),alpha*fck),0)</f>
      </c>
      <c r="P881" s="30">
        <f>PM_Angle!$J$10+PM_Angle!$K$10*$C881+PM_Angle!$L$10*$B881</f>
      </c>
      <c r="Q881" s="12">
        <f>IF(P881&gt;0,IF(P881&lt;=eco,alpha*fck*(1-(1-P881/eco)^n),alpha*fck),0)</f>
      </c>
      <c r="R881" s="30">
        <f>PM_Angle!$J$11+PM_Angle!$K$11*$C881+PM_Angle!$L$11*$B881</f>
      </c>
      <c r="S881" s="12">
        <f>IF(R881&gt;0,IF(R881&lt;=eco,alpha*fck*(1-(1-R881/eco)^n),alpha*fck),0)</f>
      </c>
      <c r="T881" s="30">
        <f>PM_Angle!$J$12+PM_Angle!$K$12*$C881+PM_Angle!$L$12*$B881</f>
      </c>
      <c r="U881" s="12">
        <f>IF(T881&gt;0,IF(T881&lt;=eco,alpha*fck*(1-(1-T881/eco)^n),alpha*fck),0)</f>
      </c>
      <c r="V881" s="30">
        <f>PM_Angle!$J$13+PM_Angle!$K$13*$C881+PM_Angle!$L$13*$B881</f>
      </c>
      <c r="W881" s="12">
        <f>IF(V881&gt;0,IF(V881&lt;=eco,alpha*fck*(1-(1-V881/eco)^n),alpha*fck),0)</f>
      </c>
      <c r="X881" s="30">
        <f>PM_Angle!$J$14+PM_Angle!$K$14*$C881+PM_Angle!$L$14*$B881</f>
      </c>
      <c r="Y881" s="12">
        <f>IF(X881&gt;0,IF(X881&lt;=eco,alpha*fck*(1-(1-X881/eco)^n),alpha*fck),0)</f>
      </c>
      <c r="Z881" s="30">
        <f>PM_Angle!$J$15+PM_Angle!$K$15*$C881+PM_Angle!$L$15*$B881</f>
      </c>
      <c r="AA881" s="12">
        <f>IF(Z881&gt;0,IF(Z881&lt;=eco,alpha*fck*(1-(1-Z881/eco)^n),alpha*fck),0)</f>
      </c>
      <c r="AB881" s="30">
        <f>PM_Angle!$J$16+PM_Angle!$K$16*$C881+PM_Angle!$L$16*$B881</f>
      </c>
      <c r="AC881" s="12">
        <f>IF(AB881&gt;0,IF(AB881&lt;=eco,alpha*fck*(1-(1-AB881/eco)^n),alpha*fck),0)</f>
      </c>
      <c r="AD881" s="30">
        <f>PM_Angle!$J$17+PM_Angle!$K$17*$C881+PM_Angle!$L$17*$B881</f>
      </c>
      <c r="AE881" s="12">
        <f>IF(AD881&gt;0,IF(AD881&lt;=eco,alpha*fck*(1-(1-AD881/eco)^n),alpha*fck),0)</f>
      </c>
      <c r="AF881" s="30">
        <f>PM_Angle!$J$18+PM_Angle!$K$18*$C881+PM_Angle!$L$18*$B881</f>
      </c>
      <c r="AG881" s="12">
        <f>IF(AF881&gt;0,IF(AF881&lt;=eco,alpha*fck*(1-(1-AF881/eco)^n),alpha*fck),0)</f>
      </c>
      <c r="AH881" s="30">
        <f>PM_Angle!$J$19+PM_Angle!$K$19*$C881+PM_Angle!$L$19*$B881</f>
      </c>
      <c r="AI881" s="12">
        <f>IF(AH881&gt;0,IF(AH881&lt;=eco,alpha*fck*(1-(1-AH881/eco)^n),alpha*fck),0)</f>
      </c>
      <c r="AJ881" s="30">
        <f>PM_Angle!$J$20+PM_Angle!$K$20*$C881+PM_Angle!$L$20*$B881</f>
      </c>
      <c r="AK881" s="12">
        <f>IF(AJ881&gt;0,IF(AJ881&lt;=eco,alpha*fck*(1-(1-AJ881/eco)^n),alpha*fck),0)</f>
      </c>
      <c r="AL881" s="30">
        <f>PM_Angle!$J$21+PM_Angle!$K$21*$C881+PM_Angle!$L$21*$B881</f>
      </c>
      <c r="AM881" s="12">
        <f>IF(AL881&gt;0,IF(AL881&lt;=eco,alpha*fck*(1-(1-AL881/eco)^n),alpha*fck),0)</f>
      </c>
      <c r="AN881" s="30">
        <f>PM_Angle!$J$22+PM_Angle!$K$22*$C881+PM_Angle!$L$22*$B881</f>
      </c>
      <c r="AO881" s="12">
        <f>IF(AN881&gt;0,IF(AN881&lt;=eco,alpha*fck*(1-(1-AN881/eco)^n),alpha*fck),0)</f>
      </c>
      <c r="AP881" s="30">
        <f>PM_Angle!$J$23+PM_Angle!$K$23*$C881+PM_Angle!$L$23*$B881</f>
      </c>
      <c r="AQ881" s="12">
        <f>IF(AP881&gt;0,IF(AP881&lt;=eco,alpha*fck*(1-(1-AP881/eco)^n),alpha*fck),0)</f>
      </c>
      <c r="AR881" s="30">
        <f>PM_Angle!$J$24+PM_Angle!$K$24*$C881+PM_Angle!$L$24*$B881</f>
      </c>
      <c r="AS881" s="12">
        <f>IF(AR881&gt;0,IF(AR881&lt;=eco,alpha*fck*(1-(1-AR881/eco)^n),alpha*fck),0)</f>
      </c>
      <c r="AT881" s="30">
        <f>PM_Angle!$J$25+PM_Angle!$K$25*$C881+PM_Angle!$L$25*$B881</f>
      </c>
      <c r="AU881" s="12">
        <f>IF(AT881&gt;0,IF(AT881&lt;=eco,alpha*fck*(1-(1-AT881/eco)^n),alpha*fck),0)</f>
      </c>
    </row>
    <row r="882" spans="1:47" x14ac:dyDescent="0.25">
      <c r="A882">
        <f>Mesh!A879</f>
      </c>
      <c r="B882" s="12">
        <f>Mesh!B879</f>
      </c>
      <c r="C882" s="12">
        <f>Mesh!C879</f>
      </c>
      <c r="D882" s="12">
        <f>Mesh!D879</f>
      </c>
      <c r="E882" s="30">
        <f>INDEX(St_e0,Det+1)+INDEX(St_kx,Det+1)*C882+INDEX(St_ky,Det+1)*B882</f>
      </c>
      <c r="F882" s="12">
        <f>IF(E882&gt;0,IF(E882&lt;=eco,alpha*fck*(1-(1-E882/eco)^n),alpha*fck),0)</f>
      </c>
      <c r="G882" s="11">
        <f>F882*D882</f>
      </c>
      <c r="H882" s="11">
        <f>G882*C882</f>
      </c>
      <c r="I882" s="11">
        <f>G882*B882</f>
      </c>
      <c r="J882" s="30">
        <f>PM_Angle!$J$7+PM_Angle!$K$7*$C882+PM_Angle!$L$7*$B882</f>
      </c>
      <c r="K882" s="12">
        <f>IF(J882&gt;0,IF(J882&lt;=eco,alpha*fck*(1-(1-J882/eco)^n),alpha*fck),0)</f>
      </c>
      <c r="L882" s="30">
        <f>PM_Angle!$J$8+PM_Angle!$K$8*$C882+PM_Angle!$L$8*$B882</f>
      </c>
      <c r="M882" s="12">
        <f>IF(L882&gt;0,IF(L882&lt;=eco,alpha*fck*(1-(1-L882/eco)^n),alpha*fck),0)</f>
      </c>
      <c r="N882" s="30">
        <f>PM_Angle!$J$9+PM_Angle!$K$9*$C882+PM_Angle!$L$9*$B882</f>
      </c>
      <c r="O882" s="12">
        <f>IF(N882&gt;0,IF(N882&lt;=eco,alpha*fck*(1-(1-N882/eco)^n),alpha*fck),0)</f>
      </c>
      <c r="P882" s="30">
        <f>PM_Angle!$J$10+PM_Angle!$K$10*$C882+PM_Angle!$L$10*$B882</f>
      </c>
      <c r="Q882" s="12">
        <f>IF(P882&gt;0,IF(P882&lt;=eco,alpha*fck*(1-(1-P882/eco)^n),alpha*fck),0)</f>
      </c>
      <c r="R882" s="30">
        <f>PM_Angle!$J$11+PM_Angle!$K$11*$C882+PM_Angle!$L$11*$B882</f>
      </c>
      <c r="S882" s="12">
        <f>IF(R882&gt;0,IF(R882&lt;=eco,alpha*fck*(1-(1-R882/eco)^n),alpha*fck),0)</f>
      </c>
      <c r="T882" s="30">
        <f>PM_Angle!$J$12+PM_Angle!$K$12*$C882+PM_Angle!$L$12*$B882</f>
      </c>
      <c r="U882" s="12">
        <f>IF(T882&gt;0,IF(T882&lt;=eco,alpha*fck*(1-(1-T882/eco)^n),alpha*fck),0)</f>
      </c>
      <c r="V882" s="30">
        <f>PM_Angle!$J$13+PM_Angle!$K$13*$C882+PM_Angle!$L$13*$B882</f>
      </c>
      <c r="W882" s="12">
        <f>IF(V882&gt;0,IF(V882&lt;=eco,alpha*fck*(1-(1-V882/eco)^n),alpha*fck),0)</f>
      </c>
      <c r="X882" s="30">
        <f>PM_Angle!$J$14+PM_Angle!$K$14*$C882+PM_Angle!$L$14*$B882</f>
      </c>
      <c r="Y882" s="12">
        <f>IF(X882&gt;0,IF(X882&lt;=eco,alpha*fck*(1-(1-X882/eco)^n),alpha*fck),0)</f>
      </c>
      <c r="Z882" s="30">
        <f>PM_Angle!$J$15+PM_Angle!$K$15*$C882+PM_Angle!$L$15*$B882</f>
      </c>
      <c r="AA882" s="12">
        <f>IF(Z882&gt;0,IF(Z882&lt;=eco,alpha*fck*(1-(1-Z882/eco)^n),alpha*fck),0)</f>
      </c>
      <c r="AB882" s="30">
        <f>PM_Angle!$J$16+PM_Angle!$K$16*$C882+PM_Angle!$L$16*$B882</f>
      </c>
      <c r="AC882" s="12">
        <f>IF(AB882&gt;0,IF(AB882&lt;=eco,alpha*fck*(1-(1-AB882/eco)^n),alpha*fck),0)</f>
      </c>
      <c r="AD882" s="30">
        <f>PM_Angle!$J$17+PM_Angle!$K$17*$C882+PM_Angle!$L$17*$B882</f>
      </c>
      <c r="AE882" s="12">
        <f>IF(AD882&gt;0,IF(AD882&lt;=eco,alpha*fck*(1-(1-AD882/eco)^n),alpha*fck),0)</f>
      </c>
      <c r="AF882" s="30">
        <f>PM_Angle!$J$18+PM_Angle!$K$18*$C882+PM_Angle!$L$18*$B882</f>
      </c>
      <c r="AG882" s="12">
        <f>IF(AF882&gt;0,IF(AF882&lt;=eco,alpha*fck*(1-(1-AF882/eco)^n),alpha*fck),0)</f>
      </c>
      <c r="AH882" s="30">
        <f>PM_Angle!$J$19+PM_Angle!$K$19*$C882+PM_Angle!$L$19*$B882</f>
      </c>
      <c r="AI882" s="12">
        <f>IF(AH882&gt;0,IF(AH882&lt;=eco,alpha*fck*(1-(1-AH882/eco)^n),alpha*fck),0)</f>
      </c>
      <c r="AJ882" s="30">
        <f>PM_Angle!$J$20+PM_Angle!$K$20*$C882+PM_Angle!$L$20*$B882</f>
      </c>
      <c r="AK882" s="12">
        <f>IF(AJ882&gt;0,IF(AJ882&lt;=eco,alpha*fck*(1-(1-AJ882/eco)^n),alpha*fck),0)</f>
      </c>
      <c r="AL882" s="30">
        <f>PM_Angle!$J$21+PM_Angle!$K$21*$C882+PM_Angle!$L$21*$B882</f>
      </c>
      <c r="AM882" s="12">
        <f>IF(AL882&gt;0,IF(AL882&lt;=eco,alpha*fck*(1-(1-AL882/eco)^n),alpha*fck),0)</f>
      </c>
      <c r="AN882" s="30">
        <f>PM_Angle!$J$22+PM_Angle!$K$22*$C882+PM_Angle!$L$22*$B882</f>
      </c>
      <c r="AO882" s="12">
        <f>IF(AN882&gt;0,IF(AN882&lt;=eco,alpha*fck*(1-(1-AN882/eco)^n),alpha*fck),0)</f>
      </c>
      <c r="AP882" s="30">
        <f>PM_Angle!$J$23+PM_Angle!$K$23*$C882+PM_Angle!$L$23*$B882</f>
      </c>
      <c r="AQ882" s="12">
        <f>IF(AP882&gt;0,IF(AP882&lt;=eco,alpha*fck*(1-(1-AP882/eco)^n),alpha*fck),0)</f>
      </c>
      <c r="AR882" s="30">
        <f>PM_Angle!$J$24+PM_Angle!$K$24*$C882+PM_Angle!$L$24*$B882</f>
      </c>
      <c r="AS882" s="12">
        <f>IF(AR882&gt;0,IF(AR882&lt;=eco,alpha*fck*(1-(1-AR882/eco)^n),alpha*fck),0)</f>
      </c>
      <c r="AT882" s="30">
        <f>PM_Angle!$J$25+PM_Angle!$K$25*$C882+PM_Angle!$L$25*$B882</f>
      </c>
      <c r="AU882" s="12">
        <f>IF(AT882&gt;0,IF(AT882&lt;=eco,alpha*fck*(1-(1-AT882/eco)^n),alpha*fck),0)</f>
      </c>
    </row>
    <row r="883" spans="1:47" x14ac:dyDescent="0.25">
      <c r="A883">
        <f>Mesh!A880</f>
      </c>
      <c r="B883" s="12">
        <f>Mesh!B880</f>
      </c>
      <c r="C883" s="12">
        <f>Mesh!C880</f>
      </c>
      <c r="D883" s="12">
        <f>Mesh!D880</f>
      </c>
      <c r="E883" s="30">
        <f>INDEX(St_e0,Det+1)+INDEX(St_kx,Det+1)*C883+INDEX(St_ky,Det+1)*B883</f>
      </c>
      <c r="F883" s="12">
        <f>IF(E883&gt;0,IF(E883&lt;=eco,alpha*fck*(1-(1-E883/eco)^n),alpha*fck),0)</f>
      </c>
      <c r="G883" s="11">
        <f>F883*D883</f>
      </c>
      <c r="H883" s="11">
        <f>G883*C883</f>
      </c>
      <c r="I883" s="11">
        <f>G883*B883</f>
      </c>
      <c r="J883" s="30">
        <f>PM_Angle!$J$7+PM_Angle!$K$7*$C883+PM_Angle!$L$7*$B883</f>
      </c>
      <c r="K883" s="12">
        <f>IF(J883&gt;0,IF(J883&lt;=eco,alpha*fck*(1-(1-J883/eco)^n),alpha*fck),0)</f>
      </c>
      <c r="L883" s="30">
        <f>PM_Angle!$J$8+PM_Angle!$K$8*$C883+PM_Angle!$L$8*$B883</f>
      </c>
      <c r="M883" s="12">
        <f>IF(L883&gt;0,IF(L883&lt;=eco,alpha*fck*(1-(1-L883/eco)^n),alpha*fck),0)</f>
      </c>
      <c r="N883" s="30">
        <f>PM_Angle!$J$9+PM_Angle!$K$9*$C883+PM_Angle!$L$9*$B883</f>
      </c>
      <c r="O883" s="12">
        <f>IF(N883&gt;0,IF(N883&lt;=eco,alpha*fck*(1-(1-N883/eco)^n),alpha*fck),0)</f>
      </c>
      <c r="P883" s="30">
        <f>PM_Angle!$J$10+PM_Angle!$K$10*$C883+PM_Angle!$L$10*$B883</f>
      </c>
      <c r="Q883" s="12">
        <f>IF(P883&gt;0,IF(P883&lt;=eco,alpha*fck*(1-(1-P883/eco)^n),alpha*fck),0)</f>
      </c>
      <c r="R883" s="30">
        <f>PM_Angle!$J$11+PM_Angle!$K$11*$C883+PM_Angle!$L$11*$B883</f>
      </c>
      <c r="S883" s="12">
        <f>IF(R883&gt;0,IF(R883&lt;=eco,alpha*fck*(1-(1-R883/eco)^n),alpha*fck),0)</f>
      </c>
      <c r="T883" s="30">
        <f>PM_Angle!$J$12+PM_Angle!$K$12*$C883+PM_Angle!$L$12*$B883</f>
      </c>
      <c r="U883" s="12">
        <f>IF(T883&gt;0,IF(T883&lt;=eco,alpha*fck*(1-(1-T883/eco)^n),alpha*fck),0)</f>
      </c>
      <c r="V883" s="30">
        <f>PM_Angle!$J$13+PM_Angle!$K$13*$C883+PM_Angle!$L$13*$B883</f>
      </c>
      <c r="W883" s="12">
        <f>IF(V883&gt;0,IF(V883&lt;=eco,alpha*fck*(1-(1-V883/eco)^n),alpha*fck),0)</f>
      </c>
      <c r="X883" s="30">
        <f>PM_Angle!$J$14+PM_Angle!$K$14*$C883+PM_Angle!$L$14*$B883</f>
      </c>
      <c r="Y883" s="12">
        <f>IF(X883&gt;0,IF(X883&lt;=eco,alpha*fck*(1-(1-X883/eco)^n),alpha*fck),0)</f>
      </c>
      <c r="Z883" s="30">
        <f>PM_Angle!$J$15+PM_Angle!$K$15*$C883+PM_Angle!$L$15*$B883</f>
      </c>
      <c r="AA883" s="12">
        <f>IF(Z883&gt;0,IF(Z883&lt;=eco,alpha*fck*(1-(1-Z883/eco)^n),alpha*fck),0)</f>
      </c>
      <c r="AB883" s="30">
        <f>PM_Angle!$J$16+PM_Angle!$K$16*$C883+PM_Angle!$L$16*$B883</f>
      </c>
      <c r="AC883" s="12">
        <f>IF(AB883&gt;0,IF(AB883&lt;=eco,alpha*fck*(1-(1-AB883/eco)^n),alpha*fck),0)</f>
      </c>
      <c r="AD883" s="30">
        <f>PM_Angle!$J$17+PM_Angle!$K$17*$C883+PM_Angle!$L$17*$B883</f>
      </c>
      <c r="AE883" s="12">
        <f>IF(AD883&gt;0,IF(AD883&lt;=eco,alpha*fck*(1-(1-AD883/eco)^n),alpha*fck),0)</f>
      </c>
      <c r="AF883" s="30">
        <f>PM_Angle!$J$18+PM_Angle!$K$18*$C883+PM_Angle!$L$18*$B883</f>
      </c>
      <c r="AG883" s="12">
        <f>IF(AF883&gt;0,IF(AF883&lt;=eco,alpha*fck*(1-(1-AF883/eco)^n),alpha*fck),0)</f>
      </c>
      <c r="AH883" s="30">
        <f>PM_Angle!$J$19+PM_Angle!$K$19*$C883+PM_Angle!$L$19*$B883</f>
      </c>
      <c r="AI883" s="12">
        <f>IF(AH883&gt;0,IF(AH883&lt;=eco,alpha*fck*(1-(1-AH883/eco)^n),alpha*fck),0)</f>
      </c>
      <c r="AJ883" s="30">
        <f>PM_Angle!$J$20+PM_Angle!$K$20*$C883+PM_Angle!$L$20*$B883</f>
      </c>
      <c r="AK883" s="12">
        <f>IF(AJ883&gt;0,IF(AJ883&lt;=eco,alpha*fck*(1-(1-AJ883/eco)^n),alpha*fck),0)</f>
      </c>
      <c r="AL883" s="30">
        <f>PM_Angle!$J$21+PM_Angle!$K$21*$C883+PM_Angle!$L$21*$B883</f>
      </c>
      <c r="AM883" s="12">
        <f>IF(AL883&gt;0,IF(AL883&lt;=eco,alpha*fck*(1-(1-AL883/eco)^n),alpha*fck),0)</f>
      </c>
      <c r="AN883" s="30">
        <f>PM_Angle!$J$22+PM_Angle!$K$22*$C883+PM_Angle!$L$22*$B883</f>
      </c>
      <c r="AO883" s="12">
        <f>IF(AN883&gt;0,IF(AN883&lt;=eco,alpha*fck*(1-(1-AN883/eco)^n),alpha*fck),0)</f>
      </c>
      <c r="AP883" s="30">
        <f>PM_Angle!$J$23+PM_Angle!$K$23*$C883+PM_Angle!$L$23*$B883</f>
      </c>
      <c r="AQ883" s="12">
        <f>IF(AP883&gt;0,IF(AP883&lt;=eco,alpha*fck*(1-(1-AP883/eco)^n),alpha*fck),0)</f>
      </c>
      <c r="AR883" s="30">
        <f>PM_Angle!$J$24+PM_Angle!$K$24*$C883+PM_Angle!$L$24*$B883</f>
      </c>
      <c r="AS883" s="12">
        <f>IF(AR883&gt;0,IF(AR883&lt;=eco,alpha*fck*(1-(1-AR883/eco)^n),alpha*fck),0)</f>
      </c>
      <c r="AT883" s="30">
        <f>PM_Angle!$J$25+PM_Angle!$K$25*$C883+PM_Angle!$L$25*$B883</f>
      </c>
      <c r="AU883" s="12">
        <f>IF(AT883&gt;0,IF(AT883&lt;=eco,alpha*fck*(1-(1-AT883/eco)^n),alpha*fck),0)</f>
      </c>
    </row>
    <row r="884" spans="1:47" x14ac:dyDescent="0.25">
      <c r="A884">
        <f>Mesh!A881</f>
      </c>
      <c r="B884" s="12">
        <f>Mesh!B881</f>
      </c>
      <c r="C884" s="12">
        <f>Mesh!C881</f>
      </c>
      <c r="D884" s="12">
        <f>Mesh!D881</f>
      </c>
      <c r="E884" s="30">
        <f>INDEX(St_e0,Det+1)+INDEX(St_kx,Det+1)*C884+INDEX(St_ky,Det+1)*B884</f>
      </c>
      <c r="F884" s="12">
        <f>IF(E884&gt;0,IF(E884&lt;=eco,alpha*fck*(1-(1-E884/eco)^n),alpha*fck),0)</f>
      </c>
      <c r="G884" s="11">
        <f>F884*D884</f>
      </c>
      <c r="H884" s="11">
        <f>G884*C884</f>
      </c>
      <c r="I884" s="11">
        <f>G884*B884</f>
      </c>
      <c r="J884" s="30">
        <f>PM_Angle!$J$7+PM_Angle!$K$7*$C884+PM_Angle!$L$7*$B884</f>
      </c>
      <c r="K884" s="12">
        <f>IF(J884&gt;0,IF(J884&lt;=eco,alpha*fck*(1-(1-J884/eco)^n),alpha*fck),0)</f>
      </c>
      <c r="L884" s="30">
        <f>PM_Angle!$J$8+PM_Angle!$K$8*$C884+PM_Angle!$L$8*$B884</f>
      </c>
      <c r="M884" s="12">
        <f>IF(L884&gt;0,IF(L884&lt;=eco,alpha*fck*(1-(1-L884/eco)^n),alpha*fck),0)</f>
      </c>
      <c r="N884" s="30">
        <f>PM_Angle!$J$9+PM_Angle!$K$9*$C884+PM_Angle!$L$9*$B884</f>
      </c>
      <c r="O884" s="12">
        <f>IF(N884&gt;0,IF(N884&lt;=eco,alpha*fck*(1-(1-N884/eco)^n),alpha*fck),0)</f>
      </c>
      <c r="P884" s="30">
        <f>PM_Angle!$J$10+PM_Angle!$K$10*$C884+PM_Angle!$L$10*$B884</f>
      </c>
      <c r="Q884" s="12">
        <f>IF(P884&gt;0,IF(P884&lt;=eco,alpha*fck*(1-(1-P884/eco)^n),alpha*fck),0)</f>
      </c>
      <c r="R884" s="30">
        <f>PM_Angle!$J$11+PM_Angle!$K$11*$C884+PM_Angle!$L$11*$B884</f>
      </c>
      <c r="S884" s="12">
        <f>IF(R884&gt;0,IF(R884&lt;=eco,alpha*fck*(1-(1-R884/eco)^n),alpha*fck),0)</f>
      </c>
      <c r="T884" s="30">
        <f>PM_Angle!$J$12+PM_Angle!$K$12*$C884+PM_Angle!$L$12*$B884</f>
      </c>
      <c r="U884" s="12">
        <f>IF(T884&gt;0,IF(T884&lt;=eco,alpha*fck*(1-(1-T884/eco)^n),alpha*fck),0)</f>
      </c>
      <c r="V884" s="30">
        <f>PM_Angle!$J$13+PM_Angle!$K$13*$C884+PM_Angle!$L$13*$B884</f>
      </c>
      <c r="W884" s="12">
        <f>IF(V884&gt;0,IF(V884&lt;=eco,alpha*fck*(1-(1-V884/eco)^n),alpha*fck),0)</f>
      </c>
      <c r="X884" s="30">
        <f>PM_Angle!$J$14+PM_Angle!$K$14*$C884+PM_Angle!$L$14*$B884</f>
      </c>
      <c r="Y884" s="12">
        <f>IF(X884&gt;0,IF(X884&lt;=eco,alpha*fck*(1-(1-X884/eco)^n),alpha*fck),0)</f>
      </c>
      <c r="Z884" s="30">
        <f>PM_Angle!$J$15+PM_Angle!$K$15*$C884+PM_Angle!$L$15*$B884</f>
      </c>
      <c r="AA884" s="12">
        <f>IF(Z884&gt;0,IF(Z884&lt;=eco,alpha*fck*(1-(1-Z884/eco)^n),alpha*fck),0)</f>
      </c>
      <c r="AB884" s="30">
        <f>PM_Angle!$J$16+PM_Angle!$K$16*$C884+PM_Angle!$L$16*$B884</f>
      </c>
      <c r="AC884" s="12">
        <f>IF(AB884&gt;0,IF(AB884&lt;=eco,alpha*fck*(1-(1-AB884/eco)^n),alpha*fck),0)</f>
      </c>
      <c r="AD884" s="30">
        <f>PM_Angle!$J$17+PM_Angle!$K$17*$C884+PM_Angle!$L$17*$B884</f>
      </c>
      <c r="AE884" s="12">
        <f>IF(AD884&gt;0,IF(AD884&lt;=eco,alpha*fck*(1-(1-AD884/eco)^n),alpha*fck),0)</f>
      </c>
      <c r="AF884" s="30">
        <f>PM_Angle!$J$18+PM_Angle!$K$18*$C884+PM_Angle!$L$18*$B884</f>
      </c>
      <c r="AG884" s="12">
        <f>IF(AF884&gt;0,IF(AF884&lt;=eco,alpha*fck*(1-(1-AF884/eco)^n),alpha*fck),0)</f>
      </c>
      <c r="AH884" s="30">
        <f>PM_Angle!$J$19+PM_Angle!$K$19*$C884+PM_Angle!$L$19*$B884</f>
      </c>
      <c r="AI884" s="12">
        <f>IF(AH884&gt;0,IF(AH884&lt;=eco,alpha*fck*(1-(1-AH884/eco)^n),alpha*fck),0)</f>
      </c>
      <c r="AJ884" s="30">
        <f>PM_Angle!$J$20+PM_Angle!$K$20*$C884+PM_Angle!$L$20*$B884</f>
      </c>
      <c r="AK884" s="12">
        <f>IF(AJ884&gt;0,IF(AJ884&lt;=eco,alpha*fck*(1-(1-AJ884/eco)^n),alpha*fck),0)</f>
      </c>
      <c r="AL884" s="30">
        <f>PM_Angle!$J$21+PM_Angle!$K$21*$C884+PM_Angle!$L$21*$B884</f>
      </c>
      <c r="AM884" s="12">
        <f>IF(AL884&gt;0,IF(AL884&lt;=eco,alpha*fck*(1-(1-AL884/eco)^n),alpha*fck),0)</f>
      </c>
      <c r="AN884" s="30">
        <f>PM_Angle!$J$22+PM_Angle!$K$22*$C884+PM_Angle!$L$22*$B884</f>
      </c>
      <c r="AO884" s="12">
        <f>IF(AN884&gt;0,IF(AN884&lt;=eco,alpha*fck*(1-(1-AN884/eco)^n),alpha*fck),0)</f>
      </c>
      <c r="AP884" s="30">
        <f>PM_Angle!$J$23+PM_Angle!$K$23*$C884+PM_Angle!$L$23*$B884</f>
      </c>
      <c r="AQ884" s="12">
        <f>IF(AP884&gt;0,IF(AP884&lt;=eco,alpha*fck*(1-(1-AP884/eco)^n),alpha*fck),0)</f>
      </c>
      <c r="AR884" s="30">
        <f>PM_Angle!$J$24+PM_Angle!$K$24*$C884+PM_Angle!$L$24*$B884</f>
      </c>
      <c r="AS884" s="12">
        <f>IF(AR884&gt;0,IF(AR884&lt;=eco,alpha*fck*(1-(1-AR884/eco)^n),alpha*fck),0)</f>
      </c>
      <c r="AT884" s="30">
        <f>PM_Angle!$J$25+PM_Angle!$K$25*$C884+PM_Angle!$L$25*$B884</f>
      </c>
      <c r="AU884" s="12">
        <f>IF(AT884&gt;0,IF(AT884&lt;=eco,alpha*fck*(1-(1-AT884/eco)^n),alpha*fck),0)</f>
      </c>
    </row>
    <row r="885" spans="1:47" x14ac:dyDescent="0.25">
      <c r="A885">
        <f>Mesh!A882</f>
      </c>
      <c r="B885" s="12">
        <f>Mesh!B882</f>
      </c>
      <c r="C885" s="12">
        <f>Mesh!C882</f>
      </c>
      <c r="D885" s="12">
        <f>Mesh!D882</f>
      </c>
      <c r="E885" s="30">
        <f>INDEX(St_e0,Det+1)+INDEX(St_kx,Det+1)*C885+INDEX(St_ky,Det+1)*B885</f>
      </c>
      <c r="F885" s="12">
        <f>IF(E885&gt;0,IF(E885&lt;=eco,alpha*fck*(1-(1-E885/eco)^n),alpha*fck),0)</f>
      </c>
      <c r="G885" s="11">
        <f>F885*D885</f>
      </c>
      <c r="H885" s="11">
        <f>G885*C885</f>
      </c>
      <c r="I885" s="11">
        <f>G885*B885</f>
      </c>
      <c r="J885" s="30">
        <f>PM_Angle!$J$7+PM_Angle!$K$7*$C885+PM_Angle!$L$7*$B885</f>
      </c>
      <c r="K885" s="12">
        <f>IF(J885&gt;0,IF(J885&lt;=eco,alpha*fck*(1-(1-J885/eco)^n),alpha*fck),0)</f>
      </c>
      <c r="L885" s="30">
        <f>PM_Angle!$J$8+PM_Angle!$K$8*$C885+PM_Angle!$L$8*$B885</f>
      </c>
      <c r="M885" s="12">
        <f>IF(L885&gt;0,IF(L885&lt;=eco,alpha*fck*(1-(1-L885/eco)^n),alpha*fck),0)</f>
      </c>
      <c r="N885" s="30">
        <f>PM_Angle!$J$9+PM_Angle!$K$9*$C885+PM_Angle!$L$9*$B885</f>
      </c>
      <c r="O885" s="12">
        <f>IF(N885&gt;0,IF(N885&lt;=eco,alpha*fck*(1-(1-N885/eco)^n),alpha*fck),0)</f>
      </c>
      <c r="P885" s="30">
        <f>PM_Angle!$J$10+PM_Angle!$K$10*$C885+PM_Angle!$L$10*$B885</f>
      </c>
      <c r="Q885" s="12">
        <f>IF(P885&gt;0,IF(P885&lt;=eco,alpha*fck*(1-(1-P885/eco)^n),alpha*fck),0)</f>
      </c>
      <c r="R885" s="30">
        <f>PM_Angle!$J$11+PM_Angle!$K$11*$C885+PM_Angle!$L$11*$B885</f>
      </c>
      <c r="S885" s="12">
        <f>IF(R885&gt;0,IF(R885&lt;=eco,alpha*fck*(1-(1-R885/eco)^n),alpha*fck),0)</f>
      </c>
      <c r="T885" s="30">
        <f>PM_Angle!$J$12+PM_Angle!$K$12*$C885+PM_Angle!$L$12*$B885</f>
      </c>
      <c r="U885" s="12">
        <f>IF(T885&gt;0,IF(T885&lt;=eco,alpha*fck*(1-(1-T885/eco)^n),alpha*fck),0)</f>
      </c>
      <c r="V885" s="30">
        <f>PM_Angle!$J$13+PM_Angle!$K$13*$C885+PM_Angle!$L$13*$B885</f>
      </c>
      <c r="W885" s="12">
        <f>IF(V885&gt;0,IF(V885&lt;=eco,alpha*fck*(1-(1-V885/eco)^n),alpha*fck),0)</f>
      </c>
      <c r="X885" s="30">
        <f>PM_Angle!$J$14+PM_Angle!$K$14*$C885+PM_Angle!$L$14*$B885</f>
      </c>
      <c r="Y885" s="12">
        <f>IF(X885&gt;0,IF(X885&lt;=eco,alpha*fck*(1-(1-X885/eco)^n),alpha*fck),0)</f>
      </c>
      <c r="Z885" s="30">
        <f>PM_Angle!$J$15+PM_Angle!$K$15*$C885+PM_Angle!$L$15*$B885</f>
      </c>
      <c r="AA885" s="12">
        <f>IF(Z885&gt;0,IF(Z885&lt;=eco,alpha*fck*(1-(1-Z885/eco)^n),alpha*fck),0)</f>
      </c>
      <c r="AB885" s="30">
        <f>PM_Angle!$J$16+PM_Angle!$K$16*$C885+PM_Angle!$L$16*$B885</f>
      </c>
      <c r="AC885" s="12">
        <f>IF(AB885&gt;0,IF(AB885&lt;=eco,alpha*fck*(1-(1-AB885/eco)^n),alpha*fck),0)</f>
      </c>
      <c r="AD885" s="30">
        <f>PM_Angle!$J$17+PM_Angle!$K$17*$C885+PM_Angle!$L$17*$B885</f>
      </c>
      <c r="AE885" s="12">
        <f>IF(AD885&gt;0,IF(AD885&lt;=eco,alpha*fck*(1-(1-AD885/eco)^n),alpha*fck),0)</f>
      </c>
      <c r="AF885" s="30">
        <f>PM_Angle!$J$18+PM_Angle!$K$18*$C885+PM_Angle!$L$18*$B885</f>
      </c>
      <c r="AG885" s="12">
        <f>IF(AF885&gt;0,IF(AF885&lt;=eco,alpha*fck*(1-(1-AF885/eco)^n),alpha*fck),0)</f>
      </c>
      <c r="AH885" s="30">
        <f>PM_Angle!$J$19+PM_Angle!$K$19*$C885+PM_Angle!$L$19*$B885</f>
      </c>
      <c r="AI885" s="12">
        <f>IF(AH885&gt;0,IF(AH885&lt;=eco,alpha*fck*(1-(1-AH885/eco)^n),alpha*fck),0)</f>
      </c>
      <c r="AJ885" s="30">
        <f>PM_Angle!$J$20+PM_Angle!$K$20*$C885+PM_Angle!$L$20*$B885</f>
      </c>
      <c r="AK885" s="12">
        <f>IF(AJ885&gt;0,IF(AJ885&lt;=eco,alpha*fck*(1-(1-AJ885/eco)^n),alpha*fck),0)</f>
      </c>
      <c r="AL885" s="30">
        <f>PM_Angle!$J$21+PM_Angle!$K$21*$C885+PM_Angle!$L$21*$B885</f>
      </c>
      <c r="AM885" s="12">
        <f>IF(AL885&gt;0,IF(AL885&lt;=eco,alpha*fck*(1-(1-AL885/eco)^n),alpha*fck),0)</f>
      </c>
      <c r="AN885" s="30">
        <f>PM_Angle!$J$22+PM_Angle!$K$22*$C885+PM_Angle!$L$22*$B885</f>
      </c>
      <c r="AO885" s="12">
        <f>IF(AN885&gt;0,IF(AN885&lt;=eco,alpha*fck*(1-(1-AN885/eco)^n),alpha*fck),0)</f>
      </c>
      <c r="AP885" s="30">
        <f>PM_Angle!$J$23+PM_Angle!$K$23*$C885+PM_Angle!$L$23*$B885</f>
      </c>
      <c r="AQ885" s="12">
        <f>IF(AP885&gt;0,IF(AP885&lt;=eco,alpha*fck*(1-(1-AP885/eco)^n),alpha*fck),0)</f>
      </c>
      <c r="AR885" s="30">
        <f>PM_Angle!$J$24+PM_Angle!$K$24*$C885+PM_Angle!$L$24*$B885</f>
      </c>
      <c r="AS885" s="12">
        <f>IF(AR885&gt;0,IF(AR885&lt;=eco,alpha*fck*(1-(1-AR885/eco)^n),alpha*fck),0)</f>
      </c>
      <c r="AT885" s="30">
        <f>PM_Angle!$J$25+PM_Angle!$K$25*$C885+PM_Angle!$L$25*$B885</f>
      </c>
      <c r="AU885" s="12">
        <f>IF(AT885&gt;0,IF(AT885&lt;=eco,alpha*fck*(1-(1-AT885/eco)^n),alpha*fck),0)</f>
      </c>
    </row>
    <row r="886" spans="1:47" x14ac:dyDescent="0.25">
      <c r="A886">
        <f>Mesh!A883</f>
      </c>
      <c r="B886" s="12">
        <f>Mesh!B883</f>
      </c>
      <c r="C886" s="12">
        <f>Mesh!C883</f>
      </c>
      <c r="D886" s="12">
        <f>Mesh!D883</f>
      </c>
      <c r="E886" s="30">
        <f>INDEX(St_e0,Det+1)+INDEX(St_kx,Det+1)*C886+INDEX(St_ky,Det+1)*B886</f>
      </c>
      <c r="F886" s="12">
        <f>IF(E886&gt;0,IF(E886&lt;=eco,alpha*fck*(1-(1-E886/eco)^n),alpha*fck),0)</f>
      </c>
      <c r="G886" s="11">
        <f>F886*D886</f>
      </c>
      <c r="H886" s="11">
        <f>G886*C886</f>
      </c>
      <c r="I886" s="11">
        <f>G886*B886</f>
      </c>
      <c r="J886" s="30">
        <f>PM_Angle!$J$7+PM_Angle!$K$7*$C886+PM_Angle!$L$7*$B886</f>
      </c>
      <c r="K886" s="12">
        <f>IF(J886&gt;0,IF(J886&lt;=eco,alpha*fck*(1-(1-J886/eco)^n),alpha*fck),0)</f>
      </c>
      <c r="L886" s="30">
        <f>PM_Angle!$J$8+PM_Angle!$K$8*$C886+PM_Angle!$L$8*$B886</f>
      </c>
      <c r="M886" s="12">
        <f>IF(L886&gt;0,IF(L886&lt;=eco,alpha*fck*(1-(1-L886/eco)^n),alpha*fck),0)</f>
      </c>
      <c r="N886" s="30">
        <f>PM_Angle!$J$9+PM_Angle!$K$9*$C886+PM_Angle!$L$9*$B886</f>
      </c>
      <c r="O886" s="12">
        <f>IF(N886&gt;0,IF(N886&lt;=eco,alpha*fck*(1-(1-N886/eco)^n),alpha*fck),0)</f>
      </c>
      <c r="P886" s="30">
        <f>PM_Angle!$J$10+PM_Angle!$K$10*$C886+PM_Angle!$L$10*$B886</f>
      </c>
      <c r="Q886" s="12">
        <f>IF(P886&gt;0,IF(P886&lt;=eco,alpha*fck*(1-(1-P886/eco)^n),alpha*fck),0)</f>
      </c>
      <c r="R886" s="30">
        <f>PM_Angle!$J$11+PM_Angle!$K$11*$C886+PM_Angle!$L$11*$B886</f>
      </c>
      <c r="S886" s="12">
        <f>IF(R886&gt;0,IF(R886&lt;=eco,alpha*fck*(1-(1-R886/eco)^n),alpha*fck),0)</f>
      </c>
      <c r="T886" s="30">
        <f>PM_Angle!$J$12+PM_Angle!$K$12*$C886+PM_Angle!$L$12*$B886</f>
      </c>
      <c r="U886" s="12">
        <f>IF(T886&gt;0,IF(T886&lt;=eco,alpha*fck*(1-(1-T886/eco)^n),alpha*fck),0)</f>
      </c>
      <c r="V886" s="30">
        <f>PM_Angle!$J$13+PM_Angle!$K$13*$C886+PM_Angle!$L$13*$B886</f>
      </c>
      <c r="W886" s="12">
        <f>IF(V886&gt;0,IF(V886&lt;=eco,alpha*fck*(1-(1-V886/eco)^n),alpha*fck),0)</f>
      </c>
      <c r="X886" s="30">
        <f>PM_Angle!$J$14+PM_Angle!$K$14*$C886+PM_Angle!$L$14*$B886</f>
      </c>
      <c r="Y886" s="12">
        <f>IF(X886&gt;0,IF(X886&lt;=eco,alpha*fck*(1-(1-X886/eco)^n),alpha*fck),0)</f>
      </c>
      <c r="Z886" s="30">
        <f>PM_Angle!$J$15+PM_Angle!$K$15*$C886+PM_Angle!$L$15*$B886</f>
      </c>
      <c r="AA886" s="12">
        <f>IF(Z886&gt;0,IF(Z886&lt;=eco,alpha*fck*(1-(1-Z886/eco)^n),alpha*fck),0)</f>
      </c>
      <c r="AB886" s="30">
        <f>PM_Angle!$J$16+PM_Angle!$K$16*$C886+PM_Angle!$L$16*$B886</f>
      </c>
      <c r="AC886" s="12">
        <f>IF(AB886&gt;0,IF(AB886&lt;=eco,alpha*fck*(1-(1-AB886/eco)^n),alpha*fck),0)</f>
      </c>
      <c r="AD886" s="30">
        <f>PM_Angle!$J$17+PM_Angle!$K$17*$C886+PM_Angle!$L$17*$B886</f>
      </c>
      <c r="AE886" s="12">
        <f>IF(AD886&gt;0,IF(AD886&lt;=eco,alpha*fck*(1-(1-AD886/eco)^n),alpha*fck),0)</f>
      </c>
      <c r="AF886" s="30">
        <f>PM_Angle!$J$18+PM_Angle!$K$18*$C886+PM_Angle!$L$18*$B886</f>
      </c>
      <c r="AG886" s="12">
        <f>IF(AF886&gt;0,IF(AF886&lt;=eco,alpha*fck*(1-(1-AF886/eco)^n),alpha*fck),0)</f>
      </c>
      <c r="AH886" s="30">
        <f>PM_Angle!$J$19+PM_Angle!$K$19*$C886+PM_Angle!$L$19*$B886</f>
      </c>
      <c r="AI886" s="12">
        <f>IF(AH886&gt;0,IF(AH886&lt;=eco,alpha*fck*(1-(1-AH886/eco)^n),alpha*fck),0)</f>
      </c>
      <c r="AJ886" s="30">
        <f>PM_Angle!$J$20+PM_Angle!$K$20*$C886+PM_Angle!$L$20*$B886</f>
      </c>
      <c r="AK886" s="12">
        <f>IF(AJ886&gt;0,IF(AJ886&lt;=eco,alpha*fck*(1-(1-AJ886/eco)^n),alpha*fck),0)</f>
      </c>
      <c r="AL886" s="30">
        <f>PM_Angle!$J$21+PM_Angle!$K$21*$C886+PM_Angle!$L$21*$B886</f>
      </c>
      <c r="AM886" s="12">
        <f>IF(AL886&gt;0,IF(AL886&lt;=eco,alpha*fck*(1-(1-AL886/eco)^n),alpha*fck),0)</f>
      </c>
      <c r="AN886" s="30">
        <f>PM_Angle!$J$22+PM_Angle!$K$22*$C886+PM_Angle!$L$22*$B886</f>
      </c>
      <c r="AO886" s="12">
        <f>IF(AN886&gt;0,IF(AN886&lt;=eco,alpha*fck*(1-(1-AN886/eco)^n),alpha*fck),0)</f>
      </c>
      <c r="AP886" s="30">
        <f>PM_Angle!$J$23+PM_Angle!$K$23*$C886+PM_Angle!$L$23*$B886</f>
      </c>
      <c r="AQ886" s="12">
        <f>IF(AP886&gt;0,IF(AP886&lt;=eco,alpha*fck*(1-(1-AP886/eco)^n),alpha*fck),0)</f>
      </c>
      <c r="AR886" s="30">
        <f>PM_Angle!$J$24+PM_Angle!$K$24*$C886+PM_Angle!$L$24*$B886</f>
      </c>
      <c r="AS886" s="12">
        <f>IF(AR886&gt;0,IF(AR886&lt;=eco,alpha*fck*(1-(1-AR886/eco)^n),alpha*fck),0)</f>
      </c>
      <c r="AT886" s="30">
        <f>PM_Angle!$J$25+PM_Angle!$K$25*$C886+PM_Angle!$L$25*$B886</f>
      </c>
      <c r="AU886" s="12">
        <f>IF(AT886&gt;0,IF(AT886&lt;=eco,alpha*fck*(1-(1-AT886/eco)^n),alpha*fck),0)</f>
      </c>
    </row>
    <row r="887" spans="1:47" x14ac:dyDescent="0.25">
      <c r="A887">
        <f>Mesh!A884</f>
      </c>
      <c r="B887" s="12">
        <f>Mesh!B884</f>
      </c>
      <c r="C887" s="12">
        <f>Mesh!C884</f>
      </c>
      <c r="D887" s="12">
        <f>Mesh!D884</f>
      </c>
      <c r="E887" s="30">
        <f>INDEX(St_e0,Det+1)+INDEX(St_kx,Det+1)*C887+INDEX(St_ky,Det+1)*B887</f>
      </c>
      <c r="F887" s="12">
        <f>IF(E887&gt;0,IF(E887&lt;=eco,alpha*fck*(1-(1-E887/eco)^n),alpha*fck),0)</f>
      </c>
      <c r="G887" s="11">
        <f>F887*D887</f>
      </c>
      <c r="H887" s="11">
        <f>G887*C887</f>
      </c>
      <c r="I887" s="11">
        <f>G887*B887</f>
      </c>
      <c r="J887" s="30">
        <f>PM_Angle!$J$7+PM_Angle!$K$7*$C887+PM_Angle!$L$7*$B887</f>
      </c>
      <c r="K887" s="12">
        <f>IF(J887&gt;0,IF(J887&lt;=eco,alpha*fck*(1-(1-J887/eco)^n),alpha*fck),0)</f>
      </c>
      <c r="L887" s="30">
        <f>PM_Angle!$J$8+PM_Angle!$K$8*$C887+PM_Angle!$L$8*$B887</f>
      </c>
      <c r="M887" s="12">
        <f>IF(L887&gt;0,IF(L887&lt;=eco,alpha*fck*(1-(1-L887/eco)^n),alpha*fck),0)</f>
      </c>
      <c r="N887" s="30">
        <f>PM_Angle!$J$9+PM_Angle!$K$9*$C887+PM_Angle!$L$9*$B887</f>
      </c>
      <c r="O887" s="12">
        <f>IF(N887&gt;0,IF(N887&lt;=eco,alpha*fck*(1-(1-N887/eco)^n),alpha*fck),0)</f>
      </c>
      <c r="P887" s="30">
        <f>PM_Angle!$J$10+PM_Angle!$K$10*$C887+PM_Angle!$L$10*$B887</f>
      </c>
      <c r="Q887" s="12">
        <f>IF(P887&gt;0,IF(P887&lt;=eco,alpha*fck*(1-(1-P887/eco)^n),alpha*fck),0)</f>
      </c>
      <c r="R887" s="30">
        <f>PM_Angle!$J$11+PM_Angle!$K$11*$C887+PM_Angle!$L$11*$B887</f>
      </c>
      <c r="S887" s="12">
        <f>IF(R887&gt;0,IF(R887&lt;=eco,alpha*fck*(1-(1-R887/eco)^n),alpha*fck),0)</f>
      </c>
      <c r="T887" s="30">
        <f>PM_Angle!$J$12+PM_Angle!$K$12*$C887+PM_Angle!$L$12*$B887</f>
      </c>
      <c r="U887" s="12">
        <f>IF(T887&gt;0,IF(T887&lt;=eco,alpha*fck*(1-(1-T887/eco)^n),alpha*fck),0)</f>
      </c>
      <c r="V887" s="30">
        <f>PM_Angle!$J$13+PM_Angle!$K$13*$C887+PM_Angle!$L$13*$B887</f>
      </c>
      <c r="W887" s="12">
        <f>IF(V887&gt;0,IF(V887&lt;=eco,alpha*fck*(1-(1-V887/eco)^n),alpha*fck),0)</f>
      </c>
      <c r="X887" s="30">
        <f>PM_Angle!$J$14+PM_Angle!$K$14*$C887+PM_Angle!$L$14*$B887</f>
      </c>
      <c r="Y887" s="12">
        <f>IF(X887&gt;0,IF(X887&lt;=eco,alpha*fck*(1-(1-X887/eco)^n),alpha*fck),0)</f>
      </c>
      <c r="Z887" s="30">
        <f>PM_Angle!$J$15+PM_Angle!$K$15*$C887+PM_Angle!$L$15*$B887</f>
      </c>
      <c r="AA887" s="12">
        <f>IF(Z887&gt;0,IF(Z887&lt;=eco,alpha*fck*(1-(1-Z887/eco)^n),alpha*fck),0)</f>
      </c>
      <c r="AB887" s="30">
        <f>PM_Angle!$J$16+PM_Angle!$K$16*$C887+PM_Angle!$L$16*$B887</f>
      </c>
      <c r="AC887" s="12">
        <f>IF(AB887&gt;0,IF(AB887&lt;=eco,alpha*fck*(1-(1-AB887/eco)^n),alpha*fck),0)</f>
      </c>
      <c r="AD887" s="30">
        <f>PM_Angle!$J$17+PM_Angle!$K$17*$C887+PM_Angle!$L$17*$B887</f>
      </c>
      <c r="AE887" s="12">
        <f>IF(AD887&gt;0,IF(AD887&lt;=eco,alpha*fck*(1-(1-AD887/eco)^n),alpha*fck),0)</f>
      </c>
      <c r="AF887" s="30">
        <f>PM_Angle!$J$18+PM_Angle!$K$18*$C887+PM_Angle!$L$18*$B887</f>
      </c>
      <c r="AG887" s="12">
        <f>IF(AF887&gt;0,IF(AF887&lt;=eco,alpha*fck*(1-(1-AF887/eco)^n),alpha*fck),0)</f>
      </c>
      <c r="AH887" s="30">
        <f>PM_Angle!$J$19+PM_Angle!$K$19*$C887+PM_Angle!$L$19*$B887</f>
      </c>
      <c r="AI887" s="12">
        <f>IF(AH887&gt;0,IF(AH887&lt;=eco,alpha*fck*(1-(1-AH887/eco)^n),alpha*fck),0)</f>
      </c>
      <c r="AJ887" s="30">
        <f>PM_Angle!$J$20+PM_Angle!$K$20*$C887+PM_Angle!$L$20*$B887</f>
      </c>
      <c r="AK887" s="12">
        <f>IF(AJ887&gt;0,IF(AJ887&lt;=eco,alpha*fck*(1-(1-AJ887/eco)^n),alpha*fck),0)</f>
      </c>
      <c r="AL887" s="30">
        <f>PM_Angle!$J$21+PM_Angle!$K$21*$C887+PM_Angle!$L$21*$B887</f>
      </c>
      <c r="AM887" s="12">
        <f>IF(AL887&gt;0,IF(AL887&lt;=eco,alpha*fck*(1-(1-AL887/eco)^n),alpha*fck),0)</f>
      </c>
      <c r="AN887" s="30">
        <f>PM_Angle!$J$22+PM_Angle!$K$22*$C887+PM_Angle!$L$22*$B887</f>
      </c>
      <c r="AO887" s="12">
        <f>IF(AN887&gt;0,IF(AN887&lt;=eco,alpha*fck*(1-(1-AN887/eco)^n),alpha*fck),0)</f>
      </c>
      <c r="AP887" s="30">
        <f>PM_Angle!$J$23+PM_Angle!$K$23*$C887+PM_Angle!$L$23*$B887</f>
      </c>
      <c r="AQ887" s="12">
        <f>IF(AP887&gt;0,IF(AP887&lt;=eco,alpha*fck*(1-(1-AP887/eco)^n),alpha*fck),0)</f>
      </c>
      <c r="AR887" s="30">
        <f>PM_Angle!$J$24+PM_Angle!$K$24*$C887+PM_Angle!$L$24*$B887</f>
      </c>
      <c r="AS887" s="12">
        <f>IF(AR887&gt;0,IF(AR887&lt;=eco,alpha*fck*(1-(1-AR887/eco)^n),alpha*fck),0)</f>
      </c>
      <c r="AT887" s="30">
        <f>PM_Angle!$J$25+PM_Angle!$K$25*$C887+PM_Angle!$L$25*$B887</f>
      </c>
      <c r="AU887" s="12">
        <f>IF(AT887&gt;0,IF(AT887&lt;=eco,alpha*fck*(1-(1-AT887/eco)^n),alpha*fck),0)</f>
      </c>
    </row>
    <row r="888" spans="1:47" x14ac:dyDescent="0.25">
      <c r="A888">
        <f>Mesh!A885</f>
      </c>
      <c r="B888" s="12">
        <f>Mesh!B885</f>
      </c>
      <c r="C888" s="12">
        <f>Mesh!C885</f>
      </c>
      <c r="D888" s="12">
        <f>Mesh!D885</f>
      </c>
      <c r="E888" s="30">
        <f>INDEX(St_e0,Det+1)+INDEX(St_kx,Det+1)*C888+INDEX(St_ky,Det+1)*B888</f>
      </c>
      <c r="F888" s="12">
        <f>IF(E888&gt;0,IF(E888&lt;=eco,alpha*fck*(1-(1-E888/eco)^n),alpha*fck),0)</f>
      </c>
      <c r="G888" s="11">
        <f>F888*D888</f>
      </c>
      <c r="H888" s="11">
        <f>G888*C888</f>
      </c>
      <c r="I888" s="11">
        <f>G888*B888</f>
      </c>
      <c r="J888" s="30">
        <f>PM_Angle!$J$7+PM_Angle!$K$7*$C888+PM_Angle!$L$7*$B888</f>
      </c>
      <c r="K888" s="12">
        <f>IF(J888&gt;0,IF(J888&lt;=eco,alpha*fck*(1-(1-J888/eco)^n),alpha*fck),0)</f>
      </c>
      <c r="L888" s="30">
        <f>PM_Angle!$J$8+PM_Angle!$K$8*$C888+PM_Angle!$L$8*$B888</f>
      </c>
      <c r="M888" s="12">
        <f>IF(L888&gt;0,IF(L888&lt;=eco,alpha*fck*(1-(1-L888/eco)^n),alpha*fck),0)</f>
      </c>
      <c r="N888" s="30">
        <f>PM_Angle!$J$9+PM_Angle!$K$9*$C888+PM_Angle!$L$9*$B888</f>
      </c>
      <c r="O888" s="12">
        <f>IF(N888&gt;0,IF(N888&lt;=eco,alpha*fck*(1-(1-N888/eco)^n),alpha*fck),0)</f>
      </c>
      <c r="P888" s="30">
        <f>PM_Angle!$J$10+PM_Angle!$K$10*$C888+PM_Angle!$L$10*$B888</f>
      </c>
      <c r="Q888" s="12">
        <f>IF(P888&gt;0,IF(P888&lt;=eco,alpha*fck*(1-(1-P888/eco)^n),alpha*fck),0)</f>
      </c>
      <c r="R888" s="30">
        <f>PM_Angle!$J$11+PM_Angle!$K$11*$C888+PM_Angle!$L$11*$B888</f>
      </c>
      <c r="S888" s="12">
        <f>IF(R888&gt;0,IF(R888&lt;=eco,alpha*fck*(1-(1-R888/eco)^n),alpha*fck),0)</f>
      </c>
      <c r="T888" s="30">
        <f>PM_Angle!$J$12+PM_Angle!$K$12*$C888+PM_Angle!$L$12*$B888</f>
      </c>
      <c r="U888" s="12">
        <f>IF(T888&gt;0,IF(T888&lt;=eco,alpha*fck*(1-(1-T888/eco)^n),alpha*fck),0)</f>
      </c>
      <c r="V888" s="30">
        <f>PM_Angle!$J$13+PM_Angle!$K$13*$C888+PM_Angle!$L$13*$B888</f>
      </c>
      <c r="W888" s="12">
        <f>IF(V888&gt;0,IF(V888&lt;=eco,alpha*fck*(1-(1-V888/eco)^n),alpha*fck),0)</f>
      </c>
      <c r="X888" s="30">
        <f>PM_Angle!$J$14+PM_Angle!$K$14*$C888+PM_Angle!$L$14*$B888</f>
      </c>
      <c r="Y888" s="12">
        <f>IF(X888&gt;0,IF(X888&lt;=eco,alpha*fck*(1-(1-X888/eco)^n),alpha*fck),0)</f>
      </c>
      <c r="Z888" s="30">
        <f>PM_Angle!$J$15+PM_Angle!$K$15*$C888+PM_Angle!$L$15*$B888</f>
      </c>
      <c r="AA888" s="12">
        <f>IF(Z888&gt;0,IF(Z888&lt;=eco,alpha*fck*(1-(1-Z888/eco)^n),alpha*fck),0)</f>
      </c>
      <c r="AB888" s="30">
        <f>PM_Angle!$J$16+PM_Angle!$K$16*$C888+PM_Angle!$L$16*$B888</f>
      </c>
      <c r="AC888" s="12">
        <f>IF(AB888&gt;0,IF(AB888&lt;=eco,alpha*fck*(1-(1-AB888/eco)^n),alpha*fck),0)</f>
      </c>
      <c r="AD888" s="30">
        <f>PM_Angle!$J$17+PM_Angle!$K$17*$C888+PM_Angle!$L$17*$B888</f>
      </c>
      <c r="AE888" s="12">
        <f>IF(AD888&gt;0,IF(AD888&lt;=eco,alpha*fck*(1-(1-AD888/eco)^n),alpha*fck),0)</f>
      </c>
      <c r="AF888" s="30">
        <f>PM_Angle!$J$18+PM_Angle!$K$18*$C888+PM_Angle!$L$18*$B888</f>
      </c>
      <c r="AG888" s="12">
        <f>IF(AF888&gt;0,IF(AF888&lt;=eco,alpha*fck*(1-(1-AF888/eco)^n),alpha*fck),0)</f>
      </c>
      <c r="AH888" s="30">
        <f>PM_Angle!$J$19+PM_Angle!$K$19*$C888+PM_Angle!$L$19*$B888</f>
      </c>
      <c r="AI888" s="12">
        <f>IF(AH888&gt;0,IF(AH888&lt;=eco,alpha*fck*(1-(1-AH888/eco)^n),alpha*fck),0)</f>
      </c>
      <c r="AJ888" s="30">
        <f>PM_Angle!$J$20+PM_Angle!$K$20*$C888+PM_Angle!$L$20*$B888</f>
      </c>
      <c r="AK888" s="12">
        <f>IF(AJ888&gt;0,IF(AJ888&lt;=eco,alpha*fck*(1-(1-AJ888/eco)^n),alpha*fck),0)</f>
      </c>
      <c r="AL888" s="30">
        <f>PM_Angle!$J$21+PM_Angle!$K$21*$C888+PM_Angle!$L$21*$B888</f>
      </c>
      <c r="AM888" s="12">
        <f>IF(AL888&gt;0,IF(AL888&lt;=eco,alpha*fck*(1-(1-AL888/eco)^n),alpha*fck),0)</f>
      </c>
      <c r="AN888" s="30">
        <f>PM_Angle!$J$22+PM_Angle!$K$22*$C888+PM_Angle!$L$22*$B888</f>
      </c>
      <c r="AO888" s="12">
        <f>IF(AN888&gt;0,IF(AN888&lt;=eco,alpha*fck*(1-(1-AN888/eco)^n),alpha*fck),0)</f>
      </c>
      <c r="AP888" s="30">
        <f>PM_Angle!$J$23+PM_Angle!$K$23*$C888+PM_Angle!$L$23*$B888</f>
      </c>
      <c r="AQ888" s="12">
        <f>IF(AP888&gt;0,IF(AP888&lt;=eco,alpha*fck*(1-(1-AP888/eco)^n),alpha*fck),0)</f>
      </c>
      <c r="AR888" s="30">
        <f>PM_Angle!$J$24+PM_Angle!$K$24*$C888+PM_Angle!$L$24*$B888</f>
      </c>
      <c r="AS888" s="12">
        <f>IF(AR888&gt;0,IF(AR888&lt;=eco,alpha*fck*(1-(1-AR888/eco)^n),alpha*fck),0)</f>
      </c>
      <c r="AT888" s="30">
        <f>PM_Angle!$J$25+PM_Angle!$K$25*$C888+PM_Angle!$L$25*$B888</f>
      </c>
      <c r="AU888" s="12">
        <f>IF(AT888&gt;0,IF(AT888&lt;=eco,alpha*fck*(1-(1-AT888/eco)^n),alpha*fck),0)</f>
      </c>
    </row>
    <row r="889" spans="1:47" x14ac:dyDescent="0.25">
      <c r="A889">
        <f>Mesh!A886</f>
      </c>
      <c r="B889" s="12">
        <f>Mesh!B886</f>
      </c>
      <c r="C889" s="12">
        <f>Mesh!C886</f>
      </c>
      <c r="D889" s="12">
        <f>Mesh!D886</f>
      </c>
      <c r="E889" s="30">
        <f>INDEX(St_e0,Det+1)+INDEX(St_kx,Det+1)*C889+INDEX(St_ky,Det+1)*B889</f>
      </c>
      <c r="F889" s="12">
        <f>IF(E889&gt;0,IF(E889&lt;=eco,alpha*fck*(1-(1-E889/eco)^n),alpha*fck),0)</f>
      </c>
      <c r="G889" s="11">
        <f>F889*D889</f>
      </c>
      <c r="H889" s="11">
        <f>G889*C889</f>
      </c>
      <c r="I889" s="11">
        <f>G889*B889</f>
      </c>
      <c r="J889" s="30">
        <f>PM_Angle!$J$7+PM_Angle!$K$7*$C889+PM_Angle!$L$7*$B889</f>
      </c>
      <c r="K889" s="12">
        <f>IF(J889&gt;0,IF(J889&lt;=eco,alpha*fck*(1-(1-J889/eco)^n),alpha*fck),0)</f>
      </c>
      <c r="L889" s="30">
        <f>PM_Angle!$J$8+PM_Angle!$K$8*$C889+PM_Angle!$L$8*$B889</f>
      </c>
      <c r="M889" s="12">
        <f>IF(L889&gt;0,IF(L889&lt;=eco,alpha*fck*(1-(1-L889/eco)^n),alpha*fck),0)</f>
      </c>
      <c r="N889" s="30">
        <f>PM_Angle!$J$9+PM_Angle!$K$9*$C889+PM_Angle!$L$9*$B889</f>
      </c>
      <c r="O889" s="12">
        <f>IF(N889&gt;0,IF(N889&lt;=eco,alpha*fck*(1-(1-N889/eco)^n),alpha*fck),0)</f>
      </c>
      <c r="P889" s="30">
        <f>PM_Angle!$J$10+PM_Angle!$K$10*$C889+PM_Angle!$L$10*$B889</f>
      </c>
      <c r="Q889" s="12">
        <f>IF(P889&gt;0,IF(P889&lt;=eco,alpha*fck*(1-(1-P889/eco)^n),alpha*fck),0)</f>
      </c>
      <c r="R889" s="30">
        <f>PM_Angle!$J$11+PM_Angle!$K$11*$C889+PM_Angle!$L$11*$B889</f>
      </c>
      <c r="S889" s="12">
        <f>IF(R889&gt;0,IF(R889&lt;=eco,alpha*fck*(1-(1-R889/eco)^n),alpha*fck),0)</f>
      </c>
      <c r="T889" s="30">
        <f>PM_Angle!$J$12+PM_Angle!$K$12*$C889+PM_Angle!$L$12*$B889</f>
      </c>
      <c r="U889" s="12">
        <f>IF(T889&gt;0,IF(T889&lt;=eco,alpha*fck*(1-(1-T889/eco)^n),alpha*fck),0)</f>
      </c>
      <c r="V889" s="30">
        <f>PM_Angle!$J$13+PM_Angle!$K$13*$C889+PM_Angle!$L$13*$B889</f>
      </c>
      <c r="W889" s="12">
        <f>IF(V889&gt;0,IF(V889&lt;=eco,alpha*fck*(1-(1-V889/eco)^n),alpha*fck),0)</f>
      </c>
      <c r="X889" s="30">
        <f>PM_Angle!$J$14+PM_Angle!$K$14*$C889+PM_Angle!$L$14*$B889</f>
      </c>
      <c r="Y889" s="12">
        <f>IF(X889&gt;0,IF(X889&lt;=eco,alpha*fck*(1-(1-X889/eco)^n),alpha*fck),0)</f>
      </c>
      <c r="Z889" s="30">
        <f>PM_Angle!$J$15+PM_Angle!$K$15*$C889+PM_Angle!$L$15*$B889</f>
      </c>
      <c r="AA889" s="12">
        <f>IF(Z889&gt;0,IF(Z889&lt;=eco,alpha*fck*(1-(1-Z889/eco)^n),alpha*fck),0)</f>
      </c>
      <c r="AB889" s="30">
        <f>PM_Angle!$J$16+PM_Angle!$K$16*$C889+PM_Angle!$L$16*$B889</f>
      </c>
      <c r="AC889" s="12">
        <f>IF(AB889&gt;0,IF(AB889&lt;=eco,alpha*fck*(1-(1-AB889/eco)^n),alpha*fck),0)</f>
      </c>
      <c r="AD889" s="30">
        <f>PM_Angle!$J$17+PM_Angle!$K$17*$C889+PM_Angle!$L$17*$B889</f>
      </c>
      <c r="AE889" s="12">
        <f>IF(AD889&gt;0,IF(AD889&lt;=eco,alpha*fck*(1-(1-AD889/eco)^n),alpha*fck),0)</f>
      </c>
      <c r="AF889" s="30">
        <f>PM_Angle!$J$18+PM_Angle!$K$18*$C889+PM_Angle!$L$18*$B889</f>
      </c>
      <c r="AG889" s="12">
        <f>IF(AF889&gt;0,IF(AF889&lt;=eco,alpha*fck*(1-(1-AF889/eco)^n),alpha*fck),0)</f>
      </c>
      <c r="AH889" s="30">
        <f>PM_Angle!$J$19+PM_Angle!$K$19*$C889+PM_Angle!$L$19*$B889</f>
      </c>
      <c r="AI889" s="12">
        <f>IF(AH889&gt;0,IF(AH889&lt;=eco,alpha*fck*(1-(1-AH889/eco)^n),alpha*fck),0)</f>
      </c>
      <c r="AJ889" s="30">
        <f>PM_Angle!$J$20+PM_Angle!$K$20*$C889+PM_Angle!$L$20*$B889</f>
      </c>
      <c r="AK889" s="12">
        <f>IF(AJ889&gt;0,IF(AJ889&lt;=eco,alpha*fck*(1-(1-AJ889/eco)^n),alpha*fck),0)</f>
      </c>
      <c r="AL889" s="30">
        <f>PM_Angle!$J$21+PM_Angle!$K$21*$C889+PM_Angle!$L$21*$B889</f>
      </c>
      <c r="AM889" s="12">
        <f>IF(AL889&gt;0,IF(AL889&lt;=eco,alpha*fck*(1-(1-AL889/eco)^n),alpha*fck),0)</f>
      </c>
      <c r="AN889" s="30">
        <f>PM_Angle!$J$22+PM_Angle!$K$22*$C889+PM_Angle!$L$22*$B889</f>
      </c>
      <c r="AO889" s="12">
        <f>IF(AN889&gt;0,IF(AN889&lt;=eco,alpha*fck*(1-(1-AN889/eco)^n),alpha*fck),0)</f>
      </c>
      <c r="AP889" s="30">
        <f>PM_Angle!$J$23+PM_Angle!$K$23*$C889+PM_Angle!$L$23*$B889</f>
      </c>
      <c r="AQ889" s="12">
        <f>IF(AP889&gt;0,IF(AP889&lt;=eco,alpha*fck*(1-(1-AP889/eco)^n),alpha*fck),0)</f>
      </c>
      <c r="AR889" s="30">
        <f>PM_Angle!$J$24+PM_Angle!$K$24*$C889+PM_Angle!$L$24*$B889</f>
      </c>
      <c r="AS889" s="12">
        <f>IF(AR889&gt;0,IF(AR889&lt;=eco,alpha*fck*(1-(1-AR889/eco)^n),alpha*fck),0)</f>
      </c>
      <c r="AT889" s="30">
        <f>PM_Angle!$J$25+PM_Angle!$K$25*$C889+PM_Angle!$L$25*$B889</f>
      </c>
      <c r="AU889" s="12">
        <f>IF(AT889&gt;0,IF(AT889&lt;=eco,alpha*fck*(1-(1-AT889/eco)^n),alpha*fck),0)</f>
      </c>
    </row>
    <row r="890" spans="1:47" x14ac:dyDescent="0.25">
      <c r="A890">
        <f>Mesh!A887</f>
      </c>
      <c r="B890" s="12">
        <f>Mesh!B887</f>
      </c>
      <c r="C890" s="12">
        <f>Mesh!C887</f>
      </c>
      <c r="D890" s="12">
        <f>Mesh!D887</f>
      </c>
      <c r="E890" s="30">
        <f>INDEX(St_e0,Det+1)+INDEX(St_kx,Det+1)*C890+INDEX(St_ky,Det+1)*B890</f>
      </c>
      <c r="F890" s="12">
        <f>IF(E890&gt;0,IF(E890&lt;=eco,alpha*fck*(1-(1-E890/eco)^n),alpha*fck),0)</f>
      </c>
      <c r="G890" s="11">
        <f>F890*D890</f>
      </c>
      <c r="H890" s="11">
        <f>G890*C890</f>
      </c>
      <c r="I890" s="11">
        <f>G890*B890</f>
      </c>
      <c r="J890" s="30">
        <f>PM_Angle!$J$7+PM_Angle!$K$7*$C890+PM_Angle!$L$7*$B890</f>
      </c>
      <c r="K890" s="12">
        <f>IF(J890&gt;0,IF(J890&lt;=eco,alpha*fck*(1-(1-J890/eco)^n),alpha*fck),0)</f>
      </c>
      <c r="L890" s="30">
        <f>PM_Angle!$J$8+PM_Angle!$K$8*$C890+PM_Angle!$L$8*$B890</f>
      </c>
      <c r="M890" s="12">
        <f>IF(L890&gt;0,IF(L890&lt;=eco,alpha*fck*(1-(1-L890/eco)^n),alpha*fck),0)</f>
      </c>
      <c r="N890" s="30">
        <f>PM_Angle!$J$9+PM_Angle!$K$9*$C890+PM_Angle!$L$9*$B890</f>
      </c>
      <c r="O890" s="12">
        <f>IF(N890&gt;0,IF(N890&lt;=eco,alpha*fck*(1-(1-N890/eco)^n),alpha*fck),0)</f>
      </c>
      <c r="P890" s="30">
        <f>PM_Angle!$J$10+PM_Angle!$K$10*$C890+PM_Angle!$L$10*$B890</f>
      </c>
      <c r="Q890" s="12">
        <f>IF(P890&gt;0,IF(P890&lt;=eco,alpha*fck*(1-(1-P890/eco)^n),alpha*fck),0)</f>
      </c>
      <c r="R890" s="30">
        <f>PM_Angle!$J$11+PM_Angle!$K$11*$C890+PM_Angle!$L$11*$B890</f>
      </c>
      <c r="S890" s="12">
        <f>IF(R890&gt;0,IF(R890&lt;=eco,alpha*fck*(1-(1-R890/eco)^n),alpha*fck),0)</f>
      </c>
      <c r="T890" s="30">
        <f>PM_Angle!$J$12+PM_Angle!$K$12*$C890+PM_Angle!$L$12*$B890</f>
      </c>
      <c r="U890" s="12">
        <f>IF(T890&gt;0,IF(T890&lt;=eco,alpha*fck*(1-(1-T890/eco)^n),alpha*fck),0)</f>
      </c>
      <c r="V890" s="30">
        <f>PM_Angle!$J$13+PM_Angle!$K$13*$C890+PM_Angle!$L$13*$B890</f>
      </c>
      <c r="W890" s="12">
        <f>IF(V890&gt;0,IF(V890&lt;=eco,alpha*fck*(1-(1-V890/eco)^n),alpha*fck),0)</f>
      </c>
      <c r="X890" s="30">
        <f>PM_Angle!$J$14+PM_Angle!$K$14*$C890+PM_Angle!$L$14*$B890</f>
      </c>
      <c r="Y890" s="12">
        <f>IF(X890&gt;0,IF(X890&lt;=eco,alpha*fck*(1-(1-X890/eco)^n),alpha*fck),0)</f>
      </c>
      <c r="Z890" s="30">
        <f>PM_Angle!$J$15+PM_Angle!$K$15*$C890+PM_Angle!$L$15*$B890</f>
      </c>
      <c r="AA890" s="12">
        <f>IF(Z890&gt;0,IF(Z890&lt;=eco,alpha*fck*(1-(1-Z890/eco)^n),alpha*fck),0)</f>
      </c>
      <c r="AB890" s="30">
        <f>PM_Angle!$J$16+PM_Angle!$K$16*$C890+PM_Angle!$L$16*$B890</f>
      </c>
      <c r="AC890" s="12">
        <f>IF(AB890&gt;0,IF(AB890&lt;=eco,alpha*fck*(1-(1-AB890/eco)^n),alpha*fck),0)</f>
      </c>
      <c r="AD890" s="30">
        <f>PM_Angle!$J$17+PM_Angle!$K$17*$C890+PM_Angle!$L$17*$B890</f>
      </c>
      <c r="AE890" s="12">
        <f>IF(AD890&gt;0,IF(AD890&lt;=eco,alpha*fck*(1-(1-AD890/eco)^n),alpha*fck),0)</f>
      </c>
      <c r="AF890" s="30">
        <f>PM_Angle!$J$18+PM_Angle!$K$18*$C890+PM_Angle!$L$18*$B890</f>
      </c>
      <c r="AG890" s="12">
        <f>IF(AF890&gt;0,IF(AF890&lt;=eco,alpha*fck*(1-(1-AF890/eco)^n),alpha*fck),0)</f>
      </c>
      <c r="AH890" s="30">
        <f>PM_Angle!$J$19+PM_Angle!$K$19*$C890+PM_Angle!$L$19*$B890</f>
      </c>
      <c r="AI890" s="12">
        <f>IF(AH890&gt;0,IF(AH890&lt;=eco,alpha*fck*(1-(1-AH890/eco)^n),alpha*fck),0)</f>
      </c>
      <c r="AJ890" s="30">
        <f>PM_Angle!$J$20+PM_Angle!$K$20*$C890+PM_Angle!$L$20*$B890</f>
      </c>
      <c r="AK890" s="12">
        <f>IF(AJ890&gt;0,IF(AJ890&lt;=eco,alpha*fck*(1-(1-AJ890/eco)^n),alpha*fck),0)</f>
      </c>
      <c r="AL890" s="30">
        <f>PM_Angle!$J$21+PM_Angle!$K$21*$C890+PM_Angle!$L$21*$B890</f>
      </c>
      <c r="AM890" s="12">
        <f>IF(AL890&gt;0,IF(AL890&lt;=eco,alpha*fck*(1-(1-AL890/eco)^n),alpha*fck),0)</f>
      </c>
      <c r="AN890" s="30">
        <f>PM_Angle!$J$22+PM_Angle!$K$22*$C890+PM_Angle!$L$22*$B890</f>
      </c>
      <c r="AO890" s="12">
        <f>IF(AN890&gt;0,IF(AN890&lt;=eco,alpha*fck*(1-(1-AN890/eco)^n),alpha*fck),0)</f>
      </c>
      <c r="AP890" s="30">
        <f>PM_Angle!$J$23+PM_Angle!$K$23*$C890+PM_Angle!$L$23*$B890</f>
      </c>
      <c r="AQ890" s="12">
        <f>IF(AP890&gt;0,IF(AP890&lt;=eco,alpha*fck*(1-(1-AP890/eco)^n),alpha*fck),0)</f>
      </c>
      <c r="AR890" s="30">
        <f>PM_Angle!$J$24+PM_Angle!$K$24*$C890+PM_Angle!$L$24*$B890</f>
      </c>
      <c r="AS890" s="12">
        <f>IF(AR890&gt;0,IF(AR890&lt;=eco,alpha*fck*(1-(1-AR890/eco)^n),alpha*fck),0)</f>
      </c>
      <c r="AT890" s="30">
        <f>PM_Angle!$J$25+PM_Angle!$K$25*$C890+PM_Angle!$L$25*$B890</f>
      </c>
      <c r="AU890" s="12">
        <f>IF(AT890&gt;0,IF(AT890&lt;=eco,alpha*fck*(1-(1-AT890/eco)^n),alpha*fck),0)</f>
      </c>
    </row>
    <row r="891" spans="1:47" x14ac:dyDescent="0.25">
      <c r="A891">
        <f>Mesh!A888</f>
      </c>
      <c r="B891" s="12">
        <f>Mesh!B888</f>
      </c>
      <c r="C891" s="12">
        <f>Mesh!C888</f>
      </c>
      <c r="D891" s="12">
        <f>Mesh!D888</f>
      </c>
      <c r="E891" s="30">
        <f>INDEX(St_e0,Det+1)+INDEX(St_kx,Det+1)*C891+INDEX(St_ky,Det+1)*B891</f>
      </c>
      <c r="F891" s="12">
        <f>IF(E891&gt;0,IF(E891&lt;=eco,alpha*fck*(1-(1-E891/eco)^n),alpha*fck),0)</f>
      </c>
      <c r="G891" s="11">
        <f>F891*D891</f>
      </c>
      <c r="H891" s="11">
        <f>G891*C891</f>
      </c>
      <c r="I891" s="11">
        <f>G891*B891</f>
      </c>
      <c r="J891" s="30">
        <f>PM_Angle!$J$7+PM_Angle!$K$7*$C891+PM_Angle!$L$7*$B891</f>
      </c>
      <c r="K891" s="12">
        <f>IF(J891&gt;0,IF(J891&lt;=eco,alpha*fck*(1-(1-J891/eco)^n),alpha*fck),0)</f>
      </c>
      <c r="L891" s="30">
        <f>PM_Angle!$J$8+PM_Angle!$K$8*$C891+PM_Angle!$L$8*$B891</f>
      </c>
      <c r="M891" s="12">
        <f>IF(L891&gt;0,IF(L891&lt;=eco,alpha*fck*(1-(1-L891/eco)^n),alpha*fck),0)</f>
      </c>
      <c r="N891" s="30">
        <f>PM_Angle!$J$9+PM_Angle!$K$9*$C891+PM_Angle!$L$9*$B891</f>
      </c>
      <c r="O891" s="12">
        <f>IF(N891&gt;0,IF(N891&lt;=eco,alpha*fck*(1-(1-N891/eco)^n),alpha*fck),0)</f>
      </c>
      <c r="P891" s="30">
        <f>PM_Angle!$J$10+PM_Angle!$K$10*$C891+PM_Angle!$L$10*$B891</f>
      </c>
      <c r="Q891" s="12">
        <f>IF(P891&gt;0,IF(P891&lt;=eco,alpha*fck*(1-(1-P891/eco)^n),alpha*fck),0)</f>
      </c>
      <c r="R891" s="30">
        <f>PM_Angle!$J$11+PM_Angle!$K$11*$C891+PM_Angle!$L$11*$B891</f>
      </c>
      <c r="S891" s="12">
        <f>IF(R891&gt;0,IF(R891&lt;=eco,alpha*fck*(1-(1-R891/eco)^n),alpha*fck),0)</f>
      </c>
      <c r="T891" s="30">
        <f>PM_Angle!$J$12+PM_Angle!$K$12*$C891+PM_Angle!$L$12*$B891</f>
      </c>
      <c r="U891" s="12">
        <f>IF(T891&gt;0,IF(T891&lt;=eco,alpha*fck*(1-(1-T891/eco)^n),alpha*fck),0)</f>
      </c>
      <c r="V891" s="30">
        <f>PM_Angle!$J$13+PM_Angle!$K$13*$C891+PM_Angle!$L$13*$B891</f>
      </c>
      <c r="W891" s="12">
        <f>IF(V891&gt;0,IF(V891&lt;=eco,alpha*fck*(1-(1-V891/eco)^n),alpha*fck),0)</f>
      </c>
      <c r="X891" s="30">
        <f>PM_Angle!$J$14+PM_Angle!$K$14*$C891+PM_Angle!$L$14*$B891</f>
      </c>
      <c r="Y891" s="12">
        <f>IF(X891&gt;0,IF(X891&lt;=eco,alpha*fck*(1-(1-X891/eco)^n),alpha*fck),0)</f>
      </c>
      <c r="Z891" s="30">
        <f>PM_Angle!$J$15+PM_Angle!$K$15*$C891+PM_Angle!$L$15*$B891</f>
      </c>
      <c r="AA891" s="12">
        <f>IF(Z891&gt;0,IF(Z891&lt;=eco,alpha*fck*(1-(1-Z891/eco)^n),alpha*fck),0)</f>
      </c>
      <c r="AB891" s="30">
        <f>PM_Angle!$J$16+PM_Angle!$K$16*$C891+PM_Angle!$L$16*$B891</f>
      </c>
      <c r="AC891" s="12">
        <f>IF(AB891&gt;0,IF(AB891&lt;=eco,alpha*fck*(1-(1-AB891/eco)^n),alpha*fck),0)</f>
      </c>
      <c r="AD891" s="30">
        <f>PM_Angle!$J$17+PM_Angle!$K$17*$C891+PM_Angle!$L$17*$B891</f>
      </c>
      <c r="AE891" s="12">
        <f>IF(AD891&gt;0,IF(AD891&lt;=eco,alpha*fck*(1-(1-AD891/eco)^n),alpha*fck),0)</f>
      </c>
      <c r="AF891" s="30">
        <f>PM_Angle!$J$18+PM_Angle!$K$18*$C891+PM_Angle!$L$18*$B891</f>
      </c>
      <c r="AG891" s="12">
        <f>IF(AF891&gt;0,IF(AF891&lt;=eco,alpha*fck*(1-(1-AF891/eco)^n),alpha*fck),0)</f>
      </c>
      <c r="AH891" s="30">
        <f>PM_Angle!$J$19+PM_Angle!$K$19*$C891+PM_Angle!$L$19*$B891</f>
      </c>
      <c r="AI891" s="12">
        <f>IF(AH891&gt;0,IF(AH891&lt;=eco,alpha*fck*(1-(1-AH891/eco)^n),alpha*fck),0)</f>
      </c>
      <c r="AJ891" s="30">
        <f>PM_Angle!$J$20+PM_Angle!$K$20*$C891+PM_Angle!$L$20*$B891</f>
      </c>
      <c r="AK891" s="12">
        <f>IF(AJ891&gt;0,IF(AJ891&lt;=eco,alpha*fck*(1-(1-AJ891/eco)^n),alpha*fck),0)</f>
      </c>
      <c r="AL891" s="30">
        <f>PM_Angle!$J$21+PM_Angle!$K$21*$C891+PM_Angle!$L$21*$B891</f>
      </c>
      <c r="AM891" s="12">
        <f>IF(AL891&gt;0,IF(AL891&lt;=eco,alpha*fck*(1-(1-AL891/eco)^n),alpha*fck),0)</f>
      </c>
      <c r="AN891" s="30">
        <f>PM_Angle!$J$22+PM_Angle!$K$22*$C891+PM_Angle!$L$22*$B891</f>
      </c>
      <c r="AO891" s="12">
        <f>IF(AN891&gt;0,IF(AN891&lt;=eco,alpha*fck*(1-(1-AN891/eco)^n),alpha*fck),0)</f>
      </c>
      <c r="AP891" s="30">
        <f>PM_Angle!$J$23+PM_Angle!$K$23*$C891+PM_Angle!$L$23*$B891</f>
      </c>
      <c r="AQ891" s="12">
        <f>IF(AP891&gt;0,IF(AP891&lt;=eco,alpha*fck*(1-(1-AP891/eco)^n),alpha*fck),0)</f>
      </c>
      <c r="AR891" s="30">
        <f>PM_Angle!$J$24+PM_Angle!$K$24*$C891+PM_Angle!$L$24*$B891</f>
      </c>
      <c r="AS891" s="12">
        <f>IF(AR891&gt;0,IF(AR891&lt;=eco,alpha*fck*(1-(1-AR891/eco)^n),alpha*fck),0)</f>
      </c>
      <c r="AT891" s="30">
        <f>PM_Angle!$J$25+PM_Angle!$K$25*$C891+PM_Angle!$L$25*$B891</f>
      </c>
      <c r="AU891" s="12">
        <f>IF(AT891&gt;0,IF(AT891&lt;=eco,alpha*fck*(1-(1-AT891/eco)^n),alpha*fck),0)</f>
      </c>
    </row>
    <row r="892" spans="1:47" x14ac:dyDescent="0.25">
      <c r="A892">
        <f>Mesh!A889</f>
      </c>
      <c r="B892" s="12">
        <f>Mesh!B889</f>
      </c>
      <c r="C892" s="12">
        <f>Mesh!C889</f>
      </c>
      <c r="D892" s="12">
        <f>Mesh!D889</f>
      </c>
      <c r="E892" s="30">
        <f>INDEX(St_e0,Det+1)+INDEX(St_kx,Det+1)*C892+INDEX(St_ky,Det+1)*B892</f>
      </c>
      <c r="F892" s="12">
        <f>IF(E892&gt;0,IF(E892&lt;=eco,alpha*fck*(1-(1-E892/eco)^n),alpha*fck),0)</f>
      </c>
      <c r="G892" s="11">
        <f>F892*D892</f>
      </c>
      <c r="H892" s="11">
        <f>G892*C892</f>
      </c>
      <c r="I892" s="11">
        <f>G892*B892</f>
      </c>
      <c r="J892" s="30">
        <f>PM_Angle!$J$7+PM_Angle!$K$7*$C892+PM_Angle!$L$7*$B892</f>
      </c>
      <c r="K892" s="12">
        <f>IF(J892&gt;0,IF(J892&lt;=eco,alpha*fck*(1-(1-J892/eco)^n),alpha*fck),0)</f>
      </c>
      <c r="L892" s="30">
        <f>PM_Angle!$J$8+PM_Angle!$K$8*$C892+PM_Angle!$L$8*$B892</f>
      </c>
      <c r="M892" s="12">
        <f>IF(L892&gt;0,IF(L892&lt;=eco,alpha*fck*(1-(1-L892/eco)^n),alpha*fck),0)</f>
      </c>
      <c r="N892" s="30">
        <f>PM_Angle!$J$9+PM_Angle!$K$9*$C892+PM_Angle!$L$9*$B892</f>
      </c>
      <c r="O892" s="12">
        <f>IF(N892&gt;0,IF(N892&lt;=eco,alpha*fck*(1-(1-N892/eco)^n),alpha*fck),0)</f>
      </c>
      <c r="P892" s="30">
        <f>PM_Angle!$J$10+PM_Angle!$K$10*$C892+PM_Angle!$L$10*$B892</f>
      </c>
      <c r="Q892" s="12">
        <f>IF(P892&gt;0,IF(P892&lt;=eco,alpha*fck*(1-(1-P892/eco)^n),alpha*fck),0)</f>
      </c>
      <c r="R892" s="30">
        <f>PM_Angle!$J$11+PM_Angle!$K$11*$C892+PM_Angle!$L$11*$B892</f>
      </c>
      <c r="S892" s="12">
        <f>IF(R892&gt;0,IF(R892&lt;=eco,alpha*fck*(1-(1-R892/eco)^n),alpha*fck),0)</f>
      </c>
      <c r="T892" s="30">
        <f>PM_Angle!$J$12+PM_Angle!$K$12*$C892+PM_Angle!$L$12*$B892</f>
      </c>
      <c r="U892" s="12">
        <f>IF(T892&gt;0,IF(T892&lt;=eco,alpha*fck*(1-(1-T892/eco)^n),alpha*fck),0)</f>
      </c>
      <c r="V892" s="30">
        <f>PM_Angle!$J$13+PM_Angle!$K$13*$C892+PM_Angle!$L$13*$B892</f>
      </c>
      <c r="W892" s="12">
        <f>IF(V892&gt;0,IF(V892&lt;=eco,alpha*fck*(1-(1-V892/eco)^n),alpha*fck),0)</f>
      </c>
      <c r="X892" s="30">
        <f>PM_Angle!$J$14+PM_Angle!$K$14*$C892+PM_Angle!$L$14*$B892</f>
      </c>
      <c r="Y892" s="12">
        <f>IF(X892&gt;0,IF(X892&lt;=eco,alpha*fck*(1-(1-X892/eco)^n),alpha*fck),0)</f>
      </c>
      <c r="Z892" s="30">
        <f>PM_Angle!$J$15+PM_Angle!$K$15*$C892+PM_Angle!$L$15*$B892</f>
      </c>
      <c r="AA892" s="12">
        <f>IF(Z892&gt;0,IF(Z892&lt;=eco,alpha*fck*(1-(1-Z892/eco)^n),alpha*fck),0)</f>
      </c>
      <c r="AB892" s="30">
        <f>PM_Angle!$J$16+PM_Angle!$K$16*$C892+PM_Angle!$L$16*$B892</f>
      </c>
      <c r="AC892" s="12">
        <f>IF(AB892&gt;0,IF(AB892&lt;=eco,alpha*fck*(1-(1-AB892/eco)^n),alpha*fck),0)</f>
      </c>
      <c r="AD892" s="30">
        <f>PM_Angle!$J$17+PM_Angle!$K$17*$C892+PM_Angle!$L$17*$B892</f>
      </c>
      <c r="AE892" s="12">
        <f>IF(AD892&gt;0,IF(AD892&lt;=eco,alpha*fck*(1-(1-AD892/eco)^n),alpha*fck),0)</f>
      </c>
      <c r="AF892" s="30">
        <f>PM_Angle!$J$18+PM_Angle!$K$18*$C892+PM_Angle!$L$18*$B892</f>
      </c>
      <c r="AG892" s="12">
        <f>IF(AF892&gt;0,IF(AF892&lt;=eco,alpha*fck*(1-(1-AF892/eco)^n),alpha*fck),0)</f>
      </c>
      <c r="AH892" s="30">
        <f>PM_Angle!$J$19+PM_Angle!$K$19*$C892+PM_Angle!$L$19*$B892</f>
      </c>
      <c r="AI892" s="12">
        <f>IF(AH892&gt;0,IF(AH892&lt;=eco,alpha*fck*(1-(1-AH892/eco)^n),alpha*fck),0)</f>
      </c>
      <c r="AJ892" s="30">
        <f>PM_Angle!$J$20+PM_Angle!$K$20*$C892+PM_Angle!$L$20*$B892</f>
      </c>
      <c r="AK892" s="12">
        <f>IF(AJ892&gt;0,IF(AJ892&lt;=eco,alpha*fck*(1-(1-AJ892/eco)^n),alpha*fck),0)</f>
      </c>
      <c r="AL892" s="30">
        <f>PM_Angle!$J$21+PM_Angle!$K$21*$C892+PM_Angle!$L$21*$B892</f>
      </c>
      <c r="AM892" s="12">
        <f>IF(AL892&gt;0,IF(AL892&lt;=eco,alpha*fck*(1-(1-AL892/eco)^n),alpha*fck),0)</f>
      </c>
      <c r="AN892" s="30">
        <f>PM_Angle!$J$22+PM_Angle!$K$22*$C892+PM_Angle!$L$22*$B892</f>
      </c>
      <c r="AO892" s="12">
        <f>IF(AN892&gt;0,IF(AN892&lt;=eco,alpha*fck*(1-(1-AN892/eco)^n),alpha*fck),0)</f>
      </c>
      <c r="AP892" s="30">
        <f>PM_Angle!$J$23+PM_Angle!$K$23*$C892+PM_Angle!$L$23*$B892</f>
      </c>
      <c r="AQ892" s="12">
        <f>IF(AP892&gt;0,IF(AP892&lt;=eco,alpha*fck*(1-(1-AP892/eco)^n),alpha*fck),0)</f>
      </c>
      <c r="AR892" s="30">
        <f>PM_Angle!$J$24+PM_Angle!$K$24*$C892+PM_Angle!$L$24*$B892</f>
      </c>
      <c r="AS892" s="12">
        <f>IF(AR892&gt;0,IF(AR892&lt;=eco,alpha*fck*(1-(1-AR892/eco)^n),alpha*fck),0)</f>
      </c>
      <c r="AT892" s="30">
        <f>PM_Angle!$J$25+PM_Angle!$K$25*$C892+PM_Angle!$L$25*$B892</f>
      </c>
      <c r="AU892" s="12">
        <f>IF(AT892&gt;0,IF(AT892&lt;=eco,alpha*fck*(1-(1-AT892/eco)^n),alpha*fck),0)</f>
      </c>
    </row>
    <row r="893" spans="1:47" x14ac:dyDescent="0.25">
      <c r="A893">
        <f>Mesh!A890</f>
      </c>
      <c r="B893" s="12">
        <f>Mesh!B890</f>
      </c>
      <c r="C893" s="12">
        <f>Mesh!C890</f>
      </c>
      <c r="D893" s="12">
        <f>Mesh!D890</f>
      </c>
      <c r="E893" s="30">
        <f>INDEX(St_e0,Det+1)+INDEX(St_kx,Det+1)*C893+INDEX(St_ky,Det+1)*B893</f>
      </c>
      <c r="F893" s="12">
        <f>IF(E893&gt;0,IF(E893&lt;=eco,alpha*fck*(1-(1-E893/eco)^n),alpha*fck),0)</f>
      </c>
      <c r="G893" s="11">
        <f>F893*D893</f>
      </c>
      <c r="H893" s="11">
        <f>G893*C893</f>
      </c>
      <c r="I893" s="11">
        <f>G893*B893</f>
      </c>
      <c r="J893" s="30">
        <f>PM_Angle!$J$7+PM_Angle!$K$7*$C893+PM_Angle!$L$7*$B893</f>
      </c>
      <c r="K893" s="12">
        <f>IF(J893&gt;0,IF(J893&lt;=eco,alpha*fck*(1-(1-J893/eco)^n),alpha*fck),0)</f>
      </c>
      <c r="L893" s="30">
        <f>PM_Angle!$J$8+PM_Angle!$K$8*$C893+PM_Angle!$L$8*$B893</f>
      </c>
      <c r="M893" s="12">
        <f>IF(L893&gt;0,IF(L893&lt;=eco,alpha*fck*(1-(1-L893/eco)^n),alpha*fck),0)</f>
      </c>
      <c r="N893" s="30">
        <f>PM_Angle!$J$9+PM_Angle!$K$9*$C893+PM_Angle!$L$9*$B893</f>
      </c>
      <c r="O893" s="12">
        <f>IF(N893&gt;0,IF(N893&lt;=eco,alpha*fck*(1-(1-N893/eco)^n),alpha*fck),0)</f>
      </c>
      <c r="P893" s="30">
        <f>PM_Angle!$J$10+PM_Angle!$K$10*$C893+PM_Angle!$L$10*$B893</f>
      </c>
      <c r="Q893" s="12">
        <f>IF(P893&gt;0,IF(P893&lt;=eco,alpha*fck*(1-(1-P893/eco)^n),alpha*fck),0)</f>
      </c>
      <c r="R893" s="30">
        <f>PM_Angle!$J$11+PM_Angle!$K$11*$C893+PM_Angle!$L$11*$B893</f>
      </c>
      <c r="S893" s="12">
        <f>IF(R893&gt;0,IF(R893&lt;=eco,alpha*fck*(1-(1-R893/eco)^n),alpha*fck),0)</f>
      </c>
      <c r="T893" s="30">
        <f>PM_Angle!$J$12+PM_Angle!$K$12*$C893+PM_Angle!$L$12*$B893</f>
      </c>
      <c r="U893" s="12">
        <f>IF(T893&gt;0,IF(T893&lt;=eco,alpha*fck*(1-(1-T893/eco)^n),alpha*fck),0)</f>
      </c>
      <c r="V893" s="30">
        <f>PM_Angle!$J$13+PM_Angle!$K$13*$C893+PM_Angle!$L$13*$B893</f>
      </c>
      <c r="W893" s="12">
        <f>IF(V893&gt;0,IF(V893&lt;=eco,alpha*fck*(1-(1-V893/eco)^n),alpha*fck),0)</f>
      </c>
      <c r="X893" s="30">
        <f>PM_Angle!$J$14+PM_Angle!$K$14*$C893+PM_Angle!$L$14*$B893</f>
      </c>
      <c r="Y893" s="12">
        <f>IF(X893&gt;0,IF(X893&lt;=eco,alpha*fck*(1-(1-X893/eco)^n),alpha*fck),0)</f>
      </c>
      <c r="Z893" s="30">
        <f>PM_Angle!$J$15+PM_Angle!$K$15*$C893+PM_Angle!$L$15*$B893</f>
      </c>
      <c r="AA893" s="12">
        <f>IF(Z893&gt;0,IF(Z893&lt;=eco,alpha*fck*(1-(1-Z893/eco)^n),alpha*fck),0)</f>
      </c>
      <c r="AB893" s="30">
        <f>PM_Angle!$J$16+PM_Angle!$K$16*$C893+PM_Angle!$L$16*$B893</f>
      </c>
      <c r="AC893" s="12">
        <f>IF(AB893&gt;0,IF(AB893&lt;=eco,alpha*fck*(1-(1-AB893/eco)^n),alpha*fck),0)</f>
      </c>
      <c r="AD893" s="30">
        <f>PM_Angle!$J$17+PM_Angle!$K$17*$C893+PM_Angle!$L$17*$B893</f>
      </c>
      <c r="AE893" s="12">
        <f>IF(AD893&gt;0,IF(AD893&lt;=eco,alpha*fck*(1-(1-AD893/eco)^n),alpha*fck),0)</f>
      </c>
      <c r="AF893" s="30">
        <f>PM_Angle!$J$18+PM_Angle!$K$18*$C893+PM_Angle!$L$18*$B893</f>
      </c>
      <c r="AG893" s="12">
        <f>IF(AF893&gt;0,IF(AF893&lt;=eco,alpha*fck*(1-(1-AF893/eco)^n),alpha*fck),0)</f>
      </c>
      <c r="AH893" s="30">
        <f>PM_Angle!$J$19+PM_Angle!$K$19*$C893+PM_Angle!$L$19*$B893</f>
      </c>
      <c r="AI893" s="12">
        <f>IF(AH893&gt;0,IF(AH893&lt;=eco,alpha*fck*(1-(1-AH893/eco)^n),alpha*fck),0)</f>
      </c>
      <c r="AJ893" s="30">
        <f>PM_Angle!$J$20+PM_Angle!$K$20*$C893+PM_Angle!$L$20*$B893</f>
      </c>
      <c r="AK893" s="12">
        <f>IF(AJ893&gt;0,IF(AJ893&lt;=eco,alpha*fck*(1-(1-AJ893/eco)^n),alpha*fck),0)</f>
      </c>
      <c r="AL893" s="30">
        <f>PM_Angle!$J$21+PM_Angle!$K$21*$C893+PM_Angle!$L$21*$B893</f>
      </c>
      <c r="AM893" s="12">
        <f>IF(AL893&gt;0,IF(AL893&lt;=eco,alpha*fck*(1-(1-AL893/eco)^n),alpha*fck),0)</f>
      </c>
      <c r="AN893" s="30">
        <f>PM_Angle!$J$22+PM_Angle!$K$22*$C893+PM_Angle!$L$22*$B893</f>
      </c>
      <c r="AO893" s="12">
        <f>IF(AN893&gt;0,IF(AN893&lt;=eco,alpha*fck*(1-(1-AN893/eco)^n),alpha*fck),0)</f>
      </c>
      <c r="AP893" s="30">
        <f>PM_Angle!$J$23+PM_Angle!$K$23*$C893+PM_Angle!$L$23*$B893</f>
      </c>
      <c r="AQ893" s="12">
        <f>IF(AP893&gt;0,IF(AP893&lt;=eco,alpha*fck*(1-(1-AP893/eco)^n),alpha*fck),0)</f>
      </c>
      <c r="AR893" s="30">
        <f>PM_Angle!$J$24+PM_Angle!$K$24*$C893+PM_Angle!$L$24*$B893</f>
      </c>
      <c r="AS893" s="12">
        <f>IF(AR893&gt;0,IF(AR893&lt;=eco,alpha*fck*(1-(1-AR893/eco)^n),alpha*fck),0)</f>
      </c>
      <c r="AT893" s="30">
        <f>PM_Angle!$J$25+PM_Angle!$K$25*$C893+PM_Angle!$L$25*$B893</f>
      </c>
      <c r="AU893" s="12">
        <f>IF(AT893&gt;0,IF(AT893&lt;=eco,alpha*fck*(1-(1-AT893/eco)^n),alpha*fck),0)</f>
      </c>
    </row>
    <row r="894" spans="1:47" x14ac:dyDescent="0.25">
      <c r="A894">
        <f>Mesh!A891</f>
      </c>
      <c r="B894" s="12">
        <f>Mesh!B891</f>
      </c>
      <c r="C894" s="12">
        <f>Mesh!C891</f>
      </c>
      <c r="D894" s="12">
        <f>Mesh!D891</f>
      </c>
      <c r="E894" s="30">
        <f>INDEX(St_e0,Det+1)+INDEX(St_kx,Det+1)*C894+INDEX(St_ky,Det+1)*B894</f>
      </c>
      <c r="F894" s="12">
        <f>IF(E894&gt;0,IF(E894&lt;=eco,alpha*fck*(1-(1-E894/eco)^n),alpha*fck),0)</f>
      </c>
      <c r="G894" s="11">
        <f>F894*D894</f>
      </c>
      <c r="H894" s="11">
        <f>G894*C894</f>
      </c>
      <c r="I894" s="11">
        <f>G894*B894</f>
      </c>
      <c r="J894" s="30">
        <f>PM_Angle!$J$7+PM_Angle!$K$7*$C894+PM_Angle!$L$7*$B894</f>
      </c>
      <c r="K894" s="12">
        <f>IF(J894&gt;0,IF(J894&lt;=eco,alpha*fck*(1-(1-J894/eco)^n),alpha*fck),0)</f>
      </c>
      <c r="L894" s="30">
        <f>PM_Angle!$J$8+PM_Angle!$K$8*$C894+PM_Angle!$L$8*$B894</f>
      </c>
      <c r="M894" s="12">
        <f>IF(L894&gt;0,IF(L894&lt;=eco,alpha*fck*(1-(1-L894/eco)^n),alpha*fck),0)</f>
      </c>
      <c r="N894" s="30">
        <f>PM_Angle!$J$9+PM_Angle!$K$9*$C894+PM_Angle!$L$9*$B894</f>
      </c>
      <c r="O894" s="12">
        <f>IF(N894&gt;0,IF(N894&lt;=eco,alpha*fck*(1-(1-N894/eco)^n),alpha*fck),0)</f>
      </c>
      <c r="P894" s="30">
        <f>PM_Angle!$J$10+PM_Angle!$K$10*$C894+PM_Angle!$L$10*$B894</f>
      </c>
      <c r="Q894" s="12">
        <f>IF(P894&gt;0,IF(P894&lt;=eco,alpha*fck*(1-(1-P894/eco)^n),alpha*fck),0)</f>
      </c>
      <c r="R894" s="30">
        <f>PM_Angle!$J$11+PM_Angle!$K$11*$C894+PM_Angle!$L$11*$B894</f>
      </c>
      <c r="S894" s="12">
        <f>IF(R894&gt;0,IF(R894&lt;=eco,alpha*fck*(1-(1-R894/eco)^n),alpha*fck),0)</f>
      </c>
      <c r="T894" s="30">
        <f>PM_Angle!$J$12+PM_Angle!$K$12*$C894+PM_Angle!$L$12*$B894</f>
      </c>
      <c r="U894" s="12">
        <f>IF(T894&gt;0,IF(T894&lt;=eco,alpha*fck*(1-(1-T894/eco)^n),alpha*fck),0)</f>
      </c>
      <c r="V894" s="30">
        <f>PM_Angle!$J$13+PM_Angle!$K$13*$C894+PM_Angle!$L$13*$B894</f>
      </c>
      <c r="W894" s="12">
        <f>IF(V894&gt;0,IF(V894&lt;=eco,alpha*fck*(1-(1-V894/eco)^n),alpha*fck),0)</f>
      </c>
      <c r="X894" s="30">
        <f>PM_Angle!$J$14+PM_Angle!$K$14*$C894+PM_Angle!$L$14*$B894</f>
      </c>
      <c r="Y894" s="12">
        <f>IF(X894&gt;0,IF(X894&lt;=eco,alpha*fck*(1-(1-X894/eco)^n),alpha*fck),0)</f>
      </c>
      <c r="Z894" s="30">
        <f>PM_Angle!$J$15+PM_Angle!$K$15*$C894+PM_Angle!$L$15*$B894</f>
      </c>
      <c r="AA894" s="12">
        <f>IF(Z894&gt;0,IF(Z894&lt;=eco,alpha*fck*(1-(1-Z894/eco)^n),alpha*fck),0)</f>
      </c>
      <c r="AB894" s="30">
        <f>PM_Angle!$J$16+PM_Angle!$K$16*$C894+PM_Angle!$L$16*$B894</f>
      </c>
      <c r="AC894" s="12">
        <f>IF(AB894&gt;0,IF(AB894&lt;=eco,alpha*fck*(1-(1-AB894/eco)^n),alpha*fck),0)</f>
      </c>
      <c r="AD894" s="30">
        <f>PM_Angle!$J$17+PM_Angle!$K$17*$C894+PM_Angle!$L$17*$B894</f>
      </c>
      <c r="AE894" s="12">
        <f>IF(AD894&gt;0,IF(AD894&lt;=eco,alpha*fck*(1-(1-AD894/eco)^n),alpha*fck),0)</f>
      </c>
      <c r="AF894" s="30">
        <f>PM_Angle!$J$18+PM_Angle!$K$18*$C894+PM_Angle!$L$18*$B894</f>
      </c>
      <c r="AG894" s="12">
        <f>IF(AF894&gt;0,IF(AF894&lt;=eco,alpha*fck*(1-(1-AF894/eco)^n),alpha*fck),0)</f>
      </c>
      <c r="AH894" s="30">
        <f>PM_Angle!$J$19+PM_Angle!$K$19*$C894+PM_Angle!$L$19*$B894</f>
      </c>
      <c r="AI894" s="12">
        <f>IF(AH894&gt;0,IF(AH894&lt;=eco,alpha*fck*(1-(1-AH894/eco)^n),alpha*fck),0)</f>
      </c>
      <c r="AJ894" s="30">
        <f>PM_Angle!$J$20+PM_Angle!$K$20*$C894+PM_Angle!$L$20*$B894</f>
      </c>
      <c r="AK894" s="12">
        <f>IF(AJ894&gt;0,IF(AJ894&lt;=eco,alpha*fck*(1-(1-AJ894/eco)^n),alpha*fck),0)</f>
      </c>
      <c r="AL894" s="30">
        <f>PM_Angle!$J$21+PM_Angle!$K$21*$C894+PM_Angle!$L$21*$B894</f>
      </c>
      <c r="AM894" s="12">
        <f>IF(AL894&gt;0,IF(AL894&lt;=eco,alpha*fck*(1-(1-AL894/eco)^n),alpha*fck),0)</f>
      </c>
      <c r="AN894" s="30">
        <f>PM_Angle!$J$22+PM_Angle!$K$22*$C894+PM_Angle!$L$22*$B894</f>
      </c>
      <c r="AO894" s="12">
        <f>IF(AN894&gt;0,IF(AN894&lt;=eco,alpha*fck*(1-(1-AN894/eco)^n),alpha*fck),0)</f>
      </c>
      <c r="AP894" s="30">
        <f>PM_Angle!$J$23+PM_Angle!$K$23*$C894+PM_Angle!$L$23*$B894</f>
      </c>
      <c r="AQ894" s="12">
        <f>IF(AP894&gt;0,IF(AP894&lt;=eco,alpha*fck*(1-(1-AP894/eco)^n),alpha*fck),0)</f>
      </c>
      <c r="AR894" s="30">
        <f>PM_Angle!$J$24+PM_Angle!$K$24*$C894+PM_Angle!$L$24*$B894</f>
      </c>
      <c r="AS894" s="12">
        <f>IF(AR894&gt;0,IF(AR894&lt;=eco,alpha*fck*(1-(1-AR894/eco)^n),alpha*fck),0)</f>
      </c>
      <c r="AT894" s="30">
        <f>PM_Angle!$J$25+PM_Angle!$K$25*$C894+PM_Angle!$L$25*$B894</f>
      </c>
      <c r="AU894" s="12">
        <f>IF(AT894&gt;0,IF(AT894&lt;=eco,alpha*fck*(1-(1-AT894/eco)^n),alpha*fck),0)</f>
      </c>
    </row>
    <row r="895" spans="1:47" x14ac:dyDescent="0.25">
      <c r="A895">
        <f>Mesh!A892</f>
      </c>
      <c r="B895" s="12">
        <f>Mesh!B892</f>
      </c>
      <c r="C895" s="12">
        <f>Mesh!C892</f>
      </c>
      <c r="D895" s="12">
        <f>Mesh!D892</f>
      </c>
      <c r="E895" s="30">
        <f>INDEX(St_e0,Det+1)+INDEX(St_kx,Det+1)*C895+INDEX(St_ky,Det+1)*B895</f>
      </c>
      <c r="F895" s="12">
        <f>IF(E895&gt;0,IF(E895&lt;=eco,alpha*fck*(1-(1-E895/eco)^n),alpha*fck),0)</f>
      </c>
      <c r="G895" s="11">
        <f>F895*D895</f>
      </c>
      <c r="H895" s="11">
        <f>G895*C895</f>
      </c>
      <c r="I895" s="11">
        <f>G895*B895</f>
      </c>
      <c r="J895" s="30">
        <f>PM_Angle!$J$7+PM_Angle!$K$7*$C895+PM_Angle!$L$7*$B895</f>
      </c>
      <c r="K895" s="12">
        <f>IF(J895&gt;0,IF(J895&lt;=eco,alpha*fck*(1-(1-J895/eco)^n),alpha*fck),0)</f>
      </c>
      <c r="L895" s="30">
        <f>PM_Angle!$J$8+PM_Angle!$K$8*$C895+PM_Angle!$L$8*$B895</f>
      </c>
      <c r="M895" s="12">
        <f>IF(L895&gt;0,IF(L895&lt;=eco,alpha*fck*(1-(1-L895/eco)^n),alpha*fck),0)</f>
      </c>
      <c r="N895" s="30">
        <f>PM_Angle!$J$9+PM_Angle!$K$9*$C895+PM_Angle!$L$9*$B895</f>
      </c>
      <c r="O895" s="12">
        <f>IF(N895&gt;0,IF(N895&lt;=eco,alpha*fck*(1-(1-N895/eco)^n),alpha*fck),0)</f>
      </c>
      <c r="P895" s="30">
        <f>PM_Angle!$J$10+PM_Angle!$K$10*$C895+PM_Angle!$L$10*$B895</f>
      </c>
      <c r="Q895" s="12">
        <f>IF(P895&gt;0,IF(P895&lt;=eco,alpha*fck*(1-(1-P895/eco)^n),alpha*fck),0)</f>
      </c>
      <c r="R895" s="30">
        <f>PM_Angle!$J$11+PM_Angle!$K$11*$C895+PM_Angle!$L$11*$B895</f>
      </c>
      <c r="S895" s="12">
        <f>IF(R895&gt;0,IF(R895&lt;=eco,alpha*fck*(1-(1-R895/eco)^n),alpha*fck),0)</f>
      </c>
      <c r="T895" s="30">
        <f>PM_Angle!$J$12+PM_Angle!$K$12*$C895+PM_Angle!$L$12*$B895</f>
      </c>
      <c r="U895" s="12">
        <f>IF(T895&gt;0,IF(T895&lt;=eco,alpha*fck*(1-(1-T895/eco)^n),alpha*fck),0)</f>
      </c>
      <c r="V895" s="30">
        <f>PM_Angle!$J$13+PM_Angle!$K$13*$C895+PM_Angle!$L$13*$B895</f>
      </c>
      <c r="W895" s="12">
        <f>IF(V895&gt;0,IF(V895&lt;=eco,alpha*fck*(1-(1-V895/eco)^n),alpha*fck),0)</f>
      </c>
      <c r="X895" s="30">
        <f>PM_Angle!$J$14+PM_Angle!$K$14*$C895+PM_Angle!$L$14*$B895</f>
      </c>
      <c r="Y895" s="12">
        <f>IF(X895&gt;0,IF(X895&lt;=eco,alpha*fck*(1-(1-X895/eco)^n),alpha*fck),0)</f>
      </c>
      <c r="Z895" s="30">
        <f>PM_Angle!$J$15+PM_Angle!$K$15*$C895+PM_Angle!$L$15*$B895</f>
      </c>
      <c r="AA895" s="12">
        <f>IF(Z895&gt;0,IF(Z895&lt;=eco,alpha*fck*(1-(1-Z895/eco)^n),alpha*fck),0)</f>
      </c>
      <c r="AB895" s="30">
        <f>PM_Angle!$J$16+PM_Angle!$K$16*$C895+PM_Angle!$L$16*$B895</f>
      </c>
      <c r="AC895" s="12">
        <f>IF(AB895&gt;0,IF(AB895&lt;=eco,alpha*fck*(1-(1-AB895/eco)^n),alpha*fck),0)</f>
      </c>
      <c r="AD895" s="30">
        <f>PM_Angle!$J$17+PM_Angle!$K$17*$C895+PM_Angle!$L$17*$B895</f>
      </c>
      <c r="AE895" s="12">
        <f>IF(AD895&gt;0,IF(AD895&lt;=eco,alpha*fck*(1-(1-AD895/eco)^n),alpha*fck),0)</f>
      </c>
      <c r="AF895" s="30">
        <f>PM_Angle!$J$18+PM_Angle!$K$18*$C895+PM_Angle!$L$18*$B895</f>
      </c>
      <c r="AG895" s="12">
        <f>IF(AF895&gt;0,IF(AF895&lt;=eco,alpha*fck*(1-(1-AF895/eco)^n),alpha*fck),0)</f>
      </c>
      <c r="AH895" s="30">
        <f>PM_Angle!$J$19+PM_Angle!$K$19*$C895+PM_Angle!$L$19*$B895</f>
      </c>
      <c r="AI895" s="12">
        <f>IF(AH895&gt;0,IF(AH895&lt;=eco,alpha*fck*(1-(1-AH895/eco)^n),alpha*fck),0)</f>
      </c>
      <c r="AJ895" s="30">
        <f>PM_Angle!$J$20+PM_Angle!$K$20*$C895+PM_Angle!$L$20*$B895</f>
      </c>
      <c r="AK895" s="12">
        <f>IF(AJ895&gt;0,IF(AJ895&lt;=eco,alpha*fck*(1-(1-AJ895/eco)^n),alpha*fck),0)</f>
      </c>
      <c r="AL895" s="30">
        <f>PM_Angle!$J$21+PM_Angle!$K$21*$C895+PM_Angle!$L$21*$B895</f>
      </c>
      <c r="AM895" s="12">
        <f>IF(AL895&gt;0,IF(AL895&lt;=eco,alpha*fck*(1-(1-AL895/eco)^n),alpha*fck),0)</f>
      </c>
      <c r="AN895" s="30">
        <f>PM_Angle!$J$22+PM_Angle!$K$22*$C895+PM_Angle!$L$22*$B895</f>
      </c>
      <c r="AO895" s="12">
        <f>IF(AN895&gt;0,IF(AN895&lt;=eco,alpha*fck*(1-(1-AN895/eco)^n),alpha*fck),0)</f>
      </c>
      <c r="AP895" s="30">
        <f>PM_Angle!$J$23+PM_Angle!$K$23*$C895+PM_Angle!$L$23*$B895</f>
      </c>
      <c r="AQ895" s="12">
        <f>IF(AP895&gt;0,IF(AP895&lt;=eco,alpha*fck*(1-(1-AP895/eco)^n),alpha*fck),0)</f>
      </c>
      <c r="AR895" s="30">
        <f>PM_Angle!$J$24+PM_Angle!$K$24*$C895+PM_Angle!$L$24*$B895</f>
      </c>
      <c r="AS895" s="12">
        <f>IF(AR895&gt;0,IF(AR895&lt;=eco,alpha*fck*(1-(1-AR895/eco)^n),alpha*fck),0)</f>
      </c>
      <c r="AT895" s="30">
        <f>PM_Angle!$J$25+PM_Angle!$K$25*$C895+PM_Angle!$L$25*$B895</f>
      </c>
      <c r="AU895" s="12">
        <f>IF(AT895&gt;0,IF(AT895&lt;=eco,alpha*fck*(1-(1-AT895/eco)^n),alpha*fck),0)</f>
      </c>
    </row>
    <row r="896" spans="1:47" x14ac:dyDescent="0.25">
      <c r="A896">
        <f>Mesh!A893</f>
      </c>
      <c r="B896" s="12">
        <f>Mesh!B893</f>
      </c>
      <c r="C896" s="12">
        <f>Mesh!C893</f>
      </c>
      <c r="D896" s="12">
        <f>Mesh!D893</f>
      </c>
      <c r="E896" s="30">
        <f>INDEX(St_e0,Det+1)+INDEX(St_kx,Det+1)*C896+INDEX(St_ky,Det+1)*B896</f>
      </c>
      <c r="F896" s="12">
        <f>IF(E896&gt;0,IF(E896&lt;=eco,alpha*fck*(1-(1-E896/eco)^n),alpha*fck),0)</f>
      </c>
      <c r="G896" s="11">
        <f>F896*D896</f>
      </c>
      <c r="H896" s="11">
        <f>G896*C896</f>
      </c>
      <c r="I896" s="11">
        <f>G896*B896</f>
      </c>
      <c r="J896" s="30">
        <f>PM_Angle!$J$7+PM_Angle!$K$7*$C896+PM_Angle!$L$7*$B896</f>
      </c>
      <c r="K896" s="12">
        <f>IF(J896&gt;0,IF(J896&lt;=eco,alpha*fck*(1-(1-J896/eco)^n),alpha*fck),0)</f>
      </c>
      <c r="L896" s="30">
        <f>PM_Angle!$J$8+PM_Angle!$K$8*$C896+PM_Angle!$L$8*$B896</f>
      </c>
      <c r="M896" s="12">
        <f>IF(L896&gt;0,IF(L896&lt;=eco,alpha*fck*(1-(1-L896/eco)^n),alpha*fck),0)</f>
      </c>
      <c r="N896" s="30">
        <f>PM_Angle!$J$9+PM_Angle!$K$9*$C896+PM_Angle!$L$9*$B896</f>
      </c>
      <c r="O896" s="12">
        <f>IF(N896&gt;0,IF(N896&lt;=eco,alpha*fck*(1-(1-N896/eco)^n),alpha*fck),0)</f>
      </c>
      <c r="P896" s="30">
        <f>PM_Angle!$J$10+PM_Angle!$K$10*$C896+PM_Angle!$L$10*$B896</f>
      </c>
      <c r="Q896" s="12">
        <f>IF(P896&gt;0,IF(P896&lt;=eco,alpha*fck*(1-(1-P896/eco)^n),alpha*fck),0)</f>
      </c>
      <c r="R896" s="30">
        <f>PM_Angle!$J$11+PM_Angle!$K$11*$C896+PM_Angle!$L$11*$B896</f>
      </c>
      <c r="S896" s="12">
        <f>IF(R896&gt;0,IF(R896&lt;=eco,alpha*fck*(1-(1-R896/eco)^n),alpha*fck),0)</f>
      </c>
      <c r="T896" s="30">
        <f>PM_Angle!$J$12+PM_Angle!$K$12*$C896+PM_Angle!$L$12*$B896</f>
      </c>
      <c r="U896" s="12">
        <f>IF(T896&gt;0,IF(T896&lt;=eco,alpha*fck*(1-(1-T896/eco)^n),alpha*fck),0)</f>
      </c>
      <c r="V896" s="30">
        <f>PM_Angle!$J$13+PM_Angle!$K$13*$C896+PM_Angle!$L$13*$B896</f>
      </c>
      <c r="W896" s="12">
        <f>IF(V896&gt;0,IF(V896&lt;=eco,alpha*fck*(1-(1-V896/eco)^n),alpha*fck),0)</f>
      </c>
      <c r="X896" s="30">
        <f>PM_Angle!$J$14+PM_Angle!$K$14*$C896+PM_Angle!$L$14*$B896</f>
      </c>
      <c r="Y896" s="12">
        <f>IF(X896&gt;0,IF(X896&lt;=eco,alpha*fck*(1-(1-X896/eco)^n),alpha*fck),0)</f>
      </c>
      <c r="Z896" s="30">
        <f>PM_Angle!$J$15+PM_Angle!$K$15*$C896+PM_Angle!$L$15*$B896</f>
      </c>
      <c r="AA896" s="12">
        <f>IF(Z896&gt;0,IF(Z896&lt;=eco,alpha*fck*(1-(1-Z896/eco)^n),alpha*fck),0)</f>
      </c>
      <c r="AB896" s="30">
        <f>PM_Angle!$J$16+PM_Angle!$K$16*$C896+PM_Angle!$L$16*$B896</f>
      </c>
      <c r="AC896" s="12">
        <f>IF(AB896&gt;0,IF(AB896&lt;=eco,alpha*fck*(1-(1-AB896/eco)^n),alpha*fck),0)</f>
      </c>
      <c r="AD896" s="30">
        <f>PM_Angle!$J$17+PM_Angle!$K$17*$C896+PM_Angle!$L$17*$B896</f>
      </c>
      <c r="AE896" s="12">
        <f>IF(AD896&gt;0,IF(AD896&lt;=eco,alpha*fck*(1-(1-AD896/eco)^n),alpha*fck),0)</f>
      </c>
      <c r="AF896" s="30">
        <f>PM_Angle!$J$18+PM_Angle!$K$18*$C896+PM_Angle!$L$18*$B896</f>
      </c>
      <c r="AG896" s="12">
        <f>IF(AF896&gt;0,IF(AF896&lt;=eco,alpha*fck*(1-(1-AF896/eco)^n),alpha*fck),0)</f>
      </c>
      <c r="AH896" s="30">
        <f>PM_Angle!$J$19+PM_Angle!$K$19*$C896+PM_Angle!$L$19*$B896</f>
      </c>
      <c r="AI896" s="12">
        <f>IF(AH896&gt;0,IF(AH896&lt;=eco,alpha*fck*(1-(1-AH896/eco)^n),alpha*fck),0)</f>
      </c>
      <c r="AJ896" s="30">
        <f>PM_Angle!$J$20+PM_Angle!$K$20*$C896+PM_Angle!$L$20*$B896</f>
      </c>
      <c r="AK896" s="12">
        <f>IF(AJ896&gt;0,IF(AJ896&lt;=eco,alpha*fck*(1-(1-AJ896/eco)^n),alpha*fck),0)</f>
      </c>
      <c r="AL896" s="30">
        <f>PM_Angle!$J$21+PM_Angle!$K$21*$C896+PM_Angle!$L$21*$B896</f>
      </c>
      <c r="AM896" s="12">
        <f>IF(AL896&gt;0,IF(AL896&lt;=eco,alpha*fck*(1-(1-AL896/eco)^n),alpha*fck),0)</f>
      </c>
      <c r="AN896" s="30">
        <f>PM_Angle!$J$22+PM_Angle!$K$22*$C896+PM_Angle!$L$22*$B896</f>
      </c>
      <c r="AO896" s="12">
        <f>IF(AN896&gt;0,IF(AN896&lt;=eco,alpha*fck*(1-(1-AN896/eco)^n),alpha*fck),0)</f>
      </c>
      <c r="AP896" s="30">
        <f>PM_Angle!$J$23+PM_Angle!$K$23*$C896+PM_Angle!$L$23*$B896</f>
      </c>
      <c r="AQ896" s="12">
        <f>IF(AP896&gt;0,IF(AP896&lt;=eco,alpha*fck*(1-(1-AP896/eco)^n),alpha*fck),0)</f>
      </c>
      <c r="AR896" s="30">
        <f>PM_Angle!$J$24+PM_Angle!$K$24*$C896+PM_Angle!$L$24*$B896</f>
      </c>
      <c r="AS896" s="12">
        <f>IF(AR896&gt;0,IF(AR896&lt;=eco,alpha*fck*(1-(1-AR896/eco)^n),alpha*fck),0)</f>
      </c>
      <c r="AT896" s="30">
        <f>PM_Angle!$J$25+PM_Angle!$K$25*$C896+PM_Angle!$L$25*$B896</f>
      </c>
      <c r="AU896" s="12">
        <f>IF(AT896&gt;0,IF(AT896&lt;=eco,alpha*fck*(1-(1-AT896/eco)^n),alpha*fck),0)</f>
      </c>
    </row>
    <row r="897" spans="1:47" x14ac:dyDescent="0.25">
      <c r="A897">
        <f>Mesh!A894</f>
      </c>
      <c r="B897" s="12">
        <f>Mesh!B894</f>
      </c>
      <c r="C897" s="12">
        <f>Mesh!C894</f>
      </c>
      <c r="D897" s="12">
        <f>Mesh!D894</f>
      </c>
      <c r="E897" s="30">
        <f>INDEX(St_e0,Det+1)+INDEX(St_kx,Det+1)*C897+INDEX(St_ky,Det+1)*B897</f>
      </c>
      <c r="F897" s="12">
        <f>IF(E897&gt;0,IF(E897&lt;=eco,alpha*fck*(1-(1-E897/eco)^n),alpha*fck),0)</f>
      </c>
      <c r="G897" s="11">
        <f>F897*D897</f>
      </c>
      <c r="H897" s="11">
        <f>G897*C897</f>
      </c>
      <c r="I897" s="11">
        <f>G897*B897</f>
      </c>
      <c r="J897" s="30">
        <f>PM_Angle!$J$7+PM_Angle!$K$7*$C897+PM_Angle!$L$7*$B897</f>
      </c>
      <c r="K897" s="12">
        <f>IF(J897&gt;0,IF(J897&lt;=eco,alpha*fck*(1-(1-J897/eco)^n),alpha*fck),0)</f>
      </c>
      <c r="L897" s="30">
        <f>PM_Angle!$J$8+PM_Angle!$K$8*$C897+PM_Angle!$L$8*$B897</f>
      </c>
      <c r="M897" s="12">
        <f>IF(L897&gt;0,IF(L897&lt;=eco,alpha*fck*(1-(1-L897/eco)^n),alpha*fck),0)</f>
      </c>
      <c r="N897" s="30">
        <f>PM_Angle!$J$9+PM_Angle!$K$9*$C897+PM_Angle!$L$9*$B897</f>
      </c>
      <c r="O897" s="12">
        <f>IF(N897&gt;0,IF(N897&lt;=eco,alpha*fck*(1-(1-N897/eco)^n),alpha*fck),0)</f>
      </c>
      <c r="P897" s="30">
        <f>PM_Angle!$J$10+PM_Angle!$K$10*$C897+PM_Angle!$L$10*$B897</f>
      </c>
      <c r="Q897" s="12">
        <f>IF(P897&gt;0,IF(P897&lt;=eco,alpha*fck*(1-(1-P897/eco)^n),alpha*fck),0)</f>
      </c>
      <c r="R897" s="30">
        <f>PM_Angle!$J$11+PM_Angle!$K$11*$C897+PM_Angle!$L$11*$B897</f>
      </c>
      <c r="S897" s="12">
        <f>IF(R897&gt;0,IF(R897&lt;=eco,alpha*fck*(1-(1-R897/eco)^n),alpha*fck),0)</f>
      </c>
      <c r="T897" s="30">
        <f>PM_Angle!$J$12+PM_Angle!$K$12*$C897+PM_Angle!$L$12*$B897</f>
      </c>
      <c r="U897" s="12">
        <f>IF(T897&gt;0,IF(T897&lt;=eco,alpha*fck*(1-(1-T897/eco)^n),alpha*fck),0)</f>
      </c>
      <c r="V897" s="30">
        <f>PM_Angle!$J$13+PM_Angle!$K$13*$C897+PM_Angle!$L$13*$B897</f>
      </c>
      <c r="W897" s="12">
        <f>IF(V897&gt;0,IF(V897&lt;=eco,alpha*fck*(1-(1-V897/eco)^n),alpha*fck),0)</f>
      </c>
      <c r="X897" s="30">
        <f>PM_Angle!$J$14+PM_Angle!$K$14*$C897+PM_Angle!$L$14*$B897</f>
      </c>
      <c r="Y897" s="12">
        <f>IF(X897&gt;0,IF(X897&lt;=eco,alpha*fck*(1-(1-X897/eco)^n),alpha*fck),0)</f>
      </c>
      <c r="Z897" s="30">
        <f>PM_Angle!$J$15+PM_Angle!$K$15*$C897+PM_Angle!$L$15*$B897</f>
      </c>
      <c r="AA897" s="12">
        <f>IF(Z897&gt;0,IF(Z897&lt;=eco,alpha*fck*(1-(1-Z897/eco)^n),alpha*fck),0)</f>
      </c>
      <c r="AB897" s="30">
        <f>PM_Angle!$J$16+PM_Angle!$K$16*$C897+PM_Angle!$L$16*$B897</f>
      </c>
      <c r="AC897" s="12">
        <f>IF(AB897&gt;0,IF(AB897&lt;=eco,alpha*fck*(1-(1-AB897/eco)^n),alpha*fck),0)</f>
      </c>
      <c r="AD897" s="30">
        <f>PM_Angle!$J$17+PM_Angle!$K$17*$C897+PM_Angle!$L$17*$B897</f>
      </c>
      <c r="AE897" s="12">
        <f>IF(AD897&gt;0,IF(AD897&lt;=eco,alpha*fck*(1-(1-AD897/eco)^n),alpha*fck),0)</f>
      </c>
      <c r="AF897" s="30">
        <f>PM_Angle!$J$18+PM_Angle!$K$18*$C897+PM_Angle!$L$18*$B897</f>
      </c>
      <c r="AG897" s="12">
        <f>IF(AF897&gt;0,IF(AF897&lt;=eco,alpha*fck*(1-(1-AF897/eco)^n),alpha*fck),0)</f>
      </c>
      <c r="AH897" s="30">
        <f>PM_Angle!$J$19+PM_Angle!$K$19*$C897+PM_Angle!$L$19*$B897</f>
      </c>
      <c r="AI897" s="12">
        <f>IF(AH897&gt;0,IF(AH897&lt;=eco,alpha*fck*(1-(1-AH897/eco)^n),alpha*fck),0)</f>
      </c>
      <c r="AJ897" s="30">
        <f>PM_Angle!$J$20+PM_Angle!$K$20*$C897+PM_Angle!$L$20*$B897</f>
      </c>
      <c r="AK897" s="12">
        <f>IF(AJ897&gt;0,IF(AJ897&lt;=eco,alpha*fck*(1-(1-AJ897/eco)^n),alpha*fck),0)</f>
      </c>
      <c r="AL897" s="30">
        <f>PM_Angle!$J$21+PM_Angle!$K$21*$C897+PM_Angle!$L$21*$B897</f>
      </c>
      <c r="AM897" s="12">
        <f>IF(AL897&gt;0,IF(AL897&lt;=eco,alpha*fck*(1-(1-AL897/eco)^n),alpha*fck),0)</f>
      </c>
      <c r="AN897" s="30">
        <f>PM_Angle!$J$22+PM_Angle!$K$22*$C897+PM_Angle!$L$22*$B897</f>
      </c>
      <c r="AO897" s="12">
        <f>IF(AN897&gt;0,IF(AN897&lt;=eco,alpha*fck*(1-(1-AN897/eco)^n),alpha*fck),0)</f>
      </c>
      <c r="AP897" s="30">
        <f>PM_Angle!$J$23+PM_Angle!$K$23*$C897+PM_Angle!$L$23*$B897</f>
      </c>
      <c r="AQ897" s="12">
        <f>IF(AP897&gt;0,IF(AP897&lt;=eco,alpha*fck*(1-(1-AP897/eco)^n),alpha*fck),0)</f>
      </c>
      <c r="AR897" s="30">
        <f>PM_Angle!$J$24+PM_Angle!$K$24*$C897+PM_Angle!$L$24*$B897</f>
      </c>
      <c r="AS897" s="12">
        <f>IF(AR897&gt;0,IF(AR897&lt;=eco,alpha*fck*(1-(1-AR897/eco)^n),alpha*fck),0)</f>
      </c>
      <c r="AT897" s="30">
        <f>PM_Angle!$J$25+PM_Angle!$K$25*$C897+PM_Angle!$L$25*$B897</f>
      </c>
      <c r="AU897" s="12">
        <f>IF(AT897&gt;0,IF(AT897&lt;=eco,alpha*fck*(1-(1-AT897/eco)^n),alpha*fck),0)</f>
      </c>
    </row>
    <row r="898" spans="1:47" x14ac:dyDescent="0.25">
      <c r="A898">
        <f>Mesh!A895</f>
      </c>
      <c r="B898" s="12">
        <f>Mesh!B895</f>
      </c>
      <c r="C898" s="12">
        <f>Mesh!C895</f>
      </c>
      <c r="D898" s="12">
        <f>Mesh!D895</f>
      </c>
      <c r="E898" s="30">
        <f>INDEX(St_e0,Det+1)+INDEX(St_kx,Det+1)*C898+INDEX(St_ky,Det+1)*B898</f>
      </c>
      <c r="F898" s="12">
        <f>IF(E898&gt;0,IF(E898&lt;=eco,alpha*fck*(1-(1-E898/eco)^n),alpha*fck),0)</f>
      </c>
      <c r="G898" s="11">
        <f>F898*D898</f>
      </c>
      <c r="H898" s="11">
        <f>G898*C898</f>
      </c>
      <c r="I898" s="11">
        <f>G898*B898</f>
      </c>
      <c r="J898" s="30">
        <f>PM_Angle!$J$7+PM_Angle!$K$7*$C898+PM_Angle!$L$7*$B898</f>
      </c>
      <c r="K898" s="12">
        <f>IF(J898&gt;0,IF(J898&lt;=eco,alpha*fck*(1-(1-J898/eco)^n),alpha*fck),0)</f>
      </c>
      <c r="L898" s="30">
        <f>PM_Angle!$J$8+PM_Angle!$K$8*$C898+PM_Angle!$L$8*$B898</f>
      </c>
      <c r="M898" s="12">
        <f>IF(L898&gt;0,IF(L898&lt;=eco,alpha*fck*(1-(1-L898/eco)^n),alpha*fck),0)</f>
      </c>
      <c r="N898" s="30">
        <f>PM_Angle!$J$9+PM_Angle!$K$9*$C898+PM_Angle!$L$9*$B898</f>
      </c>
      <c r="O898" s="12">
        <f>IF(N898&gt;0,IF(N898&lt;=eco,alpha*fck*(1-(1-N898/eco)^n),alpha*fck),0)</f>
      </c>
      <c r="P898" s="30">
        <f>PM_Angle!$J$10+PM_Angle!$K$10*$C898+PM_Angle!$L$10*$B898</f>
      </c>
      <c r="Q898" s="12">
        <f>IF(P898&gt;0,IF(P898&lt;=eco,alpha*fck*(1-(1-P898/eco)^n),alpha*fck),0)</f>
      </c>
      <c r="R898" s="30">
        <f>PM_Angle!$J$11+PM_Angle!$K$11*$C898+PM_Angle!$L$11*$B898</f>
      </c>
      <c r="S898" s="12">
        <f>IF(R898&gt;0,IF(R898&lt;=eco,alpha*fck*(1-(1-R898/eco)^n),alpha*fck),0)</f>
      </c>
      <c r="T898" s="30">
        <f>PM_Angle!$J$12+PM_Angle!$K$12*$C898+PM_Angle!$L$12*$B898</f>
      </c>
      <c r="U898" s="12">
        <f>IF(T898&gt;0,IF(T898&lt;=eco,alpha*fck*(1-(1-T898/eco)^n),alpha*fck),0)</f>
      </c>
      <c r="V898" s="30">
        <f>PM_Angle!$J$13+PM_Angle!$K$13*$C898+PM_Angle!$L$13*$B898</f>
      </c>
      <c r="W898" s="12">
        <f>IF(V898&gt;0,IF(V898&lt;=eco,alpha*fck*(1-(1-V898/eco)^n),alpha*fck),0)</f>
      </c>
      <c r="X898" s="30">
        <f>PM_Angle!$J$14+PM_Angle!$K$14*$C898+PM_Angle!$L$14*$B898</f>
      </c>
      <c r="Y898" s="12">
        <f>IF(X898&gt;0,IF(X898&lt;=eco,alpha*fck*(1-(1-X898/eco)^n),alpha*fck),0)</f>
      </c>
      <c r="Z898" s="30">
        <f>PM_Angle!$J$15+PM_Angle!$K$15*$C898+PM_Angle!$L$15*$B898</f>
      </c>
      <c r="AA898" s="12">
        <f>IF(Z898&gt;0,IF(Z898&lt;=eco,alpha*fck*(1-(1-Z898/eco)^n),alpha*fck),0)</f>
      </c>
      <c r="AB898" s="30">
        <f>PM_Angle!$J$16+PM_Angle!$K$16*$C898+PM_Angle!$L$16*$B898</f>
      </c>
      <c r="AC898" s="12">
        <f>IF(AB898&gt;0,IF(AB898&lt;=eco,alpha*fck*(1-(1-AB898/eco)^n),alpha*fck),0)</f>
      </c>
      <c r="AD898" s="30">
        <f>PM_Angle!$J$17+PM_Angle!$K$17*$C898+PM_Angle!$L$17*$B898</f>
      </c>
      <c r="AE898" s="12">
        <f>IF(AD898&gt;0,IF(AD898&lt;=eco,alpha*fck*(1-(1-AD898/eco)^n),alpha*fck),0)</f>
      </c>
      <c r="AF898" s="30">
        <f>PM_Angle!$J$18+PM_Angle!$K$18*$C898+PM_Angle!$L$18*$B898</f>
      </c>
      <c r="AG898" s="12">
        <f>IF(AF898&gt;0,IF(AF898&lt;=eco,alpha*fck*(1-(1-AF898/eco)^n),alpha*fck),0)</f>
      </c>
      <c r="AH898" s="30">
        <f>PM_Angle!$J$19+PM_Angle!$K$19*$C898+PM_Angle!$L$19*$B898</f>
      </c>
      <c r="AI898" s="12">
        <f>IF(AH898&gt;0,IF(AH898&lt;=eco,alpha*fck*(1-(1-AH898/eco)^n),alpha*fck),0)</f>
      </c>
      <c r="AJ898" s="30">
        <f>PM_Angle!$J$20+PM_Angle!$K$20*$C898+PM_Angle!$L$20*$B898</f>
      </c>
      <c r="AK898" s="12">
        <f>IF(AJ898&gt;0,IF(AJ898&lt;=eco,alpha*fck*(1-(1-AJ898/eco)^n),alpha*fck),0)</f>
      </c>
      <c r="AL898" s="30">
        <f>PM_Angle!$J$21+PM_Angle!$K$21*$C898+PM_Angle!$L$21*$B898</f>
      </c>
      <c r="AM898" s="12">
        <f>IF(AL898&gt;0,IF(AL898&lt;=eco,alpha*fck*(1-(1-AL898/eco)^n),alpha*fck),0)</f>
      </c>
      <c r="AN898" s="30">
        <f>PM_Angle!$J$22+PM_Angle!$K$22*$C898+PM_Angle!$L$22*$B898</f>
      </c>
      <c r="AO898" s="12">
        <f>IF(AN898&gt;0,IF(AN898&lt;=eco,alpha*fck*(1-(1-AN898/eco)^n),alpha*fck),0)</f>
      </c>
      <c r="AP898" s="30">
        <f>PM_Angle!$J$23+PM_Angle!$K$23*$C898+PM_Angle!$L$23*$B898</f>
      </c>
      <c r="AQ898" s="12">
        <f>IF(AP898&gt;0,IF(AP898&lt;=eco,alpha*fck*(1-(1-AP898/eco)^n),alpha*fck),0)</f>
      </c>
      <c r="AR898" s="30">
        <f>PM_Angle!$J$24+PM_Angle!$K$24*$C898+PM_Angle!$L$24*$B898</f>
      </c>
      <c r="AS898" s="12">
        <f>IF(AR898&gt;0,IF(AR898&lt;=eco,alpha*fck*(1-(1-AR898/eco)^n),alpha*fck),0)</f>
      </c>
      <c r="AT898" s="30">
        <f>PM_Angle!$J$25+PM_Angle!$K$25*$C898+PM_Angle!$L$25*$B898</f>
      </c>
      <c r="AU898" s="12">
        <f>IF(AT898&gt;0,IF(AT898&lt;=eco,alpha*fck*(1-(1-AT898/eco)^n),alpha*fck),0)</f>
      </c>
    </row>
    <row r="899" spans="1:47" x14ac:dyDescent="0.25">
      <c r="A899">
        <f>Mesh!A896</f>
      </c>
      <c r="B899" s="12">
        <f>Mesh!B896</f>
      </c>
      <c r="C899" s="12">
        <f>Mesh!C896</f>
      </c>
      <c r="D899" s="12">
        <f>Mesh!D896</f>
      </c>
      <c r="E899" s="30">
        <f>INDEX(St_e0,Det+1)+INDEX(St_kx,Det+1)*C899+INDEX(St_ky,Det+1)*B899</f>
      </c>
      <c r="F899" s="12">
        <f>IF(E899&gt;0,IF(E899&lt;=eco,alpha*fck*(1-(1-E899/eco)^n),alpha*fck),0)</f>
      </c>
      <c r="G899" s="11">
        <f>F899*D899</f>
      </c>
      <c r="H899" s="11">
        <f>G899*C899</f>
      </c>
      <c r="I899" s="11">
        <f>G899*B899</f>
      </c>
      <c r="J899" s="30">
        <f>PM_Angle!$J$7+PM_Angle!$K$7*$C899+PM_Angle!$L$7*$B899</f>
      </c>
      <c r="K899" s="12">
        <f>IF(J899&gt;0,IF(J899&lt;=eco,alpha*fck*(1-(1-J899/eco)^n),alpha*fck),0)</f>
      </c>
      <c r="L899" s="30">
        <f>PM_Angle!$J$8+PM_Angle!$K$8*$C899+PM_Angle!$L$8*$B899</f>
      </c>
      <c r="M899" s="12">
        <f>IF(L899&gt;0,IF(L899&lt;=eco,alpha*fck*(1-(1-L899/eco)^n),alpha*fck),0)</f>
      </c>
      <c r="N899" s="30">
        <f>PM_Angle!$J$9+PM_Angle!$K$9*$C899+PM_Angle!$L$9*$B899</f>
      </c>
      <c r="O899" s="12">
        <f>IF(N899&gt;0,IF(N899&lt;=eco,alpha*fck*(1-(1-N899/eco)^n),alpha*fck),0)</f>
      </c>
      <c r="P899" s="30">
        <f>PM_Angle!$J$10+PM_Angle!$K$10*$C899+PM_Angle!$L$10*$B899</f>
      </c>
      <c r="Q899" s="12">
        <f>IF(P899&gt;0,IF(P899&lt;=eco,alpha*fck*(1-(1-P899/eco)^n),alpha*fck),0)</f>
      </c>
      <c r="R899" s="30">
        <f>PM_Angle!$J$11+PM_Angle!$K$11*$C899+PM_Angle!$L$11*$B899</f>
      </c>
      <c r="S899" s="12">
        <f>IF(R899&gt;0,IF(R899&lt;=eco,alpha*fck*(1-(1-R899/eco)^n),alpha*fck),0)</f>
      </c>
      <c r="T899" s="30">
        <f>PM_Angle!$J$12+PM_Angle!$K$12*$C899+PM_Angle!$L$12*$B899</f>
      </c>
      <c r="U899" s="12">
        <f>IF(T899&gt;0,IF(T899&lt;=eco,alpha*fck*(1-(1-T899/eco)^n),alpha*fck),0)</f>
      </c>
      <c r="V899" s="30">
        <f>PM_Angle!$J$13+PM_Angle!$K$13*$C899+PM_Angle!$L$13*$B899</f>
      </c>
      <c r="W899" s="12">
        <f>IF(V899&gt;0,IF(V899&lt;=eco,alpha*fck*(1-(1-V899/eco)^n),alpha*fck),0)</f>
      </c>
      <c r="X899" s="30">
        <f>PM_Angle!$J$14+PM_Angle!$K$14*$C899+PM_Angle!$L$14*$B899</f>
      </c>
      <c r="Y899" s="12">
        <f>IF(X899&gt;0,IF(X899&lt;=eco,alpha*fck*(1-(1-X899/eco)^n),alpha*fck),0)</f>
      </c>
      <c r="Z899" s="30">
        <f>PM_Angle!$J$15+PM_Angle!$K$15*$C899+PM_Angle!$L$15*$B899</f>
      </c>
      <c r="AA899" s="12">
        <f>IF(Z899&gt;0,IF(Z899&lt;=eco,alpha*fck*(1-(1-Z899/eco)^n),alpha*fck),0)</f>
      </c>
      <c r="AB899" s="30">
        <f>PM_Angle!$J$16+PM_Angle!$K$16*$C899+PM_Angle!$L$16*$B899</f>
      </c>
      <c r="AC899" s="12">
        <f>IF(AB899&gt;0,IF(AB899&lt;=eco,alpha*fck*(1-(1-AB899/eco)^n),alpha*fck),0)</f>
      </c>
      <c r="AD899" s="30">
        <f>PM_Angle!$J$17+PM_Angle!$K$17*$C899+PM_Angle!$L$17*$B899</f>
      </c>
      <c r="AE899" s="12">
        <f>IF(AD899&gt;0,IF(AD899&lt;=eco,alpha*fck*(1-(1-AD899/eco)^n),alpha*fck),0)</f>
      </c>
      <c r="AF899" s="30">
        <f>PM_Angle!$J$18+PM_Angle!$K$18*$C899+PM_Angle!$L$18*$B899</f>
      </c>
      <c r="AG899" s="12">
        <f>IF(AF899&gt;0,IF(AF899&lt;=eco,alpha*fck*(1-(1-AF899/eco)^n),alpha*fck),0)</f>
      </c>
      <c r="AH899" s="30">
        <f>PM_Angle!$J$19+PM_Angle!$K$19*$C899+PM_Angle!$L$19*$B899</f>
      </c>
      <c r="AI899" s="12">
        <f>IF(AH899&gt;0,IF(AH899&lt;=eco,alpha*fck*(1-(1-AH899/eco)^n),alpha*fck),0)</f>
      </c>
      <c r="AJ899" s="30">
        <f>PM_Angle!$J$20+PM_Angle!$K$20*$C899+PM_Angle!$L$20*$B899</f>
      </c>
      <c r="AK899" s="12">
        <f>IF(AJ899&gt;0,IF(AJ899&lt;=eco,alpha*fck*(1-(1-AJ899/eco)^n),alpha*fck),0)</f>
      </c>
      <c r="AL899" s="30">
        <f>PM_Angle!$J$21+PM_Angle!$K$21*$C899+PM_Angle!$L$21*$B899</f>
      </c>
      <c r="AM899" s="12">
        <f>IF(AL899&gt;0,IF(AL899&lt;=eco,alpha*fck*(1-(1-AL899/eco)^n),alpha*fck),0)</f>
      </c>
      <c r="AN899" s="30">
        <f>PM_Angle!$J$22+PM_Angle!$K$22*$C899+PM_Angle!$L$22*$B899</f>
      </c>
      <c r="AO899" s="12">
        <f>IF(AN899&gt;0,IF(AN899&lt;=eco,alpha*fck*(1-(1-AN899/eco)^n),alpha*fck),0)</f>
      </c>
      <c r="AP899" s="30">
        <f>PM_Angle!$J$23+PM_Angle!$K$23*$C899+PM_Angle!$L$23*$B899</f>
      </c>
      <c r="AQ899" s="12">
        <f>IF(AP899&gt;0,IF(AP899&lt;=eco,alpha*fck*(1-(1-AP899/eco)^n),alpha*fck),0)</f>
      </c>
      <c r="AR899" s="30">
        <f>PM_Angle!$J$24+PM_Angle!$K$24*$C899+PM_Angle!$L$24*$B899</f>
      </c>
      <c r="AS899" s="12">
        <f>IF(AR899&gt;0,IF(AR899&lt;=eco,alpha*fck*(1-(1-AR899/eco)^n),alpha*fck),0)</f>
      </c>
      <c r="AT899" s="30">
        <f>PM_Angle!$J$25+PM_Angle!$K$25*$C899+PM_Angle!$L$25*$B899</f>
      </c>
      <c r="AU899" s="12">
        <f>IF(AT899&gt;0,IF(AT899&lt;=eco,alpha*fck*(1-(1-AT899/eco)^n),alpha*fck),0)</f>
      </c>
    </row>
    <row r="900" spans="1:47" x14ac:dyDescent="0.25">
      <c r="A900">
        <f>Mesh!A897</f>
      </c>
      <c r="B900" s="12">
        <f>Mesh!B897</f>
      </c>
      <c r="C900" s="12">
        <f>Mesh!C897</f>
      </c>
      <c r="D900" s="12">
        <f>Mesh!D897</f>
      </c>
      <c r="E900" s="30">
        <f>INDEX(St_e0,Det+1)+INDEX(St_kx,Det+1)*C900+INDEX(St_ky,Det+1)*B900</f>
      </c>
      <c r="F900" s="12">
        <f>IF(E900&gt;0,IF(E900&lt;=eco,alpha*fck*(1-(1-E900/eco)^n),alpha*fck),0)</f>
      </c>
      <c r="G900" s="11">
        <f>F900*D900</f>
      </c>
      <c r="H900" s="11">
        <f>G900*C900</f>
      </c>
      <c r="I900" s="11">
        <f>G900*B900</f>
      </c>
      <c r="J900" s="30">
        <f>PM_Angle!$J$7+PM_Angle!$K$7*$C900+PM_Angle!$L$7*$B900</f>
      </c>
      <c r="K900" s="12">
        <f>IF(J900&gt;0,IF(J900&lt;=eco,alpha*fck*(1-(1-J900/eco)^n),alpha*fck),0)</f>
      </c>
      <c r="L900" s="30">
        <f>PM_Angle!$J$8+PM_Angle!$K$8*$C900+PM_Angle!$L$8*$B900</f>
      </c>
      <c r="M900" s="12">
        <f>IF(L900&gt;0,IF(L900&lt;=eco,alpha*fck*(1-(1-L900/eco)^n),alpha*fck),0)</f>
      </c>
      <c r="N900" s="30">
        <f>PM_Angle!$J$9+PM_Angle!$K$9*$C900+PM_Angle!$L$9*$B900</f>
      </c>
      <c r="O900" s="12">
        <f>IF(N900&gt;0,IF(N900&lt;=eco,alpha*fck*(1-(1-N900/eco)^n),alpha*fck),0)</f>
      </c>
      <c r="P900" s="30">
        <f>PM_Angle!$J$10+PM_Angle!$K$10*$C900+PM_Angle!$L$10*$B900</f>
      </c>
      <c r="Q900" s="12">
        <f>IF(P900&gt;0,IF(P900&lt;=eco,alpha*fck*(1-(1-P900/eco)^n),alpha*fck),0)</f>
      </c>
      <c r="R900" s="30">
        <f>PM_Angle!$J$11+PM_Angle!$K$11*$C900+PM_Angle!$L$11*$B900</f>
      </c>
      <c r="S900" s="12">
        <f>IF(R900&gt;0,IF(R900&lt;=eco,alpha*fck*(1-(1-R900/eco)^n),alpha*fck),0)</f>
      </c>
      <c r="T900" s="30">
        <f>PM_Angle!$J$12+PM_Angle!$K$12*$C900+PM_Angle!$L$12*$B900</f>
      </c>
      <c r="U900" s="12">
        <f>IF(T900&gt;0,IF(T900&lt;=eco,alpha*fck*(1-(1-T900/eco)^n),alpha*fck),0)</f>
      </c>
      <c r="V900" s="30">
        <f>PM_Angle!$J$13+PM_Angle!$K$13*$C900+PM_Angle!$L$13*$B900</f>
      </c>
      <c r="W900" s="12">
        <f>IF(V900&gt;0,IF(V900&lt;=eco,alpha*fck*(1-(1-V900/eco)^n),alpha*fck),0)</f>
      </c>
      <c r="X900" s="30">
        <f>PM_Angle!$J$14+PM_Angle!$K$14*$C900+PM_Angle!$L$14*$B900</f>
      </c>
      <c r="Y900" s="12">
        <f>IF(X900&gt;0,IF(X900&lt;=eco,alpha*fck*(1-(1-X900/eco)^n),alpha*fck),0)</f>
      </c>
      <c r="Z900" s="30">
        <f>PM_Angle!$J$15+PM_Angle!$K$15*$C900+PM_Angle!$L$15*$B900</f>
      </c>
      <c r="AA900" s="12">
        <f>IF(Z900&gt;0,IF(Z900&lt;=eco,alpha*fck*(1-(1-Z900/eco)^n),alpha*fck),0)</f>
      </c>
      <c r="AB900" s="30">
        <f>PM_Angle!$J$16+PM_Angle!$K$16*$C900+PM_Angle!$L$16*$B900</f>
      </c>
      <c r="AC900" s="12">
        <f>IF(AB900&gt;0,IF(AB900&lt;=eco,alpha*fck*(1-(1-AB900/eco)^n),alpha*fck),0)</f>
      </c>
      <c r="AD900" s="30">
        <f>PM_Angle!$J$17+PM_Angle!$K$17*$C900+PM_Angle!$L$17*$B900</f>
      </c>
      <c r="AE900" s="12">
        <f>IF(AD900&gt;0,IF(AD900&lt;=eco,alpha*fck*(1-(1-AD900/eco)^n),alpha*fck),0)</f>
      </c>
      <c r="AF900" s="30">
        <f>PM_Angle!$J$18+PM_Angle!$K$18*$C900+PM_Angle!$L$18*$B900</f>
      </c>
      <c r="AG900" s="12">
        <f>IF(AF900&gt;0,IF(AF900&lt;=eco,alpha*fck*(1-(1-AF900/eco)^n),alpha*fck),0)</f>
      </c>
      <c r="AH900" s="30">
        <f>PM_Angle!$J$19+PM_Angle!$K$19*$C900+PM_Angle!$L$19*$B900</f>
      </c>
      <c r="AI900" s="12">
        <f>IF(AH900&gt;0,IF(AH900&lt;=eco,alpha*fck*(1-(1-AH900/eco)^n),alpha*fck),0)</f>
      </c>
      <c r="AJ900" s="30">
        <f>PM_Angle!$J$20+PM_Angle!$K$20*$C900+PM_Angle!$L$20*$B900</f>
      </c>
      <c r="AK900" s="12">
        <f>IF(AJ900&gt;0,IF(AJ900&lt;=eco,alpha*fck*(1-(1-AJ900/eco)^n),alpha*fck),0)</f>
      </c>
      <c r="AL900" s="30">
        <f>PM_Angle!$J$21+PM_Angle!$K$21*$C900+PM_Angle!$L$21*$B900</f>
      </c>
      <c r="AM900" s="12">
        <f>IF(AL900&gt;0,IF(AL900&lt;=eco,alpha*fck*(1-(1-AL900/eco)^n),alpha*fck),0)</f>
      </c>
      <c r="AN900" s="30">
        <f>PM_Angle!$J$22+PM_Angle!$K$22*$C900+PM_Angle!$L$22*$B900</f>
      </c>
      <c r="AO900" s="12">
        <f>IF(AN900&gt;0,IF(AN900&lt;=eco,alpha*fck*(1-(1-AN900/eco)^n),alpha*fck),0)</f>
      </c>
      <c r="AP900" s="30">
        <f>PM_Angle!$J$23+PM_Angle!$K$23*$C900+PM_Angle!$L$23*$B900</f>
      </c>
      <c r="AQ900" s="12">
        <f>IF(AP900&gt;0,IF(AP900&lt;=eco,alpha*fck*(1-(1-AP900/eco)^n),alpha*fck),0)</f>
      </c>
      <c r="AR900" s="30">
        <f>PM_Angle!$J$24+PM_Angle!$K$24*$C900+PM_Angle!$L$24*$B900</f>
      </c>
      <c r="AS900" s="12">
        <f>IF(AR900&gt;0,IF(AR900&lt;=eco,alpha*fck*(1-(1-AR900/eco)^n),alpha*fck),0)</f>
      </c>
      <c r="AT900" s="30">
        <f>PM_Angle!$J$25+PM_Angle!$K$25*$C900+PM_Angle!$L$25*$B900</f>
      </c>
      <c r="AU900" s="12">
        <f>IF(AT900&gt;0,IF(AT900&lt;=eco,alpha*fck*(1-(1-AT900/eco)^n),alpha*fck),0)</f>
      </c>
    </row>
    <row r="901" spans="1:47" x14ac:dyDescent="0.25">
      <c r="A901">
        <f>Mesh!A898</f>
      </c>
      <c r="B901" s="12">
        <f>Mesh!B898</f>
      </c>
      <c r="C901" s="12">
        <f>Mesh!C898</f>
      </c>
      <c r="D901" s="12">
        <f>Mesh!D898</f>
      </c>
      <c r="E901" s="30">
        <f>INDEX(St_e0,Det+1)+INDEX(St_kx,Det+1)*C901+INDEX(St_ky,Det+1)*B901</f>
      </c>
      <c r="F901" s="12">
        <f>IF(E901&gt;0,IF(E901&lt;=eco,alpha*fck*(1-(1-E901/eco)^n),alpha*fck),0)</f>
      </c>
      <c r="G901" s="11">
        <f>F901*D901</f>
      </c>
      <c r="H901" s="11">
        <f>G901*C901</f>
      </c>
      <c r="I901" s="11">
        <f>G901*B901</f>
      </c>
      <c r="J901" s="30">
        <f>PM_Angle!$J$7+PM_Angle!$K$7*$C901+PM_Angle!$L$7*$B901</f>
      </c>
      <c r="K901" s="12">
        <f>IF(J901&gt;0,IF(J901&lt;=eco,alpha*fck*(1-(1-J901/eco)^n),alpha*fck),0)</f>
      </c>
      <c r="L901" s="30">
        <f>PM_Angle!$J$8+PM_Angle!$K$8*$C901+PM_Angle!$L$8*$B901</f>
      </c>
      <c r="M901" s="12">
        <f>IF(L901&gt;0,IF(L901&lt;=eco,alpha*fck*(1-(1-L901/eco)^n),alpha*fck),0)</f>
      </c>
      <c r="N901" s="30">
        <f>PM_Angle!$J$9+PM_Angle!$K$9*$C901+PM_Angle!$L$9*$B901</f>
      </c>
      <c r="O901" s="12">
        <f>IF(N901&gt;0,IF(N901&lt;=eco,alpha*fck*(1-(1-N901/eco)^n),alpha*fck),0)</f>
      </c>
      <c r="P901" s="30">
        <f>PM_Angle!$J$10+PM_Angle!$K$10*$C901+PM_Angle!$L$10*$B901</f>
      </c>
      <c r="Q901" s="12">
        <f>IF(P901&gt;0,IF(P901&lt;=eco,alpha*fck*(1-(1-P901/eco)^n),alpha*fck),0)</f>
      </c>
      <c r="R901" s="30">
        <f>PM_Angle!$J$11+PM_Angle!$K$11*$C901+PM_Angle!$L$11*$B901</f>
      </c>
      <c r="S901" s="12">
        <f>IF(R901&gt;0,IF(R901&lt;=eco,alpha*fck*(1-(1-R901/eco)^n),alpha*fck),0)</f>
      </c>
      <c r="T901" s="30">
        <f>PM_Angle!$J$12+PM_Angle!$K$12*$C901+PM_Angle!$L$12*$B901</f>
      </c>
      <c r="U901" s="12">
        <f>IF(T901&gt;0,IF(T901&lt;=eco,alpha*fck*(1-(1-T901/eco)^n),alpha*fck),0)</f>
      </c>
      <c r="V901" s="30">
        <f>PM_Angle!$J$13+PM_Angle!$K$13*$C901+PM_Angle!$L$13*$B901</f>
      </c>
      <c r="W901" s="12">
        <f>IF(V901&gt;0,IF(V901&lt;=eco,alpha*fck*(1-(1-V901/eco)^n),alpha*fck),0)</f>
      </c>
      <c r="X901" s="30">
        <f>PM_Angle!$J$14+PM_Angle!$K$14*$C901+PM_Angle!$L$14*$B901</f>
      </c>
      <c r="Y901" s="12">
        <f>IF(X901&gt;0,IF(X901&lt;=eco,alpha*fck*(1-(1-X901/eco)^n),alpha*fck),0)</f>
      </c>
      <c r="Z901" s="30">
        <f>PM_Angle!$J$15+PM_Angle!$K$15*$C901+PM_Angle!$L$15*$B901</f>
      </c>
      <c r="AA901" s="12">
        <f>IF(Z901&gt;0,IF(Z901&lt;=eco,alpha*fck*(1-(1-Z901/eco)^n),alpha*fck),0)</f>
      </c>
      <c r="AB901" s="30">
        <f>PM_Angle!$J$16+PM_Angle!$K$16*$C901+PM_Angle!$L$16*$B901</f>
      </c>
      <c r="AC901" s="12">
        <f>IF(AB901&gt;0,IF(AB901&lt;=eco,alpha*fck*(1-(1-AB901/eco)^n),alpha*fck),0)</f>
      </c>
      <c r="AD901" s="30">
        <f>PM_Angle!$J$17+PM_Angle!$K$17*$C901+PM_Angle!$L$17*$B901</f>
      </c>
      <c r="AE901" s="12">
        <f>IF(AD901&gt;0,IF(AD901&lt;=eco,alpha*fck*(1-(1-AD901/eco)^n),alpha*fck),0)</f>
      </c>
      <c r="AF901" s="30">
        <f>PM_Angle!$J$18+PM_Angle!$K$18*$C901+PM_Angle!$L$18*$B901</f>
      </c>
      <c r="AG901" s="12">
        <f>IF(AF901&gt;0,IF(AF901&lt;=eco,alpha*fck*(1-(1-AF901/eco)^n),alpha*fck),0)</f>
      </c>
      <c r="AH901" s="30">
        <f>PM_Angle!$J$19+PM_Angle!$K$19*$C901+PM_Angle!$L$19*$B901</f>
      </c>
      <c r="AI901" s="12">
        <f>IF(AH901&gt;0,IF(AH901&lt;=eco,alpha*fck*(1-(1-AH901/eco)^n),alpha*fck),0)</f>
      </c>
      <c r="AJ901" s="30">
        <f>PM_Angle!$J$20+PM_Angle!$K$20*$C901+PM_Angle!$L$20*$B901</f>
      </c>
      <c r="AK901" s="12">
        <f>IF(AJ901&gt;0,IF(AJ901&lt;=eco,alpha*fck*(1-(1-AJ901/eco)^n),alpha*fck),0)</f>
      </c>
      <c r="AL901" s="30">
        <f>PM_Angle!$J$21+PM_Angle!$K$21*$C901+PM_Angle!$L$21*$B901</f>
      </c>
      <c r="AM901" s="12">
        <f>IF(AL901&gt;0,IF(AL901&lt;=eco,alpha*fck*(1-(1-AL901/eco)^n),alpha*fck),0)</f>
      </c>
      <c r="AN901" s="30">
        <f>PM_Angle!$J$22+PM_Angle!$K$22*$C901+PM_Angle!$L$22*$B901</f>
      </c>
      <c r="AO901" s="12">
        <f>IF(AN901&gt;0,IF(AN901&lt;=eco,alpha*fck*(1-(1-AN901/eco)^n),alpha*fck),0)</f>
      </c>
      <c r="AP901" s="30">
        <f>PM_Angle!$J$23+PM_Angle!$K$23*$C901+PM_Angle!$L$23*$B901</f>
      </c>
      <c r="AQ901" s="12">
        <f>IF(AP901&gt;0,IF(AP901&lt;=eco,alpha*fck*(1-(1-AP901/eco)^n),alpha*fck),0)</f>
      </c>
      <c r="AR901" s="30">
        <f>PM_Angle!$J$24+PM_Angle!$K$24*$C901+PM_Angle!$L$24*$B901</f>
      </c>
      <c r="AS901" s="12">
        <f>IF(AR901&gt;0,IF(AR901&lt;=eco,alpha*fck*(1-(1-AR901/eco)^n),alpha*fck),0)</f>
      </c>
      <c r="AT901" s="30">
        <f>PM_Angle!$J$25+PM_Angle!$K$25*$C901+PM_Angle!$L$25*$B901</f>
      </c>
      <c r="AU901" s="12">
        <f>IF(AT901&gt;0,IF(AT901&lt;=eco,alpha*fck*(1-(1-AT901/eco)^n),alpha*fck),0)</f>
      </c>
    </row>
    <row r="902" spans="1:47" x14ac:dyDescent="0.25">
      <c r="A902">
        <f>Mesh!A899</f>
      </c>
      <c r="B902" s="12">
        <f>Mesh!B899</f>
      </c>
      <c r="C902" s="12">
        <f>Mesh!C899</f>
      </c>
      <c r="D902" s="12">
        <f>Mesh!D899</f>
      </c>
      <c r="E902" s="30">
        <f>INDEX(St_e0,Det+1)+INDEX(St_kx,Det+1)*C902+INDEX(St_ky,Det+1)*B902</f>
      </c>
      <c r="F902" s="12">
        <f>IF(E902&gt;0,IF(E902&lt;=eco,alpha*fck*(1-(1-E902/eco)^n),alpha*fck),0)</f>
      </c>
      <c r="G902" s="11">
        <f>F902*D902</f>
      </c>
      <c r="H902" s="11">
        <f>G902*C902</f>
      </c>
      <c r="I902" s="11">
        <f>G902*B902</f>
      </c>
      <c r="J902" s="30">
        <f>PM_Angle!$J$7+PM_Angle!$K$7*$C902+PM_Angle!$L$7*$B902</f>
      </c>
      <c r="K902" s="12">
        <f>IF(J902&gt;0,IF(J902&lt;=eco,alpha*fck*(1-(1-J902/eco)^n),alpha*fck),0)</f>
      </c>
      <c r="L902" s="30">
        <f>PM_Angle!$J$8+PM_Angle!$K$8*$C902+PM_Angle!$L$8*$B902</f>
      </c>
      <c r="M902" s="12">
        <f>IF(L902&gt;0,IF(L902&lt;=eco,alpha*fck*(1-(1-L902/eco)^n),alpha*fck),0)</f>
      </c>
      <c r="N902" s="30">
        <f>PM_Angle!$J$9+PM_Angle!$K$9*$C902+PM_Angle!$L$9*$B902</f>
      </c>
      <c r="O902" s="12">
        <f>IF(N902&gt;0,IF(N902&lt;=eco,alpha*fck*(1-(1-N902/eco)^n),alpha*fck),0)</f>
      </c>
      <c r="P902" s="30">
        <f>PM_Angle!$J$10+PM_Angle!$K$10*$C902+PM_Angle!$L$10*$B902</f>
      </c>
      <c r="Q902" s="12">
        <f>IF(P902&gt;0,IF(P902&lt;=eco,alpha*fck*(1-(1-P902/eco)^n),alpha*fck),0)</f>
      </c>
      <c r="R902" s="30">
        <f>PM_Angle!$J$11+PM_Angle!$K$11*$C902+PM_Angle!$L$11*$B902</f>
      </c>
      <c r="S902" s="12">
        <f>IF(R902&gt;0,IF(R902&lt;=eco,alpha*fck*(1-(1-R902/eco)^n),alpha*fck),0)</f>
      </c>
      <c r="T902" s="30">
        <f>PM_Angle!$J$12+PM_Angle!$K$12*$C902+PM_Angle!$L$12*$B902</f>
      </c>
      <c r="U902" s="12">
        <f>IF(T902&gt;0,IF(T902&lt;=eco,alpha*fck*(1-(1-T902/eco)^n),alpha*fck),0)</f>
      </c>
      <c r="V902" s="30">
        <f>PM_Angle!$J$13+PM_Angle!$K$13*$C902+PM_Angle!$L$13*$B902</f>
      </c>
      <c r="W902" s="12">
        <f>IF(V902&gt;0,IF(V902&lt;=eco,alpha*fck*(1-(1-V902/eco)^n),alpha*fck),0)</f>
      </c>
      <c r="X902" s="30">
        <f>PM_Angle!$J$14+PM_Angle!$K$14*$C902+PM_Angle!$L$14*$B902</f>
      </c>
      <c r="Y902" s="12">
        <f>IF(X902&gt;0,IF(X902&lt;=eco,alpha*fck*(1-(1-X902/eco)^n),alpha*fck),0)</f>
      </c>
      <c r="Z902" s="30">
        <f>PM_Angle!$J$15+PM_Angle!$K$15*$C902+PM_Angle!$L$15*$B902</f>
      </c>
      <c r="AA902" s="12">
        <f>IF(Z902&gt;0,IF(Z902&lt;=eco,alpha*fck*(1-(1-Z902/eco)^n),alpha*fck),0)</f>
      </c>
      <c r="AB902" s="30">
        <f>PM_Angle!$J$16+PM_Angle!$K$16*$C902+PM_Angle!$L$16*$B902</f>
      </c>
      <c r="AC902" s="12">
        <f>IF(AB902&gt;0,IF(AB902&lt;=eco,alpha*fck*(1-(1-AB902/eco)^n),alpha*fck),0)</f>
      </c>
      <c r="AD902" s="30">
        <f>PM_Angle!$J$17+PM_Angle!$K$17*$C902+PM_Angle!$L$17*$B902</f>
      </c>
      <c r="AE902" s="12">
        <f>IF(AD902&gt;0,IF(AD902&lt;=eco,alpha*fck*(1-(1-AD902/eco)^n),alpha*fck),0)</f>
      </c>
      <c r="AF902" s="30">
        <f>PM_Angle!$J$18+PM_Angle!$K$18*$C902+PM_Angle!$L$18*$B902</f>
      </c>
      <c r="AG902" s="12">
        <f>IF(AF902&gt;0,IF(AF902&lt;=eco,alpha*fck*(1-(1-AF902/eco)^n),alpha*fck),0)</f>
      </c>
      <c r="AH902" s="30">
        <f>PM_Angle!$J$19+PM_Angle!$K$19*$C902+PM_Angle!$L$19*$B902</f>
      </c>
      <c r="AI902" s="12">
        <f>IF(AH902&gt;0,IF(AH902&lt;=eco,alpha*fck*(1-(1-AH902/eco)^n),alpha*fck),0)</f>
      </c>
      <c r="AJ902" s="30">
        <f>PM_Angle!$J$20+PM_Angle!$K$20*$C902+PM_Angle!$L$20*$B902</f>
      </c>
      <c r="AK902" s="12">
        <f>IF(AJ902&gt;0,IF(AJ902&lt;=eco,alpha*fck*(1-(1-AJ902/eco)^n),alpha*fck),0)</f>
      </c>
      <c r="AL902" s="30">
        <f>PM_Angle!$J$21+PM_Angle!$K$21*$C902+PM_Angle!$L$21*$B902</f>
      </c>
      <c r="AM902" s="12">
        <f>IF(AL902&gt;0,IF(AL902&lt;=eco,alpha*fck*(1-(1-AL902/eco)^n),alpha*fck),0)</f>
      </c>
      <c r="AN902" s="30">
        <f>PM_Angle!$J$22+PM_Angle!$K$22*$C902+PM_Angle!$L$22*$B902</f>
      </c>
      <c r="AO902" s="12">
        <f>IF(AN902&gt;0,IF(AN902&lt;=eco,alpha*fck*(1-(1-AN902/eco)^n),alpha*fck),0)</f>
      </c>
      <c r="AP902" s="30">
        <f>PM_Angle!$J$23+PM_Angle!$K$23*$C902+PM_Angle!$L$23*$B902</f>
      </c>
      <c r="AQ902" s="12">
        <f>IF(AP902&gt;0,IF(AP902&lt;=eco,alpha*fck*(1-(1-AP902/eco)^n),alpha*fck),0)</f>
      </c>
      <c r="AR902" s="30">
        <f>PM_Angle!$J$24+PM_Angle!$K$24*$C902+PM_Angle!$L$24*$B902</f>
      </c>
      <c r="AS902" s="12">
        <f>IF(AR902&gt;0,IF(AR902&lt;=eco,alpha*fck*(1-(1-AR902/eco)^n),alpha*fck),0)</f>
      </c>
      <c r="AT902" s="30">
        <f>PM_Angle!$J$25+PM_Angle!$K$25*$C902+PM_Angle!$L$25*$B902</f>
      </c>
      <c r="AU902" s="12">
        <f>IF(AT902&gt;0,IF(AT902&lt;=eco,alpha*fck*(1-(1-AT902/eco)^n),alpha*fck),0)</f>
      </c>
    </row>
    <row r="903" spans="1:47" x14ac:dyDescent="0.25">
      <c r="A903">
        <f>Mesh!A900</f>
      </c>
      <c r="B903" s="12">
        <f>Mesh!B900</f>
      </c>
      <c r="C903" s="12">
        <f>Mesh!C900</f>
      </c>
      <c r="D903" s="12">
        <f>Mesh!D900</f>
      </c>
      <c r="E903" s="30">
        <f>INDEX(St_e0,Det+1)+INDEX(St_kx,Det+1)*C903+INDEX(St_ky,Det+1)*B903</f>
      </c>
      <c r="F903" s="12">
        <f>IF(E903&gt;0,IF(E903&lt;=eco,alpha*fck*(1-(1-E903/eco)^n),alpha*fck),0)</f>
      </c>
      <c r="G903" s="11">
        <f>F903*D903</f>
      </c>
      <c r="H903" s="11">
        <f>G903*C903</f>
      </c>
      <c r="I903" s="11">
        <f>G903*B903</f>
      </c>
      <c r="J903" s="30">
        <f>PM_Angle!$J$7+PM_Angle!$K$7*$C903+PM_Angle!$L$7*$B903</f>
      </c>
      <c r="K903" s="12">
        <f>IF(J903&gt;0,IF(J903&lt;=eco,alpha*fck*(1-(1-J903/eco)^n),alpha*fck),0)</f>
      </c>
      <c r="L903" s="30">
        <f>PM_Angle!$J$8+PM_Angle!$K$8*$C903+PM_Angle!$L$8*$B903</f>
      </c>
      <c r="M903" s="12">
        <f>IF(L903&gt;0,IF(L903&lt;=eco,alpha*fck*(1-(1-L903/eco)^n),alpha*fck),0)</f>
      </c>
      <c r="N903" s="30">
        <f>PM_Angle!$J$9+PM_Angle!$K$9*$C903+PM_Angle!$L$9*$B903</f>
      </c>
      <c r="O903" s="12">
        <f>IF(N903&gt;0,IF(N903&lt;=eco,alpha*fck*(1-(1-N903/eco)^n),alpha*fck),0)</f>
      </c>
      <c r="P903" s="30">
        <f>PM_Angle!$J$10+PM_Angle!$K$10*$C903+PM_Angle!$L$10*$B903</f>
      </c>
      <c r="Q903" s="12">
        <f>IF(P903&gt;0,IF(P903&lt;=eco,alpha*fck*(1-(1-P903/eco)^n),alpha*fck),0)</f>
      </c>
      <c r="R903" s="30">
        <f>PM_Angle!$J$11+PM_Angle!$K$11*$C903+PM_Angle!$L$11*$B903</f>
      </c>
      <c r="S903" s="12">
        <f>IF(R903&gt;0,IF(R903&lt;=eco,alpha*fck*(1-(1-R903/eco)^n),alpha*fck),0)</f>
      </c>
      <c r="T903" s="30">
        <f>PM_Angle!$J$12+PM_Angle!$K$12*$C903+PM_Angle!$L$12*$B903</f>
      </c>
      <c r="U903" s="12">
        <f>IF(T903&gt;0,IF(T903&lt;=eco,alpha*fck*(1-(1-T903/eco)^n),alpha*fck),0)</f>
      </c>
      <c r="V903" s="30">
        <f>PM_Angle!$J$13+PM_Angle!$K$13*$C903+PM_Angle!$L$13*$B903</f>
      </c>
      <c r="W903" s="12">
        <f>IF(V903&gt;0,IF(V903&lt;=eco,alpha*fck*(1-(1-V903/eco)^n),alpha*fck),0)</f>
      </c>
      <c r="X903" s="30">
        <f>PM_Angle!$J$14+PM_Angle!$K$14*$C903+PM_Angle!$L$14*$B903</f>
      </c>
      <c r="Y903" s="12">
        <f>IF(X903&gt;0,IF(X903&lt;=eco,alpha*fck*(1-(1-X903/eco)^n),alpha*fck),0)</f>
      </c>
      <c r="Z903" s="30">
        <f>PM_Angle!$J$15+PM_Angle!$K$15*$C903+PM_Angle!$L$15*$B903</f>
      </c>
      <c r="AA903" s="12">
        <f>IF(Z903&gt;0,IF(Z903&lt;=eco,alpha*fck*(1-(1-Z903/eco)^n),alpha*fck),0)</f>
      </c>
      <c r="AB903" s="30">
        <f>PM_Angle!$J$16+PM_Angle!$K$16*$C903+PM_Angle!$L$16*$B903</f>
      </c>
      <c r="AC903" s="12">
        <f>IF(AB903&gt;0,IF(AB903&lt;=eco,alpha*fck*(1-(1-AB903/eco)^n),alpha*fck),0)</f>
      </c>
      <c r="AD903" s="30">
        <f>PM_Angle!$J$17+PM_Angle!$K$17*$C903+PM_Angle!$L$17*$B903</f>
      </c>
      <c r="AE903" s="12">
        <f>IF(AD903&gt;0,IF(AD903&lt;=eco,alpha*fck*(1-(1-AD903/eco)^n),alpha*fck),0)</f>
      </c>
      <c r="AF903" s="30">
        <f>PM_Angle!$J$18+PM_Angle!$K$18*$C903+PM_Angle!$L$18*$B903</f>
      </c>
      <c r="AG903" s="12">
        <f>IF(AF903&gt;0,IF(AF903&lt;=eco,alpha*fck*(1-(1-AF903/eco)^n),alpha*fck),0)</f>
      </c>
      <c r="AH903" s="30">
        <f>PM_Angle!$J$19+PM_Angle!$K$19*$C903+PM_Angle!$L$19*$B903</f>
      </c>
      <c r="AI903" s="12">
        <f>IF(AH903&gt;0,IF(AH903&lt;=eco,alpha*fck*(1-(1-AH903/eco)^n),alpha*fck),0)</f>
      </c>
      <c r="AJ903" s="30">
        <f>PM_Angle!$J$20+PM_Angle!$K$20*$C903+PM_Angle!$L$20*$B903</f>
      </c>
      <c r="AK903" s="12">
        <f>IF(AJ903&gt;0,IF(AJ903&lt;=eco,alpha*fck*(1-(1-AJ903/eco)^n),alpha*fck),0)</f>
      </c>
      <c r="AL903" s="30">
        <f>PM_Angle!$J$21+PM_Angle!$K$21*$C903+PM_Angle!$L$21*$B903</f>
      </c>
      <c r="AM903" s="12">
        <f>IF(AL903&gt;0,IF(AL903&lt;=eco,alpha*fck*(1-(1-AL903/eco)^n),alpha*fck),0)</f>
      </c>
      <c r="AN903" s="30">
        <f>PM_Angle!$J$22+PM_Angle!$K$22*$C903+PM_Angle!$L$22*$B903</f>
      </c>
      <c r="AO903" s="12">
        <f>IF(AN903&gt;0,IF(AN903&lt;=eco,alpha*fck*(1-(1-AN903/eco)^n),alpha*fck),0)</f>
      </c>
      <c r="AP903" s="30">
        <f>PM_Angle!$J$23+PM_Angle!$K$23*$C903+PM_Angle!$L$23*$B903</f>
      </c>
      <c r="AQ903" s="12">
        <f>IF(AP903&gt;0,IF(AP903&lt;=eco,alpha*fck*(1-(1-AP903/eco)^n),alpha*fck),0)</f>
      </c>
      <c r="AR903" s="30">
        <f>PM_Angle!$J$24+PM_Angle!$K$24*$C903+PM_Angle!$L$24*$B903</f>
      </c>
      <c r="AS903" s="12">
        <f>IF(AR903&gt;0,IF(AR903&lt;=eco,alpha*fck*(1-(1-AR903/eco)^n),alpha*fck),0)</f>
      </c>
      <c r="AT903" s="30">
        <f>PM_Angle!$J$25+PM_Angle!$K$25*$C903+PM_Angle!$L$25*$B903</f>
      </c>
      <c r="AU903" s="12">
        <f>IF(AT903&gt;0,IF(AT903&lt;=eco,alpha*fck*(1-(1-AT903/eco)^n),alpha*fck),0)</f>
      </c>
    </row>
    <row r="904" spans="1:47" x14ac:dyDescent="0.25">
      <c r="A904">
        <f>Mesh!A901</f>
      </c>
      <c r="B904" s="12">
        <f>Mesh!B901</f>
      </c>
      <c r="C904" s="12">
        <f>Mesh!C901</f>
      </c>
      <c r="D904" s="12">
        <f>Mesh!D901</f>
      </c>
      <c r="E904" s="30">
        <f>INDEX(St_e0,Det+1)+INDEX(St_kx,Det+1)*C904+INDEX(St_ky,Det+1)*B904</f>
      </c>
      <c r="F904" s="12">
        <f>IF(E904&gt;0,IF(E904&lt;=eco,alpha*fck*(1-(1-E904/eco)^n),alpha*fck),0)</f>
      </c>
      <c r="G904" s="11">
        <f>F904*D904</f>
      </c>
      <c r="H904" s="11">
        <f>G904*C904</f>
      </c>
      <c r="I904" s="11">
        <f>G904*B904</f>
      </c>
      <c r="J904" s="30">
        <f>PM_Angle!$J$7+PM_Angle!$K$7*$C904+PM_Angle!$L$7*$B904</f>
      </c>
      <c r="K904" s="12">
        <f>IF(J904&gt;0,IF(J904&lt;=eco,alpha*fck*(1-(1-J904/eco)^n),alpha*fck),0)</f>
      </c>
      <c r="L904" s="30">
        <f>PM_Angle!$J$8+PM_Angle!$K$8*$C904+PM_Angle!$L$8*$B904</f>
      </c>
      <c r="M904" s="12">
        <f>IF(L904&gt;0,IF(L904&lt;=eco,alpha*fck*(1-(1-L904/eco)^n),alpha*fck),0)</f>
      </c>
      <c r="N904" s="30">
        <f>PM_Angle!$J$9+PM_Angle!$K$9*$C904+PM_Angle!$L$9*$B904</f>
      </c>
      <c r="O904" s="12">
        <f>IF(N904&gt;0,IF(N904&lt;=eco,alpha*fck*(1-(1-N904/eco)^n),alpha*fck),0)</f>
      </c>
      <c r="P904" s="30">
        <f>PM_Angle!$J$10+PM_Angle!$K$10*$C904+PM_Angle!$L$10*$B904</f>
      </c>
      <c r="Q904" s="12">
        <f>IF(P904&gt;0,IF(P904&lt;=eco,alpha*fck*(1-(1-P904/eco)^n),alpha*fck),0)</f>
      </c>
      <c r="R904" s="30">
        <f>PM_Angle!$J$11+PM_Angle!$K$11*$C904+PM_Angle!$L$11*$B904</f>
      </c>
      <c r="S904" s="12">
        <f>IF(R904&gt;0,IF(R904&lt;=eco,alpha*fck*(1-(1-R904/eco)^n),alpha*fck),0)</f>
      </c>
      <c r="T904" s="30">
        <f>PM_Angle!$J$12+PM_Angle!$K$12*$C904+PM_Angle!$L$12*$B904</f>
      </c>
      <c r="U904" s="12">
        <f>IF(T904&gt;0,IF(T904&lt;=eco,alpha*fck*(1-(1-T904/eco)^n),alpha*fck),0)</f>
      </c>
      <c r="V904" s="30">
        <f>PM_Angle!$J$13+PM_Angle!$K$13*$C904+PM_Angle!$L$13*$B904</f>
      </c>
      <c r="W904" s="12">
        <f>IF(V904&gt;0,IF(V904&lt;=eco,alpha*fck*(1-(1-V904/eco)^n),alpha*fck),0)</f>
      </c>
      <c r="X904" s="30">
        <f>PM_Angle!$J$14+PM_Angle!$K$14*$C904+PM_Angle!$L$14*$B904</f>
      </c>
      <c r="Y904" s="12">
        <f>IF(X904&gt;0,IF(X904&lt;=eco,alpha*fck*(1-(1-X904/eco)^n),alpha*fck),0)</f>
      </c>
      <c r="Z904" s="30">
        <f>PM_Angle!$J$15+PM_Angle!$K$15*$C904+PM_Angle!$L$15*$B904</f>
      </c>
      <c r="AA904" s="12">
        <f>IF(Z904&gt;0,IF(Z904&lt;=eco,alpha*fck*(1-(1-Z904/eco)^n),alpha*fck),0)</f>
      </c>
      <c r="AB904" s="30">
        <f>PM_Angle!$J$16+PM_Angle!$K$16*$C904+PM_Angle!$L$16*$B904</f>
      </c>
      <c r="AC904" s="12">
        <f>IF(AB904&gt;0,IF(AB904&lt;=eco,alpha*fck*(1-(1-AB904/eco)^n),alpha*fck),0)</f>
      </c>
      <c r="AD904" s="30">
        <f>PM_Angle!$J$17+PM_Angle!$K$17*$C904+PM_Angle!$L$17*$B904</f>
      </c>
      <c r="AE904" s="12">
        <f>IF(AD904&gt;0,IF(AD904&lt;=eco,alpha*fck*(1-(1-AD904/eco)^n),alpha*fck),0)</f>
      </c>
      <c r="AF904" s="30">
        <f>PM_Angle!$J$18+PM_Angle!$K$18*$C904+PM_Angle!$L$18*$B904</f>
      </c>
      <c r="AG904" s="12">
        <f>IF(AF904&gt;0,IF(AF904&lt;=eco,alpha*fck*(1-(1-AF904/eco)^n),alpha*fck),0)</f>
      </c>
      <c r="AH904" s="30">
        <f>PM_Angle!$J$19+PM_Angle!$K$19*$C904+PM_Angle!$L$19*$B904</f>
      </c>
      <c r="AI904" s="12">
        <f>IF(AH904&gt;0,IF(AH904&lt;=eco,alpha*fck*(1-(1-AH904/eco)^n),alpha*fck),0)</f>
      </c>
      <c r="AJ904" s="30">
        <f>PM_Angle!$J$20+PM_Angle!$K$20*$C904+PM_Angle!$L$20*$B904</f>
      </c>
      <c r="AK904" s="12">
        <f>IF(AJ904&gt;0,IF(AJ904&lt;=eco,alpha*fck*(1-(1-AJ904/eco)^n),alpha*fck),0)</f>
      </c>
      <c r="AL904" s="30">
        <f>PM_Angle!$J$21+PM_Angle!$K$21*$C904+PM_Angle!$L$21*$B904</f>
      </c>
      <c r="AM904" s="12">
        <f>IF(AL904&gt;0,IF(AL904&lt;=eco,alpha*fck*(1-(1-AL904/eco)^n),alpha*fck),0)</f>
      </c>
      <c r="AN904" s="30">
        <f>PM_Angle!$J$22+PM_Angle!$K$22*$C904+PM_Angle!$L$22*$B904</f>
      </c>
      <c r="AO904" s="12">
        <f>IF(AN904&gt;0,IF(AN904&lt;=eco,alpha*fck*(1-(1-AN904/eco)^n),alpha*fck),0)</f>
      </c>
      <c r="AP904" s="30">
        <f>PM_Angle!$J$23+PM_Angle!$K$23*$C904+PM_Angle!$L$23*$B904</f>
      </c>
      <c r="AQ904" s="12">
        <f>IF(AP904&gt;0,IF(AP904&lt;=eco,alpha*fck*(1-(1-AP904/eco)^n),alpha*fck),0)</f>
      </c>
      <c r="AR904" s="30">
        <f>PM_Angle!$J$24+PM_Angle!$K$24*$C904+PM_Angle!$L$24*$B904</f>
      </c>
      <c r="AS904" s="12">
        <f>IF(AR904&gt;0,IF(AR904&lt;=eco,alpha*fck*(1-(1-AR904/eco)^n),alpha*fck),0)</f>
      </c>
      <c r="AT904" s="30">
        <f>PM_Angle!$J$25+PM_Angle!$K$25*$C904+PM_Angle!$L$25*$B904</f>
      </c>
      <c r="AU904" s="12">
        <f>IF(AT904&gt;0,IF(AT904&lt;=eco,alpha*fck*(1-(1-AT904/eco)^n),alpha*fck),0)</f>
      </c>
    </row>
    <row r="905" spans="1:47" x14ac:dyDescent="0.25">
      <c r="A905">
        <f>Mesh!A902</f>
      </c>
      <c r="B905" s="12">
        <f>Mesh!B902</f>
      </c>
      <c r="C905" s="12">
        <f>Mesh!C902</f>
      </c>
      <c r="D905" s="12">
        <f>Mesh!D902</f>
      </c>
      <c r="E905" s="30">
        <f>INDEX(St_e0,Det+1)+INDEX(St_kx,Det+1)*C905+INDEX(St_ky,Det+1)*B905</f>
      </c>
      <c r="F905" s="12">
        <f>IF(E905&gt;0,IF(E905&lt;=eco,alpha*fck*(1-(1-E905/eco)^n),alpha*fck),0)</f>
      </c>
      <c r="G905" s="11">
        <f>F905*D905</f>
      </c>
      <c r="H905" s="11">
        <f>G905*C905</f>
      </c>
      <c r="I905" s="11">
        <f>G905*B905</f>
      </c>
      <c r="J905" s="30">
        <f>PM_Angle!$J$7+PM_Angle!$K$7*$C905+PM_Angle!$L$7*$B905</f>
      </c>
      <c r="K905" s="12">
        <f>IF(J905&gt;0,IF(J905&lt;=eco,alpha*fck*(1-(1-J905/eco)^n),alpha*fck),0)</f>
      </c>
      <c r="L905" s="30">
        <f>PM_Angle!$J$8+PM_Angle!$K$8*$C905+PM_Angle!$L$8*$B905</f>
      </c>
      <c r="M905" s="12">
        <f>IF(L905&gt;0,IF(L905&lt;=eco,alpha*fck*(1-(1-L905/eco)^n),alpha*fck),0)</f>
      </c>
      <c r="N905" s="30">
        <f>PM_Angle!$J$9+PM_Angle!$K$9*$C905+PM_Angle!$L$9*$B905</f>
      </c>
      <c r="O905" s="12">
        <f>IF(N905&gt;0,IF(N905&lt;=eco,alpha*fck*(1-(1-N905/eco)^n),alpha*fck),0)</f>
      </c>
      <c r="P905" s="30">
        <f>PM_Angle!$J$10+PM_Angle!$K$10*$C905+PM_Angle!$L$10*$B905</f>
      </c>
      <c r="Q905" s="12">
        <f>IF(P905&gt;0,IF(P905&lt;=eco,alpha*fck*(1-(1-P905/eco)^n),alpha*fck),0)</f>
      </c>
      <c r="R905" s="30">
        <f>PM_Angle!$J$11+PM_Angle!$K$11*$C905+PM_Angle!$L$11*$B905</f>
      </c>
      <c r="S905" s="12">
        <f>IF(R905&gt;0,IF(R905&lt;=eco,alpha*fck*(1-(1-R905/eco)^n),alpha*fck),0)</f>
      </c>
      <c r="T905" s="30">
        <f>PM_Angle!$J$12+PM_Angle!$K$12*$C905+PM_Angle!$L$12*$B905</f>
      </c>
      <c r="U905" s="12">
        <f>IF(T905&gt;0,IF(T905&lt;=eco,alpha*fck*(1-(1-T905/eco)^n),alpha*fck),0)</f>
      </c>
      <c r="V905" s="30">
        <f>PM_Angle!$J$13+PM_Angle!$K$13*$C905+PM_Angle!$L$13*$B905</f>
      </c>
      <c r="W905" s="12">
        <f>IF(V905&gt;0,IF(V905&lt;=eco,alpha*fck*(1-(1-V905/eco)^n),alpha*fck),0)</f>
      </c>
      <c r="X905" s="30">
        <f>PM_Angle!$J$14+PM_Angle!$K$14*$C905+PM_Angle!$L$14*$B905</f>
      </c>
      <c r="Y905" s="12">
        <f>IF(X905&gt;0,IF(X905&lt;=eco,alpha*fck*(1-(1-X905/eco)^n),alpha*fck),0)</f>
      </c>
      <c r="Z905" s="30">
        <f>PM_Angle!$J$15+PM_Angle!$K$15*$C905+PM_Angle!$L$15*$B905</f>
      </c>
      <c r="AA905" s="12">
        <f>IF(Z905&gt;0,IF(Z905&lt;=eco,alpha*fck*(1-(1-Z905/eco)^n),alpha*fck),0)</f>
      </c>
      <c r="AB905" s="30">
        <f>PM_Angle!$J$16+PM_Angle!$K$16*$C905+PM_Angle!$L$16*$B905</f>
      </c>
      <c r="AC905" s="12">
        <f>IF(AB905&gt;0,IF(AB905&lt;=eco,alpha*fck*(1-(1-AB905/eco)^n),alpha*fck),0)</f>
      </c>
      <c r="AD905" s="30">
        <f>PM_Angle!$J$17+PM_Angle!$K$17*$C905+PM_Angle!$L$17*$B905</f>
      </c>
      <c r="AE905" s="12">
        <f>IF(AD905&gt;0,IF(AD905&lt;=eco,alpha*fck*(1-(1-AD905/eco)^n),alpha*fck),0)</f>
      </c>
      <c r="AF905" s="30">
        <f>PM_Angle!$J$18+PM_Angle!$K$18*$C905+PM_Angle!$L$18*$B905</f>
      </c>
      <c r="AG905" s="12">
        <f>IF(AF905&gt;0,IF(AF905&lt;=eco,alpha*fck*(1-(1-AF905/eco)^n),alpha*fck),0)</f>
      </c>
      <c r="AH905" s="30">
        <f>PM_Angle!$J$19+PM_Angle!$K$19*$C905+PM_Angle!$L$19*$B905</f>
      </c>
      <c r="AI905" s="12">
        <f>IF(AH905&gt;0,IF(AH905&lt;=eco,alpha*fck*(1-(1-AH905/eco)^n),alpha*fck),0)</f>
      </c>
      <c r="AJ905" s="30">
        <f>PM_Angle!$J$20+PM_Angle!$K$20*$C905+PM_Angle!$L$20*$B905</f>
      </c>
      <c r="AK905" s="12">
        <f>IF(AJ905&gt;0,IF(AJ905&lt;=eco,alpha*fck*(1-(1-AJ905/eco)^n),alpha*fck),0)</f>
      </c>
      <c r="AL905" s="30">
        <f>PM_Angle!$J$21+PM_Angle!$K$21*$C905+PM_Angle!$L$21*$B905</f>
      </c>
      <c r="AM905" s="12">
        <f>IF(AL905&gt;0,IF(AL905&lt;=eco,alpha*fck*(1-(1-AL905/eco)^n),alpha*fck),0)</f>
      </c>
      <c r="AN905" s="30">
        <f>PM_Angle!$J$22+PM_Angle!$K$22*$C905+PM_Angle!$L$22*$B905</f>
      </c>
      <c r="AO905" s="12">
        <f>IF(AN905&gt;0,IF(AN905&lt;=eco,alpha*fck*(1-(1-AN905/eco)^n),alpha*fck),0)</f>
      </c>
      <c r="AP905" s="30">
        <f>PM_Angle!$J$23+PM_Angle!$K$23*$C905+PM_Angle!$L$23*$B905</f>
      </c>
      <c r="AQ905" s="12">
        <f>IF(AP905&gt;0,IF(AP905&lt;=eco,alpha*fck*(1-(1-AP905/eco)^n),alpha*fck),0)</f>
      </c>
      <c r="AR905" s="30">
        <f>PM_Angle!$J$24+PM_Angle!$K$24*$C905+PM_Angle!$L$24*$B905</f>
      </c>
      <c r="AS905" s="12">
        <f>IF(AR905&gt;0,IF(AR905&lt;=eco,alpha*fck*(1-(1-AR905/eco)^n),alpha*fck),0)</f>
      </c>
      <c r="AT905" s="30">
        <f>PM_Angle!$J$25+PM_Angle!$K$25*$C905+PM_Angle!$L$25*$B905</f>
      </c>
      <c r="AU905" s="12">
        <f>IF(AT905&gt;0,IF(AT905&lt;=eco,alpha*fck*(1-(1-AT905/eco)^n),alpha*fck),0)</f>
      </c>
    </row>
    <row r="906" spans="1:47" x14ac:dyDescent="0.25">
      <c r="A906">
        <f>Mesh!A903</f>
      </c>
      <c r="B906" s="12">
        <f>Mesh!B903</f>
      </c>
      <c r="C906" s="12">
        <f>Mesh!C903</f>
      </c>
      <c r="D906" s="12">
        <f>Mesh!D903</f>
      </c>
      <c r="E906" s="30">
        <f>INDEX(St_e0,Det+1)+INDEX(St_kx,Det+1)*C906+INDEX(St_ky,Det+1)*B906</f>
      </c>
      <c r="F906" s="12">
        <f>IF(E906&gt;0,IF(E906&lt;=eco,alpha*fck*(1-(1-E906/eco)^n),alpha*fck),0)</f>
      </c>
      <c r="G906" s="11">
        <f>F906*D906</f>
      </c>
      <c r="H906" s="11">
        <f>G906*C906</f>
      </c>
      <c r="I906" s="11">
        <f>G906*B906</f>
      </c>
      <c r="J906" s="30">
        <f>PM_Angle!$J$7+PM_Angle!$K$7*$C906+PM_Angle!$L$7*$B906</f>
      </c>
      <c r="K906" s="12">
        <f>IF(J906&gt;0,IF(J906&lt;=eco,alpha*fck*(1-(1-J906/eco)^n),alpha*fck),0)</f>
      </c>
      <c r="L906" s="30">
        <f>PM_Angle!$J$8+PM_Angle!$K$8*$C906+PM_Angle!$L$8*$B906</f>
      </c>
      <c r="M906" s="12">
        <f>IF(L906&gt;0,IF(L906&lt;=eco,alpha*fck*(1-(1-L906/eco)^n),alpha*fck),0)</f>
      </c>
      <c r="N906" s="30">
        <f>PM_Angle!$J$9+PM_Angle!$K$9*$C906+PM_Angle!$L$9*$B906</f>
      </c>
      <c r="O906" s="12">
        <f>IF(N906&gt;0,IF(N906&lt;=eco,alpha*fck*(1-(1-N906/eco)^n),alpha*fck),0)</f>
      </c>
      <c r="P906" s="30">
        <f>PM_Angle!$J$10+PM_Angle!$K$10*$C906+PM_Angle!$L$10*$B906</f>
      </c>
      <c r="Q906" s="12">
        <f>IF(P906&gt;0,IF(P906&lt;=eco,alpha*fck*(1-(1-P906/eco)^n),alpha*fck),0)</f>
      </c>
      <c r="R906" s="30">
        <f>PM_Angle!$J$11+PM_Angle!$K$11*$C906+PM_Angle!$L$11*$B906</f>
      </c>
      <c r="S906" s="12">
        <f>IF(R906&gt;0,IF(R906&lt;=eco,alpha*fck*(1-(1-R906/eco)^n),alpha*fck),0)</f>
      </c>
      <c r="T906" s="30">
        <f>PM_Angle!$J$12+PM_Angle!$K$12*$C906+PM_Angle!$L$12*$B906</f>
      </c>
      <c r="U906" s="12">
        <f>IF(T906&gt;0,IF(T906&lt;=eco,alpha*fck*(1-(1-T906/eco)^n),alpha*fck),0)</f>
      </c>
      <c r="V906" s="30">
        <f>PM_Angle!$J$13+PM_Angle!$K$13*$C906+PM_Angle!$L$13*$B906</f>
      </c>
      <c r="W906" s="12">
        <f>IF(V906&gt;0,IF(V906&lt;=eco,alpha*fck*(1-(1-V906/eco)^n),alpha*fck),0)</f>
      </c>
      <c r="X906" s="30">
        <f>PM_Angle!$J$14+PM_Angle!$K$14*$C906+PM_Angle!$L$14*$B906</f>
      </c>
      <c r="Y906" s="12">
        <f>IF(X906&gt;0,IF(X906&lt;=eco,alpha*fck*(1-(1-X906/eco)^n),alpha*fck),0)</f>
      </c>
      <c r="Z906" s="30">
        <f>PM_Angle!$J$15+PM_Angle!$K$15*$C906+PM_Angle!$L$15*$B906</f>
      </c>
      <c r="AA906" s="12">
        <f>IF(Z906&gt;0,IF(Z906&lt;=eco,alpha*fck*(1-(1-Z906/eco)^n),alpha*fck),0)</f>
      </c>
      <c r="AB906" s="30">
        <f>PM_Angle!$J$16+PM_Angle!$K$16*$C906+PM_Angle!$L$16*$B906</f>
      </c>
      <c r="AC906" s="12">
        <f>IF(AB906&gt;0,IF(AB906&lt;=eco,alpha*fck*(1-(1-AB906/eco)^n),alpha*fck),0)</f>
      </c>
      <c r="AD906" s="30">
        <f>PM_Angle!$J$17+PM_Angle!$K$17*$C906+PM_Angle!$L$17*$B906</f>
      </c>
      <c r="AE906" s="12">
        <f>IF(AD906&gt;0,IF(AD906&lt;=eco,alpha*fck*(1-(1-AD906/eco)^n),alpha*fck),0)</f>
      </c>
      <c r="AF906" s="30">
        <f>PM_Angle!$J$18+PM_Angle!$K$18*$C906+PM_Angle!$L$18*$B906</f>
      </c>
      <c r="AG906" s="12">
        <f>IF(AF906&gt;0,IF(AF906&lt;=eco,alpha*fck*(1-(1-AF906/eco)^n),alpha*fck),0)</f>
      </c>
      <c r="AH906" s="30">
        <f>PM_Angle!$J$19+PM_Angle!$K$19*$C906+PM_Angle!$L$19*$B906</f>
      </c>
      <c r="AI906" s="12">
        <f>IF(AH906&gt;0,IF(AH906&lt;=eco,alpha*fck*(1-(1-AH906/eco)^n),alpha*fck),0)</f>
      </c>
      <c r="AJ906" s="30">
        <f>PM_Angle!$J$20+PM_Angle!$K$20*$C906+PM_Angle!$L$20*$B906</f>
      </c>
      <c r="AK906" s="12">
        <f>IF(AJ906&gt;0,IF(AJ906&lt;=eco,alpha*fck*(1-(1-AJ906/eco)^n),alpha*fck),0)</f>
      </c>
      <c r="AL906" s="30">
        <f>PM_Angle!$J$21+PM_Angle!$K$21*$C906+PM_Angle!$L$21*$B906</f>
      </c>
      <c r="AM906" s="12">
        <f>IF(AL906&gt;0,IF(AL906&lt;=eco,alpha*fck*(1-(1-AL906/eco)^n),alpha*fck),0)</f>
      </c>
      <c r="AN906" s="30">
        <f>PM_Angle!$J$22+PM_Angle!$K$22*$C906+PM_Angle!$L$22*$B906</f>
      </c>
      <c r="AO906" s="12">
        <f>IF(AN906&gt;0,IF(AN906&lt;=eco,alpha*fck*(1-(1-AN906/eco)^n),alpha*fck),0)</f>
      </c>
      <c r="AP906" s="30">
        <f>PM_Angle!$J$23+PM_Angle!$K$23*$C906+PM_Angle!$L$23*$B906</f>
      </c>
      <c r="AQ906" s="12">
        <f>IF(AP906&gt;0,IF(AP906&lt;=eco,alpha*fck*(1-(1-AP906/eco)^n),alpha*fck),0)</f>
      </c>
      <c r="AR906" s="30">
        <f>PM_Angle!$J$24+PM_Angle!$K$24*$C906+PM_Angle!$L$24*$B906</f>
      </c>
      <c r="AS906" s="12">
        <f>IF(AR906&gt;0,IF(AR906&lt;=eco,alpha*fck*(1-(1-AR906/eco)^n),alpha*fck),0)</f>
      </c>
      <c r="AT906" s="30">
        <f>PM_Angle!$J$25+PM_Angle!$K$25*$C906+PM_Angle!$L$25*$B906</f>
      </c>
      <c r="AU906" s="12">
        <f>IF(AT906&gt;0,IF(AT906&lt;=eco,alpha*fck*(1-(1-AT906/eco)^n),alpha*fck),0)</f>
      </c>
    </row>
    <row r="907" spans="1:47" x14ac:dyDescent="0.25">
      <c r="A907">
        <f>Mesh!A904</f>
      </c>
      <c r="B907" s="12">
        <f>Mesh!B904</f>
      </c>
      <c r="C907" s="12">
        <f>Mesh!C904</f>
      </c>
      <c r="D907" s="12">
        <f>Mesh!D904</f>
      </c>
      <c r="E907" s="30">
        <f>INDEX(St_e0,Det+1)+INDEX(St_kx,Det+1)*C907+INDEX(St_ky,Det+1)*B907</f>
      </c>
      <c r="F907" s="12">
        <f>IF(E907&gt;0,IF(E907&lt;=eco,alpha*fck*(1-(1-E907/eco)^n),alpha*fck),0)</f>
      </c>
      <c r="G907" s="11">
        <f>F907*D907</f>
      </c>
      <c r="H907" s="11">
        <f>G907*C907</f>
      </c>
      <c r="I907" s="11">
        <f>G907*B907</f>
      </c>
      <c r="J907" s="30">
        <f>PM_Angle!$J$7+PM_Angle!$K$7*$C907+PM_Angle!$L$7*$B907</f>
      </c>
      <c r="K907" s="12">
        <f>IF(J907&gt;0,IF(J907&lt;=eco,alpha*fck*(1-(1-J907/eco)^n),alpha*fck),0)</f>
      </c>
      <c r="L907" s="30">
        <f>PM_Angle!$J$8+PM_Angle!$K$8*$C907+PM_Angle!$L$8*$B907</f>
      </c>
      <c r="M907" s="12">
        <f>IF(L907&gt;0,IF(L907&lt;=eco,alpha*fck*(1-(1-L907/eco)^n),alpha*fck),0)</f>
      </c>
      <c r="N907" s="30">
        <f>PM_Angle!$J$9+PM_Angle!$K$9*$C907+PM_Angle!$L$9*$B907</f>
      </c>
      <c r="O907" s="12">
        <f>IF(N907&gt;0,IF(N907&lt;=eco,alpha*fck*(1-(1-N907/eco)^n),alpha*fck),0)</f>
      </c>
      <c r="P907" s="30">
        <f>PM_Angle!$J$10+PM_Angle!$K$10*$C907+PM_Angle!$L$10*$B907</f>
      </c>
      <c r="Q907" s="12">
        <f>IF(P907&gt;0,IF(P907&lt;=eco,alpha*fck*(1-(1-P907/eco)^n),alpha*fck),0)</f>
      </c>
      <c r="R907" s="30">
        <f>PM_Angle!$J$11+PM_Angle!$K$11*$C907+PM_Angle!$L$11*$B907</f>
      </c>
      <c r="S907" s="12">
        <f>IF(R907&gt;0,IF(R907&lt;=eco,alpha*fck*(1-(1-R907/eco)^n),alpha*fck),0)</f>
      </c>
      <c r="T907" s="30">
        <f>PM_Angle!$J$12+PM_Angle!$K$12*$C907+PM_Angle!$L$12*$B907</f>
      </c>
      <c r="U907" s="12">
        <f>IF(T907&gt;0,IF(T907&lt;=eco,alpha*fck*(1-(1-T907/eco)^n),alpha*fck),0)</f>
      </c>
      <c r="V907" s="30">
        <f>PM_Angle!$J$13+PM_Angle!$K$13*$C907+PM_Angle!$L$13*$B907</f>
      </c>
      <c r="W907" s="12">
        <f>IF(V907&gt;0,IF(V907&lt;=eco,alpha*fck*(1-(1-V907/eco)^n),alpha*fck),0)</f>
      </c>
      <c r="X907" s="30">
        <f>PM_Angle!$J$14+PM_Angle!$K$14*$C907+PM_Angle!$L$14*$B907</f>
      </c>
      <c r="Y907" s="12">
        <f>IF(X907&gt;0,IF(X907&lt;=eco,alpha*fck*(1-(1-X907/eco)^n),alpha*fck),0)</f>
      </c>
      <c r="Z907" s="30">
        <f>PM_Angle!$J$15+PM_Angle!$K$15*$C907+PM_Angle!$L$15*$B907</f>
      </c>
      <c r="AA907" s="12">
        <f>IF(Z907&gt;0,IF(Z907&lt;=eco,alpha*fck*(1-(1-Z907/eco)^n),alpha*fck),0)</f>
      </c>
      <c r="AB907" s="30">
        <f>PM_Angle!$J$16+PM_Angle!$K$16*$C907+PM_Angle!$L$16*$B907</f>
      </c>
      <c r="AC907" s="12">
        <f>IF(AB907&gt;0,IF(AB907&lt;=eco,alpha*fck*(1-(1-AB907/eco)^n),alpha*fck),0)</f>
      </c>
      <c r="AD907" s="30">
        <f>PM_Angle!$J$17+PM_Angle!$K$17*$C907+PM_Angle!$L$17*$B907</f>
      </c>
      <c r="AE907" s="12">
        <f>IF(AD907&gt;0,IF(AD907&lt;=eco,alpha*fck*(1-(1-AD907/eco)^n),alpha*fck),0)</f>
      </c>
      <c r="AF907" s="30">
        <f>PM_Angle!$J$18+PM_Angle!$K$18*$C907+PM_Angle!$L$18*$B907</f>
      </c>
      <c r="AG907" s="12">
        <f>IF(AF907&gt;0,IF(AF907&lt;=eco,alpha*fck*(1-(1-AF907/eco)^n),alpha*fck),0)</f>
      </c>
      <c r="AH907" s="30">
        <f>PM_Angle!$J$19+PM_Angle!$K$19*$C907+PM_Angle!$L$19*$B907</f>
      </c>
      <c r="AI907" s="12">
        <f>IF(AH907&gt;0,IF(AH907&lt;=eco,alpha*fck*(1-(1-AH907/eco)^n),alpha*fck),0)</f>
      </c>
      <c r="AJ907" s="30">
        <f>PM_Angle!$J$20+PM_Angle!$K$20*$C907+PM_Angle!$L$20*$B907</f>
      </c>
      <c r="AK907" s="12">
        <f>IF(AJ907&gt;0,IF(AJ907&lt;=eco,alpha*fck*(1-(1-AJ907/eco)^n),alpha*fck),0)</f>
      </c>
      <c r="AL907" s="30">
        <f>PM_Angle!$J$21+PM_Angle!$K$21*$C907+PM_Angle!$L$21*$B907</f>
      </c>
      <c r="AM907" s="12">
        <f>IF(AL907&gt;0,IF(AL907&lt;=eco,alpha*fck*(1-(1-AL907/eco)^n),alpha*fck),0)</f>
      </c>
      <c r="AN907" s="30">
        <f>PM_Angle!$J$22+PM_Angle!$K$22*$C907+PM_Angle!$L$22*$B907</f>
      </c>
      <c r="AO907" s="12">
        <f>IF(AN907&gt;0,IF(AN907&lt;=eco,alpha*fck*(1-(1-AN907/eco)^n),alpha*fck),0)</f>
      </c>
      <c r="AP907" s="30">
        <f>PM_Angle!$J$23+PM_Angle!$K$23*$C907+PM_Angle!$L$23*$B907</f>
      </c>
      <c r="AQ907" s="12">
        <f>IF(AP907&gt;0,IF(AP907&lt;=eco,alpha*fck*(1-(1-AP907/eco)^n),alpha*fck),0)</f>
      </c>
      <c r="AR907" s="30">
        <f>PM_Angle!$J$24+PM_Angle!$K$24*$C907+PM_Angle!$L$24*$B907</f>
      </c>
      <c r="AS907" s="12">
        <f>IF(AR907&gt;0,IF(AR907&lt;=eco,alpha*fck*(1-(1-AR907/eco)^n),alpha*fck),0)</f>
      </c>
      <c r="AT907" s="30">
        <f>PM_Angle!$J$25+PM_Angle!$K$25*$C907+PM_Angle!$L$25*$B907</f>
      </c>
      <c r="AU907" s="12">
        <f>IF(AT907&gt;0,IF(AT907&lt;=eco,alpha*fck*(1-(1-AT907/eco)^n),alpha*fck),0)</f>
      </c>
    </row>
    <row r="908" spans="1:47" x14ac:dyDescent="0.25">
      <c r="A908">
        <f>Mesh!A905</f>
      </c>
      <c r="B908" s="12">
        <f>Mesh!B905</f>
      </c>
      <c r="C908" s="12">
        <f>Mesh!C905</f>
      </c>
      <c r="D908" s="12">
        <f>Mesh!D905</f>
      </c>
      <c r="E908" s="30">
        <f>INDEX(St_e0,Det+1)+INDEX(St_kx,Det+1)*C908+INDEX(St_ky,Det+1)*B908</f>
      </c>
      <c r="F908" s="12">
        <f>IF(E908&gt;0,IF(E908&lt;=eco,alpha*fck*(1-(1-E908/eco)^n),alpha*fck),0)</f>
      </c>
      <c r="G908" s="11">
        <f>F908*D908</f>
      </c>
      <c r="H908" s="11">
        <f>G908*C908</f>
      </c>
      <c r="I908" s="11">
        <f>G908*B908</f>
      </c>
      <c r="J908" s="30">
        <f>PM_Angle!$J$7+PM_Angle!$K$7*$C908+PM_Angle!$L$7*$B908</f>
      </c>
      <c r="K908" s="12">
        <f>IF(J908&gt;0,IF(J908&lt;=eco,alpha*fck*(1-(1-J908/eco)^n),alpha*fck),0)</f>
      </c>
      <c r="L908" s="30">
        <f>PM_Angle!$J$8+PM_Angle!$K$8*$C908+PM_Angle!$L$8*$B908</f>
      </c>
      <c r="M908" s="12">
        <f>IF(L908&gt;0,IF(L908&lt;=eco,alpha*fck*(1-(1-L908/eco)^n),alpha*fck),0)</f>
      </c>
      <c r="N908" s="30">
        <f>PM_Angle!$J$9+PM_Angle!$K$9*$C908+PM_Angle!$L$9*$B908</f>
      </c>
      <c r="O908" s="12">
        <f>IF(N908&gt;0,IF(N908&lt;=eco,alpha*fck*(1-(1-N908/eco)^n),alpha*fck),0)</f>
      </c>
      <c r="P908" s="30">
        <f>PM_Angle!$J$10+PM_Angle!$K$10*$C908+PM_Angle!$L$10*$B908</f>
      </c>
      <c r="Q908" s="12">
        <f>IF(P908&gt;0,IF(P908&lt;=eco,alpha*fck*(1-(1-P908/eco)^n),alpha*fck),0)</f>
      </c>
      <c r="R908" s="30">
        <f>PM_Angle!$J$11+PM_Angle!$K$11*$C908+PM_Angle!$L$11*$B908</f>
      </c>
      <c r="S908" s="12">
        <f>IF(R908&gt;0,IF(R908&lt;=eco,alpha*fck*(1-(1-R908/eco)^n),alpha*fck),0)</f>
      </c>
      <c r="T908" s="30">
        <f>PM_Angle!$J$12+PM_Angle!$K$12*$C908+PM_Angle!$L$12*$B908</f>
      </c>
      <c r="U908" s="12">
        <f>IF(T908&gt;0,IF(T908&lt;=eco,alpha*fck*(1-(1-T908/eco)^n),alpha*fck),0)</f>
      </c>
      <c r="V908" s="30">
        <f>PM_Angle!$J$13+PM_Angle!$K$13*$C908+PM_Angle!$L$13*$B908</f>
      </c>
      <c r="W908" s="12">
        <f>IF(V908&gt;0,IF(V908&lt;=eco,alpha*fck*(1-(1-V908/eco)^n),alpha*fck),0)</f>
      </c>
      <c r="X908" s="30">
        <f>PM_Angle!$J$14+PM_Angle!$K$14*$C908+PM_Angle!$L$14*$B908</f>
      </c>
      <c r="Y908" s="12">
        <f>IF(X908&gt;0,IF(X908&lt;=eco,alpha*fck*(1-(1-X908/eco)^n),alpha*fck),0)</f>
      </c>
      <c r="Z908" s="30">
        <f>PM_Angle!$J$15+PM_Angle!$K$15*$C908+PM_Angle!$L$15*$B908</f>
      </c>
      <c r="AA908" s="12">
        <f>IF(Z908&gt;0,IF(Z908&lt;=eco,alpha*fck*(1-(1-Z908/eco)^n),alpha*fck),0)</f>
      </c>
      <c r="AB908" s="30">
        <f>PM_Angle!$J$16+PM_Angle!$K$16*$C908+PM_Angle!$L$16*$B908</f>
      </c>
      <c r="AC908" s="12">
        <f>IF(AB908&gt;0,IF(AB908&lt;=eco,alpha*fck*(1-(1-AB908/eco)^n),alpha*fck),0)</f>
      </c>
      <c r="AD908" s="30">
        <f>PM_Angle!$J$17+PM_Angle!$K$17*$C908+PM_Angle!$L$17*$B908</f>
      </c>
      <c r="AE908" s="12">
        <f>IF(AD908&gt;0,IF(AD908&lt;=eco,alpha*fck*(1-(1-AD908/eco)^n),alpha*fck),0)</f>
      </c>
      <c r="AF908" s="30">
        <f>PM_Angle!$J$18+PM_Angle!$K$18*$C908+PM_Angle!$L$18*$B908</f>
      </c>
      <c r="AG908" s="12">
        <f>IF(AF908&gt;0,IF(AF908&lt;=eco,alpha*fck*(1-(1-AF908/eco)^n),alpha*fck),0)</f>
      </c>
      <c r="AH908" s="30">
        <f>PM_Angle!$J$19+PM_Angle!$K$19*$C908+PM_Angle!$L$19*$B908</f>
      </c>
      <c r="AI908" s="12">
        <f>IF(AH908&gt;0,IF(AH908&lt;=eco,alpha*fck*(1-(1-AH908/eco)^n),alpha*fck),0)</f>
      </c>
      <c r="AJ908" s="30">
        <f>PM_Angle!$J$20+PM_Angle!$K$20*$C908+PM_Angle!$L$20*$B908</f>
      </c>
      <c r="AK908" s="12">
        <f>IF(AJ908&gt;0,IF(AJ908&lt;=eco,alpha*fck*(1-(1-AJ908/eco)^n),alpha*fck),0)</f>
      </c>
      <c r="AL908" s="30">
        <f>PM_Angle!$J$21+PM_Angle!$K$21*$C908+PM_Angle!$L$21*$B908</f>
      </c>
      <c r="AM908" s="12">
        <f>IF(AL908&gt;0,IF(AL908&lt;=eco,alpha*fck*(1-(1-AL908/eco)^n),alpha*fck),0)</f>
      </c>
      <c r="AN908" s="30">
        <f>PM_Angle!$J$22+PM_Angle!$K$22*$C908+PM_Angle!$L$22*$B908</f>
      </c>
      <c r="AO908" s="12">
        <f>IF(AN908&gt;0,IF(AN908&lt;=eco,alpha*fck*(1-(1-AN908/eco)^n),alpha*fck),0)</f>
      </c>
      <c r="AP908" s="30">
        <f>PM_Angle!$J$23+PM_Angle!$K$23*$C908+PM_Angle!$L$23*$B908</f>
      </c>
      <c r="AQ908" s="12">
        <f>IF(AP908&gt;0,IF(AP908&lt;=eco,alpha*fck*(1-(1-AP908/eco)^n),alpha*fck),0)</f>
      </c>
      <c r="AR908" s="30">
        <f>PM_Angle!$J$24+PM_Angle!$K$24*$C908+PM_Angle!$L$24*$B908</f>
      </c>
      <c r="AS908" s="12">
        <f>IF(AR908&gt;0,IF(AR908&lt;=eco,alpha*fck*(1-(1-AR908/eco)^n),alpha*fck),0)</f>
      </c>
      <c r="AT908" s="30">
        <f>PM_Angle!$J$25+PM_Angle!$K$25*$C908+PM_Angle!$L$25*$B908</f>
      </c>
      <c r="AU908" s="12">
        <f>IF(AT908&gt;0,IF(AT908&lt;=eco,alpha*fck*(1-(1-AT908/eco)^n),alpha*fck),0)</f>
      </c>
    </row>
    <row r="909" spans="1:47" x14ac:dyDescent="0.25">
      <c r="A909">
        <f>Mesh!A906</f>
      </c>
      <c r="B909" s="12">
        <f>Mesh!B906</f>
      </c>
      <c r="C909" s="12">
        <f>Mesh!C906</f>
      </c>
      <c r="D909" s="12">
        <f>Mesh!D906</f>
      </c>
      <c r="E909" s="30">
        <f>INDEX(St_e0,Det+1)+INDEX(St_kx,Det+1)*C909+INDEX(St_ky,Det+1)*B909</f>
      </c>
      <c r="F909" s="12">
        <f>IF(E909&gt;0,IF(E909&lt;=eco,alpha*fck*(1-(1-E909/eco)^n),alpha*fck),0)</f>
      </c>
      <c r="G909" s="11">
        <f>F909*D909</f>
      </c>
      <c r="H909" s="11">
        <f>G909*C909</f>
      </c>
      <c r="I909" s="11">
        <f>G909*B909</f>
      </c>
      <c r="J909" s="30">
        <f>PM_Angle!$J$7+PM_Angle!$K$7*$C909+PM_Angle!$L$7*$B909</f>
      </c>
      <c r="K909" s="12">
        <f>IF(J909&gt;0,IF(J909&lt;=eco,alpha*fck*(1-(1-J909/eco)^n),alpha*fck),0)</f>
      </c>
      <c r="L909" s="30">
        <f>PM_Angle!$J$8+PM_Angle!$K$8*$C909+PM_Angle!$L$8*$B909</f>
      </c>
      <c r="M909" s="12">
        <f>IF(L909&gt;0,IF(L909&lt;=eco,alpha*fck*(1-(1-L909/eco)^n),alpha*fck),0)</f>
      </c>
      <c r="N909" s="30">
        <f>PM_Angle!$J$9+PM_Angle!$K$9*$C909+PM_Angle!$L$9*$B909</f>
      </c>
      <c r="O909" s="12">
        <f>IF(N909&gt;0,IF(N909&lt;=eco,alpha*fck*(1-(1-N909/eco)^n),alpha*fck),0)</f>
      </c>
      <c r="P909" s="30">
        <f>PM_Angle!$J$10+PM_Angle!$K$10*$C909+PM_Angle!$L$10*$B909</f>
      </c>
      <c r="Q909" s="12">
        <f>IF(P909&gt;0,IF(P909&lt;=eco,alpha*fck*(1-(1-P909/eco)^n),alpha*fck),0)</f>
      </c>
      <c r="R909" s="30">
        <f>PM_Angle!$J$11+PM_Angle!$K$11*$C909+PM_Angle!$L$11*$B909</f>
      </c>
      <c r="S909" s="12">
        <f>IF(R909&gt;0,IF(R909&lt;=eco,alpha*fck*(1-(1-R909/eco)^n),alpha*fck),0)</f>
      </c>
      <c r="T909" s="30">
        <f>PM_Angle!$J$12+PM_Angle!$K$12*$C909+PM_Angle!$L$12*$B909</f>
      </c>
      <c r="U909" s="12">
        <f>IF(T909&gt;0,IF(T909&lt;=eco,alpha*fck*(1-(1-T909/eco)^n),alpha*fck),0)</f>
      </c>
      <c r="V909" s="30">
        <f>PM_Angle!$J$13+PM_Angle!$K$13*$C909+PM_Angle!$L$13*$B909</f>
      </c>
      <c r="W909" s="12">
        <f>IF(V909&gt;0,IF(V909&lt;=eco,alpha*fck*(1-(1-V909/eco)^n),alpha*fck),0)</f>
      </c>
      <c r="X909" s="30">
        <f>PM_Angle!$J$14+PM_Angle!$K$14*$C909+PM_Angle!$L$14*$B909</f>
      </c>
      <c r="Y909" s="12">
        <f>IF(X909&gt;0,IF(X909&lt;=eco,alpha*fck*(1-(1-X909/eco)^n),alpha*fck),0)</f>
      </c>
      <c r="Z909" s="30">
        <f>PM_Angle!$J$15+PM_Angle!$K$15*$C909+PM_Angle!$L$15*$B909</f>
      </c>
      <c r="AA909" s="12">
        <f>IF(Z909&gt;0,IF(Z909&lt;=eco,alpha*fck*(1-(1-Z909/eco)^n),alpha*fck),0)</f>
      </c>
      <c r="AB909" s="30">
        <f>PM_Angle!$J$16+PM_Angle!$K$16*$C909+PM_Angle!$L$16*$B909</f>
      </c>
      <c r="AC909" s="12">
        <f>IF(AB909&gt;0,IF(AB909&lt;=eco,alpha*fck*(1-(1-AB909/eco)^n),alpha*fck),0)</f>
      </c>
      <c r="AD909" s="30">
        <f>PM_Angle!$J$17+PM_Angle!$K$17*$C909+PM_Angle!$L$17*$B909</f>
      </c>
      <c r="AE909" s="12">
        <f>IF(AD909&gt;0,IF(AD909&lt;=eco,alpha*fck*(1-(1-AD909/eco)^n),alpha*fck),0)</f>
      </c>
      <c r="AF909" s="30">
        <f>PM_Angle!$J$18+PM_Angle!$K$18*$C909+PM_Angle!$L$18*$B909</f>
      </c>
      <c r="AG909" s="12">
        <f>IF(AF909&gt;0,IF(AF909&lt;=eco,alpha*fck*(1-(1-AF909/eco)^n),alpha*fck),0)</f>
      </c>
      <c r="AH909" s="30">
        <f>PM_Angle!$J$19+PM_Angle!$K$19*$C909+PM_Angle!$L$19*$B909</f>
      </c>
      <c r="AI909" s="12">
        <f>IF(AH909&gt;0,IF(AH909&lt;=eco,alpha*fck*(1-(1-AH909/eco)^n),alpha*fck),0)</f>
      </c>
      <c r="AJ909" s="30">
        <f>PM_Angle!$J$20+PM_Angle!$K$20*$C909+PM_Angle!$L$20*$B909</f>
      </c>
      <c r="AK909" s="12">
        <f>IF(AJ909&gt;0,IF(AJ909&lt;=eco,alpha*fck*(1-(1-AJ909/eco)^n),alpha*fck),0)</f>
      </c>
      <c r="AL909" s="30">
        <f>PM_Angle!$J$21+PM_Angle!$K$21*$C909+PM_Angle!$L$21*$B909</f>
      </c>
      <c r="AM909" s="12">
        <f>IF(AL909&gt;0,IF(AL909&lt;=eco,alpha*fck*(1-(1-AL909/eco)^n),alpha*fck),0)</f>
      </c>
      <c r="AN909" s="30">
        <f>PM_Angle!$J$22+PM_Angle!$K$22*$C909+PM_Angle!$L$22*$B909</f>
      </c>
      <c r="AO909" s="12">
        <f>IF(AN909&gt;0,IF(AN909&lt;=eco,alpha*fck*(1-(1-AN909/eco)^n),alpha*fck),0)</f>
      </c>
      <c r="AP909" s="30">
        <f>PM_Angle!$J$23+PM_Angle!$K$23*$C909+PM_Angle!$L$23*$B909</f>
      </c>
      <c r="AQ909" s="12">
        <f>IF(AP909&gt;0,IF(AP909&lt;=eco,alpha*fck*(1-(1-AP909/eco)^n),alpha*fck),0)</f>
      </c>
      <c r="AR909" s="30">
        <f>PM_Angle!$J$24+PM_Angle!$K$24*$C909+PM_Angle!$L$24*$B909</f>
      </c>
      <c r="AS909" s="12">
        <f>IF(AR909&gt;0,IF(AR909&lt;=eco,alpha*fck*(1-(1-AR909/eco)^n),alpha*fck),0)</f>
      </c>
      <c r="AT909" s="30">
        <f>PM_Angle!$J$25+PM_Angle!$K$25*$C909+PM_Angle!$L$25*$B909</f>
      </c>
      <c r="AU909" s="12">
        <f>IF(AT909&gt;0,IF(AT909&lt;=eco,alpha*fck*(1-(1-AT909/eco)^n),alpha*fck),0)</f>
      </c>
    </row>
    <row r="910" spans="1:47" x14ac:dyDescent="0.25">
      <c r="A910">
        <f>Mesh!A907</f>
      </c>
      <c r="B910" s="12">
        <f>Mesh!B907</f>
      </c>
      <c r="C910" s="12">
        <f>Mesh!C907</f>
      </c>
      <c r="D910" s="12">
        <f>Mesh!D907</f>
      </c>
      <c r="E910" s="30">
        <f>INDEX(St_e0,Det+1)+INDEX(St_kx,Det+1)*C910+INDEX(St_ky,Det+1)*B910</f>
      </c>
      <c r="F910" s="12">
        <f>IF(E910&gt;0,IF(E910&lt;=eco,alpha*fck*(1-(1-E910/eco)^n),alpha*fck),0)</f>
      </c>
      <c r="G910" s="11">
        <f>F910*D910</f>
      </c>
      <c r="H910" s="11">
        <f>G910*C910</f>
      </c>
      <c r="I910" s="11">
        <f>G910*B910</f>
      </c>
      <c r="J910" s="30">
        <f>PM_Angle!$J$7+PM_Angle!$K$7*$C910+PM_Angle!$L$7*$B910</f>
      </c>
      <c r="K910" s="12">
        <f>IF(J910&gt;0,IF(J910&lt;=eco,alpha*fck*(1-(1-J910/eco)^n),alpha*fck),0)</f>
      </c>
      <c r="L910" s="30">
        <f>PM_Angle!$J$8+PM_Angle!$K$8*$C910+PM_Angle!$L$8*$B910</f>
      </c>
      <c r="M910" s="12">
        <f>IF(L910&gt;0,IF(L910&lt;=eco,alpha*fck*(1-(1-L910/eco)^n),alpha*fck),0)</f>
      </c>
      <c r="N910" s="30">
        <f>PM_Angle!$J$9+PM_Angle!$K$9*$C910+PM_Angle!$L$9*$B910</f>
      </c>
      <c r="O910" s="12">
        <f>IF(N910&gt;0,IF(N910&lt;=eco,alpha*fck*(1-(1-N910/eco)^n),alpha*fck),0)</f>
      </c>
      <c r="P910" s="30">
        <f>PM_Angle!$J$10+PM_Angle!$K$10*$C910+PM_Angle!$L$10*$B910</f>
      </c>
      <c r="Q910" s="12">
        <f>IF(P910&gt;0,IF(P910&lt;=eco,alpha*fck*(1-(1-P910/eco)^n),alpha*fck),0)</f>
      </c>
      <c r="R910" s="30">
        <f>PM_Angle!$J$11+PM_Angle!$K$11*$C910+PM_Angle!$L$11*$B910</f>
      </c>
      <c r="S910" s="12">
        <f>IF(R910&gt;0,IF(R910&lt;=eco,alpha*fck*(1-(1-R910/eco)^n),alpha*fck),0)</f>
      </c>
      <c r="T910" s="30">
        <f>PM_Angle!$J$12+PM_Angle!$K$12*$C910+PM_Angle!$L$12*$B910</f>
      </c>
      <c r="U910" s="12">
        <f>IF(T910&gt;0,IF(T910&lt;=eco,alpha*fck*(1-(1-T910/eco)^n),alpha*fck),0)</f>
      </c>
      <c r="V910" s="30">
        <f>PM_Angle!$J$13+PM_Angle!$K$13*$C910+PM_Angle!$L$13*$B910</f>
      </c>
      <c r="W910" s="12">
        <f>IF(V910&gt;0,IF(V910&lt;=eco,alpha*fck*(1-(1-V910/eco)^n),alpha*fck),0)</f>
      </c>
      <c r="X910" s="30">
        <f>PM_Angle!$J$14+PM_Angle!$K$14*$C910+PM_Angle!$L$14*$B910</f>
      </c>
      <c r="Y910" s="12">
        <f>IF(X910&gt;0,IF(X910&lt;=eco,alpha*fck*(1-(1-X910/eco)^n),alpha*fck),0)</f>
      </c>
      <c r="Z910" s="30">
        <f>PM_Angle!$J$15+PM_Angle!$K$15*$C910+PM_Angle!$L$15*$B910</f>
      </c>
      <c r="AA910" s="12">
        <f>IF(Z910&gt;0,IF(Z910&lt;=eco,alpha*fck*(1-(1-Z910/eco)^n),alpha*fck),0)</f>
      </c>
      <c r="AB910" s="30">
        <f>PM_Angle!$J$16+PM_Angle!$K$16*$C910+PM_Angle!$L$16*$B910</f>
      </c>
      <c r="AC910" s="12">
        <f>IF(AB910&gt;0,IF(AB910&lt;=eco,alpha*fck*(1-(1-AB910/eco)^n),alpha*fck),0)</f>
      </c>
      <c r="AD910" s="30">
        <f>PM_Angle!$J$17+PM_Angle!$K$17*$C910+PM_Angle!$L$17*$B910</f>
      </c>
      <c r="AE910" s="12">
        <f>IF(AD910&gt;0,IF(AD910&lt;=eco,alpha*fck*(1-(1-AD910/eco)^n),alpha*fck),0)</f>
      </c>
      <c r="AF910" s="30">
        <f>PM_Angle!$J$18+PM_Angle!$K$18*$C910+PM_Angle!$L$18*$B910</f>
      </c>
      <c r="AG910" s="12">
        <f>IF(AF910&gt;0,IF(AF910&lt;=eco,alpha*fck*(1-(1-AF910/eco)^n),alpha*fck),0)</f>
      </c>
      <c r="AH910" s="30">
        <f>PM_Angle!$J$19+PM_Angle!$K$19*$C910+PM_Angle!$L$19*$B910</f>
      </c>
      <c r="AI910" s="12">
        <f>IF(AH910&gt;0,IF(AH910&lt;=eco,alpha*fck*(1-(1-AH910/eco)^n),alpha*fck),0)</f>
      </c>
      <c r="AJ910" s="30">
        <f>PM_Angle!$J$20+PM_Angle!$K$20*$C910+PM_Angle!$L$20*$B910</f>
      </c>
      <c r="AK910" s="12">
        <f>IF(AJ910&gt;0,IF(AJ910&lt;=eco,alpha*fck*(1-(1-AJ910/eco)^n),alpha*fck),0)</f>
      </c>
      <c r="AL910" s="30">
        <f>PM_Angle!$J$21+PM_Angle!$K$21*$C910+PM_Angle!$L$21*$B910</f>
      </c>
      <c r="AM910" s="12">
        <f>IF(AL910&gt;0,IF(AL910&lt;=eco,alpha*fck*(1-(1-AL910/eco)^n),alpha*fck),0)</f>
      </c>
      <c r="AN910" s="30">
        <f>PM_Angle!$J$22+PM_Angle!$K$22*$C910+PM_Angle!$L$22*$B910</f>
      </c>
      <c r="AO910" s="12">
        <f>IF(AN910&gt;0,IF(AN910&lt;=eco,alpha*fck*(1-(1-AN910/eco)^n),alpha*fck),0)</f>
      </c>
      <c r="AP910" s="30">
        <f>PM_Angle!$J$23+PM_Angle!$K$23*$C910+PM_Angle!$L$23*$B910</f>
      </c>
      <c r="AQ910" s="12">
        <f>IF(AP910&gt;0,IF(AP910&lt;=eco,alpha*fck*(1-(1-AP910/eco)^n),alpha*fck),0)</f>
      </c>
      <c r="AR910" s="30">
        <f>PM_Angle!$J$24+PM_Angle!$K$24*$C910+PM_Angle!$L$24*$B910</f>
      </c>
      <c r="AS910" s="12">
        <f>IF(AR910&gt;0,IF(AR910&lt;=eco,alpha*fck*(1-(1-AR910/eco)^n),alpha*fck),0)</f>
      </c>
      <c r="AT910" s="30">
        <f>PM_Angle!$J$25+PM_Angle!$K$25*$C910+PM_Angle!$L$25*$B910</f>
      </c>
      <c r="AU910" s="12">
        <f>IF(AT910&gt;0,IF(AT910&lt;=eco,alpha*fck*(1-(1-AT910/eco)^n),alpha*fck),0)</f>
      </c>
    </row>
    <row r="911" spans="1:47" x14ac:dyDescent="0.25">
      <c r="A911">
        <f>Mesh!A908</f>
      </c>
      <c r="B911" s="12">
        <f>Mesh!B908</f>
      </c>
      <c r="C911" s="12">
        <f>Mesh!C908</f>
      </c>
      <c r="D911" s="12">
        <f>Mesh!D908</f>
      </c>
      <c r="E911" s="30">
        <f>INDEX(St_e0,Det+1)+INDEX(St_kx,Det+1)*C911+INDEX(St_ky,Det+1)*B911</f>
      </c>
      <c r="F911" s="12">
        <f>IF(E911&gt;0,IF(E911&lt;=eco,alpha*fck*(1-(1-E911/eco)^n),alpha*fck),0)</f>
      </c>
      <c r="G911" s="11">
        <f>F911*D911</f>
      </c>
      <c r="H911" s="11">
        <f>G911*C911</f>
      </c>
      <c r="I911" s="11">
        <f>G911*B911</f>
      </c>
      <c r="J911" s="30">
        <f>PM_Angle!$J$7+PM_Angle!$K$7*$C911+PM_Angle!$L$7*$B911</f>
      </c>
      <c r="K911" s="12">
        <f>IF(J911&gt;0,IF(J911&lt;=eco,alpha*fck*(1-(1-J911/eco)^n),alpha*fck),0)</f>
      </c>
      <c r="L911" s="30">
        <f>PM_Angle!$J$8+PM_Angle!$K$8*$C911+PM_Angle!$L$8*$B911</f>
      </c>
      <c r="M911" s="12">
        <f>IF(L911&gt;0,IF(L911&lt;=eco,alpha*fck*(1-(1-L911/eco)^n),alpha*fck),0)</f>
      </c>
      <c r="N911" s="30">
        <f>PM_Angle!$J$9+PM_Angle!$K$9*$C911+PM_Angle!$L$9*$B911</f>
      </c>
      <c r="O911" s="12">
        <f>IF(N911&gt;0,IF(N911&lt;=eco,alpha*fck*(1-(1-N911/eco)^n),alpha*fck),0)</f>
      </c>
      <c r="P911" s="30">
        <f>PM_Angle!$J$10+PM_Angle!$K$10*$C911+PM_Angle!$L$10*$B911</f>
      </c>
      <c r="Q911" s="12">
        <f>IF(P911&gt;0,IF(P911&lt;=eco,alpha*fck*(1-(1-P911/eco)^n),alpha*fck),0)</f>
      </c>
      <c r="R911" s="30">
        <f>PM_Angle!$J$11+PM_Angle!$K$11*$C911+PM_Angle!$L$11*$B911</f>
      </c>
      <c r="S911" s="12">
        <f>IF(R911&gt;0,IF(R911&lt;=eco,alpha*fck*(1-(1-R911/eco)^n),alpha*fck),0)</f>
      </c>
      <c r="T911" s="30">
        <f>PM_Angle!$J$12+PM_Angle!$K$12*$C911+PM_Angle!$L$12*$B911</f>
      </c>
      <c r="U911" s="12">
        <f>IF(T911&gt;0,IF(T911&lt;=eco,alpha*fck*(1-(1-T911/eco)^n),alpha*fck),0)</f>
      </c>
      <c r="V911" s="30">
        <f>PM_Angle!$J$13+PM_Angle!$K$13*$C911+PM_Angle!$L$13*$B911</f>
      </c>
      <c r="W911" s="12">
        <f>IF(V911&gt;0,IF(V911&lt;=eco,alpha*fck*(1-(1-V911/eco)^n),alpha*fck),0)</f>
      </c>
      <c r="X911" s="30">
        <f>PM_Angle!$J$14+PM_Angle!$K$14*$C911+PM_Angle!$L$14*$B911</f>
      </c>
      <c r="Y911" s="12">
        <f>IF(X911&gt;0,IF(X911&lt;=eco,alpha*fck*(1-(1-X911/eco)^n),alpha*fck),0)</f>
      </c>
      <c r="Z911" s="30">
        <f>PM_Angle!$J$15+PM_Angle!$K$15*$C911+PM_Angle!$L$15*$B911</f>
      </c>
      <c r="AA911" s="12">
        <f>IF(Z911&gt;0,IF(Z911&lt;=eco,alpha*fck*(1-(1-Z911/eco)^n),alpha*fck),0)</f>
      </c>
      <c r="AB911" s="30">
        <f>PM_Angle!$J$16+PM_Angle!$K$16*$C911+PM_Angle!$L$16*$B911</f>
      </c>
      <c r="AC911" s="12">
        <f>IF(AB911&gt;0,IF(AB911&lt;=eco,alpha*fck*(1-(1-AB911/eco)^n),alpha*fck),0)</f>
      </c>
      <c r="AD911" s="30">
        <f>PM_Angle!$J$17+PM_Angle!$K$17*$C911+PM_Angle!$L$17*$B911</f>
      </c>
      <c r="AE911" s="12">
        <f>IF(AD911&gt;0,IF(AD911&lt;=eco,alpha*fck*(1-(1-AD911/eco)^n),alpha*fck),0)</f>
      </c>
      <c r="AF911" s="30">
        <f>PM_Angle!$J$18+PM_Angle!$K$18*$C911+PM_Angle!$L$18*$B911</f>
      </c>
      <c r="AG911" s="12">
        <f>IF(AF911&gt;0,IF(AF911&lt;=eco,alpha*fck*(1-(1-AF911/eco)^n),alpha*fck),0)</f>
      </c>
      <c r="AH911" s="30">
        <f>PM_Angle!$J$19+PM_Angle!$K$19*$C911+PM_Angle!$L$19*$B911</f>
      </c>
      <c r="AI911" s="12">
        <f>IF(AH911&gt;0,IF(AH911&lt;=eco,alpha*fck*(1-(1-AH911/eco)^n),alpha*fck),0)</f>
      </c>
      <c r="AJ911" s="30">
        <f>PM_Angle!$J$20+PM_Angle!$K$20*$C911+PM_Angle!$L$20*$B911</f>
      </c>
      <c r="AK911" s="12">
        <f>IF(AJ911&gt;0,IF(AJ911&lt;=eco,alpha*fck*(1-(1-AJ911/eco)^n),alpha*fck),0)</f>
      </c>
      <c r="AL911" s="30">
        <f>PM_Angle!$J$21+PM_Angle!$K$21*$C911+PM_Angle!$L$21*$B911</f>
      </c>
      <c r="AM911" s="12">
        <f>IF(AL911&gt;0,IF(AL911&lt;=eco,alpha*fck*(1-(1-AL911/eco)^n),alpha*fck),0)</f>
      </c>
      <c r="AN911" s="30">
        <f>PM_Angle!$J$22+PM_Angle!$K$22*$C911+PM_Angle!$L$22*$B911</f>
      </c>
      <c r="AO911" s="12">
        <f>IF(AN911&gt;0,IF(AN911&lt;=eco,alpha*fck*(1-(1-AN911/eco)^n),alpha*fck),0)</f>
      </c>
      <c r="AP911" s="30">
        <f>PM_Angle!$J$23+PM_Angle!$K$23*$C911+PM_Angle!$L$23*$B911</f>
      </c>
      <c r="AQ911" s="12">
        <f>IF(AP911&gt;0,IF(AP911&lt;=eco,alpha*fck*(1-(1-AP911/eco)^n),alpha*fck),0)</f>
      </c>
      <c r="AR911" s="30">
        <f>PM_Angle!$J$24+PM_Angle!$K$24*$C911+PM_Angle!$L$24*$B911</f>
      </c>
      <c r="AS911" s="12">
        <f>IF(AR911&gt;0,IF(AR911&lt;=eco,alpha*fck*(1-(1-AR911/eco)^n),alpha*fck),0)</f>
      </c>
      <c r="AT911" s="30">
        <f>PM_Angle!$J$25+PM_Angle!$K$25*$C911+PM_Angle!$L$25*$B911</f>
      </c>
      <c r="AU911" s="12">
        <f>IF(AT911&gt;0,IF(AT911&lt;=eco,alpha*fck*(1-(1-AT911/eco)^n),alpha*fck),0)</f>
      </c>
    </row>
    <row r="912" spans="1:47" x14ac:dyDescent="0.25">
      <c r="A912">
        <f>Mesh!A909</f>
      </c>
      <c r="B912" s="12">
        <f>Mesh!B909</f>
      </c>
      <c r="C912" s="12">
        <f>Mesh!C909</f>
      </c>
      <c r="D912" s="12">
        <f>Mesh!D909</f>
      </c>
      <c r="E912" s="30">
        <f>INDEX(St_e0,Det+1)+INDEX(St_kx,Det+1)*C912+INDEX(St_ky,Det+1)*B912</f>
      </c>
      <c r="F912" s="12">
        <f>IF(E912&gt;0,IF(E912&lt;=eco,alpha*fck*(1-(1-E912/eco)^n),alpha*fck),0)</f>
      </c>
      <c r="G912" s="11">
        <f>F912*D912</f>
      </c>
      <c r="H912" s="11">
        <f>G912*C912</f>
      </c>
      <c r="I912" s="11">
        <f>G912*B912</f>
      </c>
      <c r="J912" s="30">
        <f>PM_Angle!$J$7+PM_Angle!$K$7*$C912+PM_Angle!$L$7*$B912</f>
      </c>
      <c r="K912" s="12">
        <f>IF(J912&gt;0,IF(J912&lt;=eco,alpha*fck*(1-(1-J912/eco)^n),alpha*fck),0)</f>
      </c>
      <c r="L912" s="30">
        <f>PM_Angle!$J$8+PM_Angle!$K$8*$C912+PM_Angle!$L$8*$B912</f>
      </c>
      <c r="M912" s="12">
        <f>IF(L912&gt;0,IF(L912&lt;=eco,alpha*fck*(1-(1-L912/eco)^n),alpha*fck),0)</f>
      </c>
      <c r="N912" s="30">
        <f>PM_Angle!$J$9+PM_Angle!$K$9*$C912+PM_Angle!$L$9*$B912</f>
      </c>
      <c r="O912" s="12">
        <f>IF(N912&gt;0,IF(N912&lt;=eco,alpha*fck*(1-(1-N912/eco)^n),alpha*fck),0)</f>
      </c>
      <c r="P912" s="30">
        <f>PM_Angle!$J$10+PM_Angle!$K$10*$C912+PM_Angle!$L$10*$B912</f>
      </c>
      <c r="Q912" s="12">
        <f>IF(P912&gt;0,IF(P912&lt;=eco,alpha*fck*(1-(1-P912/eco)^n),alpha*fck),0)</f>
      </c>
      <c r="R912" s="30">
        <f>PM_Angle!$J$11+PM_Angle!$K$11*$C912+PM_Angle!$L$11*$B912</f>
      </c>
      <c r="S912" s="12">
        <f>IF(R912&gt;0,IF(R912&lt;=eco,alpha*fck*(1-(1-R912/eco)^n),alpha*fck),0)</f>
      </c>
      <c r="T912" s="30">
        <f>PM_Angle!$J$12+PM_Angle!$K$12*$C912+PM_Angle!$L$12*$B912</f>
      </c>
      <c r="U912" s="12">
        <f>IF(T912&gt;0,IF(T912&lt;=eco,alpha*fck*(1-(1-T912/eco)^n),alpha*fck),0)</f>
      </c>
      <c r="V912" s="30">
        <f>PM_Angle!$J$13+PM_Angle!$K$13*$C912+PM_Angle!$L$13*$B912</f>
      </c>
      <c r="W912" s="12">
        <f>IF(V912&gt;0,IF(V912&lt;=eco,alpha*fck*(1-(1-V912/eco)^n),alpha*fck),0)</f>
      </c>
      <c r="X912" s="30">
        <f>PM_Angle!$J$14+PM_Angle!$K$14*$C912+PM_Angle!$L$14*$B912</f>
      </c>
      <c r="Y912" s="12">
        <f>IF(X912&gt;0,IF(X912&lt;=eco,alpha*fck*(1-(1-X912/eco)^n),alpha*fck),0)</f>
      </c>
      <c r="Z912" s="30">
        <f>PM_Angle!$J$15+PM_Angle!$K$15*$C912+PM_Angle!$L$15*$B912</f>
      </c>
      <c r="AA912" s="12">
        <f>IF(Z912&gt;0,IF(Z912&lt;=eco,alpha*fck*(1-(1-Z912/eco)^n),alpha*fck),0)</f>
      </c>
      <c r="AB912" s="30">
        <f>PM_Angle!$J$16+PM_Angle!$K$16*$C912+PM_Angle!$L$16*$B912</f>
      </c>
      <c r="AC912" s="12">
        <f>IF(AB912&gt;0,IF(AB912&lt;=eco,alpha*fck*(1-(1-AB912/eco)^n),alpha*fck),0)</f>
      </c>
      <c r="AD912" s="30">
        <f>PM_Angle!$J$17+PM_Angle!$K$17*$C912+PM_Angle!$L$17*$B912</f>
      </c>
      <c r="AE912" s="12">
        <f>IF(AD912&gt;0,IF(AD912&lt;=eco,alpha*fck*(1-(1-AD912/eco)^n),alpha*fck),0)</f>
      </c>
      <c r="AF912" s="30">
        <f>PM_Angle!$J$18+PM_Angle!$K$18*$C912+PM_Angle!$L$18*$B912</f>
      </c>
      <c r="AG912" s="12">
        <f>IF(AF912&gt;0,IF(AF912&lt;=eco,alpha*fck*(1-(1-AF912/eco)^n),alpha*fck),0)</f>
      </c>
      <c r="AH912" s="30">
        <f>PM_Angle!$J$19+PM_Angle!$K$19*$C912+PM_Angle!$L$19*$B912</f>
      </c>
      <c r="AI912" s="12">
        <f>IF(AH912&gt;0,IF(AH912&lt;=eco,alpha*fck*(1-(1-AH912/eco)^n),alpha*fck),0)</f>
      </c>
      <c r="AJ912" s="30">
        <f>PM_Angle!$J$20+PM_Angle!$K$20*$C912+PM_Angle!$L$20*$B912</f>
      </c>
      <c r="AK912" s="12">
        <f>IF(AJ912&gt;0,IF(AJ912&lt;=eco,alpha*fck*(1-(1-AJ912/eco)^n),alpha*fck),0)</f>
      </c>
      <c r="AL912" s="30">
        <f>PM_Angle!$J$21+PM_Angle!$K$21*$C912+PM_Angle!$L$21*$B912</f>
      </c>
      <c r="AM912" s="12">
        <f>IF(AL912&gt;0,IF(AL912&lt;=eco,alpha*fck*(1-(1-AL912/eco)^n),alpha*fck),0)</f>
      </c>
      <c r="AN912" s="30">
        <f>PM_Angle!$J$22+PM_Angle!$K$22*$C912+PM_Angle!$L$22*$B912</f>
      </c>
      <c r="AO912" s="12">
        <f>IF(AN912&gt;0,IF(AN912&lt;=eco,alpha*fck*(1-(1-AN912/eco)^n),alpha*fck),0)</f>
      </c>
      <c r="AP912" s="30">
        <f>PM_Angle!$J$23+PM_Angle!$K$23*$C912+PM_Angle!$L$23*$B912</f>
      </c>
      <c r="AQ912" s="12">
        <f>IF(AP912&gt;0,IF(AP912&lt;=eco,alpha*fck*(1-(1-AP912/eco)^n),alpha*fck),0)</f>
      </c>
      <c r="AR912" s="30">
        <f>PM_Angle!$J$24+PM_Angle!$K$24*$C912+PM_Angle!$L$24*$B912</f>
      </c>
      <c r="AS912" s="12">
        <f>IF(AR912&gt;0,IF(AR912&lt;=eco,alpha*fck*(1-(1-AR912/eco)^n),alpha*fck),0)</f>
      </c>
      <c r="AT912" s="30">
        <f>PM_Angle!$J$25+PM_Angle!$K$25*$C912+PM_Angle!$L$25*$B912</f>
      </c>
      <c r="AU912" s="12">
        <f>IF(AT912&gt;0,IF(AT912&lt;=eco,alpha*fck*(1-(1-AT912/eco)^n),alpha*fck),0)</f>
      </c>
    </row>
    <row r="913" spans="1:47" x14ac:dyDescent="0.25">
      <c r="A913">
        <f>Mesh!A910</f>
      </c>
      <c r="B913" s="12">
        <f>Mesh!B910</f>
      </c>
      <c r="C913" s="12">
        <f>Mesh!C910</f>
      </c>
      <c r="D913" s="12">
        <f>Mesh!D910</f>
      </c>
      <c r="E913" s="30">
        <f>INDEX(St_e0,Det+1)+INDEX(St_kx,Det+1)*C913+INDEX(St_ky,Det+1)*B913</f>
      </c>
      <c r="F913" s="12">
        <f>IF(E913&gt;0,IF(E913&lt;=eco,alpha*fck*(1-(1-E913/eco)^n),alpha*fck),0)</f>
      </c>
      <c r="G913" s="11">
        <f>F913*D913</f>
      </c>
      <c r="H913" s="11">
        <f>G913*C913</f>
      </c>
      <c r="I913" s="11">
        <f>G913*B913</f>
      </c>
      <c r="J913" s="30">
        <f>PM_Angle!$J$7+PM_Angle!$K$7*$C913+PM_Angle!$L$7*$B913</f>
      </c>
      <c r="K913" s="12">
        <f>IF(J913&gt;0,IF(J913&lt;=eco,alpha*fck*(1-(1-J913/eco)^n),alpha*fck),0)</f>
      </c>
      <c r="L913" s="30">
        <f>PM_Angle!$J$8+PM_Angle!$K$8*$C913+PM_Angle!$L$8*$B913</f>
      </c>
      <c r="M913" s="12">
        <f>IF(L913&gt;0,IF(L913&lt;=eco,alpha*fck*(1-(1-L913/eco)^n),alpha*fck),0)</f>
      </c>
      <c r="N913" s="30">
        <f>PM_Angle!$J$9+PM_Angle!$K$9*$C913+PM_Angle!$L$9*$B913</f>
      </c>
      <c r="O913" s="12">
        <f>IF(N913&gt;0,IF(N913&lt;=eco,alpha*fck*(1-(1-N913/eco)^n),alpha*fck),0)</f>
      </c>
      <c r="P913" s="30">
        <f>PM_Angle!$J$10+PM_Angle!$K$10*$C913+PM_Angle!$L$10*$B913</f>
      </c>
      <c r="Q913" s="12">
        <f>IF(P913&gt;0,IF(P913&lt;=eco,alpha*fck*(1-(1-P913/eco)^n),alpha*fck),0)</f>
      </c>
      <c r="R913" s="30">
        <f>PM_Angle!$J$11+PM_Angle!$K$11*$C913+PM_Angle!$L$11*$B913</f>
      </c>
      <c r="S913" s="12">
        <f>IF(R913&gt;0,IF(R913&lt;=eco,alpha*fck*(1-(1-R913/eco)^n),alpha*fck),0)</f>
      </c>
      <c r="T913" s="30">
        <f>PM_Angle!$J$12+PM_Angle!$K$12*$C913+PM_Angle!$L$12*$B913</f>
      </c>
      <c r="U913" s="12">
        <f>IF(T913&gt;0,IF(T913&lt;=eco,alpha*fck*(1-(1-T913/eco)^n),alpha*fck),0)</f>
      </c>
      <c r="V913" s="30">
        <f>PM_Angle!$J$13+PM_Angle!$K$13*$C913+PM_Angle!$L$13*$B913</f>
      </c>
      <c r="W913" s="12">
        <f>IF(V913&gt;0,IF(V913&lt;=eco,alpha*fck*(1-(1-V913/eco)^n),alpha*fck),0)</f>
      </c>
      <c r="X913" s="30">
        <f>PM_Angle!$J$14+PM_Angle!$K$14*$C913+PM_Angle!$L$14*$B913</f>
      </c>
      <c r="Y913" s="12">
        <f>IF(X913&gt;0,IF(X913&lt;=eco,alpha*fck*(1-(1-X913/eco)^n),alpha*fck),0)</f>
      </c>
      <c r="Z913" s="30">
        <f>PM_Angle!$J$15+PM_Angle!$K$15*$C913+PM_Angle!$L$15*$B913</f>
      </c>
      <c r="AA913" s="12">
        <f>IF(Z913&gt;0,IF(Z913&lt;=eco,alpha*fck*(1-(1-Z913/eco)^n),alpha*fck),0)</f>
      </c>
      <c r="AB913" s="30">
        <f>PM_Angle!$J$16+PM_Angle!$K$16*$C913+PM_Angle!$L$16*$B913</f>
      </c>
      <c r="AC913" s="12">
        <f>IF(AB913&gt;0,IF(AB913&lt;=eco,alpha*fck*(1-(1-AB913/eco)^n),alpha*fck),0)</f>
      </c>
      <c r="AD913" s="30">
        <f>PM_Angle!$J$17+PM_Angle!$K$17*$C913+PM_Angle!$L$17*$B913</f>
      </c>
      <c r="AE913" s="12">
        <f>IF(AD913&gt;0,IF(AD913&lt;=eco,alpha*fck*(1-(1-AD913/eco)^n),alpha*fck),0)</f>
      </c>
      <c r="AF913" s="30">
        <f>PM_Angle!$J$18+PM_Angle!$K$18*$C913+PM_Angle!$L$18*$B913</f>
      </c>
      <c r="AG913" s="12">
        <f>IF(AF913&gt;0,IF(AF913&lt;=eco,alpha*fck*(1-(1-AF913/eco)^n),alpha*fck),0)</f>
      </c>
      <c r="AH913" s="30">
        <f>PM_Angle!$J$19+PM_Angle!$K$19*$C913+PM_Angle!$L$19*$B913</f>
      </c>
      <c r="AI913" s="12">
        <f>IF(AH913&gt;0,IF(AH913&lt;=eco,alpha*fck*(1-(1-AH913/eco)^n),alpha*fck),0)</f>
      </c>
      <c r="AJ913" s="30">
        <f>PM_Angle!$J$20+PM_Angle!$K$20*$C913+PM_Angle!$L$20*$B913</f>
      </c>
      <c r="AK913" s="12">
        <f>IF(AJ913&gt;0,IF(AJ913&lt;=eco,alpha*fck*(1-(1-AJ913/eco)^n),alpha*fck),0)</f>
      </c>
      <c r="AL913" s="30">
        <f>PM_Angle!$J$21+PM_Angle!$K$21*$C913+PM_Angle!$L$21*$B913</f>
      </c>
      <c r="AM913" s="12">
        <f>IF(AL913&gt;0,IF(AL913&lt;=eco,alpha*fck*(1-(1-AL913/eco)^n),alpha*fck),0)</f>
      </c>
      <c r="AN913" s="30">
        <f>PM_Angle!$J$22+PM_Angle!$K$22*$C913+PM_Angle!$L$22*$B913</f>
      </c>
      <c r="AO913" s="12">
        <f>IF(AN913&gt;0,IF(AN913&lt;=eco,alpha*fck*(1-(1-AN913/eco)^n),alpha*fck),0)</f>
      </c>
      <c r="AP913" s="30">
        <f>PM_Angle!$J$23+PM_Angle!$K$23*$C913+PM_Angle!$L$23*$B913</f>
      </c>
      <c r="AQ913" s="12">
        <f>IF(AP913&gt;0,IF(AP913&lt;=eco,alpha*fck*(1-(1-AP913/eco)^n),alpha*fck),0)</f>
      </c>
      <c r="AR913" s="30">
        <f>PM_Angle!$J$24+PM_Angle!$K$24*$C913+PM_Angle!$L$24*$B913</f>
      </c>
      <c r="AS913" s="12">
        <f>IF(AR913&gt;0,IF(AR913&lt;=eco,alpha*fck*(1-(1-AR913/eco)^n),alpha*fck),0)</f>
      </c>
      <c r="AT913" s="30">
        <f>PM_Angle!$J$25+PM_Angle!$K$25*$C913+PM_Angle!$L$25*$B913</f>
      </c>
      <c r="AU913" s="12">
        <f>IF(AT913&gt;0,IF(AT913&lt;=eco,alpha*fck*(1-(1-AT913/eco)^n),alpha*fck),0)</f>
      </c>
    </row>
    <row r="914" spans="1:47" x14ac:dyDescent="0.25">
      <c r="A914">
        <f>Mesh!A911</f>
      </c>
      <c r="B914" s="12">
        <f>Mesh!B911</f>
      </c>
      <c r="C914" s="12">
        <f>Mesh!C911</f>
      </c>
      <c r="D914" s="12">
        <f>Mesh!D911</f>
      </c>
      <c r="E914" s="30">
        <f>INDEX(St_e0,Det+1)+INDEX(St_kx,Det+1)*C914+INDEX(St_ky,Det+1)*B914</f>
      </c>
      <c r="F914" s="12">
        <f>IF(E914&gt;0,IF(E914&lt;=eco,alpha*fck*(1-(1-E914/eco)^n),alpha*fck),0)</f>
      </c>
      <c r="G914" s="11">
        <f>F914*D914</f>
      </c>
      <c r="H914" s="11">
        <f>G914*C914</f>
      </c>
      <c r="I914" s="11">
        <f>G914*B914</f>
      </c>
      <c r="J914" s="30">
        <f>PM_Angle!$J$7+PM_Angle!$K$7*$C914+PM_Angle!$L$7*$B914</f>
      </c>
      <c r="K914" s="12">
        <f>IF(J914&gt;0,IF(J914&lt;=eco,alpha*fck*(1-(1-J914/eco)^n),alpha*fck),0)</f>
      </c>
      <c r="L914" s="30">
        <f>PM_Angle!$J$8+PM_Angle!$K$8*$C914+PM_Angle!$L$8*$B914</f>
      </c>
      <c r="M914" s="12">
        <f>IF(L914&gt;0,IF(L914&lt;=eco,alpha*fck*(1-(1-L914/eco)^n),alpha*fck),0)</f>
      </c>
      <c r="N914" s="30">
        <f>PM_Angle!$J$9+PM_Angle!$K$9*$C914+PM_Angle!$L$9*$B914</f>
      </c>
      <c r="O914" s="12">
        <f>IF(N914&gt;0,IF(N914&lt;=eco,alpha*fck*(1-(1-N914/eco)^n),alpha*fck),0)</f>
      </c>
      <c r="P914" s="30">
        <f>PM_Angle!$J$10+PM_Angle!$K$10*$C914+PM_Angle!$L$10*$B914</f>
      </c>
      <c r="Q914" s="12">
        <f>IF(P914&gt;0,IF(P914&lt;=eco,alpha*fck*(1-(1-P914/eco)^n),alpha*fck),0)</f>
      </c>
      <c r="R914" s="30">
        <f>PM_Angle!$J$11+PM_Angle!$K$11*$C914+PM_Angle!$L$11*$B914</f>
      </c>
      <c r="S914" s="12">
        <f>IF(R914&gt;0,IF(R914&lt;=eco,alpha*fck*(1-(1-R914/eco)^n),alpha*fck),0)</f>
      </c>
      <c r="T914" s="30">
        <f>PM_Angle!$J$12+PM_Angle!$K$12*$C914+PM_Angle!$L$12*$B914</f>
      </c>
      <c r="U914" s="12">
        <f>IF(T914&gt;0,IF(T914&lt;=eco,alpha*fck*(1-(1-T914/eco)^n),alpha*fck),0)</f>
      </c>
      <c r="V914" s="30">
        <f>PM_Angle!$J$13+PM_Angle!$K$13*$C914+PM_Angle!$L$13*$B914</f>
      </c>
      <c r="W914" s="12">
        <f>IF(V914&gt;0,IF(V914&lt;=eco,alpha*fck*(1-(1-V914/eco)^n),alpha*fck),0)</f>
      </c>
      <c r="X914" s="30">
        <f>PM_Angle!$J$14+PM_Angle!$K$14*$C914+PM_Angle!$L$14*$B914</f>
      </c>
      <c r="Y914" s="12">
        <f>IF(X914&gt;0,IF(X914&lt;=eco,alpha*fck*(1-(1-X914/eco)^n),alpha*fck),0)</f>
      </c>
      <c r="Z914" s="30">
        <f>PM_Angle!$J$15+PM_Angle!$K$15*$C914+PM_Angle!$L$15*$B914</f>
      </c>
      <c r="AA914" s="12">
        <f>IF(Z914&gt;0,IF(Z914&lt;=eco,alpha*fck*(1-(1-Z914/eco)^n),alpha*fck),0)</f>
      </c>
      <c r="AB914" s="30">
        <f>PM_Angle!$J$16+PM_Angle!$K$16*$C914+PM_Angle!$L$16*$B914</f>
      </c>
      <c r="AC914" s="12">
        <f>IF(AB914&gt;0,IF(AB914&lt;=eco,alpha*fck*(1-(1-AB914/eco)^n),alpha*fck),0)</f>
      </c>
      <c r="AD914" s="30">
        <f>PM_Angle!$J$17+PM_Angle!$K$17*$C914+PM_Angle!$L$17*$B914</f>
      </c>
      <c r="AE914" s="12">
        <f>IF(AD914&gt;0,IF(AD914&lt;=eco,alpha*fck*(1-(1-AD914/eco)^n),alpha*fck),0)</f>
      </c>
      <c r="AF914" s="30">
        <f>PM_Angle!$J$18+PM_Angle!$K$18*$C914+PM_Angle!$L$18*$B914</f>
      </c>
      <c r="AG914" s="12">
        <f>IF(AF914&gt;0,IF(AF914&lt;=eco,alpha*fck*(1-(1-AF914/eco)^n),alpha*fck),0)</f>
      </c>
      <c r="AH914" s="30">
        <f>PM_Angle!$J$19+PM_Angle!$K$19*$C914+PM_Angle!$L$19*$B914</f>
      </c>
      <c r="AI914" s="12">
        <f>IF(AH914&gt;0,IF(AH914&lt;=eco,alpha*fck*(1-(1-AH914/eco)^n),alpha*fck),0)</f>
      </c>
      <c r="AJ914" s="30">
        <f>PM_Angle!$J$20+PM_Angle!$K$20*$C914+PM_Angle!$L$20*$B914</f>
      </c>
      <c r="AK914" s="12">
        <f>IF(AJ914&gt;0,IF(AJ914&lt;=eco,alpha*fck*(1-(1-AJ914/eco)^n),alpha*fck),0)</f>
      </c>
      <c r="AL914" s="30">
        <f>PM_Angle!$J$21+PM_Angle!$K$21*$C914+PM_Angle!$L$21*$B914</f>
      </c>
      <c r="AM914" s="12">
        <f>IF(AL914&gt;0,IF(AL914&lt;=eco,alpha*fck*(1-(1-AL914/eco)^n),alpha*fck),0)</f>
      </c>
      <c r="AN914" s="30">
        <f>PM_Angle!$J$22+PM_Angle!$K$22*$C914+PM_Angle!$L$22*$B914</f>
      </c>
      <c r="AO914" s="12">
        <f>IF(AN914&gt;0,IF(AN914&lt;=eco,alpha*fck*(1-(1-AN914/eco)^n),alpha*fck),0)</f>
      </c>
      <c r="AP914" s="30">
        <f>PM_Angle!$J$23+PM_Angle!$K$23*$C914+PM_Angle!$L$23*$B914</f>
      </c>
      <c r="AQ914" s="12">
        <f>IF(AP914&gt;0,IF(AP914&lt;=eco,alpha*fck*(1-(1-AP914/eco)^n),alpha*fck),0)</f>
      </c>
      <c r="AR914" s="30">
        <f>PM_Angle!$J$24+PM_Angle!$K$24*$C914+PM_Angle!$L$24*$B914</f>
      </c>
      <c r="AS914" s="12">
        <f>IF(AR914&gt;0,IF(AR914&lt;=eco,alpha*fck*(1-(1-AR914/eco)^n),alpha*fck),0)</f>
      </c>
      <c r="AT914" s="30">
        <f>PM_Angle!$J$25+PM_Angle!$K$25*$C914+PM_Angle!$L$25*$B914</f>
      </c>
      <c r="AU914" s="12">
        <f>IF(AT914&gt;0,IF(AT914&lt;=eco,alpha*fck*(1-(1-AT914/eco)^n),alpha*fck),0)</f>
      </c>
    </row>
    <row r="915" spans="1:47" x14ac:dyDescent="0.25">
      <c r="A915">
        <f>Mesh!A912</f>
      </c>
      <c r="B915" s="12">
        <f>Mesh!B912</f>
      </c>
      <c r="C915" s="12">
        <f>Mesh!C912</f>
      </c>
      <c r="D915" s="12">
        <f>Mesh!D912</f>
      </c>
      <c r="E915" s="30">
        <f>INDEX(St_e0,Det+1)+INDEX(St_kx,Det+1)*C915+INDEX(St_ky,Det+1)*B915</f>
      </c>
      <c r="F915" s="12">
        <f>IF(E915&gt;0,IF(E915&lt;=eco,alpha*fck*(1-(1-E915/eco)^n),alpha*fck),0)</f>
      </c>
      <c r="G915" s="11">
        <f>F915*D915</f>
      </c>
      <c r="H915" s="11">
        <f>G915*C915</f>
      </c>
      <c r="I915" s="11">
        <f>G915*B915</f>
      </c>
      <c r="J915" s="30">
        <f>PM_Angle!$J$7+PM_Angle!$K$7*$C915+PM_Angle!$L$7*$B915</f>
      </c>
      <c r="K915" s="12">
        <f>IF(J915&gt;0,IF(J915&lt;=eco,alpha*fck*(1-(1-J915/eco)^n),alpha*fck),0)</f>
      </c>
      <c r="L915" s="30">
        <f>PM_Angle!$J$8+PM_Angle!$K$8*$C915+PM_Angle!$L$8*$B915</f>
      </c>
      <c r="M915" s="12">
        <f>IF(L915&gt;0,IF(L915&lt;=eco,alpha*fck*(1-(1-L915/eco)^n),alpha*fck),0)</f>
      </c>
      <c r="N915" s="30">
        <f>PM_Angle!$J$9+PM_Angle!$K$9*$C915+PM_Angle!$L$9*$B915</f>
      </c>
      <c r="O915" s="12">
        <f>IF(N915&gt;0,IF(N915&lt;=eco,alpha*fck*(1-(1-N915/eco)^n),alpha*fck),0)</f>
      </c>
      <c r="P915" s="30">
        <f>PM_Angle!$J$10+PM_Angle!$K$10*$C915+PM_Angle!$L$10*$B915</f>
      </c>
      <c r="Q915" s="12">
        <f>IF(P915&gt;0,IF(P915&lt;=eco,alpha*fck*(1-(1-P915/eco)^n),alpha*fck),0)</f>
      </c>
      <c r="R915" s="30">
        <f>PM_Angle!$J$11+PM_Angle!$K$11*$C915+PM_Angle!$L$11*$B915</f>
      </c>
      <c r="S915" s="12">
        <f>IF(R915&gt;0,IF(R915&lt;=eco,alpha*fck*(1-(1-R915/eco)^n),alpha*fck),0)</f>
      </c>
      <c r="T915" s="30">
        <f>PM_Angle!$J$12+PM_Angle!$K$12*$C915+PM_Angle!$L$12*$B915</f>
      </c>
      <c r="U915" s="12">
        <f>IF(T915&gt;0,IF(T915&lt;=eco,alpha*fck*(1-(1-T915/eco)^n),alpha*fck),0)</f>
      </c>
      <c r="V915" s="30">
        <f>PM_Angle!$J$13+PM_Angle!$K$13*$C915+PM_Angle!$L$13*$B915</f>
      </c>
      <c r="W915" s="12">
        <f>IF(V915&gt;0,IF(V915&lt;=eco,alpha*fck*(1-(1-V915/eco)^n),alpha*fck),0)</f>
      </c>
      <c r="X915" s="30">
        <f>PM_Angle!$J$14+PM_Angle!$K$14*$C915+PM_Angle!$L$14*$B915</f>
      </c>
      <c r="Y915" s="12">
        <f>IF(X915&gt;0,IF(X915&lt;=eco,alpha*fck*(1-(1-X915/eco)^n),alpha*fck),0)</f>
      </c>
      <c r="Z915" s="30">
        <f>PM_Angle!$J$15+PM_Angle!$K$15*$C915+PM_Angle!$L$15*$B915</f>
      </c>
      <c r="AA915" s="12">
        <f>IF(Z915&gt;0,IF(Z915&lt;=eco,alpha*fck*(1-(1-Z915/eco)^n),alpha*fck),0)</f>
      </c>
      <c r="AB915" s="30">
        <f>PM_Angle!$J$16+PM_Angle!$K$16*$C915+PM_Angle!$L$16*$B915</f>
      </c>
      <c r="AC915" s="12">
        <f>IF(AB915&gt;0,IF(AB915&lt;=eco,alpha*fck*(1-(1-AB915/eco)^n),alpha*fck),0)</f>
      </c>
      <c r="AD915" s="30">
        <f>PM_Angle!$J$17+PM_Angle!$K$17*$C915+PM_Angle!$L$17*$B915</f>
      </c>
      <c r="AE915" s="12">
        <f>IF(AD915&gt;0,IF(AD915&lt;=eco,alpha*fck*(1-(1-AD915/eco)^n),alpha*fck),0)</f>
      </c>
      <c r="AF915" s="30">
        <f>PM_Angle!$J$18+PM_Angle!$K$18*$C915+PM_Angle!$L$18*$B915</f>
      </c>
      <c r="AG915" s="12">
        <f>IF(AF915&gt;0,IF(AF915&lt;=eco,alpha*fck*(1-(1-AF915/eco)^n),alpha*fck),0)</f>
      </c>
      <c r="AH915" s="30">
        <f>PM_Angle!$J$19+PM_Angle!$K$19*$C915+PM_Angle!$L$19*$B915</f>
      </c>
      <c r="AI915" s="12">
        <f>IF(AH915&gt;0,IF(AH915&lt;=eco,alpha*fck*(1-(1-AH915/eco)^n),alpha*fck),0)</f>
      </c>
      <c r="AJ915" s="30">
        <f>PM_Angle!$J$20+PM_Angle!$K$20*$C915+PM_Angle!$L$20*$B915</f>
      </c>
      <c r="AK915" s="12">
        <f>IF(AJ915&gt;0,IF(AJ915&lt;=eco,alpha*fck*(1-(1-AJ915/eco)^n),alpha*fck),0)</f>
      </c>
      <c r="AL915" s="30">
        <f>PM_Angle!$J$21+PM_Angle!$K$21*$C915+PM_Angle!$L$21*$B915</f>
      </c>
      <c r="AM915" s="12">
        <f>IF(AL915&gt;0,IF(AL915&lt;=eco,alpha*fck*(1-(1-AL915/eco)^n),alpha*fck),0)</f>
      </c>
      <c r="AN915" s="30">
        <f>PM_Angle!$J$22+PM_Angle!$K$22*$C915+PM_Angle!$L$22*$B915</f>
      </c>
      <c r="AO915" s="12">
        <f>IF(AN915&gt;0,IF(AN915&lt;=eco,alpha*fck*(1-(1-AN915/eco)^n),alpha*fck),0)</f>
      </c>
      <c r="AP915" s="30">
        <f>PM_Angle!$J$23+PM_Angle!$K$23*$C915+PM_Angle!$L$23*$B915</f>
      </c>
      <c r="AQ915" s="12">
        <f>IF(AP915&gt;0,IF(AP915&lt;=eco,alpha*fck*(1-(1-AP915/eco)^n),alpha*fck),0)</f>
      </c>
      <c r="AR915" s="30">
        <f>PM_Angle!$J$24+PM_Angle!$K$24*$C915+PM_Angle!$L$24*$B915</f>
      </c>
      <c r="AS915" s="12">
        <f>IF(AR915&gt;0,IF(AR915&lt;=eco,alpha*fck*(1-(1-AR915/eco)^n),alpha*fck),0)</f>
      </c>
      <c r="AT915" s="30">
        <f>PM_Angle!$J$25+PM_Angle!$K$25*$C915+PM_Angle!$L$25*$B915</f>
      </c>
      <c r="AU915" s="12">
        <f>IF(AT915&gt;0,IF(AT915&lt;=eco,alpha*fck*(1-(1-AT915/eco)^n),alpha*fck),0)</f>
      </c>
    </row>
    <row r="916" spans="1:47" x14ac:dyDescent="0.25">
      <c r="A916">
        <f>Mesh!A913</f>
      </c>
      <c r="B916" s="12">
        <f>Mesh!B913</f>
      </c>
      <c r="C916" s="12">
        <f>Mesh!C913</f>
      </c>
      <c r="D916" s="12">
        <f>Mesh!D913</f>
      </c>
      <c r="E916" s="30">
        <f>INDEX(St_e0,Det+1)+INDEX(St_kx,Det+1)*C916+INDEX(St_ky,Det+1)*B916</f>
      </c>
      <c r="F916" s="12">
        <f>IF(E916&gt;0,IF(E916&lt;=eco,alpha*fck*(1-(1-E916/eco)^n),alpha*fck),0)</f>
      </c>
      <c r="G916" s="11">
        <f>F916*D916</f>
      </c>
      <c r="H916" s="11">
        <f>G916*C916</f>
      </c>
      <c r="I916" s="11">
        <f>G916*B916</f>
      </c>
      <c r="J916" s="30">
        <f>PM_Angle!$J$7+PM_Angle!$K$7*$C916+PM_Angle!$L$7*$B916</f>
      </c>
      <c r="K916" s="12">
        <f>IF(J916&gt;0,IF(J916&lt;=eco,alpha*fck*(1-(1-J916/eco)^n),alpha*fck),0)</f>
      </c>
      <c r="L916" s="30">
        <f>PM_Angle!$J$8+PM_Angle!$K$8*$C916+PM_Angle!$L$8*$B916</f>
      </c>
      <c r="M916" s="12">
        <f>IF(L916&gt;0,IF(L916&lt;=eco,alpha*fck*(1-(1-L916/eco)^n),alpha*fck),0)</f>
      </c>
      <c r="N916" s="30">
        <f>PM_Angle!$J$9+PM_Angle!$K$9*$C916+PM_Angle!$L$9*$B916</f>
      </c>
      <c r="O916" s="12">
        <f>IF(N916&gt;0,IF(N916&lt;=eco,alpha*fck*(1-(1-N916/eco)^n),alpha*fck),0)</f>
      </c>
      <c r="P916" s="30">
        <f>PM_Angle!$J$10+PM_Angle!$K$10*$C916+PM_Angle!$L$10*$B916</f>
      </c>
      <c r="Q916" s="12">
        <f>IF(P916&gt;0,IF(P916&lt;=eco,alpha*fck*(1-(1-P916/eco)^n),alpha*fck),0)</f>
      </c>
      <c r="R916" s="30">
        <f>PM_Angle!$J$11+PM_Angle!$K$11*$C916+PM_Angle!$L$11*$B916</f>
      </c>
      <c r="S916" s="12">
        <f>IF(R916&gt;0,IF(R916&lt;=eco,alpha*fck*(1-(1-R916/eco)^n),alpha*fck),0)</f>
      </c>
      <c r="T916" s="30">
        <f>PM_Angle!$J$12+PM_Angle!$K$12*$C916+PM_Angle!$L$12*$B916</f>
      </c>
      <c r="U916" s="12">
        <f>IF(T916&gt;0,IF(T916&lt;=eco,alpha*fck*(1-(1-T916/eco)^n),alpha*fck),0)</f>
      </c>
      <c r="V916" s="30">
        <f>PM_Angle!$J$13+PM_Angle!$K$13*$C916+PM_Angle!$L$13*$B916</f>
      </c>
      <c r="W916" s="12">
        <f>IF(V916&gt;0,IF(V916&lt;=eco,alpha*fck*(1-(1-V916/eco)^n),alpha*fck),0)</f>
      </c>
      <c r="X916" s="30">
        <f>PM_Angle!$J$14+PM_Angle!$K$14*$C916+PM_Angle!$L$14*$B916</f>
      </c>
      <c r="Y916" s="12">
        <f>IF(X916&gt;0,IF(X916&lt;=eco,alpha*fck*(1-(1-X916/eco)^n),alpha*fck),0)</f>
      </c>
      <c r="Z916" s="30">
        <f>PM_Angle!$J$15+PM_Angle!$K$15*$C916+PM_Angle!$L$15*$B916</f>
      </c>
      <c r="AA916" s="12">
        <f>IF(Z916&gt;0,IF(Z916&lt;=eco,alpha*fck*(1-(1-Z916/eco)^n),alpha*fck),0)</f>
      </c>
      <c r="AB916" s="30">
        <f>PM_Angle!$J$16+PM_Angle!$K$16*$C916+PM_Angle!$L$16*$B916</f>
      </c>
      <c r="AC916" s="12">
        <f>IF(AB916&gt;0,IF(AB916&lt;=eco,alpha*fck*(1-(1-AB916/eco)^n),alpha*fck),0)</f>
      </c>
      <c r="AD916" s="30">
        <f>PM_Angle!$J$17+PM_Angle!$K$17*$C916+PM_Angle!$L$17*$B916</f>
      </c>
      <c r="AE916" s="12">
        <f>IF(AD916&gt;0,IF(AD916&lt;=eco,alpha*fck*(1-(1-AD916/eco)^n),alpha*fck),0)</f>
      </c>
      <c r="AF916" s="30">
        <f>PM_Angle!$J$18+PM_Angle!$K$18*$C916+PM_Angle!$L$18*$B916</f>
      </c>
      <c r="AG916" s="12">
        <f>IF(AF916&gt;0,IF(AF916&lt;=eco,alpha*fck*(1-(1-AF916/eco)^n),alpha*fck),0)</f>
      </c>
      <c r="AH916" s="30">
        <f>PM_Angle!$J$19+PM_Angle!$K$19*$C916+PM_Angle!$L$19*$B916</f>
      </c>
      <c r="AI916" s="12">
        <f>IF(AH916&gt;0,IF(AH916&lt;=eco,alpha*fck*(1-(1-AH916/eco)^n),alpha*fck),0)</f>
      </c>
      <c r="AJ916" s="30">
        <f>PM_Angle!$J$20+PM_Angle!$K$20*$C916+PM_Angle!$L$20*$B916</f>
      </c>
      <c r="AK916" s="12">
        <f>IF(AJ916&gt;0,IF(AJ916&lt;=eco,alpha*fck*(1-(1-AJ916/eco)^n),alpha*fck),0)</f>
      </c>
      <c r="AL916" s="30">
        <f>PM_Angle!$J$21+PM_Angle!$K$21*$C916+PM_Angle!$L$21*$B916</f>
      </c>
      <c r="AM916" s="12">
        <f>IF(AL916&gt;0,IF(AL916&lt;=eco,alpha*fck*(1-(1-AL916/eco)^n),alpha*fck),0)</f>
      </c>
      <c r="AN916" s="30">
        <f>PM_Angle!$J$22+PM_Angle!$K$22*$C916+PM_Angle!$L$22*$B916</f>
      </c>
      <c r="AO916" s="12">
        <f>IF(AN916&gt;0,IF(AN916&lt;=eco,alpha*fck*(1-(1-AN916/eco)^n),alpha*fck),0)</f>
      </c>
      <c r="AP916" s="30">
        <f>PM_Angle!$J$23+PM_Angle!$K$23*$C916+PM_Angle!$L$23*$B916</f>
      </c>
      <c r="AQ916" s="12">
        <f>IF(AP916&gt;0,IF(AP916&lt;=eco,alpha*fck*(1-(1-AP916/eco)^n),alpha*fck),0)</f>
      </c>
      <c r="AR916" s="30">
        <f>PM_Angle!$J$24+PM_Angle!$K$24*$C916+PM_Angle!$L$24*$B916</f>
      </c>
      <c r="AS916" s="12">
        <f>IF(AR916&gt;0,IF(AR916&lt;=eco,alpha*fck*(1-(1-AR916/eco)^n),alpha*fck),0)</f>
      </c>
      <c r="AT916" s="30">
        <f>PM_Angle!$J$25+PM_Angle!$K$25*$C916+PM_Angle!$L$25*$B916</f>
      </c>
      <c r="AU916" s="12">
        <f>IF(AT916&gt;0,IF(AT916&lt;=eco,alpha*fck*(1-(1-AT916/eco)^n),alpha*fck),0)</f>
      </c>
    </row>
    <row r="917" spans="1:47" x14ac:dyDescent="0.25">
      <c r="A917">
        <f>Mesh!A914</f>
      </c>
      <c r="B917" s="12">
        <f>Mesh!B914</f>
      </c>
      <c r="C917" s="12">
        <f>Mesh!C914</f>
      </c>
      <c r="D917" s="12">
        <f>Mesh!D914</f>
      </c>
      <c r="E917" s="30">
        <f>INDEX(St_e0,Det+1)+INDEX(St_kx,Det+1)*C917+INDEX(St_ky,Det+1)*B917</f>
      </c>
      <c r="F917" s="12">
        <f>IF(E917&gt;0,IF(E917&lt;=eco,alpha*fck*(1-(1-E917/eco)^n),alpha*fck),0)</f>
      </c>
      <c r="G917" s="11">
        <f>F917*D917</f>
      </c>
      <c r="H917" s="11">
        <f>G917*C917</f>
      </c>
      <c r="I917" s="11">
        <f>G917*B917</f>
      </c>
      <c r="J917" s="30">
        <f>PM_Angle!$J$7+PM_Angle!$K$7*$C917+PM_Angle!$L$7*$B917</f>
      </c>
      <c r="K917" s="12">
        <f>IF(J917&gt;0,IF(J917&lt;=eco,alpha*fck*(1-(1-J917/eco)^n),alpha*fck),0)</f>
      </c>
      <c r="L917" s="30">
        <f>PM_Angle!$J$8+PM_Angle!$K$8*$C917+PM_Angle!$L$8*$B917</f>
      </c>
      <c r="M917" s="12">
        <f>IF(L917&gt;0,IF(L917&lt;=eco,alpha*fck*(1-(1-L917/eco)^n),alpha*fck),0)</f>
      </c>
      <c r="N917" s="30">
        <f>PM_Angle!$J$9+PM_Angle!$K$9*$C917+PM_Angle!$L$9*$B917</f>
      </c>
      <c r="O917" s="12">
        <f>IF(N917&gt;0,IF(N917&lt;=eco,alpha*fck*(1-(1-N917/eco)^n),alpha*fck),0)</f>
      </c>
      <c r="P917" s="30">
        <f>PM_Angle!$J$10+PM_Angle!$K$10*$C917+PM_Angle!$L$10*$B917</f>
      </c>
      <c r="Q917" s="12">
        <f>IF(P917&gt;0,IF(P917&lt;=eco,alpha*fck*(1-(1-P917/eco)^n),alpha*fck),0)</f>
      </c>
      <c r="R917" s="30">
        <f>PM_Angle!$J$11+PM_Angle!$K$11*$C917+PM_Angle!$L$11*$B917</f>
      </c>
      <c r="S917" s="12">
        <f>IF(R917&gt;0,IF(R917&lt;=eco,alpha*fck*(1-(1-R917/eco)^n),alpha*fck),0)</f>
      </c>
      <c r="T917" s="30">
        <f>PM_Angle!$J$12+PM_Angle!$K$12*$C917+PM_Angle!$L$12*$B917</f>
      </c>
      <c r="U917" s="12">
        <f>IF(T917&gt;0,IF(T917&lt;=eco,alpha*fck*(1-(1-T917/eco)^n),alpha*fck),0)</f>
      </c>
      <c r="V917" s="30">
        <f>PM_Angle!$J$13+PM_Angle!$K$13*$C917+PM_Angle!$L$13*$B917</f>
      </c>
      <c r="W917" s="12">
        <f>IF(V917&gt;0,IF(V917&lt;=eco,alpha*fck*(1-(1-V917/eco)^n),alpha*fck),0)</f>
      </c>
      <c r="X917" s="30">
        <f>PM_Angle!$J$14+PM_Angle!$K$14*$C917+PM_Angle!$L$14*$B917</f>
      </c>
      <c r="Y917" s="12">
        <f>IF(X917&gt;0,IF(X917&lt;=eco,alpha*fck*(1-(1-X917/eco)^n),alpha*fck),0)</f>
      </c>
      <c r="Z917" s="30">
        <f>PM_Angle!$J$15+PM_Angle!$K$15*$C917+PM_Angle!$L$15*$B917</f>
      </c>
      <c r="AA917" s="12">
        <f>IF(Z917&gt;0,IF(Z917&lt;=eco,alpha*fck*(1-(1-Z917/eco)^n),alpha*fck),0)</f>
      </c>
      <c r="AB917" s="30">
        <f>PM_Angle!$J$16+PM_Angle!$K$16*$C917+PM_Angle!$L$16*$B917</f>
      </c>
      <c r="AC917" s="12">
        <f>IF(AB917&gt;0,IF(AB917&lt;=eco,alpha*fck*(1-(1-AB917/eco)^n),alpha*fck),0)</f>
      </c>
      <c r="AD917" s="30">
        <f>PM_Angle!$J$17+PM_Angle!$K$17*$C917+PM_Angle!$L$17*$B917</f>
      </c>
      <c r="AE917" s="12">
        <f>IF(AD917&gt;0,IF(AD917&lt;=eco,alpha*fck*(1-(1-AD917/eco)^n),alpha*fck),0)</f>
      </c>
      <c r="AF917" s="30">
        <f>PM_Angle!$J$18+PM_Angle!$K$18*$C917+PM_Angle!$L$18*$B917</f>
      </c>
      <c r="AG917" s="12">
        <f>IF(AF917&gt;0,IF(AF917&lt;=eco,alpha*fck*(1-(1-AF917/eco)^n),alpha*fck),0)</f>
      </c>
      <c r="AH917" s="30">
        <f>PM_Angle!$J$19+PM_Angle!$K$19*$C917+PM_Angle!$L$19*$B917</f>
      </c>
      <c r="AI917" s="12">
        <f>IF(AH917&gt;0,IF(AH917&lt;=eco,alpha*fck*(1-(1-AH917/eco)^n),alpha*fck),0)</f>
      </c>
      <c r="AJ917" s="30">
        <f>PM_Angle!$J$20+PM_Angle!$K$20*$C917+PM_Angle!$L$20*$B917</f>
      </c>
      <c r="AK917" s="12">
        <f>IF(AJ917&gt;0,IF(AJ917&lt;=eco,alpha*fck*(1-(1-AJ917/eco)^n),alpha*fck),0)</f>
      </c>
      <c r="AL917" s="30">
        <f>PM_Angle!$J$21+PM_Angle!$K$21*$C917+PM_Angle!$L$21*$B917</f>
      </c>
      <c r="AM917" s="12">
        <f>IF(AL917&gt;0,IF(AL917&lt;=eco,alpha*fck*(1-(1-AL917/eco)^n),alpha*fck),0)</f>
      </c>
      <c r="AN917" s="30">
        <f>PM_Angle!$J$22+PM_Angle!$K$22*$C917+PM_Angle!$L$22*$B917</f>
      </c>
      <c r="AO917" s="12">
        <f>IF(AN917&gt;0,IF(AN917&lt;=eco,alpha*fck*(1-(1-AN917/eco)^n),alpha*fck),0)</f>
      </c>
      <c r="AP917" s="30">
        <f>PM_Angle!$J$23+PM_Angle!$K$23*$C917+PM_Angle!$L$23*$B917</f>
      </c>
      <c r="AQ917" s="12">
        <f>IF(AP917&gt;0,IF(AP917&lt;=eco,alpha*fck*(1-(1-AP917/eco)^n),alpha*fck),0)</f>
      </c>
      <c r="AR917" s="30">
        <f>PM_Angle!$J$24+PM_Angle!$K$24*$C917+PM_Angle!$L$24*$B917</f>
      </c>
      <c r="AS917" s="12">
        <f>IF(AR917&gt;0,IF(AR917&lt;=eco,alpha*fck*(1-(1-AR917/eco)^n),alpha*fck),0)</f>
      </c>
      <c r="AT917" s="30">
        <f>PM_Angle!$J$25+PM_Angle!$K$25*$C917+PM_Angle!$L$25*$B917</f>
      </c>
      <c r="AU917" s="12">
        <f>IF(AT917&gt;0,IF(AT917&lt;=eco,alpha*fck*(1-(1-AT917/eco)^n),alpha*fck),0)</f>
      </c>
    </row>
    <row r="918" spans="1:47" x14ac:dyDescent="0.25">
      <c r="A918">
        <f>Mesh!A915</f>
      </c>
      <c r="B918" s="12">
        <f>Mesh!B915</f>
      </c>
      <c r="C918" s="12">
        <f>Mesh!C915</f>
      </c>
      <c r="D918" s="12">
        <f>Mesh!D915</f>
      </c>
      <c r="E918" s="30">
        <f>INDEX(St_e0,Det+1)+INDEX(St_kx,Det+1)*C918+INDEX(St_ky,Det+1)*B918</f>
      </c>
      <c r="F918" s="12">
        <f>IF(E918&gt;0,IF(E918&lt;=eco,alpha*fck*(1-(1-E918/eco)^n),alpha*fck),0)</f>
      </c>
      <c r="G918" s="11">
        <f>F918*D918</f>
      </c>
      <c r="H918" s="11">
        <f>G918*C918</f>
      </c>
      <c r="I918" s="11">
        <f>G918*B918</f>
      </c>
      <c r="J918" s="30">
        <f>PM_Angle!$J$7+PM_Angle!$K$7*$C918+PM_Angle!$L$7*$B918</f>
      </c>
      <c r="K918" s="12">
        <f>IF(J918&gt;0,IF(J918&lt;=eco,alpha*fck*(1-(1-J918/eco)^n),alpha*fck),0)</f>
      </c>
      <c r="L918" s="30">
        <f>PM_Angle!$J$8+PM_Angle!$K$8*$C918+PM_Angle!$L$8*$B918</f>
      </c>
      <c r="M918" s="12">
        <f>IF(L918&gt;0,IF(L918&lt;=eco,alpha*fck*(1-(1-L918/eco)^n),alpha*fck),0)</f>
      </c>
      <c r="N918" s="30">
        <f>PM_Angle!$J$9+PM_Angle!$K$9*$C918+PM_Angle!$L$9*$B918</f>
      </c>
      <c r="O918" s="12">
        <f>IF(N918&gt;0,IF(N918&lt;=eco,alpha*fck*(1-(1-N918/eco)^n),alpha*fck),0)</f>
      </c>
      <c r="P918" s="30">
        <f>PM_Angle!$J$10+PM_Angle!$K$10*$C918+PM_Angle!$L$10*$B918</f>
      </c>
      <c r="Q918" s="12">
        <f>IF(P918&gt;0,IF(P918&lt;=eco,alpha*fck*(1-(1-P918/eco)^n),alpha*fck),0)</f>
      </c>
      <c r="R918" s="30">
        <f>PM_Angle!$J$11+PM_Angle!$K$11*$C918+PM_Angle!$L$11*$B918</f>
      </c>
      <c r="S918" s="12">
        <f>IF(R918&gt;0,IF(R918&lt;=eco,alpha*fck*(1-(1-R918/eco)^n),alpha*fck),0)</f>
      </c>
      <c r="T918" s="30">
        <f>PM_Angle!$J$12+PM_Angle!$K$12*$C918+PM_Angle!$L$12*$B918</f>
      </c>
      <c r="U918" s="12">
        <f>IF(T918&gt;0,IF(T918&lt;=eco,alpha*fck*(1-(1-T918/eco)^n),alpha*fck),0)</f>
      </c>
      <c r="V918" s="30">
        <f>PM_Angle!$J$13+PM_Angle!$K$13*$C918+PM_Angle!$L$13*$B918</f>
      </c>
      <c r="W918" s="12">
        <f>IF(V918&gt;0,IF(V918&lt;=eco,alpha*fck*(1-(1-V918/eco)^n),alpha*fck),0)</f>
      </c>
      <c r="X918" s="30">
        <f>PM_Angle!$J$14+PM_Angle!$K$14*$C918+PM_Angle!$L$14*$B918</f>
      </c>
      <c r="Y918" s="12">
        <f>IF(X918&gt;0,IF(X918&lt;=eco,alpha*fck*(1-(1-X918/eco)^n),alpha*fck),0)</f>
      </c>
      <c r="Z918" s="30">
        <f>PM_Angle!$J$15+PM_Angle!$K$15*$C918+PM_Angle!$L$15*$B918</f>
      </c>
      <c r="AA918" s="12">
        <f>IF(Z918&gt;0,IF(Z918&lt;=eco,alpha*fck*(1-(1-Z918/eco)^n),alpha*fck),0)</f>
      </c>
      <c r="AB918" s="30">
        <f>PM_Angle!$J$16+PM_Angle!$K$16*$C918+PM_Angle!$L$16*$B918</f>
      </c>
      <c r="AC918" s="12">
        <f>IF(AB918&gt;0,IF(AB918&lt;=eco,alpha*fck*(1-(1-AB918/eco)^n),alpha*fck),0)</f>
      </c>
      <c r="AD918" s="30">
        <f>PM_Angle!$J$17+PM_Angle!$K$17*$C918+PM_Angle!$L$17*$B918</f>
      </c>
      <c r="AE918" s="12">
        <f>IF(AD918&gt;0,IF(AD918&lt;=eco,alpha*fck*(1-(1-AD918/eco)^n),alpha*fck),0)</f>
      </c>
      <c r="AF918" s="30">
        <f>PM_Angle!$J$18+PM_Angle!$K$18*$C918+PM_Angle!$L$18*$B918</f>
      </c>
      <c r="AG918" s="12">
        <f>IF(AF918&gt;0,IF(AF918&lt;=eco,alpha*fck*(1-(1-AF918/eco)^n),alpha*fck),0)</f>
      </c>
      <c r="AH918" s="30">
        <f>PM_Angle!$J$19+PM_Angle!$K$19*$C918+PM_Angle!$L$19*$B918</f>
      </c>
      <c r="AI918" s="12">
        <f>IF(AH918&gt;0,IF(AH918&lt;=eco,alpha*fck*(1-(1-AH918/eco)^n),alpha*fck),0)</f>
      </c>
      <c r="AJ918" s="30">
        <f>PM_Angle!$J$20+PM_Angle!$K$20*$C918+PM_Angle!$L$20*$B918</f>
      </c>
      <c r="AK918" s="12">
        <f>IF(AJ918&gt;0,IF(AJ918&lt;=eco,alpha*fck*(1-(1-AJ918/eco)^n),alpha*fck),0)</f>
      </c>
      <c r="AL918" s="30">
        <f>PM_Angle!$J$21+PM_Angle!$K$21*$C918+PM_Angle!$L$21*$B918</f>
      </c>
      <c r="AM918" s="12">
        <f>IF(AL918&gt;0,IF(AL918&lt;=eco,alpha*fck*(1-(1-AL918/eco)^n),alpha*fck),0)</f>
      </c>
      <c r="AN918" s="30">
        <f>PM_Angle!$J$22+PM_Angle!$K$22*$C918+PM_Angle!$L$22*$B918</f>
      </c>
      <c r="AO918" s="12">
        <f>IF(AN918&gt;0,IF(AN918&lt;=eco,alpha*fck*(1-(1-AN918/eco)^n),alpha*fck),0)</f>
      </c>
      <c r="AP918" s="30">
        <f>PM_Angle!$J$23+PM_Angle!$K$23*$C918+PM_Angle!$L$23*$B918</f>
      </c>
      <c r="AQ918" s="12">
        <f>IF(AP918&gt;0,IF(AP918&lt;=eco,alpha*fck*(1-(1-AP918/eco)^n),alpha*fck),0)</f>
      </c>
      <c r="AR918" s="30">
        <f>PM_Angle!$J$24+PM_Angle!$K$24*$C918+PM_Angle!$L$24*$B918</f>
      </c>
      <c r="AS918" s="12">
        <f>IF(AR918&gt;0,IF(AR918&lt;=eco,alpha*fck*(1-(1-AR918/eco)^n),alpha*fck),0)</f>
      </c>
      <c r="AT918" s="30">
        <f>PM_Angle!$J$25+PM_Angle!$K$25*$C918+PM_Angle!$L$25*$B918</f>
      </c>
      <c r="AU918" s="12">
        <f>IF(AT918&gt;0,IF(AT918&lt;=eco,alpha*fck*(1-(1-AT918/eco)^n),alpha*fck),0)</f>
      </c>
    </row>
    <row r="919" spans="1:47" x14ac:dyDescent="0.25">
      <c r="A919">
        <f>Mesh!A916</f>
      </c>
      <c r="B919" s="12">
        <f>Mesh!B916</f>
      </c>
      <c r="C919" s="12">
        <f>Mesh!C916</f>
      </c>
      <c r="D919" s="12">
        <f>Mesh!D916</f>
      </c>
      <c r="E919" s="30">
        <f>INDEX(St_e0,Det+1)+INDEX(St_kx,Det+1)*C919+INDEX(St_ky,Det+1)*B919</f>
      </c>
      <c r="F919" s="12">
        <f>IF(E919&gt;0,IF(E919&lt;=eco,alpha*fck*(1-(1-E919/eco)^n),alpha*fck),0)</f>
      </c>
      <c r="G919" s="11">
        <f>F919*D919</f>
      </c>
      <c r="H919" s="11">
        <f>G919*C919</f>
      </c>
      <c r="I919" s="11">
        <f>G919*B919</f>
      </c>
      <c r="J919" s="30">
        <f>PM_Angle!$J$7+PM_Angle!$K$7*$C919+PM_Angle!$L$7*$B919</f>
      </c>
      <c r="K919" s="12">
        <f>IF(J919&gt;0,IF(J919&lt;=eco,alpha*fck*(1-(1-J919/eco)^n),alpha*fck),0)</f>
      </c>
      <c r="L919" s="30">
        <f>PM_Angle!$J$8+PM_Angle!$K$8*$C919+PM_Angle!$L$8*$B919</f>
      </c>
      <c r="M919" s="12">
        <f>IF(L919&gt;0,IF(L919&lt;=eco,alpha*fck*(1-(1-L919/eco)^n),alpha*fck),0)</f>
      </c>
      <c r="N919" s="30">
        <f>PM_Angle!$J$9+PM_Angle!$K$9*$C919+PM_Angle!$L$9*$B919</f>
      </c>
      <c r="O919" s="12">
        <f>IF(N919&gt;0,IF(N919&lt;=eco,alpha*fck*(1-(1-N919/eco)^n),alpha*fck),0)</f>
      </c>
      <c r="P919" s="30">
        <f>PM_Angle!$J$10+PM_Angle!$K$10*$C919+PM_Angle!$L$10*$B919</f>
      </c>
      <c r="Q919" s="12">
        <f>IF(P919&gt;0,IF(P919&lt;=eco,alpha*fck*(1-(1-P919/eco)^n),alpha*fck),0)</f>
      </c>
      <c r="R919" s="30">
        <f>PM_Angle!$J$11+PM_Angle!$K$11*$C919+PM_Angle!$L$11*$B919</f>
      </c>
      <c r="S919" s="12">
        <f>IF(R919&gt;0,IF(R919&lt;=eco,alpha*fck*(1-(1-R919/eco)^n),alpha*fck),0)</f>
      </c>
      <c r="T919" s="30">
        <f>PM_Angle!$J$12+PM_Angle!$K$12*$C919+PM_Angle!$L$12*$B919</f>
      </c>
      <c r="U919" s="12">
        <f>IF(T919&gt;0,IF(T919&lt;=eco,alpha*fck*(1-(1-T919/eco)^n),alpha*fck),0)</f>
      </c>
      <c r="V919" s="30">
        <f>PM_Angle!$J$13+PM_Angle!$K$13*$C919+PM_Angle!$L$13*$B919</f>
      </c>
      <c r="W919" s="12">
        <f>IF(V919&gt;0,IF(V919&lt;=eco,alpha*fck*(1-(1-V919/eco)^n),alpha*fck),0)</f>
      </c>
      <c r="X919" s="30">
        <f>PM_Angle!$J$14+PM_Angle!$K$14*$C919+PM_Angle!$L$14*$B919</f>
      </c>
      <c r="Y919" s="12">
        <f>IF(X919&gt;0,IF(X919&lt;=eco,alpha*fck*(1-(1-X919/eco)^n),alpha*fck),0)</f>
      </c>
      <c r="Z919" s="30">
        <f>PM_Angle!$J$15+PM_Angle!$K$15*$C919+PM_Angle!$L$15*$B919</f>
      </c>
      <c r="AA919" s="12">
        <f>IF(Z919&gt;0,IF(Z919&lt;=eco,alpha*fck*(1-(1-Z919/eco)^n),alpha*fck),0)</f>
      </c>
      <c r="AB919" s="30">
        <f>PM_Angle!$J$16+PM_Angle!$K$16*$C919+PM_Angle!$L$16*$B919</f>
      </c>
      <c r="AC919" s="12">
        <f>IF(AB919&gt;0,IF(AB919&lt;=eco,alpha*fck*(1-(1-AB919/eco)^n),alpha*fck),0)</f>
      </c>
      <c r="AD919" s="30">
        <f>PM_Angle!$J$17+PM_Angle!$K$17*$C919+PM_Angle!$L$17*$B919</f>
      </c>
      <c r="AE919" s="12">
        <f>IF(AD919&gt;0,IF(AD919&lt;=eco,alpha*fck*(1-(1-AD919/eco)^n),alpha*fck),0)</f>
      </c>
      <c r="AF919" s="30">
        <f>PM_Angle!$J$18+PM_Angle!$K$18*$C919+PM_Angle!$L$18*$B919</f>
      </c>
      <c r="AG919" s="12">
        <f>IF(AF919&gt;0,IF(AF919&lt;=eco,alpha*fck*(1-(1-AF919/eco)^n),alpha*fck),0)</f>
      </c>
      <c r="AH919" s="30">
        <f>PM_Angle!$J$19+PM_Angle!$K$19*$C919+PM_Angle!$L$19*$B919</f>
      </c>
      <c r="AI919" s="12">
        <f>IF(AH919&gt;0,IF(AH919&lt;=eco,alpha*fck*(1-(1-AH919/eco)^n),alpha*fck),0)</f>
      </c>
      <c r="AJ919" s="30">
        <f>PM_Angle!$J$20+PM_Angle!$K$20*$C919+PM_Angle!$L$20*$B919</f>
      </c>
      <c r="AK919" s="12">
        <f>IF(AJ919&gt;0,IF(AJ919&lt;=eco,alpha*fck*(1-(1-AJ919/eco)^n),alpha*fck),0)</f>
      </c>
      <c r="AL919" s="30">
        <f>PM_Angle!$J$21+PM_Angle!$K$21*$C919+PM_Angle!$L$21*$B919</f>
      </c>
      <c r="AM919" s="12">
        <f>IF(AL919&gt;0,IF(AL919&lt;=eco,alpha*fck*(1-(1-AL919/eco)^n),alpha*fck),0)</f>
      </c>
      <c r="AN919" s="30">
        <f>PM_Angle!$J$22+PM_Angle!$K$22*$C919+PM_Angle!$L$22*$B919</f>
      </c>
      <c r="AO919" s="12">
        <f>IF(AN919&gt;0,IF(AN919&lt;=eco,alpha*fck*(1-(1-AN919/eco)^n),alpha*fck),0)</f>
      </c>
      <c r="AP919" s="30">
        <f>PM_Angle!$J$23+PM_Angle!$K$23*$C919+PM_Angle!$L$23*$B919</f>
      </c>
      <c r="AQ919" s="12">
        <f>IF(AP919&gt;0,IF(AP919&lt;=eco,alpha*fck*(1-(1-AP919/eco)^n),alpha*fck),0)</f>
      </c>
      <c r="AR919" s="30">
        <f>PM_Angle!$J$24+PM_Angle!$K$24*$C919+PM_Angle!$L$24*$B919</f>
      </c>
      <c r="AS919" s="12">
        <f>IF(AR919&gt;0,IF(AR919&lt;=eco,alpha*fck*(1-(1-AR919/eco)^n),alpha*fck),0)</f>
      </c>
      <c r="AT919" s="30">
        <f>PM_Angle!$J$25+PM_Angle!$K$25*$C919+PM_Angle!$L$25*$B919</f>
      </c>
      <c r="AU919" s="12">
        <f>IF(AT919&gt;0,IF(AT919&lt;=eco,alpha*fck*(1-(1-AT919/eco)^n),alpha*fck),0)</f>
      </c>
    </row>
    <row r="920" spans="1:47" x14ac:dyDescent="0.25">
      <c r="A920">
        <f>Mesh!A917</f>
      </c>
      <c r="B920" s="12">
        <f>Mesh!B917</f>
      </c>
      <c r="C920" s="12">
        <f>Mesh!C917</f>
      </c>
      <c r="D920" s="12">
        <f>Mesh!D917</f>
      </c>
      <c r="E920" s="30">
        <f>INDEX(St_e0,Det+1)+INDEX(St_kx,Det+1)*C920+INDEX(St_ky,Det+1)*B920</f>
      </c>
      <c r="F920" s="12">
        <f>IF(E920&gt;0,IF(E920&lt;=eco,alpha*fck*(1-(1-E920/eco)^n),alpha*fck),0)</f>
      </c>
      <c r="G920" s="11">
        <f>F920*D920</f>
      </c>
      <c r="H920" s="11">
        <f>G920*C920</f>
      </c>
      <c r="I920" s="11">
        <f>G920*B920</f>
      </c>
      <c r="J920" s="30">
        <f>PM_Angle!$J$7+PM_Angle!$K$7*$C920+PM_Angle!$L$7*$B920</f>
      </c>
      <c r="K920" s="12">
        <f>IF(J920&gt;0,IF(J920&lt;=eco,alpha*fck*(1-(1-J920/eco)^n),alpha*fck),0)</f>
      </c>
      <c r="L920" s="30">
        <f>PM_Angle!$J$8+PM_Angle!$K$8*$C920+PM_Angle!$L$8*$B920</f>
      </c>
      <c r="M920" s="12">
        <f>IF(L920&gt;0,IF(L920&lt;=eco,alpha*fck*(1-(1-L920/eco)^n),alpha*fck),0)</f>
      </c>
      <c r="N920" s="30">
        <f>PM_Angle!$J$9+PM_Angle!$K$9*$C920+PM_Angle!$L$9*$B920</f>
      </c>
      <c r="O920" s="12">
        <f>IF(N920&gt;0,IF(N920&lt;=eco,alpha*fck*(1-(1-N920/eco)^n),alpha*fck),0)</f>
      </c>
      <c r="P920" s="30">
        <f>PM_Angle!$J$10+PM_Angle!$K$10*$C920+PM_Angle!$L$10*$B920</f>
      </c>
      <c r="Q920" s="12">
        <f>IF(P920&gt;0,IF(P920&lt;=eco,alpha*fck*(1-(1-P920/eco)^n),alpha*fck),0)</f>
      </c>
      <c r="R920" s="30">
        <f>PM_Angle!$J$11+PM_Angle!$K$11*$C920+PM_Angle!$L$11*$B920</f>
      </c>
      <c r="S920" s="12">
        <f>IF(R920&gt;0,IF(R920&lt;=eco,alpha*fck*(1-(1-R920/eco)^n),alpha*fck),0)</f>
      </c>
      <c r="T920" s="30">
        <f>PM_Angle!$J$12+PM_Angle!$K$12*$C920+PM_Angle!$L$12*$B920</f>
      </c>
      <c r="U920" s="12">
        <f>IF(T920&gt;0,IF(T920&lt;=eco,alpha*fck*(1-(1-T920/eco)^n),alpha*fck),0)</f>
      </c>
      <c r="V920" s="30">
        <f>PM_Angle!$J$13+PM_Angle!$K$13*$C920+PM_Angle!$L$13*$B920</f>
      </c>
      <c r="W920" s="12">
        <f>IF(V920&gt;0,IF(V920&lt;=eco,alpha*fck*(1-(1-V920/eco)^n),alpha*fck),0)</f>
      </c>
      <c r="X920" s="30">
        <f>PM_Angle!$J$14+PM_Angle!$K$14*$C920+PM_Angle!$L$14*$B920</f>
      </c>
      <c r="Y920" s="12">
        <f>IF(X920&gt;0,IF(X920&lt;=eco,alpha*fck*(1-(1-X920/eco)^n),alpha*fck),0)</f>
      </c>
      <c r="Z920" s="30">
        <f>PM_Angle!$J$15+PM_Angle!$K$15*$C920+PM_Angle!$L$15*$B920</f>
      </c>
      <c r="AA920" s="12">
        <f>IF(Z920&gt;0,IF(Z920&lt;=eco,alpha*fck*(1-(1-Z920/eco)^n),alpha*fck),0)</f>
      </c>
      <c r="AB920" s="30">
        <f>PM_Angle!$J$16+PM_Angle!$K$16*$C920+PM_Angle!$L$16*$B920</f>
      </c>
      <c r="AC920" s="12">
        <f>IF(AB920&gt;0,IF(AB920&lt;=eco,alpha*fck*(1-(1-AB920/eco)^n),alpha*fck),0)</f>
      </c>
      <c r="AD920" s="30">
        <f>PM_Angle!$J$17+PM_Angle!$K$17*$C920+PM_Angle!$L$17*$B920</f>
      </c>
      <c r="AE920" s="12">
        <f>IF(AD920&gt;0,IF(AD920&lt;=eco,alpha*fck*(1-(1-AD920/eco)^n),alpha*fck),0)</f>
      </c>
      <c r="AF920" s="30">
        <f>PM_Angle!$J$18+PM_Angle!$K$18*$C920+PM_Angle!$L$18*$B920</f>
      </c>
      <c r="AG920" s="12">
        <f>IF(AF920&gt;0,IF(AF920&lt;=eco,alpha*fck*(1-(1-AF920/eco)^n),alpha*fck),0)</f>
      </c>
      <c r="AH920" s="30">
        <f>PM_Angle!$J$19+PM_Angle!$K$19*$C920+PM_Angle!$L$19*$B920</f>
      </c>
      <c r="AI920" s="12">
        <f>IF(AH920&gt;0,IF(AH920&lt;=eco,alpha*fck*(1-(1-AH920/eco)^n),alpha*fck),0)</f>
      </c>
      <c r="AJ920" s="30">
        <f>PM_Angle!$J$20+PM_Angle!$K$20*$C920+PM_Angle!$L$20*$B920</f>
      </c>
      <c r="AK920" s="12">
        <f>IF(AJ920&gt;0,IF(AJ920&lt;=eco,alpha*fck*(1-(1-AJ920/eco)^n),alpha*fck),0)</f>
      </c>
      <c r="AL920" s="30">
        <f>PM_Angle!$J$21+PM_Angle!$K$21*$C920+PM_Angle!$L$21*$B920</f>
      </c>
      <c r="AM920" s="12">
        <f>IF(AL920&gt;0,IF(AL920&lt;=eco,alpha*fck*(1-(1-AL920/eco)^n),alpha*fck),0)</f>
      </c>
      <c r="AN920" s="30">
        <f>PM_Angle!$J$22+PM_Angle!$K$22*$C920+PM_Angle!$L$22*$B920</f>
      </c>
      <c r="AO920" s="12">
        <f>IF(AN920&gt;0,IF(AN920&lt;=eco,alpha*fck*(1-(1-AN920/eco)^n),alpha*fck),0)</f>
      </c>
      <c r="AP920" s="30">
        <f>PM_Angle!$J$23+PM_Angle!$K$23*$C920+PM_Angle!$L$23*$B920</f>
      </c>
      <c r="AQ920" s="12">
        <f>IF(AP920&gt;0,IF(AP920&lt;=eco,alpha*fck*(1-(1-AP920/eco)^n),alpha*fck),0)</f>
      </c>
      <c r="AR920" s="30">
        <f>PM_Angle!$J$24+PM_Angle!$K$24*$C920+PM_Angle!$L$24*$B920</f>
      </c>
      <c r="AS920" s="12">
        <f>IF(AR920&gt;0,IF(AR920&lt;=eco,alpha*fck*(1-(1-AR920/eco)^n),alpha*fck),0)</f>
      </c>
      <c r="AT920" s="30">
        <f>PM_Angle!$J$25+PM_Angle!$K$25*$C920+PM_Angle!$L$25*$B920</f>
      </c>
      <c r="AU920" s="12">
        <f>IF(AT920&gt;0,IF(AT920&lt;=eco,alpha*fck*(1-(1-AT920/eco)^n),alpha*fck),0)</f>
      </c>
    </row>
    <row r="921" spans="1:47" x14ac:dyDescent="0.25">
      <c r="A921">
        <f>Mesh!A918</f>
      </c>
      <c r="B921" s="12">
        <f>Mesh!B918</f>
      </c>
      <c r="C921" s="12">
        <f>Mesh!C918</f>
      </c>
      <c r="D921" s="12">
        <f>Mesh!D918</f>
      </c>
      <c r="E921" s="30">
        <f>INDEX(St_e0,Det+1)+INDEX(St_kx,Det+1)*C921+INDEX(St_ky,Det+1)*B921</f>
      </c>
      <c r="F921" s="12">
        <f>IF(E921&gt;0,IF(E921&lt;=eco,alpha*fck*(1-(1-E921/eco)^n),alpha*fck),0)</f>
      </c>
      <c r="G921" s="11">
        <f>F921*D921</f>
      </c>
      <c r="H921" s="11">
        <f>G921*C921</f>
      </c>
      <c r="I921" s="11">
        <f>G921*B921</f>
      </c>
      <c r="J921" s="30">
        <f>PM_Angle!$J$7+PM_Angle!$K$7*$C921+PM_Angle!$L$7*$B921</f>
      </c>
      <c r="K921" s="12">
        <f>IF(J921&gt;0,IF(J921&lt;=eco,alpha*fck*(1-(1-J921/eco)^n),alpha*fck),0)</f>
      </c>
      <c r="L921" s="30">
        <f>PM_Angle!$J$8+PM_Angle!$K$8*$C921+PM_Angle!$L$8*$B921</f>
      </c>
      <c r="M921" s="12">
        <f>IF(L921&gt;0,IF(L921&lt;=eco,alpha*fck*(1-(1-L921/eco)^n),alpha*fck),0)</f>
      </c>
      <c r="N921" s="30">
        <f>PM_Angle!$J$9+PM_Angle!$K$9*$C921+PM_Angle!$L$9*$B921</f>
      </c>
      <c r="O921" s="12">
        <f>IF(N921&gt;0,IF(N921&lt;=eco,alpha*fck*(1-(1-N921/eco)^n),alpha*fck),0)</f>
      </c>
      <c r="P921" s="30">
        <f>PM_Angle!$J$10+PM_Angle!$K$10*$C921+PM_Angle!$L$10*$B921</f>
      </c>
      <c r="Q921" s="12">
        <f>IF(P921&gt;0,IF(P921&lt;=eco,alpha*fck*(1-(1-P921/eco)^n),alpha*fck),0)</f>
      </c>
      <c r="R921" s="30">
        <f>PM_Angle!$J$11+PM_Angle!$K$11*$C921+PM_Angle!$L$11*$B921</f>
      </c>
      <c r="S921" s="12">
        <f>IF(R921&gt;0,IF(R921&lt;=eco,alpha*fck*(1-(1-R921/eco)^n),alpha*fck),0)</f>
      </c>
      <c r="T921" s="30">
        <f>PM_Angle!$J$12+PM_Angle!$K$12*$C921+PM_Angle!$L$12*$B921</f>
      </c>
      <c r="U921" s="12">
        <f>IF(T921&gt;0,IF(T921&lt;=eco,alpha*fck*(1-(1-T921/eco)^n),alpha*fck),0)</f>
      </c>
      <c r="V921" s="30">
        <f>PM_Angle!$J$13+PM_Angle!$K$13*$C921+PM_Angle!$L$13*$B921</f>
      </c>
      <c r="W921" s="12">
        <f>IF(V921&gt;0,IF(V921&lt;=eco,alpha*fck*(1-(1-V921/eco)^n),alpha*fck),0)</f>
      </c>
      <c r="X921" s="30">
        <f>PM_Angle!$J$14+PM_Angle!$K$14*$C921+PM_Angle!$L$14*$B921</f>
      </c>
      <c r="Y921" s="12">
        <f>IF(X921&gt;0,IF(X921&lt;=eco,alpha*fck*(1-(1-X921/eco)^n),alpha*fck),0)</f>
      </c>
      <c r="Z921" s="30">
        <f>PM_Angle!$J$15+PM_Angle!$K$15*$C921+PM_Angle!$L$15*$B921</f>
      </c>
      <c r="AA921" s="12">
        <f>IF(Z921&gt;0,IF(Z921&lt;=eco,alpha*fck*(1-(1-Z921/eco)^n),alpha*fck),0)</f>
      </c>
      <c r="AB921" s="30">
        <f>PM_Angle!$J$16+PM_Angle!$K$16*$C921+PM_Angle!$L$16*$B921</f>
      </c>
      <c r="AC921" s="12">
        <f>IF(AB921&gt;0,IF(AB921&lt;=eco,alpha*fck*(1-(1-AB921/eco)^n),alpha*fck),0)</f>
      </c>
      <c r="AD921" s="30">
        <f>PM_Angle!$J$17+PM_Angle!$K$17*$C921+PM_Angle!$L$17*$B921</f>
      </c>
      <c r="AE921" s="12">
        <f>IF(AD921&gt;0,IF(AD921&lt;=eco,alpha*fck*(1-(1-AD921/eco)^n),alpha*fck),0)</f>
      </c>
      <c r="AF921" s="30">
        <f>PM_Angle!$J$18+PM_Angle!$K$18*$C921+PM_Angle!$L$18*$B921</f>
      </c>
      <c r="AG921" s="12">
        <f>IF(AF921&gt;0,IF(AF921&lt;=eco,alpha*fck*(1-(1-AF921/eco)^n),alpha*fck),0)</f>
      </c>
      <c r="AH921" s="30">
        <f>PM_Angle!$J$19+PM_Angle!$K$19*$C921+PM_Angle!$L$19*$B921</f>
      </c>
      <c r="AI921" s="12">
        <f>IF(AH921&gt;0,IF(AH921&lt;=eco,alpha*fck*(1-(1-AH921/eco)^n),alpha*fck),0)</f>
      </c>
      <c r="AJ921" s="30">
        <f>PM_Angle!$J$20+PM_Angle!$K$20*$C921+PM_Angle!$L$20*$B921</f>
      </c>
      <c r="AK921" s="12">
        <f>IF(AJ921&gt;0,IF(AJ921&lt;=eco,alpha*fck*(1-(1-AJ921/eco)^n),alpha*fck),0)</f>
      </c>
      <c r="AL921" s="30">
        <f>PM_Angle!$J$21+PM_Angle!$K$21*$C921+PM_Angle!$L$21*$B921</f>
      </c>
      <c r="AM921" s="12">
        <f>IF(AL921&gt;0,IF(AL921&lt;=eco,alpha*fck*(1-(1-AL921/eco)^n),alpha*fck),0)</f>
      </c>
      <c r="AN921" s="30">
        <f>PM_Angle!$J$22+PM_Angle!$K$22*$C921+PM_Angle!$L$22*$B921</f>
      </c>
      <c r="AO921" s="12">
        <f>IF(AN921&gt;0,IF(AN921&lt;=eco,alpha*fck*(1-(1-AN921/eco)^n),alpha*fck),0)</f>
      </c>
      <c r="AP921" s="30">
        <f>PM_Angle!$J$23+PM_Angle!$K$23*$C921+PM_Angle!$L$23*$B921</f>
      </c>
      <c r="AQ921" s="12">
        <f>IF(AP921&gt;0,IF(AP921&lt;=eco,alpha*fck*(1-(1-AP921/eco)^n),alpha*fck),0)</f>
      </c>
      <c r="AR921" s="30">
        <f>PM_Angle!$J$24+PM_Angle!$K$24*$C921+PM_Angle!$L$24*$B921</f>
      </c>
      <c r="AS921" s="12">
        <f>IF(AR921&gt;0,IF(AR921&lt;=eco,alpha*fck*(1-(1-AR921/eco)^n),alpha*fck),0)</f>
      </c>
      <c r="AT921" s="30">
        <f>PM_Angle!$J$25+PM_Angle!$K$25*$C921+PM_Angle!$L$25*$B921</f>
      </c>
      <c r="AU921" s="12">
        <f>IF(AT921&gt;0,IF(AT921&lt;=eco,alpha*fck*(1-(1-AT921/eco)^n),alpha*fck),0)</f>
      </c>
    </row>
    <row r="922" spans="1:47" x14ac:dyDescent="0.25">
      <c r="A922">
        <f>Mesh!A919</f>
      </c>
      <c r="B922" s="12">
        <f>Mesh!B919</f>
      </c>
      <c r="C922" s="12">
        <f>Mesh!C919</f>
      </c>
      <c r="D922" s="12">
        <f>Mesh!D919</f>
      </c>
      <c r="E922" s="30">
        <f>INDEX(St_e0,Det+1)+INDEX(St_kx,Det+1)*C922+INDEX(St_ky,Det+1)*B922</f>
      </c>
      <c r="F922" s="12">
        <f>IF(E922&gt;0,IF(E922&lt;=eco,alpha*fck*(1-(1-E922/eco)^n),alpha*fck),0)</f>
      </c>
      <c r="G922" s="11">
        <f>F922*D922</f>
      </c>
      <c r="H922" s="11">
        <f>G922*C922</f>
      </c>
      <c r="I922" s="11">
        <f>G922*B922</f>
      </c>
      <c r="J922" s="30">
        <f>PM_Angle!$J$7+PM_Angle!$K$7*$C922+PM_Angle!$L$7*$B922</f>
      </c>
      <c r="K922" s="12">
        <f>IF(J922&gt;0,IF(J922&lt;=eco,alpha*fck*(1-(1-J922/eco)^n),alpha*fck),0)</f>
      </c>
      <c r="L922" s="30">
        <f>PM_Angle!$J$8+PM_Angle!$K$8*$C922+PM_Angle!$L$8*$B922</f>
      </c>
      <c r="M922" s="12">
        <f>IF(L922&gt;0,IF(L922&lt;=eco,alpha*fck*(1-(1-L922/eco)^n),alpha*fck),0)</f>
      </c>
      <c r="N922" s="30">
        <f>PM_Angle!$J$9+PM_Angle!$K$9*$C922+PM_Angle!$L$9*$B922</f>
      </c>
      <c r="O922" s="12">
        <f>IF(N922&gt;0,IF(N922&lt;=eco,alpha*fck*(1-(1-N922/eco)^n),alpha*fck),0)</f>
      </c>
      <c r="P922" s="30">
        <f>PM_Angle!$J$10+PM_Angle!$K$10*$C922+PM_Angle!$L$10*$B922</f>
      </c>
      <c r="Q922" s="12">
        <f>IF(P922&gt;0,IF(P922&lt;=eco,alpha*fck*(1-(1-P922/eco)^n),alpha*fck),0)</f>
      </c>
      <c r="R922" s="30">
        <f>PM_Angle!$J$11+PM_Angle!$K$11*$C922+PM_Angle!$L$11*$B922</f>
      </c>
      <c r="S922" s="12">
        <f>IF(R922&gt;0,IF(R922&lt;=eco,alpha*fck*(1-(1-R922/eco)^n),alpha*fck),0)</f>
      </c>
      <c r="T922" s="30">
        <f>PM_Angle!$J$12+PM_Angle!$K$12*$C922+PM_Angle!$L$12*$B922</f>
      </c>
      <c r="U922" s="12">
        <f>IF(T922&gt;0,IF(T922&lt;=eco,alpha*fck*(1-(1-T922/eco)^n),alpha*fck),0)</f>
      </c>
      <c r="V922" s="30">
        <f>PM_Angle!$J$13+PM_Angle!$K$13*$C922+PM_Angle!$L$13*$B922</f>
      </c>
      <c r="W922" s="12">
        <f>IF(V922&gt;0,IF(V922&lt;=eco,alpha*fck*(1-(1-V922/eco)^n),alpha*fck),0)</f>
      </c>
      <c r="X922" s="30">
        <f>PM_Angle!$J$14+PM_Angle!$K$14*$C922+PM_Angle!$L$14*$B922</f>
      </c>
      <c r="Y922" s="12">
        <f>IF(X922&gt;0,IF(X922&lt;=eco,alpha*fck*(1-(1-X922/eco)^n),alpha*fck),0)</f>
      </c>
      <c r="Z922" s="30">
        <f>PM_Angle!$J$15+PM_Angle!$K$15*$C922+PM_Angle!$L$15*$B922</f>
      </c>
      <c r="AA922" s="12">
        <f>IF(Z922&gt;0,IF(Z922&lt;=eco,alpha*fck*(1-(1-Z922/eco)^n),alpha*fck),0)</f>
      </c>
      <c r="AB922" s="30">
        <f>PM_Angle!$J$16+PM_Angle!$K$16*$C922+PM_Angle!$L$16*$B922</f>
      </c>
      <c r="AC922" s="12">
        <f>IF(AB922&gt;0,IF(AB922&lt;=eco,alpha*fck*(1-(1-AB922/eco)^n),alpha*fck),0)</f>
      </c>
      <c r="AD922" s="30">
        <f>PM_Angle!$J$17+PM_Angle!$K$17*$C922+PM_Angle!$L$17*$B922</f>
      </c>
      <c r="AE922" s="12">
        <f>IF(AD922&gt;0,IF(AD922&lt;=eco,alpha*fck*(1-(1-AD922/eco)^n),alpha*fck),0)</f>
      </c>
      <c r="AF922" s="30">
        <f>PM_Angle!$J$18+PM_Angle!$K$18*$C922+PM_Angle!$L$18*$B922</f>
      </c>
      <c r="AG922" s="12">
        <f>IF(AF922&gt;0,IF(AF922&lt;=eco,alpha*fck*(1-(1-AF922/eco)^n),alpha*fck),0)</f>
      </c>
      <c r="AH922" s="30">
        <f>PM_Angle!$J$19+PM_Angle!$K$19*$C922+PM_Angle!$L$19*$B922</f>
      </c>
      <c r="AI922" s="12">
        <f>IF(AH922&gt;0,IF(AH922&lt;=eco,alpha*fck*(1-(1-AH922/eco)^n),alpha*fck),0)</f>
      </c>
      <c r="AJ922" s="30">
        <f>PM_Angle!$J$20+PM_Angle!$K$20*$C922+PM_Angle!$L$20*$B922</f>
      </c>
      <c r="AK922" s="12">
        <f>IF(AJ922&gt;0,IF(AJ922&lt;=eco,alpha*fck*(1-(1-AJ922/eco)^n),alpha*fck),0)</f>
      </c>
      <c r="AL922" s="30">
        <f>PM_Angle!$J$21+PM_Angle!$K$21*$C922+PM_Angle!$L$21*$B922</f>
      </c>
      <c r="AM922" s="12">
        <f>IF(AL922&gt;0,IF(AL922&lt;=eco,alpha*fck*(1-(1-AL922/eco)^n),alpha*fck),0)</f>
      </c>
      <c r="AN922" s="30">
        <f>PM_Angle!$J$22+PM_Angle!$K$22*$C922+PM_Angle!$L$22*$B922</f>
      </c>
      <c r="AO922" s="12">
        <f>IF(AN922&gt;0,IF(AN922&lt;=eco,alpha*fck*(1-(1-AN922/eco)^n),alpha*fck),0)</f>
      </c>
      <c r="AP922" s="30">
        <f>PM_Angle!$J$23+PM_Angle!$K$23*$C922+PM_Angle!$L$23*$B922</f>
      </c>
      <c r="AQ922" s="12">
        <f>IF(AP922&gt;0,IF(AP922&lt;=eco,alpha*fck*(1-(1-AP922/eco)^n),alpha*fck),0)</f>
      </c>
      <c r="AR922" s="30">
        <f>PM_Angle!$J$24+PM_Angle!$K$24*$C922+PM_Angle!$L$24*$B922</f>
      </c>
      <c r="AS922" s="12">
        <f>IF(AR922&gt;0,IF(AR922&lt;=eco,alpha*fck*(1-(1-AR922/eco)^n),alpha*fck),0)</f>
      </c>
      <c r="AT922" s="30">
        <f>PM_Angle!$J$25+PM_Angle!$K$25*$C922+PM_Angle!$L$25*$B922</f>
      </c>
      <c r="AU922" s="12">
        <f>IF(AT922&gt;0,IF(AT922&lt;=eco,alpha*fck*(1-(1-AT922/eco)^n),alpha*fck),0)</f>
      </c>
    </row>
    <row r="923" spans="1:47" x14ac:dyDescent="0.25">
      <c r="A923">
        <f>Mesh!A920</f>
      </c>
      <c r="B923" s="12">
        <f>Mesh!B920</f>
      </c>
      <c r="C923" s="12">
        <f>Mesh!C920</f>
      </c>
      <c r="D923" s="12">
        <f>Mesh!D920</f>
      </c>
      <c r="E923" s="30">
        <f>INDEX(St_e0,Det+1)+INDEX(St_kx,Det+1)*C923+INDEX(St_ky,Det+1)*B923</f>
      </c>
      <c r="F923" s="12">
        <f>IF(E923&gt;0,IF(E923&lt;=eco,alpha*fck*(1-(1-E923/eco)^n),alpha*fck),0)</f>
      </c>
      <c r="G923" s="11">
        <f>F923*D923</f>
      </c>
      <c r="H923" s="11">
        <f>G923*C923</f>
      </c>
      <c r="I923" s="11">
        <f>G923*B923</f>
      </c>
      <c r="J923" s="30">
        <f>PM_Angle!$J$7+PM_Angle!$K$7*$C923+PM_Angle!$L$7*$B923</f>
      </c>
      <c r="K923" s="12">
        <f>IF(J923&gt;0,IF(J923&lt;=eco,alpha*fck*(1-(1-J923/eco)^n),alpha*fck),0)</f>
      </c>
      <c r="L923" s="30">
        <f>PM_Angle!$J$8+PM_Angle!$K$8*$C923+PM_Angle!$L$8*$B923</f>
      </c>
      <c r="M923" s="12">
        <f>IF(L923&gt;0,IF(L923&lt;=eco,alpha*fck*(1-(1-L923/eco)^n),alpha*fck),0)</f>
      </c>
      <c r="N923" s="30">
        <f>PM_Angle!$J$9+PM_Angle!$K$9*$C923+PM_Angle!$L$9*$B923</f>
      </c>
      <c r="O923" s="12">
        <f>IF(N923&gt;0,IF(N923&lt;=eco,alpha*fck*(1-(1-N923/eco)^n),alpha*fck),0)</f>
      </c>
      <c r="P923" s="30">
        <f>PM_Angle!$J$10+PM_Angle!$K$10*$C923+PM_Angle!$L$10*$B923</f>
      </c>
      <c r="Q923" s="12">
        <f>IF(P923&gt;0,IF(P923&lt;=eco,alpha*fck*(1-(1-P923/eco)^n),alpha*fck),0)</f>
      </c>
      <c r="R923" s="30">
        <f>PM_Angle!$J$11+PM_Angle!$K$11*$C923+PM_Angle!$L$11*$B923</f>
      </c>
      <c r="S923" s="12">
        <f>IF(R923&gt;0,IF(R923&lt;=eco,alpha*fck*(1-(1-R923/eco)^n),alpha*fck),0)</f>
      </c>
      <c r="T923" s="30">
        <f>PM_Angle!$J$12+PM_Angle!$K$12*$C923+PM_Angle!$L$12*$B923</f>
      </c>
      <c r="U923" s="12">
        <f>IF(T923&gt;0,IF(T923&lt;=eco,alpha*fck*(1-(1-T923/eco)^n),alpha*fck),0)</f>
      </c>
      <c r="V923" s="30">
        <f>PM_Angle!$J$13+PM_Angle!$K$13*$C923+PM_Angle!$L$13*$B923</f>
      </c>
      <c r="W923" s="12">
        <f>IF(V923&gt;0,IF(V923&lt;=eco,alpha*fck*(1-(1-V923/eco)^n),alpha*fck),0)</f>
      </c>
      <c r="X923" s="30">
        <f>PM_Angle!$J$14+PM_Angle!$K$14*$C923+PM_Angle!$L$14*$B923</f>
      </c>
      <c r="Y923" s="12">
        <f>IF(X923&gt;0,IF(X923&lt;=eco,alpha*fck*(1-(1-X923/eco)^n),alpha*fck),0)</f>
      </c>
      <c r="Z923" s="30">
        <f>PM_Angle!$J$15+PM_Angle!$K$15*$C923+PM_Angle!$L$15*$B923</f>
      </c>
      <c r="AA923" s="12">
        <f>IF(Z923&gt;0,IF(Z923&lt;=eco,alpha*fck*(1-(1-Z923/eco)^n),alpha*fck),0)</f>
      </c>
      <c r="AB923" s="30">
        <f>PM_Angle!$J$16+PM_Angle!$K$16*$C923+PM_Angle!$L$16*$B923</f>
      </c>
      <c r="AC923" s="12">
        <f>IF(AB923&gt;0,IF(AB923&lt;=eco,alpha*fck*(1-(1-AB923/eco)^n),alpha*fck),0)</f>
      </c>
      <c r="AD923" s="30">
        <f>PM_Angle!$J$17+PM_Angle!$K$17*$C923+PM_Angle!$L$17*$B923</f>
      </c>
      <c r="AE923" s="12">
        <f>IF(AD923&gt;0,IF(AD923&lt;=eco,alpha*fck*(1-(1-AD923/eco)^n),alpha*fck),0)</f>
      </c>
      <c r="AF923" s="30">
        <f>PM_Angle!$J$18+PM_Angle!$K$18*$C923+PM_Angle!$L$18*$B923</f>
      </c>
      <c r="AG923" s="12">
        <f>IF(AF923&gt;0,IF(AF923&lt;=eco,alpha*fck*(1-(1-AF923/eco)^n),alpha*fck),0)</f>
      </c>
      <c r="AH923" s="30">
        <f>PM_Angle!$J$19+PM_Angle!$K$19*$C923+PM_Angle!$L$19*$B923</f>
      </c>
      <c r="AI923" s="12">
        <f>IF(AH923&gt;0,IF(AH923&lt;=eco,alpha*fck*(1-(1-AH923/eco)^n),alpha*fck),0)</f>
      </c>
      <c r="AJ923" s="30">
        <f>PM_Angle!$J$20+PM_Angle!$K$20*$C923+PM_Angle!$L$20*$B923</f>
      </c>
      <c r="AK923" s="12">
        <f>IF(AJ923&gt;0,IF(AJ923&lt;=eco,alpha*fck*(1-(1-AJ923/eco)^n),alpha*fck),0)</f>
      </c>
      <c r="AL923" s="30">
        <f>PM_Angle!$J$21+PM_Angle!$K$21*$C923+PM_Angle!$L$21*$B923</f>
      </c>
      <c r="AM923" s="12">
        <f>IF(AL923&gt;0,IF(AL923&lt;=eco,alpha*fck*(1-(1-AL923/eco)^n),alpha*fck),0)</f>
      </c>
      <c r="AN923" s="30">
        <f>PM_Angle!$J$22+PM_Angle!$K$22*$C923+PM_Angle!$L$22*$B923</f>
      </c>
      <c r="AO923" s="12">
        <f>IF(AN923&gt;0,IF(AN923&lt;=eco,alpha*fck*(1-(1-AN923/eco)^n),alpha*fck),0)</f>
      </c>
      <c r="AP923" s="30">
        <f>PM_Angle!$J$23+PM_Angle!$K$23*$C923+PM_Angle!$L$23*$B923</f>
      </c>
      <c r="AQ923" s="12">
        <f>IF(AP923&gt;0,IF(AP923&lt;=eco,alpha*fck*(1-(1-AP923/eco)^n),alpha*fck),0)</f>
      </c>
      <c r="AR923" s="30">
        <f>PM_Angle!$J$24+PM_Angle!$K$24*$C923+PM_Angle!$L$24*$B923</f>
      </c>
      <c r="AS923" s="12">
        <f>IF(AR923&gt;0,IF(AR923&lt;=eco,alpha*fck*(1-(1-AR923/eco)^n),alpha*fck),0)</f>
      </c>
      <c r="AT923" s="30">
        <f>PM_Angle!$J$25+PM_Angle!$K$25*$C923+PM_Angle!$L$25*$B923</f>
      </c>
      <c r="AU923" s="12">
        <f>IF(AT923&gt;0,IF(AT923&lt;=eco,alpha*fck*(1-(1-AT923/eco)^n),alpha*fck),0)</f>
      </c>
    </row>
    <row r="924" spans="1:47" x14ac:dyDescent="0.25">
      <c r="A924">
        <f>Mesh!A921</f>
      </c>
      <c r="B924" s="12">
        <f>Mesh!B921</f>
      </c>
      <c r="C924" s="12">
        <f>Mesh!C921</f>
      </c>
      <c r="D924" s="12">
        <f>Mesh!D921</f>
      </c>
      <c r="E924" s="30">
        <f>INDEX(St_e0,Det+1)+INDEX(St_kx,Det+1)*C924+INDEX(St_ky,Det+1)*B924</f>
      </c>
      <c r="F924" s="12">
        <f>IF(E924&gt;0,IF(E924&lt;=eco,alpha*fck*(1-(1-E924/eco)^n),alpha*fck),0)</f>
      </c>
      <c r="G924" s="11">
        <f>F924*D924</f>
      </c>
      <c r="H924" s="11">
        <f>G924*C924</f>
      </c>
      <c r="I924" s="11">
        <f>G924*B924</f>
      </c>
      <c r="J924" s="30">
        <f>PM_Angle!$J$7+PM_Angle!$K$7*$C924+PM_Angle!$L$7*$B924</f>
      </c>
      <c r="K924" s="12">
        <f>IF(J924&gt;0,IF(J924&lt;=eco,alpha*fck*(1-(1-J924/eco)^n),alpha*fck),0)</f>
      </c>
      <c r="L924" s="30">
        <f>PM_Angle!$J$8+PM_Angle!$K$8*$C924+PM_Angle!$L$8*$B924</f>
      </c>
      <c r="M924" s="12">
        <f>IF(L924&gt;0,IF(L924&lt;=eco,alpha*fck*(1-(1-L924/eco)^n),alpha*fck),0)</f>
      </c>
      <c r="N924" s="30">
        <f>PM_Angle!$J$9+PM_Angle!$K$9*$C924+PM_Angle!$L$9*$B924</f>
      </c>
      <c r="O924" s="12">
        <f>IF(N924&gt;0,IF(N924&lt;=eco,alpha*fck*(1-(1-N924/eco)^n),alpha*fck),0)</f>
      </c>
      <c r="P924" s="30">
        <f>PM_Angle!$J$10+PM_Angle!$K$10*$C924+PM_Angle!$L$10*$B924</f>
      </c>
      <c r="Q924" s="12">
        <f>IF(P924&gt;0,IF(P924&lt;=eco,alpha*fck*(1-(1-P924/eco)^n),alpha*fck),0)</f>
      </c>
      <c r="R924" s="30">
        <f>PM_Angle!$J$11+PM_Angle!$K$11*$C924+PM_Angle!$L$11*$B924</f>
      </c>
      <c r="S924" s="12">
        <f>IF(R924&gt;0,IF(R924&lt;=eco,alpha*fck*(1-(1-R924/eco)^n),alpha*fck),0)</f>
      </c>
      <c r="T924" s="30">
        <f>PM_Angle!$J$12+PM_Angle!$K$12*$C924+PM_Angle!$L$12*$B924</f>
      </c>
      <c r="U924" s="12">
        <f>IF(T924&gt;0,IF(T924&lt;=eco,alpha*fck*(1-(1-T924/eco)^n),alpha*fck),0)</f>
      </c>
      <c r="V924" s="30">
        <f>PM_Angle!$J$13+PM_Angle!$K$13*$C924+PM_Angle!$L$13*$B924</f>
      </c>
      <c r="W924" s="12">
        <f>IF(V924&gt;0,IF(V924&lt;=eco,alpha*fck*(1-(1-V924/eco)^n),alpha*fck),0)</f>
      </c>
      <c r="X924" s="30">
        <f>PM_Angle!$J$14+PM_Angle!$K$14*$C924+PM_Angle!$L$14*$B924</f>
      </c>
      <c r="Y924" s="12">
        <f>IF(X924&gt;0,IF(X924&lt;=eco,alpha*fck*(1-(1-X924/eco)^n),alpha*fck),0)</f>
      </c>
      <c r="Z924" s="30">
        <f>PM_Angle!$J$15+PM_Angle!$K$15*$C924+PM_Angle!$L$15*$B924</f>
      </c>
      <c r="AA924" s="12">
        <f>IF(Z924&gt;0,IF(Z924&lt;=eco,alpha*fck*(1-(1-Z924/eco)^n),alpha*fck),0)</f>
      </c>
      <c r="AB924" s="30">
        <f>PM_Angle!$J$16+PM_Angle!$K$16*$C924+PM_Angle!$L$16*$B924</f>
      </c>
      <c r="AC924" s="12">
        <f>IF(AB924&gt;0,IF(AB924&lt;=eco,alpha*fck*(1-(1-AB924/eco)^n),alpha*fck),0)</f>
      </c>
      <c r="AD924" s="30">
        <f>PM_Angle!$J$17+PM_Angle!$K$17*$C924+PM_Angle!$L$17*$B924</f>
      </c>
      <c r="AE924" s="12">
        <f>IF(AD924&gt;0,IF(AD924&lt;=eco,alpha*fck*(1-(1-AD924/eco)^n),alpha*fck),0)</f>
      </c>
      <c r="AF924" s="30">
        <f>PM_Angle!$J$18+PM_Angle!$K$18*$C924+PM_Angle!$L$18*$B924</f>
      </c>
      <c r="AG924" s="12">
        <f>IF(AF924&gt;0,IF(AF924&lt;=eco,alpha*fck*(1-(1-AF924/eco)^n),alpha*fck),0)</f>
      </c>
      <c r="AH924" s="30">
        <f>PM_Angle!$J$19+PM_Angle!$K$19*$C924+PM_Angle!$L$19*$B924</f>
      </c>
      <c r="AI924" s="12">
        <f>IF(AH924&gt;0,IF(AH924&lt;=eco,alpha*fck*(1-(1-AH924/eco)^n),alpha*fck),0)</f>
      </c>
      <c r="AJ924" s="30">
        <f>PM_Angle!$J$20+PM_Angle!$K$20*$C924+PM_Angle!$L$20*$B924</f>
      </c>
      <c r="AK924" s="12">
        <f>IF(AJ924&gt;0,IF(AJ924&lt;=eco,alpha*fck*(1-(1-AJ924/eco)^n),alpha*fck),0)</f>
      </c>
      <c r="AL924" s="30">
        <f>PM_Angle!$J$21+PM_Angle!$K$21*$C924+PM_Angle!$L$21*$B924</f>
      </c>
      <c r="AM924" s="12">
        <f>IF(AL924&gt;0,IF(AL924&lt;=eco,alpha*fck*(1-(1-AL924/eco)^n),alpha*fck),0)</f>
      </c>
      <c r="AN924" s="30">
        <f>PM_Angle!$J$22+PM_Angle!$K$22*$C924+PM_Angle!$L$22*$B924</f>
      </c>
      <c r="AO924" s="12">
        <f>IF(AN924&gt;0,IF(AN924&lt;=eco,alpha*fck*(1-(1-AN924/eco)^n),alpha*fck),0)</f>
      </c>
      <c r="AP924" s="30">
        <f>PM_Angle!$J$23+PM_Angle!$K$23*$C924+PM_Angle!$L$23*$B924</f>
      </c>
      <c r="AQ924" s="12">
        <f>IF(AP924&gt;0,IF(AP924&lt;=eco,alpha*fck*(1-(1-AP924/eco)^n),alpha*fck),0)</f>
      </c>
      <c r="AR924" s="30">
        <f>PM_Angle!$J$24+PM_Angle!$K$24*$C924+PM_Angle!$L$24*$B924</f>
      </c>
      <c r="AS924" s="12">
        <f>IF(AR924&gt;0,IF(AR924&lt;=eco,alpha*fck*(1-(1-AR924/eco)^n),alpha*fck),0)</f>
      </c>
      <c r="AT924" s="30">
        <f>PM_Angle!$J$25+PM_Angle!$K$25*$C924+PM_Angle!$L$25*$B924</f>
      </c>
      <c r="AU924" s="12">
        <f>IF(AT924&gt;0,IF(AT924&lt;=eco,alpha*fck*(1-(1-AT924/eco)^n),alpha*fck),0)</f>
      </c>
    </row>
    <row r="925" spans="1:47" x14ac:dyDescent="0.25">
      <c r="A925">
        <f>Mesh!A922</f>
      </c>
      <c r="B925" s="12">
        <f>Mesh!B922</f>
      </c>
      <c r="C925" s="12">
        <f>Mesh!C922</f>
      </c>
      <c r="D925" s="12">
        <f>Mesh!D922</f>
      </c>
      <c r="E925" s="30">
        <f>INDEX(St_e0,Det+1)+INDEX(St_kx,Det+1)*C925+INDEX(St_ky,Det+1)*B925</f>
      </c>
      <c r="F925" s="12">
        <f>IF(E925&gt;0,IF(E925&lt;=eco,alpha*fck*(1-(1-E925/eco)^n),alpha*fck),0)</f>
      </c>
      <c r="G925" s="11">
        <f>F925*D925</f>
      </c>
      <c r="H925" s="11">
        <f>G925*C925</f>
      </c>
      <c r="I925" s="11">
        <f>G925*B925</f>
      </c>
      <c r="J925" s="30">
        <f>PM_Angle!$J$7+PM_Angle!$K$7*$C925+PM_Angle!$L$7*$B925</f>
      </c>
      <c r="K925" s="12">
        <f>IF(J925&gt;0,IF(J925&lt;=eco,alpha*fck*(1-(1-J925/eco)^n),alpha*fck),0)</f>
      </c>
      <c r="L925" s="30">
        <f>PM_Angle!$J$8+PM_Angle!$K$8*$C925+PM_Angle!$L$8*$B925</f>
      </c>
      <c r="M925" s="12">
        <f>IF(L925&gt;0,IF(L925&lt;=eco,alpha*fck*(1-(1-L925/eco)^n),alpha*fck),0)</f>
      </c>
      <c r="N925" s="30">
        <f>PM_Angle!$J$9+PM_Angle!$K$9*$C925+PM_Angle!$L$9*$B925</f>
      </c>
      <c r="O925" s="12">
        <f>IF(N925&gt;0,IF(N925&lt;=eco,alpha*fck*(1-(1-N925/eco)^n),alpha*fck),0)</f>
      </c>
      <c r="P925" s="30">
        <f>PM_Angle!$J$10+PM_Angle!$K$10*$C925+PM_Angle!$L$10*$B925</f>
      </c>
      <c r="Q925" s="12">
        <f>IF(P925&gt;0,IF(P925&lt;=eco,alpha*fck*(1-(1-P925/eco)^n),alpha*fck),0)</f>
      </c>
      <c r="R925" s="30">
        <f>PM_Angle!$J$11+PM_Angle!$K$11*$C925+PM_Angle!$L$11*$B925</f>
      </c>
      <c r="S925" s="12">
        <f>IF(R925&gt;0,IF(R925&lt;=eco,alpha*fck*(1-(1-R925/eco)^n),alpha*fck),0)</f>
      </c>
      <c r="T925" s="30">
        <f>PM_Angle!$J$12+PM_Angle!$K$12*$C925+PM_Angle!$L$12*$B925</f>
      </c>
      <c r="U925" s="12">
        <f>IF(T925&gt;0,IF(T925&lt;=eco,alpha*fck*(1-(1-T925/eco)^n),alpha*fck),0)</f>
      </c>
      <c r="V925" s="30">
        <f>PM_Angle!$J$13+PM_Angle!$K$13*$C925+PM_Angle!$L$13*$B925</f>
      </c>
      <c r="W925" s="12">
        <f>IF(V925&gt;0,IF(V925&lt;=eco,alpha*fck*(1-(1-V925/eco)^n),alpha*fck),0)</f>
      </c>
      <c r="X925" s="30">
        <f>PM_Angle!$J$14+PM_Angle!$K$14*$C925+PM_Angle!$L$14*$B925</f>
      </c>
      <c r="Y925" s="12">
        <f>IF(X925&gt;0,IF(X925&lt;=eco,alpha*fck*(1-(1-X925/eco)^n),alpha*fck),0)</f>
      </c>
      <c r="Z925" s="30">
        <f>PM_Angle!$J$15+PM_Angle!$K$15*$C925+PM_Angle!$L$15*$B925</f>
      </c>
      <c r="AA925" s="12">
        <f>IF(Z925&gt;0,IF(Z925&lt;=eco,alpha*fck*(1-(1-Z925/eco)^n),alpha*fck),0)</f>
      </c>
      <c r="AB925" s="30">
        <f>PM_Angle!$J$16+PM_Angle!$K$16*$C925+PM_Angle!$L$16*$B925</f>
      </c>
      <c r="AC925" s="12">
        <f>IF(AB925&gt;0,IF(AB925&lt;=eco,alpha*fck*(1-(1-AB925/eco)^n),alpha*fck),0)</f>
      </c>
      <c r="AD925" s="30">
        <f>PM_Angle!$J$17+PM_Angle!$K$17*$C925+PM_Angle!$L$17*$B925</f>
      </c>
      <c r="AE925" s="12">
        <f>IF(AD925&gt;0,IF(AD925&lt;=eco,alpha*fck*(1-(1-AD925/eco)^n),alpha*fck),0)</f>
      </c>
      <c r="AF925" s="30">
        <f>PM_Angle!$J$18+PM_Angle!$K$18*$C925+PM_Angle!$L$18*$B925</f>
      </c>
      <c r="AG925" s="12">
        <f>IF(AF925&gt;0,IF(AF925&lt;=eco,alpha*fck*(1-(1-AF925/eco)^n),alpha*fck),0)</f>
      </c>
      <c r="AH925" s="30">
        <f>PM_Angle!$J$19+PM_Angle!$K$19*$C925+PM_Angle!$L$19*$B925</f>
      </c>
      <c r="AI925" s="12">
        <f>IF(AH925&gt;0,IF(AH925&lt;=eco,alpha*fck*(1-(1-AH925/eco)^n),alpha*fck),0)</f>
      </c>
      <c r="AJ925" s="30">
        <f>PM_Angle!$J$20+PM_Angle!$K$20*$C925+PM_Angle!$L$20*$B925</f>
      </c>
      <c r="AK925" s="12">
        <f>IF(AJ925&gt;0,IF(AJ925&lt;=eco,alpha*fck*(1-(1-AJ925/eco)^n),alpha*fck),0)</f>
      </c>
      <c r="AL925" s="30">
        <f>PM_Angle!$J$21+PM_Angle!$K$21*$C925+PM_Angle!$L$21*$B925</f>
      </c>
      <c r="AM925" s="12">
        <f>IF(AL925&gt;0,IF(AL925&lt;=eco,alpha*fck*(1-(1-AL925/eco)^n),alpha*fck),0)</f>
      </c>
      <c r="AN925" s="30">
        <f>PM_Angle!$J$22+PM_Angle!$K$22*$C925+PM_Angle!$L$22*$B925</f>
      </c>
      <c r="AO925" s="12">
        <f>IF(AN925&gt;0,IF(AN925&lt;=eco,alpha*fck*(1-(1-AN925/eco)^n),alpha*fck),0)</f>
      </c>
      <c r="AP925" s="30">
        <f>PM_Angle!$J$23+PM_Angle!$K$23*$C925+PM_Angle!$L$23*$B925</f>
      </c>
      <c r="AQ925" s="12">
        <f>IF(AP925&gt;0,IF(AP925&lt;=eco,alpha*fck*(1-(1-AP925/eco)^n),alpha*fck),0)</f>
      </c>
      <c r="AR925" s="30">
        <f>PM_Angle!$J$24+PM_Angle!$K$24*$C925+PM_Angle!$L$24*$B925</f>
      </c>
      <c r="AS925" s="12">
        <f>IF(AR925&gt;0,IF(AR925&lt;=eco,alpha*fck*(1-(1-AR925/eco)^n),alpha*fck),0)</f>
      </c>
      <c r="AT925" s="30">
        <f>PM_Angle!$J$25+PM_Angle!$K$25*$C925+PM_Angle!$L$25*$B925</f>
      </c>
      <c r="AU925" s="12">
        <f>IF(AT925&gt;0,IF(AT925&lt;=eco,alpha*fck*(1-(1-AT925/eco)^n),alpha*fck),0)</f>
      </c>
    </row>
    <row r="926" spans="1:47" x14ac:dyDescent="0.25">
      <c r="A926">
        <f>Mesh!A923</f>
      </c>
      <c r="B926" s="12">
        <f>Mesh!B923</f>
      </c>
      <c r="C926" s="12">
        <f>Mesh!C923</f>
      </c>
      <c r="D926" s="12">
        <f>Mesh!D923</f>
      </c>
      <c r="E926" s="30">
        <f>INDEX(St_e0,Det+1)+INDEX(St_kx,Det+1)*C926+INDEX(St_ky,Det+1)*B926</f>
      </c>
      <c r="F926" s="12">
        <f>IF(E926&gt;0,IF(E926&lt;=eco,alpha*fck*(1-(1-E926/eco)^n),alpha*fck),0)</f>
      </c>
      <c r="G926" s="11">
        <f>F926*D926</f>
      </c>
      <c r="H926" s="11">
        <f>G926*C926</f>
      </c>
      <c r="I926" s="11">
        <f>G926*B926</f>
      </c>
      <c r="J926" s="30">
        <f>PM_Angle!$J$7+PM_Angle!$K$7*$C926+PM_Angle!$L$7*$B926</f>
      </c>
      <c r="K926" s="12">
        <f>IF(J926&gt;0,IF(J926&lt;=eco,alpha*fck*(1-(1-J926/eco)^n),alpha*fck),0)</f>
      </c>
      <c r="L926" s="30">
        <f>PM_Angle!$J$8+PM_Angle!$K$8*$C926+PM_Angle!$L$8*$B926</f>
      </c>
      <c r="M926" s="12">
        <f>IF(L926&gt;0,IF(L926&lt;=eco,alpha*fck*(1-(1-L926/eco)^n),alpha*fck),0)</f>
      </c>
      <c r="N926" s="30">
        <f>PM_Angle!$J$9+PM_Angle!$K$9*$C926+PM_Angle!$L$9*$B926</f>
      </c>
      <c r="O926" s="12">
        <f>IF(N926&gt;0,IF(N926&lt;=eco,alpha*fck*(1-(1-N926/eco)^n),alpha*fck),0)</f>
      </c>
      <c r="P926" s="30">
        <f>PM_Angle!$J$10+PM_Angle!$K$10*$C926+PM_Angle!$L$10*$B926</f>
      </c>
      <c r="Q926" s="12">
        <f>IF(P926&gt;0,IF(P926&lt;=eco,alpha*fck*(1-(1-P926/eco)^n),alpha*fck),0)</f>
      </c>
      <c r="R926" s="30">
        <f>PM_Angle!$J$11+PM_Angle!$K$11*$C926+PM_Angle!$L$11*$B926</f>
      </c>
      <c r="S926" s="12">
        <f>IF(R926&gt;0,IF(R926&lt;=eco,alpha*fck*(1-(1-R926/eco)^n),alpha*fck),0)</f>
      </c>
      <c r="T926" s="30">
        <f>PM_Angle!$J$12+PM_Angle!$K$12*$C926+PM_Angle!$L$12*$B926</f>
      </c>
      <c r="U926" s="12">
        <f>IF(T926&gt;0,IF(T926&lt;=eco,alpha*fck*(1-(1-T926/eco)^n),alpha*fck),0)</f>
      </c>
      <c r="V926" s="30">
        <f>PM_Angle!$J$13+PM_Angle!$K$13*$C926+PM_Angle!$L$13*$B926</f>
      </c>
      <c r="W926" s="12">
        <f>IF(V926&gt;0,IF(V926&lt;=eco,alpha*fck*(1-(1-V926/eco)^n),alpha*fck),0)</f>
      </c>
      <c r="X926" s="30">
        <f>PM_Angle!$J$14+PM_Angle!$K$14*$C926+PM_Angle!$L$14*$B926</f>
      </c>
      <c r="Y926" s="12">
        <f>IF(X926&gt;0,IF(X926&lt;=eco,alpha*fck*(1-(1-X926/eco)^n),alpha*fck),0)</f>
      </c>
      <c r="Z926" s="30">
        <f>PM_Angle!$J$15+PM_Angle!$K$15*$C926+PM_Angle!$L$15*$B926</f>
      </c>
      <c r="AA926" s="12">
        <f>IF(Z926&gt;0,IF(Z926&lt;=eco,alpha*fck*(1-(1-Z926/eco)^n),alpha*fck),0)</f>
      </c>
      <c r="AB926" s="30">
        <f>PM_Angle!$J$16+PM_Angle!$K$16*$C926+PM_Angle!$L$16*$B926</f>
      </c>
      <c r="AC926" s="12">
        <f>IF(AB926&gt;0,IF(AB926&lt;=eco,alpha*fck*(1-(1-AB926/eco)^n),alpha*fck),0)</f>
      </c>
      <c r="AD926" s="30">
        <f>PM_Angle!$J$17+PM_Angle!$K$17*$C926+PM_Angle!$L$17*$B926</f>
      </c>
      <c r="AE926" s="12">
        <f>IF(AD926&gt;0,IF(AD926&lt;=eco,alpha*fck*(1-(1-AD926/eco)^n),alpha*fck),0)</f>
      </c>
      <c r="AF926" s="30">
        <f>PM_Angle!$J$18+PM_Angle!$K$18*$C926+PM_Angle!$L$18*$B926</f>
      </c>
      <c r="AG926" s="12">
        <f>IF(AF926&gt;0,IF(AF926&lt;=eco,alpha*fck*(1-(1-AF926/eco)^n),alpha*fck),0)</f>
      </c>
      <c r="AH926" s="30">
        <f>PM_Angle!$J$19+PM_Angle!$K$19*$C926+PM_Angle!$L$19*$B926</f>
      </c>
      <c r="AI926" s="12">
        <f>IF(AH926&gt;0,IF(AH926&lt;=eco,alpha*fck*(1-(1-AH926/eco)^n),alpha*fck),0)</f>
      </c>
      <c r="AJ926" s="30">
        <f>PM_Angle!$J$20+PM_Angle!$K$20*$C926+PM_Angle!$L$20*$B926</f>
      </c>
      <c r="AK926" s="12">
        <f>IF(AJ926&gt;0,IF(AJ926&lt;=eco,alpha*fck*(1-(1-AJ926/eco)^n),alpha*fck),0)</f>
      </c>
      <c r="AL926" s="30">
        <f>PM_Angle!$J$21+PM_Angle!$K$21*$C926+PM_Angle!$L$21*$B926</f>
      </c>
      <c r="AM926" s="12">
        <f>IF(AL926&gt;0,IF(AL926&lt;=eco,alpha*fck*(1-(1-AL926/eco)^n),alpha*fck),0)</f>
      </c>
      <c r="AN926" s="30">
        <f>PM_Angle!$J$22+PM_Angle!$K$22*$C926+PM_Angle!$L$22*$B926</f>
      </c>
      <c r="AO926" s="12">
        <f>IF(AN926&gt;0,IF(AN926&lt;=eco,alpha*fck*(1-(1-AN926/eco)^n),alpha*fck),0)</f>
      </c>
      <c r="AP926" s="30">
        <f>PM_Angle!$J$23+PM_Angle!$K$23*$C926+PM_Angle!$L$23*$B926</f>
      </c>
      <c r="AQ926" s="12">
        <f>IF(AP926&gt;0,IF(AP926&lt;=eco,alpha*fck*(1-(1-AP926/eco)^n),alpha*fck),0)</f>
      </c>
      <c r="AR926" s="30">
        <f>PM_Angle!$J$24+PM_Angle!$K$24*$C926+PM_Angle!$L$24*$B926</f>
      </c>
      <c r="AS926" s="12">
        <f>IF(AR926&gt;0,IF(AR926&lt;=eco,alpha*fck*(1-(1-AR926/eco)^n),alpha*fck),0)</f>
      </c>
      <c r="AT926" s="30">
        <f>PM_Angle!$J$25+PM_Angle!$K$25*$C926+PM_Angle!$L$25*$B926</f>
      </c>
      <c r="AU926" s="12">
        <f>IF(AT926&gt;0,IF(AT926&lt;=eco,alpha*fck*(1-(1-AT926/eco)^n),alpha*fck),0)</f>
      </c>
    </row>
    <row r="927" spans="1:47" x14ac:dyDescent="0.25">
      <c r="A927">
        <f>Mesh!A924</f>
      </c>
      <c r="B927" s="12">
        <f>Mesh!B924</f>
      </c>
      <c r="C927" s="12">
        <f>Mesh!C924</f>
      </c>
      <c r="D927" s="12">
        <f>Mesh!D924</f>
      </c>
      <c r="E927" s="30">
        <f>INDEX(St_e0,Det+1)+INDEX(St_kx,Det+1)*C927+INDEX(St_ky,Det+1)*B927</f>
      </c>
      <c r="F927" s="12">
        <f>IF(E927&gt;0,IF(E927&lt;=eco,alpha*fck*(1-(1-E927/eco)^n),alpha*fck),0)</f>
      </c>
      <c r="G927" s="11">
        <f>F927*D927</f>
      </c>
      <c r="H927" s="11">
        <f>G927*C927</f>
      </c>
      <c r="I927" s="11">
        <f>G927*B927</f>
      </c>
      <c r="J927" s="30">
        <f>PM_Angle!$J$7+PM_Angle!$K$7*$C927+PM_Angle!$L$7*$B927</f>
      </c>
      <c r="K927" s="12">
        <f>IF(J927&gt;0,IF(J927&lt;=eco,alpha*fck*(1-(1-J927/eco)^n),alpha*fck),0)</f>
      </c>
      <c r="L927" s="30">
        <f>PM_Angle!$J$8+PM_Angle!$K$8*$C927+PM_Angle!$L$8*$B927</f>
      </c>
      <c r="M927" s="12">
        <f>IF(L927&gt;0,IF(L927&lt;=eco,alpha*fck*(1-(1-L927/eco)^n),alpha*fck),0)</f>
      </c>
      <c r="N927" s="30">
        <f>PM_Angle!$J$9+PM_Angle!$K$9*$C927+PM_Angle!$L$9*$B927</f>
      </c>
      <c r="O927" s="12">
        <f>IF(N927&gt;0,IF(N927&lt;=eco,alpha*fck*(1-(1-N927/eco)^n),alpha*fck),0)</f>
      </c>
      <c r="P927" s="30">
        <f>PM_Angle!$J$10+PM_Angle!$K$10*$C927+PM_Angle!$L$10*$B927</f>
      </c>
      <c r="Q927" s="12">
        <f>IF(P927&gt;0,IF(P927&lt;=eco,alpha*fck*(1-(1-P927/eco)^n),alpha*fck),0)</f>
      </c>
      <c r="R927" s="30">
        <f>PM_Angle!$J$11+PM_Angle!$K$11*$C927+PM_Angle!$L$11*$B927</f>
      </c>
      <c r="S927" s="12">
        <f>IF(R927&gt;0,IF(R927&lt;=eco,alpha*fck*(1-(1-R927/eco)^n),alpha*fck),0)</f>
      </c>
      <c r="T927" s="30">
        <f>PM_Angle!$J$12+PM_Angle!$K$12*$C927+PM_Angle!$L$12*$B927</f>
      </c>
      <c r="U927" s="12">
        <f>IF(T927&gt;0,IF(T927&lt;=eco,alpha*fck*(1-(1-T927/eco)^n),alpha*fck),0)</f>
      </c>
      <c r="V927" s="30">
        <f>PM_Angle!$J$13+PM_Angle!$K$13*$C927+PM_Angle!$L$13*$B927</f>
      </c>
      <c r="W927" s="12">
        <f>IF(V927&gt;0,IF(V927&lt;=eco,alpha*fck*(1-(1-V927/eco)^n),alpha*fck),0)</f>
      </c>
      <c r="X927" s="30">
        <f>PM_Angle!$J$14+PM_Angle!$K$14*$C927+PM_Angle!$L$14*$B927</f>
      </c>
      <c r="Y927" s="12">
        <f>IF(X927&gt;0,IF(X927&lt;=eco,alpha*fck*(1-(1-X927/eco)^n),alpha*fck),0)</f>
      </c>
      <c r="Z927" s="30">
        <f>PM_Angle!$J$15+PM_Angle!$K$15*$C927+PM_Angle!$L$15*$B927</f>
      </c>
      <c r="AA927" s="12">
        <f>IF(Z927&gt;0,IF(Z927&lt;=eco,alpha*fck*(1-(1-Z927/eco)^n),alpha*fck),0)</f>
      </c>
      <c r="AB927" s="30">
        <f>PM_Angle!$J$16+PM_Angle!$K$16*$C927+PM_Angle!$L$16*$B927</f>
      </c>
      <c r="AC927" s="12">
        <f>IF(AB927&gt;0,IF(AB927&lt;=eco,alpha*fck*(1-(1-AB927/eco)^n),alpha*fck),0)</f>
      </c>
      <c r="AD927" s="30">
        <f>PM_Angle!$J$17+PM_Angle!$K$17*$C927+PM_Angle!$L$17*$B927</f>
      </c>
      <c r="AE927" s="12">
        <f>IF(AD927&gt;0,IF(AD927&lt;=eco,alpha*fck*(1-(1-AD927/eco)^n),alpha*fck),0)</f>
      </c>
      <c r="AF927" s="30">
        <f>PM_Angle!$J$18+PM_Angle!$K$18*$C927+PM_Angle!$L$18*$B927</f>
      </c>
      <c r="AG927" s="12">
        <f>IF(AF927&gt;0,IF(AF927&lt;=eco,alpha*fck*(1-(1-AF927/eco)^n),alpha*fck),0)</f>
      </c>
      <c r="AH927" s="30">
        <f>PM_Angle!$J$19+PM_Angle!$K$19*$C927+PM_Angle!$L$19*$B927</f>
      </c>
      <c r="AI927" s="12">
        <f>IF(AH927&gt;0,IF(AH927&lt;=eco,alpha*fck*(1-(1-AH927/eco)^n),alpha*fck),0)</f>
      </c>
      <c r="AJ927" s="30">
        <f>PM_Angle!$J$20+PM_Angle!$K$20*$C927+PM_Angle!$L$20*$B927</f>
      </c>
      <c r="AK927" s="12">
        <f>IF(AJ927&gt;0,IF(AJ927&lt;=eco,alpha*fck*(1-(1-AJ927/eco)^n),alpha*fck),0)</f>
      </c>
      <c r="AL927" s="30">
        <f>PM_Angle!$J$21+PM_Angle!$K$21*$C927+PM_Angle!$L$21*$B927</f>
      </c>
      <c r="AM927" s="12">
        <f>IF(AL927&gt;0,IF(AL927&lt;=eco,alpha*fck*(1-(1-AL927/eco)^n),alpha*fck),0)</f>
      </c>
      <c r="AN927" s="30">
        <f>PM_Angle!$J$22+PM_Angle!$K$22*$C927+PM_Angle!$L$22*$B927</f>
      </c>
      <c r="AO927" s="12">
        <f>IF(AN927&gt;0,IF(AN927&lt;=eco,alpha*fck*(1-(1-AN927/eco)^n),alpha*fck),0)</f>
      </c>
      <c r="AP927" s="30">
        <f>PM_Angle!$J$23+PM_Angle!$K$23*$C927+PM_Angle!$L$23*$B927</f>
      </c>
      <c r="AQ927" s="12">
        <f>IF(AP927&gt;0,IF(AP927&lt;=eco,alpha*fck*(1-(1-AP927/eco)^n),alpha*fck),0)</f>
      </c>
      <c r="AR927" s="30">
        <f>PM_Angle!$J$24+PM_Angle!$K$24*$C927+PM_Angle!$L$24*$B927</f>
      </c>
      <c r="AS927" s="12">
        <f>IF(AR927&gt;0,IF(AR927&lt;=eco,alpha*fck*(1-(1-AR927/eco)^n),alpha*fck),0)</f>
      </c>
      <c r="AT927" s="30">
        <f>PM_Angle!$J$25+PM_Angle!$K$25*$C927+PM_Angle!$L$25*$B927</f>
      </c>
      <c r="AU927" s="12">
        <f>IF(AT927&gt;0,IF(AT927&lt;=eco,alpha*fck*(1-(1-AT927/eco)^n),alpha*fck),0)</f>
      </c>
    </row>
    <row r="928" spans="1:47" x14ac:dyDescent="0.25">
      <c r="A928">
        <f>Mesh!A925</f>
      </c>
      <c r="B928" s="12">
        <f>Mesh!B925</f>
      </c>
      <c r="C928" s="12">
        <f>Mesh!C925</f>
      </c>
      <c r="D928" s="12">
        <f>Mesh!D925</f>
      </c>
      <c r="E928" s="30">
        <f>INDEX(St_e0,Det+1)+INDEX(St_kx,Det+1)*C928+INDEX(St_ky,Det+1)*B928</f>
      </c>
      <c r="F928" s="12">
        <f>IF(E928&gt;0,IF(E928&lt;=eco,alpha*fck*(1-(1-E928/eco)^n),alpha*fck),0)</f>
      </c>
      <c r="G928" s="11">
        <f>F928*D928</f>
      </c>
      <c r="H928" s="11">
        <f>G928*C928</f>
      </c>
      <c r="I928" s="11">
        <f>G928*B928</f>
      </c>
      <c r="J928" s="30">
        <f>PM_Angle!$J$7+PM_Angle!$K$7*$C928+PM_Angle!$L$7*$B928</f>
      </c>
      <c r="K928" s="12">
        <f>IF(J928&gt;0,IF(J928&lt;=eco,alpha*fck*(1-(1-J928/eco)^n),alpha*fck),0)</f>
      </c>
      <c r="L928" s="30">
        <f>PM_Angle!$J$8+PM_Angle!$K$8*$C928+PM_Angle!$L$8*$B928</f>
      </c>
      <c r="M928" s="12">
        <f>IF(L928&gt;0,IF(L928&lt;=eco,alpha*fck*(1-(1-L928/eco)^n),alpha*fck),0)</f>
      </c>
      <c r="N928" s="30">
        <f>PM_Angle!$J$9+PM_Angle!$K$9*$C928+PM_Angle!$L$9*$B928</f>
      </c>
      <c r="O928" s="12">
        <f>IF(N928&gt;0,IF(N928&lt;=eco,alpha*fck*(1-(1-N928/eco)^n),alpha*fck),0)</f>
      </c>
      <c r="P928" s="30">
        <f>PM_Angle!$J$10+PM_Angle!$K$10*$C928+PM_Angle!$L$10*$B928</f>
      </c>
      <c r="Q928" s="12">
        <f>IF(P928&gt;0,IF(P928&lt;=eco,alpha*fck*(1-(1-P928/eco)^n),alpha*fck),0)</f>
      </c>
      <c r="R928" s="30">
        <f>PM_Angle!$J$11+PM_Angle!$K$11*$C928+PM_Angle!$L$11*$B928</f>
      </c>
      <c r="S928" s="12">
        <f>IF(R928&gt;0,IF(R928&lt;=eco,alpha*fck*(1-(1-R928/eco)^n),alpha*fck),0)</f>
      </c>
      <c r="T928" s="30">
        <f>PM_Angle!$J$12+PM_Angle!$K$12*$C928+PM_Angle!$L$12*$B928</f>
      </c>
      <c r="U928" s="12">
        <f>IF(T928&gt;0,IF(T928&lt;=eco,alpha*fck*(1-(1-T928/eco)^n),alpha*fck),0)</f>
      </c>
      <c r="V928" s="30">
        <f>PM_Angle!$J$13+PM_Angle!$K$13*$C928+PM_Angle!$L$13*$B928</f>
      </c>
      <c r="W928" s="12">
        <f>IF(V928&gt;0,IF(V928&lt;=eco,alpha*fck*(1-(1-V928/eco)^n),alpha*fck),0)</f>
      </c>
      <c r="X928" s="30">
        <f>PM_Angle!$J$14+PM_Angle!$K$14*$C928+PM_Angle!$L$14*$B928</f>
      </c>
      <c r="Y928" s="12">
        <f>IF(X928&gt;0,IF(X928&lt;=eco,alpha*fck*(1-(1-X928/eco)^n),alpha*fck),0)</f>
      </c>
      <c r="Z928" s="30">
        <f>PM_Angle!$J$15+PM_Angle!$K$15*$C928+PM_Angle!$L$15*$B928</f>
      </c>
      <c r="AA928" s="12">
        <f>IF(Z928&gt;0,IF(Z928&lt;=eco,alpha*fck*(1-(1-Z928/eco)^n),alpha*fck),0)</f>
      </c>
      <c r="AB928" s="30">
        <f>PM_Angle!$J$16+PM_Angle!$K$16*$C928+PM_Angle!$L$16*$B928</f>
      </c>
      <c r="AC928" s="12">
        <f>IF(AB928&gt;0,IF(AB928&lt;=eco,alpha*fck*(1-(1-AB928/eco)^n),alpha*fck),0)</f>
      </c>
      <c r="AD928" s="30">
        <f>PM_Angle!$J$17+PM_Angle!$K$17*$C928+PM_Angle!$L$17*$B928</f>
      </c>
      <c r="AE928" s="12">
        <f>IF(AD928&gt;0,IF(AD928&lt;=eco,alpha*fck*(1-(1-AD928/eco)^n),alpha*fck),0)</f>
      </c>
      <c r="AF928" s="30">
        <f>PM_Angle!$J$18+PM_Angle!$K$18*$C928+PM_Angle!$L$18*$B928</f>
      </c>
      <c r="AG928" s="12">
        <f>IF(AF928&gt;0,IF(AF928&lt;=eco,alpha*fck*(1-(1-AF928/eco)^n),alpha*fck),0)</f>
      </c>
      <c r="AH928" s="30">
        <f>PM_Angle!$J$19+PM_Angle!$K$19*$C928+PM_Angle!$L$19*$B928</f>
      </c>
      <c r="AI928" s="12">
        <f>IF(AH928&gt;0,IF(AH928&lt;=eco,alpha*fck*(1-(1-AH928/eco)^n),alpha*fck),0)</f>
      </c>
      <c r="AJ928" s="30">
        <f>PM_Angle!$J$20+PM_Angle!$K$20*$C928+PM_Angle!$L$20*$B928</f>
      </c>
      <c r="AK928" s="12">
        <f>IF(AJ928&gt;0,IF(AJ928&lt;=eco,alpha*fck*(1-(1-AJ928/eco)^n),alpha*fck),0)</f>
      </c>
      <c r="AL928" s="30">
        <f>PM_Angle!$J$21+PM_Angle!$K$21*$C928+PM_Angle!$L$21*$B928</f>
      </c>
      <c r="AM928" s="12">
        <f>IF(AL928&gt;0,IF(AL928&lt;=eco,alpha*fck*(1-(1-AL928/eco)^n),alpha*fck),0)</f>
      </c>
      <c r="AN928" s="30">
        <f>PM_Angle!$J$22+PM_Angle!$K$22*$C928+PM_Angle!$L$22*$B928</f>
      </c>
      <c r="AO928" s="12">
        <f>IF(AN928&gt;0,IF(AN928&lt;=eco,alpha*fck*(1-(1-AN928/eco)^n),alpha*fck),0)</f>
      </c>
      <c r="AP928" s="30">
        <f>PM_Angle!$J$23+PM_Angle!$K$23*$C928+PM_Angle!$L$23*$B928</f>
      </c>
      <c r="AQ928" s="12">
        <f>IF(AP928&gt;0,IF(AP928&lt;=eco,alpha*fck*(1-(1-AP928/eco)^n),alpha*fck),0)</f>
      </c>
      <c r="AR928" s="30">
        <f>PM_Angle!$J$24+PM_Angle!$K$24*$C928+PM_Angle!$L$24*$B928</f>
      </c>
      <c r="AS928" s="12">
        <f>IF(AR928&gt;0,IF(AR928&lt;=eco,alpha*fck*(1-(1-AR928/eco)^n),alpha*fck),0)</f>
      </c>
      <c r="AT928" s="30">
        <f>PM_Angle!$J$25+PM_Angle!$K$25*$C928+PM_Angle!$L$25*$B928</f>
      </c>
      <c r="AU928" s="12">
        <f>IF(AT928&gt;0,IF(AT928&lt;=eco,alpha*fck*(1-(1-AT928/eco)^n),alpha*fck),0)</f>
      </c>
    </row>
    <row r="929" spans="1:47" x14ac:dyDescent="0.25">
      <c r="A929">
        <f>Mesh!A926</f>
      </c>
      <c r="B929" s="12">
        <f>Mesh!B926</f>
      </c>
      <c r="C929" s="12">
        <f>Mesh!C926</f>
      </c>
      <c r="D929" s="12">
        <f>Mesh!D926</f>
      </c>
      <c r="E929" s="30">
        <f>INDEX(St_e0,Det+1)+INDEX(St_kx,Det+1)*C929+INDEX(St_ky,Det+1)*B929</f>
      </c>
      <c r="F929" s="12">
        <f>IF(E929&gt;0,IF(E929&lt;=eco,alpha*fck*(1-(1-E929/eco)^n),alpha*fck),0)</f>
      </c>
      <c r="G929" s="11">
        <f>F929*D929</f>
      </c>
      <c r="H929" s="11">
        <f>G929*C929</f>
      </c>
      <c r="I929" s="11">
        <f>G929*B929</f>
      </c>
      <c r="J929" s="30">
        <f>PM_Angle!$J$7+PM_Angle!$K$7*$C929+PM_Angle!$L$7*$B929</f>
      </c>
      <c r="K929" s="12">
        <f>IF(J929&gt;0,IF(J929&lt;=eco,alpha*fck*(1-(1-J929/eco)^n),alpha*fck),0)</f>
      </c>
      <c r="L929" s="30">
        <f>PM_Angle!$J$8+PM_Angle!$K$8*$C929+PM_Angle!$L$8*$B929</f>
      </c>
      <c r="M929" s="12">
        <f>IF(L929&gt;0,IF(L929&lt;=eco,alpha*fck*(1-(1-L929/eco)^n),alpha*fck),0)</f>
      </c>
      <c r="N929" s="30">
        <f>PM_Angle!$J$9+PM_Angle!$K$9*$C929+PM_Angle!$L$9*$B929</f>
      </c>
      <c r="O929" s="12">
        <f>IF(N929&gt;0,IF(N929&lt;=eco,alpha*fck*(1-(1-N929/eco)^n),alpha*fck),0)</f>
      </c>
      <c r="P929" s="30">
        <f>PM_Angle!$J$10+PM_Angle!$K$10*$C929+PM_Angle!$L$10*$B929</f>
      </c>
      <c r="Q929" s="12">
        <f>IF(P929&gt;0,IF(P929&lt;=eco,alpha*fck*(1-(1-P929/eco)^n),alpha*fck),0)</f>
      </c>
      <c r="R929" s="30">
        <f>PM_Angle!$J$11+PM_Angle!$K$11*$C929+PM_Angle!$L$11*$B929</f>
      </c>
      <c r="S929" s="12">
        <f>IF(R929&gt;0,IF(R929&lt;=eco,alpha*fck*(1-(1-R929/eco)^n),alpha*fck),0)</f>
      </c>
      <c r="T929" s="30">
        <f>PM_Angle!$J$12+PM_Angle!$K$12*$C929+PM_Angle!$L$12*$B929</f>
      </c>
      <c r="U929" s="12">
        <f>IF(T929&gt;0,IF(T929&lt;=eco,alpha*fck*(1-(1-T929/eco)^n),alpha*fck),0)</f>
      </c>
      <c r="V929" s="30">
        <f>PM_Angle!$J$13+PM_Angle!$K$13*$C929+PM_Angle!$L$13*$B929</f>
      </c>
      <c r="W929" s="12">
        <f>IF(V929&gt;0,IF(V929&lt;=eco,alpha*fck*(1-(1-V929/eco)^n),alpha*fck),0)</f>
      </c>
      <c r="X929" s="30">
        <f>PM_Angle!$J$14+PM_Angle!$K$14*$C929+PM_Angle!$L$14*$B929</f>
      </c>
      <c r="Y929" s="12">
        <f>IF(X929&gt;0,IF(X929&lt;=eco,alpha*fck*(1-(1-X929/eco)^n),alpha*fck),0)</f>
      </c>
      <c r="Z929" s="30">
        <f>PM_Angle!$J$15+PM_Angle!$K$15*$C929+PM_Angle!$L$15*$B929</f>
      </c>
      <c r="AA929" s="12">
        <f>IF(Z929&gt;0,IF(Z929&lt;=eco,alpha*fck*(1-(1-Z929/eco)^n),alpha*fck),0)</f>
      </c>
      <c r="AB929" s="30">
        <f>PM_Angle!$J$16+PM_Angle!$K$16*$C929+PM_Angle!$L$16*$B929</f>
      </c>
      <c r="AC929" s="12">
        <f>IF(AB929&gt;0,IF(AB929&lt;=eco,alpha*fck*(1-(1-AB929/eco)^n),alpha*fck),0)</f>
      </c>
      <c r="AD929" s="30">
        <f>PM_Angle!$J$17+PM_Angle!$K$17*$C929+PM_Angle!$L$17*$B929</f>
      </c>
      <c r="AE929" s="12">
        <f>IF(AD929&gt;0,IF(AD929&lt;=eco,alpha*fck*(1-(1-AD929/eco)^n),alpha*fck),0)</f>
      </c>
      <c r="AF929" s="30">
        <f>PM_Angle!$J$18+PM_Angle!$K$18*$C929+PM_Angle!$L$18*$B929</f>
      </c>
      <c r="AG929" s="12">
        <f>IF(AF929&gt;0,IF(AF929&lt;=eco,alpha*fck*(1-(1-AF929/eco)^n),alpha*fck),0)</f>
      </c>
      <c r="AH929" s="30">
        <f>PM_Angle!$J$19+PM_Angle!$K$19*$C929+PM_Angle!$L$19*$B929</f>
      </c>
      <c r="AI929" s="12">
        <f>IF(AH929&gt;0,IF(AH929&lt;=eco,alpha*fck*(1-(1-AH929/eco)^n),alpha*fck),0)</f>
      </c>
      <c r="AJ929" s="30">
        <f>PM_Angle!$J$20+PM_Angle!$K$20*$C929+PM_Angle!$L$20*$B929</f>
      </c>
      <c r="AK929" s="12">
        <f>IF(AJ929&gt;0,IF(AJ929&lt;=eco,alpha*fck*(1-(1-AJ929/eco)^n),alpha*fck),0)</f>
      </c>
      <c r="AL929" s="30">
        <f>PM_Angle!$J$21+PM_Angle!$K$21*$C929+PM_Angle!$L$21*$B929</f>
      </c>
      <c r="AM929" s="12">
        <f>IF(AL929&gt;0,IF(AL929&lt;=eco,alpha*fck*(1-(1-AL929/eco)^n),alpha*fck),0)</f>
      </c>
      <c r="AN929" s="30">
        <f>PM_Angle!$J$22+PM_Angle!$K$22*$C929+PM_Angle!$L$22*$B929</f>
      </c>
      <c r="AO929" s="12">
        <f>IF(AN929&gt;0,IF(AN929&lt;=eco,alpha*fck*(1-(1-AN929/eco)^n),alpha*fck),0)</f>
      </c>
      <c r="AP929" s="30">
        <f>PM_Angle!$J$23+PM_Angle!$K$23*$C929+PM_Angle!$L$23*$B929</f>
      </c>
      <c r="AQ929" s="12">
        <f>IF(AP929&gt;0,IF(AP929&lt;=eco,alpha*fck*(1-(1-AP929/eco)^n),alpha*fck),0)</f>
      </c>
      <c r="AR929" s="30">
        <f>PM_Angle!$J$24+PM_Angle!$K$24*$C929+PM_Angle!$L$24*$B929</f>
      </c>
      <c r="AS929" s="12">
        <f>IF(AR929&gt;0,IF(AR929&lt;=eco,alpha*fck*(1-(1-AR929/eco)^n),alpha*fck),0)</f>
      </c>
      <c r="AT929" s="30">
        <f>PM_Angle!$J$25+PM_Angle!$K$25*$C929+PM_Angle!$L$25*$B929</f>
      </c>
      <c r="AU929" s="12">
        <f>IF(AT929&gt;0,IF(AT929&lt;=eco,alpha*fck*(1-(1-AT929/eco)^n),alpha*fck),0)</f>
      </c>
    </row>
    <row r="930" spans="1:47" x14ac:dyDescent="0.25">
      <c r="A930">
        <f>Mesh!A927</f>
      </c>
      <c r="B930" s="12">
        <f>Mesh!B927</f>
      </c>
      <c r="C930" s="12">
        <f>Mesh!C927</f>
      </c>
      <c r="D930" s="12">
        <f>Mesh!D927</f>
      </c>
      <c r="E930" s="30">
        <f>INDEX(St_e0,Det+1)+INDEX(St_kx,Det+1)*C930+INDEX(St_ky,Det+1)*B930</f>
      </c>
      <c r="F930" s="12">
        <f>IF(E930&gt;0,IF(E930&lt;=eco,alpha*fck*(1-(1-E930/eco)^n),alpha*fck),0)</f>
      </c>
      <c r="G930" s="11">
        <f>F930*D930</f>
      </c>
      <c r="H930" s="11">
        <f>G930*C930</f>
      </c>
      <c r="I930" s="11">
        <f>G930*B930</f>
      </c>
      <c r="J930" s="30">
        <f>PM_Angle!$J$7+PM_Angle!$K$7*$C930+PM_Angle!$L$7*$B930</f>
      </c>
      <c r="K930" s="12">
        <f>IF(J930&gt;0,IF(J930&lt;=eco,alpha*fck*(1-(1-J930/eco)^n),alpha*fck),0)</f>
      </c>
      <c r="L930" s="30">
        <f>PM_Angle!$J$8+PM_Angle!$K$8*$C930+PM_Angle!$L$8*$B930</f>
      </c>
      <c r="M930" s="12">
        <f>IF(L930&gt;0,IF(L930&lt;=eco,alpha*fck*(1-(1-L930/eco)^n),alpha*fck),0)</f>
      </c>
      <c r="N930" s="30">
        <f>PM_Angle!$J$9+PM_Angle!$K$9*$C930+PM_Angle!$L$9*$B930</f>
      </c>
      <c r="O930" s="12">
        <f>IF(N930&gt;0,IF(N930&lt;=eco,alpha*fck*(1-(1-N930/eco)^n),alpha*fck),0)</f>
      </c>
      <c r="P930" s="30">
        <f>PM_Angle!$J$10+PM_Angle!$K$10*$C930+PM_Angle!$L$10*$B930</f>
      </c>
      <c r="Q930" s="12">
        <f>IF(P930&gt;0,IF(P930&lt;=eco,alpha*fck*(1-(1-P930/eco)^n),alpha*fck),0)</f>
      </c>
      <c r="R930" s="30">
        <f>PM_Angle!$J$11+PM_Angle!$K$11*$C930+PM_Angle!$L$11*$B930</f>
      </c>
      <c r="S930" s="12">
        <f>IF(R930&gt;0,IF(R930&lt;=eco,alpha*fck*(1-(1-R930/eco)^n),alpha*fck),0)</f>
      </c>
      <c r="T930" s="30">
        <f>PM_Angle!$J$12+PM_Angle!$K$12*$C930+PM_Angle!$L$12*$B930</f>
      </c>
      <c r="U930" s="12">
        <f>IF(T930&gt;0,IF(T930&lt;=eco,alpha*fck*(1-(1-T930/eco)^n),alpha*fck),0)</f>
      </c>
      <c r="V930" s="30">
        <f>PM_Angle!$J$13+PM_Angle!$K$13*$C930+PM_Angle!$L$13*$B930</f>
      </c>
      <c r="W930" s="12">
        <f>IF(V930&gt;0,IF(V930&lt;=eco,alpha*fck*(1-(1-V930/eco)^n),alpha*fck),0)</f>
      </c>
      <c r="X930" s="30">
        <f>PM_Angle!$J$14+PM_Angle!$K$14*$C930+PM_Angle!$L$14*$B930</f>
      </c>
      <c r="Y930" s="12">
        <f>IF(X930&gt;0,IF(X930&lt;=eco,alpha*fck*(1-(1-X930/eco)^n),alpha*fck),0)</f>
      </c>
      <c r="Z930" s="30">
        <f>PM_Angle!$J$15+PM_Angle!$K$15*$C930+PM_Angle!$L$15*$B930</f>
      </c>
      <c r="AA930" s="12">
        <f>IF(Z930&gt;0,IF(Z930&lt;=eco,alpha*fck*(1-(1-Z930/eco)^n),alpha*fck),0)</f>
      </c>
      <c r="AB930" s="30">
        <f>PM_Angle!$J$16+PM_Angle!$K$16*$C930+PM_Angle!$L$16*$B930</f>
      </c>
      <c r="AC930" s="12">
        <f>IF(AB930&gt;0,IF(AB930&lt;=eco,alpha*fck*(1-(1-AB930/eco)^n),alpha*fck),0)</f>
      </c>
      <c r="AD930" s="30">
        <f>PM_Angle!$J$17+PM_Angle!$K$17*$C930+PM_Angle!$L$17*$B930</f>
      </c>
      <c r="AE930" s="12">
        <f>IF(AD930&gt;0,IF(AD930&lt;=eco,alpha*fck*(1-(1-AD930/eco)^n),alpha*fck),0)</f>
      </c>
      <c r="AF930" s="30">
        <f>PM_Angle!$J$18+PM_Angle!$K$18*$C930+PM_Angle!$L$18*$B930</f>
      </c>
      <c r="AG930" s="12">
        <f>IF(AF930&gt;0,IF(AF930&lt;=eco,alpha*fck*(1-(1-AF930/eco)^n),alpha*fck),0)</f>
      </c>
      <c r="AH930" s="30">
        <f>PM_Angle!$J$19+PM_Angle!$K$19*$C930+PM_Angle!$L$19*$B930</f>
      </c>
      <c r="AI930" s="12">
        <f>IF(AH930&gt;0,IF(AH930&lt;=eco,alpha*fck*(1-(1-AH930/eco)^n),alpha*fck),0)</f>
      </c>
      <c r="AJ930" s="30">
        <f>PM_Angle!$J$20+PM_Angle!$K$20*$C930+PM_Angle!$L$20*$B930</f>
      </c>
      <c r="AK930" s="12">
        <f>IF(AJ930&gt;0,IF(AJ930&lt;=eco,alpha*fck*(1-(1-AJ930/eco)^n),alpha*fck),0)</f>
      </c>
      <c r="AL930" s="30">
        <f>PM_Angle!$J$21+PM_Angle!$K$21*$C930+PM_Angle!$L$21*$B930</f>
      </c>
      <c r="AM930" s="12">
        <f>IF(AL930&gt;0,IF(AL930&lt;=eco,alpha*fck*(1-(1-AL930/eco)^n),alpha*fck),0)</f>
      </c>
      <c r="AN930" s="30">
        <f>PM_Angle!$J$22+PM_Angle!$K$22*$C930+PM_Angle!$L$22*$B930</f>
      </c>
      <c r="AO930" s="12">
        <f>IF(AN930&gt;0,IF(AN930&lt;=eco,alpha*fck*(1-(1-AN930/eco)^n),alpha*fck),0)</f>
      </c>
      <c r="AP930" s="30">
        <f>PM_Angle!$J$23+PM_Angle!$K$23*$C930+PM_Angle!$L$23*$B930</f>
      </c>
      <c r="AQ930" s="12">
        <f>IF(AP930&gt;0,IF(AP930&lt;=eco,alpha*fck*(1-(1-AP930/eco)^n),alpha*fck),0)</f>
      </c>
      <c r="AR930" s="30">
        <f>PM_Angle!$J$24+PM_Angle!$K$24*$C930+PM_Angle!$L$24*$B930</f>
      </c>
      <c r="AS930" s="12">
        <f>IF(AR930&gt;0,IF(AR930&lt;=eco,alpha*fck*(1-(1-AR930/eco)^n),alpha*fck),0)</f>
      </c>
      <c r="AT930" s="30">
        <f>PM_Angle!$J$25+PM_Angle!$K$25*$C930+PM_Angle!$L$25*$B930</f>
      </c>
      <c r="AU930" s="12">
        <f>IF(AT930&gt;0,IF(AT930&lt;=eco,alpha*fck*(1-(1-AT930/eco)^n),alpha*fck),0)</f>
      </c>
    </row>
    <row r="931" spans="1:47" x14ac:dyDescent="0.25">
      <c r="A931">
        <f>Mesh!A928</f>
      </c>
      <c r="B931" s="12">
        <f>Mesh!B928</f>
      </c>
      <c r="C931" s="12">
        <f>Mesh!C928</f>
      </c>
      <c r="D931" s="12">
        <f>Mesh!D928</f>
      </c>
      <c r="E931" s="30">
        <f>INDEX(St_e0,Det+1)+INDEX(St_kx,Det+1)*C931+INDEX(St_ky,Det+1)*B931</f>
      </c>
      <c r="F931" s="12">
        <f>IF(E931&gt;0,IF(E931&lt;=eco,alpha*fck*(1-(1-E931/eco)^n),alpha*fck),0)</f>
      </c>
      <c r="G931" s="11">
        <f>F931*D931</f>
      </c>
      <c r="H931" s="11">
        <f>G931*C931</f>
      </c>
      <c r="I931" s="11">
        <f>G931*B931</f>
      </c>
      <c r="J931" s="30">
        <f>PM_Angle!$J$7+PM_Angle!$K$7*$C931+PM_Angle!$L$7*$B931</f>
      </c>
      <c r="K931" s="12">
        <f>IF(J931&gt;0,IF(J931&lt;=eco,alpha*fck*(1-(1-J931/eco)^n),alpha*fck),0)</f>
      </c>
      <c r="L931" s="30">
        <f>PM_Angle!$J$8+PM_Angle!$K$8*$C931+PM_Angle!$L$8*$B931</f>
      </c>
      <c r="M931" s="12">
        <f>IF(L931&gt;0,IF(L931&lt;=eco,alpha*fck*(1-(1-L931/eco)^n),alpha*fck),0)</f>
      </c>
      <c r="N931" s="30">
        <f>PM_Angle!$J$9+PM_Angle!$K$9*$C931+PM_Angle!$L$9*$B931</f>
      </c>
      <c r="O931" s="12">
        <f>IF(N931&gt;0,IF(N931&lt;=eco,alpha*fck*(1-(1-N931/eco)^n),alpha*fck),0)</f>
      </c>
      <c r="P931" s="30">
        <f>PM_Angle!$J$10+PM_Angle!$K$10*$C931+PM_Angle!$L$10*$B931</f>
      </c>
      <c r="Q931" s="12">
        <f>IF(P931&gt;0,IF(P931&lt;=eco,alpha*fck*(1-(1-P931/eco)^n),alpha*fck),0)</f>
      </c>
      <c r="R931" s="30">
        <f>PM_Angle!$J$11+PM_Angle!$K$11*$C931+PM_Angle!$L$11*$B931</f>
      </c>
      <c r="S931" s="12">
        <f>IF(R931&gt;0,IF(R931&lt;=eco,alpha*fck*(1-(1-R931/eco)^n),alpha*fck),0)</f>
      </c>
      <c r="T931" s="30">
        <f>PM_Angle!$J$12+PM_Angle!$K$12*$C931+PM_Angle!$L$12*$B931</f>
      </c>
      <c r="U931" s="12">
        <f>IF(T931&gt;0,IF(T931&lt;=eco,alpha*fck*(1-(1-T931/eco)^n),alpha*fck),0)</f>
      </c>
      <c r="V931" s="30">
        <f>PM_Angle!$J$13+PM_Angle!$K$13*$C931+PM_Angle!$L$13*$B931</f>
      </c>
      <c r="W931" s="12">
        <f>IF(V931&gt;0,IF(V931&lt;=eco,alpha*fck*(1-(1-V931/eco)^n),alpha*fck),0)</f>
      </c>
      <c r="X931" s="30">
        <f>PM_Angle!$J$14+PM_Angle!$K$14*$C931+PM_Angle!$L$14*$B931</f>
      </c>
      <c r="Y931" s="12">
        <f>IF(X931&gt;0,IF(X931&lt;=eco,alpha*fck*(1-(1-X931/eco)^n),alpha*fck),0)</f>
      </c>
      <c r="Z931" s="30">
        <f>PM_Angle!$J$15+PM_Angle!$K$15*$C931+PM_Angle!$L$15*$B931</f>
      </c>
      <c r="AA931" s="12">
        <f>IF(Z931&gt;0,IF(Z931&lt;=eco,alpha*fck*(1-(1-Z931/eco)^n),alpha*fck),0)</f>
      </c>
      <c r="AB931" s="30">
        <f>PM_Angle!$J$16+PM_Angle!$K$16*$C931+PM_Angle!$L$16*$B931</f>
      </c>
      <c r="AC931" s="12">
        <f>IF(AB931&gt;0,IF(AB931&lt;=eco,alpha*fck*(1-(1-AB931/eco)^n),alpha*fck),0)</f>
      </c>
      <c r="AD931" s="30">
        <f>PM_Angle!$J$17+PM_Angle!$K$17*$C931+PM_Angle!$L$17*$B931</f>
      </c>
      <c r="AE931" s="12">
        <f>IF(AD931&gt;0,IF(AD931&lt;=eco,alpha*fck*(1-(1-AD931/eco)^n),alpha*fck),0)</f>
      </c>
      <c r="AF931" s="30">
        <f>PM_Angle!$J$18+PM_Angle!$K$18*$C931+PM_Angle!$L$18*$B931</f>
      </c>
      <c r="AG931" s="12">
        <f>IF(AF931&gt;0,IF(AF931&lt;=eco,alpha*fck*(1-(1-AF931/eco)^n),alpha*fck),0)</f>
      </c>
      <c r="AH931" s="30">
        <f>PM_Angle!$J$19+PM_Angle!$K$19*$C931+PM_Angle!$L$19*$B931</f>
      </c>
      <c r="AI931" s="12">
        <f>IF(AH931&gt;0,IF(AH931&lt;=eco,alpha*fck*(1-(1-AH931/eco)^n),alpha*fck),0)</f>
      </c>
      <c r="AJ931" s="30">
        <f>PM_Angle!$J$20+PM_Angle!$K$20*$C931+PM_Angle!$L$20*$B931</f>
      </c>
      <c r="AK931" s="12">
        <f>IF(AJ931&gt;0,IF(AJ931&lt;=eco,alpha*fck*(1-(1-AJ931/eco)^n),alpha*fck),0)</f>
      </c>
      <c r="AL931" s="30">
        <f>PM_Angle!$J$21+PM_Angle!$K$21*$C931+PM_Angle!$L$21*$B931</f>
      </c>
      <c r="AM931" s="12">
        <f>IF(AL931&gt;0,IF(AL931&lt;=eco,alpha*fck*(1-(1-AL931/eco)^n),alpha*fck),0)</f>
      </c>
      <c r="AN931" s="30">
        <f>PM_Angle!$J$22+PM_Angle!$K$22*$C931+PM_Angle!$L$22*$B931</f>
      </c>
      <c r="AO931" s="12">
        <f>IF(AN931&gt;0,IF(AN931&lt;=eco,alpha*fck*(1-(1-AN931/eco)^n),alpha*fck),0)</f>
      </c>
      <c r="AP931" s="30">
        <f>PM_Angle!$J$23+PM_Angle!$K$23*$C931+PM_Angle!$L$23*$B931</f>
      </c>
      <c r="AQ931" s="12">
        <f>IF(AP931&gt;0,IF(AP931&lt;=eco,alpha*fck*(1-(1-AP931/eco)^n),alpha*fck),0)</f>
      </c>
      <c r="AR931" s="30">
        <f>PM_Angle!$J$24+PM_Angle!$K$24*$C931+PM_Angle!$L$24*$B931</f>
      </c>
      <c r="AS931" s="12">
        <f>IF(AR931&gt;0,IF(AR931&lt;=eco,alpha*fck*(1-(1-AR931/eco)^n),alpha*fck),0)</f>
      </c>
      <c r="AT931" s="30">
        <f>PM_Angle!$J$25+PM_Angle!$K$25*$C931+PM_Angle!$L$25*$B931</f>
      </c>
      <c r="AU931" s="12">
        <f>IF(AT931&gt;0,IF(AT931&lt;=eco,alpha*fck*(1-(1-AT931/eco)^n),alpha*fck),0)</f>
      </c>
    </row>
    <row r="932" spans="1:47" x14ac:dyDescent="0.25">
      <c r="A932">
        <f>Mesh!A929</f>
      </c>
      <c r="B932" s="12">
        <f>Mesh!B929</f>
      </c>
      <c r="C932" s="12">
        <f>Mesh!C929</f>
      </c>
      <c r="D932" s="12">
        <f>Mesh!D929</f>
      </c>
      <c r="E932" s="30">
        <f>INDEX(St_e0,Det+1)+INDEX(St_kx,Det+1)*C932+INDEX(St_ky,Det+1)*B932</f>
      </c>
      <c r="F932" s="12">
        <f>IF(E932&gt;0,IF(E932&lt;=eco,alpha*fck*(1-(1-E932/eco)^n),alpha*fck),0)</f>
      </c>
      <c r="G932" s="11">
        <f>F932*D932</f>
      </c>
      <c r="H932" s="11">
        <f>G932*C932</f>
      </c>
      <c r="I932" s="11">
        <f>G932*B932</f>
      </c>
      <c r="J932" s="30">
        <f>PM_Angle!$J$7+PM_Angle!$K$7*$C932+PM_Angle!$L$7*$B932</f>
      </c>
      <c r="K932" s="12">
        <f>IF(J932&gt;0,IF(J932&lt;=eco,alpha*fck*(1-(1-J932/eco)^n),alpha*fck),0)</f>
      </c>
      <c r="L932" s="30">
        <f>PM_Angle!$J$8+PM_Angle!$K$8*$C932+PM_Angle!$L$8*$B932</f>
      </c>
      <c r="M932" s="12">
        <f>IF(L932&gt;0,IF(L932&lt;=eco,alpha*fck*(1-(1-L932/eco)^n),alpha*fck),0)</f>
      </c>
      <c r="N932" s="30">
        <f>PM_Angle!$J$9+PM_Angle!$K$9*$C932+PM_Angle!$L$9*$B932</f>
      </c>
      <c r="O932" s="12">
        <f>IF(N932&gt;0,IF(N932&lt;=eco,alpha*fck*(1-(1-N932/eco)^n),alpha*fck),0)</f>
      </c>
      <c r="P932" s="30">
        <f>PM_Angle!$J$10+PM_Angle!$K$10*$C932+PM_Angle!$L$10*$B932</f>
      </c>
      <c r="Q932" s="12">
        <f>IF(P932&gt;0,IF(P932&lt;=eco,alpha*fck*(1-(1-P932/eco)^n),alpha*fck),0)</f>
      </c>
      <c r="R932" s="30">
        <f>PM_Angle!$J$11+PM_Angle!$K$11*$C932+PM_Angle!$L$11*$B932</f>
      </c>
      <c r="S932" s="12">
        <f>IF(R932&gt;0,IF(R932&lt;=eco,alpha*fck*(1-(1-R932/eco)^n),alpha*fck),0)</f>
      </c>
      <c r="T932" s="30">
        <f>PM_Angle!$J$12+PM_Angle!$K$12*$C932+PM_Angle!$L$12*$B932</f>
      </c>
      <c r="U932" s="12">
        <f>IF(T932&gt;0,IF(T932&lt;=eco,alpha*fck*(1-(1-T932/eco)^n),alpha*fck),0)</f>
      </c>
      <c r="V932" s="30">
        <f>PM_Angle!$J$13+PM_Angle!$K$13*$C932+PM_Angle!$L$13*$B932</f>
      </c>
      <c r="W932" s="12">
        <f>IF(V932&gt;0,IF(V932&lt;=eco,alpha*fck*(1-(1-V932/eco)^n),alpha*fck),0)</f>
      </c>
      <c r="X932" s="30">
        <f>PM_Angle!$J$14+PM_Angle!$K$14*$C932+PM_Angle!$L$14*$B932</f>
      </c>
      <c r="Y932" s="12">
        <f>IF(X932&gt;0,IF(X932&lt;=eco,alpha*fck*(1-(1-X932/eco)^n),alpha*fck),0)</f>
      </c>
      <c r="Z932" s="30">
        <f>PM_Angle!$J$15+PM_Angle!$K$15*$C932+PM_Angle!$L$15*$B932</f>
      </c>
      <c r="AA932" s="12">
        <f>IF(Z932&gt;0,IF(Z932&lt;=eco,alpha*fck*(1-(1-Z932/eco)^n),alpha*fck),0)</f>
      </c>
      <c r="AB932" s="30">
        <f>PM_Angle!$J$16+PM_Angle!$K$16*$C932+PM_Angle!$L$16*$B932</f>
      </c>
      <c r="AC932" s="12">
        <f>IF(AB932&gt;0,IF(AB932&lt;=eco,alpha*fck*(1-(1-AB932/eco)^n),alpha*fck),0)</f>
      </c>
      <c r="AD932" s="30">
        <f>PM_Angle!$J$17+PM_Angle!$K$17*$C932+PM_Angle!$L$17*$B932</f>
      </c>
      <c r="AE932" s="12">
        <f>IF(AD932&gt;0,IF(AD932&lt;=eco,alpha*fck*(1-(1-AD932/eco)^n),alpha*fck),0)</f>
      </c>
      <c r="AF932" s="30">
        <f>PM_Angle!$J$18+PM_Angle!$K$18*$C932+PM_Angle!$L$18*$B932</f>
      </c>
      <c r="AG932" s="12">
        <f>IF(AF932&gt;0,IF(AF932&lt;=eco,alpha*fck*(1-(1-AF932/eco)^n),alpha*fck),0)</f>
      </c>
      <c r="AH932" s="30">
        <f>PM_Angle!$J$19+PM_Angle!$K$19*$C932+PM_Angle!$L$19*$B932</f>
      </c>
      <c r="AI932" s="12">
        <f>IF(AH932&gt;0,IF(AH932&lt;=eco,alpha*fck*(1-(1-AH932/eco)^n),alpha*fck),0)</f>
      </c>
      <c r="AJ932" s="30">
        <f>PM_Angle!$J$20+PM_Angle!$K$20*$C932+PM_Angle!$L$20*$B932</f>
      </c>
      <c r="AK932" s="12">
        <f>IF(AJ932&gt;0,IF(AJ932&lt;=eco,alpha*fck*(1-(1-AJ932/eco)^n),alpha*fck),0)</f>
      </c>
      <c r="AL932" s="30">
        <f>PM_Angle!$J$21+PM_Angle!$K$21*$C932+PM_Angle!$L$21*$B932</f>
      </c>
      <c r="AM932" s="12">
        <f>IF(AL932&gt;0,IF(AL932&lt;=eco,alpha*fck*(1-(1-AL932/eco)^n),alpha*fck),0)</f>
      </c>
      <c r="AN932" s="30">
        <f>PM_Angle!$J$22+PM_Angle!$K$22*$C932+PM_Angle!$L$22*$B932</f>
      </c>
      <c r="AO932" s="12">
        <f>IF(AN932&gt;0,IF(AN932&lt;=eco,alpha*fck*(1-(1-AN932/eco)^n),alpha*fck),0)</f>
      </c>
      <c r="AP932" s="30">
        <f>PM_Angle!$J$23+PM_Angle!$K$23*$C932+PM_Angle!$L$23*$B932</f>
      </c>
      <c r="AQ932" s="12">
        <f>IF(AP932&gt;0,IF(AP932&lt;=eco,alpha*fck*(1-(1-AP932/eco)^n),alpha*fck),0)</f>
      </c>
      <c r="AR932" s="30">
        <f>PM_Angle!$J$24+PM_Angle!$K$24*$C932+PM_Angle!$L$24*$B932</f>
      </c>
      <c r="AS932" s="12">
        <f>IF(AR932&gt;0,IF(AR932&lt;=eco,alpha*fck*(1-(1-AR932/eco)^n),alpha*fck),0)</f>
      </c>
      <c r="AT932" s="30">
        <f>PM_Angle!$J$25+PM_Angle!$K$25*$C932+PM_Angle!$L$25*$B932</f>
      </c>
      <c r="AU932" s="12">
        <f>IF(AT932&gt;0,IF(AT932&lt;=eco,alpha*fck*(1-(1-AT932/eco)^n),alpha*fck),0)</f>
      </c>
    </row>
    <row r="933" spans="1:47" x14ac:dyDescent="0.25">
      <c r="A933">
        <f>Mesh!A930</f>
      </c>
      <c r="B933" s="12">
        <f>Mesh!B930</f>
      </c>
      <c r="C933" s="12">
        <f>Mesh!C930</f>
      </c>
      <c r="D933" s="12">
        <f>Mesh!D930</f>
      </c>
      <c r="E933" s="30">
        <f>INDEX(St_e0,Det+1)+INDEX(St_kx,Det+1)*C933+INDEX(St_ky,Det+1)*B933</f>
      </c>
      <c r="F933" s="12">
        <f>IF(E933&gt;0,IF(E933&lt;=eco,alpha*fck*(1-(1-E933/eco)^n),alpha*fck),0)</f>
      </c>
      <c r="G933" s="11">
        <f>F933*D933</f>
      </c>
      <c r="H933" s="11">
        <f>G933*C933</f>
      </c>
      <c r="I933" s="11">
        <f>G933*B933</f>
      </c>
      <c r="J933" s="30">
        <f>PM_Angle!$J$7+PM_Angle!$K$7*$C933+PM_Angle!$L$7*$B933</f>
      </c>
      <c r="K933" s="12">
        <f>IF(J933&gt;0,IF(J933&lt;=eco,alpha*fck*(1-(1-J933/eco)^n),alpha*fck),0)</f>
      </c>
      <c r="L933" s="30">
        <f>PM_Angle!$J$8+PM_Angle!$K$8*$C933+PM_Angle!$L$8*$B933</f>
      </c>
      <c r="M933" s="12">
        <f>IF(L933&gt;0,IF(L933&lt;=eco,alpha*fck*(1-(1-L933/eco)^n),alpha*fck),0)</f>
      </c>
      <c r="N933" s="30">
        <f>PM_Angle!$J$9+PM_Angle!$K$9*$C933+PM_Angle!$L$9*$B933</f>
      </c>
      <c r="O933" s="12">
        <f>IF(N933&gt;0,IF(N933&lt;=eco,alpha*fck*(1-(1-N933/eco)^n),alpha*fck),0)</f>
      </c>
      <c r="P933" s="30">
        <f>PM_Angle!$J$10+PM_Angle!$K$10*$C933+PM_Angle!$L$10*$B933</f>
      </c>
      <c r="Q933" s="12">
        <f>IF(P933&gt;0,IF(P933&lt;=eco,alpha*fck*(1-(1-P933/eco)^n),alpha*fck),0)</f>
      </c>
      <c r="R933" s="30">
        <f>PM_Angle!$J$11+PM_Angle!$K$11*$C933+PM_Angle!$L$11*$B933</f>
      </c>
      <c r="S933" s="12">
        <f>IF(R933&gt;0,IF(R933&lt;=eco,alpha*fck*(1-(1-R933/eco)^n),alpha*fck),0)</f>
      </c>
      <c r="T933" s="30">
        <f>PM_Angle!$J$12+PM_Angle!$K$12*$C933+PM_Angle!$L$12*$B933</f>
      </c>
      <c r="U933" s="12">
        <f>IF(T933&gt;0,IF(T933&lt;=eco,alpha*fck*(1-(1-T933/eco)^n),alpha*fck),0)</f>
      </c>
      <c r="V933" s="30">
        <f>PM_Angle!$J$13+PM_Angle!$K$13*$C933+PM_Angle!$L$13*$B933</f>
      </c>
      <c r="W933" s="12">
        <f>IF(V933&gt;0,IF(V933&lt;=eco,alpha*fck*(1-(1-V933/eco)^n),alpha*fck),0)</f>
      </c>
      <c r="X933" s="30">
        <f>PM_Angle!$J$14+PM_Angle!$K$14*$C933+PM_Angle!$L$14*$B933</f>
      </c>
      <c r="Y933" s="12">
        <f>IF(X933&gt;0,IF(X933&lt;=eco,alpha*fck*(1-(1-X933/eco)^n),alpha*fck),0)</f>
      </c>
      <c r="Z933" s="30">
        <f>PM_Angle!$J$15+PM_Angle!$K$15*$C933+PM_Angle!$L$15*$B933</f>
      </c>
      <c r="AA933" s="12">
        <f>IF(Z933&gt;0,IF(Z933&lt;=eco,alpha*fck*(1-(1-Z933/eco)^n),alpha*fck),0)</f>
      </c>
      <c r="AB933" s="30">
        <f>PM_Angle!$J$16+PM_Angle!$K$16*$C933+PM_Angle!$L$16*$B933</f>
      </c>
      <c r="AC933" s="12">
        <f>IF(AB933&gt;0,IF(AB933&lt;=eco,alpha*fck*(1-(1-AB933/eco)^n),alpha*fck),0)</f>
      </c>
      <c r="AD933" s="30">
        <f>PM_Angle!$J$17+PM_Angle!$K$17*$C933+PM_Angle!$L$17*$B933</f>
      </c>
      <c r="AE933" s="12">
        <f>IF(AD933&gt;0,IF(AD933&lt;=eco,alpha*fck*(1-(1-AD933/eco)^n),alpha*fck),0)</f>
      </c>
      <c r="AF933" s="30">
        <f>PM_Angle!$J$18+PM_Angle!$K$18*$C933+PM_Angle!$L$18*$B933</f>
      </c>
      <c r="AG933" s="12">
        <f>IF(AF933&gt;0,IF(AF933&lt;=eco,alpha*fck*(1-(1-AF933/eco)^n),alpha*fck),0)</f>
      </c>
      <c r="AH933" s="30">
        <f>PM_Angle!$J$19+PM_Angle!$K$19*$C933+PM_Angle!$L$19*$B933</f>
      </c>
      <c r="AI933" s="12">
        <f>IF(AH933&gt;0,IF(AH933&lt;=eco,alpha*fck*(1-(1-AH933/eco)^n),alpha*fck),0)</f>
      </c>
      <c r="AJ933" s="30">
        <f>PM_Angle!$J$20+PM_Angle!$K$20*$C933+PM_Angle!$L$20*$B933</f>
      </c>
      <c r="AK933" s="12">
        <f>IF(AJ933&gt;0,IF(AJ933&lt;=eco,alpha*fck*(1-(1-AJ933/eco)^n),alpha*fck),0)</f>
      </c>
      <c r="AL933" s="30">
        <f>PM_Angle!$J$21+PM_Angle!$K$21*$C933+PM_Angle!$L$21*$B933</f>
      </c>
      <c r="AM933" s="12">
        <f>IF(AL933&gt;0,IF(AL933&lt;=eco,alpha*fck*(1-(1-AL933/eco)^n),alpha*fck),0)</f>
      </c>
      <c r="AN933" s="30">
        <f>PM_Angle!$J$22+PM_Angle!$K$22*$C933+PM_Angle!$L$22*$B933</f>
      </c>
      <c r="AO933" s="12">
        <f>IF(AN933&gt;0,IF(AN933&lt;=eco,alpha*fck*(1-(1-AN933/eco)^n),alpha*fck),0)</f>
      </c>
      <c r="AP933" s="30">
        <f>PM_Angle!$J$23+PM_Angle!$K$23*$C933+PM_Angle!$L$23*$B933</f>
      </c>
      <c r="AQ933" s="12">
        <f>IF(AP933&gt;0,IF(AP933&lt;=eco,alpha*fck*(1-(1-AP933/eco)^n),alpha*fck),0)</f>
      </c>
      <c r="AR933" s="30">
        <f>PM_Angle!$J$24+PM_Angle!$K$24*$C933+PM_Angle!$L$24*$B933</f>
      </c>
      <c r="AS933" s="12">
        <f>IF(AR933&gt;0,IF(AR933&lt;=eco,alpha*fck*(1-(1-AR933/eco)^n),alpha*fck),0)</f>
      </c>
      <c r="AT933" s="30">
        <f>PM_Angle!$J$25+PM_Angle!$K$25*$C933+PM_Angle!$L$25*$B933</f>
      </c>
      <c r="AU933" s="12">
        <f>IF(AT933&gt;0,IF(AT933&lt;=eco,alpha*fck*(1-(1-AT933/eco)^n),alpha*fck),0)</f>
      </c>
    </row>
    <row r="934" spans="1:47" x14ac:dyDescent="0.25">
      <c r="A934">
        <f>Mesh!A931</f>
      </c>
      <c r="B934" s="12">
        <f>Mesh!B931</f>
      </c>
      <c r="C934" s="12">
        <f>Mesh!C931</f>
      </c>
      <c r="D934" s="12">
        <f>Mesh!D931</f>
      </c>
      <c r="E934" s="30">
        <f>INDEX(St_e0,Det+1)+INDEX(St_kx,Det+1)*C934+INDEX(St_ky,Det+1)*B934</f>
      </c>
      <c r="F934" s="12">
        <f>IF(E934&gt;0,IF(E934&lt;=eco,alpha*fck*(1-(1-E934/eco)^n),alpha*fck),0)</f>
      </c>
      <c r="G934" s="11">
        <f>F934*D934</f>
      </c>
      <c r="H934" s="11">
        <f>G934*C934</f>
      </c>
      <c r="I934" s="11">
        <f>G934*B934</f>
      </c>
      <c r="J934" s="30">
        <f>PM_Angle!$J$7+PM_Angle!$K$7*$C934+PM_Angle!$L$7*$B934</f>
      </c>
      <c r="K934" s="12">
        <f>IF(J934&gt;0,IF(J934&lt;=eco,alpha*fck*(1-(1-J934/eco)^n),alpha*fck),0)</f>
      </c>
      <c r="L934" s="30">
        <f>PM_Angle!$J$8+PM_Angle!$K$8*$C934+PM_Angle!$L$8*$B934</f>
      </c>
      <c r="M934" s="12">
        <f>IF(L934&gt;0,IF(L934&lt;=eco,alpha*fck*(1-(1-L934/eco)^n),alpha*fck),0)</f>
      </c>
      <c r="N934" s="30">
        <f>PM_Angle!$J$9+PM_Angle!$K$9*$C934+PM_Angle!$L$9*$B934</f>
      </c>
      <c r="O934" s="12">
        <f>IF(N934&gt;0,IF(N934&lt;=eco,alpha*fck*(1-(1-N934/eco)^n),alpha*fck),0)</f>
      </c>
      <c r="P934" s="30">
        <f>PM_Angle!$J$10+PM_Angle!$K$10*$C934+PM_Angle!$L$10*$B934</f>
      </c>
      <c r="Q934" s="12">
        <f>IF(P934&gt;0,IF(P934&lt;=eco,alpha*fck*(1-(1-P934/eco)^n),alpha*fck),0)</f>
      </c>
      <c r="R934" s="30">
        <f>PM_Angle!$J$11+PM_Angle!$K$11*$C934+PM_Angle!$L$11*$B934</f>
      </c>
      <c r="S934" s="12">
        <f>IF(R934&gt;0,IF(R934&lt;=eco,alpha*fck*(1-(1-R934/eco)^n),alpha*fck),0)</f>
      </c>
      <c r="T934" s="30">
        <f>PM_Angle!$J$12+PM_Angle!$K$12*$C934+PM_Angle!$L$12*$B934</f>
      </c>
      <c r="U934" s="12">
        <f>IF(T934&gt;0,IF(T934&lt;=eco,alpha*fck*(1-(1-T934/eco)^n),alpha*fck),0)</f>
      </c>
      <c r="V934" s="30">
        <f>PM_Angle!$J$13+PM_Angle!$K$13*$C934+PM_Angle!$L$13*$B934</f>
      </c>
      <c r="W934" s="12">
        <f>IF(V934&gt;0,IF(V934&lt;=eco,alpha*fck*(1-(1-V934/eco)^n),alpha*fck),0)</f>
      </c>
      <c r="X934" s="30">
        <f>PM_Angle!$J$14+PM_Angle!$K$14*$C934+PM_Angle!$L$14*$B934</f>
      </c>
      <c r="Y934" s="12">
        <f>IF(X934&gt;0,IF(X934&lt;=eco,alpha*fck*(1-(1-X934/eco)^n),alpha*fck),0)</f>
      </c>
      <c r="Z934" s="30">
        <f>PM_Angle!$J$15+PM_Angle!$K$15*$C934+PM_Angle!$L$15*$B934</f>
      </c>
      <c r="AA934" s="12">
        <f>IF(Z934&gt;0,IF(Z934&lt;=eco,alpha*fck*(1-(1-Z934/eco)^n),alpha*fck),0)</f>
      </c>
      <c r="AB934" s="30">
        <f>PM_Angle!$J$16+PM_Angle!$K$16*$C934+PM_Angle!$L$16*$B934</f>
      </c>
      <c r="AC934" s="12">
        <f>IF(AB934&gt;0,IF(AB934&lt;=eco,alpha*fck*(1-(1-AB934/eco)^n),alpha*fck),0)</f>
      </c>
      <c r="AD934" s="30">
        <f>PM_Angle!$J$17+PM_Angle!$K$17*$C934+PM_Angle!$L$17*$B934</f>
      </c>
      <c r="AE934" s="12">
        <f>IF(AD934&gt;0,IF(AD934&lt;=eco,alpha*fck*(1-(1-AD934/eco)^n),alpha*fck),0)</f>
      </c>
      <c r="AF934" s="30">
        <f>PM_Angle!$J$18+PM_Angle!$K$18*$C934+PM_Angle!$L$18*$B934</f>
      </c>
      <c r="AG934" s="12">
        <f>IF(AF934&gt;0,IF(AF934&lt;=eco,alpha*fck*(1-(1-AF934/eco)^n),alpha*fck),0)</f>
      </c>
      <c r="AH934" s="30">
        <f>PM_Angle!$J$19+PM_Angle!$K$19*$C934+PM_Angle!$L$19*$B934</f>
      </c>
      <c r="AI934" s="12">
        <f>IF(AH934&gt;0,IF(AH934&lt;=eco,alpha*fck*(1-(1-AH934/eco)^n),alpha*fck),0)</f>
      </c>
      <c r="AJ934" s="30">
        <f>PM_Angle!$J$20+PM_Angle!$K$20*$C934+PM_Angle!$L$20*$B934</f>
      </c>
      <c r="AK934" s="12">
        <f>IF(AJ934&gt;0,IF(AJ934&lt;=eco,alpha*fck*(1-(1-AJ934/eco)^n),alpha*fck),0)</f>
      </c>
      <c r="AL934" s="30">
        <f>PM_Angle!$J$21+PM_Angle!$K$21*$C934+PM_Angle!$L$21*$B934</f>
      </c>
      <c r="AM934" s="12">
        <f>IF(AL934&gt;0,IF(AL934&lt;=eco,alpha*fck*(1-(1-AL934/eco)^n),alpha*fck),0)</f>
      </c>
      <c r="AN934" s="30">
        <f>PM_Angle!$J$22+PM_Angle!$K$22*$C934+PM_Angle!$L$22*$B934</f>
      </c>
      <c r="AO934" s="12">
        <f>IF(AN934&gt;0,IF(AN934&lt;=eco,alpha*fck*(1-(1-AN934/eco)^n),alpha*fck),0)</f>
      </c>
      <c r="AP934" s="30">
        <f>PM_Angle!$J$23+PM_Angle!$K$23*$C934+PM_Angle!$L$23*$B934</f>
      </c>
      <c r="AQ934" s="12">
        <f>IF(AP934&gt;0,IF(AP934&lt;=eco,alpha*fck*(1-(1-AP934/eco)^n),alpha*fck),0)</f>
      </c>
      <c r="AR934" s="30">
        <f>PM_Angle!$J$24+PM_Angle!$K$24*$C934+PM_Angle!$L$24*$B934</f>
      </c>
      <c r="AS934" s="12">
        <f>IF(AR934&gt;0,IF(AR934&lt;=eco,alpha*fck*(1-(1-AR934/eco)^n),alpha*fck),0)</f>
      </c>
      <c r="AT934" s="30">
        <f>PM_Angle!$J$25+PM_Angle!$K$25*$C934+PM_Angle!$L$25*$B934</f>
      </c>
      <c r="AU934" s="12">
        <f>IF(AT934&gt;0,IF(AT934&lt;=eco,alpha*fck*(1-(1-AT934/eco)^n),alpha*fck),0)</f>
      </c>
    </row>
    <row r="935" spans="1:47" x14ac:dyDescent="0.25">
      <c r="A935">
        <f>Mesh!A932</f>
      </c>
      <c r="B935" s="12">
        <f>Mesh!B932</f>
      </c>
      <c r="C935" s="12">
        <f>Mesh!C932</f>
      </c>
      <c r="D935" s="12">
        <f>Mesh!D932</f>
      </c>
      <c r="E935" s="30">
        <f>INDEX(St_e0,Det+1)+INDEX(St_kx,Det+1)*C935+INDEX(St_ky,Det+1)*B935</f>
      </c>
      <c r="F935" s="12">
        <f>IF(E935&gt;0,IF(E935&lt;=eco,alpha*fck*(1-(1-E935/eco)^n),alpha*fck),0)</f>
      </c>
      <c r="G935" s="11">
        <f>F935*D935</f>
      </c>
      <c r="H935" s="11">
        <f>G935*C935</f>
      </c>
      <c r="I935" s="11">
        <f>G935*B935</f>
      </c>
      <c r="J935" s="30">
        <f>PM_Angle!$J$7+PM_Angle!$K$7*$C935+PM_Angle!$L$7*$B935</f>
      </c>
      <c r="K935" s="12">
        <f>IF(J935&gt;0,IF(J935&lt;=eco,alpha*fck*(1-(1-J935/eco)^n),alpha*fck),0)</f>
      </c>
      <c r="L935" s="30">
        <f>PM_Angle!$J$8+PM_Angle!$K$8*$C935+PM_Angle!$L$8*$B935</f>
      </c>
      <c r="M935" s="12">
        <f>IF(L935&gt;0,IF(L935&lt;=eco,alpha*fck*(1-(1-L935/eco)^n),alpha*fck),0)</f>
      </c>
      <c r="N935" s="30">
        <f>PM_Angle!$J$9+PM_Angle!$K$9*$C935+PM_Angle!$L$9*$B935</f>
      </c>
      <c r="O935" s="12">
        <f>IF(N935&gt;0,IF(N935&lt;=eco,alpha*fck*(1-(1-N935/eco)^n),alpha*fck),0)</f>
      </c>
      <c r="P935" s="30">
        <f>PM_Angle!$J$10+PM_Angle!$K$10*$C935+PM_Angle!$L$10*$B935</f>
      </c>
      <c r="Q935" s="12">
        <f>IF(P935&gt;0,IF(P935&lt;=eco,alpha*fck*(1-(1-P935/eco)^n),alpha*fck),0)</f>
      </c>
      <c r="R935" s="30">
        <f>PM_Angle!$J$11+PM_Angle!$K$11*$C935+PM_Angle!$L$11*$B935</f>
      </c>
      <c r="S935" s="12">
        <f>IF(R935&gt;0,IF(R935&lt;=eco,alpha*fck*(1-(1-R935/eco)^n),alpha*fck),0)</f>
      </c>
      <c r="T935" s="30">
        <f>PM_Angle!$J$12+PM_Angle!$K$12*$C935+PM_Angle!$L$12*$B935</f>
      </c>
      <c r="U935" s="12">
        <f>IF(T935&gt;0,IF(T935&lt;=eco,alpha*fck*(1-(1-T935/eco)^n),alpha*fck),0)</f>
      </c>
      <c r="V935" s="30">
        <f>PM_Angle!$J$13+PM_Angle!$K$13*$C935+PM_Angle!$L$13*$B935</f>
      </c>
      <c r="W935" s="12">
        <f>IF(V935&gt;0,IF(V935&lt;=eco,alpha*fck*(1-(1-V935/eco)^n),alpha*fck),0)</f>
      </c>
      <c r="X935" s="30">
        <f>PM_Angle!$J$14+PM_Angle!$K$14*$C935+PM_Angle!$L$14*$B935</f>
      </c>
      <c r="Y935" s="12">
        <f>IF(X935&gt;0,IF(X935&lt;=eco,alpha*fck*(1-(1-X935/eco)^n),alpha*fck),0)</f>
      </c>
      <c r="Z935" s="30">
        <f>PM_Angle!$J$15+PM_Angle!$K$15*$C935+PM_Angle!$L$15*$B935</f>
      </c>
      <c r="AA935" s="12">
        <f>IF(Z935&gt;0,IF(Z935&lt;=eco,alpha*fck*(1-(1-Z935/eco)^n),alpha*fck),0)</f>
      </c>
      <c r="AB935" s="30">
        <f>PM_Angle!$J$16+PM_Angle!$K$16*$C935+PM_Angle!$L$16*$B935</f>
      </c>
      <c r="AC935" s="12">
        <f>IF(AB935&gt;0,IF(AB935&lt;=eco,alpha*fck*(1-(1-AB935/eco)^n),alpha*fck),0)</f>
      </c>
      <c r="AD935" s="30">
        <f>PM_Angle!$J$17+PM_Angle!$K$17*$C935+PM_Angle!$L$17*$B935</f>
      </c>
      <c r="AE935" s="12">
        <f>IF(AD935&gt;0,IF(AD935&lt;=eco,alpha*fck*(1-(1-AD935/eco)^n),alpha*fck),0)</f>
      </c>
      <c r="AF935" s="30">
        <f>PM_Angle!$J$18+PM_Angle!$K$18*$C935+PM_Angle!$L$18*$B935</f>
      </c>
      <c r="AG935" s="12">
        <f>IF(AF935&gt;0,IF(AF935&lt;=eco,alpha*fck*(1-(1-AF935/eco)^n),alpha*fck),0)</f>
      </c>
      <c r="AH935" s="30">
        <f>PM_Angle!$J$19+PM_Angle!$K$19*$C935+PM_Angle!$L$19*$B935</f>
      </c>
      <c r="AI935" s="12">
        <f>IF(AH935&gt;0,IF(AH935&lt;=eco,alpha*fck*(1-(1-AH935/eco)^n),alpha*fck),0)</f>
      </c>
      <c r="AJ935" s="30">
        <f>PM_Angle!$J$20+PM_Angle!$K$20*$C935+PM_Angle!$L$20*$B935</f>
      </c>
      <c r="AK935" s="12">
        <f>IF(AJ935&gt;0,IF(AJ935&lt;=eco,alpha*fck*(1-(1-AJ935/eco)^n),alpha*fck),0)</f>
      </c>
      <c r="AL935" s="30">
        <f>PM_Angle!$J$21+PM_Angle!$K$21*$C935+PM_Angle!$L$21*$B935</f>
      </c>
      <c r="AM935" s="12">
        <f>IF(AL935&gt;0,IF(AL935&lt;=eco,alpha*fck*(1-(1-AL935/eco)^n),alpha*fck),0)</f>
      </c>
      <c r="AN935" s="30">
        <f>PM_Angle!$J$22+PM_Angle!$K$22*$C935+PM_Angle!$L$22*$B935</f>
      </c>
      <c r="AO935" s="12">
        <f>IF(AN935&gt;0,IF(AN935&lt;=eco,alpha*fck*(1-(1-AN935/eco)^n),alpha*fck),0)</f>
      </c>
      <c r="AP935" s="30">
        <f>PM_Angle!$J$23+PM_Angle!$K$23*$C935+PM_Angle!$L$23*$B935</f>
      </c>
      <c r="AQ935" s="12">
        <f>IF(AP935&gt;0,IF(AP935&lt;=eco,alpha*fck*(1-(1-AP935/eco)^n),alpha*fck),0)</f>
      </c>
      <c r="AR935" s="30">
        <f>PM_Angle!$J$24+PM_Angle!$K$24*$C935+PM_Angle!$L$24*$B935</f>
      </c>
      <c r="AS935" s="12">
        <f>IF(AR935&gt;0,IF(AR935&lt;=eco,alpha*fck*(1-(1-AR935/eco)^n),alpha*fck),0)</f>
      </c>
      <c r="AT935" s="30">
        <f>PM_Angle!$J$25+PM_Angle!$K$25*$C935+PM_Angle!$L$25*$B935</f>
      </c>
      <c r="AU935" s="12">
        <f>IF(AT935&gt;0,IF(AT935&lt;=eco,alpha*fck*(1-(1-AT935/eco)^n),alpha*fck),0)</f>
      </c>
    </row>
    <row r="936" spans="1:47" x14ac:dyDescent="0.25">
      <c r="A936">
        <f>Mesh!A933</f>
      </c>
      <c r="B936" s="12">
        <f>Mesh!B933</f>
      </c>
      <c r="C936" s="12">
        <f>Mesh!C933</f>
      </c>
      <c r="D936" s="12">
        <f>Mesh!D933</f>
      </c>
      <c r="E936" s="30">
        <f>INDEX(St_e0,Det+1)+INDEX(St_kx,Det+1)*C936+INDEX(St_ky,Det+1)*B936</f>
      </c>
      <c r="F936" s="12">
        <f>IF(E936&gt;0,IF(E936&lt;=eco,alpha*fck*(1-(1-E936/eco)^n),alpha*fck),0)</f>
      </c>
      <c r="G936" s="11">
        <f>F936*D936</f>
      </c>
      <c r="H936" s="11">
        <f>G936*C936</f>
      </c>
      <c r="I936" s="11">
        <f>G936*B936</f>
      </c>
      <c r="J936" s="30">
        <f>PM_Angle!$J$7+PM_Angle!$K$7*$C936+PM_Angle!$L$7*$B936</f>
      </c>
      <c r="K936" s="12">
        <f>IF(J936&gt;0,IF(J936&lt;=eco,alpha*fck*(1-(1-J936/eco)^n),alpha*fck),0)</f>
      </c>
      <c r="L936" s="30">
        <f>PM_Angle!$J$8+PM_Angle!$K$8*$C936+PM_Angle!$L$8*$B936</f>
      </c>
      <c r="M936" s="12">
        <f>IF(L936&gt;0,IF(L936&lt;=eco,alpha*fck*(1-(1-L936/eco)^n),alpha*fck),0)</f>
      </c>
      <c r="N936" s="30">
        <f>PM_Angle!$J$9+PM_Angle!$K$9*$C936+PM_Angle!$L$9*$B936</f>
      </c>
      <c r="O936" s="12">
        <f>IF(N936&gt;0,IF(N936&lt;=eco,alpha*fck*(1-(1-N936/eco)^n),alpha*fck),0)</f>
      </c>
      <c r="P936" s="30">
        <f>PM_Angle!$J$10+PM_Angle!$K$10*$C936+PM_Angle!$L$10*$B936</f>
      </c>
      <c r="Q936" s="12">
        <f>IF(P936&gt;0,IF(P936&lt;=eco,alpha*fck*(1-(1-P936/eco)^n),alpha*fck),0)</f>
      </c>
      <c r="R936" s="30">
        <f>PM_Angle!$J$11+PM_Angle!$K$11*$C936+PM_Angle!$L$11*$B936</f>
      </c>
      <c r="S936" s="12">
        <f>IF(R936&gt;0,IF(R936&lt;=eco,alpha*fck*(1-(1-R936/eco)^n),alpha*fck),0)</f>
      </c>
      <c r="T936" s="30">
        <f>PM_Angle!$J$12+PM_Angle!$K$12*$C936+PM_Angle!$L$12*$B936</f>
      </c>
      <c r="U936" s="12">
        <f>IF(T936&gt;0,IF(T936&lt;=eco,alpha*fck*(1-(1-T936/eco)^n),alpha*fck),0)</f>
      </c>
      <c r="V936" s="30">
        <f>PM_Angle!$J$13+PM_Angle!$K$13*$C936+PM_Angle!$L$13*$B936</f>
      </c>
      <c r="W936" s="12">
        <f>IF(V936&gt;0,IF(V936&lt;=eco,alpha*fck*(1-(1-V936/eco)^n),alpha*fck),0)</f>
      </c>
      <c r="X936" s="30">
        <f>PM_Angle!$J$14+PM_Angle!$K$14*$C936+PM_Angle!$L$14*$B936</f>
      </c>
      <c r="Y936" s="12">
        <f>IF(X936&gt;0,IF(X936&lt;=eco,alpha*fck*(1-(1-X936/eco)^n),alpha*fck),0)</f>
      </c>
      <c r="Z936" s="30">
        <f>PM_Angle!$J$15+PM_Angle!$K$15*$C936+PM_Angle!$L$15*$B936</f>
      </c>
      <c r="AA936" s="12">
        <f>IF(Z936&gt;0,IF(Z936&lt;=eco,alpha*fck*(1-(1-Z936/eco)^n),alpha*fck),0)</f>
      </c>
      <c r="AB936" s="30">
        <f>PM_Angle!$J$16+PM_Angle!$K$16*$C936+PM_Angle!$L$16*$B936</f>
      </c>
      <c r="AC936" s="12">
        <f>IF(AB936&gt;0,IF(AB936&lt;=eco,alpha*fck*(1-(1-AB936/eco)^n),alpha*fck),0)</f>
      </c>
      <c r="AD936" s="30">
        <f>PM_Angle!$J$17+PM_Angle!$K$17*$C936+PM_Angle!$L$17*$B936</f>
      </c>
      <c r="AE936" s="12">
        <f>IF(AD936&gt;0,IF(AD936&lt;=eco,alpha*fck*(1-(1-AD936/eco)^n),alpha*fck),0)</f>
      </c>
      <c r="AF936" s="30">
        <f>PM_Angle!$J$18+PM_Angle!$K$18*$C936+PM_Angle!$L$18*$B936</f>
      </c>
      <c r="AG936" s="12">
        <f>IF(AF936&gt;0,IF(AF936&lt;=eco,alpha*fck*(1-(1-AF936/eco)^n),alpha*fck),0)</f>
      </c>
      <c r="AH936" s="30">
        <f>PM_Angle!$J$19+PM_Angle!$K$19*$C936+PM_Angle!$L$19*$B936</f>
      </c>
      <c r="AI936" s="12">
        <f>IF(AH936&gt;0,IF(AH936&lt;=eco,alpha*fck*(1-(1-AH936/eco)^n),alpha*fck),0)</f>
      </c>
      <c r="AJ936" s="30">
        <f>PM_Angle!$J$20+PM_Angle!$K$20*$C936+PM_Angle!$L$20*$B936</f>
      </c>
      <c r="AK936" s="12">
        <f>IF(AJ936&gt;0,IF(AJ936&lt;=eco,alpha*fck*(1-(1-AJ936/eco)^n),alpha*fck),0)</f>
      </c>
      <c r="AL936" s="30">
        <f>PM_Angle!$J$21+PM_Angle!$K$21*$C936+PM_Angle!$L$21*$B936</f>
      </c>
      <c r="AM936" s="12">
        <f>IF(AL936&gt;0,IF(AL936&lt;=eco,alpha*fck*(1-(1-AL936/eco)^n),alpha*fck),0)</f>
      </c>
      <c r="AN936" s="30">
        <f>PM_Angle!$J$22+PM_Angle!$K$22*$C936+PM_Angle!$L$22*$B936</f>
      </c>
      <c r="AO936" s="12">
        <f>IF(AN936&gt;0,IF(AN936&lt;=eco,alpha*fck*(1-(1-AN936/eco)^n),alpha*fck),0)</f>
      </c>
      <c r="AP936" s="30">
        <f>PM_Angle!$J$23+PM_Angle!$K$23*$C936+PM_Angle!$L$23*$B936</f>
      </c>
      <c r="AQ936" s="12">
        <f>IF(AP936&gt;0,IF(AP936&lt;=eco,alpha*fck*(1-(1-AP936/eco)^n),alpha*fck),0)</f>
      </c>
      <c r="AR936" s="30">
        <f>PM_Angle!$J$24+PM_Angle!$K$24*$C936+PM_Angle!$L$24*$B936</f>
      </c>
      <c r="AS936" s="12">
        <f>IF(AR936&gt;0,IF(AR936&lt;=eco,alpha*fck*(1-(1-AR936/eco)^n),alpha*fck),0)</f>
      </c>
      <c r="AT936" s="30">
        <f>PM_Angle!$J$25+PM_Angle!$K$25*$C936+PM_Angle!$L$25*$B936</f>
      </c>
      <c r="AU936" s="12">
        <f>IF(AT936&gt;0,IF(AT936&lt;=eco,alpha*fck*(1-(1-AT936/eco)^n),alpha*fck),0)</f>
      </c>
    </row>
    <row r="937" spans="1:47" x14ac:dyDescent="0.25">
      <c r="A937">
        <f>Mesh!A934</f>
      </c>
      <c r="B937" s="12">
        <f>Mesh!B934</f>
      </c>
      <c r="C937" s="12">
        <f>Mesh!C934</f>
      </c>
      <c r="D937" s="12">
        <f>Mesh!D934</f>
      </c>
      <c r="E937" s="30">
        <f>INDEX(St_e0,Det+1)+INDEX(St_kx,Det+1)*C937+INDEX(St_ky,Det+1)*B937</f>
      </c>
      <c r="F937" s="12">
        <f>IF(E937&gt;0,IF(E937&lt;=eco,alpha*fck*(1-(1-E937/eco)^n),alpha*fck),0)</f>
      </c>
      <c r="G937" s="11">
        <f>F937*D937</f>
      </c>
      <c r="H937" s="11">
        <f>G937*C937</f>
      </c>
      <c r="I937" s="11">
        <f>G937*B937</f>
      </c>
      <c r="J937" s="30">
        <f>PM_Angle!$J$7+PM_Angle!$K$7*$C937+PM_Angle!$L$7*$B937</f>
      </c>
      <c r="K937" s="12">
        <f>IF(J937&gt;0,IF(J937&lt;=eco,alpha*fck*(1-(1-J937/eco)^n),alpha*fck),0)</f>
      </c>
      <c r="L937" s="30">
        <f>PM_Angle!$J$8+PM_Angle!$K$8*$C937+PM_Angle!$L$8*$B937</f>
      </c>
      <c r="M937" s="12">
        <f>IF(L937&gt;0,IF(L937&lt;=eco,alpha*fck*(1-(1-L937/eco)^n),alpha*fck),0)</f>
      </c>
      <c r="N937" s="30">
        <f>PM_Angle!$J$9+PM_Angle!$K$9*$C937+PM_Angle!$L$9*$B937</f>
      </c>
      <c r="O937" s="12">
        <f>IF(N937&gt;0,IF(N937&lt;=eco,alpha*fck*(1-(1-N937/eco)^n),alpha*fck),0)</f>
      </c>
      <c r="P937" s="30">
        <f>PM_Angle!$J$10+PM_Angle!$K$10*$C937+PM_Angle!$L$10*$B937</f>
      </c>
      <c r="Q937" s="12">
        <f>IF(P937&gt;0,IF(P937&lt;=eco,alpha*fck*(1-(1-P937/eco)^n),alpha*fck),0)</f>
      </c>
      <c r="R937" s="30">
        <f>PM_Angle!$J$11+PM_Angle!$K$11*$C937+PM_Angle!$L$11*$B937</f>
      </c>
      <c r="S937" s="12">
        <f>IF(R937&gt;0,IF(R937&lt;=eco,alpha*fck*(1-(1-R937/eco)^n),alpha*fck),0)</f>
      </c>
      <c r="T937" s="30">
        <f>PM_Angle!$J$12+PM_Angle!$K$12*$C937+PM_Angle!$L$12*$B937</f>
      </c>
      <c r="U937" s="12">
        <f>IF(T937&gt;0,IF(T937&lt;=eco,alpha*fck*(1-(1-T937/eco)^n),alpha*fck),0)</f>
      </c>
      <c r="V937" s="30">
        <f>PM_Angle!$J$13+PM_Angle!$K$13*$C937+PM_Angle!$L$13*$B937</f>
      </c>
      <c r="W937" s="12">
        <f>IF(V937&gt;0,IF(V937&lt;=eco,alpha*fck*(1-(1-V937/eco)^n),alpha*fck),0)</f>
      </c>
      <c r="X937" s="30">
        <f>PM_Angle!$J$14+PM_Angle!$K$14*$C937+PM_Angle!$L$14*$B937</f>
      </c>
      <c r="Y937" s="12">
        <f>IF(X937&gt;0,IF(X937&lt;=eco,alpha*fck*(1-(1-X937/eco)^n),alpha*fck),0)</f>
      </c>
      <c r="Z937" s="30">
        <f>PM_Angle!$J$15+PM_Angle!$K$15*$C937+PM_Angle!$L$15*$B937</f>
      </c>
      <c r="AA937" s="12">
        <f>IF(Z937&gt;0,IF(Z937&lt;=eco,alpha*fck*(1-(1-Z937/eco)^n),alpha*fck),0)</f>
      </c>
      <c r="AB937" s="30">
        <f>PM_Angle!$J$16+PM_Angle!$K$16*$C937+PM_Angle!$L$16*$B937</f>
      </c>
      <c r="AC937" s="12">
        <f>IF(AB937&gt;0,IF(AB937&lt;=eco,alpha*fck*(1-(1-AB937/eco)^n),alpha*fck),0)</f>
      </c>
      <c r="AD937" s="30">
        <f>PM_Angle!$J$17+PM_Angle!$K$17*$C937+PM_Angle!$L$17*$B937</f>
      </c>
      <c r="AE937" s="12">
        <f>IF(AD937&gt;0,IF(AD937&lt;=eco,alpha*fck*(1-(1-AD937/eco)^n),alpha*fck),0)</f>
      </c>
      <c r="AF937" s="30">
        <f>PM_Angle!$J$18+PM_Angle!$K$18*$C937+PM_Angle!$L$18*$B937</f>
      </c>
      <c r="AG937" s="12">
        <f>IF(AF937&gt;0,IF(AF937&lt;=eco,alpha*fck*(1-(1-AF937/eco)^n),alpha*fck),0)</f>
      </c>
      <c r="AH937" s="30">
        <f>PM_Angle!$J$19+PM_Angle!$K$19*$C937+PM_Angle!$L$19*$B937</f>
      </c>
      <c r="AI937" s="12">
        <f>IF(AH937&gt;0,IF(AH937&lt;=eco,alpha*fck*(1-(1-AH937/eco)^n),alpha*fck),0)</f>
      </c>
      <c r="AJ937" s="30">
        <f>PM_Angle!$J$20+PM_Angle!$K$20*$C937+PM_Angle!$L$20*$B937</f>
      </c>
      <c r="AK937" s="12">
        <f>IF(AJ937&gt;0,IF(AJ937&lt;=eco,alpha*fck*(1-(1-AJ937/eco)^n),alpha*fck),0)</f>
      </c>
      <c r="AL937" s="30">
        <f>PM_Angle!$J$21+PM_Angle!$K$21*$C937+PM_Angle!$L$21*$B937</f>
      </c>
      <c r="AM937" s="12">
        <f>IF(AL937&gt;0,IF(AL937&lt;=eco,alpha*fck*(1-(1-AL937/eco)^n),alpha*fck),0)</f>
      </c>
      <c r="AN937" s="30">
        <f>PM_Angle!$J$22+PM_Angle!$K$22*$C937+PM_Angle!$L$22*$B937</f>
      </c>
      <c r="AO937" s="12">
        <f>IF(AN937&gt;0,IF(AN937&lt;=eco,alpha*fck*(1-(1-AN937/eco)^n),alpha*fck),0)</f>
      </c>
      <c r="AP937" s="30">
        <f>PM_Angle!$J$23+PM_Angle!$K$23*$C937+PM_Angle!$L$23*$B937</f>
      </c>
      <c r="AQ937" s="12">
        <f>IF(AP937&gt;0,IF(AP937&lt;=eco,alpha*fck*(1-(1-AP937/eco)^n),alpha*fck),0)</f>
      </c>
      <c r="AR937" s="30">
        <f>PM_Angle!$J$24+PM_Angle!$K$24*$C937+PM_Angle!$L$24*$B937</f>
      </c>
      <c r="AS937" s="12">
        <f>IF(AR937&gt;0,IF(AR937&lt;=eco,alpha*fck*(1-(1-AR937/eco)^n),alpha*fck),0)</f>
      </c>
      <c r="AT937" s="30">
        <f>PM_Angle!$J$25+PM_Angle!$K$25*$C937+PM_Angle!$L$25*$B937</f>
      </c>
      <c r="AU937" s="12">
        <f>IF(AT937&gt;0,IF(AT937&lt;=eco,alpha*fck*(1-(1-AT937/eco)^n),alpha*fck),0)</f>
      </c>
    </row>
    <row r="938" spans="1:47" x14ac:dyDescent="0.25">
      <c r="A938">
        <f>Mesh!A935</f>
      </c>
      <c r="B938" s="12">
        <f>Mesh!B935</f>
      </c>
      <c r="C938" s="12">
        <f>Mesh!C935</f>
      </c>
      <c r="D938" s="12">
        <f>Mesh!D935</f>
      </c>
      <c r="E938" s="30">
        <f>INDEX(St_e0,Det+1)+INDEX(St_kx,Det+1)*C938+INDEX(St_ky,Det+1)*B938</f>
      </c>
      <c r="F938" s="12">
        <f>IF(E938&gt;0,IF(E938&lt;=eco,alpha*fck*(1-(1-E938/eco)^n),alpha*fck),0)</f>
      </c>
      <c r="G938" s="11">
        <f>F938*D938</f>
      </c>
      <c r="H938" s="11">
        <f>G938*C938</f>
      </c>
      <c r="I938" s="11">
        <f>G938*B938</f>
      </c>
      <c r="J938" s="30">
        <f>PM_Angle!$J$7+PM_Angle!$K$7*$C938+PM_Angle!$L$7*$B938</f>
      </c>
      <c r="K938" s="12">
        <f>IF(J938&gt;0,IF(J938&lt;=eco,alpha*fck*(1-(1-J938/eco)^n),alpha*fck),0)</f>
      </c>
      <c r="L938" s="30">
        <f>PM_Angle!$J$8+PM_Angle!$K$8*$C938+PM_Angle!$L$8*$B938</f>
      </c>
      <c r="M938" s="12">
        <f>IF(L938&gt;0,IF(L938&lt;=eco,alpha*fck*(1-(1-L938/eco)^n),alpha*fck),0)</f>
      </c>
      <c r="N938" s="30">
        <f>PM_Angle!$J$9+PM_Angle!$K$9*$C938+PM_Angle!$L$9*$B938</f>
      </c>
      <c r="O938" s="12">
        <f>IF(N938&gt;0,IF(N938&lt;=eco,alpha*fck*(1-(1-N938/eco)^n),alpha*fck),0)</f>
      </c>
      <c r="P938" s="30">
        <f>PM_Angle!$J$10+PM_Angle!$K$10*$C938+PM_Angle!$L$10*$B938</f>
      </c>
      <c r="Q938" s="12">
        <f>IF(P938&gt;0,IF(P938&lt;=eco,alpha*fck*(1-(1-P938/eco)^n),alpha*fck),0)</f>
      </c>
      <c r="R938" s="30">
        <f>PM_Angle!$J$11+PM_Angle!$K$11*$C938+PM_Angle!$L$11*$B938</f>
      </c>
      <c r="S938" s="12">
        <f>IF(R938&gt;0,IF(R938&lt;=eco,alpha*fck*(1-(1-R938/eco)^n),alpha*fck),0)</f>
      </c>
      <c r="T938" s="30">
        <f>PM_Angle!$J$12+PM_Angle!$K$12*$C938+PM_Angle!$L$12*$B938</f>
      </c>
      <c r="U938" s="12">
        <f>IF(T938&gt;0,IF(T938&lt;=eco,alpha*fck*(1-(1-T938/eco)^n),alpha*fck),0)</f>
      </c>
      <c r="V938" s="30">
        <f>PM_Angle!$J$13+PM_Angle!$K$13*$C938+PM_Angle!$L$13*$B938</f>
      </c>
      <c r="W938" s="12">
        <f>IF(V938&gt;0,IF(V938&lt;=eco,alpha*fck*(1-(1-V938/eco)^n),alpha*fck),0)</f>
      </c>
      <c r="X938" s="30">
        <f>PM_Angle!$J$14+PM_Angle!$K$14*$C938+PM_Angle!$L$14*$B938</f>
      </c>
      <c r="Y938" s="12">
        <f>IF(X938&gt;0,IF(X938&lt;=eco,alpha*fck*(1-(1-X938/eco)^n),alpha*fck),0)</f>
      </c>
      <c r="Z938" s="30">
        <f>PM_Angle!$J$15+PM_Angle!$K$15*$C938+PM_Angle!$L$15*$B938</f>
      </c>
      <c r="AA938" s="12">
        <f>IF(Z938&gt;0,IF(Z938&lt;=eco,alpha*fck*(1-(1-Z938/eco)^n),alpha*fck),0)</f>
      </c>
      <c r="AB938" s="30">
        <f>PM_Angle!$J$16+PM_Angle!$K$16*$C938+PM_Angle!$L$16*$B938</f>
      </c>
      <c r="AC938" s="12">
        <f>IF(AB938&gt;0,IF(AB938&lt;=eco,alpha*fck*(1-(1-AB938/eco)^n),alpha*fck),0)</f>
      </c>
      <c r="AD938" s="30">
        <f>PM_Angle!$J$17+PM_Angle!$K$17*$C938+PM_Angle!$L$17*$B938</f>
      </c>
      <c r="AE938" s="12">
        <f>IF(AD938&gt;0,IF(AD938&lt;=eco,alpha*fck*(1-(1-AD938/eco)^n),alpha*fck),0)</f>
      </c>
      <c r="AF938" s="30">
        <f>PM_Angle!$J$18+PM_Angle!$K$18*$C938+PM_Angle!$L$18*$B938</f>
      </c>
      <c r="AG938" s="12">
        <f>IF(AF938&gt;0,IF(AF938&lt;=eco,alpha*fck*(1-(1-AF938/eco)^n),alpha*fck),0)</f>
      </c>
      <c r="AH938" s="30">
        <f>PM_Angle!$J$19+PM_Angle!$K$19*$C938+PM_Angle!$L$19*$B938</f>
      </c>
      <c r="AI938" s="12">
        <f>IF(AH938&gt;0,IF(AH938&lt;=eco,alpha*fck*(1-(1-AH938/eco)^n),alpha*fck),0)</f>
      </c>
      <c r="AJ938" s="30">
        <f>PM_Angle!$J$20+PM_Angle!$K$20*$C938+PM_Angle!$L$20*$B938</f>
      </c>
      <c r="AK938" s="12">
        <f>IF(AJ938&gt;0,IF(AJ938&lt;=eco,alpha*fck*(1-(1-AJ938/eco)^n),alpha*fck),0)</f>
      </c>
      <c r="AL938" s="30">
        <f>PM_Angle!$J$21+PM_Angle!$K$21*$C938+PM_Angle!$L$21*$B938</f>
      </c>
      <c r="AM938" s="12">
        <f>IF(AL938&gt;0,IF(AL938&lt;=eco,alpha*fck*(1-(1-AL938/eco)^n),alpha*fck),0)</f>
      </c>
      <c r="AN938" s="30">
        <f>PM_Angle!$J$22+PM_Angle!$K$22*$C938+PM_Angle!$L$22*$B938</f>
      </c>
      <c r="AO938" s="12">
        <f>IF(AN938&gt;0,IF(AN938&lt;=eco,alpha*fck*(1-(1-AN938/eco)^n),alpha*fck),0)</f>
      </c>
      <c r="AP938" s="30">
        <f>PM_Angle!$J$23+PM_Angle!$K$23*$C938+PM_Angle!$L$23*$B938</f>
      </c>
      <c r="AQ938" s="12">
        <f>IF(AP938&gt;0,IF(AP938&lt;=eco,alpha*fck*(1-(1-AP938/eco)^n),alpha*fck),0)</f>
      </c>
      <c r="AR938" s="30">
        <f>PM_Angle!$J$24+PM_Angle!$K$24*$C938+PM_Angle!$L$24*$B938</f>
      </c>
      <c r="AS938" s="12">
        <f>IF(AR938&gt;0,IF(AR938&lt;=eco,alpha*fck*(1-(1-AR938/eco)^n),alpha*fck),0)</f>
      </c>
      <c r="AT938" s="30">
        <f>PM_Angle!$J$25+PM_Angle!$K$25*$C938+PM_Angle!$L$25*$B938</f>
      </c>
      <c r="AU938" s="12">
        <f>IF(AT938&gt;0,IF(AT938&lt;=eco,alpha*fck*(1-(1-AT938/eco)^n),alpha*fck),0)</f>
      </c>
    </row>
    <row r="939" spans="1:47" x14ac:dyDescent="0.25">
      <c r="A939">
        <f>Mesh!A936</f>
      </c>
      <c r="B939" s="12">
        <f>Mesh!B936</f>
      </c>
      <c r="C939" s="12">
        <f>Mesh!C936</f>
      </c>
      <c r="D939" s="12">
        <f>Mesh!D936</f>
      </c>
      <c r="E939" s="30">
        <f>INDEX(St_e0,Det+1)+INDEX(St_kx,Det+1)*C939+INDEX(St_ky,Det+1)*B939</f>
      </c>
      <c r="F939" s="12">
        <f>IF(E939&gt;0,IF(E939&lt;=eco,alpha*fck*(1-(1-E939/eco)^n),alpha*fck),0)</f>
      </c>
      <c r="G939" s="11">
        <f>F939*D939</f>
      </c>
      <c r="H939" s="11">
        <f>G939*C939</f>
      </c>
      <c r="I939" s="11">
        <f>G939*B939</f>
      </c>
      <c r="J939" s="30">
        <f>PM_Angle!$J$7+PM_Angle!$K$7*$C939+PM_Angle!$L$7*$B939</f>
      </c>
      <c r="K939" s="12">
        <f>IF(J939&gt;0,IF(J939&lt;=eco,alpha*fck*(1-(1-J939/eco)^n),alpha*fck),0)</f>
      </c>
      <c r="L939" s="30">
        <f>PM_Angle!$J$8+PM_Angle!$K$8*$C939+PM_Angle!$L$8*$B939</f>
      </c>
      <c r="M939" s="12">
        <f>IF(L939&gt;0,IF(L939&lt;=eco,alpha*fck*(1-(1-L939/eco)^n),alpha*fck),0)</f>
      </c>
      <c r="N939" s="30">
        <f>PM_Angle!$J$9+PM_Angle!$K$9*$C939+PM_Angle!$L$9*$B939</f>
      </c>
      <c r="O939" s="12">
        <f>IF(N939&gt;0,IF(N939&lt;=eco,alpha*fck*(1-(1-N939/eco)^n),alpha*fck),0)</f>
      </c>
      <c r="P939" s="30">
        <f>PM_Angle!$J$10+PM_Angle!$K$10*$C939+PM_Angle!$L$10*$B939</f>
      </c>
      <c r="Q939" s="12">
        <f>IF(P939&gt;0,IF(P939&lt;=eco,alpha*fck*(1-(1-P939/eco)^n),alpha*fck),0)</f>
      </c>
      <c r="R939" s="30">
        <f>PM_Angle!$J$11+PM_Angle!$K$11*$C939+PM_Angle!$L$11*$B939</f>
      </c>
      <c r="S939" s="12">
        <f>IF(R939&gt;0,IF(R939&lt;=eco,alpha*fck*(1-(1-R939/eco)^n),alpha*fck),0)</f>
      </c>
      <c r="T939" s="30">
        <f>PM_Angle!$J$12+PM_Angle!$K$12*$C939+PM_Angle!$L$12*$B939</f>
      </c>
      <c r="U939" s="12">
        <f>IF(T939&gt;0,IF(T939&lt;=eco,alpha*fck*(1-(1-T939/eco)^n),alpha*fck),0)</f>
      </c>
      <c r="V939" s="30">
        <f>PM_Angle!$J$13+PM_Angle!$K$13*$C939+PM_Angle!$L$13*$B939</f>
      </c>
      <c r="W939" s="12">
        <f>IF(V939&gt;0,IF(V939&lt;=eco,alpha*fck*(1-(1-V939/eco)^n),alpha*fck),0)</f>
      </c>
      <c r="X939" s="30">
        <f>PM_Angle!$J$14+PM_Angle!$K$14*$C939+PM_Angle!$L$14*$B939</f>
      </c>
      <c r="Y939" s="12">
        <f>IF(X939&gt;0,IF(X939&lt;=eco,alpha*fck*(1-(1-X939/eco)^n),alpha*fck),0)</f>
      </c>
      <c r="Z939" s="30">
        <f>PM_Angle!$J$15+PM_Angle!$K$15*$C939+PM_Angle!$L$15*$B939</f>
      </c>
      <c r="AA939" s="12">
        <f>IF(Z939&gt;0,IF(Z939&lt;=eco,alpha*fck*(1-(1-Z939/eco)^n),alpha*fck),0)</f>
      </c>
      <c r="AB939" s="30">
        <f>PM_Angle!$J$16+PM_Angle!$K$16*$C939+PM_Angle!$L$16*$B939</f>
      </c>
      <c r="AC939" s="12">
        <f>IF(AB939&gt;0,IF(AB939&lt;=eco,alpha*fck*(1-(1-AB939/eco)^n),alpha*fck),0)</f>
      </c>
      <c r="AD939" s="30">
        <f>PM_Angle!$J$17+PM_Angle!$K$17*$C939+PM_Angle!$L$17*$B939</f>
      </c>
      <c r="AE939" s="12">
        <f>IF(AD939&gt;0,IF(AD939&lt;=eco,alpha*fck*(1-(1-AD939/eco)^n),alpha*fck),0)</f>
      </c>
      <c r="AF939" s="30">
        <f>PM_Angle!$J$18+PM_Angle!$K$18*$C939+PM_Angle!$L$18*$B939</f>
      </c>
      <c r="AG939" s="12">
        <f>IF(AF939&gt;0,IF(AF939&lt;=eco,alpha*fck*(1-(1-AF939/eco)^n),alpha*fck),0)</f>
      </c>
      <c r="AH939" s="30">
        <f>PM_Angle!$J$19+PM_Angle!$K$19*$C939+PM_Angle!$L$19*$B939</f>
      </c>
      <c r="AI939" s="12">
        <f>IF(AH939&gt;0,IF(AH939&lt;=eco,alpha*fck*(1-(1-AH939/eco)^n),alpha*fck),0)</f>
      </c>
      <c r="AJ939" s="30">
        <f>PM_Angle!$J$20+PM_Angle!$K$20*$C939+PM_Angle!$L$20*$B939</f>
      </c>
      <c r="AK939" s="12">
        <f>IF(AJ939&gt;0,IF(AJ939&lt;=eco,alpha*fck*(1-(1-AJ939/eco)^n),alpha*fck),0)</f>
      </c>
      <c r="AL939" s="30">
        <f>PM_Angle!$J$21+PM_Angle!$K$21*$C939+PM_Angle!$L$21*$B939</f>
      </c>
      <c r="AM939" s="12">
        <f>IF(AL939&gt;0,IF(AL939&lt;=eco,alpha*fck*(1-(1-AL939/eco)^n),alpha*fck),0)</f>
      </c>
      <c r="AN939" s="30">
        <f>PM_Angle!$J$22+PM_Angle!$K$22*$C939+PM_Angle!$L$22*$B939</f>
      </c>
      <c r="AO939" s="12">
        <f>IF(AN939&gt;0,IF(AN939&lt;=eco,alpha*fck*(1-(1-AN939/eco)^n),alpha*fck),0)</f>
      </c>
      <c r="AP939" s="30">
        <f>PM_Angle!$J$23+PM_Angle!$K$23*$C939+PM_Angle!$L$23*$B939</f>
      </c>
      <c r="AQ939" s="12">
        <f>IF(AP939&gt;0,IF(AP939&lt;=eco,alpha*fck*(1-(1-AP939/eco)^n),alpha*fck),0)</f>
      </c>
      <c r="AR939" s="30">
        <f>PM_Angle!$J$24+PM_Angle!$K$24*$C939+PM_Angle!$L$24*$B939</f>
      </c>
      <c r="AS939" s="12">
        <f>IF(AR939&gt;0,IF(AR939&lt;=eco,alpha*fck*(1-(1-AR939/eco)^n),alpha*fck),0)</f>
      </c>
      <c r="AT939" s="30">
        <f>PM_Angle!$J$25+PM_Angle!$K$25*$C939+PM_Angle!$L$25*$B939</f>
      </c>
      <c r="AU939" s="12">
        <f>IF(AT939&gt;0,IF(AT939&lt;=eco,alpha*fck*(1-(1-AT939/eco)^n),alpha*fck),0)</f>
      </c>
    </row>
    <row r="940" spans="1:47" x14ac:dyDescent="0.25">
      <c r="A940">
        <f>Mesh!A937</f>
      </c>
      <c r="B940" s="12">
        <f>Mesh!B937</f>
      </c>
      <c r="C940" s="12">
        <f>Mesh!C937</f>
      </c>
      <c r="D940" s="12">
        <f>Mesh!D937</f>
      </c>
      <c r="E940" s="30">
        <f>INDEX(St_e0,Det+1)+INDEX(St_kx,Det+1)*C940+INDEX(St_ky,Det+1)*B940</f>
      </c>
      <c r="F940" s="12">
        <f>IF(E940&gt;0,IF(E940&lt;=eco,alpha*fck*(1-(1-E940/eco)^n),alpha*fck),0)</f>
      </c>
      <c r="G940" s="11">
        <f>F940*D940</f>
      </c>
      <c r="H940" s="11">
        <f>G940*C940</f>
      </c>
      <c r="I940" s="11">
        <f>G940*B940</f>
      </c>
      <c r="J940" s="30">
        <f>PM_Angle!$J$7+PM_Angle!$K$7*$C940+PM_Angle!$L$7*$B940</f>
      </c>
      <c r="K940" s="12">
        <f>IF(J940&gt;0,IF(J940&lt;=eco,alpha*fck*(1-(1-J940/eco)^n),alpha*fck),0)</f>
      </c>
      <c r="L940" s="30">
        <f>PM_Angle!$J$8+PM_Angle!$K$8*$C940+PM_Angle!$L$8*$B940</f>
      </c>
      <c r="M940" s="12">
        <f>IF(L940&gt;0,IF(L940&lt;=eco,alpha*fck*(1-(1-L940/eco)^n),alpha*fck),0)</f>
      </c>
      <c r="N940" s="30">
        <f>PM_Angle!$J$9+PM_Angle!$K$9*$C940+PM_Angle!$L$9*$B940</f>
      </c>
      <c r="O940" s="12">
        <f>IF(N940&gt;0,IF(N940&lt;=eco,alpha*fck*(1-(1-N940/eco)^n),alpha*fck),0)</f>
      </c>
      <c r="P940" s="30">
        <f>PM_Angle!$J$10+PM_Angle!$K$10*$C940+PM_Angle!$L$10*$B940</f>
      </c>
      <c r="Q940" s="12">
        <f>IF(P940&gt;0,IF(P940&lt;=eco,alpha*fck*(1-(1-P940/eco)^n),alpha*fck),0)</f>
      </c>
      <c r="R940" s="30">
        <f>PM_Angle!$J$11+PM_Angle!$K$11*$C940+PM_Angle!$L$11*$B940</f>
      </c>
      <c r="S940" s="12">
        <f>IF(R940&gt;0,IF(R940&lt;=eco,alpha*fck*(1-(1-R940/eco)^n),alpha*fck),0)</f>
      </c>
      <c r="T940" s="30">
        <f>PM_Angle!$J$12+PM_Angle!$K$12*$C940+PM_Angle!$L$12*$B940</f>
      </c>
      <c r="U940" s="12">
        <f>IF(T940&gt;0,IF(T940&lt;=eco,alpha*fck*(1-(1-T940/eco)^n),alpha*fck),0)</f>
      </c>
      <c r="V940" s="30">
        <f>PM_Angle!$J$13+PM_Angle!$K$13*$C940+PM_Angle!$L$13*$B940</f>
      </c>
      <c r="W940" s="12">
        <f>IF(V940&gt;0,IF(V940&lt;=eco,alpha*fck*(1-(1-V940/eco)^n),alpha*fck),0)</f>
      </c>
      <c r="X940" s="30">
        <f>PM_Angle!$J$14+PM_Angle!$K$14*$C940+PM_Angle!$L$14*$B940</f>
      </c>
      <c r="Y940" s="12">
        <f>IF(X940&gt;0,IF(X940&lt;=eco,alpha*fck*(1-(1-X940/eco)^n),alpha*fck),0)</f>
      </c>
      <c r="Z940" s="30">
        <f>PM_Angle!$J$15+PM_Angle!$K$15*$C940+PM_Angle!$L$15*$B940</f>
      </c>
      <c r="AA940" s="12">
        <f>IF(Z940&gt;0,IF(Z940&lt;=eco,alpha*fck*(1-(1-Z940/eco)^n),alpha*fck),0)</f>
      </c>
      <c r="AB940" s="30">
        <f>PM_Angle!$J$16+PM_Angle!$K$16*$C940+PM_Angle!$L$16*$B940</f>
      </c>
      <c r="AC940" s="12">
        <f>IF(AB940&gt;0,IF(AB940&lt;=eco,alpha*fck*(1-(1-AB940/eco)^n),alpha*fck),0)</f>
      </c>
      <c r="AD940" s="30">
        <f>PM_Angle!$J$17+PM_Angle!$K$17*$C940+PM_Angle!$L$17*$B940</f>
      </c>
      <c r="AE940" s="12">
        <f>IF(AD940&gt;0,IF(AD940&lt;=eco,alpha*fck*(1-(1-AD940/eco)^n),alpha*fck),0)</f>
      </c>
      <c r="AF940" s="30">
        <f>PM_Angle!$J$18+PM_Angle!$K$18*$C940+PM_Angle!$L$18*$B940</f>
      </c>
      <c r="AG940" s="12">
        <f>IF(AF940&gt;0,IF(AF940&lt;=eco,alpha*fck*(1-(1-AF940/eco)^n),alpha*fck),0)</f>
      </c>
      <c r="AH940" s="30">
        <f>PM_Angle!$J$19+PM_Angle!$K$19*$C940+PM_Angle!$L$19*$B940</f>
      </c>
      <c r="AI940" s="12">
        <f>IF(AH940&gt;0,IF(AH940&lt;=eco,alpha*fck*(1-(1-AH940/eco)^n),alpha*fck),0)</f>
      </c>
      <c r="AJ940" s="30">
        <f>PM_Angle!$J$20+PM_Angle!$K$20*$C940+PM_Angle!$L$20*$B940</f>
      </c>
      <c r="AK940" s="12">
        <f>IF(AJ940&gt;0,IF(AJ940&lt;=eco,alpha*fck*(1-(1-AJ940/eco)^n),alpha*fck),0)</f>
      </c>
      <c r="AL940" s="30">
        <f>PM_Angle!$J$21+PM_Angle!$K$21*$C940+PM_Angle!$L$21*$B940</f>
      </c>
      <c r="AM940" s="12">
        <f>IF(AL940&gt;0,IF(AL940&lt;=eco,alpha*fck*(1-(1-AL940/eco)^n),alpha*fck),0)</f>
      </c>
      <c r="AN940" s="30">
        <f>PM_Angle!$J$22+PM_Angle!$K$22*$C940+PM_Angle!$L$22*$B940</f>
      </c>
      <c r="AO940" s="12">
        <f>IF(AN940&gt;0,IF(AN940&lt;=eco,alpha*fck*(1-(1-AN940/eco)^n),alpha*fck),0)</f>
      </c>
      <c r="AP940" s="30">
        <f>PM_Angle!$J$23+PM_Angle!$K$23*$C940+PM_Angle!$L$23*$B940</f>
      </c>
      <c r="AQ940" s="12">
        <f>IF(AP940&gt;0,IF(AP940&lt;=eco,alpha*fck*(1-(1-AP940/eco)^n),alpha*fck),0)</f>
      </c>
      <c r="AR940" s="30">
        <f>PM_Angle!$J$24+PM_Angle!$K$24*$C940+PM_Angle!$L$24*$B940</f>
      </c>
      <c r="AS940" s="12">
        <f>IF(AR940&gt;0,IF(AR940&lt;=eco,alpha*fck*(1-(1-AR940/eco)^n),alpha*fck),0)</f>
      </c>
      <c r="AT940" s="30">
        <f>PM_Angle!$J$25+PM_Angle!$K$25*$C940+PM_Angle!$L$25*$B940</f>
      </c>
      <c r="AU940" s="12">
        <f>IF(AT940&gt;0,IF(AT940&lt;=eco,alpha*fck*(1-(1-AT940/eco)^n),alpha*fck),0)</f>
      </c>
    </row>
    <row r="941" spans="1:47" x14ac:dyDescent="0.25">
      <c r="A941">
        <f>Mesh!A938</f>
      </c>
      <c r="B941" s="12">
        <f>Mesh!B938</f>
      </c>
      <c r="C941" s="12">
        <f>Mesh!C938</f>
      </c>
      <c r="D941" s="12">
        <f>Mesh!D938</f>
      </c>
      <c r="E941" s="30">
        <f>INDEX(St_e0,Det+1)+INDEX(St_kx,Det+1)*C941+INDEX(St_ky,Det+1)*B941</f>
      </c>
      <c r="F941" s="12">
        <f>IF(E941&gt;0,IF(E941&lt;=eco,alpha*fck*(1-(1-E941/eco)^n),alpha*fck),0)</f>
      </c>
      <c r="G941" s="11">
        <f>F941*D941</f>
      </c>
      <c r="H941" s="11">
        <f>G941*C941</f>
      </c>
      <c r="I941" s="11">
        <f>G941*B941</f>
      </c>
      <c r="J941" s="30">
        <f>PM_Angle!$J$7+PM_Angle!$K$7*$C941+PM_Angle!$L$7*$B941</f>
      </c>
      <c r="K941" s="12">
        <f>IF(J941&gt;0,IF(J941&lt;=eco,alpha*fck*(1-(1-J941/eco)^n),alpha*fck),0)</f>
      </c>
      <c r="L941" s="30">
        <f>PM_Angle!$J$8+PM_Angle!$K$8*$C941+PM_Angle!$L$8*$B941</f>
      </c>
      <c r="M941" s="12">
        <f>IF(L941&gt;0,IF(L941&lt;=eco,alpha*fck*(1-(1-L941/eco)^n),alpha*fck),0)</f>
      </c>
      <c r="N941" s="30">
        <f>PM_Angle!$J$9+PM_Angle!$K$9*$C941+PM_Angle!$L$9*$B941</f>
      </c>
      <c r="O941" s="12">
        <f>IF(N941&gt;0,IF(N941&lt;=eco,alpha*fck*(1-(1-N941/eco)^n),alpha*fck),0)</f>
      </c>
      <c r="P941" s="30">
        <f>PM_Angle!$J$10+PM_Angle!$K$10*$C941+PM_Angle!$L$10*$B941</f>
      </c>
      <c r="Q941" s="12">
        <f>IF(P941&gt;0,IF(P941&lt;=eco,alpha*fck*(1-(1-P941/eco)^n),alpha*fck),0)</f>
      </c>
      <c r="R941" s="30">
        <f>PM_Angle!$J$11+PM_Angle!$K$11*$C941+PM_Angle!$L$11*$B941</f>
      </c>
      <c r="S941" s="12">
        <f>IF(R941&gt;0,IF(R941&lt;=eco,alpha*fck*(1-(1-R941/eco)^n),alpha*fck),0)</f>
      </c>
      <c r="T941" s="30">
        <f>PM_Angle!$J$12+PM_Angle!$K$12*$C941+PM_Angle!$L$12*$B941</f>
      </c>
      <c r="U941" s="12">
        <f>IF(T941&gt;0,IF(T941&lt;=eco,alpha*fck*(1-(1-T941/eco)^n),alpha*fck),0)</f>
      </c>
      <c r="V941" s="30">
        <f>PM_Angle!$J$13+PM_Angle!$K$13*$C941+PM_Angle!$L$13*$B941</f>
      </c>
      <c r="W941" s="12">
        <f>IF(V941&gt;0,IF(V941&lt;=eco,alpha*fck*(1-(1-V941/eco)^n),alpha*fck),0)</f>
      </c>
      <c r="X941" s="30">
        <f>PM_Angle!$J$14+PM_Angle!$K$14*$C941+PM_Angle!$L$14*$B941</f>
      </c>
      <c r="Y941" s="12">
        <f>IF(X941&gt;0,IF(X941&lt;=eco,alpha*fck*(1-(1-X941/eco)^n),alpha*fck),0)</f>
      </c>
      <c r="Z941" s="30">
        <f>PM_Angle!$J$15+PM_Angle!$K$15*$C941+PM_Angle!$L$15*$B941</f>
      </c>
      <c r="AA941" s="12">
        <f>IF(Z941&gt;0,IF(Z941&lt;=eco,alpha*fck*(1-(1-Z941/eco)^n),alpha*fck),0)</f>
      </c>
      <c r="AB941" s="30">
        <f>PM_Angle!$J$16+PM_Angle!$K$16*$C941+PM_Angle!$L$16*$B941</f>
      </c>
      <c r="AC941" s="12">
        <f>IF(AB941&gt;0,IF(AB941&lt;=eco,alpha*fck*(1-(1-AB941/eco)^n),alpha*fck),0)</f>
      </c>
      <c r="AD941" s="30">
        <f>PM_Angle!$J$17+PM_Angle!$K$17*$C941+PM_Angle!$L$17*$B941</f>
      </c>
      <c r="AE941" s="12">
        <f>IF(AD941&gt;0,IF(AD941&lt;=eco,alpha*fck*(1-(1-AD941/eco)^n),alpha*fck),0)</f>
      </c>
      <c r="AF941" s="30">
        <f>PM_Angle!$J$18+PM_Angle!$K$18*$C941+PM_Angle!$L$18*$B941</f>
      </c>
      <c r="AG941" s="12">
        <f>IF(AF941&gt;0,IF(AF941&lt;=eco,alpha*fck*(1-(1-AF941/eco)^n),alpha*fck),0)</f>
      </c>
      <c r="AH941" s="30">
        <f>PM_Angle!$J$19+PM_Angle!$K$19*$C941+PM_Angle!$L$19*$B941</f>
      </c>
      <c r="AI941" s="12">
        <f>IF(AH941&gt;0,IF(AH941&lt;=eco,alpha*fck*(1-(1-AH941/eco)^n),alpha*fck),0)</f>
      </c>
      <c r="AJ941" s="30">
        <f>PM_Angle!$J$20+PM_Angle!$K$20*$C941+PM_Angle!$L$20*$B941</f>
      </c>
      <c r="AK941" s="12">
        <f>IF(AJ941&gt;0,IF(AJ941&lt;=eco,alpha*fck*(1-(1-AJ941/eco)^n),alpha*fck),0)</f>
      </c>
      <c r="AL941" s="30">
        <f>PM_Angle!$J$21+PM_Angle!$K$21*$C941+PM_Angle!$L$21*$B941</f>
      </c>
      <c r="AM941" s="12">
        <f>IF(AL941&gt;0,IF(AL941&lt;=eco,alpha*fck*(1-(1-AL941/eco)^n),alpha*fck),0)</f>
      </c>
      <c r="AN941" s="30">
        <f>PM_Angle!$J$22+PM_Angle!$K$22*$C941+PM_Angle!$L$22*$B941</f>
      </c>
      <c r="AO941" s="12">
        <f>IF(AN941&gt;0,IF(AN941&lt;=eco,alpha*fck*(1-(1-AN941/eco)^n),alpha*fck),0)</f>
      </c>
      <c r="AP941" s="30">
        <f>PM_Angle!$J$23+PM_Angle!$K$23*$C941+PM_Angle!$L$23*$B941</f>
      </c>
      <c r="AQ941" s="12">
        <f>IF(AP941&gt;0,IF(AP941&lt;=eco,alpha*fck*(1-(1-AP941/eco)^n),alpha*fck),0)</f>
      </c>
      <c r="AR941" s="30">
        <f>PM_Angle!$J$24+PM_Angle!$K$24*$C941+PM_Angle!$L$24*$B941</f>
      </c>
      <c r="AS941" s="12">
        <f>IF(AR941&gt;0,IF(AR941&lt;=eco,alpha*fck*(1-(1-AR941/eco)^n),alpha*fck),0)</f>
      </c>
      <c r="AT941" s="30">
        <f>PM_Angle!$J$25+PM_Angle!$K$25*$C941+PM_Angle!$L$25*$B941</f>
      </c>
      <c r="AU941" s="12">
        <f>IF(AT941&gt;0,IF(AT941&lt;=eco,alpha*fck*(1-(1-AT941/eco)^n),alpha*fck),0)</f>
      </c>
    </row>
    <row r="942" spans="1:47" x14ac:dyDescent="0.25">
      <c r="A942">
        <f>Mesh!A939</f>
      </c>
      <c r="B942" s="12">
        <f>Mesh!B939</f>
      </c>
      <c r="C942" s="12">
        <f>Mesh!C939</f>
      </c>
      <c r="D942" s="12">
        <f>Mesh!D939</f>
      </c>
      <c r="E942" s="30">
        <f>INDEX(St_e0,Det+1)+INDEX(St_kx,Det+1)*C942+INDEX(St_ky,Det+1)*B942</f>
      </c>
      <c r="F942" s="12">
        <f>IF(E942&gt;0,IF(E942&lt;=eco,alpha*fck*(1-(1-E942/eco)^n),alpha*fck),0)</f>
      </c>
      <c r="G942" s="11">
        <f>F942*D942</f>
      </c>
      <c r="H942" s="11">
        <f>G942*C942</f>
      </c>
      <c r="I942" s="11">
        <f>G942*B942</f>
      </c>
      <c r="J942" s="30">
        <f>PM_Angle!$J$7+PM_Angle!$K$7*$C942+PM_Angle!$L$7*$B942</f>
      </c>
      <c r="K942" s="12">
        <f>IF(J942&gt;0,IF(J942&lt;=eco,alpha*fck*(1-(1-J942/eco)^n),alpha*fck),0)</f>
      </c>
      <c r="L942" s="30">
        <f>PM_Angle!$J$8+PM_Angle!$K$8*$C942+PM_Angle!$L$8*$B942</f>
      </c>
      <c r="M942" s="12">
        <f>IF(L942&gt;0,IF(L942&lt;=eco,alpha*fck*(1-(1-L942/eco)^n),alpha*fck),0)</f>
      </c>
      <c r="N942" s="30">
        <f>PM_Angle!$J$9+PM_Angle!$K$9*$C942+PM_Angle!$L$9*$B942</f>
      </c>
      <c r="O942" s="12">
        <f>IF(N942&gt;0,IF(N942&lt;=eco,alpha*fck*(1-(1-N942/eco)^n),alpha*fck),0)</f>
      </c>
      <c r="P942" s="30">
        <f>PM_Angle!$J$10+PM_Angle!$K$10*$C942+PM_Angle!$L$10*$B942</f>
      </c>
      <c r="Q942" s="12">
        <f>IF(P942&gt;0,IF(P942&lt;=eco,alpha*fck*(1-(1-P942/eco)^n),alpha*fck),0)</f>
      </c>
      <c r="R942" s="30">
        <f>PM_Angle!$J$11+PM_Angle!$K$11*$C942+PM_Angle!$L$11*$B942</f>
      </c>
      <c r="S942" s="12">
        <f>IF(R942&gt;0,IF(R942&lt;=eco,alpha*fck*(1-(1-R942/eco)^n),alpha*fck),0)</f>
      </c>
      <c r="T942" s="30">
        <f>PM_Angle!$J$12+PM_Angle!$K$12*$C942+PM_Angle!$L$12*$B942</f>
      </c>
      <c r="U942" s="12">
        <f>IF(T942&gt;0,IF(T942&lt;=eco,alpha*fck*(1-(1-T942/eco)^n),alpha*fck),0)</f>
      </c>
      <c r="V942" s="30">
        <f>PM_Angle!$J$13+PM_Angle!$K$13*$C942+PM_Angle!$L$13*$B942</f>
      </c>
      <c r="W942" s="12">
        <f>IF(V942&gt;0,IF(V942&lt;=eco,alpha*fck*(1-(1-V942/eco)^n),alpha*fck),0)</f>
      </c>
      <c r="X942" s="30">
        <f>PM_Angle!$J$14+PM_Angle!$K$14*$C942+PM_Angle!$L$14*$B942</f>
      </c>
      <c r="Y942" s="12">
        <f>IF(X942&gt;0,IF(X942&lt;=eco,alpha*fck*(1-(1-X942/eco)^n),alpha*fck),0)</f>
      </c>
      <c r="Z942" s="30">
        <f>PM_Angle!$J$15+PM_Angle!$K$15*$C942+PM_Angle!$L$15*$B942</f>
      </c>
      <c r="AA942" s="12">
        <f>IF(Z942&gt;0,IF(Z942&lt;=eco,alpha*fck*(1-(1-Z942/eco)^n),alpha*fck),0)</f>
      </c>
      <c r="AB942" s="30">
        <f>PM_Angle!$J$16+PM_Angle!$K$16*$C942+PM_Angle!$L$16*$B942</f>
      </c>
      <c r="AC942" s="12">
        <f>IF(AB942&gt;0,IF(AB942&lt;=eco,alpha*fck*(1-(1-AB942/eco)^n),alpha*fck),0)</f>
      </c>
      <c r="AD942" s="30">
        <f>PM_Angle!$J$17+PM_Angle!$K$17*$C942+PM_Angle!$L$17*$B942</f>
      </c>
      <c r="AE942" s="12">
        <f>IF(AD942&gt;0,IF(AD942&lt;=eco,alpha*fck*(1-(1-AD942/eco)^n),alpha*fck),0)</f>
      </c>
      <c r="AF942" s="30">
        <f>PM_Angle!$J$18+PM_Angle!$K$18*$C942+PM_Angle!$L$18*$B942</f>
      </c>
      <c r="AG942" s="12">
        <f>IF(AF942&gt;0,IF(AF942&lt;=eco,alpha*fck*(1-(1-AF942/eco)^n),alpha*fck),0)</f>
      </c>
      <c r="AH942" s="30">
        <f>PM_Angle!$J$19+PM_Angle!$K$19*$C942+PM_Angle!$L$19*$B942</f>
      </c>
      <c r="AI942" s="12">
        <f>IF(AH942&gt;0,IF(AH942&lt;=eco,alpha*fck*(1-(1-AH942/eco)^n),alpha*fck),0)</f>
      </c>
      <c r="AJ942" s="30">
        <f>PM_Angle!$J$20+PM_Angle!$K$20*$C942+PM_Angle!$L$20*$B942</f>
      </c>
      <c r="AK942" s="12">
        <f>IF(AJ942&gt;0,IF(AJ942&lt;=eco,alpha*fck*(1-(1-AJ942/eco)^n),alpha*fck),0)</f>
      </c>
      <c r="AL942" s="30">
        <f>PM_Angle!$J$21+PM_Angle!$K$21*$C942+PM_Angle!$L$21*$B942</f>
      </c>
      <c r="AM942" s="12">
        <f>IF(AL942&gt;0,IF(AL942&lt;=eco,alpha*fck*(1-(1-AL942/eco)^n),alpha*fck),0)</f>
      </c>
      <c r="AN942" s="30">
        <f>PM_Angle!$J$22+PM_Angle!$K$22*$C942+PM_Angle!$L$22*$B942</f>
      </c>
      <c r="AO942" s="12">
        <f>IF(AN942&gt;0,IF(AN942&lt;=eco,alpha*fck*(1-(1-AN942/eco)^n),alpha*fck),0)</f>
      </c>
      <c r="AP942" s="30">
        <f>PM_Angle!$J$23+PM_Angle!$K$23*$C942+PM_Angle!$L$23*$B942</f>
      </c>
      <c r="AQ942" s="12">
        <f>IF(AP942&gt;0,IF(AP942&lt;=eco,alpha*fck*(1-(1-AP942/eco)^n),alpha*fck),0)</f>
      </c>
      <c r="AR942" s="30">
        <f>PM_Angle!$J$24+PM_Angle!$K$24*$C942+PM_Angle!$L$24*$B942</f>
      </c>
      <c r="AS942" s="12">
        <f>IF(AR942&gt;0,IF(AR942&lt;=eco,alpha*fck*(1-(1-AR942/eco)^n),alpha*fck),0)</f>
      </c>
      <c r="AT942" s="30">
        <f>PM_Angle!$J$25+PM_Angle!$K$25*$C942+PM_Angle!$L$25*$B942</f>
      </c>
      <c r="AU942" s="12">
        <f>IF(AT942&gt;0,IF(AT942&lt;=eco,alpha*fck*(1-(1-AT942/eco)^n),alpha*fck),0)</f>
      </c>
    </row>
    <row r="943" spans="1:47" x14ac:dyDescent="0.25">
      <c r="A943">
        <f>Mesh!A940</f>
      </c>
      <c r="B943" s="12">
        <f>Mesh!B940</f>
      </c>
      <c r="C943" s="12">
        <f>Mesh!C940</f>
      </c>
      <c r="D943" s="12">
        <f>Mesh!D940</f>
      </c>
      <c r="E943" s="30">
        <f>INDEX(St_e0,Det+1)+INDEX(St_kx,Det+1)*C943+INDEX(St_ky,Det+1)*B943</f>
      </c>
      <c r="F943" s="12">
        <f>IF(E943&gt;0,IF(E943&lt;=eco,alpha*fck*(1-(1-E943/eco)^n),alpha*fck),0)</f>
      </c>
      <c r="G943" s="11">
        <f>F943*D943</f>
      </c>
      <c r="H943" s="11">
        <f>G943*C943</f>
      </c>
      <c r="I943" s="11">
        <f>G943*B943</f>
      </c>
      <c r="J943" s="30">
        <f>PM_Angle!$J$7+PM_Angle!$K$7*$C943+PM_Angle!$L$7*$B943</f>
      </c>
      <c r="K943" s="12">
        <f>IF(J943&gt;0,IF(J943&lt;=eco,alpha*fck*(1-(1-J943/eco)^n),alpha*fck),0)</f>
      </c>
      <c r="L943" s="30">
        <f>PM_Angle!$J$8+PM_Angle!$K$8*$C943+PM_Angle!$L$8*$B943</f>
      </c>
      <c r="M943" s="12">
        <f>IF(L943&gt;0,IF(L943&lt;=eco,alpha*fck*(1-(1-L943/eco)^n),alpha*fck),0)</f>
      </c>
      <c r="N943" s="30">
        <f>PM_Angle!$J$9+PM_Angle!$K$9*$C943+PM_Angle!$L$9*$B943</f>
      </c>
      <c r="O943" s="12">
        <f>IF(N943&gt;0,IF(N943&lt;=eco,alpha*fck*(1-(1-N943/eco)^n),alpha*fck),0)</f>
      </c>
      <c r="P943" s="30">
        <f>PM_Angle!$J$10+PM_Angle!$K$10*$C943+PM_Angle!$L$10*$B943</f>
      </c>
      <c r="Q943" s="12">
        <f>IF(P943&gt;0,IF(P943&lt;=eco,alpha*fck*(1-(1-P943/eco)^n),alpha*fck),0)</f>
      </c>
      <c r="R943" s="30">
        <f>PM_Angle!$J$11+PM_Angle!$K$11*$C943+PM_Angle!$L$11*$B943</f>
      </c>
      <c r="S943" s="12">
        <f>IF(R943&gt;0,IF(R943&lt;=eco,alpha*fck*(1-(1-R943/eco)^n),alpha*fck),0)</f>
      </c>
      <c r="T943" s="30">
        <f>PM_Angle!$J$12+PM_Angle!$K$12*$C943+PM_Angle!$L$12*$B943</f>
      </c>
      <c r="U943" s="12">
        <f>IF(T943&gt;0,IF(T943&lt;=eco,alpha*fck*(1-(1-T943/eco)^n),alpha*fck),0)</f>
      </c>
      <c r="V943" s="30">
        <f>PM_Angle!$J$13+PM_Angle!$K$13*$C943+PM_Angle!$L$13*$B943</f>
      </c>
      <c r="W943" s="12">
        <f>IF(V943&gt;0,IF(V943&lt;=eco,alpha*fck*(1-(1-V943/eco)^n),alpha*fck),0)</f>
      </c>
      <c r="X943" s="30">
        <f>PM_Angle!$J$14+PM_Angle!$K$14*$C943+PM_Angle!$L$14*$B943</f>
      </c>
      <c r="Y943" s="12">
        <f>IF(X943&gt;0,IF(X943&lt;=eco,alpha*fck*(1-(1-X943/eco)^n),alpha*fck),0)</f>
      </c>
      <c r="Z943" s="30">
        <f>PM_Angle!$J$15+PM_Angle!$K$15*$C943+PM_Angle!$L$15*$B943</f>
      </c>
      <c r="AA943" s="12">
        <f>IF(Z943&gt;0,IF(Z943&lt;=eco,alpha*fck*(1-(1-Z943/eco)^n),alpha*fck),0)</f>
      </c>
      <c r="AB943" s="30">
        <f>PM_Angle!$J$16+PM_Angle!$K$16*$C943+PM_Angle!$L$16*$B943</f>
      </c>
      <c r="AC943" s="12">
        <f>IF(AB943&gt;0,IF(AB943&lt;=eco,alpha*fck*(1-(1-AB943/eco)^n),alpha*fck),0)</f>
      </c>
      <c r="AD943" s="30">
        <f>PM_Angle!$J$17+PM_Angle!$K$17*$C943+PM_Angle!$L$17*$B943</f>
      </c>
      <c r="AE943" s="12">
        <f>IF(AD943&gt;0,IF(AD943&lt;=eco,alpha*fck*(1-(1-AD943/eco)^n),alpha*fck),0)</f>
      </c>
      <c r="AF943" s="30">
        <f>PM_Angle!$J$18+PM_Angle!$K$18*$C943+PM_Angle!$L$18*$B943</f>
      </c>
      <c r="AG943" s="12">
        <f>IF(AF943&gt;0,IF(AF943&lt;=eco,alpha*fck*(1-(1-AF943/eco)^n),alpha*fck),0)</f>
      </c>
      <c r="AH943" s="30">
        <f>PM_Angle!$J$19+PM_Angle!$K$19*$C943+PM_Angle!$L$19*$B943</f>
      </c>
      <c r="AI943" s="12">
        <f>IF(AH943&gt;0,IF(AH943&lt;=eco,alpha*fck*(1-(1-AH943/eco)^n),alpha*fck),0)</f>
      </c>
      <c r="AJ943" s="30">
        <f>PM_Angle!$J$20+PM_Angle!$K$20*$C943+PM_Angle!$L$20*$B943</f>
      </c>
      <c r="AK943" s="12">
        <f>IF(AJ943&gt;0,IF(AJ943&lt;=eco,alpha*fck*(1-(1-AJ943/eco)^n),alpha*fck),0)</f>
      </c>
      <c r="AL943" s="30">
        <f>PM_Angle!$J$21+PM_Angle!$K$21*$C943+PM_Angle!$L$21*$B943</f>
      </c>
      <c r="AM943" s="12">
        <f>IF(AL943&gt;0,IF(AL943&lt;=eco,alpha*fck*(1-(1-AL943/eco)^n),alpha*fck),0)</f>
      </c>
      <c r="AN943" s="30">
        <f>PM_Angle!$J$22+PM_Angle!$K$22*$C943+PM_Angle!$L$22*$B943</f>
      </c>
      <c r="AO943" s="12">
        <f>IF(AN943&gt;0,IF(AN943&lt;=eco,alpha*fck*(1-(1-AN943/eco)^n),alpha*fck),0)</f>
      </c>
      <c r="AP943" s="30">
        <f>PM_Angle!$J$23+PM_Angle!$K$23*$C943+PM_Angle!$L$23*$B943</f>
      </c>
      <c r="AQ943" s="12">
        <f>IF(AP943&gt;0,IF(AP943&lt;=eco,alpha*fck*(1-(1-AP943/eco)^n),alpha*fck),0)</f>
      </c>
      <c r="AR943" s="30">
        <f>PM_Angle!$J$24+PM_Angle!$K$24*$C943+PM_Angle!$L$24*$B943</f>
      </c>
      <c r="AS943" s="12">
        <f>IF(AR943&gt;0,IF(AR943&lt;=eco,alpha*fck*(1-(1-AR943/eco)^n),alpha*fck),0)</f>
      </c>
      <c r="AT943" s="30">
        <f>PM_Angle!$J$25+PM_Angle!$K$25*$C943+PM_Angle!$L$25*$B943</f>
      </c>
      <c r="AU943" s="12">
        <f>IF(AT943&gt;0,IF(AT943&lt;=eco,alpha*fck*(1-(1-AT943/eco)^n),alpha*fck),0)</f>
      </c>
    </row>
    <row r="944" spans="1:47" x14ac:dyDescent="0.25">
      <c r="A944">
        <f>Mesh!A941</f>
      </c>
      <c r="B944" s="12">
        <f>Mesh!B941</f>
      </c>
      <c r="C944" s="12">
        <f>Mesh!C941</f>
      </c>
      <c r="D944" s="12">
        <f>Mesh!D941</f>
      </c>
      <c r="E944" s="30">
        <f>INDEX(St_e0,Det+1)+INDEX(St_kx,Det+1)*C944+INDEX(St_ky,Det+1)*B944</f>
      </c>
      <c r="F944" s="12">
        <f>IF(E944&gt;0,IF(E944&lt;=eco,alpha*fck*(1-(1-E944/eco)^n),alpha*fck),0)</f>
      </c>
      <c r="G944" s="11">
        <f>F944*D944</f>
      </c>
      <c r="H944" s="11">
        <f>G944*C944</f>
      </c>
      <c r="I944" s="11">
        <f>G944*B944</f>
      </c>
      <c r="J944" s="30">
        <f>PM_Angle!$J$7+PM_Angle!$K$7*$C944+PM_Angle!$L$7*$B944</f>
      </c>
      <c r="K944" s="12">
        <f>IF(J944&gt;0,IF(J944&lt;=eco,alpha*fck*(1-(1-J944/eco)^n),alpha*fck),0)</f>
      </c>
      <c r="L944" s="30">
        <f>PM_Angle!$J$8+PM_Angle!$K$8*$C944+PM_Angle!$L$8*$B944</f>
      </c>
      <c r="M944" s="12">
        <f>IF(L944&gt;0,IF(L944&lt;=eco,alpha*fck*(1-(1-L944/eco)^n),alpha*fck),0)</f>
      </c>
      <c r="N944" s="30">
        <f>PM_Angle!$J$9+PM_Angle!$K$9*$C944+PM_Angle!$L$9*$B944</f>
      </c>
      <c r="O944" s="12">
        <f>IF(N944&gt;0,IF(N944&lt;=eco,alpha*fck*(1-(1-N944/eco)^n),alpha*fck),0)</f>
      </c>
      <c r="P944" s="30">
        <f>PM_Angle!$J$10+PM_Angle!$K$10*$C944+PM_Angle!$L$10*$B944</f>
      </c>
      <c r="Q944" s="12">
        <f>IF(P944&gt;0,IF(P944&lt;=eco,alpha*fck*(1-(1-P944/eco)^n),alpha*fck),0)</f>
      </c>
      <c r="R944" s="30">
        <f>PM_Angle!$J$11+PM_Angle!$K$11*$C944+PM_Angle!$L$11*$B944</f>
      </c>
      <c r="S944" s="12">
        <f>IF(R944&gt;0,IF(R944&lt;=eco,alpha*fck*(1-(1-R944/eco)^n),alpha*fck),0)</f>
      </c>
      <c r="T944" s="30">
        <f>PM_Angle!$J$12+PM_Angle!$K$12*$C944+PM_Angle!$L$12*$B944</f>
      </c>
      <c r="U944" s="12">
        <f>IF(T944&gt;0,IF(T944&lt;=eco,alpha*fck*(1-(1-T944/eco)^n),alpha*fck),0)</f>
      </c>
      <c r="V944" s="30">
        <f>PM_Angle!$J$13+PM_Angle!$K$13*$C944+PM_Angle!$L$13*$B944</f>
      </c>
      <c r="W944" s="12">
        <f>IF(V944&gt;0,IF(V944&lt;=eco,alpha*fck*(1-(1-V944/eco)^n),alpha*fck),0)</f>
      </c>
      <c r="X944" s="30">
        <f>PM_Angle!$J$14+PM_Angle!$K$14*$C944+PM_Angle!$L$14*$B944</f>
      </c>
      <c r="Y944" s="12">
        <f>IF(X944&gt;0,IF(X944&lt;=eco,alpha*fck*(1-(1-X944/eco)^n),alpha*fck),0)</f>
      </c>
      <c r="Z944" s="30">
        <f>PM_Angle!$J$15+PM_Angle!$K$15*$C944+PM_Angle!$L$15*$B944</f>
      </c>
      <c r="AA944" s="12">
        <f>IF(Z944&gt;0,IF(Z944&lt;=eco,alpha*fck*(1-(1-Z944/eco)^n),alpha*fck),0)</f>
      </c>
      <c r="AB944" s="30">
        <f>PM_Angle!$J$16+PM_Angle!$K$16*$C944+PM_Angle!$L$16*$B944</f>
      </c>
      <c r="AC944" s="12">
        <f>IF(AB944&gt;0,IF(AB944&lt;=eco,alpha*fck*(1-(1-AB944/eco)^n),alpha*fck),0)</f>
      </c>
      <c r="AD944" s="30">
        <f>PM_Angle!$J$17+PM_Angle!$K$17*$C944+PM_Angle!$L$17*$B944</f>
      </c>
      <c r="AE944" s="12">
        <f>IF(AD944&gt;0,IF(AD944&lt;=eco,alpha*fck*(1-(1-AD944/eco)^n),alpha*fck),0)</f>
      </c>
      <c r="AF944" s="30">
        <f>PM_Angle!$J$18+PM_Angle!$K$18*$C944+PM_Angle!$L$18*$B944</f>
      </c>
      <c r="AG944" s="12">
        <f>IF(AF944&gt;0,IF(AF944&lt;=eco,alpha*fck*(1-(1-AF944/eco)^n),alpha*fck),0)</f>
      </c>
      <c r="AH944" s="30">
        <f>PM_Angle!$J$19+PM_Angle!$K$19*$C944+PM_Angle!$L$19*$B944</f>
      </c>
      <c r="AI944" s="12">
        <f>IF(AH944&gt;0,IF(AH944&lt;=eco,alpha*fck*(1-(1-AH944/eco)^n),alpha*fck),0)</f>
      </c>
      <c r="AJ944" s="30">
        <f>PM_Angle!$J$20+PM_Angle!$K$20*$C944+PM_Angle!$L$20*$B944</f>
      </c>
      <c r="AK944" s="12">
        <f>IF(AJ944&gt;0,IF(AJ944&lt;=eco,alpha*fck*(1-(1-AJ944/eco)^n),alpha*fck),0)</f>
      </c>
      <c r="AL944" s="30">
        <f>PM_Angle!$J$21+PM_Angle!$K$21*$C944+PM_Angle!$L$21*$B944</f>
      </c>
      <c r="AM944" s="12">
        <f>IF(AL944&gt;0,IF(AL944&lt;=eco,alpha*fck*(1-(1-AL944/eco)^n),alpha*fck),0)</f>
      </c>
      <c r="AN944" s="30">
        <f>PM_Angle!$J$22+PM_Angle!$K$22*$C944+PM_Angle!$L$22*$B944</f>
      </c>
      <c r="AO944" s="12">
        <f>IF(AN944&gt;0,IF(AN944&lt;=eco,alpha*fck*(1-(1-AN944/eco)^n),alpha*fck),0)</f>
      </c>
      <c r="AP944" s="30">
        <f>PM_Angle!$J$23+PM_Angle!$K$23*$C944+PM_Angle!$L$23*$B944</f>
      </c>
      <c r="AQ944" s="12">
        <f>IF(AP944&gt;0,IF(AP944&lt;=eco,alpha*fck*(1-(1-AP944/eco)^n),alpha*fck),0)</f>
      </c>
      <c r="AR944" s="30">
        <f>PM_Angle!$J$24+PM_Angle!$K$24*$C944+PM_Angle!$L$24*$B944</f>
      </c>
      <c r="AS944" s="12">
        <f>IF(AR944&gt;0,IF(AR944&lt;=eco,alpha*fck*(1-(1-AR944/eco)^n),alpha*fck),0)</f>
      </c>
      <c r="AT944" s="30">
        <f>PM_Angle!$J$25+PM_Angle!$K$25*$C944+PM_Angle!$L$25*$B944</f>
      </c>
      <c r="AU944" s="12">
        <f>IF(AT944&gt;0,IF(AT944&lt;=eco,alpha*fck*(1-(1-AT944/eco)^n),alpha*fck),0)</f>
      </c>
    </row>
    <row r="945" spans="1:47" x14ac:dyDescent="0.25">
      <c r="A945">
        <f>Mesh!A942</f>
      </c>
      <c r="B945" s="12">
        <f>Mesh!B942</f>
      </c>
      <c r="C945" s="12">
        <f>Mesh!C942</f>
      </c>
      <c r="D945" s="12">
        <f>Mesh!D942</f>
      </c>
      <c r="E945" s="30">
        <f>INDEX(St_e0,Det+1)+INDEX(St_kx,Det+1)*C945+INDEX(St_ky,Det+1)*B945</f>
      </c>
      <c r="F945" s="12">
        <f>IF(E945&gt;0,IF(E945&lt;=eco,alpha*fck*(1-(1-E945/eco)^n),alpha*fck),0)</f>
      </c>
      <c r="G945" s="11">
        <f>F945*D945</f>
      </c>
      <c r="H945" s="11">
        <f>G945*C945</f>
      </c>
      <c r="I945" s="11">
        <f>G945*B945</f>
      </c>
      <c r="J945" s="30">
        <f>PM_Angle!$J$7+PM_Angle!$K$7*$C945+PM_Angle!$L$7*$B945</f>
      </c>
      <c r="K945" s="12">
        <f>IF(J945&gt;0,IF(J945&lt;=eco,alpha*fck*(1-(1-J945/eco)^n),alpha*fck),0)</f>
      </c>
      <c r="L945" s="30">
        <f>PM_Angle!$J$8+PM_Angle!$K$8*$C945+PM_Angle!$L$8*$B945</f>
      </c>
      <c r="M945" s="12">
        <f>IF(L945&gt;0,IF(L945&lt;=eco,alpha*fck*(1-(1-L945/eco)^n),alpha*fck),0)</f>
      </c>
      <c r="N945" s="30">
        <f>PM_Angle!$J$9+PM_Angle!$K$9*$C945+PM_Angle!$L$9*$B945</f>
      </c>
      <c r="O945" s="12">
        <f>IF(N945&gt;0,IF(N945&lt;=eco,alpha*fck*(1-(1-N945/eco)^n),alpha*fck),0)</f>
      </c>
      <c r="P945" s="30">
        <f>PM_Angle!$J$10+PM_Angle!$K$10*$C945+PM_Angle!$L$10*$B945</f>
      </c>
      <c r="Q945" s="12">
        <f>IF(P945&gt;0,IF(P945&lt;=eco,alpha*fck*(1-(1-P945/eco)^n),alpha*fck),0)</f>
      </c>
      <c r="R945" s="30">
        <f>PM_Angle!$J$11+PM_Angle!$K$11*$C945+PM_Angle!$L$11*$B945</f>
      </c>
      <c r="S945" s="12">
        <f>IF(R945&gt;0,IF(R945&lt;=eco,alpha*fck*(1-(1-R945/eco)^n),alpha*fck),0)</f>
      </c>
      <c r="T945" s="30">
        <f>PM_Angle!$J$12+PM_Angle!$K$12*$C945+PM_Angle!$L$12*$B945</f>
      </c>
      <c r="U945" s="12">
        <f>IF(T945&gt;0,IF(T945&lt;=eco,alpha*fck*(1-(1-T945/eco)^n),alpha*fck),0)</f>
      </c>
      <c r="V945" s="30">
        <f>PM_Angle!$J$13+PM_Angle!$K$13*$C945+PM_Angle!$L$13*$B945</f>
      </c>
      <c r="W945" s="12">
        <f>IF(V945&gt;0,IF(V945&lt;=eco,alpha*fck*(1-(1-V945/eco)^n),alpha*fck),0)</f>
      </c>
      <c r="X945" s="30">
        <f>PM_Angle!$J$14+PM_Angle!$K$14*$C945+PM_Angle!$L$14*$B945</f>
      </c>
      <c r="Y945" s="12">
        <f>IF(X945&gt;0,IF(X945&lt;=eco,alpha*fck*(1-(1-X945/eco)^n),alpha*fck),0)</f>
      </c>
      <c r="Z945" s="30">
        <f>PM_Angle!$J$15+PM_Angle!$K$15*$C945+PM_Angle!$L$15*$B945</f>
      </c>
      <c r="AA945" s="12">
        <f>IF(Z945&gt;0,IF(Z945&lt;=eco,alpha*fck*(1-(1-Z945/eco)^n),alpha*fck),0)</f>
      </c>
      <c r="AB945" s="30">
        <f>PM_Angle!$J$16+PM_Angle!$K$16*$C945+PM_Angle!$L$16*$B945</f>
      </c>
      <c r="AC945" s="12">
        <f>IF(AB945&gt;0,IF(AB945&lt;=eco,alpha*fck*(1-(1-AB945/eco)^n),alpha*fck),0)</f>
      </c>
      <c r="AD945" s="30">
        <f>PM_Angle!$J$17+PM_Angle!$K$17*$C945+PM_Angle!$L$17*$B945</f>
      </c>
      <c r="AE945" s="12">
        <f>IF(AD945&gt;0,IF(AD945&lt;=eco,alpha*fck*(1-(1-AD945/eco)^n),alpha*fck),0)</f>
      </c>
      <c r="AF945" s="30">
        <f>PM_Angle!$J$18+PM_Angle!$K$18*$C945+PM_Angle!$L$18*$B945</f>
      </c>
      <c r="AG945" s="12">
        <f>IF(AF945&gt;0,IF(AF945&lt;=eco,alpha*fck*(1-(1-AF945/eco)^n),alpha*fck),0)</f>
      </c>
      <c r="AH945" s="30">
        <f>PM_Angle!$J$19+PM_Angle!$K$19*$C945+PM_Angle!$L$19*$B945</f>
      </c>
      <c r="AI945" s="12">
        <f>IF(AH945&gt;0,IF(AH945&lt;=eco,alpha*fck*(1-(1-AH945/eco)^n),alpha*fck),0)</f>
      </c>
      <c r="AJ945" s="30">
        <f>PM_Angle!$J$20+PM_Angle!$K$20*$C945+PM_Angle!$L$20*$B945</f>
      </c>
      <c r="AK945" s="12">
        <f>IF(AJ945&gt;0,IF(AJ945&lt;=eco,alpha*fck*(1-(1-AJ945/eco)^n),alpha*fck),0)</f>
      </c>
      <c r="AL945" s="30">
        <f>PM_Angle!$J$21+PM_Angle!$K$21*$C945+PM_Angle!$L$21*$B945</f>
      </c>
      <c r="AM945" s="12">
        <f>IF(AL945&gt;0,IF(AL945&lt;=eco,alpha*fck*(1-(1-AL945/eco)^n),alpha*fck),0)</f>
      </c>
      <c r="AN945" s="30">
        <f>PM_Angle!$J$22+PM_Angle!$K$22*$C945+PM_Angle!$L$22*$B945</f>
      </c>
      <c r="AO945" s="12">
        <f>IF(AN945&gt;0,IF(AN945&lt;=eco,alpha*fck*(1-(1-AN945/eco)^n),alpha*fck),0)</f>
      </c>
      <c r="AP945" s="30">
        <f>PM_Angle!$J$23+PM_Angle!$K$23*$C945+PM_Angle!$L$23*$B945</f>
      </c>
      <c r="AQ945" s="12">
        <f>IF(AP945&gt;0,IF(AP945&lt;=eco,alpha*fck*(1-(1-AP945/eco)^n),alpha*fck),0)</f>
      </c>
      <c r="AR945" s="30">
        <f>PM_Angle!$J$24+PM_Angle!$K$24*$C945+PM_Angle!$L$24*$B945</f>
      </c>
      <c r="AS945" s="12">
        <f>IF(AR945&gt;0,IF(AR945&lt;=eco,alpha*fck*(1-(1-AR945/eco)^n),alpha*fck),0)</f>
      </c>
      <c r="AT945" s="30">
        <f>PM_Angle!$J$25+PM_Angle!$K$25*$C945+PM_Angle!$L$25*$B945</f>
      </c>
      <c r="AU945" s="12">
        <f>IF(AT945&gt;0,IF(AT945&lt;=eco,alpha*fck*(1-(1-AT945/eco)^n),alpha*fck),0)</f>
      </c>
    </row>
    <row r="946" spans="1:47" x14ac:dyDescent="0.25">
      <c r="A946">
        <f>Mesh!A943</f>
      </c>
      <c r="B946" s="12">
        <f>Mesh!B943</f>
      </c>
      <c r="C946" s="12">
        <f>Mesh!C943</f>
      </c>
      <c r="D946" s="12">
        <f>Mesh!D943</f>
      </c>
      <c r="E946" s="30">
        <f>INDEX(St_e0,Det+1)+INDEX(St_kx,Det+1)*C946+INDEX(St_ky,Det+1)*B946</f>
      </c>
      <c r="F946" s="12">
        <f>IF(E946&gt;0,IF(E946&lt;=eco,alpha*fck*(1-(1-E946/eco)^n),alpha*fck),0)</f>
      </c>
      <c r="G946" s="11">
        <f>F946*D946</f>
      </c>
      <c r="H946" s="11">
        <f>G946*C946</f>
      </c>
      <c r="I946" s="11">
        <f>G946*B946</f>
      </c>
      <c r="J946" s="30">
        <f>PM_Angle!$J$7+PM_Angle!$K$7*$C946+PM_Angle!$L$7*$B946</f>
      </c>
      <c r="K946" s="12">
        <f>IF(J946&gt;0,IF(J946&lt;=eco,alpha*fck*(1-(1-J946/eco)^n),alpha*fck),0)</f>
      </c>
      <c r="L946" s="30">
        <f>PM_Angle!$J$8+PM_Angle!$K$8*$C946+PM_Angle!$L$8*$B946</f>
      </c>
      <c r="M946" s="12">
        <f>IF(L946&gt;0,IF(L946&lt;=eco,alpha*fck*(1-(1-L946/eco)^n),alpha*fck),0)</f>
      </c>
      <c r="N946" s="30">
        <f>PM_Angle!$J$9+PM_Angle!$K$9*$C946+PM_Angle!$L$9*$B946</f>
      </c>
      <c r="O946" s="12">
        <f>IF(N946&gt;0,IF(N946&lt;=eco,alpha*fck*(1-(1-N946/eco)^n),alpha*fck),0)</f>
      </c>
      <c r="P946" s="30">
        <f>PM_Angle!$J$10+PM_Angle!$K$10*$C946+PM_Angle!$L$10*$B946</f>
      </c>
      <c r="Q946" s="12">
        <f>IF(P946&gt;0,IF(P946&lt;=eco,alpha*fck*(1-(1-P946/eco)^n),alpha*fck),0)</f>
      </c>
      <c r="R946" s="30">
        <f>PM_Angle!$J$11+PM_Angle!$K$11*$C946+PM_Angle!$L$11*$B946</f>
      </c>
      <c r="S946" s="12">
        <f>IF(R946&gt;0,IF(R946&lt;=eco,alpha*fck*(1-(1-R946/eco)^n),alpha*fck),0)</f>
      </c>
      <c r="T946" s="30">
        <f>PM_Angle!$J$12+PM_Angle!$K$12*$C946+PM_Angle!$L$12*$B946</f>
      </c>
      <c r="U946" s="12">
        <f>IF(T946&gt;0,IF(T946&lt;=eco,alpha*fck*(1-(1-T946/eco)^n),alpha*fck),0)</f>
      </c>
      <c r="V946" s="30">
        <f>PM_Angle!$J$13+PM_Angle!$K$13*$C946+PM_Angle!$L$13*$B946</f>
      </c>
      <c r="W946" s="12">
        <f>IF(V946&gt;0,IF(V946&lt;=eco,alpha*fck*(1-(1-V946/eco)^n),alpha*fck),0)</f>
      </c>
      <c r="X946" s="30">
        <f>PM_Angle!$J$14+PM_Angle!$K$14*$C946+PM_Angle!$L$14*$B946</f>
      </c>
      <c r="Y946" s="12">
        <f>IF(X946&gt;0,IF(X946&lt;=eco,alpha*fck*(1-(1-X946/eco)^n),alpha*fck),0)</f>
      </c>
      <c r="Z946" s="30">
        <f>PM_Angle!$J$15+PM_Angle!$K$15*$C946+PM_Angle!$L$15*$B946</f>
      </c>
      <c r="AA946" s="12">
        <f>IF(Z946&gt;0,IF(Z946&lt;=eco,alpha*fck*(1-(1-Z946/eco)^n),alpha*fck),0)</f>
      </c>
      <c r="AB946" s="30">
        <f>PM_Angle!$J$16+PM_Angle!$K$16*$C946+PM_Angle!$L$16*$B946</f>
      </c>
      <c r="AC946" s="12">
        <f>IF(AB946&gt;0,IF(AB946&lt;=eco,alpha*fck*(1-(1-AB946/eco)^n),alpha*fck),0)</f>
      </c>
      <c r="AD946" s="30">
        <f>PM_Angle!$J$17+PM_Angle!$K$17*$C946+PM_Angle!$L$17*$B946</f>
      </c>
      <c r="AE946" s="12">
        <f>IF(AD946&gt;0,IF(AD946&lt;=eco,alpha*fck*(1-(1-AD946/eco)^n),alpha*fck),0)</f>
      </c>
      <c r="AF946" s="30">
        <f>PM_Angle!$J$18+PM_Angle!$K$18*$C946+PM_Angle!$L$18*$B946</f>
      </c>
      <c r="AG946" s="12">
        <f>IF(AF946&gt;0,IF(AF946&lt;=eco,alpha*fck*(1-(1-AF946/eco)^n),alpha*fck),0)</f>
      </c>
      <c r="AH946" s="30">
        <f>PM_Angle!$J$19+PM_Angle!$K$19*$C946+PM_Angle!$L$19*$B946</f>
      </c>
      <c r="AI946" s="12">
        <f>IF(AH946&gt;0,IF(AH946&lt;=eco,alpha*fck*(1-(1-AH946/eco)^n),alpha*fck),0)</f>
      </c>
      <c r="AJ946" s="30">
        <f>PM_Angle!$J$20+PM_Angle!$K$20*$C946+PM_Angle!$L$20*$B946</f>
      </c>
      <c r="AK946" s="12">
        <f>IF(AJ946&gt;0,IF(AJ946&lt;=eco,alpha*fck*(1-(1-AJ946/eco)^n),alpha*fck),0)</f>
      </c>
      <c r="AL946" s="30">
        <f>PM_Angle!$J$21+PM_Angle!$K$21*$C946+PM_Angle!$L$21*$B946</f>
      </c>
      <c r="AM946" s="12">
        <f>IF(AL946&gt;0,IF(AL946&lt;=eco,alpha*fck*(1-(1-AL946/eco)^n),alpha*fck),0)</f>
      </c>
      <c r="AN946" s="30">
        <f>PM_Angle!$J$22+PM_Angle!$K$22*$C946+PM_Angle!$L$22*$B946</f>
      </c>
      <c r="AO946" s="12">
        <f>IF(AN946&gt;0,IF(AN946&lt;=eco,alpha*fck*(1-(1-AN946/eco)^n),alpha*fck),0)</f>
      </c>
      <c r="AP946" s="30">
        <f>PM_Angle!$J$23+PM_Angle!$K$23*$C946+PM_Angle!$L$23*$B946</f>
      </c>
      <c r="AQ946" s="12">
        <f>IF(AP946&gt;0,IF(AP946&lt;=eco,alpha*fck*(1-(1-AP946/eco)^n),alpha*fck),0)</f>
      </c>
      <c r="AR946" s="30">
        <f>PM_Angle!$J$24+PM_Angle!$K$24*$C946+PM_Angle!$L$24*$B946</f>
      </c>
      <c r="AS946" s="12">
        <f>IF(AR946&gt;0,IF(AR946&lt;=eco,alpha*fck*(1-(1-AR946/eco)^n),alpha*fck),0)</f>
      </c>
      <c r="AT946" s="30">
        <f>PM_Angle!$J$25+PM_Angle!$K$25*$C946+PM_Angle!$L$25*$B946</f>
      </c>
      <c r="AU946" s="12">
        <f>IF(AT946&gt;0,IF(AT946&lt;=eco,alpha*fck*(1-(1-AT946/eco)^n),alpha*fck),0)</f>
      </c>
    </row>
    <row r="947" spans="1:47" x14ac:dyDescent="0.25">
      <c r="A947">
        <f>Mesh!A944</f>
      </c>
      <c r="B947" s="12">
        <f>Mesh!B944</f>
      </c>
      <c r="C947" s="12">
        <f>Mesh!C944</f>
      </c>
      <c r="D947" s="12">
        <f>Mesh!D944</f>
      </c>
      <c r="E947" s="30">
        <f>INDEX(St_e0,Det+1)+INDEX(St_kx,Det+1)*C947+INDEX(St_ky,Det+1)*B947</f>
      </c>
      <c r="F947" s="12">
        <f>IF(E947&gt;0,IF(E947&lt;=eco,alpha*fck*(1-(1-E947/eco)^n),alpha*fck),0)</f>
      </c>
      <c r="G947" s="11">
        <f>F947*D947</f>
      </c>
      <c r="H947" s="11">
        <f>G947*C947</f>
      </c>
      <c r="I947" s="11">
        <f>G947*B947</f>
      </c>
      <c r="J947" s="30">
        <f>PM_Angle!$J$7+PM_Angle!$K$7*$C947+PM_Angle!$L$7*$B947</f>
      </c>
      <c r="K947" s="12">
        <f>IF(J947&gt;0,IF(J947&lt;=eco,alpha*fck*(1-(1-J947/eco)^n),alpha*fck),0)</f>
      </c>
      <c r="L947" s="30">
        <f>PM_Angle!$J$8+PM_Angle!$K$8*$C947+PM_Angle!$L$8*$B947</f>
      </c>
      <c r="M947" s="12">
        <f>IF(L947&gt;0,IF(L947&lt;=eco,alpha*fck*(1-(1-L947/eco)^n),alpha*fck),0)</f>
      </c>
      <c r="N947" s="30">
        <f>PM_Angle!$J$9+PM_Angle!$K$9*$C947+PM_Angle!$L$9*$B947</f>
      </c>
      <c r="O947" s="12">
        <f>IF(N947&gt;0,IF(N947&lt;=eco,alpha*fck*(1-(1-N947/eco)^n),alpha*fck),0)</f>
      </c>
      <c r="P947" s="30">
        <f>PM_Angle!$J$10+PM_Angle!$K$10*$C947+PM_Angle!$L$10*$B947</f>
      </c>
      <c r="Q947" s="12">
        <f>IF(P947&gt;0,IF(P947&lt;=eco,alpha*fck*(1-(1-P947/eco)^n),alpha*fck),0)</f>
      </c>
      <c r="R947" s="30">
        <f>PM_Angle!$J$11+PM_Angle!$K$11*$C947+PM_Angle!$L$11*$B947</f>
      </c>
      <c r="S947" s="12">
        <f>IF(R947&gt;0,IF(R947&lt;=eco,alpha*fck*(1-(1-R947/eco)^n),alpha*fck),0)</f>
      </c>
      <c r="T947" s="30">
        <f>PM_Angle!$J$12+PM_Angle!$K$12*$C947+PM_Angle!$L$12*$B947</f>
      </c>
      <c r="U947" s="12">
        <f>IF(T947&gt;0,IF(T947&lt;=eco,alpha*fck*(1-(1-T947/eco)^n),alpha*fck),0)</f>
      </c>
      <c r="V947" s="30">
        <f>PM_Angle!$J$13+PM_Angle!$K$13*$C947+PM_Angle!$L$13*$B947</f>
      </c>
      <c r="W947" s="12">
        <f>IF(V947&gt;0,IF(V947&lt;=eco,alpha*fck*(1-(1-V947/eco)^n),alpha*fck),0)</f>
      </c>
      <c r="X947" s="30">
        <f>PM_Angle!$J$14+PM_Angle!$K$14*$C947+PM_Angle!$L$14*$B947</f>
      </c>
      <c r="Y947" s="12">
        <f>IF(X947&gt;0,IF(X947&lt;=eco,alpha*fck*(1-(1-X947/eco)^n),alpha*fck),0)</f>
      </c>
      <c r="Z947" s="30">
        <f>PM_Angle!$J$15+PM_Angle!$K$15*$C947+PM_Angle!$L$15*$B947</f>
      </c>
      <c r="AA947" s="12">
        <f>IF(Z947&gt;0,IF(Z947&lt;=eco,alpha*fck*(1-(1-Z947/eco)^n),alpha*fck),0)</f>
      </c>
      <c r="AB947" s="30">
        <f>PM_Angle!$J$16+PM_Angle!$K$16*$C947+PM_Angle!$L$16*$B947</f>
      </c>
      <c r="AC947" s="12">
        <f>IF(AB947&gt;0,IF(AB947&lt;=eco,alpha*fck*(1-(1-AB947/eco)^n),alpha*fck),0)</f>
      </c>
      <c r="AD947" s="30">
        <f>PM_Angle!$J$17+PM_Angle!$K$17*$C947+PM_Angle!$L$17*$B947</f>
      </c>
      <c r="AE947" s="12">
        <f>IF(AD947&gt;0,IF(AD947&lt;=eco,alpha*fck*(1-(1-AD947/eco)^n),alpha*fck),0)</f>
      </c>
      <c r="AF947" s="30">
        <f>PM_Angle!$J$18+PM_Angle!$K$18*$C947+PM_Angle!$L$18*$B947</f>
      </c>
      <c r="AG947" s="12">
        <f>IF(AF947&gt;0,IF(AF947&lt;=eco,alpha*fck*(1-(1-AF947/eco)^n),alpha*fck),0)</f>
      </c>
      <c r="AH947" s="30">
        <f>PM_Angle!$J$19+PM_Angle!$K$19*$C947+PM_Angle!$L$19*$B947</f>
      </c>
      <c r="AI947" s="12">
        <f>IF(AH947&gt;0,IF(AH947&lt;=eco,alpha*fck*(1-(1-AH947/eco)^n),alpha*fck),0)</f>
      </c>
      <c r="AJ947" s="30">
        <f>PM_Angle!$J$20+PM_Angle!$K$20*$C947+PM_Angle!$L$20*$B947</f>
      </c>
      <c r="AK947" s="12">
        <f>IF(AJ947&gt;0,IF(AJ947&lt;=eco,alpha*fck*(1-(1-AJ947/eco)^n),alpha*fck),0)</f>
      </c>
      <c r="AL947" s="30">
        <f>PM_Angle!$J$21+PM_Angle!$K$21*$C947+PM_Angle!$L$21*$B947</f>
      </c>
      <c r="AM947" s="12">
        <f>IF(AL947&gt;0,IF(AL947&lt;=eco,alpha*fck*(1-(1-AL947/eco)^n),alpha*fck),0)</f>
      </c>
      <c r="AN947" s="30">
        <f>PM_Angle!$J$22+PM_Angle!$K$22*$C947+PM_Angle!$L$22*$B947</f>
      </c>
      <c r="AO947" s="12">
        <f>IF(AN947&gt;0,IF(AN947&lt;=eco,alpha*fck*(1-(1-AN947/eco)^n),alpha*fck),0)</f>
      </c>
      <c r="AP947" s="30">
        <f>PM_Angle!$J$23+PM_Angle!$K$23*$C947+PM_Angle!$L$23*$B947</f>
      </c>
      <c r="AQ947" s="12">
        <f>IF(AP947&gt;0,IF(AP947&lt;=eco,alpha*fck*(1-(1-AP947/eco)^n),alpha*fck),0)</f>
      </c>
      <c r="AR947" s="30">
        <f>PM_Angle!$J$24+PM_Angle!$K$24*$C947+PM_Angle!$L$24*$B947</f>
      </c>
      <c r="AS947" s="12">
        <f>IF(AR947&gt;0,IF(AR947&lt;=eco,alpha*fck*(1-(1-AR947/eco)^n),alpha*fck),0)</f>
      </c>
      <c r="AT947" s="30">
        <f>PM_Angle!$J$25+PM_Angle!$K$25*$C947+PM_Angle!$L$25*$B947</f>
      </c>
      <c r="AU947" s="12">
        <f>IF(AT947&gt;0,IF(AT947&lt;=eco,alpha*fck*(1-(1-AT947/eco)^n),alpha*fck),0)</f>
      </c>
    </row>
    <row r="948" spans="1:47" x14ac:dyDescent="0.25">
      <c r="A948">
        <f>Mesh!A945</f>
      </c>
      <c r="B948" s="12">
        <f>Mesh!B945</f>
      </c>
      <c r="C948" s="12">
        <f>Mesh!C945</f>
      </c>
      <c r="D948" s="12">
        <f>Mesh!D945</f>
      </c>
      <c r="E948" s="30">
        <f>INDEX(St_e0,Det+1)+INDEX(St_kx,Det+1)*C948+INDEX(St_ky,Det+1)*B948</f>
      </c>
      <c r="F948" s="12">
        <f>IF(E948&gt;0,IF(E948&lt;=eco,alpha*fck*(1-(1-E948/eco)^n),alpha*fck),0)</f>
      </c>
      <c r="G948" s="11">
        <f>F948*D948</f>
      </c>
      <c r="H948" s="11">
        <f>G948*C948</f>
      </c>
      <c r="I948" s="11">
        <f>G948*B948</f>
      </c>
      <c r="J948" s="30">
        <f>PM_Angle!$J$7+PM_Angle!$K$7*$C948+PM_Angle!$L$7*$B948</f>
      </c>
      <c r="K948" s="12">
        <f>IF(J948&gt;0,IF(J948&lt;=eco,alpha*fck*(1-(1-J948/eco)^n),alpha*fck),0)</f>
      </c>
      <c r="L948" s="30">
        <f>PM_Angle!$J$8+PM_Angle!$K$8*$C948+PM_Angle!$L$8*$B948</f>
      </c>
      <c r="M948" s="12">
        <f>IF(L948&gt;0,IF(L948&lt;=eco,alpha*fck*(1-(1-L948/eco)^n),alpha*fck),0)</f>
      </c>
      <c r="N948" s="30">
        <f>PM_Angle!$J$9+PM_Angle!$K$9*$C948+PM_Angle!$L$9*$B948</f>
      </c>
      <c r="O948" s="12">
        <f>IF(N948&gt;0,IF(N948&lt;=eco,alpha*fck*(1-(1-N948/eco)^n),alpha*fck),0)</f>
      </c>
      <c r="P948" s="30">
        <f>PM_Angle!$J$10+PM_Angle!$K$10*$C948+PM_Angle!$L$10*$B948</f>
      </c>
      <c r="Q948" s="12">
        <f>IF(P948&gt;0,IF(P948&lt;=eco,alpha*fck*(1-(1-P948/eco)^n),alpha*fck),0)</f>
      </c>
      <c r="R948" s="30">
        <f>PM_Angle!$J$11+PM_Angle!$K$11*$C948+PM_Angle!$L$11*$B948</f>
      </c>
      <c r="S948" s="12">
        <f>IF(R948&gt;0,IF(R948&lt;=eco,alpha*fck*(1-(1-R948/eco)^n),alpha*fck),0)</f>
      </c>
      <c r="T948" s="30">
        <f>PM_Angle!$J$12+PM_Angle!$K$12*$C948+PM_Angle!$L$12*$B948</f>
      </c>
      <c r="U948" s="12">
        <f>IF(T948&gt;0,IF(T948&lt;=eco,alpha*fck*(1-(1-T948/eco)^n),alpha*fck),0)</f>
      </c>
      <c r="V948" s="30">
        <f>PM_Angle!$J$13+PM_Angle!$K$13*$C948+PM_Angle!$L$13*$B948</f>
      </c>
      <c r="W948" s="12">
        <f>IF(V948&gt;0,IF(V948&lt;=eco,alpha*fck*(1-(1-V948/eco)^n),alpha*fck),0)</f>
      </c>
      <c r="X948" s="30">
        <f>PM_Angle!$J$14+PM_Angle!$K$14*$C948+PM_Angle!$L$14*$B948</f>
      </c>
      <c r="Y948" s="12">
        <f>IF(X948&gt;0,IF(X948&lt;=eco,alpha*fck*(1-(1-X948/eco)^n),alpha*fck),0)</f>
      </c>
      <c r="Z948" s="30">
        <f>PM_Angle!$J$15+PM_Angle!$K$15*$C948+PM_Angle!$L$15*$B948</f>
      </c>
      <c r="AA948" s="12">
        <f>IF(Z948&gt;0,IF(Z948&lt;=eco,alpha*fck*(1-(1-Z948/eco)^n),alpha*fck),0)</f>
      </c>
      <c r="AB948" s="30">
        <f>PM_Angle!$J$16+PM_Angle!$K$16*$C948+PM_Angle!$L$16*$B948</f>
      </c>
      <c r="AC948" s="12">
        <f>IF(AB948&gt;0,IF(AB948&lt;=eco,alpha*fck*(1-(1-AB948/eco)^n),alpha*fck),0)</f>
      </c>
      <c r="AD948" s="30">
        <f>PM_Angle!$J$17+PM_Angle!$K$17*$C948+PM_Angle!$L$17*$B948</f>
      </c>
      <c r="AE948" s="12">
        <f>IF(AD948&gt;0,IF(AD948&lt;=eco,alpha*fck*(1-(1-AD948/eco)^n),alpha*fck),0)</f>
      </c>
      <c r="AF948" s="30">
        <f>PM_Angle!$J$18+PM_Angle!$K$18*$C948+PM_Angle!$L$18*$B948</f>
      </c>
      <c r="AG948" s="12">
        <f>IF(AF948&gt;0,IF(AF948&lt;=eco,alpha*fck*(1-(1-AF948/eco)^n),alpha*fck),0)</f>
      </c>
      <c r="AH948" s="30">
        <f>PM_Angle!$J$19+PM_Angle!$K$19*$C948+PM_Angle!$L$19*$B948</f>
      </c>
      <c r="AI948" s="12">
        <f>IF(AH948&gt;0,IF(AH948&lt;=eco,alpha*fck*(1-(1-AH948/eco)^n),alpha*fck),0)</f>
      </c>
      <c r="AJ948" s="30">
        <f>PM_Angle!$J$20+PM_Angle!$K$20*$C948+PM_Angle!$L$20*$B948</f>
      </c>
      <c r="AK948" s="12">
        <f>IF(AJ948&gt;0,IF(AJ948&lt;=eco,alpha*fck*(1-(1-AJ948/eco)^n),alpha*fck),0)</f>
      </c>
      <c r="AL948" s="30">
        <f>PM_Angle!$J$21+PM_Angle!$K$21*$C948+PM_Angle!$L$21*$B948</f>
      </c>
      <c r="AM948" s="12">
        <f>IF(AL948&gt;0,IF(AL948&lt;=eco,alpha*fck*(1-(1-AL948/eco)^n),alpha*fck),0)</f>
      </c>
      <c r="AN948" s="30">
        <f>PM_Angle!$J$22+PM_Angle!$K$22*$C948+PM_Angle!$L$22*$B948</f>
      </c>
      <c r="AO948" s="12">
        <f>IF(AN948&gt;0,IF(AN948&lt;=eco,alpha*fck*(1-(1-AN948/eco)^n),alpha*fck),0)</f>
      </c>
      <c r="AP948" s="30">
        <f>PM_Angle!$J$23+PM_Angle!$K$23*$C948+PM_Angle!$L$23*$B948</f>
      </c>
      <c r="AQ948" s="12">
        <f>IF(AP948&gt;0,IF(AP948&lt;=eco,alpha*fck*(1-(1-AP948/eco)^n),alpha*fck),0)</f>
      </c>
      <c r="AR948" s="30">
        <f>PM_Angle!$J$24+PM_Angle!$K$24*$C948+PM_Angle!$L$24*$B948</f>
      </c>
      <c r="AS948" s="12">
        <f>IF(AR948&gt;0,IF(AR948&lt;=eco,alpha*fck*(1-(1-AR948/eco)^n),alpha*fck),0)</f>
      </c>
      <c r="AT948" s="30">
        <f>PM_Angle!$J$25+PM_Angle!$K$25*$C948+PM_Angle!$L$25*$B948</f>
      </c>
      <c r="AU948" s="12">
        <f>IF(AT948&gt;0,IF(AT948&lt;=eco,alpha*fck*(1-(1-AT948/eco)^n),alpha*fck),0)</f>
      </c>
    </row>
    <row r="949" spans="1:47" x14ac:dyDescent="0.25">
      <c r="A949">
        <f>Mesh!A946</f>
      </c>
      <c r="B949" s="12">
        <f>Mesh!B946</f>
      </c>
      <c r="C949" s="12">
        <f>Mesh!C946</f>
      </c>
      <c r="D949" s="12">
        <f>Mesh!D946</f>
      </c>
      <c r="E949" s="30">
        <f>INDEX(St_e0,Det+1)+INDEX(St_kx,Det+1)*C949+INDEX(St_ky,Det+1)*B949</f>
      </c>
      <c r="F949" s="12">
        <f>IF(E949&gt;0,IF(E949&lt;=eco,alpha*fck*(1-(1-E949/eco)^n),alpha*fck),0)</f>
      </c>
      <c r="G949" s="11">
        <f>F949*D949</f>
      </c>
      <c r="H949" s="11">
        <f>G949*C949</f>
      </c>
      <c r="I949" s="11">
        <f>G949*B949</f>
      </c>
      <c r="J949" s="30">
        <f>PM_Angle!$J$7+PM_Angle!$K$7*$C949+PM_Angle!$L$7*$B949</f>
      </c>
      <c r="K949" s="12">
        <f>IF(J949&gt;0,IF(J949&lt;=eco,alpha*fck*(1-(1-J949/eco)^n),alpha*fck),0)</f>
      </c>
      <c r="L949" s="30">
        <f>PM_Angle!$J$8+PM_Angle!$K$8*$C949+PM_Angle!$L$8*$B949</f>
      </c>
      <c r="M949" s="12">
        <f>IF(L949&gt;0,IF(L949&lt;=eco,alpha*fck*(1-(1-L949/eco)^n),alpha*fck),0)</f>
      </c>
      <c r="N949" s="30">
        <f>PM_Angle!$J$9+PM_Angle!$K$9*$C949+PM_Angle!$L$9*$B949</f>
      </c>
      <c r="O949" s="12">
        <f>IF(N949&gt;0,IF(N949&lt;=eco,alpha*fck*(1-(1-N949/eco)^n),alpha*fck),0)</f>
      </c>
      <c r="P949" s="30">
        <f>PM_Angle!$J$10+PM_Angle!$K$10*$C949+PM_Angle!$L$10*$B949</f>
      </c>
      <c r="Q949" s="12">
        <f>IF(P949&gt;0,IF(P949&lt;=eco,alpha*fck*(1-(1-P949/eco)^n),alpha*fck),0)</f>
      </c>
      <c r="R949" s="30">
        <f>PM_Angle!$J$11+PM_Angle!$K$11*$C949+PM_Angle!$L$11*$B949</f>
      </c>
      <c r="S949" s="12">
        <f>IF(R949&gt;0,IF(R949&lt;=eco,alpha*fck*(1-(1-R949/eco)^n),alpha*fck),0)</f>
      </c>
      <c r="T949" s="30">
        <f>PM_Angle!$J$12+PM_Angle!$K$12*$C949+PM_Angle!$L$12*$B949</f>
      </c>
      <c r="U949" s="12">
        <f>IF(T949&gt;0,IF(T949&lt;=eco,alpha*fck*(1-(1-T949/eco)^n),alpha*fck),0)</f>
      </c>
      <c r="V949" s="30">
        <f>PM_Angle!$J$13+PM_Angle!$K$13*$C949+PM_Angle!$L$13*$B949</f>
      </c>
      <c r="W949" s="12">
        <f>IF(V949&gt;0,IF(V949&lt;=eco,alpha*fck*(1-(1-V949/eco)^n),alpha*fck),0)</f>
      </c>
      <c r="X949" s="30">
        <f>PM_Angle!$J$14+PM_Angle!$K$14*$C949+PM_Angle!$L$14*$B949</f>
      </c>
      <c r="Y949" s="12">
        <f>IF(X949&gt;0,IF(X949&lt;=eco,alpha*fck*(1-(1-X949/eco)^n),alpha*fck),0)</f>
      </c>
      <c r="Z949" s="30">
        <f>PM_Angle!$J$15+PM_Angle!$K$15*$C949+PM_Angle!$L$15*$B949</f>
      </c>
      <c r="AA949" s="12">
        <f>IF(Z949&gt;0,IF(Z949&lt;=eco,alpha*fck*(1-(1-Z949/eco)^n),alpha*fck),0)</f>
      </c>
      <c r="AB949" s="30">
        <f>PM_Angle!$J$16+PM_Angle!$K$16*$C949+PM_Angle!$L$16*$B949</f>
      </c>
      <c r="AC949" s="12">
        <f>IF(AB949&gt;0,IF(AB949&lt;=eco,alpha*fck*(1-(1-AB949/eco)^n),alpha*fck),0)</f>
      </c>
      <c r="AD949" s="30">
        <f>PM_Angle!$J$17+PM_Angle!$K$17*$C949+PM_Angle!$L$17*$B949</f>
      </c>
      <c r="AE949" s="12">
        <f>IF(AD949&gt;0,IF(AD949&lt;=eco,alpha*fck*(1-(1-AD949/eco)^n),alpha*fck),0)</f>
      </c>
      <c r="AF949" s="30">
        <f>PM_Angle!$J$18+PM_Angle!$K$18*$C949+PM_Angle!$L$18*$B949</f>
      </c>
      <c r="AG949" s="12">
        <f>IF(AF949&gt;0,IF(AF949&lt;=eco,alpha*fck*(1-(1-AF949/eco)^n),alpha*fck),0)</f>
      </c>
      <c r="AH949" s="30">
        <f>PM_Angle!$J$19+PM_Angle!$K$19*$C949+PM_Angle!$L$19*$B949</f>
      </c>
      <c r="AI949" s="12">
        <f>IF(AH949&gt;0,IF(AH949&lt;=eco,alpha*fck*(1-(1-AH949/eco)^n),alpha*fck),0)</f>
      </c>
      <c r="AJ949" s="30">
        <f>PM_Angle!$J$20+PM_Angle!$K$20*$C949+PM_Angle!$L$20*$B949</f>
      </c>
      <c r="AK949" s="12">
        <f>IF(AJ949&gt;0,IF(AJ949&lt;=eco,alpha*fck*(1-(1-AJ949/eco)^n),alpha*fck),0)</f>
      </c>
      <c r="AL949" s="30">
        <f>PM_Angle!$J$21+PM_Angle!$K$21*$C949+PM_Angle!$L$21*$B949</f>
      </c>
      <c r="AM949" s="12">
        <f>IF(AL949&gt;0,IF(AL949&lt;=eco,alpha*fck*(1-(1-AL949/eco)^n),alpha*fck),0)</f>
      </c>
      <c r="AN949" s="30">
        <f>PM_Angle!$J$22+PM_Angle!$K$22*$C949+PM_Angle!$L$22*$B949</f>
      </c>
      <c r="AO949" s="12">
        <f>IF(AN949&gt;0,IF(AN949&lt;=eco,alpha*fck*(1-(1-AN949/eco)^n),alpha*fck),0)</f>
      </c>
      <c r="AP949" s="30">
        <f>PM_Angle!$J$23+PM_Angle!$K$23*$C949+PM_Angle!$L$23*$B949</f>
      </c>
      <c r="AQ949" s="12">
        <f>IF(AP949&gt;0,IF(AP949&lt;=eco,alpha*fck*(1-(1-AP949/eco)^n),alpha*fck),0)</f>
      </c>
      <c r="AR949" s="30">
        <f>PM_Angle!$J$24+PM_Angle!$K$24*$C949+PM_Angle!$L$24*$B949</f>
      </c>
      <c r="AS949" s="12">
        <f>IF(AR949&gt;0,IF(AR949&lt;=eco,alpha*fck*(1-(1-AR949/eco)^n),alpha*fck),0)</f>
      </c>
      <c r="AT949" s="30">
        <f>PM_Angle!$J$25+PM_Angle!$K$25*$C949+PM_Angle!$L$25*$B949</f>
      </c>
      <c r="AU949" s="12">
        <f>IF(AT949&gt;0,IF(AT949&lt;=eco,alpha*fck*(1-(1-AT949/eco)^n),alpha*fck),0)</f>
      </c>
    </row>
    <row r="950" spans="1:47" x14ac:dyDescent="0.25">
      <c r="A950">
        <f>Mesh!A947</f>
      </c>
      <c r="B950" s="12">
        <f>Mesh!B947</f>
      </c>
      <c r="C950" s="12">
        <f>Mesh!C947</f>
      </c>
      <c r="D950" s="12">
        <f>Mesh!D947</f>
      </c>
      <c r="E950" s="30">
        <f>INDEX(St_e0,Det+1)+INDEX(St_kx,Det+1)*C950+INDEX(St_ky,Det+1)*B950</f>
      </c>
      <c r="F950" s="12">
        <f>IF(E950&gt;0,IF(E950&lt;=eco,alpha*fck*(1-(1-E950/eco)^n),alpha*fck),0)</f>
      </c>
      <c r="G950" s="11">
        <f>F950*D950</f>
      </c>
      <c r="H950" s="11">
        <f>G950*C950</f>
      </c>
      <c r="I950" s="11">
        <f>G950*B950</f>
      </c>
      <c r="J950" s="30">
        <f>PM_Angle!$J$7+PM_Angle!$K$7*$C950+PM_Angle!$L$7*$B950</f>
      </c>
      <c r="K950" s="12">
        <f>IF(J950&gt;0,IF(J950&lt;=eco,alpha*fck*(1-(1-J950/eco)^n),alpha*fck),0)</f>
      </c>
      <c r="L950" s="30">
        <f>PM_Angle!$J$8+PM_Angle!$K$8*$C950+PM_Angle!$L$8*$B950</f>
      </c>
      <c r="M950" s="12">
        <f>IF(L950&gt;0,IF(L950&lt;=eco,alpha*fck*(1-(1-L950/eco)^n),alpha*fck),0)</f>
      </c>
      <c r="N950" s="30">
        <f>PM_Angle!$J$9+PM_Angle!$K$9*$C950+PM_Angle!$L$9*$B950</f>
      </c>
      <c r="O950" s="12">
        <f>IF(N950&gt;0,IF(N950&lt;=eco,alpha*fck*(1-(1-N950/eco)^n),alpha*fck),0)</f>
      </c>
      <c r="P950" s="30">
        <f>PM_Angle!$J$10+PM_Angle!$K$10*$C950+PM_Angle!$L$10*$B950</f>
      </c>
      <c r="Q950" s="12">
        <f>IF(P950&gt;0,IF(P950&lt;=eco,alpha*fck*(1-(1-P950/eco)^n),alpha*fck),0)</f>
      </c>
      <c r="R950" s="30">
        <f>PM_Angle!$J$11+PM_Angle!$K$11*$C950+PM_Angle!$L$11*$B950</f>
      </c>
      <c r="S950" s="12">
        <f>IF(R950&gt;0,IF(R950&lt;=eco,alpha*fck*(1-(1-R950/eco)^n),alpha*fck),0)</f>
      </c>
      <c r="T950" s="30">
        <f>PM_Angle!$J$12+PM_Angle!$K$12*$C950+PM_Angle!$L$12*$B950</f>
      </c>
      <c r="U950" s="12">
        <f>IF(T950&gt;0,IF(T950&lt;=eco,alpha*fck*(1-(1-T950/eco)^n),alpha*fck),0)</f>
      </c>
      <c r="V950" s="30">
        <f>PM_Angle!$J$13+PM_Angle!$K$13*$C950+PM_Angle!$L$13*$B950</f>
      </c>
      <c r="W950" s="12">
        <f>IF(V950&gt;0,IF(V950&lt;=eco,alpha*fck*(1-(1-V950/eco)^n),alpha*fck),0)</f>
      </c>
      <c r="X950" s="30">
        <f>PM_Angle!$J$14+PM_Angle!$K$14*$C950+PM_Angle!$L$14*$B950</f>
      </c>
      <c r="Y950" s="12">
        <f>IF(X950&gt;0,IF(X950&lt;=eco,alpha*fck*(1-(1-X950/eco)^n),alpha*fck),0)</f>
      </c>
      <c r="Z950" s="30">
        <f>PM_Angle!$J$15+PM_Angle!$K$15*$C950+PM_Angle!$L$15*$B950</f>
      </c>
      <c r="AA950" s="12">
        <f>IF(Z950&gt;0,IF(Z950&lt;=eco,alpha*fck*(1-(1-Z950/eco)^n),alpha*fck),0)</f>
      </c>
      <c r="AB950" s="30">
        <f>PM_Angle!$J$16+PM_Angle!$K$16*$C950+PM_Angle!$L$16*$B950</f>
      </c>
      <c r="AC950" s="12">
        <f>IF(AB950&gt;0,IF(AB950&lt;=eco,alpha*fck*(1-(1-AB950/eco)^n),alpha*fck),0)</f>
      </c>
      <c r="AD950" s="30">
        <f>PM_Angle!$J$17+PM_Angle!$K$17*$C950+PM_Angle!$L$17*$B950</f>
      </c>
      <c r="AE950" s="12">
        <f>IF(AD950&gt;0,IF(AD950&lt;=eco,alpha*fck*(1-(1-AD950/eco)^n),alpha*fck),0)</f>
      </c>
      <c r="AF950" s="30">
        <f>PM_Angle!$J$18+PM_Angle!$K$18*$C950+PM_Angle!$L$18*$B950</f>
      </c>
      <c r="AG950" s="12">
        <f>IF(AF950&gt;0,IF(AF950&lt;=eco,alpha*fck*(1-(1-AF950/eco)^n),alpha*fck),0)</f>
      </c>
      <c r="AH950" s="30">
        <f>PM_Angle!$J$19+PM_Angle!$K$19*$C950+PM_Angle!$L$19*$B950</f>
      </c>
      <c r="AI950" s="12">
        <f>IF(AH950&gt;0,IF(AH950&lt;=eco,alpha*fck*(1-(1-AH950/eco)^n),alpha*fck),0)</f>
      </c>
      <c r="AJ950" s="30">
        <f>PM_Angle!$J$20+PM_Angle!$K$20*$C950+PM_Angle!$L$20*$B950</f>
      </c>
      <c r="AK950" s="12">
        <f>IF(AJ950&gt;0,IF(AJ950&lt;=eco,alpha*fck*(1-(1-AJ950/eco)^n),alpha*fck),0)</f>
      </c>
      <c r="AL950" s="30">
        <f>PM_Angle!$J$21+PM_Angle!$K$21*$C950+PM_Angle!$L$21*$B950</f>
      </c>
      <c r="AM950" s="12">
        <f>IF(AL950&gt;0,IF(AL950&lt;=eco,alpha*fck*(1-(1-AL950/eco)^n),alpha*fck),0)</f>
      </c>
      <c r="AN950" s="30">
        <f>PM_Angle!$J$22+PM_Angle!$K$22*$C950+PM_Angle!$L$22*$B950</f>
      </c>
      <c r="AO950" s="12">
        <f>IF(AN950&gt;0,IF(AN950&lt;=eco,alpha*fck*(1-(1-AN950/eco)^n),alpha*fck),0)</f>
      </c>
      <c r="AP950" s="30">
        <f>PM_Angle!$J$23+PM_Angle!$K$23*$C950+PM_Angle!$L$23*$B950</f>
      </c>
      <c r="AQ950" s="12">
        <f>IF(AP950&gt;0,IF(AP950&lt;=eco,alpha*fck*(1-(1-AP950/eco)^n),alpha*fck),0)</f>
      </c>
      <c r="AR950" s="30">
        <f>PM_Angle!$J$24+PM_Angle!$K$24*$C950+PM_Angle!$L$24*$B950</f>
      </c>
      <c r="AS950" s="12">
        <f>IF(AR950&gt;0,IF(AR950&lt;=eco,alpha*fck*(1-(1-AR950/eco)^n),alpha*fck),0)</f>
      </c>
      <c r="AT950" s="30">
        <f>PM_Angle!$J$25+PM_Angle!$K$25*$C950+PM_Angle!$L$25*$B950</f>
      </c>
      <c r="AU950" s="12">
        <f>IF(AT950&gt;0,IF(AT950&lt;=eco,alpha*fck*(1-(1-AT950/eco)^n),alpha*fck),0)</f>
      </c>
    </row>
    <row r="951" spans="1:47" x14ac:dyDescent="0.25">
      <c r="A951">
        <f>Mesh!A948</f>
      </c>
      <c r="B951" s="12">
        <f>Mesh!B948</f>
      </c>
      <c r="C951" s="12">
        <f>Mesh!C948</f>
      </c>
      <c r="D951" s="12">
        <f>Mesh!D948</f>
      </c>
      <c r="E951" s="30">
        <f>INDEX(St_e0,Det+1)+INDEX(St_kx,Det+1)*C951+INDEX(St_ky,Det+1)*B951</f>
      </c>
      <c r="F951" s="12">
        <f>IF(E951&gt;0,IF(E951&lt;=eco,alpha*fck*(1-(1-E951/eco)^n),alpha*fck),0)</f>
      </c>
      <c r="G951" s="11">
        <f>F951*D951</f>
      </c>
      <c r="H951" s="11">
        <f>G951*C951</f>
      </c>
      <c r="I951" s="11">
        <f>G951*B951</f>
      </c>
      <c r="J951" s="30">
        <f>PM_Angle!$J$7+PM_Angle!$K$7*$C951+PM_Angle!$L$7*$B951</f>
      </c>
      <c r="K951" s="12">
        <f>IF(J951&gt;0,IF(J951&lt;=eco,alpha*fck*(1-(1-J951/eco)^n),alpha*fck),0)</f>
      </c>
      <c r="L951" s="30">
        <f>PM_Angle!$J$8+PM_Angle!$K$8*$C951+PM_Angle!$L$8*$B951</f>
      </c>
      <c r="M951" s="12">
        <f>IF(L951&gt;0,IF(L951&lt;=eco,alpha*fck*(1-(1-L951/eco)^n),alpha*fck),0)</f>
      </c>
      <c r="N951" s="30">
        <f>PM_Angle!$J$9+PM_Angle!$K$9*$C951+PM_Angle!$L$9*$B951</f>
      </c>
      <c r="O951" s="12">
        <f>IF(N951&gt;0,IF(N951&lt;=eco,alpha*fck*(1-(1-N951/eco)^n),alpha*fck),0)</f>
      </c>
      <c r="P951" s="30">
        <f>PM_Angle!$J$10+PM_Angle!$K$10*$C951+PM_Angle!$L$10*$B951</f>
      </c>
      <c r="Q951" s="12">
        <f>IF(P951&gt;0,IF(P951&lt;=eco,alpha*fck*(1-(1-P951/eco)^n),alpha*fck),0)</f>
      </c>
      <c r="R951" s="30">
        <f>PM_Angle!$J$11+PM_Angle!$K$11*$C951+PM_Angle!$L$11*$B951</f>
      </c>
      <c r="S951" s="12">
        <f>IF(R951&gt;0,IF(R951&lt;=eco,alpha*fck*(1-(1-R951/eco)^n),alpha*fck),0)</f>
      </c>
      <c r="T951" s="30">
        <f>PM_Angle!$J$12+PM_Angle!$K$12*$C951+PM_Angle!$L$12*$B951</f>
      </c>
      <c r="U951" s="12">
        <f>IF(T951&gt;0,IF(T951&lt;=eco,alpha*fck*(1-(1-T951/eco)^n),alpha*fck),0)</f>
      </c>
      <c r="V951" s="30">
        <f>PM_Angle!$J$13+PM_Angle!$K$13*$C951+PM_Angle!$L$13*$B951</f>
      </c>
      <c r="W951" s="12">
        <f>IF(V951&gt;0,IF(V951&lt;=eco,alpha*fck*(1-(1-V951/eco)^n),alpha*fck),0)</f>
      </c>
      <c r="X951" s="30">
        <f>PM_Angle!$J$14+PM_Angle!$K$14*$C951+PM_Angle!$L$14*$B951</f>
      </c>
      <c r="Y951" s="12">
        <f>IF(X951&gt;0,IF(X951&lt;=eco,alpha*fck*(1-(1-X951/eco)^n),alpha*fck),0)</f>
      </c>
      <c r="Z951" s="30">
        <f>PM_Angle!$J$15+PM_Angle!$K$15*$C951+PM_Angle!$L$15*$B951</f>
      </c>
      <c r="AA951" s="12">
        <f>IF(Z951&gt;0,IF(Z951&lt;=eco,alpha*fck*(1-(1-Z951/eco)^n),alpha*fck),0)</f>
      </c>
      <c r="AB951" s="30">
        <f>PM_Angle!$J$16+PM_Angle!$K$16*$C951+PM_Angle!$L$16*$B951</f>
      </c>
      <c r="AC951" s="12">
        <f>IF(AB951&gt;0,IF(AB951&lt;=eco,alpha*fck*(1-(1-AB951/eco)^n),alpha*fck),0)</f>
      </c>
      <c r="AD951" s="30">
        <f>PM_Angle!$J$17+PM_Angle!$K$17*$C951+PM_Angle!$L$17*$B951</f>
      </c>
      <c r="AE951" s="12">
        <f>IF(AD951&gt;0,IF(AD951&lt;=eco,alpha*fck*(1-(1-AD951/eco)^n),alpha*fck),0)</f>
      </c>
      <c r="AF951" s="30">
        <f>PM_Angle!$J$18+PM_Angle!$K$18*$C951+PM_Angle!$L$18*$B951</f>
      </c>
      <c r="AG951" s="12">
        <f>IF(AF951&gt;0,IF(AF951&lt;=eco,alpha*fck*(1-(1-AF951/eco)^n),alpha*fck),0)</f>
      </c>
      <c r="AH951" s="30">
        <f>PM_Angle!$J$19+PM_Angle!$K$19*$C951+PM_Angle!$L$19*$B951</f>
      </c>
      <c r="AI951" s="12">
        <f>IF(AH951&gt;0,IF(AH951&lt;=eco,alpha*fck*(1-(1-AH951/eco)^n),alpha*fck),0)</f>
      </c>
      <c r="AJ951" s="30">
        <f>PM_Angle!$J$20+PM_Angle!$K$20*$C951+PM_Angle!$L$20*$B951</f>
      </c>
      <c r="AK951" s="12">
        <f>IF(AJ951&gt;0,IF(AJ951&lt;=eco,alpha*fck*(1-(1-AJ951/eco)^n),alpha*fck),0)</f>
      </c>
      <c r="AL951" s="30">
        <f>PM_Angle!$J$21+PM_Angle!$K$21*$C951+PM_Angle!$L$21*$B951</f>
      </c>
      <c r="AM951" s="12">
        <f>IF(AL951&gt;0,IF(AL951&lt;=eco,alpha*fck*(1-(1-AL951/eco)^n),alpha*fck),0)</f>
      </c>
      <c r="AN951" s="30">
        <f>PM_Angle!$J$22+PM_Angle!$K$22*$C951+PM_Angle!$L$22*$B951</f>
      </c>
      <c r="AO951" s="12">
        <f>IF(AN951&gt;0,IF(AN951&lt;=eco,alpha*fck*(1-(1-AN951/eco)^n),alpha*fck),0)</f>
      </c>
      <c r="AP951" s="30">
        <f>PM_Angle!$J$23+PM_Angle!$K$23*$C951+PM_Angle!$L$23*$B951</f>
      </c>
      <c r="AQ951" s="12">
        <f>IF(AP951&gt;0,IF(AP951&lt;=eco,alpha*fck*(1-(1-AP951/eco)^n),alpha*fck),0)</f>
      </c>
      <c r="AR951" s="30">
        <f>PM_Angle!$J$24+PM_Angle!$K$24*$C951+PM_Angle!$L$24*$B951</f>
      </c>
      <c r="AS951" s="12">
        <f>IF(AR951&gt;0,IF(AR951&lt;=eco,alpha*fck*(1-(1-AR951/eco)^n),alpha*fck),0)</f>
      </c>
      <c r="AT951" s="30">
        <f>PM_Angle!$J$25+PM_Angle!$K$25*$C951+PM_Angle!$L$25*$B951</f>
      </c>
      <c r="AU951" s="12">
        <f>IF(AT951&gt;0,IF(AT951&lt;=eco,alpha*fck*(1-(1-AT951/eco)^n),alpha*fck),0)</f>
      </c>
    </row>
    <row r="952" spans="1:47" x14ac:dyDescent="0.25">
      <c r="A952">
        <f>Mesh!A949</f>
      </c>
      <c r="B952" s="12">
        <f>Mesh!B949</f>
      </c>
      <c r="C952" s="12">
        <f>Mesh!C949</f>
      </c>
      <c r="D952" s="12">
        <f>Mesh!D949</f>
      </c>
      <c r="E952" s="30">
        <f>INDEX(St_e0,Det+1)+INDEX(St_kx,Det+1)*C952+INDEX(St_ky,Det+1)*B952</f>
      </c>
      <c r="F952" s="12">
        <f>IF(E952&gt;0,IF(E952&lt;=eco,alpha*fck*(1-(1-E952/eco)^n),alpha*fck),0)</f>
      </c>
      <c r="G952" s="11">
        <f>F952*D952</f>
      </c>
      <c r="H952" s="11">
        <f>G952*C952</f>
      </c>
      <c r="I952" s="11">
        <f>G952*B952</f>
      </c>
      <c r="J952" s="30">
        <f>PM_Angle!$J$7+PM_Angle!$K$7*$C952+PM_Angle!$L$7*$B952</f>
      </c>
      <c r="K952" s="12">
        <f>IF(J952&gt;0,IF(J952&lt;=eco,alpha*fck*(1-(1-J952/eco)^n),alpha*fck),0)</f>
      </c>
      <c r="L952" s="30">
        <f>PM_Angle!$J$8+PM_Angle!$K$8*$C952+PM_Angle!$L$8*$B952</f>
      </c>
      <c r="M952" s="12">
        <f>IF(L952&gt;0,IF(L952&lt;=eco,alpha*fck*(1-(1-L952/eco)^n),alpha*fck),0)</f>
      </c>
      <c r="N952" s="30">
        <f>PM_Angle!$J$9+PM_Angle!$K$9*$C952+PM_Angle!$L$9*$B952</f>
      </c>
      <c r="O952" s="12">
        <f>IF(N952&gt;0,IF(N952&lt;=eco,alpha*fck*(1-(1-N952/eco)^n),alpha*fck),0)</f>
      </c>
      <c r="P952" s="30">
        <f>PM_Angle!$J$10+PM_Angle!$K$10*$C952+PM_Angle!$L$10*$B952</f>
      </c>
      <c r="Q952" s="12">
        <f>IF(P952&gt;0,IF(P952&lt;=eco,alpha*fck*(1-(1-P952/eco)^n),alpha*fck),0)</f>
      </c>
      <c r="R952" s="30">
        <f>PM_Angle!$J$11+PM_Angle!$K$11*$C952+PM_Angle!$L$11*$B952</f>
      </c>
      <c r="S952" s="12">
        <f>IF(R952&gt;0,IF(R952&lt;=eco,alpha*fck*(1-(1-R952/eco)^n),alpha*fck),0)</f>
      </c>
      <c r="T952" s="30">
        <f>PM_Angle!$J$12+PM_Angle!$K$12*$C952+PM_Angle!$L$12*$B952</f>
      </c>
      <c r="U952" s="12">
        <f>IF(T952&gt;0,IF(T952&lt;=eco,alpha*fck*(1-(1-T952/eco)^n),alpha*fck),0)</f>
      </c>
      <c r="V952" s="30">
        <f>PM_Angle!$J$13+PM_Angle!$K$13*$C952+PM_Angle!$L$13*$B952</f>
      </c>
      <c r="W952" s="12">
        <f>IF(V952&gt;0,IF(V952&lt;=eco,alpha*fck*(1-(1-V952/eco)^n),alpha*fck),0)</f>
      </c>
      <c r="X952" s="30">
        <f>PM_Angle!$J$14+PM_Angle!$K$14*$C952+PM_Angle!$L$14*$B952</f>
      </c>
      <c r="Y952" s="12">
        <f>IF(X952&gt;0,IF(X952&lt;=eco,alpha*fck*(1-(1-X952/eco)^n),alpha*fck),0)</f>
      </c>
      <c r="Z952" s="30">
        <f>PM_Angle!$J$15+PM_Angle!$K$15*$C952+PM_Angle!$L$15*$B952</f>
      </c>
      <c r="AA952" s="12">
        <f>IF(Z952&gt;0,IF(Z952&lt;=eco,alpha*fck*(1-(1-Z952/eco)^n),alpha*fck),0)</f>
      </c>
      <c r="AB952" s="30">
        <f>PM_Angle!$J$16+PM_Angle!$K$16*$C952+PM_Angle!$L$16*$B952</f>
      </c>
      <c r="AC952" s="12">
        <f>IF(AB952&gt;0,IF(AB952&lt;=eco,alpha*fck*(1-(1-AB952/eco)^n),alpha*fck),0)</f>
      </c>
      <c r="AD952" s="30">
        <f>PM_Angle!$J$17+PM_Angle!$K$17*$C952+PM_Angle!$L$17*$B952</f>
      </c>
      <c r="AE952" s="12">
        <f>IF(AD952&gt;0,IF(AD952&lt;=eco,alpha*fck*(1-(1-AD952/eco)^n),alpha*fck),0)</f>
      </c>
      <c r="AF952" s="30">
        <f>PM_Angle!$J$18+PM_Angle!$K$18*$C952+PM_Angle!$L$18*$B952</f>
      </c>
      <c r="AG952" s="12">
        <f>IF(AF952&gt;0,IF(AF952&lt;=eco,alpha*fck*(1-(1-AF952/eco)^n),alpha*fck),0)</f>
      </c>
      <c r="AH952" s="30">
        <f>PM_Angle!$J$19+PM_Angle!$K$19*$C952+PM_Angle!$L$19*$B952</f>
      </c>
      <c r="AI952" s="12">
        <f>IF(AH952&gt;0,IF(AH952&lt;=eco,alpha*fck*(1-(1-AH952/eco)^n),alpha*fck),0)</f>
      </c>
      <c r="AJ952" s="30">
        <f>PM_Angle!$J$20+PM_Angle!$K$20*$C952+PM_Angle!$L$20*$B952</f>
      </c>
      <c r="AK952" s="12">
        <f>IF(AJ952&gt;0,IF(AJ952&lt;=eco,alpha*fck*(1-(1-AJ952/eco)^n),alpha*fck),0)</f>
      </c>
      <c r="AL952" s="30">
        <f>PM_Angle!$J$21+PM_Angle!$K$21*$C952+PM_Angle!$L$21*$B952</f>
      </c>
      <c r="AM952" s="12">
        <f>IF(AL952&gt;0,IF(AL952&lt;=eco,alpha*fck*(1-(1-AL952/eco)^n),alpha*fck),0)</f>
      </c>
      <c r="AN952" s="30">
        <f>PM_Angle!$J$22+PM_Angle!$K$22*$C952+PM_Angle!$L$22*$B952</f>
      </c>
      <c r="AO952" s="12">
        <f>IF(AN952&gt;0,IF(AN952&lt;=eco,alpha*fck*(1-(1-AN952/eco)^n),alpha*fck),0)</f>
      </c>
      <c r="AP952" s="30">
        <f>PM_Angle!$J$23+PM_Angle!$K$23*$C952+PM_Angle!$L$23*$B952</f>
      </c>
      <c r="AQ952" s="12">
        <f>IF(AP952&gt;0,IF(AP952&lt;=eco,alpha*fck*(1-(1-AP952/eco)^n),alpha*fck),0)</f>
      </c>
      <c r="AR952" s="30">
        <f>PM_Angle!$J$24+PM_Angle!$K$24*$C952+PM_Angle!$L$24*$B952</f>
      </c>
      <c r="AS952" s="12">
        <f>IF(AR952&gt;0,IF(AR952&lt;=eco,alpha*fck*(1-(1-AR952/eco)^n),alpha*fck),0)</f>
      </c>
      <c r="AT952" s="30">
        <f>PM_Angle!$J$25+PM_Angle!$K$25*$C952+PM_Angle!$L$25*$B952</f>
      </c>
      <c r="AU952" s="12">
        <f>IF(AT952&gt;0,IF(AT952&lt;=eco,alpha*fck*(1-(1-AT952/eco)^n),alpha*fck),0)</f>
      </c>
    </row>
    <row r="953" spans="1:47" x14ac:dyDescent="0.25">
      <c r="A953">
        <f>Mesh!A950</f>
      </c>
      <c r="B953" s="12">
        <f>Mesh!B950</f>
      </c>
      <c r="C953" s="12">
        <f>Mesh!C950</f>
      </c>
      <c r="D953" s="12">
        <f>Mesh!D950</f>
      </c>
      <c r="E953" s="30">
        <f>INDEX(St_e0,Det+1)+INDEX(St_kx,Det+1)*C953+INDEX(St_ky,Det+1)*B953</f>
      </c>
      <c r="F953" s="12">
        <f>IF(E953&gt;0,IF(E953&lt;=eco,alpha*fck*(1-(1-E953/eco)^n),alpha*fck),0)</f>
      </c>
      <c r="G953" s="11">
        <f>F953*D953</f>
      </c>
      <c r="H953" s="11">
        <f>G953*C953</f>
      </c>
      <c r="I953" s="11">
        <f>G953*B953</f>
      </c>
      <c r="J953" s="30">
        <f>PM_Angle!$J$7+PM_Angle!$K$7*$C953+PM_Angle!$L$7*$B953</f>
      </c>
      <c r="K953" s="12">
        <f>IF(J953&gt;0,IF(J953&lt;=eco,alpha*fck*(1-(1-J953/eco)^n),alpha*fck),0)</f>
      </c>
      <c r="L953" s="30">
        <f>PM_Angle!$J$8+PM_Angle!$K$8*$C953+PM_Angle!$L$8*$B953</f>
      </c>
      <c r="M953" s="12">
        <f>IF(L953&gt;0,IF(L953&lt;=eco,alpha*fck*(1-(1-L953/eco)^n),alpha*fck),0)</f>
      </c>
      <c r="N953" s="30">
        <f>PM_Angle!$J$9+PM_Angle!$K$9*$C953+PM_Angle!$L$9*$B953</f>
      </c>
      <c r="O953" s="12">
        <f>IF(N953&gt;0,IF(N953&lt;=eco,alpha*fck*(1-(1-N953/eco)^n),alpha*fck),0)</f>
      </c>
      <c r="P953" s="30">
        <f>PM_Angle!$J$10+PM_Angle!$K$10*$C953+PM_Angle!$L$10*$B953</f>
      </c>
      <c r="Q953" s="12">
        <f>IF(P953&gt;0,IF(P953&lt;=eco,alpha*fck*(1-(1-P953/eco)^n),alpha*fck),0)</f>
      </c>
      <c r="R953" s="30">
        <f>PM_Angle!$J$11+PM_Angle!$K$11*$C953+PM_Angle!$L$11*$B953</f>
      </c>
      <c r="S953" s="12">
        <f>IF(R953&gt;0,IF(R953&lt;=eco,alpha*fck*(1-(1-R953/eco)^n),alpha*fck),0)</f>
      </c>
      <c r="T953" s="30">
        <f>PM_Angle!$J$12+PM_Angle!$K$12*$C953+PM_Angle!$L$12*$B953</f>
      </c>
      <c r="U953" s="12">
        <f>IF(T953&gt;0,IF(T953&lt;=eco,alpha*fck*(1-(1-T953/eco)^n),alpha*fck),0)</f>
      </c>
      <c r="V953" s="30">
        <f>PM_Angle!$J$13+PM_Angle!$K$13*$C953+PM_Angle!$L$13*$B953</f>
      </c>
      <c r="W953" s="12">
        <f>IF(V953&gt;0,IF(V953&lt;=eco,alpha*fck*(1-(1-V953/eco)^n),alpha*fck),0)</f>
      </c>
      <c r="X953" s="30">
        <f>PM_Angle!$J$14+PM_Angle!$K$14*$C953+PM_Angle!$L$14*$B953</f>
      </c>
      <c r="Y953" s="12">
        <f>IF(X953&gt;0,IF(X953&lt;=eco,alpha*fck*(1-(1-X953/eco)^n),alpha*fck),0)</f>
      </c>
      <c r="Z953" s="30">
        <f>PM_Angle!$J$15+PM_Angle!$K$15*$C953+PM_Angle!$L$15*$B953</f>
      </c>
      <c r="AA953" s="12">
        <f>IF(Z953&gt;0,IF(Z953&lt;=eco,alpha*fck*(1-(1-Z953/eco)^n),alpha*fck),0)</f>
      </c>
      <c r="AB953" s="30">
        <f>PM_Angle!$J$16+PM_Angle!$K$16*$C953+PM_Angle!$L$16*$B953</f>
      </c>
      <c r="AC953" s="12">
        <f>IF(AB953&gt;0,IF(AB953&lt;=eco,alpha*fck*(1-(1-AB953/eco)^n),alpha*fck),0)</f>
      </c>
      <c r="AD953" s="30">
        <f>PM_Angle!$J$17+PM_Angle!$K$17*$C953+PM_Angle!$L$17*$B953</f>
      </c>
      <c r="AE953" s="12">
        <f>IF(AD953&gt;0,IF(AD953&lt;=eco,alpha*fck*(1-(1-AD953/eco)^n),alpha*fck),0)</f>
      </c>
      <c r="AF953" s="30">
        <f>PM_Angle!$J$18+PM_Angle!$K$18*$C953+PM_Angle!$L$18*$B953</f>
      </c>
      <c r="AG953" s="12">
        <f>IF(AF953&gt;0,IF(AF953&lt;=eco,alpha*fck*(1-(1-AF953/eco)^n),alpha*fck),0)</f>
      </c>
      <c r="AH953" s="30">
        <f>PM_Angle!$J$19+PM_Angle!$K$19*$C953+PM_Angle!$L$19*$B953</f>
      </c>
      <c r="AI953" s="12">
        <f>IF(AH953&gt;0,IF(AH953&lt;=eco,alpha*fck*(1-(1-AH953/eco)^n),alpha*fck),0)</f>
      </c>
      <c r="AJ953" s="30">
        <f>PM_Angle!$J$20+PM_Angle!$K$20*$C953+PM_Angle!$L$20*$B953</f>
      </c>
      <c r="AK953" s="12">
        <f>IF(AJ953&gt;0,IF(AJ953&lt;=eco,alpha*fck*(1-(1-AJ953/eco)^n),alpha*fck),0)</f>
      </c>
      <c r="AL953" s="30">
        <f>PM_Angle!$J$21+PM_Angle!$K$21*$C953+PM_Angle!$L$21*$B953</f>
      </c>
      <c r="AM953" s="12">
        <f>IF(AL953&gt;0,IF(AL953&lt;=eco,alpha*fck*(1-(1-AL953/eco)^n),alpha*fck),0)</f>
      </c>
      <c r="AN953" s="30">
        <f>PM_Angle!$J$22+PM_Angle!$K$22*$C953+PM_Angle!$L$22*$B953</f>
      </c>
      <c r="AO953" s="12">
        <f>IF(AN953&gt;0,IF(AN953&lt;=eco,alpha*fck*(1-(1-AN953/eco)^n),alpha*fck),0)</f>
      </c>
      <c r="AP953" s="30">
        <f>PM_Angle!$J$23+PM_Angle!$K$23*$C953+PM_Angle!$L$23*$B953</f>
      </c>
      <c r="AQ953" s="12">
        <f>IF(AP953&gt;0,IF(AP953&lt;=eco,alpha*fck*(1-(1-AP953/eco)^n),alpha*fck),0)</f>
      </c>
      <c r="AR953" s="30">
        <f>PM_Angle!$J$24+PM_Angle!$K$24*$C953+PM_Angle!$L$24*$B953</f>
      </c>
      <c r="AS953" s="12">
        <f>IF(AR953&gt;0,IF(AR953&lt;=eco,alpha*fck*(1-(1-AR953/eco)^n),alpha*fck),0)</f>
      </c>
      <c r="AT953" s="30">
        <f>PM_Angle!$J$25+PM_Angle!$K$25*$C953+PM_Angle!$L$25*$B953</f>
      </c>
      <c r="AU953" s="12">
        <f>IF(AT953&gt;0,IF(AT953&lt;=eco,alpha*fck*(1-(1-AT953/eco)^n),alpha*fck),0)</f>
      </c>
    </row>
    <row r="954" spans="1:47" x14ac:dyDescent="0.25">
      <c r="A954">
        <f>Mesh!A951</f>
      </c>
      <c r="B954" s="12">
        <f>Mesh!B951</f>
      </c>
      <c r="C954" s="12">
        <f>Mesh!C951</f>
      </c>
      <c r="D954" s="12">
        <f>Mesh!D951</f>
      </c>
      <c r="E954" s="30">
        <f>INDEX(St_e0,Det+1)+INDEX(St_kx,Det+1)*C954+INDEX(St_ky,Det+1)*B954</f>
      </c>
      <c r="F954" s="12">
        <f>IF(E954&gt;0,IF(E954&lt;=eco,alpha*fck*(1-(1-E954/eco)^n),alpha*fck),0)</f>
      </c>
      <c r="G954" s="11">
        <f>F954*D954</f>
      </c>
      <c r="H954" s="11">
        <f>G954*C954</f>
      </c>
      <c r="I954" s="11">
        <f>G954*B954</f>
      </c>
      <c r="J954" s="30">
        <f>PM_Angle!$J$7+PM_Angle!$K$7*$C954+PM_Angle!$L$7*$B954</f>
      </c>
      <c r="K954" s="12">
        <f>IF(J954&gt;0,IF(J954&lt;=eco,alpha*fck*(1-(1-J954/eco)^n),alpha*fck),0)</f>
      </c>
      <c r="L954" s="30">
        <f>PM_Angle!$J$8+PM_Angle!$K$8*$C954+PM_Angle!$L$8*$B954</f>
      </c>
      <c r="M954" s="12">
        <f>IF(L954&gt;0,IF(L954&lt;=eco,alpha*fck*(1-(1-L954/eco)^n),alpha*fck),0)</f>
      </c>
      <c r="N954" s="30">
        <f>PM_Angle!$J$9+PM_Angle!$K$9*$C954+PM_Angle!$L$9*$B954</f>
      </c>
      <c r="O954" s="12">
        <f>IF(N954&gt;0,IF(N954&lt;=eco,alpha*fck*(1-(1-N954/eco)^n),alpha*fck),0)</f>
      </c>
      <c r="P954" s="30">
        <f>PM_Angle!$J$10+PM_Angle!$K$10*$C954+PM_Angle!$L$10*$B954</f>
      </c>
      <c r="Q954" s="12">
        <f>IF(P954&gt;0,IF(P954&lt;=eco,alpha*fck*(1-(1-P954/eco)^n),alpha*fck),0)</f>
      </c>
      <c r="R954" s="30">
        <f>PM_Angle!$J$11+PM_Angle!$K$11*$C954+PM_Angle!$L$11*$B954</f>
      </c>
      <c r="S954" s="12">
        <f>IF(R954&gt;0,IF(R954&lt;=eco,alpha*fck*(1-(1-R954/eco)^n),alpha*fck),0)</f>
      </c>
      <c r="T954" s="30">
        <f>PM_Angle!$J$12+PM_Angle!$K$12*$C954+PM_Angle!$L$12*$B954</f>
      </c>
      <c r="U954" s="12">
        <f>IF(T954&gt;0,IF(T954&lt;=eco,alpha*fck*(1-(1-T954/eco)^n),alpha*fck),0)</f>
      </c>
      <c r="V954" s="30">
        <f>PM_Angle!$J$13+PM_Angle!$K$13*$C954+PM_Angle!$L$13*$B954</f>
      </c>
      <c r="W954" s="12">
        <f>IF(V954&gt;0,IF(V954&lt;=eco,alpha*fck*(1-(1-V954/eco)^n),alpha*fck),0)</f>
      </c>
      <c r="X954" s="30">
        <f>PM_Angle!$J$14+PM_Angle!$K$14*$C954+PM_Angle!$L$14*$B954</f>
      </c>
      <c r="Y954" s="12">
        <f>IF(X954&gt;0,IF(X954&lt;=eco,alpha*fck*(1-(1-X954/eco)^n),alpha*fck),0)</f>
      </c>
      <c r="Z954" s="30">
        <f>PM_Angle!$J$15+PM_Angle!$K$15*$C954+PM_Angle!$L$15*$B954</f>
      </c>
      <c r="AA954" s="12">
        <f>IF(Z954&gt;0,IF(Z954&lt;=eco,alpha*fck*(1-(1-Z954/eco)^n),alpha*fck),0)</f>
      </c>
      <c r="AB954" s="30">
        <f>PM_Angle!$J$16+PM_Angle!$K$16*$C954+PM_Angle!$L$16*$B954</f>
      </c>
      <c r="AC954" s="12">
        <f>IF(AB954&gt;0,IF(AB954&lt;=eco,alpha*fck*(1-(1-AB954/eco)^n),alpha*fck),0)</f>
      </c>
      <c r="AD954" s="30">
        <f>PM_Angle!$J$17+PM_Angle!$K$17*$C954+PM_Angle!$L$17*$B954</f>
      </c>
      <c r="AE954" s="12">
        <f>IF(AD954&gt;0,IF(AD954&lt;=eco,alpha*fck*(1-(1-AD954/eco)^n),alpha*fck),0)</f>
      </c>
      <c r="AF954" s="30">
        <f>PM_Angle!$J$18+PM_Angle!$K$18*$C954+PM_Angle!$L$18*$B954</f>
      </c>
      <c r="AG954" s="12">
        <f>IF(AF954&gt;0,IF(AF954&lt;=eco,alpha*fck*(1-(1-AF954/eco)^n),alpha*fck),0)</f>
      </c>
      <c r="AH954" s="30">
        <f>PM_Angle!$J$19+PM_Angle!$K$19*$C954+PM_Angle!$L$19*$B954</f>
      </c>
      <c r="AI954" s="12">
        <f>IF(AH954&gt;0,IF(AH954&lt;=eco,alpha*fck*(1-(1-AH954/eco)^n),alpha*fck),0)</f>
      </c>
      <c r="AJ954" s="30">
        <f>PM_Angle!$J$20+PM_Angle!$K$20*$C954+PM_Angle!$L$20*$B954</f>
      </c>
      <c r="AK954" s="12">
        <f>IF(AJ954&gt;0,IF(AJ954&lt;=eco,alpha*fck*(1-(1-AJ954/eco)^n),alpha*fck),0)</f>
      </c>
      <c r="AL954" s="30">
        <f>PM_Angle!$J$21+PM_Angle!$K$21*$C954+PM_Angle!$L$21*$B954</f>
      </c>
      <c r="AM954" s="12">
        <f>IF(AL954&gt;0,IF(AL954&lt;=eco,alpha*fck*(1-(1-AL954/eco)^n),alpha*fck),0)</f>
      </c>
      <c r="AN954" s="30">
        <f>PM_Angle!$J$22+PM_Angle!$K$22*$C954+PM_Angle!$L$22*$B954</f>
      </c>
      <c r="AO954" s="12">
        <f>IF(AN954&gt;0,IF(AN954&lt;=eco,alpha*fck*(1-(1-AN954/eco)^n),alpha*fck),0)</f>
      </c>
      <c r="AP954" s="30">
        <f>PM_Angle!$J$23+PM_Angle!$K$23*$C954+PM_Angle!$L$23*$B954</f>
      </c>
      <c r="AQ954" s="12">
        <f>IF(AP954&gt;0,IF(AP954&lt;=eco,alpha*fck*(1-(1-AP954/eco)^n),alpha*fck),0)</f>
      </c>
      <c r="AR954" s="30">
        <f>PM_Angle!$J$24+PM_Angle!$K$24*$C954+PM_Angle!$L$24*$B954</f>
      </c>
      <c r="AS954" s="12">
        <f>IF(AR954&gt;0,IF(AR954&lt;=eco,alpha*fck*(1-(1-AR954/eco)^n),alpha*fck),0)</f>
      </c>
      <c r="AT954" s="30">
        <f>PM_Angle!$J$25+PM_Angle!$K$25*$C954+PM_Angle!$L$25*$B954</f>
      </c>
      <c r="AU954" s="12">
        <f>IF(AT954&gt;0,IF(AT954&lt;=eco,alpha*fck*(1-(1-AT954/eco)^n),alpha*fck),0)</f>
      </c>
    </row>
    <row r="955" spans="1:47" x14ac:dyDescent="0.25">
      <c r="A955">
        <f>Mesh!A952</f>
      </c>
      <c r="B955" s="12">
        <f>Mesh!B952</f>
      </c>
      <c r="C955" s="12">
        <f>Mesh!C952</f>
      </c>
      <c r="D955" s="12">
        <f>Mesh!D952</f>
      </c>
      <c r="E955" s="30">
        <f>INDEX(St_e0,Det+1)+INDEX(St_kx,Det+1)*C955+INDEX(St_ky,Det+1)*B955</f>
      </c>
      <c r="F955" s="12">
        <f>IF(E955&gt;0,IF(E955&lt;=eco,alpha*fck*(1-(1-E955/eco)^n),alpha*fck),0)</f>
      </c>
      <c r="G955" s="11">
        <f>F955*D955</f>
      </c>
      <c r="H955" s="11">
        <f>G955*C955</f>
      </c>
      <c r="I955" s="11">
        <f>G955*B955</f>
      </c>
      <c r="J955" s="30">
        <f>PM_Angle!$J$7+PM_Angle!$K$7*$C955+PM_Angle!$L$7*$B955</f>
      </c>
      <c r="K955" s="12">
        <f>IF(J955&gt;0,IF(J955&lt;=eco,alpha*fck*(1-(1-J955/eco)^n),alpha*fck),0)</f>
      </c>
      <c r="L955" s="30">
        <f>PM_Angle!$J$8+PM_Angle!$K$8*$C955+PM_Angle!$L$8*$B955</f>
      </c>
      <c r="M955" s="12">
        <f>IF(L955&gt;0,IF(L955&lt;=eco,alpha*fck*(1-(1-L955/eco)^n),alpha*fck),0)</f>
      </c>
      <c r="N955" s="30">
        <f>PM_Angle!$J$9+PM_Angle!$K$9*$C955+PM_Angle!$L$9*$B955</f>
      </c>
      <c r="O955" s="12">
        <f>IF(N955&gt;0,IF(N955&lt;=eco,alpha*fck*(1-(1-N955/eco)^n),alpha*fck),0)</f>
      </c>
      <c r="P955" s="30">
        <f>PM_Angle!$J$10+PM_Angle!$K$10*$C955+PM_Angle!$L$10*$B955</f>
      </c>
      <c r="Q955" s="12">
        <f>IF(P955&gt;0,IF(P955&lt;=eco,alpha*fck*(1-(1-P955/eco)^n),alpha*fck),0)</f>
      </c>
      <c r="R955" s="30">
        <f>PM_Angle!$J$11+PM_Angle!$K$11*$C955+PM_Angle!$L$11*$B955</f>
      </c>
      <c r="S955" s="12">
        <f>IF(R955&gt;0,IF(R955&lt;=eco,alpha*fck*(1-(1-R955/eco)^n),alpha*fck),0)</f>
      </c>
      <c r="T955" s="30">
        <f>PM_Angle!$J$12+PM_Angle!$K$12*$C955+PM_Angle!$L$12*$B955</f>
      </c>
      <c r="U955" s="12">
        <f>IF(T955&gt;0,IF(T955&lt;=eco,alpha*fck*(1-(1-T955/eco)^n),alpha*fck),0)</f>
      </c>
      <c r="V955" s="30">
        <f>PM_Angle!$J$13+PM_Angle!$K$13*$C955+PM_Angle!$L$13*$B955</f>
      </c>
      <c r="W955" s="12">
        <f>IF(V955&gt;0,IF(V955&lt;=eco,alpha*fck*(1-(1-V955/eco)^n),alpha*fck),0)</f>
      </c>
      <c r="X955" s="30">
        <f>PM_Angle!$J$14+PM_Angle!$K$14*$C955+PM_Angle!$L$14*$B955</f>
      </c>
      <c r="Y955" s="12">
        <f>IF(X955&gt;0,IF(X955&lt;=eco,alpha*fck*(1-(1-X955/eco)^n),alpha*fck),0)</f>
      </c>
      <c r="Z955" s="30">
        <f>PM_Angle!$J$15+PM_Angle!$K$15*$C955+PM_Angle!$L$15*$B955</f>
      </c>
      <c r="AA955" s="12">
        <f>IF(Z955&gt;0,IF(Z955&lt;=eco,alpha*fck*(1-(1-Z955/eco)^n),alpha*fck),0)</f>
      </c>
      <c r="AB955" s="30">
        <f>PM_Angle!$J$16+PM_Angle!$K$16*$C955+PM_Angle!$L$16*$B955</f>
      </c>
      <c r="AC955" s="12">
        <f>IF(AB955&gt;0,IF(AB955&lt;=eco,alpha*fck*(1-(1-AB955/eco)^n),alpha*fck),0)</f>
      </c>
      <c r="AD955" s="30">
        <f>PM_Angle!$J$17+PM_Angle!$K$17*$C955+PM_Angle!$L$17*$B955</f>
      </c>
      <c r="AE955" s="12">
        <f>IF(AD955&gt;0,IF(AD955&lt;=eco,alpha*fck*(1-(1-AD955/eco)^n),alpha*fck),0)</f>
      </c>
      <c r="AF955" s="30">
        <f>PM_Angle!$J$18+PM_Angle!$K$18*$C955+PM_Angle!$L$18*$B955</f>
      </c>
      <c r="AG955" s="12">
        <f>IF(AF955&gt;0,IF(AF955&lt;=eco,alpha*fck*(1-(1-AF955/eco)^n),alpha*fck),0)</f>
      </c>
      <c r="AH955" s="30">
        <f>PM_Angle!$J$19+PM_Angle!$K$19*$C955+PM_Angle!$L$19*$B955</f>
      </c>
      <c r="AI955" s="12">
        <f>IF(AH955&gt;0,IF(AH955&lt;=eco,alpha*fck*(1-(1-AH955/eco)^n),alpha*fck),0)</f>
      </c>
      <c r="AJ955" s="30">
        <f>PM_Angle!$J$20+PM_Angle!$K$20*$C955+PM_Angle!$L$20*$B955</f>
      </c>
      <c r="AK955" s="12">
        <f>IF(AJ955&gt;0,IF(AJ955&lt;=eco,alpha*fck*(1-(1-AJ955/eco)^n),alpha*fck),0)</f>
      </c>
      <c r="AL955" s="30">
        <f>PM_Angle!$J$21+PM_Angle!$K$21*$C955+PM_Angle!$L$21*$B955</f>
      </c>
      <c r="AM955" s="12">
        <f>IF(AL955&gt;0,IF(AL955&lt;=eco,alpha*fck*(1-(1-AL955/eco)^n),alpha*fck),0)</f>
      </c>
      <c r="AN955" s="30">
        <f>PM_Angle!$J$22+PM_Angle!$K$22*$C955+PM_Angle!$L$22*$B955</f>
      </c>
      <c r="AO955" s="12">
        <f>IF(AN955&gt;0,IF(AN955&lt;=eco,alpha*fck*(1-(1-AN955/eco)^n),alpha*fck),0)</f>
      </c>
      <c r="AP955" s="30">
        <f>PM_Angle!$J$23+PM_Angle!$K$23*$C955+PM_Angle!$L$23*$B955</f>
      </c>
      <c r="AQ955" s="12">
        <f>IF(AP955&gt;0,IF(AP955&lt;=eco,alpha*fck*(1-(1-AP955/eco)^n),alpha*fck),0)</f>
      </c>
      <c r="AR955" s="30">
        <f>PM_Angle!$J$24+PM_Angle!$K$24*$C955+PM_Angle!$L$24*$B955</f>
      </c>
      <c r="AS955" s="12">
        <f>IF(AR955&gt;0,IF(AR955&lt;=eco,alpha*fck*(1-(1-AR955/eco)^n),alpha*fck),0)</f>
      </c>
      <c r="AT955" s="30">
        <f>PM_Angle!$J$25+PM_Angle!$K$25*$C955+PM_Angle!$L$25*$B955</f>
      </c>
      <c r="AU955" s="12">
        <f>IF(AT955&gt;0,IF(AT955&lt;=eco,alpha*fck*(1-(1-AT955/eco)^n),alpha*fck),0)</f>
      </c>
    </row>
    <row r="956" spans="1:47" x14ac:dyDescent="0.25">
      <c r="A956">
        <f>Mesh!A953</f>
      </c>
      <c r="B956" s="12">
        <f>Mesh!B953</f>
      </c>
      <c r="C956" s="12">
        <f>Mesh!C953</f>
      </c>
      <c r="D956" s="12">
        <f>Mesh!D953</f>
      </c>
      <c r="E956" s="30">
        <f>INDEX(St_e0,Det+1)+INDEX(St_kx,Det+1)*C956+INDEX(St_ky,Det+1)*B956</f>
      </c>
      <c r="F956" s="12">
        <f>IF(E956&gt;0,IF(E956&lt;=eco,alpha*fck*(1-(1-E956/eco)^n),alpha*fck),0)</f>
      </c>
      <c r="G956" s="11">
        <f>F956*D956</f>
      </c>
      <c r="H956" s="11">
        <f>G956*C956</f>
      </c>
      <c r="I956" s="11">
        <f>G956*B956</f>
      </c>
      <c r="J956" s="30">
        <f>PM_Angle!$J$7+PM_Angle!$K$7*$C956+PM_Angle!$L$7*$B956</f>
      </c>
      <c r="K956" s="12">
        <f>IF(J956&gt;0,IF(J956&lt;=eco,alpha*fck*(1-(1-J956/eco)^n),alpha*fck),0)</f>
      </c>
      <c r="L956" s="30">
        <f>PM_Angle!$J$8+PM_Angle!$K$8*$C956+PM_Angle!$L$8*$B956</f>
      </c>
      <c r="M956" s="12">
        <f>IF(L956&gt;0,IF(L956&lt;=eco,alpha*fck*(1-(1-L956/eco)^n),alpha*fck),0)</f>
      </c>
      <c r="N956" s="30">
        <f>PM_Angle!$J$9+PM_Angle!$K$9*$C956+PM_Angle!$L$9*$B956</f>
      </c>
      <c r="O956" s="12">
        <f>IF(N956&gt;0,IF(N956&lt;=eco,alpha*fck*(1-(1-N956/eco)^n),alpha*fck),0)</f>
      </c>
      <c r="P956" s="30">
        <f>PM_Angle!$J$10+PM_Angle!$K$10*$C956+PM_Angle!$L$10*$B956</f>
      </c>
      <c r="Q956" s="12">
        <f>IF(P956&gt;0,IF(P956&lt;=eco,alpha*fck*(1-(1-P956/eco)^n),alpha*fck),0)</f>
      </c>
      <c r="R956" s="30">
        <f>PM_Angle!$J$11+PM_Angle!$K$11*$C956+PM_Angle!$L$11*$B956</f>
      </c>
      <c r="S956" s="12">
        <f>IF(R956&gt;0,IF(R956&lt;=eco,alpha*fck*(1-(1-R956/eco)^n),alpha*fck),0)</f>
      </c>
      <c r="T956" s="30">
        <f>PM_Angle!$J$12+PM_Angle!$K$12*$C956+PM_Angle!$L$12*$B956</f>
      </c>
      <c r="U956" s="12">
        <f>IF(T956&gt;0,IF(T956&lt;=eco,alpha*fck*(1-(1-T956/eco)^n),alpha*fck),0)</f>
      </c>
      <c r="V956" s="30">
        <f>PM_Angle!$J$13+PM_Angle!$K$13*$C956+PM_Angle!$L$13*$B956</f>
      </c>
      <c r="W956" s="12">
        <f>IF(V956&gt;0,IF(V956&lt;=eco,alpha*fck*(1-(1-V956/eco)^n),alpha*fck),0)</f>
      </c>
      <c r="X956" s="30">
        <f>PM_Angle!$J$14+PM_Angle!$K$14*$C956+PM_Angle!$L$14*$B956</f>
      </c>
      <c r="Y956" s="12">
        <f>IF(X956&gt;0,IF(X956&lt;=eco,alpha*fck*(1-(1-X956/eco)^n),alpha*fck),0)</f>
      </c>
      <c r="Z956" s="30">
        <f>PM_Angle!$J$15+PM_Angle!$K$15*$C956+PM_Angle!$L$15*$B956</f>
      </c>
      <c r="AA956" s="12">
        <f>IF(Z956&gt;0,IF(Z956&lt;=eco,alpha*fck*(1-(1-Z956/eco)^n),alpha*fck),0)</f>
      </c>
      <c r="AB956" s="30">
        <f>PM_Angle!$J$16+PM_Angle!$K$16*$C956+PM_Angle!$L$16*$B956</f>
      </c>
      <c r="AC956" s="12">
        <f>IF(AB956&gt;0,IF(AB956&lt;=eco,alpha*fck*(1-(1-AB956/eco)^n),alpha*fck),0)</f>
      </c>
      <c r="AD956" s="30">
        <f>PM_Angle!$J$17+PM_Angle!$K$17*$C956+PM_Angle!$L$17*$B956</f>
      </c>
      <c r="AE956" s="12">
        <f>IF(AD956&gt;0,IF(AD956&lt;=eco,alpha*fck*(1-(1-AD956/eco)^n),alpha*fck),0)</f>
      </c>
      <c r="AF956" s="30">
        <f>PM_Angle!$J$18+PM_Angle!$K$18*$C956+PM_Angle!$L$18*$B956</f>
      </c>
      <c r="AG956" s="12">
        <f>IF(AF956&gt;0,IF(AF956&lt;=eco,alpha*fck*(1-(1-AF956/eco)^n),alpha*fck),0)</f>
      </c>
      <c r="AH956" s="30">
        <f>PM_Angle!$J$19+PM_Angle!$K$19*$C956+PM_Angle!$L$19*$B956</f>
      </c>
      <c r="AI956" s="12">
        <f>IF(AH956&gt;0,IF(AH956&lt;=eco,alpha*fck*(1-(1-AH956/eco)^n),alpha*fck),0)</f>
      </c>
      <c r="AJ956" s="30">
        <f>PM_Angle!$J$20+PM_Angle!$K$20*$C956+PM_Angle!$L$20*$B956</f>
      </c>
      <c r="AK956" s="12">
        <f>IF(AJ956&gt;0,IF(AJ956&lt;=eco,alpha*fck*(1-(1-AJ956/eco)^n),alpha*fck),0)</f>
      </c>
      <c r="AL956" s="30">
        <f>PM_Angle!$J$21+PM_Angle!$K$21*$C956+PM_Angle!$L$21*$B956</f>
      </c>
      <c r="AM956" s="12">
        <f>IF(AL956&gt;0,IF(AL956&lt;=eco,alpha*fck*(1-(1-AL956/eco)^n),alpha*fck),0)</f>
      </c>
      <c r="AN956" s="30">
        <f>PM_Angle!$J$22+PM_Angle!$K$22*$C956+PM_Angle!$L$22*$B956</f>
      </c>
      <c r="AO956" s="12">
        <f>IF(AN956&gt;0,IF(AN956&lt;=eco,alpha*fck*(1-(1-AN956/eco)^n),alpha*fck),0)</f>
      </c>
      <c r="AP956" s="30">
        <f>PM_Angle!$J$23+PM_Angle!$K$23*$C956+PM_Angle!$L$23*$B956</f>
      </c>
      <c r="AQ956" s="12">
        <f>IF(AP956&gt;0,IF(AP956&lt;=eco,alpha*fck*(1-(1-AP956/eco)^n),alpha*fck),0)</f>
      </c>
      <c r="AR956" s="30">
        <f>PM_Angle!$J$24+PM_Angle!$K$24*$C956+PM_Angle!$L$24*$B956</f>
      </c>
      <c r="AS956" s="12">
        <f>IF(AR956&gt;0,IF(AR956&lt;=eco,alpha*fck*(1-(1-AR956/eco)^n),alpha*fck),0)</f>
      </c>
      <c r="AT956" s="30">
        <f>PM_Angle!$J$25+PM_Angle!$K$25*$C956+PM_Angle!$L$25*$B956</f>
      </c>
      <c r="AU956" s="12">
        <f>IF(AT956&gt;0,IF(AT956&lt;=eco,alpha*fck*(1-(1-AT956/eco)^n),alpha*fck),0)</f>
      </c>
    </row>
    <row r="957" spans="1:47" x14ac:dyDescent="0.25">
      <c r="A957">
        <f>Mesh!A954</f>
      </c>
      <c r="B957" s="12">
        <f>Mesh!B954</f>
      </c>
      <c r="C957" s="12">
        <f>Mesh!C954</f>
      </c>
      <c r="D957" s="12">
        <f>Mesh!D954</f>
      </c>
      <c r="E957" s="30">
        <f>INDEX(St_e0,Det+1)+INDEX(St_kx,Det+1)*C957+INDEX(St_ky,Det+1)*B957</f>
      </c>
      <c r="F957" s="12">
        <f>IF(E957&gt;0,IF(E957&lt;=eco,alpha*fck*(1-(1-E957/eco)^n),alpha*fck),0)</f>
      </c>
      <c r="G957" s="11">
        <f>F957*D957</f>
      </c>
      <c r="H957" s="11">
        <f>G957*C957</f>
      </c>
      <c r="I957" s="11">
        <f>G957*B957</f>
      </c>
      <c r="J957" s="30">
        <f>PM_Angle!$J$7+PM_Angle!$K$7*$C957+PM_Angle!$L$7*$B957</f>
      </c>
      <c r="K957" s="12">
        <f>IF(J957&gt;0,IF(J957&lt;=eco,alpha*fck*(1-(1-J957/eco)^n),alpha*fck),0)</f>
      </c>
      <c r="L957" s="30">
        <f>PM_Angle!$J$8+PM_Angle!$K$8*$C957+PM_Angle!$L$8*$B957</f>
      </c>
      <c r="M957" s="12">
        <f>IF(L957&gt;0,IF(L957&lt;=eco,alpha*fck*(1-(1-L957/eco)^n),alpha*fck),0)</f>
      </c>
      <c r="N957" s="30">
        <f>PM_Angle!$J$9+PM_Angle!$K$9*$C957+PM_Angle!$L$9*$B957</f>
      </c>
      <c r="O957" s="12">
        <f>IF(N957&gt;0,IF(N957&lt;=eco,alpha*fck*(1-(1-N957/eco)^n),alpha*fck),0)</f>
      </c>
      <c r="P957" s="30">
        <f>PM_Angle!$J$10+PM_Angle!$K$10*$C957+PM_Angle!$L$10*$B957</f>
      </c>
      <c r="Q957" s="12">
        <f>IF(P957&gt;0,IF(P957&lt;=eco,alpha*fck*(1-(1-P957/eco)^n),alpha*fck),0)</f>
      </c>
      <c r="R957" s="30">
        <f>PM_Angle!$J$11+PM_Angle!$K$11*$C957+PM_Angle!$L$11*$B957</f>
      </c>
      <c r="S957" s="12">
        <f>IF(R957&gt;0,IF(R957&lt;=eco,alpha*fck*(1-(1-R957/eco)^n),alpha*fck),0)</f>
      </c>
      <c r="T957" s="30">
        <f>PM_Angle!$J$12+PM_Angle!$K$12*$C957+PM_Angle!$L$12*$B957</f>
      </c>
      <c r="U957" s="12">
        <f>IF(T957&gt;0,IF(T957&lt;=eco,alpha*fck*(1-(1-T957/eco)^n),alpha*fck),0)</f>
      </c>
      <c r="V957" s="30">
        <f>PM_Angle!$J$13+PM_Angle!$K$13*$C957+PM_Angle!$L$13*$B957</f>
      </c>
      <c r="W957" s="12">
        <f>IF(V957&gt;0,IF(V957&lt;=eco,alpha*fck*(1-(1-V957/eco)^n),alpha*fck),0)</f>
      </c>
      <c r="X957" s="30">
        <f>PM_Angle!$J$14+PM_Angle!$K$14*$C957+PM_Angle!$L$14*$B957</f>
      </c>
      <c r="Y957" s="12">
        <f>IF(X957&gt;0,IF(X957&lt;=eco,alpha*fck*(1-(1-X957/eco)^n),alpha*fck),0)</f>
      </c>
      <c r="Z957" s="30">
        <f>PM_Angle!$J$15+PM_Angle!$K$15*$C957+PM_Angle!$L$15*$B957</f>
      </c>
      <c r="AA957" s="12">
        <f>IF(Z957&gt;0,IF(Z957&lt;=eco,alpha*fck*(1-(1-Z957/eco)^n),alpha*fck),0)</f>
      </c>
      <c r="AB957" s="30">
        <f>PM_Angle!$J$16+PM_Angle!$K$16*$C957+PM_Angle!$L$16*$B957</f>
      </c>
      <c r="AC957" s="12">
        <f>IF(AB957&gt;0,IF(AB957&lt;=eco,alpha*fck*(1-(1-AB957/eco)^n),alpha*fck),0)</f>
      </c>
      <c r="AD957" s="30">
        <f>PM_Angle!$J$17+PM_Angle!$K$17*$C957+PM_Angle!$L$17*$B957</f>
      </c>
      <c r="AE957" s="12">
        <f>IF(AD957&gt;0,IF(AD957&lt;=eco,alpha*fck*(1-(1-AD957/eco)^n),alpha*fck),0)</f>
      </c>
      <c r="AF957" s="30">
        <f>PM_Angle!$J$18+PM_Angle!$K$18*$C957+PM_Angle!$L$18*$B957</f>
      </c>
      <c r="AG957" s="12">
        <f>IF(AF957&gt;0,IF(AF957&lt;=eco,alpha*fck*(1-(1-AF957/eco)^n),alpha*fck),0)</f>
      </c>
      <c r="AH957" s="30">
        <f>PM_Angle!$J$19+PM_Angle!$K$19*$C957+PM_Angle!$L$19*$B957</f>
      </c>
      <c r="AI957" s="12">
        <f>IF(AH957&gt;0,IF(AH957&lt;=eco,alpha*fck*(1-(1-AH957/eco)^n),alpha*fck),0)</f>
      </c>
      <c r="AJ957" s="30">
        <f>PM_Angle!$J$20+PM_Angle!$K$20*$C957+PM_Angle!$L$20*$B957</f>
      </c>
      <c r="AK957" s="12">
        <f>IF(AJ957&gt;0,IF(AJ957&lt;=eco,alpha*fck*(1-(1-AJ957/eco)^n),alpha*fck),0)</f>
      </c>
      <c r="AL957" s="30">
        <f>PM_Angle!$J$21+PM_Angle!$K$21*$C957+PM_Angle!$L$21*$B957</f>
      </c>
      <c r="AM957" s="12">
        <f>IF(AL957&gt;0,IF(AL957&lt;=eco,alpha*fck*(1-(1-AL957/eco)^n),alpha*fck),0)</f>
      </c>
      <c r="AN957" s="30">
        <f>PM_Angle!$J$22+PM_Angle!$K$22*$C957+PM_Angle!$L$22*$B957</f>
      </c>
      <c r="AO957" s="12">
        <f>IF(AN957&gt;0,IF(AN957&lt;=eco,alpha*fck*(1-(1-AN957/eco)^n),alpha*fck),0)</f>
      </c>
      <c r="AP957" s="30">
        <f>PM_Angle!$J$23+PM_Angle!$K$23*$C957+PM_Angle!$L$23*$B957</f>
      </c>
      <c r="AQ957" s="12">
        <f>IF(AP957&gt;0,IF(AP957&lt;=eco,alpha*fck*(1-(1-AP957/eco)^n),alpha*fck),0)</f>
      </c>
      <c r="AR957" s="30">
        <f>PM_Angle!$J$24+PM_Angle!$K$24*$C957+PM_Angle!$L$24*$B957</f>
      </c>
      <c r="AS957" s="12">
        <f>IF(AR957&gt;0,IF(AR957&lt;=eco,alpha*fck*(1-(1-AR957/eco)^n),alpha*fck),0)</f>
      </c>
      <c r="AT957" s="30">
        <f>PM_Angle!$J$25+PM_Angle!$K$25*$C957+PM_Angle!$L$25*$B957</f>
      </c>
      <c r="AU957" s="12">
        <f>IF(AT957&gt;0,IF(AT957&lt;=eco,alpha*fck*(1-(1-AT957/eco)^n),alpha*fck),0)</f>
      </c>
    </row>
    <row r="958" spans="1:47" x14ac:dyDescent="0.25">
      <c r="A958">
        <f>Mesh!A955</f>
      </c>
      <c r="B958" s="12">
        <f>Mesh!B955</f>
      </c>
      <c r="C958" s="12">
        <f>Mesh!C955</f>
      </c>
      <c r="D958" s="12">
        <f>Mesh!D955</f>
      </c>
      <c r="E958" s="30">
        <f>INDEX(St_e0,Det+1)+INDEX(St_kx,Det+1)*C958+INDEX(St_ky,Det+1)*B958</f>
      </c>
      <c r="F958" s="12">
        <f>IF(E958&gt;0,IF(E958&lt;=eco,alpha*fck*(1-(1-E958/eco)^n),alpha*fck),0)</f>
      </c>
      <c r="G958" s="11">
        <f>F958*D958</f>
      </c>
      <c r="H958" s="11">
        <f>G958*C958</f>
      </c>
      <c r="I958" s="11">
        <f>G958*B958</f>
      </c>
      <c r="J958" s="30">
        <f>PM_Angle!$J$7+PM_Angle!$K$7*$C958+PM_Angle!$L$7*$B958</f>
      </c>
      <c r="K958" s="12">
        <f>IF(J958&gt;0,IF(J958&lt;=eco,alpha*fck*(1-(1-J958/eco)^n),alpha*fck),0)</f>
      </c>
      <c r="L958" s="30">
        <f>PM_Angle!$J$8+PM_Angle!$K$8*$C958+PM_Angle!$L$8*$B958</f>
      </c>
      <c r="M958" s="12">
        <f>IF(L958&gt;0,IF(L958&lt;=eco,alpha*fck*(1-(1-L958/eco)^n),alpha*fck),0)</f>
      </c>
      <c r="N958" s="30">
        <f>PM_Angle!$J$9+PM_Angle!$K$9*$C958+PM_Angle!$L$9*$B958</f>
      </c>
      <c r="O958" s="12">
        <f>IF(N958&gt;0,IF(N958&lt;=eco,alpha*fck*(1-(1-N958/eco)^n),alpha*fck),0)</f>
      </c>
      <c r="P958" s="30">
        <f>PM_Angle!$J$10+PM_Angle!$K$10*$C958+PM_Angle!$L$10*$B958</f>
      </c>
      <c r="Q958" s="12">
        <f>IF(P958&gt;0,IF(P958&lt;=eco,alpha*fck*(1-(1-P958/eco)^n),alpha*fck),0)</f>
      </c>
      <c r="R958" s="30">
        <f>PM_Angle!$J$11+PM_Angle!$K$11*$C958+PM_Angle!$L$11*$B958</f>
      </c>
      <c r="S958" s="12">
        <f>IF(R958&gt;0,IF(R958&lt;=eco,alpha*fck*(1-(1-R958/eco)^n),alpha*fck),0)</f>
      </c>
      <c r="T958" s="30">
        <f>PM_Angle!$J$12+PM_Angle!$K$12*$C958+PM_Angle!$L$12*$B958</f>
      </c>
      <c r="U958" s="12">
        <f>IF(T958&gt;0,IF(T958&lt;=eco,alpha*fck*(1-(1-T958/eco)^n),alpha*fck),0)</f>
      </c>
      <c r="V958" s="30">
        <f>PM_Angle!$J$13+PM_Angle!$K$13*$C958+PM_Angle!$L$13*$B958</f>
      </c>
      <c r="W958" s="12">
        <f>IF(V958&gt;0,IF(V958&lt;=eco,alpha*fck*(1-(1-V958/eco)^n),alpha*fck),0)</f>
      </c>
      <c r="X958" s="30">
        <f>PM_Angle!$J$14+PM_Angle!$K$14*$C958+PM_Angle!$L$14*$B958</f>
      </c>
      <c r="Y958" s="12">
        <f>IF(X958&gt;0,IF(X958&lt;=eco,alpha*fck*(1-(1-X958/eco)^n),alpha*fck),0)</f>
      </c>
      <c r="Z958" s="30">
        <f>PM_Angle!$J$15+PM_Angle!$K$15*$C958+PM_Angle!$L$15*$B958</f>
      </c>
      <c r="AA958" s="12">
        <f>IF(Z958&gt;0,IF(Z958&lt;=eco,alpha*fck*(1-(1-Z958/eco)^n),alpha*fck),0)</f>
      </c>
      <c r="AB958" s="30">
        <f>PM_Angle!$J$16+PM_Angle!$K$16*$C958+PM_Angle!$L$16*$B958</f>
      </c>
      <c r="AC958" s="12">
        <f>IF(AB958&gt;0,IF(AB958&lt;=eco,alpha*fck*(1-(1-AB958/eco)^n),alpha*fck),0)</f>
      </c>
      <c r="AD958" s="30">
        <f>PM_Angle!$J$17+PM_Angle!$K$17*$C958+PM_Angle!$L$17*$B958</f>
      </c>
      <c r="AE958" s="12">
        <f>IF(AD958&gt;0,IF(AD958&lt;=eco,alpha*fck*(1-(1-AD958/eco)^n),alpha*fck),0)</f>
      </c>
      <c r="AF958" s="30">
        <f>PM_Angle!$J$18+PM_Angle!$K$18*$C958+PM_Angle!$L$18*$B958</f>
      </c>
      <c r="AG958" s="12">
        <f>IF(AF958&gt;0,IF(AF958&lt;=eco,alpha*fck*(1-(1-AF958/eco)^n),alpha*fck),0)</f>
      </c>
      <c r="AH958" s="30">
        <f>PM_Angle!$J$19+PM_Angle!$K$19*$C958+PM_Angle!$L$19*$B958</f>
      </c>
      <c r="AI958" s="12">
        <f>IF(AH958&gt;0,IF(AH958&lt;=eco,alpha*fck*(1-(1-AH958/eco)^n),alpha*fck),0)</f>
      </c>
      <c r="AJ958" s="30">
        <f>PM_Angle!$J$20+PM_Angle!$K$20*$C958+PM_Angle!$L$20*$B958</f>
      </c>
      <c r="AK958" s="12">
        <f>IF(AJ958&gt;0,IF(AJ958&lt;=eco,alpha*fck*(1-(1-AJ958/eco)^n),alpha*fck),0)</f>
      </c>
      <c r="AL958" s="30">
        <f>PM_Angle!$J$21+PM_Angle!$K$21*$C958+PM_Angle!$L$21*$B958</f>
      </c>
      <c r="AM958" s="12">
        <f>IF(AL958&gt;0,IF(AL958&lt;=eco,alpha*fck*(1-(1-AL958/eco)^n),alpha*fck),0)</f>
      </c>
      <c r="AN958" s="30">
        <f>PM_Angle!$J$22+PM_Angle!$K$22*$C958+PM_Angle!$L$22*$B958</f>
      </c>
      <c r="AO958" s="12">
        <f>IF(AN958&gt;0,IF(AN958&lt;=eco,alpha*fck*(1-(1-AN958/eco)^n),alpha*fck),0)</f>
      </c>
      <c r="AP958" s="30">
        <f>PM_Angle!$J$23+PM_Angle!$K$23*$C958+PM_Angle!$L$23*$B958</f>
      </c>
      <c r="AQ958" s="12">
        <f>IF(AP958&gt;0,IF(AP958&lt;=eco,alpha*fck*(1-(1-AP958/eco)^n),alpha*fck),0)</f>
      </c>
      <c r="AR958" s="30">
        <f>PM_Angle!$J$24+PM_Angle!$K$24*$C958+PM_Angle!$L$24*$B958</f>
      </c>
      <c r="AS958" s="12">
        <f>IF(AR958&gt;0,IF(AR958&lt;=eco,alpha*fck*(1-(1-AR958/eco)^n),alpha*fck),0)</f>
      </c>
      <c r="AT958" s="30">
        <f>PM_Angle!$J$25+PM_Angle!$K$25*$C958+PM_Angle!$L$25*$B958</f>
      </c>
      <c r="AU958" s="12">
        <f>IF(AT958&gt;0,IF(AT958&lt;=eco,alpha*fck*(1-(1-AT958/eco)^n),alpha*fck),0)</f>
      </c>
    </row>
    <row r="959" spans="1:47" x14ac:dyDescent="0.25">
      <c r="A959">
        <f>Mesh!A956</f>
      </c>
      <c r="B959" s="12">
        <f>Mesh!B956</f>
      </c>
      <c r="C959" s="12">
        <f>Mesh!C956</f>
      </c>
      <c r="D959" s="12">
        <f>Mesh!D956</f>
      </c>
      <c r="E959" s="30">
        <f>INDEX(St_e0,Det+1)+INDEX(St_kx,Det+1)*C959+INDEX(St_ky,Det+1)*B959</f>
      </c>
      <c r="F959" s="12">
        <f>IF(E959&gt;0,IF(E959&lt;=eco,alpha*fck*(1-(1-E959/eco)^n),alpha*fck),0)</f>
      </c>
      <c r="G959" s="11">
        <f>F959*D959</f>
      </c>
      <c r="H959" s="11">
        <f>G959*C959</f>
      </c>
      <c r="I959" s="11">
        <f>G959*B959</f>
      </c>
      <c r="J959" s="30">
        <f>PM_Angle!$J$7+PM_Angle!$K$7*$C959+PM_Angle!$L$7*$B959</f>
      </c>
      <c r="K959" s="12">
        <f>IF(J959&gt;0,IF(J959&lt;=eco,alpha*fck*(1-(1-J959/eco)^n),alpha*fck),0)</f>
      </c>
      <c r="L959" s="30">
        <f>PM_Angle!$J$8+PM_Angle!$K$8*$C959+PM_Angle!$L$8*$B959</f>
      </c>
      <c r="M959" s="12">
        <f>IF(L959&gt;0,IF(L959&lt;=eco,alpha*fck*(1-(1-L959/eco)^n),alpha*fck),0)</f>
      </c>
      <c r="N959" s="30">
        <f>PM_Angle!$J$9+PM_Angle!$K$9*$C959+PM_Angle!$L$9*$B959</f>
      </c>
      <c r="O959" s="12">
        <f>IF(N959&gt;0,IF(N959&lt;=eco,alpha*fck*(1-(1-N959/eco)^n),alpha*fck),0)</f>
      </c>
      <c r="P959" s="30">
        <f>PM_Angle!$J$10+PM_Angle!$K$10*$C959+PM_Angle!$L$10*$B959</f>
      </c>
      <c r="Q959" s="12">
        <f>IF(P959&gt;0,IF(P959&lt;=eco,alpha*fck*(1-(1-P959/eco)^n),alpha*fck),0)</f>
      </c>
      <c r="R959" s="30">
        <f>PM_Angle!$J$11+PM_Angle!$K$11*$C959+PM_Angle!$L$11*$B959</f>
      </c>
      <c r="S959" s="12">
        <f>IF(R959&gt;0,IF(R959&lt;=eco,alpha*fck*(1-(1-R959/eco)^n),alpha*fck),0)</f>
      </c>
      <c r="T959" s="30">
        <f>PM_Angle!$J$12+PM_Angle!$K$12*$C959+PM_Angle!$L$12*$B959</f>
      </c>
      <c r="U959" s="12">
        <f>IF(T959&gt;0,IF(T959&lt;=eco,alpha*fck*(1-(1-T959/eco)^n),alpha*fck),0)</f>
      </c>
      <c r="V959" s="30">
        <f>PM_Angle!$J$13+PM_Angle!$K$13*$C959+PM_Angle!$L$13*$B959</f>
      </c>
      <c r="W959" s="12">
        <f>IF(V959&gt;0,IF(V959&lt;=eco,alpha*fck*(1-(1-V959/eco)^n),alpha*fck),0)</f>
      </c>
      <c r="X959" s="30">
        <f>PM_Angle!$J$14+PM_Angle!$K$14*$C959+PM_Angle!$L$14*$B959</f>
      </c>
      <c r="Y959" s="12">
        <f>IF(X959&gt;0,IF(X959&lt;=eco,alpha*fck*(1-(1-X959/eco)^n),alpha*fck),0)</f>
      </c>
      <c r="Z959" s="30">
        <f>PM_Angle!$J$15+PM_Angle!$K$15*$C959+PM_Angle!$L$15*$B959</f>
      </c>
      <c r="AA959" s="12">
        <f>IF(Z959&gt;0,IF(Z959&lt;=eco,alpha*fck*(1-(1-Z959/eco)^n),alpha*fck),0)</f>
      </c>
      <c r="AB959" s="30">
        <f>PM_Angle!$J$16+PM_Angle!$K$16*$C959+PM_Angle!$L$16*$B959</f>
      </c>
      <c r="AC959" s="12">
        <f>IF(AB959&gt;0,IF(AB959&lt;=eco,alpha*fck*(1-(1-AB959/eco)^n),alpha*fck),0)</f>
      </c>
      <c r="AD959" s="30">
        <f>PM_Angle!$J$17+PM_Angle!$K$17*$C959+PM_Angle!$L$17*$B959</f>
      </c>
      <c r="AE959" s="12">
        <f>IF(AD959&gt;0,IF(AD959&lt;=eco,alpha*fck*(1-(1-AD959/eco)^n),alpha*fck),0)</f>
      </c>
      <c r="AF959" s="30">
        <f>PM_Angle!$J$18+PM_Angle!$K$18*$C959+PM_Angle!$L$18*$B959</f>
      </c>
      <c r="AG959" s="12">
        <f>IF(AF959&gt;0,IF(AF959&lt;=eco,alpha*fck*(1-(1-AF959/eco)^n),alpha*fck),0)</f>
      </c>
      <c r="AH959" s="30">
        <f>PM_Angle!$J$19+PM_Angle!$K$19*$C959+PM_Angle!$L$19*$B959</f>
      </c>
      <c r="AI959" s="12">
        <f>IF(AH959&gt;0,IF(AH959&lt;=eco,alpha*fck*(1-(1-AH959/eco)^n),alpha*fck),0)</f>
      </c>
      <c r="AJ959" s="30">
        <f>PM_Angle!$J$20+PM_Angle!$K$20*$C959+PM_Angle!$L$20*$B959</f>
      </c>
      <c r="AK959" s="12">
        <f>IF(AJ959&gt;0,IF(AJ959&lt;=eco,alpha*fck*(1-(1-AJ959/eco)^n),alpha*fck),0)</f>
      </c>
      <c r="AL959" s="30">
        <f>PM_Angle!$J$21+PM_Angle!$K$21*$C959+PM_Angle!$L$21*$B959</f>
      </c>
      <c r="AM959" s="12">
        <f>IF(AL959&gt;0,IF(AL959&lt;=eco,alpha*fck*(1-(1-AL959/eco)^n),alpha*fck),0)</f>
      </c>
      <c r="AN959" s="30">
        <f>PM_Angle!$J$22+PM_Angle!$K$22*$C959+PM_Angle!$L$22*$B959</f>
      </c>
      <c r="AO959" s="12">
        <f>IF(AN959&gt;0,IF(AN959&lt;=eco,alpha*fck*(1-(1-AN959/eco)^n),alpha*fck),0)</f>
      </c>
      <c r="AP959" s="30">
        <f>PM_Angle!$J$23+PM_Angle!$K$23*$C959+PM_Angle!$L$23*$B959</f>
      </c>
      <c r="AQ959" s="12">
        <f>IF(AP959&gt;0,IF(AP959&lt;=eco,alpha*fck*(1-(1-AP959/eco)^n),alpha*fck),0)</f>
      </c>
      <c r="AR959" s="30">
        <f>PM_Angle!$J$24+PM_Angle!$K$24*$C959+PM_Angle!$L$24*$B959</f>
      </c>
      <c r="AS959" s="12">
        <f>IF(AR959&gt;0,IF(AR959&lt;=eco,alpha*fck*(1-(1-AR959/eco)^n),alpha*fck),0)</f>
      </c>
      <c r="AT959" s="30">
        <f>PM_Angle!$J$25+PM_Angle!$K$25*$C959+PM_Angle!$L$25*$B959</f>
      </c>
      <c r="AU959" s="12">
        <f>IF(AT959&gt;0,IF(AT959&lt;=eco,alpha*fck*(1-(1-AT959/eco)^n),alpha*fck),0)</f>
      </c>
    </row>
    <row r="960" spans="1:47" x14ac:dyDescent="0.25">
      <c r="A960">
        <f>Mesh!A957</f>
      </c>
      <c r="B960" s="12">
        <f>Mesh!B957</f>
      </c>
      <c r="C960" s="12">
        <f>Mesh!C957</f>
      </c>
      <c r="D960" s="12">
        <f>Mesh!D957</f>
      </c>
      <c r="E960" s="30">
        <f>INDEX(St_e0,Det+1)+INDEX(St_kx,Det+1)*C960+INDEX(St_ky,Det+1)*B960</f>
      </c>
      <c r="F960" s="12">
        <f>IF(E960&gt;0,IF(E960&lt;=eco,alpha*fck*(1-(1-E960/eco)^n),alpha*fck),0)</f>
      </c>
      <c r="G960" s="11">
        <f>F960*D960</f>
      </c>
      <c r="H960" s="11">
        <f>G960*C960</f>
      </c>
      <c r="I960" s="11">
        <f>G960*B960</f>
      </c>
      <c r="J960" s="30">
        <f>PM_Angle!$J$7+PM_Angle!$K$7*$C960+PM_Angle!$L$7*$B960</f>
      </c>
      <c r="K960" s="12">
        <f>IF(J960&gt;0,IF(J960&lt;=eco,alpha*fck*(1-(1-J960/eco)^n),alpha*fck),0)</f>
      </c>
      <c r="L960" s="30">
        <f>PM_Angle!$J$8+PM_Angle!$K$8*$C960+PM_Angle!$L$8*$B960</f>
      </c>
      <c r="M960" s="12">
        <f>IF(L960&gt;0,IF(L960&lt;=eco,alpha*fck*(1-(1-L960/eco)^n),alpha*fck),0)</f>
      </c>
      <c r="N960" s="30">
        <f>PM_Angle!$J$9+PM_Angle!$K$9*$C960+PM_Angle!$L$9*$B960</f>
      </c>
      <c r="O960" s="12">
        <f>IF(N960&gt;0,IF(N960&lt;=eco,alpha*fck*(1-(1-N960/eco)^n),alpha*fck),0)</f>
      </c>
      <c r="P960" s="30">
        <f>PM_Angle!$J$10+PM_Angle!$K$10*$C960+PM_Angle!$L$10*$B960</f>
      </c>
      <c r="Q960" s="12">
        <f>IF(P960&gt;0,IF(P960&lt;=eco,alpha*fck*(1-(1-P960/eco)^n),alpha*fck),0)</f>
      </c>
      <c r="R960" s="30">
        <f>PM_Angle!$J$11+PM_Angle!$K$11*$C960+PM_Angle!$L$11*$B960</f>
      </c>
      <c r="S960" s="12">
        <f>IF(R960&gt;0,IF(R960&lt;=eco,alpha*fck*(1-(1-R960/eco)^n),alpha*fck),0)</f>
      </c>
      <c r="T960" s="30">
        <f>PM_Angle!$J$12+PM_Angle!$K$12*$C960+PM_Angle!$L$12*$B960</f>
      </c>
      <c r="U960" s="12">
        <f>IF(T960&gt;0,IF(T960&lt;=eco,alpha*fck*(1-(1-T960/eco)^n),alpha*fck),0)</f>
      </c>
      <c r="V960" s="30">
        <f>PM_Angle!$J$13+PM_Angle!$K$13*$C960+PM_Angle!$L$13*$B960</f>
      </c>
      <c r="W960" s="12">
        <f>IF(V960&gt;0,IF(V960&lt;=eco,alpha*fck*(1-(1-V960/eco)^n),alpha*fck),0)</f>
      </c>
      <c r="X960" s="30">
        <f>PM_Angle!$J$14+PM_Angle!$K$14*$C960+PM_Angle!$L$14*$B960</f>
      </c>
      <c r="Y960" s="12">
        <f>IF(X960&gt;0,IF(X960&lt;=eco,alpha*fck*(1-(1-X960/eco)^n),alpha*fck),0)</f>
      </c>
      <c r="Z960" s="30">
        <f>PM_Angle!$J$15+PM_Angle!$K$15*$C960+PM_Angle!$L$15*$B960</f>
      </c>
      <c r="AA960" s="12">
        <f>IF(Z960&gt;0,IF(Z960&lt;=eco,alpha*fck*(1-(1-Z960/eco)^n),alpha*fck),0)</f>
      </c>
      <c r="AB960" s="30">
        <f>PM_Angle!$J$16+PM_Angle!$K$16*$C960+PM_Angle!$L$16*$B960</f>
      </c>
      <c r="AC960" s="12">
        <f>IF(AB960&gt;0,IF(AB960&lt;=eco,alpha*fck*(1-(1-AB960/eco)^n),alpha*fck),0)</f>
      </c>
      <c r="AD960" s="30">
        <f>PM_Angle!$J$17+PM_Angle!$K$17*$C960+PM_Angle!$L$17*$B960</f>
      </c>
      <c r="AE960" s="12">
        <f>IF(AD960&gt;0,IF(AD960&lt;=eco,alpha*fck*(1-(1-AD960/eco)^n),alpha*fck),0)</f>
      </c>
      <c r="AF960" s="30">
        <f>PM_Angle!$J$18+PM_Angle!$K$18*$C960+PM_Angle!$L$18*$B960</f>
      </c>
      <c r="AG960" s="12">
        <f>IF(AF960&gt;0,IF(AF960&lt;=eco,alpha*fck*(1-(1-AF960/eco)^n),alpha*fck),0)</f>
      </c>
      <c r="AH960" s="30">
        <f>PM_Angle!$J$19+PM_Angle!$K$19*$C960+PM_Angle!$L$19*$B960</f>
      </c>
      <c r="AI960" s="12">
        <f>IF(AH960&gt;0,IF(AH960&lt;=eco,alpha*fck*(1-(1-AH960/eco)^n),alpha*fck),0)</f>
      </c>
      <c r="AJ960" s="30">
        <f>PM_Angle!$J$20+PM_Angle!$K$20*$C960+PM_Angle!$L$20*$B960</f>
      </c>
      <c r="AK960" s="12">
        <f>IF(AJ960&gt;0,IF(AJ960&lt;=eco,alpha*fck*(1-(1-AJ960/eco)^n),alpha*fck),0)</f>
      </c>
      <c r="AL960" s="30">
        <f>PM_Angle!$J$21+PM_Angle!$K$21*$C960+PM_Angle!$L$21*$B960</f>
      </c>
      <c r="AM960" s="12">
        <f>IF(AL960&gt;0,IF(AL960&lt;=eco,alpha*fck*(1-(1-AL960/eco)^n),alpha*fck),0)</f>
      </c>
      <c r="AN960" s="30">
        <f>PM_Angle!$J$22+PM_Angle!$K$22*$C960+PM_Angle!$L$22*$B960</f>
      </c>
      <c r="AO960" s="12">
        <f>IF(AN960&gt;0,IF(AN960&lt;=eco,alpha*fck*(1-(1-AN960/eco)^n),alpha*fck),0)</f>
      </c>
      <c r="AP960" s="30">
        <f>PM_Angle!$J$23+PM_Angle!$K$23*$C960+PM_Angle!$L$23*$B960</f>
      </c>
      <c r="AQ960" s="12">
        <f>IF(AP960&gt;0,IF(AP960&lt;=eco,alpha*fck*(1-(1-AP960/eco)^n),alpha*fck),0)</f>
      </c>
      <c r="AR960" s="30">
        <f>PM_Angle!$J$24+PM_Angle!$K$24*$C960+PM_Angle!$L$24*$B960</f>
      </c>
      <c r="AS960" s="12">
        <f>IF(AR960&gt;0,IF(AR960&lt;=eco,alpha*fck*(1-(1-AR960/eco)^n),alpha*fck),0)</f>
      </c>
      <c r="AT960" s="30">
        <f>PM_Angle!$J$25+PM_Angle!$K$25*$C960+PM_Angle!$L$25*$B960</f>
      </c>
      <c r="AU960" s="12">
        <f>IF(AT960&gt;0,IF(AT960&lt;=eco,alpha*fck*(1-(1-AT960/eco)^n),alpha*fck),0)</f>
      </c>
    </row>
    <row r="961" spans="1:47" x14ac:dyDescent="0.25">
      <c r="A961">
        <f>Mesh!A958</f>
      </c>
      <c r="B961" s="12">
        <f>Mesh!B958</f>
      </c>
      <c r="C961" s="12">
        <f>Mesh!C958</f>
      </c>
      <c r="D961" s="12">
        <f>Mesh!D958</f>
      </c>
      <c r="E961" s="30">
        <f>INDEX(St_e0,Det+1)+INDEX(St_kx,Det+1)*C961+INDEX(St_ky,Det+1)*B961</f>
      </c>
      <c r="F961" s="12">
        <f>IF(E961&gt;0,IF(E961&lt;=eco,alpha*fck*(1-(1-E961/eco)^n),alpha*fck),0)</f>
      </c>
      <c r="G961" s="11">
        <f>F961*D961</f>
      </c>
      <c r="H961" s="11">
        <f>G961*C961</f>
      </c>
      <c r="I961" s="11">
        <f>G961*B961</f>
      </c>
      <c r="J961" s="30">
        <f>PM_Angle!$J$7+PM_Angle!$K$7*$C961+PM_Angle!$L$7*$B961</f>
      </c>
      <c r="K961" s="12">
        <f>IF(J961&gt;0,IF(J961&lt;=eco,alpha*fck*(1-(1-J961/eco)^n),alpha*fck),0)</f>
      </c>
      <c r="L961" s="30">
        <f>PM_Angle!$J$8+PM_Angle!$K$8*$C961+PM_Angle!$L$8*$B961</f>
      </c>
      <c r="M961" s="12">
        <f>IF(L961&gt;0,IF(L961&lt;=eco,alpha*fck*(1-(1-L961/eco)^n),alpha*fck),0)</f>
      </c>
      <c r="N961" s="30">
        <f>PM_Angle!$J$9+PM_Angle!$K$9*$C961+PM_Angle!$L$9*$B961</f>
      </c>
      <c r="O961" s="12">
        <f>IF(N961&gt;0,IF(N961&lt;=eco,alpha*fck*(1-(1-N961/eco)^n),alpha*fck),0)</f>
      </c>
      <c r="P961" s="30">
        <f>PM_Angle!$J$10+PM_Angle!$K$10*$C961+PM_Angle!$L$10*$B961</f>
      </c>
      <c r="Q961" s="12">
        <f>IF(P961&gt;0,IF(P961&lt;=eco,alpha*fck*(1-(1-P961/eco)^n),alpha*fck),0)</f>
      </c>
      <c r="R961" s="30">
        <f>PM_Angle!$J$11+PM_Angle!$K$11*$C961+PM_Angle!$L$11*$B961</f>
      </c>
      <c r="S961" s="12">
        <f>IF(R961&gt;0,IF(R961&lt;=eco,alpha*fck*(1-(1-R961/eco)^n),alpha*fck),0)</f>
      </c>
      <c r="T961" s="30">
        <f>PM_Angle!$J$12+PM_Angle!$K$12*$C961+PM_Angle!$L$12*$B961</f>
      </c>
      <c r="U961" s="12">
        <f>IF(T961&gt;0,IF(T961&lt;=eco,alpha*fck*(1-(1-T961/eco)^n),alpha*fck),0)</f>
      </c>
      <c r="V961" s="30">
        <f>PM_Angle!$J$13+PM_Angle!$K$13*$C961+PM_Angle!$L$13*$B961</f>
      </c>
      <c r="W961" s="12">
        <f>IF(V961&gt;0,IF(V961&lt;=eco,alpha*fck*(1-(1-V961/eco)^n),alpha*fck),0)</f>
      </c>
      <c r="X961" s="30">
        <f>PM_Angle!$J$14+PM_Angle!$K$14*$C961+PM_Angle!$L$14*$B961</f>
      </c>
      <c r="Y961" s="12">
        <f>IF(X961&gt;0,IF(X961&lt;=eco,alpha*fck*(1-(1-X961/eco)^n),alpha*fck),0)</f>
      </c>
      <c r="Z961" s="30">
        <f>PM_Angle!$J$15+PM_Angle!$K$15*$C961+PM_Angle!$L$15*$B961</f>
      </c>
      <c r="AA961" s="12">
        <f>IF(Z961&gt;0,IF(Z961&lt;=eco,alpha*fck*(1-(1-Z961/eco)^n),alpha*fck),0)</f>
      </c>
      <c r="AB961" s="30">
        <f>PM_Angle!$J$16+PM_Angle!$K$16*$C961+PM_Angle!$L$16*$B961</f>
      </c>
      <c r="AC961" s="12">
        <f>IF(AB961&gt;0,IF(AB961&lt;=eco,alpha*fck*(1-(1-AB961/eco)^n),alpha*fck),0)</f>
      </c>
      <c r="AD961" s="30">
        <f>PM_Angle!$J$17+PM_Angle!$K$17*$C961+PM_Angle!$L$17*$B961</f>
      </c>
      <c r="AE961" s="12">
        <f>IF(AD961&gt;0,IF(AD961&lt;=eco,alpha*fck*(1-(1-AD961/eco)^n),alpha*fck),0)</f>
      </c>
      <c r="AF961" s="30">
        <f>PM_Angle!$J$18+PM_Angle!$K$18*$C961+PM_Angle!$L$18*$B961</f>
      </c>
      <c r="AG961" s="12">
        <f>IF(AF961&gt;0,IF(AF961&lt;=eco,alpha*fck*(1-(1-AF961/eco)^n),alpha*fck),0)</f>
      </c>
      <c r="AH961" s="30">
        <f>PM_Angle!$J$19+PM_Angle!$K$19*$C961+PM_Angle!$L$19*$B961</f>
      </c>
      <c r="AI961" s="12">
        <f>IF(AH961&gt;0,IF(AH961&lt;=eco,alpha*fck*(1-(1-AH961/eco)^n),alpha*fck),0)</f>
      </c>
      <c r="AJ961" s="30">
        <f>PM_Angle!$J$20+PM_Angle!$K$20*$C961+PM_Angle!$L$20*$B961</f>
      </c>
      <c r="AK961" s="12">
        <f>IF(AJ961&gt;0,IF(AJ961&lt;=eco,alpha*fck*(1-(1-AJ961/eco)^n),alpha*fck),0)</f>
      </c>
      <c r="AL961" s="30">
        <f>PM_Angle!$J$21+PM_Angle!$K$21*$C961+PM_Angle!$L$21*$B961</f>
      </c>
      <c r="AM961" s="12">
        <f>IF(AL961&gt;0,IF(AL961&lt;=eco,alpha*fck*(1-(1-AL961/eco)^n),alpha*fck),0)</f>
      </c>
      <c r="AN961" s="30">
        <f>PM_Angle!$J$22+PM_Angle!$K$22*$C961+PM_Angle!$L$22*$B961</f>
      </c>
      <c r="AO961" s="12">
        <f>IF(AN961&gt;0,IF(AN961&lt;=eco,alpha*fck*(1-(1-AN961/eco)^n),alpha*fck),0)</f>
      </c>
      <c r="AP961" s="30">
        <f>PM_Angle!$J$23+PM_Angle!$K$23*$C961+PM_Angle!$L$23*$B961</f>
      </c>
      <c r="AQ961" s="12">
        <f>IF(AP961&gt;0,IF(AP961&lt;=eco,alpha*fck*(1-(1-AP961/eco)^n),alpha*fck),0)</f>
      </c>
      <c r="AR961" s="30">
        <f>PM_Angle!$J$24+PM_Angle!$K$24*$C961+PM_Angle!$L$24*$B961</f>
      </c>
      <c r="AS961" s="12">
        <f>IF(AR961&gt;0,IF(AR961&lt;=eco,alpha*fck*(1-(1-AR961/eco)^n),alpha*fck),0)</f>
      </c>
      <c r="AT961" s="30">
        <f>PM_Angle!$J$25+PM_Angle!$K$25*$C961+PM_Angle!$L$25*$B961</f>
      </c>
      <c r="AU961" s="12">
        <f>IF(AT961&gt;0,IF(AT961&lt;=eco,alpha*fck*(1-(1-AT961/eco)^n),alpha*fck),0)</f>
      </c>
    </row>
    <row r="962" spans="1:47" x14ac:dyDescent="0.25">
      <c r="A962">
        <f>Mesh!A959</f>
      </c>
      <c r="B962" s="12">
        <f>Mesh!B959</f>
      </c>
      <c r="C962" s="12">
        <f>Mesh!C959</f>
      </c>
      <c r="D962" s="12">
        <f>Mesh!D959</f>
      </c>
      <c r="E962" s="30">
        <f>INDEX(St_e0,Det+1)+INDEX(St_kx,Det+1)*C962+INDEX(St_ky,Det+1)*B962</f>
      </c>
      <c r="F962" s="12">
        <f>IF(E962&gt;0,IF(E962&lt;=eco,alpha*fck*(1-(1-E962/eco)^n),alpha*fck),0)</f>
      </c>
      <c r="G962" s="11">
        <f>F962*D962</f>
      </c>
      <c r="H962" s="11">
        <f>G962*C962</f>
      </c>
      <c r="I962" s="11">
        <f>G962*B962</f>
      </c>
      <c r="J962" s="30">
        <f>PM_Angle!$J$7+PM_Angle!$K$7*$C962+PM_Angle!$L$7*$B962</f>
      </c>
      <c r="K962" s="12">
        <f>IF(J962&gt;0,IF(J962&lt;=eco,alpha*fck*(1-(1-J962/eco)^n),alpha*fck),0)</f>
      </c>
      <c r="L962" s="30">
        <f>PM_Angle!$J$8+PM_Angle!$K$8*$C962+PM_Angle!$L$8*$B962</f>
      </c>
      <c r="M962" s="12">
        <f>IF(L962&gt;0,IF(L962&lt;=eco,alpha*fck*(1-(1-L962/eco)^n),alpha*fck),0)</f>
      </c>
      <c r="N962" s="30">
        <f>PM_Angle!$J$9+PM_Angle!$K$9*$C962+PM_Angle!$L$9*$B962</f>
      </c>
      <c r="O962" s="12">
        <f>IF(N962&gt;0,IF(N962&lt;=eco,alpha*fck*(1-(1-N962/eco)^n),alpha*fck),0)</f>
      </c>
      <c r="P962" s="30">
        <f>PM_Angle!$J$10+PM_Angle!$K$10*$C962+PM_Angle!$L$10*$B962</f>
      </c>
      <c r="Q962" s="12">
        <f>IF(P962&gt;0,IF(P962&lt;=eco,alpha*fck*(1-(1-P962/eco)^n),alpha*fck),0)</f>
      </c>
      <c r="R962" s="30">
        <f>PM_Angle!$J$11+PM_Angle!$K$11*$C962+PM_Angle!$L$11*$B962</f>
      </c>
      <c r="S962" s="12">
        <f>IF(R962&gt;0,IF(R962&lt;=eco,alpha*fck*(1-(1-R962/eco)^n),alpha*fck),0)</f>
      </c>
      <c r="T962" s="30">
        <f>PM_Angle!$J$12+PM_Angle!$K$12*$C962+PM_Angle!$L$12*$B962</f>
      </c>
      <c r="U962" s="12">
        <f>IF(T962&gt;0,IF(T962&lt;=eco,alpha*fck*(1-(1-T962/eco)^n),alpha*fck),0)</f>
      </c>
      <c r="V962" s="30">
        <f>PM_Angle!$J$13+PM_Angle!$K$13*$C962+PM_Angle!$L$13*$B962</f>
      </c>
      <c r="W962" s="12">
        <f>IF(V962&gt;0,IF(V962&lt;=eco,alpha*fck*(1-(1-V962/eco)^n),alpha*fck),0)</f>
      </c>
      <c r="X962" s="30">
        <f>PM_Angle!$J$14+PM_Angle!$K$14*$C962+PM_Angle!$L$14*$B962</f>
      </c>
      <c r="Y962" s="12">
        <f>IF(X962&gt;0,IF(X962&lt;=eco,alpha*fck*(1-(1-X962/eco)^n),alpha*fck),0)</f>
      </c>
      <c r="Z962" s="30">
        <f>PM_Angle!$J$15+PM_Angle!$K$15*$C962+PM_Angle!$L$15*$B962</f>
      </c>
      <c r="AA962" s="12">
        <f>IF(Z962&gt;0,IF(Z962&lt;=eco,alpha*fck*(1-(1-Z962/eco)^n),alpha*fck),0)</f>
      </c>
      <c r="AB962" s="30">
        <f>PM_Angle!$J$16+PM_Angle!$K$16*$C962+PM_Angle!$L$16*$B962</f>
      </c>
      <c r="AC962" s="12">
        <f>IF(AB962&gt;0,IF(AB962&lt;=eco,alpha*fck*(1-(1-AB962/eco)^n),alpha*fck),0)</f>
      </c>
      <c r="AD962" s="30">
        <f>PM_Angle!$J$17+PM_Angle!$K$17*$C962+PM_Angle!$L$17*$B962</f>
      </c>
      <c r="AE962" s="12">
        <f>IF(AD962&gt;0,IF(AD962&lt;=eco,alpha*fck*(1-(1-AD962/eco)^n),alpha*fck),0)</f>
      </c>
      <c r="AF962" s="30">
        <f>PM_Angle!$J$18+PM_Angle!$K$18*$C962+PM_Angle!$L$18*$B962</f>
      </c>
      <c r="AG962" s="12">
        <f>IF(AF962&gt;0,IF(AF962&lt;=eco,alpha*fck*(1-(1-AF962/eco)^n),alpha*fck),0)</f>
      </c>
      <c r="AH962" s="30">
        <f>PM_Angle!$J$19+PM_Angle!$K$19*$C962+PM_Angle!$L$19*$B962</f>
      </c>
      <c r="AI962" s="12">
        <f>IF(AH962&gt;0,IF(AH962&lt;=eco,alpha*fck*(1-(1-AH962/eco)^n),alpha*fck),0)</f>
      </c>
      <c r="AJ962" s="30">
        <f>PM_Angle!$J$20+PM_Angle!$K$20*$C962+PM_Angle!$L$20*$B962</f>
      </c>
      <c r="AK962" s="12">
        <f>IF(AJ962&gt;0,IF(AJ962&lt;=eco,alpha*fck*(1-(1-AJ962/eco)^n),alpha*fck),0)</f>
      </c>
      <c r="AL962" s="30">
        <f>PM_Angle!$J$21+PM_Angle!$K$21*$C962+PM_Angle!$L$21*$B962</f>
      </c>
      <c r="AM962" s="12">
        <f>IF(AL962&gt;0,IF(AL962&lt;=eco,alpha*fck*(1-(1-AL962/eco)^n),alpha*fck),0)</f>
      </c>
      <c r="AN962" s="30">
        <f>PM_Angle!$J$22+PM_Angle!$K$22*$C962+PM_Angle!$L$22*$B962</f>
      </c>
      <c r="AO962" s="12">
        <f>IF(AN962&gt;0,IF(AN962&lt;=eco,alpha*fck*(1-(1-AN962/eco)^n),alpha*fck),0)</f>
      </c>
      <c r="AP962" s="30">
        <f>PM_Angle!$J$23+PM_Angle!$K$23*$C962+PM_Angle!$L$23*$B962</f>
      </c>
      <c r="AQ962" s="12">
        <f>IF(AP962&gt;0,IF(AP962&lt;=eco,alpha*fck*(1-(1-AP962/eco)^n),alpha*fck),0)</f>
      </c>
      <c r="AR962" s="30">
        <f>PM_Angle!$J$24+PM_Angle!$K$24*$C962+PM_Angle!$L$24*$B962</f>
      </c>
      <c r="AS962" s="12">
        <f>IF(AR962&gt;0,IF(AR962&lt;=eco,alpha*fck*(1-(1-AR962/eco)^n),alpha*fck),0)</f>
      </c>
      <c r="AT962" s="30">
        <f>PM_Angle!$J$25+PM_Angle!$K$25*$C962+PM_Angle!$L$25*$B962</f>
      </c>
      <c r="AU962" s="12">
        <f>IF(AT962&gt;0,IF(AT962&lt;=eco,alpha*fck*(1-(1-AT962/eco)^n),alpha*fck),0)</f>
      </c>
    </row>
    <row r="963" spans="1:47" x14ac:dyDescent="0.25">
      <c r="A963">
        <f>Mesh!A960</f>
      </c>
      <c r="B963" s="12">
        <f>Mesh!B960</f>
      </c>
      <c r="C963" s="12">
        <f>Mesh!C960</f>
      </c>
      <c r="D963" s="12">
        <f>Mesh!D960</f>
      </c>
      <c r="E963" s="30">
        <f>INDEX(St_e0,Det+1)+INDEX(St_kx,Det+1)*C963+INDEX(St_ky,Det+1)*B963</f>
      </c>
      <c r="F963" s="12">
        <f>IF(E963&gt;0,IF(E963&lt;=eco,alpha*fck*(1-(1-E963/eco)^n),alpha*fck),0)</f>
      </c>
      <c r="G963" s="11">
        <f>F963*D963</f>
      </c>
      <c r="H963" s="11">
        <f>G963*C963</f>
      </c>
      <c r="I963" s="11">
        <f>G963*B963</f>
      </c>
      <c r="J963" s="30">
        <f>PM_Angle!$J$7+PM_Angle!$K$7*$C963+PM_Angle!$L$7*$B963</f>
      </c>
      <c r="K963" s="12">
        <f>IF(J963&gt;0,IF(J963&lt;=eco,alpha*fck*(1-(1-J963/eco)^n),alpha*fck),0)</f>
      </c>
      <c r="L963" s="30">
        <f>PM_Angle!$J$8+PM_Angle!$K$8*$C963+PM_Angle!$L$8*$B963</f>
      </c>
      <c r="M963" s="12">
        <f>IF(L963&gt;0,IF(L963&lt;=eco,alpha*fck*(1-(1-L963/eco)^n),alpha*fck),0)</f>
      </c>
      <c r="N963" s="30">
        <f>PM_Angle!$J$9+PM_Angle!$K$9*$C963+PM_Angle!$L$9*$B963</f>
      </c>
      <c r="O963" s="12">
        <f>IF(N963&gt;0,IF(N963&lt;=eco,alpha*fck*(1-(1-N963/eco)^n),alpha*fck),0)</f>
      </c>
      <c r="P963" s="30">
        <f>PM_Angle!$J$10+PM_Angle!$K$10*$C963+PM_Angle!$L$10*$B963</f>
      </c>
      <c r="Q963" s="12">
        <f>IF(P963&gt;0,IF(P963&lt;=eco,alpha*fck*(1-(1-P963/eco)^n),alpha*fck),0)</f>
      </c>
      <c r="R963" s="30">
        <f>PM_Angle!$J$11+PM_Angle!$K$11*$C963+PM_Angle!$L$11*$B963</f>
      </c>
      <c r="S963" s="12">
        <f>IF(R963&gt;0,IF(R963&lt;=eco,alpha*fck*(1-(1-R963/eco)^n),alpha*fck),0)</f>
      </c>
      <c r="T963" s="30">
        <f>PM_Angle!$J$12+PM_Angle!$K$12*$C963+PM_Angle!$L$12*$B963</f>
      </c>
      <c r="U963" s="12">
        <f>IF(T963&gt;0,IF(T963&lt;=eco,alpha*fck*(1-(1-T963/eco)^n),alpha*fck),0)</f>
      </c>
      <c r="V963" s="30">
        <f>PM_Angle!$J$13+PM_Angle!$K$13*$C963+PM_Angle!$L$13*$B963</f>
      </c>
      <c r="W963" s="12">
        <f>IF(V963&gt;0,IF(V963&lt;=eco,alpha*fck*(1-(1-V963/eco)^n),alpha*fck),0)</f>
      </c>
      <c r="X963" s="30">
        <f>PM_Angle!$J$14+PM_Angle!$K$14*$C963+PM_Angle!$L$14*$B963</f>
      </c>
      <c r="Y963" s="12">
        <f>IF(X963&gt;0,IF(X963&lt;=eco,alpha*fck*(1-(1-X963/eco)^n),alpha*fck),0)</f>
      </c>
      <c r="Z963" s="30">
        <f>PM_Angle!$J$15+PM_Angle!$K$15*$C963+PM_Angle!$L$15*$B963</f>
      </c>
      <c r="AA963" s="12">
        <f>IF(Z963&gt;0,IF(Z963&lt;=eco,alpha*fck*(1-(1-Z963/eco)^n),alpha*fck),0)</f>
      </c>
      <c r="AB963" s="30">
        <f>PM_Angle!$J$16+PM_Angle!$K$16*$C963+PM_Angle!$L$16*$B963</f>
      </c>
      <c r="AC963" s="12">
        <f>IF(AB963&gt;0,IF(AB963&lt;=eco,alpha*fck*(1-(1-AB963/eco)^n),alpha*fck),0)</f>
      </c>
      <c r="AD963" s="30">
        <f>PM_Angle!$J$17+PM_Angle!$K$17*$C963+PM_Angle!$L$17*$B963</f>
      </c>
      <c r="AE963" s="12">
        <f>IF(AD963&gt;0,IF(AD963&lt;=eco,alpha*fck*(1-(1-AD963/eco)^n),alpha*fck),0)</f>
      </c>
      <c r="AF963" s="30">
        <f>PM_Angle!$J$18+PM_Angle!$K$18*$C963+PM_Angle!$L$18*$B963</f>
      </c>
      <c r="AG963" s="12">
        <f>IF(AF963&gt;0,IF(AF963&lt;=eco,alpha*fck*(1-(1-AF963/eco)^n),alpha*fck),0)</f>
      </c>
      <c r="AH963" s="30">
        <f>PM_Angle!$J$19+PM_Angle!$K$19*$C963+PM_Angle!$L$19*$B963</f>
      </c>
      <c r="AI963" s="12">
        <f>IF(AH963&gt;0,IF(AH963&lt;=eco,alpha*fck*(1-(1-AH963/eco)^n),alpha*fck),0)</f>
      </c>
      <c r="AJ963" s="30">
        <f>PM_Angle!$J$20+PM_Angle!$K$20*$C963+PM_Angle!$L$20*$B963</f>
      </c>
      <c r="AK963" s="12">
        <f>IF(AJ963&gt;0,IF(AJ963&lt;=eco,alpha*fck*(1-(1-AJ963/eco)^n),alpha*fck),0)</f>
      </c>
      <c r="AL963" s="30">
        <f>PM_Angle!$J$21+PM_Angle!$K$21*$C963+PM_Angle!$L$21*$B963</f>
      </c>
      <c r="AM963" s="12">
        <f>IF(AL963&gt;0,IF(AL963&lt;=eco,alpha*fck*(1-(1-AL963/eco)^n),alpha*fck),0)</f>
      </c>
      <c r="AN963" s="30">
        <f>PM_Angle!$J$22+PM_Angle!$K$22*$C963+PM_Angle!$L$22*$B963</f>
      </c>
      <c r="AO963" s="12">
        <f>IF(AN963&gt;0,IF(AN963&lt;=eco,alpha*fck*(1-(1-AN963/eco)^n),alpha*fck),0)</f>
      </c>
      <c r="AP963" s="30">
        <f>PM_Angle!$J$23+PM_Angle!$K$23*$C963+PM_Angle!$L$23*$B963</f>
      </c>
      <c r="AQ963" s="12">
        <f>IF(AP963&gt;0,IF(AP963&lt;=eco,alpha*fck*(1-(1-AP963/eco)^n),alpha*fck),0)</f>
      </c>
      <c r="AR963" s="30">
        <f>PM_Angle!$J$24+PM_Angle!$K$24*$C963+PM_Angle!$L$24*$B963</f>
      </c>
      <c r="AS963" s="12">
        <f>IF(AR963&gt;0,IF(AR963&lt;=eco,alpha*fck*(1-(1-AR963/eco)^n),alpha*fck),0)</f>
      </c>
      <c r="AT963" s="30">
        <f>PM_Angle!$J$25+PM_Angle!$K$25*$C963+PM_Angle!$L$25*$B963</f>
      </c>
      <c r="AU963" s="12">
        <f>IF(AT963&gt;0,IF(AT963&lt;=eco,alpha*fck*(1-(1-AT963/eco)^n),alpha*fck),0)</f>
      </c>
    </row>
    <row r="964" spans="1:47" x14ac:dyDescent="0.25">
      <c r="A964">
        <f>Mesh!A961</f>
      </c>
      <c r="B964" s="12">
        <f>Mesh!B961</f>
      </c>
      <c r="C964" s="12">
        <f>Mesh!C961</f>
      </c>
      <c r="D964" s="12">
        <f>Mesh!D961</f>
      </c>
      <c r="E964" s="30">
        <f>INDEX(St_e0,Det+1)+INDEX(St_kx,Det+1)*C964+INDEX(St_ky,Det+1)*B964</f>
      </c>
      <c r="F964" s="12">
        <f>IF(E964&gt;0,IF(E964&lt;=eco,alpha*fck*(1-(1-E964/eco)^n),alpha*fck),0)</f>
      </c>
      <c r="G964" s="11">
        <f>F964*D964</f>
      </c>
      <c r="H964" s="11">
        <f>G964*C964</f>
      </c>
      <c r="I964" s="11">
        <f>G964*B964</f>
      </c>
      <c r="J964" s="30">
        <f>PM_Angle!$J$7+PM_Angle!$K$7*$C964+PM_Angle!$L$7*$B964</f>
      </c>
      <c r="K964" s="12">
        <f>IF(J964&gt;0,IF(J964&lt;=eco,alpha*fck*(1-(1-J964/eco)^n),alpha*fck),0)</f>
      </c>
      <c r="L964" s="30">
        <f>PM_Angle!$J$8+PM_Angle!$K$8*$C964+PM_Angle!$L$8*$B964</f>
      </c>
      <c r="M964" s="12">
        <f>IF(L964&gt;0,IF(L964&lt;=eco,alpha*fck*(1-(1-L964/eco)^n),alpha*fck),0)</f>
      </c>
      <c r="N964" s="30">
        <f>PM_Angle!$J$9+PM_Angle!$K$9*$C964+PM_Angle!$L$9*$B964</f>
      </c>
      <c r="O964" s="12">
        <f>IF(N964&gt;0,IF(N964&lt;=eco,alpha*fck*(1-(1-N964/eco)^n),alpha*fck),0)</f>
      </c>
      <c r="P964" s="30">
        <f>PM_Angle!$J$10+PM_Angle!$K$10*$C964+PM_Angle!$L$10*$B964</f>
      </c>
      <c r="Q964" s="12">
        <f>IF(P964&gt;0,IF(P964&lt;=eco,alpha*fck*(1-(1-P964/eco)^n),alpha*fck),0)</f>
      </c>
      <c r="R964" s="30">
        <f>PM_Angle!$J$11+PM_Angle!$K$11*$C964+PM_Angle!$L$11*$B964</f>
      </c>
      <c r="S964" s="12">
        <f>IF(R964&gt;0,IF(R964&lt;=eco,alpha*fck*(1-(1-R964/eco)^n),alpha*fck),0)</f>
      </c>
      <c r="T964" s="30">
        <f>PM_Angle!$J$12+PM_Angle!$K$12*$C964+PM_Angle!$L$12*$B964</f>
      </c>
      <c r="U964" s="12">
        <f>IF(T964&gt;0,IF(T964&lt;=eco,alpha*fck*(1-(1-T964/eco)^n),alpha*fck),0)</f>
      </c>
      <c r="V964" s="30">
        <f>PM_Angle!$J$13+PM_Angle!$K$13*$C964+PM_Angle!$L$13*$B964</f>
      </c>
      <c r="W964" s="12">
        <f>IF(V964&gt;0,IF(V964&lt;=eco,alpha*fck*(1-(1-V964/eco)^n),alpha*fck),0)</f>
      </c>
      <c r="X964" s="30">
        <f>PM_Angle!$J$14+PM_Angle!$K$14*$C964+PM_Angle!$L$14*$B964</f>
      </c>
      <c r="Y964" s="12">
        <f>IF(X964&gt;0,IF(X964&lt;=eco,alpha*fck*(1-(1-X964/eco)^n),alpha*fck),0)</f>
      </c>
      <c r="Z964" s="30">
        <f>PM_Angle!$J$15+PM_Angle!$K$15*$C964+PM_Angle!$L$15*$B964</f>
      </c>
      <c r="AA964" s="12">
        <f>IF(Z964&gt;0,IF(Z964&lt;=eco,alpha*fck*(1-(1-Z964/eco)^n),alpha*fck),0)</f>
      </c>
      <c r="AB964" s="30">
        <f>PM_Angle!$J$16+PM_Angle!$K$16*$C964+PM_Angle!$L$16*$B964</f>
      </c>
      <c r="AC964" s="12">
        <f>IF(AB964&gt;0,IF(AB964&lt;=eco,alpha*fck*(1-(1-AB964/eco)^n),alpha*fck),0)</f>
      </c>
      <c r="AD964" s="30">
        <f>PM_Angle!$J$17+PM_Angle!$K$17*$C964+PM_Angle!$L$17*$B964</f>
      </c>
      <c r="AE964" s="12">
        <f>IF(AD964&gt;0,IF(AD964&lt;=eco,alpha*fck*(1-(1-AD964/eco)^n),alpha*fck),0)</f>
      </c>
      <c r="AF964" s="30">
        <f>PM_Angle!$J$18+PM_Angle!$K$18*$C964+PM_Angle!$L$18*$B964</f>
      </c>
      <c r="AG964" s="12">
        <f>IF(AF964&gt;0,IF(AF964&lt;=eco,alpha*fck*(1-(1-AF964/eco)^n),alpha*fck),0)</f>
      </c>
      <c r="AH964" s="30">
        <f>PM_Angle!$J$19+PM_Angle!$K$19*$C964+PM_Angle!$L$19*$B964</f>
      </c>
      <c r="AI964" s="12">
        <f>IF(AH964&gt;0,IF(AH964&lt;=eco,alpha*fck*(1-(1-AH964/eco)^n),alpha*fck),0)</f>
      </c>
      <c r="AJ964" s="30">
        <f>PM_Angle!$J$20+PM_Angle!$K$20*$C964+PM_Angle!$L$20*$B964</f>
      </c>
      <c r="AK964" s="12">
        <f>IF(AJ964&gt;0,IF(AJ964&lt;=eco,alpha*fck*(1-(1-AJ964/eco)^n),alpha*fck),0)</f>
      </c>
      <c r="AL964" s="30">
        <f>PM_Angle!$J$21+PM_Angle!$K$21*$C964+PM_Angle!$L$21*$B964</f>
      </c>
      <c r="AM964" s="12">
        <f>IF(AL964&gt;0,IF(AL964&lt;=eco,alpha*fck*(1-(1-AL964/eco)^n),alpha*fck),0)</f>
      </c>
      <c r="AN964" s="30">
        <f>PM_Angle!$J$22+PM_Angle!$K$22*$C964+PM_Angle!$L$22*$B964</f>
      </c>
      <c r="AO964" s="12">
        <f>IF(AN964&gt;0,IF(AN964&lt;=eco,alpha*fck*(1-(1-AN964/eco)^n),alpha*fck),0)</f>
      </c>
      <c r="AP964" s="30">
        <f>PM_Angle!$J$23+PM_Angle!$K$23*$C964+PM_Angle!$L$23*$B964</f>
      </c>
      <c r="AQ964" s="12">
        <f>IF(AP964&gt;0,IF(AP964&lt;=eco,alpha*fck*(1-(1-AP964/eco)^n),alpha*fck),0)</f>
      </c>
      <c r="AR964" s="30">
        <f>PM_Angle!$J$24+PM_Angle!$K$24*$C964+PM_Angle!$L$24*$B964</f>
      </c>
      <c r="AS964" s="12">
        <f>IF(AR964&gt;0,IF(AR964&lt;=eco,alpha*fck*(1-(1-AR964/eco)^n),alpha*fck),0)</f>
      </c>
      <c r="AT964" s="30">
        <f>PM_Angle!$J$25+PM_Angle!$K$25*$C964+PM_Angle!$L$25*$B964</f>
      </c>
      <c r="AU964" s="12">
        <f>IF(AT964&gt;0,IF(AT964&lt;=eco,alpha*fck*(1-(1-AT964/eco)^n),alpha*fck),0)</f>
      </c>
    </row>
    <row r="965" spans="1:47" x14ac:dyDescent="0.25">
      <c r="A965">
        <f>Mesh!A962</f>
      </c>
      <c r="B965" s="12">
        <f>Mesh!B962</f>
      </c>
      <c r="C965" s="12">
        <f>Mesh!C962</f>
      </c>
      <c r="D965" s="12">
        <f>Mesh!D962</f>
      </c>
      <c r="E965" s="30">
        <f>INDEX(St_e0,Det+1)+INDEX(St_kx,Det+1)*C965+INDEX(St_ky,Det+1)*B965</f>
      </c>
      <c r="F965" s="12">
        <f>IF(E965&gt;0,IF(E965&lt;=eco,alpha*fck*(1-(1-E965/eco)^n),alpha*fck),0)</f>
      </c>
      <c r="G965" s="11">
        <f>F965*D965</f>
      </c>
      <c r="H965" s="11">
        <f>G965*C965</f>
      </c>
      <c r="I965" s="11">
        <f>G965*B965</f>
      </c>
      <c r="J965" s="30">
        <f>PM_Angle!$J$7+PM_Angle!$K$7*$C965+PM_Angle!$L$7*$B965</f>
      </c>
      <c r="K965" s="12">
        <f>IF(J965&gt;0,IF(J965&lt;=eco,alpha*fck*(1-(1-J965/eco)^n),alpha*fck),0)</f>
      </c>
      <c r="L965" s="30">
        <f>PM_Angle!$J$8+PM_Angle!$K$8*$C965+PM_Angle!$L$8*$B965</f>
      </c>
      <c r="M965" s="12">
        <f>IF(L965&gt;0,IF(L965&lt;=eco,alpha*fck*(1-(1-L965/eco)^n),alpha*fck),0)</f>
      </c>
      <c r="N965" s="30">
        <f>PM_Angle!$J$9+PM_Angle!$K$9*$C965+PM_Angle!$L$9*$B965</f>
      </c>
      <c r="O965" s="12">
        <f>IF(N965&gt;0,IF(N965&lt;=eco,alpha*fck*(1-(1-N965/eco)^n),alpha*fck),0)</f>
      </c>
      <c r="P965" s="30">
        <f>PM_Angle!$J$10+PM_Angle!$K$10*$C965+PM_Angle!$L$10*$B965</f>
      </c>
      <c r="Q965" s="12">
        <f>IF(P965&gt;0,IF(P965&lt;=eco,alpha*fck*(1-(1-P965/eco)^n),alpha*fck),0)</f>
      </c>
      <c r="R965" s="30">
        <f>PM_Angle!$J$11+PM_Angle!$K$11*$C965+PM_Angle!$L$11*$B965</f>
      </c>
      <c r="S965" s="12">
        <f>IF(R965&gt;0,IF(R965&lt;=eco,alpha*fck*(1-(1-R965/eco)^n),alpha*fck),0)</f>
      </c>
      <c r="T965" s="30">
        <f>PM_Angle!$J$12+PM_Angle!$K$12*$C965+PM_Angle!$L$12*$B965</f>
      </c>
      <c r="U965" s="12">
        <f>IF(T965&gt;0,IF(T965&lt;=eco,alpha*fck*(1-(1-T965/eco)^n),alpha*fck),0)</f>
      </c>
      <c r="V965" s="30">
        <f>PM_Angle!$J$13+PM_Angle!$K$13*$C965+PM_Angle!$L$13*$B965</f>
      </c>
      <c r="W965" s="12">
        <f>IF(V965&gt;0,IF(V965&lt;=eco,alpha*fck*(1-(1-V965/eco)^n),alpha*fck),0)</f>
      </c>
      <c r="X965" s="30">
        <f>PM_Angle!$J$14+PM_Angle!$K$14*$C965+PM_Angle!$L$14*$B965</f>
      </c>
      <c r="Y965" s="12">
        <f>IF(X965&gt;0,IF(X965&lt;=eco,alpha*fck*(1-(1-X965/eco)^n),alpha*fck),0)</f>
      </c>
      <c r="Z965" s="30">
        <f>PM_Angle!$J$15+PM_Angle!$K$15*$C965+PM_Angle!$L$15*$B965</f>
      </c>
      <c r="AA965" s="12">
        <f>IF(Z965&gt;0,IF(Z965&lt;=eco,alpha*fck*(1-(1-Z965/eco)^n),alpha*fck),0)</f>
      </c>
      <c r="AB965" s="30">
        <f>PM_Angle!$J$16+PM_Angle!$K$16*$C965+PM_Angle!$L$16*$B965</f>
      </c>
      <c r="AC965" s="12">
        <f>IF(AB965&gt;0,IF(AB965&lt;=eco,alpha*fck*(1-(1-AB965/eco)^n),alpha*fck),0)</f>
      </c>
      <c r="AD965" s="30">
        <f>PM_Angle!$J$17+PM_Angle!$K$17*$C965+PM_Angle!$L$17*$B965</f>
      </c>
      <c r="AE965" s="12">
        <f>IF(AD965&gt;0,IF(AD965&lt;=eco,alpha*fck*(1-(1-AD965/eco)^n),alpha*fck),0)</f>
      </c>
      <c r="AF965" s="30">
        <f>PM_Angle!$J$18+PM_Angle!$K$18*$C965+PM_Angle!$L$18*$B965</f>
      </c>
      <c r="AG965" s="12">
        <f>IF(AF965&gt;0,IF(AF965&lt;=eco,alpha*fck*(1-(1-AF965/eco)^n),alpha*fck),0)</f>
      </c>
      <c r="AH965" s="30">
        <f>PM_Angle!$J$19+PM_Angle!$K$19*$C965+PM_Angle!$L$19*$B965</f>
      </c>
      <c r="AI965" s="12">
        <f>IF(AH965&gt;0,IF(AH965&lt;=eco,alpha*fck*(1-(1-AH965/eco)^n),alpha*fck),0)</f>
      </c>
      <c r="AJ965" s="30">
        <f>PM_Angle!$J$20+PM_Angle!$K$20*$C965+PM_Angle!$L$20*$B965</f>
      </c>
      <c r="AK965" s="12">
        <f>IF(AJ965&gt;0,IF(AJ965&lt;=eco,alpha*fck*(1-(1-AJ965/eco)^n),alpha*fck),0)</f>
      </c>
      <c r="AL965" s="30">
        <f>PM_Angle!$J$21+PM_Angle!$K$21*$C965+PM_Angle!$L$21*$B965</f>
      </c>
      <c r="AM965" s="12">
        <f>IF(AL965&gt;0,IF(AL965&lt;=eco,alpha*fck*(1-(1-AL965/eco)^n),alpha*fck),0)</f>
      </c>
      <c r="AN965" s="30">
        <f>PM_Angle!$J$22+PM_Angle!$K$22*$C965+PM_Angle!$L$22*$B965</f>
      </c>
      <c r="AO965" s="12">
        <f>IF(AN965&gt;0,IF(AN965&lt;=eco,alpha*fck*(1-(1-AN965/eco)^n),alpha*fck),0)</f>
      </c>
      <c r="AP965" s="30">
        <f>PM_Angle!$J$23+PM_Angle!$K$23*$C965+PM_Angle!$L$23*$B965</f>
      </c>
      <c r="AQ965" s="12">
        <f>IF(AP965&gt;0,IF(AP965&lt;=eco,alpha*fck*(1-(1-AP965/eco)^n),alpha*fck),0)</f>
      </c>
      <c r="AR965" s="30">
        <f>PM_Angle!$J$24+PM_Angle!$K$24*$C965+PM_Angle!$L$24*$B965</f>
      </c>
      <c r="AS965" s="12">
        <f>IF(AR965&gt;0,IF(AR965&lt;=eco,alpha*fck*(1-(1-AR965/eco)^n),alpha*fck),0)</f>
      </c>
      <c r="AT965" s="30">
        <f>PM_Angle!$J$25+PM_Angle!$K$25*$C965+PM_Angle!$L$25*$B965</f>
      </c>
      <c r="AU965" s="12">
        <f>IF(AT965&gt;0,IF(AT965&lt;=eco,alpha*fck*(1-(1-AT965/eco)^n),alpha*fck),0)</f>
      </c>
    </row>
    <row r="966" spans="1:47" x14ac:dyDescent="0.25">
      <c r="A966">
        <f>Mesh!A963</f>
      </c>
      <c r="B966" s="12">
        <f>Mesh!B963</f>
      </c>
      <c r="C966" s="12">
        <f>Mesh!C963</f>
      </c>
      <c r="D966" s="12">
        <f>Mesh!D963</f>
      </c>
      <c r="E966" s="30">
        <f>INDEX(St_e0,Det+1)+INDEX(St_kx,Det+1)*C966+INDEX(St_ky,Det+1)*B966</f>
      </c>
      <c r="F966" s="12">
        <f>IF(E966&gt;0,IF(E966&lt;=eco,alpha*fck*(1-(1-E966/eco)^n),alpha*fck),0)</f>
      </c>
      <c r="G966" s="11">
        <f>F966*D966</f>
      </c>
      <c r="H966" s="11">
        <f>G966*C966</f>
      </c>
      <c r="I966" s="11">
        <f>G966*B966</f>
      </c>
      <c r="J966" s="30">
        <f>PM_Angle!$J$7+PM_Angle!$K$7*$C966+PM_Angle!$L$7*$B966</f>
      </c>
      <c r="K966" s="12">
        <f>IF(J966&gt;0,IF(J966&lt;=eco,alpha*fck*(1-(1-J966/eco)^n),alpha*fck),0)</f>
      </c>
      <c r="L966" s="30">
        <f>PM_Angle!$J$8+PM_Angle!$K$8*$C966+PM_Angle!$L$8*$B966</f>
      </c>
      <c r="M966" s="12">
        <f>IF(L966&gt;0,IF(L966&lt;=eco,alpha*fck*(1-(1-L966/eco)^n),alpha*fck),0)</f>
      </c>
      <c r="N966" s="30">
        <f>PM_Angle!$J$9+PM_Angle!$K$9*$C966+PM_Angle!$L$9*$B966</f>
      </c>
      <c r="O966" s="12">
        <f>IF(N966&gt;0,IF(N966&lt;=eco,alpha*fck*(1-(1-N966/eco)^n),alpha*fck),0)</f>
      </c>
      <c r="P966" s="30">
        <f>PM_Angle!$J$10+PM_Angle!$K$10*$C966+PM_Angle!$L$10*$B966</f>
      </c>
      <c r="Q966" s="12">
        <f>IF(P966&gt;0,IF(P966&lt;=eco,alpha*fck*(1-(1-P966/eco)^n),alpha*fck),0)</f>
      </c>
      <c r="R966" s="30">
        <f>PM_Angle!$J$11+PM_Angle!$K$11*$C966+PM_Angle!$L$11*$B966</f>
      </c>
      <c r="S966" s="12">
        <f>IF(R966&gt;0,IF(R966&lt;=eco,alpha*fck*(1-(1-R966/eco)^n),alpha*fck),0)</f>
      </c>
      <c r="T966" s="30">
        <f>PM_Angle!$J$12+PM_Angle!$K$12*$C966+PM_Angle!$L$12*$B966</f>
      </c>
      <c r="U966" s="12">
        <f>IF(T966&gt;0,IF(T966&lt;=eco,alpha*fck*(1-(1-T966/eco)^n),alpha*fck),0)</f>
      </c>
      <c r="V966" s="30">
        <f>PM_Angle!$J$13+PM_Angle!$K$13*$C966+PM_Angle!$L$13*$B966</f>
      </c>
      <c r="W966" s="12">
        <f>IF(V966&gt;0,IF(V966&lt;=eco,alpha*fck*(1-(1-V966/eco)^n),alpha*fck),0)</f>
      </c>
      <c r="X966" s="30">
        <f>PM_Angle!$J$14+PM_Angle!$K$14*$C966+PM_Angle!$L$14*$B966</f>
      </c>
      <c r="Y966" s="12">
        <f>IF(X966&gt;0,IF(X966&lt;=eco,alpha*fck*(1-(1-X966/eco)^n),alpha*fck),0)</f>
      </c>
      <c r="Z966" s="30">
        <f>PM_Angle!$J$15+PM_Angle!$K$15*$C966+PM_Angle!$L$15*$B966</f>
      </c>
      <c r="AA966" s="12">
        <f>IF(Z966&gt;0,IF(Z966&lt;=eco,alpha*fck*(1-(1-Z966/eco)^n),alpha*fck),0)</f>
      </c>
      <c r="AB966" s="30">
        <f>PM_Angle!$J$16+PM_Angle!$K$16*$C966+PM_Angle!$L$16*$B966</f>
      </c>
      <c r="AC966" s="12">
        <f>IF(AB966&gt;0,IF(AB966&lt;=eco,alpha*fck*(1-(1-AB966/eco)^n),alpha*fck),0)</f>
      </c>
      <c r="AD966" s="30">
        <f>PM_Angle!$J$17+PM_Angle!$K$17*$C966+PM_Angle!$L$17*$B966</f>
      </c>
      <c r="AE966" s="12">
        <f>IF(AD966&gt;0,IF(AD966&lt;=eco,alpha*fck*(1-(1-AD966/eco)^n),alpha*fck),0)</f>
      </c>
      <c r="AF966" s="30">
        <f>PM_Angle!$J$18+PM_Angle!$K$18*$C966+PM_Angle!$L$18*$B966</f>
      </c>
      <c r="AG966" s="12">
        <f>IF(AF966&gt;0,IF(AF966&lt;=eco,alpha*fck*(1-(1-AF966/eco)^n),alpha*fck),0)</f>
      </c>
      <c r="AH966" s="30">
        <f>PM_Angle!$J$19+PM_Angle!$K$19*$C966+PM_Angle!$L$19*$B966</f>
      </c>
      <c r="AI966" s="12">
        <f>IF(AH966&gt;0,IF(AH966&lt;=eco,alpha*fck*(1-(1-AH966/eco)^n),alpha*fck),0)</f>
      </c>
      <c r="AJ966" s="30">
        <f>PM_Angle!$J$20+PM_Angle!$K$20*$C966+PM_Angle!$L$20*$B966</f>
      </c>
      <c r="AK966" s="12">
        <f>IF(AJ966&gt;0,IF(AJ966&lt;=eco,alpha*fck*(1-(1-AJ966/eco)^n),alpha*fck),0)</f>
      </c>
      <c r="AL966" s="30">
        <f>PM_Angle!$J$21+PM_Angle!$K$21*$C966+PM_Angle!$L$21*$B966</f>
      </c>
      <c r="AM966" s="12">
        <f>IF(AL966&gt;0,IF(AL966&lt;=eco,alpha*fck*(1-(1-AL966/eco)^n),alpha*fck),0)</f>
      </c>
      <c r="AN966" s="30">
        <f>PM_Angle!$J$22+PM_Angle!$K$22*$C966+PM_Angle!$L$22*$B966</f>
      </c>
      <c r="AO966" s="12">
        <f>IF(AN966&gt;0,IF(AN966&lt;=eco,alpha*fck*(1-(1-AN966/eco)^n),alpha*fck),0)</f>
      </c>
      <c r="AP966" s="30">
        <f>PM_Angle!$J$23+PM_Angle!$K$23*$C966+PM_Angle!$L$23*$B966</f>
      </c>
      <c r="AQ966" s="12">
        <f>IF(AP966&gt;0,IF(AP966&lt;=eco,alpha*fck*(1-(1-AP966/eco)^n),alpha*fck),0)</f>
      </c>
      <c r="AR966" s="30">
        <f>PM_Angle!$J$24+PM_Angle!$K$24*$C966+PM_Angle!$L$24*$B966</f>
      </c>
      <c r="AS966" s="12">
        <f>IF(AR966&gt;0,IF(AR966&lt;=eco,alpha*fck*(1-(1-AR966/eco)^n),alpha*fck),0)</f>
      </c>
      <c r="AT966" s="30">
        <f>PM_Angle!$J$25+PM_Angle!$K$25*$C966+PM_Angle!$L$25*$B966</f>
      </c>
      <c r="AU966" s="12">
        <f>IF(AT966&gt;0,IF(AT966&lt;=eco,alpha*fck*(1-(1-AT966/eco)^n),alpha*fck),0)</f>
      </c>
    </row>
    <row r="967" spans="1:47" x14ac:dyDescent="0.25">
      <c r="A967">
        <f>Mesh!A964</f>
      </c>
      <c r="B967" s="12">
        <f>Mesh!B964</f>
      </c>
      <c r="C967" s="12">
        <f>Mesh!C964</f>
      </c>
      <c r="D967" s="12">
        <f>Mesh!D964</f>
      </c>
      <c r="E967" s="30">
        <f>INDEX(St_e0,Det+1)+INDEX(St_kx,Det+1)*C967+INDEX(St_ky,Det+1)*B967</f>
      </c>
      <c r="F967" s="12">
        <f>IF(E967&gt;0,IF(E967&lt;=eco,alpha*fck*(1-(1-E967/eco)^n),alpha*fck),0)</f>
      </c>
      <c r="G967" s="11">
        <f>F967*D967</f>
      </c>
      <c r="H967" s="11">
        <f>G967*C967</f>
      </c>
      <c r="I967" s="11">
        <f>G967*B967</f>
      </c>
      <c r="J967" s="30">
        <f>PM_Angle!$J$7+PM_Angle!$K$7*$C967+PM_Angle!$L$7*$B967</f>
      </c>
      <c r="K967" s="12">
        <f>IF(J967&gt;0,IF(J967&lt;=eco,alpha*fck*(1-(1-J967/eco)^n),alpha*fck),0)</f>
      </c>
      <c r="L967" s="30">
        <f>PM_Angle!$J$8+PM_Angle!$K$8*$C967+PM_Angle!$L$8*$B967</f>
      </c>
      <c r="M967" s="12">
        <f>IF(L967&gt;0,IF(L967&lt;=eco,alpha*fck*(1-(1-L967/eco)^n),alpha*fck),0)</f>
      </c>
      <c r="N967" s="30">
        <f>PM_Angle!$J$9+PM_Angle!$K$9*$C967+PM_Angle!$L$9*$B967</f>
      </c>
      <c r="O967" s="12">
        <f>IF(N967&gt;0,IF(N967&lt;=eco,alpha*fck*(1-(1-N967/eco)^n),alpha*fck),0)</f>
      </c>
      <c r="P967" s="30">
        <f>PM_Angle!$J$10+PM_Angle!$K$10*$C967+PM_Angle!$L$10*$B967</f>
      </c>
      <c r="Q967" s="12">
        <f>IF(P967&gt;0,IF(P967&lt;=eco,alpha*fck*(1-(1-P967/eco)^n),alpha*fck),0)</f>
      </c>
      <c r="R967" s="30">
        <f>PM_Angle!$J$11+PM_Angle!$K$11*$C967+PM_Angle!$L$11*$B967</f>
      </c>
      <c r="S967" s="12">
        <f>IF(R967&gt;0,IF(R967&lt;=eco,alpha*fck*(1-(1-R967/eco)^n),alpha*fck),0)</f>
      </c>
      <c r="T967" s="30">
        <f>PM_Angle!$J$12+PM_Angle!$K$12*$C967+PM_Angle!$L$12*$B967</f>
      </c>
      <c r="U967" s="12">
        <f>IF(T967&gt;0,IF(T967&lt;=eco,alpha*fck*(1-(1-T967/eco)^n),alpha*fck),0)</f>
      </c>
      <c r="V967" s="30">
        <f>PM_Angle!$J$13+PM_Angle!$K$13*$C967+PM_Angle!$L$13*$B967</f>
      </c>
      <c r="W967" s="12">
        <f>IF(V967&gt;0,IF(V967&lt;=eco,alpha*fck*(1-(1-V967/eco)^n),alpha*fck),0)</f>
      </c>
      <c r="X967" s="30">
        <f>PM_Angle!$J$14+PM_Angle!$K$14*$C967+PM_Angle!$L$14*$B967</f>
      </c>
      <c r="Y967" s="12">
        <f>IF(X967&gt;0,IF(X967&lt;=eco,alpha*fck*(1-(1-X967/eco)^n),alpha*fck),0)</f>
      </c>
      <c r="Z967" s="30">
        <f>PM_Angle!$J$15+PM_Angle!$K$15*$C967+PM_Angle!$L$15*$B967</f>
      </c>
      <c r="AA967" s="12">
        <f>IF(Z967&gt;0,IF(Z967&lt;=eco,alpha*fck*(1-(1-Z967/eco)^n),alpha*fck),0)</f>
      </c>
      <c r="AB967" s="30">
        <f>PM_Angle!$J$16+PM_Angle!$K$16*$C967+PM_Angle!$L$16*$B967</f>
      </c>
      <c r="AC967" s="12">
        <f>IF(AB967&gt;0,IF(AB967&lt;=eco,alpha*fck*(1-(1-AB967/eco)^n),alpha*fck),0)</f>
      </c>
      <c r="AD967" s="30">
        <f>PM_Angle!$J$17+PM_Angle!$K$17*$C967+PM_Angle!$L$17*$B967</f>
      </c>
      <c r="AE967" s="12">
        <f>IF(AD967&gt;0,IF(AD967&lt;=eco,alpha*fck*(1-(1-AD967/eco)^n),alpha*fck),0)</f>
      </c>
      <c r="AF967" s="30">
        <f>PM_Angle!$J$18+PM_Angle!$K$18*$C967+PM_Angle!$L$18*$B967</f>
      </c>
      <c r="AG967" s="12">
        <f>IF(AF967&gt;0,IF(AF967&lt;=eco,alpha*fck*(1-(1-AF967/eco)^n),alpha*fck),0)</f>
      </c>
      <c r="AH967" s="30">
        <f>PM_Angle!$J$19+PM_Angle!$K$19*$C967+PM_Angle!$L$19*$B967</f>
      </c>
      <c r="AI967" s="12">
        <f>IF(AH967&gt;0,IF(AH967&lt;=eco,alpha*fck*(1-(1-AH967/eco)^n),alpha*fck),0)</f>
      </c>
      <c r="AJ967" s="30">
        <f>PM_Angle!$J$20+PM_Angle!$K$20*$C967+PM_Angle!$L$20*$B967</f>
      </c>
      <c r="AK967" s="12">
        <f>IF(AJ967&gt;0,IF(AJ967&lt;=eco,alpha*fck*(1-(1-AJ967/eco)^n),alpha*fck),0)</f>
      </c>
      <c r="AL967" s="30">
        <f>PM_Angle!$J$21+PM_Angle!$K$21*$C967+PM_Angle!$L$21*$B967</f>
      </c>
      <c r="AM967" s="12">
        <f>IF(AL967&gt;0,IF(AL967&lt;=eco,alpha*fck*(1-(1-AL967/eco)^n),alpha*fck),0)</f>
      </c>
      <c r="AN967" s="30">
        <f>PM_Angle!$J$22+PM_Angle!$K$22*$C967+PM_Angle!$L$22*$B967</f>
      </c>
      <c r="AO967" s="12">
        <f>IF(AN967&gt;0,IF(AN967&lt;=eco,alpha*fck*(1-(1-AN967/eco)^n),alpha*fck),0)</f>
      </c>
      <c r="AP967" s="30">
        <f>PM_Angle!$J$23+PM_Angle!$K$23*$C967+PM_Angle!$L$23*$B967</f>
      </c>
      <c r="AQ967" s="12">
        <f>IF(AP967&gt;0,IF(AP967&lt;=eco,alpha*fck*(1-(1-AP967/eco)^n),alpha*fck),0)</f>
      </c>
      <c r="AR967" s="30">
        <f>PM_Angle!$J$24+PM_Angle!$K$24*$C967+PM_Angle!$L$24*$B967</f>
      </c>
      <c r="AS967" s="12">
        <f>IF(AR967&gt;0,IF(AR967&lt;=eco,alpha*fck*(1-(1-AR967/eco)^n),alpha*fck),0)</f>
      </c>
      <c r="AT967" s="30">
        <f>PM_Angle!$J$25+PM_Angle!$K$25*$C967+PM_Angle!$L$25*$B967</f>
      </c>
      <c r="AU967" s="12">
        <f>IF(AT967&gt;0,IF(AT967&lt;=eco,alpha*fck*(1-(1-AT967/eco)^n),alpha*fck),0)</f>
      </c>
    </row>
    <row r="968" spans="1:47" x14ac:dyDescent="0.25">
      <c r="A968">
        <f>Mesh!A965</f>
      </c>
      <c r="B968" s="12">
        <f>Mesh!B965</f>
      </c>
      <c r="C968" s="12">
        <f>Mesh!C965</f>
      </c>
      <c r="D968" s="12">
        <f>Mesh!D965</f>
      </c>
      <c r="E968" s="30">
        <f>INDEX(St_e0,Det+1)+INDEX(St_kx,Det+1)*C968+INDEX(St_ky,Det+1)*B968</f>
      </c>
      <c r="F968" s="12">
        <f>IF(E968&gt;0,IF(E968&lt;=eco,alpha*fck*(1-(1-E968/eco)^n),alpha*fck),0)</f>
      </c>
      <c r="G968" s="11">
        <f>F968*D968</f>
      </c>
      <c r="H968" s="11">
        <f>G968*C968</f>
      </c>
      <c r="I968" s="11">
        <f>G968*B968</f>
      </c>
      <c r="J968" s="30">
        <f>PM_Angle!$J$7+PM_Angle!$K$7*$C968+PM_Angle!$L$7*$B968</f>
      </c>
      <c r="K968" s="12">
        <f>IF(J968&gt;0,IF(J968&lt;=eco,alpha*fck*(1-(1-J968/eco)^n),alpha*fck),0)</f>
      </c>
      <c r="L968" s="30">
        <f>PM_Angle!$J$8+PM_Angle!$K$8*$C968+PM_Angle!$L$8*$B968</f>
      </c>
      <c r="M968" s="12">
        <f>IF(L968&gt;0,IF(L968&lt;=eco,alpha*fck*(1-(1-L968/eco)^n),alpha*fck),0)</f>
      </c>
      <c r="N968" s="30">
        <f>PM_Angle!$J$9+PM_Angle!$K$9*$C968+PM_Angle!$L$9*$B968</f>
      </c>
      <c r="O968" s="12">
        <f>IF(N968&gt;0,IF(N968&lt;=eco,alpha*fck*(1-(1-N968/eco)^n),alpha*fck),0)</f>
      </c>
      <c r="P968" s="30">
        <f>PM_Angle!$J$10+PM_Angle!$K$10*$C968+PM_Angle!$L$10*$B968</f>
      </c>
      <c r="Q968" s="12">
        <f>IF(P968&gt;0,IF(P968&lt;=eco,alpha*fck*(1-(1-P968/eco)^n),alpha*fck),0)</f>
      </c>
      <c r="R968" s="30">
        <f>PM_Angle!$J$11+PM_Angle!$K$11*$C968+PM_Angle!$L$11*$B968</f>
      </c>
      <c r="S968" s="12">
        <f>IF(R968&gt;0,IF(R968&lt;=eco,alpha*fck*(1-(1-R968/eco)^n),alpha*fck),0)</f>
      </c>
      <c r="T968" s="30">
        <f>PM_Angle!$J$12+PM_Angle!$K$12*$C968+PM_Angle!$L$12*$B968</f>
      </c>
      <c r="U968" s="12">
        <f>IF(T968&gt;0,IF(T968&lt;=eco,alpha*fck*(1-(1-T968/eco)^n),alpha*fck),0)</f>
      </c>
      <c r="V968" s="30">
        <f>PM_Angle!$J$13+PM_Angle!$K$13*$C968+PM_Angle!$L$13*$B968</f>
      </c>
      <c r="W968" s="12">
        <f>IF(V968&gt;0,IF(V968&lt;=eco,alpha*fck*(1-(1-V968/eco)^n),alpha*fck),0)</f>
      </c>
      <c r="X968" s="30">
        <f>PM_Angle!$J$14+PM_Angle!$K$14*$C968+PM_Angle!$L$14*$B968</f>
      </c>
      <c r="Y968" s="12">
        <f>IF(X968&gt;0,IF(X968&lt;=eco,alpha*fck*(1-(1-X968/eco)^n),alpha*fck),0)</f>
      </c>
      <c r="Z968" s="30">
        <f>PM_Angle!$J$15+PM_Angle!$K$15*$C968+PM_Angle!$L$15*$B968</f>
      </c>
      <c r="AA968" s="12">
        <f>IF(Z968&gt;0,IF(Z968&lt;=eco,alpha*fck*(1-(1-Z968/eco)^n),alpha*fck),0)</f>
      </c>
      <c r="AB968" s="30">
        <f>PM_Angle!$J$16+PM_Angle!$K$16*$C968+PM_Angle!$L$16*$B968</f>
      </c>
      <c r="AC968" s="12">
        <f>IF(AB968&gt;0,IF(AB968&lt;=eco,alpha*fck*(1-(1-AB968/eco)^n),alpha*fck),0)</f>
      </c>
      <c r="AD968" s="30">
        <f>PM_Angle!$J$17+PM_Angle!$K$17*$C968+PM_Angle!$L$17*$B968</f>
      </c>
      <c r="AE968" s="12">
        <f>IF(AD968&gt;0,IF(AD968&lt;=eco,alpha*fck*(1-(1-AD968/eco)^n),alpha*fck),0)</f>
      </c>
      <c r="AF968" s="30">
        <f>PM_Angle!$J$18+PM_Angle!$K$18*$C968+PM_Angle!$L$18*$B968</f>
      </c>
      <c r="AG968" s="12">
        <f>IF(AF968&gt;0,IF(AF968&lt;=eco,alpha*fck*(1-(1-AF968/eco)^n),alpha*fck),0)</f>
      </c>
      <c r="AH968" s="30">
        <f>PM_Angle!$J$19+PM_Angle!$K$19*$C968+PM_Angle!$L$19*$B968</f>
      </c>
      <c r="AI968" s="12">
        <f>IF(AH968&gt;0,IF(AH968&lt;=eco,alpha*fck*(1-(1-AH968/eco)^n),alpha*fck),0)</f>
      </c>
      <c r="AJ968" s="30">
        <f>PM_Angle!$J$20+PM_Angle!$K$20*$C968+PM_Angle!$L$20*$B968</f>
      </c>
      <c r="AK968" s="12">
        <f>IF(AJ968&gt;0,IF(AJ968&lt;=eco,alpha*fck*(1-(1-AJ968/eco)^n),alpha*fck),0)</f>
      </c>
      <c r="AL968" s="30">
        <f>PM_Angle!$J$21+PM_Angle!$K$21*$C968+PM_Angle!$L$21*$B968</f>
      </c>
      <c r="AM968" s="12">
        <f>IF(AL968&gt;0,IF(AL968&lt;=eco,alpha*fck*(1-(1-AL968/eco)^n),alpha*fck),0)</f>
      </c>
      <c r="AN968" s="30">
        <f>PM_Angle!$J$22+PM_Angle!$K$22*$C968+PM_Angle!$L$22*$B968</f>
      </c>
      <c r="AO968" s="12">
        <f>IF(AN968&gt;0,IF(AN968&lt;=eco,alpha*fck*(1-(1-AN968/eco)^n),alpha*fck),0)</f>
      </c>
      <c r="AP968" s="30">
        <f>PM_Angle!$J$23+PM_Angle!$K$23*$C968+PM_Angle!$L$23*$B968</f>
      </c>
      <c r="AQ968" s="12">
        <f>IF(AP968&gt;0,IF(AP968&lt;=eco,alpha*fck*(1-(1-AP968/eco)^n),alpha*fck),0)</f>
      </c>
      <c r="AR968" s="30">
        <f>PM_Angle!$J$24+PM_Angle!$K$24*$C968+PM_Angle!$L$24*$B968</f>
      </c>
      <c r="AS968" s="12">
        <f>IF(AR968&gt;0,IF(AR968&lt;=eco,alpha*fck*(1-(1-AR968/eco)^n),alpha*fck),0)</f>
      </c>
      <c r="AT968" s="30">
        <f>PM_Angle!$J$25+PM_Angle!$K$25*$C968+PM_Angle!$L$25*$B968</f>
      </c>
      <c r="AU968" s="12">
        <f>IF(AT968&gt;0,IF(AT968&lt;=eco,alpha*fck*(1-(1-AT968/eco)^n),alpha*fck),0)</f>
      </c>
    </row>
    <row r="969" spans="1:47" x14ac:dyDescent="0.25">
      <c r="A969">
        <f>Mesh!A966</f>
      </c>
      <c r="B969" s="12">
        <f>Mesh!B966</f>
      </c>
      <c r="C969" s="12">
        <f>Mesh!C966</f>
      </c>
      <c r="D969" s="12">
        <f>Mesh!D966</f>
      </c>
      <c r="E969" s="30">
        <f>INDEX(St_e0,Det+1)+INDEX(St_kx,Det+1)*C969+INDEX(St_ky,Det+1)*B969</f>
      </c>
      <c r="F969" s="12">
        <f>IF(E969&gt;0,IF(E969&lt;=eco,alpha*fck*(1-(1-E969/eco)^n),alpha*fck),0)</f>
      </c>
      <c r="G969" s="11">
        <f>F969*D969</f>
      </c>
      <c r="H969" s="11">
        <f>G969*C969</f>
      </c>
      <c r="I969" s="11">
        <f>G969*B969</f>
      </c>
      <c r="J969" s="30">
        <f>PM_Angle!$J$7+PM_Angle!$K$7*$C969+PM_Angle!$L$7*$B969</f>
      </c>
      <c r="K969" s="12">
        <f>IF(J969&gt;0,IF(J969&lt;=eco,alpha*fck*(1-(1-J969/eco)^n),alpha*fck),0)</f>
      </c>
      <c r="L969" s="30">
        <f>PM_Angle!$J$8+PM_Angle!$K$8*$C969+PM_Angle!$L$8*$B969</f>
      </c>
      <c r="M969" s="12">
        <f>IF(L969&gt;0,IF(L969&lt;=eco,alpha*fck*(1-(1-L969/eco)^n),alpha*fck),0)</f>
      </c>
      <c r="N969" s="30">
        <f>PM_Angle!$J$9+PM_Angle!$K$9*$C969+PM_Angle!$L$9*$B969</f>
      </c>
      <c r="O969" s="12">
        <f>IF(N969&gt;0,IF(N969&lt;=eco,alpha*fck*(1-(1-N969/eco)^n),alpha*fck),0)</f>
      </c>
      <c r="P969" s="30">
        <f>PM_Angle!$J$10+PM_Angle!$K$10*$C969+PM_Angle!$L$10*$B969</f>
      </c>
      <c r="Q969" s="12">
        <f>IF(P969&gt;0,IF(P969&lt;=eco,alpha*fck*(1-(1-P969/eco)^n),alpha*fck),0)</f>
      </c>
      <c r="R969" s="30">
        <f>PM_Angle!$J$11+PM_Angle!$K$11*$C969+PM_Angle!$L$11*$B969</f>
      </c>
      <c r="S969" s="12">
        <f>IF(R969&gt;0,IF(R969&lt;=eco,alpha*fck*(1-(1-R969/eco)^n),alpha*fck),0)</f>
      </c>
      <c r="T969" s="30">
        <f>PM_Angle!$J$12+PM_Angle!$K$12*$C969+PM_Angle!$L$12*$B969</f>
      </c>
      <c r="U969" s="12">
        <f>IF(T969&gt;0,IF(T969&lt;=eco,alpha*fck*(1-(1-T969/eco)^n),alpha*fck),0)</f>
      </c>
      <c r="V969" s="30">
        <f>PM_Angle!$J$13+PM_Angle!$K$13*$C969+PM_Angle!$L$13*$B969</f>
      </c>
      <c r="W969" s="12">
        <f>IF(V969&gt;0,IF(V969&lt;=eco,alpha*fck*(1-(1-V969/eco)^n),alpha*fck),0)</f>
      </c>
      <c r="X969" s="30">
        <f>PM_Angle!$J$14+PM_Angle!$K$14*$C969+PM_Angle!$L$14*$B969</f>
      </c>
      <c r="Y969" s="12">
        <f>IF(X969&gt;0,IF(X969&lt;=eco,alpha*fck*(1-(1-X969/eco)^n),alpha*fck),0)</f>
      </c>
      <c r="Z969" s="30">
        <f>PM_Angle!$J$15+PM_Angle!$K$15*$C969+PM_Angle!$L$15*$B969</f>
      </c>
      <c r="AA969" s="12">
        <f>IF(Z969&gt;0,IF(Z969&lt;=eco,alpha*fck*(1-(1-Z969/eco)^n),alpha*fck),0)</f>
      </c>
      <c r="AB969" s="30">
        <f>PM_Angle!$J$16+PM_Angle!$K$16*$C969+PM_Angle!$L$16*$B969</f>
      </c>
      <c r="AC969" s="12">
        <f>IF(AB969&gt;0,IF(AB969&lt;=eco,alpha*fck*(1-(1-AB969/eco)^n),alpha*fck),0)</f>
      </c>
      <c r="AD969" s="30">
        <f>PM_Angle!$J$17+PM_Angle!$K$17*$C969+PM_Angle!$L$17*$B969</f>
      </c>
      <c r="AE969" s="12">
        <f>IF(AD969&gt;0,IF(AD969&lt;=eco,alpha*fck*(1-(1-AD969/eco)^n),alpha*fck),0)</f>
      </c>
      <c r="AF969" s="30">
        <f>PM_Angle!$J$18+PM_Angle!$K$18*$C969+PM_Angle!$L$18*$B969</f>
      </c>
      <c r="AG969" s="12">
        <f>IF(AF969&gt;0,IF(AF969&lt;=eco,alpha*fck*(1-(1-AF969/eco)^n),alpha*fck),0)</f>
      </c>
      <c r="AH969" s="30">
        <f>PM_Angle!$J$19+PM_Angle!$K$19*$C969+PM_Angle!$L$19*$B969</f>
      </c>
      <c r="AI969" s="12">
        <f>IF(AH969&gt;0,IF(AH969&lt;=eco,alpha*fck*(1-(1-AH969/eco)^n),alpha*fck),0)</f>
      </c>
      <c r="AJ969" s="30">
        <f>PM_Angle!$J$20+PM_Angle!$K$20*$C969+PM_Angle!$L$20*$B969</f>
      </c>
      <c r="AK969" s="12">
        <f>IF(AJ969&gt;0,IF(AJ969&lt;=eco,alpha*fck*(1-(1-AJ969/eco)^n),alpha*fck),0)</f>
      </c>
      <c r="AL969" s="30">
        <f>PM_Angle!$J$21+PM_Angle!$K$21*$C969+PM_Angle!$L$21*$B969</f>
      </c>
      <c r="AM969" s="12">
        <f>IF(AL969&gt;0,IF(AL969&lt;=eco,alpha*fck*(1-(1-AL969/eco)^n),alpha*fck),0)</f>
      </c>
      <c r="AN969" s="30">
        <f>PM_Angle!$J$22+PM_Angle!$K$22*$C969+PM_Angle!$L$22*$B969</f>
      </c>
      <c r="AO969" s="12">
        <f>IF(AN969&gt;0,IF(AN969&lt;=eco,alpha*fck*(1-(1-AN969/eco)^n),alpha*fck),0)</f>
      </c>
      <c r="AP969" s="30">
        <f>PM_Angle!$J$23+PM_Angle!$K$23*$C969+PM_Angle!$L$23*$B969</f>
      </c>
      <c r="AQ969" s="12">
        <f>IF(AP969&gt;0,IF(AP969&lt;=eco,alpha*fck*(1-(1-AP969/eco)^n),alpha*fck),0)</f>
      </c>
      <c r="AR969" s="30">
        <f>PM_Angle!$J$24+PM_Angle!$K$24*$C969+PM_Angle!$L$24*$B969</f>
      </c>
      <c r="AS969" s="12">
        <f>IF(AR969&gt;0,IF(AR969&lt;=eco,alpha*fck*(1-(1-AR969/eco)^n),alpha*fck),0)</f>
      </c>
      <c r="AT969" s="30">
        <f>PM_Angle!$J$25+PM_Angle!$K$25*$C969+PM_Angle!$L$25*$B969</f>
      </c>
      <c r="AU969" s="12">
        <f>IF(AT969&gt;0,IF(AT969&lt;=eco,alpha*fck*(1-(1-AT969/eco)^n),alpha*fck),0)</f>
      </c>
    </row>
    <row r="970" spans="1:47" x14ac:dyDescent="0.25">
      <c r="A970">
        <f>Mesh!A967</f>
      </c>
      <c r="B970" s="12">
        <f>Mesh!B967</f>
      </c>
      <c r="C970" s="12">
        <f>Mesh!C967</f>
      </c>
      <c r="D970" s="12">
        <f>Mesh!D967</f>
      </c>
      <c r="E970" s="30">
        <f>INDEX(St_e0,Det+1)+INDEX(St_kx,Det+1)*C970+INDEX(St_ky,Det+1)*B970</f>
      </c>
      <c r="F970" s="12">
        <f>IF(E970&gt;0,IF(E970&lt;=eco,alpha*fck*(1-(1-E970/eco)^n),alpha*fck),0)</f>
      </c>
      <c r="G970" s="11">
        <f>F970*D970</f>
      </c>
      <c r="H970" s="11">
        <f>G970*C970</f>
      </c>
      <c r="I970" s="11">
        <f>G970*B970</f>
      </c>
      <c r="J970" s="30">
        <f>PM_Angle!$J$7+PM_Angle!$K$7*$C970+PM_Angle!$L$7*$B970</f>
      </c>
      <c r="K970" s="12">
        <f>IF(J970&gt;0,IF(J970&lt;=eco,alpha*fck*(1-(1-J970/eco)^n),alpha*fck),0)</f>
      </c>
      <c r="L970" s="30">
        <f>PM_Angle!$J$8+PM_Angle!$K$8*$C970+PM_Angle!$L$8*$B970</f>
      </c>
      <c r="M970" s="12">
        <f>IF(L970&gt;0,IF(L970&lt;=eco,alpha*fck*(1-(1-L970/eco)^n),alpha*fck),0)</f>
      </c>
      <c r="N970" s="30">
        <f>PM_Angle!$J$9+PM_Angle!$K$9*$C970+PM_Angle!$L$9*$B970</f>
      </c>
      <c r="O970" s="12">
        <f>IF(N970&gt;0,IF(N970&lt;=eco,alpha*fck*(1-(1-N970/eco)^n),alpha*fck),0)</f>
      </c>
      <c r="P970" s="30">
        <f>PM_Angle!$J$10+PM_Angle!$K$10*$C970+PM_Angle!$L$10*$B970</f>
      </c>
      <c r="Q970" s="12">
        <f>IF(P970&gt;0,IF(P970&lt;=eco,alpha*fck*(1-(1-P970/eco)^n),alpha*fck),0)</f>
      </c>
      <c r="R970" s="30">
        <f>PM_Angle!$J$11+PM_Angle!$K$11*$C970+PM_Angle!$L$11*$B970</f>
      </c>
      <c r="S970" s="12">
        <f>IF(R970&gt;0,IF(R970&lt;=eco,alpha*fck*(1-(1-R970/eco)^n),alpha*fck),0)</f>
      </c>
      <c r="T970" s="30">
        <f>PM_Angle!$J$12+PM_Angle!$K$12*$C970+PM_Angle!$L$12*$B970</f>
      </c>
      <c r="U970" s="12">
        <f>IF(T970&gt;0,IF(T970&lt;=eco,alpha*fck*(1-(1-T970/eco)^n),alpha*fck),0)</f>
      </c>
      <c r="V970" s="30">
        <f>PM_Angle!$J$13+PM_Angle!$K$13*$C970+PM_Angle!$L$13*$B970</f>
      </c>
      <c r="W970" s="12">
        <f>IF(V970&gt;0,IF(V970&lt;=eco,alpha*fck*(1-(1-V970/eco)^n),alpha*fck),0)</f>
      </c>
      <c r="X970" s="30">
        <f>PM_Angle!$J$14+PM_Angle!$K$14*$C970+PM_Angle!$L$14*$B970</f>
      </c>
      <c r="Y970" s="12">
        <f>IF(X970&gt;0,IF(X970&lt;=eco,alpha*fck*(1-(1-X970/eco)^n),alpha*fck),0)</f>
      </c>
      <c r="Z970" s="30">
        <f>PM_Angle!$J$15+PM_Angle!$K$15*$C970+PM_Angle!$L$15*$B970</f>
      </c>
      <c r="AA970" s="12">
        <f>IF(Z970&gt;0,IF(Z970&lt;=eco,alpha*fck*(1-(1-Z970/eco)^n),alpha*fck),0)</f>
      </c>
      <c r="AB970" s="30">
        <f>PM_Angle!$J$16+PM_Angle!$K$16*$C970+PM_Angle!$L$16*$B970</f>
      </c>
      <c r="AC970" s="12">
        <f>IF(AB970&gt;0,IF(AB970&lt;=eco,alpha*fck*(1-(1-AB970/eco)^n),alpha*fck),0)</f>
      </c>
      <c r="AD970" s="30">
        <f>PM_Angle!$J$17+PM_Angle!$K$17*$C970+PM_Angle!$L$17*$B970</f>
      </c>
      <c r="AE970" s="12">
        <f>IF(AD970&gt;0,IF(AD970&lt;=eco,alpha*fck*(1-(1-AD970/eco)^n),alpha*fck),0)</f>
      </c>
      <c r="AF970" s="30">
        <f>PM_Angle!$J$18+PM_Angle!$K$18*$C970+PM_Angle!$L$18*$B970</f>
      </c>
      <c r="AG970" s="12">
        <f>IF(AF970&gt;0,IF(AF970&lt;=eco,alpha*fck*(1-(1-AF970/eco)^n),alpha*fck),0)</f>
      </c>
      <c r="AH970" s="30">
        <f>PM_Angle!$J$19+PM_Angle!$K$19*$C970+PM_Angle!$L$19*$B970</f>
      </c>
      <c r="AI970" s="12">
        <f>IF(AH970&gt;0,IF(AH970&lt;=eco,alpha*fck*(1-(1-AH970/eco)^n),alpha*fck),0)</f>
      </c>
      <c r="AJ970" s="30">
        <f>PM_Angle!$J$20+PM_Angle!$K$20*$C970+PM_Angle!$L$20*$B970</f>
      </c>
      <c r="AK970" s="12">
        <f>IF(AJ970&gt;0,IF(AJ970&lt;=eco,alpha*fck*(1-(1-AJ970/eco)^n),alpha*fck),0)</f>
      </c>
      <c r="AL970" s="30">
        <f>PM_Angle!$J$21+PM_Angle!$K$21*$C970+PM_Angle!$L$21*$B970</f>
      </c>
      <c r="AM970" s="12">
        <f>IF(AL970&gt;0,IF(AL970&lt;=eco,alpha*fck*(1-(1-AL970/eco)^n),alpha*fck),0)</f>
      </c>
      <c r="AN970" s="30">
        <f>PM_Angle!$J$22+PM_Angle!$K$22*$C970+PM_Angle!$L$22*$B970</f>
      </c>
      <c r="AO970" s="12">
        <f>IF(AN970&gt;0,IF(AN970&lt;=eco,alpha*fck*(1-(1-AN970/eco)^n),alpha*fck),0)</f>
      </c>
      <c r="AP970" s="30">
        <f>PM_Angle!$J$23+PM_Angle!$K$23*$C970+PM_Angle!$L$23*$B970</f>
      </c>
      <c r="AQ970" s="12">
        <f>IF(AP970&gt;0,IF(AP970&lt;=eco,alpha*fck*(1-(1-AP970/eco)^n),alpha*fck),0)</f>
      </c>
      <c r="AR970" s="30">
        <f>PM_Angle!$J$24+PM_Angle!$K$24*$C970+PM_Angle!$L$24*$B970</f>
      </c>
      <c r="AS970" s="12">
        <f>IF(AR970&gt;0,IF(AR970&lt;=eco,alpha*fck*(1-(1-AR970/eco)^n),alpha*fck),0)</f>
      </c>
      <c r="AT970" s="30">
        <f>PM_Angle!$J$25+PM_Angle!$K$25*$C970+PM_Angle!$L$25*$B970</f>
      </c>
      <c r="AU970" s="12">
        <f>IF(AT970&gt;0,IF(AT970&lt;=eco,alpha*fck*(1-(1-AT970/eco)^n),alpha*fck),0)</f>
      </c>
    </row>
    <row r="971" spans="1:47" x14ac:dyDescent="0.25">
      <c r="A971">
        <f>Mesh!A968</f>
      </c>
      <c r="B971" s="12">
        <f>Mesh!B968</f>
      </c>
      <c r="C971" s="12">
        <f>Mesh!C968</f>
      </c>
      <c r="D971" s="12">
        <f>Mesh!D968</f>
      </c>
      <c r="E971" s="30">
        <f>INDEX(St_e0,Det+1)+INDEX(St_kx,Det+1)*C971+INDEX(St_ky,Det+1)*B971</f>
      </c>
      <c r="F971" s="12">
        <f>IF(E971&gt;0,IF(E971&lt;=eco,alpha*fck*(1-(1-E971/eco)^n),alpha*fck),0)</f>
      </c>
      <c r="G971" s="11">
        <f>F971*D971</f>
      </c>
      <c r="H971" s="11">
        <f>G971*C971</f>
      </c>
      <c r="I971" s="11">
        <f>G971*B971</f>
      </c>
      <c r="J971" s="30">
        <f>PM_Angle!$J$7+PM_Angle!$K$7*$C971+PM_Angle!$L$7*$B971</f>
      </c>
      <c r="K971" s="12">
        <f>IF(J971&gt;0,IF(J971&lt;=eco,alpha*fck*(1-(1-J971/eco)^n),alpha*fck),0)</f>
      </c>
      <c r="L971" s="30">
        <f>PM_Angle!$J$8+PM_Angle!$K$8*$C971+PM_Angle!$L$8*$B971</f>
      </c>
      <c r="M971" s="12">
        <f>IF(L971&gt;0,IF(L971&lt;=eco,alpha*fck*(1-(1-L971/eco)^n),alpha*fck),0)</f>
      </c>
      <c r="N971" s="30">
        <f>PM_Angle!$J$9+PM_Angle!$K$9*$C971+PM_Angle!$L$9*$B971</f>
      </c>
      <c r="O971" s="12">
        <f>IF(N971&gt;0,IF(N971&lt;=eco,alpha*fck*(1-(1-N971/eco)^n),alpha*fck),0)</f>
      </c>
      <c r="P971" s="30">
        <f>PM_Angle!$J$10+PM_Angle!$K$10*$C971+PM_Angle!$L$10*$B971</f>
      </c>
      <c r="Q971" s="12">
        <f>IF(P971&gt;0,IF(P971&lt;=eco,alpha*fck*(1-(1-P971/eco)^n),alpha*fck),0)</f>
      </c>
      <c r="R971" s="30">
        <f>PM_Angle!$J$11+PM_Angle!$K$11*$C971+PM_Angle!$L$11*$B971</f>
      </c>
      <c r="S971" s="12">
        <f>IF(R971&gt;0,IF(R971&lt;=eco,alpha*fck*(1-(1-R971/eco)^n),alpha*fck),0)</f>
      </c>
      <c r="T971" s="30">
        <f>PM_Angle!$J$12+PM_Angle!$K$12*$C971+PM_Angle!$L$12*$B971</f>
      </c>
      <c r="U971" s="12">
        <f>IF(T971&gt;0,IF(T971&lt;=eco,alpha*fck*(1-(1-T971/eco)^n),alpha*fck),0)</f>
      </c>
      <c r="V971" s="30">
        <f>PM_Angle!$J$13+PM_Angle!$K$13*$C971+PM_Angle!$L$13*$B971</f>
      </c>
      <c r="W971" s="12">
        <f>IF(V971&gt;0,IF(V971&lt;=eco,alpha*fck*(1-(1-V971/eco)^n),alpha*fck),0)</f>
      </c>
      <c r="X971" s="30">
        <f>PM_Angle!$J$14+PM_Angle!$K$14*$C971+PM_Angle!$L$14*$B971</f>
      </c>
      <c r="Y971" s="12">
        <f>IF(X971&gt;0,IF(X971&lt;=eco,alpha*fck*(1-(1-X971/eco)^n),alpha*fck),0)</f>
      </c>
      <c r="Z971" s="30">
        <f>PM_Angle!$J$15+PM_Angle!$K$15*$C971+PM_Angle!$L$15*$B971</f>
      </c>
      <c r="AA971" s="12">
        <f>IF(Z971&gt;0,IF(Z971&lt;=eco,alpha*fck*(1-(1-Z971/eco)^n),alpha*fck),0)</f>
      </c>
      <c r="AB971" s="30">
        <f>PM_Angle!$J$16+PM_Angle!$K$16*$C971+PM_Angle!$L$16*$B971</f>
      </c>
      <c r="AC971" s="12">
        <f>IF(AB971&gt;0,IF(AB971&lt;=eco,alpha*fck*(1-(1-AB971/eco)^n),alpha*fck),0)</f>
      </c>
      <c r="AD971" s="30">
        <f>PM_Angle!$J$17+PM_Angle!$K$17*$C971+PM_Angle!$L$17*$B971</f>
      </c>
      <c r="AE971" s="12">
        <f>IF(AD971&gt;0,IF(AD971&lt;=eco,alpha*fck*(1-(1-AD971/eco)^n),alpha*fck),0)</f>
      </c>
      <c r="AF971" s="30">
        <f>PM_Angle!$J$18+PM_Angle!$K$18*$C971+PM_Angle!$L$18*$B971</f>
      </c>
      <c r="AG971" s="12">
        <f>IF(AF971&gt;0,IF(AF971&lt;=eco,alpha*fck*(1-(1-AF971/eco)^n),alpha*fck),0)</f>
      </c>
      <c r="AH971" s="30">
        <f>PM_Angle!$J$19+PM_Angle!$K$19*$C971+PM_Angle!$L$19*$B971</f>
      </c>
      <c r="AI971" s="12">
        <f>IF(AH971&gt;0,IF(AH971&lt;=eco,alpha*fck*(1-(1-AH971/eco)^n),alpha*fck),0)</f>
      </c>
      <c r="AJ971" s="30">
        <f>PM_Angle!$J$20+PM_Angle!$K$20*$C971+PM_Angle!$L$20*$B971</f>
      </c>
      <c r="AK971" s="12">
        <f>IF(AJ971&gt;0,IF(AJ971&lt;=eco,alpha*fck*(1-(1-AJ971/eco)^n),alpha*fck),0)</f>
      </c>
      <c r="AL971" s="30">
        <f>PM_Angle!$J$21+PM_Angle!$K$21*$C971+PM_Angle!$L$21*$B971</f>
      </c>
      <c r="AM971" s="12">
        <f>IF(AL971&gt;0,IF(AL971&lt;=eco,alpha*fck*(1-(1-AL971/eco)^n),alpha*fck),0)</f>
      </c>
      <c r="AN971" s="30">
        <f>PM_Angle!$J$22+PM_Angle!$K$22*$C971+PM_Angle!$L$22*$B971</f>
      </c>
      <c r="AO971" s="12">
        <f>IF(AN971&gt;0,IF(AN971&lt;=eco,alpha*fck*(1-(1-AN971/eco)^n),alpha*fck),0)</f>
      </c>
      <c r="AP971" s="30">
        <f>PM_Angle!$J$23+PM_Angle!$K$23*$C971+PM_Angle!$L$23*$B971</f>
      </c>
      <c r="AQ971" s="12">
        <f>IF(AP971&gt;0,IF(AP971&lt;=eco,alpha*fck*(1-(1-AP971/eco)^n),alpha*fck),0)</f>
      </c>
      <c r="AR971" s="30">
        <f>PM_Angle!$J$24+PM_Angle!$K$24*$C971+PM_Angle!$L$24*$B971</f>
      </c>
      <c r="AS971" s="12">
        <f>IF(AR971&gt;0,IF(AR971&lt;=eco,alpha*fck*(1-(1-AR971/eco)^n),alpha*fck),0)</f>
      </c>
      <c r="AT971" s="30">
        <f>PM_Angle!$J$25+PM_Angle!$K$25*$C971+PM_Angle!$L$25*$B971</f>
      </c>
      <c r="AU971" s="12">
        <f>IF(AT971&gt;0,IF(AT971&lt;=eco,alpha*fck*(1-(1-AT971/eco)^n),alpha*fck),0)</f>
      </c>
    </row>
    <row r="972" spans="1:47" x14ac:dyDescent="0.25">
      <c r="A972">
        <f>Mesh!A969</f>
      </c>
      <c r="B972" s="12">
        <f>Mesh!B969</f>
      </c>
      <c r="C972" s="12">
        <f>Mesh!C969</f>
      </c>
      <c r="D972" s="12">
        <f>Mesh!D969</f>
      </c>
      <c r="E972" s="30">
        <f>INDEX(St_e0,Det+1)+INDEX(St_kx,Det+1)*C972+INDEX(St_ky,Det+1)*B972</f>
      </c>
      <c r="F972" s="12">
        <f>IF(E972&gt;0,IF(E972&lt;=eco,alpha*fck*(1-(1-E972/eco)^n),alpha*fck),0)</f>
      </c>
      <c r="G972" s="11">
        <f>F972*D972</f>
      </c>
      <c r="H972" s="11">
        <f>G972*C972</f>
      </c>
      <c r="I972" s="11">
        <f>G972*B972</f>
      </c>
      <c r="J972" s="30">
        <f>PM_Angle!$J$7+PM_Angle!$K$7*$C972+PM_Angle!$L$7*$B972</f>
      </c>
      <c r="K972" s="12">
        <f>IF(J972&gt;0,IF(J972&lt;=eco,alpha*fck*(1-(1-J972/eco)^n),alpha*fck),0)</f>
      </c>
      <c r="L972" s="30">
        <f>PM_Angle!$J$8+PM_Angle!$K$8*$C972+PM_Angle!$L$8*$B972</f>
      </c>
      <c r="M972" s="12">
        <f>IF(L972&gt;0,IF(L972&lt;=eco,alpha*fck*(1-(1-L972/eco)^n),alpha*fck),0)</f>
      </c>
      <c r="N972" s="30">
        <f>PM_Angle!$J$9+PM_Angle!$K$9*$C972+PM_Angle!$L$9*$B972</f>
      </c>
      <c r="O972" s="12">
        <f>IF(N972&gt;0,IF(N972&lt;=eco,alpha*fck*(1-(1-N972/eco)^n),alpha*fck),0)</f>
      </c>
      <c r="P972" s="30">
        <f>PM_Angle!$J$10+PM_Angle!$K$10*$C972+PM_Angle!$L$10*$B972</f>
      </c>
      <c r="Q972" s="12">
        <f>IF(P972&gt;0,IF(P972&lt;=eco,alpha*fck*(1-(1-P972/eco)^n),alpha*fck),0)</f>
      </c>
      <c r="R972" s="30">
        <f>PM_Angle!$J$11+PM_Angle!$K$11*$C972+PM_Angle!$L$11*$B972</f>
      </c>
      <c r="S972" s="12">
        <f>IF(R972&gt;0,IF(R972&lt;=eco,alpha*fck*(1-(1-R972/eco)^n),alpha*fck),0)</f>
      </c>
      <c r="T972" s="30">
        <f>PM_Angle!$J$12+PM_Angle!$K$12*$C972+PM_Angle!$L$12*$B972</f>
      </c>
      <c r="U972" s="12">
        <f>IF(T972&gt;0,IF(T972&lt;=eco,alpha*fck*(1-(1-T972/eco)^n),alpha*fck),0)</f>
      </c>
      <c r="V972" s="30">
        <f>PM_Angle!$J$13+PM_Angle!$K$13*$C972+PM_Angle!$L$13*$B972</f>
      </c>
      <c r="W972" s="12">
        <f>IF(V972&gt;0,IF(V972&lt;=eco,alpha*fck*(1-(1-V972/eco)^n),alpha*fck),0)</f>
      </c>
      <c r="X972" s="30">
        <f>PM_Angle!$J$14+PM_Angle!$K$14*$C972+PM_Angle!$L$14*$B972</f>
      </c>
      <c r="Y972" s="12">
        <f>IF(X972&gt;0,IF(X972&lt;=eco,alpha*fck*(1-(1-X972/eco)^n),alpha*fck),0)</f>
      </c>
      <c r="Z972" s="30">
        <f>PM_Angle!$J$15+PM_Angle!$K$15*$C972+PM_Angle!$L$15*$B972</f>
      </c>
      <c r="AA972" s="12">
        <f>IF(Z972&gt;0,IF(Z972&lt;=eco,alpha*fck*(1-(1-Z972/eco)^n),alpha*fck),0)</f>
      </c>
      <c r="AB972" s="30">
        <f>PM_Angle!$J$16+PM_Angle!$K$16*$C972+PM_Angle!$L$16*$B972</f>
      </c>
      <c r="AC972" s="12">
        <f>IF(AB972&gt;0,IF(AB972&lt;=eco,alpha*fck*(1-(1-AB972/eco)^n),alpha*fck),0)</f>
      </c>
      <c r="AD972" s="30">
        <f>PM_Angle!$J$17+PM_Angle!$K$17*$C972+PM_Angle!$L$17*$B972</f>
      </c>
      <c r="AE972" s="12">
        <f>IF(AD972&gt;0,IF(AD972&lt;=eco,alpha*fck*(1-(1-AD972/eco)^n),alpha*fck),0)</f>
      </c>
      <c r="AF972" s="30">
        <f>PM_Angle!$J$18+PM_Angle!$K$18*$C972+PM_Angle!$L$18*$B972</f>
      </c>
      <c r="AG972" s="12">
        <f>IF(AF972&gt;0,IF(AF972&lt;=eco,alpha*fck*(1-(1-AF972/eco)^n),alpha*fck),0)</f>
      </c>
      <c r="AH972" s="30">
        <f>PM_Angle!$J$19+PM_Angle!$K$19*$C972+PM_Angle!$L$19*$B972</f>
      </c>
      <c r="AI972" s="12">
        <f>IF(AH972&gt;0,IF(AH972&lt;=eco,alpha*fck*(1-(1-AH972/eco)^n),alpha*fck),0)</f>
      </c>
      <c r="AJ972" s="30">
        <f>PM_Angle!$J$20+PM_Angle!$K$20*$C972+PM_Angle!$L$20*$B972</f>
      </c>
      <c r="AK972" s="12">
        <f>IF(AJ972&gt;0,IF(AJ972&lt;=eco,alpha*fck*(1-(1-AJ972/eco)^n),alpha*fck),0)</f>
      </c>
      <c r="AL972" s="30">
        <f>PM_Angle!$J$21+PM_Angle!$K$21*$C972+PM_Angle!$L$21*$B972</f>
      </c>
      <c r="AM972" s="12">
        <f>IF(AL972&gt;0,IF(AL972&lt;=eco,alpha*fck*(1-(1-AL972/eco)^n),alpha*fck),0)</f>
      </c>
      <c r="AN972" s="30">
        <f>PM_Angle!$J$22+PM_Angle!$K$22*$C972+PM_Angle!$L$22*$B972</f>
      </c>
      <c r="AO972" s="12">
        <f>IF(AN972&gt;0,IF(AN972&lt;=eco,alpha*fck*(1-(1-AN972/eco)^n),alpha*fck),0)</f>
      </c>
      <c r="AP972" s="30">
        <f>PM_Angle!$J$23+PM_Angle!$K$23*$C972+PM_Angle!$L$23*$B972</f>
      </c>
      <c r="AQ972" s="12">
        <f>IF(AP972&gt;0,IF(AP972&lt;=eco,alpha*fck*(1-(1-AP972/eco)^n),alpha*fck),0)</f>
      </c>
      <c r="AR972" s="30">
        <f>PM_Angle!$J$24+PM_Angle!$K$24*$C972+PM_Angle!$L$24*$B972</f>
      </c>
      <c r="AS972" s="12">
        <f>IF(AR972&gt;0,IF(AR972&lt;=eco,alpha*fck*(1-(1-AR972/eco)^n),alpha*fck),0)</f>
      </c>
      <c r="AT972" s="30">
        <f>PM_Angle!$J$25+PM_Angle!$K$25*$C972+PM_Angle!$L$25*$B972</f>
      </c>
      <c r="AU972" s="12">
        <f>IF(AT972&gt;0,IF(AT972&lt;=eco,alpha*fck*(1-(1-AT972/eco)^n),alpha*fck),0)</f>
      </c>
    </row>
    <row r="973" spans="1:47" x14ac:dyDescent="0.25">
      <c r="A973">
        <f>Mesh!A970</f>
      </c>
      <c r="B973" s="12">
        <f>Mesh!B970</f>
      </c>
      <c r="C973" s="12">
        <f>Mesh!C970</f>
      </c>
      <c r="D973" s="12">
        <f>Mesh!D970</f>
      </c>
      <c r="E973" s="30">
        <f>INDEX(St_e0,Det+1)+INDEX(St_kx,Det+1)*C973+INDEX(St_ky,Det+1)*B973</f>
      </c>
      <c r="F973" s="12">
        <f>IF(E973&gt;0,IF(E973&lt;=eco,alpha*fck*(1-(1-E973/eco)^n),alpha*fck),0)</f>
      </c>
      <c r="G973" s="11">
        <f>F973*D973</f>
      </c>
      <c r="H973" s="11">
        <f>G973*C973</f>
      </c>
      <c r="I973" s="11">
        <f>G973*B973</f>
      </c>
      <c r="J973" s="30">
        <f>PM_Angle!$J$7+PM_Angle!$K$7*$C973+PM_Angle!$L$7*$B973</f>
      </c>
      <c r="K973" s="12">
        <f>IF(J973&gt;0,IF(J973&lt;=eco,alpha*fck*(1-(1-J973/eco)^n),alpha*fck),0)</f>
      </c>
      <c r="L973" s="30">
        <f>PM_Angle!$J$8+PM_Angle!$K$8*$C973+PM_Angle!$L$8*$B973</f>
      </c>
      <c r="M973" s="12">
        <f>IF(L973&gt;0,IF(L973&lt;=eco,alpha*fck*(1-(1-L973/eco)^n),alpha*fck),0)</f>
      </c>
      <c r="N973" s="30">
        <f>PM_Angle!$J$9+PM_Angle!$K$9*$C973+PM_Angle!$L$9*$B973</f>
      </c>
      <c r="O973" s="12">
        <f>IF(N973&gt;0,IF(N973&lt;=eco,alpha*fck*(1-(1-N973/eco)^n),alpha*fck),0)</f>
      </c>
      <c r="P973" s="30">
        <f>PM_Angle!$J$10+PM_Angle!$K$10*$C973+PM_Angle!$L$10*$B973</f>
      </c>
      <c r="Q973" s="12">
        <f>IF(P973&gt;0,IF(P973&lt;=eco,alpha*fck*(1-(1-P973/eco)^n),alpha*fck),0)</f>
      </c>
      <c r="R973" s="30">
        <f>PM_Angle!$J$11+PM_Angle!$K$11*$C973+PM_Angle!$L$11*$B973</f>
      </c>
      <c r="S973" s="12">
        <f>IF(R973&gt;0,IF(R973&lt;=eco,alpha*fck*(1-(1-R973/eco)^n),alpha*fck),0)</f>
      </c>
      <c r="T973" s="30">
        <f>PM_Angle!$J$12+PM_Angle!$K$12*$C973+PM_Angle!$L$12*$B973</f>
      </c>
      <c r="U973" s="12">
        <f>IF(T973&gt;0,IF(T973&lt;=eco,alpha*fck*(1-(1-T973/eco)^n),alpha*fck),0)</f>
      </c>
      <c r="V973" s="30">
        <f>PM_Angle!$J$13+PM_Angle!$K$13*$C973+PM_Angle!$L$13*$B973</f>
      </c>
      <c r="W973" s="12">
        <f>IF(V973&gt;0,IF(V973&lt;=eco,alpha*fck*(1-(1-V973/eco)^n),alpha*fck),0)</f>
      </c>
      <c r="X973" s="30">
        <f>PM_Angle!$J$14+PM_Angle!$K$14*$C973+PM_Angle!$L$14*$B973</f>
      </c>
      <c r="Y973" s="12">
        <f>IF(X973&gt;0,IF(X973&lt;=eco,alpha*fck*(1-(1-X973/eco)^n),alpha*fck),0)</f>
      </c>
      <c r="Z973" s="30">
        <f>PM_Angle!$J$15+PM_Angle!$K$15*$C973+PM_Angle!$L$15*$B973</f>
      </c>
      <c r="AA973" s="12">
        <f>IF(Z973&gt;0,IF(Z973&lt;=eco,alpha*fck*(1-(1-Z973/eco)^n),alpha*fck),0)</f>
      </c>
      <c r="AB973" s="30">
        <f>PM_Angle!$J$16+PM_Angle!$K$16*$C973+PM_Angle!$L$16*$B973</f>
      </c>
      <c r="AC973" s="12">
        <f>IF(AB973&gt;0,IF(AB973&lt;=eco,alpha*fck*(1-(1-AB973/eco)^n),alpha*fck),0)</f>
      </c>
      <c r="AD973" s="30">
        <f>PM_Angle!$J$17+PM_Angle!$K$17*$C973+PM_Angle!$L$17*$B973</f>
      </c>
      <c r="AE973" s="12">
        <f>IF(AD973&gt;0,IF(AD973&lt;=eco,alpha*fck*(1-(1-AD973/eco)^n),alpha*fck),0)</f>
      </c>
      <c r="AF973" s="30">
        <f>PM_Angle!$J$18+PM_Angle!$K$18*$C973+PM_Angle!$L$18*$B973</f>
      </c>
      <c r="AG973" s="12">
        <f>IF(AF973&gt;0,IF(AF973&lt;=eco,alpha*fck*(1-(1-AF973/eco)^n),alpha*fck),0)</f>
      </c>
      <c r="AH973" s="30">
        <f>PM_Angle!$J$19+PM_Angle!$K$19*$C973+PM_Angle!$L$19*$B973</f>
      </c>
      <c r="AI973" s="12">
        <f>IF(AH973&gt;0,IF(AH973&lt;=eco,alpha*fck*(1-(1-AH973/eco)^n),alpha*fck),0)</f>
      </c>
      <c r="AJ973" s="30">
        <f>PM_Angle!$J$20+PM_Angle!$K$20*$C973+PM_Angle!$L$20*$B973</f>
      </c>
      <c r="AK973" s="12">
        <f>IF(AJ973&gt;0,IF(AJ973&lt;=eco,alpha*fck*(1-(1-AJ973/eco)^n),alpha*fck),0)</f>
      </c>
      <c r="AL973" s="30">
        <f>PM_Angle!$J$21+PM_Angle!$K$21*$C973+PM_Angle!$L$21*$B973</f>
      </c>
      <c r="AM973" s="12">
        <f>IF(AL973&gt;0,IF(AL973&lt;=eco,alpha*fck*(1-(1-AL973/eco)^n),alpha*fck),0)</f>
      </c>
      <c r="AN973" s="30">
        <f>PM_Angle!$J$22+PM_Angle!$K$22*$C973+PM_Angle!$L$22*$B973</f>
      </c>
      <c r="AO973" s="12">
        <f>IF(AN973&gt;0,IF(AN973&lt;=eco,alpha*fck*(1-(1-AN973/eco)^n),alpha*fck),0)</f>
      </c>
      <c r="AP973" s="30">
        <f>PM_Angle!$J$23+PM_Angle!$K$23*$C973+PM_Angle!$L$23*$B973</f>
      </c>
      <c r="AQ973" s="12">
        <f>IF(AP973&gt;0,IF(AP973&lt;=eco,alpha*fck*(1-(1-AP973/eco)^n),alpha*fck),0)</f>
      </c>
      <c r="AR973" s="30">
        <f>PM_Angle!$J$24+PM_Angle!$K$24*$C973+PM_Angle!$L$24*$B973</f>
      </c>
      <c r="AS973" s="12">
        <f>IF(AR973&gt;0,IF(AR973&lt;=eco,alpha*fck*(1-(1-AR973/eco)^n),alpha*fck),0)</f>
      </c>
      <c r="AT973" s="30">
        <f>PM_Angle!$J$25+PM_Angle!$K$25*$C973+PM_Angle!$L$25*$B973</f>
      </c>
      <c r="AU973" s="12">
        <f>IF(AT973&gt;0,IF(AT973&lt;=eco,alpha*fck*(1-(1-AT973/eco)^n),alpha*fck),0)</f>
      </c>
    </row>
    <row r="974" spans="1:47" x14ac:dyDescent="0.25">
      <c r="A974">
        <f>Mesh!A971</f>
      </c>
      <c r="B974" s="12">
        <f>Mesh!B971</f>
      </c>
      <c r="C974" s="12">
        <f>Mesh!C971</f>
      </c>
      <c r="D974" s="12">
        <f>Mesh!D971</f>
      </c>
      <c r="E974" s="30">
        <f>INDEX(St_e0,Det+1)+INDEX(St_kx,Det+1)*C974+INDEX(St_ky,Det+1)*B974</f>
      </c>
      <c r="F974" s="12">
        <f>IF(E974&gt;0,IF(E974&lt;=eco,alpha*fck*(1-(1-E974/eco)^n),alpha*fck),0)</f>
      </c>
      <c r="G974" s="11">
        <f>F974*D974</f>
      </c>
      <c r="H974" s="11">
        <f>G974*C974</f>
      </c>
      <c r="I974" s="11">
        <f>G974*B974</f>
      </c>
      <c r="J974" s="30">
        <f>PM_Angle!$J$7+PM_Angle!$K$7*$C974+PM_Angle!$L$7*$B974</f>
      </c>
      <c r="K974" s="12">
        <f>IF(J974&gt;0,IF(J974&lt;=eco,alpha*fck*(1-(1-J974/eco)^n),alpha*fck),0)</f>
      </c>
      <c r="L974" s="30">
        <f>PM_Angle!$J$8+PM_Angle!$K$8*$C974+PM_Angle!$L$8*$B974</f>
      </c>
      <c r="M974" s="12">
        <f>IF(L974&gt;0,IF(L974&lt;=eco,alpha*fck*(1-(1-L974/eco)^n),alpha*fck),0)</f>
      </c>
      <c r="N974" s="30">
        <f>PM_Angle!$J$9+PM_Angle!$K$9*$C974+PM_Angle!$L$9*$B974</f>
      </c>
      <c r="O974" s="12">
        <f>IF(N974&gt;0,IF(N974&lt;=eco,alpha*fck*(1-(1-N974/eco)^n),alpha*fck),0)</f>
      </c>
      <c r="P974" s="30">
        <f>PM_Angle!$J$10+PM_Angle!$K$10*$C974+PM_Angle!$L$10*$B974</f>
      </c>
      <c r="Q974" s="12">
        <f>IF(P974&gt;0,IF(P974&lt;=eco,alpha*fck*(1-(1-P974/eco)^n),alpha*fck),0)</f>
      </c>
      <c r="R974" s="30">
        <f>PM_Angle!$J$11+PM_Angle!$K$11*$C974+PM_Angle!$L$11*$B974</f>
      </c>
      <c r="S974" s="12">
        <f>IF(R974&gt;0,IF(R974&lt;=eco,alpha*fck*(1-(1-R974/eco)^n),alpha*fck),0)</f>
      </c>
      <c r="T974" s="30">
        <f>PM_Angle!$J$12+PM_Angle!$K$12*$C974+PM_Angle!$L$12*$B974</f>
      </c>
      <c r="U974" s="12">
        <f>IF(T974&gt;0,IF(T974&lt;=eco,alpha*fck*(1-(1-T974/eco)^n),alpha*fck),0)</f>
      </c>
      <c r="V974" s="30">
        <f>PM_Angle!$J$13+PM_Angle!$K$13*$C974+PM_Angle!$L$13*$B974</f>
      </c>
      <c r="W974" s="12">
        <f>IF(V974&gt;0,IF(V974&lt;=eco,alpha*fck*(1-(1-V974/eco)^n),alpha*fck),0)</f>
      </c>
      <c r="X974" s="30">
        <f>PM_Angle!$J$14+PM_Angle!$K$14*$C974+PM_Angle!$L$14*$B974</f>
      </c>
      <c r="Y974" s="12">
        <f>IF(X974&gt;0,IF(X974&lt;=eco,alpha*fck*(1-(1-X974/eco)^n),alpha*fck),0)</f>
      </c>
      <c r="Z974" s="30">
        <f>PM_Angle!$J$15+PM_Angle!$K$15*$C974+PM_Angle!$L$15*$B974</f>
      </c>
      <c r="AA974" s="12">
        <f>IF(Z974&gt;0,IF(Z974&lt;=eco,alpha*fck*(1-(1-Z974/eco)^n),alpha*fck),0)</f>
      </c>
      <c r="AB974" s="30">
        <f>PM_Angle!$J$16+PM_Angle!$K$16*$C974+PM_Angle!$L$16*$B974</f>
      </c>
      <c r="AC974" s="12">
        <f>IF(AB974&gt;0,IF(AB974&lt;=eco,alpha*fck*(1-(1-AB974/eco)^n),alpha*fck),0)</f>
      </c>
      <c r="AD974" s="30">
        <f>PM_Angle!$J$17+PM_Angle!$K$17*$C974+PM_Angle!$L$17*$B974</f>
      </c>
      <c r="AE974" s="12">
        <f>IF(AD974&gt;0,IF(AD974&lt;=eco,alpha*fck*(1-(1-AD974/eco)^n),alpha*fck),0)</f>
      </c>
      <c r="AF974" s="30">
        <f>PM_Angle!$J$18+PM_Angle!$K$18*$C974+PM_Angle!$L$18*$B974</f>
      </c>
      <c r="AG974" s="12">
        <f>IF(AF974&gt;0,IF(AF974&lt;=eco,alpha*fck*(1-(1-AF974/eco)^n),alpha*fck),0)</f>
      </c>
      <c r="AH974" s="30">
        <f>PM_Angle!$J$19+PM_Angle!$K$19*$C974+PM_Angle!$L$19*$B974</f>
      </c>
      <c r="AI974" s="12">
        <f>IF(AH974&gt;0,IF(AH974&lt;=eco,alpha*fck*(1-(1-AH974/eco)^n),alpha*fck),0)</f>
      </c>
      <c r="AJ974" s="30">
        <f>PM_Angle!$J$20+PM_Angle!$K$20*$C974+PM_Angle!$L$20*$B974</f>
      </c>
      <c r="AK974" s="12">
        <f>IF(AJ974&gt;0,IF(AJ974&lt;=eco,alpha*fck*(1-(1-AJ974/eco)^n),alpha*fck),0)</f>
      </c>
      <c r="AL974" s="30">
        <f>PM_Angle!$J$21+PM_Angle!$K$21*$C974+PM_Angle!$L$21*$B974</f>
      </c>
      <c r="AM974" s="12">
        <f>IF(AL974&gt;0,IF(AL974&lt;=eco,alpha*fck*(1-(1-AL974/eco)^n),alpha*fck),0)</f>
      </c>
      <c r="AN974" s="30">
        <f>PM_Angle!$J$22+PM_Angle!$K$22*$C974+PM_Angle!$L$22*$B974</f>
      </c>
      <c r="AO974" s="12">
        <f>IF(AN974&gt;0,IF(AN974&lt;=eco,alpha*fck*(1-(1-AN974/eco)^n),alpha*fck),0)</f>
      </c>
      <c r="AP974" s="30">
        <f>PM_Angle!$J$23+PM_Angle!$K$23*$C974+PM_Angle!$L$23*$B974</f>
      </c>
      <c r="AQ974" s="12">
        <f>IF(AP974&gt;0,IF(AP974&lt;=eco,alpha*fck*(1-(1-AP974/eco)^n),alpha*fck),0)</f>
      </c>
      <c r="AR974" s="30">
        <f>PM_Angle!$J$24+PM_Angle!$K$24*$C974+PM_Angle!$L$24*$B974</f>
      </c>
      <c r="AS974" s="12">
        <f>IF(AR974&gt;0,IF(AR974&lt;=eco,alpha*fck*(1-(1-AR974/eco)^n),alpha*fck),0)</f>
      </c>
      <c r="AT974" s="30">
        <f>PM_Angle!$J$25+PM_Angle!$K$25*$C974+PM_Angle!$L$25*$B974</f>
      </c>
      <c r="AU974" s="12">
        <f>IF(AT974&gt;0,IF(AT974&lt;=eco,alpha*fck*(1-(1-AT974/eco)^n),alpha*fck),0)</f>
      </c>
    </row>
    <row r="975" spans="1:47" x14ac:dyDescent="0.25">
      <c r="A975">
        <f>Mesh!A972</f>
      </c>
      <c r="B975" s="12">
        <f>Mesh!B972</f>
      </c>
      <c r="C975" s="12">
        <f>Mesh!C972</f>
      </c>
      <c r="D975" s="12">
        <f>Mesh!D972</f>
      </c>
      <c r="E975" s="30">
        <f>INDEX(St_e0,Det+1)+INDEX(St_kx,Det+1)*C975+INDEX(St_ky,Det+1)*B975</f>
      </c>
      <c r="F975" s="12">
        <f>IF(E975&gt;0,IF(E975&lt;=eco,alpha*fck*(1-(1-E975/eco)^n),alpha*fck),0)</f>
      </c>
      <c r="G975" s="11">
        <f>F975*D975</f>
      </c>
      <c r="H975" s="11">
        <f>G975*C975</f>
      </c>
      <c r="I975" s="11">
        <f>G975*B975</f>
      </c>
      <c r="J975" s="30">
        <f>PM_Angle!$J$7+PM_Angle!$K$7*$C975+PM_Angle!$L$7*$B975</f>
      </c>
      <c r="K975" s="12">
        <f>IF(J975&gt;0,IF(J975&lt;=eco,alpha*fck*(1-(1-J975/eco)^n),alpha*fck),0)</f>
      </c>
      <c r="L975" s="30">
        <f>PM_Angle!$J$8+PM_Angle!$K$8*$C975+PM_Angle!$L$8*$B975</f>
      </c>
      <c r="M975" s="12">
        <f>IF(L975&gt;0,IF(L975&lt;=eco,alpha*fck*(1-(1-L975/eco)^n),alpha*fck),0)</f>
      </c>
      <c r="N975" s="30">
        <f>PM_Angle!$J$9+PM_Angle!$K$9*$C975+PM_Angle!$L$9*$B975</f>
      </c>
      <c r="O975" s="12">
        <f>IF(N975&gt;0,IF(N975&lt;=eco,alpha*fck*(1-(1-N975/eco)^n),alpha*fck),0)</f>
      </c>
      <c r="P975" s="30">
        <f>PM_Angle!$J$10+PM_Angle!$K$10*$C975+PM_Angle!$L$10*$B975</f>
      </c>
      <c r="Q975" s="12">
        <f>IF(P975&gt;0,IF(P975&lt;=eco,alpha*fck*(1-(1-P975/eco)^n),alpha*fck),0)</f>
      </c>
      <c r="R975" s="30">
        <f>PM_Angle!$J$11+PM_Angle!$K$11*$C975+PM_Angle!$L$11*$B975</f>
      </c>
      <c r="S975" s="12">
        <f>IF(R975&gt;0,IF(R975&lt;=eco,alpha*fck*(1-(1-R975/eco)^n),alpha*fck),0)</f>
      </c>
      <c r="T975" s="30">
        <f>PM_Angle!$J$12+PM_Angle!$K$12*$C975+PM_Angle!$L$12*$B975</f>
      </c>
      <c r="U975" s="12">
        <f>IF(T975&gt;0,IF(T975&lt;=eco,alpha*fck*(1-(1-T975/eco)^n),alpha*fck),0)</f>
      </c>
      <c r="V975" s="30">
        <f>PM_Angle!$J$13+PM_Angle!$K$13*$C975+PM_Angle!$L$13*$B975</f>
      </c>
      <c r="W975" s="12">
        <f>IF(V975&gt;0,IF(V975&lt;=eco,alpha*fck*(1-(1-V975/eco)^n),alpha*fck),0)</f>
      </c>
      <c r="X975" s="30">
        <f>PM_Angle!$J$14+PM_Angle!$K$14*$C975+PM_Angle!$L$14*$B975</f>
      </c>
      <c r="Y975" s="12">
        <f>IF(X975&gt;0,IF(X975&lt;=eco,alpha*fck*(1-(1-X975/eco)^n),alpha*fck),0)</f>
      </c>
      <c r="Z975" s="30">
        <f>PM_Angle!$J$15+PM_Angle!$K$15*$C975+PM_Angle!$L$15*$B975</f>
      </c>
      <c r="AA975" s="12">
        <f>IF(Z975&gt;0,IF(Z975&lt;=eco,alpha*fck*(1-(1-Z975/eco)^n),alpha*fck),0)</f>
      </c>
      <c r="AB975" s="30">
        <f>PM_Angle!$J$16+PM_Angle!$K$16*$C975+PM_Angle!$L$16*$B975</f>
      </c>
      <c r="AC975" s="12">
        <f>IF(AB975&gt;0,IF(AB975&lt;=eco,alpha*fck*(1-(1-AB975/eco)^n),alpha*fck),0)</f>
      </c>
      <c r="AD975" s="30">
        <f>PM_Angle!$J$17+PM_Angle!$K$17*$C975+PM_Angle!$L$17*$B975</f>
      </c>
      <c r="AE975" s="12">
        <f>IF(AD975&gt;0,IF(AD975&lt;=eco,alpha*fck*(1-(1-AD975/eco)^n),alpha*fck),0)</f>
      </c>
      <c r="AF975" s="30">
        <f>PM_Angle!$J$18+PM_Angle!$K$18*$C975+PM_Angle!$L$18*$B975</f>
      </c>
      <c r="AG975" s="12">
        <f>IF(AF975&gt;0,IF(AF975&lt;=eco,alpha*fck*(1-(1-AF975/eco)^n),alpha*fck),0)</f>
      </c>
      <c r="AH975" s="30">
        <f>PM_Angle!$J$19+PM_Angle!$K$19*$C975+PM_Angle!$L$19*$B975</f>
      </c>
      <c r="AI975" s="12">
        <f>IF(AH975&gt;0,IF(AH975&lt;=eco,alpha*fck*(1-(1-AH975/eco)^n),alpha*fck),0)</f>
      </c>
      <c r="AJ975" s="30">
        <f>PM_Angle!$J$20+PM_Angle!$K$20*$C975+PM_Angle!$L$20*$B975</f>
      </c>
      <c r="AK975" s="12">
        <f>IF(AJ975&gt;0,IF(AJ975&lt;=eco,alpha*fck*(1-(1-AJ975/eco)^n),alpha*fck),0)</f>
      </c>
      <c r="AL975" s="30">
        <f>PM_Angle!$J$21+PM_Angle!$K$21*$C975+PM_Angle!$L$21*$B975</f>
      </c>
      <c r="AM975" s="12">
        <f>IF(AL975&gt;0,IF(AL975&lt;=eco,alpha*fck*(1-(1-AL975/eco)^n),alpha*fck),0)</f>
      </c>
      <c r="AN975" s="30">
        <f>PM_Angle!$J$22+PM_Angle!$K$22*$C975+PM_Angle!$L$22*$B975</f>
      </c>
      <c r="AO975" s="12">
        <f>IF(AN975&gt;0,IF(AN975&lt;=eco,alpha*fck*(1-(1-AN975/eco)^n),alpha*fck),0)</f>
      </c>
      <c r="AP975" s="30">
        <f>PM_Angle!$J$23+PM_Angle!$K$23*$C975+PM_Angle!$L$23*$B975</f>
      </c>
      <c r="AQ975" s="12">
        <f>IF(AP975&gt;0,IF(AP975&lt;=eco,alpha*fck*(1-(1-AP975/eco)^n),alpha*fck),0)</f>
      </c>
      <c r="AR975" s="30">
        <f>PM_Angle!$J$24+PM_Angle!$K$24*$C975+PM_Angle!$L$24*$B975</f>
      </c>
      <c r="AS975" s="12">
        <f>IF(AR975&gt;0,IF(AR975&lt;=eco,alpha*fck*(1-(1-AR975/eco)^n),alpha*fck),0)</f>
      </c>
      <c r="AT975" s="30">
        <f>PM_Angle!$J$25+PM_Angle!$K$25*$C975+PM_Angle!$L$25*$B975</f>
      </c>
      <c r="AU975" s="12">
        <f>IF(AT975&gt;0,IF(AT975&lt;=eco,alpha*fck*(1-(1-AT975/eco)^n),alpha*fck),0)</f>
      </c>
    </row>
    <row r="976" spans="1:47" x14ac:dyDescent="0.25">
      <c r="A976">
        <f>Mesh!A973</f>
      </c>
      <c r="B976" s="12">
        <f>Mesh!B973</f>
      </c>
      <c r="C976" s="12">
        <f>Mesh!C973</f>
      </c>
      <c r="D976" s="12">
        <f>Mesh!D973</f>
      </c>
      <c r="E976" s="30">
        <f>INDEX(St_e0,Det+1)+INDEX(St_kx,Det+1)*C976+INDEX(St_ky,Det+1)*B976</f>
      </c>
      <c r="F976" s="12">
        <f>IF(E976&gt;0,IF(E976&lt;=eco,alpha*fck*(1-(1-E976/eco)^n),alpha*fck),0)</f>
      </c>
      <c r="G976" s="11">
        <f>F976*D976</f>
      </c>
      <c r="H976" s="11">
        <f>G976*C976</f>
      </c>
      <c r="I976" s="11">
        <f>G976*B976</f>
      </c>
      <c r="J976" s="30">
        <f>PM_Angle!$J$7+PM_Angle!$K$7*$C976+PM_Angle!$L$7*$B976</f>
      </c>
      <c r="K976" s="12">
        <f>IF(J976&gt;0,IF(J976&lt;=eco,alpha*fck*(1-(1-J976/eco)^n),alpha*fck),0)</f>
      </c>
      <c r="L976" s="30">
        <f>PM_Angle!$J$8+PM_Angle!$K$8*$C976+PM_Angle!$L$8*$B976</f>
      </c>
      <c r="M976" s="12">
        <f>IF(L976&gt;0,IF(L976&lt;=eco,alpha*fck*(1-(1-L976/eco)^n),alpha*fck),0)</f>
      </c>
      <c r="N976" s="30">
        <f>PM_Angle!$J$9+PM_Angle!$K$9*$C976+PM_Angle!$L$9*$B976</f>
      </c>
      <c r="O976" s="12">
        <f>IF(N976&gt;0,IF(N976&lt;=eco,alpha*fck*(1-(1-N976/eco)^n),alpha*fck),0)</f>
      </c>
      <c r="P976" s="30">
        <f>PM_Angle!$J$10+PM_Angle!$K$10*$C976+PM_Angle!$L$10*$B976</f>
      </c>
      <c r="Q976" s="12">
        <f>IF(P976&gt;0,IF(P976&lt;=eco,alpha*fck*(1-(1-P976/eco)^n),alpha*fck),0)</f>
      </c>
      <c r="R976" s="30">
        <f>PM_Angle!$J$11+PM_Angle!$K$11*$C976+PM_Angle!$L$11*$B976</f>
      </c>
      <c r="S976" s="12">
        <f>IF(R976&gt;0,IF(R976&lt;=eco,alpha*fck*(1-(1-R976/eco)^n),alpha*fck),0)</f>
      </c>
      <c r="T976" s="30">
        <f>PM_Angle!$J$12+PM_Angle!$K$12*$C976+PM_Angle!$L$12*$B976</f>
      </c>
      <c r="U976" s="12">
        <f>IF(T976&gt;0,IF(T976&lt;=eco,alpha*fck*(1-(1-T976/eco)^n),alpha*fck),0)</f>
      </c>
      <c r="V976" s="30">
        <f>PM_Angle!$J$13+PM_Angle!$K$13*$C976+PM_Angle!$L$13*$B976</f>
      </c>
      <c r="W976" s="12">
        <f>IF(V976&gt;0,IF(V976&lt;=eco,alpha*fck*(1-(1-V976/eco)^n),alpha*fck),0)</f>
      </c>
      <c r="X976" s="30">
        <f>PM_Angle!$J$14+PM_Angle!$K$14*$C976+PM_Angle!$L$14*$B976</f>
      </c>
      <c r="Y976" s="12">
        <f>IF(X976&gt;0,IF(X976&lt;=eco,alpha*fck*(1-(1-X976/eco)^n),alpha*fck),0)</f>
      </c>
      <c r="Z976" s="30">
        <f>PM_Angle!$J$15+PM_Angle!$K$15*$C976+PM_Angle!$L$15*$B976</f>
      </c>
      <c r="AA976" s="12">
        <f>IF(Z976&gt;0,IF(Z976&lt;=eco,alpha*fck*(1-(1-Z976/eco)^n),alpha*fck),0)</f>
      </c>
      <c r="AB976" s="30">
        <f>PM_Angle!$J$16+PM_Angle!$K$16*$C976+PM_Angle!$L$16*$B976</f>
      </c>
      <c r="AC976" s="12">
        <f>IF(AB976&gt;0,IF(AB976&lt;=eco,alpha*fck*(1-(1-AB976/eco)^n),alpha*fck),0)</f>
      </c>
      <c r="AD976" s="30">
        <f>PM_Angle!$J$17+PM_Angle!$K$17*$C976+PM_Angle!$L$17*$B976</f>
      </c>
      <c r="AE976" s="12">
        <f>IF(AD976&gt;0,IF(AD976&lt;=eco,alpha*fck*(1-(1-AD976/eco)^n),alpha*fck),0)</f>
      </c>
      <c r="AF976" s="30">
        <f>PM_Angle!$J$18+PM_Angle!$K$18*$C976+PM_Angle!$L$18*$B976</f>
      </c>
      <c r="AG976" s="12">
        <f>IF(AF976&gt;0,IF(AF976&lt;=eco,alpha*fck*(1-(1-AF976/eco)^n),alpha*fck),0)</f>
      </c>
      <c r="AH976" s="30">
        <f>PM_Angle!$J$19+PM_Angle!$K$19*$C976+PM_Angle!$L$19*$B976</f>
      </c>
      <c r="AI976" s="12">
        <f>IF(AH976&gt;0,IF(AH976&lt;=eco,alpha*fck*(1-(1-AH976/eco)^n),alpha*fck),0)</f>
      </c>
      <c r="AJ976" s="30">
        <f>PM_Angle!$J$20+PM_Angle!$K$20*$C976+PM_Angle!$L$20*$B976</f>
      </c>
      <c r="AK976" s="12">
        <f>IF(AJ976&gt;0,IF(AJ976&lt;=eco,alpha*fck*(1-(1-AJ976/eco)^n),alpha*fck),0)</f>
      </c>
      <c r="AL976" s="30">
        <f>PM_Angle!$J$21+PM_Angle!$K$21*$C976+PM_Angle!$L$21*$B976</f>
      </c>
      <c r="AM976" s="12">
        <f>IF(AL976&gt;0,IF(AL976&lt;=eco,alpha*fck*(1-(1-AL976/eco)^n),alpha*fck),0)</f>
      </c>
      <c r="AN976" s="30">
        <f>PM_Angle!$J$22+PM_Angle!$K$22*$C976+PM_Angle!$L$22*$B976</f>
      </c>
      <c r="AO976" s="12">
        <f>IF(AN976&gt;0,IF(AN976&lt;=eco,alpha*fck*(1-(1-AN976/eco)^n),alpha*fck),0)</f>
      </c>
      <c r="AP976" s="30">
        <f>PM_Angle!$J$23+PM_Angle!$K$23*$C976+PM_Angle!$L$23*$B976</f>
      </c>
      <c r="AQ976" s="12">
        <f>IF(AP976&gt;0,IF(AP976&lt;=eco,alpha*fck*(1-(1-AP976/eco)^n),alpha*fck),0)</f>
      </c>
      <c r="AR976" s="30">
        <f>PM_Angle!$J$24+PM_Angle!$K$24*$C976+PM_Angle!$L$24*$B976</f>
      </c>
      <c r="AS976" s="12">
        <f>IF(AR976&gt;0,IF(AR976&lt;=eco,alpha*fck*(1-(1-AR976/eco)^n),alpha*fck),0)</f>
      </c>
      <c r="AT976" s="30">
        <f>PM_Angle!$J$25+PM_Angle!$K$25*$C976+PM_Angle!$L$25*$B976</f>
      </c>
      <c r="AU976" s="12">
        <f>IF(AT976&gt;0,IF(AT976&lt;=eco,alpha*fck*(1-(1-AT976/eco)^n),alpha*fck),0)</f>
      </c>
    </row>
    <row r="977" spans="1:47" x14ac:dyDescent="0.25">
      <c r="A977">
        <f>Mesh!A974</f>
      </c>
      <c r="B977" s="12">
        <f>Mesh!B974</f>
      </c>
      <c r="C977" s="12">
        <f>Mesh!C974</f>
      </c>
      <c r="D977" s="12">
        <f>Mesh!D974</f>
      </c>
      <c r="E977" s="30">
        <f>INDEX(St_e0,Det+1)+INDEX(St_kx,Det+1)*C977+INDEX(St_ky,Det+1)*B977</f>
      </c>
      <c r="F977" s="12">
        <f>IF(E977&gt;0,IF(E977&lt;=eco,alpha*fck*(1-(1-E977/eco)^n),alpha*fck),0)</f>
      </c>
      <c r="G977" s="11">
        <f>F977*D977</f>
      </c>
      <c r="H977" s="11">
        <f>G977*C977</f>
      </c>
      <c r="I977" s="11">
        <f>G977*B977</f>
      </c>
      <c r="J977" s="30">
        <f>PM_Angle!$J$7+PM_Angle!$K$7*$C977+PM_Angle!$L$7*$B977</f>
      </c>
      <c r="K977" s="12">
        <f>IF(J977&gt;0,IF(J977&lt;=eco,alpha*fck*(1-(1-J977/eco)^n),alpha*fck),0)</f>
      </c>
      <c r="L977" s="30">
        <f>PM_Angle!$J$8+PM_Angle!$K$8*$C977+PM_Angle!$L$8*$B977</f>
      </c>
      <c r="M977" s="12">
        <f>IF(L977&gt;0,IF(L977&lt;=eco,alpha*fck*(1-(1-L977/eco)^n),alpha*fck),0)</f>
      </c>
      <c r="N977" s="30">
        <f>PM_Angle!$J$9+PM_Angle!$K$9*$C977+PM_Angle!$L$9*$B977</f>
      </c>
      <c r="O977" s="12">
        <f>IF(N977&gt;0,IF(N977&lt;=eco,alpha*fck*(1-(1-N977/eco)^n),alpha*fck),0)</f>
      </c>
      <c r="P977" s="30">
        <f>PM_Angle!$J$10+PM_Angle!$K$10*$C977+PM_Angle!$L$10*$B977</f>
      </c>
      <c r="Q977" s="12">
        <f>IF(P977&gt;0,IF(P977&lt;=eco,alpha*fck*(1-(1-P977/eco)^n),alpha*fck),0)</f>
      </c>
      <c r="R977" s="30">
        <f>PM_Angle!$J$11+PM_Angle!$K$11*$C977+PM_Angle!$L$11*$B977</f>
      </c>
      <c r="S977" s="12">
        <f>IF(R977&gt;0,IF(R977&lt;=eco,alpha*fck*(1-(1-R977/eco)^n),alpha*fck),0)</f>
      </c>
      <c r="T977" s="30">
        <f>PM_Angle!$J$12+PM_Angle!$K$12*$C977+PM_Angle!$L$12*$B977</f>
      </c>
      <c r="U977" s="12">
        <f>IF(T977&gt;0,IF(T977&lt;=eco,alpha*fck*(1-(1-T977/eco)^n),alpha*fck),0)</f>
      </c>
      <c r="V977" s="30">
        <f>PM_Angle!$J$13+PM_Angle!$K$13*$C977+PM_Angle!$L$13*$B977</f>
      </c>
      <c r="W977" s="12">
        <f>IF(V977&gt;0,IF(V977&lt;=eco,alpha*fck*(1-(1-V977/eco)^n),alpha*fck),0)</f>
      </c>
      <c r="X977" s="30">
        <f>PM_Angle!$J$14+PM_Angle!$K$14*$C977+PM_Angle!$L$14*$B977</f>
      </c>
      <c r="Y977" s="12">
        <f>IF(X977&gt;0,IF(X977&lt;=eco,alpha*fck*(1-(1-X977/eco)^n),alpha*fck),0)</f>
      </c>
      <c r="Z977" s="30">
        <f>PM_Angle!$J$15+PM_Angle!$K$15*$C977+PM_Angle!$L$15*$B977</f>
      </c>
      <c r="AA977" s="12">
        <f>IF(Z977&gt;0,IF(Z977&lt;=eco,alpha*fck*(1-(1-Z977/eco)^n),alpha*fck),0)</f>
      </c>
      <c r="AB977" s="30">
        <f>PM_Angle!$J$16+PM_Angle!$K$16*$C977+PM_Angle!$L$16*$B977</f>
      </c>
      <c r="AC977" s="12">
        <f>IF(AB977&gt;0,IF(AB977&lt;=eco,alpha*fck*(1-(1-AB977/eco)^n),alpha*fck),0)</f>
      </c>
      <c r="AD977" s="30">
        <f>PM_Angle!$J$17+PM_Angle!$K$17*$C977+PM_Angle!$L$17*$B977</f>
      </c>
      <c r="AE977" s="12">
        <f>IF(AD977&gt;0,IF(AD977&lt;=eco,alpha*fck*(1-(1-AD977/eco)^n),alpha*fck),0)</f>
      </c>
      <c r="AF977" s="30">
        <f>PM_Angle!$J$18+PM_Angle!$K$18*$C977+PM_Angle!$L$18*$B977</f>
      </c>
      <c r="AG977" s="12">
        <f>IF(AF977&gt;0,IF(AF977&lt;=eco,alpha*fck*(1-(1-AF977/eco)^n),alpha*fck),0)</f>
      </c>
      <c r="AH977" s="30">
        <f>PM_Angle!$J$19+PM_Angle!$K$19*$C977+PM_Angle!$L$19*$B977</f>
      </c>
      <c r="AI977" s="12">
        <f>IF(AH977&gt;0,IF(AH977&lt;=eco,alpha*fck*(1-(1-AH977/eco)^n),alpha*fck),0)</f>
      </c>
      <c r="AJ977" s="30">
        <f>PM_Angle!$J$20+PM_Angle!$K$20*$C977+PM_Angle!$L$20*$B977</f>
      </c>
      <c r="AK977" s="12">
        <f>IF(AJ977&gt;0,IF(AJ977&lt;=eco,alpha*fck*(1-(1-AJ977/eco)^n),alpha*fck),0)</f>
      </c>
      <c r="AL977" s="30">
        <f>PM_Angle!$J$21+PM_Angle!$K$21*$C977+PM_Angle!$L$21*$B977</f>
      </c>
      <c r="AM977" s="12">
        <f>IF(AL977&gt;0,IF(AL977&lt;=eco,alpha*fck*(1-(1-AL977/eco)^n),alpha*fck),0)</f>
      </c>
      <c r="AN977" s="30">
        <f>PM_Angle!$J$22+PM_Angle!$K$22*$C977+PM_Angle!$L$22*$B977</f>
      </c>
      <c r="AO977" s="12">
        <f>IF(AN977&gt;0,IF(AN977&lt;=eco,alpha*fck*(1-(1-AN977/eco)^n),alpha*fck),0)</f>
      </c>
      <c r="AP977" s="30">
        <f>PM_Angle!$J$23+PM_Angle!$K$23*$C977+PM_Angle!$L$23*$B977</f>
      </c>
      <c r="AQ977" s="12">
        <f>IF(AP977&gt;0,IF(AP977&lt;=eco,alpha*fck*(1-(1-AP977/eco)^n),alpha*fck),0)</f>
      </c>
      <c r="AR977" s="30">
        <f>PM_Angle!$J$24+PM_Angle!$K$24*$C977+PM_Angle!$L$24*$B977</f>
      </c>
      <c r="AS977" s="12">
        <f>IF(AR977&gt;0,IF(AR977&lt;=eco,alpha*fck*(1-(1-AR977/eco)^n),alpha*fck),0)</f>
      </c>
      <c r="AT977" s="30">
        <f>PM_Angle!$J$25+PM_Angle!$K$25*$C977+PM_Angle!$L$25*$B977</f>
      </c>
      <c r="AU977" s="12">
        <f>IF(AT977&gt;0,IF(AT977&lt;=eco,alpha*fck*(1-(1-AT977/eco)^n),alpha*fck),0)</f>
      </c>
    </row>
    <row r="978" spans="1:47" x14ac:dyDescent="0.25">
      <c r="A978">
        <f>Mesh!A975</f>
      </c>
      <c r="B978" s="12">
        <f>Mesh!B975</f>
      </c>
      <c r="C978" s="12">
        <f>Mesh!C975</f>
      </c>
      <c r="D978" s="12">
        <f>Mesh!D975</f>
      </c>
      <c r="E978" s="30">
        <f>INDEX(St_e0,Det+1)+INDEX(St_kx,Det+1)*C978+INDEX(St_ky,Det+1)*B978</f>
      </c>
      <c r="F978" s="12">
        <f>IF(E978&gt;0,IF(E978&lt;=eco,alpha*fck*(1-(1-E978/eco)^n),alpha*fck),0)</f>
      </c>
      <c r="G978" s="11">
        <f>F978*D978</f>
      </c>
      <c r="H978" s="11">
        <f>G978*C978</f>
      </c>
      <c r="I978" s="11">
        <f>G978*B978</f>
      </c>
      <c r="J978" s="30">
        <f>PM_Angle!$J$7+PM_Angle!$K$7*$C978+PM_Angle!$L$7*$B978</f>
      </c>
      <c r="K978" s="12">
        <f>IF(J978&gt;0,IF(J978&lt;=eco,alpha*fck*(1-(1-J978/eco)^n),alpha*fck),0)</f>
      </c>
      <c r="L978" s="30">
        <f>PM_Angle!$J$8+PM_Angle!$K$8*$C978+PM_Angle!$L$8*$B978</f>
      </c>
      <c r="M978" s="12">
        <f>IF(L978&gt;0,IF(L978&lt;=eco,alpha*fck*(1-(1-L978/eco)^n),alpha*fck),0)</f>
      </c>
      <c r="N978" s="30">
        <f>PM_Angle!$J$9+PM_Angle!$K$9*$C978+PM_Angle!$L$9*$B978</f>
      </c>
      <c r="O978" s="12">
        <f>IF(N978&gt;0,IF(N978&lt;=eco,alpha*fck*(1-(1-N978/eco)^n),alpha*fck),0)</f>
      </c>
      <c r="P978" s="30">
        <f>PM_Angle!$J$10+PM_Angle!$K$10*$C978+PM_Angle!$L$10*$B978</f>
      </c>
      <c r="Q978" s="12">
        <f>IF(P978&gt;0,IF(P978&lt;=eco,alpha*fck*(1-(1-P978/eco)^n),alpha*fck),0)</f>
      </c>
      <c r="R978" s="30">
        <f>PM_Angle!$J$11+PM_Angle!$K$11*$C978+PM_Angle!$L$11*$B978</f>
      </c>
      <c r="S978" s="12">
        <f>IF(R978&gt;0,IF(R978&lt;=eco,alpha*fck*(1-(1-R978/eco)^n),alpha*fck),0)</f>
      </c>
      <c r="T978" s="30">
        <f>PM_Angle!$J$12+PM_Angle!$K$12*$C978+PM_Angle!$L$12*$B978</f>
      </c>
      <c r="U978" s="12">
        <f>IF(T978&gt;0,IF(T978&lt;=eco,alpha*fck*(1-(1-T978/eco)^n),alpha*fck),0)</f>
      </c>
      <c r="V978" s="30">
        <f>PM_Angle!$J$13+PM_Angle!$K$13*$C978+PM_Angle!$L$13*$B978</f>
      </c>
      <c r="W978" s="12">
        <f>IF(V978&gt;0,IF(V978&lt;=eco,alpha*fck*(1-(1-V978/eco)^n),alpha*fck),0)</f>
      </c>
      <c r="X978" s="30">
        <f>PM_Angle!$J$14+PM_Angle!$K$14*$C978+PM_Angle!$L$14*$B978</f>
      </c>
      <c r="Y978" s="12">
        <f>IF(X978&gt;0,IF(X978&lt;=eco,alpha*fck*(1-(1-X978/eco)^n),alpha*fck),0)</f>
      </c>
      <c r="Z978" s="30">
        <f>PM_Angle!$J$15+PM_Angle!$K$15*$C978+PM_Angle!$L$15*$B978</f>
      </c>
      <c r="AA978" s="12">
        <f>IF(Z978&gt;0,IF(Z978&lt;=eco,alpha*fck*(1-(1-Z978/eco)^n),alpha*fck),0)</f>
      </c>
      <c r="AB978" s="30">
        <f>PM_Angle!$J$16+PM_Angle!$K$16*$C978+PM_Angle!$L$16*$B978</f>
      </c>
      <c r="AC978" s="12">
        <f>IF(AB978&gt;0,IF(AB978&lt;=eco,alpha*fck*(1-(1-AB978/eco)^n),alpha*fck),0)</f>
      </c>
      <c r="AD978" s="30">
        <f>PM_Angle!$J$17+PM_Angle!$K$17*$C978+PM_Angle!$L$17*$B978</f>
      </c>
      <c r="AE978" s="12">
        <f>IF(AD978&gt;0,IF(AD978&lt;=eco,alpha*fck*(1-(1-AD978/eco)^n),alpha*fck),0)</f>
      </c>
      <c r="AF978" s="30">
        <f>PM_Angle!$J$18+PM_Angle!$K$18*$C978+PM_Angle!$L$18*$B978</f>
      </c>
      <c r="AG978" s="12">
        <f>IF(AF978&gt;0,IF(AF978&lt;=eco,alpha*fck*(1-(1-AF978/eco)^n),alpha*fck),0)</f>
      </c>
      <c r="AH978" s="30">
        <f>PM_Angle!$J$19+PM_Angle!$K$19*$C978+PM_Angle!$L$19*$B978</f>
      </c>
      <c r="AI978" s="12">
        <f>IF(AH978&gt;0,IF(AH978&lt;=eco,alpha*fck*(1-(1-AH978/eco)^n),alpha*fck),0)</f>
      </c>
      <c r="AJ978" s="30">
        <f>PM_Angle!$J$20+PM_Angle!$K$20*$C978+PM_Angle!$L$20*$B978</f>
      </c>
      <c r="AK978" s="12">
        <f>IF(AJ978&gt;0,IF(AJ978&lt;=eco,alpha*fck*(1-(1-AJ978/eco)^n),alpha*fck),0)</f>
      </c>
      <c r="AL978" s="30">
        <f>PM_Angle!$J$21+PM_Angle!$K$21*$C978+PM_Angle!$L$21*$B978</f>
      </c>
      <c r="AM978" s="12">
        <f>IF(AL978&gt;0,IF(AL978&lt;=eco,alpha*fck*(1-(1-AL978/eco)^n),alpha*fck),0)</f>
      </c>
      <c r="AN978" s="30">
        <f>PM_Angle!$J$22+PM_Angle!$K$22*$C978+PM_Angle!$L$22*$B978</f>
      </c>
      <c r="AO978" s="12">
        <f>IF(AN978&gt;0,IF(AN978&lt;=eco,alpha*fck*(1-(1-AN978/eco)^n),alpha*fck),0)</f>
      </c>
      <c r="AP978" s="30">
        <f>PM_Angle!$J$23+PM_Angle!$K$23*$C978+PM_Angle!$L$23*$B978</f>
      </c>
      <c r="AQ978" s="12">
        <f>IF(AP978&gt;0,IF(AP978&lt;=eco,alpha*fck*(1-(1-AP978/eco)^n),alpha*fck),0)</f>
      </c>
      <c r="AR978" s="30">
        <f>PM_Angle!$J$24+PM_Angle!$K$24*$C978+PM_Angle!$L$24*$B978</f>
      </c>
      <c r="AS978" s="12">
        <f>IF(AR978&gt;0,IF(AR978&lt;=eco,alpha*fck*(1-(1-AR978/eco)^n),alpha*fck),0)</f>
      </c>
      <c r="AT978" s="30">
        <f>PM_Angle!$J$25+PM_Angle!$K$25*$C978+PM_Angle!$L$25*$B978</f>
      </c>
      <c r="AU978" s="12">
        <f>IF(AT978&gt;0,IF(AT978&lt;=eco,alpha*fck*(1-(1-AT978/eco)^n),alpha*fck),0)</f>
      </c>
    </row>
    <row r="979" spans="1:47" x14ac:dyDescent="0.25">
      <c r="A979">
        <f>Mesh!A976</f>
      </c>
      <c r="B979" s="12">
        <f>Mesh!B976</f>
      </c>
      <c r="C979" s="12">
        <f>Mesh!C976</f>
      </c>
      <c r="D979" s="12">
        <f>Mesh!D976</f>
      </c>
      <c r="E979" s="30">
        <f>INDEX(St_e0,Det+1)+INDEX(St_kx,Det+1)*C979+INDEX(St_ky,Det+1)*B979</f>
      </c>
      <c r="F979" s="12">
        <f>IF(E979&gt;0,IF(E979&lt;=eco,alpha*fck*(1-(1-E979/eco)^n),alpha*fck),0)</f>
      </c>
      <c r="G979" s="11">
        <f>F979*D979</f>
      </c>
      <c r="H979" s="11">
        <f>G979*C979</f>
      </c>
      <c r="I979" s="11">
        <f>G979*B979</f>
      </c>
      <c r="J979" s="30">
        <f>PM_Angle!$J$7+PM_Angle!$K$7*$C979+PM_Angle!$L$7*$B979</f>
      </c>
      <c r="K979" s="12">
        <f>IF(J979&gt;0,IF(J979&lt;=eco,alpha*fck*(1-(1-J979/eco)^n),alpha*fck),0)</f>
      </c>
      <c r="L979" s="30">
        <f>PM_Angle!$J$8+PM_Angle!$K$8*$C979+PM_Angle!$L$8*$B979</f>
      </c>
      <c r="M979" s="12">
        <f>IF(L979&gt;0,IF(L979&lt;=eco,alpha*fck*(1-(1-L979/eco)^n),alpha*fck),0)</f>
      </c>
      <c r="N979" s="30">
        <f>PM_Angle!$J$9+PM_Angle!$K$9*$C979+PM_Angle!$L$9*$B979</f>
      </c>
      <c r="O979" s="12">
        <f>IF(N979&gt;0,IF(N979&lt;=eco,alpha*fck*(1-(1-N979/eco)^n),alpha*fck),0)</f>
      </c>
      <c r="P979" s="30">
        <f>PM_Angle!$J$10+PM_Angle!$K$10*$C979+PM_Angle!$L$10*$B979</f>
      </c>
      <c r="Q979" s="12">
        <f>IF(P979&gt;0,IF(P979&lt;=eco,alpha*fck*(1-(1-P979/eco)^n),alpha*fck),0)</f>
      </c>
      <c r="R979" s="30">
        <f>PM_Angle!$J$11+PM_Angle!$K$11*$C979+PM_Angle!$L$11*$B979</f>
      </c>
      <c r="S979" s="12">
        <f>IF(R979&gt;0,IF(R979&lt;=eco,alpha*fck*(1-(1-R979/eco)^n),alpha*fck),0)</f>
      </c>
      <c r="T979" s="30">
        <f>PM_Angle!$J$12+PM_Angle!$K$12*$C979+PM_Angle!$L$12*$B979</f>
      </c>
      <c r="U979" s="12">
        <f>IF(T979&gt;0,IF(T979&lt;=eco,alpha*fck*(1-(1-T979/eco)^n),alpha*fck),0)</f>
      </c>
      <c r="V979" s="30">
        <f>PM_Angle!$J$13+PM_Angle!$K$13*$C979+PM_Angle!$L$13*$B979</f>
      </c>
      <c r="W979" s="12">
        <f>IF(V979&gt;0,IF(V979&lt;=eco,alpha*fck*(1-(1-V979/eco)^n),alpha*fck),0)</f>
      </c>
      <c r="X979" s="30">
        <f>PM_Angle!$J$14+PM_Angle!$K$14*$C979+PM_Angle!$L$14*$B979</f>
      </c>
      <c r="Y979" s="12">
        <f>IF(X979&gt;0,IF(X979&lt;=eco,alpha*fck*(1-(1-X979/eco)^n),alpha*fck),0)</f>
      </c>
      <c r="Z979" s="30">
        <f>PM_Angle!$J$15+PM_Angle!$K$15*$C979+PM_Angle!$L$15*$B979</f>
      </c>
      <c r="AA979" s="12">
        <f>IF(Z979&gt;0,IF(Z979&lt;=eco,alpha*fck*(1-(1-Z979/eco)^n),alpha*fck),0)</f>
      </c>
      <c r="AB979" s="30">
        <f>PM_Angle!$J$16+PM_Angle!$K$16*$C979+PM_Angle!$L$16*$B979</f>
      </c>
      <c r="AC979" s="12">
        <f>IF(AB979&gt;0,IF(AB979&lt;=eco,alpha*fck*(1-(1-AB979/eco)^n),alpha*fck),0)</f>
      </c>
      <c r="AD979" s="30">
        <f>PM_Angle!$J$17+PM_Angle!$K$17*$C979+PM_Angle!$L$17*$B979</f>
      </c>
      <c r="AE979" s="12">
        <f>IF(AD979&gt;0,IF(AD979&lt;=eco,alpha*fck*(1-(1-AD979/eco)^n),alpha*fck),0)</f>
      </c>
      <c r="AF979" s="30">
        <f>PM_Angle!$J$18+PM_Angle!$K$18*$C979+PM_Angle!$L$18*$B979</f>
      </c>
      <c r="AG979" s="12">
        <f>IF(AF979&gt;0,IF(AF979&lt;=eco,alpha*fck*(1-(1-AF979/eco)^n),alpha*fck),0)</f>
      </c>
      <c r="AH979" s="30">
        <f>PM_Angle!$J$19+PM_Angle!$K$19*$C979+PM_Angle!$L$19*$B979</f>
      </c>
      <c r="AI979" s="12">
        <f>IF(AH979&gt;0,IF(AH979&lt;=eco,alpha*fck*(1-(1-AH979/eco)^n),alpha*fck),0)</f>
      </c>
      <c r="AJ979" s="30">
        <f>PM_Angle!$J$20+PM_Angle!$K$20*$C979+PM_Angle!$L$20*$B979</f>
      </c>
      <c r="AK979" s="12">
        <f>IF(AJ979&gt;0,IF(AJ979&lt;=eco,alpha*fck*(1-(1-AJ979/eco)^n),alpha*fck),0)</f>
      </c>
      <c r="AL979" s="30">
        <f>PM_Angle!$J$21+PM_Angle!$K$21*$C979+PM_Angle!$L$21*$B979</f>
      </c>
      <c r="AM979" s="12">
        <f>IF(AL979&gt;0,IF(AL979&lt;=eco,alpha*fck*(1-(1-AL979/eco)^n),alpha*fck),0)</f>
      </c>
      <c r="AN979" s="30">
        <f>PM_Angle!$J$22+PM_Angle!$K$22*$C979+PM_Angle!$L$22*$B979</f>
      </c>
      <c r="AO979" s="12">
        <f>IF(AN979&gt;0,IF(AN979&lt;=eco,alpha*fck*(1-(1-AN979/eco)^n),alpha*fck),0)</f>
      </c>
      <c r="AP979" s="30">
        <f>PM_Angle!$J$23+PM_Angle!$K$23*$C979+PM_Angle!$L$23*$B979</f>
      </c>
      <c r="AQ979" s="12">
        <f>IF(AP979&gt;0,IF(AP979&lt;=eco,alpha*fck*(1-(1-AP979/eco)^n),alpha*fck),0)</f>
      </c>
      <c r="AR979" s="30">
        <f>PM_Angle!$J$24+PM_Angle!$K$24*$C979+PM_Angle!$L$24*$B979</f>
      </c>
      <c r="AS979" s="12">
        <f>IF(AR979&gt;0,IF(AR979&lt;=eco,alpha*fck*(1-(1-AR979/eco)^n),alpha*fck),0)</f>
      </c>
      <c r="AT979" s="30">
        <f>PM_Angle!$J$25+PM_Angle!$K$25*$C979+PM_Angle!$L$25*$B979</f>
      </c>
      <c r="AU979" s="12">
        <f>IF(AT979&gt;0,IF(AT979&lt;=eco,alpha*fck*(1-(1-AT979/eco)^n),alpha*fck),0)</f>
      </c>
    </row>
    <row r="980" spans="1:47" x14ac:dyDescent="0.25">
      <c r="A980">
        <f>Mesh!A977</f>
      </c>
      <c r="B980" s="12">
        <f>Mesh!B977</f>
      </c>
      <c r="C980" s="12">
        <f>Mesh!C977</f>
      </c>
      <c r="D980" s="12">
        <f>Mesh!D977</f>
      </c>
      <c r="E980" s="30">
        <f>INDEX(St_e0,Det+1)+INDEX(St_kx,Det+1)*C980+INDEX(St_ky,Det+1)*B980</f>
      </c>
      <c r="F980" s="12">
        <f>IF(E980&gt;0,IF(E980&lt;=eco,alpha*fck*(1-(1-E980/eco)^n),alpha*fck),0)</f>
      </c>
      <c r="G980" s="11">
        <f>F980*D980</f>
      </c>
      <c r="H980" s="11">
        <f>G980*C980</f>
      </c>
      <c r="I980" s="11">
        <f>G980*B980</f>
      </c>
      <c r="J980" s="30">
        <f>PM_Angle!$J$7+PM_Angle!$K$7*$C980+PM_Angle!$L$7*$B980</f>
      </c>
      <c r="K980" s="12">
        <f>IF(J980&gt;0,IF(J980&lt;=eco,alpha*fck*(1-(1-J980/eco)^n),alpha*fck),0)</f>
      </c>
      <c r="L980" s="30">
        <f>PM_Angle!$J$8+PM_Angle!$K$8*$C980+PM_Angle!$L$8*$B980</f>
      </c>
      <c r="M980" s="12">
        <f>IF(L980&gt;0,IF(L980&lt;=eco,alpha*fck*(1-(1-L980/eco)^n),alpha*fck),0)</f>
      </c>
      <c r="N980" s="30">
        <f>PM_Angle!$J$9+PM_Angle!$K$9*$C980+PM_Angle!$L$9*$B980</f>
      </c>
      <c r="O980" s="12">
        <f>IF(N980&gt;0,IF(N980&lt;=eco,alpha*fck*(1-(1-N980/eco)^n),alpha*fck),0)</f>
      </c>
      <c r="P980" s="30">
        <f>PM_Angle!$J$10+PM_Angle!$K$10*$C980+PM_Angle!$L$10*$B980</f>
      </c>
      <c r="Q980" s="12">
        <f>IF(P980&gt;0,IF(P980&lt;=eco,alpha*fck*(1-(1-P980/eco)^n),alpha*fck),0)</f>
      </c>
      <c r="R980" s="30">
        <f>PM_Angle!$J$11+PM_Angle!$K$11*$C980+PM_Angle!$L$11*$B980</f>
      </c>
      <c r="S980" s="12">
        <f>IF(R980&gt;0,IF(R980&lt;=eco,alpha*fck*(1-(1-R980/eco)^n),alpha*fck),0)</f>
      </c>
      <c r="T980" s="30">
        <f>PM_Angle!$J$12+PM_Angle!$K$12*$C980+PM_Angle!$L$12*$B980</f>
      </c>
      <c r="U980" s="12">
        <f>IF(T980&gt;0,IF(T980&lt;=eco,alpha*fck*(1-(1-T980/eco)^n),alpha*fck),0)</f>
      </c>
      <c r="V980" s="30">
        <f>PM_Angle!$J$13+PM_Angle!$K$13*$C980+PM_Angle!$L$13*$B980</f>
      </c>
      <c r="W980" s="12">
        <f>IF(V980&gt;0,IF(V980&lt;=eco,alpha*fck*(1-(1-V980/eco)^n),alpha*fck),0)</f>
      </c>
      <c r="X980" s="30">
        <f>PM_Angle!$J$14+PM_Angle!$K$14*$C980+PM_Angle!$L$14*$B980</f>
      </c>
      <c r="Y980" s="12">
        <f>IF(X980&gt;0,IF(X980&lt;=eco,alpha*fck*(1-(1-X980/eco)^n),alpha*fck),0)</f>
      </c>
      <c r="Z980" s="30">
        <f>PM_Angle!$J$15+PM_Angle!$K$15*$C980+PM_Angle!$L$15*$B980</f>
      </c>
      <c r="AA980" s="12">
        <f>IF(Z980&gt;0,IF(Z980&lt;=eco,alpha*fck*(1-(1-Z980/eco)^n),alpha*fck),0)</f>
      </c>
      <c r="AB980" s="30">
        <f>PM_Angle!$J$16+PM_Angle!$K$16*$C980+PM_Angle!$L$16*$B980</f>
      </c>
      <c r="AC980" s="12">
        <f>IF(AB980&gt;0,IF(AB980&lt;=eco,alpha*fck*(1-(1-AB980/eco)^n),alpha*fck),0)</f>
      </c>
      <c r="AD980" s="30">
        <f>PM_Angle!$J$17+PM_Angle!$K$17*$C980+PM_Angle!$L$17*$B980</f>
      </c>
      <c r="AE980" s="12">
        <f>IF(AD980&gt;0,IF(AD980&lt;=eco,alpha*fck*(1-(1-AD980/eco)^n),alpha*fck),0)</f>
      </c>
      <c r="AF980" s="30">
        <f>PM_Angle!$J$18+PM_Angle!$K$18*$C980+PM_Angle!$L$18*$B980</f>
      </c>
      <c r="AG980" s="12">
        <f>IF(AF980&gt;0,IF(AF980&lt;=eco,alpha*fck*(1-(1-AF980/eco)^n),alpha*fck),0)</f>
      </c>
      <c r="AH980" s="30">
        <f>PM_Angle!$J$19+PM_Angle!$K$19*$C980+PM_Angle!$L$19*$B980</f>
      </c>
      <c r="AI980" s="12">
        <f>IF(AH980&gt;0,IF(AH980&lt;=eco,alpha*fck*(1-(1-AH980/eco)^n),alpha*fck),0)</f>
      </c>
      <c r="AJ980" s="30">
        <f>PM_Angle!$J$20+PM_Angle!$K$20*$C980+PM_Angle!$L$20*$B980</f>
      </c>
      <c r="AK980" s="12">
        <f>IF(AJ980&gt;0,IF(AJ980&lt;=eco,alpha*fck*(1-(1-AJ980/eco)^n),alpha*fck),0)</f>
      </c>
      <c r="AL980" s="30">
        <f>PM_Angle!$J$21+PM_Angle!$K$21*$C980+PM_Angle!$L$21*$B980</f>
      </c>
      <c r="AM980" s="12">
        <f>IF(AL980&gt;0,IF(AL980&lt;=eco,alpha*fck*(1-(1-AL980/eco)^n),alpha*fck),0)</f>
      </c>
      <c r="AN980" s="30">
        <f>PM_Angle!$J$22+PM_Angle!$K$22*$C980+PM_Angle!$L$22*$B980</f>
      </c>
      <c r="AO980" s="12">
        <f>IF(AN980&gt;0,IF(AN980&lt;=eco,alpha*fck*(1-(1-AN980/eco)^n),alpha*fck),0)</f>
      </c>
      <c r="AP980" s="30">
        <f>PM_Angle!$J$23+PM_Angle!$K$23*$C980+PM_Angle!$L$23*$B980</f>
      </c>
      <c r="AQ980" s="12">
        <f>IF(AP980&gt;0,IF(AP980&lt;=eco,alpha*fck*(1-(1-AP980/eco)^n),alpha*fck),0)</f>
      </c>
      <c r="AR980" s="30">
        <f>PM_Angle!$J$24+PM_Angle!$K$24*$C980+PM_Angle!$L$24*$B980</f>
      </c>
      <c r="AS980" s="12">
        <f>IF(AR980&gt;0,IF(AR980&lt;=eco,alpha*fck*(1-(1-AR980/eco)^n),alpha*fck),0)</f>
      </c>
      <c r="AT980" s="30">
        <f>PM_Angle!$J$25+PM_Angle!$K$25*$C980+PM_Angle!$L$25*$B980</f>
      </c>
      <c r="AU980" s="12">
        <f>IF(AT980&gt;0,IF(AT980&lt;=eco,alpha*fck*(1-(1-AT980/eco)^n),alpha*fck),0)</f>
      </c>
    </row>
    <row r="981" spans="1:47" x14ac:dyDescent="0.25">
      <c r="A981">
        <f>Mesh!A978</f>
      </c>
      <c r="B981" s="12">
        <f>Mesh!B978</f>
      </c>
      <c r="C981" s="12">
        <f>Mesh!C978</f>
      </c>
      <c r="D981" s="12">
        <f>Mesh!D978</f>
      </c>
      <c r="E981" s="30">
        <f>INDEX(St_e0,Det+1)+INDEX(St_kx,Det+1)*C981+INDEX(St_ky,Det+1)*B981</f>
      </c>
      <c r="F981" s="12">
        <f>IF(E981&gt;0,IF(E981&lt;=eco,alpha*fck*(1-(1-E981/eco)^n),alpha*fck),0)</f>
      </c>
      <c r="G981" s="11">
        <f>F981*D981</f>
      </c>
      <c r="H981" s="11">
        <f>G981*C981</f>
      </c>
      <c r="I981" s="11">
        <f>G981*B981</f>
      </c>
      <c r="J981" s="30">
        <f>PM_Angle!$J$7+PM_Angle!$K$7*$C981+PM_Angle!$L$7*$B981</f>
      </c>
      <c r="K981" s="12">
        <f>IF(J981&gt;0,IF(J981&lt;=eco,alpha*fck*(1-(1-J981/eco)^n),alpha*fck),0)</f>
      </c>
      <c r="L981" s="30">
        <f>PM_Angle!$J$8+PM_Angle!$K$8*$C981+PM_Angle!$L$8*$B981</f>
      </c>
      <c r="M981" s="12">
        <f>IF(L981&gt;0,IF(L981&lt;=eco,alpha*fck*(1-(1-L981/eco)^n),alpha*fck),0)</f>
      </c>
      <c r="N981" s="30">
        <f>PM_Angle!$J$9+PM_Angle!$K$9*$C981+PM_Angle!$L$9*$B981</f>
      </c>
      <c r="O981" s="12">
        <f>IF(N981&gt;0,IF(N981&lt;=eco,alpha*fck*(1-(1-N981/eco)^n),alpha*fck),0)</f>
      </c>
      <c r="P981" s="30">
        <f>PM_Angle!$J$10+PM_Angle!$K$10*$C981+PM_Angle!$L$10*$B981</f>
      </c>
      <c r="Q981" s="12">
        <f>IF(P981&gt;0,IF(P981&lt;=eco,alpha*fck*(1-(1-P981/eco)^n),alpha*fck),0)</f>
      </c>
      <c r="R981" s="30">
        <f>PM_Angle!$J$11+PM_Angle!$K$11*$C981+PM_Angle!$L$11*$B981</f>
      </c>
      <c r="S981" s="12">
        <f>IF(R981&gt;0,IF(R981&lt;=eco,alpha*fck*(1-(1-R981/eco)^n),alpha*fck),0)</f>
      </c>
      <c r="T981" s="30">
        <f>PM_Angle!$J$12+PM_Angle!$K$12*$C981+PM_Angle!$L$12*$B981</f>
      </c>
      <c r="U981" s="12">
        <f>IF(T981&gt;0,IF(T981&lt;=eco,alpha*fck*(1-(1-T981/eco)^n),alpha*fck),0)</f>
      </c>
      <c r="V981" s="30">
        <f>PM_Angle!$J$13+PM_Angle!$K$13*$C981+PM_Angle!$L$13*$B981</f>
      </c>
      <c r="W981" s="12">
        <f>IF(V981&gt;0,IF(V981&lt;=eco,alpha*fck*(1-(1-V981/eco)^n),alpha*fck),0)</f>
      </c>
      <c r="X981" s="30">
        <f>PM_Angle!$J$14+PM_Angle!$K$14*$C981+PM_Angle!$L$14*$B981</f>
      </c>
      <c r="Y981" s="12">
        <f>IF(X981&gt;0,IF(X981&lt;=eco,alpha*fck*(1-(1-X981/eco)^n),alpha*fck),0)</f>
      </c>
      <c r="Z981" s="30">
        <f>PM_Angle!$J$15+PM_Angle!$K$15*$C981+PM_Angle!$L$15*$B981</f>
      </c>
      <c r="AA981" s="12">
        <f>IF(Z981&gt;0,IF(Z981&lt;=eco,alpha*fck*(1-(1-Z981/eco)^n),alpha*fck),0)</f>
      </c>
      <c r="AB981" s="30">
        <f>PM_Angle!$J$16+PM_Angle!$K$16*$C981+PM_Angle!$L$16*$B981</f>
      </c>
      <c r="AC981" s="12">
        <f>IF(AB981&gt;0,IF(AB981&lt;=eco,alpha*fck*(1-(1-AB981/eco)^n),alpha*fck),0)</f>
      </c>
      <c r="AD981" s="30">
        <f>PM_Angle!$J$17+PM_Angle!$K$17*$C981+PM_Angle!$L$17*$B981</f>
      </c>
      <c r="AE981" s="12">
        <f>IF(AD981&gt;0,IF(AD981&lt;=eco,alpha*fck*(1-(1-AD981/eco)^n),alpha*fck),0)</f>
      </c>
      <c r="AF981" s="30">
        <f>PM_Angle!$J$18+PM_Angle!$K$18*$C981+PM_Angle!$L$18*$B981</f>
      </c>
      <c r="AG981" s="12">
        <f>IF(AF981&gt;0,IF(AF981&lt;=eco,alpha*fck*(1-(1-AF981/eco)^n),alpha*fck),0)</f>
      </c>
      <c r="AH981" s="30">
        <f>PM_Angle!$J$19+PM_Angle!$K$19*$C981+PM_Angle!$L$19*$B981</f>
      </c>
      <c r="AI981" s="12">
        <f>IF(AH981&gt;0,IF(AH981&lt;=eco,alpha*fck*(1-(1-AH981/eco)^n),alpha*fck),0)</f>
      </c>
      <c r="AJ981" s="30">
        <f>PM_Angle!$J$20+PM_Angle!$K$20*$C981+PM_Angle!$L$20*$B981</f>
      </c>
      <c r="AK981" s="12">
        <f>IF(AJ981&gt;0,IF(AJ981&lt;=eco,alpha*fck*(1-(1-AJ981/eco)^n),alpha*fck),0)</f>
      </c>
      <c r="AL981" s="30">
        <f>PM_Angle!$J$21+PM_Angle!$K$21*$C981+PM_Angle!$L$21*$B981</f>
      </c>
      <c r="AM981" s="12">
        <f>IF(AL981&gt;0,IF(AL981&lt;=eco,alpha*fck*(1-(1-AL981/eco)^n),alpha*fck),0)</f>
      </c>
      <c r="AN981" s="30">
        <f>PM_Angle!$J$22+PM_Angle!$K$22*$C981+PM_Angle!$L$22*$B981</f>
      </c>
      <c r="AO981" s="12">
        <f>IF(AN981&gt;0,IF(AN981&lt;=eco,alpha*fck*(1-(1-AN981/eco)^n),alpha*fck),0)</f>
      </c>
      <c r="AP981" s="30">
        <f>PM_Angle!$J$23+PM_Angle!$K$23*$C981+PM_Angle!$L$23*$B981</f>
      </c>
      <c r="AQ981" s="12">
        <f>IF(AP981&gt;0,IF(AP981&lt;=eco,alpha*fck*(1-(1-AP981/eco)^n),alpha*fck),0)</f>
      </c>
      <c r="AR981" s="30">
        <f>PM_Angle!$J$24+PM_Angle!$K$24*$C981+PM_Angle!$L$24*$B981</f>
      </c>
      <c r="AS981" s="12">
        <f>IF(AR981&gt;0,IF(AR981&lt;=eco,alpha*fck*(1-(1-AR981/eco)^n),alpha*fck),0)</f>
      </c>
      <c r="AT981" s="30">
        <f>PM_Angle!$J$25+PM_Angle!$K$25*$C981+PM_Angle!$L$25*$B981</f>
      </c>
      <c r="AU981" s="12">
        <f>IF(AT981&gt;0,IF(AT981&lt;=eco,alpha*fck*(1-(1-AT981/eco)^n),alpha*fck),0)</f>
      </c>
    </row>
    <row r="982" spans="1:47" x14ac:dyDescent="0.25">
      <c r="A982">
        <f>Mesh!A979</f>
      </c>
      <c r="B982" s="12">
        <f>Mesh!B979</f>
      </c>
      <c r="C982" s="12">
        <f>Mesh!C979</f>
      </c>
      <c r="D982" s="12">
        <f>Mesh!D979</f>
      </c>
      <c r="E982" s="30">
        <f>INDEX(St_e0,Det+1)+INDEX(St_kx,Det+1)*C982+INDEX(St_ky,Det+1)*B982</f>
      </c>
      <c r="F982" s="12">
        <f>IF(E982&gt;0,IF(E982&lt;=eco,alpha*fck*(1-(1-E982/eco)^n),alpha*fck),0)</f>
      </c>
      <c r="G982" s="11">
        <f>F982*D982</f>
      </c>
      <c r="H982" s="11">
        <f>G982*C982</f>
      </c>
      <c r="I982" s="11">
        <f>G982*B982</f>
      </c>
      <c r="J982" s="30">
        <f>PM_Angle!$J$7+PM_Angle!$K$7*$C982+PM_Angle!$L$7*$B982</f>
      </c>
      <c r="K982" s="12">
        <f>IF(J982&gt;0,IF(J982&lt;=eco,alpha*fck*(1-(1-J982/eco)^n),alpha*fck),0)</f>
      </c>
      <c r="L982" s="30">
        <f>PM_Angle!$J$8+PM_Angle!$K$8*$C982+PM_Angle!$L$8*$B982</f>
      </c>
      <c r="M982" s="12">
        <f>IF(L982&gt;0,IF(L982&lt;=eco,alpha*fck*(1-(1-L982/eco)^n),alpha*fck),0)</f>
      </c>
      <c r="N982" s="30">
        <f>PM_Angle!$J$9+PM_Angle!$K$9*$C982+PM_Angle!$L$9*$B982</f>
      </c>
      <c r="O982" s="12">
        <f>IF(N982&gt;0,IF(N982&lt;=eco,alpha*fck*(1-(1-N982/eco)^n),alpha*fck),0)</f>
      </c>
      <c r="P982" s="30">
        <f>PM_Angle!$J$10+PM_Angle!$K$10*$C982+PM_Angle!$L$10*$B982</f>
      </c>
      <c r="Q982" s="12">
        <f>IF(P982&gt;0,IF(P982&lt;=eco,alpha*fck*(1-(1-P982/eco)^n),alpha*fck),0)</f>
      </c>
      <c r="R982" s="30">
        <f>PM_Angle!$J$11+PM_Angle!$K$11*$C982+PM_Angle!$L$11*$B982</f>
      </c>
      <c r="S982" s="12">
        <f>IF(R982&gt;0,IF(R982&lt;=eco,alpha*fck*(1-(1-R982/eco)^n),alpha*fck),0)</f>
      </c>
      <c r="T982" s="30">
        <f>PM_Angle!$J$12+PM_Angle!$K$12*$C982+PM_Angle!$L$12*$B982</f>
      </c>
      <c r="U982" s="12">
        <f>IF(T982&gt;0,IF(T982&lt;=eco,alpha*fck*(1-(1-T982/eco)^n),alpha*fck),0)</f>
      </c>
      <c r="V982" s="30">
        <f>PM_Angle!$J$13+PM_Angle!$K$13*$C982+PM_Angle!$L$13*$B982</f>
      </c>
      <c r="W982" s="12">
        <f>IF(V982&gt;0,IF(V982&lt;=eco,alpha*fck*(1-(1-V982/eco)^n),alpha*fck),0)</f>
      </c>
      <c r="X982" s="30">
        <f>PM_Angle!$J$14+PM_Angle!$K$14*$C982+PM_Angle!$L$14*$B982</f>
      </c>
      <c r="Y982" s="12">
        <f>IF(X982&gt;0,IF(X982&lt;=eco,alpha*fck*(1-(1-X982/eco)^n),alpha*fck),0)</f>
      </c>
      <c r="Z982" s="30">
        <f>PM_Angle!$J$15+PM_Angle!$K$15*$C982+PM_Angle!$L$15*$B982</f>
      </c>
      <c r="AA982" s="12">
        <f>IF(Z982&gt;0,IF(Z982&lt;=eco,alpha*fck*(1-(1-Z982/eco)^n),alpha*fck),0)</f>
      </c>
      <c r="AB982" s="30">
        <f>PM_Angle!$J$16+PM_Angle!$K$16*$C982+PM_Angle!$L$16*$B982</f>
      </c>
      <c r="AC982" s="12">
        <f>IF(AB982&gt;0,IF(AB982&lt;=eco,alpha*fck*(1-(1-AB982/eco)^n),alpha*fck),0)</f>
      </c>
      <c r="AD982" s="30">
        <f>PM_Angle!$J$17+PM_Angle!$K$17*$C982+PM_Angle!$L$17*$B982</f>
      </c>
      <c r="AE982" s="12">
        <f>IF(AD982&gt;0,IF(AD982&lt;=eco,alpha*fck*(1-(1-AD982/eco)^n),alpha*fck),0)</f>
      </c>
      <c r="AF982" s="30">
        <f>PM_Angle!$J$18+PM_Angle!$K$18*$C982+PM_Angle!$L$18*$B982</f>
      </c>
      <c r="AG982" s="12">
        <f>IF(AF982&gt;0,IF(AF982&lt;=eco,alpha*fck*(1-(1-AF982/eco)^n),alpha*fck),0)</f>
      </c>
      <c r="AH982" s="30">
        <f>PM_Angle!$J$19+PM_Angle!$K$19*$C982+PM_Angle!$L$19*$B982</f>
      </c>
      <c r="AI982" s="12">
        <f>IF(AH982&gt;0,IF(AH982&lt;=eco,alpha*fck*(1-(1-AH982/eco)^n),alpha*fck),0)</f>
      </c>
      <c r="AJ982" s="30">
        <f>PM_Angle!$J$20+PM_Angle!$K$20*$C982+PM_Angle!$L$20*$B982</f>
      </c>
      <c r="AK982" s="12">
        <f>IF(AJ982&gt;0,IF(AJ982&lt;=eco,alpha*fck*(1-(1-AJ982/eco)^n),alpha*fck),0)</f>
      </c>
      <c r="AL982" s="30">
        <f>PM_Angle!$J$21+PM_Angle!$K$21*$C982+PM_Angle!$L$21*$B982</f>
      </c>
      <c r="AM982" s="12">
        <f>IF(AL982&gt;0,IF(AL982&lt;=eco,alpha*fck*(1-(1-AL982/eco)^n),alpha*fck),0)</f>
      </c>
      <c r="AN982" s="30">
        <f>PM_Angle!$J$22+PM_Angle!$K$22*$C982+PM_Angle!$L$22*$B982</f>
      </c>
      <c r="AO982" s="12">
        <f>IF(AN982&gt;0,IF(AN982&lt;=eco,alpha*fck*(1-(1-AN982/eco)^n),alpha*fck),0)</f>
      </c>
      <c r="AP982" s="30">
        <f>PM_Angle!$J$23+PM_Angle!$K$23*$C982+PM_Angle!$L$23*$B982</f>
      </c>
      <c r="AQ982" s="12">
        <f>IF(AP982&gt;0,IF(AP982&lt;=eco,alpha*fck*(1-(1-AP982/eco)^n),alpha*fck),0)</f>
      </c>
      <c r="AR982" s="30">
        <f>PM_Angle!$J$24+PM_Angle!$K$24*$C982+PM_Angle!$L$24*$B982</f>
      </c>
      <c r="AS982" s="12">
        <f>IF(AR982&gt;0,IF(AR982&lt;=eco,alpha*fck*(1-(1-AR982/eco)^n),alpha*fck),0)</f>
      </c>
      <c r="AT982" s="30">
        <f>PM_Angle!$J$25+PM_Angle!$K$25*$C982+PM_Angle!$L$25*$B982</f>
      </c>
      <c r="AU982" s="12">
        <f>IF(AT982&gt;0,IF(AT982&lt;=eco,alpha*fck*(1-(1-AT982/eco)^n),alpha*fck),0)</f>
      </c>
    </row>
    <row r="983" spans="1:47" x14ac:dyDescent="0.25">
      <c r="A983">
        <f>Mesh!A980</f>
      </c>
      <c r="B983" s="12">
        <f>Mesh!B980</f>
      </c>
      <c r="C983" s="12">
        <f>Mesh!C980</f>
      </c>
      <c r="D983" s="12">
        <f>Mesh!D980</f>
      </c>
      <c r="E983" s="30">
        <f>INDEX(St_e0,Det+1)+INDEX(St_kx,Det+1)*C983+INDEX(St_ky,Det+1)*B983</f>
      </c>
      <c r="F983" s="12">
        <f>IF(E983&gt;0,IF(E983&lt;=eco,alpha*fck*(1-(1-E983/eco)^n),alpha*fck),0)</f>
      </c>
      <c r="G983" s="11">
        <f>F983*D983</f>
      </c>
      <c r="H983" s="11">
        <f>G983*C983</f>
      </c>
      <c r="I983" s="11">
        <f>G983*B983</f>
      </c>
      <c r="J983" s="30">
        <f>PM_Angle!$J$7+PM_Angle!$K$7*$C983+PM_Angle!$L$7*$B983</f>
      </c>
      <c r="K983" s="12">
        <f>IF(J983&gt;0,IF(J983&lt;=eco,alpha*fck*(1-(1-J983/eco)^n),alpha*fck),0)</f>
      </c>
      <c r="L983" s="30">
        <f>PM_Angle!$J$8+PM_Angle!$K$8*$C983+PM_Angle!$L$8*$B983</f>
      </c>
      <c r="M983" s="12">
        <f>IF(L983&gt;0,IF(L983&lt;=eco,alpha*fck*(1-(1-L983/eco)^n),alpha*fck),0)</f>
      </c>
      <c r="N983" s="30">
        <f>PM_Angle!$J$9+PM_Angle!$K$9*$C983+PM_Angle!$L$9*$B983</f>
      </c>
      <c r="O983" s="12">
        <f>IF(N983&gt;0,IF(N983&lt;=eco,alpha*fck*(1-(1-N983/eco)^n),alpha*fck),0)</f>
      </c>
      <c r="P983" s="30">
        <f>PM_Angle!$J$10+PM_Angle!$K$10*$C983+PM_Angle!$L$10*$B983</f>
      </c>
      <c r="Q983" s="12">
        <f>IF(P983&gt;0,IF(P983&lt;=eco,alpha*fck*(1-(1-P983/eco)^n),alpha*fck),0)</f>
      </c>
      <c r="R983" s="30">
        <f>PM_Angle!$J$11+PM_Angle!$K$11*$C983+PM_Angle!$L$11*$B983</f>
      </c>
      <c r="S983" s="12">
        <f>IF(R983&gt;0,IF(R983&lt;=eco,alpha*fck*(1-(1-R983/eco)^n),alpha*fck),0)</f>
      </c>
      <c r="T983" s="30">
        <f>PM_Angle!$J$12+PM_Angle!$K$12*$C983+PM_Angle!$L$12*$B983</f>
      </c>
      <c r="U983" s="12">
        <f>IF(T983&gt;0,IF(T983&lt;=eco,alpha*fck*(1-(1-T983/eco)^n),alpha*fck),0)</f>
      </c>
      <c r="V983" s="30">
        <f>PM_Angle!$J$13+PM_Angle!$K$13*$C983+PM_Angle!$L$13*$B983</f>
      </c>
      <c r="W983" s="12">
        <f>IF(V983&gt;0,IF(V983&lt;=eco,alpha*fck*(1-(1-V983/eco)^n),alpha*fck),0)</f>
      </c>
      <c r="X983" s="30">
        <f>PM_Angle!$J$14+PM_Angle!$K$14*$C983+PM_Angle!$L$14*$B983</f>
      </c>
      <c r="Y983" s="12">
        <f>IF(X983&gt;0,IF(X983&lt;=eco,alpha*fck*(1-(1-X983/eco)^n),alpha*fck),0)</f>
      </c>
      <c r="Z983" s="30">
        <f>PM_Angle!$J$15+PM_Angle!$K$15*$C983+PM_Angle!$L$15*$B983</f>
      </c>
      <c r="AA983" s="12">
        <f>IF(Z983&gt;0,IF(Z983&lt;=eco,alpha*fck*(1-(1-Z983/eco)^n),alpha*fck),0)</f>
      </c>
      <c r="AB983" s="30">
        <f>PM_Angle!$J$16+PM_Angle!$K$16*$C983+PM_Angle!$L$16*$B983</f>
      </c>
      <c r="AC983" s="12">
        <f>IF(AB983&gt;0,IF(AB983&lt;=eco,alpha*fck*(1-(1-AB983/eco)^n),alpha*fck),0)</f>
      </c>
      <c r="AD983" s="30">
        <f>PM_Angle!$J$17+PM_Angle!$K$17*$C983+PM_Angle!$L$17*$B983</f>
      </c>
      <c r="AE983" s="12">
        <f>IF(AD983&gt;0,IF(AD983&lt;=eco,alpha*fck*(1-(1-AD983/eco)^n),alpha*fck),0)</f>
      </c>
      <c r="AF983" s="30">
        <f>PM_Angle!$J$18+PM_Angle!$K$18*$C983+PM_Angle!$L$18*$B983</f>
      </c>
      <c r="AG983" s="12">
        <f>IF(AF983&gt;0,IF(AF983&lt;=eco,alpha*fck*(1-(1-AF983/eco)^n),alpha*fck),0)</f>
      </c>
      <c r="AH983" s="30">
        <f>PM_Angle!$J$19+PM_Angle!$K$19*$C983+PM_Angle!$L$19*$B983</f>
      </c>
      <c r="AI983" s="12">
        <f>IF(AH983&gt;0,IF(AH983&lt;=eco,alpha*fck*(1-(1-AH983/eco)^n),alpha*fck),0)</f>
      </c>
      <c r="AJ983" s="30">
        <f>PM_Angle!$J$20+PM_Angle!$K$20*$C983+PM_Angle!$L$20*$B983</f>
      </c>
      <c r="AK983" s="12">
        <f>IF(AJ983&gt;0,IF(AJ983&lt;=eco,alpha*fck*(1-(1-AJ983/eco)^n),alpha*fck),0)</f>
      </c>
      <c r="AL983" s="30">
        <f>PM_Angle!$J$21+PM_Angle!$K$21*$C983+PM_Angle!$L$21*$B983</f>
      </c>
      <c r="AM983" s="12">
        <f>IF(AL983&gt;0,IF(AL983&lt;=eco,alpha*fck*(1-(1-AL983/eco)^n),alpha*fck),0)</f>
      </c>
      <c r="AN983" s="30">
        <f>PM_Angle!$J$22+PM_Angle!$K$22*$C983+PM_Angle!$L$22*$B983</f>
      </c>
      <c r="AO983" s="12">
        <f>IF(AN983&gt;0,IF(AN983&lt;=eco,alpha*fck*(1-(1-AN983/eco)^n),alpha*fck),0)</f>
      </c>
      <c r="AP983" s="30">
        <f>PM_Angle!$J$23+PM_Angle!$K$23*$C983+PM_Angle!$L$23*$B983</f>
      </c>
      <c r="AQ983" s="12">
        <f>IF(AP983&gt;0,IF(AP983&lt;=eco,alpha*fck*(1-(1-AP983/eco)^n),alpha*fck),0)</f>
      </c>
      <c r="AR983" s="30">
        <f>PM_Angle!$J$24+PM_Angle!$K$24*$C983+PM_Angle!$L$24*$B983</f>
      </c>
      <c r="AS983" s="12">
        <f>IF(AR983&gt;0,IF(AR983&lt;=eco,alpha*fck*(1-(1-AR983/eco)^n),alpha*fck),0)</f>
      </c>
      <c r="AT983" s="30">
        <f>PM_Angle!$J$25+PM_Angle!$K$25*$C983+PM_Angle!$L$25*$B983</f>
      </c>
      <c r="AU983" s="12">
        <f>IF(AT983&gt;0,IF(AT983&lt;=eco,alpha*fck*(1-(1-AT983/eco)^n),alpha*fck),0)</f>
      </c>
    </row>
    <row r="984" spans="1:47" x14ac:dyDescent="0.25">
      <c r="A984">
        <f>Mesh!A981</f>
      </c>
      <c r="B984" s="12">
        <f>Mesh!B981</f>
      </c>
      <c r="C984" s="12">
        <f>Mesh!C981</f>
      </c>
      <c r="D984" s="12">
        <f>Mesh!D981</f>
      </c>
      <c r="E984" s="30">
        <f>INDEX(St_e0,Det+1)+INDEX(St_kx,Det+1)*C984+INDEX(St_ky,Det+1)*B984</f>
      </c>
      <c r="F984" s="12">
        <f>IF(E984&gt;0,IF(E984&lt;=eco,alpha*fck*(1-(1-E984/eco)^n),alpha*fck),0)</f>
      </c>
      <c r="G984" s="11">
        <f>F984*D984</f>
      </c>
      <c r="H984" s="11">
        <f>G984*C984</f>
      </c>
      <c r="I984" s="11">
        <f>G984*B984</f>
      </c>
      <c r="J984" s="30">
        <f>PM_Angle!$J$7+PM_Angle!$K$7*$C984+PM_Angle!$L$7*$B984</f>
      </c>
      <c r="K984" s="12">
        <f>IF(J984&gt;0,IF(J984&lt;=eco,alpha*fck*(1-(1-J984/eco)^n),alpha*fck),0)</f>
      </c>
      <c r="L984" s="30">
        <f>PM_Angle!$J$8+PM_Angle!$K$8*$C984+PM_Angle!$L$8*$B984</f>
      </c>
      <c r="M984" s="12">
        <f>IF(L984&gt;0,IF(L984&lt;=eco,alpha*fck*(1-(1-L984/eco)^n),alpha*fck),0)</f>
      </c>
      <c r="N984" s="30">
        <f>PM_Angle!$J$9+PM_Angle!$K$9*$C984+PM_Angle!$L$9*$B984</f>
      </c>
      <c r="O984" s="12">
        <f>IF(N984&gt;0,IF(N984&lt;=eco,alpha*fck*(1-(1-N984/eco)^n),alpha*fck),0)</f>
      </c>
      <c r="P984" s="30">
        <f>PM_Angle!$J$10+PM_Angle!$K$10*$C984+PM_Angle!$L$10*$B984</f>
      </c>
      <c r="Q984" s="12">
        <f>IF(P984&gt;0,IF(P984&lt;=eco,alpha*fck*(1-(1-P984/eco)^n),alpha*fck),0)</f>
      </c>
      <c r="R984" s="30">
        <f>PM_Angle!$J$11+PM_Angle!$K$11*$C984+PM_Angle!$L$11*$B984</f>
      </c>
      <c r="S984" s="12">
        <f>IF(R984&gt;0,IF(R984&lt;=eco,alpha*fck*(1-(1-R984/eco)^n),alpha*fck),0)</f>
      </c>
      <c r="T984" s="30">
        <f>PM_Angle!$J$12+PM_Angle!$K$12*$C984+PM_Angle!$L$12*$B984</f>
      </c>
      <c r="U984" s="12">
        <f>IF(T984&gt;0,IF(T984&lt;=eco,alpha*fck*(1-(1-T984/eco)^n),alpha*fck),0)</f>
      </c>
      <c r="V984" s="30">
        <f>PM_Angle!$J$13+PM_Angle!$K$13*$C984+PM_Angle!$L$13*$B984</f>
      </c>
      <c r="W984" s="12">
        <f>IF(V984&gt;0,IF(V984&lt;=eco,alpha*fck*(1-(1-V984/eco)^n),alpha*fck),0)</f>
      </c>
      <c r="X984" s="30">
        <f>PM_Angle!$J$14+PM_Angle!$K$14*$C984+PM_Angle!$L$14*$B984</f>
      </c>
      <c r="Y984" s="12">
        <f>IF(X984&gt;0,IF(X984&lt;=eco,alpha*fck*(1-(1-X984/eco)^n),alpha*fck),0)</f>
      </c>
      <c r="Z984" s="30">
        <f>PM_Angle!$J$15+PM_Angle!$K$15*$C984+PM_Angle!$L$15*$B984</f>
      </c>
      <c r="AA984" s="12">
        <f>IF(Z984&gt;0,IF(Z984&lt;=eco,alpha*fck*(1-(1-Z984/eco)^n),alpha*fck),0)</f>
      </c>
      <c r="AB984" s="30">
        <f>PM_Angle!$J$16+PM_Angle!$K$16*$C984+PM_Angle!$L$16*$B984</f>
      </c>
      <c r="AC984" s="12">
        <f>IF(AB984&gt;0,IF(AB984&lt;=eco,alpha*fck*(1-(1-AB984/eco)^n),alpha*fck),0)</f>
      </c>
      <c r="AD984" s="30">
        <f>PM_Angle!$J$17+PM_Angle!$K$17*$C984+PM_Angle!$L$17*$B984</f>
      </c>
      <c r="AE984" s="12">
        <f>IF(AD984&gt;0,IF(AD984&lt;=eco,alpha*fck*(1-(1-AD984/eco)^n),alpha*fck),0)</f>
      </c>
      <c r="AF984" s="30">
        <f>PM_Angle!$J$18+PM_Angle!$K$18*$C984+PM_Angle!$L$18*$B984</f>
      </c>
      <c r="AG984" s="12">
        <f>IF(AF984&gt;0,IF(AF984&lt;=eco,alpha*fck*(1-(1-AF984/eco)^n),alpha*fck),0)</f>
      </c>
      <c r="AH984" s="30">
        <f>PM_Angle!$J$19+PM_Angle!$K$19*$C984+PM_Angle!$L$19*$B984</f>
      </c>
      <c r="AI984" s="12">
        <f>IF(AH984&gt;0,IF(AH984&lt;=eco,alpha*fck*(1-(1-AH984/eco)^n),alpha*fck),0)</f>
      </c>
      <c r="AJ984" s="30">
        <f>PM_Angle!$J$20+PM_Angle!$K$20*$C984+PM_Angle!$L$20*$B984</f>
      </c>
      <c r="AK984" s="12">
        <f>IF(AJ984&gt;0,IF(AJ984&lt;=eco,alpha*fck*(1-(1-AJ984/eco)^n),alpha*fck),0)</f>
      </c>
      <c r="AL984" s="30">
        <f>PM_Angle!$J$21+PM_Angle!$K$21*$C984+PM_Angle!$L$21*$B984</f>
      </c>
      <c r="AM984" s="12">
        <f>IF(AL984&gt;0,IF(AL984&lt;=eco,alpha*fck*(1-(1-AL984/eco)^n),alpha*fck),0)</f>
      </c>
      <c r="AN984" s="30">
        <f>PM_Angle!$J$22+PM_Angle!$K$22*$C984+PM_Angle!$L$22*$B984</f>
      </c>
      <c r="AO984" s="12">
        <f>IF(AN984&gt;0,IF(AN984&lt;=eco,alpha*fck*(1-(1-AN984/eco)^n),alpha*fck),0)</f>
      </c>
      <c r="AP984" s="30">
        <f>PM_Angle!$J$23+PM_Angle!$K$23*$C984+PM_Angle!$L$23*$B984</f>
      </c>
      <c r="AQ984" s="12">
        <f>IF(AP984&gt;0,IF(AP984&lt;=eco,alpha*fck*(1-(1-AP984/eco)^n),alpha*fck),0)</f>
      </c>
      <c r="AR984" s="30">
        <f>PM_Angle!$J$24+PM_Angle!$K$24*$C984+PM_Angle!$L$24*$B984</f>
      </c>
      <c r="AS984" s="12">
        <f>IF(AR984&gt;0,IF(AR984&lt;=eco,alpha*fck*(1-(1-AR984/eco)^n),alpha*fck),0)</f>
      </c>
      <c r="AT984" s="30">
        <f>PM_Angle!$J$25+PM_Angle!$K$25*$C984+PM_Angle!$L$25*$B984</f>
      </c>
      <c r="AU984" s="12">
        <f>IF(AT984&gt;0,IF(AT984&lt;=eco,alpha*fck*(1-(1-AT984/eco)^n),alpha*fck),0)</f>
      </c>
    </row>
    <row r="985" spans="1:47" x14ac:dyDescent="0.25">
      <c r="A985">
        <f>Mesh!A982</f>
      </c>
      <c r="B985" s="12">
        <f>Mesh!B982</f>
      </c>
      <c r="C985" s="12">
        <f>Mesh!C982</f>
      </c>
      <c r="D985" s="12">
        <f>Mesh!D982</f>
      </c>
      <c r="E985" s="30">
        <f>INDEX(St_e0,Det+1)+INDEX(St_kx,Det+1)*C985+INDEX(St_ky,Det+1)*B985</f>
      </c>
      <c r="F985" s="12">
        <f>IF(E985&gt;0,IF(E985&lt;=eco,alpha*fck*(1-(1-E985/eco)^n),alpha*fck),0)</f>
      </c>
      <c r="G985" s="11">
        <f>F985*D985</f>
      </c>
      <c r="H985" s="11">
        <f>G985*C985</f>
      </c>
      <c r="I985" s="11">
        <f>G985*B985</f>
      </c>
      <c r="J985" s="30">
        <f>PM_Angle!$J$7+PM_Angle!$K$7*$C985+PM_Angle!$L$7*$B985</f>
      </c>
      <c r="K985" s="12">
        <f>IF(J985&gt;0,IF(J985&lt;=eco,alpha*fck*(1-(1-J985/eco)^n),alpha*fck),0)</f>
      </c>
      <c r="L985" s="30">
        <f>PM_Angle!$J$8+PM_Angle!$K$8*$C985+PM_Angle!$L$8*$B985</f>
      </c>
      <c r="M985" s="12">
        <f>IF(L985&gt;0,IF(L985&lt;=eco,alpha*fck*(1-(1-L985/eco)^n),alpha*fck),0)</f>
      </c>
      <c r="N985" s="30">
        <f>PM_Angle!$J$9+PM_Angle!$K$9*$C985+PM_Angle!$L$9*$B985</f>
      </c>
      <c r="O985" s="12">
        <f>IF(N985&gt;0,IF(N985&lt;=eco,alpha*fck*(1-(1-N985/eco)^n),alpha*fck),0)</f>
      </c>
      <c r="P985" s="30">
        <f>PM_Angle!$J$10+PM_Angle!$K$10*$C985+PM_Angle!$L$10*$B985</f>
      </c>
      <c r="Q985" s="12">
        <f>IF(P985&gt;0,IF(P985&lt;=eco,alpha*fck*(1-(1-P985/eco)^n),alpha*fck),0)</f>
      </c>
      <c r="R985" s="30">
        <f>PM_Angle!$J$11+PM_Angle!$K$11*$C985+PM_Angle!$L$11*$B985</f>
      </c>
      <c r="S985" s="12">
        <f>IF(R985&gt;0,IF(R985&lt;=eco,alpha*fck*(1-(1-R985/eco)^n),alpha*fck),0)</f>
      </c>
      <c r="T985" s="30">
        <f>PM_Angle!$J$12+PM_Angle!$K$12*$C985+PM_Angle!$L$12*$B985</f>
      </c>
      <c r="U985" s="12">
        <f>IF(T985&gt;0,IF(T985&lt;=eco,alpha*fck*(1-(1-T985/eco)^n),alpha*fck),0)</f>
      </c>
      <c r="V985" s="30">
        <f>PM_Angle!$J$13+PM_Angle!$K$13*$C985+PM_Angle!$L$13*$B985</f>
      </c>
      <c r="W985" s="12">
        <f>IF(V985&gt;0,IF(V985&lt;=eco,alpha*fck*(1-(1-V985/eco)^n),alpha*fck),0)</f>
      </c>
      <c r="X985" s="30">
        <f>PM_Angle!$J$14+PM_Angle!$K$14*$C985+PM_Angle!$L$14*$B985</f>
      </c>
      <c r="Y985" s="12">
        <f>IF(X985&gt;0,IF(X985&lt;=eco,alpha*fck*(1-(1-X985/eco)^n),alpha*fck),0)</f>
      </c>
      <c r="Z985" s="30">
        <f>PM_Angle!$J$15+PM_Angle!$K$15*$C985+PM_Angle!$L$15*$B985</f>
      </c>
      <c r="AA985" s="12">
        <f>IF(Z985&gt;0,IF(Z985&lt;=eco,alpha*fck*(1-(1-Z985/eco)^n),alpha*fck),0)</f>
      </c>
      <c r="AB985" s="30">
        <f>PM_Angle!$J$16+PM_Angle!$K$16*$C985+PM_Angle!$L$16*$B985</f>
      </c>
      <c r="AC985" s="12">
        <f>IF(AB985&gt;0,IF(AB985&lt;=eco,alpha*fck*(1-(1-AB985/eco)^n),alpha*fck),0)</f>
      </c>
      <c r="AD985" s="30">
        <f>PM_Angle!$J$17+PM_Angle!$K$17*$C985+PM_Angle!$L$17*$B985</f>
      </c>
      <c r="AE985" s="12">
        <f>IF(AD985&gt;0,IF(AD985&lt;=eco,alpha*fck*(1-(1-AD985/eco)^n),alpha*fck),0)</f>
      </c>
      <c r="AF985" s="30">
        <f>PM_Angle!$J$18+PM_Angle!$K$18*$C985+PM_Angle!$L$18*$B985</f>
      </c>
      <c r="AG985" s="12">
        <f>IF(AF985&gt;0,IF(AF985&lt;=eco,alpha*fck*(1-(1-AF985/eco)^n),alpha*fck),0)</f>
      </c>
      <c r="AH985" s="30">
        <f>PM_Angle!$J$19+PM_Angle!$K$19*$C985+PM_Angle!$L$19*$B985</f>
      </c>
      <c r="AI985" s="12">
        <f>IF(AH985&gt;0,IF(AH985&lt;=eco,alpha*fck*(1-(1-AH985/eco)^n),alpha*fck),0)</f>
      </c>
      <c r="AJ985" s="30">
        <f>PM_Angle!$J$20+PM_Angle!$K$20*$C985+PM_Angle!$L$20*$B985</f>
      </c>
      <c r="AK985" s="12">
        <f>IF(AJ985&gt;0,IF(AJ985&lt;=eco,alpha*fck*(1-(1-AJ985/eco)^n),alpha*fck),0)</f>
      </c>
      <c r="AL985" s="30">
        <f>PM_Angle!$J$21+PM_Angle!$K$21*$C985+PM_Angle!$L$21*$B985</f>
      </c>
      <c r="AM985" s="12">
        <f>IF(AL985&gt;0,IF(AL985&lt;=eco,alpha*fck*(1-(1-AL985/eco)^n),alpha*fck),0)</f>
      </c>
      <c r="AN985" s="30">
        <f>PM_Angle!$J$22+PM_Angle!$K$22*$C985+PM_Angle!$L$22*$B985</f>
      </c>
      <c r="AO985" s="12">
        <f>IF(AN985&gt;0,IF(AN985&lt;=eco,alpha*fck*(1-(1-AN985/eco)^n),alpha*fck),0)</f>
      </c>
      <c r="AP985" s="30">
        <f>PM_Angle!$J$23+PM_Angle!$K$23*$C985+PM_Angle!$L$23*$B985</f>
      </c>
      <c r="AQ985" s="12">
        <f>IF(AP985&gt;0,IF(AP985&lt;=eco,alpha*fck*(1-(1-AP985/eco)^n),alpha*fck),0)</f>
      </c>
      <c r="AR985" s="30">
        <f>PM_Angle!$J$24+PM_Angle!$K$24*$C985+PM_Angle!$L$24*$B985</f>
      </c>
      <c r="AS985" s="12">
        <f>IF(AR985&gt;0,IF(AR985&lt;=eco,alpha*fck*(1-(1-AR985/eco)^n),alpha*fck),0)</f>
      </c>
      <c r="AT985" s="30">
        <f>PM_Angle!$J$25+PM_Angle!$K$25*$C985+PM_Angle!$L$25*$B985</f>
      </c>
      <c r="AU985" s="12">
        <f>IF(AT985&gt;0,IF(AT985&lt;=eco,alpha*fck*(1-(1-AT985/eco)^n),alpha*fck),0)</f>
      </c>
    </row>
    <row r="986" spans="1:47" x14ac:dyDescent="0.25">
      <c r="A986">
        <f>Mesh!A983</f>
      </c>
      <c r="B986" s="12">
        <f>Mesh!B983</f>
      </c>
      <c r="C986" s="12">
        <f>Mesh!C983</f>
      </c>
      <c r="D986" s="12">
        <f>Mesh!D983</f>
      </c>
      <c r="E986" s="30">
        <f>INDEX(St_e0,Det+1)+INDEX(St_kx,Det+1)*C986+INDEX(St_ky,Det+1)*B986</f>
      </c>
      <c r="F986" s="12">
        <f>IF(E986&gt;0,IF(E986&lt;=eco,alpha*fck*(1-(1-E986/eco)^n),alpha*fck),0)</f>
      </c>
      <c r="G986" s="11">
        <f>F986*D986</f>
      </c>
      <c r="H986" s="11">
        <f>G986*C986</f>
      </c>
      <c r="I986" s="11">
        <f>G986*B986</f>
      </c>
      <c r="J986" s="30">
        <f>PM_Angle!$J$7+PM_Angle!$K$7*$C986+PM_Angle!$L$7*$B986</f>
      </c>
      <c r="K986" s="12">
        <f>IF(J986&gt;0,IF(J986&lt;=eco,alpha*fck*(1-(1-J986/eco)^n),alpha*fck),0)</f>
      </c>
      <c r="L986" s="30">
        <f>PM_Angle!$J$8+PM_Angle!$K$8*$C986+PM_Angle!$L$8*$B986</f>
      </c>
      <c r="M986" s="12">
        <f>IF(L986&gt;0,IF(L986&lt;=eco,alpha*fck*(1-(1-L986/eco)^n),alpha*fck),0)</f>
      </c>
      <c r="N986" s="30">
        <f>PM_Angle!$J$9+PM_Angle!$K$9*$C986+PM_Angle!$L$9*$B986</f>
      </c>
      <c r="O986" s="12">
        <f>IF(N986&gt;0,IF(N986&lt;=eco,alpha*fck*(1-(1-N986/eco)^n),alpha*fck),0)</f>
      </c>
      <c r="P986" s="30">
        <f>PM_Angle!$J$10+PM_Angle!$K$10*$C986+PM_Angle!$L$10*$B986</f>
      </c>
      <c r="Q986" s="12">
        <f>IF(P986&gt;0,IF(P986&lt;=eco,alpha*fck*(1-(1-P986/eco)^n),alpha*fck),0)</f>
      </c>
      <c r="R986" s="30">
        <f>PM_Angle!$J$11+PM_Angle!$K$11*$C986+PM_Angle!$L$11*$B986</f>
      </c>
      <c r="S986" s="12">
        <f>IF(R986&gt;0,IF(R986&lt;=eco,alpha*fck*(1-(1-R986/eco)^n),alpha*fck),0)</f>
      </c>
      <c r="T986" s="30">
        <f>PM_Angle!$J$12+PM_Angle!$K$12*$C986+PM_Angle!$L$12*$B986</f>
      </c>
      <c r="U986" s="12">
        <f>IF(T986&gt;0,IF(T986&lt;=eco,alpha*fck*(1-(1-T986/eco)^n),alpha*fck),0)</f>
      </c>
      <c r="V986" s="30">
        <f>PM_Angle!$J$13+PM_Angle!$K$13*$C986+PM_Angle!$L$13*$B986</f>
      </c>
      <c r="W986" s="12">
        <f>IF(V986&gt;0,IF(V986&lt;=eco,alpha*fck*(1-(1-V986/eco)^n),alpha*fck),0)</f>
      </c>
      <c r="X986" s="30">
        <f>PM_Angle!$J$14+PM_Angle!$K$14*$C986+PM_Angle!$L$14*$B986</f>
      </c>
      <c r="Y986" s="12">
        <f>IF(X986&gt;0,IF(X986&lt;=eco,alpha*fck*(1-(1-X986/eco)^n),alpha*fck),0)</f>
      </c>
      <c r="Z986" s="30">
        <f>PM_Angle!$J$15+PM_Angle!$K$15*$C986+PM_Angle!$L$15*$B986</f>
      </c>
      <c r="AA986" s="12">
        <f>IF(Z986&gt;0,IF(Z986&lt;=eco,alpha*fck*(1-(1-Z986/eco)^n),alpha*fck),0)</f>
      </c>
      <c r="AB986" s="30">
        <f>PM_Angle!$J$16+PM_Angle!$K$16*$C986+PM_Angle!$L$16*$B986</f>
      </c>
      <c r="AC986" s="12">
        <f>IF(AB986&gt;0,IF(AB986&lt;=eco,alpha*fck*(1-(1-AB986/eco)^n),alpha*fck),0)</f>
      </c>
      <c r="AD986" s="30">
        <f>PM_Angle!$J$17+PM_Angle!$K$17*$C986+PM_Angle!$L$17*$B986</f>
      </c>
      <c r="AE986" s="12">
        <f>IF(AD986&gt;0,IF(AD986&lt;=eco,alpha*fck*(1-(1-AD986/eco)^n),alpha*fck),0)</f>
      </c>
      <c r="AF986" s="30">
        <f>PM_Angle!$J$18+PM_Angle!$K$18*$C986+PM_Angle!$L$18*$B986</f>
      </c>
      <c r="AG986" s="12">
        <f>IF(AF986&gt;0,IF(AF986&lt;=eco,alpha*fck*(1-(1-AF986/eco)^n),alpha*fck),0)</f>
      </c>
      <c r="AH986" s="30">
        <f>PM_Angle!$J$19+PM_Angle!$K$19*$C986+PM_Angle!$L$19*$B986</f>
      </c>
      <c r="AI986" s="12">
        <f>IF(AH986&gt;0,IF(AH986&lt;=eco,alpha*fck*(1-(1-AH986/eco)^n),alpha*fck),0)</f>
      </c>
      <c r="AJ986" s="30">
        <f>PM_Angle!$J$20+PM_Angle!$K$20*$C986+PM_Angle!$L$20*$B986</f>
      </c>
      <c r="AK986" s="12">
        <f>IF(AJ986&gt;0,IF(AJ986&lt;=eco,alpha*fck*(1-(1-AJ986/eco)^n),alpha*fck),0)</f>
      </c>
      <c r="AL986" s="30">
        <f>PM_Angle!$J$21+PM_Angle!$K$21*$C986+PM_Angle!$L$21*$B986</f>
      </c>
      <c r="AM986" s="12">
        <f>IF(AL986&gt;0,IF(AL986&lt;=eco,alpha*fck*(1-(1-AL986/eco)^n),alpha*fck),0)</f>
      </c>
      <c r="AN986" s="30">
        <f>PM_Angle!$J$22+PM_Angle!$K$22*$C986+PM_Angle!$L$22*$B986</f>
      </c>
      <c r="AO986" s="12">
        <f>IF(AN986&gt;0,IF(AN986&lt;=eco,alpha*fck*(1-(1-AN986/eco)^n),alpha*fck),0)</f>
      </c>
      <c r="AP986" s="30">
        <f>PM_Angle!$J$23+PM_Angle!$K$23*$C986+PM_Angle!$L$23*$B986</f>
      </c>
      <c r="AQ986" s="12">
        <f>IF(AP986&gt;0,IF(AP986&lt;=eco,alpha*fck*(1-(1-AP986/eco)^n),alpha*fck),0)</f>
      </c>
      <c r="AR986" s="30">
        <f>PM_Angle!$J$24+PM_Angle!$K$24*$C986+PM_Angle!$L$24*$B986</f>
      </c>
      <c r="AS986" s="12">
        <f>IF(AR986&gt;0,IF(AR986&lt;=eco,alpha*fck*(1-(1-AR986/eco)^n),alpha*fck),0)</f>
      </c>
      <c r="AT986" s="30">
        <f>PM_Angle!$J$25+PM_Angle!$K$25*$C986+PM_Angle!$L$25*$B986</f>
      </c>
      <c r="AU986" s="12">
        <f>IF(AT986&gt;0,IF(AT986&lt;=eco,alpha*fck*(1-(1-AT986/eco)^n),alpha*fck),0)</f>
      </c>
    </row>
    <row r="987" spans="1:47" x14ac:dyDescent="0.25">
      <c r="A987">
        <f>Mesh!A984</f>
      </c>
      <c r="B987" s="12">
        <f>Mesh!B984</f>
      </c>
      <c r="C987" s="12">
        <f>Mesh!C984</f>
      </c>
      <c r="D987" s="12">
        <f>Mesh!D984</f>
      </c>
      <c r="E987" s="30">
        <f>INDEX(St_e0,Det+1)+INDEX(St_kx,Det+1)*C987+INDEX(St_ky,Det+1)*B987</f>
      </c>
      <c r="F987" s="12">
        <f>IF(E987&gt;0,IF(E987&lt;=eco,alpha*fck*(1-(1-E987/eco)^n),alpha*fck),0)</f>
      </c>
      <c r="G987" s="11">
        <f>F987*D987</f>
      </c>
      <c r="H987" s="11">
        <f>G987*C987</f>
      </c>
      <c r="I987" s="11">
        <f>G987*B987</f>
      </c>
      <c r="J987" s="30">
        <f>PM_Angle!$J$7+PM_Angle!$K$7*$C987+PM_Angle!$L$7*$B987</f>
      </c>
      <c r="K987" s="12">
        <f>IF(J987&gt;0,IF(J987&lt;=eco,alpha*fck*(1-(1-J987/eco)^n),alpha*fck),0)</f>
      </c>
      <c r="L987" s="30">
        <f>PM_Angle!$J$8+PM_Angle!$K$8*$C987+PM_Angle!$L$8*$B987</f>
      </c>
      <c r="M987" s="12">
        <f>IF(L987&gt;0,IF(L987&lt;=eco,alpha*fck*(1-(1-L987/eco)^n),alpha*fck),0)</f>
      </c>
      <c r="N987" s="30">
        <f>PM_Angle!$J$9+PM_Angle!$K$9*$C987+PM_Angle!$L$9*$B987</f>
      </c>
      <c r="O987" s="12">
        <f>IF(N987&gt;0,IF(N987&lt;=eco,alpha*fck*(1-(1-N987/eco)^n),alpha*fck),0)</f>
      </c>
      <c r="P987" s="30">
        <f>PM_Angle!$J$10+PM_Angle!$K$10*$C987+PM_Angle!$L$10*$B987</f>
      </c>
      <c r="Q987" s="12">
        <f>IF(P987&gt;0,IF(P987&lt;=eco,alpha*fck*(1-(1-P987/eco)^n),alpha*fck),0)</f>
      </c>
      <c r="R987" s="30">
        <f>PM_Angle!$J$11+PM_Angle!$K$11*$C987+PM_Angle!$L$11*$B987</f>
      </c>
      <c r="S987" s="12">
        <f>IF(R987&gt;0,IF(R987&lt;=eco,alpha*fck*(1-(1-R987/eco)^n),alpha*fck),0)</f>
      </c>
      <c r="T987" s="30">
        <f>PM_Angle!$J$12+PM_Angle!$K$12*$C987+PM_Angle!$L$12*$B987</f>
      </c>
      <c r="U987" s="12">
        <f>IF(T987&gt;0,IF(T987&lt;=eco,alpha*fck*(1-(1-T987/eco)^n),alpha*fck),0)</f>
      </c>
      <c r="V987" s="30">
        <f>PM_Angle!$J$13+PM_Angle!$K$13*$C987+PM_Angle!$L$13*$B987</f>
      </c>
      <c r="W987" s="12">
        <f>IF(V987&gt;0,IF(V987&lt;=eco,alpha*fck*(1-(1-V987/eco)^n),alpha*fck),0)</f>
      </c>
      <c r="X987" s="30">
        <f>PM_Angle!$J$14+PM_Angle!$K$14*$C987+PM_Angle!$L$14*$B987</f>
      </c>
      <c r="Y987" s="12">
        <f>IF(X987&gt;0,IF(X987&lt;=eco,alpha*fck*(1-(1-X987/eco)^n),alpha*fck),0)</f>
      </c>
      <c r="Z987" s="30">
        <f>PM_Angle!$J$15+PM_Angle!$K$15*$C987+PM_Angle!$L$15*$B987</f>
      </c>
      <c r="AA987" s="12">
        <f>IF(Z987&gt;0,IF(Z987&lt;=eco,alpha*fck*(1-(1-Z987/eco)^n),alpha*fck),0)</f>
      </c>
      <c r="AB987" s="30">
        <f>PM_Angle!$J$16+PM_Angle!$K$16*$C987+PM_Angle!$L$16*$B987</f>
      </c>
      <c r="AC987" s="12">
        <f>IF(AB987&gt;0,IF(AB987&lt;=eco,alpha*fck*(1-(1-AB987/eco)^n),alpha*fck),0)</f>
      </c>
      <c r="AD987" s="30">
        <f>PM_Angle!$J$17+PM_Angle!$K$17*$C987+PM_Angle!$L$17*$B987</f>
      </c>
      <c r="AE987" s="12">
        <f>IF(AD987&gt;0,IF(AD987&lt;=eco,alpha*fck*(1-(1-AD987/eco)^n),alpha*fck),0)</f>
      </c>
      <c r="AF987" s="30">
        <f>PM_Angle!$J$18+PM_Angle!$K$18*$C987+PM_Angle!$L$18*$B987</f>
      </c>
      <c r="AG987" s="12">
        <f>IF(AF987&gt;0,IF(AF987&lt;=eco,alpha*fck*(1-(1-AF987/eco)^n),alpha*fck),0)</f>
      </c>
      <c r="AH987" s="30">
        <f>PM_Angle!$J$19+PM_Angle!$K$19*$C987+PM_Angle!$L$19*$B987</f>
      </c>
      <c r="AI987" s="12">
        <f>IF(AH987&gt;0,IF(AH987&lt;=eco,alpha*fck*(1-(1-AH987/eco)^n),alpha*fck),0)</f>
      </c>
      <c r="AJ987" s="30">
        <f>PM_Angle!$J$20+PM_Angle!$K$20*$C987+PM_Angle!$L$20*$B987</f>
      </c>
      <c r="AK987" s="12">
        <f>IF(AJ987&gt;0,IF(AJ987&lt;=eco,alpha*fck*(1-(1-AJ987/eco)^n),alpha*fck),0)</f>
      </c>
      <c r="AL987" s="30">
        <f>PM_Angle!$J$21+PM_Angle!$K$21*$C987+PM_Angle!$L$21*$B987</f>
      </c>
      <c r="AM987" s="12">
        <f>IF(AL987&gt;0,IF(AL987&lt;=eco,alpha*fck*(1-(1-AL987/eco)^n),alpha*fck),0)</f>
      </c>
      <c r="AN987" s="30">
        <f>PM_Angle!$J$22+PM_Angle!$K$22*$C987+PM_Angle!$L$22*$B987</f>
      </c>
      <c r="AO987" s="12">
        <f>IF(AN987&gt;0,IF(AN987&lt;=eco,alpha*fck*(1-(1-AN987/eco)^n),alpha*fck),0)</f>
      </c>
      <c r="AP987" s="30">
        <f>PM_Angle!$J$23+PM_Angle!$K$23*$C987+PM_Angle!$L$23*$B987</f>
      </c>
      <c r="AQ987" s="12">
        <f>IF(AP987&gt;0,IF(AP987&lt;=eco,alpha*fck*(1-(1-AP987/eco)^n),alpha*fck),0)</f>
      </c>
      <c r="AR987" s="30">
        <f>PM_Angle!$J$24+PM_Angle!$K$24*$C987+PM_Angle!$L$24*$B987</f>
      </c>
      <c r="AS987" s="12">
        <f>IF(AR987&gt;0,IF(AR987&lt;=eco,alpha*fck*(1-(1-AR987/eco)^n),alpha*fck),0)</f>
      </c>
      <c r="AT987" s="30">
        <f>PM_Angle!$J$25+PM_Angle!$K$25*$C987+PM_Angle!$L$25*$B987</f>
      </c>
      <c r="AU987" s="12">
        <f>IF(AT987&gt;0,IF(AT987&lt;=eco,alpha*fck*(1-(1-AT987/eco)^n),alpha*fck),0)</f>
      </c>
    </row>
    <row r="988" spans="1:47" x14ac:dyDescent="0.25">
      <c r="A988">
        <f>Mesh!A985</f>
      </c>
      <c r="B988" s="12">
        <f>Mesh!B985</f>
      </c>
      <c r="C988" s="12">
        <f>Mesh!C985</f>
      </c>
      <c r="D988" s="12">
        <f>Mesh!D985</f>
      </c>
      <c r="E988" s="30">
        <f>INDEX(St_e0,Det+1)+INDEX(St_kx,Det+1)*C988+INDEX(St_ky,Det+1)*B988</f>
      </c>
      <c r="F988" s="12">
        <f>IF(E988&gt;0,IF(E988&lt;=eco,alpha*fck*(1-(1-E988/eco)^n),alpha*fck),0)</f>
      </c>
      <c r="G988" s="11">
        <f>F988*D988</f>
      </c>
      <c r="H988" s="11">
        <f>G988*C988</f>
      </c>
      <c r="I988" s="11">
        <f>G988*B988</f>
      </c>
      <c r="J988" s="30">
        <f>PM_Angle!$J$7+PM_Angle!$K$7*$C988+PM_Angle!$L$7*$B988</f>
      </c>
      <c r="K988" s="12">
        <f>IF(J988&gt;0,IF(J988&lt;=eco,alpha*fck*(1-(1-J988/eco)^n),alpha*fck),0)</f>
      </c>
      <c r="L988" s="30">
        <f>PM_Angle!$J$8+PM_Angle!$K$8*$C988+PM_Angle!$L$8*$B988</f>
      </c>
      <c r="M988" s="12">
        <f>IF(L988&gt;0,IF(L988&lt;=eco,alpha*fck*(1-(1-L988/eco)^n),alpha*fck),0)</f>
      </c>
      <c r="N988" s="30">
        <f>PM_Angle!$J$9+PM_Angle!$K$9*$C988+PM_Angle!$L$9*$B988</f>
      </c>
      <c r="O988" s="12">
        <f>IF(N988&gt;0,IF(N988&lt;=eco,alpha*fck*(1-(1-N988/eco)^n),alpha*fck),0)</f>
      </c>
      <c r="P988" s="30">
        <f>PM_Angle!$J$10+PM_Angle!$K$10*$C988+PM_Angle!$L$10*$B988</f>
      </c>
      <c r="Q988" s="12">
        <f>IF(P988&gt;0,IF(P988&lt;=eco,alpha*fck*(1-(1-P988/eco)^n),alpha*fck),0)</f>
      </c>
      <c r="R988" s="30">
        <f>PM_Angle!$J$11+PM_Angle!$K$11*$C988+PM_Angle!$L$11*$B988</f>
      </c>
      <c r="S988" s="12">
        <f>IF(R988&gt;0,IF(R988&lt;=eco,alpha*fck*(1-(1-R988/eco)^n),alpha*fck),0)</f>
      </c>
      <c r="T988" s="30">
        <f>PM_Angle!$J$12+PM_Angle!$K$12*$C988+PM_Angle!$L$12*$B988</f>
      </c>
      <c r="U988" s="12">
        <f>IF(T988&gt;0,IF(T988&lt;=eco,alpha*fck*(1-(1-T988/eco)^n),alpha*fck),0)</f>
      </c>
      <c r="V988" s="30">
        <f>PM_Angle!$J$13+PM_Angle!$K$13*$C988+PM_Angle!$L$13*$B988</f>
      </c>
      <c r="W988" s="12">
        <f>IF(V988&gt;0,IF(V988&lt;=eco,alpha*fck*(1-(1-V988/eco)^n),alpha*fck),0)</f>
      </c>
      <c r="X988" s="30">
        <f>PM_Angle!$J$14+PM_Angle!$K$14*$C988+PM_Angle!$L$14*$B988</f>
      </c>
      <c r="Y988" s="12">
        <f>IF(X988&gt;0,IF(X988&lt;=eco,alpha*fck*(1-(1-X988/eco)^n),alpha*fck),0)</f>
      </c>
      <c r="Z988" s="30">
        <f>PM_Angle!$J$15+PM_Angle!$K$15*$C988+PM_Angle!$L$15*$B988</f>
      </c>
      <c r="AA988" s="12">
        <f>IF(Z988&gt;0,IF(Z988&lt;=eco,alpha*fck*(1-(1-Z988/eco)^n),alpha*fck),0)</f>
      </c>
      <c r="AB988" s="30">
        <f>PM_Angle!$J$16+PM_Angle!$K$16*$C988+PM_Angle!$L$16*$B988</f>
      </c>
      <c r="AC988" s="12">
        <f>IF(AB988&gt;0,IF(AB988&lt;=eco,alpha*fck*(1-(1-AB988/eco)^n),alpha*fck),0)</f>
      </c>
      <c r="AD988" s="30">
        <f>PM_Angle!$J$17+PM_Angle!$K$17*$C988+PM_Angle!$L$17*$B988</f>
      </c>
      <c r="AE988" s="12">
        <f>IF(AD988&gt;0,IF(AD988&lt;=eco,alpha*fck*(1-(1-AD988/eco)^n),alpha*fck),0)</f>
      </c>
      <c r="AF988" s="30">
        <f>PM_Angle!$J$18+PM_Angle!$K$18*$C988+PM_Angle!$L$18*$B988</f>
      </c>
      <c r="AG988" s="12">
        <f>IF(AF988&gt;0,IF(AF988&lt;=eco,alpha*fck*(1-(1-AF988/eco)^n),alpha*fck),0)</f>
      </c>
      <c r="AH988" s="30">
        <f>PM_Angle!$J$19+PM_Angle!$K$19*$C988+PM_Angle!$L$19*$B988</f>
      </c>
      <c r="AI988" s="12">
        <f>IF(AH988&gt;0,IF(AH988&lt;=eco,alpha*fck*(1-(1-AH988/eco)^n),alpha*fck),0)</f>
      </c>
      <c r="AJ988" s="30">
        <f>PM_Angle!$J$20+PM_Angle!$K$20*$C988+PM_Angle!$L$20*$B988</f>
      </c>
      <c r="AK988" s="12">
        <f>IF(AJ988&gt;0,IF(AJ988&lt;=eco,alpha*fck*(1-(1-AJ988/eco)^n),alpha*fck),0)</f>
      </c>
      <c r="AL988" s="30">
        <f>PM_Angle!$J$21+PM_Angle!$K$21*$C988+PM_Angle!$L$21*$B988</f>
      </c>
      <c r="AM988" s="12">
        <f>IF(AL988&gt;0,IF(AL988&lt;=eco,alpha*fck*(1-(1-AL988/eco)^n),alpha*fck),0)</f>
      </c>
      <c r="AN988" s="30">
        <f>PM_Angle!$J$22+PM_Angle!$K$22*$C988+PM_Angle!$L$22*$B988</f>
      </c>
      <c r="AO988" s="12">
        <f>IF(AN988&gt;0,IF(AN988&lt;=eco,alpha*fck*(1-(1-AN988/eco)^n),alpha*fck),0)</f>
      </c>
      <c r="AP988" s="30">
        <f>PM_Angle!$J$23+PM_Angle!$K$23*$C988+PM_Angle!$L$23*$B988</f>
      </c>
      <c r="AQ988" s="12">
        <f>IF(AP988&gt;0,IF(AP988&lt;=eco,alpha*fck*(1-(1-AP988/eco)^n),alpha*fck),0)</f>
      </c>
      <c r="AR988" s="30">
        <f>PM_Angle!$J$24+PM_Angle!$K$24*$C988+PM_Angle!$L$24*$B988</f>
      </c>
      <c r="AS988" s="12">
        <f>IF(AR988&gt;0,IF(AR988&lt;=eco,alpha*fck*(1-(1-AR988/eco)^n),alpha*fck),0)</f>
      </c>
      <c r="AT988" s="30">
        <f>PM_Angle!$J$25+PM_Angle!$K$25*$C988+PM_Angle!$L$25*$B988</f>
      </c>
      <c r="AU988" s="12">
        <f>IF(AT988&gt;0,IF(AT988&lt;=eco,alpha*fck*(1-(1-AT988/eco)^n),alpha*fck),0)</f>
      </c>
    </row>
    <row r="989" spans="1:47" x14ac:dyDescent="0.25">
      <c r="A989">
        <f>Mesh!A986</f>
      </c>
      <c r="B989" s="12">
        <f>Mesh!B986</f>
      </c>
      <c r="C989" s="12">
        <f>Mesh!C986</f>
      </c>
      <c r="D989" s="12">
        <f>Mesh!D986</f>
      </c>
      <c r="E989" s="30">
        <f>INDEX(St_e0,Det+1)+INDEX(St_kx,Det+1)*C989+INDEX(St_ky,Det+1)*B989</f>
      </c>
      <c r="F989" s="12">
        <f>IF(E989&gt;0,IF(E989&lt;=eco,alpha*fck*(1-(1-E989/eco)^n),alpha*fck),0)</f>
      </c>
      <c r="G989" s="11">
        <f>F989*D989</f>
      </c>
      <c r="H989" s="11">
        <f>G989*C989</f>
      </c>
      <c r="I989" s="11">
        <f>G989*B989</f>
      </c>
      <c r="J989" s="30">
        <f>PM_Angle!$J$7+PM_Angle!$K$7*$C989+PM_Angle!$L$7*$B989</f>
      </c>
      <c r="K989" s="12">
        <f>IF(J989&gt;0,IF(J989&lt;=eco,alpha*fck*(1-(1-J989/eco)^n),alpha*fck),0)</f>
      </c>
      <c r="L989" s="30">
        <f>PM_Angle!$J$8+PM_Angle!$K$8*$C989+PM_Angle!$L$8*$B989</f>
      </c>
      <c r="M989" s="12">
        <f>IF(L989&gt;0,IF(L989&lt;=eco,alpha*fck*(1-(1-L989/eco)^n),alpha*fck),0)</f>
      </c>
      <c r="N989" s="30">
        <f>PM_Angle!$J$9+PM_Angle!$K$9*$C989+PM_Angle!$L$9*$B989</f>
      </c>
      <c r="O989" s="12">
        <f>IF(N989&gt;0,IF(N989&lt;=eco,alpha*fck*(1-(1-N989/eco)^n),alpha*fck),0)</f>
      </c>
      <c r="P989" s="30">
        <f>PM_Angle!$J$10+PM_Angle!$K$10*$C989+PM_Angle!$L$10*$B989</f>
      </c>
      <c r="Q989" s="12">
        <f>IF(P989&gt;0,IF(P989&lt;=eco,alpha*fck*(1-(1-P989/eco)^n),alpha*fck),0)</f>
      </c>
      <c r="R989" s="30">
        <f>PM_Angle!$J$11+PM_Angle!$K$11*$C989+PM_Angle!$L$11*$B989</f>
      </c>
      <c r="S989" s="12">
        <f>IF(R989&gt;0,IF(R989&lt;=eco,alpha*fck*(1-(1-R989/eco)^n),alpha*fck),0)</f>
      </c>
      <c r="T989" s="30">
        <f>PM_Angle!$J$12+PM_Angle!$K$12*$C989+PM_Angle!$L$12*$B989</f>
      </c>
      <c r="U989" s="12">
        <f>IF(T989&gt;0,IF(T989&lt;=eco,alpha*fck*(1-(1-T989/eco)^n),alpha*fck),0)</f>
      </c>
      <c r="V989" s="30">
        <f>PM_Angle!$J$13+PM_Angle!$K$13*$C989+PM_Angle!$L$13*$B989</f>
      </c>
      <c r="W989" s="12">
        <f>IF(V989&gt;0,IF(V989&lt;=eco,alpha*fck*(1-(1-V989/eco)^n),alpha*fck),0)</f>
      </c>
      <c r="X989" s="30">
        <f>PM_Angle!$J$14+PM_Angle!$K$14*$C989+PM_Angle!$L$14*$B989</f>
      </c>
      <c r="Y989" s="12">
        <f>IF(X989&gt;0,IF(X989&lt;=eco,alpha*fck*(1-(1-X989/eco)^n),alpha*fck),0)</f>
      </c>
      <c r="Z989" s="30">
        <f>PM_Angle!$J$15+PM_Angle!$K$15*$C989+PM_Angle!$L$15*$B989</f>
      </c>
      <c r="AA989" s="12">
        <f>IF(Z989&gt;0,IF(Z989&lt;=eco,alpha*fck*(1-(1-Z989/eco)^n),alpha*fck),0)</f>
      </c>
      <c r="AB989" s="30">
        <f>PM_Angle!$J$16+PM_Angle!$K$16*$C989+PM_Angle!$L$16*$B989</f>
      </c>
      <c r="AC989" s="12">
        <f>IF(AB989&gt;0,IF(AB989&lt;=eco,alpha*fck*(1-(1-AB989/eco)^n),alpha*fck),0)</f>
      </c>
      <c r="AD989" s="30">
        <f>PM_Angle!$J$17+PM_Angle!$K$17*$C989+PM_Angle!$L$17*$B989</f>
      </c>
      <c r="AE989" s="12">
        <f>IF(AD989&gt;0,IF(AD989&lt;=eco,alpha*fck*(1-(1-AD989/eco)^n),alpha*fck),0)</f>
      </c>
      <c r="AF989" s="30">
        <f>PM_Angle!$J$18+PM_Angle!$K$18*$C989+PM_Angle!$L$18*$B989</f>
      </c>
      <c r="AG989" s="12">
        <f>IF(AF989&gt;0,IF(AF989&lt;=eco,alpha*fck*(1-(1-AF989/eco)^n),alpha*fck),0)</f>
      </c>
      <c r="AH989" s="30">
        <f>PM_Angle!$J$19+PM_Angle!$K$19*$C989+PM_Angle!$L$19*$B989</f>
      </c>
      <c r="AI989" s="12">
        <f>IF(AH989&gt;0,IF(AH989&lt;=eco,alpha*fck*(1-(1-AH989/eco)^n),alpha*fck),0)</f>
      </c>
      <c r="AJ989" s="30">
        <f>PM_Angle!$J$20+PM_Angle!$K$20*$C989+PM_Angle!$L$20*$B989</f>
      </c>
      <c r="AK989" s="12">
        <f>IF(AJ989&gt;0,IF(AJ989&lt;=eco,alpha*fck*(1-(1-AJ989/eco)^n),alpha*fck),0)</f>
      </c>
      <c r="AL989" s="30">
        <f>PM_Angle!$J$21+PM_Angle!$K$21*$C989+PM_Angle!$L$21*$B989</f>
      </c>
      <c r="AM989" s="12">
        <f>IF(AL989&gt;0,IF(AL989&lt;=eco,alpha*fck*(1-(1-AL989/eco)^n),alpha*fck),0)</f>
      </c>
      <c r="AN989" s="30">
        <f>PM_Angle!$J$22+PM_Angle!$K$22*$C989+PM_Angle!$L$22*$B989</f>
      </c>
      <c r="AO989" s="12">
        <f>IF(AN989&gt;0,IF(AN989&lt;=eco,alpha*fck*(1-(1-AN989/eco)^n),alpha*fck),0)</f>
      </c>
      <c r="AP989" s="30">
        <f>PM_Angle!$J$23+PM_Angle!$K$23*$C989+PM_Angle!$L$23*$B989</f>
      </c>
      <c r="AQ989" s="12">
        <f>IF(AP989&gt;0,IF(AP989&lt;=eco,alpha*fck*(1-(1-AP989/eco)^n),alpha*fck),0)</f>
      </c>
      <c r="AR989" s="30">
        <f>PM_Angle!$J$24+PM_Angle!$K$24*$C989+PM_Angle!$L$24*$B989</f>
      </c>
      <c r="AS989" s="12">
        <f>IF(AR989&gt;0,IF(AR989&lt;=eco,alpha*fck*(1-(1-AR989/eco)^n),alpha*fck),0)</f>
      </c>
      <c r="AT989" s="30">
        <f>PM_Angle!$J$25+PM_Angle!$K$25*$C989+PM_Angle!$L$25*$B989</f>
      </c>
      <c r="AU989" s="12">
        <f>IF(AT989&gt;0,IF(AT989&lt;=eco,alpha*fck*(1-(1-AT989/eco)^n),alpha*fck),0)</f>
      </c>
    </row>
    <row r="990" spans="1:47" x14ac:dyDescent="0.25">
      <c r="A990">
        <f>Mesh!A987</f>
      </c>
      <c r="B990" s="12">
        <f>Mesh!B987</f>
      </c>
      <c r="C990" s="12">
        <f>Mesh!C987</f>
      </c>
      <c r="D990" s="12">
        <f>Mesh!D987</f>
      </c>
      <c r="E990" s="30">
        <f>INDEX(St_e0,Det+1)+INDEX(St_kx,Det+1)*C990+INDEX(St_ky,Det+1)*B990</f>
      </c>
      <c r="F990" s="12">
        <f>IF(E990&gt;0,IF(E990&lt;=eco,alpha*fck*(1-(1-E990/eco)^n),alpha*fck),0)</f>
      </c>
      <c r="G990" s="11">
        <f>F990*D990</f>
      </c>
      <c r="H990" s="11">
        <f>G990*C990</f>
      </c>
      <c r="I990" s="11">
        <f>G990*B990</f>
      </c>
      <c r="J990" s="30">
        <f>PM_Angle!$J$7+PM_Angle!$K$7*$C990+PM_Angle!$L$7*$B990</f>
      </c>
      <c r="K990" s="12">
        <f>IF(J990&gt;0,IF(J990&lt;=eco,alpha*fck*(1-(1-J990/eco)^n),alpha*fck),0)</f>
      </c>
      <c r="L990" s="30">
        <f>PM_Angle!$J$8+PM_Angle!$K$8*$C990+PM_Angle!$L$8*$B990</f>
      </c>
      <c r="M990" s="12">
        <f>IF(L990&gt;0,IF(L990&lt;=eco,alpha*fck*(1-(1-L990/eco)^n),alpha*fck),0)</f>
      </c>
      <c r="N990" s="30">
        <f>PM_Angle!$J$9+PM_Angle!$K$9*$C990+PM_Angle!$L$9*$B990</f>
      </c>
      <c r="O990" s="12">
        <f>IF(N990&gt;0,IF(N990&lt;=eco,alpha*fck*(1-(1-N990/eco)^n),alpha*fck),0)</f>
      </c>
      <c r="P990" s="30">
        <f>PM_Angle!$J$10+PM_Angle!$K$10*$C990+PM_Angle!$L$10*$B990</f>
      </c>
      <c r="Q990" s="12">
        <f>IF(P990&gt;0,IF(P990&lt;=eco,alpha*fck*(1-(1-P990/eco)^n),alpha*fck),0)</f>
      </c>
      <c r="R990" s="30">
        <f>PM_Angle!$J$11+PM_Angle!$K$11*$C990+PM_Angle!$L$11*$B990</f>
      </c>
      <c r="S990" s="12">
        <f>IF(R990&gt;0,IF(R990&lt;=eco,alpha*fck*(1-(1-R990/eco)^n),alpha*fck),0)</f>
      </c>
      <c r="T990" s="30">
        <f>PM_Angle!$J$12+PM_Angle!$K$12*$C990+PM_Angle!$L$12*$B990</f>
      </c>
      <c r="U990" s="12">
        <f>IF(T990&gt;0,IF(T990&lt;=eco,alpha*fck*(1-(1-T990/eco)^n),alpha*fck),0)</f>
      </c>
      <c r="V990" s="30">
        <f>PM_Angle!$J$13+PM_Angle!$K$13*$C990+PM_Angle!$L$13*$B990</f>
      </c>
      <c r="W990" s="12">
        <f>IF(V990&gt;0,IF(V990&lt;=eco,alpha*fck*(1-(1-V990/eco)^n),alpha*fck),0)</f>
      </c>
      <c r="X990" s="30">
        <f>PM_Angle!$J$14+PM_Angle!$K$14*$C990+PM_Angle!$L$14*$B990</f>
      </c>
      <c r="Y990" s="12">
        <f>IF(X990&gt;0,IF(X990&lt;=eco,alpha*fck*(1-(1-X990/eco)^n),alpha*fck),0)</f>
      </c>
      <c r="Z990" s="30">
        <f>PM_Angle!$J$15+PM_Angle!$K$15*$C990+PM_Angle!$L$15*$B990</f>
      </c>
      <c r="AA990" s="12">
        <f>IF(Z990&gt;0,IF(Z990&lt;=eco,alpha*fck*(1-(1-Z990/eco)^n),alpha*fck),0)</f>
      </c>
      <c r="AB990" s="30">
        <f>PM_Angle!$J$16+PM_Angle!$K$16*$C990+PM_Angle!$L$16*$B990</f>
      </c>
      <c r="AC990" s="12">
        <f>IF(AB990&gt;0,IF(AB990&lt;=eco,alpha*fck*(1-(1-AB990/eco)^n),alpha*fck),0)</f>
      </c>
      <c r="AD990" s="30">
        <f>PM_Angle!$J$17+PM_Angle!$K$17*$C990+PM_Angle!$L$17*$B990</f>
      </c>
      <c r="AE990" s="12">
        <f>IF(AD990&gt;0,IF(AD990&lt;=eco,alpha*fck*(1-(1-AD990/eco)^n),alpha*fck),0)</f>
      </c>
      <c r="AF990" s="30">
        <f>PM_Angle!$J$18+PM_Angle!$K$18*$C990+PM_Angle!$L$18*$B990</f>
      </c>
      <c r="AG990" s="12">
        <f>IF(AF990&gt;0,IF(AF990&lt;=eco,alpha*fck*(1-(1-AF990/eco)^n),alpha*fck),0)</f>
      </c>
      <c r="AH990" s="30">
        <f>PM_Angle!$J$19+PM_Angle!$K$19*$C990+PM_Angle!$L$19*$B990</f>
      </c>
      <c r="AI990" s="12">
        <f>IF(AH990&gt;0,IF(AH990&lt;=eco,alpha*fck*(1-(1-AH990/eco)^n),alpha*fck),0)</f>
      </c>
      <c r="AJ990" s="30">
        <f>PM_Angle!$J$20+PM_Angle!$K$20*$C990+PM_Angle!$L$20*$B990</f>
      </c>
      <c r="AK990" s="12">
        <f>IF(AJ990&gt;0,IF(AJ990&lt;=eco,alpha*fck*(1-(1-AJ990/eco)^n),alpha*fck),0)</f>
      </c>
      <c r="AL990" s="30">
        <f>PM_Angle!$J$21+PM_Angle!$K$21*$C990+PM_Angle!$L$21*$B990</f>
      </c>
      <c r="AM990" s="12">
        <f>IF(AL990&gt;0,IF(AL990&lt;=eco,alpha*fck*(1-(1-AL990/eco)^n),alpha*fck),0)</f>
      </c>
      <c r="AN990" s="30">
        <f>PM_Angle!$J$22+PM_Angle!$K$22*$C990+PM_Angle!$L$22*$B990</f>
      </c>
      <c r="AO990" s="12">
        <f>IF(AN990&gt;0,IF(AN990&lt;=eco,alpha*fck*(1-(1-AN990/eco)^n),alpha*fck),0)</f>
      </c>
      <c r="AP990" s="30">
        <f>PM_Angle!$J$23+PM_Angle!$K$23*$C990+PM_Angle!$L$23*$B990</f>
      </c>
      <c r="AQ990" s="12">
        <f>IF(AP990&gt;0,IF(AP990&lt;=eco,alpha*fck*(1-(1-AP990/eco)^n),alpha*fck),0)</f>
      </c>
      <c r="AR990" s="30">
        <f>PM_Angle!$J$24+PM_Angle!$K$24*$C990+PM_Angle!$L$24*$B990</f>
      </c>
      <c r="AS990" s="12">
        <f>IF(AR990&gt;0,IF(AR990&lt;=eco,alpha*fck*(1-(1-AR990/eco)^n),alpha*fck),0)</f>
      </c>
      <c r="AT990" s="30">
        <f>PM_Angle!$J$25+PM_Angle!$K$25*$C990+PM_Angle!$L$25*$B990</f>
      </c>
      <c r="AU990" s="12">
        <f>IF(AT990&gt;0,IF(AT990&lt;=eco,alpha*fck*(1-(1-AT990/eco)^n),alpha*fck),0)</f>
      </c>
    </row>
    <row r="991" spans="1:47" x14ac:dyDescent="0.25">
      <c r="A991">
        <f>Mesh!A988</f>
      </c>
      <c r="B991" s="12">
        <f>Mesh!B988</f>
      </c>
      <c r="C991" s="12">
        <f>Mesh!C988</f>
      </c>
      <c r="D991" s="12">
        <f>Mesh!D988</f>
      </c>
      <c r="E991" s="30">
        <f>INDEX(St_e0,Det+1)+INDEX(St_kx,Det+1)*C991+INDEX(St_ky,Det+1)*B991</f>
      </c>
      <c r="F991" s="12">
        <f>IF(E991&gt;0,IF(E991&lt;=eco,alpha*fck*(1-(1-E991/eco)^n),alpha*fck),0)</f>
      </c>
      <c r="G991" s="11">
        <f>F991*D991</f>
      </c>
      <c r="H991" s="11">
        <f>G991*C991</f>
      </c>
      <c r="I991" s="11">
        <f>G991*B991</f>
      </c>
      <c r="J991" s="30">
        <f>PM_Angle!$J$7+PM_Angle!$K$7*$C991+PM_Angle!$L$7*$B991</f>
      </c>
      <c r="K991" s="12">
        <f>IF(J991&gt;0,IF(J991&lt;=eco,alpha*fck*(1-(1-J991/eco)^n),alpha*fck),0)</f>
      </c>
      <c r="L991" s="30">
        <f>PM_Angle!$J$8+PM_Angle!$K$8*$C991+PM_Angle!$L$8*$B991</f>
      </c>
      <c r="M991" s="12">
        <f>IF(L991&gt;0,IF(L991&lt;=eco,alpha*fck*(1-(1-L991/eco)^n),alpha*fck),0)</f>
      </c>
      <c r="N991" s="30">
        <f>PM_Angle!$J$9+PM_Angle!$K$9*$C991+PM_Angle!$L$9*$B991</f>
      </c>
      <c r="O991" s="12">
        <f>IF(N991&gt;0,IF(N991&lt;=eco,alpha*fck*(1-(1-N991/eco)^n),alpha*fck),0)</f>
      </c>
      <c r="P991" s="30">
        <f>PM_Angle!$J$10+PM_Angle!$K$10*$C991+PM_Angle!$L$10*$B991</f>
      </c>
      <c r="Q991" s="12">
        <f>IF(P991&gt;0,IF(P991&lt;=eco,alpha*fck*(1-(1-P991/eco)^n),alpha*fck),0)</f>
      </c>
      <c r="R991" s="30">
        <f>PM_Angle!$J$11+PM_Angle!$K$11*$C991+PM_Angle!$L$11*$B991</f>
      </c>
      <c r="S991" s="12">
        <f>IF(R991&gt;0,IF(R991&lt;=eco,alpha*fck*(1-(1-R991/eco)^n),alpha*fck),0)</f>
      </c>
      <c r="T991" s="30">
        <f>PM_Angle!$J$12+PM_Angle!$K$12*$C991+PM_Angle!$L$12*$B991</f>
      </c>
      <c r="U991" s="12">
        <f>IF(T991&gt;0,IF(T991&lt;=eco,alpha*fck*(1-(1-T991/eco)^n),alpha*fck),0)</f>
      </c>
      <c r="V991" s="30">
        <f>PM_Angle!$J$13+PM_Angle!$K$13*$C991+PM_Angle!$L$13*$B991</f>
      </c>
      <c r="W991" s="12">
        <f>IF(V991&gt;0,IF(V991&lt;=eco,alpha*fck*(1-(1-V991/eco)^n),alpha*fck),0)</f>
      </c>
      <c r="X991" s="30">
        <f>PM_Angle!$J$14+PM_Angle!$K$14*$C991+PM_Angle!$L$14*$B991</f>
      </c>
      <c r="Y991" s="12">
        <f>IF(X991&gt;0,IF(X991&lt;=eco,alpha*fck*(1-(1-X991/eco)^n),alpha*fck),0)</f>
      </c>
      <c r="Z991" s="30">
        <f>PM_Angle!$J$15+PM_Angle!$K$15*$C991+PM_Angle!$L$15*$B991</f>
      </c>
      <c r="AA991" s="12">
        <f>IF(Z991&gt;0,IF(Z991&lt;=eco,alpha*fck*(1-(1-Z991/eco)^n),alpha*fck),0)</f>
      </c>
      <c r="AB991" s="30">
        <f>PM_Angle!$J$16+PM_Angle!$K$16*$C991+PM_Angle!$L$16*$B991</f>
      </c>
      <c r="AC991" s="12">
        <f>IF(AB991&gt;0,IF(AB991&lt;=eco,alpha*fck*(1-(1-AB991/eco)^n),alpha*fck),0)</f>
      </c>
      <c r="AD991" s="30">
        <f>PM_Angle!$J$17+PM_Angle!$K$17*$C991+PM_Angle!$L$17*$B991</f>
      </c>
      <c r="AE991" s="12">
        <f>IF(AD991&gt;0,IF(AD991&lt;=eco,alpha*fck*(1-(1-AD991/eco)^n),alpha*fck),0)</f>
      </c>
      <c r="AF991" s="30">
        <f>PM_Angle!$J$18+PM_Angle!$K$18*$C991+PM_Angle!$L$18*$B991</f>
      </c>
      <c r="AG991" s="12">
        <f>IF(AF991&gt;0,IF(AF991&lt;=eco,alpha*fck*(1-(1-AF991/eco)^n),alpha*fck),0)</f>
      </c>
      <c r="AH991" s="30">
        <f>PM_Angle!$J$19+PM_Angle!$K$19*$C991+PM_Angle!$L$19*$B991</f>
      </c>
      <c r="AI991" s="12">
        <f>IF(AH991&gt;0,IF(AH991&lt;=eco,alpha*fck*(1-(1-AH991/eco)^n),alpha*fck),0)</f>
      </c>
      <c r="AJ991" s="30">
        <f>PM_Angle!$J$20+PM_Angle!$K$20*$C991+PM_Angle!$L$20*$B991</f>
      </c>
      <c r="AK991" s="12">
        <f>IF(AJ991&gt;0,IF(AJ991&lt;=eco,alpha*fck*(1-(1-AJ991/eco)^n),alpha*fck),0)</f>
      </c>
      <c r="AL991" s="30">
        <f>PM_Angle!$J$21+PM_Angle!$K$21*$C991+PM_Angle!$L$21*$B991</f>
      </c>
      <c r="AM991" s="12">
        <f>IF(AL991&gt;0,IF(AL991&lt;=eco,alpha*fck*(1-(1-AL991/eco)^n),alpha*fck),0)</f>
      </c>
      <c r="AN991" s="30">
        <f>PM_Angle!$J$22+PM_Angle!$K$22*$C991+PM_Angle!$L$22*$B991</f>
      </c>
      <c r="AO991" s="12">
        <f>IF(AN991&gt;0,IF(AN991&lt;=eco,alpha*fck*(1-(1-AN991/eco)^n),alpha*fck),0)</f>
      </c>
      <c r="AP991" s="30">
        <f>PM_Angle!$J$23+PM_Angle!$K$23*$C991+PM_Angle!$L$23*$B991</f>
      </c>
      <c r="AQ991" s="12">
        <f>IF(AP991&gt;0,IF(AP991&lt;=eco,alpha*fck*(1-(1-AP991/eco)^n),alpha*fck),0)</f>
      </c>
      <c r="AR991" s="30">
        <f>PM_Angle!$J$24+PM_Angle!$K$24*$C991+PM_Angle!$L$24*$B991</f>
      </c>
      <c r="AS991" s="12">
        <f>IF(AR991&gt;0,IF(AR991&lt;=eco,alpha*fck*(1-(1-AR991/eco)^n),alpha*fck),0)</f>
      </c>
      <c r="AT991" s="30">
        <f>PM_Angle!$J$25+PM_Angle!$K$25*$C991+PM_Angle!$L$25*$B991</f>
      </c>
      <c r="AU991" s="12">
        <f>IF(AT991&gt;0,IF(AT991&lt;=eco,alpha*fck*(1-(1-AT991/eco)^n),alpha*fck),0)</f>
      </c>
    </row>
    <row r="992" spans="1:47" x14ac:dyDescent="0.25">
      <c r="A992">
        <f>Mesh!A989</f>
      </c>
      <c r="B992" s="12">
        <f>Mesh!B989</f>
      </c>
      <c r="C992" s="12">
        <f>Mesh!C989</f>
      </c>
      <c r="D992" s="12">
        <f>Mesh!D989</f>
      </c>
      <c r="E992" s="30">
        <f>INDEX(St_e0,Det+1)+INDEX(St_kx,Det+1)*C992+INDEX(St_ky,Det+1)*B992</f>
      </c>
      <c r="F992" s="12">
        <f>IF(E992&gt;0,IF(E992&lt;=eco,alpha*fck*(1-(1-E992/eco)^n),alpha*fck),0)</f>
      </c>
      <c r="G992" s="11">
        <f>F992*D992</f>
      </c>
      <c r="H992" s="11">
        <f>G992*C992</f>
      </c>
      <c r="I992" s="11">
        <f>G992*B992</f>
      </c>
      <c r="J992" s="30">
        <f>PM_Angle!$J$7+PM_Angle!$K$7*$C992+PM_Angle!$L$7*$B992</f>
      </c>
      <c r="K992" s="12">
        <f>IF(J992&gt;0,IF(J992&lt;=eco,alpha*fck*(1-(1-J992/eco)^n),alpha*fck),0)</f>
      </c>
      <c r="L992" s="30">
        <f>PM_Angle!$J$8+PM_Angle!$K$8*$C992+PM_Angle!$L$8*$B992</f>
      </c>
      <c r="M992" s="12">
        <f>IF(L992&gt;0,IF(L992&lt;=eco,alpha*fck*(1-(1-L992/eco)^n),alpha*fck),0)</f>
      </c>
      <c r="N992" s="30">
        <f>PM_Angle!$J$9+PM_Angle!$K$9*$C992+PM_Angle!$L$9*$B992</f>
      </c>
      <c r="O992" s="12">
        <f>IF(N992&gt;0,IF(N992&lt;=eco,alpha*fck*(1-(1-N992/eco)^n),alpha*fck),0)</f>
      </c>
      <c r="P992" s="30">
        <f>PM_Angle!$J$10+PM_Angle!$K$10*$C992+PM_Angle!$L$10*$B992</f>
      </c>
      <c r="Q992" s="12">
        <f>IF(P992&gt;0,IF(P992&lt;=eco,alpha*fck*(1-(1-P992/eco)^n),alpha*fck),0)</f>
      </c>
      <c r="R992" s="30">
        <f>PM_Angle!$J$11+PM_Angle!$K$11*$C992+PM_Angle!$L$11*$B992</f>
      </c>
      <c r="S992" s="12">
        <f>IF(R992&gt;0,IF(R992&lt;=eco,alpha*fck*(1-(1-R992/eco)^n),alpha*fck),0)</f>
      </c>
      <c r="T992" s="30">
        <f>PM_Angle!$J$12+PM_Angle!$K$12*$C992+PM_Angle!$L$12*$B992</f>
      </c>
      <c r="U992" s="12">
        <f>IF(T992&gt;0,IF(T992&lt;=eco,alpha*fck*(1-(1-T992/eco)^n),alpha*fck),0)</f>
      </c>
      <c r="V992" s="30">
        <f>PM_Angle!$J$13+PM_Angle!$K$13*$C992+PM_Angle!$L$13*$B992</f>
      </c>
      <c r="W992" s="12">
        <f>IF(V992&gt;0,IF(V992&lt;=eco,alpha*fck*(1-(1-V992/eco)^n),alpha*fck),0)</f>
      </c>
      <c r="X992" s="30">
        <f>PM_Angle!$J$14+PM_Angle!$K$14*$C992+PM_Angle!$L$14*$B992</f>
      </c>
      <c r="Y992" s="12">
        <f>IF(X992&gt;0,IF(X992&lt;=eco,alpha*fck*(1-(1-X992/eco)^n),alpha*fck),0)</f>
      </c>
      <c r="Z992" s="30">
        <f>PM_Angle!$J$15+PM_Angle!$K$15*$C992+PM_Angle!$L$15*$B992</f>
      </c>
      <c r="AA992" s="12">
        <f>IF(Z992&gt;0,IF(Z992&lt;=eco,alpha*fck*(1-(1-Z992/eco)^n),alpha*fck),0)</f>
      </c>
      <c r="AB992" s="30">
        <f>PM_Angle!$J$16+PM_Angle!$K$16*$C992+PM_Angle!$L$16*$B992</f>
      </c>
      <c r="AC992" s="12">
        <f>IF(AB992&gt;0,IF(AB992&lt;=eco,alpha*fck*(1-(1-AB992/eco)^n),alpha*fck),0)</f>
      </c>
      <c r="AD992" s="30">
        <f>PM_Angle!$J$17+PM_Angle!$K$17*$C992+PM_Angle!$L$17*$B992</f>
      </c>
      <c r="AE992" s="12">
        <f>IF(AD992&gt;0,IF(AD992&lt;=eco,alpha*fck*(1-(1-AD992/eco)^n),alpha*fck),0)</f>
      </c>
      <c r="AF992" s="30">
        <f>PM_Angle!$J$18+PM_Angle!$K$18*$C992+PM_Angle!$L$18*$B992</f>
      </c>
      <c r="AG992" s="12">
        <f>IF(AF992&gt;0,IF(AF992&lt;=eco,alpha*fck*(1-(1-AF992/eco)^n),alpha*fck),0)</f>
      </c>
      <c r="AH992" s="30">
        <f>PM_Angle!$J$19+PM_Angle!$K$19*$C992+PM_Angle!$L$19*$B992</f>
      </c>
      <c r="AI992" s="12">
        <f>IF(AH992&gt;0,IF(AH992&lt;=eco,alpha*fck*(1-(1-AH992/eco)^n),alpha*fck),0)</f>
      </c>
      <c r="AJ992" s="30">
        <f>PM_Angle!$J$20+PM_Angle!$K$20*$C992+PM_Angle!$L$20*$B992</f>
      </c>
      <c r="AK992" s="12">
        <f>IF(AJ992&gt;0,IF(AJ992&lt;=eco,alpha*fck*(1-(1-AJ992/eco)^n),alpha*fck),0)</f>
      </c>
      <c r="AL992" s="30">
        <f>PM_Angle!$J$21+PM_Angle!$K$21*$C992+PM_Angle!$L$21*$B992</f>
      </c>
      <c r="AM992" s="12">
        <f>IF(AL992&gt;0,IF(AL992&lt;=eco,alpha*fck*(1-(1-AL992/eco)^n),alpha*fck),0)</f>
      </c>
      <c r="AN992" s="30">
        <f>PM_Angle!$J$22+PM_Angle!$K$22*$C992+PM_Angle!$L$22*$B992</f>
      </c>
      <c r="AO992" s="12">
        <f>IF(AN992&gt;0,IF(AN992&lt;=eco,alpha*fck*(1-(1-AN992/eco)^n),alpha*fck),0)</f>
      </c>
      <c r="AP992" s="30">
        <f>PM_Angle!$J$23+PM_Angle!$K$23*$C992+PM_Angle!$L$23*$B992</f>
      </c>
      <c r="AQ992" s="12">
        <f>IF(AP992&gt;0,IF(AP992&lt;=eco,alpha*fck*(1-(1-AP992/eco)^n),alpha*fck),0)</f>
      </c>
      <c r="AR992" s="30">
        <f>PM_Angle!$J$24+PM_Angle!$K$24*$C992+PM_Angle!$L$24*$B992</f>
      </c>
      <c r="AS992" s="12">
        <f>IF(AR992&gt;0,IF(AR992&lt;=eco,alpha*fck*(1-(1-AR992/eco)^n),alpha*fck),0)</f>
      </c>
      <c r="AT992" s="30">
        <f>PM_Angle!$J$25+PM_Angle!$K$25*$C992+PM_Angle!$L$25*$B992</f>
      </c>
      <c r="AU992" s="12">
        <f>IF(AT992&gt;0,IF(AT992&lt;=eco,alpha*fck*(1-(1-AT992/eco)^n),alpha*fck),0)</f>
      </c>
    </row>
    <row r="993" spans="1:47" x14ac:dyDescent="0.25">
      <c r="A993">
        <f>Mesh!A990</f>
      </c>
      <c r="B993" s="12">
        <f>Mesh!B990</f>
      </c>
      <c r="C993" s="12">
        <f>Mesh!C990</f>
      </c>
      <c r="D993" s="12">
        <f>Mesh!D990</f>
      </c>
      <c r="E993" s="30">
        <f>INDEX(St_e0,Det+1)+INDEX(St_kx,Det+1)*C993+INDEX(St_ky,Det+1)*B993</f>
      </c>
      <c r="F993" s="12">
        <f>IF(E993&gt;0,IF(E993&lt;=eco,alpha*fck*(1-(1-E993/eco)^n),alpha*fck),0)</f>
      </c>
      <c r="G993" s="11">
        <f>F993*D993</f>
      </c>
      <c r="H993" s="11">
        <f>G993*C993</f>
      </c>
      <c r="I993" s="11">
        <f>G993*B993</f>
      </c>
      <c r="J993" s="30">
        <f>PM_Angle!$J$7+PM_Angle!$K$7*$C993+PM_Angle!$L$7*$B993</f>
      </c>
      <c r="K993" s="12">
        <f>IF(J993&gt;0,IF(J993&lt;=eco,alpha*fck*(1-(1-J993/eco)^n),alpha*fck),0)</f>
      </c>
      <c r="L993" s="30">
        <f>PM_Angle!$J$8+PM_Angle!$K$8*$C993+PM_Angle!$L$8*$B993</f>
      </c>
      <c r="M993" s="12">
        <f>IF(L993&gt;0,IF(L993&lt;=eco,alpha*fck*(1-(1-L993/eco)^n),alpha*fck),0)</f>
      </c>
      <c r="N993" s="30">
        <f>PM_Angle!$J$9+PM_Angle!$K$9*$C993+PM_Angle!$L$9*$B993</f>
      </c>
      <c r="O993" s="12">
        <f>IF(N993&gt;0,IF(N993&lt;=eco,alpha*fck*(1-(1-N993/eco)^n),alpha*fck),0)</f>
      </c>
      <c r="P993" s="30">
        <f>PM_Angle!$J$10+PM_Angle!$K$10*$C993+PM_Angle!$L$10*$B993</f>
      </c>
      <c r="Q993" s="12">
        <f>IF(P993&gt;0,IF(P993&lt;=eco,alpha*fck*(1-(1-P993/eco)^n),alpha*fck),0)</f>
      </c>
      <c r="R993" s="30">
        <f>PM_Angle!$J$11+PM_Angle!$K$11*$C993+PM_Angle!$L$11*$B993</f>
      </c>
      <c r="S993" s="12">
        <f>IF(R993&gt;0,IF(R993&lt;=eco,alpha*fck*(1-(1-R993/eco)^n),alpha*fck),0)</f>
      </c>
      <c r="T993" s="30">
        <f>PM_Angle!$J$12+PM_Angle!$K$12*$C993+PM_Angle!$L$12*$B993</f>
      </c>
      <c r="U993" s="12">
        <f>IF(T993&gt;0,IF(T993&lt;=eco,alpha*fck*(1-(1-T993/eco)^n),alpha*fck),0)</f>
      </c>
      <c r="V993" s="30">
        <f>PM_Angle!$J$13+PM_Angle!$K$13*$C993+PM_Angle!$L$13*$B993</f>
      </c>
      <c r="W993" s="12">
        <f>IF(V993&gt;0,IF(V993&lt;=eco,alpha*fck*(1-(1-V993/eco)^n),alpha*fck),0)</f>
      </c>
      <c r="X993" s="30">
        <f>PM_Angle!$J$14+PM_Angle!$K$14*$C993+PM_Angle!$L$14*$B993</f>
      </c>
      <c r="Y993" s="12">
        <f>IF(X993&gt;0,IF(X993&lt;=eco,alpha*fck*(1-(1-X993/eco)^n),alpha*fck),0)</f>
      </c>
      <c r="Z993" s="30">
        <f>PM_Angle!$J$15+PM_Angle!$K$15*$C993+PM_Angle!$L$15*$B993</f>
      </c>
      <c r="AA993" s="12">
        <f>IF(Z993&gt;0,IF(Z993&lt;=eco,alpha*fck*(1-(1-Z993/eco)^n),alpha*fck),0)</f>
      </c>
      <c r="AB993" s="30">
        <f>PM_Angle!$J$16+PM_Angle!$K$16*$C993+PM_Angle!$L$16*$B993</f>
      </c>
      <c r="AC993" s="12">
        <f>IF(AB993&gt;0,IF(AB993&lt;=eco,alpha*fck*(1-(1-AB993/eco)^n),alpha*fck),0)</f>
      </c>
      <c r="AD993" s="30">
        <f>PM_Angle!$J$17+PM_Angle!$K$17*$C993+PM_Angle!$L$17*$B993</f>
      </c>
      <c r="AE993" s="12">
        <f>IF(AD993&gt;0,IF(AD993&lt;=eco,alpha*fck*(1-(1-AD993/eco)^n),alpha*fck),0)</f>
      </c>
      <c r="AF993" s="30">
        <f>PM_Angle!$J$18+PM_Angle!$K$18*$C993+PM_Angle!$L$18*$B993</f>
      </c>
      <c r="AG993" s="12">
        <f>IF(AF993&gt;0,IF(AF993&lt;=eco,alpha*fck*(1-(1-AF993/eco)^n),alpha*fck),0)</f>
      </c>
      <c r="AH993" s="30">
        <f>PM_Angle!$J$19+PM_Angle!$K$19*$C993+PM_Angle!$L$19*$B993</f>
      </c>
      <c r="AI993" s="12">
        <f>IF(AH993&gt;0,IF(AH993&lt;=eco,alpha*fck*(1-(1-AH993/eco)^n),alpha*fck),0)</f>
      </c>
      <c r="AJ993" s="30">
        <f>PM_Angle!$J$20+PM_Angle!$K$20*$C993+PM_Angle!$L$20*$B993</f>
      </c>
      <c r="AK993" s="12">
        <f>IF(AJ993&gt;0,IF(AJ993&lt;=eco,alpha*fck*(1-(1-AJ993/eco)^n),alpha*fck),0)</f>
      </c>
      <c r="AL993" s="30">
        <f>PM_Angle!$J$21+PM_Angle!$K$21*$C993+PM_Angle!$L$21*$B993</f>
      </c>
      <c r="AM993" s="12">
        <f>IF(AL993&gt;0,IF(AL993&lt;=eco,alpha*fck*(1-(1-AL993/eco)^n),alpha*fck),0)</f>
      </c>
      <c r="AN993" s="30">
        <f>PM_Angle!$J$22+PM_Angle!$K$22*$C993+PM_Angle!$L$22*$B993</f>
      </c>
      <c r="AO993" s="12">
        <f>IF(AN993&gt;0,IF(AN993&lt;=eco,alpha*fck*(1-(1-AN993/eco)^n),alpha*fck),0)</f>
      </c>
      <c r="AP993" s="30">
        <f>PM_Angle!$J$23+PM_Angle!$K$23*$C993+PM_Angle!$L$23*$B993</f>
      </c>
      <c r="AQ993" s="12">
        <f>IF(AP993&gt;0,IF(AP993&lt;=eco,alpha*fck*(1-(1-AP993/eco)^n),alpha*fck),0)</f>
      </c>
      <c r="AR993" s="30">
        <f>PM_Angle!$J$24+PM_Angle!$K$24*$C993+PM_Angle!$L$24*$B993</f>
      </c>
      <c r="AS993" s="12">
        <f>IF(AR993&gt;0,IF(AR993&lt;=eco,alpha*fck*(1-(1-AR993/eco)^n),alpha*fck),0)</f>
      </c>
      <c r="AT993" s="30">
        <f>PM_Angle!$J$25+PM_Angle!$K$25*$C993+PM_Angle!$L$25*$B993</f>
      </c>
      <c r="AU993" s="12">
        <f>IF(AT993&gt;0,IF(AT993&lt;=eco,alpha*fck*(1-(1-AT993/eco)^n),alpha*fck),0)</f>
      </c>
    </row>
    <row r="994" spans="1:47" x14ac:dyDescent="0.25">
      <c r="A994">
        <f>Mesh!A991</f>
      </c>
      <c r="B994" s="12">
        <f>Mesh!B991</f>
      </c>
      <c r="C994" s="12">
        <f>Mesh!C991</f>
      </c>
      <c r="D994" s="12">
        <f>Mesh!D991</f>
      </c>
      <c r="E994" s="30">
        <f>INDEX(St_e0,Det+1)+INDEX(St_kx,Det+1)*C994+INDEX(St_ky,Det+1)*B994</f>
      </c>
      <c r="F994" s="12">
        <f>IF(E994&gt;0,IF(E994&lt;=eco,alpha*fck*(1-(1-E994/eco)^n),alpha*fck),0)</f>
      </c>
      <c r="G994" s="11">
        <f>F994*D994</f>
      </c>
      <c r="H994" s="11">
        <f>G994*C994</f>
      </c>
      <c r="I994" s="11">
        <f>G994*B994</f>
      </c>
      <c r="J994" s="30">
        <f>PM_Angle!$J$7+PM_Angle!$K$7*$C994+PM_Angle!$L$7*$B994</f>
      </c>
      <c r="K994" s="12">
        <f>IF(J994&gt;0,IF(J994&lt;=eco,alpha*fck*(1-(1-J994/eco)^n),alpha*fck),0)</f>
      </c>
      <c r="L994" s="30">
        <f>PM_Angle!$J$8+PM_Angle!$K$8*$C994+PM_Angle!$L$8*$B994</f>
      </c>
      <c r="M994" s="12">
        <f>IF(L994&gt;0,IF(L994&lt;=eco,alpha*fck*(1-(1-L994/eco)^n),alpha*fck),0)</f>
      </c>
      <c r="N994" s="30">
        <f>PM_Angle!$J$9+PM_Angle!$K$9*$C994+PM_Angle!$L$9*$B994</f>
      </c>
      <c r="O994" s="12">
        <f>IF(N994&gt;0,IF(N994&lt;=eco,alpha*fck*(1-(1-N994/eco)^n),alpha*fck),0)</f>
      </c>
      <c r="P994" s="30">
        <f>PM_Angle!$J$10+PM_Angle!$K$10*$C994+PM_Angle!$L$10*$B994</f>
      </c>
      <c r="Q994" s="12">
        <f>IF(P994&gt;0,IF(P994&lt;=eco,alpha*fck*(1-(1-P994/eco)^n),alpha*fck),0)</f>
      </c>
      <c r="R994" s="30">
        <f>PM_Angle!$J$11+PM_Angle!$K$11*$C994+PM_Angle!$L$11*$B994</f>
      </c>
      <c r="S994" s="12">
        <f>IF(R994&gt;0,IF(R994&lt;=eco,alpha*fck*(1-(1-R994/eco)^n),alpha*fck),0)</f>
      </c>
      <c r="T994" s="30">
        <f>PM_Angle!$J$12+PM_Angle!$K$12*$C994+PM_Angle!$L$12*$B994</f>
      </c>
      <c r="U994" s="12">
        <f>IF(T994&gt;0,IF(T994&lt;=eco,alpha*fck*(1-(1-T994/eco)^n),alpha*fck),0)</f>
      </c>
      <c r="V994" s="30">
        <f>PM_Angle!$J$13+PM_Angle!$K$13*$C994+PM_Angle!$L$13*$B994</f>
      </c>
      <c r="W994" s="12">
        <f>IF(V994&gt;0,IF(V994&lt;=eco,alpha*fck*(1-(1-V994/eco)^n),alpha*fck),0)</f>
      </c>
      <c r="X994" s="30">
        <f>PM_Angle!$J$14+PM_Angle!$K$14*$C994+PM_Angle!$L$14*$B994</f>
      </c>
      <c r="Y994" s="12">
        <f>IF(X994&gt;0,IF(X994&lt;=eco,alpha*fck*(1-(1-X994/eco)^n),alpha*fck),0)</f>
      </c>
      <c r="Z994" s="30">
        <f>PM_Angle!$J$15+PM_Angle!$K$15*$C994+PM_Angle!$L$15*$B994</f>
      </c>
      <c r="AA994" s="12">
        <f>IF(Z994&gt;0,IF(Z994&lt;=eco,alpha*fck*(1-(1-Z994/eco)^n),alpha*fck),0)</f>
      </c>
      <c r="AB994" s="30">
        <f>PM_Angle!$J$16+PM_Angle!$K$16*$C994+PM_Angle!$L$16*$B994</f>
      </c>
      <c r="AC994" s="12">
        <f>IF(AB994&gt;0,IF(AB994&lt;=eco,alpha*fck*(1-(1-AB994/eco)^n),alpha*fck),0)</f>
      </c>
      <c r="AD994" s="30">
        <f>PM_Angle!$J$17+PM_Angle!$K$17*$C994+PM_Angle!$L$17*$B994</f>
      </c>
      <c r="AE994" s="12">
        <f>IF(AD994&gt;0,IF(AD994&lt;=eco,alpha*fck*(1-(1-AD994/eco)^n),alpha*fck),0)</f>
      </c>
      <c r="AF994" s="30">
        <f>PM_Angle!$J$18+PM_Angle!$K$18*$C994+PM_Angle!$L$18*$B994</f>
      </c>
      <c r="AG994" s="12">
        <f>IF(AF994&gt;0,IF(AF994&lt;=eco,alpha*fck*(1-(1-AF994/eco)^n),alpha*fck),0)</f>
      </c>
      <c r="AH994" s="30">
        <f>PM_Angle!$J$19+PM_Angle!$K$19*$C994+PM_Angle!$L$19*$B994</f>
      </c>
      <c r="AI994" s="12">
        <f>IF(AH994&gt;0,IF(AH994&lt;=eco,alpha*fck*(1-(1-AH994/eco)^n),alpha*fck),0)</f>
      </c>
      <c r="AJ994" s="30">
        <f>PM_Angle!$J$20+PM_Angle!$K$20*$C994+PM_Angle!$L$20*$B994</f>
      </c>
      <c r="AK994" s="12">
        <f>IF(AJ994&gt;0,IF(AJ994&lt;=eco,alpha*fck*(1-(1-AJ994/eco)^n),alpha*fck),0)</f>
      </c>
      <c r="AL994" s="30">
        <f>PM_Angle!$J$21+PM_Angle!$K$21*$C994+PM_Angle!$L$21*$B994</f>
      </c>
      <c r="AM994" s="12">
        <f>IF(AL994&gt;0,IF(AL994&lt;=eco,alpha*fck*(1-(1-AL994/eco)^n),alpha*fck),0)</f>
      </c>
      <c r="AN994" s="30">
        <f>PM_Angle!$J$22+PM_Angle!$K$22*$C994+PM_Angle!$L$22*$B994</f>
      </c>
      <c r="AO994" s="12">
        <f>IF(AN994&gt;0,IF(AN994&lt;=eco,alpha*fck*(1-(1-AN994/eco)^n),alpha*fck),0)</f>
      </c>
      <c r="AP994" s="30">
        <f>PM_Angle!$J$23+PM_Angle!$K$23*$C994+PM_Angle!$L$23*$B994</f>
      </c>
      <c r="AQ994" s="12">
        <f>IF(AP994&gt;0,IF(AP994&lt;=eco,alpha*fck*(1-(1-AP994/eco)^n),alpha*fck),0)</f>
      </c>
      <c r="AR994" s="30">
        <f>PM_Angle!$J$24+PM_Angle!$K$24*$C994+PM_Angle!$L$24*$B994</f>
      </c>
      <c r="AS994" s="12">
        <f>IF(AR994&gt;0,IF(AR994&lt;=eco,alpha*fck*(1-(1-AR994/eco)^n),alpha*fck),0)</f>
      </c>
      <c r="AT994" s="30">
        <f>PM_Angle!$J$25+PM_Angle!$K$25*$C994+PM_Angle!$L$25*$B994</f>
      </c>
      <c r="AU994" s="12">
        <f>IF(AT994&gt;0,IF(AT994&lt;=eco,alpha*fck*(1-(1-AT994/eco)^n),alpha*fck),0)</f>
      </c>
    </row>
    <row r="995" spans="1:47" x14ac:dyDescent="0.25">
      <c r="A995">
        <f>Mesh!A992</f>
      </c>
      <c r="B995" s="12">
        <f>Mesh!B992</f>
      </c>
      <c r="C995" s="12">
        <f>Mesh!C992</f>
      </c>
      <c r="D995" s="12">
        <f>Mesh!D992</f>
      </c>
      <c r="E995" s="30">
        <f>INDEX(St_e0,Det+1)+INDEX(St_kx,Det+1)*C995+INDEX(St_ky,Det+1)*B995</f>
      </c>
      <c r="F995" s="12">
        <f>IF(E995&gt;0,IF(E995&lt;=eco,alpha*fck*(1-(1-E995/eco)^n),alpha*fck),0)</f>
      </c>
      <c r="G995" s="11">
        <f>F995*D995</f>
      </c>
      <c r="H995" s="11">
        <f>G995*C995</f>
      </c>
      <c r="I995" s="11">
        <f>G995*B995</f>
      </c>
      <c r="J995" s="30">
        <f>PM_Angle!$J$7+PM_Angle!$K$7*$C995+PM_Angle!$L$7*$B995</f>
      </c>
      <c r="K995" s="12">
        <f>IF(J995&gt;0,IF(J995&lt;=eco,alpha*fck*(1-(1-J995/eco)^n),alpha*fck),0)</f>
      </c>
      <c r="L995" s="30">
        <f>PM_Angle!$J$8+PM_Angle!$K$8*$C995+PM_Angle!$L$8*$B995</f>
      </c>
      <c r="M995" s="12">
        <f>IF(L995&gt;0,IF(L995&lt;=eco,alpha*fck*(1-(1-L995/eco)^n),alpha*fck),0)</f>
      </c>
      <c r="N995" s="30">
        <f>PM_Angle!$J$9+PM_Angle!$K$9*$C995+PM_Angle!$L$9*$B995</f>
      </c>
      <c r="O995" s="12">
        <f>IF(N995&gt;0,IF(N995&lt;=eco,alpha*fck*(1-(1-N995/eco)^n),alpha*fck),0)</f>
      </c>
      <c r="P995" s="30">
        <f>PM_Angle!$J$10+PM_Angle!$K$10*$C995+PM_Angle!$L$10*$B995</f>
      </c>
      <c r="Q995" s="12">
        <f>IF(P995&gt;0,IF(P995&lt;=eco,alpha*fck*(1-(1-P995/eco)^n),alpha*fck),0)</f>
      </c>
      <c r="R995" s="30">
        <f>PM_Angle!$J$11+PM_Angle!$K$11*$C995+PM_Angle!$L$11*$B995</f>
      </c>
      <c r="S995" s="12">
        <f>IF(R995&gt;0,IF(R995&lt;=eco,alpha*fck*(1-(1-R995/eco)^n),alpha*fck),0)</f>
      </c>
      <c r="T995" s="30">
        <f>PM_Angle!$J$12+PM_Angle!$K$12*$C995+PM_Angle!$L$12*$B995</f>
      </c>
      <c r="U995" s="12">
        <f>IF(T995&gt;0,IF(T995&lt;=eco,alpha*fck*(1-(1-T995/eco)^n),alpha*fck),0)</f>
      </c>
      <c r="V995" s="30">
        <f>PM_Angle!$J$13+PM_Angle!$K$13*$C995+PM_Angle!$L$13*$B995</f>
      </c>
      <c r="W995" s="12">
        <f>IF(V995&gt;0,IF(V995&lt;=eco,alpha*fck*(1-(1-V995/eco)^n),alpha*fck),0)</f>
      </c>
      <c r="X995" s="30">
        <f>PM_Angle!$J$14+PM_Angle!$K$14*$C995+PM_Angle!$L$14*$B995</f>
      </c>
      <c r="Y995" s="12">
        <f>IF(X995&gt;0,IF(X995&lt;=eco,alpha*fck*(1-(1-X995/eco)^n),alpha*fck),0)</f>
      </c>
      <c r="Z995" s="30">
        <f>PM_Angle!$J$15+PM_Angle!$K$15*$C995+PM_Angle!$L$15*$B995</f>
      </c>
      <c r="AA995" s="12">
        <f>IF(Z995&gt;0,IF(Z995&lt;=eco,alpha*fck*(1-(1-Z995/eco)^n),alpha*fck),0)</f>
      </c>
      <c r="AB995" s="30">
        <f>PM_Angle!$J$16+PM_Angle!$K$16*$C995+PM_Angle!$L$16*$B995</f>
      </c>
      <c r="AC995" s="12">
        <f>IF(AB995&gt;0,IF(AB995&lt;=eco,alpha*fck*(1-(1-AB995/eco)^n),alpha*fck),0)</f>
      </c>
      <c r="AD995" s="30">
        <f>PM_Angle!$J$17+PM_Angle!$K$17*$C995+PM_Angle!$L$17*$B995</f>
      </c>
      <c r="AE995" s="12">
        <f>IF(AD995&gt;0,IF(AD995&lt;=eco,alpha*fck*(1-(1-AD995/eco)^n),alpha*fck),0)</f>
      </c>
      <c r="AF995" s="30">
        <f>PM_Angle!$J$18+PM_Angle!$K$18*$C995+PM_Angle!$L$18*$B995</f>
      </c>
      <c r="AG995" s="12">
        <f>IF(AF995&gt;0,IF(AF995&lt;=eco,alpha*fck*(1-(1-AF995/eco)^n),alpha*fck),0)</f>
      </c>
      <c r="AH995" s="30">
        <f>PM_Angle!$J$19+PM_Angle!$K$19*$C995+PM_Angle!$L$19*$B995</f>
      </c>
      <c r="AI995" s="12">
        <f>IF(AH995&gt;0,IF(AH995&lt;=eco,alpha*fck*(1-(1-AH995/eco)^n),alpha*fck),0)</f>
      </c>
      <c r="AJ995" s="30">
        <f>PM_Angle!$J$20+PM_Angle!$K$20*$C995+PM_Angle!$L$20*$B995</f>
      </c>
      <c r="AK995" s="12">
        <f>IF(AJ995&gt;0,IF(AJ995&lt;=eco,alpha*fck*(1-(1-AJ995/eco)^n),alpha*fck),0)</f>
      </c>
      <c r="AL995" s="30">
        <f>PM_Angle!$J$21+PM_Angle!$K$21*$C995+PM_Angle!$L$21*$B995</f>
      </c>
      <c r="AM995" s="12">
        <f>IF(AL995&gt;0,IF(AL995&lt;=eco,alpha*fck*(1-(1-AL995/eco)^n),alpha*fck),0)</f>
      </c>
      <c r="AN995" s="30">
        <f>PM_Angle!$J$22+PM_Angle!$K$22*$C995+PM_Angle!$L$22*$B995</f>
      </c>
      <c r="AO995" s="12">
        <f>IF(AN995&gt;0,IF(AN995&lt;=eco,alpha*fck*(1-(1-AN995/eco)^n),alpha*fck),0)</f>
      </c>
      <c r="AP995" s="30">
        <f>PM_Angle!$J$23+PM_Angle!$K$23*$C995+PM_Angle!$L$23*$B995</f>
      </c>
      <c r="AQ995" s="12">
        <f>IF(AP995&gt;0,IF(AP995&lt;=eco,alpha*fck*(1-(1-AP995/eco)^n),alpha*fck),0)</f>
      </c>
      <c r="AR995" s="30">
        <f>PM_Angle!$J$24+PM_Angle!$K$24*$C995+PM_Angle!$L$24*$B995</f>
      </c>
      <c r="AS995" s="12">
        <f>IF(AR995&gt;0,IF(AR995&lt;=eco,alpha*fck*(1-(1-AR995/eco)^n),alpha*fck),0)</f>
      </c>
      <c r="AT995" s="30">
        <f>PM_Angle!$J$25+PM_Angle!$K$25*$C995+PM_Angle!$L$25*$B995</f>
      </c>
      <c r="AU995" s="12">
        <f>IF(AT995&gt;0,IF(AT995&lt;=eco,alpha*fck*(1-(1-AT995/eco)^n),alpha*fck),0)</f>
      </c>
    </row>
    <row r="996" spans="1:47" x14ac:dyDescent="0.25">
      <c r="A996">
        <f>Mesh!A993</f>
      </c>
      <c r="B996" s="12">
        <f>Mesh!B993</f>
      </c>
      <c r="C996" s="12">
        <f>Mesh!C993</f>
      </c>
      <c r="D996" s="12">
        <f>Mesh!D993</f>
      </c>
      <c r="E996" s="30">
        <f>INDEX(St_e0,Det+1)+INDEX(St_kx,Det+1)*C996+INDEX(St_ky,Det+1)*B996</f>
      </c>
      <c r="F996" s="12">
        <f>IF(E996&gt;0,IF(E996&lt;=eco,alpha*fck*(1-(1-E996/eco)^n),alpha*fck),0)</f>
      </c>
      <c r="G996" s="11">
        <f>F996*D996</f>
      </c>
      <c r="H996" s="11">
        <f>G996*C996</f>
      </c>
      <c r="I996" s="11">
        <f>G996*B996</f>
      </c>
      <c r="J996" s="30">
        <f>PM_Angle!$J$7+PM_Angle!$K$7*$C996+PM_Angle!$L$7*$B996</f>
      </c>
      <c r="K996" s="12">
        <f>IF(J996&gt;0,IF(J996&lt;=eco,alpha*fck*(1-(1-J996/eco)^n),alpha*fck),0)</f>
      </c>
      <c r="L996" s="30">
        <f>PM_Angle!$J$8+PM_Angle!$K$8*$C996+PM_Angle!$L$8*$B996</f>
      </c>
      <c r="M996" s="12">
        <f>IF(L996&gt;0,IF(L996&lt;=eco,alpha*fck*(1-(1-L996/eco)^n),alpha*fck),0)</f>
      </c>
      <c r="N996" s="30">
        <f>PM_Angle!$J$9+PM_Angle!$K$9*$C996+PM_Angle!$L$9*$B996</f>
      </c>
      <c r="O996" s="12">
        <f>IF(N996&gt;0,IF(N996&lt;=eco,alpha*fck*(1-(1-N996/eco)^n),alpha*fck),0)</f>
      </c>
      <c r="P996" s="30">
        <f>PM_Angle!$J$10+PM_Angle!$K$10*$C996+PM_Angle!$L$10*$B996</f>
      </c>
      <c r="Q996" s="12">
        <f>IF(P996&gt;0,IF(P996&lt;=eco,alpha*fck*(1-(1-P996/eco)^n),alpha*fck),0)</f>
      </c>
      <c r="R996" s="30">
        <f>PM_Angle!$J$11+PM_Angle!$K$11*$C996+PM_Angle!$L$11*$B996</f>
      </c>
      <c r="S996" s="12">
        <f>IF(R996&gt;0,IF(R996&lt;=eco,alpha*fck*(1-(1-R996/eco)^n),alpha*fck),0)</f>
      </c>
      <c r="T996" s="30">
        <f>PM_Angle!$J$12+PM_Angle!$K$12*$C996+PM_Angle!$L$12*$B996</f>
      </c>
      <c r="U996" s="12">
        <f>IF(T996&gt;0,IF(T996&lt;=eco,alpha*fck*(1-(1-T996/eco)^n),alpha*fck),0)</f>
      </c>
      <c r="V996" s="30">
        <f>PM_Angle!$J$13+PM_Angle!$K$13*$C996+PM_Angle!$L$13*$B996</f>
      </c>
      <c r="W996" s="12">
        <f>IF(V996&gt;0,IF(V996&lt;=eco,alpha*fck*(1-(1-V996/eco)^n),alpha*fck),0)</f>
      </c>
      <c r="X996" s="30">
        <f>PM_Angle!$J$14+PM_Angle!$K$14*$C996+PM_Angle!$L$14*$B996</f>
      </c>
      <c r="Y996" s="12">
        <f>IF(X996&gt;0,IF(X996&lt;=eco,alpha*fck*(1-(1-X996/eco)^n),alpha*fck),0)</f>
      </c>
      <c r="Z996" s="30">
        <f>PM_Angle!$J$15+PM_Angle!$K$15*$C996+PM_Angle!$L$15*$B996</f>
      </c>
      <c r="AA996" s="12">
        <f>IF(Z996&gt;0,IF(Z996&lt;=eco,alpha*fck*(1-(1-Z996/eco)^n),alpha*fck),0)</f>
      </c>
      <c r="AB996" s="30">
        <f>PM_Angle!$J$16+PM_Angle!$K$16*$C996+PM_Angle!$L$16*$B996</f>
      </c>
      <c r="AC996" s="12">
        <f>IF(AB996&gt;0,IF(AB996&lt;=eco,alpha*fck*(1-(1-AB996/eco)^n),alpha*fck),0)</f>
      </c>
      <c r="AD996" s="30">
        <f>PM_Angle!$J$17+PM_Angle!$K$17*$C996+PM_Angle!$L$17*$B996</f>
      </c>
      <c r="AE996" s="12">
        <f>IF(AD996&gt;0,IF(AD996&lt;=eco,alpha*fck*(1-(1-AD996/eco)^n),alpha*fck),0)</f>
      </c>
      <c r="AF996" s="30">
        <f>PM_Angle!$J$18+PM_Angle!$K$18*$C996+PM_Angle!$L$18*$B996</f>
      </c>
      <c r="AG996" s="12">
        <f>IF(AF996&gt;0,IF(AF996&lt;=eco,alpha*fck*(1-(1-AF996/eco)^n),alpha*fck),0)</f>
      </c>
      <c r="AH996" s="30">
        <f>PM_Angle!$J$19+PM_Angle!$K$19*$C996+PM_Angle!$L$19*$B996</f>
      </c>
      <c r="AI996" s="12">
        <f>IF(AH996&gt;0,IF(AH996&lt;=eco,alpha*fck*(1-(1-AH996/eco)^n),alpha*fck),0)</f>
      </c>
      <c r="AJ996" s="30">
        <f>PM_Angle!$J$20+PM_Angle!$K$20*$C996+PM_Angle!$L$20*$B996</f>
      </c>
      <c r="AK996" s="12">
        <f>IF(AJ996&gt;0,IF(AJ996&lt;=eco,alpha*fck*(1-(1-AJ996/eco)^n),alpha*fck),0)</f>
      </c>
      <c r="AL996" s="30">
        <f>PM_Angle!$J$21+PM_Angle!$K$21*$C996+PM_Angle!$L$21*$B996</f>
      </c>
      <c r="AM996" s="12">
        <f>IF(AL996&gt;0,IF(AL996&lt;=eco,alpha*fck*(1-(1-AL996/eco)^n),alpha*fck),0)</f>
      </c>
      <c r="AN996" s="30">
        <f>PM_Angle!$J$22+PM_Angle!$K$22*$C996+PM_Angle!$L$22*$B996</f>
      </c>
      <c r="AO996" s="12">
        <f>IF(AN996&gt;0,IF(AN996&lt;=eco,alpha*fck*(1-(1-AN996/eco)^n),alpha*fck),0)</f>
      </c>
      <c r="AP996" s="30">
        <f>PM_Angle!$J$23+PM_Angle!$K$23*$C996+PM_Angle!$L$23*$B996</f>
      </c>
      <c r="AQ996" s="12">
        <f>IF(AP996&gt;0,IF(AP996&lt;=eco,alpha*fck*(1-(1-AP996/eco)^n),alpha*fck),0)</f>
      </c>
      <c r="AR996" s="30">
        <f>PM_Angle!$J$24+PM_Angle!$K$24*$C996+PM_Angle!$L$24*$B996</f>
      </c>
      <c r="AS996" s="12">
        <f>IF(AR996&gt;0,IF(AR996&lt;=eco,alpha*fck*(1-(1-AR996/eco)^n),alpha*fck),0)</f>
      </c>
      <c r="AT996" s="30">
        <f>PM_Angle!$J$25+PM_Angle!$K$25*$C996+PM_Angle!$L$25*$B996</f>
      </c>
      <c r="AU996" s="12">
        <f>IF(AT996&gt;0,IF(AT996&lt;=eco,alpha*fck*(1-(1-AT996/eco)^n),alpha*fck),0)</f>
      </c>
    </row>
    <row r="997" spans="1:47" x14ac:dyDescent="0.25">
      <c r="A997">
        <f>Mesh!A994</f>
      </c>
      <c r="B997" s="12">
        <f>Mesh!B994</f>
      </c>
      <c r="C997" s="12">
        <f>Mesh!C994</f>
      </c>
      <c r="D997" s="12">
        <f>Mesh!D994</f>
      </c>
      <c r="E997" s="30">
        <f>INDEX(St_e0,Det+1)+INDEX(St_kx,Det+1)*C997+INDEX(St_ky,Det+1)*B997</f>
      </c>
      <c r="F997" s="12">
        <f>IF(E997&gt;0,IF(E997&lt;=eco,alpha*fck*(1-(1-E997/eco)^n),alpha*fck),0)</f>
      </c>
      <c r="G997" s="11">
        <f>F997*D997</f>
      </c>
      <c r="H997" s="11">
        <f>G997*C997</f>
      </c>
      <c r="I997" s="11">
        <f>G997*B997</f>
      </c>
      <c r="J997" s="30">
        <f>PM_Angle!$J$7+PM_Angle!$K$7*$C997+PM_Angle!$L$7*$B997</f>
      </c>
      <c r="K997" s="12">
        <f>IF(J997&gt;0,IF(J997&lt;=eco,alpha*fck*(1-(1-J997/eco)^n),alpha*fck),0)</f>
      </c>
      <c r="L997" s="30">
        <f>PM_Angle!$J$8+PM_Angle!$K$8*$C997+PM_Angle!$L$8*$B997</f>
      </c>
      <c r="M997" s="12">
        <f>IF(L997&gt;0,IF(L997&lt;=eco,alpha*fck*(1-(1-L997/eco)^n),alpha*fck),0)</f>
      </c>
      <c r="N997" s="30">
        <f>PM_Angle!$J$9+PM_Angle!$K$9*$C997+PM_Angle!$L$9*$B997</f>
      </c>
      <c r="O997" s="12">
        <f>IF(N997&gt;0,IF(N997&lt;=eco,alpha*fck*(1-(1-N997/eco)^n),alpha*fck),0)</f>
      </c>
      <c r="P997" s="30">
        <f>PM_Angle!$J$10+PM_Angle!$K$10*$C997+PM_Angle!$L$10*$B997</f>
      </c>
      <c r="Q997" s="12">
        <f>IF(P997&gt;0,IF(P997&lt;=eco,alpha*fck*(1-(1-P997/eco)^n),alpha*fck),0)</f>
      </c>
      <c r="R997" s="30">
        <f>PM_Angle!$J$11+PM_Angle!$K$11*$C997+PM_Angle!$L$11*$B997</f>
      </c>
      <c r="S997" s="12">
        <f>IF(R997&gt;0,IF(R997&lt;=eco,alpha*fck*(1-(1-R997/eco)^n),alpha*fck),0)</f>
      </c>
      <c r="T997" s="30">
        <f>PM_Angle!$J$12+PM_Angle!$K$12*$C997+PM_Angle!$L$12*$B997</f>
      </c>
      <c r="U997" s="12">
        <f>IF(T997&gt;0,IF(T997&lt;=eco,alpha*fck*(1-(1-T997/eco)^n),alpha*fck),0)</f>
      </c>
      <c r="V997" s="30">
        <f>PM_Angle!$J$13+PM_Angle!$K$13*$C997+PM_Angle!$L$13*$B997</f>
      </c>
      <c r="W997" s="12">
        <f>IF(V997&gt;0,IF(V997&lt;=eco,alpha*fck*(1-(1-V997/eco)^n),alpha*fck),0)</f>
      </c>
      <c r="X997" s="30">
        <f>PM_Angle!$J$14+PM_Angle!$K$14*$C997+PM_Angle!$L$14*$B997</f>
      </c>
      <c r="Y997" s="12">
        <f>IF(X997&gt;0,IF(X997&lt;=eco,alpha*fck*(1-(1-X997/eco)^n),alpha*fck),0)</f>
      </c>
      <c r="Z997" s="30">
        <f>PM_Angle!$J$15+PM_Angle!$K$15*$C997+PM_Angle!$L$15*$B997</f>
      </c>
      <c r="AA997" s="12">
        <f>IF(Z997&gt;0,IF(Z997&lt;=eco,alpha*fck*(1-(1-Z997/eco)^n),alpha*fck),0)</f>
      </c>
      <c r="AB997" s="30">
        <f>PM_Angle!$J$16+PM_Angle!$K$16*$C997+PM_Angle!$L$16*$B997</f>
      </c>
      <c r="AC997" s="12">
        <f>IF(AB997&gt;0,IF(AB997&lt;=eco,alpha*fck*(1-(1-AB997/eco)^n),alpha*fck),0)</f>
      </c>
      <c r="AD997" s="30">
        <f>PM_Angle!$J$17+PM_Angle!$K$17*$C997+PM_Angle!$L$17*$B997</f>
      </c>
      <c r="AE997" s="12">
        <f>IF(AD997&gt;0,IF(AD997&lt;=eco,alpha*fck*(1-(1-AD997/eco)^n),alpha*fck),0)</f>
      </c>
      <c r="AF997" s="30">
        <f>PM_Angle!$J$18+PM_Angle!$K$18*$C997+PM_Angle!$L$18*$B997</f>
      </c>
      <c r="AG997" s="12">
        <f>IF(AF997&gt;0,IF(AF997&lt;=eco,alpha*fck*(1-(1-AF997/eco)^n),alpha*fck),0)</f>
      </c>
      <c r="AH997" s="30">
        <f>PM_Angle!$J$19+PM_Angle!$K$19*$C997+PM_Angle!$L$19*$B997</f>
      </c>
      <c r="AI997" s="12">
        <f>IF(AH997&gt;0,IF(AH997&lt;=eco,alpha*fck*(1-(1-AH997/eco)^n),alpha*fck),0)</f>
      </c>
      <c r="AJ997" s="30">
        <f>PM_Angle!$J$20+PM_Angle!$K$20*$C997+PM_Angle!$L$20*$B997</f>
      </c>
      <c r="AK997" s="12">
        <f>IF(AJ997&gt;0,IF(AJ997&lt;=eco,alpha*fck*(1-(1-AJ997/eco)^n),alpha*fck),0)</f>
      </c>
      <c r="AL997" s="30">
        <f>PM_Angle!$J$21+PM_Angle!$K$21*$C997+PM_Angle!$L$21*$B997</f>
      </c>
      <c r="AM997" s="12">
        <f>IF(AL997&gt;0,IF(AL997&lt;=eco,alpha*fck*(1-(1-AL997/eco)^n),alpha*fck),0)</f>
      </c>
      <c r="AN997" s="30">
        <f>PM_Angle!$J$22+PM_Angle!$K$22*$C997+PM_Angle!$L$22*$B997</f>
      </c>
      <c r="AO997" s="12">
        <f>IF(AN997&gt;0,IF(AN997&lt;=eco,alpha*fck*(1-(1-AN997/eco)^n),alpha*fck),0)</f>
      </c>
      <c r="AP997" s="30">
        <f>PM_Angle!$J$23+PM_Angle!$K$23*$C997+PM_Angle!$L$23*$B997</f>
      </c>
      <c r="AQ997" s="12">
        <f>IF(AP997&gt;0,IF(AP997&lt;=eco,alpha*fck*(1-(1-AP997/eco)^n),alpha*fck),0)</f>
      </c>
      <c r="AR997" s="30">
        <f>PM_Angle!$J$24+PM_Angle!$K$24*$C997+PM_Angle!$L$24*$B997</f>
      </c>
      <c r="AS997" s="12">
        <f>IF(AR997&gt;0,IF(AR997&lt;=eco,alpha*fck*(1-(1-AR997/eco)^n),alpha*fck),0)</f>
      </c>
      <c r="AT997" s="30">
        <f>PM_Angle!$J$25+PM_Angle!$K$25*$C997+PM_Angle!$L$25*$B997</f>
      </c>
      <c r="AU997" s="12">
        <f>IF(AT997&gt;0,IF(AT997&lt;=eco,alpha*fck*(1-(1-AT997/eco)^n),alpha*fck),0)</f>
      </c>
    </row>
    <row r="998" spans="1:47" x14ac:dyDescent="0.25">
      <c r="A998">
        <f>Mesh!A995</f>
      </c>
      <c r="B998" s="12">
        <f>Mesh!B995</f>
      </c>
      <c r="C998" s="12">
        <f>Mesh!C995</f>
      </c>
      <c r="D998" s="12">
        <f>Mesh!D995</f>
      </c>
      <c r="E998" s="30">
        <f>INDEX(St_e0,Det+1)+INDEX(St_kx,Det+1)*C998+INDEX(St_ky,Det+1)*B998</f>
      </c>
      <c r="F998" s="12">
        <f>IF(E998&gt;0,IF(E998&lt;=eco,alpha*fck*(1-(1-E998/eco)^n),alpha*fck),0)</f>
      </c>
      <c r="G998" s="11">
        <f>F998*D998</f>
      </c>
      <c r="H998" s="11">
        <f>G998*C998</f>
      </c>
      <c r="I998" s="11">
        <f>G998*B998</f>
      </c>
      <c r="J998" s="30">
        <f>PM_Angle!$J$7+PM_Angle!$K$7*$C998+PM_Angle!$L$7*$B998</f>
      </c>
      <c r="K998" s="12">
        <f>IF(J998&gt;0,IF(J998&lt;=eco,alpha*fck*(1-(1-J998/eco)^n),alpha*fck),0)</f>
      </c>
      <c r="L998" s="30">
        <f>PM_Angle!$J$8+PM_Angle!$K$8*$C998+PM_Angle!$L$8*$B998</f>
      </c>
      <c r="M998" s="12">
        <f>IF(L998&gt;0,IF(L998&lt;=eco,alpha*fck*(1-(1-L998/eco)^n),alpha*fck),0)</f>
      </c>
      <c r="N998" s="30">
        <f>PM_Angle!$J$9+PM_Angle!$K$9*$C998+PM_Angle!$L$9*$B998</f>
      </c>
      <c r="O998" s="12">
        <f>IF(N998&gt;0,IF(N998&lt;=eco,alpha*fck*(1-(1-N998/eco)^n),alpha*fck),0)</f>
      </c>
      <c r="P998" s="30">
        <f>PM_Angle!$J$10+PM_Angle!$K$10*$C998+PM_Angle!$L$10*$B998</f>
      </c>
      <c r="Q998" s="12">
        <f>IF(P998&gt;0,IF(P998&lt;=eco,alpha*fck*(1-(1-P998/eco)^n),alpha*fck),0)</f>
      </c>
      <c r="R998" s="30">
        <f>PM_Angle!$J$11+PM_Angle!$K$11*$C998+PM_Angle!$L$11*$B998</f>
      </c>
      <c r="S998" s="12">
        <f>IF(R998&gt;0,IF(R998&lt;=eco,alpha*fck*(1-(1-R998/eco)^n),alpha*fck),0)</f>
      </c>
      <c r="T998" s="30">
        <f>PM_Angle!$J$12+PM_Angle!$K$12*$C998+PM_Angle!$L$12*$B998</f>
      </c>
      <c r="U998" s="12">
        <f>IF(T998&gt;0,IF(T998&lt;=eco,alpha*fck*(1-(1-T998/eco)^n),alpha*fck),0)</f>
      </c>
      <c r="V998" s="30">
        <f>PM_Angle!$J$13+PM_Angle!$K$13*$C998+PM_Angle!$L$13*$B998</f>
      </c>
      <c r="W998" s="12">
        <f>IF(V998&gt;0,IF(V998&lt;=eco,alpha*fck*(1-(1-V998/eco)^n),alpha*fck),0)</f>
      </c>
      <c r="X998" s="30">
        <f>PM_Angle!$J$14+PM_Angle!$K$14*$C998+PM_Angle!$L$14*$B998</f>
      </c>
      <c r="Y998" s="12">
        <f>IF(X998&gt;0,IF(X998&lt;=eco,alpha*fck*(1-(1-X998/eco)^n),alpha*fck),0)</f>
      </c>
      <c r="Z998" s="30">
        <f>PM_Angle!$J$15+PM_Angle!$K$15*$C998+PM_Angle!$L$15*$B998</f>
      </c>
      <c r="AA998" s="12">
        <f>IF(Z998&gt;0,IF(Z998&lt;=eco,alpha*fck*(1-(1-Z998/eco)^n),alpha*fck),0)</f>
      </c>
      <c r="AB998" s="30">
        <f>PM_Angle!$J$16+PM_Angle!$K$16*$C998+PM_Angle!$L$16*$B998</f>
      </c>
      <c r="AC998" s="12">
        <f>IF(AB998&gt;0,IF(AB998&lt;=eco,alpha*fck*(1-(1-AB998/eco)^n),alpha*fck),0)</f>
      </c>
      <c r="AD998" s="30">
        <f>PM_Angle!$J$17+PM_Angle!$K$17*$C998+PM_Angle!$L$17*$B998</f>
      </c>
      <c r="AE998" s="12">
        <f>IF(AD998&gt;0,IF(AD998&lt;=eco,alpha*fck*(1-(1-AD998/eco)^n),alpha*fck),0)</f>
      </c>
      <c r="AF998" s="30">
        <f>PM_Angle!$J$18+PM_Angle!$K$18*$C998+PM_Angle!$L$18*$B998</f>
      </c>
      <c r="AG998" s="12">
        <f>IF(AF998&gt;0,IF(AF998&lt;=eco,alpha*fck*(1-(1-AF998/eco)^n),alpha*fck),0)</f>
      </c>
      <c r="AH998" s="30">
        <f>PM_Angle!$J$19+PM_Angle!$K$19*$C998+PM_Angle!$L$19*$B998</f>
      </c>
      <c r="AI998" s="12">
        <f>IF(AH998&gt;0,IF(AH998&lt;=eco,alpha*fck*(1-(1-AH998/eco)^n),alpha*fck),0)</f>
      </c>
      <c r="AJ998" s="30">
        <f>PM_Angle!$J$20+PM_Angle!$K$20*$C998+PM_Angle!$L$20*$B998</f>
      </c>
      <c r="AK998" s="12">
        <f>IF(AJ998&gt;0,IF(AJ998&lt;=eco,alpha*fck*(1-(1-AJ998/eco)^n),alpha*fck),0)</f>
      </c>
      <c r="AL998" s="30">
        <f>PM_Angle!$J$21+PM_Angle!$K$21*$C998+PM_Angle!$L$21*$B998</f>
      </c>
      <c r="AM998" s="12">
        <f>IF(AL998&gt;0,IF(AL998&lt;=eco,alpha*fck*(1-(1-AL998/eco)^n),alpha*fck),0)</f>
      </c>
      <c r="AN998" s="30">
        <f>PM_Angle!$J$22+PM_Angle!$K$22*$C998+PM_Angle!$L$22*$B998</f>
      </c>
      <c r="AO998" s="12">
        <f>IF(AN998&gt;0,IF(AN998&lt;=eco,alpha*fck*(1-(1-AN998/eco)^n),alpha*fck),0)</f>
      </c>
      <c r="AP998" s="30">
        <f>PM_Angle!$J$23+PM_Angle!$K$23*$C998+PM_Angle!$L$23*$B998</f>
      </c>
      <c r="AQ998" s="12">
        <f>IF(AP998&gt;0,IF(AP998&lt;=eco,alpha*fck*(1-(1-AP998/eco)^n),alpha*fck),0)</f>
      </c>
      <c r="AR998" s="30">
        <f>PM_Angle!$J$24+PM_Angle!$K$24*$C998+PM_Angle!$L$24*$B998</f>
      </c>
      <c r="AS998" s="12">
        <f>IF(AR998&gt;0,IF(AR998&lt;=eco,alpha*fck*(1-(1-AR998/eco)^n),alpha*fck),0)</f>
      </c>
      <c r="AT998" s="30">
        <f>PM_Angle!$J$25+PM_Angle!$K$25*$C998+PM_Angle!$L$25*$B998</f>
      </c>
      <c r="AU998" s="12">
        <f>IF(AT998&gt;0,IF(AT998&lt;=eco,alpha*fck*(1-(1-AT998/eco)^n),alpha*fck),0)</f>
      </c>
    </row>
    <row r="999" spans="1:47" x14ac:dyDescent="0.25">
      <c r="A999">
        <f>Mesh!A996</f>
      </c>
      <c r="B999" s="12">
        <f>Mesh!B996</f>
      </c>
      <c r="C999" s="12">
        <f>Mesh!C996</f>
      </c>
      <c r="D999" s="12">
        <f>Mesh!D996</f>
      </c>
      <c r="E999" s="30">
        <f>INDEX(St_e0,Det+1)+INDEX(St_kx,Det+1)*C999+INDEX(St_ky,Det+1)*B999</f>
      </c>
      <c r="F999" s="12">
        <f>IF(E999&gt;0,IF(E999&lt;=eco,alpha*fck*(1-(1-E999/eco)^n),alpha*fck),0)</f>
      </c>
      <c r="G999" s="11">
        <f>F999*D999</f>
      </c>
      <c r="H999" s="11">
        <f>G999*C999</f>
      </c>
      <c r="I999" s="11">
        <f>G999*B999</f>
      </c>
      <c r="J999" s="30">
        <f>PM_Angle!$J$7+PM_Angle!$K$7*$C999+PM_Angle!$L$7*$B999</f>
      </c>
      <c r="K999" s="12">
        <f>IF(J999&gt;0,IF(J999&lt;=eco,alpha*fck*(1-(1-J999/eco)^n),alpha*fck),0)</f>
      </c>
      <c r="L999" s="30">
        <f>PM_Angle!$J$8+PM_Angle!$K$8*$C999+PM_Angle!$L$8*$B999</f>
      </c>
      <c r="M999" s="12">
        <f>IF(L999&gt;0,IF(L999&lt;=eco,alpha*fck*(1-(1-L999/eco)^n),alpha*fck),0)</f>
      </c>
      <c r="N999" s="30">
        <f>PM_Angle!$J$9+PM_Angle!$K$9*$C999+PM_Angle!$L$9*$B999</f>
      </c>
      <c r="O999" s="12">
        <f>IF(N999&gt;0,IF(N999&lt;=eco,alpha*fck*(1-(1-N999/eco)^n),alpha*fck),0)</f>
      </c>
      <c r="P999" s="30">
        <f>PM_Angle!$J$10+PM_Angle!$K$10*$C999+PM_Angle!$L$10*$B999</f>
      </c>
      <c r="Q999" s="12">
        <f>IF(P999&gt;0,IF(P999&lt;=eco,alpha*fck*(1-(1-P999/eco)^n),alpha*fck),0)</f>
      </c>
      <c r="R999" s="30">
        <f>PM_Angle!$J$11+PM_Angle!$K$11*$C999+PM_Angle!$L$11*$B999</f>
      </c>
      <c r="S999" s="12">
        <f>IF(R999&gt;0,IF(R999&lt;=eco,alpha*fck*(1-(1-R999/eco)^n),alpha*fck),0)</f>
      </c>
      <c r="T999" s="30">
        <f>PM_Angle!$J$12+PM_Angle!$K$12*$C999+PM_Angle!$L$12*$B999</f>
      </c>
      <c r="U999" s="12">
        <f>IF(T999&gt;0,IF(T999&lt;=eco,alpha*fck*(1-(1-T999/eco)^n),alpha*fck),0)</f>
      </c>
      <c r="V999" s="30">
        <f>PM_Angle!$J$13+PM_Angle!$K$13*$C999+PM_Angle!$L$13*$B999</f>
      </c>
      <c r="W999" s="12">
        <f>IF(V999&gt;0,IF(V999&lt;=eco,alpha*fck*(1-(1-V999/eco)^n),alpha*fck),0)</f>
      </c>
      <c r="X999" s="30">
        <f>PM_Angle!$J$14+PM_Angle!$K$14*$C999+PM_Angle!$L$14*$B999</f>
      </c>
      <c r="Y999" s="12">
        <f>IF(X999&gt;0,IF(X999&lt;=eco,alpha*fck*(1-(1-X999/eco)^n),alpha*fck),0)</f>
      </c>
      <c r="Z999" s="30">
        <f>PM_Angle!$J$15+PM_Angle!$K$15*$C999+PM_Angle!$L$15*$B999</f>
      </c>
      <c r="AA999" s="12">
        <f>IF(Z999&gt;0,IF(Z999&lt;=eco,alpha*fck*(1-(1-Z999/eco)^n),alpha*fck),0)</f>
      </c>
      <c r="AB999" s="30">
        <f>PM_Angle!$J$16+PM_Angle!$K$16*$C999+PM_Angle!$L$16*$B999</f>
      </c>
      <c r="AC999" s="12">
        <f>IF(AB999&gt;0,IF(AB999&lt;=eco,alpha*fck*(1-(1-AB999/eco)^n),alpha*fck),0)</f>
      </c>
      <c r="AD999" s="30">
        <f>PM_Angle!$J$17+PM_Angle!$K$17*$C999+PM_Angle!$L$17*$B999</f>
      </c>
      <c r="AE999" s="12">
        <f>IF(AD999&gt;0,IF(AD999&lt;=eco,alpha*fck*(1-(1-AD999/eco)^n),alpha*fck),0)</f>
      </c>
      <c r="AF999" s="30">
        <f>PM_Angle!$J$18+PM_Angle!$K$18*$C999+PM_Angle!$L$18*$B999</f>
      </c>
      <c r="AG999" s="12">
        <f>IF(AF999&gt;0,IF(AF999&lt;=eco,alpha*fck*(1-(1-AF999/eco)^n),alpha*fck),0)</f>
      </c>
      <c r="AH999" s="30">
        <f>PM_Angle!$J$19+PM_Angle!$K$19*$C999+PM_Angle!$L$19*$B999</f>
      </c>
      <c r="AI999" s="12">
        <f>IF(AH999&gt;0,IF(AH999&lt;=eco,alpha*fck*(1-(1-AH999/eco)^n),alpha*fck),0)</f>
      </c>
      <c r="AJ999" s="30">
        <f>PM_Angle!$J$20+PM_Angle!$K$20*$C999+PM_Angle!$L$20*$B999</f>
      </c>
      <c r="AK999" s="12">
        <f>IF(AJ999&gt;0,IF(AJ999&lt;=eco,alpha*fck*(1-(1-AJ999/eco)^n),alpha*fck),0)</f>
      </c>
      <c r="AL999" s="30">
        <f>PM_Angle!$J$21+PM_Angle!$K$21*$C999+PM_Angle!$L$21*$B999</f>
      </c>
      <c r="AM999" s="12">
        <f>IF(AL999&gt;0,IF(AL999&lt;=eco,alpha*fck*(1-(1-AL999/eco)^n),alpha*fck),0)</f>
      </c>
      <c r="AN999" s="30">
        <f>PM_Angle!$J$22+PM_Angle!$K$22*$C999+PM_Angle!$L$22*$B999</f>
      </c>
      <c r="AO999" s="12">
        <f>IF(AN999&gt;0,IF(AN999&lt;=eco,alpha*fck*(1-(1-AN999/eco)^n),alpha*fck),0)</f>
      </c>
      <c r="AP999" s="30">
        <f>PM_Angle!$J$23+PM_Angle!$K$23*$C999+PM_Angle!$L$23*$B999</f>
      </c>
      <c r="AQ999" s="12">
        <f>IF(AP999&gt;0,IF(AP999&lt;=eco,alpha*fck*(1-(1-AP999/eco)^n),alpha*fck),0)</f>
      </c>
      <c r="AR999" s="30">
        <f>PM_Angle!$J$24+PM_Angle!$K$24*$C999+PM_Angle!$L$24*$B999</f>
      </c>
      <c r="AS999" s="12">
        <f>IF(AR999&gt;0,IF(AR999&lt;=eco,alpha*fck*(1-(1-AR999/eco)^n),alpha*fck),0)</f>
      </c>
      <c r="AT999" s="30">
        <f>PM_Angle!$J$25+PM_Angle!$K$25*$C999+PM_Angle!$L$25*$B999</f>
      </c>
      <c r="AU999" s="12">
        <f>IF(AT999&gt;0,IF(AT999&lt;=eco,alpha*fck*(1-(1-AT999/eco)^n),alpha*fck),0)</f>
      </c>
    </row>
    <row r="1000" spans="1:47" x14ac:dyDescent="0.25">
      <c r="A1000">
        <f>Mesh!A997</f>
      </c>
      <c r="B1000" s="12">
        <f>Mesh!B997</f>
      </c>
      <c r="C1000" s="12">
        <f>Mesh!C997</f>
      </c>
      <c r="D1000" s="12">
        <f>Mesh!D997</f>
      </c>
      <c r="E1000" s="30">
        <f>INDEX(St_e0,Det+1)+INDEX(St_kx,Det+1)*C1000+INDEX(St_ky,Det+1)*B1000</f>
      </c>
      <c r="F1000" s="12">
        <f>IF(E1000&gt;0,IF(E1000&lt;=eco,alpha*fck*(1-(1-E1000/eco)^n),alpha*fck),0)</f>
      </c>
      <c r="G1000" s="11">
        <f>F1000*D1000</f>
      </c>
      <c r="H1000" s="11">
        <f>G1000*C1000</f>
      </c>
      <c r="I1000" s="11">
        <f>G1000*B1000</f>
      </c>
      <c r="J1000" s="30">
        <f>PM_Angle!$J$7+PM_Angle!$K$7*$C1000+PM_Angle!$L$7*$B1000</f>
      </c>
      <c r="K1000" s="12">
        <f>IF(J1000&gt;0,IF(J1000&lt;=eco,alpha*fck*(1-(1-J1000/eco)^n),alpha*fck),0)</f>
      </c>
      <c r="L1000" s="30">
        <f>PM_Angle!$J$8+PM_Angle!$K$8*$C1000+PM_Angle!$L$8*$B1000</f>
      </c>
      <c r="M1000" s="12">
        <f>IF(L1000&gt;0,IF(L1000&lt;=eco,alpha*fck*(1-(1-L1000/eco)^n),alpha*fck),0)</f>
      </c>
      <c r="N1000" s="30">
        <f>PM_Angle!$J$9+PM_Angle!$K$9*$C1000+PM_Angle!$L$9*$B1000</f>
      </c>
      <c r="O1000" s="12">
        <f>IF(N1000&gt;0,IF(N1000&lt;=eco,alpha*fck*(1-(1-N1000/eco)^n),alpha*fck),0)</f>
      </c>
      <c r="P1000" s="30">
        <f>PM_Angle!$J$10+PM_Angle!$K$10*$C1000+PM_Angle!$L$10*$B1000</f>
      </c>
      <c r="Q1000" s="12">
        <f>IF(P1000&gt;0,IF(P1000&lt;=eco,alpha*fck*(1-(1-P1000/eco)^n),alpha*fck),0)</f>
      </c>
      <c r="R1000" s="30">
        <f>PM_Angle!$J$11+PM_Angle!$K$11*$C1000+PM_Angle!$L$11*$B1000</f>
      </c>
      <c r="S1000" s="12">
        <f>IF(R1000&gt;0,IF(R1000&lt;=eco,alpha*fck*(1-(1-R1000/eco)^n),alpha*fck),0)</f>
      </c>
      <c r="T1000" s="30">
        <f>PM_Angle!$J$12+PM_Angle!$K$12*$C1000+PM_Angle!$L$12*$B1000</f>
      </c>
      <c r="U1000" s="12">
        <f>IF(T1000&gt;0,IF(T1000&lt;=eco,alpha*fck*(1-(1-T1000/eco)^n),alpha*fck),0)</f>
      </c>
      <c r="V1000" s="30">
        <f>PM_Angle!$J$13+PM_Angle!$K$13*$C1000+PM_Angle!$L$13*$B1000</f>
      </c>
      <c r="W1000" s="12">
        <f>IF(V1000&gt;0,IF(V1000&lt;=eco,alpha*fck*(1-(1-V1000/eco)^n),alpha*fck),0)</f>
      </c>
      <c r="X1000" s="30">
        <f>PM_Angle!$J$14+PM_Angle!$K$14*$C1000+PM_Angle!$L$14*$B1000</f>
      </c>
      <c r="Y1000" s="12">
        <f>IF(X1000&gt;0,IF(X1000&lt;=eco,alpha*fck*(1-(1-X1000/eco)^n),alpha*fck),0)</f>
      </c>
      <c r="Z1000" s="30">
        <f>PM_Angle!$J$15+PM_Angle!$K$15*$C1000+PM_Angle!$L$15*$B1000</f>
      </c>
      <c r="AA1000" s="12">
        <f>IF(Z1000&gt;0,IF(Z1000&lt;=eco,alpha*fck*(1-(1-Z1000/eco)^n),alpha*fck),0)</f>
      </c>
      <c r="AB1000" s="30">
        <f>PM_Angle!$J$16+PM_Angle!$K$16*$C1000+PM_Angle!$L$16*$B1000</f>
      </c>
      <c r="AC1000" s="12">
        <f>IF(AB1000&gt;0,IF(AB1000&lt;=eco,alpha*fck*(1-(1-AB1000/eco)^n),alpha*fck),0)</f>
      </c>
      <c r="AD1000" s="30">
        <f>PM_Angle!$J$17+PM_Angle!$K$17*$C1000+PM_Angle!$L$17*$B1000</f>
      </c>
      <c r="AE1000" s="12">
        <f>IF(AD1000&gt;0,IF(AD1000&lt;=eco,alpha*fck*(1-(1-AD1000/eco)^n),alpha*fck),0)</f>
      </c>
      <c r="AF1000" s="30">
        <f>PM_Angle!$J$18+PM_Angle!$K$18*$C1000+PM_Angle!$L$18*$B1000</f>
      </c>
      <c r="AG1000" s="12">
        <f>IF(AF1000&gt;0,IF(AF1000&lt;=eco,alpha*fck*(1-(1-AF1000/eco)^n),alpha*fck),0)</f>
      </c>
      <c r="AH1000" s="30">
        <f>PM_Angle!$J$19+PM_Angle!$K$19*$C1000+PM_Angle!$L$19*$B1000</f>
      </c>
      <c r="AI1000" s="12">
        <f>IF(AH1000&gt;0,IF(AH1000&lt;=eco,alpha*fck*(1-(1-AH1000/eco)^n),alpha*fck),0)</f>
      </c>
      <c r="AJ1000" s="30">
        <f>PM_Angle!$J$20+PM_Angle!$K$20*$C1000+PM_Angle!$L$20*$B1000</f>
      </c>
      <c r="AK1000" s="12">
        <f>IF(AJ1000&gt;0,IF(AJ1000&lt;=eco,alpha*fck*(1-(1-AJ1000/eco)^n),alpha*fck),0)</f>
      </c>
      <c r="AL1000" s="30">
        <f>PM_Angle!$J$21+PM_Angle!$K$21*$C1000+PM_Angle!$L$21*$B1000</f>
      </c>
      <c r="AM1000" s="12">
        <f>IF(AL1000&gt;0,IF(AL1000&lt;=eco,alpha*fck*(1-(1-AL1000/eco)^n),alpha*fck),0)</f>
      </c>
      <c r="AN1000" s="30">
        <f>PM_Angle!$J$22+PM_Angle!$K$22*$C1000+PM_Angle!$L$22*$B1000</f>
      </c>
      <c r="AO1000" s="12">
        <f>IF(AN1000&gt;0,IF(AN1000&lt;=eco,alpha*fck*(1-(1-AN1000/eco)^n),alpha*fck),0)</f>
      </c>
      <c r="AP1000" s="30">
        <f>PM_Angle!$J$23+PM_Angle!$K$23*$C1000+PM_Angle!$L$23*$B1000</f>
      </c>
      <c r="AQ1000" s="12">
        <f>IF(AP1000&gt;0,IF(AP1000&lt;=eco,alpha*fck*(1-(1-AP1000/eco)^n),alpha*fck),0)</f>
      </c>
      <c r="AR1000" s="30">
        <f>PM_Angle!$J$24+PM_Angle!$K$24*$C1000+PM_Angle!$L$24*$B1000</f>
      </c>
      <c r="AS1000" s="12">
        <f>IF(AR1000&gt;0,IF(AR1000&lt;=eco,alpha*fck*(1-(1-AR1000/eco)^n),alpha*fck),0)</f>
      </c>
      <c r="AT1000" s="30">
        <f>PM_Angle!$J$25+PM_Angle!$K$25*$C1000+PM_Angle!$L$25*$B1000</f>
      </c>
      <c r="AU1000" s="12">
        <f>IF(AT1000&gt;0,IF(AT1000&lt;=eco,alpha*fck*(1-(1-AT1000/eco)^n),alpha*fck),0)</f>
      </c>
    </row>
    <row r="1001" spans="1:47" x14ac:dyDescent="0.25">
      <c r="A1001">
        <f>Mesh!A998</f>
      </c>
      <c r="B1001" s="12">
        <f>Mesh!B998</f>
      </c>
      <c r="C1001" s="12">
        <f>Mesh!C998</f>
      </c>
      <c r="D1001" s="12">
        <f>Mesh!D998</f>
      </c>
      <c r="E1001" s="30">
        <f>INDEX(St_e0,Det+1)+INDEX(St_kx,Det+1)*C1001+INDEX(St_ky,Det+1)*B1001</f>
      </c>
      <c r="F1001" s="12">
        <f>IF(E1001&gt;0,IF(E1001&lt;=eco,alpha*fck*(1-(1-E1001/eco)^n),alpha*fck),0)</f>
      </c>
      <c r="G1001" s="11">
        <f>F1001*D1001</f>
      </c>
      <c r="H1001" s="11">
        <f>G1001*C1001</f>
      </c>
      <c r="I1001" s="11">
        <f>G1001*B1001</f>
      </c>
      <c r="J1001" s="30">
        <f>PM_Angle!$J$7+PM_Angle!$K$7*$C1001+PM_Angle!$L$7*$B1001</f>
      </c>
      <c r="K1001" s="12">
        <f>IF(J1001&gt;0,IF(J1001&lt;=eco,alpha*fck*(1-(1-J1001/eco)^n),alpha*fck),0)</f>
      </c>
      <c r="L1001" s="30">
        <f>PM_Angle!$J$8+PM_Angle!$K$8*$C1001+PM_Angle!$L$8*$B1001</f>
      </c>
      <c r="M1001" s="12">
        <f>IF(L1001&gt;0,IF(L1001&lt;=eco,alpha*fck*(1-(1-L1001/eco)^n),alpha*fck),0)</f>
      </c>
      <c r="N1001" s="30">
        <f>PM_Angle!$J$9+PM_Angle!$K$9*$C1001+PM_Angle!$L$9*$B1001</f>
      </c>
      <c r="O1001" s="12">
        <f>IF(N1001&gt;0,IF(N1001&lt;=eco,alpha*fck*(1-(1-N1001/eco)^n),alpha*fck),0)</f>
      </c>
      <c r="P1001" s="30">
        <f>PM_Angle!$J$10+PM_Angle!$K$10*$C1001+PM_Angle!$L$10*$B1001</f>
      </c>
      <c r="Q1001" s="12">
        <f>IF(P1001&gt;0,IF(P1001&lt;=eco,alpha*fck*(1-(1-P1001/eco)^n),alpha*fck),0)</f>
      </c>
      <c r="R1001" s="30">
        <f>PM_Angle!$J$11+PM_Angle!$K$11*$C1001+PM_Angle!$L$11*$B1001</f>
      </c>
      <c r="S1001" s="12">
        <f>IF(R1001&gt;0,IF(R1001&lt;=eco,alpha*fck*(1-(1-R1001/eco)^n),alpha*fck),0)</f>
      </c>
      <c r="T1001" s="30">
        <f>PM_Angle!$J$12+PM_Angle!$K$12*$C1001+PM_Angle!$L$12*$B1001</f>
      </c>
      <c r="U1001" s="12">
        <f>IF(T1001&gt;0,IF(T1001&lt;=eco,alpha*fck*(1-(1-T1001/eco)^n),alpha*fck),0)</f>
      </c>
      <c r="V1001" s="30">
        <f>PM_Angle!$J$13+PM_Angle!$K$13*$C1001+PM_Angle!$L$13*$B1001</f>
      </c>
      <c r="W1001" s="12">
        <f>IF(V1001&gt;0,IF(V1001&lt;=eco,alpha*fck*(1-(1-V1001/eco)^n),alpha*fck),0)</f>
      </c>
      <c r="X1001" s="30">
        <f>PM_Angle!$J$14+PM_Angle!$K$14*$C1001+PM_Angle!$L$14*$B1001</f>
      </c>
      <c r="Y1001" s="12">
        <f>IF(X1001&gt;0,IF(X1001&lt;=eco,alpha*fck*(1-(1-X1001/eco)^n),alpha*fck),0)</f>
      </c>
      <c r="Z1001" s="30">
        <f>PM_Angle!$J$15+PM_Angle!$K$15*$C1001+PM_Angle!$L$15*$B1001</f>
      </c>
      <c r="AA1001" s="12">
        <f>IF(Z1001&gt;0,IF(Z1001&lt;=eco,alpha*fck*(1-(1-Z1001/eco)^n),alpha*fck),0)</f>
      </c>
      <c r="AB1001" s="30">
        <f>PM_Angle!$J$16+PM_Angle!$K$16*$C1001+PM_Angle!$L$16*$B1001</f>
      </c>
      <c r="AC1001" s="12">
        <f>IF(AB1001&gt;0,IF(AB1001&lt;=eco,alpha*fck*(1-(1-AB1001/eco)^n),alpha*fck),0)</f>
      </c>
      <c r="AD1001" s="30">
        <f>PM_Angle!$J$17+PM_Angle!$K$17*$C1001+PM_Angle!$L$17*$B1001</f>
      </c>
      <c r="AE1001" s="12">
        <f>IF(AD1001&gt;0,IF(AD1001&lt;=eco,alpha*fck*(1-(1-AD1001/eco)^n),alpha*fck),0)</f>
      </c>
      <c r="AF1001" s="30">
        <f>PM_Angle!$J$18+PM_Angle!$K$18*$C1001+PM_Angle!$L$18*$B1001</f>
      </c>
      <c r="AG1001" s="12">
        <f>IF(AF1001&gt;0,IF(AF1001&lt;=eco,alpha*fck*(1-(1-AF1001/eco)^n),alpha*fck),0)</f>
      </c>
      <c r="AH1001" s="30">
        <f>PM_Angle!$J$19+PM_Angle!$K$19*$C1001+PM_Angle!$L$19*$B1001</f>
      </c>
      <c r="AI1001" s="12">
        <f>IF(AH1001&gt;0,IF(AH1001&lt;=eco,alpha*fck*(1-(1-AH1001/eco)^n),alpha*fck),0)</f>
      </c>
      <c r="AJ1001" s="30">
        <f>PM_Angle!$J$20+PM_Angle!$K$20*$C1001+PM_Angle!$L$20*$B1001</f>
      </c>
      <c r="AK1001" s="12">
        <f>IF(AJ1001&gt;0,IF(AJ1001&lt;=eco,alpha*fck*(1-(1-AJ1001/eco)^n),alpha*fck),0)</f>
      </c>
      <c r="AL1001" s="30">
        <f>PM_Angle!$J$21+PM_Angle!$K$21*$C1001+PM_Angle!$L$21*$B1001</f>
      </c>
      <c r="AM1001" s="12">
        <f>IF(AL1001&gt;0,IF(AL1001&lt;=eco,alpha*fck*(1-(1-AL1001/eco)^n),alpha*fck),0)</f>
      </c>
      <c r="AN1001" s="30">
        <f>PM_Angle!$J$22+PM_Angle!$K$22*$C1001+PM_Angle!$L$22*$B1001</f>
      </c>
      <c r="AO1001" s="12">
        <f>IF(AN1001&gt;0,IF(AN1001&lt;=eco,alpha*fck*(1-(1-AN1001/eco)^n),alpha*fck),0)</f>
      </c>
      <c r="AP1001" s="30">
        <f>PM_Angle!$J$23+PM_Angle!$K$23*$C1001+PM_Angle!$L$23*$B1001</f>
      </c>
      <c r="AQ1001" s="12">
        <f>IF(AP1001&gt;0,IF(AP1001&lt;=eco,alpha*fck*(1-(1-AP1001/eco)^n),alpha*fck),0)</f>
      </c>
      <c r="AR1001" s="30">
        <f>PM_Angle!$J$24+PM_Angle!$K$24*$C1001+PM_Angle!$L$24*$B1001</f>
      </c>
      <c r="AS1001" s="12">
        <f>IF(AR1001&gt;0,IF(AR1001&lt;=eco,alpha*fck*(1-(1-AR1001/eco)^n),alpha*fck),0)</f>
      </c>
      <c r="AT1001" s="30">
        <f>PM_Angle!$J$25+PM_Angle!$K$25*$C1001+PM_Angle!$L$25*$B1001</f>
      </c>
      <c r="AU1001" s="12">
        <f>IF(AT1001&gt;0,IF(AT1001&lt;=eco,alpha*fck*(1-(1-AT1001/eco)^n),alpha*fck),0)</f>
      </c>
    </row>
    <row r="1002" spans="1:47" x14ac:dyDescent="0.25">
      <c r="A1002">
        <f>Mesh!A999</f>
      </c>
      <c r="B1002" s="12">
        <f>Mesh!B999</f>
      </c>
      <c r="C1002" s="12">
        <f>Mesh!C999</f>
      </c>
      <c r="D1002" s="12">
        <f>Mesh!D999</f>
      </c>
      <c r="E1002" s="30">
        <f>INDEX(St_e0,Det+1)+INDEX(St_kx,Det+1)*C1002+INDEX(St_ky,Det+1)*B1002</f>
      </c>
      <c r="F1002" s="12">
        <f>IF(E1002&gt;0,IF(E1002&lt;=eco,alpha*fck*(1-(1-E1002/eco)^n),alpha*fck),0)</f>
      </c>
      <c r="G1002" s="11">
        <f>F1002*D1002</f>
      </c>
      <c r="H1002" s="11">
        <f>G1002*C1002</f>
      </c>
      <c r="I1002" s="11">
        <f>G1002*B1002</f>
      </c>
      <c r="J1002" s="30">
        <f>PM_Angle!$J$7+PM_Angle!$K$7*$C1002+PM_Angle!$L$7*$B1002</f>
      </c>
      <c r="K1002" s="12">
        <f>IF(J1002&gt;0,IF(J1002&lt;=eco,alpha*fck*(1-(1-J1002/eco)^n),alpha*fck),0)</f>
      </c>
      <c r="L1002" s="30">
        <f>PM_Angle!$J$8+PM_Angle!$K$8*$C1002+PM_Angle!$L$8*$B1002</f>
      </c>
      <c r="M1002" s="12">
        <f>IF(L1002&gt;0,IF(L1002&lt;=eco,alpha*fck*(1-(1-L1002/eco)^n),alpha*fck),0)</f>
      </c>
      <c r="N1002" s="30">
        <f>PM_Angle!$J$9+PM_Angle!$K$9*$C1002+PM_Angle!$L$9*$B1002</f>
      </c>
      <c r="O1002" s="12">
        <f>IF(N1002&gt;0,IF(N1002&lt;=eco,alpha*fck*(1-(1-N1002/eco)^n),alpha*fck),0)</f>
      </c>
      <c r="P1002" s="30">
        <f>PM_Angle!$J$10+PM_Angle!$K$10*$C1002+PM_Angle!$L$10*$B1002</f>
      </c>
      <c r="Q1002" s="12">
        <f>IF(P1002&gt;0,IF(P1002&lt;=eco,alpha*fck*(1-(1-P1002/eco)^n),alpha*fck),0)</f>
      </c>
      <c r="R1002" s="30">
        <f>PM_Angle!$J$11+PM_Angle!$K$11*$C1002+PM_Angle!$L$11*$B1002</f>
      </c>
      <c r="S1002" s="12">
        <f>IF(R1002&gt;0,IF(R1002&lt;=eco,alpha*fck*(1-(1-R1002/eco)^n),alpha*fck),0)</f>
      </c>
      <c r="T1002" s="30">
        <f>PM_Angle!$J$12+PM_Angle!$K$12*$C1002+PM_Angle!$L$12*$B1002</f>
      </c>
      <c r="U1002" s="12">
        <f>IF(T1002&gt;0,IF(T1002&lt;=eco,alpha*fck*(1-(1-T1002/eco)^n),alpha*fck),0)</f>
      </c>
      <c r="V1002" s="30">
        <f>PM_Angle!$J$13+PM_Angle!$K$13*$C1002+PM_Angle!$L$13*$B1002</f>
      </c>
      <c r="W1002" s="12">
        <f>IF(V1002&gt;0,IF(V1002&lt;=eco,alpha*fck*(1-(1-V1002/eco)^n),alpha*fck),0)</f>
      </c>
      <c r="X1002" s="30">
        <f>PM_Angle!$J$14+PM_Angle!$K$14*$C1002+PM_Angle!$L$14*$B1002</f>
      </c>
      <c r="Y1002" s="12">
        <f>IF(X1002&gt;0,IF(X1002&lt;=eco,alpha*fck*(1-(1-X1002/eco)^n),alpha*fck),0)</f>
      </c>
      <c r="Z1002" s="30">
        <f>PM_Angle!$J$15+PM_Angle!$K$15*$C1002+PM_Angle!$L$15*$B1002</f>
      </c>
      <c r="AA1002" s="12">
        <f>IF(Z1002&gt;0,IF(Z1002&lt;=eco,alpha*fck*(1-(1-Z1002/eco)^n),alpha*fck),0)</f>
      </c>
      <c r="AB1002" s="30">
        <f>PM_Angle!$J$16+PM_Angle!$K$16*$C1002+PM_Angle!$L$16*$B1002</f>
      </c>
      <c r="AC1002" s="12">
        <f>IF(AB1002&gt;0,IF(AB1002&lt;=eco,alpha*fck*(1-(1-AB1002/eco)^n),alpha*fck),0)</f>
      </c>
      <c r="AD1002" s="30">
        <f>PM_Angle!$J$17+PM_Angle!$K$17*$C1002+PM_Angle!$L$17*$B1002</f>
      </c>
      <c r="AE1002" s="12">
        <f>IF(AD1002&gt;0,IF(AD1002&lt;=eco,alpha*fck*(1-(1-AD1002/eco)^n),alpha*fck),0)</f>
      </c>
      <c r="AF1002" s="30">
        <f>PM_Angle!$J$18+PM_Angle!$K$18*$C1002+PM_Angle!$L$18*$B1002</f>
      </c>
      <c r="AG1002" s="12">
        <f>IF(AF1002&gt;0,IF(AF1002&lt;=eco,alpha*fck*(1-(1-AF1002/eco)^n),alpha*fck),0)</f>
      </c>
      <c r="AH1002" s="30">
        <f>PM_Angle!$J$19+PM_Angle!$K$19*$C1002+PM_Angle!$L$19*$B1002</f>
      </c>
      <c r="AI1002" s="12">
        <f>IF(AH1002&gt;0,IF(AH1002&lt;=eco,alpha*fck*(1-(1-AH1002/eco)^n),alpha*fck),0)</f>
      </c>
      <c r="AJ1002" s="30">
        <f>PM_Angle!$J$20+PM_Angle!$K$20*$C1002+PM_Angle!$L$20*$B1002</f>
      </c>
      <c r="AK1002" s="12">
        <f>IF(AJ1002&gt;0,IF(AJ1002&lt;=eco,alpha*fck*(1-(1-AJ1002/eco)^n),alpha*fck),0)</f>
      </c>
      <c r="AL1002" s="30">
        <f>PM_Angle!$J$21+PM_Angle!$K$21*$C1002+PM_Angle!$L$21*$B1002</f>
      </c>
      <c r="AM1002" s="12">
        <f>IF(AL1002&gt;0,IF(AL1002&lt;=eco,alpha*fck*(1-(1-AL1002/eco)^n),alpha*fck),0)</f>
      </c>
      <c r="AN1002" s="30">
        <f>PM_Angle!$J$22+PM_Angle!$K$22*$C1002+PM_Angle!$L$22*$B1002</f>
      </c>
      <c r="AO1002" s="12">
        <f>IF(AN1002&gt;0,IF(AN1002&lt;=eco,alpha*fck*(1-(1-AN1002/eco)^n),alpha*fck),0)</f>
      </c>
      <c r="AP1002" s="30">
        <f>PM_Angle!$J$23+PM_Angle!$K$23*$C1002+PM_Angle!$L$23*$B1002</f>
      </c>
      <c r="AQ1002" s="12">
        <f>IF(AP1002&gt;0,IF(AP1002&lt;=eco,alpha*fck*(1-(1-AP1002/eco)^n),alpha*fck),0)</f>
      </c>
      <c r="AR1002" s="30">
        <f>PM_Angle!$J$24+PM_Angle!$K$24*$C1002+PM_Angle!$L$24*$B1002</f>
      </c>
      <c r="AS1002" s="12">
        <f>IF(AR1002&gt;0,IF(AR1002&lt;=eco,alpha*fck*(1-(1-AR1002/eco)^n),alpha*fck),0)</f>
      </c>
      <c r="AT1002" s="30">
        <f>PM_Angle!$J$25+PM_Angle!$K$25*$C1002+PM_Angle!$L$25*$B1002</f>
      </c>
      <c r="AU1002" s="12">
        <f>IF(AT1002&gt;0,IF(AT1002&lt;=eco,alpha*fck*(1-(1-AT1002/eco)^n),alpha*fck),0)</f>
      </c>
    </row>
    <row r="1003" spans="1:47" x14ac:dyDescent="0.25">
      <c r="A1003">
        <f>Mesh!A1000</f>
      </c>
      <c r="B1003" s="12">
        <f>Mesh!B1000</f>
      </c>
      <c r="C1003" s="12">
        <f>Mesh!C1000</f>
      </c>
      <c r="D1003" s="12">
        <f>Mesh!D1000</f>
      </c>
      <c r="E1003" s="30">
        <f>INDEX(St_e0,Det+1)+INDEX(St_kx,Det+1)*C1003+INDEX(St_ky,Det+1)*B1003</f>
      </c>
      <c r="F1003" s="12">
        <f>IF(E1003&gt;0,IF(E1003&lt;=eco,alpha*fck*(1-(1-E1003/eco)^n),alpha*fck),0)</f>
      </c>
      <c r="G1003" s="11">
        <f>F1003*D1003</f>
      </c>
      <c r="H1003" s="11">
        <f>G1003*C1003</f>
      </c>
      <c r="I1003" s="11">
        <f>G1003*B1003</f>
      </c>
      <c r="J1003" s="30">
        <f>PM_Angle!$J$7+PM_Angle!$K$7*$C1003+PM_Angle!$L$7*$B1003</f>
      </c>
      <c r="K1003" s="12">
        <f>IF(J1003&gt;0,IF(J1003&lt;=eco,alpha*fck*(1-(1-J1003/eco)^n),alpha*fck),0)</f>
      </c>
      <c r="L1003" s="30">
        <f>PM_Angle!$J$8+PM_Angle!$K$8*$C1003+PM_Angle!$L$8*$B1003</f>
      </c>
      <c r="M1003" s="12">
        <f>IF(L1003&gt;0,IF(L1003&lt;=eco,alpha*fck*(1-(1-L1003/eco)^n),alpha*fck),0)</f>
      </c>
      <c r="N1003" s="30">
        <f>PM_Angle!$J$9+PM_Angle!$K$9*$C1003+PM_Angle!$L$9*$B1003</f>
      </c>
      <c r="O1003" s="12">
        <f>IF(N1003&gt;0,IF(N1003&lt;=eco,alpha*fck*(1-(1-N1003/eco)^n),alpha*fck),0)</f>
      </c>
      <c r="P1003" s="30">
        <f>PM_Angle!$J$10+PM_Angle!$K$10*$C1003+PM_Angle!$L$10*$B1003</f>
      </c>
      <c r="Q1003" s="12">
        <f>IF(P1003&gt;0,IF(P1003&lt;=eco,alpha*fck*(1-(1-P1003/eco)^n),alpha*fck),0)</f>
      </c>
      <c r="R1003" s="30">
        <f>PM_Angle!$J$11+PM_Angle!$K$11*$C1003+PM_Angle!$L$11*$B1003</f>
      </c>
      <c r="S1003" s="12">
        <f>IF(R1003&gt;0,IF(R1003&lt;=eco,alpha*fck*(1-(1-R1003/eco)^n),alpha*fck),0)</f>
      </c>
      <c r="T1003" s="30">
        <f>PM_Angle!$J$12+PM_Angle!$K$12*$C1003+PM_Angle!$L$12*$B1003</f>
      </c>
      <c r="U1003" s="12">
        <f>IF(T1003&gt;0,IF(T1003&lt;=eco,alpha*fck*(1-(1-T1003/eco)^n),alpha*fck),0)</f>
      </c>
      <c r="V1003" s="30">
        <f>PM_Angle!$J$13+PM_Angle!$K$13*$C1003+PM_Angle!$L$13*$B1003</f>
      </c>
      <c r="W1003" s="12">
        <f>IF(V1003&gt;0,IF(V1003&lt;=eco,alpha*fck*(1-(1-V1003/eco)^n),alpha*fck),0)</f>
      </c>
      <c r="X1003" s="30">
        <f>PM_Angle!$J$14+PM_Angle!$K$14*$C1003+PM_Angle!$L$14*$B1003</f>
      </c>
      <c r="Y1003" s="12">
        <f>IF(X1003&gt;0,IF(X1003&lt;=eco,alpha*fck*(1-(1-X1003/eco)^n),alpha*fck),0)</f>
      </c>
      <c r="Z1003" s="30">
        <f>PM_Angle!$J$15+PM_Angle!$K$15*$C1003+PM_Angle!$L$15*$B1003</f>
      </c>
      <c r="AA1003" s="12">
        <f>IF(Z1003&gt;0,IF(Z1003&lt;=eco,alpha*fck*(1-(1-Z1003/eco)^n),alpha*fck),0)</f>
      </c>
      <c r="AB1003" s="30">
        <f>PM_Angle!$J$16+PM_Angle!$K$16*$C1003+PM_Angle!$L$16*$B1003</f>
      </c>
      <c r="AC1003" s="12">
        <f>IF(AB1003&gt;0,IF(AB1003&lt;=eco,alpha*fck*(1-(1-AB1003/eco)^n),alpha*fck),0)</f>
      </c>
      <c r="AD1003" s="30">
        <f>PM_Angle!$J$17+PM_Angle!$K$17*$C1003+PM_Angle!$L$17*$B1003</f>
      </c>
      <c r="AE1003" s="12">
        <f>IF(AD1003&gt;0,IF(AD1003&lt;=eco,alpha*fck*(1-(1-AD1003/eco)^n),alpha*fck),0)</f>
      </c>
      <c r="AF1003" s="30">
        <f>PM_Angle!$J$18+PM_Angle!$K$18*$C1003+PM_Angle!$L$18*$B1003</f>
      </c>
      <c r="AG1003" s="12">
        <f>IF(AF1003&gt;0,IF(AF1003&lt;=eco,alpha*fck*(1-(1-AF1003/eco)^n),alpha*fck),0)</f>
      </c>
      <c r="AH1003" s="30">
        <f>PM_Angle!$J$19+PM_Angle!$K$19*$C1003+PM_Angle!$L$19*$B1003</f>
      </c>
      <c r="AI1003" s="12">
        <f>IF(AH1003&gt;0,IF(AH1003&lt;=eco,alpha*fck*(1-(1-AH1003/eco)^n),alpha*fck),0)</f>
      </c>
      <c r="AJ1003" s="30">
        <f>PM_Angle!$J$20+PM_Angle!$K$20*$C1003+PM_Angle!$L$20*$B1003</f>
      </c>
      <c r="AK1003" s="12">
        <f>IF(AJ1003&gt;0,IF(AJ1003&lt;=eco,alpha*fck*(1-(1-AJ1003/eco)^n),alpha*fck),0)</f>
      </c>
      <c r="AL1003" s="30">
        <f>PM_Angle!$J$21+PM_Angle!$K$21*$C1003+PM_Angle!$L$21*$B1003</f>
      </c>
      <c r="AM1003" s="12">
        <f>IF(AL1003&gt;0,IF(AL1003&lt;=eco,alpha*fck*(1-(1-AL1003/eco)^n),alpha*fck),0)</f>
      </c>
      <c r="AN1003" s="30">
        <f>PM_Angle!$J$22+PM_Angle!$K$22*$C1003+PM_Angle!$L$22*$B1003</f>
      </c>
      <c r="AO1003" s="12">
        <f>IF(AN1003&gt;0,IF(AN1003&lt;=eco,alpha*fck*(1-(1-AN1003/eco)^n),alpha*fck),0)</f>
      </c>
      <c r="AP1003" s="30">
        <f>PM_Angle!$J$23+PM_Angle!$K$23*$C1003+PM_Angle!$L$23*$B1003</f>
      </c>
      <c r="AQ1003" s="12">
        <f>IF(AP1003&gt;0,IF(AP1003&lt;=eco,alpha*fck*(1-(1-AP1003/eco)^n),alpha*fck),0)</f>
      </c>
      <c r="AR1003" s="30">
        <f>PM_Angle!$J$24+PM_Angle!$K$24*$C1003+PM_Angle!$L$24*$B1003</f>
      </c>
      <c r="AS1003" s="12">
        <f>IF(AR1003&gt;0,IF(AR1003&lt;=eco,alpha*fck*(1-(1-AR1003/eco)^n),alpha*fck),0)</f>
      </c>
      <c r="AT1003" s="30">
        <f>PM_Angle!$J$25+PM_Angle!$K$25*$C1003+PM_Angle!$L$25*$B1003</f>
      </c>
      <c r="AU1003" s="12">
        <f>IF(AT1003&gt;0,IF(AT1003&lt;=eco,alpha*fck*(1-(1-AT1003/eco)^n),alpha*fck),0)</f>
      </c>
    </row>
    <row r="1004" spans="1:47" x14ac:dyDescent="0.25">
      <c r="A1004">
        <f>Mesh!A1001</f>
      </c>
      <c r="B1004" s="12">
        <f>Mesh!B1001</f>
      </c>
      <c r="C1004" s="12">
        <f>Mesh!C1001</f>
      </c>
      <c r="D1004" s="12">
        <f>Mesh!D1001</f>
      </c>
      <c r="E1004" s="30">
        <f>INDEX(St_e0,Det+1)+INDEX(St_kx,Det+1)*C1004+INDEX(St_ky,Det+1)*B1004</f>
      </c>
      <c r="F1004" s="12">
        <f>IF(E1004&gt;0,IF(E1004&lt;=eco,alpha*fck*(1-(1-E1004/eco)^n),alpha*fck),0)</f>
      </c>
      <c r="G1004" s="11">
        <f>F1004*D1004</f>
      </c>
      <c r="H1004" s="11">
        <f>G1004*C1004</f>
      </c>
      <c r="I1004" s="11">
        <f>G1004*B1004</f>
      </c>
      <c r="J1004" s="30">
        <f>PM_Angle!$J$7+PM_Angle!$K$7*$C1004+PM_Angle!$L$7*$B1004</f>
      </c>
      <c r="K1004" s="12">
        <f>IF(J1004&gt;0,IF(J1004&lt;=eco,alpha*fck*(1-(1-J1004/eco)^n),alpha*fck),0)</f>
      </c>
      <c r="L1004" s="30">
        <f>PM_Angle!$J$8+PM_Angle!$K$8*$C1004+PM_Angle!$L$8*$B1004</f>
      </c>
      <c r="M1004" s="12">
        <f>IF(L1004&gt;0,IF(L1004&lt;=eco,alpha*fck*(1-(1-L1004/eco)^n),alpha*fck),0)</f>
      </c>
      <c r="N1004" s="30">
        <f>PM_Angle!$J$9+PM_Angle!$K$9*$C1004+PM_Angle!$L$9*$B1004</f>
      </c>
      <c r="O1004" s="12">
        <f>IF(N1004&gt;0,IF(N1004&lt;=eco,alpha*fck*(1-(1-N1004/eco)^n),alpha*fck),0)</f>
      </c>
      <c r="P1004" s="30">
        <f>PM_Angle!$J$10+PM_Angle!$K$10*$C1004+PM_Angle!$L$10*$B1004</f>
      </c>
      <c r="Q1004" s="12">
        <f>IF(P1004&gt;0,IF(P1004&lt;=eco,alpha*fck*(1-(1-P1004/eco)^n),alpha*fck),0)</f>
      </c>
      <c r="R1004" s="30">
        <f>PM_Angle!$J$11+PM_Angle!$K$11*$C1004+PM_Angle!$L$11*$B1004</f>
      </c>
      <c r="S1004" s="12">
        <f>IF(R1004&gt;0,IF(R1004&lt;=eco,alpha*fck*(1-(1-R1004/eco)^n),alpha*fck),0)</f>
      </c>
      <c r="T1004" s="30">
        <f>PM_Angle!$J$12+PM_Angle!$K$12*$C1004+PM_Angle!$L$12*$B1004</f>
      </c>
      <c r="U1004" s="12">
        <f>IF(T1004&gt;0,IF(T1004&lt;=eco,alpha*fck*(1-(1-T1004/eco)^n),alpha*fck),0)</f>
      </c>
      <c r="V1004" s="30">
        <f>PM_Angle!$J$13+PM_Angle!$K$13*$C1004+PM_Angle!$L$13*$B1004</f>
      </c>
      <c r="W1004" s="12">
        <f>IF(V1004&gt;0,IF(V1004&lt;=eco,alpha*fck*(1-(1-V1004/eco)^n),alpha*fck),0)</f>
      </c>
      <c r="X1004" s="30">
        <f>PM_Angle!$J$14+PM_Angle!$K$14*$C1004+PM_Angle!$L$14*$B1004</f>
      </c>
      <c r="Y1004" s="12">
        <f>IF(X1004&gt;0,IF(X1004&lt;=eco,alpha*fck*(1-(1-X1004/eco)^n),alpha*fck),0)</f>
      </c>
      <c r="Z1004" s="30">
        <f>PM_Angle!$J$15+PM_Angle!$K$15*$C1004+PM_Angle!$L$15*$B1004</f>
      </c>
      <c r="AA1004" s="12">
        <f>IF(Z1004&gt;0,IF(Z1004&lt;=eco,alpha*fck*(1-(1-Z1004/eco)^n),alpha*fck),0)</f>
      </c>
      <c r="AB1004" s="30">
        <f>PM_Angle!$J$16+PM_Angle!$K$16*$C1004+PM_Angle!$L$16*$B1004</f>
      </c>
      <c r="AC1004" s="12">
        <f>IF(AB1004&gt;0,IF(AB1004&lt;=eco,alpha*fck*(1-(1-AB1004/eco)^n),alpha*fck),0)</f>
      </c>
      <c r="AD1004" s="30">
        <f>PM_Angle!$J$17+PM_Angle!$K$17*$C1004+PM_Angle!$L$17*$B1004</f>
      </c>
      <c r="AE1004" s="12">
        <f>IF(AD1004&gt;0,IF(AD1004&lt;=eco,alpha*fck*(1-(1-AD1004/eco)^n),alpha*fck),0)</f>
      </c>
      <c r="AF1004" s="30">
        <f>PM_Angle!$J$18+PM_Angle!$K$18*$C1004+PM_Angle!$L$18*$B1004</f>
      </c>
      <c r="AG1004" s="12">
        <f>IF(AF1004&gt;0,IF(AF1004&lt;=eco,alpha*fck*(1-(1-AF1004/eco)^n),alpha*fck),0)</f>
      </c>
      <c r="AH1004" s="30">
        <f>PM_Angle!$J$19+PM_Angle!$K$19*$C1004+PM_Angle!$L$19*$B1004</f>
      </c>
      <c r="AI1004" s="12">
        <f>IF(AH1004&gt;0,IF(AH1004&lt;=eco,alpha*fck*(1-(1-AH1004/eco)^n),alpha*fck),0)</f>
      </c>
      <c r="AJ1004" s="30">
        <f>PM_Angle!$J$20+PM_Angle!$K$20*$C1004+PM_Angle!$L$20*$B1004</f>
      </c>
      <c r="AK1004" s="12">
        <f>IF(AJ1004&gt;0,IF(AJ1004&lt;=eco,alpha*fck*(1-(1-AJ1004/eco)^n),alpha*fck),0)</f>
      </c>
      <c r="AL1004" s="30">
        <f>PM_Angle!$J$21+PM_Angle!$K$21*$C1004+PM_Angle!$L$21*$B1004</f>
      </c>
      <c r="AM1004" s="12">
        <f>IF(AL1004&gt;0,IF(AL1004&lt;=eco,alpha*fck*(1-(1-AL1004/eco)^n),alpha*fck),0)</f>
      </c>
      <c r="AN1004" s="30">
        <f>PM_Angle!$J$22+PM_Angle!$K$22*$C1004+PM_Angle!$L$22*$B1004</f>
      </c>
      <c r="AO1004" s="12">
        <f>IF(AN1004&gt;0,IF(AN1004&lt;=eco,alpha*fck*(1-(1-AN1004/eco)^n),alpha*fck),0)</f>
      </c>
      <c r="AP1004" s="30">
        <f>PM_Angle!$J$23+PM_Angle!$K$23*$C1004+PM_Angle!$L$23*$B1004</f>
      </c>
      <c r="AQ1004" s="12">
        <f>IF(AP1004&gt;0,IF(AP1004&lt;=eco,alpha*fck*(1-(1-AP1004/eco)^n),alpha*fck),0)</f>
      </c>
      <c r="AR1004" s="30">
        <f>PM_Angle!$J$24+PM_Angle!$K$24*$C1004+PM_Angle!$L$24*$B1004</f>
      </c>
      <c r="AS1004" s="12">
        <f>IF(AR1004&gt;0,IF(AR1004&lt;=eco,alpha*fck*(1-(1-AR1004/eco)^n),alpha*fck),0)</f>
      </c>
      <c r="AT1004" s="30">
        <f>PM_Angle!$J$25+PM_Angle!$K$25*$C1004+PM_Angle!$L$25*$B1004</f>
      </c>
      <c r="AU1004" s="12">
        <f>IF(AT1004&gt;0,IF(AT1004&lt;=eco,alpha*fck*(1-(1-AT1004/eco)^n),alpha*fck),0)</f>
      </c>
    </row>
    <row r="1005" spans="1:47" x14ac:dyDescent="0.25">
      <c r="A1005">
        <f>Mesh!A1002</f>
      </c>
      <c r="B1005" s="12">
        <f>Mesh!B1002</f>
      </c>
      <c r="C1005" s="12">
        <f>Mesh!C1002</f>
      </c>
      <c r="D1005" s="12">
        <f>Mesh!D1002</f>
      </c>
      <c r="E1005" s="30">
        <f>INDEX(St_e0,Det+1)+INDEX(St_kx,Det+1)*C1005+INDEX(St_ky,Det+1)*B1005</f>
      </c>
      <c r="F1005" s="12">
        <f>IF(E1005&gt;0,IF(E1005&lt;=eco,alpha*fck*(1-(1-E1005/eco)^n),alpha*fck),0)</f>
      </c>
      <c r="G1005" s="11">
        <f>F1005*D1005</f>
      </c>
      <c r="H1005" s="11">
        <f>G1005*C1005</f>
      </c>
      <c r="I1005" s="11">
        <f>G1005*B1005</f>
      </c>
      <c r="J1005" s="30">
        <f>PM_Angle!$J$7+PM_Angle!$K$7*$C1005+PM_Angle!$L$7*$B1005</f>
      </c>
      <c r="K1005" s="12">
        <f>IF(J1005&gt;0,IF(J1005&lt;=eco,alpha*fck*(1-(1-J1005/eco)^n),alpha*fck),0)</f>
      </c>
      <c r="L1005" s="30">
        <f>PM_Angle!$J$8+PM_Angle!$K$8*$C1005+PM_Angle!$L$8*$B1005</f>
      </c>
      <c r="M1005" s="12">
        <f>IF(L1005&gt;0,IF(L1005&lt;=eco,alpha*fck*(1-(1-L1005/eco)^n),alpha*fck),0)</f>
      </c>
      <c r="N1005" s="30">
        <f>PM_Angle!$J$9+PM_Angle!$K$9*$C1005+PM_Angle!$L$9*$B1005</f>
      </c>
      <c r="O1005" s="12">
        <f>IF(N1005&gt;0,IF(N1005&lt;=eco,alpha*fck*(1-(1-N1005/eco)^n),alpha*fck),0)</f>
      </c>
      <c r="P1005" s="30">
        <f>PM_Angle!$J$10+PM_Angle!$K$10*$C1005+PM_Angle!$L$10*$B1005</f>
      </c>
      <c r="Q1005" s="12">
        <f>IF(P1005&gt;0,IF(P1005&lt;=eco,alpha*fck*(1-(1-P1005/eco)^n),alpha*fck),0)</f>
      </c>
      <c r="R1005" s="30">
        <f>PM_Angle!$J$11+PM_Angle!$K$11*$C1005+PM_Angle!$L$11*$B1005</f>
      </c>
      <c r="S1005" s="12">
        <f>IF(R1005&gt;0,IF(R1005&lt;=eco,alpha*fck*(1-(1-R1005/eco)^n),alpha*fck),0)</f>
      </c>
      <c r="T1005" s="30">
        <f>PM_Angle!$J$12+PM_Angle!$K$12*$C1005+PM_Angle!$L$12*$B1005</f>
      </c>
      <c r="U1005" s="12">
        <f>IF(T1005&gt;0,IF(T1005&lt;=eco,alpha*fck*(1-(1-T1005/eco)^n),alpha*fck),0)</f>
      </c>
      <c r="V1005" s="30">
        <f>PM_Angle!$J$13+PM_Angle!$K$13*$C1005+PM_Angle!$L$13*$B1005</f>
      </c>
      <c r="W1005" s="12">
        <f>IF(V1005&gt;0,IF(V1005&lt;=eco,alpha*fck*(1-(1-V1005/eco)^n),alpha*fck),0)</f>
      </c>
      <c r="X1005" s="30">
        <f>PM_Angle!$J$14+PM_Angle!$K$14*$C1005+PM_Angle!$L$14*$B1005</f>
      </c>
      <c r="Y1005" s="12">
        <f>IF(X1005&gt;0,IF(X1005&lt;=eco,alpha*fck*(1-(1-X1005/eco)^n),alpha*fck),0)</f>
      </c>
      <c r="Z1005" s="30">
        <f>PM_Angle!$J$15+PM_Angle!$K$15*$C1005+PM_Angle!$L$15*$B1005</f>
      </c>
      <c r="AA1005" s="12">
        <f>IF(Z1005&gt;0,IF(Z1005&lt;=eco,alpha*fck*(1-(1-Z1005/eco)^n),alpha*fck),0)</f>
      </c>
      <c r="AB1005" s="30">
        <f>PM_Angle!$J$16+PM_Angle!$K$16*$C1005+PM_Angle!$L$16*$B1005</f>
      </c>
      <c r="AC1005" s="12">
        <f>IF(AB1005&gt;0,IF(AB1005&lt;=eco,alpha*fck*(1-(1-AB1005/eco)^n),alpha*fck),0)</f>
      </c>
      <c r="AD1005" s="30">
        <f>PM_Angle!$J$17+PM_Angle!$K$17*$C1005+PM_Angle!$L$17*$B1005</f>
      </c>
      <c r="AE1005" s="12">
        <f>IF(AD1005&gt;0,IF(AD1005&lt;=eco,alpha*fck*(1-(1-AD1005/eco)^n),alpha*fck),0)</f>
      </c>
      <c r="AF1005" s="30">
        <f>PM_Angle!$J$18+PM_Angle!$K$18*$C1005+PM_Angle!$L$18*$B1005</f>
      </c>
      <c r="AG1005" s="12">
        <f>IF(AF1005&gt;0,IF(AF1005&lt;=eco,alpha*fck*(1-(1-AF1005/eco)^n),alpha*fck),0)</f>
      </c>
      <c r="AH1005" s="30">
        <f>PM_Angle!$J$19+PM_Angle!$K$19*$C1005+PM_Angle!$L$19*$B1005</f>
      </c>
      <c r="AI1005" s="12">
        <f>IF(AH1005&gt;0,IF(AH1005&lt;=eco,alpha*fck*(1-(1-AH1005/eco)^n),alpha*fck),0)</f>
      </c>
      <c r="AJ1005" s="30">
        <f>PM_Angle!$J$20+PM_Angle!$K$20*$C1005+PM_Angle!$L$20*$B1005</f>
      </c>
      <c r="AK1005" s="12">
        <f>IF(AJ1005&gt;0,IF(AJ1005&lt;=eco,alpha*fck*(1-(1-AJ1005/eco)^n),alpha*fck),0)</f>
      </c>
      <c r="AL1005" s="30">
        <f>PM_Angle!$J$21+PM_Angle!$K$21*$C1005+PM_Angle!$L$21*$B1005</f>
      </c>
      <c r="AM1005" s="12">
        <f>IF(AL1005&gt;0,IF(AL1005&lt;=eco,alpha*fck*(1-(1-AL1005/eco)^n),alpha*fck),0)</f>
      </c>
      <c r="AN1005" s="30">
        <f>PM_Angle!$J$22+PM_Angle!$K$22*$C1005+PM_Angle!$L$22*$B1005</f>
      </c>
      <c r="AO1005" s="12">
        <f>IF(AN1005&gt;0,IF(AN1005&lt;=eco,alpha*fck*(1-(1-AN1005/eco)^n),alpha*fck),0)</f>
      </c>
      <c r="AP1005" s="30">
        <f>PM_Angle!$J$23+PM_Angle!$K$23*$C1005+PM_Angle!$L$23*$B1005</f>
      </c>
      <c r="AQ1005" s="12">
        <f>IF(AP1005&gt;0,IF(AP1005&lt;=eco,alpha*fck*(1-(1-AP1005/eco)^n),alpha*fck),0)</f>
      </c>
      <c r="AR1005" s="30">
        <f>PM_Angle!$J$24+PM_Angle!$K$24*$C1005+PM_Angle!$L$24*$B1005</f>
      </c>
      <c r="AS1005" s="12">
        <f>IF(AR1005&gt;0,IF(AR1005&lt;=eco,alpha*fck*(1-(1-AR1005/eco)^n),alpha*fck),0)</f>
      </c>
      <c r="AT1005" s="30">
        <f>PM_Angle!$J$25+PM_Angle!$K$25*$C1005+PM_Angle!$L$25*$B1005</f>
      </c>
      <c r="AU1005" s="12">
        <f>IF(AT1005&gt;0,IF(AT1005&lt;=eco,alpha*fck*(1-(1-AT1005/eco)^n),alpha*fck),0)</f>
      </c>
    </row>
    <row r="1006" spans="1:47" x14ac:dyDescent="0.25">
      <c r="A1006">
        <f>Mesh!A1003</f>
      </c>
      <c r="B1006" s="12">
        <f>Mesh!B1003</f>
      </c>
      <c r="C1006" s="12">
        <f>Mesh!C1003</f>
      </c>
      <c r="D1006" s="12">
        <f>Mesh!D1003</f>
      </c>
      <c r="E1006" s="30">
        <f>INDEX(St_e0,Det+1)+INDEX(St_kx,Det+1)*C1006+INDEX(St_ky,Det+1)*B1006</f>
      </c>
      <c r="F1006" s="12">
        <f>IF(E1006&gt;0,IF(E1006&lt;=eco,alpha*fck*(1-(1-E1006/eco)^n),alpha*fck),0)</f>
      </c>
      <c r="G1006" s="11">
        <f>F1006*D1006</f>
      </c>
      <c r="H1006" s="11">
        <f>G1006*C1006</f>
      </c>
      <c r="I1006" s="11">
        <f>G1006*B1006</f>
      </c>
      <c r="J1006" s="30">
        <f>PM_Angle!$J$7+PM_Angle!$K$7*$C1006+PM_Angle!$L$7*$B1006</f>
      </c>
      <c r="K1006" s="12">
        <f>IF(J1006&gt;0,IF(J1006&lt;=eco,alpha*fck*(1-(1-J1006/eco)^n),alpha*fck),0)</f>
      </c>
      <c r="L1006" s="30">
        <f>PM_Angle!$J$8+PM_Angle!$K$8*$C1006+PM_Angle!$L$8*$B1006</f>
      </c>
      <c r="M1006" s="12">
        <f>IF(L1006&gt;0,IF(L1006&lt;=eco,alpha*fck*(1-(1-L1006/eco)^n),alpha*fck),0)</f>
      </c>
      <c r="N1006" s="30">
        <f>PM_Angle!$J$9+PM_Angle!$K$9*$C1006+PM_Angle!$L$9*$B1006</f>
      </c>
      <c r="O1006" s="12">
        <f>IF(N1006&gt;0,IF(N1006&lt;=eco,alpha*fck*(1-(1-N1006/eco)^n),alpha*fck),0)</f>
      </c>
      <c r="P1006" s="30">
        <f>PM_Angle!$J$10+PM_Angle!$K$10*$C1006+PM_Angle!$L$10*$B1006</f>
      </c>
      <c r="Q1006" s="12">
        <f>IF(P1006&gt;0,IF(P1006&lt;=eco,alpha*fck*(1-(1-P1006/eco)^n),alpha*fck),0)</f>
      </c>
      <c r="R1006" s="30">
        <f>PM_Angle!$J$11+PM_Angle!$K$11*$C1006+PM_Angle!$L$11*$B1006</f>
      </c>
      <c r="S1006" s="12">
        <f>IF(R1006&gt;0,IF(R1006&lt;=eco,alpha*fck*(1-(1-R1006/eco)^n),alpha*fck),0)</f>
      </c>
      <c r="T1006" s="30">
        <f>PM_Angle!$J$12+PM_Angle!$K$12*$C1006+PM_Angle!$L$12*$B1006</f>
      </c>
      <c r="U1006" s="12">
        <f>IF(T1006&gt;0,IF(T1006&lt;=eco,alpha*fck*(1-(1-T1006/eco)^n),alpha*fck),0)</f>
      </c>
      <c r="V1006" s="30">
        <f>PM_Angle!$J$13+PM_Angle!$K$13*$C1006+PM_Angle!$L$13*$B1006</f>
      </c>
      <c r="W1006" s="12">
        <f>IF(V1006&gt;0,IF(V1006&lt;=eco,alpha*fck*(1-(1-V1006/eco)^n),alpha*fck),0)</f>
      </c>
      <c r="X1006" s="30">
        <f>PM_Angle!$J$14+PM_Angle!$K$14*$C1006+PM_Angle!$L$14*$B1006</f>
      </c>
      <c r="Y1006" s="12">
        <f>IF(X1006&gt;0,IF(X1006&lt;=eco,alpha*fck*(1-(1-X1006/eco)^n),alpha*fck),0)</f>
      </c>
      <c r="Z1006" s="30">
        <f>PM_Angle!$J$15+PM_Angle!$K$15*$C1006+PM_Angle!$L$15*$B1006</f>
      </c>
      <c r="AA1006" s="12">
        <f>IF(Z1006&gt;0,IF(Z1006&lt;=eco,alpha*fck*(1-(1-Z1006/eco)^n),alpha*fck),0)</f>
      </c>
      <c r="AB1006" s="30">
        <f>PM_Angle!$J$16+PM_Angle!$K$16*$C1006+PM_Angle!$L$16*$B1006</f>
      </c>
      <c r="AC1006" s="12">
        <f>IF(AB1006&gt;0,IF(AB1006&lt;=eco,alpha*fck*(1-(1-AB1006/eco)^n),alpha*fck),0)</f>
      </c>
      <c r="AD1006" s="30">
        <f>PM_Angle!$J$17+PM_Angle!$K$17*$C1006+PM_Angle!$L$17*$B1006</f>
      </c>
      <c r="AE1006" s="12">
        <f>IF(AD1006&gt;0,IF(AD1006&lt;=eco,alpha*fck*(1-(1-AD1006/eco)^n),alpha*fck),0)</f>
      </c>
      <c r="AF1006" s="30">
        <f>PM_Angle!$J$18+PM_Angle!$K$18*$C1006+PM_Angle!$L$18*$B1006</f>
      </c>
      <c r="AG1006" s="12">
        <f>IF(AF1006&gt;0,IF(AF1006&lt;=eco,alpha*fck*(1-(1-AF1006/eco)^n),alpha*fck),0)</f>
      </c>
      <c r="AH1006" s="30">
        <f>PM_Angle!$J$19+PM_Angle!$K$19*$C1006+PM_Angle!$L$19*$B1006</f>
      </c>
      <c r="AI1006" s="12">
        <f>IF(AH1006&gt;0,IF(AH1006&lt;=eco,alpha*fck*(1-(1-AH1006/eco)^n),alpha*fck),0)</f>
      </c>
      <c r="AJ1006" s="30">
        <f>PM_Angle!$J$20+PM_Angle!$K$20*$C1006+PM_Angle!$L$20*$B1006</f>
      </c>
      <c r="AK1006" s="12">
        <f>IF(AJ1006&gt;0,IF(AJ1006&lt;=eco,alpha*fck*(1-(1-AJ1006/eco)^n),alpha*fck),0)</f>
      </c>
      <c r="AL1006" s="30">
        <f>PM_Angle!$J$21+PM_Angle!$K$21*$C1006+PM_Angle!$L$21*$B1006</f>
      </c>
      <c r="AM1006" s="12">
        <f>IF(AL1006&gt;0,IF(AL1006&lt;=eco,alpha*fck*(1-(1-AL1006/eco)^n),alpha*fck),0)</f>
      </c>
      <c r="AN1006" s="30">
        <f>PM_Angle!$J$22+PM_Angle!$K$22*$C1006+PM_Angle!$L$22*$B1006</f>
      </c>
      <c r="AO1006" s="12">
        <f>IF(AN1006&gt;0,IF(AN1006&lt;=eco,alpha*fck*(1-(1-AN1006/eco)^n),alpha*fck),0)</f>
      </c>
      <c r="AP1006" s="30">
        <f>PM_Angle!$J$23+PM_Angle!$K$23*$C1006+PM_Angle!$L$23*$B1006</f>
      </c>
      <c r="AQ1006" s="12">
        <f>IF(AP1006&gt;0,IF(AP1006&lt;=eco,alpha*fck*(1-(1-AP1006/eco)^n),alpha*fck),0)</f>
      </c>
      <c r="AR1006" s="30">
        <f>PM_Angle!$J$24+PM_Angle!$K$24*$C1006+PM_Angle!$L$24*$B1006</f>
      </c>
      <c r="AS1006" s="12">
        <f>IF(AR1006&gt;0,IF(AR1006&lt;=eco,alpha*fck*(1-(1-AR1006/eco)^n),alpha*fck),0)</f>
      </c>
      <c r="AT1006" s="30">
        <f>PM_Angle!$J$25+PM_Angle!$K$25*$C1006+PM_Angle!$L$25*$B1006</f>
      </c>
      <c r="AU1006" s="12">
        <f>IF(AT1006&gt;0,IF(AT1006&lt;=eco,alpha*fck*(1-(1-AT1006/eco)^n),alpha*fck),0)</f>
      </c>
    </row>
    <row r="1007" spans="1:47" x14ac:dyDescent="0.25">
      <c r="A1007">
        <f>Mesh!A1004</f>
      </c>
      <c r="B1007" s="12">
        <f>Mesh!B1004</f>
      </c>
      <c r="C1007" s="12">
        <f>Mesh!C1004</f>
      </c>
      <c r="D1007" s="12">
        <f>Mesh!D1004</f>
      </c>
      <c r="E1007" s="30">
        <f>INDEX(St_e0,Det+1)+INDEX(St_kx,Det+1)*C1007+INDEX(St_ky,Det+1)*B1007</f>
      </c>
      <c r="F1007" s="12">
        <f>IF(E1007&gt;0,IF(E1007&lt;=eco,alpha*fck*(1-(1-E1007/eco)^n),alpha*fck),0)</f>
      </c>
      <c r="G1007" s="11">
        <f>F1007*D1007</f>
      </c>
      <c r="H1007" s="11">
        <f>G1007*C1007</f>
      </c>
      <c r="I1007" s="11">
        <f>G1007*B1007</f>
      </c>
      <c r="J1007" s="30">
        <f>PM_Angle!$J$7+PM_Angle!$K$7*$C1007+PM_Angle!$L$7*$B1007</f>
      </c>
      <c r="K1007" s="12">
        <f>IF(J1007&gt;0,IF(J1007&lt;=eco,alpha*fck*(1-(1-J1007/eco)^n),alpha*fck),0)</f>
      </c>
      <c r="L1007" s="30">
        <f>PM_Angle!$J$8+PM_Angle!$K$8*$C1007+PM_Angle!$L$8*$B1007</f>
      </c>
      <c r="M1007" s="12">
        <f>IF(L1007&gt;0,IF(L1007&lt;=eco,alpha*fck*(1-(1-L1007/eco)^n),alpha*fck),0)</f>
      </c>
      <c r="N1007" s="30">
        <f>PM_Angle!$J$9+PM_Angle!$K$9*$C1007+PM_Angle!$L$9*$B1007</f>
      </c>
      <c r="O1007" s="12">
        <f>IF(N1007&gt;0,IF(N1007&lt;=eco,alpha*fck*(1-(1-N1007/eco)^n),alpha*fck),0)</f>
      </c>
      <c r="P1007" s="30">
        <f>PM_Angle!$J$10+PM_Angle!$K$10*$C1007+PM_Angle!$L$10*$B1007</f>
      </c>
      <c r="Q1007" s="12">
        <f>IF(P1007&gt;0,IF(P1007&lt;=eco,alpha*fck*(1-(1-P1007/eco)^n),alpha*fck),0)</f>
      </c>
      <c r="R1007" s="30">
        <f>PM_Angle!$J$11+PM_Angle!$K$11*$C1007+PM_Angle!$L$11*$B1007</f>
      </c>
      <c r="S1007" s="12">
        <f>IF(R1007&gt;0,IF(R1007&lt;=eco,alpha*fck*(1-(1-R1007/eco)^n),alpha*fck),0)</f>
      </c>
      <c r="T1007" s="30">
        <f>PM_Angle!$J$12+PM_Angle!$K$12*$C1007+PM_Angle!$L$12*$B1007</f>
      </c>
      <c r="U1007" s="12">
        <f>IF(T1007&gt;0,IF(T1007&lt;=eco,alpha*fck*(1-(1-T1007/eco)^n),alpha*fck),0)</f>
      </c>
      <c r="V1007" s="30">
        <f>PM_Angle!$J$13+PM_Angle!$K$13*$C1007+PM_Angle!$L$13*$B1007</f>
      </c>
      <c r="W1007" s="12">
        <f>IF(V1007&gt;0,IF(V1007&lt;=eco,alpha*fck*(1-(1-V1007/eco)^n),alpha*fck),0)</f>
      </c>
      <c r="X1007" s="30">
        <f>PM_Angle!$J$14+PM_Angle!$K$14*$C1007+PM_Angle!$L$14*$B1007</f>
      </c>
      <c r="Y1007" s="12">
        <f>IF(X1007&gt;0,IF(X1007&lt;=eco,alpha*fck*(1-(1-X1007/eco)^n),alpha*fck),0)</f>
      </c>
      <c r="Z1007" s="30">
        <f>PM_Angle!$J$15+PM_Angle!$K$15*$C1007+PM_Angle!$L$15*$B1007</f>
      </c>
      <c r="AA1007" s="12">
        <f>IF(Z1007&gt;0,IF(Z1007&lt;=eco,alpha*fck*(1-(1-Z1007/eco)^n),alpha*fck),0)</f>
      </c>
      <c r="AB1007" s="30">
        <f>PM_Angle!$J$16+PM_Angle!$K$16*$C1007+PM_Angle!$L$16*$B1007</f>
      </c>
      <c r="AC1007" s="12">
        <f>IF(AB1007&gt;0,IF(AB1007&lt;=eco,alpha*fck*(1-(1-AB1007/eco)^n),alpha*fck),0)</f>
      </c>
      <c r="AD1007" s="30">
        <f>PM_Angle!$J$17+PM_Angle!$K$17*$C1007+PM_Angle!$L$17*$B1007</f>
      </c>
      <c r="AE1007" s="12">
        <f>IF(AD1007&gt;0,IF(AD1007&lt;=eco,alpha*fck*(1-(1-AD1007/eco)^n),alpha*fck),0)</f>
      </c>
      <c r="AF1007" s="30">
        <f>PM_Angle!$J$18+PM_Angle!$K$18*$C1007+PM_Angle!$L$18*$B1007</f>
      </c>
      <c r="AG1007" s="12">
        <f>IF(AF1007&gt;0,IF(AF1007&lt;=eco,alpha*fck*(1-(1-AF1007/eco)^n),alpha*fck),0)</f>
      </c>
      <c r="AH1007" s="30">
        <f>PM_Angle!$J$19+PM_Angle!$K$19*$C1007+PM_Angle!$L$19*$B1007</f>
      </c>
      <c r="AI1007" s="12">
        <f>IF(AH1007&gt;0,IF(AH1007&lt;=eco,alpha*fck*(1-(1-AH1007/eco)^n),alpha*fck),0)</f>
      </c>
      <c r="AJ1007" s="30">
        <f>PM_Angle!$J$20+PM_Angle!$K$20*$C1007+PM_Angle!$L$20*$B1007</f>
      </c>
      <c r="AK1007" s="12">
        <f>IF(AJ1007&gt;0,IF(AJ1007&lt;=eco,alpha*fck*(1-(1-AJ1007/eco)^n),alpha*fck),0)</f>
      </c>
      <c r="AL1007" s="30">
        <f>PM_Angle!$J$21+PM_Angle!$K$21*$C1007+PM_Angle!$L$21*$B1007</f>
      </c>
      <c r="AM1007" s="12">
        <f>IF(AL1007&gt;0,IF(AL1007&lt;=eco,alpha*fck*(1-(1-AL1007/eco)^n),alpha*fck),0)</f>
      </c>
      <c r="AN1007" s="30">
        <f>PM_Angle!$J$22+PM_Angle!$K$22*$C1007+PM_Angle!$L$22*$B1007</f>
      </c>
      <c r="AO1007" s="12">
        <f>IF(AN1007&gt;0,IF(AN1007&lt;=eco,alpha*fck*(1-(1-AN1007/eco)^n),alpha*fck),0)</f>
      </c>
      <c r="AP1007" s="30">
        <f>PM_Angle!$J$23+PM_Angle!$K$23*$C1007+PM_Angle!$L$23*$B1007</f>
      </c>
      <c r="AQ1007" s="12">
        <f>IF(AP1007&gt;0,IF(AP1007&lt;=eco,alpha*fck*(1-(1-AP1007/eco)^n),alpha*fck),0)</f>
      </c>
      <c r="AR1007" s="30">
        <f>PM_Angle!$J$24+PM_Angle!$K$24*$C1007+PM_Angle!$L$24*$B1007</f>
      </c>
      <c r="AS1007" s="12">
        <f>IF(AR1007&gt;0,IF(AR1007&lt;=eco,alpha*fck*(1-(1-AR1007/eco)^n),alpha*fck),0)</f>
      </c>
      <c r="AT1007" s="30">
        <f>PM_Angle!$J$25+PM_Angle!$K$25*$C1007+PM_Angle!$L$25*$B1007</f>
      </c>
      <c r="AU1007" s="12">
        <f>IF(AT1007&gt;0,IF(AT1007&lt;=eco,alpha*fck*(1-(1-AT1007/eco)^n),alpha*fck),0)</f>
      </c>
    </row>
    <row r="1008" spans="1:47" x14ac:dyDescent="0.25">
      <c r="A1008">
        <f>Mesh!A1005</f>
      </c>
      <c r="B1008" s="12">
        <f>Mesh!B1005</f>
      </c>
      <c r="C1008" s="12">
        <f>Mesh!C1005</f>
      </c>
      <c r="D1008" s="12">
        <f>Mesh!D1005</f>
      </c>
      <c r="E1008" s="30">
        <f>INDEX(St_e0,Det+1)+INDEX(St_kx,Det+1)*C1008+INDEX(St_ky,Det+1)*B1008</f>
      </c>
      <c r="F1008" s="12">
        <f>IF(E1008&gt;0,IF(E1008&lt;=eco,alpha*fck*(1-(1-E1008/eco)^n),alpha*fck),0)</f>
      </c>
      <c r="G1008" s="11">
        <f>F1008*D1008</f>
      </c>
      <c r="H1008" s="11">
        <f>G1008*C1008</f>
      </c>
      <c r="I1008" s="11">
        <f>G1008*B1008</f>
      </c>
      <c r="J1008" s="30">
        <f>PM_Angle!$J$7+PM_Angle!$K$7*$C1008+PM_Angle!$L$7*$B1008</f>
      </c>
      <c r="K1008" s="12">
        <f>IF(J1008&gt;0,IF(J1008&lt;=eco,alpha*fck*(1-(1-J1008/eco)^n),alpha*fck),0)</f>
      </c>
      <c r="L1008" s="30">
        <f>PM_Angle!$J$8+PM_Angle!$K$8*$C1008+PM_Angle!$L$8*$B1008</f>
      </c>
      <c r="M1008" s="12">
        <f>IF(L1008&gt;0,IF(L1008&lt;=eco,alpha*fck*(1-(1-L1008/eco)^n),alpha*fck),0)</f>
      </c>
      <c r="N1008" s="30">
        <f>PM_Angle!$J$9+PM_Angle!$K$9*$C1008+PM_Angle!$L$9*$B1008</f>
      </c>
      <c r="O1008" s="12">
        <f>IF(N1008&gt;0,IF(N1008&lt;=eco,alpha*fck*(1-(1-N1008/eco)^n),alpha*fck),0)</f>
      </c>
      <c r="P1008" s="30">
        <f>PM_Angle!$J$10+PM_Angle!$K$10*$C1008+PM_Angle!$L$10*$B1008</f>
      </c>
      <c r="Q1008" s="12">
        <f>IF(P1008&gt;0,IF(P1008&lt;=eco,alpha*fck*(1-(1-P1008/eco)^n),alpha*fck),0)</f>
      </c>
      <c r="R1008" s="30">
        <f>PM_Angle!$J$11+PM_Angle!$K$11*$C1008+PM_Angle!$L$11*$B1008</f>
      </c>
      <c r="S1008" s="12">
        <f>IF(R1008&gt;0,IF(R1008&lt;=eco,alpha*fck*(1-(1-R1008/eco)^n),alpha*fck),0)</f>
      </c>
      <c r="T1008" s="30">
        <f>PM_Angle!$J$12+PM_Angle!$K$12*$C1008+PM_Angle!$L$12*$B1008</f>
      </c>
      <c r="U1008" s="12">
        <f>IF(T1008&gt;0,IF(T1008&lt;=eco,alpha*fck*(1-(1-T1008/eco)^n),alpha*fck),0)</f>
      </c>
      <c r="V1008" s="30">
        <f>PM_Angle!$J$13+PM_Angle!$K$13*$C1008+PM_Angle!$L$13*$B1008</f>
      </c>
      <c r="W1008" s="12">
        <f>IF(V1008&gt;0,IF(V1008&lt;=eco,alpha*fck*(1-(1-V1008/eco)^n),alpha*fck),0)</f>
      </c>
      <c r="X1008" s="30">
        <f>PM_Angle!$J$14+PM_Angle!$K$14*$C1008+PM_Angle!$L$14*$B1008</f>
      </c>
      <c r="Y1008" s="12">
        <f>IF(X1008&gt;0,IF(X1008&lt;=eco,alpha*fck*(1-(1-X1008/eco)^n),alpha*fck),0)</f>
      </c>
      <c r="Z1008" s="30">
        <f>PM_Angle!$J$15+PM_Angle!$K$15*$C1008+PM_Angle!$L$15*$B1008</f>
      </c>
      <c r="AA1008" s="12">
        <f>IF(Z1008&gt;0,IF(Z1008&lt;=eco,alpha*fck*(1-(1-Z1008/eco)^n),alpha*fck),0)</f>
      </c>
      <c r="AB1008" s="30">
        <f>PM_Angle!$J$16+PM_Angle!$K$16*$C1008+PM_Angle!$L$16*$B1008</f>
      </c>
      <c r="AC1008" s="12">
        <f>IF(AB1008&gt;0,IF(AB1008&lt;=eco,alpha*fck*(1-(1-AB1008/eco)^n),alpha*fck),0)</f>
      </c>
      <c r="AD1008" s="30">
        <f>PM_Angle!$J$17+PM_Angle!$K$17*$C1008+PM_Angle!$L$17*$B1008</f>
      </c>
      <c r="AE1008" s="12">
        <f>IF(AD1008&gt;0,IF(AD1008&lt;=eco,alpha*fck*(1-(1-AD1008/eco)^n),alpha*fck),0)</f>
      </c>
      <c r="AF1008" s="30">
        <f>PM_Angle!$J$18+PM_Angle!$K$18*$C1008+PM_Angle!$L$18*$B1008</f>
      </c>
      <c r="AG1008" s="12">
        <f>IF(AF1008&gt;0,IF(AF1008&lt;=eco,alpha*fck*(1-(1-AF1008/eco)^n),alpha*fck),0)</f>
      </c>
      <c r="AH1008" s="30">
        <f>PM_Angle!$J$19+PM_Angle!$K$19*$C1008+PM_Angle!$L$19*$B1008</f>
      </c>
      <c r="AI1008" s="12">
        <f>IF(AH1008&gt;0,IF(AH1008&lt;=eco,alpha*fck*(1-(1-AH1008/eco)^n),alpha*fck),0)</f>
      </c>
      <c r="AJ1008" s="30">
        <f>PM_Angle!$J$20+PM_Angle!$K$20*$C1008+PM_Angle!$L$20*$B1008</f>
      </c>
      <c r="AK1008" s="12">
        <f>IF(AJ1008&gt;0,IF(AJ1008&lt;=eco,alpha*fck*(1-(1-AJ1008/eco)^n),alpha*fck),0)</f>
      </c>
      <c r="AL1008" s="30">
        <f>PM_Angle!$J$21+PM_Angle!$K$21*$C1008+PM_Angle!$L$21*$B1008</f>
      </c>
      <c r="AM1008" s="12">
        <f>IF(AL1008&gt;0,IF(AL1008&lt;=eco,alpha*fck*(1-(1-AL1008/eco)^n),alpha*fck),0)</f>
      </c>
      <c r="AN1008" s="30">
        <f>PM_Angle!$J$22+PM_Angle!$K$22*$C1008+PM_Angle!$L$22*$B1008</f>
      </c>
      <c r="AO1008" s="12">
        <f>IF(AN1008&gt;0,IF(AN1008&lt;=eco,alpha*fck*(1-(1-AN1008/eco)^n),alpha*fck),0)</f>
      </c>
      <c r="AP1008" s="30">
        <f>PM_Angle!$J$23+PM_Angle!$K$23*$C1008+PM_Angle!$L$23*$B1008</f>
      </c>
      <c r="AQ1008" s="12">
        <f>IF(AP1008&gt;0,IF(AP1008&lt;=eco,alpha*fck*(1-(1-AP1008/eco)^n),alpha*fck),0)</f>
      </c>
      <c r="AR1008" s="30">
        <f>PM_Angle!$J$24+PM_Angle!$K$24*$C1008+PM_Angle!$L$24*$B1008</f>
      </c>
      <c r="AS1008" s="12">
        <f>IF(AR1008&gt;0,IF(AR1008&lt;=eco,alpha*fck*(1-(1-AR1008/eco)^n),alpha*fck),0)</f>
      </c>
      <c r="AT1008" s="30">
        <f>PM_Angle!$J$25+PM_Angle!$K$25*$C1008+PM_Angle!$L$25*$B1008</f>
      </c>
      <c r="AU1008" s="12">
        <f>IF(AT1008&gt;0,IF(AT1008&lt;=eco,alpha*fck*(1-(1-AT1008/eco)^n),alpha*fck),0)</f>
      </c>
    </row>
    <row r="1009" spans="1:47" x14ac:dyDescent="0.25">
      <c r="A1009">
        <f>Mesh!A1006</f>
      </c>
      <c r="B1009" s="12">
        <f>Mesh!B1006</f>
      </c>
      <c r="C1009" s="12">
        <f>Mesh!C1006</f>
      </c>
      <c r="D1009" s="12">
        <f>Mesh!D1006</f>
      </c>
      <c r="E1009" s="30">
        <f>INDEX(St_e0,Det+1)+INDEX(St_kx,Det+1)*C1009+INDEX(St_ky,Det+1)*B1009</f>
      </c>
      <c r="F1009" s="12">
        <f>IF(E1009&gt;0,IF(E1009&lt;=eco,alpha*fck*(1-(1-E1009/eco)^n),alpha*fck),0)</f>
      </c>
      <c r="G1009" s="11">
        <f>F1009*D1009</f>
      </c>
      <c r="H1009" s="11">
        <f>G1009*C1009</f>
      </c>
      <c r="I1009" s="11">
        <f>G1009*B1009</f>
      </c>
      <c r="J1009" s="30">
        <f>PM_Angle!$J$7+PM_Angle!$K$7*$C1009+PM_Angle!$L$7*$B1009</f>
      </c>
      <c r="K1009" s="12">
        <f>IF(J1009&gt;0,IF(J1009&lt;=eco,alpha*fck*(1-(1-J1009/eco)^n),alpha*fck),0)</f>
      </c>
      <c r="L1009" s="30">
        <f>PM_Angle!$J$8+PM_Angle!$K$8*$C1009+PM_Angle!$L$8*$B1009</f>
      </c>
      <c r="M1009" s="12">
        <f>IF(L1009&gt;0,IF(L1009&lt;=eco,alpha*fck*(1-(1-L1009/eco)^n),alpha*fck),0)</f>
      </c>
      <c r="N1009" s="30">
        <f>PM_Angle!$J$9+PM_Angle!$K$9*$C1009+PM_Angle!$L$9*$B1009</f>
      </c>
      <c r="O1009" s="12">
        <f>IF(N1009&gt;0,IF(N1009&lt;=eco,alpha*fck*(1-(1-N1009/eco)^n),alpha*fck),0)</f>
      </c>
      <c r="P1009" s="30">
        <f>PM_Angle!$J$10+PM_Angle!$K$10*$C1009+PM_Angle!$L$10*$B1009</f>
      </c>
      <c r="Q1009" s="12">
        <f>IF(P1009&gt;0,IF(P1009&lt;=eco,alpha*fck*(1-(1-P1009/eco)^n),alpha*fck),0)</f>
      </c>
      <c r="R1009" s="30">
        <f>PM_Angle!$J$11+PM_Angle!$K$11*$C1009+PM_Angle!$L$11*$B1009</f>
      </c>
      <c r="S1009" s="12">
        <f>IF(R1009&gt;0,IF(R1009&lt;=eco,alpha*fck*(1-(1-R1009/eco)^n),alpha*fck),0)</f>
      </c>
      <c r="T1009" s="30">
        <f>PM_Angle!$J$12+PM_Angle!$K$12*$C1009+PM_Angle!$L$12*$B1009</f>
      </c>
      <c r="U1009" s="12">
        <f>IF(T1009&gt;0,IF(T1009&lt;=eco,alpha*fck*(1-(1-T1009/eco)^n),alpha*fck),0)</f>
      </c>
      <c r="V1009" s="30">
        <f>PM_Angle!$J$13+PM_Angle!$K$13*$C1009+PM_Angle!$L$13*$B1009</f>
      </c>
      <c r="W1009" s="12">
        <f>IF(V1009&gt;0,IF(V1009&lt;=eco,alpha*fck*(1-(1-V1009/eco)^n),alpha*fck),0)</f>
      </c>
      <c r="X1009" s="30">
        <f>PM_Angle!$J$14+PM_Angle!$K$14*$C1009+PM_Angle!$L$14*$B1009</f>
      </c>
      <c r="Y1009" s="12">
        <f>IF(X1009&gt;0,IF(X1009&lt;=eco,alpha*fck*(1-(1-X1009/eco)^n),alpha*fck),0)</f>
      </c>
      <c r="Z1009" s="30">
        <f>PM_Angle!$J$15+PM_Angle!$K$15*$C1009+PM_Angle!$L$15*$B1009</f>
      </c>
      <c r="AA1009" s="12">
        <f>IF(Z1009&gt;0,IF(Z1009&lt;=eco,alpha*fck*(1-(1-Z1009/eco)^n),alpha*fck),0)</f>
      </c>
      <c r="AB1009" s="30">
        <f>PM_Angle!$J$16+PM_Angle!$K$16*$C1009+PM_Angle!$L$16*$B1009</f>
      </c>
      <c r="AC1009" s="12">
        <f>IF(AB1009&gt;0,IF(AB1009&lt;=eco,alpha*fck*(1-(1-AB1009/eco)^n),alpha*fck),0)</f>
      </c>
      <c r="AD1009" s="30">
        <f>PM_Angle!$J$17+PM_Angle!$K$17*$C1009+PM_Angle!$L$17*$B1009</f>
      </c>
      <c r="AE1009" s="12">
        <f>IF(AD1009&gt;0,IF(AD1009&lt;=eco,alpha*fck*(1-(1-AD1009/eco)^n),alpha*fck),0)</f>
      </c>
      <c r="AF1009" s="30">
        <f>PM_Angle!$J$18+PM_Angle!$K$18*$C1009+PM_Angle!$L$18*$B1009</f>
      </c>
      <c r="AG1009" s="12">
        <f>IF(AF1009&gt;0,IF(AF1009&lt;=eco,alpha*fck*(1-(1-AF1009/eco)^n),alpha*fck),0)</f>
      </c>
      <c r="AH1009" s="30">
        <f>PM_Angle!$J$19+PM_Angle!$K$19*$C1009+PM_Angle!$L$19*$B1009</f>
      </c>
      <c r="AI1009" s="12">
        <f>IF(AH1009&gt;0,IF(AH1009&lt;=eco,alpha*fck*(1-(1-AH1009/eco)^n),alpha*fck),0)</f>
      </c>
      <c r="AJ1009" s="30">
        <f>PM_Angle!$J$20+PM_Angle!$K$20*$C1009+PM_Angle!$L$20*$B1009</f>
      </c>
      <c r="AK1009" s="12">
        <f>IF(AJ1009&gt;0,IF(AJ1009&lt;=eco,alpha*fck*(1-(1-AJ1009/eco)^n),alpha*fck),0)</f>
      </c>
      <c r="AL1009" s="30">
        <f>PM_Angle!$J$21+PM_Angle!$K$21*$C1009+PM_Angle!$L$21*$B1009</f>
      </c>
      <c r="AM1009" s="12">
        <f>IF(AL1009&gt;0,IF(AL1009&lt;=eco,alpha*fck*(1-(1-AL1009/eco)^n),alpha*fck),0)</f>
      </c>
      <c r="AN1009" s="30">
        <f>PM_Angle!$J$22+PM_Angle!$K$22*$C1009+PM_Angle!$L$22*$B1009</f>
      </c>
      <c r="AO1009" s="12">
        <f>IF(AN1009&gt;0,IF(AN1009&lt;=eco,alpha*fck*(1-(1-AN1009/eco)^n),alpha*fck),0)</f>
      </c>
      <c r="AP1009" s="30">
        <f>PM_Angle!$J$23+PM_Angle!$K$23*$C1009+PM_Angle!$L$23*$B1009</f>
      </c>
      <c r="AQ1009" s="12">
        <f>IF(AP1009&gt;0,IF(AP1009&lt;=eco,alpha*fck*(1-(1-AP1009/eco)^n),alpha*fck),0)</f>
      </c>
      <c r="AR1009" s="30">
        <f>PM_Angle!$J$24+PM_Angle!$K$24*$C1009+PM_Angle!$L$24*$B1009</f>
      </c>
      <c r="AS1009" s="12">
        <f>IF(AR1009&gt;0,IF(AR1009&lt;=eco,alpha*fck*(1-(1-AR1009/eco)^n),alpha*fck),0)</f>
      </c>
      <c r="AT1009" s="30">
        <f>PM_Angle!$J$25+PM_Angle!$K$25*$C1009+PM_Angle!$L$25*$B1009</f>
      </c>
      <c r="AU1009" s="12">
        <f>IF(AT1009&gt;0,IF(AT1009&lt;=eco,alpha*fck*(1-(1-AT1009/eco)^n),alpha*fck),0)</f>
      </c>
    </row>
    <row r="1010" spans="1:47" x14ac:dyDescent="0.25">
      <c r="A1010">
        <f>Mesh!A1007</f>
      </c>
      <c r="B1010" s="12">
        <f>Mesh!B1007</f>
      </c>
      <c r="C1010" s="12">
        <f>Mesh!C1007</f>
      </c>
      <c r="D1010" s="12">
        <f>Mesh!D1007</f>
      </c>
      <c r="E1010" s="30">
        <f>INDEX(St_e0,Det+1)+INDEX(St_kx,Det+1)*C1010+INDEX(St_ky,Det+1)*B1010</f>
      </c>
      <c r="F1010" s="12">
        <f>IF(E1010&gt;0,IF(E1010&lt;=eco,alpha*fck*(1-(1-E1010/eco)^n),alpha*fck),0)</f>
      </c>
      <c r="G1010" s="11">
        <f>F1010*D1010</f>
      </c>
      <c r="H1010" s="11">
        <f>G1010*C1010</f>
      </c>
      <c r="I1010" s="11">
        <f>G1010*B1010</f>
      </c>
      <c r="J1010" s="30">
        <f>PM_Angle!$J$7+PM_Angle!$K$7*$C1010+PM_Angle!$L$7*$B1010</f>
      </c>
      <c r="K1010" s="12">
        <f>IF(J1010&gt;0,IF(J1010&lt;=eco,alpha*fck*(1-(1-J1010/eco)^n),alpha*fck),0)</f>
      </c>
      <c r="L1010" s="30">
        <f>PM_Angle!$J$8+PM_Angle!$K$8*$C1010+PM_Angle!$L$8*$B1010</f>
      </c>
      <c r="M1010" s="12">
        <f>IF(L1010&gt;0,IF(L1010&lt;=eco,alpha*fck*(1-(1-L1010/eco)^n),alpha*fck),0)</f>
      </c>
      <c r="N1010" s="30">
        <f>PM_Angle!$J$9+PM_Angle!$K$9*$C1010+PM_Angle!$L$9*$B1010</f>
      </c>
      <c r="O1010" s="12">
        <f>IF(N1010&gt;0,IF(N1010&lt;=eco,alpha*fck*(1-(1-N1010/eco)^n),alpha*fck),0)</f>
      </c>
      <c r="P1010" s="30">
        <f>PM_Angle!$J$10+PM_Angle!$K$10*$C1010+PM_Angle!$L$10*$B1010</f>
      </c>
      <c r="Q1010" s="12">
        <f>IF(P1010&gt;0,IF(P1010&lt;=eco,alpha*fck*(1-(1-P1010/eco)^n),alpha*fck),0)</f>
      </c>
      <c r="R1010" s="30">
        <f>PM_Angle!$J$11+PM_Angle!$K$11*$C1010+PM_Angle!$L$11*$B1010</f>
      </c>
      <c r="S1010" s="12">
        <f>IF(R1010&gt;0,IF(R1010&lt;=eco,alpha*fck*(1-(1-R1010/eco)^n),alpha*fck),0)</f>
      </c>
      <c r="T1010" s="30">
        <f>PM_Angle!$J$12+PM_Angle!$K$12*$C1010+PM_Angle!$L$12*$B1010</f>
      </c>
      <c r="U1010" s="12">
        <f>IF(T1010&gt;0,IF(T1010&lt;=eco,alpha*fck*(1-(1-T1010/eco)^n),alpha*fck),0)</f>
      </c>
      <c r="V1010" s="30">
        <f>PM_Angle!$J$13+PM_Angle!$K$13*$C1010+PM_Angle!$L$13*$B1010</f>
      </c>
      <c r="W1010" s="12">
        <f>IF(V1010&gt;0,IF(V1010&lt;=eco,alpha*fck*(1-(1-V1010/eco)^n),alpha*fck),0)</f>
      </c>
      <c r="X1010" s="30">
        <f>PM_Angle!$J$14+PM_Angle!$K$14*$C1010+PM_Angle!$L$14*$B1010</f>
      </c>
      <c r="Y1010" s="12">
        <f>IF(X1010&gt;0,IF(X1010&lt;=eco,alpha*fck*(1-(1-X1010/eco)^n),alpha*fck),0)</f>
      </c>
      <c r="Z1010" s="30">
        <f>PM_Angle!$J$15+PM_Angle!$K$15*$C1010+PM_Angle!$L$15*$B1010</f>
      </c>
      <c r="AA1010" s="12">
        <f>IF(Z1010&gt;0,IF(Z1010&lt;=eco,alpha*fck*(1-(1-Z1010/eco)^n),alpha*fck),0)</f>
      </c>
      <c r="AB1010" s="30">
        <f>PM_Angle!$J$16+PM_Angle!$K$16*$C1010+PM_Angle!$L$16*$B1010</f>
      </c>
      <c r="AC1010" s="12">
        <f>IF(AB1010&gt;0,IF(AB1010&lt;=eco,alpha*fck*(1-(1-AB1010/eco)^n),alpha*fck),0)</f>
      </c>
      <c r="AD1010" s="30">
        <f>PM_Angle!$J$17+PM_Angle!$K$17*$C1010+PM_Angle!$L$17*$B1010</f>
      </c>
      <c r="AE1010" s="12">
        <f>IF(AD1010&gt;0,IF(AD1010&lt;=eco,alpha*fck*(1-(1-AD1010/eco)^n),alpha*fck),0)</f>
      </c>
      <c r="AF1010" s="30">
        <f>PM_Angle!$J$18+PM_Angle!$K$18*$C1010+PM_Angle!$L$18*$B1010</f>
      </c>
      <c r="AG1010" s="12">
        <f>IF(AF1010&gt;0,IF(AF1010&lt;=eco,alpha*fck*(1-(1-AF1010/eco)^n),alpha*fck),0)</f>
      </c>
      <c r="AH1010" s="30">
        <f>PM_Angle!$J$19+PM_Angle!$K$19*$C1010+PM_Angle!$L$19*$B1010</f>
      </c>
      <c r="AI1010" s="12">
        <f>IF(AH1010&gt;0,IF(AH1010&lt;=eco,alpha*fck*(1-(1-AH1010/eco)^n),alpha*fck),0)</f>
      </c>
      <c r="AJ1010" s="30">
        <f>PM_Angle!$J$20+PM_Angle!$K$20*$C1010+PM_Angle!$L$20*$B1010</f>
      </c>
      <c r="AK1010" s="12">
        <f>IF(AJ1010&gt;0,IF(AJ1010&lt;=eco,alpha*fck*(1-(1-AJ1010/eco)^n),alpha*fck),0)</f>
      </c>
      <c r="AL1010" s="30">
        <f>PM_Angle!$J$21+PM_Angle!$K$21*$C1010+PM_Angle!$L$21*$B1010</f>
      </c>
      <c r="AM1010" s="12">
        <f>IF(AL1010&gt;0,IF(AL1010&lt;=eco,alpha*fck*(1-(1-AL1010/eco)^n),alpha*fck),0)</f>
      </c>
      <c r="AN1010" s="30">
        <f>PM_Angle!$J$22+PM_Angle!$K$22*$C1010+PM_Angle!$L$22*$B1010</f>
      </c>
      <c r="AO1010" s="12">
        <f>IF(AN1010&gt;0,IF(AN1010&lt;=eco,alpha*fck*(1-(1-AN1010/eco)^n),alpha*fck),0)</f>
      </c>
      <c r="AP1010" s="30">
        <f>PM_Angle!$J$23+PM_Angle!$K$23*$C1010+PM_Angle!$L$23*$B1010</f>
      </c>
      <c r="AQ1010" s="12">
        <f>IF(AP1010&gt;0,IF(AP1010&lt;=eco,alpha*fck*(1-(1-AP1010/eco)^n),alpha*fck),0)</f>
      </c>
      <c r="AR1010" s="30">
        <f>PM_Angle!$J$24+PM_Angle!$K$24*$C1010+PM_Angle!$L$24*$B1010</f>
      </c>
      <c r="AS1010" s="12">
        <f>IF(AR1010&gt;0,IF(AR1010&lt;=eco,alpha*fck*(1-(1-AR1010/eco)^n),alpha*fck),0)</f>
      </c>
      <c r="AT1010" s="30">
        <f>PM_Angle!$J$25+PM_Angle!$K$25*$C1010+PM_Angle!$L$25*$B1010</f>
      </c>
      <c r="AU1010" s="12">
        <f>IF(AT1010&gt;0,IF(AT1010&lt;=eco,alpha*fck*(1-(1-AT1010/eco)^n),alpha*fck),0)</f>
      </c>
    </row>
    <row r="1011" spans="1:47" x14ac:dyDescent="0.25">
      <c r="A1011">
        <f>Mesh!A1008</f>
      </c>
      <c r="B1011" s="12">
        <f>Mesh!B1008</f>
      </c>
      <c r="C1011" s="12">
        <f>Mesh!C1008</f>
      </c>
      <c r="D1011" s="12">
        <f>Mesh!D1008</f>
      </c>
      <c r="E1011" s="30">
        <f>INDEX(St_e0,Det+1)+INDEX(St_kx,Det+1)*C1011+INDEX(St_ky,Det+1)*B1011</f>
      </c>
      <c r="F1011" s="12">
        <f>IF(E1011&gt;0,IF(E1011&lt;=eco,alpha*fck*(1-(1-E1011/eco)^n),alpha*fck),0)</f>
      </c>
      <c r="G1011" s="11">
        <f>F1011*D1011</f>
      </c>
      <c r="H1011" s="11">
        <f>G1011*C1011</f>
      </c>
      <c r="I1011" s="11">
        <f>G1011*B1011</f>
      </c>
      <c r="J1011" s="30">
        <f>PM_Angle!$J$7+PM_Angle!$K$7*$C1011+PM_Angle!$L$7*$B1011</f>
      </c>
      <c r="K1011" s="12">
        <f>IF(J1011&gt;0,IF(J1011&lt;=eco,alpha*fck*(1-(1-J1011/eco)^n),alpha*fck),0)</f>
      </c>
      <c r="L1011" s="30">
        <f>PM_Angle!$J$8+PM_Angle!$K$8*$C1011+PM_Angle!$L$8*$B1011</f>
      </c>
      <c r="M1011" s="12">
        <f>IF(L1011&gt;0,IF(L1011&lt;=eco,alpha*fck*(1-(1-L1011/eco)^n),alpha*fck),0)</f>
      </c>
      <c r="N1011" s="30">
        <f>PM_Angle!$J$9+PM_Angle!$K$9*$C1011+PM_Angle!$L$9*$B1011</f>
      </c>
      <c r="O1011" s="12">
        <f>IF(N1011&gt;0,IF(N1011&lt;=eco,alpha*fck*(1-(1-N1011/eco)^n),alpha*fck),0)</f>
      </c>
      <c r="P1011" s="30">
        <f>PM_Angle!$J$10+PM_Angle!$K$10*$C1011+PM_Angle!$L$10*$B1011</f>
      </c>
      <c r="Q1011" s="12">
        <f>IF(P1011&gt;0,IF(P1011&lt;=eco,alpha*fck*(1-(1-P1011/eco)^n),alpha*fck),0)</f>
      </c>
      <c r="R1011" s="30">
        <f>PM_Angle!$J$11+PM_Angle!$K$11*$C1011+PM_Angle!$L$11*$B1011</f>
      </c>
      <c r="S1011" s="12">
        <f>IF(R1011&gt;0,IF(R1011&lt;=eco,alpha*fck*(1-(1-R1011/eco)^n),alpha*fck),0)</f>
      </c>
      <c r="T1011" s="30">
        <f>PM_Angle!$J$12+PM_Angle!$K$12*$C1011+PM_Angle!$L$12*$B1011</f>
      </c>
      <c r="U1011" s="12">
        <f>IF(T1011&gt;0,IF(T1011&lt;=eco,alpha*fck*(1-(1-T1011/eco)^n),alpha*fck),0)</f>
      </c>
      <c r="V1011" s="30">
        <f>PM_Angle!$J$13+PM_Angle!$K$13*$C1011+PM_Angle!$L$13*$B1011</f>
      </c>
      <c r="W1011" s="12">
        <f>IF(V1011&gt;0,IF(V1011&lt;=eco,alpha*fck*(1-(1-V1011/eco)^n),alpha*fck),0)</f>
      </c>
      <c r="X1011" s="30">
        <f>PM_Angle!$J$14+PM_Angle!$K$14*$C1011+PM_Angle!$L$14*$B1011</f>
      </c>
      <c r="Y1011" s="12">
        <f>IF(X1011&gt;0,IF(X1011&lt;=eco,alpha*fck*(1-(1-X1011/eco)^n),alpha*fck),0)</f>
      </c>
      <c r="Z1011" s="30">
        <f>PM_Angle!$J$15+PM_Angle!$K$15*$C1011+PM_Angle!$L$15*$B1011</f>
      </c>
      <c r="AA1011" s="12">
        <f>IF(Z1011&gt;0,IF(Z1011&lt;=eco,alpha*fck*(1-(1-Z1011/eco)^n),alpha*fck),0)</f>
      </c>
      <c r="AB1011" s="30">
        <f>PM_Angle!$J$16+PM_Angle!$K$16*$C1011+PM_Angle!$L$16*$B1011</f>
      </c>
      <c r="AC1011" s="12">
        <f>IF(AB1011&gt;0,IF(AB1011&lt;=eco,alpha*fck*(1-(1-AB1011/eco)^n),alpha*fck),0)</f>
      </c>
      <c r="AD1011" s="30">
        <f>PM_Angle!$J$17+PM_Angle!$K$17*$C1011+PM_Angle!$L$17*$B1011</f>
      </c>
      <c r="AE1011" s="12">
        <f>IF(AD1011&gt;0,IF(AD1011&lt;=eco,alpha*fck*(1-(1-AD1011/eco)^n),alpha*fck),0)</f>
      </c>
      <c r="AF1011" s="30">
        <f>PM_Angle!$J$18+PM_Angle!$K$18*$C1011+PM_Angle!$L$18*$B1011</f>
      </c>
      <c r="AG1011" s="12">
        <f>IF(AF1011&gt;0,IF(AF1011&lt;=eco,alpha*fck*(1-(1-AF1011/eco)^n),alpha*fck),0)</f>
      </c>
      <c r="AH1011" s="30">
        <f>PM_Angle!$J$19+PM_Angle!$K$19*$C1011+PM_Angle!$L$19*$B1011</f>
      </c>
      <c r="AI1011" s="12">
        <f>IF(AH1011&gt;0,IF(AH1011&lt;=eco,alpha*fck*(1-(1-AH1011/eco)^n),alpha*fck),0)</f>
      </c>
      <c r="AJ1011" s="30">
        <f>PM_Angle!$J$20+PM_Angle!$K$20*$C1011+PM_Angle!$L$20*$B1011</f>
      </c>
      <c r="AK1011" s="12">
        <f>IF(AJ1011&gt;0,IF(AJ1011&lt;=eco,alpha*fck*(1-(1-AJ1011/eco)^n),alpha*fck),0)</f>
      </c>
      <c r="AL1011" s="30">
        <f>PM_Angle!$J$21+PM_Angle!$K$21*$C1011+PM_Angle!$L$21*$B1011</f>
      </c>
      <c r="AM1011" s="12">
        <f>IF(AL1011&gt;0,IF(AL1011&lt;=eco,alpha*fck*(1-(1-AL1011/eco)^n),alpha*fck),0)</f>
      </c>
      <c r="AN1011" s="30">
        <f>PM_Angle!$J$22+PM_Angle!$K$22*$C1011+PM_Angle!$L$22*$B1011</f>
      </c>
      <c r="AO1011" s="12">
        <f>IF(AN1011&gt;0,IF(AN1011&lt;=eco,alpha*fck*(1-(1-AN1011/eco)^n),alpha*fck),0)</f>
      </c>
      <c r="AP1011" s="30">
        <f>PM_Angle!$J$23+PM_Angle!$K$23*$C1011+PM_Angle!$L$23*$B1011</f>
      </c>
      <c r="AQ1011" s="12">
        <f>IF(AP1011&gt;0,IF(AP1011&lt;=eco,alpha*fck*(1-(1-AP1011/eco)^n),alpha*fck),0)</f>
      </c>
      <c r="AR1011" s="30">
        <f>PM_Angle!$J$24+PM_Angle!$K$24*$C1011+PM_Angle!$L$24*$B1011</f>
      </c>
      <c r="AS1011" s="12">
        <f>IF(AR1011&gt;0,IF(AR1011&lt;=eco,alpha*fck*(1-(1-AR1011/eco)^n),alpha*fck),0)</f>
      </c>
      <c r="AT1011" s="30">
        <f>PM_Angle!$J$25+PM_Angle!$K$25*$C1011+PM_Angle!$L$25*$B1011</f>
      </c>
      <c r="AU1011" s="12">
        <f>IF(AT1011&gt;0,IF(AT1011&lt;=eco,alpha*fck*(1-(1-AT1011/eco)^n),alpha*fck),0)</f>
      </c>
    </row>
    <row r="1012" spans="1:47" x14ac:dyDescent="0.25">
      <c r="A1012">
        <f>Mesh!A1009</f>
      </c>
      <c r="B1012" s="12">
        <f>Mesh!B1009</f>
      </c>
      <c r="C1012" s="12">
        <f>Mesh!C1009</f>
      </c>
      <c r="D1012" s="12">
        <f>Mesh!D1009</f>
      </c>
      <c r="E1012" s="30">
        <f>INDEX(St_e0,Det+1)+INDEX(St_kx,Det+1)*C1012+INDEX(St_ky,Det+1)*B1012</f>
      </c>
      <c r="F1012" s="12">
        <f>IF(E1012&gt;0,IF(E1012&lt;=eco,alpha*fck*(1-(1-E1012/eco)^n),alpha*fck),0)</f>
      </c>
      <c r="G1012" s="11">
        <f>F1012*D1012</f>
      </c>
      <c r="H1012" s="11">
        <f>G1012*C1012</f>
      </c>
      <c r="I1012" s="11">
        <f>G1012*B1012</f>
      </c>
      <c r="J1012" s="30">
        <f>PM_Angle!$J$7+PM_Angle!$K$7*$C1012+PM_Angle!$L$7*$B1012</f>
      </c>
      <c r="K1012" s="12">
        <f>IF(J1012&gt;0,IF(J1012&lt;=eco,alpha*fck*(1-(1-J1012/eco)^n),alpha*fck),0)</f>
      </c>
      <c r="L1012" s="30">
        <f>PM_Angle!$J$8+PM_Angle!$K$8*$C1012+PM_Angle!$L$8*$B1012</f>
      </c>
      <c r="M1012" s="12">
        <f>IF(L1012&gt;0,IF(L1012&lt;=eco,alpha*fck*(1-(1-L1012/eco)^n),alpha*fck),0)</f>
      </c>
      <c r="N1012" s="30">
        <f>PM_Angle!$J$9+PM_Angle!$K$9*$C1012+PM_Angle!$L$9*$B1012</f>
      </c>
      <c r="O1012" s="12">
        <f>IF(N1012&gt;0,IF(N1012&lt;=eco,alpha*fck*(1-(1-N1012/eco)^n),alpha*fck),0)</f>
      </c>
      <c r="P1012" s="30">
        <f>PM_Angle!$J$10+PM_Angle!$K$10*$C1012+PM_Angle!$L$10*$B1012</f>
      </c>
      <c r="Q1012" s="12">
        <f>IF(P1012&gt;0,IF(P1012&lt;=eco,alpha*fck*(1-(1-P1012/eco)^n),alpha*fck),0)</f>
      </c>
      <c r="R1012" s="30">
        <f>PM_Angle!$J$11+PM_Angle!$K$11*$C1012+PM_Angle!$L$11*$B1012</f>
      </c>
      <c r="S1012" s="12">
        <f>IF(R1012&gt;0,IF(R1012&lt;=eco,alpha*fck*(1-(1-R1012/eco)^n),alpha*fck),0)</f>
      </c>
      <c r="T1012" s="30">
        <f>PM_Angle!$J$12+PM_Angle!$K$12*$C1012+PM_Angle!$L$12*$B1012</f>
      </c>
      <c r="U1012" s="12">
        <f>IF(T1012&gt;0,IF(T1012&lt;=eco,alpha*fck*(1-(1-T1012/eco)^n),alpha*fck),0)</f>
      </c>
      <c r="V1012" s="30">
        <f>PM_Angle!$J$13+PM_Angle!$K$13*$C1012+PM_Angle!$L$13*$B1012</f>
      </c>
      <c r="W1012" s="12">
        <f>IF(V1012&gt;0,IF(V1012&lt;=eco,alpha*fck*(1-(1-V1012/eco)^n),alpha*fck),0)</f>
      </c>
      <c r="X1012" s="30">
        <f>PM_Angle!$J$14+PM_Angle!$K$14*$C1012+PM_Angle!$L$14*$B1012</f>
      </c>
      <c r="Y1012" s="12">
        <f>IF(X1012&gt;0,IF(X1012&lt;=eco,alpha*fck*(1-(1-X1012/eco)^n),alpha*fck),0)</f>
      </c>
      <c r="Z1012" s="30">
        <f>PM_Angle!$J$15+PM_Angle!$K$15*$C1012+PM_Angle!$L$15*$B1012</f>
      </c>
      <c r="AA1012" s="12">
        <f>IF(Z1012&gt;0,IF(Z1012&lt;=eco,alpha*fck*(1-(1-Z1012/eco)^n),alpha*fck),0)</f>
      </c>
      <c r="AB1012" s="30">
        <f>PM_Angle!$J$16+PM_Angle!$K$16*$C1012+PM_Angle!$L$16*$B1012</f>
      </c>
      <c r="AC1012" s="12">
        <f>IF(AB1012&gt;0,IF(AB1012&lt;=eco,alpha*fck*(1-(1-AB1012/eco)^n),alpha*fck),0)</f>
      </c>
      <c r="AD1012" s="30">
        <f>PM_Angle!$J$17+PM_Angle!$K$17*$C1012+PM_Angle!$L$17*$B1012</f>
      </c>
      <c r="AE1012" s="12">
        <f>IF(AD1012&gt;0,IF(AD1012&lt;=eco,alpha*fck*(1-(1-AD1012/eco)^n),alpha*fck),0)</f>
      </c>
      <c r="AF1012" s="30">
        <f>PM_Angle!$J$18+PM_Angle!$K$18*$C1012+PM_Angle!$L$18*$B1012</f>
      </c>
      <c r="AG1012" s="12">
        <f>IF(AF1012&gt;0,IF(AF1012&lt;=eco,alpha*fck*(1-(1-AF1012/eco)^n),alpha*fck),0)</f>
      </c>
      <c r="AH1012" s="30">
        <f>PM_Angle!$J$19+PM_Angle!$K$19*$C1012+PM_Angle!$L$19*$B1012</f>
      </c>
      <c r="AI1012" s="12">
        <f>IF(AH1012&gt;0,IF(AH1012&lt;=eco,alpha*fck*(1-(1-AH1012/eco)^n),alpha*fck),0)</f>
      </c>
      <c r="AJ1012" s="30">
        <f>PM_Angle!$J$20+PM_Angle!$K$20*$C1012+PM_Angle!$L$20*$B1012</f>
      </c>
      <c r="AK1012" s="12">
        <f>IF(AJ1012&gt;0,IF(AJ1012&lt;=eco,alpha*fck*(1-(1-AJ1012/eco)^n),alpha*fck),0)</f>
      </c>
      <c r="AL1012" s="30">
        <f>PM_Angle!$J$21+PM_Angle!$K$21*$C1012+PM_Angle!$L$21*$B1012</f>
      </c>
      <c r="AM1012" s="12">
        <f>IF(AL1012&gt;0,IF(AL1012&lt;=eco,alpha*fck*(1-(1-AL1012/eco)^n),alpha*fck),0)</f>
      </c>
      <c r="AN1012" s="30">
        <f>PM_Angle!$J$22+PM_Angle!$K$22*$C1012+PM_Angle!$L$22*$B1012</f>
      </c>
      <c r="AO1012" s="12">
        <f>IF(AN1012&gt;0,IF(AN1012&lt;=eco,alpha*fck*(1-(1-AN1012/eco)^n),alpha*fck),0)</f>
      </c>
      <c r="AP1012" s="30">
        <f>PM_Angle!$J$23+PM_Angle!$K$23*$C1012+PM_Angle!$L$23*$B1012</f>
      </c>
      <c r="AQ1012" s="12">
        <f>IF(AP1012&gt;0,IF(AP1012&lt;=eco,alpha*fck*(1-(1-AP1012/eco)^n),alpha*fck),0)</f>
      </c>
      <c r="AR1012" s="30">
        <f>PM_Angle!$J$24+PM_Angle!$K$24*$C1012+PM_Angle!$L$24*$B1012</f>
      </c>
      <c r="AS1012" s="12">
        <f>IF(AR1012&gt;0,IF(AR1012&lt;=eco,alpha*fck*(1-(1-AR1012/eco)^n),alpha*fck),0)</f>
      </c>
      <c r="AT1012" s="30">
        <f>PM_Angle!$J$25+PM_Angle!$K$25*$C1012+PM_Angle!$L$25*$B1012</f>
      </c>
      <c r="AU1012" s="12">
        <f>IF(AT1012&gt;0,IF(AT1012&lt;=eco,alpha*fck*(1-(1-AT1012/eco)^n),alpha*fck),0)</f>
      </c>
    </row>
    <row r="1013" spans="1:47" x14ac:dyDescent="0.25">
      <c r="A1013">
        <f>Mesh!A1010</f>
      </c>
      <c r="B1013" s="12">
        <f>Mesh!B1010</f>
      </c>
      <c r="C1013" s="12">
        <f>Mesh!C1010</f>
      </c>
      <c r="D1013" s="12">
        <f>Mesh!D1010</f>
      </c>
      <c r="E1013" s="30">
        <f>INDEX(St_e0,Det+1)+INDEX(St_kx,Det+1)*C1013+INDEX(St_ky,Det+1)*B1013</f>
      </c>
      <c r="F1013" s="12">
        <f>IF(E1013&gt;0,IF(E1013&lt;=eco,alpha*fck*(1-(1-E1013/eco)^n),alpha*fck),0)</f>
      </c>
      <c r="G1013" s="11">
        <f>F1013*D1013</f>
      </c>
      <c r="H1013" s="11">
        <f>G1013*C1013</f>
      </c>
      <c r="I1013" s="11">
        <f>G1013*B1013</f>
      </c>
      <c r="J1013" s="30">
        <f>PM_Angle!$J$7+PM_Angle!$K$7*$C1013+PM_Angle!$L$7*$B1013</f>
      </c>
      <c r="K1013" s="12">
        <f>IF(J1013&gt;0,IF(J1013&lt;=eco,alpha*fck*(1-(1-J1013/eco)^n),alpha*fck),0)</f>
      </c>
      <c r="L1013" s="30">
        <f>PM_Angle!$J$8+PM_Angle!$K$8*$C1013+PM_Angle!$L$8*$B1013</f>
      </c>
      <c r="M1013" s="12">
        <f>IF(L1013&gt;0,IF(L1013&lt;=eco,alpha*fck*(1-(1-L1013/eco)^n),alpha*fck),0)</f>
      </c>
      <c r="N1013" s="30">
        <f>PM_Angle!$J$9+PM_Angle!$K$9*$C1013+PM_Angle!$L$9*$B1013</f>
      </c>
      <c r="O1013" s="12">
        <f>IF(N1013&gt;0,IF(N1013&lt;=eco,alpha*fck*(1-(1-N1013/eco)^n),alpha*fck),0)</f>
      </c>
      <c r="P1013" s="30">
        <f>PM_Angle!$J$10+PM_Angle!$K$10*$C1013+PM_Angle!$L$10*$B1013</f>
      </c>
      <c r="Q1013" s="12">
        <f>IF(P1013&gt;0,IF(P1013&lt;=eco,alpha*fck*(1-(1-P1013/eco)^n),alpha*fck),0)</f>
      </c>
      <c r="R1013" s="30">
        <f>PM_Angle!$J$11+PM_Angle!$K$11*$C1013+PM_Angle!$L$11*$B1013</f>
      </c>
      <c r="S1013" s="12">
        <f>IF(R1013&gt;0,IF(R1013&lt;=eco,alpha*fck*(1-(1-R1013/eco)^n),alpha*fck),0)</f>
      </c>
      <c r="T1013" s="30">
        <f>PM_Angle!$J$12+PM_Angle!$K$12*$C1013+PM_Angle!$L$12*$B1013</f>
      </c>
      <c r="U1013" s="12">
        <f>IF(T1013&gt;0,IF(T1013&lt;=eco,alpha*fck*(1-(1-T1013/eco)^n),alpha*fck),0)</f>
      </c>
      <c r="V1013" s="30">
        <f>PM_Angle!$J$13+PM_Angle!$K$13*$C1013+PM_Angle!$L$13*$B1013</f>
      </c>
      <c r="W1013" s="12">
        <f>IF(V1013&gt;0,IF(V1013&lt;=eco,alpha*fck*(1-(1-V1013/eco)^n),alpha*fck),0)</f>
      </c>
      <c r="X1013" s="30">
        <f>PM_Angle!$J$14+PM_Angle!$K$14*$C1013+PM_Angle!$L$14*$B1013</f>
      </c>
      <c r="Y1013" s="12">
        <f>IF(X1013&gt;0,IF(X1013&lt;=eco,alpha*fck*(1-(1-X1013/eco)^n),alpha*fck),0)</f>
      </c>
      <c r="Z1013" s="30">
        <f>PM_Angle!$J$15+PM_Angle!$K$15*$C1013+PM_Angle!$L$15*$B1013</f>
      </c>
      <c r="AA1013" s="12">
        <f>IF(Z1013&gt;0,IF(Z1013&lt;=eco,alpha*fck*(1-(1-Z1013/eco)^n),alpha*fck),0)</f>
      </c>
      <c r="AB1013" s="30">
        <f>PM_Angle!$J$16+PM_Angle!$K$16*$C1013+PM_Angle!$L$16*$B1013</f>
      </c>
      <c r="AC1013" s="12">
        <f>IF(AB1013&gt;0,IF(AB1013&lt;=eco,alpha*fck*(1-(1-AB1013/eco)^n),alpha*fck),0)</f>
      </c>
      <c r="AD1013" s="30">
        <f>PM_Angle!$J$17+PM_Angle!$K$17*$C1013+PM_Angle!$L$17*$B1013</f>
      </c>
      <c r="AE1013" s="12">
        <f>IF(AD1013&gt;0,IF(AD1013&lt;=eco,alpha*fck*(1-(1-AD1013/eco)^n),alpha*fck),0)</f>
      </c>
      <c r="AF1013" s="30">
        <f>PM_Angle!$J$18+PM_Angle!$K$18*$C1013+PM_Angle!$L$18*$B1013</f>
      </c>
      <c r="AG1013" s="12">
        <f>IF(AF1013&gt;0,IF(AF1013&lt;=eco,alpha*fck*(1-(1-AF1013/eco)^n),alpha*fck),0)</f>
      </c>
      <c r="AH1013" s="30">
        <f>PM_Angle!$J$19+PM_Angle!$K$19*$C1013+PM_Angle!$L$19*$B1013</f>
      </c>
      <c r="AI1013" s="12">
        <f>IF(AH1013&gt;0,IF(AH1013&lt;=eco,alpha*fck*(1-(1-AH1013/eco)^n),alpha*fck),0)</f>
      </c>
      <c r="AJ1013" s="30">
        <f>PM_Angle!$J$20+PM_Angle!$K$20*$C1013+PM_Angle!$L$20*$B1013</f>
      </c>
      <c r="AK1013" s="12">
        <f>IF(AJ1013&gt;0,IF(AJ1013&lt;=eco,alpha*fck*(1-(1-AJ1013/eco)^n),alpha*fck),0)</f>
      </c>
      <c r="AL1013" s="30">
        <f>PM_Angle!$J$21+PM_Angle!$K$21*$C1013+PM_Angle!$L$21*$B1013</f>
      </c>
      <c r="AM1013" s="12">
        <f>IF(AL1013&gt;0,IF(AL1013&lt;=eco,alpha*fck*(1-(1-AL1013/eco)^n),alpha*fck),0)</f>
      </c>
      <c r="AN1013" s="30">
        <f>PM_Angle!$J$22+PM_Angle!$K$22*$C1013+PM_Angle!$L$22*$B1013</f>
      </c>
      <c r="AO1013" s="12">
        <f>IF(AN1013&gt;0,IF(AN1013&lt;=eco,alpha*fck*(1-(1-AN1013/eco)^n),alpha*fck),0)</f>
      </c>
      <c r="AP1013" s="30">
        <f>PM_Angle!$J$23+PM_Angle!$K$23*$C1013+PM_Angle!$L$23*$B1013</f>
      </c>
      <c r="AQ1013" s="12">
        <f>IF(AP1013&gt;0,IF(AP1013&lt;=eco,alpha*fck*(1-(1-AP1013/eco)^n),alpha*fck),0)</f>
      </c>
      <c r="AR1013" s="30">
        <f>PM_Angle!$J$24+PM_Angle!$K$24*$C1013+PM_Angle!$L$24*$B1013</f>
      </c>
      <c r="AS1013" s="12">
        <f>IF(AR1013&gt;0,IF(AR1013&lt;=eco,alpha*fck*(1-(1-AR1013/eco)^n),alpha*fck),0)</f>
      </c>
      <c r="AT1013" s="30">
        <f>PM_Angle!$J$25+PM_Angle!$K$25*$C1013+PM_Angle!$L$25*$B1013</f>
      </c>
      <c r="AU1013" s="12">
        <f>IF(AT1013&gt;0,IF(AT1013&lt;=eco,alpha*fck*(1-(1-AT1013/eco)^n),alpha*fck),0)</f>
      </c>
    </row>
    <row r="1014" spans="1:47" x14ac:dyDescent="0.25">
      <c r="A1014">
        <f>Mesh!A1011</f>
      </c>
      <c r="B1014" s="12">
        <f>Mesh!B1011</f>
      </c>
      <c r="C1014" s="12">
        <f>Mesh!C1011</f>
      </c>
      <c r="D1014" s="12">
        <f>Mesh!D1011</f>
      </c>
      <c r="E1014" s="30">
        <f>INDEX(St_e0,Det+1)+INDEX(St_kx,Det+1)*C1014+INDEX(St_ky,Det+1)*B1014</f>
      </c>
      <c r="F1014" s="12">
        <f>IF(E1014&gt;0,IF(E1014&lt;=eco,alpha*fck*(1-(1-E1014/eco)^n),alpha*fck),0)</f>
      </c>
      <c r="G1014" s="11">
        <f>F1014*D1014</f>
      </c>
      <c r="H1014" s="11">
        <f>G1014*C1014</f>
      </c>
      <c r="I1014" s="11">
        <f>G1014*B1014</f>
      </c>
      <c r="J1014" s="30">
        <f>PM_Angle!$J$7+PM_Angle!$K$7*$C1014+PM_Angle!$L$7*$B1014</f>
      </c>
      <c r="K1014" s="12">
        <f>IF(J1014&gt;0,IF(J1014&lt;=eco,alpha*fck*(1-(1-J1014/eco)^n),alpha*fck),0)</f>
      </c>
      <c r="L1014" s="30">
        <f>PM_Angle!$J$8+PM_Angle!$K$8*$C1014+PM_Angle!$L$8*$B1014</f>
      </c>
      <c r="M1014" s="12">
        <f>IF(L1014&gt;0,IF(L1014&lt;=eco,alpha*fck*(1-(1-L1014/eco)^n),alpha*fck),0)</f>
      </c>
      <c r="N1014" s="30">
        <f>PM_Angle!$J$9+PM_Angle!$K$9*$C1014+PM_Angle!$L$9*$B1014</f>
      </c>
      <c r="O1014" s="12">
        <f>IF(N1014&gt;0,IF(N1014&lt;=eco,alpha*fck*(1-(1-N1014/eco)^n),alpha*fck),0)</f>
      </c>
      <c r="P1014" s="30">
        <f>PM_Angle!$J$10+PM_Angle!$K$10*$C1014+PM_Angle!$L$10*$B1014</f>
      </c>
      <c r="Q1014" s="12">
        <f>IF(P1014&gt;0,IF(P1014&lt;=eco,alpha*fck*(1-(1-P1014/eco)^n),alpha*fck),0)</f>
      </c>
      <c r="R1014" s="30">
        <f>PM_Angle!$J$11+PM_Angle!$K$11*$C1014+PM_Angle!$L$11*$B1014</f>
      </c>
      <c r="S1014" s="12">
        <f>IF(R1014&gt;0,IF(R1014&lt;=eco,alpha*fck*(1-(1-R1014/eco)^n),alpha*fck),0)</f>
      </c>
      <c r="T1014" s="30">
        <f>PM_Angle!$J$12+PM_Angle!$K$12*$C1014+PM_Angle!$L$12*$B1014</f>
      </c>
      <c r="U1014" s="12">
        <f>IF(T1014&gt;0,IF(T1014&lt;=eco,alpha*fck*(1-(1-T1014/eco)^n),alpha*fck),0)</f>
      </c>
      <c r="V1014" s="30">
        <f>PM_Angle!$J$13+PM_Angle!$K$13*$C1014+PM_Angle!$L$13*$B1014</f>
      </c>
      <c r="W1014" s="12">
        <f>IF(V1014&gt;0,IF(V1014&lt;=eco,alpha*fck*(1-(1-V1014/eco)^n),alpha*fck),0)</f>
      </c>
      <c r="X1014" s="30">
        <f>PM_Angle!$J$14+PM_Angle!$K$14*$C1014+PM_Angle!$L$14*$B1014</f>
      </c>
      <c r="Y1014" s="12">
        <f>IF(X1014&gt;0,IF(X1014&lt;=eco,alpha*fck*(1-(1-X1014/eco)^n),alpha*fck),0)</f>
      </c>
      <c r="Z1014" s="30">
        <f>PM_Angle!$J$15+PM_Angle!$K$15*$C1014+PM_Angle!$L$15*$B1014</f>
      </c>
      <c r="AA1014" s="12">
        <f>IF(Z1014&gt;0,IF(Z1014&lt;=eco,alpha*fck*(1-(1-Z1014/eco)^n),alpha*fck),0)</f>
      </c>
      <c r="AB1014" s="30">
        <f>PM_Angle!$J$16+PM_Angle!$K$16*$C1014+PM_Angle!$L$16*$B1014</f>
      </c>
      <c r="AC1014" s="12">
        <f>IF(AB1014&gt;0,IF(AB1014&lt;=eco,alpha*fck*(1-(1-AB1014/eco)^n),alpha*fck),0)</f>
      </c>
      <c r="AD1014" s="30">
        <f>PM_Angle!$J$17+PM_Angle!$K$17*$C1014+PM_Angle!$L$17*$B1014</f>
      </c>
      <c r="AE1014" s="12">
        <f>IF(AD1014&gt;0,IF(AD1014&lt;=eco,alpha*fck*(1-(1-AD1014/eco)^n),alpha*fck),0)</f>
      </c>
      <c r="AF1014" s="30">
        <f>PM_Angle!$J$18+PM_Angle!$K$18*$C1014+PM_Angle!$L$18*$B1014</f>
      </c>
      <c r="AG1014" s="12">
        <f>IF(AF1014&gt;0,IF(AF1014&lt;=eco,alpha*fck*(1-(1-AF1014/eco)^n),alpha*fck),0)</f>
      </c>
      <c r="AH1014" s="30">
        <f>PM_Angle!$J$19+PM_Angle!$K$19*$C1014+PM_Angle!$L$19*$B1014</f>
      </c>
      <c r="AI1014" s="12">
        <f>IF(AH1014&gt;0,IF(AH1014&lt;=eco,alpha*fck*(1-(1-AH1014/eco)^n),alpha*fck),0)</f>
      </c>
      <c r="AJ1014" s="30">
        <f>PM_Angle!$J$20+PM_Angle!$K$20*$C1014+PM_Angle!$L$20*$B1014</f>
      </c>
      <c r="AK1014" s="12">
        <f>IF(AJ1014&gt;0,IF(AJ1014&lt;=eco,alpha*fck*(1-(1-AJ1014/eco)^n),alpha*fck),0)</f>
      </c>
      <c r="AL1014" s="30">
        <f>PM_Angle!$J$21+PM_Angle!$K$21*$C1014+PM_Angle!$L$21*$B1014</f>
      </c>
      <c r="AM1014" s="12">
        <f>IF(AL1014&gt;0,IF(AL1014&lt;=eco,alpha*fck*(1-(1-AL1014/eco)^n),alpha*fck),0)</f>
      </c>
      <c r="AN1014" s="30">
        <f>PM_Angle!$J$22+PM_Angle!$K$22*$C1014+PM_Angle!$L$22*$B1014</f>
      </c>
      <c r="AO1014" s="12">
        <f>IF(AN1014&gt;0,IF(AN1014&lt;=eco,alpha*fck*(1-(1-AN1014/eco)^n),alpha*fck),0)</f>
      </c>
      <c r="AP1014" s="30">
        <f>PM_Angle!$J$23+PM_Angle!$K$23*$C1014+PM_Angle!$L$23*$B1014</f>
      </c>
      <c r="AQ1014" s="12">
        <f>IF(AP1014&gt;0,IF(AP1014&lt;=eco,alpha*fck*(1-(1-AP1014/eco)^n),alpha*fck),0)</f>
      </c>
      <c r="AR1014" s="30">
        <f>PM_Angle!$J$24+PM_Angle!$K$24*$C1014+PM_Angle!$L$24*$B1014</f>
      </c>
      <c r="AS1014" s="12">
        <f>IF(AR1014&gt;0,IF(AR1014&lt;=eco,alpha*fck*(1-(1-AR1014/eco)^n),alpha*fck),0)</f>
      </c>
      <c r="AT1014" s="30">
        <f>PM_Angle!$J$25+PM_Angle!$K$25*$C1014+PM_Angle!$L$25*$B1014</f>
      </c>
      <c r="AU1014" s="12">
        <f>IF(AT1014&gt;0,IF(AT1014&lt;=eco,alpha*fck*(1-(1-AT1014/eco)^n),alpha*fck),0)</f>
      </c>
    </row>
    <row r="1015" spans="1:47" x14ac:dyDescent="0.25">
      <c r="A1015">
        <f>Mesh!A1012</f>
      </c>
      <c r="B1015" s="12">
        <f>Mesh!B1012</f>
      </c>
      <c r="C1015" s="12">
        <f>Mesh!C1012</f>
      </c>
      <c r="D1015" s="12">
        <f>Mesh!D1012</f>
      </c>
      <c r="E1015" s="30">
        <f>INDEX(St_e0,Det+1)+INDEX(St_kx,Det+1)*C1015+INDEX(St_ky,Det+1)*B1015</f>
      </c>
      <c r="F1015" s="12">
        <f>IF(E1015&gt;0,IF(E1015&lt;=eco,alpha*fck*(1-(1-E1015/eco)^n),alpha*fck),0)</f>
      </c>
      <c r="G1015" s="11">
        <f>F1015*D1015</f>
      </c>
      <c r="H1015" s="11">
        <f>G1015*C1015</f>
      </c>
      <c r="I1015" s="11">
        <f>G1015*B1015</f>
      </c>
      <c r="J1015" s="30">
        <f>PM_Angle!$J$7+PM_Angle!$K$7*$C1015+PM_Angle!$L$7*$B1015</f>
      </c>
      <c r="K1015" s="12">
        <f>IF(J1015&gt;0,IF(J1015&lt;=eco,alpha*fck*(1-(1-J1015/eco)^n),alpha*fck),0)</f>
      </c>
      <c r="L1015" s="30">
        <f>PM_Angle!$J$8+PM_Angle!$K$8*$C1015+PM_Angle!$L$8*$B1015</f>
      </c>
      <c r="M1015" s="12">
        <f>IF(L1015&gt;0,IF(L1015&lt;=eco,alpha*fck*(1-(1-L1015/eco)^n),alpha*fck),0)</f>
      </c>
      <c r="N1015" s="30">
        <f>PM_Angle!$J$9+PM_Angle!$K$9*$C1015+PM_Angle!$L$9*$B1015</f>
      </c>
      <c r="O1015" s="12">
        <f>IF(N1015&gt;0,IF(N1015&lt;=eco,alpha*fck*(1-(1-N1015/eco)^n),alpha*fck),0)</f>
      </c>
      <c r="P1015" s="30">
        <f>PM_Angle!$J$10+PM_Angle!$K$10*$C1015+PM_Angle!$L$10*$B1015</f>
      </c>
      <c r="Q1015" s="12">
        <f>IF(P1015&gt;0,IF(P1015&lt;=eco,alpha*fck*(1-(1-P1015/eco)^n),alpha*fck),0)</f>
      </c>
      <c r="R1015" s="30">
        <f>PM_Angle!$J$11+PM_Angle!$K$11*$C1015+PM_Angle!$L$11*$B1015</f>
      </c>
      <c r="S1015" s="12">
        <f>IF(R1015&gt;0,IF(R1015&lt;=eco,alpha*fck*(1-(1-R1015/eco)^n),alpha*fck),0)</f>
      </c>
      <c r="T1015" s="30">
        <f>PM_Angle!$J$12+PM_Angle!$K$12*$C1015+PM_Angle!$L$12*$B1015</f>
      </c>
      <c r="U1015" s="12">
        <f>IF(T1015&gt;0,IF(T1015&lt;=eco,alpha*fck*(1-(1-T1015/eco)^n),alpha*fck),0)</f>
      </c>
      <c r="V1015" s="30">
        <f>PM_Angle!$J$13+PM_Angle!$K$13*$C1015+PM_Angle!$L$13*$B1015</f>
      </c>
      <c r="W1015" s="12">
        <f>IF(V1015&gt;0,IF(V1015&lt;=eco,alpha*fck*(1-(1-V1015/eco)^n),alpha*fck),0)</f>
      </c>
      <c r="X1015" s="30">
        <f>PM_Angle!$J$14+PM_Angle!$K$14*$C1015+PM_Angle!$L$14*$B1015</f>
      </c>
      <c r="Y1015" s="12">
        <f>IF(X1015&gt;0,IF(X1015&lt;=eco,alpha*fck*(1-(1-X1015/eco)^n),alpha*fck),0)</f>
      </c>
      <c r="Z1015" s="30">
        <f>PM_Angle!$J$15+PM_Angle!$K$15*$C1015+PM_Angle!$L$15*$B1015</f>
      </c>
      <c r="AA1015" s="12">
        <f>IF(Z1015&gt;0,IF(Z1015&lt;=eco,alpha*fck*(1-(1-Z1015/eco)^n),alpha*fck),0)</f>
      </c>
      <c r="AB1015" s="30">
        <f>PM_Angle!$J$16+PM_Angle!$K$16*$C1015+PM_Angle!$L$16*$B1015</f>
      </c>
      <c r="AC1015" s="12">
        <f>IF(AB1015&gt;0,IF(AB1015&lt;=eco,alpha*fck*(1-(1-AB1015/eco)^n),alpha*fck),0)</f>
      </c>
      <c r="AD1015" s="30">
        <f>PM_Angle!$J$17+PM_Angle!$K$17*$C1015+PM_Angle!$L$17*$B1015</f>
      </c>
      <c r="AE1015" s="12">
        <f>IF(AD1015&gt;0,IF(AD1015&lt;=eco,alpha*fck*(1-(1-AD1015/eco)^n),alpha*fck),0)</f>
      </c>
      <c r="AF1015" s="30">
        <f>PM_Angle!$J$18+PM_Angle!$K$18*$C1015+PM_Angle!$L$18*$B1015</f>
      </c>
      <c r="AG1015" s="12">
        <f>IF(AF1015&gt;0,IF(AF1015&lt;=eco,alpha*fck*(1-(1-AF1015/eco)^n),alpha*fck),0)</f>
      </c>
      <c r="AH1015" s="30">
        <f>PM_Angle!$J$19+PM_Angle!$K$19*$C1015+PM_Angle!$L$19*$B1015</f>
      </c>
      <c r="AI1015" s="12">
        <f>IF(AH1015&gt;0,IF(AH1015&lt;=eco,alpha*fck*(1-(1-AH1015/eco)^n),alpha*fck),0)</f>
      </c>
      <c r="AJ1015" s="30">
        <f>PM_Angle!$J$20+PM_Angle!$K$20*$C1015+PM_Angle!$L$20*$B1015</f>
      </c>
      <c r="AK1015" s="12">
        <f>IF(AJ1015&gt;0,IF(AJ1015&lt;=eco,alpha*fck*(1-(1-AJ1015/eco)^n),alpha*fck),0)</f>
      </c>
      <c r="AL1015" s="30">
        <f>PM_Angle!$J$21+PM_Angle!$K$21*$C1015+PM_Angle!$L$21*$B1015</f>
      </c>
      <c r="AM1015" s="12">
        <f>IF(AL1015&gt;0,IF(AL1015&lt;=eco,alpha*fck*(1-(1-AL1015/eco)^n),alpha*fck),0)</f>
      </c>
      <c r="AN1015" s="30">
        <f>PM_Angle!$J$22+PM_Angle!$K$22*$C1015+PM_Angle!$L$22*$B1015</f>
      </c>
      <c r="AO1015" s="12">
        <f>IF(AN1015&gt;0,IF(AN1015&lt;=eco,alpha*fck*(1-(1-AN1015/eco)^n),alpha*fck),0)</f>
      </c>
      <c r="AP1015" s="30">
        <f>PM_Angle!$J$23+PM_Angle!$K$23*$C1015+PM_Angle!$L$23*$B1015</f>
      </c>
      <c r="AQ1015" s="12">
        <f>IF(AP1015&gt;0,IF(AP1015&lt;=eco,alpha*fck*(1-(1-AP1015/eco)^n),alpha*fck),0)</f>
      </c>
      <c r="AR1015" s="30">
        <f>PM_Angle!$J$24+PM_Angle!$K$24*$C1015+PM_Angle!$L$24*$B1015</f>
      </c>
      <c r="AS1015" s="12">
        <f>IF(AR1015&gt;0,IF(AR1015&lt;=eco,alpha*fck*(1-(1-AR1015/eco)^n),alpha*fck),0)</f>
      </c>
      <c r="AT1015" s="30">
        <f>PM_Angle!$J$25+PM_Angle!$K$25*$C1015+PM_Angle!$L$25*$B1015</f>
      </c>
      <c r="AU1015" s="12">
        <f>IF(AT1015&gt;0,IF(AT1015&lt;=eco,alpha*fck*(1-(1-AT1015/eco)^n),alpha*fck),0)</f>
      </c>
    </row>
    <row r="1016" spans="1:47" x14ac:dyDescent="0.25">
      <c r="A1016">
        <f>Mesh!A1013</f>
      </c>
      <c r="B1016" s="12">
        <f>Mesh!B1013</f>
      </c>
      <c r="C1016" s="12">
        <f>Mesh!C1013</f>
      </c>
      <c r="D1016" s="12">
        <f>Mesh!D1013</f>
      </c>
      <c r="E1016" s="30">
        <f>INDEX(St_e0,Det+1)+INDEX(St_kx,Det+1)*C1016+INDEX(St_ky,Det+1)*B1016</f>
      </c>
      <c r="F1016" s="12">
        <f>IF(E1016&gt;0,IF(E1016&lt;=eco,alpha*fck*(1-(1-E1016/eco)^n),alpha*fck),0)</f>
      </c>
      <c r="G1016" s="11">
        <f>F1016*D1016</f>
      </c>
      <c r="H1016" s="11">
        <f>G1016*C1016</f>
      </c>
      <c r="I1016" s="11">
        <f>G1016*B1016</f>
      </c>
      <c r="J1016" s="30">
        <f>PM_Angle!$J$7+PM_Angle!$K$7*$C1016+PM_Angle!$L$7*$B1016</f>
      </c>
      <c r="K1016" s="12">
        <f>IF(J1016&gt;0,IF(J1016&lt;=eco,alpha*fck*(1-(1-J1016/eco)^n),alpha*fck),0)</f>
      </c>
      <c r="L1016" s="30">
        <f>PM_Angle!$J$8+PM_Angle!$K$8*$C1016+PM_Angle!$L$8*$B1016</f>
      </c>
      <c r="M1016" s="12">
        <f>IF(L1016&gt;0,IF(L1016&lt;=eco,alpha*fck*(1-(1-L1016/eco)^n),alpha*fck),0)</f>
      </c>
      <c r="N1016" s="30">
        <f>PM_Angle!$J$9+PM_Angle!$K$9*$C1016+PM_Angle!$L$9*$B1016</f>
      </c>
      <c r="O1016" s="12">
        <f>IF(N1016&gt;0,IF(N1016&lt;=eco,alpha*fck*(1-(1-N1016/eco)^n),alpha*fck),0)</f>
      </c>
      <c r="P1016" s="30">
        <f>PM_Angle!$J$10+PM_Angle!$K$10*$C1016+PM_Angle!$L$10*$B1016</f>
      </c>
      <c r="Q1016" s="12">
        <f>IF(P1016&gt;0,IF(P1016&lt;=eco,alpha*fck*(1-(1-P1016/eco)^n),alpha*fck),0)</f>
      </c>
      <c r="R1016" s="30">
        <f>PM_Angle!$J$11+PM_Angle!$K$11*$C1016+PM_Angle!$L$11*$B1016</f>
      </c>
      <c r="S1016" s="12">
        <f>IF(R1016&gt;0,IF(R1016&lt;=eco,alpha*fck*(1-(1-R1016/eco)^n),alpha*fck),0)</f>
      </c>
      <c r="T1016" s="30">
        <f>PM_Angle!$J$12+PM_Angle!$K$12*$C1016+PM_Angle!$L$12*$B1016</f>
      </c>
      <c r="U1016" s="12">
        <f>IF(T1016&gt;0,IF(T1016&lt;=eco,alpha*fck*(1-(1-T1016/eco)^n),alpha*fck),0)</f>
      </c>
      <c r="V1016" s="30">
        <f>PM_Angle!$J$13+PM_Angle!$K$13*$C1016+PM_Angle!$L$13*$B1016</f>
      </c>
      <c r="W1016" s="12">
        <f>IF(V1016&gt;0,IF(V1016&lt;=eco,alpha*fck*(1-(1-V1016/eco)^n),alpha*fck),0)</f>
      </c>
      <c r="X1016" s="30">
        <f>PM_Angle!$J$14+PM_Angle!$K$14*$C1016+PM_Angle!$L$14*$B1016</f>
      </c>
      <c r="Y1016" s="12">
        <f>IF(X1016&gt;0,IF(X1016&lt;=eco,alpha*fck*(1-(1-X1016/eco)^n),alpha*fck),0)</f>
      </c>
      <c r="Z1016" s="30">
        <f>PM_Angle!$J$15+PM_Angle!$K$15*$C1016+PM_Angle!$L$15*$B1016</f>
      </c>
      <c r="AA1016" s="12">
        <f>IF(Z1016&gt;0,IF(Z1016&lt;=eco,alpha*fck*(1-(1-Z1016/eco)^n),alpha*fck),0)</f>
      </c>
      <c r="AB1016" s="30">
        <f>PM_Angle!$J$16+PM_Angle!$K$16*$C1016+PM_Angle!$L$16*$B1016</f>
      </c>
      <c r="AC1016" s="12">
        <f>IF(AB1016&gt;0,IF(AB1016&lt;=eco,alpha*fck*(1-(1-AB1016/eco)^n),alpha*fck),0)</f>
      </c>
      <c r="AD1016" s="30">
        <f>PM_Angle!$J$17+PM_Angle!$K$17*$C1016+PM_Angle!$L$17*$B1016</f>
      </c>
      <c r="AE1016" s="12">
        <f>IF(AD1016&gt;0,IF(AD1016&lt;=eco,alpha*fck*(1-(1-AD1016/eco)^n),alpha*fck),0)</f>
      </c>
      <c r="AF1016" s="30">
        <f>PM_Angle!$J$18+PM_Angle!$K$18*$C1016+PM_Angle!$L$18*$B1016</f>
      </c>
      <c r="AG1016" s="12">
        <f>IF(AF1016&gt;0,IF(AF1016&lt;=eco,alpha*fck*(1-(1-AF1016/eco)^n),alpha*fck),0)</f>
      </c>
      <c r="AH1016" s="30">
        <f>PM_Angle!$J$19+PM_Angle!$K$19*$C1016+PM_Angle!$L$19*$B1016</f>
      </c>
      <c r="AI1016" s="12">
        <f>IF(AH1016&gt;0,IF(AH1016&lt;=eco,alpha*fck*(1-(1-AH1016/eco)^n),alpha*fck),0)</f>
      </c>
      <c r="AJ1016" s="30">
        <f>PM_Angle!$J$20+PM_Angle!$K$20*$C1016+PM_Angle!$L$20*$B1016</f>
      </c>
      <c r="AK1016" s="12">
        <f>IF(AJ1016&gt;0,IF(AJ1016&lt;=eco,alpha*fck*(1-(1-AJ1016/eco)^n),alpha*fck),0)</f>
      </c>
      <c r="AL1016" s="30">
        <f>PM_Angle!$J$21+PM_Angle!$K$21*$C1016+PM_Angle!$L$21*$B1016</f>
      </c>
      <c r="AM1016" s="12">
        <f>IF(AL1016&gt;0,IF(AL1016&lt;=eco,alpha*fck*(1-(1-AL1016/eco)^n),alpha*fck),0)</f>
      </c>
      <c r="AN1016" s="30">
        <f>PM_Angle!$J$22+PM_Angle!$K$22*$C1016+PM_Angle!$L$22*$B1016</f>
      </c>
      <c r="AO1016" s="12">
        <f>IF(AN1016&gt;0,IF(AN1016&lt;=eco,alpha*fck*(1-(1-AN1016/eco)^n),alpha*fck),0)</f>
      </c>
      <c r="AP1016" s="30">
        <f>PM_Angle!$J$23+PM_Angle!$K$23*$C1016+PM_Angle!$L$23*$B1016</f>
      </c>
      <c r="AQ1016" s="12">
        <f>IF(AP1016&gt;0,IF(AP1016&lt;=eco,alpha*fck*(1-(1-AP1016/eco)^n),alpha*fck),0)</f>
      </c>
      <c r="AR1016" s="30">
        <f>PM_Angle!$J$24+PM_Angle!$K$24*$C1016+PM_Angle!$L$24*$B1016</f>
      </c>
      <c r="AS1016" s="12">
        <f>IF(AR1016&gt;0,IF(AR1016&lt;=eco,alpha*fck*(1-(1-AR1016/eco)^n),alpha*fck),0)</f>
      </c>
      <c r="AT1016" s="30">
        <f>PM_Angle!$J$25+PM_Angle!$K$25*$C1016+PM_Angle!$L$25*$B1016</f>
      </c>
      <c r="AU1016" s="12">
        <f>IF(AT1016&gt;0,IF(AT1016&lt;=eco,alpha*fck*(1-(1-AT1016/eco)^n),alpha*fck),0)</f>
      </c>
    </row>
    <row r="1017" spans="1:47" x14ac:dyDescent="0.25">
      <c r="A1017">
        <f>Mesh!A1014</f>
      </c>
      <c r="B1017" s="12">
        <f>Mesh!B1014</f>
      </c>
      <c r="C1017" s="12">
        <f>Mesh!C1014</f>
      </c>
      <c r="D1017" s="12">
        <f>Mesh!D1014</f>
      </c>
      <c r="E1017" s="30">
        <f>INDEX(St_e0,Det+1)+INDEX(St_kx,Det+1)*C1017+INDEX(St_ky,Det+1)*B1017</f>
      </c>
      <c r="F1017" s="12">
        <f>IF(E1017&gt;0,IF(E1017&lt;=eco,alpha*fck*(1-(1-E1017/eco)^n),alpha*fck),0)</f>
      </c>
      <c r="G1017" s="11">
        <f>F1017*D1017</f>
      </c>
      <c r="H1017" s="11">
        <f>G1017*C1017</f>
      </c>
      <c r="I1017" s="11">
        <f>G1017*B1017</f>
      </c>
      <c r="J1017" s="30">
        <f>PM_Angle!$J$7+PM_Angle!$K$7*$C1017+PM_Angle!$L$7*$B1017</f>
      </c>
      <c r="K1017" s="12">
        <f>IF(J1017&gt;0,IF(J1017&lt;=eco,alpha*fck*(1-(1-J1017/eco)^n),alpha*fck),0)</f>
      </c>
      <c r="L1017" s="30">
        <f>PM_Angle!$J$8+PM_Angle!$K$8*$C1017+PM_Angle!$L$8*$B1017</f>
      </c>
      <c r="M1017" s="12">
        <f>IF(L1017&gt;0,IF(L1017&lt;=eco,alpha*fck*(1-(1-L1017/eco)^n),alpha*fck),0)</f>
      </c>
      <c r="N1017" s="30">
        <f>PM_Angle!$J$9+PM_Angle!$K$9*$C1017+PM_Angle!$L$9*$B1017</f>
      </c>
      <c r="O1017" s="12">
        <f>IF(N1017&gt;0,IF(N1017&lt;=eco,alpha*fck*(1-(1-N1017/eco)^n),alpha*fck),0)</f>
      </c>
      <c r="P1017" s="30">
        <f>PM_Angle!$J$10+PM_Angle!$K$10*$C1017+PM_Angle!$L$10*$B1017</f>
      </c>
      <c r="Q1017" s="12">
        <f>IF(P1017&gt;0,IF(P1017&lt;=eco,alpha*fck*(1-(1-P1017/eco)^n),alpha*fck),0)</f>
      </c>
      <c r="R1017" s="30">
        <f>PM_Angle!$J$11+PM_Angle!$K$11*$C1017+PM_Angle!$L$11*$B1017</f>
      </c>
      <c r="S1017" s="12">
        <f>IF(R1017&gt;0,IF(R1017&lt;=eco,alpha*fck*(1-(1-R1017/eco)^n),alpha*fck),0)</f>
      </c>
      <c r="T1017" s="30">
        <f>PM_Angle!$J$12+PM_Angle!$K$12*$C1017+PM_Angle!$L$12*$B1017</f>
      </c>
      <c r="U1017" s="12">
        <f>IF(T1017&gt;0,IF(T1017&lt;=eco,alpha*fck*(1-(1-T1017/eco)^n),alpha*fck),0)</f>
      </c>
      <c r="V1017" s="30">
        <f>PM_Angle!$J$13+PM_Angle!$K$13*$C1017+PM_Angle!$L$13*$B1017</f>
      </c>
      <c r="W1017" s="12">
        <f>IF(V1017&gt;0,IF(V1017&lt;=eco,alpha*fck*(1-(1-V1017/eco)^n),alpha*fck),0)</f>
      </c>
      <c r="X1017" s="30">
        <f>PM_Angle!$J$14+PM_Angle!$K$14*$C1017+PM_Angle!$L$14*$B1017</f>
      </c>
      <c r="Y1017" s="12">
        <f>IF(X1017&gt;0,IF(X1017&lt;=eco,alpha*fck*(1-(1-X1017/eco)^n),alpha*fck),0)</f>
      </c>
      <c r="Z1017" s="30">
        <f>PM_Angle!$J$15+PM_Angle!$K$15*$C1017+PM_Angle!$L$15*$B1017</f>
      </c>
      <c r="AA1017" s="12">
        <f>IF(Z1017&gt;0,IF(Z1017&lt;=eco,alpha*fck*(1-(1-Z1017/eco)^n),alpha*fck),0)</f>
      </c>
      <c r="AB1017" s="30">
        <f>PM_Angle!$J$16+PM_Angle!$K$16*$C1017+PM_Angle!$L$16*$B1017</f>
      </c>
      <c r="AC1017" s="12">
        <f>IF(AB1017&gt;0,IF(AB1017&lt;=eco,alpha*fck*(1-(1-AB1017/eco)^n),alpha*fck),0)</f>
      </c>
      <c r="AD1017" s="30">
        <f>PM_Angle!$J$17+PM_Angle!$K$17*$C1017+PM_Angle!$L$17*$B1017</f>
      </c>
      <c r="AE1017" s="12">
        <f>IF(AD1017&gt;0,IF(AD1017&lt;=eco,alpha*fck*(1-(1-AD1017/eco)^n),alpha*fck),0)</f>
      </c>
      <c r="AF1017" s="30">
        <f>PM_Angle!$J$18+PM_Angle!$K$18*$C1017+PM_Angle!$L$18*$B1017</f>
      </c>
      <c r="AG1017" s="12">
        <f>IF(AF1017&gt;0,IF(AF1017&lt;=eco,alpha*fck*(1-(1-AF1017/eco)^n),alpha*fck),0)</f>
      </c>
      <c r="AH1017" s="30">
        <f>PM_Angle!$J$19+PM_Angle!$K$19*$C1017+PM_Angle!$L$19*$B1017</f>
      </c>
      <c r="AI1017" s="12">
        <f>IF(AH1017&gt;0,IF(AH1017&lt;=eco,alpha*fck*(1-(1-AH1017/eco)^n),alpha*fck),0)</f>
      </c>
      <c r="AJ1017" s="30">
        <f>PM_Angle!$J$20+PM_Angle!$K$20*$C1017+PM_Angle!$L$20*$B1017</f>
      </c>
      <c r="AK1017" s="12">
        <f>IF(AJ1017&gt;0,IF(AJ1017&lt;=eco,alpha*fck*(1-(1-AJ1017/eco)^n),alpha*fck),0)</f>
      </c>
      <c r="AL1017" s="30">
        <f>PM_Angle!$J$21+PM_Angle!$K$21*$C1017+PM_Angle!$L$21*$B1017</f>
      </c>
      <c r="AM1017" s="12">
        <f>IF(AL1017&gt;0,IF(AL1017&lt;=eco,alpha*fck*(1-(1-AL1017/eco)^n),alpha*fck),0)</f>
      </c>
      <c r="AN1017" s="30">
        <f>PM_Angle!$J$22+PM_Angle!$K$22*$C1017+PM_Angle!$L$22*$B1017</f>
      </c>
      <c r="AO1017" s="12">
        <f>IF(AN1017&gt;0,IF(AN1017&lt;=eco,alpha*fck*(1-(1-AN1017/eco)^n),alpha*fck),0)</f>
      </c>
      <c r="AP1017" s="30">
        <f>PM_Angle!$J$23+PM_Angle!$K$23*$C1017+PM_Angle!$L$23*$B1017</f>
      </c>
      <c r="AQ1017" s="12">
        <f>IF(AP1017&gt;0,IF(AP1017&lt;=eco,alpha*fck*(1-(1-AP1017/eco)^n),alpha*fck),0)</f>
      </c>
      <c r="AR1017" s="30">
        <f>PM_Angle!$J$24+PM_Angle!$K$24*$C1017+PM_Angle!$L$24*$B1017</f>
      </c>
      <c r="AS1017" s="12">
        <f>IF(AR1017&gt;0,IF(AR1017&lt;=eco,alpha*fck*(1-(1-AR1017/eco)^n),alpha*fck),0)</f>
      </c>
      <c r="AT1017" s="30">
        <f>PM_Angle!$J$25+PM_Angle!$K$25*$C1017+PM_Angle!$L$25*$B1017</f>
      </c>
      <c r="AU1017" s="12">
        <f>IF(AT1017&gt;0,IF(AT1017&lt;=eco,alpha*fck*(1-(1-AT1017/eco)^n),alpha*fck),0)</f>
      </c>
    </row>
    <row r="1018" spans="1:47" x14ac:dyDescent="0.25">
      <c r="A1018">
        <f>Mesh!A1015</f>
      </c>
      <c r="B1018" s="12">
        <f>Mesh!B1015</f>
      </c>
      <c r="C1018" s="12">
        <f>Mesh!C1015</f>
      </c>
      <c r="D1018" s="12">
        <f>Mesh!D1015</f>
      </c>
      <c r="E1018" s="30">
        <f>INDEX(St_e0,Det+1)+INDEX(St_kx,Det+1)*C1018+INDEX(St_ky,Det+1)*B1018</f>
      </c>
      <c r="F1018" s="12">
        <f>IF(E1018&gt;0,IF(E1018&lt;=eco,alpha*fck*(1-(1-E1018/eco)^n),alpha*fck),0)</f>
      </c>
      <c r="G1018" s="11">
        <f>F1018*D1018</f>
      </c>
      <c r="H1018" s="11">
        <f>G1018*C1018</f>
      </c>
      <c r="I1018" s="11">
        <f>G1018*B1018</f>
      </c>
      <c r="J1018" s="30">
        <f>PM_Angle!$J$7+PM_Angle!$K$7*$C1018+PM_Angle!$L$7*$B1018</f>
      </c>
      <c r="K1018" s="12">
        <f>IF(J1018&gt;0,IF(J1018&lt;=eco,alpha*fck*(1-(1-J1018/eco)^n),alpha*fck),0)</f>
      </c>
      <c r="L1018" s="30">
        <f>PM_Angle!$J$8+PM_Angle!$K$8*$C1018+PM_Angle!$L$8*$B1018</f>
      </c>
      <c r="M1018" s="12">
        <f>IF(L1018&gt;0,IF(L1018&lt;=eco,alpha*fck*(1-(1-L1018/eco)^n),alpha*fck),0)</f>
      </c>
      <c r="N1018" s="30">
        <f>PM_Angle!$J$9+PM_Angle!$K$9*$C1018+PM_Angle!$L$9*$B1018</f>
      </c>
      <c r="O1018" s="12">
        <f>IF(N1018&gt;0,IF(N1018&lt;=eco,alpha*fck*(1-(1-N1018/eco)^n),alpha*fck),0)</f>
      </c>
      <c r="P1018" s="30">
        <f>PM_Angle!$J$10+PM_Angle!$K$10*$C1018+PM_Angle!$L$10*$B1018</f>
      </c>
      <c r="Q1018" s="12">
        <f>IF(P1018&gt;0,IF(P1018&lt;=eco,alpha*fck*(1-(1-P1018/eco)^n),alpha*fck),0)</f>
      </c>
      <c r="R1018" s="30">
        <f>PM_Angle!$J$11+PM_Angle!$K$11*$C1018+PM_Angle!$L$11*$B1018</f>
      </c>
      <c r="S1018" s="12">
        <f>IF(R1018&gt;0,IF(R1018&lt;=eco,alpha*fck*(1-(1-R1018/eco)^n),alpha*fck),0)</f>
      </c>
      <c r="T1018" s="30">
        <f>PM_Angle!$J$12+PM_Angle!$K$12*$C1018+PM_Angle!$L$12*$B1018</f>
      </c>
      <c r="U1018" s="12">
        <f>IF(T1018&gt;0,IF(T1018&lt;=eco,alpha*fck*(1-(1-T1018/eco)^n),alpha*fck),0)</f>
      </c>
      <c r="V1018" s="30">
        <f>PM_Angle!$J$13+PM_Angle!$K$13*$C1018+PM_Angle!$L$13*$B1018</f>
      </c>
      <c r="W1018" s="12">
        <f>IF(V1018&gt;0,IF(V1018&lt;=eco,alpha*fck*(1-(1-V1018/eco)^n),alpha*fck),0)</f>
      </c>
      <c r="X1018" s="30">
        <f>PM_Angle!$J$14+PM_Angle!$K$14*$C1018+PM_Angle!$L$14*$B1018</f>
      </c>
      <c r="Y1018" s="12">
        <f>IF(X1018&gt;0,IF(X1018&lt;=eco,alpha*fck*(1-(1-X1018/eco)^n),alpha*fck),0)</f>
      </c>
      <c r="Z1018" s="30">
        <f>PM_Angle!$J$15+PM_Angle!$K$15*$C1018+PM_Angle!$L$15*$B1018</f>
      </c>
      <c r="AA1018" s="12">
        <f>IF(Z1018&gt;0,IF(Z1018&lt;=eco,alpha*fck*(1-(1-Z1018/eco)^n),alpha*fck),0)</f>
      </c>
      <c r="AB1018" s="30">
        <f>PM_Angle!$J$16+PM_Angle!$K$16*$C1018+PM_Angle!$L$16*$B1018</f>
      </c>
      <c r="AC1018" s="12">
        <f>IF(AB1018&gt;0,IF(AB1018&lt;=eco,alpha*fck*(1-(1-AB1018/eco)^n),alpha*fck),0)</f>
      </c>
      <c r="AD1018" s="30">
        <f>PM_Angle!$J$17+PM_Angle!$K$17*$C1018+PM_Angle!$L$17*$B1018</f>
      </c>
      <c r="AE1018" s="12">
        <f>IF(AD1018&gt;0,IF(AD1018&lt;=eco,alpha*fck*(1-(1-AD1018/eco)^n),alpha*fck),0)</f>
      </c>
      <c r="AF1018" s="30">
        <f>PM_Angle!$J$18+PM_Angle!$K$18*$C1018+PM_Angle!$L$18*$B1018</f>
      </c>
      <c r="AG1018" s="12">
        <f>IF(AF1018&gt;0,IF(AF1018&lt;=eco,alpha*fck*(1-(1-AF1018/eco)^n),alpha*fck),0)</f>
      </c>
      <c r="AH1018" s="30">
        <f>PM_Angle!$J$19+PM_Angle!$K$19*$C1018+PM_Angle!$L$19*$B1018</f>
      </c>
      <c r="AI1018" s="12">
        <f>IF(AH1018&gt;0,IF(AH1018&lt;=eco,alpha*fck*(1-(1-AH1018/eco)^n),alpha*fck),0)</f>
      </c>
      <c r="AJ1018" s="30">
        <f>PM_Angle!$J$20+PM_Angle!$K$20*$C1018+PM_Angle!$L$20*$B1018</f>
      </c>
      <c r="AK1018" s="12">
        <f>IF(AJ1018&gt;0,IF(AJ1018&lt;=eco,alpha*fck*(1-(1-AJ1018/eco)^n),alpha*fck),0)</f>
      </c>
      <c r="AL1018" s="30">
        <f>PM_Angle!$J$21+PM_Angle!$K$21*$C1018+PM_Angle!$L$21*$B1018</f>
      </c>
      <c r="AM1018" s="12">
        <f>IF(AL1018&gt;0,IF(AL1018&lt;=eco,alpha*fck*(1-(1-AL1018/eco)^n),alpha*fck),0)</f>
      </c>
      <c r="AN1018" s="30">
        <f>PM_Angle!$J$22+PM_Angle!$K$22*$C1018+PM_Angle!$L$22*$B1018</f>
      </c>
      <c r="AO1018" s="12">
        <f>IF(AN1018&gt;0,IF(AN1018&lt;=eco,alpha*fck*(1-(1-AN1018/eco)^n),alpha*fck),0)</f>
      </c>
      <c r="AP1018" s="30">
        <f>PM_Angle!$J$23+PM_Angle!$K$23*$C1018+PM_Angle!$L$23*$B1018</f>
      </c>
      <c r="AQ1018" s="12">
        <f>IF(AP1018&gt;0,IF(AP1018&lt;=eco,alpha*fck*(1-(1-AP1018/eco)^n),alpha*fck),0)</f>
      </c>
      <c r="AR1018" s="30">
        <f>PM_Angle!$J$24+PM_Angle!$K$24*$C1018+PM_Angle!$L$24*$B1018</f>
      </c>
      <c r="AS1018" s="12">
        <f>IF(AR1018&gt;0,IF(AR1018&lt;=eco,alpha*fck*(1-(1-AR1018/eco)^n),alpha*fck),0)</f>
      </c>
      <c r="AT1018" s="30">
        <f>PM_Angle!$J$25+PM_Angle!$K$25*$C1018+PM_Angle!$L$25*$B1018</f>
      </c>
      <c r="AU1018" s="12">
        <f>IF(AT1018&gt;0,IF(AT1018&lt;=eco,alpha*fck*(1-(1-AT1018/eco)^n),alpha*fck),0)</f>
      </c>
    </row>
    <row r="1019" spans="1:47" x14ac:dyDescent="0.25">
      <c r="A1019">
        <f>Mesh!A1016</f>
      </c>
      <c r="B1019" s="12">
        <f>Mesh!B1016</f>
      </c>
      <c r="C1019" s="12">
        <f>Mesh!C1016</f>
      </c>
      <c r="D1019" s="12">
        <f>Mesh!D1016</f>
      </c>
      <c r="E1019" s="30">
        <f>INDEX(St_e0,Det+1)+INDEX(St_kx,Det+1)*C1019+INDEX(St_ky,Det+1)*B1019</f>
      </c>
      <c r="F1019" s="12">
        <f>IF(E1019&gt;0,IF(E1019&lt;=eco,alpha*fck*(1-(1-E1019/eco)^n),alpha*fck),0)</f>
      </c>
      <c r="G1019" s="11">
        <f>F1019*D1019</f>
      </c>
      <c r="H1019" s="11">
        <f>G1019*C1019</f>
      </c>
      <c r="I1019" s="11">
        <f>G1019*B1019</f>
      </c>
      <c r="J1019" s="30">
        <f>PM_Angle!$J$7+PM_Angle!$K$7*$C1019+PM_Angle!$L$7*$B1019</f>
      </c>
      <c r="K1019" s="12">
        <f>IF(J1019&gt;0,IF(J1019&lt;=eco,alpha*fck*(1-(1-J1019/eco)^n),alpha*fck),0)</f>
      </c>
      <c r="L1019" s="30">
        <f>PM_Angle!$J$8+PM_Angle!$K$8*$C1019+PM_Angle!$L$8*$B1019</f>
      </c>
      <c r="M1019" s="12">
        <f>IF(L1019&gt;0,IF(L1019&lt;=eco,alpha*fck*(1-(1-L1019/eco)^n),alpha*fck),0)</f>
      </c>
      <c r="N1019" s="30">
        <f>PM_Angle!$J$9+PM_Angle!$K$9*$C1019+PM_Angle!$L$9*$B1019</f>
      </c>
      <c r="O1019" s="12">
        <f>IF(N1019&gt;0,IF(N1019&lt;=eco,alpha*fck*(1-(1-N1019/eco)^n),alpha*fck),0)</f>
      </c>
      <c r="P1019" s="30">
        <f>PM_Angle!$J$10+PM_Angle!$K$10*$C1019+PM_Angle!$L$10*$B1019</f>
      </c>
      <c r="Q1019" s="12">
        <f>IF(P1019&gt;0,IF(P1019&lt;=eco,alpha*fck*(1-(1-P1019/eco)^n),alpha*fck),0)</f>
      </c>
      <c r="R1019" s="30">
        <f>PM_Angle!$J$11+PM_Angle!$K$11*$C1019+PM_Angle!$L$11*$B1019</f>
      </c>
      <c r="S1019" s="12">
        <f>IF(R1019&gt;0,IF(R1019&lt;=eco,alpha*fck*(1-(1-R1019/eco)^n),alpha*fck),0)</f>
      </c>
      <c r="T1019" s="30">
        <f>PM_Angle!$J$12+PM_Angle!$K$12*$C1019+PM_Angle!$L$12*$B1019</f>
      </c>
      <c r="U1019" s="12">
        <f>IF(T1019&gt;0,IF(T1019&lt;=eco,alpha*fck*(1-(1-T1019/eco)^n),alpha*fck),0)</f>
      </c>
      <c r="V1019" s="30">
        <f>PM_Angle!$J$13+PM_Angle!$K$13*$C1019+PM_Angle!$L$13*$B1019</f>
      </c>
      <c r="W1019" s="12">
        <f>IF(V1019&gt;0,IF(V1019&lt;=eco,alpha*fck*(1-(1-V1019/eco)^n),alpha*fck),0)</f>
      </c>
      <c r="X1019" s="30">
        <f>PM_Angle!$J$14+PM_Angle!$K$14*$C1019+PM_Angle!$L$14*$B1019</f>
      </c>
      <c r="Y1019" s="12">
        <f>IF(X1019&gt;0,IF(X1019&lt;=eco,alpha*fck*(1-(1-X1019/eco)^n),alpha*fck),0)</f>
      </c>
      <c r="Z1019" s="30">
        <f>PM_Angle!$J$15+PM_Angle!$K$15*$C1019+PM_Angle!$L$15*$B1019</f>
      </c>
      <c r="AA1019" s="12">
        <f>IF(Z1019&gt;0,IF(Z1019&lt;=eco,alpha*fck*(1-(1-Z1019/eco)^n),alpha*fck),0)</f>
      </c>
      <c r="AB1019" s="30">
        <f>PM_Angle!$J$16+PM_Angle!$K$16*$C1019+PM_Angle!$L$16*$B1019</f>
      </c>
      <c r="AC1019" s="12">
        <f>IF(AB1019&gt;0,IF(AB1019&lt;=eco,alpha*fck*(1-(1-AB1019/eco)^n),alpha*fck),0)</f>
      </c>
      <c r="AD1019" s="30">
        <f>PM_Angle!$J$17+PM_Angle!$K$17*$C1019+PM_Angle!$L$17*$B1019</f>
      </c>
      <c r="AE1019" s="12">
        <f>IF(AD1019&gt;0,IF(AD1019&lt;=eco,alpha*fck*(1-(1-AD1019/eco)^n),alpha*fck),0)</f>
      </c>
      <c r="AF1019" s="30">
        <f>PM_Angle!$J$18+PM_Angle!$K$18*$C1019+PM_Angle!$L$18*$B1019</f>
      </c>
      <c r="AG1019" s="12">
        <f>IF(AF1019&gt;0,IF(AF1019&lt;=eco,alpha*fck*(1-(1-AF1019/eco)^n),alpha*fck),0)</f>
      </c>
      <c r="AH1019" s="30">
        <f>PM_Angle!$J$19+PM_Angle!$K$19*$C1019+PM_Angle!$L$19*$B1019</f>
      </c>
      <c r="AI1019" s="12">
        <f>IF(AH1019&gt;0,IF(AH1019&lt;=eco,alpha*fck*(1-(1-AH1019/eco)^n),alpha*fck),0)</f>
      </c>
      <c r="AJ1019" s="30">
        <f>PM_Angle!$J$20+PM_Angle!$K$20*$C1019+PM_Angle!$L$20*$B1019</f>
      </c>
      <c r="AK1019" s="12">
        <f>IF(AJ1019&gt;0,IF(AJ1019&lt;=eco,alpha*fck*(1-(1-AJ1019/eco)^n),alpha*fck),0)</f>
      </c>
      <c r="AL1019" s="30">
        <f>PM_Angle!$J$21+PM_Angle!$K$21*$C1019+PM_Angle!$L$21*$B1019</f>
      </c>
      <c r="AM1019" s="12">
        <f>IF(AL1019&gt;0,IF(AL1019&lt;=eco,alpha*fck*(1-(1-AL1019/eco)^n),alpha*fck),0)</f>
      </c>
      <c r="AN1019" s="30">
        <f>PM_Angle!$J$22+PM_Angle!$K$22*$C1019+PM_Angle!$L$22*$B1019</f>
      </c>
      <c r="AO1019" s="12">
        <f>IF(AN1019&gt;0,IF(AN1019&lt;=eco,alpha*fck*(1-(1-AN1019/eco)^n),alpha*fck),0)</f>
      </c>
      <c r="AP1019" s="30">
        <f>PM_Angle!$J$23+PM_Angle!$K$23*$C1019+PM_Angle!$L$23*$B1019</f>
      </c>
      <c r="AQ1019" s="12">
        <f>IF(AP1019&gt;0,IF(AP1019&lt;=eco,alpha*fck*(1-(1-AP1019/eco)^n),alpha*fck),0)</f>
      </c>
      <c r="AR1019" s="30">
        <f>PM_Angle!$J$24+PM_Angle!$K$24*$C1019+PM_Angle!$L$24*$B1019</f>
      </c>
      <c r="AS1019" s="12">
        <f>IF(AR1019&gt;0,IF(AR1019&lt;=eco,alpha*fck*(1-(1-AR1019/eco)^n),alpha*fck),0)</f>
      </c>
      <c r="AT1019" s="30">
        <f>PM_Angle!$J$25+PM_Angle!$K$25*$C1019+PM_Angle!$L$25*$B1019</f>
      </c>
      <c r="AU1019" s="12">
        <f>IF(AT1019&gt;0,IF(AT1019&lt;=eco,alpha*fck*(1-(1-AT1019/eco)^n),alpha*fck),0)</f>
      </c>
    </row>
    <row r="1020" spans="1:47" x14ac:dyDescent="0.25">
      <c r="A1020">
        <f>Mesh!A1017</f>
      </c>
      <c r="B1020" s="12">
        <f>Mesh!B1017</f>
      </c>
      <c r="C1020" s="12">
        <f>Mesh!C1017</f>
      </c>
      <c r="D1020" s="12">
        <f>Mesh!D1017</f>
      </c>
      <c r="E1020" s="30">
        <f>INDEX(St_e0,Det+1)+INDEX(St_kx,Det+1)*C1020+INDEX(St_ky,Det+1)*B1020</f>
      </c>
      <c r="F1020" s="12">
        <f>IF(E1020&gt;0,IF(E1020&lt;=eco,alpha*fck*(1-(1-E1020/eco)^n),alpha*fck),0)</f>
      </c>
      <c r="G1020" s="11">
        <f>F1020*D1020</f>
      </c>
      <c r="H1020" s="11">
        <f>G1020*C1020</f>
      </c>
      <c r="I1020" s="11">
        <f>G1020*B1020</f>
      </c>
      <c r="J1020" s="30">
        <f>PM_Angle!$J$7+PM_Angle!$K$7*$C1020+PM_Angle!$L$7*$B1020</f>
      </c>
      <c r="K1020" s="12">
        <f>IF(J1020&gt;0,IF(J1020&lt;=eco,alpha*fck*(1-(1-J1020/eco)^n),alpha*fck),0)</f>
      </c>
      <c r="L1020" s="30">
        <f>PM_Angle!$J$8+PM_Angle!$K$8*$C1020+PM_Angle!$L$8*$B1020</f>
      </c>
      <c r="M1020" s="12">
        <f>IF(L1020&gt;0,IF(L1020&lt;=eco,alpha*fck*(1-(1-L1020/eco)^n),alpha*fck),0)</f>
      </c>
      <c r="N1020" s="30">
        <f>PM_Angle!$J$9+PM_Angle!$K$9*$C1020+PM_Angle!$L$9*$B1020</f>
      </c>
      <c r="O1020" s="12">
        <f>IF(N1020&gt;0,IF(N1020&lt;=eco,alpha*fck*(1-(1-N1020/eco)^n),alpha*fck),0)</f>
      </c>
      <c r="P1020" s="30">
        <f>PM_Angle!$J$10+PM_Angle!$K$10*$C1020+PM_Angle!$L$10*$B1020</f>
      </c>
      <c r="Q1020" s="12">
        <f>IF(P1020&gt;0,IF(P1020&lt;=eco,alpha*fck*(1-(1-P1020/eco)^n),alpha*fck),0)</f>
      </c>
      <c r="R1020" s="30">
        <f>PM_Angle!$J$11+PM_Angle!$K$11*$C1020+PM_Angle!$L$11*$B1020</f>
      </c>
      <c r="S1020" s="12">
        <f>IF(R1020&gt;0,IF(R1020&lt;=eco,alpha*fck*(1-(1-R1020/eco)^n),alpha*fck),0)</f>
      </c>
      <c r="T1020" s="30">
        <f>PM_Angle!$J$12+PM_Angle!$K$12*$C1020+PM_Angle!$L$12*$B1020</f>
      </c>
      <c r="U1020" s="12">
        <f>IF(T1020&gt;0,IF(T1020&lt;=eco,alpha*fck*(1-(1-T1020/eco)^n),alpha*fck),0)</f>
      </c>
      <c r="V1020" s="30">
        <f>PM_Angle!$J$13+PM_Angle!$K$13*$C1020+PM_Angle!$L$13*$B1020</f>
      </c>
      <c r="W1020" s="12">
        <f>IF(V1020&gt;0,IF(V1020&lt;=eco,alpha*fck*(1-(1-V1020/eco)^n),alpha*fck),0)</f>
      </c>
      <c r="X1020" s="30">
        <f>PM_Angle!$J$14+PM_Angle!$K$14*$C1020+PM_Angle!$L$14*$B1020</f>
      </c>
      <c r="Y1020" s="12">
        <f>IF(X1020&gt;0,IF(X1020&lt;=eco,alpha*fck*(1-(1-X1020/eco)^n),alpha*fck),0)</f>
      </c>
      <c r="Z1020" s="30">
        <f>PM_Angle!$J$15+PM_Angle!$K$15*$C1020+PM_Angle!$L$15*$B1020</f>
      </c>
      <c r="AA1020" s="12">
        <f>IF(Z1020&gt;0,IF(Z1020&lt;=eco,alpha*fck*(1-(1-Z1020/eco)^n),alpha*fck),0)</f>
      </c>
      <c r="AB1020" s="30">
        <f>PM_Angle!$J$16+PM_Angle!$K$16*$C1020+PM_Angle!$L$16*$B1020</f>
      </c>
      <c r="AC1020" s="12">
        <f>IF(AB1020&gt;0,IF(AB1020&lt;=eco,alpha*fck*(1-(1-AB1020/eco)^n),alpha*fck),0)</f>
      </c>
      <c r="AD1020" s="30">
        <f>PM_Angle!$J$17+PM_Angle!$K$17*$C1020+PM_Angle!$L$17*$B1020</f>
      </c>
      <c r="AE1020" s="12">
        <f>IF(AD1020&gt;0,IF(AD1020&lt;=eco,alpha*fck*(1-(1-AD1020/eco)^n),alpha*fck),0)</f>
      </c>
      <c r="AF1020" s="30">
        <f>PM_Angle!$J$18+PM_Angle!$K$18*$C1020+PM_Angle!$L$18*$B1020</f>
      </c>
      <c r="AG1020" s="12">
        <f>IF(AF1020&gt;0,IF(AF1020&lt;=eco,alpha*fck*(1-(1-AF1020/eco)^n),alpha*fck),0)</f>
      </c>
      <c r="AH1020" s="30">
        <f>PM_Angle!$J$19+PM_Angle!$K$19*$C1020+PM_Angle!$L$19*$B1020</f>
      </c>
      <c r="AI1020" s="12">
        <f>IF(AH1020&gt;0,IF(AH1020&lt;=eco,alpha*fck*(1-(1-AH1020/eco)^n),alpha*fck),0)</f>
      </c>
      <c r="AJ1020" s="30">
        <f>PM_Angle!$J$20+PM_Angle!$K$20*$C1020+PM_Angle!$L$20*$B1020</f>
      </c>
      <c r="AK1020" s="12">
        <f>IF(AJ1020&gt;0,IF(AJ1020&lt;=eco,alpha*fck*(1-(1-AJ1020/eco)^n),alpha*fck),0)</f>
      </c>
      <c r="AL1020" s="30">
        <f>PM_Angle!$J$21+PM_Angle!$K$21*$C1020+PM_Angle!$L$21*$B1020</f>
      </c>
      <c r="AM1020" s="12">
        <f>IF(AL1020&gt;0,IF(AL1020&lt;=eco,alpha*fck*(1-(1-AL1020/eco)^n),alpha*fck),0)</f>
      </c>
      <c r="AN1020" s="30">
        <f>PM_Angle!$J$22+PM_Angle!$K$22*$C1020+PM_Angle!$L$22*$B1020</f>
      </c>
      <c r="AO1020" s="12">
        <f>IF(AN1020&gt;0,IF(AN1020&lt;=eco,alpha*fck*(1-(1-AN1020/eco)^n),alpha*fck),0)</f>
      </c>
      <c r="AP1020" s="30">
        <f>PM_Angle!$J$23+PM_Angle!$K$23*$C1020+PM_Angle!$L$23*$B1020</f>
      </c>
      <c r="AQ1020" s="12">
        <f>IF(AP1020&gt;0,IF(AP1020&lt;=eco,alpha*fck*(1-(1-AP1020/eco)^n),alpha*fck),0)</f>
      </c>
      <c r="AR1020" s="30">
        <f>PM_Angle!$J$24+PM_Angle!$K$24*$C1020+PM_Angle!$L$24*$B1020</f>
      </c>
      <c r="AS1020" s="12">
        <f>IF(AR1020&gt;0,IF(AR1020&lt;=eco,alpha*fck*(1-(1-AR1020/eco)^n),alpha*fck),0)</f>
      </c>
      <c r="AT1020" s="30">
        <f>PM_Angle!$J$25+PM_Angle!$K$25*$C1020+PM_Angle!$L$25*$B1020</f>
      </c>
      <c r="AU1020" s="12">
        <f>IF(AT1020&gt;0,IF(AT1020&lt;=eco,alpha*fck*(1-(1-AT1020/eco)^n),alpha*fck),0)</f>
      </c>
    </row>
    <row r="1021" spans="1:47" x14ac:dyDescent="0.25">
      <c r="A1021">
        <f>Mesh!A1018</f>
      </c>
      <c r="B1021" s="12">
        <f>Mesh!B1018</f>
      </c>
      <c r="C1021" s="12">
        <f>Mesh!C1018</f>
      </c>
      <c r="D1021" s="12">
        <f>Mesh!D1018</f>
      </c>
      <c r="E1021" s="30">
        <f>INDEX(St_e0,Det+1)+INDEX(St_kx,Det+1)*C1021+INDEX(St_ky,Det+1)*B1021</f>
      </c>
      <c r="F1021" s="12">
        <f>IF(E1021&gt;0,IF(E1021&lt;=eco,alpha*fck*(1-(1-E1021/eco)^n),alpha*fck),0)</f>
      </c>
      <c r="G1021" s="11">
        <f>F1021*D1021</f>
      </c>
      <c r="H1021" s="11">
        <f>G1021*C1021</f>
      </c>
      <c r="I1021" s="11">
        <f>G1021*B1021</f>
      </c>
      <c r="J1021" s="30">
        <f>PM_Angle!$J$7+PM_Angle!$K$7*$C1021+PM_Angle!$L$7*$B1021</f>
      </c>
      <c r="K1021" s="12">
        <f>IF(J1021&gt;0,IF(J1021&lt;=eco,alpha*fck*(1-(1-J1021/eco)^n),alpha*fck),0)</f>
      </c>
      <c r="L1021" s="30">
        <f>PM_Angle!$J$8+PM_Angle!$K$8*$C1021+PM_Angle!$L$8*$B1021</f>
      </c>
      <c r="M1021" s="12">
        <f>IF(L1021&gt;0,IF(L1021&lt;=eco,alpha*fck*(1-(1-L1021/eco)^n),alpha*fck),0)</f>
      </c>
      <c r="N1021" s="30">
        <f>PM_Angle!$J$9+PM_Angle!$K$9*$C1021+PM_Angle!$L$9*$B1021</f>
      </c>
      <c r="O1021" s="12">
        <f>IF(N1021&gt;0,IF(N1021&lt;=eco,alpha*fck*(1-(1-N1021/eco)^n),alpha*fck),0)</f>
      </c>
      <c r="P1021" s="30">
        <f>PM_Angle!$J$10+PM_Angle!$K$10*$C1021+PM_Angle!$L$10*$B1021</f>
      </c>
      <c r="Q1021" s="12">
        <f>IF(P1021&gt;0,IF(P1021&lt;=eco,alpha*fck*(1-(1-P1021/eco)^n),alpha*fck),0)</f>
      </c>
      <c r="R1021" s="30">
        <f>PM_Angle!$J$11+PM_Angle!$K$11*$C1021+PM_Angle!$L$11*$B1021</f>
      </c>
      <c r="S1021" s="12">
        <f>IF(R1021&gt;0,IF(R1021&lt;=eco,alpha*fck*(1-(1-R1021/eco)^n),alpha*fck),0)</f>
      </c>
      <c r="T1021" s="30">
        <f>PM_Angle!$J$12+PM_Angle!$K$12*$C1021+PM_Angle!$L$12*$B1021</f>
      </c>
      <c r="U1021" s="12">
        <f>IF(T1021&gt;0,IF(T1021&lt;=eco,alpha*fck*(1-(1-T1021/eco)^n),alpha*fck),0)</f>
      </c>
      <c r="V1021" s="30">
        <f>PM_Angle!$J$13+PM_Angle!$K$13*$C1021+PM_Angle!$L$13*$B1021</f>
      </c>
      <c r="W1021" s="12">
        <f>IF(V1021&gt;0,IF(V1021&lt;=eco,alpha*fck*(1-(1-V1021/eco)^n),alpha*fck),0)</f>
      </c>
      <c r="X1021" s="30">
        <f>PM_Angle!$J$14+PM_Angle!$K$14*$C1021+PM_Angle!$L$14*$B1021</f>
      </c>
      <c r="Y1021" s="12">
        <f>IF(X1021&gt;0,IF(X1021&lt;=eco,alpha*fck*(1-(1-X1021/eco)^n),alpha*fck),0)</f>
      </c>
      <c r="Z1021" s="30">
        <f>PM_Angle!$J$15+PM_Angle!$K$15*$C1021+PM_Angle!$L$15*$B1021</f>
      </c>
      <c r="AA1021" s="12">
        <f>IF(Z1021&gt;0,IF(Z1021&lt;=eco,alpha*fck*(1-(1-Z1021/eco)^n),alpha*fck),0)</f>
      </c>
      <c r="AB1021" s="30">
        <f>PM_Angle!$J$16+PM_Angle!$K$16*$C1021+PM_Angle!$L$16*$B1021</f>
      </c>
      <c r="AC1021" s="12">
        <f>IF(AB1021&gt;0,IF(AB1021&lt;=eco,alpha*fck*(1-(1-AB1021/eco)^n),alpha*fck),0)</f>
      </c>
      <c r="AD1021" s="30">
        <f>PM_Angle!$J$17+PM_Angle!$K$17*$C1021+PM_Angle!$L$17*$B1021</f>
      </c>
      <c r="AE1021" s="12">
        <f>IF(AD1021&gt;0,IF(AD1021&lt;=eco,alpha*fck*(1-(1-AD1021/eco)^n),alpha*fck),0)</f>
      </c>
      <c r="AF1021" s="30">
        <f>PM_Angle!$J$18+PM_Angle!$K$18*$C1021+PM_Angle!$L$18*$B1021</f>
      </c>
      <c r="AG1021" s="12">
        <f>IF(AF1021&gt;0,IF(AF1021&lt;=eco,alpha*fck*(1-(1-AF1021/eco)^n),alpha*fck),0)</f>
      </c>
      <c r="AH1021" s="30">
        <f>PM_Angle!$J$19+PM_Angle!$K$19*$C1021+PM_Angle!$L$19*$B1021</f>
      </c>
      <c r="AI1021" s="12">
        <f>IF(AH1021&gt;0,IF(AH1021&lt;=eco,alpha*fck*(1-(1-AH1021/eco)^n),alpha*fck),0)</f>
      </c>
      <c r="AJ1021" s="30">
        <f>PM_Angle!$J$20+PM_Angle!$K$20*$C1021+PM_Angle!$L$20*$B1021</f>
      </c>
      <c r="AK1021" s="12">
        <f>IF(AJ1021&gt;0,IF(AJ1021&lt;=eco,alpha*fck*(1-(1-AJ1021/eco)^n),alpha*fck),0)</f>
      </c>
      <c r="AL1021" s="30">
        <f>PM_Angle!$J$21+PM_Angle!$K$21*$C1021+PM_Angle!$L$21*$B1021</f>
      </c>
      <c r="AM1021" s="12">
        <f>IF(AL1021&gt;0,IF(AL1021&lt;=eco,alpha*fck*(1-(1-AL1021/eco)^n),alpha*fck),0)</f>
      </c>
      <c r="AN1021" s="30">
        <f>PM_Angle!$J$22+PM_Angle!$K$22*$C1021+PM_Angle!$L$22*$B1021</f>
      </c>
      <c r="AO1021" s="12">
        <f>IF(AN1021&gt;0,IF(AN1021&lt;=eco,alpha*fck*(1-(1-AN1021/eco)^n),alpha*fck),0)</f>
      </c>
      <c r="AP1021" s="30">
        <f>PM_Angle!$J$23+PM_Angle!$K$23*$C1021+PM_Angle!$L$23*$B1021</f>
      </c>
      <c r="AQ1021" s="12">
        <f>IF(AP1021&gt;0,IF(AP1021&lt;=eco,alpha*fck*(1-(1-AP1021/eco)^n),alpha*fck),0)</f>
      </c>
      <c r="AR1021" s="30">
        <f>PM_Angle!$J$24+PM_Angle!$K$24*$C1021+PM_Angle!$L$24*$B1021</f>
      </c>
      <c r="AS1021" s="12">
        <f>IF(AR1021&gt;0,IF(AR1021&lt;=eco,alpha*fck*(1-(1-AR1021/eco)^n),alpha*fck),0)</f>
      </c>
      <c r="AT1021" s="30">
        <f>PM_Angle!$J$25+PM_Angle!$K$25*$C1021+PM_Angle!$L$25*$B1021</f>
      </c>
      <c r="AU1021" s="12">
        <f>IF(AT1021&gt;0,IF(AT1021&lt;=eco,alpha*fck*(1-(1-AT1021/eco)^n),alpha*fck),0)</f>
      </c>
    </row>
    <row r="1022" spans="1:47" x14ac:dyDescent="0.25">
      <c r="A1022">
        <f>Mesh!A1019</f>
      </c>
      <c r="B1022" s="12">
        <f>Mesh!B1019</f>
      </c>
      <c r="C1022" s="12">
        <f>Mesh!C1019</f>
      </c>
      <c r="D1022" s="12">
        <f>Mesh!D1019</f>
      </c>
      <c r="E1022" s="30">
        <f>INDEX(St_e0,Det+1)+INDEX(St_kx,Det+1)*C1022+INDEX(St_ky,Det+1)*B1022</f>
      </c>
      <c r="F1022" s="12">
        <f>IF(E1022&gt;0,IF(E1022&lt;=eco,alpha*fck*(1-(1-E1022/eco)^n),alpha*fck),0)</f>
      </c>
      <c r="G1022" s="11">
        <f>F1022*D1022</f>
      </c>
      <c r="H1022" s="11">
        <f>G1022*C1022</f>
      </c>
      <c r="I1022" s="11">
        <f>G1022*B1022</f>
      </c>
      <c r="J1022" s="30">
        <f>PM_Angle!$J$7+PM_Angle!$K$7*$C1022+PM_Angle!$L$7*$B1022</f>
      </c>
      <c r="K1022" s="12">
        <f>IF(J1022&gt;0,IF(J1022&lt;=eco,alpha*fck*(1-(1-J1022/eco)^n),alpha*fck),0)</f>
      </c>
      <c r="L1022" s="30">
        <f>PM_Angle!$J$8+PM_Angle!$K$8*$C1022+PM_Angle!$L$8*$B1022</f>
      </c>
      <c r="M1022" s="12">
        <f>IF(L1022&gt;0,IF(L1022&lt;=eco,alpha*fck*(1-(1-L1022/eco)^n),alpha*fck),0)</f>
      </c>
      <c r="N1022" s="30">
        <f>PM_Angle!$J$9+PM_Angle!$K$9*$C1022+PM_Angle!$L$9*$B1022</f>
      </c>
      <c r="O1022" s="12">
        <f>IF(N1022&gt;0,IF(N1022&lt;=eco,alpha*fck*(1-(1-N1022/eco)^n),alpha*fck),0)</f>
      </c>
      <c r="P1022" s="30">
        <f>PM_Angle!$J$10+PM_Angle!$K$10*$C1022+PM_Angle!$L$10*$B1022</f>
      </c>
      <c r="Q1022" s="12">
        <f>IF(P1022&gt;0,IF(P1022&lt;=eco,alpha*fck*(1-(1-P1022/eco)^n),alpha*fck),0)</f>
      </c>
      <c r="R1022" s="30">
        <f>PM_Angle!$J$11+PM_Angle!$K$11*$C1022+PM_Angle!$L$11*$B1022</f>
      </c>
      <c r="S1022" s="12">
        <f>IF(R1022&gt;0,IF(R1022&lt;=eco,alpha*fck*(1-(1-R1022/eco)^n),alpha*fck),0)</f>
      </c>
      <c r="T1022" s="30">
        <f>PM_Angle!$J$12+PM_Angle!$K$12*$C1022+PM_Angle!$L$12*$B1022</f>
      </c>
      <c r="U1022" s="12">
        <f>IF(T1022&gt;0,IF(T1022&lt;=eco,alpha*fck*(1-(1-T1022/eco)^n),alpha*fck),0)</f>
      </c>
      <c r="V1022" s="30">
        <f>PM_Angle!$J$13+PM_Angle!$K$13*$C1022+PM_Angle!$L$13*$B1022</f>
      </c>
      <c r="W1022" s="12">
        <f>IF(V1022&gt;0,IF(V1022&lt;=eco,alpha*fck*(1-(1-V1022/eco)^n),alpha*fck),0)</f>
      </c>
      <c r="X1022" s="30">
        <f>PM_Angle!$J$14+PM_Angle!$K$14*$C1022+PM_Angle!$L$14*$B1022</f>
      </c>
      <c r="Y1022" s="12">
        <f>IF(X1022&gt;0,IF(X1022&lt;=eco,alpha*fck*(1-(1-X1022/eco)^n),alpha*fck),0)</f>
      </c>
      <c r="Z1022" s="30">
        <f>PM_Angle!$J$15+PM_Angle!$K$15*$C1022+PM_Angle!$L$15*$B1022</f>
      </c>
      <c r="AA1022" s="12">
        <f>IF(Z1022&gt;0,IF(Z1022&lt;=eco,alpha*fck*(1-(1-Z1022/eco)^n),alpha*fck),0)</f>
      </c>
      <c r="AB1022" s="30">
        <f>PM_Angle!$J$16+PM_Angle!$K$16*$C1022+PM_Angle!$L$16*$B1022</f>
      </c>
      <c r="AC1022" s="12">
        <f>IF(AB1022&gt;0,IF(AB1022&lt;=eco,alpha*fck*(1-(1-AB1022/eco)^n),alpha*fck),0)</f>
      </c>
      <c r="AD1022" s="30">
        <f>PM_Angle!$J$17+PM_Angle!$K$17*$C1022+PM_Angle!$L$17*$B1022</f>
      </c>
      <c r="AE1022" s="12">
        <f>IF(AD1022&gt;0,IF(AD1022&lt;=eco,alpha*fck*(1-(1-AD1022/eco)^n),alpha*fck),0)</f>
      </c>
      <c r="AF1022" s="30">
        <f>PM_Angle!$J$18+PM_Angle!$K$18*$C1022+PM_Angle!$L$18*$B1022</f>
      </c>
      <c r="AG1022" s="12">
        <f>IF(AF1022&gt;0,IF(AF1022&lt;=eco,alpha*fck*(1-(1-AF1022/eco)^n),alpha*fck),0)</f>
      </c>
      <c r="AH1022" s="30">
        <f>PM_Angle!$J$19+PM_Angle!$K$19*$C1022+PM_Angle!$L$19*$B1022</f>
      </c>
      <c r="AI1022" s="12">
        <f>IF(AH1022&gt;0,IF(AH1022&lt;=eco,alpha*fck*(1-(1-AH1022/eco)^n),alpha*fck),0)</f>
      </c>
      <c r="AJ1022" s="30">
        <f>PM_Angle!$J$20+PM_Angle!$K$20*$C1022+PM_Angle!$L$20*$B1022</f>
      </c>
      <c r="AK1022" s="12">
        <f>IF(AJ1022&gt;0,IF(AJ1022&lt;=eco,alpha*fck*(1-(1-AJ1022/eco)^n),alpha*fck),0)</f>
      </c>
      <c r="AL1022" s="30">
        <f>PM_Angle!$J$21+PM_Angle!$K$21*$C1022+PM_Angle!$L$21*$B1022</f>
      </c>
      <c r="AM1022" s="12">
        <f>IF(AL1022&gt;0,IF(AL1022&lt;=eco,alpha*fck*(1-(1-AL1022/eco)^n),alpha*fck),0)</f>
      </c>
      <c r="AN1022" s="30">
        <f>PM_Angle!$J$22+PM_Angle!$K$22*$C1022+PM_Angle!$L$22*$B1022</f>
      </c>
      <c r="AO1022" s="12">
        <f>IF(AN1022&gt;0,IF(AN1022&lt;=eco,alpha*fck*(1-(1-AN1022/eco)^n),alpha*fck),0)</f>
      </c>
      <c r="AP1022" s="30">
        <f>PM_Angle!$J$23+PM_Angle!$K$23*$C1022+PM_Angle!$L$23*$B1022</f>
      </c>
      <c r="AQ1022" s="12">
        <f>IF(AP1022&gt;0,IF(AP1022&lt;=eco,alpha*fck*(1-(1-AP1022/eco)^n),alpha*fck),0)</f>
      </c>
      <c r="AR1022" s="30">
        <f>PM_Angle!$J$24+PM_Angle!$K$24*$C1022+PM_Angle!$L$24*$B1022</f>
      </c>
      <c r="AS1022" s="12">
        <f>IF(AR1022&gt;0,IF(AR1022&lt;=eco,alpha*fck*(1-(1-AR1022/eco)^n),alpha*fck),0)</f>
      </c>
      <c r="AT1022" s="30">
        <f>PM_Angle!$J$25+PM_Angle!$K$25*$C1022+PM_Angle!$L$25*$B1022</f>
      </c>
      <c r="AU1022" s="12">
        <f>IF(AT1022&gt;0,IF(AT1022&lt;=eco,alpha*fck*(1-(1-AT1022/eco)^n),alpha*fck),0)</f>
      </c>
    </row>
    <row r="1023" spans="1:47" x14ac:dyDescent="0.25">
      <c r="A1023">
        <f>Mesh!A1020</f>
      </c>
      <c r="B1023" s="12">
        <f>Mesh!B1020</f>
      </c>
      <c r="C1023" s="12">
        <f>Mesh!C1020</f>
      </c>
      <c r="D1023" s="12">
        <f>Mesh!D1020</f>
      </c>
      <c r="E1023" s="30">
        <f>INDEX(St_e0,Det+1)+INDEX(St_kx,Det+1)*C1023+INDEX(St_ky,Det+1)*B1023</f>
      </c>
      <c r="F1023" s="12">
        <f>IF(E1023&gt;0,IF(E1023&lt;=eco,alpha*fck*(1-(1-E1023/eco)^n),alpha*fck),0)</f>
      </c>
      <c r="G1023" s="11">
        <f>F1023*D1023</f>
      </c>
      <c r="H1023" s="11">
        <f>G1023*C1023</f>
      </c>
      <c r="I1023" s="11">
        <f>G1023*B1023</f>
      </c>
      <c r="J1023" s="30">
        <f>PM_Angle!$J$7+PM_Angle!$K$7*$C1023+PM_Angle!$L$7*$B1023</f>
      </c>
      <c r="K1023" s="12">
        <f>IF(J1023&gt;0,IF(J1023&lt;=eco,alpha*fck*(1-(1-J1023/eco)^n),alpha*fck),0)</f>
      </c>
      <c r="L1023" s="30">
        <f>PM_Angle!$J$8+PM_Angle!$K$8*$C1023+PM_Angle!$L$8*$B1023</f>
      </c>
      <c r="M1023" s="12">
        <f>IF(L1023&gt;0,IF(L1023&lt;=eco,alpha*fck*(1-(1-L1023/eco)^n),alpha*fck),0)</f>
      </c>
      <c r="N1023" s="30">
        <f>PM_Angle!$J$9+PM_Angle!$K$9*$C1023+PM_Angle!$L$9*$B1023</f>
      </c>
      <c r="O1023" s="12">
        <f>IF(N1023&gt;0,IF(N1023&lt;=eco,alpha*fck*(1-(1-N1023/eco)^n),alpha*fck),0)</f>
      </c>
      <c r="P1023" s="30">
        <f>PM_Angle!$J$10+PM_Angle!$K$10*$C1023+PM_Angle!$L$10*$B1023</f>
      </c>
      <c r="Q1023" s="12">
        <f>IF(P1023&gt;0,IF(P1023&lt;=eco,alpha*fck*(1-(1-P1023/eco)^n),alpha*fck),0)</f>
      </c>
      <c r="R1023" s="30">
        <f>PM_Angle!$J$11+PM_Angle!$K$11*$C1023+PM_Angle!$L$11*$B1023</f>
      </c>
      <c r="S1023" s="12">
        <f>IF(R1023&gt;0,IF(R1023&lt;=eco,alpha*fck*(1-(1-R1023/eco)^n),alpha*fck),0)</f>
      </c>
      <c r="T1023" s="30">
        <f>PM_Angle!$J$12+PM_Angle!$K$12*$C1023+PM_Angle!$L$12*$B1023</f>
      </c>
      <c r="U1023" s="12">
        <f>IF(T1023&gt;0,IF(T1023&lt;=eco,alpha*fck*(1-(1-T1023/eco)^n),alpha*fck),0)</f>
      </c>
      <c r="V1023" s="30">
        <f>PM_Angle!$J$13+PM_Angle!$K$13*$C1023+PM_Angle!$L$13*$B1023</f>
      </c>
      <c r="W1023" s="12">
        <f>IF(V1023&gt;0,IF(V1023&lt;=eco,alpha*fck*(1-(1-V1023/eco)^n),alpha*fck),0)</f>
      </c>
      <c r="X1023" s="30">
        <f>PM_Angle!$J$14+PM_Angle!$K$14*$C1023+PM_Angle!$L$14*$B1023</f>
      </c>
      <c r="Y1023" s="12">
        <f>IF(X1023&gt;0,IF(X1023&lt;=eco,alpha*fck*(1-(1-X1023/eco)^n),alpha*fck),0)</f>
      </c>
      <c r="Z1023" s="30">
        <f>PM_Angle!$J$15+PM_Angle!$K$15*$C1023+PM_Angle!$L$15*$B1023</f>
      </c>
      <c r="AA1023" s="12">
        <f>IF(Z1023&gt;0,IF(Z1023&lt;=eco,alpha*fck*(1-(1-Z1023/eco)^n),alpha*fck),0)</f>
      </c>
      <c r="AB1023" s="30">
        <f>PM_Angle!$J$16+PM_Angle!$K$16*$C1023+PM_Angle!$L$16*$B1023</f>
      </c>
      <c r="AC1023" s="12">
        <f>IF(AB1023&gt;0,IF(AB1023&lt;=eco,alpha*fck*(1-(1-AB1023/eco)^n),alpha*fck),0)</f>
      </c>
      <c r="AD1023" s="30">
        <f>PM_Angle!$J$17+PM_Angle!$K$17*$C1023+PM_Angle!$L$17*$B1023</f>
      </c>
      <c r="AE1023" s="12">
        <f>IF(AD1023&gt;0,IF(AD1023&lt;=eco,alpha*fck*(1-(1-AD1023/eco)^n),alpha*fck),0)</f>
      </c>
      <c r="AF1023" s="30">
        <f>PM_Angle!$J$18+PM_Angle!$K$18*$C1023+PM_Angle!$L$18*$B1023</f>
      </c>
      <c r="AG1023" s="12">
        <f>IF(AF1023&gt;0,IF(AF1023&lt;=eco,alpha*fck*(1-(1-AF1023/eco)^n),alpha*fck),0)</f>
      </c>
      <c r="AH1023" s="30">
        <f>PM_Angle!$J$19+PM_Angle!$K$19*$C1023+PM_Angle!$L$19*$B1023</f>
      </c>
      <c r="AI1023" s="12">
        <f>IF(AH1023&gt;0,IF(AH1023&lt;=eco,alpha*fck*(1-(1-AH1023/eco)^n),alpha*fck),0)</f>
      </c>
      <c r="AJ1023" s="30">
        <f>PM_Angle!$J$20+PM_Angle!$K$20*$C1023+PM_Angle!$L$20*$B1023</f>
      </c>
      <c r="AK1023" s="12">
        <f>IF(AJ1023&gt;0,IF(AJ1023&lt;=eco,alpha*fck*(1-(1-AJ1023/eco)^n),alpha*fck),0)</f>
      </c>
      <c r="AL1023" s="30">
        <f>PM_Angle!$J$21+PM_Angle!$K$21*$C1023+PM_Angle!$L$21*$B1023</f>
      </c>
      <c r="AM1023" s="12">
        <f>IF(AL1023&gt;0,IF(AL1023&lt;=eco,alpha*fck*(1-(1-AL1023/eco)^n),alpha*fck),0)</f>
      </c>
      <c r="AN1023" s="30">
        <f>PM_Angle!$J$22+PM_Angle!$K$22*$C1023+PM_Angle!$L$22*$B1023</f>
      </c>
      <c r="AO1023" s="12">
        <f>IF(AN1023&gt;0,IF(AN1023&lt;=eco,alpha*fck*(1-(1-AN1023/eco)^n),alpha*fck),0)</f>
      </c>
      <c r="AP1023" s="30">
        <f>PM_Angle!$J$23+PM_Angle!$K$23*$C1023+PM_Angle!$L$23*$B1023</f>
      </c>
      <c r="AQ1023" s="12">
        <f>IF(AP1023&gt;0,IF(AP1023&lt;=eco,alpha*fck*(1-(1-AP1023/eco)^n),alpha*fck),0)</f>
      </c>
      <c r="AR1023" s="30">
        <f>PM_Angle!$J$24+PM_Angle!$K$24*$C1023+PM_Angle!$L$24*$B1023</f>
      </c>
      <c r="AS1023" s="12">
        <f>IF(AR1023&gt;0,IF(AR1023&lt;=eco,alpha*fck*(1-(1-AR1023/eco)^n),alpha*fck),0)</f>
      </c>
      <c r="AT1023" s="30">
        <f>PM_Angle!$J$25+PM_Angle!$K$25*$C1023+PM_Angle!$L$25*$B1023</f>
      </c>
      <c r="AU1023" s="12">
        <f>IF(AT1023&gt;0,IF(AT1023&lt;=eco,alpha*fck*(1-(1-AT1023/eco)^n),alpha*fck),0)</f>
      </c>
    </row>
    <row r="1024" spans="1:47" x14ac:dyDescent="0.25">
      <c r="A1024">
        <f>Mesh!A1021</f>
      </c>
      <c r="B1024" s="12">
        <f>Mesh!B1021</f>
      </c>
      <c r="C1024" s="12">
        <f>Mesh!C1021</f>
      </c>
      <c r="D1024" s="12">
        <f>Mesh!D1021</f>
      </c>
      <c r="E1024" s="30">
        <f>INDEX(St_e0,Det+1)+INDEX(St_kx,Det+1)*C1024+INDEX(St_ky,Det+1)*B1024</f>
      </c>
      <c r="F1024" s="12">
        <f>IF(E1024&gt;0,IF(E1024&lt;=eco,alpha*fck*(1-(1-E1024/eco)^n),alpha*fck),0)</f>
      </c>
      <c r="G1024" s="11">
        <f>F1024*D1024</f>
      </c>
      <c r="H1024" s="11">
        <f>G1024*C1024</f>
      </c>
      <c r="I1024" s="11">
        <f>G1024*B1024</f>
      </c>
      <c r="J1024" s="30">
        <f>PM_Angle!$J$7+PM_Angle!$K$7*$C1024+PM_Angle!$L$7*$B1024</f>
      </c>
      <c r="K1024" s="12">
        <f>IF(J1024&gt;0,IF(J1024&lt;=eco,alpha*fck*(1-(1-J1024/eco)^n),alpha*fck),0)</f>
      </c>
      <c r="L1024" s="30">
        <f>PM_Angle!$J$8+PM_Angle!$K$8*$C1024+PM_Angle!$L$8*$B1024</f>
      </c>
      <c r="M1024" s="12">
        <f>IF(L1024&gt;0,IF(L1024&lt;=eco,alpha*fck*(1-(1-L1024/eco)^n),alpha*fck),0)</f>
      </c>
      <c r="N1024" s="30">
        <f>PM_Angle!$J$9+PM_Angle!$K$9*$C1024+PM_Angle!$L$9*$B1024</f>
      </c>
      <c r="O1024" s="12">
        <f>IF(N1024&gt;0,IF(N1024&lt;=eco,alpha*fck*(1-(1-N1024/eco)^n),alpha*fck),0)</f>
      </c>
      <c r="P1024" s="30">
        <f>PM_Angle!$J$10+PM_Angle!$K$10*$C1024+PM_Angle!$L$10*$B1024</f>
      </c>
      <c r="Q1024" s="12">
        <f>IF(P1024&gt;0,IF(P1024&lt;=eco,alpha*fck*(1-(1-P1024/eco)^n),alpha*fck),0)</f>
      </c>
      <c r="R1024" s="30">
        <f>PM_Angle!$J$11+PM_Angle!$K$11*$C1024+PM_Angle!$L$11*$B1024</f>
      </c>
      <c r="S1024" s="12">
        <f>IF(R1024&gt;0,IF(R1024&lt;=eco,alpha*fck*(1-(1-R1024/eco)^n),alpha*fck),0)</f>
      </c>
      <c r="T1024" s="30">
        <f>PM_Angle!$J$12+PM_Angle!$K$12*$C1024+PM_Angle!$L$12*$B1024</f>
      </c>
      <c r="U1024" s="12">
        <f>IF(T1024&gt;0,IF(T1024&lt;=eco,alpha*fck*(1-(1-T1024/eco)^n),alpha*fck),0)</f>
      </c>
      <c r="V1024" s="30">
        <f>PM_Angle!$J$13+PM_Angle!$K$13*$C1024+PM_Angle!$L$13*$B1024</f>
      </c>
      <c r="W1024" s="12">
        <f>IF(V1024&gt;0,IF(V1024&lt;=eco,alpha*fck*(1-(1-V1024/eco)^n),alpha*fck),0)</f>
      </c>
      <c r="X1024" s="30">
        <f>PM_Angle!$J$14+PM_Angle!$K$14*$C1024+PM_Angle!$L$14*$B1024</f>
      </c>
      <c r="Y1024" s="12">
        <f>IF(X1024&gt;0,IF(X1024&lt;=eco,alpha*fck*(1-(1-X1024/eco)^n),alpha*fck),0)</f>
      </c>
      <c r="Z1024" s="30">
        <f>PM_Angle!$J$15+PM_Angle!$K$15*$C1024+PM_Angle!$L$15*$B1024</f>
      </c>
      <c r="AA1024" s="12">
        <f>IF(Z1024&gt;0,IF(Z1024&lt;=eco,alpha*fck*(1-(1-Z1024/eco)^n),alpha*fck),0)</f>
      </c>
      <c r="AB1024" s="30">
        <f>PM_Angle!$J$16+PM_Angle!$K$16*$C1024+PM_Angle!$L$16*$B1024</f>
      </c>
      <c r="AC1024" s="12">
        <f>IF(AB1024&gt;0,IF(AB1024&lt;=eco,alpha*fck*(1-(1-AB1024/eco)^n),alpha*fck),0)</f>
      </c>
      <c r="AD1024" s="30">
        <f>PM_Angle!$J$17+PM_Angle!$K$17*$C1024+PM_Angle!$L$17*$B1024</f>
      </c>
      <c r="AE1024" s="12">
        <f>IF(AD1024&gt;0,IF(AD1024&lt;=eco,alpha*fck*(1-(1-AD1024/eco)^n),alpha*fck),0)</f>
      </c>
      <c r="AF1024" s="30">
        <f>PM_Angle!$J$18+PM_Angle!$K$18*$C1024+PM_Angle!$L$18*$B1024</f>
      </c>
      <c r="AG1024" s="12">
        <f>IF(AF1024&gt;0,IF(AF1024&lt;=eco,alpha*fck*(1-(1-AF1024/eco)^n),alpha*fck),0)</f>
      </c>
      <c r="AH1024" s="30">
        <f>PM_Angle!$J$19+PM_Angle!$K$19*$C1024+PM_Angle!$L$19*$B1024</f>
      </c>
      <c r="AI1024" s="12">
        <f>IF(AH1024&gt;0,IF(AH1024&lt;=eco,alpha*fck*(1-(1-AH1024/eco)^n),alpha*fck),0)</f>
      </c>
      <c r="AJ1024" s="30">
        <f>PM_Angle!$J$20+PM_Angle!$K$20*$C1024+PM_Angle!$L$20*$B1024</f>
      </c>
      <c r="AK1024" s="12">
        <f>IF(AJ1024&gt;0,IF(AJ1024&lt;=eco,alpha*fck*(1-(1-AJ1024/eco)^n),alpha*fck),0)</f>
      </c>
      <c r="AL1024" s="30">
        <f>PM_Angle!$J$21+PM_Angle!$K$21*$C1024+PM_Angle!$L$21*$B1024</f>
      </c>
      <c r="AM1024" s="12">
        <f>IF(AL1024&gt;0,IF(AL1024&lt;=eco,alpha*fck*(1-(1-AL1024/eco)^n),alpha*fck),0)</f>
      </c>
      <c r="AN1024" s="30">
        <f>PM_Angle!$J$22+PM_Angle!$K$22*$C1024+PM_Angle!$L$22*$B1024</f>
      </c>
      <c r="AO1024" s="12">
        <f>IF(AN1024&gt;0,IF(AN1024&lt;=eco,alpha*fck*(1-(1-AN1024/eco)^n),alpha*fck),0)</f>
      </c>
      <c r="AP1024" s="30">
        <f>PM_Angle!$J$23+PM_Angle!$K$23*$C1024+PM_Angle!$L$23*$B1024</f>
      </c>
      <c r="AQ1024" s="12">
        <f>IF(AP1024&gt;0,IF(AP1024&lt;=eco,alpha*fck*(1-(1-AP1024/eco)^n),alpha*fck),0)</f>
      </c>
      <c r="AR1024" s="30">
        <f>PM_Angle!$J$24+PM_Angle!$K$24*$C1024+PM_Angle!$L$24*$B1024</f>
      </c>
      <c r="AS1024" s="12">
        <f>IF(AR1024&gt;0,IF(AR1024&lt;=eco,alpha*fck*(1-(1-AR1024/eco)^n),alpha*fck),0)</f>
      </c>
      <c r="AT1024" s="30">
        <f>PM_Angle!$J$25+PM_Angle!$K$25*$C1024+PM_Angle!$L$25*$B1024</f>
      </c>
      <c r="AU1024" s="12">
        <f>IF(AT1024&gt;0,IF(AT1024&lt;=eco,alpha*fck*(1-(1-AT1024/eco)^n),alpha*fck),0)</f>
      </c>
    </row>
    <row r="1025" spans="1:47" x14ac:dyDescent="0.25">
      <c r="A1025">
        <f>Mesh!A1022</f>
      </c>
      <c r="B1025" s="12">
        <f>Mesh!B1022</f>
      </c>
      <c r="C1025" s="12">
        <f>Mesh!C1022</f>
      </c>
      <c r="D1025" s="12">
        <f>Mesh!D1022</f>
      </c>
      <c r="E1025" s="30">
        <f>INDEX(St_e0,Det+1)+INDEX(St_kx,Det+1)*C1025+INDEX(St_ky,Det+1)*B1025</f>
      </c>
      <c r="F1025" s="12">
        <f>IF(E1025&gt;0,IF(E1025&lt;=eco,alpha*fck*(1-(1-E1025/eco)^n),alpha*fck),0)</f>
      </c>
      <c r="G1025" s="11">
        <f>F1025*D1025</f>
      </c>
      <c r="H1025" s="11">
        <f>G1025*C1025</f>
      </c>
      <c r="I1025" s="11">
        <f>G1025*B1025</f>
      </c>
      <c r="J1025" s="30">
        <f>PM_Angle!$J$7+PM_Angle!$K$7*$C1025+PM_Angle!$L$7*$B1025</f>
      </c>
      <c r="K1025" s="12">
        <f>IF(J1025&gt;0,IF(J1025&lt;=eco,alpha*fck*(1-(1-J1025/eco)^n),alpha*fck),0)</f>
      </c>
      <c r="L1025" s="30">
        <f>PM_Angle!$J$8+PM_Angle!$K$8*$C1025+PM_Angle!$L$8*$B1025</f>
      </c>
      <c r="M1025" s="12">
        <f>IF(L1025&gt;0,IF(L1025&lt;=eco,alpha*fck*(1-(1-L1025/eco)^n),alpha*fck),0)</f>
      </c>
      <c r="N1025" s="30">
        <f>PM_Angle!$J$9+PM_Angle!$K$9*$C1025+PM_Angle!$L$9*$B1025</f>
      </c>
      <c r="O1025" s="12">
        <f>IF(N1025&gt;0,IF(N1025&lt;=eco,alpha*fck*(1-(1-N1025/eco)^n),alpha*fck),0)</f>
      </c>
      <c r="P1025" s="30">
        <f>PM_Angle!$J$10+PM_Angle!$K$10*$C1025+PM_Angle!$L$10*$B1025</f>
      </c>
      <c r="Q1025" s="12">
        <f>IF(P1025&gt;0,IF(P1025&lt;=eco,alpha*fck*(1-(1-P1025/eco)^n),alpha*fck),0)</f>
      </c>
      <c r="R1025" s="30">
        <f>PM_Angle!$J$11+PM_Angle!$K$11*$C1025+PM_Angle!$L$11*$B1025</f>
      </c>
      <c r="S1025" s="12">
        <f>IF(R1025&gt;0,IF(R1025&lt;=eco,alpha*fck*(1-(1-R1025/eco)^n),alpha*fck),0)</f>
      </c>
      <c r="T1025" s="30">
        <f>PM_Angle!$J$12+PM_Angle!$K$12*$C1025+PM_Angle!$L$12*$B1025</f>
      </c>
      <c r="U1025" s="12">
        <f>IF(T1025&gt;0,IF(T1025&lt;=eco,alpha*fck*(1-(1-T1025/eco)^n),alpha*fck),0)</f>
      </c>
      <c r="V1025" s="30">
        <f>PM_Angle!$J$13+PM_Angle!$K$13*$C1025+PM_Angle!$L$13*$B1025</f>
      </c>
      <c r="W1025" s="12">
        <f>IF(V1025&gt;0,IF(V1025&lt;=eco,alpha*fck*(1-(1-V1025/eco)^n),alpha*fck),0)</f>
      </c>
      <c r="X1025" s="30">
        <f>PM_Angle!$J$14+PM_Angle!$K$14*$C1025+PM_Angle!$L$14*$B1025</f>
      </c>
      <c r="Y1025" s="12">
        <f>IF(X1025&gt;0,IF(X1025&lt;=eco,alpha*fck*(1-(1-X1025/eco)^n),alpha*fck),0)</f>
      </c>
      <c r="Z1025" s="30">
        <f>PM_Angle!$J$15+PM_Angle!$K$15*$C1025+PM_Angle!$L$15*$B1025</f>
      </c>
      <c r="AA1025" s="12">
        <f>IF(Z1025&gt;0,IF(Z1025&lt;=eco,alpha*fck*(1-(1-Z1025/eco)^n),alpha*fck),0)</f>
      </c>
      <c r="AB1025" s="30">
        <f>PM_Angle!$J$16+PM_Angle!$K$16*$C1025+PM_Angle!$L$16*$B1025</f>
      </c>
      <c r="AC1025" s="12">
        <f>IF(AB1025&gt;0,IF(AB1025&lt;=eco,alpha*fck*(1-(1-AB1025/eco)^n),alpha*fck),0)</f>
      </c>
      <c r="AD1025" s="30">
        <f>PM_Angle!$J$17+PM_Angle!$K$17*$C1025+PM_Angle!$L$17*$B1025</f>
      </c>
      <c r="AE1025" s="12">
        <f>IF(AD1025&gt;0,IF(AD1025&lt;=eco,alpha*fck*(1-(1-AD1025/eco)^n),alpha*fck),0)</f>
      </c>
      <c r="AF1025" s="30">
        <f>PM_Angle!$J$18+PM_Angle!$K$18*$C1025+PM_Angle!$L$18*$B1025</f>
      </c>
      <c r="AG1025" s="12">
        <f>IF(AF1025&gt;0,IF(AF1025&lt;=eco,alpha*fck*(1-(1-AF1025/eco)^n),alpha*fck),0)</f>
      </c>
      <c r="AH1025" s="30">
        <f>PM_Angle!$J$19+PM_Angle!$K$19*$C1025+PM_Angle!$L$19*$B1025</f>
      </c>
      <c r="AI1025" s="12">
        <f>IF(AH1025&gt;0,IF(AH1025&lt;=eco,alpha*fck*(1-(1-AH1025/eco)^n),alpha*fck),0)</f>
      </c>
      <c r="AJ1025" s="30">
        <f>PM_Angle!$J$20+PM_Angle!$K$20*$C1025+PM_Angle!$L$20*$B1025</f>
      </c>
      <c r="AK1025" s="12">
        <f>IF(AJ1025&gt;0,IF(AJ1025&lt;=eco,alpha*fck*(1-(1-AJ1025/eco)^n),alpha*fck),0)</f>
      </c>
      <c r="AL1025" s="30">
        <f>PM_Angle!$J$21+PM_Angle!$K$21*$C1025+PM_Angle!$L$21*$B1025</f>
      </c>
      <c r="AM1025" s="12">
        <f>IF(AL1025&gt;0,IF(AL1025&lt;=eco,alpha*fck*(1-(1-AL1025/eco)^n),alpha*fck),0)</f>
      </c>
      <c r="AN1025" s="30">
        <f>PM_Angle!$J$22+PM_Angle!$K$22*$C1025+PM_Angle!$L$22*$B1025</f>
      </c>
      <c r="AO1025" s="12">
        <f>IF(AN1025&gt;0,IF(AN1025&lt;=eco,alpha*fck*(1-(1-AN1025/eco)^n),alpha*fck),0)</f>
      </c>
      <c r="AP1025" s="30">
        <f>PM_Angle!$J$23+PM_Angle!$K$23*$C1025+PM_Angle!$L$23*$B1025</f>
      </c>
      <c r="AQ1025" s="12">
        <f>IF(AP1025&gt;0,IF(AP1025&lt;=eco,alpha*fck*(1-(1-AP1025/eco)^n),alpha*fck),0)</f>
      </c>
      <c r="AR1025" s="30">
        <f>PM_Angle!$J$24+PM_Angle!$K$24*$C1025+PM_Angle!$L$24*$B1025</f>
      </c>
      <c r="AS1025" s="12">
        <f>IF(AR1025&gt;0,IF(AR1025&lt;=eco,alpha*fck*(1-(1-AR1025/eco)^n),alpha*fck),0)</f>
      </c>
      <c r="AT1025" s="30">
        <f>PM_Angle!$J$25+PM_Angle!$K$25*$C1025+PM_Angle!$L$25*$B1025</f>
      </c>
      <c r="AU1025" s="12">
        <f>IF(AT1025&gt;0,IF(AT1025&lt;=eco,alpha*fck*(1-(1-AT1025/eco)^n),alpha*fck),0)</f>
      </c>
    </row>
    <row r="1026" spans="1:47" x14ac:dyDescent="0.25">
      <c r="A1026">
        <f>Mesh!A1023</f>
      </c>
      <c r="B1026" s="12">
        <f>Mesh!B1023</f>
      </c>
      <c r="C1026" s="12">
        <f>Mesh!C1023</f>
      </c>
      <c r="D1026" s="12">
        <f>Mesh!D1023</f>
      </c>
      <c r="E1026" s="30">
        <f>INDEX(St_e0,Det+1)+INDEX(St_kx,Det+1)*C1026+INDEX(St_ky,Det+1)*B1026</f>
      </c>
      <c r="F1026" s="12">
        <f>IF(E1026&gt;0,IF(E1026&lt;=eco,alpha*fck*(1-(1-E1026/eco)^n),alpha*fck),0)</f>
      </c>
      <c r="G1026" s="11">
        <f>F1026*D1026</f>
      </c>
      <c r="H1026" s="11">
        <f>G1026*C1026</f>
      </c>
      <c r="I1026" s="11">
        <f>G1026*B1026</f>
      </c>
      <c r="J1026" s="30">
        <f>PM_Angle!$J$7+PM_Angle!$K$7*$C1026+PM_Angle!$L$7*$B1026</f>
      </c>
      <c r="K1026" s="12">
        <f>IF(J1026&gt;0,IF(J1026&lt;=eco,alpha*fck*(1-(1-J1026/eco)^n),alpha*fck),0)</f>
      </c>
      <c r="L1026" s="30">
        <f>PM_Angle!$J$8+PM_Angle!$K$8*$C1026+PM_Angle!$L$8*$B1026</f>
      </c>
      <c r="M1026" s="12">
        <f>IF(L1026&gt;0,IF(L1026&lt;=eco,alpha*fck*(1-(1-L1026/eco)^n),alpha*fck),0)</f>
      </c>
      <c r="N1026" s="30">
        <f>PM_Angle!$J$9+PM_Angle!$K$9*$C1026+PM_Angle!$L$9*$B1026</f>
      </c>
      <c r="O1026" s="12">
        <f>IF(N1026&gt;0,IF(N1026&lt;=eco,alpha*fck*(1-(1-N1026/eco)^n),alpha*fck),0)</f>
      </c>
      <c r="P1026" s="30">
        <f>PM_Angle!$J$10+PM_Angle!$K$10*$C1026+PM_Angle!$L$10*$B1026</f>
      </c>
      <c r="Q1026" s="12">
        <f>IF(P1026&gt;0,IF(P1026&lt;=eco,alpha*fck*(1-(1-P1026/eco)^n),alpha*fck),0)</f>
      </c>
      <c r="R1026" s="30">
        <f>PM_Angle!$J$11+PM_Angle!$K$11*$C1026+PM_Angle!$L$11*$B1026</f>
      </c>
      <c r="S1026" s="12">
        <f>IF(R1026&gt;0,IF(R1026&lt;=eco,alpha*fck*(1-(1-R1026/eco)^n),alpha*fck),0)</f>
      </c>
      <c r="T1026" s="30">
        <f>PM_Angle!$J$12+PM_Angle!$K$12*$C1026+PM_Angle!$L$12*$B1026</f>
      </c>
      <c r="U1026" s="12">
        <f>IF(T1026&gt;0,IF(T1026&lt;=eco,alpha*fck*(1-(1-T1026/eco)^n),alpha*fck),0)</f>
      </c>
      <c r="V1026" s="30">
        <f>PM_Angle!$J$13+PM_Angle!$K$13*$C1026+PM_Angle!$L$13*$B1026</f>
      </c>
      <c r="W1026" s="12">
        <f>IF(V1026&gt;0,IF(V1026&lt;=eco,alpha*fck*(1-(1-V1026/eco)^n),alpha*fck),0)</f>
      </c>
      <c r="X1026" s="30">
        <f>PM_Angle!$J$14+PM_Angle!$K$14*$C1026+PM_Angle!$L$14*$B1026</f>
      </c>
      <c r="Y1026" s="12">
        <f>IF(X1026&gt;0,IF(X1026&lt;=eco,alpha*fck*(1-(1-X1026/eco)^n),alpha*fck),0)</f>
      </c>
      <c r="Z1026" s="30">
        <f>PM_Angle!$J$15+PM_Angle!$K$15*$C1026+PM_Angle!$L$15*$B1026</f>
      </c>
      <c r="AA1026" s="12">
        <f>IF(Z1026&gt;0,IF(Z1026&lt;=eco,alpha*fck*(1-(1-Z1026/eco)^n),alpha*fck),0)</f>
      </c>
      <c r="AB1026" s="30">
        <f>PM_Angle!$J$16+PM_Angle!$K$16*$C1026+PM_Angle!$L$16*$B1026</f>
      </c>
      <c r="AC1026" s="12">
        <f>IF(AB1026&gt;0,IF(AB1026&lt;=eco,alpha*fck*(1-(1-AB1026/eco)^n),alpha*fck),0)</f>
      </c>
      <c r="AD1026" s="30">
        <f>PM_Angle!$J$17+PM_Angle!$K$17*$C1026+PM_Angle!$L$17*$B1026</f>
      </c>
      <c r="AE1026" s="12">
        <f>IF(AD1026&gt;0,IF(AD1026&lt;=eco,alpha*fck*(1-(1-AD1026/eco)^n),alpha*fck),0)</f>
      </c>
      <c r="AF1026" s="30">
        <f>PM_Angle!$J$18+PM_Angle!$K$18*$C1026+PM_Angle!$L$18*$B1026</f>
      </c>
      <c r="AG1026" s="12">
        <f>IF(AF1026&gt;0,IF(AF1026&lt;=eco,alpha*fck*(1-(1-AF1026/eco)^n),alpha*fck),0)</f>
      </c>
      <c r="AH1026" s="30">
        <f>PM_Angle!$J$19+PM_Angle!$K$19*$C1026+PM_Angle!$L$19*$B1026</f>
      </c>
      <c r="AI1026" s="12">
        <f>IF(AH1026&gt;0,IF(AH1026&lt;=eco,alpha*fck*(1-(1-AH1026/eco)^n),alpha*fck),0)</f>
      </c>
      <c r="AJ1026" s="30">
        <f>PM_Angle!$J$20+PM_Angle!$K$20*$C1026+PM_Angle!$L$20*$B1026</f>
      </c>
      <c r="AK1026" s="12">
        <f>IF(AJ1026&gt;0,IF(AJ1026&lt;=eco,alpha*fck*(1-(1-AJ1026/eco)^n),alpha*fck),0)</f>
      </c>
      <c r="AL1026" s="30">
        <f>PM_Angle!$J$21+PM_Angle!$K$21*$C1026+PM_Angle!$L$21*$B1026</f>
      </c>
      <c r="AM1026" s="12">
        <f>IF(AL1026&gt;0,IF(AL1026&lt;=eco,alpha*fck*(1-(1-AL1026/eco)^n),alpha*fck),0)</f>
      </c>
      <c r="AN1026" s="30">
        <f>PM_Angle!$J$22+PM_Angle!$K$22*$C1026+PM_Angle!$L$22*$B1026</f>
      </c>
      <c r="AO1026" s="12">
        <f>IF(AN1026&gt;0,IF(AN1026&lt;=eco,alpha*fck*(1-(1-AN1026/eco)^n),alpha*fck),0)</f>
      </c>
      <c r="AP1026" s="30">
        <f>PM_Angle!$J$23+PM_Angle!$K$23*$C1026+PM_Angle!$L$23*$B1026</f>
      </c>
      <c r="AQ1026" s="12">
        <f>IF(AP1026&gt;0,IF(AP1026&lt;=eco,alpha*fck*(1-(1-AP1026/eco)^n),alpha*fck),0)</f>
      </c>
      <c r="AR1026" s="30">
        <f>PM_Angle!$J$24+PM_Angle!$K$24*$C1026+PM_Angle!$L$24*$B1026</f>
      </c>
      <c r="AS1026" s="12">
        <f>IF(AR1026&gt;0,IF(AR1026&lt;=eco,alpha*fck*(1-(1-AR1026/eco)^n),alpha*fck),0)</f>
      </c>
      <c r="AT1026" s="30">
        <f>PM_Angle!$J$25+PM_Angle!$K$25*$C1026+PM_Angle!$L$25*$B1026</f>
      </c>
      <c r="AU1026" s="12">
        <f>IF(AT1026&gt;0,IF(AT1026&lt;=eco,alpha*fck*(1-(1-AT1026/eco)^n),alpha*fck),0)</f>
      </c>
    </row>
    <row r="1027" spans="1:47" x14ac:dyDescent="0.25">
      <c r="A1027">
        <f>Mesh!A1024</f>
      </c>
      <c r="B1027" s="12">
        <f>Mesh!B1024</f>
      </c>
      <c r="C1027" s="12">
        <f>Mesh!C1024</f>
      </c>
      <c r="D1027" s="12">
        <f>Mesh!D1024</f>
      </c>
      <c r="E1027" s="30">
        <f>INDEX(St_e0,Det+1)+INDEX(St_kx,Det+1)*C1027+INDEX(St_ky,Det+1)*B1027</f>
      </c>
      <c r="F1027" s="12">
        <f>IF(E1027&gt;0,IF(E1027&lt;=eco,alpha*fck*(1-(1-E1027/eco)^n),alpha*fck),0)</f>
      </c>
      <c r="G1027" s="11">
        <f>F1027*D1027</f>
      </c>
      <c r="H1027" s="11">
        <f>G1027*C1027</f>
      </c>
      <c r="I1027" s="11">
        <f>G1027*B1027</f>
      </c>
      <c r="J1027" s="30">
        <f>PM_Angle!$J$7+PM_Angle!$K$7*$C1027+PM_Angle!$L$7*$B1027</f>
      </c>
      <c r="K1027" s="12">
        <f>IF(J1027&gt;0,IF(J1027&lt;=eco,alpha*fck*(1-(1-J1027/eco)^n),alpha*fck),0)</f>
      </c>
      <c r="L1027" s="30">
        <f>PM_Angle!$J$8+PM_Angle!$K$8*$C1027+PM_Angle!$L$8*$B1027</f>
      </c>
      <c r="M1027" s="12">
        <f>IF(L1027&gt;0,IF(L1027&lt;=eco,alpha*fck*(1-(1-L1027/eco)^n),alpha*fck),0)</f>
      </c>
      <c r="N1027" s="30">
        <f>PM_Angle!$J$9+PM_Angle!$K$9*$C1027+PM_Angle!$L$9*$B1027</f>
      </c>
      <c r="O1027" s="12">
        <f>IF(N1027&gt;0,IF(N1027&lt;=eco,alpha*fck*(1-(1-N1027/eco)^n),alpha*fck),0)</f>
      </c>
      <c r="P1027" s="30">
        <f>PM_Angle!$J$10+PM_Angle!$K$10*$C1027+PM_Angle!$L$10*$B1027</f>
      </c>
      <c r="Q1027" s="12">
        <f>IF(P1027&gt;0,IF(P1027&lt;=eco,alpha*fck*(1-(1-P1027/eco)^n),alpha*fck),0)</f>
      </c>
      <c r="R1027" s="30">
        <f>PM_Angle!$J$11+PM_Angle!$K$11*$C1027+PM_Angle!$L$11*$B1027</f>
      </c>
      <c r="S1027" s="12">
        <f>IF(R1027&gt;0,IF(R1027&lt;=eco,alpha*fck*(1-(1-R1027/eco)^n),alpha*fck),0)</f>
      </c>
      <c r="T1027" s="30">
        <f>PM_Angle!$J$12+PM_Angle!$K$12*$C1027+PM_Angle!$L$12*$B1027</f>
      </c>
      <c r="U1027" s="12">
        <f>IF(T1027&gt;0,IF(T1027&lt;=eco,alpha*fck*(1-(1-T1027/eco)^n),alpha*fck),0)</f>
      </c>
      <c r="V1027" s="30">
        <f>PM_Angle!$J$13+PM_Angle!$K$13*$C1027+PM_Angle!$L$13*$B1027</f>
      </c>
      <c r="W1027" s="12">
        <f>IF(V1027&gt;0,IF(V1027&lt;=eco,alpha*fck*(1-(1-V1027/eco)^n),alpha*fck),0)</f>
      </c>
      <c r="X1027" s="30">
        <f>PM_Angle!$J$14+PM_Angle!$K$14*$C1027+PM_Angle!$L$14*$B1027</f>
      </c>
      <c r="Y1027" s="12">
        <f>IF(X1027&gt;0,IF(X1027&lt;=eco,alpha*fck*(1-(1-X1027/eco)^n),alpha*fck),0)</f>
      </c>
      <c r="Z1027" s="30">
        <f>PM_Angle!$J$15+PM_Angle!$K$15*$C1027+PM_Angle!$L$15*$B1027</f>
      </c>
      <c r="AA1027" s="12">
        <f>IF(Z1027&gt;0,IF(Z1027&lt;=eco,alpha*fck*(1-(1-Z1027/eco)^n),alpha*fck),0)</f>
      </c>
      <c r="AB1027" s="30">
        <f>PM_Angle!$J$16+PM_Angle!$K$16*$C1027+PM_Angle!$L$16*$B1027</f>
      </c>
      <c r="AC1027" s="12">
        <f>IF(AB1027&gt;0,IF(AB1027&lt;=eco,alpha*fck*(1-(1-AB1027/eco)^n),alpha*fck),0)</f>
      </c>
      <c r="AD1027" s="30">
        <f>PM_Angle!$J$17+PM_Angle!$K$17*$C1027+PM_Angle!$L$17*$B1027</f>
      </c>
      <c r="AE1027" s="12">
        <f>IF(AD1027&gt;0,IF(AD1027&lt;=eco,alpha*fck*(1-(1-AD1027/eco)^n),alpha*fck),0)</f>
      </c>
      <c r="AF1027" s="30">
        <f>PM_Angle!$J$18+PM_Angle!$K$18*$C1027+PM_Angle!$L$18*$B1027</f>
      </c>
      <c r="AG1027" s="12">
        <f>IF(AF1027&gt;0,IF(AF1027&lt;=eco,alpha*fck*(1-(1-AF1027/eco)^n),alpha*fck),0)</f>
      </c>
      <c r="AH1027" s="30">
        <f>PM_Angle!$J$19+PM_Angle!$K$19*$C1027+PM_Angle!$L$19*$B1027</f>
      </c>
      <c r="AI1027" s="12">
        <f>IF(AH1027&gt;0,IF(AH1027&lt;=eco,alpha*fck*(1-(1-AH1027/eco)^n),alpha*fck),0)</f>
      </c>
      <c r="AJ1027" s="30">
        <f>PM_Angle!$J$20+PM_Angle!$K$20*$C1027+PM_Angle!$L$20*$B1027</f>
      </c>
      <c r="AK1027" s="12">
        <f>IF(AJ1027&gt;0,IF(AJ1027&lt;=eco,alpha*fck*(1-(1-AJ1027/eco)^n),alpha*fck),0)</f>
      </c>
      <c r="AL1027" s="30">
        <f>PM_Angle!$J$21+PM_Angle!$K$21*$C1027+PM_Angle!$L$21*$B1027</f>
      </c>
      <c r="AM1027" s="12">
        <f>IF(AL1027&gt;0,IF(AL1027&lt;=eco,alpha*fck*(1-(1-AL1027/eco)^n),alpha*fck),0)</f>
      </c>
      <c r="AN1027" s="30">
        <f>PM_Angle!$J$22+PM_Angle!$K$22*$C1027+PM_Angle!$L$22*$B1027</f>
      </c>
      <c r="AO1027" s="12">
        <f>IF(AN1027&gt;0,IF(AN1027&lt;=eco,alpha*fck*(1-(1-AN1027/eco)^n),alpha*fck),0)</f>
      </c>
      <c r="AP1027" s="30">
        <f>PM_Angle!$J$23+PM_Angle!$K$23*$C1027+PM_Angle!$L$23*$B1027</f>
      </c>
      <c r="AQ1027" s="12">
        <f>IF(AP1027&gt;0,IF(AP1027&lt;=eco,alpha*fck*(1-(1-AP1027/eco)^n),alpha*fck),0)</f>
      </c>
      <c r="AR1027" s="30">
        <f>PM_Angle!$J$24+PM_Angle!$K$24*$C1027+PM_Angle!$L$24*$B1027</f>
      </c>
      <c r="AS1027" s="12">
        <f>IF(AR1027&gt;0,IF(AR1027&lt;=eco,alpha*fck*(1-(1-AR1027/eco)^n),alpha*fck),0)</f>
      </c>
      <c r="AT1027" s="30">
        <f>PM_Angle!$J$25+PM_Angle!$K$25*$C1027+PM_Angle!$L$25*$B1027</f>
      </c>
      <c r="AU1027" s="12">
        <f>IF(AT1027&gt;0,IF(AT1027&lt;=eco,alpha*fck*(1-(1-AT1027/eco)^n),alpha*fck),0)</f>
      </c>
    </row>
    <row r="1028" spans="1:47" x14ac:dyDescent="0.25">
      <c r="A1028">
        <f>Mesh!A1025</f>
      </c>
      <c r="B1028" s="12">
        <f>Mesh!B1025</f>
      </c>
      <c r="C1028" s="12">
        <f>Mesh!C1025</f>
      </c>
      <c r="D1028" s="12">
        <f>Mesh!D1025</f>
      </c>
      <c r="E1028" s="30">
        <f>INDEX(St_e0,Det+1)+INDEX(St_kx,Det+1)*C1028+INDEX(St_ky,Det+1)*B1028</f>
      </c>
      <c r="F1028" s="12">
        <f>IF(E1028&gt;0,IF(E1028&lt;=eco,alpha*fck*(1-(1-E1028/eco)^n),alpha*fck),0)</f>
      </c>
      <c r="G1028" s="11">
        <f>F1028*D1028</f>
      </c>
      <c r="H1028" s="11">
        <f>G1028*C1028</f>
      </c>
      <c r="I1028" s="11">
        <f>G1028*B1028</f>
      </c>
      <c r="J1028" s="30">
        <f>PM_Angle!$J$7+PM_Angle!$K$7*$C1028+PM_Angle!$L$7*$B1028</f>
      </c>
      <c r="K1028" s="12">
        <f>IF(J1028&gt;0,IF(J1028&lt;=eco,alpha*fck*(1-(1-J1028/eco)^n),alpha*fck),0)</f>
      </c>
      <c r="L1028" s="30">
        <f>PM_Angle!$J$8+PM_Angle!$K$8*$C1028+PM_Angle!$L$8*$B1028</f>
      </c>
      <c r="M1028" s="12">
        <f>IF(L1028&gt;0,IF(L1028&lt;=eco,alpha*fck*(1-(1-L1028/eco)^n),alpha*fck),0)</f>
      </c>
      <c r="N1028" s="30">
        <f>PM_Angle!$J$9+PM_Angle!$K$9*$C1028+PM_Angle!$L$9*$B1028</f>
      </c>
      <c r="O1028" s="12">
        <f>IF(N1028&gt;0,IF(N1028&lt;=eco,alpha*fck*(1-(1-N1028/eco)^n),alpha*fck),0)</f>
      </c>
      <c r="P1028" s="30">
        <f>PM_Angle!$J$10+PM_Angle!$K$10*$C1028+PM_Angle!$L$10*$B1028</f>
      </c>
      <c r="Q1028" s="12">
        <f>IF(P1028&gt;0,IF(P1028&lt;=eco,alpha*fck*(1-(1-P1028/eco)^n),alpha*fck),0)</f>
      </c>
      <c r="R1028" s="30">
        <f>PM_Angle!$J$11+PM_Angle!$K$11*$C1028+PM_Angle!$L$11*$B1028</f>
      </c>
      <c r="S1028" s="12">
        <f>IF(R1028&gt;0,IF(R1028&lt;=eco,alpha*fck*(1-(1-R1028/eco)^n),alpha*fck),0)</f>
      </c>
      <c r="T1028" s="30">
        <f>PM_Angle!$J$12+PM_Angle!$K$12*$C1028+PM_Angle!$L$12*$B1028</f>
      </c>
      <c r="U1028" s="12">
        <f>IF(T1028&gt;0,IF(T1028&lt;=eco,alpha*fck*(1-(1-T1028/eco)^n),alpha*fck),0)</f>
      </c>
      <c r="V1028" s="30">
        <f>PM_Angle!$J$13+PM_Angle!$K$13*$C1028+PM_Angle!$L$13*$B1028</f>
      </c>
      <c r="W1028" s="12">
        <f>IF(V1028&gt;0,IF(V1028&lt;=eco,alpha*fck*(1-(1-V1028/eco)^n),alpha*fck),0)</f>
      </c>
      <c r="X1028" s="30">
        <f>PM_Angle!$J$14+PM_Angle!$K$14*$C1028+PM_Angle!$L$14*$B1028</f>
      </c>
      <c r="Y1028" s="12">
        <f>IF(X1028&gt;0,IF(X1028&lt;=eco,alpha*fck*(1-(1-X1028/eco)^n),alpha*fck),0)</f>
      </c>
      <c r="Z1028" s="30">
        <f>PM_Angle!$J$15+PM_Angle!$K$15*$C1028+PM_Angle!$L$15*$B1028</f>
      </c>
      <c r="AA1028" s="12">
        <f>IF(Z1028&gt;0,IF(Z1028&lt;=eco,alpha*fck*(1-(1-Z1028/eco)^n),alpha*fck),0)</f>
      </c>
      <c r="AB1028" s="30">
        <f>PM_Angle!$J$16+PM_Angle!$K$16*$C1028+PM_Angle!$L$16*$B1028</f>
      </c>
      <c r="AC1028" s="12">
        <f>IF(AB1028&gt;0,IF(AB1028&lt;=eco,alpha*fck*(1-(1-AB1028/eco)^n),alpha*fck),0)</f>
      </c>
      <c r="AD1028" s="30">
        <f>PM_Angle!$J$17+PM_Angle!$K$17*$C1028+PM_Angle!$L$17*$B1028</f>
      </c>
      <c r="AE1028" s="12">
        <f>IF(AD1028&gt;0,IF(AD1028&lt;=eco,alpha*fck*(1-(1-AD1028/eco)^n),alpha*fck),0)</f>
      </c>
      <c r="AF1028" s="30">
        <f>PM_Angle!$J$18+PM_Angle!$K$18*$C1028+PM_Angle!$L$18*$B1028</f>
      </c>
      <c r="AG1028" s="12">
        <f>IF(AF1028&gt;0,IF(AF1028&lt;=eco,alpha*fck*(1-(1-AF1028/eco)^n),alpha*fck),0)</f>
      </c>
      <c r="AH1028" s="30">
        <f>PM_Angle!$J$19+PM_Angle!$K$19*$C1028+PM_Angle!$L$19*$B1028</f>
      </c>
      <c r="AI1028" s="12">
        <f>IF(AH1028&gt;0,IF(AH1028&lt;=eco,alpha*fck*(1-(1-AH1028/eco)^n),alpha*fck),0)</f>
      </c>
      <c r="AJ1028" s="30">
        <f>PM_Angle!$J$20+PM_Angle!$K$20*$C1028+PM_Angle!$L$20*$B1028</f>
      </c>
      <c r="AK1028" s="12">
        <f>IF(AJ1028&gt;0,IF(AJ1028&lt;=eco,alpha*fck*(1-(1-AJ1028/eco)^n),alpha*fck),0)</f>
      </c>
      <c r="AL1028" s="30">
        <f>PM_Angle!$J$21+PM_Angle!$K$21*$C1028+PM_Angle!$L$21*$B1028</f>
      </c>
      <c r="AM1028" s="12">
        <f>IF(AL1028&gt;0,IF(AL1028&lt;=eco,alpha*fck*(1-(1-AL1028/eco)^n),alpha*fck),0)</f>
      </c>
      <c r="AN1028" s="30">
        <f>PM_Angle!$J$22+PM_Angle!$K$22*$C1028+PM_Angle!$L$22*$B1028</f>
      </c>
      <c r="AO1028" s="12">
        <f>IF(AN1028&gt;0,IF(AN1028&lt;=eco,alpha*fck*(1-(1-AN1028/eco)^n),alpha*fck),0)</f>
      </c>
      <c r="AP1028" s="30">
        <f>PM_Angle!$J$23+PM_Angle!$K$23*$C1028+PM_Angle!$L$23*$B1028</f>
      </c>
      <c r="AQ1028" s="12">
        <f>IF(AP1028&gt;0,IF(AP1028&lt;=eco,alpha*fck*(1-(1-AP1028/eco)^n),alpha*fck),0)</f>
      </c>
      <c r="AR1028" s="30">
        <f>PM_Angle!$J$24+PM_Angle!$K$24*$C1028+PM_Angle!$L$24*$B1028</f>
      </c>
      <c r="AS1028" s="12">
        <f>IF(AR1028&gt;0,IF(AR1028&lt;=eco,alpha*fck*(1-(1-AR1028/eco)^n),alpha*fck),0)</f>
      </c>
      <c r="AT1028" s="30">
        <f>PM_Angle!$J$25+PM_Angle!$K$25*$C1028+PM_Angle!$L$25*$B1028</f>
      </c>
      <c r="AU1028" s="12">
        <f>IF(AT1028&gt;0,IF(AT1028&lt;=eco,alpha*fck*(1-(1-AT1028/eco)^n),alpha*fck),0)</f>
      </c>
    </row>
    <row r="1029" spans="1:47" x14ac:dyDescent="0.25">
      <c r="A1029">
        <f>Mesh!A1026</f>
      </c>
      <c r="B1029" s="12">
        <f>Mesh!B1026</f>
      </c>
      <c r="C1029" s="12">
        <f>Mesh!C1026</f>
      </c>
      <c r="D1029" s="12">
        <f>Mesh!D1026</f>
      </c>
      <c r="E1029" s="30">
        <f>INDEX(St_e0,Det+1)+INDEX(St_kx,Det+1)*C1029+INDEX(St_ky,Det+1)*B1029</f>
      </c>
      <c r="F1029" s="12">
        <f>IF(E1029&gt;0,IF(E1029&lt;=eco,alpha*fck*(1-(1-E1029/eco)^n),alpha*fck),0)</f>
      </c>
      <c r="G1029" s="11">
        <f>F1029*D1029</f>
      </c>
      <c r="H1029" s="11">
        <f>G1029*C1029</f>
      </c>
      <c r="I1029" s="11">
        <f>G1029*B1029</f>
      </c>
      <c r="J1029" s="30">
        <f>PM_Angle!$J$7+PM_Angle!$K$7*$C1029+PM_Angle!$L$7*$B1029</f>
      </c>
      <c r="K1029" s="12">
        <f>IF(J1029&gt;0,IF(J1029&lt;=eco,alpha*fck*(1-(1-J1029/eco)^n),alpha*fck),0)</f>
      </c>
      <c r="L1029" s="30">
        <f>PM_Angle!$J$8+PM_Angle!$K$8*$C1029+PM_Angle!$L$8*$B1029</f>
      </c>
      <c r="M1029" s="12">
        <f>IF(L1029&gt;0,IF(L1029&lt;=eco,alpha*fck*(1-(1-L1029/eco)^n),alpha*fck),0)</f>
      </c>
      <c r="N1029" s="30">
        <f>PM_Angle!$J$9+PM_Angle!$K$9*$C1029+PM_Angle!$L$9*$B1029</f>
      </c>
      <c r="O1029" s="12">
        <f>IF(N1029&gt;0,IF(N1029&lt;=eco,alpha*fck*(1-(1-N1029/eco)^n),alpha*fck),0)</f>
      </c>
      <c r="P1029" s="30">
        <f>PM_Angle!$J$10+PM_Angle!$K$10*$C1029+PM_Angle!$L$10*$B1029</f>
      </c>
      <c r="Q1029" s="12">
        <f>IF(P1029&gt;0,IF(P1029&lt;=eco,alpha*fck*(1-(1-P1029/eco)^n),alpha*fck),0)</f>
      </c>
      <c r="R1029" s="30">
        <f>PM_Angle!$J$11+PM_Angle!$K$11*$C1029+PM_Angle!$L$11*$B1029</f>
      </c>
      <c r="S1029" s="12">
        <f>IF(R1029&gt;0,IF(R1029&lt;=eco,alpha*fck*(1-(1-R1029/eco)^n),alpha*fck),0)</f>
      </c>
      <c r="T1029" s="30">
        <f>PM_Angle!$J$12+PM_Angle!$K$12*$C1029+PM_Angle!$L$12*$B1029</f>
      </c>
      <c r="U1029" s="12">
        <f>IF(T1029&gt;0,IF(T1029&lt;=eco,alpha*fck*(1-(1-T1029/eco)^n),alpha*fck),0)</f>
      </c>
      <c r="V1029" s="30">
        <f>PM_Angle!$J$13+PM_Angle!$K$13*$C1029+PM_Angle!$L$13*$B1029</f>
      </c>
      <c r="W1029" s="12">
        <f>IF(V1029&gt;0,IF(V1029&lt;=eco,alpha*fck*(1-(1-V1029/eco)^n),alpha*fck),0)</f>
      </c>
      <c r="X1029" s="30">
        <f>PM_Angle!$J$14+PM_Angle!$K$14*$C1029+PM_Angle!$L$14*$B1029</f>
      </c>
      <c r="Y1029" s="12">
        <f>IF(X1029&gt;0,IF(X1029&lt;=eco,alpha*fck*(1-(1-X1029/eco)^n),alpha*fck),0)</f>
      </c>
      <c r="Z1029" s="30">
        <f>PM_Angle!$J$15+PM_Angle!$K$15*$C1029+PM_Angle!$L$15*$B1029</f>
      </c>
      <c r="AA1029" s="12">
        <f>IF(Z1029&gt;0,IF(Z1029&lt;=eco,alpha*fck*(1-(1-Z1029/eco)^n),alpha*fck),0)</f>
      </c>
      <c r="AB1029" s="30">
        <f>PM_Angle!$J$16+PM_Angle!$K$16*$C1029+PM_Angle!$L$16*$B1029</f>
      </c>
      <c r="AC1029" s="12">
        <f>IF(AB1029&gt;0,IF(AB1029&lt;=eco,alpha*fck*(1-(1-AB1029/eco)^n),alpha*fck),0)</f>
      </c>
      <c r="AD1029" s="30">
        <f>PM_Angle!$J$17+PM_Angle!$K$17*$C1029+PM_Angle!$L$17*$B1029</f>
      </c>
      <c r="AE1029" s="12">
        <f>IF(AD1029&gt;0,IF(AD1029&lt;=eco,alpha*fck*(1-(1-AD1029/eco)^n),alpha*fck),0)</f>
      </c>
      <c r="AF1029" s="30">
        <f>PM_Angle!$J$18+PM_Angle!$K$18*$C1029+PM_Angle!$L$18*$B1029</f>
      </c>
      <c r="AG1029" s="12">
        <f>IF(AF1029&gt;0,IF(AF1029&lt;=eco,alpha*fck*(1-(1-AF1029/eco)^n),alpha*fck),0)</f>
      </c>
      <c r="AH1029" s="30">
        <f>PM_Angle!$J$19+PM_Angle!$K$19*$C1029+PM_Angle!$L$19*$B1029</f>
      </c>
      <c r="AI1029" s="12">
        <f>IF(AH1029&gt;0,IF(AH1029&lt;=eco,alpha*fck*(1-(1-AH1029/eco)^n),alpha*fck),0)</f>
      </c>
      <c r="AJ1029" s="30">
        <f>PM_Angle!$J$20+PM_Angle!$K$20*$C1029+PM_Angle!$L$20*$B1029</f>
      </c>
      <c r="AK1029" s="12">
        <f>IF(AJ1029&gt;0,IF(AJ1029&lt;=eco,alpha*fck*(1-(1-AJ1029/eco)^n),alpha*fck),0)</f>
      </c>
      <c r="AL1029" s="30">
        <f>PM_Angle!$J$21+PM_Angle!$K$21*$C1029+PM_Angle!$L$21*$B1029</f>
      </c>
      <c r="AM1029" s="12">
        <f>IF(AL1029&gt;0,IF(AL1029&lt;=eco,alpha*fck*(1-(1-AL1029/eco)^n),alpha*fck),0)</f>
      </c>
      <c r="AN1029" s="30">
        <f>PM_Angle!$J$22+PM_Angle!$K$22*$C1029+PM_Angle!$L$22*$B1029</f>
      </c>
      <c r="AO1029" s="12">
        <f>IF(AN1029&gt;0,IF(AN1029&lt;=eco,alpha*fck*(1-(1-AN1029/eco)^n),alpha*fck),0)</f>
      </c>
      <c r="AP1029" s="30">
        <f>PM_Angle!$J$23+PM_Angle!$K$23*$C1029+PM_Angle!$L$23*$B1029</f>
      </c>
      <c r="AQ1029" s="12">
        <f>IF(AP1029&gt;0,IF(AP1029&lt;=eco,alpha*fck*(1-(1-AP1029/eco)^n),alpha*fck),0)</f>
      </c>
      <c r="AR1029" s="30">
        <f>PM_Angle!$J$24+PM_Angle!$K$24*$C1029+PM_Angle!$L$24*$B1029</f>
      </c>
      <c r="AS1029" s="12">
        <f>IF(AR1029&gt;0,IF(AR1029&lt;=eco,alpha*fck*(1-(1-AR1029/eco)^n),alpha*fck),0)</f>
      </c>
      <c r="AT1029" s="30">
        <f>PM_Angle!$J$25+PM_Angle!$K$25*$C1029+PM_Angle!$L$25*$B1029</f>
      </c>
      <c r="AU1029" s="12">
        <f>IF(AT1029&gt;0,IF(AT1029&lt;=eco,alpha*fck*(1-(1-AT1029/eco)^n),alpha*fck),0)</f>
      </c>
    </row>
    <row r="1030" spans="1:47" x14ac:dyDescent="0.25">
      <c r="A1030">
        <f>Mesh!A1027</f>
      </c>
      <c r="B1030" s="12">
        <f>Mesh!B1027</f>
      </c>
      <c r="C1030" s="12">
        <f>Mesh!C1027</f>
      </c>
      <c r="D1030" s="12">
        <f>Mesh!D1027</f>
      </c>
      <c r="E1030" s="30">
        <f>INDEX(St_e0,Det+1)+INDEX(St_kx,Det+1)*C1030+INDEX(St_ky,Det+1)*B1030</f>
      </c>
      <c r="F1030" s="12">
        <f>IF(E1030&gt;0,IF(E1030&lt;=eco,alpha*fck*(1-(1-E1030/eco)^n),alpha*fck),0)</f>
      </c>
      <c r="G1030" s="11">
        <f>F1030*D1030</f>
      </c>
      <c r="H1030" s="11">
        <f>G1030*C1030</f>
      </c>
      <c r="I1030" s="11">
        <f>G1030*B1030</f>
      </c>
      <c r="J1030" s="30">
        <f>PM_Angle!$J$7+PM_Angle!$K$7*$C1030+PM_Angle!$L$7*$B1030</f>
      </c>
      <c r="K1030" s="12">
        <f>IF(J1030&gt;0,IF(J1030&lt;=eco,alpha*fck*(1-(1-J1030/eco)^n),alpha*fck),0)</f>
      </c>
      <c r="L1030" s="30">
        <f>PM_Angle!$J$8+PM_Angle!$K$8*$C1030+PM_Angle!$L$8*$B1030</f>
      </c>
      <c r="M1030" s="12">
        <f>IF(L1030&gt;0,IF(L1030&lt;=eco,alpha*fck*(1-(1-L1030/eco)^n),alpha*fck),0)</f>
      </c>
      <c r="N1030" s="30">
        <f>PM_Angle!$J$9+PM_Angle!$K$9*$C1030+PM_Angle!$L$9*$B1030</f>
      </c>
      <c r="O1030" s="12">
        <f>IF(N1030&gt;0,IF(N1030&lt;=eco,alpha*fck*(1-(1-N1030/eco)^n),alpha*fck),0)</f>
      </c>
      <c r="P1030" s="30">
        <f>PM_Angle!$J$10+PM_Angle!$K$10*$C1030+PM_Angle!$L$10*$B1030</f>
      </c>
      <c r="Q1030" s="12">
        <f>IF(P1030&gt;0,IF(P1030&lt;=eco,alpha*fck*(1-(1-P1030/eco)^n),alpha*fck),0)</f>
      </c>
      <c r="R1030" s="30">
        <f>PM_Angle!$J$11+PM_Angle!$K$11*$C1030+PM_Angle!$L$11*$B1030</f>
      </c>
      <c r="S1030" s="12">
        <f>IF(R1030&gt;0,IF(R1030&lt;=eco,alpha*fck*(1-(1-R1030/eco)^n),alpha*fck),0)</f>
      </c>
      <c r="T1030" s="30">
        <f>PM_Angle!$J$12+PM_Angle!$K$12*$C1030+PM_Angle!$L$12*$B1030</f>
      </c>
      <c r="U1030" s="12">
        <f>IF(T1030&gt;0,IF(T1030&lt;=eco,alpha*fck*(1-(1-T1030/eco)^n),alpha*fck),0)</f>
      </c>
      <c r="V1030" s="30">
        <f>PM_Angle!$J$13+PM_Angle!$K$13*$C1030+PM_Angle!$L$13*$B1030</f>
      </c>
      <c r="W1030" s="12">
        <f>IF(V1030&gt;0,IF(V1030&lt;=eco,alpha*fck*(1-(1-V1030/eco)^n),alpha*fck),0)</f>
      </c>
      <c r="X1030" s="30">
        <f>PM_Angle!$J$14+PM_Angle!$K$14*$C1030+PM_Angle!$L$14*$B1030</f>
      </c>
      <c r="Y1030" s="12">
        <f>IF(X1030&gt;0,IF(X1030&lt;=eco,alpha*fck*(1-(1-X1030/eco)^n),alpha*fck),0)</f>
      </c>
      <c r="Z1030" s="30">
        <f>PM_Angle!$J$15+PM_Angle!$K$15*$C1030+PM_Angle!$L$15*$B1030</f>
      </c>
      <c r="AA1030" s="12">
        <f>IF(Z1030&gt;0,IF(Z1030&lt;=eco,alpha*fck*(1-(1-Z1030/eco)^n),alpha*fck),0)</f>
      </c>
      <c r="AB1030" s="30">
        <f>PM_Angle!$J$16+PM_Angle!$K$16*$C1030+PM_Angle!$L$16*$B1030</f>
      </c>
      <c r="AC1030" s="12">
        <f>IF(AB1030&gt;0,IF(AB1030&lt;=eco,alpha*fck*(1-(1-AB1030/eco)^n),alpha*fck),0)</f>
      </c>
      <c r="AD1030" s="30">
        <f>PM_Angle!$J$17+PM_Angle!$K$17*$C1030+PM_Angle!$L$17*$B1030</f>
      </c>
      <c r="AE1030" s="12">
        <f>IF(AD1030&gt;0,IF(AD1030&lt;=eco,alpha*fck*(1-(1-AD1030/eco)^n),alpha*fck),0)</f>
      </c>
      <c r="AF1030" s="30">
        <f>PM_Angle!$J$18+PM_Angle!$K$18*$C1030+PM_Angle!$L$18*$B1030</f>
      </c>
      <c r="AG1030" s="12">
        <f>IF(AF1030&gt;0,IF(AF1030&lt;=eco,alpha*fck*(1-(1-AF1030/eco)^n),alpha*fck),0)</f>
      </c>
      <c r="AH1030" s="30">
        <f>PM_Angle!$J$19+PM_Angle!$K$19*$C1030+PM_Angle!$L$19*$B1030</f>
      </c>
      <c r="AI1030" s="12">
        <f>IF(AH1030&gt;0,IF(AH1030&lt;=eco,alpha*fck*(1-(1-AH1030/eco)^n),alpha*fck),0)</f>
      </c>
      <c r="AJ1030" s="30">
        <f>PM_Angle!$J$20+PM_Angle!$K$20*$C1030+PM_Angle!$L$20*$B1030</f>
      </c>
      <c r="AK1030" s="12">
        <f>IF(AJ1030&gt;0,IF(AJ1030&lt;=eco,alpha*fck*(1-(1-AJ1030/eco)^n),alpha*fck),0)</f>
      </c>
      <c r="AL1030" s="30">
        <f>PM_Angle!$J$21+PM_Angle!$K$21*$C1030+PM_Angle!$L$21*$B1030</f>
      </c>
      <c r="AM1030" s="12">
        <f>IF(AL1030&gt;0,IF(AL1030&lt;=eco,alpha*fck*(1-(1-AL1030/eco)^n),alpha*fck),0)</f>
      </c>
      <c r="AN1030" s="30">
        <f>PM_Angle!$J$22+PM_Angle!$K$22*$C1030+PM_Angle!$L$22*$B1030</f>
      </c>
      <c r="AO1030" s="12">
        <f>IF(AN1030&gt;0,IF(AN1030&lt;=eco,alpha*fck*(1-(1-AN1030/eco)^n),alpha*fck),0)</f>
      </c>
      <c r="AP1030" s="30">
        <f>PM_Angle!$J$23+PM_Angle!$K$23*$C1030+PM_Angle!$L$23*$B1030</f>
      </c>
      <c r="AQ1030" s="12">
        <f>IF(AP1030&gt;0,IF(AP1030&lt;=eco,alpha*fck*(1-(1-AP1030/eco)^n),alpha*fck),0)</f>
      </c>
      <c r="AR1030" s="30">
        <f>PM_Angle!$J$24+PM_Angle!$K$24*$C1030+PM_Angle!$L$24*$B1030</f>
      </c>
      <c r="AS1030" s="12">
        <f>IF(AR1030&gt;0,IF(AR1030&lt;=eco,alpha*fck*(1-(1-AR1030/eco)^n),alpha*fck),0)</f>
      </c>
      <c r="AT1030" s="30">
        <f>PM_Angle!$J$25+PM_Angle!$K$25*$C1030+PM_Angle!$L$25*$B1030</f>
      </c>
      <c r="AU1030" s="12">
        <f>IF(AT1030&gt;0,IF(AT1030&lt;=eco,alpha*fck*(1-(1-AT1030/eco)^n),alpha*fck),0)</f>
      </c>
    </row>
    <row r="1031" spans="1:47" x14ac:dyDescent="0.25">
      <c r="A1031">
        <f>Mesh!A1028</f>
      </c>
      <c r="B1031" s="12">
        <f>Mesh!B1028</f>
      </c>
      <c r="C1031" s="12">
        <f>Mesh!C1028</f>
      </c>
      <c r="D1031" s="12">
        <f>Mesh!D1028</f>
      </c>
      <c r="E1031" s="30">
        <f>INDEX(St_e0,Det+1)+INDEX(St_kx,Det+1)*C1031+INDEX(St_ky,Det+1)*B1031</f>
      </c>
      <c r="F1031" s="12">
        <f>IF(E1031&gt;0,IF(E1031&lt;=eco,alpha*fck*(1-(1-E1031/eco)^n),alpha*fck),0)</f>
      </c>
      <c r="G1031" s="11">
        <f>F1031*D1031</f>
      </c>
      <c r="H1031" s="11">
        <f>G1031*C1031</f>
      </c>
      <c r="I1031" s="11">
        <f>G1031*B1031</f>
      </c>
      <c r="J1031" s="30">
        <f>PM_Angle!$J$7+PM_Angle!$K$7*$C1031+PM_Angle!$L$7*$B1031</f>
      </c>
      <c r="K1031" s="12">
        <f>IF(J1031&gt;0,IF(J1031&lt;=eco,alpha*fck*(1-(1-J1031/eco)^n),alpha*fck),0)</f>
      </c>
      <c r="L1031" s="30">
        <f>PM_Angle!$J$8+PM_Angle!$K$8*$C1031+PM_Angle!$L$8*$B1031</f>
      </c>
      <c r="M1031" s="12">
        <f>IF(L1031&gt;0,IF(L1031&lt;=eco,alpha*fck*(1-(1-L1031/eco)^n),alpha*fck),0)</f>
      </c>
      <c r="N1031" s="30">
        <f>PM_Angle!$J$9+PM_Angle!$K$9*$C1031+PM_Angle!$L$9*$B1031</f>
      </c>
      <c r="O1031" s="12">
        <f>IF(N1031&gt;0,IF(N1031&lt;=eco,alpha*fck*(1-(1-N1031/eco)^n),alpha*fck),0)</f>
      </c>
      <c r="P1031" s="30">
        <f>PM_Angle!$J$10+PM_Angle!$K$10*$C1031+PM_Angle!$L$10*$B1031</f>
      </c>
      <c r="Q1031" s="12">
        <f>IF(P1031&gt;0,IF(P1031&lt;=eco,alpha*fck*(1-(1-P1031/eco)^n),alpha*fck),0)</f>
      </c>
      <c r="R1031" s="30">
        <f>PM_Angle!$J$11+PM_Angle!$K$11*$C1031+PM_Angle!$L$11*$B1031</f>
      </c>
      <c r="S1031" s="12">
        <f>IF(R1031&gt;0,IF(R1031&lt;=eco,alpha*fck*(1-(1-R1031/eco)^n),alpha*fck),0)</f>
      </c>
      <c r="T1031" s="30">
        <f>PM_Angle!$J$12+PM_Angle!$K$12*$C1031+PM_Angle!$L$12*$B1031</f>
      </c>
      <c r="U1031" s="12">
        <f>IF(T1031&gt;0,IF(T1031&lt;=eco,alpha*fck*(1-(1-T1031/eco)^n),alpha*fck),0)</f>
      </c>
      <c r="V1031" s="30">
        <f>PM_Angle!$J$13+PM_Angle!$K$13*$C1031+PM_Angle!$L$13*$B1031</f>
      </c>
      <c r="W1031" s="12">
        <f>IF(V1031&gt;0,IF(V1031&lt;=eco,alpha*fck*(1-(1-V1031/eco)^n),alpha*fck),0)</f>
      </c>
      <c r="X1031" s="30">
        <f>PM_Angle!$J$14+PM_Angle!$K$14*$C1031+PM_Angle!$L$14*$B1031</f>
      </c>
      <c r="Y1031" s="12">
        <f>IF(X1031&gt;0,IF(X1031&lt;=eco,alpha*fck*(1-(1-X1031/eco)^n),alpha*fck),0)</f>
      </c>
      <c r="Z1031" s="30">
        <f>PM_Angle!$J$15+PM_Angle!$K$15*$C1031+PM_Angle!$L$15*$B1031</f>
      </c>
      <c r="AA1031" s="12">
        <f>IF(Z1031&gt;0,IF(Z1031&lt;=eco,alpha*fck*(1-(1-Z1031/eco)^n),alpha*fck),0)</f>
      </c>
      <c r="AB1031" s="30">
        <f>PM_Angle!$J$16+PM_Angle!$K$16*$C1031+PM_Angle!$L$16*$B1031</f>
      </c>
      <c r="AC1031" s="12">
        <f>IF(AB1031&gt;0,IF(AB1031&lt;=eco,alpha*fck*(1-(1-AB1031/eco)^n),alpha*fck),0)</f>
      </c>
      <c r="AD1031" s="30">
        <f>PM_Angle!$J$17+PM_Angle!$K$17*$C1031+PM_Angle!$L$17*$B1031</f>
      </c>
      <c r="AE1031" s="12">
        <f>IF(AD1031&gt;0,IF(AD1031&lt;=eco,alpha*fck*(1-(1-AD1031/eco)^n),alpha*fck),0)</f>
      </c>
      <c r="AF1031" s="30">
        <f>PM_Angle!$J$18+PM_Angle!$K$18*$C1031+PM_Angle!$L$18*$B1031</f>
      </c>
      <c r="AG1031" s="12">
        <f>IF(AF1031&gt;0,IF(AF1031&lt;=eco,alpha*fck*(1-(1-AF1031/eco)^n),alpha*fck),0)</f>
      </c>
      <c r="AH1031" s="30">
        <f>PM_Angle!$J$19+PM_Angle!$K$19*$C1031+PM_Angle!$L$19*$B1031</f>
      </c>
      <c r="AI1031" s="12">
        <f>IF(AH1031&gt;0,IF(AH1031&lt;=eco,alpha*fck*(1-(1-AH1031/eco)^n),alpha*fck),0)</f>
      </c>
      <c r="AJ1031" s="30">
        <f>PM_Angle!$J$20+PM_Angle!$K$20*$C1031+PM_Angle!$L$20*$B1031</f>
      </c>
      <c r="AK1031" s="12">
        <f>IF(AJ1031&gt;0,IF(AJ1031&lt;=eco,alpha*fck*(1-(1-AJ1031/eco)^n),alpha*fck),0)</f>
      </c>
      <c r="AL1031" s="30">
        <f>PM_Angle!$J$21+PM_Angle!$K$21*$C1031+PM_Angle!$L$21*$B1031</f>
      </c>
      <c r="AM1031" s="12">
        <f>IF(AL1031&gt;0,IF(AL1031&lt;=eco,alpha*fck*(1-(1-AL1031/eco)^n),alpha*fck),0)</f>
      </c>
      <c r="AN1031" s="30">
        <f>PM_Angle!$J$22+PM_Angle!$K$22*$C1031+PM_Angle!$L$22*$B1031</f>
      </c>
      <c r="AO1031" s="12">
        <f>IF(AN1031&gt;0,IF(AN1031&lt;=eco,alpha*fck*(1-(1-AN1031/eco)^n),alpha*fck),0)</f>
      </c>
      <c r="AP1031" s="30">
        <f>PM_Angle!$J$23+PM_Angle!$K$23*$C1031+PM_Angle!$L$23*$B1031</f>
      </c>
      <c r="AQ1031" s="12">
        <f>IF(AP1031&gt;0,IF(AP1031&lt;=eco,alpha*fck*(1-(1-AP1031/eco)^n),alpha*fck),0)</f>
      </c>
      <c r="AR1031" s="30">
        <f>PM_Angle!$J$24+PM_Angle!$K$24*$C1031+PM_Angle!$L$24*$B1031</f>
      </c>
      <c r="AS1031" s="12">
        <f>IF(AR1031&gt;0,IF(AR1031&lt;=eco,alpha*fck*(1-(1-AR1031/eco)^n),alpha*fck),0)</f>
      </c>
      <c r="AT1031" s="30">
        <f>PM_Angle!$J$25+PM_Angle!$K$25*$C1031+PM_Angle!$L$25*$B1031</f>
      </c>
      <c r="AU1031" s="12">
        <f>IF(AT1031&gt;0,IF(AT1031&lt;=eco,alpha*fck*(1-(1-AT1031/eco)^n),alpha*fck),0)</f>
      </c>
    </row>
    <row r="1032" spans="1:47" x14ac:dyDescent="0.25">
      <c r="A1032">
        <f>Mesh!A1029</f>
      </c>
      <c r="B1032" s="12">
        <f>Mesh!B1029</f>
      </c>
      <c r="C1032" s="12">
        <f>Mesh!C1029</f>
      </c>
      <c r="D1032" s="12">
        <f>Mesh!D1029</f>
      </c>
      <c r="E1032" s="30">
        <f>INDEX(St_e0,Det+1)+INDEX(St_kx,Det+1)*C1032+INDEX(St_ky,Det+1)*B1032</f>
      </c>
      <c r="F1032" s="12">
        <f>IF(E1032&gt;0,IF(E1032&lt;=eco,alpha*fck*(1-(1-E1032/eco)^n),alpha*fck),0)</f>
      </c>
      <c r="G1032" s="11">
        <f>F1032*D1032</f>
      </c>
      <c r="H1032" s="11">
        <f>G1032*C1032</f>
      </c>
      <c r="I1032" s="11">
        <f>G1032*B1032</f>
      </c>
      <c r="J1032" s="30">
        <f>PM_Angle!$J$7+PM_Angle!$K$7*$C1032+PM_Angle!$L$7*$B1032</f>
      </c>
      <c r="K1032" s="12">
        <f>IF(J1032&gt;0,IF(J1032&lt;=eco,alpha*fck*(1-(1-J1032/eco)^n),alpha*fck),0)</f>
      </c>
      <c r="L1032" s="30">
        <f>PM_Angle!$J$8+PM_Angle!$K$8*$C1032+PM_Angle!$L$8*$B1032</f>
      </c>
      <c r="M1032" s="12">
        <f>IF(L1032&gt;0,IF(L1032&lt;=eco,alpha*fck*(1-(1-L1032/eco)^n),alpha*fck),0)</f>
      </c>
      <c r="N1032" s="30">
        <f>PM_Angle!$J$9+PM_Angle!$K$9*$C1032+PM_Angle!$L$9*$B1032</f>
      </c>
      <c r="O1032" s="12">
        <f>IF(N1032&gt;0,IF(N1032&lt;=eco,alpha*fck*(1-(1-N1032/eco)^n),alpha*fck),0)</f>
      </c>
      <c r="P1032" s="30">
        <f>PM_Angle!$J$10+PM_Angle!$K$10*$C1032+PM_Angle!$L$10*$B1032</f>
      </c>
      <c r="Q1032" s="12">
        <f>IF(P1032&gt;0,IF(P1032&lt;=eco,alpha*fck*(1-(1-P1032/eco)^n),alpha*fck),0)</f>
      </c>
      <c r="R1032" s="30">
        <f>PM_Angle!$J$11+PM_Angle!$K$11*$C1032+PM_Angle!$L$11*$B1032</f>
      </c>
      <c r="S1032" s="12">
        <f>IF(R1032&gt;0,IF(R1032&lt;=eco,alpha*fck*(1-(1-R1032/eco)^n),alpha*fck),0)</f>
      </c>
      <c r="T1032" s="30">
        <f>PM_Angle!$J$12+PM_Angle!$K$12*$C1032+PM_Angle!$L$12*$B1032</f>
      </c>
      <c r="U1032" s="12">
        <f>IF(T1032&gt;0,IF(T1032&lt;=eco,alpha*fck*(1-(1-T1032/eco)^n),alpha*fck),0)</f>
      </c>
      <c r="V1032" s="30">
        <f>PM_Angle!$J$13+PM_Angle!$K$13*$C1032+PM_Angle!$L$13*$B1032</f>
      </c>
      <c r="W1032" s="12">
        <f>IF(V1032&gt;0,IF(V1032&lt;=eco,alpha*fck*(1-(1-V1032/eco)^n),alpha*fck),0)</f>
      </c>
      <c r="X1032" s="30">
        <f>PM_Angle!$J$14+PM_Angle!$K$14*$C1032+PM_Angle!$L$14*$B1032</f>
      </c>
      <c r="Y1032" s="12">
        <f>IF(X1032&gt;0,IF(X1032&lt;=eco,alpha*fck*(1-(1-X1032/eco)^n),alpha*fck),0)</f>
      </c>
      <c r="Z1032" s="30">
        <f>PM_Angle!$J$15+PM_Angle!$K$15*$C1032+PM_Angle!$L$15*$B1032</f>
      </c>
      <c r="AA1032" s="12">
        <f>IF(Z1032&gt;0,IF(Z1032&lt;=eco,alpha*fck*(1-(1-Z1032/eco)^n),alpha*fck),0)</f>
      </c>
      <c r="AB1032" s="30">
        <f>PM_Angle!$J$16+PM_Angle!$K$16*$C1032+PM_Angle!$L$16*$B1032</f>
      </c>
      <c r="AC1032" s="12">
        <f>IF(AB1032&gt;0,IF(AB1032&lt;=eco,alpha*fck*(1-(1-AB1032/eco)^n),alpha*fck),0)</f>
      </c>
      <c r="AD1032" s="30">
        <f>PM_Angle!$J$17+PM_Angle!$K$17*$C1032+PM_Angle!$L$17*$B1032</f>
      </c>
      <c r="AE1032" s="12">
        <f>IF(AD1032&gt;0,IF(AD1032&lt;=eco,alpha*fck*(1-(1-AD1032/eco)^n),alpha*fck),0)</f>
      </c>
      <c r="AF1032" s="30">
        <f>PM_Angle!$J$18+PM_Angle!$K$18*$C1032+PM_Angle!$L$18*$B1032</f>
      </c>
      <c r="AG1032" s="12">
        <f>IF(AF1032&gt;0,IF(AF1032&lt;=eco,alpha*fck*(1-(1-AF1032/eco)^n),alpha*fck),0)</f>
      </c>
      <c r="AH1032" s="30">
        <f>PM_Angle!$J$19+PM_Angle!$K$19*$C1032+PM_Angle!$L$19*$B1032</f>
      </c>
      <c r="AI1032" s="12">
        <f>IF(AH1032&gt;0,IF(AH1032&lt;=eco,alpha*fck*(1-(1-AH1032/eco)^n),alpha*fck),0)</f>
      </c>
      <c r="AJ1032" s="30">
        <f>PM_Angle!$J$20+PM_Angle!$K$20*$C1032+PM_Angle!$L$20*$B1032</f>
      </c>
      <c r="AK1032" s="12">
        <f>IF(AJ1032&gt;0,IF(AJ1032&lt;=eco,alpha*fck*(1-(1-AJ1032/eco)^n),alpha*fck),0)</f>
      </c>
      <c r="AL1032" s="30">
        <f>PM_Angle!$J$21+PM_Angle!$K$21*$C1032+PM_Angle!$L$21*$B1032</f>
      </c>
      <c r="AM1032" s="12">
        <f>IF(AL1032&gt;0,IF(AL1032&lt;=eco,alpha*fck*(1-(1-AL1032/eco)^n),alpha*fck),0)</f>
      </c>
      <c r="AN1032" s="30">
        <f>PM_Angle!$J$22+PM_Angle!$K$22*$C1032+PM_Angle!$L$22*$B1032</f>
      </c>
      <c r="AO1032" s="12">
        <f>IF(AN1032&gt;0,IF(AN1032&lt;=eco,alpha*fck*(1-(1-AN1032/eco)^n),alpha*fck),0)</f>
      </c>
      <c r="AP1032" s="30">
        <f>PM_Angle!$J$23+PM_Angle!$K$23*$C1032+PM_Angle!$L$23*$B1032</f>
      </c>
      <c r="AQ1032" s="12">
        <f>IF(AP1032&gt;0,IF(AP1032&lt;=eco,alpha*fck*(1-(1-AP1032/eco)^n),alpha*fck),0)</f>
      </c>
      <c r="AR1032" s="30">
        <f>PM_Angle!$J$24+PM_Angle!$K$24*$C1032+PM_Angle!$L$24*$B1032</f>
      </c>
      <c r="AS1032" s="12">
        <f>IF(AR1032&gt;0,IF(AR1032&lt;=eco,alpha*fck*(1-(1-AR1032/eco)^n),alpha*fck),0)</f>
      </c>
      <c r="AT1032" s="30">
        <f>PM_Angle!$J$25+PM_Angle!$K$25*$C1032+PM_Angle!$L$25*$B1032</f>
      </c>
      <c r="AU1032" s="12">
        <f>IF(AT1032&gt;0,IF(AT1032&lt;=eco,alpha*fck*(1-(1-AT1032/eco)^n),alpha*fck),0)</f>
      </c>
    </row>
    <row r="1033" spans="1:47" x14ac:dyDescent="0.25">
      <c r="A1033">
        <f>Mesh!A1030</f>
      </c>
      <c r="B1033" s="12">
        <f>Mesh!B1030</f>
      </c>
      <c r="C1033" s="12">
        <f>Mesh!C1030</f>
      </c>
      <c r="D1033" s="12">
        <f>Mesh!D1030</f>
      </c>
      <c r="E1033" s="30">
        <f>INDEX(St_e0,Det+1)+INDEX(St_kx,Det+1)*C1033+INDEX(St_ky,Det+1)*B1033</f>
      </c>
      <c r="F1033" s="12">
        <f>IF(E1033&gt;0,IF(E1033&lt;=eco,alpha*fck*(1-(1-E1033/eco)^n),alpha*fck),0)</f>
      </c>
      <c r="G1033" s="11">
        <f>F1033*D1033</f>
      </c>
      <c r="H1033" s="11">
        <f>G1033*C1033</f>
      </c>
      <c r="I1033" s="11">
        <f>G1033*B1033</f>
      </c>
      <c r="J1033" s="30">
        <f>PM_Angle!$J$7+PM_Angle!$K$7*$C1033+PM_Angle!$L$7*$B1033</f>
      </c>
      <c r="K1033" s="12">
        <f>IF(J1033&gt;0,IF(J1033&lt;=eco,alpha*fck*(1-(1-J1033/eco)^n),alpha*fck),0)</f>
      </c>
      <c r="L1033" s="30">
        <f>PM_Angle!$J$8+PM_Angle!$K$8*$C1033+PM_Angle!$L$8*$B1033</f>
      </c>
      <c r="M1033" s="12">
        <f>IF(L1033&gt;0,IF(L1033&lt;=eco,alpha*fck*(1-(1-L1033/eco)^n),alpha*fck),0)</f>
      </c>
      <c r="N1033" s="30">
        <f>PM_Angle!$J$9+PM_Angle!$K$9*$C1033+PM_Angle!$L$9*$B1033</f>
      </c>
      <c r="O1033" s="12">
        <f>IF(N1033&gt;0,IF(N1033&lt;=eco,alpha*fck*(1-(1-N1033/eco)^n),alpha*fck),0)</f>
      </c>
      <c r="P1033" s="30">
        <f>PM_Angle!$J$10+PM_Angle!$K$10*$C1033+PM_Angle!$L$10*$B1033</f>
      </c>
      <c r="Q1033" s="12">
        <f>IF(P1033&gt;0,IF(P1033&lt;=eco,alpha*fck*(1-(1-P1033/eco)^n),alpha*fck),0)</f>
      </c>
      <c r="R1033" s="30">
        <f>PM_Angle!$J$11+PM_Angle!$K$11*$C1033+PM_Angle!$L$11*$B1033</f>
      </c>
      <c r="S1033" s="12">
        <f>IF(R1033&gt;0,IF(R1033&lt;=eco,alpha*fck*(1-(1-R1033/eco)^n),alpha*fck),0)</f>
      </c>
      <c r="T1033" s="30">
        <f>PM_Angle!$J$12+PM_Angle!$K$12*$C1033+PM_Angle!$L$12*$B1033</f>
      </c>
      <c r="U1033" s="12">
        <f>IF(T1033&gt;0,IF(T1033&lt;=eco,alpha*fck*(1-(1-T1033/eco)^n),alpha*fck),0)</f>
      </c>
      <c r="V1033" s="30">
        <f>PM_Angle!$J$13+PM_Angle!$K$13*$C1033+PM_Angle!$L$13*$B1033</f>
      </c>
      <c r="W1033" s="12">
        <f>IF(V1033&gt;0,IF(V1033&lt;=eco,alpha*fck*(1-(1-V1033/eco)^n),alpha*fck),0)</f>
      </c>
      <c r="X1033" s="30">
        <f>PM_Angle!$J$14+PM_Angle!$K$14*$C1033+PM_Angle!$L$14*$B1033</f>
      </c>
      <c r="Y1033" s="12">
        <f>IF(X1033&gt;0,IF(X1033&lt;=eco,alpha*fck*(1-(1-X1033/eco)^n),alpha*fck),0)</f>
      </c>
      <c r="Z1033" s="30">
        <f>PM_Angle!$J$15+PM_Angle!$K$15*$C1033+PM_Angle!$L$15*$B1033</f>
      </c>
      <c r="AA1033" s="12">
        <f>IF(Z1033&gt;0,IF(Z1033&lt;=eco,alpha*fck*(1-(1-Z1033/eco)^n),alpha*fck),0)</f>
      </c>
      <c r="AB1033" s="30">
        <f>PM_Angle!$J$16+PM_Angle!$K$16*$C1033+PM_Angle!$L$16*$B1033</f>
      </c>
      <c r="AC1033" s="12">
        <f>IF(AB1033&gt;0,IF(AB1033&lt;=eco,alpha*fck*(1-(1-AB1033/eco)^n),alpha*fck),0)</f>
      </c>
      <c r="AD1033" s="30">
        <f>PM_Angle!$J$17+PM_Angle!$K$17*$C1033+PM_Angle!$L$17*$B1033</f>
      </c>
      <c r="AE1033" s="12">
        <f>IF(AD1033&gt;0,IF(AD1033&lt;=eco,alpha*fck*(1-(1-AD1033/eco)^n),alpha*fck),0)</f>
      </c>
      <c r="AF1033" s="30">
        <f>PM_Angle!$J$18+PM_Angle!$K$18*$C1033+PM_Angle!$L$18*$B1033</f>
      </c>
      <c r="AG1033" s="12">
        <f>IF(AF1033&gt;0,IF(AF1033&lt;=eco,alpha*fck*(1-(1-AF1033/eco)^n),alpha*fck),0)</f>
      </c>
      <c r="AH1033" s="30">
        <f>PM_Angle!$J$19+PM_Angle!$K$19*$C1033+PM_Angle!$L$19*$B1033</f>
      </c>
      <c r="AI1033" s="12">
        <f>IF(AH1033&gt;0,IF(AH1033&lt;=eco,alpha*fck*(1-(1-AH1033/eco)^n),alpha*fck),0)</f>
      </c>
      <c r="AJ1033" s="30">
        <f>PM_Angle!$J$20+PM_Angle!$K$20*$C1033+PM_Angle!$L$20*$B1033</f>
      </c>
      <c r="AK1033" s="12">
        <f>IF(AJ1033&gt;0,IF(AJ1033&lt;=eco,alpha*fck*(1-(1-AJ1033/eco)^n),alpha*fck),0)</f>
      </c>
      <c r="AL1033" s="30">
        <f>PM_Angle!$J$21+PM_Angle!$K$21*$C1033+PM_Angle!$L$21*$B1033</f>
      </c>
      <c r="AM1033" s="12">
        <f>IF(AL1033&gt;0,IF(AL1033&lt;=eco,alpha*fck*(1-(1-AL1033/eco)^n),alpha*fck),0)</f>
      </c>
      <c r="AN1033" s="30">
        <f>PM_Angle!$J$22+PM_Angle!$K$22*$C1033+PM_Angle!$L$22*$B1033</f>
      </c>
      <c r="AO1033" s="12">
        <f>IF(AN1033&gt;0,IF(AN1033&lt;=eco,alpha*fck*(1-(1-AN1033/eco)^n),alpha*fck),0)</f>
      </c>
      <c r="AP1033" s="30">
        <f>PM_Angle!$J$23+PM_Angle!$K$23*$C1033+PM_Angle!$L$23*$B1033</f>
      </c>
      <c r="AQ1033" s="12">
        <f>IF(AP1033&gt;0,IF(AP1033&lt;=eco,alpha*fck*(1-(1-AP1033/eco)^n),alpha*fck),0)</f>
      </c>
      <c r="AR1033" s="30">
        <f>PM_Angle!$J$24+PM_Angle!$K$24*$C1033+PM_Angle!$L$24*$B1033</f>
      </c>
      <c r="AS1033" s="12">
        <f>IF(AR1033&gt;0,IF(AR1033&lt;=eco,alpha*fck*(1-(1-AR1033/eco)^n),alpha*fck),0)</f>
      </c>
      <c r="AT1033" s="30">
        <f>PM_Angle!$J$25+PM_Angle!$K$25*$C1033+PM_Angle!$L$25*$B1033</f>
      </c>
      <c r="AU1033" s="12">
        <f>IF(AT1033&gt;0,IF(AT1033&lt;=eco,alpha*fck*(1-(1-AT1033/eco)^n),alpha*fck),0)</f>
      </c>
    </row>
    <row r="1034" spans="1:47" x14ac:dyDescent="0.25">
      <c r="A1034">
        <f>Mesh!A1031</f>
      </c>
      <c r="B1034" s="12">
        <f>Mesh!B1031</f>
      </c>
      <c r="C1034" s="12">
        <f>Mesh!C1031</f>
      </c>
      <c r="D1034" s="12">
        <f>Mesh!D1031</f>
      </c>
      <c r="E1034" s="30">
        <f>INDEX(St_e0,Det+1)+INDEX(St_kx,Det+1)*C1034+INDEX(St_ky,Det+1)*B1034</f>
      </c>
      <c r="F1034" s="12">
        <f>IF(E1034&gt;0,IF(E1034&lt;=eco,alpha*fck*(1-(1-E1034/eco)^n),alpha*fck),0)</f>
      </c>
      <c r="G1034" s="11">
        <f>F1034*D1034</f>
      </c>
      <c r="H1034" s="11">
        <f>G1034*C1034</f>
      </c>
      <c r="I1034" s="11">
        <f>G1034*B1034</f>
      </c>
      <c r="J1034" s="30">
        <f>PM_Angle!$J$7+PM_Angle!$K$7*$C1034+PM_Angle!$L$7*$B1034</f>
      </c>
      <c r="K1034" s="12">
        <f>IF(J1034&gt;0,IF(J1034&lt;=eco,alpha*fck*(1-(1-J1034/eco)^n),alpha*fck),0)</f>
      </c>
      <c r="L1034" s="30">
        <f>PM_Angle!$J$8+PM_Angle!$K$8*$C1034+PM_Angle!$L$8*$B1034</f>
      </c>
      <c r="M1034" s="12">
        <f>IF(L1034&gt;0,IF(L1034&lt;=eco,alpha*fck*(1-(1-L1034/eco)^n),alpha*fck),0)</f>
      </c>
      <c r="N1034" s="30">
        <f>PM_Angle!$J$9+PM_Angle!$K$9*$C1034+PM_Angle!$L$9*$B1034</f>
      </c>
      <c r="O1034" s="12">
        <f>IF(N1034&gt;0,IF(N1034&lt;=eco,alpha*fck*(1-(1-N1034/eco)^n),alpha*fck),0)</f>
      </c>
      <c r="P1034" s="30">
        <f>PM_Angle!$J$10+PM_Angle!$K$10*$C1034+PM_Angle!$L$10*$B1034</f>
      </c>
      <c r="Q1034" s="12">
        <f>IF(P1034&gt;0,IF(P1034&lt;=eco,alpha*fck*(1-(1-P1034/eco)^n),alpha*fck),0)</f>
      </c>
      <c r="R1034" s="30">
        <f>PM_Angle!$J$11+PM_Angle!$K$11*$C1034+PM_Angle!$L$11*$B1034</f>
      </c>
      <c r="S1034" s="12">
        <f>IF(R1034&gt;0,IF(R1034&lt;=eco,alpha*fck*(1-(1-R1034/eco)^n),alpha*fck),0)</f>
      </c>
      <c r="T1034" s="30">
        <f>PM_Angle!$J$12+PM_Angle!$K$12*$C1034+PM_Angle!$L$12*$B1034</f>
      </c>
      <c r="U1034" s="12">
        <f>IF(T1034&gt;0,IF(T1034&lt;=eco,alpha*fck*(1-(1-T1034/eco)^n),alpha*fck),0)</f>
      </c>
      <c r="V1034" s="30">
        <f>PM_Angle!$J$13+PM_Angle!$K$13*$C1034+PM_Angle!$L$13*$B1034</f>
      </c>
      <c r="W1034" s="12">
        <f>IF(V1034&gt;0,IF(V1034&lt;=eco,alpha*fck*(1-(1-V1034/eco)^n),alpha*fck),0)</f>
      </c>
      <c r="X1034" s="30">
        <f>PM_Angle!$J$14+PM_Angle!$K$14*$C1034+PM_Angle!$L$14*$B1034</f>
      </c>
      <c r="Y1034" s="12">
        <f>IF(X1034&gt;0,IF(X1034&lt;=eco,alpha*fck*(1-(1-X1034/eco)^n),alpha*fck),0)</f>
      </c>
      <c r="Z1034" s="30">
        <f>PM_Angle!$J$15+PM_Angle!$K$15*$C1034+PM_Angle!$L$15*$B1034</f>
      </c>
      <c r="AA1034" s="12">
        <f>IF(Z1034&gt;0,IF(Z1034&lt;=eco,alpha*fck*(1-(1-Z1034/eco)^n),alpha*fck),0)</f>
      </c>
      <c r="AB1034" s="30">
        <f>PM_Angle!$J$16+PM_Angle!$K$16*$C1034+PM_Angle!$L$16*$B1034</f>
      </c>
      <c r="AC1034" s="12">
        <f>IF(AB1034&gt;0,IF(AB1034&lt;=eco,alpha*fck*(1-(1-AB1034/eco)^n),alpha*fck),0)</f>
      </c>
      <c r="AD1034" s="30">
        <f>PM_Angle!$J$17+PM_Angle!$K$17*$C1034+PM_Angle!$L$17*$B1034</f>
      </c>
      <c r="AE1034" s="12">
        <f>IF(AD1034&gt;0,IF(AD1034&lt;=eco,alpha*fck*(1-(1-AD1034/eco)^n),alpha*fck),0)</f>
      </c>
      <c r="AF1034" s="30">
        <f>PM_Angle!$J$18+PM_Angle!$K$18*$C1034+PM_Angle!$L$18*$B1034</f>
      </c>
      <c r="AG1034" s="12">
        <f>IF(AF1034&gt;0,IF(AF1034&lt;=eco,alpha*fck*(1-(1-AF1034/eco)^n),alpha*fck),0)</f>
      </c>
      <c r="AH1034" s="30">
        <f>PM_Angle!$J$19+PM_Angle!$K$19*$C1034+PM_Angle!$L$19*$B1034</f>
      </c>
      <c r="AI1034" s="12">
        <f>IF(AH1034&gt;0,IF(AH1034&lt;=eco,alpha*fck*(1-(1-AH1034/eco)^n),alpha*fck),0)</f>
      </c>
      <c r="AJ1034" s="30">
        <f>PM_Angle!$J$20+PM_Angle!$K$20*$C1034+PM_Angle!$L$20*$B1034</f>
      </c>
      <c r="AK1034" s="12">
        <f>IF(AJ1034&gt;0,IF(AJ1034&lt;=eco,alpha*fck*(1-(1-AJ1034/eco)^n),alpha*fck),0)</f>
      </c>
      <c r="AL1034" s="30">
        <f>PM_Angle!$J$21+PM_Angle!$K$21*$C1034+PM_Angle!$L$21*$B1034</f>
      </c>
      <c r="AM1034" s="12">
        <f>IF(AL1034&gt;0,IF(AL1034&lt;=eco,alpha*fck*(1-(1-AL1034/eco)^n),alpha*fck),0)</f>
      </c>
      <c r="AN1034" s="30">
        <f>PM_Angle!$J$22+PM_Angle!$K$22*$C1034+PM_Angle!$L$22*$B1034</f>
      </c>
      <c r="AO1034" s="12">
        <f>IF(AN1034&gt;0,IF(AN1034&lt;=eco,alpha*fck*(1-(1-AN1034/eco)^n),alpha*fck),0)</f>
      </c>
      <c r="AP1034" s="30">
        <f>PM_Angle!$J$23+PM_Angle!$K$23*$C1034+PM_Angle!$L$23*$B1034</f>
      </c>
      <c r="AQ1034" s="12">
        <f>IF(AP1034&gt;0,IF(AP1034&lt;=eco,alpha*fck*(1-(1-AP1034/eco)^n),alpha*fck),0)</f>
      </c>
      <c r="AR1034" s="30">
        <f>PM_Angle!$J$24+PM_Angle!$K$24*$C1034+PM_Angle!$L$24*$B1034</f>
      </c>
      <c r="AS1034" s="12">
        <f>IF(AR1034&gt;0,IF(AR1034&lt;=eco,alpha*fck*(1-(1-AR1034/eco)^n),alpha*fck),0)</f>
      </c>
      <c r="AT1034" s="30">
        <f>PM_Angle!$J$25+PM_Angle!$K$25*$C1034+PM_Angle!$L$25*$B1034</f>
      </c>
      <c r="AU1034" s="12">
        <f>IF(AT1034&gt;0,IF(AT1034&lt;=eco,alpha*fck*(1-(1-AT1034/eco)^n),alpha*fck),0)</f>
      </c>
    </row>
    <row r="1035" spans="1:47" x14ac:dyDescent="0.25">
      <c r="A1035">
        <f>Mesh!A1032</f>
      </c>
      <c r="B1035" s="12">
        <f>Mesh!B1032</f>
      </c>
      <c r="C1035" s="12">
        <f>Mesh!C1032</f>
      </c>
      <c r="D1035" s="12">
        <f>Mesh!D1032</f>
      </c>
      <c r="E1035" s="30">
        <f>INDEX(St_e0,Det+1)+INDEX(St_kx,Det+1)*C1035+INDEX(St_ky,Det+1)*B1035</f>
      </c>
      <c r="F1035" s="12">
        <f>IF(E1035&gt;0,IF(E1035&lt;=eco,alpha*fck*(1-(1-E1035/eco)^n),alpha*fck),0)</f>
      </c>
      <c r="G1035" s="11">
        <f>F1035*D1035</f>
      </c>
      <c r="H1035" s="11">
        <f>G1035*C1035</f>
      </c>
      <c r="I1035" s="11">
        <f>G1035*B1035</f>
      </c>
      <c r="J1035" s="30">
        <f>PM_Angle!$J$7+PM_Angle!$K$7*$C1035+PM_Angle!$L$7*$B1035</f>
      </c>
      <c r="K1035" s="12">
        <f>IF(J1035&gt;0,IF(J1035&lt;=eco,alpha*fck*(1-(1-J1035/eco)^n),alpha*fck),0)</f>
      </c>
      <c r="L1035" s="30">
        <f>PM_Angle!$J$8+PM_Angle!$K$8*$C1035+PM_Angle!$L$8*$B1035</f>
      </c>
      <c r="M1035" s="12">
        <f>IF(L1035&gt;0,IF(L1035&lt;=eco,alpha*fck*(1-(1-L1035/eco)^n),alpha*fck),0)</f>
      </c>
      <c r="N1035" s="30">
        <f>PM_Angle!$J$9+PM_Angle!$K$9*$C1035+PM_Angle!$L$9*$B1035</f>
      </c>
      <c r="O1035" s="12">
        <f>IF(N1035&gt;0,IF(N1035&lt;=eco,alpha*fck*(1-(1-N1035/eco)^n),alpha*fck),0)</f>
      </c>
      <c r="P1035" s="30">
        <f>PM_Angle!$J$10+PM_Angle!$K$10*$C1035+PM_Angle!$L$10*$B1035</f>
      </c>
      <c r="Q1035" s="12">
        <f>IF(P1035&gt;0,IF(P1035&lt;=eco,alpha*fck*(1-(1-P1035/eco)^n),alpha*fck),0)</f>
      </c>
      <c r="R1035" s="30">
        <f>PM_Angle!$J$11+PM_Angle!$K$11*$C1035+PM_Angle!$L$11*$B1035</f>
      </c>
      <c r="S1035" s="12">
        <f>IF(R1035&gt;0,IF(R1035&lt;=eco,alpha*fck*(1-(1-R1035/eco)^n),alpha*fck),0)</f>
      </c>
      <c r="T1035" s="30">
        <f>PM_Angle!$J$12+PM_Angle!$K$12*$C1035+PM_Angle!$L$12*$B1035</f>
      </c>
      <c r="U1035" s="12">
        <f>IF(T1035&gt;0,IF(T1035&lt;=eco,alpha*fck*(1-(1-T1035/eco)^n),alpha*fck),0)</f>
      </c>
      <c r="V1035" s="30">
        <f>PM_Angle!$J$13+PM_Angle!$K$13*$C1035+PM_Angle!$L$13*$B1035</f>
      </c>
      <c r="W1035" s="12">
        <f>IF(V1035&gt;0,IF(V1035&lt;=eco,alpha*fck*(1-(1-V1035/eco)^n),alpha*fck),0)</f>
      </c>
      <c r="X1035" s="30">
        <f>PM_Angle!$J$14+PM_Angle!$K$14*$C1035+PM_Angle!$L$14*$B1035</f>
      </c>
      <c r="Y1035" s="12">
        <f>IF(X1035&gt;0,IF(X1035&lt;=eco,alpha*fck*(1-(1-X1035/eco)^n),alpha*fck),0)</f>
      </c>
      <c r="Z1035" s="30">
        <f>PM_Angle!$J$15+PM_Angle!$K$15*$C1035+PM_Angle!$L$15*$B1035</f>
      </c>
      <c r="AA1035" s="12">
        <f>IF(Z1035&gt;0,IF(Z1035&lt;=eco,alpha*fck*(1-(1-Z1035/eco)^n),alpha*fck),0)</f>
      </c>
      <c r="AB1035" s="30">
        <f>PM_Angle!$J$16+PM_Angle!$K$16*$C1035+PM_Angle!$L$16*$B1035</f>
      </c>
      <c r="AC1035" s="12">
        <f>IF(AB1035&gt;0,IF(AB1035&lt;=eco,alpha*fck*(1-(1-AB1035/eco)^n),alpha*fck),0)</f>
      </c>
      <c r="AD1035" s="30">
        <f>PM_Angle!$J$17+PM_Angle!$K$17*$C1035+PM_Angle!$L$17*$B1035</f>
      </c>
      <c r="AE1035" s="12">
        <f>IF(AD1035&gt;0,IF(AD1035&lt;=eco,alpha*fck*(1-(1-AD1035/eco)^n),alpha*fck),0)</f>
      </c>
      <c r="AF1035" s="30">
        <f>PM_Angle!$J$18+PM_Angle!$K$18*$C1035+PM_Angle!$L$18*$B1035</f>
      </c>
      <c r="AG1035" s="12">
        <f>IF(AF1035&gt;0,IF(AF1035&lt;=eco,alpha*fck*(1-(1-AF1035/eco)^n),alpha*fck),0)</f>
      </c>
      <c r="AH1035" s="30">
        <f>PM_Angle!$J$19+PM_Angle!$K$19*$C1035+PM_Angle!$L$19*$B1035</f>
      </c>
      <c r="AI1035" s="12">
        <f>IF(AH1035&gt;0,IF(AH1035&lt;=eco,alpha*fck*(1-(1-AH1035/eco)^n),alpha*fck),0)</f>
      </c>
      <c r="AJ1035" s="30">
        <f>PM_Angle!$J$20+PM_Angle!$K$20*$C1035+PM_Angle!$L$20*$B1035</f>
      </c>
      <c r="AK1035" s="12">
        <f>IF(AJ1035&gt;0,IF(AJ1035&lt;=eco,alpha*fck*(1-(1-AJ1035/eco)^n),alpha*fck),0)</f>
      </c>
      <c r="AL1035" s="30">
        <f>PM_Angle!$J$21+PM_Angle!$K$21*$C1035+PM_Angle!$L$21*$B1035</f>
      </c>
      <c r="AM1035" s="12">
        <f>IF(AL1035&gt;0,IF(AL1035&lt;=eco,alpha*fck*(1-(1-AL1035/eco)^n),alpha*fck),0)</f>
      </c>
      <c r="AN1035" s="30">
        <f>PM_Angle!$J$22+PM_Angle!$K$22*$C1035+PM_Angle!$L$22*$B1035</f>
      </c>
      <c r="AO1035" s="12">
        <f>IF(AN1035&gt;0,IF(AN1035&lt;=eco,alpha*fck*(1-(1-AN1035/eco)^n),alpha*fck),0)</f>
      </c>
      <c r="AP1035" s="30">
        <f>PM_Angle!$J$23+PM_Angle!$K$23*$C1035+PM_Angle!$L$23*$B1035</f>
      </c>
      <c r="AQ1035" s="12">
        <f>IF(AP1035&gt;0,IF(AP1035&lt;=eco,alpha*fck*(1-(1-AP1035/eco)^n),alpha*fck),0)</f>
      </c>
      <c r="AR1035" s="30">
        <f>PM_Angle!$J$24+PM_Angle!$K$24*$C1035+PM_Angle!$L$24*$B1035</f>
      </c>
      <c r="AS1035" s="12">
        <f>IF(AR1035&gt;0,IF(AR1035&lt;=eco,alpha*fck*(1-(1-AR1035/eco)^n),alpha*fck),0)</f>
      </c>
      <c r="AT1035" s="30">
        <f>PM_Angle!$J$25+PM_Angle!$K$25*$C1035+PM_Angle!$L$25*$B1035</f>
      </c>
      <c r="AU1035" s="12">
        <f>IF(AT1035&gt;0,IF(AT1035&lt;=eco,alpha*fck*(1-(1-AT1035/eco)^n),alpha*fck),0)</f>
      </c>
    </row>
    <row r="1036" spans="1:47" x14ac:dyDescent="0.25">
      <c r="A1036">
        <f>Mesh!A1033</f>
      </c>
      <c r="B1036" s="12">
        <f>Mesh!B1033</f>
      </c>
      <c r="C1036" s="12">
        <f>Mesh!C1033</f>
      </c>
      <c r="D1036" s="12">
        <f>Mesh!D1033</f>
      </c>
      <c r="E1036" s="30">
        <f>INDEX(St_e0,Det+1)+INDEX(St_kx,Det+1)*C1036+INDEX(St_ky,Det+1)*B1036</f>
      </c>
      <c r="F1036" s="12">
        <f>IF(E1036&gt;0,IF(E1036&lt;=eco,alpha*fck*(1-(1-E1036/eco)^n),alpha*fck),0)</f>
      </c>
      <c r="G1036" s="11">
        <f>F1036*D1036</f>
      </c>
      <c r="H1036" s="11">
        <f>G1036*C1036</f>
      </c>
      <c r="I1036" s="11">
        <f>G1036*B1036</f>
      </c>
      <c r="J1036" s="30">
        <f>PM_Angle!$J$7+PM_Angle!$K$7*$C1036+PM_Angle!$L$7*$B1036</f>
      </c>
      <c r="K1036" s="12">
        <f>IF(J1036&gt;0,IF(J1036&lt;=eco,alpha*fck*(1-(1-J1036/eco)^n),alpha*fck),0)</f>
      </c>
      <c r="L1036" s="30">
        <f>PM_Angle!$J$8+PM_Angle!$K$8*$C1036+PM_Angle!$L$8*$B1036</f>
      </c>
      <c r="M1036" s="12">
        <f>IF(L1036&gt;0,IF(L1036&lt;=eco,alpha*fck*(1-(1-L1036/eco)^n),alpha*fck),0)</f>
      </c>
      <c r="N1036" s="30">
        <f>PM_Angle!$J$9+PM_Angle!$K$9*$C1036+PM_Angle!$L$9*$B1036</f>
      </c>
      <c r="O1036" s="12">
        <f>IF(N1036&gt;0,IF(N1036&lt;=eco,alpha*fck*(1-(1-N1036/eco)^n),alpha*fck),0)</f>
      </c>
      <c r="P1036" s="30">
        <f>PM_Angle!$J$10+PM_Angle!$K$10*$C1036+PM_Angle!$L$10*$B1036</f>
      </c>
      <c r="Q1036" s="12">
        <f>IF(P1036&gt;0,IF(P1036&lt;=eco,alpha*fck*(1-(1-P1036/eco)^n),alpha*fck),0)</f>
      </c>
      <c r="R1036" s="30">
        <f>PM_Angle!$J$11+PM_Angle!$K$11*$C1036+PM_Angle!$L$11*$B1036</f>
      </c>
      <c r="S1036" s="12">
        <f>IF(R1036&gt;0,IF(R1036&lt;=eco,alpha*fck*(1-(1-R1036/eco)^n),alpha*fck),0)</f>
      </c>
      <c r="T1036" s="30">
        <f>PM_Angle!$J$12+PM_Angle!$K$12*$C1036+PM_Angle!$L$12*$B1036</f>
      </c>
      <c r="U1036" s="12">
        <f>IF(T1036&gt;0,IF(T1036&lt;=eco,alpha*fck*(1-(1-T1036/eco)^n),alpha*fck),0)</f>
      </c>
      <c r="V1036" s="30">
        <f>PM_Angle!$J$13+PM_Angle!$K$13*$C1036+PM_Angle!$L$13*$B1036</f>
      </c>
      <c r="W1036" s="12">
        <f>IF(V1036&gt;0,IF(V1036&lt;=eco,alpha*fck*(1-(1-V1036/eco)^n),alpha*fck),0)</f>
      </c>
      <c r="X1036" s="30">
        <f>PM_Angle!$J$14+PM_Angle!$K$14*$C1036+PM_Angle!$L$14*$B1036</f>
      </c>
      <c r="Y1036" s="12">
        <f>IF(X1036&gt;0,IF(X1036&lt;=eco,alpha*fck*(1-(1-X1036/eco)^n),alpha*fck),0)</f>
      </c>
      <c r="Z1036" s="30">
        <f>PM_Angle!$J$15+PM_Angle!$K$15*$C1036+PM_Angle!$L$15*$B1036</f>
      </c>
      <c r="AA1036" s="12">
        <f>IF(Z1036&gt;0,IF(Z1036&lt;=eco,alpha*fck*(1-(1-Z1036/eco)^n),alpha*fck),0)</f>
      </c>
      <c r="AB1036" s="30">
        <f>PM_Angle!$J$16+PM_Angle!$K$16*$C1036+PM_Angle!$L$16*$B1036</f>
      </c>
      <c r="AC1036" s="12">
        <f>IF(AB1036&gt;0,IF(AB1036&lt;=eco,alpha*fck*(1-(1-AB1036/eco)^n),alpha*fck),0)</f>
      </c>
      <c r="AD1036" s="30">
        <f>PM_Angle!$J$17+PM_Angle!$K$17*$C1036+PM_Angle!$L$17*$B1036</f>
      </c>
      <c r="AE1036" s="12">
        <f>IF(AD1036&gt;0,IF(AD1036&lt;=eco,alpha*fck*(1-(1-AD1036/eco)^n),alpha*fck),0)</f>
      </c>
      <c r="AF1036" s="30">
        <f>PM_Angle!$J$18+PM_Angle!$K$18*$C1036+PM_Angle!$L$18*$B1036</f>
      </c>
      <c r="AG1036" s="12">
        <f>IF(AF1036&gt;0,IF(AF1036&lt;=eco,alpha*fck*(1-(1-AF1036/eco)^n),alpha*fck),0)</f>
      </c>
      <c r="AH1036" s="30">
        <f>PM_Angle!$J$19+PM_Angle!$K$19*$C1036+PM_Angle!$L$19*$B1036</f>
      </c>
      <c r="AI1036" s="12">
        <f>IF(AH1036&gt;0,IF(AH1036&lt;=eco,alpha*fck*(1-(1-AH1036/eco)^n),alpha*fck),0)</f>
      </c>
      <c r="AJ1036" s="30">
        <f>PM_Angle!$J$20+PM_Angle!$K$20*$C1036+PM_Angle!$L$20*$B1036</f>
      </c>
      <c r="AK1036" s="12">
        <f>IF(AJ1036&gt;0,IF(AJ1036&lt;=eco,alpha*fck*(1-(1-AJ1036/eco)^n),alpha*fck),0)</f>
      </c>
      <c r="AL1036" s="30">
        <f>PM_Angle!$J$21+PM_Angle!$K$21*$C1036+PM_Angle!$L$21*$B1036</f>
      </c>
      <c r="AM1036" s="12">
        <f>IF(AL1036&gt;0,IF(AL1036&lt;=eco,alpha*fck*(1-(1-AL1036/eco)^n),alpha*fck),0)</f>
      </c>
      <c r="AN1036" s="30">
        <f>PM_Angle!$J$22+PM_Angle!$K$22*$C1036+PM_Angle!$L$22*$B1036</f>
      </c>
      <c r="AO1036" s="12">
        <f>IF(AN1036&gt;0,IF(AN1036&lt;=eco,alpha*fck*(1-(1-AN1036/eco)^n),alpha*fck),0)</f>
      </c>
      <c r="AP1036" s="30">
        <f>PM_Angle!$J$23+PM_Angle!$K$23*$C1036+PM_Angle!$L$23*$B1036</f>
      </c>
      <c r="AQ1036" s="12">
        <f>IF(AP1036&gt;0,IF(AP1036&lt;=eco,alpha*fck*(1-(1-AP1036/eco)^n),alpha*fck),0)</f>
      </c>
      <c r="AR1036" s="30">
        <f>PM_Angle!$J$24+PM_Angle!$K$24*$C1036+PM_Angle!$L$24*$B1036</f>
      </c>
      <c r="AS1036" s="12">
        <f>IF(AR1036&gt;0,IF(AR1036&lt;=eco,alpha*fck*(1-(1-AR1036/eco)^n),alpha*fck),0)</f>
      </c>
      <c r="AT1036" s="30">
        <f>PM_Angle!$J$25+PM_Angle!$K$25*$C1036+PM_Angle!$L$25*$B1036</f>
      </c>
      <c r="AU1036" s="12">
        <f>IF(AT1036&gt;0,IF(AT1036&lt;=eco,alpha*fck*(1-(1-AT1036/eco)^n),alpha*fck),0)</f>
      </c>
    </row>
    <row r="1037" spans="1:47" x14ac:dyDescent="0.25">
      <c r="A1037">
        <f>Mesh!A1034</f>
      </c>
      <c r="B1037" s="12">
        <f>Mesh!B1034</f>
      </c>
      <c r="C1037" s="12">
        <f>Mesh!C1034</f>
      </c>
      <c r="D1037" s="12">
        <f>Mesh!D1034</f>
      </c>
      <c r="E1037" s="30">
        <f>INDEX(St_e0,Det+1)+INDEX(St_kx,Det+1)*C1037+INDEX(St_ky,Det+1)*B1037</f>
      </c>
      <c r="F1037" s="12">
        <f>IF(E1037&gt;0,IF(E1037&lt;=eco,alpha*fck*(1-(1-E1037/eco)^n),alpha*fck),0)</f>
      </c>
      <c r="G1037" s="11">
        <f>F1037*D1037</f>
      </c>
      <c r="H1037" s="11">
        <f>G1037*C1037</f>
      </c>
      <c r="I1037" s="11">
        <f>G1037*B1037</f>
      </c>
      <c r="J1037" s="30">
        <f>PM_Angle!$J$7+PM_Angle!$K$7*$C1037+PM_Angle!$L$7*$B1037</f>
      </c>
      <c r="K1037" s="12">
        <f>IF(J1037&gt;0,IF(J1037&lt;=eco,alpha*fck*(1-(1-J1037/eco)^n),alpha*fck),0)</f>
      </c>
      <c r="L1037" s="30">
        <f>PM_Angle!$J$8+PM_Angle!$K$8*$C1037+PM_Angle!$L$8*$B1037</f>
      </c>
      <c r="M1037" s="12">
        <f>IF(L1037&gt;0,IF(L1037&lt;=eco,alpha*fck*(1-(1-L1037/eco)^n),alpha*fck),0)</f>
      </c>
      <c r="N1037" s="30">
        <f>PM_Angle!$J$9+PM_Angle!$K$9*$C1037+PM_Angle!$L$9*$B1037</f>
      </c>
      <c r="O1037" s="12">
        <f>IF(N1037&gt;0,IF(N1037&lt;=eco,alpha*fck*(1-(1-N1037/eco)^n),alpha*fck),0)</f>
      </c>
      <c r="P1037" s="30">
        <f>PM_Angle!$J$10+PM_Angle!$K$10*$C1037+PM_Angle!$L$10*$B1037</f>
      </c>
      <c r="Q1037" s="12">
        <f>IF(P1037&gt;0,IF(P1037&lt;=eco,alpha*fck*(1-(1-P1037/eco)^n),alpha*fck),0)</f>
      </c>
      <c r="R1037" s="30">
        <f>PM_Angle!$J$11+PM_Angle!$K$11*$C1037+PM_Angle!$L$11*$B1037</f>
      </c>
      <c r="S1037" s="12">
        <f>IF(R1037&gt;0,IF(R1037&lt;=eco,alpha*fck*(1-(1-R1037/eco)^n),alpha*fck),0)</f>
      </c>
      <c r="T1037" s="30">
        <f>PM_Angle!$J$12+PM_Angle!$K$12*$C1037+PM_Angle!$L$12*$B1037</f>
      </c>
      <c r="U1037" s="12">
        <f>IF(T1037&gt;0,IF(T1037&lt;=eco,alpha*fck*(1-(1-T1037/eco)^n),alpha*fck),0)</f>
      </c>
      <c r="V1037" s="30">
        <f>PM_Angle!$J$13+PM_Angle!$K$13*$C1037+PM_Angle!$L$13*$B1037</f>
      </c>
      <c r="W1037" s="12">
        <f>IF(V1037&gt;0,IF(V1037&lt;=eco,alpha*fck*(1-(1-V1037/eco)^n),alpha*fck),0)</f>
      </c>
      <c r="X1037" s="30">
        <f>PM_Angle!$J$14+PM_Angle!$K$14*$C1037+PM_Angle!$L$14*$B1037</f>
      </c>
      <c r="Y1037" s="12">
        <f>IF(X1037&gt;0,IF(X1037&lt;=eco,alpha*fck*(1-(1-X1037/eco)^n),alpha*fck),0)</f>
      </c>
      <c r="Z1037" s="30">
        <f>PM_Angle!$J$15+PM_Angle!$K$15*$C1037+PM_Angle!$L$15*$B1037</f>
      </c>
      <c r="AA1037" s="12">
        <f>IF(Z1037&gt;0,IF(Z1037&lt;=eco,alpha*fck*(1-(1-Z1037/eco)^n),alpha*fck),0)</f>
      </c>
      <c r="AB1037" s="30">
        <f>PM_Angle!$J$16+PM_Angle!$K$16*$C1037+PM_Angle!$L$16*$B1037</f>
      </c>
      <c r="AC1037" s="12">
        <f>IF(AB1037&gt;0,IF(AB1037&lt;=eco,alpha*fck*(1-(1-AB1037/eco)^n),alpha*fck),0)</f>
      </c>
      <c r="AD1037" s="30">
        <f>PM_Angle!$J$17+PM_Angle!$K$17*$C1037+PM_Angle!$L$17*$B1037</f>
      </c>
      <c r="AE1037" s="12">
        <f>IF(AD1037&gt;0,IF(AD1037&lt;=eco,alpha*fck*(1-(1-AD1037/eco)^n),alpha*fck),0)</f>
      </c>
      <c r="AF1037" s="30">
        <f>PM_Angle!$J$18+PM_Angle!$K$18*$C1037+PM_Angle!$L$18*$B1037</f>
      </c>
      <c r="AG1037" s="12">
        <f>IF(AF1037&gt;0,IF(AF1037&lt;=eco,alpha*fck*(1-(1-AF1037/eco)^n),alpha*fck),0)</f>
      </c>
      <c r="AH1037" s="30">
        <f>PM_Angle!$J$19+PM_Angle!$K$19*$C1037+PM_Angle!$L$19*$B1037</f>
      </c>
      <c r="AI1037" s="12">
        <f>IF(AH1037&gt;0,IF(AH1037&lt;=eco,alpha*fck*(1-(1-AH1037/eco)^n),alpha*fck),0)</f>
      </c>
      <c r="AJ1037" s="30">
        <f>PM_Angle!$J$20+PM_Angle!$K$20*$C1037+PM_Angle!$L$20*$B1037</f>
      </c>
      <c r="AK1037" s="12">
        <f>IF(AJ1037&gt;0,IF(AJ1037&lt;=eco,alpha*fck*(1-(1-AJ1037/eco)^n),alpha*fck),0)</f>
      </c>
      <c r="AL1037" s="30">
        <f>PM_Angle!$J$21+PM_Angle!$K$21*$C1037+PM_Angle!$L$21*$B1037</f>
      </c>
      <c r="AM1037" s="12">
        <f>IF(AL1037&gt;0,IF(AL1037&lt;=eco,alpha*fck*(1-(1-AL1037/eco)^n),alpha*fck),0)</f>
      </c>
      <c r="AN1037" s="30">
        <f>PM_Angle!$J$22+PM_Angle!$K$22*$C1037+PM_Angle!$L$22*$B1037</f>
      </c>
      <c r="AO1037" s="12">
        <f>IF(AN1037&gt;0,IF(AN1037&lt;=eco,alpha*fck*(1-(1-AN1037/eco)^n),alpha*fck),0)</f>
      </c>
      <c r="AP1037" s="30">
        <f>PM_Angle!$J$23+PM_Angle!$K$23*$C1037+PM_Angle!$L$23*$B1037</f>
      </c>
      <c r="AQ1037" s="12">
        <f>IF(AP1037&gt;0,IF(AP1037&lt;=eco,alpha*fck*(1-(1-AP1037/eco)^n),alpha*fck),0)</f>
      </c>
      <c r="AR1037" s="30">
        <f>PM_Angle!$J$24+PM_Angle!$K$24*$C1037+PM_Angle!$L$24*$B1037</f>
      </c>
      <c r="AS1037" s="12">
        <f>IF(AR1037&gt;0,IF(AR1037&lt;=eco,alpha*fck*(1-(1-AR1037/eco)^n),alpha*fck),0)</f>
      </c>
      <c r="AT1037" s="30">
        <f>PM_Angle!$J$25+PM_Angle!$K$25*$C1037+PM_Angle!$L$25*$B1037</f>
      </c>
      <c r="AU1037" s="12">
        <f>IF(AT1037&gt;0,IF(AT1037&lt;=eco,alpha*fck*(1-(1-AT1037/eco)^n),alpha*fck),0)</f>
      </c>
    </row>
    <row r="1038" spans="1:47" x14ac:dyDescent="0.25">
      <c r="A1038">
        <f>Mesh!A1035</f>
      </c>
      <c r="B1038" s="12">
        <f>Mesh!B1035</f>
      </c>
      <c r="C1038" s="12">
        <f>Mesh!C1035</f>
      </c>
      <c r="D1038" s="12">
        <f>Mesh!D1035</f>
      </c>
      <c r="E1038" s="30">
        <f>INDEX(St_e0,Det+1)+INDEX(St_kx,Det+1)*C1038+INDEX(St_ky,Det+1)*B1038</f>
      </c>
      <c r="F1038" s="12">
        <f>IF(E1038&gt;0,IF(E1038&lt;=eco,alpha*fck*(1-(1-E1038/eco)^n),alpha*fck),0)</f>
      </c>
      <c r="G1038" s="11">
        <f>F1038*D1038</f>
      </c>
      <c r="H1038" s="11">
        <f>G1038*C1038</f>
      </c>
      <c r="I1038" s="11">
        <f>G1038*B1038</f>
      </c>
      <c r="J1038" s="30">
        <f>PM_Angle!$J$7+PM_Angle!$K$7*$C1038+PM_Angle!$L$7*$B1038</f>
      </c>
      <c r="K1038" s="12">
        <f>IF(J1038&gt;0,IF(J1038&lt;=eco,alpha*fck*(1-(1-J1038/eco)^n),alpha*fck),0)</f>
      </c>
      <c r="L1038" s="30">
        <f>PM_Angle!$J$8+PM_Angle!$K$8*$C1038+PM_Angle!$L$8*$B1038</f>
      </c>
      <c r="M1038" s="12">
        <f>IF(L1038&gt;0,IF(L1038&lt;=eco,alpha*fck*(1-(1-L1038/eco)^n),alpha*fck),0)</f>
      </c>
      <c r="N1038" s="30">
        <f>PM_Angle!$J$9+PM_Angle!$K$9*$C1038+PM_Angle!$L$9*$B1038</f>
      </c>
      <c r="O1038" s="12">
        <f>IF(N1038&gt;0,IF(N1038&lt;=eco,alpha*fck*(1-(1-N1038/eco)^n),alpha*fck),0)</f>
      </c>
      <c r="P1038" s="30">
        <f>PM_Angle!$J$10+PM_Angle!$K$10*$C1038+PM_Angle!$L$10*$B1038</f>
      </c>
      <c r="Q1038" s="12">
        <f>IF(P1038&gt;0,IF(P1038&lt;=eco,alpha*fck*(1-(1-P1038/eco)^n),alpha*fck),0)</f>
      </c>
      <c r="R1038" s="30">
        <f>PM_Angle!$J$11+PM_Angle!$K$11*$C1038+PM_Angle!$L$11*$B1038</f>
      </c>
      <c r="S1038" s="12">
        <f>IF(R1038&gt;0,IF(R1038&lt;=eco,alpha*fck*(1-(1-R1038/eco)^n),alpha*fck),0)</f>
      </c>
      <c r="T1038" s="30">
        <f>PM_Angle!$J$12+PM_Angle!$K$12*$C1038+PM_Angle!$L$12*$B1038</f>
      </c>
      <c r="U1038" s="12">
        <f>IF(T1038&gt;0,IF(T1038&lt;=eco,alpha*fck*(1-(1-T1038/eco)^n),alpha*fck),0)</f>
      </c>
      <c r="V1038" s="30">
        <f>PM_Angle!$J$13+PM_Angle!$K$13*$C1038+PM_Angle!$L$13*$B1038</f>
      </c>
      <c r="W1038" s="12">
        <f>IF(V1038&gt;0,IF(V1038&lt;=eco,alpha*fck*(1-(1-V1038/eco)^n),alpha*fck),0)</f>
      </c>
      <c r="X1038" s="30">
        <f>PM_Angle!$J$14+PM_Angle!$K$14*$C1038+PM_Angle!$L$14*$B1038</f>
      </c>
      <c r="Y1038" s="12">
        <f>IF(X1038&gt;0,IF(X1038&lt;=eco,alpha*fck*(1-(1-X1038/eco)^n),alpha*fck),0)</f>
      </c>
      <c r="Z1038" s="30">
        <f>PM_Angle!$J$15+PM_Angle!$K$15*$C1038+PM_Angle!$L$15*$B1038</f>
      </c>
      <c r="AA1038" s="12">
        <f>IF(Z1038&gt;0,IF(Z1038&lt;=eco,alpha*fck*(1-(1-Z1038/eco)^n),alpha*fck),0)</f>
      </c>
      <c r="AB1038" s="30">
        <f>PM_Angle!$J$16+PM_Angle!$K$16*$C1038+PM_Angle!$L$16*$B1038</f>
      </c>
      <c r="AC1038" s="12">
        <f>IF(AB1038&gt;0,IF(AB1038&lt;=eco,alpha*fck*(1-(1-AB1038/eco)^n),alpha*fck),0)</f>
      </c>
      <c r="AD1038" s="30">
        <f>PM_Angle!$J$17+PM_Angle!$K$17*$C1038+PM_Angle!$L$17*$B1038</f>
      </c>
      <c r="AE1038" s="12">
        <f>IF(AD1038&gt;0,IF(AD1038&lt;=eco,alpha*fck*(1-(1-AD1038/eco)^n),alpha*fck),0)</f>
      </c>
      <c r="AF1038" s="30">
        <f>PM_Angle!$J$18+PM_Angle!$K$18*$C1038+PM_Angle!$L$18*$B1038</f>
      </c>
      <c r="AG1038" s="12">
        <f>IF(AF1038&gt;0,IF(AF1038&lt;=eco,alpha*fck*(1-(1-AF1038/eco)^n),alpha*fck),0)</f>
      </c>
      <c r="AH1038" s="30">
        <f>PM_Angle!$J$19+PM_Angle!$K$19*$C1038+PM_Angle!$L$19*$B1038</f>
      </c>
      <c r="AI1038" s="12">
        <f>IF(AH1038&gt;0,IF(AH1038&lt;=eco,alpha*fck*(1-(1-AH1038/eco)^n),alpha*fck),0)</f>
      </c>
      <c r="AJ1038" s="30">
        <f>PM_Angle!$J$20+PM_Angle!$K$20*$C1038+PM_Angle!$L$20*$B1038</f>
      </c>
      <c r="AK1038" s="12">
        <f>IF(AJ1038&gt;0,IF(AJ1038&lt;=eco,alpha*fck*(1-(1-AJ1038/eco)^n),alpha*fck),0)</f>
      </c>
      <c r="AL1038" s="30">
        <f>PM_Angle!$J$21+PM_Angle!$K$21*$C1038+PM_Angle!$L$21*$B1038</f>
      </c>
      <c r="AM1038" s="12">
        <f>IF(AL1038&gt;0,IF(AL1038&lt;=eco,alpha*fck*(1-(1-AL1038/eco)^n),alpha*fck),0)</f>
      </c>
      <c r="AN1038" s="30">
        <f>PM_Angle!$J$22+PM_Angle!$K$22*$C1038+PM_Angle!$L$22*$B1038</f>
      </c>
      <c r="AO1038" s="12">
        <f>IF(AN1038&gt;0,IF(AN1038&lt;=eco,alpha*fck*(1-(1-AN1038/eco)^n),alpha*fck),0)</f>
      </c>
      <c r="AP1038" s="30">
        <f>PM_Angle!$J$23+PM_Angle!$K$23*$C1038+PM_Angle!$L$23*$B1038</f>
      </c>
      <c r="AQ1038" s="12">
        <f>IF(AP1038&gt;0,IF(AP1038&lt;=eco,alpha*fck*(1-(1-AP1038/eco)^n),alpha*fck),0)</f>
      </c>
      <c r="AR1038" s="30">
        <f>PM_Angle!$J$24+PM_Angle!$K$24*$C1038+PM_Angle!$L$24*$B1038</f>
      </c>
      <c r="AS1038" s="12">
        <f>IF(AR1038&gt;0,IF(AR1038&lt;=eco,alpha*fck*(1-(1-AR1038/eco)^n),alpha*fck),0)</f>
      </c>
      <c r="AT1038" s="30">
        <f>PM_Angle!$J$25+PM_Angle!$K$25*$C1038+PM_Angle!$L$25*$B1038</f>
      </c>
      <c r="AU1038" s="12">
        <f>IF(AT1038&gt;0,IF(AT1038&lt;=eco,alpha*fck*(1-(1-AT1038/eco)^n),alpha*fck),0)</f>
      </c>
    </row>
    <row r="1039" spans="1:47" x14ac:dyDescent="0.25">
      <c r="A1039">
        <f>Mesh!A1036</f>
      </c>
      <c r="B1039" s="12">
        <f>Mesh!B1036</f>
      </c>
      <c r="C1039" s="12">
        <f>Mesh!C1036</f>
      </c>
      <c r="D1039" s="12">
        <f>Mesh!D1036</f>
      </c>
      <c r="E1039" s="30">
        <f>INDEX(St_e0,Det+1)+INDEX(St_kx,Det+1)*C1039+INDEX(St_ky,Det+1)*B1039</f>
      </c>
      <c r="F1039" s="12">
        <f>IF(E1039&gt;0,IF(E1039&lt;=eco,alpha*fck*(1-(1-E1039/eco)^n),alpha*fck),0)</f>
      </c>
      <c r="G1039" s="11">
        <f>F1039*D1039</f>
      </c>
      <c r="H1039" s="11">
        <f>G1039*C1039</f>
      </c>
      <c r="I1039" s="11">
        <f>G1039*B1039</f>
      </c>
      <c r="J1039" s="30">
        <f>PM_Angle!$J$7+PM_Angle!$K$7*$C1039+PM_Angle!$L$7*$B1039</f>
      </c>
      <c r="K1039" s="12">
        <f>IF(J1039&gt;0,IF(J1039&lt;=eco,alpha*fck*(1-(1-J1039/eco)^n),alpha*fck),0)</f>
      </c>
      <c r="L1039" s="30">
        <f>PM_Angle!$J$8+PM_Angle!$K$8*$C1039+PM_Angle!$L$8*$B1039</f>
      </c>
      <c r="M1039" s="12">
        <f>IF(L1039&gt;0,IF(L1039&lt;=eco,alpha*fck*(1-(1-L1039/eco)^n),alpha*fck),0)</f>
      </c>
      <c r="N1039" s="30">
        <f>PM_Angle!$J$9+PM_Angle!$K$9*$C1039+PM_Angle!$L$9*$B1039</f>
      </c>
      <c r="O1039" s="12">
        <f>IF(N1039&gt;0,IF(N1039&lt;=eco,alpha*fck*(1-(1-N1039/eco)^n),alpha*fck),0)</f>
      </c>
      <c r="P1039" s="30">
        <f>PM_Angle!$J$10+PM_Angle!$K$10*$C1039+PM_Angle!$L$10*$B1039</f>
      </c>
      <c r="Q1039" s="12">
        <f>IF(P1039&gt;0,IF(P1039&lt;=eco,alpha*fck*(1-(1-P1039/eco)^n),alpha*fck),0)</f>
      </c>
      <c r="R1039" s="30">
        <f>PM_Angle!$J$11+PM_Angle!$K$11*$C1039+PM_Angle!$L$11*$B1039</f>
      </c>
      <c r="S1039" s="12">
        <f>IF(R1039&gt;0,IF(R1039&lt;=eco,alpha*fck*(1-(1-R1039/eco)^n),alpha*fck),0)</f>
      </c>
      <c r="T1039" s="30">
        <f>PM_Angle!$J$12+PM_Angle!$K$12*$C1039+PM_Angle!$L$12*$B1039</f>
      </c>
      <c r="U1039" s="12">
        <f>IF(T1039&gt;0,IF(T1039&lt;=eco,alpha*fck*(1-(1-T1039/eco)^n),alpha*fck),0)</f>
      </c>
      <c r="V1039" s="30">
        <f>PM_Angle!$J$13+PM_Angle!$K$13*$C1039+PM_Angle!$L$13*$B1039</f>
      </c>
      <c r="W1039" s="12">
        <f>IF(V1039&gt;0,IF(V1039&lt;=eco,alpha*fck*(1-(1-V1039/eco)^n),alpha*fck),0)</f>
      </c>
      <c r="X1039" s="30">
        <f>PM_Angle!$J$14+PM_Angle!$K$14*$C1039+PM_Angle!$L$14*$B1039</f>
      </c>
      <c r="Y1039" s="12">
        <f>IF(X1039&gt;0,IF(X1039&lt;=eco,alpha*fck*(1-(1-X1039/eco)^n),alpha*fck),0)</f>
      </c>
      <c r="Z1039" s="30">
        <f>PM_Angle!$J$15+PM_Angle!$K$15*$C1039+PM_Angle!$L$15*$B1039</f>
      </c>
      <c r="AA1039" s="12">
        <f>IF(Z1039&gt;0,IF(Z1039&lt;=eco,alpha*fck*(1-(1-Z1039/eco)^n),alpha*fck),0)</f>
      </c>
      <c r="AB1039" s="30">
        <f>PM_Angle!$J$16+PM_Angle!$K$16*$C1039+PM_Angle!$L$16*$B1039</f>
      </c>
      <c r="AC1039" s="12">
        <f>IF(AB1039&gt;0,IF(AB1039&lt;=eco,alpha*fck*(1-(1-AB1039/eco)^n),alpha*fck),0)</f>
      </c>
      <c r="AD1039" s="30">
        <f>PM_Angle!$J$17+PM_Angle!$K$17*$C1039+PM_Angle!$L$17*$B1039</f>
      </c>
      <c r="AE1039" s="12">
        <f>IF(AD1039&gt;0,IF(AD1039&lt;=eco,alpha*fck*(1-(1-AD1039/eco)^n),alpha*fck),0)</f>
      </c>
      <c r="AF1039" s="30">
        <f>PM_Angle!$J$18+PM_Angle!$K$18*$C1039+PM_Angle!$L$18*$B1039</f>
      </c>
      <c r="AG1039" s="12">
        <f>IF(AF1039&gt;0,IF(AF1039&lt;=eco,alpha*fck*(1-(1-AF1039/eco)^n),alpha*fck),0)</f>
      </c>
      <c r="AH1039" s="30">
        <f>PM_Angle!$J$19+PM_Angle!$K$19*$C1039+PM_Angle!$L$19*$B1039</f>
      </c>
      <c r="AI1039" s="12">
        <f>IF(AH1039&gt;0,IF(AH1039&lt;=eco,alpha*fck*(1-(1-AH1039/eco)^n),alpha*fck),0)</f>
      </c>
      <c r="AJ1039" s="30">
        <f>PM_Angle!$J$20+PM_Angle!$K$20*$C1039+PM_Angle!$L$20*$B1039</f>
      </c>
      <c r="AK1039" s="12">
        <f>IF(AJ1039&gt;0,IF(AJ1039&lt;=eco,alpha*fck*(1-(1-AJ1039/eco)^n),alpha*fck),0)</f>
      </c>
      <c r="AL1039" s="30">
        <f>PM_Angle!$J$21+PM_Angle!$K$21*$C1039+PM_Angle!$L$21*$B1039</f>
      </c>
      <c r="AM1039" s="12">
        <f>IF(AL1039&gt;0,IF(AL1039&lt;=eco,alpha*fck*(1-(1-AL1039/eco)^n),alpha*fck),0)</f>
      </c>
      <c r="AN1039" s="30">
        <f>PM_Angle!$J$22+PM_Angle!$K$22*$C1039+PM_Angle!$L$22*$B1039</f>
      </c>
      <c r="AO1039" s="12">
        <f>IF(AN1039&gt;0,IF(AN1039&lt;=eco,alpha*fck*(1-(1-AN1039/eco)^n),alpha*fck),0)</f>
      </c>
      <c r="AP1039" s="30">
        <f>PM_Angle!$J$23+PM_Angle!$K$23*$C1039+PM_Angle!$L$23*$B1039</f>
      </c>
      <c r="AQ1039" s="12">
        <f>IF(AP1039&gt;0,IF(AP1039&lt;=eco,alpha*fck*(1-(1-AP1039/eco)^n),alpha*fck),0)</f>
      </c>
      <c r="AR1039" s="30">
        <f>PM_Angle!$J$24+PM_Angle!$K$24*$C1039+PM_Angle!$L$24*$B1039</f>
      </c>
      <c r="AS1039" s="12">
        <f>IF(AR1039&gt;0,IF(AR1039&lt;=eco,alpha*fck*(1-(1-AR1039/eco)^n),alpha*fck),0)</f>
      </c>
      <c r="AT1039" s="30">
        <f>PM_Angle!$J$25+PM_Angle!$K$25*$C1039+PM_Angle!$L$25*$B1039</f>
      </c>
      <c r="AU1039" s="12">
        <f>IF(AT1039&gt;0,IF(AT1039&lt;=eco,alpha*fck*(1-(1-AT1039/eco)^n),alpha*fck),0)</f>
      </c>
    </row>
    <row r="1040" spans="1:47" x14ac:dyDescent="0.25">
      <c r="A1040">
        <f>Mesh!A1037</f>
      </c>
      <c r="B1040" s="12">
        <f>Mesh!B1037</f>
      </c>
      <c r="C1040" s="12">
        <f>Mesh!C1037</f>
      </c>
      <c r="D1040" s="12">
        <f>Mesh!D1037</f>
      </c>
      <c r="E1040" s="30">
        <f>INDEX(St_e0,Det+1)+INDEX(St_kx,Det+1)*C1040+INDEX(St_ky,Det+1)*B1040</f>
      </c>
      <c r="F1040" s="12">
        <f>IF(E1040&gt;0,IF(E1040&lt;=eco,alpha*fck*(1-(1-E1040/eco)^n),alpha*fck),0)</f>
      </c>
      <c r="G1040" s="11">
        <f>F1040*D1040</f>
      </c>
      <c r="H1040" s="11">
        <f>G1040*C1040</f>
      </c>
      <c r="I1040" s="11">
        <f>G1040*B1040</f>
      </c>
      <c r="J1040" s="30">
        <f>PM_Angle!$J$7+PM_Angle!$K$7*$C1040+PM_Angle!$L$7*$B1040</f>
      </c>
      <c r="K1040" s="12">
        <f>IF(J1040&gt;0,IF(J1040&lt;=eco,alpha*fck*(1-(1-J1040/eco)^n),alpha*fck),0)</f>
      </c>
      <c r="L1040" s="30">
        <f>PM_Angle!$J$8+PM_Angle!$K$8*$C1040+PM_Angle!$L$8*$B1040</f>
      </c>
      <c r="M1040" s="12">
        <f>IF(L1040&gt;0,IF(L1040&lt;=eco,alpha*fck*(1-(1-L1040/eco)^n),alpha*fck),0)</f>
      </c>
      <c r="N1040" s="30">
        <f>PM_Angle!$J$9+PM_Angle!$K$9*$C1040+PM_Angle!$L$9*$B1040</f>
      </c>
      <c r="O1040" s="12">
        <f>IF(N1040&gt;0,IF(N1040&lt;=eco,alpha*fck*(1-(1-N1040/eco)^n),alpha*fck),0)</f>
      </c>
      <c r="P1040" s="30">
        <f>PM_Angle!$J$10+PM_Angle!$K$10*$C1040+PM_Angle!$L$10*$B1040</f>
      </c>
      <c r="Q1040" s="12">
        <f>IF(P1040&gt;0,IF(P1040&lt;=eco,alpha*fck*(1-(1-P1040/eco)^n),alpha*fck),0)</f>
      </c>
      <c r="R1040" s="30">
        <f>PM_Angle!$J$11+PM_Angle!$K$11*$C1040+PM_Angle!$L$11*$B1040</f>
      </c>
      <c r="S1040" s="12">
        <f>IF(R1040&gt;0,IF(R1040&lt;=eco,alpha*fck*(1-(1-R1040/eco)^n),alpha*fck),0)</f>
      </c>
      <c r="T1040" s="30">
        <f>PM_Angle!$J$12+PM_Angle!$K$12*$C1040+PM_Angle!$L$12*$B1040</f>
      </c>
      <c r="U1040" s="12">
        <f>IF(T1040&gt;0,IF(T1040&lt;=eco,alpha*fck*(1-(1-T1040/eco)^n),alpha*fck),0)</f>
      </c>
      <c r="V1040" s="30">
        <f>PM_Angle!$J$13+PM_Angle!$K$13*$C1040+PM_Angle!$L$13*$B1040</f>
      </c>
      <c r="W1040" s="12">
        <f>IF(V1040&gt;0,IF(V1040&lt;=eco,alpha*fck*(1-(1-V1040/eco)^n),alpha*fck),0)</f>
      </c>
      <c r="X1040" s="30">
        <f>PM_Angle!$J$14+PM_Angle!$K$14*$C1040+PM_Angle!$L$14*$B1040</f>
      </c>
      <c r="Y1040" s="12">
        <f>IF(X1040&gt;0,IF(X1040&lt;=eco,alpha*fck*(1-(1-X1040/eco)^n),alpha*fck),0)</f>
      </c>
      <c r="Z1040" s="30">
        <f>PM_Angle!$J$15+PM_Angle!$K$15*$C1040+PM_Angle!$L$15*$B1040</f>
      </c>
      <c r="AA1040" s="12">
        <f>IF(Z1040&gt;0,IF(Z1040&lt;=eco,alpha*fck*(1-(1-Z1040/eco)^n),alpha*fck),0)</f>
      </c>
      <c r="AB1040" s="30">
        <f>PM_Angle!$J$16+PM_Angle!$K$16*$C1040+PM_Angle!$L$16*$B1040</f>
      </c>
      <c r="AC1040" s="12">
        <f>IF(AB1040&gt;0,IF(AB1040&lt;=eco,alpha*fck*(1-(1-AB1040/eco)^n),alpha*fck),0)</f>
      </c>
      <c r="AD1040" s="30">
        <f>PM_Angle!$J$17+PM_Angle!$K$17*$C1040+PM_Angle!$L$17*$B1040</f>
      </c>
      <c r="AE1040" s="12">
        <f>IF(AD1040&gt;0,IF(AD1040&lt;=eco,alpha*fck*(1-(1-AD1040/eco)^n),alpha*fck),0)</f>
      </c>
      <c r="AF1040" s="30">
        <f>PM_Angle!$J$18+PM_Angle!$K$18*$C1040+PM_Angle!$L$18*$B1040</f>
      </c>
      <c r="AG1040" s="12">
        <f>IF(AF1040&gt;0,IF(AF1040&lt;=eco,alpha*fck*(1-(1-AF1040/eco)^n),alpha*fck),0)</f>
      </c>
      <c r="AH1040" s="30">
        <f>PM_Angle!$J$19+PM_Angle!$K$19*$C1040+PM_Angle!$L$19*$B1040</f>
      </c>
      <c r="AI1040" s="12">
        <f>IF(AH1040&gt;0,IF(AH1040&lt;=eco,alpha*fck*(1-(1-AH1040/eco)^n),alpha*fck),0)</f>
      </c>
      <c r="AJ1040" s="30">
        <f>PM_Angle!$J$20+PM_Angle!$K$20*$C1040+PM_Angle!$L$20*$B1040</f>
      </c>
      <c r="AK1040" s="12">
        <f>IF(AJ1040&gt;0,IF(AJ1040&lt;=eco,alpha*fck*(1-(1-AJ1040/eco)^n),alpha*fck),0)</f>
      </c>
      <c r="AL1040" s="30">
        <f>PM_Angle!$J$21+PM_Angle!$K$21*$C1040+PM_Angle!$L$21*$B1040</f>
      </c>
      <c r="AM1040" s="12">
        <f>IF(AL1040&gt;0,IF(AL1040&lt;=eco,alpha*fck*(1-(1-AL1040/eco)^n),alpha*fck),0)</f>
      </c>
      <c r="AN1040" s="30">
        <f>PM_Angle!$J$22+PM_Angle!$K$22*$C1040+PM_Angle!$L$22*$B1040</f>
      </c>
      <c r="AO1040" s="12">
        <f>IF(AN1040&gt;0,IF(AN1040&lt;=eco,alpha*fck*(1-(1-AN1040/eco)^n),alpha*fck),0)</f>
      </c>
      <c r="AP1040" s="30">
        <f>PM_Angle!$J$23+PM_Angle!$K$23*$C1040+PM_Angle!$L$23*$B1040</f>
      </c>
      <c r="AQ1040" s="12">
        <f>IF(AP1040&gt;0,IF(AP1040&lt;=eco,alpha*fck*(1-(1-AP1040/eco)^n),alpha*fck),0)</f>
      </c>
      <c r="AR1040" s="30">
        <f>PM_Angle!$J$24+PM_Angle!$K$24*$C1040+PM_Angle!$L$24*$B1040</f>
      </c>
      <c r="AS1040" s="12">
        <f>IF(AR1040&gt;0,IF(AR1040&lt;=eco,alpha*fck*(1-(1-AR1040/eco)^n),alpha*fck),0)</f>
      </c>
      <c r="AT1040" s="30">
        <f>PM_Angle!$J$25+PM_Angle!$K$25*$C1040+PM_Angle!$L$25*$B1040</f>
      </c>
      <c r="AU1040" s="12">
        <f>IF(AT1040&gt;0,IF(AT1040&lt;=eco,alpha*fck*(1-(1-AT1040/eco)^n),alpha*fck),0)</f>
      </c>
    </row>
    <row r="1041" spans="1:47" x14ac:dyDescent="0.25">
      <c r="A1041">
        <f>Mesh!A1038</f>
      </c>
      <c r="B1041" s="12">
        <f>Mesh!B1038</f>
      </c>
      <c r="C1041" s="12">
        <f>Mesh!C1038</f>
      </c>
      <c r="D1041" s="12">
        <f>Mesh!D1038</f>
      </c>
      <c r="E1041" s="30">
        <f>INDEX(St_e0,Det+1)+INDEX(St_kx,Det+1)*C1041+INDEX(St_ky,Det+1)*B1041</f>
      </c>
      <c r="F1041" s="12">
        <f>IF(E1041&gt;0,IF(E1041&lt;=eco,alpha*fck*(1-(1-E1041/eco)^n),alpha*fck),0)</f>
      </c>
      <c r="G1041" s="11">
        <f>F1041*D1041</f>
      </c>
      <c r="H1041" s="11">
        <f>G1041*C1041</f>
      </c>
      <c r="I1041" s="11">
        <f>G1041*B1041</f>
      </c>
      <c r="J1041" s="30">
        <f>PM_Angle!$J$7+PM_Angle!$K$7*$C1041+PM_Angle!$L$7*$B1041</f>
      </c>
      <c r="K1041" s="12">
        <f>IF(J1041&gt;0,IF(J1041&lt;=eco,alpha*fck*(1-(1-J1041/eco)^n),alpha*fck),0)</f>
      </c>
      <c r="L1041" s="30">
        <f>PM_Angle!$J$8+PM_Angle!$K$8*$C1041+PM_Angle!$L$8*$B1041</f>
      </c>
      <c r="M1041" s="12">
        <f>IF(L1041&gt;0,IF(L1041&lt;=eco,alpha*fck*(1-(1-L1041/eco)^n),alpha*fck),0)</f>
      </c>
      <c r="N1041" s="30">
        <f>PM_Angle!$J$9+PM_Angle!$K$9*$C1041+PM_Angle!$L$9*$B1041</f>
      </c>
      <c r="O1041" s="12">
        <f>IF(N1041&gt;0,IF(N1041&lt;=eco,alpha*fck*(1-(1-N1041/eco)^n),alpha*fck),0)</f>
      </c>
      <c r="P1041" s="30">
        <f>PM_Angle!$J$10+PM_Angle!$K$10*$C1041+PM_Angle!$L$10*$B1041</f>
      </c>
      <c r="Q1041" s="12">
        <f>IF(P1041&gt;0,IF(P1041&lt;=eco,alpha*fck*(1-(1-P1041/eco)^n),alpha*fck),0)</f>
      </c>
      <c r="R1041" s="30">
        <f>PM_Angle!$J$11+PM_Angle!$K$11*$C1041+PM_Angle!$L$11*$B1041</f>
      </c>
      <c r="S1041" s="12">
        <f>IF(R1041&gt;0,IF(R1041&lt;=eco,alpha*fck*(1-(1-R1041/eco)^n),alpha*fck),0)</f>
      </c>
      <c r="T1041" s="30">
        <f>PM_Angle!$J$12+PM_Angle!$K$12*$C1041+PM_Angle!$L$12*$B1041</f>
      </c>
      <c r="U1041" s="12">
        <f>IF(T1041&gt;0,IF(T1041&lt;=eco,alpha*fck*(1-(1-T1041/eco)^n),alpha*fck),0)</f>
      </c>
      <c r="V1041" s="30">
        <f>PM_Angle!$J$13+PM_Angle!$K$13*$C1041+PM_Angle!$L$13*$B1041</f>
      </c>
      <c r="W1041" s="12">
        <f>IF(V1041&gt;0,IF(V1041&lt;=eco,alpha*fck*(1-(1-V1041/eco)^n),alpha*fck),0)</f>
      </c>
      <c r="X1041" s="30">
        <f>PM_Angle!$J$14+PM_Angle!$K$14*$C1041+PM_Angle!$L$14*$B1041</f>
      </c>
      <c r="Y1041" s="12">
        <f>IF(X1041&gt;0,IF(X1041&lt;=eco,alpha*fck*(1-(1-X1041/eco)^n),alpha*fck),0)</f>
      </c>
      <c r="Z1041" s="30">
        <f>PM_Angle!$J$15+PM_Angle!$K$15*$C1041+PM_Angle!$L$15*$B1041</f>
      </c>
      <c r="AA1041" s="12">
        <f>IF(Z1041&gt;0,IF(Z1041&lt;=eco,alpha*fck*(1-(1-Z1041/eco)^n),alpha*fck),0)</f>
      </c>
      <c r="AB1041" s="30">
        <f>PM_Angle!$J$16+PM_Angle!$K$16*$C1041+PM_Angle!$L$16*$B1041</f>
      </c>
      <c r="AC1041" s="12">
        <f>IF(AB1041&gt;0,IF(AB1041&lt;=eco,alpha*fck*(1-(1-AB1041/eco)^n),alpha*fck),0)</f>
      </c>
      <c r="AD1041" s="30">
        <f>PM_Angle!$J$17+PM_Angle!$K$17*$C1041+PM_Angle!$L$17*$B1041</f>
      </c>
      <c r="AE1041" s="12">
        <f>IF(AD1041&gt;0,IF(AD1041&lt;=eco,alpha*fck*(1-(1-AD1041/eco)^n),alpha*fck),0)</f>
      </c>
      <c r="AF1041" s="30">
        <f>PM_Angle!$J$18+PM_Angle!$K$18*$C1041+PM_Angle!$L$18*$B1041</f>
      </c>
      <c r="AG1041" s="12">
        <f>IF(AF1041&gt;0,IF(AF1041&lt;=eco,alpha*fck*(1-(1-AF1041/eco)^n),alpha*fck),0)</f>
      </c>
      <c r="AH1041" s="30">
        <f>PM_Angle!$J$19+PM_Angle!$K$19*$C1041+PM_Angle!$L$19*$B1041</f>
      </c>
      <c r="AI1041" s="12">
        <f>IF(AH1041&gt;0,IF(AH1041&lt;=eco,alpha*fck*(1-(1-AH1041/eco)^n),alpha*fck),0)</f>
      </c>
      <c r="AJ1041" s="30">
        <f>PM_Angle!$J$20+PM_Angle!$K$20*$C1041+PM_Angle!$L$20*$B1041</f>
      </c>
      <c r="AK1041" s="12">
        <f>IF(AJ1041&gt;0,IF(AJ1041&lt;=eco,alpha*fck*(1-(1-AJ1041/eco)^n),alpha*fck),0)</f>
      </c>
      <c r="AL1041" s="30">
        <f>PM_Angle!$J$21+PM_Angle!$K$21*$C1041+PM_Angle!$L$21*$B1041</f>
      </c>
      <c r="AM1041" s="12">
        <f>IF(AL1041&gt;0,IF(AL1041&lt;=eco,alpha*fck*(1-(1-AL1041/eco)^n),alpha*fck),0)</f>
      </c>
      <c r="AN1041" s="30">
        <f>PM_Angle!$J$22+PM_Angle!$K$22*$C1041+PM_Angle!$L$22*$B1041</f>
      </c>
      <c r="AO1041" s="12">
        <f>IF(AN1041&gt;0,IF(AN1041&lt;=eco,alpha*fck*(1-(1-AN1041/eco)^n),alpha*fck),0)</f>
      </c>
      <c r="AP1041" s="30">
        <f>PM_Angle!$J$23+PM_Angle!$K$23*$C1041+PM_Angle!$L$23*$B1041</f>
      </c>
      <c r="AQ1041" s="12">
        <f>IF(AP1041&gt;0,IF(AP1041&lt;=eco,alpha*fck*(1-(1-AP1041/eco)^n),alpha*fck),0)</f>
      </c>
      <c r="AR1041" s="30">
        <f>PM_Angle!$J$24+PM_Angle!$K$24*$C1041+PM_Angle!$L$24*$B1041</f>
      </c>
      <c r="AS1041" s="12">
        <f>IF(AR1041&gt;0,IF(AR1041&lt;=eco,alpha*fck*(1-(1-AR1041/eco)^n),alpha*fck),0)</f>
      </c>
      <c r="AT1041" s="30">
        <f>PM_Angle!$J$25+PM_Angle!$K$25*$C1041+PM_Angle!$L$25*$B1041</f>
      </c>
      <c r="AU1041" s="12">
        <f>IF(AT1041&gt;0,IF(AT1041&lt;=eco,alpha*fck*(1-(1-AT1041/eco)^n),alpha*fck),0)</f>
      </c>
    </row>
    <row r="1042" spans="1:47" x14ac:dyDescent="0.25">
      <c r="A1042">
        <f>Mesh!A1039</f>
      </c>
      <c r="B1042" s="12">
        <f>Mesh!B1039</f>
      </c>
      <c r="C1042" s="12">
        <f>Mesh!C1039</f>
      </c>
      <c r="D1042" s="12">
        <f>Mesh!D1039</f>
      </c>
      <c r="E1042" s="30">
        <f>INDEX(St_e0,Det+1)+INDEX(St_kx,Det+1)*C1042+INDEX(St_ky,Det+1)*B1042</f>
      </c>
      <c r="F1042" s="12">
        <f>IF(E1042&gt;0,IF(E1042&lt;=eco,alpha*fck*(1-(1-E1042/eco)^n),alpha*fck),0)</f>
      </c>
      <c r="G1042" s="11">
        <f>F1042*D1042</f>
      </c>
      <c r="H1042" s="11">
        <f>G1042*C1042</f>
      </c>
      <c r="I1042" s="11">
        <f>G1042*B1042</f>
      </c>
      <c r="J1042" s="30">
        <f>PM_Angle!$J$7+PM_Angle!$K$7*$C1042+PM_Angle!$L$7*$B1042</f>
      </c>
      <c r="K1042" s="12">
        <f>IF(J1042&gt;0,IF(J1042&lt;=eco,alpha*fck*(1-(1-J1042/eco)^n),alpha*fck),0)</f>
      </c>
      <c r="L1042" s="30">
        <f>PM_Angle!$J$8+PM_Angle!$K$8*$C1042+PM_Angle!$L$8*$B1042</f>
      </c>
      <c r="M1042" s="12">
        <f>IF(L1042&gt;0,IF(L1042&lt;=eco,alpha*fck*(1-(1-L1042/eco)^n),alpha*fck),0)</f>
      </c>
      <c r="N1042" s="30">
        <f>PM_Angle!$J$9+PM_Angle!$K$9*$C1042+PM_Angle!$L$9*$B1042</f>
      </c>
      <c r="O1042" s="12">
        <f>IF(N1042&gt;0,IF(N1042&lt;=eco,alpha*fck*(1-(1-N1042/eco)^n),alpha*fck),0)</f>
      </c>
      <c r="P1042" s="30">
        <f>PM_Angle!$J$10+PM_Angle!$K$10*$C1042+PM_Angle!$L$10*$B1042</f>
      </c>
      <c r="Q1042" s="12">
        <f>IF(P1042&gt;0,IF(P1042&lt;=eco,alpha*fck*(1-(1-P1042/eco)^n),alpha*fck),0)</f>
      </c>
      <c r="R1042" s="30">
        <f>PM_Angle!$J$11+PM_Angle!$K$11*$C1042+PM_Angle!$L$11*$B1042</f>
      </c>
      <c r="S1042" s="12">
        <f>IF(R1042&gt;0,IF(R1042&lt;=eco,alpha*fck*(1-(1-R1042/eco)^n),alpha*fck),0)</f>
      </c>
      <c r="T1042" s="30">
        <f>PM_Angle!$J$12+PM_Angle!$K$12*$C1042+PM_Angle!$L$12*$B1042</f>
      </c>
      <c r="U1042" s="12">
        <f>IF(T1042&gt;0,IF(T1042&lt;=eco,alpha*fck*(1-(1-T1042/eco)^n),alpha*fck),0)</f>
      </c>
      <c r="V1042" s="30">
        <f>PM_Angle!$J$13+PM_Angle!$K$13*$C1042+PM_Angle!$L$13*$B1042</f>
      </c>
      <c r="W1042" s="12">
        <f>IF(V1042&gt;0,IF(V1042&lt;=eco,alpha*fck*(1-(1-V1042/eco)^n),alpha*fck),0)</f>
      </c>
      <c r="X1042" s="30">
        <f>PM_Angle!$J$14+PM_Angle!$K$14*$C1042+PM_Angle!$L$14*$B1042</f>
      </c>
      <c r="Y1042" s="12">
        <f>IF(X1042&gt;0,IF(X1042&lt;=eco,alpha*fck*(1-(1-X1042/eco)^n),alpha*fck),0)</f>
      </c>
      <c r="Z1042" s="30">
        <f>PM_Angle!$J$15+PM_Angle!$K$15*$C1042+PM_Angle!$L$15*$B1042</f>
      </c>
      <c r="AA1042" s="12">
        <f>IF(Z1042&gt;0,IF(Z1042&lt;=eco,alpha*fck*(1-(1-Z1042/eco)^n),alpha*fck),0)</f>
      </c>
      <c r="AB1042" s="30">
        <f>PM_Angle!$J$16+PM_Angle!$K$16*$C1042+PM_Angle!$L$16*$B1042</f>
      </c>
      <c r="AC1042" s="12">
        <f>IF(AB1042&gt;0,IF(AB1042&lt;=eco,alpha*fck*(1-(1-AB1042/eco)^n),alpha*fck),0)</f>
      </c>
      <c r="AD1042" s="30">
        <f>PM_Angle!$J$17+PM_Angle!$K$17*$C1042+PM_Angle!$L$17*$B1042</f>
      </c>
      <c r="AE1042" s="12">
        <f>IF(AD1042&gt;0,IF(AD1042&lt;=eco,alpha*fck*(1-(1-AD1042/eco)^n),alpha*fck),0)</f>
      </c>
      <c r="AF1042" s="30">
        <f>PM_Angle!$J$18+PM_Angle!$K$18*$C1042+PM_Angle!$L$18*$B1042</f>
      </c>
      <c r="AG1042" s="12">
        <f>IF(AF1042&gt;0,IF(AF1042&lt;=eco,alpha*fck*(1-(1-AF1042/eco)^n),alpha*fck),0)</f>
      </c>
      <c r="AH1042" s="30">
        <f>PM_Angle!$J$19+PM_Angle!$K$19*$C1042+PM_Angle!$L$19*$B1042</f>
      </c>
      <c r="AI1042" s="12">
        <f>IF(AH1042&gt;0,IF(AH1042&lt;=eco,alpha*fck*(1-(1-AH1042/eco)^n),alpha*fck),0)</f>
      </c>
      <c r="AJ1042" s="30">
        <f>PM_Angle!$J$20+PM_Angle!$K$20*$C1042+PM_Angle!$L$20*$B1042</f>
      </c>
      <c r="AK1042" s="12">
        <f>IF(AJ1042&gt;0,IF(AJ1042&lt;=eco,alpha*fck*(1-(1-AJ1042/eco)^n),alpha*fck),0)</f>
      </c>
      <c r="AL1042" s="30">
        <f>PM_Angle!$J$21+PM_Angle!$K$21*$C1042+PM_Angle!$L$21*$B1042</f>
      </c>
      <c r="AM1042" s="12">
        <f>IF(AL1042&gt;0,IF(AL1042&lt;=eco,alpha*fck*(1-(1-AL1042/eco)^n),alpha*fck),0)</f>
      </c>
      <c r="AN1042" s="30">
        <f>PM_Angle!$J$22+PM_Angle!$K$22*$C1042+PM_Angle!$L$22*$B1042</f>
      </c>
      <c r="AO1042" s="12">
        <f>IF(AN1042&gt;0,IF(AN1042&lt;=eco,alpha*fck*(1-(1-AN1042/eco)^n),alpha*fck),0)</f>
      </c>
      <c r="AP1042" s="30">
        <f>PM_Angle!$J$23+PM_Angle!$K$23*$C1042+PM_Angle!$L$23*$B1042</f>
      </c>
      <c r="AQ1042" s="12">
        <f>IF(AP1042&gt;0,IF(AP1042&lt;=eco,alpha*fck*(1-(1-AP1042/eco)^n),alpha*fck),0)</f>
      </c>
      <c r="AR1042" s="30">
        <f>PM_Angle!$J$24+PM_Angle!$K$24*$C1042+PM_Angle!$L$24*$B1042</f>
      </c>
      <c r="AS1042" s="12">
        <f>IF(AR1042&gt;0,IF(AR1042&lt;=eco,alpha*fck*(1-(1-AR1042/eco)^n),alpha*fck),0)</f>
      </c>
      <c r="AT1042" s="30">
        <f>PM_Angle!$J$25+PM_Angle!$K$25*$C1042+PM_Angle!$L$25*$B1042</f>
      </c>
      <c r="AU1042" s="12">
        <f>IF(AT1042&gt;0,IF(AT1042&lt;=eco,alpha*fck*(1-(1-AT1042/eco)^n),alpha*fck),0)</f>
      </c>
    </row>
    <row r="1043" spans="1:47" x14ac:dyDescent="0.25">
      <c r="A1043">
        <f>Mesh!A1040</f>
      </c>
      <c r="B1043" s="12">
        <f>Mesh!B1040</f>
      </c>
      <c r="C1043" s="12">
        <f>Mesh!C1040</f>
      </c>
      <c r="D1043" s="12">
        <f>Mesh!D1040</f>
      </c>
      <c r="E1043" s="30">
        <f>INDEX(St_e0,Det+1)+INDEX(St_kx,Det+1)*C1043+INDEX(St_ky,Det+1)*B1043</f>
      </c>
      <c r="F1043" s="12">
        <f>IF(E1043&gt;0,IF(E1043&lt;=eco,alpha*fck*(1-(1-E1043/eco)^n),alpha*fck),0)</f>
      </c>
      <c r="G1043" s="11">
        <f>F1043*D1043</f>
      </c>
      <c r="H1043" s="11">
        <f>G1043*C1043</f>
      </c>
      <c r="I1043" s="11">
        <f>G1043*B1043</f>
      </c>
      <c r="J1043" s="30">
        <f>PM_Angle!$J$7+PM_Angle!$K$7*$C1043+PM_Angle!$L$7*$B1043</f>
      </c>
      <c r="K1043" s="12">
        <f>IF(J1043&gt;0,IF(J1043&lt;=eco,alpha*fck*(1-(1-J1043/eco)^n),alpha*fck),0)</f>
      </c>
      <c r="L1043" s="30">
        <f>PM_Angle!$J$8+PM_Angle!$K$8*$C1043+PM_Angle!$L$8*$B1043</f>
      </c>
      <c r="M1043" s="12">
        <f>IF(L1043&gt;0,IF(L1043&lt;=eco,alpha*fck*(1-(1-L1043/eco)^n),alpha*fck),0)</f>
      </c>
      <c r="N1043" s="30">
        <f>PM_Angle!$J$9+PM_Angle!$K$9*$C1043+PM_Angle!$L$9*$B1043</f>
      </c>
      <c r="O1043" s="12">
        <f>IF(N1043&gt;0,IF(N1043&lt;=eco,alpha*fck*(1-(1-N1043/eco)^n),alpha*fck),0)</f>
      </c>
      <c r="P1043" s="30">
        <f>PM_Angle!$J$10+PM_Angle!$K$10*$C1043+PM_Angle!$L$10*$B1043</f>
      </c>
      <c r="Q1043" s="12">
        <f>IF(P1043&gt;0,IF(P1043&lt;=eco,alpha*fck*(1-(1-P1043/eco)^n),alpha*fck),0)</f>
      </c>
      <c r="R1043" s="30">
        <f>PM_Angle!$J$11+PM_Angle!$K$11*$C1043+PM_Angle!$L$11*$B1043</f>
      </c>
      <c r="S1043" s="12">
        <f>IF(R1043&gt;0,IF(R1043&lt;=eco,alpha*fck*(1-(1-R1043/eco)^n),alpha*fck),0)</f>
      </c>
      <c r="T1043" s="30">
        <f>PM_Angle!$J$12+PM_Angle!$K$12*$C1043+PM_Angle!$L$12*$B1043</f>
      </c>
      <c r="U1043" s="12">
        <f>IF(T1043&gt;0,IF(T1043&lt;=eco,alpha*fck*(1-(1-T1043/eco)^n),alpha*fck),0)</f>
      </c>
      <c r="V1043" s="30">
        <f>PM_Angle!$J$13+PM_Angle!$K$13*$C1043+PM_Angle!$L$13*$B1043</f>
      </c>
      <c r="W1043" s="12">
        <f>IF(V1043&gt;0,IF(V1043&lt;=eco,alpha*fck*(1-(1-V1043/eco)^n),alpha*fck),0)</f>
      </c>
      <c r="X1043" s="30">
        <f>PM_Angle!$J$14+PM_Angle!$K$14*$C1043+PM_Angle!$L$14*$B1043</f>
      </c>
      <c r="Y1043" s="12">
        <f>IF(X1043&gt;0,IF(X1043&lt;=eco,alpha*fck*(1-(1-X1043/eco)^n),alpha*fck),0)</f>
      </c>
      <c r="Z1043" s="30">
        <f>PM_Angle!$J$15+PM_Angle!$K$15*$C1043+PM_Angle!$L$15*$B1043</f>
      </c>
      <c r="AA1043" s="12">
        <f>IF(Z1043&gt;0,IF(Z1043&lt;=eco,alpha*fck*(1-(1-Z1043/eco)^n),alpha*fck),0)</f>
      </c>
      <c r="AB1043" s="30">
        <f>PM_Angle!$J$16+PM_Angle!$K$16*$C1043+PM_Angle!$L$16*$B1043</f>
      </c>
      <c r="AC1043" s="12">
        <f>IF(AB1043&gt;0,IF(AB1043&lt;=eco,alpha*fck*(1-(1-AB1043/eco)^n),alpha*fck),0)</f>
      </c>
      <c r="AD1043" s="30">
        <f>PM_Angle!$J$17+PM_Angle!$K$17*$C1043+PM_Angle!$L$17*$B1043</f>
      </c>
      <c r="AE1043" s="12">
        <f>IF(AD1043&gt;0,IF(AD1043&lt;=eco,alpha*fck*(1-(1-AD1043/eco)^n),alpha*fck),0)</f>
      </c>
      <c r="AF1043" s="30">
        <f>PM_Angle!$J$18+PM_Angle!$K$18*$C1043+PM_Angle!$L$18*$B1043</f>
      </c>
      <c r="AG1043" s="12">
        <f>IF(AF1043&gt;0,IF(AF1043&lt;=eco,alpha*fck*(1-(1-AF1043/eco)^n),alpha*fck),0)</f>
      </c>
      <c r="AH1043" s="30">
        <f>PM_Angle!$J$19+PM_Angle!$K$19*$C1043+PM_Angle!$L$19*$B1043</f>
      </c>
      <c r="AI1043" s="12">
        <f>IF(AH1043&gt;0,IF(AH1043&lt;=eco,alpha*fck*(1-(1-AH1043/eco)^n),alpha*fck),0)</f>
      </c>
      <c r="AJ1043" s="30">
        <f>PM_Angle!$J$20+PM_Angle!$K$20*$C1043+PM_Angle!$L$20*$B1043</f>
      </c>
      <c r="AK1043" s="12">
        <f>IF(AJ1043&gt;0,IF(AJ1043&lt;=eco,alpha*fck*(1-(1-AJ1043/eco)^n),alpha*fck),0)</f>
      </c>
      <c r="AL1043" s="30">
        <f>PM_Angle!$J$21+PM_Angle!$K$21*$C1043+PM_Angle!$L$21*$B1043</f>
      </c>
      <c r="AM1043" s="12">
        <f>IF(AL1043&gt;0,IF(AL1043&lt;=eco,alpha*fck*(1-(1-AL1043/eco)^n),alpha*fck),0)</f>
      </c>
      <c r="AN1043" s="30">
        <f>PM_Angle!$J$22+PM_Angle!$K$22*$C1043+PM_Angle!$L$22*$B1043</f>
      </c>
      <c r="AO1043" s="12">
        <f>IF(AN1043&gt;0,IF(AN1043&lt;=eco,alpha*fck*(1-(1-AN1043/eco)^n),alpha*fck),0)</f>
      </c>
      <c r="AP1043" s="30">
        <f>PM_Angle!$J$23+PM_Angle!$K$23*$C1043+PM_Angle!$L$23*$B1043</f>
      </c>
      <c r="AQ1043" s="12">
        <f>IF(AP1043&gt;0,IF(AP1043&lt;=eco,alpha*fck*(1-(1-AP1043/eco)^n),alpha*fck),0)</f>
      </c>
      <c r="AR1043" s="30">
        <f>PM_Angle!$J$24+PM_Angle!$K$24*$C1043+PM_Angle!$L$24*$B1043</f>
      </c>
      <c r="AS1043" s="12">
        <f>IF(AR1043&gt;0,IF(AR1043&lt;=eco,alpha*fck*(1-(1-AR1043/eco)^n),alpha*fck),0)</f>
      </c>
      <c r="AT1043" s="30">
        <f>PM_Angle!$J$25+PM_Angle!$K$25*$C1043+PM_Angle!$L$25*$B1043</f>
      </c>
      <c r="AU1043" s="12">
        <f>IF(AT1043&gt;0,IF(AT1043&lt;=eco,alpha*fck*(1-(1-AT1043/eco)^n),alpha*fck),0)</f>
      </c>
    </row>
    <row r="1044" spans="1:47" x14ac:dyDescent="0.25">
      <c r="A1044">
        <f>Mesh!A1041</f>
      </c>
      <c r="B1044" s="12">
        <f>Mesh!B1041</f>
      </c>
      <c r="C1044" s="12">
        <f>Mesh!C1041</f>
      </c>
      <c r="D1044" s="12">
        <f>Mesh!D1041</f>
      </c>
      <c r="E1044" s="30">
        <f>INDEX(St_e0,Det+1)+INDEX(St_kx,Det+1)*C1044+INDEX(St_ky,Det+1)*B1044</f>
      </c>
      <c r="F1044" s="12">
        <f>IF(E1044&gt;0,IF(E1044&lt;=eco,alpha*fck*(1-(1-E1044/eco)^n),alpha*fck),0)</f>
      </c>
      <c r="G1044" s="11">
        <f>F1044*D1044</f>
      </c>
      <c r="H1044" s="11">
        <f>G1044*C1044</f>
      </c>
      <c r="I1044" s="11">
        <f>G1044*B1044</f>
      </c>
      <c r="J1044" s="30">
        <f>PM_Angle!$J$7+PM_Angle!$K$7*$C1044+PM_Angle!$L$7*$B1044</f>
      </c>
      <c r="K1044" s="12">
        <f>IF(J1044&gt;0,IF(J1044&lt;=eco,alpha*fck*(1-(1-J1044/eco)^n),alpha*fck),0)</f>
      </c>
      <c r="L1044" s="30">
        <f>PM_Angle!$J$8+PM_Angle!$K$8*$C1044+PM_Angle!$L$8*$B1044</f>
      </c>
      <c r="M1044" s="12">
        <f>IF(L1044&gt;0,IF(L1044&lt;=eco,alpha*fck*(1-(1-L1044/eco)^n),alpha*fck),0)</f>
      </c>
      <c r="N1044" s="30">
        <f>PM_Angle!$J$9+PM_Angle!$K$9*$C1044+PM_Angle!$L$9*$B1044</f>
      </c>
      <c r="O1044" s="12">
        <f>IF(N1044&gt;0,IF(N1044&lt;=eco,alpha*fck*(1-(1-N1044/eco)^n),alpha*fck),0)</f>
      </c>
      <c r="P1044" s="30">
        <f>PM_Angle!$J$10+PM_Angle!$K$10*$C1044+PM_Angle!$L$10*$B1044</f>
      </c>
      <c r="Q1044" s="12">
        <f>IF(P1044&gt;0,IF(P1044&lt;=eco,alpha*fck*(1-(1-P1044/eco)^n),alpha*fck),0)</f>
      </c>
      <c r="R1044" s="30">
        <f>PM_Angle!$J$11+PM_Angle!$K$11*$C1044+PM_Angle!$L$11*$B1044</f>
      </c>
      <c r="S1044" s="12">
        <f>IF(R1044&gt;0,IF(R1044&lt;=eco,alpha*fck*(1-(1-R1044/eco)^n),alpha*fck),0)</f>
      </c>
      <c r="T1044" s="30">
        <f>PM_Angle!$J$12+PM_Angle!$K$12*$C1044+PM_Angle!$L$12*$B1044</f>
      </c>
      <c r="U1044" s="12">
        <f>IF(T1044&gt;0,IF(T1044&lt;=eco,alpha*fck*(1-(1-T1044/eco)^n),alpha*fck),0)</f>
      </c>
      <c r="V1044" s="30">
        <f>PM_Angle!$J$13+PM_Angle!$K$13*$C1044+PM_Angle!$L$13*$B1044</f>
      </c>
      <c r="W1044" s="12">
        <f>IF(V1044&gt;0,IF(V1044&lt;=eco,alpha*fck*(1-(1-V1044/eco)^n),alpha*fck),0)</f>
      </c>
      <c r="X1044" s="30">
        <f>PM_Angle!$J$14+PM_Angle!$K$14*$C1044+PM_Angle!$L$14*$B1044</f>
      </c>
      <c r="Y1044" s="12">
        <f>IF(X1044&gt;0,IF(X1044&lt;=eco,alpha*fck*(1-(1-X1044/eco)^n),alpha*fck),0)</f>
      </c>
      <c r="Z1044" s="30">
        <f>PM_Angle!$J$15+PM_Angle!$K$15*$C1044+PM_Angle!$L$15*$B1044</f>
      </c>
      <c r="AA1044" s="12">
        <f>IF(Z1044&gt;0,IF(Z1044&lt;=eco,alpha*fck*(1-(1-Z1044/eco)^n),alpha*fck),0)</f>
      </c>
      <c r="AB1044" s="30">
        <f>PM_Angle!$J$16+PM_Angle!$K$16*$C1044+PM_Angle!$L$16*$B1044</f>
      </c>
      <c r="AC1044" s="12">
        <f>IF(AB1044&gt;0,IF(AB1044&lt;=eco,alpha*fck*(1-(1-AB1044/eco)^n),alpha*fck),0)</f>
      </c>
      <c r="AD1044" s="30">
        <f>PM_Angle!$J$17+PM_Angle!$K$17*$C1044+PM_Angle!$L$17*$B1044</f>
      </c>
      <c r="AE1044" s="12">
        <f>IF(AD1044&gt;0,IF(AD1044&lt;=eco,alpha*fck*(1-(1-AD1044/eco)^n),alpha*fck),0)</f>
      </c>
      <c r="AF1044" s="30">
        <f>PM_Angle!$J$18+PM_Angle!$K$18*$C1044+PM_Angle!$L$18*$B1044</f>
      </c>
      <c r="AG1044" s="12">
        <f>IF(AF1044&gt;0,IF(AF1044&lt;=eco,alpha*fck*(1-(1-AF1044/eco)^n),alpha*fck),0)</f>
      </c>
      <c r="AH1044" s="30">
        <f>PM_Angle!$J$19+PM_Angle!$K$19*$C1044+PM_Angle!$L$19*$B1044</f>
      </c>
      <c r="AI1044" s="12">
        <f>IF(AH1044&gt;0,IF(AH1044&lt;=eco,alpha*fck*(1-(1-AH1044/eco)^n),alpha*fck),0)</f>
      </c>
      <c r="AJ1044" s="30">
        <f>PM_Angle!$J$20+PM_Angle!$K$20*$C1044+PM_Angle!$L$20*$B1044</f>
      </c>
      <c r="AK1044" s="12">
        <f>IF(AJ1044&gt;0,IF(AJ1044&lt;=eco,alpha*fck*(1-(1-AJ1044/eco)^n),alpha*fck),0)</f>
      </c>
      <c r="AL1044" s="30">
        <f>PM_Angle!$J$21+PM_Angle!$K$21*$C1044+PM_Angle!$L$21*$B1044</f>
      </c>
      <c r="AM1044" s="12">
        <f>IF(AL1044&gt;0,IF(AL1044&lt;=eco,alpha*fck*(1-(1-AL1044/eco)^n),alpha*fck),0)</f>
      </c>
      <c r="AN1044" s="30">
        <f>PM_Angle!$J$22+PM_Angle!$K$22*$C1044+PM_Angle!$L$22*$B1044</f>
      </c>
      <c r="AO1044" s="12">
        <f>IF(AN1044&gt;0,IF(AN1044&lt;=eco,alpha*fck*(1-(1-AN1044/eco)^n),alpha*fck),0)</f>
      </c>
      <c r="AP1044" s="30">
        <f>PM_Angle!$J$23+PM_Angle!$K$23*$C1044+PM_Angle!$L$23*$B1044</f>
      </c>
      <c r="AQ1044" s="12">
        <f>IF(AP1044&gt;0,IF(AP1044&lt;=eco,alpha*fck*(1-(1-AP1044/eco)^n),alpha*fck),0)</f>
      </c>
      <c r="AR1044" s="30">
        <f>PM_Angle!$J$24+PM_Angle!$K$24*$C1044+PM_Angle!$L$24*$B1044</f>
      </c>
      <c r="AS1044" s="12">
        <f>IF(AR1044&gt;0,IF(AR1044&lt;=eco,alpha*fck*(1-(1-AR1044/eco)^n),alpha*fck),0)</f>
      </c>
      <c r="AT1044" s="30">
        <f>PM_Angle!$J$25+PM_Angle!$K$25*$C1044+PM_Angle!$L$25*$B1044</f>
      </c>
      <c r="AU1044" s="12">
        <f>IF(AT1044&gt;0,IF(AT1044&lt;=eco,alpha*fck*(1-(1-AT1044/eco)^n),alpha*fck),0)</f>
      </c>
    </row>
    <row r="1045" spans="1:47" x14ac:dyDescent="0.25">
      <c r="A1045">
        <f>Mesh!A1042</f>
      </c>
      <c r="B1045" s="12">
        <f>Mesh!B1042</f>
      </c>
      <c r="C1045" s="12">
        <f>Mesh!C1042</f>
      </c>
      <c r="D1045" s="12">
        <f>Mesh!D1042</f>
      </c>
      <c r="E1045" s="30">
        <f>INDEX(St_e0,Det+1)+INDEX(St_kx,Det+1)*C1045+INDEX(St_ky,Det+1)*B1045</f>
      </c>
      <c r="F1045" s="12">
        <f>IF(E1045&gt;0,IF(E1045&lt;=eco,alpha*fck*(1-(1-E1045/eco)^n),alpha*fck),0)</f>
      </c>
      <c r="G1045" s="11">
        <f>F1045*D1045</f>
      </c>
      <c r="H1045" s="11">
        <f>G1045*C1045</f>
      </c>
      <c r="I1045" s="11">
        <f>G1045*B1045</f>
      </c>
      <c r="J1045" s="30">
        <f>PM_Angle!$J$7+PM_Angle!$K$7*$C1045+PM_Angle!$L$7*$B1045</f>
      </c>
      <c r="K1045" s="12">
        <f>IF(J1045&gt;0,IF(J1045&lt;=eco,alpha*fck*(1-(1-J1045/eco)^n),alpha*fck),0)</f>
      </c>
      <c r="L1045" s="30">
        <f>PM_Angle!$J$8+PM_Angle!$K$8*$C1045+PM_Angle!$L$8*$B1045</f>
      </c>
      <c r="M1045" s="12">
        <f>IF(L1045&gt;0,IF(L1045&lt;=eco,alpha*fck*(1-(1-L1045/eco)^n),alpha*fck),0)</f>
      </c>
      <c r="N1045" s="30">
        <f>PM_Angle!$J$9+PM_Angle!$K$9*$C1045+PM_Angle!$L$9*$B1045</f>
      </c>
      <c r="O1045" s="12">
        <f>IF(N1045&gt;0,IF(N1045&lt;=eco,alpha*fck*(1-(1-N1045/eco)^n),alpha*fck),0)</f>
      </c>
      <c r="P1045" s="30">
        <f>PM_Angle!$J$10+PM_Angle!$K$10*$C1045+PM_Angle!$L$10*$B1045</f>
      </c>
      <c r="Q1045" s="12">
        <f>IF(P1045&gt;0,IF(P1045&lt;=eco,alpha*fck*(1-(1-P1045/eco)^n),alpha*fck),0)</f>
      </c>
      <c r="R1045" s="30">
        <f>PM_Angle!$J$11+PM_Angle!$K$11*$C1045+PM_Angle!$L$11*$B1045</f>
      </c>
      <c r="S1045" s="12">
        <f>IF(R1045&gt;0,IF(R1045&lt;=eco,alpha*fck*(1-(1-R1045/eco)^n),alpha*fck),0)</f>
      </c>
      <c r="T1045" s="30">
        <f>PM_Angle!$J$12+PM_Angle!$K$12*$C1045+PM_Angle!$L$12*$B1045</f>
      </c>
      <c r="U1045" s="12">
        <f>IF(T1045&gt;0,IF(T1045&lt;=eco,alpha*fck*(1-(1-T1045/eco)^n),alpha*fck),0)</f>
      </c>
      <c r="V1045" s="30">
        <f>PM_Angle!$J$13+PM_Angle!$K$13*$C1045+PM_Angle!$L$13*$B1045</f>
      </c>
      <c r="W1045" s="12">
        <f>IF(V1045&gt;0,IF(V1045&lt;=eco,alpha*fck*(1-(1-V1045/eco)^n),alpha*fck),0)</f>
      </c>
      <c r="X1045" s="30">
        <f>PM_Angle!$J$14+PM_Angle!$K$14*$C1045+PM_Angle!$L$14*$B1045</f>
      </c>
      <c r="Y1045" s="12">
        <f>IF(X1045&gt;0,IF(X1045&lt;=eco,alpha*fck*(1-(1-X1045/eco)^n),alpha*fck),0)</f>
      </c>
      <c r="Z1045" s="30">
        <f>PM_Angle!$J$15+PM_Angle!$K$15*$C1045+PM_Angle!$L$15*$B1045</f>
      </c>
      <c r="AA1045" s="12">
        <f>IF(Z1045&gt;0,IF(Z1045&lt;=eco,alpha*fck*(1-(1-Z1045/eco)^n),alpha*fck),0)</f>
      </c>
      <c r="AB1045" s="30">
        <f>PM_Angle!$J$16+PM_Angle!$K$16*$C1045+PM_Angle!$L$16*$B1045</f>
      </c>
      <c r="AC1045" s="12">
        <f>IF(AB1045&gt;0,IF(AB1045&lt;=eco,alpha*fck*(1-(1-AB1045/eco)^n),alpha*fck),0)</f>
      </c>
      <c r="AD1045" s="30">
        <f>PM_Angle!$J$17+PM_Angle!$K$17*$C1045+PM_Angle!$L$17*$B1045</f>
      </c>
      <c r="AE1045" s="12">
        <f>IF(AD1045&gt;0,IF(AD1045&lt;=eco,alpha*fck*(1-(1-AD1045/eco)^n),alpha*fck),0)</f>
      </c>
      <c r="AF1045" s="30">
        <f>PM_Angle!$J$18+PM_Angle!$K$18*$C1045+PM_Angle!$L$18*$B1045</f>
      </c>
      <c r="AG1045" s="12">
        <f>IF(AF1045&gt;0,IF(AF1045&lt;=eco,alpha*fck*(1-(1-AF1045/eco)^n),alpha*fck),0)</f>
      </c>
      <c r="AH1045" s="30">
        <f>PM_Angle!$J$19+PM_Angle!$K$19*$C1045+PM_Angle!$L$19*$B1045</f>
      </c>
      <c r="AI1045" s="12">
        <f>IF(AH1045&gt;0,IF(AH1045&lt;=eco,alpha*fck*(1-(1-AH1045/eco)^n),alpha*fck),0)</f>
      </c>
      <c r="AJ1045" s="30">
        <f>PM_Angle!$J$20+PM_Angle!$K$20*$C1045+PM_Angle!$L$20*$B1045</f>
      </c>
      <c r="AK1045" s="12">
        <f>IF(AJ1045&gt;0,IF(AJ1045&lt;=eco,alpha*fck*(1-(1-AJ1045/eco)^n),alpha*fck),0)</f>
      </c>
      <c r="AL1045" s="30">
        <f>PM_Angle!$J$21+PM_Angle!$K$21*$C1045+PM_Angle!$L$21*$B1045</f>
      </c>
      <c r="AM1045" s="12">
        <f>IF(AL1045&gt;0,IF(AL1045&lt;=eco,alpha*fck*(1-(1-AL1045/eco)^n),alpha*fck),0)</f>
      </c>
      <c r="AN1045" s="30">
        <f>PM_Angle!$J$22+PM_Angle!$K$22*$C1045+PM_Angle!$L$22*$B1045</f>
      </c>
      <c r="AO1045" s="12">
        <f>IF(AN1045&gt;0,IF(AN1045&lt;=eco,alpha*fck*(1-(1-AN1045/eco)^n),alpha*fck),0)</f>
      </c>
      <c r="AP1045" s="30">
        <f>PM_Angle!$J$23+PM_Angle!$K$23*$C1045+PM_Angle!$L$23*$B1045</f>
      </c>
      <c r="AQ1045" s="12">
        <f>IF(AP1045&gt;0,IF(AP1045&lt;=eco,alpha*fck*(1-(1-AP1045/eco)^n),alpha*fck),0)</f>
      </c>
      <c r="AR1045" s="30">
        <f>PM_Angle!$J$24+PM_Angle!$K$24*$C1045+PM_Angle!$L$24*$B1045</f>
      </c>
      <c r="AS1045" s="12">
        <f>IF(AR1045&gt;0,IF(AR1045&lt;=eco,alpha*fck*(1-(1-AR1045/eco)^n),alpha*fck),0)</f>
      </c>
      <c r="AT1045" s="30">
        <f>PM_Angle!$J$25+PM_Angle!$K$25*$C1045+PM_Angle!$L$25*$B1045</f>
      </c>
      <c r="AU1045" s="12">
        <f>IF(AT1045&gt;0,IF(AT1045&lt;=eco,alpha*fck*(1-(1-AT1045/eco)^n),alpha*fck),0)</f>
      </c>
    </row>
    <row r="1046" spans="1:47" x14ac:dyDescent="0.25">
      <c r="A1046">
        <f>Mesh!A1043</f>
      </c>
      <c r="B1046" s="12">
        <f>Mesh!B1043</f>
      </c>
      <c r="C1046" s="12">
        <f>Mesh!C1043</f>
      </c>
      <c r="D1046" s="12">
        <f>Mesh!D1043</f>
      </c>
      <c r="E1046" s="30">
        <f>INDEX(St_e0,Det+1)+INDEX(St_kx,Det+1)*C1046+INDEX(St_ky,Det+1)*B1046</f>
      </c>
      <c r="F1046" s="12">
        <f>IF(E1046&gt;0,IF(E1046&lt;=eco,alpha*fck*(1-(1-E1046/eco)^n),alpha*fck),0)</f>
      </c>
      <c r="G1046" s="11">
        <f>F1046*D1046</f>
      </c>
      <c r="H1046" s="11">
        <f>G1046*C1046</f>
      </c>
      <c r="I1046" s="11">
        <f>G1046*B1046</f>
      </c>
      <c r="J1046" s="30">
        <f>PM_Angle!$J$7+PM_Angle!$K$7*$C1046+PM_Angle!$L$7*$B1046</f>
      </c>
      <c r="K1046" s="12">
        <f>IF(J1046&gt;0,IF(J1046&lt;=eco,alpha*fck*(1-(1-J1046/eco)^n),alpha*fck),0)</f>
      </c>
      <c r="L1046" s="30">
        <f>PM_Angle!$J$8+PM_Angle!$K$8*$C1046+PM_Angle!$L$8*$B1046</f>
      </c>
      <c r="M1046" s="12">
        <f>IF(L1046&gt;0,IF(L1046&lt;=eco,alpha*fck*(1-(1-L1046/eco)^n),alpha*fck),0)</f>
      </c>
      <c r="N1046" s="30">
        <f>PM_Angle!$J$9+PM_Angle!$K$9*$C1046+PM_Angle!$L$9*$B1046</f>
      </c>
      <c r="O1046" s="12">
        <f>IF(N1046&gt;0,IF(N1046&lt;=eco,alpha*fck*(1-(1-N1046/eco)^n),alpha*fck),0)</f>
      </c>
      <c r="P1046" s="30">
        <f>PM_Angle!$J$10+PM_Angle!$K$10*$C1046+PM_Angle!$L$10*$B1046</f>
      </c>
      <c r="Q1046" s="12">
        <f>IF(P1046&gt;0,IF(P1046&lt;=eco,alpha*fck*(1-(1-P1046/eco)^n),alpha*fck),0)</f>
      </c>
      <c r="R1046" s="30">
        <f>PM_Angle!$J$11+PM_Angle!$K$11*$C1046+PM_Angle!$L$11*$B1046</f>
      </c>
      <c r="S1046" s="12">
        <f>IF(R1046&gt;0,IF(R1046&lt;=eco,alpha*fck*(1-(1-R1046/eco)^n),alpha*fck),0)</f>
      </c>
      <c r="T1046" s="30">
        <f>PM_Angle!$J$12+PM_Angle!$K$12*$C1046+PM_Angle!$L$12*$B1046</f>
      </c>
      <c r="U1046" s="12">
        <f>IF(T1046&gt;0,IF(T1046&lt;=eco,alpha*fck*(1-(1-T1046/eco)^n),alpha*fck),0)</f>
      </c>
      <c r="V1046" s="30">
        <f>PM_Angle!$J$13+PM_Angle!$K$13*$C1046+PM_Angle!$L$13*$B1046</f>
      </c>
      <c r="W1046" s="12">
        <f>IF(V1046&gt;0,IF(V1046&lt;=eco,alpha*fck*(1-(1-V1046/eco)^n),alpha*fck),0)</f>
      </c>
      <c r="X1046" s="30">
        <f>PM_Angle!$J$14+PM_Angle!$K$14*$C1046+PM_Angle!$L$14*$B1046</f>
      </c>
      <c r="Y1046" s="12">
        <f>IF(X1046&gt;0,IF(X1046&lt;=eco,alpha*fck*(1-(1-X1046/eco)^n),alpha*fck),0)</f>
      </c>
      <c r="Z1046" s="30">
        <f>PM_Angle!$J$15+PM_Angle!$K$15*$C1046+PM_Angle!$L$15*$B1046</f>
      </c>
      <c r="AA1046" s="12">
        <f>IF(Z1046&gt;0,IF(Z1046&lt;=eco,alpha*fck*(1-(1-Z1046/eco)^n),alpha*fck),0)</f>
      </c>
      <c r="AB1046" s="30">
        <f>PM_Angle!$J$16+PM_Angle!$K$16*$C1046+PM_Angle!$L$16*$B1046</f>
      </c>
      <c r="AC1046" s="12">
        <f>IF(AB1046&gt;0,IF(AB1046&lt;=eco,alpha*fck*(1-(1-AB1046/eco)^n),alpha*fck),0)</f>
      </c>
      <c r="AD1046" s="30">
        <f>PM_Angle!$J$17+PM_Angle!$K$17*$C1046+PM_Angle!$L$17*$B1046</f>
      </c>
      <c r="AE1046" s="12">
        <f>IF(AD1046&gt;0,IF(AD1046&lt;=eco,alpha*fck*(1-(1-AD1046/eco)^n),alpha*fck),0)</f>
      </c>
      <c r="AF1046" s="30">
        <f>PM_Angle!$J$18+PM_Angle!$K$18*$C1046+PM_Angle!$L$18*$B1046</f>
      </c>
      <c r="AG1046" s="12">
        <f>IF(AF1046&gt;0,IF(AF1046&lt;=eco,alpha*fck*(1-(1-AF1046/eco)^n),alpha*fck),0)</f>
      </c>
      <c r="AH1046" s="30">
        <f>PM_Angle!$J$19+PM_Angle!$K$19*$C1046+PM_Angle!$L$19*$B1046</f>
      </c>
      <c r="AI1046" s="12">
        <f>IF(AH1046&gt;0,IF(AH1046&lt;=eco,alpha*fck*(1-(1-AH1046/eco)^n),alpha*fck),0)</f>
      </c>
      <c r="AJ1046" s="30">
        <f>PM_Angle!$J$20+PM_Angle!$K$20*$C1046+PM_Angle!$L$20*$B1046</f>
      </c>
      <c r="AK1046" s="12">
        <f>IF(AJ1046&gt;0,IF(AJ1046&lt;=eco,alpha*fck*(1-(1-AJ1046/eco)^n),alpha*fck),0)</f>
      </c>
      <c r="AL1046" s="30">
        <f>PM_Angle!$J$21+PM_Angle!$K$21*$C1046+PM_Angle!$L$21*$B1046</f>
      </c>
      <c r="AM1046" s="12">
        <f>IF(AL1046&gt;0,IF(AL1046&lt;=eco,alpha*fck*(1-(1-AL1046/eco)^n),alpha*fck),0)</f>
      </c>
      <c r="AN1046" s="30">
        <f>PM_Angle!$J$22+PM_Angle!$K$22*$C1046+PM_Angle!$L$22*$B1046</f>
      </c>
      <c r="AO1046" s="12">
        <f>IF(AN1046&gt;0,IF(AN1046&lt;=eco,alpha*fck*(1-(1-AN1046/eco)^n),alpha*fck),0)</f>
      </c>
      <c r="AP1046" s="30">
        <f>PM_Angle!$J$23+PM_Angle!$K$23*$C1046+PM_Angle!$L$23*$B1046</f>
      </c>
      <c r="AQ1046" s="12">
        <f>IF(AP1046&gt;0,IF(AP1046&lt;=eco,alpha*fck*(1-(1-AP1046/eco)^n),alpha*fck),0)</f>
      </c>
      <c r="AR1046" s="30">
        <f>PM_Angle!$J$24+PM_Angle!$K$24*$C1046+PM_Angle!$L$24*$B1046</f>
      </c>
      <c r="AS1046" s="12">
        <f>IF(AR1046&gt;0,IF(AR1046&lt;=eco,alpha*fck*(1-(1-AR1046/eco)^n),alpha*fck),0)</f>
      </c>
      <c r="AT1046" s="30">
        <f>PM_Angle!$J$25+PM_Angle!$K$25*$C1046+PM_Angle!$L$25*$B1046</f>
      </c>
      <c r="AU1046" s="12">
        <f>IF(AT1046&gt;0,IF(AT1046&lt;=eco,alpha*fck*(1-(1-AT1046/eco)^n),alpha*fck),0)</f>
      </c>
    </row>
    <row r="1047" spans="1:47" x14ac:dyDescent="0.25">
      <c r="A1047">
        <f>Mesh!A1044</f>
      </c>
      <c r="B1047" s="12">
        <f>Mesh!B1044</f>
      </c>
      <c r="C1047" s="12">
        <f>Mesh!C1044</f>
      </c>
      <c r="D1047" s="12">
        <f>Mesh!D1044</f>
      </c>
      <c r="E1047" s="30">
        <f>INDEX(St_e0,Det+1)+INDEX(St_kx,Det+1)*C1047+INDEX(St_ky,Det+1)*B1047</f>
      </c>
      <c r="F1047" s="12">
        <f>IF(E1047&gt;0,IF(E1047&lt;=eco,alpha*fck*(1-(1-E1047/eco)^n),alpha*fck),0)</f>
      </c>
      <c r="G1047" s="11">
        <f>F1047*D1047</f>
      </c>
      <c r="H1047" s="11">
        <f>G1047*C1047</f>
      </c>
      <c r="I1047" s="11">
        <f>G1047*B1047</f>
      </c>
      <c r="J1047" s="30">
        <f>PM_Angle!$J$7+PM_Angle!$K$7*$C1047+PM_Angle!$L$7*$B1047</f>
      </c>
      <c r="K1047" s="12">
        <f>IF(J1047&gt;0,IF(J1047&lt;=eco,alpha*fck*(1-(1-J1047/eco)^n),alpha*fck),0)</f>
      </c>
      <c r="L1047" s="30">
        <f>PM_Angle!$J$8+PM_Angle!$K$8*$C1047+PM_Angle!$L$8*$B1047</f>
      </c>
      <c r="M1047" s="12">
        <f>IF(L1047&gt;0,IF(L1047&lt;=eco,alpha*fck*(1-(1-L1047/eco)^n),alpha*fck),0)</f>
      </c>
      <c r="N1047" s="30">
        <f>PM_Angle!$J$9+PM_Angle!$K$9*$C1047+PM_Angle!$L$9*$B1047</f>
      </c>
      <c r="O1047" s="12">
        <f>IF(N1047&gt;0,IF(N1047&lt;=eco,alpha*fck*(1-(1-N1047/eco)^n),alpha*fck),0)</f>
      </c>
      <c r="P1047" s="30">
        <f>PM_Angle!$J$10+PM_Angle!$K$10*$C1047+PM_Angle!$L$10*$B1047</f>
      </c>
      <c r="Q1047" s="12">
        <f>IF(P1047&gt;0,IF(P1047&lt;=eco,alpha*fck*(1-(1-P1047/eco)^n),alpha*fck),0)</f>
      </c>
      <c r="R1047" s="30">
        <f>PM_Angle!$J$11+PM_Angle!$K$11*$C1047+PM_Angle!$L$11*$B1047</f>
      </c>
      <c r="S1047" s="12">
        <f>IF(R1047&gt;0,IF(R1047&lt;=eco,alpha*fck*(1-(1-R1047/eco)^n),alpha*fck),0)</f>
      </c>
      <c r="T1047" s="30">
        <f>PM_Angle!$J$12+PM_Angle!$K$12*$C1047+PM_Angle!$L$12*$B1047</f>
      </c>
      <c r="U1047" s="12">
        <f>IF(T1047&gt;0,IF(T1047&lt;=eco,alpha*fck*(1-(1-T1047/eco)^n),alpha*fck),0)</f>
      </c>
      <c r="V1047" s="30">
        <f>PM_Angle!$J$13+PM_Angle!$K$13*$C1047+PM_Angle!$L$13*$B1047</f>
      </c>
      <c r="W1047" s="12">
        <f>IF(V1047&gt;0,IF(V1047&lt;=eco,alpha*fck*(1-(1-V1047/eco)^n),alpha*fck),0)</f>
      </c>
      <c r="X1047" s="30">
        <f>PM_Angle!$J$14+PM_Angle!$K$14*$C1047+PM_Angle!$L$14*$B1047</f>
      </c>
      <c r="Y1047" s="12">
        <f>IF(X1047&gt;0,IF(X1047&lt;=eco,alpha*fck*(1-(1-X1047/eco)^n),alpha*fck),0)</f>
      </c>
      <c r="Z1047" s="30">
        <f>PM_Angle!$J$15+PM_Angle!$K$15*$C1047+PM_Angle!$L$15*$B1047</f>
      </c>
      <c r="AA1047" s="12">
        <f>IF(Z1047&gt;0,IF(Z1047&lt;=eco,alpha*fck*(1-(1-Z1047/eco)^n),alpha*fck),0)</f>
      </c>
      <c r="AB1047" s="30">
        <f>PM_Angle!$J$16+PM_Angle!$K$16*$C1047+PM_Angle!$L$16*$B1047</f>
      </c>
      <c r="AC1047" s="12">
        <f>IF(AB1047&gt;0,IF(AB1047&lt;=eco,alpha*fck*(1-(1-AB1047/eco)^n),alpha*fck),0)</f>
      </c>
      <c r="AD1047" s="30">
        <f>PM_Angle!$J$17+PM_Angle!$K$17*$C1047+PM_Angle!$L$17*$B1047</f>
      </c>
      <c r="AE1047" s="12">
        <f>IF(AD1047&gt;0,IF(AD1047&lt;=eco,alpha*fck*(1-(1-AD1047/eco)^n),alpha*fck),0)</f>
      </c>
      <c r="AF1047" s="30">
        <f>PM_Angle!$J$18+PM_Angle!$K$18*$C1047+PM_Angle!$L$18*$B1047</f>
      </c>
      <c r="AG1047" s="12">
        <f>IF(AF1047&gt;0,IF(AF1047&lt;=eco,alpha*fck*(1-(1-AF1047/eco)^n),alpha*fck),0)</f>
      </c>
      <c r="AH1047" s="30">
        <f>PM_Angle!$J$19+PM_Angle!$K$19*$C1047+PM_Angle!$L$19*$B1047</f>
      </c>
      <c r="AI1047" s="12">
        <f>IF(AH1047&gt;0,IF(AH1047&lt;=eco,alpha*fck*(1-(1-AH1047/eco)^n),alpha*fck),0)</f>
      </c>
      <c r="AJ1047" s="30">
        <f>PM_Angle!$J$20+PM_Angle!$K$20*$C1047+PM_Angle!$L$20*$B1047</f>
      </c>
      <c r="AK1047" s="12">
        <f>IF(AJ1047&gt;0,IF(AJ1047&lt;=eco,alpha*fck*(1-(1-AJ1047/eco)^n),alpha*fck),0)</f>
      </c>
      <c r="AL1047" s="30">
        <f>PM_Angle!$J$21+PM_Angle!$K$21*$C1047+PM_Angle!$L$21*$B1047</f>
      </c>
      <c r="AM1047" s="12">
        <f>IF(AL1047&gt;0,IF(AL1047&lt;=eco,alpha*fck*(1-(1-AL1047/eco)^n),alpha*fck),0)</f>
      </c>
      <c r="AN1047" s="30">
        <f>PM_Angle!$J$22+PM_Angle!$K$22*$C1047+PM_Angle!$L$22*$B1047</f>
      </c>
      <c r="AO1047" s="12">
        <f>IF(AN1047&gt;0,IF(AN1047&lt;=eco,alpha*fck*(1-(1-AN1047/eco)^n),alpha*fck),0)</f>
      </c>
      <c r="AP1047" s="30">
        <f>PM_Angle!$J$23+PM_Angle!$K$23*$C1047+PM_Angle!$L$23*$B1047</f>
      </c>
      <c r="AQ1047" s="12">
        <f>IF(AP1047&gt;0,IF(AP1047&lt;=eco,alpha*fck*(1-(1-AP1047/eco)^n),alpha*fck),0)</f>
      </c>
      <c r="AR1047" s="30">
        <f>PM_Angle!$J$24+PM_Angle!$K$24*$C1047+PM_Angle!$L$24*$B1047</f>
      </c>
      <c r="AS1047" s="12">
        <f>IF(AR1047&gt;0,IF(AR1047&lt;=eco,alpha*fck*(1-(1-AR1047/eco)^n),alpha*fck),0)</f>
      </c>
      <c r="AT1047" s="30">
        <f>PM_Angle!$J$25+PM_Angle!$K$25*$C1047+PM_Angle!$L$25*$B1047</f>
      </c>
      <c r="AU1047" s="12">
        <f>IF(AT1047&gt;0,IF(AT1047&lt;=eco,alpha*fck*(1-(1-AT1047/eco)^n),alpha*fck),0)</f>
      </c>
    </row>
    <row r="1048" spans="1:47" x14ac:dyDescent="0.25">
      <c r="A1048">
        <f>Mesh!A1045</f>
      </c>
      <c r="B1048" s="12">
        <f>Mesh!B1045</f>
      </c>
      <c r="C1048" s="12">
        <f>Mesh!C1045</f>
      </c>
      <c r="D1048" s="12">
        <f>Mesh!D1045</f>
      </c>
      <c r="E1048" s="30">
        <f>INDEX(St_e0,Det+1)+INDEX(St_kx,Det+1)*C1048+INDEX(St_ky,Det+1)*B1048</f>
      </c>
      <c r="F1048" s="12">
        <f>IF(E1048&gt;0,IF(E1048&lt;=eco,alpha*fck*(1-(1-E1048/eco)^n),alpha*fck),0)</f>
      </c>
      <c r="G1048" s="11">
        <f>F1048*D1048</f>
      </c>
      <c r="H1048" s="11">
        <f>G1048*C1048</f>
      </c>
      <c r="I1048" s="11">
        <f>G1048*B1048</f>
      </c>
      <c r="J1048" s="30">
        <f>PM_Angle!$J$7+PM_Angle!$K$7*$C1048+PM_Angle!$L$7*$B1048</f>
      </c>
      <c r="K1048" s="12">
        <f>IF(J1048&gt;0,IF(J1048&lt;=eco,alpha*fck*(1-(1-J1048/eco)^n),alpha*fck),0)</f>
      </c>
      <c r="L1048" s="30">
        <f>PM_Angle!$J$8+PM_Angle!$K$8*$C1048+PM_Angle!$L$8*$B1048</f>
      </c>
      <c r="M1048" s="12">
        <f>IF(L1048&gt;0,IF(L1048&lt;=eco,alpha*fck*(1-(1-L1048/eco)^n),alpha*fck),0)</f>
      </c>
      <c r="N1048" s="30">
        <f>PM_Angle!$J$9+PM_Angle!$K$9*$C1048+PM_Angle!$L$9*$B1048</f>
      </c>
      <c r="O1048" s="12">
        <f>IF(N1048&gt;0,IF(N1048&lt;=eco,alpha*fck*(1-(1-N1048/eco)^n),alpha*fck),0)</f>
      </c>
      <c r="P1048" s="30">
        <f>PM_Angle!$J$10+PM_Angle!$K$10*$C1048+PM_Angle!$L$10*$B1048</f>
      </c>
      <c r="Q1048" s="12">
        <f>IF(P1048&gt;0,IF(P1048&lt;=eco,alpha*fck*(1-(1-P1048/eco)^n),alpha*fck),0)</f>
      </c>
      <c r="R1048" s="30">
        <f>PM_Angle!$J$11+PM_Angle!$K$11*$C1048+PM_Angle!$L$11*$B1048</f>
      </c>
      <c r="S1048" s="12">
        <f>IF(R1048&gt;0,IF(R1048&lt;=eco,alpha*fck*(1-(1-R1048/eco)^n),alpha*fck),0)</f>
      </c>
      <c r="T1048" s="30">
        <f>PM_Angle!$J$12+PM_Angle!$K$12*$C1048+PM_Angle!$L$12*$B1048</f>
      </c>
      <c r="U1048" s="12">
        <f>IF(T1048&gt;0,IF(T1048&lt;=eco,alpha*fck*(1-(1-T1048/eco)^n),alpha*fck),0)</f>
      </c>
      <c r="V1048" s="30">
        <f>PM_Angle!$J$13+PM_Angle!$K$13*$C1048+PM_Angle!$L$13*$B1048</f>
      </c>
      <c r="W1048" s="12">
        <f>IF(V1048&gt;0,IF(V1048&lt;=eco,alpha*fck*(1-(1-V1048/eco)^n),alpha*fck),0)</f>
      </c>
      <c r="X1048" s="30">
        <f>PM_Angle!$J$14+PM_Angle!$K$14*$C1048+PM_Angle!$L$14*$B1048</f>
      </c>
      <c r="Y1048" s="12">
        <f>IF(X1048&gt;0,IF(X1048&lt;=eco,alpha*fck*(1-(1-X1048/eco)^n),alpha*fck),0)</f>
      </c>
      <c r="Z1048" s="30">
        <f>PM_Angle!$J$15+PM_Angle!$K$15*$C1048+PM_Angle!$L$15*$B1048</f>
      </c>
      <c r="AA1048" s="12">
        <f>IF(Z1048&gt;0,IF(Z1048&lt;=eco,alpha*fck*(1-(1-Z1048/eco)^n),alpha*fck),0)</f>
      </c>
      <c r="AB1048" s="30">
        <f>PM_Angle!$J$16+PM_Angle!$K$16*$C1048+PM_Angle!$L$16*$B1048</f>
      </c>
      <c r="AC1048" s="12">
        <f>IF(AB1048&gt;0,IF(AB1048&lt;=eco,alpha*fck*(1-(1-AB1048/eco)^n),alpha*fck),0)</f>
      </c>
      <c r="AD1048" s="30">
        <f>PM_Angle!$J$17+PM_Angle!$K$17*$C1048+PM_Angle!$L$17*$B1048</f>
      </c>
      <c r="AE1048" s="12">
        <f>IF(AD1048&gt;0,IF(AD1048&lt;=eco,alpha*fck*(1-(1-AD1048/eco)^n),alpha*fck),0)</f>
      </c>
      <c r="AF1048" s="30">
        <f>PM_Angle!$J$18+PM_Angle!$K$18*$C1048+PM_Angle!$L$18*$B1048</f>
      </c>
      <c r="AG1048" s="12">
        <f>IF(AF1048&gt;0,IF(AF1048&lt;=eco,alpha*fck*(1-(1-AF1048/eco)^n),alpha*fck),0)</f>
      </c>
      <c r="AH1048" s="30">
        <f>PM_Angle!$J$19+PM_Angle!$K$19*$C1048+PM_Angle!$L$19*$B1048</f>
      </c>
      <c r="AI1048" s="12">
        <f>IF(AH1048&gt;0,IF(AH1048&lt;=eco,alpha*fck*(1-(1-AH1048/eco)^n),alpha*fck),0)</f>
      </c>
      <c r="AJ1048" s="30">
        <f>PM_Angle!$J$20+PM_Angle!$K$20*$C1048+PM_Angle!$L$20*$B1048</f>
      </c>
      <c r="AK1048" s="12">
        <f>IF(AJ1048&gt;0,IF(AJ1048&lt;=eco,alpha*fck*(1-(1-AJ1048/eco)^n),alpha*fck),0)</f>
      </c>
      <c r="AL1048" s="30">
        <f>PM_Angle!$J$21+PM_Angle!$K$21*$C1048+PM_Angle!$L$21*$B1048</f>
      </c>
      <c r="AM1048" s="12">
        <f>IF(AL1048&gt;0,IF(AL1048&lt;=eco,alpha*fck*(1-(1-AL1048/eco)^n),alpha*fck),0)</f>
      </c>
      <c r="AN1048" s="30">
        <f>PM_Angle!$J$22+PM_Angle!$K$22*$C1048+PM_Angle!$L$22*$B1048</f>
      </c>
      <c r="AO1048" s="12">
        <f>IF(AN1048&gt;0,IF(AN1048&lt;=eco,alpha*fck*(1-(1-AN1048/eco)^n),alpha*fck),0)</f>
      </c>
      <c r="AP1048" s="30">
        <f>PM_Angle!$J$23+PM_Angle!$K$23*$C1048+PM_Angle!$L$23*$B1048</f>
      </c>
      <c r="AQ1048" s="12">
        <f>IF(AP1048&gt;0,IF(AP1048&lt;=eco,alpha*fck*(1-(1-AP1048/eco)^n),alpha*fck),0)</f>
      </c>
      <c r="AR1048" s="30">
        <f>PM_Angle!$J$24+PM_Angle!$K$24*$C1048+PM_Angle!$L$24*$B1048</f>
      </c>
      <c r="AS1048" s="12">
        <f>IF(AR1048&gt;0,IF(AR1048&lt;=eco,alpha*fck*(1-(1-AR1048/eco)^n),alpha*fck),0)</f>
      </c>
      <c r="AT1048" s="30">
        <f>PM_Angle!$J$25+PM_Angle!$K$25*$C1048+PM_Angle!$L$25*$B1048</f>
      </c>
      <c r="AU1048" s="12">
        <f>IF(AT1048&gt;0,IF(AT1048&lt;=eco,alpha*fck*(1-(1-AT1048/eco)^n),alpha*fck),0)</f>
      </c>
    </row>
    <row r="1049" spans="1:47" x14ac:dyDescent="0.25">
      <c r="A1049">
        <f>Mesh!A1046</f>
      </c>
      <c r="B1049" s="12">
        <f>Mesh!B1046</f>
      </c>
      <c r="C1049" s="12">
        <f>Mesh!C1046</f>
      </c>
      <c r="D1049" s="12">
        <f>Mesh!D1046</f>
      </c>
      <c r="E1049" s="30">
        <f>INDEX(St_e0,Det+1)+INDEX(St_kx,Det+1)*C1049+INDEX(St_ky,Det+1)*B1049</f>
      </c>
      <c r="F1049" s="12">
        <f>IF(E1049&gt;0,IF(E1049&lt;=eco,alpha*fck*(1-(1-E1049/eco)^n),alpha*fck),0)</f>
      </c>
      <c r="G1049" s="11">
        <f>F1049*D1049</f>
      </c>
      <c r="H1049" s="11">
        <f>G1049*C1049</f>
      </c>
      <c r="I1049" s="11">
        <f>G1049*B1049</f>
      </c>
      <c r="J1049" s="30">
        <f>PM_Angle!$J$7+PM_Angle!$K$7*$C1049+PM_Angle!$L$7*$B1049</f>
      </c>
      <c r="K1049" s="12">
        <f>IF(J1049&gt;0,IF(J1049&lt;=eco,alpha*fck*(1-(1-J1049/eco)^n),alpha*fck),0)</f>
      </c>
      <c r="L1049" s="30">
        <f>PM_Angle!$J$8+PM_Angle!$K$8*$C1049+PM_Angle!$L$8*$B1049</f>
      </c>
      <c r="M1049" s="12">
        <f>IF(L1049&gt;0,IF(L1049&lt;=eco,alpha*fck*(1-(1-L1049/eco)^n),alpha*fck),0)</f>
      </c>
      <c r="N1049" s="30">
        <f>PM_Angle!$J$9+PM_Angle!$K$9*$C1049+PM_Angle!$L$9*$B1049</f>
      </c>
      <c r="O1049" s="12">
        <f>IF(N1049&gt;0,IF(N1049&lt;=eco,alpha*fck*(1-(1-N1049/eco)^n),alpha*fck),0)</f>
      </c>
      <c r="P1049" s="30">
        <f>PM_Angle!$J$10+PM_Angle!$K$10*$C1049+PM_Angle!$L$10*$B1049</f>
      </c>
      <c r="Q1049" s="12">
        <f>IF(P1049&gt;0,IF(P1049&lt;=eco,alpha*fck*(1-(1-P1049/eco)^n),alpha*fck),0)</f>
      </c>
      <c r="R1049" s="30">
        <f>PM_Angle!$J$11+PM_Angle!$K$11*$C1049+PM_Angle!$L$11*$B1049</f>
      </c>
      <c r="S1049" s="12">
        <f>IF(R1049&gt;0,IF(R1049&lt;=eco,alpha*fck*(1-(1-R1049/eco)^n),alpha*fck),0)</f>
      </c>
      <c r="T1049" s="30">
        <f>PM_Angle!$J$12+PM_Angle!$K$12*$C1049+PM_Angle!$L$12*$B1049</f>
      </c>
      <c r="U1049" s="12">
        <f>IF(T1049&gt;0,IF(T1049&lt;=eco,alpha*fck*(1-(1-T1049/eco)^n),alpha*fck),0)</f>
      </c>
      <c r="V1049" s="30">
        <f>PM_Angle!$J$13+PM_Angle!$K$13*$C1049+PM_Angle!$L$13*$B1049</f>
      </c>
      <c r="W1049" s="12">
        <f>IF(V1049&gt;0,IF(V1049&lt;=eco,alpha*fck*(1-(1-V1049/eco)^n),alpha*fck),0)</f>
      </c>
      <c r="X1049" s="30">
        <f>PM_Angle!$J$14+PM_Angle!$K$14*$C1049+PM_Angle!$L$14*$B1049</f>
      </c>
      <c r="Y1049" s="12">
        <f>IF(X1049&gt;0,IF(X1049&lt;=eco,alpha*fck*(1-(1-X1049/eco)^n),alpha*fck),0)</f>
      </c>
      <c r="Z1049" s="30">
        <f>PM_Angle!$J$15+PM_Angle!$K$15*$C1049+PM_Angle!$L$15*$B1049</f>
      </c>
      <c r="AA1049" s="12">
        <f>IF(Z1049&gt;0,IF(Z1049&lt;=eco,alpha*fck*(1-(1-Z1049/eco)^n),alpha*fck),0)</f>
      </c>
      <c r="AB1049" s="30">
        <f>PM_Angle!$J$16+PM_Angle!$K$16*$C1049+PM_Angle!$L$16*$B1049</f>
      </c>
      <c r="AC1049" s="12">
        <f>IF(AB1049&gt;0,IF(AB1049&lt;=eco,alpha*fck*(1-(1-AB1049/eco)^n),alpha*fck),0)</f>
      </c>
      <c r="AD1049" s="30">
        <f>PM_Angle!$J$17+PM_Angle!$K$17*$C1049+PM_Angle!$L$17*$B1049</f>
      </c>
      <c r="AE1049" s="12">
        <f>IF(AD1049&gt;0,IF(AD1049&lt;=eco,alpha*fck*(1-(1-AD1049/eco)^n),alpha*fck),0)</f>
      </c>
      <c r="AF1049" s="30">
        <f>PM_Angle!$J$18+PM_Angle!$K$18*$C1049+PM_Angle!$L$18*$B1049</f>
      </c>
      <c r="AG1049" s="12">
        <f>IF(AF1049&gt;0,IF(AF1049&lt;=eco,alpha*fck*(1-(1-AF1049/eco)^n),alpha*fck),0)</f>
      </c>
      <c r="AH1049" s="30">
        <f>PM_Angle!$J$19+PM_Angle!$K$19*$C1049+PM_Angle!$L$19*$B1049</f>
      </c>
      <c r="AI1049" s="12">
        <f>IF(AH1049&gt;0,IF(AH1049&lt;=eco,alpha*fck*(1-(1-AH1049/eco)^n),alpha*fck),0)</f>
      </c>
      <c r="AJ1049" s="30">
        <f>PM_Angle!$J$20+PM_Angle!$K$20*$C1049+PM_Angle!$L$20*$B1049</f>
      </c>
      <c r="AK1049" s="12">
        <f>IF(AJ1049&gt;0,IF(AJ1049&lt;=eco,alpha*fck*(1-(1-AJ1049/eco)^n),alpha*fck),0)</f>
      </c>
      <c r="AL1049" s="30">
        <f>PM_Angle!$J$21+PM_Angle!$K$21*$C1049+PM_Angle!$L$21*$B1049</f>
      </c>
      <c r="AM1049" s="12">
        <f>IF(AL1049&gt;0,IF(AL1049&lt;=eco,alpha*fck*(1-(1-AL1049/eco)^n),alpha*fck),0)</f>
      </c>
      <c r="AN1049" s="30">
        <f>PM_Angle!$J$22+PM_Angle!$K$22*$C1049+PM_Angle!$L$22*$B1049</f>
      </c>
      <c r="AO1049" s="12">
        <f>IF(AN1049&gt;0,IF(AN1049&lt;=eco,alpha*fck*(1-(1-AN1049/eco)^n),alpha*fck),0)</f>
      </c>
      <c r="AP1049" s="30">
        <f>PM_Angle!$J$23+PM_Angle!$K$23*$C1049+PM_Angle!$L$23*$B1049</f>
      </c>
      <c r="AQ1049" s="12">
        <f>IF(AP1049&gt;0,IF(AP1049&lt;=eco,alpha*fck*(1-(1-AP1049/eco)^n),alpha*fck),0)</f>
      </c>
      <c r="AR1049" s="30">
        <f>PM_Angle!$J$24+PM_Angle!$K$24*$C1049+PM_Angle!$L$24*$B1049</f>
      </c>
      <c r="AS1049" s="12">
        <f>IF(AR1049&gt;0,IF(AR1049&lt;=eco,alpha*fck*(1-(1-AR1049/eco)^n),alpha*fck),0)</f>
      </c>
      <c r="AT1049" s="30">
        <f>PM_Angle!$J$25+PM_Angle!$K$25*$C1049+PM_Angle!$L$25*$B1049</f>
      </c>
      <c r="AU1049" s="12">
        <f>IF(AT1049&gt;0,IF(AT1049&lt;=eco,alpha*fck*(1-(1-AT1049/eco)^n),alpha*fck),0)</f>
      </c>
    </row>
    <row r="1050" spans="1:47" x14ac:dyDescent="0.25">
      <c r="A1050">
        <f>Mesh!A1047</f>
      </c>
      <c r="B1050" s="12">
        <f>Mesh!B1047</f>
      </c>
      <c r="C1050" s="12">
        <f>Mesh!C1047</f>
      </c>
      <c r="D1050" s="12">
        <f>Mesh!D1047</f>
      </c>
      <c r="E1050" s="30">
        <f>INDEX(St_e0,Det+1)+INDEX(St_kx,Det+1)*C1050+INDEX(St_ky,Det+1)*B1050</f>
      </c>
      <c r="F1050" s="12">
        <f>IF(E1050&gt;0,IF(E1050&lt;=eco,alpha*fck*(1-(1-E1050/eco)^n),alpha*fck),0)</f>
      </c>
      <c r="G1050" s="11">
        <f>F1050*D1050</f>
      </c>
      <c r="H1050" s="11">
        <f>G1050*C1050</f>
      </c>
      <c r="I1050" s="11">
        <f>G1050*B1050</f>
      </c>
      <c r="J1050" s="30">
        <f>PM_Angle!$J$7+PM_Angle!$K$7*$C1050+PM_Angle!$L$7*$B1050</f>
      </c>
      <c r="K1050" s="12">
        <f>IF(J1050&gt;0,IF(J1050&lt;=eco,alpha*fck*(1-(1-J1050/eco)^n),alpha*fck),0)</f>
      </c>
      <c r="L1050" s="30">
        <f>PM_Angle!$J$8+PM_Angle!$K$8*$C1050+PM_Angle!$L$8*$B1050</f>
      </c>
      <c r="M1050" s="12">
        <f>IF(L1050&gt;0,IF(L1050&lt;=eco,alpha*fck*(1-(1-L1050/eco)^n),alpha*fck),0)</f>
      </c>
      <c r="N1050" s="30">
        <f>PM_Angle!$J$9+PM_Angle!$K$9*$C1050+PM_Angle!$L$9*$B1050</f>
      </c>
      <c r="O1050" s="12">
        <f>IF(N1050&gt;0,IF(N1050&lt;=eco,alpha*fck*(1-(1-N1050/eco)^n),alpha*fck),0)</f>
      </c>
      <c r="P1050" s="30">
        <f>PM_Angle!$J$10+PM_Angle!$K$10*$C1050+PM_Angle!$L$10*$B1050</f>
      </c>
      <c r="Q1050" s="12">
        <f>IF(P1050&gt;0,IF(P1050&lt;=eco,alpha*fck*(1-(1-P1050/eco)^n),alpha*fck),0)</f>
      </c>
      <c r="R1050" s="30">
        <f>PM_Angle!$J$11+PM_Angle!$K$11*$C1050+PM_Angle!$L$11*$B1050</f>
      </c>
      <c r="S1050" s="12">
        <f>IF(R1050&gt;0,IF(R1050&lt;=eco,alpha*fck*(1-(1-R1050/eco)^n),alpha*fck),0)</f>
      </c>
      <c r="T1050" s="30">
        <f>PM_Angle!$J$12+PM_Angle!$K$12*$C1050+PM_Angle!$L$12*$B1050</f>
      </c>
      <c r="U1050" s="12">
        <f>IF(T1050&gt;0,IF(T1050&lt;=eco,alpha*fck*(1-(1-T1050/eco)^n),alpha*fck),0)</f>
      </c>
      <c r="V1050" s="30">
        <f>PM_Angle!$J$13+PM_Angle!$K$13*$C1050+PM_Angle!$L$13*$B1050</f>
      </c>
      <c r="W1050" s="12">
        <f>IF(V1050&gt;0,IF(V1050&lt;=eco,alpha*fck*(1-(1-V1050/eco)^n),alpha*fck),0)</f>
      </c>
      <c r="X1050" s="30">
        <f>PM_Angle!$J$14+PM_Angle!$K$14*$C1050+PM_Angle!$L$14*$B1050</f>
      </c>
      <c r="Y1050" s="12">
        <f>IF(X1050&gt;0,IF(X1050&lt;=eco,alpha*fck*(1-(1-X1050/eco)^n),alpha*fck),0)</f>
      </c>
      <c r="Z1050" s="30">
        <f>PM_Angle!$J$15+PM_Angle!$K$15*$C1050+PM_Angle!$L$15*$B1050</f>
      </c>
      <c r="AA1050" s="12">
        <f>IF(Z1050&gt;0,IF(Z1050&lt;=eco,alpha*fck*(1-(1-Z1050/eco)^n),alpha*fck),0)</f>
      </c>
      <c r="AB1050" s="30">
        <f>PM_Angle!$J$16+PM_Angle!$K$16*$C1050+PM_Angle!$L$16*$B1050</f>
      </c>
      <c r="AC1050" s="12">
        <f>IF(AB1050&gt;0,IF(AB1050&lt;=eco,alpha*fck*(1-(1-AB1050/eco)^n),alpha*fck),0)</f>
      </c>
      <c r="AD1050" s="30">
        <f>PM_Angle!$J$17+PM_Angle!$K$17*$C1050+PM_Angle!$L$17*$B1050</f>
      </c>
      <c r="AE1050" s="12">
        <f>IF(AD1050&gt;0,IF(AD1050&lt;=eco,alpha*fck*(1-(1-AD1050/eco)^n),alpha*fck),0)</f>
      </c>
      <c r="AF1050" s="30">
        <f>PM_Angle!$J$18+PM_Angle!$K$18*$C1050+PM_Angle!$L$18*$B1050</f>
      </c>
      <c r="AG1050" s="12">
        <f>IF(AF1050&gt;0,IF(AF1050&lt;=eco,alpha*fck*(1-(1-AF1050/eco)^n),alpha*fck),0)</f>
      </c>
      <c r="AH1050" s="30">
        <f>PM_Angle!$J$19+PM_Angle!$K$19*$C1050+PM_Angle!$L$19*$B1050</f>
      </c>
      <c r="AI1050" s="12">
        <f>IF(AH1050&gt;0,IF(AH1050&lt;=eco,alpha*fck*(1-(1-AH1050/eco)^n),alpha*fck),0)</f>
      </c>
      <c r="AJ1050" s="30">
        <f>PM_Angle!$J$20+PM_Angle!$K$20*$C1050+PM_Angle!$L$20*$B1050</f>
      </c>
      <c r="AK1050" s="12">
        <f>IF(AJ1050&gt;0,IF(AJ1050&lt;=eco,alpha*fck*(1-(1-AJ1050/eco)^n),alpha*fck),0)</f>
      </c>
      <c r="AL1050" s="30">
        <f>PM_Angle!$J$21+PM_Angle!$K$21*$C1050+PM_Angle!$L$21*$B1050</f>
      </c>
      <c r="AM1050" s="12">
        <f>IF(AL1050&gt;0,IF(AL1050&lt;=eco,alpha*fck*(1-(1-AL1050/eco)^n),alpha*fck),0)</f>
      </c>
      <c r="AN1050" s="30">
        <f>PM_Angle!$J$22+PM_Angle!$K$22*$C1050+PM_Angle!$L$22*$B1050</f>
      </c>
      <c r="AO1050" s="12">
        <f>IF(AN1050&gt;0,IF(AN1050&lt;=eco,alpha*fck*(1-(1-AN1050/eco)^n),alpha*fck),0)</f>
      </c>
      <c r="AP1050" s="30">
        <f>PM_Angle!$J$23+PM_Angle!$K$23*$C1050+PM_Angle!$L$23*$B1050</f>
      </c>
      <c r="AQ1050" s="12">
        <f>IF(AP1050&gt;0,IF(AP1050&lt;=eco,alpha*fck*(1-(1-AP1050/eco)^n),alpha*fck),0)</f>
      </c>
      <c r="AR1050" s="30">
        <f>PM_Angle!$J$24+PM_Angle!$K$24*$C1050+PM_Angle!$L$24*$B1050</f>
      </c>
      <c r="AS1050" s="12">
        <f>IF(AR1050&gt;0,IF(AR1050&lt;=eco,alpha*fck*(1-(1-AR1050/eco)^n),alpha*fck),0)</f>
      </c>
      <c r="AT1050" s="30">
        <f>PM_Angle!$J$25+PM_Angle!$K$25*$C1050+PM_Angle!$L$25*$B1050</f>
      </c>
      <c r="AU1050" s="12">
        <f>IF(AT1050&gt;0,IF(AT1050&lt;=eco,alpha*fck*(1-(1-AT1050/eco)^n),alpha*fck),0)</f>
      </c>
    </row>
    <row r="1051" spans="1:47" x14ac:dyDescent="0.25">
      <c r="A1051">
        <f>Mesh!A1048</f>
      </c>
      <c r="B1051" s="12">
        <f>Mesh!B1048</f>
      </c>
      <c r="C1051" s="12">
        <f>Mesh!C1048</f>
      </c>
      <c r="D1051" s="12">
        <f>Mesh!D1048</f>
      </c>
      <c r="E1051" s="30">
        <f>INDEX(St_e0,Det+1)+INDEX(St_kx,Det+1)*C1051+INDEX(St_ky,Det+1)*B1051</f>
      </c>
      <c r="F1051" s="12">
        <f>IF(E1051&gt;0,IF(E1051&lt;=eco,alpha*fck*(1-(1-E1051/eco)^n),alpha*fck),0)</f>
      </c>
      <c r="G1051" s="11">
        <f>F1051*D1051</f>
      </c>
      <c r="H1051" s="11">
        <f>G1051*C1051</f>
      </c>
      <c r="I1051" s="11">
        <f>G1051*B1051</f>
      </c>
      <c r="J1051" s="30">
        <f>PM_Angle!$J$7+PM_Angle!$K$7*$C1051+PM_Angle!$L$7*$B1051</f>
      </c>
      <c r="K1051" s="12">
        <f>IF(J1051&gt;0,IF(J1051&lt;=eco,alpha*fck*(1-(1-J1051/eco)^n),alpha*fck),0)</f>
      </c>
      <c r="L1051" s="30">
        <f>PM_Angle!$J$8+PM_Angle!$K$8*$C1051+PM_Angle!$L$8*$B1051</f>
      </c>
      <c r="M1051" s="12">
        <f>IF(L1051&gt;0,IF(L1051&lt;=eco,alpha*fck*(1-(1-L1051/eco)^n),alpha*fck),0)</f>
      </c>
      <c r="N1051" s="30">
        <f>PM_Angle!$J$9+PM_Angle!$K$9*$C1051+PM_Angle!$L$9*$B1051</f>
      </c>
      <c r="O1051" s="12">
        <f>IF(N1051&gt;0,IF(N1051&lt;=eco,alpha*fck*(1-(1-N1051/eco)^n),alpha*fck),0)</f>
      </c>
      <c r="P1051" s="30">
        <f>PM_Angle!$J$10+PM_Angle!$K$10*$C1051+PM_Angle!$L$10*$B1051</f>
      </c>
      <c r="Q1051" s="12">
        <f>IF(P1051&gt;0,IF(P1051&lt;=eco,alpha*fck*(1-(1-P1051/eco)^n),alpha*fck),0)</f>
      </c>
      <c r="R1051" s="30">
        <f>PM_Angle!$J$11+PM_Angle!$K$11*$C1051+PM_Angle!$L$11*$B1051</f>
      </c>
      <c r="S1051" s="12">
        <f>IF(R1051&gt;0,IF(R1051&lt;=eco,alpha*fck*(1-(1-R1051/eco)^n),alpha*fck),0)</f>
      </c>
      <c r="T1051" s="30">
        <f>PM_Angle!$J$12+PM_Angle!$K$12*$C1051+PM_Angle!$L$12*$B1051</f>
      </c>
      <c r="U1051" s="12">
        <f>IF(T1051&gt;0,IF(T1051&lt;=eco,alpha*fck*(1-(1-T1051/eco)^n),alpha*fck),0)</f>
      </c>
      <c r="V1051" s="30">
        <f>PM_Angle!$J$13+PM_Angle!$K$13*$C1051+PM_Angle!$L$13*$B1051</f>
      </c>
      <c r="W1051" s="12">
        <f>IF(V1051&gt;0,IF(V1051&lt;=eco,alpha*fck*(1-(1-V1051/eco)^n),alpha*fck),0)</f>
      </c>
      <c r="X1051" s="30">
        <f>PM_Angle!$J$14+PM_Angle!$K$14*$C1051+PM_Angle!$L$14*$B1051</f>
      </c>
      <c r="Y1051" s="12">
        <f>IF(X1051&gt;0,IF(X1051&lt;=eco,alpha*fck*(1-(1-X1051/eco)^n),alpha*fck),0)</f>
      </c>
      <c r="Z1051" s="30">
        <f>PM_Angle!$J$15+PM_Angle!$K$15*$C1051+PM_Angle!$L$15*$B1051</f>
      </c>
      <c r="AA1051" s="12">
        <f>IF(Z1051&gt;0,IF(Z1051&lt;=eco,alpha*fck*(1-(1-Z1051/eco)^n),alpha*fck),0)</f>
      </c>
      <c r="AB1051" s="30">
        <f>PM_Angle!$J$16+PM_Angle!$K$16*$C1051+PM_Angle!$L$16*$B1051</f>
      </c>
      <c r="AC1051" s="12">
        <f>IF(AB1051&gt;0,IF(AB1051&lt;=eco,alpha*fck*(1-(1-AB1051/eco)^n),alpha*fck),0)</f>
      </c>
      <c r="AD1051" s="30">
        <f>PM_Angle!$J$17+PM_Angle!$K$17*$C1051+PM_Angle!$L$17*$B1051</f>
      </c>
      <c r="AE1051" s="12">
        <f>IF(AD1051&gt;0,IF(AD1051&lt;=eco,alpha*fck*(1-(1-AD1051/eco)^n),alpha*fck),0)</f>
      </c>
      <c r="AF1051" s="30">
        <f>PM_Angle!$J$18+PM_Angle!$K$18*$C1051+PM_Angle!$L$18*$B1051</f>
      </c>
      <c r="AG1051" s="12">
        <f>IF(AF1051&gt;0,IF(AF1051&lt;=eco,alpha*fck*(1-(1-AF1051/eco)^n),alpha*fck),0)</f>
      </c>
      <c r="AH1051" s="30">
        <f>PM_Angle!$J$19+PM_Angle!$K$19*$C1051+PM_Angle!$L$19*$B1051</f>
      </c>
      <c r="AI1051" s="12">
        <f>IF(AH1051&gt;0,IF(AH1051&lt;=eco,alpha*fck*(1-(1-AH1051/eco)^n),alpha*fck),0)</f>
      </c>
      <c r="AJ1051" s="30">
        <f>PM_Angle!$J$20+PM_Angle!$K$20*$C1051+PM_Angle!$L$20*$B1051</f>
      </c>
      <c r="AK1051" s="12">
        <f>IF(AJ1051&gt;0,IF(AJ1051&lt;=eco,alpha*fck*(1-(1-AJ1051/eco)^n),alpha*fck),0)</f>
      </c>
      <c r="AL1051" s="30">
        <f>PM_Angle!$J$21+PM_Angle!$K$21*$C1051+PM_Angle!$L$21*$B1051</f>
      </c>
      <c r="AM1051" s="12">
        <f>IF(AL1051&gt;0,IF(AL1051&lt;=eco,alpha*fck*(1-(1-AL1051/eco)^n),alpha*fck),0)</f>
      </c>
      <c r="AN1051" s="30">
        <f>PM_Angle!$J$22+PM_Angle!$K$22*$C1051+PM_Angle!$L$22*$B1051</f>
      </c>
      <c r="AO1051" s="12">
        <f>IF(AN1051&gt;0,IF(AN1051&lt;=eco,alpha*fck*(1-(1-AN1051/eco)^n),alpha*fck),0)</f>
      </c>
      <c r="AP1051" s="30">
        <f>PM_Angle!$J$23+PM_Angle!$K$23*$C1051+PM_Angle!$L$23*$B1051</f>
      </c>
      <c r="AQ1051" s="12">
        <f>IF(AP1051&gt;0,IF(AP1051&lt;=eco,alpha*fck*(1-(1-AP1051/eco)^n),alpha*fck),0)</f>
      </c>
      <c r="AR1051" s="30">
        <f>PM_Angle!$J$24+PM_Angle!$K$24*$C1051+PM_Angle!$L$24*$B1051</f>
      </c>
      <c r="AS1051" s="12">
        <f>IF(AR1051&gt;0,IF(AR1051&lt;=eco,alpha*fck*(1-(1-AR1051/eco)^n),alpha*fck),0)</f>
      </c>
      <c r="AT1051" s="30">
        <f>PM_Angle!$J$25+PM_Angle!$K$25*$C1051+PM_Angle!$L$25*$B1051</f>
      </c>
      <c r="AU1051" s="12">
        <f>IF(AT1051&gt;0,IF(AT1051&lt;=eco,alpha*fck*(1-(1-AT1051/eco)^n),alpha*fck),0)</f>
      </c>
    </row>
    <row r="1052" spans="1:47" x14ac:dyDescent="0.25">
      <c r="A1052">
        <f>Mesh!A1049</f>
      </c>
      <c r="B1052" s="12">
        <f>Mesh!B1049</f>
      </c>
      <c r="C1052" s="12">
        <f>Mesh!C1049</f>
      </c>
      <c r="D1052" s="12">
        <f>Mesh!D1049</f>
      </c>
      <c r="E1052" s="30">
        <f>INDEX(St_e0,Det+1)+INDEX(St_kx,Det+1)*C1052+INDEX(St_ky,Det+1)*B1052</f>
      </c>
      <c r="F1052" s="12">
        <f>IF(E1052&gt;0,IF(E1052&lt;=eco,alpha*fck*(1-(1-E1052/eco)^n),alpha*fck),0)</f>
      </c>
      <c r="G1052" s="11">
        <f>F1052*D1052</f>
      </c>
      <c r="H1052" s="11">
        <f>G1052*C1052</f>
      </c>
      <c r="I1052" s="11">
        <f>G1052*B1052</f>
      </c>
      <c r="J1052" s="30">
        <f>PM_Angle!$J$7+PM_Angle!$K$7*$C1052+PM_Angle!$L$7*$B1052</f>
      </c>
      <c r="K1052" s="12">
        <f>IF(J1052&gt;0,IF(J1052&lt;=eco,alpha*fck*(1-(1-J1052/eco)^n),alpha*fck),0)</f>
      </c>
      <c r="L1052" s="30">
        <f>PM_Angle!$J$8+PM_Angle!$K$8*$C1052+PM_Angle!$L$8*$B1052</f>
      </c>
      <c r="M1052" s="12">
        <f>IF(L1052&gt;0,IF(L1052&lt;=eco,alpha*fck*(1-(1-L1052/eco)^n),alpha*fck),0)</f>
      </c>
      <c r="N1052" s="30">
        <f>PM_Angle!$J$9+PM_Angle!$K$9*$C1052+PM_Angle!$L$9*$B1052</f>
      </c>
      <c r="O1052" s="12">
        <f>IF(N1052&gt;0,IF(N1052&lt;=eco,alpha*fck*(1-(1-N1052/eco)^n),alpha*fck),0)</f>
      </c>
      <c r="P1052" s="30">
        <f>PM_Angle!$J$10+PM_Angle!$K$10*$C1052+PM_Angle!$L$10*$B1052</f>
      </c>
      <c r="Q1052" s="12">
        <f>IF(P1052&gt;0,IF(P1052&lt;=eco,alpha*fck*(1-(1-P1052/eco)^n),alpha*fck),0)</f>
      </c>
      <c r="R1052" s="30">
        <f>PM_Angle!$J$11+PM_Angle!$K$11*$C1052+PM_Angle!$L$11*$B1052</f>
      </c>
      <c r="S1052" s="12">
        <f>IF(R1052&gt;0,IF(R1052&lt;=eco,alpha*fck*(1-(1-R1052/eco)^n),alpha*fck),0)</f>
      </c>
      <c r="T1052" s="30">
        <f>PM_Angle!$J$12+PM_Angle!$K$12*$C1052+PM_Angle!$L$12*$B1052</f>
      </c>
      <c r="U1052" s="12">
        <f>IF(T1052&gt;0,IF(T1052&lt;=eco,alpha*fck*(1-(1-T1052/eco)^n),alpha*fck),0)</f>
      </c>
      <c r="V1052" s="30">
        <f>PM_Angle!$J$13+PM_Angle!$K$13*$C1052+PM_Angle!$L$13*$B1052</f>
      </c>
      <c r="W1052" s="12">
        <f>IF(V1052&gt;0,IF(V1052&lt;=eco,alpha*fck*(1-(1-V1052/eco)^n),alpha*fck),0)</f>
      </c>
      <c r="X1052" s="30">
        <f>PM_Angle!$J$14+PM_Angle!$K$14*$C1052+PM_Angle!$L$14*$B1052</f>
      </c>
      <c r="Y1052" s="12">
        <f>IF(X1052&gt;0,IF(X1052&lt;=eco,alpha*fck*(1-(1-X1052/eco)^n),alpha*fck),0)</f>
      </c>
      <c r="Z1052" s="30">
        <f>PM_Angle!$J$15+PM_Angle!$K$15*$C1052+PM_Angle!$L$15*$B1052</f>
      </c>
      <c r="AA1052" s="12">
        <f>IF(Z1052&gt;0,IF(Z1052&lt;=eco,alpha*fck*(1-(1-Z1052/eco)^n),alpha*fck),0)</f>
      </c>
      <c r="AB1052" s="30">
        <f>PM_Angle!$J$16+PM_Angle!$K$16*$C1052+PM_Angle!$L$16*$B1052</f>
      </c>
      <c r="AC1052" s="12">
        <f>IF(AB1052&gt;0,IF(AB1052&lt;=eco,alpha*fck*(1-(1-AB1052/eco)^n),alpha*fck),0)</f>
      </c>
      <c r="AD1052" s="30">
        <f>PM_Angle!$J$17+PM_Angle!$K$17*$C1052+PM_Angle!$L$17*$B1052</f>
      </c>
      <c r="AE1052" s="12">
        <f>IF(AD1052&gt;0,IF(AD1052&lt;=eco,alpha*fck*(1-(1-AD1052/eco)^n),alpha*fck),0)</f>
      </c>
      <c r="AF1052" s="30">
        <f>PM_Angle!$J$18+PM_Angle!$K$18*$C1052+PM_Angle!$L$18*$B1052</f>
      </c>
      <c r="AG1052" s="12">
        <f>IF(AF1052&gt;0,IF(AF1052&lt;=eco,alpha*fck*(1-(1-AF1052/eco)^n),alpha*fck),0)</f>
      </c>
      <c r="AH1052" s="30">
        <f>PM_Angle!$J$19+PM_Angle!$K$19*$C1052+PM_Angle!$L$19*$B1052</f>
      </c>
      <c r="AI1052" s="12">
        <f>IF(AH1052&gt;0,IF(AH1052&lt;=eco,alpha*fck*(1-(1-AH1052/eco)^n),alpha*fck),0)</f>
      </c>
      <c r="AJ1052" s="30">
        <f>PM_Angle!$J$20+PM_Angle!$K$20*$C1052+PM_Angle!$L$20*$B1052</f>
      </c>
      <c r="AK1052" s="12">
        <f>IF(AJ1052&gt;0,IF(AJ1052&lt;=eco,alpha*fck*(1-(1-AJ1052/eco)^n),alpha*fck),0)</f>
      </c>
      <c r="AL1052" s="30">
        <f>PM_Angle!$J$21+PM_Angle!$K$21*$C1052+PM_Angle!$L$21*$B1052</f>
      </c>
      <c r="AM1052" s="12">
        <f>IF(AL1052&gt;0,IF(AL1052&lt;=eco,alpha*fck*(1-(1-AL1052/eco)^n),alpha*fck),0)</f>
      </c>
      <c r="AN1052" s="30">
        <f>PM_Angle!$J$22+PM_Angle!$K$22*$C1052+PM_Angle!$L$22*$B1052</f>
      </c>
      <c r="AO1052" s="12">
        <f>IF(AN1052&gt;0,IF(AN1052&lt;=eco,alpha*fck*(1-(1-AN1052/eco)^n),alpha*fck),0)</f>
      </c>
      <c r="AP1052" s="30">
        <f>PM_Angle!$J$23+PM_Angle!$K$23*$C1052+PM_Angle!$L$23*$B1052</f>
      </c>
      <c r="AQ1052" s="12">
        <f>IF(AP1052&gt;0,IF(AP1052&lt;=eco,alpha*fck*(1-(1-AP1052/eco)^n),alpha*fck),0)</f>
      </c>
      <c r="AR1052" s="30">
        <f>PM_Angle!$J$24+PM_Angle!$K$24*$C1052+PM_Angle!$L$24*$B1052</f>
      </c>
      <c r="AS1052" s="12">
        <f>IF(AR1052&gt;0,IF(AR1052&lt;=eco,alpha*fck*(1-(1-AR1052/eco)^n),alpha*fck),0)</f>
      </c>
      <c r="AT1052" s="30">
        <f>PM_Angle!$J$25+PM_Angle!$K$25*$C1052+PM_Angle!$L$25*$B1052</f>
      </c>
      <c r="AU1052" s="12">
        <f>IF(AT1052&gt;0,IF(AT1052&lt;=eco,alpha*fck*(1-(1-AT1052/eco)^n),alpha*fck),0)</f>
      </c>
    </row>
    <row r="1053" spans="1:47" x14ac:dyDescent="0.25">
      <c r="A1053">
        <f>Mesh!A1050</f>
      </c>
      <c r="B1053" s="12">
        <f>Mesh!B1050</f>
      </c>
      <c r="C1053" s="12">
        <f>Mesh!C1050</f>
      </c>
      <c r="D1053" s="12">
        <f>Mesh!D1050</f>
      </c>
      <c r="E1053" s="30">
        <f>INDEX(St_e0,Det+1)+INDEX(St_kx,Det+1)*C1053+INDEX(St_ky,Det+1)*B1053</f>
      </c>
      <c r="F1053" s="12">
        <f>IF(E1053&gt;0,IF(E1053&lt;=eco,alpha*fck*(1-(1-E1053/eco)^n),alpha*fck),0)</f>
      </c>
      <c r="G1053" s="11">
        <f>F1053*D1053</f>
      </c>
      <c r="H1053" s="11">
        <f>G1053*C1053</f>
      </c>
      <c r="I1053" s="11">
        <f>G1053*B1053</f>
      </c>
      <c r="J1053" s="30">
        <f>PM_Angle!$J$7+PM_Angle!$K$7*$C1053+PM_Angle!$L$7*$B1053</f>
      </c>
      <c r="K1053" s="12">
        <f>IF(J1053&gt;0,IF(J1053&lt;=eco,alpha*fck*(1-(1-J1053/eco)^n),alpha*fck),0)</f>
      </c>
      <c r="L1053" s="30">
        <f>PM_Angle!$J$8+PM_Angle!$K$8*$C1053+PM_Angle!$L$8*$B1053</f>
      </c>
      <c r="M1053" s="12">
        <f>IF(L1053&gt;0,IF(L1053&lt;=eco,alpha*fck*(1-(1-L1053/eco)^n),alpha*fck),0)</f>
      </c>
      <c r="N1053" s="30">
        <f>PM_Angle!$J$9+PM_Angle!$K$9*$C1053+PM_Angle!$L$9*$B1053</f>
      </c>
      <c r="O1053" s="12">
        <f>IF(N1053&gt;0,IF(N1053&lt;=eco,alpha*fck*(1-(1-N1053/eco)^n),alpha*fck),0)</f>
      </c>
      <c r="P1053" s="30">
        <f>PM_Angle!$J$10+PM_Angle!$K$10*$C1053+PM_Angle!$L$10*$B1053</f>
      </c>
      <c r="Q1053" s="12">
        <f>IF(P1053&gt;0,IF(P1053&lt;=eco,alpha*fck*(1-(1-P1053/eco)^n),alpha*fck),0)</f>
      </c>
      <c r="R1053" s="30">
        <f>PM_Angle!$J$11+PM_Angle!$K$11*$C1053+PM_Angle!$L$11*$B1053</f>
      </c>
      <c r="S1053" s="12">
        <f>IF(R1053&gt;0,IF(R1053&lt;=eco,alpha*fck*(1-(1-R1053/eco)^n),alpha*fck),0)</f>
      </c>
      <c r="T1053" s="30">
        <f>PM_Angle!$J$12+PM_Angle!$K$12*$C1053+PM_Angle!$L$12*$B1053</f>
      </c>
      <c r="U1053" s="12">
        <f>IF(T1053&gt;0,IF(T1053&lt;=eco,alpha*fck*(1-(1-T1053/eco)^n),alpha*fck),0)</f>
      </c>
      <c r="V1053" s="30">
        <f>PM_Angle!$J$13+PM_Angle!$K$13*$C1053+PM_Angle!$L$13*$B1053</f>
      </c>
      <c r="W1053" s="12">
        <f>IF(V1053&gt;0,IF(V1053&lt;=eco,alpha*fck*(1-(1-V1053/eco)^n),alpha*fck),0)</f>
      </c>
      <c r="X1053" s="30">
        <f>PM_Angle!$J$14+PM_Angle!$K$14*$C1053+PM_Angle!$L$14*$B1053</f>
      </c>
      <c r="Y1053" s="12">
        <f>IF(X1053&gt;0,IF(X1053&lt;=eco,alpha*fck*(1-(1-X1053/eco)^n),alpha*fck),0)</f>
      </c>
      <c r="Z1053" s="30">
        <f>PM_Angle!$J$15+PM_Angle!$K$15*$C1053+PM_Angle!$L$15*$B1053</f>
      </c>
      <c r="AA1053" s="12">
        <f>IF(Z1053&gt;0,IF(Z1053&lt;=eco,alpha*fck*(1-(1-Z1053/eco)^n),alpha*fck),0)</f>
      </c>
      <c r="AB1053" s="30">
        <f>PM_Angle!$J$16+PM_Angle!$K$16*$C1053+PM_Angle!$L$16*$B1053</f>
      </c>
      <c r="AC1053" s="12">
        <f>IF(AB1053&gt;0,IF(AB1053&lt;=eco,alpha*fck*(1-(1-AB1053/eco)^n),alpha*fck),0)</f>
      </c>
      <c r="AD1053" s="30">
        <f>PM_Angle!$J$17+PM_Angle!$K$17*$C1053+PM_Angle!$L$17*$B1053</f>
      </c>
      <c r="AE1053" s="12">
        <f>IF(AD1053&gt;0,IF(AD1053&lt;=eco,alpha*fck*(1-(1-AD1053/eco)^n),alpha*fck),0)</f>
      </c>
      <c r="AF1053" s="30">
        <f>PM_Angle!$J$18+PM_Angle!$K$18*$C1053+PM_Angle!$L$18*$B1053</f>
      </c>
      <c r="AG1053" s="12">
        <f>IF(AF1053&gt;0,IF(AF1053&lt;=eco,alpha*fck*(1-(1-AF1053/eco)^n),alpha*fck),0)</f>
      </c>
      <c r="AH1053" s="30">
        <f>PM_Angle!$J$19+PM_Angle!$K$19*$C1053+PM_Angle!$L$19*$B1053</f>
      </c>
      <c r="AI1053" s="12">
        <f>IF(AH1053&gt;0,IF(AH1053&lt;=eco,alpha*fck*(1-(1-AH1053/eco)^n),alpha*fck),0)</f>
      </c>
      <c r="AJ1053" s="30">
        <f>PM_Angle!$J$20+PM_Angle!$K$20*$C1053+PM_Angle!$L$20*$B1053</f>
      </c>
      <c r="AK1053" s="12">
        <f>IF(AJ1053&gt;0,IF(AJ1053&lt;=eco,alpha*fck*(1-(1-AJ1053/eco)^n),alpha*fck),0)</f>
      </c>
      <c r="AL1053" s="30">
        <f>PM_Angle!$J$21+PM_Angle!$K$21*$C1053+PM_Angle!$L$21*$B1053</f>
      </c>
      <c r="AM1053" s="12">
        <f>IF(AL1053&gt;0,IF(AL1053&lt;=eco,alpha*fck*(1-(1-AL1053/eco)^n),alpha*fck),0)</f>
      </c>
      <c r="AN1053" s="30">
        <f>PM_Angle!$J$22+PM_Angle!$K$22*$C1053+PM_Angle!$L$22*$B1053</f>
      </c>
      <c r="AO1053" s="12">
        <f>IF(AN1053&gt;0,IF(AN1053&lt;=eco,alpha*fck*(1-(1-AN1053/eco)^n),alpha*fck),0)</f>
      </c>
      <c r="AP1053" s="30">
        <f>PM_Angle!$J$23+PM_Angle!$K$23*$C1053+PM_Angle!$L$23*$B1053</f>
      </c>
      <c r="AQ1053" s="12">
        <f>IF(AP1053&gt;0,IF(AP1053&lt;=eco,alpha*fck*(1-(1-AP1053/eco)^n),alpha*fck),0)</f>
      </c>
      <c r="AR1053" s="30">
        <f>PM_Angle!$J$24+PM_Angle!$K$24*$C1053+PM_Angle!$L$24*$B1053</f>
      </c>
      <c r="AS1053" s="12">
        <f>IF(AR1053&gt;0,IF(AR1053&lt;=eco,alpha*fck*(1-(1-AR1053/eco)^n),alpha*fck),0)</f>
      </c>
      <c r="AT1053" s="30">
        <f>PM_Angle!$J$25+PM_Angle!$K$25*$C1053+PM_Angle!$L$25*$B1053</f>
      </c>
      <c r="AU1053" s="12">
        <f>IF(AT1053&gt;0,IF(AT1053&lt;=eco,alpha*fck*(1-(1-AT1053/eco)^n),alpha*fck),0)</f>
      </c>
    </row>
    <row r="1054" spans="1:47" x14ac:dyDescent="0.25">
      <c r="A1054">
        <f>Mesh!A1051</f>
      </c>
      <c r="B1054" s="12">
        <f>Mesh!B1051</f>
      </c>
      <c r="C1054" s="12">
        <f>Mesh!C1051</f>
      </c>
      <c r="D1054" s="12">
        <f>Mesh!D1051</f>
      </c>
      <c r="E1054" s="30">
        <f>INDEX(St_e0,Det+1)+INDEX(St_kx,Det+1)*C1054+INDEX(St_ky,Det+1)*B1054</f>
      </c>
      <c r="F1054" s="12">
        <f>IF(E1054&gt;0,IF(E1054&lt;=eco,alpha*fck*(1-(1-E1054/eco)^n),alpha*fck),0)</f>
      </c>
      <c r="G1054" s="11">
        <f>F1054*D1054</f>
      </c>
      <c r="H1054" s="11">
        <f>G1054*C1054</f>
      </c>
      <c r="I1054" s="11">
        <f>G1054*B1054</f>
      </c>
      <c r="J1054" s="30">
        <f>PM_Angle!$J$7+PM_Angle!$K$7*$C1054+PM_Angle!$L$7*$B1054</f>
      </c>
      <c r="K1054" s="12">
        <f>IF(J1054&gt;0,IF(J1054&lt;=eco,alpha*fck*(1-(1-J1054/eco)^n),alpha*fck),0)</f>
      </c>
      <c r="L1054" s="30">
        <f>PM_Angle!$J$8+PM_Angle!$K$8*$C1054+PM_Angle!$L$8*$B1054</f>
      </c>
      <c r="M1054" s="12">
        <f>IF(L1054&gt;0,IF(L1054&lt;=eco,alpha*fck*(1-(1-L1054/eco)^n),alpha*fck),0)</f>
      </c>
      <c r="N1054" s="30">
        <f>PM_Angle!$J$9+PM_Angle!$K$9*$C1054+PM_Angle!$L$9*$B1054</f>
      </c>
      <c r="O1054" s="12">
        <f>IF(N1054&gt;0,IF(N1054&lt;=eco,alpha*fck*(1-(1-N1054/eco)^n),alpha*fck),0)</f>
      </c>
      <c r="P1054" s="30">
        <f>PM_Angle!$J$10+PM_Angle!$K$10*$C1054+PM_Angle!$L$10*$B1054</f>
      </c>
      <c r="Q1054" s="12">
        <f>IF(P1054&gt;0,IF(P1054&lt;=eco,alpha*fck*(1-(1-P1054/eco)^n),alpha*fck),0)</f>
      </c>
      <c r="R1054" s="30">
        <f>PM_Angle!$J$11+PM_Angle!$K$11*$C1054+PM_Angle!$L$11*$B1054</f>
      </c>
      <c r="S1054" s="12">
        <f>IF(R1054&gt;0,IF(R1054&lt;=eco,alpha*fck*(1-(1-R1054/eco)^n),alpha*fck),0)</f>
      </c>
      <c r="T1054" s="30">
        <f>PM_Angle!$J$12+PM_Angle!$K$12*$C1054+PM_Angle!$L$12*$B1054</f>
      </c>
      <c r="U1054" s="12">
        <f>IF(T1054&gt;0,IF(T1054&lt;=eco,alpha*fck*(1-(1-T1054/eco)^n),alpha*fck),0)</f>
      </c>
      <c r="V1054" s="30">
        <f>PM_Angle!$J$13+PM_Angle!$K$13*$C1054+PM_Angle!$L$13*$B1054</f>
      </c>
      <c r="W1054" s="12">
        <f>IF(V1054&gt;0,IF(V1054&lt;=eco,alpha*fck*(1-(1-V1054/eco)^n),alpha*fck),0)</f>
      </c>
      <c r="X1054" s="30">
        <f>PM_Angle!$J$14+PM_Angle!$K$14*$C1054+PM_Angle!$L$14*$B1054</f>
      </c>
      <c r="Y1054" s="12">
        <f>IF(X1054&gt;0,IF(X1054&lt;=eco,alpha*fck*(1-(1-X1054/eco)^n),alpha*fck),0)</f>
      </c>
      <c r="Z1054" s="30">
        <f>PM_Angle!$J$15+PM_Angle!$K$15*$C1054+PM_Angle!$L$15*$B1054</f>
      </c>
      <c r="AA1054" s="12">
        <f>IF(Z1054&gt;0,IF(Z1054&lt;=eco,alpha*fck*(1-(1-Z1054/eco)^n),alpha*fck),0)</f>
      </c>
      <c r="AB1054" s="30">
        <f>PM_Angle!$J$16+PM_Angle!$K$16*$C1054+PM_Angle!$L$16*$B1054</f>
      </c>
      <c r="AC1054" s="12">
        <f>IF(AB1054&gt;0,IF(AB1054&lt;=eco,alpha*fck*(1-(1-AB1054/eco)^n),alpha*fck),0)</f>
      </c>
      <c r="AD1054" s="30">
        <f>PM_Angle!$J$17+PM_Angle!$K$17*$C1054+PM_Angle!$L$17*$B1054</f>
      </c>
      <c r="AE1054" s="12">
        <f>IF(AD1054&gt;0,IF(AD1054&lt;=eco,alpha*fck*(1-(1-AD1054/eco)^n),alpha*fck),0)</f>
      </c>
      <c r="AF1054" s="30">
        <f>PM_Angle!$J$18+PM_Angle!$K$18*$C1054+PM_Angle!$L$18*$B1054</f>
      </c>
      <c r="AG1054" s="12">
        <f>IF(AF1054&gt;0,IF(AF1054&lt;=eco,alpha*fck*(1-(1-AF1054/eco)^n),alpha*fck),0)</f>
      </c>
      <c r="AH1054" s="30">
        <f>PM_Angle!$J$19+PM_Angle!$K$19*$C1054+PM_Angle!$L$19*$B1054</f>
      </c>
      <c r="AI1054" s="12">
        <f>IF(AH1054&gt;0,IF(AH1054&lt;=eco,alpha*fck*(1-(1-AH1054/eco)^n),alpha*fck),0)</f>
      </c>
      <c r="AJ1054" s="30">
        <f>PM_Angle!$J$20+PM_Angle!$K$20*$C1054+PM_Angle!$L$20*$B1054</f>
      </c>
      <c r="AK1054" s="12">
        <f>IF(AJ1054&gt;0,IF(AJ1054&lt;=eco,alpha*fck*(1-(1-AJ1054/eco)^n),alpha*fck),0)</f>
      </c>
      <c r="AL1054" s="30">
        <f>PM_Angle!$J$21+PM_Angle!$K$21*$C1054+PM_Angle!$L$21*$B1054</f>
      </c>
      <c r="AM1054" s="12">
        <f>IF(AL1054&gt;0,IF(AL1054&lt;=eco,alpha*fck*(1-(1-AL1054/eco)^n),alpha*fck),0)</f>
      </c>
      <c r="AN1054" s="30">
        <f>PM_Angle!$J$22+PM_Angle!$K$22*$C1054+PM_Angle!$L$22*$B1054</f>
      </c>
      <c r="AO1054" s="12">
        <f>IF(AN1054&gt;0,IF(AN1054&lt;=eco,alpha*fck*(1-(1-AN1054/eco)^n),alpha*fck),0)</f>
      </c>
      <c r="AP1054" s="30">
        <f>PM_Angle!$J$23+PM_Angle!$K$23*$C1054+PM_Angle!$L$23*$B1054</f>
      </c>
      <c r="AQ1054" s="12">
        <f>IF(AP1054&gt;0,IF(AP1054&lt;=eco,alpha*fck*(1-(1-AP1054/eco)^n),alpha*fck),0)</f>
      </c>
      <c r="AR1054" s="30">
        <f>PM_Angle!$J$24+PM_Angle!$K$24*$C1054+PM_Angle!$L$24*$B1054</f>
      </c>
      <c r="AS1054" s="12">
        <f>IF(AR1054&gt;0,IF(AR1054&lt;=eco,alpha*fck*(1-(1-AR1054/eco)^n),alpha*fck),0)</f>
      </c>
      <c r="AT1054" s="30">
        <f>PM_Angle!$J$25+PM_Angle!$K$25*$C1054+PM_Angle!$L$25*$B1054</f>
      </c>
      <c r="AU1054" s="12">
        <f>IF(AT1054&gt;0,IF(AT1054&lt;=eco,alpha*fck*(1-(1-AT1054/eco)^n),alpha*fck),0)</f>
      </c>
    </row>
    <row r="1055" spans="1:47" x14ac:dyDescent="0.25">
      <c r="A1055">
        <f>Mesh!A1052</f>
      </c>
      <c r="B1055" s="12">
        <f>Mesh!B1052</f>
      </c>
      <c r="C1055" s="12">
        <f>Mesh!C1052</f>
      </c>
      <c r="D1055" s="12">
        <f>Mesh!D1052</f>
      </c>
      <c r="E1055" s="30">
        <f>INDEX(St_e0,Det+1)+INDEX(St_kx,Det+1)*C1055+INDEX(St_ky,Det+1)*B1055</f>
      </c>
      <c r="F1055" s="12">
        <f>IF(E1055&gt;0,IF(E1055&lt;=eco,alpha*fck*(1-(1-E1055/eco)^n),alpha*fck),0)</f>
      </c>
      <c r="G1055" s="11">
        <f>F1055*D1055</f>
      </c>
      <c r="H1055" s="11">
        <f>G1055*C1055</f>
      </c>
      <c r="I1055" s="11">
        <f>G1055*B1055</f>
      </c>
      <c r="J1055" s="30">
        <f>PM_Angle!$J$7+PM_Angle!$K$7*$C1055+PM_Angle!$L$7*$B1055</f>
      </c>
      <c r="K1055" s="12">
        <f>IF(J1055&gt;0,IF(J1055&lt;=eco,alpha*fck*(1-(1-J1055/eco)^n),alpha*fck),0)</f>
      </c>
      <c r="L1055" s="30">
        <f>PM_Angle!$J$8+PM_Angle!$K$8*$C1055+PM_Angle!$L$8*$B1055</f>
      </c>
      <c r="M1055" s="12">
        <f>IF(L1055&gt;0,IF(L1055&lt;=eco,alpha*fck*(1-(1-L1055/eco)^n),alpha*fck),0)</f>
      </c>
      <c r="N1055" s="30">
        <f>PM_Angle!$J$9+PM_Angle!$K$9*$C1055+PM_Angle!$L$9*$B1055</f>
      </c>
      <c r="O1055" s="12">
        <f>IF(N1055&gt;0,IF(N1055&lt;=eco,alpha*fck*(1-(1-N1055/eco)^n),alpha*fck),0)</f>
      </c>
      <c r="P1055" s="30">
        <f>PM_Angle!$J$10+PM_Angle!$K$10*$C1055+PM_Angle!$L$10*$B1055</f>
      </c>
      <c r="Q1055" s="12">
        <f>IF(P1055&gt;0,IF(P1055&lt;=eco,alpha*fck*(1-(1-P1055/eco)^n),alpha*fck),0)</f>
      </c>
      <c r="R1055" s="30">
        <f>PM_Angle!$J$11+PM_Angle!$K$11*$C1055+PM_Angle!$L$11*$B1055</f>
      </c>
      <c r="S1055" s="12">
        <f>IF(R1055&gt;0,IF(R1055&lt;=eco,alpha*fck*(1-(1-R1055/eco)^n),alpha*fck),0)</f>
      </c>
      <c r="T1055" s="30">
        <f>PM_Angle!$J$12+PM_Angle!$K$12*$C1055+PM_Angle!$L$12*$B1055</f>
      </c>
      <c r="U1055" s="12">
        <f>IF(T1055&gt;0,IF(T1055&lt;=eco,alpha*fck*(1-(1-T1055/eco)^n),alpha*fck),0)</f>
      </c>
      <c r="V1055" s="30">
        <f>PM_Angle!$J$13+PM_Angle!$K$13*$C1055+PM_Angle!$L$13*$B1055</f>
      </c>
      <c r="W1055" s="12">
        <f>IF(V1055&gt;0,IF(V1055&lt;=eco,alpha*fck*(1-(1-V1055/eco)^n),alpha*fck),0)</f>
      </c>
      <c r="X1055" s="30">
        <f>PM_Angle!$J$14+PM_Angle!$K$14*$C1055+PM_Angle!$L$14*$B1055</f>
      </c>
      <c r="Y1055" s="12">
        <f>IF(X1055&gt;0,IF(X1055&lt;=eco,alpha*fck*(1-(1-X1055/eco)^n),alpha*fck),0)</f>
      </c>
      <c r="Z1055" s="30">
        <f>PM_Angle!$J$15+PM_Angle!$K$15*$C1055+PM_Angle!$L$15*$B1055</f>
      </c>
      <c r="AA1055" s="12">
        <f>IF(Z1055&gt;0,IF(Z1055&lt;=eco,alpha*fck*(1-(1-Z1055/eco)^n),alpha*fck),0)</f>
      </c>
      <c r="AB1055" s="30">
        <f>PM_Angle!$J$16+PM_Angle!$K$16*$C1055+PM_Angle!$L$16*$B1055</f>
      </c>
      <c r="AC1055" s="12">
        <f>IF(AB1055&gt;0,IF(AB1055&lt;=eco,alpha*fck*(1-(1-AB1055/eco)^n),alpha*fck),0)</f>
      </c>
      <c r="AD1055" s="30">
        <f>PM_Angle!$J$17+PM_Angle!$K$17*$C1055+PM_Angle!$L$17*$B1055</f>
      </c>
      <c r="AE1055" s="12">
        <f>IF(AD1055&gt;0,IF(AD1055&lt;=eco,alpha*fck*(1-(1-AD1055/eco)^n),alpha*fck),0)</f>
      </c>
      <c r="AF1055" s="30">
        <f>PM_Angle!$J$18+PM_Angle!$K$18*$C1055+PM_Angle!$L$18*$B1055</f>
      </c>
      <c r="AG1055" s="12">
        <f>IF(AF1055&gt;0,IF(AF1055&lt;=eco,alpha*fck*(1-(1-AF1055/eco)^n),alpha*fck),0)</f>
      </c>
      <c r="AH1055" s="30">
        <f>PM_Angle!$J$19+PM_Angle!$K$19*$C1055+PM_Angle!$L$19*$B1055</f>
      </c>
      <c r="AI1055" s="12">
        <f>IF(AH1055&gt;0,IF(AH1055&lt;=eco,alpha*fck*(1-(1-AH1055/eco)^n),alpha*fck),0)</f>
      </c>
      <c r="AJ1055" s="30">
        <f>PM_Angle!$J$20+PM_Angle!$K$20*$C1055+PM_Angle!$L$20*$B1055</f>
      </c>
      <c r="AK1055" s="12">
        <f>IF(AJ1055&gt;0,IF(AJ1055&lt;=eco,alpha*fck*(1-(1-AJ1055/eco)^n),alpha*fck),0)</f>
      </c>
      <c r="AL1055" s="30">
        <f>PM_Angle!$J$21+PM_Angle!$K$21*$C1055+PM_Angle!$L$21*$B1055</f>
      </c>
      <c r="AM1055" s="12">
        <f>IF(AL1055&gt;0,IF(AL1055&lt;=eco,alpha*fck*(1-(1-AL1055/eco)^n),alpha*fck),0)</f>
      </c>
      <c r="AN1055" s="30">
        <f>PM_Angle!$J$22+PM_Angle!$K$22*$C1055+PM_Angle!$L$22*$B1055</f>
      </c>
      <c r="AO1055" s="12">
        <f>IF(AN1055&gt;0,IF(AN1055&lt;=eco,alpha*fck*(1-(1-AN1055/eco)^n),alpha*fck),0)</f>
      </c>
      <c r="AP1055" s="30">
        <f>PM_Angle!$J$23+PM_Angle!$K$23*$C1055+PM_Angle!$L$23*$B1055</f>
      </c>
      <c r="AQ1055" s="12">
        <f>IF(AP1055&gt;0,IF(AP1055&lt;=eco,alpha*fck*(1-(1-AP1055/eco)^n),alpha*fck),0)</f>
      </c>
      <c r="AR1055" s="30">
        <f>PM_Angle!$J$24+PM_Angle!$K$24*$C1055+PM_Angle!$L$24*$B1055</f>
      </c>
      <c r="AS1055" s="12">
        <f>IF(AR1055&gt;0,IF(AR1055&lt;=eco,alpha*fck*(1-(1-AR1055/eco)^n),alpha*fck),0)</f>
      </c>
      <c r="AT1055" s="30">
        <f>PM_Angle!$J$25+PM_Angle!$K$25*$C1055+PM_Angle!$L$25*$B1055</f>
      </c>
      <c r="AU1055" s="12">
        <f>IF(AT1055&gt;0,IF(AT1055&lt;=eco,alpha*fck*(1-(1-AT1055/eco)^n),alpha*fck),0)</f>
      </c>
    </row>
    <row r="1056" spans="1:47" x14ac:dyDescent="0.25">
      <c r="A1056">
        <f>Mesh!A1053</f>
      </c>
      <c r="B1056" s="12">
        <f>Mesh!B1053</f>
      </c>
      <c r="C1056" s="12">
        <f>Mesh!C1053</f>
      </c>
      <c r="D1056" s="12">
        <f>Mesh!D1053</f>
      </c>
      <c r="E1056" s="30">
        <f>INDEX(St_e0,Det+1)+INDEX(St_kx,Det+1)*C1056+INDEX(St_ky,Det+1)*B1056</f>
      </c>
      <c r="F1056" s="12">
        <f>IF(E1056&gt;0,IF(E1056&lt;=eco,alpha*fck*(1-(1-E1056/eco)^n),alpha*fck),0)</f>
      </c>
      <c r="G1056" s="11">
        <f>F1056*D1056</f>
      </c>
      <c r="H1056" s="11">
        <f>G1056*C1056</f>
      </c>
      <c r="I1056" s="11">
        <f>G1056*B1056</f>
      </c>
      <c r="J1056" s="30">
        <f>PM_Angle!$J$7+PM_Angle!$K$7*$C1056+PM_Angle!$L$7*$B1056</f>
      </c>
      <c r="K1056" s="12">
        <f>IF(J1056&gt;0,IF(J1056&lt;=eco,alpha*fck*(1-(1-J1056/eco)^n),alpha*fck),0)</f>
      </c>
      <c r="L1056" s="30">
        <f>PM_Angle!$J$8+PM_Angle!$K$8*$C1056+PM_Angle!$L$8*$B1056</f>
      </c>
      <c r="M1056" s="12">
        <f>IF(L1056&gt;0,IF(L1056&lt;=eco,alpha*fck*(1-(1-L1056/eco)^n),alpha*fck),0)</f>
      </c>
      <c r="N1056" s="30">
        <f>PM_Angle!$J$9+PM_Angle!$K$9*$C1056+PM_Angle!$L$9*$B1056</f>
      </c>
      <c r="O1056" s="12">
        <f>IF(N1056&gt;0,IF(N1056&lt;=eco,alpha*fck*(1-(1-N1056/eco)^n),alpha*fck),0)</f>
      </c>
      <c r="P1056" s="30">
        <f>PM_Angle!$J$10+PM_Angle!$K$10*$C1056+PM_Angle!$L$10*$B1056</f>
      </c>
      <c r="Q1056" s="12">
        <f>IF(P1056&gt;0,IF(P1056&lt;=eco,alpha*fck*(1-(1-P1056/eco)^n),alpha*fck),0)</f>
      </c>
      <c r="R1056" s="30">
        <f>PM_Angle!$J$11+PM_Angle!$K$11*$C1056+PM_Angle!$L$11*$B1056</f>
      </c>
      <c r="S1056" s="12">
        <f>IF(R1056&gt;0,IF(R1056&lt;=eco,alpha*fck*(1-(1-R1056/eco)^n),alpha*fck),0)</f>
      </c>
      <c r="T1056" s="30">
        <f>PM_Angle!$J$12+PM_Angle!$K$12*$C1056+PM_Angle!$L$12*$B1056</f>
      </c>
      <c r="U1056" s="12">
        <f>IF(T1056&gt;0,IF(T1056&lt;=eco,alpha*fck*(1-(1-T1056/eco)^n),alpha*fck),0)</f>
      </c>
      <c r="V1056" s="30">
        <f>PM_Angle!$J$13+PM_Angle!$K$13*$C1056+PM_Angle!$L$13*$B1056</f>
      </c>
      <c r="W1056" s="12">
        <f>IF(V1056&gt;0,IF(V1056&lt;=eco,alpha*fck*(1-(1-V1056/eco)^n),alpha*fck),0)</f>
      </c>
      <c r="X1056" s="30">
        <f>PM_Angle!$J$14+PM_Angle!$K$14*$C1056+PM_Angle!$L$14*$B1056</f>
      </c>
      <c r="Y1056" s="12">
        <f>IF(X1056&gt;0,IF(X1056&lt;=eco,alpha*fck*(1-(1-X1056/eco)^n),alpha*fck),0)</f>
      </c>
      <c r="Z1056" s="30">
        <f>PM_Angle!$J$15+PM_Angle!$K$15*$C1056+PM_Angle!$L$15*$B1056</f>
      </c>
      <c r="AA1056" s="12">
        <f>IF(Z1056&gt;0,IF(Z1056&lt;=eco,alpha*fck*(1-(1-Z1056/eco)^n),alpha*fck),0)</f>
      </c>
      <c r="AB1056" s="30">
        <f>PM_Angle!$J$16+PM_Angle!$K$16*$C1056+PM_Angle!$L$16*$B1056</f>
      </c>
      <c r="AC1056" s="12">
        <f>IF(AB1056&gt;0,IF(AB1056&lt;=eco,alpha*fck*(1-(1-AB1056/eco)^n),alpha*fck),0)</f>
      </c>
      <c r="AD1056" s="30">
        <f>PM_Angle!$J$17+PM_Angle!$K$17*$C1056+PM_Angle!$L$17*$B1056</f>
      </c>
      <c r="AE1056" s="12">
        <f>IF(AD1056&gt;0,IF(AD1056&lt;=eco,alpha*fck*(1-(1-AD1056/eco)^n),alpha*fck),0)</f>
      </c>
      <c r="AF1056" s="30">
        <f>PM_Angle!$J$18+PM_Angle!$K$18*$C1056+PM_Angle!$L$18*$B1056</f>
      </c>
      <c r="AG1056" s="12">
        <f>IF(AF1056&gt;0,IF(AF1056&lt;=eco,alpha*fck*(1-(1-AF1056/eco)^n),alpha*fck),0)</f>
      </c>
      <c r="AH1056" s="30">
        <f>PM_Angle!$J$19+PM_Angle!$K$19*$C1056+PM_Angle!$L$19*$B1056</f>
      </c>
      <c r="AI1056" s="12">
        <f>IF(AH1056&gt;0,IF(AH1056&lt;=eco,alpha*fck*(1-(1-AH1056/eco)^n),alpha*fck),0)</f>
      </c>
      <c r="AJ1056" s="30">
        <f>PM_Angle!$J$20+PM_Angle!$K$20*$C1056+PM_Angle!$L$20*$B1056</f>
      </c>
      <c r="AK1056" s="12">
        <f>IF(AJ1056&gt;0,IF(AJ1056&lt;=eco,alpha*fck*(1-(1-AJ1056/eco)^n),alpha*fck),0)</f>
      </c>
      <c r="AL1056" s="30">
        <f>PM_Angle!$J$21+PM_Angle!$K$21*$C1056+PM_Angle!$L$21*$B1056</f>
      </c>
      <c r="AM1056" s="12">
        <f>IF(AL1056&gt;0,IF(AL1056&lt;=eco,alpha*fck*(1-(1-AL1056/eco)^n),alpha*fck),0)</f>
      </c>
      <c r="AN1056" s="30">
        <f>PM_Angle!$J$22+PM_Angle!$K$22*$C1056+PM_Angle!$L$22*$B1056</f>
      </c>
      <c r="AO1056" s="12">
        <f>IF(AN1056&gt;0,IF(AN1056&lt;=eco,alpha*fck*(1-(1-AN1056/eco)^n),alpha*fck),0)</f>
      </c>
      <c r="AP1056" s="30">
        <f>PM_Angle!$J$23+PM_Angle!$K$23*$C1056+PM_Angle!$L$23*$B1056</f>
      </c>
      <c r="AQ1056" s="12">
        <f>IF(AP1056&gt;0,IF(AP1056&lt;=eco,alpha*fck*(1-(1-AP1056/eco)^n),alpha*fck),0)</f>
      </c>
      <c r="AR1056" s="30">
        <f>PM_Angle!$J$24+PM_Angle!$K$24*$C1056+PM_Angle!$L$24*$B1056</f>
      </c>
      <c r="AS1056" s="12">
        <f>IF(AR1056&gt;0,IF(AR1056&lt;=eco,alpha*fck*(1-(1-AR1056/eco)^n),alpha*fck),0)</f>
      </c>
      <c r="AT1056" s="30">
        <f>PM_Angle!$J$25+PM_Angle!$K$25*$C1056+PM_Angle!$L$25*$B1056</f>
      </c>
      <c r="AU1056" s="12">
        <f>IF(AT1056&gt;0,IF(AT1056&lt;=eco,alpha*fck*(1-(1-AT1056/eco)^n),alpha*fck),0)</f>
      </c>
    </row>
    <row r="1057" spans="1:47" x14ac:dyDescent="0.25">
      <c r="A1057">
        <f>Mesh!A1054</f>
      </c>
      <c r="B1057" s="12">
        <f>Mesh!B1054</f>
      </c>
      <c r="C1057" s="12">
        <f>Mesh!C1054</f>
      </c>
      <c r="D1057" s="12">
        <f>Mesh!D1054</f>
      </c>
      <c r="E1057" s="30">
        <f>INDEX(St_e0,Det+1)+INDEX(St_kx,Det+1)*C1057+INDEX(St_ky,Det+1)*B1057</f>
      </c>
      <c r="F1057" s="12">
        <f>IF(E1057&gt;0,IF(E1057&lt;=eco,alpha*fck*(1-(1-E1057/eco)^n),alpha*fck),0)</f>
      </c>
      <c r="G1057" s="11">
        <f>F1057*D1057</f>
      </c>
      <c r="H1057" s="11">
        <f>G1057*C1057</f>
      </c>
      <c r="I1057" s="11">
        <f>G1057*B1057</f>
      </c>
      <c r="J1057" s="30">
        <f>PM_Angle!$J$7+PM_Angle!$K$7*$C1057+PM_Angle!$L$7*$B1057</f>
      </c>
      <c r="K1057" s="12">
        <f>IF(J1057&gt;0,IF(J1057&lt;=eco,alpha*fck*(1-(1-J1057/eco)^n),alpha*fck),0)</f>
      </c>
      <c r="L1057" s="30">
        <f>PM_Angle!$J$8+PM_Angle!$K$8*$C1057+PM_Angle!$L$8*$B1057</f>
      </c>
      <c r="M1057" s="12">
        <f>IF(L1057&gt;0,IF(L1057&lt;=eco,alpha*fck*(1-(1-L1057/eco)^n),alpha*fck),0)</f>
      </c>
      <c r="N1057" s="30">
        <f>PM_Angle!$J$9+PM_Angle!$K$9*$C1057+PM_Angle!$L$9*$B1057</f>
      </c>
      <c r="O1057" s="12">
        <f>IF(N1057&gt;0,IF(N1057&lt;=eco,alpha*fck*(1-(1-N1057/eco)^n),alpha*fck),0)</f>
      </c>
      <c r="P1057" s="30">
        <f>PM_Angle!$J$10+PM_Angle!$K$10*$C1057+PM_Angle!$L$10*$B1057</f>
      </c>
      <c r="Q1057" s="12">
        <f>IF(P1057&gt;0,IF(P1057&lt;=eco,alpha*fck*(1-(1-P1057/eco)^n),alpha*fck),0)</f>
      </c>
      <c r="R1057" s="30">
        <f>PM_Angle!$J$11+PM_Angle!$K$11*$C1057+PM_Angle!$L$11*$B1057</f>
      </c>
      <c r="S1057" s="12">
        <f>IF(R1057&gt;0,IF(R1057&lt;=eco,alpha*fck*(1-(1-R1057/eco)^n),alpha*fck),0)</f>
      </c>
      <c r="T1057" s="30">
        <f>PM_Angle!$J$12+PM_Angle!$K$12*$C1057+PM_Angle!$L$12*$B1057</f>
      </c>
      <c r="U1057" s="12">
        <f>IF(T1057&gt;0,IF(T1057&lt;=eco,alpha*fck*(1-(1-T1057/eco)^n),alpha*fck),0)</f>
      </c>
      <c r="V1057" s="30">
        <f>PM_Angle!$J$13+PM_Angle!$K$13*$C1057+PM_Angle!$L$13*$B1057</f>
      </c>
      <c r="W1057" s="12">
        <f>IF(V1057&gt;0,IF(V1057&lt;=eco,alpha*fck*(1-(1-V1057/eco)^n),alpha*fck),0)</f>
      </c>
      <c r="X1057" s="30">
        <f>PM_Angle!$J$14+PM_Angle!$K$14*$C1057+PM_Angle!$L$14*$B1057</f>
      </c>
      <c r="Y1057" s="12">
        <f>IF(X1057&gt;0,IF(X1057&lt;=eco,alpha*fck*(1-(1-X1057/eco)^n),alpha*fck),0)</f>
      </c>
      <c r="Z1057" s="30">
        <f>PM_Angle!$J$15+PM_Angle!$K$15*$C1057+PM_Angle!$L$15*$B1057</f>
      </c>
      <c r="AA1057" s="12">
        <f>IF(Z1057&gt;0,IF(Z1057&lt;=eco,alpha*fck*(1-(1-Z1057/eco)^n),alpha*fck),0)</f>
      </c>
      <c r="AB1057" s="30">
        <f>PM_Angle!$J$16+PM_Angle!$K$16*$C1057+PM_Angle!$L$16*$B1057</f>
      </c>
      <c r="AC1057" s="12">
        <f>IF(AB1057&gt;0,IF(AB1057&lt;=eco,alpha*fck*(1-(1-AB1057/eco)^n),alpha*fck),0)</f>
      </c>
      <c r="AD1057" s="30">
        <f>PM_Angle!$J$17+PM_Angle!$K$17*$C1057+PM_Angle!$L$17*$B1057</f>
      </c>
      <c r="AE1057" s="12">
        <f>IF(AD1057&gt;0,IF(AD1057&lt;=eco,alpha*fck*(1-(1-AD1057/eco)^n),alpha*fck),0)</f>
      </c>
      <c r="AF1057" s="30">
        <f>PM_Angle!$J$18+PM_Angle!$K$18*$C1057+PM_Angle!$L$18*$B1057</f>
      </c>
      <c r="AG1057" s="12">
        <f>IF(AF1057&gt;0,IF(AF1057&lt;=eco,alpha*fck*(1-(1-AF1057/eco)^n),alpha*fck),0)</f>
      </c>
      <c r="AH1057" s="30">
        <f>PM_Angle!$J$19+PM_Angle!$K$19*$C1057+PM_Angle!$L$19*$B1057</f>
      </c>
      <c r="AI1057" s="12">
        <f>IF(AH1057&gt;0,IF(AH1057&lt;=eco,alpha*fck*(1-(1-AH1057/eco)^n),alpha*fck),0)</f>
      </c>
      <c r="AJ1057" s="30">
        <f>PM_Angle!$J$20+PM_Angle!$K$20*$C1057+PM_Angle!$L$20*$B1057</f>
      </c>
      <c r="AK1057" s="12">
        <f>IF(AJ1057&gt;0,IF(AJ1057&lt;=eco,alpha*fck*(1-(1-AJ1057/eco)^n),alpha*fck),0)</f>
      </c>
      <c r="AL1057" s="30">
        <f>PM_Angle!$J$21+PM_Angle!$K$21*$C1057+PM_Angle!$L$21*$B1057</f>
      </c>
      <c r="AM1057" s="12">
        <f>IF(AL1057&gt;0,IF(AL1057&lt;=eco,alpha*fck*(1-(1-AL1057/eco)^n),alpha*fck),0)</f>
      </c>
      <c r="AN1057" s="30">
        <f>PM_Angle!$J$22+PM_Angle!$K$22*$C1057+PM_Angle!$L$22*$B1057</f>
      </c>
      <c r="AO1057" s="12">
        <f>IF(AN1057&gt;0,IF(AN1057&lt;=eco,alpha*fck*(1-(1-AN1057/eco)^n),alpha*fck),0)</f>
      </c>
      <c r="AP1057" s="30">
        <f>PM_Angle!$J$23+PM_Angle!$K$23*$C1057+PM_Angle!$L$23*$B1057</f>
      </c>
      <c r="AQ1057" s="12">
        <f>IF(AP1057&gt;0,IF(AP1057&lt;=eco,alpha*fck*(1-(1-AP1057/eco)^n),alpha*fck),0)</f>
      </c>
      <c r="AR1057" s="30">
        <f>PM_Angle!$J$24+PM_Angle!$K$24*$C1057+PM_Angle!$L$24*$B1057</f>
      </c>
      <c r="AS1057" s="12">
        <f>IF(AR1057&gt;0,IF(AR1057&lt;=eco,alpha*fck*(1-(1-AR1057/eco)^n),alpha*fck),0)</f>
      </c>
      <c r="AT1057" s="30">
        <f>PM_Angle!$J$25+PM_Angle!$K$25*$C1057+PM_Angle!$L$25*$B1057</f>
      </c>
      <c r="AU1057" s="12">
        <f>IF(AT1057&gt;0,IF(AT1057&lt;=eco,alpha*fck*(1-(1-AT1057/eco)^n),alpha*fck),0)</f>
      </c>
    </row>
    <row r="1058" spans="1:47" x14ac:dyDescent="0.25">
      <c r="A1058">
        <f>Mesh!A1055</f>
      </c>
      <c r="B1058" s="12">
        <f>Mesh!B1055</f>
      </c>
      <c r="C1058" s="12">
        <f>Mesh!C1055</f>
      </c>
      <c r="D1058" s="12">
        <f>Mesh!D1055</f>
      </c>
      <c r="E1058" s="30">
        <f>INDEX(St_e0,Det+1)+INDEX(St_kx,Det+1)*C1058+INDEX(St_ky,Det+1)*B1058</f>
      </c>
      <c r="F1058" s="12">
        <f>IF(E1058&gt;0,IF(E1058&lt;=eco,alpha*fck*(1-(1-E1058/eco)^n),alpha*fck),0)</f>
      </c>
      <c r="G1058" s="11">
        <f>F1058*D1058</f>
      </c>
      <c r="H1058" s="11">
        <f>G1058*C1058</f>
      </c>
      <c r="I1058" s="11">
        <f>G1058*B1058</f>
      </c>
      <c r="J1058" s="30">
        <f>PM_Angle!$J$7+PM_Angle!$K$7*$C1058+PM_Angle!$L$7*$B1058</f>
      </c>
      <c r="K1058" s="12">
        <f>IF(J1058&gt;0,IF(J1058&lt;=eco,alpha*fck*(1-(1-J1058/eco)^n),alpha*fck),0)</f>
      </c>
      <c r="L1058" s="30">
        <f>PM_Angle!$J$8+PM_Angle!$K$8*$C1058+PM_Angle!$L$8*$B1058</f>
      </c>
      <c r="M1058" s="12">
        <f>IF(L1058&gt;0,IF(L1058&lt;=eco,alpha*fck*(1-(1-L1058/eco)^n),alpha*fck),0)</f>
      </c>
      <c r="N1058" s="30">
        <f>PM_Angle!$J$9+PM_Angle!$K$9*$C1058+PM_Angle!$L$9*$B1058</f>
      </c>
      <c r="O1058" s="12">
        <f>IF(N1058&gt;0,IF(N1058&lt;=eco,alpha*fck*(1-(1-N1058/eco)^n),alpha*fck),0)</f>
      </c>
      <c r="P1058" s="30">
        <f>PM_Angle!$J$10+PM_Angle!$K$10*$C1058+PM_Angle!$L$10*$B1058</f>
      </c>
      <c r="Q1058" s="12">
        <f>IF(P1058&gt;0,IF(P1058&lt;=eco,alpha*fck*(1-(1-P1058/eco)^n),alpha*fck),0)</f>
      </c>
      <c r="R1058" s="30">
        <f>PM_Angle!$J$11+PM_Angle!$K$11*$C1058+PM_Angle!$L$11*$B1058</f>
      </c>
      <c r="S1058" s="12">
        <f>IF(R1058&gt;0,IF(R1058&lt;=eco,alpha*fck*(1-(1-R1058/eco)^n),alpha*fck),0)</f>
      </c>
      <c r="T1058" s="30">
        <f>PM_Angle!$J$12+PM_Angle!$K$12*$C1058+PM_Angle!$L$12*$B1058</f>
      </c>
      <c r="U1058" s="12">
        <f>IF(T1058&gt;0,IF(T1058&lt;=eco,alpha*fck*(1-(1-T1058/eco)^n),alpha*fck),0)</f>
      </c>
      <c r="V1058" s="30">
        <f>PM_Angle!$J$13+PM_Angle!$K$13*$C1058+PM_Angle!$L$13*$B1058</f>
      </c>
      <c r="W1058" s="12">
        <f>IF(V1058&gt;0,IF(V1058&lt;=eco,alpha*fck*(1-(1-V1058/eco)^n),alpha*fck),0)</f>
      </c>
      <c r="X1058" s="30">
        <f>PM_Angle!$J$14+PM_Angle!$K$14*$C1058+PM_Angle!$L$14*$B1058</f>
      </c>
      <c r="Y1058" s="12">
        <f>IF(X1058&gt;0,IF(X1058&lt;=eco,alpha*fck*(1-(1-X1058/eco)^n),alpha*fck),0)</f>
      </c>
      <c r="Z1058" s="30">
        <f>PM_Angle!$J$15+PM_Angle!$K$15*$C1058+PM_Angle!$L$15*$B1058</f>
      </c>
      <c r="AA1058" s="12">
        <f>IF(Z1058&gt;0,IF(Z1058&lt;=eco,alpha*fck*(1-(1-Z1058/eco)^n),alpha*fck),0)</f>
      </c>
      <c r="AB1058" s="30">
        <f>PM_Angle!$J$16+PM_Angle!$K$16*$C1058+PM_Angle!$L$16*$B1058</f>
      </c>
      <c r="AC1058" s="12">
        <f>IF(AB1058&gt;0,IF(AB1058&lt;=eco,alpha*fck*(1-(1-AB1058/eco)^n),alpha*fck),0)</f>
      </c>
      <c r="AD1058" s="30">
        <f>PM_Angle!$J$17+PM_Angle!$K$17*$C1058+PM_Angle!$L$17*$B1058</f>
      </c>
      <c r="AE1058" s="12">
        <f>IF(AD1058&gt;0,IF(AD1058&lt;=eco,alpha*fck*(1-(1-AD1058/eco)^n),alpha*fck),0)</f>
      </c>
      <c r="AF1058" s="30">
        <f>PM_Angle!$J$18+PM_Angle!$K$18*$C1058+PM_Angle!$L$18*$B1058</f>
      </c>
      <c r="AG1058" s="12">
        <f>IF(AF1058&gt;0,IF(AF1058&lt;=eco,alpha*fck*(1-(1-AF1058/eco)^n),alpha*fck),0)</f>
      </c>
      <c r="AH1058" s="30">
        <f>PM_Angle!$J$19+PM_Angle!$K$19*$C1058+PM_Angle!$L$19*$B1058</f>
      </c>
      <c r="AI1058" s="12">
        <f>IF(AH1058&gt;0,IF(AH1058&lt;=eco,alpha*fck*(1-(1-AH1058/eco)^n),alpha*fck),0)</f>
      </c>
      <c r="AJ1058" s="30">
        <f>PM_Angle!$J$20+PM_Angle!$K$20*$C1058+PM_Angle!$L$20*$B1058</f>
      </c>
      <c r="AK1058" s="12">
        <f>IF(AJ1058&gt;0,IF(AJ1058&lt;=eco,alpha*fck*(1-(1-AJ1058/eco)^n),alpha*fck),0)</f>
      </c>
      <c r="AL1058" s="30">
        <f>PM_Angle!$J$21+PM_Angle!$K$21*$C1058+PM_Angle!$L$21*$B1058</f>
      </c>
      <c r="AM1058" s="12">
        <f>IF(AL1058&gt;0,IF(AL1058&lt;=eco,alpha*fck*(1-(1-AL1058/eco)^n),alpha*fck),0)</f>
      </c>
      <c r="AN1058" s="30">
        <f>PM_Angle!$J$22+PM_Angle!$K$22*$C1058+PM_Angle!$L$22*$B1058</f>
      </c>
      <c r="AO1058" s="12">
        <f>IF(AN1058&gt;0,IF(AN1058&lt;=eco,alpha*fck*(1-(1-AN1058/eco)^n),alpha*fck),0)</f>
      </c>
      <c r="AP1058" s="30">
        <f>PM_Angle!$J$23+PM_Angle!$K$23*$C1058+PM_Angle!$L$23*$B1058</f>
      </c>
      <c r="AQ1058" s="12">
        <f>IF(AP1058&gt;0,IF(AP1058&lt;=eco,alpha*fck*(1-(1-AP1058/eco)^n),alpha*fck),0)</f>
      </c>
      <c r="AR1058" s="30">
        <f>PM_Angle!$J$24+PM_Angle!$K$24*$C1058+PM_Angle!$L$24*$B1058</f>
      </c>
      <c r="AS1058" s="12">
        <f>IF(AR1058&gt;0,IF(AR1058&lt;=eco,alpha*fck*(1-(1-AR1058/eco)^n),alpha*fck),0)</f>
      </c>
      <c r="AT1058" s="30">
        <f>PM_Angle!$J$25+PM_Angle!$K$25*$C1058+PM_Angle!$L$25*$B1058</f>
      </c>
      <c r="AU1058" s="12">
        <f>IF(AT1058&gt;0,IF(AT1058&lt;=eco,alpha*fck*(1-(1-AT1058/eco)^n),alpha*fck),0)</f>
      </c>
    </row>
    <row r="1059" spans="1:47" x14ac:dyDescent="0.25">
      <c r="A1059">
        <f>Mesh!A1056</f>
      </c>
      <c r="B1059" s="12">
        <f>Mesh!B1056</f>
      </c>
      <c r="C1059" s="12">
        <f>Mesh!C1056</f>
      </c>
      <c r="D1059" s="12">
        <f>Mesh!D1056</f>
      </c>
      <c r="E1059" s="30">
        <f>INDEX(St_e0,Det+1)+INDEX(St_kx,Det+1)*C1059+INDEX(St_ky,Det+1)*B1059</f>
      </c>
      <c r="F1059" s="12">
        <f>IF(E1059&gt;0,IF(E1059&lt;=eco,alpha*fck*(1-(1-E1059/eco)^n),alpha*fck),0)</f>
      </c>
      <c r="G1059" s="11">
        <f>F1059*D1059</f>
      </c>
      <c r="H1059" s="11">
        <f>G1059*C1059</f>
      </c>
      <c r="I1059" s="11">
        <f>G1059*B1059</f>
      </c>
      <c r="J1059" s="30">
        <f>PM_Angle!$J$7+PM_Angle!$K$7*$C1059+PM_Angle!$L$7*$B1059</f>
      </c>
      <c r="K1059" s="12">
        <f>IF(J1059&gt;0,IF(J1059&lt;=eco,alpha*fck*(1-(1-J1059/eco)^n),alpha*fck),0)</f>
      </c>
      <c r="L1059" s="30">
        <f>PM_Angle!$J$8+PM_Angle!$K$8*$C1059+PM_Angle!$L$8*$B1059</f>
      </c>
      <c r="M1059" s="12">
        <f>IF(L1059&gt;0,IF(L1059&lt;=eco,alpha*fck*(1-(1-L1059/eco)^n),alpha*fck),0)</f>
      </c>
      <c r="N1059" s="30">
        <f>PM_Angle!$J$9+PM_Angle!$K$9*$C1059+PM_Angle!$L$9*$B1059</f>
      </c>
      <c r="O1059" s="12">
        <f>IF(N1059&gt;0,IF(N1059&lt;=eco,alpha*fck*(1-(1-N1059/eco)^n),alpha*fck),0)</f>
      </c>
      <c r="P1059" s="30">
        <f>PM_Angle!$J$10+PM_Angle!$K$10*$C1059+PM_Angle!$L$10*$B1059</f>
      </c>
      <c r="Q1059" s="12">
        <f>IF(P1059&gt;0,IF(P1059&lt;=eco,alpha*fck*(1-(1-P1059/eco)^n),alpha*fck),0)</f>
      </c>
      <c r="R1059" s="30">
        <f>PM_Angle!$J$11+PM_Angle!$K$11*$C1059+PM_Angle!$L$11*$B1059</f>
      </c>
      <c r="S1059" s="12">
        <f>IF(R1059&gt;0,IF(R1059&lt;=eco,alpha*fck*(1-(1-R1059/eco)^n),alpha*fck),0)</f>
      </c>
      <c r="T1059" s="30">
        <f>PM_Angle!$J$12+PM_Angle!$K$12*$C1059+PM_Angle!$L$12*$B1059</f>
      </c>
      <c r="U1059" s="12">
        <f>IF(T1059&gt;0,IF(T1059&lt;=eco,alpha*fck*(1-(1-T1059/eco)^n),alpha*fck),0)</f>
      </c>
      <c r="V1059" s="30">
        <f>PM_Angle!$J$13+PM_Angle!$K$13*$C1059+PM_Angle!$L$13*$B1059</f>
      </c>
      <c r="W1059" s="12">
        <f>IF(V1059&gt;0,IF(V1059&lt;=eco,alpha*fck*(1-(1-V1059/eco)^n),alpha*fck),0)</f>
      </c>
      <c r="X1059" s="30">
        <f>PM_Angle!$J$14+PM_Angle!$K$14*$C1059+PM_Angle!$L$14*$B1059</f>
      </c>
      <c r="Y1059" s="12">
        <f>IF(X1059&gt;0,IF(X1059&lt;=eco,alpha*fck*(1-(1-X1059/eco)^n),alpha*fck),0)</f>
      </c>
      <c r="Z1059" s="30">
        <f>PM_Angle!$J$15+PM_Angle!$K$15*$C1059+PM_Angle!$L$15*$B1059</f>
      </c>
      <c r="AA1059" s="12">
        <f>IF(Z1059&gt;0,IF(Z1059&lt;=eco,alpha*fck*(1-(1-Z1059/eco)^n),alpha*fck),0)</f>
      </c>
      <c r="AB1059" s="30">
        <f>PM_Angle!$J$16+PM_Angle!$K$16*$C1059+PM_Angle!$L$16*$B1059</f>
      </c>
      <c r="AC1059" s="12">
        <f>IF(AB1059&gt;0,IF(AB1059&lt;=eco,alpha*fck*(1-(1-AB1059/eco)^n),alpha*fck),0)</f>
      </c>
      <c r="AD1059" s="30">
        <f>PM_Angle!$J$17+PM_Angle!$K$17*$C1059+PM_Angle!$L$17*$B1059</f>
      </c>
      <c r="AE1059" s="12">
        <f>IF(AD1059&gt;0,IF(AD1059&lt;=eco,alpha*fck*(1-(1-AD1059/eco)^n),alpha*fck),0)</f>
      </c>
      <c r="AF1059" s="30">
        <f>PM_Angle!$J$18+PM_Angle!$K$18*$C1059+PM_Angle!$L$18*$B1059</f>
      </c>
      <c r="AG1059" s="12">
        <f>IF(AF1059&gt;0,IF(AF1059&lt;=eco,alpha*fck*(1-(1-AF1059/eco)^n),alpha*fck),0)</f>
      </c>
      <c r="AH1059" s="30">
        <f>PM_Angle!$J$19+PM_Angle!$K$19*$C1059+PM_Angle!$L$19*$B1059</f>
      </c>
      <c r="AI1059" s="12">
        <f>IF(AH1059&gt;0,IF(AH1059&lt;=eco,alpha*fck*(1-(1-AH1059/eco)^n),alpha*fck),0)</f>
      </c>
      <c r="AJ1059" s="30">
        <f>PM_Angle!$J$20+PM_Angle!$K$20*$C1059+PM_Angle!$L$20*$B1059</f>
      </c>
      <c r="AK1059" s="12">
        <f>IF(AJ1059&gt;0,IF(AJ1059&lt;=eco,alpha*fck*(1-(1-AJ1059/eco)^n),alpha*fck),0)</f>
      </c>
      <c r="AL1059" s="30">
        <f>PM_Angle!$J$21+PM_Angle!$K$21*$C1059+PM_Angle!$L$21*$B1059</f>
      </c>
      <c r="AM1059" s="12">
        <f>IF(AL1059&gt;0,IF(AL1059&lt;=eco,alpha*fck*(1-(1-AL1059/eco)^n),alpha*fck),0)</f>
      </c>
      <c r="AN1059" s="30">
        <f>PM_Angle!$J$22+PM_Angle!$K$22*$C1059+PM_Angle!$L$22*$B1059</f>
      </c>
      <c r="AO1059" s="12">
        <f>IF(AN1059&gt;0,IF(AN1059&lt;=eco,alpha*fck*(1-(1-AN1059/eco)^n),alpha*fck),0)</f>
      </c>
      <c r="AP1059" s="30">
        <f>PM_Angle!$J$23+PM_Angle!$K$23*$C1059+PM_Angle!$L$23*$B1059</f>
      </c>
      <c r="AQ1059" s="12">
        <f>IF(AP1059&gt;0,IF(AP1059&lt;=eco,alpha*fck*(1-(1-AP1059/eco)^n),alpha*fck),0)</f>
      </c>
      <c r="AR1059" s="30">
        <f>PM_Angle!$J$24+PM_Angle!$K$24*$C1059+PM_Angle!$L$24*$B1059</f>
      </c>
      <c r="AS1059" s="12">
        <f>IF(AR1059&gt;0,IF(AR1059&lt;=eco,alpha*fck*(1-(1-AR1059/eco)^n),alpha*fck),0)</f>
      </c>
      <c r="AT1059" s="30">
        <f>PM_Angle!$J$25+PM_Angle!$K$25*$C1059+PM_Angle!$L$25*$B1059</f>
      </c>
      <c r="AU1059" s="12">
        <f>IF(AT1059&gt;0,IF(AT1059&lt;=eco,alpha*fck*(1-(1-AT1059/eco)^n),alpha*fck),0)</f>
      </c>
    </row>
    <row r="1060" spans="1:47" x14ac:dyDescent="0.25">
      <c r="A1060">
        <f>Mesh!A1057</f>
      </c>
      <c r="B1060" s="12">
        <f>Mesh!B1057</f>
      </c>
      <c r="C1060" s="12">
        <f>Mesh!C1057</f>
      </c>
      <c r="D1060" s="12">
        <f>Mesh!D1057</f>
      </c>
      <c r="E1060" s="30">
        <f>INDEX(St_e0,Det+1)+INDEX(St_kx,Det+1)*C1060+INDEX(St_ky,Det+1)*B1060</f>
      </c>
      <c r="F1060" s="12">
        <f>IF(E1060&gt;0,IF(E1060&lt;=eco,alpha*fck*(1-(1-E1060/eco)^n),alpha*fck),0)</f>
      </c>
      <c r="G1060" s="11">
        <f>F1060*D1060</f>
      </c>
      <c r="H1060" s="11">
        <f>G1060*C1060</f>
      </c>
      <c r="I1060" s="11">
        <f>G1060*B1060</f>
      </c>
      <c r="J1060" s="30">
        <f>PM_Angle!$J$7+PM_Angle!$K$7*$C1060+PM_Angle!$L$7*$B1060</f>
      </c>
      <c r="K1060" s="12">
        <f>IF(J1060&gt;0,IF(J1060&lt;=eco,alpha*fck*(1-(1-J1060/eco)^n),alpha*fck),0)</f>
      </c>
      <c r="L1060" s="30">
        <f>PM_Angle!$J$8+PM_Angle!$K$8*$C1060+PM_Angle!$L$8*$B1060</f>
      </c>
      <c r="M1060" s="12">
        <f>IF(L1060&gt;0,IF(L1060&lt;=eco,alpha*fck*(1-(1-L1060/eco)^n),alpha*fck),0)</f>
      </c>
      <c r="N1060" s="30">
        <f>PM_Angle!$J$9+PM_Angle!$K$9*$C1060+PM_Angle!$L$9*$B1060</f>
      </c>
      <c r="O1060" s="12">
        <f>IF(N1060&gt;0,IF(N1060&lt;=eco,alpha*fck*(1-(1-N1060/eco)^n),alpha*fck),0)</f>
      </c>
      <c r="P1060" s="30">
        <f>PM_Angle!$J$10+PM_Angle!$K$10*$C1060+PM_Angle!$L$10*$B1060</f>
      </c>
      <c r="Q1060" s="12">
        <f>IF(P1060&gt;0,IF(P1060&lt;=eco,alpha*fck*(1-(1-P1060/eco)^n),alpha*fck),0)</f>
      </c>
      <c r="R1060" s="30">
        <f>PM_Angle!$J$11+PM_Angle!$K$11*$C1060+PM_Angle!$L$11*$B1060</f>
      </c>
      <c r="S1060" s="12">
        <f>IF(R1060&gt;0,IF(R1060&lt;=eco,alpha*fck*(1-(1-R1060/eco)^n),alpha*fck),0)</f>
      </c>
      <c r="T1060" s="30">
        <f>PM_Angle!$J$12+PM_Angle!$K$12*$C1060+PM_Angle!$L$12*$B1060</f>
      </c>
      <c r="U1060" s="12">
        <f>IF(T1060&gt;0,IF(T1060&lt;=eco,alpha*fck*(1-(1-T1060/eco)^n),alpha*fck),0)</f>
      </c>
      <c r="V1060" s="30">
        <f>PM_Angle!$J$13+PM_Angle!$K$13*$C1060+PM_Angle!$L$13*$B1060</f>
      </c>
      <c r="W1060" s="12">
        <f>IF(V1060&gt;0,IF(V1060&lt;=eco,alpha*fck*(1-(1-V1060/eco)^n),alpha*fck),0)</f>
      </c>
      <c r="X1060" s="30">
        <f>PM_Angle!$J$14+PM_Angle!$K$14*$C1060+PM_Angle!$L$14*$B1060</f>
      </c>
      <c r="Y1060" s="12">
        <f>IF(X1060&gt;0,IF(X1060&lt;=eco,alpha*fck*(1-(1-X1060/eco)^n),alpha*fck),0)</f>
      </c>
      <c r="Z1060" s="30">
        <f>PM_Angle!$J$15+PM_Angle!$K$15*$C1060+PM_Angle!$L$15*$B1060</f>
      </c>
      <c r="AA1060" s="12">
        <f>IF(Z1060&gt;0,IF(Z1060&lt;=eco,alpha*fck*(1-(1-Z1060/eco)^n),alpha*fck),0)</f>
      </c>
      <c r="AB1060" s="30">
        <f>PM_Angle!$J$16+PM_Angle!$K$16*$C1060+PM_Angle!$L$16*$B1060</f>
      </c>
      <c r="AC1060" s="12">
        <f>IF(AB1060&gt;0,IF(AB1060&lt;=eco,alpha*fck*(1-(1-AB1060/eco)^n),alpha*fck),0)</f>
      </c>
      <c r="AD1060" s="30">
        <f>PM_Angle!$J$17+PM_Angle!$K$17*$C1060+PM_Angle!$L$17*$B1060</f>
      </c>
      <c r="AE1060" s="12">
        <f>IF(AD1060&gt;0,IF(AD1060&lt;=eco,alpha*fck*(1-(1-AD1060/eco)^n),alpha*fck),0)</f>
      </c>
      <c r="AF1060" s="30">
        <f>PM_Angle!$J$18+PM_Angle!$K$18*$C1060+PM_Angle!$L$18*$B1060</f>
      </c>
      <c r="AG1060" s="12">
        <f>IF(AF1060&gt;0,IF(AF1060&lt;=eco,alpha*fck*(1-(1-AF1060/eco)^n),alpha*fck),0)</f>
      </c>
      <c r="AH1060" s="30">
        <f>PM_Angle!$J$19+PM_Angle!$K$19*$C1060+PM_Angle!$L$19*$B1060</f>
      </c>
      <c r="AI1060" s="12">
        <f>IF(AH1060&gt;0,IF(AH1060&lt;=eco,alpha*fck*(1-(1-AH1060/eco)^n),alpha*fck),0)</f>
      </c>
      <c r="AJ1060" s="30">
        <f>PM_Angle!$J$20+PM_Angle!$K$20*$C1060+PM_Angle!$L$20*$B1060</f>
      </c>
      <c r="AK1060" s="12">
        <f>IF(AJ1060&gt;0,IF(AJ1060&lt;=eco,alpha*fck*(1-(1-AJ1060/eco)^n),alpha*fck),0)</f>
      </c>
      <c r="AL1060" s="30">
        <f>PM_Angle!$J$21+PM_Angle!$K$21*$C1060+PM_Angle!$L$21*$B1060</f>
      </c>
      <c r="AM1060" s="12">
        <f>IF(AL1060&gt;0,IF(AL1060&lt;=eco,alpha*fck*(1-(1-AL1060/eco)^n),alpha*fck),0)</f>
      </c>
      <c r="AN1060" s="30">
        <f>PM_Angle!$J$22+PM_Angle!$K$22*$C1060+PM_Angle!$L$22*$B1060</f>
      </c>
      <c r="AO1060" s="12">
        <f>IF(AN1060&gt;0,IF(AN1060&lt;=eco,alpha*fck*(1-(1-AN1060/eco)^n),alpha*fck),0)</f>
      </c>
      <c r="AP1060" s="30">
        <f>PM_Angle!$J$23+PM_Angle!$K$23*$C1060+PM_Angle!$L$23*$B1060</f>
      </c>
      <c r="AQ1060" s="12">
        <f>IF(AP1060&gt;0,IF(AP1060&lt;=eco,alpha*fck*(1-(1-AP1060/eco)^n),alpha*fck),0)</f>
      </c>
      <c r="AR1060" s="30">
        <f>PM_Angle!$J$24+PM_Angle!$K$24*$C1060+PM_Angle!$L$24*$B1060</f>
      </c>
      <c r="AS1060" s="12">
        <f>IF(AR1060&gt;0,IF(AR1060&lt;=eco,alpha*fck*(1-(1-AR1060/eco)^n),alpha*fck),0)</f>
      </c>
      <c r="AT1060" s="30">
        <f>PM_Angle!$J$25+PM_Angle!$K$25*$C1060+PM_Angle!$L$25*$B1060</f>
      </c>
      <c r="AU1060" s="12">
        <f>IF(AT1060&gt;0,IF(AT1060&lt;=eco,alpha*fck*(1-(1-AT1060/eco)^n),alpha*fck),0)</f>
      </c>
    </row>
    <row r="1061" spans="1:47" x14ac:dyDescent="0.25">
      <c r="A1061">
        <f>Mesh!A1058</f>
      </c>
      <c r="B1061" s="12">
        <f>Mesh!B1058</f>
      </c>
      <c r="C1061" s="12">
        <f>Mesh!C1058</f>
      </c>
      <c r="D1061" s="12">
        <f>Mesh!D1058</f>
      </c>
      <c r="E1061" s="30">
        <f>INDEX(St_e0,Det+1)+INDEX(St_kx,Det+1)*C1061+INDEX(St_ky,Det+1)*B1061</f>
      </c>
      <c r="F1061" s="12">
        <f>IF(E1061&gt;0,IF(E1061&lt;=eco,alpha*fck*(1-(1-E1061/eco)^n),alpha*fck),0)</f>
      </c>
      <c r="G1061" s="11">
        <f>F1061*D1061</f>
      </c>
      <c r="H1061" s="11">
        <f>G1061*C1061</f>
      </c>
      <c r="I1061" s="11">
        <f>G1061*B1061</f>
      </c>
      <c r="J1061" s="30">
        <f>PM_Angle!$J$7+PM_Angle!$K$7*$C1061+PM_Angle!$L$7*$B1061</f>
      </c>
      <c r="K1061" s="12">
        <f>IF(J1061&gt;0,IF(J1061&lt;=eco,alpha*fck*(1-(1-J1061/eco)^n),alpha*fck),0)</f>
      </c>
      <c r="L1061" s="30">
        <f>PM_Angle!$J$8+PM_Angle!$K$8*$C1061+PM_Angle!$L$8*$B1061</f>
      </c>
      <c r="M1061" s="12">
        <f>IF(L1061&gt;0,IF(L1061&lt;=eco,alpha*fck*(1-(1-L1061/eco)^n),alpha*fck),0)</f>
      </c>
      <c r="N1061" s="30">
        <f>PM_Angle!$J$9+PM_Angle!$K$9*$C1061+PM_Angle!$L$9*$B1061</f>
      </c>
      <c r="O1061" s="12">
        <f>IF(N1061&gt;0,IF(N1061&lt;=eco,alpha*fck*(1-(1-N1061/eco)^n),alpha*fck),0)</f>
      </c>
      <c r="P1061" s="30">
        <f>PM_Angle!$J$10+PM_Angle!$K$10*$C1061+PM_Angle!$L$10*$B1061</f>
      </c>
      <c r="Q1061" s="12">
        <f>IF(P1061&gt;0,IF(P1061&lt;=eco,alpha*fck*(1-(1-P1061/eco)^n),alpha*fck),0)</f>
      </c>
      <c r="R1061" s="30">
        <f>PM_Angle!$J$11+PM_Angle!$K$11*$C1061+PM_Angle!$L$11*$B1061</f>
      </c>
      <c r="S1061" s="12">
        <f>IF(R1061&gt;0,IF(R1061&lt;=eco,alpha*fck*(1-(1-R1061/eco)^n),alpha*fck),0)</f>
      </c>
      <c r="T1061" s="30">
        <f>PM_Angle!$J$12+PM_Angle!$K$12*$C1061+PM_Angle!$L$12*$B1061</f>
      </c>
      <c r="U1061" s="12">
        <f>IF(T1061&gt;0,IF(T1061&lt;=eco,alpha*fck*(1-(1-T1061/eco)^n),alpha*fck),0)</f>
      </c>
      <c r="V1061" s="30">
        <f>PM_Angle!$J$13+PM_Angle!$K$13*$C1061+PM_Angle!$L$13*$B1061</f>
      </c>
      <c r="W1061" s="12">
        <f>IF(V1061&gt;0,IF(V1061&lt;=eco,alpha*fck*(1-(1-V1061/eco)^n),alpha*fck),0)</f>
      </c>
      <c r="X1061" s="30">
        <f>PM_Angle!$J$14+PM_Angle!$K$14*$C1061+PM_Angle!$L$14*$B1061</f>
      </c>
      <c r="Y1061" s="12">
        <f>IF(X1061&gt;0,IF(X1061&lt;=eco,alpha*fck*(1-(1-X1061/eco)^n),alpha*fck),0)</f>
      </c>
      <c r="Z1061" s="30">
        <f>PM_Angle!$J$15+PM_Angle!$K$15*$C1061+PM_Angle!$L$15*$B1061</f>
      </c>
      <c r="AA1061" s="12">
        <f>IF(Z1061&gt;0,IF(Z1061&lt;=eco,alpha*fck*(1-(1-Z1061/eco)^n),alpha*fck),0)</f>
      </c>
      <c r="AB1061" s="30">
        <f>PM_Angle!$J$16+PM_Angle!$K$16*$C1061+PM_Angle!$L$16*$B1061</f>
      </c>
      <c r="AC1061" s="12">
        <f>IF(AB1061&gt;0,IF(AB1061&lt;=eco,alpha*fck*(1-(1-AB1061/eco)^n),alpha*fck),0)</f>
      </c>
      <c r="AD1061" s="30">
        <f>PM_Angle!$J$17+PM_Angle!$K$17*$C1061+PM_Angle!$L$17*$B1061</f>
      </c>
      <c r="AE1061" s="12">
        <f>IF(AD1061&gt;0,IF(AD1061&lt;=eco,alpha*fck*(1-(1-AD1061/eco)^n),alpha*fck),0)</f>
      </c>
      <c r="AF1061" s="30">
        <f>PM_Angle!$J$18+PM_Angle!$K$18*$C1061+PM_Angle!$L$18*$B1061</f>
      </c>
      <c r="AG1061" s="12">
        <f>IF(AF1061&gt;0,IF(AF1061&lt;=eco,alpha*fck*(1-(1-AF1061/eco)^n),alpha*fck),0)</f>
      </c>
      <c r="AH1061" s="30">
        <f>PM_Angle!$J$19+PM_Angle!$K$19*$C1061+PM_Angle!$L$19*$B1061</f>
      </c>
      <c r="AI1061" s="12">
        <f>IF(AH1061&gt;0,IF(AH1061&lt;=eco,alpha*fck*(1-(1-AH1061/eco)^n),alpha*fck),0)</f>
      </c>
      <c r="AJ1061" s="30">
        <f>PM_Angle!$J$20+PM_Angle!$K$20*$C1061+PM_Angle!$L$20*$B1061</f>
      </c>
      <c r="AK1061" s="12">
        <f>IF(AJ1061&gt;0,IF(AJ1061&lt;=eco,alpha*fck*(1-(1-AJ1061/eco)^n),alpha*fck),0)</f>
      </c>
      <c r="AL1061" s="30">
        <f>PM_Angle!$J$21+PM_Angle!$K$21*$C1061+PM_Angle!$L$21*$B1061</f>
      </c>
      <c r="AM1061" s="12">
        <f>IF(AL1061&gt;0,IF(AL1061&lt;=eco,alpha*fck*(1-(1-AL1061/eco)^n),alpha*fck),0)</f>
      </c>
      <c r="AN1061" s="30">
        <f>PM_Angle!$J$22+PM_Angle!$K$22*$C1061+PM_Angle!$L$22*$B1061</f>
      </c>
      <c r="AO1061" s="12">
        <f>IF(AN1061&gt;0,IF(AN1061&lt;=eco,alpha*fck*(1-(1-AN1061/eco)^n),alpha*fck),0)</f>
      </c>
      <c r="AP1061" s="30">
        <f>PM_Angle!$J$23+PM_Angle!$K$23*$C1061+PM_Angle!$L$23*$B1061</f>
      </c>
      <c r="AQ1061" s="12">
        <f>IF(AP1061&gt;0,IF(AP1061&lt;=eco,alpha*fck*(1-(1-AP1061/eco)^n),alpha*fck),0)</f>
      </c>
      <c r="AR1061" s="30">
        <f>PM_Angle!$J$24+PM_Angle!$K$24*$C1061+PM_Angle!$L$24*$B1061</f>
      </c>
      <c r="AS1061" s="12">
        <f>IF(AR1061&gt;0,IF(AR1061&lt;=eco,alpha*fck*(1-(1-AR1061/eco)^n),alpha*fck),0)</f>
      </c>
      <c r="AT1061" s="30">
        <f>PM_Angle!$J$25+PM_Angle!$K$25*$C1061+PM_Angle!$L$25*$B1061</f>
      </c>
      <c r="AU1061" s="12">
        <f>IF(AT1061&gt;0,IF(AT1061&lt;=eco,alpha*fck*(1-(1-AT1061/eco)^n),alpha*fck),0)</f>
      </c>
    </row>
    <row r="1062" spans="1:47" x14ac:dyDescent="0.25">
      <c r="A1062">
        <f>Mesh!A1059</f>
      </c>
      <c r="B1062" s="12">
        <f>Mesh!B1059</f>
      </c>
      <c r="C1062" s="12">
        <f>Mesh!C1059</f>
      </c>
      <c r="D1062" s="12">
        <f>Mesh!D1059</f>
      </c>
      <c r="E1062" s="30">
        <f>INDEX(St_e0,Det+1)+INDEX(St_kx,Det+1)*C1062+INDEX(St_ky,Det+1)*B1062</f>
      </c>
      <c r="F1062" s="12">
        <f>IF(E1062&gt;0,IF(E1062&lt;=eco,alpha*fck*(1-(1-E1062/eco)^n),alpha*fck),0)</f>
      </c>
      <c r="G1062" s="11">
        <f>F1062*D1062</f>
      </c>
      <c r="H1062" s="11">
        <f>G1062*C1062</f>
      </c>
      <c r="I1062" s="11">
        <f>G1062*B1062</f>
      </c>
      <c r="J1062" s="30">
        <f>PM_Angle!$J$7+PM_Angle!$K$7*$C1062+PM_Angle!$L$7*$B1062</f>
      </c>
      <c r="K1062" s="12">
        <f>IF(J1062&gt;0,IF(J1062&lt;=eco,alpha*fck*(1-(1-J1062/eco)^n),alpha*fck),0)</f>
      </c>
      <c r="L1062" s="30">
        <f>PM_Angle!$J$8+PM_Angle!$K$8*$C1062+PM_Angle!$L$8*$B1062</f>
      </c>
      <c r="M1062" s="12">
        <f>IF(L1062&gt;0,IF(L1062&lt;=eco,alpha*fck*(1-(1-L1062/eco)^n),alpha*fck),0)</f>
      </c>
      <c r="N1062" s="30">
        <f>PM_Angle!$J$9+PM_Angle!$K$9*$C1062+PM_Angle!$L$9*$B1062</f>
      </c>
      <c r="O1062" s="12">
        <f>IF(N1062&gt;0,IF(N1062&lt;=eco,alpha*fck*(1-(1-N1062/eco)^n),alpha*fck),0)</f>
      </c>
      <c r="P1062" s="30">
        <f>PM_Angle!$J$10+PM_Angle!$K$10*$C1062+PM_Angle!$L$10*$B1062</f>
      </c>
      <c r="Q1062" s="12">
        <f>IF(P1062&gt;0,IF(P1062&lt;=eco,alpha*fck*(1-(1-P1062/eco)^n),alpha*fck),0)</f>
      </c>
      <c r="R1062" s="30">
        <f>PM_Angle!$J$11+PM_Angle!$K$11*$C1062+PM_Angle!$L$11*$B1062</f>
      </c>
      <c r="S1062" s="12">
        <f>IF(R1062&gt;0,IF(R1062&lt;=eco,alpha*fck*(1-(1-R1062/eco)^n),alpha*fck),0)</f>
      </c>
      <c r="T1062" s="30">
        <f>PM_Angle!$J$12+PM_Angle!$K$12*$C1062+PM_Angle!$L$12*$B1062</f>
      </c>
      <c r="U1062" s="12">
        <f>IF(T1062&gt;0,IF(T1062&lt;=eco,alpha*fck*(1-(1-T1062/eco)^n),alpha*fck),0)</f>
      </c>
      <c r="V1062" s="30">
        <f>PM_Angle!$J$13+PM_Angle!$K$13*$C1062+PM_Angle!$L$13*$B1062</f>
      </c>
      <c r="W1062" s="12">
        <f>IF(V1062&gt;0,IF(V1062&lt;=eco,alpha*fck*(1-(1-V1062/eco)^n),alpha*fck),0)</f>
      </c>
      <c r="X1062" s="30">
        <f>PM_Angle!$J$14+PM_Angle!$K$14*$C1062+PM_Angle!$L$14*$B1062</f>
      </c>
      <c r="Y1062" s="12">
        <f>IF(X1062&gt;0,IF(X1062&lt;=eco,alpha*fck*(1-(1-X1062/eco)^n),alpha*fck),0)</f>
      </c>
      <c r="Z1062" s="30">
        <f>PM_Angle!$J$15+PM_Angle!$K$15*$C1062+PM_Angle!$L$15*$B1062</f>
      </c>
      <c r="AA1062" s="12">
        <f>IF(Z1062&gt;0,IF(Z1062&lt;=eco,alpha*fck*(1-(1-Z1062/eco)^n),alpha*fck),0)</f>
      </c>
      <c r="AB1062" s="30">
        <f>PM_Angle!$J$16+PM_Angle!$K$16*$C1062+PM_Angle!$L$16*$B1062</f>
      </c>
      <c r="AC1062" s="12">
        <f>IF(AB1062&gt;0,IF(AB1062&lt;=eco,alpha*fck*(1-(1-AB1062/eco)^n),alpha*fck),0)</f>
      </c>
      <c r="AD1062" s="30">
        <f>PM_Angle!$J$17+PM_Angle!$K$17*$C1062+PM_Angle!$L$17*$B1062</f>
      </c>
      <c r="AE1062" s="12">
        <f>IF(AD1062&gt;0,IF(AD1062&lt;=eco,alpha*fck*(1-(1-AD1062/eco)^n),alpha*fck),0)</f>
      </c>
      <c r="AF1062" s="30">
        <f>PM_Angle!$J$18+PM_Angle!$K$18*$C1062+PM_Angle!$L$18*$B1062</f>
      </c>
      <c r="AG1062" s="12">
        <f>IF(AF1062&gt;0,IF(AF1062&lt;=eco,alpha*fck*(1-(1-AF1062/eco)^n),alpha*fck),0)</f>
      </c>
      <c r="AH1062" s="30">
        <f>PM_Angle!$J$19+PM_Angle!$K$19*$C1062+PM_Angle!$L$19*$B1062</f>
      </c>
      <c r="AI1062" s="12">
        <f>IF(AH1062&gt;0,IF(AH1062&lt;=eco,alpha*fck*(1-(1-AH1062/eco)^n),alpha*fck),0)</f>
      </c>
      <c r="AJ1062" s="30">
        <f>PM_Angle!$J$20+PM_Angle!$K$20*$C1062+PM_Angle!$L$20*$B1062</f>
      </c>
      <c r="AK1062" s="12">
        <f>IF(AJ1062&gt;0,IF(AJ1062&lt;=eco,alpha*fck*(1-(1-AJ1062/eco)^n),alpha*fck),0)</f>
      </c>
      <c r="AL1062" s="30">
        <f>PM_Angle!$J$21+PM_Angle!$K$21*$C1062+PM_Angle!$L$21*$B1062</f>
      </c>
      <c r="AM1062" s="12">
        <f>IF(AL1062&gt;0,IF(AL1062&lt;=eco,alpha*fck*(1-(1-AL1062/eco)^n),alpha*fck),0)</f>
      </c>
      <c r="AN1062" s="30">
        <f>PM_Angle!$J$22+PM_Angle!$K$22*$C1062+PM_Angle!$L$22*$B1062</f>
      </c>
      <c r="AO1062" s="12">
        <f>IF(AN1062&gt;0,IF(AN1062&lt;=eco,alpha*fck*(1-(1-AN1062/eco)^n),alpha*fck),0)</f>
      </c>
      <c r="AP1062" s="30">
        <f>PM_Angle!$J$23+PM_Angle!$K$23*$C1062+PM_Angle!$L$23*$B1062</f>
      </c>
      <c r="AQ1062" s="12">
        <f>IF(AP1062&gt;0,IF(AP1062&lt;=eco,alpha*fck*(1-(1-AP1062/eco)^n),alpha*fck),0)</f>
      </c>
      <c r="AR1062" s="30">
        <f>PM_Angle!$J$24+PM_Angle!$K$24*$C1062+PM_Angle!$L$24*$B1062</f>
      </c>
      <c r="AS1062" s="12">
        <f>IF(AR1062&gt;0,IF(AR1062&lt;=eco,alpha*fck*(1-(1-AR1062/eco)^n),alpha*fck),0)</f>
      </c>
      <c r="AT1062" s="30">
        <f>PM_Angle!$J$25+PM_Angle!$K$25*$C1062+PM_Angle!$L$25*$B1062</f>
      </c>
      <c r="AU1062" s="12">
        <f>IF(AT1062&gt;0,IF(AT1062&lt;=eco,alpha*fck*(1-(1-AT1062/eco)^n),alpha*fck),0)</f>
      </c>
    </row>
    <row r="1063" spans="1:47" x14ac:dyDescent="0.25">
      <c r="A1063">
        <f>Mesh!A1060</f>
      </c>
      <c r="B1063" s="12">
        <f>Mesh!B1060</f>
      </c>
      <c r="C1063" s="12">
        <f>Mesh!C1060</f>
      </c>
      <c r="D1063" s="12">
        <f>Mesh!D1060</f>
      </c>
      <c r="E1063" s="30">
        <f>INDEX(St_e0,Det+1)+INDEX(St_kx,Det+1)*C1063+INDEX(St_ky,Det+1)*B1063</f>
      </c>
      <c r="F1063" s="12">
        <f>IF(E1063&gt;0,IF(E1063&lt;=eco,alpha*fck*(1-(1-E1063/eco)^n),alpha*fck),0)</f>
      </c>
      <c r="G1063" s="11">
        <f>F1063*D1063</f>
      </c>
      <c r="H1063" s="11">
        <f>G1063*C1063</f>
      </c>
      <c r="I1063" s="11">
        <f>G1063*B1063</f>
      </c>
      <c r="J1063" s="30">
        <f>PM_Angle!$J$7+PM_Angle!$K$7*$C1063+PM_Angle!$L$7*$B1063</f>
      </c>
      <c r="K1063" s="12">
        <f>IF(J1063&gt;0,IF(J1063&lt;=eco,alpha*fck*(1-(1-J1063/eco)^n),alpha*fck),0)</f>
      </c>
      <c r="L1063" s="30">
        <f>PM_Angle!$J$8+PM_Angle!$K$8*$C1063+PM_Angle!$L$8*$B1063</f>
      </c>
      <c r="M1063" s="12">
        <f>IF(L1063&gt;0,IF(L1063&lt;=eco,alpha*fck*(1-(1-L1063/eco)^n),alpha*fck),0)</f>
      </c>
      <c r="N1063" s="30">
        <f>PM_Angle!$J$9+PM_Angle!$K$9*$C1063+PM_Angle!$L$9*$B1063</f>
      </c>
      <c r="O1063" s="12">
        <f>IF(N1063&gt;0,IF(N1063&lt;=eco,alpha*fck*(1-(1-N1063/eco)^n),alpha*fck),0)</f>
      </c>
      <c r="P1063" s="30">
        <f>PM_Angle!$J$10+PM_Angle!$K$10*$C1063+PM_Angle!$L$10*$B1063</f>
      </c>
      <c r="Q1063" s="12">
        <f>IF(P1063&gt;0,IF(P1063&lt;=eco,alpha*fck*(1-(1-P1063/eco)^n),alpha*fck),0)</f>
      </c>
      <c r="R1063" s="30">
        <f>PM_Angle!$J$11+PM_Angle!$K$11*$C1063+PM_Angle!$L$11*$B1063</f>
      </c>
      <c r="S1063" s="12">
        <f>IF(R1063&gt;0,IF(R1063&lt;=eco,alpha*fck*(1-(1-R1063/eco)^n),alpha*fck),0)</f>
      </c>
      <c r="T1063" s="30">
        <f>PM_Angle!$J$12+PM_Angle!$K$12*$C1063+PM_Angle!$L$12*$B1063</f>
      </c>
      <c r="U1063" s="12">
        <f>IF(T1063&gt;0,IF(T1063&lt;=eco,alpha*fck*(1-(1-T1063/eco)^n),alpha*fck),0)</f>
      </c>
      <c r="V1063" s="30">
        <f>PM_Angle!$J$13+PM_Angle!$K$13*$C1063+PM_Angle!$L$13*$B1063</f>
      </c>
      <c r="W1063" s="12">
        <f>IF(V1063&gt;0,IF(V1063&lt;=eco,alpha*fck*(1-(1-V1063/eco)^n),alpha*fck),0)</f>
      </c>
      <c r="X1063" s="30">
        <f>PM_Angle!$J$14+PM_Angle!$K$14*$C1063+PM_Angle!$L$14*$B1063</f>
      </c>
      <c r="Y1063" s="12">
        <f>IF(X1063&gt;0,IF(X1063&lt;=eco,alpha*fck*(1-(1-X1063/eco)^n),alpha*fck),0)</f>
      </c>
      <c r="Z1063" s="30">
        <f>PM_Angle!$J$15+PM_Angle!$K$15*$C1063+PM_Angle!$L$15*$B1063</f>
      </c>
      <c r="AA1063" s="12">
        <f>IF(Z1063&gt;0,IF(Z1063&lt;=eco,alpha*fck*(1-(1-Z1063/eco)^n),alpha*fck),0)</f>
      </c>
      <c r="AB1063" s="30">
        <f>PM_Angle!$J$16+PM_Angle!$K$16*$C1063+PM_Angle!$L$16*$B1063</f>
      </c>
      <c r="AC1063" s="12">
        <f>IF(AB1063&gt;0,IF(AB1063&lt;=eco,alpha*fck*(1-(1-AB1063/eco)^n),alpha*fck),0)</f>
      </c>
      <c r="AD1063" s="30">
        <f>PM_Angle!$J$17+PM_Angle!$K$17*$C1063+PM_Angle!$L$17*$B1063</f>
      </c>
      <c r="AE1063" s="12">
        <f>IF(AD1063&gt;0,IF(AD1063&lt;=eco,alpha*fck*(1-(1-AD1063/eco)^n),alpha*fck),0)</f>
      </c>
      <c r="AF1063" s="30">
        <f>PM_Angle!$J$18+PM_Angle!$K$18*$C1063+PM_Angle!$L$18*$B1063</f>
      </c>
      <c r="AG1063" s="12">
        <f>IF(AF1063&gt;0,IF(AF1063&lt;=eco,alpha*fck*(1-(1-AF1063/eco)^n),alpha*fck),0)</f>
      </c>
      <c r="AH1063" s="30">
        <f>PM_Angle!$J$19+PM_Angle!$K$19*$C1063+PM_Angle!$L$19*$B1063</f>
      </c>
      <c r="AI1063" s="12">
        <f>IF(AH1063&gt;0,IF(AH1063&lt;=eco,alpha*fck*(1-(1-AH1063/eco)^n),alpha*fck),0)</f>
      </c>
      <c r="AJ1063" s="30">
        <f>PM_Angle!$J$20+PM_Angle!$K$20*$C1063+PM_Angle!$L$20*$B1063</f>
      </c>
      <c r="AK1063" s="12">
        <f>IF(AJ1063&gt;0,IF(AJ1063&lt;=eco,alpha*fck*(1-(1-AJ1063/eco)^n),alpha*fck),0)</f>
      </c>
      <c r="AL1063" s="30">
        <f>PM_Angle!$J$21+PM_Angle!$K$21*$C1063+PM_Angle!$L$21*$B1063</f>
      </c>
      <c r="AM1063" s="12">
        <f>IF(AL1063&gt;0,IF(AL1063&lt;=eco,alpha*fck*(1-(1-AL1063/eco)^n),alpha*fck),0)</f>
      </c>
      <c r="AN1063" s="30">
        <f>PM_Angle!$J$22+PM_Angle!$K$22*$C1063+PM_Angle!$L$22*$B1063</f>
      </c>
      <c r="AO1063" s="12">
        <f>IF(AN1063&gt;0,IF(AN1063&lt;=eco,alpha*fck*(1-(1-AN1063/eco)^n),alpha*fck),0)</f>
      </c>
      <c r="AP1063" s="30">
        <f>PM_Angle!$J$23+PM_Angle!$K$23*$C1063+PM_Angle!$L$23*$B1063</f>
      </c>
      <c r="AQ1063" s="12">
        <f>IF(AP1063&gt;0,IF(AP1063&lt;=eco,alpha*fck*(1-(1-AP1063/eco)^n),alpha*fck),0)</f>
      </c>
      <c r="AR1063" s="30">
        <f>PM_Angle!$J$24+PM_Angle!$K$24*$C1063+PM_Angle!$L$24*$B1063</f>
      </c>
      <c r="AS1063" s="12">
        <f>IF(AR1063&gt;0,IF(AR1063&lt;=eco,alpha*fck*(1-(1-AR1063/eco)^n),alpha*fck),0)</f>
      </c>
      <c r="AT1063" s="30">
        <f>PM_Angle!$J$25+PM_Angle!$K$25*$C1063+PM_Angle!$L$25*$B1063</f>
      </c>
      <c r="AU1063" s="12">
        <f>IF(AT1063&gt;0,IF(AT1063&lt;=eco,alpha*fck*(1-(1-AT1063/eco)^n),alpha*fck),0)</f>
      </c>
    </row>
    <row r="1064" spans="1:47" x14ac:dyDescent="0.25">
      <c r="A1064">
        <f>Mesh!A1061</f>
      </c>
      <c r="B1064" s="12">
        <f>Mesh!B1061</f>
      </c>
      <c r="C1064" s="12">
        <f>Mesh!C1061</f>
      </c>
      <c r="D1064" s="12">
        <f>Mesh!D1061</f>
      </c>
      <c r="E1064" s="30">
        <f>INDEX(St_e0,Det+1)+INDEX(St_kx,Det+1)*C1064+INDEX(St_ky,Det+1)*B1064</f>
      </c>
      <c r="F1064" s="12">
        <f>IF(E1064&gt;0,IF(E1064&lt;=eco,alpha*fck*(1-(1-E1064/eco)^n),alpha*fck),0)</f>
      </c>
      <c r="G1064" s="11">
        <f>F1064*D1064</f>
      </c>
      <c r="H1064" s="11">
        <f>G1064*C1064</f>
      </c>
      <c r="I1064" s="11">
        <f>G1064*B1064</f>
      </c>
      <c r="J1064" s="30">
        <f>PM_Angle!$J$7+PM_Angle!$K$7*$C1064+PM_Angle!$L$7*$B1064</f>
      </c>
      <c r="K1064" s="12">
        <f>IF(J1064&gt;0,IF(J1064&lt;=eco,alpha*fck*(1-(1-J1064/eco)^n),alpha*fck),0)</f>
      </c>
      <c r="L1064" s="30">
        <f>PM_Angle!$J$8+PM_Angle!$K$8*$C1064+PM_Angle!$L$8*$B1064</f>
      </c>
      <c r="M1064" s="12">
        <f>IF(L1064&gt;0,IF(L1064&lt;=eco,alpha*fck*(1-(1-L1064/eco)^n),alpha*fck),0)</f>
      </c>
      <c r="N1064" s="30">
        <f>PM_Angle!$J$9+PM_Angle!$K$9*$C1064+PM_Angle!$L$9*$B1064</f>
      </c>
      <c r="O1064" s="12">
        <f>IF(N1064&gt;0,IF(N1064&lt;=eco,alpha*fck*(1-(1-N1064/eco)^n),alpha*fck),0)</f>
      </c>
      <c r="P1064" s="30">
        <f>PM_Angle!$J$10+PM_Angle!$K$10*$C1064+PM_Angle!$L$10*$B1064</f>
      </c>
      <c r="Q1064" s="12">
        <f>IF(P1064&gt;0,IF(P1064&lt;=eco,alpha*fck*(1-(1-P1064/eco)^n),alpha*fck),0)</f>
      </c>
      <c r="R1064" s="30">
        <f>PM_Angle!$J$11+PM_Angle!$K$11*$C1064+PM_Angle!$L$11*$B1064</f>
      </c>
      <c r="S1064" s="12">
        <f>IF(R1064&gt;0,IF(R1064&lt;=eco,alpha*fck*(1-(1-R1064/eco)^n),alpha*fck),0)</f>
      </c>
      <c r="T1064" s="30">
        <f>PM_Angle!$J$12+PM_Angle!$K$12*$C1064+PM_Angle!$L$12*$B1064</f>
      </c>
      <c r="U1064" s="12">
        <f>IF(T1064&gt;0,IF(T1064&lt;=eco,alpha*fck*(1-(1-T1064/eco)^n),alpha*fck),0)</f>
      </c>
      <c r="V1064" s="30">
        <f>PM_Angle!$J$13+PM_Angle!$K$13*$C1064+PM_Angle!$L$13*$B1064</f>
      </c>
      <c r="W1064" s="12">
        <f>IF(V1064&gt;0,IF(V1064&lt;=eco,alpha*fck*(1-(1-V1064/eco)^n),alpha*fck),0)</f>
      </c>
      <c r="X1064" s="30">
        <f>PM_Angle!$J$14+PM_Angle!$K$14*$C1064+PM_Angle!$L$14*$B1064</f>
      </c>
      <c r="Y1064" s="12">
        <f>IF(X1064&gt;0,IF(X1064&lt;=eco,alpha*fck*(1-(1-X1064/eco)^n),alpha*fck),0)</f>
      </c>
      <c r="Z1064" s="30">
        <f>PM_Angle!$J$15+PM_Angle!$K$15*$C1064+PM_Angle!$L$15*$B1064</f>
      </c>
      <c r="AA1064" s="12">
        <f>IF(Z1064&gt;0,IF(Z1064&lt;=eco,alpha*fck*(1-(1-Z1064/eco)^n),alpha*fck),0)</f>
      </c>
      <c r="AB1064" s="30">
        <f>PM_Angle!$J$16+PM_Angle!$K$16*$C1064+PM_Angle!$L$16*$B1064</f>
      </c>
      <c r="AC1064" s="12">
        <f>IF(AB1064&gt;0,IF(AB1064&lt;=eco,alpha*fck*(1-(1-AB1064/eco)^n),alpha*fck),0)</f>
      </c>
      <c r="AD1064" s="30">
        <f>PM_Angle!$J$17+PM_Angle!$K$17*$C1064+PM_Angle!$L$17*$B1064</f>
      </c>
      <c r="AE1064" s="12">
        <f>IF(AD1064&gt;0,IF(AD1064&lt;=eco,alpha*fck*(1-(1-AD1064/eco)^n),alpha*fck),0)</f>
      </c>
      <c r="AF1064" s="30">
        <f>PM_Angle!$J$18+PM_Angle!$K$18*$C1064+PM_Angle!$L$18*$B1064</f>
      </c>
      <c r="AG1064" s="12">
        <f>IF(AF1064&gt;0,IF(AF1064&lt;=eco,alpha*fck*(1-(1-AF1064/eco)^n),alpha*fck),0)</f>
      </c>
      <c r="AH1064" s="30">
        <f>PM_Angle!$J$19+PM_Angle!$K$19*$C1064+PM_Angle!$L$19*$B1064</f>
      </c>
      <c r="AI1064" s="12">
        <f>IF(AH1064&gt;0,IF(AH1064&lt;=eco,alpha*fck*(1-(1-AH1064/eco)^n),alpha*fck),0)</f>
      </c>
      <c r="AJ1064" s="30">
        <f>PM_Angle!$J$20+PM_Angle!$K$20*$C1064+PM_Angle!$L$20*$B1064</f>
      </c>
      <c r="AK1064" s="12">
        <f>IF(AJ1064&gt;0,IF(AJ1064&lt;=eco,alpha*fck*(1-(1-AJ1064/eco)^n),alpha*fck),0)</f>
      </c>
      <c r="AL1064" s="30">
        <f>PM_Angle!$J$21+PM_Angle!$K$21*$C1064+PM_Angle!$L$21*$B1064</f>
      </c>
      <c r="AM1064" s="12">
        <f>IF(AL1064&gt;0,IF(AL1064&lt;=eco,alpha*fck*(1-(1-AL1064/eco)^n),alpha*fck),0)</f>
      </c>
      <c r="AN1064" s="30">
        <f>PM_Angle!$J$22+PM_Angle!$K$22*$C1064+PM_Angle!$L$22*$B1064</f>
      </c>
      <c r="AO1064" s="12">
        <f>IF(AN1064&gt;0,IF(AN1064&lt;=eco,alpha*fck*(1-(1-AN1064/eco)^n),alpha*fck),0)</f>
      </c>
      <c r="AP1064" s="30">
        <f>PM_Angle!$J$23+PM_Angle!$K$23*$C1064+PM_Angle!$L$23*$B1064</f>
      </c>
      <c r="AQ1064" s="12">
        <f>IF(AP1064&gt;0,IF(AP1064&lt;=eco,alpha*fck*(1-(1-AP1064/eco)^n),alpha*fck),0)</f>
      </c>
      <c r="AR1064" s="30">
        <f>PM_Angle!$J$24+PM_Angle!$K$24*$C1064+PM_Angle!$L$24*$B1064</f>
      </c>
      <c r="AS1064" s="12">
        <f>IF(AR1064&gt;0,IF(AR1064&lt;=eco,alpha*fck*(1-(1-AR1064/eco)^n),alpha*fck),0)</f>
      </c>
      <c r="AT1064" s="30">
        <f>PM_Angle!$J$25+PM_Angle!$K$25*$C1064+PM_Angle!$L$25*$B1064</f>
      </c>
      <c r="AU1064" s="12">
        <f>IF(AT1064&gt;0,IF(AT1064&lt;=eco,alpha*fck*(1-(1-AT1064/eco)^n),alpha*fck),0)</f>
      </c>
    </row>
    <row r="1065" spans="1:47" x14ac:dyDescent="0.25">
      <c r="A1065">
        <f>Mesh!A1062</f>
      </c>
      <c r="B1065" s="12">
        <f>Mesh!B1062</f>
      </c>
      <c r="C1065" s="12">
        <f>Mesh!C1062</f>
      </c>
      <c r="D1065" s="12">
        <f>Mesh!D1062</f>
      </c>
      <c r="E1065" s="30">
        <f>INDEX(St_e0,Det+1)+INDEX(St_kx,Det+1)*C1065+INDEX(St_ky,Det+1)*B1065</f>
      </c>
      <c r="F1065" s="12">
        <f>IF(E1065&gt;0,IF(E1065&lt;=eco,alpha*fck*(1-(1-E1065/eco)^n),alpha*fck),0)</f>
      </c>
      <c r="G1065" s="11">
        <f>F1065*D1065</f>
      </c>
      <c r="H1065" s="11">
        <f>G1065*C1065</f>
      </c>
      <c r="I1065" s="11">
        <f>G1065*B1065</f>
      </c>
      <c r="J1065" s="30">
        <f>PM_Angle!$J$7+PM_Angle!$K$7*$C1065+PM_Angle!$L$7*$B1065</f>
      </c>
      <c r="K1065" s="12">
        <f>IF(J1065&gt;0,IF(J1065&lt;=eco,alpha*fck*(1-(1-J1065/eco)^n),alpha*fck),0)</f>
      </c>
      <c r="L1065" s="30">
        <f>PM_Angle!$J$8+PM_Angle!$K$8*$C1065+PM_Angle!$L$8*$B1065</f>
      </c>
      <c r="M1065" s="12">
        <f>IF(L1065&gt;0,IF(L1065&lt;=eco,alpha*fck*(1-(1-L1065/eco)^n),alpha*fck),0)</f>
      </c>
      <c r="N1065" s="30">
        <f>PM_Angle!$J$9+PM_Angle!$K$9*$C1065+PM_Angle!$L$9*$B1065</f>
      </c>
      <c r="O1065" s="12">
        <f>IF(N1065&gt;0,IF(N1065&lt;=eco,alpha*fck*(1-(1-N1065/eco)^n),alpha*fck),0)</f>
      </c>
      <c r="P1065" s="30">
        <f>PM_Angle!$J$10+PM_Angle!$K$10*$C1065+PM_Angle!$L$10*$B1065</f>
      </c>
      <c r="Q1065" s="12">
        <f>IF(P1065&gt;0,IF(P1065&lt;=eco,alpha*fck*(1-(1-P1065/eco)^n),alpha*fck),0)</f>
      </c>
      <c r="R1065" s="30">
        <f>PM_Angle!$J$11+PM_Angle!$K$11*$C1065+PM_Angle!$L$11*$B1065</f>
      </c>
      <c r="S1065" s="12">
        <f>IF(R1065&gt;0,IF(R1065&lt;=eco,alpha*fck*(1-(1-R1065/eco)^n),alpha*fck),0)</f>
      </c>
      <c r="T1065" s="30">
        <f>PM_Angle!$J$12+PM_Angle!$K$12*$C1065+PM_Angle!$L$12*$B1065</f>
      </c>
      <c r="U1065" s="12">
        <f>IF(T1065&gt;0,IF(T1065&lt;=eco,alpha*fck*(1-(1-T1065/eco)^n),alpha*fck),0)</f>
      </c>
      <c r="V1065" s="30">
        <f>PM_Angle!$J$13+PM_Angle!$K$13*$C1065+PM_Angle!$L$13*$B1065</f>
      </c>
      <c r="W1065" s="12">
        <f>IF(V1065&gt;0,IF(V1065&lt;=eco,alpha*fck*(1-(1-V1065/eco)^n),alpha*fck),0)</f>
      </c>
      <c r="X1065" s="30">
        <f>PM_Angle!$J$14+PM_Angle!$K$14*$C1065+PM_Angle!$L$14*$B1065</f>
      </c>
      <c r="Y1065" s="12">
        <f>IF(X1065&gt;0,IF(X1065&lt;=eco,alpha*fck*(1-(1-X1065/eco)^n),alpha*fck),0)</f>
      </c>
      <c r="Z1065" s="30">
        <f>PM_Angle!$J$15+PM_Angle!$K$15*$C1065+PM_Angle!$L$15*$B1065</f>
      </c>
      <c r="AA1065" s="12">
        <f>IF(Z1065&gt;0,IF(Z1065&lt;=eco,alpha*fck*(1-(1-Z1065/eco)^n),alpha*fck),0)</f>
      </c>
      <c r="AB1065" s="30">
        <f>PM_Angle!$J$16+PM_Angle!$K$16*$C1065+PM_Angle!$L$16*$B1065</f>
      </c>
      <c r="AC1065" s="12">
        <f>IF(AB1065&gt;0,IF(AB1065&lt;=eco,alpha*fck*(1-(1-AB1065/eco)^n),alpha*fck),0)</f>
      </c>
      <c r="AD1065" s="30">
        <f>PM_Angle!$J$17+PM_Angle!$K$17*$C1065+PM_Angle!$L$17*$B1065</f>
      </c>
      <c r="AE1065" s="12">
        <f>IF(AD1065&gt;0,IF(AD1065&lt;=eco,alpha*fck*(1-(1-AD1065/eco)^n),alpha*fck),0)</f>
      </c>
      <c r="AF1065" s="30">
        <f>PM_Angle!$J$18+PM_Angle!$K$18*$C1065+PM_Angle!$L$18*$B1065</f>
      </c>
      <c r="AG1065" s="12">
        <f>IF(AF1065&gt;0,IF(AF1065&lt;=eco,alpha*fck*(1-(1-AF1065/eco)^n),alpha*fck),0)</f>
      </c>
      <c r="AH1065" s="30">
        <f>PM_Angle!$J$19+PM_Angle!$K$19*$C1065+PM_Angle!$L$19*$B1065</f>
      </c>
      <c r="AI1065" s="12">
        <f>IF(AH1065&gt;0,IF(AH1065&lt;=eco,alpha*fck*(1-(1-AH1065/eco)^n),alpha*fck),0)</f>
      </c>
      <c r="AJ1065" s="30">
        <f>PM_Angle!$J$20+PM_Angle!$K$20*$C1065+PM_Angle!$L$20*$B1065</f>
      </c>
      <c r="AK1065" s="12">
        <f>IF(AJ1065&gt;0,IF(AJ1065&lt;=eco,alpha*fck*(1-(1-AJ1065/eco)^n),alpha*fck),0)</f>
      </c>
      <c r="AL1065" s="30">
        <f>PM_Angle!$J$21+PM_Angle!$K$21*$C1065+PM_Angle!$L$21*$B1065</f>
      </c>
      <c r="AM1065" s="12">
        <f>IF(AL1065&gt;0,IF(AL1065&lt;=eco,alpha*fck*(1-(1-AL1065/eco)^n),alpha*fck),0)</f>
      </c>
      <c r="AN1065" s="30">
        <f>PM_Angle!$J$22+PM_Angle!$K$22*$C1065+PM_Angle!$L$22*$B1065</f>
      </c>
      <c r="AO1065" s="12">
        <f>IF(AN1065&gt;0,IF(AN1065&lt;=eco,alpha*fck*(1-(1-AN1065/eco)^n),alpha*fck),0)</f>
      </c>
      <c r="AP1065" s="30">
        <f>PM_Angle!$J$23+PM_Angle!$K$23*$C1065+PM_Angle!$L$23*$B1065</f>
      </c>
      <c r="AQ1065" s="12">
        <f>IF(AP1065&gt;0,IF(AP1065&lt;=eco,alpha*fck*(1-(1-AP1065/eco)^n),alpha*fck),0)</f>
      </c>
      <c r="AR1065" s="30">
        <f>PM_Angle!$J$24+PM_Angle!$K$24*$C1065+PM_Angle!$L$24*$B1065</f>
      </c>
      <c r="AS1065" s="12">
        <f>IF(AR1065&gt;0,IF(AR1065&lt;=eco,alpha*fck*(1-(1-AR1065/eco)^n),alpha*fck),0)</f>
      </c>
      <c r="AT1065" s="30">
        <f>PM_Angle!$J$25+PM_Angle!$K$25*$C1065+PM_Angle!$L$25*$B1065</f>
      </c>
      <c r="AU1065" s="12">
        <f>IF(AT1065&gt;0,IF(AT1065&lt;=eco,alpha*fck*(1-(1-AT1065/eco)^n),alpha*fck),0)</f>
      </c>
    </row>
    <row r="1066" spans="1:47" x14ac:dyDescent="0.25">
      <c r="A1066">
        <f>Mesh!A1063</f>
      </c>
      <c r="B1066" s="12">
        <f>Mesh!B1063</f>
      </c>
      <c r="C1066" s="12">
        <f>Mesh!C1063</f>
      </c>
      <c r="D1066" s="12">
        <f>Mesh!D1063</f>
      </c>
      <c r="E1066" s="30">
        <f>INDEX(St_e0,Det+1)+INDEX(St_kx,Det+1)*C1066+INDEX(St_ky,Det+1)*B1066</f>
      </c>
      <c r="F1066" s="12">
        <f>IF(E1066&gt;0,IF(E1066&lt;=eco,alpha*fck*(1-(1-E1066/eco)^n),alpha*fck),0)</f>
      </c>
      <c r="G1066" s="11">
        <f>F1066*D1066</f>
      </c>
      <c r="H1066" s="11">
        <f>G1066*C1066</f>
      </c>
      <c r="I1066" s="11">
        <f>G1066*B1066</f>
      </c>
      <c r="J1066" s="30">
        <f>PM_Angle!$J$7+PM_Angle!$K$7*$C1066+PM_Angle!$L$7*$B1066</f>
      </c>
      <c r="K1066" s="12">
        <f>IF(J1066&gt;0,IF(J1066&lt;=eco,alpha*fck*(1-(1-J1066/eco)^n),alpha*fck),0)</f>
      </c>
      <c r="L1066" s="30">
        <f>PM_Angle!$J$8+PM_Angle!$K$8*$C1066+PM_Angle!$L$8*$B1066</f>
      </c>
      <c r="M1066" s="12">
        <f>IF(L1066&gt;0,IF(L1066&lt;=eco,alpha*fck*(1-(1-L1066/eco)^n),alpha*fck),0)</f>
      </c>
      <c r="N1066" s="30">
        <f>PM_Angle!$J$9+PM_Angle!$K$9*$C1066+PM_Angle!$L$9*$B1066</f>
      </c>
      <c r="O1066" s="12">
        <f>IF(N1066&gt;0,IF(N1066&lt;=eco,alpha*fck*(1-(1-N1066/eco)^n),alpha*fck),0)</f>
      </c>
      <c r="P1066" s="30">
        <f>PM_Angle!$J$10+PM_Angle!$K$10*$C1066+PM_Angle!$L$10*$B1066</f>
      </c>
      <c r="Q1066" s="12">
        <f>IF(P1066&gt;0,IF(P1066&lt;=eco,alpha*fck*(1-(1-P1066/eco)^n),alpha*fck),0)</f>
      </c>
      <c r="R1066" s="30">
        <f>PM_Angle!$J$11+PM_Angle!$K$11*$C1066+PM_Angle!$L$11*$B1066</f>
      </c>
      <c r="S1066" s="12">
        <f>IF(R1066&gt;0,IF(R1066&lt;=eco,alpha*fck*(1-(1-R1066/eco)^n),alpha*fck),0)</f>
      </c>
      <c r="T1066" s="30">
        <f>PM_Angle!$J$12+PM_Angle!$K$12*$C1066+PM_Angle!$L$12*$B1066</f>
      </c>
      <c r="U1066" s="12">
        <f>IF(T1066&gt;0,IF(T1066&lt;=eco,alpha*fck*(1-(1-T1066/eco)^n),alpha*fck),0)</f>
      </c>
      <c r="V1066" s="30">
        <f>PM_Angle!$J$13+PM_Angle!$K$13*$C1066+PM_Angle!$L$13*$B1066</f>
      </c>
      <c r="W1066" s="12">
        <f>IF(V1066&gt;0,IF(V1066&lt;=eco,alpha*fck*(1-(1-V1066/eco)^n),alpha*fck),0)</f>
      </c>
      <c r="X1066" s="30">
        <f>PM_Angle!$J$14+PM_Angle!$K$14*$C1066+PM_Angle!$L$14*$B1066</f>
      </c>
      <c r="Y1066" s="12">
        <f>IF(X1066&gt;0,IF(X1066&lt;=eco,alpha*fck*(1-(1-X1066/eco)^n),alpha*fck),0)</f>
      </c>
      <c r="Z1066" s="30">
        <f>PM_Angle!$J$15+PM_Angle!$K$15*$C1066+PM_Angle!$L$15*$B1066</f>
      </c>
      <c r="AA1066" s="12">
        <f>IF(Z1066&gt;0,IF(Z1066&lt;=eco,alpha*fck*(1-(1-Z1066/eco)^n),alpha*fck),0)</f>
      </c>
      <c r="AB1066" s="30">
        <f>PM_Angle!$J$16+PM_Angle!$K$16*$C1066+PM_Angle!$L$16*$B1066</f>
      </c>
      <c r="AC1066" s="12">
        <f>IF(AB1066&gt;0,IF(AB1066&lt;=eco,alpha*fck*(1-(1-AB1066/eco)^n),alpha*fck),0)</f>
      </c>
      <c r="AD1066" s="30">
        <f>PM_Angle!$J$17+PM_Angle!$K$17*$C1066+PM_Angle!$L$17*$B1066</f>
      </c>
      <c r="AE1066" s="12">
        <f>IF(AD1066&gt;0,IF(AD1066&lt;=eco,alpha*fck*(1-(1-AD1066/eco)^n),alpha*fck),0)</f>
      </c>
      <c r="AF1066" s="30">
        <f>PM_Angle!$J$18+PM_Angle!$K$18*$C1066+PM_Angle!$L$18*$B1066</f>
      </c>
      <c r="AG1066" s="12">
        <f>IF(AF1066&gt;0,IF(AF1066&lt;=eco,alpha*fck*(1-(1-AF1066/eco)^n),alpha*fck),0)</f>
      </c>
      <c r="AH1066" s="30">
        <f>PM_Angle!$J$19+PM_Angle!$K$19*$C1066+PM_Angle!$L$19*$B1066</f>
      </c>
      <c r="AI1066" s="12">
        <f>IF(AH1066&gt;0,IF(AH1066&lt;=eco,alpha*fck*(1-(1-AH1066/eco)^n),alpha*fck),0)</f>
      </c>
      <c r="AJ1066" s="30">
        <f>PM_Angle!$J$20+PM_Angle!$K$20*$C1066+PM_Angle!$L$20*$B1066</f>
      </c>
      <c r="AK1066" s="12">
        <f>IF(AJ1066&gt;0,IF(AJ1066&lt;=eco,alpha*fck*(1-(1-AJ1066/eco)^n),alpha*fck),0)</f>
      </c>
      <c r="AL1066" s="30">
        <f>PM_Angle!$J$21+PM_Angle!$K$21*$C1066+PM_Angle!$L$21*$B1066</f>
      </c>
      <c r="AM1066" s="12">
        <f>IF(AL1066&gt;0,IF(AL1066&lt;=eco,alpha*fck*(1-(1-AL1066/eco)^n),alpha*fck),0)</f>
      </c>
      <c r="AN1066" s="30">
        <f>PM_Angle!$J$22+PM_Angle!$K$22*$C1066+PM_Angle!$L$22*$B1066</f>
      </c>
      <c r="AO1066" s="12">
        <f>IF(AN1066&gt;0,IF(AN1066&lt;=eco,alpha*fck*(1-(1-AN1066/eco)^n),alpha*fck),0)</f>
      </c>
      <c r="AP1066" s="30">
        <f>PM_Angle!$J$23+PM_Angle!$K$23*$C1066+PM_Angle!$L$23*$B1066</f>
      </c>
      <c r="AQ1066" s="12">
        <f>IF(AP1066&gt;0,IF(AP1066&lt;=eco,alpha*fck*(1-(1-AP1066/eco)^n),alpha*fck),0)</f>
      </c>
      <c r="AR1066" s="30">
        <f>PM_Angle!$J$24+PM_Angle!$K$24*$C1066+PM_Angle!$L$24*$B1066</f>
      </c>
      <c r="AS1066" s="12">
        <f>IF(AR1066&gt;0,IF(AR1066&lt;=eco,alpha*fck*(1-(1-AR1066/eco)^n),alpha*fck),0)</f>
      </c>
      <c r="AT1066" s="30">
        <f>PM_Angle!$J$25+PM_Angle!$K$25*$C1066+PM_Angle!$L$25*$B1066</f>
      </c>
      <c r="AU1066" s="12">
        <f>IF(AT1066&gt;0,IF(AT1066&lt;=eco,alpha*fck*(1-(1-AT1066/eco)^n),alpha*fck),0)</f>
      </c>
    </row>
    <row r="1067" spans="1:47" x14ac:dyDescent="0.25">
      <c r="A1067">
        <f>Mesh!A1064</f>
      </c>
      <c r="B1067" s="12">
        <f>Mesh!B1064</f>
      </c>
      <c r="C1067" s="12">
        <f>Mesh!C1064</f>
      </c>
      <c r="D1067" s="12">
        <f>Mesh!D1064</f>
      </c>
      <c r="E1067" s="30">
        <f>INDEX(St_e0,Det+1)+INDEX(St_kx,Det+1)*C1067+INDEX(St_ky,Det+1)*B1067</f>
      </c>
      <c r="F1067" s="12">
        <f>IF(E1067&gt;0,IF(E1067&lt;=eco,alpha*fck*(1-(1-E1067/eco)^n),alpha*fck),0)</f>
      </c>
      <c r="G1067" s="11">
        <f>F1067*D1067</f>
      </c>
      <c r="H1067" s="11">
        <f>G1067*C1067</f>
      </c>
      <c r="I1067" s="11">
        <f>G1067*B1067</f>
      </c>
      <c r="J1067" s="30">
        <f>PM_Angle!$J$7+PM_Angle!$K$7*$C1067+PM_Angle!$L$7*$B1067</f>
      </c>
      <c r="K1067" s="12">
        <f>IF(J1067&gt;0,IF(J1067&lt;=eco,alpha*fck*(1-(1-J1067/eco)^n),alpha*fck),0)</f>
      </c>
      <c r="L1067" s="30">
        <f>PM_Angle!$J$8+PM_Angle!$K$8*$C1067+PM_Angle!$L$8*$B1067</f>
      </c>
      <c r="M1067" s="12">
        <f>IF(L1067&gt;0,IF(L1067&lt;=eco,alpha*fck*(1-(1-L1067/eco)^n),alpha*fck),0)</f>
      </c>
      <c r="N1067" s="30">
        <f>PM_Angle!$J$9+PM_Angle!$K$9*$C1067+PM_Angle!$L$9*$B1067</f>
      </c>
      <c r="O1067" s="12">
        <f>IF(N1067&gt;0,IF(N1067&lt;=eco,alpha*fck*(1-(1-N1067/eco)^n),alpha*fck),0)</f>
      </c>
      <c r="P1067" s="30">
        <f>PM_Angle!$J$10+PM_Angle!$K$10*$C1067+PM_Angle!$L$10*$B1067</f>
      </c>
      <c r="Q1067" s="12">
        <f>IF(P1067&gt;0,IF(P1067&lt;=eco,alpha*fck*(1-(1-P1067/eco)^n),alpha*fck),0)</f>
      </c>
      <c r="R1067" s="30">
        <f>PM_Angle!$J$11+PM_Angle!$K$11*$C1067+PM_Angle!$L$11*$B1067</f>
      </c>
      <c r="S1067" s="12">
        <f>IF(R1067&gt;0,IF(R1067&lt;=eco,alpha*fck*(1-(1-R1067/eco)^n),alpha*fck),0)</f>
      </c>
      <c r="T1067" s="30">
        <f>PM_Angle!$J$12+PM_Angle!$K$12*$C1067+PM_Angle!$L$12*$B1067</f>
      </c>
      <c r="U1067" s="12">
        <f>IF(T1067&gt;0,IF(T1067&lt;=eco,alpha*fck*(1-(1-T1067/eco)^n),alpha*fck),0)</f>
      </c>
      <c r="V1067" s="30">
        <f>PM_Angle!$J$13+PM_Angle!$K$13*$C1067+PM_Angle!$L$13*$B1067</f>
      </c>
      <c r="W1067" s="12">
        <f>IF(V1067&gt;0,IF(V1067&lt;=eco,alpha*fck*(1-(1-V1067/eco)^n),alpha*fck),0)</f>
      </c>
      <c r="X1067" s="30">
        <f>PM_Angle!$J$14+PM_Angle!$K$14*$C1067+PM_Angle!$L$14*$B1067</f>
      </c>
      <c r="Y1067" s="12">
        <f>IF(X1067&gt;0,IF(X1067&lt;=eco,alpha*fck*(1-(1-X1067/eco)^n),alpha*fck),0)</f>
      </c>
      <c r="Z1067" s="30">
        <f>PM_Angle!$J$15+PM_Angle!$K$15*$C1067+PM_Angle!$L$15*$B1067</f>
      </c>
      <c r="AA1067" s="12">
        <f>IF(Z1067&gt;0,IF(Z1067&lt;=eco,alpha*fck*(1-(1-Z1067/eco)^n),alpha*fck),0)</f>
      </c>
      <c r="AB1067" s="30">
        <f>PM_Angle!$J$16+PM_Angle!$K$16*$C1067+PM_Angle!$L$16*$B1067</f>
      </c>
      <c r="AC1067" s="12">
        <f>IF(AB1067&gt;0,IF(AB1067&lt;=eco,alpha*fck*(1-(1-AB1067/eco)^n),alpha*fck),0)</f>
      </c>
      <c r="AD1067" s="30">
        <f>PM_Angle!$J$17+PM_Angle!$K$17*$C1067+PM_Angle!$L$17*$B1067</f>
      </c>
      <c r="AE1067" s="12">
        <f>IF(AD1067&gt;0,IF(AD1067&lt;=eco,alpha*fck*(1-(1-AD1067/eco)^n),alpha*fck),0)</f>
      </c>
      <c r="AF1067" s="30">
        <f>PM_Angle!$J$18+PM_Angle!$K$18*$C1067+PM_Angle!$L$18*$B1067</f>
      </c>
      <c r="AG1067" s="12">
        <f>IF(AF1067&gt;0,IF(AF1067&lt;=eco,alpha*fck*(1-(1-AF1067/eco)^n),alpha*fck),0)</f>
      </c>
      <c r="AH1067" s="30">
        <f>PM_Angle!$J$19+PM_Angle!$K$19*$C1067+PM_Angle!$L$19*$B1067</f>
      </c>
      <c r="AI1067" s="12">
        <f>IF(AH1067&gt;0,IF(AH1067&lt;=eco,alpha*fck*(1-(1-AH1067/eco)^n),alpha*fck),0)</f>
      </c>
      <c r="AJ1067" s="30">
        <f>PM_Angle!$J$20+PM_Angle!$K$20*$C1067+PM_Angle!$L$20*$B1067</f>
      </c>
      <c r="AK1067" s="12">
        <f>IF(AJ1067&gt;0,IF(AJ1067&lt;=eco,alpha*fck*(1-(1-AJ1067/eco)^n),alpha*fck),0)</f>
      </c>
      <c r="AL1067" s="30">
        <f>PM_Angle!$J$21+PM_Angle!$K$21*$C1067+PM_Angle!$L$21*$B1067</f>
      </c>
      <c r="AM1067" s="12">
        <f>IF(AL1067&gt;0,IF(AL1067&lt;=eco,alpha*fck*(1-(1-AL1067/eco)^n),alpha*fck),0)</f>
      </c>
      <c r="AN1067" s="30">
        <f>PM_Angle!$J$22+PM_Angle!$K$22*$C1067+PM_Angle!$L$22*$B1067</f>
      </c>
      <c r="AO1067" s="12">
        <f>IF(AN1067&gt;0,IF(AN1067&lt;=eco,alpha*fck*(1-(1-AN1067/eco)^n),alpha*fck),0)</f>
      </c>
      <c r="AP1067" s="30">
        <f>PM_Angle!$J$23+PM_Angle!$K$23*$C1067+PM_Angle!$L$23*$B1067</f>
      </c>
      <c r="AQ1067" s="12">
        <f>IF(AP1067&gt;0,IF(AP1067&lt;=eco,alpha*fck*(1-(1-AP1067/eco)^n),alpha*fck),0)</f>
      </c>
      <c r="AR1067" s="30">
        <f>PM_Angle!$J$24+PM_Angle!$K$24*$C1067+PM_Angle!$L$24*$B1067</f>
      </c>
      <c r="AS1067" s="12">
        <f>IF(AR1067&gt;0,IF(AR1067&lt;=eco,alpha*fck*(1-(1-AR1067/eco)^n),alpha*fck),0)</f>
      </c>
      <c r="AT1067" s="30">
        <f>PM_Angle!$J$25+PM_Angle!$K$25*$C1067+PM_Angle!$L$25*$B1067</f>
      </c>
      <c r="AU1067" s="12">
        <f>IF(AT1067&gt;0,IF(AT1067&lt;=eco,alpha*fck*(1-(1-AT1067/eco)^n),alpha*fck),0)</f>
      </c>
    </row>
    <row r="1068" spans="1:47" x14ac:dyDescent="0.25">
      <c r="A1068">
        <f>Mesh!A1065</f>
      </c>
      <c r="B1068" s="12">
        <f>Mesh!B1065</f>
      </c>
      <c r="C1068" s="12">
        <f>Mesh!C1065</f>
      </c>
      <c r="D1068" s="12">
        <f>Mesh!D1065</f>
      </c>
      <c r="E1068" s="30">
        <f>INDEX(St_e0,Det+1)+INDEX(St_kx,Det+1)*C1068+INDEX(St_ky,Det+1)*B1068</f>
      </c>
      <c r="F1068" s="12">
        <f>IF(E1068&gt;0,IF(E1068&lt;=eco,alpha*fck*(1-(1-E1068/eco)^n),alpha*fck),0)</f>
      </c>
      <c r="G1068" s="11">
        <f>F1068*D1068</f>
      </c>
      <c r="H1068" s="11">
        <f>G1068*C1068</f>
      </c>
      <c r="I1068" s="11">
        <f>G1068*B1068</f>
      </c>
      <c r="J1068" s="30">
        <f>PM_Angle!$J$7+PM_Angle!$K$7*$C1068+PM_Angle!$L$7*$B1068</f>
      </c>
      <c r="K1068" s="12">
        <f>IF(J1068&gt;0,IF(J1068&lt;=eco,alpha*fck*(1-(1-J1068/eco)^n),alpha*fck),0)</f>
      </c>
      <c r="L1068" s="30">
        <f>PM_Angle!$J$8+PM_Angle!$K$8*$C1068+PM_Angle!$L$8*$B1068</f>
      </c>
      <c r="M1068" s="12">
        <f>IF(L1068&gt;0,IF(L1068&lt;=eco,alpha*fck*(1-(1-L1068/eco)^n),alpha*fck),0)</f>
      </c>
      <c r="N1068" s="30">
        <f>PM_Angle!$J$9+PM_Angle!$K$9*$C1068+PM_Angle!$L$9*$B1068</f>
      </c>
      <c r="O1068" s="12">
        <f>IF(N1068&gt;0,IF(N1068&lt;=eco,alpha*fck*(1-(1-N1068/eco)^n),alpha*fck),0)</f>
      </c>
      <c r="P1068" s="30">
        <f>PM_Angle!$J$10+PM_Angle!$K$10*$C1068+PM_Angle!$L$10*$B1068</f>
      </c>
      <c r="Q1068" s="12">
        <f>IF(P1068&gt;0,IF(P1068&lt;=eco,alpha*fck*(1-(1-P1068/eco)^n),alpha*fck),0)</f>
      </c>
      <c r="R1068" s="30">
        <f>PM_Angle!$J$11+PM_Angle!$K$11*$C1068+PM_Angle!$L$11*$B1068</f>
      </c>
      <c r="S1068" s="12">
        <f>IF(R1068&gt;0,IF(R1068&lt;=eco,alpha*fck*(1-(1-R1068/eco)^n),alpha*fck),0)</f>
      </c>
      <c r="T1068" s="30">
        <f>PM_Angle!$J$12+PM_Angle!$K$12*$C1068+PM_Angle!$L$12*$B1068</f>
      </c>
      <c r="U1068" s="12">
        <f>IF(T1068&gt;0,IF(T1068&lt;=eco,alpha*fck*(1-(1-T1068/eco)^n),alpha*fck),0)</f>
      </c>
      <c r="V1068" s="30">
        <f>PM_Angle!$J$13+PM_Angle!$K$13*$C1068+PM_Angle!$L$13*$B1068</f>
      </c>
      <c r="W1068" s="12">
        <f>IF(V1068&gt;0,IF(V1068&lt;=eco,alpha*fck*(1-(1-V1068/eco)^n),alpha*fck),0)</f>
      </c>
      <c r="X1068" s="30">
        <f>PM_Angle!$J$14+PM_Angle!$K$14*$C1068+PM_Angle!$L$14*$B1068</f>
      </c>
      <c r="Y1068" s="12">
        <f>IF(X1068&gt;0,IF(X1068&lt;=eco,alpha*fck*(1-(1-X1068/eco)^n),alpha*fck),0)</f>
      </c>
      <c r="Z1068" s="30">
        <f>PM_Angle!$J$15+PM_Angle!$K$15*$C1068+PM_Angle!$L$15*$B1068</f>
      </c>
      <c r="AA1068" s="12">
        <f>IF(Z1068&gt;0,IF(Z1068&lt;=eco,alpha*fck*(1-(1-Z1068/eco)^n),alpha*fck),0)</f>
      </c>
      <c r="AB1068" s="30">
        <f>PM_Angle!$J$16+PM_Angle!$K$16*$C1068+PM_Angle!$L$16*$B1068</f>
      </c>
      <c r="AC1068" s="12">
        <f>IF(AB1068&gt;0,IF(AB1068&lt;=eco,alpha*fck*(1-(1-AB1068/eco)^n),alpha*fck),0)</f>
      </c>
      <c r="AD1068" s="30">
        <f>PM_Angle!$J$17+PM_Angle!$K$17*$C1068+PM_Angle!$L$17*$B1068</f>
      </c>
      <c r="AE1068" s="12">
        <f>IF(AD1068&gt;0,IF(AD1068&lt;=eco,alpha*fck*(1-(1-AD1068/eco)^n),alpha*fck),0)</f>
      </c>
      <c r="AF1068" s="30">
        <f>PM_Angle!$J$18+PM_Angle!$K$18*$C1068+PM_Angle!$L$18*$B1068</f>
      </c>
      <c r="AG1068" s="12">
        <f>IF(AF1068&gt;0,IF(AF1068&lt;=eco,alpha*fck*(1-(1-AF1068/eco)^n),alpha*fck),0)</f>
      </c>
      <c r="AH1068" s="30">
        <f>PM_Angle!$J$19+PM_Angle!$K$19*$C1068+PM_Angle!$L$19*$B1068</f>
      </c>
      <c r="AI1068" s="12">
        <f>IF(AH1068&gt;0,IF(AH1068&lt;=eco,alpha*fck*(1-(1-AH1068/eco)^n),alpha*fck),0)</f>
      </c>
      <c r="AJ1068" s="30">
        <f>PM_Angle!$J$20+PM_Angle!$K$20*$C1068+PM_Angle!$L$20*$B1068</f>
      </c>
      <c r="AK1068" s="12">
        <f>IF(AJ1068&gt;0,IF(AJ1068&lt;=eco,alpha*fck*(1-(1-AJ1068/eco)^n),alpha*fck),0)</f>
      </c>
      <c r="AL1068" s="30">
        <f>PM_Angle!$J$21+PM_Angle!$K$21*$C1068+PM_Angle!$L$21*$B1068</f>
      </c>
      <c r="AM1068" s="12">
        <f>IF(AL1068&gt;0,IF(AL1068&lt;=eco,alpha*fck*(1-(1-AL1068/eco)^n),alpha*fck),0)</f>
      </c>
      <c r="AN1068" s="30">
        <f>PM_Angle!$J$22+PM_Angle!$K$22*$C1068+PM_Angle!$L$22*$B1068</f>
      </c>
      <c r="AO1068" s="12">
        <f>IF(AN1068&gt;0,IF(AN1068&lt;=eco,alpha*fck*(1-(1-AN1068/eco)^n),alpha*fck),0)</f>
      </c>
      <c r="AP1068" s="30">
        <f>PM_Angle!$J$23+PM_Angle!$K$23*$C1068+PM_Angle!$L$23*$B1068</f>
      </c>
      <c r="AQ1068" s="12">
        <f>IF(AP1068&gt;0,IF(AP1068&lt;=eco,alpha*fck*(1-(1-AP1068/eco)^n),alpha*fck),0)</f>
      </c>
      <c r="AR1068" s="30">
        <f>PM_Angle!$J$24+PM_Angle!$K$24*$C1068+PM_Angle!$L$24*$B1068</f>
      </c>
      <c r="AS1068" s="12">
        <f>IF(AR1068&gt;0,IF(AR1068&lt;=eco,alpha*fck*(1-(1-AR1068/eco)^n),alpha*fck),0)</f>
      </c>
      <c r="AT1068" s="30">
        <f>PM_Angle!$J$25+PM_Angle!$K$25*$C1068+PM_Angle!$L$25*$B1068</f>
      </c>
      <c r="AU1068" s="12">
        <f>IF(AT1068&gt;0,IF(AT1068&lt;=eco,alpha*fck*(1-(1-AT1068/eco)^n),alpha*fck),0)</f>
      </c>
    </row>
    <row r="1069" spans="1:47" x14ac:dyDescent="0.25">
      <c r="A1069">
        <f>Mesh!A1066</f>
      </c>
      <c r="B1069" s="12">
        <f>Mesh!B1066</f>
      </c>
      <c r="C1069" s="12">
        <f>Mesh!C1066</f>
      </c>
      <c r="D1069" s="12">
        <f>Mesh!D1066</f>
      </c>
      <c r="E1069" s="30">
        <f>INDEX(St_e0,Det+1)+INDEX(St_kx,Det+1)*C1069+INDEX(St_ky,Det+1)*B1069</f>
      </c>
      <c r="F1069" s="12">
        <f>IF(E1069&gt;0,IF(E1069&lt;=eco,alpha*fck*(1-(1-E1069/eco)^n),alpha*fck),0)</f>
      </c>
      <c r="G1069" s="11">
        <f>F1069*D1069</f>
      </c>
      <c r="H1069" s="11">
        <f>G1069*C1069</f>
      </c>
      <c r="I1069" s="11">
        <f>G1069*B1069</f>
      </c>
      <c r="J1069" s="30">
        <f>PM_Angle!$J$7+PM_Angle!$K$7*$C1069+PM_Angle!$L$7*$B1069</f>
      </c>
      <c r="K1069" s="12">
        <f>IF(J1069&gt;0,IF(J1069&lt;=eco,alpha*fck*(1-(1-J1069/eco)^n),alpha*fck),0)</f>
      </c>
      <c r="L1069" s="30">
        <f>PM_Angle!$J$8+PM_Angle!$K$8*$C1069+PM_Angle!$L$8*$B1069</f>
      </c>
      <c r="M1069" s="12">
        <f>IF(L1069&gt;0,IF(L1069&lt;=eco,alpha*fck*(1-(1-L1069/eco)^n),alpha*fck),0)</f>
      </c>
      <c r="N1069" s="30">
        <f>PM_Angle!$J$9+PM_Angle!$K$9*$C1069+PM_Angle!$L$9*$B1069</f>
      </c>
      <c r="O1069" s="12">
        <f>IF(N1069&gt;0,IF(N1069&lt;=eco,alpha*fck*(1-(1-N1069/eco)^n),alpha*fck),0)</f>
      </c>
      <c r="P1069" s="30">
        <f>PM_Angle!$J$10+PM_Angle!$K$10*$C1069+PM_Angle!$L$10*$B1069</f>
      </c>
      <c r="Q1069" s="12">
        <f>IF(P1069&gt;0,IF(P1069&lt;=eco,alpha*fck*(1-(1-P1069/eco)^n),alpha*fck),0)</f>
      </c>
      <c r="R1069" s="30">
        <f>PM_Angle!$J$11+PM_Angle!$K$11*$C1069+PM_Angle!$L$11*$B1069</f>
      </c>
      <c r="S1069" s="12">
        <f>IF(R1069&gt;0,IF(R1069&lt;=eco,alpha*fck*(1-(1-R1069/eco)^n),alpha*fck),0)</f>
      </c>
      <c r="T1069" s="30">
        <f>PM_Angle!$J$12+PM_Angle!$K$12*$C1069+PM_Angle!$L$12*$B1069</f>
      </c>
      <c r="U1069" s="12">
        <f>IF(T1069&gt;0,IF(T1069&lt;=eco,alpha*fck*(1-(1-T1069/eco)^n),alpha*fck),0)</f>
      </c>
      <c r="V1069" s="30">
        <f>PM_Angle!$J$13+PM_Angle!$K$13*$C1069+PM_Angle!$L$13*$B1069</f>
      </c>
      <c r="W1069" s="12">
        <f>IF(V1069&gt;0,IF(V1069&lt;=eco,alpha*fck*(1-(1-V1069/eco)^n),alpha*fck),0)</f>
      </c>
      <c r="X1069" s="30">
        <f>PM_Angle!$J$14+PM_Angle!$K$14*$C1069+PM_Angle!$L$14*$B1069</f>
      </c>
      <c r="Y1069" s="12">
        <f>IF(X1069&gt;0,IF(X1069&lt;=eco,alpha*fck*(1-(1-X1069/eco)^n),alpha*fck),0)</f>
      </c>
      <c r="Z1069" s="30">
        <f>PM_Angle!$J$15+PM_Angle!$K$15*$C1069+PM_Angle!$L$15*$B1069</f>
      </c>
      <c r="AA1069" s="12">
        <f>IF(Z1069&gt;0,IF(Z1069&lt;=eco,alpha*fck*(1-(1-Z1069/eco)^n),alpha*fck),0)</f>
      </c>
      <c r="AB1069" s="30">
        <f>PM_Angle!$J$16+PM_Angle!$K$16*$C1069+PM_Angle!$L$16*$B1069</f>
      </c>
      <c r="AC1069" s="12">
        <f>IF(AB1069&gt;0,IF(AB1069&lt;=eco,alpha*fck*(1-(1-AB1069/eco)^n),alpha*fck),0)</f>
      </c>
      <c r="AD1069" s="30">
        <f>PM_Angle!$J$17+PM_Angle!$K$17*$C1069+PM_Angle!$L$17*$B1069</f>
      </c>
      <c r="AE1069" s="12">
        <f>IF(AD1069&gt;0,IF(AD1069&lt;=eco,alpha*fck*(1-(1-AD1069/eco)^n),alpha*fck),0)</f>
      </c>
      <c r="AF1069" s="30">
        <f>PM_Angle!$J$18+PM_Angle!$K$18*$C1069+PM_Angle!$L$18*$B1069</f>
      </c>
      <c r="AG1069" s="12">
        <f>IF(AF1069&gt;0,IF(AF1069&lt;=eco,alpha*fck*(1-(1-AF1069/eco)^n),alpha*fck),0)</f>
      </c>
      <c r="AH1069" s="30">
        <f>PM_Angle!$J$19+PM_Angle!$K$19*$C1069+PM_Angle!$L$19*$B1069</f>
      </c>
      <c r="AI1069" s="12">
        <f>IF(AH1069&gt;0,IF(AH1069&lt;=eco,alpha*fck*(1-(1-AH1069/eco)^n),alpha*fck),0)</f>
      </c>
      <c r="AJ1069" s="30">
        <f>PM_Angle!$J$20+PM_Angle!$K$20*$C1069+PM_Angle!$L$20*$B1069</f>
      </c>
      <c r="AK1069" s="12">
        <f>IF(AJ1069&gt;0,IF(AJ1069&lt;=eco,alpha*fck*(1-(1-AJ1069/eco)^n),alpha*fck),0)</f>
      </c>
      <c r="AL1069" s="30">
        <f>PM_Angle!$J$21+PM_Angle!$K$21*$C1069+PM_Angle!$L$21*$B1069</f>
      </c>
      <c r="AM1069" s="12">
        <f>IF(AL1069&gt;0,IF(AL1069&lt;=eco,alpha*fck*(1-(1-AL1069/eco)^n),alpha*fck),0)</f>
      </c>
      <c r="AN1069" s="30">
        <f>PM_Angle!$J$22+PM_Angle!$K$22*$C1069+PM_Angle!$L$22*$B1069</f>
      </c>
      <c r="AO1069" s="12">
        <f>IF(AN1069&gt;0,IF(AN1069&lt;=eco,alpha*fck*(1-(1-AN1069/eco)^n),alpha*fck),0)</f>
      </c>
      <c r="AP1069" s="30">
        <f>PM_Angle!$J$23+PM_Angle!$K$23*$C1069+PM_Angle!$L$23*$B1069</f>
      </c>
      <c r="AQ1069" s="12">
        <f>IF(AP1069&gt;0,IF(AP1069&lt;=eco,alpha*fck*(1-(1-AP1069/eco)^n),alpha*fck),0)</f>
      </c>
      <c r="AR1069" s="30">
        <f>PM_Angle!$J$24+PM_Angle!$K$24*$C1069+PM_Angle!$L$24*$B1069</f>
      </c>
      <c r="AS1069" s="12">
        <f>IF(AR1069&gt;0,IF(AR1069&lt;=eco,alpha*fck*(1-(1-AR1069/eco)^n),alpha*fck),0)</f>
      </c>
      <c r="AT1069" s="30">
        <f>PM_Angle!$J$25+PM_Angle!$K$25*$C1069+PM_Angle!$L$25*$B1069</f>
      </c>
      <c r="AU1069" s="12">
        <f>IF(AT1069&gt;0,IF(AT1069&lt;=eco,alpha*fck*(1-(1-AT1069/eco)^n),alpha*fck),0)</f>
      </c>
    </row>
    <row r="1070" spans="1:47" x14ac:dyDescent="0.25">
      <c r="A1070">
        <f>Mesh!A1067</f>
      </c>
      <c r="B1070" s="12">
        <f>Mesh!B1067</f>
      </c>
      <c r="C1070" s="12">
        <f>Mesh!C1067</f>
      </c>
      <c r="D1070" s="12">
        <f>Mesh!D1067</f>
      </c>
      <c r="E1070" s="30">
        <f>INDEX(St_e0,Det+1)+INDEX(St_kx,Det+1)*C1070+INDEX(St_ky,Det+1)*B1070</f>
      </c>
      <c r="F1070" s="12">
        <f>IF(E1070&gt;0,IF(E1070&lt;=eco,alpha*fck*(1-(1-E1070/eco)^n),alpha*fck),0)</f>
      </c>
      <c r="G1070" s="11">
        <f>F1070*D1070</f>
      </c>
      <c r="H1070" s="11">
        <f>G1070*C1070</f>
      </c>
      <c r="I1070" s="11">
        <f>G1070*B1070</f>
      </c>
      <c r="J1070" s="30">
        <f>PM_Angle!$J$7+PM_Angle!$K$7*$C1070+PM_Angle!$L$7*$B1070</f>
      </c>
      <c r="K1070" s="12">
        <f>IF(J1070&gt;0,IF(J1070&lt;=eco,alpha*fck*(1-(1-J1070/eco)^n),alpha*fck),0)</f>
      </c>
      <c r="L1070" s="30">
        <f>PM_Angle!$J$8+PM_Angle!$K$8*$C1070+PM_Angle!$L$8*$B1070</f>
      </c>
      <c r="M1070" s="12">
        <f>IF(L1070&gt;0,IF(L1070&lt;=eco,alpha*fck*(1-(1-L1070/eco)^n),alpha*fck),0)</f>
      </c>
      <c r="N1070" s="30">
        <f>PM_Angle!$J$9+PM_Angle!$K$9*$C1070+PM_Angle!$L$9*$B1070</f>
      </c>
      <c r="O1070" s="12">
        <f>IF(N1070&gt;0,IF(N1070&lt;=eco,alpha*fck*(1-(1-N1070/eco)^n),alpha*fck),0)</f>
      </c>
      <c r="P1070" s="30">
        <f>PM_Angle!$J$10+PM_Angle!$K$10*$C1070+PM_Angle!$L$10*$B1070</f>
      </c>
      <c r="Q1070" s="12">
        <f>IF(P1070&gt;0,IF(P1070&lt;=eco,alpha*fck*(1-(1-P1070/eco)^n),alpha*fck),0)</f>
      </c>
      <c r="R1070" s="30">
        <f>PM_Angle!$J$11+PM_Angle!$K$11*$C1070+PM_Angle!$L$11*$B1070</f>
      </c>
      <c r="S1070" s="12">
        <f>IF(R1070&gt;0,IF(R1070&lt;=eco,alpha*fck*(1-(1-R1070/eco)^n),alpha*fck),0)</f>
      </c>
      <c r="T1070" s="30">
        <f>PM_Angle!$J$12+PM_Angle!$K$12*$C1070+PM_Angle!$L$12*$B1070</f>
      </c>
      <c r="U1070" s="12">
        <f>IF(T1070&gt;0,IF(T1070&lt;=eco,alpha*fck*(1-(1-T1070/eco)^n),alpha*fck),0)</f>
      </c>
      <c r="V1070" s="30">
        <f>PM_Angle!$J$13+PM_Angle!$K$13*$C1070+PM_Angle!$L$13*$B1070</f>
      </c>
      <c r="W1070" s="12">
        <f>IF(V1070&gt;0,IF(V1070&lt;=eco,alpha*fck*(1-(1-V1070/eco)^n),alpha*fck),0)</f>
      </c>
      <c r="X1070" s="30">
        <f>PM_Angle!$J$14+PM_Angle!$K$14*$C1070+PM_Angle!$L$14*$B1070</f>
      </c>
      <c r="Y1070" s="12">
        <f>IF(X1070&gt;0,IF(X1070&lt;=eco,alpha*fck*(1-(1-X1070/eco)^n),alpha*fck),0)</f>
      </c>
      <c r="Z1070" s="30">
        <f>PM_Angle!$J$15+PM_Angle!$K$15*$C1070+PM_Angle!$L$15*$B1070</f>
      </c>
      <c r="AA1070" s="12">
        <f>IF(Z1070&gt;0,IF(Z1070&lt;=eco,alpha*fck*(1-(1-Z1070/eco)^n),alpha*fck),0)</f>
      </c>
      <c r="AB1070" s="30">
        <f>PM_Angle!$J$16+PM_Angle!$K$16*$C1070+PM_Angle!$L$16*$B1070</f>
      </c>
      <c r="AC1070" s="12">
        <f>IF(AB1070&gt;0,IF(AB1070&lt;=eco,alpha*fck*(1-(1-AB1070/eco)^n),alpha*fck),0)</f>
      </c>
      <c r="AD1070" s="30">
        <f>PM_Angle!$J$17+PM_Angle!$K$17*$C1070+PM_Angle!$L$17*$B1070</f>
      </c>
      <c r="AE1070" s="12">
        <f>IF(AD1070&gt;0,IF(AD1070&lt;=eco,alpha*fck*(1-(1-AD1070/eco)^n),alpha*fck),0)</f>
      </c>
      <c r="AF1070" s="30">
        <f>PM_Angle!$J$18+PM_Angle!$K$18*$C1070+PM_Angle!$L$18*$B1070</f>
      </c>
      <c r="AG1070" s="12">
        <f>IF(AF1070&gt;0,IF(AF1070&lt;=eco,alpha*fck*(1-(1-AF1070/eco)^n),alpha*fck),0)</f>
      </c>
      <c r="AH1070" s="30">
        <f>PM_Angle!$J$19+PM_Angle!$K$19*$C1070+PM_Angle!$L$19*$B1070</f>
      </c>
      <c r="AI1070" s="12">
        <f>IF(AH1070&gt;0,IF(AH1070&lt;=eco,alpha*fck*(1-(1-AH1070/eco)^n),alpha*fck),0)</f>
      </c>
      <c r="AJ1070" s="30">
        <f>PM_Angle!$J$20+PM_Angle!$K$20*$C1070+PM_Angle!$L$20*$B1070</f>
      </c>
      <c r="AK1070" s="12">
        <f>IF(AJ1070&gt;0,IF(AJ1070&lt;=eco,alpha*fck*(1-(1-AJ1070/eco)^n),alpha*fck),0)</f>
      </c>
      <c r="AL1070" s="30">
        <f>PM_Angle!$J$21+PM_Angle!$K$21*$C1070+PM_Angle!$L$21*$B1070</f>
      </c>
      <c r="AM1070" s="12">
        <f>IF(AL1070&gt;0,IF(AL1070&lt;=eco,alpha*fck*(1-(1-AL1070/eco)^n),alpha*fck),0)</f>
      </c>
      <c r="AN1070" s="30">
        <f>PM_Angle!$J$22+PM_Angle!$K$22*$C1070+PM_Angle!$L$22*$B1070</f>
      </c>
      <c r="AO1070" s="12">
        <f>IF(AN1070&gt;0,IF(AN1070&lt;=eco,alpha*fck*(1-(1-AN1070/eco)^n),alpha*fck),0)</f>
      </c>
      <c r="AP1070" s="30">
        <f>PM_Angle!$J$23+PM_Angle!$K$23*$C1070+PM_Angle!$L$23*$B1070</f>
      </c>
      <c r="AQ1070" s="12">
        <f>IF(AP1070&gt;0,IF(AP1070&lt;=eco,alpha*fck*(1-(1-AP1070/eco)^n),alpha*fck),0)</f>
      </c>
      <c r="AR1070" s="30">
        <f>PM_Angle!$J$24+PM_Angle!$K$24*$C1070+PM_Angle!$L$24*$B1070</f>
      </c>
      <c r="AS1070" s="12">
        <f>IF(AR1070&gt;0,IF(AR1070&lt;=eco,alpha*fck*(1-(1-AR1070/eco)^n),alpha*fck),0)</f>
      </c>
      <c r="AT1070" s="30">
        <f>PM_Angle!$J$25+PM_Angle!$K$25*$C1070+PM_Angle!$L$25*$B1070</f>
      </c>
      <c r="AU1070" s="12">
        <f>IF(AT1070&gt;0,IF(AT1070&lt;=eco,alpha*fck*(1-(1-AT1070/eco)^n),alpha*fck),0)</f>
      </c>
    </row>
    <row r="1071" spans="1:47" x14ac:dyDescent="0.25">
      <c r="A1071">
        <f>Mesh!A1068</f>
      </c>
      <c r="B1071" s="12">
        <f>Mesh!B1068</f>
      </c>
      <c r="C1071" s="12">
        <f>Mesh!C1068</f>
      </c>
      <c r="D1071" s="12">
        <f>Mesh!D1068</f>
      </c>
      <c r="E1071" s="30">
        <f>INDEX(St_e0,Det+1)+INDEX(St_kx,Det+1)*C1071+INDEX(St_ky,Det+1)*B1071</f>
      </c>
      <c r="F1071" s="12">
        <f>IF(E1071&gt;0,IF(E1071&lt;=eco,alpha*fck*(1-(1-E1071/eco)^n),alpha*fck),0)</f>
      </c>
      <c r="G1071" s="11">
        <f>F1071*D1071</f>
      </c>
      <c r="H1071" s="11">
        <f>G1071*C1071</f>
      </c>
      <c r="I1071" s="11">
        <f>G1071*B1071</f>
      </c>
      <c r="J1071" s="30">
        <f>PM_Angle!$J$7+PM_Angle!$K$7*$C1071+PM_Angle!$L$7*$B1071</f>
      </c>
      <c r="K1071" s="12">
        <f>IF(J1071&gt;0,IF(J1071&lt;=eco,alpha*fck*(1-(1-J1071/eco)^n),alpha*fck),0)</f>
      </c>
      <c r="L1071" s="30">
        <f>PM_Angle!$J$8+PM_Angle!$K$8*$C1071+PM_Angle!$L$8*$B1071</f>
      </c>
      <c r="M1071" s="12">
        <f>IF(L1071&gt;0,IF(L1071&lt;=eco,alpha*fck*(1-(1-L1071/eco)^n),alpha*fck),0)</f>
      </c>
      <c r="N1071" s="30">
        <f>PM_Angle!$J$9+PM_Angle!$K$9*$C1071+PM_Angle!$L$9*$B1071</f>
      </c>
      <c r="O1071" s="12">
        <f>IF(N1071&gt;0,IF(N1071&lt;=eco,alpha*fck*(1-(1-N1071/eco)^n),alpha*fck),0)</f>
      </c>
      <c r="P1071" s="30">
        <f>PM_Angle!$J$10+PM_Angle!$K$10*$C1071+PM_Angle!$L$10*$B1071</f>
      </c>
      <c r="Q1071" s="12">
        <f>IF(P1071&gt;0,IF(P1071&lt;=eco,alpha*fck*(1-(1-P1071/eco)^n),alpha*fck),0)</f>
      </c>
      <c r="R1071" s="30">
        <f>PM_Angle!$J$11+PM_Angle!$K$11*$C1071+PM_Angle!$L$11*$B1071</f>
      </c>
      <c r="S1071" s="12">
        <f>IF(R1071&gt;0,IF(R1071&lt;=eco,alpha*fck*(1-(1-R1071/eco)^n),alpha*fck),0)</f>
      </c>
      <c r="T1071" s="30">
        <f>PM_Angle!$J$12+PM_Angle!$K$12*$C1071+PM_Angle!$L$12*$B1071</f>
      </c>
      <c r="U1071" s="12">
        <f>IF(T1071&gt;0,IF(T1071&lt;=eco,alpha*fck*(1-(1-T1071/eco)^n),alpha*fck),0)</f>
      </c>
      <c r="V1071" s="30">
        <f>PM_Angle!$J$13+PM_Angle!$K$13*$C1071+PM_Angle!$L$13*$B1071</f>
      </c>
      <c r="W1071" s="12">
        <f>IF(V1071&gt;0,IF(V1071&lt;=eco,alpha*fck*(1-(1-V1071/eco)^n),alpha*fck),0)</f>
      </c>
      <c r="X1071" s="30">
        <f>PM_Angle!$J$14+PM_Angle!$K$14*$C1071+PM_Angle!$L$14*$B1071</f>
      </c>
      <c r="Y1071" s="12">
        <f>IF(X1071&gt;0,IF(X1071&lt;=eco,alpha*fck*(1-(1-X1071/eco)^n),alpha*fck),0)</f>
      </c>
      <c r="Z1071" s="30">
        <f>PM_Angle!$J$15+PM_Angle!$K$15*$C1071+PM_Angle!$L$15*$B1071</f>
      </c>
      <c r="AA1071" s="12">
        <f>IF(Z1071&gt;0,IF(Z1071&lt;=eco,alpha*fck*(1-(1-Z1071/eco)^n),alpha*fck),0)</f>
      </c>
      <c r="AB1071" s="30">
        <f>PM_Angle!$J$16+PM_Angle!$K$16*$C1071+PM_Angle!$L$16*$B1071</f>
      </c>
      <c r="AC1071" s="12">
        <f>IF(AB1071&gt;0,IF(AB1071&lt;=eco,alpha*fck*(1-(1-AB1071/eco)^n),alpha*fck),0)</f>
      </c>
      <c r="AD1071" s="30">
        <f>PM_Angle!$J$17+PM_Angle!$K$17*$C1071+PM_Angle!$L$17*$B1071</f>
      </c>
      <c r="AE1071" s="12">
        <f>IF(AD1071&gt;0,IF(AD1071&lt;=eco,alpha*fck*(1-(1-AD1071/eco)^n),alpha*fck),0)</f>
      </c>
      <c r="AF1071" s="30">
        <f>PM_Angle!$J$18+PM_Angle!$K$18*$C1071+PM_Angle!$L$18*$B1071</f>
      </c>
      <c r="AG1071" s="12">
        <f>IF(AF1071&gt;0,IF(AF1071&lt;=eco,alpha*fck*(1-(1-AF1071/eco)^n),alpha*fck),0)</f>
      </c>
      <c r="AH1071" s="30">
        <f>PM_Angle!$J$19+PM_Angle!$K$19*$C1071+PM_Angle!$L$19*$B1071</f>
      </c>
      <c r="AI1071" s="12">
        <f>IF(AH1071&gt;0,IF(AH1071&lt;=eco,alpha*fck*(1-(1-AH1071/eco)^n),alpha*fck),0)</f>
      </c>
      <c r="AJ1071" s="30">
        <f>PM_Angle!$J$20+PM_Angle!$K$20*$C1071+PM_Angle!$L$20*$B1071</f>
      </c>
      <c r="AK1071" s="12">
        <f>IF(AJ1071&gt;0,IF(AJ1071&lt;=eco,alpha*fck*(1-(1-AJ1071/eco)^n),alpha*fck),0)</f>
      </c>
      <c r="AL1071" s="30">
        <f>PM_Angle!$J$21+PM_Angle!$K$21*$C1071+PM_Angle!$L$21*$B1071</f>
      </c>
      <c r="AM1071" s="12">
        <f>IF(AL1071&gt;0,IF(AL1071&lt;=eco,alpha*fck*(1-(1-AL1071/eco)^n),alpha*fck),0)</f>
      </c>
      <c r="AN1071" s="30">
        <f>PM_Angle!$J$22+PM_Angle!$K$22*$C1071+PM_Angle!$L$22*$B1071</f>
      </c>
      <c r="AO1071" s="12">
        <f>IF(AN1071&gt;0,IF(AN1071&lt;=eco,alpha*fck*(1-(1-AN1071/eco)^n),alpha*fck),0)</f>
      </c>
      <c r="AP1071" s="30">
        <f>PM_Angle!$J$23+PM_Angle!$K$23*$C1071+PM_Angle!$L$23*$B1071</f>
      </c>
      <c r="AQ1071" s="12">
        <f>IF(AP1071&gt;0,IF(AP1071&lt;=eco,alpha*fck*(1-(1-AP1071/eco)^n),alpha*fck),0)</f>
      </c>
      <c r="AR1071" s="30">
        <f>PM_Angle!$J$24+PM_Angle!$K$24*$C1071+PM_Angle!$L$24*$B1071</f>
      </c>
      <c r="AS1071" s="12">
        <f>IF(AR1071&gt;0,IF(AR1071&lt;=eco,alpha*fck*(1-(1-AR1071/eco)^n),alpha*fck),0)</f>
      </c>
      <c r="AT1071" s="30">
        <f>PM_Angle!$J$25+PM_Angle!$K$25*$C1071+PM_Angle!$L$25*$B1071</f>
      </c>
      <c r="AU1071" s="12">
        <f>IF(AT1071&gt;0,IF(AT1071&lt;=eco,alpha*fck*(1-(1-AT1071/eco)^n),alpha*fck),0)</f>
      </c>
    </row>
    <row r="1072" spans="1:47" x14ac:dyDescent="0.25">
      <c r="A1072">
        <f>Mesh!A1069</f>
      </c>
      <c r="B1072" s="12">
        <f>Mesh!B1069</f>
      </c>
      <c r="C1072" s="12">
        <f>Mesh!C1069</f>
      </c>
      <c r="D1072" s="12">
        <f>Mesh!D1069</f>
      </c>
      <c r="E1072" s="30">
        <f>INDEX(St_e0,Det+1)+INDEX(St_kx,Det+1)*C1072+INDEX(St_ky,Det+1)*B1072</f>
      </c>
      <c r="F1072" s="12">
        <f>IF(E1072&gt;0,IF(E1072&lt;=eco,alpha*fck*(1-(1-E1072/eco)^n),alpha*fck),0)</f>
      </c>
      <c r="G1072" s="11">
        <f>F1072*D1072</f>
      </c>
      <c r="H1072" s="11">
        <f>G1072*C1072</f>
      </c>
      <c r="I1072" s="11">
        <f>G1072*B1072</f>
      </c>
      <c r="J1072" s="30">
        <f>PM_Angle!$J$7+PM_Angle!$K$7*$C1072+PM_Angle!$L$7*$B1072</f>
      </c>
      <c r="K1072" s="12">
        <f>IF(J1072&gt;0,IF(J1072&lt;=eco,alpha*fck*(1-(1-J1072/eco)^n),alpha*fck),0)</f>
      </c>
      <c r="L1072" s="30">
        <f>PM_Angle!$J$8+PM_Angle!$K$8*$C1072+PM_Angle!$L$8*$B1072</f>
      </c>
      <c r="M1072" s="12">
        <f>IF(L1072&gt;0,IF(L1072&lt;=eco,alpha*fck*(1-(1-L1072/eco)^n),alpha*fck),0)</f>
      </c>
      <c r="N1072" s="30">
        <f>PM_Angle!$J$9+PM_Angle!$K$9*$C1072+PM_Angle!$L$9*$B1072</f>
      </c>
      <c r="O1072" s="12">
        <f>IF(N1072&gt;0,IF(N1072&lt;=eco,alpha*fck*(1-(1-N1072/eco)^n),alpha*fck),0)</f>
      </c>
      <c r="P1072" s="30">
        <f>PM_Angle!$J$10+PM_Angle!$K$10*$C1072+PM_Angle!$L$10*$B1072</f>
      </c>
      <c r="Q1072" s="12">
        <f>IF(P1072&gt;0,IF(P1072&lt;=eco,alpha*fck*(1-(1-P1072/eco)^n),alpha*fck),0)</f>
      </c>
      <c r="R1072" s="30">
        <f>PM_Angle!$J$11+PM_Angle!$K$11*$C1072+PM_Angle!$L$11*$B1072</f>
      </c>
      <c r="S1072" s="12">
        <f>IF(R1072&gt;0,IF(R1072&lt;=eco,alpha*fck*(1-(1-R1072/eco)^n),alpha*fck),0)</f>
      </c>
      <c r="T1072" s="30">
        <f>PM_Angle!$J$12+PM_Angle!$K$12*$C1072+PM_Angle!$L$12*$B1072</f>
      </c>
      <c r="U1072" s="12">
        <f>IF(T1072&gt;0,IF(T1072&lt;=eco,alpha*fck*(1-(1-T1072/eco)^n),alpha*fck),0)</f>
      </c>
      <c r="V1072" s="30">
        <f>PM_Angle!$J$13+PM_Angle!$K$13*$C1072+PM_Angle!$L$13*$B1072</f>
      </c>
      <c r="W1072" s="12">
        <f>IF(V1072&gt;0,IF(V1072&lt;=eco,alpha*fck*(1-(1-V1072/eco)^n),alpha*fck),0)</f>
      </c>
      <c r="X1072" s="30">
        <f>PM_Angle!$J$14+PM_Angle!$K$14*$C1072+PM_Angle!$L$14*$B1072</f>
      </c>
      <c r="Y1072" s="12">
        <f>IF(X1072&gt;0,IF(X1072&lt;=eco,alpha*fck*(1-(1-X1072/eco)^n),alpha*fck),0)</f>
      </c>
      <c r="Z1072" s="30">
        <f>PM_Angle!$J$15+PM_Angle!$K$15*$C1072+PM_Angle!$L$15*$B1072</f>
      </c>
      <c r="AA1072" s="12">
        <f>IF(Z1072&gt;0,IF(Z1072&lt;=eco,alpha*fck*(1-(1-Z1072/eco)^n),alpha*fck),0)</f>
      </c>
      <c r="AB1072" s="30">
        <f>PM_Angle!$J$16+PM_Angle!$K$16*$C1072+PM_Angle!$L$16*$B1072</f>
      </c>
      <c r="AC1072" s="12">
        <f>IF(AB1072&gt;0,IF(AB1072&lt;=eco,alpha*fck*(1-(1-AB1072/eco)^n),alpha*fck),0)</f>
      </c>
      <c r="AD1072" s="30">
        <f>PM_Angle!$J$17+PM_Angle!$K$17*$C1072+PM_Angle!$L$17*$B1072</f>
      </c>
      <c r="AE1072" s="12">
        <f>IF(AD1072&gt;0,IF(AD1072&lt;=eco,alpha*fck*(1-(1-AD1072/eco)^n),alpha*fck),0)</f>
      </c>
      <c r="AF1072" s="30">
        <f>PM_Angle!$J$18+PM_Angle!$K$18*$C1072+PM_Angle!$L$18*$B1072</f>
      </c>
      <c r="AG1072" s="12">
        <f>IF(AF1072&gt;0,IF(AF1072&lt;=eco,alpha*fck*(1-(1-AF1072/eco)^n),alpha*fck),0)</f>
      </c>
      <c r="AH1072" s="30">
        <f>PM_Angle!$J$19+PM_Angle!$K$19*$C1072+PM_Angle!$L$19*$B1072</f>
      </c>
      <c r="AI1072" s="12">
        <f>IF(AH1072&gt;0,IF(AH1072&lt;=eco,alpha*fck*(1-(1-AH1072/eco)^n),alpha*fck),0)</f>
      </c>
      <c r="AJ1072" s="30">
        <f>PM_Angle!$J$20+PM_Angle!$K$20*$C1072+PM_Angle!$L$20*$B1072</f>
      </c>
      <c r="AK1072" s="12">
        <f>IF(AJ1072&gt;0,IF(AJ1072&lt;=eco,alpha*fck*(1-(1-AJ1072/eco)^n),alpha*fck),0)</f>
      </c>
      <c r="AL1072" s="30">
        <f>PM_Angle!$J$21+PM_Angle!$K$21*$C1072+PM_Angle!$L$21*$B1072</f>
      </c>
      <c r="AM1072" s="12">
        <f>IF(AL1072&gt;0,IF(AL1072&lt;=eco,alpha*fck*(1-(1-AL1072/eco)^n),alpha*fck),0)</f>
      </c>
      <c r="AN1072" s="30">
        <f>PM_Angle!$J$22+PM_Angle!$K$22*$C1072+PM_Angle!$L$22*$B1072</f>
      </c>
      <c r="AO1072" s="12">
        <f>IF(AN1072&gt;0,IF(AN1072&lt;=eco,alpha*fck*(1-(1-AN1072/eco)^n),alpha*fck),0)</f>
      </c>
      <c r="AP1072" s="30">
        <f>PM_Angle!$J$23+PM_Angle!$K$23*$C1072+PM_Angle!$L$23*$B1072</f>
      </c>
      <c r="AQ1072" s="12">
        <f>IF(AP1072&gt;0,IF(AP1072&lt;=eco,alpha*fck*(1-(1-AP1072/eco)^n),alpha*fck),0)</f>
      </c>
      <c r="AR1072" s="30">
        <f>PM_Angle!$J$24+PM_Angle!$K$24*$C1072+PM_Angle!$L$24*$B1072</f>
      </c>
      <c r="AS1072" s="12">
        <f>IF(AR1072&gt;0,IF(AR1072&lt;=eco,alpha*fck*(1-(1-AR1072/eco)^n),alpha*fck),0)</f>
      </c>
      <c r="AT1072" s="30">
        <f>PM_Angle!$J$25+PM_Angle!$K$25*$C1072+PM_Angle!$L$25*$B1072</f>
      </c>
      <c r="AU1072" s="12">
        <f>IF(AT1072&gt;0,IF(AT1072&lt;=eco,alpha*fck*(1-(1-AT1072/eco)^n),alpha*fck),0)</f>
      </c>
    </row>
    <row r="1073" spans="1:47" x14ac:dyDescent="0.25">
      <c r="A1073">
        <f>Mesh!A1070</f>
      </c>
      <c r="B1073" s="12">
        <f>Mesh!B1070</f>
      </c>
      <c r="C1073" s="12">
        <f>Mesh!C1070</f>
      </c>
      <c r="D1073" s="12">
        <f>Mesh!D1070</f>
      </c>
      <c r="E1073" s="30">
        <f>INDEX(St_e0,Det+1)+INDEX(St_kx,Det+1)*C1073+INDEX(St_ky,Det+1)*B1073</f>
      </c>
      <c r="F1073" s="12">
        <f>IF(E1073&gt;0,IF(E1073&lt;=eco,alpha*fck*(1-(1-E1073/eco)^n),alpha*fck),0)</f>
      </c>
      <c r="G1073" s="11">
        <f>F1073*D1073</f>
      </c>
      <c r="H1073" s="11">
        <f>G1073*C1073</f>
      </c>
      <c r="I1073" s="11">
        <f>G1073*B1073</f>
      </c>
      <c r="J1073" s="30">
        <f>PM_Angle!$J$7+PM_Angle!$K$7*$C1073+PM_Angle!$L$7*$B1073</f>
      </c>
      <c r="K1073" s="12">
        <f>IF(J1073&gt;0,IF(J1073&lt;=eco,alpha*fck*(1-(1-J1073/eco)^n),alpha*fck),0)</f>
      </c>
      <c r="L1073" s="30">
        <f>PM_Angle!$J$8+PM_Angle!$K$8*$C1073+PM_Angle!$L$8*$B1073</f>
      </c>
      <c r="M1073" s="12">
        <f>IF(L1073&gt;0,IF(L1073&lt;=eco,alpha*fck*(1-(1-L1073/eco)^n),alpha*fck),0)</f>
      </c>
      <c r="N1073" s="30">
        <f>PM_Angle!$J$9+PM_Angle!$K$9*$C1073+PM_Angle!$L$9*$B1073</f>
      </c>
      <c r="O1073" s="12">
        <f>IF(N1073&gt;0,IF(N1073&lt;=eco,alpha*fck*(1-(1-N1073/eco)^n),alpha*fck),0)</f>
      </c>
      <c r="P1073" s="30">
        <f>PM_Angle!$J$10+PM_Angle!$K$10*$C1073+PM_Angle!$L$10*$B1073</f>
      </c>
      <c r="Q1073" s="12">
        <f>IF(P1073&gt;0,IF(P1073&lt;=eco,alpha*fck*(1-(1-P1073/eco)^n),alpha*fck),0)</f>
      </c>
      <c r="R1073" s="30">
        <f>PM_Angle!$J$11+PM_Angle!$K$11*$C1073+PM_Angle!$L$11*$B1073</f>
      </c>
      <c r="S1073" s="12">
        <f>IF(R1073&gt;0,IF(R1073&lt;=eco,alpha*fck*(1-(1-R1073/eco)^n),alpha*fck),0)</f>
      </c>
      <c r="T1073" s="30">
        <f>PM_Angle!$J$12+PM_Angle!$K$12*$C1073+PM_Angle!$L$12*$B1073</f>
      </c>
      <c r="U1073" s="12">
        <f>IF(T1073&gt;0,IF(T1073&lt;=eco,alpha*fck*(1-(1-T1073/eco)^n),alpha*fck),0)</f>
      </c>
      <c r="V1073" s="30">
        <f>PM_Angle!$J$13+PM_Angle!$K$13*$C1073+PM_Angle!$L$13*$B1073</f>
      </c>
      <c r="W1073" s="12">
        <f>IF(V1073&gt;0,IF(V1073&lt;=eco,alpha*fck*(1-(1-V1073/eco)^n),alpha*fck),0)</f>
      </c>
      <c r="X1073" s="30">
        <f>PM_Angle!$J$14+PM_Angle!$K$14*$C1073+PM_Angle!$L$14*$B1073</f>
      </c>
      <c r="Y1073" s="12">
        <f>IF(X1073&gt;0,IF(X1073&lt;=eco,alpha*fck*(1-(1-X1073/eco)^n),alpha*fck),0)</f>
      </c>
      <c r="Z1073" s="30">
        <f>PM_Angle!$J$15+PM_Angle!$K$15*$C1073+PM_Angle!$L$15*$B1073</f>
      </c>
      <c r="AA1073" s="12">
        <f>IF(Z1073&gt;0,IF(Z1073&lt;=eco,alpha*fck*(1-(1-Z1073/eco)^n),alpha*fck),0)</f>
      </c>
      <c r="AB1073" s="30">
        <f>PM_Angle!$J$16+PM_Angle!$K$16*$C1073+PM_Angle!$L$16*$B1073</f>
      </c>
      <c r="AC1073" s="12">
        <f>IF(AB1073&gt;0,IF(AB1073&lt;=eco,alpha*fck*(1-(1-AB1073/eco)^n),alpha*fck),0)</f>
      </c>
      <c r="AD1073" s="30">
        <f>PM_Angle!$J$17+PM_Angle!$K$17*$C1073+PM_Angle!$L$17*$B1073</f>
      </c>
      <c r="AE1073" s="12">
        <f>IF(AD1073&gt;0,IF(AD1073&lt;=eco,alpha*fck*(1-(1-AD1073/eco)^n),alpha*fck),0)</f>
      </c>
      <c r="AF1073" s="30">
        <f>PM_Angle!$J$18+PM_Angle!$K$18*$C1073+PM_Angle!$L$18*$B1073</f>
      </c>
      <c r="AG1073" s="12">
        <f>IF(AF1073&gt;0,IF(AF1073&lt;=eco,alpha*fck*(1-(1-AF1073/eco)^n),alpha*fck),0)</f>
      </c>
      <c r="AH1073" s="30">
        <f>PM_Angle!$J$19+PM_Angle!$K$19*$C1073+PM_Angle!$L$19*$B1073</f>
      </c>
      <c r="AI1073" s="12">
        <f>IF(AH1073&gt;0,IF(AH1073&lt;=eco,alpha*fck*(1-(1-AH1073/eco)^n),alpha*fck),0)</f>
      </c>
      <c r="AJ1073" s="30">
        <f>PM_Angle!$J$20+PM_Angle!$K$20*$C1073+PM_Angle!$L$20*$B1073</f>
      </c>
      <c r="AK1073" s="12">
        <f>IF(AJ1073&gt;0,IF(AJ1073&lt;=eco,alpha*fck*(1-(1-AJ1073/eco)^n),alpha*fck),0)</f>
      </c>
      <c r="AL1073" s="30">
        <f>PM_Angle!$J$21+PM_Angle!$K$21*$C1073+PM_Angle!$L$21*$B1073</f>
      </c>
      <c r="AM1073" s="12">
        <f>IF(AL1073&gt;0,IF(AL1073&lt;=eco,alpha*fck*(1-(1-AL1073/eco)^n),alpha*fck),0)</f>
      </c>
      <c r="AN1073" s="30">
        <f>PM_Angle!$J$22+PM_Angle!$K$22*$C1073+PM_Angle!$L$22*$B1073</f>
      </c>
      <c r="AO1073" s="12">
        <f>IF(AN1073&gt;0,IF(AN1073&lt;=eco,alpha*fck*(1-(1-AN1073/eco)^n),alpha*fck),0)</f>
      </c>
      <c r="AP1073" s="30">
        <f>PM_Angle!$J$23+PM_Angle!$K$23*$C1073+PM_Angle!$L$23*$B1073</f>
      </c>
      <c r="AQ1073" s="12">
        <f>IF(AP1073&gt;0,IF(AP1073&lt;=eco,alpha*fck*(1-(1-AP1073/eco)^n),alpha*fck),0)</f>
      </c>
      <c r="AR1073" s="30">
        <f>PM_Angle!$J$24+PM_Angle!$K$24*$C1073+PM_Angle!$L$24*$B1073</f>
      </c>
      <c r="AS1073" s="12">
        <f>IF(AR1073&gt;0,IF(AR1073&lt;=eco,alpha*fck*(1-(1-AR1073/eco)^n),alpha*fck),0)</f>
      </c>
      <c r="AT1073" s="30">
        <f>PM_Angle!$J$25+PM_Angle!$K$25*$C1073+PM_Angle!$L$25*$B1073</f>
      </c>
      <c r="AU1073" s="12">
        <f>IF(AT1073&gt;0,IF(AT1073&lt;=eco,alpha*fck*(1-(1-AT1073/eco)^n),alpha*fck),0)</f>
      </c>
    </row>
    <row r="1074" spans="1:47" x14ac:dyDescent="0.25">
      <c r="A1074">
        <f>Mesh!A1071</f>
      </c>
      <c r="B1074" s="12">
        <f>Mesh!B1071</f>
      </c>
      <c r="C1074" s="12">
        <f>Mesh!C1071</f>
      </c>
      <c r="D1074" s="12">
        <f>Mesh!D1071</f>
      </c>
      <c r="E1074" s="30">
        <f>INDEX(St_e0,Det+1)+INDEX(St_kx,Det+1)*C1074+INDEX(St_ky,Det+1)*B1074</f>
      </c>
      <c r="F1074" s="12">
        <f>IF(E1074&gt;0,IF(E1074&lt;=eco,alpha*fck*(1-(1-E1074/eco)^n),alpha*fck),0)</f>
      </c>
      <c r="G1074" s="11">
        <f>F1074*D1074</f>
      </c>
      <c r="H1074" s="11">
        <f>G1074*C1074</f>
      </c>
      <c r="I1074" s="11">
        <f>G1074*B1074</f>
      </c>
      <c r="J1074" s="30">
        <f>PM_Angle!$J$7+PM_Angle!$K$7*$C1074+PM_Angle!$L$7*$B1074</f>
      </c>
      <c r="K1074" s="12">
        <f>IF(J1074&gt;0,IF(J1074&lt;=eco,alpha*fck*(1-(1-J1074/eco)^n),alpha*fck),0)</f>
      </c>
      <c r="L1074" s="30">
        <f>PM_Angle!$J$8+PM_Angle!$K$8*$C1074+PM_Angle!$L$8*$B1074</f>
      </c>
      <c r="M1074" s="12">
        <f>IF(L1074&gt;0,IF(L1074&lt;=eco,alpha*fck*(1-(1-L1074/eco)^n),alpha*fck),0)</f>
      </c>
      <c r="N1074" s="30">
        <f>PM_Angle!$J$9+PM_Angle!$K$9*$C1074+PM_Angle!$L$9*$B1074</f>
      </c>
      <c r="O1074" s="12">
        <f>IF(N1074&gt;0,IF(N1074&lt;=eco,alpha*fck*(1-(1-N1074/eco)^n),alpha*fck),0)</f>
      </c>
      <c r="P1074" s="30">
        <f>PM_Angle!$J$10+PM_Angle!$K$10*$C1074+PM_Angle!$L$10*$B1074</f>
      </c>
      <c r="Q1074" s="12">
        <f>IF(P1074&gt;0,IF(P1074&lt;=eco,alpha*fck*(1-(1-P1074/eco)^n),alpha*fck),0)</f>
      </c>
      <c r="R1074" s="30">
        <f>PM_Angle!$J$11+PM_Angle!$K$11*$C1074+PM_Angle!$L$11*$B1074</f>
      </c>
      <c r="S1074" s="12">
        <f>IF(R1074&gt;0,IF(R1074&lt;=eco,alpha*fck*(1-(1-R1074/eco)^n),alpha*fck),0)</f>
      </c>
      <c r="T1074" s="30">
        <f>PM_Angle!$J$12+PM_Angle!$K$12*$C1074+PM_Angle!$L$12*$B1074</f>
      </c>
      <c r="U1074" s="12">
        <f>IF(T1074&gt;0,IF(T1074&lt;=eco,alpha*fck*(1-(1-T1074/eco)^n),alpha*fck),0)</f>
      </c>
      <c r="V1074" s="30">
        <f>PM_Angle!$J$13+PM_Angle!$K$13*$C1074+PM_Angle!$L$13*$B1074</f>
      </c>
      <c r="W1074" s="12">
        <f>IF(V1074&gt;0,IF(V1074&lt;=eco,alpha*fck*(1-(1-V1074/eco)^n),alpha*fck),0)</f>
      </c>
      <c r="X1074" s="30">
        <f>PM_Angle!$J$14+PM_Angle!$K$14*$C1074+PM_Angle!$L$14*$B1074</f>
      </c>
      <c r="Y1074" s="12">
        <f>IF(X1074&gt;0,IF(X1074&lt;=eco,alpha*fck*(1-(1-X1074/eco)^n),alpha*fck),0)</f>
      </c>
      <c r="Z1074" s="30">
        <f>PM_Angle!$J$15+PM_Angle!$K$15*$C1074+PM_Angle!$L$15*$B1074</f>
      </c>
      <c r="AA1074" s="12">
        <f>IF(Z1074&gt;0,IF(Z1074&lt;=eco,alpha*fck*(1-(1-Z1074/eco)^n),alpha*fck),0)</f>
      </c>
      <c r="AB1074" s="30">
        <f>PM_Angle!$J$16+PM_Angle!$K$16*$C1074+PM_Angle!$L$16*$B1074</f>
      </c>
      <c r="AC1074" s="12">
        <f>IF(AB1074&gt;0,IF(AB1074&lt;=eco,alpha*fck*(1-(1-AB1074/eco)^n),alpha*fck),0)</f>
      </c>
      <c r="AD1074" s="30">
        <f>PM_Angle!$J$17+PM_Angle!$K$17*$C1074+PM_Angle!$L$17*$B1074</f>
      </c>
      <c r="AE1074" s="12">
        <f>IF(AD1074&gt;0,IF(AD1074&lt;=eco,alpha*fck*(1-(1-AD1074/eco)^n),alpha*fck),0)</f>
      </c>
      <c r="AF1074" s="30">
        <f>PM_Angle!$J$18+PM_Angle!$K$18*$C1074+PM_Angle!$L$18*$B1074</f>
      </c>
      <c r="AG1074" s="12">
        <f>IF(AF1074&gt;0,IF(AF1074&lt;=eco,alpha*fck*(1-(1-AF1074/eco)^n),alpha*fck),0)</f>
      </c>
      <c r="AH1074" s="30">
        <f>PM_Angle!$J$19+PM_Angle!$K$19*$C1074+PM_Angle!$L$19*$B1074</f>
      </c>
      <c r="AI1074" s="12">
        <f>IF(AH1074&gt;0,IF(AH1074&lt;=eco,alpha*fck*(1-(1-AH1074/eco)^n),alpha*fck),0)</f>
      </c>
      <c r="AJ1074" s="30">
        <f>PM_Angle!$J$20+PM_Angle!$K$20*$C1074+PM_Angle!$L$20*$B1074</f>
      </c>
      <c r="AK1074" s="12">
        <f>IF(AJ1074&gt;0,IF(AJ1074&lt;=eco,alpha*fck*(1-(1-AJ1074/eco)^n),alpha*fck),0)</f>
      </c>
      <c r="AL1074" s="30">
        <f>PM_Angle!$J$21+PM_Angle!$K$21*$C1074+PM_Angle!$L$21*$B1074</f>
      </c>
      <c r="AM1074" s="12">
        <f>IF(AL1074&gt;0,IF(AL1074&lt;=eco,alpha*fck*(1-(1-AL1074/eco)^n),alpha*fck),0)</f>
      </c>
      <c r="AN1074" s="30">
        <f>PM_Angle!$J$22+PM_Angle!$K$22*$C1074+PM_Angle!$L$22*$B1074</f>
      </c>
      <c r="AO1074" s="12">
        <f>IF(AN1074&gt;0,IF(AN1074&lt;=eco,alpha*fck*(1-(1-AN1074/eco)^n),alpha*fck),0)</f>
      </c>
      <c r="AP1074" s="30">
        <f>PM_Angle!$J$23+PM_Angle!$K$23*$C1074+PM_Angle!$L$23*$B1074</f>
      </c>
      <c r="AQ1074" s="12">
        <f>IF(AP1074&gt;0,IF(AP1074&lt;=eco,alpha*fck*(1-(1-AP1074/eco)^n),alpha*fck),0)</f>
      </c>
      <c r="AR1074" s="30">
        <f>PM_Angle!$J$24+PM_Angle!$K$24*$C1074+PM_Angle!$L$24*$B1074</f>
      </c>
      <c r="AS1074" s="12">
        <f>IF(AR1074&gt;0,IF(AR1074&lt;=eco,alpha*fck*(1-(1-AR1074/eco)^n),alpha*fck),0)</f>
      </c>
      <c r="AT1074" s="30">
        <f>PM_Angle!$J$25+PM_Angle!$K$25*$C1074+PM_Angle!$L$25*$B1074</f>
      </c>
      <c r="AU1074" s="12">
        <f>IF(AT1074&gt;0,IF(AT1074&lt;=eco,alpha*fck*(1-(1-AT1074/eco)^n),alpha*fck),0)</f>
      </c>
    </row>
    <row r="1075" spans="1:47" x14ac:dyDescent="0.25">
      <c r="A1075">
        <f>Mesh!A1072</f>
      </c>
      <c r="B1075" s="12">
        <f>Mesh!B1072</f>
      </c>
      <c r="C1075" s="12">
        <f>Mesh!C1072</f>
      </c>
      <c r="D1075" s="12">
        <f>Mesh!D1072</f>
      </c>
      <c r="E1075" s="30">
        <f>INDEX(St_e0,Det+1)+INDEX(St_kx,Det+1)*C1075+INDEX(St_ky,Det+1)*B1075</f>
      </c>
      <c r="F1075" s="12">
        <f>IF(E1075&gt;0,IF(E1075&lt;=eco,alpha*fck*(1-(1-E1075/eco)^n),alpha*fck),0)</f>
      </c>
      <c r="G1075" s="11">
        <f>F1075*D1075</f>
      </c>
      <c r="H1075" s="11">
        <f>G1075*C1075</f>
      </c>
      <c r="I1075" s="11">
        <f>G1075*B1075</f>
      </c>
      <c r="J1075" s="30">
        <f>PM_Angle!$J$7+PM_Angle!$K$7*$C1075+PM_Angle!$L$7*$B1075</f>
      </c>
      <c r="K1075" s="12">
        <f>IF(J1075&gt;0,IF(J1075&lt;=eco,alpha*fck*(1-(1-J1075/eco)^n),alpha*fck),0)</f>
      </c>
      <c r="L1075" s="30">
        <f>PM_Angle!$J$8+PM_Angle!$K$8*$C1075+PM_Angle!$L$8*$B1075</f>
      </c>
      <c r="M1075" s="12">
        <f>IF(L1075&gt;0,IF(L1075&lt;=eco,alpha*fck*(1-(1-L1075/eco)^n),alpha*fck),0)</f>
      </c>
      <c r="N1075" s="30">
        <f>PM_Angle!$J$9+PM_Angle!$K$9*$C1075+PM_Angle!$L$9*$B1075</f>
      </c>
      <c r="O1075" s="12">
        <f>IF(N1075&gt;0,IF(N1075&lt;=eco,alpha*fck*(1-(1-N1075/eco)^n),alpha*fck),0)</f>
      </c>
      <c r="P1075" s="30">
        <f>PM_Angle!$J$10+PM_Angle!$K$10*$C1075+PM_Angle!$L$10*$B1075</f>
      </c>
      <c r="Q1075" s="12">
        <f>IF(P1075&gt;0,IF(P1075&lt;=eco,alpha*fck*(1-(1-P1075/eco)^n),alpha*fck),0)</f>
      </c>
      <c r="R1075" s="30">
        <f>PM_Angle!$J$11+PM_Angle!$K$11*$C1075+PM_Angle!$L$11*$B1075</f>
      </c>
      <c r="S1075" s="12">
        <f>IF(R1075&gt;0,IF(R1075&lt;=eco,alpha*fck*(1-(1-R1075/eco)^n),alpha*fck),0)</f>
      </c>
      <c r="T1075" s="30">
        <f>PM_Angle!$J$12+PM_Angle!$K$12*$C1075+PM_Angle!$L$12*$B1075</f>
      </c>
      <c r="U1075" s="12">
        <f>IF(T1075&gt;0,IF(T1075&lt;=eco,alpha*fck*(1-(1-T1075/eco)^n),alpha*fck),0)</f>
      </c>
      <c r="V1075" s="30">
        <f>PM_Angle!$J$13+PM_Angle!$K$13*$C1075+PM_Angle!$L$13*$B1075</f>
      </c>
      <c r="W1075" s="12">
        <f>IF(V1075&gt;0,IF(V1075&lt;=eco,alpha*fck*(1-(1-V1075/eco)^n),alpha*fck),0)</f>
      </c>
      <c r="X1075" s="30">
        <f>PM_Angle!$J$14+PM_Angle!$K$14*$C1075+PM_Angle!$L$14*$B1075</f>
      </c>
      <c r="Y1075" s="12">
        <f>IF(X1075&gt;0,IF(X1075&lt;=eco,alpha*fck*(1-(1-X1075/eco)^n),alpha*fck),0)</f>
      </c>
      <c r="Z1075" s="30">
        <f>PM_Angle!$J$15+PM_Angle!$K$15*$C1075+PM_Angle!$L$15*$B1075</f>
      </c>
      <c r="AA1075" s="12">
        <f>IF(Z1075&gt;0,IF(Z1075&lt;=eco,alpha*fck*(1-(1-Z1075/eco)^n),alpha*fck),0)</f>
      </c>
      <c r="AB1075" s="30">
        <f>PM_Angle!$J$16+PM_Angle!$K$16*$C1075+PM_Angle!$L$16*$B1075</f>
      </c>
      <c r="AC1075" s="12">
        <f>IF(AB1075&gt;0,IF(AB1075&lt;=eco,alpha*fck*(1-(1-AB1075/eco)^n),alpha*fck),0)</f>
      </c>
      <c r="AD1075" s="30">
        <f>PM_Angle!$J$17+PM_Angle!$K$17*$C1075+PM_Angle!$L$17*$B1075</f>
      </c>
      <c r="AE1075" s="12">
        <f>IF(AD1075&gt;0,IF(AD1075&lt;=eco,alpha*fck*(1-(1-AD1075/eco)^n),alpha*fck),0)</f>
      </c>
      <c r="AF1075" s="30">
        <f>PM_Angle!$J$18+PM_Angle!$K$18*$C1075+PM_Angle!$L$18*$B1075</f>
      </c>
      <c r="AG1075" s="12">
        <f>IF(AF1075&gt;0,IF(AF1075&lt;=eco,alpha*fck*(1-(1-AF1075/eco)^n),alpha*fck),0)</f>
      </c>
      <c r="AH1075" s="30">
        <f>PM_Angle!$J$19+PM_Angle!$K$19*$C1075+PM_Angle!$L$19*$B1075</f>
      </c>
      <c r="AI1075" s="12">
        <f>IF(AH1075&gt;0,IF(AH1075&lt;=eco,alpha*fck*(1-(1-AH1075/eco)^n),alpha*fck),0)</f>
      </c>
      <c r="AJ1075" s="30">
        <f>PM_Angle!$J$20+PM_Angle!$K$20*$C1075+PM_Angle!$L$20*$B1075</f>
      </c>
      <c r="AK1075" s="12">
        <f>IF(AJ1075&gt;0,IF(AJ1075&lt;=eco,alpha*fck*(1-(1-AJ1075/eco)^n),alpha*fck),0)</f>
      </c>
      <c r="AL1075" s="30">
        <f>PM_Angle!$J$21+PM_Angle!$K$21*$C1075+PM_Angle!$L$21*$B1075</f>
      </c>
      <c r="AM1075" s="12">
        <f>IF(AL1075&gt;0,IF(AL1075&lt;=eco,alpha*fck*(1-(1-AL1075/eco)^n),alpha*fck),0)</f>
      </c>
      <c r="AN1075" s="30">
        <f>PM_Angle!$J$22+PM_Angle!$K$22*$C1075+PM_Angle!$L$22*$B1075</f>
      </c>
      <c r="AO1075" s="12">
        <f>IF(AN1075&gt;0,IF(AN1075&lt;=eco,alpha*fck*(1-(1-AN1075/eco)^n),alpha*fck),0)</f>
      </c>
      <c r="AP1075" s="30">
        <f>PM_Angle!$J$23+PM_Angle!$K$23*$C1075+PM_Angle!$L$23*$B1075</f>
      </c>
      <c r="AQ1075" s="12">
        <f>IF(AP1075&gt;0,IF(AP1075&lt;=eco,alpha*fck*(1-(1-AP1075/eco)^n),alpha*fck),0)</f>
      </c>
      <c r="AR1075" s="30">
        <f>PM_Angle!$J$24+PM_Angle!$K$24*$C1075+PM_Angle!$L$24*$B1075</f>
      </c>
      <c r="AS1075" s="12">
        <f>IF(AR1075&gt;0,IF(AR1075&lt;=eco,alpha*fck*(1-(1-AR1075/eco)^n),alpha*fck),0)</f>
      </c>
      <c r="AT1075" s="30">
        <f>PM_Angle!$J$25+PM_Angle!$K$25*$C1075+PM_Angle!$L$25*$B1075</f>
      </c>
      <c r="AU1075" s="12">
        <f>IF(AT1075&gt;0,IF(AT1075&lt;=eco,alpha*fck*(1-(1-AT1075/eco)^n),alpha*fck),0)</f>
      </c>
    </row>
    <row r="1076" spans="1:47" x14ac:dyDescent="0.25">
      <c r="A1076">
        <f>Mesh!A1073</f>
      </c>
      <c r="B1076" s="12">
        <f>Mesh!B1073</f>
      </c>
      <c r="C1076" s="12">
        <f>Mesh!C1073</f>
      </c>
      <c r="D1076" s="12">
        <f>Mesh!D1073</f>
      </c>
      <c r="E1076" s="30">
        <f>INDEX(St_e0,Det+1)+INDEX(St_kx,Det+1)*C1076+INDEX(St_ky,Det+1)*B1076</f>
      </c>
      <c r="F1076" s="12">
        <f>IF(E1076&gt;0,IF(E1076&lt;=eco,alpha*fck*(1-(1-E1076/eco)^n),alpha*fck),0)</f>
      </c>
      <c r="G1076" s="11">
        <f>F1076*D1076</f>
      </c>
      <c r="H1076" s="11">
        <f>G1076*C1076</f>
      </c>
      <c r="I1076" s="11">
        <f>G1076*B1076</f>
      </c>
      <c r="J1076" s="30">
        <f>PM_Angle!$J$7+PM_Angle!$K$7*$C1076+PM_Angle!$L$7*$B1076</f>
      </c>
      <c r="K1076" s="12">
        <f>IF(J1076&gt;0,IF(J1076&lt;=eco,alpha*fck*(1-(1-J1076/eco)^n),alpha*fck),0)</f>
      </c>
      <c r="L1076" s="30">
        <f>PM_Angle!$J$8+PM_Angle!$K$8*$C1076+PM_Angle!$L$8*$B1076</f>
      </c>
      <c r="M1076" s="12">
        <f>IF(L1076&gt;0,IF(L1076&lt;=eco,alpha*fck*(1-(1-L1076/eco)^n),alpha*fck),0)</f>
      </c>
      <c r="N1076" s="30">
        <f>PM_Angle!$J$9+PM_Angle!$K$9*$C1076+PM_Angle!$L$9*$B1076</f>
      </c>
      <c r="O1076" s="12">
        <f>IF(N1076&gt;0,IF(N1076&lt;=eco,alpha*fck*(1-(1-N1076/eco)^n),alpha*fck),0)</f>
      </c>
      <c r="P1076" s="30">
        <f>PM_Angle!$J$10+PM_Angle!$K$10*$C1076+PM_Angle!$L$10*$B1076</f>
      </c>
      <c r="Q1076" s="12">
        <f>IF(P1076&gt;0,IF(P1076&lt;=eco,alpha*fck*(1-(1-P1076/eco)^n),alpha*fck),0)</f>
      </c>
      <c r="R1076" s="30">
        <f>PM_Angle!$J$11+PM_Angle!$K$11*$C1076+PM_Angle!$L$11*$B1076</f>
      </c>
      <c r="S1076" s="12">
        <f>IF(R1076&gt;0,IF(R1076&lt;=eco,alpha*fck*(1-(1-R1076/eco)^n),alpha*fck),0)</f>
      </c>
      <c r="T1076" s="30">
        <f>PM_Angle!$J$12+PM_Angle!$K$12*$C1076+PM_Angle!$L$12*$B1076</f>
      </c>
      <c r="U1076" s="12">
        <f>IF(T1076&gt;0,IF(T1076&lt;=eco,alpha*fck*(1-(1-T1076/eco)^n),alpha*fck),0)</f>
      </c>
      <c r="V1076" s="30">
        <f>PM_Angle!$J$13+PM_Angle!$K$13*$C1076+PM_Angle!$L$13*$B1076</f>
      </c>
      <c r="W1076" s="12">
        <f>IF(V1076&gt;0,IF(V1076&lt;=eco,alpha*fck*(1-(1-V1076/eco)^n),alpha*fck),0)</f>
      </c>
      <c r="X1076" s="30">
        <f>PM_Angle!$J$14+PM_Angle!$K$14*$C1076+PM_Angle!$L$14*$B1076</f>
      </c>
      <c r="Y1076" s="12">
        <f>IF(X1076&gt;0,IF(X1076&lt;=eco,alpha*fck*(1-(1-X1076/eco)^n),alpha*fck),0)</f>
      </c>
      <c r="Z1076" s="30">
        <f>PM_Angle!$J$15+PM_Angle!$K$15*$C1076+PM_Angle!$L$15*$B1076</f>
      </c>
      <c r="AA1076" s="12">
        <f>IF(Z1076&gt;0,IF(Z1076&lt;=eco,alpha*fck*(1-(1-Z1076/eco)^n),alpha*fck),0)</f>
      </c>
      <c r="AB1076" s="30">
        <f>PM_Angle!$J$16+PM_Angle!$K$16*$C1076+PM_Angle!$L$16*$B1076</f>
      </c>
      <c r="AC1076" s="12">
        <f>IF(AB1076&gt;0,IF(AB1076&lt;=eco,alpha*fck*(1-(1-AB1076/eco)^n),alpha*fck),0)</f>
      </c>
      <c r="AD1076" s="30">
        <f>PM_Angle!$J$17+PM_Angle!$K$17*$C1076+PM_Angle!$L$17*$B1076</f>
      </c>
      <c r="AE1076" s="12">
        <f>IF(AD1076&gt;0,IF(AD1076&lt;=eco,alpha*fck*(1-(1-AD1076/eco)^n),alpha*fck),0)</f>
      </c>
      <c r="AF1076" s="30">
        <f>PM_Angle!$J$18+PM_Angle!$K$18*$C1076+PM_Angle!$L$18*$B1076</f>
      </c>
      <c r="AG1076" s="12">
        <f>IF(AF1076&gt;0,IF(AF1076&lt;=eco,alpha*fck*(1-(1-AF1076/eco)^n),alpha*fck),0)</f>
      </c>
      <c r="AH1076" s="30">
        <f>PM_Angle!$J$19+PM_Angle!$K$19*$C1076+PM_Angle!$L$19*$B1076</f>
      </c>
      <c r="AI1076" s="12">
        <f>IF(AH1076&gt;0,IF(AH1076&lt;=eco,alpha*fck*(1-(1-AH1076/eco)^n),alpha*fck),0)</f>
      </c>
      <c r="AJ1076" s="30">
        <f>PM_Angle!$J$20+PM_Angle!$K$20*$C1076+PM_Angle!$L$20*$B1076</f>
      </c>
      <c r="AK1076" s="12">
        <f>IF(AJ1076&gt;0,IF(AJ1076&lt;=eco,alpha*fck*(1-(1-AJ1076/eco)^n),alpha*fck),0)</f>
      </c>
      <c r="AL1076" s="30">
        <f>PM_Angle!$J$21+PM_Angle!$K$21*$C1076+PM_Angle!$L$21*$B1076</f>
      </c>
      <c r="AM1076" s="12">
        <f>IF(AL1076&gt;0,IF(AL1076&lt;=eco,alpha*fck*(1-(1-AL1076/eco)^n),alpha*fck),0)</f>
      </c>
      <c r="AN1076" s="30">
        <f>PM_Angle!$J$22+PM_Angle!$K$22*$C1076+PM_Angle!$L$22*$B1076</f>
      </c>
      <c r="AO1076" s="12">
        <f>IF(AN1076&gt;0,IF(AN1076&lt;=eco,alpha*fck*(1-(1-AN1076/eco)^n),alpha*fck),0)</f>
      </c>
      <c r="AP1076" s="30">
        <f>PM_Angle!$J$23+PM_Angle!$K$23*$C1076+PM_Angle!$L$23*$B1076</f>
      </c>
      <c r="AQ1076" s="12">
        <f>IF(AP1076&gt;0,IF(AP1076&lt;=eco,alpha*fck*(1-(1-AP1076/eco)^n),alpha*fck),0)</f>
      </c>
      <c r="AR1076" s="30">
        <f>PM_Angle!$J$24+PM_Angle!$K$24*$C1076+PM_Angle!$L$24*$B1076</f>
      </c>
      <c r="AS1076" s="12">
        <f>IF(AR1076&gt;0,IF(AR1076&lt;=eco,alpha*fck*(1-(1-AR1076/eco)^n),alpha*fck),0)</f>
      </c>
      <c r="AT1076" s="30">
        <f>PM_Angle!$J$25+PM_Angle!$K$25*$C1076+PM_Angle!$L$25*$B1076</f>
      </c>
      <c r="AU1076" s="12">
        <f>IF(AT1076&gt;0,IF(AT1076&lt;=eco,alpha*fck*(1-(1-AT1076/eco)^n),alpha*fck),0)</f>
      </c>
    </row>
    <row r="1077" spans="1:47" x14ac:dyDescent="0.25">
      <c r="A1077">
        <f>Mesh!A1074</f>
      </c>
      <c r="B1077" s="12">
        <f>Mesh!B1074</f>
      </c>
      <c r="C1077" s="12">
        <f>Mesh!C1074</f>
      </c>
      <c r="D1077" s="12">
        <f>Mesh!D1074</f>
      </c>
      <c r="E1077" s="30">
        <f>INDEX(St_e0,Det+1)+INDEX(St_kx,Det+1)*C1077+INDEX(St_ky,Det+1)*B1077</f>
      </c>
      <c r="F1077" s="12">
        <f>IF(E1077&gt;0,IF(E1077&lt;=eco,alpha*fck*(1-(1-E1077/eco)^n),alpha*fck),0)</f>
      </c>
      <c r="G1077" s="11">
        <f>F1077*D1077</f>
      </c>
      <c r="H1077" s="11">
        <f>G1077*C1077</f>
      </c>
      <c r="I1077" s="11">
        <f>G1077*B1077</f>
      </c>
      <c r="J1077" s="30">
        <f>PM_Angle!$J$7+PM_Angle!$K$7*$C1077+PM_Angle!$L$7*$B1077</f>
      </c>
      <c r="K1077" s="12">
        <f>IF(J1077&gt;0,IF(J1077&lt;=eco,alpha*fck*(1-(1-J1077/eco)^n),alpha*fck),0)</f>
      </c>
      <c r="L1077" s="30">
        <f>PM_Angle!$J$8+PM_Angle!$K$8*$C1077+PM_Angle!$L$8*$B1077</f>
      </c>
      <c r="M1077" s="12">
        <f>IF(L1077&gt;0,IF(L1077&lt;=eco,alpha*fck*(1-(1-L1077/eco)^n),alpha*fck),0)</f>
      </c>
      <c r="N1077" s="30">
        <f>PM_Angle!$J$9+PM_Angle!$K$9*$C1077+PM_Angle!$L$9*$B1077</f>
      </c>
      <c r="O1077" s="12">
        <f>IF(N1077&gt;0,IF(N1077&lt;=eco,alpha*fck*(1-(1-N1077/eco)^n),alpha*fck),0)</f>
      </c>
      <c r="P1077" s="30">
        <f>PM_Angle!$J$10+PM_Angle!$K$10*$C1077+PM_Angle!$L$10*$B1077</f>
      </c>
      <c r="Q1077" s="12">
        <f>IF(P1077&gt;0,IF(P1077&lt;=eco,alpha*fck*(1-(1-P1077/eco)^n),alpha*fck),0)</f>
      </c>
      <c r="R1077" s="30">
        <f>PM_Angle!$J$11+PM_Angle!$K$11*$C1077+PM_Angle!$L$11*$B1077</f>
      </c>
      <c r="S1077" s="12">
        <f>IF(R1077&gt;0,IF(R1077&lt;=eco,alpha*fck*(1-(1-R1077/eco)^n),alpha*fck),0)</f>
      </c>
      <c r="T1077" s="30">
        <f>PM_Angle!$J$12+PM_Angle!$K$12*$C1077+PM_Angle!$L$12*$B1077</f>
      </c>
      <c r="U1077" s="12">
        <f>IF(T1077&gt;0,IF(T1077&lt;=eco,alpha*fck*(1-(1-T1077/eco)^n),alpha*fck),0)</f>
      </c>
      <c r="V1077" s="30">
        <f>PM_Angle!$J$13+PM_Angle!$K$13*$C1077+PM_Angle!$L$13*$B1077</f>
      </c>
      <c r="W1077" s="12">
        <f>IF(V1077&gt;0,IF(V1077&lt;=eco,alpha*fck*(1-(1-V1077/eco)^n),alpha*fck),0)</f>
      </c>
      <c r="X1077" s="30">
        <f>PM_Angle!$J$14+PM_Angle!$K$14*$C1077+PM_Angle!$L$14*$B1077</f>
      </c>
      <c r="Y1077" s="12">
        <f>IF(X1077&gt;0,IF(X1077&lt;=eco,alpha*fck*(1-(1-X1077/eco)^n),alpha*fck),0)</f>
      </c>
      <c r="Z1077" s="30">
        <f>PM_Angle!$J$15+PM_Angle!$K$15*$C1077+PM_Angle!$L$15*$B1077</f>
      </c>
      <c r="AA1077" s="12">
        <f>IF(Z1077&gt;0,IF(Z1077&lt;=eco,alpha*fck*(1-(1-Z1077/eco)^n),alpha*fck),0)</f>
      </c>
      <c r="AB1077" s="30">
        <f>PM_Angle!$J$16+PM_Angle!$K$16*$C1077+PM_Angle!$L$16*$B1077</f>
      </c>
      <c r="AC1077" s="12">
        <f>IF(AB1077&gt;0,IF(AB1077&lt;=eco,alpha*fck*(1-(1-AB1077/eco)^n),alpha*fck),0)</f>
      </c>
      <c r="AD1077" s="30">
        <f>PM_Angle!$J$17+PM_Angle!$K$17*$C1077+PM_Angle!$L$17*$B1077</f>
      </c>
      <c r="AE1077" s="12">
        <f>IF(AD1077&gt;0,IF(AD1077&lt;=eco,alpha*fck*(1-(1-AD1077/eco)^n),alpha*fck),0)</f>
      </c>
      <c r="AF1077" s="30">
        <f>PM_Angle!$J$18+PM_Angle!$K$18*$C1077+PM_Angle!$L$18*$B1077</f>
      </c>
      <c r="AG1077" s="12">
        <f>IF(AF1077&gt;0,IF(AF1077&lt;=eco,alpha*fck*(1-(1-AF1077/eco)^n),alpha*fck),0)</f>
      </c>
      <c r="AH1077" s="30">
        <f>PM_Angle!$J$19+PM_Angle!$K$19*$C1077+PM_Angle!$L$19*$B1077</f>
      </c>
      <c r="AI1077" s="12">
        <f>IF(AH1077&gt;0,IF(AH1077&lt;=eco,alpha*fck*(1-(1-AH1077/eco)^n),alpha*fck),0)</f>
      </c>
      <c r="AJ1077" s="30">
        <f>PM_Angle!$J$20+PM_Angle!$K$20*$C1077+PM_Angle!$L$20*$B1077</f>
      </c>
      <c r="AK1077" s="12">
        <f>IF(AJ1077&gt;0,IF(AJ1077&lt;=eco,alpha*fck*(1-(1-AJ1077/eco)^n),alpha*fck),0)</f>
      </c>
      <c r="AL1077" s="30">
        <f>PM_Angle!$J$21+PM_Angle!$K$21*$C1077+PM_Angle!$L$21*$B1077</f>
      </c>
      <c r="AM1077" s="12">
        <f>IF(AL1077&gt;0,IF(AL1077&lt;=eco,alpha*fck*(1-(1-AL1077/eco)^n),alpha*fck),0)</f>
      </c>
      <c r="AN1077" s="30">
        <f>PM_Angle!$J$22+PM_Angle!$K$22*$C1077+PM_Angle!$L$22*$B1077</f>
      </c>
      <c r="AO1077" s="12">
        <f>IF(AN1077&gt;0,IF(AN1077&lt;=eco,alpha*fck*(1-(1-AN1077/eco)^n),alpha*fck),0)</f>
      </c>
      <c r="AP1077" s="30">
        <f>PM_Angle!$J$23+PM_Angle!$K$23*$C1077+PM_Angle!$L$23*$B1077</f>
      </c>
      <c r="AQ1077" s="12">
        <f>IF(AP1077&gt;0,IF(AP1077&lt;=eco,alpha*fck*(1-(1-AP1077/eco)^n),alpha*fck),0)</f>
      </c>
      <c r="AR1077" s="30">
        <f>PM_Angle!$J$24+PM_Angle!$K$24*$C1077+PM_Angle!$L$24*$B1077</f>
      </c>
      <c r="AS1077" s="12">
        <f>IF(AR1077&gt;0,IF(AR1077&lt;=eco,alpha*fck*(1-(1-AR1077/eco)^n),alpha*fck),0)</f>
      </c>
      <c r="AT1077" s="30">
        <f>PM_Angle!$J$25+PM_Angle!$K$25*$C1077+PM_Angle!$L$25*$B1077</f>
      </c>
      <c r="AU1077" s="12">
        <f>IF(AT1077&gt;0,IF(AT1077&lt;=eco,alpha*fck*(1-(1-AT1077/eco)^n),alpha*fck),0)</f>
      </c>
    </row>
    <row r="1078" spans="1:47" x14ac:dyDescent="0.25">
      <c r="A1078">
        <f>Mesh!A1075</f>
      </c>
      <c r="B1078" s="12">
        <f>Mesh!B1075</f>
      </c>
      <c r="C1078" s="12">
        <f>Mesh!C1075</f>
      </c>
      <c r="D1078" s="12">
        <f>Mesh!D1075</f>
      </c>
      <c r="E1078" s="30">
        <f>INDEX(St_e0,Det+1)+INDEX(St_kx,Det+1)*C1078+INDEX(St_ky,Det+1)*B1078</f>
      </c>
      <c r="F1078" s="12">
        <f>IF(E1078&gt;0,IF(E1078&lt;=eco,alpha*fck*(1-(1-E1078/eco)^n),alpha*fck),0)</f>
      </c>
      <c r="G1078" s="11">
        <f>F1078*D1078</f>
      </c>
      <c r="H1078" s="11">
        <f>G1078*C1078</f>
      </c>
      <c r="I1078" s="11">
        <f>G1078*B1078</f>
      </c>
      <c r="J1078" s="30">
        <f>PM_Angle!$J$7+PM_Angle!$K$7*$C1078+PM_Angle!$L$7*$B1078</f>
      </c>
      <c r="K1078" s="12">
        <f>IF(J1078&gt;0,IF(J1078&lt;=eco,alpha*fck*(1-(1-J1078/eco)^n),alpha*fck),0)</f>
      </c>
      <c r="L1078" s="30">
        <f>PM_Angle!$J$8+PM_Angle!$K$8*$C1078+PM_Angle!$L$8*$B1078</f>
      </c>
      <c r="M1078" s="12">
        <f>IF(L1078&gt;0,IF(L1078&lt;=eco,alpha*fck*(1-(1-L1078/eco)^n),alpha*fck),0)</f>
      </c>
      <c r="N1078" s="30">
        <f>PM_Angle!$J$9+PM_Angle!$K$9*$C1078+PM_Angle!$L$9*$B1078</f>
      </c>
      <c r="O1078" s="12">
        <f>IF(N1078&gt;0,IF(N1078&lt;=eco,alpha*fck*(1-(1-N1078/eco)^n),alpha*fck),0)</f>
      </c>
      <c r="P1078" s="30">
        <f>PM_Angle!$J$10+PM_Angle!$K$10*$C1078+PM_Angle!$L$10*$B1078</f>
      </c>
      <c r="Q1078" s="12">
        <f>IF(P1078&gt;0,IF(P1078&lt;=eco,alpha*fck*(1-(1-P1078/eco)^n),alpha*fck),0)</f>
      </c>
      <c r="R1078" s="30">
        <f>PM_Angle!$J$11+PM_Angle!$K$11*$C1078+PM_Angle!$L$11*$B1078</f>
      </c>
      <c r="S1078" s="12">
        <f>IF(R1078&gt;0,IF(R1078&lt;=eco,alpha*fck*(1-(1-R1078/eco)^n),alpha*fck),0)</f>
      </c>
      <c r="T1078" s="30">
        <f>PM_Angle!$J$12+PM_Angle!$K$12*$C1078+PM_Angle!$L$12*$B1078</f>
      </c>
      <c r="U1078" s="12">
        <f>IF(T1078&gt;0,IF(T1078&lt;=eco,alpha*fck*(1-(1-T1078/eco)^n),alpha*fck),0)</f>
      </c>
      <c r="V1078" s="30">
        <f>PM_Angle!$J$13+PM_Angle!$K$13*$C1078+PM_Angle!$L$13*$B1078</f>
      </c>
      <c r="W1078" s="12">
        <f>IF(V1078&gt;0,IF(V1078&lt;=eco,alpha*fck*(1-(1-V1078/eco)^n),alpha*fck),0)</f>
      </c>
      <c r="X1078" s="30">
        <f>PM_Angle!$J$14+PM_Angle!$K$14*$C1078+PM_Angle!$L$14*$B1078</f>
      </c>
      <c r="Y1078" s="12">
        <f>IF(X1078&gt;0,IF(X1078&lt;=eco,alpha*fck*(1-(1-X1078/eco)^n),alpha*fck),0)</f>
      </c>
      <c r="Z1078" s="30">
        <f>PM_Angle!$J$15+PM_Angle!$K$15*$C1078+PM_Angle!$L$15*$B1078</f>
      </c>
      <c r="AA1078" s="12">
        <f>IF(Z1078&gt;0,IF(Z1078&lt;=eco,alpha*fck*(1-(1-Z1078/eco)^n),alpha*fck),0)</f>
      </c>
      <c r="AB1078" s="30">
        <f>PM_Angle!$J$16+PM_Angle!$K$16*$C1078+PM_Angle!$L$16*$B1078</f>
      </c>
      <c r="AC1078" s="12">
        <f>IF(AB1078&gt;0,IF(AB1078&lt;=eco,alpha*fck*(1-(1-AB1078/eco)^n),alpha*fck),0)</f>
      </c>
      <c r="AD1078" s="30">
        <f>PM_Angle!$J$17+PM_Angle!$K$17*$C1078+PM_Angle!$L$17*$B1078</f>
      </c>
      <c r="AE1078" s="12">
        <f>IF(AD1078&gt;0,IF(AD1078&lt;=eco,alpha*fck*(1-(1-AD1078/eco)^n),alpha*fck),0)</f>
      </c>
      <c r="AF1078" s="30">
        <f>PM_Angle!$J$18+PM_Angle!$K$18*$C1078+PM_Angle!$L$18*$B1078</f>
      </c>
      <c r="AG1078" s="12">
        <f>IF(AF1078&gt;0,IF(AF1078&lt;=eco,alpha*fck*(1-(1-AF1078/eco)^n),alpha*fck),0)</f>
      </c>
      <c r="AH1078" s="30">
        <f>PM_Angle!$J$19+PM_Angle!$K$19*$C1078+PM_Angle!$L$19*$B1078</f>
      </c>
      <c r="AI1078" s="12">
        <f>IF(AH1078&gt;0,IF(AH1078&lt;=eco,alpha*fck*(1-(1-AH1078/eco)^n),alpha*fck),0)</f>
      </c>
      <c r="AJ1078" s="30">
        <f>PM_Angle!$J$20+PM_Angle!$K$20*$C1078+PM_Angle!$L$20*$B1078</f>
      </c>
      <c r="AK1078" s="12">
        <f>IF(AJ1078&gt;0,IF(AJ1078&lt;=eco,alpha*fck*(1-(1-AJ1078/eco)^n),alpha*fck),0)</f>
      </c>
      <c r="AL1078" s="30">
        <f>PM_Angle!$J$21+PM_Angle!$K$21*$C1078+PM_Angle!$L$21*$B1078</f>
      </c>
      <c r="AM1078" s="12">
        <f>IF(AL1078&gt;0,IF(AL1078&lt;=eco,alpha*fck*(1-(1-AL1078/eco)^n),alpha*fck),0)</f>
      </c>
      <c r="AN1078" s="30">
        <f>PM_Angle!$J$22+PM_Angle!$K$22*$C1078+PM_Angle!$L$22*$B1078</f>
      </c>
      <c r="AO1078" s="12">
        <f>IF(AN1078&gt;0,IF(AN1078&lt;=eco,alpha*fck*(1-(1-AN1078/eco)^n),alpha*fck),0)</f>
      </c>
      <c r="AP1078" s="30">
        <f>PM_Angle!$J$23+PM_Angle!$K$23*$C1078+PM_Angle!$L$23*$B1078</f>
      </c>
      <c r="AQ1078" s="12">
        <f>IF(AP1078&gt;0,IF(AP1078&lt;=eco,alpha*fck*(1-(1-AP1078/eco)^n),alpha*fck),0)</f>
      </c>
      <c r="AR1078" s="30">
        <f>PM_Angle!$J$24+PM_Angle!$K$24*$C1078+PM_Angle!$L$24*$B1078</f>
      </c>
      <c r="AS1078" s="12">
        <f>IF(AR1078&gt;0,IF(AR1078&lt;=eco,alpha*fck*(1-(1-AR1078/eco)^n),alpha*fck),0)</f>
      </c>
      <c r="AT1078" s="30">
        <f>PM_Angle!$J$25+PM_Angle!$K$25*$C1078+PM_Angle!$L$25*$B1078</f>
      </c>
      <c r="AU1078" s="12">
        <f>IF(AT1078&gt;0,IF(AT1078&lt;=eco,alpha*fck*(1-(1-AT1078/eco)^n),alpha*fck),0)</f>
      </c>
    </row>
    <row r="1079" spans="1:47" x14ac:dyDescent="0.25">
      <c r="A1079">
        <f>Mesh!A1076</f>
      </c>
      <c r="B1079" s="12">
        <f>Mesh!B1076</f>
      </c>
      <c r="C1079" s="12">
        <f>Mesh!C1076</f>
      </c>
      <c r="D1079" s="12">
        <f>Mesh!D1076</f>
      </c>
      <c r="E1079" s="30">
        <f>INDEX(St_e0,Det+1)+INDEX(St_kx,Det+1)*C1079+INDEX(St_ky,Det+1)*B1079</f>
      </c>
      <c r="F1079" s="12">
        <f>IF(E1079&gt;0,IF(E1079&lt;=eco,alpha*fck*(1-(1-E1079/eco)^n),alpha*fck),0)</f>
      </c>
      <c r="G1079" s="11">
        <f>F1079*D1079</f>
      </c>
      <c r="H1079" s="11">
        <f>G1079*C1079</f>
      </c>
      <c r="I1079" s="11">
        <f>G1079*B1079</f>
      </c>
      <c r="J1079" s="30">
        <f>PM_Angle!$J$7+PM_Angle!$K$7*$C1079+PM_Angle!$L$7*$B1079</f>
      </c>
      <c r="K1079" s="12">
        <f>IF(J1079&gt;0,IF(J1079&lt;=eco,alpha*fck*(1-(1-J1079/eco)^n),alpha*fck),0)</f>
      </c>
      <c r="L1079" s="30">
        <f>PM_Angle!$J$8+PM_Angle!$K$8*$C1079+PM_Angle!$L$8*$B1079</f>
      </c>
      <c r="M1079" s="12">
        <f>IF(L1079&gt;0,IF(L1079&lt;=eco,alpha*fck*(1-(1-L1079/eco)^n),alpha*fck),0)</f>
      </c>
      <c r="N1079" s="30">
        <f>PM_Angle!$J$9+PM_Angle!$K$9*$C1079+PM_Angle!$L$9*$B1079</f>
      </c>
      <c r="O1079" s="12">
        <f>IF(N1079&gt;0,IF(N1079&lt;=eco,alpha*fck*(1-(1-N1079/eco)^n),alpha*fck),0)</f>
      </c>
      <c r="P1079" s="30">
        <f>PM_Angle!$J$10+PM_Angle!$K$10*$C1079+PM_Angle!$L$10*$B1079</f>
      </c>
      <c r="Q1079" s="12">
        <f>IF(P1079&gt;0,IF(P1079&lt;=eco,alpha*fck*(1-(1-P1079/eco)^n),alpha*fck),0)</f>
      </c>
      <c r="R1079" s="30">
        <f>PM_Angle!$J$11+PM_Angle!$K$11*$C1079+PM_Angle!$L$11*$B1079</f>
      </c>
      <c r="S1079" s="12">
        <f>IF(R1079&gt;0,IF(R1079&lt;=eco,alpha*fck*(1-(1-R1079/eco)^n),alpha*fck),0)</f>
      </c>
      <c r="T1079" s="30">
        <f>PM_Angle!$J$12+PM_Angle!$K$12*$C1079+PM_Angle!$L$12*$B1079</f>
      </c>
      <c r="U1079" s="12">
        <f>IF(T1079&gt;0,IF(T1079&lt;=eco,alpha*fck*(1-(1-T1079/eco)^n),alpha*fck),0)</f>
      </c>
      <c r="V1079" s="30">
        <f>PM_Angle!$J$13+PM_Angle!$K$13*$C1079+PM_Angle!$L$13*$B1079</f>
      </c>
      <c r="W1079" s="12">
        <f>IF(V1079&gt;0,IF(V1079&lt;=eco,alpha*fck*(1-(1-V1079/eco)^n),alpha*fck),0)</f>
      </c>
      <c r="X1079" s="30">
        <f>PM_Angle!$J$14+PM_Angle!$K$14*$C1079+PM_Angle!$L$14*$B1079</f>
      </c>
      <c r="Y1079" s="12">
        <f>IF(X1079&gt;0,IF(X1079&lt;=eco,alpha*fck*(1-(1-X1079/eco)^n),alpha*fck),0)</f>
      </c>
      <c r="Z1079" s="30">
        <f>PM_Angle!$J$15+PM_Angle!$K$15*$C1079+PM_Angle!$L$15*$B1079</f>
      </c>
      <c r="AA1079" s="12">
        <f>IF(Z1079&gt;0,IF(Z1079&lt;=eco,alpha*fck*(1-(1-Z1079/eco)^n),alpha*fck),0)</f>
      </c>
      <c r="AB1079" s="30">
        <f>PM_Angle!$J$16+PM_Angle!$K$16*$C1079+PM_Angle!$L$16*$B1079</f>
      </c>
      <c r="AC1079" s="12">
        <f>IF(AB1079&gt;0,IF(AB1079&lt;=eco,alpha*fck*(1-(1-AB1079/eco)^n),alpha*fck),0)</f>
      </c>
      <c r="AD1079" s="30">
        <f>PM_Angle!$J$17+PM_Angle!$K$17*$C1079+PM_Angle!$L$17*$B1079</f>
      </c>
      <c r="AE1079" s="12">
        <f>IF(AD1079&gt;0,IF(AD1079&lt;=eco,alpha*fck*(1-(1-AD1079/eco)^n),alpha*fck),0)</f>
      </c>
      <c r="AF1079" s="30">
        <f>PM_Angle!$J$18+PM_Angle!$K$18*$C1079+PM_Angle!$L$18*$B1079</f>
      </c>
      <c r="AG1079" s="12">
        <f>IF(AF1079&gt;0,IF(AF1079&lt;=eco,alpha*fck*(1-(1-AF1079/eco)^n),alpha*fck),0)</f>
      </c>
      <c r="AH1079" s="30">
        <f>PM_Angle!$J$19+PM_Angle!$K$19*$C1079+PM_Angle!$L$19*$B1079</f>
      </c>
      <c r="AI1079" s="12">
        <f>IF(AH1079&gt;0,IF(AH1079&lt;=eco,alpha*fck*(1-(1-AH1079/eco)^n),alpha*fck),0)</f>
      </c>
      <c r="AJ1079" s="30">
        <f>PM_Angle!$J$20+PM_Angle!$K$20*$C1079+PM_Angle!$L$20*$B1079</f>
      </c>
      <c r="AK1079" s="12">
        <f>IF(AJ1079&gt;0,IF(AJ1079&lt;=eco,alpha*fck*(1-(1-AJ1079/eco)^n),alpha*fck),0)</f>
      </c>
      <c r="AL1079" s="30">
        <f>PM_Angle!$J$21+PM_Angle!$K$21*$C1079+PM_Angle!$L$21*$B1079</f>
      </c>
      <c r="AM1079" s="12">
        <f>IF(AL1079&gt;0,IF(AL1079&lt;=eco,alpha*fck*(1-(1-AL1079/eco)^n),alpha*fck),0)</f>
      </c>
      <c r="AN1079" s="30">
        <f>PM_Angle!$J$22+PM_Angle!$K$22*$C1079+PM_Angle!$L$22*$B1079</f>
      </c>
      <c r="AO1079" s="12">
        <f>IF(AN1079&gt;0,IF(AN1079&lt;=eco,alpha*fck*(1-(1-AN1079/eco)^n),alpha*fck),0)</f>
      </c>
      <c r="AP1079" s="30">
        <f>PM_Angle!$J$23+PM_Angle!$K$23*$C1079+PM_Angle!$L$23*$B1079</f>
      </c>
      <c r="AQ1079" s="12">
        <f>IF(AP1079&gt;0,IF(AP1079&lt;=eco,alpha*fck*(1-(1-AP1079/eco)^n),alpha*fck),0)</f>
      </c>
      <c r="AR1079" s="30">
        <f>PM_Angle!$J$24+PM_Angle!$K$24*$C1079+PM_Angle!$L$24*$B1079</f>
      </c>
      <c r="AS1079" s="12">
        <f>IF(AR1079&gt;0,IF(AR1079&lt;=eco,alpha*fck*(1-(1-AR1079/eco)^n),alpha*fck),0)</f>
      </c>
      <c r="AT1079" s="30">
        <f>PM_Angle!$J$25+PM_Angle!$K$25*$C1079+PM_Angle!$L$25*$B1079</f>
      </c>
      <c r="AU1079" s="12">
        <f>IF(AT1079&gt;0,IF(AT1079&lt;=eco,alpha*fck*(1-(1-AT1079/eco)^n),alpha*fck),0)</f>
      </c>
    </row>
    <row r="1080" spans="1:47" x14ac:dyDescent="0.25">
      <c r="A1080">
        <f>Mesh!A1077</f>
      </c>
      <c r="B1080" s="12">
        <f>Mesh!B1077</f>
      </c>
      <c r="C1080" s="12">
        <f>Mesh!C1077</f>
      </c>
      <c r="D1080" s="12">
        <f>Mesh!D1077</f>
      </c>
      <c r="E1080" s="30">
        <f>INDEX(St_e0,Det+1)+INDEX(St_kx,Det+1)*C1080+INDEX(St_ky,Det+1)*B1080</f>
      </c>
      <c r="F1080" s="12">
        <f>IF(E1080&gt;0,IF(E1080&lt;=eco,alpha*fck*(1-(1-E1080/eco)^n),alpha*fck),0)</f>
      </c>
      <c r="G1080" s="11">
        <f>F1080*D1080</f>
      </c>
      <c r="H1080" s="11">
        <f>G1080*C1080</f>
      </c>
      <c r="I1080" s="11">
        <f>G1080*B1080</f>
      </c>
      <c r="J1080" s="30">
        <f>PM_Angle!$J$7+PM_Angle!$K$7*$C1080+PM_Angle!$L$7*$B1080</f>
      </c>
      <c r="K1080" s="12">
        <f>IF(J1080&gt;0,IF(J1080&lt;=eco,alpha*fck*(1-(1-J1080/eco)^n),alpha*fck),0)</f>
      </c>
      <c r="L1080" s="30">
        <f>PM_Angle!$J$8+PM_Angle!$K$8*$C1080+PM_Angle!$L$8*$B1080</f>
      </c>
      <c r="M1080" s="12">
        <f>IF(L1080&gt;0,IF(L1080&lt;=eco,alpha*fck*(1-(1-L1080/eco)^n),alpha*fck),0)</f>
      </c>
      <c r="N1080" s="30">
        <f>PM_Angle!$J$9+PM_Angle!$K$9*$C1080+PM_Angle!$L$9*$B1080</f>
      </c>
      <c r="O1080" s="12">
        <f>IF(N1080&gt;0,IF(N1080&lt;=eco,alpha*fck*(1-(1-N1080/eco)^n),alpha*fck),0)</f>
      </c>
      <c r="P1080" s="30">
        <f>PM_Angle!$J$10+PM_Angle!$K$10*$C1080+PM_Angle!$L$10*$B1080</f>
      </c>
      <c r="Q1080" s="12">
        <f>IF(P1080&gt;0,IF(P1080&lt;=eco,alpha*fck*(1-(1-P1080/eco)^n),alpha*fck),0)</f>
      </c>
      <c r="R1080" s="30">
        <f>PM_Angle!$J$11+PM_Angle!$K$11*$C1080+PM_Angle!$L$11*$B1080</f>
      </c>
      <c r="S1080" s="12">
        <f>IF(R1080&gt;0,IF(R1080&lt;=eco,alpha*fck*(1-(1-R1080/eco)^n),alpha*fck),0)</f>
      </c>
      <c r="T1080" s="30">
        <f>PM_Angle!$J$12+PM_Angle!$K$12*$C1080+PM_Angle!$L$12*$B1080</f>
      </c>
      <c r="U1080" s="12">
        <f>IF(T1080&gt;0,IF(T1080&lt;=eco,alpha*fck*(1-(1-T1080/eco)^n),alpha*fck),0)</f>
      </c>
      <c r="V1080" s="30">
        <f>PM_Angle!$J$13+PM_Angle!$K$13*$C1080+PM_Angle!$L$13*$B1080</f>
      </c>
      <c r="W1080" s="12">
        <f>IF(V1080&gt;0,IF(V1080&lt;=eco,alpha*fck*(1-(1-V1080/eco)^n),alpha*fck),0)</f>
      </c>
      <c r="X1080" s="30">
        <f>PM_Angle!$J$14+PM_Angle!$K$14*$C1080+PM_Angle!$L$14*$B1080</f>
      </c>
      <c r="Y1080" s="12">
        <f>IF(X1080&gt;0,IF(X1080&lt;=eco,alpha*fck*(1-(1-X1080/eco)^n),alpha*fck),0)</f>
      </c>
      <c r="Z1080" s="30">
        <f>PM_Angle!$J$15+PM_Angle!$K$15*$C1080+PM_Angle!$L$15*$B1080</f>
      </c>
      <c r="AA1080" s="12">
        <f>IF(Z1080&gt;0,IF(Z1080&lt;=eco,alpha*fck*(1-(1-Z1080/eco)^n),alpha*fck),0)</f>
      </c>
      <c r="AB1080" s="30">
        <f>PM_Angle!$J$16+PM_Angle!$K$16*$C1080+PM_Angle!$L$16*$B1080</f>
      </c>
      <c r="AC1080" s="12">
        <f>IF(AB1080&gt;0,IF(AB1080&lt;=eco,alpha*fck*(1-(1-AB1080/eco)^n),alpha*fck),0)</f>
      </c>
      <c r="AD1080" s="30">
        <f>PM_Angle!$J$17+PM_Angle!$K$17*$C1080+PM_Angle!$L$17*$B1080</f>
      </c>
      <c r="AE1080" s="12">
        <f>IF(AD1080&gt;0,IF(AD1080&lt;=eco,alpha*fck*(1-(1-AD1080/eco)^n),alpha*fck),0)</f>
      </c>
      <c r="AF1080" s="30">
        <f>PM_Angle!$J$18+PM_Angle!$K$18*$C1080+PM_Angle!$L$18*$B1080</f>
      </c>
      <c r="AG1080" s="12">
        <f>IF(AF1080&gt;0,IF(AF1080&lt;=eco,alpha*fck*(1-(1-AF1080/eco)^n),alpha*fck),0)</f>
      </c>
      <c r="AH1080" s="30">
        <f>PM_Angle!$J$19+PM_Angle!$K$19*$C1080+PM_Angle!$L$19*$B1080</f>
      </c>
      <c r="AI1080" s="12">
        <f>IF(AH1080&gt;0,IF(AH1080&lt;=eco,alpha*fck*(1-(1-AH1080/eco)^n),alpha*fck),0)</f>
      </c>
      <c r="AJ1080" s="30">
        <f>PM_Angle!$J$20+PM_Angle!$K$20*$C1080+PM_Angle!$L$20*$B1080</f>
      </c>
      <c r="AK1080" s="12">
        <f>IF(AJ1080&gt;0,IF(AJ1080&lt;=eco,alpha*fck*(1-(1-AJ1080/eco)^n),alpha*fck),0)</f>
      </c>
      <c r="AL1080" s="30">
        <f>PM_Angle!$J$21+PM_Angle!$K$21*$C1080+PM_Angle!$L$21*$B1080</f>
      </c>
      <c r="AM1080" s="12">
        <f>IF(AL1080&gt;0,IF(AL1080&lt;=eco,alpha*fck*(1-(1-AL1080/eco)^n),alpha*fck),0)</f>
      </c>
      <c r="AN1080" s="30">
        <f>PM_Angle!$J$22+PM_Angle!$K$22*$C1080+PM_Angle!$L$22*$B1080</f>
      </c>
      <c r="AO1080" s="12">
        <f>IF(AN1080&gt;0,IF(AN1080&lt;=eco,alpha*fck*(1-(1-AN1080/eco)^n),alpha*fck),0)</f>
      </c>
      <c r="AP1080" s="30">
        <f>PM_Angle!$J$23+PM_Angle!$K$23*$C1080+PM_Angle!$L$23*$B1080</f>
      </c>
      <c r="AQ1080" s="12">
        <f>IF(AP1080&gt;0,IF(AP1080&lt;=eco,alpha*fck*(1-(1-AP1080/eco)^n),alpha*fck),0)</f>
      </c>
      <c r="AR1080" s="30">
        <f>PM_Angle!$J$24+PM_Angle!$K$24*$C1080+PM_Angle!$L$24*$B1080</f>
      </c>
      <c r="AS1080" s="12">
        <f>IF(AR1080&gt;0,IF(AR1080&lt;=eco,alpha*fck*(1-(1-AR1080/eco)^n),alpha*fck),0)</f>
      </c>
      <c r="AT1080" s="30">
        <f>PM_Angle!$J$25+PM_Angle!$K$25*$C1080+PM_Angle!$L$25*$B1080</f>
      </c>
      <c r="AU1080" s="12">
        <f>IF(AT1080&gt;0,IF(AT1080&lt;=eco,alpha*fck*(1-(1-AT1080/eco)^n),alpha*fck),0)</f>
      </c>
    </row>
    <row r="1081" spans="1:47" x14ac:dyDescent="0.25">
      <c r="A1081">
        <f>Mesh!A1078</f>
      </c>
      <c r="B1081" s="12">
        <f>Mesh!B1078</f>
      </c>
      <c r="C1081" s="12">
        <f>Mesh!C1078</f>
      </c>
      <c r="D1081" s="12">
        <f>Mesh!D1078</f>
      </c>
      <c r="E1081" s="30">
        <f>INDEX(St_e0,Det+1)+INDEX(St_kx,Det+1)*C1081+INDEX(St_ky,Det+1)*B1081</f>
      </c>
      <c r="F1081" s="12">
        <f>IF(E1081&gt;0,IF(E1081&lt;=eco,alpha*fck*(1-(1-E1081/eco)^n),alpha*fck),0)</f>
      </c>
      <c r="G1081" s="11">
        <f>F1081*D1081</f>
      </c>
      <c r="H1081" s="11">
        <f>G1081*C1081</f>
      </c>
      <c r="I1081" s="11">
        <f>G1081*B1081</f>
      </c>
      <c r="J1081" s="30">
        <f>PM_Angle!$J$7+PM_Angle!$K$7*$C1081+PM_Angle!$L$7*$B1081</f>
      </c>
      <c r="K1081" s="12">
        <f>IF(J1081&gt;0,IF(J1081&lt;=eco,alpha*fck*(1-(1-J1081/eco)^n),alpha*fck),0)</f>
      </c>
      <c r="L1081" s="30">
        <f>PM_Angle!$J$8+PM_Angle!$K$8*$C1081+PM_Angle!$L$8*$B1081</f>
      </c>
      <c r="M1081" s="12">
        <f>IF(L1081&gt;0,IF(L1081&lt;=eco,alpha*fck*(1-(1-L1081/eco)^n),alpha*fck),0)</f>
      </c>
      <c r="N1081" s="30">
        <f>PM_Angle!$J$9+PM_Angle!$K$9*$C1081+PM_Angle!$L$9*$B1081</f>
      </c>
      <c r="O1081" s="12">
        <f>IF(N1081&gt;0,IF(N1081&lt;=eco,alpha*fck*(1-(1-N1081/eco)^n),alpha*fck),0)</f>
      </c>
      <c r="P1081" s="30">
        <f>PM_Angle!$J$10+PM_Angle!$K$10*$C1081+PM_Angle!$L$10*$B1081</f>
      </c>
      <c r="Q1081" s="12">
        <f>IF(P1081&gt;0,IF(P1081&lt;=eco,alpha*fck*(1-(1-P1081/eco)^n),alpha*fck),0)</f>
      </c>
      <c r="R1081" s="30">
        <f>PM_Angle!$J$11+PM_Angle!$K$11*$C1081+PM_Angle!$L$11*$B1081</f>
      </c>
      <c r="S1081" s="12">
        <f>IF(R1081&gt;0,IF(R1081&lt;=eco,alpha*fck*(1-(1-R1081/eco)^n),alpha*fck),0)</f>
      </c>
      <c r="T1081" s="30">
        <f>PM_Angle!$J$12+PM_Angle!$K$12*$C1081+PM_Angle!$L$12*$B1081</f>
      </c>
      <c r="U1081" s="12">
        <f>IF(T1081&gt;0,IF(T1081&lt;=eco,alpha*fck*(1-(1-T1081/eco)^n),alpha*fck),0)</f>
      </c>
      <c r="V1081" s="30">
        <f>PM_Angle!$J$13+PM_Angle!$K$13*$C1081+PM_Angle!$L$13*$B1081</f>
      </c>
      <c r="W1081" s="12">
        <f>IF(V1081&gt;0,IF(V1081&lt;=eco,alpha*fck*(1-(1-V1081/eco)^n),alpha*fck),0)</f>
      </c>
      <c r="X1081" s="30">
        <f>PM_Angle!$J$14+PM_Angle!$K$14*$C1081+PM_Angle!$L$14*$B1081</f>
      </c>
      <c r="Y1081" s="12">
        <f>IF(X1081&gt;0,IF(X1081&lt;=eco,alpha*fck*(1-(1-X1081/eco)^n),alpha*fck),0)</f>
      </c>
      <c r="Z1081" s="30">
        <f>PM_Angle!$J$15+PM_Angle!$K$15*$C1081+PM_Angle!$L$15*$B1081</f>
      </c>
      <c r="AA1081" s="12">
        <f>IF(Z1081&gt;0,IF(Z1081&lt;=eco,alpha*fck*(1-(1-Z1081/eco)^n),alpha*fck),0)</f>
      </c>
      <c r="AB1081" s="30">
        <f>PM_Angle!$J$16+PM_Angle!$K$16*$C1081+PM_Angle!$L$16*$B1081</f>
      </c>
      <c r="AC1081" s="12">
        <f>IF(AB1081&gt;0,IF(AB1081&lt;=eco,alpha*fck*(1-(1-AB1081/eco)^n),alpha*fck),0)</f>
      </c>
      <c r="AD1081" s="30">
        <f>PM_Angle!$J$17+PM_Angle!$K$17*$C1081+PM_Angle!$L$17*$B1081</f>
      </c>
      <c r="AE1081" s="12">
        <f>IF(AD1081&gt;0,IF(AD1081&lt;=eco,alpha*fck*(1-(1-AD1081/eco)^n),alpha*fck),0)</f>
      </c>
      <c r="AF1081" s="30">
        <f>PM_Angle!$J$18+PM_Angle!$K$18*$C1081+PM_Angle!$L$18*$B1081</f>
      </c>
      <c r="AG1081" s="12">
        <f>IF(AF1081&gt;0,IF(AF1081&lt;=eco,alpha*fck*(1-(1-AF1081/eco)^n),alpha*fck),0)</f>
      </c>
      <c r="AH1081" s="30">
        <f>PM_Angle!$J$19+PM_Angle!$K$19*$C1081+PM_Angle!$L$19*$B1081</f>
      </c>
      <c r="AI1081" s="12">
        <f>IF(AH1081&gt;0,IF(AH1081&lt;=eco,alpha*fck*(1-(1-AH1081/eco)^n),alpha*fck),0)</f>
      </c>
      <c r="AJ1081" s="30">
        <f>PM_Angle!$J$20+PM_Angle!$K$20*$C1081+PM_Angle!$L$20*$B1081</f>
      </c>
      <c r="AK1081" s="12">
        <f>IF(AJ1081&gt;0,IF(AJ1081&lt;=eco,alpha*fck*(1-(1-AJ1081/eco)^n),alpha*fck),0)</f>
      </c>
      <c r="AL1081" s="30">
        <f>PM_Angle!$J$21+PM_Angle!$K$21*$C1081+PM_Angle!$L$21*$B1081</f>
      </c>
      <c r="AM1081" s="12">
        <f>IF(AL1081&gt;0,IF(AL1081&lt;=eco,alpha*fck*(1-(1-AL1081/eco)^n),alpha*fck),0)</f>
      </c>
      <c r="AN1081" s="30">
        <f>PM_Angle!$J$22+PM_Angle!$K$22*$C1081+PM_Angle!$L$22*$B1081</f>
      </c>
      <c r="AO1081" s="12">
        <f>IF(AN1081&gt;0,IF(AN1081&lt;=eco,alpha*fck*(1-(1-AN1081/eco)^n),alpha*fck),0)</f>
      </c>
      <c r="AP1081" s="30">
        <f>PM_Angle!$J$23+PM_Angle!$K$23*$C1081+PM_Angle!$L$23*$B1081</f>
      </c>
      <c r="AQ1081" s="12">
        <f>IF(AP1081&gt;0,IF(AP1081&lt;=eco,alpha*fck*(1-(1-AP1081/eco)^n),alpha*fck),0)</f>
      </c>
      <c r="AR1081" s="30">
        <f>PM_Angle!$J$24+PM_Angle!$K$24*$C1081+PM_Angle!$L$24*$B1081</f>
      </c>
      <c r="AS1081" s="12">
        <f>IF(AR1081&gt;0,IF(AR1081&lt;=eco,alpha*fck*(1-(1-AR1081/eco)^n),alpha*fck),0)</f>
      </c>
      <c r="AT1081" s="30">
        <f>PM_Angle!$J$25+PM_Angle!$K$25*$C1081+PM_Angle!$L$25*$B1081</f>
      </c>
      <c r="AU1081" s="12">
        <f>IF(AT1081&gt;0,IF(AT1081&lt;=eco,alpha*fck*(1-(1-AT1081/eco)^n),alpha*fck),0)</f>
      </c>
    </row>
    <row r="1082" spans="1:47" x14ac:dyDescent="0.25">
      <c r="A1082">
        <f>Mesh!A1079</f>
      </c>
      <c r="B1082" s="12">
        <f>Mesh!B1079</f>
      </c>
      <c r="C1082" s="12">
        <f>Mesh!C1079</f>
      </c>
      <c r="D1082" s="12">
        <f>Mesh!D1079</f>
      </c>
      <c r="E1082" s="30">
        <f>INDEX(St_e0,Det+1)+INDEX(St_kx,Det+1)*C1082+INDEX(St_ky,Det+1)*B1082</f>
      </c>
      <c r="F1082" s="12">
        <f>IF(E1082&gt;0,IF(E1082&lt;=eco,alpha*fck*(1-(1-E1082/eco)^n),alpha*fck),0)</f>
      </c>
      <c r="G1082" s="11">
        <f>F1082*D1082</f>
      </c>
      <c r="H1082" s="11">
        <f>G1082*C1082</f>
      </c>
      <c r="I1082" s="11">
        <f>G1082*B1082</f>
      </c>
      <c r="J1082" s="30">
        <f>PM_Angle!$J$7+PM_Angle!$K$7*$C1082+PM_Angle!$L$7*$B1082</f>
      </c>
      <c r="K1082" s="12">
        <f>IF(J1082&gt;0,IF(J1082&lt;=eco,alpha*fck*(1-(1-J1082/eco)^n),alpha*fck),0)</f>
      </c>
      <c r="L1082" s="30">
        <f>PM_Angle!$J$8+PM_Angle!$K$8*$C1082+PM_Angle!$L$8*$B1082</f>
      </c>
      <c r="M1082" s="12">
        <f>IF(L1082&gt;0,IF(L1082&lt;=eco,alpha*fck*(1-(1-L1082/eco)^n),alpha*fck),0)</f>
      </c>
      <c r="N1082" s="30">
        <f>PM_Angle!$J$9+PM_Angle!$K$9*$C1082+PM_Angle!$L$9*$B1082</f>
      </c>
      <c r="O1082" s="12">
        <f>IF(N1082&gt;0,IF(N1082&lt;=eco,alpha*fck*(1-(1-N1082/eco)^n),alpha*fck),0)</f>
      </c>
      <c r="P1082" s="30">
        <f>PM_Angle!$J$10+PM_Angle!$K$10*$C1082+PM_Angle!$L$10*$B1082</f>
      </c>
      <c r="Q1082" s="12">
        <f>IF(P1082&gt;0,IF(P1082&lt;=eco,alpha*fck*(1-(1-P1082/eco)^n),alpha*fck),0)</f>
      </c>
      <c r="R1082" s="30">
        <f>PM_Angle!$J$11+PM_Angle!$K$11*$C1082+PM_Angle!$L$11*$B1082</f>
      </c>
      <c r="S1082" s="12">
        <f>IF(R1082&gt;0,IF(R1082&lt;=eco,alpha*fck*(1-(1-R1082/eco)^n),alpha*fck),0)</f>
      </c>
      <c r="T1082" s="30">
        <f>PM_Angle!$J$12+PM_Angle!$K$12*$C1082+PM_Angle!$L$12*$B1082</f>
      </c>
      <c r="U1082" s="12">
        <f>IF(T1082&gt;0,IF(T1082&lt;=eco,alpha*fck*(1-(1-T1082/eco)^n),alpha*fck),0)</f>
      </c>
      <c r="V1082" s="30">
        <f>PM_Angle!$J$13+PM_Angle!$K$13*$C1082+PM_Angle!$L$13*$B1082</f>
      </c>
      <c r="W1082" s="12">
        <f>IF(V1082&gt;0,IF(V1082&lt;=eco,alpha*fck*(1-(1-V1082/eco)^n),alpha*fck),0)</f>
      </c>
      <c r="X1082" s="30">
        <f>PM_Angle!$J$14+PM_Angle!$K$14*$C1082+PM_Angle!$L$14*$B1082</f>
      </c>
      <c r="Y1082" s="12">
        <f>IF(X1082&gt;0,IF(X1082&lt;=eco,alpha*fck*(1-(1-X1082/eco)^n),alpha*fck),0)</f>
      </c>
      <c r="Z1082" s="30">
        <f>PM_Angle!$J$15+PM_Angle!$K$15*$C1082+PM_Angle!$L$15*$B1082</f>
      </c>
      <c r="AA1082" s="12">
        <f>IF(Z1082&gt;0,IF(Z1082&lt;=eco,alpha*fck*(1-(1-Z1082/eco)^n),alpha*fck),0)</f>
      </c>
      <c r="AB1082" s="30">
        <f>PM_Angle!$J$16+PM_Angle!$K$16*$C1082+PM_Angle!$L$16*$B1082</f>
      </c>
      <c r="AC1082" s="12">
        <f>IF(AB1082&gt;0,IF(AB1082&lt;=eco,alpha*fck*(1-(1-AB1082/eco)^n),alpha*fck),0)</f>
      </c>
      <c r="AD1082" s="30">
        <f>PM_Angle!$J$17+PM_Angle!$K$17*$C1082+PM_Angle!$L$17*$B1082</f>
      </c>
      <c r="AE1082" s="12">
        <f>IF(AD1082&gt;0,IF(AD1082&lt;=eco,alpha*fck*(1-(1-AD1082/eco)^n),alpha*fck),0)</f>
      </c>
      <c r="AF1082" s="30">
        <f>PM_Angle!$J$18+PM_Angle!$K$18*$C1082+PM_Angle!$L$18*$B1082</f>
      </c>
      <c r="AG1082" s="12">
        <f>IF(AF1082&gt;0,IF(AF1082&lt;=eco,alpha*fck*(1-(1-AF1082/eco)^n),alpha*fck),0)</f>
      </c>
      <c r="AH1082" s="30">
        <f>PM_Angle!$J$19+PM_Angle!$K$19*$C1082+PM_Angle!$L$19*$B1082</f>
      </c>
      <c r="AI1082" s="12">
        <f>IF(AH1082&gt;0,IF(AH1082&lt;=eco,alpha*fck*(1-(1-AH1082/eco)^n),alpha*fck),0)</f>
      </c>
      <c r="AJ1082" s="30">
        <f>PM_Angle!$J$20+PM_Angle!$K$20*$C1082+PM_Angle!$L$20*$B1082</f>
      </c>
      <c r="AK1082" s="12">
        <f>IF(AJ1082&gt;0,IF(AJ1082&lt;=eco,alpha*fck*(1-(1-AJ1082/eco)^n),alpha*fck),0)</f>
      </c>
      <c r="AL1082" s="30">
        <f>PM_Angle!$J$21+PM_Angle!$K$21*$C1082+PM_Angle!$L$21*$B1082</f>
      </c>
      <c r="AM1082" s="12">
        <f>IF(AL1082&gt;0,IF(AL1082&lt;=eco,alpha*fck*(1-(1-AL1082/eco)^n),alpha*fck),0)</f>
      </c>
      <c r="AN1082" s="30">
        <f>PM_Angle!$J$22+PM_Angle!$K$22*$C1082+PM_Angle!$L$22*$B1082</f>
      </c>
      <c r="AO1082" s="12">
        <f>IF(AN1082&gt;0,IF(AN1082&lt;=eco,alpha*fck*(1-(1-AN1082/eco)^n),alpha*fck),0)</f>
      </c>
      <c r="AP1082" s="30">
        <f>PM_Angle!$J$23+PM_Angle!$K$23*$C1082+PM_Angle!$L$23*$B1082</f>
      </c>
      <c r="AQ1082" s="12">
        <f>IF(AP1082&gt;0,IF(AP1082&lt;=eco,alpha*fck*(1-(1-AP1082/eco)^n),alpha*fck),0)</f>
      </c>
      <c r="AR1082" s="30">
        <f>PM_Angle!$J$24+PM_Angle!$K$24*$C1082+PM_Angle!$L$24*$B1082</f>
      </c>
      <c r="AS1082" s="12">
        <f>IF(AR1082&gt;0,IF(AR1082&lt;=eco,alpha*fck*(1-(1-AR1082/eco)^n),alpha*fck),0)</f>
      </c>
      <c r="AT1082" s="30">
        <f>PM_Angle!$J$25+PM_Angle!$K$25*$C1082+PM_Angle!$L$25*$B1082</f>
      </c>
      <c r="AU1082" s="12">
        <f>IF(AT1082&gt;0,IF(AT1082&lt;=eco,alpha*fck*(1-(1-AT1082/eco)^n),alpha*fck),0)</f>
      </c>
    </row>
    <row r="1083" spans="1:47" x14ac:dyDescent="0.25">
      <c r="A1083">
        <f>Mesh!A1080</f>
      </c>
      <c r="B1083" s="12">
        <f>Mesh!B1080</f>
      </c>
      <c r="C1083" s="12">
        <f>Mesh!C1080</f>
      </c>
      <c r="D1083" s="12">
        <f>Mesh!D1080</f>
      </c>
      <c r="E1083" s="30">
        <f>INDEX(St_e0,Det+1)+INDEX(St_kx,Det+1)*C1083+INDEX(St_ky,Det+1)*B1083</f>
      </c>
      <c r="F1083" s="12">
        <f>IF(E1083&gt;0,IF(E1083&lt;=eco,alpha*fck*(1-(1-E1083/eco)^n),alpha*fck),0)</f>
      </c>
      <c r="G1083" s="11">
        <f>F1083*D1083</f>
      </c>
      <c r="H1083" s="11">
        <f>G1083*C1083</f>
      </c>
      <c r="I1083" s="11">
        <f>G1083*B1083</f>
      </c>
      <c r="J1083" s="30">
        <f>PM_Angle!$J$7+PM_Angle!$K$7*$C1083+PM_Angle!$L$7*$B1083</f>
      </c>
      <c r="K1083" s="12">
        <f>IF(J1083&gt;0,IF(J1083&lt;=eco,alpha*fck*(1-(1-J1083/eco)^n),alpha*fck),0)</f>
      </c>
      <c r="L1083" s="30">
        <f>PM_Angle!$J$8+PM_Angle!$K$8*$C1083+PM_Angle!$L$8*$B1083</f>
      </c>
      <c r="M1083" s="12">
        <f>IF(L1083&gt;0,IF(L1083&lt;=eco,alpha*fck*(1-(1-L1083/eco)^n),alpha*fck),0)</f>
      </c>
      <c r="N1083" s="30">
        <f>PM_Angle!$J$9+PM_Angle!$K$9*$C1083+PM_Angle!$L$9*$B1083</f>
      </c>
      <c r="O1083" s="12">
        <f>IF(N1083&gt;0,IF(N1083&lt;=eco,alpha*fck*(1-(1-N1083/eco)^n),alpha*fck),0)</f>
      </c>
      <c r="P1083" s="30">
        <f>PM_Angle!$J$10+PM_Angle!$K$10*$C1083+PM_Angle!$L$10*$B1083</f>
      </c>
      <c r="Q1083" s="12">
        <f>IF(P1083&gt;0,IF(P1083&lt;=eco,alpha*fck*(1-(1-P1083/eco)^n),alpha*fck),0)</f>
      </c>
      <c r="R1083" s="30">
        <f>PM_Angle!$J$11+PM_Angle!$K$11*$C1083+PM_Angle!$L$11*$B1083</f>
      </c>
      <c r="S1083" s="12">
        <f>IF(R1083&gt;0,IF(R1083&lt;=eco,alpha*fck*(1-(1-R1083/eco)^n),alpha*fck),0)</f>
      </c>
      <c r="T1083" s="30">
        <f>PM_Angle!$J$12+PM_Angle!$K$12*$C1083+PM_Angle!$L$12*$B1083</f>
      </c>
      <c r="U1083" s="12">
        <f>IF(T1083&gt;0,IF(T1083&lt;=eco,alpha*fck*(1-(1-T1083/eco)^n),alpha*fck),0)</f>
      </c>
      <c r="V1083" s="30">
        <f>PM_Angle!$J$13+PM_Angle!$K$13*$C1083+PM_Angle!$L$13*$B1083</f>
      </c>
      <c r="W1083" s="12">
        <f>IF(V1083&gt;0,IF(V1083&lt;=eco,alpha*fck*(1-(1-V1083/eco)^n),alpha*fck),0)</f>
      </c>
      <c r="X1083" s="30">
        <f>PM_Angle!$J$14+PM_Angle!$K$14*$C1083+PM_Angle!$L$14*$B1083</f>
      </c>
      <c r="Y1083" s="12">
        <f>IF(X1083&gt;0,IF(X1083&lt;=eco,alpha*fck*(1-(1-X1083/eco)^n),alpha*fck),0)</f>
      </c>
      <c r="Z1083" s="30">
        <f>PM_Angle!$J$15+PM_Angle!$K$15*$C1083+PM_Angle!$L$15*$B1083</f>
      </c>
      <c r="AA1083" s="12">
        <f>IF(Z1083&gt;0,IF(Z1083&lt;=eco,alpha*fck*(1-(1-Z1083/eco)^n),alpha*fck),0)</f>
      </c>
      <c r="AB1083" s="30">
        <f>PM_Angle!$J$16+PM_Angle!$K$16*$C1083+PM_Angle!$L$16*$B1083</f>
      </c>
      <c r="AC1083" s="12">
        <f>IF(AB1083&gt;0,IF(AB1083&lt;=eco,alpha*fck*(1-(1-AB1083/eco)^n),alpha*fck),0)</f>
      </c>
      <c r="AD1083" s="30">
        <f>PM_Angle!$J$17+PM_Angle!$K$17*$C1083+PM_Angle!$L$17*$B1083</f>
      </c>
      <c r="AE1083" s="12">
        <f>IF(AD1083&gt;0,IF(AD1083&lt;=eco,alpha*fck*(1-(1-AD1083/eco)^n),alpha*fck),0)</f>
      </c>
      <c r="AF1083" s="30">
        <f>PM_Angle!$J$18+PM_Angle!$K$18*$C1083+PM_Angle!$L$18*$B1083</f>
      </c>
      <c r="AG1083" s="12">
        <f>IF(AF1083&gt;0,IF(AF1083&lt;=eco,alpha*fck*(1-(1-AF1083/eco)^n),alpha*fck),0)</f>
      </c>
      <c r="AH1083" s="30">
        <f>PM_Angle!$J$19+PM_Angle!$K$19*$C1083+PM_Angle!$L$19*$B1083</f>
      </c>
      <c r="AI1083" s="12">
        <f>IF(AH1083&gt;0,IF(AH1083&lt;=eco,alpha*fck*(1-(1-AH1083/eco)^n),alpha*fck),0)</f>
      </c>
      <c r="AJ1083" s="30">
        <f>PM_Angle!$J$20+PM_Angle!$K$20*$C1083+PM_Angle!$L$20*$B1083</f>
      </c>
      <c r="AK1083" s="12">
        <f>IF(AJ1083&gt;0,IF(AJ1083&lt;=eco,alpha*fck*(1-(1-AJ1083/eco)^n),alpha*fck),0)</f>
      </c>
      <c r="AL1083" s="30">
        <f>PM_Angle!$J$21+PM_Angle!$K$21*$C1083+PM_Angle!$L$21*$B1083</f>
      </c>
      <c r="AM1083" s="12">
        <f>IF(AL1083&gt;0,IF(AL1083&lt;=eco,alpha*fck*(1-(1-AL1083/eco)^n),alpha*fck),0)</f>
      </c>
      <c r="AN1083" s="30">
        <f>PM_Angle!$J$22+PM_Angle!$K$22*$C1083+PM_Angle!$L$22*$B1083</f>
      </c>
      <c r="AO1083" s="12">
        <f>IF(AN1083&gt;0,IF(AN1083&lt;=eco,alpha*fck*(1-(1-AN1083/eco)^n),alpha*fck),0)</f>
      </c>
      <c r="AP1083" s="30">
        <f>PM_Angle!$J$23+PM_Angle!$K$23*$C1083+PM_Angle!$L$23*$B1083</f>
      </c>
      <c r="AQ1083" s="12">
        <f>IF(AP1083&gt;0,IF(AP1083&lt;=eco,alpha*fck*(1-(1-AP1083/eco)^n),alpha*fck),0)</f>
      </c>
      <c r="AR1083" s="30">
        <f>PM_Angle!$J$24+PM_Angle!$K$24*$C1083+PM_Angle!$L$24*$B1083</f>
      </c>
      <c r="AS1083" s="12">
        <f>IF(AR1083&gt;0,IF(AR1083&lt;=eco,alpha*fck*(1-(1-AR1083/eco)^n),alpha*fck),0)</f>
      </c>
      <c r="AT1083" s="30">
        <f>PM_Angle!$J$25+PM_Angle!$K$25*$C1083+PM_Angle!$L$25*$B1083</f>
      </c>
      <c r="AU1083" s="12">
        <f>IF(AT1083&gt;0,IF(AT1083&lt;=eco,alpha*fck*(1-(1-AT1083/eco)^n),alpha*fck),0)</f>
      </c>
    </row>
    <row r="1084" spans="1:47" x14ac:dyDescent="0.25">
      <c r="A1084">
        <f>Mesh!A1081</f>
      </c>
      <c r="B1084" s="12">
        <f>Mesh!B1081</f>
      </c>
      <c r="C1084" s="12">
        <f>Mesh!C1081</f>
      </c>
      <c r="D1084" s="12">
        <f>Mesh!D1081</f>
      </c>
      <c r="E1084" s="30">
        <f>INDEX(St_e0,Det+1)+INDEX(St_kx,Det+1)*C1084+INDEX(St_ky,Det+1)*B1084</f>
      </c>
      <c r="F1084" s="12">
        <f>IF(E1084&gt;0,IF(E1084&lt;=eco,alpha*fck*(1-(1-E1084/eco)^n),alpha*fck),0)</f>
      </c>
      <c r="G1084" s="11">
        <f>F1084*D1084</f>
      </c>
      <c r="H1084" s="11">
        <f>G1084*C1084</f>
      </c>
      <c r="I1084" s="11">
        <f>G1084*B1084</f>
      </c>
      <c r="J1084" s="30">
        <f>PM_Angle!$J$7+PM_Angle!$K$7*$C1084+PM_Angle!$L$7*$B1084</f>
      </c>
      <c r="K1084" s="12">
        <f>IF(J1084&gt;0,IF(J1084&lt;=eco,alpha*fck*(1-(1-J1084/eco)^n),alpha*fck),0)</f>
      </c>
      <c r="L1084" s="30">
        <f>PM_Angle!$J$8+PM_Angle!$K$8*$C1084+PM_Angle!$L$8*$B1084</f>
      </c>
      <c r="M1084" s="12">
        <f>IF(L1084&gt;0,IF(L1084&lt;=eco,alpha*fck*(1-(1-L1084/eco)^n),alpha*fck),0)</f>
      </c>
      <c r="N1084" s="30">
        <f>PM_Angle!$J$9+PM_Angle!$K$9*$C1084+PM_Angle!$L$9*$B1084</f>
      </c>
      <c r="O1084" s="12">
        <f>IF(N1084&gt;0,IF(N1084&lt;=eco,alpha*fck*(1-(1-N1084/eco)^n),alpha*fck),0)</f>
      </c>
      <c r="P1084" s="30">
        <f>PM_Angle!$J$10+PM_Angle!$K$10*$C1084+PM_Angle!$L$10*$B1084</f>
      </c>
      <c r="Q1084" s="12">
        <f>IF(P1084&gt;0,IF(P1084&lt;=eco,alpha*fck*(1-(1-P1084/eco)^n),alpha*fck),0)</f>
      </c>
      <c r="R1084" s="30">
        <f>PM_Angle!$J$11+PM_Angle!$K$11*$C1084+PM_Angle!$L$11*$B1084</f>
      </c>
      <c r="S1084" s="12">
        <f>IF(R1084&gt;0,IF(R1084&lt;=eco,alpha*fck*(1-(1-R1084/eco)^n),alpha*fck),0)</f>
      </c>
      <c r="T1084" s="30">
        <f>PM_Angle!$J$12+PM_Angle!$K$12*$C1084+PM_Angle!$L$12*$B1084</f>
      </c>
      <c r="U1084" s="12">
        <f>IF(T1084&gt;0,IF(T1084&lt;=eco,alpha*fck*(1-(1-T1084/eco)^n),alpha*fck),0)</f>
      </c>
      <c r="V1084" s="30">
        <f>PM_Angle!$J$13+PM_Angle!$K$13*$C1084+PM_Angle!$L$13*$B1084</f>
      </c>
      <c r="W1084" s="12">
        <f>IF(V1084&gt;0,IF(V1084&lt;=eco,alpha*fck*(1-(1-V1084/eco)^n),alpha*fck),0)</f>
      </c>
      <c r="X1084" s="30">
        <f>PM_Angle!$J$14+PM_Angle!$K$14*$C1084+PM_Angle!$L$14*$B1084</f>
      </c>
      <c r="Y1084" s="12">
        <f>IF(X1084&gt;0,IF(X1084&lt;=eco,alpha*fck*(1-(1-X1084/eco)^n),alpha*fck),0)</f>
      </c>
      <c r="Z1084" s="30">
        <f>PM_Angle!$J$15+PM_Angle!$K$15*$C1084+PM_Angle!$L$15*$B1084</f>
      </c>
      <c r="AA1084" s="12">
        <f>IF(Z1084&gt;0,IF(Z1084&lt;=eco,alpha*fck*(1-(1-Z1084/eco)^n),alpha*fck),0)</f>
      </c>
      <c r="AB1084" s="30">
        <f>PM_Angle!$J$16+PM_Angle!$K$16*$C1084+PM_Angle!$L$16*$B1084</f>
      </c>
      <c r="AC1084" s="12">
        <f>IF(AB1084&gt;0,IF(AB1084&lt;=eco,alpha*fck*(1-(1-AB1084/eco)^n),alpha*fck),0)</f>
      </c>
      <c r="AD1084" s="30">
        <f>PM_Angle!$J$17+PM_Angle!$K$17*$C1084+PM_Angle!$L$17*$B1084</f>
      </c>
      <c r="AE1084" s="12">
        <f>IF(AD1084&gt;0,IF(AD1084&lt;=eco,alpha*fck*(1-(1-AD1084/eco)^n),alpha*fck),0)</f>
      </c>
      <c r="AF1084" s="30">
        <f>PM_Angle!$J$18+PM_Angle!$K$18*$C1084+PM_Angle!$L$18*$B1084</f>
      </c>
      <c r="AG1084" s="12">
        <f>IF(AF1084&gt;0,IF(AF1084&lt;=eco,alpha*fck*(1-(1-AF1084/eco)^n),alpha*fck),0)</f>
      </c>
      <c r="AH1084" s="30">
        <f>PM_Angle!$J$19+PM_Angle!$K$19*$C1084+PM_Angle!$L$19*$B1084</f>
      </c>
      <c r="AI1084" s="12">
        <f>IF(AH1084&gt;0,IF(AH1084&lt;=eco,alpha*fck*(1-(1-AH1084/eco)^n),alpha*fck),0)</f>
      </c>
      <c r="AJ1084" s="30">
        <f>PM_Angle!$J$20+PM_Angle!$K$20*$C1084+PM_Angle!$L$20*$B1084</f>
      </c>
      <c r="AK1084" s="12">
        <f>IF(AJ1084&gt;0,IF(AJ1084&lt;=eco,alpha*fck*(1-(1-AJ1084/eco)^n),alpha*fck),0)</f>
      </c>
      <c r="AL1084" s="30">
        <f>PM_Angle!$J$21+PM_Angle!$K$21*$C1084+PM_Angle!$L$21*$B1084</f>
      </c>
      <c r="AM1084" s="12">
        <f>IF(AL1084&gt;0,IF(AL1084&lt;=eco,alpha*fck*(1-(1-AL1084/eco)^n),alpha*fck),0)</f>
      </c>
      <c r="AN1084" s="30">
        <f>PM_Angle!$J$22+PM_Angle!$K$22*$C1084+PM_Angle!$L$22*$B1084</f>
      </c>
      <c r="AO1084" s="12">
        <f>IF(AN1084&gt;0,IF(AN1084&lt;=eco,alpha*fck*(1-(1-AN1084/eco)^n),alpha*fck),0)</f>
      </c>
      <c r="AP1084" s="30">
        <f>PM_Angle!$J$23+PM_Angle!$K$23*$C1084+PM_Angle!$L$23*$B1084</f>
      </c>
      <c r="AQ1084" s="12">
        <f>IF(AP1084&gt;0,IF(AP1084&lt;=eco,alpha*fck*(1-(1-AP1084/eco)^n),alpha*fck),0)</f>
      </c>
      <c r="AR1084" s="30">
        <f>PM_Angle!$J$24+PM_Angle!$K$24*$C1084+PM_Angle!$L$24*$B1084</f>
      </c>
      <c r="AS1084" s="12">
        <f>IF(AR1084&gt;0,IF(AR1084&lt;=eco,alpha*fck*(1-(1-AR1084/eco)^n),alpha*fck),0)</f>
      </c>
      <c r="AT1084" s="30">
        <f>PM_Angle!$J$25+PM_Angle!$K$25*$C1084+PM_Angle!$L$25*$B1084</f>
      </c>
      <c r="AU1084" s="12">
        <f>IF(AT1084&gt;0,IF(AT1084&lt;=eco,alpha*fck*(1-(1-AT1084/eco)^n),alpha*fck),0)</f>
      </c>
    </row>
    <row r="1085" spans="1:47" x14ac:dyDescent="0.25">
      <c r="A1085">
        <f>Mesh!A1082</f>
      </c>
      <c r="B1085" s="12">
        <f>Mesh!B1082</f>
      </c>
      <c r="C1085" s="12">
        <f>Mesh!C1082</f>
      </c>
      <c r="D1085" s="12">
        <f>Mesh!D1082</f>
      </c>
      <c r="E1085" s="30">
        <f>INDEX(St_e0,Det+1)+INDEX(St_kx,Det+1)*C1085+INDEX(St_ky,Det+1)*B1085</f>
      </c>
      <c r="F1085" s="12">
        <f>IF(E1085&gt;0,IF(E1085&lt;=eco,alpha*fck*(1-(1-E1085/eco)^n),alpha*fck),0)</f>
      </c>
      <c r="G1085" s="11">
        <f>F1085*D1085</f>
      </c>
      <c r="H1085" s="11">
        <f>G1085*C1085</f>
      </c>
      <c r="I1085" s="11">
        <f>G1085*B1085</f>
      </c>
      <c r="J1085" s="30">
        <f>PM_Angle!$J$7+PM_Angle!$K$7*$C1085+PM_Angle!$L$7*$B1085</f>
      </c>
      <c r="K1085" s="12">
        <f>IF(J1085&gt;0,IF(J1085&lt;=eco,alpha*fck*(1-(1-J1085/eco)^n),alpha*fck),0)</f>
      </c>
      <c r="L1085" s="30">
        <f>PM_Angle!$J$8+PM_Angle!$K$8*$C1085+PM_Angle!$L$8*$B1085</f>
      </c>
      <c r="M1085" s="12">
        <f>IF(L1085&gt;0,IF(L1085&lt;=eco,alpha*fck*(1-(1-L1085/eco)^n),alpha*fck),0)</f>
      </c>
      <c r="N1085" s="30">
        <f>PM_Angle!$J$9+PM_Angle!$K$9*$C1085+PM_Angle!$L$9*$B1085</f>
      </c>
      <c r="O1085" s="12">
        <f>IF(N1085&gt;0,IF(N1085&lt;=eco,alpha*fck*(1-(1-N1085/eco)^n),alpha*fck),0)</f>
      </c>
      <c r="P1085" s="30">
        <f>PM_Angle!$J$10+PM_Angle!$K$10*$C1085+PM_Angle!$L$10*$B1085</f>
      </c>
      <c r="Q1085" s="12">
        <f>IF(P1085&gt;0,IF(P1085&lt;=eco,alpha*fck*(1-(1-P1085/eco)^n),alpha*fck),0)</f>
      </c>
      <c r="R1085" s="30">
        <f>PM_Angle!$J$11+PM_Angle!$K$11*$C1085+PM_Angle!$L$11*$B1085</f>
      </c>
      <c r="S1085" s="12">
        <f>IF(R1085&gt;0,IF(R1085&lt;=eco,alpha*fck*(1-(1-R1085/eco)^n),alpha*fck),0)</f>
      </c>
      <c r="T1085" s="30">
        <f>PM_Angle!$J$12+PM_Angle!$K$12*$C1085+PM_Angle!$L$12*$B1085</f>
      </c>
      <c r="U1085" s="12">
        <f>IF(T1085&gt;0,IF(T1085&lt;=eco,alpha*fck*(1-(1-T1085/eco)^n),alpha*fck),0)</f>
      </c>
      <c r="V1085" s="30">
        <f>PM_Angle!$J$13+PM_Angle!$K$13*$C1085+PM_Angle!$L$13*$B1085</f>
      </c>
      <c r="W1085" s="12">
        <f>IF(V1085&gt;0,IF(V1085&lt;=eco,alpha*fck*(1-(1-V1085/eco)^n),alpha*fck),0)</f>
      </c>
      <c r="X1085" s="30">
        <f>PM_Angle!$J$14+PM_Angle!$K$14*$C1085+PM_Angle!$L$14*$B1085</f>
      </c>
      <c r="Y1085" s="12">
        <f>IF(X1085&gt;0,IF(X1085&lt;=eco,alpha*fck*(1-(1-X1085/eco)^n),alpha*fck),0)</f>
      </c>
      <c r="Z1085" s="30">
        <f>PM_Angle!$J$15+PM_Angle!$K$15*$C1085+PM_Angle!$L$15*$B1085</f>
      </c>
      <c r="AA1085" s="12">
        <f>IF(Z1085&gt;0,IF(Z1085&lt;=eco,alpha*fck*(1-(1-Z1085/eco)^n),alpha*fck),0)</f>
      </c>
      <c r="AB1085" s="30">
        <f>PM_Angle!$J$16+PM_Angle!$K$16*$C1085+PM_Angle!$L$16*$B1085</f>
      </c>
      <c r="AC1085" s="12">
        <f>IF(AB1085&gt;0,IF(AB1085&lt;=eco,alpha*fck*(1-(1-AB1085/eco)^n),alpha*fck),0)</f>
      </c>
      <c r="AD1085" s="30">
        <f>PM_Angle!$J$17+PM_Angle!$K$17*$C1085+PM_Angle!$L$17*$B1085</f>
      </c>
      <c r="AE1085" s="12">
        <f>IF(AD1085&gt;0,IF(AD1085&lt;=eco,alpha*fck*(1-(1-AD1085/eco)^n),alpha*fck),0)</f>
      </c>
      <c r="AF1085" s="30">
        <f>PM_Angle!$J$18+PM_Angle!$K$18*$C1085+PM_Angle!$L$18*$B1085</f>
      </c>
      <c r="AG1085" s="12">
        <f>IF(AF1085&gt;0,IF(AF1085&lt;=eco,alpha*fck*(1-(1-AF1085/eco)^n),alpha*fck),0)</f>
      </c>
      <c r="AH1085" s="30">
        <f>PM_Angle!$J$19+PM_Angle!$K$19*$C1085+PM_Angle!$L$19*$B1085</f>
      </c>
      <c r="AI1085" s="12">
        <f>IF(AH1085&gt;0,IF(AH1085&lt;=eco,alpha*fck*(1-(1-AH1085/eco)^n),alpha*fck),0)</f>
      </c>
      <c r="AJ1085" s="30">
        <f>PM_Angle!$J$20+PM_Angle!$K$20*$C1085+PM_Angle!$L$20*$B1085</f>
      </c>
      <c r="AK1085" s="12">
        <f>IF(AJ1085&gt;0,IF(AJ1085&lt;=eco,alpha*fck*(1-(1-AJ1085/eco)^n),alpha*fck),0)</f>
      </c>
      <c r="AL1085" s="30">
        <f>PM_Angle!$J$21+PM_Angle!$K$21*$C1085+PM_Angle!$L$21*$B1085</f>
      </c>
      <c r="AM1085" s="12">
        <f>IF(AL1085&gt;0,IF(AL1085&lt;=eco,alpha*fck*(1-(1-AL1085/eco)^n),alpha*fck),0)</f>
      </c>
      <c r="AN1085" s="30">
        <f>PM_Angle!$J$22+PM_Angle!$K$22*$C1085+PM_Angle!$L$22*$B1085</f>
      </c>
      <c r="AO1085" s="12">
        <f>IF(AN1085&gt;0,IF(AN1085&lt;=eco,alpha*fck*(1-(1-AN1085/eco)^n),alpha*fck),0)</f>
      </c>
      <c r="AP1085" s="30">
        <f>PM_Angle!$J$23+PM_Angle!$K$23*$C1085+PM_Angle!$L$23*$B1085</f>
      </c>
      <c r="AQ1085" s="12">
        <f>IF(AP1085&gt;0,IF(AP1085&lt;=eco,alpha*fck*(1-(1-AP1085/eco)^n),alpha*fck),0)</f>
      </c>
      <c r="AR1085" s="30">
        <f>PM_Angle!$J$24+PM_Angle!$K$24*$C1085+PM_Angle!$L$24*$B1085</f>
      </c>
      <c r="AS1085" s="12">
        <f>IF(AR1085&gt;0,IF(AR1085&lt;=eco,alpha*fck*(1-(1-AR1085/eco)^n),alpha*fck),0)</f>
      </c>
      <c r="AT1085" s="30">
        <f>PM_Angle!$J$25+PM_Angle!$K$25*$C1085+PM_Angle!$L$25*$B1085</f>
      </c>
      <c r="AU1085" s="12">
        <f>IF(AT1085&gt;0,IF(AT1085&lt;=eco,alpha*fck*(1-(1-AT1085/eco)^n),alpha*fck),0)</f>
      </c>
    </row>
    <row r="1086" spans="1:47" x14ac:dyDescent="0.25">
      <c r="A1086">
        <f>Mesh!A1083</f>
      </c>
      <c r="B1086" s="12">
        <f>Mesh!B1083</f>
      </c>
      <c r="C1086" s="12">
        <f>Mesh!C1083</f>
      </c>
      <c r="D1086" s="12">
        <f>Mesh!D1083</f>
      </c>
      <c r="E1086" s="30">
        <f>INDEX(St_e0,Det+1)+INDEX(St_kx,Det+1)*C1086+INDEX(St_ky,Det+1)*B1086</f>
      </c>
      <c r="F1086" s="12">
        <f>IF(E1086&gt;0,IF(E1086&lt;=eco,alpha*fck*(1-(1-E1086/eco)^n),alpha*fck),0)</f>
      </c>
      <c r="G1086" s="11">
        <f>F1086*D1086</f>
      </c>
      <c r="H1086" s="11">
        <f>G1086*C1086</f>
      </c>
      <c r="I1086" s="11">
        <f>G1086*B1086</f>
      </c>
      <c r="J1086" s="30">
        <f>PM_Angle!$J$7+PM_Angle!$K$7*$C1086+PM_Angle!$L$7*$B1086</f>
      </c>
      <c r="K1086" s="12">
        <f>IF(J1086&gt;0,IF(J1086&lt;=eco,alpha*fck*(1-(1-J1086/eco)^n),alpha*fck),0)</f>
      </c>
      <c r="L1086" s="30">
        <f>PM_Angle!$J$8+PM_Angle!$K$8*$C1086+PM_Angle!$L$8*$B1086</f>
      </c>
      <c r="M1086" s="12">
        <f>IF(L1086&gt;0,IF(L1086&lt;=eco,alpha*fck*(1-(1-L1086/eco)^n),alpha*fck),0)</f>
      </c>
      <c r="N1086" s="30">
        <f>PM_Angle!$J$9+PM_Angle!$K$9*$C1086+PM_Angle!$L$9*$B1086</f>
      </c>
      <c r="O1086" s="12">
        <f>IF(N1086&gt;0,IF(N1086&lt;=eco,alpha*fck*(1-(1-N1086/eco)^n),alpha*fck),0)</f>
      </c>
      <c r="P1086" s="30">
        <f>PM_Angle!$J$10+PM_Angle!$K$10*$C1086+PM_Angle!$L$10*$B1086</f>
      </c>
      <c r="Q1086" s="12">
        <f>IF(P1086&gt;0,IF(P1086&lt;=eco,alpha*fck*(1-(1-P1086/eco)^n),alpha*fck),0)</f>
      </c>
      <c r="R1086" s="30">
        <f>PM_Angle!$J$11+PM_Angle!$K$11*$C1086+PM_Angle!$L$11*$B1086</f>
      </c>
      <c r="S1086" s="12">
        <f>IF(R1086&gt;0,IF(R1086&lt;=eco,alpha*fck*(1-(1-R1086/eco)^n),alpha*fck),0)</f>
      </c>
      <c r="T1086" s="30">
        <f>PM_Angle!$J$12+PM_Angle!$K$12*$C1086+PM_Angle!$L$12*$B1086</f>
      </c>
      <c r="U1086" s="12">
        <f>IF(T1086&gt;0,IF(T1086&lt;=eco,alpha*fck*(1-(1-T1086/eco)^n),alpha*fck),0)</f>
      </c>
      <c r="V1086" s="30">
        <f>PM_Angle!$J$13+PM_Angle!$K$13*$C1086+PM_Angle!$L$13*$B1086</f>
      </c>
      <c r="W1086" s="12">
        <f>IF(V1086&gt;0,IF(V1086&lt;=eco,alpha*fck*(1-(1-V1086/eco)^n),alpha*fck),0)</f>
      </c>
      <c r="X1086" s="30">
        <f>PM_Angle!$J$14+PM_Angle!$K$14*$C1086+PM_Angle!$L$14*$B1086</f>
      </c>
      <c r="Y1086" s="12">
        <f>IF(X1086&gt;0,IF(X1086&lt;=eco,alpha*fck*(1-(1-X1086/eco)^n),alpha*fck),0)</f>
      </c>
      <c r="Z1086" s="30">
        <f>PM_Angle!$J$15+PM_Angle!$K$15*$C1086+PM_Angle!$L$15*$B1086</f>
      </c>
      <c r="AA1086" s="12">
        <f>IF(Z1086&gt;0,IF(Z1086&lt;=eco,alpha*fck*(1-(1-Z1086/eco)^n),alpha*fck),0)</f>
      </c>
      <c r="AB1086" s="30">
        <f>PM_Angle!$J$16+PM_Angle!$K$16*$C1086+PM_Angle!$L$16*$B1086</f>
      </c>
      <c r="AC1086" s="12">
        <f>IF(AB1086&gt;0,IF(AB1086&lt;=eco,alpha*fck*(1-(1-AB1086/eco)^n),alpha*fck),0)</f>
      </c>
      <c r="AD1086" s="30">
        <f>PM_Angle!$J$17+PM_Angle!$K$17*$C1086+PM_Angle!$L$17*$B1086</f>
      </c>
      <c r="AE1086" s="12">
        <f>IF(AD1086&gt;0,IF(AD1086&lt;=eco,alpha*fck*(1-(1-AD1086/eco)^n),alpha*fck),0)</f>
      </c>
      <c r="AF1086" s="30">
        <f>PM_Angle!$J$18+PM_Angle!$K$18*$C1086+PM_Angle!$L$18*$B1086</f>
      </c>
      <c r="AG1086" s="12">
        <f>IF(AF1086&gt;0,IF(AF1086&lt;=eco,alpha*fck*(1-(1-AF1086/eco)^n),alpha*fck),0)</f>
      </c>
      <c r="AH1086" s="30">
        <f>PM_Angle!$J$19+PM_Angle!$K$19*$C1086+PM_Angle!$L$19*$B1086</f>
      </c>
      <c r="AI1086" s="12">
        <f>IF(AH1086&gt;0,IF(AH1086&lt;=eco,alpha*fck*(1-(1-AH1086/eco)^n),alpha*fck),0)</f>
      </c>
      <c r="AJ1086" s="30">
        <f>PM_Angle!$J$20+PM_Angle!$K$20*$C1086+PM_Angle!$L$20*$B1086</f>
      </c>
      <c r="AK1086" s="12">
        <f>IF(AJ1086&gt;0,IF(AJ1086&lt;=eco,alpha*fck*(1-(1-AJ1086/eco)^n),alpha*fck),0)</f>
      </c>
      <c r="AL1086" s="30">
        <f>PM_Angle!$J$21+PM_Angle!$K$21*$C1086+PM_Angle!$L$21*$B1086</f>
      </c>
      <c r="AM1086" s="12">
        <f>IF(AL1086&gt;0,IF(AL1086&lt;=eco,alpha*fck*(1-(1-AL1086/eco)^n),alpha*fck),0)</f>
      </c>
      <c r="AN1086" s="30">
        <f>PM_Angle!$J$22+PM_Angle!$K$22*$C1086+PM_Angle!$L$22*$B1086</f>
      </c>
      <c r="AO1086" s="12">
        <f>IF(AN1086&gt;0,IF(AN1086&lt;=eco,alpha*fck*(1-(1-AN1086/eco)^n),alpha*fck),0)</f>
      </c>
      <c r="AP1086" s="30">
        <f>PM_Angle!$J$23+PM_Angle!$K$23*$C1086+PM_Angle!$L$23*$B1086</f>
      </c>
      <c r="AQ1086" s="12">
        <f>IF(AP1086&gt;0,IF(AP1086&lt;=eco,alpha*fck*(1-(1-AP1086/eco)^n),alpha*fck),0)</f>
      </c>
      <c r="AR1086" s="30">
        <f>PM_Angle!$J$24+PM_Angle!$K$24*$C1086+PM_Angle!$L$24*$B1086</f>
      </c>
      <c r="AS1086" s="12">
        <f>IF(AR1086&gt;0,IF(AR1086&lt;=eco,alpha*fck*(1-(1-AR1086/eco)^n),alpha*fck),0)</f>
      </c>
      <c r="AT1086" s="30">
        <f>PM_Angle!$J$25+PM_Angle!$K$25*$C1086+PM_Angle!$L$25*$B1086</f>
      </c>
      <c r="AU1086" s="12">
        <f>IF(AT1086&gt;0,IF(AT1086&lt;=eco,alpha*fck*(1-(1-AT1086/eco)^n),alpha*fck),0)</f>
      </c>
    </row>
    <row r="1087" spans="1:47" x14ac:dyDescent="0.25">
      <c r="A1087">
        <f>Mesh!A1084</f>
      </c>
      <c r="B1087" s="12">
        <f>Mesh!B1084</f>
      </c>
      <c r="C1087" s="12">
        <f>Mesh!C1084</f>
      </c>
      <c r="D1087" s="12">
        <f>Mesh!D1084</f>
      </c>
      <c r="E1087" s="30">
        <f>INDEX(St_e0,Det+1)+INDEX(St_kx,Det+1)*C1087+INDEX(St_ky,Det+1)*B1087</f>
      </c>
      <c r="F1087" s="12">
        <f>IF(E1087&gt;0,IF(E1087&lt;=eco,alpha*fck*(1-(1-E1087/eco)^n),alpha*fck),0)</f>
      </c>
      <c r="G1087" s="11">
        <f>F1087*D1087</f>
      </c>
      <c r="H1087" s="11">
        <f>G1087*C1087</f>
      </c>
      <c r="I1087" s="11">
        <f>G1087*B1087</f>
      </c>
      <c r="J1087" s="30">
        <f>PM_Angle!$J$7+PM_Angle!$K$7*$C1087+PM_Angle!$L$7*$B1087</f>
      </c>
      <c r="K1087" s="12">
        <f>IF(J1087&gt;0,IF(J1087&lt;=eco,alpha*fck*(1-(1-J1087/eco)^n),alpha*fck),0)</f>
      </c>
      <c r="L1087" s="30">
        <f>PM_Angle!$J$8+PM_Angle!$K$8*$C1087+PM_Angle!$L$8*$B1087</f>
      </c>
      <c r="M1087" s="12">
        <f>IF(L1087&gt;0,IF(L1087&lt;=eco,alpha*fck*(1-(1-L1087/eco)^n),alpha*fck),0)</f>
      </c>
      <c r="N1087" s="30">
        <f>PM_Angle!$J$9+PM_Angle!$K$9*$C1087+PM_Angle!$L$9*$B1087</f>
      </c>
      <c r="O1087" s="12">
        <f>IF(N1087&gt;0,IF(N1087&lt;=eco,alpha*fck*(1-(1-N1087/eco)^n),alpha*fck),0)</f>
      </c>
      <c r="P1087" s="30">
        <f>PM_Angle!$J$10+PM_Angle!$K$10*$C1087+PM_Angle!$L$10*$B1087</f>
      </c>
      <c r="Q1087" s="12">
        <f>IF(P1087&gt;0,IF(P1087&lt;=eco,alpha*fck*(1-(1-P1087/eco)^n),alpha*fck),0)</f>
      </c>
      <c r="R1087" s="30">
        <f>PM_Angle!$J$11+PM_Angle!$K$11*$C1087+PM_Angle!$L$11*$B1087</f>
      </c>
      <c r="S1087" s="12">
        <f>IF(R1087&gt;0,IF(R1087&lt;=eco,alpha*fck*(1-(1-R1087/eco)^n),alpha*fck),0)</f>
      </c>
      <c r="T1087" s="30">
        <f>PM_Angle!$J$12+PM_Angle!$K$12*$C1087+PM_Angle!$L$12*$B1087</f>
      </c>
      <c r="U1087" s="12">
        <f>IF(T1087&gt;0,IF(T1087&lt;=eco,alpha*fck*(1-(1-T1087/eco)^n),alpha*fck),0)</f>
      </c>
      <c r="V1087" s="30">
        <f>PM_Angle!$J$13+PM_Angle!$K$13*$C1087+PM_Angle!$L$13*$B1087</f>
      </c>
      <c r="W1087" s="12">
        <f>IF(V1087&gt;0,IF(V1087&lt;=eco,alpha*fck*(1-(1-V1087/eco)^n),alpha*fck),0)</f>
      </c>
      <c r="X1087" s="30">
        <f>PM_Angle!$J$14+PM_Angle!$K$14*$C1087+PM_Angle!$L$14*$B1087</f>
      </c>
      <c r="Y1087" s="12">
        <f>IF(X1087&gt;0,IF(X1087&lt;=eco,alpha*fck*(1-(1-X1087/eco)^n),alpha*fck),0)</f>
      </c>
      <c r="Z1087" s="30">
        <f>PM_Angle!$J$15+PM_Angle!$K$15*$C1087+PM_Angle!$L$15*$B1087</f>
      </c>
      <c r="AA1087" s="12">
        <f>IF(Z1087&gt;0,IF(Z1087&lt;=eco,alpha*fck*(1-(1-Z1087/eco)^n),alpha*fck),0)</f>
      </c>
      <c r="AB1087" s="30">
        <f>PM_Angle!$J$16+PM_Angle!$K$16*$C1087+PM_Angle!$L$16*$B1087</f>
      </c>
      <c r="AC1087" s="12">
        <f>IF(AB1087&gt;0,IF(AB1087&lt;=eco,alpha*fck*(1-(1-AB1087/eco)^n),alpha*fck),0)</f>
      </c>
      <c r="AD1087" s="30">
        <f>PM_Angle!$J$17+PM_Angle!$K$17*$C1087+PM_Angle!$L$17*$B1087</f>
      </c>
      <c r="AE1087" s="12">
        <f>IF(AD1087&gt;0,IF(AD1087&lt;=eco,alpha*fck*(1-(1-AD1087/eco)^n),alpha*fck),0)</f>
      </c>
      <c r="AF1087" s="30">
        <f>PM_Angle!$J$18+PM_Angle!$K$18*$C1087+PM_Angle!$L$18*$B1087</f>
      </c>
      <c r="AG1087" s="12">
        <f>IF(AF1087&gt;0,IF(AF1087&lt;=eco,alpha*fck*(1-(1-AF1087/eco)^n),alpha*fck),0)</f>
      </c>
      <c r="AH1087" s="30">
        <f>PM_Angle!$J$19+PM_Angle!$K$19*$C1087+PM_Angle!$L$19*$B1087</f>
      </c>
      <c r="AI1087" s="12">
        <f>IF(AH1087&gt;0,IF(AH1087&lt;=eco,alpha*fck*(1-(1-AH1087/eco)^n),alpha*fck),0)</f>
      </c>
      <c r="AJ1087" s="30">
        <f>PM_Angle!$J$20+PM_Angle!$K$20*$C1087+PM_Angle!$L$20*$B1087</f>
      </c>
      <c r="AK1087" s="12">
        <f>IF(AJ1087&gt;0,IF(AJ1087&lt;=eco,alpha*fck*(1-(1-AJ1087/eco)^n),alpha*fck),0)</f>
      </c>
      <c r="AL1087" s="30">
        <f>PM_Angle!$J$21+PM_Angle!$K$21*$C1087+PM_Angle!$L$21*$B1087</f>
      </c>
      <c r="AM1087" s="12">
        <f>IF(AL1087&gt;0,IF(AL1087&lt;=eco,alpha*fck*(1-(1-AL1087/eco)^n),alpha*fck),0)</f>
      </c>
      <c r="AN1087" s="30">
        <f>PM_Angle!$J$22+PM_Angle!$K$22*$C1087+PM_Angle!$L$22*$B1087</f>
      </c>
      <c r="AO1087" s="12">
        <f>IF(AN1087&gt;0,IF(AN1087&lt;=eco,alpha*fck*(1-(1-AN1087/eco)^n),alpha*fck),0)</f>
      </c>
      <c r="AP1087" s="30">
        <f>PM_Angle!$J$23+PM_Angle!$K$23*$C1087+PM_Angle!$L$23*$B1087</f>
      </c>
      <c r="AQ1087" s="12">
        <f>IF(AP1087&gt;0,IF(AP1087&lt;=eco,alpha*fck*(1-(1-AP1087/eco)^n),alpha*fck),0)</f>
      </c>
      <c r="AR1087" s="30">
        <f>PM_Angle!$J$24+PM_Angle!$K$24*$C1087+PM_Angle!$L$24*$B1087</f>
      </c>
      <c r="AS1087" s="12">
        <f>IF(AR1087&gt;0,IF(AR1087&lt;=eco,alpha*fck*(1-(1-AR1087/eco)^n),alpha*fck),0)</f>
      </c>
      <c r="AT1087" s="30">
        <f>PM_Angle!$J$25+PM_Angle!$K$25*$C1087+PM_Angle!$L$25*$B1087</f>
      </c>
      <c r="AU1087" s="12">
        <f>IF(AT1087&gt;0,IF(AT1087&lt;=eco,alpha*fck*(1-(1-AT1087/eco)^n),alpha*fck),0)</f>
      </c>
    </row>
    <row r="1088" spans="1:47" x14ac:dyDescent="0.25">
      <c r="A1088">
        <f>Mesh!A1085</f>
      </c>
      <c r="B1088" s="12">
        <f>Mesh!B1085</f>
      </c>
      <c r="C1088" s="12">
        <f>Mesh!C1085</f>
      </c>
      <c r="D1088" s="12">
        <f>Mesh!D1085</f>
      </c>
      <c r="E1088" s="30">
        <f>INDEX(St_e0,Det+1)+INDEX(St_kx,Det+1)*C1088+INDEX(St_ky,Det+1)*B1088</f>
      </c>
      <c r="F1088" s="12">
        <f>IF(E1088&gt;0,IF(E1088&lt;=eco,alpha*fck*(1-(1-E1088/eco)^n),alpha*fck),0)</f>
      </c>
      <c r="G1088" s="11">
        <f>F1088*D1088</f>
      </c>
      <c r="H1088" s="11">
        <f>G1088*C1088</f>
      </c>
      <c r="I1088" s="11">
        <f>G1088*B1088</f>
      </c>
      <c r="J1088" s="30">
        <f>PM_Angle!$J$7+PM_Angle!$K$7*$C1088+PM_Angle!$L$7*$B1088</f>
      </c>
      <c r="K1088" s="12">
        <f>IF(J1088&gt;0,IF(J1088&lt;=eco,alpha*fck*(1-(1-J1088/eco)^n),alpha*fck),0)</f>
      </c>
      <c r="L1088" s="30">
        <f>PM_Angle!$J$8+PM_Angle!$K$8*$C1088+PM_Angle!$L$8*$B1088</f>
      </c>
      <c r="M1088" s="12">
        <f>IF(L1088&gt;0,IF(L1088&lt;=eco,alpha*fck*(1-(1-L1088/eco)^n),alpha*fck),0)</f>
      </c>
      <c r="N1088" s="30">
        <f>PM_Angle!$J$9+PM_Angle!$K$9*$C1088+PM_Angle!$L$9*$B1088</f>
      </c>
      <c r="O1088" s="12">
        <f>IF(N1088&gt;0,IF(N1088&lt;=eco,alpha*fck*(1-(1-N1088/eco)^n),alpha*fck),0)</f>
      </c>
      <c r="P1088" s="30">
        <f>PM_Angle!$J$10+PM_Angle!$K$10*$C1088+PM_Angle!$L$10*$B1088</f>
      </c>
      <c r="Q1088" s="12">
        <f>IF(P1088&gt;0,IF(P1088&lt;=eco,alpha*fck*(1-(1-P1088/eco)^n),alpha*fck),0)</f>
      </c>
      <c r="R1088" s="30">
        <f>PM_Angle!$J$11+PM_Angle!$K$11*$C1088+PM_Angle!$L$11*$B1088</f>
      </c>
      <c r="S1088" s="12">
        <f>IF(R1088&gt;0,IF(R1088&lt;=eco,alpha*fck*(1-(1-R1088/eco)^n),alpha*fck),0)</f>
      </c>
      <c r="T1088" s="30">
        <f>PM_Angle!$J$12+PM_Angle!$K$12*$C1088+PM_Angle!$L$12*$B1088</f>
      </c>
      <c r="U1088" s="12">
        <f>IF(T1088&gt;0,IF(T1088&lt;=eco,alpha*fck*(1-(1-T1088/eco)^n),alpha*fck),0)</f>
      </c>
      <c r="V1088" s="30">
        <f>PM_Angle!$J$13+PM_Angle!$K$13*$C1088+PM_Angle!$L$13*$B1088</f>
      </c>
      <c r="W1088" s="12">
        <f>IF(V1088&gt;0,IF(V1088&lt;=eco,alpha*fck*(1-(1-V1088/eco)^n),alpha*fck),0)</f>
      </c>
      <c r="X1088" s="30">
        <f>PM_Angle!$J$14+PM_Angle!$K$14*$C1088+PM_Angle!$L$14*$B1088</f>
      </c>
      <c r="Y1088" s="12">
        <f>IF(X1088&gt;0,IF(X1088&lt;=eco,alpha*fck*(1-(1-X1088/eco)^n),alpha*fck),0)</f>
      </c>
      <c r="Z1088" s="30">
        <f>PM_Angle!$J$15+PM_Angle!$K$15*$C1088+PM_Angle!$L$15*$B1088</f>
      </c>
      <c r="AA1088" s="12">
        <f>IF(Z1088&gt;0,IF(Z1088&lt;=eco,alpha*fck*(1-(1-Z1088/eco)^n),alpha*fck),0)</f>
      </c>
      <c r="AB1088" s="30">
        <f>PM_Angle!$J$16+PM_Angle!$K$16*$C1088+PM_Angle!$L$16*$B1088</f>
      </c>
      <c r="AC1088" s="12">
        <f>IF(AB1088&gt;0,IF(AB1088&lt;=eco,alpha*fck*(1-(1-AB1088/eco)^n),alpha*fck),0)</f>
      </c>
      <c r="AD1088" s="30">
        <f>PM_Angle!$J$17+PM_Angle!$K$17*$C1088+PM_Angle!$L$17*$B1088</f>
      </c>
      <c r="AE1088" s="12">
        <f>IF(AD1088&gt;0,IF(AD1088&lt;=eco,alpha*fck*(1-(1-AD1088/eco)^n),alpha*fck),0)</f>
      </c>
      <c r="AF1088" s="30">
        <f>PM_Angle!$J$18+PM_Angle!$K$18*$C1088+PM_Angle!$L$18*$B1088</f>
      </c>
      <c r="AG1088" s="12">
        <f>IF(AF1088&gt;0,IF(AF1088&lt;=eco,alpha*fck*(1-(1-AF1088/eco)^n),alpha*fck),0)</f>
      </c>
      <c r="AH1088" s="30">
        <f>PM_Angle!$J$19+PM_Angle!$K$19*$C1088+PM_Angle!$L$19*$B1088</f>
      </c>
      <c r="AI1088" s="12">
        <f>IF(AH1088&gt;0,IF(AH1088&lt;=eco,alpha*fck*(1-(1-AH1088/eco)^n),alpha*fck),0)</f>
      </c>
      <c r="AJ1088" s="30">
        <f>PM_Angle!$J$20+PM_Angle!$K$20*$C1088+PM_Angle!$L$20*$B1088</f>
      </c>
      <c r="AK1088" s="12">
        <f>IF(AJ1088&gt;0,IF(AJ1088&lt;=eco,alpha*fck*(1-(1-AJ1088/eco)^n),alpha*fck),0)</f>
      </c>
      <c r="AL1088" s="30">
        <f>PM_Angle!$J$21+PM_Angle!$K$21*$C1088+PM_Angle!$L$21*$B1088</f>
      </c>
      <c r="AM1088" s="12">
        <f>IF(AL1088&gt;0,IF(AL1088&lt;=eco,alpha*fck*(1-(1-AL1088/eco)^n),alpha*fck),0)</f>
      </c>
      <c r="AN1088" s="30">
        <f>PM_Angle!$J$22+PM_Angle!$K$22*$C1088+PM_Angle!$L$22*$B1088</f>
      </c>
      <c r="AO1088" s="12">
        <f>IF(AN1088&gt;0,IF(AN1088&lt;=eco,alpha*fck*(1-(1-AN1088/eco)^n),alpha*fck),0)</f>
      </c>
      <c r="AP1088" s="30">
        <f>PM_Angle!$J$23+PM_Angle!$K$23*$C1088+PM_Angle!$L$23*$B1088</f>
      </c>
      <c r="AQ1088" s="12">
        <f>IF(AP1088&gt;0,IF(AP1088&lt;=eco,alpha*fck*(1-(1-AP1088/eco)^n),alpha*fck),0)</f>
      </c>
      <c r="AR1088" s="30">
        <f>PM_Angle!$J$24+PM_Angle!$K$24*$C1088+PM_Angle!$L$24*$B1088</f>
      </c>
      <c r="AS1088" s="12">
        <f>IF(AR1088&gt;0,IF(AR1088&lt;=eco,alpha*fck*(1-(1-AR1088/eco)^n),alpha*fck),0)</f>
      </c>
      <c r="AT1088" s="30">
        <f>PM_Angle!$J$25+PM_Angle!$K$25*$C1088+PM_Angle!$L$25*$B1088</f>
      </c>
      <c r="AU1088" s="12">
        <f>IF(AT1088&gt;0,IF(AT1088&lt;=eco,alpha*fck*(1-(1-AT1088/eco)^n),alpha*fck),0)</f>
      </c>
    </row>
    <row r="1089" spans="1:47" x14ac:dyDescent="0.25">
      <c r="A1089">
        <f>Mesh!A1086</f>
      </c>
      <c r="B1089" s="12">
        <f>Mesh!B1086</f>
      </c>
      <c r="C1089" s="12">
        <f>Mesh!C1086</f>
      </c>
      <c r="D1089" s="12">
        <f>Mesh!D1086</f>
      </c>
      <c r="E1089" s="30">
        <f>INDEX(St_e0,Det+1)+INDEX(St_kx,Det+1)*C1089+INDEX(St_ky,Det+1)*B1089</f>
      </c>
      <c r="F1089" s="12">
        <f>IF(E1089&gt;0,IF(E1089&lt;=eco,alpha*fck*(1-(1-E1089/eco)^n),alpha*fck),0)</f>
      </c>
      <c r="G1089" s="11">
        <f>F1089*D1089</f>
      </c>
      <c r="H1089" s="11">
        <f>G1089*C1089</f>
      </c>
      <c r="I1089" s="11">
        <f>G1089*B1089</f>
      </c>
      <c r="J1089" s="30">
        <f>PM_Angle!$J$7+PM_Angle!$K$7*$C1089+PM_Angle!$L$7*$B1089</f>
      </c>
      <c r="K1089" s="12">
        <f>IF(J1089&gt;0,IF(J1089&lt;=eco,alpha*fck*(1-(1-J1089/eco)^n),alpha*fck),0)</f>
      </c>
      <c r="L1089" s="30">
        <f>PM_Angle!$J$8+PM_Angle!$K$8*$C1089+PM_Angle!$L$8*$B1089</f>
      </c>
      <c r="M1089" s="12">
        <f>IF(L1089&gt;0,IF(L1089&lt;=eco,alpha*fck*(1-(1-L1089/eco)^n),alpha*fck),0)</f>
      </c>
      <c r="N1089" s="30">
        <f>PM_Angle!$J$9+PM_Angle!$K$9*$C1089+PM_Angle!$L$9*$B1089</f>
      </c>
      <c r="O1089" s="12">
        <f>IF(N1089&gt;0,IF(N1089&lt;=eco,alpha*fck*(1-(1-N1089/eco)^n),alpha*fck),0)</f>
      </c>
      <c r="P1089" s="30">
        <f>PM_Angle!$J$10+PM_Angle!$K$10*$C1089+PM_Angle!$L$10*$B1089</f>
      </c>
      <c r="Q1089" s="12">
        <f>IF(P1089&gt;0,IF(P1089&lt;=eco,alpha*fck*(1-(1-P1089/eco)^n),alpha*fck),0)</f>
      </c>
      <c r="R1089" s="30">
        <f>PM_Angle!$J$11+PM_Angle!$K$11*$C1089+PM_Angle!$L$11*$B1089</f>
      </c>
      <c r="S1089" s="12">
        <f>IF(R1089&gt;0,IF(R1089&lt;=eco,alpha*fck*(1-(1-R1089/eco)^n),alpha*fck),0)</f>
      </c>
      <c r="T1089" s="30">
        <f>PM_Angle!$J$12+PM_Angle!$K$12*$C1089+PM_Angle!$L$12*$B1089</f>
      </c>
      <c r="U1089" s="12">
        <f>IF(T1089&gt;0,IF(T1089&lt;=eco,alpha*fck*(1-(1-T1089/eco)^n),alpha*fck),0)</f>
      </c>
      <c r="V1089" s="30">
        <f>PM_Angle!$J$13+PM_Angle!$K$13*$C1089+PM_Angle!$L$13*$B1089</f>
      </c>
      <c r="W1089" s="12">
        <f>IF(V1089&gt;0,IF(V1089&lt;=eco,alpha*fck*(1-(1-V1089/eco)^n),alpha*fck),0)</f>
      </c>
      <c r="X1089" s="30">
        <f>PM_Angle!$J$14+PM_Angle!$K$14*$C1089+PM_Angle!$L$14*$B1089</f>
      </c>
      <c r="Y1089" s="12">
        <f>IF(X1089&gt;0,IF(X1089&lt;=eco,alpha*fck*(1-(1-X1089/eco)^n),alpha*fck),0)</f>
      </c>
      <c r="Z1089" s="30">
        <f>PM_Angle!$J$15+PM_Angle!$K$15*$C1089+PM_Angle!$L$15*$B1089</f>
      </c>
      <c r="AA1089" s="12">
        <f>IF(Z1089&gt;0,IF(Z1089&lt;=eco,alpha*fck*(1-(1-Z1089/eco)^n),alpha*fck),0)</f>
      </c>
      <c r="AB1089" s="30">
        <f>PM_Angle!$J$16+PM_Angle!$K$16*$C1089+PM_Angle!$L$16*$B1089</f>
      </c>
      <c r="AC1089" s="12">
        <f>IF(AB1089&gt;0,IF(AB1089&lt;=eco,alpha*fck*(1-(1-AB1089/eco)^n),alpha*fck),0)</f>
      </c>
      <c r="AD1089" s="30">
        <f>PM_Angle!$J$17+PM_Angle!$K$17*$C1089+PM_Angle!$L$17*$B1089</f>
      </c>
      <c r="AE1089" s="12">
        <f>IF(AD1089&gt;0,IF(AD1089&lt;=eco,alpha*fck*(1-(1-AD1089/eco)^n),alpha*fck),0)</f>
      </c>
      <c r="AF1089" s="30">
        <f>PM_Angle!$J$18+PM_Angle!$K$18*$C1089+PM_Angle!$L$18*$B1089</f>
      </c>
      <c r="AG1089" s="12">
        <f>IF(AF1089&gt;0,IF(AF1089&lt;=eco,alpha*fck*(1-(1-AF1089/eco)^n),alpha*fck),0)</f>
      </c>
      <c r="AH1089" s="30">
        <f>PM_Angle!$J$19+PM_Angle!$K$19*$C1089+PM_Angle!$L$19*$B1089</f>
      </c>
      <c r="AI1089" s="12">
        <f>IF(AH1089&gt;0,IF(AH1089&lt;=eco,alpha*fck*(1-(1-AH1089/eco)^n),alpha*fck),0)</f>
      </c>
      <c r="AJ1089" s="30">
        <f>PM_Angle!$J$20+PM_Angle!$K$20*$C1089+PM_Angle!$L$20*$B1089</f>
      </c>
      <c r="AK1089" s="12">
        <f>IF(AJ1089&gt;0,IF(AJ1089&lt;=eco,alpha*fck*(1-(1-AJ1089/eco)^n),alpha*fck),0)</f>
      </c>
      <c r="AL1089" s="30">
        <f>PM_Angle!$J$21+PM_Angle!$K$21*$C1089+PM_Angle!$L$21*$B1089</f>
      </c>
      <c r="AM1089" s="12">
        <f>IF(AL1089&gt;0,IF(AL1089&lt;=eco,alpha*fck*(1-(1-AL1089/eco)^n),alpha*fck),0)</f>
      </c>
      <c r="AN1089" s="30">
        <f>PM_Angle!$J$22+PM_Angle!$K$22*$C1089+PM_Angle!$L$22*$B1089</f>
      </c>
      <c r="AO1089" s="12">
        <f>IF(AN1089&gt;0,IF(AN1089&lt;=eco,alpha*fck*(1-(1-AN1089/eco)^n),alpha*fck),0)</f>
      </c>
      <c r="AP1089" s="30">
        <f>PM_Angle!$J$23+PM_Angle!$K$23*$C1089+PM_Angle!$L$23*$B1089</f>
      </c>
      <c r="AQ1089" s="12">
        <f>IF(AP1089&gt;0,IF(AP1089&lt;=eco,alpha*fck*(1-(1-AP1089/eco)^n),alpha*fck),0)</f>
      </c>
      <c r="AR1089" s="30">
        <f>PM_Angle!$J$24+PM_Angle!$K$24*$C1089+PM_Angle!$L$24*$B1089</f>
      </c>
      <c r="AS1089" s="12">
        <f>IF(AR1089&gt;0,IF(AR1089&lt;=eco,alpha*fck*(1-(1-AR1089/eco)^n),alpha*fck),0)</f>
      </c>
      <c r="AT1089" s="30">
        <f>PM_Angle!$J$25+PM_Angle!$K$25*$C1089+PM_Angle!$L$25*$B1089</f>
      </c>
      <c r="AU1089" s="12">
        <f>IF(AT1089&gt;0,IF(AT1089&lt;=eco,alpha*fck*(1-(1-AT1089/eco)^n),alpha*fck),0)</f>
      </c>
    </row>
    <row r="1090" spans="1:47" x14ac:dyDescent="0.25">
      <c r="A1090">
        <f>Mesh!A1087</f>
      </c>
      <c r="B1090" s="12">
        <f>Mesh!B1087</f>
      </c>
      <c r="C1090" s="12">
        <f>Mesh!C1087</f>
      </c>
      <c r="D1090" s="12">
        <f>Mesh!D1087</f>
      </c>
      <c r="E1090" s="30">
        <f>INDEX(St_e0,Det+1)+INDEX(St_kx,Det+1)*C1090+INDEX(St_ky,Det+1)*B1090</f>
      </c>
      <c r="F1090" s="12">
        <f>IF(E1090&gt;0,IF(E1090&lt;=eco,alpha*fck*(1-(1-E1090/eco)^n),alpha*fck),0)</f>
      </c>
      <c r="G1090" s="11">
        <f>F1090*D1090</f>
      </c>
      <c r="H1090" s="11">
        <f>G1090*C1090</f>
      </c>
      <c r="I1090" s="11">
        <f>G1090*B1090</f>
      </c>
      <c r="J1090" s="30">
        <f>PM_Angle!$J$7+PM_Angle!$K$7*$C1090+PM_Angle!$L$7*$B1090</f>
      </c>
      <c r="K1090" s="12">
        <f>IF(J1090&gt;0,IF(J1090&lt;=eco,alpha*fck*(1-(1-J1090/eco)^n),alpha*fck),0)</f>
      </c>
      <c r="L1090" s="30">
        <f>PM_Angle!$J$8+PM_Angle!$K$8*$C1090+PM_Angle!$L$8*$B1090</f>
      </c>
      <c r="M1090" s="12">
        <f>IF(L1090&gt;0,IF(L1090&lt;=eco,alpha*fck*(1-(1-L1090/eco)^n),alpha*fck),0)</f>
      </c>
      <c r="N1090" s="30">
        <f>PM_Angle!$J$9+PM_Angle!$K$9*$C1090+PM_Angle!$L$9*$B1090</f>
      </c>
      <c r="O1090" s="12">
        <f>IF(N1090&gt;0,IF(N1090&lt;=eco,alpha*fck*(1-(1-N1090/eco)^n),alpha*fck),0)</f>
      </c>
      <c r="P1090" s="30">
        <f>PM_Angle!$J$10+PM_Angle!$K$10*$C1090+PM_Angle!$L$10*$B1090</f>
      </c>
      <c r="Q1090" s="12">
        <f>IF(P1090&gt;0,IF(P1090&lt;=eco,alpha*fck*(1-(1-P1090/eco)^n),alpha*fck),0)</f>
      </c>
      <c r="R1090" s="30">
        <f>PM_Angle!$J$11+PM_Angle!$K$11*$C1090+PM_Angle!$L$11*$B1090</f>
      </c>
      <c r="S1090" s="12">
        <f>IF(R1090&gt;0,IF(R1090&lt;=eco,alpha*fck*(1-(1-R1090/eco)^n),alpha*fck),0)</f>
      </c>
      <c r="T1090" s="30">
        <f>PM_Angle!$J$12+PM_Angle!$K$12*$C1090+PM_Angle!$L$12*$B1090</f>
      </c>
      <c r="U1090" s="12">
        <f>IF(T1090&gt;0,IF(T1090&lt;=eco,alpha*fck*(1-(1-T1090/eco)^n),alpha*fck),0)</f>
      </c>
      <c r="V1090" s="30">
        <f>PM_Angle!$J$13+PM_Angle!$K$13*$C1090+PM_Angle!$L$13*$B1090</f>
      </c>
      <c r="W1090" s="12">
        <f>IF(V1090&gt;0,IF(V1090&lt;=eco,alpha*fck*(1-(1-V1090/eco)^n),alpha*fck),0)</f>
      </c>
      <c r="X1090" s="30">
        <f>PM_Angle!$J$14+PM_Angle!$K$14*$C1090+PM_Angle!$L$14*$B1090</f>
      </c>
      <c r="Y1090" s="12">
        <f>IF(X1090&gt;0,IF(X1090&lt;=eco,alpha*fck*(1-(1-X1090/eco)^n),alpha*fck),0)</f>
      </c>
      <c r="Z1090" s="30">
        <f>PM_Angle!$J$15+PM_Angle!$K$15*$C1090+PM_Angle!$L$15*$B1090</f>
      </c>
      <c r="AA1090" s="12">
        <f>IF(Z1090&gt;0,IF(Z1090&lt;=eco,alpha*fck*(1-(1-Z1090/eco)^n),alpha*fck),0)</f>
      </c>
      <c r="AB1090" s="30">
        <f>PM_Angle!$J$16+PM_Angle!$K$16*$C1090+PM_Angle!$L$16*$B1090</f>
      </c>
      <c r="AC1090" s="12">
        <f>IF(AB1090&gt;0,IF(AB1090&lt;=eco,alpha*fck*(1-(1-AB1090/eco)^n),alpha*fck),0)</f>
      </c>
      <c r="AD1090" s="30">
        <f>PM_Angle!$J$17+PM_Angle!$K$17*$C1090+PM_Angle!$L$17*$B1090</f>
      </c>
      <c r="AE1090" s="12">
        <f>IF(AD1090&gt;0,IF(AD1090&lt;=eco,alpha*fck*(1-(1-AD1090/eco)^n),alpha*fck),0)</f>
      </c>
      <c r="AF1090" s="30">
        <f>PM_Angle!$J$18+PM_Angle!$K$18*$C1090+PM_Angle!$L$18*$B1090</f>
      </c>
      <c r="AG1090" s="12">
        <f>IF(AF1090&gt;0,IF(AF1090&lt;=eco,alpha*fck*(1-(1-AF1090/eco)^n),alpha*fck),0)</f>
      </c>
      <c r="AH1090" s="30">
        <f>PM_Angle!$J$19+PM_Angle!$K$19*$C1090+PM_Angle!$L$19*$B1090</f>
      </c>
      <c r="AI1090" s="12">
        <f>IF(AH1090&gt;0,IF(AH1090&lt;=eco,alpha*fck*(1-(1-AH1090/eco)^n),alpha*fck),0)</f>
      </c>
      <c r="AJ1090" s="30">
        <f>PM_Angle!$J$20+PM_Angle!$K$20*$C1090+PM_Angle!$L$20*$B1090</f>
      </c>
      <c r="AK1090" s="12">
        <f>IF(AJ1090&gt;0,IF(AJ1090&lt;=eco,alpha*fck*(1-(1-AJ1090/eco)^n),alpha*fck),0)</f>
      </c>
      <c r="AL1090" s="30">
        <f>PM_Angle!$J$21+PM_Angle!$K$21*$C1090+PM_Angle!$L$21*$B1090</f>
      </c>
      <c r="AM1090" s="12">
        <f>IF(AL1090&gt;0,IF(AL1090&lt;=eco,alpha*fck*(1-(1-AL1090/eco)^n),alpha*fck),0)</f>
      </c>
      <c r="AN1090" s="30">
        <f>PM_Angle!$J$22+PM_Angle!$K$22*$C1090+PM_Angle!$L$22*$B1090</f>
      </c>
      <c r="AO1090" s="12">
        <f>IF(AN1090&gt;0,IF(AN1090&lt;=eco,alpha*fck*(1-(1-AN1090/eco)^n),alpha*fck),0)</f>
      </c>
      <c r="AP1090" s="30">
        <f>PM_Angle!$J$23+PM_Angle!$K$23*$C1090+PM_Angle!$L$23*$B1090</f>
      </c>
      <c r="AQ1090" s="12">
        <f>IF(AP1090&gt;0,IF(AP1090&lt;=eco,alpha*fck*(1-(1-AP1090/eco)^n),alpha*fck),0)</f>
      </c>
      <c r="AR1090" s="30">
        <f>PM_Angle!$J$24+PM_Angle!$K$24*$C1090+PM_Angle!$L$24*$B1090</f>
      </c>
      <c r="AS1090" s="12">
        <f>IF(AR1090&gt;0,IF(AR1090&lt;=eco,alpha*fck*(1-(1-AR1090/eco)^n),alpha*fck),0)</f>
      </c>
      <c r="AT1090" s="30">
        <f>PM_Angle!$J$25+PM_Angle!$K$25*$C1090+PM_Angle!$L$25*$B1090</f>
      </c>
      <c r="AU1090" s="12">
        <f>IF(AT1090&gt;0,IF(AT1090&lt;=eco,alpha*fck*(1-(1-AT1090/eco)^n),alpha*fck),0)</f>
      </c>
    </row>
    <row r="1091" spans="1:47" x14ac:dyDescent="0.25">
      <c r="A1091">
        <f>Mesh!A1088</f>
      </c>
      <c r="B1091" s="12">
        <f>Mesh!B1088</f>
      </c>
      <c r="C1091" s="12">
        <f>Mesh!C1088</f>
      </c>
      <c r="D1091" s="12">
        <f>Mesh!D1088</f>
      </c>
      <c r="E1091" s="30">
        <f>INDEX(St_e0,Det+1)+INDEX(St_kx,Det+1)*C1091+INDEX(St_ky,Det+1)*B1091</f>
      </c>
      <c r="F1091" s="12">
        <f>IF(E1091&gt;0,IF(E1091&lt;=eco,alpha*fck*(1-(1-E1091/eco)^n),alpha*fck),0)</f>
      </c>
      <c r="G1091" s="11">
        <f>F1091*D1091</f>
      </c>
      <c r="H1091" s="11">
        <f>G1091*C1091</f>
      </c>
      <c r="I1091" s="11">
        <f>G1091*B1091</f>
      </c>
      <c r="J1091" s="30">
        <f>PM_Angle!$J$7+PM_Angle!$K$7*$C1091+PM_Angle!$L$7*$B1091</f>
      </c>
      <c r="K1091" s="12">
        <f>IF(J1091&gt;0,IF(J1091&lt;=eco,alpha*fck*(1-(1-J1091/eco)^n),alpha*fck),0)</f>
      </c>
      <c r="L1091" s="30">
        <f>PM_Angle!$J$8+PM_Angle!$K$8*$C1091+PM_Angle!$L$8*$B1091</f>
      </c>
      <c r="M1091" s="12">
        <f>IF(L1091&gt;0,IF(L1091&lt;=eco,alpha*fck*(1-(1-L1091/eco)^n),alpha*fck),0)</f>
      </c>
      <c r="N1091" s="30">
        <f>PM_Angle!$J$9+PM_Angle!$K$9*$C1091+PM_Angle!$L$9*$B1091</f>
      </c>
      <c r="O1091" s="12">
        <f>IF(N1091&gt;0,IF(N1091&lt;=eco,alpha*fck*(1-(1-N1091/eco)^n),alpha*fck),0)</f>
      </c>
      <c r="P1091" s="30">
        <f>PM_Angle!$J$10+PM_Angle!$K$10*$C1091+PM_Angle!$L$10*$B1091</f>
      </c>
      <c r="Q1091" s="12">
        <f>IF(P1091&gt;0,IF(P1091&lt;=eco,alpha*fck*(1-(1-P1091/eco)^n),alpha*fck),0)</f>
      </c>
      <c r="R1091" s="30">
        <f>PM_Angle!$J$11+PM_Angle!$K$11*$C1091+PM_Angle!$L$11*$B1091</f>
      </c>
      <c r="S1091" s="12">
        <f>IF(R1091&gt;0,IF(R1091&lt;=eco,alpha*fck*(1-(1-R1091/eco)^n),alpha*fck),0)</f>
      </c>
      <c r="T1091" s="30">
        <f>PM_Angle!$J$12+PM_Angle!$K$12*$C1091+PM_Angle!$L$12*$B1091</f>
      </c>
      <c r="U1091" s="12">
        <f>IF(T1091&gt;0,IF(T1091&lt;=eco,alpha*fck*(1-(1-T1091/eco)^n),alpha*fck),0)</f>
      </c>
      <c r="V1091" s="30">
        <f>PM_Angle!$J$13+PM_Angle!$K$13*$C1091+PM_Angle!$L$13*$B1091</f>
      </c>
      <c r="W1091" s="12">
        <f>IF(V1091&gt;0,IF(V1091&lt;=eco,alpha*fck*(1-(1-V1091/eco)^n),alpha*fck),0)</f>
      </c>
      <c r="X1091" s="30">
        <f>PM_Angle!$J$14+PM_Angle!$K$14*$C1091+PM_Angle!$L$14*$B1091</f>
      </c>
      <c r="Y1091" s="12">
        <f>IF(X1091&gt;0,IF(X1091&lt;=eco,alpha*fck*(1-(1-X1091/eco)^n),alpha*fck),0)</f>
      </c>
      <c r="Z1091" s="30">
        <f>PM_Angle!$J$15+PM_Angle!$K$15*$C1091+PM_Angle!$L$15*$B1091</f>
      </c>
      <c r="AA1091" s="12">
        <f>IF(Z1091&gt;0,IF(Z1091&lt;=eco,alpha*fck*(1-(1-Z1091/eco)^n),alpha*fck),0)</f>
      </c>
      <c r="AB1091" s="30">
        <f>PM_Angle!$J$16+PM_Angle!$K$16*$C1091+PM_Angle!$L$16*$B1091</f>
      </c>
      <c r="AC1091" s="12">
        <f>IF(AB1091&gt;0,IF(AB1091&lt;=eco,alpha*fck*(1-(1-AB1091/eco)^n),alpha*fck),0)</f>
      </c>
      <c r="AD1091" s="30">
        <f>PM_Angle!$J$17+PM_Angle!$K$17*$C1091+PM_Angle!$L$17*$B1091</f>
      </c>
      <c r="AE1091" s="12">
        <f>IF(AD1091&gt;0,IF(AD1091&lt;=eco,alpha*fck*(1-(1-AD1091/eco)^n),alpha*fck),0)</f>
      </c>
      <c r="AF1091" s="30">
        <f>PM_Angle!$J$18+PM_Angle!$K$18*$C1091+PM_Angle!$L$18*$B1091</f>
      </c>
      <c r="AG1091" s="12">
        <f>IF(AF1091&gt;0,IF(AF1091&lt;=eco,alpha*fck*(1-(1-AF1091/eco)^n),alpha*fck),0)</f>
      </c>
      <c r="AH1091" s="30">
        <f>PM_Angle!$J$19+PM_Angle!$K$19*$C1091+PM_Angle!$L$19*$B1091</f>
      </c>
      <c r="AI1091" s="12">
        <f>IF(AH1091&gt;0,IF(AH1091&lt;=eco,alpha*fck*(1-(1-AH1091/eco)^n),alpha*fck),0)</f>
      </c>
      <c r="AJ1091" s="30">
        <f>PM_Angle!$J$20+PM_Angle!$K$20*$C1091+PM_Angle!$L$20*$B1091</f>
      </c>
      <c r="AK1091" s="12">
        <f>IF(AJ1091&gt;0,IF(AJ1091&lt;=eco,alpha*fck*(1-(1-AJ1091/eco)^n),alpha*fck),0)</f>
      </c>
      <c r="AL1091" s="30">
        <f>PM_Angle!$J$21+PM_Angle!$K$21*$C1091+PM_Angle!$L$21*$B1091</f>
      </c>
      <c r="AM1091" s="12">
        <f>IF(AL1091&gt;0,IF(AL1091&lt;=eco,alpha*fck*(1-(1-AL1091/eco)^n),alpha*fck),0)</f>
      </c>
      <c r="AN1091" s="30">
        <f>PM_Angle!$J$22+PM_Angle!$K$22*$C1091+PM_Angle!$L$22*$B1091</f>
      </c>
      <c r="AO1091" s="12">
        <f>IF(AN1091&gt;0,IF(AN1091&lt;=eco,alpha*fck*(1-(1-AN1091/eco)^n),alpha*fck),0)</f>
      </c>
      <c r="AP1091" s="30">
        <f>PM_Angle!$J$23+PM_Angle!$K$23*$C1091+PM_Angle!$L$23*$B1091</f>
      </c>
      <c r="AQ1091" s="12">
        <f>IF(AP1091&gt;0,IF(AP1091&lt;=eco,alpha*fck*(1-(1-AP1091/eco)^n),alpha*fck),0)</f>
      </c>
      <c r="AR1091" s="30">
        <f>PM_Angle!$J$24+PM_Angle!$K$24*$C1091+PM_Angle!$L$24*$B1091</f>
      </c>
      <c r="AS1091" s="12">
        <f>IF(AR1091&gt;0,IF(AR1091&lt;=eco,alpha*fck*(1-(1-AR1091/eco)^n),alpha*fck),0)</f>
      </c>
      <c r="AT1091" s="30">
        <f>PM_Angle!$J$25+PM_Angle!$K$25*$C1091+PM_Angle!$L$25*$B1091</f>
      </c>
      <c r="AU1091" s="12">
        <f>IF(AT1091&gt;0,IF(AT1091&lt;=eco,alpha*fck*(1-(1-AT1091/eco)^n),alpha*fck),0)</f>
      </c>
    </row>
    <row r="1092" spans="1:47" x14ac:dyDescent="0.25">
      <c r="A1092">
        <f>Mesh!A1089</f>
      </c>
      <c r="B1092" s="12">
        <f>Mesh!B1089</f>
      </c>
      <c r="C1092" s="12">
        <f>Mesh!C1089</f>
      </c>
      <c r="D1092" s="12">
        <f>Mesh!D1089</f>
      </c>
      <c r="E1092" s="30">
        <f>INDEX(St_e0,Det+1)+INDEX(St_kx,Det+1)*C1092+INDEX(St_ky,Det+1)*B1092</f>
      </c>
      <c r="F1092" s="12">
        <f>IF(E1092&gt;0,IF(E1092&lt;=eco,alpha*fck*(1-(1-E1092/eco)^n),alpha*fck),0)</f>
      </c>
      <c r="G1092" s="11">
        <f>F1092*D1092</f>
      </c>
      <c r="H1092" s="11">
        <f>G1092*C1092</f>
      </c>
      <c r="I1092" s="11">
        <f>G1092*B1092</f>
      </c>
      <c r="J1092" s="30">
        <f>PM_Angle!$J$7+PM_Angle!$K$7*$C1092+PM_Angle!$L$7*$B1092</f>
      </c>
      <c r="K1092" s="12">
        <f>IF(J1092&gt;0,IF(J1092&lt;=eco,alpha*fck*(1-(1-J1092/eco)^n),alpha*fck),0)</f>
      </c>
      <c r="L1092" s="30">
        <f>PM_Angle!$J$8+PM_Angle!$K$8*$C1092+PM_Angle!$L$8*$B1092</f>
      </c>
      <c r="M1092" s="12">
        <f>IF(L1092&gt;0,IF(L1092&lt;=eco,alpha*fck*(1-(1-L1092/eco)^n),alpha*fck),0)</f>
      </c>
      <c r="N1092" s="30">
        <f>PM_Angle!$J$9+PM_Angle!$K$9*$C1092+PM_Angle!$L$9*$B1092</f>
      </c>
      <c r="O1092" s="12">
        <f>IF(N1092&gt;0,IF(N1092&lt;=eco,alpha*fck*(1-(1-N1092/eco)^n),alpha*fck),0)</f>
      </c>
      <c r="P1092" s="30">
        <f>PM_Angle!$J$10+PM_Angle!$K$10*$C1092+PM_Angle!$L$10*$B1092</f>
      </c>
      <c r="Q1092" s="12">
        <f>IF(P1092&gt;0,IF(P1092&lt;=eco,alpha*fck*(1-(1-P1092/eco)^n),alpha*fck),0)</f>
      </c>
      <c r="R1092" s="30">
        <f>PM_Angle!$J$11+PM_Angle!$K$11*$C1092+PM_Angle!$L$11*$B1092</f>
      </c>
      <c r="S1092" s="12">
        <f>IF(R1092&gt;0,IF(R1092&lt;=eco,alpha*fck*(1-(1-R1092/eco)^n),alpha*fck),0)</f>
      </c>
      <c r="T1092" s="30">
        <f>PM_Angle!$J$12+PM_Angle!$K$12*$C1092+PM_Angle!$L$12*$B1092</f>
      </c>
      <c r="U1092" s="12">
        <f>IF(T1092&gt;0,IF(T1092&lt;=eco,alpha*fck*(1-(1-T1092/eco)^n),alpha*fck),0)</f>
      </c>
      <c r="V1092" s="30">
        <f>PM_Angle!$J$13+PM_Angle!$K$13*$C1092+PM_Angle!$L$13*$B1092</f>
      </c>
      <c r="W1092" s="12">
        <f>IF(V1092&gt;0,IF(V1092&lt;=eco,alpha*fck*(1-(1-V1092/eco)^n),alpha*fck),0)</f>
      </c>
      <c r="X1092" s="30">
        <f>PM_Angle!$J$14+PM_Angle!$K$14*$C1092+PM_Angle!$L$14*$B1092</f>
      </c>
      <c r="Y1092" s="12">
        <f>IF(X1092&gt;0,IF(X1092&lt;=eco,alpha*fck*(1-(1-X1092/eco)^n),alpha*fck),0)</f>
      </c>
      <c r="Z1092" s="30">
        <f>PM_Angle!$J$15+PM_Angle!$K$15*$C1092+PM_Angle!$L$15*$B1092</f>
      </c>
      <c r="AA1092" s="12">
        <f>IF(Z1092&gt;0,IF(Z1092&lt;=eco,alpha*fck*(1-(1-Z1092/eco)^n),alpha*fck),0)</f>
      </c>
      <c r="AB1092" s="30">
        <f>PM_Angle!$J$16+PM_Angle!$K$16*$C1092+PM_Angle!$L$16*$B1092</f>
      </c>
      <c r="AC1092" s="12">
        <f>IF(AB1092&gt;0,IF(AB1092&lt;=eco,alpha*fck*(1-(1-AB1092/eco)^n),alpha*fck),0)</f>
      </c>
      <c r="AD1092" s="30">
        <f>PM_Angle!$J$17+PM_Angle!$K$17*$C1092+PM_Angle!$L$17*$B1092</f>
      </c>
      <c r="AE1092" s="12">
        <f>IF(AD1092&gt;0,IF(AD1092&lt;=eco,alpha*fck*(1-(1-AD1092/eco)^n),alpha*fck),0)</f>
      </c>
      <c r="AF1092" s="30">
        <f>PM_Angle!$J$18+PM_Angle!$K$18*$C1092+PM_Angle!$L$18*$B1092</f>
      </c>
      <c r="AG1092" s="12">
        <f>IF(AF1092&gt;0,IF(AF1092&lt;=eco,alpha*fck*(1-(1-AF1092/eco)^n),alpha*fck),0)</f>
      </c>
      <c r="AH1092" s="30">
        <f>PM_Angle!$J$19+PM_Angle!$K$19*$C1092+PM_Angle!$L$19*$B1092</f>
      </c>
      <c r="AI1092" s="12">
        <f>IF(AH1092&gt;0,IF(AH1092&lt;=eco,alpha*fck*(1-(1-AH1092/eco)^n),alpha*fck),0)</f>
      </c>
      <c r="AJ1092" s="30">
        <f>PM_Angle!$J$20+PM_Angle!$K$20*$C1092+PM_Angle!$L$20*$B1092</f>
      </c>
      <c r="AK1092" s="12">
        <f>IF(AJ1092&gt;0,IF(AJ1092&lt;=eco,alpha*fck*(1-(1-AJ1092/eco)^n),alpha*fck),0)</f>
      </c>
      <c r="AL1092" s="30">
        <f>PM_Angle!$J$21+PM_Angle!$K$21*$C1092+PM_Angle!$L$21*$B1092</f>
      </c>
      <c r="AM1092" s="12">
        <f>IF(AL1092&gt;0,IF(AL1092&lt;=eco,alpha*fck*(1-(1-AL1092/eco)^n),alpha*fck),0)</f>
      </c>
      <c r="AN1092" s="30">
        <f>PM_Angle!$J$22+PM_Angle!$K$22*$C1092+PM_Angle!$L$22*$B1092</f>
      </c>
      <c r="AO1092" s="12">
        <f>IF(AN1092&gt;0,IF(AN1092&lt;=eco,alpha*fck*(1-(1-AN1092/eco)^n),alpha*fck),0)</f>
      </c>
      <c r="AP1092" s="30">
        <f>PM_Angle!$J$23+PM_Angle!$K$23*$C1092+PM_Angle!$L$23*$B1092</f>
      </c>
      <c r="AQ1092" s="12">
        <f>IF(AP1092&gt;0,IF(AP1092&lt;=eco,alpha*fck*(1-(1-AP1092/eco)^n),alpha*fck),0)</f>
      </c>
      <c r="AR1092" s="30">
        <f>PM_Angle!$J$24+PM_Angle!$K$24*$C1092+PM_Angle!$L$24*$B1092</f>
      </c>
      <c r="AS1092" s="12">
        <f>IF(AR1092&gt;0,IF(AR1092&lt;=eco,alpha*fck*(1-(1-AR1092/eco)^n),alpha*fck),0)</f>
      </c>
      <c r="AT1092" s="30">
        <f>PM_Angle!$J$25+PM_Angle!$K$25*$C1092+PM_Angle!$L$25*$B1092</f>
      </c>
      <c r="AU1092" s="12">
        <f>IF(AT1092&gt;0,IF(AT1092&lt;=eco,alpha*fck*(1-(1-AT1092/eco)^n),alpha*fck),0)</f>
      </c>
    </row>
    <row r="1093" spans="1:47" x14ac:dyDescent="0.25">
      <c r="A1093">
        <f>Mesh!A1090</f>
      </c>
      <c r="B1093" s="12">
        <f>Mesh!B1090</f>
      </c>
      <c r="C1093" s="12">
        <f>Mesh!C1090</f>
      </c>
      <c r="D1093" s="12">
        <f>Mesh!D1090</f>
      </c>
      <c r="E1093" s="30">
        <f>INDEX(St_e0,Det+1)+INDEX(St_kx,Det+1)*C1093+INDEX(St_ky,Det+1)*B1093</f>
      </c>
      <c r="F1093" s="12">
        <f>IF(E1093&gt;0,IF(E1093&lt;=eco,alpha*fck*(1-(1-E1093/eco)^n),alpha*fck),0)</f>
      </c>
      <c r="G1093" s="11">
        <f>F1093*D1093</f>
      </c>
      <c r="H1093" s="11">
        <f>G1093*C1093</f>
      </c>
      <c r="I1093" s="11">
        <f>G1093*B1093</f>
      </c>
      <c r="J1093" s="30">
        <f>PM_Angle!$J$7+PM_Angle!$K$7*$C1093+PM_Angle!$L$7*$B1093</f>
      </c>
      <c r="K1093" s="12">
        <f>IF(J1093&gt;0,IF(J1093&lt;=eco,alpha*fck*(1-(1-J1093/eco)^n),alpha*fck),0)</f>
      </c>
      <c r="L1093" s="30">
        <f>PM_Angle!$J$8+PM_Angle!$K$8*$C1093+PM_Angle!$L$8*$B1093</f>
      </c>
      <c r="M1093" s="12">
        <f>IF(L1093&gt;0,IF(L1093&lt;=eco,alpha*fck*(1-(1-L1093/eco)^n),alpha*fck),0)</f>
      </c>
      <c r="N1093" s="30">
        <f>PM_Angle!$J$9+PM_Angle!$K$9*$C1093+PM_Angle!$L$9*$B1093</f>
      </c>
      <c r="O1093" s="12">
        <f>IF(N1093&gt;0,IF(N1093&lt;=eco,alpha*fck*(1-(1-N1093/eco)^n),alpha*fck),0)</f>
      </c>
      <c r="P1093" s="30">
        <f>PM_Angle!$J$10+PM_Angle!$K$10*$C1093+PM_Angle!$L$10*$B1093</f>
      </c>
      <c r="Q1093" s="12">
        <f>IF(P1093&gt;0,IF(P1093&lt;=eco,alpha*fck*(1-(1-P1093/eco)^n),alpha*fck),0)</f>
      </c>
      <c r="R1093" s="30">
        <f>PM_Angle!$J$11+PM_Angle!$K$11*$C1093+PM_Angle!$L$11*$B1093</f>
      </c>
      <c r="S1093" s="12">
        <f>IF(R1093&gt;0,IF(R1093&lt;=eco,alpha*fck*(1-(1-R1093/eco)^n),alpha*fck),0)</f>
      </c>
      <c r="T1093" s="30">
        <f>PM_Angle!$J$12+PM_Angle!$K$12*$C1093+PM_Angle!$L$12*$B1093</f>
      </c>
      <c r="U1093" s="12">
        <f>IF(T1093&gt;0,IF(T1093&lt;=eco,alpha*fck*(1-(1-T1093/eco)^n),alpha*fck),0)</f>
      </c>
      <c r="V1093" s="30">
        <f>PM_Angle!$J$13+PM_Angle!$K$13*$C1093+PM_Angle!$L$13*$B1093</f>
      </c>
      <c r="W1093" s="12">
        <f>IF(V1093&gt;0,IF(V1093&lt;=eco,alpha*fck*(1-(1-V1093/eco)^n),alpha*fck),0)</f>
      </c>
      <c r="X1093" s="30">
        <f>PM_Angle!$J$14+PM_Angle!$K$14*$C1093+PM_Angle!$L$14*$B1093</f>
      </c>
      <c r="Y1093" s="12">
        <f>IF(X1093&gt;0,IF(X1093&lt;=eco,alpha*fck*(1-(1-X1093/eco)^n),alpha*fck),0)</f>
      </c>
      <c r="Z1093" s="30">
        <f>PM_Angle!$J$15+PM_Angle!$K$15*$C1093+PM_Angle!$L$15*$B1093</f>
      </c>
      <c r="AA1093" s="12">
        <f>IF(Z1093&gt;0,IF(Z1093&lt;=eco,alpha*fck*(1-(1-Z1093/eco)^n),alpha*fck),0)</f>
      </c>
      <c r="AB1093" s="30">
        <f>PM_Angle!$J$16+PM_Angle!$K$16*$C1093+PM_Angle!$L$16*$B1093</f>
      </c>
      <c r="AC1093" s="12">
        <f>IF(AB1093&gt;0,IF(AB1093&lt;=eco,alpha*fck*(1-(1-AB1093/eco)^n),alpha*fck),0)</f>
      </c>
      <c r="AD1093" s="30">
        <f>PM_Angle!$J$17+PM_Angle!$K$17*$C1093+PM_Angle!$L$17*$B1093</f>
      </c>
      <c r="AE1093" s="12">
        <f>IF(AD1093&gt;0,IF(AD1093&lt;=eco,alpha*fck*(1-(1-AD1093/eco)^n),alpha*fck),0)</f>
      </c>
      <c r="AF1093" s="30">
        <f>PM_Angle!$J$18+PM_Angle!$K$18*$C1093+PM_Angle!$L$18*$B1093</f>
      </c>
      <c r="AG1093" s="12">
        <f>IF(AF1093&gt;0,IF(AF1093&lt;=eco,alpha*fck*(1-(1-AF1093/eco)^n),alpha*fck),0)</f>
      </c>
      <c r="AH1093" s="30">
        <f>PM_Angle!$J$19+PM_Angle!$K$19*$C1093+PM_Angle!$L$19*$B1093</f>
      </c>
      <c r="AI1093" s="12">
        <f>IF(AH1093&gt;0,IF(AH1093&lt;=eco,alpha*fck*(1-(1-AH1093/eco)^n),alpha*fck),0)</f>
      </c>
      <c r="AJ1093" s="30">
        <f>PM_Angle!$J$20+PM_Angle!$K$20*$C1093+PM_Angle!$L$20*$B1093</f>
      </c>
      <c r="AK1093" s="12">
        <f>IF(AJ1093&gt;0,IF(AJ1093&lt;=eco,alpha*fck*(1-(1-AJ1093/eco)^n),alpha*fck),0)</f>
      </c>
      <c r="AL1093" s="30">
        <f>PM_Angle!$J$21+PM_Angle!$K$21*$C1093+PM_Angle!$L$21*$B1093</f>
      </c>
      <c r="AM1093" s="12">
        <f>IF(AL1093&gt;0,IF(AL1093&lt;=eco,alpha*fck*(1-(1-AL1093/eco)^n),alpha*fck),0)</f>
      </c>
      <c r="AN1093" s="30">
        <f>PM_Angle!$J$22+PM_Angle!$K$22*$C1093+PM_Angle!$L$22*$B1093</f>
      </c>
      <c r="AO1093" s="12">
        <f>IF(AN1093&gt;0,IF(AN1093&lt;=eco,alpha*fck*(1-(1-AN1093/eco)^n),alpha*fck),0)</f>
      </c>
      <c r="AP1093" s="30">
        <f>PM_Angle!$J$23+PM_Angle!$K$23*$C1093+PM_Angle!$L$23*$B1093</f>
      </c>
      <c r="AQ1093" s="12">
        <f>IF(AP1093&gt;0,IF(AP1093&lt;=eco,alpha*fck*(1-(1-AP1093/eco)^n),alpha*fck),0)</f>
      </c>
      <c r="AR1093" s="30">
        <f>PM_Angle!$J$24+PM_Angle!$K$24*$C1093+PM_Angle!$L$24*$B1093</f>
      </c>
      <c r="AS1093" s="12">
        <f>IF(AR1093&gt;0,IF(AR1093&lt;=eco,alpha*fck*(1-(1-AR1093/eco)^n),alpha*fck),0)</f>
      </c>
      <c r="AT1093" s="30">
        <f>PM_Angle!$J$25+PM_Angle!$K$25*$C1093+PM_Angle!$L$25*$B1093</f>
      </c>
      <c r="AU1093" s="12">
        <f>IF(AT1093&gt;0,IF(AT1093&lt;=eco,alpha*fck*(1-(1-AT1093/eco)^n),alpha*fck),0)</f>
      </c>
    </row>
    <row r="1094" spans="1:47" x14ac:dyDescent="0.25">
      <c r="A1094">
        <f>Mesh!A1091</f>
      </c>
      <c r="B1094" s="12">
        <f>Mesh!B1091</f>
      </c>
      <c r="C1094" s="12">
        <f>Mesh!C1091</f>
      </c>
      <c r="D1094" s="12">
        <f>Mesh!D1091</f>
      </c>
      <c r="E1094" s="30">
        <f>INDEX(St_e0,Det+1)+INDEX(St_kx,Det+1)*C1094+INDEX(St_ky,Det+1)*B1094</f>
      </c>
      <c r="F1094" s="12">
        <f>IF(E1094&gt;0,IF(E1094&lt;=eco,alpha*fck*(1-(1-E1094/eco)^n),alpha*fck),0)</f>
      </c>
      <c r="G1094" s="11">
        <f>F1094*D1094</f>
      </c>
      <c r="H1094" s="11">
        <f>G1094*C1094</f>
      </c>
      <c r="I1094" s="11">
        <f>G1094*B1094</f>
      </c>
      <c r="J1094" s="30">
        <f>PM_Angle!$J$7+PM_Angle!$K$7*$C1094+PM_Angle!$L$7*$B1094</f>
      </c>
      <c r="K1094" s="12">
        <f>IF(J1094&gt;0,IF(J1094&lt;=eco,alpha*fck*(1-(1-J1094/eco)^n),alpha*fck),0)</f>
      </c>
      <c r="L1094" s="30">
        <f>PM_Angle!$J$8+PM_Angle!$K$8*$C1094+PM_Angle!$L$8*$B1094</f>
      </c>
      <c r="M1094" s="12">
        <f>IF(L1094&gt;0,IF(L1094&lt;=eco,alpha*fck*(1-(1-L1094/eco)^n),alpha*fck),0)</f>
      </c>
      <c r="N1094" s="30">
        <f>PM_Angle!$J$9+PM_Angle!$K$9*$C1094+PM_Angle!$L$9*$B1094</f>
      </c>
      <c r="O1094" s="12">
        <f>IF(N1094&gt;0,IF(N1094&lt;=eco,alpha*fck*(1-(1-N1094/eco)^n),alpha*fck),0)</f>
      </c>
      <c r="P1094" s="30">
        <f>PM_Angle!$J$10+PM_Angle!$K$10*$C1094+PM_Angle!$L$10*$B1094</f>
      </c>
      <c r="Q1094" s="12">
        <f>IF(P1094&gt;0,IF(P1094&lt;=eco,alpha*fck*(1-(1-P1094/eco)^n),alpha*fck),0)</f>
      </c>
      <c r="R1094" s="30">
        <f>PM_Angle!$J$11+PM_Angle!$K$11*$C1094+PM_Angle!$L$11*$B1094</f>
      </c>
      <c r="S1094" s="12">
        <f>IF(R1094&gt;0,IF(R1094&lt;=eco,alpha*fck*(1-(1-R1094/eco)^n),alpha*fck),0)</f>
      </c>
      <c r="T1094" s="30">
        <f>PM_Angle!$J$12+PM_Angle!$K$12*$C1094+PM_Angle!$L$12*$B1094</f>
      </c>
      <c r="U1094" s="12">
        <f>IF(T1094&gt;0,IF(T1094&lt;=eco,alpha*fck*(1-(1-T1094/eco)^n),alpha*fck),0)</f>
      </c>
      <c r="V1094" s="30">
        <f>PM_Angle!$J$13+PM_Angle!$K$13*$C1094+PM_Angle!$L$13*$B1094</f>
      </c>
      <c r="W1094" s="12">
        <f>IF(V1094&gt;0,IF(V1094&lt;=eco,alpha*fck*(1-(1-V1094/eco)^n),alpha*fck),0)</f>
      </c>
      <c r="X1094" s="30">
        <f>PM_Angle!$J$14+PM_Angle!$K$14*$C1094+PM_Angle!$L$14*$B1094</f>
      </c>
      <c r="Y1094" s="12">
        <f>IF(X1094&gt;0,IF(X1094&lt;=eco,alpha*fck*(1-(1-X1094/eco)^n),alpha*fck),0)</f>
      </c>
      <c r="Z1094" s="30">
        <f>PM_Angle!$J$15+PM_Angle!$K$15*$C1094+PM_Angle!$L$15*$B1094</f>
      </c>
      <c r="AA1094" s="12">
        <f>IF(Z1094&gt;0,IF(Z1094&lt;=eco,alpha*fck*(1-(1-Z1094/eco)^n),alpha*fck),0)</f>
      </c>
      <c r="AB1094" s="30">
        <f>PM_Angle!$J$16+PM_Angle!$K$16*$C1094+PM_Angle!$L$16*$B1094</f>
      </c>
      <c r="AC1094" s="12">
        <f>IF(AB1094&gt;0,IF(AB1094&lt;=eco,alpha*fck*(1-(1-AB1094/eco)^n),alpha*fck),0)</f>
      </c>
      <c r="AD1094" s="30">
        <f>PM_Angle!$J$17+PM_Angle!$K$17*$C1094+PM_Angle!$L$17*$B1094</f>
      </c>
      <c r="AE1094" s="12">
        <f>IF(AD1094&gt;0,IF(AD1094&lt;=eco,alpha*fck*(1-(1-AD1094/eco)^n),alpha*fck),0)</f>
      </c>
      <c r="AF1094" s="30">
        <f>PM_Angle!$J$18+PM_Angle!$K$18*$C1094+PM_Angle!$L$18*$B1094</f>
      </c>
      <c r="AG1094" s="12">
        <f>IF(AF1094&gt;0,IF(AF1094&lt;=eco,alpha*fck*(1-(1-AF1094/eco)^n),alpha*fck),0)</f>
      </c>
      <c r="AH1094" s="30">
        <f>PM_Angle!$J$19+PM_Angle!$K$19*$C1094+PM_Angle!$L$19*$B1094</f>
      </c>
      <c r="AI1094" s="12">
        <f>IF(AH1094&gt;0,IF(AH1094&lt;=eco,alpha*fck*(1-(1-AH1094/eco)^n),alpha*fck),0)</f>
      </c>
      <c r="AJ1094" s="30">
        <f>PM_Angle!$J$20+PM_Angle!$K$20*$C1094+PM_Angle!$L$20*$B1094</f>
      </c>
      <c r="AK1094" s="12">
        <f>IF(AJ1094&gt;0,IF(AJ1094&lt;=eco,alpha*fck*(1-(1-AJ1094/eco)^n),alpha*fck),0)</f>
      </c>
      <c r="AL1094" s="30">
        <f>PM_Angle!$J$21+PM_Angle!$K$21*$C1094+PM_Angle!$L$21*$B1094</f>
      </c>
      <c r="AM1094" s="12">
        <f>IF(AL1094&gt;0,IF(AL1094&lt;=eco,alpha*fck*(1-(1-AL1094/eco)^n),alpha*fck),0)</f>
      </c>
      <c r="AN1094" s="30">
        <f>PM_Angle!$J$22+PM_Angle!$K$22*$C1094+PM_Angle!$L$22*$B1094</f>
      </c>
      <c r="AO1094" s="12">
        <f>IF(AN1094&gt;0,IF(AN1094&lt;=eco,alpha*fck*(1-(1-AN1094/eco)^n),alpha*fck),0)</f>
      </c>
      <c r="AP1094" s="30">
        <f>PM_Angle!$J$23+PM_Angle!$K$23*$C1094+PM_Angle!$L$23*$B1094</f>
      </c>
      <c r="AQ1094" s="12">
        <f>IF(AP1094&gt;0,IF(AP1094&lt;=eco,alpha*fck*(1-(1-AP1094/eco)^n),alpha*fck),0)</f>
      </c>
      <c r="AR1094" s="30">
        <f>PM_Angle!$J$24+PM_Angle!$K$24*$C1094+PM_Angle!$L$24*$B1094</f>
      </c>
      <c r="AS1094" s="12">
        <f>IF(AR1094&gt;0,IF(AR1094&lt;=eco,alpha*fck*(1-(1-AR1094/eco)^n),alpha*fck),0)</f>
      </c>
      <c r="AT1094" s="30">
        <f>PM_Angle!$J$25+PM_Angle!$K$25*$C1094+PM_Angle!$L$25*$B1094</f>
      </c>
      <c r="AU1094" s="12">
        <f>IF(AT1094&gt;0,IF(AT1094&lt;=eco,alpha*fck*(1-(1-AT1094/eco)^n),alpha*fck),0)</f>
      </c>
    </row>
    <row r="1095" spans="1:47" x14ac:dyDescent="0.25">
      <c r="A1095">
        <f>Mesh!A1092</f>
      </c>
      <c r="B1095" s="12">
        <f>Mesh!B1092</f>
      </c>
      <c r="C1095" s="12">
        <f>Mesh!C1092</f>
      </c>
      <c r="D1095" s="12">
        <f>Mesh!D1092</f>
      </c>
      <c r="E1095" s="30">
        <f>INDEX(St_e0,Det+1)+INDEX(St_kx,Det+1)*C1095+INDEX(St_ky,Det+1)*B1095</f>
      </c>
      <c r="F1095" s="12">
        <f>IF(E1095&gt;0,IF(E1095&lt;=eco,alpha*fck*(1-(1-E1095/eco)^n),alpha*fck),0)</f>
      </c>
      <c r="G1095" s="11">
        <f>F1095*D1095</f>
      </c>
      <c r="H1095" s="11">
        <f>G1095*C1095</f>
      </c>
      <c r="I1095" s="11">
        <f>G1095*B1095</f>
      </c>
      <c r="J1095" s="30">
        <f>PM_Angle!$J$7+PM_Angle!$K$7*$C1095+PM_Angle!$L$7*$B1095</f>
      </c>
      <c r="K1095" s="12">
        <f>IF(J1095&gt;0,IF(J1095&lt;=eco,alpha*fck*(1-(1-J1095/eco)^n),alpha*fck),0)</f>
      </c>
      <c r="L1095" s="30">
        <f>PM_Angle!$J$8+PM_Angle!$K$8*$C1095+PM_Angle!$L$8*$B1095</f>
      </c>
      <c r="M1095" s="12">
        <f>IF(L1095&gt;0,IF(L1095&lt;=eco,alpha*fck*(1-(1-L1095/eco)^n),alpha*fck),0)</f>
      </c>
      <c r="N1095" s="30">
        <f>PM_Angle!$J$9+PM_Angle!$K$9*$C1095+PM_Angle!$L$9*$B1095</f>
      </c>
      <c r="O1095" s="12">
        <f>IF(N1095&gt;0,IF(N1095&lt;=eco,alpha*fck*(1-(1-N1095/eco)^n),alpha*fck),0)</f>
      </c>
      <c r="P1095" s="30">
        <f>PM_Angle!$J$10+PM_Angle!$K$10*$C1095+PM_Angle!$L$10*$B1095</f>
      </c>
      <c r="Q1095" s="12">
        <f>IF(P1095&gt;0,IF(P1095&lt;=eco,alpha*fck*(1-(1-P1095/eco)^n),alpha*fck),0)</f>
      </c>
      <c r="R1095" s="30">
        <f>PM_Angle!$J$11+PM_Angle!$K$11*$C1095+PM_Angle!$L$11*$B1095</f>
      </c>
      <c r="S1095" s="12">
        <f>IF(R1095&gt;0,IF(R1095&lt;=eco,alpha*fck*(1-(1-R1095/eco)^n),alpha*fck),0)</f>
      </c>
      <c r="T1095" s="30">
        <f>PM_Angle!$J$12+PM_Angle!$K$12*$C1095+PM_Angle!$L$12*$B1095</f>
      </c>
      <c r="U1095" s="12">
        <f>IF(T1095&gt;0,IF(T1095&lt;=eco,alpha*fck*(1-(1-T1095/eco)^n),alpha*fck),0)</f>
      </c>
      <c r="V1095" s="30">
        <f>PM_Angle!$J$13+PM_Angle!$K$13*$C1095+PM_Angle!$L$13*$B1095</f>
      </c>
      <c r="W1095" s="12">
        <f>IF(V1095&gt;0,IF(V1095&lt;=eco,alpha*fck*(1-(1-V1095/eco)^n),alpha*fck),0)</f>
      </c>
      <c r="X1095" s="30">
        <f>PM_Angle!$J$14+PM_Angle!$K$14*$C1095+PM_Angle!$L$14*$B1095</f>
      </c>
      <c r="Y1095" s="12">
        <f>IF(X1095&gt;0,IF(X1095&lt;=eco,alpha*fck*(1-(1-X1095/eco)^n),alpha*fck),0)</f>
      </c>
      <c r="Z1095" s="30">
        <f>PM_Angle!$J$15+PM_Angle!$K$15*$C1095+PM_Angle!$L$15*$B1095</f>
      </c>
      <c r="AA1095" s="12">
        <f>IF(Z1095&gt;0,IF(Z1095&lt;=eco,alpha*fck*(1-(1-Z1095/eco)^n),alpha*fck),0)</f>
      </c>
      <c r="AB1095" s="30">
        <f>PM_Angle!$J$16+PM_Angle!$K$16*$C1095+PM_Angle!$L$16*$B1095</f>
      </c>
      <c r="AC1095" s="12">
        <f>IF(AB1095&gt;0,IF(AB1095&lt;=eco,alpha*fck*(1-(1-AB1095/eco)^n),alpha*fck),0)</f>
      </c>
      <c r="AD1095" s="30">
        <f>PM_Angle!$J$17+PM_Angle!$K$17*$C1095+PM_Angle!$L$17*$B1095</f>
      </c>
      <c r="AE1095" s="12">
        <f>IF(AD1095&gt;0,IF(AD1095&lt;=eco,alpha*fck*(1-(1-AD1095/eco)^n),alpha*fck),0)</f>
      </c>
      <c r="AF1095" s="30">
        <f>PM_Angle!$J$18+PM_Angle!$K$18*$C1095+PM_Angle!$L$18*$B1095</f>
      </c>
      <c r="AG1095" s="12">
        <f>IF(AF1095&gt;0,IF(AF1095&lt;=eco,alpha*fck*(1-(1-AF1095/eco)^n),alpha*fck),0)</f>
      </c>
      <c r="AH1095" s="30">
        <f>PM_Angle!$J$19+PM_Angle!$K$19*$C1095+PM_Angle!$L$19*$B1095</f>
      </c>
      <c r="AI1095" s="12">
        <f>IF(AH1095&gt;0,IF(AH1095&lt;=eco,alpha*fck*(1-(1-AH1095/eco)^n),alpha*fck),0)</f>
      </c>
      <c r="AJ1095" s="30">
        <f>PM_Angle!$J$20+PM_Angle!$K$20*$C1095+PM_Angle!$L$20*$B1095</f>
      </c>
      <c r="AK1095" s="12">
        <f>IF(AJ1095&gt;0,IF(AJ1095&lt;=eco,alpha*fck*(1-(1-AJ1095/eco)^n),alpha*fck),0)</f>
      </c>
      <c r="AL1095" s="30">
        <f>PM_Angle!$J$21+PM_Angle!$K$21*$C1095+PM_Angle!$L$21*$B1095</f>
      </c>
      <c r="AM1095" s="12">
        <f>IF(AL1095&gt;0,IF(AL1095&lt;=eco,alpha*fck*(1-(1-AL1095/eco)^n),alpha*fck),0)</f>
      </c>
      <c r="AN1095" s="30">
        <f>PM_Angle!$J$22+PM_Angle!$K$22*$C1095+PM_Angle!$L$22*$B1095</f>
      </c>
      <c r="AO1095" s="12">
        <f>IF(AN1095&gt;0,IF(AN1095&lt;=eco,alpha*fck*(1-(1-AN1095/eco)^n),alpha*fck),0)</f>
      </c>
      <c r="AP1095" s="30">
        <f>PM_Angle!$J$23+PM_Angle!$K$23*$C1095+PM_Angle!$L$23*$B1095</f>
      </c>
      <c r="AQ1095" s="12">
        <f>IF(AP1095&gt;0,IF(AP1095&lt;=eco,alpha*fck*(1-(1-AP1095/eco)^n),alpha*fck),0)</f>
      </c>
      <c r="AR1095" s="30">
        <f>PM_Angle!$J$24+PM_Angle!$K$24*$C1095+PM_Angle!$L$24*$B1095</f>
      </c>
      <c r="AS1095" s="12">
        <f>IF(AR1095&gt;0,IF(AR1095&lt;=eco,alpha*fck*(1-(1-AR1095/eco)^n),alpha*fck),0)</f>
      </c>
      <c r="AT1095" s="30">
        <f>PM_Angle!$J$25+PM_Angle!$K$25*$C1095+PM_Angle!$L$25*$B1095</f>
      </c>
      <c r="AU1095" s="12">
        <f>IF(AT1095&gt;0,IF(AT1095&lt;=eco,alpha*fck*(1-(1-AT1095/eco)^n),alpha*fck),0)</f>
      </c>
    </row>
    <row r="1096" spans="1:47" x14ac:dyDescent="0.25">
      <c r="A1096">
        <f>Mesh!A1093</f>
      </c>
      <c r="B1096" s="12">
        <f>Mesh!B1093</f>
      </c>
      <c r="C1096" s="12">
        <f>Mesh!C1093</f>
      </c>
      <c r="D1096" s="12">
        <f>Mesh!D1093</f>
      </c>
      <c r="E1096" s="30">
        <f>INDEX(St_e0,Det+1)+INDEX(St_kx,Det+1)*C1096+INDEX(St_ky,Det+1)*B1096</f>
      </c>
      <c r="F1096" s="12">
        <f>IF(E1096&gt;0,IF(E1096&lt;=eco,alpha*fck*(1-(1-E1096/eco)^n),alpha*fck),0)</f>
      </c>
      <c r="G1096" s="11">
        <f>F1096*D1096</f>
      </c>
      <c r="H1096" s="11">
        <f>G1096*C1096</f>
      </c>
      <c r="I1096" s="11">
        <f>G1096*B1096</f>
      </c>
      <c r="J1096" s="30">
        <f>PM_Angle!$J$7+PM_Angle!$K$7*$C1096+PM_Angle!$L$7*$B1096</f>
      </c>
      <c r="K1096" s="12">
        <f>IF(J1096&gt;0,IF(J1096&lt;=eco,alpha*fck*(1-(1-J1096/eco)^n),alpha*fck),0)</f>
      </c>
      <c r="L1096" s="30">
        <f>PM_Angle!$J$8+PM_Angle!$K$8*$C1096+PM_Angle!$L$8*$B1096</f>
      </c>
      <c r="M1096" s="12">
        <f>IF(L1096&gt;0,IF(L1096&lt;=eco,alpha*fck*(1-(1-L1096/eco)^n),alpha*fck),0)</f>
      </c>
      <c r="N1096" s="30">
        <f>PM_Angle!$J$9+PM_Angle!$K$9*$C1096+PM_Angle!$L$9*$B1096</f>
      </c>
      <c r="O1096" s="12">
        <f>IF(N1096&gt;0,IF(N1096&lt;=eco,alpha*fck*(1-(1-N1096/eco)^n),alpha*fck),0)</f>
      </c>
      <c r="P1096" s="30">
        <f>PM_Angle!$J$10+PM_Angle!$K$10*$C1096+PM_Angle!$L$10*$B1096</f>
      </c>
      <c r="Q1096" s="12">
        <f>IF(P1096&gt;0,IF(P1096&lt;=eco,alpha*fck*(1-(1-P1096/eco)^n),alpha*fck),0)</f>
      </c>
      <c r="R1096" s="30">
        <f>PM_Angle!$J$11+PM_Angle!$K$11*$C1096+PM_Angle!$L$11*$B1096</f>
      </c>
      <c r="S1096" s="12">
        <f>IF(R1096&gt;0,IF(R1096&lt;=eco,alpha*fck*(1-(1-R1096/eco)^n),alpha*fck),0)</f>
      </c>
      <c r="T1096" s="30">
        <f>PM_Angle!$J$12+PM_Angle!$K$12*$C1096+PM_Angle!$L$12*$B1096</f>
      </c>
      <c r="U1096" s="12">
        <f>IF(T1096&gt;0,IF(T1096&lt;=eco,alpha*fck*(1-(1-T1096/eco)^n),alpha*fck),0)</f>
      </c>
      <c r="V1096" s="30">
        <f>PM_Angle!$J$13+PM_Angle!$K$13*$C1096+PM_Angle!$L$13*$B1096</f>
      </c>
      <c r="W1096" s="12">
        <f>IF(V1096&gt;0,IF(V1096&lt;=eco,alpha*fck*(1-(1-V1096/eco)^n),alpha*fck),0)</f>
      </c>
      <c r="X1096" s="30">
        <f>PM_Angle!$J$14+PM_Angle!$K$14*$C1096+PM_Angle!$L$14*$B1096</f>
      </c>
      <c r="Y1096" s="12">
        <f>IF(X1096&gt;0,IF(X1096&lt;=eco,alpha*fck*(1-(1-X1096/eco)^n),alpha*fck),0)</f>
      </c>
      <c r="Z1096" s="30">
        <f>PM_Angle!$J$15+PM_Angle!$K$15*$C1096+PM_Angle!$L$15*$B1096</f>
      </c>
      <c r="AA1096" s="12">
        <f>IF(Z1096&gt;0,IF(Z1096&lt;=eco,alpha*fck*(1-(1-Z1096/eco)^n),alpha*fck),0)</f>
      </c>
      <c r="AB1096" s="30">
        <f>PM_Angle!$J$16+PM_Angle!$K$16*$C1096+PM_Angle!$L$16*$B1096</f>
      </c>
      <c r="AC1096" s="12">
        <f>IF(AB1096&gt;0,IF(AB1096&lt;=eco,alpha*fck*(1-(1-AB1096/eco)^n),alpha*fck),0)</f>
      </c>
      <c r="AD1096" s="30">
        <f>PM_Angle!$J$17+PM_Angle!$K$17*$C1096+PM_Angle!$L$17*$B1096</f>
      </c>
      <c r="AE1096" s="12">
        <f>IF(AD1096&gt;0,IF(AD1096&lt;=eco,alpha*fck*(1-(1-AD1096/eco)^n),alpha*fck),0)</f>
      </c>
      <c r="AF1096" s="30">
        <f>PM_Angle!$J$18+PM_Angle!$K$18*$C1096+PM_Angle!$L$18*$B1096</f>
      </c>
      <c r="AG1096" s="12">
        <f>IF(AF1096&gt;0,IF(AF1096&lt;=eco,alpha*fck*(1-(1-AF1096/eco)^n),alpha*fck),0)</f>
      </c>
      <c r="AH1096" s="30">
        <f>PM_Angle!$J$19+PM_Angle!$K$19*$C1096+PM_Angle!$L$19*$B1096</f>
      </c>
      <c r="AI1096" s="12">
        <f>IF(AH1096&gt;0,IF(AH1096&lt;=eco,alpha*fck*(1-(1-AH1096/eco)^n),alpha*fck),0)</f>
      </c>
      <c r="AJ1096" s="30">
        <f>PM_Angle!$J$20+PM_Angle!$K$20*$C1096+PM_Angle!$L$20*$B1096</f>
      </c>
      <c r="AK1096" s="12">
        <f>IF(AJ1096&gt;0,IF(AJ1096&lt;=eco,alpha*fck*(1-(1-AJ1096/eco)^n),alpha*fck),0)</f>
      </c>
      <c r="AL1096" s="30">
        <f>PM_Angle!$J$21+PM_Angle!$K$21*$C1096+PM_Angle!$L$21*$B1096</f>
      </c>
      <c r="AM1096" s="12">
        <f>IF(AL1096&gt;0,IF(AL1096&lt;=eco,alpha*fck*(1-(1-AL1096/eco)^n),alpha*fck),0)</f>
      </c>
      <c r="AN1096" s="30">
        <f>PM_Angle!$J$22+PM_Angle!$K$22*$C1096+PM_Angle!$L$22*$B1096</f>
      </c>
      <c r="AO1096" s="12">
        <f>IF(AN1096&gt;0,IF(AN1096&lt;=eco,alpha*fck*(1-(1-AN1096/eco)^n),alpha*fck),0)</f>
      </c>
      <c r="AP1096" s="30">
        <f>PM_Angle!$J$23+PM_Angle!$K$23*$C1096+PM_Angle!$L$23*$B1096</f>
      </c>
      <c r="AQ1096" s="12">
        <f>IF(AP1096&gt;0,IF(AP1096&lt;=eco,alpha*fck*(1-(1-AP1096/eco)^n),alpha*fck),0)</f>
      </c>
      <c r="AR1096" s="30">
        <f>PM_Angle!$J$24+PM_Angle!$K$24*$C1096+PM_Angle!$L$24*$B1096</f>
      </c>
      <c r="AS1096" s="12">
        <f>IF(AR1096&gt;0,IF(AR1096&lt;=eco,alpha*fck*(1-(1-AR1096/eco)^n),alpha*fck),0)</f>
      </c>
      <c r="AT1096" s="30">
        <f>PM_Angle!$J$25+PM_Angle!$K$25*$C1096+PM_Angle!$L$25*$B1096</f>
      </c>
      <c r="AU1096" s="12">
        <f>IF(AT1096&gt;0,IF(AT1096&lt;=eco,alpha*fck*(1-(1-AT1096/eco)^n),alpha*fck),0)</f>
      </c>
    </row>
    <row r="1097" spans="1:47" x14ac:dyDescent="0.25">
      <c r="A1097">
        <f>Mesh!A1094</f>
      </c>
      <c r="B1097" s="12">
        <f>Mesh!B1094</f>
      </c>
      <c r="C1097" s="12">
        <f>Mesh!C1094</f>
      </c>
      <c r="D1097" s="12">
        <f>Mesh!D1094</f>
      </c>
      <c r="E1097" s="30">
        <f>INDEX(St_e0,Det+1)+INDEX(St_kx,Det+1)*C1097+INDEX(St_ky,Det+1)*B1097</f>
      </c>
      <c r="F1097" s="12">
        <f>IF(E1097&gt;0,IF(E1097&lt;=eco,alpha*fck*(1-(1-E1097/eco)^n),alpha*fck),0)</f>
      </c>
      <c r="G1097" s="11">
        <f>F1097*D1097</f>
      </c>
      <c r="H1097" s="11">
        <f>G1097*C1097</f>
      </c>
      <c r="I1097" s="11">
        <f>G1097*B1097</f>
      </c>
      <c r="J1097" s="30">
        <f>PM_Angle!$J$7+PM_Angle!$K$7*$C1097+PM_Angle!$L$7*$B1097</f>
      </c>
      <c r="K1097" s="12">
        <f>IF(J1097&gt;0,IF(J1097&lt;=eco,alpha*fck*(1-(1-J1097/eco)^n),alpha*fck),0)</f>
      </c>
      <c r="L1097" s="30">
        <f>PM_Angle!$J$8+PM_Angle!$K$8*$C1097+PM_Angle!$L$8*$B1097</f>
      </c>
      <c r="M1097" s="12">
        <f>IF(L1097&gt;0,IF(L1097&lt;=eco,alpha*fck*(1-(1-L1097/eco)^n),alpha*fck),0)</f>
      </c>
      <c r="N1097" s="30">
        <f>PM_Angle!$J$9+PM_Angle!$K$9*$C1097+PM_Angle!$L$9*$B1097</f>
      </c>
      <c r="O1097" s="12">
        <f>IF(N1097&gt;0,IF(N1097&lt;=eco,alpha*fck*(1-(1-N1097/eco)^n),alpha*fck),0)</f>
      </c>
      <c r="P1097" s="30">
        <f>PM_Angle!$J$10+PM_Angle!$K$10*$C1097+PM_Angle!$L$10*$B1097</f>
      </c>
      <c r="Q1097" s="12">
        <f>IF(P1097&gt;0,IF(P1097&lt;=eco,alpha*fck*(1-(1-P1097/eco)^n),alpha*fck),0)</f>
      </c>
      <c r="R1097" s="30">
        <f>PM_Angle!$J$11+PM_Angle!$K$11*$C1097+PM_Angle!$L$11*$B1097</f>
      </c>
      <c r="S1097" s="12">
        <f>IF(R1097&gt;0,IF(R1097&lt;=eco,alpha*fck*(1-(1-R1097/eco)^n),alpha*fck),0)</f>
      </c>
      <c r="T1097" s="30">
        <f>PM_Angle!$J$12+PM_Angle!$K$12*$C1097+PM_Angle!$L$12*$B1097</f>
      </c>
      <c r="U1097" s="12">
        <f>IF(T1097&gt;0,IF(T1097&lt;=eco,alpha*fck*(1-(1-T1097/eco)^n),alpha*fck),0)</f>
      </c>
      <c r="V1097" s="30">
        <f>PM_Angle!$J$13+PM_Angle!$K$13*$C1097+PM_Angle!$L$13*$B1097</f>
      </c>
      <c r="W1097" s="12">
        <f>IF(V1097&gt;0,IF(V1097&lt;=eco,alpha*fck*(1-(1-V1097/eco)^n),alpha*fck),0)</f>
      </c>
      <c r="X1097" s="30">
        <f>PM_Angle!$J$14+PM_Angle!$K$14*$C1097+PM_Angle!$L$14*$B1097</f>
      </c>
      <c r="Y1097" s="12">
        <f>IF(X1097&gt;0,IF(X1097&lt;=eco,alpha*fck*(1-(1-X1097/eco)^n),alpha*fck),0)</f>
      </c>
      <c r="Z1097" s="30">
        <f>PM_Angle!$J$15+PM_Angle!$K$15*$C1097+PM_Angle!$L$15*$B1097</f>
      </c>
      <c r="AA1097" s="12">
        <f>IF(Z1097&gt;0,IF(Z1097&lt;=eco,alpha*fck*(1-(1-Z1097/eco)^n),alpha*fck),0)</f>
      </c>
      <c r="AB1097" s="30">
        <f>PM_Angle!$J$16+PM_Angle!$K$16*$C1097+PM_Angle!$L$16*$B1097</f>
      </c>
      <c r="AC1097" s="12">
        <f>IF(AB1097&gt;0,IF(AB1097&lt;=eco,alpha*fck*(1-(1-AB1097/eco)^n),alpha*fck),0)</f>
      </c>
      <c r="AD1097" s="30">
        <f>PM_Angle!$J$17+PM_Angle!$K$17*$C1097+PM_Angle!$L$17*$B1097</f>
      </c>
      <c r="AE1097" s="12">
        <f>IF(AD1097&gt;0,IF(AD1097&lt;=eco,alpha*fck*(1-(1-AD1097/eco)^n),alpha*fck),0)</f>
      </c>
      <c r="AF1097" s="30">
        <f>PM_Angle!$J$18+PM_Angle!$K$18*$C1097+PM_Angle!$L$18*$B1097</f>
      </c>
      <c r="AG1097" s="12">
        <f>IF(AF1097&gt;0,IF(AF1097&lt;=eco,alpha*fck*(1-(1-AF1097/eco)^n),alpha*fck),0)</f>
      </c>
      <c r="AH1097" s="30">
        <f>PM_Angle!$J$19+PM_Angle!$K$19*$C1097+PM_Angle!$L$19*$B1097</f>
      </c>
      <c r="AI1097" s="12">
        <f>IF(AH1097&gt;0,IF(AH1097&lt;=eco,alpha*fck*(1-(1-AH1097/eco)^n),alpha*fck),0)</f>
      </c>
      <c r="AJ1097" s="30">
        <f>PM_Angle!$J$20+PM_Angle!$K$20*$C1097+PM_Angle!$L$20*$B1097</f>
      </c>
      <c r="AK1097" s="12">
        <f>IF(AJ1097&gt;0,IF(AJ1097&lt;=eco,alpha*fck*(1-(1-AJ1097/eco)^n),alpha*fck),0)</f>
      </c>
      <c r="AL1097" s="30">
        <f>PM_Angle!$J$21+PM_Angle!$K$21*$C1097+PM_Angle!$L$21*$B1097</f>
      </c>
      <c r="AM1097" s="12">
        <f>IF(AL1097&gt;0,IF(AL1097&lt;=eco,alpha*fck*(1-(1-AL1097/eco)^n),alpha*fck),0)</f>
      </c>
      <c r="AN1097" s="30">
        <f>PM_Angle!$J$22+PM_Angle!$K$22*$C1097+PM_Angle!$L$22*$B1097</f>
      </c>
      <c r="AO1097" s="12">
        <f>IF(AN1097&gt;0,IF(AN1097&lt;=eco,alpha*fck*(1-(1-AN1097/eco)^n),alpha*fck),0)</f>
      </c>
      <c r="AP1097" s="30">
        <f>PM_Angle!$J$23+PM_Angle!$K$23*$C1097+PM_Angle!$L$23*$B1097</f>
      </c>
      <c r="AQ1097" s="12">
        <f>IF(AP1097&gt;0,IF(AP1097&lt;=eco,alpha*fck*(1-(1-AP1097/eco)^n),alpha*fck),0)</f>
      </c>
      <c r="AR1097" s="30">
        <f>PM_Angle!$J$24+PM_Angle!$K$24*$C1097+PM_Angle!$L$24*$B1097</f>
      </c>
      <c r="AS1097" s="12">
        <f>IF(AR1097&gt;0,IF(AR1097&lt;=eco,alpha*fck*(1-(1-AR1097/eco)^n),alpha*fck),0)</f>
      </c>
      <c r="AT1097" s="30">
        <f>PM_Angle!$J$25+PM_Angle!$K$25*$C1097+PM_Angle!$L$25*$B1097</f>
      </c>
      <c r="AU1097" s="12">
        <f>IF(AT1097&gt;0,IF(AT1097&lt;=eco,alpha*fck*(1-(1-AT1097/eco)^n),alpha*fck),0)</f>
      </c>
    </row>
    <row r="1098" spans="1:47" x14ac:dyDescent="0.25">
      <c r="A1098">
        <f>Mesh!A1095</f>
      </c>
      <c r="B1098" s="12">
        <f>Mesh!B1095</f>
      </c>
      <c r="C1098" s="12">
        <f>Mesh!C1095</f>
      </c>
      <c r="D1098" s="12">
        <f>Mesh!D1095</f>
      </c>
      <c r="E1098" s="30">
        <f>INDEX(St_e0,Det+1)+INDEX(St_kx,Det+1)*C1098+INDEX(St_ky,Det+1)*B1098</f>
      </c>
      <c r="F1098" s="12">
        <f>IF(E1098&gt;0,IF(E1098&lt;=eco,alpha*fck*(1-(1-E1098/eco)^n),alpha*fck),0)</f>
      </c>
      <c r="G1098" s="11">
        <f>F1098*D1098</f>
      </c>
      <c r="H1098" s="11">
        <f>G1098*C1098</f>
      </c>
      <c r="I1098" s="11">
        <f>G1098*B1098</f>
      </c>
      <c r="J1098" s="30">
        <f>PM_Angle!$J$7+PM_Angle!$K$7*$C1098+PM_Angle!$L$7*$B1098</f>
      </c>
      <c r="K1098" s="12">
        <f>IF(J1098&gt;0,IF(J1098&lt;=eco,alpha*fck*(1-(1-J1098/eco)^n),alpha*fck),0)</f>
      </c>
      <c r="L1098" s="30">
        <f>PM_Angle!$J$8+PM_Angle!$K$8*$C1098+PM_Angle!$L$8*$B1098</f>
      </c>
      <c r="M1098" s="12">
        <f>IF(L1098&gt;0,IF(L1098&lt;=eco,alpha*fck*(1-(1-L1098/eco)^n),alpha*fck),0)</f>
      </c>
      <c r="N1098" s="30">
        <f>PM_Angle!$J$9+PM_Angle!$K$9*$C1098+PM_Angle!$L$9*$B1098</f>
      </c>
      <c r="O1098" s="12">
        <f>IF(N1098&gt;0,IF(N1098&lt;=eco,alpha*fck*(1-(1-N1098/eco)^n),alpha*fck),0)</f>
      </c>
      <c r="P1098" s="30">
        <f>PM_Angle!$J$10+PM_Angle!$K$10*$C1098+PM_Angle!$L$10*$B1098</f>
      </c>
      <c r="Q1098" s="12">
        <f>IF(P1098&gt;0,IF(P1098&lt;=eco,alpha*fck*(1-(1-P1098/eco)^n),alpha*fck),0)</f>
      </c>
      <c r="R1098" s="30">
        <f>PM_Angle!$J$11+PM_Angle!$K$11*$C1098+PM_Angle!$L$11*$B1098</f>
      </c>
      <c r="S1098" s="12">
        <f>IF(R1098&gt;0,IF(R1098&lt;=eco,alpha*fck*(1-(1-R1098/eco)^n),alpha*fck),0)</f>
      </c>
      <c r="T1098" s="30">
        <f>PM_Angle!$J$12+PM_Angle!$K$12*$C1098+PM_Angle!$L$12*$B1098</f>
      </c>
      <c r="U1098" s="12">
        <f>IF(T1098&gt;0,IF(T1098&lt;=eco,alpha*fck*(1-(1-T1098/eco)^n),alpha*fck),0)</f>
      </c>
      <c r="V1098" s="30">
        <f>PM_Angle!$J$13+PM_Angle!$K$13*$C1098+PM_Angle!$L$13*$B1098</f>
      </c>
      <c r="W1098" s="12">
        <f>IF(V1098&gt;0,IF(V1098&lt;=eco,alpha*fck*(1-(1-V1098/eco)^n),alpha*fck),0)</f>
      </c>
      <c r="X1098" s="30">
        <f>PM_Angle!$J$14+PM_Angle!$K$14*$C1098+PM_Angle!$L$14*$B1098</f>
      </c>
      <c r="Y1098" s="12">
        <f>IF(X1098&gt;0,IF(X1098&lt;=eco,alpha*fck*(1-(1-X1098/eco)^n),alpha*fck),0)</f>
      </c>
      <c r="Z1098" s="30">
        <f>PM_Angle!$J$15+PM_Angle!$K$15*$C1098+PM_Angle!$L$15*$B1098</f>
      </c>
      <c r="AA1098" s="12">
        <f>IF(Z1098&gt;0,IF(Z1098&lt;=eco,alpha*fck*(1-(1-Z1098/eco)^n),alpha*fck),0)</f>
      </c>
      <c r="AB1098" s="30">
        <f>PM_Angle!$J$16+PM_Angle!$K$16*$C1098+PM_Angle!$L$16*$B1098</f>
      </c>
      <c r="AC1098" s="12">
        <f>IF(AB1098&gt;0,IF(AB1098&lt;=eco,alpha*fck*(1-(1-AB1098/eco)^n),alpha*fck),0)</f>
      </c>
      <c r="AD1098" s="30">
        <f>PM_Angle!$J$17+PM_Angle!$K$17*$C1098+PM_Angle!$L$17*$B1098</f>
      </c>
      <c r="AE1098" s="12">
        <f>IF(AD1098&gt;0,IF(AD1098&lt;=eco,alpha*fck*(1-(1-AD1098/eco)^n),alpha*fck),0)</f>
      </c>
      <c r="AF1098" s="30">
        <f>PM_Angle!$J$18+PM_Angle!$K$18*$C1098+PM_Angle!$L$18*$B1098</f>
      </c>
      <c r="AG1098" s="12">
        <f>IF(AF1098&gt;0,IF(AF1098&lt;=eco,alpha*fck*(1-(1-AF1098/eco)^n),alpha*fck),0)</f>
      </c>
      <c r="AH1098" s="30">
        <f>PM_Angle!$J$19+PM_Angle!$K$19*$C1098+PM_Angle!$L$19*$B1098</f>
      </c>
      <c r="AI1098" s="12">
        <f>IF(AH1098&gt;0,IF(AH1098&lt;=eco,alpha*fck*(1-(1-AH1098/eco)^n),alpha*fck),0)</f>
      </c>
      <c r="AJ1098" s="30">
        <f>PM_Angle!$J$20+PM_Angle!$K$20*$C1098+PM_Angle!$L$20*$B1098</f>
      </c>
      <c r="AK1098" s="12">
        <f>IF(AJ1098&gt;0,IF(AJ1098&lt;=eco,alpha*fck*(1-(1-AJ1098/eco)^n),alpha*fck),0)</f>
      </c>
      <c r="AL1098" s="30">
        <f>PM_Angle!$J$21+PM_Angle!$K$21*$C1098+PM_Angle!$L$21*$B1098</f>
      </c>
      <c r="AM1098" s="12">
        <f>IF(AL1098&gt;0,IF(AL1098&lt;=eco,alpha*fck*(1-(1-AL1098/eco)^n),alpha*fck),0)</f>
      </c>
      <c r="AN1098" s="30">
        <f>PM_Angle!$J$22+PM_Angle!$K$22*$C1098+PM_Angle!$L$22*$B1098</f>
      </c>
      <c r="AO1098" s="12">
        <f>IF(AN1098&gt;0,IF(AN1098&lt;=eco,alpha*fck*(1-(1-AN1098/eco)^n),alpha*fck),0)</f>
      </c>
      <c r="AP1098" s="30">
        <f>PM_Angle!$J$23+PM_Angle!$K$23*$C1098+PM_Angle!$L$23*$B1098</f>
      </c>
      <c r="AQ1098" s="12">
        <f>IF(AP1098&gt;0,IF(AP1098&lt;=eco,alpha*fck*(1-(1-AP1098/eco)^n),alpha*fck),0)</f>
      </c>
      <c r="AR1098" s="30">
        <f>PM_Angle!$J$24+PM_Angle!$K$24*$C1098+PM_Angle!$L$24*$B1098</f>
      </c>
      <c r="AS1098" s="12">
        <f>IF(AR1098&gt;0,IF(AR1098&lt;=eco,alpha*fck*(1-(1-AR1098/eco)^n),alpha*fck),0)</f>
      </c>
      <c r="AT1098" s="30">
        <f>PM_Angle!$J$25+PM_Angle!$K$25*$C1098+PM_Angle!$L$25*$B1098</f>
      </c>
      <c r="AU1098" s="12">
        <f>IF(AT1098&gt;0,IF(AT1098&lt;=eco,alpha*fck*(1-(1-AT1098/eco)^n),alpha*fck),0)</f>
      </c>
    </row>
    <row r="1099" spans="1:47" x14ac:dyDescent="0.25">
      <c r="A1099">
        <f>Mesh!A1096</f>
      </c>
      <c r="B1099" s="12">
        <f>Mesh!B1096</f>
      </c>
      <c r="C1099" s="12">
        <f>Mesh!C1096</f>
      </c>
      <c r="D1099" s="12">
        <f>Mesh!D1096</f>
      </c>
      <c r="E1099" s="30">
        <f>INDEX(St_e0,Det+1)+INDEX(St_kx,Det+1)*C1099+INDEX(St_ky,Det+1)*B1099</f>
      </c>
      <c r="F1099" s="12">
        <f>IF(E1099&gt;0,IF(E1099&lt;=eco,alpha*fck*(1-(1-E1099/eco)^n),alpha*fck),0)</f>
      </c>
      <c r="G1099" s="11">
        <f>F1099*D1099</f>
      </c>
      <c r="H1099" s="11">
        <f>G1099*C1099</f>
      </c>
      <c r="I1099" s="11">
        <f>G1099*B1099</f>
      </c>
      <c r="J1099" s="30">
        <f>PM_Angle!$J$7+PM_Angle!$K$7*$C1099+PM_Angle!$L$7*$B1099</f>
      </c>
      <c r="K1099" s="12">
        <f>IF(J1099&gt;0,IF(J1099&lt;=eco,alpha*fck*(1-(1-J1099/eco)^n),alpha*fck),0)</f>
      </c>
      <c r="L1099" s="30">
        <f>PM_Angle!$J$8+PM_Angle!$K$8*$C1099+PM_Angle!$L$8*$B1099</f>
      </c>
      <c r="M1099" s="12">
        <f>IF(L1099&gt;0,IF(L1099&lt;=eco,alpha*fck*(1-(1-L1099/eco)^n),alpha*fck),0)</f>
      </c>
      <c r="N1099" s="30">
        <f>PM_Angle!$J$9+PM_Angle!$K$9*$C1099+PM_Angle!$L$9*$B1099</f>
      </c>
      <c r="O1099" s="12">
        <f>IF(N1099&gt;0,IF(N1099&lt;=eco,alpha*fck*(1-(1-N1099/eco)^n),alpha*fck),0)</f>
      </c>
      <c r="P1099" s="30">
        <f>PM_Angle!$J$10+PM_Angle!$K$10*$C1099+PM_Angle!$L$10*$B1099</f>
      </c>
      <c r="Q1099" s="12">
        <f>IF(P1099&gt;0,IF(P1099&lt;=eco,alpha*fck*(1-(1-P1099/eco)^n),alpha*fck),0)</f>
      </c>
      <c r="R1099" s="30">
        <f>PM_Angle!$J$11+PM_Angle!$K$11*$C1099+PM_Angle!$L$11*$B1099</f>
      </c>
      <c r="S1099" s="12">
        <f>IF(R1099&gt;0,IF(R1099&lt;=eco,alpha*fck*(1-(1-R1099/eco)^n),alpha*fck),0)</f>
      </c>
      <c r="T1099" s="30">
        <f>PM_Angle!$J$12+PM_Angle!$K$12*$C1099+PM_Angle!$L$12*$B1099</f>
      </c>
      <c r="U1099" s="12">
        <f>IF(T1099&gt;0,IF(T1099&lt;=eco,alpha*fck*(1-(1-T1099/eco)^n),alpha*fck),0)</f>
      </c>
      <c r="V1099" s="30">
        <f>PM_Angle!$J$13+PM_Angle!$K$13*$C1099+PM_Angle!$L$13*$B1099</f>
      </c>
      <c r="W1099" s="12">
        <f>IF(V1099&gt;0,IF(V1099&lt;=eco,alpha*fck*(1-(1-V1099/eco)^n),alpha*fck),0)</f>
      </c>
      <c r="X1099" s="30">
        <f>PM_Angle!$J$14+PM_Angle!$K$14*$C1099+PM_Angle!$L$14*$B1099</f>
      </c>
      <c r="Y1099" s="12">
        <f>IF(X1099&gt;0,IF(X1099&lt;=eco,alpha*fck*(1-(1-X1099/eco)^n),alpha*fck),0)</f>
      </c>
      <c r="Z1099" s="30">
        <f>PM_Angle!$J$15+PM_Angle!$K$15*$C1099+PM_Angle!$L$15*$B1099</f>
      </c>
      <c r="AA1099" s="12">
        <f>IF(Z1099&gt;0,IF(Z1099&lt;=eco,alpha*fck*(1-(1-Z1099/eco)^n),alpha*fck),0)</f>
      </c>
      <c r="AB1099" s="30">
        <f>PM_Angle!$J$16+PM_Angle!$K$16*$C1099+PM_Angle!$L$16*$B1099</f>
      </c>
      <c r="AC1099" s="12">
        <f>IF(AB1099&gt;0,IF(AB1099&lt;=eco,alpha*fck*(1-(1-AB1099/eco)^n),alpha*fck),0)</f>
      </c>
      <c r="AD1099" s="30">
        <f>PM_Angle!$J$17+PM_Angle!$K$17*$C1099+PM_Angle!$L$17*$B1099</f>
      </c>
      <c r="AE1099" s="12">
        <f>IF(AD1099&gt;0,IF(AD1099&lt;=eco,alpha*fck*(1-(1-AD1099/eco)^n),alpha*fck),0)</f>
      </c>
      <c r="AF1099" s="30">
        <f>PM_Angle!$J$18+PM_Angle!$K$18*$C1099+PM_Angle!$L$18*$B1099</f>
      </c>
      <c r="AG1099" s="12">
        <f>IF(AF1099&gt;0,IF(AF1099&lt;=eco,alpha*fck*(1-(1-AF1099/eco)^n),alpha*fck),0)</f>
      </c>
      <c r="AH1099" s="30">
        <f>PM_Angle!$J$19+PM_Angle!$K$19*$C1099+PM_Angle!$L$19*$B1099</f>
      </c>
      <c r="AI1099" s="12">
        <f>IF(AH1099&gt;0,IF(AH1099&lt;=eco,alpha*fck*(1-(1-AH1099/eco)^n),alpha*fck),0)</f>
      </c>
      <c r="AJ1099" s="30">
        <f>PM_Angle!$J$20+PM_Angle!$K$20*$C1099+PM_Angle!$L$20*$B1099</f>
      </c>
      <c r="AK1099" s="12">
        <f>IF(AJ1099&gt;0,IF(AJ1099&lt;=eco,alpha*fck*(1-(1-AJ1099/eco)^n),alpha*fck),0)</f>
      </c>
      <c r="AL1099" s="30">
        <f>PM_Angle!$J$21+PM_Angle!$K$21*$C1099+PM_Angle!$L$21*$B1099</f>
      </c>
      <c r="AM1099" s="12">
        <f>IF(AL1099&gt;0,IF(AL1099&lt;=eco,alpha*fck*(1-(1-AL1099/eco)^n),alpha*fck),0)</f>
      </c>
      <c r="AN1099" s="30">
        <f>PM_Angle!$J$22+PM_Angle!$K$22*$C1099+PM_Angle!$L$22*$B1099</f>
      </c>
      <c r="AO1099" s="12">
        <f>IF(AN1099&gt;0,IF(AN1099&lt;=eco,alpha*fck*(1-(1-AN1099/eco)^n),alpha*fck),0)</f>
      </c>
      <c r="AP1099" s="30">
        <f>PM_Angle!$J$23+PM_Angle!$K$23*$C1099+PM_Angle!$L$23*$B1099</f>
      </c>
      <c r="AQ1099" s="12">
        <f>IF(AP1099&gt;0,IF(AP1099&lt;=eco,alpha*fck*(1-(1-AP1099/eco)^n),alpha*fck),0)</f>
      </c>
      <c r="AR1099" s="30">
        <f>PM_Angle!$J$24+PM_Angle!$K$24*$C1099+PM_Angle!$L$24*$B1099</f>
      </c>
      <c r="AS1099" s="12">
        <f>IF(AR1099&gt;0,IF(AR1099&lt;=eco,alpha*fck*(1-(1-AR1099/eco)^n),alpha*fck),0)</f>
      </c>
      <c r="AT1099" s="30">
        <f>PM_Angle!$J$25+PM_Angle!$K$25*$C1099+PM_Angle!$L$25*$B1099</f>
      </c>
      <c r="AU1099" s="12">
        <f>IF(AT1099&gt;0,IF(AT1099&lt;=eco,alpha*fck*(1-(1-AT1099/eco)^n),alpha*fck),0)</f>
      </c>
    </row>
    <row r="1100" spans="1:47" x14ac:dyDescent="0.25">
      <c r="A1100">
        <f>Mesh!A1097</f>
      </c>
      <c r="B1100" s="12">
        <f>Mesh!B1097</f>
      </c>
      <c r="C1100" s="12">
        <f>Mesh!C1097</f>
      </c>
      <c r="D1100" s="12">
        <f>Mesh!D1097</f>
      </c>
      <c r="E1100" s="30">
        <f>INDEX(St_e0,Det+1)+INDEX(St_kx,Det+1)*C1100+INDEX(St_ky,Det+1)*B1100</f>
      </c>
      <c r="F1100" s="12">
        <f>IF(E1100&gt;0,IF(E1100&lt;=eco,alpha*fck*(1-(1-E1100/eco)^n),alpha*fck),0)</f>
      </c>
      <c r="G1100" s="11">
        <f>F1100*D1100</f>
      </c>
      <c r="H1100" s="11">
        <f>G1100*C1100</f>
      </c>
      <c r="I1100" s="11">
        <f>G1100*B1100</f>
      </c>
      <c r="J1100" s="30">
        <f>PM_Angle!$J$7+PM_Angle!$K$7*$C1100+PM_Angle!$L$7*$B1100</f>
      </c>
      <c r="K1100" s="12">
        <f>IF(J1100&gt;0,IF(J1100&lt;=eco,alpha*fck*(1-(1-J1100/eco)^n),alpha*fck),0)</f>
      </c>
      <c r="L1100" s="30">
        <f>PM_Angle!$J$8+PM_Angle!$K$8*$C1100+PM_Angle!$L$8*$B1100</f>
      </c>
      <c r="M1100" s="12">
        <f>IF(L1100&gt;0,IF(L1100&lt;=eco,alpha*fck*(1-(1-L1100/eco)^n),alpha*fck),0)</f>
      </c>
      <c r="N1100" s="30">
        <f>PM_Angle!$J$9+PM_Angle!$K$9*$C1100+PM_Angle!$L$9*$B1100</f>
      </c>
      <c r="O1100" s="12">
        <f>IF(N1100&gt;0,IF(N1100&lt;=eco,alpha*fck*(1-(1-N1100/eco)^n),alpha*fck),0)</f>
      </c>
      <c r="P1100" s="30">
        <f>PM_Angle!$J$10+PM_Angle!$K$10*$C1100+PM_Angle!$L$10*$B1100</f>
      </c>
      <c r="Q1100" s="12">
        <f>IF(P1100&gt;0,IF(P1100&lt;=eco,alpha*fck*(1-(1-P1100/eco)^n),alpha*fck),0)</f>
      </c>
      <c r="R1100" s="30">
        <f>PM_Angle!$J$11+PM_Angle!$K$11*$C1100+PM_Angle!$L$11*$B1100</f>
      </c>
      <c r="S1100" s="12">
        <f>IF(R1100&gt;0,IF(R1100&lt;=eco,alpha*fck*(1-(1-R1100/eco)^n),alpha*fck),0)</f>
      </c>
      <c r="T1100" s="30">
        <f>PM_Angle!$J$12+PM_Angle!$K$12*$C1100+PM_Angle!$L$12*$B1100</f>
      </c>
      <c r="U1100" s="12">
        <f>IF(T1100&gt;0,IF(T1100&lt;=eco,alpha*fck*(1-(1-T1100/eco)^n),alpha*fck),0)</f>
      </c>
      <c r="V1100" s="30">
        <f>PM_Angle!$J$13+PM_Angle!$K$13*$C1100+PM_Angle!$L$13*$B1100</f>
      </c>
      <c r="W1100" s="12">
        <f>IF(V1100&gt;0,IF(V1100&lt;=eco,alpha*fck*(1-(1-V1100/eco)^n),alpha*fck),0)</f>
      </c>
      <c r="X1100" s="30">
        <f>PM_Angle!$J$14+PM_Angle!$K$14*$C1100+PM_Angle!$L$14*$B1100</f>
      </c>
      <c r="Y1100" s="12">
        <f>IF(X1100&gt;0,IF(X1100&lt;=eco,alpha*fck*(1-(1-X1100/eco)^n),alpha*fck),0)</f>
      </c>
      <c r="Z1100" s="30">
        <f>PM_Angle!$J$15+PM_Angle!$K$15*$C1100+PM_Angle!$L$15*$B1100</f>
      </c>
      <c r="AA1100" s="12">
        <f>IF(Z1100&gt;0,IF(Z1100&lt;=eco,alpha*fck*(1-(1-Z1100/eco)^n),alpha*fck),0)</f>
      </c>
      <c r="AB1100" s="30">
        <f>PM_Angle!$J$16+PM_Angle!$K$16*$C1100+PM_Angle!$L$16*$B1100</f>
      </c>
      <c r="AC1100" s="12">
        <f>IF(AB1100&gt;0,IF(AB1100&lt;=eco,alpha*fck*(1-(1-AB1100/eco)^n),alpha*fck),0)</f>
      </c>
      <c r="AD1100" s="30">
        <f>PM_Angle!$J$17+PM_Angle!$K$17*$C1100+PM_Angle!$L$17*$B1100</f>
      </c>
      <c r="AE1100" s="12">
        <f>IF(AD1100&gt;0,IF(AD1100&lt;=eco,alpha*fck*(1-(1-AD1100/eco)^n),alpha*fck),0)</f>
      </c>
      <c r="AF1100" s="30">
        <f>PM_Angle!$J$18+PM_Angle!$K$18*$C1100+PM_Angle!$L$18*$B1100</f>
      </c>
      <c r="AG1100" s="12">
        <f>IF(AF1100&gt;0,IF(AF1100&lt;=eco,alpha*fck*(1-(1-AF1100/eco)^n),alpha*fck),0)</f>
      </c>
      <c r="AH1100" s="30">
        <f>PM_Angle!$J$19+PM_Angle!$K$19*$C1100+PM_Angle!$L$19*$B1100</f>
      </c>
      <c r="AI1100" s="12">
        <f>IF(AH1100&gt;0,IF(AH1100&lt;=eco,alpha*fck*(1-(1-AH1100/eco)^n),alpha*fck),0)</f>
      </c>
      <c r="AJ1100" s="30">
        <f>PM_Angle!$J$20+PM_Angle!$K$20*$C1100+PM_Angle!$L$20*$B1100</f>
      </c>
      <c r="AK1100" s="12">
        <f>IF(AJ1100&gt;0,IF(AJ1100&lt;=eco,alpha*fck*(1-(1-AJ1100/eco)^n),alpha*fck),0)</f>
      </c>
      <c r="AL1100" s="30">
        <f>PM_Angle!$J$21+PM_Angle!$K$21*$C1100+PM_Angle!$L$21*$B1100</f>
      </c>
      <c r="AM1100" s="12">
        <f>IF(AL1100&gt;0,IF(AL1100&lt;=eco,alpha*fck*(1-(1-AL1100/eco)^n),alpha*fck),0)</f>
      </c>
      <c r="AN1100" s="30">
        <f>PM_Angle!$J$22+PM_Angle!$K$22*$C1100+PM_Angle!$L$22*$B1100</f>
      </c>
      <c r="AO1100" s="12">
        <f>IF(AN1100&gt;0,IF(AN1100&lt;=eco,alpha*fck*(1-(1-AN1100/eco)^n),alpha*fck),0)</f>
      </c>
      <c r="AP1100" s="30">
        <f>PM_Angle!$J$23+PM_Angle!$K$23*$C1100+PM_Angle!$L$23*$B1100</f>
      </c>
      <c r="AQ1100" s="12">
        <f>IF(AP1100&gt;0,IF(AP1100&lt;=eco,alpha*fck*(1-(1-AP1100/eco)^n),alpha*fck),0)</f>
      </c>
      <c r="AR1100" s="30">
        <f>PM_Angle!$J$24+PM_Angle!$K$24*$C1100+PM_Angle!$L$24*$B1100</f>
      </c>
      <c r="AS1100" s="12">
        <f>IF(AR1100&gt;0,IF(AR1100&lt;=eco,alpha*fck*(1-(1-AR1100/eco)^n),alpha*fck),0)</f>
      </c>
      <c r="AT1100" s="30">
        <f>PM_Angle!$J$25+PM_Angle!$K$25*$C1100+PM_Angle!$L$25*$B1100</f>
      </c>
      <c r="AU1100" s="12">
        <f>IF(AT1100&gt;0,IF(AT1100&lt;=eco,alpha*fck*(1-(1-AT1100/eco)^n),alpha*fck),0)</f>
      </c>
    </row>
    <row r="1101" spans="1:47" x14ac:dyDescent="0.25">
      <c r="A1101">
        <f>Mesh!A1098</f>
      </c>
      <c r="B1101" s="12">
        <f>Mesh!B1098</f>
      </c>
      <c r="C1101" s="12">
        <f>Mesh!C1098</f>
      </c>
      <c r="D1101" s="12">
        <f>Mesh!D1098</f>
      </c>
      <c r="E1101" s="30">
        <f>INDEX(St_e0,Det+1)+INDEX(St_kx,Det+1)*C1101+INDEX(St_ky,Det+1)*B1101</f>
      </c>
      <c r="F1101" s="12">
        <f>IF(E1101&gt;0,IF(E1101&lt;=eco,alpha*fck*(1-(1-E1101/eco)^n),alpha*fck),0)</f>
      </c>
      <c r="G1101" s="11">
        <f>F1101*D1101</f>
      </c>
      <c r="H1101" s="11">
        <f>G1101*C1101</f>
      </c>
      <c r="I1101" s="11">
        <f>G1101*B1101</f>
      </c>
      <c r="J1101" s="30">
        <f>PM_Angle!$J$7+PM_Angle!$K$7*$C1101+PM_Angle!$L$7*$B1101</f>
      </c>
      <c r="K1101" s="12">
        <f>IF(J1101&gt;0,IF(J1101&lt;=eco,alpha*fck*(1-(1-J1101/eco)^n),alpha*fck),0)</f>
      </c>
      <c r="L1101" s="30">
        <f>PM_Angle!$J$8+PM_Angle!$K$8*$C1101+PM_Angle!$L$8*$B1101</f>
      </c>
      <c r="M1101" s="12">
        <f>IF(L1101&gt;0,IF(L1101&lt;=eco,alpha*fck*(1-(1-L1101/eco)^n),alpha*fck),0)</f>
      </c>
      <c r="N1101" s="30">
        <f>PM_Angle!$J$9+PM_Angle!$K$9*$C1101+PM_Angle!$L$9*$B1101</f>
      </c>
      <c r="O1101" s="12">
        <f>IF(N1101&gt;0,IF(N1101&lt;=eco,alpha*fck*(1-(1-N1101/eco)^n),alpha*fck),0)</f>
      </c>
      <c r="P1101" s="30">
        <f>PM_Angle!$J$10+PM_Angle!$K$10*$C1101+PM_Angle!$L$10*$B1101</f>
      </c>
      <c r="Q1101" s="12">
        <f>IF(P1101&gt;0,IF(P1101&lt;=eco,alpha*fck*(1-(1-P1101/eco)^n),alpha*fck),0)</f>
      </c>
      <c r="R1101" s="30">
        <f>PM_Angle!$J$11+PM_Angle!$K$11*$C1101+PM_Angle!$L$11*$B1101</f>
      </c>
      <c r="S1101" s="12">
        <f>IF(R1101&gt;0,IF(R1101&lt;=eco,alpha*fck*(1-(1-R1101/eco)^n),alpha*fck),0)</f>
      </c>
      <c r="T1101" s="30">
        <f>PM_Angle!$J$12+PM_Angle!$K$12*$C1101+PM_Angle!$L$12*$B1101</f>
      </c>
      <c r="U1101" s="12">
        <f>IF(T1101&gt;0,IF(T1101&lt;=eco,alpha*fck*(1-(1-T1101/eco)^n),alpha*fck),0)</f>
      </c>
      <c r="V1101" s="30">
        <f>PM_Angle!$J$13+PM_Angle!$K$13*$C1101+PM_Angle!$L$13*$B1101</f>
      </c>
      <c r="W1101" s="12">
        <f>IF(V1101&gt;0,IF(V1101&lt;=eco,alpha*fck*(1-(1-V1101/eco)^n),alpha*fck),0)</f>
      </c>
      <c r="X1101" s="30">
        <f>PM_Angle!$J$14+PM_Angle!$K$14*$C1101+PM_Angle!$L$14*$B1101</f>
      </c>
      <c r="Y1101" s="12">
        <f>IF(X1101&gt;0,IF(X1101&lt;=eco,alpha*fck*(1-(1-X1101/eco)^n),alpha*fck),0)</f>
      </c>
      <c r="Z1101" s="30">
        <f>PM_Angle!$J$15+PM_Angle!$K$15*$C1101+PM_Angle!$L$15*$B1101</f>
      </c>
      <c r="AA1101" s="12">
        <f>IF(Z1101&gt;0,IF(Z1101&lt;=eco,alpha*fck*(1-(1-Z1101/eco)^n),alpha*fck),0)</f>
      </c>
      <c r="AB1101" s="30">
        <f>PM_Angle!$J$16+PM_Angle!$K$16*$C1101+PM_Angle!$L$16*$B1101</f>
      </c>
      <c r="AC1101" s="12">
        <f>IF(AB1101&gt;0,IF(AB1101&lt;=eco,alpha*fck*(1-(1-AB1101/eco)^n),alpha*fck),0)</f>
      </c>
      <c r="AD1101" s="30">
        <f>PM_Angle!$J$17+PM_Angle!$K$17*$C1101+PM_Angle!$L$17*$B1101</f>
      </c>
      <c r="AE1101" s="12">
        <f>IF(AD1101&gt;0,IF(AD1101&lt;=eco,alpha*fck*(1-(1-AD1101/eco)^n),alpha*fck),0)</f>
      </c>
      <c r="AF1101" s="30">
        <f>PM_Angle!$J$18+PM_Angle!$K$18*$C1101+PM_Angle!$L$18*$B1101</f>
      </c>
      <c r="AG1101" s="12">
        <f>IF(AF1101&gt;0,IF(AF1101&lt;=eco,alpha*fck*(1-(1-AF1101/eco)^n),alpha*fck),0)</f>
      </c>
      <c r="AH1101" s="30">
        <f>PM_Angle!$J$19+PM_Angle!$K$19*$C1101+PM_Angle!$L$19*$B1101</f>
      </c>
      <c r="AI1101" s="12">
        <f>IF(AH1101&gt;0,IF(AH1101&lt;=eco,alpha*fck*(1-(1-AH1101/eco)^n),alpha*fck),0)</f>
      </c>
      <c r="AJ1101" s="30">
        <f>PM_Angle!$J$20+PM_Angle!$K$20*$C1101+PM_Angle!$L$20*$B1101</f>
      </c>
      <c r="AK1101" s="12">
        <f>IF(AJ1101&gt;0,IF(AJ1101&lt;=eco,alpha*fck*(1-(1-AJ1101/eco)^n),alpha*fck),0)</f>
      </c>
      <c r="AL1101" s="30">
        <f>PM_Angle!$J$21+PM_Angle!$K$21*$C1101+PM_Angle!$L$21*$B1101</f>
      </c>
      <c r="AM1101" s="12">
        <f>IF(AL1101&gt;0,IF(AL1101&lt;=eco,alpha*fck*(1-(1-AL1101/eco)^n),alpha*fck),0)</f>
      </c>
      <c r="AN1101" s="30">
        <f>PM_Angle!$J$22+PM_Angle!$K$22*$C1101+PM_Angle!$L$22*$B1101</f>
      </c>
      <c r="AO1101" s="12">
        <f>IF(AN1101&gt;0,IF(AN1101&lt;=eco,alpha*fck*(1-(1-AN1101/eco)^n),alpha*fck),0)</f>
      </c>
      <c r="AP1101" s="30">
        <f>PM_Angle!$J$23+PM_Angle!$K$23*$C1101+PM_Angle!$L$23*$B1101</f>
      </c>
      <c r="AQ1101" s="12">
        <f>IF(AP1101&gt;0,IF(AP1101&lt;=eco,alpha*fck*(1-(1-AP1101/eco)^n),alpha*fck),0)</f>
      </c>
      <c r="AR1101" s="30">
        <f>PM_Angle!$J$24+PM_Angle!$K$24*$C1101+PM_Angle!$L$24*$B1101</f>
      </c>
      <c r="AS1101" s="12">
        <f>IF(AR1101&gt;0,IF(AR1101&lt;=eco,alpha*fck*(1-(1-AR1101/eco)^n),alpha*fck),0)</f>
      </c>
      <c r="AT1101" s="30">
        <f>PM_Angle!$J$25+PM_Angle!$K$25*$C1101+PM_Angle!$L$25*$B1101</f>
      </c>
      <c r="AU1101" s="12">
        <f>IF(AT1101&gt;0,IF(AT1101&lt;=eco,alpha*fck*(1-(1-AT1101/eco)^n),alpha*fck),0)</f>
      </c>
    </row>
    <row r="1102" spans="1:47" x14ac:dyDescent="0.25">
      <c r="A1102">
        <f>Mesh!A1099</f>
      </c>
      <c r="B1102" s="12">
        <f>Mesh!B1099</f>
      </c>
      <c r="C1102" s="12">
        <f>Mesh!C1099</f>
      </c>
      <c r="D1102" s="12">
        <f>Mesh!D1099</f>
      </c>
      <c r="E1102" s="30">
        <f>INDEX(St_e0,Det+1)+INDEX(St_kx,Det+1)*C1102+INDEX(St_ky,Det+1)*B1102</f>
      </c>
      <c r="F1102" s="12">
        <f>IF(E1102&gt;0,IF(E1102&lt;=eco,alpha*fck*(1-(1-E1102/eco)^n),alpha*fck),0)</f>
      </c>
      <c r="G1102" s="11">
        <f>F1102*D1102</f>
      </c>
      <c r="H1102" s="11">
        <f>G1102*C1102</f>
      </c>
      <c r="I1102" s="11">
        <f>G1102*B1102</f>
      </c>
      <c r="J1102" s="30">
        <f>PM_Angle!$J$7+PM_Angle!$K$7*$C1102+PM_Angle!$L$7*$B1102</f>
      </c>
      <c r="K1102" s="12">
        <f>IF(J1102&gt;0,IF(J1102&lt;=eco,alpha*fck*(1-(1-J1102/eco)^n),alpha*fck),0)</f>
      </c>
      <c r="L1102" s="30">
        <f>PM_Angle!$J$8+PM_Angle!$K$8*$C1102+PM_Angle!$L$8*$B1102</f>
      </c>
      <c r="M1102" s="12">
        <f>IF(L1102&gt;0,IF(L1102&lt;=eco,alpha*fck*(1-(1-L1102/eco)^n),alpha*fck),0)</f>
      </c>
      <c r="N1102" s="30">
        <f>PM_Angle!$J$9+PM_Angle!$K$9*$C1102+PM_Angle!$L$9*$B1102</f>
      </c>
      <c r="O1102" s="12">
        <f>IF(N1102&gt;0,IF(N1102&lt;=eco,alpha*fck*(1-(1-N1102/eco)^n),alpha*fck),0)</f>
      </c>
      <c r="P1102" s="30">
        <f>PM_Angle!$J$10+PM_Angle!$K$10*$C1102+PM_Angle!$L$10*$B1102</f>
      </c>
      <c r="Q1102" s="12">
        <f>IF(P1102&gt;0,IF(P1102&lt;=eco,alpha*fck*(1-(1-P1102/eco)^n),alpha*fck),0)</f>
      </c>
      <c r="R1102" s="30">
        <f>PM_Angle!$J$11+PM_Angle!$K$11*$C1102+PM_Angle!$L$11*$B1102</f>
      </c>
      <c r="S1102" s="12">
        <f>IF(R1102&gt;0,IF(R1102&lt;=eco,alpha*fck*(1-(1-R1102/eco)^n),alpha*fck),0)</f>
      </c>
      <c r="T1102" s="30">
        <f>PM_Angle!$J$12+PM_Angle!$K$12*$C1102+PM_Angle!$L$12*$B1102</f>
      </c>
      <c r="U1102" s="12">
        <f>IF(T1102&gt;0,IF(T1102&lt;=eco,alpha*fck*(1-(1-T1102/eco)^n),alpha*fck),0)</f>
      </c>
      <c r="V1102" s="30">
        <f>PM_Angle!$J$13+PM_Angle!$K$13*$C1102+PM_Angle!$L$13*$B1102</f>
      </c>
      <c r="W1102" s="12">
        <f>IF(V1102&gt;0,IF(V1102&lt;=eco,alpha*fck*(1-(1-V1102/eco)^n),alpha*fck),0)</f>
      </c>
      <c r="X1102" s="30">
        <f>PM_Angle!$J$14+PM_Angle!$K$14*$C1102+PM_Angle!$L$14*$B1102</f>
      </c>
      <c r="Y1102" s="12">
        <f>IF(X1102&gt;0,IF(X1102&lt;=eco,alpha*fck*(1-(1-X1102/eco)^n),alpha*fck),0)</f>
      </c>
      <c r="Z1102" s="30">
        <f>PM_Angle!$J$15+PM_Angle!$K$15*$C1102+PM_Angle!$L$15*$B1102</f>
      </c>
      <c r="AA1102" s="12">
        <f>IF(Z1102&gt;0,IF(Z1102&lt;=eco,alpha*fck*(1-(1-Z1102/eco)^n),alpha*fck),0)</f>
      </c>
      <c r="AB1102" s="30">
        <f>PM_Angle!$J$16+PM_Angle!$K$16*$C1102+PM_Angle!$L$16*$B1102</f>
      </c>
      <c r="AC1102" s="12">
        <f>IF(AB1102&gt;0,IF(AB1102&lt;=eco,alpha*fck*(1-(1-AB1102/eco)^n),alpha*fck),0)</f>
      </c>
      <c r="AD1102" s="30">
        <f>PM_Angle!$J$17+PM_Angle!$K$17*$C1102+PM_Angle!$L$17*$B1102</f>
      </c>
      <c r="AE1102" s="12">
        <f>IF(AD1102&gt;0,IF(AD1102&lt;=eco,alpha*fck*(1-(1-AD1102/eco)^n),alpha*fck),0)</f>
      </c>
      <c r="AF1102" s="30">
        <f>PM_Angle!$J$18+PM_Angle!$K$18*$C1102+PM_Angle!$L$18*$B1102</f>
      </c>
      <c r="AG1102" s="12">
        <f>IF(AF1102&gt;0,IF(AF1102&lt;=eco,alpha*fck*(1-(1-AF1102/eco)^n),alpha*fck),0)</f>
      </c>
      <c r="AH1102" s="30">
        <f>PM_Angle!$J$19+PM_Angle!$K$19*$C1102+PM_Angle!$L$19*$B1102</f>
      </c>
      <c r="AI1102" s="12">
        <f>IF(AH1102&gt;0,IF(AH1102&lt;=eco,alpha*fck*(1-(1-AH1102/eco)^n),alpha*fck),0)</f>
      </c>
      <c r="AJ1102" s="30">
        <f>PM_Angle!$J$20+PM_Angle!$K$20*$C1102+PM_Angle!$L$20*$B1102</f>
      </c>
      <c r="AK1102" s="12">
        <f>IF(AJ1102&gt;0,IF(AJ1102&lt;=eco,alpha*fck*(1-(1-AJ1102/eco)^n),alpha*fck),0)</f>
      </c>
      <c r="AL1102" s="30">
        <f>PM_Angle!$J$21+PM_Angle!$K$21*$C1102+PM_Angle!$L$21*$B1102</f>
      </c>
      <c r="AM1102" s="12">
        <f>IF(AL1102&gt;0,IF(AL1102&lt;=eco,alpha*fck*(1-(1-AL1102/eco)^n),alpha*fck),0)</f>
      </c>
      <c r="AN1102" s="30">
        <f>PM_Angle!$J$22+PM_Angle!$K$22*$C1102+PM_Angle!$L$22*$B1102</f>
      </c>
      <c r="AO1102" s="12">
        <f>IF(AN1102&gt;0,IF(AN1102&lt;=eco,alpha*fck*(1-(1-AN1102/eco)^n),alpha*fck),0)</f>
      </c>
      <c r="AP1102" s="30">
        <f>PM_Angle!$J$23+PM_Angle!$K$23*$C1102+PM_Angle!$L$23*$B1102</f>
      </c>
      <c r="AQ1102" s="12">
        <f>IF(AP1102&gt;0,IF(AP1102&lt;=eco,alpha*fck*(1-(1-AP1102/eco)^n),alpha*fck),0)</f>
      </c>
      <c r="AR1102" s="30">
        <f>PM_Angle!$J$24+PM_Angle!$K$24*$C1102+PM_Angle!$L$24*$B1102</f>
      </c>
      <c r="AS1102" s="12">
        <f>IF(AR1102&gt;0,IF(AR1102&lt;=eco,alpha*fck*(1-(1-AR1102/eco)^n),alpha*fck),0)</f>
      </c>
      <c r="AT1102" s="30">
        <f>PM_Angle!$J$25+PM_Angle!$K$25*$C1102+PM_Angle!$L$25*$B1102</f>
      </c>
      <c r="AU1102" s="12">
        <f>IF(AT1102&gt;0,IF(AT1102&lt;=eco,alpha*fck*(1-(1-AT1102/eco)^n),alpha*fck),0)</f>
      </c>
    </row>
    <row r="1103" spans="1:47" x14ac:dyDescent="0.25">
      <c r="A1103">
        <f>Mesh!A1100</f>
      </c>
      <c r="B1103" s="12">
        <f>Mesh!B1100</f>
      </c>
      <c r="C1103" s="12">
        <f>Mesh!C1100</f>
      </c>
      <c r="D1103" s="12">
        <f>Mesh!D1100</f>
      </c>
      <c r="E1103" s="30">
        <f>INDEX(St_e0,Det+1)+INDEX(St_kx,Det+1)*C1103+INDEX(St_ky,Det+1)*B1103</f>
      </c>
      <c r="F1103" s="12">
        <f>IF(E1103&gt;0,IF(E1103&lt;=eco,alpha*fck*(1-(1-E1103/eco)^n),alpha*fck),0)</f>
      </c>
      <c r="G1103" s="11">
        <f>F1103*D1103</f>
      </c>
      <c r="H1103" s="11">
        <f>G1103*C1103</f>
      </c>
      <c r="I1103" s="11">
        <f>G1103*B1103</f>
      </c>
      <c r="J1103" s="30">
        <f>PM_Angle!$J$7+PM_Angle!$K$7*$C1103+PM_Angle!$L$7*$B1103</f>
      </c>
      <c r="K1103" s="12">
        <f>IF(J1103&gt;0,IF(J1103&lt;=eco,alpha*fck*(1-(1-J1103/eco)^n),alpha*fck),0)</f>
      </c>
      <c r="L1103" s="30">
        <f>PM_Angle!$J$8+PM_Angle!$K$8*$C1103+PM_Angle!$L$8*$B1103</f>
      </c>
      <c r="M1103" s="12">
        <f>IF(L1103&gt;0,IF(L1103&lt;=eco,alpha*fck*(1-(1-L1103/eco)^n),alpha*fck),0)</f>
      </c>
      <c r="N1103" s="30">
        <f>PM_Angle!$J$9+PM_Angle!$K$9*$C1103+PM_Angle!$L$9*$B1103</f>
      </c>
      <c r="O1103" s="12">
        <f>IF(N1103&gt;0,IF(N1103&lt;=eco,alpha*fck*(1-(1-N1103/eco)^n),alpha*fck),0)</f>
      </c>
      <c r="P1103" s="30">
        <f>PM_Angle!$J$10+PM_Angle!$K$10*$C1103+PM_Angle!$L$10*$B1103</f>
      </c>
      <c r="Q1103" s="12">
        <f>IF(P1103&gt;0,IF(P1103&lt;=eco,alpha*fck*(1-(1-P1103/eco)^n),alpha*fck),0)</f>
      </c>
      <c r="R1103" s="30">
        <f>PM_Angle!$J$11+PM_Angle!$K$11*$C1103+PM_Angle!$L$11*$B1103</f>
      </c>
      <c r="S1103" s="12">
        <f>IF(R1103&gt;0,IF(R1103&lt;=eco,alpha*fck*(1-(1-R1103/eco)^n),alpha*fck),0)</f>
      </c>
      <c r="T1103" s="30">
        <f>PM_Angle!$J$12+PM_Angle!$K$12*$C1103+PM_Angle!$L$12*$B1103</f>
      </c>
      <c r="U1103" s="12">
        <f>IF(T1103&gt;0,IF(T1103&lt;=eco,alpha*fck*(1-(1-T1103/eco)^n),alpha*fck),0)</f>
      </c>
      <c r="V1103" s="30">
        <f>PM_Angle!$J$13+PM_Angle!$K$13*$C1103+PM_Angle!$L$13*$B1103</f>
      </c>
      <c r="W1103" s="12">
        <f>IF(V1103&gt;0,IF(V1103&lt;=eco,alpha*fck*(1-(1-V1103/eco)^n),alpha*fck),0)</f>
      </c>
      <c r="X1103" s="30">
        <f>PM_Angle!$J$14+PM_Angle!$K$14*$C1103+PM_Angle!$L$14*$B1103</f>
      </c>
      <c r="Y1103" s="12">
        <f>IF(X1103&gt;0,IF(X1103&lt;=eco,alpha*fck*(1-(1-X1103/eco)^n),alpha*fck),0)</f>
      </c>
      <c r="Z1103" s="30">
        <f>PM_Angle!$J$15+PM_Angle!$K$15*$C1103+PM_Angle!$L$15*$B1103</f>
      </c>
      <c r="AA1103" s="12">
        <f>IF(Z1103&gt;0,IF(Z1103&lt;=eco,alpha*fck*(1-(1-Z1103/eco)^n),alpha*fck),0)</f>
      </c>
      <c r="AB1103" s="30">
        <f>PM_Angle!$J$16+PM_Angle!$K$16*$C1103+PM_Angle!$L$16*$B1103</f>
      </c>
      <c r="AC1103" s="12">
        <f>IF(AB1103&gt;0,IF(AB1103&lt;=eco,alpha*fck*(1-(1-AB1103/eco)^n),alpha*fck),0)</f>
      </c>
      <c r="AD1103" s="30">
        <f>PM_Angle!$J$17+PM_Angle!$K$17*$C1103+PM_Angle!$L$17*$B1103</f>
      </c>
      <c r="AE1103" s="12">
        <f>IF(AD1103&gt;0,IF(AD1103&lt;=eco,alpha*fck*(1-(1-AD1103/eco)^n),alpha*fck),0)</f>
      </c>
      <c r="AF1103" s="30">
        <f>PM_Angle!$J$18+PM_Angle!$K$18*$C1103+PM_Angle!$L$18*$B1103</f>
      </c>
      <c r="AG1103" s="12">
        <f>IF(AF1103&gt;0,IF(AF1103&lt;=eco,alpha*fck*(1-(1-AF1103/eco)^n),alpha*fck),0)</f>
      </c>
      <c r="AH1103" s="30">
        <f>PM_Angle!$J$19+PM_Angle!$K$19*$C1103+PM_Angle!$L$19*$B1103</f>
      </c>
      <c r="AI1103" s="12">
        <f>IF(AH1103&gt;0,IF(AH1103&lt;=eco,alpha*fck*(1-(1-AH1103/eco)^n),alpha*fck),0)</f>
      </c>
      <c r="AJ1103" s="30">
        <f>PM_Angle!$J$20+PM_Angle!$K$20*$C1103+PM_Angle!$L$20*$B1103</f>
      </c>
      <c r="AK1103" s="12">
        <f>IF(AJ1103&gt;0,IF(AJ1103&lt;=eco,alpha*fck*(1-(1-AJ1103/eco)^n),alpha*fck),0)</f>
      </c>
      <c r="AL1103" s="30">
        <f>PM_Angle!$J$21+PM_Angle!$K$21*$C1103+PM_Angle!$L$21*$B1103</f>
      </c>
      <c r="AM1103" s="12">
        <f>IF(AL1103&gt;0,IF(AL1103&lt;=eco,alpha*fck*(1-(1-AL1103/eco)^n),alpha*fck),0)</f>
      </c>
      <c r="AN1103" s="30">
        <f>PM_Angle!$J$22+PM_Angle!$K$22*$C1103+PM_Angle!$L$22*$B1103</f>
      </c>
      <c r="AO1103" s="12">
        <f>IF(AN1103&gt;0,IF(AN1103&lt;=eco,alpha*fck*(1-(1-AN1103/eco)^n),alpha*fck),0)</f>
      </c>
      <c r="AP1103" s="30">
        <f>PM_Angle!$J$23+PM_Angle!$K$23*$C1103+PM_Angle!$L$23*$B1103</f>
      </c>
      <c r="AQ1103" s="12">
        <f>IF(AP1103&gt;0,IF(AP1103&lt;=eco,alpha*fck*(1-(1-AP1103/eco)^n),alpha*fck),0)</f>
      </c>
      <c r="AR1103" s="30">
        <f>PM_Angle!$J$24+PM_Angle!$K$24*$C1103+PM_Angle!$L$24*$B1103</f>
      </c>
      <c r="AS1103" s="12">
        <f>IF(AR1103&gt;0,IF(AR1103&lt;=eco,alpha*fck*(1-(1-AR1103/eco)^n),alpha*fck),0)</f>
      </c>
      <c r="AT1103" s="30">
        <f>PM_Angle!$J$25+PM_Angle!$K$25*$C1103+PM_Angle!$L$25*$B1103</f>
      </c>
      <c r="AU1103" s="12">
        <f>IF(AT1103&gt;0,IF(AT1103&lt;=eco,alpha*fck*(1-(1-AT1103/eco)^n),alpha*fck),0)</f>
      </c>
    </row>
    <row r="1104" spans="1:47" x14ac:dyDescent="0.25">
      <c r="A1104">
        <f>Mesh!A1101</f>
      </c>
      <c r="B1104" s="12">
        <f>Mesh!B1101</f>
      </c>
      <c r="C1104" s="12">
        <f>Mesh!C1101</f>
      </c>
      <c r="D1104" s="12">
        <f>Mesh!D1101</f>
      </c>
      <c r="E1104" s="30">
        <f>INDEX(St_e0,Det+1)+INDEX(St_kx,Det+1)*C1104+INDEX(St_ky,Det+1)*B1104</f>
      </c>
      <c r="F1104" s="12">
        <f>IF(E1104&gt;0,IF(E1104&lt;=eco,alpha*fck*(1-(1-E1104/eco)^n),alpha*fck),0)</f>
      </c>
      <c r="G1104" s="11">
        <f>F1104*D1104</f>
      </c>
      <c r="H1104" s="11">
        <f>G1104*C1104</f>
      </c>
      <c r="I1104" s="11">
        <f>G1104*B1104</f>
      </c>
      <c r="J1104" s="30">
        <f>PM_Angle!$J$7+PM_Angle!$K$7*$C1104+PM_Angle!$L$7*$B1104</f>
      </c>
      <c r="K1104" s="12">
        <f>IF(J1104&gt;0,IF(J1104&lt;=eco,alpha*fck*(1-(1-J1104/eco)^n),alpha*fck),0)</f>
      </c>
      <c r="L1104" s="30">
        <f>PM_Angle!$J$8+PM_Angle!$K$8*$C1104+PM_Angle!$L$8*$B1104</f>
      </c>
      <c r="M1104" s="12">
        <f>IF(L1104&gt;0,IF(L1104&lt;=eco,alpha*fck*(1-(1-L1104/eco)^n),alpha*fck),0)</f>
      </c>
      <c r="N1104" s="30">
        <f>PM_Angle!$J$9+PM_Angle!$K$9*$C1104+PM_Angle!$L$9*$B1104</f>
      </c>
      <c r="O1104" s="12">
        <f>IF(N1104&gt;0,IF(N1104&lt;=eco,alpha*fck*(1-(1-N1104/eco)^n),alpha*fck),0)</f>
      </c>
      <c r="P1104" s="30">
        <f>PM_Angle!$J$10+PM_Angle!$K$10*$C1104+PM_Angle!$L$10*$B1104</f>
      </c>
      <c r="Q1104" s="12">
        <f>IF(P1104&gt;0,IF(P1104&lt;=eco,alpha*fck*(1-(1-P1104/eco)^n),alpha*fck),0)</f>
      </c>
      <c r="R1104" s="30">
        <f>PM_Angle!$J$11+PM_Angle!$K$11*$C1104+PM_Angle!$L$11*$B1104</f>
      </c>
      <c r="S1104" s="12">
        <f>IF(R1104&gt;0,IF(R1104&lt;=eco,alpha*fck*(1-(1-R1104/eco)^n),alpha*fck),0)</f>
      </c>
      <c r="T1104" s="30">
        <f>PM_Angle!$J$12+PM_Angle!$K$12*$C1104+PM_Angle!$L$12*$B1104</f>
      </c>
      <c r="U1104" s="12">
        <f>IF(T1104&gt;0,IF(T1104&lt;=eco,alpha*fck*(1-(1-T1104/eco)^n),alpha*fck),0)</f>
      </c>
      <c r="V1104" s="30">
        <f>PM_Angle!$J$13+PM_Angle!$K$13*$C1104+PM_Angle!$L$13*$B1104</f>
      </c>
      <c r="W1104" s="12">
        <f>IF(V1104&gt;0,IF(V1104&lt;=eco,alpha*fck*(1-(1-V1104/eco)^n),alpha*fck),0)</f>
      </c>
      <c r="X1104" s="30">
        <f>PM_Angle!$J$14+PM_Angle!$K$14*$C1104+PM_Angle!$L$14*$B1104</f>
      </c>
      <c r="Y1104" s="12">
        <f>IF(X1104&gt;0,IF(X1104&lt;=eco,alpha*fck*(1-(1-X1104/eco)^n),alpha*fck),0)</f>
      </c>
      <c r="Z1104" s="30">
        <f>PM_Angle!$J$15+PM_Angle!$K$15*$C1104+PM_Angle!$L$15*$B1104</f>
      </c>
      <c r="AA1104" s="12">
        <f>IF(Z1104&gt;0,IF(Z1104&lt;=eco,alpha*fck*(1-(1-Z1104/eco)^n),alpha*fck),0)</f>
      </c>
      <c r="AB1104" s="30">
        <f>PM_Angle!$J$16+PM_Angle!$K$16*$C1104+PM_Angle!$L$16*$B1104</f>
      </c>
      <c r="AC1104" s="12">
        <f>IF(AB1104&gt;0,IF(AB1104&lt;=eco,alpha*fck*(1-(1-AB1104/eco)^n),alpha*fck),0)</f>
      </c>
      <c r="AD1104" s="30">
        <f>PM_Angle!$J$17+PM_Angle!$K$17*$C1104+PM_Angle!$L$17*$B1104</f>
      </c>
      <c r="AE1104" s="12">
        <f>IF(AD1104&gt;0,IF(AD1104&lt;=eco,alpha*fck*(1-(1-AD1104/eco)^n),alpha*fck),0)</f>
      </c>
      <c r="AF1104" s="30">
        <f>PM_Angle!$J$18+PM_Angle!$K$18*$C1104+PM_Angle!$L$18*$B1104</f>
      </c>
      <c r="AG1104" s="12">
        <f>IF(AF1104&gt;0,IF(AF1104&lt;=eco,alpha*fck*(1-(1-AF1104/eco)^n),alpha*fck),0)</f>
      </c>
      <c r="AH1104" s="30">
        <f>PM_Angle!$J$19+PM_Angle!$K$19*$C1104+PM_Angle!$L$19*$B1104</f>
      </c>
      <c r="AI1104" s="12">
        <f>IF(AH1104&gt;0,IF(AH1104&lt;=eco,alpha*fck*(1-(1-AH1104/eco)^n),alpha*fck),0)</f>
      </c>
      <c r="AJ1104" s="30">
        <f>PM_Angle!$J$20+PM_Angle!$K$20*$C1104+PM_Angle!$L$20*$B1104</f>
      </c>
      <c r="AK1104" s="12">
        <f>IF(AJ1104&gt;0,IF(AJ1104&lt;=eco,alpha*fck*(1-(1-AJ1104/eco)^n),alpha*fck),0)</f>
      </c>
      <c r="AL1104" s="30">
        <f>PM_Angle!$J$21+PM_Angle!$K$21*$C1104+PM_Angle!$L$21*$B1104</f>
      </c>
      <c r="AM1104" s="12">
        <f>IF(AL1104&gt;0,IF(AL1104&lt;=eco,alpha*fck*(1-(1-AL1104/eco)^n),alpha*fck),0)</f>
      </c>
      <c r="AN1104" s="30">
        <f>PM_Angle!$J$22+PM_Angle!$K$22*$C1104+PM_Angle!$L$22*$B1104</f>
      </c>
      <c r="AO1104" s="12">
        <f>IF(AN1104&gt;0,IF(AN1104&lt;=eco,alpha*fck*(1-(1-AN1104/eco)^n),alpha*fck),0)</f>
      </c>
      <c r="AP1104" s="30">
        <f>PM_Angle!$J$23+PM_Angle!$K$23*$C1104+PM_Angle!$L$23*$B1104</f>
      </c>
      <c r="AQ1104" s="12">
        <f>IF(AP1104&gt;0,IF(AP1104&lt;=eco,alpha*fck*(1-(1-AP1104/eco)^n),alpha*fck),0)</f>
      </c>
      <c r="AR1104" s="30">
        <f>PM_Angle!$J$24+PM_Angle!$K$24*$C1104+PM_Angle!$L$24*$B1104</f>
      </c>
      <c r="AS1104" s="12">
        <f>IF(AR1104&gt;0,IF(AR1104&lt;=eco,alpha*fck*(1-(1-AR1104/eco)^n),alpha*fck),0)</f>
      </c>
      <c r="AT1104" s="30">
        <f>PM_Angle!$J$25+PM_Angle!$K$25*$C1104+PM_Angle!$L$25*$B1104</f>
      </c>
      <c r="AU1104" s="12">
        <f>IF(AT1104&gt;0,IF(AT1104&lt;=eco,alpha*fck*(1-(1-AT1104/eco)^n),alpha*fck),0)</f>
      </c>
    </row>
    <row r="1105" spans="1:47" x14ac:dyDescent="0.25">
      <c r="A1105">
        <f>Mesh!A1102</f>
      </c>
      <c r="B1105" s="12">
        <f>Mesh!B1102</f>
      </c>
      <c r="C1105" s="12">
        <f>Mesh!C1102</f>
      </c>
      <c r="D1105" s="12">
        <f>Mesh!D1102</f>
      </c>
      <c r="E1105" s="30">
        <f>INDEX(St_e0,Det+1)+INDEX(St_kx,Det+1)*C1105+INDEX(St_ky,Det+1)*B1105</f>
      </c>
      <c r="F1105" s="12">
        <f>IF(E1105&gt;0,IF(E1105&lt;=eco,alpha*fck*(1-(1-E1105/eco)^n),alpha*fck),0)</f>
      </c>
      <c r="G1105" s="11">
        <f>F1105*D1105</f>
      </c>
      <c r="H1105" s="11">
        <f>G1105*C1105</f>
      </c>
      <c r="I1105" s="11">
        <f>G1105*B1105</f>
      </c>
      <c r="J1105" s="30">
        <f>PM_Angle!$J$7+PM_Angle!$K$7*$C1105+PM_Angle!$L$7*$B1105</f>
      </c>
      <c r="K1105" s="12">
        <f>IF(J1105&gt;0,IF(J1105&lt;=eco,alpha*fck*(1-(1-J1105/eco)^n),alpha*fck),0)</f>
      </c>
      <c r="L1105" s="30">
        <f>PM_Angle!$J$8+PM_Angle!$K$8*$C1105+PM_Angle!$L$8*$B1105</f>
      </c>
      <c r="M1105" s="12">
        <f>IF(L1105&gt;0,IF(L1105&lt;=eco,alpha*fck*(1-(1-L1105/eco)^n),alpha*fck),0)</f>
      </c>
      <c r="N1105" s="30">
        <f>PM_Angle!$J$9+PM_Angle!$K$9*$C1105+PM_Angle!$L$9*$B1105</f>
      </c>
      <c r="O1105" s="12">
        <f>IF(N1105&gt;0,IF(N1105&lt;=eco,alpha*fck*(1-(1-N1105/eco)^n),alpha*fck),0)</f>
      </c>
      <c r="P1105" s="30">
        <f>PM_Angle!$J$10+PM_Angle!$K$10*$C1105+PM_Angle!$L$10*$B1105</f>
      </c>
      <c r="Q1105" s="12">
        <f>IF(P1105&gt;0,IF(P1105&lt;=eco,alpha*fck*(1-(1-P1105/eco)^n),alpha*fck),0)</f>
      </c>
      <c r="R1105" s="30">
        <f>PM_Angle!$J$11+PM_Angle!$K$11*$C1105+PM_Angle!$L$11*$B1105</f>
      </c>
      <c r="S1105" s="12">
        <f>IF(R1105&gt;0,IF(R1105&lt;=eco,alpha*fck*(1-(1-R1105/eco)^n),alpha*fck),0)</f>
      </c>
      <c r="T1105" s="30">
        <f>PM_Angle!$J$12+PM_Angle!$K$12*$C1105+PM_Angle!$L$12*$B1105</f>
      </c>
      <c r="U1105" s="12">
        <f>IF(T1105&gt;0,IF(T1105&lt;=eco,alpha*fck*(1-(1-T1105/eco)^n),alpha*fck),0)</f>
      </c>
      <c r="V1105" s="30">
        <f>PM_Angle!$J$13+PM_Angle!$K$13*$C1105+PM_Angle!$L$13*$B1105</f>
      </c>
      <c r="W1105" s="12">
        <f>IF(V1105&gt;0,IF(V1105&lt;=eco,alpha*fck*(1-(1-V1105/eco)^n),alpha*fck),0)</f>
      </c>
      <c r="X1105" s="30">
        <f>PM_Angle!$J$14+PM_Angle!$K$14*$C1105+PM_Angle!$L$14*$B1105</f>
      </c>
      <c r="Y1105" s="12">
        <f>IF(X1105&gt;0,IF(X1105&lt;=eco,alpha*fck*(1-(1-X1105/eco)^n),alpha*fck),0)</f>
      </c>
      <c r="Z1105" s="30">
        <f>PM_Angle!$J$15+PM_Angle!$K$15*$C1105+PM_Angle!$L$15*$B1105</f>
      </c>
      <c r="AA1105" s="12">
        <f>IF(Z1105&gt;0,IF(Z1105&lt;=eco,alpha*fck*(1-(1-Z1105/eco)^n),alpha*fck),0)</f>
      </c>
      <c r="AB1105" s="30">
        <f>PM_Angle!$J$16+PM_Angle!$K$16*$C1105+PM_Angle!$L$16*$B1105</f>
      </c>
      <c r="AC1105" s="12">
        <f>IF(AB1105&gt;0,IF(AB1105&lt;=eco,alpha*fck*(1-(1-AB1105/eco)^n),alpha*fck),0)</f>
      </c>
      <c r="AD1105" s="30">
        <f>PM_Angle!$J$17+PM_Angle!$K$17*$C1105+PM_Angle!$L$17*$B1105</f>
      </c>
      <c r="AE1105" s="12">
        <f>IF(AD1105&gt;0,IF(AD1105&lt;=eco,alpha*fck*(1-(1-AD1105/eco)^n),alpha*fck),0)</f>
      </c>
      <c r="AF1105" s="30">
        <f>PM_Angle!$J$18+PM_Angle!$K$18*$C1105+PM_Angle!$L$18*$B1105</f>
      </c>
      <c r="AG1105" s="12">
        <f>IF(AF1105&gt;0,IF(AF1105&lt;=eco,alpha*fck*(1-(1-AF1105/eco)^n),alpha*fck),0)</f>
      </c>
      <c r="AH1105" s="30">
        <f>PM_Angle!$J$19+PM_Angle!$K$19*$C1105+PM_Angle!$L$19*$B1105</f>
      </c>
      <c r="AI1105" s="12">
        <f>IF(AH1105&gt;0,IF(AH1105&lt;=eco,alpha*fck*(1-(1-AH1105/eco)^n),alpha*fck),0)</f>
      </c>
      <c r="AJ1105" s="30">
        <f>PM_Angle!$J$20+PM_Angle!$K$20*$C1105+PM_Angle!$L$20*$B1105</f>
      </c>
      <c r="AK1105" s="12">
        <f>IF(AJ1105&gt;0,IF(AJ1105&lt;=eco,alpha*fck*(1-(1-AJ1105/eco)^n),alpha*fck),0)</f>
      </c>
      <c r="AL1105" s="30">
        <f>PM_Angle!$J$21+PM_Angle!$K$21*$C1105+PM_Angle!$L$21*$B1105</f>
      </c>
      <c r="AM1105" s="12">
        <f>IF(AL1105&gt;0,IF(AL1105&lt;=eco,alpha*fck*(1-(1-AL1105/eco)^n),alpha*fck),0)</f>
      </c>
      <c r="AN1105" s="30">
        <f>PM_Angle!$J$22+PM_Angle!$K$22*$C1105+PM_Angle!$L$22*$B1105</f>
      </c>
      <c r="AO1105" s="12">
        <f>IF(AN1105&gt;0,IF(AN1105&lt;=eco,alpha*fck*(1-(1-AN1105/eco)^n),alpha*fck),0)</f>
      </c>
      <c r="AP1105" s="30">
        <f>PM_Angle!$J$23+PM_Angle!$K$23*$C1105+PM_Angle!$L$23*$B1105</f>
      </c>
      <c r="AQ1105" s="12">
        <f>IF(AP1105&gt;0,IF(AP1105&lt;=eco,alpha*fck*(1-(1-AP1105/eco)^n),alpha*fck),0)</f>
      </c>
      <c r="AR1105" s="30">
        <f>PM_Angle!$J$24+PM_Angle!$K$24*$C1105+PM_Angle!$L$24*$B1105</f>
      </c>
      <c r="AS1105" s="12">
        <f>IF(AR1105&gt;0,IF(AR1105&lt;=eco,alpha*fck*(1-(1-AR1105/eco)^n),alpha*fck),0)</f>
      </c>
      <c r="AT1105" s="30">
        <f>PM_Angle!$J$25+PM_Angle!$K$25*$C1105+PM_Angle!$L$25*$B1105</f>
      </c>
      <c r="AU1105" s="12">
        <f>IF(AT1105&gt;0,IF(AT1105&lt;=eco,alpha*fck*(1-(1-AT1105/eco)^n),alpha*fck),0)</f>
      </c>
    </row>
    <row r="1106" spans="1:47" x14ac:dyDescent="0.25">
      <c r="A1106">
        <f>Mesh!A1103</f>
      </c>
      <c r="B1106" s="12">
        <f>Mesh!B1103</f>
      </c>
      <c r="C1106" s="12">
        <f>Mesh!C1103</f>
      </c>
      <c r="D1106" s="12">
        <f>Mesh!D1103</f>
      </c>
      <c r="E1106" s="30">
        <f>INDEX(St_e0,Det+1)+INDEX(St_kx,Det+1)*C1106+INDEX(St_ky,Det+1)*B1106</f>
      </c>
      <c r="F1106" s="12">
        <f>IF(E1106&gt;0,IF(E1106&lt;=eco,alpha*fck*(1-(1-E1106/eco)^n),alpha*fck),0)</f>
      </c>
      <c r="G1106" s="11">
        <f>F1106*D1106</f>
      </c>
      <c r="H1106" s="11">
        <f>G1106*C1106</f>
      </c>
      <c r="I1106" s="11">
        <f>G1106*B1106</f>
      </c>
      <c r="J1106" s="30">
        <f>PM_Angle!$J$7+PM_Angle!$K$7*$C1106+PM_Angle!$L$7*$B1106</f>
      </c>
      <c r="K1106" s="12">
        <f>IF(J1106&gt;0,IF(J1106&lt;=eco,alpha*fck*(1-(1-J1106/eco)^n),alpha*fck),0)</f>
      </c>
      <c r="L1106" s="30">
        <f>PM_Angle!$J$8+PM_Angle!$K$8*$C1106+PM_Angle!$L$8*$B1106</f>
      </c>
      <c r="M1106" s="12">
        <f>IF(L1106&gt;0,IF(L1106&lt;=eco,alpha*fck*(1-(1-L1106/eco)^n),alpha*fck),0)</f>
      </c>
      <c r="N1106" s="30">
        <f>PM_Angle!$J$9+PM_Angle!$K$9*$C1106+PM_Angle!$L$9*$B1106</f>
      </c>
      <c r="O1106" s="12">
        <f>IF(N1106&gt;0,IF(N1106&lt;=eco,alpha*fck*(1-(1-N1106/eco)^n),alpha*fck),0)</f>
      </c>
      <c r="P1106" s="30">
        <f>PM_Angle!$J$10+PM_Angle!$K$10*$C1106+PM_Angle!$L$10*$B1106</f>
      </c>
      <c r="Q1106" s="12">
        <f>IF(P1106&gt;0,IF(P1106&lt;=eco,alpha*fck*(1-(1-P1106/eco)^n),alpha*fck),0)</f>
      </c>
      <c r="R1106" s="30">
        <f>PM_Angle!$J$11+PM_Angle!$K$11*$C1106+PM_Angle!$L$11*$B1106</f>
      </c>
      <c r="S1106" s="12">
        <f>IF(R1106&gt;0,IF(R1106&lt;=eco,alpha*fck*(1-(1-R1106/eco)^n),alpha*fck),0)</f>
      </c>
      <c r="T1106" s="30">
        <f>PM_Angle!$J$12+PM_Angle!$K$12*$C1106+PM_Angle!$L$12*$B1106</f>
      </c>
      <c r="U1106" s="12">
        <f>IF(T1106&gt;0,IF(T1106&lt;=eco,alpha*fck*(1-(1-T1106/eco)^n),alpha*fck),0)</f>
      </c>
      <c r="V1106" s="30">
        <f>PM_Angle!$J$13+PM_Angle!$K$13*$C1106+PM_Angle!$L$13*$B1106</f>
      </c>
      <c r="W1106" s="12">
        <f>IF(V1106&gt;0,IF(V1106&lt;=eco,alpha*fck*(1-(1-V1106/eco)^n),alpha*fck),0)</f>
      </c>
      <c r="X1106" s="30">
        <f>PM_Angle!$J$14+PM_Angle!$K$14*$C1106+PM_Angle!$L$14*$B1106</f>
      </c>
      <c r="Y1106" s="12">
        <f>IF(X1106&gt;0,IF(X1106&lt;=eco,alpha*fck*(1-(1-X1106/eco)^n),alpha*fck),0)</f>
      </c>
      <c r="Z1106" s="30">
        <f>PM_Angle!$J$15+PM_Angle!$K$15*$C1106+PM_Angle!$L$15*$B1106</f>
      </c>
      <c r="AA1106" s="12">
        <f>IF(Z1106&gt;0,IF(Z1106&lt;=eco,alpha*fck*(1-(1-Z1106/eco)^n),alpha*fck),0)</f>
      </c>
      <c r="AB1106" s="30">
        <f>PM_Angle!$J$16+PM_Angle!$K$16*$C1106+PM_Angle!$L$16*$B1106</f>
      </c>
      <c r="AC1106" s="12">
        <f>IF(AB1106&gt;0,IF(AB1106&lt;=eco,alpha*fck*(1-(1-AB1106/eco)^n),alpha*fck),0)</f>
      </c>
      <c r="AD1106" s="30">
        <f>PM_Angle!$J$17+PM_Angle!$K$17*$C1106+PM_Angle!$L$17*$B1106</f>
      </c>
      <c r="AE1106" s="12">
        <f>IF(AD1106&gt;0,IF(AD1106&lt;=eco,alpha*fck*(1-(1-AD1106/eco)^n),alpha*fck),0)</f>
      </c>
      <c r="AF1106" s="30">
        <f>PM_Angle!$J$18+PM_Angle!$K$18*$C1106+PM_Angle!$L$18*$B1106</f>
      </c>
      <c r="AG1106" s="12">
        <f>IF(AF1106&gt;0,IF(AF1106&lt;=eco,alpha*fck*(1-(1-AF1106/eco)^n),alpha*fck),0)</f>
      </c>
      <c r="AH1106" s="30">
        <f>PM_Angle!$J$19+PM_Angle!$K$19*$C1106+PM_Angle!$L$19*$B1106</f>
      </c>
      <c r="AI1106" s="12">
        <f>IF(AH1106&gt;0,IF(AH1106&lt;=eco,alpha*fck*(1-(1-AH1106/eco)^n),alpha*fck),0)</f>
      </c>
      <c r="AJ1106" s="30">
        <f>PM_Angle!$J$20+PM_Angle!$K$20*$C1106+PM_Angle!$L$20*$B1106</f>
      </c>
      <c r="AK1106" s="12">
        <f>IF(AJ1106&gt;0,IF(AJ1106&lt;=eco,alpha*fck*(1-(1-AJ1106/eco)^n),alpha*fck),0)</f>
      </c>
      <c r="AL1106" s="30">
        <f>PM_Angle!$J$21+PM_Angle!$K$21*$C1106+PM_Angle!$L$21*$B1106</f>
      </c>
      <c r="AM1106" s="12">
        <f>IF(AL1106&gt;0,IF(AL1106&lt;=eco,alpha*fck*(1-(1-AL1106/eco)^n),alpha*fck),0)</f>
      </c>
      <c r="AN1106" s="30">
        <f>PM_Angle!$J$22+PM_Angle!$K$22*$C1106+PM_Angle!$L$22*$B1106</f>
      </c>
      <c r="AO1106" s="12">
        <f>IF(AN1106&gt;0,IF(AN1106&lt;=eco,alpha*fck*(1-(1-AN1106/eco)^n),alpha*fck),0)</f>
      </c>
      <c r="AP1106" s="30">
        <f>PM_Angle!$J$23+PM_Angle!$K$23*$C1106+PM_Angle!$L$23*$B1106</f>
      </c>
      <c r="AQ1106" s="12">
        <f>IF(AP1106&gt;0,IF(AP1106&lt;=eco,alpha*fck*(1-(1-AP1106/eco)^n),alpha*fck),0)</f>
      </c>
      <c r="AR1106" s="30">
        <f>PM_Angle!$J$24+PM_Angle!$K$24*$C1106+PM_Angle!$L$24*$B1106</f>
      </c>
      <c r="AS1106" s="12">
        <f>IF(AR1106&gt;0,IF(AR1106&lt;=eco,alpha*fck*(1-(1-AR1106/eco)^n),alpha*fck),0)</f>
      </c>
      <c r="AT1106" s="30">
        <f>PM_Angle!$J$25+PM_Angle!$K$25*$C1106+PM_Angle!$L$25*$B1106</f>
      </c>
      <c r="AU1106" s="12">
        <f>IF(AT1106&gt;0,IF(AT1106&lt;=eco,alpha*fck*(1-(1-AT1106/eco)^n),alpha*fck),0)</f>
      </c>
    </row>
    <row r="1107" spans="1:47" x14ac:dyDescent="0.25">
      <c r="A1107">
        <f>Mesh!A1104</f>
      </c>
      <c r="B1107" s="12">
        <f>Mesh!B1104</f>
      </c>
      <c r="C1107" s="12">
        <f>Mesh!C1104</f>
      </c>
      <c r="D1107" s="12">
        <f>Mesh!D1104</f>
      </c>
      <c r="E1107" s="30">
        <f>INDEX(St_e0,Det+1)+INDEX(St_kx,Det+1)*C1107+INDEX(St_ky,Det+1)*B1107</f>
      </c>
      <c r="F1107" s="12">
        <f>IF(E1107&gt;0,IF(E1107&lt;=eco,alpha*fck*(1-(1-E1107/eco)^n),alpha*fck),0)</f>
      </c>
      <c r="G1107" s="11">
        <f>F1107*D1107</f>
      </c>
      <c r="H1107" s="11">
        <f>G1107*C1107</f>
      </c>
      <c r="I1107" s="11">
        <f>G1107*B1107</f>
      </c>
      <c r="J1107" s="30">
        <f>PM_Angle!$J$7+PM_Angle!$K$7*$C1107+PM_Angle!$L$7*$B1107</f>
      </c>
      <c r="K1107" s="12">
        <f>IF(J1107&gt;0,IF(J1107&lt;=eco,alpha*fck*(1-(1-J1107/eco)^n),alpha*fck),0)</f>
      </c>
      <c r="L1107" s="30">
        <f>PM_Angle!$J$8+PM_Angle!$K$8*$C1107+PM_Angle!$L$8*$B1107</f>
      </c>
      <c r="M1107" s="12">
        <f>IF(L1107&gt;0,IF(L1107&lt;=eco,alpha*fck*(1-(1-L1107/eco)^n),alpha*fck),0)</f>
      </c>
      <c r="N1107" s="30">
        <f>PM_Angle!$J$9+PM_Angle!$K$9*$C1107+PM_Angle!$L$9*$B1107</f>
      </c>
      <c r="O1107" s="12">
        <f>IF(N1107&gt;0,IF(N1107&lt;=eco,alpha*fck*(1-(1-N1107/eco)^n),alpha*fck),0)</f>
      </c>
      <c r="P1107" s="30">
        <f>PM_Angle!$J$10+PM_Angle!$K$10*$C1107+PM_Angle!$L$10*$B1107</f>
      </c>
      <c r="Q1107" s="12">
        <f>IF(P1107&gt;0,IF(P1107&lt;=eco,alpha*fck*(1-(1-P1107/eco)^n),alpha*fck),0)</f>
      </c>
      <c r="R1107" s="30">
        <f>PM_Angle!$J$11+PM_Angle!$K$11*$C1107+PM_Angle!$L$11*$B1107</f>
      </c>
      <c r="S1107" s="12">
        <f>IF(R1107&gt;0,IF(R1107&lt;=eco,alpha*fck*(1-(1-R1107/eco)^n),alpha*fck),0)</f>
      </c>
      <c r="T1107" s="30">
        <f>PM_Angle!$J$12+PM_Angle!$K$12*$C1107+PM_Angle!$L$12*$B1107</f>
      </c>
      <c r="U1107" s="12">
        <f>IF(T1107&gt;0,IF(T1107&lt;=eco,alpha*fck*(1-(1-T1107/eco)^n),alpha*fck),0)</f>
      </c>
      <c r="V1107" s="30">
        <f>PM_Angle!$J$13+PM_Angle!$K$13*$C1107+PM_Angle!$L$13*$B1107</f>
      </c>
      <c r="W1107" s="12">
        <f>IF(V1107&gt;0,IF(V1107&lt;=eco,alpha*fck*(1-(1-V1107/eco)^n),alpha*fck),0)</f>
      </c>
      <c r="X1107" s="30">
        <f>PM_Angle!$J$14+PM_Angle!$K$14*$C1107+PM_Angle!$L$14*$B1107</f>
      </c>
      <c r="Y1107" s="12">
        <f>IF(X1107&gt;0,IF(X1107&lt;=eco,alpha*fck*(1-(1-X1107/eco)^n),alpha*fck),0)</f>
      </c>
      <c r="Z1107" s="30">
        <f>PM_Angle!$J$15+PM_Angle!$K$15*$C1107+PM_Angle!$L$15*$B1107</f>
      </c>
      <c r="AA1107" s="12">
        <f>IF(Z1107&gt;0,IF(Z1107&lt;=eco,alpha*fck*(1-(1-Z1107/eco)^n),alpha*fck),0)</f>
      </c>
      <c r="AB1107" s="30">
        <f>PM_Angle!$J$16+PM_Angle!$K$16*$C1107+PM_Angle!$L$16*$B1107</f>
      </c>
      <c r="AC1107" s="12">
        <f>IF(AB1107&gt;0,IF(AB1107&lt;=eco,alpha*fck*(1-(1-AB1107/eco)^n),alpha*fck),0)</f>
      </c>
      <c r="AD1107" s="30">
        <f>PM_Angle!$J$17+PM_Angle!$K$17*$C1107+PM_Angle!$L$17*$B1107</f>
      </c>
      <c r="AE1107" s="12">
        <f>IF(AD1107&gt;0,IF(AD1107&lt;=eco,alpha*fck*(1-(1-AD1107/eco)^n),alpha*fck),0)</f>
      </c>
      <c r="AF1107" s="30">
        <f>PM_Angle!$J$18+PM_Angle!$K$18*$C1107+PM_Angle!$L$18*$B1107</f>
      </c>
      <c r="AG1107" s="12">
        <f>IF(AF1107&gt;0,IF(AF1107&lt;=eco,alpha*fck*(1-(1-AF1107/eco)^n),alpha*fck),0)</f>
      </c>
      <c r="AH1107" s="30">
        <f>PM_Angle!$J$19+PM_Angle!$K$19*$C1107+PM_Angle!$L$19*$B1107</f>
      </c>
      <c r="AI1107" s="12">
        <f>IF(AH1107&gt;0,IF(AH1107&lt;=eco,alpha*fck*(1-(1-AH1107/eco)^n),alpha*fck),0)</f>
      </c>
      <c r="AJ1107" s="30">
        <f>PM_Angle!$J$20+PM_Angle!$K$20*$C1107+PM_Angle!$L$20*$B1107</f>
      </c>
      <c r="AK1107" s="12">
        <f>IF(AJ1107&gt;0,IF(AJ1107&lt;=eco,alpha*fck*(1-(1-AJ1107/eco)^n),alpha*fck),0)</f>
      </c>
      <c r="AL1107" s="30">
        <f>PM_Angle!$J$21+PM_Angle!$K$21*$C1107+PM_Angle!$L$21*$B1107</f>
      </c>
      <c r="AM1107" s="12">
        <f>IF(AL1107&gt;0,IF(AL1107&lt;=eco,alpha*fck*(1-(1-AL1107/eco)^n),alpha*fck),0)</f>
      </c>
      <c r="AN1107" s="30">
        <f>PM_Angle!$J$22+PM_Angle!$K$22*$C1107+PM_Angle!$L$22*$B1107</f>
      </c>
      <c r="AO1107" s="12">
        <f>IF(AN1107&gt;0,IF(AN1107&lt;=eco,alpha*fck*(1-(1-AN1107/eco)^n),alpha*fck),0)</f>
      </c>
      <c r="AP1107" s="30">
        <f>PM_Angle!$J$23+PM_Angle!$K$23*$C1107+PM_Angle!$L$23*$B1107</f>
      </c>
      <c r="AQ1107" s="12">
        <f>IF(AP1107&gt;0,IF(AP1107&lt;=eco,alpha*fck*(1-(1-AP1107/eco)^n),alpha*fck),0)</f>
      </c>
      <c r="AR1107" s="30">
        <f>PM_Angle!$J$24+PM_Angle!$K$24*$C1107+PM_Angle!$L$24*$B1107</f>
      </c>
      <c r="AS1107" s="12">
        <f>IF(AR1107&gt;0,IF(AR1107&lt;=eco,alpha*fck*(1-(1-AR1107/eco)^n),alpha*fck),0)</f>
      </c>
      <c r="AT1107" s="30">
        <f>PM_Angle!$J$25+PM_Angle!$K$25*$C1107+PM_Angle!$L$25*$B1107</f>
      </c>
      <c r="AU1107" s="12">
        <f>IF(AT1107&gt;0,IF(AT1107&lt;=eco,alpha*fck*(1-(1-AT1107/eco)^n),alpha*fck),0)</f>
      </c>
    </row>
    <row r="1108" spans="1:47" x14ac:dyDescent="0.25">
      <c r="A1108">
        <f>Mesh!A1105</f>
      </c>
      <c r="B1108" s="12">
        <f>Mesh!B1105</f>
      </c>
      <c r="C1108" s="12">
        <f>Mesh!C1105</f>
      </c>
      <c r="D1108" s="12">
        <f>Mesh!D1105</f>
      </c>
      <c r="E1108" s="30">
        <f>INDEX(St_e0,Det+1)+INDEX(St_kx,Det+1)*C1108+INDEX(St_ky,Det+1)*B1108</f>
      </c>
      <c r="F1108" s="12">
        <f>IF(E1108&gt;0,IF(E1108&lt;=eco,alpha*fck*(1-(1-E1108/eco)^n),alpha*fck),0)</f>
      </c>
      <c r="G1108" s="11">
        <f>F1108*D1108</f>
      </c>
      <c r="H1108" s="11">
        <f>G1108*C1108</f>
      </c>
      <c r="I1108" s="11">
        <f>G1108*B1108</f>
      </c>
      <c r="J1108" s="30">
        <f>PM_Angle!$J$7+PM_Angle!$K$7*$C1108+PM_Angle!$L$7*$B1108</f>
      </c>
      <c r="K1108" s="12">
        <f>IF(J1108&gt;0,IF(J1108&lt;=eco,alpha*fck*(1-(1-J1108/eco)^n),alpha*fck),0)</f>
      </c>
      <c r="L1108" s="30">
        <f>PM_Angle!$J$8+PM_Angle!$K$8*$C1108+PM_Angle!$L$8*$B1108</f>
      </c>
      <c r="M1108" s="12">
        <f>IF(L1108&gt;0,IF(L1108&lt;=eco,alpha*fck*(1-(1-L1108/eco)^n),alpha*fck),0)</f>
      </c>
      <c r="N1108" s="30">
        <f>PM_Angle!$J$9+PM_Angle!$K$9*$C1108+PM_Angle!$L$9*$B1108</f>
      </c>
      <c r="O1108" s="12">
        <f>IF(N1108&gt;0,IF(N1108&lt;=eco,alpha*fck*(1-(1-N1108/eco)^n),alpha*fck),0)</f>
      </c>
      <c r="P1108" s="30">
        <f>PM_Angle!$J$10+PM_Angle!$K$10*$C1108+PM_Angle!$L$10*$B1108</f>
      </c>
      <c r="Q1108" s="12">
        <f>IF(P1108&gt;0,IF(P1108&lt;=eco,alpha*fck*(1-(1-P1108/eco)^n),alpha*fck),0)</f>
      </c>
      <c r="R1108" s="30">
        <f>PM_Angle!$J$11+PM_Angle!$K$11*$C1108+PM_Angle!$L$11*$B1108</f>
      </c>
      <c r="S1108" s="12">
        <f>IF(R1108&gt;0,IF(R1108&lt;=eco,alpha*fck*(1-(1-R1108/eco)^n),alpha*fck),0)</f>
      </c>
      <c r="T1108" s="30">
        <f>PM_Angle!$J$12+PM_Angle!$K$12*$C1108+PM_Angle!$L$12*$B1108</f>
      </c>
      <c r="U1108" s="12">
        <f>IF(T1108&gt;0,IF(T1108&lt;=eco,alpha*fck*(1-(1-T1108/eco)^n),alpha*fck),0)</f>
      </c>
      <c r="V1108" s="30">
        <f>PM_Angle!$J$13+PM_Angle!$K$13*$C1108+PM_Angle!$L$13*$B1108</f>
      </c>
      <c r="W1108" s="12">
        <f>IF(V1108&gt;0,IF(V1108&lt;=eco,alpha*fck*(1-(1-V1108/eco)^n),alpha*fck),0)</f>
      </c>
      <c r="X1108" s="30">
        <f>PM_Angle!$J$14+PM_Angle!$K$14*$C1108+PM_Angle!$L$14*$B1108</f>
      </c>
      <c r="Y1108" s="12">
        <f>IF(X1108&gt;0,IF(X1108&lt;=eco,alpha*fck*(1-(1-X1108/eco)^n),alpha*fck),0)</f>
      </c>
      <c r="Z1108" s="30">
        <f>PM_Angle!$J$15+PM_Angle!$K$15*$C1108+PM_Angle!$L$15*$B1108</f>
      </c>
      <c r="AA1108" s="12">
        <f>IF(Z1108&gt;0,IF(Z1108&lt;=eco,alpha*fck*(1-(1-Z1108/eco)^n),alpha*fck),0)</f>
      </c>
      <c r="AB1108" s="30">
        <f>PM_Angle!$J$16+PM_Angle!$K$16*$C1108+PM_Angle!$L$16*$B1108</f>
      </c>
      <c r="AC1108" s="12">
        <f>IF(AB1108&gt;0,IF(AB1108&lt;=eco,alpha*fck*(1-(1-AB1108/eco)^n),alpha*fck),0)</f>
      </c>
      <c r="AD1108" s="30">
        <f>PM_Angle!$J$17+PM_Angle!$K$17*$C1108+PM_Angle!$L$17*$B1108</f>
      </c>
      <c r="AE1108" s="12">
        <f>IF(AD1108&gt;0,IF(AD1108&lt;=eco,alpha*fck*(1-(1-AD1108/eco)^n),alpha*fck),0)</f>
      </c>
      <c r="AF1108" s="30">
        <f>PM_Angle!$J$18+PM_Angle!$K$18*$C1108+PM_Angle!$L$18*$B1108</f>
      </c>
      <c r="AG1108" s="12">
        <f>IF(AF1108&gt;0,IF(AF1108&lt;=eco,alpha*fck*(1-(1-AF1108/eco)^n),alpha*fck),0)</f>
      </c>
      <c r="AH1108" s="30">
        <f>PM_Angle!$J$19+PM_Angle!$K$19*$C1108+PM_Angle!$L$19*$B1108</f>
      </c>
      <c r="AI1108" s="12">
        <f>IF(AH1108&gt;0,IF(AH1108&lt;=eco,alpha*fck*(1-(1-AH1108/eco)^n),alpha*fck),0)</f>
      </c>
      <c r="AJ1108" s="30">
        <f>PM_Angle!$J$20+PM_Angle!$K$20*$C1108+PM_Angle!$L$20*$B1108</f>
      </c>
      <c r="AK1108" s="12">
        <f>IF(AJ1108&gt;0,IF(AJ1108&lt;=eco,alpha*fck*(1-(1-AJ1108/eco)^n),alpha*fck),0)</f>
      </c>
      <c r="AL1108" s="30">
        <f>PM_Angle!$J$21+PM_Angle!$K$21*$C1108+PM_Angle!$L$21*$B1108</f>
      </c>
      <c r="AM1108" s="12">
        <f>IF(AL1108&gt;0,IF(AL1108&lt;=eco,alpha*fck*(1-(1-AL1108/eco)^n),alpha*fck),0)</f>
      </c>
      <c r="AN1108" s="30">
        <f>PM_Angle!$J$22+PM_Angle!$K$22*$C1108+PM_Angle!$L$22*$B1108</f>
      </c>
      <c r="AO1108" s="12">
        <f>IF(AN1108&gt;0,IF(AN1108&lt;=eco,alpha*fck*(1-(1-AN1108/eco)^n),alpha*fck),0)</f>
      </c>
      <c r="AP1108" s="30">
        <f>PM_Angle!$J$23+PM_Angle!$K$23*$C1108+PM_Angle!$L$23*$B1108</f>
      </c>
      <c r="AQ1108" s="12">
        <f>IF(AP1108&gt;0,IF(AP1108&lt;=eco,alpha*fck*(1-(1-AP1108/eco)^n),alpha*fck),0)</f>
      </c>
      <c r="AR1108" s="30">
        <f>PM_Angle!$J$24+PM_Angle!$K$24*$C1108+PM_Angle!$L$24*$B1108</f>
      </c>
      <c r="AS1108" s="12">
        <f>IF(AR1108&gt;0,IF(AR1108&lt;=eco,alpha*fck*(1-(1-AR1108/eco)^n),alpha*fck),0)</f>
      </c>
      <c r="AT1108" s="30">
        <f>PM_Angle!$J$25+PM_Angle!$K$25*$C1108+PM_Angle!$L$25*$B1108</f>
      </c>
      <c r="AU1108" s="12">
        <f>IF(AT1108&gt;0,IF(AT1108&lt;=eco,alpha*fck*(1-(1-AT1108/eco)^n),alpha*fck),0)</f>
      </c>
    </row>
    <row r="1109" spans="1:47" x14ac:dyDescent="0.25">
      <c r="A1109">
        <f>Mesh!A1106</f>
      </c>
      <c r="B1109" s="12">
        <f>Mesh!B1106</f>
      </c>
      <c r="C1109" s="12">
        <f>Mesh!C1106</f>
      </c>
      <c r="D1109" s="12">
        <f>Mesh!D1106</f>
      </c>
      <c r="E1109" s="30">
        <f>INDEX(St_e0,Det+1)+INDEX(St_kx,Det+1)*C1109+INDEX(St_ky,Det+1)*B1109</f>
      </c>
      <c r="F1109" s="12">
        <f>IF(E1109&gt;0,IF(E1109&lt;=eco,alpha*fck*(1-(1-E1109/eco)^n),alpha*fck),0)</f>
      </c>
      <c r="G1109" s="11">
        <f>F1109*D1109</f>
      </c>
      <c r="H1109" s="11">
        <f>G1109*C1109</f>
      </c>
      <c r="I1109" s="11">
        <f>G1109*B1109</f>
      </c>
      <c r="J1109" s="30">
        <f>PM_Angle!$J$7+PM_Angle!$K$7*$C1109+PM_Angle!$L$7*$B1109</f>
      </c>
      <c r="K1109" s="12">
        <f>IF(J1109&gt;0,IF(J1109&lt;=eco,alpha*fck*(1-(1-J1109/eco)^n),alpha*fck),0)</f>
      </c>
      <c r="L1109" s="30">
        <f>PM_Angle!$J$8+PM_Angle!$K$8*$C1109+PM_Angle!$L$8*$B1109</f>
      </c>
      <c r="M1109" s="12">
        <f>IF(L1109&gt;0,IF(L1109&lt;=eco,alpha*fck*(1-(1-L1109/eco)^n),alpha*fck),0)</f>
      </c>
      <c r="N1109" s="30">
        <f>PM_Angle!$J$9+PM_Angle!$K$9*$C1109+PM_Angle!$L$9*$B1109</f>
      </c>
      <c r="O1109" s="12">
        <f>IF(N1109&gt;0,IF(N1109&lt;=eco,alpha*fck*(1-(1-N1109/eco)^n),alpha*fck),0)</f>
      </c>
      <c r="P1109" s="30">
        <f>PM_Angle!$J$10+PM_Angle!$K$10*$C1109+PM_Angle!$L$10*$B1109</f>
      </c>
      <c r="Q1109" s="12">
        <f>IF(P1109&gt;0,IF(P1109&lt;=eco,alpha*fck*(1-(1-P1109/eco)^n),alpha*fck),0)</f>
      </c>
      <c r="R1109" s="30">
        <f>PM_Angle!$J$11+PM_Angle!$K$11*$C1109+PM_Angle!$L$11*$B1109</f>
      </c>
      <c r="S1109" s="12">
        <f>IF(R1109&gt;0,IF(R1109&lt;=eco,alpha*fck*(1-(1-R1109/eco)^n),alpha*fck),0)</f>
      </c>
      <c r="T1109" s="30">
        <f>PM_Angle!$J$12+PM_Angle!$K$12*$C1109+PM_Angle!$L$12*$B1109</f>
      </c>
      <c r="U1109" s="12">
        <f>IF(T1109&gt;0,IF(T1109&lt;=eco,alpha*fck*(1-(1-T1109/eco)^n),alpha*fck),0)</f>
      </c>
      <c r="V1109" s="30">
        <f>PM_Angle!$J$13+PM_Angle!$K$13*$C1109+PM_Angle!$L$13*$B1109</f>
      </c>
      <c r="W1109" s="12">
        <f>IF(V1109&gt;0,IF(V1109&lt;=eco,alpha*fck*(1-(1-V1109/eco)^n),alpha*fck),0)</f>
      </c>
      <c r="X1109" s="30">
        <f>PM_Angle!$J$14+PM_Angle!$K$14*$C1109+PM_Angle!$L$14*$B1109</f>
      </c>
      <c r="Y1109" s="12">
        <f>IF(X1109&gt;0,IF(X1109&lt;=eco,alpha*fck*(1-(1-X1109/eco)^n),alpha*fck),0)</f>
      </c>
      <c r="Z1109" s="30">
        <f>PM_Angle!$J$15+PM_Angle!$K$15*$C1109+PM_Angle!$L$15*$B1109</f>
      </c>
      <c r="AA1109" s="12">
        <f>IF(Z1109&gt;0,IF(Z1109&lt;=eco,alpha*fck*(1-(1-Z1109/eco)^n),alpha*fck),0)</f>
      </c>
      <c r="AB1109" s="30">
        <f>PM_Angle!$J$16+PM_Angle!$K$16*$C1109+PM_Angle!$L$16*$B1109</f>
      </c>
      <c r="AC1109" s="12">
        <f>IF(AB1109&gt;0,IF(AB1109&lt;=eco,alpha*fck*(1-(1-AB1109/eco)^n),alpha*fck),0)</f>
      </c>
      <c r="AD1109" s="30">
        <f>PM_Angle!$J$17+PM_Angle!$K$17*$C1109+PM_Angle!$L$17*$B1109</f>
      </c>
      <c r="AE1109" s="12">
        <f>IF(AD1109&gt;0,IF(AD1109&lt;=eco,alpha*fck*(1-(1-AD1109/eco)^n),alpha*fck),0)</f>
      </c>
      <c r="AF1109" s="30">
        <f>PM_Angle!$J$18+PM_Angle!$K$18*$C1109+PM_Angle!$L$18*$B1109</f>
      </c>
      <c r="AG1109" s="12">
        <f>IF(AF1109&gt;0,IF(AF1109&lt;=eco,alpha*fck*(1-(1-AF1109/eco)^n),alpha*fck),0)</f>
      </c>
      <c r="AH1109" s="30">
        <f>PM_Angle!$J$19+PM_Angle!$K$19*$C1109+PM_Angle!$L$19*$B1109</f>
      </c>
      <c r="AI1109" s="12">
        <f>IF(AH1109&gt;0,IF(AH1109&lt;=eco,alpha*fck*(1-(1-AH1109/eco)^n),alpha*fck),0)</f>
      </c>
      <c r="AJ1109" s="30">
        <f>PM_Angle!$J$20+PM_Angle!$K$20*$C1109+PM_Angle!$L$20*$B1109</f>
      </c>
      <c r="AK1109" s="12">
        <f>IF(AJ1109&gt;0,IF(AJ1109&lt;=eco,alpha*fck*(1-(1-AJ1109/eco)^n),alpha*fck),0)</f>
      </c>
      <c r="AL1109" s="30">
        <f>PM_Angle!$J$21+PM_Angle!$K$21*$C1109+PM_Angle!$L$21*$B1109</f>
      </c>
      <c r="AM1109" s="12">
        <f>IF(AL1109&gt;0,IF(AL1109&lt;=eco,alpha*fck*(1-(1-AL1109/eco)^n),alpha*fck),0)</f>
      </c>
      <c r="AN1109" s="30">
        <f>PM_Angle!$J$22+PM_Angle!$K$22*$C1109+PM_Angle!$L$22*$B1109</f>
      </c>
      <c r="AO1109" s="12">
        <f>IF(AN1109&gt;0,IF(AN1109&lt;=eco,alpha*fck*(1-(1-AN1109/eco)^n),alpha*fck),0)</f>
      </c>
      <c r="AP1109" s="30">
        <f>PM_Angle!$J$23+PM_Angle!$K$23*$C1109+PM_Angle!$L$23*$B1109</f>
      </c>
      <c r="AQ1109" s="12">
        <f>IF(AP1109&gt;0,IF(AP1109&lt;=eco,alpha*fck*(1-(1-AP1109/eco)^n),alpha*fck),0)</f>
      </c>
      <c r="AR1109" s="30">
        <f>PM_Angle!$J$24+PM_Angle!$K$24*$C1109+PM_Angle!$L$24*$B1109</f>
      </c>
      <c r="AS1109" s="12">
        <f>IF(AR1109&gt;0,IF(AR1109&lt;=eco,alpha*fck*(1-(1-AR1109/eco)^n),alpha*fck),0)</f>
      </c>
      <c r="AT1109" s="30">
        <f>PM_Angle!$J$25+PM_Angle!$K$25*$C1109+PM_Angle!$L$25*$B1109</f>
      </c>
      <c r="AU1109" s="12">
        <f>IF(AT1109&gt;0,IF(AT1109&lt;=eco,alpha*fck*(1-(1-AT1109/eco)^n),alpha*fck),0)</f>
      </c>
    </row>
    <row r="1110" spans="1:47" x14ac:dyDescent="0.25">
      <c r="A1110">
        <f>Mesh!A1107</f>
      </c>
      <c r="B1110" s="12">
        <f>Mesh!B1107</f>
      </c>
      <c r="C1110" s="12">
        <f>Mesh!C1107</f>
      </c>
      <c r="D1110" s="12">
        <f>Mesh!D1107</f>
      </c>
      <c r="E1110" s="30">
        <f>INDEX(St_e0,Det+1)+INDEX(St_kx,Det+1)*C1110+INDEX(St_ky,Det+1)*B1110</f>
      </c>
      <c r="F1110" s="12">
        <f>IF(E1110&gt;0,IF(E1110&lt;=eco,alpha*fck*(1-(1-E1110/eco)^n),alpha*fck),0)</f>
      </c>
      <c r="G1110" s="11">
        <f>F1110*D1110</f>
      </c>
      <c r="H1110" s="11">
        <f>G1110*C1110</f>
      </c>
      <c r="I1110" s="11">
        <f>G1110*B1110</f>
      </c>
      <c r="J1110" s="30">
        <f>PM_Angle!$J$7+PM_Angle!$K$7*$C1110+PM_Angle!$L$7*$B1110</f>
      </c>
      <c r="K1110" s="12">
        <f>IF(J1110&gt;0,IF(J1110&lt;=eco,alpha*fck*(1-(1-J1110/eco)^n),alpha*fck),0)</f>
      </c>
      <c r="L1110" s="30">
        <f>PM_Angle!$J$8+PM_Angle!$K$8*$C1110+PM_Angle!$L$8*$B1110</f>
      </c>
      <c r="M1110" s="12">
        <f>IF(L1110&gt;0,IF(L1110&lt;=eco,alpha*fck*(1-(1-L1110/eco)^n),alpha*fck),0)</f>
      </c>
      <c r="N1110" s="30">
        <f>PM_Angle!$J$9+PM_Angle!$K$9*$C1110+PM_Angle!$L$9*$B1110</f>
      </c>
      <c r="O1110" s="12">
        <f>IF(N1110&gt;0,IF(N1110&lt;=eco,alpha*fck*(1-(1-N1110/eco)^n),alpha*fck),0)</f>
      </c>
      <c r="P1110" s="30">
        <f>PM_Angle!$J$10+PM_Angle!$K$10*$C1110+PM_Angle!$L$10*$B1110</f>
      </c>
      <c r="Q1110" s="12">
        <f>IF(P1110&gt;0,IF(P1110&lt;=eco,alpha*fck*(1-(1-P1110/eco)^n),alpha*fck),0)</f>
      </c>
      <c r="R1110" s="30">
        <f>PM_Angle!$J$11+PM_Angle!$K$11*$C1110+PM_Angle!$L$11*$B1110</f>
      </c>
      <c r="S1110" s="12">
        <f>IF(R1110&gt;0,IF(R1110&lt;=eco,alpha*fck*(1-(1-R1110/eco)^n),alpha*fck),0)</f>
      </c>
      <c r="T1110" s="30">
        <f>PM_Angle!$J$12+PM_Angle!$K$12*$C1110+PM_Angle!$L$12*$B1110</f>
      </c>
      <c r="U1110" s="12">
        <f>IF(T1110&gt;0,IF(T1110&lt;=eco,alpha*fck*(1-(1-T1110/eco)^n),alpha*fck),0)</f>
      </c>
      <c r="V1110" s="30">
        <f>PM_Angle!$J$13+PM_Angle!$K$13*$C1110+PM_Angle!$L$13*$B1110</f>
      </c>
      <c r="W1110" s="12">
        <f>IF(V1110&gt;0,IF(V1110&lt;=eco,alpha*fck*(1-(1-V1110/eco)^n),alpha*fck),0)</f>
      </c>
      <c r="X1110" s="30">
        <f>PM_Angle!$J$14+PM_Angle!$K$14*$C1110+PM_Angle!$L$14*$B1110</f>
      </c>
      <c r="Y1110" s="12">
        <f>IF(X1110&gt;0,IF(X1110&lt;=eco,alpha*fck*(1-(1-X1110/eco)^n),alpha*fck),0)</f>
      </c>
      <c r="Z1110" s="30">
        <f>PM_Angle!$J$15+PM_Angle!$K$15*$C1110+PM_Angle!$L$15*$B1110</f>
      </c>
      <c r="AA1110" s="12">
        <f>IF(Z1110&gt;0,IF(Z1110&lt;=eco,alpha*fck*(1-(1-Z1110/eco)^n),alpha*fck),0)</f>
      </c>
      <c r="AB1110" s="30">
        <f>PM_Angle!$J$16+PM_Angle!$K$16*$C1110+PM_Angle!$L$16*$B1110</f>
      </c>
      <c r="AC1110" s="12">
        <f>IF(AB1110&gt;0,IF(AB1110&lt;=eco,alpha*fck*(1-(1-AB1110/eco)^n),alpha*fck),0)</f>
      </c>
      <c r="AD1110" s="30">
        <f>PM_Angle!$J$17+PM_Angle!$K$17*$C1110+PM_Angle!$L$17*$B1110</f>
      </c>
      <c r="AE1110" s="12">
        <f>IF(AD1110&gt;0,IF(AD1110&lt;=eco,alpha*fck*(1-(1-AD1110/eco)^n),alpha*fck),0)</f>
      </c>
      <c r="AF1110" s="30">
        <f>PM_Angle!$J$18+PM_Angle!$K$18*$C1110+PM_Angle!$L$18*$B1110</f>
      </c>
      <c r="AG1110" s="12">
        <f>IF(AF1110&gt;0,IF(AF1110&lt;=eco,alpha*fck*(1-(1-AF1110/eco)^n),alpha*fck),0)</f>
      </c>
      <c r="AH1110" s="30">
        <f>PM_Angle!$J$19+PM_Angle!$K$19*$C1110+PM_Angle!$L$19*$B1110</f>
      </c>
      <c r="AI1110" s="12">
        <f>IF(AH1110&gt;0,IF(AH1110&lt;=eco,alpha*fck*(1-(1-AH1110/eco)^n),alpha*fck),0)</f>
      </c>
      <c r="AJ1110" s="30">
        <f>PM_Angle!$J$20+PM_Angle!$K$20*$C1110+PM_Angle!$L$20*$B1110</f>
      </c>
      <c r="AK1110" s="12">
        <f>IF(AJ1110&gt;0,IF(AJ1110&lt;=eco,alpha*fck*(1-(1-AJ1110/eco)^n),alpha*fck),0)</f>
      </c>
      <c r="AL1110" s="30">
        <f>PM_Angle!$J$21+PM_Angle!$K$21*$C1110+PM_Angle!$L$21*$B1110</f>
      </c>
      <c r="AM1110" s="12">
        <f>IF(AL1110&gt;0,IF(AL1110&lt;=eco,alpha*fck*(1-(1-AL1110/eco)^n),alpha*fck),0)</f>
      </c>
      <c r="AN1110" s="30">
        <f>PM_Angle!$J$22+PM_Angle!$K$22*$C1110+PM_Angle!$L$22*$B1110</f>
      </c>
      <c r="AO1110" s="12">
        <f>IF(AN1110&gt;0,IF(AN1110&lt;=eco,alpha*fck*(1-(1-AN1110/eco)^n),alpha*fck),0)</f>
      </c>
      <c r="AP1110" s="30">
        <f>PM_Angle!$J$23+PM_Angle!$K$23*$C1110+PM_Angle!$L$23*$B1110</f>
      </c>
      <c r="AQ1110" s="12">
        <f>IF(AP1110&gt;0,IF(AP1110&lt;=eco,alpha*fck*(1-(1-AP1110/eco)^n),alpha*fck),0)</f>
      </c>
      <c r="AR1110" s="30">
        <f>PM_Angle!$J$24+PM_Angle!$K$24*$C1110+PM_Angle!$L$24*$B1110</f>
      </c>
      <c r="AS1110" s="12">
        <f>IF(AR1110&gt;0,IF(AR1110&lt;=eco,alpha*fck*(1-(1-AR1110/eco)^n),alpha*fck),0)</f>
      </c>
      <c r="AT1110" s="30">
        <f>PM_Angle!$J$25+PM_Angle!$K$25*$C1110+PM_Angle!$L$25*$B1110</f>
      </c>
      <c r="AU1110" s="12">
        <f>IF(AT1110&gt;0,IF(AT1110&lt;=eco,alpha*fck*(1-(1-AT1110/eco)^n),alpha*fck),0)</f>
      </c>
    </row>
    <row r="1111" spans="1:47" x14ac:dyDescent="0.25">
      <c r="A1111">
        <f>Mesh!A1108</f>
      </c>
      <c r="B1111" s="12">
        <f>Mesh!B1108</f>
      </c>
      <c r="C1111" s="12">
        <f>Mesh!C1108</f>
      </c>
      <c r="D1111" s="12">
        <f>Mesh!D1108</f>
      </c>
      <c r="E1111" s="30">
        <f>INDEX(St_e0,Det+1)+INDEX(St_kx,Det+1)*C1111+INDEX(St_ky,Det+1)*B1111</f>
      </c>
      <c r="F1111" s="12">
        <f>IF(E1111&gt;0,IF(E1111&lt;=eco,alpha*fck*(1-(1-E1111/eco)^n),alpha*fck),0)</f>
      </c>
      <c r="G1111" s="11">
        <f>F1111*D1111</f>
      </c>
      <c r="H1111" s="11">
        <f>G1111*C1111</f>
      </c>
      <c r="I1111" s="11">
        <f>G1111*B1111</f>
      </c>
      <c r="J1111" s="30">
        <f>PM_Angle!$J$7+PM_Angle!$K$7*$C1111+PM_Angle!$L$7*$B1111</f>
      </c>
      <c r="K1111" s="12">
        <f>IF(J1111&gt;0,IF(J1111&lt;=eco,alpha*fck*(1-(1-J1111/eco)^n),alpha*fck),0)</f>
      </c>
      <c r="L1111" s="30">
        <f>PM_Angle!$J$8+PM_Angle!$K$8*$C1111+PM_Angle!$L$8*$B1111</f>
      </c>
      <c r="M1111" s="12">
        <f>IF(L1111&gt;0,IF(L1111&lt;=eco,alpha*fck*(1-(1-L1111/eco)^n),alpha*fck),0)</f>
      </c>
      <c r="N1111" s="30">
        <f>PM_Angle!$J$9+PM_Angle!$K$9*$C1111+PM_Angle!$L$9*$B1111</f>
      </c>
      <c r="O1111" s="12">
        <f>IF(N1111&gt;0,IF(N1111&lt;=eco,alpha*fck*(1-(1-N1111/eco)^n),alpha*fck),0)</f>
      </c>
      <c r="P1111" s="30">
        <f>PM_Angle!$J$10+PM_Angle!$K$10*$C1111+PM_Angle!$L$10*$B1111</f>
      </c>
      <c r="Q1111" s="12">
        <f>IF(P1111&gt;0,IF(P1111&lt;=eco,alpha*fck*(1-(1-P1111/eco)^n),alpha*fck),0)</f>
      </c>
      <c r="R1111" s="30">
        <f>PM_Angle!$J$11+PM_Angle!$K$11*$C1111+PM_Angle!$L$11*$B1111</f>
      </c>
      <c r="S1111" s="12">
        <f>IF(R1111&gt;0,IF(R1111&lt;=eco,alpha*fck*(1-(1-R1111/eco)^n),alpha*fck),0)</f>
      </c>
      <c r="T1111" s="30">
        <f>PM_Angle!$J$12+PM_Angle!$K$12*$C1111+PM_Angle!$L$12*$B1111</f>
      </c>
      <c r="U1111" s="12">
        <f>IF(T1111&gt;0,IF(T1111&lt;=eco,alpha*fck*(1-(1-T1111/eco)^n),alpha*fck),0)</f>
      </c>
      <c r="V1111" s="30">
        <f>PM_Angle!$J$13+PM_Angle!$K$13*$C1111+PM_Angle!$L$13*$B1111</f>
      </c>
      <c r="W1111" s="12">
        <f>IF(V1111&gt;0,IF(V1111&lt;=eco,alpha*fck*(1-(1-V1111/eco)^n),alpha*fck),0)</f>
      </c>
      <c r="X1111" s="30">
        <f>PM_Angle!$J$14+PM_Angle!$K$14*$C1111+PM_Angle!$L$14*$B1111</f>
      </c>
      <c r="Y1111" s="12">
        <f>IF(X1111&gt;0,IF(X1111&lt;=eco,alpha*fck*(1-(1-X1111/eco)^n),alpha*fck),0)</f>
      </c>
      <c r="Z1111" s="30">
        <f>PM_Angle!$J$15+PM_Angle!$K$15*$C1111+PM_Angle!$L$15*$B1111</f>
      </c>
      <c r="AA1111" s="12">
        <f>IF(Z1111&gt;0,IF(Z1111&lt;=eco,alpha*fck*(1-(1-Z1111/eco)^n),alpha*fck),0)</f>
      </c>
      <c r="AB1111" s="30">
        <f>PM_Angle!$J$16+PM_Angle!$K$16*$C1111+PM_Angle!$L$16*$B1111</f>
      </c>
      <c r="AC1111" s="12">
        <f>IF(AB1111&gt;0,IF(AB1111&lt;=eco,alpha*fck*(1-(1-AB1111/eco)^n),alpha*fck),0)</f>
      </c>
      <c r="AD1111" s="30">
        <f>PM_Angle!$J$17+PM_Angle!$K$17*$C1111+PM_Angle!$L$17*$B1111</f>
      </c>
      <c r="AE1111" s="12">
        <f>IF(AD1111&gt;0,IF(AD1111&lt;=eco,alpha*fck*(1-(1-AD1111/eco)^n),alpha*fck),0)</f>
      </c>
      <c r="AF1111" s="30">
        <f>PM_Angle!$J$18+PM_Angle!$K$18*$C1111+PM_Angle!$L$18*$B1111</f>
      </c>
      <c r="AG1111" s="12">
        <f>IF(AF1111&gt;0,IF(AF1111&lt;=eco,alpha*fck*(1-(1-AF1111/eco)^n),alpha*fck),0)</f>
      </c>
      <c r="AH1111" s="30">
        <f>PM_Angle!$J$19+PM_Angle!$K$19*$C1111+PM_Angle!$L$19*$B1111</f>
      </c>
      <c r="AI1111" s="12">
        <f>IF(AH1111&gt;0,IF(AH1111&lt;=eco,alpha*fck*(1-(1-AH1111/eco)^n),alpha*fck),0)</f>
      </c>
      <c r="AJ1111" s="30">
        <f>PM_Angle!$J$20+PM_Angle!$K$20*$C1111+PM_Angle!$L$20*$B1111</f>
      </c>
      <c r="AK1111" s="12">
        <f>IF(AJ1111&gt;0,IF(AJ1111&lt;=eco,alpha*fck*(1-(1-AJ1111/eco)^n),alpha*fck),0)</f>
      </c>
      <c r="AL1111" s="30">
        <f>PM_Angle!$J$21+PM_Angle!$K$21*$C1111+PM_Angle!$L$21*$B1111</f>
      </c>
      <c r="AM1111" s="12">
        <f>IF(AL1111&gt;0,IF(AL1111&lt;=eco,alpha*fck*(1-(1-AL1111/eco)^n),alpha*fck),0)</f>
      </c>
      <c r="AN1111" s="30">
        <f>PM_Angle!$J$22+PM_Angle!$K$22*$C1111+PM_Angle!$L$22*$B1111</f>
      </c>
      <c r="AO1111" s="12">
        <f>IF(AN1111&gt;0,IF(AN1111&lt;=eco,alpha*fck*(1-(1-AN1111/eco)^n),alpha*fck),0)</f>
      </c>
      <c r="AP1111" s="30">
        <f>PM_Angle!$J$23+PM_Angle!$K$23*$C1111+PM_Angle!$L$23*$B1111</f>
      </c>
      <c r="AQ1111" s="12">
        <f>IF(AP1111&gt;0,IF(AP1111&lt;=eco,alpha*fck*(1-(1-AP1111/eco)^n),alpha*fck),0)</f>
      </c>
      <c r="AR1111" s="30">
        <f>PM_Angle!$J$24+PM_Angle!$K$24*$C1111+PM_Angle!$L$24*$B1111</f>
      </c>
      <c r="AS1111" s="12">
        <f>IF(AR1111&gt;0,IF(AR1111&lt;=eco,alpha*fck*(1-(1-AR1111/eco)^n),alpha*fck),0)</f>
      </c>
      <c r="AT1111" s="30">
        <f>PM_Angle!$J$25+PM_Angle!$K$25*$C1111+PM_Angle!$L$25*$B1111</f>
      </c>
      <c r="AU1111" s="12">
        <f>IF(AT1111&gt;0,IF(AT1111&lt;=eco,alpha*fck*(1-(1-AT1111/eco)^n),alpha*fck),0)</f>
      </c>
    </row>
    <row r="1112" spans="1:47" x14ac:dyDescent="0.25">
      <c r="A1112">
        <f>Mesh!A1109</f>
      </c>
      <c r="B1112" s="12">
        <f>Mesh!B1109</f>
      </c>
      <c r="C1112" s="12">
        <f>Mesh!C1109</f>
      </c>
      <c r="D1112" s="12">
        <f>Mesh!D1109</f>
      </c>
      <c r="E1112" s="30">
        <f>INDEX(St_e0,Det+1)+INDEX(St_kx,Det+1)*C1112+INDEX(St_ky,Det+1)*B1112</f>
      </c>
      <c r="F1112" s="12">
        <f>IF(E1112&gt;0,IF(E1112&lt;=eco,alpha*fck*(1-(1-E1112/eco)^n),alpha*fck),0)</f>
      </c>
      <c r="G1112" s="11">
        <f>F1112*D1112</f>
      </c>
      <c r="H1112" s="11">
        <f>G1112*C1112</f>
      </c>
      <c r="I1112" s="11">
        <f>G1112*B1112</f>
      </c>
      <c r="J1112" s="30">
        <f>PM_Angle!$J$7+PM_Angle!$K$7*$C1112+PM_Angle!$L$7*$B1112</f>
      </c>
      <c r="K1112" s="12">
        <f>IF(J1112&gt;0,IF(J1112&lt;=eco,alpha*fck*(1-(1-J1112/eco)^n),alpha*fck),0)</f>
      </c>
      <c r="L1112" s="30">
        <f>PM_Angle!$J$8+PM_Angle!$K$8*$C1112+PM_Angle!$L$8*$B1112</f>
      </c>
      <c r="M1112" s="12">
        <f>IF(L1112&gt;0,IF(L1112&lt;=eco,alpha*fck*(1-(1-L1112/eco)^n),alpha*fck),0)</f>
      </c>
      <c r="N1112" s="30">
        <f>PM_Angle!$J$9+PM_Angle!$K$9*$C1112+PM_Angle!$L$9*$B1112</f>
      </c>
      <c r="O1112" s="12">
        <f>IF(N1112&gt;0,IF(N1112&lt;=eco,alpha*fck*(1-(1-N1112/eco)^n),alpha*fck),0)</f>
      </c>
      <c r="P1112" s="30">
        <f>PM_Angle!$J$10+PM_Angle!$K$10*$C1112+PM_Angle!$L$10*$B1112</f>
      </c>
      <c r="Q1112" s="12">
        <f>IF(P1112&gt;0,IF(P1112&lt;=eco,alpha*fck*(1-(1-P1112/eco)^n),alpha*fck),0)</f>
      </c>
      <c r="R1112" s="30">
        <f>PM_Angle!$J$11+PM_Angle!$K$11*$C1112+PM_Angle!$L$11*$B1112</f>
      </c>
      <c r="S1112" s="12">
        <f>IF(R1112&gt;0,IF(R1112&lt;=eco,alpha*fck*(1-(1-R1112/eco)^n),alpha*fck),0)</f>
      </c>
      <c r="T1112" s="30">
        <f>PM_Angle!$J$12+PM_Angle!$K$12*$C1112+PM_Angle!$L$12*$B1112</f>
      </c>
      <c r="U1112" s="12">
        <f>IF(T1112&gt;0,IF(T1112&lt;=eco,alpha*fck*(1-(1-T1112/eco)^n),alpha*fck),0)</f>
      </c>
      <c r="V1112" s="30">
        <f>PM_Angle!$J$13+PM_Angle!$K$13*$C1112+PM_Angle!$L$13*$B1112</f>
      </c>
      <c r="W1112" s="12">
        <f>IF(V1112&gt;0,IF(V1112&lt;=eco,alpha*fck*(1-(1-V1112/eco)^n),alpha*fck),0)</f>
      </c>
      <c r="X1112" s="30">
        <f>PM_Angle!$J$14+PM_Angle!$K$14*$C1112+PM_Angle!$L$14*$B1112</f>
      </c>
      <c r="Y1112" s="12">
        <f>IF(X1112&gt;0,IF(X1112&lt;=eco,alpha*fck*(1-(1-X1112/eco)^n),alpha*fck),0)</f>
      </c>
      <c r="Z1112" s="30">
        <f>PM_Angle!$J$15+PM_Angle!$K$15*$C1112+PM_Angle!$L$15*$B1112</f>
      </c>
      <c r="AA1112" s="12">
        <f>IF(Z1112&gt;0,IF(Z1112&lt;=eco,alpha*fck*(1-(1-Z1112/eco)^n),alpha*fck),0)</f>
      </c>
      <c r="AB1112" s="30">
        <f>PM_Angle!$J$16+PM_Angle!$K$16*$C1112+PM_Angle!$L$16*$B1112</f>
      </c>
      <c r="AC1112" s="12">
        <f>IF(AB1112&gt;0,IF(AB1112&lt;=eco,alpha*fck*(1-(1-AB1112/eco)^n),alpha*fck),0)</f>
      </c>
      <c r="AD1112" s="30">
        <f>PM_Angle!$J$17+PM_Angle!$K$17*$C1112+PM_Angle!$L$17*$B1112</f>
      </c>
      <c r="AE1112" s="12">
        <f>IF(AD1112&gt;0,IF(AD1112&lt;=eco,alpha*fck*(1-(1-AD1112/eco)^n),alpha*fck),0)</f>
      </c>
      <c r="AF1112" s="30">
        <f>PM_Angle!$J$18+PM_Angle!$K$18*$C1112+PM_Angle!$L$18*$B1112</f>
      </c>
      <c r="AG1112" s="12">
        <f>IF(AF1112&gt;0,IF(AF1112&lt;=eco,alpha*fck*(1-(1-AF1112/eco)^n),alpha*fck),0)</f>
      </c>
      <c r="AH1112" s="30">
        <f>PM_Angle!$J$19+PM_Angle!$K$19*$C1112+PM_Angle!$L$19*$B1112</f>
      </c>
      <c r="AI1112" s="12">
        <f>IF(AH1112&gt;0,IF(AH1112&lt;=eco,alpha*fck*(1-(1-AH1112/eco)^n),alpha*fck),0)</f>
      </c>
      <c r="AJ1112" s="30">
        <f>PM_Angle!$J$20+PM_Angle!$K$20*$C1112+PM_Angle!$L$20*$B1112</f>
      </c>
      <c r="AK1112" s="12">
        <f>IF(AJ1112&gt;0,IF(AJ1112&lt;=eco,alpha*fck*(1-(1-AJ1112/eco)^n),alpha*fck),0)</f>
      </c>
      <c r="AL1112" s="30">
        <f>PM_Angle!$J$21+PM_Angle!$K$21*$C1112+PM_Angle!$L$21*$B1112</f>
      </c>
      <c r="AM1112" s="12">
        <f>IF(AL1112&gt;0,IF(AL1112&lt;=eco,alpha*fck*(1-(1-AL1112/eco)^n),alpha*fck),0)</f>
      </c>
      <c r="AN1112" s="30">
        <f>PM_Angle!$J$22+PM_Angle!$K$22*$C1112+PM_Angle!$L$22*$B1112</f>
      </c>
      <c r="AO1112" s="12">
        <f>IF(AN1112&gt;0,IF(AN1112&lt;=eco,alpha*fck*(1-(1-AN1112/eco)^n),alpha*fck),0)</f>
      </c>
      <c r="AP1112" s="30">
        <f>PM_Angle!$J$23+PM_Angle!$K$23*$C1112+PM_Angle!$L$23*$B1112</f>
      </c>
      <c r="AQ1112" s="12">
        <f>IF(AP1112&gt;0,IF(AP1112&lt;=eco,alpha*fck*(1-(1-AP1112/eco)^n),alpha*fck),0)</f>
      </c>
      <c r="AR1112" s="30">
        <f>PM_Angle!$J$24+PM_Angle!$K$24*$C1112+PM_Angle!$L$24*$B1112</f>
      </c>
      <c r="AS1112" s="12">
        <f>IF(AR1112&gt;0,IF(AR1112&lt;=eco,alpha*fck*(1-(1-AR1112/eco)^n),alpha*fck),0)</f>
      </c>
      <c r="AT1112" s="30">
        <f>PM_Angle!$J$25+PM_Angle!$K$25*$C1112+PM_Angle!$L$25*$B1112</f>
      </c>
      <c r="AU1112" s="12">
        <f>IF(AT1112&gt;0,IF(AT1112&lt;=eco,alpha*fck*(1-(1-AT1112/eco)^n),alpha*fck),0)</f>
      </c>
    </row>
    <row r="1113" spans="1:47" x14ac:dyDescent="0.25">
      <c r="A1113">
        <f>Mesh!A1110</f>
      </c>
      <c r="B1113" s="12">
        <f>Mesh!B1110</f>
      </c>
      <c r="C1113" s="12">
        <f>Mesh!C1110</f>
      </c>
      <c r="D1113" s="12">
        <f>Mesh!D1110</f>
      </c>
      <c r="E1113" s="30">
        <f>INDEX(St_e0,Det+1)+INDEX(St_kx,Det+1)*C1113+INDEX(St_ky,Det+1)*B1113</f>
      </c>
      <c r="F1113" s="12">
        <f>IF(E1113&gt;0,IF(E1113&lt;=eco,alpha*fck*(1-(1-E1113/eco)^n),alpha*fck),0)</f>
      </c>
      <c r="G1113" s="11">
        <f>F1113*D1113</f>
      </c>
      <c r="H1113" s="11">
        <f>G1113*C1113</f>
      </c>
      <c r="I1113" s="11">
        <f>G1113*B1113</f>
      </c>
      <c r="J1113" s="30">
        <f>PM_Angle!$J$7+PM_Angle!$K$7*$C1113+PM_Angle!$L$7*$B1113</f>
      </c>
      <c r="K1113" s="12">
        <f>IF(J1113&gt;0,IF(J1113&lt;=eco,alpha*fck*(1-(1-J1113/eco)^n),alpha*fck),0)</f>
      </c>
      <c r="L1113" s="30">
        <f>PM_Angle!$J$8+PM_Angle!$K$8*$C1113+PM_Angle!$L$8*$B1113</f>
      </c>
      <c r="M1113" s="12">
        <f>IF(L1113&gt;0,IF(L1113&lt;=eco,alpha*fck*(1-(1-L1113/eco)^n),alpha*fck),0)</f>
      </c>
      <c r="N1113" s="30">
        <f>PM_Angle!$J$9+PM_Angle!$K$9*$C1113+PM_Angle!$L$9*$B1113</f>
      </c>
      <c r="O1113" s="12">
        <f>IF(N1113&gt;0,IF(N1113&lt;=eco,alpha*fck*(1-(1-N1113/eco)^n),alpha*fck),0)</f>
      </c>
      <c r="P1113" s="30">
        <f>PM_Angle!$J$10+PM_Angle!$K$10*$C1113+PM_Angle!$L$10*$B1113</f>
      </c>
      <c r="Q1113" s="12">
        <f>IF(P1113&gt;0,IF(P1113&lt;=eco,alpha*fck*(1-(1-P1113/eco)^n),alpha*fck),0)</f>
      </c>
      <c r="R1113" s="30">
        <f>PM_Angle!$J$11+PM_Angle!$K$11*$C1113+PM_Angle!$L$11*$B1113</f>
      </c>
      <c r="S1113" s="12">
        <f>IF(R1113&gt;0,IF(R1113&lt;=eco,alpha*fck*(1-(1-R1113/eco)^n),alpha*fck),0)</f>
      </c>
      <c r="T1113" s="30">
        <f>PM_Angle!$J$12+PM_Angle!$K$12*$C1113+PM_Angle!$L$12*$B1113</f>
      </c>
      <c r="U1113" s="12">
        <f>IF(T1113&gt;0,IF(T1113&lt;=eco,alpha*fck*(1-(1-T1113/eco)^n),alpha*fck),0)</f>
      </c>
      <c r="V1113" s="30">
        <f>PM_Angle!$J$13+PM_Angle!$K$13*$C1113+PM_Angle!$L$13*$B1113</f>
      </c>
      <c r="W1113" s="12">
        <f>IF(V1113&gt;0,IF(V1113&lt;=eco,alpha*fck*(1-(1-V1113/eco)^n),alpha*fck),0)</f>
      </c>
      <c r="X1113" s="30">
        <f>PM_Angle!$J$14+PM_Angle!$K$14*$C1113+PM_Angle!$L$14*$B1113</f>
      </c>
      <c r="Y1113" s="12">
        <f>IF(X1113&gt;0,IF(X1113&lt;=eco,alpha*fck*(1-(1-X1113/eco)^n),alpha*fck),0)</f>
      </c>
      <c r="Z1113" s="30">
        <f>PM_Angle!$J$15+PM_Angle!$K$15*$C1113+PM_Angle!$L$15*$B1113</f>
      </c>
      <c r="AA1113" s="12">
        <f>IF(Z1113&gt;0,IF(Z1113&lt;=eco,alpha*fck*(1-(1-Z1113/eco)^n),alpha*fck),0)</f>
      </c>
      <c r="AB1113" s="30">
        <f>PM_Angle!$J$16+PM_Angle!$K$16*$C1113+PM_Angle!$L$16*$B1113</f>
      </c>
      <c r="AC1113" s="12">
        <f>IF(AB1113&gt;0,IF(AB1113&lt;=eco,alpha*fck*(1-(1-AB1113/eco)^n),alpha*fck),0)</f>
      </c>
      <c r="AD1113" s="30">
        <f>PM_Angle!$J$17+PM_Angle!$K$17*$C1113+PM_Angle!$L$17*$B1113</f>
      </c>
      <c r="AE1113" s="12">
        <f>IF(AD1113&gt;0,IF(AD1113&lt;=eco,alpha*fck*(1-(1-AD1113/eco)^n),alpha*fck),0)</f>
      </c>
      <c r="AF1113" s="30">
        <f>PM_Angle!$J$18+PM_Angle!$K$18*$C1113+PM_Angle!$L$18*$B1113</f>
      </c>
      <c r="AG1113" s="12">
        <f>IF(AF1113&gt;0,IF(AF1113&lt;=eco,alpha*fck*(1-(1-AF1113/eco)^n),alpha*fck),0)</f>
      </c>
      <c r="AH1113" s="30">
        <f>PM_Angle!$J$19+PM_Angle!$K$19*$C1113+PM_Angle!$L$19*$B1113</f>
      </c>
      <c r="AI1113" s="12">
        <f>IF(AH1113&gt;0,IF(AH1113&lt;=eco,alpha*fck*(1-(1-AH1113/eco)^n),alpha*fck),0)</f>
      </c>
      <c r="AJ1113" s="30">
        <f>PM_Angle!$J$20+PM_Angle!$K$20*$C1113+PM_Angle!$L$20*$B1113</f>
      </c>
      <c r="AK1113" s="12">
        <f>IF(AJ1113&gt;0,IF(AJ1113&lt;=eco,alpha*fck*(1-(1-AJ1113/eco)^n),alpha*fck),0)</f>
      </c>
      <c r="AL1113" s="30">
        <f>PM_Angle!$J$21+PM_Angle!$K$21*$C1113+PM_Angle!$L$21*$B1113</f>
      </c>
      <c r="AM1113" s="12">
        <f>IF(AL1113&gt;0,IF(AL1113&lt;=eco,alpha*fck*(1-(1-AL1113/eco)^n),alpha*fck),0)</f>
      </c>
      <c r="AN1113" s="30">
        <f>PM_Angle!$J$22+PM_Angle!$K$22*$C1113+PM_Angle!$L$22*$B1113</f>
      </c>
      <c r="AO1113" s="12">
        <f>IF(AN1113&gt;0,IF(AN1113&lt;=eco,alpha*fck*(1-(1-AN1113/eco)^n),alpha*fck),0)</f>
      </c>
      <c r="AP1113" s="30">
        <f>PM_Angle!$J$23+PM_Angle!$K$23*$C1113+PM_Angle!$L$23*$B1113</f>
      </c>
      <c r="AQ1113" s="12">
        <f>IF(AP1113&gt;0,IF(AP1113&lt;=eco,alpha*fck*(1-(1-AP1113/eco)^n),alpha*fck),0)</f>
      </c>
      <c r="AR1113" s="30">
        <f>PM_Angle!$J$24+PM_Angle!$K$24*$C1113+PM_Angle!$L$24*$B1113</f>
      </c>
      <c r="AS1113" s="12">
        <f>IF(AR1113&gt;0,IF(AR1113&lt;=eco,alpha*fck*(1-(1-AR1113/eco)^n),alpha*fck),0)</f>
      </c>
      <c r="AT1113" s="30">
        <f>PM_Angle!$J$25+PM_Angle!$K$25*$C1113+PM_Angle!$L$25*$B1113</f>
      </c>
      <c r="AU1113" s="12">
        <f>IF(AT1113&gt;0,IF(AT1113&lt;=eco,alpha*fck*(1-(1-AT1113/eco)^n),alpha*fck),0)</f>
      </c>
    </row>
    <row r="1114" spans="1:47" x14ac:dyDescent="0.25">
      <c r="A1114">
        <f>Mesh!A1111</f>
      </c>
      <c r="B1114" s="12">
        <f>Mesh!B1111</f>
      </c>
      <c r="C1114" s="12">
        <f>Mesh!C1111</f>
      </c>
      <c r="D1114" s="12">
        <f>Mesh!D1111</f>
      </c>
      <c r="E1114" s="30">
        <f>INDEX(St_e0,Det+1)+INDEX(St_kx,Det+1)*C1114+INDEX(St_ky,Det+1)*B1114</f>
      </c>
      <c r="F1114" s="12">
        <f>IF(E1114&gt;0,IF(E1114&lt;=eco,alpha*fck*(1-(1-E1114/eco)^n),alpha*fck),0)</f>
      </c>
      <c r="G1114" s="11">
        <f>F1114*D1114</f>
      </c>
      <c r="H1114" s="11">
        <f>G1114*C1114</f>
      </c>
      <c r="I1114" s="11">
        <f>G1114*B1114</f>
      </c>
      <c r="J1114" s="30">
        <f>PM_Angle!$J$7+PM_Angle!$K$7*$C1114+PM_Angle!$L$7*$B1114</f>
      </c>
      <c r="K1114" s="12">
        <f>IF(J1114&gt;0,IF(J1114&lt;=eco,alpha*fck*(1-(1-J1114/eco)^n),alpha*fck),0)</f>
      </c>
      <c r="L1114" s="30">
        <f>PM_Angle!$J$8+PM_Angle!$K$8*$C1114+PM_Angle!$L$8*$B1114</f>
      </c>
      <c r="M1114" s="12">
        <f>IF(L1114&gt;0,IF(L1114&lt;=eco,alpha*fck*(1-(1-L1114/eco)^n),alpha*fck),0)</f>
      </c>
      <c r="N1114" s="30">
        <f>PM_Angle!$J$9+PM_Angle!$K$9*$C1114+PM_Angle!$L$9*$B1114</f>
      </c>
      <c r="O1114" s="12">
        <f>IF(N1114&gt;0,IF(N1114&lt;=eco,alpha*fck*(1-(1-N1114/eco)^n),alpha*fck),0)</f>
      </c>
      <c r="P1114" s="30">
        <f>PM_Angle!$J$10+PM_Angle!$K$10*$C1114+PM_Angle!$L$10*$B1114</f>
      </c>
      <c r="Q1114" s="12">
        <f>IF(P1114&gt;0,IF(P1114&lt;=eco,alpha*fck*(1-(1-P1114/eco)^n),alpha*fck),0)</f>
      </c>
      <c r="R1114" s="30">
        <f>PM_Angle!$J$11+PM_Angle!$K$11*$C1114+PM_Angle!$L$11*$B1114</f>
      </c>
      <c r="S1114" s="12">
        <f>IF(R1114&gt;0,IF(R1114&lt;=eco,alpha*fck*(1-(1-R1114/eco)^n),alpha*fck),0)</f>
      </c>
      <c r="T1114" s="30">
        <f>PM_Angle!$J$12+PM_Angle!$K$12*$C1114+PM_Angle!$L$12*$B1114</f>
      </c>
      <c r="U1114" s="12">
        <f>IF(T1114&gt;0,IF(T1114&lt;=eco,alpha*fck*(1-(1-T1114/eco)^n),alpha*fck),0)</f>
      </c>
      <c r="V1114" s="30">
        <f>PM_Angle!$J$13+PM_Angle!$K$13*$C1114+PM_Angle!$L$13*$B1114</f>
      </c>
      <c r="W1114" s="12">
        <f>IF(V1114&gt;0,IF(V1114&lt;=eco,alpha*fck*(1-(1-V1114/eco)^n),alpha*fck),0)</f>
      </c>
      <c r="X1114" s="30">
        <f>PM_Angle!$J$14+PM_Angle!$K$14*$C1114+PM_Angle!$L$14*$B1114</f>
      </c>
      <c r="Y1114" s="12">
        <f>IF(X1114&gt;0,IF(X1114&lt;=eco,alpha*fck*(1-(1-X1114/eco)^n),alpha*fck),0)</f>
      </c>
      <c r="Z1114" s="30">
        <f>PM_Angle!$J$15+PM_Angle!$K$15*$C1114+PM_Angle!$L$15*$B1114</f>
      </c>
      <c r="AA1114" s="12">
        <f>IF(Z1114&gt;0,IF(Z1114&lt;=eco,alpha*fck*(1-(1-Z1114/eco)^n),alpha*fck),0)</f>
      </c>
      <c r="AB1114" s="30">
        <f>PM_Angle!$J$16+PM_Angle!$K$16*$C1114+PM_Angle!$L$16*$B1114</f>
      </c>
      <c r="AC1114" s="12">
        <f>IF(AB1114&gt;0,IF(AB1114&lt;=eco,alpha*fck*(1-(1-AB1114/eco)^n),alpha*fck),0)</f>
      </c>
      <c r="AD1114" s="30">
        <f>PM_Angle!$J$17+PM_Angle!$K$17*$C1114+PM_Angle!$L$17*$B1114</f>
      </c>
      <c r="AE1114" s="12">
        <f>IF(AD1114&gt;0,IF(AD1114&lt;=eco,alpha*fck*(1-(1-AD1114/eco)^n),alpha*fck),0)</f>
      </c>
      <c r="AF1114" s="30">
        <f>PM_Angle!$J$18+PM_Angle!$K$18*$C1114+PM_Angle!$L$18*$B1114</f>
      </c>
      <c r="AG1114" s="12">
        <f>IF(AF1114&gt;0,IF(AF1114&lt;=eco,alpha*fck*(1-(1-AF1114/eco)^n),alpha*fck),0)</f>
      </c>
      <c r="AH1114" s="30">
        <f>PM_Angle!$J$19+PM_Angle!$K$19*$C1114+PM_Angle!$L$19*$B1114</f>
      </c>
      <c r="AI1114" s="12">
        <f>IF(AH1114&gt;0,IF(AH1114&lt;=eco,alpha*fck*(1-(1-AH1114/eco)^n),alpha*fck),0)</f>
      </c>
      <c r="AJ1114" s="30">
        <f>PM_Angle!$J$20+PM_Angle!$K$20*$C1114+PM_Angle!$L$20*$B1114</f>
      </c>
      <c r="AK1114" s="12">
        <f>IF(AJ1114&gt;0,IF(AJ1114&lt;=eco,alpha*fck*(1-(1-AJ1114/eco)^n),alpha*fck),0)</f>
      </c>
      <c r="AL1114" s="30">
        <f>PM_Angle!$J$21+PM_Angle!$K$21*$C1114+PM_Angle!$L$21*$B1114</f>
      </c>
      <c r="AM1114" s="12">
        <f>IF(AL1114&gt;0,IF(AL1114&lt;=eco,alpha*fck*(1-(1-AL1114/eco)^n),alpha*fck),0)</f>
      </c>
      <c r="AN1114" s="30">
        <f>PM_Angle!$J$22+PM_Angle!$K$22*$C1114+PM_Angle!$L$22*$B1114</f>
      </c>
      <c r="AO1114" s="12">
        <f>IF(AN1114&gt;0,IF(AN1114&lt;=eco,alpha*fck*(1-(1-AN1114/eco)^n),alpha*fck),0)</f>
      </c>
      <c r="AP1114" s="30">
        <f>PM_Angle!$J$23+PM_Angle!$K$23*$C1114+PM_Angle!$L$23*$B1114</f>
      </c>
      <c r="AQ1114" s="12">
        <f>IF(AP1114&gt;0,IF(AP1114&lt;=eco,alpha*fck*(1-(1-AP1114/eco)^n),alpha*fck),0)</f>
      </c>
      <c r="AR1114" s="30">
        <f>PM_Angle!$J$24+PM_Angle!$K$24*$C1114+PM_Angle!$L$24*$B1114</f>
      </c>
      <c r="AS1114" s="12">
        <f>IF(AR1114&gt;0,IF(AR1114&lt;=eco,alpha*fck*(1-(1-AR1114/eco)^n),alpha*fck),0)</f>
      </c>
      <c r="AT1114" s="30">
        <f>PM_Angle!$J$25+PM_Angle!$K$25*$C1114+PM_Angle!$L$25*$B1114</f>
      </c>
      <c r="AU1114" s="12">
        <f>IF(AT1114&gt;0,IF(AT1114&lt;=eco,alpha*fck*(1-(1-AT1114/eco)^n),alpha*fck),0)</f>
      </c>
    </row>
    <row r="1115" spans="1:47" x14ac:dyDescent="0.25">
      <c r="A1115">
        <f>Mesh!A1112</f>
      </c>
      <c r="B1115" s="12">
        <f>Mesh!B1112</f>
      </c>
      <c r="C1115" s="12">
        <f>Mesh!C1112</f>
      </c>
      <c r="D1115" s="12">
        <f>Mesh!D1112</f>
      </c>
      <c r="E1115" s="30">
        <f>INDEX(St_e0,Det+1)+INDEX(St_kx,Det+1)*C1115+INDEX(St_ky,Det+1)*B1115</f>
      </c>
      <c r="F1115" s="12">
        <f>IF(E1115&gt;0,IF(E1115&lt;=eco,alpha*fck*(1-(1-E1115/eco)^n),alpha*fck),0)</f>
      </c>
      <c r="G1115" s="11">
        <f>F1115*D1115</f>
      </c>
      <c r="H1115" s="11">
        <f>G1115*C1115</f>
      </c>
      <c r="I1115" s="11">
        <f>G1115*B1115</f>
      </c>
      <c r="J1115" s="30">
        <f>PM_Angle!$J$7+PM_Angle!$K$7*$C1115+PM_Angle!$L$7*$B1115</f>
      </c>
      <c r="K1115" s="12">
        <f>IF(J1115&gt;0,IF(J1115&lt;=eco,alpha*fck*(1-(1-J1115/eco)^n),alpha*fck),0)</f>
      </c>
      <c r="L1115" s="30">
        <f>PM_Angle!$J$8+PM_Angle!$K$8*$C1115+PM_Angle!$L$8*$B1115</f>
      </c>
      <c r="M1115" s="12">
        <f>IF(L1115&gt;0,IF(L1115&lt;=eco,alpha*fck*(1-(1-L1115/eco)^n),alpha*fck),0)</f>
      </c>
      <c r="N1115" s="30">
        <f>PM_Angle!$J$9+PM_Angle!$K$9*$C1115+PM_Angle!$L$9*$B1115</f>
      </c>
      <c r="O1115" s="12">
        <f>IF(N1115&gt;0,IF(N1115&lt;=eco,alpha*fck*(1-(1-N1115/eco)^n),alpha*fck),0)</f>
      </c>
      <c r="P1115" s="30">
        <f>PM_Angle!$J$10+PM_Angle!$K$10*$C1115+PM_Angle!$L$10*$B1115</f>
      </c>
      <c r="Q1115" s="12">
        <f>IF(P1115&gt;0,IF(P1115&lt;=eco,alpha*fck*(1-(1-P1115/eco)^n),alpha*fck),0)</f>
      </c>
      <c r="R1115" s="30">
        <f>PM_Angle!$J$11+PM_Angle!$K$11*$C1115+PM_Angle!$L$11*$B1115</f>
      </c>
      <c r="S1115" s="12">
        <f>IF(R1115&gt;0,IF(R1115&lt;=eco,alpha*fck*(1-(1-R1115/eco)^n),alpha*fck),0)</f>
      </c>
      <c r="T1115" s="30">
        <f>PM_Angle!$J$12+PM_Angle!$K$12*$C1115+PM_Angle!$L$12*$B1115</f>
      </c>
      <c r="U1115" s="12">
        <f>IF(T1115&gt;0,IF(T1115&lt;=eco,alpha*fck*(1-(1-T1115/eco)^n),alpha*fck),0)</f>
      </c>
      <c r="V1115" s="30">
        <f>PM_Angle!$J$13+PM_Angle!$K$13*$C1115+PM_Angle!$L$13*$B1115</f>
      </c>
      <c r="W1115" s="12">
        <f>IF(V1115&gt;0,IF(V1115&lt;=eco,alpha*fck*(1-(1-V1115/eco)^n),alpha*fck),0)</f>
      </c>
      <c r="X1115" s="30">
        <f>PM_Angle!$J$14+PM_Angle!$K$14*$C1115+PM_Angle!$L$14*$B1115</f>
      </c>
      <c r="Y1115" s="12">
        <f>IF(X1115&gt;0,IF(X1115&lt;=eco,alpha*fck*(1-(1-X1115/eco)^n),alpha*fck),0)</f>
      </c>
      <c r="Z1115" s="30">
        <f>PM_Angle!$J$15+PM_Angle!$K$15*$C1115+PM_Angle!$L$15*$B1115</f>
      </c>
      <c r="AA1115" s="12">
        <f>IF(Z1115&gt;0,IF(Z1115&lt;=eco,alpha*fck*(1-(1-Z1115/eco)^n),alpha*fck),0)</f>
      </c>
      <c r="AB1115" s="30">
        <f>PM_Angle!$J$16+PM_Angle!$K$16*$C1115+PM_Angle!$L$16*$B1115</f>
      </c>
      <c r="AC1115" s="12">
        <f>IF(AB1115&gt;0,IF(AB1115&lt;=eco,alpha*fck*(1-(1-AB1115/eco)^n),alpha*fck),0)</f>
      </c>
      <c r="AD1115" s="30">
        <f>PM_Angle!$J$17+PM_Angle!$K$17*$C1115+PM_Angle!$L$17*$B1115</f>
      </c>
      <c r="AE1115" s="12">
        <f>IF(AD1115&gt;0,IF(AD1115&lt;=eco,alpha*fck*(1-(1-AD1115/eco)^n),alpha*fck),0)</f>
      </c>
      <c r="AF1115" s="30">
        <f>PM_Angle!$J$18+PM_Angle!$K$18*$C1115+PM_Angle!$L$18*$B1115</f>
      </c>
      <c r="AG1115" s="12">
        <f>IF(AF1115&gt;0,IF(AF1115&lt;=eco,alpha*fck*(1-(1-AF1115/eco)^n),alpha*fck),0)</f>
      </c>
      <c r="AH1115" s="30">
        <f>PM_Angle!$J$19+PM_Angle!$K$19*$C1115+PM_Angle!$L$19*$B1115</f>
      </c>
      <c r="AI1115" s="12">
        <f>IF(AH1115&gt;0,IF(AH1115&lt;=eco,alpha*fck*(1-(1-AH1115/eco)^n),alpha*fck),0)</f>
      </c>
      <c r="AJ1115" s="30">
        <f>PM_Angle!$J$20+PM_Angle!$K$20*$C1115+PM_Angle!$L$20*$B1115</f>
      </c>
      <c r="AK1115" s="12">
        <f>IF(AJ1115&gt;0,IF(AJ1115&lt;=eco,alpha*fck*(1-(1-AJ1115/eco)^n),alpha*fck),0)</f>
      </c>
      <c r="AL1115" s="30">
        <f>PM_Angle!$J$21+PM_Angle!$K$21*$C1115+PM_Angle!$L$21*$B1115</f>
      </c>
      <c r="AM1115" s="12">
        <f>IF(AL1115&gt;0,IF(AL1115&lt;=eco,alpha*fck*(1-(1-AL1115/eco)^n),alpha*fck),0)</f>
      </c>
      <c r="AN1115" s="30">
        <f>PM_Angle!$J$22+PM_Angle!$K$22*$C1115+PM_Angle!$L$22*$B1115</f>
      </c>
      <c r="AO1115" s="12">
        <f>IF(AN1115&gt;0,IF(AN1115&lt;=eco,alpha*fck*(1-(1-AN1115/eco)^n),alpha*fck),0)</f>
      </c>
      <c r="AP1115" s="30">
        <f>PM_Angle!$J$23+PM_Angle!$K$23*$C1115+PM_Angle!$L$23*$B1115</f>
      </c>
      <c r="AQ1115" s="12">
        <f>IF(AP1115&gt;0,IF(AP1115&lt;=eco,alpha*fck*(1-(1-AP1115/eco)^n),alpha*fck),0)</f>
      </c>
      <c r="AR1115" s="30">
        <f>PM_Angle!$J$24+PM_Angle!$K$24*$C1115+PM_Angle!$L$24*$B1115</f>
      </c>
      <c r="AS1115" s="12">
        <f>IF(AR1115&gt;0,IF(AR1115&lt;=eco,alpha*fck*(1-(1-AR1115/eco)^n),alpha*fck),0)</f>
      </c>
      <c r="AT1115" s="30">
        <f>PM_Angle!$J$25+PM_Angle!$K$25*$C1115+PM_Angle!$L$25*$B1115</f>
      </c>
      <c r="AU1115" s="12">
        <f>IF(AT1115&gt;0,IF(AT1115&lt;=eco,alpha*fck*(1-(1-AT1115/eco)^n),alpha*fck),0)</f>
      </c>
    </row>
    <row r="1116" spans="1:47" x14ac:dyDescent="0.25">
      <c r="A1116">
        <f>Mesh!A1113</f>
      </c>
      <c r="B1116" s="12">
        <f>Mesh!B1113</f>
      </c>
      <c r="C1116" s="12">
        <f>Mesh!C1113</f>
      </c>
      <c r="D1116" s="12">
        <f>Mesh!D1113</f>
      </c>
      <c r="E1116" s="30">
        <f>INDEX(St_e0,Det+1)+INDEX(St_kx,Det+1)*C1116+INDEX(St_ky,Det+1)*B1116</f>
      </c>
      <c r="F1116" s="12">
        <f>IF(E1116&gt;0,IF(E1116&lt;=eco,alpha*fck*(1-(1-E1116/eco)^n),alpha*fck),0)</f>
      </c>
      <c r="G1116" s="11">
        <f>F1116*D1116</f>
      </c>
      <c r="H1116" s="11">
        <f>G1116*C1116</f>
      </c>
      <c r="I1116" s="11">
        <f>G1116*B1116</f>
      </c>
      <c r="J1116" s="30">
        <f>PM_Angle!$J$7+PM_Angle!$K$7*$C1116+PM_Angle!$L$7*$B1116</f>
      </c>
      <c r="K1116" s="12">
        <f>IF(J1116&gt;0,IF(J1116&lt;=eco,alpha*fck*(1-(1-J1116/eco)^n),alpha*fck),0)</f>
      </c>
      <c r="L1116" s="30">
        <f>PM_Angle!$J$8+PM_Angle!$K$8*$C1116+PM_Angle!$L$8*$B1116</f>
      </c>
      <c r="M1116" s="12">
        <f>IF(L1116&gt;0,IF(L1116&lt;=eco,alpha*fck*(1-(1-L1116/eco)^n),alpha*fck),0)</f>
      </c>
      <c r="N1116" s="30">
        <f>PM_Angle!$J$9+PM_Angle!$K$9*$C1116+PM_Angle!$L$9*$B1116</f>
      </c>
      <c r="O1116" s="12">
        <f>IF(N1116&gt;0,IF(N1116&lt;=eco,alpha*fck*(1-(1-N1116/eco)^n),alpha*fck),0)</f>
      </c>
      <c r="P1116" s="30">
        <f>PM_Angle!$J$10+PM_Angle!$K$10*$C1116+PM_Angle!$L$10*$B1116</f>
      </c>
      <c r="Q1116" s="12">
        <f>IF(P1116&gt;0,IF(P1116&lt;=eco,alpha*fck*(1-(1-P1116/eco)^n),alpha*fck),0)</f>
      </c>
      <c r="R1116" s="30">
        <f>PM_Angle!$J$11+PM_Angle!$K$11*$C1116+PM_Angle!$L$11*$B1116</f>
      </c>
      <c r="S1116" s="12">
        <f>IF(R1116&gt;0,IF(R1116&lt;=eco,alpha*fck*(1-(1-R1116/eco)^n),alpha*fck),0)</f>
      </c>
      <c r="T1116" s="30">
        <f>PM_Angle!$J$12+PM_Angle!$K$12*$C1116+PM_Angle!$L$12*$B1116</f>
      </c>
      <c r="U1116" s="12">
        <f>IF(T1116&gt;0,IF(T1116&lt;=eco,alpha*fck*(1-(1-T1116/eco)^n),alpha*fck),0)</f>
      </c>
      <c r="V1116" s="30">
        <f>PM_Angle!$J$13+PM_Angle!$K$13*$C1116+PM_Angle!$L$13*$B1116</f>
      </c>
      <c r="W1116" s="12">
        <f>IF(V1116&gt;0,IF(V1116&lt;=eco,alpha*fck*(1-(1-V1116/eco)^n),alpha*fck),0)</f>
      </c>
      <c r="X1116" s="30">
        <f>PM_Angle!$J$14+PM_Angle!$K$14*$C1116+PM_Angle!$L$14*$B1116</f>
      </c>
      <c r="Y1116" s="12">
        <f>IF(X1116&gt;0,IF(X1116&lt;=eco,alpha*fck*(1-(1-X1116/eco)^n),alpha*fck),0)</f>
      </c>
      <c r="Z1116" s="30">
        <f>PM_Angle!$J$15+PM_Angle!$K$15*$C1116+PM_Angle!$L$15*$B1116</f>
      </c>
      <c r="AA1116" s="12">
        <f>IF(Z1116&gt;0,IF(Z1116&lt;=eco,alpha*fck*(1-(1-Z1116/eco)^n),alpha*fck),0)</f>
      </c>
      <c r="AB1116" s="30">
        <f>PM_Angle!$J$16+PM_Angle!$K$16*$C1116+PM_Angle!$L$16*$B1116</f>
      </c>
      <c r="AC1116" s="12">
        <f>IF(AB1116&gt;0,IF(AB1116&lt;=eco,alpha*fck*(1-(1-AB1116/eco)^n),alpha*fck),0)</f>
      </c>
      <c r="AD1116" s="30">
        <f>PM_Angle!$J$17+PM_Angle!$K$17*$C1116+PM_Angle!$L$17*$B1116</f>
      </c>
      <c r="AE1116" s="12">
        <f>IF(AD1116&gt;0,IF(AD1116&lt;=eco,alpha*fck*(1-(1-AD1116/eco)^n),alpha*fck),0)</f>
      </c>
      <c r="AF1116" s="30">
        <f>PM_Angle!$J$18+PM_Angle!$K$18*$C1116+PM_Angle!$L$18*$B1116</f>
      </c>
      <c r="AG1116" s="12">
        <f>IF(AF1116&gt;0,IF(AF1116&lt;=eco,alpha*fck*(1-(1-AF1116/eco)^n),alpha*fck),0)</f>
      </c>
      <c r="AH1116" s="30">
        <f>PM_Angle!$J$19+PM_Angle!$K$19*$C1116+PM_Angle!$L$19*$B1116</f>
      </c>
      <c r="AI1116" s="12">
        <f>IF(AH1116&gt;0,IF(AH1116&lt;=eco,alpha*fck*(1-(1-AH1116/eco)^n),alpha*fck),0)</f>
      </c>
      <c r="AJ1116" s="30">
        <f>PM_Angle!$J$20+PM_Angle!$K$20*$C1116+PM_Angle!$L$20*$B1116</f>
      </c>
      <c r="AK1116" s="12">
        <f>IF(AJ1116&gt;0,IF(AJ1116&lt;=eco,alpha*fck*(1-(1-AJ1116/eco)^n),alpha*fck),0)</f>
      </c>
      <c r="AL1116" s="30">
        <f>PM_Angle!$J$21+PM_Angle!$K$21*$C1116+PM_Angle!$L$21*$B1116</f>
      </c>
      <c r="AM1116" s="12">
        <f>IF(AL1116&gt;0,IF(AL1116&lt;=eco,alpha*fck*(1-(1-AL1116/eco)^n),alpha*fck),0)</f>
      </c>
      <c r="AN1116" s="30">
        <f>PM_Angle!$J$22+PM_Angle!$K$22*$C1116+PM_Angle!$L$22*$B1116</f>
      </c>
      <c r="AO1116" s="12">
        <f>IF(AN1116&gt;0,IF(AN1116&lt;=eco,alpha*fck*(1-(1-AN1116/eco)^n),alpha*fck),0)</f>
      </c>
      <c r="AP1116" s="30">
        <f>PM_Angle!$J$23+PM_Angle!$K$23*$C1116+PM_Angle!$L$23*$B1116</f>
      </c>
      <c r="AQ1116" s="12">
        <f>IF(AP1116&gt;0,IF(AP1116&lt;=eco,alpha*fck*(1-(1-AP1116/eco)^n),alpha*fck),0)</f>
      </c>
      <c r="AR1116" s="30">
        <f>PM_Angle!$J$24+PM_Angle!$K$24*$C1116+PM_Angle!$L$24*$B1116</f>
      </c>
      <c r="AS1116" s="12">
        <f>IF(AR1116&gt;0,IF(AR1116&lt;=eco,alpha*fck*(1-(1-AR1116/eco)^n),alpha*fck),0)</f>
      </c>
      <c r="AT1116" s="30">
        <f>PM_Angle!$J$25+PM_Angle!$K$25*$C1116+PM_Angle!$L$25*$B1116</f>
      </c>
      <c r="AU1116" s="12">
        <f>IF(AT1116&gt;0,IF(AT1116&lt;=eco,alpha*fck*(1-(1-AT1116/eco)^n),alpha*fck),0)</f>
      </c>
    </row>
    <row r="1117" spans="1:47" x14ac:dyDescent="0.25">
      <c r="A1117">
        <f>Mesh!A1114</f>
      </c>
      <c r="B1117" s="12">
        <f>Mesh!B1114</f>
      </c>
      <c r="C1117" s="12">
        <f>Mesh!C1114</f>
      </c>
      <c r="D1117" s="12">
        <f>Mesh!D1114</f>
      </c>
      <c r="E1117" s="30">
        <f>INDEX(St_e0,Det+1)+INDEX(St_kx,Det+1)*C1117+INDEX(St_ky,Det+1)*B1117</f>
      </c>
      <c r="F1117" s="12">
        <f>IF(E1117&gt;0,IF(E1117&lt;=eco,alpha*fck*(1-(1-E1117/eco)^n),alpha*fck),0)</f>
      </c>
      <c r="G1117" s="11">
        <f>F1117*D1117</f>
      </c>
      <c r="H1117" s="11">
        <f>G1117*C1117</f>
      </c>
      <c r="I1117" s="11">
        <f>G1117*B1117</f>
      </c>
      <c r="J1117" s="30">
        <f>PM_Angle!$J$7+PM_Angle!$K$7*$C1117+PM_Angle!$L$7*$B1117</f>
      </c>
      <c r="K1117" s="12">
        <f>IF(J1117&gt;0,IF(J1117&lt;=eco,alpha*fck*(1-(1-J1117/eco)^n),alpha*fck),0)</f>
      </c>
      <c r="L1117" s="30">
        <f>PM_Angle!$J$8+PM_Angle!$K$8*$C1117+PM_Angle!$L$8*$B1117</f>
      </c>
      <c r="M1117" s="12">
        <f>IF(L1117&gt;0,IF(L1117&lt;=eco,alpha*fck*(1-(1-L1117/eco)^n),alpha*fck),0)</f>
      </c>
      <c r="N1117" s="30">
        <f>PM_Angle!$J$9+PM_Angle!$K$9*$C1117+PM_Angle!$L$9*$B1117</f>
      </c>
      <c r="O1117" s="12">
        <f>IF(N1117&gt;0,IF(N1117&lt;=eco,alpha*fck*(1-(1-N1117/eco)^n),alpha*fck),0)</f>
      </c>
      <c r="P1117" s="30">
        <f>PM_Angle!$J$10+PM_Angle!$K$10*$C1117+PM_Angle!$L$10*$B1117</f>
      </c>
      <c r="Q1117" s="12">
        <f>IF(P1117&gt;0,IF(P1117&lt;=eco,alpha*fck*(1-(1-P1117/eco)^n),alpha*fck),0)</f>
      </c>
      <c r="R1117" s="30">
        <f>PM_Angle!$J$11+PM_Angle!$K$11*$C1117+PM_Angle!$L$11*$B1117</f>
      </c>
      <c r="S1117" s="12">
        <f>IF(R1117&gt;0,IF(R1117&lt;=eco,alpha*fck*(1-(1-R1117/eco)^n),alpha*fck),0)</f>
      </c>
      <c r="T1117" s="30">
        <f>PM_Angle!$J$12+PM_Angle!$K$12*$C1117+PM_Angle!$L$12*$B1117</f>
      </c>
      <c r="U1117" s="12">
        <f>IF(T1117&gt;0,IF(T1117&lt;=eco,alpha*fck*(1-(1-T1117/eco)^n),alpha*fck),0)</f>
      </c>
      <c r="V1117" s="30">
        <f>PM_Angle!$J$13+PM_Angle!$K$13*$C1117+PM_Angle!$L$13*$B1117</f>
      </c>
      <c r="W1117" s="12">
        <f>IF(V1117&gt;0,IF(V1117&lt;=eco,alpha*fck*(1-(1-V1117/eco)^n),alpha*fck),0)</f>
      </c>
      <c r="X1117" s="30">
        <f>PM_Angle!$J$14+PM_Angle!$K$14*$C1117+PM_Angle!$L$14*$B1117</f>
      </c>
      <c r="Y1117" s="12">
        <f>IF(X1117&gt;0,IF(X1117&lt;=eco,alpha*fck*(1-(1-X1117/eco)^n),alpha*fck),0)</f>
      </c>
      <c r="Z1117" s="30">
        <f>PM_Angle!$J$15+PM_Angle!$K$15*$C1117+PM_Angle!$L$15*$B1117</f>
      </c>
      <c r="AA1117" s="12">
        <f>IF(Z1117&gt;0,IF(Z1117&lt;=eco,alpha*fck*(1-(1-Z1117/eco)^n),alpha*fck),0)</f>
      </c>
      <c r="AB1117" s="30">
        <f>PM_Angle!$J$16+PM_Angle!$K$16*$C1117+PM_Angle!$L$16*$B1117</f>
      </c>
      <c r="AC1117" s="12">
        <f>IF(AB1117&gt;0,IF(AB1117&lt;=eco,alpha*fck*(1-(1-AB1117/eco)^n),alpha*fck),0)</f>
      </c>
      <c r="AD1117" s="30">
        <f>PM_Angle!$J$17+PM_Angle!$K$17*$C1117+PM_Angle!$L$17*$B1117</f>
      </c>
      <c r="AE1117" s="12">
        <f>IF(AD1117&gt;0,IF(AD1117&lt;=eco,alpha*fck*(1-(1-AD1117/eco)^n),alpha*fck),0)</f>
      </c>
      <c r="AF1117" s="30">
        <f>PM_Angle!$J$18+PM_Angle!$K$18*$C1117+PM_Angle!$L$18*$B1117</f>
      </c>
      <c r="AG1117" s="12">
        <f>IF(AF1117&gt;0,IF(AF1117&lt;=eco,alpha*fck*(1-(1-AF1117/eco)^n),alpha*fck),0)</f>
      </c>
      <c r="AH1117" s="30">
        <f>PM_Angle!$J$19+PM_Angle!$K$19*$C1117+PM_Angle!$L$19*$B1117</f>
      </c>
      <c r="AI1117" s="12">
        <f>IF(AH1117&gt;0,IF(AH1117&lt;=eco,alpha*fck*(1-(1-AH1117/eco)^n),alpha*fck),0)</f>
      </c>
      <c r="AJ1117" s="30">
        <f>PM_Angle!$J$20+PM_Angle!$K$20*$C1117+PM_Angle!$L$20*$B1117</f>
      </c>
      <c r="AK1117" s="12">
        <f>IF(AJ1117&gt;0,IF(AJ1117&lt;=eco,alpha*fck*(1-(1-AJ1117/eco)^n),alpha*fck),0)</f>
      </c>
      <c r="AL1117" s="30">
        <f>PM_Angle!$J$21+PM_Angle!$K$21*$C1117+PM_Angle!$L$21*$B1117</f>
      </c>
      <c r="AM1117" s="12">
        <f>IF(AL1117&gt;0,IF(AL1117&lt;=eco,alpha*fck*(1-(1-AL1117/eco)^n),alpha*fck),0)</f>
      </c>
      <c r="AN1117" s="30">
        <f>PM_Angle!$J$22+PM_Angle!$K$22*$C1117+PM_Angle!$L$22*$B1117</f>
      </c>
      <c r="AO1117" s="12">
        <f>IF(AN1117&gt;0,IF(AN1117&lt;=eco,alpha*fck*(1-(1-AN1117/eco)^n),alpha*fck),0)</f>
      </c>
      <c r="AP1117" s="30">
        <f>PM_Angle!$J$23+PM_Angle!$K$23*$C1117+PM_Angle!$L$23*$B1117</f>
      </c>
      <c r="AQ1117" s="12">
        <f>IF(AP1117&gt;0,IF(AP1117&lt;=eco,alpha*fck*(1-(1-AP1117/eco)^n),alpha*fck),0)</f>
      </c>
      <c r="AR1117" s="30">
        <f>PM_Angle!$J$24+PM_Angle!$K$24*$C1117+PM_Angle!$L$24*$B1117</f>
      </c>
      <c r="AS1117" s="12">
        <f>IF(AR1117&gt;0,IF(AR1117&lt;=eco,alpha*fck*(1-(1-AR1117/eco)^n),alpha*fck),0)</f>
      </c>
      <c r="AT1117" s="30">
        <f>PM_Angle!$J$25+PM_Angle!$K$25*$C1117+PM_Angle!$L$25*$B1117</f>
      </c>
      <c r="AU1117" s="12">
        <f>IF(AT1117&gt;0,IF(AT1117&lt;=eco,alpha*fck*(1-(1-AT1117/eco)^n),alpha*fck),0)</f>
      </c>
    </row>
    <row r="1118" spans="1:47" x14ac:dyDescent="0.25">
      <c r="A1118">
        <f>Mesh!A1115</f>
      </c>
      <c r="B1118" s="12">
        <f>Mesh!B1115</f>
      </c>
      <c r="C1118" s="12">
        <f>Mesh!C1115</f>
      </c>
      <c r="D1118" s="12">
        <f>Mesh!D1115</f>
      </c>
      <c r="E1118" s="30">
        <f>INDEX(St_e0,Det+1)+INDEX(St_kx,Det+1)*C1118+INDEX(St_ky,Det+1)*B1118</f>
      </c>
      <c r="F1118" s="12">
        <f>IF(E1118&gt;0,IF(E1118&lt;=eco,alpha*fck*(1-(1-E1118/eco)^n),alpha*fck),0)</f>
      </c>
      <c r="G1118" s="11">
        <f>F1118*D1118</f>
      </c>
      <c r="H1118" s="11">
        <f>G1118*C1118</f>
      </c>
      <c r="I1118" s="11">
        <f>G1118*B1118</f>
      </c>
      <c r="J1118" s="30">
        <f>PM_Angle!$J$7+PM_Angle!$K$7*$C1118+PM_Angle!$L$7*$B1118</f>
      </c>
      <c r="K1118" s="12">
        <f>IF(J1118&gt;0,IF(J1118&lt;=eco,alpha*fck*(1-(1-J1118/eco)^n),alpha*fck),0)</f>
      </c>
      <c r="L1118" s="30">
        <f>PM_Angle!$J$8+PM_Angle!$K$8*$C1118+PM_Angle!$L$8*$B1118</f>
      </c>
      <c r="M1118" s="12">
        <f>IF(L1118&gt;0,IF(L1118&lt;=eco,alpha*fck*(1-(1-L1118/eco)^n),alpha*fck),0)</f>
      </c>
      <c r="N1118" s="30">
        <f>PM_Angle!$J$9+PM_Angle!$K$9*$C1118+PM_Angle!$L$9*$B1118</f>
      </c>
      <c r="O1118" s="12">
        <f>IF(N1118&gt;0,IF(N1118&lt;=eco,alpha*fck*(1-(1-N1118/eco)^n),alpha*fck),0)</f>
      </c>
      <c r="P1118" s="30">
        <f>PM_Angle!$J$10+PM_Angle!$K$10*$C1118+PM_Angle!$L$10*$B1118</f>
      </c>
      <c r="Q1118" s="12">
        <f>IF(P1118&gt;0,IF(P1118&lt;=eco,alpha*fck*(1-(1-P1118/eco)^n),alpha*fck),0)</f>
      </c>
      <c r="R1118" s="30">
        <f>PM_Angle!$J$11+PM_Angle!$K$11*$C1118+PM_Angle!$L$11*$B1118</f>
      </c>
      <c r="S1118" s="12">
        <f>IF(R1118&gt;0,IF(R1118&lt;=eco,alpha*fck*(1-(1-R1118/eco)^n),alpha*fck),0)</f>
      </c>
      <c r="T1118" s="30">
        <f>PM_Angle!$J$12+PM_Angle!$K$12*$C1118+PM_Angle!$L$12*$B1118</f>
      </c>
      <c r="U1118" s="12">
        <f>IF(T1118&gt;0,IF(T1118&lt;=eco,alpha*fck*(1-(1-T1118/eco)^n),alpha*fck),0)</f>
      </c>
      <c r="V1118" s="30">
        <f>PM_Angle!$J$13+PM_Angle!$K$13*$C1118+PM_Angle!$L$13*$B1118</f>
      </c>
      <c r="W1118" s="12">
        <f>IF(V1118&gt;0,IF(V1118&lt;=eco,alpha*fck*(1-(1-V1118/eco)^n),alpha*fck),0)</f>
      </c>
      <c r="X1118" s="30">
        <f>PM_Angle!$J$14+PM_Angle!$K$14*$C1118+PM_Angle!$L$14*$B1118</f>
      </c>
      <c r="Y1118" s="12">
        <f>IF(X1118&gt;0,IF(X1118&lt;=eco,alpha*fck*(1-(1-X1118/eco)^n),alpha*fck),0)</f>
      </c>
      <c r="Z1118" s="30">
        <f>PM_Angle!$J$15+PM_Angle!$K$15*$C1118+PM_Angle!$L$15*$B1118</f>
      </c>
      <c r="AA1118" s="12">
        <f>IF(Z1118&gt;0,IF(Z1118&lt;=eco,alpha*fck*(1-(1-Z1118/eco)^n),alpha*fck),0)</f>
      </c>
      <c r="AB1118" s="30">
        <f>PM_Angle!$J$16+PM_Angle!$K$16*$C1118+PM_Angle!$L$16*$B1118</f>
      </c>
      <c r="AC1118" s="12">
        <f>IF(AB1118&gt;0,IF(AB1118&lt;=eco,alpha*fck*(1-(1-AB1118/eco)^n),alpha*fck),0)</f>
      </c>
      <c r="AD1118" s="30">
        <f>PM_Angle!$J$17+PM_Angle!$K$17*$C1118+PM_Angle!$L$17*$B1118</f>
      </c>
      <c r="AE1118" s="12">
        <f>IF(AD1118&gt;0,IF(AD1118&lt;=eco,alpha*fck*(1-(1-AD1118/eco)^n),alpha*fck),0)</f>
      </c>
      <c r="AF1118" s="30">
        <f>PM_Angle!$J$18+PM_Angle!$K$18*$C1118+PM_Angle!$L$18*$B1118</f>
      </c>
      <c r="AG1118" s="12">
        <f>IF(AF1118&gt;0,IF(AF1118&lt;=eco,alpha*fck*(1-(1-AF1118/eco)^n),alpha*fck),0)</f>
      </c>
      <c r="AH1118" s="30">
        <f>PM_Angle!$J$19+PM_Angle!$K$19*$C1118+PM_Angle!$L$19*$B1118</f>
      </c>
      <c r="AI1118" s="12">
        <f>IF(AH1118&gt;0,IF(AH1118&lt;=eco,alpha*fck*(1-(1-AH1118/eco)^n),alpha*fck),0)</f>
      </c>
      <c r="AJ1118" s="30">
        <f>PM_Angle!$J$20+PM_Angle!$K$20*$C1118+PM_Angle!$L$20*$B1118</f>
      </c>
      <c r="AK1118" s="12">
        <f>IF(AJ1118&gt;0,IF(AJ1118&lt;=eco,alpha*fck*(1-(1-AJ1118/eco)^n),alpha*fck),0)</f>
      </c>
      <c r="AL1118" s="30">
        <f>PM_Angle!$J$21+PM_Angle!$K$21*$C1118+PM_Angle!$L$21*$B1118</f>
      </c>
      <c r="AM1118" s="12">
        <f>IF(AL1118&gt;0,IF(AL1118&lt;=eco,alpha*fck*(1-(1-AL1118/eco)^n),alpha*fck),0)</f>
      </c>
      <c r="AN1118" s="30">
        <f>PM_Angle!$J$22+PM_Angle!$K$22*$C1118+PM_Angle!$L$22*$B1118</f>
      </c>
      <c r="AO1118" s="12">
        <f>IF(AN1118&gt;0,IF(AN1118&lt;=eco,alpha*fck*(1-(1-AN1118/eco)^n),alpha*fck),0)</f>
      </c>
      <c r="AP1118" s="30">
        <f>PM_Angle!$J$23+PM_Angle!$K$23*$C1118+PM_Angle!$L$23*$B1118</f>
      </c>
      <c r="AQ1118" s="12">
        <f>IF(AP1118&gt;0,IF(AP1118&lt;=eco,alpha*fck*(1-(1-AP1118/eco)^n),alpha*fck),0)</f>
      </c>
      <c r="AR1118" s="30">
        <f>PM_Angle!$J$24+PM_Angle!$K$24*$C1118+PM_Angle!$L$24*$B1118</f>
      </c>
      <c r="AS1118" s="12">
        <f>IF(AR1118&gt;0,IF(AR1118&lt;=eco,alpha*fck*(1-(1-AR1118/eco)^n),alpha*fck),0)</f>
      </c>
      <c r="AT1118" s="30">
        <f>PM_Angle!$J$25+PM_Angle!$K$25*$C1118+PM_Angle!$L$25*$B1118</f>
      </c>
      <c r="AU1118" s="12">
        <f>IF(AT1118&gt;0,IF(AT1118&lt;=eco,alpha*fck*(1-(1-AT1118/eco)^n),alpha*fck),0)</f>
      </c>
    </row>
    <row r="1119" spans="1:47" x14ac:dyDescent="0.25">
      <c r="A1119">
        <f>Mesh!A1116</f>
      </c>
      <c r="B1119" s="12">
        <f>Mesh!B1116</f>
      </c>
      <c r="C1119" s="12">
        <f>Mesh!C1116</f>
      </c>
      <c r="D1119" s="12">
        <f>Mesh!D1116</f>
      </c>
      <c r="E1119" s="30">
        <f>INDEX(St_e0,Det+1)+INDEX(St_kx,Det+1)*C1119+INDEX(St_ky,Det+1)*B1119</f>
      </c>
      <c r="F1119" s="12">
        <f>IF(E1119&gt;0,IF(E1119&lt;=eco,alpha*fck*(1-(1-E1119/eco)^n),alpha*fck),0)</f>
      </c>
      <c r="G1119" s="11">
        <f>F1119*D1119</f>
      </c>
      <c r="H1119" s="11">
        <f>G1119*C1119</f>
      </c>
      <c r="I1119" s="11">
        <f>G1119*B1119</f>
      </c>
      <c r="J1119" s="30">
        <f>PM_Angle!$J$7+PM_Angle!$K$7*$C1119+PM_Angle!$L$7*$B1119</f>
      </c>
      <c r="K1119" s="12">
        <f>IF(J1119&gt;0,IF(J1119&lt;=eco,alpha*fck*(1-(1-J1119/eco)^n),alpha*fck),0)</f>
      </c>
      <c r="L1119" s="30">
        <f>PM_Angle!$J$8+PM_Angle!$K$8*$C1119+PM_Angle!$L$8*$B1119</f>
      </c>
      <c r="M1119" s="12">
        <f>IF(L1119&gt;0,IF(L1119&lt;=eco,alpha*fck*(1-(1-L1119/eco)^n),alpha*fck),0)</f>
      </c>
      <c r="N1119" s="30">
        <f>PM_Angle!$J$9+PM_Angle!$K$9*$C1119+PM_Angle!$L$9*$B1119</f>
      </c>
      <c r="O1119" s="12">
        <f>IF(N1119&gt;0,IF(N1119&lt;=eco,alpha*fck*(1-(1-N1119/eco)^n),alpha*fck),0)</f>
      </c>
      <c r="P1119" s="30">
        <f>PM_Angle!$J$10+PM_Angle!$K$10*$C1119+PM_Angle!$L$10*$B1119</f>
      </c>
      <c r="Q1119" s="12">
        <f>IF(P1119&gt;0,IF(P1119&lt;=eco,alpha*fck*(1-(1-P1119/eco)^n),alpha*fck),0)</f>
      </c>
      <c r="R1119" s="30">
        <f>PM_Angle!$J$11+PM_Angle!$K$11*$C1119+PM_Angle!$L$11*$B1119</f>
      </c>
      <c r="S1119" s="12">
        <f>IF(R1119&gt;0,IF(R1119&lt;=eco,alpha*fck*(1-(1-R1119/eco)^n),alpha*fck),0)</f>
      </c>
      <c r="T1119" s="30">
        <f>PM_Angle!$J$12+PM_Angle!$K$12*$C1119+PM_Angle!$L$12*$B1119</f>
      </c>
      <c r="U1119" s="12">
        <f>IF(T1119&gt;0,IF(T1119&lt;=eco,alpha*fck*(1-(1-T1119/eco)^n),alpha*fck),0)</f>
      </c>
      <c r="V1119" s="30">
        <f>PM_Angle!$J$13+PM_Angle!$K$13*$C1119+PM_Angle!$L$13*$B1119</f>
      </c>
      <c r="W1119" s="12">
        <f>IF(V1119&gt;0,IF(V1119&lt;=eco,alpha*fck*(1-(1-V1119/eco)^n),alpha*fck),0)</f>
      </c>
      <c r="X1119" s="30">
        <f>PM_Angle!$J$14+PM_Angle!$K$14*$C1119+PM_Angle!$L$14*$B1119</f>
      </c>
      <c r="Y1119" s="12">
        <f>IF(X1119&gt;0,IF(X1119&lt;=eco,alpha*fck*(1-(1-X1119/eco)^n),alpha*fck),0)</f>
      </c>
      <c r="Z1119" s="30">
        <f>PM_Angle!$J$15+PM_Angle!$K$15*$C1119+PM_Angle!$L$15*$B1119</f>
      </c>
      <c r="AA1119" s="12">
        <f>IF(Z1119&gt;0,IF(Z1119&lt;=eco,alpha*fck*(1-(1-Z1119/eco)^n),alpha*fck),0)</f>
      </c>
      <c r="AB1119" s="30">
        <f>PM_Angle!$J$16+PM_Angle!$K$16*$C1119+PM_Angle!$L$16*$B1119</f>
      </c>
      <c r="AC1119" s="12">
        <f>IF(AB1119&gt;0,IF(AB1119&lt;=eco,alpha*fck*(1-(1-AB1119/eco)^n),alpha*fck),0)</f>
      </c>
      <c r="AD1119" s="30">
        <f>PM_Angle!$J$17+PM_Angle!$K$17*$C1119+PM_Angle!$L$17*$B1119</f>
      </c>
      <c r="AE1119" s="12">
        <f>IF(AD1119&gt;0,IF(AD1119&lt;=eco,alpha*fck*(1-(1-AD1119/eco)^n),alpha*fck),0)</f>
      </c>
      <c r="AF1119" s="30">
        <f>PM_Angle!$J$18+PM_Angle!$K$18*$C1119+PM_Angle!$L$18*$B1119</f>
      </c>
      <c r="AG1119" s="12">
        <f>IF(AF1119&gt;0,IF(AF1119&lt;=eco,alpha*fck*(1-(1-AF1119/eco)^n),alpha*fck),0)</f>
      </c>
      <c r="AH1119" s="30">
        <f>PM_Angle!$J$19+PM_Angle!$K$19*$C1119+PM_Angle!$L$19*$B1119</f>
      </c>
      <c r="AI1119" s="12">
        <f>IF(AH1119&gt;0,IF(AH1119&lt;=eco,alpha*fck*(1-(1-AH1119/eco)^n),alpha*fck),0)</f>
      </c>
      <c r="AJ1119" s="30">
        <f>PM_Angle!$J$20+PM_Angle!$K$20*$C1119+PM_Angle!$L$20*$B1119</f>
      </c>
      <c r="AK1119" s="12">
        <f>IF(AJ1119&gt;0,IF(AJ1119&lt;=eco,alpha*fck*(1-(1-AJ1119/eco)^n),alpha*fck),0)</f>
      </c>
      <c r="AL1119" s="30">
        <f>PM_Angle!$J$21+PM_Angle!$K$21*$C1119+PM_Angle!$L$21*$B1119</f>
      </c>
      <c r="AM1119" s="12">
        <f>IF(AL1119&gt;0,IF(AL1119&lt;=eco,alpha*fck*(1-(1-AL1119/eco)^n),alpha*fck),0)</f>
      </c>
      <c r="AN1119" s="30">
        <f>PM_Angle!$J$22+PM_Angle!$K$22*$C1119+PM_Angle!$L$22*$B1119</f>
      </c>
      <c r="AO1119" s="12">
        <f>IF(AN1119&gt;0,IF(AN1119&lt;=eco,alpha*fck*(1-(1-AN1119/eco)^n),alpha*fck),0)</f>
      </c>
      <c r="AP1119" s="30">
        <f>PM_Angle!$J$23+PM_Angle!$K$23*$C1119+PM_Angle!$L$23*$B1119</f>
      </c>
      <c r="AQ1119" s="12">
        <f>IF(AP1119&gt;0,IF(AP1119&lt;=eco,alpha*fck*(1-(1-AP1119/eco)^n),alpha*fck),0)</f>
      </c>
      <c r="AR1119" s="30">
        <f>PM_Angle!$J$24+PM_Angle!$K$24*$C1119+PM_Angle!$L$24*$B1119</f>
      </c>
      <c r="AS1119" s="12">
        <f>IF(AR1119&gt;0,IF(AR1119&lt;=eco,alpha*fck*(1-(1-AR1119/eco)^n),alpha*fck),0)</f>
      </c>
      <c r="AT1119" s="30">
        <f>PM_Angle!$J$25+PM_Angle!$K$25*$C1119+PM_Angle!$L$25*$B1119</f>
      </c>
      <c r="AU1119" s="12">
        <f>IF(AT1119&gt;0,IF(AT1119&lt;=eco,alpha*fck*(1-(1-AT1119/eco)^n),alpha*fck),0)</f>
      </c>
    </row>
    <row r="1120" spans="1:47" x14ac:dyDescent="0.25">
      <c r="A1120">
        <f>Mesh!A1117</f>
      </c>
      <c r="B1120" s="12">
        <f>Mesh!B1117</f>
      </c>
      <c r="C1120" s="12">
        <f>Mesh!C1117</f>
      </c>
      <c r="D1120" s="12">
        <f>Mesh!D1117</f>
      </c>
      <c r="E1120" s="30">
        <f>INDEX(St_e0,Det+1)+INDEX(St_kx,Det+1)*C1120+INDEX(St_ky,Det+1)*B1120</f>
      </c>
      <c r="F1120" s="12">
        <f>IF(E1120&gt;0,IF(E1120&lt;=eco,alpha*fck*(1-(1-E1120/eco)^n),alpha*fck),0)</f>
      </c>
      <c r="G1120" s="11">
        <f>F1120*D1120</f>
      </c>
      <c r="H1120" s="11">
        <f>G1120*C1120</f>
      </c>
      <c r="I1120" s="11">
        <f>G1120*B1120</f>
      </c>
      <c r="J1120" s="30">
        <f>PM_Angle!$J$7+PM_Angle!$K$7*$C1120+PM_Angle!$L$7*$B1120</f>
      </c>
      <c r="K1120" s="12">
        <f>IF(J1120&gt;0,IF(J1120&lt;=eco,alpha*fck*(1-(1-J1120/eco)^n),alpha*fck),0)</f>
      </c>
      <c r="L1120" s="30">
        <f>PM_Angle!$J$8+PM_Angle!$K$8*$C1120+PM_Angle!$L$8*$B1120</f>
      </c>
      <c r="M1120" s="12">
        <f>IF(L1120&gt;0,IF(L1120&lt;=eco,alpha*fck*(1-(1-L1120/eco)^n),alpha*fck),0)</f>
      </c>
      <c r="N1120" s="30">
        <f>PM_Angle!$J$9+PM_Angle!$K$9*$C1120+PM_Angle!$L$9*$B1120</f>
      </c>
      <c r="O1120" s="12">
        <f>IF(N1120&gt;0,IF(N1120&lt;=eco,alpha*fck*(1-(1-N1120/eco)^n),alpha*fck),0)</f>
      </c>
      <c r="P1120" s="30">
        <f>PM_Angle!$J$10+PM_Angle!$K$10*$C1120+PM_Angle!$L$10*$B1120</f>
      </c>
      <c r="Q1120" s="12">
        <f>IF(P1120&gt;0,IF(P1120&lt;=eco,alpha*fck*(1-(1-P1120/eco)^n),alpha*fck),0)</f>
      </c>
      <c r="R1120" s="30">
        <f>PM_Angle!$J$11+PM_Angle!$K$11*$C1120+PM_Angle!$L$11*$B1120</f>
      </c>
      <c r="S1120" s="12">
        <f>IF(R1120&gt;0,IF(R1120&lt;=eco,alpha*fck*(1-(1-R1120/eco)^n),alpha*fck),0)</f>
      </c>
      <c r="T1120" s="30">
        <f>PM_Angle!$J$12+PM_Angle!$K$12*$C1120+PM_Angle!$L$12*$B1120</f>
      </c>
      <c r="U1120" s="12">
        <f>IF(T1120&gt;0,IF(T1120&lt;=eco,alpha*fck*(1-(1-T1120/eco)^n),alpha*fck),0)</f>
      </c>
      <c r="V1120" s="30">
        <f>PM_Angle!$J$13+PM_Angle!$K$13*$C1120+PM_Angle!$L$13*$B1120</f>
      </c>
      <c r="W1120" s="12">
        <f>IF(V1120&gt;0,IF(V1120&lt;=eco,alpha*fck*(1-(1-V1120/eco)^n),alpha*fck),0)</f>
      </c>
      <c r="X1120" s="30">
        <f>PM_Angle!$J$14+PM_Angle!$K$14*$C1120+PM_Angle!$L$14*$B1120</f>
      </c>
      <c r="Y1120" s="12">
        <f>IF(X1120&gt;0,IF(X1120&lt;=eco,alpha*fck*(1-(1-X1120/eco)^n),alpha*fck),0)</f>
      </c>
      <c r="Z1120" s="30">
        <f>PM_Angle!$J$15+PM_Angle!$K$15*$C1120+PM_Angle!$L$15*$B1120</f>
      </c>
      <c r="AA1120" s="12">
        <f>IF(Z1120&gt;0,IF(Z1120&lt;=eco,alpha*fck*(1-(1-Z1120/eco)^n),alpha*fck),0)</f>
      </c>
      <c r="AB1120" s="30">
        <f>PM_Angle!$J$16+PM_Angle!$K$16*$C1120+PM_Angle!$L$16*$B1120</f>
      </c>
      <c r="AC1120" s="12">
        <f>IF(AB1120&gt;0,IF(AB1120&lt;=eco,alpha*fck*(1-(1-AB1120/eco)^n),alpha*fck),0)</f>
      </c>
      <c r="AD1120" s="30">
        <f>PM_Angle!$J$17+PM_Angle!$K$17*$C1120+PM_Angle!$L$17*$B1120</f>
      </c>
      <c r="AE1120" s="12">
        <f>IF(AD1120&gt;0,IF(AD1120&lt;=eco,alpha*fck*(1-(1-AD1120/eco)^n),alpha*fck),0)</f>
      </c>
      <c r="AF1120" s="30">
        <f>PM_Angle!$J$18+PM_Angle!$K$18*$C1120+PM_Angle!$L$18*$B1120</f>
      </c>
      <c r="AG1120" s="12">
        <f>IF(AF1120&gt;0,IF(AF1120&lt;=eco,alpha*fck*(1-(1-AF1120/eco)^n),alpha*fck),0)</f>
      </c>
      <c r="AH1120" s="30">
        <f>PM_Angle!$J$19+PM_Angle!$K$19*$C1120+PM_Angle!$L$19*$B1120</f>
      </c>
      <c r="AI1120" s="12">
        <f>IF(AH1120&gt;0,IF(AH1120&lt;=eco,alpha*fck*(1-(1-AH1120/eco)^n),alpha*fck),0)</f>
      </c>
      <c r="AJ1120" s="30">
        <f>PM_Angle!$J$20+PM_Angle!$K$20*$C1120+PM_Angle!$L$20*$B1120</f>
      </c>
      <c r="AK1120" s="12">
        <f>IF(AJ1120&gt;0,IF(AJ1120&lt;=eco,alpha*fck*(1-(1-AJ1120/eco)^n),alpha*fck),0)</f>
      </c>
      <c r="AL1120" s="30">
        <f>PM_Angle!$J$21+PM_Angle!$K$21*$C1120+PM_Angle!$L$21*$B1120</f>
      </c>
      <c r="AM1120" s="12">
        <f>IF(AL1120&gt;0,IF(AL1120&lt;=eco,alpha*fck*(1-(1-AL1120/eco)^n),alpha*fck),0)</f>
      </c>
      <c r="AN1120" s="30">
        <f>PM_Angle!$J$22+PM_Angle!$K$22*$C1120+PM_Angle!$L$22*$B1120</f>
      </c>
      <c r="AO1120" s="12">
        <f>IF(AN1120&gt;0,IF(AN1120&lt;=eco,alpha*fck*(1-(1-AN1120/eco)^n),alpha*fck),0)</f>
      </c>
      <c r="AP1120" s="30">
        <f>PM_Angle!$J$23+PM_Angle!$K$23*$C1120+PM_Angle!$L$23*$B1120</f>
      </c>
      <c r="AQ1120" s="12">
        <f>IF(AP1120&gt;0,IF(AP1120&lt;=eco,alpha*fck*(1-(1-AP1120/eco)^n),alpha*fck),0)</f>
      </c>
      <c r="AR1120" s="30">
        <f>PM_Angle!$J$24+PM_Angle!$K$24*$C1120+PM_Angle!$L$24*$B1120</f>
      </c>
      <c r="AS1120" s="12">
        <f>IF(AR1120&gt;0,IF(AR1120&lt;=eco,alpha*fck*(1-(1-AR1120/eco)^n),alpha*fck),0)</f>
      </c>
      <c r="AT1120" s="30">
        <f>PM_Angle!$J$25+PM_Angle!$K$25*$C1120+PM_Angle!$L$25*$B1120</f>
      </c>
      <c r="AU1120" s="12">
        <f>IF(AT1120&gt;0,IF(AT1120&lt;=eco,alpha*fck*(1-(1-AT1120/eco)^n),alpha*fck),0)</f>
      </c>
    </row>
    <row r="1121" spans="1:47" x14ac:dyDescent="0.25">
      <c r="A1121">
        <f>Mesh!A1118</f>
      </c>
      <c r="B1121" s="12">
        <f>Mesh!B1118</f>
      </c>
      <c r="C1121" s="12">
        <f>Mesh!C1118</f>
      </c>
      <c r="D1121" s="12">
        <f>Mesh!D1118</f>
      </c>
      <c r="E1121" s="30">
        <f>INDEX(St_e0,Det+1)+INDEX(St_kx,Det+1)*C1121+INDEX(St_ky,Det+1)*B1121</f>
      </c>
      <c r="F1121" s="12">
        <f>IF(E1121&gt;0,IF(E1121&lt;=eco,alpha*fck*(1-(1-E1121/eco)^n),alpha*fck),0)</f>
      </c>
      <c r="G1121" s="11">
        <f>F1121*D1121</f>
      </c>
      <c r="H1121" s="11">
        <f>G1121*C1121</f>
      </c>
      <c r="I1121" s="11">
        <f>G1121*B1121</f>
      </c>
      <c r="J1121" s="30">
        <f>PM_Angle!$J$7+PM_Angle!$K$7*$C1121+PM_Angle!$L$7*$B1121</f>
      </c>
      <c r="K1121" s="12">
        <f>IF(J1121&gt;0,IF(J1121&lt;=eco,alpha*fck*(1-(1-J1121/eco)^n),alpha*fck),0)</f>
      </c>
      <c r="L1121" s="30">
        <f>PM_Angle!$J$8+PM_Angle!$K$8*$C1121+PM_Angle!$L$8*$B1121</f>
      </c>
      <c r="M1121" s="12">
        <f>IF(L1121&gt;0,IF(L1121&lt;=eco,alpha*fck*(1-(1-L1121/eco)^n),alpha*fck),0)</f>
      </c>
      <c r="N1121" s="30">
        <f>PM_Angle!$J$9+PM_Angle!$K$9*$C1121+PM_Angle!$L$9*$B1121</f>
      </c>
      <c r="O1121" s="12">
        <f>IF(N1121&gt;0,IF(N1121&lt;=eco,alpha*fck*(1-(1-N1121/eco)^n),alpha*fck),0)</f>
      </c>
      <c r="P1121" s="30">
        <f>PM_Angle!$J$10+PM_Angle!$K$10*$C1121+PM_Angle!$L$10*$B1121</f>
      </c>
      <c r="Q1121" s="12">
        <f>IF(P1121&gt;0,IF(P1121&lt;=eco,alpha*fck*(1-(1-P1121/eco)^n),alpha*fck),0)</f>
      </c>
      <c r="R1121" s="30">
        <f>PM_Angle!$J$11+PM_Angle!$K$11*$C1121+PM_Angle!$L$11*$B1121</f>
      </c>
      <c r="S1121" s="12">
        <f>IF(R1121&gt;0,IF(R1121&lt;=eco,alpha*fck*(1-(1-R1121/eco)^n),alpha*fck),0)</f>
      </c>
      <c r="T1121" s="30">
        <f>PM_Angle!$J$12+PM_Angle!$K$12*$C1121+PM_Angle!$L$12*$B1121</f>
      </c>
      <c r="U1121" s="12">
        <f>IF(T1121&gt;0,IF(T1121&lt;=eco,alpha*fck*(1-(1-T1121/eco)^n),alpha*fck),0)</f>
      </c>
      <c r="V1121" s="30">
        <f>PM_Angle!$J$13+PM_Angle!$K$13*$C1121+PM_Angle!$L$13*$B1121</f>
      </c>
      <c r="W1121" s="12">
        <f>IF(V1121&gt;0,IF(V1121&lt;=eco,alpha*fck*(1-(1-V1121/eco)^n),alpha*fck),0)</f>
      </c>
      <c r="X1121" s="30">
        <f>PM_Angle!$J$14+PM_Angle!$K$14*$C1121+PM_Angle!$L$14*$B1121</f>
      </c>
      <c r="Y1121" s="12">
        <f>IF(X1121&gt;0,IF(X1121&lt;=eco,alpha*fck*(1-(1-X1121/eco)^n),alpha*fck),0)</f>
      </c>
      <c r="Z1121" s="30">
        <f>PM_Angle!$J$15+PM_Angle!$K$15*$C1121+PM_Angle!$L$15*$B1121</f>
      </c>
      <c r="AA1121" s="12">
        <f>IF(Z1121&gt;0,IF(Z1121&lt;=eco,alpha*fck*(1-(1-Z1121/eco)^n),alpha*fck),0)</f>
      </c>
      <c r="AB1121" s="30">
        <f>PM_Angle!$J$16+PM_Angle!$K$16*$C1121+PM_Angle!$L$16*$B1121</f>
      </c>
      <c r="AC1121" s="12">
        <f>IF(AB1121&gt;0,IF(AB1121&lt;=eco,alpha*fck*(1-(1-AB1121/eco)^n),alpha*fck),0)</f>
      </c>
      <c r="AD1121" s="30">
        <f>PM_Angle!$J$17+PM_Angle!$K$17*$C1121+PM_Angle!$L$17*$B1121</f>
      </c>
      <c r="AE1121" s="12">
        <f>IF(AD1121&gt;0,IF(AD1121&lt;=eco,alpha*fck*(1-(1-AD1121/eco)^n),alpha*fck),0)</f>
      </c>
      <c r="AF1121" s="30">
        <f>PM_Angle!$J$18+PM_Angle!$K$18*$C1121+PM_Angle!$L$18*$B1121</f>
      </c>
      <c r="AG1121" s="12">
        <f>IF(AF1121&gt;0,IF(AF1121&lt;=eco,alpha*fck*(1-(1-AF1121/eco)^n),alpha*fck),0)</f>
      </c>
      <c r="AH1121" s="30">
        <f>PM_Angle!$J$19+PM_Angle!$K$19*$C1121+PM_Angle!$L$19*$B1121</f>
      </c>
      <c r="AI1121" s="12">
        <f>IF(AH1121&gt;0,IF(AH1121&lt;=eco,alpha*fck*(1-(1-AH1121/eco)^n),alpha*fck),0)</f>
      </c>
      <c r="AJ1121" s="30">
        <f>PM_Angle!$J$20+PM_Angle!$K$20*$C1121+PM_Angle!$L$20*$B1121</f>
      </c>
      <c r="AK1121" s="12">
        <f>IF(AJ1121&gt;0,IF(AJ1121&lt;=eco,alpha*fck*(1-(1-AJ1121/eco)^n),alpha*fck),0)</f>
      </c>
      <c r="AL1121" s="30">
        <f>PM_Angle!$J$21+PM_Angle!$K$21*$C1121+PM_Angle!$L$21*$B1121</f>
      </c>
      <c r="AM1121" s="12">
        <f>IF(AL1121&gt;0,IF(AL1121&lt;=eco,alpha*fck*(1-(1-AL1121/eco)^n),alpha*fck),0)</f>
      </c>
      <c r="AN1121" s="30">
        <f>PM_Angle!$J$22+PM_Angle!$K$22*$C1121+PM_Angle!$L$22*$B1121</f>
      </c>
      <c r="AO1121" s="12">
        <f>IF(AN1121&gt;0,IF(AN1121&lt;=eco,alpha*fck*(1-(1-AN1121/eco)^n),alpha*fck),0)</f>
      </c>
      <c r="AP1121" s="30">
        <f>PM_Angle!$J$23+PM_Angle!$K$23*$C1121+PM_Angle!$L$23*$B1121</f>
      </c>
      <c r="AQ1121" s="12">
        <f>IF(AP1121&gt;0,IF(AP1121&lt;=eco,alpha*fck*(1-(1-AP1121/eco)^n),alpha*fck),0)</f>
      </c>
      <c r="AR1121" s="30">
        <f>PM_Angle!$J$24+PM_Angle!$K$24*$C1121+PM_Angle!$L$24*$B1121</f>
      </c>
      <c r="AS1121" s="12">
        <f>IF(AR1121&gt;0,IF(AR1121&lt;=eco,alpha*fck*(1-(1-AR1121/eco)^n),alpha*fck),0)</f>
      </c>
      <c r="AT1121" s="30">
        <f>PM_Angle!$J$25+PM_Angle!$K$25*$C1121+PM_Angle!$L$25*$B1121</f>
      </c>
      <c r="AU1121" s="12">
        <f>IF(AT1121&gt;0,IF(AT1121&lt;=eco,alpha*fck*(1-(1-AT1121/eco)^n),alpha*fck),0)</f>
      </c>
    </row>
    <row r="1122" spans="1:47" x14ac:dyDescent="0.25">
      <c r="A1122">
        <f>Mesh!A1119</f>
      </c>
      <c r="B1122" s="12">
        <f>Mesh!B1119</f>
      </c>
      <c r="C1122" s="12">
        <f>Mesh!C1119</f>
      </c>
      <c r="D1122" s="12">
        <f>Mesh!D1119</f>
      </c>
      <c r="E1122" s="30">
        <f>INDEX(St_e0,Det+1)+INDEX(St_kx,Det+1)*C1122+INDEX(St_ky,Det+1)*B1122</f>
      </c>
      <c r="F1122" s="12">
        <f>IF(E1122&gt;0,IF(E1122&lt;=eco,alpha*fck*(1-(1-E1122/eco)^n),alpha*fck),0)</f>
      </c>
      <c r="G1122" s="11">
        <f>F1122*D1122</f>
      </c>
      <c r="H1122" s="11">
        <f>G1122*C1122</f>
      </c>
      <c r="I1122" s="11">
        <f>G1122*B1122</f>
      </c>
      <c r="J1122" s="30">
        <f>PM_Angle!$J$7+PM_Angle!$K$7*$C1122+PM_Angle!$L$7*$B1122</f>
      </c>
      <c r="K1122" s="12">
        <f>IF(J1122&gt;0,IF(J1122&lt;=eco,alpha*fck*(1-(1-J1122/eco)^n),alpha*fck),0)</f>
      </c>
      <c r="L1122" s="30">
        <f>PM_Angle!$J$8+PM_Angle!$K$8*$C1122+PM_Angle!$L$8*$B1122</f>
      </c>
      <c r="M1122" s="12">
        <f>IF(L1122&gt;0,IF(L1122&lt;=eco,alpha*fck*(1-(1-L1122/eco)^n),alpha*fck),0)</f>
      </c>
      <c r="N1122" s="30">
        <f>PM_Angle!$J$9+PM_Angle!$K$9*$C1122+PM_Angle!$L$9*$B1122</f>
      </c>
      <c r="O1122" s="12">
        <f>IF(N1122&gt;0,IF(N1122&lt;=eco,alpha*fck*(1-(1-N1122/eco)^n),alpha*fck),0)</f>
      </c>
      <c r="P1122" s="30">
        <f>PM_Angle!$J$10+PM_Angle!$K$10*$C1122+PM_Angle!$L$10*$B1122</f>
      </c>
      <c r="Q1122" s="12">
        <f>IF(P1122&gt;0,IF(P1122&lt;=eco,alpha*fck*(1-(1-P1122/eco)^n),alpha*fck),0)</f>
      </c>
      <c r="R1122" s="30">
        <f>PM_Angle!$J$11+PM_Angle!$K$11*$C1122+PM_Angle!$L$11*$B1122</f>
      </c>
      <c r="S1122" s="12">
        <f>IF(R1122&gt;0,IF(R1122&lt;=eco,alpha*fck*(1-(1-R1122/eco)^n),alpha*fck),0)</f>
      </c>
      <c r="T1122" s="30">
        <f>PM_Angle!$J$12+PM_Angle!$K$12*$C1122+PM_Angle!$L$12*$B1122</f>
      </c>
      <c r="U1122" s="12">
        <f>IF(T1122&gt;0,IF(T1122&lt;=eco,alpha*fck*(1-(1-T1122/eco)^n),alpha*fck),0)</f>
      </c>
      <c r="V1122" s="30">
        <f>PM_Angle!$J$13+PM_Angle!$K$13*$C1122+PM_Angle!$L$13*$B1122</f>
      </c>
      <c r="W1122" s="12">
        <f>IF(V1122&gt;0,IF(V1122&lt;=eco,alpha*fck*(1-(1-V1122/eco)^n),alpha*fck),0)</f>
      </c>
      <c r="X1122" s="30">
        <f>PM_Angle!$J$14+PM_Angle!$K$14*$C1122+PM_Angle!$L$14*$B1122</f>
      </c>
      <c r="Y1122" s="12">
        <f>IF(X1122&gt;0,IF(X1122&lt;=eco,alpha*fck*(1-(1-X1122/eco)^n),alpha*fck),0)</f>
      </c>
      <c r="Z1122" s="30">
        <f>PM_Angle!$J$15+PM_Angle!$K$15*$C1122+PM_Angle!$L$15*$B1122</f>
      </c>
      <c r="AA1122" s="12">
        <f>IF(Z1122&gt;0,IF(Z1122&lt;=eco,alpha*fck*(1-(1-Z1122/eco)^n),alpha*fck),0)</f>
      </c>
      <c r="AB1122" s="30">
        <f>PM_Angle!$J$16+PM_Angle!$K$16*$C1122+PM_Angle!$L$16*$B1122</f>
      </c>
      <c r="AC1122" s="12">
        <f>IF(AB1122&gt;0,IF(AB1122&lt;=eco,alpha*fck*(1-(1-AB1122/eco)^n),alpha*fck),0)</f>
      </c>
      <c r="AD1122" s="30">
        <f>PM_Angle!$J$17+PM_Angle!$K$17*$C1122+PM_Angle!$L$17*$B1122</f>
      </c>
      <c r="AE1122" s="12">
        <f>IF(AD1122&gt;0,IF(AD1122&lt;=eco,alpha*fck*(1-(1-AD1122/eco)^n),alpha*fck),0)</f>
      </c>
      <c r="AF1122" s="30">
        <f>PM_Angle!$J$18+PM_Angle!$K$18*$C1122+PM_Angle!$L$18*$B1122</f>
      </c>
      <c r="AG1122" s="12">
        <f>IF(AF1122&gt;0,IF(AF1122&lt;=eco,alpha*fck*(1-(1-AF1122/eco)^n),alpha*fck),0)</f>
      </c>
      <c r="AH1122" s="30">
        <f>PM_Angle!$J$19+PM_Angle!$K$19*$C1122+PM_Angle!$L$19*$B1122</f>
      </c>
      <c r="AI1122" s="12">
        <f>IF(AH1122&gt;0,IF(AH1122&lt;=eco,alpha*fck*(1-(1-AH1122/eco)^n),alpha*fck),0)</f>
      </c>
      <c r="AJ1122" s="30">
        <f>PM_Angle!$J$20+PM_Angle!$K$20*$C1122+PM_Angle!$L$20*$B1122</f>
      </c>
      <c r="AK1122" s="12">
        <f>IF(AJ1122&gt;0,IF(AJ1122&lt;=eco,alpha*fck*(1-(1-AJ1122/eco)^n),alpha*fck),0)</f>
      </c>
      <c r="AL1122" s="30">
        <f>PM_Angle!$J$21+PM_Angle!$K$21*$C1122+PM_Angle!$L$21*$B1122</f>
      </c>
      <c r="AM1122" s="12">
        <f>IF(AL1122&gt;0,IF(AL1122&lt;=eco,alpha*fck*(1-(1-AL1122/eco)^n),alpha*fck),0)</f>
      </c>
      <c r="AN1122" s="30">
        <f>PM_Angle!$J$22+PM_Angle!$K$22*$C1122+PM_Angle!$L$22*$B1122</f>
      </c>
      <c r="AO1122" s="12">
        <f>IF(AN1122&gt;0,IF(AN1122&lt;=eco,alpha*fck*(1-(1-AN1122/eco)^n),alpha*fck),0)</f>
      </c>
      <c r="AP1122" s="30">
        <f>PM_Angle!$J$23+PM_Angle!$K$23*$C1122+PM_Angle!$L$23*$B1122</f>
      </c>
      <c r="AQ1122" s="12">
        <f>IF(AP1122&gt;0,IF(AP1122&lt;=eco,alpha*fck*(1-(1-AP1122/eco)^n),alpha*fck),0)</f>
      </c>
      <c r="AR1122" s="30">
        <f>PM_Angle!$J$24+PM_Angle!$K$24*$C1122+PM_Angle!$L$24*$B1122</f>
      </c>
      <c r="AS1122" s="12">
        <f>IF(AR1122&gt;0,IF(AR1122&lt;=eco,alpha*fck*(1-(1-AR1122/eco)^n),alpha*fck),0)</f>
      </c>
      <c r="AT1122" s="30">
        <f>PM_Angle!$J$25+PM_Angle!$K$25*$C1122+PM_Angle!$L$25*$B1122</f>
      </c>
      <c r="AU1122" s="12">
        <f>IF(AT1122&gt;0,IF(AT1122&lt;=eco,alpha*fck*(1-(1-AT1122/eco)^n),alpha*fck),0)</f>
      </c>
    </row>
    <row r="1123" spans="1:47" x14ac:dyDescent="0.25">
      <c r="A1123">
        <f>Mesh!A1120</f>
      </c>
      <c r="B1123" s="12">
        <f>Mesh!B1120</f>
      </c>
      <c r="C1123" s="12">
        <f>Mesh!C1120</f>
      </c>
      <c r="D1123" s="12">
        <f>Mesh!D1120</f>
      </c>
      <c r="E1123" s="30">
        <f>INDEX(St_e0,Det+1)+INDEX(St_kx,Det+1)*C1123+INDEX(St_ky,Det+1)*B1123</f>
      </c>
      <c r="F1123" s="12">
        <f>IF(E1123&gt;0,IF(E1123&lt;=eco,alpha*fck*(1-(1-E1123/eco)^n),alpha*fck),0)</f>
      </c>
      <c r="G1123" s="11">
        <f>F1123*D1123</f>
      </c>
      <c r="H1123" s="11">
        <f>G1123*C1123</f>
      </c>
      <c r="I1123" s="11">
        <f>G1123*B1123</f>
      </c>
      <c r="J1123" s="30">
        <f>PM_Angle!$J$7+PM_Angle!$K$7*$C1123+PM_Angle!$L$7*$B1123</f>
      </c>
      <c r="K1123" s="12">
        <f>IF(J1123&gt;0,IF(J1123&lt;=eco,alpha*fck*(1-(1-J1123/eco)^n),alpha*fck),0)</f>
      </c>
      <c r="L1123" s="30">
        <f>PM_Angle!$J$8+PM_Angle!$K$8*$C1123+PM_Angle!$L$8*$B1123</f>
      </c>
      <c r="M1123" s="12">
        <f>IF(L1123&gt;0,IF(L1123&lt;=eco,alpha*fck*(1-(1-L1123/eco)^n),alpha*fck),0)</f>
      </c>
      <c r="N1123" s="30">
        <f>PM_Angle!$J$9+PM_Angle!$K$9*$C1123+PM_Angle!$L$9*$B1123</f>
      </c>
      <c r="O1123" s="12">
        <f>IF(N1123&gt;0,IF(N1123&lt;=eco,alpha*fck*(1-(1-N1123/eco)^n),alpha*fck),0)</f>
      </c>
      <c r="P1123" s="30">
        <f>PM_Angle!$J$10+PM_Angle!$K$10*$C1123+PM_Angle!$L$10*$B1123</f>
      </c>
      <c r="Q1123" s="12">
        <f>IF(P1123&gt;0,IF(P1123&lt;=eco,alpha*fck*(1-(1-P1123/eco)^n),alpha*fck),0)</f>
      </c>
      <c r="R1123" s="30">
        <f>PM_Angle!$J$11+PM_Angle!$K$11*$C1123+PM_Angle!$L$11*$B1123</f>
      </c>
      <c r="S1123" s="12">
        <f>IF(R1123&gt;0,IF(R1123&lt;=eco,alpha*fck*(1-(1-R1123/eco)^n),alpha*fck),0)</f>
      </c>
      <c r="T1123" s="30">
        <f>PM_Angle!$J$12+PM_Angle!$K$12*$C1123+PM_Angle!$L$12*$B1123</f>
      </c>
      <c r="U1123" s="12">
        <f>IF(T1123&gt;0,IF(T1123&lt;=eco,alpha*fck*(1-(1-T1123/eco)^n),alpha*fck),0)</f>
      </c>
      <c r="V1123" s="30">
        <f>PM_Angle!$J$13+PM_Angle!$K$13*$C1123+PM_Angle!$L$13*$B1123</f>
      </c>
      <c r="W1123" s="12">
        <f>IF(V1123&gt;0,IF(V1123&lt;=eco,alpha*fck*(1-(1-V1123/eco)^n),alpha*fck),0)</f>
      </c>
      <c r="X1123" s="30">
        <f>PM_Angle!$J$14+PM_Angle!$K$14*$C1123+PM_Angle!$L$14*$B1123</f>
      </c>
      <c r="Y1123" s="12">
        <f>IF(X1123&gt;0,IF(X1123&lt;=eco,alpha*fck*(1-(1-X1123/eco)^n),alpha*fck),0)</f>
      </c>
      <c r="Z1123" s="30">
        <f>PM_Angle!$J$15+PM_Angle!$K$15*$C1123+PM_Angle!$L$15*$B1123</f>
      </c>
      <c r="AA1123" s="12">
        <f>IF(Z1123&gt;0,IF(Z1123&lt;=eco,alpha*fck*(1-(1-Z1123/eco)^n),alpha*fck),0)</f>
      </c>
      <c r="AB1123" s="30">
        <f>PM_Angle!$J$16+PM_Angle!$K$16*$C1123+PM_Angle!$L$16*$B1123</f>
      </c>
      <c r="AC1123" s="12">
        <f>IF(AB1123&gt;0,IF(AB1123&lt;=eco,alpha*fck*(1-(1-AB1123/eco)^n),alpha*fck),0)</f>
      </c>
      <c r="AD1123" s="30">
        <f>PM_Angle!$J$17+PM_Angle!$K$17*$C1123+PM_Angle!$L$17*$B1123</f>
      </c>
      <c r="AE1123" s="12">
        <f>IF(AD1123&gt;0,IF(AD1123&lt;=eco,alpha*fck*(1-(1-AD1123/eco)^n),alpha*fck),0)</f>
      </c>
      <c r="AF1123" s="30">
        <f>PM_Angle!$J$18+PM_Angle!$K$18*$C1123+PM_Angle!$L$18*$B1123</f>
      </c>
      <c r="AG1123" s="12">
        <f>IF(AF1123&gt;0,IF(AF1123&lt;=eco,alpha*fck*(1-(1-AF1123/eco)^n),alpha*fck),0)</f>
      </c>
      <c r="AH1123" s="30">
        <f>PM_Angle!$J$19+PM_Angle!$K$19*$C1123+PM_Angle!$L$19*$B1123</f>
      </c>
      <c r="AI1123" s="12">
        <f>IF(AH1123&gt;0,IF(AH1123&lt;=eco,alpha*fck*(1-(1-AH1123/eco)^n),alpha*fck),0)</f>
      </c>
      <c r="AJ1123" s="30">
        <f>PM_Angle!$J$20+PM_Angle!$K$20*$C1123+PM_Angle!$L$20*$B1123</f>
      </c>
      <c r="AK1123" s="12">
        <f>IF(AJ1123&gt;0,IF(AJ1123&lt;=eco,alpha*fck*(1-(1-AJ1123/eco)^n),alpha*fck),0)</f>
      </c>
      <c r="AL1123" s="30">
        <f>PM_Angle!$J$21+PM_Angle!$K$21*$C1123+PM_Angle!$L$21*$B1123</f>
      </c>
      <c r="AM1123" s="12">
        <f>IF(AL1123&gt;0,IF(AL1123&lt;=eco,alpha*fck*(1-(1-AL1123/eco)^n),alpha*fck),0)</f>
      </c>
      <c r="AN1123" s="30">
        <f>PM_Angle!$J$22+PM_Angle!$K$22*$C1123+PM_Angle!$L$22*$B1123</f>
      </c>
      <c r="AO1123" s="12">
        <f>IF(AN1123&gt;0,IF(AN1123&lt;=eco,alpha*fck*(1-(1-AN1123/eco)^n),alpha*fck),0)</f>
      </c>
      <c r="AP1123" s="30">
        <f>PM_Angle!$J$23+PM_Angle!$K$23*$C1123+PM_Angle!$L$23*$B1123</f>
      </c>
      <c r="AQ1123" s="12">
        <f>IF(AP1123&gt;0,IF(AP1123&lt;=eco,alpha*fck*(1-(1-AP1123/eco)^n),alpha*fck),0)</f>
      </c>
      <c r="AR1123" s="30">
        <f>PM_Angle!$J$24+PM_Angle!$K$24*$C1123+PM_Angle!$L$24*$B1123</f>
      </c>
      <c r="AS1123" s="12">
        <f>IF(AR1123&gt;0,IF(AR1123&lt;=eco,alpha*fck*(1-(1-AR1123/eco)^n),alpha*fck),0)</f>
      </c>
      <c r="AT1123" s="30">
        <f>PM_Angle!$J$25+PM_Angle!$K$25*$C1123+PM_Angle!$L$25*$B1123</f>
      </c>
      <c r="AU1123" s="12">
        <f>IF(AT1123&gt;0,IF(AT1123&lt;=eco,alpha*fck*(1-(1-AT1123/eco)^n),alpha*fck),0)</f>
      </c>
    </row>
    <row r="1124" spans="1:47" x14ac:dyDescent="0.25">
      <c r="A1124">
        <f>Mesh!A1121</f>
      </c>
      <c r="B1124" s="12">
        <f>Mesh!B1121</f>
      </c>
      <c r="C1124" s="12">
        <f>Mesh!C1121</f>
      </c>
      <c r="D1124" s="12">
        <f>Mesh!D1121</f>
      </c>
      <c r="E1124" s="30">
        <f>INDEX(St_e0,Det+1)+INDEX(St_kx,Det+1)*C1124+INDEX(St_ky,Det+1)*B1124</f>
      </c>
      <c r="F1124" s="12">
        <f>IF(E1124&gt;0,IF(E1124&lt;=eco,alpha*fck*(1-(1-E1124/eco)^n),alpha*fck),0)</f>
      </c>
      <c r="G1124" s="11">
        <f>F1124*D1124</f>
      </c>
      <c r="H1124" s="11">
        <f>G1124*C1124</f>
      </c>
      <c r="I1124" s="11">
        <f>G1124*B1124</f>
      </c>
      <c r="J1124" s="30">
        <f>PM_Angle!$J$7+PM_Angle!$K$7*$C1124+PM_Angle!$L$7*$B1124</f>
      </c>
      <c r="K1124" s="12">
        <f>IF(J1124&gt;0,IF(J1124&lt;=eco,alpha*fck*(1-(1-J1124/eco)^n),alpha*fck),0)</f>
      </c>
      <c r="L1124" s="30">
        <f>PM_Angle!$J$8+PM_Angle!$K$8*$C1124+PM_Angle!$L$8*$B1124</f>
      </c>
      <c r="M1124" s="12">
        <f>IF(L1124&gt;0,IF(L1124&lt;=eco,alpha*fck*(1-(1-L1124/eco)^n),alpha*fck),0)</f>
      </c>
      <c r="N1124" s="30">
        <f>PM_Angle!$J$9+PM_Angle!$K$9*$C1124+PM_Angle!$L$9*$B1124</f>
      </c>
      <c r="O1124" s="12">
        <f>IF(N1124&gt;0,IF(N1124&lt;=eco,alpha*fck*(1-(1-N1124/eco)^n),alpha*fck),0)</f>
      </c>
      <c r="P1124" s="30">
        <f>PM_Angle!$J$10+PM_Angle!$K$10*$C1124+PM_Angle!$L$10*$B1124</f>
      </c>
      <c r="Q1124" s="12">
        <f>IF(P1124&gt;0,IF(P1124&lt;=eco,alpha*fck*(1-(1-P1124/eco)^n),alpha*fck),0)</f>
      </c>
      <c r="R1124" s="30">
        <f>PM_Angle!$J$11+PM_Angle!$K$11*$C1124+PM_Angle!$L$11*$B1124</f>
      </c>
      <c r="S1124" s="12">
        <f>IF(R1124&gt;0,IF(R1124&lt;=eco,alpha*fck*(1-(1-R1124/eco)^n),alpha*fck),0)</f>
      </c>
      <c r="T1124" s="30">
        <f>PM_Angle!$J$12+PM_Angle!$K$12*$C1124+PM_Angle!$L$12*$B1124</f>
      </c>
      <c r="U1124" s="12">
        <f>IF(T1124&gt;0,IF(T1124&lt;=eco,alpha*fck*(1-(1-T1124/eco)^n),alpha*fck),0)</f>
      </c>
      <c r="V1124" s="30">
        <f>PM_Angle!$J$13+PM_Angle!$K$13*$C1124+PM_Angle!$L$13*$B1124</f>
      </c>
      <c r="W1124" s="12">
        <f>IF(V1124&gt;0,IF(V1124&lt;=eco,alpha*fck*(1-(1-V1124/eco)^n),alpha*fck),0)</f>
      </c>
      <c r="X1124" s="30">
        <f>PM_Angle!$J$14+PM_Angle!$K$14*$C1124+PM_Angle!$L$14*$B1124</f>
      </c>
      <c r="Y1124" s="12">
        <f>IF(X1124&gt;0,IF(X1124&lt;=eco,alpha*fck*(1-(1-X1124/eco)^n),alpha*fck),0)</f>
      </c>
      <c r="Z1124" s="30">
        <f>PM_Angle!$J$15+PM_Angle!$K$15*$C1124+PM_Angle!$L$15*$B1124</f>
      </c>
      <c r="AA1124" s="12">
        <f>IF(Z1124&gt;0,IF(Z1124&lt;=eco,alpha*fck*(1-(1-Z1124/eco)^n),alpha*fck),0)</f>
      </c>
      <c r="AB1124" s="30">
        <f>PM_Angle!$J$16+PM_Angle!$K$16*$C1124+PM_Angle!$L$16*$B1124</f>
      </c>
      <c r="AC1124" s="12">
        <f>IF(AB1124&gt;0,IF(AB1124&lt;=eco,alpha*fck*(1-(1-AB1124/eco)^n),alpha*fck),0)</f>
      </c>
      <c r="AD1124" s="30">
        <f>PM_Angle!$J$17+PM_Angle!$K$17*$C1124+PM_Angle!$L$17*$B1124</f>
      </c>
      <c r="AE1124" s="12">
        <f>IF(AD1124&gt;0,IF(AD1124&lt;=eco,alpha*fck*(1-(1-AD1124/eco)^n),alpha*fck),0)</f>
      </c>
      <c r="AF1124" s="30">
        <f>PM_Angle!$J$18+PM_Angle!$K$18*$C1124+PM_Angle!$L$18*$B1124</f>
      </c>
      <c r="AG1124" s="12">
        <f>IF(AF1124&gt;0,IF(AF1124&lt;=eco,alpha*fck*(1-(1-AF1124/eco)^n),alpha*fck),0)</f>
      </c>
      <c r="AH1124" s="30">
        <f>PM_Angle!$J$19+PM_Angle!$K$19*$C1124+PM_Angle!$L$19*$B1124</f>
      </c>
      <c r="AI1124" s="12">
        <f>IF(AH1124&gt;0,IF(AH1124&lt;=eco,alpha*fck*(1-(1-AH1124/eco)^n),alpha*fck),0)</f>
      </c>
      <c r="AJ1124" s="30">
        <f>PM_Angle!$J$20+PM_Angle!$K$20*$C1124+PM_Angle!$L$20*$B1124</f>
      </c>
      <c r="AK1124" s="12">
        <f>IF(AJ1124&gt;0,IF(AJ1124&lt;=eco,alpha*fck*(1-(1-AJ1124/eco)^n),alpha*fck),0)</f>
      </c>
      <c r="AL1124" s="30">
        <f>PM_Angle!$J$21+PM_Angle!$K$21*$C1124+PM_Angle!$L$21*$B1124</f>
      </c>
      <c r="AM1124" s="12">
        <f>IF(AL1124&gt;0,IF(AL1124&lt;=eco,alpha*fck*(1-(1-AL1124/eco)^n),alpha*fck),0)</f>
      </c>
      <c r="AN1124" s="30">
        <f>PM_Angle!$J$22+PM_Angle!$K$22*$C1124+PM_Angle!$L$22*$B1124</f>
      </c>
      <c r="AO1124" s="12">
        <f>IF(AN1124&gt;0,IF(AN1124&lt;=eco,alpha*fck*(1-(1-AN1124/eco)^n),alpha*fck),0)</f>
      </c>
      <c r="AP1124" s="30">
        <f>PM_Angle!$J$23+PM_Angle!$K$23*$C1124+PM_Angle!$L$23*$B1124</f>
      </c>
      <c r="AQ1124" s="12">
        <f>IF(AP1124&gt;0,IF(AP1124&lt;=eco,alpha*fck*(1-(1-AP1124/eco)^n),alpha*fck),0)</f>
      </c>
      <c r="AR1124" s="30">
        <f>PM_Angle!$J$24+PM_Angle!$K$24*$C1124+PM_Angle!$L$24*$B1124</f>
      </c>
      <c r="AS1124" s="12">
        <f>IF(AR1124&gt;0,IF(AR1124&lt;=eco,alpha*fck*(1-(1-AR1124/eco)^n),alpha*fck),0)</f>
      </c>
      <c r="AT1124" s="30">
        <f>PM_Angle!$J$25+PM_Angle!$K$25*$C1124+PM_Angle!$L$25*$B1124</f>
      </c>
      <c r="AU1124" s="12">
        <f>IF(AT1124&gt;0,IF(AT1124&lt;=eco,alpha*fck*(1-(1-AT1124/eco)^n),alpha*fck),0)</f>
      </c>
    </row>
    <row r="1125" spans="1:47" x14ac:dyDescent="0.25">
      <c r="A1125">
        <f>Mesh!A1122</f>
      </c>
      <c r="B1125" s="12">
        <f>Mesh!B1122</f>
      </c>
      <c r="C1125" s="12">
        <f>Mesh!C1122</f>
      </c>
      <c r="D1125" s="12">
        <f>Mesh!D1122</f>
      </c>
      <c r="E1125" s="30">
        <f>INDEX(St_e0,Det+1)+INDEX(St_kx,Det+1)*C1125+INDEX(St_ky,Det+1)*B1125</f>
      </c>
      <c r="F1125" s="12">
        <f>IF(E1125&gt;0,IF(E1125&lt;=eco,alpha*fck*(1-(1-E1125/eco)^n),alpha*fck),0)</f>
      </c>
      <c r="G1125" s="11">
        <f>F1125*D1125</f>
      </c>
      <c r="H1125" s="11">
        <f>G1125*C1125</f>
      </c>
      <c r="I1125" s="11">
        <f>G1125*B1125</f>
      </c>
      <c r="J1125" s="30">
        <f>PM_Angle!$J$7+PM_Angle!$K$7*$C1125+PM_Angle!$L$7*$B1125</f>
      </c>
      <c r="K1125" s="12">
        <f>IF(J1125&gt;0,IF(J1125&lt;=eco,alpha*fck*(1-(1-J1125/eco)^n),alpha*fck),0)</f>
      </c>
      <c r="L1125" s="30">
        <f>PM_Angle!$J$8+PM_Angle!$K$8*$C1125+PM_Angle!$L$8*$B1125</f>
      </c>
      <c r="M1125" s="12">
        <f>IF(L1125&gt;0,IF(L1125&lt;=eco,alpha*fck*(1-(1-L1125/eco)^n),alpha*fck),0)</f>
      </c>
      <c r="N1125" s="30">
        <f>PM_Angle!$J$9+PM_Angle!$K$9*$C1125+PM_Angle!$L$9*$B1125</f>
      </c>
      <c r="O1125" s="12">
        <f>IF(N1125&gt;0,IF(N1125&lt;=eco,alpha*fck*(1-(1-N1125/eco)^n),alpha*fck),0)</f>
      </c>
      <c r="P1125" s="30">
        <f>PM_Angle!$J$10+PM_Angle!$K$10*$C1125+PM_Angle!$L$10*$B1125</f>
      </c>
      <c r="Q1125" s="12">
        <f>IF(P1125&gt;0,IF(P1125&lt;=eco,alpha*fck*(1-(1-P1125/eco)^n),alpha*fck),0)</f>
      </c>
      <c r="R1125" s="30">
        <f>PM_Angle!$J$11+PM_Angle!$K$11*$C1125+PM_Angle!$L$11*$B1125</f>
      </c>
      <c r="S1125" s="12">
        <f>IF(R1125&gt;0,IF(R1125&lt;=eco,alpha*fck*(1-(1-R1125/eco)^n),alpha*fck),0)</f>
      </c>
      <c r="T1125" s="30">
        <f>PM_Angle!$J$12+PM_Angle!$K$12*$C1125+PM_Angle!$L$12*$B1125</f>
      </c>
      <c r="U1125" s="12">
        <f>IF(T1125&gt;0,IF(T1125&lt;=eco,alpha*fck*(1-(1-T1125/eco)^n),alpha*fck),0)</f>
      </c>
      <c r="V1125" s="30">
        <f>PM_Angle!$J$13+PM_Angle!$K$13*$C1125+PM_Angle!$L$13*$B1125</f>
      </c>
      <c r="W1125" s="12">
        <f>IF(V1125&gt;0,IF(V1125&lt;=eco,alpha*fck*(1-(1-V1125/eco)^n),alpha*fck),0)</f>
      </c>
      <c r="X1125" s="30">
        <f>PM_Angle!$J$14+PM_Angle!$K$14*$C1125+PM_Angle!$L$14*$B1125</f>
      </c>
      <c r="Y1125" s="12">
        <f>IF(X1125&gt;0,IF(X1125&lt;=eco,alpha*fck*(1-(1-X1125/eco)^n),alpha*fck),0)</f>
      </c>
      <c r="Z1125" s="30">
        <f>PM_Angle!$J$15+PM_Angle!$K$15*$C1125+PM_Angle!$L$15*$B1125</f>
      </c>
      <c r="AA1125" s="12">
        <f>IF(Z1125&gt;0,IF(Z1125&lt;=eco,alpha*fck*(1-(1-Z1125/eco)^n),alpha*fck),0)</f>
      </c>
      <c r="AB1125" s="30">
        <f>PM_Angle!$J$16+PM_Angle!$K$16*$C1125+PM_Angle!$L$16*$B1125</f>
      </c>
      <c r="AC1125" s="12">
        <f>IF(AB1125&gt;0,IF(AB1125&lt;=eco,alpha*fck*(1-(1-AB1125/eco)^n),alpha*fck),0)</f>
      </c>
      <c r="AD1125" s="30">
        <f>PM_Angle!$J$17+PM_Angle!$K$17*$C1125+PM_Angle!$L$17*$B1125</f>
      </c>
      <c r="AE1125" s="12">
        <f>IF(AD1125&gt;0,IF(AD1125&lt;=eco,alpha*fck*(1-(1-AD1125/eco)^n),alpha*fck),0)</f>
      </c>
      <c r="AF1125" s="30">
        <f>PM_Angle!$J$18+PM_Angle!$K$18*$C1125+PM_Angle!$L$18*$B1125</f>
      </c>
      <c r="AG1125" s="12">
        <f>IF(AF1125&gt;0,IF(AF1125&lt;=eco,alpha*fck*(1-(1-AF1125/eco)^n),alpha*fck),0)</f>
      </c>
      <c r="AH1125" s="30">
        <f>PM_Angle!$J$19+PM_Angle!$K$19*$C1125+PM_Angle!$L$19*$B1125</f>
      </c>
      <c r="AI1125" s="12">
        <f>IF(AH1125&gt;0,IF(AH1125&lt;=eco,alpha*fck*(1-(1-AH1125/eco)^n),alpha*fck),0)</f>
      </c>
      <c r="AJ1125" s="30">
        <f>PM_Angle!$J$20+PM_Angle!$K$20*$C1125+PM_Angle!$L$20*$B1125</f>
      </c>
      <c r="AK1125" s="12">
        <f>IF(AJ1125&gt;0,IF(AJ1125&lt;=eco,alpha*fck*(1-(1-AJ1125/eco)^n),alpha*fck),0)</f>
      </c>
      <c r="AL1125" s="30">
        <f>PM_Angle!$J$21+PM_Angle!$K$21*$C1125+PM_Angle!$L$21*$B1125</f>
      </c>
      <c r="AM1125" s="12">
        <f>IF(AL1125&gt;0,IF(AL1125&lt;=eco,alpha*fck*(1-(1-AL1125/eco)^n),alpha*fck),0)</f>
      </c>
      <c r="AN1125" s="30">
        <f>PM_Angle!$J$22+PM_Angle!$K$22*$C1125+PM_Angle!$L$22*$B1125</f>
      </c>
      <c r="AO1125" s="12">
        <f>IF(AN1125&gt;0,IF(AN1125&lt;=eco,alpha*fck*(1-(1-AN1125/eco)^n),alpha*fck),0)</f>
      </c>
      <c r="AP1125" s="30">
        <f>PM_Angle!$J$23+PM_Angle!$K$23*$C1125+PM_Angle!$L$23*$B1125</f>
      </c>
      <c r="AQ1125" s="12">
        <f>IF(AP1125&gt;0,IF(AP1125&lt;=eco,alpha*fck*(1-(1-AP1125/eco)^n),alpha*fck),0)</f>
      </c>
      <c r="AR1125" s="30">
        <f>PM_Angle!$J$24+PM_Angle!$K$24*$C1125+PM_Angle!$L$24*$B1125</f>
      </c>
      <c r="AS1125" s="12">
        <f>IF(AR1125&gt;0,IF(AR1125&lt;=eco,alpha*fck*(1-(1-AR1125/eco)^n),alpha*fck),0)</f>
      </c>
      <c r="AT1125" s="30">
        <f>PM_Angle!$J$25+PM_Angle!$K$25*$C1125+PM_Angle!$L$25*$B1125</f>
      </c>
      <c r="AU1125" s="12">
        <f>IF(AT1125&gt;0,IF(AT1125&lt;=eco,alpha*fck*(1-(1-AT1125/eco)^n),alpha*fck),0)</f>
      </c>
    </row>
    <row r="1126" spans="1:47" x14ac:dyDescent="0.25">
      <c r="A1126">
        <f>Mesh!A1123</f>
      </c>
      <c r="B1126" s="12">
        <f>Mesh!B1123</f>
      </c>
      <c r="C1126" s="12">
        <f>Mesh!C1123</f>
      </c>
      <c r="D1126" s="12">
        <f>Mesh!D1123</f>
      </c>
      <c r="E1126" s="30">
        <f>INDEX(St_e0,Det+1)+INDEX(St_kx,Det+1)*C1126+INDEX(St_ky,Det+1)*B1126</f>
      </c>
      <c r="F1126" s="12">
        <f>IF(E1126&gt;0,IF(E1126&lt;=eco,alpha*fck*(1-(1-E1126/eco)^n),alpha*fck),0)</f>
      </c>
      <c r="G1126" s="11">
        <f>F1126*D1126</f>
      </c>
      <c r="H1126" s="11">
        <f>G1126*C1126</f>
      </c>
      <c r="I1126" s="11">
        <f>G1126*B1126</f>
      </c>
      <c r="J1126" s="30">
        <f>PM_Angle!$J$7+PM_Angle!$K$7*$C1126+PM_Angle!$L$7*$B1126</f>
      </c>
      <c r="K1126" s="12">
        <f>IF(J1126&gt;0,IF(J1126&lt;=eco,alpha*fck*(1-(1-J1126/eco)^n),alpha*fck),0)</f>
      </c>
      <c r="L1126" s="30">
        <f>PM_Angle!$J$8+PM_Angle!$K$8*$C1126+PM_Angle!$L$8*$B1126</f>
      </c>
      <c r="M1126" s="12">
        <f>IF(L1126&gt;0,IF(L1126&lt;=eco,alpha*fck*(1-(1-L1126/eco)^n),alpha*fck),0)</f>
      </c>
      <c r="N1126" s="30">
        <f>PM_Angle!$J$9+PM_Angle!$K$9*$C1126+PM_Angle!$L$9*$B1126</f>
      </c>
      <c r="O1126" s="12">
        <f>IF(N1126&gt;0,IF(N1126&lt;=eco,alpha*fck*(1-(1-N1126/eco)^n),alpha*fck),0)</f>
      </c>
      <c r="P1126" s="30">
        <f>PM_Angle!$J$10+PM_Angle!$K$10*$C1126+PM_Angle!$L$10*$B1126</f>
      </c>
      <c r="Q1126" s="12">
        <f>IF(P1126&gt;0,IF(P1126&lt;=eco,alpha*fck*(1-(1-P1126/eco)^n),alpha*fck),0)</f>
      </c>
      <c r="R1126" s="30">
        <f>PM_Angle!$J$11+PM_Angle!$K$11*$C1126+PM_Angle!$L$11*$B1126</f>
      </c>
      <c r="S1126" s="12">
        <f>IF(R1126&gt;0,IF(R1126&lt;=eco,alpha*fck*(1-(1-R1126/eco)^n),alpha*fck),0)</f>
      </c>
      <c r="T1126" s="30">
        <f>PM_Angle!$J$12+PM_Angle!$K$12*$C1126+PM_Angle!$L$12*$B1126</f>
      </c>
      <c r="U1126" s="12">
        <f>IF(T1126&gt;0,IF(T1126&lt;=eco,alpha*fck*(1-(1-T1126/eco)^n),alpha*fck),0)</f>
      </c>
      <c r="V1126" s="30">
        <f>PM_Angle!$J$13+PM_Angle!$K$13*$C1126+PM_Angle!$L$13*$B1126</f>
      </c>
      <c r="W1126" s="12">
        <f>IF(V1126&gt;0,IF(V1126&lt;=eco,alpha*fck*(1-(1-V1126/eco)^n),alpha*fck),0)</f>
      </c>
      <c r="X1126" s="30">
        <f>PM_Angle!$J$14+PM_Angle!$K$14*$C1126+PM_Angle!$L$14*$B1126</f>
      </c>
      <c r="Y1126" s="12">
        <f>IF(X1126&gt;0,IF(X1126&lt;=eco,alpha*fck*(1-(1-X1126/eco)^n),alpha*fck),0)</f>
      </c>
      <c r="Z1126" s="30">
        <f>PM_Angle!$J$15+PM_Angle!$K$15*$C1126+PM_Angle!$L$15*$B1126</f>
      </c>
      <c r="AA1126" s="12">
        <f>IF(Z1126&gt;0,IF(Z1126&lt;=eco,alpha*fck*(1-(1-Z1126/eco)^n),alpha*fck),0)</f>
      </c>
      <c r="AB1126" s="30">
        <f>PM_Angle!$J$16+PM_Angle!$K$16*$C1126+PM_Angle!$L$16*$B1126</f>
      </c>
      <c r="AC1126" s="12">
        <f>IF(AB1126&gt;0,IF(AB1126&lt;=eco,alpha*fck*(1-(1-AB1126/eco)^n),alpha*fck),0)</f>
      </c>
      <c r="AD1126" s="30">
        <f>PM_Angle!$J$17+PM_Angle!$K$17*$C1126+PM_Angle!$L$17*$B1126</f>
      </c>
      <c r="AE1126" s="12">
        <f>IF(AD1126&gt;0,IF(AD1126&lt;=eco,alpha*fck*(1-(1-AD1126/eco)^n),alpha*fck),0)</f>
      </c>
      <c r="AF1126" s="30">
        <f>PM_Angle!$J$18+PM_Angle!$K$18*$C1126+PM_Angle!$L$18*$B1126</f>
      </c>
      <c r="AG1126" s="12">
        <f>IF(AF1126&gt;0,IF(AF1126&lt;=eco,alpha*fck*(1-(1-AF1126/eco)^n),alpha*fck),0)</f>
      </c>
      <c r="AH1126" s="30">
        <f>PM_Angle!$J$19+PM_Angle!$K$19*$C1126+PM_Angle!$L$19*$B1126</f>
      </c>
      <c r="AI1126" s="12">
        <f>IF(AH1126&gt;0,IF(AH1126&lt;=eco,alpha*fck*(1-(1-AH1126/eco)^n),alpha*fck),0)</f>
      </c>
      <c r="AJ1126" s="30">
        <f>PM_Angle!$J$20+PM_Angle!$K$20*$C1126+PM_Angle!$L$20*$B1126</f>
      </c>
      <c r="AK1126" s="12">
        <f>IF(AJ1126&gt;0,IF(AJ1126&lt;=eco,alpha*fck*(1-(1-AJ1126/eco)^n),alpha*fck),0)</f>
      </c>
      <c r="AL1126" s="30">
        <f>PM_Angle!$J$21+PM_Angle!$K$21*$C1126+PM_Angle!$L$21*$B1126</f>
      </c>
      <c r="AM1126" s="12">
        <f>IF(AL1126&gt;0,IF(AL1126&lt;=eco,alpha*fck*(1-(1-AL1126/eco)^n),alpha*fck),0)</f>
      </c>
      <c r="AN1126" s="30">
        <f>PM_Angle!$J$22+PM_Angle!$K$22*$C1126+PM_Angle!$L$22*$B1126</f>
      </c>
      <c r="AO1126" s="12">
        <f>IF(AN1126&gt;0,IF(AN1126&lt;=eco,alpha*fck*(1-(1-AN1126/eco)^n),alpha*fck),0)</f>
      </c>
      <c r="AP1126" s="30">
        <f>PM_Angle!$J$23+PM_Angle!$K$23*$C1126+PM_Angle!$L$23*$B1126</f>
      </c>
      <c r="AQ1126" s="12">
        <f>IF(AP1126&gt;0,IF(AP1126&lt;=eco,alpha*fck*(1-(1-AP1126/eco)^n),alpha*fck),0)</f>
      </c>
      <c r="AR1126" s="30">
        <f>PM_Angle!$J$24+PM_Angle!$K$24*$C1126+PM_Angle!$L$24*$B1126</f>
      </c>
      <c r="AS1126" s="12">
        <f>IF(AR1126&gt;0,IF(AR1126&lt;=eco,alpha*fck*(1-(1-AR1126/eco)^n),alpha*fck),0)</f>
      </c>
      <c r="AT1126" s="30">
        <f>PM_Angle!$J$25+PM_Angle!$K$25*$C1126+PM_Angle!$L$25*$B1126</f>
      </c>
      <c r="AU1126" s="12">
        <f>IF(AT1126&gt;0,IF(AT1126&lt;=eco,alpha*fck*(1-(1-AT1126/eco)^n),alpha*fck),0)</f>
      </c>
    </row>
    <row r="1127" spans="1:47" x14ac:dyDescent="0.25">
      <c r="A1127">
        <f>Mesh!A1124</f>
      </c>
      <c r="B1127" s="12">
        <f>Mesh!B1124</f>
      </c>
      <c r="C1127" s="12">
        <f>Mesh!C1124</f>
      </c>
      <c r="D1127" s="12">
        <f>Mesh!D1124</f>
      </c>
      <c r="E1127" s="30">
        <f>INDEX(St_e0,Det+1)+INDEX(St_kx,Det+1)*C1127+INDEX(St_ky,Det+1)*B1127</f>
      </c>
      <c r="F1127" s="12">
        <f>IF(E1127&gt;0,IF(E1127&lt;=eco,alpha*fck*(1-(1-E1127/eco)^n),alpha*fck),0)</f>
      </c>
      <c r="G1127" s="11">
        <f>F1127*D1127</f>
      </c>
      <c r="H1127" s="11">
        <f>G1127*C1127</f>
      </c>
      <c r="I1127" s="11">
        <f>G1127*B1127</f>
      </c>
      <c r="J1127" s="30">
        <f>PM_Angle!$J$7+PM_Angle!$K$7*$C1127+PM_Angle!$L$7*$B1127</f>
      </c>
      <c r="K1127" s="12">
        <f>IF(J1127&gt;0,IF(J1127&lt;=eco,alpha*fck*(1-(1-J1127/eco)^n),alpha*fck),0)</f>
      </c>
      <c r="L1127" s="30">
        <f>PM_Angle!$J$8+PM_Angle!$K$8*$C1127+PM_Angle!$L$8*$B1127</f>
      </c>
      <c r="M1127" s="12">
        <f>IF(L1127&gt;0,IF(L1127&lt;=eco,alpha*fck*(1-(1-L1127/eco)^n),alpha*fck),0)</f>
      </c>
      <c r="N1127" s="30">
        <f>PM_Angle!$J$9+PM_Angle!$K$9*$C1127+PM_Angle!$L$9*$B1127</f>
      </c>
      <c r="O1127" s="12">
        <f>IF(N1127&gt;0,IF(N1127&lt;=eco,alpha*fck*(1-(1-N1127/eco)^n),alpha*fck),0)</f>
      </c>
      <c r="P1127" s="30">
        <f>PM_Angle!$J$10+PM_Angle!$K$10*$C1127+PM_Angle!$L$10*$B1127</f>
      </c>
      <c r="Q1127" s="12">
        <f>IF(P1127&gt;0,IF(P1127&lt;=eco,alpha*fck*(1-(1-P1127/eco)^n),alpha*fck),0)</f>
      </c>
      <c r="R1127" s="30">
        <f>PM_Angle!$J$11+PM_Angle!$K$11*$C1127+PM_Angle!$L$11*$B1127</f>
      </c>
      <c r="S1127" s="12">
        <f>IF(R1127&gt;0,IF(R1127&lt;=eco,alpha*fck*(1-(1-R1127/eco)^n),alpha*fck),0)</f>
      </c>
      <c r="T1127" s="30">
        <f>PM_Angle!$J$12+PM_Angle!$K$12*$C1127+PM_Angle!$L$12*$B1127</f>
      </c>
      <c r="U1127" s="12">
        <f>IF(T1127&gt;0,IF(T1127&lt;=eco,alpha*fck*(1-(1-T1127/eco)^n),alpha*fck),0)</f>
      </c>
      <c r="V1127" s="30">
        <f>PM_Angle!$J$13+PM_Angle!$K$13*$C1127+PM_Angle!$L$13*$B1127</f>
      </c>
      <c r="W1127" s="12">
        <f>IF(V1127&gt;0,IF(V1127&lt;=eco,alpha*fck*(1-(1-V1127/eco)^n),alpha*fck),0)</f>
      </c>
      <c r="X1127" s="30">
        <f>PM_Angle!$J$14+PM_Angle!$K$14*$C1127+PM_Angle!$L$14*$B1127</f>
      </c>
      <c r="Y1127" s="12">
        <f>IF(X1127&gt;0,IF(X1127&lt;=eco,alpha*fck*(1-(1-X1127/eco)^n),alpha*fck),0)</f>
      </c>
      <c r="Z1127" s="30">
        <f>PM_Angle!$J$15+PM_Angle!$K$15*$C1127+PM_Angle!$L$15*$B1127</f>
      </c>
      <c r="AA1127" s="12">
        <f>IF(Z1127&gt;0,IF(Z1127&lt;=eco,alpha*fck*(1-(1-Z1127/eco)^n),alpha*fck),0)</f>
      </c>
      <c r="AB1127" s="30">
        <f>PM_Angle!$J$16+PM_Angle!$K$16*$C1127+PM_Angle!$L$16*$B1127</f>
      </c>
      <c r="AC1127" s="12">
        <f>IF(AB1127&gt;0,IF(AB1127&lt;=eco,alpha*fck*(1-(1-AB1127/eco)^n),alpha*fck),0)</f>
      </c>
      <c r="AD1127" s="30">
        <f>PM_Angle!$J$17+PM_Angle!$K$17*$C1127+PM_Angle!$L$17*$B1127</f>
      </c>
      <c r="AE1127" s="12">
        <f>IF(AD1127&gt;0,IF(AD1127&lt;=eco,alpha*fck*(1-(1-AD1127/eco)^n),alpha*fck),0)</f>
      </c>
      <c r="AF1127" s="30">
        <f>PM_Angle!$J$18+PM_Angle!$K$18*$C1127+PM_Angle!$L$18*$B1127</f>
      </c>
      <c r="AG1127" s="12">
        <f>IF(AF1127&gt;0,IF(AF1127&lt;=eco,alpha*fck*(1-(1-AF1127/eco)^n),alpha*fck),0)</f>
      </c>
      <c r="AH1127" s="30">
        <f>PM_Angle!$J$19+PM_Angle!$K$19*$C1127+PM_Angle!$L$19*$B1127</f>
      </c>
      <c r="AI1127" s="12">
        <f>IF(AH1127&gt;0,IF(AH1127&lt;=eco,alpha*fck*(1-(1-AH1127/eco)^n),alpha*fck),0)</f>
      </c>
      <c r="AJ1127" s="30">
        <f>PM_Angle!$J$20+PM_Angle!$K$20*$C1127+PM_Angle!$L$20*$B1127</f>
      </c>
      <c r="AK1127" s="12">
        <f>IF(AJ1127&gt;0,IF(AJ1127&lt;=eco,alpha*fck*(1-(1-AJ1127/eco)^n),alpha*fck),0)</f>
      </c>
      <c r="AL1127" s="30">
        <f>PM_Angle!$J$21+PM_Angle!$K$21*$C1127+PM_Angle!$L$21*$B1127</f>
      </c>
      <c r="AM1127" s="12">
        <f>IF(AL1127&gt;0,IF(AL1127&lt;=eco,alpha*fck*(1-(1-AL1127/eco)^n),alpha*fck),0)</f>
      </c>
      <c r="AN1127" s="30">
        <f>PM_Angle!$J$22+PM_Angle!$K$22*$C1127+PM_Angle!$L$22*$B1127</f>
      </c>
      <c r="AO1127" s="12">
        <f>IF(AN1127&gt;0,IF(AN1127&lt;=eco,alpha*fck*(1-(1-AN1127/eco)^n),alpha*fck),0)</f>
      </c>
      <c r="AP1127" s="30">
        <f>PM_Angle!$J$23+PM_Angle!$K$23*$C1127+PM_Angle!$L$23*$B1127</f>
      </c>
      <c r="AQ1127" s="12">
        <f>IF(AP1127&gt;0,IF(AP1127&lt;=eco,alpha*fck*(1-(1-AP1127/eco)^n),alpha*fck),0)</f>
      </c>
      <c r="AR1127" s="30">
        <f>PM_Angle!$J$24+PM_Angle!$K$24*$C1127+PM_Angle!$L$24*$B1127</f>
      </c>
      <c r="AS1127" s="12">
        <f>IF(AR1127&gt;0,IF(AR1127&lt;=eco,alpha*fck*(1-(1-AR1127/eco)^n),alpha*fck),0)</f>
      </c>
      <c r="AT1127" s="30">
        <f>PM_Angle!$J$25+PM_Angle!$K$25*$C1127+PM_Angle!$L$25*$B1127</f>
      </c>
      <c r="AU1127" s="12">
        <f>IF(AT1127&gt;0,IF(AT1127&lt;=eco,alpha*fck*(1-(1-AT1127/eco)^n),alpha*fck),0)</f>
      </c>
    </row>
    <row r="1128" spans="1:47" x14ac:dyDescent="0.25">
      <c r="A1128">
        <f>Mesh!A1125</f>
      </c>
      <c r="B1128" s="12">
        <f>Mesh!B1125</f>
      </c>
      <c r="C1128" s="12">
        <f>Mesh!C1125</f>
      </c>
      <c r="D1128" s="12">
        <f>Mesh!D1125</f>
      </c>
      <c r="E1128" s="30">
        <f>INDEX(St_e0,Det+1)+INDEX(St_kx,Det+1)*C1128+INDEX(St_ky,Det+1)*B1128</f>
      </c>
      <c r="F1128" s="12">
        <f>IF(E1128&gt;0,IF(E1128&lt;=eco,alpha*fck*(1-(1-E1128/eco)^n),alpha*fck),0)</f>
      </c>
      <c r="G1128" s="11">
        <f>F1128*D1128</f>
      </c>
      <c r="H1128" s="11">
        <f>G1128*C1128</f>
      </c>
      <c r="I1128" s="11">
        <f>G1128*B1128</f>
      </c>
      <c r="J1128" s="30">
        <f>PM_Angle!$J$7+PM_Angle!$K$7*$C1128+PM_Angle!$L$7*$B1128</f>
      </c>
      <c r="K1128" s="12">
        <f>IF(J1128&gt;0,IF(J1128&lt;=eco,alpha*fck*(1-(1-J1128/eco)^n),alpha*fck),0)</f>
      </c>
      <c r="L1128" s="30">
        <f>PM_Angle!$J$8+PM_Angle!$K$8*$C1128+PM_Angle!$L$8*$B1128</f>
      </c>
      <c r="M1128" s="12">
        <f>IF(L1128&gt;0,IF(L1128&lt;=eco,alpha*fck*(1-(1-L1128/eco)^n),alpha*fck),0)</f>
      </c>
      <c r="N1128" s="30">
        <f>PM_Angle!$J$9+PM_Angle!$K$9*$C1128+PM_Angle!$L$9*$B1128</f>
      </c>
      <c r="O1128" s="12">
        <f>IF(N1128&gt;0,IF(N1128&lt;=eco,alpha*fck*(1-(1-N1128/eco)^n),alpha*fck),0)</f>
      </c>
      <c r="P1128" s="30">
        <f>PM_Angle!$J$10+PM_Angle!$K$10*$C1128+PM_Angle!$L$10*$B1128</f>
      </c>
      <c r="Q1128" s="12">
        <f>IF(P1128&gt;0,IF(P1128&lt;=eco,alpha*fck*(1-(1-P1128/eco)^n),alpha*fck),0)</f>
      </c>
      <c r="R1128" s="30">
        <f>PM_Angle!$J$11+PM_Angle!$K$11*$C1128+PM_Angle!$L$11*$B1128</f>
      </c>
      <c r="S1128" s="12">
        <f>IF(R1128&gt;0,IF(R1128&lt;=eco,alpha*fck*(1-(1-R1128/eco)^n),alpha*fck),0)</f>
      </c>
      <c r="T1128" s="30">
        <f>PM_Angle!$J$12+PM_Angle!$K$12*$C1128+PM_Angle!$L$12*$B1128</f>
      </c>
      <c r="U1128" s="12">
        <f>IF(T1128&gt;0,IF(T1128&lt;=eco,alpha*fck*(1-(1-T1128/eco)^n),alpha*fck),0)</f>
      </c>
      <c r="V1128" s="30">
        <f>PM_Angle!$J$13+PM_Angle!$K$13*$C1128+PM_Angle!$L$13*$B1128</f>
      </c>
      <c r="W1128" s="12">
        <f>IF(V1128&gt;0,IF(V1128&lt;=eco,alpha*fck*(1-(1-V1128/eco)^n),alpha*fck),0)</f>
      </c>
      <c r="X1128" s="30">
        <f>PM_Angle!$J$14+PM_Angle!$K$14*$C1128+PM_Angle!$L$14*$B1128</f>
      </c>
      <c r="Y1128" s="12">
        <f>IF(X1128&gt;0,IF(X1128&lt;=eco,alpha*fck*(1-(1-X1128/eco)^n),alpha*fck),0)</f>
      </c>
      <c r="Z1128" s="30">
        <f>PM_Angle!$J$15+PM_Angle!$K$15*$C1128+PM_Angle!$L$15*$B1128</f>
      </c>
      <c r="AA1128" s="12">
        <f>IF(Z1128&gt;0,IF(Z1128&lt;=eco,alpha*fck*(1-(1-Z1128/eco)^n),alpha*fck),0)</f>
      </c>
      <c r="AB1128" s="30">
        <f>PM_Angle!$J$16+PM_Angle!$K$16*$C1128+PM_Angle!$L$16*$B1128</f>
      </c>
      <c r="AC1128" s="12">
        <f>IF(AB1128&gt;0,IF(AB1128&lt;=eco,alpha*fck*(1-(1-AB1128/eco)^n),alpha*fck),0)</f>
      </c>
      <c r="AD1128" s="30">
        <f>PM_Angle!$J$17+PM_Angle!$K$17*$C1128+PM_Angle!$L$17*$B1128</f>
      </c>
      <c r="AE1128" s="12">
        <f>IF(AD1128&gt;0,IF(AD1128&lt;=eco,alpha*fck*(1-(1-AD1128/eco)^n),alpha*fck),0)</f>
      </c>
      <c r="AF1128" s="30">
        <f>PM_Angle!$J$18+PM_Angle!$K$18*$C1128+PM_Angle!$L$18*$B1128</f>
      </c>
      <c r="AG1128" s="12">
        <f>IF(AF1128&gt;0,IF(AF1128&lt;=eco,alpha*fck*(1-(1-AF1128/eco)^n),alpha*fck),0)</f>
      </c>
      <c r="AH1128" s="30">
        <f>PM_Angle!$J$19+PM_Angle!$K$19*$C1128+PM_Angle!$L$19*$B1128</f>
      </c>
      <c r="AI1128" s="12">
        <f>IF(AH1128&gt;0,IF(AH1128&lt;=eco,alpha*fck*(1-(1-AH1128/eco)^n),alpha*fck),0)</f>
      </c>
      <c r="AJ1128" s="30">
        <f>PM_Angle!$J$20+PM_Angle!$K$20*$C1128+PM_Angle!$L$20*$B1128</f>
      </c>
      <c r="AK1128" s="12">
        <f>IF(AJ1128&gt;0,IF(AJ1128&lt;=eco,alpha*fck*(1-(1-AJ1128/eco)^n),alpha*fck),0)</f>
      </c>
      <c r="AL1128" s="30">
        <f>PM_Angle!$J$21+PM_Angle!$K$21*$C1128+PM_Angle!$L$21*$B1128</f>
      </c>
      <c r="AM1128" s="12">
        <f>IF(AL1128&gt;0,IF(AL1128&lt;=eco,alpha*fck*(1-(1-AL1128/eco)^n),alpha*fck),0)</f>
      </c>
      <c r="AN1128" s="30">
        <f>PM_Angle!$J$22+PM_Angle!$K$22*$C1128+PM_Angle!$L$22*$B1128</f>
      </c>
      <c r="AO1128" s="12">
        <f>IF(AN1128&gt;0,IF(AN1128&lt;=eco,alpha*fck*(1-(1-AN1128/eco)^n),alpha*fck),0)</f>
      </c>
      <c r="AP1128" s="30">
        <f>PM_Angle!$J$23+PM_Angle!$K$23*$C1128+PM_Angle!$L$23*$B1128</f>
      </c>
      <c r="AQ1128" s="12">
        <f>IF(AP1128&gt;0,IF(AP1128&lt;=eco,alpha*fck*(1-(1-AP1128/eco)^n),alpha*fck),0)</f>
      </c>
      <c r="AR1128" s="30">
        <f>PM_Angle!$J$24+PM_Angle!$K$24*$C1128+PM_Angle!$L$24*$B1128</f>
      </c>
      <c r="AS1128" s="12">
        <f>IF(AR1128&gt;0,IF(AR1128&lt;=eco,alpha*fck*(1-(1-AR1128/eco)^n),alpha*fck),0)</f>
      </c>
      <c r="AT1128" s="30">
        <f>PM_Angle!$J$25+PM_Angle!$K$25*$C1128+PM_Angle!$L$25*$B1128</f>
      </c>
      <c r="AU1128" s="12">
        <f>IF(AT1128&gt;0,IF(AT1128&lt;=eco,alpha*fck*(1-(1-AT1128/eco)^n),alpha*fck),0)</f>
      </c>
    </row>
    <row r="1129" spans="1:47" x14ac:dyDescent="0.25">
      <c r="A1129">
        <f>Mesh!A1126</f>
      </c>
      <c r="B1129" s="12">
        <f>Mesh!B1126</f>
      </c>
      <c r="C1129" s="12">
        <f>Mesh!C1126</f>
      </c>
      <c r="D1129" s="12">
        <f>Mesh!D1126</f>
      </c>
      <c r="E1129" s="30">
        <f>INDEX(St_e0,Det+1)+INDEX(St_kx,Det+1)*C1129+INDEX(St_ky,Det+1)*B1129</f>
      </c>
      <c r="F1129" s="12">
        <f>IF(E1129&gt;0,IF(E1129&lt;=eco,alpha*fck*(1-(1-E1129/eco)^n),alpha*fck),0)</f>
      </c>
      <c r="G1129" s="11">
        <f>F1129*D1129</f>
      </c>
      <c r="H1129" s="11">
        <f>G1129*C1129</f>
      </c>
      <c r="I1129" s="11">
        <f>G1129*B1129</f>
      </c>
      <c r="J1129" s="30">
        <f>PM_Angle!$J$7+PM_Angle!$K$7*$C1129+PM_Angle!$L$7*$B1129</f>
      </c>
      <c r="K1129" s="12">
        <f>IF(J1129&gt;0,IF(J1129&lt;=eco,alpha*fck*(1-(1-J1129/eco)^n),alpha*fck),0)</f>
      </c>
      <c r="L1129" s="30">
        <f>PM_Angle!$J$8+PM_Angle!$K$8*$C1129+PM_Angle!$L$8*$B1129</f>
      </c>
      <c r="M1129" s="12">
        <f>IF(L1129&gt;0,IF(L1129&lt;=eco,alpha*fck*(1-(1-L1129/eco)^n),alpha*fck),0)</f>
      </c>
      <c r="N1129" s="30">
        <f>PM_Angle!$J$9+PM_Angle!$K$9*$C1129+PM_Angle!$L$9*$B1129</f>
      </c>
      <c r="O1129" s="12">
        <f>IF(N1129&gt;0,IF(N1129&lt;=eco,alpha*fck*(1-(1-N1129/eco)^n),alpha*fck),0)</f>
      </c>
      <c r="P1129" s="30">
        <f>PM_Angle!$J$10+PM_Angle!$K$10*$C1129+PM_Angle!$L$10*$B1129</f>
      </c>
      <c r="Q1129" s="12">
        <f>IF(P1129&gt;0,IF(P1129&lt;=eco,alpha*fck*(1-(1-P1129/eco)^n),alpha*fck),0)</f>
      </c>
      <c r="R1129" s="30">
        <f>PM_Angle!$J$11+PM_Angle!$K$11*$C1129+PM_Angle!$L$11*$B1129</f>
      </c>
      <c r="S1129" s="12">
        <f>IF(R1129&gt;0,IF(R1129&lt;=eco,alpha*fck*(1-(1-R1129/eco)^n),alpha*fck),0)</f>
      </c>
      <c r="T1129" s="30">
        <f>PM_Angle!$J$12+PM_Angle!$K$12*$C1129+PM_Angle!$L$12*$B1129</f>
      </c>
      <c r="U1129" s="12">
        <f>IF(T1129&gt;0,IF(T1129&lt;=eco,alpha*fck*(1-(1-T1129/eco)^n),alpha*fck),0)</f>
      </c>
      <c r="V1129" s="30">
        <f>PM_Angle!$J$13+PM_Angle!$K$13*$C1129+PM_Angle!$L$13*$B1129</f>
      </c>
      <c r="W1129" s="12">
        <f>IF(V1129&gt;0,IF(V1129&lt;=eco,alpha*fck*(1-(1-V1129/eco)^n),alpha*fck),0)</f>
      </c>
      <c r="X1129" s="30">
        <f>PM_Angle!$J$14+PM_Angle!$K$14*$C1129+PM_Angle!$L$14*$B1129</f>
      </c>
      <c r="Y1129" s="12">
        <f>IF(X1129&gt;0,IF(X1129&lt;=eco,alpha*fck*(1-(1-X1129/eco)^n),alpha*fck),0)</f>
      </c>
      <c r="Z1129" s="30">
        <f>PM_Angle!$J$15+PM_Angle!$K$15*$C1129+PM_Angle!$L$15*$B1129</f>
      </c>
      <c r="AA1129" s="12">
        <f>IF(Z1129&gt;0,IF(Z1129&lt;=eco,alpha*fck*(1-(1-Z1129/eco)^n),alpha*fck),0)</f>
      </c>
      <c r="AB1129" s="30">
        <f>PM_Angle!$J$16+PM_Angle!$K$16*$C1129+PM_Angle!$L$16*$B1129</f>
      </c>
      <c r="AC1129" s="12">
        <f>IF(AB1129&gt;0,IF(AB1129&lt;=eco,alpha*fck*(1-(1-AB1129/eco)^n),alpha*fck),0)</f>
      </c>
      <c r="AD1129" s="30">
        <f>PM_Angle!$J$17+PM_Angle!$K$17*$C1129+PM_Angle!$L$17*$B1129</f>
      </c>
      <c r="AE1129" s="12">
        <f>IF(AD1129&gt;0,IF(AD1129&lt;=eco,alpha*fck*(1-(1-AD1129/eco)^n),alpha*fck),0)</f>
      </c>
      <c r="AF1129" s="30">
        <f>PM_Angle!$J$18+PM_Angle!$K$18*$C1129+PM_Angle!$L$18*$B1129</f>
      </c>
      <c r="AG1129" s="12">
        <f>IF(AF1129&gt;0,IF(AF1129&lt;=eco,alpha*fck*(1-(1-AF1129/eco)^n),alpha*fck),0)</f>
      </c>
      <c r="AH1129" s="30">
        <f>PM_Angle!$J$19+PM_Angle!$K$19*$C1129+PM_Angle!$L$19*$B1129</f>
      </c>
      <c r="AI1129" s="12">
        <f>IF(AH1129&gt;0,IF(AH1129&lt;=eco,alpha*fck*(1-(1-AH1129/eco)^n),alpha*fck),0)</f>
      </c>
      <c r="AJ1129" s="30">
        <f>PM_Angle!$J$20+PM_Angle!$K$20*$C1129+PM_Angle!$L$20*$B1129</f>
      </c>
      <c r="AK1129" s="12">
        <f>IF(AJ1129&gt;0,IF(AJ1129&lt;=eco,alpha*fck*(1-(1-AJ1129/eco)^n),alpha*fck),0)</f>
      </c>
      <c r="AL1129" s="30">
        <f>PM_Angle!$J$21+PM_Angle!$K$21*$C1129+PM_Angle!$L$21*$B1129</f>
      </c>
      <c r="AM1129" s="12">
        <f>IF(AL1129&gt;0,IF(AL1129&lt;=eco,alpha*fck*(1-(1-AL1129/eco)^n),alpha*fck),0)</f>
      </c>
      <c r="AN1129" s="30">
        <f>PM_Angle!$J$22+PM_Angle!$K$22*$C1129+PM_Angle!$L$22*$B1129</f>
      </c>
      <c r="AO1129" s="12">
        <f>IF(AN1129&gt;0,IF(AN1129&lt;=eco,alpha*fck*(1-(1-AN1129/eco)^n),alpha*fck),0)</f>
      </c>
      <c r="AP1129" s="30">
        <f>PM_Angle!$J$23+PM_Angle!$K$23*$C1129+PM_Angle!$L$23*$B1129</f>
      </c>
      <c r="AQ1129" s="12">
        <f>IF(AP1129&gt;0,IF(AP1129&lt;=eco,alpha*fck*(1-(1-AP1129/eco)^n),alpha*fck),0)</f>
      </c>
      <c r="AR1129" s="30">
        <f>PM_Angle!$J$24+PM_Angle!$K$24*$C1129+PM_Angle!$L$24*$B1129</f>
      </c>
      <c r="AS1129" s="12">
        <f>IF(AR1129&gt;0,IF(AR1129&lt;=eco,alpha*fck*(1-(1-AR1129/eco)^n),alpha*fck),0)</f>
      </c>
      <c r="AT1129" s="30">
        <f>PM_Angle!$J$25+PM_Angle!$K$25*$C1129+PM_Angle!$L$25*$B1129</f>
      </c>
      <c r="AU1129" s="12">
        <f>IF(AT1129&gt;0,IF(AT1129&lt;=eco,alpha*fck*(1-(1-AT1129/eco)^n),alpha*fck),0)</f>
      </c>
    </row>
    <row r="1130" spans="1:47" x14ac:dyDescent="0.25">
      <c r="A1130">
        <f>Mesh!A1127</f>
      </c>
      <c r="B1130" s="12">
        <f>Mesh!B1127</f>
      </c>
      <c r="C1130" s="12">
        <f>Mesh!C1127</f>
      </c>
      <c r="D1130" s="12">
        <f>Mesh!D1127</f>
      </c>
      <c r="E1130" s="30">
        <f>INDEX(St_e0,Det+1)+INDEX(St_kx,Det+1)*C1130+INDEX(St_ky,Det+1)*B1130</f>
      </c>
      <c r="F1130" s="12">
        <f>IF(E1130&gt;0,IF(E1130&lt;=eco,alpha*fck*(1-(1-E1130/eco)^n),alpha*fck),0)</f>
      </c>
      <c r="G1130" s="11">
        <f>F1130*D1130</f>
      </c>
      <c r="H1130" s="11">
        <f>G1130*C1130</f>
      </c>
      <c r="I1130" s="11">
        <f>G1130*B1130</f>
      </c>
      <c r="J1130" s="30">
        <f>PM_Angle!$J$7+PM_Angle!$K$7*$C1130+PM_Angle!$L$7*$B1130</f>
      </c>
      <c r="K1130" s="12">
        <f>IF(J1130&gt;0,IF(J1130&lt;=eco,alpha*fck*(1-(1-J1130/eco)^n),alpha*fck),0)</f>
      </c>
      <c r="L1130" s="30">
        <f>PM_Angle!$J$8+PM_Angle!$K$8*$C1130+PM_Angle!$L$8*$B1130</f>
      </c>
      <c r="M1130" s="12">
        <f>IF(L1130&gt;0,IF(L1130&lt;=eco,alpha*fck*(1-(1-L1130/eco)^n),alpha*fck),0)</f>
      </c>
      <c r="N1130" s="30">
        <f>PM_Angle!$J$9+PM_Angle!$K$9*$C1130+PM_Angle!$L$9*$B1130</f>
      </c>
      <c r="O1130" s="12">
        <f>IF(N1130&gt;0,IF(N1130&lt;=eco,alpha*fck*(1-(1-N1130/eco)^n),alpha*fck),0)</f>
      </c>
      <c r="P1130" s="30">
        <f>PM_Angle!$J$10+PM_Angle!$K$10*$C1130+PM_Angle!$L$10*$B1130</f>
      </c>
      <c r="Q1130" s="12">
        <f>IF(P1130&gt;0,IF(P1130&lt;=eco,alpha*fck*(1-(1-P1130/eco)^n),alpha*fck),0)</f>
      </c>
      <c r="R1130" s="30">
        <f>PM_Angle!$J$11+PM_Angle!$K$11*$C1130+PM_Angle!$L$11*$B1130</f>
      </c>
      <c r="S1130" s="12">
        <f>IF(R1130&gt;0,IF(R1130&lt;=eco,alpha*fck*(1-(1-R1130/eco)^n),alpha*fck),0)</f>
      </c>
      <c r="T1130" s="30">
        <f>PM_Angle!$J$12+PM_Angle!$K$12*$C1130+PM_Angle!$L$12*$B1130</f>
      </c>
      <c r="U1130" s="12">
        <f>IF(T1130&gt;0,IF(T1130&lt;=eco,alpha*fck*(1-(1-T1130/eco)^n),alpha*fck),0)</f>
      </c>
      <c r="V1130" s="30">
        <f>PM_Angle!$J$13+PM_Angle!$K$13*$C1130+PM_Angle!$L$13*$B1130</f>
      </c>
      <c r="W1130" s="12">
        <f>IF(V1130&gt;0,IF(V1130&lt;=eco,alpha*fck*(1-(1-V1130/eco)^n),alpha*fck),0)</f>
      </c>
      <c r="X1130" s="30">
        <f>PM_Angle!$J$14+PM_Angle!$K$14*$C1130+PM_Angle!$L$14*$B1130</f>
      </c>
      <c r="Y1130" s="12">
        <f>IF(X1130&gt;0,IF(X1130&lt;=eco,alpha*fck*(1-(1-X1130/eco)^n),alpha*fck),0)</f>
      </c>
      <c r="Z1130" s="30">
        <f>PM_Angle!$J$15+PM_Angle!$K$15*$C1130+PM_Angle!$L$15*$B1130</f>
      </c>
      <c r="AA1130" s="12">
        <f>IF(Z1130&gt;0,IF(Z1130&lt;=eco,alpha*fck*(1-(1-Z1130/eco)^n),alpha*fck),0)</f>
      </c>
      <c r="AB1130" s="30">
        <f>PM_Angle!$J$16+PM_Angle!$K$16*$C1130+PM_Angle!$L$16*$B1130</f>
      </c>
      <c r="AC1130" s="12">
        <f>IF(AB1130&gt;0,IF(AB1130&lt;=eco,alpha*fck*(1-(1-AB1130/eco)^n),alpha*fck),0)</f>
      </c>
      <c r="AD1130" s="30">
        <f>PM_Angle!$J$17+PM_Angle!$K$17*$C1130+PM_Angle!$L$17*$B1130</f>
      </c>
      <c r="AE1130" s="12">
        <f>IF(AD1130&gt;0,IF(AD1130&lt;=eco,alpha*fck*(1-(1-AD1130/eco)^n),alpha*fck),0)</f>
      </c>
      <c r="AF1130" s="30">
        <f>PM_Angle!$J$18+PM_Angle!$K$18*$C1130+PM_Angle!$L$18*$B1130</f>
      </c>
      <c r="AG1130" s="12">
        <f>IF(AF1130&gt;0,IF(AF1130&lt;=eco,alpha*fck*(1-(1-AF1130/eco)^n),alpha*fck),0)</f>
      </c>
      <c r="AH1130" s="30">
        <f>PM_Angle!$J$19+PM_Angle!$K$19*$C1130+PM_Angle!$L$19*$B1130</f>
      </c>
      <c r="AI1130" s="12">
        <f>IF(AH1130&gt;0,IF(AH1130&lt;=eco,alpha*fck*(1-(1-AH1130/eco)^n),alpha*fck),0)</f>
      </c>
      <c r="AJ1130" s="30">
        <f>PM_Angle!$J$20+PM_Angle!$K$20*$C1130+PM_Angle!$L$20*$B1130</f>
      </c>
      <c r="AK1130" s="12">
        <f>IF(AJ1130&gt;0,IF(AJ1130&lt;=eco,alpha*fck*(1-(1-AJ1130/eco)^n),alpha*fck),0)</f>
      </c>
      <c r="AL1130" s="30">
        <f>PM_Angle!$J$21+PM_Angle!$K$21*$C1130+PM_Angle!$L$21*$B1130</f>
      </c>
      <c r="AM1130" s="12">
        <f>IF(AL1130&gt;0,IF(AL1130&lt;=eco,alpha*fck*(1-(1-AL1130/eco)^n),alpha*fck),0)</f>
      </c>
      <c r="AN1130" s="30">
        <f>PM_Angle!$J$22+PM_Angle!$K$22*$C1130+PM_Angle!$L$22*$B1130</f>
      </c>
      <c r="AO1130" s="12">
        <f>IF(AN1130&gt;0,IF(AN1130&lt;=eco,alpha*fck*(1-(1-AN1130/eco)^n),alpha*fck),0)</f>
      </c>
      <c r="AP1130" s="30">
        <f>PM_Angle!$J$23+PM_Angle!$K$23*$C1130+PM_Angle!$L$23*$B1130</f>
      </c>
      <c r="AQ1130" s="12">
        <f>IF(AP1130&gt;0,IF(AP1130&lt;=eco,alpha*fck*(1-(1-AP1130/eco)^n),alpha*fck),0)</f>
      </c>
      <c r="AR1130" s="30">
        <f>PM_Angle!$J$24+PM_Angle!$K$24*$C1130+PM_Angle!$L$24*$B1130</f>
      </c>
      <c r="AS1130" s="12">
        <f>IF(AR1130&gt;0,IF(AR1130&lt;=eco,alpha*fck*(1-(1-AR1130/eco)^n),alpha*fck),0)</f>
      </c>
      <c r="AT1130" s="30">
        <f>PM_Angle!$J$25+PM_Angle!$K$25*$C1130+PM_Angle!$L$25*$B1130</f>
      </c>
      <c r="AU1130" s="12">
        <f>IF(AT1130&gt;0,IF(AT1130&lt;=eco,alpha*fck*(1-(1-AT1130/eco)^n),alpha*fck),0)</f>
      </c>
    </row>
    <row r="1131" spans="1:47" x14ac:dyDescent="0.25">
      <c r="A1131">
        <f>Mesh!A1128</f>
      </c>
      <c r="B1131" s="12">
        <f>Mesh!B1128</f>
      </c>
      <c r="C1131" s="12">
        <f>Mesh!C1128</f>
      </c>
      <c r="D1131" s="12">
        <f>Mesh!D1128</f>
      </c>
      <c r="E1131" s="30">
        <f>INDEX(St_e0,Det+1)+INDEX(St_kx,Det+1)*C1131+INDEX(St_ky,Det+1)*B1131</f>
      </c>
      <c r="F1131" s="12">
        <f>IF(E1131&gt;0,IF(E1131&lt;=eco,alpha*fck*(1-(1-E1131/eco)^n),alpha*fck),0)</f>
      </c>
      <c r="G1131" s="11">
        <f>F1131*D1131</f>
      </c>
      <c r="H1131" s="11">
        <f>G1131*C1131</f>
      </c>
      <c r="I1131" s="11">
        <f>G1131*B1131</f>
      </c>
      <c r="J1131" s="30">
        <f>PM_Angle!$J$7+PM_Angle!$K$7*$C1131+PM_Angle!$L$7*$B1131</f>
      </c>
      <c r="K1131" s="12">
        <f>IF(J1131&gt;0,IF(J1131&lt;=eco,alpha*fck*(1-(1-J1131/eco)^n),alpha*fck),0)</f>
      </c>
      <c r="L1131" s="30">
        <f>PM_Angle!$J$8+PM_Angle!$K$8*$C1131+PM_Angle!$L$8*$B1131</f>
      </c>
      <c r="M1131" s="12">
        <f>IF(L1131&gt;0,IF(L1131&lt;=eco,alpha*fck*(1-(1-L1131/eco)^n),alpha*fck),0)</f>
      </c>
      <c r="N1131" s="30">
        <f>PM_Angle!$J$9+PM_Angle!$K$9*$C1131+PM_Angle!$L$9*$B1131</f>
      </c>
      <c r="O1131" s="12">
        <f>IF(N1131&gt;0,IF(N1131&lt;=eco,alpha*fck*(1-(1-N1131/eco)^n),alpha*fck),0)</f>
      </c>
      <c r="P1131" s="30">
        <f>PM_Angle!$J$10+PM_Angle!$K$10*$C1131+PM_Angle!$L$10*$B1131</f>
      </c>
      <c r="Q1131" s="12">
        <f>IF(P1131&gt;0,IF(P1131&lt;=eco,alpha*fck*(1-(1-P1131/eco)^n),alpha*fck),0)</f>
      </c>
      <c r="R1131" s="30">
        <f>PM_Angle!$J$11+PM_Angle!$K$11*$C1131+PM_Angle!$L$11*$B1131</f>
      </c>
      <c r="S1131" s="12">
        <f>IF(R1131&gt;0,IF(R1131&lt;=eco,alpha*fck*(1-(1-R1131/eco)^n),alpha*fck),0)</f>
      </c>
      <c r="T1131" s="30">
        <f>PM_Angle!$J$12+PM_Angle!$K$12*$C1131+PM_Angle!$L$12*$B1131</f>
      </c>
      <c r="U1131" s="12">
        <f>IF(T1131&gt;0,IF(T1131&lt;=eco,alpha*fck*(1-(1-T1131/eco)^n),alpha*fck),0)</f>
      </c>
      <c r="V1131" s="30">
        <f>PM_Angle!$J$13+PM_Angle!$K$13*$C1131+PM_Angle!$L$13*$B1131</f>
      </c>
      <c r="W1131" s="12">
        <f>IF(V1131&gt;0,IF(V1131&lt;=eco,alpha*fck*(1-(1-V1131/eco)^n),alpha*fck),0)</f>
      </c>
      <c r="X1131" s="30">
        <f>PM_Angle!$J$14+PM_Angle!$K$14*$C1131+PM_Angle!$L$14*$B1131</f>
      </c>
      <c r="Y1131" s="12">
        <f>IF(X1131&gt;0,IF(X1131&lt;=eco,alpha*fck*(1-(1-X1131/eco)^n),alpha*fck),0)</f>
      </c>
      <c r="Z1131" s="30">
        <f>PM_Angle!$J$15+PM_Angle!$K$15*$C1131+PM_Angle!$L$15*$B1131</f>
      </c>
      <c r="AA1131" s="12">
        <f>IF(Z1131&gt;0,IF(Z1131&lt;=eco,alpha*fck*(1-(1-Z1131/eco)^n),alpha*fck),0)</f>
      </c>
      <c r="AB1131" s="30">
        <f>PM_Angle!$J$16+PM_Angle!$K$16*$C1131+PM_Angle!$L$16*$B1131</f>
      </c>
      <c r="AC1131" s="12">
        <f>IF(AB1131&gt;0,IF(AB1131&lt;=eco,alpha*fck*(1-(1-AB1131/eco)^n),alpha*fck),0)</f>
      </c>
      <c r="AD1131" s="30">
        <f>PM_Angle!$J$17+PM_Angle!$K$17*$C1131+PM_Angle!$L$17*$B1131</f>
      </c>
      <c r="AE1131" s="12">
        <f>IF(AD1131&gt;0,IF(AD1131&lt;=eco,alpha*fck*(1-(1-AD1131/eco)^n),alpha*fck),0)</f>
      </c>
      <c r="AF1131" s="30">
        <f>PM_Angle!$J$18+PM_Angle!$K$18*$C1131+PM_Angle!$L$18*$B1131</f>
      </c>
      <c r="AG1131" s="12">
        <f>IF(AF1131&gt;0,IF(AF1131&lt;=eco,alpha*fck*(1-(1-AF1131/eco)^n),alpha*fck),0)</f>
      </c>
      <c r="AH1131" s="30">
        <f>PM_Angle!$J$19+PM_Angle!$K$19*$C1131+PM_Angle!$L$19*$B1131</f>
      </c>
      <c r="AI1131" s="12">
        <f>IF(AH1131&gt;0,IF(AH1131&lt;=eco,alpha*fck*(1-(1-AH1131/eco)^n),alpha*fck),0)</f>
      </c>
      <c r="AJ1131" s="30">
        <f>PM_Angle!$J$20+PM_Angle!$K$20*$C1131+PM_Angle!$L$20*$B1131</f>
      </c>
      <c r="AK1131" s="12">
        <f>IF(AJ1131&gt;0,IF(AJ1131&lt;=eco,alpha*fck*(1-(1-AJ1131/eco)^n),alpha*fck),0)</f>
      </c>
      <c r="AL1131" s="30">
        <f>PM_Angle!$J$21+PM_Angle!$K$21*$C1131+PM_Angle!$L$21*$B1131</f>
      </c>
      <c r="AM1131" s="12">
        <f>IF(AL1131&gt;0,IF(AL1131&lt;=eco,alpha*fck*(1-(1-AL1131/eco)^n),alpha*fck),0)</f>
      </c>
      <c r="AN1131" s="30">
        <f>PM_Angle!$J$22+PM_Angle!$K$22*$C1131+PM_Angle!$L$22*$B1131</f>
      </c>
      <c r="AO1131" s="12">
        <f>IF(AN1131&gt;0,IF(AN1131&lt;=eco,alpha*fck*(1-(1-AN1131/eco)^n),alpha*fck),0)</f>
      </c>
      <c r="AP1131" s="30">
        <f>PM_Angle!$J$23+PM_Angle!$K$23*$C1131+PM_Angle!$L$23*$B1131</f>
      </c>
      <c r="AQ1131" s="12">
        <f>IF(AP1131&gt;0,IF(AP1131&lt;=eco,alpha*fck*(1-(1-AP1131/eco)^n),alpha*fck),0)</f>
      </c>
      <c r="AR1131" s="30">
        <f>PM_Angle!$J$24+PM_Angle!$K$24*$C1131+PM_Angle!$L$24*$B1131</f>
      </c>
      <c r="AS1131" s="12">
        <f>IF(AR1131&gt;0,IF(AR1131&lt;=eco,alpha*fck*(1-(1-AR1131/eco)^n),alpha*fck),0)</f>
      </c>
      <c r="AT1131" s="30">
        <f>PM_Angle!$J$25+PM_Angle!$K$25*$C1131+PM_Angle!$L$25*$B1131</f>
      </c>
      <c r="AU1131" s="12">
        <f>IF(AT1131&gt;0,IF(AT1131&lt;=eco,alpha*fck*(1-(1-AT1131/eco)^n),alpha*fck),0)</f>
      </c>
    </row>
    <row r="1132" spans="1:47" x14ac:dyDescent="0.25">
      <c r="A1132">
        <f>Mesh!A1129</f>
      </c>
      <c r="B1132" s="12">
        <f>Mesh!B1129</f>
      </c>
      <c r="C1132" s="12">
        <f>Mesh!C1129</f>
      </c>
      <c r="D1132" s="12">
        <f>Mesh!D1129</f>
      </c>
      <c r="E1132" s="30">
        <f>INDEX(St_e0,Det+1)+INDEX(St_kx,Det+1)*C1132+INDEX(St_ky,Det+1)*B1132</f>
      </c>
      <c r="F1132" s="12">
        <f>IF(E1132&gt;0,IF(E1132&lt;=eco,alpha*fck*(1-(1-E1132/eco)^n),alpha*fck),0)</f>
      </c>
      <c r="G1132" s="11">
        <f>F1132*D1132</f>
      </c>
      <c r="H1132" s="11">
        <f>G1132*C1132</f>
      </c>
      <c r="I1132" s="11">
        <f>G1132*B1132</f>
      </c>
      <c r="J1132" s="30">
        <f>PM_Angle!$J$7+PM_Angle!$K$7*$C1132+PM_Angle!$L$7*$B1132</f>
      </c>
      <c r="K1132" s="12">
        <f>IF(J1132&gt;0,IF(J1132&lt;=eco,alpha*fck*(1-(1-J1132/eco)^n),alpha*fck),0)</f>
      </c>
      <c r="L1132" s="30">
        <f>PM_Angle!$J$8+PM_Angle!$K$8*$C1132+PM_Angle!$L$8*$B1132</f>
      </c>
      <c r="M1132" s="12">
        <f>IF(L1132&gt;0,IF(L1132&lt;=eco,alpha*fck*(1-(1-L1132/eco)^n),alpha*fck),0)</f>
      </c>
      <c r="N1132" s="30">
        <f>PM_Angle!$J$9+PM_Angle!$K$9*$C1132+PM_Angle!$L$9*$B1132</f>
      </c>
      <c r="O1132" s="12">
        <f>IF(N1132&gt;0,IF(N1132&lt;=eco,alpha*fck*(1-(1-N1132/eco)^n),alpha*fck),0)</f>
      </c>
      <c r="P1132" s="30">
        <f>PM_Angle!$J$10+PM_Angle!$K$10*$C1132+PM_Angle!$L$10*$B1132</f>
      </c>
      <c r="Q1132" s="12">
        <f>IF(P1132&gt;0,IF(P1132&lt;=eco,alpha*fck*(1-(1-P1132/eco)^n),alpha*fck),0)</f>
      </c>
      <c r="R1132" s="30">
        <f>PM_Angle!$J$11+PM_Angle!$K$11*$C1132+PM_Angle!$L$11*$B1132</f>
      </c>
      <c r="S1132" s="12">
        <f>IF(R1132&gt;0,IF(R1132&lt;=eco,alpha*fck*(1-(1-R1132/eco)^n),alpha*fck),0)</f>
      </c>
      <c r="T1132" s="30">
        <f>PM_Angle!$J$12+PM_Angle!$K$12*$C1132+PM_Angle!$L$12*$B1132</f>
      </c>
      <c r="U1132" s="12">
        <f>IF(T1132&gt;0,IF(T1132&lt;=eco,alpha*fck*(1-(1-T1132/eco)^n),alpha*fck),0)</f>
      </c>
      <c r="V1132" s="30">
        <f>PM_Angle!$J$13+PM_Angle!$K$13*$C1132+PM_Angle!$L$13*$B1132</f>
      </c>
      <c r="W1132" s="12">
        <f>IF(V1132&gt;0,IF(V1132&lt;=eco,alpha*fck*(1-(1-V1132/eco)^n),alpha*fck),0)</f>
      </c>
      <c r="X1132" s="30">
        <f>PM_Angle!$J$14+PM_Angle!$K$14*$C1132+PM_Angle!$L$14*$B1132</f>
      </c>
      <c r="Y1132" s="12">
        <f>IF(X1132&gt;0,IF(X1132&lt;=eco,alpha*fck*(1-(1-X1132/eco)^n),alpha*fck),0)</f>
      </c>
      <c r="Z1132" s="30">
        <f>PM_Angle!$J$15+PM_Angle!$K$15*$C1132+PM_Angle!$L$15*$B1132</f>
      </c>
      <c r="AA1132" s="12">
        <f>IF(Z1132&gt;0,IF(Z1132&lt;=eco,alpha*fck*(1-(1-Z1132/eco)^n),alpha*fck),0)</f>
      </c>
      <c r="AB1132" s="30">
        <f>PM_Angle!$J$16+PM_Angle!$K$16*$C1132+PM_Angle!$L$16*$B1132</f>
      </c>
      <c r="AC1132" s="12">
        <f>IF(AB1132&gt;0,IF(AB1132&lt;=eco,alpha*fck*(1-(1-AB1132/eco)^n),alpha*fck),0)</f>
      </c>
      <c r="AD1132" s="30">
        <f>PM_Angle!$J$17+PM_Angle!$K$17*$C1132+PM_Angle!$L$17*$B1132</f>
      </c>
      <c r="AE1132" s="12">
        <f>IF(AD1132&gt;0,IF(AD1132&lt;=eco,alpha*fck*(1-(1-AD1132/eco)^n),alpha*fck),0)</f>
      </c>
      <c r="AF1132" s="30">
        <f>PM_Angle!$J$18+PM_Angle!$K$18*$C1132+PM_Angle!$L$18*$B1132</f>
      </c>
      <c r="AG1132" s="12">
        <f>IF(AF1132&gt;0,IF(AF1132&lt;=eco,alpha*fck*(1-(1-AF1132/eco)^n),alpha*fck),0)</f>
      </c>
      <c r="AH1132" s="30">
        <f>PM_Angle!$J$19+PM_Angle!$K$19*$C1132+PM_Angle!$L$19*$B1132</f>
      </c>
      <c r="AI1132" s="12">
        <f>IF(AH1132&gt;0,IF(AH1132&lt;=eco,alpha*fck*(1-(1-AH1132/eco)^n),alpha*fck),0)</f>
      </c>
      <c r="AJ1132" s="30">
        <f>PM_Angle!$J$20+PM_Angle!$K$20*$C1132+PM_Angle!$L$20*$B1132</f>
      </c>
      <c r="AK1132" s="12">
        <f>IF(AJ1132&gt;0,IF(AJ1132&lt;=eco,alpha*fck*(1-(1-AJ1132/eco)^n),alpha*fck),0)</f>
      </c>
      <c r="AL1132" s="30">
        <f>PM_Angle!$J$21+PM_Angle!$K$21*$C1132+PM_Angle!$L$21*$B1132</f>
      </c>
      <c r="AM1132" s="12">
        <f>IF(AL1132&gt;0,IF(AL1132&lt;=eco,alpha*fck*(1-(1-AL1132/eco)^n),alpha*fck),0)</f>
      </c>
      <c r="AN1132" s="30">
        <f>PM_Angle!$J$22+PM_Angle!$K$22*$C1132+PM_Angle!$L$22*$B1132</f>
      </c>
      <c r="AO1132" s="12">
        <f>IF(AN1132&gt;0,IF(AN1132&lt;=eco,alpha*fck*(1-(1-AN1132/eco)^n),alpha*fck),0)</f>
      </c>
      <c r="AP1132" s="30">
        <f>PM_Angle!$J$23+PM_Angle!$K$23*$C1132+PM_Angle!$L$23*$B1132</f>
      </c>
      <c r="AQ1132" s="12">
        <f>IF(AP1132&gt;0,IF(AP1132&lt;=eco,alpha*fck*(1-(1-AP1132/eco)^n),alpha*fck),0)</f>
      </c>
      <c r="AR1132" s="30">
        <f>PM_Angle!$J$24+PM_Angle!$K$24*$C1132+PM_Angle!$L$24*$B1132</f>
      </c>
      <c r="AS1132" s="12">
        <f>IF(AR1132&gt;0,IF(AR1132&lt;=eco,alpha*fck*(1-(1-AR1132/eco)^n),alpha*fck),0)</f>
      </c>
      <c r="AT1132" s="30">
        <f>PM_Angle!$J$25+PM_Angle!$K$25*$C1132+PM_Angle!$L$25*$B1132</f>
      </c>
      <c r="AU1132" s="12">
        <f>IF(AT1132&gt;0,IF(AT1132&lt;=eco,alpha*fck*(1-(1-AT1132/eco)^n),alpha*fck),0)</f>
      </c>
    </row>
    <row r="1133" spans="1:47" x14ac:dyDescent="0.25">
      <c r="A1133">
        <f>Mesh!A1130</f>
      </c>
      <c r="B1133" s="12">
        <f>Mesh!B1130</f>
      </c>
      <c r="C1133" s="12">
        <f>Mesh!C1130</f>
      </c>
      <c r="D1133" s="12">
        <f>Mesh!D1130</f>
      </c>
      <c r="E1133" s="30">
        <f>INDEX(St_e0,Det+1)+INDEX(St_kx,Det+1)*C1133+INDEX(St_ky,Det+1)*B1133</f>
      </c>
      <c r="F1133" s="12">
        <f>IF(E1133&gt;0,IF(E1133&lt;=eco,alpha*fck*(1-(1-E1133/eco)^n),alpha*fck),0)</f>
      </c>
      <c r="G1133" s="11">
        <f>F1133*D1133</f>
      </c>
      <c r="H1133" s="11">
        <f>G1133*C1133</f>
      </c>
      <c r="I1133" s="11">
        <f>G1133*B1133</f>
      </c>
      <c r="J1133" s="30">
        <f>PM_Angle!$J$7+PM_Angle!$K$7*$C1133+PM_Angle!$L$7*$B1133</f>
      </c>
      <c r="K1133" s="12">
        <f>IF(J1133&gt;0,IF(J1133&lt;=eco,alpha*fck*(1-(1-J1133/eco)^n),alpha*fck),0)</f>
      </c>
      <c r="L1133" s="30">
        <f>PM_Angle!$J$8+PM_Angle!$K$8*$C1133+PM_Angle!$L$8*$B1133</f>
      </c>
      <c r="M1133" s="12">
        <f>IF(L1133&gt;0,IF(L1133&lt;=eco,alpha*fck*(1-(1-L1133/eco)^n),alpha*fck),0)</f>
      </c>
      <c r="N1133" s="30">
        <f>PM_Angle!$J$9+PM_Angle!$K$9*$C1133+PM_Angle!$L$9*$B1133</f>
      </c>
      <c r="O1133" s="12">
        <f>IF(N1133&gt;0,IF(N1133&lt;=eco,alpha*fck*(1-(1-N1133/eco)^n),alpha*fck),0)</f>
      </c>
      <c r="P1133" s="30">
        <f>PM_Angle!$J$10+PM_Angle!$K$10*$C1133+PM_Angle!$L$10*$B1133</f>
      </c>
      <c r="Q1133" s="12">
        <f>IF(P1133&gt;0,IF(P1133&lt;=eco,alpha*fck*(1-(1-P1133/eco)^n),alpha*fck),0)</f>
      </c>
      <c r="R1133" s="30">
        <f>PM_Angle!$J$11+PM_Angle!$K$11*$C1133+PM_Angle!$L$11*$B1133</f>
      </c>
      <c r="S1133" s="12">
        <f>IF(R1133&gt;0,IF(R1133&lt;=eco,alpha*fck*(1-(1-R1133/eco)^n),alpha*fck),0)</f>
      </c>
      <c r="T1133" s="30">
        <f>PM_Angle!$J$12+PM_Angle!$K$12*$C1133+PM_Angle!$L$12*$B1133</f>
      </c>
      <c r="U1133" s="12">
        <f>IF(T1133&gt;0,IF(T1133&lt;=eco,alpha*fck*(1-(1-T1133/eco)^n),alpha*fck),0)</f>
      </c>
      <c r="V1133" s="30">
        <f>PM_Angle!$J$13+PM_Angle!$K$13*$C1133+PM_Angle!$L$13*$B1133</f>
      </c>
      <c r="W1133" s="12">
        <f>IF(V1133&gt;0,IF(V1133&lt;=eco,alpha*fck*(1-(1-V1133/eco)^n),alpha*fck),0)</f>
      </c>
      <c r="X1133" s="30">
        <f>PM_Angle!$J$14+PM_Angle!$K$14*$C1133+PM_Angle!$L$14*$B1133</f>
      </c>
      <c r="Y1133" s="12">
        <f>IF(X1133&gt;0,IF(X1133&lt;=eco,alpha*fck*(1-(1-X1133/eco)^n),alpha*fck),0)</f>
      </c>
      <c r="Z1133" s="30">
        <f>PM_Angle!$J$15+PM_Angle!$K$15*$C1133+PM_Angle!$L$15*$B1133</f>
      </c>
      <c r="AA1133" s="12">
        <f>IF(Z1133&gt;0,IF(Z1133&lt;=eco,alpha*fck*(1-(1-Z1133/eco)^n),alpha*fck),0)</f>
      </c>
      <c r="AB1133" s="30">
        <f>PM_Angle!$J$16+PM_Angle!$K$16*$C1133+PM_Angle!$L$16*$B1133</f>
      </c>
      <c r="AC1133" s="12">
        <f>IF(AB1133&gt;0,IF(AB1133&lt;=eco,alpha*fck*(1-(1-AB1133/eco)^n),alpha*fck),0)</f>
      </c>
      <c r="AD1133" s="30">
        <f>PM_Angle!$J$17+PM_Angle!$K$17*$C1133+PM_Angle!$L$17*$B1133</f>
      </c>
      <c r="AE1133" s="12">
        <f>IF(AD1133&gt;0,IF(AD1133&lt;=eco,alpha*fck*(1-(1-AD1133/eco)^n),alpha*fck),0)</f>
      </c>
      <c r="AF1133" s="30">
        <f>PM_Angle!$J$18+PM_Angle!$K$18*$C1133+PM_Angle!$L$18*$B1133</f>
      </c>
      <c r="AG1133" s="12">
        <f>IF(AF1133&gt;0,IF(AF1133&lt;=eco,alpha*fck*(1-(1-AF1133/eco)^n),alpha*fck),0)</f>
      </c>
      <c r="AH1133" s="30">
        <f>PM_Angle!$J$19+PM_Angle!$K$19*$C1133+PM_Angle!$L$19*$B1133</f>
      </c>
      <c r="AI1133" s="12">
        <f>IF(AH1133&gt;0,IF(AH1133&lt;=eco,alpha*fck*(1-(1-AH1133/eco)^n),alpha*fck),0)</f>
      </c>
      <c r="AJ1133" s="30">
        <f>PM_Angle!$J$20+PM_Angle!$K$20*$C1133+PM_Angle!$L$20*$B1133</f>
      </c>
      <c r="AK1133" s="12">
        <f>IF(AJ1133&gt;0,IF(AJ1133&lt;=eco,alpha*fck*(1-(1-AJ1133/eco)^n),alpha*fck),0)</f>
      </c>
      <c r="AL1133" s="30">
        <f>PM_Angle!$J$21+PM_Angle!$K$21*$C1133+PM_Angle!$L$21*$B1133</f>
      </c>
      <c r="AM1133" s="12">
        <f>IF(AL1133&gt;0,IF(AL1133&lt;=eco,alpha*fck*(1-(1-AL1133/eco)^n),alpha*fck),0)</f>
      </c>
      <c r="AN1133" s="30">
        <f>PM_Angle!$J$22+PM_Angle!$K$22*$C1133+PM_Angle!$L$22*$B1133</f>
      </c>
      <c r="AO1133" s="12">
        <f>IF(AN1133&gt;0,IF(AN1133&lt;=eco,alpha*fck*(1-(1-AN1133/eco)^n),alpha*fck),0)</f>
      </c>
      <c r="AP1133" s="30">
        <f>PM_Angle!$J$23+PM_Angle!$K$23*$C1133+PM_Angle!$L$23*$B1133</f>
      </c>
      <c r="AQ1133" s="12">
        <f>IF(AP1133&gt;0,IF(AP1133&lt;=eco,alpha*fck*(1-(1-AP1133/eco)^n),alpha*fck),0)</f>
      </c>
      <c r="AR1133" s="30">
        <f>PM_Angle!$J$24+PM_Angle!$K$24*$C1133+PM_Angle!$L$24*$B1133</f>
      </c>
      <c r="AS1133" s="12">
        <f>IF(AR1133&gt;0,IF(AR1133&lt;=eco,alpha*fck*(1-(1-AR1133/eco)^n),alpha*fck),0)</f>
      </c>
      <c r="AT1133" s="30">
        <f>PM_Angle!$J$25+PM_Angle!$K$25*$C1133+PM_Angle!$L$25*$B1133</f>
      </c>
      <c r="AU1133" s="12">
        <f>IF(AT1133&gt;0,IF(AT1133&lt;=eco,alpha*fck*(1-(1-AT1133/eco)^n),alpha*fck),0)</f>
      </c>
    </row>
    <row r="1134" spans="1:47" x14ac:dyDescent="0.25">
      <c r="A1134">
        <f>Mesh!A1131</f>
      </c>
      <c r="B1134" s="12">
        <f>Mesh!B1131</f>
      </c>
      <c r="C1134" s="12">
        <f>Mesh!C1131</f>
      </c>
      <c r="D1134" s="12">
        <f>Mesh!D1131</f>
      </c>
      <c r="E1134" s="30">
        <f>INDEX(St_e0,Det+1)+INDEX(St_kx,Det+1)*C1134+INDEX(St_ky,Det+1)*B1134</f>
      </c>
      <c r="F1134" s="12">
        <f>IF(E1134&gt;0,IF(E1134&lt;=eco,alpha*fck*(1-(1-E1134/eco)^n),alpha*fck),0)</f>
      </c>
      <c r="G1134" s="11">
        <f>F1134*D1134</f>
      </c>
      <c r="H1134" s="11">
        <f>G1134*C1134</f>
      </c>
      <c r="I1134" s="11">
        <f>G1134*B1134</f>
      </c>
      <c r="J1134" s="30">
        <f>PM_Angle!$J$7+PM_Angle!$K$7*$C1134+PM_Angle!$L$7*$B1134</f>
      </c>
      <c r="K1134" s="12">
        <f>IF(J1134&gt;0,IF(J1134&lt;=eco,alpha*fck*(1-(1-J1134/eco)^n),alpha*fck),0)</f>
      </c>
      <c r="L1134" s="30">
        <f>PM_Angle!$J$8+PM_Angle!$K$8*$C1134+PM_Angle!$L$8*$B1134</f>
      </c>
      <c r="M1134" s="12">
        <f>IF(L1134&gt;0,IF(L1134&lt;=eco,alpha*fck*(1-(1-L1134/eco)^n),alpha*fck),0)</f>
      </c>
      <c r="N1134" s="30">
        <f>PM_Angle!$J$9+PM_Angle!$K$9*$C1134+PM_Angle!$L$9*$B1134</f>
      </c>
      <c r="O1134" s="12">
        <f>IF(N1134&gt;0,IF(N1134&lt;=eco,alpha*fck*(1-(1-N1134/eco)^n),alpha*fck),0)</f>
      </c>
      <c r="P1134" s="30">
        <f>PM_Angle!$J$10+PM_Angle!$K$10*$C1134+PM_Angle!$L$10*$B1134</f>
      </c>
      <c r="Q1134" s="12">
        <f>IF(P1134&gt;0,IF(P1134&lt;=eco,alpha*fck*(1-(1-P1134/eco)^n),alpha*fck),0)</f>
      </c>
      <c r="R1134" s="30">
        <f>PM_Angle!$J$11+PM_Angle!$K$11*$C1134+PM_Angle!$L$11*$B1134</f>
      </c>
      <c r="S1134" s="12">
        <f>IF(R1134&gt;0,IF(R1134&lt;=eco,alpha*fck*(1-(1-R1134/eco)^n),alpha*fck),0)</f>
      </c>
      <c r="T1134" s="30">
        <f>PM_Angle!$J$12+PM_Angle!$K$12*$C1134+PM_Angle!$L$12*$B1134</f>
      </c>
      <c r="U1134" s="12">
        <f>IF(T1134&gt;0,IF(T1134&lt;=eco,alpha*fck*(1-(1-T1134/eco)^n),alpha*fck),0)</f>
      </c>
      <c r="V1134" s="30">
        <f>PM_Angle!$J$13+PM_Angle!$K$13*$C1134+PM_Angle!$L$13*$B1134</f>
      </c>
      <c r="W1134" s="12">
        <f>IF(V1134&gt;0,IF(V1134&lt;=eco,alpha*fck*(1-(1-V1134/eco)^n),alpha*fck),0)</f>
      </c>
      <c r="X1134" s="30">
        <f>PM_Angle!$J$14+PM_Angle!$K$14*$C1134+PM_Angle!$L$14*$B1134</f>
      </c>
      <c r="Y1134" s="12">
        <f>IF(X1134&gt;0,IF(X1134&lt;=eco,alpha*fck*(1-(1-X1134/eco)^n),alpha*fck),0)</f>
      </c>
      <c r="Z1134" s="30">
        <f>PM_Angle!$J$15+PM_Angle!$K$15*$C1134+PM_Angle!$L$15*$B1134</f>
      </c>
      <c r="AA1134" s="12">
        <f>IF(Z1134&gt;0,IF(Z1134&lt;=eco,alpha*fck*(1-(1-Z1134/eco)^n),alpha*fck),0)</f>
      </c>
      <c r="AB1134" s="30">
        <f>PM_Angle!$J$16+PM_Angle!$K$16*$C1134+PM_Angle!$L$16*$B1134</f>
      </c>
      <c r="AC1134" s="12">
        <f>IF(AB1134&gt;0,IF(AB1134&lt;=eco,alpha*fck*(1-(1-AB1134/eco)^n),alpha*fck),0)</f>
      </c>
      <c r="AD1134" s="30">
        <f>PM_Angle!$J$17+PM_Angle!$K$17*$C1134+PM_Angle!$L$17*$B1134</f>
      </c>
      <c r="AE1134" s="12">
        <f>IF(AD1134&gt;0,IF(AD1134&lt;=eco,alpha*fck*(1-(1-AD1134/eco)^n),alpha*fck),0)</f>
      </c>
      <c r="AF1134" s="30">
        <f>PM_Angle!$J$18+PM_Angle!$K$18*$C1134+PM_Angle!$L$18*$B1134</f>
      </c>
      <c r="AG1134" s="12">
        <f>IF(AF1134&gt;0,IF(AF1134&lt;=eco,alpha*fck*(1-(1-AF1134/eco)^n),alpha*fck),0)</f>
      </c>
      <c r="AH1134" s="30">
        <f>PM_Angle!$J$19+PM_Angle!$K$19*$C1134+PM_Angle!$L$19*$B1134</f>
      </c>
      <c r="AI1134" s="12">
        <f>IF(AH1134&gt;0,IF(AH1134&lt;=eco,alpha*fck*(1-(1-AH1134/eco)^n),alpha*fck),0)</f>
      </c>
      <c r="AJ1134" s="30">
        <f>PM_Angle!$J$20+PM_Angle!$K$20*$C1134+PM_Angle!$L$20*$B1134</f>
      </c>
      <c r="AK1134" s="12">
        <f>IF(AJ1134&gt;0,IF(AJ1134&lt;=eco,alpha*fck*(1-(1-AJ1134/eco)^n),alpha*fck),0)</f>
      </c>
      <c r="AL1134" s="30">
        <f>PM_Angle!$J$21+PM_Angle!$K$21*$C1134+PM_Angle!$L$21*$B1134</f>
      </c>
      <c r="AM1134" s="12">
        <f>IF(AL1134&gt;0,IF(AL1134&lt;=eco,alpha*fck*(1-(1-AL1134/eco)^n),alpha*fck),0)</f>
      </c>
      <c r="AN1134" s="30">
        <f>PM_Angle!$J$22+PM_Angle!$K$22*$C1134+PM_Angle!$L$22*$B1134</f>
      </c>
      <c r="AO1134" s="12">
        <f>IF(AN1134&gt;0,IF(AN1134&lt;=eco,alpha*fck*(1-(1-AN1134/eco)^n),alpha*fck),0)</f>
      </c>
      <c r="AP1134" s="30">
        <f>PM_Angle!$J$23+PM_Angle!$K$23*$C1134+PM_Angle!$L$23*$B1134</f>
      </c>
      <c r="AQ1134" s="12">
        <f>IF(AP1134&gt;0,IF(AP1134&lt;=eco,alpha*fck*(1-(1-AP1134/eco)^n),alpha*fck),0)</f>
      </c>
      <c r="AR1134" s="30">
        <f>PM_Angle!$J$24+PM_Angle!$K$24*$C1134+PM_Angle!$L$24*$B1134</f>
      </c>
      <c r="AS1134" s="12">
        <f>IF(AR1134&gt;0,IF(AR1134&lt;=eco,alpha*fck*(1-(1-AR1134/eco)^n),alpha*fck),0)</f>
      </c>
      <c r="AT1134" s="30">
        <f>PM_Angle!$J$25+PM_Angle!$K$25*$C1134+PM_Angle!$L$25*$B1134</f>
      </c>
      <c r="AU1134" s="12">
        <f>IF(AT1134&gt;0,IF(AT1134&lt;=eco,alpha*fck*(1-(1-AT1134/eco)^n),alpha*fck),0)</f>
      </c>
    </row>
    <row r="1135" spans="1:47" x14ac:dyDescent="0.25">
      <c r="A1135">
        <f>Mesh!A1132</f>
      </c>
      <c r="B1135" s="12">
        <f>Mesh!B1132</f>
      </c>
      <c r="C1135" s="12">
        <f>Mesh!C1132</f>
      </c>
      <c r="D1135" s="12">
        <f>Mesh!D1132</f>
      </c>
      <c r="E1135" s="30">
        <f>INDEX(St_e0,Det+1)+INDEX(St_kx,Det+1)*C1135+INDEX(St_ky,Det+1)*B1135</f>
      </c>
      <c r="F1135" s="12">
        <f>IF(E1135&gt;0,IF(E1135&lt;=eco,alpha*fck*(1-(1-E1135/eco)^n),alpha*fck),0)</f>
      </c>
      <c r="G1135" s="11">
        <f>F1135*D1135</f>
      </c>
      <c r="H1135" s="11">
        <f>G1135*C1135</f>
      </c>
      <c r="I1135" s="11">
        <f>G1135*B1135</f>
      </c>
      <c r="J1135" s="30">
        <f>PM_Angle!$J$7+PM_Angle!$K$7*$C1135+PM_Angle!$L$7*$B1135</f>
      </c>
      <c r="K1135" s="12">
        <f>IF(J1135&gt;0,IF(J1135&lt;=eco,alpha*fck*(1-(1-J1135/eco)^n),alpha*fck),0)</f>
      </c>
      <c r="L1135" s="30">
        <f>PM_Angle!$J$8+PM_Angle!$K$8*$C1135+PM_Angle!$L$8*$B1135</f>
      </c>
      <c r="M1135" s="12">
        <f>IF(L1135&gt;0,IF(L1135&lt;=eco,alpha*fck*(1-(1-L1135/eco)^n),alpha*fck),0)</f>
      </c>
      <c r="N1135" s="30">
        <f>PM_Angle!$J$9+PM_Angle!$K$9*$C1135+PM_Angle!$L$9*$B1135</f>
      </c>
      <c r="O1135" s="12">
        <f>IF(N1135&gt;0,IF(N1135&lt;=eco,alpha*fck*(1-(1-N1135/eco)^n),alpha*fck),0)</f>
      </c>
      <c r="P1135" s="30">
        <f>PM_Angle!$J$10+PM_Angle!$K$10*$C1135+PM_Angle!$L$10*$B1135</f>
      </c>
      <c r="Q1135" s="12">
        <f>IF(P1135&gt;0,IF(P1135&lt;=eco,alpha*fck*(1-(1-P1135/eco)^n),alpha*fck),0)</f>
      </c>
      <c r="R1135" s="30">
        <f>PM_Angle!$J$11+PM_Angle!$K$11*$C1135+PM_Angle!$L$11*$B1135</f>
      </c>
      <c r="S1135" s="12">
        <f>IF(R1135&gt;0,IF(R1135&lt;=eco,alpha*fck*(1-(1-R1135/eco)^n),alpha*fck),0)</f>
      </c>
      <c r="T1135" s="30">
        <f>PM_Angle!$J$12+PM_Angle!$K$12*$C1135+PM_Angle!$L$12*$B1135</f>
      </c>
      <c r="U1135" s="12">
        <f>IF(T1135&gt;0,IF(T1135&lt;=eco,alpha*fck*(1-(1-T1135/eco)^n),alpha*fck),0)</f>
      </c>
      <c r="V1135" s="30">
        <f>PM_Angle!$J$13+PM_Angle!$K$13*$C1135+PM_Angle!$L$13*$B1135</f>
      </c>
      <c r="W1135" s="12">
        <f>IF(V1135&gt;0,IF(V1135&lt;=eco,alpha*fck*(1-(1-V1135/eco)^n),alpha*fck),0)</f>
      </c>
      <c r="X1135" s="30">
        <f>PM_Angle!$J$14+PM_Angle!$K$14*$C1135+PM_Angle!$L$14*$B1135</f>
      </c>
      <c r="Y1135" s="12">
        <f>IF(X1135&gt;0,IF(X1135&lt;=eco,alpha*fck*(1-(1-X1135/eco)^n),alpha*fck),0)</f>
      </c>
      <c r="Z1135" s="30">
        <f>PM_Angle!$J$15+PM_Angle!$K$15*$C1135+PM_Angle!$L$15*$B1135</f>
      </c>
      <c r="AA1135" s="12">
        <f>IF(Z1135&gt;0,IF(Z1135&lt;=eco,alpha*fck*(1-(1-Z1135/eco)^n),alpha*fck),0)</f>
      </c>
      <c r="AB1135" s="30">
        <f>PM_Angle!$J$16+PM_Angle!$K$16*$C1135+PM_Angle!$L$16*$B1135</f>
      </c>
      <c r="AC1135" s="12">
        <f>IF(AB1135&gt;0,IF(AB1135&lt;=eco,alpha*fck*(1-(1-AB1135/eco)^n),alpha*fck),0)</f>
      </c>
      <c r="AD1135" s="30">
        <f>PM_Angle!$J$17+PM_Angle!$K$17*$C1135+PM_Angle!$L$17*$B1135</f>
      </c>
      <c r="AE1135" s="12">
        <f>IF(AD1135&gt;0,IF(AD1135&lt;=eco,alpha*fck*(1-(1-AD1135/eco)^n),alpha*fck),0)</f>
      </c>
      <c r="AF1135" s="30">
        <f>PM_Angle!$J$18+PM_Angle!$K$18*$C1135+PM_Angle!$L$18*$B1135</f>
      </c>
      <c r="AG1135" s="12">
        <f>IF(AF1135&gt;0,IF(AF1135&lt;=eco,alpha*fck*(1-(1-AF1135/eco)^n),alpha*fck),0)</f>
      </c>
      <c r="AH1135" s="30">
        <f>PM_Angle!$J$19+PM_Angle!$K$19*$C1135+PM_Angle!$L$19*$B1135</f>
      </c>
      <c r="AI1135" s="12">
        <f>IF(AH1135&gt;0,IF(AH1135&lt;=eco,alpha*fck*(1-(1-AH1135/eco)^n),alpha*fck),0)</f>
      </c>
      <c r="AJ1135" s="30">
        <f>PM_Angle!$J$20+PM_Angle!$K$20*$C1135+PM_Angle!$L$20*$B1135</f>
      </c>
      <c r="AK1135" s="12">
        <f>IF(AJ1135&gt;0,IF(AJ1135&lt;=eco,alpha*fck*(1-(1-AJ1135/eco)^n),alpha*fck),0)</f>
      </c>
      <c r="AL1135" s="30">
        <f>PM_Angle!$J$21+PM_Angle!$K$21*$C1135+PM_Angle!$L$21*$B1135</f>
      </c>
      <c r="AM1135" s="12">
        <f>IF(AL1135&gt;0,IF(AL1135&lt;=eco,alpha*fck*(1-(1-AL1135/eco)^n),alpha*fck),0)</f>
      </c>
      <c r="AN1135" s="30">
        <f>PM_Angle!$J$22+PM_Angle!$K$22*$C1135+PM_Angle!$L$22*$B1135</f>
      </c>
      <c r="AO1135" s="12">
        <f>IF(AN1135&gt;0,IF(AN1135&lt;=eco,alpha*fck*(1-(1-AN1135/eco)^n),alpha*fck),0)</f>
      </c>
      <c r="AP1135" s="30">
        <f>PM_Angle!$J$23+PM_Angle!$K$23*$C1135+PM_Angle!$L$23*$B1135</f>
      </c>
      <c r="AQ1135" s="12">
        <f>IF(AP1135&gt;0,IF(AP1135&lt;=eco,alpha*fck*(1-(1-AP1135/eco)^n),alpha*fck),0)</f>
      </c>
      <c r="AR1135" s="30">
        <f>PM_Angle!$J$24+PM_Angle!$K$24*$C1135+PM_Angle!$L$24*$B1135</f>
      </c>
      <c r="AS1135" s="12">
        <f>IF(AR1135&gt;0,IF(AR1135&lt;=eco,alpha*fck*(1-(1-AR1135/eco)^n),alpha*fck),0)</f>
      </c>
      <c r="AT1135" s="30">
        <f>PM_Angle!$J$25+PM_Angle!$K$25*$C1135+PM_Angle!$L$25*$B1135</f>
      </c>
      <c r="AU1135" s="12">
        <f>IF(AT1135&gt;0,IF(AT1135&lt;=eco,alpha*fck*(1-(1-AT1135/eco)^n),alpha*fck),0)</f>
      </c>
    </row>
    <row r="1136" spans="1:47" x14ac:dyDescent="0.25">
      <c r="A1136">
        <f>Mesh!A1133</f>
      </c>
      <c r="B1136" s="12">
        <f>Mesh!B1133</f>
      </c>
      <c r="C1136" s="12">
        <f>Mesh!C1133</f>
      </c>
      <c r="D1136" s="12">
        <f>Mesh!D1133</f>
      </c>
      <c r="E1136" s="30">
        <f>INDEX(St_e0,Det+1)+INDEX(St_kx,Det+1)*C1136+INDEX(St_ky,Det+1)*B1136</f>
      </c>
      <c r="F1136" s="12">
        <f>IF(E1136&gt;0,IF(E1136&lt;=eco,alpha*fck*(1-(1-E1136/eco)^n),alpha*fck),0)</f>
      </c>
      <c r="G1136" s="11">
        <f>F1136*D1136</f>
      </c>
      <c r="H1136" s="11">
        <f>G1136*C1136</f>
      </c>
      <c r="I1136" s="11">
        <f>G1136*B1136</f>
      </c>
      <c r="J1136" s="30">
        <f>PM_Angle!$J$7+PM_Angle!$K$7*$C1136+PM_Angle!$L$7*$B1136</f>
      </c>
      <c r="K1136" s="12">
        <f>IF(J1136&gt;0,IF(J1136&lt;=eco,alpha*fck*(1-(1-J1136/eco)^n),alpha*fck),0)</f>
      </c>
      <c r="L1136" s="30">
        <f>PM_Angle!$J$8+PM_Angle!$K$8*$C1136+PM_Angle!$L$8*$B1136</f>
      </c>
      <c r="M1136" s="12">
        <f>IF(L1136&gt;0,IF(L1136&lt;=eco,alpha*fck*(1-(1-L1136/eco)^n),alpha*fck),0)</f>
      </c>
      <c r="N1136" s="30">
        <f>PM_Angle!$J$9+PM_Angle!$K$9*$C1136+PM_Angle!$L$9*$B1136</f>
      </c>
      <c r="O1136" s="12">
        <f>IF(N1136&gt;0,IF(N1136&lt;=eco,alpha*fck*(1-(1-N1136/eco)^n),alpha*fck),0)</f>
      </c>
      <c r="P1136" s="30">
        <f>PM_Angle!$J$10+PM_Angle!$K$10*$C1136+PM_Angle!$L$10*$B1136</f>
      </c>
      <c r="Q1136" s="12">
        <f>IF(P1136&gt;0,IF(P1136&lt;=eco,alpha*fck*(1-(1-P1136/eco)^n),alpha*fck),0)</f>
      </c>
      <c r="R1136" s="30">
        <f>PM_Angle!$J$11+PM_Angle!$K$11*$C1136+PM_Angle!$L$11*$B1136</f>
      </c>
      <c r="S1136" s="12">
        <f>IF(R1136&gt;0,IF(R1136&lt;=eco,alpha*fck*(1-(1-R1136/eco)^n),alpha*fck),0)</f>
      </c>
      <c r="T1136" s="30">
        <f>PM_Angle!$J$12+PM_Angle!$K$12*$C1136+PM_Angle!$L$12*$B1136</f>
      </c>
      <c r="U1136" s="12">
        <f>IF(T1136&gt;0,IF(T1136&lt;=eco,alpha*fck*(1-(1-T1136/eco)^n),alpha*fck),0)</f>
      </c>
      <c r="V1136" s="30">
        <f>PM_Angle!$J$13+PM_Angle!$K$13*$C1136+PM_Angle!$L$13*$B1136</f>
      </c>
      <c r="W1136" s="12">
        <f>IF(V1136&gt;0,IF(V1136&lt;=eco,alpha*fck*(1-(1-V1136/eco)^n),alpha*fck),0)</f>
      </c>
      <c r="X1136" s="30">
        <f>PM_Angle!$J$14+PM_Angle!$K$14*$C1136+PM_Angle!$L$14*$B1136</f>
      </c>
      <c r="Y1136" s="12">
        <f>IF(X1136&gt;0,IF(X1136&lt;=eco,alpha*fck*(1-(1-X1136/eco)^n),alpha*fck),0)</f>
      </c>
      <c r="Z1136" s="30">
        <f>PM_Angle!$J$15+PM_Angle!$K$15*$C1136+PM_Angle!$L$15*$B1136</f>
      </c>
      <c r="AA1136" s="12">
        <f>IF(Z1136&gt;0,IF(Z1136&lt;=eco,alpha*fck*(1-(1-Z1136/eco)^n),alpha*fck),0)</f>
      </c>
      <c r="AB1136" s="30">
        <f>PM_Angle!$J$16+PM_Angle!$K$16*$C1136+PM_Angle!$L$16*$B1136</f>
      </c>
      <c r="AC1136" s="12">
        <f>IF(AB1136&gt;0,IF(AB1136&lt;=eco,alpha*fck*(1-(1-AB1136/eco)^n),alpha*fck),0)</f>
      </c>
      <c r="AD1136" s="30">
        <f>PM_Angle!$J$17+PM_Angle!$K$17*$C1136+PM_Angle!$L$17*$B1136</f>
      </c>
      <c r="AE1136" s="12">
        <f>IF(AD1136&gt;0,IF(AD1136&lt;=eco,alpha*fck*(1-(1-AD1136/eco)^n),alpha*fck),0)</f>
      </c>
      <c r="AF1136" s="30">
        <f>PM_Angle!$J$18+PM_Angle!$K$18*$C1136+PM_Angle!$L$18*$B1136</f>
      </c>
      <c r="AG1136" s="12">
        <f>IF(AF1136&gt;0,IF(AF1136&lt;=eco,alpha*fck*(1-(1-AF1136/eco)^n),alpha*fck),0)</f>
      </c>
      <c r="AH1136" s="30">
        <f>PM_Angle!$J$19+PM_Angle!$K$19*$C1136+PM_Angle!$L$19*$B1136</f>
      </c>
      <c r="AI1136" s="12">
        <f>IF(AH1136&gt;0,IF(AH1136&lt;=eco,alpha*fck*(1-(1-AH1136/eco)^n),alpha*fck),0)</f>
      </c>
      <c r="AJ1136" s="30">
        <f>PM_Angle!$J$20+PM_Angle!$K$20*$C1136+PM_Angle!$L$20*$B1136</f>
      </c>
      <c r="AK1136" s="12">
        <f>IF(AJ1136&gt;0,IF(AJ1136&lt;=eco,alpha*fck*(1-(1-AJ1136/eco)^n),alpha*fck),0)</f>
      </c>
      <c r="AL1136" s="30">
        <f>PM_Angle!$J$21+PM_Angle!$K$21*$C1136+PM_Angle!$L$21*$B1136</f>
      </c>
      <c r="AM1136" s="12">
        <f>IF(AL1136&gt;0,IF(AL1136&lt;=eco,alpha*fck*(1-(1-AL1136/eco)^n),alpha*fck),0)</f>
      </c>
      <c r="AN1136" s="30">
        <f>PM_Angle!$J$22+PM_Angle!$K$22*$C1136+PM_Angle!$L$22*$B1136</f>
      </c>
      <c r="AO1136" s="12">
        <f>IF(AN1136&gt;0,IF(AN1136&lt;=eco,alpha*fck*(1-(1-AN1136/eco)^n),alpha*fck),0)</f>
      </c>
      <c r="AP1136" s="30">
        <f>PM_Angle!$J$23+PM_Angle!$K$23*$C1136+PM_Angle!$L$23*$B1136</f>
      </c>
      <c r="AQ1136" s="12">
        <f>IF(AP1136&gt;0,IF(AP1136&lt;=eco,alpha*fck*(1-(1-AP1136/eco)^n),alpha*fck),0)</f>
      </c>
      <c r="AR1136" s="30">
        <f>PM_Angle!$J$24+PM_Angle!$K$24*$C1136+PM_Angle!$L$24*$B1136</f>
      </c>
      <c r="AS1136" s="12">
        <f>IF(AR1136&gt;0,IF(AR1136&lt;=eco,alpha*fck*(1-(1-AR1136/eco)^n),alpha*fck),0)</f>
      </c>
      <c r="AT1136" s="30">
        <f>PM_Angle!$J$25+PM_Angle!$K$25*$C1136+PM_Angle!$L$25*$B1136</f>
      </c>
      <c r="AU1136" s="12">
        <f>IF(AT1136&gt;0,IF(AT1136&lt;=eco,alpha*fck*(1-(1-AT1136/eco)^n),alpha*fck),0)</f>
      </c>
    </row>
    <row r="1137" spans="1:47" x14ac:dyDescent="0.25">
      <c r="A1137">
        <f>Mesh!A1134</f>
      </c>
      <c r="B1137" s="12">
        <f>Mesh!B1134</f>
      </c>
      <c r="C1137" s="12">
        <f>Mesh!C1134</f>
      </c>
      <c r="D1137" s="12">
        <f>Mesh!D1134</f>
      </c>
      <c r="E1137" s="30">
        <f>INDEX(St_e0,Det+1)+INDEX(St_kx,Det+1)*C1137+INDEX(St_ky,Det+1)*B1137</f>
      </c>
      <c r="F1137" s="12">
        <f>IF(E1137&gt;0,IF(E1137&lt;=eco,alpha*fck*(1-(1-E1137/eco)^n),alpha*fck),0)</f>
      </c>
      <c r="G1137" s="11">
        <f>F1137*D1137</f>
      </c>
      <c r="H1137" s="11">
        <f>G1137*C1137</f>
      </c>
      <c r="I1137" s="11">
        <f>G1137*B1137</f>
      </c>
      <c r="J1137" s="30">
        <f>PM_Angle!$J$7+PM_Angle!$K$7*$C1137+PM_Angle!$L$7*$B1137</f>
      </c>
      <c r="K1137" s="12">
        <f>IF(J1137&gt;0,IF(J1137&lt;=eco,alpha*fck*(1-(1-J1137/eco)^n),alpha*fck),0)</f>
      </c>
      <c r="L1137" s="30">
        <f>PM_Angle!$J$8+PM_Angle!$K$8*$C1137+PM_Angle!$L$8*$B1137</f>
      </c>
      <c r="M1137" s="12">
        <f>IF(L1137&gt;0,IF(L1137&lt;=eco,alpha*fck*(1-(1-L1137/eco)^n),alpha*fck),0)</f>
      </c>
      <c r="N1137" s="30">
        <f>PM_Angle!$J$9+PM_Angle!$K$9*$C1137+PM_Angle!$L$9*$B1137</f>
      </c>
      <c r="O1137" s="12">
        <f>IF(N1137&gt;0,IF(N1137&lt;=eco,alpha*fck*(1-(1-N1137/eco)^n),alpha*fck),0)</f>
      </c>
      <c r="P1137" s="30">
        <f>PM_Angle!$J$10+PM_Angle!$K$10*$C1137+PM_Angle!$L$10*$B1137</f>
      </c>
      <c r="Q1137" s="12">
        <f>IF(P1137&gt;0,IF(P1137&lt;=eco,alpha*fck*(1-(1-P1137/eco)^n),alpha*fck),0)</f>
      </c>
      <c r="R1137" s="30">
        <f>PM_Angle!$J$11+PM_Angle!$K$11*$C1137+PM_Angle!$L$11*$B1137</f>
      </c>
      <c r="S1137" s="12">
        <f>IF(R1137&gt;0,IF(R1137&lt;=eco,alpha*fck*(1-(1-R1137/eco)^n),alpha*fck),0)</f>
      </c>
      <c r="T1137" s="30">
        <f>PM_Angle!$J$12+PM_Angle!$K$12*$C1137+PM_Angle!$L$12*$B1137</f>
      </c>
      <c r="U1137" s="12">
        <f>IF(T1137&gt;0,IF(T1137&lt;=eco,alpha*fck*(1-(1-T1137/eco)^n),alpha*fck),0)</f>
      </c>
      <c r="V1137" s="30">
        <f>PM_Angle!$J$13+PM_Angle!$K$13*$C1137+PM_Angle!$L$13*$B1137</f>
      </c>
      <c r="W1137" s="12">
        <f>IF(V1137&gt;0,IF(V1137&lt;=eco,alpha*fck*(1-(1-V1137/eco)^n),alpha*fck),0)</f>
      </c>
      <c r="X1137" s="30">
        <f>PM_Angle!$J$14+PM_Angle!$K$14*$C1137+PM_Angle!$L$14*$B1137</f>
      </c>
      <c r="Y1137" s="12">
        <f>IF(X1137&gt;0,IF(X1137&lt;=eco,alpha*fck*(1-(1-X1137/eco)^n),alpha*fck),0)</f>
      </c>
      <c r="Z1137" s="30">
        <f>PM_Angle!$J$15+PM_Angle!$K$15*$C1137+PM_Angle!$L$15*$B1137</f>
      </c>
      <c r="AA1137" s="12">
        <f>IF(Z1137&gt;0,IF(Z1137&lt;=eco,alpha*fck*(1-(1-Z1137/eco)^n),alpha*fck),0)</f>
      </c>
      <c r="AB1137" s="30">
        <f>PM_Angle!$J$16+PM_Angle!$K$16*$C1137+PM_Angle!$L$16*$B1137</f>
      </c>
      <c r="AC1137" s="12">
        <f>IF(AB1137&gt;0,IF(AB1137&lt;=eco,alpha*fck*(1-(1-AB1137/eco)^n),alpha*fck),0)</f>
      </c>
      <c r="AD1137" s="30">
        <f>PM_Angle!$J$17+PM_Angle!$K$17*$C1137+PM_Angle!$L$17*$B1137</f>
      </c>
      <c r="AE1137" s="12">
        <f>IF(AD1137&gt;0,IF(AD1137&lt;=eco,alpha*fck*(1-(1-AD1137/eco)^n),alpha*fck),0)</f>
      </c>
      <c r="AF1137" s="30">
        <f>PM_Angle!$J$18+PM_Angle!$K$18*$C1137+PM_Angle!$L$18*$B1137</f>
      </c>
      <c r="AG1137" s="12">
        <f>IF(AF1137&gt;0,IF(AF1137&lt;=eco,alpha*fck*(1-(1-AF1137/eco)^n),alpha*fck),0)</f>
      </c>
      <c r="AH1137" s="30">
        <f>PM_Angle!$J$19+PM_Angle!$K$19*$C1137+PM_Angle!$L$19*$B1137</f>
      </c>
      <c r="AI1137" s="12">
        <f>IF(AH1137&gt;0,IF(AH1137&lt;=eco,alpha*fck*(1-(1-AH1137/eco)^n),alpha*fck),0)</f>
      </c>
      <c r="AJ1137" s="30">
        <f>PM_Angle!$J$20+PM_Angle!$K$20*$C1137+PM_Angle!$L$20*$B1137</f>
      </c>
      <c r="AK1137" s="12">
        <f>IF(AJ1137&gt;0,IF(AJ1137&lt;=eco,alpha*fck*(1-(1-AJ1137/eco)^n),alpha*fck),0)</f>
      </c>
      <c r="AL1137" s="30">
        <f>PM_Angle!$J$21+PM_Angle!$K$21*$C1137+PM_Angle!$L$21*$B1137</f>
      </c>
      <c r="AM1137" s="12">
        <f>IF(AL1137&gt;0,IF(AL1137&lt;=eco,alpha*fck*(1-(1-AL1137/eco)^n),alpha*fck),0)</f>
      </c>
      <c r="AN1137" s="30">
        <f>PM_Angle!$J$22+PM_Angle!$K$22*$C1137+PM_Angle!$L$22*$B1137</f>
      </c>
      <c r="AO1137" s="12">
        <f>IF(AN1137&gt;0,IF(AN1137&lt;=eco,alpha*fck*(1-(1-AN1137/eco)^n),alpha*fck),0)</f>
      </c>
      <c r="AP1137" s="30">
        <f>PM_Angle!$J$23+PM_Angle!$K$23*$C1137+PM_Angle!$L$23*$B1137</f>
      </c>
      <c r="AQ1137" s="12">
        <f>IF(AP1137&gt;0,IF(AP1137&lt;=eco,alpha*fck*(1-(1-AP1137/eco)^n),alpha*fck),0)</f>
      </c>
      <c r="AR1137" s="30">
        <f>PM_Angle!$J$24+PM_Angle!$K$24*$C1137+PM_Angle!$L$24*$B1137</f>
      </c>
      <c r="AS1137" s="12">
        <f>IF(AR1137&gt;0,IF(AR1137&lt;=eco,alpha*fck*(1-(1-AR1137/eco)^n),alpha*fck),0)</f>
      </c>
      <c r="AT1137" s="30">
        <f>PM_Angle!$J$25+PM_Angle!$K$25*$C1137+PM_Angle!$L$25*$B1137</f>
      </c>
      <c r="AU1137" s="12">
        <f>IF(AT1137&gt;0,IF(AT1137&lt;=eco,alpha*fck*(1-(1-AT1137/eco)^n),alpha*fck),0)</f>
      </c>
    </row>
    <row r="1138" spans="1:47" x14ac:dyDescent="0.25">
      <c r="A1138">
        <f>Mesh!A1135</f>
      </c>
      <c r="B1138" s="12">
        <f>Mesh!B1135</f>
      </c>
      <c r="C1138" s="12">
        <f>Mesh!C1135</f>
      </c>
      <c r="D1138" s="12">
        <f>Mesh!D1135</f>
      </c>
      <c r="E1138" s="30">
        <f>INDEX(St_e0,Det+1)+INDEX(St_kx,Det+1)*C1138+INDEX(St_ky,Det+1)*B1138</f>
      </c>
      <c r="F1138" s="12">
        <f>IF(E1138&gt;0,IF(E1138&lt;=eco,alpha*fck*(1-(1-E1138/eco)^n),alpha*fck),0)</f>
      </c>
      <c r="G1138" s="11">
        <f>F1138*D1138</f>
      </c>
      <c r="H1138" s="11">
        <f>G1138*C1138</f>
      </c>
      <c r="I1138" s="11">
        <f>G1138*B1138</f>
      </c>
      <c r="J1138" s="30">
        <f>PM_Angle!$J$7+PM_Angle!$K$7*$C1138+PM_Angle!$L$7*$B1138</f>
      </c>
      <c r="K1138" s="12">
        <f>IF(J1138&gt;0,IF(J1138&lt;=eco,alpha*fck*(1-(1-J1138/eco)^n),alpha*fck),0)</f>
      </c>
      <c r="L1138" s="30">
        <f>PM_Angle!$J$8+PM_Angle!$K$8*$C1138+PM_Angle!$L$8*$B1138</f>
      </c>
      <c r="M1138" s="12">
        <f>IF(L1138&gt;0,IF(L1138&lt;=eco,alpha*fck*(1-(1-L1138/eco)^n),alpha*fck),0)</f>
      </c>
      <c r="N1138" s="30">
        <f>PM_Angle!$J$9+PM_Angle!$K$9*$C1138+PM_Angle!$L$9*$B1138</f>
      </c>
      <c r="O1138" s="12">
        <f>IF(N1138&gt;0,IF(N1138&lt;=eco,alpha*fck*(1-(1-N1138/eco)^n),alpha*fck),0)</f>
      </c>
      <c r="P1138" s="30">
        <f>PM_Angle!$J$10+PM_Angle!$K$10*$C1138+PM_Angle!$L$10*$B1138</f>
      </c>
      <c r="Q1138" s="12">
        <f>IF(P1138&gt;0,IF(P1138&lt;=eco,alpha*fck*(1-(1-P1138/eco)^n),alpha*fck),0)</f>
      </c>
      <c r="R1138" s="30">
        <f>PM_Angle!$J$11+PM_Angle!$K$11*$C1138+PM_Angle!$L$11*$B1138</f>
      </c>
      <c r="S1138" s="12">
        <f>IF(R1138&gt;0,IF(R1138&lt;=eco,alpha*fck*(1-(1-R1138/eco)^n),alpha*fck),0)</f>
      </c>
      <c r="T1138" s="30">
        <f>PM_Angle!$J$12+PM_Angle!$K$12*$C1138+PM_Angle!$L$12*$B1138</f>
      </c>
      <c r="U1138" s="12">
        <f>IF(T1138&gt;0,IF(T1138&lt;=eco,alpha*fck*(1-(1-T1138/eco)^n),alpha*fck),0)</f>
      </c>
      <c r="V1138" s="30">
        <f>PM_Angle!$J$13+PM_Angle!$K$13*$C1138+PM_Angle!$L$13*$B1138</f>
      </c>
      <c r="W1138" s="12">
        <f>IF(V1138&gt;0,IF(V1138&lt;=eco,alpha*fck*(1-(1-V1138/eco)^n),alpha*fck),0)</f>
      </c>
      <c r="X1138" s="30">
        <f>PM_Angle!$J$14+PM_Angle!$K$14*$C1138+PM_Angle!$L$14*$B1138</f>
      </c>
      <c r="Y1138" s="12">
        <f>IF(X1138&gt;0,IF(X1138&lt;=eco,alpha*fck*(1-(1-X1138/eco)^n),alpha*fck),0)</f>
      </c>
      <c r="Z1138" s="30">
        <f>PM_Angle!$J$15+PM_Angle!$K$15*$C1138+PM_Angle!$L$15*$B1138</f>
      </c>
      <c r="AA1138" s="12">
        <f>IF(Z1138&gt;0,IF(Z1138&lt;=eco,alpha*fck*(1-(1-Z1138/eco)^n),alpha*fck),0)</f>
      </c>
      <c r="AB1138" s="30">
        <f>PM_Angle!$J$16+PM_Angle!$K$16*$C1138+PM_Angle!$L$16*$B1138</f>
      </c>
      <c r="AC1138" s="12">
        <f>IF(AB1138&gt;0,IF(AB1138&lt;=eco,alpha*fck*(1-(1-AB1138/eco)^n),alpha*fck),0)</f>
      </c>
      <c r="AD1138" s="30">
        <f>PM_Angle!$J$17+PM_Angle!$K$17*$C1138+PM_Angle!$L$17*$B1138</f>
      </c>
      <c r="AE1138" s="12">
        <f>IF(AD1138&gt;0,IF(AD1138&lt;=eco,alpha*fck*(1-(1-AD1138/eco)^n),alpha*fck),0)</f>
      </c>
      <c r="AF1138" s="30">
        <f>PM_Angle!$J$18+PM_Angle!$K$18*$C1138+PM_Angle!$L$18*$B1138</f>
      </c>
      <c r="AG1138" s="12">
        <f>IF(AF1138&gt;0,IF(AF1138&lt;=eco,alpha*fck*(1-(1-AF1138/eco)^n),alpha*fck),0)</f>
      </c>
      <c r="AH1138" s="30">
        <f>PM_Angle!$J$19+PM_Angle!$K$19*$C1138+PM_Angle!$L$19*$B1138</f>
      </c>
      <c r="AI1138" s="12">
        <f>IF(AH1138&gt;0,IF(AH1138&lt;=eco,alpha*fck*(1-(1-AH1138/eco)^n),alpha*fck),0)</f>
      </c>
      <c r="AJ1138" s="30">
        <f>PM_Angle!$J$20+PM_Angle!$K$20*$C1138+PM_Angle!$L$20*$B1138</f>
      </c>
      <c r="AK1138" s="12">
        <f>IF(AJ1138&gt;0,IF(AJ1138&lt;=eco,alpha*fck*(1-(1-AJ1138/eco)^n),alpha*fck),0)</f>
      </c>
      <c r="AL1138" s="30">
        <f>PM_Angle!$J$21+PM_Angle!$K$21*$C1138+PM_Angle!$L$21*$B1138</f>
      </c>
      <c r="AM1138" s="12">
        <f>IF(AL1138&gt;0,IF(AL1138&lt;=eco,alpha*fck*(1-(1-AL1138/eco)^n),alpha*fck),0)</f>
      </c>
      <c r="AN1138" s="30">
        <f>PM_Angle!$J$22+PM_Angle!$K$22*$C1138+PM_Angle!$L$22*$B1138</f>
      </c>
      <c r="AO1138" s="12">
        <f>IF(AN1138&gt;0,IF(AN1138&lt;=eco,alpha*fck*(1-(1-AN1138/eco)^n),alpha*fck),0)</f>
      </c>
      <c r="AP1138" s="30">
        <f>PM_Angle!$J$23+PM_Angle!$K$23*$C1138+PM_Angle!$L$23*$B1138</f>
      </c>
      <c r="AQ1138" s="12">
        <f>IF(AP1138&gt;0,IF(AP1138&lt;=eco,alpha*fck*(1-(1-AP1138/eco)^n),alpha*fck),0)</f>
      </c>
      <c r="AR1138" s="30">
        <f>PM_Angle!$J$24+PM_Angle!$K$24*$C1138+PM_Angle!$L$24*$B1138</f>
      </c>
      <c r="AS1138" s="12">
        <f>IF(AR1138&gt;0,IF(AR1138&lt;=eco,alpha*fck*(1-(1-AR1138/eco)^n),alpha*fck),0)</f>
      </c>
      <c r="AT1138" s="30">
        <f>PM_Angle!$J$25+PM_Angle!$K$25*$C1138+PM_Angle!$L$25*$B1138</f>
      </c>
      <c r="AU1138" s="12">
        <f>IF(AT1138&gt;0,IF(AT1138&lt;=eco,alpha*fck*(1-(1-AT1138/eco)^n),alpha*fck),0)</f>
      </c>
    </row>
    <row r="1139" spans="1:47" x14ac:dyDescent="0.25">
      <c r="A1139">
        <f>Mesh!A1136</f>
      </c>
      <c r="B1139" s="12">
        <f>Mesh!B1136</f>
      </c>
      <c r="C1139" s="12">
        <f>Mesh!C1136</f>
      </c>
      <c r="D1139" s="12">
        <f>Mesh!D1136</f>
      </c>
      <c r="E1139" s="30">
        <f>INDEX(St_e0,Det+1)+INDEX(St_kx,Det+1)*C1139+INDEX(St_ky,Det+1)*B1139</f>
      </c>
      <c r="F1139" s="12">
        <f>IF(E1139&gt;0,IF(E1139&lt;=eco,alpha*fck*(1-(1-E1139/eco)^n),alpha*fck),0)</f>
      </c>
      <c r="G1139" s="11">
        <f>F1139*D1139</f>
      </c>
      <c r="H1139" s="11">
        <f>G1139*C1139</f>
      </c>
      <c r="I1139" s="11">
        <f>G1139*B1139</f>
      </c>
      <c r="J1139" s="30">
        <f>PM_Angle!$J$7+PM_Angle!$K$7*$C1139+PM_Angle!$L$7*$B1139</f>
      </c>
      <c r="K1139" s="12">
        <f>IF(J1139&gt;0,IF(J1139&lt;=eco,alpha*fck*(1-(1-J1139/eco)^n),alpha*fck),0)</f>
      </c>
      <c r="L1139" s="30">
        <f>PM_Angle!$J$8+PM_Angle!$K$8*$C1139+PM_Angle!$L$8*$B1139</f>
      </c>
      <c r="M1139" s="12">
        <f>IF(L1139&gt;0,IF(L1139&lt;=eco,alpha*fck*(1-(1-L1139/eco)^n),alpha*fck),0)</f>
      </c>
      <c r="N1139" s="30">
        <f>PM_Angle!$J$9+PM_Angle!$K$9*$C1139+PM_Angle!$L$9*$B1139</f>
      </c>
      <c r="O1139" s="12">
        <f>IF(N1139&gt;0,IF(N1139&lt;=eco,alpha*fck*(1-(1-N1139/eco)^n),alpha*fck),0)</f>
      </c>
      <c r="P1139" s="30">
        <f>PM_Angle!$J$10+PM_Angle!$K$10*$C1139+PM_Angle!$L$10*$B1139</f>
      </c>
      <c r="Q1139" s="12">
        <f>IF(P1139&gt;0,IF(P1139&lt;=eco,alpha*fck*(1-(1-P1139/eco)^n),alpha*fck),0)</f>
      </c>
      <c r="R1139" s="30">
        <f>PM_Angle!$J$11+PM_Angle!$K$11*$C1139+PM_Angle!$L$11*$B1139</f>
      </c>
      <c r="S1139" s="12">
        <f>IF(R1139&gt;0,IF(R1139&lt;=eco,alpha*fck*(1-(1-R1139/eco)^n),alpha*fck),0)</f>
      </c>
      <c r="T1139" s="30">
        <f>PM_Angle!$J$12+PM_Angle!$K$12*$C1139+PM_Angle!$L$12*$B1139</f>
      </c>
      <c r="U1139" s="12">
        <f>IF(T1139&gt;0,IF(T1139&lt;=eco,alpha*fck*(1-(1-T1139/eco)^n),alpha*fck),0)</f>
      </c>
      <c r="V1139" s="30">
        <f>PM_Angle!$J$13+PM_Angle!$K$13*$C1139+PM_Angle!$L$13*$B1139</f>
      </c>
      <c r="W1139" s="12">
        <f>IF(V1139&gt;0,IF(V1139&lt;=eco,alpha*fck*(1-(1-V1139/eco)^n),alpha*fck),0)</f>
      </c>
      <c r="X1139" s="30">
        <f>PM_Angle!$J$14+PM_Angle!$K$14*$C1139+PM_Angle!$L$14*$B1139</f>
      </c>
      <c r="Y1139" s="12">
        <f>IF(X1139&gt;0,IF(X1139&lt;=eco,alpha*fck*(1-(1-X1139/eco)^n),alpha*fck),0)</f>
      </c>
      <c r="Z1139" s="30">
        <f>PM_Angle!$J$15+PM_Angle!$K$15*$C1139+PM_Angle!$L$15*$B1139</f>
      </c>
      <c r="AA1139" s="12">
        <f>IF(Z1139&gt;0,IF(Z1139&lt;=eco,alpha*fck*(1-(1-Z1139/eco)^n),alpha*fck),0)</f>
      </c>
      <c r="AB1139" s="30">
        <f>PM_Angle!$J$16+PM_Angle!$K$16*$C1139+PM_Angle!$L$16*$B1139</f>
      </c>
      <c r="AC1139" s="12">
        <f>IF(AB1139&gt;0,IF(AB1139&lt;=eco,alpha*fck*(1-(1-AB1139/eco)^n),alpha*fck),0)</f>
      </c>
      <c r="AD1139" s="30">
        <f>PM_Angle!$J$17+PM_Angle!$K$17*$C1139+PM_Angle!$L$17*$B1139</f>
      </c>
      <c r="AE1139" s="12">
        <f>IF(AD1139&gt;0,IF(AD1139&lt;=eco,alpha*fck*(1-(1-AD1139/eco)^n),alpha*fck),0)</f>
      </c>
      <c r="AF1139" s="30">
        <f>PM_Angle!$J$18+PM_Angle!$K$18*$C1139+PM_Angle!$L$18*$B1139</f>
      </c>
      <c r="AG1139" s="12">
        <f>IF(AF1139&gt;0,IF(AF1139&lt;=eco,alpha*fck*(1-(1-AF1139/eco)^n),alpha*fck),0)</f>
      </c>
      <c r="AH1139" s="30">
        <f>PM_Angle!$J$19+PM_Angle!$K$19*$C1139+PM_Angle!$L$19*$B1139</f>
      </c>
      <c r="AI1139" s="12">
        <f>IF(AH1139&gt;0,IF(AH1139&lt;=eco,alpha*fck*(1-(1-AH1139/eco)^n),alpha*fck),0)</f>
      </c>
      <c r="AJ1139" s="30">
        <f>PM_Angle!$J$20+PM_Angle!$K$20*$C1139+PM_Angle!$L$20*$B1139</f>
      </c>
      <c r="AK1139" s="12">
        <f>IF(AJ1139&gt;0,IF(AJ1139&lt;=eco,alpha*fck*(1-(1-AJ1139/eco)^n),alpha*fck),0)</f>
      </c>
      <c r="AL1139" s="30">
        <f>PM_Angle!$J$21+PM_Angle!$K$21*$C1139+PM_Angle!$L$21*$B1139</f>
      </c>
      <c r="AM1139" s="12">
        <f>IF(AL1139&gt;0,IF(AL1139&lt;=eco,alpha*fck*(1-(1-AL1139/eco)^n),alpha*fck),0)</f>
      </c>
      <c r="AN1139" s="30">
        <f>PM_Angle!$J$22+PM_Angle!$K$22*$C1139+PM_Angle!$L$22*$B1139</f>
      </c>
      <c r="AO1139" s="12">
        <f>IF(AN1139&gt;0,IF(AN1139&lt;=eco,alpha*fck*(1-(1-AN1139/eco)^n),alpha*fck),0)</f>
      </c>
      <c r="AP1139" s="30">
        <f>PM_Angle!$J$23+PM_Angle!$K$23*$C1139+PM_Angle!$L$23*$B1139</f>
      </c>
      <c r="AQ1139" s="12">
        <f>IF(AP1139&gt;0,IF(AP1139&lt;=eco,alpha*fck*(1-(1-AP1139/eco)^n),alpha*fck),0)</f>
      </c>
      <c r="AR1139" s="30">
        <f>PM_Angle!$J$24+PM_Angle!$K$24*$C1139+PM_Angle!$L$24*$B1139</f>
      </c>
      <c r="AS1139" s="12">
        <f>IF(AR1139&gt;0,IF(AR1139&lt;=eco,alpha*fck*(1-(1-AR1139/eco)^n),alpha*fck),0)</f>
      </c>
      <c r="AT1139" s="30">
        <f>PM_Angle!$J$25+PM_Angle!$K$25*$C1139+PM_Angle!$L$25*$B1139</f>
      </c>
      <c r="AU1139" s="12">
        <f>IF(AT1139&gt;0,IF(AT1139&lt;=eco,alpha*fck*(1-(1-AT1139/eco)^n),alpha*fck),0)</f>
      </c>
    </row>
    <row r="1140" spans="1:47" x14ac:dyDescent="0.25">
      <c r="A1140">
        <f>Mesh!A1137</f>
      </c>
      <c r="B1140" s="12">
        <f>Mesh!B1137</f>
      </c>
      <c r="C1140" s="12">
        <f>Mesh!C1137</f>
      </c>
      <c r="D1140" s="12">
        <f>Mesh!D1137</f>
      </c>
      <c r="E1140" s="30">
        <f>INDEX(St_e0,Det+1)+INDEX(St_kx,Det+1)*C1140+INDEX(St_ky,Det+1)*B1140</f>
      </c>
      <c r="F1140" s="12">
        <f>IF(E1140&gt;0,IF(E1140&lt;=eco,alpha*fck*(1-(1-E1140/eco)^n),alpha*fck),0)</f>
      </c>
      <c r="G1140" s="11">
        <f>F1140*D1140</f>
      </c>
      <c r="H1140" s="11">
        <f>G1140*C1140</f>
      </c>
      <c r="I1140" s="11">
        <f>G1140*B1140</f>
      </c>
      <c r="J1140" s="30">
        <f>PM_Angle!$J$7+PM_Angle!$K$7*$C1140+PM_Angle!$L$7*$B1140</f>
      </c>
      <c r="K1140" s="12">
        <f>IF(J1140&gt;0,IF(J1140&lt;=eco,alpha*fck*(1-(1-J1140/eco)^n),alpha*fck),0)</f>
      </c>
      <c r="L1140" s="30">
        <f>PM_Angle!$J$8+PM_Angle!$K$8*$C1140+PM_Angle!$L$8*$B1140</f>
      </c>
      <c r="M1140" s="12">
        <f>IF(L1140&gt;0,IF(L1140&lt;=eco,alpha*fck*(1-(1-L1140/eco)^n),alpha*fck),0)</f>
      </c>
      <c r="N1140" s="30">
        <f>PM_Angle!$J$9+PM_Angle!$K$9*$C1140+PM_Angle!$L$9*$B1140</f>
      </c>
      <c r="O1140" s="12">
        <f>IF(N1140&gt;0,IF(N1140&lt;=eco,alpha*fck*(1-(1-N1140/eco)^n),alpha*fck),0)</f>
      </c>
      <c r="P1140" s="30">
        <f>PM_Angle!$J$10+PM_Angle!$K$10*$C1140+PM_Angle!$L$10*$B1140</f>
      </c>
      <c r="Q1140" s="12">
        <f>IF(P1140&gt;0,IF(P1140&lt;=eco,alpha*fck*(1-(1-P1140/eco)^n),alpha*fck),0)</f>
      </c>
      <c r="R1140" s="30">
        <f>PM_Angle!$J$11+PM_Angle!$K$11*$C1140+PM_Angle!$L$11*$B1140</f>
      </c>
      <c r="S1140" s="12">
        <f>IF(R1140&gt;0,IF(R1140&lt;=eco,alpha*fck*(1-(1-R1140/eco)^n),alpha*fck),0)</f>
      </c>
      <c r="T1140" s="30">
        <f>PM_Angle!$J$12+PM_Angle!$K$12*$C1140+PM_Angle!$L$12*$B1140</f>
      </c>
      <c r="U1140" s="12">
        <f>IF(T1140&gt;0,IF(T1140&lt;=eco,alpha*fck*(1-(1-T1140/eco)^n),alpha*fck),0)</f>
      </c>
      <c r="V1140" s="30">
        <f>PM_Angle!$J$13+PM_Angle!$K$13*$C1140+PM_Angle!$L$13*$B1140</f>
      </c>
      <c r="W1140" s="12">
        <f>IF(V1140&gt;0,IF(V1140&lt;=eco,alpha*fck*(1-(1-V1140/eco)^n),alpha*fck),0)</f>
      </c>
      <c r="X1140" s="30">
        <f>PM_Angle!$J$14+PM_Angle!$K$14*$C1140+PM_Angle!$L$14*$B1140</f>
      </c>
      <c r="Y1140" s="12">
        <f>IF(X1140&gt;0,IF(X1140&lt;=eco,alpha*fck*(1-(1-X1140/eco)^n),alpha*fck),0)</f>
      </c>
      <c r="Z1140" s="30">
        <f>PM_Angle!$J$15+PM_Angle!$K$15*$C1140+PM_Angle!$L$15*$B1140</f>
      </c>
      <c r="AA1140" s="12">
        <f>IF(Z1140&gt;0,IF(Z1140&lt;=eco,alpha*fck*(1-(1-Z1140/eco)^n),alpha*fck),0)</f>
      </c>
      <c r="AB1140" s="30">
        <f>PM_Angle!$J$16+PM_Angle!$K$16*$C1140+PM_Angle!$L$16*$B1140</f>
      </c>
      <c r="AC1140" s="12">
        <f>IF(AB1140&gt;0,IF(AB1140&lt;=eco,alpha*fck*(1-(1-AB1140/eco)^n),alpha*fck),0)</f>
      </c>
      <c r="AD1140" s="30">
        <f>PM_Angle!$J$17+PM_Angle!$K$17*$C1140+PM_Angle!$L$17*$B1140</f>
      </c>
      <c r="AE1140" s="12">
        <f>IF(AD1140&gt;0,IF(AD1140&lt;=eco,alpha*fck*(1-(1-AD1140/eco)^n),alpha*fck),0)</f>
      </c>
      <c r="AF1140" s="30">
        <f>PM_Angle!$J$18+PM_Angle!$K$18*$C1140+PM_Angle!$L$18*$B1140</f>
      </c>
      <c r="AG1140" s="12">
        <f>IF(AF1140&gt;0,IF(AF1140&lt;=eco,alpha*fck*(1-(1-AF1140/eco)^n),alpha*fck),0)</f>
      </c>
      <c r="AH1140" s="30">
        <f>PM_Angle!$J$19+PM_Angle!$K$19*$C1140+PM_Angle!$L$19*$B1140</f>
      </c>
      <c r="AI1140" s="12">
        <f>IF(AH1140&gt;0,IF(AH1140&lt;=eco,alpha*fck*(1-(1-AH1140/eco)^n),alpha*fck),0)</f>
      </c>
      <c r="AJ1140" s="30">
        <f>PM_Angle!$J$20+PM_Angle!$K$20*$C1140+PM_Angle!$L$20*$B1140</f>
      </c>
      <c r="AK1140" s="12">
        <f>IF(AJ1140&gt;0,IF(AJ1140&lt;=eco,alpha*fck*(1-(1-AJ1140/eco)^n),alpha*fck),0)</f>
      </c>
      <c r="AL1140" s="30">
        <f>PM_Angle!$J$21+PM_Angle!$K$21*$C1140+PM_Angle!$L$21*$B1140</f>
      </c>
      <c r="AM1140" s="12">
        <f>IF(AL1140&gt;0,IF(AL1140&lt;=eco,alpha*fck*(1-(1-AL1140/eco)^n),alpha*fck),0)</f>
      </c>
      <c r="AN1140" s="30">
        <f>PM_Angle!$J$22+PM_Angle!$K$22*$C1140+PM_Angle!$L$22*$B1140</f>
      </c>
      <c r="AO1140" s="12">
        <f>IF(AN1140&gt;0,IF(AN1140&lt;=eco,alpha*fck*(1-(1-AN1140/eco)^n),alpha*fck),0)</f>
      </c>
      <c r="AP1140" s="30">
        <f>PM_Angle!$J$23+PM_Angle!$K$23*$C1140+PM_Angle!$L$23*$B1140</f>
      </c>
      <c r="AQ1140" s="12">
        <f>IF(AP1140&gt;0,IF(AP1140&lt;=eco,alpha*fck*(1-(1-AP1140/eco)^n),alpha*fck),0)</f>
      </c>
      <c r="AR1140" s="30">
        <f>PM_Angle!$J$24+PM_Angle!$K$24*$C1140+PM_Angle!$L$24*$B1140</f>
      </c>
      <c r="AS1140" s="12">
        <f>IF(AR1140&gt;0,IF(AR1140&lt;=eco,alpha*fck*(1-(1-AR1140/eco)^n),alpha*fck),0)</f>
      </c>
      <c r="AT1140" s="30">
        <f>PM_Angle!$J$25+PM_Angle!$K$25*$C1140+PM_Angle!$L$25*$B1140</f>
      </c>
      <c r="AU1140" s="12">
        <f>IF(AT1140&gt;0,IF(AT1140&lt;=eco,alpha*fck*(1-(1-AT1140/eco)^n),alpha*fck),0)</f>
      </c>
    </row>
    <row r="1141" spans="1:47" x14ac:dyDescent="0.25">
      <c r="A1141">
        <f>Mesh!A1138</f>
      </c>
      <c r="B1141" s="12">
        <f>Mesh!B1138</f>
      </c>
      <c r="C1141" s="12">
        <f>Mesh!C1138</f>
      </c>
      <c r="D1141" s="12">
        <f>Mesh!D1138</f>
      </c>
      <c r="E1141" s="30">
        <f>INDEX(St_e0,Det+1)+INDEX(St_kx,Det+1)*C1141+INDEX(St_ky,Det+1)*B1141</f>
      </c>
      <c r="F1141" s="12">
        <f>IF(E1141&gt;0,IF(E1141&lt;=eco,alpha*fck*(1-(1-E1141/eco)^n),alpha*fck),0)</f>
      </c>
      <c r="G1141" s="11">
        <f>F1141*D1141</f>
      </c>
      <c r="H1141" s="11">
        <f>G1141*C1141</f>
      </c>
      <c r="I1141" s="11">
        <f>G1141*B1141</f>
      </c>
      <c r="J1141" s="30">
        <f>PM_Angle!$J$7+PM_Angle!$K$7*$C1141+PM_Angle!$L$7*$B1141</f>
      </c>
      <c r="K1141" s="12">
        <f>IF(J1141&gt;0,IF(J1141&lt;=eco,alpha*fck*(1-(1-J1141/eco)^n),alpha*fck),0)</f>
      </c>
      <c r="L1141" s="30">
        <f>PM_Angle!$J$8+PM_Angle!$K$8*$C1141+PM_Angle!$L$8*$B1141</f>
      </c>
      <c r="M1141" s="12">
        <f>IF(L1141&gt;0,IF(L1141&lt;=eco,alpha*fck*(1-(1-L1141/eco)^n),alpha*fck),0)</f>
      </c>
      <c r="N1141" s="30">
        <f>PM_Angle!$J$9+PM_Angle!$K$9*$C1141+PM_Angle!$L$9*$B1141</f>
      </c>
      <c r="O1141" s="12">
        <f>IF(N1141&gt;0,IF(N1141&lt;=eco,alpha*fck*(1-(1-N1141/eco)^n),alpha*fck),0)</f>
      </c>
      <c r="P1141" s="30">
        <f>PM_Angle!$J$10+PM_Angle!$K$10*$C1141+PM_Angle!$L$10*$B1141</f>
      </c>
      <c r="Q1141" s="12">
        <f>IF(P1141&gt;0,IF(P1141&lt;=eco,alpha*fck*(1-(1-P1141/eco)^n),alpha*fck),0)</f>
      </c>
      <c r="R1141" s="30">
        <f>PM_Angle!$J$11+PM_Angle!$K$11*$C1141+PM_Angle!$L$11*$B1141</f>
      </c>
      <c r="S1141" s="12">
        <f>IF(R1141&gt;0,IF(R1141&lt;=eco,alpha*fck*(1-(1-R1141/eco)^n),alpha*fck),0)</f>
      </c>
      <c r="T1141" s="30">
        <f>PM_Angle!$J$12+PM_Angle!$K$12*$C1141+PM_Angle!$L$12*$B1141</f>
      </c>
      <c r="U1141" s="12">
        <f>IF(T1141&gt;0,IF(T1141&lt;=eco,alpha*fck*(1-(1-T1141/eco)^n),alpha*fck),0)</f>
      </c>
      <c r="V1141" s="30">
        <f>PM_Angle!$J$13+PM_Angle!$K$13*$C1141+PM_Angle!$L$13*$B1141</f>
      </c>
      <c r="W1141" s="12">
        <f>IF(V1141&gt;0,IF(V1141&lt;=eco,alpha*fck*(1-(1-V1141/eco)^n),alpha*fck),0)</f>
      </c>
      <c r="X1141" s="30">
        <f>PM_Angle!$J$14+PM_Angle!$K$14*$C1141+PM_Angle!$L$14*$B1141</f>
      </c>
      <c r="Y1141" s="12">
        <f>IF(X1141&gt;0,IF(X1141&lt;=eco,alpha*fck*(1-(1-X1141/eco)^n),alpha*fck),0)</f>
      </c>
      <c r="Z1141" s="30">
        <f>PM_Angle!$J$15+PM_Angle!$K$15*$C1141+PM_Angle!$L$15*$B1141</f>
      </c>
      <c r="AA1141" s="12">
        <f>IF(Z1141&gt;0,IF(Z1141&lt;=eco,alpha*fck*(1-(1-Z1141/eco)^n),alpha*fck),0)</f>
      </c>
      <c r="AB1141" s="30">
        <f>PM_Angle!$J$16+PM_Angle!$K$16*$C1141+PM_Angle!$L$16*$B1141</f>
      </c>
      <c r="AC1141" s="12">
        <f>IF(AB1141&gt;0,IF(AB1141&lt;=eco,alpha*fck*(1-(1-AB1141/eco)^n),alpha*fck),0)</f>
      </c>
      <c r="AD1141" s="30">
        <f>PM_Angle!$J$17+PM_Angle!$K$17*$C1141+PM_Angle!$L$17*$B1141</f>
      </c>
      <c r="AE1141" s="12">
        <f>IF(AD1141&gt;0,IF(AD1141&lt;=eco,alpha*fck*(1-(1-AD1141/eco)^n),alpha*fck),0)</f>
      </c>
      <c r="AF1141" s="30">
        <f>PM_Angle!$J$18+PM_Angle!$K$18*$C1141+PM_Angle!$L$18*$B1141</f>
      </c>
      <c r="AG1141" s="12">
        <f>IF(AF1141&gt;0,IF(AF1141&lt;=eco,alpha*fck*(1-(1-AF1141/eco)^n),alpha*fck),0)</f>
      </c>
      <c r="AH1141" s="30">
        <f>PM_Angle!$J$19+PM_Angle!$K$19*$C1141+PM_Angle!$L$19*$B1141</f>
      </c>
      <c r="AI1141" s="12">
        <f>IF(AH1141&gt;0,IF(AH1141&lt;=eco,alpha*fck*(1-(1-AH1141/eco)^n),alpha*fck),0)</f>
      </c>
      <c r="AJ1141" s="30">
        <f>PM_Angle!$J$20+PM_Angle!$K$20*$C1141+PM_Angle!$L$20*$B1141</f>
      </c>
      <c r="AK1141" s="12">
        <f>IF(AJ1141&gt;0,IF(AJ1141&lt;=eco,alpha*fck*(1-(1-AJ1141/eco)^n),alpha*fck),0)</f>
      </c>
      <c r="AL1141" s="30">
        <f>PM_Angle!$J$21+PM_Angle!$K$21*$C1141+PM_Angle!$L$21*$B1141</f>
      </c>
      <c r="AM1141" s="12">
        <f>IF(AL1141&gt;0,IF(AL1141&lt;=eco,alpha*fck*(1-(1-AL1141/eco)^n),alpha*fck),0)</f>
      </c>
      <c r="AN1141" s="30">
        <f>PM_Angle!$J$22+PM_Angle!$K$22*$C1141+PM_Angle!$L$22*$B1141</f>
      </c>
      <c r="AO1141" s="12">
        <f>IF(AN1141&gt;0,IF(AN1141&lt;=eco,alpha*fck*(1-(1-AN1141/eco)^n),alpha*fck),0)</f>
      </c>
      <c r="AP1141" s="30">
        <f>PM_Angle!$J$23+PM_Angle!$K$23*$C1141+PM_Angle!$L$23*$B1141</f>
      </c>
      <c r="AQ1141" s="12">
        <f>IF(AP1141&gt;0,IF(AP1141&lt;=eco,alpha*fck*(1-(1-AP1141/eco)^n),alpha*fck),0)</f>
      </c>
      <c r="AR1141" s="30">
        <f>PM_Angle!$J$24+PM_Angle!$K$24*$C1141+PM_Angle!$L$24*$B1141</f>
      </c>
      <c r="AS1141" s="12">
        <f>IF(AR1141&gt;0,IF(AR1141&lt;=eco,alpha*fck*(1-(1-AR1141/eco)^n),alpha*fck),0)</f>
      </c>
      <c r="AT1141" s="30">
        <f>PM_Angle!$J$25+PM_Angle!$K$25*$C1141+PM_Angle!$L$25*$B1141</f>
      </c>
      <c r="AU1141" s="12">
        <f>IF(AT1141&gt;0,IF(AT1141&lt;=eco,alpha*fck*(1-(1-AT1141/eco)^n),alpha*fck),0)</f>
      </c>
    </row>
    <row r="1142" spans="1:47" x14ac:dyDescent="0.25">
      <c r="A1142">
        <f>Mesh!A1139</f>
      </c>
      <c r="B1142" s="12">
        <f>Mesh!B1139</f>
      </c>
      <c r="C1142" s="12">
        <f>Mesh!C1139</f>
      </c>
      <c r="D1142" s="12">
        <f>Mesh!D1139</f>
      </c>
      <c r="E1142" s="30">
        <f>INDEX(St_e0,Det+1)+INDEX(St_kx,Det+1)*C1142+INDEX(St_ky,Det+1)*B1142</f>
      </c>
      <c r="F1142" s="12">
        <f>IF(E1142&gt;0,IF(E1142&lt;=eco,alpha*fck*(1-(1-E1142/eco)^n),alpha*fck),0)</f>
      </c>
      <c r="G1142" s="11">
        <f>F1142*D1142</f>
      </c>
      <c r="H1142" s="11">
        <f>G1142*C1142</f>
      </c>
      <c r="I1142" s="11">
        <f>G1142*B1142</f>
      </c>
      <c r="J1142" s="30">
        <f>PM_Angle!$J$7+PM_Angle!$K$7*$C1142+PM_Angle!$L$7*$B1142</f>
      </c>
      <c r="K1142" s="12">
        <f>IF(J1142&gt;0,IF(J1142&lt;=eco,alpha*fck*(1-(1-J1142/eco)^n),alpha*fck),0)</f>
      </c>
      <c r="L1142" s="30">
        <f>PM_Angle!$J$8+PM_Angle!$K$8*$C1142+PM_Angle!$L$8*$B1142</f>
      </c>
      <c r="M1142" s="12">
        <f>IF(L1142&gt;0,IF(L1142&lt;=eco,alpha*fck*(1-(1-L1142/eco)^n),alpha*fck),0)</f>
      </c>
      <c r="N1142" s="30">
        <f>PM_Angle!$J$9+PM_Angle!$K$9*$C1142+PM_Angle!$L$9*$B1142</f>
      </c>
      <c r="O1142" s="12">
        <f>IF(N1142&gt;0,IF(N1142&lt;=eco,alpha*fck*(1-(1-N1142/eco)^n),alpha*fck),0)</f>
      </c>
      <c r="P1142" s="30">
        <f>PM_Angle!$J$10+PM_Angle!$K$10*$C1142+PM_Angle!$L$10*$B1142</f>
      </c>
      <c r="Q1142" s="12">
        <f>IF(P1142&gt;0,IF(P1142&lt;=eco,alpha*fck*(1-(1-P1142/eco)^n),alpha*fck),0)</f>
      </c>
      <c r="R1142" s="30">
        <f>PM_Angle!$J$11+PM_Angle!$K$11*$C1142+PM_Angle!$L$11*$B1142</f>
      </c>
      <c r="S1142" s="12">
        <f>IF(R1142&gt;0,IF(R1142&lt;=eco,alpha*fck*(1-(1-R1142/eco)^n),alpha*fck),0)</f>
      </c>
      <c r="T1142" s="30">
        <f>PM_Angle!$J$12+PM_Angle!$K$12*$C1142+PM_Angle!$L$12*$B1142</f>
      </c>
      <c r="U1142" s="12">
        <f>IF(T1142&gt;0,IF(T1142&lt;=eco,alpha*fck*(1-(1-T1142/eco)^n),alpha*fck),0)</f>
      </c>
      <c r="V1142" s="30">
        <f>PM_Angle!$J$13+PM_Angle!$K$13*$C1142+PM_Angle!$L$13*$B1142</f>
      </c>
      <c r="W1142" s="12">
        <f>IF(V1142&gt;0,IF(V1142&lt;=eco,alpha*fck*(1-(1-V1142/eco)^n),alpha*fck),0)</f>
      </c>
      <c r="X1142" s="30">
        <f>PM_Angle!$J$14+PM_Angle!$K$14*$C1142+PM_Angle!$L$14*$B1142</f>
      </c>
      <c r="Y1142" s="12">
        <f>IF(X1142&gt;0,IF(X1142&lt;=eco,alpha*fck*(1-(1-X1142/eco)^n),alpha*fck),0)</f>
      </c>
      <c r="Z1142" s="30">
        <f>PM_Angle!$J$15+PM_Angle!$K$15*$C1142+PM_Angle!$L$15*$B1142</f>
      </c>
      <c r="AA1142" s="12">
        <f>IF(Z1142&gt;0,IF(Z1142&lt;=eco,alpha*fck*(1-(1-Z1142/eco)^n),alpha*fck),0)</f>
      </c>
      <c r="AB1142" s="30">
        <f>PM_Angle!$J$16+PM_Angle!$K$16*$C1142+PM_Angle!$L$16*$B1142</f>
      </c>
      <c r="AC1142" s="12">
        <f>IF(AB1142&gt;0,IF(AB1142&lt;=eco,alpha*fck*(1-(1-AB1142/eco)^n),alpha*fck),0)</f>
      </c>
      <c r="AD1142" s="30">
        <f>PM_Angle!$J$17+PM_Angle!$K$17*$C1142+PM_Angle!$L$17*$B1142</f>
      </c>
      <c r="AE1142" s="12">
        <f>IF(AD1142&gt;0,IF(AD1142&lt;=eco,alpha*fck*(1-(1-AD1142/eco)^n),alpha*fck),0)</f>
      </c>
      <c r="AF1142" s="30">
        <f>PM_Angle!$J$18+PM_Angle!$K$18*$C1142+PM_Angle!$L$18*$B1142</f>
      </c>
      <c r="AG1142" s="12">
        <f>IF(AF1142&gt;0,IF(AF1142&lt;=eco,alpha*fck*(1-(1-AF1142/eco)^n),alpha*fck),0)</f>
      </c>
      <c r="AH1142" s="30">
        <f>PM_Angle!$J$19+PM_Angle!$K$19*$C1142+PM_Angle!$L$19*$B1142</f>
      </c>
      <c r="AI1142" s="12">
        <f>IF(AH1142&gt;0,IF(AH1142&lt;=eco,alpha*fck*(1-(1-AH1142/eco)^n),alpha*fck),0)</f>
      </c>
      <c r="AJ1142" s="30">
        <f>PM_Angle!$J$20+PM_Angle!$K$20*$C1142+PM_Angle!$L$20*$B1142</f>
      </c>
      <c r="AK1142" s="12">
        <f>IF(AJ1142&gt;0,IF(AJ1142&lt;=eco,alpha*fck*(1-(1-AJ1142/eco)^n),alpha*fck),0)</f>
      </c>
      <c r="AL1142" s="30">
        <f>PM_Angle!$J$21+PM_Angle!$K$21*$C1142+PM_Angle!$L$21*$B1142</f>
      </c>
      <c r="AM1142" s="12">
        <f>IF(AL1142&gt;0,IF(AL1142&lt;=eco,alpha*fck*(1-(1-AL1142/eco)^n),alpha*fck),0)</f>
      </c>
      <c r="AN1142" s="30">
        <f>PM_Angle!$J$22+PM_Angle!$K$22*$C1142+PM_Angle!$L$22*$B1142</f>
      </c>
      <c r="AO1142" s="12">
        <f>IF(AN1142&gt;0,IF(AN1142&lt;=eco,alpha*fck*(1-(1-AN1142/eco)^n),alpha*fck),0)</f>
      </c>
      <c r="AP1142" s="30">
        <f>PM_Angle!$J$23+PM_Angle!$K$23*$C1142+PM_Angle!$L$23*$B1142</f>
      </c>
      <c r="AQ1142" s="12">
        <f>IF(AP1142&gt;0,IF(AP1142&lt;=eco,alpha*fck*(1-(1-AP1142/eco)^n),alpha*fck),0)</f>
      </c>
      <c r="AR1142" s="30">
        <f>PM_Angle!$J$24+PM_Angle!$K$24*$C1142+PM_Angle!$L$24*$B1142</f>
      </c>
      <c r="AS1142" s="12">
        <f>IF(AR1142&gt;0,IF(AR1142&lt;=eco,alpha*fck*(1-(1-AR1142/eco)^n),alpha*fck),0)</f>
      </c>
      <c r="AT1142" s="30">
        <f>PM_Angle!$J$25+PM_Angle!$K$25*$C1142+PM_Angle!$L$25*$B1142</f>
      </c>
      <c r="AU1142" s="12">
        <f>IF(AT1142&gt;0,IF(AT1142&lt;=eco,alpha*fck*(1-(1-AT1142/eco)^n),alpha*fck),0)</f>
      </c>
    </row>
    <row r="1143" spans="1:47" x14ac:dyDescent="0.25">
      <c r="A1143">
        <f>Mesh!A1140</f>
      </c>
      <c r="B1143" s="12">
        <f>Mesh!B1140</f>
      </c>
      <c r="C1143" s="12">
        <f>Mesh!C1140</f>
      </c>
      <c r="D1143" s="12">
        <f>Mesh!D1140</f>
      </c>
      <c r="E1143" s="30">
        <f>INDEX(St_e0,Det+1)+INDEX(St_kx,Det+1)*C1143+INDEX(St_ky,Det+1)*B1143</f>
      </c>
      <c r="F1143" s="12">
        <f>IF(E1143&gt;0,IF(E1143&lt;=eco,alpha*fck*(1-(1-E1143/eco)^n),alpha*fck),0)</f>
      </c>
      <c r="G1143" s="11">
        <f>F1143*D1143</f>
      </c>
      <c r="H1143" s="11">
        <f>G1143*C1143</f>
      </c>
      <c r="I1143" s="11">
        <f>G1143*B1143</f>
      </c>
      <c r="J1143" s="30">
        <f>PM_Angle!$J$7+PM_Angle!$K$7*$C1143+PM_Angle!$L$7*$B1143</f>
      </c>
      <c r="K1143" s="12">
        <f>IF(J1143&gt;0,IF(J1143&lt;=eco,alpha*fck*(1-(1-J1143/eco)^n),alpha*fck),0)</f>
      </c>
      <c r="L1143" s="30">
        <f>PM_Angle!$J$8+PM_Angle!$K$8*$C1143+PM_Angle!$L$8*$B1143</f>
      </c>
      <c r="M1143" s="12">
        <f>IF(L1143&gt;0,IF(L1143&lt;=eco,alpha*fck*(1-(1-L1143/eco)^n),alpha*fck),0)</f>
      </c>
      <c r="N1143" s="30">
        <f>PM_Angle!$J$9+PM_Angle!$K$9*$C1143+PM_Angle!$L$9*$B1143</f>
      </c>
      <c r="O1143" s="12">
        <f>IF(N1143&gt;0,IF(N1143&lt;=eco,alpha*fck*(1-(1-N1143/eco)^n),alpha*fck),0)</f>
      </c>
      <c r="P1143" s="30">
        <f>PM_Angle!$J$10+PM_Angle!$K$10*$C1143+PM_Angle!$L$10*$B1143</f>
      </c>
      <c r="Q1143" s="12">
        <f>IF(P1143&gt;0,IF(P1143&lt;=eco,alpha*fck*(1-(1-P1143/eco)^n),alpha*fck),0)</f>
      </c>
      <c r="R1143" s="30">
        <f>PM_Angle!$J$11+PM_Angle!$K$11*$C1143+PM_Angle!$L$11*$B1143</f>
      </c>
      <c r="S1143" s="12">
        <f>IF(R1143&gt;0,IF(R1143&lt;=eco,alpha*fck*(1-(1-R1143/eco)^n),alpha*fck),0)</f>
      </c>
      <c r="T1143" s="30">
        <f>PM_Angle!$J$12+PM_Angle!$K$12*$C1143+PM_Angle!$L$12*$B1143</f>
      </c>
      <c r="U1143" s="12">
        <f>IF(T1143&gt;0,IF(T1143&lt;=eco,alpha*fck*(1-(1-T1143/eco)^n),alpha*fck),0)</f>
      </c>
      <c r="V1143" s="30">
        <f>PM_Angle!$J$13+PM_Angle!$K$13*$C1143+PM_Angle!$L$13*$B1143</f>
      </c>
      <c r="W1143" s="12">
        <f>IF(V1143&gt;0,IF(V1143&lt;=eco,alpha*fck*(1-(1-V1143/eco)^n),alpha*fck),0)</f>
      </c>
      <c r="X1143" s="30">
        <f>PM_Angle!$J$14+PM_Angle!$K$14*$C1143+PM_Angle!$L$14*$B1143</f>
      </c>
      <c r="Y1143" s="12">
        <f>IF(X1143&gt;0,IF(X1143&lt;=eco,alpha*fck*(1-(1-X1143/eco)^n),alpha*fck),0)</f>
      </c>
      <c r="Z1143" s="30">
        <f>PM_Angle!$J$15+PM_Angle!$K$15*$C1143+PM_Angle!$L$15*$B1143</f>
      </c>
      <c r="AA1143" s="12">
        <f>IF(Z1143&gt;0,IF(Z1143&lt;=eco,alpha*fck*(1-(1-Z1143/eco)^n),alpha*fck),0)</f>
      </c>
      <c r="AB1143" s="30">
        <f>PM_Angle!$J$16+PM_Angle!$K$16*$C1143+PM_Angle!$L$16*$B1143</f>
      </c>
      <c r="AC1143" s="12">
        <f>IF(AB1143&gt;0,IF(AB1143&lt;=eco,alpha*fck*(1-(1-AB1143/eco)^n),alpha*fck),0)</f>
      </c>
      <c r="AD1143" s="30">
        <f>PM_Angle!$J$17+PM_Angle!$K$17*$C1143+PM_Angle!$L$17*$B1143</f>
      </c>
      <c r="AE1143" s="12">
        <f>IF(AD1143&gt;0,IF(AD1143&lt;=eco,alpha*fck*(1-(1-AD1143/eco)^n),alpha*fck),0)</f>
      </c>
      <c r="AF1143" s="30">
        <f>PM_Angle!$J$18+PM_Angle!$K$18*$C1143+PM_Angle!$L$18*$B1143</f>
      </c>
      <c r="AG1143" s="12">
        <f>IF(AF1143&gt;0,IF(AF1143&lt;=eco,alpha*fck*(1-(1-AF1143/eco)^n),alpha*fck),0)</f>
      </c>
      <c r="AH1143" s="30">
        <f>PM_Angle!$J$19+PM_Angle!$K$19*$C1143+PM_Angle!$L$19*$B1143</f>
      </c>
      <c r="AI1143" s="12">
        <f>IF(AH1143&gt;0,IF(AH1143&lt;=eco,alpha*fck*(1-(1-AH1143/eco)^n),alpha*fck),0)</f>
      </c>
      <c r="AJ1143" s="30">
        <f>PM_Angle!$J$20+PM_Angle!$K$20*$C1143+PM_Angle!$L$20*$B1143</f>
      </c>
      <c r="AK1143" s="12">
        <f>IF(AJ1143&gt;0,IF(AJ1143&lt;=eco,alpha*fck*(1-(1-AJ1143/eco)^n),alpha*fck),0)</f>
      </c>
      <c r="AL1143" s="30">
        <f>PM_Angle!$J$21+PM_Angle!$K$21*$C1143+PM_Angle!$L$21*$B1143</f>
      </c>
      <c r="AM1143" s="12">
        <f>IF(AL1143&gt;0,IF(AL1143&lt;=eco,alpha*fck*(1-(1-AL1143/eco)^n),alpha*fck),0)</f>
      </c>
      <c r="AN1143" s="30">
        <f>PM_Angle!$J$22+PM_Angle!$K$22*$C1143+PM_Angle!$L$22*$B1143</f>
      </c>
      <c r="AO1143" s="12">
        <f>IF(AN1143&gt;0,IF(AN1143&lt;=eco,alpha*fck*(1-(1-AN1143/eco)^n),alpha*fck),0)</f>
      </c>
      <c r="AP1143" s="30">
        <f>PM_Angle!$J$23+PM_Angle!$K$23*$C1143+PM_Angle!$L$23*$B1143</f>
      </c>
      <c r="AQ1143" s="12">
        <f>IF(AP1143&gt;0,IF(AP1143&lt;=eco,alpha*fck*(1-(1-AP1143/eco)^n),alpha*fck),0)</f>
      </c>
      <c r="AR1143" s="30">
        <f>PM_Angle!$J$24+PM_Angle!$K$24*$C1143+PM_Angle!$L$24*$B1143</f>
      </c>
      <c r="AS1143" s="12">
        <f>IF(AR1143&gt;0,IF(AR1143&lt;=eco,alpha*fck*(1-(1-AR1143/eco)^n),alpha*fck),0)</f>
      </c>
      <c r="AT1143" s="30">
        <f>PM_Angle!$J$25+PM_Angle!$K$25*$C1143+PM_Angle!$L$25*$B1143</f>
      </c>
      <c r="AU1143" s="12">
        <f>IF(AT1143&gt;0,IF(AT1143&lt;=eco,alpha*fck*(1-(1-AT1143/eco)^n),alpha*fck),0)</f>
      </c>
    </row>
    <row r="1144" spans="1:47" x14ac:dyDescent="0.25">
      <c r="A1144">
        <f>Mesh!A1141</f>
      </c>
      <c r="B1144" s="12">
        <f>Mesh!B1141</f>
      </c>
      <c r="C1144" s="12">
        <f>Mesh!C1141</f>
      </c>
      <c r="D1144" s="12">
        <f>Mesh!D1141</f>
      </c>
      <c r="E1144" s="30">
        <f>INDEX(St_e0,Det+1)+INDEX(St_kx,Det+1)*C1144+INDEX(St_ky,Det+1)*B1144</f>
      </c>
      <c r="F1144" s="12">
        <f>IF(E1144&gt;0,IF(E1144&lt;=eco,alpha*fck*(1-(1-E1144/eco)^n),alpha*fck),0)</f>
      </c>
      <c r="G1144" s="11">
        <f>F1144*D1144</f>
      </c>
      <c r="H1144" s="11">
        <f>G1144*C1144</f>
      </c>
      <c r="I1144" s="11">
        <f>G1144*B1144</f>
      </c>
      <c r="J1144" s="30">
        <f>PM_Angle!$J$7+PM_Angle!$K$7*$C1144+PM_Angle!$L$7*$B1144</f>
      </c>
      <c r="K1144" s="12">
        <f>IF(J1144&gt;0,IF(J1144&lt;=eco,alpha*fck*(1-(1-J1144/eco)^n),alpha*fck),0)</f>
      </c>
      <c r="L1144" s="30">
        <f>PM_Angle!$J$8+PM_Angle!$K$8*$C1144+PM_Angle!$L$8*$B1144</f>
      </c>
      <c r="M1144" s="12">
        <f>IF(L1144&gt;0,IF(L1144&lt;=eco,alpha*fck*(1-(1-L1144/eco)^n),alpha*fck),0)</f>
      </c>
      <c r="N1144" s="30">
        <f>PM_Angle!$J$9+PM_Angle!$K$9*$C1144+PM_Angle!$L$9*$B1144</f>
      </c>
      <c r="O1144" s="12">
        <f>IF(N1144&gt;0,IF(N1144&lt;=eco,alpha*fck*(1-(1-N1144/eco)^n),alpha*fck),0)</f>
      </c>
      <c r="P1144" s="30">
        <f>PM_Angle!$J$10+PM_Angle!$K$10*$C1144+PM_Angle!$L$10*$B1144</f>
      </c>
      <c r="Q1144" s="12">
        <f>IF(P1144&gt;0,IF(P1144&lt;=eco,alpha*fck*(1-(1-P1144/eco)^n),alpha*fck),0)</f>
      </c>
      <c r="R1144" s="30">
        <f>PM_Angle!$J$11+PM_Angle!$K$11*$C1144+PM_Angle!$L$11*$B1144</f>
      </c>
      <c r="S1144" s="12">
        <f>IF(R1144&gt;0,IF(R1144&lt;=eco,alpha*fck*(1-(1-R1144/eco)^n),alpha*fck),0)</f>
      </c>
      <c r="T1144" s="30">
        <f>PM_Angle!$J$12+PM_Angle!$K$12*$C1144+PM_Angle!$L$12*$B1144</f>
      </c>
      <c r="U1144" s="12">
        <f>IF(T1144&gt;0,IF(T1144&lt;=eco,alpha*fck*(1-(1-T1144/eco)^n),alpha*fck),0)</f>
      </c>
      <c r="V1144" s="30">
        <f>PM_Angle!$J$13+PM_Angle!$K$13*$C1144+PM_Angle!$L$13*$B1144</f>
      </c>
      <c r="W1144" s="12">
        <f>IF(V1144&gt;0,IF(V1144&lt;=eco,alpha*fck*(1-(1-V1144/eco)^n),alpha*fck),0)</f>
      </c>
      <c r="X1144" s="30">
        <f>PM_Angle!$J$14+PM_Angle!$K$14*$C1144+PM_Angle!$L$14*$B1144</f>
      </c>
      <c r="Y1144" s="12">
        <f>IF(X1144&gt;0,IF(X1144&lt;=eco,alpha*fck*(1-(1-X1144/eco)^n),alpha*fck),0)</f>
      </c>
      <c r="Z1144" s="30">
        <f>PM_Angle!$J$15+PM_Angle!$K$15*$C1144+PM_Angle!$L$15*$B1144</f>
      </c>
      <c r="AA1144" s="12">
        <f>IF(Z1144&gt;0,IF(Z1144&lt;=eco,alpha*fck*(1-(1-Z1144/eco)^n),alpha*fck),0)</f>
      </c>
      <c r="AB1144" s="30">
        <f>PM_Angle!$J$16+PM_Angle!$K$16*$C1144+PM_Angle!$L$16*$B1144</f>
      </c>
      <c r="AC1144" s="12">
        <f>IF(AB1144&gt;0,IF(AB1144&lt;=eco,alpha*fck*(1-(1-AB1144/eco)^n),alpha*fck),0)</f>
      </c>
      <c r="AD1144" s="30">
        <f>PM_Angle!$J$17+PM_Angle!$K$17*$C1144+PM_Angle!$L$17*$B1144</f>
      </c>
      <c r="AE1144" s="12">
        <f>IF(AD1144&gt;0,IF(AD1144&lt;=eco,alpha*fck*(1-(1-AD1144/eco)^n),alpha*fck),0)</f>
      </c>
      <c r="AF1144" s="30">
        <f>PM_Angle!$J$18+PM_Angle!$K$18*$C1144+PM_Angle!$L$18*$B1144</f>
      </c>
      <c r="AG1144" s="12">
        <f>IF(AF1144&gt;0,IF(AF1144&lt;=eco,alpha*fck*(1-(1-AF1144/eco)^n),alpha*fck),0)</f>
      </c>
      <c r="AH1144" s="30">
        <f>PM_Angle!$J$19+PM_Angle!$K$19*$C1144+PM_Angle!$L$19*$B1144</f>
      </c>
      <c r="AI1144" s="12">
        <f>IF(AH1144&gt;0,IF(AH1144&lt;=eco,alpha*fck*(1-(1-AH1144/eco)^n),alpha*fck),0)</f>
      </c>
      <c r="AJ1144" s="30">
        <f>PM_Angle!$J$20+PM_Angle!$K$20*$C1144+PM_Angle!$L$20*$B1144</f>
      </c>
      <c r="AK1144" s="12">
        <f>IF(AJ1144&gt;0,IF(AJ1144&lt;=eco,alpha*fck*(1-(1-AJ1144/eco)^n),alpha*fck),0)</f>
      </c>
      <c r="AL1144" s="30">
        <f>PM_Angle!$J$21+PM_Angle!$K$21*$C1144+PM_Angle!$L$21*$B1144</f>
      </c>
      <c r="AM1144" s="12">
        <f>IF(AL1144&gt;0,IF(AL1144&lt;=eco,alpha*fck*(1-(1-AL1144/eco)^n),alpha*fck),0)</f>
      </c>
      <c r="AN1144" s="30">
        <f>PM_Angle!$J$22+PM_Angle!$K$22*$C1144+PM_Angle!$L$22*$B1144</f>
      </c>
      <c r="AO1144" s="12">
        <f>IF(AN1144&gt;0,IF(AN1144&lt;=eco,alpha*fck*(1-(1-AN1144/eco)^n),alpha*fck),0)</f>
      </c>
      <c r="AP1144" s="30">
        <f>PM_Angle!$J$23+PM_Angle!$K$23*$C1144+PM_Angle!$L$23*$B1144</f>
      </c>
      <c r="AQ1144" s="12">
        <f>IF(AP1144&gt;0,IF(AP1144&lt;=eco,alpha*fck*(1-(1-AP1144/eco)^n),alpha*fck),0)</f>
      </c>
      <c r="AR1144" s="30">
        <f>PM_Angle!$J$24+PM_Angle!$K$24*$C1144+PM_Angle!$L$24*$B1144</f>
      </c>
      <c r="AS1144" s="12">
        <f>IF(AR1144&gt;0,IF(AR1144&lt;=eco,alpha*fck*(1-(1-AR1144/eco)^n),alpha*fck),0)</f>
      </c>
      <c r="AT1144" s="30">
        <f>PM_Angle!$J$25+PM_Angle!$K$25*$C1144+PM_Angle!$L$25*$B1144</f>
      </c>
      <c r="AU1144" s="12">
        <f>IF(AT1144&gt;0,IF(AT1144&lt;=eco,alpha*fck*(1-(1-AT1144/eco)^n),alpha*fck),0)</f>
      </c>
    </row>
    <row r="1145" spans="1:47" x14ac:dyDescent="0.25">
      <c r="A1145">
        <f>Mesh!A1142</f>
      </c>
      <c r="B1145" s="12">
        <f>Mesh!B1142</f>
      </c>
      <c r="C1145" s="12">
        <f>Mesh!C1142</f>
      </c>
      <c r="D1145" s="12">
        <f>Mesh!D1142</f>
      </c>
      <c r="E1145" s="30">
        <f>INDEX(St_e0,Det+1)+INDEX(St_kx,Det+1)*C1145+INDEX(St_ky,Det+1)*B1145</f>
      </c>
      <c r="F1145" s="12">
        <f>IF(E1145&gt;0,IF(E1145&lt;=eco,alpha*fck*(1-(1-E1145/eco)^n),alpha*fck),0)</f>
      </c>
      <c r="G1145" s="11">
        <f>F1145*D1145</f>
      </c>
      <c r="H1145" s="11">
        <f>G1145*C1145</f>
      </c>
      <c r="I1145" s="11">
        <f>G1145*B1145</f>
      </c>
      <c r="J1145" s="30">
        <f>PM_Angle!$J$7+PM_Angle!$K$7*$C1145+PM_Angle!$L$7*$B1145</f>
      </c>
      <c r="K1145" s="12">
        <f>IF(J1145&gt;0,IF(J1145&lt;=eco,alpha*fck*(1-(1-J1145/eco)^n),alpha*fck),0)</f>
      </c>
      <c r="L1145" s="30">
        <f>PM_Angle!$J$8+PM_Angle!$K$8*$C1145+PM_Angle!$L$8*$B1145</f>
      </c>
      <c r="M1145" s="12">
        <f>IF(L1145&gt;0,IF(L1145&lt;=eco,alpha*fck*(1-(1-L1145/eco)^n),alpha*fck),0)</f>
      </c>
      <c r="N1145" s="30">
        <f>PM_Angle!$J$9+PM_Angle!$K$9*$C1145+PM_Angle!$L$9*$B1145</f>
      </c>
      <c r="O1145" s="12">
        <f>IF(N1145&gt;0,IF(N1145&lt;=eco,alpha*fck*(1-(1-N1145/eco)^n),alpha*fck),0)</f>
      </c>
      <c r="P1145" s="30">
        <f>PM_Angle!$J$10+PM_Angle!$K$10*$C1145+PM_Angle!$L$10*$B1145</f>
      </c>
      <c r="Q1145" s="12">
        <f>IF(P1145&gt;0,IF(P1145&lt;=eco,alpha*fck*(1-(1-P1145/eco)^n),alpha*fck),0)</f>
      </c>
      <c r="R1145" s="30">
        <f>PM_Angle!$J$11+PM_Angle!$K$11*$C1145+PM_Angle!$L$11*$B1145</f>
      </c>
      <c r="S1145" s="12">
        <f>IF(R1145&gt;0,IF(R1145&lt;=eco,alpha*fck*(1-(1-R1145/eco)^n),alpha*fck),0)</f>
      </c>
      <c r="T1145" s="30">
        <f>PM_Angle!$J$12+PM_Angle!$K$12*$C1145+PM_Angle!$L$12*$B1145</f>
      </c>
      <c r="U1145" s="12">
        <f>IF(T1145&gt;0,IF(T1145&lt;=eco,alpha*fck*(1-(1-T1145/eco)^n),alpha*fck),0)</f>
      </c>
      <c r="V1145" s="30">
        <f>PM_Angle!$J$13+PM_Angle!$K$13*$C1145+PM_Angle!$L$13*$B1145</f>
      </c>
      <c r="W1145" s="12">
        <f>IF(V1145&gt;0,IF(V1145&lt;=eco,alpha*fck*(1-(1-V1145/eco)^n),alpha*fck),0)</f>
      </c>
      <c r="X1145" s="30">
        <f>PM_Angle!$J$14+PM_Angle!$K$14*$C1145+PM_Angle!$L$14*$B1145</f>
      </c>
      <c r="Y1145" s="12">
        <f>IF(X1145&gt;0,IF(X1145&lt;=eco,alpha*fck*(1-(1-X1145/eco)^n),alpha*fck),0)</f>
      </c>
      <c r="Z1145" s="30">
        <f>PM_Angle!$J$15+PM_Angle!$K$15*$C1145+PM_Angle!$L$15*$B1145</f>
      </c>
      <c r="AA1145" s="12">
        <f>IF(Z1145&gt;0,IF(Z1145&lt;=eco,alpha*fck*(1-(1-Z1145/eco)^n),alpha*fck),0)</f>
      </c>
      <c r="AB1145" s="30">
        <f>PM_Angle!$J$16+PM_Angle!$K$16*$C1145+PM_Angle!$L$16*$B1145</f>
      </c>
      <c r="AC1145" s="12">
        <f>IF(AB1145&gt;0,IF(AB1145&lt;=eco,alpha*fck*(1-(1-AB1145/eco)^n),alpha*fck),0)</f>
      </c>
      <c r="AD1145" s="30">
        <f>PM_Angle!$J$17+PM_Angle!$K$17*$C1145+PM_Angle!$L$17*$B1145</f>
      </c>
      <c r="AE1145" s="12">
        <f>IF(AD1145&gt;0,IF(AD1145&lt;=eco,alpha*fck*(1-(1-AD1145/eco)^n),alpha*fck),0)</f>
      </c>
      <c r="AF1145" s="30">
        <f>PM_Angle!$J$18+PM_Angle!$K$18*$C1145+PM_Angle!$L$18*$B1145</f>
      </c>
      <c r="AG1145" s="12">
        <f>IF(AF1145&gt;0,IF(AF1145&lt;=eco,alpha*fck*(1-(1-AF1145/eco)^n),alpha*fck),0)</f>
      </c>
      <c r="AH1145" s="30">
        <f>PM_Angle!$J$19+PM_Angle!$K$19*$C1145+PM_Angle!$L$19*$B1145</f>
      </c>
      <c r="AI1145" s="12">
        <f>IF(AH1145&gt;0,IF(AH1145&lt;=eco,alpha*fck*(1-(1-AH1145/eco)^n),alpha*fck),0)</f>
      </c>
      <c r="AJ1145" s="30">
        <f>PM_Angle!$J$20+PM_Angle!$K$20*$C1145+PM_Angle!$L$20*$B1145</f>
      </c>
      <c r="AK1145" s="12">
        <f>IF(AJ1145&gt;0,IF(AJ1145&lt;=eco,alpha*fck*(1-(1-AJ1145/eco)^n),alpha*fck),0)</f>
      </c>
      <c r="AL1145" s="30">
        <f>PM_Angle!$J$21+PM_Angle!$K$21*$C1145+PM_Angle!$L$21*$B1145</f>
      </c>
      <c r="AM1145" s="12">
        <f>IF(AL1145&gt;0,IF(AL1145&lt;=eco,alpha*fck*(1-(1-AL1145/eco)^n),alpha*fck),0)</f>
      </c>
      <c r="AN1145" s="30">
        <f>PM_Angle!$J$22+PM_Angle!$K$22*$C1145+PM_Angle!$L$22*$B1145</f>
      </c>
      <c r="AO1145" s="12">
        <f>IF(AN1145&gt;0,IF(AN1145&lt;=eco,alpha*fck*(1-(1-AN1145/eco)^n),alpha*fck),0)</f>
      </c>
      <c r="AP1145" s="30">
        <f>PM_Angle!$J$23+PM_Angle!$K$23*$C1145+PM_Angle!$L$23*$B1145</f>
      </c>
      <c r="AQ1145" s="12">
        <f>IF(AP1145&gt;0,IF(AP1145&lt;=eco,alpha*fck*(1-(1-AP1145/eco)^n),alpha*fck),0)</f>
      </c>
      <c r="AR1145" s="30">
        <f>PM_Angle!$J$24+PM_Angle!$K$24*$C1145+PM_Angle!$L$24*$B1145</f>
      </c>
      <c r="AS1145" s="12">
        <f>IF(AR1145&gt;0,IF(AR1145&lt;=eco,alpha*fck*(1-(1-AR1145/eco)^n),alpha*fck),0)</f>
      </c>
      <c r="AT1145" s="30">
        <f>PM_Angle!$J$25+PM_Angle!$K$25*$C1145+PM_Angle!$L$25*$B1145</f>
      </c>
      <c r="AU1145" s="12">
        <f>IF(AT1145&gt;0,IF(AT1145&lt;=eco,alpha*fck*(1-(1-AT1145/eco)^n),alpha*fck),0)</f>
      </c>
    </row>
    <row r="1146" spans="1:47" x14ac:dyDescent="0.25">
      <c r="A1146">
        <f>Mesh!A1143</f>
      </c>
      <c r="B1146" s="12">
        <f>Mesh!B1143</f>
      </c>
      <c r="C1146" s="12">
        <f>Mesh!C1143</f>
      </c>
      <c r="D1146" s="12">
        <f>Mesh!D1143</f>
      </c>
      <c r="E1146" s="30">
        <f>INDEX(St_e0,Det+1)+INDEX(St_kx,Det+1)*C1146+INDEX(St_ky,Det+1)*B1146</f>
      </c>
      <c r="F1146" s="12">
        <f>IF(E1146&gt;0,IF(E1146&lt;=eco,alpha*fck*(1-(1-E1146/eco)^n),alpha*fck),0)</f>
      </c>
      <c r="G1146" s="11">
        <f>F1146*D1146</f>
      </c>
      <c r="H1146" s="11">
        <f>G1146*C1146</f>
      </c>
      <c r="I1146" s="11">
        <f>G1146*B1146</f>
      </c>
      <c r="J1146" s="30">
        <f>PM_Angle!$J$7+PM_Angle!$K$7*$C1146+PM_Angle!$L$7*$B1146</f>
      </c>
      <c r="K1146" s="12">
        <f>IF(J1146&gt;0,IF(J1146&lt;=eco,alpha*fck*(1-(1-J1146/eco)^n),alpha*fck),0)</f>
      </c>
      <c r="L1146" s="30">
        <f>PM_Angle!$J$8+PM_Angle!$K$8*$C1146+PM_Angle!$L$8*$B1146</f>
      </c>
      <c r="M1146" s="12">
        <f>IF(L1146&gt;0,IF(L1146&lt;=eco,alpha*fck*(1-(1-L1146/eco)^n),alpha*fck),0)</f>
      </c>
      <c r="N1146" s="30">
        <f>PM_Angle!$J$9+PM_Angle!$K$9*$C1146+PM_Angle!$L$9*$B1146</f>
      </c>
      <c r="O1146" s="12">
        <f>IF(N1146&gt;0,IF(N1146&lt;=eco,alpha*fck*(1-(1-N1146/eco)^n),alpha*fck),0)</f>
      </c>
      <c r="P1146" s="30">
        <f>PM_Angle!$J$10+PM_Angle!$K$10*$C1146+PM_Angle!$L$10*$B1146</f>
      </c>
      <c r="Q1146" s="12">
        <f>IF(P1146&gt;0,IF(P1146&lt;=eco,alpha*fck*(1-(1-P1146/eco)^n),alpha*fck),0)</f>
      </c>
      <c r="R1146" s="30">
        <f>PM_Angle!$J$11+PM_Angle!$K$11*$C1146+PM_Angle!$L$11*$B1146</f>
      </c>
      <c r="S1146" s="12">
        <f>IF(R1146&gt;0,IF(R1146&lt;=eco,alpha*fck*(1-(1-R1146/eco)^n),alpha*fck),0)</f>
      </c>
      <c r="T1146" s="30">
        <f>PM_Angle!$J$12+PM_Angle!$K$12*$C1146+PM_Angle!$L$12*$B1146</f>
      </c>
      <c r="U1146" s="12">
        <f>IF(T1146&gt;0,IF(T1146&lt;=eco,alpha*fck*(1-(1-T1146/eco)^n),alpha*fck),0)</f>
      </c>
      <c r="V1146" s="30">
        <f>PM_Angle!$J$13+PM_Angle!$K$13*$C1146+PM_Angle!$L$13*$B1146</f>
      </c>
      <c r="W1146" s="12">
        <f>IF(V1146&gt;0,IF(V1146&lt;=eco,alpha*fck*(1-(1-V1146/eco)^n),alpha*fck),0)</f>
      </c>
      <c r="X1146" s="30">
        <f>PM_Angle!$J$14+PM_Angle!$K$14*$C1146+PM_Angle!$L$14*$B1146</f>
      </c>
      <c r="Y1146" s="12">
        <f>IF(X1146&gt;0,IF(X1146&lt;=eco,alpha*fck*(1-(1-X1146/eco)^n),alpha*fck),0)</f>
      </c>
      <c r="Z1146" s="30">
        <f>PM_Angle!$J$15+PM_Angle!$K$15*$C1146+PM_Angle!$L$15*$B1146</f>
      </c>
      <c r="AA1146" s="12">
        <f>IF(Z1146&gt;0,IF(Z1146&lt;=eco,alpha*fck*(1-(1-Z1146/eco)^n),alpha*fck),0)</f>
      </c>
      <c r="AB1146" s="30">
        <f>PM_Angle!$J$16+PM_Angle!$K$16*$C1146+PM_Angle!$L$16*$B1146</f>
      </c>
      <c r="AC1146" s="12">
        <f>IF(AB1146&gt;0,IF(AB1146&lt;=eco,alpha*fck*(1-(1-AB1146/eco)^n),alpha*fck),0)</f>
      </c>
      <c r="AD1146" s="30">
        <f>PM_Angle!$J$17+PM_Angle!$K$17*$C1146+PM_Angle!$L$17*$B1146</f>
      </c>
      <c r="AE1146" s="12">
        <f>IF(AD1146&gt;0,IF(AD1146&lt;=eco,alpha*fck*(1-(1-AD1146/eco)^n),alpha*fck),0)</f>
      </c>
      <c r="AF1146" s="30">
        <f>PM_Angle!$J$18+PM_Angle!$K$18*$C1146+PM_Angle!$L$18*$B1146</f>
      </c>
      <c r="AG1146" s="12">
        <f>IF(AF1146&gt;0,IF(AF1146&lt;=eco,alpha*fck*(1-(1-AF1146/eco)^n),alpha*fck),0)</f>
      </c>
      <c r="AH1146" s="30">
        <f>PM_Angle!$J$19+PM_Angle!$K$19*$C1146+PM_Angle!$L$19*$B1146</f>
      </c>
      <c r="AI1146" s="12">
        <f>IF(AH1146&gt;0,IF(AH1146&lt;=eco,alpha*fck*(1-(1-AH1146/eco)^n),alpha*fck),0)</f>
      </c>
      <c r="AJ1146" s="30">
        <f>PM_Angle!$J$20+PM_Angle!$K$20*$C1146+PM_Angle!$L$20*$B1146</f>
      </c>
      <c r="AK1146" s="12">
        <f>IF(AJ1146&gt;0,IF(AJ1146&lt;=eco,alpha*fck*(1-(1-AJ1146/eco)^n),alpha*fck),0)</f>
      </c>
      <c r="AL1146" s="30">
        <f>PM_Angle!$J$21+PM_Angle!$K$21*$C1146+PM_Angle!$L$21*$B1146</f>
      </c>
      <c r="AM1146" s="12">
        <f>IF(AL1146&gt;0,IF(AL1146&lt;=eco,alpha*fck*(1-(1-AL1146/eco)^n),alpha*fck),0)</f>
      </c>
      <c r="AN1146" s="30">
        <f>PM_Angle!$J$22+PM_Angle!$K$22*$C1146+PM_Angle!$L$22*$B1146</f>
      </c>
      <c r="AO1146" s="12">
        <f>IF(AN1146&gt;0,IF(AN1146&lt;=eco,alpha*fck*(1-(1-AN1146/eco)^n),alpha*fck),0)</f>
      </c>
      <c r="AP1146" s="30">
        <f>PM_Angle!$J$23+PM_Angle!$K$23*$C1146+PM_Angle!$L$23*$B1146</f>
      </c>
      <c r="AQ1146" s="12">
        <f>IF(AP1146&gt;0,IF(AP1146&lt;=eco,alpha*fck*(1-(1-AP1146/eco)^n),alpha*fck),0)</f>
      </c>
      <c r="AR1146" s="30">
        <f>PM_Angle!$J$24+PM_Angle!$K$24*$C1146+PM_Angle!$L$24*$B1146</f>
      </c>
      <c r="AS1146" s="12">
        <f>IF(AR1146&gt;0,IF(AR1146&lt;=eco,alpha*fck*(1-(1-AR1146/eco)^n),alpha*fck),0)</f>
      </c>
      <c r="AT1146" s="30">
        <f>PM_Angle!$J$25+PM_Angle!$K$25*$C1146+PM_Angle!$L$25*$B1146</f>
      </c>
      <c r="AU1146" s="12">
        <f>IF(AT1146&gt;0,IF(AT1146&lt;=eco,alpha*fck*(1-(1-AT1146/eco)^n),alpha*fck),0)</f>
      </c>
    </row>
    <row r="1147" spans="1:47" x14ac:dyDescent="0.25">
      <c r="A1147">
        <f>Mesh!A1144</f>
      </c>
      <c r="B1147" s="12">
        <f>Mesh!B1144</f>
      </c>
      <c r="C1147" s="12">
        <f>Mesh!C1144</f>
      </c>
      <c r="D1147" s="12">
        <f>Mesh!D1144</f>
      </c>
      <c r="E1147" s="30">
        <f>INDEX(St_e0,Det+1)+INDEX(St_kx,Det+1)*C1147+INDEX(St_ky,Det+1)*B1147</f>
      </c>
      <c r="F1147" s="12">
        <f>IF(E1147&gt;0,IF(E1147&lt;=eco,alpha*fck*(1-(1-E1147/eco)^n),alpha*fck),0)</f>
      </c>
      <c r="G1147" s="11">
        <f>F1147*D1147</f>
      </c>
      <c r="H1147" s="11">
        <f>G1147*C1147</f>
      </c>
      <c r="I1147" s="11">
        <f>G1147*B1147</f>
      </c>
      <c r="J1147" s="30">
        <f>PM_Angle!$J$7+PM_Angle!$K$7*$C1147+PM_Angle!$L$7*$B1147</f>
      </c>
      <c r="K1147" s="12">
        <f>IF(J1147&gt;0,IF(J1147&lt;=eco,alpha*fck*(1-(1-J1147/eco)^n),alpha*fck),0)</f>
      </c>
      <c r="L1147" s="30">
        <f>PM_Angle!$J$8+PM_Angle!$K$8*$C1147+PM_Angle!$L$8*$B1147</f>
      </c>
      <c r="M1147" s="12">
        <f>IF(L1147&gt;0,IF(L1147&lt;=eco,alpha*fck*(1-(1-L1147/eco)^n),alpha*fck),0)</f>
      </c>
      <c r="N1147" s="30">
        <f>PM_Angle!$J$9+PM_Angle!$K$9*$C1147+PM_Angle!$L$9*$B1147</f>
      </c>
      <c r="O1147" s="12">
        <f>IF(N1147&gt;0,IF(N1147&lt;=eco,alpha*fck*(1-(1-N1147/eco)^n),alpha*fck),0)</f>
      </c>
      <c r="P1147" s="30">
        <f>PM_Angle!$J$10+PM_Angle!$K$10*$C1147+PM_Angle!$L$10*$B1147</f>
      </c>
      <c r="Q1147" s="12">
        <f>IF(P1147&gt;0,IF(P1147&lt;=eco,alpha*fck*(1-(1-P1147/eco)^n),alpha*fck),0)</f>
      </c>
      <c r="R1147" s="30">
        <f>PM_Angle!$J$11+PM_Angle!$K$11*$C1147+PM_Angle!$L$11*$B1147</f>
      </c>
      <c r="S1147" s="12">
        <f>IF(R1147&gt;0,IF(R1147&lt;=eco,alpha*fck*(1-(1-R1147/eco)^n),alpha*fck),0)</f>
      </c>
      <c r="T1147" s="30">
        <f>PM_Angle!$J$12+PM_Angle!$K$12*$C1147+PM_Angle!$L$12*$B1147</f>
      </c>
      <c r="U1147" s="12">
        <f>IF(T1147&gt;0,IF(T1147&lt;=eco,alpha*fck*(1-(1-T1147/eco)^n),alpha*fck),0)</f>
      </c>
      <c r="V1147" s="30">
        <f>PM_Angle!$J$13+PM_Angle!$K$13*$C1147+PM_Angle!$L$13*$B1147</f>
      </c>
      <c r="W1147" s="12">
        <f>IF(V1147&gt;0,IF(V1147&lt;=eco,alpha*fck*(1-(1-V1147/eco)^n),alpha*fck),0)</f>
      </c>
      <c r="X1147" s="30">
        <f>PM_Angle!$J$14+PM_Angle!$K$14*$C1147+PM_Angle!$L$14*$B1147</f>
      </c>
      <c r="Y1147" s="12">
        <f>IF(X1147&gt;0,IF(X1147&lt;=eco,alpha*fck*(1-(1-X1147/eco)^n),alpha*fck),0)</f>
      </c>
      <c r="Z1147" s="30">
        <f>PM_Angle!$J$15+PM_Angle!$K$15*$C1147+PM_Angle!$L$15*$B1147</f>
      </c>
      <c r="AA1147" s="12">
        <f>IF(Z1147&gt;0,IF(Z1147&lt;=eco,alpha*fck*(1-(1-Z1147/eco)^n),alpha*fck),0)</f>
      </c>
      <c r="AB1147" s="30">
        <f>PM_Angle!$J$16+PM_Angle!$K$16*$C1147+PM_Angle!$L$16*$B1147</f>
      </c>
      <c r="AC1147" s="12">
        <f>IF(AB1147&gt;0,IF(AB1147&lt;=eco,alpha*fck*(1-(1-AB1147/eco)^n),alpha*fck),0)</f>
      </c>
      <c r="AD1147" s="30">
        <f>PM_Angle!$J$17+PM_Angle!$K$17*$C1147+PM_Angle!$L$17*$B1147</f>
      </c>
      <c r="AE1147" s="12">
        <f>IF(AD1147&gt;0,IF(AD1147&lt;=eco,alpha*fck*(1-(1-AD1147/eco)^n),alpha*fck),0)</f>
      </c>
      <c r="AF1147" s="30">
        <f>PM_Angle!$J$18+PM_Angle!$K$18*$C1147+PM_Angle!$L$18*$B1147</f>
      </c>
      <c r="AG1147" s="12">
        <f>IF(AF1147&gt;0,IF(AF1147&lt;=eco,alpha*fck*(1-(1-AF1147/eco)^n),alpha*fck),0)</f>
      </c>
      <c r="AH1147" s="30">
        <f>PM_Angle!$J$19+PM_Angle!$K$19*$C1147+PM_Angle!$L$19*$B1147</f>
      </c>
      <c r="AI1147" s="12">
        <f>IF(AH1147&gt;0,IF(AH1147&lt;=eco,alpha*fck*(1-(1-AH1147/eco)^n),alpha*fck),0)</f>
      </c>
      <c r="AJ1147" s="30">
        <f>PM_Angle!$J$20+PM_Angle!$K$20*$C1147+PM_Angle!$L$20*$B1147</f>
      </c>
      <c r="AK1147" s="12">
        <f>IF(AJ1147&gt;0,IF(AJ1147&lt;=eco,alpha*fck*(1-(1-AJ1147/eco)^n),alpha*fck),0)</f>
      </c>
      <c r="AL1147" s="30">
        <f>PM_Angle!$J$21+PM_Angle!$K$21*$C1147+PM_Angle!$L$21*$B1147</f>
      </c>
      <c r="AM1147" s="12">
        <f>IF(AL1147&gt;0,IF(AL1147&lt;=eco,alpha*fck*(1-(1-AL1147/eco)^n),alpha*fck),0)</f>
      </c>
      <c r="AN1147" s="30">
        <f>PM_Angle!$J$22+PM_Angle!$K$22*$C1147+PM_Angle!$L$22*$B1147</f>
      </c>
      <c r="AO1147" s="12">
        <f>IF(AN1147&gt;0,IF(AN1147&lt;=eco,alpha*fck*(1-(1-AN1147/eco)^n),alpha*fck),0)</f>
      </c>
      <c r="AP1147" s="30">
        <f>PM_Angle!$J$23+PM_Angle!$K$23*$C1147+PM_Angle!$L$23*$B1147</f>
      </c>
      <c r="AQ1147" s="12">
        <f>IF(AP1147&gt;0,IF(AP1147&lt;=eco,alpha*fck*(1-(1-AP1147/eco)^n),alpha*fck),0)</f>
      </c>
      <c r="AR1147" s="30">
        <f>PM_Angle!$J$24+PM_Angle!$K$24*$C1147+PM_Angle!$L$24*$B1147</f>
      </c>
      <c r="AS1147" s="12">
        <f>IF(AR1147&gt;0,IF(AR1147&lt;=eco,alpha*fck*(1-(1-AR1147/eco)^n),alpha*fck),0)</f>
      </c>
      <c r="AT1147" s="30">
        <f>PM_Angle!$J$25+PM_Angle!$K$25*$C1147+PM_Angle!$L$25*$B1147</f>
      </c>
      <c r="AU1147" s="12">
        <f>IF(AT1147&gt;0,IF(AT1147&lt;=eco,alpha*fck*(1-(1-AT1147/eco)^n),alpha*fck),0)</f>
      </c>
    </row>
    <row r="1148" spans="1:47" x14ac:dyDescent="0.25">
      <c r="A1148">
        <f>Mesh!A1145</f>
      </c>
      <c r="B1148" s="12">
        <f>Mesh!B1145</f>
      </c>
      <c r="C1148" s="12">
        <f>Mesh!C1145</f>
      </c>
      <c r="D1148" s="12">
        <f>Mesh!D1145</f>
      </c>
      <c r="E1148" s="30">
        <f>INDEX(St_e0,Det+1)+INDEX(St_kx,Det+1)*C1148+INDEX(St_ky,Det+1)*B1148</f>
      </c>
      <c r="F1148" s="12">
        <f>IF(E1148&gt;0,IF(E1148&lt;=eco,alpha*fck*(1-(1-E1148/eco)^n),alpha*fck),0)</f>
      </c>
      <c r="G1148" s="11">
        <f>F1148*D1148</f>
      </c>
      <c r="H1148" s="11">
        <f>G1148*C1148</f>
      </c>
      <c r="I1148" s="11">
        <f>G1148*B1148</f>
      </c>
      <c r="J1148" s="30">
        <f>PM_Angle!$J$7+PM_Angle!$K$7*$C1148+PM_Angle!$L$7*$B1148</f>
      </c>
      <c r="K1148" s="12">
        <f>IF(J1148&gt;0,IF(J1148&lt;=eco,alpha*fck*(1-(1-J1148/eco)^n),alpha*fck),0)</f>
      </c>
      <c r="L1148" s="30">
        <f>PM_Angle!$J$8+PM_Angle!$K$8*$C1148+PM_Angle!$L$8*$B1148</f>
      </c>
      <c r="M1148" s="12">
        <f>IF(L1148&gt;0,IF(L1148&lt;=eco,alpha*fck*(1-(1-L1148/eco)^n),alpha*fck),0)</f>
      </c>
      <c r="N1148" s="30">
        <f>PM_Angle!$J$9+PM_Angle!$K$9*$C1148+PM_Angle!$L$9*$B1148</f>
      </c>
      <c r="O1148" s="12">
        <f>IF(N1148&gt;0,IF(N1148&lt;=eco,alpha*fck*(1-(1-N1148/eco)^n),alpha*fck),0)</f>
      </c>
      <c r="P1148" s="30">
        <f>PM_Angle!$J$10+PM_Angle!$K$10*$C1148+PM_Angle!$L$10*$B1148</f>
      </c>
      <c r="Q1148" s="12">
        <f>IF(P1148&gt;0,IF(P1148&lt;=eco,alpha*fck*(1-(1-P1148/eco)^n),alpha*fck),0)</f>
      </c>
      <c r="R1148" s="30">
        <f>PM_Angle!$J$11+PM_Angle!$K$11*$C1148+PM_Angle!$L$11*$B1148</f>
      </c>
      <c r="S1148" s="12">
        <f>IF(R1148&gt;0,IF(R1148&lt;=eco,alpha*fck*(1-(1-R1148/eco)^n),alpha*fck),0)</f>
      </c>
      <c r="T1148" s="30">
        <f>PM_Angle!$J$12+PM_Angle!$K$12*$C1148+PM_Angle!$L$12*$B1148</f>
      </c>
      <c r="U1148" s="12">
        <f>IF(T1148&gt;0,IF(T1148&lt;=eco,alpha*fck*(1-(1-T1148/eco)^n),alpha*fck),0)</f>
      </c>
      <c r="V1148" s="30">
        <f>PM_Angle!$J$13+PM_Angle!$K$13*$C1148+PM_Angle!$L$13*$B1148</f>
      </c>
      <c r="W1148" s="12">
        <f>IF(V1148&gt;0,IF(V1148&lt;=eco,alpha*fck*(1-(1-V1148/eco)^n),alpha*fck),0)</f>
      </c>
      <c r="X1148" s="30">
        <f>PM_Angle!$J$14+PM_Angle!$K$14*$C1148+PM_Angle!$L$14*$B1148</f>
      </c>
      <c r="Y1148" s="12">
        <f>IF(X1148&gt;0,IF(X1148&lt;=eco,alpha*fck*(1-(1-X1148/eco)^n),alpha*fck),0)</f>
      </c>
      <c r="Z1148" s="30">
        <f>PM_Angle!$J$15+PM_Angle!$K$15*$C1148+PM_Angle!$L$15*$B1148</f>
      </c>
      <c r="AA1148" s="12">
        <f>IF(Z1148&gt;0,IF(Z1148&lt;=eco,alpha*fck*(1-(1-Z1148/eco)^n),alpha*fck),0)</f>
      </c>
      <c r="AB1148" s="30">
        <f>PM_Angle!$J$16+PM_Angle!$K$16*$C1148+PM_Angle!$L$16*$B1148</f>
      </c>
      <c r="AC1148" s="12">
        <f>IF(AB1148&gt;0,IF(AB1148&lt;=eco,alpha*fck*(1-(1-AB1148/eco)^n),alpha*fck),0)</f>
      </c>
      <c r="AD1148" s="30">
        <f>PM_Angle!$J$17+PM_Angle!$K$17*$C1148+PM_Angle!$L$17*$B1148</f>
      </c>
      <c r="AE1148" s="12">
        <f>IF(AD1148&gt;0,IF(AD1148&lt;=eco,alpha*fck*(1-(1-AD1148/eco)^n),alpha*fck),0)</f>
      </c>
      <c r="AF1148" s="30">
        <f>PM_Angle!$J$18+PM_Angle!$K$18*$C1148+PM_Angle!$L$18*$B1148</f>
      </c>
      <c r="AG1148" s="12">
        <f>IF(AF1148&gt;0,IF(AF1148&lt;=eco,alpha*fck*(1-(1-AF1148/eco)^n),alpha*fck),0)</f>
      </c>
      <c r="AH1148" s="30">
        <f>PM_Angle!$J$19+PM_Angle!$K$19*$C1148+PM_Angle!$L$19*$B1148</f>
      </c>
      <c r="AI1148" s="12">
        <f>IF(AH1148&gt;0,IF(AH1148&lt;=eco,alpha*fck*(1-(1-AH1148/eco)^n),alpha*fck),0)</f>
      </c>
      <c r="AJ1148" s="30">
        <f>PM_Angle!$J$20+PM_Angle!$K$20*$C1148+PM_Angle!$L$20*$B1148</f>
      </c>
      <c r="AK1148" s="12">
        <f>IF(AJ1148&gt;0,IF(AJ1148&lt;=eco,alpha*fck*(1-(1-AJ1148/eco)^n),alpha*fck),0)</f>
      </c>
      <c r="AL1148" s="30">
        <f>PM_Angle!$J$21+PM_Angle!$K$21*$C1148+PM_Angle!$L$21*$B1148</f>
      </c>
      <c r="AM1148" s="12">
        <f>IF(AL1148&gt;0,IF(AL1148&lt;=eco,alpha*fck*(1-(1-AL1148/eco)^n),alpha*fck),0)</f>
      </c>
      <c r="AN1148" s="30">
        <f>PM_Angle!$J$22+PM_Angle!$K$22*$C1148+PM_Angle!$L$22*$B1148</f>
      </c>
      <c r="AO1148" s="12">
        <f>IF(AN1148&gt;0,IF(AN1148&lt;=eco,alpha*fck*(1-(1-AN1148/eco)^n),alpha*fck),0)</f>
      </c>
      <c r="AP1148" s="30">
        <f>PM_Angle!$J$23+PM_Angle!$K$23*$C1148+PM_Angle!$L$23*$B1148</f>
      </c>
      <c r="AQ1148" s="12">
        <f>IF(AP1148&gt;0,IF(AP1148&lt;=eco,alpha*fck*(1-(1-AP1148/eco)^n),alpha*fck),0)</f>
      </c>
      <c r="AR1148" s="30">
        <f>PM_Angle!$J$24+PM_Angle!$K$24*$C1148+PM_Angle!$L$24*$B1148</f>
      </c>
      <c r="AS1148" s="12">
        <f>IF(AR1148&gt;0,IF(AR1148&lt;=eco,alpha*fck*(1-(1-AR1148/eco)^n),alpha*fck),0)</f>
      </c>
      <c r="AT1148" s="30">
        <f>PM_Angle!$J$25+PM_Angle!$K$25*$C1148+PM_Angle!$L$25*$B1148</f>
      </c>
      <c r="AU1148" s="12">
        <f>IF(AT1148&gt;0,IF(AT1148&lt;=eco,alpha*fck*(1-(1-AT1148/eco)^n),alpha*fck),0)</f>
      </c>
    </row>
    <row r="1149" spans="1:47" x14ac:dyDescent="0.25">
      <c r="A1149">
        <f>Mesh!A1146</f>
      </c>
      <c r="B1149" s="12">
        <f>Mesh!B1146</f>
      </c>
      <c r="C1149" s="12">
        <f>Mesh!C1146</f>
      </c>
      <c r="D1149" s="12">
        <f>Mesh!D1146</f>
      </c>
      <c r="E1149" s="30">
        <f>INDEX(St_e0,Det+1)+INDEX(St_kx,Det+1)*C1149+INDEX(St_ky,Det+1)*B1149</f>
      </c>
      <c r="F1149" s="12">
        <f>IF(E1149&gt;0,IF(E1149&lt;=eco,alpha*fck*(1-(1-E1149/eco)^n),alpha*fck),0)</f>
      </c>
      <c r="G1149" s="11">
        <f>F1149*D1149</f>
      </c>
      <c r="H1149" s="11">
        <f>G1149*C1149</f>
      </c>
      <c r="I1149" s="11">
        <f>G1149*B1149</f>
      </c>
      <c r="J1149" s="30">
        <f>PM_Angle!$J$7+PM_Angle!$K$7*$C1149+PM_Angle!$L$7*$B1149</f>
      </c>
      <c r="K1149" s="12">
        <f>IF(J1149&gt;0,IF(J1149&lt;=eco,alpha*fck*(1-(1-J1149/eco)^n),alpha*fck),0)</f>
      </c>
      <c r="L1149" s="30">
        <f>PM_Angle!$J$8+PM_Angle!$K$8*$C1149+PM_Angle!$L$8*$B1149</f>
      </c>
      <c r="M1149" s="12">
        <f>IF(L1149&gt;0,IF(L1149&lt;=eco,alpha*fck*(1-(1-L1149/eco)^n),alpha*fck),0)</f>
      </c>
      <c r="N1149" s="30">
        <f>PM_Angle!$J$9+PM_Angle!$K$9*$C1149+PM_Angle!$L$9*$B1149</f>
      </c>
      <c r="O1149" s="12">
        <f>IF(N1149&gt;0,IF(N1149&lt;=eco,alpha*fck*(1-(1-N1149/eco)^n),alpha*fck),0)</f>
      </c>
      <c r="P1149" s="30">
        <f>PM_Angle!$J$10+PM_Angle!$K$10*$C1149+PM_Angle!$L$10*$B1149</f>
      </c>
      <c r="Q1149" s="12">
        <f>IF(P1149&gt;0,IF(P1149&lt;=eco,alpha*fck*(1-(1-P1149/eco)^n),alpha*fck),0)</f>
      </c>
      <c r="R1149" s="30">
        <f>PM_Angle!$J$11+PM_Angle!$K$11*$C1149+PM_Angle!$L$11*$B1149</f>
      </c>
      <c r="S1149" s="12">
        <f>IF(R1149&gt;0,IF(R1149&lt;=eco,alpha*fck*(1-(1-R1149/eco)^n),alpha*fck),0)</f>
      </c>
      <c r="T1149" s="30">
        <f>PM_Angle!$J$12+PM_Angle!$K$12*$C1149+PM_Angle!$L$12*$B1149</f>
      </c>
      <c r="U1149" s="12">
        <f>IF(T1149&gt;0,IF(T1149&lt;=eco,alpha*fck*(1-(1-T1149/eco)^n),alpha*fck),0)</f>
      </c>
      <c r="V1149" s="30">
        <f>PM_Angle!$J$13+PM_Angle!$K$13*$C1149+PM_Angle!$L$13*$B1149</f>
      </c>
      <c r="W1149" s="12">
        <f>IF(V1149&gt;0,IF(V1149&lt;=eco,alpha*fck*(1-(1-V1149/eco)^n),alpha*fck),0)</f>
      </c>
      <c r="X1149" s="30">
        <f>PM_Angle!$J$14+PM_Angle!$K$14*$C1149+PM_Angle!$L$14*$B1149</f>
      </c>
      <c r="Y1149" s="12">
        <f>IF(X1149&gt;0,IF(X1149&lt;=eco,alpha*fck*(1-(1-X1149/eco)^n),alpha*fck),0)</f>
      </c>
      <c r="Z1149" s="30">
        <f>PM_Angle!$J$15+PM_Angle!$K$15*$C1149+PM_Angle!$L$15*$B1149</f>
      </c>
      <c r="AA1149" s="12">
        <f>IF(Z1149&gt;0,IF(Z1149&lt;=eco,alpha*fck*(1-(1-Z1149/eco)^n),alpha*fck),0)</f>
      </c>
      <c r="AB1149" s="30">
        <f>PM_Angle!$J$16+PM_Angle!$K$16*$C1149+PM_Angle!$L$16*$B1149</f>
      </c>
      <c r="AC1149" s="12">
        <f>IF(AB1149&gt;0,IF(AB1149&lt;=eco,alpha*fck*(1-(1-AB1149/eco)^n),alpha*fck),0)</f>
      </c>
      <c r="AD1149" s="30">
        <f>PM_Angle!$J$17+PM_Angle!$K$17*$C1149+PM_Angle!$L$17*$B1149</f>
      </c>
      <c r="AE1149" s="12">
        <f>IF(AD1149&gt;0,IF(AD1149&lt;=eco,alpha*fck*(1-(1-AD1149/eco)^n),alpha*fck),0)</f>
      </c>
      <c r="AF1149" s="30">
        <f>PM_Angle!$J$18+PM_Angle!$K$18*$C1149+PM_Angle!$L$18*$B1149</f>
      </c>
      <c r="AG1149" s="12">
        <f>IF(AF1149&gt;0,IF(AF1149&lt;=eco,alpha*fck*(1-(1-AF1149/eco)^n),alpha*fck),0)</f>
      </c>
      <c r="AH1149" s="30">
        <f>PM_Angle!$J$19+PM_Angle!$K$19*$C1149+PM_Angle!$L$19*$B1149</f>
      </c>
      <c r="AI1149" s="12">
        <f>IF(AH1149&gt;0,IF(AH1149&lt;=eco,alpha*fck*(1-(1-AH1149/eco)^n),alpha*fck),0)</f>
      </c>
      <c r="AJ1149" s="30">
        <f>PM_Angle!$J$20+PM_Angle!$K$20*$C1149+PM_Angle!$L$20*$B1149</f>
      </c>
      <c r="AK1149" s="12">
        <f>IF(AJ1149&gt;0,IF(AJ1149&lt;=eco,alpha*fck*(1-(1-AJ1149/eco)^n),alpha*fck),0)</f>
      </c>
      <c r="AL1149" s="30">
        <f>PM_Angle!$J$21+PM_Angle!$K$21*$C1149+PM_Angle!$L$21*$B1149</f>
      </c>
      <c r="AM1149" s="12">
        <f>IF(AL1149&gt;0,IF(AL1149&lt;=eco,alpha*fck*(1-(1-AL1149/eco)^n),alpha*fck),0)</f>
      </c>
      <c r="AN1149" s="30">
        <f>PM_Angle!$J$22+PM_Angle!$K$22*$C1149+PM_Angle!$L$22*$B1149</f>
      </c>
      <c r="AO1149" s="12">
        <f>IF(AN1149&gt;0,IF(AN1149&lt;=eco,alpha*fck*(1-(1-AN1149/eco)^n),alpha*fck),0)</f>
      </c>
      <c r="AP1149" s="30">
        <f>PM_Angle!$J$23+PM_Angle!$K$23*$C1149+PM_Angle!$L$23*$B1149</f>
      </c>
      <c r="AQ1149" s="12">
        <f>IF(AP1149&gt;0,IF(AP1149&lt;=eco,alpha*fck*(1-(1-AP1149/eco)^n),alpha*fck),0)</f>
      </c>
      <c r="AR1149" s="30">
        <f>PM_Angle!$J$24+PM_Angle!$K$24*$C1149+PM_Angle!$L$24*$B1149</f>
      </c>
      <c r="AS1149" s="12">
        <f>IF(AR1149&gt;0,IF(AR1149&lt;=eco,alpha*fck*(1-(1-AR1149/eco)^n),alpha*fck),0)</f>
      </c>
      <c r="AT1149" s="30">
        <f>PM_Angle!$J$25+PM_Angle!$K$25*$C1149+PM_Angle!$L$25*$B1149</f>
      </c>
      <c r="AU1149" s="12">
        <f>IF(AT1149&gt;0,IF(AT1149&lt;=eco,alpha*fck*(1-(1-AT1149/eco)^n),alpha*fck),0)</f>
      </c>
    </row>
    <row r="1150" spans="1:47" x14ac:dyDescent="0.25">
      <c r="A1150">
        <f>Mesh!A1147</f>
      </c>
      <c r="B1150" s="12">
        <f>Mesh!B1147</f>
      </c>
      <c r="C1150" s="12">
        <f>Mesh!C1147</f>
      </c>
      <c r="D1150" s="12">
        <f>Mesh!D1147</f>
      </c>
      <c r="E1150" s="30">
        <f>INDEX(St_e0,Det+1)+INDEX(St_kx,Det+1)*C1150+INDEX(St_ky,Det+1)*B1150</f>
      </c>
      <c r="F1150" s="12">
        <f>IF(E1150&gt;0,IF(E1150&lt;=eco,alpha*fck*(1-(1-E1150/eco)^n),alpha*fck),0)</f>
      </c>
      <c r="G1150" s="11">
        <f>F1150*D1150</f>
      </c>
      <c r="H1150" s="11">
        <f>G1150*C1150</f>
      </c>
      <c r="I1150" s="11">
        <f>G1150*B1150</f>
      </c>
      <c r="J1150" s="30">
        <f>PM_Angle!$J$7+PM_Angle!$K$7*$C1150+PM_Angle!$L$7*$B1150</f>
      </c>
      <c r="K1150" s="12">
        <f>IF(J1150&gt;0,IF(J1150&lt;=eco,alpha*fck*(1-(1-J1150/eco)^n),alpha*fck),0)</f>
      </c>
      <c r="L1150" s="30">
        <f>PM_Angle!$J$8+PM_Angle!$K$8*$C1150+PM_Angle!$L$8*$B1150</f>
      </c>
      <c r="M1150" s="12">
        <f>IF(L1150&gt;0,IF(L1150&lt;=eco,alpha*fck*(1-(1-L1150/eco)^n),alpha*fck),0)</f>
      </c>
      <c r="N1150" s="30">
        <f>PM_Angle!$J$9+PM_Angle!$K$9*$C1150+PM_Angle!$L$9*$B1150</f>
      </c>
      <c r="O1150" s="12">
        <f>IF(N1150&gt;0,IF(N1150&lt;=eco,alpha*fck*(1-(1-N1150/eco)^n),alpha*fck),0)</f>
      </c>
      <c r="P1150" s="30">
        <f>PM_Angle!$J$10+PM_Angle!$K$10*$C1150+PM_Angle!$L$10*$B1150</f>
      </c>
      <c r="Q1150" s="12">
        <f>IF(P1150&gt;0,IF(P1150&lt;=eco,alpha*fck*(1-(1-P1150/eco)^n),alpha*fck),0)</f>
      </c>
      <c r="R1150" s="30">
        <f>PM_Angle!$J$11+PM_Angle!$K$11*$C1150+PM_Angle!$L$11*$B1150</f>
      </c>
      <c r="S1150" s="12">
        <f>IF(R1150&gt;0,IF(R1150&lt;=eco,alpha*fck*(1-(1-R1150/eco)^n),alpha*fck),0)</f>
      </c>
      <c r="T1150" s="30">
        <f>PM_Angle!$J$12+PM_Angle!$K$12*$C1150+PM_Angle!$L$12*$B1150</f>
      </c>
      <c r="U1150" s="12">
        <f>IF(T1150&gt;0,IF(T1150&lt;=eco,alpha*fck*(1-(1-T1150/eco)^n),alpha*fck),0)</f>
      </c>
      <c r="V1150" s="30">
        <f>PM_Angle!$J$13+PM_Angle!$K$13*$C1150+PM_Angle!$L$13*$B1150</f>
      </c>
      <c r="W1150" s="12">
        <f>IF(V1150&gt;0,IF(V1150&lt;=eco,alpha*fck*(1-(1-V1150/eco)^n),alpha*fck),0)</f>
      </c>
      <c r="X1150" s="30">
        <f>PM_Angle!$J$14+PM_Angle!$K$14*$C1150+PM_Angle!$L$14*$B1150</f>
      </c>
      <c r="Y1150" s="12">
        <f>IF(X1150&gt;0,IF(X1150&lt;=eco,alpha*fck*(1-(1-X1150/eco)^n),alpha*fck),0)</f>
      </c>
      <c r="Z1150" s="30">
        <f>PM_Angle!$J$15+PM_Angle!$K$15*$C1150+PM_Angle!$L$15*$B1150</f>
      </c>
      <c r="AA1150" s="12">
        <f>IF(Z1150&gt;0,IF(Z1150&lt;=eco,alpha*fck*(1-(1-Z1150/eco)^n),alpha*fck),0)</f>
      </c>
      <c r="AB1150" s="30">
        <f>PM_Angle!$J$16+PM_Angle!$K$16*$C1150+PM_Angle!$L$16*$B1150</f>
      </c>
      <c r="AC1150" s="12">
        <f>IF(AB1150&gt;0,IF(AB1150&lt;=eco,alpha*fck*(1-(1-AB1150/eco)^n),alpha*fck),0)</f>
      </c>
      <c r="AD1150" s="30">
        <f>PM_Angle!$J$17+PM_Angle!$K$17*$C1150+PM_Angle!$L$17*$B1150</f>
      </c>
      <c r="AE1150" s="12">
        <f>IF(AD1150&gt;0,IF(AD1150&lt;=eco,alpha*fck*(1-(1-AD1150/eco)^n),alpha*fck),0)</f>
      </c>
      <c r="AF1150" s="30">
        <f>PM_Angle!$J$18+PM_Angle!$K$18*$C1150+PM_Angle!$L$18*$B1150</f>
      </c>
      <c r="AG1150" s="12">
        <f>IF(AF1150&gt;0,IF(AF1150&lt;=eco,alpha*fck*(1-(1-AF1150/eco)^n),alpha*fck),0)</f>
      </c>
      <c r="AH1150" s="30">
        <f>PM_Angle!$J$19+PM_Angle!$K$19*$C1150+PM_Angle!$L$19*$B1150</f>
      </c>
      <c r="AI1150" s="12">
        <f>IF(AH1150&gt;0,IF(AH1150&lt;=eco,alpha*fck*(1-(1-AH1150/eco)^n),alpha*fck),0)</f>
      </c>
      <c r="AJ1150" s="30">
        <f>PM_Angle!$J$20+PM_Angle!$K$20*$C1150+PM_Angle!$L$20*$B1150</f>
      </c>
      <c r="AK1150" s="12">
        <f>IF(AJ1150&gt;0,IF(AJ1150&lt;=eco,alpha*fck*(1-(1-AJ1150/eco)^n),alpha*fck),0)</f>
      </c>
      <c r="AL1150" s="30">
        <f>PM_Angle!$J$21+PM_Angle!$K$21*$C1150+PM_Angle!$L$21*$B1150</f>
      </c>
      <c r="AM1150" s="12">
        <f>IF(AL1150&gt;0,IF(AL1150&lt;=eco,alpha*fck*(1-(1-AL1150/eco)^n),alpha*fck),0)</f>
      </c>
      <c r="AN1150" s="30">
        <f>PM_Angle!$J$22+PM_Angle!$K$22*$C1150+PM_Angle!$L$22*$B1150</f>
      </c>
      <c r="AO1150" s="12">
        <f>IF(AN1150&gt;0,IF(AN1150&lt;=eco,alpha*fck*(1-(1-AN1150/eco)^n),alpha*fck),0)</f>
      </c>
      <c r="AP1150" s="30">
        <f>PM_Angle!$J$23+PM_Angle!$K$23*$C1150+PM_Angle!$L$23*$B1150</f>
      </c>
      <c r="AQ1150" s="12">
        <f>IF(AP1150&gt;0,IF(AP1150&lt;=eco,alpha*fck*(1-(1-AP1150/eco)^n),alpha*fck),0)</f>
      </c>
      <c r="AR1150" s="30">
        <f>PM_Angle!$J$24+PM_Angle!$K$24*$C1150+PM_Angle!$L$24*$B1150</f>
      </c>
      <c r="AS1150" s="12">
        <f>IF(AR1150&gt;0,IF(AR1150&lt;=eco,alpha*fck*(1-(1-AR1150/eco)^n),alpha*fck),0)</f>
      </c>
      <c r="AT1150" s="30">
        <f>PM_Angle!$J$25+PM_Angle!$K$25*$C1150+PM_Angle!$L$25*$B1150</f>
      </c>
      <c r="AU1150" s="12">
        <f>IF(AT1150&gt;0,IF(AT1150&lt;=eco,alpha*fck*(1-(1-AT1150/eco)^n),alpha*fck),0)</f>
      </c>
    </row>
    <row r="1151" spans="1:47" x14ac:dyDescent="0.25">
      <c r="A1151">
        <f>Mesh!A1148</f>
      </c>
      <c r="B1151" s="12">
        <f>Mesh!B1148</f>
      </c>
      <c r="C1151" s="12">
        <f>Mesh!C1148</f>
      </c>
      <c r="D1151" s="12">
        <f>Mesh!D1148</f>
      </c>
      <c r="E1151" s="30">
        <f>INDEX(St_e0,Det+1)+INDEX(St_kx,Det+1)*C1151+INDEX(St_ky,Det+1)*B1151</f>
      </c>
      <c r="F1151" s="12">
        <f>IF(E1151&gt;0,IF(E1151&lt;=eco,alpha*fck*(1-(1-E1151/eco)^n),alpha*fck),0)</f>
      </c>
      <c r="G1151" s="11">
        <f>F1151*D1151</f>
      </c>
      <c r="H1151" s="11">
        <f>G1151*C1151</f>
      </c>
      <c r="I1151" s="11">
        <f>G1151*B1151</f>
      </c>
      <c r="J1151" s="30">
        <f>PM_Angle!$J$7+PM_Angle!$K$7*$C1151+PM_Angle!$L$7*$B1151</f>
      </c>
      <c r="K1151" s="12">
        <f>IF(J1151&gt;0,IF(J1151&lt;=eco,alpha*fck*(1-(1-J1151/eco)^n),alpha*fck),0)</f>
      </c>
      <c r="L1151" s="30">
        <f>PM_Angle!$J$8+PM_Angle!$K$8*$C1151+PM_Angle!$L$8*$B1151</f>
      </c>
      <c r="M1151" s="12">
        <f>IF(L1151&gt;0,IF(L1151&lt;=eco,alpha*fck*(1-(1-L1151/eco)^n),alpha*fck),0)</f>
      </c>
      <c r="N1151" s="30">
        <f>PM_Angle!$J$9+PM_Angle!$K$9*$C1151+PM_Angle!$L$9*$B1151</f>
      </c>
      <c r="O1151" s="12">
        <f>IF(N1151&gt;0,IF(N1151&lt;=eco,alpha*fck*(1-(1-N1151/eco)^n),alpha*fck),0)</f>
      </c>
      <c r="P1151" s="30">
        <f>PM_Angle!$J$10+PM_Angle!$K$10*$C1151+PM_Angle!$L$10*$B1151</f>
      </c>
      <c r="Q1151" s="12">
        <f>IF(P1151&gt;0,IF(P1151&lt;=eco,alpha*fck*(1-(1-P1151/eco)^n),alpha*fck),0)</f>
      </c>
      <c r="R1151" s="30">
        <f>PM_Angle!$J$11+PM_Angle!$K$11*$C1151+PM_Angle!$L$11*$B1151</f>
      </c>
      <c r="S1151" s="12">
        <f>IF(R1151&gt;0,IF(R1151&lt;=eco,alpha*fck*(1-(1-R1151/eco)^n),alpha*fck),0)</f>
      </c>
      <c r="T1151" s="30">
        <f>PM_Angle!$J$12+PM_Angle!$K$12*$C1151+PM_Angle!$L$12*$B1151</f>
      </c>
      <c r="U1151" s="12">
        <f>IF(T1151&gt;0,IF(T1151&lt;=eco,alpha*fck*(1-(1-T1151/eco)^n),alpha*fck),0)</f>
      </c>
      <c r="V1151" s="30">
        <f>PM_Angle!$J$13+PM_Angle!$K$13*$C1151+PM_Angle!$L$13*$B1151</f>
      </c>
      <c r="W1151" s="12">
        <f>IF(V1151&gt;0,IF(V1151&lt;=eco,alpha*fck*(1-(1-V1151/eco)^n),alpha*fck),0)</f>
      </c>
      <c r="X1151" s="30">
        <f>PM_Angle!$J$14+PM_Angle!$K$14*$C1151+PM_Angle!$L$14*$B1151</f>
      </c>
      <c r="Y1151" s="12">
        <f>IF(X1151&gt;0,IF(X1151&lt;=eco,alpha*fck*(1-(1-X1151/eco)^n),alpha*fck),0)</f>
      </c>
      <c r="Z1151" s="30">
        <f>PM_Angle!$J$15+PM_Angle!$K$15*$C1151+PM_Angle!$L$15*$B1151</f>
      </c>
      <c r="AA1151" s="12">
        <f>IF(Z1151&gt;0,IF(Z1151&lt;=eco,alpha*fck*(1-(1-Z1151/eco)^n),alpha*fck),0)</f>
      </c>
      <c r="AB1151" s="30">
        <f>PM_Angle!$J$16+PM_Angle!$K$16*$C1151+PM_Angle!$L$16*$B1151</f>
      </c>
      <c r="AC1151" s="12">
        <f>IF(AB1151&gt;0,IF(AB1151&lt;=eco,alpha*fck*(1-(1-AB1151/eco)^n),alpha*fck),0)</f>
      </c>
      <c r="AD1151" s="30">
        <f>PM_Angle!$J$17+PM_Angle!$K$17*$C1151+PM_Angle!$L$17*$B1151</f>
      </c>
      <c r="AE1151" s="12">
        <f>IF(AD1151&gt;0,IF(AD1151&lt;=eco,alpha*fck*(1-(1-AD1151/eco)^n),alpha*fck),0)</f>
      </c>
      <c r="AF1151" s="30">
        <f>PM_Angle!$J$18+PM_Angle!$K$18*$C1151+PM_Angle!$L$18*$B1151</f>
      </c>
      <c r="AG1151" s="12">
        <f>IF(AF1151&gt;0,IF(AF1151&lt;=eco,alpha*fck*(1-(1-AF1151/eco)^n),alpha*fck),0)</f>
      </c>
      <c r="AH1151" s="30">
        <f>PM_Angle!$J$19+PM_Angle!$K$19*$C1151+PM_Angle!$L$19*$B1151</f>
      </c>
      <c r="AI1151" s="12">
        <f>IF(AH1151&gt;0,IF(AH1151&lt;=eco,alpha*fck*(1-(1-AH1151/eco)^n),alpha*fck),0)</f>
      </c>
      <c r="AJ1151" s="30">
        <f>PM_Angle!$J$20+PM_Angle!$K$20*$C1151+PM_Angle!$L$20*$B1151</f>
      </c>
      <c r="AK1151" s="12">
        <f>IF(AJ1151&gt;0,IF(AJ1151&lt;=eco,alpha*fck*(1-(1-AJ1151/eco)^n),alpha*fck),0)</f>
      </c>
      <c r="AL1151" s="30">
        <f>PM_Angle!$J$21+PM_Angle!$K$21*$C1151+PM_Angle!$L$21*$B1151</f>
      </c>
      <c r="AM1151" s="12">
        <f>IF(AL1151&gt;0,IF(AL1151&lt;=eco,alpha*fck*(1-(1-AL1151/eco)^n),alpha*fck),0)</f>
      </c>
      <c r="AN1151" s="30">
        <f>PM_Angle!$J$22+PM_Angle!$K$22*$C1151+PM_Angle!$L$22*$B1151</f>
      </c>
      <c r="AO1151" s="12">
        <f>IF(AN1151&gt;0,IF(AN1151&lt;=eco,alpha*fck*(1-(1-AN1151/eco)^n),alpha*fck),0)</f>
      </c>
      <c r="AP1151" s="30">
        <f>PM_Angle!$J$23+PM_Angle!$K$23*$C1151+PM_Angle!$L$23*$B1151</f>
      </c>
      <c r="AQ1151" s="12">
        <f>IF(AP1151&gt;0,IF(AP1151&lt;=eco,alpha*fck*(1-(1-AP1151/eco)^n),alpha*fck),0)</f>
      </c>
      <c r="AR1151" s="30">
        <f>PM_Angle!$J$24+PM_Angle!$K$24*$C1151+PM_Angle!$L$24*$B1151</f>
      </c>
      <c r="AS1151" s="12">
        <f>IF(AR1151&gt;0,IF(AR1151&lt;=eco,alpha*fck*(1-(1-AR1151/eco)^n),alpha*fck),0)</f>
      </c>
      <c r="AT1151" s="30">
        <f>PM_Angle!$J$25+PM_Angle!$K$25*$C1151+PM_Angle!$L$25*$B1151</f>
      </c>
      <c r="AU1151" s="12">
        <f>IF(AT1151&gt;0,IF(AT1151&lt;=eco,alpha*fck*(1-(1-AT1151/eco)^n),alpha*fck),0)</f>
      </c>
    </row>
    <row r="1152" spans="1:47" x14ac:dyDescent="0.25">
      <c r="A1152">
        <f>Mesh!A1149</f>
      </c>
      <c r="B1152" s="12">
        <f>Mesh!B1149</f>
      </c>
      <c r="C1152" s="12">
        <f>Mesh!C1149</f>
      </c>
      <c r="D1152" s="12">
        <f>Mesh!D1149</f>
      </c>
      <c r="E1152" s="30">
        <f>INDEX(St_e0,Det+1)+INDEX(St_kx,Det+1)*C1152+INDEX(St_ky,Det+1)*B1152</f>
      </c>
      <c r="F1152" s="12">
        <f>IF(E1152&gt;0,IF(E1152&lt;=eco,alpha*fck*(1-(1-E1152/eco)^n),alpha*fck),0)</f>
      </c>
      <c r="G1152" s="11">
        <f>F1152*D1152</f>
      </c>
      <c r="H1152" s="11">
        <f>G1152*C1152</f>
      </c>
      <c r="I1152" s="11">
        <f>G1152*B1152</f>
      </c>
      <c r="J1152" s="30">
        <f>PM_Angle!$J$7+PM_Angle!$K$7*$C1152+PM_Angle!$L$7*$B1152</f>
      </c>
      <c r="K1152" s="12">
        <f>IF(J1152&gt;0,IF(J1152&lt;=eco,alpha*fck*(1-(1-J1152/eco)^n),alpha*fck),0)</f>
      </c>
      <c r="L1152" s="30">
        <f>PM_Angle!$J$8+PM_Angle!$K$8*$C1152+PM_Angle!$L$8*$B1152</f>
      </c>
      <c r="M1152" s="12">
        <f>IF(L1152&gt;0,IF(L1152&lt;=eco,alpha*fck*(1-(1-L1152/eco)^n),alpha*fck),0)</f>
      </c>
      <c r="N1152" s="30">
        <f>PM_Angle!$J$9+PM_Angle!$K$9*$C1152+PM_Angle!$L$9*$B1152</f>
      </c>
      <c r="O1152" s="12">
        <f>IF(N1152&gt;0,IF(N1152&lt;=eco,alpha*fck*(1-(1-N1152/eco)^n),alpha*fck),0)</f>
      </c>
      <c r="P1152" s="30">
        <f>PM_Angle!$J$10+PM_Angle!$K$10*$C1152+PM_Angle!$L$10*$B1152</f>
      </c>
      <c r="Q1152" s="12">
        <f>IF(P1152&gt;0,IF(P1152&lt;=eco,alpha*fck*(1-(1-P1152/eco)^n),alpha*fck),0)</f>
      </c>
      <c r="R1152" s="30">
        <f>PM_Angle!$J$11+PM_Angle!$K$11*$C1152+PM_Angle!$L$11*$B1152</f>
      </c>
      <c r="S1152" s="12">
        <f>IF(R1152&gt;0,IF(R1152&lt;=eco,alpha*fck*(1-(1-R1152/eco)^n),alpha*fck),0)</f>
      </c>
      <c r="T1152" s="30">
        <f>PM_Angle!$J$12+PM_Angle!$K$12*$C1152+PM_Angle!$L$12*$B1152</f>
      </c>
      <c r="U1152" s="12">
        <f>IF(T1152&gt;0,IF(T1152&lt;=eco,alpha*fck*(1-(1-T1152/eco)^n),alpha*fck),0)</f>
      </c>
      <c r="V1152" s="30">
        <f>PM_Angle!$J$13+PM_Angle!$K$13*$C1152+PM_Angle!$L$13*$B1152</f>
      </c>
      <c r="W1152" s="12">
        <f>IF(V1152&gt;0,IF(V1152&lt;=eco,alpha*fck*(1-(1-V1152/eco)^n),alpha*fck),0)</f>
      </c>
      <c r="X1152" s="30">
        <f>PM_Angle!$J$14+PM_Angle!$K$14*$C1152+PM_Angle!$L$14*$B1152</f>
      </c>
      <c r="Y1152" s="12">
        <f>IF(X1152&gt;0,IF(X1152&lt;=eco,alpha*fck*(1-(1-X1152/eco)^n),alpha*fck),0)</f>
      </c>
      <c r="Z1152" s="30">
        <f>PM_Angle!$J$15+PM_Angle!$K$15*$C1152+PM_Angle!$L$15*$B1152</f>
      </c>
      <c r="AA1152" s="12">
        <f>IF(Z1152&gt;0,IF(Z1152&lt;=eco,alpha*fck*(1-(1-Z1152/eco)^n),alpha*fck),0)</f>
      </c>
      <c r="AB1152" s="30">
        <f>PM_Angle!$J$16+PM_Angle!$K$16*$C1152+PM_Angle!$L$16*$B1152</f>
      </c>
      <c r="AC1152" s="12">
        <f>IF(AB1152&gt;0,IF(AB1152&lt;=eco,alpha*fck*(1-(1-AB1152/eco)^n),alpha*fck),0)</f>
      </c>
      <c r="AD1152" s="30">
        <f>PM_Angle!$J$17+PM_Angle!$K$17*$C1152+PM_Angle!$L$17*$B1152</f>
      </c>
      <c r="AE1152" s="12">
        <f>IF(AD1152&gt;0,IF(AD1152&lt;=eco,alpha*fck*(1-(1-AD1152/eco)^n),alpha*fck),0)</f>
      </c>
      <c r="AF1152" s="30">
        <f>PM_Angle!$J$18+PM_Angle!$K$18*$C1152+PM_Angle!$L$18*$B1152</f>
      </c>
      <c r="AG1152" s="12">
        <f>IF(AF1152&gt;0,IF(AF1152&lt;=eco,alpha*fck*(1-(1-AF1152/eco)^n),alpha*fck),0)</f>
      </c>
      <c r="AH1152" s="30">
        <f>PM_Angle!$J$19+PM_Angle!$K$19*$C1152+PM_Angle!$L$19*$B1152</f>
      </c>
      <c r="AI1152" s="12">
        <f>IF(AH1152&gt;0,IF(AH1152&lt;=eco,alpha*fck*(1-(1-AH1152/eco)^n),alpha*fck),0)</f>
      </c>
      <c r="AJ1152" s="30">
        <f>PM_Angle!$J$20+PM_Angle!$K$20*$C1152+PM_Angle!$L$20*$B1152</f>
      </c>
      <c r="AK1152" s="12">
        <f>IF(AJ1152&gt;0,IF(AJ1152&lt;=eco,alpha*fck*(1-(1-AJ1152/eco)^n),alpha*fck),0)</f>
      </c>
      <c r="AL1152" s="30">
        <f>PM_Angle!$J$21+PM_Angle!$K$21*$C1152+PM_Angle!$L$21*$B1152</f>
      </c>
      <c r="AM1152" s="12">
        <f>IF(AL1152&gt;0,IF(AL1152&lt;=eco,alpha*fck*(1-(1-AL1152/eco)^n),alpha*fck),0)</f>
      </c>
      <c r="AN1152" s="30">
        <f>PM_Angle!$J$22+PM_Angle!$K$22*$C1152+PM_Angle!$L$22*$B1152</f>
      </c>
      <c r="AO1152" s="12">
        <f>IF(AN1152&gt;0,IF(AN1152&lt;=eco,alpha*fck*(1-(1-AN1152/eco)^n),alpha*fck),0)</f>
      </c>
      <c r="AP1152" s="30">
        <f>PM_Angle!$J$23+PM_Angle!$K$23*$C1152+PM_Angle!$L$23*$B1152</f>
      </c>
      <c r="AQ1152" s="12">
        <f>IF(AP1152&gt;0,IF(AP1152&lt;=eco,alpha*fck*(1-(1-AP1152/eco)^n),alpha*fck),0)</f>
      </c>
      <c r="AR1152" s="30">
        <f>PM_Angle!$J$24+PM_Angle!$K$24*$C1152+PM_Angle!$L$24*$B1152</f>
      </c>
      <c r="AS1152" s="12">
        <f>IF(AR1152&gt;0,IF(AR1152&lt;=eco,alpha*fck*(1-(1-AR1152/eco)^n),alpha*fck),0)</f>
      </c>
      <c r="AT1152" s="30">
        <f>PM_Angle!$J$25+PM_Angle!$K$25*$C1152+PM_Angle!$L$25*$B1152</f>
      </c>
      <c r="AU1152" s="12">
        <f>IF(AT1152&gt;0,IF(AT1152&lt;=eco,alpha*fck*(1-(1-AT1152/eco)^n),alpha*fck),0)</f>
      </c>
    </row>
    <row r="1153" spans="1:47" x14ac:dyDescent="0.25">
      <c r="A1153">
        <f>Mesh!A1150</f>
      </c>
      <c r="B1153" s="12">
        <f>Mesh!B1150</f>
      </c>
      <c r="C1153" s="12">
        <f>Mesh!C1150</f>
      </c>
      <c r="D1153" s="12">
        <f>Mesh!D1150</f>
      </c>
      <c r="E1153" s="30">
        <f>INDEX(St_e0,Det+1)+INDEX(St_kx,Det+1)*C1153+INDEX(St_ky,Det+1)*B1153</f>
      </c>
      <c r="F1153" s="12">
        <f>IF(E1153&gt;0,IF(E1153&lt;=eco,alpha*fck*(1-(1-E1153/eco)^n),alpha*fck),0)</f>
      </c>
      <c r="G1153" s="11">
        <f>F1153*D1153</f>
      </c>
      <c r="H1153" s="11">
        <f>G1153*C1153</f>
      </c>
      <c r="I1153" s="11">
        <f>G1153*B1153</f>
      </c>
      <c r="J1153" s="30">
        <f>PM_Angle!$J$7+PM_Angle!$K$7*$C1153+PM_Angle!$L$7*$B1153</f>
      </c>
      <c r="K1153" s="12">
        <f>IF(J1153&gt;0,IF(J1153&lt;=eco,alpha*fck*(1-(1-J1153/eco)^n),alpha*fck),0)</f>
      </c>
      <c r="L1153" s="30">
        <f>PM_Angle!$J$8+PM_Angle!$K$8*$C1153+PM_Angle!$L$8*$B1153</f>
      </c>
      <c r="M1153" s="12">
        <f>IF(L1153&gt;0,IF(L1153&lt;=eco,alpha*fck*(1-(1-L1153/eco)^n),alpha*fck),0)</f>
      </c>
      <c r="N1153" s="30">
        <f>PM_Angle!$J$9+PM_Angle!$K$9*$C1153+PM_Angle!$L$9*$B1153</f>
      </c>
      <c r="O1153" s="12">
        <f>IF(N1153&gt;0,IF(N1153&lt;=eco,alpha*fck*(1-(1-N1153/eco)^n),alpha*fck),0)</f>
      </c>
      <c r="P1153" s="30">
        <f>PM_Angle!$J$10+PM_Angle!$K$10*$C1153+PM_Angle!$L$10*$B1153</f>
      </c>
      <c r="Q1153" s="12">
        <f>IF(P1153&gt;0,IF(P1153&lt;=eco,alpha*fck*(1-(1-P1153/eco)^n),alpha*fck),0)</f>
      </c>
      <c r="R1153" s="30">
        <f>PM_Angle!$J$11+PM_Angle!$K$11*$C1153+PM_Angle!$L$11*$B1153</f>
      </c>
      <c r="S1153" s="12">
        <f>IF(R1153&gt;0,IF(R1153&lt;=eco,alpha*fck*(1-(1-R1153/eco)^n),alpha*fck),0)</f>
      </c>
      <c r="T1153" s="30">
        <f>PM_Angle!$J$12+PM_Angle!$K$12*$C1153+PM_Angle!$L$12*$B1153</f>
      </c>
      <c r="U1153" s="12">
        <f>IF(T1153&gt;0,IF(T1153&lt;=eco,alpha*fck*(1-(1-T1153/eco)^n),alpha*fck),0)</f>
      </c>
      <c r="V1153" s="30">
        <f>PM_Angle!$J$13+PM_Angle!$K$13*$C1153+PM_Angle!$L$13*$B1153</f>
      </c>
      <c r="W1153" s="12">
        <f>IF(V1153&gt;0,IF(V1153&lt;=eco,alpha*fck*(1-(1-V1153/eco)^n),alpha*fck),0)</f>
      </c>
      <c r="X1153" s="30">
        <f>PM_Angle!$J$14+PM_Angle!$K$14*$C1153+PM_Angle!$L$14*$B1153</f>
      </c>
      <c r="Y1153" s="12">
        <f>IF(X1153&gt;0,IF(X1153&lt;=eco,alpha*fck*(1-(1-X1153/eco)^n),alpha*fck),0)</f>
      </c>
      <c r="Z1153" s="30">
        <f>PM_Angle!$J$15+PM_Angle!$K$15*$C1153+PM_Angle!$L$15*$B1153</f>
      </c>
      <c r="AA1153" s="12">
        <f>IF(Z1153&gt;0,IF(Z1153&lt;=eco,alpha*fck*(1-(1-Z1153/eco)^n),alpha*fck),0)</f>
      </c>
      <c r="AB1153" s="30">
        <f>PM_Angle!$J$16+PM_Angle!$K$16*$C1153+PM_Angle!$L$16*$B1153</f>
      </c>
      <c r="AC1153" s="12">
        <f>IF(AB1153&gt;0,IF(AB1153&lt;=eco,alpha*fck*(1-(1-AB1153/eco)^n),alpha*fck),0)</f>
      </c>
      <c r="AD1153" s="30">
        <f>PM_Angle!$J$17+PM_Angle!$K$17*$C1153+PM_Angle!$L$17*$B1153</f>
      </c>
      <c r="AE1153" s="12">
        <f>IF(AD1153&gt;0,IF(AD1153&lt;=eco,alpha*fck*(1-(1-AD1153/eco)^n),alpha*fck),0)</f>
      </c>
      <c r="AF1153" s="30">
        <f>PM_Angle!$J$18+PM_Angle!$K$18*$C1153+PM_Angle!$L$18*$B1153</f>
      </c>
      <c r="AG1153" s="12">
        <f>IF(AF1153&gt;0,IF(AF1153&lt;=eco,alpha*fck*(1-(1-AF1153/eco)^n),alpha*fck),0)</f>
      </c>
      <c r="AH1153" s="30">
        <f>PM_Angle!$J$19+PM_Angle!$K$19*$C1153+PM_Angle!$L$19*$B1153</f>
      </c>
      <c r="AI1153" s="12">
        <f>IF(AH1153&gt;0,IF(AH1153&lt;=eco,alpha*fck*(1-(1-AH1153/eco)^n),alpha*fck),0)</f>
      </c>
      <c r="AJ1153" s="30">
        <f>PM_Angle!$J$20+PM_Angle!$K$20*$C1153+PM_Angle!$L$20*$B1153</f>
      </c>
      <c r="AK1153" s="12">
        <f>IF(AJ1153&gt;0,IF(AJ1153&lt;=eco,alpha*fck*(1-(1-AJ1153/eco)^n),alpha*fck),0)</f>
      </c>
      <c r="AL1153" s="30">
        <f>PM_Angle!$J$21+PM_Angle!$K$21*$C1153+PM_Angle!$L$21*$B1153</f>
      </c>
      <c r="AM1153" s="12">
        <f>IF(AL1153&gt;0,IF(AL1153&lt;=eco,alpha*fck*(1-(1-AL1153/eco)^n),alpha*fck),0)</f>
      </c>
      <c r="AN1153" s="30">
        <f>PM_Angle!$J$22+PM_Angle!$K$22*$C1153+PM_Angle!$L$22*$B1153</f>
      </c>
      <c r="AO1153" s="12">
        <f>IF(AN1153&gt;0,IF(AN1153&lt;=eco,alpha*fck*(1-(1-AN1153/eco)^n),alpha*fck),0)</f>
      </c>
      <c r="AP1153" s="30">
        <f>PM_Angle!$J$23+PM_Angle!$K$23*$C1153+PM_Angle!$L$23*$B1153</f>
      </c>
      <c r="AQ1153" s="12">
        <f>IF(AP1153&gt;0,IF(AP1153&lt;=eco,alpha*fck*(1-(1-AP1153/eco)^n),alpha*fck),0)</f>
      </c>
      <c r="AR1153" s="30">
        <f>PM_Angle!$J$24+PM_Angle!$K$24*$C1153+PM_Angle!$L$24*$B1153</f>
      </c>
      <c r="AS1153" s="12">
        <f>IF(AR1153&gt;0,IF(AR1153&lt;=eco,alpha*fck*(1-(1-AR1153/eco)^n),alpha*fck),0)</f>
      </c>
      <c r="AT1153" s="30">
        <f>PM_Angle!$J$25+PM_Angle!$K$25*$C1153+PM_Angle!$L$25*$B1153</f>
      </c>
      <c r="AU1153" s="12">
        <f>IF(AT1153&gt;0,IF(AT1153&lt;=eco,alpha*fck*(1-(1-AT1153/eco)^n),alpha*fck),0)</f>
      </c>
    </row>
    <row r="1154" spans="1:47" x14ac:dyDescent="0.25">
      <c r="A1154">
        <f>Mesh!A1151</f>
      </c>
      <c r="B1154" s="12">
        <f>Mesh!B1151</f>
      </c>
      <c r="C1154" s="12">
        <f>Mesh!C1151</f>
      </c>
      <c r="D1154" s="12">
        <f>Mesh!D1151</f>
      </c>
      <c r="E1154" s="30">
        <f>INDEX(St_e0,Det+1)+INDEX(St_kx,Det+1)*C1154+INDEX(St_ky,Det+1)*B1154</f>
      </c>
      <c r="F1154" s="12">
        <f>IF(E1154&gt;0,IF(E1154&lt;=eco,alpha*fck*(1-(1-E1154/eco)^n),alpha*fck),0)</f>
      </c>
      <c r="G1154" s="11">
        <f>F1154*D1154</f>
      </c>
      <c r="H1154" s="11">
        <f>G1154*C1154</f>
      </c>
      <c r="I1154" s="11">
        <f>G1154*B1154</f>
      </c>
      <c r="J1154" s="30">
        <f>PM_Angle!$J$7+PM_Angle!$K$7*$C1154+PM_Angle!$L$7*$B1154</f>
      </c>
      <c r="K1154" s="12">
        <f>IF(J1154&gt;0,IF(J1154&lt;=eco,alpha*fck*(1-(1-J1154/eco)^n),alpha*fck),0)</f>
      </c>
      <c r="L1154" s="30">
        <f>PM_Angle!$J$8+PM_Angle!$K$8*$C1154+PM_Angle!$L$8*$B1154</f>
      </c>
      <c r="M1154" s="12">
        <f>IF(L1154&gt;0,IF(L1154&lt;=eco,alpha*fck*(1-(1-L1154/eco)^n),alpha*fck),0)</f>
      </c>
      <c r="N1154" s="30">
        <f>PM_Angle!$J$9+PM_Angle!$K$9*$C1154+PM_Angle!$L$9*$B1154</f>
      </c>
      <c r="O1154" s="12">
        <f>IF(N1154&gt;0,IF(N1154&lt;=eco,alpha*fck*(1-(1-N1154/eco)^n),alpha*fck),0)</f>
      </c>
      <c r="P1154" s="30">
        <f>PM_Angle!$J$10+PM_Angle!$K$10*$C1154+PM_Angle!$L$10*$B1154</f>
      </c>
      <c r="Q1154" s="12">
        <f>IF(P1154&gt;0,IF(P1154&lt;=eco,alpha*fck*(1-(1-P1154/eco)^n),alpha*fck),0)</f>
      </c>
      <c r="R1154" s="30">
        <f>PM_Angle!$J$11+PM_Angle!$K$11*$C1154+PM_Angle!$L$11*$B1154</f>
      </c>
      <c r="S1154" s="12">
        <f>IF(R1154&gt;0,IF(R1154&lt;=eco,alpha*fck*(1-(1-R1154/eco)^n),alpha*fck),0)</f>
      </c>
      <c r="T1154" s="30">
        <f>PM_Angle!$J$12+PM_Angle!$K$12*$C1154+PM_Angle!$L$12*$B1154</f>
      </c>
      <c r="U1154" s="12">
        <f>IF(T1154&gt;0,IF(T1154&lt;=eco,alpha*fck*(1-(1-T1154/eco)^n),alpha*fck),0)</f>
      </c>
      <c r="V1154" s="30">
        <f>PM_Angle!$J$13+PM_Angle!$K$13*$C1154+PM_Angle!$L$13*$B1154</f>
      </c>
      <c r="W1154" s="12">
        <f>IF(V1154&gt;0,IF(V1154&lt;=eco,alpha*fck*(1-(1-V1154/eco)^n),alpha*fck),0)</f>
      </c>
      <c r="X1154" s="30">
        <f>PM_Angle!$J$14+PM_Angle!$K$14*$C1154+PM_Angle!$L$14*$B1154</f>
      </c>
      <c r="Y1154" s="12">
        <f>IF(X1154&gt;0,IF(X1154&lt;=eco,alpha*fck*(1-(1-X1154/eco)^n),alpha*fck),0)</f>
      </c>
      <c r="Z1154" s="30">
        <f>PM_Angle!$J$15+PM_Angle!$K$15*$C1154+PM_Angle!$L$15*$B1154</f>
      </c>
      <c r="AA1154" s="12">
        <f>IF(Z1154&gt;0,IF(Z1154&lt;=eco,alpha*fck*(1-(1-Z1154/eco)^n),alpha*fck),0)</f>
      </c>
      <c r="AB1154" s="30">
        <f>PM_Angle!$J$16+PM_Angle!$K$16*$C1154+PM_Angle!$L$16*$B1154</f>
      </c>
      <c r="AC1154" s="12">
        <f>IF(AB1154&gt;0,IF(AB1154&lt;=eco,alpha*fck*(1-(1-AB1154/eco)^n),alpha*fck),0)</f>
      </c>
      <c r="AD1154" s="30">
        <f>PM_Angle!$J$17+PM_Angle!$K$17*$C1154+PM_Angle!$L$17*$B1154</f>
      </c>
      <c r="AE1154" s="12">
        <f>IF(AD1154&gt;0,IF(AD1154&lt;=eco,alpha*fck*(1-(1-AD1154/eco)^n),alpha*fck),0)</f>
      </c>
      <c r="AF1154" s="30">
        <f>PM_Angle!$J$18+PM_Angle!$K$18*$C1154+PM_Angle!$L$18*$B1154</f>
      </c>
      <c r="AG1154" s="12">
        <f>IF(AF1154&gt;0,IF(AF1154&lt;=eco,alpha*fck*(1-(1-AF1154/eco)^n),alpha*fck),0)</f>
      </c>
      <c r="AH1154" s="30">
        <f>PM_Angle!$J$19+PM_Angle!$K$19*$C1154+PM_Angle!$L$19*$B1154</f>
      </c>
      <c r="AI1154" s="12">
        <f>IF(AH1154&gt;0,IF(AH1154&lt;=eco,alpha*fck*(1-(1-AH1154/eco)^n),alpha*fck),0)</f>
      </c>
      <c r="AJ1154" s="30">
        <f>PM_Angle!$J$20+PM_Angle!$K$20*$C1154+PM_Angle!$L$20*$B1154</f>
      </c>
      <c r="AK1154" s="12">
        <f>IF(AJ1154&gt;0,IF(AJ1154&lt;=eco,alpha*fck*(1-(1-AJ1154/eco)^n),alpha*fck),0)</f>
      </c>
      <c r="AL1154" s="30">
        <f>PM_Angle!$J$21+PM_Angle!$K$21*$C1154+PM_Angle!$L$21*$B1154</f>
      </c>
      <c r="AM1154" s="12">
        <f>IF(AL1154&gt;0,IF(AL1154&lt;=eco,alpha*fck*(1-(1-AL1154/eco)^n),alpha*fck),0)</f>
      </c>
      <c r="AN1154" s="30">
        <f>PM_Angle!$J$22+PM_Angle!$K$22*$C1154+PM_Angle!$L$22*$B1154</f>
      </c>
      <c r="AO1154" s="12">
        <f>IF(AN1154&gt;0,IF(AN1154&lt;=eco,alpha*fck*(1-(1-AN1154/eco)^n),alpha*fck),0)</f>
      </c>
      <c r="AP1154" s="30">
        <f>PM_Angle!$J$23+PM_Angle!$K$23*$C1154+PM_Angle!$L$23*$B1154</f>
      </c>
      <c r="AQ1154" s="12">
        <f>IF(AP1154&gt;0,IF(AP1154&lt;=eco,alpha*fck*(1-(1-AP1154/eco)^n),alpha*fck),0)</f>
      </c>
      <c r="AR1154" s="30">
        <f>PM_Angle!$J$24+PM_Angle!$K$24*$C1154+PM_Angle!$L$24*$B1154</f>
      </c>
      <c r="AS1154" s="12">
        <f>IF(AR1154&gt;0,IF(AR1154&lt;=eco,alpha*fck*(1-(1-AR1154/eco)^n),alpha*fck),0)</f>
      </c>
      <c r="AT1154" s="30">
        <f>PM_Angle!$J$25+PM_Angle!$K$25*$C1154+PM_Angle!$L$25*$B1154</f>
      </c>
      <c r="AU1154" s="12">
        <f>IF(AT1154&gt;0,IF(AT1154&lt;=eco,alpha*fck*(1-(1-AT1154/eco)^n),alpha*fck),0)</f>
      </c>
    </row>
    <row r="1155" spans="1:47" x14ac:dyDescent="0.25">
      <c r="A1155">
        <f>Mesh!A1152</f>
      </c>
      <c r="B1155" s="12">
        <f>Mesh!B1152</f>
      </c>
      <c r="C1155" s="12">
        <f>Mesh!C1152</f>
      </c>
      <c r="D1155" s="12">
        <f>Mesh!D1152</f>
      </c>
      <c r="E1155" s="30">
        <f>INDEX(St_e0,Det+1)+INDEX(St_kx,Det+1)*C1155+INDEX(St_ky,Det+1)*B1155</f>
      </c>
      <c r="F1155" s="12">
        <f>IF(E1155&gt;0,IF(E1155&lt;=eco,alpha*fck*(1-(1-E1155/eco)^n),alpha*fck),0)</f>
      </c>
      <c r="G1155" s="11">
        <f>F1155*D1155</f>
      </c>
      <c r="H1155" s="11">
        <f>G1155*C1155</f>
      </c>
      <c r="I1155" s="11">
        <f>G1155*B1155</f>
      </c>
      <c r="J1155" s="30">
        <f>PM_Angle!$J$7+PM_Angle!$K$7*$C1155+PM_Angle!$L$7*$B1155</f>
      </c>
      <c r="K1155" s="12">
        <f>IF(J1155&gt;0,IF(J1155&lt;=eco,alpha*fck*(1-(1-J1155/eco)^n),alpha*fck),0)</f>
      </c>
      <c r="L1155" s="30">
        <f>PM_Angle!$J$8+PM_Angle!$K$8*$C1155+PM_Angle!$L$8*$B1155</f>
      </c>
      <c r="M1155" s="12">
        <f>IF(L1155&gt;0,IF(L1155&lt;=eco,alpha*fck*(1-(1-L1155/eco)^n),alpha*fck),0)</f>
      </c>
      <c r="N1155" s="30">
        <f>PM_Angle!$J$9+PM_Angle!$K$9*$C1155+PM_Angle!$L$9*$B1155</f>
      </c>
      <c r="O1155" s="12">
        <f>IF(N1155&gt;0,IF(N1155&lt;=eco,alpha*fck*(1-(1-N1155/eco)^n),alpha*fck),0)</f>
      </c>
      <c r="P1155" s="30">
        <f>PM_Angle!$J$10+PM_Angle!$K$10*$C1155+PM_Angle!$L$10*$B1155</f>
      </c>
      <c r="Q1155" s="12">
        <f>IF(P1155&gt;0,IF(P1155&lt;=eco,alpha*fck*(1-(1-P1155/eco)^n),alpha*fck),0)</f>
      </c>
      <c r="R1155" s="30">
        <f>PM_Angle!$J$11+PM_Angle!$K$11*$C1155+PM_Angle!$L$11*$B1155</f>
      </c>
      <c r="S1155" s="12">
        <f>IF(R1155&gt;0,IF(R1155&lt;=eco,alpha*fck*(1-(1-R1155/eco)^n),alpha*fck),0)</f>
      </c>
      <c r="T1155" s="30">
        <f>PM_Angle!$J$12+PM_Angle!$K$12*$C1155+PM_Angle!$L$12*$B1155</f>
      </c>
      <c r="U1155" s="12">
        <f>IF(T1155&gt;0,IF(T1155&lt;=eco,alpha*fck*(1-(1-T1155/eco)^n),alpha*fck),0)</f>
      </c>
      <c r="V1155" s="30">
        <f>PM_Angle!$J$13+PM_Angle!$K$13*$C1155+PM_Angle!$L$13*$B1155</f>
      </c>
      <c r="W1155" s="12">
        <f>IF(V1155&gt;0,IF(V1155&lt;=eco,alpha*fck*(1-(1-V1155/eco)^n),alpha*fck),0)</f>
      </c>
      <c r="X1155" s="30">
        <f>PM_Angle!$J$14+PM_Angle!$K$14*$C1155+PM_Angle!$L$14*$B1155</f>
      </c>
      <c r="Y1155" s="12">
        <f>IF(X1155&gt;0,IF(X1155&lt;=eco,alpha*fck*(1-(1-X1155/eco)^n),alpha*fck),0)</f>
      </c>
      <c r="Z1155" s="30">
        <f>PM_Angle!$J$15+PM_Angle!$K$15*$C1155+PM_Angle!$L$15*$B1155</f>
      </c>
      <c r="AA1155" s="12">
        <f>IF(Z1155&gt;0,IF(Z1155&lt;=eco,alpha*fck*(1-(1-Z1155/eco)^n),alpha*fck),0)</f>
      </c>
      <c r="AB1155" s="30">
        <f>PM_Angle!$J$16+PM_Angle!$K$16*$C1155+PM_Angle!$L$16*$B1155</f>
      </c>
      <c r="AC1155" s="12">
        <f>IF(AB1155&gt;0,IF(AB1155&lt;=eco,alpha*fck*(1-(1-AB1155/eco)^n),alpha*fck),0)</f>
      </c>
      <c r="AD1155" s="30">
        <f>PM_Angle!$J$17+PM_Angle!$K$17*$C1155+PM_Angle!$L$17*$B1155</f>
      </c>
      <c r="AE1155" s="12">
        <f>IF(AD1155&gt;0,IF(AD1155&lt;=eco,alpha*fck*(1-(1-AD1155/eco)^n),alpha*fck),0)</f>
      </c>
      <c r="AF1155" s="30">
        <f>PM_Angle!$J$18+PM_Angle!$K$18*$C1155+PM_Angle!$L$18*$B1155</f>
      </c>
      <c r="AG1155" s="12">
        <f>IF(AF1155&gt;0,IF(AF1155&lt;=eco,alpha*fck*(1-(1-AF1155/eco)^n),alpha*fck),0)</f>
      </c>
      <c r="AH1155" s="30">
        <f>PM_Angle!$J$19+PM_Angle!$K$19*$C1155+PM_Angle!$L$19*$B1155</f>
      </c>
      <c r="AI1155" s="12">
        <f>IF(AH1155&gt;0,IF(AH1155&lt;=eco,alpha*fck*(1-(1-AH1155/eco)^n),alpha*fck),0)</f>
      </c>
      <c r="AJ1155" s="30">
        <f>PM_Angle!$J$20+PM_Angle!$K$20*$C1155+PM_Angle!$L$20*$B1155</f>
      </c>
      <c r="AK1155" s="12">
        <f>IF(AJ1155&gt;0,IF(AJ1155&lt;=eco,alpha*fck*(1-(1-AJ1155/eco)^n),alpha*fck),0)</f>
      </c>
      <c r="AL1155" s="30">
        <f>PM_Angle!$J$21+PM_Angle!$K$21*$C1155+PM_Angle!$L$21*$B1155</f>
      </c>
      <c r="AM1155" s="12">
        <f>IF(AL1155&gt;0,IF(AL1155&lt;=eco,alpha*fck*(1-(1-AL1155/eco)^n),alpha*fck),0)</f>
      </c>
      <c r="AN1155" s="30">
        <f>PM_Angle!$J$22+PM_Angle!$K$22*$C1155+PM_Angle!$L$22*$B1155</f>
      </c>
      <c r="AO1155" s="12">
        <f>IF(AN1155&gt;0,IF(AN1155&lt;=eco,alpha*fck*(1-(1-AN1155/eco)^n),alpha*fck),0)</f>
      </c>
      <c r="AP1155" s="30">
        <f>PM_Angle!$J$23+PM_Angle!$K$23*$C1155+PM_Angle!$L$23*$B1155</f>
      </c>
      <c r="AQ1155" s="12">
        <f>IF(AP1155&gt;0,IF(AP1155&lt;=eco,alpha*fck*(1-(1-AP1155/eco)^n),alpha*fck),0)</f>
      </c>
      <c r="AR1155" s="30">
        <f>PM_Angle!$J$24+PM_Angle!$K$24*$C1155+PM_Angle!$L$24*$B1155</f>
      </c>
      <c r="AS1155" s="12">
        <f>IF(AR1155&gt;0,IF(AR1155&lt;=eco,alpha*fck*(1-(1-AR1155/eco)^n),alpha*fck),0)</f>
      </c>
      <c r="AT1155" s="30">
        <f>PM_Angle!$J$25+PM_Angle!$K$25*$C1155+PM_Angle!$L$25*$B1155</f>
      </c>
      <c r="AU1155" s="12">
        <f>IF(AT1155&gt;0,IF(AT1155&lt;=eco,alpha*fck*(1-(1-AT1155/eco)^n),alpha*fck),0)</f>
      </c>
    </row>
    <row r="1156" spans="1:47" x14ac:dyDescent="0.25">
      <c r="A1156">
        <f>Mesh!A1153</f>
      </c>
      <c r="B1156" s="12">
        <f>Mesh!B1153</f>
      </c>
      <c r="C1156" s="12">
        <f>Mesh!C1153</f>
      </c>
      <c r="D1156" s="12">
        <f>Mesh!D1153</f>
      </c>
      <c r="E1156" s="30">
        <f>INDEX(St_e0,Det+1)+INDEX(St_kx,Det+1)*C1156+INDEX(St_ky,Det+1)*B1156</f>
      </c>
      <c r="F1156" s="12">
        <f>IF(E1156&gt;0,IF(E1156&lt;=eco,alpha*fck*(1-(1-E1156/eco)^n),alpha*fck),0)</f>
      </c>
      <c r="G1156" s="11">
        <f>F1156*D1156</f>
      </c>
      <c r="H1156" s="11">
        <f>G1156*C1156</f>
      </c>
      <c r="I1156" s="11">
        <f>G1156*B1156</f>
      </c>
      <c r="J1156" s="30">
        <f>PM_Angle!$J$7+PM_Angle!$K$7*$C1156+PM_Angle!$L$7*$B1156</f>
      </c>
      <c r="K1156" s="12">
        <f>IF(J1156&gt;0,IF(J1156&lt;=eco,alpha*fck*(1-(1-J1156/eco)^n),alpha*fck),0)</f>
      </c>
      <c r="L1156" s="30">
        <f>PM_Angle!$J$8+PM_Angle!$K$8*$C1156+PM_Angle!$L$8*$B1156</f>
      </c>
      <c r="M1156" s="12">
        <f>IF(L1156&gt;0,IF(L1156&lt;=eco,alpha*fck*(1-(1-L1156/eco)^n),alpha*fck),0)</f>
      </c>
      <c r="N1156" s="30">
        <f>PM_Angle!$J$9+PM_Angle!$K$9*$C1156+PM_Angle!$L$9*$B1156</f>
      </c>
      <c r="O1156" s="12">
        <f>IF(N1156&gt;0,IF(N1156&lt;=eco,alpha*fck*(1-(1-N1156/eco)^n),alpha*fck),0)</f>
      </c>
      <c r="P1156" s="30">
        <f>PM_Angle!$J$10+PM_Angle!$K$10*$C1156+PM_Angle!$L$10*$B1156</f>
      </c>
      <c r="Q1156" s="12">
        <f>IF(P1156&gt;0,IF(P1156&lt;=eco,alpha*fck*(1-(1-P1156/eco)^n),alpha*fck),0)</f>
      </c>
      <c r="R1156" s="30">
        <f>PM_Angle!$J$11+PM_Angle!$K$11*$C1156+PM_Angle!$L$11*$B1156</f>
      </c>
      <c r="S1156" s="12">
        <f>IF(R1156&gt;0,IF(R1156&lt;=eco,alpha*fck*(1-(1-R1156/eco)^n),alpha*fck),0)</f>
      </c>
      <c r="T1156" s="30">
        <f>PM_Angle!$J$12+PM_Angle!$K$12*$C1156+PM_Angle!$L$12*$B1156</f>
      </c>
      <c r="U1156" s="12">
        <f>IF(T1156&gt;0,IF(T1156&lt;=eco,alpha*fck*(1-(1-T1156/eco)^n),alpha*fck),0)</f>
      </c>
      <c r="V1156" s="30">
        <f>PM_Angle!$J$13+PM_Angle!$K$13*$C1156+PM_Angle!$L$13*$B1156</f>
      </c>
      <c r="W1156" s="12">
        <f>IF(V1156&gt;0,IF(V1156&lt;=eco,alpha*fck*(1-(1-V1156/eco)^n),alpha*fck),0)</f>
      </c>
      <c r="X1156" s="30">
        <f>PM_Angle!$J$14+PM_Angle!$K$14*$C1156+PM_Angle!$L$14*$B1156</f>
      </c>
      <c r="Y1156" s="12">
        <f>IF(X1156&gt;0,IF(X1156&lt;=eco,alpha*fck*(1-(1-X1156/eco)^n),alpha*fck),0)</f>
      </c>
      <c r="Z1156" s="30">
        <f>PM_Angle!$J$15+PM_Angle!$K$15*$C1156+PM_Angle!$L$15*$B1156</f>
      </c>
      <c r="AA1156" s="12">
        <f>IF(Z1156&gt;0,IF(Z1156&lt;=eco,alpha*fck*(1-(1-Z1156/eco)^n),alpha*fck),0)</f>
      </c>
      <c r="AB1156" s="30">
        <f>PM_Angle!$J$16+PM_Angle!$K$16*$C1156+PM_Angle!$L$16*$B1156</f>
      </c>
      <c r="AC1156" s="12">
        <f>IF(AB1156&gt;0,IF(AB1156&lt;=eco,alpha*fck*(1-(1-AB1156/eco)^n),alpha*fck),0)</f>
      </c>
      <c r="AD1156" s="30">
        <f>PM_Angle!$J$17+PM_Angle!$K$17*$C1156+PM_Angle!$L$17*$B1156</f>
      </c>
      <c r="AE1156" s="12">
        <f>IF(AD1156&gt;0,IF(AD1156&lt;=eco,alpha*fck*(1-(1-AD1156/eco)^n),alpha*fck),0)</f>
      </c>
      <c r="AF1156" s="30">
        <f>PM_Angle!$J$18+PM_Angle!$K$18*$C1156+PM_Angle!$L$18*$B1156</f>
      </c>
      <c r="AG1156" s="12">
        <f>IF(AF1156&gt;0,IF(AF1156&lt;=eco,alpha*fck*(1-(1-AF1156/eco)^n),alpha*fck),0)</f>
      </c>
      <c r="AH1156" s="30">
        <f>PM_Angle!$J$19+PM_Angle!$K$19*$C1156+PM_Angle!$L$19*$B1156</f>
      </c>
      <c r="AI1156" s="12">
        <f>IF(AH1156&gt;0,IF(AH1156&lt;=eco,alpha*fck*(1-(1-AH1156/eco)^n),alpha*fck),0)</f>
      </c>
      <c r="AJ1156" s="30">
        <f>PM_Angle!$J$20+PM_Angle!$K$20*$C1156+PM_Angle!$L$20*$B1156</f>
      </c>
      <c r="AK1156" s="12">
        <f>IF(AJ1156&gt;0,IF(AJ1156&lt;=eco,alpha*fck*(1-(1-AJ1156/eco)^n),alpha*fck),0)</f>
      </c>
      <c r="AL1156" s="30">
        <f>PM_Angle!$J$21+PM_Angle!$K$21*$C1156+PM_Angle!$L$21*$B1156</f>
      </c>
      <c r="AM1156" s="12">
        <f>IF(AL1156&gt;0,IF(AL1156&lt;=eco,alpha*fck*(1-(1-AL1156/eco)^n),alpha*fck),0)</f>
      </c>
      <c r="AN1156" s="30">
        <f>PM_Angle!$J$22+PM_Angle!$K$22*$C1156+PM_Angle!$L$22*$B1156</f>
      </c>
      <c r="AO1156" s="12">
        <f>IF(AN1156&gt;0,IF(AN1156&lt;=eco,alpha*fck*(1-(1-AN1156/eco)^n),alpha*fck),0)</f>
      </c>
      <c r="AP1156" s="30">
        <f>PM_Angle!$J$23+PM_Angle!$K$23*$C1156+PM_Angle!$L$23*$B1156</f>
      </c>
      <c r="AQ1156" s="12">
        <f>IF(AP1156&gt;0,IF(AP1156&lt;=eco,alpha*fck*(1-(1-AP1156/eco)^n),alpha*fck),0)</f>
      </c>
      <c r="AR1156" s="30">
        <f>PM_Angle!$J$24+PM_Angle!$K$24*$C1156+PM_Angle!$L$24*$B1156</f>
      </c>
      <c r="AS1156" s="12">
        <f>IF(AR1156&gt;0,IF(AR1156&lt;=eco,alpha*fck*(1-(1-AR1156/eco)^n),alpha*fck),0)</f>
      </c>
      <c r="AT1156" s="30">
        <f>PM_Angle!$J$25+PM_Angle!$K$25*$C1156+PM_Angle!$L$25*$B1156</f>
      </c>
      <c r="AU1156" s="12">
        <f>IF(AT1156&gt;0,IF(AT1156&lt;=eco,alpha*fck*(1-(1-AT1156/eco)^n),alpha*fck),0)</f>
      </c>
    </row>
    <row r="1157" spans="1:47" x14ac:dyDescent="0.25">
      <c r="A1157">
        <f>Mesh!A1154</f>
      </c>
      <c r="B1157" s="12">
        <f>Mesh!B1154</f>
      </c>
      <c r="C1157" s="12">
        <f>Mesh!C1154</f>
      </c>
      <c r="D1157" s="12">
        <f>Mesh!D1154</f>
      </c>
      <c r="E1157" s="30">
        <f>INDEX(St_e0,Det+1)+INDEX(St_kx,Det+1)*C1157+INDEX(St_ky,Det+1)*B1157</f>
      </c>
      <c r="F1157" s="12">
        <f>IF(E1157&gt;0,IF(E1157&lt;=eco,alpha*fck*(1-(1-E1157/eco)^n),alpha*fck),0)</f>
      </c>
      <c r="G1157" s="11">
        <f>F1157*D1157</f>
      </c>
      <c r="H1157" s="11">
        <f>G1157*C1157</f>
      </c>
      <c r="I1157" s="11">
        <f>G1157*B1157</f>
      </c>
      <c r="J1157" s="30">
        <f>PM_Angle!$J$7+PM_Angle!$K$7*$C1157+PM_Angle!$L$7*$B1157</f>
      </c>
      <c r="K1157" s="12">
        <f>IF(J1157&gt;0,IF(J1157&lt;=eco,alpha*fck*(1-(1-J1157/eco)^n),alpha*fck),0)</f>
      </c>
      <c r="L1157" s="30">
        <f>PM_Angle!$J$8+PM_Angle!$K$8*$C1157+PM_Angle!$L$8*$B1157</f>
      </c>
      <c r="M1157" s="12">
        <f>IF(L1157&gt;0,IF(L1157&lt;=eco,alpha*fck*(1-(1-L1157/eco)^n),alpha*fck),0)</f>
      </c>
      <c r="N1157" s="30">
        <f>PM_Angle!$J$9+PM_Angle!$K$9*$C1157+PM_Angle!$L$9*$B1157</f>
      </c>
      <c r="O1157" s="12">
        <f>IF(N1157&gt;0,IF(N1157&lt;=eco,alpha*fck*(1-(1-N1157/eco)^n),alpha*fck),0)</f>
      </c>
      <c r="P1157" s="30">
        <f>PM_Angle!$J$10+PM_Angle!$K$10*$C1157+PM_Angle!$L$10*$B1157</f>
      </c>
      <c r="Q1157" s="12">
        <f>IF(P1157&gt;0,IF(P1157&lt;=eco,alpha*fck*(1-(1-P1157/eco)^n),alpha*fck),0)</f>
      </c>
      <c r="R1157" s="30">
        <f>PM_Angle!$J$11+PM_Angle!$K$11*$C1157+PM_Angle!$L$11*$B1157</f>
      </c>
      <c r="S1157" s="12">
        <f>IF(R1157&gt;0,IF(R1157&lt;=eco,alpha*fck*(1-(1-R1157/eco)^n),alpha*fck),0)</f>
      </c>
      <c r="T1157" s="30">
        <f>PM_Angle!$J$12+PM_Angle!$K$12*$C1157+PM_Angle!$L$12*$B1157</f>
      </c>
      <c r="U1157" s="12">
        <f>IF(T1157&gt;0,IF(T1157&lt;=eco,alpha*fck*(1-(1-T1157/eco)^n),alpha*fck),0)</f>
      </c>
      <c r="V1157" s="30">
        <f>PM_Angle!$J$13+PM_Angle!$K$13*$C1157+PM_Angle!$L$13*$B1157</f>
      </c>
      <c r="W1157" s="12">
        <f>IF(V1157&gt;0,IF(V1157&lt;=eco,alpha*fck*(1-(1-V1157/eco)^n),alpha*fck),0)</f>
      </c>
      <c r="X1157" s="30">
        <f>PM_Angle!$J$14+PM_Angle!$K$14*$C1157+PM_Angle!$L$14*$B1157</f>
      </c>
      <c r="Y1157" s="12">
        <f>IF(X1157&gt;0,IF(X1157&lt;=eco,alpha*fck*(1-(1-X1157/eco)^n),alpha*fck),0)</f>
      </c>
      <c r="Z1157" s="30">
        <f>PM_Angle!$J$15+PM_Angle!$K$15*$C1157+PM_Angle!$L$15*$B1157</f>
      </c>
      <c r="AA1157" s="12">
        <f>IF(Z1157&gt;0,IF(Z1157&lt;=eco,alpha*fck*(1-(1-Z1157/eco)^n),alpha*fck),0)</f>
      </c>
      <c r="AB1157" s="30">
        <f>PM_Angle!$J$16+PM_Angle!$K$16*$C1157+PM_Angle!$L$16*$B1157</f>
      </c>
      <c r="AC1157" s="12">
        <f>IF(AB1157&gt;0,IF(AB1157&lt;=eco,alpha*fck*(1-(1-AB1157/eco)^n),alpha*fck),0)</f>
      </c>
      <c r="AD1157" s="30">
        <f>PM_Angle!$J$17+PM_Angle!$K$17*$C1157+PM_Angle!$L$17*$B1157</f>
      </c>
      <c r="AE1157" s="12">
        <f>IF(AD1157&gt;0,IF(AD1157&lt;=eco,alpha*fck*(1-(1-AD1157/eco)^n),alpha*fck),0)</f>
      </c>
      <c r="AF1157" s="30">
        <f>PM_Angle!$J$18+PM_Angle!$K$18*$C1157+PM_Angle!$L$18*$B1157</f>
      </c>
      <c r="AG1157" s="12">
        <f>IF(AF1157&gt;0,IF(AF1157&lt;=eco,alpha*fck*(1-(1-AF1157/eco)^n),alpha*fck),0)</f>
      </c>
      <c r="AH1157" s="30">
        <f>PM_Angle!$J$19+PM_Angle!$K$19*$C1157+PM_Angle!$L$19*$B1157</f>
      </c>
      <c r="AI1157" s="12">
        <f>IF(AH1157&gt;0,IF(AH1157&lt;=eco,alpha*fck*(1-(1-AH1157/eco)^n),alpha*fck),0)</f>
      </c>
      <c r="AJ1157" s="30">
        <f>PM_Angle!$J$20+PM_Angle!$K$20*$C1157+PM_Angle!$L$20*$B1157</f>
      </c>
      <c r="AK1157" s="12">
        <f>IF(AJ1157&gt;0,IF(AJ1157&lt;=eco,alpha*fck*(1-(1-AJ1157/eco)^n),alpha*fck),0)</f>
      </c>
      <c r="AL1157" s="30">
        <f>PM_Angle!$J$21+PM_Angle!$K$21*$C1157+PM_Angle!$L$21*$B1157</f>
      </c>
      <c r="AM1157" s="12">
        <f>IF(AL1157&gt;0,IF(AL1157&lt;=eco,alpha*fck*(1-(1-AL1157/eco)^n),alpha*fck),0)</f>
      </c>
      <c r="AN1157" s="30">
        <f>PM_Angle!$J$22+PM_Angle!$K$22*$C1157+PM_Angle!$L$22*$B1157</f>
      </c>
      <c r="AO1157" s="12">
        <f>IF(AN1157&gt;0,IF(AN1157&lt;=eco,alpha*fck*(1-(1-AN1157/eco)^n),alpha*fck),0)</f>
      </c>
      <c r="AP1157" s="30">
        <f>PM_Angle!$J$23+PM_Angle!$K$23*$C1157+PM_Angle!$L$23*$B1157</f>
      </c>
      <c r="AQ1157" s="12">
        <f>IF(AP1157&gt;0,IF(AP1157&lt;=eco,alpha*fck*(1-(1-AP1157/eco)^n),alpha*fck),0)</f>
      </c>
      <c r="AR1157" s="30">
        <f>PM_Angle!$J$24+PM_Angle!$K$24*$C1157+PM_Angle!$L$24*$B1157</f>
      </c>
      <c r="AS1157" s="12">
        <f>IF(AR1157&gt;0,IF(AR1157&lt;=eco,alpha*fck*(1-(1-AR1157/eco)^n),alpha*fck),0)</f>
      </c>
      <c r="AT1157" s="30">
        <f>PM_Angle!$J$25+PM_Angle!$K$25*$C1157+PM_Angle!$L$25*$B1157</f>
      </c>
      <c r="AU1157" s="12">
        <f>IF(AT1157&gt;0,IF(AT1157&lt;=eco,alpha*fck*(1-(1-AT1157/eco)^n),alpha*fck),0)</f>
      </c>
    </row>
    <row r="1158" spans="1:47" x14ac:dyDescent="0.25">
      <c r="A1158">
        <f>Mesh!A1155</f>
      </c>
      <c r="B1158" s="12">
        <f>Mesh!B1155</f>
      </c>
      <c r="C1158" s="12">
        <f>Mesh!C1155</f>
      </c>
      <c r="D1158" s="12">
        <f>Mesh!D1155</f>
      </c>
      <c r="E1158" s="30">
        <f>INDEX(St_e0,Det+1)+INDEX(St_kx,Det+1)*C1158+INDEX(St_ky,Det+1)*B1158</f>
      </c>
      <c r="F1158" s="12">
        <f>IF(E1158&gt;0,IF(E1158&lt;=eco,alpha*fck*(1-(1-E1158/eco)^n),alpha*fck),0)</f>
      </c>
      <c r="G1158" s="11">
        <f>F1158*D1158</f>
      </c>
      <c r="H1158" s="11">
        <f>G1158*C1158</f>
      </c>
      <c r="I1158" s="11">
        <f>G1158*B1158</f>
      </c>
      <c r="J1158" s="30">
        <f>PM_Angle!$J$7+PM_Angle!$K$7*$C1158+PM_Angle!$L$7*$B1158</f>
      </c>
      <c r="K1158" s="12">
        <f>IF(J1158&gt;0,IF(J1158&lt;=eco,alpha*fck*(1-(1-J1158/eco)^n),alpha*fck),0)</f>
      </c>
      <c r="L1158" s="30">
        <f>PM_Angle!$J$8+PM_Angle!$K$8*$C1158+PM_Angle!$L$8*$B1158</f>
      </c>
      <c r="M1158" s="12">
        <f>IF(L1158&gt;0,IF(L1158&lt;=eco,alpha*fck*(1-(1-L1158/eco)^n),alpha*fck),0)</f>
      </c>
      <c r="N1158" s="30">
        <f>PM_Angle!$J$9+PM_Angle!$K$9*$C1158+PM_Angle!$L$9*$B1158</f>
      </c>
      <c r="O1158" s="12">
        <f>IF(N1158&gt;0,IF(N1158&lt;=eco,alpha*fck*(1-(1-N1158/eco)^n),alpha*fck),0)</f>
      </c>
      <c r="P1158" s="30">
        <f>PM_Angle!$J$10+PM_Angle!$K$10*$C1158+PM_Angle!$L$10*$B1158</f>
      </c>
      <c r="Q1158" s="12">
        <f>IF(P1158&gt;0,IF(P1158&lt;=eco,alpha*fck*(1-(1-P1158/eco)^n),alpha*fck),0)</f>
      </c>
      <c r="R1158" s="30">
        <f>PM_Angle!$J$11+PM_Angle!$K$11*$C1158+PM_Angle!$L$11*$B1158</f>
      </c>
      <c r="S1158" s="12">
        <f>IF(R1158&gt;0,IF(R1158&lt;=eco,alpha*fck*(1-(1-R1158/eco)^n),alpha*fck),0)</f>
      </c>
      <c r="T1158" s="30">
        <f>PM_Angle!$J$12+PM_Angle!$K$12*$C1158+PM_Angle!$L$12*$B1158</f>
      </c>
      <c r="U1158" s="12">
        <f>IF(T1158&gt;0,IF(T1158&lt;=eco,alpha*fck*(1-(1-T1158/eco)^n),alpha*fck),0)</f>
      </c>
      <c r="V1158" s="30">
        <f>PM_Angle!$J$13+PM_Angle!$K$13*$C1158+PM_Angle!$L$13*$B1158</f>
      </c>
      <c r="W1158" s="12">
        <f>IF(V1158&gt;0,IF(V1158&lt;=eco,alpha*fck*(1-(1-V1158/eco)^n),alpha*fck),0)</f>
      </c>
      <c r="X1158" s="30">
        <f>PM_Angle!$J$14+PM_Angle!$K$14*$C1158+PM_Angle!$L$14*$B1158</f>
      </c>
      <c r="Y1158" s="12">
        <f>IF(X1158&gt;0,IF(X1158&lt;=eco,alpha*fck*(1-(1-X1158/eco)^n),alpha*fck),0)</f>
      </c>
      <c r="Z1158" s="30">
        <f>PM_Angle!$J$15+PM_Angle!$K$15*$C1158+PM_Angle!$L$15*$B1158</f>
      </c>
      <c r="AA1158" s="12">
        <f>IF(Z1158&gt;0,IF(Z1158&lt;=eco,alpha*fck*(1-(1-Z1158/eco)^n),alpha*fck),0)</f>
      </c>
      <c r="AB1158" s="30">
        <f>PM_Angle!$J$16+PM_Angle!$K$16*$C1158+PM_Angle!$L$16*$B1158</f>
      </c>
      <c r="AC1158" s="12">
        <f>IF(AB1158&gt;0,IF(AB1158&lt;=eco,alpha*fck*(1-(1-AB1158/eco)^n),alpha*fck),0)</f>
      </c>
      <c r="AD1158" s="30">
        <f>PM_Angle!$J$17+PM_Angle!$K$17*$C1158+PM_Angle!$L$17*$B1158</f>
      </c>
      <c r="AE1158" s="12">
        <f>IF(AD1158&gt;0,IF(AD1158&lt;=eco,alpha*fck*(1-(1-AD1158/eco)^n),alpha*fck),0)</f>
      </c>
      <c r="AF1158" s="30">
        <f>PM_Angle!$J$18+PM_Angle!$K$18*$C1158+PM_Angle!$L$18*$B1158</f>
      </c>
      <c r="AG1158" s="12">
        <f>IF(AF1158&gt;0,IF(AF1158&lt;=eco,alpha*fck*(1-(1-AF1158/eco)^n),alpha*fck),0)</f>
      </c>
      <c r="AH1158" s="30">
        <f>PM_Angle!$J$19+PM_Angle!$K$19*$C1158+PM_Angle!$L$19*$B1158</f>
      </c>
      <c r="AI1158" s="12">
        <f>IF(AH1158&gt;0,IF(AH1158&lt;=eco,alpha*fck*(1-(1-AH1158/eco)^n),alpha*fck),0)</f>
      </c>
      <c r="AJ1158" s="30">
        <f>PM_Angle!$J$20+PM_Angle!$K$20*$C1158+PM_Angle!$L$20*$B1158</f>
      </c>
      <c r="AK1158" s="12">
        <f>IF(AJ1158&gt;0,IF(AJ1158&lt;=eco,alpha*fck*(1-(1-AJ1158/eco)^n),alpha*fck),0)</f>
      </c>
      <c r="AL1158" s="30">
        <f>PM_Angle!$J$21+PM_Angle!$K$21*$C1158+PM_Angle!$L$21*$B1158</f>
      </c>
      <c r="AM1158" s="12">
        <f>IF(AL1158&gt;0,IF(AL1158&lt;=eco,alpha*fck*(1-(1-AL1158/eco)^n),alpha*fck),0)</f>
      </c>
      <c r="AN1158" s="30">
        <f>PM_Angle!$J$22+PM_Angle!$K$22*$C1158+PM_Angle!$L$22*$B1158</f>
      </c>
      <c r="AO1158" s="12">
        <f>IF(AN1158&gt;0,IF(AN1158&lt;=eco,alpha*fck*(1-(1-AN1158/eco)^n),alpha*fck),0)</f>
      </c>
      <c r="AP1158" s="30">
        <f>PM_Angle!$J$23+PM_Angle!$K$23*$C1158+PM_Angle!$L$23*$B1158</f>
      </c>
      <c r="AQ1158" s="12">
        <f>IF(AP1158&gt;0,IF(AP1158&lt;=eco,alpha*fck*(1-(1-AP1158/eco)^n),alpha*fck),0)</f>
      </c>
      <c r="AR1158" s="30">
        <f>PM_Angle!$J$24+PM_Angle!$K$24*$C1158+PM_Angle!$L$24*$B1158</f>
      </c>
      <c r="AS1158" s="12">
        <f>IF(AR1158&gt;0,IF(AR1158&lt;=eco,alpha*fck*(1-(1-AR1158/eco)^n),alpha*fck),0)</f>
      </c>
      <c r="AT1158" s="30">
        <f>PM_Angle!$J$25+PM_Angle!$K$25*$C1158+PM_Angle!$L$25*$B1158</f>
      </c>
      <c r="AU1158" s="12">
        <f>IF(AT1158&gt;0,IF(AT1158&lt;=eco,alpha*fck*(1-(1-AT1158/eco)^n),alpha*fck),0)</f>
      </c>
    </row>
    <row r="1159" spans="1:47" x14ac:dyDescent="0.25">
      <c r="A1159">
        <f>Mesh!A1156</f>
      </c>
      <c r="B1159" s="12">
        <f>Mesh!B1156</f>
      </c>
      <c r="C1159" s="12">
        <f>Mesh!C1156</f>
      </c>
      <c r="D1159" s="12">
        <f>Mesh!D1156</f>
      </c>
      <c r="E1159" s="30">
        <f>INDEX(St_e0,Det+1)+INDEX(St_kx,Det+1)*C1159+INDEX(St_ky,Det+1)*B1159</f>
      </c>
      <c r="F1159" s="12">
        <f>IF(E1159&gt;0,IF(E1159&lt;=eco,alpha*fck*(1-(1-E1159/eco)^n),alpha*fck),0)</f>
      </c>
      <c r="G1159" s="11">
        <f>F1159*D1159</f>
      </c>
      <c r="H1159" s="11">
        <f>G1159*C1159</f>
      </c>
      <c r="I1159" s="11">
        <f>G1159*B1159</f>
      </c>
      <c r="J1159" s="30">
        <f>PM_Angle!$J$7+PM_Angle!$K$7*$C1159+PM_Angle!$L$7*$B1159</f>
      </c>
      <c r="K1159" s="12">
        <f>IF(J1159&gt;0,IF(J1159&lt;=eco,alpha*fck*(1-(1-J1159/eco)^n),alpha*fck),0)</f>
      </c>
      <c r="L1159" s="30">
        <f>PM_Angle!$J$8+PM_Angle!$K$8*$C1159+PM_Angle!$L$8*$B1159</f>
      </c>
      <c r="M1159" s="12">
        <f>IF(L1159&gt;0,IF(L1159&lt;=eco,alpha*fck*(1-(1-L1159/eco)^n),alpha*fck),0)</f>
      </c>
      <c r="N1159" s="30">
        <f>PM_Angle!$J$9+PM_Angle!$K$9*$C1159+PM_Angle!$L$9*$B1159</f>
      </c>
      <c r="O1159" s="12">
        <f>IF(N1159&gt;0,IF(N1159&lt;=eco,alpha*fck*(1-(1-N1159/eco)^n),alpha*fck),0)</f>
      </c>
      <c r="P1159" s="30">
        <f>PM_Angle!$J$10+PM_Angle!$K$10*$C1159+PM_Angle!$L$10*$B1159</f>
      </c>
      <c r="Q1159" s="12">
        <f>IF(P1159&gt;0,IF(P1159&lt;=eco,alpha*fck*(1-(1-P1159/eco)^n),alpha*fck),0)</f>
      </c>
      <c r="R1159" s="30">
        <f>PM_Angle!$J$11+PM_Angle!$K$11*$C1159+PM_Angle!$L$11*$B1159</f>
      </c>
      <c r="S1159" s="12">
        <f>IF(R1159&gt;0,IF(R1159&lt;=eco,alpha*fck*(1-(1-R1159/eco)^n),alpha*fck),0)</f>
      </c>
      <c r="T1159" s="30">
        <f>PM_Angle!$J$12+PM_Angle!$K$12*$C1159+PM_Angle!$L$12*$B1159</f>
      </c>
      <c r="U1159" s="12">
        <f>IF(T1159&gt;0,IF(T1159&lt;=eco,alpha*fck*(1-(1-T1159/eco)^n),alpha*fck),0)</f>
      </c>
      <c r="V1159" s="30">
        <f>PM_Angle!$J$13+PM_Angle!$K$13*$C1159+PM_Angle!$L$13*$B1159</f>
      </c>
      <c r="W1159" s="12">
        <f>IF(V1159&gt;0,IF(V1159&lt;=eco,alpha*fck*(1-(1-V1159/eco)^n),alpha*fck),0)</f>
      </c>
      <c r="X1159" s="30">
        <f>PM_Angle!$J$14+PM_Angle!$K$14*$C1159+PM_Angle!$L$14*$B1159</f>
      </c>
      <c r="Y1159" s="12">
        <f>IF(X1159&gt;0,IF(X1159&lt;=eco,alpha*fck*(1-(1-X1159/eco)^n),alpha*fck),0)</f>
      </c>
      <c r="Z1159" s="30">
        <f>PM_Angle!$J$15+PM_Angle!$K$15*$C1159+PM_Angle!$L$15*$B1159</f>
      </c>
      <c r="AA1159" s="12">
        <f>IF(Z1159&gt;0,IF(Z1159&lt;=eco,alpha*fck*(1-(1-Z1159/eco)^n),alpha*fck),0)</f>
      </c>
      <c r="AB1159" s="30">
        <f>PM_Angle!$J$16+PM_Angle!$K$16*$C1159+PM_Angle!$L$16*$B1159</f>
      </c>
      <c r="AC1159" s="12">
        <f>IF(AB1159&gt;0,IF(AB1159&lt;=eco,alpha*fck*(1-(1-AB1159/eco)^n),alpha*fck),0)</f>
      </c>
      <c r="AD1159" s="30">
        <f>PM_Angle!$J$17+PM_Angle!$K$17*$C1159+PM_Angle!$L$17*$B1159</f>
      </c>
      <c r="AE1159" s="12">
        <f>IF(AD1159&gt;0,IF(AD1159&lt;=eco,alpha*fck*(1-(1-AD1159/eco)^n),alpha*fck),0)</f>
      </c>
      <c r="AF1159" s="30">
        <f>PM_Angle!$J$18+PM_Angle!$K$18*$C1159+PM_Angle!$L$18*$B1159</f>
      </c>
      <c r="AG1159" s="12">
        <f>IF(AF1159&gt;0,IF(AF1159&lt;=eco,alpha*fck*(1-(1-AF1159/eco)^n),alpha*fck),0)</f>
      </c>
      <c r="AH1159" s="30">
        <f>PM_Angle!$J$19+PM_Angle!$K$19*$C1159+PM_Angle!$L$19*$B1159</f>
      </c>
      <c r="AI1159" s="12">
        <f>IF(AH1159&gt;0,IF(AH1159&lt;=eco,alpha*fck*(1-(1-AH1159/eco)^n),alpha*fck),0)</f>
      </c>
      <c r="AJ1159" s="30">
        <f>PM_Angle!$J$20+PM_Angle!$K$20*$C1159+PM_Angle!$L$20*$B1159</f>
      </c>
      <c r="AK1159" s="12">
        <f>IF(AJ1159&gt;0,IF(AJ1159&lt;=eco,alpha*fck*(1-(1-AJ1159/eco)^n),alpha*fck),0)</f>
      </c>
      <c r="AL1159" s="30">
        <f>PM_Angle!$J$21+PM_Angle!$K$21*$C1159+PM_Angle!$L$21*$B1159</f>
      </c>
      <c r="AM1159" s="12">
        <f>IF(AL1159&gt;0,IF(AL1159&lt;=eco,alpha*fck*(1-(1-AL1159/eco)^n),alpha*fck),0)</f>
      </c>
      <c r="AN1159" s="30">
        <f>PM_Angle!$J$22+PM_Angle!$K$22*$C1159+PM_Angle!$L$22*$B1159</f>
      </c>
      <c r="AO1159" s="12">
        <f>IF(AN1159&gt;0,IF(AN1159&lt;=eco,alpha*fck*(1-(1-AN1159/eco)^n),alpha*fck),0)</f>
      </c>
      <c r="AP1159" s="30">
        <f>PM_Angle!$J$23+PM_Angle!$K$23*$C1159+PM_Angle!$L$23*$B1159</f>
      </c>
      <c r="AQ1159" s="12">
        <f>IF(AP1159&gt;0,IF(AP1159&lt;=eco,alpha*fck*(1-(1-AP1159/eco)^n),alpha*fck),0)</f>
      </c>
      <c r="AR1159" s="30">
        <f>PM_Angle!$J$24+PM_Angle!$K$24*$C1159+PM_Angle!$L$24*$B1159</f>
      </c>
      <c r="AS1159" s="12">
        <f>IF(AR1159&gt;0,IF(AR1159&lt;=eco,alpha*fck*(1-(1-AR1159/eco)^n),alpha*fck),0)</f>
      </c>
      <c r="AT1159" s="30">
        <f>PM_Angle!$J$25+PM_Angle!$K$25*$C1159+PM_Angle!$L$25*$B1159</f>
      </c>
      <c r="AU1159" s="12">
        <f>IF(AT1159&gt;0,IF(AT1159&lt;=eco,alpha*fck*(1-(1-AT1159/eco)^n),alpha*fck),0)</f>
      </c>
    </row>
    <row r="1160" spans="1:47" x14ac:dyDescent="0.25">
      <c r="A1160">
        <f>Mesh!A1157</f>
      </c>
      <c r="B1160" s="12">
        <f>Mesh!B1157</f>
      </c>
      <c r="C1160" s="12">
        <f>Mesh!C1157</f>
      </c>
      <c r="D1160" s="12">
        <f>Mesh!D1157</f>
      </c>
      <c r="E1160" s="30">
        <f>INDEX(St_e0,Det+1)+INDEX(St_kx,Det+1)*C1160+INDEX(St_ky,Det+1)*B1160</f>
      </c>
      <c r="F1160" s="12">
        <f>IF(E1160&gt;0,IF(E1160&lt;=eco,alpha*fck*(1-(1-E1160/eco)^n),alpha*fck),0)</f>
      </c>
      <c r="G1160" s="11">
        <f>F1160*D1160</f>
      </c>
      <c r="H1160" s="11">
        <f>G1160*C1160</f>
      </c>
      <c r="I1160" s="11">
        <f>G1160*B1160</f>
      </c>
      <c r="J1160" s="30">
        <f>PM_Angle!$J$7+PM_Angle!$K$7*$C1160+PM_Angle!$L$7*$B1160</f>
      </c>
      <c r="K1160" s="12">
        <f>IF(J1160&gt;0,IF(J1160&lt;=eco,alpha*fck*(1-(1-J1160/eco)^n),alpha*fck),0)</f>
      </c>
      <c r="L1160" s="30">
        <f>PM_Angle!$J$8+PM_Angle!$K$8*$C1160+PM_Angle!$L$8*$B1160</f>
      </c>
      <c r="M1160" s="12">
        <f>IF(L1160&gt;0,IF(L1160&lt;=eco,alpha*fck*(1-(1-L1160/eco)^n),alpha*fck),0)</f>
      </c>
      <c r="N1160" s="30">
        <f>PM_Angle!$J$9+PM_Angle!$K$9*$C1160+PM_Angle!$L$9*$B1160</f>
      </c>
      <c r="O1160" s="12">
        <f>IF(N1160&gt;0,IF(N1160&lt;=eco,alpha*fck*(1-(1-N1160/eco)^n),alpha*fck),0)</f>
      </c>
      <c r="P1160" s="30">
        <f>PM_Angle!$J$10+PM_Angle!$K$10*$C1160+PM_Angle!$L$10*$B1160</f>
      </c>
      <c r="Q1160" s="12">
        <f>IF(P1160&gt;0,IF(P1160&lt;=eco,alpha*fck*(1-(1-P1160/eco)^n),alpha*fck),0)</f>
      </c>
      <c r="R1160" s="30">
        <f>PM_Angle!$J$11+PM_Angle!$K$11*$C1160+PM_Angle!$L$11*$B1160</f>
      </c>
      <c r="S1160" s="12">
        <f>IF(R1160&gt;0,IF(R1160&lt;=eco,alpha*fck*(1-(1-R1160/eco)^n),alpha*fck),0)</f>
      </c>
      <c r="T1160" s="30">
        <f>PM_Angle!$J$12+PM_Angle!$K$12*$C1160+PM_Angle!$L$12*$B1160</f>
      </c>
      <c r="U1160" s="12">
        <f>IF(T1160&gt;0,IF(T1160&lt;=eco,alpha*fck*(1-(1-T1160/eco)^n),alpha*fck),0)</f>
      </c>
      <c r="V1160" s="30">
        <f>PM_Angle!$J$13+PM_Angle!$K$13*$C1160+PM_Angle!$L$13*$B1160</f>
      </c>
      <c r="W1160" s="12">
        <f>IF(V1160&gt;0,IF(V1160&lt;=eco,alpha*fck*(1-(1-V1160/eco)^n),alpha*fck),0)</f>
      </c>
      <c r="X1160" s="30">
        <f>PM_Angle!$J$14+PM_Angle!$K$14*$C1160+PM_Angle!$L$14*$B1160</f>
      </c>
      <c r="Y1160" s="12">
        <f>IF(X1160&gt;0,IF(X1160&lt;=eco,alpha*fck*(1-(1-X1160/eco)^n),alpha*fck),0)</f>
      </c>
      <c r="Z1160" s="30">
        <f>PM_Angle!$J$15+PM_Angle!$K$15*$C1160+PM_Angle!$L$15*$B1160</f>
      </c>
      <c r="AA1160" s="12">
        <f>IF(Z1160&gt;0,IF(Z1160&lt;=eco,alpha*fck*(1-(1-Z1160/eco)^n),alpha*fck),0)</f>
      </c>
      <c r="AB1160" s="30">
        <f>PM_Angle!$J$16+PM_Angle!$K$16*$C1160+PM_Angle!$L$16*$B1160</f>
      </c>
      <c r="AC1160" s="12">
        <f>IF(AB1160&gt;0,IF(AB1160&lt;=eco,alpha*fck*(1-(1-AB1160/eco)^n),alpha*fck),0)</f>
      </c>
      <c r="AD1160" s="30">
        <f>PM_Angle!$J$17+PM_Angle!$K$17*$C1160+PM_Angle!$L$17*$B1160</f>
      </c>
      <c r="AE1160" s="12">
        <f>IF(AD1160&gt;0,IF(AD1160&lt;=eco,alpha*fck*(1-(1-AD1160/eco)^n),alpha*fck),0)</f>
      </c>
      <c r="AF1160" s="30">
        <f>PM_Angle!$J$18+PM_Angle!$K$18*$C1160+PM_Angle!$L$18*$B1160</f>
      </c>
      <c r="AG1160" s="12">
        <f>IF(AF1160&gt;0,IF(AF1160&lt;=eco,alpha*fck*(1-(1-AF1160/eco)^n),alpha*fck),0)</f>
      </c>
      <c r="AH1160" s="30">
        <f>PM_Angle!$J$19+PM_Angle!$K$19*$C1160+PM_Angle!$L$19*$B1160</f>
      </c>
      <c r="AI1160" s="12">
        <f>IF(AH1160&gt;0,IF(AH1160&lt;=eco,alpha*fck*(1-(1-AH1160/eco)^n),alpha*fck),0)</f>
      </c>
      <c r="AJ1160" s="30">
        <f>PM_Angle!$J$20+PM_Angle!$K$20*$C1160+PM_Angle!$L$20*$B1160</f>
      </c>
      <c r="AK1160" s="12">
        <f>IF(AJ1160&gt;0,IF(AJ1160&lt;=eco,alpha*fck*(1-(1-AJ1160/eco)^n),alpha*fck),0)</f>
      </c>
      <c r="AL1160" s="30">
        <f>PM_Angle!$J$21+PM_Angle!$K$21*$C1160+PM_Angle!$L$21*$B1160</f>
      </c>
      <c r="AM1160" s="12">
        <f>IF(AL1160&gt;0,IF(AL1160&lt;=eco,alpha*fck*(1-(1-AL1160/eco)^n),alpha*fck),0)</f>
      </c>
      <c r="AN1160" s="30">
        <f>PM_Angle!$J$22+PM_Angle!$K$22*$C1160+PM_Angle!$L$22*$B1160</f>
      </c>
      <c r="AO1160" s="12">
        <f>IF(AN1160&gt;0,IF(AN1160&lt;=eco,alpha*fck*(1-(1-AN1160/eco)^n),alpha*fck),0)</f>
      </c>
      <c r="AP1160" s="30">
        <f>PM_Angle!$J$23+PM_Angle!$K$23*$C1160+PM_Angle!$L$23*$B1160</f>
      </c>
      <c r="AQ1160" s="12">
        <f>IF(AP1160&gt;0,IF(AP1160&lt;=eco,alpha*fck*(1-(1-AP1160/eco)^n),alpha*fck),0)</f>
      </c>
      <c r="AR1160" s="30">
        <f>PM_Angle!$J$24+PM_Angle!$K$24*$C1160+PM_Angle!$L$24*$B1160</f>
      </c>
      <c r="AS1160" s="12">
        <f>IF(AR1160&gt;0,IF(AR1160&lt;=eco,alpha*fck*(1-(1-AR1160/eco)^n),alpha*fck),0)</f>
      </c>
      <c r="AT1160" s="30">
        <f>PM_Angle!$J$25+PM_Angle!$K$25*$C1160+PM_Angle!$L$25*$B1160</f>
      </c>
      <c r="AU1160" s="12">
        <f>IF(AT1160&gt;0,IF(AT1160&lt;=eco,alpha*fck*(1-(1-AT1160/eco)^n),alpha*fck),0)</f>
      </c>
    </row>
    <row r="1161" spans="1:47" x14ac:dyDescent="0.25">
      <c r="A1161">
        <f>Mesh!A1158</f>
      </c>
      <c r="B1161" s="12">
        <f>Mesh!B1158</f>
      </c>
      <c r="C1161" s="12">
        <f>Mesh!C1158</f>
      </c>
      <c r="D1161" s="12">
        <f>Mesh!D1158</f>
      </c>
      <c r="E1161" s="30">
        <f>INDEX(St_e0,Det+1)+INDEX(St_kx,Det+1)*C1161+INDEX(St_ky,Det+1)*B1161</f>
      </c>
      <c r="F1161" s="12">
        <f>IF(E1161&gt;0,IF(E1161&lt;=eco,alpha*fck*(1-(1-E1161/eco)^n),alpha*fck),0)</f>
      </c>
      <c r="G1161" s="11">
        <f>F1161*D1161</f>
      </c>
      <c r="H1161" s="11">
        <f>G1161*C1161</f>
      </c>
      <c r="I1161" s="11">
        <f>G1161*B1161</f>
      </c>
      <c r="J1161" s="30">
        <f>PM_Angle!$J$7+PM_Angle!$K$7*$C1161+PM_Angle!$L$7*$B1161</f>
      </c>
      <c r="K1161" s="12">
        <f>IF(J1161&gt;0,IF(J1161&lt;=eco,alpha*fck*(1-(1-J1161/eco)^n),alpha*fck),0)</f>
      </c>
      <c r="L1161" s="30">
        <f>PM_Angle!$J$8+PM_Angle!$K$8*$C1161+PM_Angle!$L$8*$B1161</f>
      </c>
      <c r="M1161" s="12">
        <f>IF(L1161&gt;0,IF(L1161&lt;=eco,alpha*fck*(1-(1-L1161/eco)^n),alpha*fck),0)</f>
      </c>
      <c r="N1161" s="30">
        <f>PM_Angle!$J$9+PM_Angle!$K$9*$C1161+PM_Angle!$L$9*$B1161</f>
      </c>
      <c r="O1161" s="12">
        <f>IF(N1161&gt;0,IF(N1161&lt;=eco,alpha*fck*(1-(1-N1161/eco)^n),alpha*fck),0)</f>
      </c>
      <c r="P1161" s="30">
        <f>PM_Angle!$J$10+PM_Angle!$K$10*$C1161+PM_Angle!$L$10*$B1161</f>
      </c>
      <c r="Q1161" s="12">
        <f>IF(P1161&gt;0,IF(P1161&lt;=eco,alpha*fck*(1-(1-P1161/eco)^n),alpha*fck),0)</f>
      </c>
      <c r="R1161" s="30">
        <f>PM_Angle!$J$11+PM_Angle!$K$11*$C1161+PM_Angle!$L$11*$B1161</f>
      </c>
      <c r="S1161" s="12">
        <f>IF(R1161&gt;0,IF(R1161&lt;=eco,alpha*fck*(1-(1-R1161/eco)^n),alpha*fck),0)</f>
      </c>
      <c r="T1161" s="30">
        <f>PM_Angle!$J$12+PM_Angle!$K$12*$C1161+PM_Angle!$L$12*$B1161</f>
      </c>
      <c r="U1161" s="12">
        <f>IF(T1161&gt;0,IF(T1161&lt;=eco,alpha*fck*(1-(1-T1161/eco)^n),alpha*fck),0)</f>
      </c>
      <c r="V1161" s="30">
        <f>PM_Angle!$J$13+PM_Angle!$K$13*$C1161+PM_Angle!$L$13*$B1161</f>
      </c>
      <c r="W1161" s="12">
        <f>IF(V1161&gt;0,IF(V1161&lt;=eco,alpha*fck*(1-(1-V1161/eco)^n),alpha*fck),0)</f>
      </c>
      <c r="X1161" s="30">
        <f>PM_Angle!$J$14+PM_Angle!$K$14*$C1161+PM_Angle!$L$14*$B1161</f>
      </c>
      <c r="Y1161" s="12">
        <f>IF(X1161&gt;0,IF(X1161&lt;=eco,alpha*fck*(1-(1-X1161/eco)^n),alpha*fck),0)</f>
      </c>
      <c r="Z1161" s="30">
        <f>PM_Angle!$J$15+PM_Angle!$K$15*$C1161+PM_Angle!$L$15*$B1161</f>
      </c>
      <c r="AA1161" s="12">
        <f>IF(Z1161&gt;0,IF(Z1161&lt;=eco,alpha*fck*(1-(1-Z1161/eco)^n),alpha*fck),0)</f>
      </c>
      <c r="AB1161" s="30">
        <f>PM_Angle!$J$16+PM_Angle!$K$16*$C1161+PM_Angle!$L$16*$B1161</f>
      </c>
      <c r="AC1161" s="12">
        <f>IF(AB1161&gt;0,IF(AB1161&lt;=eco,alpha*fck*(1-(1-AB1161/eco)^n),alpha*fck),0)</f>
      </c>
      <c r="AD1161" s="30">
        <f>PM_Angle!$J$17+PM_Angle!$K$17*$C1161+PM_Angle!$L$17*$B1161</f>
      </c>
      <c r="AE1161" s="12">
        <f>IF(AD1161&gt;0,IF(AD1161&lt;=eco,alpha*fck*(1-(1-AD1161/eco)^n),alpha*fck),0)</f>
      </c>
      <c r="AF1161" s="30">
        <f>PM_Angle!$J$18+PM_Angle!$K$18*$C1161+PM_Angle!$L$18*$B1161</f>
      </c>
      <c r="AG1161" s="12">
        <f>IF(AF1161&gt;0,IF(AF1161&lt;=eco,alpha*fck*(1-(1-AF1161/eco)^n),alpha*fck),0)</f>
      </c>
      <c r="AH1161" s="30">
        <f>PM_Angle!$J$19+PM_Angle!$K$19*$C1161+PM_Angle!$L$19*$B1161</f>
      </c>
      <c r="AI1161" s="12">
        <f>IF(AH1161&gt;0,IF(AH1161&lt;=eco,alpha*fck*(1-(1-AH1161/eco)^n),alpha*fck),0)</f>
      </c>
      <c r="AJ1161" s="30">
        <f>PM_Angle!$J$20+PM_Angle!$K$20*$C1161+PM_Angle!$L$20*$B1161</f>
      </c>
      <c r="AK1161" s="12">
        <f>IF(AJ1161&gt;0,IF(AJ1161&lt;=eco,alpha*fck*(1-(1-AJ1161/eco)^n),alpha*fck),0)</f>
      </c>
      <c r="AL1161" s="30">
        <f>PM_Angle!$J$21+PM_Angle!$K$21*$C1161+PM_Angle!$L$21*$B1161</f>
      </c>
      <c r="AM1161" s="12">
        <f>IF(AL1161&gt;0,IF(AL1161&lt;=eco,alpha*fck*(1-(1-AL1161/eco)^n),alpha*fck),0)</f>
      </c>
      <c r="AN1161" s="30">
        <f>PM_Angle!$J$22+PM_Angle!$K$22*$C1161+PM_Angle!$L$22*$B1161</f>
      </c>
      <c r="AO1161" s="12">
        <f>IF(AN1161&gt;0,IF(AN1161&lt;=eco,alpha*fck*(1-(1-AN1161/eco)^n),alpha*fck),0)</f>
      </c>
      <c r="AP1161" s="30">
        <f>PM_Angle!$J$23+PM_Angle!$K$23*$C1161+PM_Angle!$L$23*$B1161</f>
      </c>
      <c r="AQ1161" s="12">
        <f>IF(AP1161&gt;0,IF(AP1161&lt;=eco,alpha*fck*(1-(1-AP1161/eco)^n),alpha*fck),0)</f>
      </c>
      <c r="AR1161" s="30">
        <f>PM_Angle!$J$24+PM_Angle!$K$24*$C1161+PM_Angle!$L$24*$B1161</f>
      </c>
      <c r="AS1161" s="12">
        <f>IF(AR1161&gt;0,IF(AR1161&lt;=eco,alpha*fck*(1-(1-AR1161/eco)^n),alpha*fck),0)</f>
      </c>
      <c r="AT1161" s="30">
        <f>PM_Angle!$J$25+PM_Angle!$K$25*$C1161+PM_Angle!$L$25*$B1161</f>
      </c>
      <c r="AU1161" s="12">
        <f>IF(AT1161&gt;0,IF(AT1161&lt;=eco,alpha*fck*(1-(1-AT1161/eco)^n),alpha*fck),0)</f>
      </c>
    </row>
    <row r="1162" spans="1:47" x14ac:dyDescent="0.25">
      <c r="A1162">
        <f>Mesh!A1159</f>
      </c>
      <c r="B1162" s="12">
        <f>Mesh!B1159</f>
      </c>
      <c r="C1162" s="12">
        <f>Mesh!C1159</f>
      </c>
      <c r="D1162" s="12">
        <f>Mesh!D1159</f>
      </c>
      <c r="E1162" s="30">
        <f>INDEX(St_e0,Det+1)+INDEX(St_kx,Det+1)*C1162+INDEX(St_ky,Det+1)*B1162</f>
      </c>
      <c r="F1162" s="12">
        <f>IF(E1162&gt;0,IF(E1162&lt;=eco,alpha*fck*(1-(1-E1162/eco)^n),alpha*fck),0)</f>
      </c>
      <c r="G1162" s="11">
        <f>F1162*D1162</f>
      </c>
      <c r="H1162" s="11">
        <f>G1162*C1162</f>
      </c>
      <c r="I1162" s="11">
        <f>G1162*B1162</f>
      </c>
      <c r="J1162" s="30">
        <f>PM_Angle!$J$7+PM_Angle!$K$7*$C1162+PM_Angle!$L$7*$B1162</f>
      </c>
      <c r="K1162" s="12">
        <f>IF(J1162&gt;0,IF(J1162&lt;=eco,alpha*fck*(1-(1-J1162/eco)^n),alpha*fck),0)</f>
      </c>
      <c r="L1162" s="30">
        <f>PM_Angle!$J$8+PM_Angle!$K$8*$C1162+PM_Angle!$L$8*$B1162</f>
      </c>
      <c r="M1162" s="12">
        <f>IF(L1162&gt;0,IF(L1162&lt;=eco,alpha*fck*(1-(1-L1162/eco)^n),alpha*fck),0)</f>
      </c>
      <c r="N1162" s="30">
        <f>PM_Angle!$J$9+PM_Angle!$K$9*$C1162+PM_Angle!$L$9*$B1162</f>
      </c>
      <c r="O1162" s="12">
        <f>IF(N1162&gt;0,IF(N1162&lt;=eco,alpha*fck*(1-(1-N1162/eco)^n),alpha*fck),0)</f>
      </c>
      <c r="P1162" s="30">
        <f>PM_Angle!$J$10+PM_Angle!$K$10*$C1162+PM_Angle!$L$10*$B1162</f>
      </c>
      <c r="Q1162" s="12">
        <f>IF(P1162&gt;0,IF(P1162&lt;=eco,alpha*fck*(1-(1-P1162/eco)^n),alpha*fck),0)</f>
      </c>
      <c r="R1162" s="30">
        <f>PM_Angle!$J$11+PM_Angle!$K$11*$C1162+PM_Angle!$L$11*$B1162</f>
      </c>
      <c r="S1162" s="12">
        <f>IF(R1162&gt;0,IF(R1162&lt;=eco,alpha*fck*(1-(1-R1162/eco)^n),alpha*fck),0)</f>
      </c>
      <c r="T1162" s="30">
        <f>PM_Angle!$J$12+PM_Angle!$K$12*$C1162+PM_Angle!$L$12*$B1162</f>
      </c>
      <c r="U1162" s="12">
        <f>IF(T1162&gt;0,IF(T1162&lt;=eco,alpha*fck*(1-(1-T1162/eco)^n),alpha*fck),0)</f>
      </c>
      <c r="V1162" s="30">
        <f>PM_Angle!$J$13+PM_Angle!$K$13*$C1162+PM_Angle!$L$13*$B1162</f>
      </c>
      <c r="W1162" s="12">
        <f>IF(V1162&gt;0,IF(V1162&lt;=eco,alpha*fck*(1-(1-V1162/eco)^n),alpha*fck),0)</f>
      </c>
      <c r="X1162" s="30">
        <f>PM_Angle!$J$14+PM_Angle!$K$14*$C1162+PM_Angle!$L$14*$B1162</f>
      </c>
      <c r="Y1162" s="12">
        <f>IF(X1162&gt;0,IF(X1162&lt;=eco,alpha*fck*(1-(1-X1162/eco)^n),alpha*fck),0)</f>
      </c>
      <c r="Z1162" s="30">
        <f>PM_Angle!$J$15+PM_Angle!$K$15*$C1162+PM_Angle!$L$15*$B1162</f>
      </c>
      <c r="AA1162" s="12">
        <f>IF(Z1162&gt;0,IF(Z1162&lt;=eco,alpha*fck*(1-(1-Z1162/eco)^n),alpha*fck),0)</f>
      </c>
      <c r="AB1162" s="30">
        <f>PM_Angle!$J$16+PM_Angle!$K$16*$C1162+PM_Angle!$L$16*$B1162</f>
      </c>
      <c r="AC1162" s="12">
        <f>IF(AB1162&gt;0,IF(AB1162&lt;=eco,alpha*fck*(1-(1-AB1162/eco)^n),alpha*fck),0)</f>
      </c>
      <c r="AD1162" s="30">
        <f>PM_Angle!$J$17+PM_Angle!$K$17*$C1162+PM_Angle!$L$17*$B1162</f>
      </c>
      <c r="AE1162" s="12">
        <f>IF(AD1162&gt;0,IF(AD1162&lt;=eco,alpha*fck*(1-(1-AD1162/eco)^n),alpha*fck),0)</f>
      </c>
      <c r="AF1162" s="30">
        <f>PM_Angle!$J$18+PM_Angle!$K$18*$C1162+PM_Angle!$L$18*$B1162</f>
      </c>
      <c r="AG1162" s="12">
        <f>IF(AF1162&gt;0,IF(AF1162&lt;=eco,alpha*fck*(1-(1-AF1162/eco)^n),alpha*fck),0)</f>
      </c>
      <c r="AH1162" s="30">
        <f>PM_Angle!$J$19+PM_Angle!$K$19*$C1162+PM_Angle!$L$19*$B1162</f>
      </c>
      <c r="AI1162" s="12">
        <f>IF(AH1162&gt;0,IF(AH1162&lt;=eco,alpha*fck*(1-(1-AH1162/eco)^n),alpha*fck),0)</f>
      </c>
      <c r="AJ1162" s="30">
        <f>PM_Angle!$J$20+PM_Angle!$K$20*$C1162+PM_Angle!$L$20*$B1162</f>
      </c>
      <c r="AK1162" s="12">
        <f>IF(AJ1162&gt;0,IF(AJ1162&lt;=eco,alpha*fck*(1-(1-AJ1162/eco)^n),alpha*fck),0)</f>
      </c>
      <c r="AL1162" s="30">
        <f>PM_Angle!$J$21+PM_Angle!$K$21*$C1162+PM_Angle!$L$21*$B1162</f>
      </c>
      <c r="AM1162" s="12">
        <f>IF(AL1162&gt;0,IF(AL1162&lt;=eco,alpha*fck*(1-(1-AL1162/eco)^n),alpha*fck),0)</f>
      </c>
      <c r="AN1162" s="30">
        <f>PM_Angle!$J$22+PM_Angle!$K$22*$C1162+PM_Angle!$L$22*$B1162</f>
      </c>
      <c r="AO1162" s="12">
        <f>IF(AN1162&gt;0,IF(AN1162&lt;=eco,alpha*fck*(1-(1-AN1162/eco)^n),alpha*fck),0)</f>
      </c>
      <c r="AP1162" s="30">
        <f>PM_Angle!$J$23+PM_Angle!$K$23*$C1162+PM_Angle!$L$23*$B1162</f>
      </c>
      <c r="AQ1162" s="12">
        <f>IF(AP1162&gt;0,IF(AP1162&lt;=eco,alpha*fck*(1-(1-AP1162/eco)^n),alpha*fck),0)</f>
      </c>
      <c r="AR1162" s="30">
        <f>PM_Angle!$J$24+PM_Angle!$K$24*$C1162+PM_Angle!$L$24*$B1162</f>
      </c>
      <c r="AS1162" s="12">
        <f>IF(AR1162&gt;0,IF(AR1162&lt;=eco,alpha*fck*(1-(1-AR1162/eco)^n),alpha*fck),0)</f>
      </c>
      <c r="AT1162" s="30">
        <f>PM_Angle!$J$25+PM_Angle!$K$25*$C1162+PM_Angle!$L$25*$B1162</f>
      </c>
      <c r="AU1162" s="12">
        <f>IF(AT1162&gt;0,IF(AT1162&lt;=eco,alpha*fck*(1-(1-AT1162/eco)^n),alpha*fck),0)</f>
      </c>
    </row>
    <row r="1163" spans="1:47" x14ac:dyDescent="0.25">
      <c r="A1163">
        <f>Mesh!A1160</f>
      </c>
      <c r="B1163" s="12">
        <f>Mesh!B1160</f>
      </c>
      <c r="C1163" s="12">
        <f>Mesh!C1160</f>
      </c>
      <c r="D1163" s="12">
        <f>Mesh!D1160</f>
      </c>
      <c r="E1163" s="30">
        <f>INDEX(St_e0,Det+1)+INDEX(St_kx,Det+1)*C1163+INDEX(St_ky,Det+1)*B1163</f>
      </c>
      <c r="F1163" s="12">
        <f>IF(E1163&gt;0,IF(E1163&lt;=eco,alpha*fck*(1-(1-E1163/eco)^n),alpha*fck),0)</f>
      </c>
      <c r="G1163" s="11">
        <f>F1163*D1163</f>
      </c>
      <c r="H1163" s="11">
        <f>G1163*C1163</f>
      </c>
      <c r="I1163" s="11">
        <f>G1163*B1163</f>
      </c>
      <c r="J1163" s="30">
        <f>PM_Angle!$J$7+PM_Angle!$K$7*$C1163+PM_Angle!$L$7*$B1163</f>
      </c>
      <c r="K1163" s="12">
        <f>IF(J1163&gt;0,IF(J1163&lt;=eco,alpha*fck*(1-(1-J1163/eco)^n),alpha*fck),0)</f>
      </c>
      <c r="L1163" s="30">
        <f>PM_Angle!$J$8+PM_Angle!$K$8*$C1163+PM_Angle!$L$8*$B1163</f>
      </c>
      <c r="M1163" s="12">
        <f>IF(L1163&gt;0,IF(L1163&lt;=eco,alpha*fck*(1-(1-L1163/eco)^n),alpha*fck),0)</f>
      </c>
      <c r="N1163" s="30">
        <f>PM_Angle!$J$9+PM_Angle!$K$9*$C1163+PM_Angle!$L$9*$B1163</f>
      </c>
      <c r="O1163" s="12">
        <f>IF(N1163&gt;0,IF(N1163&lt;=eco,alpha*fck*(1-(1-N1163/eco)^n),alpha*fck),0)</f>
      </c>
      <c r="P1163" s="30">
        <f>PM_Angle!$J$10+PM_Angle!$K$10*$C1163+PM_Angle!$L$10*$B1163</f>
      </c>
      <c r="Q1163" s="12">
        <f>IF(P1163&gt;0,IF(P1163&lt;=eco,alpha*fck*(1-(1-P1163/eco)^n),alpha*fck),0)</f>
      </c>
      <c r="R1163" s="30">
        <f>PM_Angle!$J$11+PM_Angle!$K$11*$C1163+PM_Angle!$L$11*$B1163</f>
      </c>
      <c r="S1163" s="12">
        <f>IF(R1163&gt;0,IF(R1163&lt;=eco,alpha*fck*(1-(1-R1163/eco)^n),alpha*fck),0)</f>
      </c>
      <c r="T1163" s="30">
        <f>PM_Angle!$J$12+PM_Angle!$K$12*$C1163+PM_Angle!$L$12*$B1163</f>
      </c>
      <c r="U1163" s="12">
        <f>IF(T1163&gt;0,IF(T1163&lt;=eco,alpha*fck*(1-(1-T1163/eco)^n),alpha*fck),0)</f>
      </c>
      <c r="V1163" s="30">
        <f>PM_Angle!$J$13+PM_Angle!$K$13*$C1163+PM_Angle!$L$13*$B1163</f>
      </c>
      <c r="W1163" s="12">
        <f>IF(V1163&gt;0,IF(V1163&lt;=eco,alpha*fck*(1-(1-V1163/eco)^n),alpha*fck),0)</f>
      </c>
      <c r="X1163" s="30">
        <f>PM_Angle!$J$14+PM_Angle!$K$14*$C1163+PM_Angle!$L$14*$B1163</f>
      </c>
      <c r="Y1163" s="12">
        <f>IF(X1163&gt;0,IF(X1163&lt;=eco,alpha*fck*(1-(1-X1163/eco)^n),alpha*fck),0)</f>
      </c>
      <c r="Z1163" s="30">
        <f>PM_Angle!$J$15+PM_Angle!$K$15*$C1163+PM_Angle!$L$15*$B1163</f>
      </c>
      <c r="AA1163" s="12">
        <f>IF(Z1163&gt;0,IF(Z1163&lt;=eco,alpha*fck*(1-(1-Z1163/eco)^n),alpha*fck),0)</f>
      </c>
      <c r="AB1163" s="30">
        <f>PM_Angle!$J$16+PM_Angle!$K$16*$C1163+PM_Angle!$L$16*$B1163</f>
      </c>
      <c r="AC1163" s="12">
        <f>IF(AB1163&gt;0,IF(AB1163&lt;=eco,alpha*fck*(1-(1-AB1163/eco)^n),alpha*fck),0)</f>
      </c>
      <c r="AD1163" s="30">
        <f>PM_Angle!$J$17+PM_Angle!$K$17*$C1163+PM_Angle!$L$17*$B1163</f>
      </c>
      <c r="AE1163" s="12">
        <f>IF(AD1163&gt;0,IF(AD1163&lt;=eco,alpha*fck*(1-(1-AD1163/eco)^n),alpha*fck),0)</f>
      </c>
      <c r="AF1163" s="30">
        <f>PM_Angle!$J$18+PM_Angle!$K$18*$C1163+PM_Angle!$L$18*$B1163</f>
      </c>
      <c r="AG1163" s="12">
        <f>IF(AF1163&gt;0,IF(AF1163&lt;=eco,alpha*fck*(1-(1-AF1163/eco)^n),alpha*fck),0)</f>
      </c>
      <c r="AH1163" s="30">
        <f>PM_Angle!$J$19+PM_Angle!$K$19*$C1163+PM_Angle!$L$19*$B1163</f>
      </c>
      <c r="AI1163" s="12">
        <f>IF(AH1163&gt;0,IF(AH1163&lt;=eco,alpha*fck*(1-(1-AH1163/eco)^n),alpha*fck),0)</f>
      </c>
      <c r="AJ1163" s="30">
        <f>PM_Angle!$J$20+PM_Angle!$K$20*$C1163+PM_Angle!$L$20*$B1163</f>
      </c>
      <c r="AK1163" s="12">
        <f>IF(AJ1163&gt;0,IF(AJ1163&lt;=eco,alpha*fck*(1-(1-AJ1163/eco)^n),alpha*fck),0)</f>
      </c>
      <c r="AL1163" s="30">
        <f>PM_Angle!$J$21+PM_Angle!$K$21*$C1163+PM_Angle!$L$21*$B1163</f>
      </c>
      <c r="AM1163" s="12">
        <f>IF(AL1163&gt;0,IF(AL1163&lt;=eco,alpha*fck*(1-(1-AL1163/eco)^n),alpha*fck),0)</f>
      </c>
      <c r="AN1163" s="30">
        <f>PM_Angle!$J$22+PM_Angle!$K$22*$C1163+PM_Angle!$L$22*$B1163</f>
      </c>
      <c r="AO1163" s="12">
        <f>IF(AN1163&gt;0,IF(AN1163&lt;=eco,alpha*fck*(1-(1-AN1163/eco)^n),alpha*fck),0)</f>
      </c>
      <c r="AP1163" s="30">
        <f>PM_Angle!$J$23+PM_Angle!$K$23*$C1163+PM_Angle!$L$23*$B1163</f>
      </c>
      <c r="AQ1163" s="12">
        <f>IF(AP1163&gt;0,IF(AP1163&lt;=eco,alpha*fck*(1-(1-AP1163/eco)^n),alpha*fck),0)</f>
      </c>
      <c r="AR1163" s="30">
        <f>PM_Angle!$J$24+PM_Angle!$K$24*$C1163+PM_Angle!$L$24*$B1163</f>
      </c>
      <c r="AS1163" s="12">
        <f>IF(AR1163&gt;0,IF(AR1163&lt;=eco,alpha*fck*(1-(1-AR1163/eco)^n),alpha*fck),0)</f>
      </c>
      <c r="AT1163" s="30">
        <f>PM_Angle!$J$25+PM_Angle!$K$25*$C1163+PM_Angle!$L$25*$B1163</f>
      </c>
      <c r="AU1163" s="12">
        <f>IF(AT1163&gt;0,IF(AT1163&lt;=eco,alpha*fck*(1-(1-AT1163/eco)^n),alpha*fck),0)</f>
      </c>
    </row>
    <row r="1164" spans="1:47" x14ac:dyDescent="0.25">
      <c r="A1164">
        <f>Mesh!A1161</f>
      </c>
      <c r="B1164" s="12">
        <f>Mesh!B1161</f>
      </c>
      <c r="C1164" s="12">
        <f>Mesh!C1161</f>
      </c>
      <c r="D1164" s="12">
        <f>Mesh!D1161</f>
      </c>
      <c r="E1164" s="30">
        <f>INDEX(St_e0,Det+1)+INDEX(St_kx,Det+1)*C1164+INDEX(St_ky,Det+1)*B1164</f>
      </c>
      <c r="F1164" s="12">
        <f>IF(E1164&gt;0,IF(E1164&lt;=eco,alpha*fck*(1-(1-E1164/eco)^n),alpha*fck),0)</f>
      </c>
      <c r="G1164" s="11">
        <f>F1164*D1164</f>
      </c>
      <c r="H1164" s="11">
        <f>G1164*C1164</f>
      </c>
      <c r="I1164" s="11">
        <f>G1164*B1164</f>
      </c>
      <c r="J1164" s="30">
        <f>PM_Angle!$J$7+PM_Angle!$K$7*$C1164+PM_Angle!$L$7*$B1164</f>
      </c>
      <c r="K1164" s="12">
        <f>IF(J1164&gt;0,IF(J1164&lt;=eco,alpha*fck*(1-(1-J1164/eco)^n),alpha*fck),0)</f>
      </c>
      <c r="L1164" s="30">
        <f>PM_Angle!$J$8+PM_Angle!$K$8*$C1164+PM_Angle!$L$8*$B1164</f>
      </c>
      <c r="M1164" s="12">
        <f>IF(L1164&gt;0,IF(L1164&lt;=eco,alpha*fck*(1-(1-L1164/eco)^n),alpha*fck),0)</f>
      </c>
      <c r="N1164" s="30">
        <f>PM_Angle!$J$9+PM_Angle!$K$9*$C1164+PM_Angle!$L$9*$B1164</f>
      </c>
      <c r="O1164" s="12">
        <f>IF(N1164&gt;0,IF(N1164&lt;=eco,alpha*fck*(1-(1-N1164/eco)^n),alpha*fck),0)</f>
      </c>
      <c r="P1164" s="30">
        <f>PM_Angle!$J$10+PM_Angle!$K$10*$C1164+PM_Angle!$L$10*$B1164</f>
      </c>
      <c r="Q1164" s="12">
        <f>IF(P1164&gt;0,IF(P1164&lt;=eco,alpha*fck*(1-(1-P1164/eco)^n),alpha*fck),0)</f>
      </c>
      <c r="R1164" s="30">
        <f>PM_Angle!$J$11+PM_Angle!$K$11*$C1164+PM_Angle!$L$11*$B1164</f>
      </c>
      <c r="S1164" s="12">
        <f>IF(R1164&gt;0,IF(R1164&lt;=eco,alpha*fck*(1-(1-R1164/eco)^n),alpha*fck),0)</f>
      </c>
      <c r="T1164" s="30">
        <f>PM_Angle!$J$12+PM_Angle!$K$12*$C1164+PM_Angle!$L$12*$B1164</f>
      </c>
      <c r="U1164" s="12">
        <f>IF(T1164&gt;0,IF(T1164&lt;=eco,alpha*fck*(1-(1-T1164/eco)^n),alpha*fck),0)</f>
      </c>
      <c r="V1164" s="30">
        <f>PM_Angle!$J$13+PM_Angle!$K$13*$C1164+PM_Angle!$L$13*$B1164</f>
      </c>
      <c r="W1164" s="12">
        <f>IF(V1164&gt;0,IF(V1164&lt;=eco,alpha*fck*(1-(1-V1164/eco)^n),alpha*fck),0)</f>
      </c>
      <c r="X1164" s="30">
        <f>PM_Angle!$J$14+PM_Angle!$K$14*$C1164+PM_Angle!$L$14*$B1164</f>
      </c>
      <c r="Y1164" s="12">
        <f>IF(X1164&gt;0,IF(X1164&lt;=eco,alpha*fck*(1-(1-X1164/eco)^n),alpha*fck),0)</f>
      </c>
      <c r="Z1164" s="30">
        <f>PM_Angle!$J$15+PM_Angle!$K$15*$C1164+PM_Angle!$L$15*$B1164</f>
      </c>
      <c r="AA1164" s="12">
        <f>IF(Z1164&gt;0,IF(Z1164&lt;=eco,alpha*fck*(1-(1-Z1164/eco)^n),alpha*fck),0)</f>
      </c>
      <c r="AB1164" s="30">
        <f>PM_Angle!$J$16+PM_Angle!$K$16*$C1164+PM_Angle!$L$16*$B1164</f>
      </c>
      <c r="AC1164" s="12">
        <f>IF(AB1164&gt;0,IF(AB1164&lt;=eco,alpha*fck*(1-(1-AB1164/eco)^n),alpha*fck),0)</f>
      </c>
      <c r="AD1164" s="30">
        <f>PM_Angle!$J$17+PM_Angle!$K$17*$C1164+PM_Angle!$L$17*$B1164</f>
      </c>
      <c r="AE1164" s="12">
        <f>IF(AD1164&gt;0,IF(AD1164&lt;=eco,alpha*fck*(1-(1-AD1164/eco)^n),alpha*fck),0)</f>
      </c>
      <c r="AF1164" s="30">
        <f>PM_Angle!$J$18+PM_Angle!$K$18*$C1164+PM_Angle!$L$18*$B1164</f>
      </c>
      <c r="AG1164" s="12">
        <f>IF(AF1164&gt;0,IF(AF1164&lt;=eco,alpha*fck*(1-(1-AF1164/eco)^n),alpha*fck),0)</f>
      </c>
      <c r="AH1164" s="30">
        <f>PM_Angle!$J$19+PM_Angle!$K$19*$C1164+PM_Angle!$L$19*$B1164</f>
      </c>
      <c r="AI1164" s="12">
        <f>IF(AH1164&gt;0,IF(AH1164&lt;=eco,alpha*fck*(1-(1-AH1164/eco)^n),alpha*fck),0)</f>
      </c>
      <c r="AJ1164" s="30">
        <f>PM_Angle!$J$20+PM_Angle!$K$20*$C1164+PM_Angle!$L$20*$B1164</f>
      </c>
      <c r="AK1164" s="12">
        <f>IF(AJ1164&gt;0,IF(AJ1164&lt;=eco,alpha*fck*(1-(1-AJ1164/eco)^n),alpha*fck),0)</f>
      </c>
      <c r="AL1164" s="30">
        <f>PM_Angle!$J$21+PM_Angle!$K$21*$C1164+PM_Angle!$L$21*$B1164</f>
      </c>
      <c r="AM1164" s="12">
        <f>IF(AL1164&gt;0,IF(AL1164&lt;=eco,alpha*fck*(1-(1-AL1164/eco)^n),alpha*fck),0)</f>
      </c>
      <c r="AN1164" s="30">
        <f>PM_Angle!$J$22+PM_Angle!$K$22*$C1164+PM_Angle!$L$22*$B1164</f>
      </c>
      <c r="AO1164" s="12">
        <f>IF(AN1164&gt;0,IF(AN1164&lt;=eco,alpha*fck*(1-(1-AN1164/eco)^n),alpha*fck),0)</f>
      </c>
      <c r="AP1164" s="30">
        <f>PM_Angle!$J$23+PM_Angle!$K$23*$C1164+PM_Angle!$L$23*$B1164</f>
      </c>
      <c r="AQ1164" s="12">
        <f>IF(AP1164&gt;0,IF(AP1164&lt;=eco,alpha*fck*(1-(1-AP1164/eco)^n),alpha*fck),0)</f>
      </c>
      <c r="AR1164" s="30">
        <f>PM_Angle!$J$24+PM_Angle!$K$24*$C1164+PM_Angle!$L$24*$B1164</f>
      </c>
      <c r="AS1164" s="12">
        <f>IF(AR1164&gt;0,IF(AR1164&lt;=eco,alpha*fck*(1-(1-AR1164/eco)^n),alpha*fck),0)</f>
      </c>
      <c r="AT1164" s="30">
        <f>PM_Angle!$J$25+PM_Angle!$K$25*$C1164+PM_Angle!$L$25*$B1164</f>
      </c>
      <c r="AU1164" s="12">
        <f>IF(AT1164&gt;0,IF(AT1164&lt;=eco,alpha*fck*(1-(1-AT1164/eco)^n),alpha*fck),0)</f>
      </c>
    </row>
    <row r="1165" spans="1:47" x14ac:dyDescent="0.25">
      <c r="A1165">
        <f>Mesh!A1162</f>
      </c>
      <c r="B1165" s="12">
        <f>Mesh!B1162</f>
      </c>
      <c r="C1165" s="12">
        <f>Mesh!C1162</f>
      </c>
      <c r="D1165" s="12">
        <f>Mesh!D1162</f>
      </c>
      <c r="E1165" s="30">
        <f>INDEX(St_e0,Det+1)+INDEX(St_kx,Det+1)*C1165+INDEX(St_ky,Det+1)*B1165</f>
      </c>
      <c r="F1165" s="12">
        <f>IF(E1165&gt;0,IF(E1165&lt;=eco,alpha*fck*(1-(1-E1165/eco)^n),alpha*fck),0)</f>
      </c>
      <c r="G1165" s="11">
        <f>F1165*D1165</f>
      </c>
      <c r="H1165" s="11">
        <f>G1165*C1165</f>
      </c>
      <c r="I1165" s="11">
        <f>G1165*B1165</f>
      </c>
      <c r="J1165" s="30">
        <f>PM_Angle!$J$7+PM_Angle!$K$7*$C1165+PM_Angle!$L$7*$B1165</f>
      </c>
      <c r="K1165" s="12">
        <f>IF(J1165&gt;0,IF(J1165&lt;=eco,alpha*fck*(1-(1-J1165/eco)^n),alpha*fck),0)</f>
      </c>
      <c r="L1165" s="30">
        <f>PM_Angle!$J$8+PM_Angle!$K$8*$C1165+PM_Angle!$L$8*$B1165</f>
      </c>
      <c r="M1165" s="12">
        <f>IF(L1165&gt;0,IF(L1165&lt;=eco,alpha*fck*(1-(1-L1165/eco)^n),alpha*fck),0)</f>
      </c>
      <c r="N1165" s="30">
        <f>PM_Angle!$J$9+PM_Angle!$K$9*$C1165+PM_Angle!$L$9*$B1165</f>
      </c>
      <c r="O1165" s="12">
        <f>IF(N1165&gt;0,IF(N1165&lt;=eco,alpha*fck*(1-(1-N1165/eco)^n),alpha*fck),0)</f>
      </c>
      <c r="P1165" s="30">
        <f>PM_Angle!$J$10+PM_Angle!$K$10*$C1165+PM_Angle!$L$10*$B1165</f>
      </c>
      <c r="Q1165" s="12">
        <f>IF(P1165&gt;0,IF(P1165&lt;=eco,alpha*fck*(1-(1-P1165/eco)^n),alpha*fck),0)</f>
      </c>
      <c r="R1165" s="30">
        <f>PM_Angle!$J$11+PM_Angle!$K$11*$C1165+PM_Angle!$L$11*$B1165</f>
      </c>
      <c r="S1165" s="12">
        <f>IF(R1165&gt;0,IF(R1165&lt;=eco,alpha*fck*(1-(1-R1165/eco)^n),alpha*fck),0)</f>
      </c>
      <c r="T1165" s="30">
        <f>PM_Angle!$J$12+PM_Angle!$K$12*$C1165+PM_Angle!$L$12*$B1165</f>
      </c>
      <c r="U1165" s="12">
        <f>IF(T1165&gt;0,IF(T1165&lt;=eco,alpha*fck*(1-(1-T1165/eco)^n),alpha*fck),0)</f>
      </c>
      <c r="V1165" s="30">
        <f>PM_Angle!$J$13+PM_Angle!$K$13*$C1165+PM_Angle!$L$13*$B1165</f>
      </c>
      <c r="W1165" s="12">
        <f>IF(V1165&gt;0,IF(V1165&lt;=eco,alpha*fck*(1-(1-V1165/eco)^n),alpha*fck),0)</f>
      </c>
      <c r="X1165" s="30">
        <f>PM_Angle!$J$14+PM_Angle!$K$14*$C1165+PM_Angle!$L$14*$B1165</f>
      </c>
      <c r="Y1165" s="12">
        <f>IF(X1165&gt;0,IF(X1165&lt;=eco,alpha*fck*(1-(1-X1165/eco)^n),alpha*fck),0)</f>
      </c>
      <c r="Z1165" s="30">
        <f>PM_Angle!$J$15+PM_Angle!$K$15*$C1165+PM_Angle!$L$15*$B1165</f>
      </c>
      <c r="AA1165" s="12">
        <f>IF(Z1165&gt;0,IF(Z1165&lt;=eco,alpha*fck*(1-(1-Z1165/eco)^n),alpha*fck),0)</f>
      </c>
      <c r="AB1165" s="30">
        <f>PM_Angle!$J$16+PM_Angle!$K$16*$C1165+PM_Angle!$L$16*$B1165</f>
      </c>
      <c r="AC1165" s="12">
        <f>IF(AB1165&gt;0,IF(AB1165&lt;=eco,alpha*fck*(1-(1-AB1165/eco)^n),alpha*fck),0)</f>
      </c>
      <c r="AD1165" s="30">
        <f>PM_Angle!$J$17+PM_Angle!$K$17*$C1165+PM_Angle!$L$17*$B1165</f>
      </c>
      <c r="AE1165" s="12">
        <f>IF(AD1165&gt;0,IF(AD1165&lt;=eco,alpha*fck*(1-(1-AD1165/eco)^n),alpha*fck),0)</f>
      </c>
      <c r="AF1165" s="30">
        <f>PM_Angle!$J$18+PM_Angle!$K$18*$C1165+PM_Angle!$L$18*$B1165</f>
      </c>
      <c r="AG1165" s="12">
        <f>IF(AF1165&gt;0,IF(AF1165&lt;=eco,alpha*fck*(1-(1-AF1165/eco)^n),alpha*fck),0)</f>
      </c>
      <c r="AH1165" s="30">
        <f>PM_Angle!$J$19+PM_Angle!$K$19*$C1165+PM_Angle!$L$19*$B1165</f>
      </c>
      <c r="AI1165" s="12">
        <f>IF(AH1165&gt;0,IF(AH1165&lt;=eco,alpha*fck*(1-(1-AH1165/eco)^n),alpha*fck),0)</f>
      </c>
      <c r="AJ1165" s="30">
        <f>PM_Angle!$J$20+PM_Angle!$K$20*$C1165+PM_Angle!$L$20*$B1165</f>
      </c>
      <c r="AK1165" s="12">
        <f>IF(AJ1165&gt;0,IF(AJ1165&lt;=eco,alpha*fck*(1-(1-AJ1165/eco)^n),alpha*fck),0)</f>
      </c>
      <c r="AL1165" s="30">
        <f>PM_Angle!$J$21+PM_Angle!$K$21*$C1165+PM_Angle!$L$21*$B1165</f>
      </c>
      <c r="AM1165" s="12">
        <f>IF(AL1165&gt;0,IF(AL1165&lt;=eco,alpha*fck*(1-(1-AL1165/eco)^n),alpha*fck),0)</f>
      </c>
      <c r="AN1165" s="30">
        <f>PM_Angle!$J$22+PM_Angle!$K$22*$C1165+PM_Angle!$L$22*$B1165</f>
      </c>
      <c r="AO1165" s="12">
        <f>IF(AN1165&gt;0,IF(AN1165&lt;=eco,alpha*fck*(1-(1-AN1165/eco)^n),alpha*fck),0)</f>
      </c>
      <c r="AP1165" s="30">
        <f>PM_Angle!$J$23+PM_Angle!$K$23*$C1165+PM_Angle!$L$23*$B1165</f>
      </c>
      <c r="AQ1165" s="12">
        <f>IF(AP1165&gt;0,IF(AP1165&lt;=eco,alpha*fck*(1-(1-AP1165/eco)^n),alpha*fck),0)</f>
      </c>
      <c r="AR1165" s="30">
        <f>PM_Angle!$J$24+PM_Angle!$K$24*$C1165+PM_Angle!$L$24*$B1165</f>
      </c>
      <c r="AS1165" s="12">
        <f>IF(AR1165&gt;0,IF(AR1165&lt;=eco,alpha*fck*(1-(1-AR1165/eco)^n),alpha*fck),0)</f>
      </c>
      <c r="AT1165" s="30">
        <f>PM_Angle!$J$25+PM_Angle!$K$25*$C1165+PM_Angle!$L$25*$B1165</f>
      </c>
      <c r="AU1165" s="12">
        <f>IF(AT1165&gt;0,IF(AT1165&lt;=eco,alpha*fck*(1-(1-AT1165/eco)^n),alpha*fck),0)</f>
      </c>
    </row>
    <row r="1166" spans="1:47" x14ac:dyDescent="0.25">
      <c r="A1166">
        <f>Mesh!A1163</f>
      </c>
      <c r="B1166" s="12">
        <f>Mesh!B1163</f>
      </c>
      <c r="C1166" s="12">
        <f>Mesh!C1163</f>
      </c>
      <c r="D1166" s="12">
        <f>Mesh!D1163</f>
      </c>
      <c r="E1166" s="30">
        <f>INDEX(St_e0,Det+1)+INDEX(St_kx,Det+1)*C1166+INDEX(St_ky,Det+1)*B1166</f>
      </c>
      <c r="F1166" s="12">
        <f>IF(E1166&gt;0,IF(E1166&lt;=eco,alpha*fck*(1-(1-E1166/eco)^n),alpha*fck),0)</f>
      </c>
      <c r="G1166" s="11">
        <f>F1166*D1166</f>
      </c>
      <c r="H1166" s="11">
        <f>G1166*C1166</f>
      </c>
      <c r="I1166" s="11">
        <f>G1166*B1166</f>
      </c>
      <c r="J1166" s="30">
        <f>PM_Angle!$J$7+PM_Angle!$K$7*$C1166+PM_Angle!$L$7*$B1166</f>
      </c>
      <c r="K1166" s="12">
        <f>IF(J1166&gt;0,IF(J1166&lt;=eco,alpha*fck*(1-(1-J1166/eco)^n),alpha*fck),0)</f>
      </c>
      <c r="L1166" s="30">
        <f>PM_Angle!$J$8+PM_Angle!$K$8*$C1166+PM_Angle!$L$8*$B1166</f>
      </c>
      <c r="M1166" s="12">
        <f>IF(L1166&gt;0,IF(L1166&lt;=eco,alpha*fck*(1-(1-L1166/eco)^n),alpha*fck),0)</f>
      </c>
      <c r="N1166" s="30">
        <f>PM_Angle!$J$9+PM_Angle!$K$9*$C1166+PM_Angle!$L$9*$B1166</f>
      </c>
      <c r="O1166" s="12">
        <f>IF(N1166&gt;0,IF(N1166&lt;=eco,alpha*fck*(1-(1-N1166/eco)^n),alpha*fck),0)</f>
      </c>
      <c r="P1166" s="30">
        <f>PM_Angle!$J$10+PM_Angle!$K$10*$C1166+PM_Angle!$L$10*$B1166</f>
      </c>
      <c r="Q1166" s="12">
        <f>IF(P1166&gt;0,IF(P1166&lt;=eco,alpha*fck*(1-(1-P1166/eco)^n),alpha*fck),0)</f>
      </c>
      <c r="R1166" s="30">
        <f>PM_Angle!$J$11+PM_Angle!$K$11*$C1166+PM_Angle!$L$11*$B1166</f>
      </c>
      <c r="S1166" s="12">
        <f>IF(R1166&gt;0,IF(R1166&lt;=eco,alpha*fck*(1-(1-R1166/eco)^n),alpha*fck),0)</f>
      </c>
      <c r="T1166" s="30">
        <f>PM_Angle!$J$12+PM_Angle!$K$12*$C1166+PM_Angle!$L$12*$B1166</f>
      </c>
      <c r="U1166" s="12">
        <f>IF(T1166&gt;0,IF(T1166&lt;=eco,alpha*fck*(1-(1-T1166/eco)^n),alpha*fck),0)</f>
      </c>
      <c r="V1166" s="30">
        <f>PM_Angle!$J$13+PM_Angle!$K$13*$C1166+PM_Angle!$L$13*$B1166</f>
      </c>
      <c r="W1166" s="12">
        <f>IF(V1166&gt;0,IF(V1166&lt;=eco,alpha*fck*(1-(1-V1166/eco)^n),alpha*fck),0)</f>
      </c>
      <c r="X1166" s="30">
        <f>PM_Angle!$J$14+PM_Angle!$K$14*$C1166+PM_Angle!$L$14*$B1166</f>
      </c>
      <c r="Y1166" s="12">
        <f>IF(X1166&gt;0,IF(X1166&lt;=eco,alpha*fck*(1-(1-X1166/eco)^n),alpha*fck),0)</f>
      </c>
      <c r="Z1166" s="30">
        <f>PM_Angle!$J$15+PM_Angle!$K$15*$C1166+PM_Angle!$L$15*$B1166</f>
      </c>
      <c r="AA1166" s="12">
        <f>IF(Z1166&gt;0,IF(Z1166&lt;=eco,alpha*fck*(1-(1-Z1166/eco)^n),alpha*fck),0)</f>
      </c>
      <c r="AB1166" s="30">
        <f>PM_Angle!$J$16+PM_Angle!$K$16*$C1166+PM_Angle!$L$16*$B1166</f>
      </c>
      <c r="AC1166" s="12">
        <f>IF(AB1166&gt;0,IF(AB1166&lt;=eco,alpha*fck*(1-(1-AB1166/eco)^n),alpha*fck),0)</f>
      </c>
      <c r="AD1166" s="30">
        <f>PM_Angle!$J$17+PM_Angle!$K$17*$C1166+PM_Angle!$L$17*$B1166</f>
      </c>
      <c r="AE1166" s="12">
        <f>IF(AD1166&gt;0,IF(AD1166&lt;=eco,alpha*fck*(1-(1-AD1166/eco)^n),alpha*fck),0)</f>
      </c>
      <c r="AF1166" s="30">
        <f>PM_Angle!$J$18+PM_Angle!$K$18*$C1166+PM_Angle!$L$18*$B1166</f>
      </c>
      <c r="AG1166" s="12">
        <f>IF(AF1166&gt;0,IF(AF1166&lt;=eco,alpha*fck*(1-(1-AF1166/eco)^n),alpha*fck),0)</f>
      </c>
      <c r="AH1166" s="30">
        <f>PM_Angle!$J$19+PM_Angle!$K$19*$C1166+PM_Angle!$L$19*$B1166</f>
      </c>
      <c r="AI1166" s="12">
        <f>IF(AH1166&gt;0,IF(AH1166&lt;=eco,alpha*fck*(1-(1-AH1166/eco)^n),alpha*fck),0)</f>
      </c>
      <c r="AJ1166" s="30">
        <f>PM_Angle!$J$20+PM_Angle!$K$20*$C1166+PM_Angle!$L$20*$B1166</f>
      </c>
      <c r="AK1166" s="12">
        <f>IF(AJ1166&gt;0,IF(AJ1166&lt;=eco,alpha*fck*(1-(1-AJ1166/eco)^n),alpha*fck),0)</f>
      </c>
      <c r="AL1166" s="30">
        <f>PM_Angle!$J$21+PM_Angle!$K$21*$C1166+PM_Angle!$L$21*$B1166</f>
      </c>
      <c r="AM1166" s="12">
        <f>IF(AL1166&gt;0,IF(AL1166&lt;=eco,alpha*fck*(1-(1-AL1166/eco)^n),alpha*fck),0)</f>
      </c>
      <c r="AN1166" s="30">
        <f>PM_Angle!$J$22+PM_Angle!$K$22*$C1166+PM_Angle!$L$22*$B1166</f>
      </c>
      <c r="AO1166" s="12">
        <f>IF(AN1166&gt;0,IF(AN1166&lt;=eco,alpha*fck*(1-(1-AN1166/eco)^n),alpha*fck),0)</f>
      </c>
      <c r="AP1166" s="30">
        <f>PM_Angle!$J$23+PM_Angle!$K$23*$C1166+PM_Angle!$L$23*$B1166</f>
      </c>
      <c r="AQ1166" s="12">
        <f>IF(AP1166&gt;0,IF(AP1166&lt;=eco,alpha*fck*(1-(1-AP1166/eco)^n),alpha*fck),0)</f>
      </c>
      <c r="AR1166" s="30">
        <f>PM_Angle!$J$24+PM_Angle!$K$24*$C1166+PM_Angle!$L$24*$B1166</f>
      </c>
      <c r="AS1166" s="12">
        <f>IF(AR1166&gt;0,IF(AR1166&lt;=eco,alpha*fck*(1-(1-AR1166/eco)^n),alpha*fck),0)</f>
      </c>
      <c r="AT1166" s="30">
        <f>PM_Angle!$J$25+PM_Angle!$K$25*$C1166+PM_Angle!$L$25*$B1166</f>
      </c>
      <c r="AU1166" s="12">
        <f>IF(AT1166&gt;0,IF(AT1166&lt;=eco,alpha*fck*(1-(1-AT1166/eco)^n),alpha*fck),0)</f>
      </c>
    </row>
    <row r="1167" spans="1:47" x14ac:dyDescent="0.25">
      <c r="A1167">
        <f>Mesh!A1164</f>
      </c>
      <c r="B1167" s="12">
        <f>Mesh!B1164</f>
      </c>
      <c r="C1167" s="12">
        <f>Mesh!C1164</f>
      </c>
      <c r="D1167" s="12">
        <f>Mesh!D1164</f>
      </c>
      <c r="E1167" s="30">
        <f>INDEX(St_e0,Det+1)+INDEX(St_kx,Det+1)*C1167+INDEX(St_ky,Det+1)*B1167</f>
      </c>
      <c r="F1167" s="12">
        <f>IF(E1167&gt;0,IF(E1167&lt;=eco,alpha*fck*(1-(1-E1167/eco)^n),alpha*fck),0)</f>
      </c>
      <c r="G1167" s="11">
        <f>F1167*D1167</f>
      </c>
      <c r="H1167" s="11">
        <f>G1167*C1167</f>
      </c>
      <c r="I1167" s="11">
        <f>G1167*B1167</f>
      </c>
      <c r="J1167" s="30">
        <f>PM_Angle!$J$7+PM_Angle!$K$7*$C1167+PM_Angle!$L$7*$B1167</f>
      </c>
      <c r="K1167" s="12">
        <f>IF(J1167&gt;0,IF(J1167&lt;=eco,alpha*fck*(1-(1-J1167/eco)^n),alpha*fck),0)</f>
      </c>
      <c r="L1167" s="30">
        <f>PM_Angle!$J$8+PM_Angle!$K$8*$C1167+PM_Angle!$L$8*$B1167</f>
      </c>
      <c r="M1167" s="12">
        <f>IF(L1167&gt;0,IF(L1167&lt;=eco,alpha*fck*(1-(1-L1167/eco)^n),alpha*fck),0)</f>
      </c>
      <c r="N1167" s="30">
        <f>PM_Angle!$J$9+PM_Angle!$K$9*$C1167+PM_Angle!$L$9*$B1167</f>
      </c>
      <c r="O1167" s="12">
        <f>IF(N1167&gt;0,IF(N1167&lt;=eco,alpha*fck*(1-(1-N1167/eco)^n),alpha*fck),0)</f>
      </c>
      <c r="P1167" s="30">
        <f>PM_Angle!$J$10+PM_Angle!$K$10*$C1167+PM_Angle!$L$10*$B1167</f>
      </c>
      <c r="Q1167" s="12">
        <f>IF(P1167&gt;0,IF(P1167&lt;=eco,alpha*fck*(1-(1-P1167/eco)^n),alpha*fck),0)</f>
      </c>
      <c r="R1167" s="30">
        <f>PM_Angle!$J$11+PM_Angle!$K$11*$C1167+PM_Angle!$L$11*$B1167</f>
      </c>
      <c r="S1167" s="12">
        <f>IF(R1167&gt;0,IF(R1167&lt;=eco,alpha*fck*(1-(1-R1167/eco)^n),alpha*fck),0)</f>
      </c>
      <c r="T1167" s="30">
        <f>PM_Angle!$J$12+PM_Angle!$K$12*$C1167+PM_Angle!$L$12*$B1167</f>
      </c>
      <c r="U1167" s="12">
        <f>IF(T1167&gt;0,IF(T1167&lt;=eco,alpha*fck*(1-(1-T1167/eco)^n),alpha*fck),0)</f>
      </c>
      <c r="V1167" s="30">
        <f>PM_Angle!$J$13+PM_Angle!$K$13*$C1167+PM_Angle!$L$13*$B1167</f>
      </c>
      <c r="W1167" s="12">
        <f>IF(V1167&gt;0,IF(V1167&lt;=eco,alpha*fck*(1-(1-V1167/eco)^n),alpha*fck),0)</f>
      </c>
      <c r="X1167" s="30">
        <f>PM_Angle!$J$14+PM_Angle!$K$14*$C1167+PM_Angle!$L$14*$B1167</f>
      </c>
      <c r="Y1167" s="12">
        <f>IF(X1167&gt;0,IF(X1167&lt;=eco,alpha*fck*(1-(1-X1167/eco)^n),alpha*fck),0)</f>
      </c>
      <c r="Z1167" s="30">
        <f>PM_Angle!$J$15+PM_Angle!$K$15*$C1167+PM_Angle!$L$15*$B1167</f>
      </c>
      <c r="AA1167" s="12">
        <f>IF(Z1167&gt;0,IF(Z1167&lt;=eco,alpha*fck*(1-(1-Z1167/eco)^n),alpha*fck),0)</f>
      </c>
      <c r="AB1167" s="30">
        <f>PM_Angle!$J$16+PM_Angle!$K$16*$C1167+PM_Angle!$L$16*$B1167</f>
      </c>
      <c r="AC1167" s="12">
        <f>IF(AB1167&gt;0,IF(AB1167&lt;=eco,alpha*fck*(1-(1-AB1167/eco)^n),alpha*fck),0)</f>
      </c>
      <c r="AD1167" s="30">
        <f>PM_Angle!$J$17+PM_Angle!$K$17*$C1167+PM_Angle!$L$17*$B1167</f>
      </c>
      <c r="AE1167" s="12">
        <f>IF(AD1167&gt;0,IF(AD1167&lt;=eco,alpha*fck*(1-(1-AD1167/eco)^n),alpha*fck),0)</f>
      </c>
      <c r="AF1167" s="30">
        <f>PM_Angle!$J$18+PM_Angle!$K$18*$C1167+PM_Angle!$L$18*$B1167</f>
      </c>
      <c r="AG1167" s="12">
        <f>IF(AF1167&gt;0,IF(AF1167&lt;=eco,alpha*fck*(1-(1-AF1167/eco)^n),alpha*fck),0)</f>
      </c>
      <c r="AH1167" s="30">
        <f>PM_Angle!$J$19+PM_Angle!$K$19*$C1167+PM_Angle!$L$19*$B1167</f>
      </c>
      <c r="AI1167" s="12">
        <f>IF(AH1167&gt;0,IF(AH1167&lt;=eco,alpha*fck*(1-(1-AH1167/eco)^n),alpha*fck),0)</f>
      </c>
      <c r="AJ1167" s="30">
        <f>PM_Angle!$J$20+PM_Angle!$K$20*$C1167+PM_Angle!$L$20*$B1167</f>
      </c>
      <c r="AK1167" s="12">
        <f>IF(AJ1167&gt;0,IF(AJ1167&lt;=eco,alpha*fck*(1-(1-AJ1167/eco)^n),alpha*fck),0)</f>
      </c>
      <c r="AL1167" s="30">
        <f>PM_Angle!$J$21+PM_Angle!$K$21*$C1167+PM_Angle!$L$21*$B1167</f>
      </c>
      <c r="AM1167" s="12">
        <f>IF(AL1167&gt;0,IF(AL1167&lt;=eco,alpha*fck*(1-(1-AL1167/eco)^n),alpha*fck),0)</f>
      </c>
      <c r="AN1167" s="30">
        <f>PM_Angle!$J$22+PM_Angle!$K$22*$C1167+PM_Angle!$L$22*$B1167</f>
      </c>
      <c r="AO1167" s="12">
        <f>IF(AN1167&gt;0,IF(AN1167&lt;=eco,alpha*fck*(1-(1-AN1167/eco)^n),alpha*fck),0)</f>
      </c>
      <c r="AP1167" s="30">
        <f>PM_Angle!$J$23+PM_Angle!$K$23*$C1167+PM_Angle!$L$23*$B1167</f>
      </c>
      <c r="AQ1167" s="12">
        <f>IF(AP1167&gt;0,IF(AP1167&lt;=eco,alpha*fck*(1-(1-AP1167/eco)^n),alpha*fck),0)</f>
      </c>
      <c r="AR1167" s="30">
        <f>PM_Angle!$J$24+PM_Angle!$K$24*$C1167+PM_Angle!$L$24*$B1167</f>
      </c>
      <c r="AS1167" s="12">
        <f>IF(AR1167&gt;0,IF(AR1167&lt;=eco,alpha*fck*(1-(1-AR1167/eco)^n),alpha*fck),0)</f>
      </c>
      <c r="AT1167" s="30">
        <f>PM_Angle!$J$25+PM_Angle!$K$25*$C1167+PM_Angle!$L$25*$B1167</f>
      </c>
      <c r="AU1167" s="12">
        <f>IF(AT1167&gt;0,IF(AT1167&lt;=eco,alpha*fck*(1-(1-AT1167/eco)^n),alpha*fck),0)</f>
      </c>
    </row>
    <row r="1168" spans="1:47" x14ac:dyDescent="0.25">
      <c r="A1168">
        <f>Mesh!A1165</f>
      </c>
      <c r="B1168" s="12">
        <f>Mesh!B1165</f>
      </c>
      <c r="C1168" s="12">
        <f>Mesh!C1165</f>
      </c>
      <c r="D1168" s="12">
        <f>Mesh!D1165</f>
      </c>
      <c r="E1168" s="30">
        <f>INDEX(St_e0,Det+1)+INDEX(St_kx,Det+1)*C1168+INDEX(St_ky,Det+1)*B1168</f>
      </c>
      <c r="F1168" s="12">
        <f>IF(E1168&gt;0,IF(E1168&lt;=eco,alpha*fck*(1-(1-E1168/eco)^n),alpha*fck),0)</f>
      </c>
      <c r="G1168" s="11">
        <f>F1168*D1168</f>
      </c>
      <c r="H1168" s="11">
        <f>G1168*C1168</f>
      </c>
      <c r="I1168" s="11">
        <f>G1168*B1168</f>
      </c>
      <c r="J1168" s="30">
        <f>PM_Angle!$J$7+PM_Angle!$K$7*$C1168+PM_Angle!$L$7*$B1168</f>
      </c>
      <c r="K1168" s="12">
        <f>IF(J1168&gt;0,IF(J1168&lt;=eco,alpha*fck*(1-(1-J1168/eco)^n),alpha*fck),0)</f>
      </c>
      <c r="L1168" s="30">
        <f>PM_Angle!$J$8+PM_Angle!$K$8*$C1168+PM_Angle!$L$8*$B1168</f>
      </c>
      <c r="M1168" s="12">
        <f>IF(L1168&gt;0,IF(L1168&lt;=eco,alpha*fck*(1-(1-L1168/eco)^n),alpha*fck),0)</f>
      </c>
      <c r="N1168" s="30">
        <f>PM_Angle!$J$9+PM_Angle!$K$9*$C1168+PM_Angle!$L$9*$B1168</f>
      </c>
      <c r="O1168" s="12">
        <f>IF(N1168&gt;0,IF(N1168&lt;=eco,alpha*fck*(1-(1-N1168/eco)^n),alpha*fck),0)</f>
      </c>
      <c r="P1168" s="30">
        <f>PM_Angle!$J$10+PM_Angle!$K$10*$C1168+PM_Angle!$L$10*$B1168</f>
      </c>
      <c r="Q1168" s="12">
        <f>IF(P1168&gt;0,IF(P1168&lt;=eco,alpha*fck*(1-(1-P1168/eco)^n),alpha*fck),0)</f>
      </c>
      <c r="R1168" s="30">
        <f>PM_Angle!$J$11+PM_Angle!$K$11*$C1168+PM_Angle!$L$11*$B1168</f>
      </c>
      <c r="S1168" s="12">
        <f>IF(R1168&gt;0,IF(R1168&lt;=eco,alpha*fck*(1-(1-R1168/eco)^n),alpha*fck),0)</f>
      </c>
      <c r="T1168" s="30">
        <f>PM_Angle!$J$12+PM_Angle!$K$12*$C1168+PM_Angle!$L$12*$B1168</f>
      </c>
      <c r="U1168" s="12">
        <f>IF(T1168&gt;0,IF(T1168&lt;=eco,alpha*fck*(1-(1-T1168/eco)^n),alpha*fck),0)</f>
      </c>
      <c r="V1168" s="30">
        <f>PM_Angle!$J$13+PM_Angle!$K$13*$C1168+PM_Angle!$L$13*$B1168</f>
      </c>
      <c r="W1168" s="12">
        <f>IF(V1168&gt;0,IF(V1168&lt;=eco,alpha*fck*(1-(1-V1168/eco)^n),alpha*fck),0)</f>
      </c>
      <c r="X1168" s="30">
        <f>PM_Angle!$J$14+PM_Angle!$K$14*$C1168+PM_Angle!$L$14*$B1168</f>
      </c>
      <c r="Y1168" s="12">
        <f>IF(X1168&gt;0,IF(X1168&lt;=eco,alpha*fck*(1-(1-X1168/eco)^n),alpha*fck),0)</f>
      </c>
      <c r="Z1168" s="30">
        <f>PM_Angle!$J$15+PM_Angle!$K$15*$C1168+PM_Angle!$L$15*$B1168</f>
      </c>
      <c r="AA1168" s="12">
        <f>IF(Z1168&gt;0,IF(Z1168&lt;=eco,alpha*fck*(1-(1-Z1168/eco)^n),alpha*fck),0)</f>
      </c>
      <c r="AB1168" s="30">
        <f>PM_Angle!$J$16+PM_Angle!$K$16*$C1168+PM_Angle!$L$16*$B1168</f>
      </c>
      <c r="AC1168" s="12">
        <f>IF(AB1168&gt;0,IF(AB1168&lt;=eco,alpha*fck*(1-(1-AB1168/eco)^n),alpha*fck),0)</f>
      </c>
      <c r="AD1168" s="30">
        <f>PM_Angle!$J$17+PM_Angle!$K$17*$C1168+PM_Angle!$L$17*$B1168</f>
      </c>
      <c r="AE1168" s="12">
        <f>IF(AD1168&gt;0,IF(AD1168&lt;=eco,alpha*fck*(1-(1-AD1168/eco)^n),alpha*fck),0)</f>
      </c>
      <c r="AF1168" s="30">
        <f>PM_Angle!$J$18+PM_Angle!$K$18*$C1168+PM_Angle!$L$18*$B1168</f>
      </c>
      <c r="AG1168" s="12">
        <f>IF(AF1168&gt;0,IF(AF1168&lt;=eco,alpha*fck*(1-(1-AF1168/eco)^n),alpha*fck),0)</f>
      </c>
      <c r="AH1168" s="30">
        <f>PM_Angle!$J$19+PM_Angle!$K$19*$C1168+PM_Angle!$L$19*$B1168</f>
      </c>
      <c r="AI1168" s="12">
        <f>IF(AH1168&gt;0,IF(AH1168&lt;=eco,alpha*fck*(1-(1-AH1168/eco)^n),alpha*fck),0)</f>
      </c>
      <c r="AJ1168" s="30">
        <f>PM_Angle!$J$20+PM_Angle!$K$20*$C1168+PM_Angle!$L$20*$B1168</f>
      </c>
      <c r="AK1168" s="12">
        <f>IF(AJ1168&gt;0,IF(AJ1168&lt;=eco,alpha*fck*(1-(1-AJ1168/eco)^n),alpha*fck),0)</f>
      </c>
      <c r="AL1168" s="30">
        <f>PM_Angle!$J$21+PM_Angle!$K$21*$C1168+PM_Angle!$L$21*$B1168</f>
      </c>
      <c r="AM1168" s="12">
        <f>IF(AL1168&gt;0,IF(AL1168&lt;=eco,alpha*fck*(1-(1-AL1168/eco)^n),alpha*fck),0)</f>
      </c>
      <c r="AN1168" s="30">
        <f>PM_Angle!$J$22+PM_Angle!$K$22*$C1168+PM_Angle!$L$22*$B1168</f>
      </c>
      <c r="AO1168" s="12">
        <f>IF(AN1168&gt;0,IF(AN1168&lt;=eco,alpha*fck*(1-(1-AN1168/eco)^n),alpha*fck),0)</f>
      </c>
      <c r="AP1168" s="30">
        <f>PM_Angle!$J$23+PM_Angle!$K$23*$C1168+PM_Angle!$L$23*$B1168</f>
      </c>
      <c r="AQ1168" s="12">
        <f>IF(AP1168&gt;0,IF(AP1168&lt;=eco,alpha*fck*(1-(1-AP1168/eco)^n),alpha*fck),0)</f>
      </c>
      <c r="AR1168" s="30">
        <f>PM_Angle!$J$24+PM_Angle!$K$24*$C1168+PM_Angle!$L$24*$B1168</f>
      </c>
      <c r="AS1168" s="12">
        <f>IF(AR1168&gt;0,IF(AR1168&lt;=eco,alpha*fck*(1-(1-AR1168/eco)^n),alpha*fck),0)</f>
      </c>
      <c r="AT1168" s="30">
        <f>PM_Angle!$J$25+PM_Angle!$K$25*$C1168+PM_Angle!$L$25*$B1168</f>
      </c>
      <c r="AU1168" s="12">
        <f>IF(AT1168&gt;0,IF(AT1168&lt;=eco,alpha*fck*(1-(1-AT1168/eco)^n),alpha*fck),0)</f>
      </c>
    </row>
    <row r="1169" spans="1:47" x14ac:dyDescent="0.25">
      <c r="A1169">
        <f>Mesh!A1166</f>
      </c>
      <c r="B1169" s="12">
        <f>Mesh!B1166</f>
      </c>
      <c r="C1169" s="12">
        <f>Mesh!C1166</f>
      </c>
      <c r="D1169" s="12">
        <f>Mesh!D1166</f>
      </c>
      <c r="E1169" s="30">
        <f>INDEX(St_e0,Det+1)+INDEX(St_kx,Det+1)*C1169+INDEX(St_ky,Det+1)*B1169</f>
      </c>
      <c r="F1169" s="12">
        <f>IF(E1169&gt;0,IF(E1169&lt;=eco,alpha*fck*(1-(1-E1169/eco)^n),alpha*fck),0)</f>
      </c>
      <c r="G1169" s="11">
        <f>F1169*D1169</f>
      </c>
      <c r="H1169" s="11">
        <f>G1169*C1169</f>
      </c>
      <c r="I1169" s="11">
        <f>G1169*B1169</f>
      </c>
      <c r="J1169" s="30">
        <f>PM_Angle!$J$7+PM_Angle!$K$7*$C1169+PM_Angle!$L$7*$B1169</f>
      </c>
      <c r="K1169" s="12">
        <f>IF(J1169&gt;0,IF(J1169&lt;=eco,alpha*fck*(1-(1-J1169/eco)^n),alpha*fck),0)</f>
      </c>
      <c r="L1169" s="30">
        <f>PM_Angle!$J$8+PM_Angle!$K$8*$C1169+PM_Angle!$L$8*$B1169</f>
      </c>
      <c r="M1169" s="12">
        <f>IF(L1169&gt;0,IF(L1169&lt;=eco,alpha*fck*(1-(1-L1169/eco)^n),alpha*fck),0)</f>
      </c>
      <c r="N1169" s="30">
        <f>PM_Angle!$J$9+PM_Angle!$K$9*$C1169+PM_Angle!$L$9*$B1169</f>
      </c>
      <c r="O1169" s="12">
        <f>IF(N1169&gt;0,IF(N1169&lt;=eco,alpha*fck*(1-(1-N1169/eco)^n),alpha*fck),0)</f>
      </c>
      <c r="P1169" s="30">
        <f>PM_Angle!$J$10+PM_Angle!$K$10*$C1169+PM_Angle!$L$10*$B1169</f>
      </c>
      <c r="Q1169" s="12">
        <f>IF(P1169&gt;0,IF(P1169&lt;=eco,alpha*fck*(1-(1-P1169/eco)^n),alpha*fck),0)</f>
      </c>
      <c r="R1169" s="30">
        <f>PM_Angle!$J$11+PM_Angle!$K$11*$C1169+PM_Angle!$L$11*$B1169</f>
      </c>
      <c r="S1169" s="12">
        <f>IF(R1169&gt;0,IF(R1169&lt;=eco,alpha*fck*(1-(1-R1169/eco)^n),alpha*fck),0)</f>
      </c>
      <c r="T1169" s="30">
        <f>PM_Angle!$J$12+PM_Angle!$K$12*$C1169+PM_Angle!$L$12*$B1169</f>
      </c>
      <c r="U1169" s="12">
        <f>IF(T1169&gt;0,IF(T1169&lt;=eco,alpha*fck*(1-(1-T1169/eco)^n),alpha*fck),0)</f>
      </c>
      <c r="V1169" s="30">
        <f>PM_Angle!$J$13+PM_Angle!$K$13*$C1169+PM_Angle!$L$13*$B1169</f>
      </c>
      <c r="W1169" s="12">
        <f>IF(V1169&gt;0,IF(V1169&lt;=eco,alpha*fck*(1-(1-V1169/eco)^n),alpha*fck),0)</f>
      </c>
      <c r="X1169" s="30">
        <f>PM_Angle!$J$14+PM_Angle!$K$14*$C1169+PM_Angle!$L$14*$B1169</f>
      </c>
      <c r="Y1169" s="12">
        <f>IF(X1169&gt;0,IF(X1169&lt;=eco,alpha*fck*(1-(1-X1169/eco)^n),alpha*fck),0)</f>
      </c>
      <c r="Z1169" s="30">
        <f>PM_Angle!$J$15+PM_Angle!$K$15*$C1169+PM_Angle!$L$15*$B1169</f>
      </c>
      <c r="AA1169" s="12">
        <f>IF(Z1169&gt;0,IF(Z1169&lt;=eco,alpha*fck*(1-(1-Z1169/eco)^n),alpha*fck),0)</f>
      </c>
      <c r="AB1169" s="30">
        <f>PM_Angle!$J$16+PM_Angle!$K$16*$C1169+PM_Angle!$L$16*$B1169</f>
      </c>
      <c r="AC1169" s="12">
        <f>IF(AB1169&gt;0,IF(AB1169&lt;=eco,alpha*fck*(1-(1-AB1169/eco)^n),alpha*fck),0)</f>
      </c>
      <c r="AD1169" s="30">
        <f>PM_Angle!$J$17+PM_Angle!$K$17*$C1169+PM_Angle!$L$17*$B1169</f>
      </c>
      <c r="AE1169" s="12">
        <f>IF(AD1169&gt;0,IF(AD1169&lt;=eco,alpha*fck*(1-(1-AD1169/eco)^n),alpha*fck),0)</f>
      </c>
      <c r="AF1169" s="30">
        <f>PM_Angle!$J$18+PM_Angle!$K$18*$C1169+PM_Angle!$L$18*$B1169</f>
      </c>
      <c r="AG1169" s="12">
        <f>IF(AF1169&gt;0,IF(AF1169&lt;=eco,alpha*fck*(1-(1-AF1169/eco)^n),alpha*fck),0)</f>
      </c>
      <c r="AH1169" s="30">
        <f>PM_Angle!$J$19+PM_Angle!$K$19*$C1169+PM_Angle!$L$19*$B1169</f>
      </c>
      <c r="AI1169" s="12">
        <f>IF(AH1169&gt;0,IF(AH1169&lt;=eco,alpha*fck*(1-(1-AH1169/eco)^n),alpha*fck),0)</f>
      </c>
      <c r="AJ1169" s="30">
        <f>PM_Angle!$J$20+PM_Angle!$K$20*$C1169+PM_Angle!$L$20*$B1169</f>
      </c>
      <c r="AK1169" s="12">
        <f>IF(AJ1169&gt;0,IF(AJ1169&lt;=eco,alpha*fck*(1-(1-AJ1169/eco)^n),alpha*fck),0)</f>
      </c>
      <c r="AL1169" s="30">
        <f>PM_Angle!$J$21+PM_Angle!$K$21*$C1169+PM_Angle!$L$21*$B1169</f>
      </c>
      <c r="AM1169" s="12">
        <f>IF(AL1169&gt;0,IF(AL1169&lt;=eco,alpha*fck*(1-(1-AL1169/eco)^n),alpha*fck),0)</f>
      </c>
      <c r="AN1169" s="30">
        <f>PM_Angle!$J$22+PM_Angle!$K$22*$C1169+PM_Angle!$L$22*$B1169</f>
      </c>
      <c r="AO1169" s="12">
        <f>IF(AN1169&gt;0,IF(AN1169&lt;=eco,alpha*fck*(1-(1-AN1169/eco)^n),alpha*fck),0)</f>
      </c>
      <c r="AP1169" s="30">
        <f>PM_Angle!$J$23+PM_Angle!$K$23*$C1169+PM_Angle!$L$23*$B1169</f>
      </c>
      <c r="AQ1169" s="12">
        <f>IF(AP1169&gt;0,IF(AP1169&lt;=eco,alpha*fck*(1-(1-AP1169/eco)^n),alpha*fck),0)</f>
      </c>
      <c r="AR1169" s="30">
        <f>PM_Angle!$J$24+PM_Angle!$K$24*$C1169+PM_Angle!$L$24*$B1169</f>
      </c>
      <c r="AS1169" s="12">
        <f>IF(AR1169&gt;0,IF(AR1169&lt;=eco,alpha*fck*(1-(1-AR1169/eco)^n),alpha*fck),0)</f>
      </c>
      <c r="AT1169" s="30">
        <f>PM_Angle!$J$25+PM_Angle!$K$25*$C1169+PM_Angle!$L$25*$B1169</f>
      </c>
      <c r="AU1169" s="12">
        <f>IF(AT1169&gt;0,IF(AT1169&lt;=eco,alpha*fck*(1-(1-AT1169/eco)^n),alpha*fck),0)</f>
      </c>
    </row>
    <row r="1170" spans="1:47" x14ac:dyDescent="0.25">
      <c r="A1170">
        <f>Mesh!A1167</f>
      </c>
      <c r="B1170" s="12">
        <f>Mesh!B1167</f>
      </c>
      <c r="C1170" s="12">
        <f>Mesh!C1167</f>
      </c>
      <c r="D1170" s="12">
        <f>Mesh!D1167</f>
      </c>
      <c r="E1170" s="30">
        <f>INDEX(St_e0,Det+1)+INDEX(St_kx,Det+1)*C1170+INDEX(St_ky,Det+1)*B1170</f>
      </c>
      <c r="F1170" s="12">
        <f>IF(E1170&gt;0,IF(E1170&lt;=eco,alpha*fck*(1-(1-E1170/eco)^n),alpha*fck),0)</f>
      </c>
      <c r="G1170" s="11">
        <f>F1170*D1170</f>
      </c>
      <c r="H1170" s="11">
        <f>G1170*C1170</f>
      </c>
      <c r="I1170" s="11">
        <f>G1170*B1170</f>
      </c>
      <c r="J1170" s="30">
        <f>PM_Angle!$J$7+PM_Angle!$K$7*$C1170+PM_Angle!$L$7*$B1170</f>
      </c>
      <c r="K1170" s="12">
        <f>IF(J1170&gt;0,IF(J1170&lt;=eco,alpha*fck*(1-(1-J1170/eco)^n),alpha*fck),0)</f>
      </c>
      <c r="L1170" s="30">
        <f>PM_Angle!$J$8+PM_Angle!$K$8*$C1170+PM_Angle!$L$8*$B1170</f>
      </c>
      <c r="M1170" s="12">
        <f>IF(L1170&gt;0,IF(L1170&lt;=eco,alpha*fck*(1-(1-L1170/eco)^n),alpha*fck),0)</f>
      </c>
      <c r="N1170" s="30">
        <f>PM_Angle!$J$9+PM_Angle!$K$9*$C1170+PM_Angle!$L$9*$B1170</f>
      </c>
      <c r="O1170" s="12">
        <f>IF(N1170&gt;0,IF(N1170&lt;=eco,alpha*fck*(1-(1-N1170/eco)^n),alpha*fck),0)</f>
      </c>
      <c r="P1170" s="30">
        <f>PM_Angle!$J$10+PM_Angle!$K$10*$C1170+PM_Angle!$L$10*$B1170</f>
      </c>
      <c r="Q1170" s="12">
        <f>IF(P1170&gt;0,IF(P1170&lt;=eco,alpha*fck*(1-(1-P1170/eco)^n),alpha*fck),0)</f>
      </c>
      <c r="R1170" s="30">
        <f>PM_Angle!$J$11+PM_Angle!$K$11*$C1170+PM_Angle!$L$11*$B1170</f>
      </c>
      <c r="S1170" s="12">
        <f>IF(R1170&gt;0,IF(R1170&lt;=eco,alpha*fck*(1-(1-R1170/eco)^n),alpha*fck),0)</f>
      </c>
      <c r="T1170" s="30">
        <f>PM_Angle!$J$12+PM_Angle!$K$12*$C1170+PM_Angle!$L$12*$B1170</f>
      </c>
      <c r="U1170" s="12">
        <f>IF(T1170&gt;0,IF(T1170&lt;=eco,alpha*fck*(1-(1-T1170/eco)^n),alpha*fck),0)</f>
      </c>
      <c r="V1170" s="30">
        <f>PM_Angle!$J$13+PM_Angle!$K$13*$C1170+PM_Angle!$L$13*$B1170</f>
      </c>
      <c r="W1170" s="12">
        <f>IF(V1170&gt;0,IF(V1170&lt;=eco,alpha*fck*(1-(1-V1170/eco)^n),alpha*fck),0)</f>
      </c>
      <c r="X1170" s="30">
        <f>PM_Angle!$J$14+PM_Angle!$K$14*$C1170+PM_Angle!$L$14*$B1170</f>
      </c>
      <c r="Y1170" s="12">
        <f>IF(X1170&gt;0,IF(X1170&lt;=eco,alpha*fck*(1-(1-X1170/eco)^n),alpha*fck),0)</f>
      </c>
      <c r="Z1170" s="30">
        <f>PM_Angle!$J$15+PM_Angle!$K$15*$C1170+PM_Angle!$L$15*$B1170</f>
      </c>
      <c r="AA1170" s="12">
        <f>IF(Z1170&gt;0,IF(Z1170&lt;=eco,alpha*fck*(1-(1-Z1170/eco)^n),alpha*fck),0)</f>
      </c>
      <c r="AB1170" s="30">
        <f>PM_Angle!$J$16+PM_Angle!$K$16*$C1170+PM_Angle!$L$16*$B1170</f>
      </c>
      <c r="AC1170" s="12">
        <f>IF(AB1170&gt;0,IF(AB1170&lt;=eco,alpha*fck*(1-(1-AB1170/eco)^n),alpha*fck),0)</f>
      </c>
      <c r="AD1170" s="30">
        <f>PM_Angle!$J$17+PM_Angle!$K$17*$C1170+PM_Angle!$L$17*$B1170</f>
      </c>
      <c r="AE1170" s="12">
        <f>IF(AD1170&gt;0,IF(AD1170&lt;=eco,alpha*fck*(1-(1-AD1170/eco)^n),alpha*fck),0)</f>
      </c>
      <c r="AF1170" s="30">
        <f>PM_Angle!$J$18+PM_Angle!$K$18*$C1170+PM_Angle!$L$18*$B1170</f>
      </c>
      <c r="AG1170" s="12">
        <f>IF(AF1170&gt;0,IF(AF1170&lt;=eco,alpha*fck*(1-(1-AF1170/eco)^n),alpha*fck),0)</f>
      </c>
      <c r="AH1170" s="30">
        <f>PM_Angle!$J$19+PM_Angle!$K$19*$C1170+PM_Angle!$L$19*$B1170</f>
      </c>
      <c r="AI1170" s="12">
        <f>IF(AH1170&gt;0,IF(AH1170&lt;=eco,alpha*fck*(1-(1-AH1170/eco)^n),alpha*fck),0)</f>
      </c>
      <c r="AJ1170" s="30">
        <f>PM_Angle!$J$20+PM_Angle!$K$20*$C1170+PM_Angle!$L$20*$B1170</f>
      </c>
      <c r="AK1170" s="12">
        <f>IF(AJ1170&gt;0,IF(AJ1170&lt;=eco,alpha*fck*(1-(1-AJ1170/eco)^n),alpha*fck),0)</f>
      </c>
      <c r="AL1170" s="30">
        <f>PM_Angle!$J$21+PM_Angle!$K$21*$C1170+PM_Angle!$L$21*$B1170</f>
      </c>
      <c r="AM1170" s="12">
        <f>IF(AL1170&gt;0,IF(AL1170&lt;=eco,alpha*fck*(1-(1-AL1170/eco)^n),alpha*fck),0)</f>
      </c>
      <c r="AN1170" s="30">
        <f>PM_Angle!$J$22+PM_Angle!$K$22*$C1170+PM_Angle!$L$22*$B1170</f>
      </c>
      <c r="AO1170" s="12">
        <f>IF(AN1170&gt;0,IF(AN1170&lt;=eco,alpha*fck*(1-(1-AN1170/eco)^n),alpha*fck),0)</f>
      </c>
      <c r="AP1170" s="30">
        <f>PM_Angle!$J$23+PM_Angle!$K$23*$C1170+PM_Angle!$L$23*$B1170</f>
      </c>
      <c r="AQ1170" s="12">
        <f>IF(AP1170&gt;0,IF(AP1170&lt;=eco,alpha*fck*(1-(1-AP1170/eco)^n),alpha*fck),0)</f>
      </c>
      <c r="AR1170" s="30">
        <f>PM_Angle!$J$24+PM_Angle!$K$24*$C1170+PM_Angle!$L$24*$B1170</f>
      </c>
      <c r="AS1170" s="12">
        <f>IF(AR1170&gt;0,IF(AR1170&lt;=eco,alpha*fck*(1-(1-AR1170/eco)^n),alpha*fck),0)</f>
      </c>
      <c r="AT1170" s="30">
        <f>PM_Angle!$J$25+PM_Angle!$K$25*$C1170+PM_Angle!$L$25*$B1170</f>
      </c>
      <c r="AU1170" s="12">
        <f>IF(AT1170&gt;0,IF(AT1170&lt;=eco,alpha*fck*(1-(1-AT1170/eco)^n),alpha*fck),0)</f>
      </c>
    </row>
    <row r="1171" spans="1:47" x14ac:dyDescent="0.25">
      <c r="A1171">
        <f>Mesh!A1168</f>
      </c>
      <c r="B1171" s="12">
        <f>Mesh!B1168</f>
      </c>
      <c r="C1171" s="12">
        <f>Mesh!C1168</f>
      </c>
      <c r="D1171" s="12">
        <f>Mesh!D1168</f>
      </c>
      <c r="E1171" s="30">
        <f>INDEX(St_e0,Det+1)+INDEX(St_kx,Det+1)*C1171+INDEX(St_ky,Det+1)*B1171</f>
      </c>
      <c r="F1171" s="12">
        <f>IF(E1171&gt;0,IF(E1171&lt;=eco,alpha*fck*(1-(1-E1171/eco)^n),alpha*fck),0)</f>
      </c>
      <c r="G1171" s="11">
        <f>F1171*D1171</f>
      </c>
      <c r="H1171" s="11">
        <f>G1171*C1171</f>
      </c>
      <c r="I1171" s="11">
        <f>G1171*B1171</f>
      </c>
      <c r="J1171" s="30">
        <f>PM_Angle!$J$7+PM_Angle!$K$7*$C1171+PM_Angle!$L$7*$B1171</f>
      </c>
      <c r="K1171" s="12">
        <f>IF(J1171&gt;0,IF(J1171&lt;=eco,alpha*fck*(1-(1-J1171/eco)^n),alpha*fck),0)</f>
      </c>
      <c r="L1171" s="30">
        <f>PM_Angle!$J$8+PM_Angle!$K$8*$C1171+PM_Angle!$L$8*$B1171</f>
      </c>
      <c r="M1171" s="12">
        <f>IF(L1171&gt;0,IF(L1171&lt;=eco,alpha*fck*(1-(1-L1171/eco)^n),alpha*fck),0)</f>
      </c>
      <c r="N1171" s="30">
        <f>PM_Angle!$J$9+PM_Angle!$K$9*$C1171+PM_Angle!$L$9*$B1171</f>
      </c>
      <c r="O1171" s="12">
        <f>IF(N1171&gt;0,IF(N1171&lt;=eco,alpha*fck*(1-(1-N1171/eco)^n),alpha*fck),0)</f>
      </c>
      <c r="P1171" s="30">
        <f>PM_Angle!$J$10+PM_Angle!$K$10*$C1171+PM_Angle!$L$10*$B1171</f>
      </c>
      <c r="Q1171" s="12">
        <f>IF(P1171&gt;0,IF(P1171&lt;=eco,alpha*fck*(1-(1-P1171/eco)^n),alpha*fck),0)</f>
      </c>
      <c r="R1171" s="30">
        <f>PM_Angle!$J$11+PM_Angle!$K$11*$C1171+PM_Angle!$L$11*$B1171</f>
      </c>
      <c r="S1171" s="12">
        <f>IF(R1171&gt;0,IF(R1171&lt;=eco,alpha*fck*(1-(1-R1171/eco)^n),alpha*fck),0)</f>
      </c>
      <c r="T1171" s="30">
        <f>PM_Angle!$J$12+PM_Angle!$K$12*$C1171+PM_Angle!$L$12*$B1171</f>
      </c>
      <c r="U1171" s="12">
        <f>IF(T1171&gt;0,IF(T1171&lt;=eco,alpha*fck*(1-(1-T1171/eco)^n),alpha*fck),0)</f>
      </c>
      <c r="V1171" s="30">
        <f>PM_Angle!$J$13+PM_Angle!$K$13*$C1171+PM_Angle!$L$13*$B1171</f>
      </c>
      <c r="W1171" s="12">
        <f>IF(V1171&gt;0,IF(V1171&lt;=eco,alpha*fck*(1-(1-V1171/eco)^n),alpha*fck),0)</f>
      </c>
      <c r="X1171" s="30">
        <f>PM_Angle!$J$14+PM_Angle!$K$14*$C1171+PM_Angle!$L$14*$B1171</f>
      </c>
      <c r="Y1171" s="12">
        <f>IF(X1171&gt;0,IF(X1171&lt;=eco,alpha*fck*(1-(1-X1171/eco)^n),alpha*fck),0)</f>
      </c>
      <c r="Z1171" s="30">
        <f>PM_Angle!$J$15+PM_Angle!$K$15*$C1171+PM_Angle!$L$15*$B1171</f>
      </c>
      <c r="AA1171" s="12">
        <f>IF(Z1171&gt;0,IF(Z1171&lt;=eco,alpha*fck*(1-(1-Z1171/eco)^n),alpha*fck),0)</f>
      </c>
      <c r="AB1171" s="30">
        <f>PM_Angle!$J$16+PM_Angle!$K$16*$C1171+PM_Angle!$L$16*$B1171</f>
      </c>
      <c r="AC1171" s="12">
        <f>IF(AB1171&gt;0,IF(AB1171&lt;=eco,alpha*fck*(1-(1-AB1171/eco)^n),alpha*fck),0)</f>
      </c>
      <c r="AD1171" s="30">
        <f>PM_Angle!$J$17+PM_Angle!$K$17*$C1171+PM_Angle!$L$17*$B1171</f>
      </c>
      <c r="AE1171" s="12">
        <f>IF(AD1171&gt;0,IF(AD1171&lt;=eco,alpha*fck*(1-(1-AD1171/eco)^n),alpha*fck),0)</f>
      </c>
      <c r="AF1171" s="30">
        <f>PM_Angle!$J$18+PM_Angle!$K$18*$C1171+PM_Angle!$L$18*$B1171</f>
      </c>
      <c r="AG1171" s="12">
        <f>IF(AF1171&gt;0,IF(AF1171&lt;=eco,alpha*fck*(1-(1-AF1171/eco)^n),alpha*fck),0)</f>
      </c>
      <c r="AH1171" s="30">
        <f>PM_Angle!$J$19+PM_Angle!$K$19*$C1171+PM_Angle!$L$19*$B1171</f>
      </c>
      <c r="AI1171" s="12">
        <f>IF(AH1171&gt;0,IF(AH1171&lt;=eco,alpha*fck*(1-(1-AH1171/eco)^n),alpha*fck),0)</f>
      </c>
      <c r="AJ1171" s="30">
        <f>PM_Angle!$J$20+PM_Angle!$K$20*$C1171+PM_Angle!$L$20*$B1171</f>
      </c>
      <c r="AK1171" s="12">
        <f>IF(AJ1171&gt;0,IF(AJ1171&lt;=eco,alpha*fck*(1-(1-AJ1171/eco)^n),alpha*fck),0)</f>
      </c>
      <c r="AL1171" s="30">
        <f>PM_Angle!$J$21+PM_Angle!$K$21*$C1171+PM_Angle!$L$21*$B1171</f>
      </c>
      <c r="AM1171" s="12">
        <f>IF(AL1171&gt;0,IF(AL1171&lt;=eco,alpha*fck*(1-(1-AL1171/eco)^n),alpha*fck),0)</f>
      </c>
      <c r="AN1171" s="30">
        <f>PM_Angle!$J$22+PM_Angle!$K$22*$C1171+PM_Angle!$L$22*$B1171</f>
      </c>
      <c r="AO1171" s="12">
        <f>IF(AN1171&gt;0,IF(AN1171&lt;=eco,alpha*fck*(1-(1-AN1171/eco)^n),alpha*fck),0)</f>
      </c>
      <c r="AP1171" s="30">
        <f>PM_Angle!$J$23+PM_Angle!$K$23*$C1171+PM_Angle!$L$23*$B1171</f>
      </c>
      <c r="AQ1171" s="12">
        <f>IF(AP1171&gt;0,IF(AP1171&lt;=eco,alpha*fck*(1-(1-AP1171/eco)^n),alpha*fck),0)</f>
      </c>
      <c r="AR1171" s="30">
        <f>PM_Angle!$J$24+PM_Angle!$K$24*$C1171+PM_Angle!$L$24*$B1171</f>
      </c>
      <c r="AS1171" s="12">
        <f>IF(AR1171&gt;0,IF(AR1171&lt;=eco,alpha*fck*(1-(1-AR1171/eco)^n),alpha*fck),0)</f>
      </c>
      <c r="AT1171" s="30">
        <f>PM_Angle!$J$25+PM_Angle!$K$25*$C1171+PM_Angle!$L$25*$B1171</f>
      </c>
      <c r="AU1171" s="12">
        <f>IF(AT1171&gt;0,IF(AT1171&lt;=eco,alpha*fck*(1-(1-AT1171/eco)^n),alpha*fck),0)</f>
      </c>
    </row>
    <row r="1172" spans="1:47" x14ac:dyDescent="0.25">
      <c r="A1172">
        <f>Mesh!A1169</f>
      </c>
      <c r="B1172" s="12">
        <f>Mesh!B1169</f>
      </c>
      <c r="C1172" s="12">
        <f>Mesh!C1169</f>
      </c>
      <c r="D1172" s="12">
        <f>Mesh!D1169</f>
      </c>
      <c r="E1172" s="30">
        <f>INDEX(St_e0,Det+1)+INDEX(St_kx,Det+1)*C1172+INDEX(St_ky,Det+1)*B1172</f>
      </c>
      <c r="F1172" s="12">
        <f>IF(E1172&gt;0,IF(E1172&lt;=eco,alpha*fck*(1-(1-E1172/eco)^n),alpha*fck),0)</f>
      </c>
      <c r="G1172" s="11">
        <f>F1172*D1172</f>
      </c>
      <c r="H1172" s="11">
        <f>G1172*C1172</f>
      </c>
      <c r="I1172" s="11">
        <f>G1172*B1172</f>
      </c>
      <c r="J1172" s="30">
        <f>PM_Angle!$J$7+PM_Angle!$K$7*$C1172+PM_Angle!$L$7*$B1172</f>
      </c>
      <c r="K1172" s="12">
        <f>IF(J1172&gt;0,IF(J1172&lt;=eco,alpha*fck*(1-(1-J1172/eco)^n),alpha*fck),0)</f>
      </c>
      <c r="L1172" s="30">
        <f>PM_Angle!$J$8+PM_Angle!$K$8*$C1172+PM_Angle!$L$8*$B1172</f>
      </c>
      <c r="M1172" s="12">
        <f>IF(L1172&gt;0,IF(L1172&lt;=eco,alpha*fck*(1-(1-L1172/eco)^n),alpha*fck),0)</f>
      </c>
      <c r="N1172" s="30">
        <f>PM_Angle!$J$9+PM_Angle!$K$9*$C1172+PM_Angle!$L$9*$B1172</f>
      </c>
      <c r="O1172" s="12">
        <f>IF(N1172&gt;0,IF(N1172&lt;=eco,alpha*fck*(1-(1-N1172/eco)^n),alpha*fck),0)</f>
      </c>
      <c r="P1172" s="30">
        <f>PM_Angle!$J$10+PM_Angle!$K$10*$C1172+PM_Angle!$L$10*$B1172</f>
      </c>
      <c r="Q1172" s="12">
        <f>IF(P1172&gt;0,IF(P1172&lt;=eco,alpha*fck*(1-(1-P1172/eco)^n),alpha*fck),0)</f>
      </c>
      <c r="R1172" s="30">
        <f>PM_Angle!$J$11+PM_Angle!$K$11*$C1172+PM_Angle!$L$11*$B1172</f>
      </c>
      <c r="S1172" s="12">
        <f>IF(R1172&gt;0,IF(R1172&lt;=eco,alpha*fck*(1-(1-R1172/eco)^n),alpha*fck),0)</f>
      </c>
      <c r="T1172" s="30">
        <f>PM_Angle!$J$12+PM_Angle!$K$12*$C1172+PM_Angle!$L$12*$B1172</f>
      </c>
      <c r="U1172" s="12">
        <f>IF(T1172&gt;0,IF(T1172&lt;=eco,alpha*fck*(1-(1-T1172/eco)^n),alpha*fck),0)</f>
      </c>
      <c r="V1172" s="30">
        <f>PM_Angle!$J$13+PM_Angle!$K$13*$C1172+PM_Angle!$L$13*$B1172</f>
      </c>
      <c r="W1172" s="12">
        <f>IF(V1172&gt;0,IF(V1172&lt;=eco,alpha*fck*(1-(1-V1172/eco)^n),alpha*fck),0)</f>
      </c>
      <c r="X1172" s="30">
        <f>PM_Angle!$J$14+PM_Angle!$K$14*$C1172+PM_Angle!$L$14*$B1172</f>
      </c>
      <c r="Y1172" s="12">
        <f>IF(X1172&gt;0,IF(X1172&lt;=eco,alpha*fck*(1-(1-X1172/eco)^n),alpha*fck),0)</f>
      </c>
      <c r="Z1172" s="30">
        <f>PM_Angle!$J$15+PM_Angle!$K$15*$C1172+PM_Angle!$L$15*$B1172</f>
      </c>
      <c r="AA1172" s="12">
        <f>IF(Z1172&gt;0,IF(Z1172&lt;=eco,alpha*fck*(1-(1-Z1172/eco)^n),alpha*fck),0)</f>
      </c>
      <c r="AB1172" s="30">
        <f>PM_Angle!$J$16+PM_Angle!$K$16*$C1172+PM_Angle!$L$16*$B1172</f>
      </c>
      <c r="AC1172" s="12">
        <f>IF(AB1172&gt;0,IF(AB1172&lt;=eco,alpha*fck*(1-(1-AB1172/eco)^n),alpha*fck),0)</f>
      </c>
      <c r="AD1172" s="30">
        <f>PM_Angle!$J$17+PM_Angle!$K$17*$C1172+PM_Angle!$L$17*$B1172</f>
      </c>
      <c r="AE1172" s="12">
        <f>IF(AD1172&gt;0,IF(AD1172&lt;=eco,alpha*fck*(1-(1-AD1172/eco)^n),alpha*fck),0)</f>
      </c>
      <c r="AF1172" s="30">
        <f>PM_Angle!$J$18+PM_Angle!$K$18*$C1172+PM_Angle!$L$18*$B1172</f>
      </c>
      <c r="AG1172" s="12">
        <f>IF(AF1172&gt;0,IF(AF1172&lt;=eco,alpha*fck*(1-(1-AF1172/eco)^n),alpha*fck),0)</f>
      </c>
      <c r="AH1172" s="30">
        <f>PM_Angle!$J$19+PM_Angle!$K$19*$C1172+PM_Angle!$L$19*$B1172</f>
      </c>
      <c r="AI1172" s="12">
        <f>IF(AH1172&gt;0,IF(AH1172&lt;=eco,alpha*fck*(1-(1-AH1172/eco)^n),alpha*fck),0)</f>
      </c>
      <c r="AJ1172" s="30">
        <f>PM_Angle!$J$20+PM_Angle!$K$20*$C1172+PM_Angle!$L$20*$B1172</f>
      </c>
      <c r="AK1172" s="12">
        <f>IF(AJ1172&gt;0,IF(AJ1172&lt;=eco,alpha*fck*(1-(1-AJ1172/eco)^n),alpha*fck),0)</f>
      </c>
      <c r="AL1172" s="30">
        <f>PM_Angle!$J$21+PM_Angle!$K$21*$C1172+PM_Angle!$L$21*$B1172</f>
      </c>
      <c r="AM1172" s="12">
        <f>IF(AL1172&gt;0,IF(AL1172&lt;=eco,alpha*fck*(1-(1-AL1172/eco)^n),alpha*fck),0)</f>
      </c>
      <c r="AN1172" s="30">
        <f>PM_Angle!$J$22+PM_Angle!$K$22*$C1172+PM_Angle!$L$22*$B1172</f>
      </c>
      <c r="AO1172" s="12">
        <f>IF(AN1172&gt;0,IF(AN1172&lt;=eco,alpha*fck*(1-(1-AN1172/eco)^n),alpha*fck),0)</f>
      </c>
      <c r="AP1172" s="30">
        <f>PM_Angle!$J$23+PM_Angle!$K$23*$C1172+PM_Angle!$L$23*$B1172</f>
      </c>
      <c r="AQ1172" s="12">
        <f>IF(AP1172&gt;0,IF(AP1172&lt;=eco,alpha*fck*(1-(1-AP1172/eco)^n),alpha*fck),0)</f>
      </c>
      <c r="AR1172" s="30">
        <f>PM_Angle!$J$24+PM_Angle!$K$24*$C1172+PM_Angle!$L$24*$B1172</f>
      </c>
      <c r="AS1172" s="12">
        <f>IF(AR1172&gt;0,IF(AR1172&lt;=eco,alpha*fck*(1-(1-AR1172/eco)^n),alpha*fck),0)</f>
      </c>
      <c r="AT1172" s="30">
        <f>PM_Angle!$J$25+PM_Angle!$K$25*$C1172+PM_Angle!$L$25*$B1172</f>
      </c>
      <c r="AU1172" s="12">
        <f>IF(AT1172&gt;0,IF(AT1172&lt;=eco,alpha*fck*(1-(1-AT1172/eco)^n),alpha*fck),0)</f>
      </c>
    </row>
    <row r="1173" spans="1:47" x14ac:dyDescent="0.25">
      <c r="A1173">
        <f>Mesh!A1170</f>
      </c>
      <c r="B1173" s="12">
        <f>Mesh!B1170</f>
      </c>
      <c r="C1173" s="12">
        <f>Mesh!C1170</f>
      </c>
      <c r="D1173" s="12">
        <f>Mesh!D1170</f>
      </c>
      <c r="E1173" s="30">
        <f>INDEX(St_e0,Det+1)+INDEX(St_kx,Det+1)*C1173+INDEX(St_ky,Det+1)*B1173</f>
      </c>
      <c r="F1173" s="12">
        <f>IF(E1173&gt;0,IF(E1173&lt;=eco,alpha*fck*(1-(1-E1173/eco)^n),alpha*fck),0)</f>
      </c>
      <c r="G1173" s="11">
        <f>F1173*D1173</f>
      </c>
      <c r="H1173" s="11">
        <f>G1173*C1173</f>
      </c>
      <c r="I1173" s="11">
        <f>G1173*B1173</f>
      </c>
      <c r="J1173" s="30">
        <f>PM_Angle!$J$7+PM_Angle!$K$7*$C1173+PM_Angle!$L$7*$B1173</f>
      </c>
      <c r="K1173" s="12">
        <f>IF(J1173&gt;0,IF(J1173&lt;=eco,alpha*fck*(1-(1-J1173/eco)^n),alpha*fck),0)</f>
      </c>
      <c r="L1173" s="30">
        <f>PM_Angle!$J$8+PM_Angle!$K$8*$C1173+PM_Angle!$L$8*$B1173</f>
      </c>
      <c r="M1173" s="12">
        <f>IF(L1173&gt;0,IF(L1173&lt;=eco,alpha*fck*(1-(1-L1173/eco)^n),alpha*fck),0)</f>
      </c>
      <c r="N1173" s="30">
        <f>PM_Angle!$J$9+PM_Angle!$K$9*$C1173+PM_Angle!$L$9*$B1173</f>
      </c>
      <c r="O1173" s="12">
        <f>IF(N1173&gt;0,IF(N1173&lt;=eco,alpha*fck*(1-(1-N1173/eco)^n),alpha*fck),0)</f>
      </c>
      <c r="P1173" s="30">
        <f>PM_Angle!$J$10+PM_Angle!$K$10*$C1173+PM_Angle!$L$10*$B1173</f>
      </c>
      <c r="Q1173" s="12">
        <f>IF(P1173&gt;0,IF(P1173&lt;=eco,alpha*fck*(1-(1-P1173/eco)^n),alpha*fck),0)</f>
      </c>
      <c r="R1173" s="30">
        <f>PM_Angle!$J$11+PM_Angle!$K$11*$C1173+PM_Angle!$L$11*$B1173</f>
      </c>
      <c r="S1173" s="12">
        <f>IF(R1173&gt;0,IF(R1173&lt;=eco,alpha*fck*(1-(1-R1173/eco)^n),alpha*fck),0)</f>
      </c>
      <c r="T1173" s="30">
        <f>PM_Angle!$J$12+PM_Angle!$K$12*$C1173+PM_Angle!$L$12*$B1173</f>
      </c>
      <c r="U1173" s="12">
        <f>IF(T1173&gt;0,IF(T1173&lt;=eco,alpha*fck*(1-(1-T1173/eco)^n),alpha*fck),0)</f>
      </c>
      <c r="V1173" s="30">
        <f>PM_Angle!$J$13+PM_Angle!$K$13*$C1173+PM_Angle!$L$13*$B1173</f>
      </c>
      <c r="W1173" s="12">
        <f>IF(V1173&gt;0,IF(V1173&lt;=eco,alpha*fck*(1-(1-V1173/eco)^n),alpha*fck),0)</f>
      </c>
      <c r="X1173" s="30">
        <f>PM_Angle!$J$14+PM_Angle!$K$14*$C1173+PM_Angle!$L$14*$B1173</f>
      </c>
      <c r="Y1173" s="12">
        <f>IF(X1173&gt;0,IF(X1173&lt;=eco,alpha*fck*(1-(1-X1173/eco)^n),alpha*fck),0)</f>
      </c>
      <c r="Z1173" s="30">
        <f>PM_Angle!$J$15+PM_Angle!$K$15*$C1173+PM_Angle!$L$15*$B1173</f>
      </c>
      <c r="AA1173" s="12">
        <f>IF(Z1173&gt;0,IF(Z1173&lt;=eco,alpha*fck*(1-(1-Z1173/eco)^n),alpha*fck),0)</f>
      </c>
      <c r="AB1173" s="30">
        <f>PM_Angle!$J$16+PM_Angle!$K$16*$C1173+PM_Angle!$L$16*$B1173</f>
      </c>
      <c r="AC1173" s="12">
        <f>IF(AB1173&gt;0,IF(AB1173&lt;=eco,alpha*fck*(1-(1-AB1173/eco)^n),alpha*fck),0)</f>
      </c>
      <c r="AD1173" s="30">
        <f>PM_Angle!$J$17+PM_Angle!$K$17*$C1173+PM_Angle!$L$17*$B1173</f>
      </c>
      <c r="AE1173" s="12">
        <f>IF(AD1173&gt;0,IF(AD1173&lt;=eco,alpha*fck*(1-(1-AD1173/eco)^n),alpha*fck),0)</f>
      </c>
      <c r="AF1173" s="30">
        <f>PM_Angle!$J$18+PM_Angle!$K$18*$C1173+PM_Angle!$L$18*$B1173</f>
      </c>
      <c r="AG1173" s="12">
        <f>IF(AF1173&gt;0,IF(AF1173&lt;=eco,alpha*fck*(1-(1-AF1173/eco)^n),alpha*fck),0)</f>
      </c>
      <c r="AH1173" s="30">
        <f>PM_Angle!$J$19+PM_Angle!$K$19*$C1173+PM_Angle!$L$19*$B1173</f>
      </c>
      <c r="AI1173" s="12">
        <f>IF(AH1173&gt;0,IF(AH1173&lt;=eco,alpha*fck*(1-(1-AH1173/eco)^n),alpha*fck),0)</f>
      </c>
      <c r="AJ1173" s="30">
        <f>PM_Angle!$J$20+PM_Angle!$K$20*$C1173+PM_Angle!$L$20*$B1173</f>
      </c>
      <c r="AK1173" s="12">
        <f>IF(AJ1173&gt;0,IF(AJ1173&lt;=eco,alpha*fck*(1-(1-AJ1173/eco)^n),alpha*fck),0)</f>
      </c>
      <c r="AL1173" s="30">
        <f>PM_Angle!$J$21+PM_Angle!$K$21*$C1173+PM_Angle!$L$21*$B1173</f>
      </c>
      <c r="AM1173" s="12">
        <f>IF(AL1173&gt;0,IF(AL1173&lt;=eco,alpha*fck*(1-(1-AL1173/eco)^n),alpha*fck),0)</f>
      </c>
      <c r="AN1173" s="30">
        <f>PM_Angle!$J$22+PM_Angle!$K$22*$C1173+PM_Angle!$L$22*$B1173</f>
      </c>
      <c r="AO1173" s="12">
        <f>IF(AN1173&gt;0,IF(AN1173&lt;=eco,alpha*fck*(1-(1-AN1173/eco)^n),alpha*fck),0)</f>
      </c>
      <c r="AP1173" s="30">
        <f>PM_Angle!$J$23+PM_Angle!$K$23*$C1173+PM_Angle!$L$23*$B1173</f>
      </c>
      <c r="AQ1173" s="12">
        <f>IF(AP1173&gt;0,IF(AP1173&lt;=eco,alpha*fck*(1-(1-AP1173/eco)^n),alpha*fck),0)</f>
      </c>
      <c r="AR1173" s="30">
        <f>PM_Angle!$J$24+PM_Angle!$K$24*$C1173+PM_Angle!$L$24*$B1173</f>
      </c>
      <c r="AS1173" s="12">
        <f>IF(AR1173&gt;0,IF(AR1173&lt;=eco,alpha*fck*(1-(1-AR1173/eco)^n),alpha*fck),0)</f>
      </c>
      <c r="AT1173" s="30">
        <f>PM_Angle!$J$25+PM_Angle!$K$25*$C1173+PM_Angle!$L$25*$B1173</f>
      </c>
      <c r="AU1173" s="12">
        <f>IF(AT1173&gt;0,IF(AT1173&lt;=eco,alpha*fck*(1-(1-AT1173/eco)^n),alpha*fck),0)</f>
      </c>
    </row>
    <row r="1174" spans="1:47" x14ac:dyDescent="0.25">
      <c r="A1174">
        <f>Mesh!A1171</f>
      </c>
      <c r="B1174" s="12">
        <f>Mesh!B1171</f>
      </c>
      <c r="C1174" s="12">
        <f>Mesh!C1171</f>
      </c>
      <c r="D1174" s="12">
        <f>Mesh!D1171</f>
      </c>
      <c r="E1174" s="30">
        <f>INDEX(St_e0,Det+1)+INDEX(St_kx,Det+1)*C1174+INDEX(St_ky,Det+1)*B1174</f>
      </c>
      <c r="F1174" s="12">
        <f>IF(E1174&gt;0,IF(E1174&lt;=eco,alpha*fck*(1-(1-E1174/eco)^n),alpha*fck),0)</f>
      </c>
      <c r="G1174" s="11">
        <f>F1174*D1174</f>
      </c>
      <c r="H1174" s="11">
        <f>G1174*C1174</f>
      </c>
      <c r="I1174" s="11">
        <f>G1174*B1174</f>
      </c>
      <c r="J1174" s="30">
        <f>PM_Angle!$J$7+PM_Angle!$K$7*$C1174+PM_Angle!$L$7*$B1174</f>
      </c>
      <c r="K1174" s="12">
        <f>IF(J1174&gt;0,IF(J1174&lt;=eco,alpha*fck*(1-(1-J1174/eco)^n),alpha*fck),0)</f>
      </c>
      <c r="L1174" s="30">
        <f>PM_Angle!$J$8+PM_Angle!$K$8*$C1174+PM_Angle!$L$8*$B1174</f>
      </c>
      <c r="M1174" s="12">
        <f>IF(L1174&gt;0,IF(L1174&lt;=eco,alpha*fck*(1-(1-L1174/eco)^n),alpha*fck),0)</f>
      </c>
      <c r="N1174" s="30">
        <f>PM_Angle!$J$9+PM_Angle!$K$9*$C1174+PM_Angle!$L$9*$B1174</f>
      </c>
      <c r="O1174" s="12">
        <f>IF(N1174&gt;0,IF(N1174&lt;=eco,alpha*fck*(1-(1-N1174/eco)^n),alpha*fck),0)</f>
      </c>
      <c r="P1174" s="30">
        <f>PM_Angle!$J$10+PM_Angle!$K$10*$C1174+PM_Angle!$L$10*$B1174</f>
      </c>
      <c r="Q1174" s="12">
        <f>IF(P1174&gt;0,IF(P1174&lt;=eco,alpha*fck*(1-(1-P1174/eco)^n),alpha*fck),0)</f>
      </c>
      <c r="R1174" s="30">
        <f>PM_Angle!$J$11+PM_Angle!$K$11*$C1174+PM_Angle!$L$11*$B1174</f>
      </c>
      <c r="S1174" s="12">
        <f>IF(R1174&gt;0,IF(R1174&lt;=eco,alpha*fck*(1-(1-R1174/eco)^n),alpha*fck),0)</f>
      </c>
      <c r="T1174" s="30">
        <f>PM_Angle!$J$12+PM_Angle!$K$12*$C1174+PM_Angle!$L$12*$B1174</f>
      </c>
      <c r="U1174" s="12">
        <f>IF(T1174&gt;0,IF(T1174&lt;=eco,alpha*fck*(1-(1-T1174/eco)^n),alpha*fck),0)</f>
      </c>
      <c r="V1174" s="30">
        <f>PM_Angle!$J$13+PM_Angle!$K$13*$C1174+PM_Angle!$L$13*$B1174</f>
      </c>
      <c r="W1174" s="12">
        <f>IF(V1174&gt;0,IF(V1174&lt;=eco,alpha*fck*(1-(1-V1174/eco)^n),alpha*fck),0)</f>
      </c>
      <c r="X1174" s="30">
        <f>PM_Angle!$J$14+PM_Angle!$K$14*$C1174+PM_Angle!$L$14*$B1174</f>
      </c>
      <c r="Y1174" s="12">
        <f>IF(X1174&gt;0,IF(X1174&lt;=eco,alpha*fck*(1-(1-X1174/eco)^n),alpha*fck),0)</f>
      </c>
      <c r="Z1174" s="30">
        <f>PM_Angle!$J$15+PM_Angle!$K$15*$C1174+PM_Angle!$L$15*$B1174</f>
      </c>
      <c r="AA1174" s="12">
        <f>IF(Z1174&gt;0,IF(Z1174&lt;=eco,alpha*fck*(1-(1-Z1174/eco)^n),alpha*fck),0)</f>
      </c>
      <c r="AB1174" s="30">
        <f>PM_Angle!$J$16+PM_Angle!$K$16*$C1174+PM_Angle!$L$16*$B1174</f>
      </c>
      <c r="AC1174" s="12">
        <f>IF(AB1174&gt;0,IF(AB1174&lt;=eco,alpha*fck*(1-(1-AB1174/eco)^n),alpha*fck),0)</f>
      </c>
      <c r="AD1174" s="30">
        <f>PM_Angle!$J$17+PM_Angle!$K$17*$C1174+PM_Angle!$L$17*$B1174</f>
      </c>
      <c r="AE1174" s="12">
        <f>IF(AD1174&gt;0,IF(AD1174&lt;=eco,alpha*fck*(1-(1-AD1174/eco)^n),alpha*fck),0)</f>
      </c>
      <c r="AF1174" s="30">
        <f>PM_Angle!$J$18+PM_Angle!$K$18*$C1174+PM_Angle!$L$18*$B1174</f>
      </c>
      <c r="AG1174" s="12">
        <f>IF(AF1174&gt;0,IF(AF1174&lt;=eco,alpha*fck*(1-(1-AF1174/eco)^n),alpha*fck),0)</f>
      </c>
      <c r="AH1174" s="30">
        <f>PM_Angle!$J$19+PM_Angle!$K$19*$C1174+PM_Angle!$L$19*$B1174</f>
      </c>
      <c r="AI1174" s="12">
        <f>IF(AH1174&gt;0,IF(AH1174&lt;=eco,alpha*fck*(1-(1-AH1174/eco)^n),alpha*fck),0)</f>
      </c>
      <c r="AJ1174" s="30">
        <f>PM_Angle!$J$20+PM_Angle!$K$20*$C1174+PM_Angle!$L$20*$B1174</f>
      </c>
      <c r="AK1174" s="12">
        <f>IF(AJ1174&gt;0,IF(AJ1174&lt;=eco,alpha*fck*(1-(1-AJ1174/eco)^n),alpha*fck),0)</f>
      </c>
      <c r="AL1174" s="30">
        <f>PM_Angle!$J$21+PM_Angle!$K$21*$C1174+PM_Angle!$L$21*$B1174</f>
      </c>
      <c r="AM1174" s="12">
        <f>IF(AL1174&gt;0,IF(AL1174&lt;=eco,alpha*fck*(1-(1-AL1174/eco)^n),alpha*fck),0)</f>
      </c>
      <c r="AN1174" s="30">
        <f>PM_Angle!$J$22+PM_Angle!$K$22*$C1174+PM_Angle!$L$22*$B1174</f>
      </c>
      <c r="AO1174" s="12">
        <f>IF(AN1174&gt;0,IF(AN1174&lt;=eco,alpha*fck*(1-(1-AN1174/eco)^n),alpha*fck),0)</f>
      </c>
      <c r="AP1174" s="30">
        <f>PM_Angle!$J$23+PM_Angle!$K$23*$C1174+PM_Angle!$L$23*$B1174</f>
      </c>
      <c r="AQ1174" s="12">
        <f>IF(AP1174&gt;0,IF(AP1174&lt;=eco,alpha*fck*(1-(1-AP1174/eco)^n),alpha*fck),0)</f>
      </c>
      <c r="AR1174" s="30">
        <f>PM_Angle!$J$24+PM_Angle!$K$24*$C1174+PM_Angle!$L$24*$B1174</f>
      </c>
      <c r="AS1174" s="12">
        <f>IF(AR1174&gt;0,IF(AR1174&lt;=eco,alpha*fck*(1-(1-AR1174/eco)^n),alpha*fck),0)</f>
      </c>
      <c r="AT1174" s="30">
        <f>PM_Angle!$J$25+PM_Angle!$K$25*$C1174+PM_Angle!$L$25*$B1174</f>
      </c>
      <c r="AU1174" s="12">
        <f>IF(AT1174&gt;0,IF(AT1174&lt;=eco,alpha*fck*(1-(1-AT1174/eco)^n),alpha*fck),0)</f>
      </c>
    </row>
    <row r="1175" spans="1:47" x14ac:dyDescent="0.25">
      <c r="A1175">
        <f>Mesh!A1172</f>
      </c>
      <c r="B1175" s="12">
        <f>Mesh!B1172</f>
      </c>
      <c r="C1175" s="12">
        <f>Mesh!C1172</f>
      </c>
      <c r="D1175" s="12">
        <f>Mesh!D1172</f>
      </c>
      <c r="E1175" s="30">
        <f>INDEX(St_e0,Det+1)+INDEX(St_kx,Det+1)*C1175+INDEX(St_ky,Det+1)*B1175</f>
      </c>
      <c r="F1175" s="12">
        <f>IF(E1175&gt;0,IF(E1175&lt;=eco,alpha*fck*(1-(1-E1175/eco)^n),alpha*fck),0)</f>
      </c>
      <c r="G1175" s="11">
        <f>F1175*D1175</f>
      </c>
      <c r="H1175" s="11">
        <f>G1175*C1175</f>
      </c>
      <c r="I1175" s="11">
        <f>G1175*B1175</f>
      </c>
      <c r="J1175" s="30">
        <f>PM_Angle!$J$7+PM_Angle!$K$7*$C1175+PM_Angle!$L$7*$B1175</f>
      </c>
      <c r="K1175" s="12">
        <f>IF(J1175&gt;0,IF(J1175&lt;=eco,alpha*fck*(1-(1-J1175/eco)^n),alpha*fck),0)</f>
      </c>
      <c r="L1175" s="30">
        <f>PM_Angle!$J$8+PM_Angle!$K$8*$C1175+PM_Angle!$L$8*$B1175</f>
      </c>
      <c r="M1175" s="12">
        <f>IF(L1175&gt;0,IF(L1175&lt;=eco,alpha*fck*(1-(1-L1175/eco)^n),alpha*fck),0)</f>
      </c>
      <c r="N1175" s="30">
        <f>PM_Angle!$J$9+PM_Angle!$K$9*$C1175+PM_Angle!$L$9*$B1175</f>
      </c>
      <c r="O1175" s="12">
        <f>IF(N1175&gt;0,IF(N1175&lt;=eco,alpha*fck*(1-(1-N1175/eco)^n),alpha*fck),0)</f>
      </c>
      <c r="P1175" s="30">
        <f>PM_Angle!$J$10+PM_Angle!$K$10*$C1175+PM_Angle!$L$10*$B1175</f>
      </c>
      <c r="Q1175" s="12">
        <f>IF(P1175&gt;0,IF(P1175&lt;=eco,alpha*fck*(1-(1-P1175/eco)^n),alpha*fck),0)</f>
      </c>
      <c r="R1175" s="30">
        <f>PM_Angle!$J$11+PM_Angle!$K$11*$C1175+PM_Angle!$L$11*$B1175</f>
      </c>
      <c r="S1175" s="12">
        <f>IF(R1175&gt;0,IF(R1175&lt;=eco,alpha*fck*(1-(1-R1175/eco)^n),alpha*fck),0)</f>
      </c>
      <c r="T1175" s="30">
        <f>PM_Angle!$J$12+PM_Angle!$K$12*$C1175+PM_Angle!$L$12*$B1175</f>
      </c>
      <c r="U1175" s="12">
        <f>IF(T1175&gt;0,IF(T1175&lt;=eco,alpha*fck*(1-(1-T1175/eco)^n),alpha*fck),0)</f>
      </c>
      <c r="V1175" s="30">
        <f>PM_Angle!$J$13+PM_Angle!$K$13*$C1175+PM_Angle!$L$13*$B1175</f>
      </c>
      <c r="W1175" s="12">
        <f>IF(V1175&gt;0,IF(V1175&lt;=eco,alpha*fck*(1-(1-V1175/eco)^n),alpha*fck),0)</f>
      </c>
      <c r="X1175" s="30">
        <f>PM_Angle!$J$14+PM_Angle!$K$14*$C1175+PM_Angle!$L$14*$B1175</f>
      </c>
      <c r="Y1175" s="12">
        <f>IF(X1175&gt;0,IF(X1175&lt;=eco,alpha*fck*(1-(1-X1175/eco)^n),alpha*fck),0)</f>
      </c>
      <c r="Z1175" s="30">
        <f>PM_Angle!$J$15+PM_Angle!$K$15*$C1175+PM_Angle!$L$15*$B1175</f>
      </c>
      <c r="AA1175" s="12">
        <f>IF(Z1175&gt;0,IF(Z1175&lt;=eco,alpha*fck*(1-(1-Z1175/eco)^n),alpha*fck),0)</f>
      </c>
      <c r="AB1175" s="30">
        <f>PM_Angle!$J$16+PM_Angle!$K$16*$C1175+PM_Angle!$L$16*$B1175</f>
      </c>
      <c r="AC1175" s="12">
        <f>IF(AB1175&gt;0,IF(AB1175&lt;=eco,alpha*fck*(1-(1-AB1175/eco)^n),alpha*fck),0)</f>
      </c>
      <c r="AD1175" s="30">
        <f>PM_Angle!$J$17+PM_Angle!$K$17*$C1175+PM_Angle!$L$17*$B1175</f>
      </c>
      <c r="AE1175" s="12">
        <f>IF(AD1175&gt;0,IF(AD1175&lt;=eco,alpha*fck*(1-(1-AD1175/eco)^n),alpha*fck),0)</f>
      </c>
      <c r="AF1175" s="30">
        <f>PM_Angle!$J$18+PM_Angle!$K$18*$C1175+PM_Angle!$L$18*$B1175</f>
      </c>
      <c r="AG1175" s="12">
        <f>IF(AF1175&gt;0,IF(AF1175&lt;=eco,alpha*fck*(1-(1-AF1175/eco)^n),alpha*fck),0)</f>
      </c>
      <c r="AH1175" s="30">
        <f>PM_Angle!$J$19+PM_Angle!$K$19*$C1175+PM_Angle!$L$19*$B1175</f>
      </c>
      <c r="AI1175" s="12">
        <f>IF(AH1175&gt;0,IF(AH1175&lt;=eco,alpha*fck*(1-(1-AH1175/eco)^n),alpha*fck),0)</f>
      </c>
      <c r="AJ1175" s="30">
        <f>PM_Angle!$J$20+PM_Angle!$K$20*$C1175+PM_Angle!$L$20*$B1175</f>
      </c>
      <c r="AK1175" s="12">
        <f>IF(AJ1175&gt;0,IF(AJ1175&lt;=eco,alpha*fck*(1-(1-AJ1175/eco)^n),alpha*fck),0)</f>
      </c>
      <c r="AL1175" s="30">
        <f>PM_Angle!$J$21+PM_Angle!$K$21*$C1175+PM_Angle!$L$21*$B1175</f>
      </c>
      <c r="AM1175" s="12">
        <f>IF(AL1175&gt;0,IF(AL1175&lt;=eco,alpha*fck*(1-(1-AL1175/eco)^n),alpha*fck),0)</f>
      </c>
      <c r="AN1175" s="30">
        <f>PM_Angle!$J$22+PM_Angle!$K$22*$C1175+PM_Angle!$L$22*$B1175</f>
      </c>
      <c r="AO1175" s="12">
        <f>IF(AN1175&gt;0,IF(AN1175&lt;=eco,alpha*fck*(1-(1-AN1175/eco)^n),alpha*fck),0)</f>
      </c>
      <c r="AP1175" s="30">
        <f>PM_Angle!$J$23+PM_Angle!$K$23*$C1175+PM_Angle!$L$23*$B1175</f>
      </c>
      <c r="AQ1175" s="12">
        <f>IF(AP1175&gt;0,IF(AP1175&lt;=eco,alpha*fck*(1-(1-AP1175/eco)^n),alpha*fck),0)</f>
      </c>
      <c r="AR1175" s="30">
        <f>PM_Angle!$J$24+PM_Angle!$K$24*$C1175+PM_Angle!$L$24*$B1175</f>
      </c>
      <c r="AS1175" s="12">
        <f>IF(AR1175&gt;0,IF(AR1175&lt;=eco,alpha*fck*(1-(1-AR1175/eco)^n),alpha*fck),0)</f>
      </c>
      <c r="AT1175" s="30">
        <f>PM_Angle!$J$25+PM_Angle!$K$25*$C1175+PM_Angle!$L$25*$B1175</f>
      </c>
      <c r="AU1175" s="12">
        <f>IF(AT1175&gt;0,IF(AT1175&lt;=eco,alpha*fck*(1-(1-AT1175/eco)^n),alpha*fck),0)</f>
      </c>
    </row>
    <row r="1176" spans="1:47" x14ac:dyDescent="0.25">
      <c r="A1176">
        <f>Mesh!A1173</f>
      </c>
      <c r="B1176" s="12">
        <f>Mesh!B1173</f>
      </c>
      <c r="C1176" s="12">
        <f>Mesh!C1173</f>
      </c>
      <c r="D1176" s="12">
        <f>Mesh!D1173</f>
      </c>
      <c r="E1176" s="30">
        <f>INDEX(St_e0,Det+1)+INDEX(St_kx,Det+1)*C1176+INDEX(St_ky,Det+1)*B1176</f>
      </c>
      <c r="F1176" s="12">
        <f>IF(E1176&gt;0,IF(E1176&lt;=eco,alpha*fck*(1-(1-E1176/eco)^n),alpha*fck),0)</f>
      </c>
      <c r="G1176" s="11">
        <f>F1176*D1176</f>
      </c>
      <c r="H1176" s="11">
        <f>G1176*C1176</f>
      </c>
      <c r="I1176" s="11">
        <f>G1176*B1176</f>
      </c>
      <c r="J1176" s="30">
        <f>PM_Angle!$J$7+PM_Angle!$K$7*$C1176+PM_Angle!$L$7*$B1176</f>
      </c>
      <c r="K1176" s="12">
        <f>IF(J1176&gt;0,IF(J1176&lt;=eco,alpha*fck*(1-(1-J1176/eco)^n),alpha*fck),0)</f>
      </c>
      <c r="L1176" s="30">
        <f>PM_Angle!$J$8+PM_Angle!$K$8*$C1176+PM_Angle!$L$8*$B1176</f>
      </c>
      <c r="M1176" s="12">
        <f>IF(L1176&gt;0,IF(L1176&lt;=eco,alpha*fck*(1-(1-L1176/eco)^n),alpha*fck),0)</f>
      </c>
      <c r="N1176" s="30">
        <f>PM_Angle!$J$9+PM_Angle!$K$9*$C1176+PM_Angle!$L$9*$B1176</f>
      </c>
      <c r="O1176" s="12">
        <f>IF(N1176&gt;0,IF(N1176&lt;=eco,alpha*fck*(1-(1-N1176/eco)^n),alpha*fck),0)</f>
      </c>
      <c r="P1176" s="30">
        <f>PM_Angle!$J$10+PM_Angle!$K$10*$C1176+PM_Angle!$L$10*$B1176</f>
      </c>
      <c r="Q1176" s="12">
        <f>IF(P1176&gt;0,IF(P1176&lt;=eco,alpha*fck*(1-(1-P1176/eco)^n),alpha*fck),0)</f>
      </c>
      <c r="R1176" s="30">
        <f>PM_Angle!$J$11+PM_Angle!$K$11*$C1176+PM_Angle!$L$11*$B1176</f>
      </c>
      <c r="S1176" s="12">
        <f>IF(R1176&gt;0,IF(R1176&lt;=eco,alpha*fck*(1-(1-R1176/eco)^n),alpha*fck),0)</f>
      </c>
      <c r="T1176" s="30">
        <f>PM_Angle!$J$12+PM_Angle!$K$12*$C1176+PM_Angle!$L$12*$B1176</f>
      </c>
      <c r="U1176" s="12">
        <f>IF(T1176&gt;0,IF(T1176&lt;=eco,alpha*fck*(1-(1-T1176/eco)^n),alpha*fck),0)</f>
      </c>
      <c r="V1176" s="30">
        <f>PM_Angle!$J$13+PM_Angle!$K$13*$C1176+PM_Angle!$L$13*$B1176</f>
      </c>
      <c r="W1176" s="12">
        <f>IF(V1176&gt;0,IF(V1176&lt;=eco,alpha*fck*(1-(1-V1176/eco)^n),alpha*fck),0)</f>
      </c>
      <c r="X1176" s="30">
        <f>PM_Angle!$J$14+PM_Angle!$K$14*$C1176+PM_Angle!$L$14*$B1176</f>
      </c>
      <c r="Y1176" s="12">
        <f>IF(X1176&gt;0,IF(X1176&lt;=eco,alpha*fck*(1-(1-X1176/eco)^n),alpha*fck),0)</f>
      </c>
      <c r="Z1176" s="30">
        <f>PM_Angle!$J$15+PM_Angle!$K$15*$C1176+PM_Angle!$L$15*$B1176</f>
      </c>
      <c r="AA1176" s="12">
        <f>IF(Z1176&gt;0,IF(Z1176&lt;=eco,alpha*fck*(1-(1-Z1176/eco)^n),alpha*fck),0)</f>
      </c>
      <c r="AB1176" s="30">
        <f>PM_Angle!$J$16+PM_Angle!$K$16*$C1176+PM_Angle!$L$16*$B1176</f>
      </c>
      <c r="AC1176" s="12">
        <f>IF(AB1176&gt;0,IF(AB1176&lt;=eco,alpha*fck*(1-(1-AB1176/eco)^n),alpha*fck),0)</f>
      </c>
      <c r="AD1176" s="30">
        <f>PM_Angle!$J$17+PM_Angle!$K$17*$C1176+PM_Angle!$L$17*$B1176</f>
      </c>
      <c r="AE1176" s="12">
        <f>IF(AD1176&gt;0,IF(AD1176&lt;=eco,alpha*fck*(1-(1-AD1176/eco)^n),alpha*fck),0)</f>
      </c>
      <c r="AF1176" s="30">
        <f>PM_Angle!$J$18+PM_Angle!$K$18*$C1176+PM_Angle!$L$18*$B1176</f>
      </c>
      <c r="AG1176" s="12">
        <f>IF(AF1176&gt;0,IF(AF1176&lt;=eco,alpha*fck*(1-(1-AF1176/eco)^n),alpha*fck),0)</f>
      </c>
      <c r="AH1176" s="30">
        <f>PM_Angle!$J$19+PM_Angle!$K$19*$C1176+PM_Angle!$L$19*$B1176</f>
      </c>
      <c r="AI1176" s="12">
        <f>IF(AH1176&gt;0,IF(AH1176&lt;=eco,alpha*fck*(1-(1-AH1176/eco)^n),alpha*fck),0)</f>
      </c>
      <c r="AJ1176" s="30">
        <f>PM_Angle!$J$20+PM_Angle!$K$20*$C1176+PM_Angle!$L$20*$B1176</f>
      </c>
      <c r="AK1176" s="12">
        <f>IF(AJ1176&gt;0,IF(AJ1176&lt;=eco,alpha*fck*(1-(1-AJ1176/eco)^n),alpha*fck),0)</f>
      </c>
      <c r="AL1176" s="30">
        <f>PM_Angle!$J$21+PM_Angle!$K$21*$C1176+PM_Angle!$L$21*$B1176</f>
      </c>
      <c r="AM1176" s="12">
        <f>IF(AL1176&gt;0,IF(AL1176&lt;=eco,alpha*fck*(1-(1-AL1176/eco)^n),alpha*fck),0)</f>
      </c>
      <c r="AN1176" s="30">
        <f>PM_Angle!$J$22+PM_Angle!$K$22*$C1176+PM_Angle!$L$22*$B1176</f>
      </c>
      <c r="AO1176" s="12">
        <f>IF(AN1176&gt;0,IF(AN1176&lt;=eco,alpha*fck*(1-(1-AN1176/eco)^n),alpha*fck),0)</f>
      </c>
      <c r="AP1176" s="30">
        <f>PM_Angle!$J$23+PM_Angle!$K$23*$C1176+PM_Angle!$L$23*$B1176</f>
      </c>
      <c r="AQ1176" s="12">
        <f>IF(AP1176&gt;0,IF(AP1176&lt;=eco,alpha*fck*(1-(1-AP1176/eco)^n),alpha*fck),0)</f>
      </c>
      <c r="AR1176" s="30">
        <f>PM_Angle!$J$24+PM_Angle!$K$24*$C1176+PM_Angle!$L$24*$B1176</f>
      </c>
      <c r="AS1176" s="12">
        <f>IF(AR1176&gt;0,IF(AR1176&lt;=eco,alpha*fck*(1-(1-AR1176/eco)^n),alpha*fck),0)</f>
      </c>
      <c r="AT1176" s="30">
        <f>PM_Angle!$J$25+PM_Angle!$K$25*$C1176+PM_Angle!$L$25*$B1176</f>
      </c>
      <c r="AU1176" s="12">
        <f>IF(AT1176&gt;0,IF(AT1176&lt;=eco,alpha*fck*(1-(1-AT1176/eco)^n),alpha*fck),0)</f>
      </c>
    </row>
    <row r="1177" spans="1:47" x14ac:dyDescent="0.25">
      <c r="A1177">
        <f>Mesh!A1174</f>
      </c>
      <c r="B1177" s="12">
        <f>Mesh!B1174</f>
      </c>
      <c r="C1177" s="12">
        <f>Mesh!C1174</f>
      </c>
      <c r="D1177" s="12">
        <f>Mesh!D1174</f>
      </c>
      <c r="E1177" s="30">
        <f>INDEX(St_e0,Det+1)+INDEX(St_kx,Det+1)*C1177+INDEX(St_ky,Det+1)*B1177</f>
      </c>
      <c r="F1177" s="12">
        <f>IF(E1177&gt;0,IF(E1177&lt;=eco,alpha*fck*(1-(1-E1177/eco)^n),alpha*fck),0)</f>
      </c>
      <c r="G1177" s="11">
        <f>F1177*D1177</f>
      </c>
      <c r="H1177" s="11">
        <f>G1177*C1177</f>
      </c>
      <c r="I1177" s="11">
        <f>G1177*B1177</f>
      </c>
      <c r="J1177" s="30">
        <f>PM_Angle!$J$7+PM_Angle!$K$7*$C1177+PM_Angle!$L$7*$B1177</f>
      </c>
      <c r="K1177" s="12">
        <f>IF(J1177&gt;0,IF(J1177&lt;=eco,alpha*fck*(1-(1-J1177/eco)^n),alpha*fck),0)</f>
      </c>
      <c r="L1177" s="30">
        <f>PM_Angle!$J$8+PM_Angle!$K$8*$C1177+PM_Angle!$L$8*$B1177</f>
      </c>
      <c r="M1177" s="12">
        <f>IF(L1177&gt;0,IF(L1177&lt;=eco,alpha*fck*(1-(1-L1177/eco)^n),alpha*fck),0)</f>
      </c>
      <c r="N1177" s="30">
        <f>PM_Angle!$J$9+PM_Angle!$K$9*$C1177+PM_Angle!$L$9*$B1177</f>
      </c>
      <c r="O1177" s="12">
        <f>IF(N1177&gt;0,IF(N1177&lt;=eco,alpha*fck*(1-(1-N1177/eco)^n),alpha*fck),0)</f>
      </c>
      <c r="P1177" s="30">
        <f>PM_Angle!$J$10+PM_Angle!$K$10*$C1177+PM_Angle!$L$10*$B1177</f>
      </c>
      <c r="Q1177" s="12">
        <f>IF(P1177&gt;0,IF(P1177&lt;=eco,alpha*fck*(1-(1-P1177/eco)^n),alpha*fck),0)</f>
      </c>
      <c r="R1177" s="30">
        <f>PM_Angle!$J$11+PM_Angle!$K$11*$C1177+PM_Angle!$L$11*$B1177</f>
      </c>
      <c r="S1177" s="12">
        <f>IF(R1177&gt;0,IF(R1177&lt;=eco,alpha*fck*(1-(1-R1177/eco)^n),alpha*fck),0)</f>
      </c>
      <c r="T1177" s="30">
        <f>PM_Angle!$J$12+PM_Angle!$K$12*$C1177+PM_Angle!$L$12*$B1177</f>
      </c>
      <c r="U1177" s="12">
        <f>IF(T1177&gt;0,IF(T1177&lt;=eco,alpha*fck*(1-(1-T1177/eco)^n),alpha*fck),0)</f>
      </c>
      <c r="V1177" s="30">
        <f>PM_Angle!$J$13+PM_Angle!$K$13*$C1177+PM_Angle!$L$13*$B1177</f>
      </c>
      <c r="W1177" s="12">
        <f>IF(V1177&gt;0,IF(V1177&lt;=eco,alpha*fck*(1-(1-V1177/eco)^n),alpha*fck),0)</f>
      </c>
      <c r="X1177" s="30">
        <f>PM_Angle!$J$14+PM_Angle!$K$14*$C1177+PM_Angle!$L$14*$B1177</f>
      </c>
      <c r="Y1177" s="12">
        <f>IF(X1177&gt;0,IF(X1177&lt;=eco,alpha*fck*(1-(1-X1177/eco)^n),alpha*fck),0)</f>
      </c>
      <c r="Z1177" s="30">
        <f>PM_Angle!$J$15+PM_Angle!$K$15*$C1177+PM_Angle!$L$15*$B1177</f>
      </c>
      <c r="AA1177" s="12">
        <f>IF(Z1177&gt;0,IF(Z1177&lt;=eco,alpha*fck*(1-(1-Z1177/eco)^n),alpha*fck),0)</f>
      </c>
      <c r="AB1177" s="30">
        <f>PM_Angle!$J$16+PM_Angle!$K$16*$C1177+PM_Angle!$L$16*$B1177</f>
      </c>
      <c r="AC1177" s="12">
        <f>IF(AB1177&gt;0,IF(AB1177&lt;=eco,alpha*fck*(1-(1-AB1177/eco)^n),alpha*fck),0)</f>
      </c>
      <c r="AD1177" s="30">
        <f>PM_Angle!$J$17+PM_Angle!$K$17*$C1177+PM_Angle!$L$17*$B1177</f>
      </c>
      <c r="AE1177" s="12">
        <f>IF(AD1177&gt;0,IF(AD1177&lt;=eco,alpha*fck*(1-(1-AD1177/eco)^n),alpha*fck),0)</f>
      </c>
      <c r="AF1177" s="30">
        <f>PM_Angle!$J$18+PM_Angle!$K$18*$C1177+PM_Angle!$L$18*$B1177</f>
      </c>
      <c r="AG1177" s="12">
        <f>IF(AF1177&gt;0,IF(AF1177&lt;=eco,alpha*fck*(1-(1-AF1177/eco)^n),alpha*fck),0)</f>
      </c>
      <c r="AH1177" s="30">
        <f>PM_Angle!$J$19+PM_Angle!$K$19*$C1177+PM_Angle!$L$19*$B1177</f>
      </c>
      <c r="AI1177" s="12">
        <f>IF(AH1177&gt;0,IF(AH1177&lt;=eco,alpha*fck*(1-(1-AH1177/eco)^n),alpha*fck),0)</f>
      </c>
      <c r="AJ1177" s="30">
        <f>PM_Angle!$J$20+PM_Angle!$K$20*$C1177+PM_Angle!$L$20*$B1177</f>
      </c>
      <c r="AK1177" s="12">
        <f>IF(AJ1177&gt;0,IF(AJ1177&lt;=eco,alpha*fck*(1-(1-AJ1177/eco)^n),alpha*fck),0)</f>
      </c>
      <c r="AL1177" s="30">
        <f>PM_Angle!$J$21+PM_Angle!$K$21*$C1177+PM_Angle!$L$21*$B1177</f>
      </c>
      <c r="AM1177" s="12">
        <f>IF(AL1177&gt;0,IF(AL1177&lt;=eco,alpha*fck*(1-(1-AL1177/eco)^n),alpha*fck),0)</f>
      </c>
      <c r="AN1177" s="30">
        <f>PM_Angle!$J$22+PM_Angle!$K$22*$C1177+PM_Angle!$L$22*$B1177</f>
      </c>
      <c r="AO1177" s="12">
        <f>IF(AN1177&gt;0,IF(AN1177&lt;=eco,alpha*fck*(1-(1-AN1177/eco)^n),alpha*fck),0)</f>
      </c>
      <c r="AP1177" s="30">
        <f>PM_Angle!$J$23+PM_Angle!$K$23*$C1177+PM_Angle!$L$23*$B1177</f>
      </c>
      <c r="AQ1177" s="12">
        <f>IF(AP1177&gt;0,IF(AP1177&lt;=eco,alpha*fck*(1-(1-AP1177/eco)^n),alpha*fck),0)</f>
      </c>
      <c r="AR1177" s="30">
        <f>PM_Angle!$J$24+PM_Angle!$K$24*$C1177+PM_Angle!$L$24*$B1177</f>
      </c>
      <c r="AS1177" s="12">
        <f>IF(AR1177&gt;0,IF(AR1177&lt;=eco,alpha*fck*(1-(1-AR1177/eco)^n),alpha*fck),0)</f>
      </c>
      <c r="AT1177" s="30">
        <f>PM_Angle!$J$25+PM_Angle!$K$25*$C1177+PM_Angle!$L$25*$B1177</f>
      </c>
      <c r="AU1177" s="12">
        <f>IF(AT1177&gt;0,IF(AT1177&lt;=eco,alpha*fck*(1-(1-AT1177/eco)^n),alpha*fck),0)</f>
      </c>
    </row>
    <row r="1178" spans="1:47" x14ac:dyDescent="0.25">
      <c r="A1178">
        <f>Mesh!A1175</f>
      </c>
      <c r="B1178" s="12">
        <f>Mesh!B1175</f>
      </c>
      <c r="C1178" s="12">
        <f>Mesh!C1175</f>
      </c>
      <c r="D1178" s="12">
        <f>Mesh!D1175</f>
      </c>
      <c r="E1178" s="30">
        <f>INDEX(St_e0,Det+1)+INDEX(St_kx,Det+1)*C1178+INDEX(St_ky,Det+1)*B1178</f>
      </c>
      <c r="F1178" s="12">
        <f>IF(E1178&gt;0,IF(E1178&lt;=eco,alpha*fck*(1-(1-E1178/eco)^n),alpha*fck),0)</f>
      </c>
      <c r="G1178" s="11">
        <f>F1178*D1178</f>
      </c>
      <c r="H1178" s="11">
        <f>G1178*C1178</f>
      </c>
      <c r="I1178" s="11">
        <f>G1178*B1178</f>
      </c>
      <c r="J1178" s="30">
        <f>PM_Angle!$J$7+PM_Angle!$K$7*$C1178+PM_Angle!$L$7*$B1178</f>
      </c>
      <c r="K1178" s="12">
        <f>IF(J1178&gt;0,IF(J1178&lt;=eco,alpha*fck*(1-(1-J1178/eco)^n),alpha*fck),0)</f>
      </c>
      <c r="L1178" s="30">
        <f>PM_Angle!$J$8+PM_Angle!$K$8*$C1178+PM_Angle!$L$8*$B1178</f>
      </c>
      <c r="M1178" s="12">
        <f>IF(L1178&gt;0,IF(L1178&lt;=eco,alpha*fck*(1-(1-L1178/eco)^n),alpha*fck),0)</f>
      </c>
      <c r="N1178" s="30">
        <f>PM_Angle!$J$9+PM_Angle!$K$9*$C1178+PM_Angle!$L$9*$B1178</f>
      </c>
      <c r="O1178" s="12">
        <f>IF(N1178&gt;0,IF(N1178&lt;=eco,alpha*fck*(1-(1-N1178/eco)^n),alpha*fck),0)</f>
      </c>
      <c r="P1178" s="30">
        <f>PM_Angle!$J$10+PM_Angle!$K$10*$C1178+PM_Angle!$L$10*$B1178</f>
      </c>
      <c r="Q1178" s="12">
        <f>IF(P1178&gt;0,IF(P1178&lt;=eco,alpha*fck*(1-(1-P1178/eco)^n),alpha*fck),0)</f>
      </c>
      <c r="R1178" s="30">
        <f>PM_Angle!$J$11+PM_Angle!$K$11*$C1178+PM_Angle!$L$11*$B1178</f>
      </c>
      <c r="S1178" s="12">
        <f>IF(R1178&gt;0,IF(R1178&lt;=eco,alpha*fck*(1-(1-R1178/eco)^n),alpha*fck),0)</f>
      </c>
      <c r="T1178" s="30">
        <f>PM_Angle!$J$12+PM_Angle!$K$12*$C1178+PM_Angle!$L$12*$B1178</f>
      </c>
      <c r="U1178" s="12">
        <f>IF(T1178&gt;0,IF(T1178&lt;=eco,alpha*fck*(1-(1-T1178/eco)^n),alpha*fck),0)</f>
      </c>
      <c r="V1178" s="30">
        <f>PM_Angle!$J$13+PM_Angle!$K$13*$C1178+PM_Angle!$L$13*$B1178</f>
      </c>
      <c r="W1178" s="12">
        <f>IF(V1178&gt;0,IF(V1178&lt;=eco,alpha*fck*(1-(1-V1178/eco)^n),alpha*fck),0)</f>
      </c>
      <c r="X1178" s="30">
        <f>PM_Angle!$J$14+PM_Angle!$K$14*$C1178+PM_Angle!$L$14*$B1178</f>
      </c>
      <c r="Y1178" s="12">
        <f>IF(X1178&gt;0,IF(X1178&lt;=eco,alpha*fck*(1-(1-X1178/eco)^n),alpha*fck),0)</f>
      </c>
      <c r="Z1178" s="30">
        <f>PM_Angle!$J$15+PM_Angle!$K$15*$C1178+PM_Angle!$L$15*$B1178</f>
      </c>
      <c r="AA1178" s="12">
        <f>IF(Z1178&gt;0,IF(Z1178&lt;=eco,alpha*fck*(1-(1-Z1178/eco)^n),alpha*fck),0)</f>
      </c>
      <c r="AB1178" s="30">
        <f>PM_Angle!$J$16+PM_Angle!$K$16*$C1178+PM_Angle!$L$16*$B1178</f>
      </c>
      <c r="AC1178" s="12">
        <f>IF(AB1178&gt;0,IF(AB1178&lt;=eco,alpha*fck*(1-(1-AB1178/eco)^n),alpha*fck),0)</f>
      </c>
      <c r="AD1178" s="30">
        <f>PM_Angle!$J$17+PM_Angle!$K$17*$C1178+PM_Angle!$L$17*$B1178</f>
      </c>
      <c r="AE1178" s="12">
        <f>IF(AD1178&gt;0,IF(AD1178&lt;=eco,alpha*fck*(1-(1-AD1178/eco)^n),alpha*fck),0)</f>
      </c>
      <c r="AF1178" s="30">
        <f>PM_Angle!$J$18+PM_Angle!$K$18*$C1178+PM_Angle!$L$18*$B1178</f>
      </c>
      <c r="AG1178" s="12">
        <f>IF(AF1178&gt;0,IF(AF1178&lt;=eco,alpha*fck*(1-(1-AF1178/eco)^n),alpha*fck),0)</f>
      </c>
      <c r="AH1178" s="30">
        <f>PM_Angle!$J$19+PM_Angle!$K$19*$C1178+PM_Angle!$L$19*$B1178</f>
      </c>
      <c r="AI1178" s="12">
        <f>IF(AH1178&gt;0,IF(AH1178&lt;=eco,alpha*fck*(1-(1-AH1178/eco)^n),alpha*fck),0)</f>
      </c>
      <c r="AJ1178" s="30">
        <f>PM_Angle!$J$20+PM_Angle!$K$20*$C1178+PM_Angle!$L$20*$B1178</f>
      </c>
      <c r="AK1178" s="12">
        <f>IF(AJ1178&gt;0,IF(AJ1178&lt;=eco,alpha*fck*(1-(1-AJ1178/eco)^n),alpha*fck),0)</f>
      </c>
      <c r="AL1178" s="30">
        <f>PM_Angle!$J$21+PM_Angle!$K$21*$C1178+PM_Angle!$L$21*$B1178</f>
      </c>
      <c r="AM1178" s="12">
        <f>IF(AL1178&gt;0,IF(AL1178&lt;=eco,alpha*fck*(1-(1-AL1178/eco)^n),alpha*fck),0)</f>
      </c>
      <c r="AN1178" s="30">
        <f>PM_Angle!$J$22+PM_Angle!$K$22*$C1178+PM_Angle!$L$22*$B1178</f>
      </c>
      <c r="AO1178" s="12">
        <f>IF(AN1178&gt;0,IF(AN1178&lt;=eco,alpha*fck*(1-(1-AN1178/eco)^n),alpha*fck),0)</f>
      </c>
      <c r="AP1178" s="30">
        <f>PM_Angle!$J$23+PM_Angle!$K$23*$C1178+PM_Angle!$L$23*$B1178</f>
      </c>
      <c r="AQ1178" s="12">
        <f>IF(AP1178&gt;0,IF(AP1178&lt;=eco,alpha*fck*(1-(1-AP1178/eco)^n),alpha*fck),0)</f>
      </c>
      <c r="AR1178" s="30">
        <f>PM_Angle!$J$24+PM_Angle!$K$24*$C1178+PM_Angle!$L$24*$B1178</f>
      </c>
      <c r="AS1178" s="12">
        <f>IF(AR1178&gt;0,IF(AR1178&lt;=eco,alpha*fck*(1-(1-AR1178/eco)^n),alpha*fck),0)</f>
      </c>
      <c r="AT1178" s="30">
        <f>PM_Angle!$J$25+PM_Angle!$K$25*$C1178+PM_Angle!$L$25*$B1178</f>
      </c>
      <c r="AU1178" s="12">
        <f>IF(AT1178&gt;0,IF(AT1178&lt;=eco,alpha*fck*(1-(1-AT1178/eco)^n),alpha*fck),0)</f>
      </c>
    </row>
    <row r="1179" spans="1:47" x14ac:dyDescent="0.25">
      <c r="A1179">
        <f>Mesh!A1176</f>
      </c>
      <c r="B1179" s="12">
        <f>Mesh!B1176</f>
      </c>
      <c r="C1179" s="12">
        <f>Mesh!C1176</f>
      </c>
      <c r="D1179" s="12">
        <f>Mesh!D1176</f>
      </c>
      <c r="E1179" s="30">
        <f>INDEX(St_e0,Det+1)+INDEX(St_kx,Det+1)*C1179+INDEX(St_ky,Det+1)*B1179</f>
      </c>
      <c r="F1179" s="12">
        <f>IF(E1179&gt;0,IF(E1179&lt;=eco,alpha*fck*(1-(1-E1179/eco)^n),alpha*fck),0)</f>
      </c>
      <c r="G1179" s="11">
        <f>F1179*D1179</f>
      </c>
      <c r="H1179" s="11">
        <f>G1179*C1179</f>
      </c>
      <c r="I1179" s="11">
        <f>G1179*B1179</f>
      </c>
      <c r="J1179" s="30">
        <f>PM_Angle!$J$7+PM_Angle!$K$7*$C1179+PM_Angle!$L$7*$B1179</f>
      </c>
      <c r="K1179" s="12">
        <f>IF(J1179&gt;0,IF(J1179&lt;=eco,alpha*fck*(1-(1-J1179/eco)^n),alpha*fck),0)</f>
      </c>
      <c r="L1179" s="30">
        <f>PM_Angle!$J$8+PM_Angle!$K$8*$C1179+PM_Angle!$L$8*$B1179</f>
      </c>
      <c r="M1179" s="12">
        <f>IF(L1179&gt;0,IF(L1179&lt;=eco,alpha*fck*(1-(1-L1179/eco)^n),alpha*fck),0)</f>
      </c>
      <c r="N1179" s="30">
        <f>PM_Angle!$J$9+PM_Angle!$K$9*$C1179+PM_Angle!$L$9*$B1179</f>
      </c>
      <c r="O1179" s="12">
        <f>IF(N1179&gt;0,IF(N1179&lt;=eco,alpha*fck*(1-(1-N1179/eco)^n),alpha*fck),0)</f>
      </c>
      <c r="P1179" s="30">
        <f>PM_Angle!$J$10+PM_Angle!$K$10*$C1179+PM_Angle!$L$10*$B1179</f>
      </c>
      <c r="Q1179" s="12">
        <f>IF(P1179&gt;0,IF(P1179&lt;=eco,alpha*fck*(1-(1-P1179/eco)^n),alpha*fck),0)</f>
      </c>
      <c r="R1179" s="30">
        <f>PM_Angle!$J$11+PM_Angle!$K$11*$C1179+PM_Angle!$L$11*$B1179</f>
      </c>
      <c r="S1179" s="12">
        <f>IF(R1179&gt;0,IF(R1179&lt;=eco,alpha*fck*(1-(1-R1179/eco)^n),alpha*fck),0)</f>
      </c>
      <c r="T1179" s="30">
        <f>PM_Angle!$J$12+PM_Angle!$K$12*$C1179+PM_Angle!$L$12*$B1179</f>
      </c>
      <c r="U1179" s="12">
        <f>IF(T1179&gt;0,IF(T1179&lt;=eco,alpha*fck*(1-(1-T1179/eco)^n),alpha*fck),0)</f>
      </c>
      <c r="V1179" s="30">
        <f>PM_Angle!$J$13+PM_Angle!$K$13*$C1179+PM_Angle!$L$13*$B1179</f>
      </c>
      <c r="W1179" s="12">
        <f>IF(V1179&gt;0,IF(V1179&lt;=eco,alpha*fck*(1-(1-V1179/eco)^n),alpha*fck),0)</f>
      </c>
      <c r="X1179" s="30">
        <f>PM_Angle!$J$14+PM_Angle!$K$14*$C1179+PM_Angle!$L$14*$B1179</f>
      </c>
      <c r="Y1179" s="12">
        <f>IF(X1179&gt;0,IF(X1179&lt;=eco,alpha*fck*(1-(1-X1179/eco)^n),alpha*fck),0)</f>
      </c>
      <c r="Z1179" s="30">
        <f>PM_Angle!$J$15+PM_Angle!$K$15*$C1179+PM_Angle!$L$15*$B1179</f>
      </c>
      <c r="AA1179" s="12">
        <f>IF(Z1179&gt;0,IF(Z1179&lt;=eco,alpha*fck*(1-(1-Z1179/eco)^n),alpha*fck),0)</f>
      </c>
      <c r="AB1179" s="30">
        <f>PM_Angle!$J$16+PM_Angle!$K$16*$C1179+PM_Angle!$L$16*$B1179</f>
      </c>
      <c r="AC1179" s="12">
        <f>IF(AB1179&gt;0,IF(AB1179&lt;=eco,alpha*fck*(1-(1-AB1179/eco)^n),alpha*fck),0)</f>
      </c>
      <c r="AD1179" s="30">
        <f>PM_Angle!$J$17+PM_Angle!$K$17*$C1179+PM_Angle!$L$17*$B1179</f>
      </c>
      <c r="AE1179" s="12">
        <f>IF(AD1179&gt;0,IF(AD1179&lt;=eco,alpha*fck*(1-(1-AD1179/eco)^n),alpha*fck),0)</f>
      </c>
      <c r="AF1179" s="30">
        <f>PM_Angle!$J$18+PM_Angle!$K$18*$C1179+PM_Angle!$L$18*$B1179</f>
      </c>
      <c r="AG1179" s="12">
        <f>IF(AF1179&gt;0,IF(AF1179&lt;=eco,alpha*fck*(1-(1-AF1179/eco)^n),alpha*fck),0)</f>
      </c>
      <c r="AH1179" s="30">
        <f>PM_Angle!$J$19+PM_Angle!$K$19*$C1179+PM_Angle!$L$19*$B1179</f>
      </c>
      <c r="AI1179" s="12">
        <f>IF(AH1179&gt;0,IF(AH1179&lt;=eco,alpha*fck*(1-(1-AH1179/eco)^n),alpha*fck),0)</f>
      </c>
      <c r="AJ1179" s="30">
        <f>PM_Angle!$J$20+PM_Angle!$K$20*$C1179+PM_Angle!$L$20*$B1179</f>
      </c>
      <c r="AK1179" s="12">
        <f>IF(AJ1179&gt;0,IF(AJ1179&lt;=eco,alpha*fck*(1-(1-AJ1179/eco)^n),alpha*fck),0)</f>
      </c>
      <c r="AL1179" s="30">
        <f>PM_Angle!$J$21+PM_Angle!$K$21*$C1179+PM_Angle!$L$21*$B1179</f>
      </c>
      <c r="AM1179" s="12">
        <f>IF(AL1179&gt;0,IF(AL1179&lt;=eco,alpha*fck*(1-(1-AL1179/eco)^n),alpha*fck),0)</f>
      </c>
      <c r="AN1179" s="30">
        <f>PM_Angle!$J$22+PM_Angle!$K$22*$C1179+PM_Angle!$L$22*$B1179</f>
      </c>
      <c r="AO1179" s="12">
        <f>IF(AN1179&gt;0,IF(AN1179&lt;=eco,alpha*fck*(1-(1-AN1179/eco)^n),alpha*fck),0)</f>
      </c>
      <c r="AP1179" s="30">
        <f>PM_Angle!$J$23+PM_Angle!$K$23*$C1179+PM_Angle!$L$23*$B1179</f>
      </c>
      <c r="AQ1179" s="12">
        <f>IF(AP1179&gt;0,IF(AP1179&lt;=eco,alpha*fck*(1-(1-AP1179/eco)^n),alpha*fck),0)</f>
      </c>
      <c r="AR1179" s="30">
        <f>PM_Angle!$J$24+PM_Angle!$K$24*$C1179+PM_Angle!$L$24*$B1179</f>
      </c>
      <c r="AS1179" s="12">
        <f>IF(AR1179&gt;0,IF(AR1179&lt;=eco,alpha*fck*(1-(1-AR1179/eco)^n),alpha*fck),0)</f>
      </c>
      <c r="AT1179" s="30">
        <f>PM_Angle!$J$25+PM_Angle!$K$25*$C1179+PM_Angle!$L$25*$B1179</f>
      </c>
      <c r="AU1179" s="12">
        <f>IF(AT1179&gt;0,IF(AT1179&lt;=eco,alpha*fck*(1-(1-AT1179/eco)^n),alpha*fck),0)</f>
      </c>
    </row>
    <row r="1180" spans="1:47" x14ac:dyDescent="0.25">
      <c r="A1180">
        <f>Mesh!A1177</f>
      </c>
      <c r="B1180" s="12">
        <f>Mesh!B1177</f>
      </c>
      <c r="C1180" s="12">
        <f>Mesh!C1177</f>
      </c>
      <c r="D1180" s="12">
        <f>Mesh!D1177</f>
      </c>
      <c r="E1180" s="30">
        <f>INDEX(St_e0,Det+1)+INDEX(St_kx,Det+1)*C1180+INDEX(St_ky,Det+1)*B1180</f>
      </c>
      <c r="F1180" s="12">
        <f>IF(E1180&gt;0,IF(E1180&lt;=eco,alpha*fck*(1-(1-E1180/eco)^n),alpha*fck),0)</f>
      </c>
      <c r="G1180" s="11">
        <f>F1180*D1180</f>
      </c>
      <c r="H1180" s="11">
        <f>G1180*C1180</f>
      </c>
      <c r="I1180" s="11">
        <f>G1180*B1180</f>
      </c>
      <c r="J1180" s="30">
        <f>PM_Angle!$J$7+PM_Angle!$K$7*$C1180+PM_Angle!$L$7*$B1180</f>
      </c>
      <c r="K1180" s="12">
        <f>IF(J1180&gt;0,IF(J1180&lt;=eco,alpha*fck*(1-(1-J1180/eco)^n),alpha*fck),0)</f>
      </c>
      <c r="L1180" s="30">
        <f>PM_Angle!$J$8+PM_Angle!$K$8*$C1180+PM_Angle!$L$8*$B1180</f>
      </c>
      <c r="M1180" s="12">
        <f>IF(L1180&gt;0,IF(L1180&lt;=eco,alpha*fck*(1-(1-L1180/eco)^n),alpha*fck),0)</f>
      </c>
      <c r="N1180" s="30">
        <f>PM_Angle!$J$9+PM_Angle!$K$9*$C1180+PM_Angle!$L$9*$B1180</f>
      </c>
      <c r="O1180" s="12">
        <f>IF(N1180&gt;0,IF(N1180&lt;=eco,alpha*fck*(1-(1-N1180/eco)^n),alpha*fck),0)</f>
      </c>
      <c r="P1180" s="30">
        <f>PM_Angle!$J$10+PM_Angle!$K$10*$C1180+PM_Angle!$L$10*$B1180</f>
      </c>
      <c r="Q1180" s="12">
        <f>IF(P1180&gt;0,IF(P1180&lt;=eco,alpha*fck*(1-(1-P1180/eco)^n),alpha*fck),0)</f>
      </c>
      <c r="R1180" s="30">
        <f>PM_Angle!$J$11+PM_Angle!$K$11*$C1180+PM_Angle!$L$11*$B1180</f>
      </c>
      <c r="S1180" s="12">
        <f>IF(R1180&gt;0,IF(R1180&lt;=eco,alpha*fck*(1-(1-R1180/eco)^n),alpha*fck),0)</f>
      </c>
      <c r="T1180" s="30">
        <f>PM_Angle!$J$12+PM_Angle!$K$12*$C1180+PM_Angle!$L$12*$B1180</f>
      </c>
      <c r="U1180" s="12">
        <f>IF(T1180&gt;0,IF(T1180&lt;=eco,alpha*fck*(1-(1-T1180/eco)^n),alpha*fck),0)</f>
      </c>
      <c r="V1180" s="30">
        <f>PM_Angle!$J$13+PM_Angle!$K$13*$C1180+PM_Angle!$L$13*$B1180</f>
      </c>
      <c r="W1180" s="12">
        <f>IF(V1180&gt;0,IF(V1180&lt;=eco,alpha*fck*(1-(1-V1180/eco)^n),alpha*fck),0)</f>
      </c>
      <c r="X1180" s="30">
        <f>PM_Angle!$J$14+PM_Angle!$K$14*$C1180+PM_Angle!$L$14*$B1180</f>
      </c>
      <c r="Y1180" s="12">
        <f>IF(X1180&gt;0,IF(X1180&lt;=eco,alpha*fck*(1-(1-X1180/eco)^n),alpha*fck),0)</f>
      </c>
      <c r="Z1180" s="30">
        <f>PM_Angle!$J$15+PM_Angle!$K$15*$C1180+PM_Angle!$L$15*$B1180</f>
      </c>
      <c r="AA1180" s="12">
        <f>IF(Z1180&gt;0,IF(Z1180&lt;=eco,alpha*fck*(1-(1-Z1180/eco)^n),alpha*fck),0)</f>
      </c>
      <c r="AB1180" s="30">
        <f>PM_Angle!$J$16+PM_Angle!$K$16*$C1180+PM_Angle!$L$16*$B1180</f>
      </c>
      <c r="AC1180" s="12">
        <f>IF(AB1180&gt;0,IF(AB1180&lt;=eco,alpha*fck*(1-(1-AB1180/eco)^n),alpha*fck),0)</f>
      </c>
      <c r="AD1180" s="30">
        <f>PM_Angle!$J$17+PM_Angle!$K$17*$C1180+PM_Angle!$L$17*$B1180</f>
      </c>
      <c r="AE1180" s="12">
        <f>IF(AD1180&gt;0,IF(AD1180&lt;=eco,alpha*fck*(1-(1-AD1180/eco)^n),alpha*fck),0)</f>
      </c>
      <c r="AF1180" s="30">
        <f>PM_Angle!$J$18+PM_Angle!$K$18*$C1180+PM_Angle!$L$18*$B1180</f>
      </c>
      <c r="AG1180" s="12">
        <f>IF(AF1180&gt;0,IF(AF1180&lt;=eco,alpha*fck*(1-(1-AF1180/eco)^n),alpha*fck),0)</f>
      </c>
      <c r="AH1180" s="30">
        <f>PM_Angle!$J$19+PM_Angle!$K$19*$C1180+PM_Angle!$L$19*$B1180</f>
      </c>
      <c r="AI1180" s="12">
        <f>IF(AH1180&gt;0,IF(AH1180&lt;=eco,alpha*fck*(1-(1-AH1180/eco)^n),alpha*fck),0)</f>
      </c>
      <c r="AJ1180" s="30">
        <f>PM_Angle!$J$20+PM_Angle!$K$20*$C1180+PM_Angle!$L$20*$B1180</f>
      </c>
      <c r="AK1180" s="12">
        <f>IF(AJ1180&gt;0,IF(AJ1180&lt;=eco,alpha*fck*(1-(1-AJ1180/eco)^n),alpha*fck),0)</f>
      </c>
      <c r="AL1180" s="30">
        <f>PM_Angle!$J$21+PM_Angle!$K$21*$C1180+PM_Angle!$L$21*$B1180</f>
      </c>
      <c r="AM1180" s="12">
        <f>IF(AL1180&gt;0,IF(AL1180&lt;=eco,alpha*fck*(1-(1-AL1180/eco)^n),alpha*fck),0)</f>
      </c>
      <c r="AN1180" s="30">
        <f>PM_Angle!$J$22+PM_Angle!$K$22*$C1180+PM_Angle!$L$22*$B1180</f>
      </c>
      <c r="AO1180" s="12">
        <f>IF(AN1180&gt;0,IF(AN1180&lt;=eco,alpha*fck*(1-(1-AN1180/eco)^n),alpha*fck),0)</f>
      </c>
      <c r="AP1180" s="30">
        <f>PM_Angle!$J$23+PM_Angle!$K$23*$C1180+PM_Angle!$L$23*$B1180</f>
      </c>
      <c r="AQ1180" s="12">
        <f>IF(AP1180&gt;0,IF(AP1180&lt;=eco,alpha*fck*(1-(1-AP1180/eco)^n),alpha*fck),0)</f>
      </c>
      <c r="AR1180" s="30">
        <f>PM_Angle!$J$24+PM_Angle!$K$24*$C1180+PM_Angle!$L$24*$B1180</f>
      </c>
      <c r="AS1180" s="12">
        <f>IF(AR1180&gt;0,IF(AR1180&lt;=eco,alpha*fck*(1-(1-AR1180/eco)^n),alpha*fck),0)</f>
      </c>
      <c r="AT1180" s="30">
        <f>PM_Angle!$J$25+PM_Angle!$K$25*$C1180+PM_Angle!$L$25*$B1180</f>
      </c>
      <c r="AU1180" s="12">
        <f>IF(AT1180&gt;0,IF(AT1180&lt;=eco,alpha*fck*(1-(1-AT1180/eco)^n),alpha*fck),0)</f>
      </c>
    </row>
    <row r="1181" spans="1:47" x14ac:dyDescent="0.25">
      <c r="A1181">
        <f>Mesh!A1178</f>
      </c>
      <c r="B1181" s="12">
        <f>Mesh!B1178</f>
      </c>
      <c r="C1181" s="12">
        <f>Mesh!C1178</f>
      </c>
      <c r="D1181" s="12">
        <f>Mesh!D1178</f>
      </c>
      <c r="E1181" s="30">
        <f>INDEX(St_e0,Det+1)+INDEX(St_kx,Det+1)*C1181+INDEX(St_ky,Det+1)*B1181</f>
      </c>
      <c r="F1181" s="12">
        <f>IF(E1181&gt;0,IF(E1181&lt;=eco,alpha*fck*(1-(1-E1181/eco)^n),alpha*fck),0)</f>
      </c>
      <c r="G1181" s="11">
        <f>F1181*D1181</f>
      </c>
      <c r="H1181" s="11">
        <f>G1181*C1181</f>
      </c>
      <c r="I1181" s="11">
        <f>G1181*B1181</f>
      </c>
      <c r="J1181" s="30">
        <f>PM_Angle!$J$7+PM_Angle!$K$7*$C1181+PM_Angle!$L$7*$B1181</f>
      </c>
      <c r="K1181" s="12">
        <f>IF(J1181&gt;0,IF(J1181&lt;=eco,alpha*fck*(1-(1-J1181/eco)^n),alpha*fck),0)</f>
      </c>
      <c r="L1181" s="30">
        <f>PM_Angle!$J$8+PM_Angle!$K$8*$C1181+PM_Angle!$L$8*$B1181</f>
      </c>
      <c r="M1181" s="12">
        <f>IF(L1181&gt;0,IF(L1181&lt;=eco,alpha*fck*(1-(1-L1181/eco)^n),alpha*fck),0)</f>
      </c>
      <c r="N1181" s="30">
        <f>PM_Angle!$J$9+PM_Angle!$K$9*$C1181+PM_Angle!$L$9*$B1181</f>
      </c>
      <c r="O1181" s="12">
        <f>IF(N1181&gt;0,IF(N1181&lt;=eco,alpha*fck*(1-(1-N1181/eco)^n),alpha*fck),0)</f>
      </c>
      <c r="P1181" s="30">
        <f>PM_Angle!$J$10+PM_Angle!$K$10*$C1181+PM_Angle!$L$10*$B1181</f>
      </c>
      <c r="Q1181" s="12">
        <f>IF(P1181&gt;0,IF(P1181&lt;=eco,alpha*fck*(1-(1-P1181/eco)^n),alpha*fck),0)</f>
      </c>
      <c r="R1181" s="30">
        <f>PM_Angle!$J$11+PM_Angle!$K$11*$C1181+PM_Angle!$L$11*$B1181</f>
      </c>
      <c r="S1181" s="12">
        <f>IF(R1181&gt;0,IF(R1181&lt;=eco,alpha*fck*(1-(1-R1181/eco)^n),alpha*fck),0)</f>
      </c>
      <c r="T1181" s="30">
        <f>PM_Angle!$J$12+PM_Angle!$K$12*$C1181+PM_Angle!$L$12*$B1181</f>
      </c>
      <c r="U1181" s="12">
        <f>IF(T1181&gt;0,IF(T1181&lt;=eco,alpha*fck*(1-(1-T1181/eco)^n),alpha*fck),0)</f>
      </c>
      <c r="V1181" s="30">
        <f>PM_Angle!$J$13+PM_Angle!$K$13*$C1181+PM_Angle!$L$13*$B1181</f>
      </c>
      <c r="W1181" s="12">
        <f>IF(V1181&gt;0,IF(V1181&lt;=eco,alpha*fck*(1-(1-V1181/eco)^n),alpha*fck),0)</f>
      </c>
      <c r="X1181" s="30">
        <f>PM_Angle!$J$14+PM_Angle!$K$14*$C1181+PM_Angle!$L$14*$B1181</f>
      </c>
      <c r="Y1181" s="12">
        <f>IF(X1181&gt;0,IF(X1181&lt;=eco,alpha*fck*(1-(1-X1181/eco)^n),alpha*fck),0)</f>
      </c>
      <c r="Z1181" s="30">
        <f>PM_Angle!$J$15+PM_Angle!$K$15*$C1181+PM_Angle!$L$15*$B1181</f>
      </c>
      <c r="AA1181" s="12">
        <f>IF(Z1181&gt;0,IF(Z1181&lt;=eco,alpha*fck*(1-(1-Z1181/eco)^n),alpha*fck),0)</f>
      </c>
      <c r="AB1181" s="30">
        <f>PM_Angle!$J$16+PM_Angle!$K$16*$C1181+PM_Angle!$L$16*$B1181</f>
      </c>
      <c r="AC1181" s="12">
        <f>IF(AB1181&gt;0,IF(AB1181&lt;=eco,alpha*fck*(1-(1-AB1181/eco)^n),alpha*fck),0)</f>
      </c>
      <c r="AD1181" s="30">
        <f>PM_Angle!$J$17+PM_Angle!$K$17*$C1181+PM_Angle!$L$17*$B1181</f>
      </c>
      <c r="AE1181" s="12">
        <f>IF(AD1181&gt;0,IF(AD1181&lt;=eco,alpha*fck*(1-(1-AD1181/eco)^n),alpha*fck),0)</f>
      </c>
      <c r="AF1181" s="30">
        <f>PM_Angle!$J$18+PM_Angle!$K$18*$C1181+PM_Angle!$L$18*$B1181</f>
      </c>
      <c r="AG1181" s="12">
        <f>IF(AF1181&gt;0,IF(AF1181&lt;=eco,alpha*fck*(1-(1-AF1181/eco)^n),alpha*fck),0)</f>
      </c>
      <c r="AH1181" s="30">
        <f>PM_Angle!$J$19+PM_Angle!$K$19*$C1181+PM_Angle!$L$19*$B1181</f>
      </c>
      <c r="AI1181" s="12">
        <f>IF(AH1181&gt;0,IF(AH1181&lt;=eco,alpha*fck*(1-(1-AH1181/eco)^n),alpha*fck),0)</f>
      </c>
      <c r="AJ1181" s="30">
        <f>PM_Angle!$J$20+PM_Angle!$K$20*$C1181+PM_Angle!$L$20*$B1181</f>
      </c>
      <c r="AK1181" s="12">
        <f>IF(AJ1181&gt;0,IF(AJ1181&lt;=eco,alpha*fck*(1-(1-AJ1181/eco)^n),alpha*fck),0)</f>
      </c>
      <c r="AL1181" s="30">
        <f>PM_Angle!$J$21+PM_Angle!$K$21*$C1181+PM_Angle!$L$21*$B1181</f>
      </c>
      <c r="AM1181" s="12">
        <f>IF(AL1181&gt;0,IF(AL1181&lt;=eco,alpha*fck*(1-(1-AL1181/eco)^n),alpha*fck),0)</f>
      </c>
      <c r="AN1181" s="30">
        <f>PM_Angle!$J$22+PM_Angle!$K$22*$C1181+PM_Angle!$L$22*$B1181</f>
      </c>
      <c r="AO1181" s="12">
        <f>IF(AN1181&gt;0,IF(AN1181&lt;=eco,alpha*fck*(1-(1-AN1181/eco)^n),alpha*fck),0)</f>
      </c>
      <c r="AP1181" s="30">
        <f>PM_Angle!$J$23+PM_Angle!$K$23*$C1181+PM_Angle!$L$23*$B1181</f>
      </c>
      <c r="AQ1181" s="12">
        <f>IF(AP1181&gt;0,IF(AP1181&lt;=eco,alpha*fck*(1-(1-AP1181/eco)^n),alpha*fck),0)</f>
      </c>
      <c r="AR1181" s="30">
        <f>PM_Angle!$J$24+PM_Angle!$K$24*$C1181+PM_Angle!$L$24*$B1181</f>
      </c>
      <c r="AS1181" s="12">
        <f>IF(AR1181&gt;0,IF(AR1181&lt;=eco,alpha*fck*(1-(1-AR1181/eco)^n),alpha*fck),0)</f>
      </c>
      <c r="AT1181" s="30">
        <f>PM_Angle!$J$25+PM_Angle!$K$25*$C1181+PM_Angle!$L$25*$B1181</f>
      </c>
      <c r="AU1181" s="12">
        <f>IF(AT1181&gt;0,IF(AT1181&lt;=eco,alpha*fck*(1-(1-AT1181/eco)^n),alpha*fck),0)</f>
      </c>
    </row>
    <row r="1182" spans="1:47" x14ac:dyDescent="0.25">
      <c r="A1182">
        <f>Mesh!A1179</f>
      </c>
      <c r="B1182" s="12">
        <f>Mesh!B1179</f>
      </c>
      <c r="C1182" s="12">
        <f>Mesh!C1179</f>
      </c>
      <c r="D1182" s="12">
        <f>Mesh!D1179</f>
      </c>
      <c r="E1182" s="30">
        <f>INDEX(St_e0,Det+1)+INDEX(St_kx,Det+1)*C1182+INDEX(St_ky,Det+1)*B1182</f>
      </c>
      <c r="F1182" s="12">
        <f>IF(E1182&gt;0,IF(E1182&lt;=eco,alpha*fck*(1-(1-E1182/eco)^n),alpha*fck),0)</f>
      </c>
      <c r="G1182" s="11">
        <f>F1182*D1182</f>
      </c>
      <c r="H1182" s="11">
        <f>G1182*C1182</f>
      </c>
      <c r="I1182" s="11">
        <f>G1182*B1182</f>
      </c>
      <c r="J1182" s="30">
        <f>PM_Angle!$J$7+PM_Angle!$K$7*$C1182+PM_Angle!$L$7*$B1182</f>
      </c>
      <c r="K1182" s="12">
        <f>IF(J1182&gt;0,IF(J1182&lt;=eco,alpha*fck*(1-(1-J1182/eco)^n),alpha*fck),0)</f>
      </c>
      <c r="L1182" s="30">
        <f>PM_Angle!$J$8+PM_Angle!$K$8*$C1182+PM_Angle!$L$8*$B1182</f>
      </c>
      <c r="M1182" s="12">
        <f>IF(L1182&gt;0,IF(L1182&lt;=eco,alpha*fck*(1-(1-L1182/eco)^n),alpha*fck),0)</f>
      </c>
      <c r="N1182" s="30">
        <f>PM_Angle!$J$9+PM_Angle!$K$9*$C1182+PM_Angle!$L$9*$B1182</f>
      </c>
      <c r="O1182" s="12">
        <f>IF(N1182&gt;0,IF(N1182&lt;=eco,alpha*fck*(1-(1-N1182/eco)^n),alpha*fck),0)</f>
      </c>
      <c r="P1182" s="30">
        <f>PM_Angle!$J$10+PM_Angle!$K$10*$C1182+PM_Angle!$L$10*$B1182</f>
      </c>
      <c r="Q1182" s="12">
        <f>IF(P1182&gt;0,IF(P1182&lt;=eco,alpha*fck*(1-(1-P1182/eco)^n),alpha*fck),0)</f>
      </c>
      <c r="R1182" s="30">
        <f>PM_Angle!$J$11+PM_Angle!$K$11*$C1182+PM_Angle!$L$11*$B1182</f>
      </c>
      <c r="S1182" s="12">
        <f>IF(R1182&gt;0,IF(R1182&lt;=eco,alpha*fck*(1-(1-R1182/eco)^n),alpha*fck),0)</f>
      </c>
      <c r="T1182" s="30">
        <f>PM_Angle!$J$12+PM_Angle!$K$12*$C1182+PM_Angle!$L$12*$B1182</f>
      </c>
      <c r="U1182" s="12">
        <f>IF(T1182&gt;0,IF(T1182&lt;=eco,alpha*fck*(1-(1-T1182/eco)^n),alpha*fck),0)</f>
      </c>
      <c r="V1182" s="30">
        <f>PM_Angle!$J$13+PM_Angle!$K$13*$C1182+PM_Angle!$L$13*$B1182</f>
      </c>
      <c r="W1182" s="12">
        <f>IF(V1182&gt;0,IF(V1182&lt;=eco,alpha*fck*(1-(1-V1182/eco)^n),alpha*fck),0)</f>
      </c>
      <c r="X1182" s="30">
        <f>PM_Angle!$J$14+PM_Angle!$K$14*$C1182+PM_Angle!$L$14*$B1182</f>
      </c>
      <c r="Y1182" s="12">
        <f>IF(X1182&gt;0,IF(X1182&lt;=eco,alpha*fck*(1-(1-X1182/eco)^n),alpha*fck),0)</f>
      </c>
      <c r="Z1182" s="30">
        <f>PM_Angle!$J$15+PM_Angle!$K$15*$C1182+PM_Angle!$L$15*$B1182</f>
      </c>
      <c r="AA1182" s="12">
        <f>IF(Z1182&gt;0,IF(Z1182&lt;=eco,alpha*fck*(1-(1-Z1182/eco)^n),alpha*fck),0)</f>
      </c>
      <c r="AB1182" s="30">
        <f>PM_Angle!$J$16+PM_Angle!$K$16*$C1182+PM_Angle!$L$16*$B1182</f>
      </c>
      <c r="AC1182" s="12">
        <f>IF(AB1182&gt;0,IF(AB1182&lt;=eco,alpha*fck*(1-(1-AB1182/eco)^n),alpha*fck),0)</f>
      </c>
      <c r="AD1182" s="30">
        <f>PM_Angle!$J$17+PM_Angle!$K$17*$C1182+PM_Angle!$L$17*$B1182</f>
      </c>
      <c r="AE1182" s="12">
        <f>IF(AD1182&gt;0,IF(AD1182&lt;=eco,alpha*fck*(1-(1-AD1182/eco)^n),alpha*fck),0)</f>
      </c>
      <c r="AF1182" s="30">
        <f>PM_Angle!$J$18+PM_Angle!$K$18*$C1182+PM_Angle!$L$18*$B1182</f>
      </c>
      <c r="AG1182" s="12">
        <f>IF(AF1182&gt;0,IF(AF1182&lt;=eco,alpha*fck*(1-(1-AF1182/eco)^n),alpha*fck),0)</f>
      </c>
      <c r="AH1182" s="30">
        <f>PM_Angle!$J$19+PM_Angle!$K$19*$C1182+PM_Angle!$L$19*$B1182</f>
      </c>
      <c r="AI1182" s="12">
        <f>IF(AH1182&gt;0,IF(AH1182&lt;=eco,alpha*fck*(1-(1-AH1182/eco)^n),alpha*fck),0)</f>
      </c>
      <c r="AJ1182" s="30">
        <f>PM_Angle!$J$20+PM_Angle!$K$20*$C1182+PM_Angle!$L$20*$B1182</f>
      </c>
      <c r="AK1182" s="12">
        <f>IF(AJ1182&gt;0,IF(AJ1182&lt;=eco,alpha*fck*(1-(1-AJ1182/eco)^n),alpha*fck),0)</f>
      </c>
      <c r="AL1182" s="30">
        <f>PM_Angle!$J$21+PM_Angle!$K$21*$C1182+PM_Angle!$L$21*$B1182</f>
      </c>
      <c r="AM1182" s="12">
        <f>IF(AL1182&gt;0,IF(AL1182&lt;=eco,alpha*fck*(1-(1-AL1182/eco)^n),alpha*fck),0)</f>
      </c>
      <c r="AN1182" s="30">
        <f>PM_Angle!$J$22+PM_Angle!$K$22*$C1182+PM_Angle!$L$22*$B1182</f>
      </c>
      <c r="AO1182" s="12">
        <f>IF(AN1182&gt;0,IF(AN1182&lt;=eco,alpha*fck*(1-(1-AN1182/eco)^n),alpha*fck),0)</f>
      </c>
      <c r="AP1182" s="30">
        <f>PM_Angle!$J$23+PM_Angle!$K$23*$C1182+PM_Angle!$L$23*$B1182</f>
      </c>
      <c r="AQ1182" s="12">
        <f>IF(AP1182&gt;0,IF(AP1182&lt;=eco,alpha*fck*(1-(1-AP1182/eco)^n),alpha*fck),0)</f>
      </c>
      <c r="AR1182" s="30">
        <f>PM_Angle!$J$24+PM_Angle!$K$24*$C1182+PM_Angle!$L$24*$B1182</f>
      </c>
      <c r="AS1182" s="12">
        <f>IF(AR1182&gt;0,IF(AR1182&lt;=eco,alpha*fck*(1-(1-AR1182/eco)^n),alpha*fck),0)</f>
      </c>
      <c r="AT1182" s="30">
        <f>PM_Angle!$J$25+PM_Angle!$K$25*$C1182+PM_Angle!$L$25*$B1182</f>
      </c>
      <c r="AU1182" s="12">
        <f>IF(AT1182&gt;0,IF(AT1182&lt;=eco,alpha*fck*(1-(1-AT1182/eco)^n),alpha*fck),0)</f>
      </c>
    </row>
    <row r="1183" spans="1:47" x14ac:dyDescent="0.25">
      <c r="A1183">
        <f>Mesh!A1180</f>
      </c>
      <c r="B1183" s="12">
        <f>Mesh!B1180</f>
      </c>
      <c r="C1183" s="12">
        <f>Mesh!C1180</f>
      </c>
      <c r="D1183" s="12">
        <f>Mesh!D1180</f>
      </c>
      <c r="E1183" s="30">
        <f>INDEX(St_e0,Det+1)+INDEX(St_kx,Det+1)*C1183+INDEX(St_ky,Det+1)*B1183</f>
      </c>
      <c r="F1183" s="12">
        <f>IF(E1183&gt;0,IF(E1183&lt;=eco,alpha*fck*(1-(1-E1183/eco)^n),alpha*fck),0)</f>
      </c>
      <c r="G1183" s="11">
        <f>F1183*D1183</f>
      </c>
      <c r="H1183" s="11">
        <f>G1183*C1183</f>
      </c>
      <c r="I1183" s="11">
        <f>G1183*B1183</f>
      </c>
      <c r="J1183" s="30">
        <f>PM_Angle!$J$7+PM_Angle!$K$7*$C1183+PM_Angle!$L$7*$B1183</f>
      </c>
      <c r="K1183" s="12">
        <f>IF(J1183&gt;0,IF(J1183&lt;=eco,alpha*fck*(1-(1-J1183/eco)^n),alpha*fck),0)</f>
      </c>
      <c r="L1183" s="30">
        <f>PM_Angle!$J$8+PM_Angle!$K$8*$C1183+PM_Angle!$L$8*$B1183</f>
      </c>
      <c r="M1183" s="12">
        <f>IF(L1183&gt;0,IF(L1183&lt;=eco,alpha*fck*(1-(1-L1183/eco)^n),alpha*fck),0)</f>
      </c>
      <c r="N1183" s="30">
        <f>PM_Angle!$J$9+PM_Angle!$K$9*$C1183+PM_Angle!$L$9*$B1183</f>
      </c>
      <c r="O1183" s="12">
        <f>IF(N1183&gt;0,IF(N1183&lt;=eco,alpha*fck*(1-(1-N1183/eco)^n),alpha*fck),0)</f>
      </c>
      <c r="P1183" s="30">
        <f>PM_Angle!$J$10+PM_Angle!$K$10*$C1183+PM_Angle!$L$10*$B1183</f>
      </c>
      <c r="Q1183" s="12">
        <f>IF(P1183&gt;0,IF(P1183&lt;=eco,alpha*fck*(1-(1-P1183/eco)^n),alpha*fck),0)</f>
      </c>
      <c r="R1183" s="30">
        <f>PM_Angle!$J$11+PM_Angle!$K$11*$C1183+PM_Angle!$L$11*$B1183</f>
      </c>
      <c r="S1183" s="12">
        <f>IF(R1183&gt;0,IF(R1183&lt;=eco,alpha*fck*(1-(1-R1183/eco)^n),alpha*fck),0)</f>
      </c>
      <c r="T1183" s="30">
        <f>PM_Angle!$J$12+PM_Angle!$K$12*$C1183+PM_Angle!$L$12*$B1183</f>
      </c>
      <c r="U1183" s="12">
        <f>IF(T1183&gt;0,IF(T1183&lt;=eco,alpha*fck*(1-(1-T1183/eco)^n),alpha*fck),0)</f>
      </c>
      <c r="V1183" s="30">
        <f>PM_Angle!$J$13+PM_Angle!$K$13*$C1183+PM_Angle!$L$13*$B1183</f>
      </c>
      <c r="W1183" s="12">
        <f>IF(V1183&gt;0,IF(V1183&lt;=eco,alpha*fck*(1-(1-V1183/eco)^n),alpha*fck),0)</f>
      </c>
      <c r="X1183" s="30">
        <f>PM_Angle!$J$14+PM_Angle!$K$14*$C1183+PM_Angle!$L$14*$B1183</f>
      </c>
      <c r="Y1183" s="12">
        <f>IF(X1183&gt;0,IF(X1183&lt;=eco,alpha*fck*(1-(1-X1183/eco)^n),alpha*fck),0)</f>
      </c>
      <c r="Z1183" s="30">
        <f>PM_Angle!$J$15+PM_Angle!$K$15*$C1183+PM_Angle!$L$15*$B1183</f>
      </c>
      <c r="AA1183" s="12">
        <f>IF(Z1183&gt;0,IF(Z1183&lt;=eco,alpha*fck*(1-(1-Z1183/eco)^n),alpha*fck),0)</f>
      </c>
      <c r="AB1183" s="30">
        <f>PM_Angle!$J$16+PM_Angle!$K$16*$C1183+PM_Angle!$L$16*$B1183</f>
      </c>
      <c r="AC1183" s="12">
        <f>IF(AB1183&gt;0,IF(AB1183&lt;=eco,alpha*fck*(1-(1-AB1183/eco)^n),alpha*fck),0)</f>
      </c>
      <c r="AD1183" s="30">
        <f>PM_Angle!$J$17+PM_Angle!$K$17*$C1183+PM_Angle!$L$17*$B1183</f>
      </c>
      <c r="AE1183" s="12">
        <f>IF(AD1183&gt;0,IF(AD1183&lt;=eco,alpha*fck*(1-(1-AD1183/eco)^n),alpha*fck),0)</f>
      </c>
      <c r="AF1183" s="30">
        <f>PM_Angle!$J$18+PM_Angle!$K$18*$C1183+PM_Angle!$L$18*$B1183</f>
      </c>
      <c r="AG1183" s="12">
        <f>IF(AF1183&gt;0,IF(AF1183&lt;=eco,alpha*fck*(1-(1-AF1183/eco)^n),alpha*fck),0)</f>
      </c>
      <c r="AH1183" s="30">
        <f>PM_Angle!$J$19+PM_Angle!$K$19*$C1183+PM_Angle!$L$19*$B1183</f>
      </c>
      <c r="AI1183" s="12">
        <f>IF(AH1183&gt;0,IF(AH1183&lt;=eco,alpha*fck*(1-(1-AH1183/eco)^n),alpha*fck),0)</f>
      </c>
      <c r="AJ1183" s="30">
        <f>PM_Angle!$J$20+PM_Angle!$K$20*$C1183+PM_Angle!$L$20*$B1183</f>
      </c>
      <c r="AK1183" s="12">
        <f>IF(AJ1183&gt;0,IF(AJ1183&lt;=eco,alpha*fck*(1-(1-AJ1183/eco)^n),alpha*fck),0)</f>
      </c>
      <c r="AL1183" s="30">
        <f>PM_Angle!$J$21+PM_Angle!$K$21*$C1183+PM_Angle!$L$21*$B1183</f>
      </c>
      <c r="AM1183" s="12">
        <f>IF(AL1183&gt;0,IF(AL1183&lt;=eco,alpha*fck*(1-(1-AL1183/eco)^n),alpha*fck),0)</f>
      </c>
      <c r="AN1183" s="30">
        <f>PM_Angle!$J$22+PM_Angle!$K$22*$C1183+PM_Angle!$L$22*$B1183</f>
      </c>
      <c r="AO1183" s="12">
        <f>IF(AN1183&gt;0,IF(AN1183&lt;=eco,alpha*fck*(1-(1-AN1183/eco)^n),alpha*fck),0)</f>
      </c>
      <c r="AP1183" s="30">
        <f>PM_Angle!$J$23+PM_Angle!$K$23*$C1183+PM_Angle!$L$23*$B1183</f>
      </c>
      <c r="AQ1183" s="12">
        <f>IF(AP1183&gt;0,IF(AP1183&lt;=eco,alpha*fck*(1-(1-AP1183/eco)^n),alpha*fck),0)</f>
      </c>
      <c r="AR1183" s="30">
        <f>PM_Angle!$J$24+PM_Angle!$K$24*$C1183+PM_Angle!$L$24*$B1183</f>
      </c>
      <c r="AS1183" s="12">
        <f>IF(AR1183&gt;0,IF(AR1183&lt;=eco,alpha*fck*(1-(1-AR1183/eco)^n),alpha*fck),0)</f>
      </c>
      <c r="AT1183" s="30">
        <f>PM_Angle!$J$25+PM_Angle!$K$25*$C1183+PM_Angle!$L$25*$B1183</f>
      </c>
      <c r="AU1183" s="12">
        <f>IF(AT1183&gt;0,IF(AT1183&lt;=eco,alpha*fck*(1-(1-AT1183/eco)^n),alpha*fck),0)</f>
      </c>
    </row>
    <row r="1184" spans="1:47" x14ac:dyDescent="0.25">
      <c r="A1184">
        <f>Mesh!A1181</f>
      </c>
      <c r="B1184" s="12">
        <f>Mesh!B1181</f>
      </c>
      <c r="C1184" s="12">
        <f>Mesh!C1181</f>
      </c>
      <c r="D1184" s="12">
        <f>Mesh!D1181</f>
      </c>
      <c r="E1184" s="30">
        <f>INDEX(St_e0,Det+1)+INDEX(St_kx,Det+1)*C1184+INDEX(St_ky,Det+1)*B1184</f>
      </c>
      <c r="F1184" s="12">
        <f>IF(E1184&gt;0,IF(E1184&lt;=eco,alpha*fck*(1-(1-E1184/eco)^n),alpha*fck),0)</f>
      </c>
      <c r="G1184" s="11">
        <f>F1184*D1184</f>
      </c>
      <c r="H1184" s="11">
        <f>G1184*C1184</f>
      </c>
      <c r="I1184" s="11">
        <f>G1184*B1184</f>
      </c>
      <c r="J1184" s="30">
        <f>PM_Angle!$J$7+PM_Angle!$K$7*$C1184+PM_Angle!$L$7*$B1184</f>
      </c>
      <c r="K1184" s="12">
        <f>IF(J1184&gt;0,IF(J1184&lt;=eco,alpha*fck*(1-(1-J1184/eco)^n),alpha*fck),0)</f>
      </c>
      <c r="L1184" s="30">
        <f>PM_Angle!$J$8+PM_Angle!$K$8*$C1184+PM_Angle!$L$8*$B1184</f>
      </c>
      <c r="M1184" s="12">
        <f>IF(L1184&gt;0,IF(L1184&lt;=eco,alpha*fck*(1-(1-L1184/eco)^n),alpha*fck),0)</f>
      </c>
      <c r="N1184" s="30">
        <f>PM_Angle!$J$9+PM_Angle!$K$9*$C1184+PM_Angle!$L$9*$B1184</f>
      </c>
      <c r="O1184" s="12">
        <f>IF(N1184&gt;0,IF(N1184&lt;=eco,alpha*fck*(1-(1-N1184/eco)^n),alpha*fck),0)</f>
      </c>
      <c r="P1184" s="30">
        <f>PM_Angle!$J$10+PM_Angle!$K$10*$C1184+PM_Angle!$L$10*$B1184</f>
      </c>
      <c r="Q1184" s="12">
        <f>IF(P1184&gt;0,IF(P1184&lt;=eco,alpha*fck*(1-(1-P1184/eco)^n),alpha*fck),0)</f>
      </c>
      <c r="R1184" s="30">
        <f>PM_Angle!$J$11+PM_Angle!$K$11*$C1184+PM_Angle!$L$11*$B1184</f>
      </c>
      <c r="S1184" s="12">
        <f>IF(R1184&gt;0,IF(R1184&lt;=eco,alpha*fck*(1-(1-R1184/eco)^n),alpha*fck),0)</f>
      </c>
      <c r="T1184" s="30">
        <f>PM_Angle!$J$12+PM_Angle!$K$12*$C1184+PM_Angle!$L$12*$B1184</f>
      </c>
      <c r="U1184" s="12">
        <f>IF(T1184&gt;0,IF(T1184&lt;=eco,alpha*fck*(1-(1-T1184/eco)^n),alpha*fck),0)</f>
      </c>
      <c r="V1184" s="30">
        <f>PM_Angle!$J$13+PM_Angle!$K$13*$C1184+PM_Angle!$L$13*$B1184</f>
      </c>
      <c r="W1184" s="12">
        <f>IF(V1184&gt;0,IF(V1184&lt;=eco,alpha*fck*(1-(1-V1184/eco)^n),alpha*fck),0)</f>
      </c>
      <c r="X1184" s="30">
        <f>PM_Angle!$J$14+PM_Angle!$K$14*$C1184+PM_Angle!$L$14*$B1184</f>
      </c>
      <c r="Y1184" s="12">
        <f>IF(X1184&gt;0,IF(X1184&lt;=eco,alpha*fck*(1-(1-X1184/eco)^n),alpha*fck),0)</f>
      </c>
      <c r="Z1184" s="30">
        <f>PM_Angle!$J$15+PM_Angle!$K$15*$C1184+PM_Angle!$L$15*$B1184</f>
      </c>
      <c r="AA1184" s="12">
        <f>IF(Z1184&gt;0,IF(Z1184&lt;=eco,alpha*fck*(1-(1-Z1184/eco)^n),alpha*fck),0)</f>
      </c>
      <c r="AB1184" s="30">
        <f>PM_Angle!$J$16+PM_Angle!$K$16*$C1184+PM_Angle!$L$16*$B1184</f>
      </c>
      <c r="AC1184" s="12">
        <f>IF(AB1184&gt;0,IF(AB1184&lt;=eco,alpha*fck*(1-(1-AB1184/eco)^n),alpha*fck),0)</f>
      </c>
      <c r="AD1184" s="30">
        <f>PM_Angle!$J$17+PM_Angle!$K$17*$C1184+PM_Angle!$L$17*$B1184</f>
      </c>
      <c r="AE1184" s="12">
        <f>IF(AD1184&gt;0,IF(AD1184&lt;=eco,alpha*fck*(1-(1-AD1184/eco)^n),alpha*fck),0)</f>
      </c>
      <c r="AF1184" s="30">
        <f>PM_Angle!$J$18+PM_Angle!$K$18*$C1184+PM_Angle!$L$18*$B1184</f>
      </c>
      <c r="AG1184" s="12">
        <f>IF(AF1184&gt;0,IF(AF1184&lt;=eco,alpha*fck*(1-(1-AF1184/eco)^n),alpha*fck),0)</f>
      </c>
      <c r="AH1184" s="30">
        <f>PM_Angle!$J$19+PM_Angle!$K$19*$C1184+PM_Angle!$L$19*$B1184</f>
      </c>
      <c r="AI1184" s="12">
        <f>IF(AH1184&gt;0,IF(AH1184&lt;=eco,alpha*fck*(1-(1-AH1184/eco)^n),alpha*fck),0)</f>
      </c>
      <c r="AJ1184" s="30">
        <f>PM_Angle!$J$20+PM_Angle!$K$20*$C1184+PM_Angle!$L$20*$B1184</f>
      </c>
      <c r="AK1184" s="12">
        <f>IF(AJ1184&gt;0,IF(AJ1184&lt;=eco,alpha*fck*(1-(1-AJ1184/eco)^n),alpha*fck),0)</f>
      </c>
      <c r="AL1184" s="30">
        <f>PM_Angle!$J$21+PM_Angle!$K$21*$C1184+PM_Angle!$L$21*$B1184</f>
      </c>
      <c r="AM1184" s="12">
        <f>IF(AL1184&gt;0,IF(AL1184&lt;=eco,alpha*fck*(1-(1-AL1184/eco)^n),alpha*fck),0)</f>
      </c>
      <c r="AN1184" s="30">
        <f>PM_Angle!$J$22+PM_Angle!$K$22*$C1184+PM_Angle!$L$22*$B1184</f>
      </c>
      <c r="AO1184" s="12">
        <f>IF(AN1184&gt;0,IF(AN1184&lt;=eco,alpha*fck*(1-(1-AN1184/eco)^n),alpha*fck),0)</f>
      </c>
      <c r="AP1184" s="30">
        <f>PM_Angle!$J$23+PM_Angle!$K$23*$C1184+PM_Angle!$L$23*$B1184</f>
      </c>
      <c r="AQ1184" s="12">
        <f>IF(AP1184&gt;0,IF(AP1184&lt;=eco,alpha*fck*(1-(1-AP1184/eco)^n),alpha*fck),0)</f>
      </c>
      <c r="AR1184" s="30">
        <f>PM_Angle!$J$24+PM_Angle!$K$24*$C1184+PM_Angle!$L$24*$B1184</f>
      </c>
      <c r="AS1184" s="12">
        <f>IF(AR1184&gt;0,IF(AR1184&lt;=eco,alpha*fck*(1-(1-AR1184/eco)^n),alpha*fck),0)</f>
      </c>
      <c r="AT1184" s="30">
        <f>PM_Angle!$J$25+PM_Angle!$K$25*$C1184+PM_Angle!$L$25*$B1184</f>
      </c>
      <c r="AU1184" s="12">
        <f>IF(AT1184&gt;0,IF(AT1184&lt;=eco,alpha*fck*(1-(1-AT1184/eco)^n),alpha*fck),0)</f>
      </c>
    </row>
    <row r="1185" spans="1:47" x14ac:dyDescent="0.25">
      <c r="A1185">
        <f>Mesh!A1182</f>
      </c>
      <c r="B1185" s="12">
        <f>Mesh!B1182</f>
      </c>
      <c r="C1185" s="12">
        <f>Mesh!C1182</f>
      </c>
      <c r="D1185" s="12">
        <f>Mesh!D1182</f>
      </c>
      <c r="E1185" s="30">
        <f>INDEX(St_e0,Det+1)+INDEX(St_kx,Det+1)*C1185+INDEX(St_ky,Det+1)*B1185</f>
      </c>
      <c r="F1185" s="12">
        <f>IF(E1185&gt;0,IF(E1185&lt;=eco,alpha*fck*(1-(1-E1185/eco)^n),alpha*fck),0)</f>
      </c>
      <c r="G1185" s="11">
        <f>F1185*D1185</f>
      </c>
      <c r="H1185" s="11">
        <f>G1185*C1185</f>
      </c>
      <c r="I1185" s="11">
        <f>G1185*B1185</f>
      </c>
      <c r="J1185" s="30">
        <f>PM_Angle!$J$7+PM_Angle!$K$7*$C1185+PM_Angle!$L$7*$B1185</f>
      </c>
      <c r="K1185" s="12">
        <f>IF(J1185&gt;0,IF(J1185&lt;=eco,alpha*fck*(1-(1-J1185/eco)^n),alpha*fck),0)</f>
      </c>
      <c r="L1185" s="30">
        <f>PM_Angle!$J$8+PM_Angle!$K$8*$C1185+PM_Angle!$L$8*$B1185</f>
      </c>
      <c r="M1185" s="12">
        <f>IF(L1185&gt;0,IF(L1185&lt;=eco,alpha*fck*(1-(1-L1185/eco)^n),alpha*fck),0)</f>
      </c>
      <c r="N1185" s="30">
        <f>PM_Angle!$J$9+PM_Angle!$K$9*$C1185+PM_Angle!$L$9*$B1185</f>
      </c>
      <c r="O1185" s="12">
        <f>IF(N1185&gt;0,IF(N1185&lt;=eco,alpha*fck*(1-(1-N1185/eco)^n),alpha*fck),0)</f>
      </c>
      <c r="P1185" s="30">
        <f>PM_Angle!$J$10+PM_Angle!$K$10*$C1185+PM_Angle!$L$10*$B1185</f>
      </c>
      <c r="Q1185" s="12">
        <f>IF(P1185&gt;0,IF(P1185&lt;=eco,alpha*fck*(1-(1-P1185/eco)^n),alpha*fck),0)</f>
      </c>
      <c r="R1185" s="30">
        <f>PM_Angle!$J$11+PM_Angle!$K$11*$C1185+PM_Angle!$L$11*$B1185</f>
      </c>
      <c r="S1185" s="12">
        <f>IF(R1185&gt;0,IF(R1185&lt;=eco,alpha*fck*(1-(1-R1185/eco)^n),alpha*fck),0)</f>
      </c>
      <c r="T1185" s="30">
        <f>PM_Angle!$J$12+PM_Angle!$K$12*$C1185+PM_Angle!$L$12*$B1185</f>
      </c>
      <c r="U1185" s="12">
        <f>IF(T1185&gt;0,IF(T1185&lt;=eco,alpha*fck*(1-(1-T1185/eco)^n),alpha*fck),0)</f>
      </c>
      <c r="V1185" s="30">
        <f>PM_Angle!$J$13+PM_Angle!$K$13*$C1185+PM_Angle!$L$13*$B1185</f>
      </c>
      <c r="W1185" s="12">
        <f>IF(V1185&gt;0,IF(V1185&lt;=eco,alpha*fck*(1-(1-V1185/eco)^n),alpha*fck),0)</f>
      </c>
      <c r="X1185" s="30">
        <f>PM_Angle!$J$14+PM_Angle!$K$14*$C1185+PM_Angle!$L$14*$B1185</f>
      </c>
      <c r="Y1185" s="12">
        <f>IF(X1185&gt;0,IF(X1185&lt;=eco,alpha*fck*(1-(1-X1185/eco)^n),alpha*fck),0)</f>
      </c>
      <c r="Z1185" s="30">
        <f>PM_Angle!$J$15+PM_Angle!$K$15*$C1185+PM_Angle!$L$15*$B1185</f>
      </c>
      <c r="AA1185" s="12">
        <f>IF(Z1185&gt;0,IF(Z1185&lt;=eco,alpha*fck*(1-(1-Z1185/eco)^n),alpha*fck),0)</f>
      </c>
      <c r="AB1185" s="30">
        <f>PM_Angle!$J$16+PM_Angle!$K$16*$C1185+PM_Angle!$L$16*$B1185</f>
      </c>
      <c r="AC1185" s="12">
        <f>IF(AB1185&gt;0,IF(AB1185&lt;=eco,alpha*fck*(1-(1-AB1185/eco)^n),alpha*fck),0)</f>
      </c>
      <c r="AD1185" s="30">
        <f>PM_Angle!$J$17+PM_Angle!$K$17*$C1185+PM_Angle!$L$17*$B1185</f>
      </c>
      <c r="AE1185" s="12">
        <f>IF(AD1185&gt;0,IF(AD1185&lt;=eco,alpha*fck*(1-(1-AD1185/eco)^n),alpha*fck),0)</f>
      </c>
      <c r="AF1185" s="30">
        <f>PM_Angle!$J$18+PM_Angle!$K$18*$C1185+PM_Angle!$L$18*$B1185</f>
      </c>
      <c r="AG1185" s="12">
        <f>IF(AF1185&gt;0,IF(AF1185&lt;=eco,alpha*fck*(1-(1-AF1185/eco)^n),alpha*fck),0)</f>
      </c>
      <c r="AH1185" s="30">
        <f>PM_Angle!$J$19+PM_Angle!$K$19*$C1185+PM_Angle!$L$19*$B1185</f>
      </c>
      <c r="AI1185" s="12">
        <f>IF(AH1185&gt;0,IF(AH1185&lt;=eco,alpha*fck*(1-(1-AH1185/eco)^n),alpha*fck),0)</f>
      </c>
      <c r="AJ1185" s="30">
        <f>PM_Angle!$J$20+PM_Angle!$K$20*$C1185+PM_Angle!$L$20*$B1185</f>
      </c>
      <c r="AK1185" s="12">
        <f>IF(AJ1185&gt;0,IF(AJ1185&lt;=eco,alpha*fck*(1-(1-AJ1185/eco)^n),alpha*fck),0)</f>
      </c>
      <c r="AL1185" s="30">
        <f>PM_Angle!$J$21+PM_Angle!$K$21*$C1185+PM_Angle!$L$21*$B1185</f>
      </c>
      <c r="AM1185" s="12">
        <f>IF(AL1185&gt;0,IF(AL1185&lt;=eco,alpha*fck*(1-(1-AL1185/eco)^n),alpha*fck),0)</f>
      </c>
      <c r="AN1185" s="30">
        <f>PM_Angle!$J$22+PM_Angle!$K$22*$C1185+PM_Angle!$L$22*$B1185</f>
      </c>
      <c r="AO1185" s="12">
        <f>IF(AN1185&gt;0,IF(AN1185&lt;=eco,alpha*fck*(1-(1-AN1185/eco)^n),alpha*fck),0)</f>
      </c>
      <c r="AP1185" s="30">
        <f>PM_Angle!$J$23+PM_Angle!$K$23*$C1185+PM_Angle!$L$23*$B1185</f>
      </c>
      <c r="AQ1185" s="12">
        <f>IF(AP1185&gt;0,IF(AP1185&lt;=eco,alpha*fck*(1-(1-AP1185/eco)^n),alpha*fck),0)</f>
      </c>
      <c r="AR1185" s="30">
        <f>PM_Angle!$J$24+PM_Angle!$K$24*$C1185+PM_Angle!$L$24*$B1185</f>
      </c>
      <c r="AS1185" s="12">
        <f>IF(AR1185&gt;0,IF(AR1185&lt;=eco,alpha*fck*(1-(1-AR1185/eco)^n),alpha*fck),0)</f>
      </c>
      <c r="AT1185" s="30">
        <f>PM_Angle!$J$25+PM_Angle!$K$25*$C1185+PM_Angle!$L$25*$B1185</f>
      </c>
      <c r="AU1185" s="12">
        <f>IF(AT1185&gt;0,IF(AT1185&lt;=eco,alpha*fck*(1-(1-AT1185/eco)^n),alpha*fck),0)</f>
      </c>
    </row>
    <row r="1186" spans="1:47" x14ac:dyDescent="0.25">
      <c r="A1186">
        <f>Mesh!A1183</f>
      </c>
      <c r="B1186" s="12">
        <f>Mesh!B1183</f>
      </c>
      <c r="C1186" s="12">
        <f>Mesh!C1183</f>
      </c>
      <c r="D1186" s="12">
        <f>Mesh!D1183</f>
      </c>
      <c r="E1186" s="30">
        <f>INDEX(St_e0,Det+1)+INDEX(St_kx,Det+1)*C1186+INDEX(St_ky,Det+1)*B1186</f>
      </c>
      <c r="F1186" s="12">
        <f>IF(E1186&gt;0,IF(E1186&lt;=eco,alpha*fck*(1-(1-E1186/eco)^n),alpha*fck),0)</f>
      </c>
      <c r="G1186" s="11">
        <f>F1186*D1186</f>
      </c>
      <c r="H1186" s="11">
        <f>G1186*C1186</f>
      </c>
      <c r="I1186" s="11">
        <f>G1186*B1186</f>
      </c>
      <c r="J1186" s="30">
        <f>PM_Angle!$J$7+PM_Angle!$K$7*$C1186+PM_Angle!$L$7*$B1186</f>
      </c>
      <c r="K1186" s="12">
        <f>IF(J1186&gt;0,IF(J1186&lt;=eco,alpha*fck*(1-(1-J1186/eco)^n),alpha*fck),0)</f>
      </c>
      <c r="L1186" s="30">
        <f>PM_Angle!$J$8+PM_Angle!$K$8*$C1186+PM_Angle!$L$8*$B1186</f>
      </c>
      <c r="M1186" s="12">
        <f>IF(L1186&gt;0,IF(L1186&lt;=eco,alpha*fck*(1-(1-L1186/eco)^n),alpha*fck),0)</f>
      </c>
      <c r="N1186" s="30">
        <f>PM_Angle!$J$9+PM_Angle!$K$9*$C1186+PM_Angle!$L$9*$B1186</f>
      </c>
      <c r="O1186" s="12">
        <f>IF(N1186&gt;0,IF(N1186&lt;=eco,alpha*fck*(1-(1-N1186/eco)^n),alpha*fck),0)</f>
      </c>
      <c r="P1186" s="30">
        <f>PM_Angle!$J$10+PM_Angle!$K$10*$C1186+PM_Angle!$L$10*$B1186</f>
      </c>
      <c r="Q1186" s="12">
        <f>IF(P1186&gt;0,IF(P1186&lt;=eco,alpha*fck*(1-(1-P1186/eco)^n),alpha*fck),0)</f>
      </c>
      <c r="R1186" s="30">
        <f>PM_Angle!$J$11+PM_Angle!$K$11*$C1186+PM_Angle!$L$11*$B1186</f>
      </c>
      <c r="S1186" s="12">
        <f>IF(R1186&gt;0,IF(R1186&lt;=eco,alpha*fck*(1-(1-R1186/eco)^n),alpha*fck),0)</f>
      </c>
      <c r="T1186" s="30">
        <f>PM_Angle!$J$12+PM_Angle!$K$12*$C1186+PM_Angle!$L$12*$B1186</f>
      </c>
      <c r="U1186" s="12">
        <f>IF(T1186&gt;0,IF(T1186&lt;=eco,alpha*fck*(1-(1-T1186/eco)^n),alpha*fck),0)</f>
      </c>
      <c r="V1186" s="30">
        <f>PM_Angle!$J$13+PM_Angle!$K$13*$C1186+PM_Angle!$L$13*$B1186</f>
      </c>
      <c r="W1186" s="12">
        <f>IF(V1186&gt;0,IF(V1186&lt;=eco,alpha*fck*(1-(1-V1186/eco)^n),alpha*fck),0)</f>
      </c>
      <c r="X1186" s="30">
        <f>PM_Angle!$J$14+PM_Angle!$K$14*$C1186+PM_Angle!$L$14*$B1186</f>
      </c>
      <c r="Y1186" s="12">
        <f>IF(X1186&gt;0,IF(X1186&lt;=eco,alpha*fck*(1-(1-X1186/eco)^n),alpha*fck),0)</f>
      </c>
      <c r="Z1186" s="30">
        <f>PM_Angle!$J$15+PM_Angle!$K$15*$C1186+PM_Angle!$L$15*$B1186</f>
      </c>
      <c r="AA1186" s="12">
        <f>IF(Z1186&gt;0,IF(Z1186&lt;=eco,alpha*fck*(1-(1-Z1186/eco)^n),alpha*fck),0)</f>
      </c>
      <c r="AB1186" s="30">
        <f>PM_Angle!$J$16+PM_Angle!$K$16*$C1186+PM_Angle!$L$16*$B1186</f>
      </c>
      <c r="AC1186" s="12">
        <f>IF(AB1186&gt;0,IF(AB1186&lt;=eco,alpha*fck*(1-(1-AB1186/eco)^n),alpha*fck),0)</f>
      </c>
      <c r="AD1186" s="30">
        <f>PM_Angle!$J$17+PM_Angle!$K$17*$C1186+PM_Angle!$L$17*$B1186</f>
      </c>
      <c r="AE1186" s="12">
        <f>IF(AD1186&gt;0,IF(AD1186&lt;=eco,alpha*fck*(1-(1-AD1186/eco)^n),alpha*fck),0)</f>
      </c>
      <c r="AF1186" s="30">
        <f>PM_Angle!$J$18+PM_Angle!$K$18*$C1186+PM_Angle!$L$18*$B1186</f>
      </c>
      <c r="AG1186" s="12">
        <f>IF(AF1186&gt;0,IF(AF1186&lt;=eco,alpha*fck*(1-(1-AF1186/eco)^n),alpha*fck),0)</f>
      </c>
      <c r="AH1186" s="30">
        <f>PM_Angle!$J$19+PM_Angle!$K$19*$C1186+PM_Angle!$L$19*$B1186</f>
      </c>
      <c r="AI1186" s="12">
        <f>IF(AH1186&gt;0,IF(AH1186&lt;=eco,alpha*fck*(1-(1-AH1186/eco)^n),alpha*fck),0)</f>
      </c>
      <c r="AJ1186" s="30">
        <f>PM_Angle!$J$20+PM_Angle!$K$20*$C1186+PM_Angle!$L$20*$B1186</f>
      </c>
      <c r="AK1186" s="12">
        <f>IF(AJ1186&gt;0,IF(AJ1186&lt;=eco,alpha*fck*(1-(1-AJ1186/eco)^n),alpha*fck),0)</f>
      </c>
      <c r="AL1186" s="30">
        <f>PM_Angle!$J$21+PM_Angle!$K$21*$C1186+PM_Angle!$L$21*$B1186</f>
      </c>
      <c r="AM1186" s="12">
        <f>IF(AL1186&gt;0,IF(AL1186&lt;=eco,alpha*fck*(1-(1-AL1186/eco)^n),alpha*fck),0)</f>
      </c>
      <c r="AN1186" s="30">
        <f>PM_Angle!$J$22+PM_Angle!$K$22*$C1186+PM_Angle!$L$22*$B1186</f>
      </c>
      <c r="AO1186" s="12">
        <f>IF(AN1186&gt;0,IF(AN1186&lt;=eco,alpha*fck*(1-(1-AN1186/eco)^n),alpha*fck),0)</f>
      </c>
      <c r="AP1186" s="30">
        <f>PM_Angle!$J$23+PM_Angle!$K$23*$C1186+PM_Angle!$L$23*$B1186</f>
      </c>
      <c r="AQ1186" s="12">
        <f>IF(AP1186&gt;0,IF(AP1186&lt;=eco,alpha*fck*(1-(1-AP1186/eco)^n),alpha*fck),0)</f>
      </c>
      <c r="AR1186" s="30">
        <f>PM_Angle!$J$24+PM_Angle!$K$24*$C1186+PM_Angle!$L$24*$B1186</f>
      </c>
      <c r="AS1186" s="12">
        <f>IF(AR1186&gt;0,IF(AR1186&lt;=eco,alpha*fck*(1-(1-AR1186/eco)^n),alpha*fck),0)</f>
      </c>
      <c r="AT1186" s="30">
        <f>PM_Angle!$J$25+PM_Angle!$K$25*$C1186+PM_Angle!$L$25*$B1186</f>
      </c>
      <c r="AU1186" s="12">
        <f>IF(AT1186&gt;0,IF(AT1186&lt;=eco,alpha*fck*(1-(1-AT1186/eco)^n),alpha*fck),0)</f>
      </c>
    </row>
    <row r="1187" spans="1:47" x14ac:dyDescent="0.25">
      <c r="A1187">
        <f>Mesh!A1184</f>
      </c>
      <c r="B1187" s="12">
        <f>Mesh!B1184</f>
      </c>
      <c r="C1187" s="12">
        <f>Mesh!C1184</f>
      </c>
      <c r="D1187" s="12">
        <f>Mesh!D1184</f>
      </c>
      <c r="E1187" s="30">
        <f>INDEX(St_e0,Det+1)+INDEX(St_kx,Det+1)*C1187+INDEX(St_ky,Det+1)*B1187</f>
      </c>
      <c r="F1187" s="12">
        <f>IF(E1187&gt;0,IF(E1187&lt;=eco,alpha*fck*(1-(1-E1187/eco)^n),alpha*fck),0)</f>
      </c>
      <c r="G1187" s="11">
        <f>F1187*D1187</f>
      </c>
      <c r="H1187" s="11">
        <f>G1187*C1187</f>
      </c>
      <c r="I1187" s="11">
        <f>G1187*B1187</f>
      </c>
      <c r="J1187" s="30">
        <f>PM_Angle!$J$7+PM_Angle!$K$7*$C1187+PM_Angle!$L$7*$B1187</f>
      </c>
      <c r="K1187" s="12">
        <f>IF(J1187&gt;0,IF(J1187&lt;=eco,alpha*fck*(1-(1-J1187/eco)^n),alpha*fck),0)</f>
      </c>
      <c r="L1187" s="30">
        <f>PM_Angle!$J$8+PM_Angle!$K$8*$C1187+PM_Angle!$L$8*$B1187</f>
      </c>
      <c r="M1187" s="12">
        <f>IF(L1187&gt;0,IF(L1187&lt;=eco,alpha*fck*(1-(1-L1187/eco)^n),alpha*fck),0)</f>
      </c>
      <c r="N1187" s="30">
        <f>PM_Angle!$J$9+PM_Angle!$K$9*$C1187+PM_Angle!$L$9*$B1187</f>
      </c>
      <c r="O1187" s="12">
        <f>IF(N1187&gt;0,IF(N1187&lt;=eco,alpha*fck*(1-(1-N1187/eco)^n),alpha*fck),0)</f>
      </c>
      <c r="P1187" s="30">
        <f>PM_Angle!$J$10+PM_Angle!$K$10*$C1187+PM_Angle!$L$10*$B1187</f>
      </c>
      <c r="Q1187" s="12">
        <f>IF(P1187&gt;0,IF(P1187&lt;=eco,alpha*fck*(1-(1-P1187/eco)^n),alpha*fck),0)</f>
      </c>
      <c r="R1187" s="30">
        <f>PM_Angle!$J$11+PM_Angle!$K$11*$C1187+PM_Angle!$L$11*$B1187</f>
      </c>
      <c r="S1187" s="12">
        <f>IF(R1187&gt;0,IF(R1187&lt;=eco,alpha*fck*(1-(1-R1187/eco)^n),alpha*fck),0)</f>
      </c>
      <c r="T1187" s="30">
        <f>PM_Angle!$J$12+PM_Angle!$K$12*$C1187+PM_Angle!$L$12*$B1187</f>
      </c>
      <c r="U1187" s="12">
        <f>IF(T1187&gt;0,IF(T1187&lt;=eco,alpha*fck*(1-(1-T1187/eco)^n),alpha*fck),0)</f>
      </c>
      <c r="V1187" s="30">
        <f>PM_Angle!$J$13+PM_Angle!$K$13*$C1187+PM_Angle!$L$13*$B1187</f>
      </c>
      <c r="W1187" s="12">
        <f>IF(V1187&gt;0,IF(V1187&lt;=eco,alpha*fck*(1-(1-V1187/eco)^n),alpha*fck),0)</f>
      </c>
      <c r="X1187" s="30">
        <f>PM_Angle!$J$14+PM_Angle!$K$14*$C1187+PM_Angle!$L$14*$B1187</f>
      </c>
      <c r="Y1187" s="12">
        <f>IF(X1187&gt;0,IF(X1187&lt;=eco,alpha*fck*(1-(1-X1187/eco)^n),alpha*fck),0)</f>
      </c>
      <c r="Z1187" s="30">
        <f>PM_Angle!$J$15+PM_Angle!$K$15*$C1187+PM_Angle!$L$15*$B1187</f>
      </c>
      <c r="AA1187" s="12">
        <f>IF(Z1187&gt;0,IF(Z1187&lt;=eco,alpha*fck*(1-(1-Z1187/eco)^n),alpha*fck),0)</f>
      </c>
      <c r="AB1187" s="30">
        <f>PM_Angle!$J$16+PM_Angle!$K$16*$C1187+PM_Angle!$L$16*$B1187</f>
      </c>
      <c r="AC1187" s="12">
        <f>IF(AB1187&gt;0,IF(AB1187&lt;=eco,alpha*fck*(1-(1-AB1187/eco)^n),alpha*fck),0)</f>
      </c>
      <c r="AD1187" s="30">
        <f>PM_Angle!$J$17+PM_Angle!$K$17*$C1187+PM_Angle!$L$17*$B1187</f>
      </c>
      <c r="AE1187" s="12">
        <f>IF(AD1187&gt;0,IF(AD1187&lt;=eco,alpha*fck*(1-(1-AD1187/eco)^n),alpha*fck),0)</f>
      </c>
      <c r="AF1187" s="30">
        <f>PM_Angle!$J$18+PM_Angle!$K$18*$C1187+PM_Angle!$L$18*$B1187</f>
      </c>
      <c r="AG1187" s="12">
        <f>IF(AF1187&gt;0,IF(AF1187&lt;=eco,alpha*fck*(1-(1-AF1187/eco)^n),alpha*fck),0)</f>
      </c>
      <c r="AH1187" s="30">
        <f>PM_Angle!$J$19+PM_Angle!$K$19*$C1187+PM_Angle!$L$19*$B1187</f>
      </c>
      <c r="AI1187" s="12">
        <f>IF(AH1187&gt;0,IF(AH1187&lt;=eco,alpha*fck*(1-(1-AH1187/eco)^n),alpha*fck),0)</f>
      </c>
      <c r="AJ1187" s="30">
        <f>PM_Angle!$J$20+PM_Angle!$K$20*$C1187+PM_Angle!$L$20*$B1187</f>
      </c>
      <c r="AK1187" s="12">
        <f>IF(AJ1187&gt;0,IF(AJ1187&lt;=eco,alpha*fck*(1-(1-AJ1187/eco)^n),alpha*fck),0)</f>
      </c>
      <c r="AL1187" s="30">
        <f>PM_Angle!$J$21+PM_Angle!$K$21*$C1187+PM_Angle!$L$21*$B1187</f>
      </c>
      <c r="AM1187" s="12">
        <f>IF(AL1187&gt;0,IF(AL1187&lt;=eco,alpha*fck*(1-(1-AL1187/eco)^n),alpha*fck),0)</f>
      </c>
      <c r="AN1187" s="30">
        <f>PM_Angle!$J$22+PM_Angle!$K$22*$C1187+PM_Angle!$L$22*$B1187</f>
      </c>
      <c r="AO1187" s="12">
        <f>IF(AN1187&gt;0,IF(AN1187&lt;=eco,alpha*fck*(1-(1-AN1187/eco)^n),alpha*fck),0)</f>
      </c>
      <c r="AP1187" s="30">
        <f>PM_Angle!$J$23+PM_Angle!$K$23*$C1187+PM_Angle!$L$23*$B1187</f>
      </c>
      <c r="AQ1187" s="12">
        <f>IF(AP1187&gt;0,IF(AP1187&lt;=eco,alpha*fck*(1-(1-AP1187/eco)^n),alpha*fck),0)</f>
      </c>
      <c r="AR1187" s="30">
        <f>PM_Angle!$J$24+PM_Angle!$K$24*$C1187+PM_Angle!$L$24*$B1187</f>
      </c>
      <c r="AS1187" s="12">
        <f>IF(AR1187&gt;0,IF(AR1187&lt;=eco,alpha*fck*(1-(1-AR1187/eco)^n),alpha*fck),0)</f>
      </c>
      <c r="AT1187" s="30">
        <f>PM_Angle!$J$25+PM_Angle!$K$25*$C1187+PM_Angle!$L$25*$B1187</f>
      </c>
      <c r="AU1187" s="12">
        <f>IF(AT1187&gt;0,IF(AT1187&lt;=eco,alpha*fck*(1-(1-AT1187/eco)^n),alpha*fck),0)</f>
      </c>
    </row>
    <row r="1188" spans="1:47" x14ac:dyDescent="0.25">
      <c r="A1188">
        <f>Mesh!A1185</f>
      </c>
      <c r="B1188" s="12">
        <f>Mesh!B1185</f>
      </c>
      <c r="C1188" s="12">
        <f>Mesh!C1185</f>
      </c>
      <c r="D1188" s="12">
        <f>Mesh!D1185</f>
      </c>
      <c r="E1188" s="30">
        <f>INDEX(St_e0,Det+1)+INDEX(St_kx,Det+1)*C1188+INDEX(St_ky,Det+1)*B1188</f>
      </c>
      <c r="F1188" s="12">
        <f>IF(E1188&gt;0,IF(E1188&lt;=eco,alpha*fck*(1-(1-E1188/eco)^n),alpha*fck),0)</f>
      </c>
      <c r="G1188" s="11">
        <f>F1188*D1188</f>
      </c>
      <c r="H1188" s="11">
        <f>G1188*C1188</f>
      </c>
      <c r="I1188" s="11">
        <f>G1188*B1188</f>
      </c>
      <c r="J1188" s="30">
        <f>PM_Angle!$J$7+PM_Angle!$K$7*$C1188+PM_Angle!$L$7*$B1188</f>
      </c>
      <c r="K1188" s="12">
        <f>IF(J1188&gt;0,IF(J1188&lt;=eco,alpha*fck*(1-(1-J1188/eco)^n),alpha*fck),0)</f>
      </c>
      <c r="L1188" s="30">
        <f>PM_Angle!$J$8+PM_Angle!$K$8*$C1188+PM_Angle!$L$8*$B1188</f>
      </c>
      <c r="M1188" s="12">
        <f>IF(L1188&gt;0,IF(L1188&lt;=eco,alpha*fck*(1-(1-L1188/eco)^n),alpha*fck),0)</f>
      </c>
      <c r="N1188" s="30">
        <f>PM_Angle!$J$9+PM_Angle!$K$9*$C1188+PM_Angle!$L$9*$B1188</f>
      </c>
      <c r="O1188" s="12">
        <f>IF(N1188&gt;0,IF(N1188&lt;=eco,alpha*fck*(1-(1-N1188/eco)^n),alpha*fck),0)</f>
      </c>
      <c r="P1188" s="30">
        <f>PM_Angle!$J$10+PM_Angle!$K$10*$C1188+PM_Angle!$L$10*$B1188</f>
      </c>
      <c r="Q1188" s="12">
        <f>IF(P1188&gt;0,IF(P1188&lt;=eco,alpha*fck*(1-(1-P1188/eco)^n),alpha*fck),0)</f>
      </c>
      <c r="R1188" s="30">
        <f>PM_Angle!$J$11+PM_Angle!$K$11*$C1188+PM_Angle!$L$11*$B1188</f>
      </c>
      <c r="S1188" s="12">
        <f>IF(R1188&gt;0,IF(R1188&lt;=eco,alpha*fck*(1-(1-R1188/eco)^n),alpha*fck),0)</f>
      </c>
      <c r="T1188" s="30">
        <f>PM_Angle!$J$12+PM_Angle!$K$12*$C1188+PM_Angle!$L$12*$B1188</f>
      </c>
      <c r="U1188" s="12">
        <f>IF(T1188&gt;0,IF(T1188&lt;=eco,alpha*fck*(1-(1-T1188/eco)^n),alpha*fck),0)</f>
      </c>
      <c r="V1188" s="30">
        <f>PM_Angle!$J$13+PM_Angle!$K$13*$C1188+PM_Angle!$L$13*$B1188</f>
      </c>
      <c r="W1188" s="12">
        <f>IF(V1188&gt;0,IF(V1188&lt;=eco,alpha*fck*(1-(1-V1188/eco)^n),alpha*fck),0)</f>
      </c>
      <c r="X1188" s="30">
        <f>PM_Angle!$J$14+PM_Angle!$K$14*$C1188+PM_Angle!$L$14*$B1188</f>
      </c>
      <c r="Y1188" s="12">
        <f>IF(X1188&gt;0,IF(X1188&lt;=eco,alpha*fck*(1-(1-X1188/eco)^n),alpha*fck),0)</f>
      </c>
      <c r="Z1188" s="30">
        <f>PM_Angle!$J$15+PM_Angle!$K$15*$C1188+PM_Angle!$L$15*$B1188</f>
      </c>
      <c r="AA1188" s="12">
        <f>IF(Z1188&gt;0,IF(Z1188&lt;=eco,alpha*fck*(1-(1-Z1188/eco)^n),alpha*fck),0)</f>
      </c>
      <c r="AB1188" s="30">
        <f>PM_Angle!$J$16+PM_Angle!$K$16*$C1188+PM_Angle!$L$16*$B1188</f>
      </c>
      <c r="AC1188" s="12">
        <f>IF(AB1188&gt;0,IF(AB1188&lt;=eco,alpha*fck*(1-(1-AB1188/eco)^n),alpha*fck),0)</f>
      </c>
      <c r="AD1188" s="30">
        <f>PM_Angle!$J$17+PM_Angle!$K$17*$C1188+PM_Angle!$L$17*$B1188</f>
      </c>
      <c r="AE1188" s="12">
        <f>IF(AD1188&gt;0,IF(AD1188&lt;=eco,alpha*fck*(1-(1-AD1188/eco)^n),alpha*fck),0)</f>
      </c>
      <c r="AF1188" s="30">
        <f>PM_Angle!$J$18+PM_Angle!$K$18*$C1188+PM_Angle!$L$18*$B1188</f>
      </c>
      <c r="AG1188" s="12">
        <f>IF(AF1188&gt;0,IF(AF1188&lt;=eco,alpha*fck*(1-(1-AF1188/eco)^n),alpha*fck),0)</f>
      </c>
      <c r="AH1188" s="30">
        <f>PM_Angle!$J$19+PM_Angle!$K$19*$C1188+PM_Angle!$L$19*$B1188</f>
      </c>
      <c r="AI1188" s="12">
        <f>IF(AH1188&gt;0,IF(AH1188&lt;=eco,alpha*fck*(1-(1-AH1188/eco)^n),alpha*fck),0)</f>
      </c>
      <c r="AJ1188" s="30">
        <f>PM_Angle!$J$20+PM_Angle!$K$20*$C1188+PM_Angle!$L$20*$B1188</f>
      </c>
      <c r="AK1188" s="12">
        <f>IF(AJ1188&gt;0,IF(AJ1188&lt;=eco,alpha*fck*(1-(1-AJ1188/eco)^n),alpha*fck),0)</f>
      </c>
      <c r="AL1188" s="30">
        <f>PM_Angle!$J$21+PM_Angle!$K$21*$C1188+PM_Angle!$L$21*$B1188</f>
      </c>
      <c r="AM1188" s="12">
        <f>IF(AL1188&gt;0,IF(AL1188&lt;=eco,alpha*fck*(1-(1-AL1188/eco)^n),alpha*fck),0)</f>
      </c>
      <c r="AN1188" s="30">
        <f>PM_Angle!$J$22+PM_Angle!$K$22*$C1188+PM_Angle!$L$22*$B1188</f>
      </c>
      <c r="AO1188" s="12">
        <f>IF(AN1188&gt;0,IF(AN1188&lt;=eco,alpha*fck*(1-(1-AN1188/eco)^n),alpha*fck),0)</f>
      </c>
      <c r="AP1188" s="30">
        <f>PM_Angle!$J$23+PM_Angle!$K$23*$C1188+PM_Angle!$L$23*$B1188</f>
      </c>
      <c r="AQ1188" s="12">
        <f>IF(AP1188&gt;0,IF(AP1188&lt;=eco,alpha*fck*(1-(1-AP1188/eco)^n),alpha*fck),0)</f>
      </c>
      <c r="AR1188" s="30">
        <f>PM_Angle!$J$24+PM_Angle!$K$24*$C1188+PM_Angle!$L$24*$B1188</f>
      </c>
      <c r="AS1188" s="12">
        <f>IF(AR1188&gt;0,IF(AR1188&lt;=eco,alpha*fck*(1-(1-AR1188/eco)^n),alpha*fck),0)</f>
      </c>
      <c r="AT1188" s="30">
        <f>PM_Angle!$J$25+PM_Angle!$K$25*$C1188+PM_Angle!$L$25*$B1188</f>
      </c>
      <c r="AU1188" s="12">
        <f>IF(AT1188&gt;0,IF(AT1188&lt;=eco,alpha*fck*(1-(1-AT1188/eco)^n),alpha*fck),0)</f>
      </c>
    </row>
    <row r="1189" spans="1:47" x14ac:dyDescent="0.25">
      <c r="A1189">
        <f>Mesh!A1186</f>
      </c>
      <c r="B1189" s="12">
        <f>Mesh!B1186</f>
      </c>
      <c r="C1189" s="12">
        <f>Mesh!C1186</f>
      </c>
      <c r="D1189" s="12">
        <f>Mesh!D1186</f>
      </c>
      <c r="E1189" s="30">
        <f>INDEX(St_e0,Det+1)+INDEX(St_kx,Det+1)*C1189+INDEX(St_ky,Det+1)*B1189</f>
      </c>
      <c r="F1189" s="12">
        <f>IF(E1189&gt;0,IF(E1189&lt;=eco,alpha*fck*(1-(1-E1189/eco)^n),alpha*fck),0)</f>
      </c>
      <c r="G1189" s="11">
        <f>F1189*D1189</f>
      </c>
      <c r="H1189" s="11">
        <f>G1189*C1189</f>
      </c>
      <c r="I1189" s="11">
        <f>G1189*B1189</f>
      </c>
      <c r="J1189" s="30">
        <f>PM_Angle!$J$7+PM_Angle!$K$7*$C1189+PM_Angle!$L$7*$B1189</f>
      </c>
      <c r="K1189" s="12">
        <f>IF(J1189&gt;0,IF(J1189&lt;=eco,alpha*fck*(1-(1-J1189/eco)^n),alpha*fck),0)</f>
      </c>
      <c r="L1189" s="30">
        <f>PM_Angle!$J$8+PM_Angle!$K$8*$C1189+PM_Angle!$L$8*$B1189</f>
      </c>
      <c r="M1189" s="12">
        <f>IF(L1189&gt;0,IF(L1189&lt;=eco,alpha*fck*(1-(1-L1189/eco)^n),alpha*fck),0)</f>
      </c>
      <c r="N1189" s="30">
        <f>PM_Angle!$J$9+PM_Angle!$K$9*$C1189+PM_Angle!$L$9*$B1189</f>
      </c>
      <c r="O1189" s="12">
        <f>IF(N1189&gt;0,IF(N1189&lt;=eco,alpha*fck*(1-(1-N1189/eco)^n),alpha*fck),0)</f>
      </c>
      <c r="P1189" s="30">
        <f>PM_Angle!$J$10+PM_Angle!$K$10*$C1189+PM_Angle!$L$10*$B1189</f>
      </c>
      <c r="Q1189" s="12">
        <f>IF(P1189&gt;0,IF(P1189&lt;=eco,alpha*fck*(1-(1-P1189/eco)^n),alpha*fck),0)</f>
      </c>
      <c r="R1189" s="30">
        <f>PM_Angle!$J$11+PM_Angle!$K$11*$C1189+PM_Angle!$L$11*$B1189</f>
      </c>
      <c r="S1189" s="12">
        <f>IF(R1189&gt;0,IF(R1189&lt;=eco,alpha*fck*(1-(1-R1189/eco)^n),alpha*fck),0)</f>
      </c>
      <c r="T1189" s="30">
        <f>PM_Angle!$J$12+PM_Angle!$K$12*$C1189+PM_Angle!$L$12*$B1189</f>
      </c>
      <c r="U1189" s="12">
        <f>IF(T1189&gt;0,IF(T1189&lt;=eco,alpha*fck*(1-(1-T1189/eco)^n),alpha*fck),0)</f>
      </c>
      <c r="V1189" s="30">
        <f>PM_Angle!$J$13+PM_Angle!$K$13*$C1189+PM_Angle!$L$13*$B1189</f>
      </c>
      <c r="W1189" s="12">
        <f>IF(V1189&gt;0,IF(V1189&lt;=eco,alpha*fck*(1-(1-V1189/eco)^n),alpha*fck),0)</f>
      </c>
      <c r="X1189" s="30">
        <f>PM_Angle!$J$14+PM_Angle!$K$14*$C1189+PM_Angle!$L$14*$B1189</f>
      </c>
      <c r="Y1189" s="12">
        <f>IF(X1189&gt;0,IF(X1189&lt;=eco,alpha*fck*(1-(1-X1189/eco)^n),alpha*fck),0)</f>
      </c>
      <c r="Z1189" s="30">
        <f>PM_Angle!$J$15+PM_Angle!$K$15*$C1189+PM_Angle!$L$15*$B1189</f>
      </c>
      <c r="AA1189" s="12">
        <f>IF(Z1189&gt;0,IF(Z1189&lt;=eco,alpha*fck*(1-(1-Z1189/eco)^n),alpha*fck),0)</f>
      </c>
      <c r="AB1189" s="30">
        <f>PM_Angle!$J$16+PM_Angle!$K$16*$C1189+PM_Angle!$L$16*$B1189</f>
      </c>
      <c r="AC1189" s="12">
        <f>IF(AB1189&gt;0,IF(AB1189&lt;=eco,alpha*fck*(1-(1-AB1189/eco)^n),alpha*fck),0)</f>
      </c>
      <c r="AD1189" s="30">
        <f>PM_Angle!$J$17+PM_Angle!$K$17*$C1189+PM_Angle!$L$17*$B1189</f>
      </c>
      <c r="AE1189" s="12">
        <f>IF(AD1189&gt;0,IF(AD1189&lt;=eco,alpha*fck*(1-(1-AD1189/eco)^n),alpha*fck),0)</f>
      </c>
      <c r="AF1189" s="30">
        <f>PM_Angle!$J$18+PM_Angle!$K$18*$C1189+PM_Angle!$L$18*$B1189</f>
      </c>
      <c r="AG1189" s="12">
        <f>IF(AF1189&gt;0,IF(AF1189&lt;=eco,alpha*fck*(1-(1-AF1189/eco)^n),alpha*fck),0)</f>
      </c>
      <c r="AH1189" s="30">
        <f>PM_Angle!$J$19+PM_Angle!$K$19*$C1189+PM_Angle!$L$19*$B1189</f>
      </c>
      <c r="AI1189" s="12">
        <f>IF(AH1189&gt;0,IF(AH1189&lt;=eco,alpha*fck*(1-(1-AH1189/eco)^n),alpha*fck),0)</f>
      </c>
      <c r="AJ1189" s="30">
        <f>PM_Angle!$J$20+PM_Angle!$K$20*$C1189+PM_Angle!$L$20*$B1189</f>
      </c>
      <c r="AK1189" s="12">
        <f>IF(AJ1189&gt;0,IF(AJ1189&lt;=eco,alpha*fck*(1-(1-AJ1189/eco)^n),alpha*fck),0)</f>
      </c>
      <c r="AL1189" s="30">
        <f>PM_Angle!$J$21+PM_Angle!$K$21*$C1189+PM_Angle!$L$21*$B1189</f>
      </c>
      <c r="AM1189" s="12">
        <f>IF(AL1189&gt;0,IF(AL1189&lt;=eco,alpha*fck*(1-(1-AL1189/eco)^n),alpha*fck),0)</f>
      </c>
      <c r="AN1189" s="30">
        <f>PM_Angle!$J$22+PM_Angle!$K$22*$C1189+PM_Angle!$L$22*$B1189</f>
      </c>
      <c r="AO1189" s="12">
        <f>IF(AN1189&gt;0,IF(AN1189&lt;=eco,alpha*fck*(1-(1-AN1189/eco)^n),alpha*fck),0)</f>
      </c>
      <c r="AP1189" s="30">
        <f>PM_Angle!$J$23+PM_Angle!$K$23*$C1189+PM_Angle!$L$23*$B1189</f>
      </c>
      <c r="AQ1189" s="12">
        <f>IF(AP1189&gt;0,IF(AP1189&lt;=eco,alpha*fck*(1-(1-AP1189/eco)^n),alpha*fck),0)</f>
      </c>
      <c r="AR1189" s="30">
        <f>PM_Angle!$J$24+PM_Angle!$K$24*$C1189+PM_Angle!$L$24*$B1189</f>
      </c>
      <c r="AS1189" s="12">
        <f>IF(AR1189&gt;0,IF(AR1189&lt;=eco,alpha*fck*(1-(1-AR1189/eco)^n),alpha*fck),0)</f>
      </c>
      <c r="AT1189" s="30">
        <f>PM_Angle!$J$25+PM_Angle!$K$25*$C1189+PM_Angle!$L$25*$B1189</f>
      </c>
      <c r="AU1189" s="12">
        <f>IF(AT1189&gt;0,IF(AT1189&lt;=eco,alpha*fck*(1-(1-AT1189/eco)^n),alpha*fck),0)</f>
      </c>
    </row>
    <row r="1190" spans="1:47" x14ac:dyDescent="0.25">
      <c r="A1190">
        <f>Mesh!A1187</f>
      </c>
      <c r="B1190" s="12">
        <f>Mesh!B1187</f>
      </c>
      <c r="C1190" s="12">
        <f>Mesh!C1187</f>
      </c>
      <c r="D1190" s="12">
        <f>Mesh!D1187</f>
      </c>
      <c r="E1190" s="30">
        <f>INDEX(St_e0,Det+1)+INDEX(St_kx,Det+1)*C1190+INDEX(St_ky,Det+1)*B1190</f>
      </c>
      <c r="F1190" s="12">
        <f>IF(E1190&gt;0,IF(E1190&lt;=eco,alpha*fck*(1-(1-E1190/eco)^n),alpha*fck),0)</f>
      </c>
      <c r="G1190" s="11">
        <f>F1190*D1190</f>
      </c>
      <c r="H1190" s="11">
        <f>G1190*C1190</f>
      </c>
      <c r="I1190" s="11">
        <f>G1190*B1190</f>
      </c>
      <c r="J1190" s="30">
        <f>PM_Angle!$J$7+PM_Angle!$K$7*$C1190+PM_Angle!$L$7*$B1190</f>
      </c>
      <c r="K1190" s="12">
        <f>IF(J1190&gt;0,IF(J1190&lt;=eco,alpha*fck*(1-(1-J1190/eco)^n),alpha*fck),0)</f>
      </c>
      <c r="L1190" s="30">
        <f>PM_Angle!$J$8+PM_Angle!$K$8*$C1190+PM_Angle!$L$8*$B1190</f>
      </c>
      <c r="M1190" s="12">
        <f>IF(L1190&gt;0,IF(L1190&lt;=eco,alpha*fck*(1-(1-L1190/eco)^n),alpha*fck),0)</f>
      </c>
      <c r="N1190" s="30">
        <f>PM_Angle!$J$9+PM_Angle!$K$9*$C1190+PM_Angle!$L$9*$B1190</f>
      </c>
      <c r="O1190" s="12">
        <f>IF(N1190&gt;0,IF(N1190&lt;=eco,alpha*fck*(1-(1-N1190/eco)^n),alpha*fck),0)</f>
      </c>
      <c r="P1190" s="30">
        <f>PM_Angle!$J$10+PM_Angle!$K$10*$C1190+PM_Angle!$L$10*$B1190</f>
      </c>
      <c r="Q1190" s="12">
        <f>IF(P1190&gt;0,IF(P1190&lt;=eco,alpha*fck*(1-(1-P1190/eco)^n),alpha*fck),0)</f>
      </c>
      <c r="R1190" s="30">
        <f>PM_Angle!$J$11+PM_Angle!$K$11*$C1190+PM_Angle!$L$11*$B1190</f>
      </c>
      <c r="S1190" s="12">
        <f>IF(R1190&gt;0,IF(R1190&lt;=eco,alpha*fck*(1-(1-R1190/eco)^n),alpha*fck),0)</f>
      </c>
      <c r="T1190" s="30">
        <f>PM_Angle!$J$12+PM_Angle!$K$12*$C1190+PM_Angle!$L$12*$B1190</f>
      </c>
      <c r="U1190" s="12">
        <f>IF(T1190&gt;0,IF(T1190&lt;=eco,alpha*fck*(1-(1-T1190/eco)^n),alpha*fck),0)</f>
      </c>
      <c r="V1190" s="30">
        <f>PM_Angle!$J$13+PM_Angle!$K$13*$C1190+PM_Angle!$L$13*$B1190</f>
      </c>
      <c r="W1190" s="12">
        <f>IF(V1190&gt;0,IF(V1190&lt;=eco,alpha*fck*(1-(1-V1190/eco)^n),alpha*fck),0)</f>
      </c>
      <c r="X1190" s="30">
        <f>PM_Angle!$J$14+PM_Angle!$K$14*$C1190+PM_Angle!$L$14*$B1190</f>
      </c>
      <c r="Y1190" s="12">
        <f>IF(X1190&gt;0,IF(X1190&lt;=eco,alpha*fck*(1-(1-X1190/eco)^n),alpha*fck),0)</f>
      </c>
      <c r="Z1190" s="30">
        <f>PM_Angle!$J$15+PM_Angle!$K$15*$C1190+PM_Angle!$L$15*$B1190</f>
      </c>
      <c r="AA1190" s="12">
        <f>IF(Z1190&gt;0,IF(Z1190&lt;=eco,alpha*fck*(1-(1-Z1190/eco)^n),alpha*fck),0)</f>
      </c>
      <c r="AB1190" s="30">
        <f>PM_Angle!$J$16+PM_Angle!$K$16*$C1190+PM_Angle!$L$16*$B1190</f>
      </c>
      <c r="AC1190" s="12">
        <f>IF(AB1190&gt;0,IF(AB1190&lt;=eco,alpha*fck*(1-(1-AB1190/eco)^n),alpha*fck),0)</f>
      </c>
      <c r="AD1190" s="30">
        <f>PM_Angle!$J$17+PM_Angle!$K$17*$C1190+PM_Angle!$L$17*$B1190</f>
      </c>
      <c r="AE1190" s="12">
        <f>IF(AD1190&gt;0,IF(AD1190&lt;=eco,alpha*fck*(1-(1-AD1190/eco)^n),alpha*fck),0)</f>
      </c>
      <c r="AF1190" s="30">
        <f>PM_Angle!$J$18+PM_Angle!$K$18*$C1190+PM_Angle!$L$18*$B1190</f>
      </c>
      <c r="AG1190" s="12">
        <f>IF(AF1190&gt;0,IF(AF1190&lt;=eco,alpha*fck*(1-(1-AF1190/eco)^n),alpha*fck),0)</f>
      </c>
      <c r="AH1190" s="30">
        <f>PM_Angle!$J$19+PM_Angle!$K$19*$C1190+PM_Angle!$L$19*$B1190</f>
      </c>
      <c r="AI1190" s="12">
        <f>IF(AH1190&gt;0,IF(AH1190&lt;=eco,alpha*fck*(1-(1-AH1190/eco)^n),alpha*fck),0)</f>
      </c>
      <c r="AJ1190" s="30">
        <f>PM_Angle!$J$20+PM_Angle!$K$20*$C1190+PM_Angle!$L$20*$B1190</f>
      </c>
      <c r="AK1190" s="12">
        <f>IF(AJ1190&gt;0,IF(AJ1190&lt;=eco,alpha*fck*(1-(1-AJ1190/eco)^n),alpha*fck),0)</f>
      </c>
      <c r="AL1190" s="30">
        <f>PM_Angle!$J$21+PM_Angle!$K$21*$C1190+PM_Angle!$L$21*$B1190</f>
      </c>
      <c r="AM1190" s="12">
        <f>IF(AL1190&gt;0,IF(AL1190&lt;=eco,alpha*fck*(1-(1-AL1190/eco)^n),alpha*fck),0)</f>
      </c>
      <c r="AN1190" s="30">
        <f>PM_Angle!$J$22+PM_Angle!$K$22*$C1190+PM_Angle!$L$22*$B1190</f>
      </c>
      <c r="AO1190" s="12">
        <f>IF(AN1190&gt;0,IF(AN1190&lt;=eco,alpha*fck*(1-(1-AN1190/eco)^n),alpha*fck),0)</f>
      </c>
      <c r="AP1190" s="30">
        <f>PM_Angle!$J$23+PM_Angle!$K$23*$C1190+PM_Angle!$L$23*$B1190</f>
      </c>
      <c r="AQ1190" s="12">
        <f>IF(AP1190&gt;0,IF(AP1190&lt;=eco,alpha*fck*(1-(1-AP1190/eco)^n),alpha*fck),0)</f>
      </c>
      <c r="AR1190" s="30">
        <f>PM_Angle!$J$24+PM_Angle!$K$24*$C1190+PM_Angle!$L$24*$B1190</f>
      </c>
      <c r="AS1190" s="12">
        <f>IF(AR1190&gt;0,IF(AR1190&lt;=eco,alpha*fck*(1-(1-AR1190/eco)^n),alpha*fck),0)</f>
      </c>
      <c r="AT1190" s="30">
        <f>PM_Angle!$J$25+PM_Angle!$K$25*$C1190+PM_Angle!$L$25*$B1190</f>
      </c>
      <c r="AU1190" s="12">
        <f>IF(AT1190&gt;0,IF(AT1190&lt;=eco,alpha*fck*(1-(1-AT1190/eco)^n),alpha*fck),0)</f>
      </c>
    </row>
    <row r="1191" spans="1:47" x14ac:dyDescent="0.25">
      <c r="A1191">
        <f>Mesh!A1188</f>
      </c>
      <c r="B1191" s="12">
        <f>Mesh!B1188</f>
      </c>
      <c r="C1191" s="12">
        <f>Mesh!C1188</f>
      </c>
      <c r="D1191" s="12">
        <f>Mesh!D1188</f>
      </c>
      <c r="E1191" s="30">
        <f>INDEX(St_e0,Det+1)+INDEX(St_kx,Det+1)*C1191+INDEX(St_ky,Det+1)*B1191</f>
      </c>
      <c r="F1191" s="12">
        <f>IF(E1191&gt;0,IF(E1191&lt;=eco,alpha*fck*(1-(1-E1191/eco)^n),alpha*fck),0)</f>
      </c>
      <c r="G1191" s="11">
        <f>F1191*D1191</f>
      </c>
      <c r="H1191" s="11">
        <f>G1191*C1191</f>
      </c>
      <c r="I1191" s="11">
        <f>G1191*B1191</f>
      </c>
      <c r="J1191" s="30">
        <f>PM_Angle!$J$7+PM_Angle!$K$7*$C1191+PM_Angle!$L$7*$B1191</f>
      </c>
      <c r="K1191" s="12">
        <f>IF(J1191&gt;0,IF(J1191&lt;=eco,alpha*fck*(1-(1-J1191/eco)^n),alpha*fck),0)</f>
      </c>
      <c r="L1191" s="30">
        <f>PM_Angle!$J$8+PM_Angle!$K$8*$C1191+PM_Angle!$L$8*$B1191</f>
      </c>
      <c r="M1191" s="12">
        <f>IF(L1191&gt;0,IF(L1191&lt;=eco,alpha*fck*(1-(1-L1191/eco)^n),alpha*fck),0)</f>
      </c>
      <c r="N1191" s="30">
        <f>PM_Angle!$J$9+PM_Angle!$K$9*$C1191+PM_Angle!$L$9*$B1191</f>
      </c>
      <c r="O1191" s="12">
        <f>IF(N1191&gt;0,IF(N1191&lt;=eco,alpha*fck*(1-(1-N1191/eco)^n),alpha*fck),0)</f>
      </c>
      <c r="P1191" s="30">
        <f>PM_Angle!$J$10+PM_Angle!$K$10*$C1191+PM_Angle!$L$10*$B1191</f>
      </c>
      <c r="Q1191" s="12">
        <f>IF(P1191&gt;0,IF(P1191&lt;=eco,alpha*fck*(1-(1-P1191/eco)^n),alpha*fck),0)</f>
      </c>
      <c r="R1191" s="30">
        <f>PM_Angle!$J$11+PM_Angle!$K$11*$C1191+PM_Angle!$L$11*$B1191</f>
      </c>
      <c r="S1191" s="12">
        <f>IF(R1191&gt;0,IF(R1191&lt;=eco,alpha*fck*(1-(1-R1191/eco)^n),alpha*fck),0)</f>
      </c>
      <c r="T1191" s="30">
        <f>PM_Angle!$J$12+PM_Angle!$K$12*$C1191+PM_Angle!$L$12*$B1191</f>
      </c>
      <c r="U1191" s="12">
        <f>IF(T1191&gt;0,IF(T1191&lt;=eco,alpha*fck*(1-(1-T1191/eco)^n),alpha*fck),0)</f>
      </c>
      <c r="V1191" s="30">
        <f>PM_Angle!$J$13+PM_Angle!$K$13*$C1191+PM_Angle!$L$13*$B1191</f>
      </c>
      <c r="W1191" s="12">
        <f>IF(V1191&gt;0,IF(V1191&lt;=eco,alpha*fck*(1-(1-V1191/eco)^n),alpha*fck),0)</f>
      </c>
      <c r="X1191" s="30">
        <f>PM_Angle!$J$14+PM_Angle!$K$14*$C1191+PM_Angle!$L$14*$B1191</f>
      </c>
      <c r="Y1191" s="12">
        <f>IF(X1191&gt;0,IF(X1191&lt;=eco,alpha*fck*(1-(1-X1191/eco)^n),alpha*fck),0)</f>
      </c>
      <c r="Z1191" s="30">
        <f>PM_Angle!$J$15+PM_Angle!$K$15*$C1191+PM_Angle!$L$15*$B1191</f>
      </c>
      <c r="AA1191" s="12">
        <f>IF(Z1191&gt;0,IF(Z1191&lt;=eco,alpha*fck*(1-(1-Z1191/eco)^n),alpha*fck),0)</f>
      </c>
      <c r="AB1191" s="30">
        <f>PM_Angle!$J$16+PM_Angle!$K$16*$C1191+PM_Angle!$L$16*$B1191</f>
      </c>
      <c r="AC1191" s="12">
        <f>IF(AB1191&gt;0,IF(AB1191&lt;=eco,alpha*fck*(1-(1-AB1191/eco)^n),alpha*fck),0)</f>
      </c>
      <c r="AD1191" s="30">
        <f>PM_Angle!$J$17+PM_Angle!$K$17*$C1191+PM_Angle!$L$17*$B1191</f>
      </c>
      <c r="AE1191" s="12">
        <f>IF(AD1191&gt;0,IF(AD1191&lt;=eco,alpha*fck*(1-(1-AD1191/eco)^n),alpha*fck),0)</f>
      </c>
      <c r="AF1191" s="30">
        <f>PM_Angle!$J$18+PM_Angle!$K$18*$C1191+PM_Angle!$L$18*$B1191</f>
      </c>
      <c r="AG1191" s="12">
        <f>IF(AF1191&gt;0,IF(AF1191&lt;=eco,alpha*fck*(1-(1-AF1191/eco)^n),alpha*fck),0)</f>
      </c>
      <c r="AH1191" s="30">
        <f>PM_Angle!$J$19+PM_Angle!$K$19*$C1191+PM_Angle!$L$19*$B1191</f>
      </c>
      <c r="AI1191" s="12">
        <f>IF(AH1191&gt;0,IF(AH1191&lt;=eco,alpha*fck*(1-(1-AH1191/eco)^n),alpha*fck),0)</f>
      </c>
      <c r="AJ1191" s="30">
        <f>PM_Angle!$J$20+PM_Angle!$K$20*$C1191+PM_Angle!$L$20*$B1191</f>
      </c>
      <c r="AK1191" s="12">
        <f>IF(AJ1191&gt;0,IF(AJ1191&lt;=eco,alpha*fck*(1-(1-AJ1191/eco)^n),alpha*fck),0)</f>
      </c>
      <c r="AL1191" s="30">
        <f>PM_Angle!$J$21+PM_Angle!$K$21*$C1191+PM_Angle!$L$21*$B1191</f>
      </c>
      <c r="AM1191" s="12">
        <f>IF(AL1191&gt;0,IF(AL1191&lt;=eco,alpha*fck*(1-(1-AL1191/eco)^n),alpha*fck),0)</f>
      </c>
      <c r="AN1191" s="30">
        <f>PM_Angle!$J$22+PM_Angle!$K$22*$C1191+PM_Angle!$L$22*$B1191</f>
      </c>
      <c r="AO1191" s="12">
        <f>IF(AN1191&gt;0,IF(AN1191&lt;=eco,alpha*fck*(1-(1-AN1191/eco)^n),alpha*fck),0)</f>
      </c>
      <c r="AP1191" s="30">
        <f>PM_Angle!$J$23+PM_Angle!$K$23*$C1191+PM_Angle!$L$23*$B1191</f>
      </c>
      <c r="AQ1191" s="12">
        <f>IF(AP1191&gt;0,IF(AP1191&lt;=eco,alpha*fck*(1-(1-AP1191/eco)^n),alpha*fck),0)</f>
      </c>
      <c r="AR1191" s="30">
        <f>PM_Angle!$J$24+PM_Angle!$K$24*$C1191+PM_Angle!$L$24*$B1191</f>
      </c>
      <c r="AS1191" s="12">
        <f>IF(AR1191&gt;0,IF(AR1191&lt;=eco,alpha*fck*(1-(1-AR1191/eco)^n),alpha*fck),0)</f>
      </c>
      <c r="AT1191" s="30">
        <f>PM_Angle!$J$25+PM_Angle!$K$25*$C1191+PM_Angle!$L$25*$B1191</f>
      </c>
      <c r="AU1191" s="12">
        <f>IF(AT1191&gt;0,IF(AT1191&lt;=eco,alpha*fck*(1-(1-AT1191/eco)^n),alpha*fck),0)</f>
      </c>
    </row>
    <row r="1192" spans="1:47" x14ac:dyDescent="0.25">
      <c r="A1192">
        <f>Mesh!A1189</f>
      </c>
      <c r="B1192" s="12">
        <f>Mesh!B1189</f>
      </c>
      <c r="C1192" s="12">
        <f>Mesh!C1189</f>
      </c>
      <c r="D1192" s="12">
        <f>Mesh!D1189</f>
      </c>
      <c r="E1192" s="30">
        <f>INDEX(St_e0,Det+1)+INDEX(St_kx,Det+1)*C1192+INDEX(St_ky,Det+1)*B1192</f>
      </c>
      <c r="F1192" s="12">
        <f>IF(E1192&gt;0,IF(E1192&lt;=eco,alpha*fck*(1-(1-E1192/eco)^n),alpha*fck),0)</f>
      </c>
      <c r="G1192" s="11">
        <f>F1192*D1192</f>
      </c>
      <c r="H1192" s="11">
        <f>G1192*C1192</f>
      </c>
      <c r="I1192" s="11">
        <f>G1192*B1192</f>
      </c>
      <c r="J1192" s="30">
        <f>PM_Angle!$J$7+PM_Angle!$K$7*$C1192+PM_Angle!$L$7*$B1192</f>
      </c>
      <c r="K1192" s="12">
        <f>IF(J1192&gt;0,IF(J1192&lt;=eco,alpha*fck*(1-(1-J1192/eco)^n),alpha*fck),0)</f>
      </c>
      <c r="L1192" s="30">
        <f>PM_Angle!$J$8+PM_Angle!$K$8*$C1192+PM_Angle!$L$8*$B1192</f>
      </c>
      <c r="M1192" s="12">
        <f>IF(L1192&gt;0,IF(L1192&lt;=eco,alpha*fck*(1-(1-L1192/eco)^n),alpha*fck),0)</f>
      </c>
      <c r="N1192" s="30">
        <f>PM_Angle!$J$9+PM_Angle!$K$9*$C1192+PM_Angle!$L$9*$B1192</f>
      </c>
      <c r="O1192" s="12">
        <f>IF(N1192&gt;0,IF(N1192&lt;=eco,alpha*fck*(1-(1-N1192/eco)^n),alpha*fck),0)</f>
      </c>
      <c r="P1192" s="30">
        <f>PM_Angle!$J$10+PM_Angle!$K$10*$C1192+PM_Angle!$L$10*$B1192</f>
      </c>
      <c r="Q1192" s="12">
        <f>IF(P1192&gt;0,IF(P1192&lt;=eco,alpha*fck*(1-(1-P1192/eco)^n),alpha*fck),0)</f>
      </c>
      <c r="R1192" s="30">
        <f>PM_Angle!$J$11+PM_Angle!$K$11*$C1192+PM_Angle!$L$11*$B1192</f>
      </c>
      <c r="S1192" s="12">
        <f>IF(R1192&gt;0,IF(R1192&lt;=eco,alpha*fck*(1-(1-R1192/eco)^n),alpha*fck),0)</f>
      </c>
      <c r="T1192" s="30">
        <f>PM_Angle!$J$12+PM_Angle!$K$12*$C1192+PM_Angle!$L$12*$B1192</f>
      </c>
      <c r="U1192" s="12">
        <f>IF(T1192&gt;0,IF(T1192&lt;=eco,alpha*fck*(1-(1-T1192/eco)^n),alpha*fck),0)</f>
      </c>
      <c r="V1192" s="30">
        <f>PM_Angle!$J$13+PM_Angle!$K$13*$C1192+PM_Angle!$L$13*$B1192</f>
      </c>
      <c r="W1192" s="12">
        <f>IF(V1192&gt;0,IF(V1192&lt;=eco,alpha*fck*(1-(1-V1192/eco)^n),alpha*fck),0)</f>
      </c>
      <c r="X1192" s="30">
        <f>PM_Angle!$J$14+PM_Angle!$K$14*$C1192+PM_Angle!$L$14*$B1192</f>
      </c>
      <c r="Y1192" s="12">
        <f>IF(X1192&gt;0,IF(X1192&lt;=eco,alpha*fck*(1-(1-X1192/eco)^n),alpha*fck),0)</f>
      </c>
      <c r="Z1192" s="30">
        <f>PM_Angle!$J$15+PM_Angle!$K$15*$C1192+PM_Angle!$L$15*$B1192</f>
      </c>
      <c r="AA1192" s="12">
        <f>IF(Z1192&gt;0,IF(Z1192&lt;=eco,alpha*fck*(1-(1-Z1192/eco)^n),alpha*fck),0)</f>
      </c>
      <c r="AB1192" s="30">
        <f>PM_Angle!$J$16+PM_Angle!$K$16*$C1192+PM_Angle!$L$16*$B1192</f>
      </c>
      <c r="AC1192" s="12">
        <f>IF(AB1192&gt;0,IF(AB1192&lt;=eco,alpha*fck*(1-(1-AB1192/eco)^n),alpha*fck),0)</f>
      </c>
      <c r="AD1192" s="30">
        <f>PM_Angle!$J$17+PM_Angle!$K$17*$C1192+PM_Angle!$L$17*$B1192</f>
      </c>
      <c r="AE1192" s="12">
        <f>IF(AD1192&gt;0,IF(AD1192&lt;=eco,alpha*fck*(1-(1-AD1192/eco)^n),alpha*fck),0)</f>
      </c>
      <c r="AF1192" s="30">
        <f>PM_Angle!$J$18+PM_Angle!$K$18*$C1192+PM_Angle!$L$18*$B1192</f>
      </c>
      <c r="AG1192" s="12">
        <f>IF(AF1192&gt;0,IF(AF1192&lt;=eco,alpha*fck*(1-(1-AF1192/eco)^n),alpha*fck),0)</f>
      </c>
      <c r="AH1192" s="30">
        <f>PM_Angle!$J$19+PM_Angle!$K$19*$C1192+PM_Angle!$L$19*$B1192</f>
      </c>
      <c r="AI1192" s="12">
        <f>IF(AH1192&gt;0,IF(AH1192&lt;=eco,alpha*fck*(1-(1-AH1192/eco)^n),alpha*fck),0)</f>
      </c>
      <c r="AJ1192" s="30">
        <f>PM_Angle!$J$20+PM_Angle!$K$20*$C1192+PM_Angle!$L$20*$B1192</f>
      </c>
      <c r="AK1192" s="12">
        <f>IF(AJ1192&gt;0,IF(AJ1192&lt;=eco,alpha*fck*(1-(1-AJ1192/eco)^n),alpha*fck),0)</f>
      </c>
      <c r="AL1192" s="30">
        <f>PM_Angle!$J$21+PM_Angle!$K$21*$C1192+PM_Angle!$L$21*$B1192</f>
      </c>
      <c r="AM1192" s="12">
        <f>IF(AL1192&gt;0,IF(AL1192&lt;=eco,alpha*fck*(1-(1-AL1192/eco)^n),alpha*fck),0)</f>
      </c>
      <c r="AN1192" s="30">
        <f>PM_Angle!$J$22+PM_Angle!$K$22*$C1192+PM_Angle!$L$22*$B1192</f>
      </c>
      <c r="AO1192" s="12">
        <f>IF(AN1192&gt;0,IF(AN1192&lt;=eco,alpha*fck*(1-(1-AN1192/eco)^n),alpha*fck),0)</f>
      </c>
      <c r="AP1192" s="30">
        <f>PM_Angle!$J$23+PM_Angle!$K$23*$C1192+PM_Angle!$L$23*$B1192</f>
      </c>
      <c r="AQ1192" s="12">
        <f>IF(AP1192&gt;0,IF(AP1192&lt;=eco,alpha*fck*(1-(1-AP1192/eco)^n),alpha*fck),0)</f>
      </c>
      <c r="AR1192" s="30">
        <f>PM_Angle!$J$24+PM_Angle!$K$24*$C1192+PM_Angle!$L$24*$B1192</f>
      </c>
      <c r="AS1192" s="12">
        <f>IF(AR1192&gt;0,IF(AR1192&lt;=eco,alpha*fck*(1-(1-AR1192/eco)^n),alpha*fck),0)</f>
      </c>
      <c r="AT1192" s="30">
        <f>PM_Angle!$J$25+PM_Angle!$K$25*$C1192+PM_Angle!$L$25*$B1192</f>
      </c>
      <c r="AU1192" s="12">
        <f>IF(AT1192&gt;0,IF(AT1192&lt;=eco,alpha*fck*(1-(1-AT1192/eco)^n),alpha*fck),0)</f>
      </c>
    </row>
    <row r="1193" spans="1:47" x14ac:dyDescent="0.25">
      <c r="A1193">
        <f>Mesh!A1190</f>
      </c>
      <c r="B1193" s="12">
        <f>Mesh!B1190</f>
      </c>
      <c r="C1193" s="12">
        <f>Mesh!C1190</f>
      </c>
      <c r="D1193" s="12">
        <f>Mesh!D1190</f>
      </c>
      <c r="E1193" s="30">
        <f>INDEX(St_e0,Det+1)+INDEX(St_kx,Det+1)*C1193+INDEX(St_ky,Det+1)*B1193</f>
      </c>
      <c r="F1193" s="12">
        <f>IF(E1193&gt;0,IF(E1193&lt;=eco,alpha*fck*(1-(1-E1193/eco)^n),alpha*fck),0)</f>
      </c>
      <c r="G1193" s="11">
        <f>F1193*D1193</f>
      </c>
      <c r="H1193" s="11">
        <f>G1193*C1193</f>
      </c>
      <c r="I1193" s="11">
        <f>G1193*B1193</f>
      </c>
      <c r="J1193" s="30">
        <f>PM_Angle!$J$7+PM_Angle!$K$7*$C1193+PM_Angle!$L$7*$B1193</f>
      </c>
      <c r="K1193" s="12">
        <f>IF(J1193&gt;0,IF(J1193&lt;=eco,alpha*fck*(1-(1-J1193/eco)^n),alpha*fck),0)</f>
      </c>
      <c r="L1193" s="30">
        <f>PM_Angle!$J$8+PM_Angle!$K$8*$C1193+PM_Angle!$L$8*$B1193</f>
      </c>
      <c r="M1193" s="12">
        <f>IF(L1193&gt;0,IF(L1193&lt;=eco,alpha*fck*(1-(1-L1193/eco)^n),alpha*fck),0)</f>
      </c>
      <c r="N1193" s="30">
        <f>PM_Angle!$J$9+PM_Angle!$K$9*$C1193+PM_Angle!$L$9*$B1193</f>
      </c>
      <c r="O1193" s="12">
        <f>IF(N1193&gt;0,IF(N1193&lt;=eco,alpha*fck*(1-(1-N1193/eco)^n),alpha*fck),0)</f>
      </c>
      <c r="P1193" s="30">
        <f>PM_Angle!$J$10+PM_Angle!$K$10*$C1193+PM_Angle!$L$10*$B1193</f>
      </c>
      <c r="Q1193" s="12">
        <f>IF(P1193&gt;0,IF(P1193&lt;=eco,alpha*fck*(1-(1-P1193/eco)^n),alpha*fck),0)</f>
      </c>
      <c r="R1193" s="30">
        <f>PM_Angle!$J$11+PM_Angle!$K$11*$C1193+PM_Angle!$L$11*$B1193</f>
      </c>
      <c r="S1193" s="12">
        <f>IF(R1193&gt;0,IF(R1193&lt;=eco,alpha*fck*(1-(1-R1193/eco)^n),alpha*fck),0)</f>
      </c>
      <c r="T1193" s="30">
        <f>PM_Angle!$J$12+PM_Angle!$K$12*$C1193+PM_Angle!$L$12*$B1193</f>
      </c>
      <c r="U1193" s="12">
        <f>IF(T1193&gt;0,IF(T1193&lt;=eco,alpha*fck*(1-(1-T1193/eco)^n),alpha*fck),0)</f>
      </c>
      <c r="V1193" s="30">
        <f>PM_Angle!$J$13+PM_Angle!$K$13*$C1193+PM_Angle!$L$13*$B1193</f>
      </c>
      <c r="W1193" s="12">
        <f>IF(V1193&gt;0,IF(V1193&lt;=eco,alpha*fck*(1-(1-V1193/eco)^n),alpha*fck),0)</f>
      </c>
      <c r="X1193" s="30">
        <f>PM_Angle!$J$14+PM_Angle!$K$14*$C1193+PM_Angle!$L$14*$B1193</f>
      </c>
      <c r="Y1193" s="12">
        <f>IF(X1193&gt;0,IF(X1193&lt;=eco,alpha*fck*(1-(1-X1193/eco)^n),alpha*fck),0)</f>
      </c>
      <c r="Z1193" s="30">
        <f>PM_Angle!$J$15+PM_Angle!$K$15*$C1193+PM_Angle!$L$15*$B1193</f>
      </c>
      <c r="AA1193" s="12">
        <f>IF(Z1193&gt;0,IF(Z1193&lt;=eco,alpha*fck*(1-(1-Z1193/eco)^n),alpha*fck),0)</f>
      </c>
      <c r="AB1193" s="30">
        <f>PM_Angle!$J$16+PM_Angle!$K$16*$C1193+PM_Angle!$L$16*$B1193</f>
      </c>
      <c r="AC1193" s="12">
        <f>IF(AB1193&gt;0,IF(AB1193&lt;=eco,alpha*fck*(1-(1-AB1193/eco)^n),alpha*fck),0)</f>
      </c>
      <c r="AD1193" s="30">
        <f>PM_Angle!$J$17+PM_Angle!$K$17*$C1193+PM_Angle!$L$17*$B1193</f>
      </c>
      <c r="AE1193" s="12">
        <f>IF(AD1193&gt;0,IF(AD1193&lt;=eco,alpha*fck*(1-(1-AD1193/eco)^n),alpha*fck),0)</f>
      </c>
      <c r="AF1193" s="30">
        <f>PM_Angle!$J$18+PM_Angle!$K$18*$C1193+PM_Angle!$L$18*$B1193</f>
      </c>
      <c r="AG1193" s="12">
        <f>IF(AF1193&gt;0,IF(AF1193&lt;=eco,alpha*fck*(1-(1-AF1193/eco)^n),alpha*fck),0)</f>
      </c>
      <c r="AH1193" s="30">
        <f>PM_Angle!$J$19+PM_Angle!$K$19*$C1193+PM_Angle!$L$19*$B1193</f>
      </c>
      <c r="AI1193" s="12">
        <f>IF(AH1193&gt;0,IF(AH1193&lt;=eco,alpha*fck*(1-(1-AH1193/eco)^n),alpha*fck),0)</f>
      </c>
      <c r="AJ1193" s="30">
        <f>PM_Angle!$J$20+PM_Angle!$K$20*$C1193+PM_Angle!$L$20*$B1193</f>
      </c>
      <c r="AK1193" s="12">
        <f>IF(AJ1193&gt;0,IF(AJ1193&lt;=eco,alpha*fck*(1-(1-AJ1193/eco)^n),alpha*fck),0)</f>
      </c>
      <c r="AL1193" s="30">
        <f>PM_Angle!$J$21+PM_Angle!$K$21*$C1193+PM_Angle!$L$21*$B1193</f>
      </c>
      <c r="AM1193" s="12">
        <f>IF(AL1193&gt;0,IF(AL1193&lt;=eco,alpha*fck*(1-(1-AL1193/eco)^n),alpha*fck),0)</f>
      </c>
      <c r="AN1193" s="30">
        <f>PM_Angle!$J$22+PM_Angle!$K$22*$C1193+PM_Angle!$L$22*$B1193</f>
      </c>
      <c r="AO1193" s="12">
        <f>IF(AN1193&gt;0,IF(AN1193&lt;=eco,alpha*fck*(1-(1-AN1193/eco)^n),alpha*fck),0)</f>
      </c>
      <c r="AP1193" s="30">
        <f>PM_Angle!$J$23+PM_Angle!$K$23*$C1193+PM_Angle!$L$23*$B1193</f>
      </c>
      <c r="AQ1193" s="12">
        <f>IF(AP1193&gt;0,IF(AP1193&lt;=eco,alpha*fck*(1-(1-AP1193/eco)^n),alpha*fck),0)</f>
      </c>
      <c r="AR1193" s="30">
        <f>PM_Angle!$J$24+PM_Angle!$K$24*$C1193+PM_Angle!$L$24*$B1193</f>
      </c>
      <c r="AS1193" s="12">
        <f>IF(AR1193&gt;0,IF(AR1193&lt;=eco,alpha*fck*(1-(1-AR1193/eco)^n),alpha*fck),0)</f>
      </c>
      <c r="AT1193" s="30">
        <f>PM_Angle!$J$25+PM_Angle!$K$25*$C1193+PM_Angle!$L$25*$B1193</f>
      </c>
      <c r="AU1193" s="12">
        <f>IF(AT1193&gt;0,IF(AT1193&lt;=eco,alpha*fck*(1-(1-AT1193/eco)^n),alpha*fck),0)</f>
      </c>
    </row>
    <row r="1194" spans="1:47" x14ac:dyDescent="0.25">
      <c r="A1194">
        <f>Mesh!A1191</f>
      </c>
      <c r="B1194" s="12">
        <f>Mesh!B1191</f>
      </c>
      <c r="C1194" s="12">
        <f>Mesh!C1191</f>
      </c>
      <c r="D1194" s="12">
        <f>Mesh!D1191</f>
      </c>
      <c r="E1194" s="30">
        <f>INDEX(St_e0,Det+1)+INDEX(St_kx,Det+1)*C1194+INDEX(St_ky,Det+1)*B1194</f>
      </c>
      <c r="F1194" s="12">
        <f>IF(E1194&gt;0,IF(E1194&lt;=eco,alpha*fck*(1-(1-E1194/eco)^n),alpha*fck),0)</f>
      </c>
      <c r="G1194" s="11">
        <f>F1194*D1194</f>
      </c>
      <c r="H1194" s="11">
        <f>G1194*C1194</f>
      </c>
      <c r="I1194" s="11">
        <f>G1194*B1194</f>
      </c>
      <c r="J1194" s="30">
        <f>PM_Angle!$J$7+PM_Angle!$K$7*$C1194+PM_Angle!$L$7*$B1194</f>
      </c>
      <c r="K1194" s="12">
        <f>IF(J1194&gt;0,IF(J1194&lt;=eco,alpha*fck*(1-(1-J1194/eco)^n),alpha*fck),0)</f>
      </c>
      <c r="L1194" s="30">
        <f>PM_Angle!$J$8+PM_Angle!$K$8*$C1194+PM_Angle!$L$8*$B1194</f>
      </c>
      <c r="M1194" s="12">
        <f>IF(L1194&gt;0,IF(L1194&lt;=eco,alpha*fck*(1-(1-L1194/eco)^n),alpha*fck),0)</f>
      </c>
      <c r="N1194" s="30">
        <f>PM_Angle!$J$9+PM_Angle!$K$9*$C1194+PM_Angle!$L$9*$B1194</f>
      </c>
      <c r="O1194" s="12">
        <f>IF(N1194&gt;0,IF(N1194&lt;=eco,alpha*fck*(1-(1-N1194/eco)^n),alpha*fck),0)</f>
      </c>
      <c r="P1194" s="30">
        <f>PM_Angle!$J$10+PM_Angle!$K$10*$C1194+PM_Angle!$L$10*$B1194</f>
      </c>
      <c r="Q1194" s="12">
        <f>IF(P1194&gt;0,IF(P1194&lt;=eco,alpha*fck*(1-(1-P1194/eco)^n),alpha*fck),0)</f>
      </c>
      <c r="R1194" s="30">
        <f>PM_Angle!$J$11+PM_Angle!$K$11*$C1194+PM_Angle!$L$11*$B1194</f>
      </c>
      <c r="S1194" s="12">
        <f>IF(R1194&gt;0,IF(R1194&lt;=eco,alpha*fck*(1-(1-R1194/eco)^n),alpha*fck),0)</f>
      </c>
      <c r="T1194" s="30">
        <f>PM_Angle!$J$12+PM_Angle!$K$12*$C1194+PM_Angle!$L$12*$B1194</f>
      </c>
      <c r="U1194" s="12">
        <f>IF(T1194&gt;0,IF(T1194&lt;=eco,alpha*fck*(1-(1-T1194/eco)^n),alpha*fck),0)</f>
      </c>
      <c r="V1194" s="30">
        <f>PM_Angle!$J$13+PM_Angle!$K$13*$C1194+PM_Angle!$L$13*$B1194</f>
      </c>
      <c r="W1194" s="12">
        <f>IF(V1194&gt;0,IF(V1194&lt;=eco,alpha*fck*(1-(1-V1194/eco)^n),alpha*fck),0)</f>
      </c>
      <c r="X1194" s="30">
        <f>PM_Angle!$J$14+PM_Angle!$K$14*$C1194+PM_Angle!$L$14*$B1194</f>
      </c>
      <c r="Y1194" s="12">
        <f>IF(X1194&gt;0,IF(X1194&lt;=eco,alpha*fck*(1-(1-X1194/eco)^n),alpha*fck),0)</f>
      </c>
      <c r="Z1194" s="30">
        <f>PM_Angle!$J$15+PM_Angle!$K$15*$C1194+PM_Angle!$L$15*$B1194</f>
      </c>
      <c r="AA1194" s="12">
        <f>IF(Z1194&gt;0,IF(Z1194&lt;=eco,alpha*fck*(1-(1-Z1194/eco)^n),alpha*fck),0)</f>
      </c>
      <c r="AB1194" s="30">
        <f>PM_Angle!$J$16+PM_Angle!$K$16*$C1194+PM_Angle!$L$16*$B1194</f>
      </c>
      <c r="AC1194" s="12">
        <f>IF(AB1194&gt;0,IF(AB1194&lt;=eco,alpha*fck*(1-(1-AB1194/eco)^n),alpha*fck),0)</f>
      </c>
      <c r="AD1194" s="30">
        <f>PM_Angle!$J$17+PM_Angle!$K$17*$C1194+PM_Angle!$L$17*$B1194</f>
      </c>
      <c r="AE1194" s="12">
        <f>IF(AD1194&gt;0,IF(AD1194&lt;=eco,alpha*fck*(1-(1-AD1194/eco)^n),alpha*fck),0)</f>
      </c>
      <c r="AF1194" s="30">
        <f>PM_Angle!$J$18+PM_Angle!$K$18*$C1194+PM_Angle!$L$18*$B1194</f>
      </c>
      <c r="AG1194" s="12">
        <f>IF(AF1194&gt;0,IF(AF1194&lt;=eco,alpha*fck*(1-(1-AF1194/eco)^n),alpha*fck),0)</f>
      </c>
      <c r="AH1194" s="30">
        <f>PM_Angle!$J$19+PM_Angle!$K$19*$C1194+PM_Angle!$L$19*$B1194</f>
      </c>
      <c r="AI1194" s="12">
        <f>IF(AH1194&gt;0,IF(AH1194&lt;=eco,alpha*fck*(1-(1-AH1194/eco)^n),alpha*fck),0)</f>
      </c>
      <c r="AJ1194" s="30">
        <f>PM_Angle!$J$20+PM_Angle!$K$20*$C1194+PM_Angle!$L$20*$B1194</f>
      </c>
      <c r="AK1194" s="12">
        <f>IF(AJ1194&gt;0,IF(AJ1194&lt;=eco,alpha*fck*(1-(1-AJ1194/eco)^n),alpha*fck),0)</f>
      </c>
      <c r="AL1194" s="30">
        <f>PM_Angle!$J$21+PM_Angle!$K$21*$C1194+PM_Angle!$L$21*$B1194</f>
      </c>
      <c r="AM1194" s="12">
        <f>IF(AL1194&gt;0,IF(AL1194&lt;=eco,alpha*fck*(1-(1-AL1194/eco)^n),alpha*fck),0)</f>
      </c>
      <c r="AN1194" s="30">
        <f>PM_Angle!$J$22+PM_Angle!$K$22*$C1194+PM_Angle!$L$22*$B1194</f>
      </c>
      <c r="AO1194" s="12">
        <f>IF(AN1194&gt;0,IF(AN1194&lt;=eco,alpha*fck*(1-(1-AN1194/eco)^n),alpha*fck),0)</f>
      </c>
      <c r="AP1194" s="30">
        <f>PM_Angle!$J$23+PM_Angle!$K$23*$C1194+PM_Angle!$L$23*$B1194</f>
      </c>
      <c r="AQ1194" s="12">
        <f>IF(AP1194&gt;0,IF(AP1194&lt;=eco,alpha*fck*(1-(1-AP1194/eco)^n),alpha*fck),0)</f>
      </c>
      <c r="AR1194" s="30">
        <f>PM_Angle!$J$24+PM_Angle!$K$24*$C1194+PM_Angle!$L$24*$B1194</f>
      </c>
      <c r="AS1194" s="12">
        <f>IF(AR1194&gt;0,IF(AR1194&lt;=eco,alpha*fck*(1-(1-AR1194/eco)^n),alpha*fck),0)</f>
      </c>
      <c r="AT1194" s="30">
        <f>PM_Angle!$J$25+PM_Angle!$K$25*$C1194+PM_Angle!$L$25*$B1194</f>
      </c>
      <c r="AU1194" s="12">
        <f>IF(AT1194&gt;0,IF(AT1194&lt;=eco,alpha*fck*(1-(1-AT1194/eco)^n),alpha*fck),0)</f>
      </c>
    </row>
    <row r="1195" spans="1:47" x14ac:dyDescent="0.25">
      <c r="A1195">
        <f>Mesh!A1192</f>
      </c>
      <c r="B1195" s="12">
        <f>Mesh!B1192</f>
      </c>
      <c r="C1195" s="12">
        <f>Mesh!C1192</f>
      </c>
      <c r="D1195" s="12">
        <f>Mesh!D1192</f>
      </c>
      <c r="E1195" s="30">
        <f>INDEX(St_e0,Det+1)+INDEX(St_kx,Det+1)*C1195+INDEX(St_ky,Det+1)*B1195</f>
      </c>
      <c r="F1195" s="12">
        <f>IF(E1195&gt;0,IF(E1195&lt;=eco,alpha*fck*(1-(1-E1195/eco)^n),alpha*fck),0)</f>
      </c>
      <c r="G1195" s="11">
        <f>F1195*D1195</f>
      </c>
      <c r="H1195" s="11">
        <f>G1195*C1195</f>
      </c>
      <c r="I1195" s="11">
        <f>G1195*B1195</f>
      </c>
      <c r="J1195" s="30">
        <f>PM_Angle!$J$7+PM_Angle!$K$7*$C1195+PM_Angle!$L$7*$B1195</f>
      </c>
      <c r="K1195" s="12">
        <f>IF(J1195&gt;0,IF(J1195&lt;=eco,alpha*fck*(1-(1-J1195/eco)^n),alpha*fck),0)</f>
      </c>
      <c r="L1195" s="30">
        <f>PM_Angle!$J$8+PM_Angle!$K$8*$C1195+PM_Angle!$L$8*$B1195</f>
      </c>
      <c r="M1195" s="12">
        <f>IF(L1195&gt;0,IF(L1195&lt;=eco,alpha*fck*(1-(1-L1195/eco)^n),alpha*fck),0)</f>
      </c>
      <c r="N1195" s="30">
        <f>PM_Angle!$J$9+PM_Angle!$K$9*$C1195+PM_Angle!$L$9*$B1195</f>
      </c>
      <c r="O1195" s="12">
        <f>IF(N1195&gt;0,IF(N1195&lt;=eco,alpha*fck*(1-(1-N1195/eco)^n),alpha*fck),0)</f>
      </c>
      <c r="P1195" s="30">
        <f>PM_Angle!$J$10+PM_Angle!$K$10*$C1195+PM_Angle!$L$10*$B1195</f>
      </c>
      <c r="Q1195" s="12">
        <f>IF(P1195&gt;0,IF(P1195&lt;=eco,alpha*fck*(1-(1-P1195/eco)^n),alpha*fck),0)</f>
      </c>
      <c r="R1195" s="30">
        <f>PM_Angle!$J$11+PM_Angle!$K$11*$C1195+PM_Angle!$L$11*$B1195</f>
      </c>
      <c r="S1195" s="12">
        <f>IF(R1195&gt;0,IF(R1195&lt;=eco,alpha*fck*(1-(1-R1195/eco)^n),alpha*fck),0)</f>
      </c>
      <c r="T1195" s="30">
        <f>PM_Angle!$J$12+PM_Angle!$K$12*$C1195+PM_Angle!$L$12*$B1195</f>
      </c>
      <c r="U1195" s="12">
        <f>IF(T1195&gt;0,IF(T1195&lt;=eco,alpha*fck*(1-(1-T1195/eco)^n),alpha*fck),0)</f>
      </c>
      <c r="V1195" s="30">
        <f>PM_Angle!$J$13+PM_Angle!$K$13*$C1195+PM_Angle!$L$13*$B1195</f>
      </c>
      <c r="W1195" s="12">
        <f>IF(V1195&gt;0,IF(V1195&lt;=eco,alpha*fck*(1-(1-V1195/eco)^n),alpha*fck),0)</f>
      </c>
      <c r="X1195" s="30">
        <f>PM_Angle!$J$14+PM_Angle!$K$14*$C1195+PM_Angle!$L$14*$B1195</f>
      </c>
      <c r="Y1195" s="12">
        <f>IF(X1195&gt;0,IF(X1195&lt;=eco,alpha*fck*(1-(1-X1195/eco)^n),alpha*fck),0)</f>
      </c>
      <c r="Z1195" s="30">
        <f>PM_Angle!$J$15+PM_Angle!$K$15*$C1195+PM_Angle!$L$15*$B1195</f>
      </c>
      <c r="AA1195" s="12">
        <f>IF(Z1195&gt;0,IF(Z1195&lt;=eco,alpha*fck*(1-(1-Z1195/eco)^n),alpha*fck),0)</f>
      </c>
      <c r="AB1195" s="30">
        <f>PM_Angle!$J$16+PM_Angle!$K$16*$C1195+PM_Angle!$L$16*$B1195</f>
      </c>
      <c r="AC1195" s="12">
        <f>IF(AB1195&gt;0,IF(AB1195&lt;=eco,alpha*fck*(1-(1-AB1195/eco)^n),alpha*fck),0)</f>
      </c>
      <c r="AD1195" s="30">
        <f>PM_Angle!$J$17+PM_Angle!$K$17*$C1195+PM_Angle!$L$17*$B1195</f>
      </c>
      <c r="AE1195" s="12">
        <f>IF(AD1195&gt;0,IF(AD1195&lt;=eco,alpha*fck*(1-(1-AD1195/eco)^n),alpha*fck),0)</f>
      </c>
      <c r="AF1195" s="30">
        <f>PM_Angle!$J$18+PM_Angle!$K$18*$C1195+PM_Angle!$L$18*$B1195</f>
      </c>
      <c r="AG1195" s="12">
        <f>IF(AF1195&gt;0,IF(AF1195&lt;=eco,alpha*fck*(1-(1-AF1195/eco)^n),alpha*fck),0)</f>
      </c>
      <c r="AH1195" s="30">
        <f>PM_Angle!$J$19+PM_Angle!$K$19*$C1195+PM_Angle!$L$19*$B1195</f>
      </c>
      <c r="AI1195" s="12">
        <f>IF(AH1195&gt;0,IF(AH1195&lt;=eco,alpha*fck*(1-(1-AH1195/eco)^n),alpha*fck),0)</f>
      </c>
      <c r="AJ1195" s="30">
        <f>PM_Angle!$J$20+PM_Angle!$K$20*$C1195+PM_Angle!$L$20*$B1195</f>
      </c>
      <c r="AK1195" s="12">
        <f>IF(AJ1195&gt;0,IF(AJ1195&lt;=eco,alpha*fck*(1-(1-AJ1195/eco)^n),alpha*fck),0)</f>
      </c>
      <c r="AL1195" s="30">
        <f>PM_Angle!$J$21+PM_Angle!$K$21*$C1195+PM_Angle!$L$21*$B1195</f>
      </c>
      <c r="AM1195" s="12">
        <f>IF(AL1195&gt;0,IF(AL1195&lt;=eco,alpha*fck*(1-(1-AL1195/eco)^n),alpha*fck),0)</f>
      </c>
      <c r="AN1195" s="30">
        <f>PM_Angle!$J$22+PM_Angle!$K$22*$C1195+PM_Angle!$L$22*$B1195</f>
      </c>
      <c r="AO1195" s="12">
        <f>IF(AN1195&gt;0,IF(AN1195&lt;=eco,alpha*fck*(1-(1-AN1195/eco)^n),alpha*fck),0)</f>
      </c>
      <c r="AP1195" s="30">
        <f>PM_Angle!$J$23+PM_Angle!$K$23*$C1195+PM_Angle!$L$23*$B1195</f>
      </c>
      <c r="AQ1195" s="12">
        <f>IF(AP1195&gt;0,IF(AP1195&lt;=eco,alpha*fck*(1-(1-AP1195/eco)^n),alpha*fck),0)</f>
      </c>
      <c r="AR1195" s="30">
        <f>PM_Angle!$J$24+PM_Angle!$K$24*$C1195+PM_Angle!$L$24*$B1195</f>
      </c>
      <c r="AS1195" s="12">
        <f>IF(AR1195&gt;0,IF(AR1195&lt;=eco,alpha*fck*(1-(1-AR1195/eco)^n),alpha*fck),0)</f>
      </c>
      <c r="AT1195" s="30">
        <f>PM_Angle!$J$25+PM_Angle!$K$25*$C1195+PM_Angle!$L$25*$B1195</f>
      </c>
      <c r="AU1195" s="12">
        <f>IF(AT1195&gt;0,IF(AT1195&lt;=eco,alpha*fck*(1-(1-AT1195/eco)^n),alpha*fck),0)</f>
      </c>
    </row>
    <row r="1196" spans="1:47" x14ac:dyDescent="0.25">
      <c r="A1196">
        <f>Mesh!A1193</f>
      </c>
      <c r="B1196" s="12">
        <f>Mesh!B1193</f>
      </c>
      <c r="C1196" s="12">
        <f>Mesh!C1193</f>
      </c>
      <c r="D1196" s="12">
        <f>Mesh!D1193</f>
      </c>
      <c r="E1196" s="30">
        <f>INDEX(St_e0,Det+1)+INDEX(St_kx,Det+1)*C1196+INDEX(St_ky,Det+1)*B1196</f>
      </c>
      <c r="F1196" s="12">
        <f>IF(E1196&gt;0,IF(E1196&lt;=eco,alpha*fck*(1-(1-E1196/eco)^n),alpha*fck),0)</f>
      </c>
      <c r="G1196" s="11">
        <f>F1196*D1196</f>
      </c>
      <c r="H1196" s="11">
        <f>G1196*C1196</f>
      </c>
      <c r="I1196" s="11">
        <f>G1196*B1196</f>
      </c>
      <c r="J1196" s="30">
        <f>PM_Angle!$J$7+PM_Angle!$K$7*$C1196+PM_Angle!$L$7*$B1196</f>
      </c>
      <c r="K1196" s="12">
        <f>IF(J1196&gt;0,IF(J1196&lt;=eco,alpha*fck*(1-(1-J1196/eco)^n),alpha*fck),0)</f>
      </c>
      <c r="L1196" s="30">
        <f>PM_Angle!$J$8+PM_Angle!$K$8*$C1196+PM_Angle!$L$8*$B1196</f>
      </c>
      <c r="M1196" s="12">
        <f>IF(L1196&gt;0,IF(L1196&lt;=eco,alpha*fck*(1-(1-L1196/eco)^n),alpha*fck),0)</f>
      </c>
      <c r="N1196" s="30">
        <f>PM_Angle!$J$9+PM_Angle!$K$9*$C1196+PM_Angle!$L$9*$B1196</f>
      </c>
      <c r="O1196" s="12">
        <f>IF(N1196&gt;0,IF(N1196&lt;=eco,alpha*fck*(1-(1-N1196/eco)^n),alpha*fck),0)</f>
      </c>
      <c r="P1196" s="30">
        <f>PM_Angle!$J$10+PM_Angle!$K$10*$C1196+PM_Angle!$L$10*$B1196</f>
      </c>
      <c r="Q1196" s="12">
        <f>IF(P1196&gt;0,IF(P1196&lt;=eco,alpha*fck*(1-(1-P1196/eco)^n),alpha*fck),0)</f>
      </c>
      <c r="R1196" s="30">
        <f>PM_Angle!$J$11+PM_Angle!$K$11*$C1196+PM_Angle!$L$11*$B1196</f>
      </c>
      <c r="S1196" s="12">
        <f>IF(R1196&gt;0,IF(R1196&lt;=eco,alpha*fck*(1-(1-R1196/eco)^n),alpha*fck),0)</f>
      </c>
      <c r="T1196" s="30">
        <f>PM_Angle!$J$12+PM_Angle!$K$12*$C1196+PM_Angle!$L$12*$B1196</f>
      </c>
      <c r="U1196" s="12">
        <f>IF(T1196&gt;0,IF(T1196&lt;=eco,alpha*fck*(1-(1-T1196/eco)^n),alpha*fck),0)</f>
      </c>
      <c r="V1196" s="30">
        <f>PM_Angle!$J$13+PM_Angle!$K$13*$C1196+PM_Angle!$L$13*$B1196</f>
      </c>
      <c r="W1196" s="12">
        <f>IF(V1196&gt;0,IF(V1196&lt;=eco,alpha*fck*(1-(1-V1196/eco)^n),alpha*fck),0)</f>
      </c>
      <c r="X1196" s="30">
        <f>PM_Angle!$J$14+PM_Angle!$K$14*$C1196+PM_Angle!$L$14*$B1196</f>
      </c>
      <c r="Y1196" s="12">
        <f>IF(X1196&gt;0,IF(X1196&lt;=eco,alpha*fck*(1-(1-X1196/eco)^n),alpha*fck),0)</f>
      </c>
      <c r="Z1196" s="30">
        <f>PM_Angle!$J$15+PM_Angle!$K$15*$C1196+PM_Angle!$L$15*$B1196</f>
      </c>
      <c r="AA1196" s="12">
        <f>IF(Z1196&gt;0,IF(Z1196&lt;=eco,alpha*fck*(1-(1-Z1196/eco)^n),alpha*fck),0)</f>
      </c>
      <c r="AB1196" s="30">
        <f>PM_Angle!$J$16+PM_Angle!$K$16*$C1196+PM_Angle!$L$16*$B1196</f>
      </c>
      <c r="AC1196" s="12">
        <f>IF(AB1196&gt;0,IF(AB1196&lt;=eco,alpha*fck*(1-(1-AB1196/eco)^n),alpha*fck),0)</f>
      </c>
      <c r="AD1196" s="30">
        <f>PM_Angle!$J$17+PM_Angle!$K$17*$C1196+PM_Angle!$L$17*$B1196</f>
      </c>
      <c r="AE1196" s="12">
        <f>IF(AD1196&gt;0,IF(AD1196&lt;=eco,alpha*fck*(1-(1-AD1196/eco)^n),alpha*fck),0)</f>
      </c>
      <c r="AF1196" s="30">
        <f>PM_Angle!$J$18+PM_Angle!$K$18*$C1196+PM_Angle!$L$18*$B1196</f>
      </c>
      <c r="AG1196" s="12">
        <f>IF(AF1196&gt;0,IF(AF1196&lt;=eco,alpha*fck*(1-(1-AF1196/eco)^n),alpha*fck),0)</f>
      </c>
      <c r="AH1196" s="30">
        <f>PM_Angle!$J$19+PM_Angle!$K$19*$C1196+PM_Angle!$L$19*$B1196</f>
      </c>
      <c r="AI1196" s="12">
        <f>IF(AH1196&gt;0,IF(AH1196&lt;=eco,alpha*fck*(1-(1-AH1196/eco)^n),alpha*fck),0)</f>
      </c>
      <c r="AJ1196" s="30">
        <f>PM_Angle!$J$20+PM_Angle!$K$20*$C1196+PM_Angle!$L$20*$B1196</f>
      </c>
      <c r="AK1196" s="12">
        <f>IF(AJ1196&gt;0,IF(AJ1196&lt;=eco,alpha*fck*(1-(1-AJ1196/eco)^n),alpha*fck),0)</f>
      </c>
      <c r="AL1196" s="30">
        <f>PM_Angle!$J$21+PM_Angle!$K$21*$C1196+PM_Angle!$L$21*$B1196</f>
      </c>
      <c r="AM1196" s="12">
        <f>IF(AL1196&gt;0,IF(AL1196&lt;=eco,alpha*fck*(1-(1-AL1196/eco)^n),alpha*fck),0)</f>
      </c>
      <c r="AN1196" s="30">
        <f>PM_Angle!$J$22+PM_Angle!$K$22*$C1196+PM_Angle!$L$22*$B1196</f>
      </c>
      <c r="AO1196" s="12">
        <f>IF(AN1196&gt;0,IF(AN1196&lt;=eco,alpha*fck*(1-(1-AN1196/eco)^n),alpha*fck),0)</f>
      </c>
      <c r="AP1196" s="30">
        <f>PM_Angle!$J$23+PM_Angle!$K$23*$C1196+PM_Angle!$L$23*$B1196</f>
      </c>
      <c r="AQ1196" s="12">
        <f>IF(AP1196&gt;0,IF(AP1196&lt;=eco,alpha*fck*(1-(1-AP1196/eco)^n),alpha*fck),0)</f>
      </c>
      <c r="AR1196" s="30">
        <f>PM_Angle!$J$24+PM_Angle!$K$24*$C1196+PM_Angle!$L$24*$B1196</f>
      </c>
      <c r="AS1196" s="12">
        <f>IF(AR1196&gt;0,IF(AR1196&lt;=eco,alpha*fck*(1-(1-AR1196/eco)^n),alpha*fck),0)</f>
      </c>
      <c r="AT1196" s="30">
        <f>PM_Angle!$J$25+PM_Angle!$K$25*$C1196+PM_Angle!$L$25*$B1196</f>
      </c>
      <c r="AU1196" s="12">
        <f>IF(AT1196&gt;0,IF(AT1196&lt;=eco,alpha*fck*(1-(1-AT1196/eco)^n),alpha*fck),0)</f>
      </c>
    </row>
    <row r="1197" spans="1:47" x14ac:dyDescent="0.25">
      <c r="A1197">
        <f>Mesh!A1194</f>
      </c>
      <c r="B1197" s="12">
        <f>Mesh!B1194</f>
      </c>
      <c r="C1197" s="12">
        <f>Mesh!C1194</f>
      </c>
      <c r="D1197" s="12">
        <f>Mesh!D1194</f>
      </c>
      <c r="E1197" s="30">
        <f>INDEX(St_e0,Det+1)+INDEX(St_kx,Det+1)*C1197+INDEX(St_ky,Det+1)*B1197</f>
      </c>
      <c r="F1197" s="12">
        <f>IF(E1197&gt;0,IF(E1197&lt;=eco,alpha*fck*(1-(1-E1197/eco)^n),alpha*fck),0)</f>
      </c>
      <c r="G1197" s="11">
        <f>F1197*D1197</f>
      </c>
      <c r="H1197" s="11">
        <f>G1197*C1197</f>
      </c>
      <c r="I1197" s="11">
        <f>G1197*B1197</f>
      </c>
      <c r="J1197" s="30">
        <f>PM_Angle!$J$7+PM_Angle!$K$7*$C1197+PM_Angle!$L$7*$B1197</f>
      </c>
      <c r="K1197" s="12">
        <f>IF(J1197&gt;0,IF(J1197&lt;=eco,alpha*fck*(1-(1-J1197/eco)^n),alpha*fck),0)</f>
      </c>
      <c r="L1197" s="30">
        <f>PM_Angle!$J$8+PM_Angle!$K$8*$C1197+PM_Angle!$L$8*$B1197</f>
      </c>
      <c r="M1197" s="12">
        <f>IF(L1197&gt;0,IF(L1197&lt;=eco,alpha*fck*(1-(1-L1197/eco)^n),alpha*fck),0)</f>
      </c>
      <c r="N1197" s="30">
        <f>PM_Angle!$J$9+PM_Angle!$K$9*$C1197+PM_Angle!$L$9*$B1197</f>
      </c>
      <c r="O1197" s="12">
        <f>IF(N1197&gt;0,IF(N1197&lt;=eco,alpha*fck*(1-(1-N1197/eco)^n),alpha*fck),0)</f>
      </c>
      <c r="P1197" s="30">
        <f>PM_Angle!$J$10+PM_Angle!$K$10*$C1197+PM_Angle!$L$10*$B1197</f>
      </c>
      <c r="Q1197" s="12">
        <f>IF(P1197&gt;0,IF(P1197&lt;=eco,alpha*fck*(1-(1-P1197/eco)^n),alpha*fck),0)</f>
      </c>
      <c r="R1197" s="30">
        <f>PM_Angle!$J$11+PM_Angle!$K$11*$C1197+PM_Angle!$L$11*$B1197</f>
      </c>
      <c r="S1197" s="12">
        <f>IF(R1197&gt;0,IF(R1197&lt;=eco,alpha*fck*(1-(1-R1197/eco)^n),alpha*fck),0)</f>
      </c>
      <c r="T1197" s="30">
        <f>PM_Angle!$J$12+PM_Angle!$K$12*$C1197+PM_Angle!$L$12*$B1197</f>
      </c>
      <c r="U1197" s="12">
        <f>IF(T1197&gt;0,IF(T1197&lt;=eco,alpha*fck*(1-(1-T1197/eco)^n),alpha*fck),0)</f>
      </c>
      <c r="V1197" s="30">
        <f>PM_Angle!$J$13+PM_Angle!$K$13*$C1197+PM_Angle!$L$13*$B1197</f>
      </c>
      <c r="W1197" s="12">
        <f>IF(V1197&gt;0,IF(V1197&lt;=eco,alpha*fck*(1-(1-V1197/eco)^n),alpha*fck),0)</f>
      </c>
      <c r="X1197" s="30">
        <f>PM_Angle!$J$14+PM_Angle!$K$14*$C1197+PM_Angle!$L$14*$B1197</f>
      </c>
      <c r="Y1197" s="12">
        <f>IF(X1197&gt;0,IF(X1197&lt;=eco,alpha*fck*(1-(1-X1197/eco)^n),alpha*fck),0)</f>
      </c>
      <c r="Z1197" s="30">
        <f>PM_Angle!$J$15+PM_Angle!$K$15*$C1197+PM_Angle!$L$15*$B1197</f>
      </c>
      <c r="AA1197" s="12">
        <f>IF(Z1197&gt;0,IF(Z1197&lt;=eco,alpha*fck*(1-(1-Z1197/eco)^n),alpha*fck),0)</f>
      </c>
      <c r="AB1197" s="30">
        <f>PM_Angle!$J$16+PM_Angle!$K$16*$C1197+PM_Angle!$L$16*$B1197</f>
      </c>
      <c r="AC1197" s="12">
        <f>IF(AB1197&gt;0,IF(AB1197&lt;=eco,alpha*fck*(1-(1-AB1197/eco)^n),alpha*fck),0)</f>
      </c>
      <c r="AD1197" s="30">
        <f>PM_Angle!$J$17+PM_Angle!$K$17*$C1197+PM_Angle!$L$17*$B1197</f>
      </c>
      <c r="AE1197" s="12">
        <f>IF(AD1197&gt;0,IF(AD1197&lt;=eco,alpha*fck*(1-(1-AD1197/eco)^n),alpha*fck),0)</f>
      </c>
      <c r="AF1197" s="30">
        <f>PM_Angle!$J$18+PM_Angle!$K$18*$C1197+PM_Angle!$L$18*$B1197</f>
      </c>
      <c r="AG1197" s="12">
        <f>IF(AF1197&gt;0,IF(AF1197&lt;=eco,alpha*fck*(1-(1-AF1197/eco)^n),alpha*fck),0)</f>
      </c>
      <c r="AH1197" s="30">
        <f>PM_Angle!$J$19+PM_Angle!$K$19*$C1197+PM_Angle!$L$19*$B1197</f>
      </c>
      <c r="AI1197" s="12">
        <f>IF(AH1197&gt;0,IF(AH1197&lt;=eco,alpha*fck*(1-(1-AH1197/eco)^n),alpha*fck),0)</f>
      </c>
      <c r="AJ1197" s="30">
        <f>PM_Angle!$J$20+PM_Angle!$K$20*$C1197+PM_Angle!$L$20*$B1197</f>
      </c>
      <c r="AK1197" s="12">
        <f>IF(AJ1197&gt;0,IF(AJ1197&lt;=eco,alpha*fck*(1-(1-AJ1197/eco)^n),alpha*fck),0)</f>
      </c>
      <c r="AL1197" s="30">
        <f>PM_Angle!$J$21+PM_Angle!$K$21*$C1197+PM_Angle!$L$21*$B1197</f>
      </c>
      <c r="AM1197" s="12">
        <f>IF(AL1197&gt;0,IF(AL1197&lt;=eco,alpha*fck*(1-(1-AL1197/eco)^n),alpha*fck),0)</f>
      </c>
      <c r="AN1197" s="30">
        <f>PM_Angle!$J$22+PM_Angle!$K$22*$C1197+PM_Angle!$L$22*$B1197</f>
      </c>
      <c r="AO1197" s="12">
        <f>IF(AN1197&gt;0,IF(AN1197&lt;=eco,alpha*fck*(1-(1-AN1197/eco)^n),alpha*fck),0)</f>
      </c>
      <c r="AP1197" s="30">
        <f>PM_Angle!$J$23+PM_Angle!$K$23*$C1197+PM_Angle!$L$23*$B1197</f>
      </c>
      <c r="AQ1197" s="12">
        <f>IF(AP1197&gt;0,IF(AP1197&lt;=eco,alpha*fck*(1-(1-AP1197/eco)^n),alpha*fck),0)</f>
      </c>
      <c r="AR1197" s="30">
        <f>PM_Angle!$J$24+PM_Angle!$K$24*$C1197+PM_Angle!$L$24*$B1197</f>
      </c>
      <c r="AS1197" s="12">
        <f>IF(AR1197&gt;0,IF(AR1197&lt;=eco,alpha*fck*(1-(1-AR1197/eco)^n),alpha*fck),0)</f>
      </c>
      <c r="AT1197" s="30">
        <f>PM_Angle!$J$25+PM_Angle!$K$25*$C1197+PM_Angle!$L$25*$B1197</f>
      </c>
      <c r="AU1197" s="12">
        <f>IF(AT1197&gt;0,IF(AT1197&lt;=eco,alpha*fck*(1-(1-AT1197/eco)^n),alpha*fck),0)</f>
      </c>
    </row>
    <row r="1198" spans="1:47" x14ac:dyDescent="0.25">
      <c r="A1198">
        <f>Mesh!A1195</f>
      </c>
      <c r="B1198" s="12">
        <f>Mesh!B1195</f>
      </c>
      <c r="C1198" s="12">
        <f>Mesh!C1195</f>
      </c>
      <c r="D1198" s="12">
        <f>Mesh!D1195</f>
      </c>
      <c r="E1198" s="30">
        <f>INDEX(St_e0,Det+1)+INDEX(St_kx,Det+1)*C1198+INDEX(St_ky,Det+1)*B1198</f>
      </c>
      <c r="F1198" s="12">
        <f>IF(E1198&gt;0,IF(E1198&lt;=eco,alpha*fck*(1-(1-E1198/eco)^n),alpha*fck),0)</f>
      </c>
      <c r="G1198" s="11">
        <f>F1198*D1198</f>
      </c>
      <c r="H1198" s="11">
        <f>G1198*C1198</f>
      </c>
      <c r="I1198" s="11">
        <f>G1198*B1198</f>
      </c>
      <c r="J1198" s="30">
        <f>PM_Angle!$J$7+PM_Angle!$K$7*$C1198+PM_Angle!$L$7*$B1198</f>
      </c>
      <c r="K1198" s="12">
        <f>IF(J1198&gt;0,IF(J1198&lt;=eco,alpha*fck*(1-(1-J1198/eco)^n),alpha*fck),0)</f>
      </c>
      <c r="L1198" s="30">
        <f>PM_Angle!$J$8+PM_Angle!$K$8*$C1198+PM_Angle!$L$8*$B1198</f>
      </c>
      <c r="M1198" s="12">
        <f>IF(L1198&gt;0,IF(L1198&lt;=eco,alpha*fck*(1-(1-L1198/eco)^n),alpha*fck),0)</f>
      </c>
      <c r="N1198" s="30">
        <f>PM_Angle!$J$9+PM_Angle!$K$9*$C1198+PM_Angle!$L$9*$B1198</f>
      </c>
      <c r="O1198" s="12">
        <f>IF(N1198&gt;0,IF(N1198&lt;=eco,alpha*fck*(1-(1-N1198/eco)^n),alpha*fck),0)</f>
      </c>
      <c r="P1198" s="30">
        <f>PM_Angle!$J$10+PM_Angle!$K$10*$C1198+PM_Angle!$L$10*$B1198</f>
      </c>
      <c r="Q1198" s="12">
        <f>IF(P1198&gt;0,IF(P1198&lt;=eco,alpha*fck*(1-(1-P1198/eco)^n),alpha*fck),0)</f>
      </c>
      <c r="R1198" s="30">
        <f>PM_Angle!$J$11+PM_Angle!$K$11*$C1198+PM_Angle!$L$11*$B1198</f>
      </c>
      <c r="S1198" s="12">
        <f>IF(R1198&gt;0,IF(R1198&lt;=eco,alpha*fck*(1-(1-R1198/eco)^n),alpha*fck),0)</f>
      </c>
      <c r="T1198" s="30">
        <f>PM_Angle!$J$12+PM_Angle!$K$12*$C1198+PM_Angle!$L$12*$B1198</f>
      </c>
      <c r="U1198" s="12">
        <f>IF(T1198&gt;0,IF(T1198&lt;=eco,alpha*fck*(1-(1-T1198/eco)^n),alpha*fck),0)</f>
      </c>
      <c r="V1198" s="30">
        <f>PM_Angle!$J$13+PM_Angle!$K$13*$C1198+PM_Angle!$L$13*$B1198</f>
      </c>
      <c r="W1198" s="12">
        <f>IF(V1198&gt;0,IF(V1198&lt;=eco,alpha*fck*(1-(1-V1198/eco)^n),alpha*fck),0)</f>
      </c>
      <c r="X1198" s="30">
        <f>PM_Angle!$J$14+PM_Angle!$K$14*$C1198+PM_Angle!$L$14*$B1198</f>
      </c>
      <c r="Y1198" s="12">
        <f>IF(X1198&gt;0,IF(X1198&lt;=eco,alpha*fck*(1-(1-X1198/eco)^n),alpha*fck),0)</f>
      </c>
      <c r="Z1198" s="30">
        <f>PM_Angle!$J$15+PM_Angle!$K$15*$C1198+PM_Angle!$L$15*$B1198</f>
      </c>
      <c r="AA1198" s="12">
        <f>IF(Z1198&gt;0,IF(Z1198&lt;=eco,alpha*fck*(1-(1-Z1198/eco)^n),alpha*fck),0)</f>
      </c>
      <c r="AB1198" s="30">
        <f>PM_Angle!$J$16+PM_Angle!$K$16*$C1198+PM_Angle!$L$16*$B1198</f>
      </c>
      <c r="AC1198" s="12">
        <f>IF(AB1198&gt;0,IF(AB1198&lt;=eco,alpha*fck*(1-(1-AB1198/eco)^n),alpha*fck),0)</f>
      </c>
      <c r="AD1198" s="30">
        <f>PM_Angle!$J$17+PM_Angle!$K$17*$C1198+PM_Angle!$L$17*$B1198</f>
      </c>
      <c r="AE1198" s="12">
        <f>IF(AD1198&gt;0,IF(AD1198&lt;=eco,alpha*fck*(1-(1-AD1198/eco)^n),alpha*fck),0)</f>
      </c>
      <c r="AF1198" s="30">
        <f>PM_Angle!$J$18+PM_Angle!$K$18*$C1198+PM_Angle!$L$18*$B1198</f>
      </c>
      <c r="AG1198" s="12">
        <f>IF(AF1198&gt;0,IF(AF1198&lt;=eco,alpha*fck*(1-(1-AF1198/eco)^n),alpha*fck),0)</f>
      </c>
      <c r="AH1198" s="30">
        <f>PM_Angle!$J$19+PM_Angle!$K$19*$C1198+PM_Angle!$L$19*$B1198</f>
      </c>
      <c r="AI1198" s="12">
        <f>IF(AH1198&gt;0,IF(AH1198&lt;=eco,alpha*fck*(1-(1-AH1198/eco)^n),alpha*fck),0)</f>
      </c>
      <c r="AJ1198" s="30">
        <f>PM_Angle!$J$20+PM_Angle!$K$20*$C1198+PM_Angle!$L$20*$B1198</f>
      </c>
      <c r="AK1198" s="12">
        <f>IF(AJ1198&gt;0,IF(AJ1198&lt;=eco,alpha*fck*(1-(1-AJ1198/eco)^n),alpha*fck),0)</f>
      </c>
      <c r="AL1198" s="30">
        <f>PM_Angle!$J$21+PM_Angle!$K$21*$C1198+PM_Angle!$L$21*$B1198</f>
      </c>
      <c r="AM1198" s="12">
        <f>IF(AL1198&gt;0,IF(AL1198&lt;=eco,alpha*fck*(1-(1-AL1198/eco)^n),alpha*fck),0)</f>
      </c>
      <c r="AN1198" s="30">
        <f>PM_Angle!$J$22+PM_Angle!$K$22*$C1198+PM_Angle!$L$22*$B1198</f>
      </c>
      <c r="AO1198" s="12">
        <f>IF(AN1198&gt;0,IF(AN1198&lt;=eco,alpha*fck*(1-(1-AN1198/eco)^n),alpha*fck),0)</f>
      </c>
      <c r="AP1198" s="30">
        <f>PM_Angle!$J$23+PM_Angle!$K$23*$C1198+PM_Angle!$L$23*$B1198</f>
      </c>
      <c r="AQ1198" s="12">
        <f>IF(AP1198&gt;0,IF(AP1198&lt;=eco,alpha*fck*(1-(1-AP1198/eco)^n),alpha*fck),0)</f>
      </c>
      <c r="AR1198" s="30">
        <f>PM_Angle!$J$24+PM_Angle!$K$24*$C1198+PM_Angle!$L$24*$B1198</f>
      </c>
      <c r="AS1198" s="12">
        <f>IF(AR1198&gt;0,IF(AR1198&lt;=eco,alpha*fck*(1-(1-AR1198/eco)^n),alpha*fck),0)</f>
      </c>
      <c r="AT1198" s="30">
        <f>PM_Angle!$J$25+PM_Angle!$K$25*$C1198+PM_Angle!$L$25*$B1198</f>
      </c>
      <c r="AU1198" s="12">
        <f>IF(AT1198&gt;0,IF(AT1198&lt;=eco,alpha*fck*(1-(1-AT1198/eco)^n),alpha*fck),0)</f>
      </c>
    </row>
    <row r="1199" spans="1:47" x14ac:dyDescent="0.25">
      <c r="A1199">
        <f>Mesh!A1196</f>
      </c>
      <c r="B1199" s="12">
        <f>Mesh!B1196</f>
      </c>
      <c r="C1199" s="12">
        <f>Mesh!C1196</f>
      </c>
      <c r="D1199" s="12">
        <f>Mesh!D1196</f>
      </c>
      <c r="E1199" s="30">
        <f>INDEX(St_e0,Det+1)+INDEX(St_kx,Det+1)*C1199+INDEX(St_ky,Det+1)*B1199</f>
      </c>
      <c r="F1199" s="12">
        <f>IF(E1199&gt;0,IF(E1199&lt;=eco,alpha*fck*(1-(1-E1199/eco)^n),alpha*fck),0)</f>
      </c>
      <c r="G1199" s="11">
        <f>F1199*D1199</f>
      </c>
      <c r="H1199" s="11">
        <f>G1199*C1199</f>
      </c>
      <c r="I1199" s="11">
        <f>G1199*B1199</f>
      </c>
      <c r="J1199" s="30">
        <f>PM_Angle!$J$7+PM_Angle!$K$7*$C1199+PM_Angle!$L$7*$B1199</f>
      </c>
      <c r="K1199" s="12">
        <f>IF(J1199&gt;0,IF(J1199&lt;=eco,alpha*fck*(1-(1-J1199/eco)^n),alpha*fck),0)</f>
      </c>
      <c r="L1199" s="30">
        <f>PM_Angle!$J$8+PM_Angle!$K$8*$C1199+PM_Angle!$L$8*$B1199</f>
      </c>
      <c r="M1199" s="12">
        <f>IF(L1199&gt;0,IF(L1199&lt;=eco,alpha*fck*(1-(1-L1199/eco)^n),alpha*fck),0)</f>
      </c>
      <c r="N1199" s="30">
        <f>PM_Angle!$J$9+PM_Angle!$K$9*$C1199+PM_Angle!$L$9*$B1199</f>
      </c>
      <c r="O1199" s="12">
        <f>IF(N1199&gt;0,IF(N1199&lt;=eco,alpha*fck*(1-(1-N1199/eco)^n),alpha*fck),0)</f>
      </c>
      <c r="P1199" s="30">
        <f>PM_Angle!$J$10+PM_Angle!$K$10*$C1199+PM_Angle!$L$10*$B1199</f>
      </c>
      <c r="Q1199" s="12">
        <f>IF(P1199&gt;0,IF(P1199&lt;=eco,alpha*fck*(1-(1-P1199/eco)^n),alpha*fck),0)</f>
      </c>
      <c r="R1199" s="30">
        <f>PM_Angle!$J$11+PM_Angle!$K$11*$C1199+PM_Angle!$L$11*$B1199</f>
      </c>
      <c r="S1199" s="12">
        <f>IF(R1199&gt;0,IF(R1199&lt;=eco,alpha*fck*(1-(1-R1199/eco)^n),alpha*fck),0)</f>
      </c>
      <c r="T1199" s="30">
        <f>PM_Angle!$J$12+PM_Angle!$K$12*$C1199+PM_Angle!$L$12*$B1199</f>
      </c>
      <c r="U1199" s="12">
        <f>IF(T1199&gt;0,IF(T1199&lt;=eco,alpha*fck*(1-(1-T1199/eco)^n),alpha*fck),0)</f>
      </c>
      <c r="V1199" s="30">
        <f>PM_Angle!$J$13+PM_Angle!$K$13*$C1199+PM_Angle!$L$13*$B1199</f>
      </c>
      <c r="W1199" s="12">
        <f>IF(V1199&gt;0,IF(V1199&lt;=eco,alpha*fck*(1-(1-V1199/eco)^n),alpha*fck),0)</f>
      </c>
      <c r="X1199" s="30">
        <f>PM_Angle!$J$14+PM_Angle!$K$14*$C1199+PM_Angle!$L$14*$B1199</f>
      </c>
      <c r="Y1199" s="12">
        <f>IF(X1199&gt;0,IF(X1199&lt;=eco,alpha*fck*(1-(1-X1199/eco)^n),alpha*fck),0)</f>
      </c>
      <c r="Z1199" s="30">
        <f>PM_Angle!$J$15+PM_Angle!$K$15*$C1199+PM_Angle!$L$15*$B1199</f>
      </c>
      <c r="AA1199" s="12">
        <f>IF(Z1199&gt;0,IF(Z1199&lt;=eco,alpha*fck*(1-(1-Z1199/eco)^n),alpha*fck),0)</f>
      </c>
      <c r="AB1199" s="30">
        <f>PM_Angle!$J$16+PM_Angle!$K$16*$C1199+PM_Angle!$L$16*$B1199</f>
      </c>
      <c r="AC1199" s="12">
        <f>IF(AB1199&gt;0,IF(AB1199&lt;=eco,alpha*fck*(1-(1-AB1199/eco)^n),alpha*fck),0)</f>
      </c>
      <c r="AD1199" s="30">
        <f>PM_Angle!$J$17+PM_Angle!$K$17*$C1199+PM_Angle!$L$17*$B1199</f>
      </c>
      <c r="AE1199" s="12">
        <f>IF(AD1199&gt;0,IF(AD1199&lt;=eco,alpha*fck*(1-(1-AD1199/eco)^n),alpha*fck),0)</f>
      </c>
      <c r="AF1199" s="30">
        <f>PM_Angle!$J$18+PM_Angle!$K$18*$C1199+PM_Angle!$L$18*$B1199</f>
      </c>
      <c r="AG1199" s="12">
        <f>IF(AF1199&gt;0,IF(AF1199&lt;=eco,alpha*fck*(1-(1-AF1199/eco)^n),alpha*fck),0)</f>
      </c>
      <c r="AH1199" s="30">
        <f>PM_Angle!$J$19+PM_Angle!$K$19*$C1199+PM_Angle!$L$19*$B1199</f>
      </c>
      <c r="AI1199" s="12">
        <f>IF(AH1199&gt;0,IF(AH1199&lt;=eco,alpha*fck*(1-(1-AH1199/eco)^n),alpha*fck),0)</f>
      </c>
      <c r="AJ1199" s="30">
        <f>PM_Angle!$J$20+PM_Angle!$K$20*$C1199+PM_Angle!$L$20*$B1199</f>
      </c>
      <c r="AK1199" s="12">
        <f>IF(AJ1199&gt;0,IF(AJ1199&lt;=eco,alpha*fck*(1-(1-AJ1199/eco)^n),alpha*fck),0)</f>
      </c>
      <c r="AL1199" s="30">
        <f>PM_Angle!$J$21+PM_Angle!$K$21*$C1199+PM_Angle!$L$21*$B1199</f>
      </c>
      <c r="AM1199" s="12">
        <f>IF(AL1199&gt;0,IF(AL1199&lt;=eco,alpha*fck*(1-(1-AL1199/eco)^n),alpha*fck),0)</f>
      </c>
      <c r="AN1199" s="30">
        <f>PM_Angle!$J$22+PM_Angle!$K$22*$C1199+PM_Angle!$L$22*$B1199</f>
      </c>
      <c r="AO1199" s="12">
        <f>IF(AN1199&gt;0,IF(AN1199&lt;=eco,alpha*fck*(1-(1-AN1199/eco)^n),alpha*fck),0)</f>
      </c>
      <c r="AP1199" s="30">
        <f>PM_Angle!$J$23+PM_Angle!$K$23*$C1199+PM_Angle!$L$23*$B1199</f>
      </c>
      <c r="AQ1199" s="12">
        <f>IF(AP1199&gt;0,IF(AP1199&lt;=eco,alpha*fck*(1-(1-AP1199/eco)^n),alpha*fck),0)</f>
      </c>
      <c r="AR1199" s="30">
        <f>PM_Angle!$J$24+PM_Angle!$K$24*$C1199+PM_Angle!$L$24*$B1199</f>
      </c>
      <c r="AS1199" s="12">
        <f>IF(AR1199&gt;0,IF(AR1199&lt;=eco,alpha*fck*(1-(1-AR1199/eco)^n),alpha*fck),0)</f>
      </c>
      <c r="AT1199" s="30">
        <f>PM_Angle!$J$25+PM_Angle!$K$25*$C1199+PM_Angle!$L$25*$B1199</f>
      </c>
      <c r="AU1199" s="12">
        <f>IF(AT1199&gt;0,IF(AT1199&lt;=eco,alpha*fck*(1-(1-AT1199/eco)^n),alpha*fck),0)</f>
      </c>
    </row>
    <row r="1200" spans="1:47" x14ac:dyDescent="0.25">
      <c r="A1200">
        <f>Mesh!A1197</f>
      </c>
      <c r="B1200" s="12">
        <f>Mesh!B1197</f>
      </c>
      <c r="C1200" s="12">
        <f>Mesh!C1197</f>
      </c>
      <c r="D1200" s="12">
        <f>Mesh!D1197</f>
      </c>
      <c r="E1200" s="30">
        <f>INDEX(St_e0,Det+1)+INDEX(St_kx,Det+1)*C1200+INDEX(St_ky,Det+1)*B1200</f>
      </c>
      <c r="F1200" s="12">
        <f>IF(E1200&gt;0,IF(E1200&lt;=eco,alpha*fck*(1-(1-E1200/eco)^n),alpha*fck),0)</f>
      </c>
      <c r="G1200" s="11">
        <f>F1200*D1200</f>
      </c>
      <c r="H1200" s="11">
        <f>G1200*C1200</f>
      </c>
      <c r="I1200" s="11">
        <f>G1200*B1200</f>
      </c>
      <c r="J1200" s="30">
        <f>PM_Angle!$J$7+PM_Angle!$K$7*$C1200+PM_Angle!$L$7*$B1200</f>
      </c>
      <c r="K1200" s="12">
        <f>IF(J1200&gt;0,IF(J1200&lt;=eco,alpha*fck*(1-(1-J1200/eco)^n),alpha*fck),0)</f>
      </c>
      <c r="L1200" s="30">
        <f>PM_Angle!$J$8+PM_Angle!$K$8*$C1200+PM_Angle!$L$8*$B1200</f>
      </c>
      <c r="M1200" s="12">
        <f>IF(L1200&gt;0,IF(L1200&lt;=eco,alpha*fck*(1-(1-L1200/eco)^n),alpha*fck),0)</f>
      </c>
      <c r="N1200" s="30">
        <f>PM_Angle!$J$9+PM_Angle!$K$9*$C1200+PM_Angle!$L$9*$B1200</f>
      </c>
      <c r="O1200" s="12">
        <f>IF(N1200&gt;0,IF(N1200&lt;=eco,alpha*fck*(1-(1-N1200/eco)^n),alpha*fck),0)</f>
      </c>
      <c r="P1200" s="30">
        <f>PM_Angle!$J$10+PM_Angle!$K$10*$C1200+PM_Angle!$L$10*$B1200</f>
      </c>
      <c r="Q1200" s="12">
        <f>IF(P1200&gt;0,IF(P1200&lt;=eco,alpha*fck*(1-(1-P1200/eco)^n),alpha*fck),0)</f>
      </c>
      <c r="R1200" s="30">
        <f>PM_Angle!$J$11+PM_Angle!$K$11*$C1200+PM_Angle!$L$11*$B1200</f>
      </c>
      <c r="S1200" s="12">
        <f>IF(R1200&gt;0,IF(R1200&lt;=eco,alpha*fck*(1-(1-R1200/eco)^n),alpha*fck),0)</f>
      </c>
      <c r="T1200" s="30">
        <f>PM_Angle!$J$12+PM_Angle!$K$12*$C1200+PM_Angle!$L$12*$B1200</f>
      </c>
      <c r="U1200" s="12">
        <f>IF(T1200&gt;0,IF(T1200&lt;=eco,alpha*fck*(1-(1-T1200/eco)^n),alpha*fck),0)</f>
      </c>
      <c r="V1200" s="30">
        <f>PM_Angle!$J$13+PM_Angle!$K$13*$C1200+PM_Angle!$L$13*$B1200</f>
      </c>
      <c r="W1200" s="12">
        <f>IF(V1200&gt;0,IF(V1200&lt;=eco,alpha*fck*(1-(1-V1200/eco)^n),alpha*fck),0)</f>
      </c>
      <c r="X1200" s="30">
        <f>PM_Angle!$J$14+PM_Angle!$K$14*$C1200+PM_Angle!$L$14*$B1200</f>
      </c>
      <c r="Y1200" s="12">
        <f>IF(X1200&gt;0,IF(X1200&lt;=eco,alpha*fck*(1-(1-X1200/eco)^n),alpha*fck),0)</f>
      </c>
      <c r="Z1200" s="30">
        <f>PM_Angle!$J$15+PM_Angle!$K$15*$C1200+PM_Angle!$L$15*$B1200</f>
      </c>
      <c r="AA1200" s="12">
        <f>IF(Z1200&gt;0,IF(Z1200&lt;=eco,alpha*fck*(1-(1-Z1200/eco)^n),alpha*fck),0)</f>
      </c>
      <c r="AB1200" s="30">
        <f>PM_Angle!$J$16+PM_Angle!$K$16*$C1200+PM_Angle!$L$16*$B1200</f>
      </c>
      <c r="AC1200" s="12">
        <f>IF(AB1200&gt;0,IF(AB1200&lt;=eco,alpha*fck*(1-(1-AB1200/eco)^n),alpha*fck),0)</f>
      </c>
      <c r="AD1200" s="30">
        <f>PM_Angle!$J$17+PM_Angle!$K$17*$C1200+PM_Angle!$L$17*$B1200</f>
      </c>
      <c r="AE1200" s="12">
        <f>IF(AD1200&gt;0,IF(AD1200&lt;=eco,alpha*fck*(1-(1-AD1200/eco)^n),alpha*fck),0)</f>
      </c>
      <c r="AF1200" s="30">
        <f>PM_Angle!$J$18+PM_Angle!$K$18*$C1200+PM_Angle!$L$18*$B1200</f>
      </c>
      <c r="AG1200" s="12">
        <f>IF(AF1200&gt;0,IF(AF1200&lt;=eco,alpha*fck*(1-(1-AF1200/eco)^n),alpha*fck),0)</f>
      </c>
      <c r="AH1200" s="30">
        <f>PM_Angle!$J$19+PM_Angle!$K$19*$C1200+PM_Angle!$L$19*$B1200</f>
      </c>
      <c r="AI1200" s="12">
        <f>IF(AH1200&gt;0,IF(AH1200&lt;=eco,alpha*fck*(1-(1-AH1200/eco)^n),alpha*fck),0)</f>
      </c>
      <c r="AJ1200" s="30">
        <f>PM_Angle!$J$20+PM_Angle!$K$20*$C1200+PM_Angle!$L$20*$B1200</f>
      </c>
      <c r="AK1200" s="12">
        <f>IF(AJ1200&gt;0,IF(AJ1200&lt;=eco,alpha*fck*(1-(1-AJ1200/eco)^n),alpha*fck),0)</f>
      </c>
      <c r="AL1200" s="30">
        <f>PM_Angle!$J$21+PM_Angle!$K$21*$C1200+PM_Angle!$L$21*$B1200</f>
      </c>
      <c r="AM1200" s="12">
        <f>IF(AL1200&gt;0,IF(AL1200&lt;=eco,alpha*fck*(1-(1-AL1200/eco)^n),alpha*fck),0)</f>
      </c>
      <c r="AN1200" s="30">
        <f>PM_Angle!$J$22+PM_Angle!$K$22*$C1200+PM_Angle!$L$22*$B1200</f>
      </c>
      <c r="AO1200" s="12">
        <f>IF(AN1200&gt;0,IF(AN1200&lt;=eco,alpha*fck*(1-(1-AN1200/eco)^n),alpha*fck),0)</f>
      </c>
      <c r="AP1200" s="30">
        <f>PM_Angle!$J$23+PM_Angle!$K$23*$C1200+PM_Angle!$L$23*$B1200</f>
      </c>
      <c r="AQ1200" s="12">
        <f>IF(AP1200&gt;0,IF(AP1200&lt;=eco,alpha*fck*(1-(1-AP1200/eco)^n),alpha*fck),0)</f>
      </c>
      <c r="AR1200" s="30">
        <f>PM_Angle!$J$24+PM_Angle!$K$24*$C1200+PM_Angle!$L$24*$B1200</f>
      </c>
      <c r="AS1200" s="12">
        <f>IF(AR1200&gt;0,IF(AR1200&lt;=eco,alpha*fck*(1-(1-AR1200/eco)^n),alpha*fck),0)</f>
      </c>
      <c r="AT1200" s="30">
        <f>PM_Angle!$J$25+PM_Angle!$K$25*$C1200+PM_Angle!$L$25*$B1200</f>
      </c>
      <c r="AU1200" s="12">
        <f>IF(AT1200&gt;0,IF(AT1200&lt;=eco,alpha*fck*(1-(1-AT1200/eco)^n),alpha*fck),0)</f>
      </c>
    </row>
    <row r="1201" spans="1:47" x14ac:dyDescent="0.25">
      <c r="A1201">
        <f>Mesh!A1198</f>
      </c>
      <c r="B1201" s="12">
        <f>Mesh!B1198</f>
      </c>
      <c r="C1201" s="12">
        <f>Mesh!C1198</f>
      </c>
      <c r="D1201" s="12">
        <f>Mesh!D1198</f>
      </c>
      <c r="E1201" s="30">
        <f>INDEX(St_e0,Det+1)+INDEX(St_kx,Det+1)*C1201+INDEX(St_ky,Det+1)*B1201</f>
      </c>
      <c r="F1201" s="12">
        <f>IF(E1201&gt;0,IF(E1201&lt;=eco,alpha*fck*(1-(1-E1201/eco)^n),alpha*fck),0)</f>
      </c>
      <c r="G1201" s="11">
        <f>F1201*D1201</f>
      </c>
      <c r="H1201" s="11">
        <f>G1201*C1201</f>
      </c>
      <c r="I1201" s="11">
        <f>G1201*B1201</f>
      </c>
      <c r="J1201" s="30">
        <f>PM_Angle!$J$7+PM_Angle!$K$7*$C1201+PM_Angle!$L$7*$B1201</f>
      </c>
      <c r="K1201" s="12">
        <f>IF(J1201&gt;0,IF(J1201&lt;=eco,alpha*fck*(1-(1-J1201/eco)^n),alpha*fck),0)</f>
      </c>
      <c r="L1201" s="30">
        <f>PM_Angle!$J$8+PM_Angle!$K$8*$C1201+PM_Angle!$L$8*$B1201</f>
      </c>
      <c r="M1201" s="12">
        <f>IF(L1201&gt;0,IF(L1201&lt;=eco,alpha*fck*(1-(1-L1201/eco)^n),alpha*fck),0)</f>
      </c>
      <c r="N1201" s="30">
        <f>PM_Angle!$J$9+PM_Angle!$K$9*$C1201+PM_Angle!$L$9*$B1201</f>
      </c>
      <c r="O1201" s="12">
        <f>IF(N1201&gt;0,IF(N1201&lt;=eco,alpha*fck*(1-(1-N1201/eco)^n),alpha*fck),0)</f>
      </c>
      <c r="P1201" s="30">
        <f>PM_Angle!$J$10+PM_Angle!$K$10*$C1201+PM_Angle!$L$10*$B1201</f>
      </c>
      <c r="Q1201" s="12">
        <f>IF(P1201&gt;0,IF(P1201&lt;=eco,alpha*fck*(1-(1-P1201/eco)^n),alpha*fck),0)</f>
      </c>
      <c r="R1201" s="30">
        <f>PM_Angle!$J$11+PM_Angle!$K$11*$C1201+PM_Angle!$L$11*$B1201</f>
      </c>
      <c r="S1201" s="12">
        <f>IF(R1201&gt;0,IF(R1201&lt;=eco,alpha*fck*(1-(1-R1201/eco)^n),alpha*fck),0)</f>
      </c>
      <c r="T1201" s="30">
        <f>PM_Angle!$J$12+PM_Angle!$K$12*$C1201+PM_Angle!$L$12*$B1201</f>
      </c>
      <c r="U1201" s="12">
        <f>IF(T1201&gt;0,IF(T1201&lt;=eco,alpha*fck*(1-(1-T1201/eco)^n),alpha*fck),0)</f>
      </c>
      <c r="V1201" s="30">
        <f>PM_Angle!$J$13+PM_Angle!$K$13*$C1201+PM_Angle!$L$13*$B1201</f>
      </c>
      <c r="W1201" s="12">
        <f>IF(V1201&gt;0,IF(V1201&lt;=eco,alpha*fck*(1-(1-V1201/eco)^n),alpha*fck),0)</f>
      </c>
      <c r="X1201" s="30">
        <f>PM_Angle!$J$14+PM_Angle!$K$14*$C1201+PM_Angle!$L$14*$B1201</f>
      </c>
      <c r="Y1201" s="12">
        <f>IF(X1201&gt;0,IF(X1201&lt;=eco,alpha*fck*(1-(1-X1201/eco)^n),alpha*fck),0)</f>
      </c>
      <c r="Z1201" s="30">
        <f>PM_Angle!$J$15+PM_Angle!$K$15*$C1201+PM_Angle!$L$15*$B1201</f>
      </c>
      <c r="AA1201" s="12">
        <f>IF(Z1201&gt;0,IF(Z1201&lt;=eco,alpha*fck*(1-(1-Z1201/eco)^n),alpha*fck),0)</f>
      </c>
      <c r="AB1201" s="30">
        <f>PM_Angle!$J$16+PM_Angle!$K$16*$C1201+PM_Angle!$L$16*$B1201</f>
      </c>
      <c r="AC1201" s="12">
        <f>IF(AB1201&gt;0,IF(AB1201&lt;=eco,alpha*fck*(1-(1-AB1201/eco)^n),alpha*fck),0)</f>
      </c>
      <c r="AD1201" s="30">
        <f>PM_Angle!$J$17+PM_Angle!$K$17*$C1201+PM_Angle!$L$17*$B1201</f>
      </c>
      <c r="AE1201" s="12">
        <f>IF(AD1201&gt;0,IF(AD1201&lt;=eco,alpha*fck*(1-(1-AD1201/eco)^n),alpha*fck),0)</f>
      </c>
      <c r="AF1201" s="30">
        <f>PM_Angle!$J$18+PM_Angle!$K$18*$C1201+PM_Angle!$L$18*$B1201</f>
      </c>
      <c r="AG1201" s="12">
        <f>IF(AF1201&gt;0,IF(AF1201&lt;=eco,alpha*fck*(1-(1-AF1201/eco)^n),alpha*fck),0)</f>
      </c>
      <c r="AH1201" s="30">
        <f>PM_Angle!$J$19+PM_Angle!$K$19*$C1201+PM_Angle!$L$19*$B1201</f>
      </c>
      <c r="AI1201" s="12">
        <f>IF(AH1201&gt;0,IF(AH1201&lt;=eco,alpha*fck*(1-(1-AH1201/eco)^n),alpha*fck),0)</f>
      </c>
      <c r="AJ1201" s="30">
        <f>PM_Angle!$J$20+PM_Angle!$K$20*$C1201+PM_Angle!$L$20*$B1201</f>
      </c>
      <c r="AK1201" s="12">
        <f>IF(AJ1201&gt;0,IF(AJ1201&lt;=eco,alpha*fck*(1-(1-AJ1201/eco)^n),alpha*fck),0)</f>
      </c>
      <c r="AL1201" s="30">
        <f>PM_Angle!$J$21+PM_Angle!$K$21*$C1201+PM_Angle!$L$21*$B1201</f>
      </c>
      <c r="AM1201" s="12">
        <f>IF(AL1201&gt;0,IF(AL1201&lt;=eco,alpha*fck*(1-(1-AL1201/eco)^n),alpha*fck),0)</f>
      </c>
      <c r="AN1201" s="30">
        <f>PM_Angle!$J$22+PM_Angle!$K$22*$C1201+PM_Angle!$L$22*$B1201</f>
      </c>
      <c r="AO1201" s="12">
        <f>IF(AN1201&gt;0,IF(AN1201&lt;=eco,alpha*fck*(1-(1-AN1201/eco)^n),alpha*fck),0)</f>
      </c>
      <c r="AP1201" s="30">
        <f>PM_Angle!$J$23+PM_Angle!$K$23*$C1201+PM_Angle!$L$23*$B1201</f>
      </c>
      <c r="AQ1201" s="12">
        <f>IF(AP1201&gt;0,IF(AP1201&lt;=eco,alpha*fck*(1-(1-AP1201/eco)^n),alpha*fck),0)</f>
      </c>
      <c r="AR1201" s="30">
        <f>PM_Angle!$J$24+PM_Angle!$K$24*$C1201+PM_Angle!$L$24*$B1201</f>
      </c>
      <c r="AS1201" s="12">
        <f>IF(AR1201&gt;0,IF(AR1201&lt;=eco,alpha*fck*(1-(1-AR1201/eco)^n),alpha*fck),0)</f>
      </c>
      <c r="AT1201" s="30">
        <f>PM_Angle!$J$25+PM_Angle!$K$25*$C1201+PM_Angle!$L$25*$B1201</f>
      </c>
      <c r="AU1201" s="12">
        <f>IF(AT1201&gt;0,IF(AT1201&lt;=eco,alpha*fck*(1-(1-AT1201/eco)^n),alpha*fck),0)</f>
      </c>
    </row>
    <row r="1202" spans="1:47" x14ac:dyDescent="0.25">
      <c r="A1202">
        <f>Mesh!A1199</f>
      </c>
      <c r="B1202" s="12">
        <f>Mesh!B1199</f>
      </c>
      <c r="C1202" s="12">
        <f>Mesh!C1199</f>
      </c>
      <c r="D1202" s="12">
        <f>Mesh!D1199</f>
      </c>
      <c r="E1202" s="30">
        <f>INDEX(St_e0,Det+1)+INDEX(St_kx,Det+1)*C1202+INDEX(St_ky,Det+1)*B1202</f>
      </c>
      <c r="F1202" s="12">
        <f>IF(E1202&gt;0,IF(E1202&lt;=eco,alpha*fck*(1-(1-E1202/eco)^n),alpha*fck),0)</f>
      </c>
      <c r="G1202" s="11">
        <f>F1202*D1202</f>
      </c>
      <c r="H1202" s="11">
        <f>G1202*C1202</f>
      </c>
      <c r="I1202" s="11">
        <f>G1202*B1202</f>
      </c>
      <c r="J1202" s="30">
        <f>PM_Angle!$J$7+PM_Angle!$K$7*$C1202+PM_Angle!$L$7*$B1202</f>
      </c>
      <c r="K1202" s="12">
        <f>IF(J1202&gt;0,IF(J1202&lt;=eco,alpha*fck*(1-(1-J1202/eco)^n),alpha*fck),0)</f>
      </c>
      <c r="L1202" s="30">
        <f>PM_Angle!$J$8+PM_Angle!$K$8*$C1202+PM_Angle!$L$8*$B1202</f>
      </c>
      <c r="M1202" s="12">
        <f>IF(L1202&gt;0,IF(L1202&lt;=eco,alpha*fck*(1-(1-L1202/eco)^n),alpha*fck),0)</f>
      </c>
      <c r="N1202" s="30">
        <f>PM_Angle!$J$9+PM_Angle!$K$9*$C1202+PM_Angle!$L$9*$B1202</f>
      </c>
      <c r="O1202" s="12">
        <f>IF(N1202&gt;0,IF(N1202&lt;=eco,alpha*fck*(1-(1-N1202/eco)^n),alpha*fck),0)</f>
      </c>
      <c r="P1202" s="30">
        <f>PM_Angle!$J$10+PM_Angle!$K$10*$C1202+PM_Angle!$L$10*$B1202</f>
      </c>
      <c r="Q1202" s="12">
        <f>IF(P1202&gt;0,IF(P1202&lt;=eco,alpha*fck*(1-(1-P1202/eco)^n),alpha*fck),0)</f>
      </c>
      <c r="R1202" s="30">
        <f>PM_Angle!$J$11+PM_Angle!$K$11*$C1202+PM_Angle!$L$11*$B1202</f>
      </c>
      <c r="S1202" s="12">
        <f>IF(R1202&gt;0,IF(R1202&lt;=eco,alpha*fck*(1-(1-R1202/eco)^n),alpha*fck),0)</f>
      </c>
      <c r="T1202" s="30">
        <f>PM_Angle!$J$12+PM_Angle!$K$12*$C1202+PM_Angle!$L$12*$B1202</f>
      </c>
      <c r="U1202" s="12">
        <f>IF(T1202&gt;0,IF(T1202&lt;=eco,alpha*fck*(1-(1-T1202/eco)^n),alpha*fck),0)</f>
      </c>
      <c r="V1202" s="30">
        <f>PM_Angle!$J$13+PM_Angle!$K$13*$C1202+PM_Angle!$L$13*$B1202</f>
      </c>
      <c r="W1202" s="12">
        <f>IF(V1202&gt;0,IF(V1202&lt;=eco,alpha*fck*(1-(1-V1202/eco)^n),alpha*fck),0)</f>
      </c>
      <c r="X1202" s="30">
        <f>PM_Angle!$J$14+PM_Angle!$K$14*$C1202+PM_Angle!$L$14*$B1202</f>
      </c>
      <c r="Y1202" s="12">
        <f>IF(X1202&gt;0,IF(X1202&lt;=eco,alpha*fck*(1-(1-X1202/eco)^n),alpha*fck),0)</f>
      </c>
      <c r="Z1202" s="30">
        <f>PM_Angle!$J$15+PM_Angle!$K$15*$C1202+PM_Angle!$L$15*$B1202</f>
      </c>
      <c r="AA1202" s="12">
        <f>IF(Z1202&gt;0,IF(Z1202&lt;=eco,alpha*fck*(1-(1-Z1202/eco)^n),alpha*fck),0)</f>
      </c>
      <c r="AB1202" s="30">
        <f>PM_Angle!$J$16+PM_Angle!$K$16*$C1202+PM_Angle!$L$16*$B1202</f>
      </c>
      <c r="AC1202" s="12">
        <f>IF(AB1202&gt;0,IF(AB1202&lt;=eco,alpha*fck*(1-(1-AB1202/eco)^n),alpha*fck),0)</f>
      </c>
      <c r="AD1202" s="30">
        <f>PM_Angle!$J$17+PM_Angle!$K$17*$C1202+PM_Angle!$L$17*$B1202</f>
      </c>
      <c r="AE1202" s="12">
        <f>IF(AD1202&gt;0,IF(AD1202&lt;=eco,alpha*fck*(1-(1-AD1202/eco)^n),alpha*fck),0)</f>
      </c>
      <c r="AF1202" s="30">
        <f>PM_Angle!$J$18+PM_Angle!$K$18*$C1202+PM_Angle!$L$18*$B1202</f>
      </c>
      <c r="AG1202" s="12">
        <f>IF(AF1202&gt;0,IF(AF1202&lt;=eco,alpha*fck*(1-(1-AF1202/eco)^n),alpha*fck),0)</f>
      </c>
      <c r="AH1202" s="30">
        <f>PM_Angle!$J$19+PM_Angle!$K$19*$C1202+PM_Angle!$L$19*$B1202</f>
      </c>
      <c r="AI1202" s="12">
        <f>IF(AH1202&gt;0,IF(AH1202&lt;=eco,alpha*fck*(1-(1-AH1202/eco)^n),alpha*fck),0)</f>
      </c>
      <c r="AJ1202" s="30">
        <f>PM_Angle!$J$20+PM_Angle!$K$20*$C1202+PM_Angle!$L$20*$B1202</f>
      </c>
      <c r="AK1202" s="12">
        <f>IF(AJ1202&gt;0,IF(AJ1202&lt;=eco,alpha*fck*(1-(1-AJ1202/eco)^n),alpha*fck),0)</f>
      </c>
      <c r="AL1202" s="30">
        <f>PM_Angle!$J$21+PM_Angle!$K$21*$C1202+PM_Angle!$L$21*$B1202</f>
      </c>
      <c r="AM1202" s="12">
        <f>IF(AL1202&gt;0,IF(AL1202&lt;=eco,alpha*fck*(1-(1-AL1202/eco)^n),alpha*fck),0)</f>
      </c>
      <c r="AN1202" s="30">
        <f>PM_Angle!$J$22+PM_Angle!$K$22*$C1202+PM_Angle!$L$22*$B1202</f>
      </c>
      <c r="AO1202" s="12">
        <f>IF(AN1202&gt;0,IF(AN1202&lt;=eco,alpha*fck*(1-(1-AN1202/eco)^n),alpha*fck),0)</f>
      </c>
      <c r="AP1202" s="30">
        <f>PM_Angle!$J$23+PM_Angle!$K$23*$C1202+PM_Angle!$L$23*$B1202</f>
      </c>
      <c r="AQ1202" s="12">
        <f>IF(AP1202&gt;0,IF(AP1202&lt;=eco,alpha*fck*(1-(1-AP1202/eco)^n),alpha*fck),0)</f>
      </c>
      <c r="AR1202" s="30">
        <f>PM_Angle!$J$24+PM_Angle!$K$24*$C1202+PM_Angle!$L$24*$B1202</f>
      </c>
      <c r="AS1202" s="12">
        <f>IF(AR1202&gt;0,IF(AR1202&lt;=eco,alpha*fck*(1-(1-AR1202/eco)^n),alpha*fck),0)</f>
      </c>
      <c r="AT1202" s="30">
        <f>PM_Angle!$J$25+PM_Angle!$K$25*$C1202+PM_Angle!$L$25*$B1202</f>
      </c>
      <c r="AU1202" s="12">
        <f>IF(AT1202&gt;0,IF(AT1202&lt;=eco,alpha*fck*(1-(1-AT1202/eco)^n),alpha*fck),0)</f>
      </c>
    </row>
    <row r="1203" spans="1:47" x14ac:dyDescent="0.25">
      <c r="A1203">
        <f>Mesh!A1200</f>
      </c>
      <c r="B1203" s="12">
        <f>Mesh!B1200</f>
      </c>
      <c r="C1203" s="12">
        <f>Mesh!C1200</f>
      </c>
      <c r="D1203" s="12">
        <f>Mesh!D1200</f>
      </c>
      <c r="E1203" s="30">
        <f>INDEX(St_e0,Det+1)+INDEX(St_kx,Det+1)*C1203+INDEX(St_ky,Det+1)*B1203</f>
      </c>
      <c r="F1203" s="12">
        <f>IF(E1203&gt;0,IF(E1203&lt;=eco,alpha*fck*(1-(1-E1203/eco)^n),alpha*fck),0)</f>
      </c>
      <c r="G1203" s="11">
        <f>F1203*D1203</f>
      </c>
      <c r="H1203" s="11">
        <f>G1203*C1203</f>
      </c>
      <c r="I1203" s="11">
        <f>G1203*B1203</f>
      </c>
      <c r="J1203" s="30">
        <f>PM_Angle!$J$7+PM_Angle!$K$7*$C1203+PM_Angle!$L$7*$B1203</f>
      </c>
      <c r="K1203" s="12">
        <f>IF(J1203&gt;0,IF(J1203&lt;=eco,alpha*fck*(1-(1-J1203/eco)^n),alpha*fck),0)</f>
      </c>
      <c r="L1203" s="30">
        <f>PM_Angle!$J$8+PM_Angle!$K$8*$C1203+PM_Angle!$L$8*$B1203</f>
      </c>
      <c r="M1203" s="12">
        <f>IF(L1203&gt;0,IF(L1203&lt;=eco,alpha*fck*(1-(1-L1203/eco)^n),alpha*fck),0)</f>
      </c>
      <c r="N1203" s="30">
        <f>PM_Angle!$J$9+PM_Angle!$K$9*$C1203+PM_Angle!$L$9*$B1203</f>
      </c>
      <c r="O1203" s="12">
        <f>IF(N1203&gt;0,IF(N1203&lt;=eco,alpha*fck*(1-(1-N1203/eco)^n),alpha*fck),0)</f>
      </c>
      <c r="P1203" s="30">
        <f>PM_Angle!$J$10+PM_Angle!$K$10*$C1203+PM_Angle!$L$10*$B1203</f>
      </c>
      <c r="Q1203" s="12">
        <f>IF(P1203&gt;0,IF(P1203&lt;=eco,alpha*fck*(1-(1-P1203/eco)^n),alpha*fck),0)</f>
      </c>
      <c r="R1203" s="30">
        <f>PM_Angle!$J$11+PM_Angle!$K$11*$C1203+PM_Angle!$L$11*$B1203</f>
      </c>
      <c r="S1203" s="12">
        <f>IF(R1203&gt;0,IF(R1203&lt;=eco,alpha*fck*(1-(1-R1203/eco)^n),alpha*fck),0)</f>
      </c>
      <c r="T1203" s="30">
        <f>PM_Angle!$J$12+PM_Angle!$K$12*$C1203+PM_Angle!$L$12*$B1203</f>
      </c>
      <c r="U1203" s="12">
        <f>IF(T1203&gt;0,IF(T1203&lt;=eco,alpha*fck*(1-(1-T1203/eco)^n),alpha*fck),0)</f>
      </c>
      <c r="V1203" s="30">
        <f>PM_Angle!$J$13+PM_Angle!$K$13*$C1203+PM_Angle!$L$13*$B1203</f>
      </c>
      <c r="W1203" s="12">
        <f>IF(V1203&gt;0,IF(V1203&lt;=eco,alpha*fck*(1-(1-V1203/eco)^n),alpha*fck),0)</f>
      </c>
      <c r="X1203" s="30">
        <f>PM_Angle!$J$14+PM_Angle!$K$14*$C1203+PM_Angle!$L$14*$B1203</f>
      </c>
      <c r="Y1203" s="12">
        <f>IF(X1203&gt;0,IF(X1203&lt;=eco,alpha*fck*(1-(1-X1203/eco)^n),alpha*fck),0)</f>
      </c>
      <c r="Z1203" s="30">
        <f>PM_Angle!$J$15+PM_Angle!$K$15*$C1203+PM_Angle!$L$15*$B1203</f>
      </c>
      <c r="AA1203" s="12">
        <f>IF(Z1203&gt;0,IF(Z1203&lt;=eco,alpha*fck*(1-(1-Z1203/eco)^n),alpha*fck),0)</f>
      </c>
      <c r="AB1203" s="30">
        <f>PM_Angle!$J$16+PM_Angle!$K$16*$C1203+PM_Angle!$L$16*$B1203</f>
      </c>
      <c r="AC1203" s="12">
        <f>IF(AB1203&gt;0,IF(AB1203&lt;=eco,alpha*fck*(1-(1-AB1203/eco)^n),alpha*fck),0)</f>
      </c>
      <c r="AD1203" s="30">
        <f>PM_Angle!$J$17+PM_Angle!$K$17*$C1203+PM_Angle!$L$17*$B1203</f>
      </c>
      <c r="AE1203" s="12">
        <f>IF(AD1203&gt;0,IF(AD1203&lt;=eco,alpha*fck*(1-(1-AD1203/eco)^n),alpha*fck),0)</f>
      </c>
      <c r="AF1203" s="30">
        <f>PM_Angle!$J$18+PM_Angle!$K$18*$C1203+PM_Angle!$L$18*$B1203</f>
      </c>
      <c r="AG1203" s="12">
        <f>IF(AF1203&gt;0,IF(AF1203&lt;=eco,alpha*fck*(1-(1-AF1203/eco)^n),alpha*fck),0)</f>
      </c>
      <c r="AH1203" s="30">
        <f>PM_Angle!$J$19+PM_Angle!$K$19*$C1203+PM_Angle!$L$19*$B1203</f>
      </c>
      <c r="AI1203" s="12">
        <f>IF(AH1203&gt;0,IF(AH1203&lt;=eco,alpha*fck*(1-(1-AH1203/eco)^n),alpha*fck),0)</f>
      </c>
      <c r="AJ1203" s="30">
        <f>PM_Angle!$J$20+PM_Angle!$K$20*$C1203+PM_Angle!$L$20*$B1203</f>
      </c>
      <c r="AK1203" s="12">
        <f>IF(AJ1203&gt;0,IF(AJ1203&lt;=eco,alpha*fck*(1-(1-AJ1203/eco)^n),alpha*fck),0)</f>
      </c>
      <c r="AL1203" s="30">
        <f>PM_Angle!$J$21+PM_Angle!$K$21*$C1203+PM_Angle!$L$21*$B1203</f>
      </c>
      <c r="AM1203" s="12">
        <f>IF(AL1203&gt;0,IF(AL1203&lt;=eco,alpha*fck*(1-(1-AL1203/eco)^n),alpha*fck),0)</f>
      </c>
      <c r="AN1203" s="30">
        <f>PM_Angle!$J$22+PM_Angle!$K$22*$C1203+PM_Angle!$L$22*$B1203</f>
      </c>
      <c r="AO1203" s="12">
        <f>IF(AN1203&gt;0,IF(AN1203&lt;=eco,alpha*fck*(1-(1-AN1203/eco)^n),alpha*fck),0)</f>
      </c>
      <c r="AP1203" s="30">
        <f>PM_Angle!$J$23+PM_Angle!$K$23*$C1203+PM_Angle!$L$23*$B1203</f>
      </c>
      <c r="AQ1203" s="12">
        <f>IF(AP1203&gt;0,IF(AP1203&lt;=eco,alpha*fck*(1-(1-AP1203/eco)^n),alpha*fck),0)</f>
      </c>
      <c r="AR1203" s="30">
        <f>PM_Angle!$J$24+PM_Angle!$K$24*$C1203+PM_Angle!$L$24*$B1203</f>
      </c>
      <c r="AS1203" s="12">
        <f>IF(AR1203&gt;0,IF(AR1203&lt;=eco,alpha*fck*(1-(1-AR1203/eco)^n),alpha*fck),0)</f>
      </c>
      <c r="AT1203" s="30">
        <f>PM_Angle!$J$25+PM_Angle!$K$25*$C1203+PM_Angle!$L$25*$B1203</f>
      </c>
      <c r="AU1203" s="12">
        <f>IF(AT1203&gt;0,IF(AT1203&lt;=eco,alpha*fck*(1-(1-AT1203/eco)^n),alpha*fck),0)</f>
      </c>
    </row>
    <row r="1204" spans="1:47" x14ac:dyDescent="0.25">
      <c r="A1204">
        <f>Mesh!A1201</f>
      </c>
      <c r="B1204" s="12">
        <f>Mesh!B1201</f>
      </c>
      <c r="C1204" s="12">
        <f>Mesh!C1201</f>
      </c>
      <c r="D1204" s="12">
        <f>Mesh!D1201</f>
      </c>
      <c r="E1204" s="30">
        <f>INDEX(St_e0,Det+1)+INDEX(St_kx,Det+1)*C1204+INDEX(St_ky,Det+1)*B1204</f>
      </c>
      <c r="F1204" s="12">
        <f>IF(E1204&gt;0,IF(E1204&lt;=eco,alpha*fck*(1-(1-E1204/eco)^n),alpha*fck),0)</f>
      </c>
      <c r="G1204" s="11">
        <f>F1204*D1204</f>
      </c>
      <c r="H1204" s="11">
        <f>G1204*C1204</f>
      </c>
      <c r="I1204" s="11">
        <f>G1204*B1204</f>
      </c>
      <c r="J1204" s="30">
        <f>PM_Angle!$J$7+PM_Angle!$K$7*$C1204+PM_Angle!$L$7*$B1204</f>
      </c>
      <c r="K1204" s="12">
        <f>IF(J1204&gt;0,IF(J1204&lt;=eco,alpha*fck*(1-(1-J1204/eco)^n),alpha*fck),0)</f>
      </c>
      <c r="L1204" s="30">
        <f>PM_Angle!$J$8+PM_Angle!$K$8*$C1204+PM_Angle!$L$8*$B1204</f>
      </c>
      <c r="M1204" s="12">
        <f>IF(L1204&gt;0,IF(L1204&lt;=eco,alpha*fck*(1-(1-L1204/eco)^n),alpha*fck),0)</f>
      </c>
      <c r="N1204" s="30">
        <f>PM_Angle!$J$9+PM_Angle!$K$9*$C1204+PM_Angle!$L$9*$B1204</f>
      </c>
      <c r="O1204" s="12">
        <f>IF(N1204&gt;0,IF(N1204&lt;=eco,alpha*fck*(1-(1-N1204/eco)^n),alpha*fck),0)</f>
      </c>
      <c r="P1204" s="30">
        <f>PM_Angle!$J$10+PM_Angle!$K$10*$C1204+PM_Angle!$L$10*$B1204</f>
      </c>
      <c r="Q1204" s="12">
        <f>IF(P1204&gt;0,IF(P1204&lt;=eco,alpha*fck*(1-(1-P1204/eco)^n),alpha*fck),0)</f>
      </c>
      <c r="R1204" s="30">
        <f>PM_Angle!$J$11+PM_Angle!$K$11*$C1204+PM_Angle!$L$11*$B1204</f>
      </c>
      <c r="S1204" s="12">
        <f>IF(R1204&gt;0,IF(R1204&lt;=eco,alpha*fck*(1-(1-R1204/eco)^n),alpha*fck),0)</f>
      </c>
      <c r="T1204" s="30">
        <f>PM_Angle!$J$12+PM_Angle!$K$12*$C1204+PM_Angle!$L$12*$B1204</f>
      </c>
      <c r="U1204" s="12">
        <f>IF(T1204&gt;0,IF(T1204&lt;=eco,alpha*fck*(1-(1-T1204/eco)^n),alpha*fck),0)</f>
      </c>
      <c r="V1204" s="30">
        <f>PM_Angle!$J$13+PM_Angle!$K$13*$C1204+PM_Angle!$L$13*$B1204</f>
      </c>
      <c r="W1204" s="12">
        <f>IF(V1204&gt;0,IF(V1204&lt;=eco,alpha*fck*(1-(1-V1204/eco)^n),alpha*fck),0)</f>
      </c>
      <c r="X1204" s="30">
        <f>PM_Angle!$J$14+PM_Angle!$K$14*$C1204+PM_Angle!$L$14*$B1204</f>
      </c>
      <c r="Y1204" s="12">
        <f>IF(X1204&gt;0,IF(X1204&lt;=eco,alpha*fck*(1-(1-X1204/eco)^n),alpha*fck),0)</f>
      </c>
      <c r="Z1204" s="30">
        <f>PM_Angle!$J$15+PM_Angle!$K$15*$C1204+PM_Angle!$L$15*$B1204</f>
      </c>
      <c r="AA1204" s="12">
        <f>IF(Z1204&gt;0,IF(Z1204&lt;=eco,alpha*fck*(1-(1-Z1204/eco)^n),alpha*fck),0)</f>
      </c>
      <c r="AB1204" s="30">
        <f>PM_Angle!$J$16+PM_Angle!$K$16*$C1204+PM_Angle!$L$16*$B1204</f>
      </c>
      <c r="AC1204" s="12">
        <f>IF(AB1204&gt;0,IF(AB1204&lt;=eco,alpha*fck*(1-(1-AB1204/eco)^n),alpha*fck),0)</f>
      </c>
      <c r="AD1204" s="30">
        <f>PM_Angle!$J$17+PM_Angle!$K$17*$C1204+PM_Angle!$L$17*$B1204</f>
      </c>
      <c r="AE1204" s="12">
        <f>IF(AD1204&gt;0,IF(AD1204&lt;=eco,alpha*fck*(1-(1-AD1204/eco)^n),alpha*fck),0)</f>
      </c>
      <c r="AF1204" s="30">
        <f>PM_Angle!$J$18+PM_Angle!$K$18*$C1204+PM_Angle!$L$18*$B1204</f>
      </c>
      <c r="AG1204" s="12">
        <f>IF(AF1204&gt;0,IF(AF1204&lt;=eco,alpha*fck*(1-(1-AF1204/eco)^n),alpha*fck),0)</f>
      </c>
      <c r="AH1204" s="30">
        <f>PM_Angle!$J$19+PM_Angle!$K$19*$C1204+PM_Angle!$L$19*$B1204</f>
      </c>
      <c r="AI1204" s="12">
        <f>IF(AH1204&gt;0,IF(AH1204&lt;=eco,alpha*fck*(1-(1-AH1204/eco)^n),alpha*fck),0)</f>
      </c>
      <c r="AJ1204" s="30">
        <f>PM_Angle!$J$20+PM_Angle!$K$20*$C1204+PM_Angle!$L$20*$B1204</f>
      </c>
      <c r="AK1204" s="12">
        <f>IF(AJ1204&gt;0,IF(AJ1204&lt;=eco,alpha*fck*(1-(1-AJ1204/eco)^n),alpha*fck),0)</f>
      </c>
      <c r="AL1204" s="30">
        <f>PM_Angle!$J$21+PM_Angle!$K$21*$C1204+PM_Angle!$L$21*$B1204</f>
      </c>
      <c r="AM1204" s="12">
        <f>IF(AL1204&gt;0,IF(AL1204&lt;=eco,alpha*fck*(1-(1-AL1204/eco)^n),alpha*fck),0)</f>
      </c>
      <c r="AN1204" s="30">
        <f>PM_Angle!$J$22+PM_Angle!$K$22*$C1204+PM_Angle!$L$22*$B1204</f>
      </c>
      <c r="AO1204" s="12">
        <f>IF(AN1204&gt;0,IF(AN1204&lt;=eco,alpha*fck*(1-(1-AN1204/eco)^n),alpha*fck),0)</f>
      </c>
      <c r="AP1204" s="30">
        <f>PM_Angle!$J$23+PM_Angle!$K$23*$C1204+PM_Angle!$L$23*$B1204</f>
      </c>
      <c r="AQ1204" s="12">
        <f>IF(AP1204&gt;0,IF(AP1204&lt;=eco,alpha*fck*(1-(1-AP1204/eco)^n),alpha*fck),0)</f>
      </c>
      <c r="AR1204" s="30">
        <f>PM_Angle!$J$24+PM_Angle!$K$24*$C1204+PM_Angle!$L$24*$B1204</f>
      </c>
      <c r="AS1204" s="12">
        <f>IF(AR1204&gt;0,IF(AR1204&lt;=eco,alpha*fck*(1-(1-AR1204/eco)^n),alpha*fck),0)</f>
      </c>
      <c r="AT1204" s="30">
        <f>PM_Angle!$J$25+PM_Angle!$K$25*$C1204+PM_Angle!$L$25*$B1204</f>
      </c>
      <c r="AU1204" s="12">
        <f>IF(AT1204&gt;0,IF(AT1204&lt;=eco,alpha*fck*(1-(1-AT1204/eco)^n),alpha*fck),0)</f>
      </c>
    </row>
    <row r="1205" spans="1:47" x14ac:dyDescent="0.25">
      <c r="A1205">
        <f>Mesh!A1202</f>
      </c>
      <c r="B1205" s="12">
        <f>Mesh!B1202</f>
      </c>
      <c r="C1205" s="12">
        <f>Mesh!C1202</f>
      </c>
      <c r="D1205" s="12">
        <f>Mesh!D1202</f>
      </c>
      <c r="E1205" s="30">
        <f>INDEX(St_e0,Det+1)+INDEX(St_kx,Det+1)*C1205+INDEX(St_ky,Det+1)*B1205</f>
      </c>
      <c r="F1205" s="12">
        <f>IF(E1205&gt;0,IF(E1205&lt;=eco,alpha*fck*(1-(1-E1205/eco)^n),alpha*fck),0)</f>
      </c>
      <c r="G1205" s="11">
        <f>F1205*D1205</f>
      </c>
      <c r="H1205" s="11">
        <f>G1205*C1205</f>
      </c>
      <c r="I1205" s="11">
        <f>G1205*B1205</f>
      </c>
      <c r="J1205" s="30">
        <f>PM_Angle!$J$7+PM_Angle!$K$7*$C1205+PM_Angle!$L$7*$B1205</f>
      </c>
      <c r="K1205" s="12">
        <f>IF(J1205&gt;0,IF(J1205&lt;=eco,alpha*fck*(1-(1-J1205/eco)^n),alpha*fck),0)</f>
      </c>
      <c r="L1205" s="30">
        <f>PM_Angle!$J$8+PM_Angle!$K$8*$C1205+PM_Angle!$L$8*$B1205</f>
      </c>
      <c r="M1205" s="12">
        <f>IF(L1205&gt;0,IF(L1205&lt;=eco,alpha*fck*(1-(1-L1205/eco)^n),alpha*fck),0)</f>
      </c>
      <c r="N1205" s="30">
        <f>PM_Angle!$J$9+PM_Angle!$K$9*$C1205+PM_Angle!$L$9*$B1205</f>
      </c>
      <c r="O1205" s="12">
        <f>IF(N1205&gt;0,IF(N1205&lt;=eco,alpha*fck*(1-(1-N1205/eco)^n),alpha*fck),0)</f>
      </c>
      <c r="P1205" s="30">
        <f>PM_Angle!$J$10+PM_Angle!$K$10*$C1205+PM_Angle!$L$10*$B1205</f>
      </c>
      <c r="Q1205" s="12">
        <f>IF(P1205&gt;0,IF(P1205&lt;=eco,alpha*fck*(1-(1-P1205/eco)^n),alpha*fck),0)</f>
      </c>
      <c r="R1205" s="30">
        <f>PM_Angle!$J$11+PM_Angle!$K$11*$C1205+PM_Angle!$L$11*$B1205</f>
      </c>
      <c r="S1205" s="12">
        <f>IF(R1205&gt;0,IF(R1205&lt;=eco,alpha*fck*(1-(1-R1205/eco)^n),alpha*fck),0)</f>
      </c>
      <c r="T1205" s="30">
        <f>PM_Angle!$J$12+PM_Angle!$K$12*$C1205+PM_Angle!$L$12*$B1205</f>
      </c>
      <c r="U1205" s="12">
        <f>IF(T1205&gt;0,IF(T1205&lt;=eco,alpha*fck*(1-(1-T1205/eco)^n),alpha*fck),0)</f>
      </c>
      <c r="V1205" s="30">
        <f>PM_Angle!$J$13+PM_Angle!$K$13*$C1205+PM_Angle!$L$13*$B1205</f>
      </c>
      <c r="W1205" s="12">
        <f>IF(V1205&gt;0,IF(V1205&lt;=eco,alpha*fck*(1-(1-V1205/eco)^n),alpha*fck),0)</f>
      </c>
      <c r="X1205" s="30">
        <f>PM_Angle!$J$14+PM_Angle!$K$14*$C1205+PM_Angle!$L$14*$B1205</f>
      </c>
      <c r="Y1205" s="12">
        <f>IF(X1205&gt;0,IF(X1205&lt;=eco,alpha*fck*(1-(1-X1205/eco)^n),alpha*fck),0)</f>
      </c>
      <c r="Z1205" s="30">
        <f>PM_Angle!$J$15+PM_Angle!$K$15*$C1205+PM_Angle!$L$15*$B1205</f>
      </c>
      <c r="AA1205" s="12">
        <f>IF(Z1205&gt;0,IF(Z1205&lt;=eco,alpha*fck*(1-(1-Z1205/eco)^n),alpha*fck),0)</f>
      </c>
      <c r="AB1205" s="30">
        <f>PM_Angle!$J$16+PM_Angle!$K$16*$C1205+PM_Angle!$L$16*$B1205</f>
      </c>
      <c r="AC1205" s="12">
        <f>IF(AB1205&gt;0,IF(AB1205&lt;=eco,alpha*fck*(1-(1-AB1205/eco)^n),alpha*fck),0)</f>
      </c>
      <c r="AD1205" s="30">
        <f>PM_Angle!$J$17+PM_Angle!$K$17*$C1205+PM_Angle!$L$17*$B1205</f>
      </c>
      <c r="AE1205" s="12">
        <f>IF(AD1205&gt;0,IF(AD1205&lt;=eco,alpha*fck*(1-(1-AD1205/eco)^n),alpha*fck),0)</f>
      </c>
      <c r="AF1205" s="30">
        <f>PM_Angle!$J$18+PM_Angle!$K$18*$C1205+PM_Angle!$L$18*$B1205</f>
      </c>
      <c r="AG1205" s="12">
        <f>IF(AF1205&gt;0,IF(AF1205&lt;=eco,alpha*fck*(1-(1-AF1205/eco)^n),alpha*fck),0)</f>
      </c>
      <c r="AH1205" s="30">
        <f>PM_Angle!$J$19+PM_Angle!$K$19*$C1205+PM_Angle!$L$19*$B1205</f>
      </c>
      <c r="AI1205" s="12">
        <f>IF(AH1205&gt;0,IF(AH1205&lt;=eco,alpha*fck*(1-(1-AH1205/eco)^n),alpha*fck),0)</f>
      </c>
      <c r="AJ1205" s="30">
        <f>PM_Angle!$J$20+PM_Angle!$K$20*$C1205+PM_Angle!$L$20*$B1205</f>
      </c>
      <c r="AK1205" s="12">
        <f>IF(AJ1205&gt;0,IF(AJ1205&lt;=eco,alpha*fck*(1-(1-AJ1205/eco)^n),alpha*fck),0)</f>
      </c>
      <c r="AL1205" s="30">
        <f>PM_Angle!$J$21+PM_Angle!$K$21*$C1205+PM_Angle!$L$21*$B1205</f>
      </c>
      <c r="AM1205" s="12">
        <f>IF(AL1205&gt;0,IF(AL1205&lt;=eco,alpha*fck*(1-(1-AL1205/eco)^n),alpha*fck),0)</f>
      </c>
      <c r="AN1205" s="30">
        <f>PM_Angle!$J$22+PM_Angle!$K$22*$C1205+PM_Angle!$L$22*$B1205</f>
      </c>
      <c r="AO1205" s="12">
        <f>IF(AN1205&gt;0,IF(AN1205&lt;=eco,alpha*fck*(1-(1-AN1205/eco)^n),alpha*fck),0)</f>
      </c>
      <c r="AP1205" s="30">
        <f>PM_Angle!$J$23+PM_Angle!$K$23*$C1205+PM_Angle!$L$23*$B1205</f>
      </c>
      <c r="AQ1205" s="12">
        <f>IF(AP1205&gt;0,IF(AP1205&lt;=eco,alpha*fck*(1-(1-AP1205/eco)^n),alpha*fck),0)</f>
      </c>
      <c r="AR1205" s="30">
        <f>PM_Angle!$J$24+PM_Angle!$K$24*$C1205+PM_Angle!$L$24*$B1205</f>
      </c>
      <c r="AS1205" s="12">
        <f>IF(AR1205&gt;0,IF(AR1205&lt;=eco,alpha*fck*(1-(1-AR1205/eco)^n),alpha*fck),0)</f>
      </c>
      <c r="AT1205" s="30">
        <f>PM_Angle!$J$25+PM_Angle!$K$25*$C1205+PM_Angle!$L$25*$B1205</f>
      </c>
      <c r="AU1205" s="12">
        <f>IF(AT1205&gt;0,IF(AT1205&lt;=eco,alpha*fck*(1-(1-AT1205/eco)^n),alpha*fck),0)</f>
      </c>
    </row>
    <row r="1206" spans="1:47" x14ac:dyDescent="0.25">
      <c r="A1206">
        <f>Mesh!A1203</f>
      </c>
      <c r="B1206" s="12">
        <f>Mesh!B1203</f>
      </c>
      <c r="C1206" s="12">
        <f>Mesh!C1203</f>
      </c>
      <c r="D1206" s="12">
        <f>Mesh!D1203</f>
      </c>
      <c r="E1206" s="30">
        <f>INDEX(St_e0,Det+1)+INDEX(St_kx,Det+1)*C1206+INDEX(St_ky,Det+1)*B1206</f>
      </c>
      <c r="F1206" s="12">
        <f>IF(E1206&gt;0,IF(E1206&lt;=eco,alpha*fck*(1-(1-E1206/eco)^n),alpha*fck),0)</f>
      </c>
      <c r="G1206" s="11">
        <f>F1206*D1206</f>
      </c>
      <c r="H1206" s="11">
        <f>G1206*C1206</f>
      </c>
      <c r="I1206" s="11">
        <f>G1206*B1206</f>
      </c>
      <c r="J1206" s="30">
        <f>PM_Angle!$J$7+PM_Angle!$K$7*$C1206+PM_Angle!$L$7*$B1206</f>
      </c>
      <c r="K1206" s="12">
        <f>IF(J1206&gt;0,IF(J1206&lt;=eco,alpha*fck*(1-(1-J1206/eco)^n),alpha*fck),0)</f>
      </c>
      <c r="L1206" s="30">
        <f>PM_Angle!$J$8+PM_Angle!$K$8*$C1206+PM_Angle!$L$8*$B1206</f>
      </c>
      <c r="M1206" s="12">
        <f>IF(L1206&gt;0,IF(L1206&lt;=eco,alpha*fck*(1-(1-L1206/eco)^n),alpha*fck),0)</f>
      </c>
      <c r="N1206" s="30">
        <f>PM_Angle!$J$9+PM_Angle!$K$9*$C1206+PM_Angle!$L$9*$B1206</f>
      </c>
      <c r="O1206" s="12">
        <f>IF(N1206&gt;0,IF(N1206&lt;=eco,alpha*fck*(1-(1-N1206/eco)^n),alpha*fck),0)</f>
      </c>
      <c r="P1206" s="30">
        <f>PM_Angle!$J$10+PM_Angle!$K$10*$C1206+PM_Angle!$L$10*$B1206</f>
      </c>
      <c r="Q1206" s="12">
        <f>IF(P1206&gt;0,IF(P1206&lt;=eco,alpha*fck*(1-(1-P1206/eco)^n),alpha*fck),0)</f>
      </c>
      <c r="R1206" s="30">
        <f>PM_Angle!$J$11+PM_Angle!$K$11*$C1206+PM_Angle!$L$11*$B1206</f>
      </c>
      <c r="S1206" s="12">
        <f>IF(R1206&gt;0,IF(R1206&lt;=eco,alpha*fck*(1-(1-R1206/eco)^n),alpha*fck),0)</f>
      </c>
      <c r="T1206" s="30">
        <f>PM_Angle!$J$12+PM_Angle!$K$12*$C1206+PM_Angle!$L$12*$B1206</f>
      </c>
      <c r="U1206" s="12">
        <f>IF(T1206&gt;0,IF(T1206&lt;=eco,alpha*fck*(1-(1-T1206/eco)^n),alpha*fck),0)</f>
      </c>
      <c r="V1206" s="30">
        <f>PM_Angle!$J$13+PM_Angle!$K$13*$C1206+PM_Angle!$L$13*$B1206</f>
      </c>
      <c r="W1206" s="12">
        <f>IF(V1206&gt;0,IF(V1206&lt;=eco,alpha*fck*(1-(1-V1206/eco)^n),alpha*fck),0)</f>
      </c>
      <c r="X1206" s="30">
        <f>PM_Angle!$J$14+PM_Angle!$K$14*$C1206+PM_Angle!$L$14*$B1206</f>
      </c>
      <c r="Y1206" s="12">
        <f>IF(X1206&gt;0,IF(X1206&lt;=eco,alpha*fck*(1-(1-X1206/eco)^n),alpha*fck),0)</f>
      </c>
      <c r="Z1206" s="30">
        <f>PM_Angle!$J$15+PM_Angle!$K$15*$C1206+PM_Angle!$L$15*$B1206</f>
      </c>
      <c r="AA1206" s="12">
        <f>IF(Z1206&gt;0,IF(Z1206&lt;=eco,alpha*fck*(1-(1-Z1206/eco)^n),alpha*fck),0)</f>
      </c>
      <c r="AB1206" s="30">
        <f>PM_Angle!$J$16+PM_Angle!$K$16*$C1206+PM_Angle!$L$16*$B1206</f>
      </c>
      <c r="AC1206" s="12">
        <f>IF(AB1206&gt;0,IF(AB1206&lt;=eco,alpha*fck*(1-(1-AB1206/eco)^n),alpha*fck),0)</f>
      </c>
      <c r="AD1206" s="30">
        <f>PM_Angle!$J$17+PM_Angle!$K$17*$C1206+PM_Angle!$L$17*$B1206</f>
      </c>
      <c r="AE1206" s="12">
        <f>IF(AD1206&gt;0,IF(AD1206&lt;=eco,alpha*fck*(1-(1-AD1206/eco)^n),alpha*fck),0)</f>
      </c>
      <c r="AF1206" s="30">
        <f>PM_Angle!$J$18+PM_Angle!$K$18*$C1206+PM_Angle!$L$18*$B1206</f>
      </c>
      <c r="AG1206" s="12">
        <f>IF(AF1206&gt;0,IF(AF1206&lt;=eco,alpha*fck*(1-(1-AF1206/eco)^n),alpha*fck),0)</f>
      </c>
      <c r="AH1206" s="30">
        <f>PM_Angle!$J$19+PM_Angle!$K$19*$C1206+PM_Angle!$L$19*$B1206</f>
      </c>
      <c r="AI1206" s="12">
        <f>IF(AH1206&gt;0,IF(AH1206&lt;=eco,alpha*fck*(1-(1-AH1206/eco)^n),alpha*fck),0)</f>
      </c>
      <c r="AJ1206" s="30">
        <f>PM_Angle!$J$20+PM_Angle!$K$20*$C1206+PM_Angle!$L$20*$B1206</f>
      </c>
      <c r="AK1206" s="12">
        <f>IF(AJ1206&gt;0,IF(AJ1206&lt;=eco,alpha*fck*(1-(1-AJ1206/eco)^n),alpha*fck),0)</f>
      </c>
      <c r="AL1206" s="30">
        <f>PM_Angle!$J$21+PM_Angle!$K$21*$C1206+PM_Angle!$L$21*$B1206</f>
      </c>
      <c r="AM1206" s="12">
        <f>IF(AL1206&gt;0,IF(AL1206&lt;=eco,alpha*fck*(1-(1-AL1206/eco)^n),alpha*fck),0)</f>
      </c>
      <c r="AN1206" s="30">
        <f>PM_Angle!$J$22+PM_Angle!$K$22*$C1206+PM_Angle!$L$22*$B1206</f>
      </c>
      <c r="AO1206" s="12">
        <f>IF(AN1206&gt;0,IF(AN1206&lt;=eco,alpha*fck*(1-(1-AN1206/eco)^n),alpha*fck),0)</f>
      </c>
      <c r="AP1206" s="30">
        <f>PM_Angle!$J$23+PM_Angle!$K$23*$C1206+PM_Angle!$L$23*$B1206</f>
      </c>
      <c r="AQ1206" s="12">
        <f>IF(AP1206&gt;0,IF(AP1206&lt;=eco,alpha*fck*(1-(1-AP1206/eco)^n),alpha*fck),0)</f>
      </c>
      <c r="AR1206" s="30">
        <f>PM_Angle!$J$24+PM_Angle!$K$24*$C1206+PM_Angle!$L$24*$B1206</f>
      </c>
      <c r="AS1206" s="12">
        <f>IF(AR1206&gt;0,IF(AR1206&lt;=eco,alpha*fck*(1-(1-AR1206/eco)^n),alpha*fck),0)</f>
      </c>
      <c r="AT1206" s="30">
        <f>PM_Angle!$J$25+PM_Angle!$K$25*$C1206+PM_Angle!$L$25*$B1206</f>
      </c>
      <c r="AU1206" s="12">
        <f>IF(AT1206&gt;0,IF(AT1206&lt;=eco,alpha*fck*(1-(1-AT1206/eco)^n),alpha*fck),0)</f>
      </c>
    </row>
    <row r="1207" spans="1:47" x14ac:dyDescent="0.25">
      <c r="A1207">
        <f>Mesh!A1204</f>
      </c>
      <c r="B1207" s="12">
        <f>Mesh!B1204</f>
      </c>
      <c r="C1207" s="12">
        <f>Mesh!C1204</f>
      </c>
      <c r="D1207" s="12">
        <f>Mesh!D1204</f>
      </c>
      <c r="E1207" s="30">
        <f>INDEX(St_e0,Det+1)+INDEX(St_kx,Det+1)*C1207+INDEX(St_ky,Det+1)*B1207</f>
      </c>
      <c r="F1207" s="12">
        <f>IF(E1207&gt;0,IF(E1207&lt;=eco,alpha*fck*(1-(1-E1207/eco)^n),alpha*fck),0)</f>
      </c>
      <c r="G1207" s="11">
        <f>F1207*D1207</f>
      </c>
      <c r="H1207" s="11">
        <f>G1207*C1207</f>
      </c>
      <c r="I1207" s="11">
        <f>G1207*B1207</f>
      </c>
      <c r="J1207" s="30">
        <f>PM_Angle!$J$7+PM_Angle!$K$7*$C1207+PM_Angle!$L$7*$B1207</f>
      </c>
      <c r="K1207" s="12">
        <f>IF(J1207&gt;0,IF(J1207&lt;=eco,alpha*fck*(1-(1-J1207/eco)^n),alpha*fck),0)</f>
      </c>
      <c r="L1207" s="30">
        <f>PM_Angle!$J$8+PM_Angle!$K$8*$C1207+PM_Angle!$L$8*$B1207</f>
      </c>
      <c r="M1207" s="12">
        <f>IF(L1207&gt;0,IF(L1207&lt;=eco,alpha*fck*(1-(1-L1207/eco)^n),alpha*fck),0)</f>
      </c>
      <c r="N1207" s="30">
        <f>PM_Angle!$J$9+PM_Angle!$K$9*$C1207+PM_Angle!$L$9*$B1207</f>
      </c>
      <c r="O1207" s="12">
        <f>IF(N1207&gt;0,IF(N1207&lt;=eco,alpha*fck*(1-(1-N1207/eco)^n),alpha*fck),0)</f>
      </c>
      <c r="P1207" s="30">
        <f>PM_Angle!$J$10+PM_Angle!$K$10*$C1207+PM_Angle!$L$10*$B1207</f>
      </c>
      <c r="Q1207" s="12">
        <f>IF(P1207&gt;0,IF(P1207&lt;=eco,alpha*fck*(1-(1-P1207/eco)^n),alpha*fck),0)</f>
      </c>
      <c r="R1207" s="30">
        <f>PM_Angle!$J$11+PM_Angle!$K$11*$C1207+PM_Angle!$L$11*$B1207</f>
      </c>
      <c r="S1207" s="12">
        <f>IF(R1207&gt;0,IF(R1207&lt;=eco,alpha*fck*(1-(1-R1207/eco)^n),alpha*fck),0)</f>
      </c>
      <c r="T1207" s="30">
        <f>PM_Angle!$J$12+PM_Angle!$K$12*$C1207+PM_Angle!$L$12*$B1207</f>
      </c>
      <c r="U1207" s="12">
        <f>IF(T1207&gt;0,IF(T1207&lt;=eco,alpha*fck*(1-(1-T1207/eco)^n),alpha*fck),0)</f>
      </c>
      <c r="V1207" s="30">
        <f>PM_Angle!$J$13+PM_Angle!$K$13*$C1207+PM_Angle!$L$13*$B1207</f>
      </c>
      <c r="W1207" s="12">
        <f>IF(V1207&gt;0,IF(V1207&lt;=eco,alpha*fck*(1-(1-V1207/eco)^n),alpha*fck),0)</f>
      </c>
      <c r="X1207" s="30">
        <f>PM_Angle!$J$14+PM_Angle!$K$14*$C1207+PM_Angle!$L$14*$B1207</f>
      </c>
      <c r="Y1207" s="12">
        <f>IF(X1207&gt;0,IF(X1207&lt;=eco,alpha*fck*(1-(1-X1207/eco)^n),alpha*fck),0)</f>
      </c>
      <c r="Z1207" s="30">
        <f>PM_Angle!$J$15+PM_Angle!$K$15*$C1207+PM_Angle!$L$15*$B1207</f>
      </c>
      <c r="AA1207" s="12">
        <f>IF(Z1207&gt;0,IF(Z1207&lt;=eco,alpha*fck*(1-(1-Z1207/eco)^n),alpha*fck),0)</f>
      </c>
      <c r="AB1207" s="30">
        <f>PM_Angle!$J$16+PM_Angle!$K$16*$C1207+PM_Angle!$L$16*$B1207</f>
      </c>
      <c r="AC1207" s="12">
        <f>IF(AB1207&gt;0,IF(AB1207&lt;=eco,alpha*fck*(1-(1-AB1207/eco)^n),alpha*fck),0)</f>
      </c>
      <c r="AD1207" s="30">
        <f>PM_Angle!$J$17+PM_Angle!$K$17*$C1207+PM_Angle!$L$17*$B1207</f>
      </c>
      <c r="AE1207" s="12">
        <f>IF(AD1207&gt;0,IF(AD1207&lt;=eco,alpha*fck*(1-(1-AD1207/eco)^n),alpha*fck),0)</f>
      </c>
      <c r="AF1207" s="30">
        <f>PM_Angle!$J$18+PM_Angle!$K$18*$C1207+PM_Angle!$L$18*$B1207</f>
      </c>
      <c r="AG1207" s="12">
        <f>IF(AF1207&gt;0,IF(AF1207&lt;=eco,alpha*fck*(1-(1-AF1207/eco)^n),alpha*fck),0)</f>
      </c>
      <c r="AH1207" s="30">
        <f>PM_Angle!$J$19+PM_Angle!$K$19*$C1207+PM_Angle!$L$19*$B1207</f>
      </c>
      <c r="AI1207" s="12">
        <f>IF(AH1207&gt;0,IF(AH1207&lt;=eco,alpha*fck*(1-(1-AH1207/eco)^n),alpha*fck),0)</f>
      </c>
      <c r="AJ1207" s="30">
        <f>PM_Angle!$J$20+PM_Angle!$K$20*$C1207+PM_Angle!$L$20*$B1207</f>
      </c>
      <c r="AK1207" s="12">
        <f>IF(AJ1207&gt;0,IF(AJ1207&lt;=eco,alpha*fck*(1-(1-AJ1207/eco)^n),alpha*fck),0)</f>
      </c>
      <c r="AL1207" s="30">
        <f>PM_Angle!$J$21+PM_Angle!$K$21*$C1207+PM_Angle!$L$21*$B1207</f>
      </c>
      <c r="AM1207" s="12">
        <f>IF(AL1207&gt;0,IF(AL1207&lt;=eco,alpha*fck*(1-(1-AL1207/eco)^n),alpha*fck),0)</f>
      </c>
      <c r="AN1207" s="30">
        <f>PM_Angle!$J$22+PM_Angle!$K$22*$C1207+PM_Angle!$L$22*$B1207</f>
      </c>
      <c r="AO1207" s="12">
        <f>IF(AN1207&gt;0,IF(AN1207&lt;=eco,alpha*fck*(1-(1-AN1207/eco)^n),alpha*fck),0)</f>
      </c>
      <c r="AP1207" s="30">
        <f>PM_Angle!$J$23+PM_Angle!$K$23*$C1207+PM_Angle!$L$23*$B1207</f>
      </c>
      <c r="AQ1207" s="12">
        <f>IF(AP1207&gt;0,IF(AP1207&lt;=eco,alpha*fck*(1-(1-AP1207/eco)^n),alpha*fck),0)</f>
      </c>
      <c r="AR1207" s="30">
        <f>PM_Angle!$J$24+PM_Angle!$K$24*$C1207+PM_Angle!$L$24*$B1207</f>
      </c>
      <c r="AS1207" s="12">
        <f>IF(AR1207&gt;0,IF(AR1207&lt;=eco,alpha*fck*(1-(1-AR1207/eco)^n),alpha*fck),0)</f>
      </c>
      <c r="AT1207" s="30">
        <f>PM_Angle!$J$25+PM_Angle!$K$25*$C1207+PM_Angle!$L$25*$B1207</f>
      </c>
      <c r="AU1207" s="12">
        <f>IF(AT1207&gt;0,IF(AT1207&lt;=eco,alpha*fck*(1-(1-AT1207/eco)^n),alpha*fck),0)</f>
      </c>
    </row>
    <row r="1208" spans="1:47" x14ac:dyDescent="0.25">
      <c r="A1208">
        <f>Mesh!A1205</f>
      </c>
      <c r="B1208" s="12">
        <f>Mesh!B1205</f>
      </c>
      <c r="C1208" s="12">
        <f>Mesh!C1205</f>
      </c>
      <c r="D1208" s="12">
        <f>Mesh!D1205</f>
      </c>
      <c r="E1208" s="30">
        <f>INDEX(St_e0,Det+1)+INDEX(St_kx,Det+1)*C1208+INDEX(St_ky,Det+1)*B1208</f>
      </c>
      <c r="F1208" s="12">
        <f>IF(E1208&gt;0,IF(E1208&lt;=eco,alpha*fck*(1-(1-E1208/eco)^n),alpha*fck),0)</f>
      </c>
      <c r="G1208" s="11">
        <f>F1208*D1208</f>
      </c>
      <c r="H1208" s="11">
        <f>G1208*C1208</f>
      </c>
      <c r="I1208" s="11">
        <f>G1208*B1208</f>
      </c>
      <c r="J1208" s="30">
        <f>PM_Angle!$J$7+PM_Angle!$K$7*$C1208+PM_Angle!$L$7*$B1208</f>
      </c>
      <c r="K1208" s="12">
        <f>IF(J1208&gt;0,IF(J1208&lt;=eco,alpha*fck*(1-(1-J1208/eco)^n),alpha*fck),0)</f>
      </c>
      <c r="L1208" s="30">
        <f>PM_Angle!$J$8+PM_Angle!$K$8*$C1208+PM_Angle!$L$8*$B1208</f>
      </c>
      <c r="M1208" s="12">
        <f>IF(L1208&gt;0,IF(L1208&lt;=eco,alpha*fck*(1-(1-L1208/eco)^n),alpha*fck),0)</f>
      </c>
      <c r="N1208" s="30">
        <f>PM_Angle!$J$9+PM_Angle!$K$9*$C1208+PM_Angle!$L$9*$B1208</f>
      </c>
      <c r="O1208" s="12">
        <f>IF(N1208&gt;0,IF(N1208&lt;=eco,alpha*fck*(1-(1-N1208/eco)^n),alpha*fck),0)</f>
      </c>
      <c r="P1208" s="30">
        <f>PM_Angle!$J$10+PM_Angle!$K$10*$C1208+PM_Angle!$L$10*$B1208</f>
      </c>
      <c r="Q1208" s="12">
        <f>IF(P1208&gt;0,IF(P1208&lt;=eco,alpha*fck*(1-(1-P1208/eco)^n),alpha*fck),0)</f>
      </c>
      <c r="R1208" s="30">
        <f>PM_Angle!$J$11+PM_Angle!$K$11*$C1208+PM_Angle!$L$11*$B1208</f>
      </c>
      <c r="S1208" s="12">
        <f>IF(R1208&gt;0,IF(R1208&lt;=eco,alpha*fck*(1-(1-R1208/eco)^n),alpha*fck),0)</f>
      </c>
      <c r="T1208" s="30">
        <f>PM_Angle!$J$12+PM_Angle!$K$12*$C1208+PM_Angle!$L$12*$B1208</f>
      </c>
      <c r="U1208" s="12">
        <f>IF(T1208&gt;0,IF(T1208&lt;=eco,alpha*fck*(1-(1-T1208/eco)^n),alpha*fck),0)</f>
      </c>
      <c r="V1208" s="30">
        <f>PM_Angle!$J$13+PM_Angle!$K$13*$C1208+PM_Angle!$L$13*$B1208</f>
      </c>
      <c r="W1208" s="12">
        <f>IF(V1208&gt;0,IF(V1208&lt;=eco,alpha*fck*(1-(1-V1208/eco)^n),alpha*fck),0)</f>
      </c>
      <c r="X1208" s="30">
        <f>PM_Angle!$J$14+PM_Angle!$K$14*$C1208+PM_Angle!$L$14*$B1208</f>
      </c>
      <c r="Y1208" s="12">
        <f>IF(X1208&gt;0,IF(X1208&lt;=eco,alpha*fck*(1-(1-X1208/eco)^n),alpha*fck),0)</f>
      </c>
      <c r="Z1208" s="30">
        <f>PM_Angle!$J$15+PM_Angle!$K$15*$C1208+PM_Angle!$L$15*$B1208</f>
      </c>
      <c r="AA1208" s="12">
        <f>IF(Z1208&gt;0,IF(Z1208&lt;=eco,alpha*fck*(1-(1-Z1208/eco)^n),alpha*fck),0)</f>
      </c>
      <c r="AB1208" s="30">
        <f>PM_Angle!$J$16+PM_Angle!$K$16*$C1208+PM_Angle!$L$16*$B1208</f>
      </c>
      <c r="AC1208" s="12">
        <f>IF(AB1208&gt;0,IF(AB1208&lt;=eco,alpha*fck*(1-(1-AB1208/eco)^n),alpha*fck),0)</f>
      </c>
      <c r="AD1208" s="30">
        <f>PM_Angle!$J$17+PM_Angle!$K$17*$C1208+PM_Angle!$L$17*$B1208</f>
      </c>
      <c r="AE1208" s="12">
        <f>IF(AD1208&gt;0,IF(AD1208&lt;=eco,alpha*fck*(1-(1-AD1208/eco)^n),alpha*fck),0)</f>
      </c>
      <c r="AF1208" s="30">
        <f>PM_Angle!$J$18+PM_Angle!$K$18*$C1208+PM_Angle!$L$18*$B1208</f>
      </c>
      <c r="AG1208" s="12">
        <f>IF(AF1208&gt;0,IF(AF1208&lt;=eco,alpha*fck*(1-(1-AF1208/eco)^n),alpha*fck),0)</f>
      </c>
      <c r="AH1208" s="30">
        <f>PM_Angle!$J$19+PM_Angle!$K$19*$C1208+PM_Angle!$L$19*$B1208</f>
      </c>
      <c r="AI1208" s="12">
        <f>IF(AH1208&gt;0,IF(AH1208&lt;=eco,alpha*fck*(1-(1-AH1208/eco)^n),alpha*fck),0)</f>
      </c>
      <c r="AJ1208" s="30">
        <f>PM_Angle!$J$20+PM_Angle!$K$20*$C1208+PM_Angle!$L$20*$B1208</f>
      </c>
      <c r="AK1208" s="12">
        <f>IF(AJ1208&gt;0,IF(AJ1208&lt;=eco,alpha*fck*(1-(1-AJ1208/eco)^n),alpha*fck),0)</f>
      </c>
      <c r="AL1208" s="30">
        <f>PM_Angle!$J$21+PM_Angle!$K$21*$C1208+PM_Angle!$L$21*$B1208</f>
      </c>
      <c r="AM1208" s="12">
        <f>IF(AL1208&gt;0,IF(AL1208&lt;=eco,alpha*fck*(1-(1-AL1208/eco)^n),alpha*fck),0)</f>
      </c>
      <c r="AN1208" s="30">
        <f>PM_Angle!$J$22+PM_Angle!$K$22*$C1208+PM_Angle!$L$22*$B1208</f>
      </c>
      <c r="AO1208" s="12">
        <f>IF(AN1208&gt;0,IF(AN1208&lt;=eco,alpha*fck*(1-(1-AN1208/eco)^n),alpha*fck),0)</f>
      </c>
      <c r="AP1208" s="30">
        <f>PM_Angle!$J$23+PM_Angle!$K$23*$C1208+PM_Angle!$L$23*$B1208</f>
      </c>
      <c r="AQ1208" s="12">
        <f>IF(AP1208&gt;0,IF(AP1208&lt;=eco,alpha*fck*(1-(1-AP1208/eco)^n),alpha*fck),0)</f>
      </c>
      <c r="AR1208" s="30">
        <f>PM_Angle!$J$24+PM_Angle!$K$24*$C1208+PM_Angle!$L$24*$B1208</f>
      </c>
      <c r="AS1208" s="12">
        <f>IF(AR1208&gt;0,IF(AR1208&lt;=eco,alpha*fck*(1-(1-AR1208/eco)^n),alpha*fck),0)</f>
      </c>
      <c r="AT1208" s="30">
        <f>PM_Angle!$J$25+PM_Angle!$K$25*$C1208+PM_Angle!$L$25*$B1208</f>
      </c>
      <c r="AU1208" s="12">
        <f>IF(AT1208&gt;0,IF(AT1208&lt;=eco,alpha*fck*(1-(1-AT1208/eco)^n),alpha*fck),0)</f>
      </c>
    </row>
    <row r="1209" spans="1:47" x14ac:dyDescent="0.25">
      <c r="A1209">
        <f>Mesh!A1206</f>
      </c>
      <c r="B1209" s="12">
        <f>Mesh!B1206</f>
      </c>
      <c r="C1209" s="12">
        <f>Mesh!C1206</f>
      </c>
      <c r="D1209" s="12">
        <f>Mesh!D1206</f>
      </c>
      <c r="E1209" s="30">
        <f>INDEX(St_e0,Det+1)+INDEX(St_kx,Det+1)*C1209+INDEX(St_ky,Det+1)*B1209</f>
      </c>
      <c r="F1209" s="12">
        <f>IF(E1209&gt;0,IF(E1209&lt;=eco,alpha*fck*(1-(1-E1209/eco)^n),alpha*fck),0)</f>
      </c>
      <c r="G1209" s="11">
        <f>F1209*D1209</f>
      </c>
      <c r="H1209" s="11">
        <f>G1209*C1209</f>
      </c>
      <c r="I1209" s="11">
        <f>G1209*B1209</f>
      </c>
      <c r="J1209" s="30">
        <f>PM_Angle!$J$7+PM_Angle!$K$7*$C1209+PM_Angle!$L$7*$B1209</f>
      </c>
      <c r="K1209" s="12">
        <f>IF(J1209&gt;0,IF(J1209&lt;=eco,alpha*fck*(1-(1-J1209/eco)^n),alpha*fck),0)</f>
      </c>
      <c r="L1209" s="30">
        <f>PM_Angle!$J$8+PM_Angle!$K$8*$C1209+PM_Angle!$L$8*$B1209</f>
      </c>
      <c r="M1209" s="12">
        <f>IF(L1209&gt;0,IF(L1209&lt;=eco,alpha*fck*(1-(1-L1209/eco)^n),alpha*fck),0)</f>
      </c>
      <c r="N1209" s="30">
        <f>PM_Angle!$J$9+PM_Angle!$K$9*$C1209+PM_Angle!$L$9*$B1209</f>
      </c>
      <c r="O1209" s="12">
        <f>IF(N1209&gt;0,IF(N1209&lt;=eco,alpha*fck*(1-(1-N1209/eco)^n),alpha*fck),0)</f>
      </c>
      <c r="P1209" s="30">
        <f>PM_Angle!$J$10+PM_Angle!$K$10*$C1209+PM_Angle!$L$10*$B1209</f>
      </c>
      <c r="Q1209" s="12">
        <f>IF(P1209&gt;0,IF(P1209&lt;=eco,alpha*fck*(1-(1-P1209/eco)^n),alpha*fck),0)</f>
      </c>
      <c r="R1209" s="30">
        <f>PM_Angle!$J$11+PM_Angle!$K$11*$C1209+PM_Angle!$L$11*$B1209</f>
      </c>
      <c r="S1209" s="12">
        <f>IF(R1209&gt;0,IF(R1209&lt;=eco,alpha*fck*(1-(1-R1209/eco)^n),alpha*fck),0)</f>
      </c>
      <c r="T1209" s="30">
        <f>PM_Angle!$J$12+PM_Angle!$K$12*$C1209+PM_Angle!$L$12*$B1209</f>
      </c>
      <c r="U1209" s="12">
        <f>IF(T1209&gt;0,IF(T1209&lt;=eco,alpha*fck*(1-(1-T1209/eco)^n),alpha*fck),0)</f>
      </c>
      <c r="V1209" s="30">
        <f>PM_Angle!$J$13+PM_Angle!$K$13*$C1209+PM_Angle!$L$13*$B1209</f>
      </c>
      <c r="W1209" s="12">
        <f>IF(V1209&gt;0,IF(V1209&lt;=eco,alpha*fck*(1-(1-V1209/eco)^n),alpha*fck),0)</f>
      </c>
      <c r="X1209" s="30">
        <f>PM_Angle!$J$14+PM_Angle!$K$14*$C1209+PM_Angle!$L$14*$B1209</f>
      </c>
      <c r="Y1209" s="12">
        <f>IF(X1209&gt;0,IF(X1209&lt;=eco,alpha*fck*(1-(1-X1209/eco)^n),alpha*fck),0)</f>
      </c>
      <c r="Z1209" s="30">
        <f>PM_Angle!$J$15+PM_Angle!$K$15*$C1209+PM_Angle!$L$15*$B1209</f>
      </c>
      <c r="AA1209" s="12">
        <f>IF(Z1209&gt;0,IF(Z1209&lt;=eco,alpha*fck*(1-(1-Z1209/eco)^n),alpha*fck),0)</f>
      </c>
      <c r="AB1209" s="30">
        <f>PM_Angle!$J$16+PM_Angle!$K$16*$C1209+PM_Angle!$L$16*$B1209</f>
      </c>
      <c r="AC1209" s="12">
        <f>IF(AB1209&gt;0,IF(AB1209&lt;=eco,alpha*fck*(1-(1-AB1209/eco)^n),alpha*fck),0)</f>
      </c>
      <c r="AD1209" s="30">
        <f>PM_Angle!$J$17+PM_Angle!$K$17*$C1209+PM_Angle!$L$17*$B1209</f>
      </c>
      <c r="AE1209" s="12">
        <f>IF(AD1209&gt;0,IF(AD1209&lt;=eco,alpha*fck*(1-(1-AD1209/eco)^n),alpha*fck),0)</f>
      </c>
      <c r="AF1209" s="30">
        <f>PM_Angle!$J$18+PM_Angle!$K$18*$C1209+PM_Angle!$L$18*$B1209</f>
      </c>
      <c r="AG1209" s="12">
        <f>IF(AF1209&gt;0,IF(AF1209&lt;=eco,alpha*fck*(1-(1-AF1209/eco)^n),alpha*fck),0)</f>
      </c>
      <c r="AH1209" s="30">
        <f>PM_Angle!$J$19+PM_Angle!$K$19*$C1209+PM_Angle!$L$19*$B1209</f>
      </c>
      <c r="AI1209" s="12">
        <f>IF(AH1209&gt;0,IF(AH1209&lt;=eco,alpha*fck*(1-(1-AH1209/eco)^n),alpha*fck),0)</f>
      </c>
      <c r="AJ1209" s="30">
        <f>PM_Angle!$J$20+PM_Angle!$K$20*$C1209+PM_Angle!$L$20*$B1209</f>
      </c>
      <c r="AK1209" s="12">
        <f>IF(AJ1209&gt;0,IF(AJ1209&lt;=eco,alpha*fck*(1-(1-AJ1209/eco)^n),alpha*fck),0)</f>
      </c>
      <c r="AL1209" s="30">
        <f>PM_Angle!$J$21+PM_Angle!$K$21*$C1209+PM_Angle!$L$21*$B1209</f>
      </c>
      <c r="AM1209" s="12">
        <f>IF(AL1209&gt;0,IF(AL1209&lt;=eco,alpha*fck*(1-(1-AL1209/eco)^n),alpha*fck),0)</f>
      </c>
      <c r="AN1209" s="30">
        <f>PM_Angle!$J$22+PM_Angle!$K$22*$C1209+PM_Angle!$L$22*$B1209</f>
      </c>
      <c r="AO1209" s="12">
        <f>IF(AN1209&gt;0,IF(AN1209&lt;=eco,alpha*fck*(1-(1-AN1209/eco)^n),alpha*fck),0)</f>
      </c>
      <c r="AP1209" s="30">
        <f>PM_Angle!$J$23+PM_Angle!$K$23*$C1209+PM_Angle!$L$23*$B1209</f>
      </c>
      <c r="AQ1209" s="12">
        <f>IF(AP1209&gt;0,IF(AP1209&lt;=eco,alpha*fck*(1-(1-AP1209/eco)^n),alpha*fck),0)</f>
      </c>
      <c r="AR1209" s="30">
        <f>PM_Angle!$J$24+PM_Angle!$K$24*$C1209+PM_Angle!$L$24*$B1209</f>
      </c>
      <c r="AS1209" s="12">
        <f>IF(AR1209&gt;0,IF(AR1209&lt;=eco,alpha*fck*(1-(1-AR1209/eco)^n),alpha*fck),0)</f>
      </c>
      <c r="AT1209" s="30">
        <f>PM_Angle!$J$25+PM_Angle!$K$25*$C1209+PM_Angle!$L$25*$B1209</f>
      </c>
      <c r="AU1209" s="12">
        <f>IF(AT1209&gt;0,IF(AT1209&lt;=eco,alpha*fck*(1-(1-AT1209/eco)^n),alpha*fck),0)</f>
      </c>
    </row>
    <row r="1210" spans="1:47" x14ac:dyDescent="0.25">
      <c r="A1210">
        <f>Mesh!A1207</f>
      </c>
      <c r="B1210" s="12">
        <f>Mesh!B1207</f>
      </c>
      <c r="C1210" s="12">
        <f>Mesh!C1207</f>
      </c>
      <c r="D1210" s="12">
        <f>Mesh!D1207</f>
      </c>
      <c r="E1210" s="30">
        <f>INDEX(St_e0,Det+1)+INDEX(St_kx,Det+1)*C1210+INDEX(St_ky,Det+1)*B1210</f>
      </c>
      <c r="F1210" s="12">
        <f>IF(E1210&gt;0,IF(E1210&lt;=eco,alpha*fck*(1-(1-E1210/eco)^n),alpha*fck),0)</f>
      </c>
      <c r="G1210" s="11">
        <f>F1210*D1210</f>
      </c>
      <c r="H1210" s="11">
        <f>G1210*C1210</f>
      </c>
      <c r="I1210" s="11">
        <f>G1210*B1210</f>
      </c>
      <c r="J1210" s="30">
        <f>PM_Angle!$J$7+PM_Angle!$K$7*$C1210+PM_Angle!$L$7*$B1210</f>
      </c>
      <c r="K1210" s="12">
        <f>IF(J1210&gt;0,IF(J1210&lt;=eco,alpha*fck*(1-(1-J1210/eco)^n),alpha*fck),0)</f>
      </c>
      <c r="L1210" s="30">
        <f>PM_Angle!$J$8+PM_Angle!$K$8*$C1210+PM_Angle!$L$8*$B1210</f>
      </c>
      <c r="M1210" s="12">
        <f>IF(L1210&gt;0,IF(L1210&lt;=eco,alpha*fck*(1-(1-L1210/eco)^n),alpha*fck),0)</f>
      </c>
      <c r="N1210" s="30">
        <f>PM_Angle!$J$9+PM_Angle!$K$9*$C1210+PM_Angle!$L$9*$B1210</f>
      </c>
      <c r="O1210" s="12">
        <f>IF(N1210&gt;0,IF(N1210&lt;=eco,alpha*fck*(1-(1-N1210/eco)^n),alpha*fck),0)</f>
      </c>
      <c r="P1210" s="30">
        <f>PM_Angle!$J$10+PM_Angle!$K$10*$C1210+PM_Angle!$L$10*$B1210</f>
      </c>
      <c r="Q1210" s="12">
        <f>IF(P1210&gt;0,IF(P1210&lt;=eco,alpha*fck*(1-(1-P1210/eco)^n),alpha*fck),0)</f>
      </c>
      <c r="R1210" s="30">
        <f>PM_Angle!$J$11+PM_Angle!$K$11*$C1210+PM_Angle!$L$11*$B1210</f>
      </c>
      <c r="S1210" s="12">
        <f>IF(R1210&gt;0,IF(R1210&lt;=eco,alpha*fck*(1-(1-R1210/eco)^n),alpha*fck),0)</f>
      </c>
      <c r="T1210" s="30">
        <f>PM_Angle!$J$12+PM_Angle!$K$12*$C1210+PM_Angle!$L$12*$B1210</f>
      </c>
      <c r="U1210" s="12">
        <f>IF(T1210&gt;0,IF(T1210&lt;=eco,alpha*fck*(1-(1-T1210/eco)^n),alpha*fck),0)</f>
      </c>
      <c r="V1210" s="30">
        <f>PM_Angle!$J$13+PM_Angle!$K$13*$C1210+PM_Angle!$L$13*$B1210</f>
      </c>
      <c r="W1210" s="12">
        <f>IF(V1210&gt;0,IF(V1210&lt;=eco,alpha*fck*(1-(1-V1210/eco)^n),alpha*fck),0)</f>
      </c>
      <c r="X1210" s="30">
        <f>PM_Angle!$J$14+PM_Angle!$K$14*$C1210+PM_Angle!$L$14*$B1210</f>
      </c>
      <c r="Y1210" s="12">
        <f>IF(X1210&gt;0,IF(X1210&lt;=eco,alpha*fck*(1-(1-X1210/eco)^n),alpha*fck),0)</f>
      </c>
      <c r="Z1210" s="30">
        <f>PM_Angle!$J$15+PM_Angle!$K$15*$C1210+PM_Angle!$L$15*$B1210</f>
      </c>
      <c r="AA1210" s="12">
        <f>IF(Z1210&gt;0,IF(Z1210&lt;=eco,alpha*fck*(1-(1-Z1210/eco)^n),alpha*fck),0)</f>
      </c>
      <c r="AB1210" s="30">
        <f>PM_Angle!$J$16+PM_Angle!$K$16*$C1210+PM_Angle!$L$16*$B1210</f>
      </c>
      <c r="AC1210" s="12">
        <f>IF(AB1210&gt;0,IF(AB1210&lt;=eco,alpha*fck*(1-(1-AB1210/eco)^n),alpha*fck),0)</f>
      </c>
      <c r="AD1210" s="30">
        <f>PM_Angle!$J$17+PM_Angle!$K$17*$C1210+PM_Angle!$L$17*$B1210</f>
      </c>
      <c r="AE1210" s="12">
        <f>IF(AD1210&gt;0,IF(AD1210&lt;=eco,alpha*fck*(1-(1-AD1210/eco)^n),alpha*fck),0)</f>
      </c>
      <c r="AF1210" s="30">
        <f>PM_Angle!$J$18+PM_Angle!$K$18*$C1210+PM_Angle!$L$18*$B1210</f>
      </c>
      <c r="AG1210" s="12">
        <f>IF(AF1210&gt;0,IF(AF1210&lt;=eco,alpha*fck*(1-(1-AF1210/eco)^n),alpha*fck),0)</f>
      </c>
      <c r="AH1210" s="30">
        <f>PM_Angle!$J$19+PM_Angle!$K$19*$C1210+PM_Angle!$L$19*$B1210</f>
      </c>
      <c r="AI1210" s="12">
        <f>IF(AH1210&gt;0,IF(AH1210&lt;=eco,alpha*fck*(1-(1-AH1210/eco)^n),alpha*fck),0)</f>
      </c>
      <c r="AJ1210" s="30">
        <f>PM_Angle!$J$20+PM_Angle!$K$20*$C1210+PM_Angle!$L$20*$B1210</f>
      </c>
      <c r="AK1210" s="12">
        <f>IF(AJ1210&gt;0,IF(AJ1210&lt;=eco,alpha*fck*(1-(1-AJ1210/eco)^n),alpha*fck),0)</f>
      </c>
      <c r="AL1210" s="30">
        <f>PM_Angle!$J$21+PM_Angle!$K$21*$C1210+PM_Angle!$L$21*$B1210</f>
      </c>
      <c r="AM1210" s="12">
        <f>IF(AL1210&gt;0,IF(AL1210&lt;=eco,alpha*fck*(1-(1-AL1210/eco)^n),alpha*fck),0)</f>
      </c>
      <c r="AN1210" s="30">
        <f>PM_Angle!$J$22+PM_Angle!$K$22*$C1210+PM_Angle!$L$22*$B1210</f>
      </c>
      <c r="AO1210" s="12">
        <f>IF(AN1210&gt;0,IF(AN1210&lt;=eco,alpha*fck*(1-(1-AN1210/eco)^n),alpha*fck),0)</f>
      </c>
      <c r="AP1210" s="30">
        <f>PM_Angle!$J$23+PM_Angle!$K$23*$C1210+PM_Angle!$L$23*$B1210</f>
      </c>
      <c r="AQ1210" s="12">
        <f>IF(AP1210&gt;0,IF(AP1210&lt;=eco,alpha*fck*(1-(1-AP1210/eco)^n),alpha*fck),0)</f>
      </c>
      <c r="AR1210" s="30">
        <f>PM_Angle!$J$24+PM_Angle!$K$24*$C1210+PM_Angle!$L$24*$B1210</f>
      </c>
      <c r="AS1210" s="12">
        <f>IF(AR1210&gt;0,IF(AR1210&lt;=eco,alpha*fck*(1-(1-AR1210/eco)^n),alpha*fck),0)</f>
      </c>
      <c r="AT1210" s="30">
        <f>PM_Angle!$J$25+PM_Angle!$K$25*$C1210+PM_Angle!$L$25*$B1210</f>
      </c>
      <c r="AU1210" s="12">
        <f>IF(AT1210&gt;0,IF(AT1210&lt;=eco,alpha*fck*(1-(1-AT1210/eco)^n),alpha*fck),0)</f>
      </c>
    </row>
    <row r="1211" spans="1:47" x14ac:dyDescent="0.25">
      <c r="A1211">
        <f>Mesh!A1208</f>
      </c>
      <c r="B1211" s="12">
        <f>Mesh!B1208</f>
      </c>
      <c r="C1211" s="12">
        <f>Mesh!C1208</f>
      </c>
      <c r="D1211" s="12">
        <f>Mesh!D1208</f>
      </c>
      <c r="E1211" s="30">
        <f>INDEX(St_e0,Det+1)+INDEX(St_kx,Det+1)*C1211+INDEX(St_ky,Det+1)*B1211</f>
      </c>
      <c r="F1211" s="12">
        <f>IF(E1211&gt;0,IF(E1211&lt;=eco,alpha*fck*(1-(1-E1211/eco)^n),alpha*fck),0)</f>
      </c>
      <c r="G1211" s="11">
        <f>F1211*D1211</f>
      </c>
      <c r="H1211" s="11">
        <f>G1211*C1211</f>
      </c>
      <c r="I1211" s="11">
        <f>G1211*B1211</f>
      </c>
      <c r="J1211" s="30">
        <f>PM_Angle!$J$7+PM_Angle!$K$7*$C1211+PM_Angle!$L$7*$B1211</f>
      </c>
      <c r="K1211" s="12">
        <f>IF(J1211&gt;0,IF(J1211&lt;=eco,alpha*fck*(1-(1-J1211/eco)^n),alpha*fck),0)</f>
      </c>
      <c r="L1211" s="30">
        <f>PM_Angle!$J$8+PM_Angle!$K$8*$C1211+PM_Angle!$L$8*$B1211</f>
      </c>
      <c r="M1211" s="12">
        <f>IF(L1211&gt;0,IF(L1211&lt;=eco,alpha*fck*(1-(1-L1211/eco)^n),alpha*fck),0)</f>
      </c>
      <c r="N1211" s="30">
        <f>PM_Angle!$J$9+PM_Angle!$K$9*$C1211+PM_Angle!$L$9*$B1211</f>
      </c>
      <c r="O1211" s="12">
        <f>IF(N1211&gt;0,IF(N1211&lt;=eco,alpha*fck*(1-(1-N1211/eco)^n),alpha*fck),0)</f>
      </c>
      <c r="P1211" s="30">
        <f>PM_Angle!$J$10+PM_Angle!$K$10*$C1211+PM_Angle!$L$10*$B1211</f>
      </c>
      <c r="Q1211" s="12">
        <f>IF(P1211&gt;0,IF(P1211&lt;=eco,alpha*fck*(1-(1-P1211/eco)^n),alpha*fck),0)</f>
      </c>
      <c r="R1211" s="30">
        <f>PM_Angle!$J$11+PM_Angle!$K$11*$C1211+PM_Angle!$L$11*$B1211</f>
      </c>
      <c r="S1211" s="12">
        <f>IF(R1211&gt;0,IF(R1211&lt;=eco,alpha*fck*(1-(1-R1211/eco)^n),alpha*fck),0)</f>
      </c>
      <c r="T1211" s="30">
        <f>PM_Angle!$J$12+PM_Angle!$K$12*$C1211+PM_Angle!$L$12*$B1211</f>
      </c>
      <c r="U1211" s="12">
        <f>IF(T1211&gt;0,IF(T1211&lt;=eco,alpha*fck*(1-(1-T1211/eco)^n),alpha*fck),0)</f>
      </c>
      <c r="V1211" s="30">
        <f>PM_Angle!$J$13+PM_Angle!$K$13*$C1211+PM_Angle!$L$13*$B1211</f>
      </c>
      <c r="W1211" s="12">
        <f>IF(V1211&gt;0,IF(V1211&lt;=eco,alpha*fck*(1-(1-V1211/eco)^n),alpha*fck),0)</f>
      </c>
      <c r="X1211" s="30">
        <f>PM_Angle!$J$14+PM_Angle!$K$14*$C1211+PM_Angle!$L$14*$B1211</f>
      </c>
      <c r="Y1211" s="12">
        <f>IF(X1211&gt;0,IF(X1211&lt;=eco,alpha*fck*(1-(1-X1211/eco)^n),alpha*fck),0)</f>
      </c>
      <c r="Z1211" s="30">
        <f>PM_Angle!$J$15+PM_Angle!$K$15*$C1211+PM_Angle!$L$15*$B1211</f>
      </c>
      <c r="AA1211" s="12">
        <f>IF(Z1211&gt;0,IF(Z1211&lt;=eco,alpha*fck*(1-(1-Z1211/eco)^n),alpha*fck),0)</f>
      </c>
      <c r="AB1211" s="30">
        <f>PM_Angle!$J$16+PM_Angle!$K$16*$C1211+PM_Angle!$L$16*$B1211</f>
      </c>
      <c r="AC1211" s="12">
        <f>IF(AB1211&gt;0,IF(AB1211&lt;=eco,alpha*fck*(1-(1-AB1211/eco)^n),alpha*fck),0)</f>
      </c>
      <c r="AD1211" s="30">
        <f>PM_Angle!$J$17+PM_Angle!$K$17*$C1211+PM_Angle!$L$17*$B1211</f>
      </c>
      <c r="AE1211" s="12">
        <f>IF(AD1211&gt;0,IF(AD1211&lt;=eco,alpha*fck*(1-(1-AD1211/eco)^n),alpha*fck),0)</f>
      </c>
      <c r="AF1211" s="30">
        <f>PM_Angle!$J$18+PM_Angle!$K$18*$C1211+PM_Angle!$L$18*$B1211</f>
      </c>
      <c r="AG1211" s="12">
        <f>IF(AF1211&gt;0,IF(AF1211&lt;=eco,alpha*fck*(1-(1-AF1211/eco)^n),alpha*fck),0)</f>
      </c>
      <c r="AH1211" s="30">
        <f>PM_Angle!$J$19+PM_Angle!$K$19*$C1211+PM_Angle!$L$19*$B1211</f>
      </c>
      <c r="AI1211" s="12">
        <f>IF(AH1211&gt;0,IF(AH1211&lt;=eco,alpha*fck*(1-(1-AH1211/eco)^n),alpha*fck),0)</f>
      </c>
      <c r="AJ1211" s="30">
        <f>PM_Angle!$J$20+PM_Angle!$K$20*$C1211+PM_Angle!$L$20*$B1211</f>
      </c>
      <c r="AK1211" s="12">
        <f>IF(AJ1211&gt;0,IF(AJ1211&lt;=eco,alpha*fck*(1-(1-AJ1211/eco)^n),alpha*fck),0)</f>
      </c>
      <c r="AL1211" s="30">
        <f>PM_Angle!$J$21+PM_Angle!$K$21*$C1211+PM_Angle!$L$21*$B1211</f>
      </c>
      <c r="AM1211" s="12">
        <f>IF(AL1211&gt;0,IF(AL1211&lt;=eco,alpha*fck*(1-(1-AL1211/eco)^n),alpha*fck),0)</f>
      </c>
      <c r="AN1211" s="30">
        <f>PM_Angle!$J$22+PM_Angle!$K$22*$C1211+PM_Angle!$L$22*$B1211</f>
      </c>
      <c r="AO1211" s="12">
        <f>IF(AN1211&gt;0,IF(AN1211&lt;=eco,alpha*fck*(1-(1-AN1211/eco)^n),alpha*fck),0)</f>
      </c>
      <c r="AP1211" s="30">
        <f>PM_Angle!$J$23+PM_Angle!$K$23*$C1211+PM_Angle!$L$23*$B1211</f>
      </c>
      <c r="AQ1211" s="12">
        <f>IF(AP1211&gt;0,IF(AP1211&lt;=eco,alpha*fck*(1-(1-AP1211/eco)^n),alpha*fck),0)</f>
      </c>
      <c r="AR1211" s="30">
        <f>PM_Angle!$J$24+PM_Angle!$K$24*$C1211+PM_Angle!$L$24*$B1211</f>
      </c>
      <c r="AS1211" s="12">
        <f>IF(AR1211&gt;0,IF(AR1211&lt;=eco,alpha*fck*(1-(1-AR1211/eco)^n),alpha*fck),0)</f>
      </c>
      <c r="AT1211" s="30">
        <f>PM_Angle!$J$25+PM_Angle!$K$25*$C1211+PM_Angle!$L$25*$B1211</f>
      </c>
      <c r="AU1211" s="12">
        <f>IF(AT1211&gt;0,IF(AT1211&lt;=eco,alpha*fck*(1-(1-AT1211/eco)^n),alpha*fck),0)</f>
      </c>
    </row>
    <row r="1212" spans="1:47" x14ac:dyDescent="0.25">
      <c r="A1212">
        <f>Mesh!A1209</f>
      </c>
      <c r="B1212" s="12">
        <f>Mesh!B1209</f>
      </c>
      <c r="C1212" s="12">
        <f>Mesh!C1209</f>
      </c>
      <c r="D1212" s="12">
        <f>Mesh!D1209</f>
      </c>
      <c r="E1212" s="30">
        <f>INDEX(St_e0,Det+1)+INDEX(St_kx,Det+1)*C1212+INDEX(St_ky,Det+1)*B1212</f>
      </c>
      <c r="F1212" s="12">
        <f>IF(E1212&gt;0,IF(E1212&lt;=eco,alpha*fck*(1-(1-E1212/eco)^n),alpha*fck),0)</f>
      </c>
      <c r="G1212" s="11">
        <f>F1212*D1212</f>
      </c>
      <c r="H1212" s="11">
        <f>G1212*C1212</f>
      </c>
      <c r="I1212" s="11">
        <f>G1212*B1212</f>
      </c>
      <c r="J1212" s="30">
        <f>PM_Angle!$J$7+PM_Angle!$K$7*$C1212+PM_Angle!$L$7*$B1212</f>
      </c>
      <c r="K1212" s="12">
        <f>IF(J1212&gt;0,IF(J1212&lt;=eco,alpha*fck*(1-(1-J1212/eco)^n),alpha*fck),0)</f>
      </c>
      <c r="L1212" s="30">
        <f>PM_Angle!$J$8+PM_Angle!$K$8*$C1212+PM_Angle!$L$8*$B1212</f>
      </c>
      <c r="M1212" s="12">
        <f>IF(L1212&gt;0,IF(L1212&lt;=eco,alpha*fck*(1-(1-L1212/eco)^n),alpha*fck),0)</f>
      </c>
      <c r="N1212" s="30">
        <f>PM_Angle!$J$9+PM_Angle!$K$9*$C1212+PM_Angle!$L$9*$B1212</f>
      </c>
      <c r="O1212" s="12">
        <f>IF(N1212&gt;0,IF(N1212&lt;=eco,alpha*fck*(1-(1-N1212/eco)^n),alpha*fck),0)</f>
      </c>
      <c r="P1212" s="30">
        <f>PM_Angle!$J$10+PM_Angle!$K$10*$C1212+PM_Angle!$L$10*$B1212</f>
      </c>
      <c r="Q1212" s="12">
        <f>IF(P1212&gt;0,IF(P1212&lt;=eco,alpha*fck*(1-(1-P1212/eco)^n),alpha*fck),0)</f>
      </c>
      <c r="R1212" s="30">
        <f>PM_Angle!$J$11+PM_Angle!$K$11*$C1212+PM_Angle!$L$11*$B1212</f>
      </c>
      <c r="S1212" s="12">
        <f>IF(R1212&gt;0,IF(R1212&lt;=eco,alpha*fck*(1-(1-R1212/eco)^n),alpha*fck),0)</f>
      </c>
      <c r="T1212" s="30">
        <f>PM_Angle!$J$12+PM_Angle!$K$12*$C1212+PM_Angle!$L$12*$B1212</f>
      </c>
      <c r="U1212" s="12">
        <f>IF(T1212&gt;0,IF(T1212&lt;=eco,alpha*fck*(1-(1-T1212/eco)^n),alpha*fck),0)</f>
      </c>
      <c r="V1212" s="30">
        <f>PM_Angle!$J$13+PM_Angle!$K$13*$C1212+PM_Angle!$L$13*$B1212</f>
      </c>
      <c r="W1212" s="12">
        <f>IF(V1212&gt;0,IF(V1212&lt;=eco,alpha*fck*(1-(1-V1212/eco)^n),alpha*fck),0)</f>
      </c>
      <c r="X1212" s="30">
        <f>PM_Angle!$J$14+PM_Angle!$K$14*$C1212+PM_Angle!$L$14*$B1212</f>
      </c>
      <c r="Y1212" s="12">
        <f>IF(X1212&gt;0,IF(X1212&lt;=eco,alpha*fck*(1-(1-X1212/eco)^n),alpha*fck),0)</f>
      </c>
      <c r="Z1212" s="30">
        <f>PM_Angle!$J$15+PM_Angle!$K$15*$C1212+PM_Angle!$L$15*$B1212</f>
      </c>
      <c r="AA1212" s="12">
        <f>IF(Z1212&gt;0,IF(Z1212&lt;=eco,alpha*fck*(1-(1-Z1212/eco)^n),alpha*fck),0)</f>
      </c>
      <c r="AB1212" s="30">
        <f>PM_Angle!$J$16+PM_Angle!$K$16*$C1212+PM_Angle!$L$16*$B1212</f>
      </c>
      <c r="AC1212" s="12">
        <f>IF(AB1212&gt;0,IF(AB1212&lt;=eco,alpha*fck*(1-(1-AB1212/eco)^n),alpha*fck),0)</f>
      </c>
      <c r="AD1212" s="30">
        <f>PM_Angle!$J$17+PM_Angle!$K$17*$C1212+PM_Angle!$L$17*$B1212</f>
      </c>
      <c r="AE1212" s="12">
        <f>IF(AD1212&gt;0,IF(AD1212&lt;=eco,alpha*fck*(1-(1-AD1212/eco)^n),alpha*fck),0)</f>
      </c>
      <c r="AF1212" s="30">
        <f>PM_Angle!$J$18+PM_Angle!$K$18*$C1212+PM_Angle!$L$18*$B1212</f>
      </c>
      <c r="AG1212" s="12">
        <f>IF(AF1212&gt;0,IF(AF1212&lt;=eco,alpha*fck*(1-(1-AF1212/eco)^n),alpha*fck),0)</f>
      </c>
      <c r="AH1212" s="30">
        <f>PM_Angle!$J$19+PM_Angle!$K$19*$C1212+PM_Angle!$L$19*$B1212</f>
      </c>
      <c r="AI1212" s="12">
        <f>IF(AH1212&gt;0,IF(AH1212&lt;=eco,alpha*fck*(1-(1-AH1212/eco)^n),alpha*fck),0)</f>
      </c>
      <c r="AJ1212" s="30">
        <f>PM_Angle!$J$20+PM_Angle!$K$20*$C1212+PM_Angle!$L$20*$B1212</f>
      </c>
      <c r="AK1212" s="12">
        <f>IF(AJ1212&gt;0,IF(AJ1212&lt;=eco,alpha*fck*(1-(1-AJ1212/eco)^n),alpha*fck),0)</f>
      </c>
      <c r="AL1212" s="30">
        <f>PM_Angle!$J$21+PM_Angle!$K$21*$C1212+PM_Angle!$L$21*$B1212</f>
      </c>
      <c r="AM1212" s="12">
        <f>IF(AL1212&gt;0,IF(AL1212&lt;=eco,alpha*fck*(1-(1-AL1212/eco)^n),alpha*fck),0)</f>
      </c>
      <c r="AN1212" s="30">
        <f>PM_Angle!$J$22+PM_Angle!$K$22*$C1212+PM_Angle!$L$22*$B1212</f>
      </c>
      <c r="AO1212" s="12">
        <f>IF(AN1212&gt;0,IF(AN1212&lt;=eco,alpha*fck*(1-(1-AN1212/eco)^n),alpha*fck),0)</f>
      </c>
      <c r="AP1212" s="30">
        <f>PM_Angle!$J$23+PM_Angle!$K$23*$C1212+PM_Angle!$L$23*$B1212</f>
      </c>
      <c r="AQ1212" s="12">
        <f>IF(AP1212&gt;0,IF(AP1212&lt;=eco,alpha*fck*(1-(1-AP1212/eco)^n),alpha*fck),0)</f>
      </c>
      <c r="AR1212" s="30">
        <f>PM_Angle!$J$24+PM_Angle!$K$24*$C1212+PM_Angle!$L$24*$B1212</f>
      </c>
      <c r="AS1212" s="12">
        <f>IF(AR1212&gt;0,IF(AR1212&lt;=eco,alpha*fck*(1-(1-AR1212/eco)^n),alpha*fck),0)</f>
      </c>
      <c r="AT1212" s="30">
        <f>PM_Angle!$J$25+PM_Angle!$K$25*$C1212+PM_Angle!$L$25*$B1212</f>
      </c>
      <c r="AU1212" s="12">
        <f>IF(AT1212&gt;0,IF(AT1212&lt;=eco,alpha*fck*(1-(1-AT1212/eco)^n),alpha*fck),0)</f>
      </c>
    </row>
    <row r="1213" spans="1:47" x14ac:dyDescent="0.25">
      <c r="A1213">
        <f>Mesh!A1210</f>
      </c>
      <c r="B1213" s="12">
        <f>Mesh!B1210</f>
      </c>
      <c r="C1213" s="12">
        <f>Mesh!C1210</f>
      </c>
      <c r="D1213" s="12">
        <f>Mesh!D1210</f>
      </c>
      <c r="E1213" s="30">
        <f>INDEX(St_e0,Det+1)+INDEX(St_kx,Det+1)*C1213+INDEX(St_ky,Det+1)*B1213</f>
      </c>
      <c r="F1213" s="12">
        <f>IF(E1213&gt;0,IF(E1213&lt;=eco,alpha*fck*(1-(1-E1213/eco)^n),alpha*fck),0)</f>
      </c>
      <c r="G1213" s="11">
        <f>F1213*D1213</f>
      </c>
      <c r="H1213" s="11">
        <f>G1213*C1213</f>
      </c>
      <c r="I1213" s="11">
        <f>G1213*B1213</f>
      </c>
      <c r="J1213" s="30">
        <f>PM_Angle!$J$7+PM_Angle!$K$7*$C1213+PM_Angle!$L$7*$B1213</f>
      </c>
      <c r="K1213" s="12">
        <f>IF(J1213&gt;0,IF(J1213&lt;=eco,alpha*fck*(1-(1-J1213/eco)^n),alpha*fck),0)</f>
      </c>
      <c r="L1213" s="30">
        <f>PM_Angle!$J$8+PM_Angle!$K$8*$C1213+PM_Angle!$L$8*$B1213</f>
      </c>
      <c r="M1213" s="12">
        <f>IF(L1213&gt;0,IF(L1213&lt;=eco,alpha*fck*(1-(1-L1213/eco)^n),alpha*fck),0)</f>
      </c>
      <c r="N1213" s="30">
        <f>PM_Angle!$J$9+PM_Angle!$K$9*$C1213+PM_Angle!$L$9*$B1213</f>
      </c>
      <c r="O1213" s="12">
        <f>IF(N1213&gt;0,IF(N1213&lt;=eco,alpha*fck*(1-(1-N1213/eco)^n),alpha*fck),0)</f>
      </c>
      <c r="P1213" s="30">
        <f>PM_Angle!$J$10+PM_Angle!$K$10*$C1213+PM_Angle!$L$10*$B1213</f>
      </c>
      <c r="Q1213" s="12">
        <f>IF(P1213&gt;0,IF(P1213&lt;=eco,alpha*fck*(1-(1-P1213/eco)^n),alpha*fck),0)</f>
      </c>
      <c r="R1213" s="30">
        <f>PM_Angle!$J$11+PM_Angle!$K$11*$C1213+PM_Angle!$L$11*$B1213</f>
      </c>
      <c r="S1213" s="12">
        <f>IF(R1213&gt;0,IF(R1213&lt;=eco,alpha*fck*(1-(1-R1213/eco)^n),alpha*fck),0)</f>
      </c>
      <c r="T1213" s="30">
        <f>PM_Angle!$J$12+PM_Angle!$K$12*$C1213+PM_Angle!$L$12*$B1213</f>
      </c>
      <c r="U1213" s="12">
        <f>IF(T1213&gt;0,IF(T1213&lt;=eco,alpha*fck*(1-(1-T1213/eco)^n),alpha*fck),0)</f>
      </c>
      <c r="V1213" s="30">
        <f>PM_Angle!$J$13+PM_Angle!$K$13*$C1213+PM_Angle!$L$13*$B1213</f>
      </c>
      <c r="W1213" s="12">
        <f>IF(V1213&gt;0,IF(V1213&lt;=eco,alpha*fck*(1-(1-V1213/eco)^n),alpha*fck),0)</f>
      </c>
      <c r="X1213" s="30">
        <f>PM_Angle!$J$14+PM_Angle!$K$14*$C1213+PM_Angle!$L$14*$B1213</f>
      </c>
      <c r="Y1213" s="12">
        <f>IF(X1213&gt;0,IF(X1213&lt;=eco,alpha*fck*(1-(1-X1213/eco)^n),alpha*fck),0)</f>
      </c>
      <c r="Z1213" s="30">
        <f>PM_Angle!$J$15+PM_Angle!$K$15*$C1213+PM_Angle!$L$15*$B1213</f>
      </c>
      <c r="AA1213" s="12">
        <f>IF(Z1213&gt;0,IF(Z1213&lt;=eco,alpha*fck*(1-(1-Z1213/eco)^n),alpha*fck),0)</f>
      </c>
      <c r="AB1213" s="30">
        <f>PM_Angle!$J$16+PM_Angle!$K$16*$C1213+PM_Angle!$L$16*$B1213</f>
      </c>
      <c r="AC1213" s="12">
        <f>IF(AB1213&gt;0,IF(AB1213&lt;=eco,alpha*fck*(1-(1-AB1213/eco)^n),alpha*fck),0)</f>
      </c>
      <c r="AD1213" s="30">
        <f>PM_Angle!$J$17+PM_Angle!$K$17*$C1213+PM_Angle!$L$17*$B1213</f>
      </c>
      <c r="AE1213" s="12">
        <f>IF(AD1213&gt;0,IF(AD1213&lt;=eco,alpha*fck*(1-(1-AD1213/eco)^n),alpha*fck),0)</f>
      </c>
      <c r="AF1213" s="30">
        <f>PM_Angle!$J$18+PM_Angle!$K$18*$C1213+PM_Angle!$L$18*$B1213</f>
      </c>
      <c r="AG1213" s="12">
        <f>IF(AF1213&gt;0,IF(AF1213&lt;=eco,alpha*fck*(1-(1-AF1213/eco)^n),alpha*fck),0)</f>
      </c>
      <c r="AH1213" s="30">
        <f>PM_Angle!$J$19+PM_Angle!$K$19*$C1213+PM_Angle!$L$19*$B1213</f>
      </c>
      <c r="AI1213" s="12">
        <f>IF(AH1213&gt;0,IF(AH1213&lt;=eco,alpha*fck*(1-(1-AH1213/eco)^n),alpha*fck),0)</f>
      </c>
      <c r="AJ1213" s="30">
        <f>PM_Angle!$J$20+PM_Angle!$K$20*$C1213+PM_Angle!$L$20*$B1213</f>
      </c>
      <c r="AK1213" s="12">
        <f>IF(AJ1213&gt;0,IF(AJ1213&lt;=eco,alpha*fck*(1-(1-AJ1213/eco)^n),alpha*fck),0)</f>
      </c>
      <c r="AL1213" s="30">
        <f>PM_Angle!$J$21+PM_Angle!$K$21*$C1213+PM_Angle!$L$21*$B1213</f>
      </c>
      <c r="AM1213" s="12">
        <f>IF(AL1213&gt;0,IF(AL1213&lt;=eco,alpha*fck*(1-(1-AL1213/eco)^n),alpha*fck),0)</f>
      </c>
      <c r="AN1213" s="30">
        <f>PM_Angle!$J$22+PM_Angle!$K$22*$C1213+PM_Angle!$L$22*$B1213</f>
      </c>
      <c r="AO1213" s="12">
        <f>IF(AN1213&gt;0,IF(AN1213&lt;=eco,alpha*fck*(1-(1-AN1213/eco)^n),alpha*fck),0)</f>
      </c>
      <c r="AP1213" s="30">
        <f>PM_Angle!$J$23+PM_Angle!$K$23*$C1213+PM_Angle!$L$23*$B1213</f>
      </c>
      <c r="AQ1213" s="12">
        <f>IF(AP1213&gt;0,IF(AP1213&lt;=eco,alpha*fck*(1-(1-AP1213/eco)^n),alpha*fck),0)</f>
      </c>
      <c r="AR1213" s="30">
        <f>PM_Angle!$J$24+PM_Angle!$K$24*$C1213+PM_Angle!$L$24*$B1213</f>
      </c>
      <c r="AS1213" s="12">
        <f>IF(AR1213&gt;0,IF(AR1213&lt;=eco,alpha*fck*(1-(1-AR1213/eco)^n),alpha*fck),0)</f>
      </c>
      <c r="AT1213" s="30">
        <f>PM_Angle!$J$25+PM_Angle!$K$25*$C1213+PM_Angle!$L$25*$B1213</f>
      </c>
      <c r="AU1213" s="12">
        <f>IF(AT1213&gt;0,IF(AT1213&lt;=eco,alpha*fck*(1-(1-AT1213/eco)^n),alpha*fck),0)</f>
      </c>
    </row>
    <row r="1214" spans="1:47" x14ac:dyDescent="0.25">
      <c r="A1214">
        <f>Mesh!A1211</f>
      </c>
      <c r="B1214" s="12">
        <f>Mesh!B1211</f>
      </c>
      <c r="C1214" s="12">
        <f>Mesh!C1211</f>
      </c>
      <c r="D1214" s="12">
        <f>Mesh!D1211</f>
      </c>
      <c r="E1214" s="30">
        <f>INDEX(St_e0,Det+1)+INDEX(St_kx,Det+1)*C1214+INDEX(St_ky,Det+1)*B1214</f>
      </c>
      <c r="F1214" s="12">
        <f>IF(E1214&gt;0,IF(E1214&lt;=eco,alpha*fck*(1-(1-E1214/eco)^n),alpha*fck),0)</f>
      </c>
      <c r="G1214" s="11">
        <f>F1214*D1214</f>
      </c>
      <c r="H1214" s="11">
        <f>G1214*C1214</f>
      </c>
      <c r="I1214" s="11">
        <f>G1214*B1214</f>
      </c>
      <c r="J1214" s="30">
        <f>PM_Angle!$J$7+PM_Angle!$K$7*$C1214+PM_Angle!$L$7*$B1214</f>
      </c>
      <c r="K1214" s="12">
        <f>IF(J1214&gt;0,IF(J1214&lt;=eco,alpha*fck*(1-(1-J1214/eco)^n),alpha*fck),0)</f>
      </c>
      <c r="L1214" s="30">
        <f>PM_Angle!$J$8+PM_Angle!$K$8*$C1214+PM_Angle!$L$8*$B1214</f>
      </c>
      <c r="M1214" s="12">
        <f>IF(L1214&gt;0,IF(L1214&lt;=eco,alpha*fck*(1-(1-L1214/eco)^n),alpha*fck),0)</f>
      </c>
      <c r="N1214" s="30">
        <f>PM_Angle!$J$9+PM_Angle!$K$9*$C1214+PM_Angle!$L$9*$B1214</f>
      </c>
      <c r="O1214" s="12">
        <f>IF(N1214&gt;0,IF(N1214&lt;=eco,alpha*fck*(1-(1-N1214/eco)^n),alpha*fck),0)</f>
      </c>
      <c r="P1214" s="30">
        <f>PM_Angle!$J$10+PM_Angle!$K$10*$C1214+PM_Angle!$L$10*$B1214</f>
      </c>
      <c r="Q1214" s="12">
        <f>IF(P1214&gt;0,IF(P1214&lt;=eco,alpha*fck*(1-(1-P1214/eco)^n),alpha*fck),0)</f>
      </c>
      <c r="R1214" s="30">
        <f>PM_Angle!$J$11+PM_Angle!$K$11*$C1214+PM_Angle!$L$11*$B1214</f>
      </c>
      <c r="S1214" s="12">
        <f>IF(R1214&gt;0,IF(R1214&lt;=eco,alpha*fck*(1-(1-R1214/eco)^n),alpha*fck),0)</f>
      </c>
      <c r="T1214" s="30">
        <f>PM_Angle!$J$12+PM_Angle!$K$12*$C1214+PM_Angle!$L$12*$B1214</f>
      </c>
      <c r="U1214" s="12">
        <f>IF(T1214&gt;0,IF(T1214&lt;=eco,alpha*fck*(1-(1-T1214/eco)^n),alpha*fck),0)</f>
      </c>
      <c r="V1214" s="30">
        <f>PM_Angle!$J$13+PM_Angle!$K$13*$C1214+PM_Angle!$L$13*$B1214</f>
      </c>
      <c r="W1214" s="12">
        <f>IF(V1214&gt;0,IF(V1214&lt;=eco,alpha*fck*(1-(1-V1214/eco)^n),alpha*fck),0)</f>
      </c>
      <c r="X1214" s="30">
        <f>PM_Angle!$J$14+PM_Angle!$K$14*$C1214+PM_Angle!$L$14*$B1214</f>
      </c>
      <c r="Y1214" s="12">
        <f>IF(X1214&gt;0,IF(X1214&lt;=eco,alpha*fck*(1-(1-X1214/eco)^n),alpha*fck),0)</f>
      </c>
      <c r="Z1214" s="30">
        <f>PM_Angle!$J$15+PM_Angle!$K$15*$C1214+PM_Angle!$L$15*$B1214</f>
      </c>
      <c r="AA1214" s="12">
        <f>IF(Z1214&gt;0,IF(Z1214&lt;=eco,alpha*fck*(1-(1-Z1214/eco)^n),alpha*fck),0)</f>
      </c>
      <c r="AB1214" s="30">
        <f>PM_Angle!$J$16+PM_Angle!$K$16*$C1214+PM_Angle!$L$16*$B1214</f>
      </c>
      <c r="AC1214" s="12">
        <f>IF(AB1214&gt;0,IF(AB1214&lt;=eco,alpha*fck*(1-(1-AB1214/eco)^n),alpha*fck),0)</f>
      </c>
      <c r="AD1214" s="30">
        <f>PM_Angle!$J$17+PM_Angle!$K$17*$C1214+PM_Angle!$L$17*$B1214</f>
      </c>
      <c r="AE1214" s="12">
        <f>IF(AD1214&gt;0,IF(AD1214&lt;=eco,alpha*fck*(1-(1-AD1214/eco)^n),alpha*fck),0)</f>
      </c>
      <c r="AF1214" s="30">
        <f>PM_Angle!$J$18+PM_Angle!$K$18*$C1214+PM_Angle!$L$18*$B1214</f>
      </c>
      <c r="AG1214" s="12">
        <f>IF(AF1214&gt;0,IF(AF1214&lt;=eco,alpha*fck*(1-(1-AF1214/eco)^n),alpha*fck),0)</f>
      </c>
      <c r="AH1214" s="30">
        <f>PM_Angle!$J$19+PM_Angle!$K$19*$C1214+PM_Angle!$L$19*$B1214</f>
      </c>
      <c r="AI1214" s="12">
        <f>IF(AH1214&gt;0,IF(AH1214&lt;=eco,alpha*fck*(1-(1-AH1214/eco)^n),alpha*fck),0)</f>
      </c>
      <c r="AJ1214" s="30">
        <f>PM_Angle!$J$20+PM_Angle!$K$20*$C1214+PM_Angle!$L$20*$B1214</f>
      </c>
      <c r="AK1214" s="12">
        <f>IF(AJ1214&gt;0,IF(AJ1214&lt;=eco,alpha*fck*(1-(1-AJ1214/eco)^n),alpha*fck),0)</f>
      </c>
      <c r="AL1214" s="30">
        <f>PM_Angle!$J$21+PM_Angle!$K$21*$C1214+PM_Angle!$L$21*$B1214</f>
      </c>
      <c r="AM1214" s="12">
        <f>IF(AL1214&gt;0,IF(AL1214&lt;=eco,alpha*fck*(1-(1-AL1214/eco)^n),alpha*fck),0)</f>
      </c>
      <c r="AN1214" s="30">
        <f>PM_Angle!$J$22+PM_Angle!$K$22*$C1214+PM_Angle!$L$22*$B1214</f>
      </c>
      <c r="AO1214" s="12">
        <f>IF(AN1214&gt;0,IF(AN1214&lt;=eco,alpha*fck*(1-(1-AN1214/eco)^n),alpha*fck),0)</f>
      </c>
      <c r="AP1214" s="30">
        <f>PM_Angle!$J$23+PM_Angle!$K$23*$C1214+PM_Angle!$L$23*$B1214</f>
      </c>
      <c r="AQ1214" s="12">
        <f>IF(AP1214&gt;0,IF(AP1214&lt;=eco,alpha*fck*(1-(1-AP1214/eco)^n),alpha*fck),0)</f>
      </c>
      <c r="AR1214" s="30">
        <f>PM_Angle!$J$24+PM_Angle!$K$24*$C1214+PM_Angle!$L$24*$B1214</f>
      </c>
      <c r="AS1214" s="12">
        <f>IF(AR1214&gt;0,IF(AR1214&lt;=eco,alpha*fck*(1-(1-AR1214/eco)^n),alpha*fck),0)</f>
      </c>
      <c r="AT1214" s="30">
        <f>PM_Angle!$J$25+PM_Angle!$K$25*$C1214+PM_Angle!$L$25*$B1214</f>
      </c>
      <c r="AU1214" s="12">
        <f>IF(AT1214&gt;0,IF(AT1214&lt;=eco,alpha*fck*(1-(1-AT1214/eco)^n),alpha*fck),0)</f>
      </c>
    </row>
    <row r="1215" spans="1:47" x14ac:dyDescent="0.25">
      <c r="A1215">
        <f>Mesh!A1212</f>
      </c>
      <c r="B1215" s="12">
        <f>Mesh!B1212</f>
      </c>
      <c r="C1215" s="12">
        <f>Mesh!C1212</f>
      </c>
      <c r="D1215" s="12">
        <f>Mesh!D1212</f>
      </c>
      <c r="E1215" s="30">
        <f>INDEX(St_e0,Det+1)+INDEX(St_kx,Det+1)*C1215+INDEX(St_ky,Det+1)*B1215</f>
      </c>
      <c r="F1215" s="12">
        <f>IF(E1215&gt;0,IF(E1215&lt;=eco,alpha*fck*(1-(1-E1215/eco)^n),alpha*fck),0)</f>
      </c>
      <c r="G1215" s="11">
        <f>F1215*D1215</f>
      </c>
      <c r="H1215" s="11">
        <f>G1215*C1215</f>
      </c>
      <c r="I1215" s="11">
        <f>G1215*B1215</f>
      </c>
      <c r="J1215" s="30">
        <f>PM_Angle!$J$7+PM_Angle!$K$7*$C1215+PM_Angle!$L$7*$B1215</f>
      </c>
      <c r="K1215" s="12">
        <f>IF(J1215&gt;0,IF(J1215&lt;=eco,alpha*fck*(1-(1-J1215/eco)^n),alpha*fck),0)</f>
      </c>
      <c r="L1215" s="30">
        <f>PM_Angle!$J$8+PM_Angle!$K$8*$C1215+PM_Angle!$L$8*$B1215</f>
      </c>
      <c r="M1215" s="12">
        <f>IF(L1215&gt;0,IF(L1215&lt;=eco,alpha*fck*(1-(1-L1215/eco)^n),alpha*fck),0)</f>
      </c>
      <c r="N1215" s="30">
        <f>PM_Angle!$J$9+PM_Angle!$K$9*$C1215+PM_Angle!$L$9*$B1215</f>
      </c>
      <c r="O1215" s="12">
        <f>IF(N1215&gt;0,IF(N1215&lt;=eco,alpha*fck*(1-(1-N1215/eco)^n),alpha*fck),0)</f>
      </c>
      <c r="P1215" s="30">
        <f>PM_Angle!$J$10+PM_Angle!$K$10*$C1215+PM_Angle!$L$10*$B1215</f>
      </c>
      <c r="Q1215" s="12">
        <f>IF(P1215&gt;0,IF(P1215&lt;=eco,alpha*fck*(1-(1-P1215/eco)^n),alpha*fck),0)</f>
      </c>
      <c r="R1215" s="30">
        <f>PM_Angle!$J$11+PM_Angle!$K$11*$C1215+PM_Angle!$L$11*$B1215</f>
      </c>
      <c r="S1215" s="12">
        <f>IF(R1215&gt;0,IF(R1215&lt;=eco,alpha*fck*(1-(1-R1215/eco)^n),alpha*fck),0)</f>
      </c>
      <c r="T1215" s="30">
        <f>PM_Angle!$J$12+PM_Angle!$K$12*$C1215+PM_Angle!$L$12*$B1215</f>
      </c>
      <c r="U1215" s="12">
        <f>IF(T1215&gt;0,IF(T1215&lt;=eco,alpha*fck*(1-(1-T1215/eco)^n),alpha*fck),0)</f>
      </c>
      <c r="V1215" s="30">
        <f>PM_Angle!$J$13+PM_Angle!$K$13*$C1215+PM_Angle!$L$13*$B1215</f>
      </c>
      <c r="W1215" s="12">
        <f>IF(V1215&gt;0,IF(V1215&lt;=eco,alpha*fck*(1-(1-V1215/eco)^n),alpha*fck),0)</f>
      </c>
      <c r="X1215" s="30">
        <f>PM_Angle!$J$14+PM_Angle!$K$14*$C1215+PM_Angle!$L$14*$B1215</f>
      </c>
      <c r="Y1215" s="12">
        <f>IF(X1215&gt;0,IF(X1215&lt;=eco,alpha*fck*(1-(1-X1215/eco)^n),alpha*fck),0)</f>
      </c>
      <c r="Z1215" s="30">
        <f>PM_Angle!$J$15+PM_Angle!$K$15*$C1215+PM_Angle!$L$15*$B1215</f>
      </c>
      <c r="AA1215" s="12">
        <f>IF(Z1215&gt;0,IF(Z1215&lt;=eco,alpha*fck*(1-(1-Z1215/eco)^n),alpha*fck),0)</f>
      </c>
      <c r="AB1215" s="30">
        <f>PM_Angle!$J$16+PM_Angle!$K$16*$C1215+PM_Angle!$L$16*$B1215</f>
      </c>
      <c r="AC1215" s="12">
        <f>IF(AB1215&gt;0,IF(AB1215&lt;=eco,alpha*fck*(1-(1-AB1215/eco)^n),alpha*fck),0)</f>
      </c>
      <c r="AD1215" s="30">
        <f>PM_Angle!$J$17+PM_Angle!$K$17*$C1215+PM_Angle!$L$17*$B1215</f>
      </c>
      <c r="AE1215" s="12">
        <f>IF(AD1215&gt;0,IF(AD1215&lt;=eco,alpha*fck*(1-(1-AD1215/eco)^n),alpha*fck),0)</f>
      </c>
      <c r="AF1215" s="30">
        <f>PM_Angle!$J$18+PM_Angle!$K$18*$C1215+PM_Angle!$L$18*$B1215</f>
      </c>
      <c r="AG1215" s="12">
        <f>IF(AF1215&gt;0,IF(AF1215&lt;=eco,alpha*fck*(1-(1-AF1215/eco)^n),alpha*fck),0)</f>
      </c>
      <c r="AH1215" s="30">
        <f>PM_Angle!$J$19+PM_Angle!$K$19*$C1215+PM_Angle!$L$19*$B1215</f>
      </c>
      <c r="AI1215" s="12">
        <f>IF(AH1215&gt;0,IF(AH1215&lt;=eco,alpha*fck*(1-(1-AH1215/eco)^n),alpha*fck),0)</f>
      </c>
      <c r="AJ1215" s="30">
        <f>PM_Angle!$J$20+PM_Angle!$K$20*$C1215+PM_Angle!$L$20*$B1215</f>
      </c>
      <c r="AK1215" s="12">
        <f>IF(AJ1215&gt;0,IF(AJ1215&lt;=eco,alpha*fck*(1-(1-AJ1215/eco)^n),alpha*fck),0)</f>
      </c>
      <c r="AL1215" s="30">
        <f>PM_Angle!$J$21+PM_Angle!$K$21*$C1215+PM_Angle!$L$21*$B1215</f>
      </c>
      <c r="AM1215" s="12">
        <f>IF(AL1215&gt;0,IF(AL1215&lt;=eco,alpha*fck*(1-(1-AL1215/eco)^n),alpha*fck),0)</f>
      </c>
      <c r="AN1215" s="30">
        <f>PM_Angle!$J$22+PM_Angle!$K$22*$C1215+PM_Angle!$L$22*$B1215</f>
      </c>
      <c r="AO1215" s="12">
        <f>IF(AN1215&gt;0,IF(AN1215&lt;=eco,alpha*fck*(1-(1-AN1215/eco)^n),alpha*fck),0)</f>
      </c>
      <c r="AP1215" s="30">
        <f>PM_Angle!$J$23+PM_Angle!$K$23*$C1215+PM_Angle!$L$23*$B1215</f>
      </c>
      <c r="AQ1215" s="12">
        <f>IF(AP1215&gt;0,IF(AP1215&lt;=eco,alpha*fck*(1-(1-AP1215/eco)^n),alpha*fck),0)</f>
      </c>
      <c r="AR1215" s="30">
        <f>PM_Angle!$J$24+PM_Angle!$K$24*$C1215+PM_Angle!$L$24*$B1215</f>
      </c>
      <c r="AS1215" s="12">
        <f>IF(AR1215&gt;0,IF(AR1215&lt;=eco,alpha*fck*(1-(1-AR1215/eco)^n),alpha*fck),0)</f>
      </c>
      <c r="AT1215" s="30">
        <f>PM_Angle!$J$25+PM_Angle!$K$25*$C1215+PM_Angle!$L$25*$B1215</f>
      </c>
      <c r="AU1215" s="12">
        <f>IF(AT1215&gt;0,IF(AT1215&lt;=eco,alpha*fck*(1-(1-AT1215/eco)^n),alpha*fck),0)</f>
      </c>
    </row>
    <row r="1216" spans="1:47" x14ac:dyDescent="0.25">
      <c r="A1216">
        <f>Mesh!A1213</f>
      </c>
      <c r="B1216" s="12">
        <f>Mesh!B1213</f>
      </c>
      <c r="C1216" s="12">
        <f>Mesh!C1213</f>
      </c>
      <c r="D1216" s="12">
        <f>Mesh!D1213</f>
      </c>
      <c r="E1216" s="30">
        <f>INDEX(St_e0,Det+1)+INDEX(St_kx,Det+1)*C1216+INDEX(St_ky,Det+1)*B1216</f>
      </c>
      <c r="F1216" s="12">
        <f>IF(E1216&gt;0,IF(E1216&lt;=eco,alpha*fck*(1-(1-E1216/eco)^n),alpha*fck),0)</f>
      </c>
      <c r="G1216" s="11">
        <f>F1216*D1216</f>
      </c>
      <c r="H1216" s="11">
        <f>G1216*C1216</f>
      </c>
      <c r="I1216" s="11">
        <f>G1216*B1216</f>
      </c>
      <c r="J1216" s="30">
        <f>PM_Angle!$J$7+PM_Angle!$K$7*$C1216+PM_Angle!$L$7*$B1216</f>
      </c>
      <c r="K1216" s="12">
        <f>IF(J1216&gt;0,IF(J1216&lt;=eco,alpha*fck*(1-(1-J1216/eco)^n),alpha*fck),0)</f>
      </c>
      <c r="L1216" s="30">
        <f>PM_Angle!$J$8+PM_Angle!$K$8*$C1216+PM_Angle!$L$8*$B1216</f>
      </c>
      <c r="M1216" s="12">
        <f>IF(L1216&gt;0,IF(L1216&lt;=eco,alpha*fck*(1-(1-L1216/eco)^n),alpha*fck),0)</f>
      </c>
      <c r="N1216" s="30">
        <f>PM_Angle!$J$9+PM_Angle!$K$9*$C1216+PM_Angle!$L$9*$B1216</f>
      </c>
      <c r="O1216" s="12">
        <f>IF(N1216&gt;0,IF(N1216&lt;=eco,alpha*fck*(1-(1-N1216/eco)^n),alpha*fck),0)</f>
      </c>
      <c r="P1216" s="30">
        <f>PM_Angle!$J$10+PM_Angle!$K$10*$C1216+PM_Angle!$L$10*$B1216</f>
      </c>
      <c r="Q1216" s="12">
        <f>IF(P1216&gt;0,IF(P1216&lt;=eco,alpha*fck*(1-(1-P1216/eco)^n),alpha*fck),0)</f>
      </c>
      <c r="R1216" s="30">
        <f>PM_Angle!$J$11+PM_Angle!$K$11*$C1216+PM_Angle!$L$11*$B1216</f>
      </c>
      <c r="S1216" s="12">
        <f>IF(R1216&gt;0,IF(R1216&lt;=eco,alpha*fck*(1-(1-R1216/eco)^n),alpha*fck),0)</f>
      </c>
      <c r="T1216" s="30">
        <f>PM_Angle!$J$12+PM_Angle!$K$12*$C1216+PM_Angle!$L$12*$B1216</f>
      </c>
      <c r="U1216" s="12">
        <f>IF(T1216&gt;0,IF(T1216&lt;=eco,alpha*fck*(1-(1-T1216/eco)^n),alpha*fck),0)</f>
      </c>
      <c r="V1216" s="30">
        <f>PM_Angle!$J$13+PM_Angle!$K$13*$C1216+PM_Angle!$L$13*$B1216</f>
      </c>
      <c r="W1216" s="12">
        <f>IF(V1216&gt;0,IF(V1216&lt;=eco,alpha*fck*(1-(1-V1216/eco)^n),alpha*fck),0)</f>
      </c>
      <c r="X1216" s="30">
        <f>PM_Angle!$J$14+PM_Angle!$K$14*$C1216+PM_Angle!$L$14*$B1216</f>
      </c>
      <c r="Y1216" s="12">
        <f>IF(X1216&gt;0,IF(X1216&lt;=eco,alpha*fck*(1-(1-X1216/eco)^n),alpha*fck),0)</f>
      </c>
      <c r="Z1216" s="30">
        <f>PM_Angle!$J$15+PM_Angle!$K$15*$C1216+PM_Angle!$L$15*$B1216</f>
      </c>
      <c r="AA1216" s="12">
        <f>IF(Z1216&gt;0,IF(Z1216&lt;=eco,alpha*fck*(1-(1-Z1216/eco)^n),alpha*fck),0)</f>
      </c>
      <c r="AB1216" s="30">
        <f>PM_Angle!$J$16+PM_Angle!$K$16*$C1216+PM_Angle!$L$16*$B1216</f>
      </c>
      <c r="AC1216" s="12">
        <f>IF(AB1216&gt;0,IF(AB1216&lt;=eco,alpha*fck*(1-(1-AB1216/eco)^n),alpha*fck),0)</f>
      </c>
      <c r="AD1216" s="30">
        <f>PM_Angle!$J$17+PM_Angle!$K$17*$C1216+PM_Angle!$L$17*$B1216</f>
      </c>
      <c r="AE1216" s="12">
        <f>IF(AD1216&gt;0,IF(AD1216&lt;=eco,alpha*fck*(1-(1-AD1216/eco)^n),alpha*fck),0)</f>
      </c>
      <c r="AF1216" s="30">
        <f>PM_Angle!$J$18+PM_Angle!$K$18*$C1216+PM_Angle!$L$18*$B1216</f>
      </c>
      <c r="AG1216" s="12">
        <f>IF(AF1216&gt;0,IF(AF1216&lt;=eco,alpha*fck*(1-(1-AF1216/eco)^n),alpha*fck),0)</f>
      </c>
      <c r="AH1216" s="30">
        <f>PM_Angle!$J$19+PM_Angle!$K$19*$C1216+PM_Angle!$L$19*$B1216</f>
      </c>
      <c r="AI1216" s="12">
        <f>IF(AH1216&gt;0,IF(AH1216&lt;=eco,alpha*fck*(1-(1-AH1216/eco)^n),alpha*fck),0)</f>
      </c>
      <c r="AJ1216" s="30">
        <f>PM_Angle!$J$20+PM_Angle!$K$20*$C1216+PM_Angle!$L$20*$B1216</f>
      </c>
      <c r="AK1216" s="12">
        <f>IF(AJ1216&gt;0,IF(AJ1216&lt;=eco,alpha*fck*(1-(1-AJ1216/eco)^n),alpha*fck),0)</f>
      </c>
      <c r="AL1216" s="30">
        <f>PM_Angle!$J$21+PM_Angle!$K$21*$C1216+PM_Angle!$L$21*$B1216</f>
      </c>
      <c r="AM1216" s="12">
        <f>IF(AL1216&gt;0,IF(AL1216&lt;=eco,alpha*fck*(1-(1-AL1216/eco)^n),alpha*fck),0)</f>
      </c>
      <c r="AN1216" s="30">
        <f>PM_Angle!$J$22+PM_Angle!$K$22*$C1216+PM_Angle!$L$22*$B1216</f>
      </c>
      <c r="AO1216" s="12">
        <f>IF(AN1216&gt;0,IF(AN1216&lt;=eco,alpha*fck*(1-(1-AN1216/eco)^n),alpha*fck),0)</f>
      </c>
      <c r="AP1216" s="30">
        <f>PM_Angle!$J$23+PM_Angle!$K$23*$C1216+PM_Angle!$L$23*$B1216</f>
      </c>
      <c r="AQ1216" s="12">
        <f>IF(AP1216&gt;0,IF(AP1216&lt;=eco,alpha*fck*(1-(1-AP1216/eco)^n),alpha*fck),0)</f>
      </c>
      <c r="AR1216" s="30">
        <f>PM_Angle!$J$24+PM_Angle!$K$24*$C1216+PM_Angle!$L$24*$B1216</f>
      </c>
      <c r="AS1216" s="12">
        <f>IF(AR1216&gt;0,IF(AR1216&lt;=eco,alpha*fck*(1-(1-AR1216/eco)^n),alpha*fck),0)</f>
      </c>
      <c r="AT1216" s="30">
        <f>PM_Angle!$J$25+PM_Angle!$K$25*$C1216+PM_Angle!$L$25*$B1216</f>
      </c>
      <c r="AU1216" s="12">
        <f>IF(AT1216&gt;0,IF(AT1216&lt;=eco,alpha*fck*(1-(1-AT1216/eco)^n),alpha*fck),0)</f>
      </c>
    </row>
    <row r="1217" spans="1:47" x14ac:dyDescent="0.25">
      <c r="A1217">
        <f>Mesh!A1214</f>
      </c>
      <c r="B1217" s="12">
        <f>Mesh!B1214</f>
      </c>
      <c r="C1217" s="12">
        <f>Mesh!C1214</f>
      </c>
      <c r="D1217" s="12">
        <f>Mesh!D1214</f>
      </c>
      <c r="E1217" s="30">
        <f>INDEX(St_e0,Det+1)+INDEX(St_kx,Det+1)*C1217+INDEX(St_ky,Det+1)*B1217</f>
      </c>
      <c r="F1217" s="12">
        <f>IF(E1217&gt;0,IF(E1217&lt;=eco,alpha*fck*(1-(1-E1217/eco)^n),alpha*fck),0)</f>
      </c>
      <c r="G1217" s="11">
        <f>F1217*D1217</f>
      </c>
      <c r="H1217" s="11">
        <f>G1217*C1217</f>
      </c>
      <c r="I1217" s="11">
        <f>G1217*B1217</f>
      </c>
      <c r="J1217" s="30">
        <f>PM_Angle!$J$7+PM_Angle!$K$7*$C1217+PM_Angle!$L$7*$B1217</f>
      </c>
      <c r="K1217" s="12">
        <f>IF(J1217&gt;0,IF(J1217&lt;=eco,alpha*fck*(1-(1-J1217/eco)^n),alpha*fck),0)</f>
      </c>
      <c r="L1217" s="30">
        <f>PM_Angle!$J$8+PM_Angle!$K$8*$C1217+PM_Angle!$L$8*$B1217</f>
      </c>
      <c r="M1217" s="12">
        <f>IF(L1217&gt;0,IF(L1217&lt;=eco,alpha*fck*(1-(1-L1217/eco)^n),alpha*fck),0)</f>
      </c>
      <c r="N1217" s="30">
        <f>PM_Angle!$J$9+PM_Angle!$K$9*$C1217+PM_Angle!$L$9*$B1217</f>
      </c>
      <c r="O1217" s="12">
        <f>IF(N1217&gt;0,IF(N1217&lt;=eco,alpha*fck*(1-(1-N1217/eco)^n),alpha*fck),0)</f>
      </c>
      <c r="P1217" s="30">
        <f>PM_Angle!$J$10+PM_Angle!$K$10*$C1217+PM_Angle!$L$10*$B1217</f>
      </c>
      <c r="Q1217" s="12">
        <f>IF(P1217&gt;0,IF(P1217&lt;=eco,alpha*fck*(1-(1-P1217/eco)^n),alpha*fck),0)</f>
      </c>
      <c r="R1217" s="30">
        <f>PM_Angle!$J$11+PM_Angle!$K$11*$C1217+PM_Angle!$L$11*$B1217</f>
      </c>
      <c r="S1217" s="12">
        <f>IF(R1217&gt;0,IF(R1217&lt;=eco,alpha*fck*(1-(1-R1217/eco)^n),alpha*fck),0)</f>
      </c>
      <c r="T1217" s="30">
        <f>PM_Angle!$J$12+PM_Angle!$K$12*$C1217+PM_Angle!$L$12*$B1217</f>
      </c>
      <c r="U1217" s="12">
        <f>IF(T1217&gt;0,IF(T1217&lt;=eco,alpha*fck*(1-(1-T1217/eco)^n),alpha*fck),0)</f>
      </c>
      <c r="V1217" s="30">
        <f>PM_Angle!$J$13+PM_Angle!$K$13*$C1217+PM_Angle!$L$13*$B1217</f>
      </c>
      <c r="W1217" s="12">
        <f>IF(V1217&gt;0,IF(V1217&lt;=eco,alpha*fck*(1-(1-V1217/eco)^n),alpha*fck),0)</f>
      </c>
      <c r="X1217" s="30">
        <f>PM_Angle!$J$14+PM_Angle!$K$14*$C1217+PM_Angle!$L$14*$B1217</f>
      </c>
      <c r="Y1217" s="12">
        <f>IF(X1217&gt;0,IF(X1217&lt;=eco,alpha*fck*(1-(1-X1217/eco)^n),alpha*fck),0)</f>
      </c>
      <c r="Z1217" s="30">
        <f>PM_Angle!$J$15+PM_Angle!$K$15*$C1217+PM_Angle!$L$15*$B1217</f>
      </c>
      <c r="AA1217" s="12">
        <f>IF(Z1217&gt;0,IF(Z1217&lt;=eco,alpha*fck*(1-(1-Z1217/eco)^n),alpha*fck),0)</f>
      </c>
      <c r="AB1217" s="30">
        <f>PM_Angle!$J$16+PM_Angle!$K$16*$C1217+PM_Angle!$L$16*$B1217</f>
      </c>
      <c r="AC1217" s="12">
        <f>IF(AB1217&gt;0,IF(AB1217&lt;=eco,alpha*fck*(1-(1-AB1217/eco)^n),alpha*fck),0)</f>
      </c>
      <c r="AD1217" s="30">
        <f>PM_Angle!$J$17+PM_Angle!$K$17*$C1217+PM_Angle!$L$17*$B1217</f>
      </c>
      <c r="AE1217" s="12">
        <f>IF(AD1217&gt;0,IF(AD1217&lt;=eco,alpha*fck*(1-(1-AD1217/eco)^n),alpha*fck),0)</f>
      </c>
      <c r="AF1217" s="30">
        <f>PM_Angle!$J$18+PM_Angle!$K$18*$C1217+PM_Angle!$L$18*$B1217</f>
      </c>
      <c r="AG1217" s="12">
        <f>IF(AF1217&gt;0,IF(AF1217&lt;=eco,alpha*fck*(1-(1-AF1217/eco)^n),alpha*fck),0)</f>
      </c>
      <c r="AH1217" s="30">
        <f>PM_Angle!$J$19+PM_Angle!$K$19*$C1217+PM_Angle!$L$19*$B1217</f>
      </c>
      <c r="AI1217" s="12">
        <f>IF(AH1217&gt;0,IF(AH1217&lt;=eco,alpha*fck*(1-(1-AH1217/eco)^n),alpha*fck),0)</f>
      </c>
      <c r="AJ1217" s="30">
        <f>PM_Angle!$J$20+PM_Angle!$K$20*$C1217+PM_Angle!$L$20*$B1217</f>
      </c>
      <c r="AK1217" s="12">
        <f>IF(AJ1217&gt;0,IF(AJ1217&lt;=eco,alpha*fck*(1-(1-AJ1217/eco)^n),alpha*fck),0)</f>
      </c>
      <c r="AL1217" s="30">
        <f>PM_Angle!$J$21+PM_Angle!$K$21*$C1217+PM_Angle!$L$21*$B1217</f>
      </c>
      <c r="AM1217" s="12">
        <f>IF(AL1217&gt;0,IF(AL1217&lt;=eco,alpha*fck*(1-(1-AL1217/eco)^n),alpha*fck),0)</f>
      </c>
      <c r="AN1217" s="30">
        <f>PM_Angle!$J$22+PM_Angle!$K$22*$C1217+PM_Angle!$L$22*$B1217</f>
      </c>
      <c r="AO1217" s="12">
        <f>IF(AN1217&gt;0,IF(AN1217&lt;=eco,alpha*fck*(1-(1-AN1217/eco)^n),alpha*fck),0)</f>
      </c>
      <c r="AP1217" s="30">
        <f>PM_Angle!$J$23+PM_Angle!$K$23*$C1217+PM_Angle!$L$23*$B1217</f>
      </c>
      <c r="AQ1217" s="12">
        <f>IF(AP1217&gt;0,IF(AP1217&lt;=eco,alpha*fck*(1-(1-AP1217/eco)^n),alpha*fck),0)</f>
      </c>
      <c r="AR1217" s="30">
        <f>PM_Angle!$J$24+PM_Angle!$K$24*$C1217+PM_Angle!$L$24*$B1217</f>
      </c>
      <c r="AS1217" s="12">
        <f>IF(AR1217&gt;0,IF(AR1217&lt;=eco,alpha*fck*(1-(1-AR1217/eco)^n),alpha*fck),0)</f>
      </c>
      <c r="AT1217" s="30">
        <f>PM_Angle!$J$25+PM_Angle!$K$25*$C1217+PM_Angle!$L$25*$B1217</f>
      </c>
      <c r="AU1217" s="12">
        <f>IF(AT1217&gt;0,IF(AT1217&lt;=eco,alpha*fck*(1-(1-AT1217/eco)^n),alpha*fck),0)</f>
      </c>
    </row>
    <row r="1218" spans="1:47" x14ac:dyDescent="0.25">
      <c r="A1218">
        <f>Mesh!A1215</f>
      </c>
      <c r="B1218" s="12">
        <f>Mesh!B1215</f>
      </c>
      <c r="C1218" s="12">
        <f>Mesh!C1215</f>
      </c>
      <c r="D1218" s="12">
        <f>Mesh!D1215</f>
      </c>
      <c r="E1218" s="30">
        <f>INDEX(St_e0,Det+1)+INDEX(St_kx,Det+1)*C1218+INDEX(St_ky,Det+1)*B1218</f>
      </c>
      <c r="F1218" s="12">
        <f>IF(E1218&gt;0,IF(E1218&lt;=eco,alpha*fck*(1-(1-E1218/eco)^n),alpha*fck),0)</f>
      </c>
      <c r="G1218" s="11">
        <f>F1218*D1218</f>
      </c>
      <c r="H1218" s="11">
        <f>G1218*C1218</f>
      </c>
      <c r="I1218" s="11">
        <f>G1218*B1218</f>
      </c>
      <c r="J1218" s="30">
        <f>PM_Angle!$J$7+PM_Angle!$K$7*$C1218+PM_Angle!$L$7*$B1218</f>
      </c>
      <c r="K1218" s="12">
        <f>IF(J1218&gt;0,IF(J1218&lt;=eco,alpha*fck*(1-(1-J1218/eco)^n),alpha*fck),0)</f>
      </c>
      <c r="L1218" s="30">
        <f>PM_Angle!$J$8+PM_Angle!$K$8*$C1218+PM_Angle!$L$8*$B1218</f>
      </c>
      <c r="M1218" s="12">
        <f>IF(L1218&gt;0,IF(L1218&lt;=eco,alpha*fck*(1-(1-L1218/eco)^n),alpha*fck),0)</f>
      </c>
      <c r="N1218" s="30">
        <f>PM_Angle!$J$9+PM_Angle!$K$9*$C1218+PM_Angle!$L$9*$B1218</f>
      </c>
      <c r="O1218" s="12">
        <f>IF(N1218&gt;0,IF(N1218&lt;=eco,alpha*fck*(1-(1-N1218/eco)^n),alpha*fck),0)</f>
      </c>
      <c r="P1218" s="30">
        <f>PM_Angle!$J$10+PM_Angle!$K$10*$C1218+PM_Angle!$L$10*$B1218</f>
      </c>
      <c r="Q1218" s="12">
        <f>IF(P1218&gt;0,IF(P1218&lt;=eco,alpha*fck*(1-(1-P1218/eco)^n),alpha*fck),0)</f>
      </c>
      <c r="R1218" s="30">
        <f>PM_Angle!$J$11+PM_Angle!$K$11*$C1218+PM_Angle!$L$11*$B1218</f>
      </c>
      <c r="S1218" s="12">
        <f>IF(R1218&gt;0,IF(R1218&lt;=eco,alpha*fck*(1-(1-R1218/eco)^n),alpha*fck),0)</f>
      </c>
      <c r="T1218" s="30">
        <f>PM_Angle!$J$12+PM_Angle!$K$12*$C1218+PM_Angle!$L$12*$B1218</f>
      </c>
      <c r="U1218" s="12">
        <f>IF(T1218&gt;0,IF(T1218&lt;=eco,alpha*fck*(1-(1-T1218/eco)^n),alpha*fck),0)</f>
      </c>
      <c r="V1218" s="30">
        <f>PM_Angle!$J$13+PM_Angle!$K$13*$C1218+PM_Angle!$L$13*$B1218</f>
      </c>
      <c r="W1218" s="12">
        <f>IF(V1218&gt;0,IF(V1218&lt;=eco,alpha*fck*(1-(1-V1218/eco)^n),alpha*fck),0)</f>
      </c>
      <c r="X1218" s="30">
        <f>PM_Angle!$J$14+PM_Angle!$K$14*$C1218+PM_Angle!$L$14*$B1218</f>
      </c>
      <c r="Y1218" s="12">
        <f>IF(X1218&gt;0,IF(X1218&lt;=eco,alpha*fck*(1-(1-X1218/eco)^n),alpha*fck),0)</f>
      </c>
      <c r="Z1218" s="30">
        <f>PM_Angle!$J$15+PM_Angle!$K$15*$C1218+PM_Angle!$L$15*$B1218</f>
      </c>
      <c r="AA1218" s="12">
        <f>IF(Z1218&gt;0,IF(Z1218&lt;=eco,alpha*fck*(1-(1-Z1218/eco)^n),alpha*fck),0)</f>
      </c>
      <c r="AB1218" s="30">
        <f>PM_Angle!$J$16+PM_Angle!$K$16*$C1218+PM_Angle!$L$16*$B1218</f>
      </c>
      <c r="AC1218" s="12">
        <f>IF(AB1218&gt;0,IF(AB1218&lt;=eco,alpha*fck*(1-(1-AB1218/eco)^n),alpha*fck),0)</f>
      </c>
      <c r="AD1218" s="30">
        <f>PM_Angle!$J$17+PM_Angle!$K$17*$C1218+PM_Angle!$L$17*$B1218</f>
      </c>
      <c r="AE1218" s="12">
        <f>IF(AD1218&gt;0,IF(AD1218&lt;=eco,alpha*fck*(1-(1-AD1218/eco)^n),alpha*fck),0)</f>
      </c>
      <c r="AF1218" s="30">
        <f>PM_Angle!$J$18+PM_Angle!$K$18*$C1218+PM_Angle!$L$18*$B1218</f>
      </c>
      <c r="AG1218" s="12">
        <f>IF(AF1218&gt;0,IF(AF1218&lt;=eco,alpha*fck*(1-(1-AF1218/eco)^n),alpha*fck),0)</f>
      </c>
      <c r="AH1218" s="30">
        <f>PM_Angle!$J$19+PM_Angle!$K$19*$C1218+PM_Angle!$L$19*$B1218</f>
      </c>
      <c r="AI1218" s="12">
        <f>IF(AH1218&gt;0,IF(AH1218&lt;=eco,alpha*fck*(1-(1-AH1218/eco)^n),alpha*fck),0)</f>
      </c>
      <c r="AJ1218" s="30">
        <f>PM_Angle!$J$20+PM_Angle!$K$20*$C1218+PM_Angle!$L$20*$B1218</f>
      </c>
      <c r="AK1218" s="12">
        <f>IF(AJ1218&gt;0,IF(AJ1218&lt;=eco,alpha*fck*(1-(1-AJ1218/eco)^n),alpha*fck),0)</f>
      </c>
      <c r="AL1218" s="30">
        <f>PM_Angle!$J$21+PM_Angle!$K$21*$C1218+PM_Angle!$L$21*$B1218</f>
      </c>
      <c r="AM1218" s="12">
        <f>IF(AL1218&gt;0,IF(AL1218&lt;=eco,alpha*fck*(1-(1-AL1218/eco)^n),alpha*fck),0)</f>
      </c>
      <c r="AN1218" s="30">
        <f>PM_Angle!$J$22+PM_Angle!$K$22*$C1218+PM_Angle!$L$22*$B1218</f>
      </c>
      <c r="AO1218" s="12">
        <f>IF(AN1218&gt;0,IF(AN1218&lt;=eco,alpha*fck*(1-(1-AN1218/eco)^n),alpha*fck),0)</f>
      </c>
      <c r="AP1218" s="30">
        <f>PM_Angle!$J$23+PM_Angle!$K$23*$C1218+PM_Angle!$L$23*$B1218</f>
      </c>
      <c r="AQ1218" s="12">
        <f>IF(AP1218&gt;0,IF(AP1218&lt;=eco,alpha*fck*(1-(1-AP1218/eco)^n),alpha*fck),0)</f>
      </c>
      <c r="AR1218" s="30">
        <f>PM_Angle!$J$24+PM_Angle!$K$24*$C1218+PM_Angle!$L$24*$B1218</f>
      </c>
      <c r="AS1218" s="12">
        <f>IF(AR1218&gt;0,IF(AR1218&lt;=eco,alpha*fck*(1-(1-AR1218/eco)^n),alpha*fck),0)</f>
      </c>
      <c r="AT1218" s="30">
        <f>PM_Angle!$J$25+PM_Angle!$K$25*$C1218+PM_Angle!$L$25*$B1218</f>
      </c>
      <c r="AU1218" s="12">
        <f>IF(AT1218&gt;0,IF(AT1218&lt;=eco,alpha*fck*(1-(1-AT1218/eco)^n),alpha*fck),0)</f>
      </c>
    </row>
    <row r="1219" spans="1:47" x14ac:dyDescent="0.25">
      <c r="A1219">
        <f>Mesh!A1216</f>
      </c>
      <c r="B1219" s="12">
        <f>Mesh!B1216</f>
      </c>
      <c r="C1219" s="12">
        <f>Mesh!C1216</f>
      </c>
      <c r="D1219" s="12">
        <f>Mesh!D1216</f>
      </c>
      <c r="E1219" s="30">
        <f>INDEX(St_e0,Det+1)+INDEX(St_kx,Det+1)*C1219+INDEX(St_ky,Det+1)*B1219</f>
      </c>
      <c r="F1219" s="12">
        <f>IF(E1219&gt;0,IF(E1219&lt;=eco,alpha*fck*(1-(1-E1219/eco)^n),alpha*fck),0)</f>
      </c>
      <c r="G1219" s="11">
        <f>F1219*D1219</f>
      </c>
      <c r="H1219" s="11">
        <f>G1219*C1219</f>
      </c>
      <c r="I1219" s="11">
        <f>G1219*B1219</f>
      </c>
      <c r="J1219" s="30">
        <f>PM_Angle!$J$7+PM_Angle!$K$7*$C1219+PM_Angle!$L$7*$B1219</f>
      </c>
      <c r="K1219" s="12">
        <f>IF(J1219&gt;0,IF(J1219&lt;=eco,alpha*fck*(1-(1-J1219/eco)^n),alpha*fck),0)</f>
      </c>
      <c r="L1219" s="30">
        <f>PM_Angle!$J$8+PM_Angle!$K$8*$C1219+PM_Angle!$L$8*$B1219</f>
      </c>
      <c r="M1219" s="12">
        <f>IF(L1219&gt;0,IF(L1219&lt;=eco,alpha*fck*(1-(1-L1219/eco)^n),alpha*fck),0)</f>
      </c>
      <c r="N1219" s="30">
        <f>PM_Angle!$J$9+PM_Angle!$K$9*$C1219+PM_Angle!$L$9*$B1219</f>
      </c>
      <c r="O1219" s="12">
        <f>IF(N1219&gt;0,IF(N1219&lt;=eco,alpha*fck*(1-(1-N1219/eco)^n),alpha*fck),0)</f>
      </c>
      <c r="P1219" s="30">
        <f>PM_Angle!$J$10+PM_Angle!$K$10*$C1219+PM_Angle!$L$10*$B1219</f>
      </c>
      <c r="Q1219" s="12">
        <f>IF(P1219&gt;0,IF(P1219&lt;=eco,alpha*fck*(1-(1-P1219/eco)^n),alpha*fck),0)</f>
      </c>
      <c r="R1219" s="30">
        <f>PM_Angle!$J$11+PM_Angle!$K$11*$C1219+PM_Angle!$L$11*$B1219</f>
      </c>
      <c r="S1219" s="12">
        <f>IF(R1219&gt;0,IF(R1219&lt;=eco,alpha*fck*(1-(1-R1219/eco)^n),alpha*fck),0)</f>
      </c>
      <c r="T1219" s="30">
        <f>PM_Angle!$J$12+PM_Angle!$K$12*$C1219+PM_Angle!$L$12*$B1219</f>
      </c>
      <c r="U1219" s="12">
        <f>IF(T1219&gt;0,IF(T1219&lt;=eco,alpha*fck*(1-(1-T1219/eco)^n),alpha*fck),0)</f>
      </c>
      <c r="V1219" s="30">
        <f>PM_Angle!$J$13+PM_Angle!$K$13*$C1219+PM_Angle!$L$13*$B1219</f>
      </c>
      <c r="W1219" s="12">
        <f>IF(V1219&gt;0,IF(V1219&lt;=eco,alpha*fck*(1-(1-V1219/eco)^n),alpha*fck),0)</f>
      </c>
      <c r="X1219" s="30">
        <f>PM_Angle!$J$14+PM_Angle!$K$14*$C1219+PM_Angle!$L$14*$B1219</f>
      </c>
      <c r="Y1219" s="12">
        <f>IF(X1219&gt;0,IF(X1219&lt;=eco,alpha*fck*(1-(1-X1219/eco)^n),alpha*fck),0)</f>
      </c>
      <c r="Z1219" s="30">
        <f>PM_Angle!$J$15+PM_Angle!$K$15*$C1219+PM_Angle!$L$15*$B1219</f>
      </c>
      <c r="AA1219" s="12">
        <f>IF(Z1219&gt;0,IF(Z1219&lt;=eco,alpha*fck*(1-(1-Z1219/eco)^n),alpha*fck),0)</f>
      </c>
      <c r="AB1219" s="30">
        <f>PM_Angle!$J$16+PM_Angle!$K$16*$C1219+PM_Angle!$L$16*$B1219</f>
      </c>
      <c r="AC1219" s="12">
        <f>IF(AB1219&gt;0,IF(AB1219&lt;=eco,alpha*fck*(1-(1-AB1219/eco)^n),alpha*fck),0)</f>
      </c>
      <c r="AD1219" s="30">
        <f>PM_Angle!$J$17+PM_Angle!$K$17*$C1219+PM_Angle!$L$17*$B1219</f>
      </c>
      <c r="AE1219" s="12">
        <f>IF(AD1219&gt;0,IF(AD1219&lt;=eco,alpha*fck*(1-(1-AD1219/eco)^n),alpha*fck),0)</f>
      </c>
      <c r="AF1219" s="30">
        <f>PM_Angle!$J$18+PM_Angle!$K$18*$C1219+PM_Angle!$L$18*$B1219</f>
      </c>
      <c r="AG1219" s="12">
        <f>IF(AF1219&gt;0,IF(AF1219&lt;=eco,alpha*fck*(1-(1-AF1219/eco)^n),alpha*fck),0)</f>
      </c>
      <c r="AH1219" s="30">
        <f>PM_Angle!$J$19+PM_Angle!$K$19*$C1219+PM_Angle!$L$19*$B1219</f>
      </c>
      <c r="AI1219" s="12">
        <f>IF(AH1219&gt;0,IF(AH1219&lt;=eco,alpha*fck*(1-(1-AH1219/eco)^n),alpha*fck),0)</f>
      </c>
      <c r="AJ1219" s="30">
        <f>PM_Angle!$J$20+PM_Angle!$K$20*$C1219+PM_Angle!$L$20*$B1219</f>
      </c>
      <c r="AK1219" s="12">
        <f>IF(AJ1219&gt;0,IF(AJ1219&lt;=eco,alpha*fck*(1-(1-AJ1219/eco)^n),alpha*fck),0)</f>
      </c>
      <c r="AL1219" s="30">
        <f>PM_Angle!$J$21+PM_Angle!$K$21*$C1219+PM_Angle!$L$21*$B1219</f>
      </c>
      <c r="AM1219" s="12">
        <f>IF(AL1219&gt;0,IF(AL1219&lt;=eco,alpha*fck*(1-(1-AL1219/eco)^n),alpha*fck),0)</f>
      </c>
      <c r="AN1219" s="30">
        <f>PM_Angle!$J$22+PM_Angle!$K$22*$C1219+PM_Angle!$L$22*$B1219</f>
      </c>
      <c r="AO1219" s="12">
        <f>IF(AN1219&gt;0,IF(AN1219&lt;=eco,alpha*fck*(1-(1-AN1219/eco)^n),alpha*fck),0)</f>
      </c>
      <c r="AP1219" s="30">
        <f>PM_Angle!$J$23+PM_Angle!$K$23*$C1219+PM_Angle!$L$23*$B1219</f>
      </c>
      <c r="AQ1219" s="12">
        <f>IF(AP1219&gt;0,IF(AP1219&lt;=eco,alpha*fck*(1-(1-AP1219/eco)^n),alpha*fck),0)</f>
      </c>
      <c r="AR1219" s="30">
        <f>PM_Angle!$J$24+PM_Angle!$K$24*$C1219+PM_Angle!$L$24*$B1219</f>
      </c>
      <c r="AS1219" s="12">
        <f>IF(AR1219&gt;0,IF(AR1219&lt;=eco,alpha*fck*(1-(1-AR1219/eco)^n),alpha*fck),0)</f>
      </c>
      <c r="AT1219" s="30">
        <f>PM_Angle!$J$25+PM_Angle!$K$25*$C1219+PM_Angle!$L$25*$B1219</f>
      </c>
      <c r="AU1219" s="12">
        <f>IF(AT1219&gt;0,IF(AT1219&lt;=eco,alpha*fck*(1-(1-AT1219/eco)^n),alpha*fck),0)</f>
      </c>
    </row>
    <row r="1220" spans="1:47" x14ac:dyDescent="0.25">
      <c r="A1220">
        <f>Mesh!A1217</f>
      </c>
      <c r="B1220" s="12">
        <f>Mesh!B1217</f>
      </c>
      <c r="C1220" s="12">
        <f>Mesh!C1217</f>
      </c>
      <c r="D1220" s="12">
        <f>Mesh!D1217</f>
      </c>
      <c r="E1220" s="30">
        <f>INDEX(St_e0,Det+1)+INDEX(St_kx,Det+1)*C1220+INDEX(St_ky,Det+1)*B1220</f>
      </c>
      <c r="F1220" s="12">
        <f>IF(E1220&gt;0,IF(E1220&lt;=eco,alpha*fck*(1-(1-E1220/eco)^n),alpha*fck),0)</f>
      </c>
      <c r="G1220" s="11">
        <f>F1220*D1220</f>
      </c>
      <c r="H1220" s="11">
        <f>G1220*C1220</f>
      </c>
      <c r="I1220" s="11">
        <f>G1220*B1220</f>
      </c>
      <c r="J1220" s="30">
        <f>PM_Angle!$J$7+PM_Angle!$K$7*$C1220+PM_Angle!$L$7*$B1220</f>
      </c>
      <c r="K1220" s="12">
        <f>IF(J1220&gt;0,IF(J1220&lt;=eco,alpha*fck*(1-(1-J1220/eco)^n),alpha*fck),0)</f>
      </c>
      <c r="L1220" s="30">
        <f>PM_Angle!$J$8+PM_Angle!$K$8*$C1220+PM_Angle!$L$8*$B1220</f>
      </c>
      <c r="M1220" s="12">
        <f>IF(L1220&gt;0,IF(L1220&lt;=eco,alpha*fck*(1-(1-L1220/eco)^n),alpha*fck),0)</f>
      </c>
      <c r="N1220" s="30">
        <f>PM_Angle!$J$9+PM_Angle!$K$9*$C1220+PM_Angle!$L$9*$B1220</f>
      </c>
      <c r="O1220" s="12">
        <f>IF(N1220&gt;0,IF(N1220&lt;=eco,alpha*fck*(1-(1-N1220/eco)^n),alpha*fck),0)</f>
      </c>
      <c r="P1220" s="30">
        <f>PM_Angle!$J$10+PM_Angle!$K$10*$C1220+PM_Angle!$L$10*$B1220</f>
      </c>
      <c r="Q1220" s="12">
        <f>IF(P1220&gt;0,IF(P1220&lt;=eco,alpha*fck*(1-(1-P1220/eco)^n),alpha*fck),0)</f>
      </c>
      <c r="R1220" s="30">
        <f>PM_Angle!$J$11+PM_Angle!$K$11*$C1220+PM_Angle!$L$11*$B1220</f>
      </c>
      <c r="S1220" s="12">
        <f>IF(R1220&gt;0,IF(R1220&lt;=eco,alpha*fck*(1-(1-R1220/eco)^n),alpha*fck),0)</f>
      </c>
      <c r="T1220" s="30">
        <f>PM_Angle!$J$12+PM_Angle!$K$12*$C1220+PM_Angle!$L$12*$B1220</f>
      </c>
      <c r="U1220" s="12">
        <f>IF(T1220&gt;0,IF(T1220&lt;=eco,alpha*fck*(1-(1-T1220/eco)^n),alpha*fck),0)</f>
      </c>
      <c r="V1220" s="30">
        <f>PM_Angle!$J$13+PM_Angle!$K$13*$C1220+PM_Angle!$L$13*$B1220</f>
      </c>
      <c r="W1220" s="12">
        <f>IF(V1220&gt;0,IF(V1220&lt;=eco,alpha*fck*(1-(1-V1220/eco)^n),alpha*fck),0)</f>
      </c>
      <c r="X1220" s="30">
        <f>PM_Angle!$J$14+PM_Angle!$K$14*$C1220+PM_Angle!$L$14*$B1220</f>
      </c>
      <c r="Y1220" s="12">
        <f>IF(X1220&gt;0,IF(X1220&lt;=eco,alpha*fck*(1-(1-X1220/eco)^n),alpha*fck),0)</f>
      </c>
      <c r="Z1220" s="30">
        <f>PM_Angle!$J$15+PM_Angle!$K$15*$C1220+PM_Angle!$L$15*$B1220</f>
      </c>
      <c r="AA1220" s="12">
        <f>IF(Z1220&gt;0,IF(Z1220&lt;=eco,alpha*fck*(1-(1-Z1220/eco)^n),alpha*fck),0)</f>
      </c>
      <c r="AB1220" s="30">
        <f>PM_Angle!$J$16+PM_Angle!$K$16*$C1220+PM_Angle!$L$16*$B1220</f>
      </c>
      <c r="AC1220" s="12">
        <f>IF(AB1220&gt;0,IF(AB1220&lt;=eco,alpha*fck*(1-(1-AB1220/eco)^n),alpha*fck),0)</f>
      </c>
      <c r="AD1220" s="30">
        <f>PM_Angle!$J$17+PM_Angle!$K$17*$C1220+PM_Angle!$L$17*$B1220</f>
      </c>
      <c r="AE1220" s="12">
        <f>IF(AD1220&gt;0,IF(AD1220&lt;=eco,alpha*fck*(1-(1-AD1220/eco)^n),alpha*fck),0)</f>
      </c>
      <c r="AF1220" s="30">
        <f>PM_Angle!$J$18+PM_Angle!$K$18*$C1220+PM_Angle!$L$18*$B1220</f>
      </c>
      <c r="AG1220" s="12">
        <f>IF(AF1220&gt;0,IF(AF1220&lt;=eco,alpha*fck*(1-(1-AF1220/eco)^n),alpha*fck),0)</f>
      </c>
      <c r="AH1220" s="30">
        <f>PM_Angle!$J$19+PM_Angle!$K$19*$C1220+PM_Angle!$L$19*$B1220</f>
      </c>
      <c r="AI1220" s="12">
        <f>IF(AH1220&gt;0,IF(AH1220&lt;=eco,alpha*fck*(1-(1-AH1220/eco)^n),alpha*fck),0)</f>
      </c>
      <c r="AJ1220" s="30">
        <f>PM_Angle!$J$20+PM_Angle!$K$20*$C1220+PM_Angle!$L$20*$B1220</f>
      </c>
      <c r="AK1220" s="12">
        <f>IF(AJ1220&gt;0,IF(AJ1220&lt;=eco,alpha*fck*(1-(1-AJ1220/eco)^n),alpha*fck),0)</f>
      </c>
      <c r="AL1220" s="30">
        <f>PM_Angle!$J$21+PM_Angle!$K$21*$C1220+PM_Angle!$L$21*$B1220</f>
      </c>
      <c r="AM1220" s="12">
        <f>IF(AL1220&gt;0,IF(AL1220&lt;=eco,alpha*fck*(1-(1-AL1220/eco)^n),alpha*fck),0)</f>
      </c>
      <c r="AN1220" s="30">
        <f>PM_Angle!$J$22+PM_Angle!$K$22*$C1220+PM_Angle!$L$22*$B1220</f>
      </c>
      <c r="AO1220" s="12">
        <f>IF(AN1220&gt;0,IF(AN1220&lt;=eco,alpha*fck*(1-(1-AN1220/eco)^n),alpha*fck),0)</f>
      </c>
      <c r="AP1220" s="30">
        <f>PM_Angle!$J$23+PM_Angle!$K$23*$C1220+PM_Angle!$L$23*$B1220</f>
      </c>
      <c r="AQ1220" s="12">
        <f>IF(AP1220&gt;0,IF(AP1220&lt;=eco,alpha*fck*(1-(1-AP1220/eco)^n),alpha*fck),0)</f>
      </c>
      <c r="AR1220" s="30">
        <f>PM_Angle!$J$24+PM_Angle!$K$24*$C1220+PM_Angle!$L$24*$B1220</f>
      </c>
      <c r="AS1220" s="12">
        <f>IF(AR1220&gt;0,IF(AR1220&lt;=eco,alpha*fck*(1-(1-AR1220/eco)^n),alpha*fck),0)</f>
      </c>
      <c r="AT1220" s="30">
        <f>PM_Angle!$J$25+PM_Angle!$K$25*$C1220+PM_Angle!$L$25*$B1220</f>
      </c>
      <c r="AU1220" s="12">
        <f>IF(AT1220&gt;0,IF(AT1220&lt;=eco,alpha*fck*(1-(1-AT1220/eco)^n),alpha*fck),0)</f>
      </c>
    </row>
    <row r="1221" spans="1:47" x14ac:dyDescent="0.25">
      <c r="A1221">
        <f>Mesh!A1218</f>
      </c>
      <c r="B1221" s="12">
        <f>Mesh!B1218</f>
      </c>
      <c r="C1221" s="12">
        <f>Mesh!C1218</f>
      </c>
      <c r="D1221" s="12">
        <f>Mesh!D1218</f>
      </c>
      <c r="E1221" s="30">
        <f>INDEX(St_e0,Det+1)+INDEX(St_kx,Det+1)*C1221+INDEX(St_ky,Det+1)*B1221</f>
      </c>
      <c r="F1221" s="12">
        <f>IF(E1221&gt;0,IF(E1221&lt;=eco,alpha*fck*(1-(1-E1221/eco)^n),alpha*fck),0)</f>
      </c>
      <c r="G1221" s="11">
        <f>F1221*D1221</f>
      </c>
      <c r="H1221" s="11">
        <f>G1221*C1221</f>
      </c>
      <c r="I1221" s="11">
        <f>G1221*B1221</f>
      </c>
      <c r="J1221" s="30">
        <f>PM_Angle!$J$7+PM_Angle!$K$7*$C1221+PM_Angle!$L$7*$B1221</f>
      </c>
      <c r="K1221" s="12">
        <f>IF(J1221&gt;0,IF(J1221&lt;=eco,alpha*fck*(1-(1-J1221/eco)^n),alpha*fck),0)</f>
      </c>
      <c r="L1221" s="30">
        <f>PM_Angle!$J$8+PM_Angle!$K$8*$C1221+PM_Angle!$L$8*$B1221</f>
      </c>
      <c r="M1221" s="12">
        <f>IF(L1221&gt;0,IF(L1221&lt;=eco,alpha*fck*(1-(1-L1221/eco)^n),alpha*fck),0)</f>
      </c>
      <c r="N1221" s="30">
        <f>PM_Angle!$J$9+PM_Angle!$K$9*$C1221+PM_Angle!$L$9*$B1221</f>
      </c>
      <c r="O1221" s="12">
        <f>IF(N1221&gt;0,IF(N1221&lt;=eco,alpha*fck*(1-(1-N1221/eco)^n),alpha*fck),0)</f>
      </c>
      <c r="P1221" s="30">
        <f>PM_Angle!$J$10+PM_Angle!$K$10*$C1221+PM_Angle!$L$10*$B1221</f>
      </c>
      <c r="Q1221" s="12">
        <f>IF(P1221&gt;0,IF(P1221&lt;=eco,alpha*fck*(1-(1-P1221/eco)^n),alpha*fck),0)</f>
      </c>
      <c r="R1221" s="30">
        <f>PM_Angle!$J$11+PM_Angle!$K$11*$C1221+PM_Angle!$L$11*$B1221</f>
      </c>
      <c r="S1221" s="12">
        <f>IF(R1221&gt;0,IF(R1221&lt;=eco,alpha*fck*(1-(1-R1221/eco)^n),alpha*fck),0)</f>
      </c>
      <c r="T1221" s="30">
        <f>PM_Angle!$J$12+PM_Angle!$K$12*$C1221+PM_Angle!$L$12*$B1221</f>
      </c>
      <c r="U1221" s="12">
        <f>IF(T1221&gt;0,IF(T1221&lt;=eco,alpha*fck*(1-(1-T1221/eco)^n),alpha*fck),0)</f>
      </c>
      <c r="V1221" s="30">
        <f>PM_Angle!$J$13+PM_Angle!$K$13*$C1221+PM_Angle!$L$13*$B1221</f>
      </c>
      <c r="W1221" s="12">
        <f>IF(V1221&gt;0,IF(V1221&lt;=eco,alpha*fck*(1-(1-V1221/eco)^n),alpha*fck),0)</f>
      </c>
      <c r="X1221" s="30">
        <f>PM_Angle!$J$14+PM_Angle!$K$14*$C1221+PM_Angle!$L$14*$B1221</f>
      </c>
      <c r="Y1221" s="12">
        <f>IF(X1221&gt;0,IF(X1221&lt;=eco,alpha*fck*(1-(1-X1221/eco)^n),alpha*fck),0)</f>
      </c>
      <c r="Z1221" s="30">
        <f>PM_Angle!$J$15+PM_Angle!$K$15*$C1221+PM_Angle!$L$15*$B1221</f>
      </c>
      <c r="AA1221" s="12">
        <f>IF(Z1221&gt;0,IF(Z1221&lt;=eco,alpha*fck*(1-(1-Z1221/eco)^n),alpha*fck),0)</f>
      </c>
      <c r="AB1221" s="30">
        <f>PM_Angle!$J$16+PM_Angle!$K$16*$C1221+PM_Angle!$L$16*$B1221</f>
      </c>
      <c r="AC1221" s="12">
        <f>IF(AB1221&gt;0,IF(AB1221&lt;=eco,alpha*fck*(1-(1-AB1221/eco)^n),alpha*fck),0)</f>
      </c>
      <c r="AD1221" s="30">
        <f>PM_Angle!$J$17+PM_Angle!$K$17*$C1221+PM_Angle!$L$17*$B1221</f>
      </c>
      <c r="AE1221" s="12">
        <f>IF(AD1221&gt;0,IF(AD1221&lt;=eco,alpha*fck*(1-(1-AD1221/eco)^n),alpha*fck),0)</f>
      </c>
      <c r="AF1221" s="30">
        <f>PM_Angle!$J$18+PM_Angle!$K$18*$C1221+PM_Angle!$L$18*$B1221</f>
      </c>
      <c r="AG1221" s="12">
        <f>IF(AF1221&gt;0,IF(AF1221&lt;=eco,alpha*fck*(1-(1-AF1221/eco)^n),alpha*fck),0)</f>
      </c>
      <c r="AH1221" s="30">
        <f>PM_Angle!$J$19+PM_Angle!$K$19*$C1221+PM_Angle!$L$19*$B1221</f>
      </c>
      <c r="AI1221" s="12">
        <f>IF(AH1221&gt;0,IF(AH1221&lt;=eco,alpha*fck*(1-(1-AH1221/eco)^n),alpha*fck),0)</f>
      </c>
      <c r="AJ1221" s="30">
        <f>PM_Angle!$J$20+PM_Angle!$K$20*$C1221+PM_Angle!$L$20*$B1221</f>
      </c>
      <c r="AK1221" s="12">
        <f>IF(AJ1221&gt;0,IF(AJ1221&lt;=eco,alpha*fck*(1-(1-AJ1221/eco)^n),alpha*fck),0)</f>
      </c>
      <c r="AL1221" s="30">
        <f>PM_Angle!$J$21+PM_Angle!$K$21*$C1221+PM_Angle!$L$21*$B1221</f>
      </c>
      <c r="AM1221" s="12">
        <f>IF(AL1221&gt;0,IF(AL1221&lt;=eco,alpha*fck*(1-(1-AL1221/eco)^n),alpha*fck),0)</f>
      </c>
      <c r="AN1221" s="30">
        <f>PM_Angle!$J$22+PM_Angle!$K$22*$C1221+PM_Angle!$L$22*$B1221</f>
      </c>
      <c r="AO1221" s="12">
        <f>IF(AN1221&gt;0,IF(AN1221&lt;=eco,alpha*fck*(1-(1-AN1221/eco)^n),alpha*fck),0)</f>
      </c>
      <c r="AP1221" s="30">
        <f>PM_Angle!$J$23+PM_Angle!$K$23*$C1221+PM_Angle!$L$23*$B1221</f>
      </c>
      <c r="AQ1221" s="12">
        <f>IF(AP1221&gt;0,IF(AP1221&lt;=eco,alpha*fck*(1-(1-AP1221/eco)^n),alpha*fck),0)</f>
      </c>
      <c r="AR1221" s="30">
        <f>PM_Angle!$J$24+PM_Angle!$K$24*$C1221+PM_Angle!$L$24*$B1221</f>
      </c>
      <c r="AS1221" s="12">
        <f>IF(AR1221&gt;0,IF(AR1221&lt;=eco,alpha*fck*(1-(1-AR1221/eco)^n),alpha*fck),0)</f>
      </c>
      <c r="AT1221" s="30">
        <f>PM_Angle!$J$25+PM_Angle!$K$25*$C1221+PM_Angle!$L$25*$B1221</f>
      </c>
      <c r="AU1221" s="12">
        <f>IF(AT1221&gt;0,IF(AT1221&lt;=eco,alpha*fck*(1-(1-AT1221/eco)^n),alpha*fck),0)</f>
      </c>
    </row>
    <row r="1222" spans="1:47" x14ac:dyDescent="0.25">
      <c r="A1222">
        <f>Mesh!A1219</f>
      </c>
      <c r="B1222" s="12">
        <f>Mesh!B1219</f>
      </c>
      <c r="C1222" s="12">
        <f>Mesh!C1219</f>
      </c>
      <c r="D1222" s="12">
        <f>Mesh!D1219</f>
      </c>
      <c r="E1222" s="30">
        <f>INDEX(St_e0,Det+1)+INDEX(St_kx,Det+1)*C1222+INDEX(St_ky,Det+1)*B1222</f>
      </c>
      <c r="F1222" s="12">
        <f>IF(E1222&gt;0,IF(E1222&lt;=eco,alpha*fck*(1-(1-E1222/eco)^n),alpha*fck),0)</f>
      </c>
      <c r="G1222" s="11">
        <f>F1222*D1222</f>
      </c>
      <c r="H1222" s="11">
        <f>G1222*C1222</f>
      </c>
      <c r="I1222" s="11">
        <f>G1222*B1222</f>
      </c>
      <c r="J1222" s="30">
        <f>PM_Angle!$J$7+PM_Angle!$K$7*$C1222+PM_Angle!$L$7*$B1222</f>
      </c>
      <c r="K1222" s="12">
        <f>IF(J1222&gt;0,IF(J1222&lt;=eco,alpha*fck*(1-(1-J1222/eco)^n),alpha*fck),0)</f>
      </c>
      <c r="L1222" s="30">
        <f>PM_Angle!$J$8+PM_Angle!$K$8*$C1222+PM_Angle!$L$8*$B1222</f>
      </c>
      <c r="M1222" s="12">
        <f>IF(L1222&gt;0,IF(L1222&lt;=eco,alpha*fck*(1-(1-L1222/eco)^n),alpha*fck),0)</f>
      </c>
      <c r="N1222" s="30">
        <f>PM_Angle!$J$9+PM_Angle!$K$9*$C1222+PM_Angle!$L$9*$B1222</f>
      </c>
      <c r="O1222" s="12">
        <f>IF(N1222&gt;0,IF(N1222&lt;=eco,alpha*fck*(1-(1-N1222/eco)^n),alpha*fck),0)</f>
      </c>
      <c r="P1222" s="30">
        <f>PM_Angle!$J$10+PM_Angle!$K$10*$C1222+PM_Angle!$L$10*$B1222</f>
      </c>
      <c r="Q1222" s="12">
        <f>IF(P1222&gt;0,IF(P1222&lt;=eco,alpha*fck*(1-(1-P1222/eco)^n),alpha*fck),0)</f>
      </c>
      <c r="R1222" s="30">
        <f>PM_Angle!$J$11+PM_Angle!$K$11*$C1222+PM_Angle!$L$11*$B1222</f>
      </c>
      <c r="S1222" s="12">
        <f>IF(R1222&gt;0,IF(R1222&lt;=eco,alpha*fck*(1-(1-R1222/eco)^n),alpha*fck),0)</f>
      </c>
      <c r="T1222" s="30">
        <f>PM_Angle!$J$12+PM_Angle!$K$12*$C1222+PM_Angle!$L$12*$B1222</f>
      </c>
      <c r="U1222" s="12">
        <f>IF(T1222&gt;0,IF(T1222&lt;=eco,alpha*fck*(1-(1-T1222/eco)^n),alpha*fck),0)</f>
      </c>
      <c r="V1222" s="30">
        <f>PM_Angle!$J$13+PM_Angle!$K$13*$C1222+PM_Angle!$L$13*$B1222</f>
      </c>
      <c r="W1222" s="12">
        <f>IF(V1222&gt;0,IF(V1222&lt;=eco,alpha*fck*(1-(1-V1222/eco)^n),alpha*fck),0)</f>
      </c>
      <c r="X1222" s="30">
        <f>PM_Angle!$J$14+PM_Angle!$K$14*$C1222+PM_Angle!$L$14*$B1222</f>
      </c>
      <c r="Y1222" s="12">
        <f>IF(X1222&gt;0,IF(X1222&lt;=eco,alpha*fck*(1-(1-X1222/eco)^n),alpha*fck),0)</f>
      </c>
      <c r="Z1222" s="30">
        <f>PM_Angle!$J$15+PM_Angle!$K$15*$C1222+PM_Angle!$L$15*$B1222</f>
      </c>
      <c r="AA1222" s="12">
        <f>IF(Z1222&gt;0,IF(Z1222&lt;=eco,alpha*fck*(1-(1-Z1222/eco)^n),alpha*fck),0)</f>
      </c>
      <c r="AB1222" s="30">
        <f>PM_Angle!$J$16+PM_Angle!$K$16*$C1222+PM_Angle!$L$16*$B1222</f>
      </c>
      <c r="AC1222" s="12">
        <f>IF(AB1222&gt;0,IF(AB1222&lt;=eco,alpha*fck*(1-(1-AB1222/eco)^n),alpha*fck),0)</f>
      </c>
      <c r="AD1222" s="30">
        <f>PM_Angle!$J$17+PM_Angle!$K$17*$C1222+PM_Angle!$L$17*$B1222</f>
      </c>
      <c r="AE1222" s="12">
        <f>IF(AD1222&gt;0,IF(AD1222&lt;=eco,alpha*fck*(1-(1-AD1222/eco)^n),alpha*fck),0)</f>
      </c>
      <c r="AF1222" s="30">
        <f>PM_Angle!$J$18+PM_Angle!$K$18*$C1222+PM_Angle!$L$18*$B1222</f>
      </c>
      <c r="AG1222" s="12">
        <f>IF(AF1222&gt;0,IF(AF1222&lt;=eco,alpha*fck*(1-(1-AF1222/eco)^n),alpha*fck),0)</f>
      </c>
      <c r="AH1222" s="30">
        <f>PM_Angle!$J$19+PM_Angle!$K$19*$C1222+PM_Angle!$L$19*$B1222</f>
      </c>
      <c r="AI1222" s="12">
        <f>IF(AH1222&gt;0,IF(AH1222&lt;=eco,alpha*fck*(1-(1-AH1222/eco)^n),alpha*fck),0)</f>
      </c>
      <c r="AJ1222" s="30">
        <f>PM_Angle!$J$20+PM_Angle!$K$20*$C1222+PM_Angle!$L$20*$B1222</f>
      </c>
      <c r="AK1222" s="12">
        <f>IF(AJ1222&gt;0,IF(AJ1222&lt;=eco,alpha*fck*(1-(1-AJ1222/eco)^n),alpha*fck),0)</f>
      </c>
      <c r="AL1222" s="30">
        <f>PM_Angle!$J$21+PM_Angle!$K$21*$C1222+PM_Angle!$L$21*$B1222</f>
      </c>
      <c r="AM1222" s="12">
        <f>IF(AL1222&gt;0,IF(AL1222&lt;=eco,alpha*fck*(1-(1-AL1222/eco)^n),alpha*fck),0)</f>
      </c>
      <c r="AN1222" s="30">
        <f>PM_Angle!$J$22+PM_Angle!$K$22*$C1222+PM_Angle!$L$22*$B1222</f>
      </c>
      <c r="AO1222" s="12">
        <f>IF(AN1222&gt;0,IF(AN1222&lt;=eco,alpha*fck*(1-(1-AN1222/eco)^n),alpha*fck),0)</f>
      </c>
      <c r="AP1222" s="30">
        <f>PM_Angle!$J$23+PM_Angle!$K$23*$C1222+PM_Angle!$L$23*$B1222</f>
      </c>
      <c r="AQ1222" s="12">
        <f>IF(AP1222&gt;0,IF(AP1222&lt;=eco,alpha*fck*(1-(1-AP1222/eco)^n),alpha*fck),0)</f>
      </c>
      <c r="AR1222" s="30">
        <f>PM_Angle!$J$24+PM_Angle!$K$24*$C1222+PM_Angle!$L$24*$B1222</f>
      </c>
      <c r="AS1222" s="12">
        <f>IF(AR1222&gt;0,IF(AR1222&lt;=eco,alpha*fck*(1-(1-AR1222/eco)^n),alpha*fck),0)</f>
      </c>
      <c r="AT1222" s="30">
        <f>PM_Angle!$J$25+PM_Angle!$K$25*$C1222+PM_Angle!$L$25*$B1222</f>
      </c>
      <c r="AU1222" s="12">
        <f>IF(AT1222&gt;0,IF(AT1222&lt;=eco,alpha*fck*(1-(1-AT1222/eco)^n),alpha*fck),0)</f>
      </c>
    </row>
    <row r="1223" spans="1:47" x14ac:dyDescent="0.25">
      <c r="A1223">
        <f>Mesh!A1220</f>
      </c>
      <c r="B1223" s="12">
        <f>Mesh!B1220</f>
      </c>
      <c r="C1223" s="12">
        <f>Mesh!C1220</f>
      </c>
      <c r="D1223" s="12">
        <f>Mesh!D1220</f>
      </c>
      <c r="E1223" s="30">
        <f>INDEX(St_e0,Det+1)+INDEX(St_kx,Det+1)*C1223+INDEX(St_ky,Det+1)*B1223</f>
      </c>
      <c r="F1223" s="12">
        <f>IF(E1223&gt;0,IF(E1223&lt;=eco,alpha*fck*(1-(1-E1223/eco)^n),alpha*fck),0)</f>
      </c>
      <c r="G1223" s="11">
        <f>F1223*D1223</f>
      </c>
      <c r="H1223" s="11">
        <f>G1223*C1223</f>
      </c>
      <c r="I1223" s="11">
        <f>G1223*B1223</f>
      </c>
      <c r="J1223" s="30">
        <f>PM_Angle!$J$7+PM_Angle!$K$7*$C1223+PM_Angle!$L$7*$B1223</f>
      </c>
      <c r="K1223" s="12">
        <f>IF(J1223&gt;0,IF(J1223&lt;=eco,alpha*fck*(1-(1-J1223/eco)^n),alpha*fck),0)</f>
      </c>
      <c r="L1223" s="30">
        <f>PM_Angle!$J$8+PM_Angle!$K$8*$C1223+PM_Angle!$L$8*$B1223</f>
      </c>
      <c r="M1223" s="12">
        <f>IF(L1223&gt;0,IF(L1223&lt;=eco,alpha*fck*(1-(1-L1223/eco)^n),alpha*fck),0)</f>
      </c>
      <c r="N1223" s="30">
        <f>PM_Angle!$J$9+PM_Angle!$K$9*$C1223+PM_Angle!$L$9*$B1223</f>
      </c>
      <c r="O1223" s="12">
        <f>IF(N1223&gt;0,IF(N1223&lt;=eco,alpha*fck*(1-(1-N1223/eco)^n),alpha*fck),0)</f>
      </c>
      <c r="P1223" s="30">
        <f>PM_Angle!$J$10+PM_Angle!$K$10*$C1223+PM_Angle!$L$10*$B1223</f>
      </c>
      <c r="Q1223" s="12">
        <f>IF(P1223&gt;0,IF(P1223&lt;=eco,alpha*fck*(1-(1-P1223/eco)^n),alpha*fck),0)</f>
      </c>
      <c r="R1223" s="30">
        <f>PM_Angle!$J$11+PM_Angle!$K$11*$C1223+PM_Angle!$L$11*$B1223</f>
      </c>
      <c r="S1223" s="12">
        <f>IF(R1223&gt;0,IF(R1223&lt;=eco,alpha*fck*(1-(1-R1223/eco)^n),alpha*fck),0)</f>
      </c>
      <c r="T1223" s="30">
        <f>PM_Angle!$J$12+PM_Angle!$K$12*$C1223+PM_Angle!$L$12*$B1223</f>
      </c>
      <c r="U1223" s="12">
        <f>IF(T1223&gt;0,IF(T1223&lt;=eco,alpha*fck*(1-(1-T1223/eco)^n),alpha*fck),0)</f>
      </c>
      <c r="V1223" s="30">
        <f>PM_Angle!$J$13+PM_Angle!$K$13*$C1223+PM_Angle!$L$13*$B1223</f>
      </c>
      <c r="W1223" s="12">
        <f>IF(V1223&gt;0,IF(V1223&lt;=eco,alpha*fck*(1-(1-V1223/eco)^n),alpha*fck),0)</f>
      </c>
      <c r="X1223" s="30">
        <f>PM_Angle!$J$14+PM_Angle!$K$14*$C1223+PM_Angle!$L$14*$B1223</f>
      </c>
      <c r="Y1223" s="12">
        <f>IF(X1223&gt;0,IF(X1223&lt;=eco,alpha*fck*(1-(1-X1223/eco)^n),alpha*fck),0)</f>
      </c>
      <c r="Z1223" s="30">
        <f>PM_Angle!$J$15+PM_Angle!$K$15*$C1223+PM_Angle!$L$15*$B1223</f>
      </c>
      <c r="AA1223" s="12">
        <f>IF(Z1223&gt;0,IF(Z1223&lt;=eco,alpha*fck*(1-(1-Z1223/eco)^n),alpha*fck),0)</f>
      </c>
      <c r="AB1223" s="30">
        <f>PM_Angle!$J$16+PM_Angle!$K$16*$C1223+PM_Angle!$L$16*$B1223</f>
      </c>
      <c r="AC1223" s="12">
        <f>IF(AB1223&gt;0,IF(AB1223&lt;=eco,alpha*fck*(1-(1-AB1223/eco)^n),alpha*fck),0)</f>
      </c>
      <c r="AD1223" s="30">
        <f>PM_Angle!$J$17+PM_Angle!$K$17*$C1223+PM_Angle!$L$17*$B1223</f>
      </c>
      <c r="AE1223" s="12">
        <f>IF(AD1223&gt;0,IF(AD1223&lt;=eco,alpha*fck*(1-(1-AD1223/eco)^n),alpha*fck),0)</f>
      </c>
      <c r="AF1223" s="30">
        <f>PM_Angle!$J$18+PM_Angle!$K$18*$C1223+PM_Angle!$L$18*$B1223</f>
      </c>
      <c r="AG1223" s="12">
        <f>IF(AF1223&gt;0,IF(AF1223&lt;=eco,alpha*fck*(1-(1-AF1223/eco)^n),alpha*fck),0)</f>
      </c>
      <c r="AH1223" s="30">
        <f>PM_Angle!$J$19+PM_Angle!$K$19*$C1223+PM_Angle!$L$19*$B1223</f>
      </c>
      <c r="AI1223" s="12">
        <f>IF(AH1223&gt;0,IF(AH1223&lt;=eco,alpha*fck*(1-(1-AH1223/eco)^n),alpha*fck),0)</f>
      </c>
      <c r="AJ1223" s="30">
        <f>PM_Angle!$J$20+PM_Angle!$K$20*$C1223+PM_Angle!$L$20*$B1223</f>
      </c>
      <c r="AK1223" s="12">
        <f>IF(AJ1223&gt;0,IF(AJ1223&lt;=eco,alpha*fck*(1-(1-AJ1223/eco)^n),alpha*fck),0)</f>
      </c>
      <c r="AL1223" s="30">
        <f>PM_Angle!$J$21+PM_Angle!$K$21*$C1223+PM_Angle!$L$21*$B1223</f>
      </c>
      <c r="AM1223" s="12">
        <f>IF(AL1223&gt;0,IF(AL1223&lt;=eco,alpha*fck*(1-(1-AL1223/eco)^n),alpha*fck),0)</f>
      </c>
      <c r="AN1223" s="30">
        <f>PM_Angle!$J$22+PM_Angle!$K$22*$C1223+PM_Angle!$L$22*$B1223</f>
      </c>
      <c r="AO1223" s="12">
        <f>IF(AN1223&gt;0,IF(AN1223&lt;=eco,alpha*fck*(1-(1-AN1223/eco)^n),alpha*fck),0)</f>
      </c>
      <c r="AP1223" s="30">
        <f>PM_Angle!$J$23+PM_Angle!$K$23*$C1223+PM_Angle!$L$23*$B1223</f>
      </c>
      <c r="AQ1223" s="12">
        <f>IF(AP1223&gt;0,IF(AP1223&lt;=eco,alpha*fck*(1-(1-AP1223/eco)^n),alpha*fck),0)</f>
      </c>
      <c r="AR1223" s="30">
        <f>PM_Angle!$J$24+PM_Angle!$K$24*$C1223+PM_Angle!$L$24*$B1223</f>
      </c>
      <c r="AS1223" s="12">
        <f>IF(AR1223&gt;0,IF(AR1223&lt;=eco,alpha*fck*(1-(1-AR1223/eco)^n),alpha*fck),0)</f>
      </c>
      <c r="AT1223" s="30">
        <f>PM_Angle!$J$25+PM_Angle!$K$25*$C1223+PM_Angle!$L$25*$B1223</f>
      </c>
      <c r="AU1223" s="12">
        <f>IF(AT1223&gt;0,IF(AT1223&lt;=eco,alpha*fck*(1-(1-AT1223/eco)^n),alpha*fck),0)</f>
      </c>
    </row>
    <row r="1224" spans="1:47" x14ac:dyDescent="0.25">
      <c r="A1224">
        <f>Mesh!A1221</f>
      </c>
      <c r="B1224" s="12">
        <f>Mesh!B1221</f>
      </c>
      <c r="C1224" s="12">
        <f>Mesh!C1221</f>
      </c>
      <c r="D1224" s="12">
        <f>Mesh!D1221</f>
      </c>
      <c r="E1224" s="30">
        <f>INDEX(St_e0,Det+1)+INDEX(St_kx,Det+1)*C1224+INDEX(St_ky,Det+1)*B1224</f>
      </c>
      <c r="F1224" s="12">
        <f>IF(E1224&gt;0,IF(E1224&lt;=eco,alpha*fck*(1-(1-E1224/eco)^n),alpha*fck),0)</f>
      </c>
      <c r="G1224" s="11">
        <f>F1224*D1224</f>
      </c>
      <c r="H1224" s="11">
        <f>G1224*C1224</f>
      </c>
      <c r="I1224" s="11">
        <f>G1224*B1224</f>
      </c>
      <c r="J1224" s="30">
        <f>PM_Angle!$J$7+PM_Angle!$K$7*$C1224+PM_Angle!$L$7*$B1224</f>
      </c>
      <c r="K1224" s="12">
        <f>IF(J1224&gt;0,IF(J1224&lt;=eco,alpha*fck*(1-(1-J1224/eco)^n),alpha*fck),0)</f>
      </c>
      <c r="L1224" s="30">
        <f>PM_Angle!$J$8+PM_Angle!$K$8*$C1224+PM_Angle!$L$8*$B1224</f>
      </c>
      <c r="M1224" s="12">
        <f>IF(L1224&gt;0,IF(L1224&lt;=eco,alpha*fck*(1-(1-L1224/eco)^n),alpha*fck),0)</f>
      </c>
      <c r="N1224" s="30">
        <f>PM_Angle!$J$9+PM_Angle!$K$9*$C1224+PM_Angle!$L$9*$B1224</f>
      </c>
      <c r="O1224" s="12">
        <f>IF(N1224&gt;0,IF(N1224&lt;=eco,alpha*fck*(1-(1-N1224/eco)^n),alpha*fck),0)</f>
      </c>
      <c r="P1224" s="30">
        <f>PM_Angle!$J$10+PM_Angle!$K$10*$C1224+PM_Angle!$L$10*$B1224</f>
      </c>
      <c r="Q1224" s="12">
        <f>IF(P1224&gt;0,IF(P1224&lt;=eco,alpha*fck*(1-(1-P1224/eco)^n),alpha*fck),0)</f>
      </c>
      <c r="R1224" s="30">
        <f>PM_Angle!$J$11+PM_Angle!$K$11*$C1224+PM_Angle!$L$11*$B1224</f>
      </c>
      <c r="S1224" s="12">
        <f>IF(R1224&gt;0,IF(R1224&lt;=eco,alpha*fck*(1-(1-R1224/eco)^n),alpha*fck),0)</f>
      </c>
      <c r="T1224" s="30">
        <f>PM_Angle!$J$12+PM_Angle!$K$12*$C1224+PM_Angle!$L$12*$B1224</f>
      </c>
      <c r="U1224" s="12">
        <f>IF(T1224&gt;0,IF(T1224&lt;=eco,alpha*fck*(1-(1-T1224/eco)^n),alpha*fck),0)</f>
      </c>
      <c r="V1224" s="30">
        <f>PM_Angle!$J$13+PM_Angle!$K$13*$C1224+PM_Angle!$L$13*$B1224</f>
      </c>
      <c r="W1224" s="12">
        <f>IF(V1224&gt;0,IF(V1224&lt;=eco,alpha*fck*(1-(1-V1224/eco)^n),alpha*fck),0)</f>
      </c>
      <c r="X1224" s="30">
        <f>PM_Angle!$J$14+PM_Angle!$K$14*$C1224+PM_Angle!$L$14*$B1224</f>
      </c>
      <c r="Y1224" s="12">
        <f>IF(X1224&gt;0,IF(X1224&lt;=eco,alpha*fck*(1-(1-X1224/eco)^n),alpha*fck),0)</f>
      </c>
      <c r="Z1224" s="30">
        <f>PM_Angle!$J$15+PM_Angle!$K$15*$C1224+PM_Angle!$L$15*$B1224</f>
      </c>
      <c r="AA1224" s="12">
        <f>IF(Z1224&gt;0,IF(Z1224&lt;=eco,alpha*fck*(1-(1-Z1224/eco)^n),alpha*fck),0)</f>
      </c>
      <c r="AB1224" s="30">
        <f>PM_Angle!$J$16+PM_Angle!$K$16*$C1224+PM_Angle!$L$16*$B1224</f>
      </c>
      <c r="AC1224" s="12">
        <f>IF(AB1224&gt;0,IF(AB1224&lt;=eco,alpha*fck*(1-(1-AB1224/eco)^n),alpha*fck),0)</f>
      </c>
      <c r="AD1224" s="30">
        <f>PM_Angle!$J$17+PM_Angle!$K$17*$C1224+PM_Angle!$L$17*$B1224</f>
      </c>
      <c r="AE1224" s="12">
        <f>IF(AD1224&gt;0,IF(AD1224&lt;=eco,alpha*fck*(1-(1-AD1224/eco)^n),alpha*fck),0)</f>
      </c>
      <c r="AF1224" s="30">
        <f>PM_Angle!$J$18+PM_Angle!$K$18*$C1224+PM_Angle!$L$18*$B1224</f>
      </c>
      <c r="AG1224" s="12">
        <f>IF(AF1224&gt;0,IF(AF1224&lt;=eco,alpha*fck*(1-(1-AF1224/eco)^n),alpha*fck),0)</f>
      </c>
      <c r="AH1224" s="30">
        <f>PM_Angle!$J$19+PM_Angle!$K$19*$C1224+PM_Angle!$L$19*$B1224</f>
      </c>
      <c r="AI1224" s="12">
        <f>IF(AH1224&gt;0,IF(AH1224&lt;=eco,alpha*fck*(1-(1-AH1224/eco)^n),alpha*fck),0)</f>
      </c>
      <c r="AJ1224" s="30">
        <f>PM_Angle!$J$20+PM_Angle!$K$20*$C1224+PM_Angle!$L$20*$B1224</f>
      </c>
      <c r="AK1224" s="12">
        <f>IF(AJ1224&gt;0,IF(AJ1224&lt;=eco,alpha*fck*(1-(1-AJ1224/eco)^n),alpha*fck),0)</f>
      </c>
      <c r="AL1224" s="30">
        <f>PM_Angle!$J$21+PM_Angle!$K$21*$C1224+PM_Angle!$L$21*$B1224</f>
      </c>
      <c r="AM1224" s="12">
        <f>IF(AL1224&gt;0,IF(AL1224&lt;=eco,alpha*fck*(1-(1-AL1224/eco)^n),alpha*fck),0)</f>
      </c>
      <c r="AN1224" s="30">
        <f>PM_Angle!$J$22+PM_Angle!$K$22*$C1224+PM_Angle!$L$22*$B1224</f>
      </c>
      <c r="AO1224" s="12">
        <f>IF(AN1224&gt;0,IF(AN1224&lt;=eco,alpha*fck*(1-(1-AN1224/eco)^n),alpha*fck),0)</f>
      </c>
      <c r="AP1224" s="30">
        <f>PM_Angle!$J$23+PM_Angle!$K$23*$C1224+PM_Angle!$L$23*$B1224</f>
      </c>
      <c r="AQ1224" s="12">
        <f>IF(AP1224&gt;0,IF(AP1224&lt;=eco,alpha*fck*(1-(1-AP1224/eco)^n),alpha*fck),0)</f>
      </c>
      <c r="AR1224" s="30">
        <f>PM_Angle!$J$24+PM_Angle!$K$24*$C1224+PM_Angle!$L$24*$B1224</f>
      </c>
      <c r="AS1224" s="12">
        <f>IF(AR1224&gt;0,IF(AR1224&lt;=eco,alpha*fck*(1-(1-AR1224/eco)^n),alpha*fck),0)</f>
      </c>
      <c r="AT1224" s="30">
        <f>PM_Angle!$J$25+PM_Angle!$K$25*$C1224+PM_Angle!$L$25*$B1224</f>
      </c>
      <c r="AU1224" s="12">
        <f>IF(AT1224&gt;0,IF(AT1224&lt;=eco,alpha*fck*(1-(1-AT1224/eco)^n),alpha*fck),0)</f>
      </c>
    </row>
    <row r="1225" spans="1:47" x14ac:dyDescent="0.25">
      <c r="A1225">
        <f>Mesh!A1222</f>
      </c>
      <c r="B1225" s="12">
        <f>Mesh!B1222</f>
      </c>
      <c r="C1225" s="12">
        <f>Mesh!C1222</f>
      </c>
      <c r="D1225" s="12">
        <f>Mesh!D1222</f>
      </c>
      <c r="E1225" s="30">
        <f>INDEX(St_e0,Det+1)+INDEX(St_kx,Det+1)*C1225+INDEX(St_ky,Det+1)*B1225</f>
      </c>
      <c r="F1225" s="12">
        <f>IF(E1225&gt;0,IF(E1225&lt;=eco,alpha*fck*(1-(1-E1225/eco)^n),alpha*fck),0)</f>
      </c>
      <c r="G1225" s="11">
        <f>F1225*D1225</f>
      </c>
      <c r="H1225" s="11">
        <f>G1225*C1225</f>
      </c>
      <c r="I1225" s="11">
        <f>G1225*B1225</f>
      </c>
      <c r="J1225" s="30">
        <f>PM_Angle!$J$7+PM_Angle!$K$7*$C1225+PM_Angle!$L$7*$B1225</f>
      </c>
      <c r="K1225" s="12">
        <f>IF(J1225&gt;0,IF(J1225&lt;=eco,alpha*fck*(1-(1-J1225/eco)^n),alpha*fck),0)</f>
      </c>
      <c r="L1225" s="30">
        <f>PM_Angle!$J$8+PM_Angle!$K$8*$C1225+PM_Angle!$L$8*$B1225</f>
      </c>
      <c r="M1225" s="12">
        <f>IF(L1225&gt;0,IF(L1225&lt;=eco,alpha*fck*(1-(1-L1225/eco)^n),alpha*fck),0)</f>
      </c>
      <c r="N1225" s="30">
        <f>PM_Angle!$J$9+PM_Angle!$K$9*$C1225+PM_Angle!$L$9*$B1225</f>
      </c>
      <c r="O1225" s="12">
        <f>IF(N1225&gt;0,IF(N1225&lt;=eco,alpha*fck*(1-(1-N1225/eco)^n),alpha*fck),0)</f>
      </c>
      <c r="P1225" s="30">
        <f>PM_Angle!$J$10+PM_Angle!$K$10*$C1225+PM_Angle!$L$10*$B1225</f>
      </c>
      <c r="Q1225" s="12">
        <f>IF(P1225&gt;0,IF(P1225&lt;=eco,alpha*fck*(1-(1-P1225/eco)^n),alpha*fck),0)</f>
      </c>
      <c r="R1225" s="30">
        <f>PM_Angle!$J$11+PM_Angle!$K$11*$C1225+PM_Angle!$L$11*$B1225</f>
      </c>
      <c r="S1225" s="12">
        <f>IF(R1225&gt;0,IF(R1225&lt;=eco,alpha*fck*(1-(1-R1225/eco)^n),alpha*fck),0)</f>
      </c>
      <c r="T1225" s="30">
        <f>PM_Angle!$J$12+PM_Angle!$K$12*$C1225+PM_Angle!$L$12*$B1225</f>
      </c>
      <c r="U1225" s="12">
        <f>IF(T1225&gt;0,IF(T1225&lt;=eco,alpha*fck*(1-(1-T1225/eco)^n),alpha*fck),0)</f>
      </c>
      <c r="V1225" s="30">
        <f>PM_Angle!$J$13+PM_Angle!$K$13*$C1225+PM_Angle!$L$13*$B1225</f>
      </c>
      <c r="W1225" s="12">
        <f>IF(V1225&gt;0,IF(V1225&lt;=eco,alpha*fck*(1-(1-V1225/eco)^n),alpha*fck),0)</f>
      </c>
      <c r="X1225" s="30">
        <f>PM_Angle!$J$14+PM_Angle!$K$14*$C1225+PM_Angle!$L$14*$B1225</f>
      </c>
      <c r="Y1225" s="12">
        <f>IF(X1225&gt;0,IF(X1225&lt;=eco,alpha*fck*(1-(1-X1225/eco)^n),alpha*fck),0)</f>
      </c>
      <c r="Z1225" s="30">
        <f>PM_Angle!$J$15+PM_Angle!$K$15*$C1225+PM_Angle!$L$15*$B1225</f>
      </c>
      <c r="AA1225" s="12">
        <f>IF(Z1225&gt;0,IF(Z1225&lt;=eco,alpha*fck*(1-(1-Z1225/eco)^n),alpha*fck),0)</f>
      </c>
      <c r="AB1225" s="30">
        <f>PM_Angle!$J$16+PM_Angle!$K$16*$C1225+PM_Angle!$L$16*$B1225</f>
      </c>
      <c r="AC1225" s="12">
        <f>IF(AB1225&gt;0,IF(AB1225&lt;=eco,alpha*fck*(1-(1-AB1225/eco)^n),alpha*fck),0)</f>
      </c>
      <c r="AD1225" s="30">
        <f>PM_Angle!$J$17+PM_Angle!$K$17*$C1225+PM_Angle!$L$17*$B1225</f>
      </c>
      <c r="AE1225" s="12">
        <f>IF(AD1225&gt;0,IF(AD1225&lt;=eco,alpha*fck*(1-(1-AD1225/eco)^n),alpha*fck),0)</f>
      </c>
      <c r="AF1225" s="30">
        <f>PM_Angle!$J$18+PM_Angle!$K$18*$C1225+PM_Angle!$L$18*$B1225</f>
      </c>
      <c r="AG1225" s="12">
        <f>IF(AF1225&gt;0,IF(AF1225&lt;=eco,alpha*fck*(1-(1-AF1225/eco)^n),alpha*fck),0)</f>
      </c>
      <c r="AH1225" s="30">
        <f>PM_Angle!$J$19+PM_Angle!$K$19*$C1225+PM_Angle!$L$19*$B1225</f>
      </c>
      <c r="AI1225" s="12">
        <f>IF(AH1225&gt;0,IF(AH1225&lt;=eco,alpha*fck*(1-(1-AH1225/eco)^n),alpha*fck),0)</f>
      </c>
      <c r="AJ1225" s="30">
        <f>PM_Angle!$J$20+PM_Angle!$K$20*$C1225+PM_Angle!$L$20*$B1225</f>
      </c>
      <c r="AK1225" s="12">
        <f>IF(AJ1225&gt;0,IF(AJ1225&lt;=eco,alpha*fck*(1-(1-AJ1225/eco)^n),alpha*fck),0)</f>
      </c>
      <c r="AL1225" s="30">
        <f>PM_Angle!$J$21+PM_Angle!$K$21*$C1225+PM_Angle!$L$21*$B1225</f>
      </c>
      <c r="AM1225" s="12">
        <f>IF(AL1225&gt;0,IF(AL1225&lt;=eco,alpha*fck*(1-(1-AL1225/eco)^n),alpha*fck),0)</f>
      </c>
      <c r="AN1225" s="30">
        <f>PM_Angle!$J$22+PM_Angle!$K$22*$C1225+PM_Angle!$L$22*$B1225</f>
      </c>
      <c r="AO1225" s="12">
        <f>IF(AN1225&gt;0,IF(AN1225&lt;=eco,alpha*fck*(1-(1-AN1225/eco)^n),alpha*fck),0)</f>
      </c>
      <c r="AP1225" s="30">
        <f>PM_Angle!$J$23+PM_Angle!$K$23*$C1225+PM_Angle!$L$23*$B1225</f>
      </c>
      <c r="AQ1225" s="12">
        <f>IF(AP1225&gt;0,IF(AP1225&lt;=eco,alpha*fck*(1-(1-AP1225/eco)^n),alpha*fck),0)</f>
      </c>
      <c r="AR1225" s="30">
        <f>PM_Angle!$J$24+PM_Angle!$K$24*$C1225+PM_Angle!$L$24*$B1225</f>
      </c>
      <c r="AS1225" s="12">
        <f>IF(AR1225&gt;0,IF(AR1225&lt;=eco,alpha*fck*(1-(1-AR1225/eco)^n),alpha*fck),0)</f>
      </c>
      <c r="AT1225" s="30">
        <f>PM_Angle!$J$25+PM_Angle!$K$25*$C1225+PM_Angle!$L$25*$B1225</f>
      </c>
      <c r="AU1225" s="12">
        <f>IF(AT1225&gt;0,IF(AT1225&lt;=eco,alpha*fck*(1-(1-AT1225/eco)^n),alpha*fck),0)</f>
      </c>
    </row>
    <row r="1226" spans="1:47" x14ac:dyDescent="0.25">
      <c r="A1226">
        <f>Mesh!A1223</f>
      </c>
      <c r="B1226" s="12">
        <f>Mesh!B1223</f>
      </c>
      <c r="C1226" s="12">
        <f>Mesh!C1223</f>
      </c>
      <c r="D1226" s="12">
        <f>Mesh!D1223</f>
      </c>
      <c r="E1226" s="30">
        <f>INDEX(St_e0,Det+1)+INDEX(St_kx,Det+1)*C1226+INDEX(St_ky,Det+1)*B1226</f>
      </c>
      <c r="F1226" s="12">
        <f>IF(E1226&gt;0,IF(E1226&lt;=eco,alpha*fck*(1-(1-E1226/eco)^n),alpha*fck),0)</f>
      </c>
      <c r="G1226" s="11">
        <f>F1226*D1226</f>
      </c>
      <c r="H1226" s="11">
        <f>G1226*C1226</f>
      </c>
      <c r="I1226" s="11">
        <f>G1226*B1226</f>
      </c>
      <c r="J1226" s="30">
        <f>PM_Angle!$J$7+PM_Angle!$K$7*$C1226+PM_Angle!$L$7*$B1226</f>
      </c>
      <c r="K1226" s="12">
        <f>IF(J1226&gt;0,IF(J1226&lt;=eco,alpha*fck*(1-(1-J1226/eco)^n),alpha*fck),0)</f>
      </c>
      <c r="L1226" s="30">
        <f>PM_Angle!$J$8+PM_Angle!$K$8*$C1226+PM_Angle!$L$8*$B1226</f>
      </c>
      <c r="M1226" s="12">
        <f>IF(L1226&gt;0,IF(L1226&lt;=eco,alpha*fck*(1-(1-L1226/eco)^n),alpha*fck),0)</f>
      </c>
      <c r="N1226" s="30">
        <f>PM_Angle!$J$9+PM_Angle!$K$9*$C1226+PM_Angle!$L$9*$B1226</f>
      </c>
      <c r="O1226" s="12">
        <f>IF(N1226&gt;0,IF(N1226&lt;=eco,alpha*fck*(1-(1-N1226/eco)^n),alpha*fck),0)</f>
      </c>
      <c r="P1226" s="30">
        <f>PM_Angle!$J$10+PM_Angle!$K$10*$C1226+PM_Angle!$L$10*$B1226</f>
      </c>
      <c r="Q1226" s="12">
        <f>IF(P1226&gt;0,IF(P1226&lt;=eco,alpha*fck*(1-(1-P1226/eco)^n),alpha*fck),0)</f>
      </c>
      <c r="R1226" s="30">
        <f>PM_Angle!$J$11+PM_Angle!$K$11*$C1226+PM_Angle!$L$11*$B1226</f>
      </c>
      <c r="S1226" s="12">
        <f>IF(R1226&gt;0,IF(R1226&lt;=eco,alpha*fck*(1-(1-R1226/eco)^n),alpha*fck),0)</f>
      </c>
      <c r="T1226" s="30">
        <f>PM_Angle!$J$12+PM_Angle!$K$12*$C1226+PM_Angle!$L$12*$B1226</f>
      </c>
      <c r="U1226" s="12">
        <f>IF(T1226&gt;0,IF(T1226&lt;=eco,alpha*fck*(1-(1-T1226/eco)^n),alpha*fck),0)</f>
      </c>
      <c r="V1226" s="30">
        <f>PM_Angle!$J$13+PM_Angle!$K$13*$C1226+PM_Angle!$L$13*$B1226</f>
      </c>
      <c r="W1226" s="12">
        <f>IF(V1226&gt;0,IF(V1226&lt;=eco,alpha*fck*(1-(1-V1226/eco)^n),alpha*fck),0)</f>
      </c>
      <c r="X1226" s="30">
        <f>PM_Angle!$J$14+PM_Angle!$K$14*$C1226+PM_Angle!$L$14*$B1226</f>
      </c>
      <c r="Y1226" s="12">
        <f>IF(X1226&gt;0,IF(X1226&lt;=eco,alpha*fck*(1-(1-X1226/eco)^n),alpha*fck),0)</f>
      </c>
      <c r="Z1226" s="30">
        <f>PM_Angle!$J$15+PM_Angle!$K$15*$C1226+PM_Angle!$L$15*$B1226</f>
      </c>
      <c r="AA1226" s="12">
        <f>IF(Z1226&gt;0,IF(Z1226&lt;=eco,alpha*fck*(1-(1-Z1226/eco)^n),alpha*fck),0)</f>
      </c>
      <c r="AB1226" s="30">
        <f>PM_Angle!$J$16+PM_Angle!$K$16*$C1226+PM_Angle!$L$16*$B1226</f>
      </c>
      <c r="AC1226" s="12">
        <f>IF(AB1226&gt;0,IF(AB1226&lt;=eco,alpha*fck*(1-(1-AB1226/eco)^n),alpha*fck),0)</f>
      </c>
      <c r="AD1226" s="30">
        <f>PM_Angle!$J$17+PM_Angle!$K$17*$C1226+PM_Angle!$L$17*$B1226</f>
      </c>
      <c r="AE1226" s="12">
        <f>IF(AD1226&gt;0,IF(AD1226&lt;=eco,alpha*fck*(1-(1-AD1226/eco)^n),alpha*fck),0)</f>
      </c>
      <c r="AF1226" s="30">
        <f>PM_Angle!$J$18+PM_Angle!$K$18*$C1226+PM_Angle!$L$18*$B1226</f>
      </c>
      <c r="AG1226" s="12">
        <f>IF(AF1226&gt;0,IF(AF1226&lt;=eco,alpha*fck*(1-(1-AF1226/eco)^n),alpha*fck),0)</f>
      </c>
      <c r="AH1226" s="30">
        <f>PM_Angle!$J$19+PM_Angle!$K$19*$C1226+PM_Angle!$L$19*$B1226</f>
      </c>
      <c r="AI1226" s="12">
        <f>IF(AH1226&gt;0,IF(AH1226&lt;=eco,alpha*fck*(1-(1-AH1226/eco)^n),alpha*fck),0)</f>
      </c>
      <c r="AJ1226" s="30">
        <f>PM_Angle!$J$20+PM_Angle!$K$20*$C1226+PM_Angle!$L$20*$B1226</f>
      </c>
      <c r="AK1226" s="12">
        <f>IF(AJ1226&gt;0,IF(AJ1226&lt;=eco,alpha*fck*(1-(1-AJ1226/eco)^n),alpha*fck),0)</f>
      </c>
      <c r="AL1226" s="30">
        <f>PM_Angle!$J$21+PM_Angle!$K$21*$C1226+PM_Angle!$L$21*$B1226</f>
      </c>
      <c r="AM1226" s="12">
        <f>IF(AL1226&gt;0,IF(AL1226&lt;=eco,alpha*fck*(1-(1-AL1226/eco)^n),alpha*fck),0)</f>
      </c>
      <c r="AN1226" s="30">
        <f>PM_Angle!$J$22+PM_Angle!$K$22*$C1226+PM_Angle!$L$22*$B1226</f>
      </c>
      <c r="AO1226" s="12">
        <f>IF(AN1226&gt;0,IF(AN1226&lt;=eco,alpha*fck*(1-(1-AN1226/eco)^n),alpha*fck),0)</f>
      </c>
      <c r="AP1226" s="30">
        <f>PM_Angle!$J$23+PM_Angle!$K$23*$C1226+PM_Angle!$L$23*$B1226</f>
      </c>
      <c r="AQ1226" s="12">
        <f>IF(AP1226&gt;0,IF(AP1226&lt;=eco,alpha*fck*(1-(1-AP1226/eco)^n),alpha*fck),0)</f>
      </c>
      <c r="AR1226" s="30">
        <f>PM_Angle!$J$24+PM_Angle!$K$24*$C1226+PM_Angle!$L$24*$B1226</f>
      </c>
      <c r="AS1226" s="12">
        <f>IF(AR1226&gt;0,IF(AR1226&lt;=eco,alpha*fck*(1-(1-AR1226/eco)^n),alpha*fck),0)</f>
      </c>
      <c r="AT1226" s="30">
        <f>PM_Angle!$J$25+PM_Angle!$K$25*$C1226+PM_Angle!$L$25*$B1226</f>
      </c>
      <c r="AU1226" s="12">
        <f>IF(AT1226&gt;0,IF(AT1226&lt;=eco,alpha*fck*(1-(1-AT1226/eco)^n),alpha*fck),0)</f>
      </c>
    </row>
    <row r="1227" spans="1:47" x14ac:dyDescent="0.25">
      <c r="A1227">
        <f>Mesh!A1224</f>
      </c>
      <c r="B1227" s="12">
        <f>Mesh!B1224</f>
      </c>
      <c r="C1227" s="12">
        <f>Mesh!C1224</f>
      </c>
      <c r="D1227" s="12">
        <f>Mesh!D1224</f>
      </c>
      <c r="E1227" s="30">
        <f>INDEX(St_e0,Det+1)+INDEX(St_kx,Det+1)*C1227+INDEX(St_ky,Det+1)*B1227</f>
      </c>
      <c r="F1227" s="12">
        <f>IF(E1227&gt;0,IF(E1227&lt;=eco,alpha*fck*(1-(1-E1227/eco)^n),alpha*fck),0)</f>
      </c>
      <c r="G1227" s="11">
        <f>F1227*D1227</f>
      </c>
      <c r="H1227" s="11">
        <f>G1227*C1227</f>
      </c>
      <c r="I1227" s="11">
        <f>G1227*B1227</f>
      </c>
      <c r="J1227" s="30">
        <f>PM_Angle!$J$7+PM_Angle!$K$7*$C1227+PM_Angle!$L$7*$B1227</f>
      </c>
      <c r="K1227" s="12">
        <f>IF(J1227&gt;0,IF(J1227&lt;=eco,alpha*fck*(1-(1-J1227/eco)^n),alpha*fck),0)</f>
      </c>
      <c r="L1227" s="30">
        <f>PM_Angle!$J$8+PM_Angle!$K$8*$C1227+PM_Angle!$L$8*$B1227</f>
      </c>
      <c r="M1227" s="12">
        <f>IF(L1227&gt;0,IF(L1227&lt;=eco,alpha*fck*(1-(1-L1227/eco)^n),alpha*fck),0)</f>
      </c>
      <c r="N1227" s="30">
        <f>PM_Angle!$J$9+PM_Angle!$K$9*$C1227+PM_Angle!$L$9*$B1227</f>
      </c>
      <c r="O1227" s="12">
        <f>IF(N1227&gt;0,IF(N1227&lt;=eco,alpha*fck*(1-(1-N1227/eco)^n),alpha*fck),0)</f>
      </c>
      <c r="P1227" s="30">
        <f>PM_Angle!$J$10+PM_Angle!$K$10*$C1227+PM_Angle!$L$10*$B1227</f>
      </c>
      <c r="Q1227" s="12">
        <f>IF(P1227&gt;0,IF(P1227&lt;=eco,alpha*fck*(1-(1-P1227/eco)^n),alpha*fck),0)</f>
      </c>
      <c r="R1227" s="30">
        <f>PM_Angle!$J$11+PM_Angle!$K$11*$C1227+PM_Angle!$L$11*$B1227</f>
      </c>
      <c r="S1227" s="12">
        <f>IF(R1227&gt;0,IF(R1227&lt;=eco,alpha*fck*(1-(1-R1227/eco)^n),alpha*fck),0)</f>
      </c>
      <c r="T1227" s="30">
        <f>PM_Angle!$J$12+PM_Angle!$K$12*$C1227+PM_Angle!$L$12*$B1227</f>
      </c>
      <c r="U1227" s="12">
        <f>IF(T1227&gt;0,IF(T1227&lt;=eco,alpha*fck*(1-(1-T1227/eco)^n),alpha*fck),0)</f>
      </c>
      <c r="V1227" s="30">
        <f>PM_Angle!$J$13+PM_Angle!$K$13*$C1227+PM_Angle!$L$13*$B1227</f>
      </c>
      <c r="W1227" s="12">
        <f>IF(V1227&gt;0,IF(V1227&lt;=eco,alpha*fck*(1-(1-V1227/eco)^n),alpha*fck),0)</f>
      </c>
      <c r="X1227" s="30">
        <f>PM_Angle!$J$14+PM_Angle!$K$14*$C1227+PM_Angle!$L$14*$B1227</f>
      </c>
      <c r="Y1227" s="12">
        <f>IF(X1227&gt;0,IF(X1227&lt;=eco,alpha*fck*(1-(1-X1227/eco)^n),alpha*fck),0)</f>
      </c>
      <c r="Z1227" s="30">
        <f>PM_Angle!$J$15+PM_Angle!$K$15*$C1227+PM_Angle!$L$15*$B1227</f>
      </c>
      <c r="AA1227" s="12">
        <f>IF(Z1227&gt;0,IF(Z1227&lt;=eco,alpha*fck*(1-(1-Z1227/eco)^n),alpha*fck),0)</f>
      </c>
      <c r="AB1227" s="30">
        <f>PM_Angle!$J$16+PM_Angle!$K$16*$C1227+PM_Angle!$L$16*$B1227</f>
      </c>
      <c r="AC1227" s="12">
        <f>IF(AB1227&gt;0,IF(AB1227&lt;=eco,alpha*fck*(1-(1-AB1227/eco)^n),alpha*fck),0)</f>
      </c>
      <c r="AD1227" s="30">
        <f>PM_Angle!$J$17+PM_Angle!$K$17*$C1227+PM_Angle!$L$17*$B1227</f>
      </c>
      <c r="AE1227" s="12">
        <f>IF(AD1227&gt;0,IF(AD1227&lt;=eco,alpha*fck*(1-(1-AD1227/eco)^n),alpha*fck),0)</f>
      </c>
      <c r="AF1227" s="30">
        <f>PM_Angle!$J$18+PM_Angle!$K$18*$C1227+PM_Angle!$L$18*$B1227</f>
      </c>
      <c r="AG1227" s="12">
        <f>IF(AF1227&gt;0,IF(AF1227&lt;=eco,alpha*fck*(1-(1-AF1227/eco)^n),alpha*fck),0)</f>
      </c>
      <c r="AH1227" s="30">
        <f>PM_Angle!$J$19+PM_Angle!$K$19*$C1227+PM_Angle!$L$19*$B1227</f>
      </c>
      <c r="AI1227" s="12">
        <f>IF(AH1227&gt;0,IF(AH1227&lt;=eco,alpha*fck*(1-(1-AH1227/eco)^n),alpha*fck),0)</f>
      </c>
      <c r="AJ1227" s="30">
        <f>PM_Angle!$J$20+PM_Angle!$K$20*$C1227+PM_Angle!$L$20*$B1227</f>
      </c>
      <c r="AK1227" s="12">
        <f>IF(AJ1227&gt;0,IF(AJ1227&lt;=eco,alpha*fck*(1-(1-AJ1227/eco)^n),alpha*fck),0)</f>
      </c>
      <c r="AL1227" s="30">
        <f>PM_Angle!$J$21+PM_Angle!$K$21*$C1227+PM_Angle!$L$21*$B1227</f>
      </c>
      <c r="AM1227" s="12">
        <f>IF(AL1227&gt;0,IF(AL1227&lt;=eco,alpha*fck*(1-(1-AL1227/eco)^n),alpha*fck),0)</f>
      </c>
      <c r="AN1227" s="30">
        <f>PM_Angle!$J$22+PM_Angle!$K$22*$C1227+PM_Angle!$L$22*$B1227</f>
      </c>
      <c r="AO1227" s="12">
        <f>IF(AN1227&gt;0,IF(AN1227&lt;=eco,alpha*fck*(1-(1-AN1227/eco)^n),alpha*fck),0)</f>
      </c>
      <c r="AP1227" s="30">
        <f>PM_Angle!$J$23+PM_Angle!$K$23*$C1227+PM_Angle!$L$23*$B1227</f>
      </c>
      <c r="AQ1227" s="12">
        <f>IF(AP1227&gt;0,IF(AP1227&lt;=eco,alpha*fck*(1-(1-AP1227/eco)^n),alpha*fck),0)</f>
      </c>
      <c r="AR1227" s="30">
        <f>PM_Angle!$J$24+PM_Angle!$K$24*$C1227+PM_Angle!$L$24*$B1227</f>
      </c>
      <c r="AS1227" s="12">
        <f>IF(AR1227&gt;0,IF(AR1227&lt;=eco,alpha*fck*(1-(1-AR1227/eco)^n),alpha*fck),0)</f>
      </c>
      <c r="AT1227" s="30">
        <f>PM_Angle!$J$25+PM_Angle!$K$25*$C1227+PM_Angle!$L$25*$B1227</f>
      </c>
      <c r="AU1227" s="12">
        <f>IF(AT1227&gt;0,IF(AT1227&lt;=eco,alpha*fck*(1-(1-AT1227/eco)^n),alpha*fck),0)</f>
      </c>
    </row>
    <row r="1228" spans="1:47" x14ac:dyDescent="0.25">
      <c r="A1228">
        <f>Mesh!A1225</f>
      </c>
      <c r="B1228" s="12">
        <f>Mesh!B1225</f>
      </c>
      <c r="C1228" s="12">
        <f>Mesh!C1225</f>
      </c>
      <c r="D1228" s="12">
        <f>Mesh!D1225</f>
      </c>
      <c r="E1228" s="30">
        <f>INDEX(St_e0,Det+1)+INDEX(St_kx,Det+1)*C1228+INDEX(St_ky,Det+1)*B1228</f>
      </c>
      <c r="F1228" s="12">
        <f>IF(E1228&gt;0,IF(E1228&lt;=eco,alpha*fck*(1-(1-E1228/eco)^n),alpha*fck),0)</f>
      </c>
      <c r="G1228" s="11">
        <f>F1228*D1228</f>
      </c>
      <c r="H1228" s="11">
        <f>G1228*C1228</f>
      </c>
      <c r="I1228" s="11">
        <f>G1228*B1228</f>
      </c>
      <c r="J1228" s="30">
        <f>PM_Angle!$J$7+PM_Angle!$K$7*$C1228+PM_Angle!$L$7*$B1228</f>
      </c>
      <c r="K1228" s="12">
        <f>IF(J1228&gt;0,IF(J1228&lt;=eco,alpha*fck*(1-(1-J1228/eco)^n),alpha*fck),0)</f>
      </c>
      <c r="L1228" s="30">
        <f>PM_Angle!$J$8+PM_Angle!$K$8*$C1228+PM_Angle!$L$8*$B1228</f>
      </c>
      <c r="M1228" s="12">
        <f>IF(L1228&gt;0,IF(L1228&lt;=eco,alpha*fck*(1-(1-L1228/eco)^n),alpha*fck),0)</f>
      </c>
      <c r="N1228" s="30">
        <f>PM_Angle!$J$9+PM_Angle!$K$9*$C1228+PM_Angle!$L$9*$B1228</f>
      </c>
      <c r="O1228" s="12">
        <f>IF(N1228&gt;0,IF(N1228&lt;=eco,alpha*fck*(1-(1-N1228/eco)^n),alpha*fck),0)</f>
      </c>
      <c r="P1228" s="30">
        <f>PM_Angle!$J$10+PM_Angle!$K$10*$C1228+PM_Angle!$L$10*$B1228</f>
      </c>
      <c r="Q1228" s="12">
        <f>IF(P1228&gt;0,IF(P1228&lt;=eco,alpha*fck*(1-(1-P1228/eco)^n),alpha*fck),0)</f>
      </c>
      <c r="R1228" s="30">
        <f>PM_Angle!$J$11+PM_Angle!$K$11*$C1228+PM_Angle!$L$11*$B1228</f>
      </c>
      <c r="S1228" s="12">
        <f>IF(R1228&gt;0,IF(R1228&lt;=eco,alpha*fck*(1-(1-R1228/eco)^n),alpha*fck),0)</f>
      </c>
      <c r="T1228" s="30">
        <f>PM_Angle!$J$12+PM_Angle!$K$12*$C1228+PM_Angle!$L$12*$B1228</f>
      </c>
      <c r="U1228" s="12">
        <f>IF(T1228&gt;0,IF(T1228&lt;=eco,alpha*fck*(1-(1-T1228/eco)^n),alpha*fck),0)</f>
      </c>
      <c r="V1228" s="30">
        <f>PM_Angle!$J$13+PM_Angle!$K$13*$C1228+PM_Angle!$L$13*$B1228</f>
      </c>
      <c r="W1228" s="12">
        <f>IF(V1228&gt;0,IF(V1228&lt;=eco,alpha*fck*(1-(1-V1228/eco)^n),alpha*fck),0)</f>
      </c>
      <c r="X1228" s="30">
        <f>PM_Angle!$J$14+PM_Angle!$K$14*$C1228+PM_Angle!$L$14*$B1228</f>
      </c>
      <c r="Y1228" s="12">
        <f>IF(X1228&gt;0,IF(X1228&lt;=eco,alpha*fck*(1-(1-X1228/eco)^n),alpha*fck),0)</f>
      </c>
      <c r="Z1228" s="30">
        <f>PM_Angle!$J$15+PM_Angle!$K$15*$C1228+PM_Angle!$L$15*$B1228</f>
      </c>
      <c r="AA1228" s="12">
        <f>IF(Z1228&gt;0,IF(Z1228&lt;=eco,alpha*fck*(1-(1-Z1228/eco)^n),alpha*fck),0)</f>
      </c>
      <c r="AB1228" s="30">
        <f>PM_Angle!$J$16+PM_Angle!$K$16*$C1228+PM_Angle!$L$16*$B1228</f>
      </c>
      <c r="AC1228" s="12">
        <f>IF(AB1228&gt;0,IF(AB1228&lt;=eco,alpha*fck*(1-(1-AB1228/eco)^n),alpha*fck),0)</f>
      </c>
      <c r="AD1228" s="30">
        <f>PM_Angle!$J$17+PM_Angle!$K$17*$C1228+PM_Angle!$L$17*$B1228</f>
      </c>
      <c r="AE1228" s="12">
        <f>IF(AD1228&gt;0,IF(AD1228&lt;=eco,alpha*fck*(1-(1-AD1228/eco)^n),alpha*fck),0)</f>
      </c>
      <c r="AF1228" s="30">
        <f>PM_Angle!$J$18+PM_Angle!$K$18*$C1228+PM_Angle!$L$18*$B1228</f>
      </c>
      <c r="AG1228" s="12">
        <f>IF(AF1228&gt;0,IF(AF1228&lt;=eco,alpha*fck*(1-(1-AF1228/eco)^n),alpha*fck),0)</f>
      </c>
      <c r="AH1228" s="30">
        <f>PM_Angle!$J$19+PM_Angle!$K$19*$C1228+PM_Angle!$L$19*$B1228</f>
      </c>
      <c r="AI1228" s="12">
        <f>IF(AH1228&gt;0,IF(AH1228&lt;=eco,alpha*fck*(1-(1-AH1228/eco)^n),alpha*fck),0)</f>
      </c>
      <c r="AJ1228" s="30">
        <f>PM_Angle!$J$20+PM_Angle!$K$20*$C1228+PM_Angle!$L$20*$B1228</f>
      </c>
      <c r="AK1228" s="12">
        <f>IF(AJ1228&gt;0,IF(AJ1228&lt;=eco,alpha*fck*(1-(1-AJ1228/eco)^n),alpha*fck),0)</f>
      </c>
      <c r="AL1228" s="30">
        <f>PM_Angle!$J$21+PM_Angle!$K$21*$C1228+PM_Angle!$L$21*$B1228</f>
      </c>
      <c r="AM1228" s="12">
        <f>IF(AL1228&gt;0,IF(AL1228&lt;=eco,alpha*fck*(1-(1-AL1228/eco)^n),alpha*fck),0)</f>
      </c>
      <c r="AN1228" s="30">
        <f>PM_Angle!$J$22+PM_Angle!$K$22*$C1228+PM_Angle!$L$22*$B1228</f>
      </c>
      <c r="AO1228" s="12">
        <f>IF(AN1228&gt;0,IF(AN1228&lt;=eco,alpha*fck*(1-(1-AN1228/eco)^n),alpha*fck),0)</f>
      </c>
      <c r="AP1228" s="30">
        <f>PM_Angle!$J$23+PM_Angle!$K$23*$C1228+PM_Angle!$L$23*$B1228</f>
      </c>
      <c r="AQ1228" s="12">
        <f>IF(AP1228&gt;0,IF(AP1228&lt;=eco,alpha*fck*(1-(1-AP1228/eco)^n),alpha*fck),0)</f>
      </c>
      <c r="AR1228" s="30">
        <f>PM_Angle!$J$24+PM_Angle!$K$24*$C1228+PM_Angle!$L$24*$B1228</f>
      </c>
      <c r="AS1228" s="12">
        <f>IF(AR1228&gt;0,IF(AR1228&lt;=eco,alpha*fck*(1-(1-AR1228/eco)^n),alpha*fck),0)</f>
      </c>
      <c r="AT1228" s="30">
        <f>PM_Angle!$J$25+PM_Angle!$K$25*$C1228+PM_Angle!$L$25*$B1228</f>
      </c>
      <c r="AU1228" s="12">
        <f>IF(AT1228&gt;0,IF(AT1228&lt;=eco,alpha*fck*(1-(1-AT1228/eco)^n),alpha*fck),0)</f>
      </c>
    </row>
    <row r="1229" spans="1:47" x14ac:dyDescent="0.25">
      <c r="A1229">
        <f>Mesh!A1226</f>
      </c>
      <c r="B1229" s="12">
        <f>Mesh!B1226</f>
      </c>
      <c r="C1229" s="12">
        <f>Mesh!C1226</f>
      </c>
      <c r="D1229" s="12">
        <f>Mesh!D1226</f>
      </c>
      <c r="E1229" s="30">
        <f>INDEX(St_e0,Det+1)+INDEX(St_kx,Det+1)*C1229+INDEX(St_ky,Det+1)*B1229</f>
      </c>
      <c r="F1229" s="12">
        <f>IF(E1229&gt;0,IF(E1229&lt;=eco,alpha*fck*(1-(1-E1229/eco)^n),alpha*fck),0)</f>
      </c>
      <c r="G1229" s="11">
        <f>F1229*D1229</f>
      </c>
      <c r="H1229" s="11">
        <f>G1229*C1229</f>
      </c>
      <c r="I1229" s="11">
        <f>G1229*B1229</f>
      </c>
      <c r="J1229" s="30">
        <f>PM_Angle!$J$7+PM_Angle!$K$7*$C1229+PM_Angle!$L$7*$B1229</f>
      </c>
      <c r="K1229" s="12">
        <f>IF(J1229&gt;0,IF(J1229&lt;=eco,alpha*fck*(1-(1-J1229/eco)^n),alpha*fck),0)</f>
      </c>
      <c r="L1229" s="30">
        <f>PM_Angle!$J$8+PM_Angle!$K$8*$C1229+PM_Angle!$L$8*$B1229</f>
      </c>
      <c r="M1229" s="12">
        <f>IF(L1229&gt;0,IF(L1229&lt;=eco,alpha*fck*(1-(1-L1229/eco)^n),alpha*fck),0)</f>
      </c>
      <c r="N1229" s="30">
        <f>PM_Angle!$J$9+PM_Angle!$K$9*$C1229+PM_Angle!$L$9*$B1229</f>
      </c>
      <c r="O1229" s="12">
        <f>IF(N1229&gt;0,IF(N1229&lt;=eco,alpha*fck*(1-(1-N1229/eco)^n),alpha*fck),0)</f>
      </c>
      <c r="P1229" s="30">
        <f>PM_Angle!$J$10+PM_Angle!$K$10*$C1229+PM_Angle!$L$10*$B1229</f>
      </c>
      <c r="Q1229" s="12">
        <f>IF(P1229&gt;0,IF(P1229&lt;=eco,alpha*fck*(1-(1-P1229/eco)^n),alpha*fck),0)</f>
      </c>
      <c r="R1229" s="30">
        <f>PM_Angle!$J$11+PM_Angle!$K$11*$C1229+PM_Angle!$L$11*$B1229</f>
      </c>
      <c r="S1229" s="12">
        <f>IF(R1229&gt;0,IF(R1229&lt;=eco,alpha*fck*(1-(1-R1229/eco)^n),alpha*fck),0)</f>
      </c>
      <c r="T1229" s="30">
        <f>PM_Angle!$J$12+PM_Angle!$K$12*$C1229+PM_Angle!$L$12*$B1229</f>
      </c>
      <c r="U1229" s="12">
        <f>IF(T1229&gt;0,IF(T1229&lt;=eco,alpha*fck*(1-(1-T1229/eco)^n),alpha*fck),0)</f>
      </c>
      <c r="V1229" s="30">
        <f>PM_Angle!$J$13+PM_Angle!$K$13*$C1229+PM_Angle!$L$13*$B1229</f>
      </c>
      <c r="W1229" s="12">
        <f>IF(V1229&gt;0,IF(V1229&lt;=eco,alpha*fck*(1-(1-V1229/eco)^n),alpha*fck),0)</f>
      </c>
      <c r="X1229" s="30">
        <f>PM_Angle!$J$14+PM_Angle!$K$14*$C1229+PM_Angle!$L$14*$B1229</f>
      </c>
      <c r="Y1229" s="12">
        <f>IF(X1229&gt;0,IF(X1229&lt;=eco,alpha*fck*(1-(1-X1229/eco)^n),alpha*fck),0)</f>
      </c>
      <c r="Z1229" s="30">
        <f>PM_Angle!$J$15+PM_Angle!$K$15*$C1229+PM_Angle!$L$15*$B1229</f>
      </c>
      <c r="AA1229" s="12">
        <f>IF(Z1229&gt;0,IF(Z1229&lt;=eco,alpha*fck*(1-(1-Z1229/eco)^n),alpha*fck),0)</f>
      </c>
      <c r="AB1229" s="30">
        <f>PM_Angle!$J$16+PM_Angle!$K$16*$C1229+PM_Angle!$L$16*$B1229</f>
      </c>
      <c r="AC1229" s="12">
        <f>IF(AB1229&gt;0,IF(AB1229&lt;=eco,alpha*fck*(1-(1-AB1229/eco)^n),alpha*fck),0)</f>
      </c>
      <c r="AD1229" s="30">
        <f>PM_Angle!$J$17+PM_Angle!$K$17*$C1229+PM_Angle!$L$17*$B1229</f>
      </c>
      <c r="AE1229" s="12">
        <f>IF(AD1229&gt;0,IF(AD1229&lt;=eco,alpha*fck*(1-(1-AD1229/eco)^n),alpha*fck),0)</f>
      </c>
      <c r="AF1229" s="30">
        <f>PM_Angle!$J$18+PM_Angle!$K$18*$C1229+PM_Angle!$L$18*$B1229</f>
      </c>
      <c r="AG1229" s="12">
        <f>IF(AF1229&gt;0,IF(AF1229&lt;=eco,alpha*fck*(1-(1-AF1229/eco)^n),alpha*fck),0)</f>
      </c>
      <c r="AH1229" s="30">
        <f>PM_Angle!$J$19+PM_Angle!$K$19*$C1229+PM_Angle!$L$19*$B1229</f>
      </c>
      <c r="AI1229" s="12">
        <f>IF(AH1229&gt;0,IF(AH1229&lt;=eco,alpha*fck*(1-(1-AH1229/eco)^n),alpha*fck),0)</f>
      </c>
      <c r="AJ1229" s="30">
        <f>PM_Angle!$J$20+PM_Angle!$K$20*$C1229+PM_Angle!$L$20*$B1229</f>
      </c>
      <c r="AK1229" s="12">
        <f>IF(AJ1229&gt;0,IF(AJ1229&lt;=eco,alpha*fck*(1-(1-AJ1229/eco)^n),alpha*fck),0)</f>
      </c>
      <c r="AL1229" s="30">
        <f>PM_Angle!$J$21+PM_Angle!$K$21*$C1229+PM_Angle!$L$21*$B1229</f>
      </c>
      <c r="AM1229" s="12">
        <f>IF(AL1229&gt;0,IF(AL1229&lt;=eco,alpha*fck*(1-(1-AL1229/eco)^n),alpha*fck),0)</f>
      </c>
      <c r="AN1229" s="30">
        <f>PM_Angle!$J$22+PM_Angle!$K$22*$C1229+PM_Angle!$L$22*$B1229</f>
      </c>
      <c r="AO1229" s="12">
        <f>IF(AN1229&gt;0,IF(AN1229&lt;=eco,alpha*fck*(1-(1-AN1229/eco)^n),alpha*fck),0)</f>
      </c>
      <c r="AP1229" s="30">
        <f>PM_Angle!$J$23+PM_Angle!$K$23*$C1229+PM_Angle!$L$23*$B1229</f>
      </c>
      <c r="AQ1229" s="12">
        <f>IF(AP1229&gt;0,IF(AP1229&lt;=eco,alpha*fck*(1-(1-AP1229/eco)^n),alpha*fck),0)</f>
      </c>
      <c r="AR1229" s="30">
        <f>PM_Angle!$J$24+PM_Angle!$K$24*$C1229+PM_Angle!$L$24*$B1229</f>
      </c>
      <c r="AS1229" s="12">
        <f>IF(AR1229&gt;0,IF(AR1229&lt;=eco,alpha*fck*(1-(1-AR1229/eco)^n),alpha*fck),0)</f>
      </c>
      <c r="AT1229" s="30">
        <f>PM_Angle!$J$25+PM_Angle!$K$25*$C1229+PM_Angle!$L$25*$B1229</f>
      </c>
      <c r="AU1229" s="12">
        <f>IF(AT1229&gt;0,IF(AT1229&lt;=eco,alpha*fck*(1-(1-AT1229/eco)^n),alpha*fck),0)</f>
      </c>
    </row>
    <row r="1230" spans="1:47" x14ac:dyDescent="0.25">
      <c r="A1230">
        <f>Mesh!A1227</f>
      </c>
      <c r="B1230" s="12">
        <f>Mesh!B1227</f>
      </c>
      <c r="C1230" s="12">
        <f>Mesh!C1227</f>
      </c>
      <c r="D1230" s="12">
        <f>Mesh!D1227</f>
      </c>
      <c r="E1230" s="30">
        <f>INDEX(St_e0,Det+1)+INDEX(St_kx,Det+1)*C1230+INDEX(St_ky,Det+1)*B1230</f>
      </c>
      <c r="F1230" s="12">
        <f>IF(E1230&gt;0,IF(E1230&lt;=eco,alpha*fck*(1-(1-E1230/eco)^n),alpha*fck),0)</f>
      </c>
      <c r="G1230" s="11">
        <f>F1230*D1230</f>
      </c>
      <c r="H1230" s="11">
        <f>G1230*C1230</f>
      </c>
      <c r="I1230" s="11">
        <f>G1230*B1230</f>
      </c>
      <c r="J1230" s="30">
        <f>PM_Angle!$J$7+PM_Angle!$K$7*$C1230+PM_Angle!$L$7*$B1230</f>
      </c>
      <c r="K1230" s="12">
        <f>IF(J1230&gt;0,IF(J1230&lt;=eco,alpha*fck*(1-(1-J1230/eco)^n),alpha*fck),0)</f>
      </c>
      <c r="L1230" s="30">
        <f>PM_Angle!$J$8+PM_Angle!$K$8*$C1230+PM_Angle!$L$8*$B1230</f>
      </c>
      <c r="M1230" s="12">
        <f>IF(L1230&gt;0,IF(L1230&lt;=eco,alpha*fck*(1-(1-L1230/eco)^n),alpha*fck),0)</f>
      </c>
      <c r="N1230" s="30">
        <f>PM_Angle!$J$9+PM_Angle!$K$9*$C1230+PM_Angle!$L$9*$B1230</f>
      </c>
      <c r="O1230" s="12">
        <f>IF(N1230&gt;0,IF(N1230&lt;=eco,alpha*fck*(1-(1-N1230/eco)^n),alpha*fck),0)</f>
      </c>
      <c r="P1230" s="30">
        <f>PM_Angle!$J$10+PM_Angle!$K$10*$C1230+PM_Angle!$L$10*$B1230</f>
      </c>
      <c r="Q1230" s="12">
        <f>IF(P1230&gt;0,IF(P1230&lt;=eco,alpha*fck*(1-(1-P1230/eco)^n),alpha*fck),0)</f>
      </c>
      <c r="R1230" s="30">
        <f>PM_Angle!$J$11+PM_Angle!$K$11*$C1230+PM_Angle!$L$11*$B1230</f>
      </c>
      <c r="S1230" s="12">
        <f>IF(R1230&gt;0,IF(R1230&lt;=eco,alpha*fck*(1-(1-R1230/eco)^n),alpha*fck),0)</f>
      </c>
      <c r="T1230" s="30">
        <f>PM_Angle!$J$12+PM_Angle!$K$12*$C1230+PM_Angle!$L$12*$B1230</f>
      </c>
      <c r="U1230" s="12">
        <f>IF(T1230&gt;0,IF(T1230&lt;=eco,alpha*fck*(1-(1-T1230/eco)^n),alpha*fck),0)</f>
      </c>
      <c r="V1230" s="30">
        <f>PM_Angle!$J$13+PM_Angle!$K$13*$C1230+PM_Angle!$L$13*$B1230</f>
      </c>
      <c r="W1230" s="12">
        <f>IF(V1230&gt;0,IF(V1230&lt;=eco,alpha*fck*(1-(1-V1230/eco)^n),alpha*fck),0)</f>
      </c>
      <c r="X1230" s="30">
        <f>PM_Angle!$J$14+PM_Angle!$K$14*$C1230+PM_Angle!$L$14*$B1230</f>
      </c>
      <c r="Y1230" s="12">
        <f>IF(X1230&gt;0,IF(X1230&lt;=eco,alpha*fck*(1-(1-X1230/eco)^n),alpha*fck),0)</f>
      </c>
      <c r="Z1230" s="30">
        <f>PM_Angle!$J$15+PM_Angle!$K$15*$C1230+PM_Angle!$L$15*$B1230</f>
      </c>
      <c r="AA1230" s="12">
        <f>IF(Z1230&gt;0,IF(Z1230&lt;=eco,alpha*fck*(1-(1-Z1230/eco)^n),alpha*fck),0)</f>
      </c>
      <c r="AB1230" s="30">
        <f>PM_Angle!$J$16+PM_Angle!$K$16*$C1230+PM_Angle!$L$16*$B1230</f>
      </c>
      <c r="AC1230" s="12">
        <f>IF(AB1230&gt;0,IF(AB1230&lt;=eco,alpha*fck*(1-(1-AB1230/eco)^n),alpha*fck),0)</f>
      </c>
      <c r="AD1230" s="30">
        <f>PM_Angle!$J$17+PM_Angle!$K$17*$C1230+PM_Angle!$L$17*$B1230</f>
      </c>
      <c r="AE1230" s="12">
        <f>IF(AD1230&gt;0,IF(AD1230&lt;=eco,alpha*fck*(1-(1-AD1230/eco)^n),alpha*fck),0)</f>
      </c>
      <c r="AF1230" s="30">
        <f>PM_Angle!$J$18+PM_Angle!$K$18*$C1230+PM_Angle!$L$18*$B1230</f>
      </c>
      <c r="AG1230" s="12">
        <f>IF(AF1230&gt;0,IF(AF1230&lt;=eco,alpha*fck*(1-(1-AF1230/eco)^n),alpha*fck),0)</f>
      </c>
      <c r="AH1230" s="30">
        <f>PM_Angle!$J$19+PM_Angle!$K$19*$C1230+PM_Angle!$L$19*$B1230</f>
      </c>
      <c r="AI1230" s="12">
        <f>IF(AH1230&gt;0,IF(AH1230&lt;=eco,alpha*fck*(1-(1-AH1230/eco)^n),alpha*fck),0)</f>
      </c>
      <c r="AJ1230" s="30">
        <f>PM_Angle!$J$20+PM_Angle!$K$20*$C1230+PM_Angle!$L$20*$B1230</f>
      </c>
      <c r="AK1230" s="12">
        <f>IF(AJ1230&gt;0,IF(AJ1230&lt;=eco,alpha*fck*(1-(1-AJ1230/eco)^n),alpha*fck),0)</f>
      </c>
      <c r="AL1230" s="30">
        <f>PM_Angle!$J$21+PM_Angle!$K$21*$C1230+PM_Angle!$L$21*$B1230</f>
      </c>
      <c r="AM1230" s="12">
        <f>IF(AL1230&gt;0,IF(AL1230&lt;=eco,alpha*fck*(1-(1-AL1230/eco)^n),alpha*fck),0)</f>
      </c>
      <c r="AN1230" s="30">
        <f>PM_Angle!$J$22+PM_Angle!$K$22*$C1230+PM_Angle!$L$22*$B1230</f>
      </c>
      <c r="AO1230" s="12">
        <f>IF(AN1230&gt;0,IF(AN1230&lt;=eco,alpha*fck*(1-(1-AN1230/eco)^n),alpha*fck),0)</f>
      </c>
      <c r="AP1230" s="30">
        <f>PM_Angle!$J$23+PM_Angle!$K$23*$C1230+PM_Angle!$L$23*$B1230</f>
      </c>
      <c r="AQ1230" s="12">
        <f>IF(AP1230&gt;0,IF(AP1230&lt;=eco,alpha*fck*(1-(1-AP1230/eco)^n),alpha*fck),0)</f>
      </c>
      <c r="AR1230" s="30">
        <f>PM_Angle!$J$24+PM_Angle!$K$24*$C1230+PM_Angle!$L$24*$B1230</f>
      </c>
      <c r="AS1230" s="12">
        <f>IF(AR1230&gt;0,IF(AR1230&lt;=eco,alpha*fck*(1-(1-AR1230/eco)^n),alpha*fck),0)</f>
      </c>
      <c r="AT1230" s="30">
        <f>PM_Angle!$J$25+PM_Angle!$K$25*$C1230+PM_Angle!$L$25*$B1230</f>
      </c>
      <c r="AU1230" s="12">
        <f>IF(AT1230&gt;0,IF(AT1230&lt;=eco,alpha*fck*(1-(1-AT1230/eco)^n),alpha*fck),0)</f>
      </c>
    </row>
    <row r="1231" spans="1:47" x14ac:dyDescent="0.25">
      <c r="A1231">
        <f>Mesh!A1228</f>
      </c>
      <c r="B1231" s="12">
        <f>Mesh!B1228</f>
      </c>
      <c r="C1231" s="12">
        <f>Mesh!C1228</f>
      </c>
      <c r="D1231" s="12">
        <f>Mesh!D1228</f>
      </c>
      <c r="E1231" s="30">
        <f>INDEX(St_e0,Det+1)+INDEX(St_kx,Det+1)*C1231+INDEX(St_ky,Det+1)*B1231</f>
      </c>
      <c r="F1231" s="12">
        <f>IF(E1231&gt;0,IF(E1231&lt;=eco,alpha*fck*(1-(1-E1231/eco)^n),alpha*fck),0)</f>
      </c>
      <c r="G1231" s="11">
        <f>F1231*D1231</f>
      </c>
      <c r="H1231" s="11">
        <f>G1231*C1231</f>
      </c>
      <c r="I1231" s="11">
        <f>G1231*B1231</f>
      </c>
      <c r="J1231" s="30">
        <f>PM_Angle!$J$7+PM_Angle!$K$7*$C1231+PM_Angle!$L$7*$B1231</f>
      </c>
      <c r="K1231" s="12">
        <f>IF(J1231&gt;0,IF(J1231&lt;=eco,alpha*fck*(1-(1-J1231/eco)^n),alpha*fck),0)</f>
      </c>
      <c r="L1231" s="30">
        <f>PM_Angle!$J$8+PM_Angle!$K$8*$C1231+PM_Angle!$L$8*$B1231</f>
      </c>
      <c r="M1231" s="12">
        <f>IF(L1231&gt;0,IF(L1231&lt;=eco,alpha*fck*(1-(1-L1231/eco)^n),alpha*fck),0)</f>
      </c>
      <c r="N1231" s="30">
        <f>PM_Angle!$J$9+PM_Angle!$K$9*$C1231+PM_Angle!$L$9*$B1231</f>
      </c>
      <c r="O1231" s="12">
        <f>IF(N1231&gt;0,IF(N1231&lt;=eco,alpha*fck*(1-(1-N1231/eco)^n),alpha*fck),0)</f>
      </c>
      <c r="P1231" s="30">
        <f>PM_Angle!$J$10+PM_Angle!$K$10*$C1231+PM_Angle!$L$10*$B1231</f>
      </c>
      <c r="Q1231" s="12">
        <f>IF(P1231&gt;0,IF(P1231&lt;=eco,alpha*fck*(1-(1-P1231/eco)^n),alpha*fck),0)</f>
      </c>
      <c r="R1231" s="30">
        <f>PM_Angle!$J$11+PM_Angle!$K$11*$C1231+PM_Angle!$L$11*$B1231</f>
      </c>
      <c r="S1231" s="12">
        <f>IF(R1231&gt;0,IF(R1231&lt;=eco,alpha*fck*(1-(1-R1231/eco)^n),alpha*fck),0)</f>
      </c>
      <c r="T1231" s="30">
        <f>PM_Angle!$J$12+PM_Angle!$K$12*$C1231+PM_Angle!$L$12*$B1231</f>
      </c>
      <c r="U1231" s="12">
        <f>IF(T1231&gt;0,IF(T1231&lt;=eco,alpha*fck*(1-(1-T1231/eco)^n),alpha*fck),0)</f>
      </c>
      <c r="V1231" s="30">
        <f>PM_Angle!$J$13+PM_Angle!$K$13*$C1231+PM_Angle!$L$13*$B1231</f>
      </c>
      <c r="W1231" s="12">
        <f>IF(V1231&gt;0,IF(V1231&lt;=eco,alpha*fck*(1-(1-V1231/eco)^n),alpha*fck),0)</f>
      </c>
      <c r="X1231" s="30">
        <f>PM_Angle!$J$14+PM_Angle!$K$14*$C1231+PM_Angle!$L$14*$B1231</f>
      </c>
      <c r="Y1231" s="12">
        <f>IF(X1231&gt;0,IF(X1231&lt;=eco,alpha*fck*(1-(1-X1231/eco)^n),alpha*fck),0)</f>
      </c>
      <c r="Z1231" s="30">
        <f>PM_Angle!$J$15+PM_Angle!$K$15*$C1231+PM_Angle!$L$15*$B1231</f>
      </c>
      <c r="AA1231" s="12">
        <f>IF(Z1231&gt;0,IF(Z1231&lt;=eco,alpha*fck*(1-(1-Z1231/eco)^n),alpha*fck),0)</f>
      </c>
      <c r="AB1231" s="30">
        <f>PM_Angle!$J$16+PM_Angle!$K$16*$C1231+PM_Angle!$L$16*$B1231</f>
      </c>
      <c r="AC1231" s="12">
        <f>IF(AB1231&gt;0,IF(AB1231&lt;=eco,alpha*fck*(1-(1-AB1231/eco)^n),alpha*fck),0)</f>
      </c>
      <c r="AD1231" s="30">
        <f>PM_Angle!$J$17+PM_Angle!$K$17*$C1231+PM_Angle!$L$17*$B1231</f>
      </c>
      <c r="AE1231" s="12">
        <f>IF(AD1231&gt;0,IF(AD1231&lt;=eco,alpha*fck*(1-(1-AD1231/eco)^n),alpha*fck),0)</f>
      </c>
      <c r="AF1231" s="30">
        <f>PM_Angle!$J$18+PM_Angle!$K$18*$C1231+PM_Angle!$L$18*$B1231</f>
      </c>
      <c r="AG1231" s="12">
        <f>IF(AF1231&gt;0,IF(AF1231&lt;=eco,alpha*fck*(1-(1-AF1231/eco)^n),alpha*fck),0)</f>
      </c>
      <c r="AH1231" s="30">
        <f>PM_Angle!$J$19+PM_Angle!$K$19*$C1231+PM_Angle!$L$19*$B1231</f>
      </c>
      <c r="AI1231" s="12">
        <f>IF(AH1231&gt;0,IF(AH1231&lt;=eco,alpha*fck*(1-(1-AH1231/eco)^n),alpha*fck),0)</f>
      </c>
      <c r="AJ1231" s="30">
        <f>PM_Angle!$J$20+PM_Angle!$K$20*$C1231+PM_Angle!$L$20*$B1231</f>
      </c>
      <c r="AK1231" s="12">
        <f>IF(AJ1231&gt;0,IF(AJ1231&lt;=eco,alpha*fck*(1-(1-AJ1231/eco)^n),alpha*fck),0)</f>
      </c>
      <c r="AL1231" s="30">
        <f>PM_Angle!$J$21+PM_Angle!$K$21*$C1231+PM_Angle!$L$21*$B1231</f>
      </c>
      <c r="AM1231" s="12">
        <f>IF(AL1231&gt;0,IF(AL1231&lt;=eco,alpha*fck*(1-(1-AL1231/eco)^n),alpha*fck),0)</f>
      </c>
      <c r="AN1231" s="30">
        <f>PM_Angle!$J$22+PM_Angle!$K$22*$C1231+PM_Angle!$L$22*$B1231</f>
      </c>
      <c r="AO1231" s="12">
        <f>IF(AN1231&gt;0,IF(AN1231&lt;=eco,alpha*fck*(1-(1-AN1231/eco)^n),alpha*fck),0)</f>
      </c>
      <c r="AP1231" s="30">
        <f>PM_Angle!$J$23+PM_Angle!$K$23*$C1231+PM_Angle!$L$23*$B1231</f>
      </c>
      <c r="AQ1231" s="12">
        <f>IF(AP1231&gt;0,IF(AP1231&lt;=eco,alpha*fck*(1-(1-AP1231/eco)^n),alpha*fck),0)</f>
      </c>
      <c r="AR1231" s="30">
        <f>PM_Angle!$J$24+PM_Angle!$K$24*$C1231+PM_Angle!$L$24*$B1231</f>
      </c>
      <c r="AS1231" s="12">
        <f>IF(AR1231&gt;0,IF(AR1231&lt;=eco,alpha*fck*(1-(1-AR1231/eco)^n),alpha*fck),0)</f>
      </c>
      <c r="AT1231" s="30">
        <f>PM_Angle!$J$25+PM_Angle!$K$25*$C1231+PM_Angle!$L$25*$B1231</f>
      </c>
      <c r="AU1231" s="12">
        <f>IF(AT1231&gt;0,IF(AT1231&lt;=eco,alpha*fck*(1-(1-AT1231/eco)^n),alpha*fck),0)</f>
      </c>
    </row>
    <row r="1232" spans="1:47" x14ac:dyDescent="0.25">
      <c r="A1232">
        <f>Mesh!A1229</f>
      </c>
      <c r="B1232" s="12">
        <f>Mesh!B1229</f>
      </c>
      <c r="C1232" s="12">
        <f>Mesh!C1229</f>
      </c>
      <c r="D1232" s="12">
        <f>Mesh!D1229</f>
      </c>
      <c r="E1232" s="30">
        <f>INDEX(St_e0,Det+1)+INDEX(St_kx,Det+1)*C1232+INDEX(St_ky,Det+1)*B1232</f>
      </c>
      <c r="F1232" s="12">
        <f>IF(E1232&gt;0,IF(E1232&lt;=eco,alpha*fck*(1-(1-E1232/eco)^n),alpha*fck),0)</f>
      </c>
      <c r="G1232" s="11">
        <f>F1232*D1232</f>
      </c>
      <c r="H1232" s="11">
        <f>G1232*C1232</f>
      </c>
      <c r="I1232" s="11">
        <f>G1232*B1232</f>
      </c>
      <c r="J1232" s="30">
        <f>PM_Angle!$J$7+PM_Angle!$K$7*$C1232+PM_Angle!$L$7*$B1232</f>
      </c>
      <c r="K1232" s="12">
        <f>IF(J1232&gt;0,IF(J1232&lt;=eco,alpha*fck*(1-(1-J1232/eco)^n),alpha*fck),0)</f>
      </c>
      <c r="L1232" s="30">
        <f>PM_Angle!$J$8+PM_Angle!$K$8*$C1232+PM_Angle!$L$8*$B1232</f>
      </c>
      <c r="M1232" s="12">
        <f>IF(L1232&gt;0,IF(L1232&lt;=eco,alpha*fck*(1-(1-L1232/eco)^n),alpha*fck),0)</f>
      </c>
      <c r="N1232" s="30">
        <f>PM_Angle!$J$9+PM_Angle!$K$9*$C1232+PM_Angle!$L$9*$B1232</f>
      </c>
      <c r="O1232" s="12">
        <f>IF(N1232&gt;0,IF(N1232&lt;=eco,alpha*fck*(1-(1-N1232/eco)^n),alpha*fck),0)</f>
      </c>
      <c r="P1232" s="30">
        <f>PM_Angle!$J$10+PM_Angle!$K$10*$C1232+PM_Angle!$L$10*$B1232</f>
      </c>
      <c r="Q1232" s="12">
        <f>IF(P1232&gt;0,IF(P1232&lt;=eco,alpha*fck*(1-(1-P1232/eco)^n),alpha*fck),0)</f>
      </c>
      <c r="R1232" s="30">
        <f>PM_Angle!$J$11+PM_Angle!$K$11*$C1232+PM_Angle!$L$11*$B1232</f>
      </c>
      <c r="S1232" s="12">
        <f>IF(R1232&gt;0,IF(R1232&lt;=eco,alpha*fck*(1-(1-R1232/eco)^n),alpha*fck),0)</f>
      </c>
      <c r="T1232" s="30">
        <f>PM_Angle!$J$12+PM_Angle!$K$12*$C1232+PM_Angle!$L$12*$B1232</f>
      </c>
      <c r="U1232" s="12">
        <f>IF(T1232&gt;0,IF(T1232&lt;=eco,alpha*fck*(1-(1-T1232/eco)^n),alpha*fck),0)</f>
      </c>
      <c r="V1232" s="30">
        <f>PM_Angle!$J$13+PM_Angle!$K$13*$C1232+PM_Angle!$L$13*$B1232</f>
      </c>
      <c r="W1232" s="12">
        <f>IF(V1232&gt;0,IF(V1232&lt;=eco,alpha*fck*(1-(1-V1232/eco)^n),alpha*fck),0)</f>
      </c>
      <c r="X1232" s="30">
        <f>PM_Angle!$J$14+PM_Angle!$K$14*$C1232+PM_Angle!$L$14*$B1232</f>
      </c>
      <c r="Y1232" s="12">
        <f>IF(X1232&gt;0,IF(X1232&lt;=eco,alpha*fck*(1-(1-X1232/eco)^n),alpha*fck),0)</f>
      </c>
      <c r="Z1232" s="30">
        <f>PM_Angle!$J$15+PM_Angle!$K$15*$C1232+PM_Angle!$L$15*$B1232</f>
      </c>
      <c r="AA1232" s="12">
        <f>IF(Z1232&gt;0,IF(Z1232&lt;=eco,alpha*fck*(1-(1-Z1232/eco)^n),alpha*fck),0)</f>
      </c>
      <c r="AB1232" s="30">
        <f>PM_Angle!$J$16+PM_Angle!$K$16*$C1232+PM_Angle!$L$16*$B1232</f>
      </c>
      <c r="AC1232" s="12">
        <f>IF(AB1232&gt;0,IF(AB1232&lt;=eco,alpha*fck*(1-(1-AB1232/eco)^n),alpha*fck),0)</f>
      </c>
      <c r="AD1232" s="30">
        <f>PM_Angle!$J$17+PM_Angle!$K$17*$C1232+PM_Angle!$L$17*$B1232</f>
      </c>
      <c r="AE1232" s="12">
        <f>IF(AD1232&gt;0,IF(AD1232&lt;=eco,alpha*fck*(1-(1-AD1232/eco)^n),alpha*fck),0)</f>
      </c>
      <c r="AF1232" s="30">
        <f>PM_Angle!$J$18+PM_Angle!$K$18*$C1232+PM_Angle!$L$18*$B1232</f>
      </c>
      <c r="AG1232" s="12">
        <f>IF(AF1232&gt;0,IF(AF1232&lt;=eco,alpha*fck*(1-(1-AF1232/eco)^n),alpha*fck),0)</f>
      </c>
      <c r="AH1232" s="30">
        <f>PM_Angle!$J$19+PM_Angle!$K$19*$C1232+PM_Angle!$L$19*$B1232</f>
      </c>
      <c r="AI1232" s="12">
        <f>IF(AH1232&gt;0,IF(AH1232&lt;=eco,alpha*fck*(1-(1-AH1232/eco)^n),alpha*fck),0)</f>
      </c>
      <c r="AJ1232" s="30">
        <f>PM_Angle!$J$20+PM_Angle!$K$20*$C1232+PM_Angle!$L$20*$B1232</f>
      </c>
      <c r="AK1232" s="12">
        <f>IF(AJ1232&gt;0,IF(AJ1232&lt;=eco,alpha*fck*(1-(1-AJ1232/eco)^n),alpha*fck),0)</f>
      </c>
      <c r="AL1232" s="30">
        <f>PM_Angle!$J$21+PM_Angle!$K$21*$C1232+PM_Angle!$L$21*$B1232</f>
      </c>
      <c r="AM1232" s="12">
        <f>IF(AL1232&gt;0,IF(AL1232&lt;=eco,alpha*fck*(1-(1-AL1232/eco)^n),alpha*fck),0)</f>
      </c>
      <c r="AN1232" s="30">
        <f>PM_Angle!$J$22+PM_Angle!$K$22*$C1232+PM_Angle!$L$22*$B1232</f>
      </c>
      <c r="AO1232" s="12">
        <f>IF(AN1232&gt;0,IF(AN1232&lt;=eco,alpha*fck*(1-(1-AN1232/eco)^n),alpha*fck),0)</f>
      </c>
      <c r="AP1232" s="30">
        <f>PM_Angle!$J$23+PM_Angle!$K$23*$C1232+PM_Angle!$L$23*$B1232</f>
      </c>
      <c r="AQ1232" s="12">
        <f>IF(AP1232&gt;0,IF(AP1232&lt;=eco,alpha*fck*(1-(1-AP1232/eco)^n),alpha*fck),0)</f>
      </c>
      <c r="AR1232" s="30">
        <f>PM_Angle!$J$24+PM_Angle!$K$24*$C1232+PM_Angle!$L$24*$B1232</f>
      </c>
      <c r="AS1232" s="12">
        <f>IF(AR1232&gt;0,IF(AR1232&lt;=eco,alpha*fck*(1-(1-AR1232/eco)^n),alpha*fck),0)</f>
      </c>
      <c r="AT1232" s="30">
        <f>PM_Angle!$J$25+PM_Angle!$K$25*$C1232+PM_Angle!$L$25*$B1232</f>
      </c>
      <c r="AU1232" s="12">
        <f>IF(AT1232&gt;0,IF(AT1232&lt;=eco,alpha*fck*(1-(1-AT1232/eco)^n),alpha*fck),0)</f>
      </c>
    </row>
    <row r="1233" spans="1:47" x14ac:dyDescent="0.25">
      <c r="A1233">
        <f>Mesh!A1230</f>
      </c>
      <c r="B1233" s="12">
        <f>Mesh!B1230</f>
      </c>
      <c r="C1233" s="12">
        <f>Mesh!C1230</f>
      </c>
      <c r="D1233" s="12">
        <f>Mesh!D1230</f>
      </c>
      <c r="E1233" s="30">
        <f>INDEX(St_e0,Det+1)+INDEX(St_kx,Det+1)*C1233+INDEX(St_ky,Det+1)*B1233</f>
      </c>
      <c r="F1233" s="12">
        <f>IF(E1233&gt;0,IF(E1233&lt;=eco,alpha*fck*(1-(1-E1233/eco)^n),alpha*fck),0)</f>
      </c>
      <c r="G1233" s="11">
        <f>F1233*D1233</f>
      </c>
      <c r="H1233" s="11">
        <f>G1233*C1233</f>
      </c>
      <c r="I1233" s="11">
        <f>G1233*B1233</f>
      </c>
      <c r="J1233" s="30">
        <f>PM_Angle!$J$7+PM_Angle!$K$7*$C1233+PM_Angle!$L$7*$B1233</f>
      </c>
      <c r="K1233" s="12">
        <f>IF(J1233&gt;0,IF(J1233&lt;=eco,alpha*fck*(1-(1-J1233/eco)^n),alpha*fck),0)</f>
      </c>
      <c r="L1233" s="30">
        <f>PM_Angle!$J$8+PM_Angle!$K$8*$C1233+PM_Angle!$L$8*$B1233</f>
      </c>
      <c r="M1233" s="12">
        <f>IF(L1233&gt;0,IF(L1233&lt;=eco,alpha*fck*(1-(1-L1233/eco)^n),alpha*fck),0)</f>
      </c>
      <c r="N1233" s="30">
        <f>PM_Angle!$J$9+PM_Angle!$K$9*$C1233+PM_Angle!$L$9*$B1233</f>
      </c>
      <c r="O1233" s="12">
        <f>IF(N1233&gt;0,IF(N1233&lt;=eco,alpha*fck*(1-(1-N1233/eco)^n),alpha*fck),0)</f>
      </c>
      <c r="P1233" s="30">
        <f>PM_Angle!$J$10+PM_Angle!$K$10*$C1233+PM_Angle!$L$10*$B1233</f>
      </c>
      <c r="Q1233" s="12">
        <f>IF(P1233&gt;0,IF(P1233&lt;=eco,alpha*fck*(1-(1-P1233/eco)^n),alpha*fck),0)</f>
      </c>
      <c r="R1233" s="30">
        <f>PM_Angle!$J$11+PM_Angle!$K$11*$C1233+PM_Angle!$L$11*$B1233</f>
      </c>
      <c r="S1233" s="12">
        <f>IF(R1233&gt;0,IF(R1233&lt;=eco,alpha*fck*(1-(1-R1233/eco)^n),alpha*fck),0)</f>
      </c>
      <c r="T1233" s="30">
        <f>PM_Angle!$J$12+PM_Angle!$K$12*$C1233+PM_Angle!$L$12*$B1233</f>
      </c>
      <c r="U1233" s="12">
        <f>IF(T1233&gt;0,IF(T1233&lt;=eco,alpha*fck*(1-(1-T1233/eco)^n),alpha*fck),0)</f>
      </c>
      <c r="V1233" s="30">
        <f>PM_Angle!$J$13+PM_Angle!$K$13*$C1233+PM_Angle!$L$13*$B1233</f>
      </c>
      <c r="W1233" s="12">
        <f>IF(V1233&gt;0,IF(V1233&lt;=eco,alpha*fck*(1-(1-V1233/eco)^n),alpha*fck),0)</f>
      </c>
      <c r="X1233" s="30">
        <f>PM_Angle!$J$14+PM_Angle!$K$14*$C1233+PM_Angle!$L$14*$B1233</f>
      </c>
      <c r="Y1233" s="12">
        <f>IF(X1233&gt;0,IF(X1233&lt;=eco,alpha*fck*(1-(1-X1233/eco)^n),alpha*fck),0)</f>
      </c>
      <c r="Z1233" s="30">
        <f>PM_Angle!$J$15+PM_Angle!$K$15*$C1233+PM_Angle!$L$15*$B1233</f>
      </c>
      <c r="AA1233" s="12">
        <f>IF(Z1233&gt;0,IF(Z1233&lt;=eco,alpha*fck*(1-(1-Z1233/eco)^n),alpha*fck),0)</f>
      </c>
      <c r="AB1233" s="30">
        <f>PM_Angle!$J$16+PM_Angle!$K$16*$C1233+PM_Angle!$L$16*$B1233</f>
      </c>
      <c r="AC1233" s="12">
        <f>IF(AB1233&gt;0,IF(AB1233&lt;=eco,alpha*fck*(1-(1-AB1233/eco)^n),alpha*fck),0)</f>
      </c>
      <c r="AD1233" s="30">
        <f>PM_Angle!$J$17+PM_Angle!$K$17*$C1233+PM_Angle!$L$17*$B1233</f>
      </c>
      <c r="AE1233" s="12">
        <f>IF(AD1233&gt;0,IF(AD1233&lt;=eco,alpha*fck*(1-(1-AD1233/eco)^n),alpha*fck),0)</f>
      </c>
      <c r="AF1233" s="30">
        <f>PM_Angle!$J$18+PM_Angle!$K$18*$C1233+PM_Angle!$L$18*$B1233</f>
      </c>
      <c r="AG1233" s="12">
        <f>IF(AF1233&gt;0,IF(AF1233&lt;=eco,alpha*fck*(1-(1-AF1233/eco)^n),alpha*fck),0)</f>
      </c>
      <c r="AH1233" s="30">
        <f>PM_Angle!$J$19+PM_Angle!$K$19*$C1233+PM_Angle!$L$19*$B1233</f>
      </c>
      <c r="AI1233" s="12">
        <f>IF(AH1233&gt;0,IF(AH1233&lt;=eco,alpha*fck*(1-(1-AH1233/eco)^n),alpha*fck),0)</f>
      </c>
      <c r="AJ1233" s="30">
        <f>PM_Angle!$J$20+PM_Angle!$K$20*$C1233+PM_Angle!$L$20*$B1233</f>
      </c>
      <c r="AK1233" s="12">
        <f>IF(AJ1233&gt;0,IF(AJ1233&lt;=eco,alpha*fck*(1-(1-AJ1233/eco)^n),alpha*fck),0)</f>
      </c>
      <c r="AL1233" s="30">
        <f>PM_Angle!$J$21+PM_Angle!$K$21*$C1233+PM_Angle!$L$21*$B1233</f>
      </c>
      <c r="AM1233" s="12">
        <f>IF(AL1233&gt;0,IF(AL1233&lt;=eco,alpha*fck*(1-(1-AL1233/eco)^n),alpha*fck),0)</f>
      </c>
      <c r="AN1233" s="30">
        <f>PM_Angle!$J$22+PM_Angle!$K$22*$C1233+PM_Angle!$L$22*$B1233</f>
      </c>
      <c r="AO1233" s="12">
        <f>IF(AN1233&gt;0,IF(AN1233&lt;=eco,alpha*fck*(1-(1-AN1233/eco)^n),alpha*fck),0)</f>
      </c>
      <c r="AP1233" s="30">
        <f>PM_Angle!$J$23+PM_Angle!$K$23*$C1233+PM_Angle!$L$23*$B1233</f>
      </c>
      <c r="AQ1233" s="12">
        <f>IF(AP1233&gt;0,IF(AP1233&lt;=eco,alpha*fck*(1-(1-AP1233/eco)^n),alpha*fck),0)</f>
      </c>
      <c r="AR1233" s="30">
        <f>PM_Angle!$J$24+PM_Angle!$K$24*$C1233+PM_Angle!$L$24*$B1233</f>
      </c>
      <c r="AS1233" s="12">
        <f>IF(AR1233&gt;0,IF(AR1233&lt;=eco,alpha*fck*(1-(1-AR1233/eco)^n),alpha*fck),0)</f>
      </c>
      <c r="AT1233" s="30">
        <f>PM_Angle!$J$25+PM_Angle!$K$25*$C1233+PM_Angle!$L$25*$B1233</f>
      </c>
      <c r="AU1233" s="12">
        <f>IF(AT1233&gt;0,IF(AT1233&lt;=eco,alpha*fck*(1-(1-AT1233/eco)^n),alpha*fck),0)</f>
      </c>
    </row>
    <row r="1234" spans="1:47" x14ac:dyDescent="0.25">
      <c r="A1234">
        <f>Mesh!A1231</f>
      </c>
      <c r="B1234" s="12">
        <f>Mesh!B1231</f>
      </c>
      <c r="C1234" s="12">
        <f>Mesh!C1231</f>
      </c>
      <c r="D1234" s="12">
        <f>Mesh!D1231</f>
      </c>
      <c r="E1234" s="30">
        <f>INDEX(St_e0,Det+1)+INDEX(St_kx,Det+1)*C1234+INDEX(St_ky,Det+1)*B1234</f>
      </c>
      <c r="F1234" s="12">
        <f>IF(E1234&gt;0,IF(E1234&lt;=eco,alpha*fck*(1-(1-E1234/eco)^n),alpha*fck),0)</f>
      </c>
      <c r="G1234" s="11">
        <f>F1234*D1234</f>
      </c>
      <c r="H1234" s="11">
        <f>G1234*C1234</f>
      </c>
      <c r="I1234" s="11">
        <f>G1234*B1234</f>
      </c>
      <c r="J1234" s="30">
        <f>PM_Angle!$J$7+PM_Angle!$K$7*$C1234+PM_Angle!$L$7*$B1234</f>
      </c>
      <c r="K1234" s="12">
        <f>IF(J1234&gt;0,IF(J1234&lt;=eco,alpha*fck*(1-(1-J1234/eco)^n),alpha*fck),0)</f>
      </c>
      <c r="L1234" s="30">
        <f>PM_Angle!$J$8+PM_Angle!$K$8*$C1234+PM_Angle!$L$8*$B1234</f>
      </c>
      <c r="M1234" s="12">
        <f>IF(L1234&gt;0,IF(L1234&lt;=eco,alpha*fck*(1-(1-L1234/eco)^n),alpha*fck),0)</f>
      </c>
      <c r="N1234" s="30">
        <f>PM_Angle!$J$9+PM_Angle!$K$9*$C1234+PM_Angle!$L$9*$B1234</f>
      </c>
      <c r="O1234" s="12">
        <f>IF(N1234&gt;0,IF(N1234&lt;=eco,alpha*fck*(1-(1-N1234/eco)^n),alpha*fck),0)</f>
      </c>
      <c r="P1234" s="30">
        <f>PM_Angle!$J$10+PM_Angle!$K$10*$C1234+PM_Angle!$L$10*$B1234</f>
      </c>
      <c r="Q1234" s="12">
        <f>IF(P1234&gt;0,IF(P1234&lt;=eco,alpha*fck*(1-(1-P1234/eco)^n),alpha*fck),0)</f>
      </c>
      <c r="R1234" s="30">
        <f>PM_Angle!$J$11+PM_Angle!$K$11*$C1234+PM_Angle!$L$11*$B1234</f>
      </c>
      <c r="S1234" s="12">
        <f>IF(R1234&gt;0,IF(R1234&lt;=eco,alpha*fck*(1-(1-R1234/eco)^n),alpha*fck),0)</f>
      </c>
      <c r="T1234" s="30">
        <f>PM_Angle!$J$12+PM_Angle!$K$12*$C1234+PM_Angle!$L$12*$B1234</f>
      </c>
      <c r="U1234" s="12">
        <f>IF(T1234&gt;0,IF(T1234&lt;=eco,alpha*fck*(1-(1-T1234/eco)^n),alpha*fck),0)</f>
      </c>
      <c r="V1234" s="30">
        <f>PM_Angle!$J$13+PM_Angle!$K$13*$C1234+PM_Angle!$L$13*$B1234</f>
      </c>
      <c r="W1234" s="12">
        <f>IF(V1234&gt;0,IF(V1234&lt;=eco,alpha*fck*(1-(1-V1234/eco)^n),alpha*fck),0)</f>
      </c>
      <c r="X1234" s="30">
        <f>PM_Angle!$J$14+PM_Angle!$K$14*$C1234+PM_Angle!$L$14*$B1234</f>
      </c>
      <c r="Y1234" s="12">
        <f>IF(X1234&gt;0,IF(X1234&lt;=eco,alpha*fck*(1-(1-X1234/eco)^n),alpha*fck),0)</f>
      </c>
      <c r="Z1234" s="30">
        <f>PM_Angle!$J$15+PM_Angle!$K$15*$C1234+PM_Angle!$L$15*$B1234</f>
      </c>
      <c r="AA1234" s="12">
        <f>IF(Z1234&gt;0,IF(Z1234&lt;=eco,alpha*fck*(1-(1-Z1234/eco)^n),alpha*fck),0)</f>
      </c>
      <c r="AB1234" s="30">
        <f>PM_Angle!$J$16+PM_Angle!$K$16*$C1234+PM_Angle!$L$16*$B1234</f>
      </c>
      <c r="AC1234" s="12">
        <f>IF(AB1234&gt;0,IF(AB1234&lt;=eco,alpha*fck*(1-(1-AB1234/eco)^n),alpha*fck),0)</f>
      </c>
      <c r="AD1234" s="30">
        <f>PM_Angle!$J$17+PM_Angle!$K$17*$C1234+PM_Angle!$L$17*$B1234</f>
      </c>
      <c r="AE1234" s="12">
        <f>IF(AD1234&gt;0,IF(AD1234&lt;=eco,alpha*fck*(1-(1-AD1234/eco)^n),alpha*fck),0)</f>
      </c>
      <c r="AF1234" s="30">
        <f>PM_Angle!$J$18+PM_Angle!$K$18*$C1234+PM_Angle!$L$18*$B1234</f>
      </c>
      <c r="AG1234" s="12">
        <f>IF(AF1234&gt;0,IF(AF1234&lt;=eco,alpha*fck*(1-(1-AF1234/eco)^n),alpha*fck),0)</f>
      </c>
      <c r="AH1234" s="30">
        <f>PM_Angle!$J$19+PM_Angle!$K$19*$C1234+PM_Angle!$L$19*$B1234</f>
      </c>
      <c r="AI1234" s="12">
        <f>IF(AH1234&gt;0,IF(AH1234&lt;=eco,alpha*fck*(1-(1-AH1234/eco)^n),alpha*fck),0)</f>
      </c>
      <c r="AJ1234" s="30">
        <f>PM_Angle!$J$20+PM_Angle!$K$20*$C1234+PM_Angle!$L$20*$B1234</f>
      </c>
      <c r="AK1234" s="12">
        <f>IF(AJ1234&gt;0,IF(AJ1234&lt;=eco,alpha*fck*(1-(1-AJ1234/eco)^n),alpha*fck),0)</f>
      </c>
      <c r="AL1234" s="30">
        <f>PM_Angle!$J$21+PM_Angle!$K$21*$C1234+PM_Angle!$L$21*$B1234</f>
      </c>
      <c r="AM1234" s="12">
        <f>IF(AL1234&gt;0,IF(AL1234&lt;=eco,alpha*fck*(1-(1-AL1234/eco)^n),alpha*fck),0)</f>
      </c>
      <c r="AN1234" s="30">
        <f>PM_Angle!$J$22+PM_Angle!$K$22*$C1234+PM_Angle!$L$22*$B1234</f>
      </c>
      <c r="AO1234" s="12">
        <f>IF(AN1234&gt;0,IF(AN1234&lt;=eco,alpha*fck*(1-(1-AN1234/eco)^n),alpha*fck),0)</f>
      </c>
      <c r="AP1234" s="30">
        <f>PM_Angle!$J$23+PM_Angle!$K$23*$C1234+PM_Angle!$L$23*$B1234</f>
      </c>
      <c r="AQ1234" s="12">
        <f>IF(AP1234&gt;0,IF(AP1234&lt;=eco,alpha*fck*(1-(1-AP1234/eco)^n),alpha*fck),0)</f>
      </c>
      <c r="AR1234" s="30">
        <f>PM_Angle!$J$24+PM_Angle!$K$24*$C1234+PM_Angle!$L$24*$B1234</f>
      </c>
      <c r="AS1234" s="12">
        <f>IF(AR1234&gt;0,IF(AR1234&lt;=eco,alpha*fck*(1-(1-AR1234/eco)^n),alpha*fck),0)</f>
      </c>
      <c r="AT1234" s="30">
        <f>PM_Angle!$J$25+PM_Angle!$K$25*$C1234+PM_Angle!$L$25*$B1234</f>
      </c>
      <c r="AU1234" s="12">
        <f>IF(AT1234&gt;0,IF(AT1234&lt;=eco,alpha*fck*(1-(1-AT1234/eco)^n),alpha*fck),0)</f>
      </c>
    </row>
    <row r="1235" spans="1:47" x14ac:dyDescent="0.25">
      <c r="A1235">
        <f>Mesh!A1232</f>
      </c>
      <c r="B1235" s="12">
        <f>Mesh!B1232</f>
      </c>
      <c r="C1235" s="12">
        <f>Mesh!C1232</f>
      </c>
      <c r="D1235" s="12">
        <f>Mesh!D1232</f>
      </c>
      <c r="E1235" s="30">
        <f>INDEX(St_e0,Det+1)+INDEX(St_kx,Det+1)*C1235+INDEX(St_ky,Det+1)*B1235</f>
      </c>
      <c r="F1235" s="12">
        <f>IF(E1235&gt;0,IF(E1235&lt;=eco,alpha*fck*(1-(1-E1235/eco)^n),alpha*fck),0)</f>
      </c>
      <c r="G1235" s="11">
        <f>F1235*D1235</f>
      </c>
      <c r="H1235" s="11">
        <f>G1235*C1235</f>
      </c>
      <c r="I1235" s="11">
        <f>G1235*B1235</f>
      </c>
      <c r="J1235" s="30">
        <f>PM_Angle!$J$7+PM_Angle!$K$7*$C1235+PM_Angle!$L$7*$B1235</f>
      </c>
      <c r="K1235" s="12">
        <f>IF(J1235&gt;0,IF(J1235&lt;=eco,alpha*fck*(1-(1-J1235/eco)^n),alpha*fck),0)</f>
      </c>
      <c r="L1235" s="30">
        <f>PM_Angle!$J$8+PM_Angle!$K$8*$C1235+PM_Angle!$L$8*$B1235</f>
      </c>
      <c r="M1235" s="12">
        <f>IF(L1235&gt;0,IF(L1235&lt;=eco,alpha*fck*(1-(1-L1235/eco)^n),alpha*fck),0)</f>
      </c>
      <c r="N1235" s="30">
        <f>PM_Angle!$J$9+PM_Angle!$K$9*$C1235+PM_Angle!$L$9*$B1235</f>
      </c>
      <c r="O1235" s="12">
        <f>IF(N1235&gt;0,IF(N1235&lt;=eco,alpha*fck*(1-(1-N1235/eco)^n),alpha*fck),0)</f>
      </c>
      <c r="P1235" s="30">
        <f>PM_Angle!$J$10+PM_Angle!$K$10*$C1235+PM_Angle!$L$10*$B1235</f>
      </c>
      <c r="Q1235" s="12">
        <f>IF(P1235&gt;0,IF(P1235&lt;=eco,alpha*fck*(1-(1-P1235/eco)^n),alpha*fck),0)</f>
      </c>
      <c r="R1235" s="30">
        <f>PM_Angle!$J$11+PM_Angle!$K$11*$C1235+PM_Angle!$L$11*$B1235</f>
      </c>
      <c r="S1235" s="12">
        <f>IF(R1235&gt;0,IF(R1235&lt;=eco,alpha*fck*(1-(1-R1235/eco)^n),alpha*fck),0)</f>
      </c>
      <c r="T1235" s="30">
        <f>PM_Angle!$J$12+PM_Angle!$K$12*$C1235+PM_Angle!$L$12*$B1235</f>
      </c>
      <c r="U1235" s="12">
        <f>IF(T1235&gt;0,IF(T1235&lt;=eco,alpha*fck*(1-(1-T1235/eco)^n),alpha*fck),0)</f>
      </c>
      <c r="V1235" s="30">
        <f>PM_Angle!$J$13+PM_Angle!$K$13*$C1235+PM_Angle!$L$13*$B1235</f>
      </c>
      <c r="W1235" s="12">
        <f>IF(V1235&gt;0,IF(V1235&lt;=eco,alpha*fck*(1-(1-V1235/eco)^n),alpha*fck),0)</f>
      </c>
      <c r="X1235" s="30">
        <f>PM_Angle!$J$14+PM_Angle!$K$14*$C1235+PM_Angle!$L$14*$B1235</f>
      </c>
      <c r="Y1235" s="12">
        <f>IF(X1235&gt;0,IF(X1235&lt;=eco,alpha*fck*(1-(1-X1235/eco)^n),alpha*fck),0)</f>
      </c>
      <c r="Z1235" s="30">
        <f>PM_Angle!$J$15+PM_Angle!$K$15*$C1235+PM_Angle!$L$15*$B1235</f>
      </c>
      <c r="AA1235" s="12">
        <f>IF(Z1235&gt;0,IF(Z1235&lt;=eco,alpha*fck*(1-(1-Z1235/eco)^n),alpha*fck),0)</f>
      </c>
      <c r="AB1235" s="30">
        <f>PM_Angle!$J$16+PM_Angle!$K$16*$C1235+PM_Angle!$L$16*$B1235</f>
      </c>
      <c r="AC1235" s="12">
        <f>IF(AB1235&gt;0,IF(AB1235&lt;=eco,alpha*fck*(1-(1-AB1235/eco)^n),alpha*fck),0)</f>
      </c>
      <c r="AD1235" s="30">
        <f>PM_Angle!$J$17+PM_Angle!$K$17*$C1235+PM_Angle!$L$17*$B1235</f>
      </c>
      <c r="AE1235" s="12">
        <f>IF(AD1235&gt;0,IF(AD1235&lt;=eco,alpha*fck*(1-(1-AD1235/eco)^n),alpha*fck),0)</f>
      </c>
      <c r="AF1235" s="30">
        <f>PM_Angle!$J$18+PM_Angle!$K$18*$C1235+PM_Angle!$L$18*$B1235</f>
      </c>
      <c r="AG1235" s="12">
        <f>IF(AF1235&gt;0,IF(AF1235&lt;=eco,alpha*fck*(1-(1-AF1235/eco)^n),alpha*fck),0)</f>
      </c>
      <c r="AH1235" s="30">
        <f>PM_Angle!$J$19+PM_Angle!$K$19*$C1235+PM_Angle!$L$19*$B1235</f>
      </c>
      <c r="AI1235" s="12">
        <f>IF(AH1235&gt;0,IF(AH1235&lt;=eco,alpha*fck*(1-(1-AH1235/eco)^n),alpha*fck),0)</f>
      </c>
      <c r="AJ1235" s="30">
        <f>PM_Angle!$J$20+PM_Angle!$K$20*$C1235+PM_Angle!$L$20*$B1235</f>
      </c>
      <c r="AK1235" s="12">
        <f>IF(AJ1235&gt;0,IF(AJ1235&lt;=eco,alpha*fck*(1-(1-AJ1235/eco)^n),alpha*fck),0)</f>
      </c>
      <c r="AL1235" s="30">
        <f>PM_Angle!$J$21+PM_Angle!$K$21*$C1235+PM_Angle!$L$21*$B1235</f>
      </c>
      <c r="AM1235" s="12">
        <f>IF(AL1235&gt;0,IF(AL1235&lt;=eco,alpha*fck*(1-(1-AL1235/eco)^n),alpha*fck),0)</f>
      </c>
      <c r="AN1235" s="30">
        <f>PM_Angle!$J$22+PM_Angle!$K$22*$C1235+PM_Angle!$L$22*$B1235</f>
      </c>
      <c r="AO1235" s="12">
        <f>IF(AN1235&gt;0,IF(AN1235&lt;=eco,alpha*fck*(1-(1-AN1235/eco)^n),alpha*fck),0)</f>
      </c>
      <c r="AP1235" s="30">
        <f>PM_Angle!$J$23+PM_Angle!$K$23*$C1235+PM_Angle!$L$23*$B1235</f>
      </c>
      <c r="AQ1235" s="12">
        <f>IF(AP1235&gt;0,IF(AP1235&lt;=eco,alpha*fck*(1-(1-AP1235/eco)^n),alpha*fck),0)</f>
      </c>
      <c r="AR1235" s="30">
        <f>PM_Angle!$J$24+PM_Angle!$K$24*$C1235+PM_Angle!$L$24*$B1235</f>
      </c>
      <c r="AS1235" s="12">
        <f>IF(AR1235&gt;0,IF(AR1235&lt;=eco,alpha*fck*(1-(1-AR1235/eco)^n),alpha*fck),0)</f>
      </c>
      <c r="AT1235" s="30">
        <f>PM_Angle!$J$25+PM_Angle!$K$25*$C1235+PM_Angle!$L$25*$B1235</f>
      </c>
      <c r="AU1235" s="12">
        <f>IF(AT1235&gt;0,IF(AT1235&lt;=eco,alpha*fck*(1-(1-AT1235/eco)^n),alpha*fck),0)</f>
      </c>
    </row>
    <row r="1236" spans="1:47" x14ac:dyDescent="0.25">
      <c r="A1236">
        <f>Mesh!A1233</f>
      </c>
      <c r="B1236" s="12">
        <f>Mesh!B1233</f>
      </c>
      <c r="C1236" s="12">
        <f>Mesh!C1233</f>
      </c>
      <c r="D1236" s="12">
        <f>Mesh!D1233</f>
      </c>
      <c r="E1236" s="30">
        <f>INDEX(St_e0,Det+1)+INDEX(St_kx,Det+1)*C1236+INDEX(St_ky,Det+1)*B1236</f>
      </c>
      <c r="F1236" s="12">
        <f>IF(E1236&gt;0,IF(E1236&lt;=eco,alpha*fck*(1-(1-E1236/eco)^n),alpha*fck),0)</f>
      </c>
      <c r="G1236" s="11">
        <f>F1236*D1236</f>
      </c>
      <c r="H1236" s="11">
        <f>G1236*C1236</f>
      </c>
      <c r="I1236" s="11">
        <f>G1236*B1236</f>
      </c>
      <c r="J1236" s="30">
        <f>PM_Angle!$J$7+PM_Angle!$K$7*$C1236+PM_Angle!$L$7*$B1236</f>
      </c>
      <c r="K1236" s="12">
        <f>IF(J1236&gt;0,IF(J1236&lt;=eco,alpha*fck*(1-(1-J1236/eco)^n),alpha*fck),0)</f>
      </c>
      <c r="L1236" s="30">
        <f>PM_Angle!$J$8+PM_Angle!$K$8*$C1236+PM_Angle!$L$8*$B1236</f>
      </c>
      <c r="M1236" s="12">
        <f>IF(L1236&gt;0,IF(L1236&lt;=eco,alpha*fck*(1-(1-L1236/eco)^n),alpha*fck),0)</f>
      </c>
      <c r="N1236" s="30">
        <f>PM_Angle!$J$9+PM_Angle!$K$9*$C1236+PM_Angle!$L$9*$B1236</f>
      </c>
      <c r="O1236" s="12">
        <f>IF(N1236&gt;0,IF(N1236&lt;=eco,alpha*fck*(1-(1-N1236/eco)^n),alpha*fck),0)</f>
      </c>
      <c r="P1236" s="30">
        <f>PM_Angle!$J$10+PM_Angle!$K$10*$C1236+PM_Angle!$L$10*$B1236</f>
      </c>
      <c r="Q1236" s="12">
        <f>IF(P1236&gt;0,IF(P1236&lt;=eco,alpha*fck*(1-(1-P1236/eco)^n),alpha*fck),0)</f>
      </c>
      <c r="R1236" s="30">
        <f>PM_Angle!$J$11+PM_Angle!$K$11*$C1236+PM_Angle!$L$11*$B1236</f>
      </c>
      <c r="S1236" s="12">
        <f>IF(R1236&gt;0,IF(R1236&lt;=eco,alpha*fck*(1-(1-R1236/eco)^n),alpha*fck),0)</f>
      </c>
      <c r="T1236" s="30">
        <f>PM_Angle!$J$12+PM_Angle!$K$12*$C1236+PM_Angle!$L$12*$B1236</f>
      </c>
      <c r="U1236" s="12">
        <f>IF(T1236&gt;0,IF(T1236&lt;=eco,alpha*fck*(1-(1-T1236/eco)^n),alpha*fck),0)</f>
      </c>
      <c r="V1236" s="30">
        <f>PM_Angle!$J$13+PM_Angle!$K$13*$C1236+PM_Angle!$L$13*$B1236</f>
      </c>
      <c r="W1236" s="12">
        <f>IF(V1236&gt;0,IF(V1236&lt;=eco,alpha*fck*(1-(1-V1236/eco)^n),alpha*fck),0)</f>
      </c>
      <c r="X1236" s="30">
        <f>PM_Angle!$J$14+PM_Angle!$K$14*$C1236+PM_Angle!$L$14*$B1236</f>
      </c>
      <c r="Y1236" s="12">
        <f>IF(X1236&gt;0,IF(X1236&lt;=eco,alpha*fck*(1-(1-X1236/eco)^n),alpha*fck),0)</f>
      </c>
      <c r="Z1236" s="30">
        <f>PM_Angle!$J$15+PM_Angle!$K$15*$C1236+PM_Angle!$L$15*$B1236</f>
      </c>
      <c r="AA1236" s="12">
        <f>IF(Z1236&gt;0,IF(Z1236&lt;=eco,alpha*fck*(1-(1-Z1236/eco)^n),alpha*fck),0)</f>
      </c>
      <c r="AB1236" s="30">
        <f>PM_Angle!$J$16+PM_Angle!$K$16*$C1236+PM_Angle!$L$16*$B1236</f>
      </c>
      <c r="AC1236" s="12">
        <f>IF(AB1236&gt;0,IF(AB1236&lt;=eco,alpha*fck*(1-(1-AB1236/eco)^n),alpha*fck),0)</f>
      </c>
      <c r="AD1236" s="30">
        <f>PM_Angle!$J$17+PM_Angle!$K$17*$C1236+PM_Angle!$L$17*$B1236</f>
      </c>
      <c r="AE1236" s="12">
        <f>IF(AD1236&gt;0,IF(AD1236&lt;=eco,alpha*fck*(1-(1-AD1236/eco)^n),alpha*fck),0)</f>
      </c>
      <c r="AF1236" s="30">
        <f>PM_Angle!$J$18+PM_Angle!$K$18*$C1236+PM_Angle!$L$18*$B1236</f>
      </c>
      <c r="AG1236" s="12">
        <f>IF(AF1236&gt;0,IF(AF1236&lt;=eco,alpha*fck*(1-(1-AF1236/eco)^n),alpha*fck),0)</f>
      </c>
      <c r="AH1236" s="30">
        <f>PM_Angle!$J$19+PM_Angle!$K$19*$C1236+PM_Angle!$L$19*$B1236</f>
      </c>
      <c r="AI1236" s="12">
        <f>IF(AH1236&gt;0,IF(AH1236&lt;=eco,alpha*fck*(1-(1-AH1236/eco)^n),alpha*fck),0)</f>
      </c>
      <c r="AJ1236" s="30">
        <f>PM_Angle!$J$20+PM_Angle!$K$20*$C1236+PM_Angle!$L$20*$B1236</f>
      </c>
      <c r="AK1236" s="12">
        <f>IF(AJ1236&gt;0,IF(AJ1236&lt;=eco,alpha*fck*(1-(1-AJ1236/eco)^n),alpha*fck),0)</f>
      </c>
      <c r="AL1236" s="30">
        <f>PM_Angle!$J$21+PM_Angle!$K$21*$C1236+PM_Angle!$L$21*$B1236</f>
      </c>
      <c r="AM1236" s="12">
        <f>IF(AL1236&gt;0,IF(AL1236&lt;=eco,alpha*fck*(1-(1-AL1236/eco)^n),alpha*fck),0)</f>
      </c>
      <c r="AN1236" s="30">
        <f>PM_Angle!$J$22+PM_Angle!$K$22*$C1236+PM_Angle!$L$22*$B1236</f>
      </c>
      <c r="AO1236" s="12">
        <f>IF(AN1236&gt;0,IF(AN1236&lt;=eco,alpha*fck*(1-(1-AN1236/eco)^n),alpha*fck),0)</f>
      </c>
      <c r="AP1236" s="30">
        <f>PM_Angle!$J$23+PM_Angle!$K$23*$C1236+PM_Angle!$L$23*$B1236</f>
      </c>
      <c r="AQ1236" s="12">
        <f>IF(AP1236&gt;0,IF(AP1236&lt;=eco,alpha*fck*(1-(1-AP1236/eco)^n),alpha*fck),0)</f>
      </c>
      <c r="AR1236" s="30">
        <f>PM_Angle!$J$24+PM_Angle!$K$24*$C1236+PM_Angle!$L$24*$B1236</f>
      </c>
      <c r="AS1236" s="12">
        <f>IF(AR1236&gt;0,IF(AR1236&lt;=eco,alpha*fck*(1-(1-AR1236/eco)^n),alpha*fck),0)</f>
      </c>
      <c r="AT1236" s="30">
        <f>PM_Angle!$J$25+PM_Angle!$K$25*$C1236+PM_Angle!$L$25*$B1236</f>
      </c>
      <c r="AU1236" s="12">
        <f>IF(AT1236&gt;0,IF(AT1236&lt;=eco,alpha*fck*(1-(1-AT1236/eco)^n),alpha*fck),0)</f>
      </c>
    </row>
    <row r="1237" spans="1:47" x14ac:dyDescent="0.25">
      <c r="A1237">
        <f>Mesh!A1234</f>
      </c>
      <c r="B1237" s="12">
        <f>Mesh!B1234</f>
      </c>
      <c r="C1237" s="12">
        <f>Mesh!C1234</f>
      </c>
      <c r="D1237" s="12">
        <f>Mesh!D1234</f>
      </c>
      <c r="E1237" s="30">
        <f>INDEX(St_e0,Det+1)+INDEX(St_kx,Det+1)*C1237+INDEX(St_ky,Det+1)*B1237</f>
      </c>
      <c r="F1237" s="12">
        <f>IF(E1237&gt;0,IF(E1237&lt;=eco,alpha*fck*(1-(1-E1237/eco)^n),alpha*fck),0)</f>
      </c>
      <c r="G1237" s="11">
        <f>F1237*D1237</f>
      </c>
      <c r="H1237" s="11">
        <f>G1237*C1237</f>
      </c>
      <c r="I1237" s="11">
        <f>G1237*B1237</f>
      </c>
      <c r="J1237" s="30">
        <f>PM_Angle!$J$7+PM_Angle!$K$7*$C1237+PM_Angle!$L$7*$B1237</f>
      </c>
      <c r="K1237" s="12">
        <f>IF(J1237&gt;0,IF(J1237&lt;=eco,alpha*fck*(1-(1-J1237/eco)^n),alpha*fck),0)</f>
      </c>
      <c r="L1237" s="30">
        <f>PM_Angle!$J$8+PM_Angle!$K$8*$C1237+PM_Angle!$L$8*$B1237</f>
      </c>
      <c r="M1237" s="12">
        <f>IF(L1237&gt;0,IF(L1237&lt;=eco,alpha*fck*(1-(1-L1237/eco)^n),alpha*fck),0)</f>
      </c>
      <c r="N1237" s="30">
        <f>PM_Angle!$J$9+PM_Angle!$K$9*$C1237+PM_Angle!$L$9*$B1237</f>
      </c>
      <c r="O1237" s="12">
        <f>IF(N1237&gt;0,IF(N1237&lt;=eco,alpha*fck*(1-(1-N1237/eco)^n),alpha*fck),0)</f>
      </c>
      <c r="P1237" s="30">
        <f>PM_Angle!$J$10+PM_Angle!$K$10*$C1237+PM_Angle!$L$10*$B1237</f>
      </c>
      <c r="Q1237" s="12">
        <f>IF(P1237&gt;0,IF(P1237&lt;=eco,alpha*fck*(1-(1-P1237/eco)^n),alpha*fck),0)</f>
      </c>
      <c r="R1237" s="30">
        <f>PM_Angle!$J$11+PM_Angle!$K$11*$C1237+PM_Angle!$L$11*$B1237</f>
      </c>
      <c r="S1237" s="12">
        <f>IF(R1237&gt;0,IF(R1237&lt;=eco,alpha*fck*(1-(1-R1237/eco)^n),alpha*fck),0)</f>
      </c>
      <c r="T1237" s="30">
        <f>PM_Angle!$J$12+PM_Angle!$K$12*$C1237+PM_Angle!$L$12*$B1237</f>
      </c>
      <c r="U1237" s="12">
        <f>IF(T1237&gt;0,IF(T1237&lt;=eco,alpha*fck*(1-(1-T1237/eco)^n),alpha*fck),0)</f>
      </c>
      <c r="V1237" s="30">
        <f>PM_Angle!$J$13+PM_Angle!$K$13*$C1237+PM_Angle!$L$13*$B1237</f>
      </c>
      <c r="W1237" s="12">
        <f>IF(V1237&gt;0,IF(V1237&lt;=eco,alpha*fck*(1-(1-V1237/eco)^n),alpha*fck),0)</f>
      </c>
      <c r="X1237" s="30">
        <f>PM_Angle!$J$14+PM_Angle!$K$14*$C1237+PM_Angle!$L$14*$B1237</f>
      </c>
      <c r="Y1237" s="12">
        <f>IF(X1237&gt;0,IF(X1237&lt;=eco,alpha*fck*(1-(1-X1237/eco)^n),alpha*fck),0)</f>
      </c>
      <c r="Z1237" s="30">
        <f>PM_Angle!$J$15+PM_Angle!$K$15*$C1237+PM_Angle!$L$15*$B1237</f>
      </c>
      <c r="AA1237" s="12">
        <f>IF(Z1237&gt;0,IF(Z1237&lt;=eco,alpha*fck*(1-(1-Z1237/eco)^n),alpha*fck),0)</f>
      </c>
      <c r="AB1237" s="30">
        <f>PM_Angle!$J$16+PM_Angle!$K$16*$C1237+PM_Angle!$L$16*$B1237</f>
      </c>
      <c r="AC1237" s="12">
        <f>IF(AB1237&gt;0,IF(AB1237&lt;=eco,alpha*fck*(1-(1-AB1237/eco)^n),alpha*fck),0)</f>
      </c>
      <c r="AD1237" s="30">
        <f>PM_Angle!$J$17+PM_Angle!$K$17*$C1237+PM_Angle!$L$17*$B1237</f>
      </c>
      <c r="AE1237" s="12">
        <f>IF(AD1237&gt;0,IF(AD1237&lt;=eco,alpha*fck*(1-(1-AD1237/eco)^n),alpha*fck),0)</f>
      </c>
      <c r="AF1237" s="30">
        <f>PM_Angle!$J$18+PM_Angle!$K$18*$C1237+PM_Angle!$L$18*$B1237</f>
      </c>
      <c r="AG1237" s="12">
        <f>IF(AF1237&gt;0,IF(AF1237&lt;=eco,alpha*fck*(1-(1-AF1237/eco)^n),alpha*fck),0)</f>
      </c>
      <c r="AH1237" s="30">
        <f>PM_Angle!$J$19+PM_Angle!$K$19*$C1237+PM_Angle!$L$19*$B1237</f>
      </c>
      <c r="AI1237" s="12">
        <f>IF(AH1237&gt;0,IF(AH1237&lt;=eco,alpha*fck*(1-(1-AH1237/eco)^n),alpha*fck),0)</f>
      </c>
      <c r="AJ1237" s="30">
        <f>PM_Angle!$J$20+PM_Angle!$K$20*$C1237+PM_Angle!$L$20*$B1237</f>
      </c>
      <c r="AK1237" s="12">
        <f>IF(AJ1237&gt;0,IF(AJ1237&lt;=eco,alpha*fck*(1-(1-AJ1237/eco)^n),alpha*fck),0)</f>
      </c>
      <c r="AL1237" s="30">
        <f>PM_Angle!$J$21+PM_Angle!$K$21*$C1237+PM_Angle!$L$21*$B1237</f>
      </c>
      <c r="AM1237" s="12">
        <f>IF(AL1237&gt;0,IF(AL1237&lt;=eco,alpha*fck*(1-(1-AL1237/eco)^n),alpha*fck),0)</f>
      </c>
      <c r="AN1237" s="30">
        <f>PM_Angle!$J$22+PM_Angle!$K$22*$C1237+PM_Angle!$L$22*$B1237</f>
      </c>
      <c r="AO1237" s="12">
        <f>IF(AN1237&gt;0,IF(AN1237&lt;=eco,alpha*fck*(1-(1-AN1237/eco)^n),alpha*fck),0)</f>
      </c>
      <c r="AP1237" s="30">
        <f>PM_Angle!$J$23+PM_Angle!$K$23*$C1237+PM_Angle!$L$23*$B1237</f>
      </c>
      <c r="AQ1237" s="12">
        <f>IF(AP1237&gt;0,IF(AP1237&lt;=eco,alpha*fck*(1-(1-AP1237/eco)^n),alpha*fck),0)</f>
      </c>
      <c r="AR1237" s="30">
        <f>PM_Angle!$J$24+PM_Angle!$K$24*$C1237+PM_Angle!$L$24*$B1237</f>
      </c>
      <c r="AS1237" s="12">
        <f>IF(AR1237&gt;0,IF(AR1237&lt;=eco,alpha*fck*(1-(1-AR1237/eco)^n),alpha*fck),0)</f>
      </c>
      <c r="AT1237" s="30">
        <f>PM_Angle!$J$25+PM_Angle!$K$25*$C1237+PM_Angle!$L$25*$B1237</f>
      </c>
      <c r="AU1237" s="12">
        <f>IF(AT1237&gt;0,IF(AT1237&lt;=eco,alpha*fck*(1-(1-AT1237/eco)^n),alpha*fck),0)</f>
      </c>
    </row>
    <row r="1238" spans="1:47" x14ac:dyDescent="0.25">
      <c r="A1238">
        <f>Mesh!A1235</f>
      </c>
      <c r="B1238" s="12">
        <f>Mesh!B1235</f>
      </c>
      <c r="C1238" s="12">
        <f>Mesh!C1235</f>
      </c>
      <c r="D1238" s="12">
        <f>Mesh!D1235</f>
      </c>
      <c r="E1238" s="30">
        <f>INDEX(St_e0,Det+1)+INDEX(St_kx,Det+1)*C1238+INDEX(St_ky,Det+1)*B1238</f>
      </c>
      <c r="F1238" s="12">
        <f>IF(E1238&gt;0,IF(E1238&lt;=eco,alpha*fck*(1-(1-E1238/eco)^n),alpha*fck),0)</f>
      </c>
      <c r="G1238" s="11">
        <f>F1238*D1238</f>
      </c>
      <c r="H1238" s="11">
        <f>G1238*C1238</f>
      </c>
      <c r="I1238" s="11">
        <f>G1238*B1238</f>
      </c>
      <c r="J1238" s="30">
        <f>PM_Angle!$J$7+PM_Angle!$K$7*$C1238+PM_Angle!$L$7*$B1238</f>
      </c>
      <c r="K1238" s="12">
        <f>IF(J1238&gt;0,IF(J1238&lt;=eco,alpha*fck*(1-(1-J1238/eco)^n),alpha*fck),0)</f>
      </c>
      <c r="L1238" s="30">
        <f>PM_Angle!$J$8+PM_Angle!$K$8*$C1238+PM_Angle!$L$8*$B1238</f>
      </c>
      <c r="M1238" s="12">
        <f>IF(L1238&gt;0,IF(L1238&lt;=eco,alpha*fck*(1-(1-L1238/eco)^n),alpha*fck),0)</f>
      </c>
      <c r="N1238" s="30">
        <f>PM_Angle!$J$9+PM_Angle!$K$9*$C1238+PM_Angle!$L$9*$B1238</f>
      </c>
      <c r="O1238" s="12">
        <f>IF(N1238&gt;0,IF(N1238&lt;=eco,alpha*fck*(1-(1-N1238/eco)^n),alpha*fck),0)</f>
      </c>
      <c r="P1238" s="30">
        <f>PM_Angle!$J$10+PM_Angle!$K$10*$C1238+PM_Angle!$L$10*$B1238</f>
      </c>
      <c r="Q1238" s="12">
        <f>IF(P1238&gt;0,IF(P1238&lt;=eco,alpha*fck*(1-(1-P1238/eco)^n),alpha*fck),0)</f>
      </c>
      <c r="R1238" s="30">
        <f>PM_Angle!$J$11+PM_Angle!$K$11*$C1238+PM_Angle!$L$11*$B1238</f>
      </c>
      <c r="S1238" s="12">
        <f>IF(R1238&gt;0,IF(R1238&lt;=eco,alpha*fck*(1-(1-R1238/eco)^n),alpha*fck),0)</f>
      </c>
      <c r="T1238" s="30">
        <f>PM_Angle!$J$12+PM_Angle!$K$12*$C1238+PM_Angle!$L$12*$B1238</f>
      </c>
      <c r="U1238" s="12">
        <f>IF(T1238&gt;0,IF(T1238&lt;=eco,alpha*fck*(1-(1-T1238/eco)^n),alpha*fck),0)</f>
      </c>
      <c r="V1238" s="30">
        <f>PM_Angle!$J$13+PM_Angle!$K$13*$C1238+PM_Angle!$L$13*$B1238</f>
      </c>
      <c r="W1238" s="12">
        <f>IF(V1238&gt;0,IF(V1238&lt;=eco,alpha*fck*(1-(1-V1238/eco)^n),alpha*fck),0)</f>
      </c>
      <c r="X1238" s="30">
        <f>PM_Angle!$J$14+PM_Angle!$K$14*$C1238+PM_Angle!$L$14*$B1238</f>
      </c>
      <c r="Y1238" s="12">
        <f>IF(X1238&gt;0,IF(X1238&lt;=eco,alpha*fck*(1-(1-X1238/eco)^n),alpha*fck),0)</f>
      </c>
      <c r="Z1238" s="30">
        <f>PM_Angle!$J$15+PM_Angle!$K$15*$C1238+PM_Angle!$L$15*$B1238</f>
      </c>
      <c r="AA1238" s="12">
        <f>IF(Z1238&gt;0,IF(Z1238&lt;=eco,alpha*fck*(1-(1-Z1238/eco)^n),alpha*fck),0)</f>
      </c>
      <c r="AB1238" s="30">
        <f>PM_Angle!$J$16+PM_Angle!$K$16*$C1238+PM_Angle!$L$16*$B1238</f>
      </c>
      <c r="AC1238" s="12">
        <f>IF(AB1238&gt;0,IF(AB1238&lt;=eco,alpha*fck*(1-(1-AB1238/eco)^n),alpha*fck),0)</f>
      </c>
      <c r="AD1238" s="30">
        <f>PM_Angle!$J$17+PM_Angle!$K$17*$C1238+PM_Angle!$L$17*$B1238</f>
      </c>
      <c r="AE1238" s="12">
        <f>IF(AD1238&gt;0,IF(AD1238&lt;=eco,alpha*fck*(1-(1-AD1238/eco)^n),alpha*fck),0)</f>
      </c>
      <c r="AF1238" s="30">
        <f>PM_Angle!$J$18+PM_Angle!$K$18*$C1238+PM_Angle!$L$18*$B1238</f>
      </c>
      <c r="AG1238" s="12">
        <f>IF(AF1238&gt;0,IF(AF1238&lt;=eco,alpha*fck*(1-(1-AF1238/eco)^n),alpha*fck),0)</f>
      </c>
      <c r="AH1238" s="30">
        <f>PM_Angle!$J$19+PM_Angle!$K$19*$C1238+PM_Angle!$L$19*$B1238</f>
      </c>
      <c r="AI1238" s="12">
        <f>IF(AH1238&gt;0,IF(AH1238&lt;=eco,alpha*fck*(1-(1-AH1238/eco)^n),alpha*fck),0)</f>
      </c>
      <c r="AJ1238" s="30">
        <f>PM_Angle!$J$20+PM_Angle!$K$20*$C1238+PM_Angle!$L$20*$B1238</f>
      </c>
      <c r="AK1238" s="12">
        <f>IF(AJ1238&gt;0,IF(AJ1238&lt;=eco,alpha*fck*(1-(1-AJ1238/eco)^n),alpha*fck),0)</f>
      </c>
      <c r="AL1238" s="30">
        <f>PM_Angle!$J$21+PM_Angle!$K$21*$C1238+PM_Angle!$L$21*$B1238</f>
      </c>
      <c r="AM1238" s="12">
        <f>IF(AL1238&gt;0,IF(AL1238&lt;=eco,alpha*fck*(1-(1-AL1238/eco)^n),alpha*fck),0)</f>
      </c>
      <c r="AN1238" s="30">
        <f>PM_Angle!$J$22+PM_Angle!$K$22*$C1238+PM_Angle!$L$22*$B1238</f>
      </c>
      <c r="AO1238" s="12">
        <f>IF(AN1238&gt;0,IF(AN1238&lt;=eco,alpha*fck*(1-(1-AN1238/eco)^n),alpha*fck),0)</f>
      </c>
      <c r="AP1238" s="30">
        <f>PM_Angle!$J$23+PM_Angle!$K$23*$C1238+PM_Angle!$L$23*$B1238</f>
      </c>
      <c r="AQ1238" s="12">
        <f>IF(AP1238&gt;0,IF(AP1238&lt;=eco,alpha*fck*(1-(1-AP1238/eco)^n),alpha*fck),0)</f>
      </c>
      <c r="AR1238" s="30">
        <f>PM_Angle!$J$24+PM_Angle!$K$24*$C1238+PM_Angle!$L$24*$B1238</f>
      </c>
      <c r="AS1238" s="12">
        <f>IF(AR1238&gt;0,IF(AR1238&lt;=eco,alpha*fck*(1-(1-AR1238/eco)^n),alpha*fck),0)</f>
      </c>
      <c r="AT1238" s="30">
        <f>PM_Angle!$J$25+PM_Angle!$K$25*$C1238+PM_Angle!$L$25*$B1238</f>
      </c>
      <c r="AU1238" s="12">
        <f>IF(AT1238&gt;0,IF(AT1238&lt;=eco,alpha*fck*(1-(1-AT1238/eco)^n),alpha*fck),0)</f>
      </c>
    </row>
    <row r="1239" spans="1:47" x14ac:dyDescent="0.25">
      <c r="A1239">
        <f>Mesh!A1236</f>
      </c>
      <c r="B1239" s="12">
        <f>Mesh!B1236</f>
      </c>
      <c r="C1239" s="12">
        <f>Mesh!C1236</f>
      </c>
      <c r="D1239" s="12">
        <f>Mesh!D1236</f>
      </c>
      <c r="E1239" s="30">
        <f>INDEX(St_e0,Det+1)+INDEX(St_kx,Det+1)*C1239+INDEX(St_ky,Det+1)*B1239</f>
      </c>
      <c r="F1239" s="12">
        <f>IF(E1239&gt;0,IF(E1239&lt;=eco,alpha*fck*(1-(1-E1239/eco)^n),alpha*fck),0)</f>
      </c>
      <c r="G1239" s="11">
        <f>F1239*D1239</f>
      </c>
      <c r="H1239" s="11">
        <f>G1239*C1239</f>
      </c>
      <c r="I1239" s="11">
        <f>G1239*B1239</f>
      </c>
      <c r="J1239" s="30">
        <f>PM_Angle!$J$7+PM_Angle!$K$7*$C1239+PM_Angle!$L$7*$B1239</f>
      </c>
      <c r="K1239" s="12">
        <f>IF(J1239&gt;0,IF(J1239&lt;=eco,alpha*fck*(1-(1-J1239/eco)^n),alpha*fck),0)</f>
      </c>
      <c r="L1239" s="30">
        <f>PM_Angle!$J$8+PM_Angle!$K$8*$C1239+PM_Angle!$L$8*$B1239</f>
      </c>
      <c r="M1239" s="12">
        <f>IF(L1239&gt;0,IF(L1239&lt;=eco,alpha*fck*(1-(1-L1239/eco)^n),alpha*fck),0)</f>
      </c>
      <c r="N1239" s="30">
        <f>PM_Angle!$J$9+PM_Angle!$K$9*$C1239+PM_Angle!$L$9*$B1239</f>
      </c>
      <c r="O1239" s="12">
        <f>IF(N1239&gt;0,IF(N1239&lt;=eco,alpha*fck*(1-(1-N1239/eco)^n),alpha*fck),0)</f>
      </c>
      <c r="P1239" s="30">
        <f>PM_Angle!$J$10+PM_Angle!$K$10*$C1239+PM_Angle!$L$10*$B1239</f>
      </c>
      <c r="Q1239" s="12">
        <f>IF(P1239&gt;0,IF(P1239&lt;=eco,alpha*fck*(1-(1-P1239/eco)^n),alpha*fck),0)</f>
      </c>
      <c r="R1239" s="30">
        <f>PM_Angle!$J$11+PM_Angle!$K$11*$C1239+PM_Angle!$L$11*$B1239</f>
      </c>
      <c r="S1239" s="12">
        <f>IF(R1239&gt;0,IF(R1239&lt;=eco,alpha*fck*(1-(1-R1239/eco)^n),alpha*fck),0)</f>
      </c>
      <c r="T1239" s="30">
        <f>PM_Angle!$J$12+PM_Angle!$K$12*$C1239+PM_Angle!$L$12*$B1239</f>
      </c>
      <c r="U1239" s="12">
        <f>IF(T1239&gt;0,IF(T1239&lt;=eco,alpha*fck*(1-(1-T1239/eco)^n),alpha*fck),0)</f>
      </c>
      <c r="V1239" s="30">
        <f>PM_Angle!$J$13+PM_Angle!$K$13*$C1239+PM_Angle!$L$13*$B1239</f>
      </c>
      <c r="W1239" s="12">
        <f>IF(V1239&gt;0,IF(V1239&lt;=eco,alpha*fck*(1-(1-V1239/eco)^n),alpha*fck),0)</f>
      </c>
      <c r="X1239" s="30">
        <f>PM_Angle!$J$14+PM_Angle!$K$14*$C1239+PM_Angle!$L$14*$B1239</f>
      </c>
      <c r="Y1239" s="12">
        <f>IF(X1239&gt;0,IF(X1239&lt;=eco,alpha*fck*(1-(1-X1239/eco)^n),alpha*fck),0)</f>
      </c>
      <c r="Z1239" s="30">
        <f>PM_Angle!$J$15+PM_Angle!$K$15*$C1239+PM_Angle!$L$15*$B1239</f>
      </c>
      <c r="AA1239" s="12">
        <f>IF(Z1239&gt;0,IF(Z1239&lt;=eco,alpha*fck*(1-(1-Z1239/eco)^n),alpha*fck),0)</f>
      </c>
      <c r="AB1239" s="30">
        <f>PM_Angle!$J$16+PM_Angle!$K$16*$C1239+PM_Angle!$L$16*$B1239</f>
      </c>
      <c r="AC1239" s="12">
        <f>IF(AB1239&gt;0,IF(AB1239&lt;=eco,alpha*fck*(1-(1-AB1239/eco)^n),alpha*fck),0)</f>
      </c>
      <c r="AD1239" s="30">
        <f>PM_Angle!$J$17+PM_Angle!$K$17*$C1239+PM_Angle!$L$17*$B1239</f>
      </c>
      <c r="AE1239" s="12">
        <f>IF(AD1239&gt;0,IF(AD1239&lt;=eco,alpha*fck*(1-(1-AD1239/eco)^n),alpha*fck),0)</f>
      </c>
      <c r="AF1239" s="30">
        <f>PM_Angle!$J$18+PM_Angle!$K$18*$C1239+PM_Angle!$L$18*$B1239</f>
      </c>
      <c r="AG1239" s="12">
        <f>IF(AF1239&gt;0,IF(AF1239&lt;=eco,alpha*fck*(1-(1-AF1239/eco)^n),alpha*fck),0)</f>
      </c>
      <c r="AH1239" s="30">
        <f>PM_Angle!$J$19+PM_Angle!$K$19*$C1239+PM_Angle!$L$19*$B1239</f>
      </c>
      <c r="AI1239" s="12">
        <f>IF(AH1239&gt;0,IF(AH1239&lt;=eco,alpha*fck*(1-(1-AH1239/eco)^n),alpha*fck),0)</f>
      </c>
      <c r="AJ1239" s="30">
        <f>PM_Angle!$J$20+PM_Angle!$K$20*$C1239+PM_Angle!$L$20*$B1239</f>
      </c>
      <c r="AK1239" s="12">
        <f>IF(AJ1239&gt;0,IF(AJ1239&lt;=eco,alpha*fck*(1-(1-AJ1239/eco)^n),alpha*fck),0)</f>
      </c>
      <c r="AL1239" s="30">
        <f>PM_Angle!$J$21+PM_Angle!$K$21*$C1239+PM_Angle!$L$21*$B1239</f>
      </c>
      <c r="AM1239" s="12">
        <f>IF(AL1239&gt;0,IF(AL1239&lt;=eco,alpha*fck*(1-(1-AL1239/eco)^n),alpha*fck),0)</f>
      </c>
      <c r="AN1239" s="30">
        <f>PM_Angle!$J$22+PM_Angle!$K$22*$C1239+PM_Angle!$L$22*$B1239</f>
      </c>
      <c r="AO1239" s="12">
        <f>IF(AN1239&gt;0,IF(AN1239&lt;=eco,alpha*fck*(1-(1-AN1239/eco)^n),alpha*fck),0)</f>
      </c>
      <c r="AP1239" s="30">
        <f>PM_Angle!$J$23+PM_Angle!$K$23*$C1239+PM_Angle!$L$23*$B1239</f>
      </c>
      <c r="AQ1239" s="12">
        <f>IF(AP1239&gt;0,IF(AP1239&lt;=eco,alpha*fck*(1-(1-AP1239/eco)^n),alpha*fck),0)</f>
      </c>
      <c r="AR1239" s="30">
        <f>PM_Angle!$J$24+PM_Angle!$K$24*$C1239+PM_Angle!$L$24*$B1239</f>
      </c>
      <c r="AS1239" s="12">
        <f>IF(AR1239&gt;0,IF(AR1239&lt;=eco,alpha*fck*(1-(1-AR1239/eco)^n),alpha*fck),0)</f>
      </c>
      <c r="AT1239" s="30">
        <f>PM_Angle!$J$25+PM_Angle!$K$25*$C1239+PM_Angle!$L$25*$B1239</f>
      </c>
      <c r="AU1239" s="12">
        <f>IF(AT1239&gt;0,IF(AT1239&lt;=eco,alpha*fck*(1-(1-AT1239/eco)^n),alpha*fck),0)</f>
      </c>
    </row>
    <row r="1240" spans="1:47" x14ac:dyDescent="0.25">
      <c r="A1240">
        <f>Mesh!A1237</f>
      </c>
      <c r="B1240" s="12">
        <f>Mesh!B1237</f>
      </c>
      <c r="C1240" s="12">
        <f>Mesh!C1237</f>
      </c>
      <c r="D1240" s="12">
        <f>Mesh!D1237</f>
      </c>
      <c r="E1240" s="30">
        <f>INDEX(St_e0,Det+1)+INDEX(St_kx,Det+1)*C1240+INDEX(St_ky,Det+1)*B1240</f>
      </c>
      <c r="F1240" s="12">
        <f>IF(E1240&gt;0,IF(E1240&lt;=eco,alpha*fck*(1-(1-E1240/eco)^n),alpha*fck),0)</f>
      </c>
      <c r="G1240" s="11">
        <f>F1240*D1240</f>
      </c>
      <c r="H1240" s="11">
        <f>G1240*C1240</f>
      </c>
      <c r="I1240" s="11">
        <f>G1240*B1240</f>
      </c>
      <c r="J1240" s="30">
        <f>PM_Angle!$J$7+PM_Angle!$K$7*$C1240+PM_Angle!$L$7*$B1240</f>
      </c>
      <c r="K1240" s="12">
        <f>IF(J1240&gt;0,IF(J1240&lt;=eco,alpha*fck*(1-(1-J1240/eco)^n),alpha*fck),0)</f>
      </c>
      <c r="L1240" s="30">
        <f>PM_Angle!$J$8+PM_Angle!$K$8*$C1240+PM_Angle!$L$8*$B1240</f>
      </c>
      <c r="M1240" s="12">
        <f>IF(L1240&gt;0,IF(L1240&lt;=eco,alpha*fck*(1-(1-L1240/eco)^n),alpha*fck),0)</f>
      </c>
      <c r="N1240" s="30">
        <f>PM_Angle!$J$9+PM_Angle!$K$9*$C1240+PM_Angle!$L$9*$B1240</f>
      </c>
      <c r="O1240" s="12">
        <f>IF(N1240&gt;0,IF(N1240&lt;=eco,alpha*fck*(1-(1-N1240/eco)^n),alpha*fck),0)</f>
      </c>
      <c r="P1240" s="30">
        <f>PM_Angle!$J$10+PM_Angle!$K$10*$C1240+PM_Angle!$L$10*$B1240</f>
      </c>
      <c r="Q1240" s="12">
        <f>IF(P1240&gt;0,IF(P1240&lt;=eco,alpha*fck*(1-(1-P1240/eco)^n),alpha*fck),0)</f>
      </c>
      <c r="R1240" s="30">
        <f>PM_Angle!$J$11+PM_Angle!$K$11*$C1240+PM_Angle!$L$11*$B1240</f>
      </c>
      <c r="S1240" s="12">
        <f>IF(R1240&gt;0,IF(R1240&lt;=eco,alpha*fck*(1-(1-R1240/eco)^n),alpha*fck),0)</f>
      </c>
      <c r="T1240" s="30">
        <f>PM_Angle!$J$12+PM_Angle!$K$12*$C1240+PM_Angle!$L$12*$B1240</f>
      </c>
      <c r="U1240" s="12">
        <f>IF(T1240&gt;0,IF(T1240&lt;=eco,alpha*fck*(1-(1-T1240/eco)^n),alpha*fck),0)</f>
      </c>
      <c r="V1240" s="30">
        <f>PM_Angle!$J$13+PM_Angle!$K$13*$C1240+PM_Angle!$L$13*$B1240</f>
      </c>
      <c r="W1240" s="12">
        <f>IF(V1240&gt;0,IF(V1240&lt;=eco,alpha*fck*(1-(1-V1240/eco)^n),alpha*fck),0)</f>
      </c>
      <c r="X1240" s="30">
        <f>PM_Angle!$J$14+PM_Angle!$K$14*$C1240+PM_Angle!$L$14*$B1240</f>
      </c>
      <c r="Y1240" s="12">
        <f>IF(X1240&gt;0,IF(X1240&lt;=eco,alpha*fck*(1-(1-X1240/eco)^n),alpha*fck),0)</f>
      </c>
      <c r="Z1240" s="30">
        <f>PM_Angle!$J$15+PM_Angle!$K$15*$C1240+PM_Angle!$L$15*$B1240</f>
      </c>
      <c r="AA1240" s="12">
        <f>IF(Z1240&gt;0,IF(Z1240&lt;=eco,alpha*fck*(1-(1-Z1240/eco)^n),alpha*fck),0)</f>
      </c>
      <c r="AB1240" s="30">
        <f>PM_Angle!$J$16+PM_Angle!$K$16*$C1240+PM_Angle!$L$16*$B1240</f>
      </c>
      <c r="AC1240" s="12">
        <f>IF(AB1240&gt;0,IF(AB1240&lt;=eco,alpha*fck*(1-(1-AB1240/eco)^n),alpha*fck),0)</f>
      </c>
      <c r="AD1240" s="30">
        <f>PM_Angle!$J$17+PM_Angle!$K$17*$C1240+PM_Angle!$L$17*$B1240</f>
      </c>
      <c r="AE1240" s="12">
        <f>IF(AD1240&gt;0,IF(AD1240&lt;=eco,alpha*fck*(1-(1-AD1240/eco)^n),alpha*fck),0)</f>
      </c>
      <c r="AF1240" s="30">
        <f>PM_Angle!$J$18+PM_Angle!$K$18*$C1240+PM_Angle!$L$18*$B1240</f>
      </c>
      <c r="AG1240" s="12">
        <f>IF(AF1240&gt;0,IF(AF1240&lt;=eco,alpha*fck*(1-(1-AF1240/eco)^n),alpha*fck),0)</f>
      </c>
      <c r="AH1240" s="30">
        <f>PM_Angle!$J$19+PM_Angle!$K$19*$C1240+PM_Angle!$L$19*$B1240</f>
      </c>
      <c r="AI1240" s="12">
        <f>IF(AH1240&gt;0,IF(AH1240&lt;=eco,alpha*fck*(1-(1-AH1240/eco)^n),alpha*fck),0)</f>
      </c>
      <c r="AJ1240" s="30">
        <f>PM_Angle!$J$20+PM_Angle!$K$20*$C1240+PM_Angle!$L$20*$B1240</f>
      </c>
      <c r="AK1240" s="12">
        <f>IF(AJ1240&gt;0,IF(AJ1240&lt;=eco,alpha*fck*(1-(1-AJ1240/eco)^n),alpha*fck),0)</f>
      </c>
      <c r="AL1240" s="30">
        <f>PM_Angle!$J$21+PM_Angle!$K$21*$C1240+PM_Angle!$L$21*$B1240</f>
      </c>
      <c r="AM1240" s="12">
        <f>IF(AL1240&gt;0,IF(AL1240&lt;=eco,alpha*fck*(1-(1-AL1240/eco)^n),alpha*fck),0)</f>
      </c>
      <c r="AN1240" s="30">
        <f>PM_Angle!$J$22+PM_Angle!$K$22*$C1240+PM_Angle!$L$22*$B1240</f>
      </c>
      <c r="AO1240" s="12">
        <f>IF(AN1240&gt;0,IF(AN1240&lt;=eco,alpha*fck*(1-(1-AN1240/eco)^n),alpha*fck),0)</f>
      </c>
      <c r="AP1240" s="30">
        <f>PM_Angle!$J$23+PM_Angle!$K$23*$C1240+PM_Angle!$L$23*$B1240</f>
      </c>
      <c r="AQ1240" s="12">
        <f>IF(AP1240&gt;0,IF(AP1240&lt;=eco,alpha*fck*(1-(1-AP1240/eco)^n),alpha*fck),0)</f>
      </c>
      <c r="AR1240" s="30">
        <f>PM_Angle!$J$24+PM_Angle!$K$24*$C1240+PM_Angle!$L$24*$B1240</f>
      </c>
      <c r="AS1240" s="12">
        <f>IF(AR1240&gt;0,IF(AR1240&lt;=eco,alpha*fck*(1-(1-AR1240/eco)^n),alpha*fck),0)</f>
      </c>
      <c r="AT1240" s="30">
        <f>PM_Angle!$J$25+PM_Angle!$K$25*$C1240+PM_Angle!$L$25*$B1240</f>
      </c>
      <c r="AU1240" s="12">
        <f>IF(AT1240&gt;0,IF(AT1240&lt;=eco,alpha*fck*(1-(1-AT1240/eco)^n),alpha*fck),0)</f>
      </c>
    </row>
    <row r="1241" spans="1:47" x14ac:dyDescent="0.25">
      <c r="A1241">
        <f>Mesh!A1238</f>
      </c>
      <c r="B1241" s="12">
        <f>Mesh!B1238</f>
      </c>
      <c r="C1241" s="12">
        <f>Mesh!C1238</f>
      </c>
      <c r="D1241" s="12">
        <f>Mesh!D1238</f>
      </c>
      <c r="E1241" s="30">
        <f>INDEX(St_e0,Det+1)+INDEX(St_kx,Det+1)*C1241+INDEX(St_ky,Det+1)*B1241</f>
      </c>
      <c r="F1241" s="12">
        <f>IF(E1241&gt;0,IF(E1241&lt;=eco,alpha*fck*(1-(1-E1241/eco)^n),alpha*fck),0)</f>
      </c>
      <c r="G1241" s="11">
        <f>F1241*D1241</f>
      </c>
      <c r="H1241" s="11">
        <f>G1241*C1241</f>
      </c>
      <c r="I1241" s="11">
        <f>G1241*B1241</f>
      </c>
      <c r="J1241" s="30">
        <f>PM_Angle!$J$7+PM_Angle!$K$7*$C1241+PM_Angle!$L$7*$B1241</f>
      </c>
      <c r="K1241" s="12">
        <f>IF(J1241&gt;0,IF(J1241&lt;=eco,alpha*fck*(1-(1-J1241/eco)^n),alpha*fck),0)</f>
      </c>
      <c r="L1241" s="30">
        <f>PM_Angle!$J$8+PM_Angle!$K$8*$C1241+PM_Angle!$L$8*$B1241</f>
      </c>
      <c r="M1241" s="12">
        <f>IF(L1241&gt;0,IF(L1241&lt;=eco,alpha*fck*(1-(1-L1241/eco)^n),alpha*fck),0)</f>
      </c>
      <c r="N1241" s="30">
        <f>PM_Angle!$J$9+PM_Angle!$K$9*$C1241+PM_Angle!$L$9*$B1241</f>
      </c>
      <c r="O1241" s="12">
        <f>IF(N1241&gt;0,IF(N1241&lt;=eco,alpha*fck*(1-(1-N1241/eco)^n),alpha*fck),0)</f>
      </c>
      <c r="P1241" s="30">
        <f>PM_Angle!$J$10+PM_Angle!$K$10*$C1241+PM_Angle!$L$10*$B1241</f>
      </c>
      <c r="Q1241" s="12">
        <f>IF(P1241&gt;0,IF(P1241&lt;=eco,alpha*fck*(1-(1-P1241/eco)^n),alpha*fck),0)</f>
      </c>
      <c r="R1241" s="30">
        <f>PM_Angle!$J$11+PM_Angle!$K$11*$C1241+PM_Angle!$L$11*$B1241</f>
      </c>
      <c r="S1241" s="12">
        <f>IF(R1241&gt;0,IF(R1241&lt;=eco,alpha*fck*(1-(1-R1241/eco)^n),alpha*fck),0)</f>
      </c>
      <c r="T1241" s="30">
        <f>PM_Angle!$J$12+PM_Angle!$K$12*$C1241+PM_Angle!$L$12*$B1241</f>
      </c>
      <c r="U1241" s="12">
        <f>IF(T1241&gt;0,IF(T1241&lt;=eco,alpha*fck*(1-(1-T1241/eco)^n),alpha*fck),0)</f>
      </c>
      <c r="V1241" s="30">
        <f>PM_Angle!$J$13+PM_Angle!$K$13*$C1241+PM_Angle!$L$13*$B1241</f>
      </c>
      <c r="W1241" s="12">
        <f>IF(V1241&gt;0,IF(V1241&lt;=eco,alpha*fck*(1-(1-V1241/eco)^n),alpha*fck),0)</f>
      </c>
      <c r="X1241" s="30">
        <f>PM_Angle!$J$14+PM_Angle!$K$14*$C1241+PM_Angle!$L$14*$B1241</f>
      </c>
      <c r="Y1241" s="12">
        <f>IF(X1241&gt;0,IF(X1241&lt;=eco,alpha*fck*(1-(1-X1241/eco)^n),alpha*fck),0)</f>
      </c>
      <c r="Z1241" s="30">
        <f>PM_Angle!$J$15+PM_Angle!$K$15*$C1241+PM_Angle!$L$15*$B1241</f>
      </c>
      <c r="AA1241" s="12">
        <f>IF(Z1241&gt;0,IF(Z1241&lt;=eco,alpha*fck*(1-(1-Z1241/eco)^n),alpha*fck),0)</f>
      </c>
      <c r="AB1241" s="30">
        <f>PM_Angle!$J$16+PM_Angle!$K$16*$C1241+PM_Angle!$L$16*$B1241</f>
      </c>
      <c r="AC1241" s="12">
        <f>IF(AB1241&gt;0,IF(AB1241&lt;=eco,alpha*fck*(1-(1-AB1241/eco)^n),alpha*fck),0)</f>
      </c>
      <c r="AD1241" s="30">
        <f>PM_Angle!$J$17+PM_Angle!$K$17*$C1241+PM_Angle!$L$17*$B1241</f>
      </c>
      <c r="AE1241" s="12">
        <f>IF(AD1241&gt;0,IF(AD1241&lt;=eco,alpha*fck*(1-(1-AD1241/eco)^n),alpha*fck),0)</f>
      </c>
      <c r="AF1241" s="30">
        <f>PM_Angle!$J$18+PM_Angle!$K$18*$C1241+PM_Angle!$L$18*$B1241</f>
      </c>
      <c r="AG1241" s="12">
        <f>IF(AF1241&gt;0,IF(AF1241&lt;=eco,alpha*fck*(1-(1-AF1241/eco)^n),alpha*fck),0)</f>
      </c>
      <c r="AH1241" s="30">
        <f>PM_Angle!$J$19+PM_Angle!$K$19*$C1241+PM_Angle!$L$19*$B1241</f>
      </c>
      <c r="AI1241" s="12">
        <f>IF(AH1241&gt;0,IF(AH1241&lt;=eco,alpha*fck*(1-(1-AH1241/eco)^n),alpha*fck),0)</f>
      </c>
      <c r="AJ1241" s="30">
        <f>PM_Angle!$J$20+PM_Angle!$K$20*$C1241+PM_Angle!$L$20*$B1241</f>
      </c>
      <c r="AK1241" s="12">
        <f>IF(AJ1241&gt;0,IF(AJ1241&lt;=eco,alpha*fck*(1-(1-AJ1241/eco)^n),alpha*fck),0)</f>
      </c>
      <c r="AL1241" s="30">
        <f>PM_Angle!$J$21+PM_Angle!$K$21*$C1241+PM_Angle!$L$21*$B1241</f>
      </c>
      <c r="AM1241" s="12">
        <f>IF(AL1241&gt;0,IF(AL1241&lt;=eco,alpha*fck*(1-(1-AL1241/eco)^n),alpha*fck),0)</f>
      </c>
      <c r="AN1241" s="30">
        <f>PM_Angle!$J$22+PM_Angle!$K$22*$C1241+PM_Angle!$L$22*$B1241</f>
      </c>
      <c r="AO1241" s="12">
        <f>IF(AN1241&gt;0,IF(AN1241&lt;=eco,alpha*fck*(1-(1-AN1241/eco)^n),alpha*fck),0)</f>
      </c>
      <c r="AP1241" s="30">
        <f>PM_Angle!$J$23+PM_Angle!$K$23*$C1241+PM_Angle!$L$23*$B1241</f>
      </c>
      <c r="AQ1241" s="12">
        <f>IF(AP1241&gt;0,IF(AP1241&lt;=eco,alpha*fck*(1-(1-AP1241/eco)^n),alpha*fck),0)</f>
      </c>
      <c r="AR1241" s="30">
        <f>PM_Angle!$J$24+PM_Angle!$K$24*$C1241+PM_Angle!$L$24*$B1241</f>
      </c>
      <c r="AS1241" s="12">
        <f>IF(AR1241&gt;0,IF(AR1241&lt;=eco,alpha*fck*(1-(1-AR1241/eco)^n),alpha*fck),0)</f>
      </c>
      <c r="AT1241" s="30">
        <f>PM_Angle!$J$25+PM_Angle!$K$25*$C1241+PM_Angle!$L$25*$B1241</f>
      </c>
      <c r="AU1241" s="12">
        <f>IF(AT1241&gt;0,IF(AT1241&lt;=eco,alpha*fck*(1-(1-AT1241/eco)^n),alpha*fck),0)</f>
      </c>
    </row>
    <row r="1242" spans="1:47" x14ac:dyDescent="0.25">
      <c r="A1242">
        <f>Mesh!A1239</f>
      </c>
      <c r="B1242" s="12">
        <f>Mesh!B1239</f>
      </c>
      <c r="C1242" s="12">
        <f>Mesh!C1239</f>
      </c>
      <c r="D1242" s="12">
        <f>Mesh!D1239</f>
      </c>
      <c r="E1242" s="30">
        <f>INDEX(St_e0,Det+1)+INDEX(St_kx,Det+1)*C1242+INDEX(St_ky,Det+1)*B1242</f>
      </c>
      <c r="F1242" s="12">
        <f>IF(E1242&gt;0,IF(E1242&lt;=eco,alpha*fck*(1-(1-E1242/eco)^n),alpha*fck),0)</f>
      </c>
      <c r="G1242" s="11">
        <f>F1242*D1242</f>
      </c>
      <c r="H1242" s="11">
        <f>G1242*C1242</f>
      </c>
      <c r="I1242" s="11">
        <f>G1242*B1242</f>
      </c>
      <c r="J1242" s="30">
        <f>PM_Angle!$J$7+PM_Angle!$K$7*$C1242+PM_Angle!$L$7*$B1242</f>
      </c>
      <c r="K1242" s="12">
        <f>IF(J1242&gt;0,IF(J1242&lt;=eco,alpha*fck*(1-(1-J1242/eco)^n),alpha*fck),0)</f>
      </c>
      <c r="L1242" s="30">
        <f>PM_Angle!$J$8+PM_Angle!$K$8*$C1242+PM_Angle!$L$8*$B1242</f>
      </c>
      <c r="M1242" s="12">
        <f>IF(L1242&gt;0,IF(L1242&lt;=eco,alpha*fck*(1-(1-L1242/eco)^n),alpha*fck),0)</f>
      </c>
      <c r="N1242" s="30">
        <f>PM_Angle!$J$9+PM_Angle!$K$9*$C1242+PM_Angle!$L$9*$B1242</f>
      </c>
      <c r="O1242" s="12">
        <f>IF(N1242&gt;0,IF(N1242&lt;=eco,alpha*fck*(1-(1-N1242/eco)^n),alpha*fck),0)</f>
      </c>
      <c r="P1242" s="30">
        <f>PM_Angle!$J$10+PM_Angle!$K$10*$C1242+PM_Angle!$L$10*$B1242</f>
      </c>
      <c r="Q1242" s="12">
        <f>IF(P1242&gt;0,IF(P1242&lt;=eco,alpha*fck*(1-(1-P1242/eco)^n),alpha*fck),0)</f>
      </c>
      <c r="R1242" s="30">
        <f>PM_Angle!$J$11+PM_Angle!$K$11*$C1242+PM_Angle!$L$11*$B1242</f>
      </c>
      <c r="S1242" s="12">
        <f>IF(R1242&gt;0,IF(R1242&lt;=eco,alpha*fck*(1-(1-R1242/eco)^n),alpha*fck),0)</f>
      </c>
      <c r="T1242" s="30">
        <f>PM_Angle!$J$12+PM_Angle!$K$12*$C1242+PM_Angle!$L$12*$B1242</f>
      </c>
      <c r="U1242" s="12">
        <f>IF(T1242&gt;0,IF(T1242&lt;=eco,alpha*fck*(1-(1-T1242/eco)^n),alpha*fck),0)</f>
      </c>
      <c r="V1242" s="30">
        <f>PM_Angle!$J$13+PM_Angle!$K$13*$C1242+PM_Angle!$L$13*$B1242</f>
      </c>
      <c r="W1242" s="12">
        <f>IF(V1242&gt;0,IF(V1242&lt;=eco,alpha*fck*(1-(1-V1242/eco)^n),alpha*fck),0)</f>
      </c>
      <c r="X1242" s="30">
        <f>PM_Angle!$J$14+PM_Angle!$K$14*$C1242+PM_Angle!$L$14*$B1242</f>
      </c>
      <c r="Y1242" s="12">
        <f>IF(X1242&gt;0,IF(X1242&lt;=eco,alpha*fck*(1-(1-X1242/eco)^n),alpha*fck),0)</f>
      </c>
      <c r="Z1242" s="30">
        <f>PM_Angle!$J$15+PM_Angle!$K$15*$C1242+PM_Angle!$L$15*$B1242</f>
      </c>
      <c r="AA1242" s="12">
        <f>IF(Z1242&gt;0,IF(Z1242&lt;=eco,alpha*fck*(1-(1-Z1242/eco)^n),alpha*fck),0)</f>
      </c>
      <c r="AB1242" s="30">
        <f>PM_Angle!$J$16+PM_Angle!$K$16*$C1242+PM_Angle!$L$16*$B1242</f>
      </c>
      <c r="AC1242" s="12">
        <f>IF(AB1242&gt;0,IF(AB1242&lt;=eco,alpha*fck*(1-(1-AB1242/eco)^n),alpha*fck),0)</f>
      </c>
      <c r="AD1242" s="30">
        <f>PM_Angle!$J$17+PM_Angle!$K$17*$C1242+PM_Angle!$L$17*$B1242</f>
      </c>
      <c r="AE1242" s="12">
        <f>IF(AD1242&gt;0,IF(AD1242&lt;=eco,alpha*fck*(1-(1-AD1242/eco)^n),alpha*fck),0)</f>
      </c>
      <c r="AF1242" s="30">
        <f>PM_Angle!$J$18+PM_Angle!$K$18*$C1242+PM_Angle!$L$18*$B1242</f>
      </c>
      <c r="AG1242" s="12">
        <f>IF(AF1242&gt;0,IF(AF1242&lt;=eco,alpha*fck*(1-(1-AF1242/eco)^n),alpha*fck),0)</f>
      </c>
      <c r="AH1242" s="30">
        <f>PM_Angle!$J$19+PM_Angle!$K$19*$C1242+PM_Angle!$L$19*$B1242</f>
      </c>
      <c r="AI1242" s="12">
        <f>IF(AH1242&gt;0,IF(AH1242&lt;=eco,alpha*fck*(1-(1-AH1242/eco)^n),alpha*fck),0)</f>
      </c>
      <c r="AJ1242" s="30">
        <f>PM_Angle!$J$20+PM_Angle!$K$20*$C1242+PM_Angle!$L$20*$B1242</f>
      </c>
      <c r="AK1242" s="12">
        <f>IF(AJ1242&gt;0,IF(AJ1242&lt;=eco,alpha*fck*(1-(1-AJ1242/eco)^n),alpha*fck),0)</f>
      </c>
      <c r="AL1242" s="30">
        <f>PM_Angle!$J$21+PM_Angle!$K$21*$C1242+PM_Angle!$L$21*$B1242</f>
      </c>
      <c r="AM1242" s="12">
        <f>IF(AL1242&gt;0,IF(AL1242&lt;=eco,alpha*fck*(1-(1-AL1242/eco)^n),alpha*fck),0)</f>
      </c>
      <c r="AN1242" s="30">
        <f>PM_Angle!$J$22+PM_Angle!$K$22*$C1242+PM_Angle!$L$22*$B1242</f>
      </c>
      <c r="AO1242" s="12">
        <f>IF(AN1242&gt;0,IF(AN1242&lt;=eco,alpha*fck*(1-(1-AN1242/eco)^n),alpha*fck),0)</f>
      </c>
      <c r="AP1242" s="30">
        <f>PM_Angle!$J$23+PM_Angle!$K$23*$C1242+PM_Angle!$L$23*$B1242</f>
      </c>
      <c r="AQ1242" s="12">
        <f>IF(AP1242&gt;0,IF(AP1242&lt;=eco,alpha*fck*(1-(1-AP1242/eco)^n),alpha*fck),0)</f>
      </c>
      <c r="AR1242" s="30">
        <f>PM_Angle!$J$24+PM_Angle!$K$24*$C1242+PM_Angle!$L$24*$B1242</f>
      </c>
      <c r="AS1242" s="12">
        <f>IF(AR1242&gt;0,IF(AR1242&lt;=eco,alpha*fck*(1-(1-AR1242/eco)^n),alpha*fck),0)</f>
      </c>
      <c r="AT1242" s="30">
        <f>PM_Angle!$J$25+PM_Angle!$K$25*$C1242+PM_Angle!$L$25*$B1242</f>
      </c>
      <c r="AU1242" s="12">
        <f>IF(AT1242&gt;0,IF(AT1242&lt;=eco,alpha*fck*(1-(1-AT1242/eco)^n),alpha*fck),0)</f>
      </c>
    </row>
    <row r="1243" spans="1:47" x14ac:dyDescent="0.25">
      <c r="A1243">
        <f>Mesh!A1240</f>
      </c>
      <c r="B1243" s="12">
        <f>Mesh!B1240</f>
      </c>
      <c r="C1243" s="12">
        <f>Mesh!C1240</f>
      </c>
      <c r="D1243" s="12">
        <f>Mesh!D1240</f>
      </c>
      <c r="E1243" s="30">
        <f>INDEX(St_e0,Det+1)+INDEX(St_kx,Det+1)*C1243+INDEX(St_ky,Det+1)*B1243</f>
      </c>
      <c r="F1243" s="12">
        <f>IF(E1243&gt;0,IF(E1243&lt;=eco,alpha*fck*(1-(1-E1243/eco)^n),alpha*fck),0)</f>
      </c>
      <c r="G1243" s="11">
        <f>F1243*D1243</f>
      </c>
      <c r="H1243" s="11">
        <f>G1243*C1243</f>
      </c>
      <c r="I1243" s="11">
        <f>G1243*B1243</f>
      </c>
      <c r="J1243" s="30">
        <f>PM_Angle!$J$7+PM_Angle!$K$7*$C1243+PM_Angle!$L$7*$B1243</f>
      </c>
      <c r="K1243" s="12">
        <f>IF(J1243&gt;0,IF(J1243&lt;=eco,alpha*fck*(1-(1-J1243/eco)^n),alpha*fck),0)</f>
      </c>
      <c r="L1243" s="30">
        <f>PM_Angle!$J$8+PM_Angle!$K$8*$C1243+PM_Angle!$L$8*$B1243</f>
      </c>
      <c r="M1243" s="12">
        <f>IF(L1243&gt;0,IF(L1243&lt;=eco,alpha*fck*(1-(1-L1243/eco)^n),alpha*fck),0)</f>
      </c>
      <c r="N1243" s="30">
        <f>PM_Angle!$J$9+PM_Angle!$K$9*$C1243+PM_Angle!$L$9*$B1243</f>
      </c>
      <c r="O1243" s="12">
        <f>IF(N1243&gt;0,IF(N1243&lt;=eco,alpha*fck*(1-(1-N1243/eco)^n),alpha*fck),0)</f>
      </c>
      <c r="P1243" s="30">
        <f>PM_Angle!$J$10+PM_Angle!$K$10*$C1243+PM_Angle!$L$10*$B1243</f>
      </c>
      <c r="Q1243" s="12">
        <f>IF(P1243&gt;0,IF(P1243&lt;=eco,alpha*fck*(1-(1-P1243/eco)^n),alpha*fck),0)</f>
      </c>
      <c r="R1243" s="30">
        <f>PM_Angle!$J$11+PM_Angle!$K$11*$C1243+PM_Angle!$L$11*$B1243</f>
      </c>
      <c r="S1243" s="12">
        <f>IF(R1243&gt;0,IF(R1243&lt;=eco,alpha*fck*(1-(1-R1243/eco)^n),alpha*fck),0)</f>
      </c>
      <c r="T1243" s="30">
        <f>PM_Angle!$J$12+PM_Angle!$K$12*$C1243+PM_Angle!$L$12*$B1243</f>
      </c>
      <c r="U1243" s="12">
        <f>IF(T1243&gt;0,IF(T1243&lt;=eco,alpha*fck*(1-(1-T1243/eco)^n),alpha*fck),0)</f>
      </c>
      <c r="V1243" s="30">
        <f>PM_Angle!$J$13+PM_Angle!$K$13*$C1243+PM_Angle!$L$13*$B1243</f>
      </c>
      <c r="W1243" s="12">
        <f>IF(V1243&gt;0,IF(V1243&lt;=eco,alpha*fck*(1-(1-V1243/eco)^n),alpha*fck),0)</f>
      </c>
      <c r="X1243" s="30">
        <f>PM_Angle!$J$14+PM_Angle!$K$14*$C1243+PM_Angle!$L$14*$B1243</f>
      </c>
      <c r="Y1243" s="12">
        <f>IF(X1243&gt;0,IF(X1243&lt;=eco,alpha*fck*(1-(1-X1243/eco)^n),alpha*fck),0)</f>
      </c>
      <c r="Z1243" s="30">
        <f>PM_Angle!$J$15+PM_Angle!$K$15*$C1243+PM_Angle!$L$15*$B1243</f>
      </c>
      <c r="AA1243" s="12">
        <f>IF(Z1243&gt;0,IF(Z1243&lt;=eco,alpha*fck*(1-(1-Z1243/eco)^n),alpha*fck),0)</f>
      </c>
      <c r="AB1243" s="30">
        <f>PM_Angle!$J$16+PM_Angle!$K$16*$C1243+PM_Angle!$L$16*$B1243</f>
      </c>
      <c r="AC1243" s="12">
        <f>IF(AB1243&gt;0,IF(AB1243&lt;=eco,alpha*fck*(1-(1-AB1243/eco)^n),alpha*fck),0)</f>
      </c>
      <c r="AD1243" s="30">
        <f>PM_Angle!$J$17+PM_Angle!$K$17*$C1243+PM_Angle!$L$17*$B1243</f>
      </c>
      <c r="AE1243" s="12">
        <f>IF(AD1243&gt;0,IF(AD1243&lt;=eco,alpha*fck*(1-(1-AD1243/eco)^n),alpha*fck),0)</f>
      </c>
      <c r="AF1243" s="30">
        <f>PM_Angle!$J$18+PM_Angle!$K$18*$C1243+PM_Angle!$L$18*$B1243</f>
      </c>
      <c r="AG1243" s="12">
        <f>IF(AF1243&gt;0,IF(AF1243&lt;=eco,alpha*fck*(1-(1-AF1243/eco)^n),alpha*fck),0)</f>
      </c>
      <c r="AH1243" s="30">
        <f>PM_Angle!$J$19+PM_Angle!$K$19*$C1243+PM_Angle!$L$19*$B1243</f>
      </c>
      <c r="AI1243" s="12">
        <f>IF(AH1243&gt;0,IF(AH1243&lt;=eco,alpha*fck*(1-(1-AH1243/eco)^n),alpha*fck),0)</f>
      </c>
      <c r="AJ1243" s="30">
        <f>PM_Angle!$J$20+PM_Angle!$K$20*$C1243+PM_Angle!$L$20*$B1243</f>
      </c>
      <c r="AK1243" s="12">
        <f>IF(AJ1243&gt;0,IF(AJ1243&lt;=eco,alpha*fck*(1-(1-AJ1243/eco)^n),alpha*fck),0)</f>
      </c>
      <c r="AL1243" s="30">
        <f>PM_Angle!$J$21+PM_Angle!$K$21*$C1243+PM_Angle!$L$21*$B1243</f>
      </c>
      <c r="AM1243" s="12">
        <f>IF(AL1243&gt;0,IF(AL1243&lt;=eco,alpha*fck*(1-(1-AL1243/eco)^n),alpha*fck),0)</f>
      </c>
      <c r="AN1243" s="30">
        <f>PM_Angle!$J$22+PM_Angle!$K$22*$C1243+PM_Angle!$L$22*$B1243</f>
      </c>
      <c r="AO1243" s="12">
        <f>IF(AN1243&gt;0,IF(AN1243&lt;=eco,alpha*fck*(1-(1-AN1243/eco)^n),alpha*fck),0)</f>
      </c>
      <c r="AP1243" s="30">
        <f>PM_Angle!$J$23+PM_Angle!$K$23*$C1243+PM_Angle!$L$23*$B1243</f>
      </c>
      <c r="AQ1243" s="12">
        <f>IF(AP1243&gt;0,IF(AP1243&lt;=eco,alpha*fck*(1-(1-AP1243/eco)^n),alpha*fck),0)</f>
      </c>
      <c r="AR1243" s="30">
        <f>PM_Angle!$J$24+PM_Angle!$K$24*$C1243+PM_Angle!$L$24*$B1243</f>
      </c>
      <c r="AS1243" s="12">
        <f>IF(AR1243&gt;0,IF(AR1243&lt;=eco,alpha*fck*(1-(1-AR1243/eco)^n),alpha*fck),0)</f>
      </c>
      <c r="AT1243" s="30">
        <f>PM_Angle!$J$25+PM_Angle!$K$25*$C1243+PM_Angle!$L$25*$B1243</f>
      </c>
      <c r="AU1243" s="12">
        <f>IF(AT1243&gt;0,IF(AT1243&lt;=eco,alpha*fck*(1-(1-AT1243/eco)^n),alpha*fck),0)</f>
      </c>
    </row>
    <row r="1244" spans="1:47" x14ac:dyDescent="0.25">
      <c r="A1244">
        <f>Mesh!A1241</f>
      </c>
      <c r="B1244" s="12">
        <f>Mesh!B1241</f>
      </c>
      <c r="C1244" s="12">
        <f>Mesh!C1241</f>
      </c>
      <c r="D1244" s="12">
        <f>Mesh!D1241</f>
      </c>
      <c r="E1244" s="30">
        <f>INDEX(St_e0,Det+1)+INDEX(St_kx,Det+1)*C1244+INDEX(St_ky,Det+1)*B1244</f>
      </c>
      <c r="F1244" s="12">
        <f>IF(E1244&gt;0,IF(E1244&lt;=eco,alpha*fck*(1-(1-E1244/eco)^n),alpha*fck),0)</f>
      </c>
      <c r="G1244" s="11">
        <f>F1244*D1244</f>
      </c>
      <c r="H1244" s="11">
        <f>G1244*C1244</f>
      </c>
      <c r="I1244" s="11">
        <f>G1244*B1244</f>
      </c>
      <c r="J1244" s="30">
        <f>PM_Angle!$J$7+PM_Angle!$K$7*$C1244+PM_Angle!$L$7*$B1244</f>
      </c>
      <c r="K1244" s="12">
        <f>IF(J1244&gt;0,IF(J1244&lt;=eco,alpha*fck*(1-(1-J1244/eco)^n),alpha*fck),0)</f>
      </c>
      <c r="L1244" s="30">
        <f>PM_Angle!$J$8+PM_Angle!$K$8*$C1244+PM_Angle!$L$8*$B1244</f>
      </c>
      <c r="M1244" s="12">
        <f>IF(L1244&gt;0,IF(L1244&lt;=eco,alpha*fck*(1-(1-L1244/eco)^n),alpha*fck),0)</f>
      </c>
      <c r="N1244" s="30">
        <f>PM_Angle!$J$9+PM_Angle!$K$9*$C1244+PM_Angle!$L$9*$B1244</f>
      </c>
      <c r="O1244" s="12">
        <f>IF(N1244&gt;0,IF(N1244&lt;=eco,alpha*fck*(1-(1-N1244/eco)^n),alpha*fck),0)</f>
      </c>
      <c r="P1244" s="30">
        <f>PM_Angle!$J$10+PM_Angle!$K$10*$C1244+PM_Angle!$L$10*$B1244</f>
      </c>
      <c r="Q1244" s="12">
        <f>IF(P1244&gt;0,IF(P1244&lt;=eco,alpha*fck*(1-(1-P1244/eco)^n),alpha*fck),0)</f>
      </c>
      <c r="R1244" s="30">
        <f>PM_Angle!$J$11+PM_Angle!$K$11*$C1244+PM_Angle!$L$11*$B1244</f>
      </c>
      <c r="S1244" s="12">
        <f>IF(R1244&gt;0,IF(R1244&lt;=eco,alpha*fck*(1-(1-R1244/eco)^n),alpha*fck),0)</f>
      </c>
      <c r="T1244" s="30">
        <f>PM_Angle!$J$12+PM_Angle!$K$12*$C1244+PM_Angle!$L$12*$B1244</f>
      </c>
      <c r="U1244" s="12">
        <f>IF(T1244&gt;0,IF(T1244&lt;=eco,alpha*fck*(1-(1-T1244/eco)^n),alpha*fck),0)</f>
      </c>
      <c r="V1244" s="30">
        <f>PM_Angle!$J$13+PM_Angle!$K$13*$C1244+PM_Angle!$L$13*$B1244</f>
      </c>
      <c r="W1244" s="12">
        <f>IF(V1244&gt;0,IF(V1244&lt;=eco,alpha*fck*(1-(1-V1244/eco)^n),alpha*fck),0)</f>
      </c>
      <c r="X1244" s="30">
        <f>PM_Angle!$J$14+PM_Angle!$K$14*$C1244+PM_Angle!$L$14*$B1244</f>
      </c>
      <c r="Y1244" s="12">
        <f>IF(X1244&gt;0,IF(X1244&lt;=eco,alpha*fck*(1-(1-X1244/eco)^n),alpha*fck),0)</f>
      </c>
      <c r="Z1244" s="30">
        <f>PM_Angle!$J$15+PM_Angle!$K$15*$C1244+PM_Angle!$L$15*$B1244</f>
      </c>
      <c r="AA1244" s="12">
        <f>IF(Z1244&gt;0,IF(Z1244&lt;=eco,alpha*fck*(1-(1-Z1244/eco)^n),alpha*fck),0)</f>
      </c>
      <c r="AB1244" s="30">
        <f>PM_Angle!$J$16+PM_Angle!$K$16*$C1244+PM_Angle!$L$16*$B1244</f>
      </c>
      <c r="AC1244" s="12">
        <f>IF(AB1244&gt;0,IF(AB1244&lt;=eco,alpha*fck*(1-(1-AB1244/eco)^n),alpha*fck),0)</f>
      </c>
      <c r="AD1244" s="30">
        <f>PM_Angle!$J$17+PM_Angle!$K$17*$C1244+PM_Angle!$L$17*$B1244</f>
      </c>
      <c r="AE1244" s="12">
        <f>IF(AD1244&gt;0,IF(AD1244&lt;=eco,alpha*fck*(1-(1-AD1244/eco)^n),alpha*fck),0)</f>
      </c>
      <c r="AF1244" s="30">
        <f>PM_Angle!$J$18+PM_Angle!$K$18*$C1244+PM_Angle!$L$18*$B1244</f>
      </c>
      <c r="AG1244" s="12">
        <f>IF(AF1244&gt;0,IF(AF1244&lt;=eco,alpha*fck*(1-(1-AF1244/eco)^n),alpha*fck),0)</f>
      </c>
      <c r="AH1244" s="30">
        <f>PM_Angle!$J$19+PM_Angle!$K$19*$C1244+PM_Angle!$L$19*$B1244</f>
      </c>
      <c r="AI1244" s="12">
        <f>IF(AH1244&gt;0,IF(AH1244&lt;=eco,alpha*fck*(1-(1-AH1244/eco)^n),alpha*fck),0)</f>
      </c>
      <c r="AJ1244" s="30">
        <f>PM_Angle!$J$20+PM_Angle!$K$20*$C1244+PM_Angle!$L$20*$B1244</f>
      </c>
      <c r="AK1244" s="12">
        <f>IF(AJ1244&gt;0,IF(AJ1244&lt;=eco,alpha*fck*(1-(1-AJ1244/eco)^n),alpha*fck),0)</f>
      </c>
      <c r="AL1244" s="30">
        <f>PM_Angle!$J$21+PM_Angle!$K$21*$C1244+PM_Angle!$L$21*$B1244</f>
      </c>
      <c r="AM1244" s="12">
        <f>IF(AL1244&gt;0,IF(AL1244&lt;=eco,alpha*fck*(1-(1-AL1244/eco)^n),alpha*fck),0)</f>
      </c>
      <c r="AN1244" s="30">
        <f>PM_Angle!$J$22+PM_Angle!$K$22*$C1244+PM_Angle!$L$22*$B1244</f>
      </c>
      <c r="AO1244" s="12">
        <f>IF(AN1244&gt;0,IF(AN1244&lt;=eco,alpha*fck*(1-(1-AN1244/eco)^n),alpha*fck),0)</f>
      </c>
      <c r="AP1244" s="30">
        <f>PM_Angle!$J$23+PM_Angle!$K$23*$C1244+PM_Angle!$L$23*$B1244</f>
      </c>
      <c r="AQ1244" s="12">
        <f>IF(AP1244&gt;0,IF(AP1244&lt;=eco,alpha*fck*(1-(1-AP1244/eco)^n),alpha*fck),0)</f>
      </c>
      <c r="AR1244" s="30">
        <f>PM_Angle!$J$24+PM_Angle!$K$24*$C1244+PM_Angle!$L$24*$B1244</f>
      </c>
      <c r="AS1244" s="12">
        <f>IF(AR1244&gt;0,IF(AR1244&lt;=eco,alpha*fck*(1-(1-AR1244/eco)^n),alpha*fck),0)</f>
      </c>
      <c r="AT1244" s="30">
        <f>PM_Angle!$J$25+PM_Angle!$K$25*$C1244+PM_Angle!$L$25*$B1244</f>
      </c>
      <c r="AU1244" s="12">
        <f>IF(AT1244&gt;0,IF(AT1244&lt;=eco,alpha*fck*(1-(1-AT1244/eco)^n),alpha*fck),0)</f>
      </c>
    </row>
    <row r="1245" spans="1:47" x14ac:dyDescent="0.25">
      <c r="A1245">
        <f>Mesh!A1242</f>
      </c>
      <c r="B1245" s="12">
        <f>Mesh!B1242</f>
      </c>
      <c r="C1245" s="12">
        <f>Mesh!C1242</f>
      </c>
      <c r="D1245" s="12">
        <f>Mesh!D1242</f>
      </c>
      <c r="E1245" s="30">
        <f>INDEX(St_e0,Det+1)+INDEX(St_kx,Det+1)*C1245+INDEX(St_ky,Det+1)*B1245</f>
      </c>
      <c r="F1245" s="12">
        <f>IF(E1245&gt;0,IF(E1245&lt;=eco,alpha*fck*(1-(1-E1245/eco)^n),alpha*fck),0)</f>
      </c>
      <c r="G1245" s="11">
        <f>F1245*D1245</f>
      </c>
      <c r="H1245" s="11">
        <f>G1245*C1245</f>
      </c>
      <c r="I1245" s="11">
        <f>G1245*B1245</f>
      </c>
      <c r="J1245" s="30">
        <f>PM_Angle!$J$7+PM_Angle!$K$7*$C1245+PM_Angle!$L$7*$B1245</f>
      </c>
      <c r="K1245" s="12">
        <f>IF(J1245&gt;0,IF(J1245&lt;=eco,alpha*fck*(1-(1-J1245/eco)^n),alpha*fck),0)</f>
      </c>
      <c r="L1245" s="30">
        <f>PM_Angle!$J$8+PM_Angle!$K$8*$C1245+PM_Angle!$L$8*$B1245</f>
      </c>
      <c r="M1245" s="12">
        <f>IF(L1245&gt;0,IF(L1245&lt;=eco,alpha*fck*(1-(1-L1245/eco)^n),alpha*fck),0)</f>
      </c>
      <c r="N1245" s="30">
        <f>PM_Angle!$J$9+PM_Angle!$K$9*$C1245+PM_Angle!$L$9*$B1245</f>
      </c>
      <c r="O1245" s="12">
        <f>IF(N1245&gt;0,IF(N1245&lt;=eco,alpha*fck*(1-(1-N1245/eco)^n),alpha*fck),0)</f>
      </c>
      <c r="P1245" s="30">
        <f>PM_Angle!$J$10+PM_Angle!$K$10*$C1245+PM_Angle!$L$10*$B1245</f>
      </c>
      <c r="Q1245" s="12">
        <f>IF(P1245&gt;0,IF(P1245&lt;=eco,alpha*fck*(1-(1-P1245/eco)^n),alpha*fck),0)</f>
      </c>
      <c r="R1245" s="30">
        <f>PM_Angle!$J$11+PM_Angle!$K$11*$C1245+PM_Angle!$L$11*$B1245</f>
      </c>
      <c r="S1245" s="12">
        <f>IF(R1245&gt;0,IF(R1245&lt;=eco,alpha*fck*(1-(1-R1245/eco)^n),alpha*fck),0)</f>
      </c>
      <c r="T1245" s="30">
        <f>PM_Angle!$J$12+PM_Angle!$K$12*$C1245+PM_Angle!$L$12*$B1245</f>
      </c>
      <c r="U1245" s="12">
        <f>IF(T1245&gt;0,IF(T1245&lt;=eco,alpha*fck*(1-(1-T1245/eco)^n),alpha*fck),0)</f>
      </c>
      <c r="V1245" s="30">
        <f>PM_Angle!$J$13+PM_Angle!$K$13*$C1245+PM_Angle!$L$13*$B1245</f>
      </c>
      <c r="W1245" s="12">
        <f>IF(V1245&gt;0,IF(V1245&lt;=eco,alpha*fck*(1-(1-V1245/eco)^n),alpha*fck),0)</f>
      </c>
      <c r="X1245" s="30">
        <f>PM_Angle!$J$14+PM_Angle!$K$14*$C1245+PM_Angle!$L$14*$B1245</f>
      </c>
      <c r="Y1245" s="12">
        <f>IF(X1245&gt;0,IF(X1245&lt;=eco,alpha*fck*(1-(1-X1245/eco)^n),alpha*fck),0)</f>
      </c>
      <c r="Z1245" s="30">
        <f>PM_Angle!$J$15+PM_Angle!$K$15*$C1245+PM_Angle!$L$15*$B1245</f>
      </c>
      <c r="AA1245" s="12">
        <f>IF(Z1245&gt;0,IF(Z1245&lt;=eco,alpha*fck*(1-(1-Z1245/eco)^n),alpha*fck),0)</f>
      </c>
      <c r="AB1245" s="30">
        <f>PM_Angle!$J$16+PM_Angle!$K$16*$C1245+PM_Angle!$L$16*$B1245</f>
      </c>
      <c r="AC1245" s="12">
        <f>IF(AB1245&gt;0,IF(AB1245&lt;=eco,alpha*fck*(1-(1-AB1245/eco)^n),alpha*fck),0)</f>
      </c>
      <c r="AD1245" s="30">
        <f>PM_Angle!$J$17+PM_Angle!$K$17*$C1245+PM_Angle!$L$17*$B1245</f>
      </c>
      <c r="AE1245" s="12">
        <f>IF(AD1245&gt;0,IF(AD1245&lt;=eco,alpha*fck*(1-(1-AD1245/eco)^n),alpha*fck),0)</f>
      </c>
      <c r="AF1245" s="30">
        <f>PM_Angle!$J$18+PM_Angle!$K$18*$C1245+PM_Angle!$L$18*$B1245</f>
      </c>
      <c r="AG1245" s="12">
        <f>IF(AF1245&gt;0,IF(AF1245&lt;=eco,alpha*fck*(1-(1-AF1245/eco)^n),alpha*fck),0)</f>
      </c>
      <c r="AH1245" s="30">
        <f>PM_Angle!$J$19+PM_Angle!$K$19*$C1245+PM_Angle!$L$19*$B1245</f>
      </c>
      <c r="AI1245" s="12">
        <f>IF(AH1245&gt;0,IF(AH1245&lt;=eco,alpha*fck*(1-(1-AH1245/eco)^n),alpha*fck),0)</f>
      </c>
      <c r="AJ1245" s="30">
        <f>PM_Angle!$J$20+PM_Angle!$K$20*$C1245+PM_Angle!$L$20*$B1245</f>
      </c>
      <c r="AK1245" s="12">
        <f>IF(AJ1245&gt;0,IF(AJ1245&lt;=eco,alpha*fck*(1-(1-AJ1245/eco)^n),alpha*fck),0)</f>
      </c>
      <c r="AL1245" s="30">
        <f>PM_Angle!$J$21+PM_Angle!$K$21*$C1245+PM_Angle!$L$21*$B1245</f>
      </c>
      <c r="AM1245" s="12">
        <f>IF(AL1245&gt;0,IF(AL1245&lt;=eco,alpha*fck*(1-(1-AL1245/eco)^n),alpha*fck),0)</f>
      </c>
      <c r="AN1245" s="30">
        <f>PM_Angle!$J$22+PM_Angle!$K$22*$C1245+PM_Angle!$L$22*$B1245</f>
      </c>
      <c r="AO1245" s="12">
        <f>IF(AN1245&gt;0,IF(AN1245&lt;=eco,alpha*fck*(1-(1-AN1245/eco)^n),alpha*fck),0)</f>
      </c>
      <c r="AP1245" s="30">
        <f>PM_Angle!$J$23+PM_Angle!$K$23*$C1245+PM_Angle!$L$23*$B1245</f>
      </c>
      <c r="AQ1245" s="12">
        <f>IF(AP1245&gt;0,IF(AP1245&lt;=eco,alpha*fck*(1-(1-AP1245/eco)^n),alpha*fck),0)</f>
      </c>
      <c r="AR1245" s="30">
        <f>PM_Angle!$J$24+PM_Angle!$K$24*$C1245+PM_Angle!$L$24*$B1245</f>
      </c>
      <c r="AS1245" s="12">
        <f>IF(AR1245&gt;0,IF(AR1245&lt;=eco,alpha*fck*(1-(1-AR1245/eco)^n),alpha*fck),0)</f>
      </c>
      <c r="AT1245" s="30">
        <f>PM_Angle!$J$25+PM_Angle!$K$25*$C1245+PM_Angle!$L$25*$B1245</f>
      </c>
      <c r="AU1245" s="12">
        <f>IF(AT1245&gt;0,IF(AT1245&lt;=eco,alpha*fck*(1-(1-AT1245/eco)^n),alpha*fck),0)</f>
      </c>
    </row>
    <row r="1246" spans="1:47" x14ac:dyDescent="0.25">
      <c r="A1246">
        <f>Mesh!A1243</f>
      </c>
      <c r="B1246" s="12">
        <f>Mesh!B1243</f>
      </c>
      <c r="C1246" s="12">
        <f>Mesh!C1243</f>
      </c>
      <c r="D1246" s="12">
        <f>Mesh!D1243</f>
      </c>
      <c r="E1246" s="30">
        <f>INDEX(St_e0,Det+1)+INDEX(St_kx,Det+1)*C1246+INDEX(St_ky,Det+1)*B1246</f>
      </c>
      <c r="F1246" s="12">
        <f>IF(E1246&gt;0,IF(E1246&lt;=eco,alpha*fck*(1-(1-E1246/eco)^n),alpha*fck),0)</f>
      </c>
      <c r="G1246" s="11">
        <f>F1246*D1246</f>
      </c>
      <c r="H1246" s="11">
        <f>G1246*C1246</f>
      </c>
      <c r="I1246" s="11">
        <f>G1246*B1246</f>
      </c>
      <c r="J1246" s="30">
        <f>PM_Angle!$J$7+PM_Angle!$K$7*$C1246+PM_Angle!$L$7*$B1246</f>
      </c>
      <c r="K1246" s="12">
        <f>IF(J1246&gt;0,IF(J1246&lt;=eco,alpha*fck*(1-(1-J1246/eco)^n),alpha*fck),0)</f>
      </c>
      <c r="L1246" s="30">
        <f>PM_Angle!$J$8+PM_Angle!$K$8*$C1246+PM_Angle!$L$8*$B1246</f>
      </c>
      <c r="M1246" s="12">
        <f>IF(L1246&gt;0,IF(L1246&lt;=eco,alpha*fck*(1-(1-L1246/eco)^n),alpha*fck),0)</f>
      </c>
      <c r="N1246" s="30">
        <f>PM_Angle!$J$9+PM_Angle!$K$9*$C1246+PM_Angle!$L$9*$B1246</f>
      </c>
      <c r="O1246" s="12">
        <f>IF(N1246&gt;0,IF(N1246&lt;=eco,alpha*fck*(1-(1-N1246/eco)^n),alpha*fck),0)</f>
      </c>
      <c r="P1246" s="30">
        <f>PM_Angle!$J$10+PM_Angle!$K$10*$C1246+PM_Angle!$L$10*$B1246</f>
      </c>
      <c r="Q1246" s="12">
        <f>IF(P1246&gt;0,IF(P1246&lt;=eco,alpha*fck*(1-(1-P1246/eco)^n),alpha*fck),0)</f>
      </c>
      <c r="R1246" s="30">
        <f>PM_Angle!$J$11+PM_Angle!$K$11*$C1246+PM_Angle!$L$11*$B1246</f>
      </c>
      <c r="S1246" s="12">
        <f>IF(R1246&gt;0,IF(R1246&lt;=eco,alpha*fck*(1-(1-R1246/eco)^n),alpha*fck),0)</f>
      </c>
      <c r="T1246" s="30">
        <f>PM_Angle!$J$12+PM_Angle!$K$12*$C1246+PM_Angle!$L$12*$B1246</f>
      </c>
      <c r="U1246" s="12">
        <f>IF(T1246&gt;0,IF(T1246&lt;=eco,alpha*fck*(1-(1-T1246/eco)^n),alpha*fck),0)</f>
      </c>
      <c r="V1246" s="30">
        <f>PM_Angle!$J$13+PM_Angle!$K$13*$C1246+PM_Angle!$L$13*$B1246</f>
      </c>
      <c r="W1246" s="12">
        <f>IF(V1246&gt;0,IF(V1246&lt;=eco,alpha*fck*(1-(1-V1246/eco)^n),alpha*fck),0)</f>
      </c>
      <c r="X1246" s="30">
        <f>PM_Angle!$J$14+PM_Angle!$K$14*$C1246+PM_Angle!$L$14*$B1246</f>
      </c>
      <c r="Y1246" s="12">
        <f>IF(X1246&gt;0,IF(X1246&lt;=eco,alpha*fck*(1-(1-X1246/eco)^n),alpha*fck),0)</f>
      </c>
      <c r="Z1246" s="30">
        <f>PM_Angle!$J$15+PM_Angle!$K$15*$C1246+PM_Angle!$L$15*$B1246</f>
      </c>
      <c r="AA1246" s="12">
        <f>IF(Z1246&gt;0,IF(Z1246&lt;=eco,alpha*fck*(1-(1-Z1246/eco)^n),alpha*fck),0)</f>
      </c>
      <c r="AB1246" s="30">
        <f>PM_Angle!$J$16+PM_Angle!$K$16*$C1246+PM_Angle!$L$16*$B1246</f>
      </c>
      <c r="AC1246" s="12">
        <f>IF(AB1246&gt;0,IF(AB1246&lt;=eco,alpha*fck*(1-(1-AB1246/eco)^n),alpha*fck),0)</f>
      </c>
      <c r="AD1246" s="30">
        <f>PM_Angle!$J$17+PM_Angle!$K$17*$C1246+PM_Angle!$L$17*$B1246</f>
      </c>
      <c r="AE1246" s="12">
        <f>IF(AD1246&gt;0,IF(AD1246&lt;=eco,alpha*fck*(1-(1-AD1246/eco)^n),alpha*fck),0)</f>
      </c>
      <c r="AF1246" s="30">
        <f>PM_Angle!$J$18+PM_Angle!$K$18*$C1246+PM_Angle!$L$18*$B1246</f>
      </c>
      <c r="AG1246" s="12">
        <f>IF(AF1246&gt;0,IF(AF1246&lt;=eco,alpha*fck*(1-(1-AF1246/eco)^n),alpha*fck),0)</f>
      </c>
      <c r="AH1246" s="30">
        <f>PM_Angle!$J$19+PM_Angle!$K$19*$C1246+PM_Angle!$L$19*$B1246</f>
      </c>
      <c r="AI1246" s="12">
        <f>IF(AH1246&gt;0,IF(AH1246&lt;=eco,alpha*fck*(1-(1-AH1246/eco)^n),alpha*fck),0)</f>
      </c>
      <c r="AJ1246" s="30">
        <f>PM_Angle!$J$20+PM_Angle!$K$20*$C1246+PM_Angle!$L$20*$B1246</f>
      </c>
      <c r="AK1246" s="12">
        <f>IF(AJ1246&gt;0,IF(AJ1246&lt;=eco,alpha*fck*(1-(1-AJ1246/eco)^n),alpha*fck),0)</f>
      </c>
      <c r="AL1246" s="30">
        <f>PM_Angle!$J$21+PM_Angle!$K$21*$C1246+PM_Angle!$L$21*$B1246</f>
      </c>
      <c r="AM1246" s="12">
        <f>IF(AL1246&gt;0,IF(AL1246&lt;=eco,alpha*fck*(1-(1-AL1246/eco)^n),alpha*fck),0)</f>
      </c>
      <c r="AN1246" s="30">
        <f>PM_Angle!$J$22+PM_Angle!$K$22*$C1246+PM_Angle!$L$22*$B1246</f>
      </c>
      <c r="AO1246" s="12">
        <f>IF(AN1246&gt;0,IF(AN1246&lt;=eco,alpha*fck*(1-(1-AN1246/eco)^n),alpha*fck),0)</f>
      </c>
      <c r="AP1246" s="30">
        <f>PM_Angle!$J$23+PM_Angle!$K$23*$C1246+PM_Angle!$L$23*$B1246</f>
      </c>
      <c r="AQ1246" s="12">
        <f>IF(AP1246&gt;0,IF(AP1246&lt;=eco,alpha*fck*(1-(1-AP1246/eco)^n),alpha*fck),0)</f>
      </c>
      <c r="AR1246" s="30">
        <f>PM_Angle!$J$24+PM_Angle!$K$24*$C1246+PM_Angle!$L$24*$B1246</f>
      </c>
      <c r="AS1246" s="12">
        <f>IF(AR1246&gt;0,IF(AR1246&lt;=eco,alpha*fck*(1-(1-AR1246/eco)^n),alpha*fck),0)</f>
      </c>
      <c r="AT1246" s="30">
        <f>PM_Angle!$J$25+PM_Angle!$K$25*$C1246+PM_Angle!$L$25*$B1246</f>
      </c>
      <c r="AU1246" s="12">
        <f>IF(AT1246&gt;0,IF(AT1246&lt;=eco,alpha*fck*(1-(1-AT1246/eco)^n),alpha*fck),0)</f>
      </c>
    </row>
    <row r="1247" spans="1:47" x14ac:dyDescent="0.25">
      <c r="A1247">
        <f>Mesh!A1244</f>
      </c>
      <c r="B1247" s="12">
        <f>Mesh!B1244</f>
      </c>
      <c r="C1247" s="12">
        <f>Mesh!C1244</f>
      </c>
      <c r="D1247" s="12">
        <f>Mesh!D1244</f>
      </c>
      <c r="E1247" s="30">
        <f>INDEX(St_e0,Det+1)+INDEX(St_kx,Det+1)*C1247+INDEX(St_ky,Det+1)*B1247</f>
      </c>
      <c r="F1247" s="12">
        <f>IF(E1247&gt;0,IF(E1247&lt;=eco,alpha*fck*(1-(1-E1247/eco)^n),alpha*fck),0)</f>
      </c>
      <c r="G1247" s="11">
        <f>F1247*D1247</f>
      </c>
      <c r="H1247" s="11">
        <f>G1247*C1247</f>
      </c>
      <c r="I1247" s="11">
        <f>G1247*B1247</f>
      </c>
      <c r="J1247" s="30">
        <f>PM_Angle!$J$7+PM_Angle!$K$7*$C1247+PM_Angle!$L$7*$B1247</f>
      </c>
      <c r="K1247" s="12">
        <f>IF(J1247&gt;0,IF(J1247&lt;=eco,alpha*fck*(1-(1-J1247/eco)^n),alpha*fck),0)</f>
      </c>
      <c r="L1247" s="30">
        <f>PM_Angle!$J$8+PM_Angle!$K$8*$C1247+PM_Angle!$L$8*$B1247</f>
      </c>
      <c r="M1247" s="12">
        <f>IF(L1247&gt;0,IF(L1247&lt;=eco,alpha*fck*(1-(1-L1247/eco)^n),alpha*fck),0)</f>
      </c>
      <c r="N1247" s="30">
        <f>PM_Angle!$J$9+PM_Angle!$K$9*$C1247+PM_Angle!$L$9*$B1247</f>
      </c>
      <c r="O1247" s="12">
        <f>IF(N1247&gt;0,IF(N1247&lt;=eco,alpha*fck*(1-(1-N1247/eco)^n),alpha*fck),0)</f>
      </c>
      <c r="P1247" s="30">
        <f>PM_Angle!$J$10+PM_Angle!$K$10*$C1247+PM_Angle!$L$10*$B1247</f>
      </c>
      <c r="Q1247" s="12">
        <f>IF(P1247&gt;0,IF(P1247&lt;=eco,alpha*fck*(1-(1-P1247/eco)^n),alpha*fck),0)</f>
      </c>
      <c r="R1247" s="30">
        <f>PM_Angle!$J$11+PM_Angle!$K$11*$C1247+PM_Angle!$L$11*$B1247</f>
      </c>
      <c r="S1247" s="12">
        <f>IF(R1247&gt;0,IF(R1247&lt;=eco,alpha*fck*(1-(1-R1247/eco)^n),alpha*fck),0)</f>
      </c>
      <c r="T1247" s="30">
        <f>PM_Angle!$J$12+PM_Angle!$K$12*$C1247+PM_Angle!$L$12*$B1247</f>
      </c>
      <c r="U1247" s="12">
        <f>IF(T1247&gt;0,IF(T1247&lt;=eco,alpha*fck*(1-(1-T1247/eco)^n),alpha*fck),0)</f>
      </c>
      <c r="V1247" s="30">
        <f>PM_Angle!$J$13+PM_Angle!$K$13*$C1247+PM_Angle!$L$13*$B1247</f>
      </c>
      <c r="W1247" s="12">
        <f>IF(V1247&gt;0,IF(V1247&lt;=eco,alpha*fck*(1-(1-V1247/eco)^n),alpha*fck),0)</f>
      </c>
      <c r="X1247" s="30">
        <f>PM_Angle!$J$14+PM_Angle!$K$14*$C1247+PM_Angle!$L$14*$B1247</f>
      </c>
      <c r="Y1247" s="12">
        <f>IF(X1247&gt;0,IF(X1247&lt;=eco,alpha*fck*(1-(1-X1247/eco)^n),alpha*fck),0)</f>
      </c>
      <c r="Z1247" s="30">
        <f>PM_Angle!$J$15+PM_Angle!$K$15*$C1247+PM_Angle!$L$15*$B1247</f>
      </c>
      <c r="AA1247" s="12">
        <f>IF(Z1247&gt;0,IF(Z1247&lt;=eco,alpha*fck*(1-(1-Z1247/eco)^n),alpha*fck),0)</f>
      </c>
      <c r="AB1247" s="30">
        <f>PM_Angle!$J$16+PM_Angle!$K$16*$C1247+PM_Angle!$L$16*$B1247</f>
      </c>
      <c r="AC1247" s="12">
        <f>IF(AB1247&gt;0,IF(AB1247&lt;=eco,alpha*fck*(1-(1-AB1247/eco)^n),alpha*fck),0)</f>
      </c>
      <c r="AD1247" s="30">
        <f>PM_Angle!$J$17+PM_Angle!$K$17*$C1247+PM_Angle!$L$17*$B1247</f>
      </c>
      <c r="AE1247" s="12">
        <f>IF(AD1247&gt;0,IF(AD1247&lt;=eco,alpha*fck*(1-(1-AD1247/eco)^n),alpha*fck),0)</f>
      </c>
      <c r="AF1247" s="30">
        <f>PM_Angle!$J$18+PM_Angle!$K$18*$C1247+PM_Angle!$L$18*$B1247</f>
      </c>
      <c r="AG1247" s="12">
        <f>IF(AF1247&gt;0,IF(AF1247&lt;=eco,alpha*fck*(1-(1-AF1247/eco)^n),alpha*fck),0)</f>
      </c>
      <c r="AH1247" s="30">
        <f>PM_Angle!$J$19+PM_Angle!$K$19*$C1247+PM_Angle!$L$19*$B1247</f>
      </c>
      <c r="AI1247" s="12">
        <f>IF(AH1247&gt;0,IF(AH1247&lt;=eco,alpha*fck*(1-(1-AH1247/eco)^n),alpha*fck),0)</f>
      </c>
      <c r="AJ1247" s="30">
        <f>PM_Angle!$J$20+PM_Angle!$K$20*$C1247+PM_Angle!$L$20*$B1247</f>
      </c>
      <c r="AK1247" s="12">
        <f>IF(AJ1247&gt;0,IF(AJ1247&lt;=eco,alpha*fck*(1-(1-AJ1247/eco)^n),alpha*fck),0)</f>
      </c>
      <c r="AL1247" s="30">
        <f>PM_Angle!$J$21+PM_Angle!$K$21*$C1247+PM_Angle!$L$21*$B1247</f>
      </c>
      <c r="AM1247" s="12">
        <f>IF(AL1247&gt;0,IF(AL1247&lt;=eco,alpha*fck*(1-(1-AL1247/eco)^n),alpha*fck),0)</f>
      </c>
      <c r="AN1247" s="30">
        <f>PM_Angle!$J$22+PM_Angle!$K$22*$C1247+PM_Angle!$L$22*$B1247</f>
      </c>
      <c r="AO1247" s="12">
        <f>IF(AN1247&gt;0,IF(AN1247&lt;=eco,alpha*fck*(1-(1-AN1247/eco)^n),alpha*fck),0)</f>
      </c>
      <c r="AP1247" s="30">
        <f>PM_Angle!$J$23+PM_Angle!$K$23*$C1247+PM_Angle!$L$23*$B1247</f>
      </c>
      <c r="AQ1247" s="12">
        <f>IF(AP1247&gt;0,IF(AP1247&lt;=eco,alpha*fck*(1-(1-AP1247/eco)^n),alpha*fck),0)</f>
      </c>
      <c r="AR1247" s="30">
        <f>PM_Angle!$J$24+PM_Angle!$K$24*$C1247+PM_Angle!$L$24*$B1247</f>
      </c>
      <c r="AS1247" s="12">
        <f>IF(AR1247&gt;0,IF(AR1247&lt;=eco,alpha*fck*(1-(1-AR1247/eco)^n),alpha*fck),0)</f>
      </c>
      <c r="AT1247" s="30">
        <f>PM_Angle!$J$25+PM_Angle!$K$25*$C1247+PM_Angle!$L$25*$B1247</f>
      </c>
      <c r="AU1247" s="12">
        <f>IF(AT1247&gt;0,IF(AT1247&lt;=eco,alpha*fck*(1-(1-AT1247/eco)^n),alpha*fck),0)</f>
      </c>
    </row>
    <row r="1248" spans="1:47" x14ac:dyDescent="0.25">
      <c r="A1248">
        <f>Mesh!A1245</f>
      </c>
      <c r="B1248" s="12">
        <f>Mesh!B1245</f>
      </c>
      <c r="C1248" s="12">
        <f>Mesh!C1245</f>
      </c>
      <c r="D1248" s="12">
        <f>Mesh!D1245</f>
      </c>
      <c r="E1248" s="30">
        <f>INDEX(St_e0,Det+1)+INDEX(St_kx,Det+1)*C1248+INDEX(St_ky,Det+1)*B1248</f>
      </c>
      <c r="F1248" s="12">
        <f>IF(E1248&gt;0,IF(E1248&lt;=eco,alpha*fck*(1-(1-E1248/eco)^n),alpha*fck),0)</f>
      </c>
      <c r="G1248" s="11">
        <f>F1248*D1248</f>
      </c>
      <c r="H1248" s="11">
        <f>G1248*C1248</f>
      </c>
      <c r="I1248" s="11">
        <f>G1248*B1248</f>
      </c>
      <c r="J1248" s="30">
        <f>PM_Angle!$J$7+PM_Angle!$K$7*$C1248+PM_Angle!$L$7*$B1248</f>
      </c>
      <c r="K1248" s="12">
        <f>IF(J1248&gt;0,IF(J1248&lt;=eco,alpha*fck*(1-(1-J1248/eco)^n),alpha*fck),0)</f>
      </c>
      <c r="L1248" s="30">
        <f>PM_Angle!$J$8+PM_Angle!$K$8*$C1248+PM_Angle!$L$8*$B1248</f>
      </c>
      <c r="M1248" s="12">
        <f>IF(L1248&gt;0,IF(L1248&lt;=eco,alpha*fck*(1-(1-L1248/eco)^n),alpha*fck),0)</f>
      </c>
      <c r="N1248" s="30">
        <f>PM_Angle!$J$9+PM_Angle!$K$9*$C1248+PM_Angle!$L$9*$B1248</f>
      </c>
      <c r="O1248" s="12">
        <f>IF(N1248&gt;0,IF(N1248&lt;=eco,alpha*fck*(1-(1-N1248/eco)^n),alpha*fck),0)</f>
      </c>
      <c r="P1248" s="30">
        <f>PM_Angle!$J$10+PM_Angle!$K$10*$C1248+PM_Angle!$L$10*$B1248</f>
      </c>
      <c r="Q1248" s="12">
        <f>IF(P1248&gt;0,IF(P1248&lt;=eco,alpha*fck*(1-(1-P1248/eco)^n),alpha*fck),0)</f>
      </c>
      <c r="R1248" s="30">
        <f>PM_Angle!$J$11+PM_Angle!$K$11*$C1248+PM_Angle!$L$11*$B1248</f>
      </c>
      <c r="S1248" s="12">
        <f>IF(R1248&gt;0,IF(R1248&lt;=eco,alpha*fck*(1-(1-R1248/eco)^n),alpha*fck),0)</f>
      </c>
      <c r="T1248" s="30">
        <f>PM_Angle!$J$12+PM_Angle!$K$12*$C1248+PM_Angle!$L$12*$B1248</f>
      </c>
      <c r="U1248" s="12">
        <f>IF(T1248&gt;0,IF(T1248&lt;=eco,alpha*fck*(1-(1-T1248/eco)^n),alpha*fck),0)</f>
      </c>
      <c r="V1248" s="30">
        <f>PM_Angle!$J$13+PM_Angle!$K$13*$C1248+PM_Angle!$L$13*$B1248</f>
      </c>
      <c r="W1248" s="12">
        <f>IF(V1248&gt;0,IF(V1248&lt;=eco,alpha*fck*(1-(1-V1248/eco)^n),alpha*fck),0)</f>
      </c>
      <c r="X1248" s="30">
        <f>PM_Angle!$J$14+PM_Angle!$K$14*$C1248+PM_Angle!$L$14*$B1248</f>
      </c>
      <c r="Y1248" s="12">
        <f>IF(X1248&gt;0,IF(X1248&lt;=eco,alpha*fck*(1-(1-X1248/eco)^n),alpha*fck),0)</f>
      </c>
      <c r="Z1248" s="30">
        <f>PM_Angle!$J$15+PM_Angle!$K$15*$C1248+PM_Angle!$L$15*$B1248</f>
      </c>
      <c r="AA1248" s="12">
        <f>IF(Z1248&gt;0,IF(Z1248&lt;=eco,alpha*fck*(1-(1-Z1248/eco)^n),alpha*fck),0)</f>
      </c>
      <c r="AB1248" s="30">
        <f>PM_Angle!$J$16+PM_Angle!$K$16*$C1248+PM_Angle!$L$16*$B1248</f>
      </c>
      <c r="AC1248" s="12">
        <f>IF(AB1248&gt;0,IF(AB1248&lt;=eco,alpha*fck*(1-(1-AB1248/eco)^n),alpha*fck),0)</f>
      </c>
      <c r="AD1248" s="30">
        <f>PM_Angle!$J$17+PM_Angle!$K$17*$C1248+PM_Angle!$L$17*$B1248</f>
      </c>
      <c r="AE1248" s="12">
        <f>IF(AD1248&gt;0,IF(AD1248&lt;=eco,alpha*fck*(1-(1-AD1248/eco)^n),alpha*fck),0)</f>
      </c>
      <c r="AF1248" s="30">
        <f>PM_Angle!$J$18+PM_Angle!$K$18*$C1248+PM_Angle!$L$18*$B1248</f>
      </c>
      <c r="AG1248" s="12">
        <f>IF(AF1248&gt;0,IF(AF1248&lt;=eco,alpha*fck*(1-(1-AF1248/eco)^n),alpha*fck),0)</f>
      </c>
      <c r="AH1248" s="30">
        <f>PM_Angle!$J$19+PM_Angle!$K$19*$C1248+PM_Angle!$L$19*$B1248</f>
      </c>
      <c r="AI1248" s="12">
        <f>IF(AH1248&gt;0,IF(AH1248&lt;=eco,alpha*fck*(1-(1-AH1248/eco)^n),alpha*fck),0)</f>
      </c>
      <c r="AJ1248" s="30">
        <f>PM_Angle!$J$20+PM_Angle!$K$20*$C1248+PM_Angle!$L$20*$B1248</f>
      </c>
      <c r="AK1248" s="12">
        <f>IF(AJ1248&gt;0,IF(AJ1248&lt;=eco,alpha*fck*(1-(1-AJ1248/eco)^n),alpha*fck),0)</f>
      </c>
      <c r="AL1248" s="30">
        <f>PM_Angle!$J$21+PM_Angle!$K$21*$C1248+PM_Angle!$L$21*$B1248</f>
      </c>
      <c r="AM1248" s="12">
        <f>IF(AL1248&gt;0,IF(AL1248&lt;=eco,alpha*fck*(1-(1-AL1248/eco)^n),alpha*fck),0)</f>
      </c>
      <c r="AN1248" s="30">
        <f>PM_Angle!$J$22+PM_Angle!$K$22*$C1248+PM_Angle!$L$22*$B1248</f>
      </c>
      <c r="AO1248" s="12">
        <f>IF(AN1248&gt;0,IF(AN1248&lt;=eco,alpha*fck*(1-(1-AN1248/eco)^n),alpha*fck),0)</f>
      </c>
      <c r="AP1248" s="30">
        <f>PM_Angle!$J$23+PM_Angle!$K$23*$C1248+PM_Angle!$L$23*$B1248</f>
      </c>
      <c r="AQ1248" s="12">
        <f>IF(AP1248&gt;0,IF(AP1248&lt;=eco,alpha*fck*(1-(1-AP1248/eco)^n),alpha*fck),0)</f>
      </c>
      <c r="AR1248" s="30">
        <f>PM_Angle!$J$24+PM_Angle!$K$24*$C1248+PM_Angle!$L$24*$B1248</f>
      </c>
      <c r="AS1248" s="12">
        <f>IF(AR1248&gt;0,IF(AR1248&lt;=eco,alpha*fck*(1-(1-AR1248/eco)^n),alpha*fck),0)</f>
      </c>
      <c r="AT1248" s="30">
        <f>PM_Angle!$J$25+PM_Angle!$K$25*$C1248+PM_Angle!$L$25*$B1248</f>
      </c>
      <c r="AU1248" s="12">
        <f>IF(AT1248&gt;0,IF(AT1248&lt;=eco,alpha*fck*(1-(1-AT1248/eco)^n),alpha*fck),0)</f>
      </c>
    </row>
    <row r="1249" spans="1:47" x14ac:dyDescent="0.25">
      <c r="A1249">
        <f>Mesh!A1246</f>
      </c>
      <c r="B1249" s="12">
        <f>Mesh!B1246</f>
      </c>
      <c r="C1249" s="12">
        <f>Mesh!C1246</f>
      </c>
      <c r="D1249" s="12">
        <f>Mesh!D1246</f>
      </c>
      <c r="E1249" s="30">
        <f>INDEX(St_e0,Det+1)+INDEX(St_kx,Det+1)*C1249+INDEX(St_ky,Det+1)*B1249</f>
      </c>
      <c r="F1249" s="12">
        <f>IF(E1249&gt;0,IF(E1249&lt;=eco,alpha*fck*(1-(1-E1249/eco)^n),alpha*fck),0)</f>
      </c>
      <c r="G1249" s="11">
        <f>F1249*D1249</f>
      </c>
      <c r="H1249" s="11">
        <f>G1249*C1249</f>
      </c>
      <c r="I1249" s="11">
        <f>G1249*B1249</f>
      </c>
      <c r="J1249" s="30">
        <f>PM_Angle!$J$7+PM_Angle!$K$7*$C1249+PM_Angle!$L$7*$B1249</f>
      </c>
      <c r="K1249" s="12">
        <f>IF(J1249&gt;0,IF(J1249&lt;=eco,alpha*fck*(1-(1-J1249/eco)^n),alpha*fck),0)</f>
      </c>
      <c r="L1249" s="30">
        <f>PM_Angle!$J$8+PM_Angle!$K$8*$C1249+PM_Angle!$L$8*$B1249</f>
      </c>
      <c r="M1249" s="12">
        <f>IF(L1249&gt;0,IF(L1249&lt;=eco,alpha*fck*(1-(1-L1249/eco)^n),alpha*fck),0)</f>
      </c>
      <c r="N1249" s="30">
        <f>PM_Angle!$J$9+PM_Angle!$K$9*$C1249+PM_Angle!$L$9*$B1249</f>
      </c>
      <c r="O1249" s="12">
        <f>IF(N1249&gt;0,IF(N1249&lt;=eco,alpha*fck*(1-(1-N1249/eco)^n),alpha*fck),0)</f>
      </c>
      <c r="P1249" s="30">
        <f>PM_Angle!$J$10+PM_Angle!$K$10*$C1249+PM_Angle!$L$10*$B1249</f>
      </c>
      <c r="Q1249" s="12">
        <f>IF(P1249&gt;0,IF(P1249&lt;=eco,alpha*fck*(1-(1-P1249/eco)^n),alpha*fck),0)</f>
      </c>
      <c r="R1249" s="30">
        <f>PM_Angle!$J$11+PM_Angle!$K$11*$C1249+PM_Angle!$L$11*$B1249</f>
      </c>
      <c r="S1249" s="12">
        <f>IF(R1249&gt;0,IF(R1249&lt;=eco,alpha*fck*(1-(1-R1249/eco)^n),alpha*fck),0)</f>
      </c>
      <c r="T1249" s="30">
        <f>PM_Angle!$J$12+PM_Angle!$K$12*$C1249+PM_Angle!$L$12*$B1249</f>
      </c>
      <c r="U1249" s="12">
        <f>IF(T1249&gt;0,IF(T1249&lt;=eco,alpha*fck*(1-(1-T1249/eco)^n),alpha*fck),0)</f>
      </c>
      <c r="V1249" s="30">
        <f>PM_Angle!$J$13+PM_Angle!$K$13*$C1249+PM_Angle!$L$13*$B1249</f>
      </c>
      <c r="W1249" s="12">
        <f>IF(V1249&gt;0,IF(V1249&lt;=eco,alpha*fck*(1-(1-V1249/eco)^n),alpha*fck),0)</f>
      </c>
      <c r="X1249" s="30">
        <f>PM_Angle!$J$14+PM_Angle!$K$14*$C1249+PM_Angle!$L$14*$B1249</f>
      </c>
      <c r="Y1249" s="12">
        <f>IF(X1249&gt;0,IF(X1249&lt;=eco,alpha*fck*(1-(1-X1249/eco)^n),alpha*fck),0)</f>
      </c>
      <c r="Z1249" s="30">
        <f>PM_Angle!$J$15+PM_Angle!$K$15*$C1249+PM_Angle!$L$15*$B1249</f>
      </c>
      <c r="AA1249" s="12">
        <f>IF(Z1249&gt;0,IF(Z1249&lt;=eco,alpha*fck*(1-(1-Z1249/eco)^n),alpha*fck),0)</f>
      </c>
      <c r="AB1249" s="30">
        <f>PM_Angle!$J$16+PM_Angle!$K$16*$C1249+PM_Angle!$L$16*$B1249</f>
      </c>
      <c r="AC1249" s="12">
        <f>IF(AB1249&gt;0,IF(AB1249&lt;=eco,alpha*fck*(1-(1-AB1249/eco)^n),alpha*fck),0)</f>
      </c>
      <c r="AD1249" s="30">
        <f>PM_Angle!$J$17+PM_Angle!$K$17*$C1249+PM_Angle!$L$17*$B1249</f>
      </c>
      <c r="AE1249" s="12">
        <f>IF(AD1249&gt;0,IF(AD1249&lt;=eco,alpha*fck*(1-(1-AD1249/eco)^n),alpha*fck),0)</f>
      </c>
      <c r="AF1249" s="30">
        <f>PM_Angle!$J$18+PM_Angle!$K$18*$C1249+PM_Angle!$L$18*$B1249</f>
      </c>
      <c r="AG1249" s="12">
        <f>IF(AF1249&gt;0,IF(AF1249&lt;=eco,alpha*fck*(1-(1-AF1249/eco)^n),alpha*fck),0)</f>
      </c>
      <c r="AH1249" s="30">
        <f>PM_Angle!$J$19+PM_Angle!$K$19*$C1249+PM_Angle!$L$19*$B1249</f>
      </c>
      <c r="AI1249" s="12">
        <f>IF(AH1249&gt;0,IF(AH1249&lt;=eco,alpha*fck*(1-(1-AH1249/eco)^n),alpha*fck),0)</f>
      </c>
      <c r="AJ1249" s="30">
        <f>PM_Angle!$J$20+PM_Angle!$K$20*$C1249+PM_Angle!$L$20*$B1249</f>
      </c>
      <c r="AK1249" s="12">
        <f>IF(AJ1249&gt;0,IF(AJ1249&lt;=eco,alpha*fck*(1-(1-AJ1249/eco)^n),alpha*fck),0)</f>
      </c>
      <c r="AL1249" s="30">
        <f>PM_Angle!$J$21+PM_Angle!$K$21*$C1249+PM_Angle!$L$21*$B1249</f>
      </c>
      <c r="AM1249" s="12">
        <f>IF(AL1249&gt;0,IF(AL1249&lt;=eco,alpha*fck*(1-(1-AL1249/eco)^n),alpha*fck),0)</f>
      </c>
      <c r="AN1249" s="30">
        <f>PM_Angle!$J$22+PM_Angle!$K$22*$C1249+PM_Angle!$L$22*$B1249</f>
      </c>
      <c r="AO1249" s="12">
        <f>IF(AN1249&gt;0,IF(AN1249&lt;=eco,alpha*fck*(1-(1-AN1249/eco)^n),alpha*fck),0)</f>
      </c>
      <c r="AP1249" s="30">
        <f>PM_Angle!$J$23+PM_Angle!$K$23*$C1249+PM_Angle!$L$23*$B1249</f>
      </c>
      <c r="AQ1249" s="12">
        <f>IF(AP1249&gt;0,IF(AP1249&lt;=eco,alpha*fck*(1-(1-AP1249/eco)^n),alpha*fck),0)</f>
      </c>
      <c r="AR1249" s="30">
        <f>PM_Angle!$J$24+PM_Angle!$K$24*$C1249+PM_Angle!$L$24*$B1249</f>
      </c>
      <c r="AS1249" s="12">
        <f>IF(AR1249&gt;0,IF(AR1249&lt;=eco,alpha*fck*(1-(1-AR1249/eco)^n),alpha*fck),0)</f>
      </c>
      <c r="AT1249" s="30">
        <f>PM_Angle!$J$25+PM_Angle!$K$25*$C1249+PM_Angle!$L$25*$B1249</f>
      </c>
      <c r="AU1249" s="12">
        <f>IF(AT1249&gt;0,IF(AT1249&lt;=eco,alpha*fck*(1-(1-AT1249/eco)^n),alpha*fck),0)</f>
      </c>
    </row>
    <row r="1250" spans="1:47" x14ac:dyDescent="0.25">
      <c r="A1250">
        <f>Mesh!A1247</f>
      </c>
      <c r="B1250" s="12">
        <f>Mesh!B1247</f>
      </c>
      <c r="C1250" s="12">
        <f>Mesh!C1247</f>
      </c>
      <c r="D1250" s="12">
        <f>Mesh!D1247</f>
      </c>
      <c r="E1250" s="30">
        <f>INDEX(St_e0,Det+1)+INDEX(St_kx,Det+1)*C1250+INDEX(St_ky,Det+1)*B1250</f>
      </c>
      <c r="F1250" s="12">
        <f>IF(E1250&gt;0,IF(E1250&lt;=eco,alpha*fck*(1-(1-E1250/eco)^n),alpha*fck),0)</f>
      </c>
      <c r="G1250" s="11">
        <f>F1250*D1250</f>
      </c>
      <c r="H1250" s="11">
        <f>G1250*C1250</f>
      </c>
      <c r="I1250" s="11">
        <f>G1250*B1250</f>
      </c>
      <c r="J1250" s="30">
        <f>PM_Angle!$J$7+PM_Angle!$K$7*$C1250+PM_Angle!$L$7*$B1250</f>
      </c>
      <c r="K1250" s="12">
        <f>IF(J1250&gt;0,IF(J1250&lt;=eco,alpha*fck*(1-(1-J1250/eco)^n),alpha*fck),0)</f>
      </c>
      <c r="L1250" s="30">
        <f>PM_Angle!$J$8+PM_Angle!$K$8*$C1250+PM_Angle!$L$8*$B1250</f>
      </c>
      <c r="M1250" s="12">
        <f>IF(L1250&gt;0,IF(L1250&lt;=eco,alpha*fck*(1-(1-L1250/eco)^n),alpha*fck),0)</f>
      </c>
      <c r="N1250" s="30">
        <f>PM_Angle!$J$9+PM_Angle!$K$9*$C1250+PM_Angle!$L$9*$B1250</f>
      </c>
      <c r="O1250" s="12">
        <f>IF(N1250&gt;0,IF(N1250&lt;=eco,alpha*fck*(1-(1-N1250/eco)^n),alpha*fck),0)</f>
      </c>
      <c r="P1250" s="30">
        <f>PM_Angle!$J$10+PM_Angle!$K$10*$C1250+PM_Angle!$L$10*$B1250</f>
      </c>
      <c r="Q1250" s="12">
        <f>IF(P1250&gt;0,IF(P1250&lt;=eco,alpha*fck*(1-(1-P1250/eco)^n),alpha*fck),0)</f>
      </c>
      <c r="R1250" s="30">
        <f>PM_Angle!$J$11+PM_Angle!$K$11*$C1250+PM_Angle!$L$11*$B1250</f>
      </c>
      <c r="S1250" s="12">
        <f>IF(R1250&gt;0,IF(R1250&lt;=eco,alpha*fck*(1-(1-R1250/eco)^n),alpha*fck),0)</f>
      </c>
      <c r="T1250" s="30">
        <f>PM_Angle!$J$12+PM_Angle!$K$12*$C1250+PM_Angle!$L$12*$B1250</f>
      </c>
      <c r="U1250" s="12">
        <f>IF(T1250&gt;0,IF(T1250&lt;=eco,alpha*fck*(1-(1-T1250/eco)^n),alpha*fck),0)</f>
      </c>
      <c r="V1250" s="30">
        <f>PM_Angle!$J$13+PM_Angle!$K$13*$C1250+PM_Angle!$L$13*$B1250</f>
      </c>
      <c r="W1250" s="12">
        <f>IF(V1250&gt;0,IF(V1250&lt;=eco,alpha*fck*(1-(1-V1250/eco)^n),alpha*fck),0)</f>
      </c>
      <c r="X1250" s="30">
        <f>PM_Angle!$J$14+PM_Angle!$K$14*$C1250+PM_Angle!$L$14*$B1250</f>
      </c>
      <c r="Y1250" s="12">
        <f>IF(X1250&gt;0,IF(X1250&lt;=eco,alpha*fck*(1-(1-X1250/eco)^n),alpha*fck),0)</f>
      </c>
      <c r="Z1250" s="30">
        <f>PM_Angle!$J$15+PM_Angle!$K$15*$C1250+PM_Angle!$L$15*$B1250</f>
      </c>
      <c r="AA1250" s="12">
        <f>IF(Z1250&gt;0,IF(Z1250&lt;=eco,alpha*fck*(1-(1-Z1250/eco)^n),alpha*fck),0)</f>
      </c>
      <c r="AB1250" s="30">
        <f>PM_Angle!$J$16+PM_Angle!$K$16*$C1250+PM_Angle!$L$16*$B1250</f>
      </c>
      <c r="AC1250" s="12">
        <f>IF(AB1250&gt;0,IF(AB1250&lt;=eco,alpha*fck*(1-(1-AB1250/eco)^n),alpha*fck),0)</f>
      </c>
      <c r="AD1250" s="30">
        <f>PM_Angle!$J$17+PM_Angle!$K$17*$C1250+PM_Angle!$L$17*$B1250</f>
      </c>
      <c r="AE1250" s="12">
        <f>IF(AD1250&gt;0,IF(AD1250&lt;=eco,alpha*fck*(1-(1-AD1250/eco)^n),alpha*fck),0)</f>
      </c>
      <c r="AF1250" s="30">
        <f>PM_Angle!$J$18+PM_Angle!$K$18*$C1250+PM_Angle!$L$18*$B1250</f>
      </c>
      <c r="AG1250" s="12">
        <f>IF(AF1250&gt;0,IF(AF1250&lt;=eco,alpha*fck*(1-(1-AF1250/eco)^n),alpha*fck),0)</f>
      </c>
      <c r="AH1250" s="30">
        <f>PM_Angle!$J$19+PM_Angle!$K$19*$C1250+PM_Angle!$L$19*$B1250</f>
      </c>
      <c r="AI1250" s="12">
        <f>IF(AH1250&gt;0,IF(AH1250&lt;=eco,alpha*fck*(1-(1-AH1250/eco)^n),alpha*fck),0)</f>
      </c>
      <c r="AJ1250" s="30">
        <f>PM_Angle!$J$20+PM_Angle!$K$20*$C1250+PM_Angle!$L$20*$B1250</f>
      </c>
      <c r="AK1250" s="12">
        <f>IF(AJ1250&gt;0,IF(AJ1250&lt;=eco,alpha*fck*(1-(1-AJ1250/eco)^n),alpha*fck),0)</f>
      </c>
      <c r="AL1250" s="30">
        <f>PM_Angle!$J$21+PM_Angle!$K$21*$C1250+PM_Angle!$L$21*$B1250</f>
      </c>
      <c r="AM1250" s="12">
        <f>IF(AL1250&gt;0,IF(AL1250&lt;=eco,alpha*fck*(1-(1-AL1250/eco)^n),alpha*fck),0)</f>
      </c>
      <c r="AN1250" s="30">
        <f>PM_Angle!$J$22+PM_Angle!$K$22*$C1250+PM_Angle!$L$22*$B1250</f>
      </c>
      <c r="AO1250" s="12">
        <f>IF(AN1250&gt;0,IF(AN1250&lt;=eco,alpha*fck*(1-(1-AN1250/eco)^n),alpha*fck),0)</f>
      </c>
      <c r="AP1250" s="30">
        <f>PM_Angle!$J$23+PM_Angle!$K$23*$C1250+PM_Angle!$L$23*$B1250</f>
      </c>
      <c r="AQ1250" s="12">
        <f>IF(AP1250&gt;0,IF(AP1250&lt;=eco,alpha*fck*(1-(1-AP1250/eco)^n),alpha*fck),0)</f>
      </c>
      <c r="AR1250" s="30">
        <f>PM_Angle!$J$24+PM_Angle!$K$24*$C1250+PM_Angle!$L$24*$B1250</f>
      </c>
      <c r="AS1250" s="12">
        <f>IF(AR1250&gt;0,IF(AR1250&lt;=eco,alpha*fck*(1-(1-AR1250/eco)^n),alpha*fck),0)</f>
      </c>
      <c r="AT1250" s="30">
        <f>PM_Angle!$J$25+PM_Angle!$K$25*$C1250+PM_Angle!$L$25*$B1250</f>
      </c>
      <c r="AU1250" s="12">
        <f>IF(AT1250&gt;0,IF(AT1250&lt;=eco,alpha*fck*(1-(1-AT1250/eco)^n),alpha*fck),0)</f>
      </c>
    </row>
    <row r="1251" spans="1:47" x14ac:dyDescent="0.25">
      <c r="A1251">
        <f>Mesh!A1248</f>
      </c>
      <c r="B1251" s="12">
        <f>Mesh!B1248</f>
      </c>
      <c r="C1251" s="12">
        <f>Mesh!C1248</f>
      </c>
      <c r="D1251" s="12">
        <f>Mesh!D1248</f>
      </c>
      <c r="E1251" s="30">
        <f>INDEX(St_e0,Det+1)+INDEX(St_kx,Det+1)*C1251+INDEX(St_ky,Det+1)*B1251</f>
      </c>
      <c r="F1251" s="12">
        <f>IF(E1251&gt;0,IF(E1251&lt;=eco,alpha*fck*(1-(1-E1251/eco)^n),alpha*fck),0)</f>
      </c>
      <c r="G1251" s="11">
        <f>F1251*D1251</f>
      </c>
      <c r="H1251" s="11">
        <f>G1251*C1251</f>
      </c>
      <c r="I1251" s="11">
        <f>G1251*B1251</f>
      </c>
      <c r="J1251" s="30">
        <f>PM_Angle!$J$7+PM_Angle!$K$7*$C1251+PM_Angle!$L$7*$B1251</f>
      </c>
      <c r="K1251" s="12">
        <f>IF(J1251&gt;0,IF(J1251&lt;=eco,alpha*fck*(1-(1-J1251/eco)^n),alpha*fck),0)</f>
      </c>
      <c r="L1251" s="30">
        <f>PM_Angle!$J$8+PM_Angle!$K$8*$C1251+PM_Angle!$L$8*$B1251</f>
      </c>
      <c r="M1251" s="12">
        <f>IF(L1251&gt;0,IF(L1251&lt;=eco,alpha*fck*(1-(1-L1251/eco)^n),alpha*fck),0)</f>
      </c>
      <c r="N1251" s="30">
        <f>PM_Angle!$J$9+PM_Angle!$K$9*$C1251+PM_Angle!$L$9*$B1251</f>
      </c>
      <c r="O1251" s="12">
        <f>IF(N1251&gt;0,IF(N1251&lt;=eco,alpha*fck*(1-(1-N1251/eco)^n),alpha*fck),0)</f>
      </c>
      <c r="P1251" s="30">
        <f>PM_Angle!$J$10+PM_Angle!$K$10*$C1251+PM_Angle!$L$10*$B1251</f>
      </c>
      <c r="Q1251" s="12">
        <f>IF(P1251&gt;0,IF(P1251&lt;=eco,alpha*fck*(1-(1-P1251/eco)^n),alpha*fck),0)</f>
      </c>
      <c r="R1251" s="30">
        <f>PM_Angle!$J$11+PM_Angle!$K$11*$C1251+PM_Angle!$L$11*$B1251</f>
      </c>
      <c r="S1251" s="12">
        <f>IF(R1251&gt;0,IF(R1251&lt;=eco,alpha*fck*(1-(1-R1251/eco)^n),alpha*fck),0)</f>
      </c>
      <c r="T1251" s="30">
        <f>PM_Angle!$J$12+PM_Angle!$K$12*$C1251+PM_Angle!$L$12*$B1251</f>
      </c>
      <c r="U1251" s="12">
        <f>IF(T1251&gt;0,IF(T1251&lt;=eco,alpha*fck*(1-(1-T1251/eco)^n),alpha*fck),0)</f>
      </c>
      <c r="V1251" s="30">
        <f>PM_Angle!$J$13+PM_Angle!$K$13*$C1251+PM_Angle!$L$13*$B1251</f>
      </c>
      <c r="W1251" s="12">
        <f>IF(V1251&gt;0,IF(V1251&lt;=eco,alpha*fck*(1-(1-V1251/eco)^n),alpha*fck),0)</f>
      </c>
      <c r="X1251" s="30">
        <f>PM_Angle!$J$14+PM_Angle!$K$14*$C1251+PM_Angle!$L$14*$B1251</f>
      </c>
      <c r="Y1251" s="12">
        <f>IF(X1251&gt;0,IF(X1251&lt;=eco,alpha*fck*(1-(1-X1251/eco)^n),alpha*fck),0)</f>
      </c>
      <c r="Z1251" s="30">
        <f>PM_Angle!$J$15+PM_Angle!$K$15*$C1251+PM_Angle!$L$15*$B1251</f>
      </c>
      <c r="AA1251" s="12">
        <f>IF(Z1251&gt;0,IF(Z1251&lt;=eco,alpha*fck*(1-(1-Z1251/eco)^n),alpha*fck),0)</f>
      </c>
      <c r="AB1251" s="30">
        <f>PM_Angle!$J$16+PM_Angle!$K$16*$C1251+PM_Angle!$L$16*$B1251</f>
      </c>
      <c r="AC1251" s="12">
        <f>IF(AB1251&gt;0,IF(AB1251&lt;=eco,alpha*fck*(1-(1-AB1251/eco)^n),alpha*fck),0)</f>
      </c>
      <c r="AD1251" s="30">
        <f>PM_Angle!$J$17+PM_Angle!$K$17*$C1251+PM_Angle!$L$17*$B1251</f>
      </c>
      <c r="AE1251" s="12">
        <f>IF(AD1251&gt;0,IF(AD1251&lt;=eco,alpha*fck*(1-(1-AD1251/eco)^n),alpha*fck),0)</f>
      </c>
      <c r="AF1251" s="30">
        <f>PM_Angle!$J$18+PM_Angle!$K$18*$C1251+PM_Angle!$L$18*$B1251</f>
      </c>
      <c r="AG1251" s="12">
        <f>IF(AF1251&gt;0,IF(AF1251&lt;=eco,alpha*fck*(1-(1-AF1251/eco)^n),alpha*fck),0)</f>
      </c>
      <c r="AH1251" s="30">
        <f>PM_Angle!$J$19+PM_Angle!$K$19*$C1251+PM_Angle!$L$19*$B1251</f>
      </c>
      <c r="AI1251" s="12">
        <f>IF(AH1251&gt;0,IF(AH1251&lt;=eco,alpha*fck*(1-(1-AH1251/eco)^n),alpha*fck),0)</f>
      </c>
      <c r="AJ1251" s="30">
        <f>PM_Angle!$J$20+PM_Angle!$K$20*$C1251+PM_Angle!$L$20*$B1251</f>
      </c>
      <c r="AK1251" s="12">
        <f>IF(AJ1251&gt;0,IF(AJ1251&lt;=eco,alpha*fck*(1-(1-AJ1251/eco)^n),alpha*fck),0)</f>
      </c>
      <c r="AL1251" s="30">
        <f>PM_Angle!$J$21+PM_Angle!$K$21*$C1251+PM_Angle!$L$21*$B1251</f>
      </c>
      <c r="AM1251" s="12">
        <f>IF(AL1251&gt;0,IF(AL1251&lt;=eco,alpha*fck*(1-(1-AL1251/eco)^n),alpha*fck),0)</f>
      </c>
      <c r="AN1251" s="30">
        <f>PM_Angle!$J$22+PM_Angle!$K$22*$C1251+PM_Angle!$L$22*$B1251</f>
      </c>
      <c r="AO1251" s="12">
        <f>IF(AN1251&gt;0,IF(AN1251&lt;=eco,alpha*fck*(1-(1-AN1251/eco)^n),alpha*fck),0)</f>
      </c>
      <c r="AP1251" s="30">
        <f>PM_Angle!$J$23+PM_Angle!$K$23*$C1251+PM_Angle!$L$23*$B1251</f>
      </c>
      <c r="AQ1251" s="12">
        <f>IF(AP1251&gt;0,IF(AP1251&lt;=eco,alpha*fck*(1-(1-AP1251/eco)^n),alpha*fck),0)</f>
      </c>
      <c r="AR1251" s="30">
        <f>PM_Angle!$J$24+PM_Angle!$K$24*$C1251+PM_Angle!$L$24*$B1251</f>
      </c>
      <c r="AS1251" s="12">
        <f>IF(AR1251&gt;0,IF(AR1251&lt;=eco,alpha*fck*(1-(1-AR1251/eco)^n),alpha*fck),0)</f>
      </c>
      <c r="AT1251" s="30">
        <f>PM_Angle!$J$25+PM_Angle!$K$25*$C1251+PM_Angle!$L$25*$B1251</f>
      </c>
      <c r="AU1251" s="12">
        <f>IF(AT1251&gt;0,IF(AT1251&lt;=eco,alpha*fck*(1-(1-AT1251/eco)^n),alpha*fck),0)</f>
      </c>
    </row>
    <row r="1252" spans="1:47" x14ac:dyDescent="0.25">
      <c r="A1252">
        <f>Mesh!A1249</f>
      </c>
      <c r="B1252" s="12">
        <f>Mesh!B1249</f>
      </c>
      <c r="C1252" s="12">
        <f>Mesh!C1249</f>
      </c>
      <c r="D1252" s="12">
        <f>Mesh!D1249</f>
      </c>
      <c r="E1252" s="30">
        <f>INDEX(St_e0,Det+1)+INDEX(St_kx,Det+1)*C1252+INDEX(St_ky,Det+1)*B1252</f>
      </c>
      <c r="F1252" s="12">
        <f>IF(E1252&gt;0,IF(E1252&lt;=eco,alpha*fck*(1-(1-E1252/eco)^n),alpha*fck),0)</f>
      </c>
      <c r="G1252" s="11">
        <f>F1252*D1252</f>
      </c>
      <c r="H1252" s="11">
        <f>G1252*C1252</f>
      </c>
      <c r="I1252" s="11">
        <f>G1252*B1252</f>
      </c>
      <c r="J1252" s="30">
        <f>PM_Angle!$J$7+PM_Angle!$K$7*$C1252+PM_Angle!$L$7*$B1252</f>
      </c>
      <c r="K1252" s="12">
        <f>IF(J1252&gt;0,IF(J1252&lt;=eco,alpha*fck*(1-(1-J1252/eco)^n),alpha*fck),0)</f>
      </c>
      <c r="L1252" s="30">
        <f>PM_Angle!$J$8+PM_Angle!$K$8*$C1252+PM_Angle!$L$8*$B1252</f>
      </c>
      <c r="M1252" s="12">
        <f>IF(L1252&gt;0,IF(L1252&lt;=eco,alpha*fck*(1-(1-L1252/eco)^n),alpha*fck),0)</f>
      </c>
      <c r="N1252" s="30">
        <f>PM_Angle!$J$9+PM_Angle!$K$9*$C1252+PM_Angle!$L$9*$B1252</f>
      </c>
      <c r="O1252" s="12">
        <f>IF(N1252&gt;0,IF(N1252&lt;=eco,alpha*fck*(1-(1-N1252/eco)^n),alpha*fck),0)</f>
      </c>
      <c r="P1252" s="30">
        <f>PM_Angle!$J$10+PM_Angle!$K$10*$C1252+PM_Angle!$L$10*$B1252</f>
      </c>
      <c r="Q1252" s="12">
        <f>IF(P1252&gt;0,IF(P1252&lt;=eco,alpha*fck*(1-(1-P1252/eco)^n),alpha*fck),0)</f>
      </c>
      <c r="R1252" s="30">
        <f>PM_Angle!$J$11+PM_Angle!$K$11*$C1252+PM_Angle!$L$11*$B1252</f>
      </c>
      <c r="S1252" s="12">
        <f>IF(R1252&gt;0,IF(R1252&lt;=eco,alpha*fck*(1-(1-R1252/eco)^n),alpha*fck),0)</f>
      </c>
      <c r="T1252" s="30">
        <f>PM_Angle!$J$12+PM_Angle!$K$12*$C1252+PM_Angle!$L$12*$B1252</f>
      </c>
      <c r="U1252" s="12">
        <f>IF(T1252&gt;0,IF(T1252&lt;=eco,alpha*fck*(1-(1-T1252/eco)^n),alpha*fck),0)</f>
      </c>
      <c r="V1252" s="30">
        <f>PM_Angle!$J$13+PM_Angle!$K$13*$C1252+PM_Angle!$L$13*$B1252</f>
      </c>
      <c r="W1252" s="12">
        <f>IF(V1252&gt;0,IF(V1252&lt;=eco,alpha*fck*(1-(1-V1252/eco)^n),alpha*fck),0)</f>
      </c>
      <c r="X1252" s="30">
        <f>PM_Angle!$J$14+PM_Angle!$K$14*$C1252+PM_Angle!$L$14*$B1252</f>
      </c>
      <c r="Y1252" s="12">
        <f>IF(X1252&gt;0,IF(X1252&lt;=eco,alpha*fck*(1-(1-X1252/eco)^n),alpha*fck),0)</f>
      </c>
      <c r="Z1252" s="30">
        <f>PM_Angle!$J$15+PM_Angle!$K$15*$C1252+PM_Angle!$L$15*$B1252</f>
      </c>
      <c r="AA1252" s="12">
        <f>IF(Z1252&gt;0,IF(Z1252&lt;=eco,alpha*fck*(1-(1-Z1252/eco)^n),alpha*fck),0)</f>
      </c>
      <c r="AB1252" s="30">
        <f>PM_Angle!$J$16+PM_Angle!$K$16*$C1252+PM_Angle!$L$16*$B1252</f>
      </c>
      <c r="AC1252" s="12">
        <f>IF(AB1252&gt;0,IF(AB1252&lt;=eco,alpha*fck*(1-(1-AB1252/eco)^n),alpha*fck),0)</f>
      </c>
      <c r="AD1252" s="30">
        <f>PM_Angle!$J$17+PM_Angle!$K$17*$C1252+PM_Angle!$L$17*$B1252</f>
      </c>
      <c r="AE1252" s="12">
        <f>IF(AD1252&gt;0,IF(AD1252&lt;=eco,alpha*fck*(1-(1-AD1252/eco)^n),alpha*fck),0)</f>
      </c>
      <c r="AF1252" s="30">
        <f>PM_Angle!$J$18+PM_Angle!$K$18*$C1252+PM_Angle!$L$18*$B1252</f>
      </c>
      <c r="AG1252" s="12">
        <f>IF(AF1252&gt;0,IF(AF1252&lt;=eco,alpha*fck*(1-(1-AF1252/eco)^n),alpha*fck),0)</f>
      </c>
      <c r="AH1252" s="30">
        <f>PM_Angle!$J$19+PM_Angle!$K$19*$C1252+PM_Angle!$L$19*$B1252</f>
      </c>
      <c r="AI1252" s="12">
        <f>IF(AH1252&gt;0,IF(AH1252&lt;=eco,alpha*fck*(1-(1-AH1252/eco)^n),alpha*fck),0)</f>
      </c>
      <c r="AJ1252" s="30">
        <f>PM_Angle!$J$20+PM_Angle!$K$20*$C1252+PM_Angle!$L$20*$B1252</f>
      </c>
      <c r="AK1252" s="12">
        <f>IF(AJ1252&gt;0,IF(AJ1252&lt;=eco,alpha*fck*(1-(1-AJ1252/eco)^n),alpha*fck),0)</f>
      </c>
      <c r="AL1252" s="30">
        <f>PM_Angle!$J$21+PM_Angle!$K$21*$C1252+PM_Angle!$L$21*$B1252</f>
      </c>
      <c r="AM1252" s="12">
        <f>IF(AL1252&gt;0,IF(AL1252&lt;=eco,alpha*fck*(1-(1-AL1252/eco)^n),alpha*fck),0)</f>
      </c>
      <c r="AN1252" s="30">
        <f>PM_Angle!$J$22+PM_Angle!$K$22*$C1252+PM_Angle!$L$22*$B1252</f>
      </c>
      <c r="AO1252" s="12">
        <f>IF(AN1252&gt;0,IF(AN1252&lt;=eco,alpha*fck*(1-(1-AN1252/eco)^n),alpha*fck),0)</f>
      </c>
      <c r="AP1252" s="30">
        <f>PM_Angle!$J$23+PM_Angle!$K$23*$C1252+PM_Angle!$L$23*$B1252</f>
      </c>
      <c r="AQ1252" s="12">
        <f>IF(AP1252&gt;0,IF(AP1252&lt;=eco,alpha*fck*(1-(1-AP1252/eco)^n),alpha*fck),0)</f>
      </c>
      <c r="AR1252" s="30">
        <f>PM_Angle!$J$24+PM_Angle!$K$24*$C1252+PM_Angle!$L$24*$B1252</f>
      </c>
      <c r="AS1252" s="12">
        <f>IF(AR1252&gt;0,IF(AR1252&lt;=eco,alpha*fck*(1-(1-AR1252/eco)^n),alpha*fck),0)</f>
      </c>
      <c r="AT1252" s="30">
        <f>PM_Angle!$J$25+PM_Angle!$K$25*$C1252+PM_Angle!$L$25*$B1252</f>
      </c>
      <c r="AU1252" s="12">
        <f>IF(AT1252&gt;0,IF(AT1252&lt;=eco,alpha*fck*(1-(1-AT1252/eco)^n),alpha*fck),0)</f>
      </c>
    </row>
    <row r="1253" spans="1:47" x14ac:dyDescent="0.25">
      <c r="A1253">
        <f>Mesh!A1250</f>
      </c>
      <c r="B1253" s="12">
        <f>Mesh!B1250</f>
      </c>
      <c r="C1253" s="12">
        <f>Mesh!C1250</f>
      </c>
      <c r="D1253" s="12">
        <f>Mesh!D1250</f>
      </c>
      <c r="E1253" s="30">
        <f>INDEX(St_e0,Det+1)+INDEX(St_kx,Det+1)*C1253+INDEX(St_ky,Det+1)*B1253</f>
      </c>
      <c r="F1253" s="12">
        <f>IF(E1253&gt;0,IF(E1253&lt;=eco,alpha*fck*(1-(1-E1253/eco)^n),alpha*fck),0)</f>
      </c>
      <c r="G1253" s="11">
        <f>F1253*D1253</f>
      </c>
      <c r="H1253" s="11">
        <f>G1253*C1253</f>
      </c>
      <c r="I1253" s="11">
        <f>G1253*B1253</f>
      </c>
      <c r="J1253" s="30">
        <f>PM_Angle!$J$7+PM_Angle!$K$7*$C1253+PM_Angle!$L$7*$B1253</f>
      </c>
      <c r="K1253" s="12">
        <f>IF(J1253&gt;0,IF(J1253&lt;=eco,alpha*fck*(1-(1-J1253/eco)^n),alpha*fck),0)</f>
      </c>
      <c r="L1253" s="30">
        <f>PM_Angle!$J$8+PM_Angle!$K$8*$C1253+PM_Angle!$L$8*$B1253</f>
      </c>
      <c r="M1253" s="12">
        <f>IF(L1253&gt;0,IF(L1253&lt;=eco,alpha*fck*(1-(1-L1253/eco)^n),alpha*fck),0)</f>
      </c>
      <c r="N1253" s="30">
        <f>PM_Angle!$J$9+PM_Angle!$K$9*$C1253+PM_Angle!$L$9*$B1253</f>
      </c>
      <c r="O1253" s="12">
        <f>IF(N1253&gt;0,IF(N1253&lt;=eco,alpha*fck*(1-(1-N1253/eco)^n),alpha*fck),0)</f>
      </c>
      <c r="P1253" s="30">
        <f>PM_Angle!$J$10+PM_Angle!$K$10*$C1253+PM_Angle!$L$10*$B1253</f>
      </c>
      <c r="Q1253" s="12">
        <f>IF(P1253&gt;0,IF(P1253&lt;=eco,alpha*fck*(1-(1-P1253/eco)^n),alpha*fck),0)</f>
      </c>
      <c r="R1253" s="30">
        <f>PM_Angle!$J$11+PM_Angle!$K$11*$C1253+PM_Angle!$L$11*$B1253</f>
      </c>
      <c r="S1253" s="12">
        <f>IF(R1253&gt;0,IF(R1253&lt;=eco,alpha*fck*(1-(1-R1253/eco)^n),alpha*fck),0)</f>
      </c>
      <c r="T1253" s="30">
        <f>PM_Angle!$J$12+PM_Angle!$K$12*$C1253+PM_Angle!$L$12*$B1253</f>
      </c>
      <c r="U1253" s="12">
        <f>IF(T1253&gt;0,IF(T1253&lt;=eco,alpha*fck*(1-(1-T1253/eco)^n),alpha*fck),0)</f>
      </c>
      <c r="V1253" s="30">
        <f>PM_Angle!$J$13+PM_Angle!$K$13*$C1253+PM_Angle!$L$13*$B1253</f>
      </c>
      <c r="W1253" s="12">
        <f>IF(V1253&gt;0,IF(V1253&lt;=eco,alpha*fck*(1-(1-V1253/eco)^n),alpha*fck),0)</f>
      </c>
      <c r="X1253" s="30">
        <f>PM_Angle!$J$14+PM_Angle!$K$14*$C1253+PM_Angle!$L$14*$B1253</f>
      </c>
      <c r="Y1253" s="12">
        <f>IF(X1253&gt;0,IF(X1253&lt;=eco,alpha*fck*(1-(1-X1253/eco)^n),alpha*fck),0)</f>
      </c>
      <c r="Z1253" s="30">
        <f>PM_Angle!$J$15+PM_Angle!$K$15*$C1253+PM_Angle!$L$15*$B1253</f>
      </c>
      <c r="AA1253" s="12">
        <f>IF(Z1253&gt;0,IF(Z1253&lt;=eco,alpha*fck*(1-(1-Z1253/eco)^n),alpha*fck),0)</f>
      </c>
      <c r="AB1253" s="30">
        <f>PM_Angle!$J$16+PM_Angle!$K$16*$C1253+PM_Angle!$L$16*$B1253</f>
      </c>
      <c r="AC1253" s="12">
        <f>IF(AB1253&gt;0,IF(AB1253&lt;=eco,alpha*fck*(1-(1-AB1253/eco)^n),alpha*fck),0)</f>
      </c>
      <c r="AD1253" s="30">
        <f>PM_Angle!$J$17+PM_Angle!$K$17*$C1253+PM_Angle!$L$17*$B1253</f>
      </c>
      <c r="AE1253" s="12">
        <f>IF(AD1253&gt;0,IF(AD1253&lt;=eco,alpha*fck*(1-(1-AD1253/eco)^n),alpha*fck),0)</f>
      </c>
      <c r="AF1253" s="30">
        <f>PM_Angle!$J$18+PM_Angle!$K$18*$C1253+PM_Angle!$L$18*$B1253</f>
      </c>
      <c r="AG1253" s="12">
        <f>IF(AF1253&gt;0,IF(AF1253&lt;=eco,alpha*fck*(1-(1-AF1253/eco)^n),alpha*fck),0)</f>
      </c>
      <c r="AH1253" s="30">
        <f>PM_Angle!$J$19+PM_Angle!$K$19*$C1253+PM_Angle!$L$19*$B1253</f>
      </c>
      <c r="AI1253" s="12">
        <f>IF(AH1253&gt;0,IF(AH1253&lt;=eco,alpha*fck*(1-(1-AH1253/eco)^n),alpha*fck),0)</f>
      </c>
      <c r="AJ1253" s="30">
        <f>PM_Angle!$J$20+PM_Angle!$K$20*$C1253+PM_Angle!$L$20*$B1253</f>
      </c>
      <c r="AK1253" s="12">
        <f>IF(AJ1253&gt;0,IF(AJ1253&lt;=eco,alpha*fck*(1-(1-AJ1253/eco)^n),alpha*fck),0)</f>
      </c>
      <c r="AL1253" s="30">
        <f>PM_Angle!$J$21+PM_Angle!$K$21*$C1253+PM_Angle!$L$21*$B1253</f>
      </c>
      <c r="AM1253" s="12">
        <f>IF(AL1253&gt;0,IF(AL1253&lt;=eco,alpha*fck*(1-(1-AL1253/eco)^n),alpha*fck),0)</f>
      </c>
      <c r="AN1253" s="30">
        <f>PM_Angle!$J$22+PM_Angle!$K$22*$C1253+PM_Angle!$L$22*$B1253</f>
      </c>
      <c r="AO1253" s="12">
        <f>IF(AN1253&gt;0,IF(AN1253&lt;=eco,alpha*fck*(1-(1-AN1253/eco)^n),alpha*fck),0)</f>
      </c>
      <c r="AP1253" s="30">
        <f>PM_Angle!$J$23+PM_Angle!$K$23*$C1253+PM_Angle!$L$23*$B1253</f>
      </c>
      <c r="AQ1253" s="12">
        <f>IF(AP1253&gt;0,IF(AP1253&lt;=eco,alpha*fck*(1-(1-AP1253/eco)^n),alpha*fck),0)</f>
      </c>
      <c r="AR1253" s="30">
        <f>PM_Angle!$J$24+PM_Angle!$K$24*$C1253+PM_Angle!$L$24*$B1253</f>
      </c>
      <c r="AS1253" s="12">
        <f>IF(AR1253&gt;0,IF(AR1253&lt;=eco,alpha*fck*(1-(1-AR1253/eco)^n),alpha*fck),0)</f>
      </c>
      <c r="AT1253" s="30">
        <f>PM_Angle!$J$25+PM_Angle!$K$25*$C1253+PM_Angle!$L$25*$B1253</f>
      </c>
      <c r="AU1253" s="12">
        <f>IF(AT1253&gt;0,IF(AT1253&lt;=eco,alpha*fck*(1-(1-AT1253/eco)^n),alpha*fck),0)</f>
      </c>
    </row>
    <row r="1254" spans="1:47" x14ac:dyDescent="0.25">
      <c r="A1254">
        <f>Mesh!A1251</f>
      </c>
      <c r="B1254" s="12">
        <f>Mesh!B1251</f>
      </c>
      <c r="C1254" s="12">
        <f>Mesh!C1251</f>
      </c>
      <c r="D1254" s="12">
        <f>Mesh!D1251</f>
      </c>
      <c r="E1254" s="30">
        <f>INDEX(St_e0,Det+1)+INDEX(St_kx,Det+1)*C1254+INDEX(St_ky,Det+1)*B1254</f>
      </c>
      <c r="F1254" s="12">
        <f>IF(E1254&gt;0,IF(E1254&lt;=eco,alpha*fck*(1-(1-E1254/eco)^n),alpha*fck),0)</f>
      </c>
      <c r="G1254" s="11">
        <f>F1254*D1254</f>
      </c>
      <c r="H1254" s="11">
        <f>G1254*C1254</f>
      </c>
      <c r="I1254" s="11">
        <f>G1254*B1254</f>
      </c>
      <c r="J1254" s="30">
        <f>PM_Angle!$J$7+PM_Angle!$K$7*$C1254+PM_Angle!$L$7*$B1254</f>
      </c>
      <c r="K1254" s="12">
        <f>IF(J1254&gt;0,IF(J1254&lt;=eco,alpha*fck*(1-(1-J1254/eco)^n),alpha*fck),0)</f>
      </c>
      <c r="L1254" s="30">
        <f>PM_Angle!$J$8+PM_Angle!$K$8*$C1254+PM_Angle!$L$8*$B1254</f>
      </c>
      <c r="M1254" s="12">
        <f>IF(L1254&gt;0,IF(L1254&lt;=eco,alpha*fck*(1-(1-L1254/eco)^n),alpha*fck),0)</f>
      </c>
      <c r="N1254" s="30">
        <f>PM_Angle!$J$9+PM_Angle!$K$9*$C1254+PM_Angle!$L$9*$B1254</f>
      </c>
      <c r="O1254" s="12">
        <f>IF(N1254&gt;0,IF(N1254&lt;=eco,alpha*fck*(1-(1-N1254/eco)^n),alpha*fck),0)</f>
      </c>
      <c r="P1254" s="30">
        <f>PM_Angle!$J$10+PM_Angle!$K$10*$C1254+PM_Angle!$L$10*$B1254</f>
      </c>
      <c r="Q1254" s="12">
        <f>IF(P1254&gt;0,IF(P1254&lt;=eco,alpha*fck*(1-(1-P1254/eco)^n),alpha*fck),0)</f>
      </c>
      <c r="R1254" s="30">
        <f>PM_Angle!$J$11+PM_Angle!$K$11*$C1254+PM_Angle!$L$11*$B1254</f>
      </c>
      <c r="S1254" s="12">
        <f>IF(R1254&gt;0,IF(R1254&lt;=eco,alpha*fck*(1-(1-R1254/eco)^n),alpha*fck),0)</f>
      </c>
      <c r="T1254" s="30">
        <f>PM_Angle!$J$12+PM_Angle!$K$12*$C1254+PM_Angle!$L$12*$B1254</f>
      </c>
      <c r="U1254" s="12">
        <f>IF(T1254&gt;0,IF(T1254&lt;=eco,alpha*fck*(1-(1-T1254/eco)^n),alpha*fck),0)</f>
      </c>
      <c r="V1254" s="30">
        <f>PM_Angle!$J$13+PM_Angle!$K$13*$C1254+PM_Angle!$L$13*$B1254</f>
      </c>
      <c r="W1254" s="12">
        <f>IF(V1254&gt;0,IF(V1254&lt;=eco,alpha*fck*(1-(1-V1254/eco)^n),alpha*fck),0)</f>
      </c>
      <c r="X1254" s="30">
        <f>PM_Angle!$J$14+PM_Angle!$K$14*$C1254+PM_Angle!$L$14*$B1254</f>
      </c>
      <c r="Y1254" s="12">
        <f>IF(X1254&gt;0,IF(X1254&lt;=eco,alpha*fck*(1-(1-X1254/eco)^n),alpha*fck),0)</f>
      </c>
      <c r="Z1254" s="30">
        <f>PM_Angle!$J$15+PM_Angle!$K$15*$C1254+PM_Angle!$L$15*$B1254</f>
      </c>
      <c r="AA1254" s="12">
        <f>IF(Z1254&gt;0,IF(Z1254&lt;=eco,alpha*fck*(1-(1-Z1254/eco)^n),alpha*fck),0)</f>
      </c>
      <c r="AB1254" s="30">
        <f>PM_Angle!$J$16+PM_Angle!$K$16*$C1254+PM_Angle!$L$16*$B1254</f>
      </c>
      <c r="AC1254" s="12">
        <f>IF(AB1254&gt;0,IF(AB1254&lt;=eco,alpha*fck*(1-(1-AB1254/eco)^n),alpha*fck),0)</f>
      </c>
      <c r="AD1254" s="30">
        <f>PM_Angle!$J$17+PM_Angle!$K$17*$C1254+PM_Angle!$L$17*$B1254</f>
      </c>
      <c r="AE1254" s="12">
        <f>IF(AD1254&gt;0,IF(AD1254&lt;=eco,alpha*fck*(1-(1-AD1254/eco)^n),alpha*fck),0)</f>
      </c>
      <c r="AF1254" s="30">
        <f>PM_Angle!$J$18+PM_Angle!$K$18*$C1254+PM_Angle!$L$18*$B1254</f>
      </c>
      <c r="AG1254" s="12">
        <f>IF(AF1254&gt;0,IF(AF1254&lt;=eco,alpha*fck*(1-(1-AF1254/eco)^n),alpha*fck),0)</f>
      </c>
      <c r="AH1254" s="30">
        <f>PM_Angle!$J$19+PM_Angle!$K$19*$C1254+PM_Angle!$L$19*$B1254</f>
      </c>
      <c r="AI1254" s="12">
        <f>IF(AH1254&gt;0,IF(AH1254&lt;=eco,alpha*fck*(1-(1-AH1254/eco)^n),alpha*fck),0)</f>
      </c>
      <c r="AJ1254" s="30">
        <f>PM_Angle!$J$20+PM_Angle!$K$20*$C1254+PM_Angle!$L$20*$B1254</f>
      </c>
      <c r="AK1254" s="12">
        <f>IF(AJ1254&gt;0,IF(AJ1254&lt;=eco,alpha*fck*(1-(1-AJ1254/eco)^n),alpha*fck),0)</f>
      </c>
      <c r="AL1254" s="30">
        <f>PM_Angle!$J$21+PM_Angle!$K$21*$C1254+PM_Angle!$L$21*$B1254</f>
      </c>
      <c r="AM1254" s="12">
        <f>IF(AL1254&gt;0,IF(AL1254&lt;=eco,alpha*fck*(1-(1-AL1254/eco)^n),alpha*fck),0)</f>
      </c>
      <c r="AN1254" s="30">
        <f>PM_Angle!$J$22+PM_Angle!$K$22*$C1254+PM_Angle!$L$22*$B1254</f>
      </c>
      <c r="AO1254" s="12">
        <f>IF(AN1254&gt;0,IF(AN1254&lt;=eco,alpha*fck*(1-(1-AN1254/eco)^n),alpha*fck),0)</f>
      </c>
      <c r="AP1254" s="30">
        <f>PM_Angle!$J$23+PM_Angle!$K$23*$C1254+PM_Angle!$L$23*$B1254</f>
      </c>
      <c r="AQ1254" s="12">
        <f>IF(AP1254&gt;0,IF(AP1254&lt;=eco,alpha*fck*(1-(1-AP1254/eco)^n),alpha*fck),0)</f>
      </c>
      <c r="AR1254" s="30">
        <f>PM_Angle!$J$24+PM_Angle!$K$24*$C1254+PM_Angle!$L$24*$B1254</f>
      </c>
      <c r="AS1254" s="12">
        <f>IF(AR1254&gt;0,IF(AR1254&lt;=eco,alpha*fck*(1-(1-AR1254/eco)^n),alpha*fck),0)</f>
      </c>
      <c r="AT1254" s="30">
        <f>PM_Angle!$J$25+PM_Angle!$K$25*$C1254+PM_Angle!$L$25*$B1254</f>
      </c>
      <c r="AU1254" s="12">
        <f>IF(AT1254&gt;0,IF(AT1254&lt;=eco,alpha*fck*(1-(1-AT1254/eco)^n),alpha*fck),0)</f>
      </c>
    </row>
    <row r="1255" spans="1:47" x14ac:dyDescent="0.25">
      <c r="A1255">
        <f>Mesh!A1252</f>
      </c>
      <c r="B1255" s="12">
        <f>Mesh!B1252</f>
      </c>
      <c r="C1255" s="12">
        <f>Mesh!C1252</f>
      </c>
      <c r="D1255" s="12">
        <f>Mesh!D1252</f>
      </c>
      <c r="E1255" s="30">
        <f>INDEX(St_e0,Det+1)+INDEX(St_kx,Det+1)*C1255+INDEX(St_ky,Det+1)*B1255</f>
      </c>
      <c r="F1255" s="12">
        <f>IF(E1255&gt;0,IF(E1255&lt;=eco,alpha*fck*(1-(1-E1255/eco)^n),alpha*fck),0)</f>
      </c>
      <c r="G1255" s="11">
        <f>F1255*D1255</f>
      </c>
      <c r="H1255" s="11">
        <f>G1255*C1255</f>
      </c>
      <c r="I1255" s="11">
        <f>G1255*B1255</f>
      </c>
      <c r="J1255" s="30">
        <f>PM_Angle!$J$7+PM_Angle!$K$7*$C1255+PM_Angle!$L$7*$B1255</f>
      </c>
      <c r="K1255" s="12">
        <f>IF(J1255&gt;0,IF(J1255&lt;=eco,alpha*fck*(1-(1-J1255/eco)^n),alpha*fck),0)</f>
      </c>
      <c r="L1255" s="30">
        <f>PM_Angle!$J$8+PM_Angle!$K$8*$C1255+PM_Angle!$L$8*$B1255</f>
      </c>
      <c r="M1255" s="12">
        <f>IF(L1255&gt;0,IF(L1255&lt;=eco,alpha*fck*(1-(1-L1255/eco)^n),alpha*fck),0)</f>
      </c>
      <c r="N1255" s="30">
        <f>PM_Angle!$J$9+PM_Angle!$K$9*$C1255+PM_Angle!$L$9*$B1255</f>
      </c>
      <c r="O1255" s="12">
        <f>IF(N1255&gt;0,IF(N1255&lt;=eco,alpha*fck*(1-(1-N1255/eco)^n),alpha*fck),0)</f>
      </c>
      <c r="P1255" s="30">
        <f>PM_Angle!$J$10+PM_Angle!$K$10*$C1255+PM_Angle!$L$10*$B1255</f>
      </c>
      <c r="Q1255" s="12">
        <f>IF(P1255&gt;0,IF(P1255&lt;=eco,alpha*fck*(1-(1-P1255/eco)^n),alpha*fck),0)</f>
      </c>
      <c r="R1255" s="30">
        <f>PM_Angle!$J$11+PM_Angle!$K$11*$C1255+PM_Angle!$L$11*$B1255</f>
      </c>
      <c r="S1255" s="12">
        <f>IF(R1255&gt;0,IF(R1255&lt;=eco,alpha*fck*(1-(1-R1255/eco)^n),alpha*fck),0)</f>
      </c>
      <c r="T1255" s="30">
        <f>PM_Angle!$J$12+PM_Angle!$K$12*$C1255+PM_Angle!$L$12*$B1255</f>
      </c>
      <c r="U1255" s="12">
        <f>IF(T1255&gt;0,IF(T1255&lt;=eco,alpha*fck*(1-(1-T1255/eco)^n),alpha*fck),0)</f>
      </c>
      <c r="V1255" s="30">
        <f>PM_Angle!$J$13+PM_Angle!$K$13*$C1255+PM_Angle!$L$13*$B1255</f>
      </c>
      <c r="W1255" s="12">
        <f>IF(V1255&gt;0,IF(V1255&lt;=eco,alpha*fck*(1-(1-V1255/eco)^n),alpha*fck),0)</f>
      </c>
      <c r="X1255" s="30">
        <f>PM_Angle!$J$14+PM_Angle!$K$14*$C1255+PM_Angle!$L$14*$B1255</f>
      </c>
      <c r="Y1255" s="12">
        <f>IF(X1255&gt;0,IF(X1255&lt;=eco,alpha*fck*(1-(1-X1255/eco)^n),alpha*fck),0)</f>
      </c>
      <c r="Z1255" s="30">
        <f>PM_Angle!$J$15+PM_Angle!$K$15*$C1255+PM_Angle!$L$15*$B1255</f>
      </c>
      <c r="AA1255" s="12">
        <f>IF(Z1255&gt;0,IF(Z1255&lt;=eco,alpha*fck*(1-(1-Z1255/eco)^n),alpha*fck),0)</f>
      </c>
      <c r="AB1255" s="30">
        <f>PM_Angle!$J$16+PM_Angle!$K$16*$C1255+PM_Angle!$L$16*$B1255</f>
      </c>
      <c r="AC1255" s="12">
        <f>IF(AB1255&gt;0,IF(AB1255&lt;=eco,alpha*fck*(1-(1-AB1255/eco)^n),alpha*fck),0)</f>
      </c>
      <c r="AD1255" s="30">
        <f>PM_Angle!$J$17+PM_Angle!$K$17*$C1255+PM_Angle!$L$17*$B1255</f>
      </c>
      <c r="AE1255" s="12">
        <f>IF(AD1255&gt;0,IF(AD1255&lt;=eco,alpha*fck*(1-(1-AD1255/eco)^n),alpha*fck),0)</f>
      </c>
      <c r="AF1255" s="30">
        <f>PM_Angle!$J$18+PM_Angle!$K$18*$C1255+PM_Angle!$L$18*$B1255</f>
      </c>
      <c r="AG1255" s="12">
        <f>IF(AF1255&gt;0,IF(AF1255&lt;=eco,alpha*fck*(1-(1-AF1255/eco)^n),alpha*fck),0)</f>
      </c>
      <c r="AH1255" s="30">
        <f>PM_Angle!$J$19+PM_Angle!$K$19*$C1255+PM_Angle!$L$19*$B1255</f>
      </c>
      <c r="AI1255" s="12">
        <f>IF(AH1255&gt;0,IF(AH1255&lt;=eco,alpha*fck*(1-(1-AH1255/eco)^n),alpha*fck),0)</f>
      </c>
      <c r="AJ1255" s="30">
        <f>PM_Angle!$J$20+PM_Angle!$K$20*$C1255+PM_Angle!$L$20*$B1255</f>
      </c>
      <c r="AK1255" s="12">
        <f>IF(AJ1255&gt;0,IF(AJ1255&lt;=eco,alpha*fck*(1-(1-AJ1255/eco)^n),alpha*fck),0)</f>
      </c>
      <c r="AL1255" s="30">
        <f>PM_Angle!$J$21+PM_Angle!$K$21*$C1255+PM_Angle!$L$21*$B1255</f>
      </c>
      <c r="AM1255" s="12">
        <f>IF(AL1255&gt;0,IF(AL1255&lt;=eco,alpha*fck*(1-(1-AL1255/eco)^n),alpha*fck),0)</f>
      </c>
      <c r="AN1255" s="30">
        <f>PM_Angle!$J$22+PM_Angle!$K$22*$C1255+PM_Angle!$L$22*$B1255</f>
      </c>
      <c r="AO1255" s="12">
        <f>IF(AN1255&gt;0,IF(AN1255&lt;=eco,alpha*fck*(1-(1-AN1255/eco)^n),alpha*fck),0)</f>
      </c>
      <c r="AP1255" s="30">
        <f>PM_Angle!$J$23+PM_Angle!$K$23*$C1255+PM_Angle!$L$23*$B1255</f>
      </c>
      <c r="AQ1255" s="12">
        <f>IF(AP1255&gt;0,IF(AP1255&lt;=eco,alpha*fck*(1-(1-AP1255/eco)^n),alpha*fck),0)</f>
      </c>
      <c r="AR1255" s="30">
        <f>PM_Angle!$J$24+PM_Angle!$K$24*$C1255+PM_Angle!$L$24*$B1255</f>
      </c>
      <c r="AS1255" s="12">
        <f>IF(AR1255&gt;0,IF(AR1255&lt;=eco,alpha*fck*(1-(1-AR1255/eco)^n),alpha*fck),0)</f>
      </c>
      <c r="AT1255" s="30">
        <f>PM_Angle!$J$25+PM_Angle!$K$25*$C1255+PM_Angle!$L$25*$B1255</f>
      </c>
      <c r="AU1255" s="12">
        <f>IF(AT1255&gt;0,IF(AT1255&lt;=eco,alpha*fck*(1-(1-AT1255/eco)^n),alpha*fck),0)</f>
      </c>
    </row>
    <row r="1256" spans="1:47" x14ac:dyDescent="0.25">
      <c r="A1256">
        <f>Mesh!A1253</f>
      </c>
      <c r="B1256" s="12">
        <f>Mesh!B1253</f>
      </c>
      <c r="C1256" s="12">
        <f>Mesh!C1253</f>
      </c>
      <c r="D1256" s="12">
        <f>Mesh!D1253</f>
      </c>
      <c r="E1256" s="30">
        <f>INDEX(St_e0,Det+1)+INDEX(St_kx,Det+1)*C1256+INDEX(St_ky,Det+1)*B1256</f>
      </c>
      <c r="F1256" s="12">
        <f>IF(E1256&gt;0,IF(E1256&lt;=eco,alpha*fck*(1-(1-E1256/eco)^n),alpha*fck),0)</f>
      </c>
      <c r="G1256" s="11">
        <f>F1256*D1256</f>
      </c>
      <c r="H1256" s="11">
        <f>G1256*C1256</f>
      </c>
      <c r="I1256" s="11">
        <f>G1256*B1256</f>
      </c>
      <c r="J1256" s="30">
        <f>PM_Angle!$J$7+PM_Angle!$K$7*$C1256+PM_Angle!$L$7*$B1256</f>
      </c>
      <c r="K1256" s="12">
        <f>IF(J1256&gt;0,IF(J1256&lt;=eco,alpha*fck*(1-(1-J1256/eco)^n),alpha*fck),0)</f>
      </c>
      <c r="L1256" s="30">
        <f>PM_Angle!$J$8+PM_Angle!$K$8*$C1256+PM_Angle!$L$8*$B1256</f>
      </c>
      <c r="M1256" s="12">
        <f>IF(L1256&gt;0,IF(L1256&lt;=eco,alpha*fck*(1-(1-L1256/eco)^n),alpha*fck),0)</f>
      </c>
      <c r="N1256" s="30">
        <f>PM_Angle!$J$9+PM_Angle!$K$9*$C1256+PM_Angle!$L$9*$B1256</f>
      </c>
      <c r="O1256" s="12">
        <f>IF(N1256&gt;0,IF(N1256&lt;=eco,alpha*fck*(1-(1-N1256/eco)^n),alpha*fck),0)</f>
      </c>
      <c r="P1256" s="30">
        <f>PM_Angle!$J$10+PM_Angle!$K$10*$C1256+PM_Angle!$L$10*$B1256</f>
      </c>
      <c r="Q1256" s="12">
        <f>IF(P1256&gt;0,IF(P1256&lt;=eco,alpha*fck*(1-(1-P1256/eco)^n),alpha*fck),0)</f>
      </c>
      <c r="R1256" s="30">
        <f>PM_Angle!$J$11+PM_Angle!$K$11*$C1256+PM_Angle!$L$11*$B1256</f>
      </c>
      <c r="S1256" s="12">
        <f>IF(R1256&gt;0,IF(R1256&lt;=eco,alpha*fck*(1-(1-R1256/eco)^n),alpha*fck),0)</f>
      </c>
      <c r="T1256" s="30">
        <f>PM_Angle!$J$12+PM_Angle!$K$12*$C1256+PM_Angle!$L$12*$B1256</f>
      </c>
      <c r="U1256" s="12">
        <f>IF(T1256&gt;0,IF(T1256&lt;=eco,alpha*fck*(1-(1-T1256/eco)^n),alpha*fck),0)</f>
      </c>
      <c r="V1256" s="30">
        <f>PM_Angle!$J$13+PM_Angle!$K$13*$C1256+PM_Angle!$L$13*$B1256</f>
      </c>
      <c r="W1256" s="12">
        <f>IF(V1256&gt;0,IF(V1256&lt;=eco,alpha*fck*(1-(1-V1256/eco)^n),alpha*fck),0)</f>
      </c>
      <c r="X1256" s="30">
        <f>PM_Angle!$J$14+PM_Angle!$K$14*$C1256+PM_Angle!$L$14*$B1256</f>
      </c>
      <c r="Y1256" s="12">
        <f>IF(X1256&gt;0,IF(X1256&lt;=eco,alpha*fck*(1-(1-X1256/eco)^n),alpha*fck),0)</f>
      </c>
      <c r="Z1256" s="30">
        <f>PM_Angle!$J$15+PM_Angle!$K$15*$C1256+PM_Angle!$L$15*$B1256</f>
      </c>
      <c r="AA1256" s="12">
        <f>IF(Z1256&gt;0,IF(Z1256&lt;=eco,alpha*fck*(1-(1-Z1256/eco)^n),alpha*fck),0)</f>
      </c>
      <c r="AB1256" s="30">
        <f>PM_Angle!$J$16+PM_Angle!$K$16*$C1256+PM_Angle!$L$16*$B1256</f>
      </c>
      <c r="AC1256" s="12">
        <f>IF(AB1256&gt;0,IF(AB1256&lt;=eco,alpha*fck*(1-(1-AB1256/eco)^n),alpha*fck),0)</f>
      </c>
      <c r="AD1256" s="30">
        <f>PM_Angle!$J$17+PM_Angle!$K$17*$C1256+PM_Angle!$L$17*$B1256</f>
      </c>
      <c r="AE1256" s="12">
        <f>IF(AD1256&gt;0,IF(AD1256&lt;=eco,alpha*fck*(1-(1-AD1256/eco)^n),alpha*fck),0)</f>
      </c>
      <c r="AF1256" s="30">
        <f>PM_Angle!$J$18+PM_Angle!$K$18*$C1256+PM_Angle!$L$18*$B1256</f>
      </c>
      <c r="AG1256" s="12">
        <f>IF(AF1256&gt;0,IF(AF1256&lt;=eco,alpha*fck*(1-(1-AF1256/eco)^n),alpha*fck),0)</f>
      </c>
      <c r="AH1256" s="30">
        <f>PM_Angle!$J$19+PM_Angle!$K$19*$C1256+PM_Angle!$L$19*$B1256</f>
      </c>
      <c r="AI1256" s="12">
        <f>IF(AH1256&gt;0,IF(AH1256&lt;=eco,alpha*fck*(1-(1-AH1256/eco)^n),alpha*fck),0)</f>
      </c>
      <c r="AJ1256" s="30">
        <f>PM_Angle!$J$20+PM_Angle!$K$20*$C1256+PM_Angle!$L$20*$B1256</f>
      </c>
      <c r="AK1256" s="12">
        <f>IF(AJ1256&gt;0,IF(AJ1256&lt;=eco,alpha*fck*(1-(1-AJ1256/eco)^n),alpha*fck),0)</f>
      </c>
      <c r="AL1256" s="30">
        <f>PM_Angle!$J$21+PM_Angle!$K$21*$C1256+PM_Angle!$L$21*$B1256</f>
      </c>
      <c r="AM1256" s="12">
        <f>IF(AL1256&gt;0,IF(AL1256&lt;=eco,alpha*fck*(1-(1-AL1256/eco)^n),alpha*fck),0)</f>
      </c>
      <c r="AN1256" s="30">
        <f>PM_Angle!$J$22+PM_Angle!$K$22*$C1256+PM_Angle!$L$22*$B1256</f>
      </c>
      <c r="AO1256" s="12">
        <f>IF(AN1256&gt;0,IF(AN1256&lt;=eco,alpha*fck*(1-(1-AN1256/eco)^n),alpha*fck),0)</f>
      </c>
      <c r="AP1256" s="30">
        <f>PM_Angle!$J$23+PM_Angle!$K$23*$C1256+PM_Angle!$L$23*$B1256</f>
      </c>
      <c r="AQ1256" s="12">
        <f>IF(AP1256&gt;0,IF(AP1256&lt;=eco,alpha*fck*(1-(1-AP1256/eco)^n),alpha*fck),0)</f>
      </c>
      <c r="AR1256" s="30">
        <f>PM_Angle!$J$24+PM_Angle!$K$24*$C1256+PM_Angle!$L$24*$B1256</f>
      </c>
      <c r="AS1256" s="12">
        <f>IF(AR1256&gt;0,IF(AR1256&lt;=eco,alpha*fck*(1-(1-AR1256/eco)^n),alpha*fck),0)</f>
      </c>
      <c r="AT1256" s="30">
        <f>PM_Angle!$J$25+PM_Angle!$K$25*$C1256+PM_Angle!$L$25*$B1256</f>
      </c>
      <c r="AU1256" s="12">
        <f>IF(AT1256&gt;0,IF(AT1256&lt;=eco,alpha*fck*(1-(1-AT1256/eco)^n),alpha*fck),0)</f>
      </c>
    </row>
    <row r="1257" spans="1:47" x14ac:dyDescent="0.25">
      <c r="A1257">
        <f>Mesh!A1254</f>
      </c>
      <c r="B1257" s="12">
        <f>Mesh!B1254</f>
      </c>
      <c r="C1257" s="12">
        <f>Mesh!C1254</f>
      </c>
      <c r="D1257" s="12">
        <f>Mesh!D1254</f>
      </c>
      <c r="E1257" s="30">
        <f>INDEX(St_e0,Det+1)+INDEX(St_kx,Det+1)*C1257+INDEX(St_ky,Det+1)*B1257</f>
      </c>
      <c r="F1257" s="12">
        <f>IF(E1257&gt;0,IF(E1257&lt;=eco,alpha*fck*(1-(1-E1257/eco)^n),alpha*fck),0)</f>
      </c>
      <c r="G1257" s="11">
        <f>F1257*D1257</f>
      </c>
      <c r="H1257" s="11">
        <f>G1257*C1257</f>
      </c>
      <c r="I1257" s="11">
        <f>G1257*B1257</f>
      </c>
      <c r="J1257" s="30">
        <f>PM_Angle!$J$7+PM_Angle!$K$7*$C1257+PM_Angle!$L$7*$B1257</f>
      </c>
      <c r="K1257" s="12">
        <f>IF(J1257&gt;0,IF(J1257&lt;=eco,alpha*fck*(1-(1-J1257/eco)^n),alpha*fck),0)</f>
      </c>
      <c r="L1257" s="30">
        <f>PM_Angle!$J$8+PM_Angle!$K$8*$C1257+PM_Angle!$L$8*$B1257</f>
      </c>
      <c r="M1257" s="12">
        <f>IF(L1257&gt;0,IF(L1257&lt;=eco,alpha*fck*(1-(1-L1257/eco)^n),alpha*fck),0)</f>
      </c>
      <c r="N1257" s="30">
        <f>PM_Angle!$J$9+PM_Angle!$K$9*$C1257+PM_Angle!$L$9*$B1257</f>
      </c>
      <c r="O1257" s="12">
        <f>IF(N1257&gt;0,IF(N1257&lt;=eco,alpha*fck*(1-(1-N1257/eco)^n),alpha*fck),0)</f>
      </c>
      <c r="P1257" s="30">
        <f>PM_Angle!$J$10+PM_Angle!$K$10*$C1257+PM_Angle!$L$10*$B1257</f>
      </c>
      <c r="Q1257" s="12">
        <f>IF(P1257&gt;0,IF(P1257&lt;=eco,alpha*fck*(1-(1-P1257/eco)^n),alpha*fck),0)</f>
      </c>
      <c r="R1257" s="30">
        <f>PM_Angle!$J$11+PM_Angle!$K$11*$C1257+PM_Angle!$L$11*$B1257</f>
      </c>
      <c r="S1257" s="12">
        <f>IF(R1257&gt;0,IF(R1257&lt;=eco,alpha*fck*(1-(1-R1257/eco)^n),alpha*fck),0)</f>
      </c>
      <c r="T1257" s="30">
        <f>PM_Angle!$J$12+PM_Angle!$K$12*$C1257+PM_Angle!$L$12*$B1257</f>
      </c>
      <c r="U1257" s="12">
        <f>IF(T1257&gt;0,IF(T1257&lt;=eco,alpha*fck*(1-(1-T1257/eco)^n),alpha*fck),0)</f>
      </c>
      <c r="V1257" s="30">
        <f>PM_Angle!$J$13+PM_Angle!$K$13*$C1257+PM_Angle!$L$13*$B1257</f>
      </c>
      <c r="W1257" s="12">
        <f>IF(V1257&gt;0,IF(V1257&lt;=eco,alpha*fck*(1-(1-V1257/eco)^n),alpha*fck),0)</f>
      </c>
      <c r="X1257" s="30">
        <f>PM_Angle!$J$14+PM_Angle!$K$14*$C1257+PM_Angle!$L$14*$B1257</f>
      </c>
      <c r="Y1257" s="12">
        <f>IF(X1257&gt;0,IF(X1257&lt;=eco,alpha*fck*(1-(1-X1257/eco)^n),alpha*fck),0)</f>
      </c>
      <c r="Z1257" s="30">
        <f>PM_Angle!$J$15+PM_Angle!$K$15*$C1257+PM_Angle!$L$15*$B1257</f>
      </c>
      <c r="AA1257" s="12">
        <f>IF(Z1257&gt;0,IF(Z1257&lt;=eco,alpha*fck*(1-(1-Z1257/eco)^n),alpha*fck),0)</f>
      </c>
      <c r="AB1257" s="30">
        <f>PM_Angle!$J$16+PM_Angle!$K$16*$C1257+PM_Angle!$L$16*$B1257</f>
      </c>
      <c r="AC1257" s="12">
        <f>IF(AB1257&gt;0,IF(AB1257&lt;=eco,alpha*fck*(1-(1-AB1257/eco)^n),alpha*fck),0)</f>
      </c>
      <c r="AD1257" s="30">
        <f>PM_Angle!$J$17+PM_Angle!$K$17*$C1257+PM_Angle!$L$17*$B1257</f>
      </c>
      <c r="AE1257" s="12">
        <f>IF(AD1257&gt;0,IF(AD1257&lt;=eco,alpha*fck*(1-(1-AD1257/eco)^n),alpha*fck),0)</f>
      </c>
      <c r="AF1257" s="30">
        <f>PM_Angle!$J$18+PM_Angle!$K$18*$C1257+PM_Angle!$L$18*$B1257</f>
      </c>
      <c r="AG1257" s="12">
        <f>IF(AF1257&gt;0,IF(AF1257&lt;=eco,alpha*fck*(1-(1-AF1257/eco)^n),alpha*fck),0)</f>
      </c>
      <c r="AH1257" s="30">
        <f>PM_Angle!$J$19+PM_Angle!$K$19*$C1257+PM_Angle!$L$19*$B1257</f>
      </c>
      <c r="AI1257" s="12">
        <f>IF(AH1257&gt;0,IF(AH1257&lt;=eco,alpha*fck*(1-(1-AH1257/eco)^n),alpha*fck),0)</f>
      </c>
      <c r="AJ1257" s="30">
        <f>PM_Angle!$J$20+PM_Angle!$K$20*$C1257+PM_Angle!$L$20*$B1257</f>
      </c>
      <c r="AK1257" s="12">
        <f>IF(AJ1257&gt;0,IF(AJ1257&lt;=eco,alpha*fck*(1-(1-AJ1257/eco)^n),alpha*fck),0)</f>
      </c>
      <c r="AL1257" s="30">
        <f>PM_Angle!$J$21+PM_Angle!$K$21*$C1257+PM_Angle!$L$21*$B1257</f>
      </c>
      <c r="AM1257" s="12">
        <f>IF(AL1257&gt;0,IF(AL1257&lt;=eco,alpha*fck*(1-(1-AL1257/eco)^n),alpha*fck),0)</f>
      </c>
      <c r="AN1257" s="30">
        <f>PM_Angle!$J$22+PM_Angle!$K$22*$C1257+PM_Angle!$L$22*$B1257</f>
      </c>
      <c r="AO1257" s="12">
        <f>IF(AN1257&gt;0,IF(AN1257&lt;=eco,alpha*fck*(1-(1-AN1257/eco)^n),alpha*fck),0)</f>
      </c>
      <c r="AP1257" s="30">
        <f>PM_Angle!$J$23+PM_Angle!$K$23*$C1257+PM_Angle!$L$23*$B1257</f>
      </c>
      <c r="AQ1257" s="12">
        <f>IF(AP1257&gt;0,IF(AP1257&lt;=eco,alpha*fck*(1-(1-AP1257/eco)^n),alpha*fck),0)</f>
      </c>
      <c r="AR1257" s="30">
        <f>PM_Angle!$J$24+PM_Angle!$K$24*$C1257+PM_Angle!$L$24*$B1257</f>
      </c>
      <c r="AS1257" s="12">
        <f>IF(AR1257&gt;0,IF(AR1257&lt;=eco,alpha*fck*(1-(1-AR1257/eco)^n),alpha*fck),0)</f>
      </c>
      <c r="AT1257" s="30">
        <f>PM_Angle!$J$25+PM_Angle!$K$25*$C1257+PM_Angle!$L$25*$B1257</f>
      </c>
      <c r="AU1257" s="12">
        <f>IF(AT1257&gt;0,IF(AT1257&lt;=eco,alpha*fck*(1-(1-AT1257/eco)^n),alpha*fck),0)</f>
      </c>
    </row>
    <row r="1258" spans="1:47" x14ac:dyDescent="0.25">
      <c r="A1258">
        <f>Mesh!A1255</f>
      </c>
      <c r="B1258" s="12">
        <f>Mesh!B1255</f>
      </c>
      <c r="C1258" s="12">
        <f>Mesh!C1255</f>
      </c>
      <c r="D1258" s="12">
        <f>Mesh!D1255</f>
      </c>
      <c r="E1258" s="30">
        <f>INDEX(St_e0,Det+1)+INDEX(St_kx,Det+1)*C1258+INDEX(St_ky,Det+1)*B1258</f>
      </c>
      <c r="F1258" s="12">
        <f>IF(E1258&gt;0,IF(E1258&lt;=eco,alpha*fck*(1-(1-E1258/eco)^n),alpha*fck),0)</f>
      </c>
      <c r="G1258" s="11">
        <f>F1258*D1258</f>
      </c>
      <c r="H1258" s="11">
        <f>G1258*C1258</f>
      </c>
      <c r="I1258" s="11">
        <f>G1258*B1258</f>
      </c>
      <c r="J1258" s="30">
        <f>PM_Angle!$J$7+PM_Angle!$K$7*$C1258+PM_Angle!$L$7*$B1258</f>
      </c>
      <c r="K1258" s="12">
        <f>IF(J1258&gt;0,IF(J1258&lt;=eco,alpha*fck*(1-(1-J1258/eco)^n),alpha*fck),0)</f>
      </c>
      <c r="L1258" s="30">
        <f>PM_Angle!$J$8+PM_Angle!$K$8*$C1258+PM_Angle!$L$8*$B1258</f>
      </c>
      <c r="M1258" s="12">
        <f>IF(L1258&gt;0,IF(L1258&lt;=eco,alpha*fck*(1-(1-L1258/eco)^n),alpha*fck),0)</f>
      </c>
      <c r="N1258" s="30">
        <f>PM_Angle!$J$9+PM_Angle!$K$9*$C1258+PM_Angle!$L$9*$B1258</f>
      </c>
      <c r="O1258" s="12">
        <f>IF(N1258&gt;0,IF(N1258&lt;=eco,alpha*fck*(1-(1-N1258/eco)^n),alpha*fck),0)</f>
      </c>
      <c r="P1258" s="30">
        <f>PM_Angle!$J$10+PM_Angle!$K$10*$C1258+PM_Angle!$L$10*$B1258</f>
      </c>
      <c r="Q1258" s="12">
        <f>IF(P1258&gt;0,IF(P1258&lt;=eco,alpha*fck*(1-(1-P1258/eco)^n),alpha*fck),0)</f>
      </c>
      <c r="R1258" s="30">
        <f>PM_Angle!$J$11+PM_Angle!$K$11*$C1258+PM_Angle!$L$11*$B1258</f>
      </c>
      <c r="S1258" s="12">
        <f>IF(R1258&gt;0,IF(R1258&lt;=eco,alpha*fck*(1-(1-R1258/eco)^n),alpha*fck),0)</f>
      </c>
      <c r="T1258" s="30">
        <f>PM_Angle!$J$12+PM_Angle!$K$12*$C1258+PM_Angle!$L$12*$B1258</f>
      </c>
      <c r="U1258" s="12">
        <f>IF(T1258&gt;0,IF(T1258&lt;=eco,alpha*fck*(1-(1-T1258/eco)^n),alpha*fck),0)</f>
      </c>
      <c r="V1258" s="30">
        <f>PM_Angle!$J$13+PM_Angle!$K$13*$C1258+PM_Angle!$L$13*$B1258</f>
      </c>
      <c r="W1258" s="12">
        <f>IF(V1258&gt;0,IF(V1258&lt;=eco,alpha*fck*(1-(1-V1258/eco)^n),alpha*fck),0)</f>
      </c>
      <c r="X1258" s="30">
        <f>PM_Angle!$J$14+PM_Angle!$K$14*$C1258+PM_Angle!$L$14*$B1258</f>
      </c>
      <c r="Y1258" s="12">
        <f>IF(X1258&gt;0,IF(X1258&lt;=eco,alpha*fck*(1-(1-X1258/eco)^n),alpha*fck),0)</f>
      </c>
      <c r="Z1258" s="30">
        <f>PM_Angle!$J$15+PM_Angle!$K$15*$C1258+PM_Angle!$L$15*$B1258</f>
      </c>
      <c r="AA1258" s="12">
        <f>IF(Z1258&gt;0,IF(Z1258&lt;=eco,alpha*fck*(1-(1-Z1258/eco)^n),alpha*fck),0)</f>
      </c>
      <c r="AB1258" s="30">
        <f>PM_Angle!$J$16+PM_Angle!$K$16*$C1258+PM_Angle!$L$16*$B1258</f>
      </c>
      <c r="AC1258" s="12">
        <f>IF(AB1258&gt;0,IF(AB1258&lt;=eco,alpha*fck*(1-(1-AB1258/eco)^n),alpha*fck),0)</f>
      </c>
      <c r="AD1258" s="30">
        <f>PM_Angle!$J$17+PM_Angle!$K$17*$C1258+PM_Angle!$L$17*$B1258</f>
      </c>
      <c r="AE1258" s="12">
        <f>IF(AD1258&gt;0,IF(AD1258&lt;=eco,alpha*fck*(1-(1-AD1258/eco)^n),alpha*fck),0)</f>
      </c>
      <c r="AF1258" s="30">
        <f>PM_Angle!$J$18+PM_Angle!$K$18*$C1258+PM_Angle!$L$18*$B1258</f>
      </c>
      <c r="AG1258" s="12">
        <f>IF(AF1258&gt;0,IF(AF1258&lt;=eco,alpha*fck*(1-(1-AF1258/eco)^n),alpha*fck),0)</f>
      </c>
      <c r="AH1258" s="30">
        <f>PM_Angle!$J$19+PM_Angle!$K$19*$C1258+PM_Angle!$L$19*$B1258</f>
      </c>
      <c r="AI1258" s="12">
        <f>IF(AH1258&gt;0,IF(AH1258&lt;=eco,alpha*fck*(1-(1-AH1258/eco)^n),alpha*fck),0)</f>
      </c>
      <c r="AJ1258" s="30">
        <f>PM_Angle!$J$20+PM_Angle!$K$20*$C1258+PM_Angle!$L$20*$B1258</f>
      </c>
      <c r="AK1258" s="12">
        <f>IF(AJ1258&gt;0,IF(AJ1258&lt;=eco,alpha*fck*(1-(1-AJ1258/eco)^n),alpha*fck),0)</f>
      </c>
      <c r="AL1258" s="30">
        <f>PM_Angle!$J$21+PM_Angle!$K$21*$C1258+PM_Angle!$L$21*$B1258</f>
      </c>
      <c r="AM1258" s="12">
        <f>IF(AL1258&gt;0,IF(AL1258&lt;=eco,alpha*fck*(1-(1-AL1258/eco)^n),alpha*fck),0)</f>
      </c>
      <c r="AN1258" s="30">
        <f>PM_Angle!$J$22+PM_Angle!$K$22*$C1258+PM_Angle!$L$22*$B1258</f>
      </c>
      <c r="AO1258" s="12">
        <f>IF(AN1258&gt;0,IF(AN1258&lt;=eco,alpha*fck*(1-(1-AN1258/eco)^n),alpha*fck),0)</f>
      </c>
      <c r="AP1258" s="30">
        <f>PM_Angle!$J$23+PM_Angle!$K$23*$C1258+PM_Angle!$L$23*$B1258</f>
      </c>
      <c r="AQ1258" s="12">
        <f>IF(AP1258&gt;0,IF(AP1258&lt;=eco,alpha*fck*(1-(1-AP1258/eco)^n),alpha*fck),0)</f>
      </c>
      <c r="AR1258" s="30">
        <f>PM_Angle!$J$24+PM_Angle!$K$24*$C1258+PM_Angle!$L$24*$B1258</f>
      </c>
      <c r="AS1258" s="12">
        <f>IF(AR1258&gt;0,IF(AR1258&lt;=eco,alpha*fck*(1-(1-AR1258/eco)^n),alpha*fck),0)</f>
      </c>
      <c r="AT1258" s="30">
        <f>PM_Angle!$J$25+PM_Angle!$K$25*$C1258+PM_Angle!$L$25*$B1258</f>
      </c>
      <c r="AU1258" s="12">
        <f>IF(AT1258&gt;0,IF(AT1258&lt;=eco,alpha*fck*(1-(1-AT1258/eco)^n),alpha*fck),0)</f>
      </c>
    </row>
    <row r="1259" spans="1:47" x14ac:dyDescent="0.25">
      <c r="A1259">
        <f>Mesh!A1256</f>
      </c>
      <c r="B1259" s="12">
        <f>Mesh!B1256</f>
      </c>
      <c r="C1259" s="12">
        <f>Mesh!C1256</f>
      </c>
      <c r="D1259" s="12">
        <f>Mesh!D1256</f>
      </c>
      <c r="E1259" s="30">
        <f>INDEX(St_e0,Det+1)+INDEX(St_kx,Det+1)*C1259+INDEX(St_ky,Det+1)*B1259</f>
      </c>
      <c r="F1259" s="12">
        <f>IF(E1259&gt;0,IF(E1259&lt;=eco,alpha*fck*(1-(1-E1259/eco)^n),alpha*fck),0)</f>
      </c>
      <c r="G1259" s="11">
        <f>F1259*D1259</f>
      </c>
      <c r="H1259" s="11">
        <f>G1259*C1259</f>
      </c>
      <c r="I1259" s="11">
        <f>G1259*B1259</f>
      </c>
      <c r="J1259" s="30">
        <f>PM_Angle!$J$7+PM_Angle!$K$7*$C1259+PM_Angle!$L$7*$B1259</f>
      </c>
      <c r="K1259" s="12">
        <f>IF(J1259&gt;0,IF(J1259&lt;=eco,alpha*fck*(1-(1-J1259/eco)^n),alpha*fck),0)</f>
      </c>
      <c r="L1259" s="30">
        <f>PM_Angle!$J$8+PM_Angle!$K$8*$C1259+PM_Angle!$L$8*$B1259</f>
      </c>
      <c r="M1259" s="12">
        <f>IF(L1259&gt;0,IF(L1259&lt;=eco,alpha*fck*(1-(1-L1259/eco)^n),alpha*fck),0)</f>
      </c>
      <c r="N1259" s="30">
        <f>PM_Angle!$J$9+PM_Angle!$K$9*$C1259+PM_Angle!$L$9*$B1259</f>
      </c>
      <c r="O1259" s="12">
        <f>IF(N1259&gt;0,IF(N1259&lt;=eco,alpha*fck*(1-(1-N1259/eco)^n),alpha*fck),0)</f>
      </c>
      <c r="P1259" s="30">
        <f>PM_Angle!$J$10+PM_Angle!$K$10*$C1259+PM_Angle!$L$10*$B1259</f>
      </c>
      <c r="Q1259" s="12">
        <f>IF(P1259&gt;0,IF(P1259&lt;=eco,alpha*fck*(1-(1-P1259/eco)^n),alpha*fck),0)</f>
      </c>
      <c r="R1259" s="30">
        <f>PM_Angle!$J$11+PM_Angle!$K$11*$C1259+PM_Angle!$L$11*$B1259</f>
      </c>
      <c r="S1259" s="12">
        <f>IF(R1259&gt;0,IF(R1259&lt;=eco,alpha*fck*(1-(1-R1259/eco)^n),alpha*fck),0)</f>
      </c>
      <c r="T1259" s="30">
        <f>PM_Angle!$J$12+PM_Angle!$K$12*$C1259+PM_Angle!$L$12*$B1259</f>
      </c>
      <c r="U1259" s="12">
        <f>IF(T1259&gt;0,IF(T1259&lt;=eco,alpha*fck*(1-(1-T1259/eco)^n),alpha*fck),0)</f>
      </c>
      <c r="V1259" s="30">
        <f>PM_Angle!$J$13+PM_Angle!$K$13*$C1259+PM_Angle!$L$13*$B1259</f>
      </c>
      <c r="W1259" s="12">
        <f>IF(V1259&gt;0,IF(V1259&lt;=eco,alpha*fck*(1-(1-V1259/eco)^n),alpha*fck),0)</f>
      </c>
      <c r="X1259" s="30">
        <f>PM_Angle!$J$14+PM_Angle!$K$14*$C1259+PM_Angle!$L$14*$B1259</f>
      </c>
      <c r="Y1259" s="12">
        <f>IF(X1259&gt;0,IF(X1259&lt;=eco,alpha*fck*(1-(1-X1259/eco)^n),alpha*fck),0)</f>
      </c>
      <c r="Z1259" s="30">
        <f>PM_Angle!$J$15+PM_Angle!$K$15*$C1259+PM_Angle!$L$15*$B1259</f>
      </c>
      <c r="AA1259" s="12">
        <f>IF(Z1259&gt;0,IF(Z1259&lt;=eco,alpha*fck*(1-(1-Z1259/eco)^n),alpha*fck),0)</f>
      </c>
      <c r="AB1259" s="30">
        <f>PM_Angle!$J$16+PM_Angle!$K$16*$C1259+PM_Angle!$L$16*$B1259</f>
      </c>
      <c r="AC1259" s="12">
        <f>IF(AB1259&gt;0,IF(AB1259&lt;=eco,alpha*fck*(1-(1-AB1259/eco)^n),alpha*fck),0)</f>
      </c>
      <c r="AD1259" s="30">
        <f>PM_Angle!$J$17+PM_Angle!$K$17*$C1259+PM_Angle!$L$17*$B1259</f>
      </c>
      <c r="AE1259" s="12">
        <f>IF(AD1259&gt;0,IF(AD1259&lt;=eco,alpha*fck*(1-(1-AD1259/eco)^n),alpha*fck),0)</f>
      </c>
      <c r="AF1259" s="30">
        <f>PM_Angle!$J$18+PM_Angle!$K$18*$C1259+PM_Angle!$L$18*$B1259</f>
      </c>
      <c r="AG1259" s="12">
        <f>IF(AF1259&gt;0,IF(AF1259&lt;=eco,alpha*fck*(1-(1-AF1259/eco)^n),alpha*fck),0)</f>
      </c>
      <c r="AH1259" s="30">
        <f>PM_Angle!$J$19+PM_Angle!$K$19*$C1259+PM_Angle!$L$19*$B1259</f>
      </c>
      <c r="AI1259" s="12">
        <f>IF(AH1259&gt;0,IF(AH1259&lt;=eco,alpha*fck*(1-(1-AH1259/eco)^n),alpha*fck),0)</f>
      </c>
      <c r="AJ1259" s="30">
        <f>PM_Angle!$J$20+PM_Angle!$K$20*$C1259+PM_Angle!$L$20*$B1259</f>
      </c>
      <c r="AK1259" s="12">
        <f>IF(AJ1259&gt;0,IF(AJ1259&lt;=eco,alpha*fck*(1-(1-AJ1259/eco)^n),alpha*fck),0)</f>
      </c>
      <c r="AL1259" s="30">
        <f>PM_Angle!$J$21+PM_Angle!$K$21*$C1259+PM_Angle!$L$21*$B1259</f>
      </c>
      <c r="AM1259" s="12">
        <f>IF(AL1259&gt;0,IF(AL1259&lt;=eco,alpha*fck*(1-(1-AL1259/eco)^n),alpha*fck),0)</f>
      </c>
      <c r="AN1259" s="30">
        <f>PM_Angle!$J$22+PM_Angle!$K$22*$C1259+PM_Angle!$L$22*$B1259</f>
      </c>
      <c r="AO1259" s="12">
        <f>IF(AN1259&gt;0,IF(AN1259&lt;=eco,alpha*fck*(1-(1-AN1259/eco)^n),alpha*fck),0)</f>
      </c>
      <c r="AP1259" s="30">
        <f>PM_Angle!$J$23+PM_Angle!$K$23*$C1259+PM_Angle!$L$23*$B1259</f>
      </c>
      <c r="AQ1259" s="12">
        <f>IF(AP1259&gt;0,IF(AP1259&lt;=eco,alpha*fck*(1-(1-AP1259/eco)^n),alpha*fck),0)</f>
      </c>
      <c r="AR1259" s="30">
        <f>PM_Angle!$J$24+PM_Angle!$K$24*$C1259+PM_Angle!$L$24*$B1259</f>
      </c>
      <c r="AS1259" s="12">
        <f>IF(AR1259&gt;0,IF(AR1259&lt;=eco,alpha*fck*(1-(1-AR1259/eco)^n),alpha*fck),0)</f>
      </c>
      <c r="AT1259" s="30">
        <f>PM_Angle!$J$25+PM_Angle!$K$25*$C1259+PM_Angle!$L$25*$B1259</f>
      </c>
      <c r="AU1259" s="12">
        <f>IF(AT1259&gt;0,IF(AT1259&lt;=eco,alpha*fck*(1-(1-AT1259/eco)^n),alpha*fck),0)</f>
      </c>
    </row>
    <row r="1260" spans="1:47" x14ac:dyDescent="0.25">
      <c r="A1260">
        <f>Mesh!A1257</f>
      </c>
      <c r="B1260" s="12">
        <f>Mesh!B1257</f>
      </c>
      <c r="C1260" s="12">
        <f>Mesh!C1257</f>
      </c>
      <c r="D1260" s="12">
        <f>Mesh!D1257</f>
      </c>
      <c r="E1260" s="30">
        <f>INDEX(St_e0,Det+1)+INDEX(St_kx,Det+1)*C1260+INDEX(St_ky,Det+1)*B1260</f>
      </c>
      <c r="F1260" s="12">
        <f>IF(E1260&gt;0,IF(E1260&lt;=eco,alpha*fck*(1-(1-E1260/eco)^n),alpha*fck),0)</f>
      </c>
      <c r="G1260" s="11">
        <f>F1260*D1260</f>
      </c>
      <c r="H1260" s="11">
        <f>G1260*C1260</f>
      </c>
      <c r="I1260" s="11">
        <f>G1260*B1260</f>
      </c>
      <c r="J1260" s="30">
        <f>PM_Angle!$J$7+PM_Angle!$K$7*$C1260+PM_Angle!$L$7*$B1260</f>
      </c>
      <c r="K1260" s="12">
        <f>IF(J1260&gt;0,IF(J1260&lt;=eco,alpha*fck*(1-(1-J1260/eco)^n),alpha*fck),0)</f>
      </c>
      <c r="L1260" s="30">
        <f>PM_Angle!$J$8+PM_Angle!$K$8*$C1260+PM_Angle!$L$8*$B1260</f>
      </c>
      <c r="M1260" s="12">
        <f>IF(L1260&gt;0,IF(L1260&lt;=eco,alpha*fck*(1-(1-L1260/eco)^n),alpha*fck),0)</f>
      </c>
      <c r="N1260" s="30">
        <f>PM_Angle!$J$9+PM_Angle!$K$9*$C1260+PM_Angle!$L$9*$B1260</f>
      </c>
      <c r="O1260" s="12">
        <f>IF(N1260&gt;0,IF(N1260&lt;=eco,alpha*fck*(1-(1-N1260/eco)^n),alpha*fck),0)</f>
      </c>
      <c r="P1260" s="30">
        <f>PM_Angle!$J$10+PM_Angle!$K$10*$C1260+PM_Angle!$L$10*$B1260</f>
      </c>
      <c r="Q1260" s="12">
        <f>IF(P1260&gt;0,IF(P1260&lt;=eco,alpha*fck*(1-(1-P1260/eco)^n),alpha*fck),0)</f>
      </c>
      <c r="R1260" s="30">
        <f>PM_Angle!$J$11+PM_Angle!$K$11*$C1260+PM_Angle!$L$11*$B1260</f>
      </c>
      <c r="S1260" s="12">
        <f>IF(R1260&gt;0,IF(R1260&lt;=eco,alpha*fck*(1-(1-R1260/eco)^n),alpha*fck),0)</f>
      </c>
      <c r="T1260" s="30">
        <f>PM_Angle!$J$12+PM_Angle!$K$12*$C1260+PM_Angle!$L$12*$B1260</f>
      </c>
      <c r="U1260" s="12">
        <f>IF(T1260&gt;0,IF(T1260&lt;=eco,alpha*fck*(1-(1-T1260/eco)^n),alpha*fck),0)</f>
      </c>
      <c r="V1260" s="30">
        <f>PM_Angle!$J$13+PM_Angle!$K$13*$C1260+PM_Angle!$L$13*$B1260</f>
      </c>
      <c r="W1260" s="12">
        <f>IF(V1260&gt;0,IF(V1260&lt;=eco,alpha*fck*(1-(1-V1260/eco)^n),alpha*fck),0)</f>
      </c>
      <c r="X1260" s="30">
        <f>PM_Angle!$J$14+PM_Angle!$K$14*$C1260+PM_Angle!$L$14*$B1260</f>
      </c>
      <c r="Y1260" s="12">
        <f>IF(X1260&gt;0,IF(X1260&lt;=eco,alpha*fck*(1-(1-X1260/eco)^n),alpha*fck),0)</f>
      </c>
      <c r="Z1260" s="30">
        <f>PM_Angle!$J$15+PM_Angle!$K$15*$C1260+PM_Angle!$L$15*$B1260</f>
      </c>
      <c r="AA1260" s="12">
        <f>IF(Z1260&gt;0,IF(Z1260&lt;=eco,alpha*fck*(1-(1-Z1260/eco)^n),alpha*fck),0)</f>
      </c>
      <c r="AB1260" s="30">
        <f>PM_Angle!$J$16+PM_Angle!$K$16*$C1260+PM_Angle!$L$16*$B1260</f>
      </c>
      <c r="AC1260" s="12">
        <f>IF(AB1260&gt;0,IF(AB1260&lt;=eco,alpha*fck*(1-(1-AB1260/eco)^n),alpha*fck),0)</f>
      </c>
      <c r="AD1260" s="30">
        <f>PM_Angle!$J$17+PM_Angle!$K$17*$C1260+PM_Angle!$L$17*$B1260</f>
      </c>
      <c r="AE1260" s="12">
        <f>IF(AD1260&gt;0,IF(AD1260&lt;=eco,alpha*fck*(1-(1-AD1260/eco)^n),alpha*fck),0)</f>
      </c>
      <c r="AF1260" s="30">
        <f>PM_Angle!$J$18+PM_Angle!$K$18*$C1260+PM_Angle!$L$18*$B1260</f>
      </c>
      <c r="AG1260" s="12">
        <f>IF(AF1260&gt;0,IF(AF1260&lt;=eco,alpha*fck*(1-(1-AF1260/eco)^n),alpha*fck),0)</f>
      </c>
      <c r="AH1260" s="30">
        <f>PM_Angle!$J$19+PM_Angle!$K$19*$C1260+PM_Angle!$L$19*$B1260</f>
      </c>
      <c r="AI1260" s="12">
        <f>IF(AH1260&gt;0,IF(AH1260&lt;=eco,alpha*fck*(1-(1-AH1260/eco)^n),alpha*fck),0)</f>
      </c>
      <c r="AJ1260" s="30">
        <f>PM_Angle!$J$20+PM_Angle!$K$20*$C1260+PM_Angle!$L$20*$B1260</f>
      </c>
      <c r="AK1260" s="12">
        <f>IF(AJ1260&gt;0,IF(AJ1260&lt;=eco,alpha*fck*(1-(1-AJ1260/eco)^n),alpha*fck),0)</f>
      </c>
      <c r="AL1260" s="30">
        <f>PM_Angle!$J$21+PM_Angle!$K$21*$C1260+PM_Angle!$L$21*$B1260</f>
      </c>
      <c r="AM1260" s="12">
        <f>IF(AL1260&gt;0,IF(AL1260&lt;=eco,alpha*fck*(1-(1-AL1260/eco)^n),alpha*fck),0)</f>
      </c>
      <c r="AN1260" s="30">
        <f>PM_Angle!$J$22+PM_Angle!$K$22*$C1260+PM_Angle!$L$22*$B1260</f>
      </c>
      <c r="AO1260" s="12">
        <f>IF(AN1260&gt;0,IF(AN1260&lt;=eco,alpha*fck*(1-(1-AN1260/eco)^n),alpha*fck),0)</f>
      </c>
      <c r="AP1260" s="30">
        <f>PM_Angle!$J$23+PM_Angle!$K$23*$C1260+PM_Angle!$L$23*$B1260</f>
      </c>
      <c r="AQ1260" s="12">
        <f>IF(AP1260&gt;0,IF(AP1260&lt;=eco,alpha*fck*(1-(1-AP1260/eco)^n),alpha*fck),0)</f>
      </c>
      <c r="AR1260" s="30">
        <f>PM_Angle!$J$24+PM_Angle!$K$24*$C1260+PM_Angle!$L$24*$B1260</f>
      </c>
      <c r="AS1260" s="12">
        <f>IF(AR1260&gt;0,IF(AR1260&lt;=eco,alpha*fck*(1-(1-AR1260/eco)^n),alpha*fck),0)</f>
      </c>
      <c r="AT1260" s="30">
        <f>PM_Angle!$J$25+PM_Angle!$K$25*$C1260+PM_Angle!$L$25*$B1260</f>
      </c>
      <c r="AU1260" s="12">
        <f>IF(AT1260&gt;0,IF(AT1260&lt;=eco,alpha*fck*(1-(1-AT1260/eco)^n),alpha*fck),0)</f>
      </c>
    </row>
    <row r="1261" spans="1:47" x14ac:dyDescent="0.25">
      <c r="A1261">
        <f>Mesh!A1258</f>
      </c>
      <c r="B1261" s="12">
        <f>Mesh!B1258</f>
      </c>
      <c r="C1261" s="12">
        <f>Mesh!C1258</f>
      </c>
      <c r="D1261" s="12">
        <f>Mesh!D1258</f>
      </c>
      <c r="E1261" s="30">
        <f>INDEX(St_e0,Det+1)+INDEX(St_kx,Det+1)*C1261+INDEX(St_ky,Det+1)*B1261</f>
      </c>
      <c r="F1261" s="12">
        <f>IF(E1261&gt;0,IF(E1261&lt;=eco,alpha*fck*(1-(1-E1261/eco)^n),alpha*fck),0)</f>
      </c>
      <c r="G1261" s="11">
        <f>F1261*D1261</f>
      </c>
      <c r="H1261" s="11">
        <f>G1261*C1261</f>
      </c>
      <c r="I1261" s="11">
        <f>G1261*B1261</f>
      </c>
      <c r="J1261" s="30">
        <f>PM_Angle!$J$7+PM_Angle!$K$7*$C1261+PM_Angle!$L$7*$B1261</f>
      </c>
      <c r="K1261" s="12">
        <f>IF(J1261&gt;0,IF(J1261&lt;=eco,alpha*fck*(1-(1-J1261/eco)^n),alpha*fck),0)</f>
      </c>
      <c r="L1261" s="30">
        <f>PM_Angle!$J$8+PM_Angle!$K$8*$C1261+PM_Angle!$L$8*$B1261</f>
      </c>
      <c r="M1261" s="12">
        <f>IF(L1261&gt;0,IF(L1261&lt;=eco,alpha*fck*(1-(1-L1261/eco)^n),alpha*fck),0)</f>
      </c>
      <c r="N1261" s="30">
        <f>PM_Angle!$J$9+PM_Angle!$K$9*$C1261+PM_Angle!$L$9*$B1261</f>
      </c>
      <c r="O1261" s="12">
        <f>IF(N1261&gt;0,IF(N1261&lt;=eco,alpha*fck*(1-(1-N1261/eco)^n),alpha*fck),0)</f>
      </c>
      <c r="P1261" s="30">
        <f>PM_Angle!$J$10+PM_Angle!$K$10*$C1261+PM_Angle!$L$10*$B1261</f>
      </c>
      <c r="Q1261" s="12">
        <f>IF(P1261&gt;0,IF(P1261&lt;=eco,alpha*fck*(1-(1-P1261/eco)^n),alpha*fck),0)</f>
      </c>
      <c r="R1261" s="30">
        <f>PM_Angle!$J$11+PM_Angle!$K$11*$C1261+PM_Angle!$L$11*$B1261</f>
      </c>
      <c r="S1261" s="12">
        <f>IF(R1261&gt;0,IF(R1261&lt;=eco,alpha*fck*(1-(1-R1261/eco)^n),alpha*fck),0)</f>
      </c>
      <c r="T1261" s="30">
        <f>PM_Angle!$J$12+PM_Angle!$K$12*$C1261+PM_Angle!$L$12*$B1261</f>
      </c>
      <c r="U1261" s="12">
        <f>IF(T1261&gt;0,IF(T1261&lt;=eco,alpha*fck*(1-(1-T1261/eco)^n),alpha*fck),0)</f>
      </c>
      <c r="V1261" s="30">
        <f>PM_Angle!$J$13+PM_Angle!$K$13*$C1261+PM_Angle!$L$13*$B1261</f>
      </c>
      <c r="W1261" s="12">
        <f>IF(V1261&gt;0,IF(V1261&lt;=eco,alpha*fck*(1-(1-V1261/eco)^n),alpha*fck),0)</f>
      </c>
      <c r="X1261" s="30">
        <f>PM_Angle!$J$14+PM_Angle!$K$14*$C1261+PM_Angle!$L$14*$B1261</f>
      </c>
      <c r="Y1261" s="12">
        <f>IF(X1261&gt;0,IF(X1261&lt;=eco,alpha*fck*(1-(1-X1261/eco)^n),alpha*fck),0)</f>
      </c>
      <c r="Z1261" s="30">
        <f>PM_Angle!$J$15+PM_Angle!$K$15*$C1261+PM_Angle!$L$15*$B1261</f>
      </c>
      <c r="AA1261" s="12">
        <f>IF(Z1261&gt;0,IF(Z1261&lt;=eco,alpha*fck*(1-(1-Z1261/eco)^n),alpha*fck),0)</f>
      </c>
      <c r="AB1261" s="30">
        <f>PM_Angle!$J$16+PM_Angle!$K$16*$C1261+PM_Angle!$L$16*$B1261</f>
      </c>
      <c r="AC1261" s="12">
        <f>IF(AB1261&gt;0,IF(AB1261&lt;=eco,alpha*fck*(1-(1-AB1261/eco)^n),alpha*fck),0)</f>
      </c>
      <c r="AD1261" s="30">
        <f>PM_Angle!$J$17+PM_Angle!$K$17*$C1261+PM_Angle!$L$17*$B1261</f>
      </c>
      <c r="AE1261" s="12">
        <f>IF(AD1261&gt;0,IF(AD1261&lt;=eco,alpha*fck*(1-(1-AD1261/eco)^n),alpha*fck),0)</f>
      </c>
      <c r="AF1261" s="30">
        <f>PM_Angle!$J$18+PM_Angle!$K$18*$C1261+PM_Angle!$L$18*$B1261</f>
      </c>
      <c r="AG1261" s="12">
        <f>IF(AF1261&gt;0,IF(AF1261&lt;=eco,alpha*fck*(1-(1-AF1261/eco)^n),alpha*fck),0)</f>
      </c>
      <c r="AH1261" s="30">
        <f>PM_Angle!$J$19+PM_Angle!$K$19*$C1261+PM_Angle!$L$19*$B1261</f>
      </c>
      <c r="AI1261" s="12">
        <f>IF(AH1261&gt;0,IF(AH1261&lt;=eco,alpha*fck*(1-(1-AH1261/eco)^n),alpha*fck),0)</f>
      </c>
      <c r="AJ1261" s="30">
        <f>PM_Angle!$J$20+PM_Angle!$K$20*$C1261+PM_Angle!$L$20*$B1261</f>
      </c>
      <c r="AK1261" s="12">
        <f>IF(AJ1261&gt;0,IF(AJ1261&lt;=eco,alpha*fck*(1-(1-AJ1261/eco)^n),alpha*fck),0)</f>
      </c>
      <c r="AL1261" s="30">
        <f>PM_Angle!$J$21+PM_Angle!$K$21*$C1261+PM_Angle!$L$21*$B1261</f>
      </c>
      <c r="AM1261" s="12">
        <f>IF(AL1261&gt;0,IF(AL1261&lt;=eco,alpha*fck*(1-(1-AL1261/eco)^n),alpha*fck),0)</f>
      </c>
      <c r="AN1261" s="30">
        <f>PM_Angle!$J$22+PM_Angle!$K$22*$C1261+PM_Angle!$L$22*$B1261</f>
      </c>
      <c r="AO1261" s="12">
        <f>IF(AN1261&gt;0,IF(AN1261&lt;=eco,alpha*fck*(1-(1-AN1261/eco)^n),alpha*fck),0)</f>
      </c>
      <c r="AP1261" s="30">
        <f>PM_Angle!$J$23+PM_Angle!$K$23*$C1261+PM_Angle!$L$23*$B1261</f>
      </c>
      <c r="AQ1261" s="12">
        <f>IF(AP1261&gt;0,IF(AP1261&lt;=eco,alpha*fck*(1-(1-AP1261/eco)^n),alpha*fck),0)</f>
      </c>
      <c r="AR1261" s="30">
        <f>PM_Angle!$J$24+PM_Angle!$K$24*$C1261+PM_Angle!$L$24*$B1261</f>
      </c>
      <c r="AS1261" s="12">
        <f>IF(AR1261&gt;0,IF(AR1261&lt;=eco,alpha*fck*(1-(1-AR1261/eco)^n),alpha*fck),0)</f>
      </c>
      <c r="AT1261" s="30">
        <f>PM_Angle!$J$25+PM_Angle!$K$25*$C1261+PM_Angle!$L$25*$B1261</f>
      </c>
      <c r="AU1261" s="12">
        <f>IF(AT1261&gt;0,IF(AT1261&lt;=eco,alpha*fck*(1-(1-AT1261/eco)^n),alpha*fck),0)</f>
      </c>
    </row>
    <row r="1262" spans="1:47" x14ac:dyDescent="0.25">
      <c r="A1262">
        <f>Mesh!A1259</f>
      </c>
      <c r="B1262" s="12">
        <f>Mesh!B1259</f>
      </c>
      <c r="C1262" s="12">
        <f>Mesh!C1259</f>
      </c>
      <c r="D1262" s="12">
        <f>Mesh!D1259</f>
      </c>
      <c r="E1262" s="30">
        <f>INDEX(St_e0,Det+1)+INDEX(St_kx,Det+1)*C1262+INDEX(St_ky,Det+1)*B1262</f>
      </c>
      <c r="F1262" s="12">
        <f>IF(E1262&gt;0,IF(E1262&lt;=eco,alpha*fck*(1-(1-E1262/eco)^n),alpha*fck),0)</f>
      </c>
      <c r="G1262" s="11">
        <f>F1262*D1262</f>
      </c>
      <c r="H1262" s="11">
        <f>G1262*C1262</f>
      </c>
      <c r="I1262" s="11">
        <f>G1262*B1262</f>
      </c>
      <c r="J1262" s="30">
        <f>PM_Angle!$J$7+PM_Angle!$K$7*$C1262+PM_Angle!$L$7*$B1262</f>
      </c>
      <c r="K1262" s="12">
        <f>IF(J1262&gt;0,IF(J1262&lt;=eco,alpha*fck*(1-(1-J1262/eco)^n),alpha*fck),0)</f>
      </c>
      <c r="L1262" s="30">
        <f>PM_Angle!$J$8+PM_Angle!$K$8*$C1262+PM_Angle!$L$8*$B1262</f>
      </c>
      <c r="M1262" s="12">
        <f>IF(L1262&gt;0,IF(L1262&lt;=eco,alpha*fck*(1-(1-L1262/eco)^n),alpha*fck),0)</f>
      </c>
      <c r="N1262" s="30">
        <f>PM_Angle!$J$9+PM_Angle!$K$9*$C1262+PM_Angle!$L$9*$B1262</f>
      </c>
      <c r="O1262" s="12">
        <f>IF(N1262&gt;0,IF(N1262&lt;=eco,alpha*fck*(1-(1-N1262/eco)^n),alpha*fck),0)</f>
      </c>
      <c r="P1262" s="30">
        <f>PM_Angle!$J$10+PM_Angle!$K$10*$C1262+PM_Angle!$L$10*$B1262</f>
      </c>
      <c r="Q1262" s="12">
        <f>IF(P1262&gt;0,IF(P1262&lt;=eco,alpha*fck*(1-(1-P1262/eco)^n),alpha*fck),0)</f>
      </c>
      <c r="R1262" s="30">
        <f>PM_Angle!$J$11+PM_Angle!$K$11*$C1262+PM_Angle!$L$11*$B1262</f>
      </c>
      <c r="S1262" s="12">
        <f>IF(R1262&gt;0,IF(R1262&lt;=eco,alpha*fck*(1-(1-R1262/eco)^n),alpha*fck),0)</f>
      </c>
      <c r="T1262" s="30">
        <f>PM_Angle!$J$12+PM_Angle!$K$12*$C1262+PM_Angle!$L$12*$B1262</f>
      </c>
      <c r="U1262" s="12">
        <f>IF(T1262&gt;0,IF(T1262&lt;=eco,alpha*fck*(1-(1-T1262/eco)^n),alpha*fck),0)</f>
      </c>
      <c r="V1262" s="30">
        <f>PM_Angle!$J$13+PM_Angle!$K$13*$C1262+PM_Angle!$L$13*$B1262</f>
      </c>
      <c r="W1262" s="12">
        <f>IF(V1262&gt;0,IF(V1262&lt;=eco,alpha*fck*(1-(1-V1262/eco)^n),alpha*fck),0)</f>
      </c>
      <c r="X1262" s="30">
        <f>PM_Angle!$J$14+PM_Angle!$K$14*$C1262+PM_Angle!$L$14*$B1262</f>
      </c>
      <c r="Y1262" s="12">
        <f>IF(X1262&gt;0,IF(X1262&lt;=eco,alpha*fck*(1-(1-X1262/eco)^n),alpha*fck),0)</f>
      </c>
      <c r="Z1262" s="30">
        <f>PM_Angle!$J$15+PM_Angle!$K$15*$C1262+PM_Angle!$L$15*$B1262</f>
      </c>
      <c r="AA1262" s="12">
        <f>IF(Z1262&gt;0,IF(Z1262&lt;=eco,alpha*fck*(1-(1-Z1262/eco)^n),alpha*fck),0)</f>
      </c>
      <c r="AB1262" s="30">
        <f>PM_Angle!$J$16+PM_Angle!$K$16*$C1262+PM_Angle!$L$16*$B1262</f>
      </c>
      <c r="AC1262" s="12">
        <f>IF(AB1262&gt;0,IF(AB1262&lt;=eco,alpha*fck*(1-(1-AB1262/eco)^n),alpha*fck),0)</f>
      </c>
      <c r="AD1262" s="30">
        <f>PM_Angle!$J$17+PM_Angle!$K$17*$C1262+PM_Angle!$L$17*$B1262</f>
      </c>
      <c r="AE1262" s="12">
        <f>IF(AD1262&gt;0,IF(AD1262&lt;=eco,alpha*fck*(1-(1-AD1262/eco)^n),alpha*fck),0)</f>
      </c>
      <c r="AF1262" s="30">
        <f>PM_Angle!$J$18+PM_Angle!$K$18*$C1262+PM_Angle!$L$18*$B1262</f>
      </c>
      <c r="AG1262" s="12">
        <f>IF(AF1262&gt;0,IF(AF1262&lt;=eco,alpha*fck*(1-(1-AF1262/eco)^n),alpha*fck),0)</f>
      </c>
      <c r="AH1262" s="30">
        <f>PM_Angle!$J$19+PM_Angle!$K$19*$C1262+PM_Angle!$L$19*$B1262</f>
      </c>
      <c r="AI1262" s="12">
        <f>IF(AH1262&gt;0,IF(AH1262&lt;=eco,alpha*fck*(1-(1-AH1262/eco)^n),alpha*fck),0)</f>
      </c>
      <c r="AJ1262" s="30">
        <f>PM_Angle!$J$20+PM_Angle!$K$20*$C1262+PM_Angle!$L$20*$B1262</f>
      </c>
      <c r="AK1262" s="12">
        <f>IF(AJ1262&gt;0,IF(AJ1262&lt;=eco,alpha*fck*(1-(1-AJ1262/eco)^n),alpha*fck),0)</f>
      </c>
      <c r="AL1262" s="30">
        <f>PM_Angle!$J$21+PM_Angle!$K$21*$C1262+PM_Angle!$L$21*$B1262</f>
      </c>
      <c r="AM1262" s="12">
        <f>IF(AL1262&gt;0,IF(AL1262&lt;=eco,alpha*fck*(1-(1-AL1262/eco)^n),alpha*fck),0)</f>
      </c>
      <c r="AN1262" s="30">
        <f>PM_Angle!$J$22+PM_Angle!$K$22*$C1262+PM_Angle!$L$22*$B1262</f>
      </c>
      <c r="AO1262" s="12">
        <f>IF(AN1262&gt;0,IF(AN1262&lt;=eco,alpha*fck*(1-(1-AN1262/eco)^n),alpha*fck),0)</f>
      </c>
      <c r="AP1262" s="30">
        <f>PM_Angle!$J$23+PM_Angle!$K$23*$C1262+PM_Angle!$L$23*$B1262</f>
      </c>
      <c r="AQ1262" s="12">
        <f>IF(AP1262&gt;0,IF(AP1262&lt;=eco,alpha*fck*(1-(1-AP1262/eco)^n),alpha*fck),0)</f>
      </c>
      <c r="AR1262" s="30">
        <f>PM_Angle!$J$24+PM_Angle!$K$24*$C1262+PM_Angle!$L$24*$B1262</f>
      </c>
      <c r="AS1262" s="12">
        <f>IF(AR1262&gt;0,IF(AR1262&lt;=eco,alpha*fck*(1-(1-AR1262/eco)^n),alpha*fck),0)</f>
      </c>
      <c r="AT1262" s="30">
        <f>PM_Angle!$J$25+PM_Angle!$K$25*$C1262+PM_Angle!$L$25*$B1262</f>
      </c>
      <c r="AU1262" s="12">
        <f>IF(AT1262&gt;0,IF(AT1262&lt;=eco,alpha*fck*(1-(1-AT1262/eco)^n),alpha*fck),0)</f>
      </c>
    </row>
    <row r="1263" spans="1:47" x14ac:dyDescent="0.25">
      <c r="A1263">
        <f>Mesh!A1260</f>
      </c>
      <c r="B1263" s="12">
        <f>Mesh!B1260</f>
      </c>
      <c r="C1263" s="12">
        <f>Mesh!C1260</f>
      </c>
      <c r="D1263" s="12">
        <f>Mesh!D1260</f>
      </c>
      <c r="E1263" s="30">
        <f>INDEX(St_e0,Det+1)+INDEX(St_kx,Det+1)*C1263+INDEX(St_ky,Det+1)*B1263</f>
      </c>
      <c r="F1263" s="12">
        <f>IF(E1263&gt;0,IF(E1263&lt;=eco,alpha*fck*(1-(1-E1263/eco)^n),alpha*fck),0)</f>
      </c>
      <c r="G1263" s="11">
        <f>F1263*D1263</f>
      </c>
      <c r="H1263" s="11">
        <f>G1263*C1263</f>
      </c>
      <c r="I1263" s="11">
        <f>G1263*B1263</f>
      </c>
      <c r="J1263" s="30">
        <f>PM_Angle!$J$7+PM_Angle!$K$7*$C1263+PM_Angle!$L$7*$B1263</f>
      </c>
      <c r="K1263" s="12">
        <f>IF(J1263&gt;0,IF(J1263&lt;=eco,alpha*fck*(1-(1-J1263/eco)^n),alpha*fck),0)</f>
      </c>
      <c r="L1263" s="30">
        <f>PM_Angle!$J$8+PM_Angle!$K$8*$C1263+PM_Angle!$L$8*$B1263</f>
      </c>
      <c r="M1263" s="12">
        <f>IF(L1263&gt;0,IF(L1263&lt;=eco,alpha*fck*(1-(1-L1263/eco)^n),alpha*fck),0)</f>
      </c>
      <c r="N1263" s="30">
        <f>PM_Angle!$J$9+PM_Angle!$K$9*$C1263+PM_Angle!$L$9*$B1263</f>
      </c>
      <c r="O1263" s="12">
        <f>IF(N1263&gt;0,IF(N1263&lt;=eco,alpha*fck*(1-(1-N1263/eco)^n),alpha*fck),0)</f>
      </c>
      <c r="P1263" s="30">
        <f>PM_Angle!$J$10+PM_Angle!$K$10*$C1263+PM_Angle!$L$10*$B1263</f>
      </c>
      <c r="Q1263" s="12">
        <f>IF(P1263&gt;0,IF(P1263&lt;=eco,alpha*fck*(1-(1-P1263/eco)^n),alpha*fck),0)</f>
      </c>
      <c r="R1263" s="30">
        <f>PM_Angle!$J$11+PM_Angle!$K$11*$C1263+PM_Angle!$L$11*$B1263</f>
      </c>
      <c r="S1263" s="12">
        <f>IF(R1263&gt;0,IF(R1263&lt;=eco,alpha*fck*(1-(1-R1263/eco)^n),alpha*fck),0)</f>
      </c>
      <c r="T1263" s="30">
        <f>PM_Angle!$J$12+PM_Angle!$K$12*$C1263+PM_Angle!$L$12*$B1263</f>
      </c>
      <c r="U1263" s="12">
        <f>IF(T1263&gt;0,IF(T1263&lt;=eco,alpha*fck*(1-(1-T1263/eco)^n),alpha*fck),0)</f>
      </c>
      <c r="V1263" s="30">
        <f>PM_Angle!$J$13+PM_Angle!$K$13*$C1263+PM_Angle!$L$13*$B1263</f>
      </c>
      <c r="W1263" s="12">
        <f>IF(V1263&gt;0,IF(V1263&lt;=eco,alpha*fck*(1-(1-V1263/eco)^n),alpha*fck),0)</f>
      </c>
      <c r="X1263" s="30">
        <f>PM_Angle!$J$14+PM_Angle!$K$14*$C1263+PM_Angle!$L$14*$B1263</f>
      </c>
      <c r="Y1263" s="12">
        <f>IF(X1263&gt;0,IF(X1263&lt;=eco,alpha*fck*(1-(1-X1263/eco)^n),alpha*fck),0)</f>
      </c>
      <c r="Z1263" s="30">
        <f>PM_Angle!$J$15+PM_Angle!$K$15*$C1263+PM_Angle!$L$15*$B1263</f>
      </c>
      <c r="AA1263" s="12">
        <f>IF(Z1263&gt;0,IF(Z1263&lt;=eco,alpha*fck*(1-(1-Z1263/eco)^n),alpha*fck),0)</f>
      </c>
      <c r="AB1263" s="30">
        <f>PM_Angle!$J$16+PM_Angle!$K$16*$C1263+PM_Angle!$L$16*$B1263</f>
      </c>
      <c r="AC1263" s="12">
        <f>IF(AB1263&gt;0,IF(AB1263&lt;=eco,alpha*fck*(1-(1-AB1263/eco)^n),alpha*fck),0)</f>
      </c>
      <c r="AD1263" s="30">
        <f>PM_Angle!$J$17+PM_Angle!$K$17*$C1263+PM_Angle!$L$17*$B1263</f>
      </c>
      <c r="AE1263" s="12">
        <f>IF(AD1263&gt;0,IF(AD1263&lt;=eco,alpha*fck*(1-(1-AD1263/eco)^n),alpha*fck),0)</f>
      </c>
      <c r="AF1263" s="30">
        <f>PM_Angle!$J$18+PM_Angle!$K$18*$C1263+PM_Angle!$L$18*$B1263</f>
      </c>
      <c r="AG1263" s="12">
        <f>IF(AF1263&gt;0,IF(AF1263&lt;=eco,alpha*fck*(1-(1-AF1263/eco)^n),alpha*fck),0)</f>
      </c>
      <c r="AH1263" s="30">
        <f>PM_Angle!$J$19+PM_Angle!$K$19*$C1263+PM_Angle!$L$19*$B1263</f>
      </c>
      <c r="AI1263" s="12">
        <f>IF(AH1263&gt;0,IF(AH1263&lt;=eco,alpha*fck*(1-(1-AH1263/eco)^n),alpha*fck),0)</f>
      </c>
      <c r="AJ1263" s="30">
        <f>PM_Angle!$J$20+PM_Angle!$K$20*$C1263+PM_Angle!$L$20*$B1263</f>
      </c>
      <c r="AK1263" s="12">
        <f>IF(AJ1263&gt;0,IF(AJ1263&lt;=eco,alpha*fck*(1-(1-AJ1263/eco)^n),alpha*fck),0)</f>
      </c>
      <c r="AL1263" s="30">
        <f>PM_Angle!$J$21+PM_Angle!$K$21*$C1263+PM_Angle!$L$21*$B1263</f>
      </c>
      <c r="AM1263" s="12">
        <f>IF(AL1263&gt;0,IF(AL1263&lt;=eco,alpha*fck*(1-(1-AL1263/eco)^n),alpha*fck),0)</f>
      </c>
      <c r="AN1263" s="30">
        <f>PM_Angle!$J$22+PM_Angle!$K$22*$C1263+PM_Angle!$L$22*$B1263</f>
      </c>
      <c r="AO1263" s="12">
        <f>IF(AN1263&gt;0,IF(AN1263&lt;=eco,alpha*fck*(1-(1-AN1263/eco)^n),alpha*fck),0)</f>
      </c>
      <c r="AP1263" s="30">
        <f>PM_Angle!$J$23+PM_Angle!$K$23*$C1263+PM_Angle!$L$23*$B1263</f>
      </c>
      <c r="AQ1263" s="12">
        <f>IF(AP1263&gt;0,IF(AP1263&lt;=eco,alpha*fck*(1-(1-AP1263/eco)^n),alpha*fck),0)</f>
      </c>
      <c r="AR1263" s="30">
        <f>PM_Angle!$J$24+PM_Angle!$K$24*$C1263+PM_Angle!$L$24*$B1263</f>
      </c>
      <c r="AS1263" s="12">
        <f>IF(AR1263&gt;0,IF(AR1263&lt;=eco,alpha*fck*(1-(1-AR1263/eco)^n),alpha*fck),0)</f>
      </c>
      <c r="AT1263" s="30">
        <f>PM_Angle!$J$25+PM_Angle!$K$25*$C1263+PM_Angle!$L$25*$B1263</f>
      </c>
      <c r="AU1263" s="12">
        <f>IF(AT1263&gt;0,IF(AT1263&lt;=eco,alpha*fck*(1-(1-AT1263/eco)^n),alpha*fck),0)</f>
      </c>
    </row>
    <row r="1264" spans="1:47" x14ac:dyDescent="0.25">
      <c r="A1264">
        <f>Mesh!A1261</f>
      </c>
      <c r="B1264" s="12">
        <f>Mesh!B1261</f>
      </c>
      <c r="C1264" s="12">
        <f>Mesh!C1261</f>
      </c>
      <c r="D1264" s="12">
        <f>Mesh!D1261</f>
      </c>
      <c r="E1264" s="30">
        <f>INDEX(St_e0,Det+1)+INDEX(St_kx,Det+1)*C1264+INDEX(St_ky,Det+1)*B1264</f>
      </c>
      <c r="F1264" s="12">
        <f>IF(E1264&gt;0,IF(E1264&lt;=eco,alpha*fck*(1-(1-E1264/eco)^n),alpha*fck),0)</f>
      </c>
      <c r="G1264" s="11">
        <f>F1264*D1264</f>
      </c>
      <c r="H1264" s="11">
        <f>G1264*C1264</f>
      </c>
      <c r="I1264" s="11">
        <f>G1264*B1264</f>
      </c>
      <c r="J1264" s="30">
        <f>PM_Angle!$J$7+PM_Angle!$K$7*$C1264+PM_Angle!$L$7*$B1264</f>
      </c>
      <c r="K1264" s="12">
        <f>IF(J1264&gt;0,IF(J1264&lt;=eco,alpha*fck*(1-(1-J1264/eco)^n),alpha*fck),0)</f>
      </c>
      <c r="L1264" s="30">
        <f>PM_Angle!$J$8+PM_Angle!$K$8*$C1264+PM_Angle!$L$8*$B1264</f>
      </c>
      <c r="M1264" s="12">
        <f>IF(L1264&gt;0,IF(L1264&lt;=eco,alpha*fck*(1-(1-L1264/eco)^n),alpha*fck),0)</f>
      </c>
      <c r="N1264" s="30">
        <f>PM_Angle!$J$9+PM_Angle!$K$9*$C1264+PM_Angle!$L$9*$B1264</f>
      </c>
      <c r="O1264" s="12">
        <f>IF(N1264&gt;0,IF(N1264&lt;=eco,alpha*fck*(1-(1-N1264/eco)^n),alpha*fck),0)</f>
      </c>
      <c r="P1264" s="30">
        <f>PM_Angle!$J$10+PM_Angle!$K$10*$C1264+PM_Angle!$L$10*$B1264</f>
      </c>
      <c r="Q1264" s="12">
        <f>IF(P1264&gt;0,IF(P1264&lt;=eco,alpha*fck*(1-(1-P1264/eco)^n),alpha*fck),0)</f>
      </c>
      <c r="R1264" s="30">
        <f>PM_Angle!$J$11+PM_Angle!$K$11*$C1264+PM_Angle!$L$11*$B1264</f>
      </c>
      <c r="S1264" s="12">
        <f>IF(R1264&gt;0,IF(R1264&lt;=eco,alpha*fck*(1-(1-R1264/eco)^n),alpha*fck),0)</f>
      </c>
      <c r="T1264" s="30">
        <f>PM_Angle!$J$12+PM_Angle!$K$12*$C1264+PM_Angle!$L$12*$B1264</f>
      </c>
      <c r="U1264" s="12">
        <f>IF(T1264&gt;0,IF(T1264&lt;=eco,alpha*fck*(1-(1-T1264/eco)^n),alpha*fck),0)</f>
      </c>
      <c r="V1264" s="30">
        <f>PM_Angle!$J$13+PM_Angle!$K$13*$C1264+PM_Angle!$L$13*$B1264</f>
      </c>
      <c r="W1264" s="12">
        <f>IF(V1264&gt;0,IF(V1264&lt;=eco,alpha*fck*(1-(1-V1264/eco)^n),alpha*fck),0)</f>
      </c>
      <c r="X1264" s="30">
        <f>PM_Angle!$J$14+PM_Angle!$K$14*$C1264+PM_Angle!$L$14*$B1264</f>
      </c>
      <c r="Y1264" s="12">
        <f>IF(X1264&gt;0,IF(X1264&lt;=eco,alpha*fck*(1-(1-X1264/eco)^n),alpha*fck),0)</f>
      </c>
      <c r="Z1264" s="30">
        <f>PM_Angle!$J$15+PM_Angle!$K$15*$C1264+PM_Angle!$L$15*$B1264</f>
      </c>
      <c r="AA1264" s="12">
        <f>IF(Z1264&gt;0,IF(Z1264&lt;=eco,alpha*fck*(1-(1-Z1264/eco)^n),alpha*fck),0)</f>
      </c>
      <c r="AB1264" s="30">
        <f>PM_Angle!$J$16+PM_Angle!$K$16*$C1264+PM_Angle!$L$16*$B1264</f>
      </c>
      <c r="AC1264" s="12">
        <f>IF(AB1264&gt;0,IF(AB1264&lt;=eco,alpha*fck*(1-(1-AB1264/eco)^n),alpha*fck),0)</f>
      </c>
      <c r="AD1264" s="30">
        <f>PM_Angle!$J$17+PM_Angle!$K$17*$C1264+PM_Angle!$L$17*$B1264</f>
      </c>
      <c r="AE1264" s="12">
        <f>IF(AD1264&gt;0,IF(AD1264&lt;=eco,alpha*fck*(1-(1-AD1264/eco)^n),alpha*fck),0)</f>
      </c>
      <c r="AF1264" s="30">
        <f>PM_Angle!$J$18+PM_Angle!$K$18*$C1264+PM_Angle!$L$18*$B1264</f>
      </c>
      <c r="AG1264" s="12">
        <f>IF(AF1264&gt;0,IF(AF1264&lt;=eco,alpha*fck*(1-(1-AF1264/eco)^n),alpha*fck),0)</f>
      </c>
      <c r="AH1264" s="30">
        <f>PM_Angle!$J$19+PM_Angle!$K$19*$C1264+PM_Angle!$L$19*$B1264</f>
      </c>
      <c r="AI1264" s="12">
        <f>IF(AH1264&gt;0,IF(AH1264&lt;=eco,alpha*fck*(1-(1-AH1264/eco)^n),alpha*fck),0)</f>
      </c>
      <c r="AJ1264" s="30">
        <f>PM_Angle!$J$20+PM_Angle!$K$20*$C1264+PM_Angle!$L$20*$B1264</f>
      </c>
      <c r="AK1264" s="12">
        <f>IF(AJ1264&gt;0,IF(AJ1264&lt;=eco,alpha*fck*(1-(1-AJ1264/eco)^n),alpha*fck),0)</f>
      </c>
      <c r="AL1264" s="30">
        <f>PM_Angle!$J$21+PM_Angle!$K$21*$C1264+PM_Angle!$L$21*$B1264</f>
      </c>
      <c r="AM1264" s="12">
        <f>IF(AL1264&gt;0,IF(AL1264&lt;=eco,alpha*fck*(1-(1-AL1264/eco)^n),alpha*fck),0)</f>
      </c>
      <c r="AN1264" s="30">
        <f>PM_Angle!$J$22+PM_Angle!$K$22*$C1264+PM_Angle!$L$22*$B1264</f>
      </c>
      <c r="AO1264" s="12">
        <f>IF(AN1264&gt;0,IF(AN1264&lt;=eco,alpha*fck*(1-(1-AN1264/eco)^n),alpha*fck),0)</f>
      </c>
      <c r="AP1264" s="30">
        <f>PM_Angle!$J$23+PM_Angle!$K$23*$C1264+PM_Angle!$L$23*$B1264</f>
      </c>
      <c r="AQ1264" s="12">
        <f>IF(AP1264&gt;0,IF(AP1264&lt;=eco,alpha*fck*(1-(1-AP1264/eco)^n),alpha*fck),0)</f>
      </c>
      <c r="AR1264" s="30">
        <f>PM_Angle!$J$24+PM_Angle!$K$24*$C1264+PM_Angle!$L$24*$B1264</f>
      </c>
      <c r="AS1264" s="12">
        <f>IF(AR1264&gt;0,IF(AR1264&lt;=eco,alpha*fck*(1-(1-AR1264/eco)^n),alpha*fck),0)</f>
      </c>
      <c r="AT1264" s="30">
        <f>PM_Angle!$J$25+PM_Angle!$K$25*$C1264+PM_Angle!$L$25*$B1264</f>
      </c>
      <c r="AU1264" s="12">
        <f>IF(AT1264&gt;0,IF(AT1264&lt;=eco,alpha*fck*(1-(1-AT1264/eco)^n),alpha*fck),0)</f>
      </c>
    </row>
  </sheetData>
  <mergeCells count="21">
    <mergeCell ref="A1:I1"/>
    <mergeCell ref="A3:I3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24"/>
  <sheetViews>
    <sheetView workbookViewId="0">
      <pane xSplit="5" ySplit="6" topLeftCell="F7" activePane="bottomRight" state="frozen"/>
      <selection pane="bottomRight"/>
    </sheetView>
  </sheetViews>
  <sheetFormatPr defaultRowHeight="15" outlineLevelRow="0" outlineLevelCol="0" x14ac:dyDescent="55"/>
  <cols>
    <col min="1" max="5" width="11" customWidth="1"/>
    <col min="6" max="138" width="13" customWidth="1"/>
  </cols>
  <sheetData>
    <row r="1" spans="1:12" x14ac:dyDescent="0.25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5" t="s">
        <v>144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6:138" x14ac:dyDescent="0.25">
      <c r="F4" s="18" t="s">
        <v>104</v>
      </c>
      <c r="G4" s="18"/>
      <c r="H4" s="18"/>
      <c r="I4" s="18"/>
      <c r="J4" s="18"/>
      <c r="K4" s="18"/>
      <c r="L4" s="18"/>
      <c r="M4" s="18" t="s">
        <v>107</v>
      </c>
      <c r="N4" s="18"/>
      <c r="O4" s="18"/>
      <c r="P4" s="18"/>
      <c r="Q4" s="18"/>
      <c r="R4" s="18"/>
      <c r="S4" s="18"/>
      <c r="T4" s="18" t="s">
        <v>108</v>
      </c>
      <c r="U4" s="18"/>
      <c r="V4" s="18"/>
      <c r="W4" s="18"/>
      <c r="X4" s="18"/>
      <c r="Y4" s="18"/>
      <c r="Z4" s="18"/>
      <c r="AA4" s="18" t="s">
        <v>109</v>
      </c>
      <c r="AB4" s="18"/>
      <c r="AC4" s="18"/>
      <c r="AD4" s="18"/>
      <c r="AE4" s="18"/>
      <c r="AF4" s="18"/>
      <c r="AG4" s="18"/>
      <c r="AH4" s="18" t="s">
        <v>110</v>
      </c>
      <c r="AI4" s="18"/>
      <c r="AJ4" s="18"/>
      <c r="AK4" s="18"/>
      <c r="AL4" s="18"/>
      <c r="AM4" s="18"/>
      <c r="AN4" s="18"/>
      <c r="AO4" s="18" t="s">
        <v>111</v>
      </c>
      <c r="AP4" s="18"/>
      <c r="AQ4" s="18"/>
      <c r="AR4" s="18"/>
      <c r="AS4" s="18"/>
      <c r="AT4" s="18"/>
      <c r="AU4" s="18"/>
      <c r="AV4" s="18" t="s">
        <v>112</v>
      </c>
      <c r="AW4" s="18"/>
      <c r="AX4" s="18"/>
      <c r="AY4" s="18"/>
      <c r="AZ4" s="18"/>
      <c r="BA4" s="18"/>
      <c r="BB4" s="18"/>
      <c r="BC4" s="18" t="s">
        <v>113</v>
      </c>
      <c r="BD4" s="18"/>
      <c r="BE4" s="18"/>
      <c r="BF4" s="18"/>
      <c r="BG4" s="18"/>
      <c r="BH4" s="18"/>
      <c r="BI4" s="18"/>
      <c r="BJ4" s="18" t="s">
        <v>114</v>
      </c>
      <c r="BK4" s="18"/>
      <c r="BL4" s="18"/>
      <c r="BM4" s="18"/>
      <c r="BN4" s="18"/>
      <c r="BO4" s="18"/>
      <c r="BP4" s="18"/>
      <c r="BQ4" s="18" t="s">
        <v>115</v>
      </c>
      <c r="BR4" s="18"/>
      <c r="BS4" s="18"/>
      <c r="BT4" s="18"/>
      <c r="BU4" s="18"/>
      <c r="BV4" s="18"/>
      <c r="BW4" s="18"/>
      <c r="BX4" s="18" t="s">
        <v>116</v>
      </c>
      <c r="BY4" s="18"/>
      <c r="BZ4" s="18"/>
      <c r="CA4" s="18"/>
      <c r="CB4" s="18"/>
      <c r="CC4" s="18"/>
      <c r="CD4" s="18"/>
      <c r="CE4" s="18" t="s">
        <v>117</v>
      </c>
      <c r="CF4" s="18"/>
      <c r="CG4" s="18"/>
      <c r="CH4" s="18"/>
      <c r="CI4" s="18"/>
      <c r="CJ4" s="18"/>
      <c r="CK4" s="18"/>
      <c r="CL4" s="18" t="s">
        <v>118</v>
      </c>
      <c r="CM4" s="18"/>
      <c r="CN4" s="18"/>
      <c r="CO4" s="18"/>
      <c r="CP4" s="18"/>
      <c r="CQ4" s="18"/>
      <c r="CR4" s="18"/>
      <c r="CS4" s="18" t="s">
        <v>119</v>
      </c>
      <c r="CT4" s="18"/>
      <c r="CU4" s="18"/>
      <c r="CV4" s="18"/>
      <c r="CW4" s="18"/>
      <c r="CX4" s="18"/>
      <c r="CY4" s="18"/>
      <c r="CZ4" s="18" t="s">
        <v>120</v>
      </c>
      <c r="DA4" s="18"/>
      <c r="DB4" s="18"/>
      <c r="DC4" s="18"/>
      <c r="DD4" s="18"/>
      <c r="DE4" s="18"/>
      <c r="DF4" s="18"/>
      <c r="DG4" s="18" t="s">
        <v>121</v>
      </c>
      <c r="DH4" s="18"/>
      <c r="DI4" s="18"/>
      <c r="DJ4" s="18"/>
      <c r="DK4" s="18"/>
      <c r="DL4" s="18"/>
      <c r="DM4" s="18"/>
      <c r="DN4" s="18" t="s">
        <v>122</v>
      </c>
      <c r="DO4" s="18"/>
      <c r="DP4" s="18"/>
      <c r="DQ4" s="18"/>
      <c r="DR4" s="18"/>
      <c r="DS4" s="18"/>
      <c r="DT4" s="18"/>
      <c r="DU4" s="18" t="s">
        <v>123</v>
      </c>
      <c r="DV4" s="18"/>
      <c r="DW4" s="18"/>
      <c r="DX4" s="18"/>
      <c r="DY4" s="18"/>
      <c r="DZ4" s="18"/>
      <c r="EA4" s="18"/>
      <c r="EB4" s="18" t="s">
        <v>124</v>
      </c>
      <c r="EC4" s="18"/>
      <c r="ED4" s="18"/>
      <c r="EE4" s="18"/>
      <c r="EF4" s="18"/>
      <c r="EG4" s="18"/>
      <c r="EH4" s="18"/>
    </row>
    <row r="5" ht="28" customHeight="1" spans="1:138" x14ac:dyDescent="0.25">
      <c r="A5" s="9" t="s">
        <v>55</v>
      </c>
      <c r="B5" s="9" t="s">
        <v>64</v>
      </c>
      <c r="C5" s="9" t="s">
        <v>57</v>
      </c>
      <c r="D5" s="9" t="s">
        <v>58</v>
      </c>
      <c r="E5" s="9" t="s">
        <v>65</v>
      </c>
      <c r="F5" s="9" t="s">
        <v>90</v>
      </c>
      <c r="G5" s="9" t="s">
        <v>145</v>
      </c>
      <c r="H5" s="9" t="s">
        <v>138</v>
      </c>
      <c r="I5" s="9" t="s">
        <v>146</v>
      </c>
      <c r="J5" s="9" t="s">
        <v>147</v>
      </c>
      <c r="K5" s="9" t="s">
        <v>148</v>
      </c>
      <c r="L5" s="9" t="s">
        <v>149</v>
      </c>
      <c r="M5" s="9" t="s">
        <v>90</v>
      </c>
      <c r="N5" s="9" t="s">
        <v>145</v>
      </c>
      <c r="O5" s="9" t="s">
        <v>138</v>
      </c>
      <c r="P5" s="9" t="s">
        <v>146</v>
      </c>
      <c r="Q5" s="9" t="s">
        <v>147</v>
      </c>
      <c r="R5" s="9" t="s">
        <v>148</v>
      </c>
      <c r="S5" s="9" t="s">
        <v>149</v>
      </c>
      <c r="T5" s="9" t="s">
        <v>90</v>
      </c>
      <c r="U5" s="9" t="s">
        <v>145</v>
      </c>
      <c r="V5" s="9" t="s">
        <v>138</v>
      </c>
      <c r="W5" s="9" t="s">
        <v>146</v>
      </c>
      <c r="X5" s="9" t="s">
        <v>147</v>
      </c>
      <c r="Y5" s="9" t="s">
        <v>148</v>
      </c>
      <c r="Z5" s="9" t="s">
        <v>149</v>
      </c>
      <c r="AA5" s="9" t="s">
        <v>90</v>
      </c>
      <c r="AB5" s="9" t="s">
        <v>145</v>
      </c>
      <c r="AC5" s="9" t="s">
        <v>138</v>
      </c>
      <c r="AD5" s="9" t="s">
        <v>146</v>
      </c>
      <c r="AE5" s="9" t="s">
        <v>147</v>
      </c>
      <c r="AF5" s="9" t="s">
        <v>148</v>
      </c>
      <c r="AG5" s="9" t="s">
        <v>149</v>
      </c>
      <c r="AH5" s="9" t="s">
        <v>90</v>
      </c>
      <c r="AI5" s="9" t="s">
        <v>145</v>
      </c>
      <c r="AJ5" s="9" t="s">
        <v>138</v>
      </c>
      <c r="AK5" s="9" t="s">
        <v>146</v>
      </c>
      <c r="AL5" s="9" t="s">
        <v>147</v>
      </c>
      <c r="AM5" s="9" t="s">
        <v>148</v>
      </c>
      <c r="AN5" s="9" t="s">
        <v>149</v>
      </c>
      <c r="AO5" s="9" t="s">
        <v>90</v>
      </c>
      <c r="AP5" s="9" t="s">
        <v>145</v>
      </c>
      <c r="AQ5" s="9" t="s">
        <v>138</v>
      </c>
      <c r="AR5" s="9" t="s">
        <v>146</v>
      </c>
      <c r="AS5" s="9" t="s">
        <v>147</v>
      </c>
      <c r="AT5" s="9" t="s">
        <v>148</v>
      </c>
      <c r="AU5" s="9" t="s">
        <v>149</v>
      </c>
      <c r="AV5" s="9" t="s">
        <v>90</v>
      </c>
      <c r="AW5" s="9" t="s">
        <v>145</v>
      </c>
      <c r="AX5" s="9" t="s">
        <v>138</v>
      </c>
      <c r="AY5" s="9" t="s">
        <v>146</v>
      </c>
      <c r="AZ5" s="9" t="s">
        <v>147</v>
      </c>
      <c r="BA5" s="9" t="s">
        <v>148</v>
      </c>
      <c r="BB5" s="9" t="s">
        <v>149</v>
      </c>
      <c r="BC5" s="9" t="s">
        <v>90</v>
      </c>
      <c r="BD5" s="9" t="s">
        <v>145</v>
      </c>
      <c r="BE5" s="9" t="s">
        <v>138</v>
      </c>
      <c r="BF5" s="9" t="s">
        <v>146</v>
      </c>
      <c r="BG5" s="9" t="s">
        <v>147</v>
      </c>
      <c r="BH5" s="9" t="s">
        <v>148</v>
      </c>
      <c r="BI5" s="9" t="s">
        <v>149</v>
      </c>
      <c r="BJ5" s="9" t="s">
        <v>90</v>
      </c>
      <c r="BK5" s="9" t="s">
        <v>145</v>
      </c>
      <c r="BL5" s="9" t="s">
        <v>138</v>
      </c>
      <c r="BM5" s="9" t="s">
        <v>146</v>
      </c>
      <c r="BN5" s="9" t="s">
        <v>147</v>
      </c>
      <c r="BO5" s="9" t="s">
        <v>148</v>
      </c>
      <c r="BP5" s="9" t="s">
        <v>149</v>
      </c>
      <c r="BQ5" s="9" t="s">
        <v>90</v>
      </c>
      <c r="BR5" s="9" t="s">
        <v>145</v>
      </c>
      <c r="BS5" s="9" t="s">
        <v>138</v>
      </c>
      <c r="BT5" s="9" t="s">
        <v>146</v>
      </c>
      <c r="BU5" s="9" t="s">
        <v>147</v>
      </c>
      <c r="BV5" s="9" t="s">
        <v>148</v>
      </c>
      <c r="BW5" s="9" t="s">
        <v>149</v>
      </c>
      <c r="BX5" s="9" t="s">
        <v>90</v>
      </c>
      <c r="BY5" s="9" t="s">
        <v>145</v>
      </c>
      <c r="BZ5" s="9" t="s">
        <v>138</v>
      </c>
      <c r="CA5" s="9" t="s">
        <v>146</v>
      </c>
      <c r="CB5" s="9" t="s">
        <v>147</v>
      </c>
      <c r="CC5" s="9" t="s">
        <v>148</v>
      </c>
      <c r="CD5" s="9" t="s">
        <v>149</v>
      </c>
      <c r="CE5" s="9" t="s">
        <v>90</v>
      </c>
      <c r="CF5" s="9" t="s">
        <v>145</v>
      </c>
      <c r="CG5" s="9" t="s">
        <v>138</v>
      </c>
      <c r="CH5" s="9" t="s">
        <v>146</v>
      </c>
      <c r="CI5" s="9" t="s">
        <v>147</v>
      </c>
      <c r="CJ5" s="9" t="s">
        <v>148</v>
      </c>
      <c r="CK5" s="9" t="s">
        <v>149</v>
      </c>
      <c r="CL5" s="9" t="s">
        <v>90</v>
      </c>
      <c r="CM5" s="9" t="s">
        <v>145</v>
      </c>
      <c r="CN5" s="9" t="s">
        <v>138</v>
      </c>
      <c r="CO5" s="9" t="s">
        <v>146</v>
      </c>
      <c r="CP5" s="9" t="s">
        <v>147</v>
      </c>
      <c r="CQ5" s="9" t="s">
        <v>148</v>
      </c>
      <c r="CR5" s="9" t="s">
        <v>149</v>
      </c>
      <c r="CS5" s="9" t="s">
        <v>90</v>
      </c>
      <c r="CT5" s="9" t="s">
        <v>145</v>
      </c>
      <c r="CU5" s="9" t="s">
        <v>138</v>
      </c>
      <c r="CV5" s="9" t="s">
        <v>146</v>
      </c>
      <c r="CW5" s="9" t="s">
        <v>147</v>
      </c>
      <c r="CX5" s="9" t="s">
        <v>148</v>
      </c>
      <c r="CY5" s="9" t="s">
        <v>149</v>
      </c>
      <c r="CZ5" s="9" t="s">
        <v>90</v>
      </c>
      <c r="DA5" s="9" t="s">
        <v>145</v>
      </c>
      <c r="DB5" s="9" t="s">
        <v>138</v>
      </c>
      <c r="DC5" s="9" t="s">
        <v>146</v>
      </c>
      <c r="DD5" s="9" t="s">
        <v>147</v>
      </c>
      <c r="DE5" s="9" t="s">
        <v>148</v>
      </c>
      <c r="DF5" s="9" t="s">
        <v>149</v>
      </c>
      <c r="DG5" s="9" t="s">
        <v>90</v>
      </c>
      <c r="DH5" s="9" t="s">
        <v>145</v>
      </c>
      <c r="DI5" s="9" t="s">
        <v>138</v>
      </c>
      <c r="DJ5" s="9" t="s">
        <v>146</v>
      </c>
      <c r="DK5" s="9" t="s">
        <v>147</v>
      </c>
      <c r="DL5" s="9" t="s">
        <v>148</v>
      </c>
      <c r="DM5" s="9" t="s">
        <v>149</v>
      </c>
      <c r="DN5" s="9" t="s">
        <v>90</v>
      </c>
      <c r="DO5" s="9" t="s">
        <v>145</v>
      </c>
      <c r="DP5" s="9" t="s">
        <v>138</v>
      </c>
      <c r="DQ5" s="9" t="s">
        <v>146</v>
      </c>
      <c r="DR5" s="9" t="s">
        <v>147</v>
      </c>
      <c r="DS5" s="9" t="s">
        <v>148</v>
      </c>
      <c r="DT5" s="9" t="s">
        <v>149</v>
      </c>
      <c r="DU5" s="9" t="s">
        <v>90</v>
      </c>
      <c r="DV5" s="9" t="s">
        <v>145</v>
      </c>
      <c r="DW5" s="9" t="s">
        <v>138</v>
      </c>
      <c r="DX5" s="9" t="s">
        <v>146</v>
      </c>
      <c r="DY5" s="9" t="s">
        <v>147</v>
      </c>
      <c r="DZ5" s="9" t="s">
        <v>148</v>
      </c>
      <c r="EA5" s="9" t="s">
        <v>149</v>
      </c>
      <c r="EB5" s="9" t="s">
        <v>90</v>
      </c>
      <c r="EC5" s="9" t="s">
        <v>145</v>
      </c>
      <c r="ED5" s="9" t="s">
        <v>138</v>
      </c>
      <c r="EE5" s="9" t="s">
        <v>146</v>
      </c>
      <c r="EF5" s="9" t="s">
        <v>147</v>
      </c>
      <c r="EG5" s="9" t="s">
        <v>148</v>
      </c>
      <c r="EH5" s="9" t="s">
        <v>149</v>
      </c>
    </row>
    <row r="6" spans="1:138" x14ac:dyDescent="0.25">
      <c r="A6" s="28" t="s">
        <v>142</v>
      </c>
      <c r="E6" s="13">
        <f>SUM(E7:E24)</f>
      </c>
      <c r="J6" s="41">
        <f>SUM(J7:J24)</f>
      </c>
      <c r="K6" s="41">
        <f>SUM(K7:K24)</f>
      </c>
      <c r="L6" s="41">
        <f>SUM(L7:L24)</f>
      </c>
      <c r="Q6" s="41">
        <f>SUM(Q7:Q24)</f>
      </c>
      <c r="R6" s="41">
        <f>SUM(R7:R24)</f>
      </c>
      <c r="S6" s="41">
        <f>SUM(S7:S24)</f>
      </c>
      <c r="X6" s="41">
        <f>SUM(X7:X24)</f>
      </c>
      <c r="Y6" s="41">
        <f>SUM(Y7:Y24)</f>
      </c>
      <c r="Z6" s="41">
        <f>SUM(Z7:Z24)</f>
      </c>
      <c r="AE6" s="41">
        <f>SUM(AE7:AE24)</f>
      </c>
      <c r="AF6" s="41">
        <f>SUM(AF7:AF24)</f>
      </c>
      <c r="AG6" s="41">
        <f>SUM(AG7:AG24)</f>
      </c>
      <c r="AL6" s="41">
        <f>SUM(AL7:AL24)</f>
      </c>
      <c r="AM6" s="41">
        <f>SUM(AM7:AM24)</f>
      </c>
      <c r="AN6" s="41">
        <f>SUM(AN7:AN24)</f>
      </c>
      <c r="AS6" s="41">
        <f>SUM(AS7:AS24)</f>
      </c>
      <c r="AT6" s="41">
        <f>SUM(AT7:AT24)</f>
      </c>
      <c r="AU6" s="41">
        <f>SUM(AU7:AU24)</f>
      </c>
      <c r="AZ6" s="41">
        <f>SUM(AZ7:AZ24)</f>
      </c>
      <c r="BA6" s="41">
        <f>SUM(BA7:BA24)</f>
      </c>
      <c r="BB6" s="41">
        <f>SUM(BB7:BB24)</f>
      </c>
      <c r="BG6" s="41">
        <f>SUM(BG7:BG24)</f>
      </c>
      <c r="BH6" s="41">
        <f>SUM(BH7:BH24)</f>
      </c>
      <c r="BI6" s="41">
        <f>SUM(BI7:BI24)</f>
      </c>
      <c r="BN6" s="41">
        <f>SUM(BN7:BN24)</f>
      </c>
      <c r="BO6" s="41">
        <f>SUM(BO7:BO24)</f>
      </c>
      <c r="BP6" s="41">
        <f>SUM(BP7:BP24)</f>
      </c>
      <c r="BU6" s="41">
        <f>SUM(BU7:BU24)</f>
      </c>
      <c r="BV6" s="41">
        <f>SUM(BV7:BV24)</f>
      </c>
      <c r="BW6" s="41">
        <f>SUM(BW7:BW24)</f>
      </c>
      <c r="CB6" s="41">
        <f>SUM(CB7:CB24)</f>
      </c>
      <c r="CC6" s="41">
        <f>SUM(CC7:CC24)</f>
      </c>
      <c r="CD6" s="41">
        <f>SUM(CD7:CD24)</f>
      </c>
      <c r="CI6" s="41">
        <f>SUM(CI7:CI24)</f>
      </c>
      <c r="CJ6" s="41">
        <f>SUM(CJ7:CJ24)</f>
      </c>
      <c r="CK6" s="41">
        <f>SUM(CK7:CK24)</f>
      </c>
      <c r="CP6" s="41">
        <f>SUM(CP7:CP24)</f>
      </c>
      <c r="CQ6" s="41">
        <f>SUM(CQ7:CQ24)</f>
      </c>
      <c r="CR6" s="41">
        <f>SUM(CR7:CR24)</f>
      </c>
      <c r="CW6" s="41">
        <f>SUM(CW7:CW24)</f>
      </c>
      <c r="CX6" s="41">
        <f>SUM(CX7:CX24)</f>
      </c>
      <c r="CY6" s="41">
        <f>SUM(CY7:CY24)</f>
      </c>
      <c r="DD6" s="41">
        <f>SUM(DD7:DD24)</f>
      </c>
      <c r="DE6" s="41">
        <f>SUM(DE7:DE24)</f>
      </c>
      <c r="DF6" s="41">
        <f>SUM(DF7:DF24)</f>
      </c>
      <c r="DK6" s="41">
        <f>SUM(DK7:DK24)</f>
      </c>
      <c r="DL6" s="41">
        <f>SUM(DL7:DL24)</f>
      </c>
      <c r="DM6" s="41">
        <f>SUM(DM7:DM24)</f>
      </c>
      <c r="DR6" s="41">
        <f>SUM(DR7:DR24)</f>
      </c>
      <c r="DS6" s="41">
        <f>SUM(DS7:DS24)</f>
      </c>
      <c r="DT6" s="41">
        <f>SUM(DT7:DT24)</f>
      </c>
      <c r="DY6" s="41">
        <f>SUM(DY7:DY24)</f>
      </c>
      <c r="DZ6" s="41">
        <f>SUM(DZ7:DZ24)</f>
      </c>
      <c r="EA6" s="41">
        <f>SUM(EA7:EA24)</f>
      </c>
      <c r="EF6" s="41">
        <f>SUM(EF7:EF24)</f>
      </c>
      <c r="EG6" s="41">
        <f>SUM(EG7:EG24)</f>
      </c>
      <c r="EH6" s="41">
        <f>SUM(EH7:EH24)</f>
      </c>
    </row>
    <row r="7" spans="1:138" x14ac:dyDescent="0.25">
      <c r="A7">
        <v>1</v>
      </c>
      <c r="B7" s="12">
        <f>Geometry!C42</f>
      </c>
      <c r="C7" s="12">
        <f>Geometry!D42</f>
      </c>
      <c r="D7" s="12">
        <f>Geometry!E42</f>
      </c>
      <c r="E7" s="12">
        <f>Geometry!F42</f>
      </c>
      <c r="F7" s="30">
        <f>PM_Angle!$J$7+PM_Angle!$K$7*$D7+PM_Angle!$L$7*$C7</f>
      </c>
      <c r="G7" s="12">
        <f>MAX(MIN(Es*F7,fy),-fy)</f>
      </c>
      <c r="H7" s="12">
        <f>IF(F7&gt;0,IF(F7&lt;=eco,alpha*fck*(1-(1-F7/eco)^n),alpha*fck),0)</f>
      </c>
      <c r="I7" s="12">
        <f>G7-H7</f>
      </c>
      <c r="J7" s="11">
        <f>I7*$E7</f>
      </c>
      <c r="K7" s="11">
        <f>J7*$D7</f>
      </c>
      <c r="L7" s="11">
        <f>J7*$C7</f>
      </c>
      <c r="M7" s="30">
        <f>PM_Angle!$J$8+PM_Angle!$K$8*$D7+PM_Angle!$L$8*$C7</f>
      </c>
      <c r="N7" s="12">
        <f>MAX(MIN(Es*M7,fy),-fy)</f>
      </c>
      <c r="O7" s="12">
        <f>IF(M7&gt;0,IF(M7&lt;=eco,alpha*fck*(1-(1-M7/eco)^n),alpha*fck),0)</f>
      </c>
      <c r="P7" s="12">
        <f>N7-O7</f>
      </c>
      <c r="Q7" s="11">
        <f>P7*$E7</f>
      </c>
      <c r="R7" s="11">
        <f>Q7*$D7</f>
      </c>
      <c r="S7" s="11">
        <f>Q7*$C7</f>
      </c>
      <c r="T7" s="30">
        <f>PM_Angle!$J$9+PM_Angle!$K$9*$D7+PM_Angle!$L$9*$C7</f>
      </c>
      <c r="U7" s="12">
        <f>MAX(MIN(Es*T7,fy),-fy)</f>
      </c>
      <c r="V7" s="12">
        <f>IF(T7&gt;0,IF(T7&lt;=eco,alpha*fck*(1-(1-T7/eco)^n),alpha*fck),0)</f>
      </c>
      <c r="W7" s="12">
        <f>U7-V7</f>
      </c>
      <c r="X7" s="11">
        <f>W7*$E7</f>
      </c>
      <c r="Y7" s="11">
        <f>X7*$D7</f>
      </c>
      <c r="Z7" s="11">
        <f>X7*$C7</f>
      </c>
      <c r="AA7" s="30">
        <f>PM_Angle!$J$10+PM_Angle!$K$10*$D7+PM_Angle!$L$10*$C7</f>
      </c>
      <c r="AB7" s="12">
        <f>MAX(MIN(Es*AA7,fy),-fy)</f>
      </c>
      <c r="AC7" s="12">
        <f>IF(AA7&gt;0,IF(AA7&lt;=eco,alpha*fck*(1-(1-AA7/eco)^n),alpha*fck),0)</f>
      </c>
      <c r="AD7" s="12">
        <f>AB7-AC7</f>
      </c>
      <c r="AE7" s="11">
        <f>AD7*$E7</f>
      </c>
      <c r="AF7" s="11">
        <f>AE7*$D7</f>
      </c>
      <c r="AG7" s="11">
        <f>AE7*$C7</f>
      </c>
      <c r="AH7" s="30">
        <f>PM_Angle!$J$11+PM_Angle!$K$11*$D7+PM_Angle!$L$11*$C7</f>
      </c>
      <c r="AI7" s="12">
        <f>MAX(MIN(Es*AH7,fy),-fy)</f>
      </c>
      <c r="AJ7" s="12">
        <f>IF(AH7&gt;0,IF(AH7&lt;=eco,alpha*fck*(1-(1-AH7/eco)^n),alpha*fck),0)</f>
      </c>
      <c r="AK7" s="12">
        <f>AI7-AJ7</f>
      </c>
      <c r="AL7" s="11">
        <f>AK7*$E7</f>
      </c>
      <c r="AM7" s="11">
        <f>AL7*$D7</f>
      </c>
      <c r="AN7" s="11">
        <f>AL7*$C7</f>
      </c>
      <c r="AO7" s="30">
        <f>PM_Angle!$J$12+PM_Angle!$K$12*$D7+PM_Angle!$L$12*$C7</f>
      </c>
      <c r="AP7" s="12">
        <f>MAX(MIN(Es*AO7,fy),-fy)</f>
      </c>
      <c r="AQ7" s="12">
        <f>IF(AO7&gt;0,IF(AO7&lt;=eco,alpha*fck*(1-(1-AO7/eco)^n),alpha*fck),0)</f>
      </c>
      <c r="AR7" s="12">
        <f>AP7-AQ7</f>
      </c>
      <c r="AS7" s="11">
        <f>AR7*$E7</f>
      </c>
      <c r="AT7" s="11">
        <f>AS7*$D7</f>
      </c>
      <c r="AU7" s="11">
        <f>AS7*$C7</f>
      </c>
      <c r="AV7" s="30">
        <f>PM_Angle!$J$13+PM_Angle!$K$13*$D7+PM_Angle!$L$13*$C7</f>
      </c>
      <c r="AW7" s="12">
        <f>MAX(MIN(Es*AV7,fy),-fy)</f>
      </c>
      <c r="AX7" s="12">
        <f>IF(AV7&gt;0,IF(AV7&lt;=eco,alpha*fck*(1-(1-AV7/eco)^n),alpha*fck),0)</f>
      </c>
      <c r="AY7" s="12">
        <f>AW7-AX7</f>
      </c>
      <c r="AZ7" s="11">
        <f>AY7*$E7</f>
      </c>
      <c r="BA7" s="11">
        <f>AZ7*$D7</f>
      </c>
      <c r="BB7" s="11">
        <f>AZ7*$C7</f>
      </c>
      <c r="BC7" s="30">
        <f>PM_Angle!$J$14+PM_Angle!$K$14*$D7+PM_Angle!$L$14*$C7</f>
      </c>
      <c r="BD7" s="12">
        <f>MAX(MIN(Es*BC7,fy),-fy)</f>
      </c>
      <c r="BE7" s="12">
        <f>IF(BC7&gt;0,IF(BC7&lt;=eco,alpha*fck*(1-(1-BC7/eco)^n),alpha*fck),0)</f>
      </c>
      <c r="BF7" s="12">
        <f>BD7-BE7</f>
      </c>
      <c r="BG7" s="11">
        <f>BF7*$E7</f>
      </c>
      <c r="BH7" s="11">
        <f>BG7*$D7</f>
      </c>
      <c r="BI7" s="11">
        <f>BG7*$C7</f>
      </c>
      <c r="BJ7" s="30">
        <f>PM_Angle!$J$15+PM_Angle!$K$15*$D7+PM_Angle!$L$15*$C7</f>
      </c>
      <c r="BK7" s="12">
        <f>MAX(MIN(Es*BJ7,fy),-fy)</f>
      </c>
      <c r="BL7" s="12">
        <f>IF(BJ7&gt;0,IF(BJ7&lt;=eco,alpha*fck*(1-(1-BJ7/eco)^n),alpha*fck),0)</f>
      </c>
      <c r="BM7" s="12">
        <f>BK7-BL7</f>
      </c>
      <c r="BN7" s="11">
        <f>BM7*$E7</f>
      </c>
      <c r="BO7" s="11">
        <f>BN7*$D7</f>
      </c>
      <c r="BP7" s="11">
        <f>BN7*$C7</f>
      </c>
      <c r="BQ7" s="30">
        <f>PM_Angle!$J$16+PM_Angle!$K$16*$D7+PM_Angle!$L$16*$C7</f>
      </c>
      <c r="BR7" s="12">
        <f>MAX(MIN(Es*BQ7,fy),-fy)</f>
      </c>
      <c r="BS7" s="12">
        <f>IF(BQ7&gt;0,IF(BQ7&lt;=eco,alpha*fck*(1-(1-BQ7/eco)^n),alpha*fck),0)</f>
      </c>
      <c r="BT7" s="12">
        <f>BR7-BS7</f>
      </c>
      <c r="BU7" s="11">
        <f>BT7*$E7</f>
      </c>
      <c r="BV7" s="11">
        <f>BU7*$D7</f>
      </c>
      <c r="BW7" s="11">
        <f>BU7*$C7</f>
      </c>
      <c r="BX7" s="30">
        <f>PM_Angle!$J$17+PM_Angle!$K$17*$D7+PM_Angle!$L$17*$C7</f>
      </c>
      <c r="BY7" s="12">
        <f>MAX(MIN(Es*BX7,fy),-fy)</f>
      </c>
      <c r="BZ7" s="12">
        <f>IF(BX7&gt;0,IF(BX7&lt;=eco,alpha*fck*(1-(1-BX7/eco)^n),alpha*fck),0)</f>
      </c>
      <c r="CA7" s="12">
        <f>BY7-BZ7</f>
      </c>
      <c r="CB7" s="11">
        <f>CA7*$E7</f>
      </c>
      <c r="CC7" s="11">
        <f>CB7*$D7</f>
      </c>
      <c r="CD7" s="11">
        <f>CB7*$C7</f>
      </c>
      <c r="CE7" s="30">
        <f>PM_Angle!$J$18+PM_Angle!$K$18*$D7+PM_Angle!$L$18*$C7</f>
      </c>
      <c r="CF7" s="12">
        <f>MAX(MIN(Es*CE7,fy),-fy)</f>
      </c>
      <c r="CG7" s="12">
        <f>IF(CE7&gt;0,IF(CE7&lt;=eco,alpha*fck*(1-(1-CE7/eco)^n),alpha*fck),0)</f>
      </c>
      <c r="CH7" s="12">
        <f>CF7-CG7</f>
      </c>
      <c r="CI7" s="11">
        <f>CH7*$E7</f>
      </c>
      <c r="CJ7" s="11">
        <f>CI7*$D7</f>
      </c>
      <c r="CK7" s="11">
        <f>CI7*$C7</f>
      </c>
      <c r="CL7" s="30">
        <f>PM_Angle!$J$19+PM_Angle!$K$19*$D7+PM_Angle!$L$19*$C7</f>
      </c>
      <c r="CM7" s="12">
        <f>MAX(MIN(Es*CL7,fy),-fy)</f>
      </c>
      <c r="CN7" s="12">
        <f>IF(CL7&gt;0,IF(CL7&lt;=eco,alpha*fck*(1-(1-CL7/eco)^n),alpha*fck),0)</f>
      </c>
      <c r="CO7" s="12">
        <f>CM7-CN7</f>
      </c>
      <c r="CP7" s="11">
        <f>CO7*$E7</f>
      </c>
      <c r="CQ7" s="11">
        <f>CP7*$D7</f>
      </c>
      <c r="CR7" s="11">
        <f>CP7*$C7</f>
      </c>
      <c r="CS7" s="30">
        <f>PM_Angle!$J$20+PM_Angle!$K$20*$D7+PM_Angle!$L$20*$C7</f>
      </c>
      <c r="CT7" s="12">
        <f>MAX(MIN(Es*CS7,fy),-fy)</f>
      </c>
      <c r="CU7" s="12">
        <f>IF(CS7&gt;0,IF(CS7&lt;=eco,alpha*fck*(1-(1-CS7/eco)^n),alpha*fck),0)</f>
      </c>
      <c r="CV7" s="12">
        <f>CT7-CU7</f>
      </c>
      <c r="CW7" s="11">
        <f>CV7*$E7</f>
      </c>
      <c r="CX7" s="11">
        <f>CW7*$D7</f>
      </c>
      <c r="CY7" s="11">
        <f>CW7*$C7</f>
      </c>
      <c r="CZ7" s="30">
        <f>PM_Angle!$J$21+PM_Angle!$K$21*$D7+PM_Angle!$L$21*$C7</f>
      </c>
      <c r="DA7" s="12">
        <f>MAX(MIN(Es*CZ7,fy),-fy)</f>
      </c>
      <c r="DB7" s="12">
        <f>IF(CZ7&gt;0,IF(CZ7&lt;=eco,alpha*fck*(1-(1-CZ7/eco)^n),alpha*fck),0)</f>
      </c>
      <c r="DC7" s="12">
        <f>DA7-DB7</f>
      </c>
      <c r="DD7" s="11">
        <f>DC7*$E7</f>
      </c>
      <c r="DE7" s="11">
        <f>DD7*$D7</f>
      </c>
      <c r="DF7" s="11">
        <f>DD7*$C7</f>
      </c>
      <c r="DG7" s="30">
        <f>PM_Angle!$J$22+PM_Angle!$K$22*$D7+PM_Angle!$L$22*$C7</f>
      </c>
      <c r="DH7" s="12">
        <f>MAX(MIN(Es*DG7,fy),-fy)</f>
      </c>
      <c r="DI7" s="12">
        <f>IF(DG7&gt;0,IF(DG7&lt;=eco,alpha*fck*(1-(1-DG7/eco)^n),alpha*fck),0)</f>
      </c>
      <c r="DJ7" s="12">
        <f>DH7-DI7</f>
      </c>
      <c r="DK7" s="11">
        <f>DJ7*$E7</f>
      </c>
      <c r="DL7" s="11">
        <f>DK7*$D7</f>
      </c>
      <c r="DM7" s="11">
        <f>DK7*$C7</f>
      </c>
      <c r="DN7" s="30">
        <f>PM_Angle!$J$23+PM_Angle!$K$23*$D7+PM_Angle!$L$23*$C7</f>
      </c>
      <c r="DO7" s="12">
        <f>MAX(MIN(Es*DN7,fy),-fy)</f>
      </c>
      <c r="DP7" s="12">
        <f>IF(DN7&gt;0,IF(DN7&lt;=eco,alpha*fck*(1-(1-DN7/eco)^n),alpha*fck),0)</f>
      </c>
      <c r="DQ7" s="12">
        <f>DO7-DP7</f>
      </c>
      <c r="DR7" s="11">
        <f>DQ7*$E7</f>
      </c>
      <c r="DS7" s="11">
        <f>DR7*$D7</f>
      </c>
      <c r="DT7" s="11">
        <f>DR7*$C7</f>
      </c>
      <c r="DU7" s="30">
        <f>PM_Angle!$J$24+PM_Angle!$K$24*$D7+PM_Angle!$L$24*$C7</f>
      </c>
      <c r="DV7" s="12">
        <f>MAX(MIN(Es*DU7,fy),-fy)</f>
      </c>
      <c r="DW7" s="12">
        <f>IF(DU7&gt;0,IF(DU7&lt;=eco,alpha*fck*(1-(1-DU7/eco)^n),alpha*fck),0)</f>
      </c>
      <c r="DX7" s="12">
        <f>DV7-DW7</f>
      </c>
      <c r="DY7" s="11">
        <f>DX7*$E7</f>
      </c>
      <c r="DZ7" s="11">
        <f>DY7*$D7</f>
      </c>
      <c r="EA7" s="11">
        <f>DY7*$C7</f>
      </c>
      <c r="EB7" s="30">
        <f>PM_Angle!$J$25+PM_Angle!$K$25*$D7+PM_Angle!$L$25*$C7</f>
      </c>
      <c r="EC7" s="12">
        <f>MAX(MIN(Es*EB7,fy),-fy)</f>
      </c>
      <c r="ED7" s="12">
        <f>IF(EB7&gt;0,IF(EB7&lt;=eco,alpha*fck*(1-(1-EB7/eco)^n),alpha*fck),0)</f>
      </c>
      <c r="EE7" s="12">
        <f>EC7-ED7</f>
      </c>
      <c r="EF7" s="11">
        <f>EE7*$E7</f>
      </c>
      <c r="EG7" s="11">
        <f>EF7*$D7</f>
      </c>
      <c r="EH7" s="11">
        <f>EF7*$C7</f>
      </c>
    </row>
    <row r="8" spans="1:138" x14ac:dyDescent="0.25">
      <c r="A8">
        <v>2</v>
      </c>
      <c r="B8" s="12">
        <f>Geometry!C43</f>
      </c>
      <c r="C8" s="12">
        <f>Geometry!D43</f>
      </c>
      <c r="D8" s="12">
        <f>Geometry!E43</f>
      </c>
      <c r="E8" s="12">
        <f>Geometry!F43</f>
      </c>
      <c r="F8" s="30">
        <f>PM_Angle!$J$7+PM_Angle!$K$7*$D8+PM_Angle!$L$7*$C8</f>
      </c>
      <c r="G8" s="12">
        <f>MAX(MIN(Es*F8,fy),-fy)</f>
      </c>
      <c r="H8" s="12">
        <f>IF(F8&gt;0,IF(F8&lt;=eco,alpha*fck*(1-(1-F8/eco)^n),alpha*fck),0)</f>
      </c>
      <c r="I8" s="12">
        <f>G8-H8</f>
      </c>
      <c r="J8" s="11">
        <f>I8*$E8</f>
      </c>
      <c r="K8" s="11">
        <f>J8*$D8</f>
      </c>
      <c r="L8" s="11">
        <f>J8*$C8</f>
      </c>
      <c r="M8" s="30">
        <f>PM_Angle!$J$8+PM_Angle!$K$8*$D8+PM_Angle!$L$8*$C8</f>
      </c>
      <c r="N8" s="12">
        <f>MAX(MIN(Es*M8,fy),-fy)</f>
      </c>
      <c r="O8" s="12">
        <f>IF(M8&gt;0,IF(M8&lt;=eco,alpha*fck*(1-(1-M8/eco)^n),alpha*fck),0)</f>
      </c>
      <c r="P8" s="12">
        <f>N8-O8</f>
      </c>
      <c r="Q8" s="11">
        <f>P8*$E8</f>
      </c>
      <c r="R8" s="11">
        <f>Q8*$D8</f>
      </c>
      <c r="S8" s="11">
        <f>Q8*$C8</f>
      </c>
      <c r="T8" s="30">
        <f>PM_Angle!$J$9+PM_Angle!$K$9*$D8+PM_Angle!$L$9*$C8</f>
      </c>
      <c r="U8" s="12">
        <f>MAX(MIN(Es*T8,fy),-fy)</f>
      </c>
      <c r="V8" s="12">
        <f>IF(T8&gt;0,IF(T8&lt;=eco,alpha*fck*(1-(1-T8/eco)^n),alpha*fck),0)</f>
      </c>
      <c r="W8" s="12">
        <f>U8-V8</f>
      </c>
      <c r="X8" s="11">
        <f>W8*$E8</f>
      </c>
      <c r="Y8" s="11">
        <f>X8*$D8</f>
      </c>
      <c r="Z8" s="11">
        <f>X8*$C8</f>
      </c>
      <c r="AA8" s="30">
        <f>PM_Angle!$J$10+PM_Angle!$K$10*$D8+PM_Angle!$L$10*$C8</f>
      </c>
      <c r="AB8" s="12">
        <f>MAX(MIN(Es*AA8,fy),-fy)</f>
      </c>
      <c r="AC8" s="12">
        <f>IF(AA8&gt;0,IF(AA8&lt;=eco,alpha*fck*(1-(1-AA8/eco)^n),alpha*fck),0)</f>
      </c>
      <c r="AD8" s="12">
        <f>AB8-AC8</f>
      </c>
      <c r="AE8" s="11">
        <f>AD8*$E8</f>
      </c>
      <c r="AF8" s="11">
        <f>AE8*$D8</f>
      </c>
      <c r="AG8" s="11">
        <f>AE8*$C8</f>
      </c>
      <c r="AH8" s="30">
        <f>PM_Angle!$J$11+PM_Angle!$K$11*$D8+PM_Angle!$L$11*$C8</f>
      </c>
      <c r="AI8" s="12">
        <f>MAX(MIN(Es*AH8,fy),-fy)</f>
      </c>
      <c r="AJ8" s="12">
        <f>IF(AH8&gt;0,IF(AH8&lt;=eco,alpha*fck*(1-(1-AH8/eco)^n),alpha*fck),0)</f>
      </c>
      <c r="AK8" s="12">
        <f>AI8-AJ8</f>
      </c>
      <c r="AL8" s="11">
        <f>AK8*$E8</f>
      </c>
      <c r="AM8" s="11">
        <f>AL8*$D8</f>
      </c>
      <c r="AN8" s="11">
        <f>AL8*$C8</f>
      </c>
      <c r="AO8" s="30">
        <f>PM_Angle!$J$12+PM_Angle!$K$12*$D8+PM_Angle!$L$12*$C8</f>
      </c>
      <c r="AP8" s="12">
        <f>MAX(MIN(Es*AO8,fy),-fy)</f>
      </c>
      <c r="AQ8" s="12">
        <f>IF(AO8&gt;0,IF(AO8&lt;=eco,alpha*fck*(1-(1-AO8/eco)^n),alpha*fck),0)</f>
      </c>
      <c r="AR8" s="12">
        <f>AP8-AQ8</f>
      </c>
      <c r="AS8" s="11">
        <f>AR8*$E8</f>
      </c>
      <c r="AT8" s="11">
        <f>AS8*$D8</f>
      </c>
      <c r="AU8" s="11">
        <f>AS8*$C8</f>
      </c>
      <c r="AV8" s="30">
        <f>PM_Angle!$J$13+PM_Angle!$K$13*$D8+PM_Angle!$L$13*$C8</f>
      </c>
      <c r="AW8" s="12">
        <f>MAX(MIN(Es*AV8,fy),-fy)</f>
      </c>
      <c r="AX8" s="12">
        <f>IF(AV8&gt;0,IF(AV8&lt;=eco,alpha*fck*(1-(1-AV8/eco)^n),alpha*fck),0)</f>
      </c>
      <c r="AY8" s="12">
        <f>AW8-AX8</f>
      </c>
      <c r="AZ8" s="11">
        <f>AY8*$E8</f>
      </c>
      <c r="BA8" s="11">
        <f>AZ8*$D8</f>
      </c>
      <c r="BB8" s="11">
        <f>AZ8*$C8</f>
      </c>
      <c r="BC8" s="30">
        <f>PM_Angle!$J$14+PM_Angle!$K$14*$D8+PM_Angle!$L$14*$C8</f>
      </c>
      <c r="BD8" s="12">
        <f>MAX(MIN(Es*BC8,fy),-fy)</f>
      </c>
      <c r="BE8" s="12">
        <f>IF(BC8&gt;0,IF(BC8&lt;=eco,alpha*fck*(1-(1-BC8/eco)^n),alpha*fck),0)</f>
      </c>
      <c r="BF8" s="12">
        <f>BD8-BE8</f>
      </c>
      <c r="BG8" s="11">
        <f>BF8*$E8</f>
      </c>
      <c r="BH8" s="11">
        <f>BG8*$D8</f>
      </c>
      <c r="BI8" s="11">
        <f>BG8*$C8</f>
      </c>
      <c r="BJ8" s="30">
        <f>PM_Angle!$J$15+PM_Angle!$K$15*$D8+PM_Angle!$L$15*$C8</f>
      </c>
      <c r="BK8" s="12">
        <f>MAX(MIN(Es*BJ8,fy),-fy)</f>
      </c>
      <c r="BL8" s="12">
        <f>IF(BJ8&gt;0,IF(BJ8&lt;=eco,alpha*fck*(1-(1-BJ8/eco)^n),alpha*fck),0)</f>
      </c>
      <c r="BM8" s="12">
        <f>BK8-BL8</f>
      </c>
      <c r="BN8" s="11">
        <f>BM8*$E8</f>
      </c>
      <c r="BO8" s="11">
        <f>BN8*$D8</f>
      </c>
      <c r="BP8" s="11">
        <f>BN8*$C8</f>
      </c>
      <c r="BQ8" s="30">
        <f>PM_Angle!$J$16+PM_Angle!$K$16*$D8+PM_Angle!$L$16*$C8</f>
      </c>
      <c r="BR8" s="12">
        <f>MAX(MIN(Es*BQ8,fy),-fy)</f>
      </c>
      <c r="BS8" s="12">
        <f>IF(BQ8&gt;0,IF(BQ8&lt;=eco,alpha*fck*(1-(1-BQ8/eco)^n),alpha*fck),0)</f>
      </c>
      <c r="BT8" s="12">
        <f>BR8-BS8</f>
      </c>
      <c r="BU8" s="11">
        <f>BT8*$E8</f>
      </c>
      <c r="BV8" s="11">
        <f>BU8*$D8</f>
      </c>
      <c r="BW8" s="11">
        <f>BU8*$C8</f>
      </c>
      <c r="BX8" s="30">
        <f>PM_Angle!$J$17+PM_Angle!$K$17*$D8+PM_Angle!$L$17*$C8</f>
      </c>
      <c r="BY8" s="12">
        <f>MAX(MIN(Es*BX8,fy),-fy)</f>
      </c>
      <c r="BZ8" s="12">
        <f>IF(BX8&gt;0,IF(BX8&lt;=eco,alpha*fck*(1-(1-BX8/eco)^n),alpha*fck),0)</f>
      </c>
      <c r="CA8" s="12">
        <f>BY8-BZ8</f>
      </c>
      <c r="CB8" s="11">
        <f>CA8*$E8</f>
      </c>
      <c r="CC8" s="11">
        <f>CB8*$D8</f>
      </c>
      <c r="CD8" s="11">
        <f>CB8*$C8</f>
      </c>
      <c r="CE8" s="30">
        <f>PM_Angle!$J$18+PM_Angle!$K$18*$D8+PM_Angle!$L$18*$C8</f>
      </c>
      <c r="CF8" s="12">
        <f>MAX(MIN(Es*CE8,fy),-fy)</f>
      </c>
      <c r="CG8" s="12">
        <f>IF(CE8&gt;0,IF(CE8&lt;=eco,alpha*fck*(1-(1-CE8/eco)^n),alpha*fck),0)</f>
      </c>
      <c r="CH8" s="12">
        <f>CF8-CG8</f>
      </c>
      <c r="CI8" s="11">
        <f>CH8*$E8</f>
      </c>
      <c r="CJ8" s="11">
        <f>CI8*$D8</f>
      </c>
      <c r="CK8" s="11">
        <f>CI8*$C8</f>
      </c>
      <c r="CL8" s="30">
        <f>PM_Angle!$J$19+PM_Angle!$K$19*$D8+PM_Angle!$L$19*$C8</f>
      </c>
      <c r="CM8" s="12">
        <f>MAX(MIN(Es*CL8,fy),-fy)</f>
      </c>
      <c r="CN8" s="12">
        <f>IF(CL8&gt;0,IF(CL8&lt;=eco,alpha*fck*(1-(1-CL8/eco)^n),alpha*fck),0)</f>
      </c>
      <c r="CO8" s="12">
        <f>CM8-CN8</f>
      </c>
      <c r="CP8" s="11">
        <f>CO8*$E8</f>
      </c>
      <c r="CQ8" s="11">
        <f>CP8*$D8</f>
      </c>
      <c r="CR8" s="11">
        <f>CP8*$C8</f>
      </c>
      <c r="CS8" s="30">
        <f>PM_Angle!$J$20+PM_Angle!$K$20*$D8+PM_Angle!$L$20*$C8</f>
      </c>
      <c r="CT8" s="12">
        <f>MAX(MIN(Es*CS8,fy),-fy)</f>
      </c>
      <c r="CU8" s="12">
        <f>IF(CS8&gt;0,IF(CS8&lt;=eco,alpha*fck*(1-(1-CS8/eco)^n),alpha*fck),0)</f>
      </c>
      <c r="CV8" s="12">
        <f>CT8-CU8</f>
      </c>
      <c r="CW8" s="11">
        <f>CV8*$E8</f>
      </c>
      <c r="CX8" s="11">
        <f>CW8*$D8</f>
      </c>
      <c r="CY8" s="11">
        <f>CW8*$C8</f>
      </c>
      <c r="CZ8" s="30">
        <f>PM_Angle!$J$21+PM_Angle!$K$21*$D8+PM_Angle!$L$21*$C8</f>
      </c>
      <c r="DA8" s="12">
        <f>MAX(MIN(Es*CZ8,fy),-fy)</f>
      </c>
      <c r="DB8" s="12">
        <f>IF(CZ8&gt;0,IF(CZ8&lt;=eco,alpha*fck*(1-(1-CZ8/eco)^n),alpha*fck),0)</f>
      </c>
      <c r="DC8" s="12">
        <f>DA8-DB8</f>
      </c>
      <c r="DD8" s="11">
        <f>DC8*$E8</f>
      </c>
      <c r="DE8" s="11">
        <f>DD8*$D8</f>
      </c>
      <c r="DF8" s="11">
        <f>DD8*$C8</f>
      </c>
      <c r="DG8" s="30">
        <f>PM_Angle!$J$22+PM_Angle!$K$22*$D8+PM_Angle!$L$22*$C8</f>
      </c>
      <c r="DH8" s="12">
        <f>MAX(MIN(Es*DG8,fy),-fy)</f>
      </c>
      <c r="DI8" s="12">
        <f>IF(DG8&gt;0,IF(DG8&lt;=eco,alpha*fck*(1-(1-DG8/eco)^n),alpha*fck),0)</f>
      </c>
      <c r="DJ8" s="12">
        <f>DH8-DI8</f>
      </c>
      <c r="DK8" s="11">
        <f>DJ8*$E8</f>
      </c>
      <c r="DL8" s="11">
        <f>DK8*$D8</f>
      </c>
      <c r="DM8" s="11">
        <f>DK8*$C8</f>
      </c>
      <c r="DN8" s="30">
        <f>PM_Angle!$J$23+PM_Angle!$K$23*$D8+PM_Angle!$L$23*$C8</f>
      </c>
      <c r="DO8" s="12">
        <f>MAX(MIN(Es*DN8,fy),-fy)</f>
      </c>
      <c r="DP8" s="12">
        <f>IF(DN8&gt;0,IF(DN8&lt;=eco,alpha*fck*(1-(1-DN8/eco)^n),alpha*fck),0)</f>
      </c>
      <c r="DQ8" s="12">
        <f>DO8-DP8</f>
      </c>
      <c r="DR8" s="11">
        <f>DQ8*$E8</f>
      </c>
      <c r="DS8" s="11">
        <f>DR8*$D8</f>
      </c>
      <c r="DT8" s="11">
        <f>DR8*$C8</f>
      </c>
      <c r="DU8" s="30">
        <f>PM_Angle!$J$24+PM_Angle!$K$24*$D8+PM_Angle!$L$24*$C8</f>
      </c>
      <c r="DV8" s="12">
        <f>MAX(MIN(Es*DU8,fy),-fy)</f>
      </c>
      <c r="DW8" s="12">
        <f>IF(DU8&gt;0,IF(DU8&lt;=eco,alpha*fck*(1-(1-DU8/eco)^n),alpha*fck),0)</f>
      </c>
      <c r="DX8" s="12">
        <f>DV8-DW8</f>
      </c>
      <c r="DY8" s="11">
        <f>DX8*$E8</f>
      </c>
      <c r="DZ8" s="11">
        <f>DY8*$D8</f>
      </c>
      <c r="EA8" s="11">
        <f>DY8*$C8</f>
      </c>
      <c r="EB8" s="30">
        <f>PM_Angle!$J$25+PM_Angle!$K$25*$D8+PM_Angle!$L$25*$C8</f>
      </c>
      <c r="EC8" s="12">
        <f>MAX(MIN(Es*EB8,fy),-fy)</f>
      </c>
      <c r="ED8" s="12">
        <f>IF(EB8&gt;0,IF(EB8&lt;=eco,alpha*fck*(1-(1-EB8/eco)^n),alpha*fck),0)</f>
      </c>
      <c r="EE8" s="12">
        <f>EC8-ED8</f>
      </c>
      <c r="EF8" s="11">
        <f>EE8*$E8</f>
      </c>
      <c r="EG8" s="11">
        <f>EF8*$D8</f>
      </c>
      <c r="EH8" s="11">
        <f>EF8*$C8</f>
      </c>
    </row>
    <row r="9" spans="1:138" x14ac:dyDescent="0.25">
      <c r="A9">
        <v>3</v>
      </c>
      <c r="B9" s="12">
        <f>Geometry!C44</f>
      </c>
      <c r="C9" s="12">
        <f>Geometry!D44</f>
      </c>
      <c r="D9" s="12">
        <f>Geometry!E44</f>
      </c>
      <c r="E9" s="12">
        <f>Geometry!F44</f>
      </c>
      <c r="F9" s="30">
        <f>PM_Angle!$J$7+PM_Angle!$K$7*$D9+PM_Angle!$L$7*$C9</f>
      </c>
      <c r="G9" s="12">
        <f>MAX(MIN(Es*F9,fy),-fy)</f>
      </c>
      <c r="H9" s="12">
        <f>IF(F9&gt;0,IF(F9&lt;=eco,alpha*fck*(1-(1-F9/eco)^n),alpha*fck),0)</f>
      </c>
      <c r="I9" s="12">
        <f>G9-H9</f>
      </c>
      <c r="J9" s="11">
        <f>I9*$E9</f>
      </c>
      <c r="K9" s="11">
        <f>J9*$D9</f>
      </c>
      <c r="L9" s="11">
        <f>J9*$C9</f>
      </c>
      <c r="M9" s="30">
        <f>PM_Angle!$J$8+PM_Angle!$K$8*$D9+PM_Angle!$L$8*$C9</f>
      </c>
      <c r="N9" s="12">
        <f>MAX(MIN(Es*M9,fy),-fy)</f>
      </c>
      <c r="O9" s="12">
        <f>IF(M9&gt;0,IF(M9&lt;=eco,alpha*fck*(1-(1-M9/eco)^n),alpha*fck),0)</f>
      </c>
      <c r="P9" s="12">
        <f>N9-O9</f>
      </c>
      <c r="Q9" s="11">
        <f>P9*$E9</f>
      </c>
      <c r="R9" s="11">
        <f>Q9*$D9</f>
      </c>
      <c r="S9" s="11">
        <f>Q9*$C9</f>
      </c>
      <c r="T9" s="30">
        <f>PM_Angle!$J$9+PM_Angle!$K$9*$D9+PM_Angle!$L$9*$C9</f>
      </c>
      <c r="U9" s="12">
        <f>MAX(MIN(Es*T9,fy),-fy)</f>
      </c>
      <c r="V9" s="12">
        <f>IF(T9&gt;0,IF(T9&lt;=eco,alpha*fck*(1-(1-T9/eco)^n),alpha*fck),0)</f>
      </c>
      <c r="W9" s="12">
        <f>U9-V9</f>
      </c>
      <c r="X9" s="11">
        <f>W9*$E9</f>
      </c>
      <c r="Y9" s="11">
        <f>X9*$D9</f>
      </c>
      <c r="Z9" s="11">
        <f>X9*$C9</f>
      </c>
      <c r="AA9" s="30">
        <f>PM_Angle!$J$10+PM_Angle!$K$10*$D9+PM_Angle!$L$10*$C9</f>
      </c>
      <c r="AB9" s="12">
        <f>MAX(MIN(Es*AA9,fy),-fy)</f>
      </c>
      <c r="AC9" s="12">
        <f>IF(AA9&gt;0,IF(AA9&lt;=eco,alpha*fck*(1-(1-AA9/eco)^n),alpha*fck),0)</f>
      </c>
      <c r="AD9" s="12">
        <f>AB9-AC9</f>
      </c>
      <c r="AE9" s="11">
        <f>AD9*$E9</f>
      </c>
      <c r="AF9" s="11">
        <f>AE9*$D9</f>
      </c>
      <c r="AG9" s="11">
        <f>AE9*$C9</f>
      </c>
      <c r="AH9" s="30">
        <f>PM_Angle!$J$11+PM_Angle!$K$11*$D9+PM_Angle!$L$11*$C9</f>
      </c>
      <c r="AI9" s="12">
        <f>MAX(MIN(Es*AH9,fy),-fy)</f>
      </c>
      <c r="AJ9" s="12">
        <f>IF(AH9&gt;0,IF(AH9&lt;=eco,alpha*fck*(1-(1-AH9/eco)^n),alpha*fck),0)</f>
      </c>
      <c r="AK9" s="12">
        <f>AI9-AJ9</f>
      </c>
      <c r="AL9" s="11">
        <f>AK9*$E9</f>
      </c>
      <c r="AM9" s="11">
        <f>AL9*$D9</f>
      </c>
      <c r="AN9" s="11">
        <f>AL9*$C9</f>
      </c>
      <c r="AO9" s="30">
        <f>PM_Angle!$J$12+PM_Angle!$K$12*$D9+PM_Angle!$L$12*$C9</f>
      </c>
      <c r="AP9" s="12">
        <f>MAX(MIN(Es*AO9,fy),-fy)</f>
      </c>
      <c r="AQ9" s="12">
        <f>IF(AO9&gt;0,IF(AO9&lt;=eco,alpha*fck*(1-(1-AO9/eco)^n),alpha*fck),0)</f>
      </c>
      <c r="AR9" s="12">
        <f>AP9-AQ9</f>
      </c>
      <c r="AS9" s="11">
        <f>AR9*$E9</f>
      </c>
      <c r="AT9" s="11">
        <f>AS9*$D9</f>
      </c>
      <c r="AU9" s="11">
        <f>AS9*$C9</f>
      </c>
      <c r="AV9" s="30">
        <f>PM_Angle!$J$13+PM_Angle!$K$13*$D9+PM_Angle!$L$13*$C9</f>
      </c>
      <c r="AW9" s="12">
        <f>MAX(MIN(Es*AV9,fy),-fy)</f>
      </c>
      <c r="AX9" s="12">
        <f>IF(AV9&gt;0,IF(AV9&lt;=eco,alpha*fck*(1-(1-AV9/eco)^n),alpha*fck),0)</f>
      </c>
      <c r="AY9" s="12">
        <f>AW9-AX9</f>
      </c>
      <c r="AZ9" s="11">
        <f>AY9*$E9</f>
      </c>
      <c r="BA9" s="11">
        <f>AZ9*$D9</f>
      </c>
      <c r="BB9" s="11">
        <f>AZ9*$C9</f>
      </c>
      <c r="BC9" s="30">
        <f>PM_Angle!$J$14+PM_Angle!$K$14*$D9+PM_Angle!$L$14*$C9</f>
      </c>
      <c r="BD9" s="12">
        <f>MAX(MIN(Es*BC9,fy),-fy)</f>
      </c>
      <c r="BE9" s="12">
        <f>IF(BC9&gt;0,IF(BC9&lt;=eco,alpha*fck*(1-(1-BC9/eco)^n),alpha*fck),0)</f>
      </c>
      <c r="BF9" s="12">
        <f>BD9-BE9</f>
      </c>
      <c r="BG9" s="11">
        <f>BF9*$E9</f>
      </c>
      <c r="BH9" s="11">
        <f>BG9*$D9</f>
      </c>
      <c r="BI9" s="11">
        <f>BG9*$C9</f>
      </c>
      <c r="BJ9" s="30">
        <f>PM_Angle!$J$15+PM_Angle!$K$15*$D9+PM_Angle!$L$15*$C9</f>
      </c>
      <c r="BK9" s="12">
        <f>MAX(MIN(Es*BJ9,fy),-fy)</f>
      </c>
      <c r="BL9" s="12">
        <f>IF(BJ9&gt;0,IF(BJ9&lt;=eco,alpha*fck*(1-(1-BJ9/eco)^n),alpha*fck),0)</f>
      </c>
      <c r="BM9" s="12">
        <f>BK9-BL9</f>
      </c>
      <c r="BN9" s="11">
        <f>BM9*$E9</f>
      </c>
      <c r="BO9" s="11">
        <f>BN9*$D9</f>
      </c>
      <c r="BP9" s="11">
        <f>BN9*$C9</f>
      </c>
      <c r="BQ9" s="30">
        <f>PM_Angle!$J$16+PM_Angle!$K$16*$D9+PM_Angle!$L$16*$C9</f>
      </c>
      <c r="BR9" s="12">
        <f>MAX(MIN(Es*BQ9,fy),-fy)</f>
      </c>
      <c r="BS9" s="12">
        <f>IF(BQ9&gt;0,IF(BQ9&lt;=eco,alpha*fck*(1-(1-BQ9/eco)^n),alpha*fck),0)</f>
      </c>
      <c r="BT9" s="12">
        <f>BR9-BS9</f>
      </c>
      <c r="BU9" s="11">
        <f>BT9*$E9</f>
      </c>
      <c r="BV9" s="11">
        <f>BU9*$D9</f>
      </c>
      <c r="BW9" s="11">
        <f>BU9*$C9</f>
      </c>
      <c r="BX9" s="30">
        <f>PM_Angle!$J$17+PM_Angle!$K$17*$D9+PM_Angle!$L$17*$C9</f>
      </c>
      <c r="BY9" s="12">
        <f>MAX(MIN(Es*BX9,fy),-fy)</f>
      </c>
      <c r="BZ9" s="12">
        <f>IF(BX9&gt;0,IF(BX9&lt;=eco,alpha*fck*(1-(1-BX9/eco)^n),alpha*fck),0)</f>
      </c>
      <c r="CA9" s="12">
        <f>BY9-BZ9</f>
      </c>
      <c r="CB9" s="11">
        <f>CA9*$E9</f>
      </c>
      <c r="CC9" s="11">
        <f>CB9*$D9</f>
      </c>
      <c r="CD9" s="11">
        <f>CB9*$C9</f>
      </c>
      <c r="CE9" s="30">
        <f>PM_Angle!$J$18+PM_Angle!$K$18*$D9+PM_Angle!$L$18*$C9</f>
      </c>
      <c r="CF9" s="12">
        <f>MAX(MIN(Es*CE9,fy),-fy)</f>
      </c>
      <c r="CG9" s="12">
        <f>IF(CE9&gt;0,IF(CE9&lt;=eco,alpha*fck*(1-(1-CE9/eco)^n),alpha*fck),0)</f>
      </c>
      <c r="CH9" s="12">
        <f>CF9-CG9</f>
      </c>
      <c r="CI9" s="11">
        <f>CH9*$E9</f>
      </c>
      <c r="CJ9" s="11">
        <f>CI9*$D9</f>
      </c>
      <c r="CK9" s="11">
        <f>CI9*$C9</f>
      </c>
      <c r="CL9" s="30">
        <f>PM_Angle!$J$19+PM_Angle!$K$19*$D9+PM_Angle!$L$19*$C9</f>
      </c>
      <c r="CM9" s="12">
        <f>MAX(MIN(Es*CL9,fy),-fy)</f>
      </c>
      <c r="CN9" s="12">
        <f>IF(CL9&gt;0,IF(CL9&lt;=eco,alpha*fck*(1-(1-CL9/eco)^n),alpha*fck),0)</f>
      </c>
      <c r="CO9" s="12">
        <f>CM9-CN9</f>
      </c>
      <c r="CP9" s="11">
        <f>CO9*$E9</f>
      </c>
      <c r="CQ9" s="11">
        <f>CP9*$D9</f>
      </c>
      <c r="CR9" s="11">
        <f>CP9*$C9</f>
      </c>
      <c r="CS9" s="30">
        <f>PM_Angle!$J$20+PM_Angle!$K$20*$D9+PM_Angle!$L$20*$C9</f>
      </c>
      <c r="CT9" s="12">
        <f>MAX(MIN(Es*CS9,fy),-fy)</f>
      </c>
      <c r="CU9" s="12">
        <f>IF(CS9&gt;0,IF(CS9&lt;=eco,alpha*fck*(1-(1-CS9/eco)^n),alpha*fck),0)</f>
      </c>
      <c r="CV9" s="12">
        <f>CT9-CU9</f>
      </c>
      <c r="CW9" s="11">
        <f>CV9*$E9</f>
      </c>
      <c r="CX9" s="11">
        <f>CW9*$D9</f>
      </c>
      <c r="CY9" s="11">
        <f>CW9*$C9</f>
      </c>
      <c r="CZ9" s="30">
        <f>PM_Angle!$J$21+PM_Angle!$K$21*$D9+PM_Angle!$L$21*$C9</f>
      </c>
      <c r="DA9" s="12">
        <f>MAX(MIN(Es*CZ9,fy),-fy)</f>
      </c>
      <c r="DB9" s="12">
        <f>IF(CZ9&gt;0,IF(CZ9&lt;=eco,alpha*fck*(1-(1-CZ9/eco)^n),alpha*fck),0)</f>
      </c>
      <c r="DC9" s="12">
        <f>DA9-DB9</f>
      </c>
      <c r="DD9" s="11">
        <f>DC9*$E9</f>
      </c>
      <c r="DE9" s="11">
        <f>DD9*$D9</f>
      </c>
      <c r="DF9" s="11">
        <f>DD9*$C9</f>
      </c>
      <c r="DG9" s="30">
        <f>PM_Angle!$J$22+PM_Angle!$K$22*$D9+PM_Angle!$L$22*$C9</f>
      </c>
      <c r="DH9" s="12">
        <f>MAX(MIN(Es*DG9,fy),-fy)</f>
      </c>
      <c r="DI9" s="12">
        <f>IF(DG9&gt;0,IF(DG9&lt;=eco,alpha*fck*(1-(1-DG9/eco)^n),alpha*fck),0)</f>
      </c>
      <c r="DJ9" s="12">
        <f>DH9-DI9</f>
      </c>
      <c r="DK9" s="11">
        <f>DJ9*$E9</f>
      </c>
      <c r="DL9" s="11">
        <f>DK9*$D9</f>
      </c>
      <c r="DM9" s="11">
        <f>DK9*$C9</f>
      </c>
      <c r="DN9" s="30">
        <f>PM_Angle!$J$23+PM_Angle!$K$23*$D9+PM_Angle!$L$23*$C9</f>
      </c>
      <c r="DO9" s="12">
        <f>MAX(MIN(Es*DN9,fy),-fy)</f>
      </c>
      <c r="DP9" s="12">
        <f>IF(DN9&gt;0,IF(DN9&lt;=eco,alpha*fck*(1-(1-DN9/eco)^n),alpha*fck),0)</f>
      </c>
      <c r="DQ9" s="12">
        <f>DO9-DP9</f>
      </c>
      <c r="DR9" s="11">
        <f>DQ9*$E9</f>
      </c>
      <c r="DS9" s="11">
        <f>DR9*$D9</f>
      </c>
      <c r="DT9" s="11">
        <f>DR9*$C9</f>
      </c>
      <c r="DU9" s="30">
        <f>PM_Angle!$J$24+PM_Angle!$K$24*$D9+PM_Angle!$L$24*$C9</f>
      </c>
      <c r="DV9" s="12">
        <f>MAX(MIN(Es*DU9,fy),-fy)</f>
      </c>
      <c r="DW9" s="12">
        <f>IF(DU9&gt;0,IF(DU9&lt;=eco,alpha*fck*(1-(1-DU9/eco)^n),alpha*fck),0)</f>
      </c>
      <c r="DX9" s="12">
        <f>DV9-DW9</f>
      </c>
      <c r="DY9" s="11">
        <f>DX9*$E9</f>
      </c>
      <c r="DZ9" s="11">
        <f>DY9*$D9</f>
      </c>
      <c r="EA9" s="11">
        <f>DY9*$C9</f>
      </c>
      <c r="EB9" s="30">
        <f>PM_Angle!$J$25+PM_Angle!$K$25*$D9+PM_Angle!$L$25*$C9</f>
      </c>
      <c r="EC9" s="12">
        <f>MAX(MIN(Es*EB9,fy),-fy)</f>
      </c>
      <c r="ED9" s="12">
        <f>IF(EB9&gt;0,IF(EB9&lt;=eco,alpha*fck*(1-(1-EB9/eco)^n),alpha*fck),0)</f>
      </c>
      <c r="EE9" s="12">
        <f>EC9-ED9</f>
      </c>
      <c r="EF9" s="11">
        <f>EE9*$E9</f>
      </c>
      <c r="EG9" s="11">
        <f>EF9*$D9</f>
      </c>
      <c r="EH9" s="11">
        <f>EF9*$C9</f>
      </c>
    </row>
    <row r="10" spans="1:138" x14ac:dyDescent="0.25">
      <c r="A10">
        <v>4</v>
      </c>
      <c r="B10" s="12">
        <f>Geometry!C45</f>
      </c>
      <c r="C10" s="12">
        <f>Geometry!D45</f>
      </c>
      <c r="D10" s="12">
        <f>Geometry!E45</f>
      </c>
      <c r="E10" s="12">
        <f>Geometry!F45</f>
      </c>
      <c r="F10" s="30">
        <f>PM_Angle!$J$7+PM_Angle!$K$7*$D10+PM_Angle!$L$7*$C10</f>
      </c>
      <c r="G10" s="12">
        <f>MAX(MIN(Es*F10,fy),-fy)</f>
      </c>
      <c r="H10" s="12">
        <f>IF(F10&gt;0,IF(F10&lt;=eco,alpha*fck*(1-(1-F10/eco)^n),alpha*fck),0)</f>
      </c>
      <c r="I10" s="12">
        <f>G10-H10</f>
      </c>
      <c r="J10" s="11">
        <f>I10*$E10</f>
      </c>
      <c r="K10" s="11">
        <f>J10*$D10</f>
      </c>
      <c r="L10" s="11">
        <f>J10*$C10</f>
      </c>
      <c r="M10" s="30">
        <f>PM_Angle!$J$8+PM_Angle!$K$8*$D10+PM_Angle!$L$8*$C10</f>
      </c>
      <c r="N10" s="12">
        <f>MAX(MIN(Es*M10,fy),-fy)</f>
      </c>
      <c r="O10" s="12">
        <f>IF(M10&gt;0,IF(M10&lt;=eco,alpha*fck*(1-(1-M10/eco)^n),alpha*fck),0)</f>
      </c>
      <c r="P10" s="12">
        <f>N10-O10</f>
      </c>
      <c r="Q10" s="11">
        <f>P10*$E10</f>
      </c>
      <c r="R10" s="11">
        <f>Q10*$D10</f>
      </c>
      <c r="S10" s="11">
        <f>Q10*$C10</f>
      </c>
      <c r="T10" s="30">
        <f>PM_Angle!$J$9+PM_Angle!$K$9*$D10+PM_Angle!$L$9*$C10</f>
      </c>
      <c r="U10" s="12">
        <f>MAX(MIN(Es*T10,fy),-fy)</f>
      </c>
      <c r="V10" s="12">
        <f>IF(T10&gt;0,IF(T10&lt;=eco,alpha*fck*(1-(1-T10/eco)^n),alpha*fck),0)</f>
      </c>
      <c r="W10" s="12">
        <f>U10-V10</f>
      </c>
      <c r="X10" s="11">
        <f>W10*$E10</f>
      </c>
      <c r="Y10" s="11">
        <f>X10*$D10</f>
      </c>
      <c r="Z10" s="11">
        <f>X10*$C10</f>
      </c>
      <c r="AA10" s="30">
        <f>PM_Angle!$J$10+PM_Angle!$K$10*$D10+PM_Angle!$L$10*$C10</f>
      </c>
      <c r="AB10" s="12">
        <f>MAX(MIN(Es*AA10,fy),-fy)</f>
      </c>
      <c r="AC10" s="12">
        <f>IF(AA10&gt;0,IF(AA10&lt;=eco,alpha*fck*(1-(1-AA10/eco)^n),alpha*fck),0)</f>
      </c>
      <c r="AD10" s="12">
        <f>AB10-AC10</f>
      </c>
      <c r="AE10" s="11">
        <f>AD10*$E10</f>
      </c>
      <c r="AF10" s="11">
        <f>AE10*$D10</f>
      </c>
      <c r="AG10" s="11">
        <f>AE10*$C10</f>
      </c>
      <c r="AH10" s="30">
        <f>PM_Angle!$J$11+PM_Angle!$K$11*$D10+PM_Angle!$L$11*$C10</f>
      </c>
      <c r="AI10" s="12">
        <f>MAX(MIN(Es*AH10,fy),-fy)</f>
      </c>
      <c r="AJ10" s="12">
        <f>IF(AH10&gt;0,IF(AH10&lt;=eco,alpha*fck*(1-(1-AH10/eco)^n),alpha*fck),0)</f>
      </c>
      <c r="AK10" s="12">
        <f>AI10-AJ10</f>
      </c>
      <c r="AL10" s="11">
        <f>AK10*$E10</f>
      </c>
      <c r="AM10" s="11">
        <f>AL10*$D10</f>
      </c>
      <c r="AN10" s="11">
        <f>AL10*$C10</f>
      </c>
      <c r="AO10" s="30">
        <f>PM_Angle!$J$12+PM_Angle!$K$12*$D10+PM_Angle!$L$12*$C10</f>
      </c>
      <c r="AP10" s="12">
        <f>MAX(MIN(Es*AO10,fy),-fy)</f>
      </c>
      <c r="AQ10" s="12">
        <f>IF(AO10&gt;0,IF(AO10&lt;=eco,alpha*fck*(1-(1-AO10/eco)^n),alpha*fck),0)</f>
      </c>
      <c r="AR10" s="12">
        <f>AP10-AQ10</f>
      </c>
      <c r="AS10" s="11">
        <f>AR10*$E10</f>
      </c>
      <c r="AT10" s="11">
        <f>AS10*$D10</f>
      </c>
      <c r="AU10" s="11">
        <f>AS10*$C10</f>
      </c>
      <c r="AV10" s="30">
        <f>PM_Angle!$J$13+PM_Angle!$K$13*$D10+PM_Angle!$L$13*$C10</f>
      </c>
      <c r="AW10" s="12">
        <f>MAX(MIN(Es*AV10,fy),-fy)</f>
      </c>
      <c r="AX10" s="12">
        <f>IF(AV10&gt;0,IF(AV10&lt;=eco,alpha*fck*(1-(1-AV10/eco)^n),alpha*fck),0)</f>
      </c>
      <c r="AY10" s="12">
        <f>AW10-AX10</f>
      </c>
      <c r="AZ10" s="11">
        <f>AY10*$E10</f>
      </c>
      <c r="BA10" s="11">
        <f>AZ10*$D10</f>
      </c>
      <c r="BB10" s="11">
        <f>AZ10*$C10</f>
      </c>
      <c r="BC10" s="30">
        <f>PM_Angle!$J$14+PM_Angle!$K$14*$D10+PM_Angle!$L$14*$C10</f>
      </c>
      <c r="BD10" s="12">
        <f>MAX(MIN(Es*BC10,fy),-fy)</f>
      </c>
      <c r="BE10" s="12">
        <f>IF(BC10&gt;0,IF(BC10&lt;=eco,alpha*fck*(1-(1-BC10/eco)^n),alpha*fck),0)</f>
      </c>
      <c r="BF10" s="12">
        <f>BD10-BE10</f>
      </c>
      <c r="BG10" s="11">
        <f>BF10*$E10</f>
      </c>
      <c r="BH10" s="11">
        <f>BG10*$D10</f>
      </c>
      <c r="BI10" s="11">
        <f>BG10*$C10</f>
      </c>
      <c r="BJ10" s="30">
        <f>PM_Angle!$J$15+PM_Angle!$K$15*$D10+PM_Angle!$L$15*$C10</f>
      </c>
      <c r="BK10" s="12">
        <f>MAX(MIN(Es*BJ10,fy),-fy)</f>
      </c>
      <c r="BL10" s="12">
        <f>IF(BJ10&gt;0,IF(BJ10&lt;=eco,alpha*fck*(1-(1-BJ10/eco)^n),alpha*fck),0)</f>
      </c>
      <c r="BM10" s="12">
        <f>BK10-BL10</f>
      </c>
      <c r="BN10" s="11">
        <f>BM10*$E10</f>
      </c>
      <c r="BO10" s="11">
        <f>BN10*$D10</f>
      </c>
      <c r="BP10" s="11">
        <f>BN10*$C10</f>
      </c>
      <c r="BQ10" s="30">
        <f>PM_Angle!$J$16+PM_Angle!$K$16*$D10+PM_Angle!$L$16*$C10</f>
      </c>
      <c r="BR10" s="12">
        <f>MAX(MIN(Es*BQ10,fy),-fy)</f>
      </c>
      <c r="BS10" s="12">
        <f>IF(BQ10&gt;0,IF(BQ10&lt;=eco,alpha*fck*(1-(1-BQ10/eco)^n),alpha*fck),0)</f>
      </c>
      <c r="BT10" s="12">
        <f>BR10-BS10</f>
      </c>
      <c r="BU10" s="11">
        <f>BT10*$E10</f>
      </c>
      <c r="BV10" s="11">
        <f>BU10*$D10</f>
      </c>
      <c r="BW10" s="11">
        <f>BU10*$C10</f>
      </c>
      <c r="BX10" s="30">
        <f>PM_Angle!$J$17+PM_Angle!$K$17*$D10+PM_Angle!$L$17*$C10</f>
      </c>
      <c r="BY10" s="12">
        <f>MAX(MIN(Es*BX10,fy),-fy)</f>
      </c>
      <c r="BZ10" s="12">
        <f>IF(BX10&gt;0,IF(BX10&lt;=eco,alpha*fck*(1-(1-BX10/eco)^n),alpha*fck),0)</f>
      </c>
      <c r="CA10" s="12">
        <f>BY10-BZ10</f>
      </c>
      <c r="CB10" s="11">
        <f>CA10*$E10</f>
      </c>
      <c r="CC10" s="11">
        <f>CB10*$D10</f>
      </c>
      <c r="CD10" s="11">
        <f>CB10*$C10</f>
      </c>
      <c r="CE10" s="30">
        <f>PM_Angle!$J$18+PM_Angle!$K$18*$D10+PM_Angle!$L$18*$C10</f>
      </c>
      <c r="CF10" s="12">
        <f>MAX(MIN(Es*CE10,fy),-fy)</f>
      </c>
      <c r="CG10" s="12">
        <f>IF(CE10&gt;0,IF(CE10&lt;=eco,alpha*fck*(1-(1-CE10/eco)^n),alpha*fck),0)</f>
      </c>
      <c r="CH10" s="12">
        <f>CF10-CG10</f>
      </c>
      <c r="CI10" s="11">
        <f>CH10*$E10</f>
      </c>
      <c r="CJ10" s="11">
        <f>CI10*$D10</f>
      </c>
      <c r="CK10" s="11">
        <f>CI10*$C10</f>
      </c>
      <c r="CL10" s="30">
        <f>PM_Angle!$J$19+PM_Angle!$K$19*$D10+PM_Angle!$L$19*$C10</f>
      </c>
      <c r="CM10" s="12">
        <f>MAX(MIN(Es*CL10,fy),-fy)</f>
      </c>
      <c r="CN10" s="12">
        <f>IF(CL10&gt;0,IF(CL10&lt;=eco,alpha*fck*(1-(1-CL10/eco)^n),alpha*fck),0)</f>
      </c>
      <c r="CO10" s="12">
        <f>CM10-CN10</f>
      </c>
      <c r="CP10" s="11">
        <f>CO10*$E10</f>
      </c>
      <c r="CQ10" s="11">
        <f>CP10*$D10</f>
      </c>
      <c r="CR10" s="11">
        <f>CP10*$C10</f>
      </c>
      <c r="CS10" s="30">
        <f>PM_Angle!$J$20+PM_Angle!$K$20*$D10+PM_Angle!$L$20*$C10</f>
      </c>
      <c r="CT10" s="12">
        <f>MAX(MIN(Es*CS10,fy),-fy)</f>
      </c>
      <c r="CU10" s="12">
        <f>IF(CS10&gt;0,IF(CS10&lt;=eco,alpha*fck*(1-(1-CS10/eco)^n),alpha*fck),0)</f>
      </c>
      <c r="CV10" s="12">
        <f>CT10-CU10</f>
      </c>
      <c r="CW10" s="11">
        <f>CV10*$E10</f>
      </c>
      <c r="CX10" s="11">
        <f>CW10*$D10</f>
      </c>
      <c r="CY10" s="11">
        <f>CW10*$C10</f>
      </c>
      <c r="CZ10" s="30">
        <f>PM_Angle!$J$21+PM_Angle!$K$21*$D10+PM_Angle!$L$21*$C10</f>
      </c>
      <c r="DA10" s="12">
        <f>MAX(MIN(Es*CZ10,fy),-fy)</f>
      </c>
      <c r="DB10" s="12">
        <f>IF(CZ10&gt;0,IF(CZ10&lt;=eco,alpha*fck*(1-(1-CZ10/eco)^n),alpha*fck),0)</f>
      </c>
      <c r="DC10" s="12">
        <f>DA10-DB10</f>
      </c>
      <c r="DD10" s="11">
        <f>DC10*$E10</f>
      </c>
      <c r="DE10" s="11">
        <f>DD10*$D10</f>
      </c>
      <c r="DF10" s="11">
        <f>DD10*$C10</f>
      </c>
      <c r="DG10" s="30">
        <f>PM_Angle!$J$22+PM_Angle!$K$22*$D10+PM_Angle!$L$22*$C10</f>
      </c>
      <c r="DH10" s="12">
        <f>MAX(MIN(Es*DG10,fy),-fy)</f>
      </c>
      <c r="DI10" s="12">
        <f>IF(DG10&gt;0,IF(DG10&lt;=eco,alpha*fck*(1-(1-DG10/eco)^n),alpha*fck),0)</f>
      </c>
      <c r="DJ10" s="12">
        <f>DH10-DI10</f>
      </c>
      <c r="DK10" s="11">
        <f>DJ10*$E10</f>
      </c>
      <c r="DL10" s="11">
        <f>DK10*$D10</f>
      </c>
      <c r="DM10" s="11">
        <f>DK10*$C10</f>
      </c>
      <c r="DN10" s="30">
        <f>PM_Angle!$J$23+PM_Angle!$K$23*$D10+PM_Angle!$L$23*$C10</f>
      </c>
      <c r="DO10" s="12">
        <f>MAX(MIN(Es*DN10,fy),-fy)</f>
      </c>
      <c r="DP10" s="12">
        <f>IF(DN10&gt;0,IF(DN10&lt;=eco,alpha*fck*(1-(1-DN10/eco)^n),alpha*fck),0)</f>
      </c>
      <c r="DQ10" s="12">
        <f>DO10-DP10</f>
      </c>
      <c r="DR10" s="11">
        <f>DQ10*$E10</f>
      </c>
      <c r="DS10" s="11">
        <f>DR10*$D10</f>
      </c>
      <c r="DT10" s="11">
        <f>DR10*$C10</f>
      </c>
      <c r="DU10" s="30">
        <f>PM_Angle!$J$24+PM_Angle!$K$24*$D10+PM_Angle!$L$24*$C10</f>
      </c>
      <c r="DV10" s="12">
        <f>MAX(MIN(Es*DU10,fy),-fy)</f>
      </c>
      <c r="DW10" s="12">
        <f>IF(DU10&gt;0,IF(DU10&lt;=eco,alpha*fck*(1-(1-DU10/eco)^n),alpha*fck),0)</f>
      </c>
      <c r="DX10" s="12">
        <f>DV10-DW10</f>
      </c>
      <c r="DY10" s="11">
        <f>DX10*$E10</f>
      </c>
      <c r="DZ10" s="11">
        <f>DY10*$D10</f>
      </c>
      <c r="EA10" s="11">
        <f>DY10*$C10</f>
      </c>
      <c r="EB10" s="30">
        <f>PM_Angle!$J$25+PM_Angle!$K$25*$D10+PM_Angle!$L$25*$C10</f>
      </c>
      <c r="EC10" s="12">
        <f>MAX(MIN(Es*EB10,fy),-fy)</f>
      </c>
      <c r="ED10" s="12">
        <f>IF(EB10&gt;0,IF(EB10&lt;=eco,alpha*fck*(1-(1-EB10/eco)^n),alpha*fck),0)</f>
      </c>
      <c r="EE10" s="12">
        <f>EC10-ED10</f>
      </c>
      <c r="EF10" s="11">
        <f>EE10*$E10</f>
      </c>
      <c r="EG10" s="11">
        <f>EF10*$D10</f>
      </c>
      <c r="EH10" s="11">
        <f>EF10*$C10</f>
      </c>
    </row>
    <row r="11" spans="1:138" x14ac:dyDescent="0.25">
      <c r="A11">
        <v>5</v>
      </c>
      <c r="B11" s="12">
        <f>Geometry!C46</f>
      </c>
      <c r="C11" s="12">
        <f>Geometry!D46</f>
      </c>
      <c r="D11" s="12">
        <f>Geometry!E46</f>
      </c>
      <c r="E11" s="12">
        <f>Geometry!F46</f>
      </c>
      <c r="F11" s="30">
        <f>PM_Angle!$J$7+PM_Angle!$K$7*$D11+PM_Angle!$L$7*$C11</f>
      </c>
      <c r="G11" s="12">
        <f>MAX(MIN(Es*F11,fy),-fy)</f>
      </c>
      <c r="H11" s="12">
        <f>IF(F11&gt;0,IF(F11&lt;=eco,alpha*fck*(1-(1-F11/eco)^n),alpha*fck),0)</f>
      </c>
      <c r="I11" s="12">
        <f>G11-H11</f>
      </c>
      <c r="J11" s="11">
        <f>I11*$E11</f>
      </c>
      <c r="K11" s="11">
        <f>J11*$D11</f>
      </c>
      <c r="L11" s="11">
        <f>J11*$C11</f>
      </c>
      <c r="M11" s="30">
        <f>PM_Angle!$J$8+PM_Angle!$K$8*$D11+PM_Angle!$L$8*$C11</f>
      </c>
      <c r="N11" s="12">
        <f>MAX(MIN(Es*M11,fy),-fy)</f>
      </c>
      <c r="O11" s="12">
        <f>IF(M11&gt;0,IF(M11&lt;=eco,alpha*fck*(1-(1-M11/eco)^n),alpha*fck),0)</f>
      </c>
      <c r="P11" s="12">
        <f>N11-O11</f>
      </c>
      <c r="Q11" s="11">
        <f>P11*$E11</f>
      </c>
      <c r="R11" s="11">
        <f>Q11*$D11</f>
      </c>
      <c r="S11" s="11">
        <f>Q11*$C11</f>
      </c>
      <c r="T11" s="30">
        <f>PM_Angle!$J$9+PM_Angle!$K$9*$D11+PM_Angle!$L$9*$C11</f>
      </c>
      <c r="U11" s="12">
        <f>MAX(MIN(Es*T11,fy),-fy)</f>
      </c>
      <c r="V11" s="12">
        <f>IF(T11&gt;0,IF(T11&lt;=eco,alpha*fck*(1-(1-T11/eco)^n),alpha*fck),0)</f>
      </c>
      <c r="W11" s="12">
        <f>U11-V11</f>
      </c>
      <c r="X11" s="11">
        <f>W11*$E11</f>
      </c>
      <c r="Y11" s="11">
        <f>X11*$D11</f>
      </c>
      <c r="Z11" s="11">
        <f>X11*$C11</f>
      </c>
      <c r="AA11" s="30">
        <f>PM_Angle!$J$10+PM_Angle!$K$10*$D11+PM_Angle!$L$10*$C11</f>
      </c>
      <c r="AB11" s="12">
        <f>MAX(MIN(Es*AA11,fy),-fy)</f>
      </c>
      <c r="AC11" s="12">
        <f>IF(AA11&gt;0,IF(AA11&lt;=eco,alpha*fck*(1-(1-AA11/eco)^n),alpha*fck),0)</f>
      </c>
      <c r="AD11" s="12">
        <f>AB11-AC11</f>
      </c>
      <c r="AE11" s="11">
        <f>AD11*$E11</f>
      </c>
      <c r="AF11" s="11">
        <f>AE11*$D11</f>
      </c>
      <c r="AG11" s="11">
        <f>AE11*$C11</f>
      </c>
      <c r="AH11" s="30">
        <f>PM_Angle!$J$11+PM_Angle!$K$11*$D11+PM_Angle!$L$11*$C11</f>
      </c>
      <c r="AI11" s="12">
        <f>MAX(MIN(Es*AH11,fy),-fy)</f>
      </c>
      <c r="AJ11" s="12">
        <f>IF(AH11&gt;0,IF(AH11&lt;=eco,alpha*fck*(1-(1-AH11/eco)^n),alpha*fck),0)</f>
      </c>
      <c r="AK11" s="12">
        <f>AI11-AJ11</f>
      </c>
      <c r="AL11" s="11">
        <f>AK11*$E11</f>
      </c>
      <c r="AM11" s="11">
        <f>AL11*$D11</f>
      </c>
      <c r="AN11" s="11">
        <f>AL11*$C11</f>
      </c>
      <c r="AO11" s="30">
        <f>PM_Angle!$J$12+PM_Angle!$K$12*$D11+PM_Angle!$L$12*$C11</f>
      </c>
      <c r="AP11" s="12">
        <f>MAX(MIN(Es*AO11,fy),-fy)</f>
      </c>
      <c r="AQ11" s="12">
        <f>IF(AO11&gt;0,IF(AO11&lt;=eco,alpha*fck*(1-(1-AO11/eco)^n),alpha*fck),0)</f>
      </c>
      <c r="AR11" s="12">
        <f>AP11-AQ11</f>
      </c>
      <c r="AS11" s="11">
        <f>AR11*$E11</f>
      </c>
      <c r="AT11" s="11">
        <f>AS11*$D11</f>
      </c>
      <c r="AU11" s="11">
        <f>AS11*$C11</f>
      </c>
      <c r="AV11" s="30">
        <f>PM_Angle!$J$13+PM_Angle!$K$13*$D11+PM_Angle!$L$13*$C11</f>
      </c>
      <c r="AW11" s="12">
        <f>MAX(MIN(Es*AV11,fy),-fy)</f>
      </c>
      <c r="AX11" s="12">
        <f>IF(AV11&gt;0,IF(AV11&lt;=eco,alpha*fck*(1-(1-AV11/eco)^n),alpha*fck),0)</f>
      </c>
      <c r="AY11" s="12">
        <f>AW11-AX11</f>
      </c>
      <c r="AZ11" s="11">
        <f>AY11*$E11</f>
      </c>
      <c r="BA11" s="11">
        <f>AZ11*$D11</f>
      </c>
      <c r="BB11" s="11">
        <f>AZ11*$C11</f>
      </c>
      <c r="BC11" s="30">
        <f>PM_Angle!$J$14+PM_Angle!$K$14*$D11+PM_Angle!$L$14*$C11</f>
      </c>
      <c r="BD11" s="12">
        <f>MAX(MIN(Es*BC11,fy),-fy)</f>
      </c>
      <c r="BE11" s="12">
        <f>IF(BC11&gt;0,IF(BC11&lt;=eco,alpha*fck*(1-(1-BC11/eco)^n),alpha*fck),0)</f>
      </c>
      <c r="BF11" s="12">
        <f>BD11-BE11</f>
      </c>
      <c r="BG11" s="11">
        <f>BF11*$E11</f>
      </c>
      <c r="BH11" s="11">
        <f>BG11*$D11</f>
      </c>
      <c r="BI11" s="11">
        <f>BG11*$C11</f>
      </c>
      <c r="BJ11" s="30">
        <f>PM_Angle!$J$15+PM_Angle!$K$15*$D11+PM_Angle!$L$15*$C11</f>
      </c>
      <c r="BK11" s="12">
        <f>MAX(MIN(Es*BJ11,fy),-fy)</f>
      </c>
      <c r="BL11" s="12">
        <f>IF(BJ11&gt;0,IF(BJ11&lt;=eco,alpha*fck*(1-(1-BJ11/eco)^n),alpha*fck),0)</f>
      </c>
      <c r="BM11" s="12">
        <f>BK11-BL11</f>
      </c>
      <c r="BN11" s="11">
        <f>BM11*$E11</f>
      </c>
      <c r="BO11" s="11">
        <f>BN11*$D11</f>
      </c>
      <c r="BP11" s="11">
        <f>BN11*$C11</f>
      </c>
      <c r="BQ11" s="30">
        <f>PM_Angle!$J$16+PM_Angle!$K$16*$D11+PM_Angle!$L$16*$C11</f>
      </c>
      <c r="BR11" s="12">
        <f>MAX(MIN(Es*BQ11,fy),-fy)</f>
      </c>
      <c r="BS11" s="12">
        <f>IF(BQ11&gt;0,IF(BQ11&lt;=eco,alpha*fck*(1-(1-BQ11/eco)^n),alpha*fck),0)</f>
      </c>
      <c r="BT11" s="12">
        <f>BR11-BS11</f>
      </c>
      <c r="BU11" s="11">
        <f>BT11*$E11</f>
      </c>
      <c r="BV11" s="11">
        <f>BU11*$D11</f>
      </c>
      <c r="BW11" s="11">
        <f>BU11*$C11</f>
      </c>
      <c r="BX11" s="30">
        <f>PM_Angle!$J$17+PM_Angle!$K$17*$D11+PM_Angle!$L$17*$C11</f>
      </c>
      <c r="BY11" s="12">
        <f>MAX(MIN(Es*BX11,fy),-fy)</f>
      </c>
      <c r="BZ11" s="12">
        <f>IF(BX11&gt;0,IF(BX11&lt;=eco,alpha*fck*(1-(1-BX11/eco)^n),alpha*fck),0)</f>
      </c>
      <c r="CA11" s="12">
        <f>BY11-BZ11</f>
      </c>
      <c r="CB11" s="11">
        <f>CA11*$E11</f>
      </c>
      <c r="CC11" s="11">
        <f>CB11*$D11</f>
      </c>
      <c r="CD11" s="11">
        <f>CB11*$C11</f>
      </c>
      <c r="CE11" s="30">
        <f>PM_Angle!$J$18+PM_Angle!$K$18*$D11+PM_Angle!$L$18*$C11</f>
      </c>
      <c r="CF11" s="12">
        <f>MAX(MIN(Es*CE11,fy),-fy)</f>
      </c>
      <c r="CG11" s="12">
        <f>IF(CE11&gt;0,IF(CE11&lt;=eco,alpha*fck*(1-(1-CE11/eco)^n),alpha*fck),0)</f>
      </c>
      <c r="CH11" s="12">
        <f>CF11-CG11</f>
      </c>
      <c r="CI11" s="11">
        <f>CH11*$E11</f>
      </c>
      <c r="CJ11" s="11">
        <f>CI11*$D11</f>
      </c>
      <c r="CK11" s="11">
        <f>CI11*$C11</f>
      </c>
      <c r="CL11" s="30">
        <f>PM_Angle!$J$19+PM_Angle!$K$19*$D11+PM_Angle!$L$19*$C11</f>
      </c>
      <c r="CM11" s="12">
        <f>MAX(MIN(Es*CL11,fy),-fy)</f>
      </c>
      <c r="CN11" s="12">
        <f>IF(CL11&gt;0,IF(CL11&lt;=eco,alpha*fck*(1-(1-CL11/eco)^n),alpha*fck),0)</f>
      </c>
      <c r="CO11" s="12">
        <f>CM11-CN11</f>
      </c>
      <c r="CP11" s="11">
        <f>CO11*$E11</f>
      </c>
      <c r="CQ11" s="11">
        <f>CP11*$D11</f>
      </c>
      <c r="CR11" s="11">
        <f>CP11*$C11</f>
      </c>
      <c r="CS11" s="30">
        <f>PM_Angle!$J$20+PM_Angle!$K$20*$D11+PM_Angle!$L$20*$C11</f>
      </c>
      <c r="CT11" s="12">
        <f>MAX(MIN(Es*CS11,fy),-fy)</f>
      </c>
      <c r="CU11" s="12">
        <f>IF(CS11&gt;0,IF(CS11&lt;=eco,alpha*fck*(1-(1-CS11/eco)^n),alpha*fck),0)</f>
      </c>
      <c r="CV11" s="12">
        <f>CT11-CU11</f>
      </c>
      <c r="CW11" s="11">
        <f>CV11*$E11</f>
      </c>
      <c r="CX11" s="11">
        <f>CW11*$D11</f>
      </c>
      <c r="CY11" s="11">
        <f>CW11*$C11</f>
      </c>
      <c r="CZ11" s="30">
        <f>PM_Angle!$J$21+PM_Angle!$K$21*$D11+PM_Angle!$L$21*$C11</f>
      </c>
      <c r="DA11" s="12">
        <f>MAX(MIN(Es*CZ11,fy),-fy)</f>
      </c>
      <c r="DB11" s="12">
        <f>IF(CZ11&gt;0,IF(CZ11&lt;=eco,alpha*fck*(1-(1-CZ11/eco)^n),alpha*fck),0)</f>
      </c>
      <c r="DC11" s="12">
        <f>DA11-DB11</f>
      </c>
      <c r="DD11" s="11">
        <f>DC11*$E11</f>
      </c>
      <c r="DE11" s="11">
        <f>DD11*$D11</f>
      </c>
      <c r="DF11" s="11">
        <f>DD11*$C11</f>
      </c>
      <c r="DG11" s="30">
        <f>PM_Angle!$J$22+PM_Angle!$K$22*$D11+PM_Angle!$L$22*$C11</f>
      </c>
      <c r="DH11" s="12">
        <f>MAX(MIN(Es*DG11,fy),-fy)</f>
      </c>
      <c r="DI11" s="12">
        <f>IF(DG11&gt;0,IF(DG11&lt;=eco,alpha*fck*(1-(1-DG11/eco)^n),alpha*fck),0)</f>
      </c>
      <c r="DJ11" s="12">
        <f>DH11-DI11</f>
      </c>
      <c r="DK11" s="11">
        <f>DJ11*$E11</f>
      </c>
      <c r="DL11" s="11">
        <f>DK11*$D11</f>
      </c>
      <c r="DM11" s="11">
        <f>DK11*$C11</f>
      </c>
      <c r="DN11" s="30">
        <f>PM_Angle!$J$23+PM_Angle!$K$23*$D11+PM_Angle!$L$23*$C11</f>
      </c>
      <c r="DO11" s="12">
        <f>MAX(MIN(Es*DN11,fy),-fy)</f>
      </c>
      <c r="DP11" s="12">
        <f>IF(DN11&gt;0,IF(DN11&lt;=eco,alpha*fck*(1-(1-DN11/eco)^n),alpha*fck),0)</f>
      </c>
      <c r="DQ11" s="12">
        <f>DO11-DP11</f>
      </c>
      <c r="DR11" s="11">
        <f>DQ11*$E11</f>
      </c>
      <c r="DS11" s="11">
        <f>DR11*$D11</f>
      </c>
      <c r="DT11" s="11">
        <f>DR11*$C11</f>
      </c>
      <c r="DU11" s="30">
        <f>PM_Angle!$J$24+PM_Angle!$K$24*$D11+PM_Angle!$L$24*$C11</f>
      </c>
      <c r="DV11" s="12">
        <f>MAX(MIN(Es*DU11,fy),-fy)</f>
      </c>
      <c r="DW11" s="12">
        <f>IF(DU11&gt;0,IF(DU11&lt;=eco,alpha*fck*(1-(1-DU11/eco)^n),alpha*fck),0)</f>
      </c>
      <c r="DX11" s="12">
        <f>DV11-DW11</f>
      </c>
      <c r="DY11" s="11">
        <f>DX11*$E11</f>
      </c>
      <c r="DZ11" s="11">
        <f>DY11*$D11</f>
      </c>
      <c r="EA11" s="11">
        <f>DY11*$C11</f>
      </c>
      <c r="EB11" s="30">
        <f>PM_Angle!$J$25+PM_Angle!$K$25*$D11+PM_Angle!$L$25*$C11</f>
      </c>
      <c r="EC11" s="12">
        <f>MAX(MIN(Es*EB11,fy),-fy)</f>
      </c>
      <c r="ED11" s="12">
        <f>IF(EB11&gt;0,IF(EB11&lt;=eco,alpha*fck*(1-(1-EB11/eco)^n),alpha*fck),0)</f>
      </c>
      <c r="EE11" s="12">
        <f>EC11-ED11</f>
      </c>
      <c r="EF11" s="11">
        <f>EE11*$E11</f>
      </c>
      <c r="EG11" s="11">
        <f>EF11*$D11</f>
      </c>
      <c r="EH11" s="11">
        <f>EF11*$C11</f>
      </c>
    </row>
    <row r="12" spans="1:138" x14ac:dyDescent="0.25">
      <c r="A12">
        <v>6</v>
      </c>
      <c r="B12" s="12">
        <f>Geometry!C47</f>
      </c>
      <c r="C12" s="12">
        <f>Geometry!D47</f>
      </c>
      <c r="D12" s="12">
        <f>Geometry!E47</f>
      </c>
      <c r="E12" s="12">
        <f>Geometry!F47</f>
      </c>
      <c r="F12" s="30">
        <f>PM_Angle!$J$7+PM_Angle!$K$7*$D12+PM_Angle!$L$7*$C12</f>
      </c>
      <c r="G12" s="12">
        <f>MAX(MIN(Es*F12,fy),-fy)</f>
      </c>
      <c r="H12" s="12">
        <f>IF(F12&gt;0,IF(F12&lt;=eco,alpha*fck*(1-(1-F12/eco)^n),alpha*fck),0)</f>
      </c>
      <c r="I12" s="12">
        <f>G12-H12</f>
      </c>
      <c r="J12" s="11">
        <f>I12*$E12</f>
      </c>
      <c r="K12" s="11">
        <f>J12*$D12</f>
      </c>
      <c r="L12" s="11">
        <f>J12*$C12</f>
      </c>
      <c r="M12" s="30">
        <f>PM_Angle!$J$8+PM_Angle!$K$8*$D12+PM_Angle!$L$8*$C12</f>
      </c>
      <c r="N12" s="12">
        <f>MAX(MIN(Es*M12,fy),-fy)</f>
      </c>
      <c r="O12" s="12">
        <f>IF(M12&gt;0,IF(M12&lt;=eco,alpha*fck*(1-(1-M12/eco)^n),alpha*fck),0)</f>
      </c>
      <c r="P12" s="12">
        <f>N12-O12</f>
      </c>
      <c r="Q12" s="11">
        <f>P12*$E12</f>
      </c>
      <c r="R12" s="11">
        <f>Q12*$D12</f>
      </c>
      <c r="S12" s="11">
        <f>Q12*$C12</f>
      </c>
      <c r="T12" s="30">
        <f>PM_Angle!$J$9+PM_Angle!$K$9*$D12+PM_Angle!$L$9*$C12</f>
      </c>
      <c r="U12" s="12">
        <f>MAX(MIN(Es*T12,fy),-fy)</f>
      </c>
      <c r="V12" s="12">
        <f>IF(T12&gt;0,IF(T12&lt;=eco,alpha*fck*(1-(1-T12/eco)^n),alpha*fck),0)</f>
      </c>
      <c r="W12" s="12">
        <f>U12-V12</f>
      </c>
      <c r="X12" s="11">
        <f>W12*$E12</f>
      </c>
      <c r="Y12" s="11">
        <f>X12*$D12</f>
      </c>
      <c r="Z12" s="11">
        <f>X12*$C12</f>
      </c>
      <c r="AA12" s="30">
        <f>PM_Angle!$J$10+PM_Angle!$K$10*$D12+PM_Angle!$L$10*$C12</f>
      </c>
      <c r="AB12" s="12">
        <f>MAX(MIN(Es*AA12,fy),-fy)</f>
      </c>
      <c r="AC12" s="12">
        <f>IF(AA12&gt;0,IF(AA12&lt;=eco,alpha*fck*(1-(1-AA12/eco)^n),alpha*fck),0)</f>
      </c>
      <c r="AD12" s="12">
        <f>AB12-AC12</f>
      </c>
      <c r="AE12" s="11">
        <f>AD12*$E12</f>
      </c>
      <c r="AF12" s="11">
        <f>AE12*$D12</f>
      </c>
      <c r="AG12" s="11">
        <f>AE12*$C12</f>
      </c>
      <c r="AH12" s="30">
        <f>PM_Angle!$J$11+PM_Angle!$K$11*$D12+PM_Angle!$L$11*$C12</f>
      </c>
      <c r="AI12" s="12">
        <f>MAX(MIN(Es*AH12,fy),-fy)</f>
      </c>
      <c r="AJ12" s="12">
        <f>IF(AH12&gt;0,IF(AH12&lt;=eco,alpha*fck*(1-(1-AH12/eco)^n),alpha*fck),0)</f>
      </c>
      <c r="AK12" s="12">
        <f>AI12-AJ12</f>
      </c>
      <c r="AL12" s="11">
        <f>AK12*$E12</f>
      </c>
      <c r="AM12" s="11">
        <f>AL12*$D12</f>
      </c>
      <c r="AN12" s="11">
        <f>AL12*$C12</f>
      </c>
      <c r="AO12" s="30">
        <f>PM_Angle!$J$12+PM_Angle!$K$12*$D12+PM_Angle!$L$12*$C12</f>
      </c>
      <c r="AP12" s="12">
        <f>MAX(MIN(Es*AO12,fy),-fy)</f>
      </c>
      <c r="AQ12" s="12">
        <f>IF(AO12&gt;0,IF(AO12&lt;=eco,alpha*fck*(1-(1-AO12/eco)^n),alpha*fck),0)</f>
      </c>
      <c r="AR12" s="12">
        <f>AP12-AQ12</f>
      </c>
      <c r="AS12" s="11">
        <f>AR12*$E12</f>
      </c>
      <c r="AT12" s="11">
        <f>AS12*$D12</f>
      </c>
      <c r="AU12" s="11">
        <f>AS12*$C12</f>
      </c>
      <c r="AV12" s="30">
        <f>PM_Angle!$J$13+PM_Angle!$K$13*$D12+PM_Angle!$L$13*$C12</f>
      </c>
      <c r="AW12" s="12">
        <f>MAX(MIN(Es*AV12,fy),-fy)</f>
      </c>
      <c r="AX12" s="12">
        <f>IF(AV12&gt;0,IF(AV12&lt;=eco,alpha*fck*(1-(1-AV12/eco)^n),alpha*fck),0)</f>
      </c>
      <c r="AY12" s="12">
        <f>AW12-AX12</f>
      </c>
      <c r="AZ12" s="11">
        <f>AY12*$E12</f>
      </c>
      <c r="BA12" s="11">
        <f>AZ12*$D12</f>
      </c>
      <c r="BB12" s="11">
        <f>AZ12*$C12</f>
      </c>
      <c r="BC12" s="30">
        <f>PM_Angle!$J$14+PM_Angle!$K$14*$D12+PM_Angle!$L$14*$C12</f>
      </c>
      <c r="BD12" s="12">
        <f>MAX(MIN(Es*BC12,fy),-fy)</f>
      </c>
      <c r="BE12" s="12">
        <f>IF(BC12&gt;0,IF(BC12&lt;=eco,alpha*fck*(1-(1-BC12/eco)^n),alpha*fck),0)</f>
      </c>
      <c r="BF12" s="12">
        <f>BD12-BE12</f>
      </c>
      <c r="BG12" s="11">
        <f>BF12*$E12</f>
      </c>
      <c r="BH12" s="11">
        <f>BG12*$D12</f>
      </c>
      <c r="BI12" s="11">
        <f>BG12*$C12</f>
      </c>
      <c r="BJ12" s="30">
        <f>PM_Angle!$J$15+PM_Angle!$K$15*$D12+PM_Angle!$L$15*$C12</f>
      </c>
      <c r="BK12" s="12">
        <f>MAX(MIN(Es*BJ12,fy),-fy)</f>
      </c>
      <c r="BL12" s="12">
        <f>IF(BJ12&gt;0,IF(BJ12&lt;=eco,alpha*fck*(1-(1-BJ12/eco)^n),alpha*fck),0)</f>
      </c>
      <c r="BM12" s="12">
        <f>BK12-BL12</f>
      </c>
      <c r="BN12" s="11">
        <f>BM12*$E12</f>
      </c>
      <c r="BO12" s="11">
        <f>BN12*$D12</f>
      </c>
      <c r="BP12" s="11">
        <f>BN12*$C12</f>
      </c>
      <c r="BQ12" s="30">
        <f>PM_Angle!$J$16+PM_Angle!$K$16*$D12+PM_Angle!$L$16*$C12</f>
      </c>
      <c r="BR12" s="12">
        <f>MAX(MIN(Es*BQ12,fy),-fy)</f>
      </c>
      <c r="BS12" s="12">
        <f>IF(BQ12&gt;0,IF(BQ12&lt;=eco,alpha*fck*(1-(1-BQ12/eco)^n),alpha*fck),0)</f>
      </c>
      <c r="BT12" s="12">
        <f>BR12-BS12</f>
      </c>
      <c r="BU12" s="11">
        <f>BT12*$E12</f>
      </c>
      <c r="BV12" s="11">
        <f>BU12*$D12</f>
      </c>
      <c r="BW12" s="11">
        <f>BU12*$C12</f>
      </c>
      <c r="BX12" s="30">
        <f>PM_Angle!$J$17+PM_Angle!$K$17*$D12+PM_Angle!$L$17*$C12</f>
      </c>
      <c r="BY12" s="12">
        <f>MAX(MIN(Es*BX12,fy),-fy)</f>
      </c>
      <c r="BZ12" s="12">
        <f>IF(BX12&gt;0,IF(BX12&lt;=eco,alpha*fck*(1-(1-BX12/eco)^n),alpha*fck),0)</f>
      </c>
      <c r="CA12" s="12">
        <f>BY12-BZ12</f>
      </c>
      <c r="CB12" s="11">
        <f>CA12*$E12</f>
      </c>
      <c r="CC12" s="11">
        <f>CB12*$D12</f>
      </c>
      <c r="CD12" s="11">
        <f>CB12*$C12</f>
      </c>
      <c r="CE12" s="30">
        <f>PM_Angle!$J$18+PM_Angle!$K$18*$D12+PM_Angle!$L$18*$C12</f>
      </c>
      <c r="CF12" s="12">
        <f>MAX(MIN(Es*CE12,fy),-fy)</f>
      </c>
      <c r="CG12" s="12">
        <f>IF(CE12&gt;0,IF(CE12&lt;=eco,alpha*fck*(1-(1-CE12/eco)^n),alpha*fck),0)</f>
      </c>
      <c r="CH12" s="12">
        <f>CF12-CG12</f>
      </c>
      <c r="CI12" s="11">
        <f>CH12*$E12</f>
      </c>
      <c r="CJ12" s="11">
        <f>CI12*$D12</f>
      </c>
      <c r="CK12" s="11">
        <f>CI12*$C12</f>
      </c>
      <c r="CL12" s="30">
        <f>PM_Angle!$J$19+PM_Angle!$K$19*$D12+PM_Angle!$L$19*$C12</f>
      </c>
      <c r="CM12" s="12">
        <f>MAX(MIN(Es*CL12,fy),-fy)</f>
      </c>
      <c r="CN12" s="12">
        <f>IF(CL12&gt;0,IF(CL12&lt;=eco,alpha*fck*(1-(1-CL12/eco)^n),alpha*fck),0)</f>
      </c>
      <c r="CO12" s="12">
        <f>CM12-CN12</f>
      </c>
      <c r="CP12" s="11">
        <f>CO12*$E12</f>
      </c>
      <c r="CQ12" s="11">
        <f>CP12*$D12</f>
      </c>
      <c r="CR12" s="11">
        <f>CP12*$C12</f>
      </c>
      <c r="CS12" s="30">
        <f>PM_Angle!$J$20+PM_Angle!$K$20*$D12+PM_Angle!$L$20*$C12</f>
      </c>
      <c r="CT12" s="12">
        <f>MAX(MIN(Es*CS12,fy),-fy)</f>
      </c>
      <c r="CU12" s="12">
        <f>IF(CS12&gt;0,IF(CS12&lt;=eco,alpha*fck*(1-(1-CS12/eco)^n),alpha*fck),0)</f>
      </c>
      <c r="CV12" s="12">
        <f>CT12-CU12</f>
      </c>
      <c r="CW12" s="11">
        <f>CV12*$E12</f>
      </c>
      <c r="CX12" s="11">
        <f>CW12*$D12</f>
      </c>
      <c r="CY12" s="11">
        <f>CW12*$C12</f>
      </c>
      <c r="CZ12" s="30">
        <f>PM_Angle!$J$21+PM_Angle!$K$21*$D12+PM_Angle!$L$21*$C12</f>
      </c>
      <c r="DA12" s="12">
        <f>MAX(MIN(Es*CZ12,fy),-fy)</f>
      </c>
      <c r="DB12" s="12">
        <f>IF(CZ12&gt;0,IF(CZ12&lt;=eco,alpha*fck*(1-(1-CZ12/eco)^n),alpha*fck),0)</f>
      </c>
      <c r="DC12" s="12">
        <f>DA12-DB12</f>
      </c>
      <c r="DD12" s="11">
        <f>DC12*$E12</f>
      </c>
      <c r="DE12" s="11">
        <f>DD12*$D12</f>
      </c>
      <c r="DF12" s="11">
        <f>DD12*$C12</f>
      </c>
      <c r="DG12" s="30">
        <f>PM_Angle!$J$22+PM_Angle!$K$22*$D12+PM_Angle!$L$22*$C12</f>
      </c>
      <c r="DH12" s="12">
        <f>MAX(MIN(Es*DG12,fy),-fy)</f>
      </c>
      <c r="DI12" s="12">
        <f>IF(DG12&gt;0,IF(DG12&lt;=eco,alpha*fck*(1-(1-DG12/eco)^n),alpha*fck),0)</f>
      </c>
      <c r="DJ12" s="12">
        <f>DH12-DI12</f>
      </c>
      <c r="DK12" s="11">
        <f>DJ12*$E12</f>
      </c>
      <c r="DL12" s="11">
        <f>DK12*$D12</f>
      </c>
      <c r="DM12" s="11">
        <f>DK12*$C12</f>
      </c>
      <c r="DN12" s="30">
        <f>PM_Angle!$J$23+PM_Angle!$K$23*$D12+PM_Angle!$L$23*$C12</f>
      </c>
      <c r="DO12" s="12">
        <f>MAX(MIN(Es*DN12,fy),-fy)</f>
      </c>
      <c r="DP12" s="12">
        <f>IF(DN12&gt;0,IF(DN12&lt;=eco,alpha*fck*(1-(1-DN12/eco)^n),alpha*fck),0)</f>
      </c>
      <c r="DQ12" s="12">
        <f>DO12-DP12</f>
      </c>
      <c r="DR12" s="11">
        <f>DQ12*$E12</f>
      </c>
      <c r="DS12" s="11">
        <f>DR12*$D12</f>
      </c>
      <c r="DT12" s="11">
        <f>DR12*$C12</f>
      </c>
      <c r="DU12" s="30">
        <f>PM_Angle!$J$24+PM_Angle!$K$24*$D12+PM_Angle!$L$24*$C12</f>
      </c>
      <c r="DV12" s="12">
        <f>MAX(MIN(Es*DU12,fy),-fy)</f>
      </c>
      <c r="DW12" s="12">
        <f>IF(DU12&gt;0,IF(DU12&lt;=eco,alpha*fck*(1-(1-DU12/eco)^n),alpha*fck),0)</f>
      </c>
      <c r="DX12" s="12">
        <f>DV12-DW12</f>
      </c>
      <c r="DY12" s="11">
        <f>DX12*$E12</f>
      </c>
      <c r="DZ12" s="11">
        <f>DY12*$D12</f>
      </c>
      <c r="EA12" s="11">
        <f>DY12*$C12</f>
      </c>
      <c r="EB12" s="30">
        <f>PM_Angle!$J$25+PM_Angle!$K$25*$D12+PM_Angle!$L$25*$C12</f>
      </c>
      <c r="EC12" s="12">
        <f>MAX(MIN(Es*EB12,fy),-fy)</f>
      </c>
      <c r="ED12" s="12">
        <f>IF(EB12&gt;0,IF(EB12&lt;=eco,alpha*fck*(1-(1-EB12/eco)^n),alpha*fck),0)</f>
      </c>
      <c r="EE12" s="12">
        <f>EC12-ED12</f>
      </c>
      <c r="EF12" s="11">
        <f>EE12*$E12</f>
      </c>
      <c r="EG12" s="11">
        <f>EF12*$D12</f>
      </c>
      <c r="EH12" s="11">
        <f>EF12*$C12</f>
      </c>
    </row>
    <row r="13" spans="1:138" x14ac:dyDescent="0.25">
      <c r="A13">
        <v>7</v>
      </c>
      <c r="B13" s="12">
        <f>Geometry!C48</f>
      </c>
      <c r="C13" s="12">
        <f>Geometry!D48</f>
      </c>
      <c r="D13" s="12">
        <f>Geometry!E48</f>
      </c>
      <c r="E13" s="12">
        <f>Geometry!F48</f>
      </c>
      <c r="F13" s="30">
        <f>PM_Angle!$J$7+PM_Angle!$K$7*$D13+PM_Angle!$L$7*$C13</f>
      </c>
      <c r="G13" s="12">
        <f>MAX(MIN(Es*F13,fy),-fy)</f>
      </c>
      <c r="H13" s="12">
        <f>IF(F13&gt;0,IF(F13&lt;=eco,alpha*fck*(1-(1-F13/eco)^n),alpha*fck),0)</f>
      </c>
      <c r="I13" s="12">
        <f>G13-H13</f>
      </c>
      <c r="J13" s="11">
        <f>I13*$E13</f>
      </c>
      <c r="K13" s="11">
        <f>J13*$D13</f>
      </c>
      <c r="L13" s="11">
        <f>J13*$C13</f>
      </c>
      <c r="M13" s="30">
        <f>PM_Angle!$J$8+PM_Angle!$K$8*$D13+PM_Angle!$L$8*$C13</f>
      </c>
      <c r="N13" s="12">
        <f>MAX(MIN(Es*M13,fy),-fy)</f>
      </c>
      <c r="O13" s="12">
        <f>IF(M13&gt;0,IF(M13&lt;=eco,alpha*fck*(1-(1-M13/eco)^n),alpha*fck),0)</f>
      </c>
      <c r="P13" s="12">
        <f>N13-O13</f>
      </c>
      <c r="Q13" s="11">
        <f>P13*$E13</f>
      </c>
      <c r="R13" s="11">
        <f>Q13*$D13</f>
      </c>
      <c r="S13" s="11">
        <f>Q13*$C13</f>
      </c>
      <c r="T13" s="30">
        <f>PM_Angle!$J$9+PM_Angle!$K$9*$D13+PM_Angle!$L$9*$C13</f>
      </c>
      <c r="U13" s="12">
        <f>MAX(MIN(Es*T13,fy),-fy)</f>
      </c>
      <c r="V13" s="12">
        <f>IF(T13&gt;0,IF(T13&lt;=eco,alpha*fck*(1-(1-T13/eco)^n),alpha*fck),0)</f>
      </c>
      <c r="W13" s="12">
        <f>U13-V13</f>
      </c>
      <c r="X13" s="11">
        <f>W13*$E13</f>
      </c>
      <c r="Y13" s="11">
        <f>X13*$D13</f>
      </c>
      <c r="Z13" s="11">
        <f>X13*$C13</f>
      </c>
      <c r="AA13" s="30">
        <f>PM_Angle!$J$10+PM_Angle!$K$10*$D13+PM_Angle!$L$10*$C13</f>
      </c>
      <c r="AB13" s="12">
        <f>MAX(MIN(Es*AA13,fy),-fy)</f>
      </c>
      <c r="AC13" s="12">
        <f>IF(AA13&gt;0,IF(AA13&lt;=eco,alpha*fck*(1-(1-AA13/eco)^n),alpha*fck),0)</f>
      </c>
      <c r="AD13" s="12">
        <f>AB13-AC13</f>
      </c>
      <c r="AE13" s="11">
        <f>AD13*$E13</f>
      </c>
      <c r="AF13" s="11">
        <f>AE13*$D13</f>
      </c>
      <c r="AG13" s="11">
        <f>AE13*$C13</f>
      </c>
      <c r="AH13" s="30">
        <f>PM_Angle!$J$11+PM_Angle!$K$11*$D13+PM_Angle!$L$11*$C13</f>
      </c>
      <c r="AI13" s="12">
        <f>MAX(MIN(Es*AH13,fy),-fy)</f>
      </c>
      <c r="AJ13" s="12">
        <f>IF(AH13&gt;0,IF(AH13&lt;=eco,alpha*fck*(1-(1-AH13/eco)^n),alpha*fck),0)</f>
      </c>
      <c r="AK13" s="12">
        <f>AI13-AJ13</f>
      </c>
      <c r="AL13" s="11">
        <f>AK13*$E13</f>
      </c>
      <c r="AM13" s="11">
        <f>AL13*$D13</f>
      </c>
      <c r="AN13" s="11">
        <f>AL13*$C13</f>
      </c>
      <c r="AO13" s="30">
        <f>PM_Angle!$J$12+PM_Angle!$K$12*$D13+PM_Angle!$L$12*$C13</f>
      </c>
      <c r="AP13" s="12">
        <f>MAX(MIN(Es*AO13,fy),-fy)</f>
      </c>
      <c r="AQ13" s="12">
        <f>IF(AO13&gt;0,IF(AO13&lt;=eco,alpha*fck*(1-(1-AO13/eco)^n),alpha*fck),0)</f>
      </c>
      <c r="AR13" s="12">
        <f>AP13-AQ13</f>
      </c>
      <c r="AS13" s="11">
        <f>AR13*$E13</f>
      </c>
      <c r="AT13" s="11">
        <f>AS13*$D13</f>
      </c>
      <c r="AU13" s="11">
        <f>AS13*$C13</f>
      </c>
      <c r="AV13" s="30">
        <f>PM_Angle!$J$13+PM_Angle!$K$13*$D13+PM_Angle!$L$13*$C13</f>
      </c>
      <c r="AW13" s="12">
        <f>MAX(MIN(Es*AV13,fy),-fy)</f>
      </c>
      <c r="AX13" s="12">
        <f>IF(AV13&gt;0,IF(AV13&lt;=eco,alpha*fck*(1-(1-AV13/eco)^n),alpha*fck),0)</f>
      </c>
      <c r="AY13" s="12">
        <f>AW13-AX13</f>
      </c>
      <c r="AZ13" s="11">
        <f>AY13*$E13</f>
      </c>
      <c r="BA13" s="11">
        <f>AZ13*$D13</f>
      </c>
      <c r="BB13" s="11">
        <f>AZ13*$C13</f>
      </c>
      <c r="BC13" s="30">
        <f>PM_Angle!$J$14+PM_Angle!$K$14*$D13+PM_Angle!$L$14*$C13</f>
      </c>
      <c r="BD13" s="12">
        <f>MAX(MIN(Es*BC13,fy),-fy)</f>
      </c>
      <c r="BE13" s="12">
        <f>IF(BC13&gt;0,IF(BC13&lt;=eco,alpha*fck*(1-(1-BC13/eco)^n),alpha*fck),0)</f>
      </c>
      <c r="BF13" s="12">
        <f>BD13-BE13</f>
      </c>
      <c r="BG13" s="11">
        <f>BF13*$E13</f>
      </c>
      <c r="BH13" s="11">
        <f>BG13*$D13</f>
      </c>
      <c r="BI13" s="11">
        <f>BG13*$C13</f>
      </c>
      <c r="BJ13" s="30">
        <f>PM_Angle!$J$15+PM_Angle!$K$15*$D13+PM_Angle!$L$15*$C13</f>
      </c>
      <c r="BK13" s="12">
        <f>MAX(MIN(Es*BJ13,fy),-fy)</f>
      </c>
      <c r="BL13" s="12">
        <f>IF(BJ13&gt;0,IF(BJ13&lt;=eco,alpha*fck*(1-(1-BJ13/eco)^n),alpha*fck),0)</f>
      </c>
      <c r="BM13" s="12">
        <f>BK13-BL13</f>
      </c>
      <c r="BN13" s="11">
        <f>BM13*$E13</f>
      </c>
      <c r="BO13" s="11">
        <f>BN13*$D13</f>
      </c>
      <c r="BP13" s="11">
        <f>BN13*$C13</f>
      </c>
      <c r="BQ13" s="30">
        <f>PM_Angle!$J$16+PM_Angle!$K$16*$D13+PM_Angle!$L$16*$C13</f>
      </c>
      <c r="BR13" s="12">
        <f>MAX(MIN(Es*BQ13,fy),-fy)</f>
      </c>
      <c r="BS13" s="12">
        <f>IF(BQ13&gt;0,IF(BQ13&lt;=eco,alpha*fck*(1-(1-BQ13/eco)^n),alpha*fck),0)</f>
      </c>
      <c r="BT13" s="12">
        <f>BR13-BS13</f>
      </c>
      <c r="BU13" s="11">
        <f>BT13*$E13</f>
      </c>
      <c r="BV13" s="11">
        <f>BU13*$D13</f>
      </c>
      <c r="BW13" s="11">
        <f>BU13*$C13</f>
      </c>
      <c r="BX13" s="30">
        <f>PM_Angle!$J$17+PM_Angle!$K$17*$D13+PM_Angle!$L$17*$C13</f>
      </c>
      <c r="BY13" s="12">
        <f>MAX(MIN(Es*BX13,fy),-fy)</f>
      </c>
      <c r="BZ13" s="12">
        <f>IF(BX13&gt;0,IF(BX13&lt;=eco,alpha*fck*(1-(1-BX13/eco)^n),alpha*fck),0)</f>
      </c>
      <c r="CA13" s="12">
        <f>BY13-BZ13</f>
      </c>
      <c r="CB13" s="11">
        <f>CA13*$E13</f>
      </c>
      <c r="CC13" s="11">
        <f>CB13*$D13</f>
      </c>
      <c r="CD13" s="11">
        <f>CB13*$C13</f>
      </c>
      <c r="CE13" s="30">
        <f>PM_Angle!$J$18+PM_Angle!$K$18*$D13+PM_Angle!$L$18*$C13</f>
      </c>
      <c r="CF13" s="12">
        <f>MAX(MIN(Es*CE13,fy),-fy)</f>
      </c>
      <c r="CG13" s="12">
        <f>IF(CE13&gt;0,IF(CE13&lt;=eco,alpha*fck*(1-(1-CE13/eco)^n),alpha*fck),0)</f>
      </c>
      <c r="CH13" s="12">
        <f>CF13-CG13</f>
      </c>
      <c r="CI13" s="11">
        <f>CH13*$E13</f>
      </c>
      <c r="CJ13" s="11">
        <f>CI13*$D13</f>
      </c>
      <c r="CK13" s="11">
        <f>CI13*$C13</f>
      </c>
      <c r="CL13" s="30">
        <f>PM_Angle!$J$19+PM_Angle!$K$19*$D13+PM_Angle!$L$19*$C13</f>
      </c>
      <c r="CM13" s="12">
        <f>MAX(MIN(Es*CL13,fy),-fy)</f>
      </c>
      <c r="CN13" s="12">
        <f>IF(CL13&gt;0,IF(CL13&lt;=eco,alpha*fck*(1-(1-CL13/eco)^n),alpha*fck),0)</f>
      </c>
      <c r="CO13" s="12">
        <f>CM13-CN13</f>
      </c>
      <c r="CP13" s="11">
        <f>CO13*$E13</f>
      </c>
      <c r="CQ13" s="11">
        <f>CP13*$D13</f>
      </c>
      <c r="CR13" s="11">
        <f>CP13*$C13</f>
      </c>
      <c r="CS13" s="30">
        <f>PM_Angle!$J$20+PM_Angle!$K$20*$D13+PM_Angle!$L$20*$C13</f>
      </c>
      <c r="CT13" s="12">
        <f>MAX(MIN(Es*CS13,fy),-fy)</f>
      </c>
      <c r="CU13" s="12">
        <f>IF(CS13&gt;0,IF(CS13&lt;=eco,alpha*fck*(1-(1-CS13/eco)^n),alpha*fck),0)</f>
      </c>
      <c r="CV13" s="12">
        <f>CT13-CU13</f>
      </c>
      <c r="CW13" s="11">
        <f>CV13*$E13</f>
      </c>
      <c r="CX13" s="11">
        <f>CW13*$D13</f>
      </c>
      <c r="CY13" s="11">
        <f>CW13*$C13</f>
      </c>
      <c r="CZ13" s="30">
        <f>PM_Angle!$J$21+PM_Angle!$K$21*$D13+PM_Angle!$L$21*$C13</f>
      </c>
      <c r="DA13" s="12">
        <f>MAX(MIN(Es*CZ13,fy),-fy)</f>
      </c>
      <c r="DB13" s="12">
        <f>IF(CZ13&gt;0,IF(CZ13&lt;=eco,alpha*fck*(1-(1-CZ13/eco)^n),alpha*fck),0)</f>
      </c>
      <c r="DC13" s="12">
        <f>DA13-DB13</f>
      </c>
      <c r="DD13" s="11">
        <f>DC13*$E13</f>
      </c>
      <c r="DE13" s="11">
        <f>DD13*$D13</f>
      </c>
      <c r="DF13" s="11">
        <f>DD13*$C13</f>
      </c>
      <c r="DG13" s="30">
        <f>PM_Angle!$J$22+PM_Angle!$K$22*$D13+PM_Angle!$L$22*$C13</f>
      </c>
      <c r="DH13" s="12">
        <f>MAX(MIN(Es*DG13,fy),-fy)</f>
      </c>
      <c r="DI13" s="12">
        <f>IF(DG13&gt;0,IF(DG13&lt;=eco,alpha*fck*(1-(1-DG13/eco)^n),alpha*fck),0)</f>
      </c>
      <c r="DJ13" s="12">
        <f>DH13-DI13</f>
      </c>
      <c r="DK13" s="11">
        <f>DJ13*$E13</f>
      </c>
      <c r="DL13" s="11">
        <f>DK13*$D13</f>
      </c>
      <c r="DM13" s="11">
        <f>DK13*$C13</f>
      </c>
      <c r="DN13" s="30">
        <f>PM_Angle!$J$23+PM_Angle!$K$23*$D13+PM_Angle!$L$23*$C13</f>
      </c>
      <c r="DO13" s="12">
        <f>MAX(MIN(Es*DN13,fy),-fy)</f>
      </c>
      <c r="DP13" s="12">
        <f>IF(DN13&gt;0,IF(DN13&lt;=eco,alpha*fck*(1-(1-DN13/eco)^n),alpha*fck),0)</f>
      </c>
      <c r="DQ13" s="12">
        <f>DO13-DP13</f>
      </c>
      <c r="DR13" s="11">
        <f>DQ13*$E13</f>
      </c>
      <c r="DS13" s="11">
        <f>DR13*$D13</f>
      </c>
      <c r="DT13" s="11">
        <f>DR13*$C13</f>
      </c>
      <c r="DU13" s="30">
        <f>PM_Angle!$J$24+PM_Angle!$K$24*$D13+PM_Angle!$L$24*$C13</f>
      </c>
      <c r="DV13" s="12">
        <f>MAX(MIN(Es*DU13,fy),-fy)</f>
      </c>
      <c r="DW13" s="12">
        <f>IF(DU13&gt;0,IF(DU13&lt;=eco,alpha*fck*(1-(1-DU13/eco)^n),alpha*fck),0)</f>
      </c>
      <c r="DX13" s="12">
        <f>DV13-DW13</f>
      </c>
      <c r="DY13" s="11">
        <f>DX13*$E13</f>
      </c>
      <c r="DZ13" s="11">
        <f>DY13*$D13</f>
      </c>
      <c r="EA13" s="11">
        <f>DY13*$C13</f>
      </c>
      <c r="EB13" s="30">
        <f>PM_Angle!$J$25+PM_Angle!$K$25*$D13+PM_Angle!$L$25*$C13</f>
      </c>
      <c r="EC13" s="12">
        <f>MAX(MIN(Es*EB13,fy),-fy)</f>
      </c>
      <c r="ED13" s="12">
        <f>IF(EB13&gt;0,IF(EB13&lt;=eco,alpha*fck*(1-(1-EB13/eco)^n),alpha*fck),0)</f>
      </c>
      <c r="EE13" s="12">
        <f>EC13-ED13</f>
      </c>
      <c r="EF13" s="11">
        <f>EE13*$E13</f>
      </c>
      <c r="EG13" s="11">
        <f>EF13*$D13</f>
      </c>
      <c r="EH13" s="11">
        <f>EF13*$C13</f>
      </c>
    </row>
    <row r="14" spans="1:138" x14ac:dyDescent="0.25">
      <c r="A14">
        <v>8</v>
      </c>
      <c r="B14" s="12">
        <f>Geometry!C49</f>
      </c>
      <c r="C14" s="12">
        <f>Geometry!D49</f>
      </c>
      <c r="D14" s="12">
        <f>Geometry!E49</f>
      </c>
      <c r="E14" s="12">
        <f>Geometry!F49</f>
      </c>
      <c r="F14" s="30">
        <f>PM_Angle!$J$7+PM_Angle!$K$7*$D14+PM_Angle!$L$7*$C14</f>
      </c>
      <c r="G14" s="12">
        <f>MAX(MIN(Es*F14,fy),-fy)</f>
      </c>
      <c r="H14" s="12">
        <f>IF(F14&gt;0,IF(F14&lt;=eco,alpha*fck*(1-(1-F14/eco)^n),alpha*fck),0)</f>
      </c>
      <c r="I14" s="12">
        <f>G14-H14</f>
      </c>
      <c r="J14" s="11">
        <f>I14*$E14</f>
      </c>
      <c r="K14" s="11">
        <f>J14*$D14</f>
      </c>
      <c r="L14" s="11">
        <f>J14*$C14</f>
      </c>
      <c r="M14" s="30">
        <f>PM_Angle!$J$8+PM_Angle!$K$8*$D14+PM_Angle!$L$8*$C14</f>
      </c>
      <c r="N14" s="12">
        <f>MAX(MIN(Es*M14,fy),-fy)</f>
      </c>
      <c r="O14" s="12">
        <f>IF(M14&gt;0,IF(M14&lt;=eco,alpha*fck*(1-(1-M14/eco)^n),alpha*fck),0)</f>
      </c>
      <c r="P14" s="12">
        <f>N14-O14</f>
      </c>
      <c r="Q14" s="11">
        <f>P14*$E14</f>
      </c>
      <c r="R14" s="11">
        <f>Q14*$D14</f>
      </c>
      <c r="S14" s="11">
        <f>Q14*$C14</f>
      </c>
      <c r="T14" s="30">
        <f>PM_Angle!$J$9+PM_Angle!$K$9*$D14+PM_Angle!$L$9*$C14</f>
      </c>
      <c r="U14" s="12">
        <f>MAX(MIN(Es*T14,fy),-fy)</f>
      </c>
      <c r="V14" s="12">
        <f>IF(T14&gt;0,IF(T14&lt;=eco,alpha*fck*(1-(1-T14/eco)^n),alpha*fck),0)</f>
      </c>
      <c r="W14" s="12">
        <f>U14-V14</f>
      </c>
      <c r="X14" s="11">
        <f>W14*$E14</f>
      </c>
      <c r="Y14" s="11">
        <f>X14*$D14</f>
      </c>
      <c r="Z14" s="11">
        <f>X14*$C14</f>
      </c>
      <c r="AA14" s="30">
        <f>PM_Angle!$J$10+PM_Angle!$K$10*$D14+PM_Angle!$L$10*$C14</f>
      </c>
      <c r="AB14" s="12">
        <f>MAX(MIN(Es*AA14,fy),-fy)</f>
      </c>
      <c r="AC14" s="12">
        <f>IF(AA14&gt;0,IF(AA14&lt;=eco,alpha*fck*(1-(1-AA14/eco)^n),alpha*fck),0)</f>
      </c>
      <c r="AD14" s="12">
        <f>AB14-AC14</f>
      </c>
      <c r="AE14" s="11">
        <f>AD14*$E14</f>
      </c>
      <c r="AF14" s="11">
        <f>AE14*$D14</f>
      </c>
      <c r="AG14" s="11">
        <f>AE14*$C14</f>
      </c>
      <c r="AH14" s="30">
        <f>PM_Angle!$J$11+PM_Angle!$K$11*$D14+PM_Angle!$L$11*$C14</f>
      </c>
      <c r="AI14" s="12">
        <f>MAX(MIN(Es*AH14,fy),-fy)</f>
      </c>
      <c r="AJ14" s="12">
        <f>IF(AH14&gt;0,IF(AH14&lt;=eco,alpha*fck*(1-(1-AH14/eco)^n),alpha*fck),0)</f>
      </c>
      <c r="AK14" s="12">
        <f>AI14-AJ14</f>
      </c>
      <c r="AL14" s="11">
        <f>AK14*$E14</f>
      </c>
      <c r="AM14" s="11">
        <f>AL14*$D14</f>
      </c>
      <c r="AN14" s="11">
        <f>AL14*$C14</f>
      </c>
      <c r="AO14" s="30">
        <f>PM_Angle!$J$12+PM_Angle!$K$12*$D14+PM_Angle!$L$12*$C14</f>
      </c>
      <c r="AP14" s="12">
        <f>MAX(MIN(Es*AO14,fy),-fy)</f>
      </c>
      <c r="AQ14" s="12">
        <f>IF(AO14&gt;0,IF(AO14&lt;=eco,alpha*fck*(1-(1-AO14/eco)^n),alpha*fck),0)</f>
      </c>
      <c r="AR14" s="12">
        <f>AP14-AQ14</f>
      </c>
      <c r="AS14" s="11">
        <f>AR14*$E14</f>
      </c>
      <c r="AT14" s="11">
        <f>AS14*$D14</f>
      </c>
      <c r="AU14" s="11">
        <f>AS14*$C14</f>
      </c>
      <c r="AV14" s="30">
        <f>PM_Angle!$J$13+PM_Angle!$K$13*$D14+PM_Angle!$L$13*$C14</f>
      </c>
      <c r="AW14" s="12">
        <f>MAX(MIN(Es*AV14,fy),-fy)</f>
      </c>
      <c r="AX14" s="12">
        <f>IF(AV14&gt;0,IF(AV14&lt;=eco,alpha*fck*(1-(1-AV14/eco)^n),alpha*fck),0)</f>
      </c>
      <c r="AY14" s="12">
        <f>AW14-AX14</f>
      </c>
      <c r="AZ14" s="11">
        <f>AY14*$E14</f>
      </c>
      <c r="BA14" s="11">
        <f>AZ14*$D14</f>
      </c>
      <c r="BB14" s="11">
        <f>AZ14*$C14</f>
      </c>
      <c r="BC14" s="30">
        <f>PM_Angle!$J$14+PM_Angle!$K$14*$D14+PM_Angle!$L$14*$C14</f>
      </c>
      <c r="BD14" s="12">
        <f>MAX(MIN(Es*BC14,fy),-fy)</f>
      </c>
      <c r="BE14" s="12">
        <f>IF(BC14&gt;0,IF(BC14&lt;=eco,alpha*fck*(1-(1-BC14/eco)^n),alpha*fck),0)</f>
      </c>
      <c r="BF14" s="12">
        <f>BD14-BE14</f>
      </c>
      <c r="BG14" s="11">
        <f>BF14*$E14</f>
      </c>
      <c r="BH14" s="11">
        <f>BG14*$D14</f>
      </c>
      <c r="BI14" s="11">
        <f>BG14*$C14</f>
      </c>
      <c r="BJ14" s="30">
        <f>PM_Angle!$J$15+PM_Angle!$K$15*$D14+PM_Angle!$L$15*$C14</f>
      </c>
      <c r="BK14" s="12">
        <f>MAX(MIN(Es*BJ14,fy),-fy)</f>
      </c>
      <c r="BL14" s="12">
        <f>IF(BJ14&gt;0,IF(BJ14&lt;=eco,alpha*fck*(1-(1-BJ14/eco)^n),alpha*fck),0)</f>
      </c>
      <c r="BM14" s="12">
        <f>BK14-BL14</f>
      </c>
      <c r="BN14" s="11">
        <f>BM14*$E14</f>
      </c>
      <c r="BO14" s="11">
        <f>BN14*$D14</f>
      </c>
      <c r="BP14" s="11">
        <f>BN14*$C14</f>
      </c>
      <c r="BQ14" s="30">
        <f>PM_Angle!$J$16+PM_Angle!$K$16*$D14+PM_Angle!$L$16*$C14</f>
      </c>
      <c r="BR14" s="12">
        <f>MAX(MIN(Es*BQ14,fy),-fy)</f>
      </c>
      <c r="BS14" s="12">
        <f>IF(BQ14&gt;0,IF(BQ14&lt;=eco,alpha*fck*(1-(1-BQ14/eco)^n),alpha*fck),0)</f>
      </c>
      <c r="BT14" s="12">
        <f>BR14-BS14</f>
      </c>
      <c r="BU14" s="11">
        <f>BT14*$E14</f>
      </c>
      <c r="BV14" s="11">
        <f>BU14*$D14</f>
      </c>
      <c r="BW14" s="11">
        <f>BU14*$C14</f>
      </c>
      <c r="BX14" s="30">
        <f>PM_Angle!$J$17+PM_Angle!$K$17*$D14+PM_Angle!$L$17*$C14</f>
      </c>
      <c r="BY14" s="12">
        <f>MAX(MIN(Es*BX14,fy),-fy)</f>
      </c>
      <c r="BZ14" s="12">
        <f>IF(BX14&gt;0,IF(BX14&lt;=eco,alpha*fck*(1-(1-BX14/eco)^n),alpha*fck),0)</f>
      </c>
      <c r="CA14" s="12">
        <f>BY14-BZ14</f>
      </c>
      <c r="CB14" s="11">
        <f>CA14*$E14</f>
      </c>
      <c r="CC14" s="11">
        <f>CB14*$D14</f>
      </c>
      <c r="CD14" s="11">
        <f>CB14*$C14</f>
      </c>
      <c r="CE14" s="30">
        <f>PM_Angle!$J$18+PM_Angle!$K$18*$D14+PM_Angle!$L$18*$C14</f>
      </c>
      <c r="CF14" s="12">
        <f>MAX(MIN(Es*CE14,fy),-fy)</f>
      </c>
      <c r="CG14" s="12">
        <f>IF(CE14&gt;0,IF(CE14&lt;=eco,alpha*fck*(1-(1-CE14/eco)^n),alpha*fck),0)</f>
      </c>
      <c r="CH14" s="12">
        <f>CF14-CG14</f>
      </c>
      <c r="CI14" s="11">
        <f>CH14*$E14</f>
      </c>
      <c r="CJ14" s="11">
        <f>CI14*$D14</f>
      </c>
      <c r="CK14" s="11">
        <f>CI14*$C14</f>
      </c>
      <c r="CL14" s="30">
        <f>PM_Angle!$J$19+PM_Angle!$K$19*$D14+PM_Angle!$L$19*$C14</f>
      </c>
      <c r="CM14" s="12">
        <f>MAX(MIN(Es*CL14,fy),-fy)</f>
      </c>
      <c r="CN14" s="12">
        <f>IF(CL14&gt;0,IF(CL14&lt;=eco,alpha*fck*(1-(1-CL14/eco)^n),alpha*fck),0)</f>
      </c>
      <c r="CO14" s="12">
        <f>CM14-CN14</f>
      </c>
      <c r="CP14" s="11">
        <f>CO14*$E14</f>
      </c>
      <c r="CQ14" s="11">
        <f>CP14*$D14</f>
      </c>
      <c r="CR14" s="11">
        <f>CP14*$C14</f>
      </c>
      <c r="CS14" s="30">
        <f>PM_Angle!$J$20+PM_Angle!$K$20*$D14+PM_Angle!$L$20*$C14</f>
      </c>
      <c r="CT14" s="12">
        <f>MAX(MIN(Es*CS14,fy),-fy)</f>
      </c>
      <c r="CU14" s="12">
        <f>IF(CS14&gt;0,IF(CS14&lt;=eco,alpha*fck*(1-(1-CS14/eco)^n),alpha*fck),0)</f>
      </c>
      <c r="CV14" s="12">
        <f>CT14-CU14</f>
      </c>
      <c r="CW14" s="11">
        <f>CV14*$E14</f>
      </c>
      <c r="CX14" s="11">
        <f>CW14*$D14</f>
      </c>
      <c r="CY14" s="11">
        <f>CW14*$C14</f>
      </c>
      <c r="CZ14" s="30">
        <f>PM_Angle!$J$21+PM_Angle!$K$21*$D14+PM_Angle!$L$21*$C14</f>
      </c>
      <c r="DA14" s="12">
        <f>MAX(MIN(Es*CZ14,fy),-fy)</f>
      </c>
      <c r="DB14" s="12">
        <f>IF(CZ14&gt;0,IF(CZ14&lt;=eco,alpha*fck*(1-(1-CZ14/eco)^n),alpha*fck),0)</f>
      </c>
      <c r="DC14" s="12">
        <f>DA14-DB14</f>
      </c>
      <c r="DD14" s="11">
        <f>DC14*$E14</f>
      </c>
      <c r="DE14" s="11">
        <f>DD14*$D14</f>
      </c>
      <c r="DF14" s="11">
        <f>DD14*$C14</f>
      </c>
      <c r="DG14" s="30">
        <f>PM_Angle!$J$22+PM_Angle!$K$22*$D14+PM_Angle!$L$22*$C14</f>
      </c>
      <c r="DH14" s="12">
        <f>MAX(MIN(Es*DG14,fy),-fy)</f>
      </c>
      <c r="DI14" s="12">
        <f>IF(DG14&gt;0,IF(DG14&lt;=eco,alpha*fck*(1-(1-DG14/eco)^n),alpha*fck),0)</f>
      </c>
      <c r="DJ14" s="12">
        <f>DH14-DI14</f>
      </c>
      <c r="DK14" s="11">
        <f>DJ14*$E14</f>
      </c>
      <c r="DL14" s="11">
        <f>DK14*$D14</f>
      </c>
      <c r="DM14" s="11">
        <f>DK14*$C14</f>
      </c>
      <c r="DN14" s="30">
        <f>PM_Angle!$J$23+PM_Angle!$K$23*$D14+PM_Angle!$L$23*$C14</f>
      </c>
      <c r="DO14" s="12">
        <f>MAX(MIN(Es*DN14,fy),-fy)</f>
      </c>
      <c r="DP14" s="12">
        <f>IF(DN14&gt;0,IF(DN14&lt;=eco,alpha*fck*(1-(1-DN14/eco)^n),alpha*fck),0)</f>
      </c>
      <c r="DQ14" s="12">
        <f>DO14-DP14</f>
      </c>
      <c r="DR14" s="11">
        <f>DQ14*$E14</f>
      </c>
      <c r="DS14" s="11">
        <f>DR14*$D14</f>
      </c>
      <c r="DT14" s="11">
        <f>DR14*$C14</f>
      </c>
      <c r="DU14" s="30">
        <f>PM_Angle!$J$24+PM_Angle!$K$24*$D14+PM_Angle!$L$24*$C14</f>
      </c>
      <c r="DV14" s="12">
        <f>MAX(MIN(Es*DU14,fy),-fy)</f>
      </c>
      <c r="DW14" s="12">
        <f>IF(DU14&gt;0,IF(DU14&lt;=eco,alpha*fck*(1-(1-DU14/eco)^n),alpha*fck),0)</f>
      </c>
      <c r="DX14" s="12">
        <f>DV14-DW14</f>
      </c>
      <c r="DY14" s="11">
        <f>DX14*$E14</f>
      </c>
      <c r="DZ14" s="11">
        <f>DY14*$D14</f>
      </c>
      <c r="EA14" s="11">
        <f>DY14*$C14</f>
      </c>
      <c r="EB14" s="30">
        <f>PM_Angle!$J$25+PM_Angle!$K$25*$D14+PM_Angle!$L$25*$C14</f>
      </c>
      <c r="EC14" s="12">
        <f>MAX(MIN(Es*EB14,fy),-fy)</f>
      </c>
      <c r="ED14" s="12">
        <f>IF(EB14&gt;0,IF(EB14&lt;=eco,alpha*fck*(1-(1-EB14/eco)^n),alpha*fck),0)</f>
      </c>
      <c r="EE14" s="12">
        <f>EC14-ED14</f>
      </c>
      <c r="EF14" s="11">
        <f>EE14*$E14</f>
      </c>
      <c r="EG14" s="11">
        <f>EF14*$D14</f>
      </c>
      <c r="EH14" s="11">
        <f>EF14*$C14</f>
      </c>
    </row>
    <row r="15" spans="1:138" x14ac:dyDescent="0.25">
      <c r="A15">
        <v>9</v>
      </c>
      <c r="B15" s="12">
        <f>Geometry!C50</f>
      </c>
      <c r="C15" s="12">
        <f>Geometry!D50</f>
      </c>
      <c r="D15" s="12">
        <f>Geometry!E50</f>
      </c>
      <c r="E15" s="12">
        <f>Geometry!F50</f>
      </c>
      <c r="F15" s="30">
        <f>PM_Angle!$J$7+PM_Angle!$K$7*$D15+PM_Angle!$L$7*$C15</f>
      </c>
      <c r="G15" s="12">
        <f>MAX(MIN(Es*F15,fy),-fy)</f>
      </c>
      <c r="H15" s="12">
        <f>IF(F15&gt;0,IF(F15&lt;=eco,alpha*fck*(1-(1-F15/eco)^n),alpha*fck),0)</f>
      </c>
      <c r="I15" s="12">
        <f>G15-H15</f>
      </c>
      <c r="J15" s="11">
        <f>I15*$E15</f>
      </c>
      <c r="K15" s="11">
        <f>J15*$D15</f>
      </c>
      <c r="L15" s="11">
        <f>J15*$C15</f>
      </c>
      <c r="M15" s="30">
        <f>PM_Angle!$J$8+PM_Angle!$K$8*$D15+PM_Angle!$L$8*$C15</f>
      </c>
      <c r="N15" s="12">
        <f>MAX(MIN(Es*M15,fy),-fy)</f>
      </c>
      <c r="O15" s="12">
        <f>IF(M15&gt;0,IF(M15&lt;=eco,alpha*fck*(1-(1-M15/eco)^n),alpha*fck),0)</f>
      </c>
      <c r="P15" s="12">
        <f>N15-O15</f>
      </c>
      <c r="Q15" s="11">
        <f>P15*$E15</f>
      </c>
      <c r="R15" s="11">
        <f>Q15*$D15</f>
      </c>
      <c r="S15" s="11">
        <f>Q15*$C15</f>
      </c>
      <c r="T15" s="30">
        <f>PM_Angle!$J$9+PM_Angle!$K$9*$D15+PM_Angle!$L$9*$C15</f>
      </c>
      <c r="U15" s="12">
        <f>MAX(MIN(Es*T15,fy),-fy)</f>
      </c>
      <c r="V15" s="12">
        <f>IF(T15&gt;0,IF(T15&lt;=eco,alpha*fck*(1-(1-T15/eco)^n),alpha*fck),0)</f>
      </c>
      <c r="W15" s="12">
        <f>U15-V15</f>
      </c>
      <c r="X15" s="11">
        <f>W15*$E15</f>
      </c>
      <c r="Y15" s="11">
        <f>X15*$D15</f>
      </c>
      <c r="Z15" s="11">
        <f>X15*$C15</f>
      </c>
      <c r="AA15" s="30">
        <f>PM_Angle!$J$10+PM_Angle!$K$10*$D15+PM_Angle!$L$10*$C15</f>
      </c>
      <c r="AB15" s="12">
        <f>MAX(MIN(Es*AA15,fy),-fy)</f>
      </c>
      <c r="AC15" s="12">
        <f>IF(AA15&gt;0,IF(AA15&lt;=eco,alpha*fck*(1-(1-AA15/eco)^n),alpha*fck),0)</f>
      </c>
      <c r="AD15" s="12">
        <f>AB15-AC15</f>
      </c>
      <c r="AE15" s="11">
        <f>AD15*$E15</f>
      </c>
      <c r="AF15" s="11">
        <f>AE15*$D15</f>
      </c>
      <c r="AG15" s="11">
        <f>AE15*$C15</f>
      </c>
      <c r="AH15" s="30">
        <f>PM_Angle!$J$11+PM_Angle!$K$11*$D15+PM_Angle!$L$11*$C15</f>
      </c>
      <c r="AI15" s="12">
        <f>MAX(MIN(Es*AH15,fy),-fy)</f>
      </c>
      <c r="AJ15" s="12">
        <f>IF(AH15&gt;0,IF(AH15&lt;=eco,alpha*fck*(1-(1-AH15/eco)^n),alpha*fck),0)</f>
      </c>
      <c r="AK15" s="12">
        <f>AI15-AJ15</f>
      </c>
      <c r="AL15" s="11">
        <f>AK15*$E15</f>
      </c>
      <c r="AM15" s="11">
        <f>AL15*$D15</f>
      </c>
      <c r="AN15" s="11">
        <f>AL15*$C15</f>
      </c>
      <c r="AO15" s="30">
        <f>PM_Angle!$J$12+PM_Angle!$K$12*$D15+PM_Angle!$L$12*$C15</f>
      </c>
      <c r="AP15" s="12">
        <f>MAX(MIN(Es*AO15,fy),-fy)</f>
      </c>
      <c r="AQ15" s="12">
        <f>IF(AO15&gt;0,IF(AO15&lt;=eco,alpha*fck*(1-(1-AO15/eco)^n),alpha*fck),0)</f>
      </c>
      <c r="AR15" s="12">
        <f>AP15-AQ15</f>
      </c>
      <c r="AS15" s="11">
        <f>AR15*$E15</f>
      </c>
      <c r="AT15" s="11">
        <f>AS15*$D15</f>
      </c>
      <c r="AU15" s="11">
        <f>AS15*$C15</f>
      </c>
      <c r="AV15" s="30">
        <f>PM_Angle!$J$13+PM_Angle!$K$13*$D15+PM_Angle!$L$13*$C15</f>
      </c>
      <c r="AW15" s="12">
        <f>MAX(MIN(Es*AV15,fy),-fy)</f>
      </c>
      <c r="AX15" s="12">
        <f>IF(AV15&gt;0,IF(AV15&lt;=eco,alpha*fck*(1-(1-AV15/eco)^n),alpha*fck),0)</f>
      </c>
      <c r="AY15" s="12">
        <f>AW15-AX15</f>
      </c>
      <c r="AZ15" s="11">
        <f>AY15*$E15</f>
      </c>
      <c r="BA15" s="11">
        <f>AZ15*$D15</f>
      </c>
      <c r="BB15" s="11">
        <f>AZ15*$C15</f>
      </c>
      <c r="BC15" s="30">
        <f>PM_Angle!$J$14+PM_Angle!$K$14*$D15+PM_Angle!$L$14*$C15</f>
      </c>
      <c r="BD15" s="12">
        <f>MAX(MIN(Es*BC15,fy),-fy)</f>
      </c>
      <c r="BE15" s="12">
        <f>IF(BC15&gt;0,IF(BC15&lt;=eco,alpha*fck*(1-(1-BC15/eco)^n),alpha*fck),0)</f>
      </c>
      <c r="BF15" s="12">
        <f>BD15-BE15</f>
      </c>
      <c r="BG15" s="11">
        <f>BF15*$E15</f>
      </c>
      <c r="BH15" s="11">
        <f>BG15*$D15</f>
      </c>
      <c r="BI15" s="11">
        <f>BG15*$C15</f>
      </c>
      <c r="BJ15" s="30">
        <f>PM_Angle!$J$15+PM_Angle!$K$15*$D15+PM_Angle!$L$15*$C15</f>
      </c>
      <c r="BK15" s="12">
        <f>MAX(MIN(Es*BJ15,fy),-fy)</f>
      </c>
      <c r="BL15" s="12">
        <f>IF(BJ15&gt;0,IF(BJ15&lt;=eco,alpha*fck*(1-(1-BJ15/eco)^n),alpha*fck),0)</f>
      </c>
      <c r="BM15" s="12">
        <f>BK15-BL15</f>
      </c>
      <c r="BN15" s="11">
        <f>BM15*$E15</f>
      </c>
      <c r="BO15" s="11">
        <f>BN15*$D15</f>
      </c>
      <c r="BP15" s="11">
        <f>BN15*$C15</f>
      </c>
      <c r="BQ15" s="30">
        <f>PM_Angle!$J$16+PM_Angle!$K$16*$D15+PM_Angle!$L$16*$C15</f>
      </c>
      <c r="BR15" s="12">
        <f>MAX(MIN(Es*BQ15,fy),-fy)</f>
      </c>
      <c r="BS15" s="12">
        <f>IF(BQ15&gt;0,IF(BQ15&lt;=eco,alpha*fck*(1-(1-BQ15/eco)^n),alpha*fck),0)</f>
      </c>
      <c r="BT15" s="12">
        <f>BR15-BS15</f>
      </c>
      <c r="BU15" s="11">
        <f>BT15*$E15</f>
      </c>
      <c r="BV15" s="11">
        <f>BU15*$D15</f>
      </c>
      <c r="BW15" s="11">
        <f>BU15*$C15</f>
      </c>
      <c r="BX15" s="30">
        <f>PM_Angle!$J$17+PM_Angle!$K$17*$D15+PM_Angle!$L$17*$C15</f>
      </c>
      <c r="BY15" s="12">
        <f>MAX(MIN(Es*BX15,fy),-fy)</f>
      </c>
      <c r="BZ15" s="12">
        <f>IF(BX15&gt;0,IF(BX15&lt;=eco,alpha*fck*(1-(1-BX15/eco)^n),alpha*fck),0)</f>
      </c>
      <c r="CA15" s="12">
        <f>BY15-BZ15</f>
      </c>
      <c r="CB15" s="11">
        <f>CA15*$E15</f>
      </c>
      <c r="CC15" s="11">
        <f>CB15*$D15</f>
      </c>
      <c r="CD15" s="11">
        <f>CB15*$C15</f>
      </c>
      <c r="CE15" s="30">
        <f>PM_Angle!$J$18+PM_Angle!$K$18*$D15+PM_Angle!$L$18*$C15</f>
      </c>
      <c r="CF15" s="12">
        <f>MAX(MIN(Es*CE15,fy),-fy)</f>
      </c>
      <c r="CG15" s="12">
        <f>IF(CE15&gt;0,IF(CE15&lt;=eco,alpha*fck*(1-(1-CE15/eco)^n),alpha*fck),0)</f>
      </c>
      <c r="CH15" s="12">
        <f>CF15-CG15</f>
      </c>
      <c r="CI15" s="11">
        <f>CH15*$E15</f>
      </c>
      <c r="CJ15" s="11">
        <f>CI15*$D15</f>
      </c>
      <c r="CK15" s="11">
        <f>CI15*$C15</f>
      </c>
      <c r="CL15" s="30">
        <f>PM_Angle!$J$19+PM_Angle!$K$19*$D15+PM_Angle!$L$19*$C15</f>
      </c>
      <c r="CM15" s="12">
        <f>MAX(MIN(Es*CL15,fy),-fy)</f>
      </c>
      <c r="CN15" s="12">
        <f>IF(CL15&gt;0,IF(CL15&lt;=eco,alpha*fck*(1-(1-CL15/eco)^n),alpha*fck),0)</f>
      </c>
      <c r="CO15" s="12">
        <f>CM15-CN15</f>
      </c>
      <c r="CP15" s="11">
        <f>CO15*$E15</f>
      </c>
      <c r="CQ15" s="11">
        <f>CP15*$D15</f>
      </c>
      <c r="CR15" s="11">
        <f>CP15*$C15</f>
      </c>
      <c r="CS15" s="30">
        <f>PM_Angle!$J$20+PM_Angle!$K$20*$D15+PM_Angle!$L$20*$C15</f>
      </c>
      <c r="CT15" s="12">
        <f>MAX(MIN(Es*CS15,fy),-fy)</f>
      </c>
      <c r="CU15" s="12">
        <f>IF(CS15&gt;0,IF(CS15&lt;=eco,alpha*fck*(1-(1-CS15/eco)^n),alpha*fck),0)</f>
      </c>
      <c r="CV15" s="12">
        <f>CT15-CU15</f>
      </c>
      <c r="CW15" s="11">
        <f>CV15*$E15</f>
      </c>
      <c r="CX15" s="11">
        <f>CW15*$D15</f>
      </c>
      <c r="CY15" s="11">
        <f>CW15*$C15</f>
      </c>
      <c r="CZ15" s="30">
        <f>PM_Angle!$J$21+PM_Angle!$K$21*$D15+PM_Angle!$L$21*$C15</f>
      </c>
      <c r="DA15" s="12">
        <f>MAX(MIN(Es*CZ15,fy),-fy)</f>
      </c>
      <c r="DB15" s="12">
        <f>IF(CZ15&gt;0,IF(CZ15&lt;=eco,alpha*fck*(1-(1-CZ15/eco)^n),alpha*fck),0)</f>
      </c>
      <c r="DC15" s="12">
        <f>DA15-DB15</f>
      </c>
      <c r="DD15" s="11">
        <f>DC15*$E15</f>
      </c>
      <c r="DE15" s="11">
        <f>DD15*$D15</f>
      </c>
      <c r="DF15" s="11">
        <f>DD15*$C15</f>
      </c>
      <c r="DG15" s="30">
        <f>PM_Angle!$J$22+PM_Angle!$K$22*$D15+PM_Angle!$L$22*$C15</f>
      </c>
      <c r="DH15" s="12">
        <f>MAX(MIN(Es*DG15,fy),-fy)</f>
      </c>
      <c r="DI15" s="12">
        <f>IF(DG15&gt;0,IF(DG15&lt;=eco,alpha*fck*(1-(1-DG15/eco)^n),alpha*fck),0)</f>
      </c>
      <c r="DJ15" s="12">
        <f>DH15-DI15</f>
      </c>
      <c r="DK15" s="11">
        <f>DJ15*$E15</f>
      </c>
      <c r="DL15" s="11">
        <f>DK15*$D15</f>
      </c>
      <c r="DM15" s="11">
        <f>DK15*$C15</f>
      </c>
      <c r="DN15" s="30">
        <f>PM_Angle!$J$23+PM_Angle!$K$23*$D15+PM_Angle!$L$23*$C15</f>
      </c>
      <c r="DO15" s="12">
        <f>MAX(MIN(Es*DN15,fy),-fy)</f>
      </c>
      <c r="DP15" s="12">
        <f>IF(DN15&gt;0,IF(DN15&lt;=eco,alpha*fck*(1-(1-DN15/eco)^n),alpha*fck),0)</f>
      </c>
      <c r="DQ15" s="12">
        <f>DO15-DP15</f>
      </c>
      <c r="DR15" s="11">
        <f>DQ15*$E15</f>
      </c>
      <c r="DS15" s="11">
        <f>DR15*$D15</f>
      </c>
      <c r="DT15" s="11">
        <f>DR15*$C15</f>
      </c>
      <c r="DU15" s="30">
        <f>PM_Angle!$J$24+PM_Angle!$K$24*$D15+PM_Angle!$L$24*$C15</f>
      </c>
      <c r="DV15" s="12">
        <f>MAX(MIN(Es*DU15,fy),-fy)</f>
      </c>
      <c r="DW15" s="12">
        <f>IF(DU15&gt;0,IF(DU15&lt;=eco,alpha*fck*(1-(1-DU15/eco)^n),alpha*fck),0)</f>
      </c>
      <c r="DX15" s="12">
        <f>DV15-DW15</f>
      </c>
      <c r="DY15" s="11">
        <f>DX15*$E15</f>
      </c>
      <c r="DZ15" s="11">
        <f>DY15*$D15</f>
      </c>
      <c r="EA15" s="11">
        <f>DY15*$C15</f>
      </c>
      <c r="EB15" s="30">
        <f>PM_Angle!$J$25+PM_Angle!$K$25*$D15+PM_Angle!$L$25*$C15</f>
      </c>
      <c r="EC15" s="12">
        <f>MAX(MIN(Es*EB15,fy),-fy)</f>
      </c>
      <c r="ED15" s="12">
        <f>IF(EB15&gt;0,IF(EB15&lt;=eco,alpha*fck*(1-(1-EB15/eco)^n),alpha*fck),0)</f>
      </c>
      <c r="EE15" s="12">
        <f>EC15-ED15</f>
      </c>
      <c r="EF15" s="11">
        <f>EE15*$E15</f>
      </c>
      <c r="EG15" s="11">
        <f>EF15*$D15</f>
      </c>
      <c r="EH15" s="11">
        <f>EF15*$C15</f>
      </c>
    </row>
    <row r="16" spans="1:138" x14ac:dyDescent="0.25">
      <c r="A16">
        <v>10</v>
      </c>
      <c r="B16" s="12">
        <f>Geometry!C51</f>
      </c>
      <c r="C16" s="12">
        <f>Geometry!D51</f>
      </c>
      <c r="D16" s="12">
        <f>Geometry!E51</f>
      </c>
      <c r="E16" s="12">
        <f>Geometry!F51</f>
      </c>
      <c r="F16" s="30">
        <f>PM_Angle!$J$7+PM_Angle!$K$7*$D16+PM_Angle!$L$7*$C16</f>
      </c>
      <c r="G16" s="12">
        <f>MAX(MIN(Es*F16,fy),-fy)</f>
      </c>
      <c r="H16" s="12">
        <f>IF(F16&gt;0,IF(F16&lt;=eco,alpha*fck*(1-(1-F16/eco)^n),alpha*fck),0)</f>
      </c>
      <c r="I16" s="12">
        <f>G16-H16</f>
      </c>
      <c r="J16" s="11">
        <f>I16*$E16</f>
      </c>
      <c r="K16" s="11">
        <f>J16*$D16</f>
      </c>
      <c r="L16" s="11">
        <f>J16*$C16</f>
      </c>
      <c r="M16" s="30">
        <f>PM_Angle!$J$8+PM_Angle!$K$8*$D16+PM_Angle!$L$8*$C16</f>
      </c>
      <c r="N16" s="12">
        <f>MAX(MIN(Es*M16,fy),-fy)</f>
      </c>
      <c r="O16" s="12">
        <f>IF(M16&gt;0,IF(M16&lt;=eco,alpha*fck*(1-(1-M16/eco)^n),alpha*fck),0)</f>
      </c>
      <c r="P16" s="12">
        <f>N16-O16</f>
      </c>
      <c r="Q16" s="11">
        <f>P16*$E16</f>
      </c>
      <c r="R16" s="11">
        <f>Q16*$D16</f>
      </c>
      <c r="S16" s="11">
        <f>Q16*$C16</f>
      </c>
      <c r="T16" s="30">
        <f>PM_Angle!$J$9+PM_Angle!$K$9*$D16+PM_Angle!$L$9*$C16</f>
      </c>
      <c r="U16" s="12">
        <f>MAX(MIN(Es*T16,fy),-fy)</f>
      </c>
      <c r="V16" s="12">
        <f>IF(T16&gt;0,IF(T16&lt;=eco,alpha*fck*(1-(1-T16/eco)^n),alpha*fck),0)</f>
      </c>
      <c r="W16" s="12">
        <f>U16-V16</f>
      </c>
      <c r="X16" s="11">
        <f>W16*$E16</f>
      </c>
      <c r="Y16" s="11">
        <f>X16*$D16</f>
      </c>
      <c r="Z16" s="11">
        <f>X16*$C16</f>
      </c>
      <c r="AA16" s="30">
        <f>PM_Angle!$J$10+PM_Angle!$K$10*$D16+PM_Angle!$L$10*$C16</f>
      </c>
      <c r="AB16" s="12">
        <f>MAX(MIN(Es*AA16,fy),-fy)</f>
      </c>
      <c r="AC16" s="12">
        <f>IF(AA16&gt;0,IF(AA16&lt;=eco,alpha*fck*(1-(1-AA16/eco)^n),alpha*fck),0)</f>
      </c>
      <c r="AD16" s="12">
        <f>AB16-AC16</f>
      </c>
      <c r="AE16" s="11">
        <f>AD16*$E16</f>
      </c>
      <c r="AF16" s="11">
        <f>AE16*$D16</f>
      </c>
      <c r="AG16" s="11">
        <f>AE16*$C16</f>
      </c>
      <c r="AH16" s="30">
        <f>PM_Angle!$J$11+PM_Angle!$K$11*$D16+PM_Angle!$L$11*$C16</f>
      </c>
      <c r="AI16" s="12">
        <f>MAX(MIN(Es*AH16,fy),-fy)</f>
      </c>
      <c r="AJ16" s="12">
        <f>IF(AH16&gt;0,IF(AH16&lt;=eco,alpha*fck*(1-(1-AH16/eco)^n),alpha*fck),0)</f>
      </c>
      <c r="AK16" s="12">
        <f>AI16-AJ16</f>
      </c>
      <c r="AL16" s="11">
        <f>AK16*$E16</f>
      </c>
      <c r="AM16" s="11">
        <f>AL16*$D16</f>
      </c>
      <c r="AN16" s="11">
        <f>AL16*$C16</f>
      </c>
      <c r="AO16" s="30">
        <f>PM_Angle!$J$12+PM_Angle!$K$12*$D16+PM_Angle!$L$12*$C16</f>
      </c>
      <c r="AP16" s="12">
        <f>MAX(MIN(Es*AO16,fy),-fy)</f>
      </c>
      <c r="AQ16" s="12">
        <f>IF(AO16&gt;0,IF(AO16&lt;=eco,alpha*fck*(1-(1-AO16/eco)^n),alpha*fck),0)</f>
      </c>
      <c r="AR16" s="12">
        <f>AP16-AQ16</f>
      </c>
      <c r="AS16" s="11">
        <f>AR16*$E16</f>
      </c>
      <c r="AT16" s="11">
        <f>AS16*$D16</f>
      </c>
      <c r="AU16" s="11">
        <f>AS16*$C16</f>
      </c>
      <c r="AV16" s="30">
        <f>PM_Angle!$J$13+PM_Angle!$K$13*$D16+PM_Angle!$L$13*$C16</f>
      </c>
      <c r="AW16" s="12">
        <f>MAX(MIN(Es*AV16,fy),-fy)</f>
      </c>
      <c r="AX16" s="12">
        <f>IF(AV16&gt;0,IF(AV16&lt;=eco,alpha*fck*(1-(1-AV16/eco)^n),alpha*fck),0)</f>
      </c>
      <c r="AY16" s="12">
        <f>AW16-AX16</f>
      </c>
      <c r="AZ16" s="11">
        <f>AY16*$E16</f>
      </c>
      <c r="BA16" s="11">
        <f>AZ16*$D16</f>
      </c>
      <c r="BB16" s="11">
        <f>AZ16*$C16</f>
      </c>
      <c r="BC16" s="30">
        <f>PM_Angle!$J$14+PM_Angle!$K$14*$D16+PM_Angle!$L$14*$C16</f>
      </c>
      <c r="BD16" s="12">
        <f>MAX(MIN(Es*BC16,fy),-fy)</f>
      </c>
      <c r="BE16" s="12">
        <f>IF(BC16&gt;0,IF(BC16&lt;=eco,alpha*fck*(1-(1-BC16/eco)^n),alpha*fck),0)</f>
      </c>
      <c r="BF16" s="12">
        <f>BD16-BE16</f>
      </c>
      <c r="BG16" s="11">
        <f>BF16*$E16</f>
      </c>
      <c r="BH16" s="11">
        <f>BG16*$D16</f>
      </c>
      <c r="BI16" s="11">
        <f>BG16*$C16</f>
      </c>
      <c r="BJ16" s="30">
        <f>PM_Angle!$J$15+PM_Angle!$K$15*$D16+PM_Angle!$L$15*$C16</f>
      </c>
      <c r="BK16" s="12">
        <f>MAX(MIN(Es*BJ16,fy),-fy)</f>
      </c>
      <c r="BL16" s="12">
        <f>IF(BJ16&gt;0,IF(BJ16&lt;=eco,alpha*fck*(1-(1-BJ16/eco)^n),alpha*fck),0)</f>
      </c>
      <c r="BM16" s="12">
        <f>BK16-BL16</f>
      </c>
      <c r="BN16" s="11">
        <f>BM16*$E16</f>
      </c>
      <c r="BO16" s="11">
        <f>BN16*$D16</f>
      </c>
      <c r="BP16" s="11">
        <f>BN16*$C16</f>
      </c>
      <c r="BQ16" s="30">
        <f>PM_Angle!$J$16+PM_Angle!$K$16*$D16+PM_Angle!$L$16*$C16</f>
      </c>
      <c r="BR16" s="12">
        <f>MAX(MIN(Es*BQ16,fy),-fy)</f>
      </c>
      <c r="BS16" s="12">
        <f>IF(BQ16&gt;0,IF(BQ16&lt;=eco,alpha*fck*(1-(1-BQ16/eco)^n),alpha*fck),0)</f>
      </c>
      <c r="BT16" s="12">
        <f>BR16-BS16</f>
      </c>
      <c r="BU16" s="11">
        <f>BT16*$E16</f>
      </c>
      <c r="BV16" s="11">
        <f>BU16*$D16</f>
      </c>
      <c r="BW16" s="11">
        <f>BU16*$C16</f>
      </c>
      <c r="BX16" s="30">
        <f>PM_Angle!$J$17+PM_Angle!$K$17*$D16+PM_Angle!$L$17*$C16</f>
      </c>
      <c r="BY16" s="12">
        <f>MAX(MIN(Es*BX16,fy),-fy)</f>
      </c>
      <c r="BZ16" s="12">
        <f>IF(BX16&gt;0,IF(BX16&lt;=eco,alpha*fck*(1-(1-BX16/eco)^n),alpha*fck),0)</f>
      </c>
      <c r="CA16" s="12">
        <f>BY16-BZ16</f>
      </c>
      <c r="CB16" s="11">
        <f>CA16*$E16</f>
      </c>
      <c r="CC16" s="11">
        <f>CB16*$D16</f>
      </c>
      <c r="CD16" s="11">
        <f>CB16*$C16</f>
      </c>
      <c r="CE16" s="30">
        <f>PM_Angle!$J$18+PM_Angle!$K$18*$D16+PM_Angle!$L$18*$C16</f>
      </c>
      <c r="CF16" s="12">
        <f>MAX(MIN(Es*CE16,fy),-fy)</f>
      </c>
      <c r="CG16" s="12">
        <f>IF(CE16&gt;0,IF(CE16&lt;=eco,alpha*fck*(1-(1-CE16/eco)^n),alpha*fck),0)</f>
      </c>
      <c r="CH16" s="12">
        <f>CF16-CG16</f>
      </c>
      <c r="CI16" s="11">
        <f>CH16*$E16</f>
      </c>
      <c r="CJ16" s="11">
        <f>CI16*$D16</f>
      </c>
      <c r="CK16" s="11">
        <f>CI16*$C16</f>
      </c>
      <c r="CL16" s="30">
        <f>PM_Angle!$J$19+PM_Angle!$K$19*$D16+PM_Angle!$L$19*$C16</f>
      </c>
      <c r="CM16" s="12">
        <f>MAX(MIN(Es*CL16,fy),-fy)</f>
      </c>
      <c r="CN16" s="12">
        <f>IF(CL16&gt;0,IF(CL16&lt;=eco,alpha*fck*(1-(1-CL16/eco)^n),alpha*fck),0)</f>
      </c>
      <c r="CO16" s="12">
        <f>CM16-CN16</f>
      </c>
      <c r="CP16" s="11">
        <f>CO16*$E16</f>
      </c>
      <c r="CQ16" s="11">
        <f>CP16*$D16</f>
      </c>
      <c r="CR16" s="11">
        <f>CP16*$C16</f>
      </c>
      <c r="CS16" s="30">
        <f>PM_Angle!$J$20+PM_Angle!$K$20*$D16+PM_Angle!$L$20*$C16</f>
      </c>
      <c r="CT16" s="12">
        <f>MAX(MIN(Es*CS16,fy),-fy)</f>
      </c>
      <c r="CU16" s="12">
        <f>IF(CS16&gt;0,IF(CS16&lt;=eco,alpha*fck*(1-(1-CS16/eco)^n),alpha*fck),0)</f>
      </c>
      <c r="CV16" s="12">
        <f>CT16-CU16</f>
      </c>
      <c r="CW16" s="11">
        <f>CV16*$E16</f>
      </c>
      <c r="CX16" s="11">
        <f>CW16*$D16</f>
      </c>
      <c r="CY16" s="11">
        <f>CW16*$C16</f>
      </c>
      <c r="CZ16" s="30">
        <f>PM_Angle!$J$21+PM_Angle!$K$21*$D16+PM_Angle!$L$21*$C16</f>
      </c>
      <c r="DA16" s="12">
        <f>MAX(MIN(Es*CZ16,fy),-fy)</f>
      </c>
      <c r="DB16" s="12">
        <f>IF(CZ16&gt;0,IF(CZ16&lt;=eco,alpha*fck*(1-(1-CZ16/eco)^n),alpha*fck),0)</f>
      </c>
      <c r="DC16" s="12">
        <f>DA16-DB16</f>
      </c>
      <c r="DD16" s="11">
        <f>DC16*$E16</f>
      </c>
      <c r="DE16" s="11">
        <f>DD16*$D16</f>
      </c>
      <c r="DF16" s="11">
        <f>DD16*$C16</f>
      </c>
      <c r="DG16" s="30">
        <f>PM_Angle!$J$22+PM_Angle!$K$22*$D16+PM_Angle!$L$22*$C16</f>
      </c>
      <c r="DH16" s="12">
        <f>MAX(MIN(Es*DG16,fy),-fy)</f>
      </c>
      <c r="DI16" s="12">
        <f>IF(DG16&gt;0,IF(DG16&lt;=eco,alpha*fck*(1-(1-DG16/eco)^n),alpha*fck),0)</f>
      </c>
      <c r="DJ16" s="12">
        <f>DH16-DI16</f>
      </c>
      <c r="DK16" s="11">
        <f>DJ16*$E16</f>
      </c>
      <c r="DL16" s="11">
        <f>DK16*$D16</f>
      </c>
      <c r="DM16" s="11">
        <f>DK16*$C16</f>
      </c>
      <c r="DN16" s="30">
        <f>PM_Angle!$J$23+PM_Angle!$K$23*$D16+PM_Angle!$L$23*$C16</f>
      </c>
      <c r="DO16" s="12">
        <f>MAX(MIN(Es*DN16,fy),-fy)</f>
      </c>
      <c r="DP16" s="12">
        <f>IF(DN16&gt;0,IF(DN16&lt;=eco,alpha*fck*(1-(1-DN16/eco)^n),alpha*fck),0)</f>
      </c>
      <c r="DQ16" s="12">
        <f>DO16-DP16</f>
      </c>
      <c r="DR16" s="11">
        <f>DQ16*$E16</f>
      </c>
      <c r="DS16" s="11">
        <f>DR16*$D16</f>
      </c>
      <c r="DT16" s="11">
        <f>DR16*$C16</f>
      </c>
      <c r="DU16" s="30">
        <f>PM_Angle!$J$24+PM_Angle!$K$24*$D16+PM_Angle!$L$24*$C16</f>
      </c>
      <c r="DV16" s="12">
        <f>MAX(MIN(Es*DU16,fy),-fy)</f>
      </c>
      <c r="DW16" s="12">
        <f>IF(DU16&gt;0,IF(DU16&lt;=eco,alpha*fck*(1-(1-DU16/eco)^n),alpha*fck),0)</f>
      </c>
      <c r="DX16" s="12">
        <f>DV16-DW16</f>
      </c>
      <c r="DY16" s="11">
        <f>DX16*$E16</f>
      </c>
      <c r="DZ16" s="11">
        <f>DY16*$D16</f>
      </c>
      <c r="EA16" s="11">
        <f>DY16*$C16</f>
      </c>
      <c r="EB16" s="30">
        <f>PM_Angle!$J$25+PM_Angle!$K$25*$D16+PM_Angle!$L$25*$C16</f>
      </c>
      <c r="EC16" s="12">
        <f>MAX(MIN(Es*EB16,fy),-fy)</f>
      </c>
      <c r="ED16" s="12">
        <f>IF(EB16&gt;0,IF(EB16&lt;=eco,alpha*fck*(1-(1-EB16/eco)^n),alpha*fck),0)</f>
      </c>
      <c r="EE16" s="12">
        <f>EC16-ED16</f>
      </c>
      <c r="EF16" s="11">
        <f>EE16*$E16</f>
      </c>
      <c r="EG16" s="11">
        <f>EF16*$D16</f>
      </c>
      <c r="EH16" s="11">
        <f>EF16*$C16</f>
      </c>
    </row>
    <row r="17" spans="1:138" x14ac:dyDescent="0.25">
      <c r="A17">
        <v>11</v>
      </c>
      <c r="B17" s="12">
        <f>Geometry!C52</f>
      </c>
      <c r="C17" s="12">
        <f>Geometry!D52</f>
      </c>
      <c r="D17" s="12">
        <f>Geometry!E52</f>
      </c>
      <c r="E17" s="12">
        <f>Geometry!F52</f>
      </c>
      <c r="F17" s="30">
        <f>PM_Angle!$J$7+PM_Angle!$K$7*$D17+PM_Angle!$L$7*$C17</f>
      </c>
      <c r="G17" s="12">
        <f>MAX(MIN(Es*F17,fy),-fy)</f>
      </c>
      <c r="H17" s="12">
        <f>IF(F17&gt;0,IF(F17&lt;=eco,alpha*fck*(1-(1-F17/eco)^n),alpha*fck),0)</f>
      </c>
      <c r="I17" s="12">
        <f>G17-H17</f>
      </c>
      <c r="J17" s="11">
        <f>I17*$E17</f>
      </c>
      <c r="K17" s="11">
        <f>J17*$D17</f>
      </c>
      <c r="L17" s="11">
        <f>J17*$C17</f>
      </c>
      <c r="M17" s="30">
        <f>PM_Angle!$J$8+PM_Angle!$K$8*$D17+PM_Angle!$L$8*$C17</f>
      </c>
      <c r="N17" s="12">
        <f>MAX(MIN(Es*M17,fy),-fy)</f>
      </c>
      <c r="O17" s="12">
        <f>IF(M17&gt;0,IF(M17&lt;=eco,alpha*fck*(1-(1-M17/eco)^n),alpha*fck),0)</f>
      </c>
      <c r="P17" s="12">
        <f>N17-O17</f>
      </c>
      <c r="Q17" s="11">
        <f>P17*$E17</f>
      </c>
      <c r="R17" s="11">
        <f>Q17*$D17</f>
      </c>
      <c r="S17" s="11">
        <f>Q17*$C17</f>
      </c>
      <c r="T17" s="30">
        <f>PM_Angle!$J$9+PM_Angle!$K$9*$D17+PM_Angle!$L$9*$C17</f>
      </c>
      <c r="U17" s="12">
        <f>MAX(MIN(Es*T17,fy),-fy)</f>
      </c>
      <c r="V17" s="12">
        <f>IF(T17&gt;0,IF(T17&lt;=eco,alpha*fck*(1-(1-T17/eco)^n),alpha*fck),0)</f>
      </c>
      <c r="W17" s="12">
        <f>U17-V17</f>
      </c>
      <c r="X17" s="11">
        <f>W17*$E17</f>
      </c>
      <c r="Y17" s="11">
        <f>X17*$D17</f>
      </c>
      <c r="Z17" s="11">
        <f>X17*$C17</f>
      </c>
      <c r="AA17" s="30">
        <f>PM_Angle!$J$10+PM_Angle!$K$10*$D17+PM_Angle!$L$10*$C17</f>
      </c>
      <c r="AB17" s="12">
        <f>MAX(MIN(Es*AA17,fy),-fy)</f>
      </c>
      <c r="AC17" s="12">
        <f>IF(AA17&gt;0,IF(AA17&lt;=eco,alpha*fck*(1-(1-AA17/eco)^n),alpha*fck),0)</f>
      </c>
      <c r="AD17" s="12">
        <f>AB17-AC17</f>
      </c>
      <c r="AE17" s="11">
        <f>AD17*$E17</f>
      </c>
      <c r="AF17" s="11">
        <f>AE17*$D17</f>
      </c>
      <c r="AG17" s="11">
        <f>AE17*$C17</f>
      </c>
      <c r="AH17" s="30">
        <f>PM_Angle!$J$11+PM_Angle!$K$11*$D17+PM_Angle!$L$11*$C17</f>
      </c>
      <c r="AI17" s="12">
        <f>MAX(MIN(Es*AH17,fy),-fy)</f>
      </c>
      <c r="AJ17" s="12">
        <f>IF(AH17&gt;0,IF(AH17&lt;=eco,alpha*fck*(1-(1-AH17/eco)^n),alpha*fck),0)</f>
      </c>
      <c r="AK17" s="12">
        <f>AI17-AJ17</f>
      </c>
      <c r="AL17" s="11">
        <f>AK17*$E17</f>
      </c>
      <c r="AM17" s="11">
        <f>AL17*$D17</f>
      </c>
      <c r="AN17" s="11">
        <f>AL17*$C17</f>
      </c>
      <c r="AO17" s="30">
        <f>PM_Angle!$J$12+PM_Angle!$K$12*$D17+PM_Angle!$L$12*$C17</f>
      </c>
      <c r="AP17" s="12">
        <f>MAX(MIN(Es*AO17,fy),-fy)</f>
      </c>
      <c r="AQ17" s="12">
        <f>IF(AO17&gt;0,IF(AO17&lt;=eco,alpha*fck*(1-(1-AO17/eco)^n),alpha*fck),0)</f>
      </c>
      <c r="AR17" s="12">
        <f>AP17-AQ17</f>
      </c>
      <c r="AS17" s="11">
        <f>AR17*$E17</f>
      </c>
      <c r="AT17" s="11">
        <f>AS17*$D17</f>
      </c>
      <c r="AU17" s="11">
        <f>AS17*$C17</f>
      </c>
      <c r="AV17" s="30">
        <f>PM_Angle!$J$13+PM_Angle!$K$13*$D17+PM_Angle!$L$13*$C17</f>
      </c>
      <c r="AW17" s="12">
        <f>MAX(MIN(Es*AV17,fy),-fy)</f>
      </c>
      <c r="AX17" s="12">
        <f>IF(AV17&gt;0,IF(AV17&lt;=eco,alpha*fck*(1-(1-AV17/eco)^n),alpha*fck),0)</f>
      </c>
      <c r="AY17" s="12">
        <f>AW17-AX17</f>
      </c>
      <c r="AZ17" s="11">
        <f>AY17*$E17</f>
      </c>
      <c r="BA17" s="11">
        <f>AZ17*$D17</f>
      </c>
      <c r="BB17" s="11">
        <f>AZ17*$C17</f>
      </c>
      <c r="BC17" s="30">
        <f>PM_Angle!$J$14+PM_Angle!$K$14*$D17+PM_Angle!$L$14*$C17</f>
      </c>
      <c r="BD17" s="12">
        <f>MAX(MIN(Es*BC17,fy),-fy)</f>
      </c>
      <c r="BE17" s="12">
        <f>IF(BC17&gt;0,IF(BC17&lt;=eco,alpha*fck*(1-(1-BC17/eco)^n),alpha*fck),0)</f>
      </c>
      <c r="BF17" s="12">
        <f>BD17-BE17</f>
      </c>
      <c r="BG17" s="11">
        <f>BF17*$E17</f>
      </c>
      <c r="BH17" s="11">
        <f>BG17*$D17</f>
      </c>
      <c r="BI17" s="11">
        <f>BG17*$C17</f>
      </c>
      <c r="BJ17" s="30">
        <f>PM_Angle!$J$15+PM_Angle!$K$15*$D17+PM_Angle!$L$15*$C17</f>
      </c>
      <c r="BK17" s="12">
        <f>MAX(MIN(Es*BJ17,fy),-fy)</f>
      </c>
      <c r="BL17" s="12">
        <f>IF(BJ17&gt;0,IF(BJ17&lt;=eco,alpha*fck*(1-(1-BJ17/eco)^n),alpha*fck),0)</f>
      </c>
      <c r="BM17" s="12">
        <f>BK17-BL17</f>
      </c>
      <c r="BN17" s="11">
        <f>BM17*$E17</f>
      </c>
      <c r="BO17" s="11">
        <f>BN17*$D17</f>
      </c>
      <c r="BP17" s="11">
        <f>BN17*$C17</f>
      </c>
      <c r="BQ17" s="30">
        <f>PM_Angle!$J$16+PM_Angle!$K$16*$D17+PM_Angle!$L$16*$C17</f>
      </c>
      <c r="BR17" s="12">
        <f>MAX(MIN(Es*BQ17,fy),-fy)</f>
      </c>
      <c r="BS17" s="12">
        <f>IF(BQ17&gt;0,IF(BQ17&lt;=eco,alpha*fck*(1-(1-BQ17/eco)^n),alpha*fck),0)</f>
      </c>
      <c r="BT17" s="12">
        <f>BR17-BS17</f>
      </c>
      <c r="BU17" s="11">
        <f>BT17*$E17</f>
      </c>
      <c r="BV17" s="11">
        <f>BU17*$D17</f>
      </c>
      <c r="BW17" s="11">
        <f>BU17*$C17</f>
      </c>
      <c r="BX17" s="30">
        <f>PM_Angle!$J$17+PM_Angle!$K$17*$D17+PM_Angle!$L$17*$C17</f>
      </c>
      <c r="BY17" s="12">
        <f>MAX(MIN(Es*BX17,fy),-fy)</f>
      </c>
      <c r="BZ17" s="12">
        <f>IF(BX17&gt;0,IF(BX17&lt;=eco,alpha*fck*(1-(1-BX17/eco)^n),alpha*fck),0)</f>
      </c>
      <c r="CA17" s="12">
        <f>BY17-BZ17</f>
      </c>
      <c r="CB17" s="11">
        <f>CA17*$E17</f>
      </c>
      <c r="CC17" s="11">
        <f>CB17*$D17</f>
      </c>
      <c r="CD17" s="11">
        <f>CB17*$C17</f>
      </c>
      <c r="CE17" s="30">
        <f>PM_Angle!$J$18+PM_Angle!$K$18*$D17+PM_Angle!$L$18*$C17</f>
      </c>
      <c r="CF17" s="12">
        <f>MAX(MIN(Es*CE17,fy),-fy)</f>
      </c>
      <c r="CG17" s="12">
        <f>IF(CE17&gt;0,IF(CE17&lt;=eco,alpha*fck*(1-(1-CE17/eco)^n),alpha*fck),0)</f>
      </c>
      <c r="CH17" s="12">
        <f>CF17-CG17</f>
      </c>
      <c r="CI17" s="11">
        <f>CH17*$E17</f>
      </c>
      <c r="CJ17" s="11">
        <f>CI17*$D17</f>
      </c>
      <c r="CK17" s="11">
        <f>CI17*$C17</f>
      </c>
      <c r="CL17" s="30">
        <f>PM_Angle!$J$19+PM_Angle!$K$19*$D17+PM_Angle!$L$19*$C17</f>
      </c>
      <c r="CM17" s="12">
        <f>MAX(MIN(Es*CL17,fy),-fy)</f>
      </c>
      <c r="CN17" s="12">
        <f>IF(CL17&gt;0,IF(CL17&lt;=eco,alpha*fck*(1-(1-CL17/eco)^n),alpha*fck),0)</f>
      </c>
      <c r="CO17" s="12">
        <f>CM17-CN17</f>
      </c>
      <c r="CP17" s="11">
        <f>CO17*$E17</f>
      </c>
      <c r="CQ17" s="11">
        <f>CP17*$D17</f>
      </c>
      <c r="CR17" s="11">
        <f>CP17*$C17</f>
      </c>
      <c r="CS17" s="30">
        <f>PM_Angle!$J$20+PM_Angle!$K$20*$D17+PM_Angle!$L$20*$C17</f>
      </c>
      <c r="CT17" s="12">
        <f>MAX(MIN(Es*CS17,fy),-fy)</f>
      </c>
      <c r="CU17" s="12">
        <f>IF(CS17&gt;0,IF(CS17&lt;=eco,alpha*fck*(1-(1-CS17/eco)^n),alpha*fck),0)</f>
      </c>
      <c r="CV17" s="12">
        <f>CT17-CU17</f>
      </c>
      <c r="CW17" s="11">
        <f>CV17*$E17</f>
      </c>
      <c r="CX17" s="11">
        <f>CW17*$D17</f>
      </c>
      <c r="CY17" s="11">
        <f>CW17*$C17</f>
      </c>
      <c r="CZ17" s="30">
        <f>PM_Angle!$J$21+PM_Angle!$K$21*$D17+PM_Angle!$L$21*$C17</f>
      </c>
      <c r="DA17" s="12">
        <f>MAX(MIN(Es*CZ17,fy),-fy)</f>
      </c>
      <c r="DB17" s="12">
        <f>IF(CZ17&gt;0,IF(CZ17&lt;=eco,alpha*fck*(1-(1-CZ17/eco)^n),alpha*fck),0)</f>
      </c>
      <c r="DC17" s="12">
        <f>DA17-DB17</f>
      </c>
      <c r="DD17" s="11">
        <f>DC17*$E17</f>
      </c>
      <c r="DE17" s="11">
        <f>DD17*$D17</f>
      </c>
      <c r="DF17" s="11">
        <f>DD17*$C17</f>
      </c>
      <c r="DG17" s="30">
        <f>PM_Angle!$J$22+PM_Angle!$K$22*$D17+PM_Angle!$L$22*$C17</f>
      </c>
      <c r="DH17" s="12">
        <f>MAX(MIN(Es*DG17,fy),-fy)</f>
      </c>
      <c r="DI17" s="12">
        <f>IF(DG17&gt;0,IF(DG17&lt;=eco,alpha*fck*(1-(1-DG17/eco)^n),alpha*fck),0)</f>
      </c>
      <c r="DJ17" s="12">
        <f>DH17-DI17</f>
      </c>
      <c r="DK17" s="11">
        <f>DJ17*$E17</f>
      </c>
      <c r="DL17" s="11">
        <f>DK17*$D17</f>
      </c>
      <c r="DM17" s="11">
        <f>DK17*$C17</f>
      </c>
      <c r="DN17" s="30">
        <f>PM_Angle!$J$23+PM_Angle!$K$23*$D17+PM_Angle!$L$23*$C17</f>
      </c>
      <c r="DO17" s="12">
        <f>MAX(MIN(Es*DN17,fy),-fy)</f>
      </c>
      <c r="DP17" s="12">
        <f>IF(DN17&gt;0,IF(DN17&lt;=eco,alpha*fck*(1-(1-DN17/eco)^n),alpha*fck),0)</f>
      </c>
      <c r="DQ17" s="12">
        <f>DO17-DP17</f>
      </c>
      <c r="DR17" s="11">
        <f>DQ17*$E17</f>
      </c>
      <c r="DS17" s="11">
        <f>DR17*$D17</f>
      </c>
      <c r="DT17" s="11">
        <f>DR17*$C17</f>
      </c>
      <c r="DU17" s="30">
        <f>PM_Angle!$J$24+PM_Angle!$K$24*$D17+PM_Angle!$L$24*$C17</f>
      </c>
      <c r="DV17" s="12">
        <f>MAX(MIN(Es*DU17,fy),-fy)</f>
      </c>
      <c r="DW17" s="12">
        <f>IF(DU17&gt;0,IF(DU17&lt;=eco,alpha*fck*(1-(1-DU17/eco)^n),alpha*fck),0)</f>
      </c>
      <c r="DX17" s="12">
        <f>DV17-DW17</f>
      </c>
      <c r="DY17" s="11">
        <f>DX17*$E17</f>
      </c>
      <c r="DZ17" s="11">
        <f>DY17*$D17</f>
      </c>
      <c r="EA17" s="11">
        <f>DY17*$C17</f>
      </c>
      <c r="EB17" s="30">
        <f>PM_Angle!$J$25+PM_Angle!$K$25*$D17+PM_Angle!$L$25*$C17</f>
      </c>
      <c r="EC17" s="12">
        <f>MAX(MIN(Es*EB17,fy),-fy)</f>
      </c>
      <c r="ED17" s="12">
        <f>IF(EB17&gt;0,IF(EB17&lt;=eco,alpha*fck*(1-(1-EB17/eco)^n),alpha*fck),0)</f>
      </c>
      <c r="EE17" s="12">
        <f>EC17-ED17</f>
      </c>
      <c r="EF17" s="11">
        <f>EE17*$E17</f>
      </c>
      <c r="EG17" s="11">
        <f>EF17*$D17</f>
      </c>
      <c r="EH17" s="11">
        <f>EF17*$C17</f>
      </c>
    </row>
    <row r="18" spans="1:138" x14ac:dyDescent="0.25">
      <c r="A18">
        <v>12</v>
      </c>
      <c r="B18" s="12">
        <f>Geometry!C53</f>
      </c>
      <c r="C18" s="12">
        <f>Geometry!D53</f>
      </c>
      <c r="D18" s="12">
        <f>Geometry!E53</f>
      </c>
      <c r="E18" s="12">
        <f>Geometry!F53</f>
      </c>
      <c r="F18" s="30">
        <f>PM_Angle!$J$7+PM_Angle!$K$7*$D18+PM_Angle!$L$7*$C18</f>
      </c>
      <c r="G18" s="12">
        <f>MAX(MIN(Es*F18,fy),-fy)</f>
      </c>
      <c r="H18" s="12">
        <f>IF(F18&gt;0,IF(F18&lt;=eco,alpha*fck*(1-(1-F18/eco)^n),alpha*fck),0)</f>
      </c>
      <c r="I18" s="12">
        <f>G18-H18</f>
      </c>
      <c r="J18" s="11">
        <f>I18*$E18</f>
      </c>
      <c r="K18" s="11">
        <f>J18*$D18</f>
      </c>
      <c r="L18" s="11">
        <f>J18*$C18</f>
      </c>
      <c r="M18" s="30">
        <f>PM_Angle!$J$8+PM_Angle!$K$8*$D18+PM_Angle!$L$8*$C18</f>
      </c>
      <c r="N18" s="12">
        <f>MAX(MIN(Es*M18,fy),-fy)</f>
      </c>
      <c r="O18" s="12">
        <f>IF(M18&gt;0,IF(M18&lt;=eco,alpha*fck*(1-(1-M18/eco)^n),alpha*fck),0)</f>
      </c>
      <c r="P18" s="12">
        <f>N18-O18</f>
      </c>
      <c r="Q18" s="11">
        <f>P18*$E18</f>
      </c>
      <c r="R18" s="11">
        <f>Q18*$D18</f>
      </c>
      <c r="S18" s="11">
        <f>Q18*$C18</f>
      </c>
      <c r="T18" s="30">
        <f>PM_Angle!$J$9+PM_Angle!$K$9*$D18+PM_Angle!$L$9*$C18</f>
      </c>
      <c r="U18" s="12">
        <f>MAX(MIN(Es*T18,fy),-fy)</f>
      </c>
      <c r="V18" s="12">
        <f>IF(T18&gt;0,IF(T18&lt;=eco,alpha*fck*(1-(1-T18/eco)^n),alpha*fck),0)</f>
      </c>
      <c r="W18" s="12">
        <f>U18-V18</f>
      </c>
      <c r="X18" s="11">
        <f>W18*$E18</f>
      </c>
      <c r="Y18" s="11">
        <f>X18*$D18</f>
      </c>
      <c r="Z18" s="11">
        <f>X18*$C18</f>
      </c>
      <c r="AA18" s="30">
        <f>PM_Angle!$J$10+PM_Angle!$K$10*$D18+PM_Angle!$L$10*$C18</f>
      </c>
      <c r="AB18" s="12">
        <f>MAX(MIN(Es*AA18,fy),-fy)</f>
      </c>
      <c r="AC18" s="12">
        <f>IF(AA18&gt;0,IF(AA18&lt;=eco,alpha*fck*(1-(1-AA18/eco)^n),alpha*fck),0)</f>
      </c>
      <c r="AD18" s="12">
        <f>AB18-AC18</f>
      </c>
      <c r="AE18" s="11">
        <f>AD18*$E18</f>
      </c>
      <c r="AF18" s="11">
        <f>AE18*$D18</f>
      </c>
      <c r="AG18" s="11">
        <f>AE18*$C18</f>
      </c>
      <c r="AH18" s="30">
        <f>PM_Angle!$J$11+PM_Angle!$K$11*$D18+PM_Angle!$L$11*$C18</f>
      </c>
      <c r="AI18" s="12">
        <f>MAX(MIN(Es*AH18,fy),-fy)</f>
      </c>
      <c r="AJ18" s="12">
        <f>IF(AH18&gt;0,IF(AH18&lt;=eco,alpha*fck*(1-(1-AH18/eco)^n),alpha*fck),0)</f>
      </c>
      <c r="AK18" s="12">
        <f>AI18-AJ18</f>
      </c>
      <c r="AL18" s="11">
        <f>AK18*$E18</f>
      </c>
      <c r="AM18" s="11">
        <f>AL18*$D18</f>
      </c>
      <c r="AN18" s="11">
        <f>AL18*$C18</f>
      </c>
      <c r="AO18" s="30">
        <f>PM_Angle!$J$12+PM_Angle!$K$12*$D18+PM_Angle!$L$12*$C18</f>
      </c>
      <c r="AP18" s="12">
        <f>MAX(MIN(Es*AO18,fy),-fy)</f>
      </c>
      <c r="AQ18" s="12">
        <f>IF(AO18&gt;0,IF(AO18&lt;=eco,alpha*fck*(1-(1-AO18/eco)^n),alpha*fck),0)</f>
      </c>
      <c r="AR18" s="12">
        <f>AP18-AQ18</f>
      </c>
      <c r="AS18" s="11">
        <f>AR18*$E18</f>
      </c>
      <c r="AT18" s="11">
        <f>AS18*$D18</f>
      </c>
      <c r="AU18" s="11">
        <f>AS18*$C18</f>
      </c>
      <c r="AV18" s="30">
        <f>PM_Angle!$J$13+PM_Angle!$K$13*$D18+PM_Angle!$L$13*$C18</f>
      </c>
      <c r="AW18" s="12">
        <f>MAX(MIN(Es*AV18,fy),-fy)</f>
      </c>
      <c r="AX18" s="12">
        <f>IF(AV18&gt;0,IF(AV18&lt;=eco,alpha*fck*(1-(1-AV18/eco)^n),alpha*fck),0)</f>
      </c>
      <c r="AY18" s="12">
        <f>AW18-AX18</f>
      </c>
      <c r="AZ18" s="11">
        <f>AY18*$E18</f>
      </c>
      <c r="BA18" s="11">
        <f>AZ18*$D18</f>
      </c>
      <c r="BB18" s="11">
        <f>AZ18*$C18</f>
      </c>
      <c r="BC18" s="30">
        <f>PM_Angle!$J$14+PM_Angle!$K$14*$D18+PM_Angle!$L$14*$C18</f>
      </c>
      <c r="BD18" s="12">
        <f>MAX(MIN(Es*BC18,fy),-fy)</f>
      </c>
      <c r="BE18" s="12">
        <f>IF(BC18&gt;0,IF(BC18&lt;=eco,alpha*fck*(1-(1-BC18/eco)^n),alpha*fck),0)</f>
      </c>
      <c r="BF18" s="12">
        <f>BD18-BE18</f>
      </c>
      <c r="BG18" s="11">
        <f>BF18*$E18</f>
      </c>
      <c r="BH18" s="11">
        <f>BG18*$D18</f>
      </c>
      <c r="BI18" s="11">
        <f>BG18*$C18</f>
      </c>
      <c r="BJ18" s="30">
        <f>PM_Angle!$J$15+PM_Angle!$K$15*$D18+PM_Angle!$L$15*$C18</f>
      </c>
      <c r="BK18" s="12">
        <f>MAX(MIN(Es*BJ18,fy),-fy)</f>
      </c>
      <c r="BL18" s="12">
        <f>IF(BJ18&gt;0,IF(BJ18&lt;=eco,alpha*fck*(1-(1-BJ18/eco)^n),alpha*fck),0)</f>
      </c>
      <c r="BM18" s="12">
        <f>BK18-BL18</f>
      </c>
      <c r="BN18" s="11">
        <f>BM18*$E18</f>
      </c>
      <c r="BO18" s="11">
        <f>BN18*$D18</f>
      </c>
      <c r="BP18" s="11">
        <f>BN18*$C18</f>
      </c>
      <c r="BQ18" s="30">
        <f>PM_Angle!$J$16+PM_Angle!$K$16*$D18+PM_Angle!$L$16*$C18</f>
      </c>
      <c r="BR18" s="12">
        <f>MAX(MIN(Es*BQ18,fy),-fy)</f>
      </c>
      <c r="BS18" s="12">
        <f>IF(BQ18&gt;0,IF(BQ18&lt;=eco,alpha*fck*(1-(1-BQ18/eco)^n),alpha*fck),0)</f>
      </c>
      <c r="BT18" s="12">
        <f>BR18-BS18</f>
      </c>
      <c r="BU18" s="11">
        <f>BT18*$E18</f>
      </c>
      <c r="BV18" s="11">
        <f>BU18*$D18</f>
      </c>
      <c r="BW18" s="11">
        <f>BU18*$C18</f>
      </c>
      <c r="BX18" s="30">
        <f>PM_Angle!$J$17+PM_Angle!$K$17*$D18+PM_Angle!$L$17*$C18</f>
      </c>
      <c r="BY18" s="12">
        <f>MAX(MIN(Es*BX18,fy),-fy)</f>
      </c>
      <c r="BZ18" s="12">
        <f>IF(BX18&gt;0,IF(BX18&lt;=eco,alpha*fck*(1-(1-BX18/eco)^n),alpha*fck),0)</f>
      </c>
      <c r="CA18" s="12">
        <f>BY18-BZ18</f>
      </c>
      <c r="CB18" s="11">
        <f>CA18*$E18</f>
      </c>
      <c r="CC18" s="11">
        <f>CB18*$D18</f>
      </c>
      <c r="CD18" s="11">
        <f>CB18*$C18</f>
      </c>
      <c r="CE18" s="30">
        <f>PM_Angle!$J$18+PM_Angle!$K$18*$D18+PM_Angle!$L$18*$C18</f>
      </c>
      <c r="CF18" s="12">
        <f>MAX(MIN(Es*CE18,fy),-fy)</f>
      </c>
      <c r="CG18" s="12">
        <f>IF(CE18&gt;0,IF(CE18&lt;=eco,alpha*fck*(1-(1-CE18/eco)^n),alpha*fck),0)</f>
      </c>
      <c r="CH18" s="12">
        <f>CF18-CG18</f>
      </c>
      <c r="CI18" s="11">
        <f>CH18*$E18</f>
      </c>
      <c r="CJ18" s="11">
        <f>CI18*$D18</f>
      </c>
      <c r="CK18" s="11">
        <f>CI18*$C18</f>
      </c>
      <c r="CL18" s="30">
        <f>PM_Angle!$J$19+PM_Angle!$K$19*$D18+PM_Angle!$L$19*$C18</f>
      </c>
      <c r="CM18" s="12">
        <f>MAX(MIN(Es*CL18,fy),-fy)</f>
      </c>
      <c r="CN18" s="12">
        <f>IF(CL18&gt;0,IF(CL18&lt;=eco,alpha*fck*(1-(1-CL18/eco)^n),alpha*fck),0)</f>
      </c>
      <c r="CO18" s="12">
        <f>CM18-CN18</f>
      </c>
      <c r="CP18" s="11">
        <f>CO18*$E18</f>
      </c>
      <c r="CQ18" s="11">
        <f>CP18*$D18</f>
      </c>
      <c r="CR18" s="11">
        <f>CP18*$C18</f>
      </c>
      <c r="CS18" s="30">
        <f>PM_Angle!$J$20+PM_Angle!$K$20*$D18+PM_Angle!$L$20*$C18</f>
      </c>
      <c r="CT18" s="12">
        <f>MAX(MIN(Es*CS18,fy),-fy)</f>
      </c>
      <c r="CU18" s="12">
        <f>IF(CS18&gt;0,IF(CS18&lt;=eco,alpha*fck*(1-(1-CS18/eco)^n),alpha*fck),0)</f>
      </c>
      <c r="CV18" s="12">
        <f>CT18-CU18</f>
      </c>
      <c r="CW18" s="11">
        <f>CV18*$E18</f>
      </c>
      <c r="CX18" s="11">
        <f>CW18*$D18</f>
      </c>
      <c r="CY18" s="11">
        <f>CW18*$C18</f>
      </c>
      <c r="CZ18" s="30">
        <f>PM_Angle!$J$21+PM_Angle!$K$21*$D18+PM_Angle!$L$21*$C18</f>
      </c>
      <c r="DA18" s="12">
        <f>MAX(MIN(Es*CZ18,fy),-fy)</f>
      </c>
      <c r="DB18" s="12">
        <f>IF(CZ18&gt;0,IF(CZ18&lt;=eco,alpha*fck*(1-(1-CZ18/eco)^n),alpha*fck),0)</f>
      </c>
      <c r="DC18" s="12">
        <f>DA18-DB18</f>
      </c>
      <c r="DD18" s="11">
        <f>DC18*$E18</f>
      </c>
      <c r="DE18" s="11">
        <f>DD18*$D18</f>
      </c>
      <c r="DF18" s="11">
        <f>DD18*$C18</f>
      </c>
      <c r="DG18" s="30">
        <f>PM_Angle!$J$22+PM_Angle!$K$22*$D18+PM_Angle!$L$22*$C18</f>
      </c>
      <c r="DH18" s="12">
        <f>MAX(MIN(Es*DG18,fy),-fy)</f>
      </c>
      <c r="DI18" s="12">
        <f>IF(DG18&gt;0,IF(DG18&lt;=eco,alpha*fck*(1-(1-DG18/eco)^n),alpha*fck),0)</f>
      </c>
      <c r="DJ18" s="12">
        <f>DH18-DI18</f>
      </c>
      <c r="DK18" s="11">
        <f>DJ18*$E18</f>
      </c>
      <c r="DL18" s="11">
        <f>DK18*$D18</f>
      </c>
      <c r="DM18" s="11">
        <f>DK18*$C18</f>
      </c>
      <c r="DN18" s="30">
        <f>PM_Angle!$J$23+PM_Angle!$K$23*$D18+PM_Angle!$L$23*$C18</f>
      </c>
      <c r="DO18" s="12">
        <f>MAX(MIN(Es*DN18,fy),-fy)</f>
      </c>
      <c r="DP18" s="12">
        <f>IF(DN18&gt;0,IF(DN18&lt;=eco,alpha*fck*(1-(1-DN18/eco)^n),alpha*fck),0)</f>
      </c>
      <c r="DQ18" s="12">
        <f>DO18-DP18</f>
      </c>
      <c r="DR18" s="11">
        <f>DQ18*$E18</f>
      </c>
      <c r="DS18" s="11">
        <f>DR18*$D18</f>
      </c>
      <c r="DT18" s="11">
        <f>DR18*$C18</f>
      </c>
      <c r="DU18" s="30">
        <f>PM_Angle!$J$24+PM_Angle!$K$24*$D18+PM_Angle!$L$24*$C18</f>
      </c>
      <c r="DV18" s="12">
        <f>MAX(MIN(Es*DU18,fy),-fy)</f>
      </c>
      <c r="DW18" s="12">
        <f>IF(DU18&gt;0,IF(DU18&lt;=eco,alpha*fck*(1-(1-DU18/eco)^n),alpha*fck),0)</f>
      </c>
      <c r="DX18" s="12">
        <f>DV18-DW18</f>
      </c>
      <c r="DY18" s="11">
        <f>DX18*$E18</f>
      </c>
      <c r="DZ18" s="11">
        <f>DY18*$D18</f>
      </c>
      <c r="EA18" s="11">
        <f>DY18*$C18</f>
      </c>
      <c r="EB18" s="30">
        <f>PM_Angle!$J$25+PM_Angle!$K$25*$D18+PM_Angle!$L$25*$C18</f>
      </c>
      <c r="EC18" s="12">
        <f>MAX(MIN(Es*EB18,fy),-fy)</f>
      </c>
      <c r="ED18" s="12">
        <f>IF(EB18&gt;0,IF(EB18&lt;=eco,alpha*fck*(1-(1-EB18/eco)^n),alpha*fck),0)</f>
      </c>
      <c r="EE18" s="12">
        <f>EC18-ED18</f>
      </c>
      <c r="EF18" s="11">
        <f>EE18*$E18</f>
      </c>
      <c r="EG18" s="11">
        <f>EF18*$D18</f>
      </c>
      <c r="EH18" s="11">
        <f>EF18*$C18</f>
      </c>
    </row>
    <row r="19" spans="1:138" x14ac:dyDescent="0.25">
      <c r="A19">
        <v>13</v>
      </c>
      <c r="B19" s="12">
        <f>Geometry!C54</f>
      </c>
      <c r="C19" s="12">
        <f>Geometry!D54</f>
      </c>
      <c r="D19" s="12">
        <f>Geometry!E54</f>
      </c>
      <c r="E19" s="12">
        <f>Geometry!F54</f>
      </c>
      <c r="F19" s="30">
        <f>PM_Angle!$J$7+PM_Angle!$K$7*$D19+PM_Angle!$L$7*$C19</f>
      </c>
      <c r="G19" s="12">
        <f>MAX(MIN(Es*F19,fy),-fy)</f>
      </c>
      <c r="H19" s="12">
        <f>IF(F19&gt;0,IF(F19&lt;=eco,alpha*fck*(1-(1-F19/eco)^n),alpha*fck),0)</f>
      </c>
      <c r="I19" s="12">
        <f>G19-H19</f>
      </c>
      <c r="J19" s="11">
        <f>I19*$E19</f>
      </c>
      <c r="K19" s="11">
        <f>J19*$D19</f>
      </c>
      <c r="L19" s="11">
        <f>J19*$C19</f>
      </c>
      <c r="M19" s="30">
        <f>PM_Angle!$J$8+PM_Angle!$K$8*$D19+PM_Angle!$L$8*$C19</f>
      </c>
      <c r="N19" s="12">
        <f>MAX(MIN(Es*M19,fy),-fy)</f>
      </c>
      <c r="O19" s="12">
        <f>IF(M19&gt;0,IF(M19&lt;=eco,alpha*fck*(1-(1-M19/eco)^n),alpha*fck),0)</f>
      </c>
      <c r="P19" s="12">
        <f>N19-O19</f>
      </c>
      <c r="Q19" s="11">
        <f>P19*$E19</f>
      </c>
      <c r="R19" s="11">
        <f>Q19*$D19</f>
      </c>
      <c r="S19" s="11">
        <f>Q19*$C19</f>
      </c>
      <c r="T19" s="30">
        <f>PM_Angle!$J$9+PM_Angle!$K$9*$D19+PM_Angle!$L$9*$C19</f>
      </c>
      <c r="U19" s="12">
        <f>MAX(MIN(Es*T19,fy),-fy)</f>
      </c>
      <c r="V19" s="12">
        <f>IF(T19&gt;0,IF(T19&lt;=eco,alpha*fck*(1-(1-T19/eco)^n),alpha*fck),0)</f>
      </c>
      <c r="W19" s="12">
        <f>U19-V19</f>
      </c>
      <c r="X19" s="11">
        <f>W19*$E19</f>
      </c>
      <c r="Y19" s="11">
        <f>X19*$D19</f>
      </c>
      <c r="Z19" s="11">
        <f>X19*$C19</f>
      </c>
      <c r="AA19" s="30">
        <f>PM_Angle!$J$10+PM_Angle!$K$10*$D19+PM_Angle!$L$10*$C19</f>
      </c>
      <c r="AB19" s="12">
        <f>MAX(MIN(Es*AA19,fy),-fy)</f>
      </c>
      <c r="AC19" s="12">
        <f>IF(AA19&gt;0,IF(AA19&lt;=eco,alpha*fck*(1-(1-AA19/eco)^n),alpha*fck),0)</f>
      </c>
      <c r="AD19" s="12">
        <f>AB19-AC19</f>
      </c>
      <c r="AE19" s="11">
        <f>AD19*$E19</f>
      </c>
      <c r="AF19" s="11">
        <f>AE19*$D19</f>
      </c>
      <c r="AG19" s="11">
        <f>AE19*$C19</f>
      </c>
      <c r="AH19" s="30">
        <f>PM_Angle!$J$11+PM_Angle!$K$11*$D19+PM_Angle!$L$11*$C19</f>
      </c>
      <c r="AI19" s="12">
        <f>MAX(MIN(Es*AH19,fy),-fy)</f>
      </c>
      <c r="AJ19" s="12">
        <f>IF(AH19&gt;0,IF(AH19&lt;=eco,alpha*fck*(1-(1-AH19/eco)^n),alpha*fck),0)</f>
      </c>
      <c r="AK19" s="12">
        <f>AI19-AJ19</f>
      </c>
      <c r="AL19" s="11">
        <f>AK19*$E19</f>
      </c>
      <c r="AM19" s="11">
        <f>AL19*$D19</f>
      </c>
      <c r="AN19" s="11">
        <f>AL19*$C19</f>
      </c>
      <c r="AO19" s="30">
        <f>PM_Angle!$J$12+PM_Angle!$K$12*$D19+PM_Angle!$L$12*$C19</f>
      </c>
      <c r="AP19" s="12">
        <f>MAX(MIN(Es*AO19,fy),-fy)</f>
      </c>
      <c r="AQ19" s="12">
        <f>IF(AO19&gt;0,IF(AO19&lt;=eco,alpha*fck*(1-(1-AO19/eco)^n),alpha*fck),0)</f>
      </c>
      <c r="AR19" s="12">
        <f>AP19-AQ19</f>
      </c>
      <c r="AS19" s="11">
        <f>AR19*$E19</f>
      </c>
      <c r="AT19" s="11">
        <f>AS19*$D19</f>
      </c>
      <c r="AU19" s="11">
        <f>AS19*$C19</f>
      </c>
      <c r="AV19" s="30">
        <f>PM_Angle!$J$13+PM_Angle!$K$13*$D19+PM_Angle!$L$13*$C19</f>
      </c>
      <c r="AW19" s="12">
        <f>MAX(MIN(Es*AV19,fy),-fy)</f>
      </c>
      <c r="AX19" s="12">
        <f>IF(AV19&gt;0,IF(AV19&lt;=eco,alpha*fck*(1-(1-AV19/eco)^n),alpha*fck),0)</f>
      </c>
      <c r="AY19" s="12">
        <f>AW19-AX19</f>
      </c>
      <c r="AZ19" s="11">
        <f>AY19*$E19</f>
      </c>
      <c r="BA19" s="11">
        <f>AZ19*$D19</f>
      </c>
      <c r="BB19" s="11">
        <f>AZ19*$C19</f>
      </c>
      <c r="BC19" s="30">
        <f>PM_Angle!$J$14+PM_Angle!$K$14*$D19+PM_Angle!$L$14*$C19</f>
      </c>
      <c r="BD19" s="12">
        <f>MAX(MIN(Es*BC19,fy),-fy)</f>
      </c>
      <c r="BE19" s="12">
        <f>IF(BC19&gt;0,IF(BC19&lt;=eco,alpha*fck*(1-(1-BC19/eco)^n),alpha*fck),0)</f>
      </c>
      <c r="BF19" s="12">
        <f>BD19-BE19</f>
      </c>
      <c r="BG19" s="11">
        <f>BF19*$E19</f>
      </c>
      <c r="BH19" s="11">
        <f>BG19*$D19</f>
      </c>
      <c r="BI19" s="11">
        <f>BG19*$C19</f>
      </c>
      <c r="BJ19" s="30">
        <f>PM_Angle!$J$15+PM_Angle!$K$15*$D19+PM_Angle!$L$15*$C19</f>
      </c>
      <c r="BK19" s="12">
        <f>MAX(MIN(Es*BJ19,fy),-fy)</f>
      </c>
      <c r="BL19" s="12">
        <f>IF(BJ19&gt;0,IF(BJ19&lt;=eco,alpha*fck*(1-(1-BJ19/eco)^n),alpha*fck),0)</f>
      </c>
      <c r="BM19" s="12">
        <f>BK19-BL19</f>
      </c>
      <c r="BN19" s="11">
        <f>BM19*$E19</f>
      </c>
      <c r="BO19" s="11">
        <f>BN19*$D19</f>
      </c>
      <c r="BP19" s="11">
        <f>BN19*$C19</f>
      </c>
      <c r="BQ19" s="30">
        <f>PM_Angle!$J$16+PM_Angle!$K$16*$D19+PM_Angle!$L$16*$C19</f>
      </c>
      <c r="BR19" s="12">
        <f>MAX(MIN(Es*BQ19,fy),-fy)</f>
      </c>
      <c r="BS19" s="12">
        <f>IF(BQ19&gt;0,IF(BQ19&lt;=eco,alpha*fck*(1-(1-BQ19/eco)^n),alpha*fck),0)</f>
      </c>
      <c r="BT19" s="12">
        <f>BR19-BS19</f>
      </c>
      <c r="BU19" s="11">
        <f>BT19*$E19</f>
      </c>
      <c r="BV19" s="11">
        <f>BU19*$D19</f>
      </c>
      <c r="BW19" s="11">
        <f>BU19*$C19</f>
      </c>
      <c r="BX19" s="30">
        <f>PM_Angle!$J$17+PM_Angle!$K$17*$D19+PM_Angle!$L$17*$C19</f>
      </c>
      <c r="BY19" s="12">
        <f>MAX(MIN(Es*BX19,fy),-fy)</f>
      </c>
      <c r="BZ19" s="12">
        <f>IF(BX19&gt;0,IF(BX19&lt;=eco,alpha*fck*(1-(1-BX19/eco)^n),alpha*fck),0)</f>
      </c>
      <c r="CA19" s="12">
        <f>BY19-BZ19</f>
      </c>
      <c r="CB19" s="11">
        <f>CA19*$E19</f>
      </c>
      <c r="CC19" s="11">
        <f>CB19*$D19</f>
      </c>
      <c r="CD19" s="11">
        <f>CB19*$C19</f>
      </c>
      <c r="CE19" s="30">
        <f>PM_Angle!$J$18+PM_Angle!$K$18*$D19+PM_Angle!$L$18*$C19</f>
      </c>
      <c r="CF19" s="12">
        <f>MAX(MIN(Es*CE19,fy),-fy)</f>
      </c>
      <c r="CG19" s="12">
        <f>IF(CE19&gt;0,IF(CE19&lt;=eco,alpha*fck*(1-(1-CE19/eco)^n),alpha*fck),0)</f>
      </c>
      <c r="CH19" s="12">
        <f>CF19-CG19</f>
      </c>
      <c r="CI19" s="11">
        <f>CH19*$E19</f>
      </c>
      <c r="CJ19" s="11">
        <f>CI19*$D19</f>
      </c>
      <c r="CK19" s="11">
        <f>CI19*$C19</f>
      </c>
      <c r="CL19" s="30">
        <f>PM_Angle!$J$19+PM_Angle!$K$19*$D19+PM_Angle!$L$19*$C19</f>
      </c>
      <c r="CM19" s="12">
        <f>MAX(MIN(Es*CL19,fy),-fy)</f>
      </c>
      <c r="CN19" s="12">
        <f>IF(CL19&gt;0,IF(CL19&lt;=eco,alpha*fck*(1-(1-CL19/eco)^n),alpha*fck),0)</f>
      </c>
      <c r="CO19" s="12">
        <f>CM19-CN19</f>
      </c>
      <c r="CP19" s="11">
        <f>CO19*$E19</f>
      </c>
      <c r="CQ19" s="11">
        <f>CP19*$D19</f>
      </c>
      <c r="CR19" s="11">
        <f>CP19*$C19</f>
      </c>
      <c r="CS19" s="30">
        <f>PM_Angle!$J$20+PM_Angle!$K$20*$D19+PM_Angle!$L$20*$C19</f>
      </c>
      <c r="CT19" s="12">
        <f>MAX(MIN(Es*CS19,fy),-fy)</f>
      </c>
      <c r="CU19" s="12">
        <f>IF(CS19&gt;0,IF(CS19&lt;=eco,alpha*fck*(1-(1-CS19/eco)^n),alpha*fck),0)</f>
      </c>
      <c r="CV19" s="12">
        <f>CT19-CU19</f>
      </c>
      <c r="CW19" s="11">
        <f>CV19*$E19</f>
      </c>
      <c r="CX19" s="11">
        <f>CW19*$D19</f>
      </c>
      <c r="CY19" s="11">
        <f>CW19*$C19</f>
      </c>
      <c r="CZ19" s="30">
        <f>PM_Angle!$J$21+PM_Angle!$K$21*$D19+PM_Angle!$L$21*$C19</f>
      </c>
      <c r="DA19" s="12">
        <f>MAX(MIN(Es*CZ19,fy),-fy)</f>
      </c>
      <c r="DB19" s="12">
        <f>IF(CZ19&gt;0,IF(CZ19&lt;=eco,alpha*fck*(1-(1-CZ19/eco)^n),alpha*fck),0)</f>
      </c>
      <c r="DC19" s="12">
        <f>DA19-DB19</f>
      </c>
      <c r="DD19" s="11">
        <f>DC19*$E19</f>
      </c>
      <c r="DE19" s="11">
        <f>DD19*$D19</f>
      </c>
      <c r="DF19" s="11">
        <f>DD19*$C19</f>
      </c>
      <c r="DG19" s="30">
        <f>PM_Angle!$J$22+PM_Angle!$K$22*$D19+PM_Angle!$L$22*$C19</f>
      </c>
      <c r="DH19" s="12">
        <f>MAX(MIN(Es*DG19,fy),-fy)</f>
      </c>
      <c r="DI19" s="12">
        <f>IF(DG19&gt;0,IF(DG19&lt;=eco,alpha*fck*(1-(1-DG19/eco)^n),alpha*fck),0)</f>
      </c>
      <c r="DJ19" s="12">
        <f>DH19-DI19</f>
      </c>
      <c r="DK19" s="11">
        <f>DJ19*$E19</f>
      </c>
      <c r="DL19" s="11">
        <f>DK19*$D19</f>
      </c>
      <c r="DM19" s="11">
        <f>DK19*$C19</f>
      </c>
      <c r="DN19" s="30">
        <f>PM_Angle!$J$23+PM_Angle!$K$23*$D19+PM_Angle!$L$23*$C19</f>
      </c>
      <c r="DO19" s="12">
        <f>MAX(MIN(Es*DN19,fy),-fy)</f>
      </c>
      <c r="DP19" s="12">
        <f>IF(DN19&gt;0,IF(DN19&lt;=eco,alpha*fck*(1-(1-DN19/eco)^n),alpha*fck),0)</f>
      </c>
      <c r="DQ19" s="12">
        <f>DO19-DP19</f>
      </c>
      <c r="DR19" s="11">
        <f>DQ19*$E19</f>
      </c>
      <c r="DS19" s="11">
        <f>DR19*$D19</f>
      </c>
      <c r="DT19" s="11">
        <f>DR19*$C19</f>
      </c>
      <c r="DU19" s="30">
        <f>PM_Angle!$J$24+PM_Angle!$K$24*$D19+PM_Angle!$L$24*$C19</f>
      </c>
      <c r="DV19" s="12">
        <f>MAX(MIN(Es*DU19,fy),-fy)</f>
      </c>
      <c r="DW19" s="12">
        <f>IF(DU19&gt;0,IF(DU19&lt;=eco,alpha*fck*(1-(1-DU19/eco)^n),alpha*fck),0)</f>
      </c>
      <c r="DX19" s="12">
        <f>DV19-DW19</f>
      </c>
      <c r="DY19" s="11">
        <f>DX19*$E19</f>
      </c>
      <c r="DZ19" s="11">
        <f>DY19*$D19</f>
      </c>
      <c r="EA19" s="11">
        <f>DY19*$C19</f>
      </c>
      <c r="EB19" s="30">
        <f>PM_Angle!$J$25+PM_Angle!$K$25*$D19+PM_Angle!$L$25*$C19</f>
      </c>
      <c r="EC19" s="12">
        <f>MAX(MIN(Es*EB19,fy),-fy)</f>
      </c>
      <c r="ED19" s="12">
        <f>IF(EB19&gt;0,IF(EB19&lt;=eco,alpha*fck*(1-(1-EB19/eco)^n),alpha*fck),0)</f>
      </c>
      <c r="EE19" s="12">
        <f>EC19-ED19</f>
      </c>
      <c r="EF19" s="11">
        <f>EE19*$E19</f>
      </c>
      <c r="EG19" s="11">
        <f>EF19*$D19</f>
      </c>
      <c r="EH19" s="11">
        <f>EF19*$C19</f>
      </c>
    </row>
    <row r="20" spans="1:138" x14ac:dyDescent="0.25">
      <c r="A20">
        <v>14</v>
      </c>
      <c r="B20" s="12">
        <f>Geometry!C55</f>
      </c>
      <c r="C20" s="12">
        <f>Geometry!D55</f>
      </c>
      <c r="D20" s="12">
        <f>Geometry!E55</f>
      </c>
      <c r="E20" s="12">
        <f>Geometry!F55</f>
      </c>
      <c r="F20" s="30">
        <f>PM_Angle!$J$7+PM_Angle!$K$7*$D20+PM_Angle!$L$7*$C20</f>
      </c>
      <c r="G20" s="12">
        <f>MAX(MIN(Es*F20,fy),-fy)</f>
      </c>
      <c r="H20" s="12">
        <f>IF(F20&gt;0,IF(F20&lt;=eco,alpha*fck*(1-(1-F20/eco)^n),alpha*fck),0)</f>
      </c>
      <c r="I20" s="12">
        <f>G20-H20</f>
      </c>
      <c r="J20" s="11">
        <f>I20*$E20</f>
      </c>
      <c r="K20" s="11">
        <f>J20*$D20</f>
      </c>
      <c r="L20" s="11">
        <f>J20*$C20</f>
      </c>
      <c r="M20" s="30">
        <f>PM_Angle!$J$8+PM_Angle!$K$8*$D20+PM_Angle!$L$8*$C20</f>
      </c>
      <c r="N20" s="12">
        <f>MAX(MIN(Es*M20,fy),-fy)</f>
      </c>
      <c r="O20" s="12">
        <f>IF(M20&gt;0,IF(M20&lt;=eco,alpha*fck*(1-(1-M20/eco)^n),alpha*fck),0)</f>
      </c>
      <c r="P20" s="12">
        <f>N20-O20</f>
      </c>
      <c r="Q20" s="11">
        <f>P20*$E20</f>
      </c>
      <c r="R20" s="11">
        <f>Q20*$D20</f>
      </c>
      <c r="S20" s="11">
        <f>Q20*$C20</f>
      </c>
      <c r="T20" s="30">
        <f>PM_Angle!$J$9+PM_Angle!$K$9*$D20+PM_Angle!$L$9*$C20</f>
      </c>
      <c r="U20" s="12">
        <f>MAX(MIN(Es*T20,fy),-fy)</f>
      </c>
      <c r="V20" s="12">
        <f>IF(T20&gt;0,IF(T20&lt;=eco,alpha*fck*(1-(1-T20/eco)^n),alpha*fck),0)</f>
      </c>
      <c r="W20" s="12">
        <f>U20-V20</f>
      </c>
      <c r="X20" s="11">
        <f>W20*$E20</f>
      </c>
      <c r="Y20" s="11">
        <f>X20*$D20</f>
      </c>
      <c r="Z20" s="11">
        <f>X20*$C20</f>
      </c>
      <c r="AA20" s="30">
        <f>PM_Angle!$J$10+PM_Angle!$K$10*$D20+PM_Angle!$L$10*$C20</f>
      </c>
      <c r="AB20" s="12">
        <f>MAX(MIN(Es*AA20,fy),-fy)</f>
      </c>
      <c r="AC20" s="12">
        <f>IF(AA20&gt;0,IF(AA20&lt;=eco,alpha*fck*(1-(1-AA20/eco)^n),alpha*fck),0)</f>
      </c>
      <c r="AD20" s="12">
        <f>AB20-AC20</f>
      </c>
      <c r="AE20" s="11">
        <f>AD20*$E20</f>
      </c>
      <c r="AF20" s="11">
        <f>AE20*$D20</f>
      </c>
      <c r="AG20" s="11">
        <f>AE20*$C20</f>
      </c>
      <c r="AH20" s="30">
        <f>PM_Angle!$J$11+PM_Angle!$K$11*$D20+PM_Angle!$L$11*$C20</f>
      </c>
      <c r="AI20" s="12">
        <f>MAX(MIN(Es*AH20,fy),-fy)</f>
      </c>
      <c r="AJ20" s="12">
        <f>IF(AH20&gt;0,IF(AH20&lt;=eco,alpha*fck*(1-(1-AH20/eco)^n),alpha*fck),0)</f>
      </c>
      <c r="AK20" s="12">
        <f>AI20-AJ20</f>
      </c>
      <c r="AL20" s="11">
        <f>AK20*$E20</f>
      </c>
      <c r="AM20" s="11">
        <f>AL20*$D20</f>
      </c>
      <c r="AN20" s="11">
        <f>AL20*$C20</f>
      </c>
      <c r="AO20" s="30">
        <f>PM_Angle!$J$12+PM_Angle!$K$12*$D20+PM_Angle!$L$12*$C20</f>
      </c>
      <c r="AP20" s="12">
        <f>MAX(MIN(Es*AO20,fy),-fy)</f>
      </c>
      <c r="AQ20" s="12">
        <f>IF(AO20&gt;0,IF(AO20&lt;=eco,alpha*fck*(1-(1-AO20/eco)^n),alpha*fck),0)</f>
      </c>
      <c r="AR20" s="12">
        <f>AP20-AQ20</f>
      </c>
      <c r="AS20" s="11">
        <f>AR20*$E20</f>
      </c>
      <c r="AT20" s="11">
        <f>AS20*$D20</f>
      </c>
      <c r="AU20" s="11">
        <f>AS20*$C20</f>
      </c>
      <c r="AV20" s="30">
        <f>PM_Angle!$J$13+PM_Angle!$K$13*$D20+PM_Angle!$L$13*$C20</f>
      </c>
      <c r="AW20" s="12">
        <f>MAX(MIN(Es*AV20,fy),-fy)</f>
      </c>
      <c r="AX20" s="12">
        <f>IF(AV20&gt;0,IF(AV20&lt;=eco,alpha*fck*(1-(1-AV20/eco)^n),alpha*fck),0)</f>
      </c>
      <c r="AY20" s="12">
        <f>AW20-AX20</f>
      </c>
      <c r="AZ20" s="11">
        <f>AY20*$E20</f>
      </c>
      <c r="BA20" s="11">
        <f>AZ20*$D20</f>
      </c>
      <c r="BB20" s="11">
        <f>AZ20*$C20</f>
      </c>
      <c r="BC20" s="30">
        <f>PM_Angle!$J$14+PM_Angle!$K$14*$D20+PM_Angle!$L$14*$C20</f>
      </c>
      <c r="BD20" s="12">
        <f>MAX(MIN(Es*BC20,fy),-fy)</f>
      </c>
      <c r="BE20" s="12">
        <f>IF(BC20&gt;0,IF(BC20&lt;=eco,alpha*fck*(1-(1-BC20/eco)^n),alpha*fck),0)</f>
      </c>
      <c r="BF20" s="12">
        <f>BD20-BE20</f>
      </c>
      <c r="BG20" s="11">
        <f>BF20*$E20</f>
      </c>
      <c r="BH20" s="11">
        <f>BG20*$D20</f>
      </c>
      <c r="BI20" s="11">
        <f>BG20*$C20</f>
      </c>
      <c r="BJ20" s="30">
        <f>PM_Angle!$J$15+PM_Angle!$K$15*$D20+PM_Angle!$L$15*$C20</f>
      </c>
      <c r="BK20" s="12">
        <f>MAX(MIN(Es*BJ20,fy),-fy)</f>
      </c>
      <c r="BL20" s="12">
        <f>IF(BJ20&gt;0,IF(BJ20&lt;=eco,alpha*fck*(1-(1-BJ20/eco)^n),alpha*fck),0)</f>
      </c>
      <c r="BM20" s="12">
        <f>BK20-BL20</f>
      </c>
      <c r="BN20" s="11">
        <f>BM20*$E20</f>
      </c>
      <c r="BO20" s="11">
        <f>BN20*$D20</f>
      </c>
      <c r="BP20" s="11">
        <f>BN20*$C20</f>
      </c>
      <c r="BQ20" s="30">
        <f>PM_Angle!$J$16+PM_Angle!$K$16*$D20+PM_Angle!$L$16*$C20</f>
      </c>
      <c r="BR20" s="12">
        <f>MAX(MIN(Es*BQ20,fy),-fy)</f>
      </c>
      <c r="BS20" s="12">
        <f>IF(BQ20&gt;0,IF(BQ20&lt;=eco,alpha*fck*(1-(1-BQ20/eco)^n),alpha*fck),0)</f>
      </c>
      <c r="BT20" s="12">
        <f>BR20-BS20</f>
      </c>
      <c r="BU20" s="11">
        <f>BT20*$E20</f>
      </c>
      <c r="BV20" s="11">
        <f>BU20*$D20</f>
      </c>
      <c r="BW20" s="11">
        <f>BU20*$C20</f>
      </c>
      <c r="BX20" s="30">
        <f>PM_Angle!$J$17+PM_Angle!$K$17*$D20+PM_Angle!$L$17*$C20</f>
      </c>
      <c r="BY20" s="12">
        <f>MAX(MIN(Es*BX20,fy),-fy)</f>
      </c>
      <c r="BZ20" s="12">
        <f>IF(BX20&gt;0,IF(BX20&lt;=eco,alpha*fck*(1-(1-BX20/eco)^n),alpha*fck),0)</f>
      </c>
      <c r="CA20" s="12">
        <f>BY20-BZ20</f>
      </c>
      <c r="CB20" s="11">
        <f>CA20*$E20</f>
      </c>
      <c r="CC20" s="11">
        <f>CB20*$D20</f>
      </c>
      <c r="CD20" s="11">
        <f>CB20*$C20</f>
      </c>
      <c r="CE20" s="30">
        <f>PM_Angle!$J$18+PM_Angle!$K$18*$D20+PM_Angle!$L$18*$C20</f>
      </c>
      <c r="CF20" s="12">
        <f>MAX(MIN(Es*CE20,fy),-fy)</f>
      </c>
      <c r="CG20" s="12">
        <f>IF(CE20&gt;0,IF(CE20&lt;=eco,alpha*fck*(1-(1-CE20/eco)^n),alpha*fck),0)</f>
      </c>
      <c r="CH20" s="12">
        <f>CF20-CG20</f>
      </c>
      <c r="CI20" s="11">
        <f>CH20*$E20</f>
      </c>
      <c r="CJ20" s="11">
        <f>CI20*$D20</f>
      </c>
      <c r="CK20" s="11">
        <f>CI20*$C20</f>
      </c>
      <c r="CL20" s="30">
        <f>PM_Angle!$J$19+PM_Angle!$K$19*$D20+PM_Angle!$L$19*$C20</f>
      </c>
      <c r="CM20" s="12">
        <f>MAX(MIN(Es*CL20,fy),-fy)</f>
      </c>
      <c r="CN20" s="12">
        <f>IF(CL20&gt;0,IF(CL20&lt;=eco,alpha*fck*(1-(1-CL20/eco)^n),alpha*fck),0)</f>
      </c>
      <c r="CO20" s="12">
        <f>CM20-CN20</f>
      </c>
      <c r="CP20" s="11">
        <f>CO20*$E20</f>
      </c>
      <c r="CQ20" s="11">
        <f>CP20*$D20</f>
      </c>
      <c r="CR20" s="11">
        <f>CP20*$C20</f>
      </c>
      <c r="CS20" s="30">
        <f>PM_Angle!$J$20+PM_Angle!$K$20*$D20+PM_Angle!$L$20*$C20</f>
      </c>
      <c r="CT20" s="12">
        <f>MAX(MIN(Es*CS20,fy),-fy)</f>
      </c>
      <c r="CU20" s="12">
        <f>IF(CS20&gt;0,IF(CS20&lt;=eco,alpha*fck*(1-(1-CS20/eco)^n),alpha*fck),0)</f>
      </c>
      <c r="CV20" s="12">
        <f>CT20-CU20</f>
      </c>
      <c r="CW20" s="11">
        <f>CV20*$E20</f>
      </c>
      <c r="CX20" s="11">
        <f>CW20*$D20</f>
      </c>
      <c r="CY20" s="11">
        <f>CW20*$C20</f>
      </c>
      <c r="CZ20" s="30">
        <f>PM_Angle!$J$21+PM_Angle!$K$21*$D20+PM_Angle!$L$21*$C20</f>
      </c>
      <c r="DA20" s="12">
        <f>MAX(MIN(Es*CZ20,fy),-fy)</f>
      </c>
      <c r="DB20" s="12">
        <f>IF(CZ20&gt;0,IF(CZ20&lt;=eco,alpha*fck*(1-(1-CZ20/eco)^n),alpha*fck),0)</f>
      </c>
      <c r="DC20" s="12">
        <f>DA20-DB20</f>
      </c>
      <c r="DD20" s="11">
        <f>DC20*$E20</f>
      </c>
      <c r="DE20" s="11">
        <f>DD20*$D20</f>
      </c>
      <c r="DF20" s="11">
        <f>DD20*$C20</f>
      </c>
      <c r="DG20" s="30">
        <f>PM_Angle!$J$22+PM_Angle!$K$22*$D20+PM_Angle!$L$22*$C20</f>
      </c>
      <c r="DH20" s="12">
        <f>MAX(MIN(Es*DG20,fy),-fy)</f>
      </c>
      <c r="DI20" s="12">
        <f>IF(DG20&gt;0,IF(DG20&lt;=eco,alpha*fck*(1-(1-DG20/eco)^n),alpha*fck),0)</f>
      </c>
      <c r="DJ20" s="12">
        <f>DH20-DI20</f>
      </c>
      <c r="DK20" s="11">
        <f>DJ20*$E20</f>
      </c>
      <c r="DL20" s="11">
        <f>DK20*$D20</f>
      </c>
      <c r="DM20" s="11">
        <f>DK20*$C20</f>
      </c>
      <c r="DN20" s="30">
        <f>PM_Angle!$J$23+PM_Angle!$K$23*$D20+PM_Angle!$L$23*$C20</f>
      </c>
      <c r="DO20" s="12">
        <f>MAX(MIN(Es*DN20,fy),-fy)</f>
      </c>
      <c r="DP20" s="12">
        <f>IF(DN20&gt;0,IF(DN20&lt;=eco,alpha*fck*(1-(1-DN20/eco)^n),alpha*fck),0)</f>
      </c>
      <c r="DQ20" s="12">
        <f>DO20-DP20</f>
      </c>
      <c r="DR20" s="11">
        <f>DQ20*$E20</f>
      </c>
      <c r="DS20" s="11">
        <f>DR20*$D20</f>
      </c>
      <c r="DT20" s="11">
        <f>DR20*$C20</f>
      </c>
      <c r="DU20" s="30">
        <f>PM_Angle!$J$24+PM_Angle!$K$24*$D20+PM_Angle!$L$24*$C20</f>
      </c>
      <c r="DV20" s="12">
        <f>MAX(MIN(Es*DU20,fy),-fy)</f>
      </c>
      <c r="DW20" s="12">
        <f>IF(DU20&gt;0,IF(DU20&lt;=eco,alpha*fck*(1-(1-DU20/eco)^n),alpha*fck),0)</f>
      </c>
      <c r="DX20" s="12">
        <f>DV20-DW20</f>
      </c>
      <c r="DY20" s="11">
        <f>DX20*$E20</f>
      </c>
      <c r="DZ20" s="11">
        <f>DY20*$D20</f>
      </c>
      <c r="EA20" s="11">
        <f>DY20*$C20</f>
      </c>
      <c r="EB20" s="30">
        <f>PM_Angle!$J$25+PM_Angle!$K$25*$D20+PM_Angle!$L$25*$C20</f>
      </c>
      <c r="EC20" s="12">
        <f>MAX(MIN(Es*EB20,fy),-fy)</f>
      </c>
      <c r="ED20" s="12">
        <f>IF(EB20&gt;0,IF(EB20&lt;=eco,alpha*fck*(1-(1-EB20/eco)^n),alpha*fck),0)</f>
      </c>
      <c r="EE20" s="12">
        <f>EC20-ED20</f>
      </c>
      <c r="EF20" s="11">
        <f>EE20*$E20</f>
      </c>
      <c r="EG20" s="11">
        <f>EF20*$D20</f>
      </c>
      <c r="EH20" s="11">
        <f>EF20*$C20</f>
      </c>
    </row>
    <row r="21" spans="1:138" x14ac:dyDescent="0.25">
      <c r="A21">
        <v>15</v>
      </c>
      <c r="B21" s="12">
        <f>Geometry!C56</f>
      </c>
      <c r="C21" s="12">
        <f>Geometry!D56</f>
      </c>
      <c r="D21" s="12">
        <f>Geometry!E56</f>
      </c>
      <c r="E21" s="12">
        <f>Geometry!F56</f>
      </c>
      <c r="F21" s="30">
        <f>PM_Angle!$J$7+PM_Angle!$K$7*$D21+PM_Angle!$L$7*$C21</f>
      </c>
      <c r="G21" s="12">
        <f>MAX(MIN(Es*F21,fy),-fy)</f>
      </c>
      <c r="H21" s="12">
        <f>IF(F21&gt;0,IF(F21&lt;=eco,alpha*fck*(1-(1-F21/eco)^n),alpha*fck),0)</f>
      </c>
      <c r="I21" s="12">
        <f>G21-H21</f>
      </c>
      <c r="J21" s="11">
        <f>I21*$E21</f>
      </c>
      <c r="K21" s="11">
        <f>J21*$D21</f>
      </c>
      <c r="L21" s="11">
        <f>J21*$C21</f>
      </c>
      <c r="M21" s="30">
        <f>PM_Angle!$J$8+PM_Angle!$K$8*$D21+PM_Angle!$L$8*$C21</f>
      </c>
      <c r="N21" s="12">
        <f>MAX(MIN(Es*M21,fy),-fy)</f>
      </c>
      <c r="O21" s="12">
        <f>IF(M21&gt;0,IF(M21&lt;=eco,alpha*fck*(1-(1-M21/eco)^n),alpha*fck),0)</f>
      </c>
      <c r="P21" s="12">
        <f>N21-O21</f>
      </c>
      <c r="Q21" s="11">
        <f>P21*$E21</f>
      </c>
      <c r="R21" s="11">
        <f>Q21*$D21</f>
      </c>
      <c r="S21" s="11">
        <f>Q21*$C21</f>
      </c>
      <c r="T21" s="30">
        <f>PM_Angle!$J$9+PM_Angle!$K$9*$D21+PM_Angle!$L$9*$C21</f>
      </c>
      <c r="U21" s="12">
        <f>MAX(MIN(Es*T21,fy),-fy)</f>
      </c>
      <c r="V21" s="12">
        <f>IF(T21&gt;0,IF(T21&lt;=eco,alpha*fck*(1-(1-T21/eco)^n),alpha*fck),0)</f>
      </c>
      <c r="W21" s="12">
        <f>U21-V21</f>
      </c>
      <c r="X21" s="11">
        <f>W21*$E21</f>
      </c>
      <c r="Y21" s="11">
        <f>X21*$D21</f>
      </c>
      <c r="Z21" s="11">
        <f>X21*$C21</f>
      </c>
      <c r="AA21" s="30">
        <f>PM_Angle!$J$10+PM_Angle!$K$10*$D21+PM_Angle!$L$10*$C21</f>
      </c>
      <c r="AB21" s="12">
        <f>MAX(MIN(Es*AA21,fy),-fy)</f>
      </c>
      <c r="AC21" s="12">
        <f>IF(AA21&gt;0,IF(AA21&lt;=eco,alpha*fck*(1-(1-AA21/eco)^n),alpha*fck),0)</f>
      </c>
      <c r="AD21" s="12">
        <f>AB21-AC21</f>
      </c>
      <c r="AE21" s="11">
        <f>AD21*$E21</f>
      </c>
      <c r="AF21" s="11">
        <f>AE21*$D21</f>
      </c>
      <c r="AG21" s="11">
        <f>AE21*$C21</f>
      </c>
      <c r="AH21" s="30">
        <f>PM_Angle!$J$11+PM_Angle!$K$11*$D21+PM_Angle!$L$11*$C21</f>
      </c>
      <c r="AI21" s="12">
        <f>MAX(MIN(Es*AH21,fy),-fy)</f>
      </c>
      <c r="AJ21" s="12">
        <f>IF(AH21&gt;0,IF(AH21&lt;=eco,alpha*fck*(1-(1-AH21/eco)^n),alpha*fck),0)</f>
      </c>
      <c r="AK21" s="12">
        <f>AI21-AJ21</f>
      </c>
      <c r="AL21" s="11">
        <f>AK21*$E21</f>
      </c>
      <c r="AM21" s="11">
        <f>AL21*$D21</f>
      </c>
      <c r="AN21" s="11">
        <f>AL21*$C21</f>
      </c>
      <c r="AO21" s="30">
        <f>PM_Angle!$J$12+PM_Angle!$K$12*$D21+PM_Angle!$L$12*$C21</f>
      </c>
      <c r="AP21" s="12">
        <f>MAX(MIN(Es*AO21,fy),-fy)</f>
      </c>
      <c r="AQ21" s="12">
        <f>IF(AO21&gt;0,IF(AO21&lt;=eco,alpha*fck*(1-(1-AO21/eco)^n),alpha*fck),0)</f>
      </c>
      <c r="AR21" s="12">
        <f>AP21-AQ21</f>
      </c>
      <c r="AS21" s="11">
        <f>AR21*$E21</f>
      </c>
      <c r="AT21" s="11">
        <f>AS21*$D21</f>
      </c>
      <c r="AU21" s="11">
        <f>AS21*$C21</f>
      </c>
      <c r="AV21" s="30">
        <f>PM_Angle!$J$13+PM_Angle!$K$13*$D21+PM_Angle!$L$13*$C21</f>
      </c>
      <c r="AW21" s="12">
        <f>MAX(MIN(Es*AV21,fy),-fy)</f>
      </c>
      <c r="AX21" s="12">
        <f>IF(AV21&gt;0,IF(AV21&lt;=eco,alpha*fck*(1-(1-AV21/eco)^n),alpha*fck),0)</f>
      </c>
      <c r="AY21" s="12">
        <f>AW21-AX21</f>
      </c>
      <c r="AZ21" s="11">
        <f>AY21*$E21</f>
      </c>
      <c r="BA21" s="11">
        <f>AZ21*$D21</f>
      </c>
      <c r="BB21" s="11">
        <f>AZ21*$C21</f>
      </c>
      <c r="BC21" s="30">
        <f>PM_Angle!$J$14+PM_Angle!$K$14*$D21+PM_Angle!$L$14*$C21</f>
      </c>
      <c r="BD21" s="12">
        <f>MAX(MIN(Es*BC21,fy),-fy)</f>
      </c>
      <c r="BE21" s="12">
        <f>IF(BC21&gt;0,IF(BC21&lt;=eco,alpha*fck*(1-(1-BC21/eco)^n),alpha*fck),0)</f>
      </c>
      <c r="BF21" s="12">
        <f>BD21-BE21</f>
      </c>
      <c r="BG21" s="11">
        <f>BF21*$E21</f>
      </c>
      <c r="BH21" s="11">
        <f>BG21*$D21</f>
      </c>
      <c r="BI21" s="11">
        <f>BG21*$C21</f>
      </c>
      <c r="BJ21" s="30">
        <f>PM_Angle!$J$15+PM_Angle!$K$15*$D21+PM_Angle!$L$15*$C21</f>
      </c>
      <c r="BK21" s="12">
        <f>MAX(MIN(Es*BJ21,fy),-fy)</f>
      </c>
      <c r="BL21" s="12">
        <f>IF(BJ21&gt;0,IF(BJ21&lt;=eco,alpha*fck*(1-(1-BJ21/eco)^n),alpha*fck),0)</f>
      </c>
      <c r="BM21" s="12">
        <f>BK21-BL21</f>
      </c>
      <c r="BN21" s="11">
        <f>BM21*$E21</f>
      </c>
      <c r="BO21" s="11">
        <f>BN21*$D21</f>
      </c>
      <c r="BP21" s="11">
        <f>BN21*$C21</f>
      </c>
      <c r="BQ21" s="30">
        <f>PM_Angle!$J$16+PM_Angle!$K$16*$D21+PM_Angle!$L$16*$C21</f>
      </c>
      <c r="BR21" s="12">
        <f>MAX(MIN(Es*BQ21,fy),-fy)</f>
      </c>
      <c r="BS21" s="12">
        <f>IF(BQ21&gt;0,IF(BQ21&lt;=eco,alpha*fck*(1-(1-BQ21/eco)^n),alpha*fck),0)</f>
      </c>
      <c r="BT21" s="12">
        <f>BR21-BS21</f>
      </c>
      <c r="BU21" s="11">
        <f>BT21*$E21</f>
      </c>
      <c r="BV21" s="11">
        <f>BU21*$D21</f>
      </c>
      <c r="BW21" s="11">
        <f>BU21*$C21</f>
      </c>
      <c r="BX21" s="30">
        <f>PM_Angle!$J$17+PM_Angle!$K$17*$D21+PM_Angle!$L$17*$C21</f>
      </c>
      <c r="BY21" s="12">
        <f>MAX(MIN(Es*BX21,fy),-fy)</f>
      </c>
      <c r="BZ21" s="12">
        <f>IF(BX21&gt;0,IF(BX21&lt;=eco,alpha*fck*(1-(1-BX21/eco)^n),alpha*fck),0)</f>
      </c>
      <c r="CA21" s="12">
        <f>BY21-BZ21</f>
      </c>
      <c r="CB21" s="11">
        <f>CA21*$E21</f>
      </c>
      <c r="CC21" s="11">
        <f>CB21*$D21</f>
      </c>
      <c r="CD21" s="11">
        <f>CB21*$C21</f>
      </c>
      <c r="CE21" s="30">
        <f>PM_Angle!$J$18+PM_Angle!$K$18*$D21+PM_Angle!$L$18*$C21</f>
      </c>
      <c r="CF21" s="12">
        <f>MAX(MIN(Es*CE21,fy),-fy)</f>
      </c>
      <c r="CG21" s="12">
        <f>IF(CE21&gt;0,IF(CE21&lt;=eco,alpha*fck*(1-(1-CE21/eco)^n),alpha*fck),0)</f>
      </c>
      <c r="CH21" s="12">
        <f>CF21-CG21</f>
      </c>
      <c r="CI21" s="11">
        <f>CH21*$E21</f>
      </c>
      <c r="CJ21" s="11">
        <f>CI21*$D21</f>
      </c>
      <c r="CK21" s="11">
        <f>CI21*$C21</f>
      </c>
      <c r="CL21" s="30">
        <f>PM_Angle!$J$19+PM_Angle!$K$19*$D21+PM_Angle!$L$19*$C21</f>
      </c>
      <c r="CM21" s="12">
        <f>MAX(MIN(Es*CL21,fy),-fy)</f>
      </c>
      <c r="CN21" s="12">
        <f>IF(CL21&gt;0,IF(CL21&lt;=eco,alpha*fck*(1-(1-CL21/eco)^n),alpha*fck),0)</f>
      </c>
      <c r="CO21" s="12">
        <f>CM21-CN21</f>
      </c>
      <c r="CP21" s="11">
        <f>CO21*$E21</f>
      </c>
      <c r="CQ21" s="11">
        <f>CP21*$D21</f>
      </c>
      <c r="CR21" s="11">
        <f>CP21*$C21</f>
      </c>
      <c r="CS21" s="30">
        <f>PM_Angle!$J$20+PM_Angle!$K$20*$D21+PM_Angle!$L$20*$C21</f>
      </c>
      <c r="CT21" s="12">
        <f>MAX(MIN(Es*CS21,fy),-fy)</f>
      </c>
      <c r="CU21" s="12">
        <f>IF(CS21&gt;0,IF(CS21&lt;=eco,alpha*fck*(1-(1-CS21/eco)^n),alpha*fck),0)</f>
      </c>
      <c r="CV21" s="12">
        <f>CT21-CU21</f>
      </c>
      <c r="CW21" s="11">
        <f>CV21*$E21</f>
      </c>
      <c r="CX21" s="11">
        <f>CW21*$D21</f>
      </c>
      <c r="CY21" s="11">
        <f>CW21*$C21</f>
      </c>
      <c r="CZ21" s="30">
        <f>PM_Angle!$J$21+PM_Angle!$K$21*$D21+PM_Angle!$L$21*$C21</f>
      </c>
      <c r="DA21" s="12">
        <f>MAX(MIN(Es*CZ21,fy),-fy)</f>
      </c>
      <c r="DB21" s="12">
        <f>IF(CZ21&gt;0,IF(CZ21&lt;=eco,alpha*fck*(1-(1-CZ21/eco)^n),alpha*fck),0)</f>
      </c>
      <c r="DC21" s="12">
        <f>DA21-DB21</f>
      </c>
      <c r="DD21" s="11">
        <f>DC21*$E21</f>
      </c>
      <c r="DE21" s="11">
        <f>DD21*$D21</f>
      </c>
      <c r="DF21" s="11">
        <f>DD21*$C21</f>
      </c>
      <c r="DG21" s="30">
        <f>PM_Angle!$J$22+PM_Angle!$K$22*$D21+PM_Angle!$L$22*$C21</f>
      </c>
      <c r="DH21" s="12">
        <f>MAX(MIN(Es*DG21,fy),-fy)</f>
      </c>
      <c r="DI21" s="12">
        <f>IF(DG21&gt;0,IF(DG21&lt;=eco,alpha*fck*(1-(1-DG21/eco)^n),alpha*fck),0)</f>
      </c>
      <c r="DJ21" s="12">
        <f>DH21-DI21</f>
      </c>
      <c r="DK21" s="11">
        <f>DJ21*$E21</f>
      </c>
      <c r="DL21" s="11">
        <f>DK21*$D21</f>
      </c>
      <c r="DM21" s="11">
        <f>DK21*$C21</f>
      </c>
      <c r="DN21" s="30">
        <f>PM_Angle!$J$23+PM_Angle!$K$23*$D21+PM_Angle!$L$23*$C21</f>
      </c>
      <c r="DO21" s="12">
        <f>MAX(MIN(Es*DN21,fy),-fy)</f>
      </c>
      <c r="DP21" s="12">
        <f>IF(DN21&gt;0,IF(DN21&lt;=eco,alpha*fck*(1-(1-DN21/eco)^n),alpha*fck),0)</f>
      </c>
      <c r="DQ21" s="12">
        <f>DO21-DP21</f>
      </c>
      <c r="DR21" s="11">
        <f>DQ21*$E21</f>
      </c>
      <c r="DS21" s="11">
        <f>DR21*$D21</f>
      </c>
      <c r="DT21" s="11">
        <f>DR21*$C21</f>
      </c>
      <c r="DU21" s="30">
        <f>PM_Angle!$J$24+PM_Angle!$K$24*$D21+PM_Angle!$L$24*$C21</f>
      </c>
      <c r="DV21" s="12">
        <f>MAX(MIN(Es*DU21,fy),-fy)</f>
      </c>
      <c r="DW21" s="12">
        <f>IF(DU21&gt;0,IF(DU21&lt;=eco,alpha*fck*(1-(1-DU21/eco)^n),alpha*fck),0)</f>
      </c>
      <c r="DX21" s="12">
        <f>DV21-DW21</f>
      </c>
      <c r="DY21" s="11">
        <f>DX21*$E21</f>
      </c>
      <c r="DZ21" s="11">
        <f>DY21*$D21</f>
      </c>
      <c r="EA21" s="11">
        <f>DY21*$C21</f>
      </c>
      <c r="EB21" s="30">
        <f>PM_Angle!$J$25+PM_Angle!$K$25*$D21+PM_Angle!$L$25*$C21</f>
      </c>
      <c r="EC21" s="12">
        <f>MAX(MIN(Es*EB21,fy),-fy)</f>
      </c>
      <c r="ED21" s="12">
        <f>IF(EB21&gt;0,IF(EB21&lt;=eco,alpha*fck*(1-(1-EB21/eco)^n),alpha*fck),0)</f>
      </c>
      <c r="EE21" s="12">
        <f>EC21-ED21</f>
      </c>
      <c r="EF21" s="11">
        <f>EE21*$E21</f>
      </c>
      <c r="EG21" s="11">
        <f>EF21*$D21</f>
      </c>
      <c r="EH21" s="11">
        <f>EF21*$C21</f>
      </c>
    </row>
    <row r="22" spans="1:138" x14ac:dyDescent="0.25">
      <c r="A22">
        <v>16</v>
      </c>
      <c r="B22" s="12">
        <f>Geometry!C57</f>
      </c>
      <c r="C22" s="12">
        <f>Geometry!D57</f>
      </c>
      <c r="D22" s="12">
        <f>Geometry!E57</f>
      </c>
      <c r="E22" s="12">
        <f>Geometry!F57</f>
      </c>
      <c r="F22" s="30">
        <f>PM_Angle!$J$7+PM_Angle!$K$7*$D22+PM_Angle!$L$7*$C22</f>
      </c>
      <c r="G22" s="12">
        <f>MAX(MIN(Es*F22,fy),-fy)</f>
      </c>
      <c r="H22" s="12">
        <f>IF(F22&gt;0,IF(F22&lt;=eco,alpha*fck*(1-(1-F22/eco)^n),alpha*fck),0)</f>
      </c>
      <c r="I22" s="12">
        <f>G22-H22</f>
      </c>
      <c r="J22" s="11">
        <f>I22*$E22</f>
      </c>
      <c r="K22" s="11">
        <f>J22*$D22</f>
      </c>
      <c r="L22" s="11">
        <f>J22*$C22</f>
      </c>
      <c r="M22" s="30">
        <f>PM_Angle!$J$8+PM_Angle!$K$8*$D22+PM_Angle!$L$8*$C22</f>
      </c>
      <c r="N22" s="12">
        <f>MAX(MIN(Es*M22,fy),-fy)</f>
      </c>
      <c r="O22" s="12">
        <f>IF(M22&gt;0,IF(M22&lt;=eco,alpha*fck*(1-(1-M22/eco)^n),alpha*fck),0)</f>
      </c>
      <c r="P22" s="12">
        <f>N22-O22</f>
      </c>
      <c r="Q22" s="11">
        <f>P22*$E22</f>
      </c>
      <c r="R22" s="11">
        <f>Q22*$D22</f>
      </c>
      <c r="S22" s="11">
        <f>Q22*$C22</f>
      </c>
      <c r="T22" s="30">
        <f>PM_Angle!$J$9+PM_Angle!$K$9*$D22+PM_Angle!$L$9*$C22</f>
      </c>
      <c r="U22" s="12">
        <f>MAX(MIN(Es*T22,fy),-fy)</f>
      </c>
      <c r="V22" s="12">
        <f>IF(T22&gt;0,IF(T22&lt;=eco,alpha*fck*(1-(1-T22/eco)^n),alpha*fck),0)</f>
      </c>
      <c r="W22" s="12">
        <f>U22-V22</f>
      </c>
      <c r="X22" s="11">
        <f>W22*$E22</f>
      </c>
      <c r="Y22" s="11">
        <f>X22*$D22</f>
      </c>
      <c r="Z22" s="11">
        <f>X22*$C22</f>
      </c>
      <c r="AA22" s="30">
        <f>PM_Angle!$J$10+PM_Angle!$K$10*$D22+PM_Angle!$L$10*$C22</f>
      </c>
      <c r="AB22" s="12">
        <f>MAX(MIN(Es*AA22,fy),-fy)</f>
      </c>
      <c r="AC22" s="12">
        <f>IF(AA22&gt;0,IF(AA22&lt;=eco,alpha*fck*(1-(1-AA22/eco)^n),alpha*fck),0)</f>
      </c>
      <c r="AD22" s="12">
        <f>AB22-AC22</f>
      </c>
      <c r="AE22" s="11">
        <f>AD22*$E22</f>
      </c>
      <c r="AF22" s="11">
        <f>AE22*$D22</f>
      </c>
      <c r="AG22" s="11">
        <f>AE22*$C22</f>
      </c>
      <c r="AH22" s="30">
        <f>PM_Angle!$J$11+PM_Angle!$K$11*$D22+PM_Angle!$L$11*$C22</f>
      </c>
      <c r="AI22" s="12">
        <f>MAX(MIN(Es*AH22,fy),-fy)</f>
      </c>
      <c r="AJ22" s="12">
        <f>IF(AH22&gt;0,IF(AH22&lt;=eco,alpha*fck*(1-(1-AH22/eco)^n),alpha*fck),0)</f>
      </c>
      <c r="AK22" s="12">
        <f>AI22-AJ22</f>
      </c>
      <c r="AL22" s="11">
        <f>AK22*$E22</f>
      </c>
      <c r="AM22" s="11">
        <f>AL22*$D22</f>
      </c>
      <c r="AN22" s="11">
        <f>AL22*$C22</f>
      </c>
      <c r="AO22" s="30">
        <f>PM_Angle!$J$12+PM_Angle!$K$12*$D22+PM_Angle!$L$12*$C22</f>
      </c>
      <c r="AP22" s="12">
        <f>MAX(MIN(Es*AO22,fy),-fy)</f>
      </c>
      <c r="AQ22" s="12">
        <f>IF(AO22&gt;0,IF(AO22&lt;=eco,alpha*fck*(1-(1-AO22/eco)^n),alpha*fck),0)</f>
      </c>
      <c r="AR22" s="12">
        <f>AP22-AQ22</f>
      </c>
      <c r="AS22" s="11">
        <f>AR22*$E22</f>
      </c>
      <c r="AT22" s="11">
        <f>AS22*$D22</f>
      </c>
      <c r="AU22" s="11">
        <f>AS22*$C22</f>
      </c>
      <c r="AV22" s="30">
        <f>PM_Angle!$J$13+PM_Angle!$K$13*$D22+PM_Angle!$L$13*$C22</f>
      </c>
      <c r="AW22" s="12">
        <f>MAX(MIN(Es*AV22,fy),-fy)</f>
      </c>
      <c r="AX22" s="12">
        <f>IF(AV22&gt;0,IF(AV22&lt;=eco,alpha*fck*(1-(1-AV22/eco)^n),alpha*fck),0)</f>
      </c>
      <c r="AY22" s="12">
        <f>AW22-AX22</f>
      </c>
      <c r="AZ22" s="11">
        <f>AY22*$E22</f>
      </c>
      <c r="BA22" s="11">
        <f>AZ22*$D22</f>
      </c>
      <c r="BB22" s="11">
        <f>AZ22*$C22</f>
      </c>
      <c r="BC22" s="30">
        <f>PM_Angle!$J$14+PM_Angle!$K$14*$D22+PM_Angle!$L$14*$C22</f>
      </c>
      <c r="BD22" s="12">
        <f>MAX(MIN(Es*BC22,fy),-fy)</f>
      </c>
      <c r="BE22" s="12">
        <f>IF(BC22&gt;0,IF(BC22&lt;=eco,alpha*fck*(1-(1-BC22/eco)^n),alpha*fck),0)</f>
      </c>
      <c r="BF22" s="12">
        <f>BD22-BE22</f>
      </c>
      <c r="BG22" s="11">
        <f>BF22*$E22</f>
      </c>
      <c r="BH22" s="11">
        <f>BG22*$D22</f>
      </c>
      <c r="BI22" s="11">
        <f>BG22*$C22</f>
      </c>
      <c r="BJ22" s="30">
        <f>PM_Angle!$J$15+PM_Angle!$K$15*$D22+PM_Angle!$L$15*$C22</f>
      </c>
      <c r="BK22" s="12">
        <f>MAX(MIN(Es*BJ22,fy),-fy)</f>
      </c>
      <c r="BL22" s="12">
        <f>IF(BJ22&gt;0,IF(BJ22&lt;=eco,alpha*fck*(1-(1-BJ22/eco)^n),alpha*fck),0)</f>
      </c>
      <c r="BM22" s="12">
        <f>BK22-BL22</f>
      </c>
      <c r="BN22" s="11">
        <f>BM22*$E22</f>
      </c>
      <c r="BO22" s="11">
        <f>BN22*$D22</f>
      </c>
      <c r="BP22" s="11">
        <f>BN22*$C22</f>
      </c>
      <c r="BQ22" s="30">
        <f>PM_Angle!$J$16+PM_Angle!$K$16*$D22+PM_Angle!$L$16*$C22</f>
      </c>
      <c r="BR22" s="12">
        <f>MAX(MIN(Es*BQ22,fy),-fy)</f>
      </c>
      <c r="BS22" s="12">
        <f>IF(BQ22&gt;0,IF(BQ22&lt;=eco,alpha*fck*(1-(1-BQ22/eco)^n),alpha*fck),0)</f>
      </c>
      <c r="BT22" s="12">
        <f>BR22-BS22</f>
      </c>
      <c r="BU22" s="11">
        <f>BT22*$E22</f>
      </c>
      <c r="BV22" s="11">
        <f>BU22*$D22</f>
      </c>
      <c r="BW22" s="11">
        <f>BU22*$C22</f>
      </c>
      <c r="BX22" s="30">
        <f>PM_Angle!$J$17+PM_Angle!$K$17*$D22+PM_Angle!$L$17*$C22</f>
      </c>
      <c r="BY22" s="12">
        <f>MAX(MIN(Es*BX22,fy),-fy)</f>
      </c>
      <c r="BZ22" s="12">
        <f>IF(BX22&gt;0,IF(BX22&lt;=eco,alpha*fck*(1-(1-BX22/eco)^n),alpha*fck),0)</f>
      </c>
      <c r="CA22" s="12">
        <f>BY22-BZ22</f>
      </c>
      <c r="CB22" s="11">
        <f>CA22*$E22</f>
      </c>
      <c r="CC22" s="11">
        <f>CB22*$D22</f>
      </c>
      <c r="CD22" s="11">
        <f>CB22*$C22</f>
      </c>
      <c r="CE22" s="30">
        <f>PM_Angle!$J$18+PM_Angle!$K$18*$D22+PM_Angle!$L$18*$C22</f>
      </c>
      <c r="CF22" s="12">
        <f>MAX(MIN(Es*CE22,fy),-fy)</f>
      </c>
      <c r="CG22" s="12">
        <f>IF(CE22&gt;0,IF(CE22&lt;=eco,alpha*fck*(1-(1-CE22/eco)^n),alpha*fck),0)</f>
      </c>
      <c r="CH22" s="12">
        <f>CF22-CG22</f>
      </c>
      <c r="CI22" s="11">
        <f>CH22*$E22</f>
      </c>
      <c r="CJ22" s="11">
        <f>CI22*$D22</f>
      </c>
      <c r="CK22" s="11">
        <f>CI22*$C22</f>
      </c>
      <c r="CL22" s="30">
        <f>PM_Angle!$J$19+PM_Angle!$K$19*$D22+PM_Angle!$L$19*$C22</f>
      </c>
      <c r="CM22" s="12">
        <f>MAX(MIN(Es*CL22,fy),-fy)</f>
      </c>
      <c r="CN22" s="12">
        <f>IF(CL22&gt;0,IF(CL22&lt;=eco,alpha*fck*(1-(1-CL22/eco)^n),alpha*fck),0)</f>
      </c>
      <c r="CO22" s="12">
        <f>CM22-CN22</f>
      </c>
      <c r="CP22" s="11">
        <f>CO22*$E22</f>
      </c>
      <c r="CQ22" s="11">
        <f>CP22*$D22</f>
      </c>
      <c r="CR22" s="11">
        <f>CP22*$C22</f>
      </c>
      <c r="CS22" s="30">
        <f>PM_Angle!$J$20+PM_Angle!$K$20*$D22+PM_Angle!$L$20*$C22</f>
      </c>
      <c r="CT22" s="12">
        <f>MAX(MIN(Es*CS22,fy),-fy)</f>
      </c>
      <c r="CU22" s="12">
        <f>IF(CS22&gt;0,IF(CS22&lt;=eco,alpha*fck*(1-(1-CS22/eco)^n),alpha*fck),0)</f>
      </c>
      <c r="CV22" s="12">
        <f>CT22-CU22</f>
      </c>
      <c r="CW22" s="11">
        <f>CV22*$E22</f>
      </c>
      <c r="CX22" s="11">
        <f>CW22*$D22</f>
      </c>
      <c r="CY22" s="11">
        <f>CW22*$C22</f>
      </c>
      <c r="CZ22" s="30">
        <f>PM_Angle!$J$21+PM_Angle!$K$21*$D22+PM_Angle!$L$21*$C22</f>
      </c>
      <c r="DA22" s="12">
        <f>MAX(MIN(Es*CZ22,fy),-fy)</f>
      </c>
      <c r="DB22" s="12">
        <f>IF(CZ22&gt;0,IF(CZ22&lt;=eco,alpha*fck*(1-(1-CZ22/eco)^n),alpha*fck),0)</f>
      </c>
      <c r="DC22" s="12">
        <f>DA22-DB22</f>
      </c>
      <c r="DD22" s="11">
        <f>DC22*$E22</f>
      </c>
      <c r="DE22" s="11">
        <f>DD22*$D22</f>
      </c>
      <c r="DF22" s="11">
        <f>DD22*$C22</f>
      </c>
      <c r="DG22" s="30">
        <f>PM_Angle!$J$22+PM_Angle!$K$22*$D22+PM_Angle!$L$22*$C22</f>
      </c>
      <c r="DH22" s="12">
        <f>MAX(MIN(Es*DG22,fy),-fy)</f>
      </c>
      <c r="DI22" s="12">
        <f>IF(DG22&gt;0,IF(DG22&lt;=eco,alpha*fck*(1-(1-DG22/eco)^n),alpha*fck),0)</f>
      </c>
      <c r="DJ22" s="12">
        <f>DH22-DI22</f>
      </c>
      <c r="DK22" s="11">
        <f>DJ22*$E22</f>
      </c>
      <c r="DL22" s="11">
        <f>DK22*$D22</f>
      </c>
      <c r="DM22" s="11">
        <f>DK22*$C22</f>
      </c>
      <c r="DN22" s="30">
        <f>PM_Angle!$J$23+PM_Angle!$K$23*$D22+PM_Angle!$L$23*$C22</f>
      </c>
      <c r="DO22" s="12">
        <f>MAX(MIN(Es*DN22,fy),-fy)</f>
      </c>
      <c r="DP22" s="12">
        <f>IF(DN22&gt;0,IF(DN22&lt;=eco,alpha*fck*(1-(1-DN22/eco)^n),alpha*fck),0)</f>
      </c>
      <c r="DQ22" s="12">
        <f>DO22-DP22</f>
      </c>
      <c r="DR22" s="11">
        <f>DQ22*$E22</f>
      </c>
      <c r="DS22" s="11">
        <f>DR22*$D22</f>
      </c>
      <c r="DT22" s="11">
        <f>DR22*$C22</f>
      </c>
      <c r="DU22" s="30">
        <f>PM_Angle!$J$24+PM_Angle!$K$24*$D22+PM_Angle!$L$24*$C22</f>
      </c>
      <c r="DV22" s="12">
        <f>MAX(MIN(Es*DU22,fy),-fy)</f>
      </c>
      <c r="DW22" s="12">
        <f>IF(DU22&gt;0,IF(DU22&lt;=eco,alpha*fck*(1-(1-DU22/eco)^n),alpha*fck),0)</f>
      </c>
      <c r="DX22" s="12">
        <f>DV22-DW22</f>
      </c>
      <c r="DY22" s="11">
        <f>DX22*$E22</f>
      </c>
      <c r="DZ22" s="11">
        <f>DY22*$D22</f>
      </c>
      <c r="EA22" s="11">
        <f>DY22*$C22</f>
      </c>
      <c r="EB22" s="30">
        <f>PM_Angle!$J$25+PM_Angle!$K$25*$D22+PM_Angle!$L$25*$C22</f>
      </c>
      <c r="EC22" s="12">
        <f>MAX(MIN(Es*EB22,fy),-fy)</f>
      </c>
      <c r="ED22" s="12">
        <f>IF(EB22&gt;0,IF(EB22&lt;=eco,alpha*fck*(1-(1-EB22/eco)^n),alpha*fck),0)</f>
      </c>
      <c r="EE22" s="12">
        <f>EC22-ED22</f>
      </c>
      <c r="EF22" s="11">
        <f>EE22*$E22</f>
      </c>
      <c r="EG22" s="11">
        <f>EF22*$D22</f>
      </c>
      <c r="EH22" s="11">
        <f>EF22*$C22</f>
      </c>
    </row>
    <row r="23" spans="1:138" x14ac:dyDescent="0.25">
      <c r="A23">
        <v>17</v>
      </c>
      <c r="B23" s="12">
        <f>Geometry!C58</f>
      </c>
      <c r="C23" s="12">
        <f>Geometry!D58</f>
      </c>
      <c r="D23" s="12">
        <f>Geometry!E58</f>
      </c>
      <c r="E23" s="12">
        <f>Geometry!F58</f>
      </c>
      <c r="F23" s="30">
        <f>PM_Angle!$J$7+PM_Angle!$K$7*$D23+PM_Angle!$L$7*$C23</f>
      </c>
      <c r="G23" s="12">
        <f>MAX(MIN(Es*F23,fy),-fy)</f>
      </c>
      <c r="H23" s="12">
        <f>IF(F23&gt;0,IF(F23&lt;=eco,alpha*fck*(1-(1-F23/eco)^n),alpha*fck),0)</f>
      </c>
      <c r="I23" s="12">
        <f>G23-H23</f>
      </c>
      <c r="J23" s="11">
        <f>I23*$E23</f>
      </c>
      <c r="K23" s="11">
        <f>J23*$D23</f>
      </c>
      <c r="L23" s="11">
        <f>J23*$C23</f>
      </c>
      <c r="M23" s="30">
        <f>PM_Angle!$J$8+PM_Angle!$K$8*$D23+PM_Angle!$L$8*$C23</f>
      </c>
      <c r="N23" s="12">
        <f>MAX(MIN(Es*M23,fy),-fy)</f>
      </c>
      <c r="O23" s="12">
        <f>IF(M23&gt;0,IF(M23&lt;=eco,alpha*fck*(1-(1-M23/eco)^n),alpha*fck),0)</f>
      </c>
      <c r="P23" s="12">
        <f>N23-O23</f>
      </c>
      <c r="Q23" s="11">
        <f>P23*$E23</f>
      </c>
      <c r="R23" s="11">
        <f>Q23*$D23</f>
      </c>
      <c r="S23" s="11">
        <f>Q23*$C23</f>
      </c>
      <c r="T23" s="30">
        <f>PM_Angle!$J$9+PM_Angle!$K$9*$D23+PM_Angle!$L$9*$C23</f>
      </c>
      <c r="U23" s="12">
        <f>MAX(MIN(Es*T23,fy),-fy)</f>
      </c>
      <c r="V23" s="12">
        <f>IF(T23&gt;0,IF(T23&lt;=eco,alpha*fck*(1-(1-T23/eco)^n),alpha*fck),0)</f>
      </c>
      <c r="W23" s="12">
        <f>U23-V23</f>
      </c>
      <c r="X23" s="11">
        <f>W23*$E23</f>
      </c>
      <c r="Y23" s="11">
        <f>X23*$D23</f>
      </c>
      <c r="Z23" s="11">
        <f>X23*$C23</f>
      </c>
      <c r="AA23" s="30">
        <f>PM_Angle!$J$10+PM_Angle!$K$10*$D23+PM_Angle!$L$10*$C23</f>
      </c>
      <c r="AB23" s="12">
        <f>MAX(MIN(Es*AA23,fy),-fy)</f>
      </c>
      <c r="AC23" s="12">
        <f>IF(AA23&gt;0,IF(AA23&lt;=eco,alpha*fck*(1-(1-AA23/eco)^n),alpha*fck),0)</f>
      </c>
      <c r="AD23" s="12">
        <f>AB23-AC23</f>
      </c>
      <c r="AE23" s="11">
        <f>AD23*$E23</f>
      </c>
      <c r="AF23" s="11">
        <f>AE23*$D23</f>
      </c>
      <c r="AG23" s="11">
        <f>AE23*$C23</f>
      </c>
      <c r="AH23" s="30">
        <f>PM_Angle!$J$11+PM_Angle!$K$11*$D23+PM_Angle!$L$11*$C23</f>
      </c>
      <c r="AI23" s="12">
        <f>MAX(MIN(Es*AH23,fy),-fy)</f>
      </c>
      <c r="AJ23" s="12">
        <f>IF(AH23&gt;0,IF(AH23&lt;=eco,alpha*fck*(1-(1-AH23/eco)^n),alpha*fck),0)</f>
      </c>
      <c r="AK23" s="12">
        <f>AI23-AJ23</f>
      </c>
      <c r="AL23" s="11">
        <f>AK23*$E23</f>
      </c>
      <c r="AM23" s="11">
        <f>AL23*$D23</f>
      </c>
      <c r="AN23" s="11">
        <f>AL23*$C23</f>
      </c>
      <c r="AO23" s="30">
        <f>PM_Angle!$J$12+PM_Angle!$K$12*$D23+PM_Angle!$L$12*$C23</f>
      </c>
      <c r="AP23" s="12">
        <f>MAX(MIN(Es*AO23,fy),-fy)</f>
      </c>
      <c r="AQ23" s="12">
        <f>IF(AO23&gt;0,IF(AO23&lt;=eco,alpha*fck*(1-(1-AO23/eco)^n),alpha*fck),0)</f>
      </c>
      <c r="AR23" s="12">
        <f>AP23-AQ23</f>
      </c>
      <c r="AS23" s="11">
        <f>AR23*$E23</f>
      </c>
      <c r="AT23" s="11">
        <f>AS23*$D23</f>
      </c>
      <c r="AU23" s="11">
        <f>AS23*$C23</f>
      </c>
      <c r="AV23" s="30">
        <f>PM_Angle!$J$13+PM_Angle!$K$13*$D23+PM_Angle!$L$13*$C23</f>
      </c>
      <c r="AW23" s="12">
        <f>MAX(MIN(Es*AV23,fy),-fy)</f>
      </c>
      <c r="AX23" s="12">
        <f>IF(AV23&gt;0,IF(AV23&lt;=eco,alpha*fck*(1-(1-AV23/eco)^n),alpha*fck),0)</f>
      </c>
      <c r="AY23" s="12">
        <f>AW23-AX23</f>
      </c>
      <c r="AZ23" s="11">
        <f>AY23*$E23</f>
      </c>
      <c r="BA23" s="11">
        <f>AZ23*$D23</f>
      </c>
      <c r="BB23" s="11">
        <f>AZ23*$C23</f>
      </c>
      <c r="BC23" s="30">
        <f>PM_Angle!$J$14+PM_Angle!$K$14*$D23+PM_Angle!$L$14*$C23</f>
      </c>
      <c r="BD23" s="12">
        <f>MAX(MIN(Es*BC23,fy),-fy)</f>
      </c>
      <c r="BE23" s="12">
        <f>IF(BC23&gt;0,IF(BC23&lt;=eco,alpha*fck*(1-(1-BC23/eco)^n),alpha*fck),0)</f>
      </c>
      <c r="BF23" s="12">
        <f>BD23-BE23</f>
      </c>
      <c r="BG23" s="11">
        <f>BF23*$E23</f>
      </c>
      <c r="BH23" s="11">
        <f>BG23*$D23</f>
      </c>
      <c r="BI23" s="11">
        <f>BG23*$C23</f>
      </c>
      <c r="BJ23" s="30">
        <f>PM_Angle!$J$15+PM_Angle!$K$15*$D23+PM_Angle!$L$15*$C23</f>
      </c>
      <c r="BK23" s="12">
        <f>MAX(MIN(Es*BJ23,fy),-fy)</f>
      </c>
      <c r="BL23" s="12">
        <f>IF(BJ23&gt;0,IF(BJ23&lt;=eco,alpha*fck*(1-(1-BJ23/eco)^n),alpha*fck),0)</f>
      </c>
      <c r="BM23" s="12">
        <f>BK23-BL23</f>
      </c>
      <c r="BN23" s="11">
        <f>BM23*$E23</f>
      </c>
      <c r="BO23" s="11">
        <f>BN23*$D23</f>
      </c>
      <c r="BP23" s="11">
        <f>BN23*$C23</f>
      </c>
      <c r="BQ23" s="30">
        <f>PM_Angle!$J$16+PM_Angle!$K$16*$D23+PM_Angle!$L$16*$C23</f>
      </c>
      <c r="BR23" s="12">
        <f>MAX(MIN(Es*BQ23,fy),-fy)</f>
      </c>
      <c r="BS23" s="12">
        <f>IF(BQ23&gt;0,IF(BQ23&lt;=eco,alpha*fck*(1-(1-BQ23/eco)^n),alpha*fck),0)</f>
      </c>
      <c r="BT23" s="12">
        <f>BR23-BS23</f>
      </c>
      <c r="BU23" s="11">
        <f>BT23*$E23</f>
      </c>
      <c r="BV23" s="11">
        <f>BU23*$D23</f>
      </c>
      <c r="BW23" s="11">
        <f>BU23*$C23</f>
      </c>
      <c r="BX23" s="30">
        <f>PM_Angle!$J$17+PM_Angle!$K$17*$D23+PM_Angle!$L$17*$C23</f>
      </c>
      <c r="BY23" s="12">
        <f>MAX(MIN(Es*BX23,fy),-fy)</f>
      </c>
      <c r="BZ23" s="12">
        <f>IF(BX23&gt;0,IF(BX23&lt;=eco,alpha*fck*(1-(1-BX23/eco)^n),alpha*fck),0)</f>
      </c>
      <c r="CA23" s="12">
        <f>BY23-BZ23</f>
      </c>
      <c r="CB23" s="11">
        <f>CA23*$E23</f>
      </c>
      <c r="CC23" s="11">
        <f>CB23*$D23</f>
      </c>
      <c r="CD23" s="11">
        <f>CB23*$C23</f>
      </c>
      <c r="CE23" s="30">
        <f>PM_Angle!$J$18+PM_Angle!$K$18*$D23+PM_Angle!$L$18*$C23</f>
      </c>
      <c r="CF23" s="12">
        <f>MAX(MIN(Es*CE23,fy),-fy)</f>
      </c>
      <c r="CG23" s="12">
        <f>IF(CE23&gt;0,IF(CE23&lt;=eco,alpha*fck*(1-(1-CE23/eco)^n),alpha*fck),0)</f>
      </c>
      <c r="CH23" s="12">
        <f>CF23-CG23</f>
      </c>
      <c r="CI23" s="11">
        <f>CH23*$E23</f>
      </c>
      <c r="CJ23" s="11">
        <f>CI23*$D23</f>
      </c>
      <c r="CK23" s="11">
        <f>CI23*$C23</f>
      </c>
      <c r="CL23" s="30">
        <f>PM_Angle!$J$19+PM_Angle!$K$19*$D23+PM_Angle!$L$19*$C23</f>
      </c>
      <c r="CM23" s="12">
        <f>MAX(MIN(Es*CL23,fy),-fy)</f>
      </c>
      <c r="CN23" s="12">
        <f>IF(CL23&gt;0,IF(CL23&lt;=eco,alpha*fck*(1-(1-CL23/eco)^n),alpha*fck),0)</f>
      </c>
      <c r="CO23" s="12">
        <f>CM23-CN23</f>
      </c>
      <c r="CP23" s="11">
        <f>CO23*$E23</f>
      </c>
      <c r="CQ23" s="11">
        <f>CP23*$D23</f>
      </c>
      <c r="CR23" s="11">
        <f>CP23*$C23</f>
      </c>
      <c r="CS23" s="30">
        <f>PM_Angle!$J$20+PM_Angle!$K$20*$D23+PM_Angle!$L$20*$C23</f>
      </c>
      <c r="CT23" s="12">
        <f>MAX(MIN(Es*CS23,fy),-fy)</f>
      </c>
      <c r="CU23" s="12">
        <f>IF(CS23&gt;0,IF(CS23&lt;=eco,alpha*fck*(1-(1-CS23/eco)^n),alpha*fck),0)</f>
      </c>
      <c r="CV23" s="12">
        <f>CT23-CU23</f>
      </c>
      <c r="CW23" s="11">
        <f>CV23*$E23</f>
      </c>
      <c r="CX23" s="11">
        <f>CW23*$D23</f>
      </c>
      <c r="CY23" s="11">
        <f>CW23*$C23</f>
      </c>
      <c r="CZ23" s="30">
        <f>PM_Angle!$J$21+PM_Angle!$K$21*$D23+PM_Angle!$L$21*$C23</f>
      </c>
      <c r="DA23" s="12">
        <f>MAX(MIN(Es*CZ23,fy),-fy)</f>
      </c>
      <c r="DB23" s="12">
        <f>IF(CZ23&gt;0,IF(CZ23&lt;=eco,alpha*fck*(1-(1-CZ23/eco)^n),alpha*fck),0)</f>
      </c>
      <c r="DC23" s="12">
        <f>DA23-DB23</f>
      </c>
      <c r="DD23" s="11">
        <f>DC23*$E23</f>
      </c>
      <c r="DE23" s="11">
        <f>DD23*$D23</f>
      </c>
      <c r="DF23" s="11">
        <f>DD23*$C23</f>
      </c>
      <c r="DG23" s="30">
        <f>PM_Angle!$J$22+PM_Angle!$K$22*$D23+PM_Angle!$L$22*$C23</f>
      </c>
      <c r="DH23" s="12">
        <f>MAX(MIN(Es*DG23,fy),-fy)</f>
      </c>
      <c r="DI23" s="12">
        <f>IF(DG23&gt;0,IF(DG23&lt;=eco,alpha*fck*(1-(1-DG23/eco)^n),alpha*fck),0)</f>
      </c>
      <c r="DJ23" s="12">
        <f>DH23-DI23</f>
      </c>
      <c r="DK23" s="11">
        <f>DJ23*$E23</f>
      </c>
      <c r="DL23" s="11">
        <f>DK23*$D23</f>
      </c>
      <c r="DM23" s="11">
        <f>DK23*$C23</f>
      </c>
      <c r="DN23" s="30">
        <f>PM_Angle!$J$23+PM_Angle!$K$23*$D23+PM_Angle!$L$23*$C23</f>
      </c>
      <c r="DO23" s="12">
        <f>MAX(MIN(Es*DN23,fy),-fy)</f>
      </c>
      <c r="DP23" s="12">
        <f>IF(DN23&gt;0,IF(DN23&lt;=eco,alpha*fck*(1-(1-DN23/eco)^n),alpha*fck),0)</f>
      </c>
      <c r="DQ23" s="12">
        <f>DO23-DP23</f>
      </c>
      <c r="DR23" s="11">
        <f>DQ23*$E23</f>
      </c>
      <c r="DS23" s="11">
        <f>DR23*$D23</f>
      </c>
      <c r="DT23" s="11">
        <f>DR23*$C23</f>
      </c>
      <c r="DU23" s="30">
        <f>PM_Angle!$J$24+PM_Angle!$K$24*$D23+PM_Angle!$L$24*$C23</f>
      </c>
      <c r="DV23" s="12">
        <f>MAX(MIN(Es*DU23,fy),-fy)</f>
      </c>
      <c r="DW23" s="12">
        <f>IF(DU23&gt;0,IF(DU23&lt;=eco,alpha*fck*(1-(1-DU23/eco)^n),alpha*fck),0)</f>
      </c>
      <c r="DX23" s="12">
        <f>DV23-DW23</f>
      </c>
      <c r="DY23" s="11">
        <f>DX23*$E23</f>
      </c>
      <c r="DZ23" s="11">
        <f>DY23*$D23</f>
      </c>
      <c r="EA23" s="11">
        <f>DY23*$C23</f>
      </c>
      <c r="EB23" s="30">
        <f>PM_Angle!$J$25+PM_Angle!$K$25*$D23+PM_Angle!$L$25*$C23</f>
      </c>
      <c r="EC23" s="12">
        <f>MAX(MIN(Es*EB23,fy),-fy)</f>
      </c>
      <c r="ED23" s="12">
        <f>IF(EB23&gt;0,IF(EB23&lt;=eco,alpha*fck*(1-(1-EB23/eco)^n),alpha*fck),0)</f>
      </c>
      <c r="EE23" s="12">
        <f>EC23-ED23</f>
      </c>
      <c r="EF23" s="11">
        <f>EE23*$E23</f>
      </c>
      <c r="EG23" s="11">
        <f>EF23*$D23</f>
      </c>
      <c r="EH23" s="11">
        <f>EF23*$C23</f>
      </c>
    </row>
    <row r="24" spans="1:138" x14ac:dyDescent="0.25">
      <c r="A24">
        <v>18</v>
      </c>
      <c r="B24" s="12">
        <f>Geometry!C59</f>
      </c>
      <c r="C24" s="12">
        <f>Geometry!D59</f>
      </c>
      <c r="D24" s="12">
        <f>Geometry!E59</f>
      </c>
      <c r="E24" s="12">
        <f>Geometry!F59</f>
      </c>
      <c r="F24" s="30">
        <f>PM_Angle!$J$7+PM_Angle!$K$7*$D24+PM_Angle!$L$7*$C24</f>
      </c>
      <c r="G24" s="12">
        <f>MAX(MIN(Es*F24,fy),-fy)</f>
      </c>
      <c r="H24" s="12">
        <f>IF(F24&gt;0,IF(F24&lt;=eco,alpha*fck*(1-(1-F24/eco)^n),alpha*fck),0)</f>
      </c>
      <c r="I24" s="12">
        <f>G24-H24</f>
      </c>
      <c r="J24" s="11">
        <f>I24*$E24</f>
      </c>
      <c r="K24" s="11">
        <f>J24*$D24</f>
      </c>
      <c r="L24" s="11">
        <f>J24*$C24</f>
      </c>
      <c r="M24" s="30">
        <f>PM_Angle!$J$8+PM_Angle!$K$8*$D24+PM_Angle!$L$8*$C24</f>
      </c>
      <c r="N24" s="12">
        <f>MAX(MIN(Es*M24,fy),-fy)</f>
      </c>
      <c r="O24" s="12">
        <f>IF(M24&gt;0,IF(M24&lt;=eco,alpha*fck*(1-(1-M24/eco)^n),alpha*fck),0)</f>
      </c>
      <c r="P24" s="12">
        <f>N24-O24</f>
      </c>
      <c r="Q24" s="11">
        <f>P24*$E24</f>
      </c>
      <c r="R24" s="11">
        <f>Q24*$D24</f>
      </c>
      <c r="S24" s="11">
        <f>Q24*$C24</f>
      </c>
      <c r="T24" s="30">
        <f>PM_Angle!$J$9+PM_Angle!$K$9*$D24+PM_Angle!$L$9*$C24</f>
      </c>
      <c r="U24" s="12">
        <f>MAX(MIN(Es*T24,fy),-fy)</f>
      </c>
      <c r="V24" s="12">
        <f>IF(T24&gt;0,IF(T24&lt;=eco,alpha*fck*(1-(1-T24/eco)^n),alpha*fck),0)</f>
      </c>
      <c r="W24" s="12">
        <f>U24-V24</f>
      </c>
      <c r="X24" s="11">
        <f>W24*$E24</f>
      </c>
      <c r="Y24" s="11">
        <f>X24*$D24</f>
      </c>
      <c r="Z24" s="11">
        <f>X24*$C24</f>
      </c>
      <c r="AA24" s="30">
        <f>PM_Angle!$J$10+PM_Angle!$K$10*$D24+PM_Angle!$L$10*$C24</f>
      </c>
      <c r="AB24" s="12">
        <f>MAX(MIN(Es*AA24,fy),-fy)</f>
      </c>
      <c r="AC24" s="12">
        <f>IF(AA24&gt;0,IF(AA24&lt;=eco,alpha*fck*(1-(1-AA24/eco)^n),alpha*fck),0)</f>
      </c>
      <c r="AD24" s="12">
        <f>AB24-AC24</f>
      </c>
      <c r="AE24" s="11">
        <f>AD24*$E24</f>
      </c>
      <c r="AF24" s="11">
        <f>AE24*$D24</f>
      </c>
      <c r="AG24" s="11">
        <f>AE24*$C24</f>
      </c>
      <c r="AH24" s="30">
        <f>PM_Angle!$J$11+PM_Angle!$K$11*$D24+PM_Angle!$L$11*$C24</f>
      </c>
      <c r="AI24" s="12">
        <f>MAX(MIN(Es*AH24,fy),-fy)</f>
      </c>
      <c r="AJ24" s="12">
        <f>IF(AH24&gt;0,IF(AH24&lt;=eco,alpha*fck*(1-(1-AH24/eco)^n),alpha*fck),0)</f>
      </c>
      <c r="AK24" s="12">
        <f>AI24-AJ24</f>
      </c>
      <c r="AL24" s="11">
        <f>AK24*$E24</f>
      </c>
      <c r="AM24" s="11">
        <f>AL24*$D24</f>
      </c>
      <c r="AN24" s="11">
        <f>AL24*$C24</f>
      </c>
      <c r="AO24" s="30">
        <f>PM_Angle!$J$12+PM_Angle!$K$12*$D24+PM_Angle!$L$12*$C24</f>
      </c>
      <c r="AP24" s="12">
        <f>MAX(MIN(Es*AO24,fy),-fy)</f>
      </c>
      <c r="AQ24" s="12">
        <f>IF(AO24&gt;0,IF(AO24&lt;=eco,alpha*fck*(1-(1-AO24/eco)^n),alpha*fck),0)</f>
      </c>
      <c r="AR24" s="12">
        <f>AP24-AQ24</f>
      </c>
      <c r="AS24" s="11">
        <f>AR24*$E24</f>
      </c>
      <c r="AT24" s="11">
        <f>AS24*$D24</f>
      </c>
      <c r="AU24" s="11">
        <f>AS24*$C24</f>
      </c>
      <c r="AV24" s="30">
        <f>PM_Angle!$J$13+PM_Angle!$K$13*$D24+PM_Angle!$L$13*$C24</f>
      </c>
      <c r="AW24" s="12">
        <f>MAX(MIN(Es*AV24,fy),-fy)</f>
      </c>
      <c r="AX24" s="12">
        <f>IF(AV24&gt;0,IF(AV24&lt;=eco,alpha*fck*(1-(1-AV24/eco)^n),alpha*fck),0)</f>
      </c>
      <c r="AY24" s="12">
        <f>AW24-AX24</f>
      </c>
      <c r="AZ24" s="11">
        <f>AY24*$E24</f>
      </c>
      <c r="BA24" s="11">
        <f>AZ24*$D24</f>
      </c>
      <c r="BB24" s="11">
        <f>AZ24*$C24</f>
      </c>
      <c r="BC24" s="30">
        <f>PM_Angle!$J$14+PM_Angle!$K$14*$D24+PM_Angle!$L$14*$C24</f>
      </c>
      <c r="BD24" s="12">
        <f>MAX(MIN(Es*BC24,fy),-fy)</f>
      </c>
      <c r="BE24" s="12">
        <f>IF(BC24&gt;0,IF(BC24&lt;=eco,alpha*fck*(1-(1-BC24/eco)^n),alpha*fck),0)</f>
      </c>
      <c r="BF24" s="12">
        <f>BD24-BE24</f>
      </c>
      <c r="BG24" s="11">
        <f>BF24*$E24</f>
      </c>
      <c r="BH24" s="11">
        <f>BG24*$D24</f>
      </c>
      <c r="BI24" s="11">
        <f>BG24*$C24</f>
      </c>
      <c r="BJ24" s="30">
        <f>PM_Angle!$J$15+PM_Angle!$K$15*$D24+PM_Angle!$L$15*$C24</f>
      </c>
      <c r="BK24" s="12">
        <f>MAX(MIN(Es*BJ24,fy),-fy)</f>
      </c>
      <c r="BL24" s="12">
        <f>IF(BJ24&gt;0,IF(BJ24&lt;=eco,alpha*fck*(1-(1-BJ24/eco)^n),alpha*fck),0)</f>
      </c>
      <c r="BM24" s="12">
        <f>BK24-BL24</f>
      </c>
      <c r="BN24" s="11">
        <f>BM24*$E24</f>
      </c>
      <c r="BO24" s="11">
        <f>BN24*$D24</f>
      </c>
      <c r="BP24" s="11">
        <f>BN24*$C24</f>
      </c>
      <c r="BQ24" s="30">
        <f>PM_Angle!$J$16+PM_Angle!$K$16*$D24+PM_Angle!$L$16*$C24</f>
      </c>
      <c r="BR24" s="12">
        <f>MAX(MIN(Es*BQ24,fy),-fy)</f>
      </c>
      <c r="BS24" s="12">
        <f>IF(BQ24&gt;0,IF(BQ24&lt;=eco,alpha*fck*(1-(1-BQ24/eco)^n),alpha*fck),0)</f>
      </c>
      <c r="BT24" s="12">
        <f>BR24-BS24</f>
      </c>
      <c r="BU24" s="11">
        <f>BT24*$E24</f>
      </c>
      <c r="BV24" s="11">
        <f>BU24*$D24</f>
      </c>
      <c r="BW24" s="11">
        <f>BU24*$C24</f>
      </c>
      <c r="BX24" s="30">
        <f>PM_Angle!$J$17+PM_Angle!$K$17*$D24+PM_Angle!$L$17*$C24</f>
      </c>
      <c r="BY24" s="12">
        <f>MAX(MIN(Es*BX24,fy),-fy)</f>
      </c>
      <c r="BZ24" s="12">
        <f>IF(BX24&gt;0,IF(BX24&lt;=eco,alpha*fck*(1-(1-BX24/eco)^n),alpha*fck),0)</f>
      </c>
      <c r="CA24" s="12">
        <f>BY24-BZ24</f>
      </c>
      <c r="CB24" s="11">
        <f>CA24*$E24</f>
      </c>
      <c r="CC24" s="11">
        <f>CB24*$D24</f>
      </c>
      <c r="CD24" s="11">
        <f>CB24*$C24</f>
      </c>
      <c r="CE24" s="30">
        <f>PM_Angle!$J$18+PM_Angle!$K$18*$D24+PM_Angle!$L$18*$C24</f>
      </c>
      <c r="CF24" s="12">
        <f>MAX(MIN(Es*CE24,fy),-fy)</f>
      </c>
      <c r="CG24" s="12">
        <f>IF(CE24&gt;0,IF(CE24&lt;=eco,alpha*fck*(1-(1-CE24/eco)^n),alpha*fck),0)</f>
      </c>
      <c r="CH24" s="12">
        <f>CF24-CG24</f>
      </c>
      <c r="CI24" s="11">
        <f>CH24*$E24</f>
      </c>
      <c r="CJ24" s="11">
        <f>CI24*$D24</f>
      </c>
      <c r="CK24" s="11">
        <f>CI24*$C24</f>
      </c>
      <c r="CL24" s="30">
        <f>PM_Angle!$J$19+PM_Angle!$K$19*$D24+PM_Angle!$L$19*$C24</f>
      </c>
      <c r="CM24" s="12">
        <f>MAX(MIN(Es*CL24,fy),-fy)</f>
      </c>
      <c r="CN24" s="12">
        <f>IF(CL24&gt;0,IF(CL24&lt;=eco,alpha*fck*(1-(1-CL24/eco)^n),alpha*fck),0)</f>
      </c>
      <c r="CO24" s="12">
        <f>CM24-CN24</f>
      </c>
      <c r="CP24" s="11">
        <f>CO24*$E24</f>
      </c>
      <c r="CQ24" s="11">
        <f>CP24*$D24</f>
      </c>
      <c r="CR24" s="11">
        <f>CP24*$C24</f>
      </c>
      <c r="CS24" s="30">
        <f>PM_Angle!$J$20+PM_Angle!$K$20*$D24+PM_Angle!$L$20*$C24</f>
      </c>
      <c r="CT24" s="12">
        <f>MAX(MIN(Es*CS24,fy),-fy)</f>
      </c>
      <c r="CU24" s="12">
        <f>IF(CS24&gt;0,IF(CS24&lt;=eco,alpha*fck*(1-(1-CS24/eco)^n),alpha*fck),0)</f>
      </c>
      <c r="CV24" s="12">
        <f>CT24-CU24</f>
      </c>
      <c r="CW24" s="11">
        <f>CV24*$E24</f>
      </c>
      <c r="CX24" s="11">
        <f>CW24*$D24</f>
      </c>
      <c r="CY24" s="11">
        <f>CW24*$C24</f>
      </c>
      <c r="CZ24" s="30">
        <f>PM_Angle!$J$21+PM_Angle!$K$21*$D24+PM_Angle!$L$21*$C24</f>
      </c>
      <c r="DA24" s="12">
        <f>MAX(MIN(Es*CZ24,fy),-fy)</f>
      </c>
      <c r="DB24" s="12">
        <f>IF(CZ24&gt;0,IF(CZ24&lt;=eco,alpha*fck*(1-(1-CZ24/eco)^n),alpha*fck),0)</f>
      </c>
      <c r="DC24" s="12">
        <f>DA24-DB24</f>
      </c>
      <c r="DD24" s="11">
        <f>DC24*$E24</f>
      </c>
      <c r="DE24" s="11">
        <f>DD24*$D24</f>
      </c>
      <c r="DF24" s="11">
        <f>DD24*$C24</f>
      </c>
      <c r="DG24" s="30">
        <f>PM_Angle!$J$22+PM_Angle!$K$22*$D24+PM_Angle!$L$22*$C24</f>
      </c>
      <c r="DH24" s="12">
        <f>MAX(MIN(Es*DG24,fy),-fy)</f>
      </c>
      <c r="DI24" s="12">
        <f>IF(DG24&gt;0,IF(DG24&lt;=eco,alpha*fck*(1-(1-DG24/eco)^n),alpha*fck),0)</f>
      </c>
      <c r="DJ24" s="12">
        <f>DH24-DI24</f>
      </c>
      <c r="DK24" s="11">
        <f>DJ24*$E24</f>
      </c>
      <c r="DL24" s="11">
        <f>DK24*$D24</f>
      </c>
      <c r="DM24" s="11">
        <f>DK24*$C24</f>
      </c>
      <c r="DN24" s="30">
        <f>PM_Angle!$J$23+PM_Angle!$K$23*$D24+PM_Angle!$L$23*$C24</f>
      </c>
      <c r="DO24" s="12">
        <f>MAX(MIN(Es*DN24,fy),-fy)</f>
      </c>
      <c r="DP24" s="12">
        <f>IF(DN24&gt;0,IF(DN24&lt;=eco,alpha*fck*(1-(1-DN24/eco)^n),alpha*fck),0)</f>
      </c>
      <c r="DQ24" s="12">
        <f>DO24-DP24</f>
      </c>
      <c r="DR24" s="11">
        <f>DQ24*$E24</f>
      </c>
      <c r="DS24" s="11">
        <f>DR24*$D24</f>
      </c>
      <c r="DT24" s="11">
        <f>DR24*$C24</f>
      </c>
      <c r="DU24" s="30">
        <f>PM_Angle!$J$24+PM_Angle!$K$24*$D24+PM_Angle!$L$24*$C24</f>
      </c>
      <c r="DV24" s="12">
        <f>MAX(MIN(Es*DU24,fy),-fy)</f>
      </c>
      <c r="DW24" s="12">
        <f>IF(DU24&gt;0,IF(DU24&lt;=eco,alpha*fck*(1-(1-DU24/eco)^n),alpha*fck),0)</f>
      </c>
      <c r="DX24" s="12">
        <f>DV24-DW24</f>
      </c>
      <c r="DY24" s="11">
        <f>DX24*$E24</f>
      </c>
      <c r="DZ24" s="11">
        <f>DY24*$D24</f>
      </c>
      <c r="EA24" s="11">
        <f>DY24*$C24</f>
      </c>
      <c r="EB24" s="30">
        <f>PM_Angle!$J$25+PM_Angle!$K$25*$D24+PM_Angle!$L$25*$C24</f>
      </c>
      <c r="EC24" s="12">
        <f>MAX(MIN(Es*EB24,fy),-fy)</f>
      </c>
      <c r="ED24" s="12">
        <f>IF(EB24&gt;0,IF(EB24&lt;=eco,alpha*fck*(1-(1-EB24/eco)^n),alpha*fck),0)</f>
      </c>
      <c r="EE24" s="12">
        <f>EC24-ED24</f>
      </c>
      <c r="EF24" s="11">
        <f>EE24*$E24</f>
      </c>
      <c r="EG24" s="11">
        <f>EF24*$D24</f>
      </c>
      <c r="EH24" s="11">
        <f>EF24*$C24</f>
      </c>
    </row>
  </sheetData>
  <mergeCells count="21">
    <mergeCell ref="A1:L1"/>
    <mergeCell ref="A2:L2"/>
    <mergeCell ref="F4:L4"/>
    <mergeCell ref="M4:S4"/>
    <mergeCell ref="T4:Z4"/>
    <mergeCell ref="AA4:AG4"/>
    <mergeCell ref="AH4:AN4"/>
    <mergeCell ref="AO4:AU4"/>
    <mergeCell ref="AV4:BB4"/>
    <mergeCell ref="BC4:BI4"/>
    <mergeCell ref="BJ4:BP4"/>
    <mergeCell ref="BQ4:BW4"/>
    <mergeCell ref="BX4:CD4"/>
    <mergeCell ref="CE4:CK4"/>
    <mergeCell ref="CL4:CR4"/>
    <mergeCell ref="CS4:CY4"/>
    <mergeCell ref="CZ4:DF4"/>
    <mergeCell ref="DG4:DM4"/>
    <mergeCell ref="DN4:DT4"/>
    <mergeCell ref="DU4:EA4"/>
    <mergeCell ref="EB4:E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3"/>
  <sheetViews>
    <sheetView workbookViewId="0">
      <pane xSplit="1" ySplit="8" topLeftCell="B9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124" width="12" customWidth="1"/>
  </cols>
  <sheetData>
    <row r="1" ht="22" customHeight="1" spans="2:13" x14ac:dyDescent="0.25">
      <c r="B1" s="1" t="s">
        <v>150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2:14" x14ac:dyDescent="0.25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24" x14ac:dyDescent="0.25">
      <c r="B6" s="18" t="s">
        <v>152</v>
      </c>
      <c r="C6" s="18"/>
      <c r="D6" s="18"/>
      <c r="E6" s="18"/>
      <c r="F6" s="18" t="s">
        <v>153</v>
      </c>
      <c r="G6" s="18"/>
      <c r="H6" s="18"/>
      <c r="I6" s="18" t="s">
        <v>154</v>
      </c>
      <c r="J6" s="18"/>
      <c r="K6" s="18"/>
      <c r="L6" s="18" t="s">
        <v>155</v>
      </c>
      <c r="M6" s="18"/>
      <c r="N6" s="18"/>
      <c r="O6" s="18" t="s">
        <v>156</v>
      </c>
      <c r="P6" s="18"/>
      <c r="Q6" s="18"/>
      <c r="R6" s="18" t="s">
        <v>157</v>
      </c>
      <c r="S6" s="18"/>
      <c r="T6" s="18"/>
      <c r="U6" s="18" t="s">
        <v>158</v>
      </c>
      <c r="V6" s="18"/>
      <c r="W6" s="18"/>
      <c r="X6" s="18" t="s">
        <v>159</v>
      </c>
      <c r="Y6" s="18"/>
      <c r="Z6" s="18"/>
      <c r="AA6" s="18" t="s">
        <v>160</v>
      </c>
      <c r="AB6" s="18"/>
      <c r="AC6" s="18"/>
      <c r="AD6" s="18" t="s">
        <v>161</v>
      </c>
      <c r="AE6" s="18"/>
      <c r="AF6" s="18"/>
      <c r="AG6" s="18" t="s">
        <v>162</v>
      </c>
      <c r="AH6" s="18"/>
      <c r="AI6" s="18"/>
      <c r="AJ6" s="18" t="s">
        <v>163</v>
      </c>
      <c r="AK6" s="18"/>
      <c r="AL6" s="18"/>
      <c r="AM6" s="18" t="s">
        <v>164</v>
      </c>
      <c r="AN6" s="18"/>
      <c r="AO6" s="18"/>
      <c r="AP6" s="18" t="s">
        <v>165</v>
      </c>
      <c r="AQ6" s="18"/>
      <c r="AR6" s="18"/>
      <c r="AS6" s="18" t="s">
        <v>166</v>
      </c>
      <c r="AT6" s="18"/>
      <c r="AU6" s="18"/>
      <c r="AV6" s="18" t="s">
        <v>167</v>
      </c>
      <c r="AW6" s="18"/>
      <c r="AX6" s="18"/>
      <c r="AY6" s="18" t="s">
        <v>168</v>
      </c>
      <c r="AZ6" s="18"/>
      <c r="BA6" s="18"/>
      <c r="BB6" s="18" t="s">
        <v>169</v>
      </c>
      <c r="BC6" s="18"/>
      <c r="BD6" s="18"/>
      <c r="BE6" s="18" t="s">
        <v>170</v>
      </c>
      <c r="BF6" s="18"/>
      <c r="BG6" s="18"/>
      <c r="BH6" s="18" t="s">
        <v>171</v>
      </c>
      <c r="BI6" s="18"/>
      <c r="BJ6" s="18"/>
      <c r="BK6" s="18" t="s">
        <v>172</v>
      </c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 t="s">
        <v>173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 t="s">
        <v>174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 t="s">
        <v>175</v>
      </c>
      <c r="DQ6" s="18"/>
      <c r="DR6" s="18"/>
      <c r="DS6" s="18"/>
      <c r="DT6" s="18"/>
    </row>
    <row r="7" ht="26" customHeight="1" spans="2:124" x14ac:dyDescent="0.25">
      <c r="B7" s="9" t="s">
        <v>176</v>
      </c>
      <c r="C7" s="9" t="s">
        <v>177</v>
      </c>
      <c r="D7" s="9" t="s">
        <v>178</v>
      </c>
      <c r="E7" s="9" t="s">
        <v>179</v>
      </c>
      <c r="F7" s="9" t="s">
        <v>95</v>
      </c>
      <c r="G7" s="9" t="s">
        <v>180</v>
      </c>
      <c r="H7" s="9" t="s">
        <v>181</v>
      </c>
      <c r="I7" s="9" t="s">
        <v>95</v>
      </c>
      <c r="J7" s="9" t="s">
        <v>180</v>
      </c>
      <c r="K7" s="9" t="s">
        <v>181</v>
      </c>
      <c r="L7" s="9" t="s">
        <v>95</v>
      </c>
      <c r="M7" s="9" t="s">
        <v>180</v>
      </c>
      <c r="N7" s="9" t="s">
        <v>181</v>
      </c>
      <c r="O7" s="9" t="s">
        <v>95</v>
      </c>
      <c r="P7" s="9" t="s">
        <v>180</v>
      </c>
      <c r="Q7" s="9" t="s">
        <v>181</v>
      </c>
      <c r="R7" s="9" t="s">
        <v>95</v>
      </c>
      <c r="S7" s="9" t="s">
        <v>180</v>
      </c>
      <c r="T7" s="9" t="s">
        <v>181</v>
      </c>
      <c r="U7" s="9" t="s">
        <v>95</v>
      </c>
      <c r="V7" s="9" t="s">
        <v>180</v>
      </c>
      <c r="W7" s="9" t="s">
        <v>181</v>
      </c>
      <c r="X7" s="9" t="s">
        <v>95</v>
      </c>
      <c r="Y7" s="9" t="s">
        <v>180</v>
      </c>
      <c r="Z7" s="9" t="s">
        <v>181</v>
      </c>
      <c r="AA7" s="9" t="s">
        <v>95</v>
      </c>
      <c r="AB7" s="9" t="s">
        <v>180</v>
      </c>
      <c r="AC7" s="9" t="s">
        <v>181</v>
      </c>
      <c r="AD7" s="9" t="s">
        <v>95</v>
      </c>
      <c r="AE7" s="9" t="s">
        <v>180</v>
      </c>
      <c r="AF7" s="9" t="s">
        <v>181</v>
      </c>
      <c r="AG7" s="9" t="s">
        <v>95</v>
      </c>
      <c r="AH7" s="9" t="s">
        <v>180</v>
      </c>
      <c r="AI7" s="9" t="s">
        <v>181</v>
      </c>
      <c r="AJ7" s="9" t="s">
        <v>95</v>
      </c>
      <c r="AK7" s="9" t="s">
        <v>180</v>
      </c>
      <c r="AL7" s="9" t="s">
        <v>181</v>
      </c>
      <c r="AM7" s="9" t="s">
        <v>95</v>
      </c>
      <c r="AN7" s="9" t="s">
        <v>180</v>
      </c>
      <c r="AO7" s="9" t="s">
        <v>181</v>
      </c>
      <c r="AP7" s="9" t="s">
        <v>95</v>
      </c>
      <c r="AQ7" s="9" t="s">
        <v>180</v>
      </c>
      <c r="AR7" s="9" t="s">
        <v>181</v>
      </c>
      <c r="AS7" s="9" t="s">
        <v>95</v>
      </c>
      <c r="AT7" s="9" t="s">
        <v>180</v>
      </c>
      <c r="AU7" s="9" t="s">
        <v>181</v>
      </c>
      <c r="AV7" s="9" t="s">
        <v>95</v>
      </c>
      <c r="AW7" s="9" t="s">
        <v>180</v>
      </c>
      <c r="AX7" s="9" t="s">
        <v>181</v>
      </c>
      <c r="AY7" s="9" t="s">
        <v>95</v>
      </c>
      <c r="AZ7" s="9" t="s">
        <v>180</v>
      </c>
      <c r="BA7" s="9" t="s">
        <v>181</v>
      </c>
      <c r="BB7" s="9" t="s">
        <v>95</v>
      </c>
      <c r="BC7" s="9" t="s">
        <v>180</v>
      </c>
      <c r="BD7" s="9" t="s">
        <v>181</v>
      </c>
      <c r="BE7" s="9" t="s">
        <v>95</v>
      </c>
      <c r="BF7" s="9" t="s">
        <v>180</v>
      </c>
      <c r="BG7" s="9" t="s">
        <v>181</v>
      </c>
      <c r="BH7" s="9" t="s">
        <v>95</v>
      </c>
      <c r="BI7" s="9" t="s">
        <v>180</v>
      </c>
      <c r="BJ7" s="9" t="s">
        <v>181</v>
      </c>
      <c r="BK7" s="9" t="s">
        <v>104</v>
      </c>
      <c r="BL7" s="9" t="s">
        <v>107</v>
      </c>
      <c r="BM7" s="9" t="s">
        <v>108</v>
      </c>
      <c r="BN7" s="9" t="s">
        <v>109</v>
      </c>
      <c r="BO7" s="9" t="s">
        <v>110</v>
      </c>
      <c r="BP7" s="9" t="s">
        <v>111</v>
      </c>
      <c r="BQ7" s="9" t="s">
        <v>112</v>
      </c>
      <c r="BR7" s="9" t="s">
        <v>113</v>
      </c>
      <c r="BS7" s="9" t="s">
        <v>114</v>
      </c>
      <c r="BT7" s="9" t="s">
        <v>115</v>
      </c>
      <c r="BU7" s="9" t="s">
        <v>116</v>
      </c>
      <c r="BV7" s="9" t="s">
        <v>117</v>
      </c>
      <c r="BW7" s="9" t="s">
        <v>118</v>
      </c>
      <c r="BX7" s="9" t="s">
        <v>119</v>
      </c>
      <c r="BY7" s="9" t="s">
        <v>120</v>
      </c>
      <c r="BZ7" s="9" t="s">
        <v>121</v>
      </c>
      <c r="CA7" s="9" t="s">
        <v>122</v>
      </c>
      <c r="CB7" s="9" t="s">
        <v>123</v>
      </c>
      <c r="CC7" s="9" t="s">
        <v>124</v>
      </c>
      <c r="CD7" s="9" t="s">
        <v>104</v>
      </c>
      <c r="CE7" s="9" t="s">
        <v>107</v>
      </c>
      <c r="CF7" s="9" t="s">
        <v>108</v>
      </c>
      <c r="CG7" s="9" t="s">
        <v>109</v>
      </c>
      <c r="CH7" s="9" t="s">
        <v>110</v>
      </c>
      <c r="CI7" s="9" t="s">
        <v>111</v>
      </c>
      <c r="CJ7" s="9" t="s">
        <v>112</v>
      </c>
      <c r="CK7" s="9" t="s">
        <v>113</v>
      </c>
      <c r="CL7" s="9" t="s">
        <v>114</v>
      </c>
      <c r="CM7" s="9" t="s">
        <v>115</v>
      </c>
      <c r="CN7" s="9" t="s">
        <v>116</v>
      </c>
      <c r="CO7" s="9" t="s">
        <v>117</v>
      </c>
      <c r="CP7" s="9" t="s">
        <v>118</v>
      </c>
      <c r="CQ7" s="9" t="s">
        <v>119</v>
      </c>
      <c r="CR7" s="9" t="s">
        <v>120</v>
      </c>
      <c r="CS7" s="9" t="s">
        <v>121</v>
      </c>
      <c r="CT7" s="9" t="s">
        <v>122</v>
      </c>
      <c r="CU7" s="9" t="s">
        <v>123</v>
      </c>
      <c r="CV7" s="9" t="s">
        <v>124</v>
      </c>
      <c r="CW7" s="9" t="s">
        <v>104</v>
      </c>
      <c r="CX7" s="9" t="s">
        <v>107</v>
      </c>
      <c r="CY7" s="9" t="s">
        <v>108</v>
      </c>
      <c r="CZ7" s="9" t="s">
        <v>109</v>
      </c>
      <c r="DA7" s="9" t="s">
        <v>110</v>
      </c>
      <c r="DB7" s="9" t="s">
        <v>111</v>
      </c>
      <c r="DC7" s="9" t="s">
        <v>112</v>
      </c>
      <c r="DD7" s="9" t="s">
        <v>113</v>
      </c>
      <c r="DE7" s="9" t="s">
        <v>114</v>
      </c>
      <c r="DF7" s="9" t="s">
        <v>115</v>
      </c>
      <c r="DG7" s="9" t="s">
        <v>116</v>
      </c>
      <c r="DH7" s="9" t="s">
        <v>117</v>
      </c>
      <c r="DI7" s="9" t="s">
        <v>118</v>
      </c>
      <c r="DJ7" s="9" t="s">
        <v>119</v>
      </c>
      <c r="DK7" s="9" t="s">
        <v>120</v>
      </c>
      <c r="DL7" s="9" t="s">
        <v>121</v>
      </c>
      <c r="DM7" s="9" t="s">
        <v>122</v>
      </c>
      <c r="DN7" s="9" t="s">
        <v>123</v>
      </c>
      <c r="DO7" s="9" t="s">
        <v>124</v>
      </c>
      <c r="DP7" s="42" t="s">
        <v>182</v>
      </c>
      <c r="DQ7" s="42" t="s">
        <v>183</v>
      </c>
      <c r="DR7" s="42" t="s">
        <v>99</v>
      </c>
      <c r="DS7" s="42" t="s">
        <v>100</v>
      </c>
      <c r="DT7" s="42" t="s">
        <v>101</v>
      </c>
    </row>
    <row r="8" spans="1:124" x14ac:dyDescent="0.25">
      <c r="A8">
        <v>1</v>
      </c>
      <c r="B8" s="43">
        <v>0</v>
      </c>
      <c r="C8" s="12">
        <f>MAX(SUMPRODUCT(MAX((Geometry!$E$6:$E$13)*COS(RADIANS($B8))+(Geometry!$D$6:$D$13)*SIN(RADIANS($B8)))))</f>
      </c>
      <c r="D8" s="12">
        <f>SUMPRODUCT(MIN((Geometry!$E$42:$E$59)*COS(RADIANS($B8))+(Geometry!$D$42:$D$59)*SIN(RADIANS($B8))))</f>
      </c>
      <c r="E8" s="12">
        <f>C8-D8</f>
      </c>
      <c r="F8" s="30">
        <f>ecu</f>
      </c>
      <c r="G8" s="44">
        <f>0*COS(RADIANS($B8))</f>
      </c>
      <c r="H8" s="44">
        <f>0*SIN(RADIANS($B8))</f>
      </c>
      <c r="I8" s="30">
        <f>ecu-((ecu-0)/($C8-($C8-PM_Angle!$C$8*$E8)))*$C8</f>
      </c>
      <c r="J8" s="44">
        <f>((ecu-0)/($C8-($C8-PM_Angle!$C$8*$E8)))*COS(RADIANS($B8))</f>
      </c>
      <c r="K8" s="44">
        <f>((ecu-0)/($C8-($C8-PM_Angle!$C$8*$E8)))*SIN(RADIANS($B8))</f>
      </c>
      <c r="L8" s="30">
        <f>ecu-((ecu-0)/($C8-($C8-PM_Angle!$C$9*$E8)))*$C8</f>
      </c>
      <c r="M8" s="44">
        <f>((ecu-0)/($C8-($C8-PM_Angle!$C$9*$E8)))*COS(RADIANS($B8))</f>
      </c>
      <c r="N8" s="44">
        <f>((ecu-0)/($C8-($C8-PM_Angle!$C$9*$E8)))*SIN(RADIANS($B8))</f>
      </c>
      <c r="O8" s="30">
        <f>ecu-((ecu-0)/($C8-($C8-PM_Angle!$C$10*$E8)))*$C8</f>
      </c>
      <c r="P8" s="44">
        <f>((ecu-0)/($C8-($C8-PM_Angle!$C$10*$E8)))*COS(RADIANS($B8))</f>
      </c>
      <c r="Q8" s="44">
        <f>((ecu-0)/($C8-($C8-PM_Angle!$C$10*$E8)))*SIN(RADIANS($B8))</f>
      </c>
      <c r="R8" s="30">
        <f>ecu-((ecu-0)/($C8-($C8-PM_Angle!$C$11*$E8)))*$C8</f>
      </c>
      <c r="S8" s="44">
        <f>((ecu-0)/($C8-($C8-PM_Angle!$C$11*$E8)))*COS(RADIANS($B8))</f>
      </c>
      <c r="T8" s="44">
        <f>((ecu-0)/($C8-($C8-PM_Angle!$C$11*$E8)))*SIN(RADIANS($B8))</f>
      </c>
      <c r="U8" s="30">
        <f>ecu-((ecu-(-PM_Angle!$E$12))/($C8-$D8))*$C8</f>
      </c>
      <c r="V8" s="44">
        <f>((ecu-(-PM_Angle!$E$12))/($C8-$D8))*COS(RADIANS($B8))</f>
      </c>
      <c r="W8" s="44">
        <f>((ecu-(-PM_Angle!$E$12))/($C8-$D8))*SIN(RADIANS($B8))</f>
      </c>
      <c r="X8" s="30">
        <f>ecu-((ecu-(-PM_Angle!$D$13*fy/Es))/($C8-$D8))*$C8</f>
      </c>
      <c r="Y8" s="44">
        <f>((ecu-(-PM_Angle!$D$13*fy/Es))/($C8-$D8))*COS(RADIANS($B8))</f>
      </c>
      <c r="Z8" s="44">
        <f>((ecu-(-PM_Angle!$D$13*fy/Es))/($C8-$D8))*SIN(RADIANS($B8))</f>
      </c>
      <c r="AA8" s="30">
        <f>ecu-((ecu-(-PM_Angle!$D$14*fy/Es))/($C8-$D8))*$C8</f>
      </c>
      <c r="AB8" s="44">
        <f>((ecu-(-PM_Angle!$D$14*fy/Es))/($C8-$D8))*COS(RADIANS($B8))</f>
      </c>
      <c r="AC8" s="44">
        <f>((ecu-(-PM_Angle!$D$14*fy/Es))/($C8-$D8))*SIN(RADIANS($B8))</f>
      </c>
      <c r="AD8" s="30">
        <f>ecu-((ecu-(-PM_Angle!$D$15*fy/Es))/($C8-$D8))*$C8</f>
      </c>
      <c r="AE8" s="44">
        <f>((ecu-(-PM_Angle!$D$15*fy/Es))/($C8-$D8))*COS(RADIANS($B8))</f>
      </c>
      <c r="AF8" s="44">
        <f>((ecu-(-PM_Angle!$D$15*fy/Es))/($C8-$D8))*SIN(RADIANS($B8))</f>
      </c>
      <c r="AG8" s="30">
        <f>ecu-((ecu-(-PM_Angle!$D$16*fy/Es))/($C8-$D8))*$C8</f>
      </c>
      <c r="AH8" s="44">
        <f>((ecu-(-PM_Angle!$D$16*fy/Es))/($C8-$D8))*COS(RADIANS($B8))</f>
      </c>
      <c r="AI8" s="44">
        <f>((ecu-(-PM_Angle!$D$16*fy/Es))/($C8-$D8))*SIN(RADIANS($B8))</f>
      </c>
      <c r="AJ8" s="30">
        <f>ecu-((ecu-(-PM_Angle!$E$17))/($C8-$D8))*$C8</f>
      </c>
      <c r="AK8" s="44">
        <f>((ecu-(-PM_Angle!$E$17))/($C8-$D8))*COS(RADIANS($B8))</f>
      </c>
      <c r="AL8" s="44">
        <f>((ecu-(-PM_Angle!$E$17))/($C8-$D8))*SIN(RADIANS($B8))</f>
      </c>
      <c r="AM8" s="30">
        <f>ecu-((ecu-(-PM_Angle!$E$18))/($C8-$D8))*$C8</f>
      </c>
      <c r="AN8" s="44">
        <f>((ecu-(-PM_Angle!$E$18))/($C8-$D8))*COS(RADIANS($B8))</f>
      </c>
      <c r="AO8" s="44">
        <f>((ecu-(-PM_Angle!$E$18))/($C8-$D8))*SIN(RADIANS($B8))</f>
      </c>
      <c r="AP8" s="30">
        <f>ecu-((ecu-(-PM_Angle!$E$19))/($C8-$D8))*$C8</f>
      </c>
      <c r="AQ8" s="44">
        <f>((ecu-(-PM_Angle!$E$19))/($C8-$D8))*COS(RADIANS($B8))</f>
      </c>
      <c r="AR8" s="44">
        <f>((ecu-(-PM_Angle!$E$19))/($C8-$D8))*SIN(RADIANS($B8))</f>
      </c>
      <c r="AS8" s="30">
        <f>ecu-((ecu-(-PM_Angle!$E$20))/($C8-$D8))*$C8</f>
      </c>
      <c r="AT8" s="44">
        <f>((ecu-(-PM_Angle!$E$20))/($C8-$D8))*COS(RADIANS($B8))</f>
      </c>
      <c r="AU8" s="44">
        <f>((ecu-(-PM_Angle!$E$20))/($C8-$D8))*SIN(RADIANS($B8))</f>
      </c>
      <c r="AV8" s="30">
        <f>ecu-((ecu-(-PM_Angle!$E$21))/($C8-$D8))*$C8</f>
      </c>
      <c r="AW8" s="44">
        <f>((ecu-(-PM_Angle!$E$21))/($C8-$D8))*COS(RADIANS($B8))</f>
      </c>
      <c r="AX8" s="44">
        <f>((ecu-(-PM_Angle!$E$21))/($C8-$D8))*SIN(RADIANS($B8))</f>
      </c>
      <c r="AY8" s="30">
        <f>ecu-((ecu-(-PM_Angle!$E$22))/($C8-$D8))*$C8</f>
      </c>
      <c r="AZ8" s="44">
        <f>((ecu-(-PM_Angle!$E$22))/($C8-$D8))*COS(RADIANS($B8))</f>
      </c>
      <c r="BA8" s="44">
        <f>((ecu-(-PM_Angle!$E$22))/($C8-$D8))*SIN(RADIANS($B8))</f>
      </c>
      <c r="BB8" s="30">
        <f>ecu-((ecu-(-PM_Angle!$E$23))/($C8-$D8))*$C8</f>
      </c>
      <c r="BC8" s="44">
        <f>((ecu-(-PM_Angle!$E$23))/($C8-$D8))*COS(RADIANS($B8))</f>
      </c>
      <c r="BD8" s="44">
        <f>((ecu-(-PM_Angle!$E$23))/($C8-$D8))*SIN(RADIANS($B8))</f>
      </c>
      <c r="BE8" s="30">
        <f>ecu-((ecu-(-PM_Angle!$E$24))/($C8-$D8))*$C8</f>
      </c>
      <c r="BF8" s="44">
        <f>((ecu-(-PM_Angle!$E$24))/($C8-$D8))*COS(RADIANS($B8))</f>
      </c>
      <c r="BG8" s="44">
        <f>((ecu-(-PM_Angle!$E$24))/($C8-$D8))*SIN(RADIANS($B8))</f>
      </c>
      <c r="BH8" s="30">
        <f>etu</f>
      </c>
      <c r="BI8" s="44">
        <f>0*COS(RADIANS($B8))</f>
      </c>
      <c r="BJ8" s="44">
        <f>0*SIN(RADIANS($B8))</f>
      </c>
      <c r="BK8" s="32">
        <f>(SUMPRODUCT(alpha*fck*(1-(1-((($F8+$G8*Mesh_Y+$H8*Mesh_X))*(($F8+$G8*Mesh_Y+$H8*Mesh_X)&gt;0)*(($F8+$G8*Mesh_Y+$H8*Mesh_X)&lt;eco)+eco*(($F8+$G8*Mesh_Y+$H8*Mesh_X)&gt;=eco))/eco)^n)*((($F8+$G8*Mesh_Y+$H8*Mesh_X))&gt;0),Mesh_A)+SUMPRODUCT((Es*(($F8+$G8*Geometry!$E$42:$E$59+$H8*Geometry!$D$42:$D$59))*(ABS(Es*(($F8+$G8*Geometry!$E$42:$E$59+$H8*Geometry!$D$42:$D$59)))&lt;=fy)+fy*(Es*(($F8+$G8*Geometry!$E$42:$E$59+$H8*Geometry!$D$42:$D$59))&gt;fy)-fy*(Es*(($F8+$G8*Geometry!$E$42:$E$59+$H8*Geometry!$D$42:$D$59))&lt;-fy)-(alpha*fck*(1-(1-((($F8+$G8*Geometry!$E$42:$E$59+$H8*Geometry!$D$42:$D$59))*(($F8+$G8*Geometry!$E$42:$E$59+$H8*Geometry!$D$42:$D$59)&gt;0)*(($F8+$G8*Geometry!$E$42:$E$59+$H8*Geometry!$D$42:$D$59)&lt;eco)+eco*(($F8+$G8*Geometry!$E$42:$E$59+$H8*Geometry!$D$42:$D$59)&gt;=eco))/eco)^n)*((($F8+$G8*Geometry!$E$42:$E$59+$H8*Geometry!$D$42:$D$59))&gt;0))),Geometry!$F$42:$F$59))/1000</f>
      </c>
      <c r="BL8" s="32">
        <f>(SUMPRODUCT(alpha*fck*(1-(1-((($I8+$J8*Mesh_Y+$K8*Mesh_X))*(($I8+$J8*Mesh_Y+$K8*Mesh_X)&gt;0)*(($I8+$J8*Mesh_Y+$K8*Mesh_X)&lt;eco)+eco*(($I8+$J8*Mesh_Y+$K8*Mesh_X)&gt;=eco))/eco)^n)*((($I8+$J8*Mesh_Y+$K8*Mesh_X))&gt;0),Mesh_A)+SUMPRODUCT((Es*(($I8+$J8*Geometry!$E$42:$E$59+$K8*Geometry!$D$42:$D$59))*(ABS(Es*(($I8+$J8*Geometry!$E$42:$E$59+$K8*Geometry!$D$42:$D$59)))&lt;=fy)+fy*(Es*(($I8+$J8*Geometry!$E$42:$E$59+$K8*Geometry!$D$42:$D$59))&gt;fy)-fy*(Es*(($I8+$J8*Geometry!$E$42:$E$59+$K8*Geometry!$D$42:$D$59))&lt;-fy)-(alpha*fck*(1-(1-((($I8+$J8*Geometry!$E$42:$E$59+$K8*Geometry!$D$42:$D$59))*(($I8+$J8*Geometry!$E$42:$E$59+$K8*Geometry!$D$42:$D$59)&gt;0)*(($I8+$J8*Geometry!$E$42:$E$59+$K8*Geometry!$D$42:$D$59)&lt;eco)+eco*(($I8+$J8*Geometry!$E$42:$E$59+$K8*Geometry!$D$42:$D$59)&gt;=eco))/eco)^n)*((($I8+$J8*Geometry!$E$42:$E$59+$K8*Geometry!$D$42:$D$59))&gt;0))),Geometry!$F$42:$F$59))/1000</f>
      </c>
      <c r="BM8" s="32">
        <f>(SUMPRODUCT(alpha*fck*(1-(1-((($L8+$M8*Mesh_Y+$N8*Mesh_X))*(($L8+$M8*Mesh_Y+$N8*Mesh_X)&gt;0)*(($L8+$M8*Mesh_Y+$N8*Mesh_X)&lt;eco)+eco*(($L8+$M8*Mesh_Y+$N8*Mesh_X)&gt;=eco))/eco)^n)*((($L8+$M8*Mesh_Y+$N8*Mesh_X))&gt;0),Mesh_A)+SUMPRODUCT((Es*(($L8+$M8*Geometry!$E$42:$E$59+$N8*Geometry!$D$42:$D$59))*(ABS(Es*(($L8+$M8*Geometry!$E$42:$E$59+$N8*Geometry!$D$42:$D$59)))&lt;=fy)+fy*(Es*(($L8+$M8*Geometry!$E$42:$E$59+$N8*Geometry!$D$42:$D$59))&gt;fy)-fy*(Es*(($L8+$M8*Geometry!$E$42:$E$59+$N8*Geometry!$D$42:$D$59))&lt;-fy)-(alpha*fck*(1-(1-((($L8+$M8*Geometry!$E$42:$E$59+$N8*Geometry!$D$42:$D$59))*(($L8+$M8*Geometry!$E$42:$E$59+$N8*Geometry!$D$42:$D$59)&gt;0)*(($L8+$M8*Geometry!$E$42:$E$59+$N8*Geometry!$D$42:$D$59)&lt;eco)+eco*(($L8+$M8*Geometry!$E$42:$E$59+$N8*Geometry!$D$42:$D$59)&gt;=eco))/eco)^n)*((($L8+$M8*Geometry!$E$42:$E$59+$N8*Geometry!$D$42:$D$59))&gt;0))),Geometry!$F$42:$F$59))/1000</f>
      </c>
      <c r="BN8" s="32">
        <f>(SUMPRODUCT(alpha*fck*(1-(1-((($O8+$P8*Mesh_Y+$Q8*Mesh_X))*(($O8+$P8*Mesh_Y+$Q8*Mesh_X)&gt;0)*(($O8+$P8*Mesh_Y+$Q8*Mesh_X)&lt;eco)+eco*(($O8+$P8*Mesh_Y+$Q8*Mesh_X)&gt;=eco))/eco)^n)*((($O8+$P8*Mesh_Y+$Q8*Mesh_X))&gt;0),Mesh_A)+SUMPRODUCT((Es*(($O8+$P8*Geometry!$E$42:$E$59+$Q8*Geometry!$D$42:$D$59))*(ABS(Es*(($O8+$P8*Geometry!$E$42:$E$59+$Q8*Geometry!$D$42:$D$59)))&lt;=fy)+fy*(Es*(($O8+$P8*Geometry!$E$42:$E$59+$Q8*Geometry!$D$42:$D$59))&gt;fy)-fy*(Es*(($O8+$P8*Geometry!$E$42:$E$59+$Q8*Geometry!$D$42:$D$59))&lt;-fy)-(alpha*fck*(1-(1-((($O8+$P8*Geometry!$E$42:$E$59+$Q8*Geometry!$D$42:$D$59))*(($O8+$P8*Geometry!$E$42:$E$59+$Q8*Geometry!$D$42:$D$59)&gt;0)*(($O8+$P8*Geometry!$E$42:$E$59+$Q8*Geometry!$D$42:$D$59)&lt;eco)+eco*(($O8+$P8*Geometry!$E$42:$E$59+$Q8*Geometry!$D$42:$D$59)&gt;=eco))/eco)^n)*((($O8+$P8*Geometry!$E$42:$E$59+$Q8*Geometry!$D$42:$D$59))&gt;0))),Geometry!$F$42:$F$59))/1000</f>
      </c>
      <c r="BO8" s="32">
        <f>(SUMPRODUCT(alpha*fck*(1-(1-((($R8+$S8*Mesh_Y+$T8*Mesh_X))*(($R8+$S8*Mesh_Y+$T8*Mesh_X)&gt;0)*(($R8+$S8*Mesh_Y+$T8*Mesh_X)&lt;eco)+eco*(($R8+$S8*Mesh_Y+$T8*Mesh_X)&gt;=eco))/eco)^n)*((($R8+$S8*Mesh_Y+$T8*Mesh_X))&gt;0),Mesh_A)+SUMPRODUCT((Es*(($R8+$S8*Geometry!$E$42:$E$59+$T8*Geometry!$D$42:$D$59))*(ABS(Es*(($R8+$S8*Geometry!$E$42:$E$59+$T8*Geometry!$D$42:$D$59)))&lt;=fy)+fy*(Es*(($R8+$S8*Geometry!$E$42:$E$59+$T8*Geometry!$D$42:$D$59))&gt;fy)-fy*(Es*(($R8+$S8*Geometry!$E$42:$E$59+$T8*Geometry!$D$42:$D$59))&lt;-fy)-(alpha*fck*(1-(1-((($R8+$S8*Geometry!$E$42:$E$59+$T8*Geometry!$D$42:$D$59))*(($R8+$S8*Geometry!$E$42:$E$59+$T8*Geometry!$D$42:$D$59)&gt;0)*(($R8+$S8*Geometry!$E$42:$E$59+$T8*Geometry!$D$42:$D$59)&lt;eco)+eco*(($R8+$S8*Geometry!$E$42:$E$59+$T8*Geometry!$D$42:$D$59)&gt;=eco))/eco)^n)*((($R8+$S8*Geometry!$E$42:$E$59+$T8*Geometry!$D$42:$D$59))&gt;0))),Geometry!$F$42:$F$59))/1000</f>
      </c>
      <c r="BP8" s="32">
        <f>(SUMPRODUCT(alpha*fck*(1-(1-((($U8+$V8*Mesh_Y+$W8*Mesh_X))*(($U8+$V8*Mesh_Y+$W8*Mesh_X)&gt;0)*(($U8+$V8*Mesh_Y+$W8*Mesh_X)&lt;eco)+eco*(($U8+$V8*Mesh_Y+$W8*Mesh_X)&gt;=eco))/eco)^n)*((($U8+$V8*Mesh_Y+$W8*Mesh_X))&gt;0),Mesh_A)+SUMPRODUCT((Es*(($U8+$V8*Geometry!$E$42:$E$59+$W8*Geometry!$D$42:$D$59))*(ABS(Es*(($U8+$V8*Geometry!$E$42:$E$59+$W8*Geometry!$D$42:$D$59)))&lt;=fy)+fy*(Es*(($U8+$V8*Geometry!$E$42:$E$59+$W8*Geometry!$D$42:$D$59))&gt;fy)-fy*(Es*(($U8+$V8*Geometry!$E$42:$E$59+$W8*Geometry!$D$42:$D$59))&lt;-fy)-(alpha*fck*(1-(1-((($U8+$V8*Geometry!$E$42:$E$59+$W8*Geometry!$D$42:$D$59))*(($U8+$V8*Geometry!$E$42:$E$59+$W8*Geometry!$D$42:$D$59)&gt;0)*(($U8+$V8*Geometry!$E$42:$E$59+$W8*Geometry!$D$42:$D$59)&lt;eco)+eco*(($U8+$V8*Geometry!$E$42:$E$59+$W8*Geometry!$D$42:$D$59)&gt;=eco))/eco)^n)*((($U8+$V8*Geometry!$E$42:$E$59+$W8*Geometry!$D$42:$D$59))&gt;0))),Geometry!$F$42:$F$59))/1000</f>
      </c>
      <c r="BQ8" s="32">
        <f>(SUMPRODUCT(alpha*fck*(1-(1-((($X8+$Y8*Mesh_Y+$Z8*Mesh_X))*(($X8+$Y8*Mesh_Y+$Z8*Mesh_X)&gt;0)*(($X8+$Y8*Mesh_Y+$Z8*Mesh_X)&lt;eco)+eco*(($X8+$Y8*Mesh_Y+$Z8*Mesh_X)&gt;=eco))/eco)^n)*((($X8+$Y8*Mesh_Y+$Z8*Mesh_X))&gt;0),Mesh_A)+SUMPRODUCT((Es*(($X8+$Y8*Geometry!$E$42:$E$59+$Z8*Geometry!$D$42:$D$59))*(ABS(Es*(($X8+$Y8*Geometry!$E$42:$E$59+$Z8*Geometry!$D$42:$D$59)))&lt;=fy)+fy*(Es*(($X8+$Y8*Geometry!$E$42:$E$59+$Z8*Geometry!$D$42:$D$59))&gt;fy)-fy*(Es*(($X8+$Y8*Geometry!$E$42:$E$59+$Z8*Geometry!$D$42:$D$59))&lt;-fy)-(alpha*fck*(1-(1-((($X8+$Y8*Geometry!$E$42:$E$59+$Z8*Geometry!$D$42:$D$59))*(($X8+$Y8*Geometry!$E$42:$E$59+$Z8*Geometry!$D$42:$D$59)&gt;0)*(($X8+$Y8*Geometry!$E$42:$E$59+$Z8*Geometry!$D$42:$D$59)&lt;eco)+eco*(($X8+$Y8*Geometry!$E$42:$E$59+$Z8*Geometry!$D$42:$D$59)&gt;=eco))/eco)^n)*((($X8+$Y8*Geometry!$E$42:$E$59+$Z8*Geometry!$D$42:$D$59))&gt;0))),Geometry!$F$42:$F$59))/1000</f>
      </c>
      <c r="BR8" s="32">
        <f>(SUMPRODUCT(alpha*fck*(1-(1-((($AA8+$AB8*Mesh_Y+$AC8*Mesh_X))*(($AA8+$AB8*Mesh_Y+$AC8*Mesh_X)&gt;0)*(($AA8+$AB8*Mesh_Y+$AC8*Mesh_X)&lt;eco)+eco*(($AA8+$AB8*Mesh_Y+$AC8*Mesh_X)&gt;=eco))/eco)^n)*((($AA8+$AB8*Mesh_Y+$AC8*Mesh_X))&gt;0),Mesh_A)+SUMPRODUCT((Es*(($AA8+$AB8*Geometry!$E$42:$E$59+$AC8*Geometry!$D$42:$D$59))*(ABS(Es*(($AA8+$AB8*Geometry!$E$42:$E$59+$AC8*Geometry!$D$42:$D$59)))&lt;=fy)+fy*(Es*(($AA8+$AB8*Geometry!$E$42:$E$59+$AC8*Geometry!$D$42:$D$59))&gt;fy)-fy*(Es*(($AA8+$AB8*Geometry!$E$42:$E$59+$AC8*Geometry!$D$42:$D$59))&lt;-fy)-(alpha*fck*(1-(1-((($AA8+$AB8*Geometry!$E$42:$E$59+$AC8*Geometry!$D$42:$D$59))*(($AA8+$AB8*Geometry!$E$42:$E$59+$AC8*Geometry!$D$42:$D$59)&gt;0)*(($AA8+$AB8*Geometry!$E$42:$E$59+$AC8*Geometry!$D$42:$D$59)&lt;eco)+eco*(($AA8+$AB8*Geometry!$E$42:$E$59+$AC8*Geometry!$D$42:$D$59)&gt;=eco))/eco)^n)*((($AA8+$AB8*Geometry!$E$42:$E$59+$AC8*Geometry!$D$42:$D$59))&gt;0))),Geometry!$F$42:$F$59))/1000</f>
      </c>
      <c r="BS8" s="32">
        <f>(SUMPRODUCT(alpha*fck*(1-(1-((($AD8+$AE8*Mesh_Y+$AF8*Mesh_X))*(($AD8+$AE8*Mesh_Y+$AF8*Mesh_X)&gt;0)*(($AD8+$AE8*Mesh_Y+$AF8*Mesh_X)&lt;eco)+eco*(($AD8+$AE8*Mesh_Y+$AF8*Mesh_X)&gt;=eco))/eco)^n)*((($AD8+$AE8*Mesh_Y+$AF8*Mesh_X))&gt;0),Mesh_A)+SUMPRODUCT((Es*(($AD8+$AE8*Geometry!$E$42:$E$59+$AF8*Geometry!$D$42:$D$59))*(ABS(Es*(($AD8+$AE8*Geometry!$E$42:$E$59+$AF8*Geometry!$D$42:$D$59)))&lt;=fy)+fy*(Es*(($AD8+$AE8*Geometry!$E$42:$E$59+$AF8*Geometry!$D$42:$D$59))&gt;fy)-fy*(Es*(($AD8+$AE8*Geometry!$E$42:$E$59+$AF8*Geometry!$D$42:$D$59))&lt;-fy)-(alpha*fck*(1-(1-((($AD8+$AE8*Geometry!$E$42:$E$59+$AF8*Geometry!$D$42:$D$59))*(($AD8+$AE8*Geometry!$E$42:$E$59+$AF8*Geometry!$D$42:$D$59)&gt;0)*(($AD8+$AE8*Geometry!$E$42:$E$59+$AF8*Geometry!$D$42:$D$59)&lt;eco)+eco*(($AD8+$AE8*Geometry!$E$42:$E$59+$AF8*Geometry!$D$42:$D$59)&gt;=eco))/eco)^n)*((($AD8+$AE8*Geometry!$E$42:$E$59+$AF8*Geometry!$D$42:$D$59))&gt;0))),Geometry!$F$42:$F$59))/1000</f>
      </c>
      <c r="BT8" s="32">
        <f>(SUMPRODUCT(alpha*fck*(1-(1-((($AG8+$AH8*Mesh_Y+$AI8*Mesh_X))*(($AG8+$AH8*Mesh_Y+$AI8*Mesh_X)&gt;0)*(($AG8+$AH8*Mesh_Y+$AI8*Mesh_X)&lt;eco)+eco*(($AG8+$AH8*Mesh_Y+$AI8*Mesh_X)&gt;=eco))/eco)^n)*((($AG8+$AH8*Mesh_Y+$AI8*Mesh_X))&gt;0),Mesh_A)+SUMPRODUCT((Es*(($AG8+$AH8*Geometry!$E$42:$E$59+$AI8*Geometry!$D$42:$D$59))*(ABS(Es*(($AG8+$AH8*Geometry!$E$42:$E$59+$AI8*Geometry!$D$42:$D$59)))&lt;=fy)+fy*(Es*(($AG8+$AH8*Geometry!$E$42:$E$59+$AI8*Geometry!$D$42:$D$59))&gt;fy)-fy*(Es*(($AG8+$AH8*Geometry!$E$42:$E$59+$AI8*Geometry!$D$42:$D$59))&lt;-fy)-(alpha*fck*(1-(1-((($AG8+$AH8*Geometry!$E$42:$E$59+$AI8*Geometry!$D$42:$D$59))*(($AG8+$AH8*Geometry!$E$42:$E$59+$AI8*Geometry!$D$42:$D$59)&gt;0)*(($AG8+$AH8*Geometry!$E$42:$E$59+$AI8*Geometry!$D$42:$D$59)&lt;eco)+eco*(($AG8+$AH8*Geometry!$E$42:$E$59+$AI8*Geometry!$D$42:$D$59)&gt;=eco))/eco)^n)*((($AG8+$AH8*Geometry!$E$42:$E$59+$AI8*Geometry!$D$42:$D$59))&gt;0))),Geometry!$F$42:$F$59))/1000</f>
      </c>
      <c r="BU8" s="32">
        <f>(SUMPRODUCT(alpha*fck*(1-(1-((($AJ8+$AK8*Mesh_Y+$AL8*Mesh_X))*(($AJ8+$AK8*Mesh_Y+$AL8*Mesh_X)&gt;0)*(($AJ8+$AK8*Mesh_Y+$AL8*Mesh_X)&lt;eco)+eco*(($AJ8+$AK8*Mesh_Y+$AL8*Mesh_X)&gt;=eco))/eco)^n)*((($AJ8+$AK8*Mesh_Y+$AL8*Mesh_X))&gt;0),Mesh_A)+SUMPRODUCT((Es*(($AJ8+$AK8*Geometry!$E$42:$E$59+$AL8*Geometry!$D$42:$D$59))*(ABS(Es*(($AJ8+$AK8*Geometry!$E$42:$E$59+$AL8*Geometry!$D$42:$D$59)))&lt;=fy)+fy*(Es*(($AJ8+$AK8*Geometry!$E$42:$E$59+$AL8*Geometry!$D$42:$D$59))&gt;fy)-fy*(Es*(($AJ8+$AK8*Geometry!$E$42:$E$59+$AL8*Geometry!$D$42:$D$59))&lt;-fy)-(alpha*fck*(1-(1-((($AJ8+$AK8*Geometry!$E$42:$E$59+$AL8*Geometry!$D$42:$D$59))*(($AJ8+$AK8*Geometry!$E$42:$E$59+$AL8*Geometry!$D$42:$D$59)&gt;0)*(($AJ8+$AK8*Geometry!$E$42:$E$59+$AL8*Geometry!$D$42:$D$59)&lt;eco)+eco*(($AJ8+$AK8*Geometry!$E$42:$E$59+$AL8*Geometry!$D$42:$D$59)&gt;=eco))/eco)^n)*((($AJ8+$AK8*Geometry!$E$42:$E$59+$AL8*Geometry!$D$42:$D$59))&gt;0))),Geometry!$F$42:$F$59))/1000</f>
      </c>
      <c r="BV8" s="32">
        <f>(SUMPRODUCT(alpha*fck*(1-(1-((($AM8+$AN8*Mesh_Y+$AO8*Mesh_X))*(($AM8+$AN8*Mesh_Y+$AO8*Mesh_X)&gt;0)*(($AM8+$AN8*Mesh_Y+$AO8*Mesh_X)&lt;eco)+eco*(($AM8+$AN8*Mesh_Y+$AO8*Mesh_X)&gt;=eco))/eco)^n)*((($AM8+$AN8*Mesh_Y+$AO8*Mesh_X))&gt;0),Mesh_A)+SUMPRODUCT((Es*(($AM8+$AN8*Geometry!$E$42:$E$59+$AO8*Geometry!$D$42:$D$59))*(ABS(Es*(($AM8+$AN8*Geometry!$E$42:$E$59+$AO8*Geometry!$D$42:$D$59)))&lt;=fy)+fy*(Es*(($AM8+$AN8*Geometry!$E$42:$E$59+$AO8*Geometry!$D$42:$D$59))&gt;fy)-fy*(Es*(($AM8+$AN8*Geometry!$E$42:$E$59+$AO8*Geometry!$D$42:$D$59))&lt;-fy)-(alpha*fck*(1-(1-((($AM8+$AN8*Geometry!$E$42:$E$59+$AO8*Geometry!$D$42:$D$59))*(($AM8+$AN8*Geometry!$E$42:$E$59+$AO8*Geometry!$D$42:$D$59)&gt;0)*(($AM8+$AN8*Geometry!$E$42:$E$59+$AO8*Geometry!$D$42:$D$59)&lt;eco)+eco*(($AM8+$AN8*Geometry!$E$42:$E$59+$AO8*Geometry!$D$42:$D$59)&gt;=eco))/eco)^n)*((($AM8+$AN8*Geometry!$E$42:$E$59+$AO8*Geometry!$D$42:$D$59))&gt;0))),Geometry!$F$42:$F$59))/1000</f>
      </c>
      <c r="BW8" s="32">
        <f>(SUMPRODUCT(alpha*fck*(1-(1-((($AP8+$AQ8*Mesh_Y+$AR8*Mesh_X))*(($AP8+$AQ8*Mesh_Y+$AR8*Mesh_X)&gt;0)*(($AP8+$AQ8*Mesh_Y+$AR8*Mesh_X)&lt;eco)+eco*(($AP8+$AQ8*Mesh_Y+$AR8*Mesh_X)&gt;=eco))/eco)^n)*((($AP8+$AQ8*Mesh_Y+$AR8*Mesh_X))&gt;0),Mesh_A)+SUMPRODUCT((Es*(($AP8+$AQ8*Geometry!$E$42:$E$59+$AR8*Geometry!$D$42:$D$59))*(ABS(Es*(($AP8+$AQ8*Geometry!$E$42:$E$59+$AR8*Geometry!$D$42:$D$59)))&lt;=fy)+fy*(Es*(($AP8+$AQ8*Geometry!$E$42:$E$59+$AR8*Geometry!$D$42:$D$59))&gt;fy)-fy*(Es*(($AP8+$AQ8*Geometry!$E$42:$E$59+$AR8*Geometry!$D$42:$D$59))&lt;-fy)-(alpha*fck*(1-(1-((($AP8+$AQ8*Geometry!$E$42:$E$59+$AR8*Geometry!$D$42:$D$59))*(($AP8+$AQ8*Geometry!$E$42:$E$59+$AR8*Geometry!$D$42:$D$59)&gt;0)*(($AP8+$AQ8*Geometry!$E$42:$E$59+$AR8*Geometry!$D$42:$D$59)&lt;eco)+eco*(($AP8+$AQ8*Geometry!$E$42:$E$59+$AR8*Geometry!$D$42:$D$59)&gt;=eco))/eco)^n)*((($AP8+$AQ8*Geometry!$E$42:$E$59+$AR8*Geometry!$D$42:$D$59))&gt;0))),Geometry!$F$42:$F$59))/1000</f>
      </c>
      <c r="BX8" s="32">
        <f>(SUMPRODUCT(alpha*fck*(1-(1-((($AS8+$AT8*Mesh_Y+$AU8*Mesh_X))*(($AS8+$AT8*Mesh_Y+$AU8*Mesh_X)&gt;0)*(($AS8+$AT8*Mesh_Y+$AU8*Mesh_X)&lt;eco)+eco*(($AS8+$AT8*Mesh_Y+$AU8*Mesh_X)&gt;=eco))/eco)^n)*((($AS8+$AT8*Mesh_Y+$AU8*Mesh_X))&gt;0),Mesh_A)+SUMPRODUCT((Es*(($AS8+$AT8*Geometry!$E$42:$E$59+$AU8*Geometry!$D$42:$D$59))*(ABS(Es*(($AS8+$AT8*Geometry!$E$42:$E$59+$AU8*Geometry!$D$42:$D$59)))&lt;=fy)+fy*(Es*(($AS8+$AT8*Geometry!$E$42:$E$59+$AU8*Geometry!$D$42:$D$59))&gt;fy)-fy*(Es*(($AS8+$AT8*Geometry!$E$42:$E$59+$AU8*Geometry!$D$42:$D$59))&lt;-fy)-(alpha*fck*(1-(1-((($AS8+$AT8*Geometry!$E$42:$E$59+$AU8*Geometry!$D$42:$D$59))*(($AS8+$AT8*Geometry!$E$42:$E$59+$AU8*Geometry!$D$42:$D$59)&gt;0)*(($AS8+$AT8*Geometry!$E$42:$E$59+$AU8*Geometry!$D$42:$D$59)&lt;eco)+eco*(($AS8+$AT8*Geometry!$E$42:$E$59+$AU8*Geometry!$D$42:$D$59)&gt;=eco))/eco)^n)*((($AS8+$AT8*Geometry!$E$42:$E$59+$AU8*Geometry!$D$42:$D$59))&gt;0))),Geometry!$F$42:$F$59))/1000</f>
      </c>
      <c r="BY8" s="32">
        <f>(SUMPRODUCT(alpha*fck*(1-(1-((($AV8+$AW8*Mesh_Y+$AX8*Mesh_X))*(($AV8+$AW8*Mesh_Y+$AX8*Mesh_X)&gt;0)*(($AV8+$AW8*Mesh_Y+$AX8*Mesh_X)&lt;eco)+eco*(($AV8+$AW8*Mesh_Y+$AX8*Mesh_X)&gt;=eco))/eco)^n)*((($AV8+$AW8*Mesh_Y+$AX8*Mesh_X))&gt;0),Mesh_A)+SUMPRODUCT((Es*(($AV8+$AW8*Geometry!$E$42:$E$59+$AX8*Geometry!$D$42:$D$59))*(ABS(Es*(($AV8+$AW8*Geometry!$E$42:$E$59+$AX8*Geometry!$D$42:$D$59)))&lt;=fy)+fy*(Es*(($AV8+$AW8*Geometry!$E$42:$E$59+$AX8*Geometry!$D$42:$D$59))&gt;fy)-fy*(Es*(($AV8+$AW8*Geometry!$E$42:$E$59+$AX8*Geometry!$D$42:$D$59))&lt;-fy)-(alpha*fck*(1-(1-((($AV8+$AW8*Geometry!$E$42:$E$59+$AX8*Geometry!$D$42:$D$59))*(($AV8+$AW8*Geometry!$E$42:$E$59+$AX8*Geometry!$D$42:$D$59)&gt;0)*(($AV8+$AW8*Geometry!$E$42:$E$59+$AX8*Geometry!$D$42:$D$59)&lt;eco)+eco*(($AV8+$AW8*Geometry!$E$42:$E$59+$AX8*Geometry!$D$42:$D$59)&gt;=eco))/eco)^n)*((($AV8+$AW8*Geometry!$E$42:$E$59+$AX8*Geometry!$D$42:$D$59))&gt;0))),Geometry!$F$42:$F$59))/1000</f>
      </c>
      <c r="BZ8" s="32">
        <f>(SUMPRODUCT(alpha*fck*(1-(1-((($AY8+$AZ8*Mesh_Y+$BA8*Mesh_X))*(($AY8+$AZ8*Mesh_Y+$BA8*Mesh_X)&gt;0)*(($AY8+$AZ8*Mesh_Y+$BA8*Mesh_X)&lt;eco)+eco*(($AY8+$AZ8*Mesh_Y+$BA8*Mesh_X)&gt;=eco))/eco)^n)*((($AY8+$AZ8*Mesh_Y+$BA8*Mesh_X))&gt;0),Mesh_A)+SUMPRODUCT((Es*(($AY8+$AZ8*Geometry!$E$42:$E$59+$BA8*Geometry!$D$42:$D$59))*(ABS(Es*(($AY8+$AZ8*Geometry!$E$42:$E$59+$BA8*Geometry!$D$42:$D$59)))&lt;=fy)+fy*(Es*(($AY8+$AZ8*Geometry!$E$42:$E$59+$BA8*Geometry!$D$42:$D$59))&gt;fy)-fy*(Es*(($AY8+$AZ8*Geometry!$E$42:$E$59+$BA8*Geometry!$D$42:$D$59))&lt;-fy)-(alpha*fck*(1-(1-((($AY8+$AZ8*Geometry!$E$42:$E$59+$BA8*Geometry!$D$42:$D$59))*(($AY8+$AZ8*Geometry!$E$42:$E$59+$BA8*Geometry!$D$42:$D$59)&gt;0)*(($AY8+$AZ8*Geometry!$E$42:$E$59+$BA8*Geometry!$D$42:$D$59)&lt;eco)+eco*(($AY8+$AZ8*Geometry!$E$42:$E$59+$BA8*Geometry!$D$42:$D$59)&gt;=eco))/eco)^n)*((($AY8+$AZ8*Geometry!$E$42:$E$59+$BA8*Geometry!$D$42:$D$59))&gt;0))),Geometry!$F$42:$F$59))/1000</f>
      </c>
      <c r="CA8" s="32">
        <f>(SUMPRODUCT(alpha*fck*(1-(1-((($BB8+$BC8*Mesh_Y+$BD8*Mesh_X))*(($BB8+$BC8*Mesh_Y+$BD8*Mesh_X)&gt;0)*(($BB8+$BC8*Mesh_Y+$BD8*Mesh_X)&lt;eco)+eco*(($BB8+$BC8*Mesh_Y+$BD8*Mesh_X)&gt;=eco))/eco)^n)*((($BB8+$BC8*Mesh_Y+$BD8*Mesh_X))&gt;0),Mesh_A)+SUMPRODUCT((Es*(($BB8+$BC8*Geometry!$E$42:$E$59+$BD8*Geometry!$D$42:$D$59))*(ABS(Es*(($BB8+$BC8*Geometry!$E$42:$E$59+$BD8*Geometry!$D$42:$D$59)))&lt;=fy)+fy*(Es*(($BB8+$BC8*Geometry!$E$42:$E$59+$BD8*Geometry!$D$42:$D$59))&gt;fy)-fy*(Es*(($BB8+$BC8*Geometry!$E$42:$E$59+$BD8*Geometry!$D$42:$D$59))&lt;-fy)-(alpha*fck*(1-(1-((($BB8+$BC8*Geometry!$E$42:$E$59+$BD8*Geometry!$D$42:$D$59))*(($BB8+$BC8*Geometry!$E$42:$E$59+$BD8*Geometry!$D$42:$D$59)&gt;0)*(($BB8+$BC8*Geometry!$E$42:$E$59+$BD8*Geometry!$D$42:$D$59)&lt;eco)+eco*(($BB8+$BC8*Geometry!$E$42:$E$59+$BD8*Geometry!$D$42:$D$59)&gt;=eco))/eco)^n)*((($BB8+$BC8*Geometry!$E$42:$E$59+$BD8*Geometry!$D$42:$D$59))&gt;0))),Geometry!$F$42:$F$59))/1000</f>
      </c>
      <c r="CB8" s="32">
        <f>(SUMPRODUCT(alpha*fck*(1-(1-((($BE8+$BF8*Mesh_Y+$BG8*Mesh_X))*(($BE8+$BF8*Mesh_Y+$BG8*Mesh_X)&gt;0)*(($BE8+$BF8*Mesh_Y+$BG8*Mesh_X)&lt;eco)+eco*(($BE8+$BF8*Mesh_Y+$BG8*Mesh_X)&gt;=eco))/eco)^n)*((($BE8+$BF8*Mesh_Y+$BG8*Mesh_X))&gt;0),Mesh_A)+SUMPRODUCT((Es*(($BE8+$BF8*Geometry!$E$42:$E$59+$BG8*Geometry!$D$42:$D$59))*(ABS(Es*(($BE8+$BF8*Geometry!$E$42:$E$59+$BG8*Geometry!$D$42:$D$59)))&lt;=fy)+fy*(Es*(($BE8+$BF8*Geometry!$E$42:$E$59+$BG8*Geometry!$D$42:$D$59))&gt;fy)-fy*(Es*(($BE8+$BF8*Geometry!$E$42:$E$59+$BG8*Geometry!$D$42:$D$59))&lt;-fy)-(alpha*fck*(1-(1-((($BE8+$BF8*Geometry!$E$42:$E$59+$BG8*Geometry!$D$42:$D$59))*(($BE8+$BF8*Geometry!$E$42:$E$59+$BG8*Geometry!$D$42:$D$59)&gt;0)*(($BE8+$BF8*Geometry!$E$42:$E$59+$BG8*Geometry!$D$42:$D$59)&lt;eco)+eco*(($BE8+$BF8*Geometry!$E$42:$E$59+$BG8*Geometry!$D$42:$D$59)&gt;=eco))/eco)^n)*((($BE8+$BF8*Geometry!$E$42:$E$59+$BG8*Geometry!$D$42:$D$59))&gt;0))),Geometry!$F$42:$F$59))/1000</f>
      </c>
      <c r="CC8" s="32">
        <f>(SUMPRODUCT(alpha*fck*(1-(1-((($BH8+$BI8*Mesh_Y+$BJ8*Mesh_X))*(($BH8+$BI8*Mesh_Y+$BJ8*Mesh_X)&gt;0)*(($BH8+$BI8*Mesh_Y+$BJ8*Mesh_X)&lt;eco)+eco*(($BH8+$BI8*Mesh_Y+$BJ8*Mesh_X)&gt;=eco))/eco)^n)*((($BH8+$BI8*Mesh_Y+$BJ8*Mesh_X))&gt;0),Mesh_A)+SUMPRODUCT((Es*(($BH8+$BI8*Geometry!$E$42:$E$59+$BJ8*Geometry!$D$42:$D$59))*(ABS(Es*(($BH8+$BI8*Geometry!$E$42:$E$59+$BJ8*Geometry!$D$42:$D$59)))&lt;=fy)+fy*(Es*(($BH8+$BI8*Geometry!$E$42:$E$59+$BJ8*Geometry!$D$42:$D$59))&gt;fy)-fy*(Es*(($BH8+$BI8*Geometry!$E$42:$E$59+$BJ8*Geometry!$D$42:$D$59))&lt;-fy)-(alpha*fck*(1-(1-((($BH8+$BI8*Geometry!$E$42:$E$59+$BJ8*Geometry!$D$42:$D$59))*(($BH8+$BI8*Geometry!$E$42:$E$59+$BJ8*Geometry!$D$42:$D$59)&gt;0)*(($BH8+$BI8*Geometry!$E$42:$E$59+$BJ8*Geometry!$D$42:$D$59)&lt;eco)+eco*(($BH8+$BI8*Geometry!$E$42:$E$59+$BJ8*Geometry!$D$42:$D$59)&gt;=eco))/eco)^n)*((($BH8+$BI8*Geometry!$E$42:$E$59+$BJ8*Geometry!$D$42:$D$59))&gt;0))),Geometry!$F$42:$F$59))/1000</f>
      </c>
      <c r="CD8" s="32">
        <f>(SUMPRODUCT(alpha*fck*(1-(1-((($F8+$G8*Mesh_Y+$H8*Mesh_X))*(($F8+$G8*Mesh_Y+$H8*Mesh_X)&gt;0)*(($F8+$G8*Mesh_Y+$H8*Mesh_X)&lt;eco)+eco*(($F8+$G8*Mesh_Y+$H8*Mesh_X)&gt;=eco))/eco)^n)*((($F8+$G8*Mesh_Y+$H8*Mesh_X))&gt;0),Mesh_A,Mesh_Y)+SUMPRODUCT((Es*(($F8+$G8*Geometry!$E$42:$E$59+$H8*Geometry!$D$42:$D$59))*(ABS(Es*(($F8+$G8*Geometry!$E$42:$E$59+$H8*Geometry!$D$42:$D$59)))&lt;=fy)+fy*(Es*(($F8+$G8*Geometry!$E$42:$E$59+$H8*Geometry!$D$42:$D$59))&gt;fy)-fy*(Es*(($F8+$G8*Geometry!$E$42:$E$59+$H8*Geometry!$D$42:$D$59))&lt;-fy)-(alpha*fck*(1-(1-((($F8+$G8*Geometry!$E$42:$E$59+$H8*Geometry!$D$42:$D$59))*(($F8+$G8*Geometry!$E$42:$E$59+$H8*Geometry!$D$42:$D$59)&gt;0)*(($F8+$G8*Geometry!$E$42:$E$59+$H8*Geometry!$D$42:$D$59)&lt;eco)+eco*(($F8+$G8*Geometry!$E$42:$E$59+$H8*Geometry!$D$42:$D$59)&gt;=eco))/eco)^n)*((($F8+$G8*Geometry!$E$42:$E$59+$H8*Geometry!$D$42:$D$59))&gt;0))),Geometry!$F$42:$F$59,Geometry!$E$42:$E$59))/1000000</f>
      </c>
      <c r="CE8" s="32">
        <f>(SUMPRODUCT(alpha*fck*(1-(1-((($I8+$J8*Mesh_Y+$K8*Mesh_X))*(($I8+$J8*Mesh_Y+$K8*Mesh_X)&gt;0)*(($I8+$J8*Mesh_Y+$K8*Mesh_X)&lt;eco)+eco*(($I8+$J8*Mesh_Y+$K8*Mesh_X)&gt;=eco))/eco)^n)*((($I8+$J8*Mesh_Y+$K8*Mesh_X))&gt;0),Mesh_A,Mesh_Y)+SUMPRODUCT((Es*(($I8+$J8*Geometry!$E$42:$E$59+$K8*Geometry!$D$42:$D$59))*(ABS(Es*(($I8+$J8*Geometry!$E$42:$E$59+$K8*Geometry!$D$42:$D$59)))&lt;=fy)+fy*(Es*(($I8+$J8*Geometry!$E$42:$E$59+$K8*Geometry!$D$42:$D$59))&gt;fy)-fy*(Es*(($I8+$J8*Geometry!$E$42:$E$59+$K8*Geometry!$D$42:$D$59))&lt;-fy)-(alpha*fck*(1-(1-((($I8+$J8*Geometry!$E$42:$E$59+$K8*Geometry!$D$42:$D$59))*(($I8+$J8*Geometry!$E$42:$E$59+$K8*Geometry!$D$42:$D$59)&gt;0)*(($I8+$J8*Geometry!$E$42:$E$59+$K8*Geometry!$D$42:$D$59)&lt;eco)+eco*(($I8+$J8*Geometry!$E$42:$E$59+$K8*Geometry!$D$42:$D$59)&gt;=eco))/eco)^n)*((($I8+$J8*Geometry!$E$42:$E$59+$K8*Geometry!$D$42:$D$59))&gt;0))),Geometry!$F$42:$F$59,Geometry!$E$42:$E$59))/1000000</f>
      </c>
      <c r="CF8" s="32">
        <f>(SUMPRODUCT(alpha*fck*(1-(1-((($L8+$M8*Mesh_Y+$N8*Mesh_X))*(($L8+$M8*Mesh_Y+$N8*Mesh_X)&gt;0)*(($L8+$M8*Mesh_Y+$N8*Mesh_X)&lt;eco)+eco*(($L8+$M8*Mesh_Y+$N8*Mesh_X)&gt;=eco))/eco)^n)*((($L8+$M8*Mesh_Y+$N8*Mesh_X))&gt;0),Mesh_A,Mesh_Y)+SUMPRODUCT((Es*(($L8+$M8*Geometry!$E$42:$E$59+$N8*Geometry!$D$42:$D$59))*(ABS(Es*(($L8+$M8*Geometry!$E$42:$E$59+$N8*Geometry!$D$42:$D$59)))&lt;=fy)+fy*(Es*(($L8+$M8*Geometry!$E$42:$E$59+$N8*Geometry!$D$42:$D$59))&gt;fy)-fy*(Es*(($L8+$M8*Geometry!$E$42:$E$59+$N8*Geometry!$D$42:$D$59))&lt;-fy)-(alpha*fck*(1-(1-((($L8+$M8*Geometry!$E$42:$E$59+$N8*Geometry!$D$42:$D$59))*(($L8+$M8*Geometry!$E$42:$E$59+$N8*Geometry!$D$42:$D$59)&gt;0)*(($L8+$M8*Geometry!$E$42:$E$59+$N8*Geometry!$D$42:$D$59)&lt;eco)+eco*(($L8+$M8*Geometry!$E$42:$E$59+$N8*Geometry!$D$42:$D$59)&gt;=eco))/eco)^n)*((($L8+$M8*Geometry!$E$42:$E$59+$N8*Geometry!$D$42:$D$59))&gt;0))),Geometry!$F$42:$F$59,Geometry!$E$42:$E$59))/1000000</f>
      </c>
      <c r="CG8" s="32">
        <f>(SUMPRODUCT(alpha*fck*(1-(1-((($O8+$P8*Mesh_Y+$Q8*Mesh_X))*(($O8+$P8*Mesh_Y+$Q8*Mesh_X)&gt;0)*(($O8+$P8*Mesh_Y+$Q8*Mesh_X)&lt;eco)+eco*(($O8+$P8*Mesh_Y+$Q8*Mesh_X)&gt;=eco))/eco)^n)*((($O8+$P8*Mesh_Y+$Q8*Mesh_X))&gt;0),Mesh_A,Mesh_Y)+SUMPRODUCT((Es*(($O8+$P8*Geometry!$E$42:$E$59+$Q8*Geometry!$D$42:$D$59))*(ABS(Es*(($O8+$P8*Geometry!$E$42:$E$59+$Q8*Geometry!$D$42:$D$59)))&lt;=fy)+fy*(Es*(($O8+$P8*Geometry!$E$42:$E$59+$Q8*Geometry!$D$42:$D$59))&gt;fy)-fy*(Es*(($O8+$P8*Geometry!$E$42:$E$59+$Q8*Geometry!$D$42:$D$59))&lt;-fy)-(alpha*fck*(1-(1-((($O8+$P8*Geometry!$E$42:$E$59+$Q8*Geometry!$D$42:$D$59))*(($O8+$P8*Geometry!$E$42:$E$59+$Q8*Geometry!$D$42:$D$59)&gt;0)*(($O8+$P8*Geometry!$E$42:$E$59+$Q8*Geometry!$D$42:$D$59)&lt;eco)+eco*(($O8+$P8*Geometry!$E$42:$E$59+$Q8*Geometry!$D$42:$D$59)&gt;=eco))/eco)^n)*((($O8+$P8*Geometry!$E$42:$E$59+$Q8*Geometry!$D$42:$D$59))&gt;0))),Geometry!$F$42:$F$59,Geometry!$E$42:$E$59))/1000000</f>
      </c>
      <c r="CH8" s="32">
        <f>(SUMPRODUCT(alpha*fck*(1-(1-((($R8+$S8*Mesh_Y+$T8*Mesh_X))*(($R8+$S8*Mesh_Y+$T8*Mesh_X)&gt;0)*(($R8+$S8*Mesh_Y+$T8*Mesh_X)&lt;eco)+eco*(($R8+$S8*Mesh_Y+$T8*Mesh_X)&gt;=eco))/eco)^n)*((($R8+$S8*Mesh_Y+$T8*Mesh_X))&gt;0),Mesh_A,Mesh_Y)+SUMPRODUCT((Es*(($R8+$S8*Geometry!$E$42:$E$59+$T8*Geometry!$D$42:$D$59))*(ABS(Es*(($R8+$S8*Geometry!$E$42:$E$59+$T8*Geometry!$D$42:$D$59)))&lt;=fy)+fy*(Es*(($R8+$S8*Geometry!$E$42:$E$59+$T8*Geometry!$D$42:$D$59))&gt;fy)-fy*(Es*(($R8+$S8*Geometry!$E$42:$E$59+$T8*Geometry!$D$42:$D$59))&lt;-fy)-(alpha*fck*(1-(1-((($R8+$S8*Geometry!$E$42:$E$59+$T8*Geometry!$D$42:$D$59))*(($R8+$S8*Geometry!$E$42:$E$59+$T8*Geometry!$D$42:$D$59)&gt;0)*(($R8+$S8*Geometry!$E$42:$E$59+$T8*Geometry!$D$42:$D$59)&lt;eco)+eco*(($R8+$S8*Geometry!$E$42:$E$59+$T8*Geometry!$D$42:$D$59)&gt;=eco))/eco)^n)*((($R8+$S8*Geometry!$E$42:$E$59+$T8*Geometry!$D$42:$D$59))&gt;0))),Geometry!$F$42:$F$59,Geometry!$E$42:$E$59))/1000000</f>
      </c>
      <c r="CI8" s="32">
        <f>(SUMPRODUCT(alpha*fck*(1-(1-((($U8+$V8*Mesh_Y+$W8*Mesh_X))*(($U8+$V8*Mesh_Y+$W8*Mesh_X)&gt;0)*(($U8+$V8*Mesh_Y+$W8*Mesh_X)&lt;eco)+eco*(($U8+$V8*Mesh_Y+$W8*Mesh_X)&gt;=eco))/eco)^n)*((($U8+$V8*Mesh_Y+$W8*Mesh_X))&gt;0),Mesh_A,Mesh_Y)+SUMPRODUCT((Es*(($U8+$V8*Geometry!$E$42:$E$59+$W8*Geometry!$D$42:$D$59))*(ABS(Es*(($U8+$V8*Geometry!$E$42:$E$59+$W8*Geometry!$D$42:$D$59)))&lt;=fy)+fy*(Es*(($U8+$V8*Geometry!$E$42:$E$59+$W8*Geometry!$D$42:$D$59))&gt;fy)-fy*(Es*(($U8+$V8*Geometry!$E$42:$E$59+$W8*Geometry!$D$42:$D$59))&lt;-fy)-(alpha*fck*(1-(1-((($U8+$V8*Geometry!$E$42:$E$59+$W8*Geometry!$D$42:$D$59))*(($U8+$V8*Geometry!$E$42:$E$59+$W8*Geometry!$D$42:$D$59)&gt;0)*(($U8+$V8*Geometry!$E$42:$E$59+$W8*Geometry!$D$42:$D$59)&lt;eco)+eco*(($U8+$V8*Geometry!$E$42:$E$59+$W8*Geometry!$D$42:$D$59)&gt;=eco))/eco)^n)*((($U8+$V8*Geometry!$E$42:$E$59+$W8*Geometry!$D$42:$D$59))&gt;0))),Geometry!$F$42:$F$59,Geometry!$E$42:$E$59))/1000000</f>
      </c>
      <c r="CJ8" s="32">
        <f>(SUMPRODUCT(alpha*fck*(1-(1-((($X8+$Y8*Mesh_Y+$Z8*Mesh_X))*(($X8+$Y8*Mesh_Y+$Z8*Mesh_X)&gt;0)*(($X8+$Y8*Mesh_Y+$Z8*Mesh_X)&lt;eco)+eco*(($X8+$Y8*Mesh_Y+$Z8*Mesh_X)&gt;=eco))/eco)^n)*((($X8+$Y8*Mesh_Y+$Z8*Mesh_X))&gt;0),Mesh_A,Mesh_Y)+SUMPRODUCT((Es*(($X8+$Y8*Geometry!$E$42:$E$59+$Z8*Geometry!$D$42:$D$59))*(ABS(Es*(($X8+$Y8*Geometry!$E$42:$E$59+$Z8*Geometry!$D$42:$D$59)))&lt;=fy)+fy*(Es*(($X8+$Y8*Geometry!$E$42:$E$59+$Z8*Geometry!$D$42:$D$59))&gt;fy)-fy*(Es*(($X8+$Y8*Geometry!$E$42:$E$59+$Z8*Geometry!$D$42:$D$59))&lt;-fy)-(alpha*fck*(1-(1-((($X8+$Y8*Geometry!$E$42:$E$59+$Z8*Geometry!$D$42:$D$59))*(($X8+$Y8*Geometry!$E$42:$E$59+$Z8*Geometry!$D$42:$D$59)&gt;0)*(($X8+$Y8*Geometry!$E$42:$E$59+$Z8*Geometry!$D$42:$D$59)&lt;eco)+eco*(($X8+$Y8*Geometry!$E$42:$E$59+$Z8*Geometry!$D$42:$D$59)&gt;=eco))/eco)^n)*((($X8+$Y8*Geometry!$E$42:$E$59+$Z8*Geometry!$D$42:$D$59))&gt;0))),Geometry!$F$42:$F$59,Geometry!$E$42:$E$59))/1000000</f>
      </c>
      <c r="CK8" s="32">
        <f>(SUMPRODUCT(alpha*fck*(1-(1-((($AA8+$AB8*Mesh_Y+$AC8*Mesh_X))*(($AA8+$AB8*Mesh_Y+$AC8*Mesh_X)&gt;0)*(($AA8+$AB8*Mesh_Y+$AC8*Mesh_X)&lt;eco)+eco*(($AA8+$AB8*Mesh_Y+$AC8*Mesh_X)&gt;=eco))/eco)^n)*((($AA8+$AB8*Mesh_Y+$AC8*Mesh_X))&gt;0),Mesh_A,Mesh_Y)+SUMPRODUCT((Es*(($AA8+$AB8*Geometry!$E$42:$E$59+$AC8*Geometry!$D$42:$D$59))*(ABS(Es*(($AA8+$AB8*Geometry!$E$42:$E$59+$AC8*Geometry!$D$42:$D$59)))&lt;=fy)+fy*(Es*(($AA8+$AB8*Geometry!$E$42:$E$59+$AC8*Geometry!$D$42:$D$59))&gt;fy)-fy*(Es*(($AA8+$AB8*Geometry!$E$42:$E$59+$AC8*Geometry!$D$42:$D$59))&lt;-fy)-(alpha*fck*(1-(1-((($AA8+$AB8*Geometry!$E$42:$E$59+$AC8*Geometry!$D$42:$D$59))*(($AA8+$AB8*Geometry!$E$42:$E$59+$AC8*Geometry!$D$42:$D$59)&gt;0)*(($AA8+$AB8*Geometry!$E$42:$E$59+$AC8*Geometry!$D$42:$D$59)&lt;eco)+eco*(($AA8+$AB8*Geometry!$E$42:$E$59+$AC8*Geometry!$D$42:$D$59)&gt;=eco))/eco)^n)*((($AA8+$AB8*Geometry!$E$42:$E$59+$AC8*Geometry!$D$42:$D$59))&gt;0))),Geometry!$F$42:$F$59,Geometry!$E$42:$E$59))/1000000</f>
      </c>
      <c r="CL8" s="32">
        <f>(SUMPRODUCT(alpha*fck*(1-(1-((($AD8+$AE8*Mesh_Y+$AF8*Mesh_X))*(($AD8+$AE8*Mesh_Y+$AF8*Mesh_X)&gt;0)*(($AD8+$AE8*Mesh_Y+$AF8*Mesh_X)&lt;eco)+eco*(($AD8+$AE8*Mesh_Y+$AF8*Mesh_X)&gt;=eco))/eco)^n)*((($AD8+$AE8*Mesh_Y+$AF8*Mesh_X))&gt;0),Mesh_A,Mesh_Y)+SUMPRODUCT((Es*(($AD8+$AE8*Geometry!$E$42:$E$59+$AF8*Geometry!$D$42:$D$59))*(ABS(Es*(($AD8+$AE8*Geometry!$E$42:$E$59+$AF8*Geometry!$D$42:$D$59)))&lt;=fy)+fy*(Es*(($AD8+$AE8*Geometry!$E$42:$E$59+$AF8*Geometry!$D$42:$D$59))&gt;fy)-fy*(Es*(($AD8+$AE8*Geometry!$E$42:$E$59+$AF8*Geometry!$D$42:$D$59))&lt;-fy)-(alpha*fck*(1-(1-((($AD8+$AE8*Geometry!$E$42:$E$59+$AF8*Geometry!$D$42:$D$59))*(($AD8+$AE8*Geometry!$E$42:$E$59+$AF8*Geometry!$D$42:$D$59)&gt;0)*(($AD8+$AE8*Geometry!$E$42:$E$59+$AF8*Geometry!$D$42:$D$59)&lt;eco)+eco*(($AD8+$AE8*Geometry!$E$42:$E$59+$AF8*Geometry!$D$42:$D$59)&gt;=eco))/eco)^n)*((($AD8+$AE8*Geometry!$E$42:$E$59+$AF8*Geometry!$D$42:$D$59))&gt;0))),Geometry!$F$42:$F$59,Geometry!$E$42:$E$59))/1000000</f>
      </c>
      <c r="CM8" s="32">
        <f>(SUMPRODUCT(alpha*fck*(1-(1-((($AG8+$AH8*Mesh_Y+$AI8*Mesh_X))*(($AG8+$AH8*Mesh_Y+$AI8*Mesh_X)&gt;0)*(($AG8+$AH8*Mesh_Y+$AI8*Mesh_X)&lt;eco)+eco*(($AG8+$AH8*Mesh_Y+$AI8*Mesh_X)&gt;=eco))/eco)^n)*((($AG8+$AH8*Mesh_Y+$AI8*Mesh_X))&gt;0),Mesh_A,Mesh_Y)+SUMPRODUCT((Es*(($AG8+$AH8*Geometry!$E$42:$E$59+$AI8*Geometry!$D$42:$D$59))*(ABS(Es*(($AG8+$AH8*Geometry!$E$42:$E$59+$AI8*Geometry!$D$42:$D$59)))&lt;=fy)+fy*(Es*(($AG8+$AH8*Geometry!$E$42:$E$59+$AI8*Geometry!$D$42:$D$59))&gt;fy)-fy*(Es*(($AG8+$AH8*Geometry!$E$42:$E$59+$AI8*Geometry!$D$42:$D$59))&lt;-fy)-(alpha*fck*(1-(1-((($AG8+$AH8*Geometry!$E$42:$E$59+$AI8*Geometry!$D$42:$D$59))*(($AG8+$AH8*Geometry!$E$42:$E$59+$AI8*Geometry!$D$42:$D$59)&gt;0)*(($AG8+$AH8*Geometry!$E$42:$E$59+$AI8*Geometry!$D$42:$D$59)&lt;eco)+eco*(($AG8+$AH8*Geometry!$E$42:$E$59+$AI8*Geometry!$D$42:$D$59)&gt;=eco))/eco)^n)*((($AG8+$AH8*Geometry!$E$42:$E$59+$AI8*Geometry!$D$42:$D$59))&gt;0))),Geometry!$F$42:$F$59,Geometry!$E$42:$E$59))/1000000</f>
      </c>
      <c r="CN8" s="32">
        <f>(SUMPRODUCT(alpha*fck*(1-(1-((($AJ8+$AK8*Mesh_Y+$AL8*Mesh_X))*(($AJ8+$AK8*Mesh_Y+$AL8*Mesh_X)&gt;0)*(($AJ8+$AK8*Mesh_Y+$AL8*Mesh_X)&lt;eco)+eco*(($AJ8+$AK8*Mesh_Y+$AL8*Mesh_X)&gt;=eco))/eco)^n)*((($AJ8+$AK8*Mesh_Y+$AL8*Mesh_X))&gt;0),Mesh_A,Mesh_Y)+SUMPRODUCT((Es*(($AJ8+$AK8*Geometry!$E$42:$E$59+$AL8*Geometry!$D$42:$D$59))*(ABS(Es*(($AJ8+$AK8*Geometry!$E$42:$E$59+$AL8*Geometry!$D$42:$D$59)))&lt;=fy)+fy*(Es*(($AJ8+$AK8*Geometry!$E$42:$E$59+$AL8*Geometry!$D$42:$D$59))&gt;fy)-fy*(Es*(($AJ8+$AK8*Geometry!$E$42:$E$59+$AL8*Geometry!$D$42:$D$59))&lt;-fy)-(alpha*fck*(1-(1-((($AJ8+$AK8*Geometry!$E$42:$E$59+$AL8*Geometry!$D$42:$D$59))*(($AJ8+$AK8*Geometry!$E$42:$E$59+$AL8*Geometry!$D$42:$D$59)&gt;0)*(($AJ8+$AK8*Geometry!$E$42:$E$59+$AL8*Geometry!$D$42:$D$59)&lt;eco)+eco*(($AJ8+$AK8*Geometry!$E$42:$E$59+$AL8*Geometry!$D$42:$D$59)&gt;=eco))/eco)^n)*((($AJ8+$AK8*Geometry!$E$42:$E$59+$AL8*Geometry!$D$42:$D$59))&gt;0))),Geometry!$F$42:$F$59,Geometry!$E$42:$E$59))/1000000</f>
      </c>
      <c r="CO8" s="32">
        <f>(SUMPRODUCT(alpha*fck*(1-(1-((($AM8+$AN8*Mesh_Y+$AO8*Mesh_X))*(($AM8+$AN8*Mesh_Y+$AO8*Mesh_X)&gt;0)*(($AM8+$AN8*Mesh_Y+$AO8*Mesh_X)&lt;eco)+eco*(($AM8+$AN8*Mesh_Y+$AO8*Mesh_X)&gt;=eco))/eco)^n)*((($AM8+$AN8*Mesh_Y+$AO8*Mesh_X))&gt;0),Mesh_A,Mesh_Y)+SUMPRODUCT((Es*(($AM8+$AN8*Geometry!$E$42:$E$59+$AO8*Geometry!$D$42:$D$59))*(ABS(Es*(($AM8+$AN8*Geometry!$E$42:$E$59+$AO8*Geometry!$D$42:$D$59)))&lt;=fy)+fy*(Es*(($AM8+$AN8*Geometry!$E$42:$E$59+$AO8*Geometry!$D$42:$D$59))&gt;fy)-fy*(Es*(($AM8+$AN8*Geometry!$E$42:$E$59+$AO8*Geometry!$D$42:$D$59))&lt;-fy)-(alpha*fck*(1-(1-((($AM8+$AN8*Geometry!$E$42:$E$59+$AO8*Geometry!$D$42:$D$59))*(($AM8+$AN8*Geometry!$E$42:$E$59+$AO8*Geometry!$D$42:$D$59)&gt;0)*(($AM8+$AN8*Geometry!$E$42:$E$59+$AO8*Geometry!$D$42:$D$59)&lt;eco)+eco*(($AM8+$AN8*Geometry!$E$42:$E$59+$AO8*Geometry!$D$42:$D$59)&gt;=eco))/eco)^n)*((($AM8+$AN8*Geometry!$E$42:$E$59+$AO8*Geometry!$D$42:$D$59))&gt;0))),Geometry!$F$42:$F$59,Geometry!$E$42:$E$59))/1000000</f>
      </c>
      <c r="CP8" s="32">
        <f>(SUMPRODUCT(alpha*fck*(1-(1-((($AP8+$AQ8*Mesh_Y+$AR8*Mesh_X))*(($AP8+$AQ8*Mesh_Y+$AR8*Mesh_X)&gt;0)*(($AP8+$AQ8*Mesh_Y+$AR8*Mesh_X)&lt;eco)+eco*(($AP8+$AQ8*Mesh_Y+$AR8*Mesh_X)&gt;=eco))/eco)^n)*((($AP8+$AQ8*Mesh_Y+$AR8*Mesh_X))&gt;0),Mesh_A,Mesh_Y)+SUMPRODUCT((Es*(($AP8+$AQ8*Geometry!$E$42:$E$59+$AR8*Geometry!$D$42:$D$59))*(ABS(Es*(($AP8+$AQ8*Geometry!$E$42:$E$59+$AR8*Geometry!$D$42:$D$59)))&lt;=fy)+fy*(Es*(($AP8+$AQ8*Geometry!$E$42:$E$59+$AR8*Geometry!$D$42:$D$59))&gt;fy)-fy*(Es*(($AP8+$AQ8*Geometry!$E$42:$E$59+$AR8*Geometry!$D$42:$D$59))&lt;-fy)-(alpha*fck*(1-(1-((($AP8+$AQ8*Geometry!$E$42:$E$59+$AR8*Geometry!$D$42:$D$59))*(($AP8+$AQ8*Geometry!$E$42:$E$59+$AR8*Geometry!$D$42:$D$59)&gt;0)*(($AP8+$AQ8*Geometry!$E$42:$E$59+$AR8*Geometry!$D$42:$D$59)&lt;eco)+eco*(($AP8+$AQ8*Geometry!$E$42:$E$59+$AR8*Geometry!$D$42:$D$59)&gt;=eco))/eco)^n)*((($AP8+$AQ8*Geometry!$E$42:$E$59+$AR8*Geometry!$D$42:$D$59))&gt;0))),Geometry!$F$42:$F$59,Geometry!$E$42:$E$59))/1000000</f>
      </c>
      <c r="CQ8" s="32">
        <f>(SUMPRODUCT(alpha*fck*(1-(1-((($AS8+$AT8*Mesh_Y+$AU8*Mesh_X))*(($AS8+$AT8*Mesh_Y+$AU8*Mesh_X)&gt;0)*(($AS8+$AT8*Mesh_Y+$AU8*Mesh_X)&lt;eco)+eco*(($AS8+$AT8*Mesh_Y+$AU8*Mesh_X)&gt;=eco))/eco)^n)*((($AS8+$AT8*Mesh_Y+$AU8*Mesh_X))&gt;0),Mesh_A,Mesh_Y)+SUMPRODUCT((Es*(($AS8+$AT8*Geometry!$E$42:$E$59+$AU8*Geometry!$D$42:$D$59))*(ABS(Es*(($AS8+$AT8*Geometry!$E$42:$E$59+$AU8*Geometry!$D$42:$D$59)))&lt;=fy)+fy*(Es*(($AS8+$AT8*Geometry!$E$42:$E$59+$AU8*Geometry!$D$42:$D$59))&gt;fy)-fy*(Es*(($AS8+$AT8*Geometry!$E$42:$E$59+$AU8*Geometry!$D$42:$D$59))&lt;-fy)-(alpha*fck*(1-(1-((($AS8+$AT8*Geometry!$E$42:$E$59+$AU8*Geometry!$D$42:$D$59))*(($AS8+$AT8*Geometry!$E$42:$E$59+$AU8*Geometry!$D$42:$D$59)&gt;0)*(($AS8+$AT8*Geometry!$E$42:$E$59+$AU8*Geometry!$D$42:$D$59)&lt;eco)+eco*(($AS8+$AT8*Geometry!$E$42:$E$59+$AU8*Geometry!$D$42:$D$59)&gt;=eco))/eco)^n)*((($AS8+$AT8*Geometry!$E$42:$E$59+$AU8*Geometry!$D$42:$D$59))&gt;0))),Geometry!$F$42:$F$59,Geometry!$E$42:$E$59))/1000000</f>
      </c>
      <c r="CR8" s="32">
        <f>(SUMPRODUCT(alpha*fck*(1-(1-((($AV8+$AW8*Mesh_Y+$AX8*Mesh_X))*(($AV8+$AW8*Mesh_Y+$AX8*Mesh_X)&gt;0)*(($AV8+$AW8*Mesh_Y+$AX8*Mesh_X)&lt;eco)+eco*(($AV8+$AW8*Mesh_Y+$AX8*Mesh_X)&gt;=eco))/eco)^n)*((($AV8+$AW8*Mesh_Y+$AX8*Mesh_X))&gt;0),Mesh_A,Mesh_Y)+SUMPRODUCT((Es*(($AV8+$AW8*Geometry!$E$42:$E$59+$AX8*Geometry!$D$42:$D$59))*(ABS(Es*(($AV8+$AW8*Geometry!$E$42:$E$59+$AX8*Geometry!$D$42:$D$59)))&lt;=fy)+fy*(Es*(($AV8+$AW8*Geometry!$E$42:$E$59+$AX8*Geometry!$D$42:$D$59))&gt;fy)-fy*(Es*(($AV8+$AW8*Geometry!$E$42:$E$59+$AX8*Geometry!$D$42:$D$59))&lt;-fy)-(alpha*fck*(1-(1-((($AV8+$AW8*Geometry!$E$42:$E$59+$AX8*Geometry!$D$42:$D$59))*(($AV8+$AW8*Geometry!$E$42:$E$59+$AX8*Geometry!$D$42:$D$59)&gt;0)*(($AV8+$AW8*Geometry!$E$42:$E$59+$AX8*Geometry!$D$42:$D$59)&lt;eco)+eco*(($AV8+$AW8*Geometry!$E$42:$E$59+$AX8*Geometry!$D$42:$D$59)&gt;=eco))/eco)^n)*((($AV8+$AW8*Geometry!$E$42:$E$59+$AX8*Geometry!$D$42:$D$59))&gt;0))),Geometry!$F$42:$F$59,Geometry!$E$42:$E$59))/1000000</f>
      </c>
      <c r="CS8" s="32">
        <f>(SUMPRODUCT(alpha*fck*(1-(1-((($AY8+$AZ8*Mesh_Y+$BA8*Mesh_X))*(($AY8+$AZ8*Mesh_Y+$BA8*Mesh_X)&gt;0)*(($AY8+$AZ8*Mesh_Y+$BA8*Mesh_X)&lt;eco)+eco*(($AY8+$AZ8*Mesh_Y+$BA8*Mesh_X)&gt;=eco))/eco)^n)*((($AY8+$AZ8*Mesh_Y+$BA8*Mesh_X))&gt;0),Mesh_A,Mesh_Y)+SUMPRODUCT((Es*(($AY8+$AZ8*Geometry!$E$42:$E$59+$BA8*Geometry!$D$42:$D$59))*(ABS(Es*(($AY8+$AZ8*Geometry!$E$42:$E$59+$BA8*Geometry!$D$42:$D$59)))&lt;=fy)+fy*(Es*(($AY8+$AZ8*Geometry!$E$42:$E$59+$BA8*Geometry!$D$42:$D$59))&gt;fy)-fy*(Es*(($AY8+$AZ8*Geometry!$E$42:$E$59+$BA8*Geometry!$D$42:$D$59))&lt;-fy)-(alpha*fck*(1-(1-((($AY8+$AZ8*Geometry!$E$42:$E$59+$BA8*Geometry!$D$42:$D$59))*(($AY8+$AZ8*Geometry!$E$42:$E$59+$BA8*Geometry!$D$42:$D$59)&gt;0)*(($AY8+$AZ8*Geometry!$E$42:$E$59+$BA8*Geometry!$D$42:$D$59)&lt;eco)+eco*(($AY8+$AZ8*Geometry!$E$42:$E$59+$BA8*Geometry!$D$42:$D$59)&gt;=eco))/eco)^n)*((($AY8+$AZ8*Geometry!$E$42:$E$59+$BA8*Geometry!$D$42:$D$59))&gt;0))),Geometry!$F$42:$F$59,Geometry!$E$42:$E$59))/1000000</f>
      </c>
      <c r="CT8" s="32">
        <f>(SUMPRODUCT(alpha*fck*(1-(1-((($BB8+$BC8*Mesh_Y+$BD8*Mesh_X))*(($BB8+$BC8*Mesh_Y+$BD8*Mesh_X)&gt;0)*(($BB8+$BC8*Mesh_Y+$BD8*Mesh_X)&lt;eco)+eco*(($BB8+$BC8*Mesh_Y+$BD8*Mesh_X)&gt;=eco))/eco)^n)*((($BB8+$BC8*Mesh_Y+$BD8*Mesh_X))&gt;0),Mesh_A,Mesh_Y)+SUMPRODUCT((Es*(($BB8+$BC8*Geometry!$E$42:$E$59+$BD8*Geometry!$D$42:$D$59))*(ABS(Es*(($BB8+$BC8*Geometry!$E$42:$E$59+$BD8*Geometry!$D$42:$D$59)))&lt;=fy)+fy*(Es*(($BB8+$BC8*Geometry!$E$42:$E$59+$BD8*Geometry!$D$42:$D$59))&gt;fy)-fy*(Es*(($BB8+$BC8*Geometry!$E$42:$E$59+$BD8*Geometry!$D$42:$D$59))&lt;-fy)-(alpha*fck*(1-(1-((($BB8+$BC8*Geometry!$E$42:$E$59+$BD8*Geometry!$D$42:$D$59))*(($BB8+$BC8*Geometry!$E$42:$E$59+$BD8*Geometry!$D$42:$D$59)&gt;0)*(($BB8+$BC8*Geometry!$E$42:$E$59+$BD8*Geometry!$D$42:$D$59)&lt;eco)+eco*(($BB8+$BC8*Geometry!$E$42:$E$59+$BD8*Geometry!$D$42:$D$59)&gt;=eco))/eco)^n)*((($BB8+$BC8*Geometry!$E$42:$E$59+$BD8*Geometry!$D$42:$D$59))&gt;0))),Geometry!$F$42:$F$59,Geometry!$E$42:$E$59))/1000000</f>
      </c>
      <c r="CU8" s="32">
        <f>(SUMPRODUCT(alpha*fck*(1-(1-((($BE8+$BF8*Mesh_Y+$BG8*Mesh_X))*(($BE8+$BF8*Mesh_Y+$BG8*Mesh_X)&gt;0)*(($BE8+$BF8*Mesh_Y+$BG8*Mesh_X)&lt;eco)+eco*(($BE8+$BF8*Mesh_Y+$BG8*Mesh_X)&gt;=eco))/eco)^n)*((($BE8+$BF8*Mesh_Y+$BG8*Mesh_X))&gt;0),Mesh_A,Mesh_Y)+SUMPRODUCT((Es*(($BE8+$BF8*Geometry!$E$42:$E$59+$BG8*Geometry!$D$42:$D$59))*(ABS(Es*(($BE8+$BF8*Geometry!$E$42:$E$59+$BG8*Geometry!$D$42:$D$59)))&lt;=fy)+fy*(Es*(($BE8+$BF8*Geometry!$E$42:$E$59+$BG8*Geometry!$D$42:$D$59))&gt;fy)-fy*(Es*(($BE8+$BF8*Geometry!$E$42:$E$59+$BG8*Geometry!$D$42:$D$59))&lt;-fy)-(alpha*fck*(1-(1-((($BE8+$BF8*Geometry!$E$42:$E$59+$BG8*Geometry!$D$42:$D$59))*(($BE8+$BF8*Geometry!$E$42:$E$59+$BG8*Geometry!$D$42:$D$59)&gt;0)*(($BE8+$BF8*Geometry!$E$42:$E$59+$BG8*Geometry!$D$42:$D$59)&lt;eco)+eco*(($BE8+$BF8*Geometry!$E$42:$E$59+$BG8*Geometry!$D$42:$D$59)&gt;=eco))/eco)^n)*((($BE8+$BF8*Geometry!$E$42:$E$59+$BG8*Geometry!$D$42:$D$59))&gt;0))),Geometry!$F$42:$F$59,Geometry!$E$42:$E$59))/1000000</f>
      </c>
      <c r="CV8" s="32">
        <f>(SUMPRODUCT(alpha*fck*(1-(1-((($BH8+$BI8*Mesh_Y+$BJ8*Mesh_X))*(($BH8+$BI8*Mesh_Y+$BJ8*Mesh_X)&gt;0)*(($BH8+$BI8*Mesh_Y+$BJ8*Mesh_X)&lt;eco)+eco*(($BH8+$BI8*Mesh_Y+$BJ8*Mesh_X)&gt;=eco))/eco)^n)*((($BH8+$BI8*Mesh_Y+$BJ8*Mesh_X))&gt;0),Mesh_A,Mesh_Y)+SUMPRODUCT((Es*(($BH8+$BI8*Geometry!$E$42:$E$59+$BJ8*Geometry!$D$42:$D$59))*(ABS(Es*(($BH8+$BI8*Geometry!$E$42:$E$59+$BJ8*Geometry!$D$42:$D$59)))&lt;=fy)+fy*(Es*(($BH8+$BI8*Geometry!$E$42:$E$59+$BJ8*Geometry!$D$42:$D$59))&gt;fy)-fy*(Es*(($BH8+$BI8*Geometry!$E$42:$E$59+$BJ8*Geometry!$D$42:$D$59))&lt;-fy)-(alpha*fck*(1-(1-((($BH8+$BI8*Geometry!$E$42:$E$59+$BJ8*Geometry!$D$42:$D$59))*(($BH8+$BI8*Geometry!$E$42:$E$59+$BJ8*Geometry!$D$42:$D$59)&gt;0)*(($BH8+$BI8*Geometry!$E$42:$E$59+$BJ8*Geometry!$D$42:$D$59)&lt;eco)+eco*(($BH8+$BI8*Geometry!$E$42:$E$59+$BJ8*Geometry!$D$42:$D$59)&gt;=eco))/eco)^n)*((($BH8+$BI8*Geometry!$E$42:$E$59+$BJ8*Geometry!$D$42:$D$59))&gt;0))),Geometry!$F$42:$F$59,Geometry!$E$42:$E$59))/1000000</f>
      </c>
      <c r="CW8" s="32">
        <f>(SUMPRODUCT(alpha*fck*(1-(1-((($F8+$G8*Mesh_Y+$H8*Mesh_X))*(($F8+$G8*Mesh_Y+$H8*Mesh_X)&gt;0)*(($F8+$G8*Mesh_Y+$H8*Mesh_X)&lt;eco)+eco*(($F8+$G8*Mesh_Y+$H8*Mesh_X)&gt;=eco))/eco)^n)*((($F8+$G8*Mesh_Y+$H8*Mesh_X))&gt;0),Mesh_A,Mesh_X)+SUMPRODUCT((Es*(($F8+$G8*Geometry!$E$42:$E$59+$H8*Geometry!$D$42:$D$59))*(ABS(Es*(($F8+$G8*Geometry!$E$42:$E$59+$H8*Geometry!$D$42:$D$59)))&lt;=fy)+fy*(Es*(($F8+$G8*Geometry!$E$42:$E$59+$H8*Geometry!$D$42:$D$59))&gt;fy)-fy*(Es*(($F8+$G8*Geometry!$E$42:$E$59+$H8*Geometry!$D$42:$D$59))&lt;-fy)-(alpha*fck*(1-(1-((($F8+$G8*Geometry!$E$42:$E$59+$H8*Geometry!$D$42:$D$59))*(($F8+$G8*Geometry!$E$42:$E$59+$H8*Geometry!$D$42:$D$59)&gt;0)*(($F8+$G8*Geometry!$E$42:$E$59+$H8*Geometry!$D$42:$D$59)&lt;eco)+eco*(($F8+$G8*Geometry!$E$42:$E$59+$H8*Geometry!$D$42:$D$59)&gt;=eco))/eco)^n)*((($F8+$G8*Geometry!$E$42:$E$59+$H8*Geometry!$D$42:$D$59))&gt;0))),Geometry!$F$42:$F$59,Geometry!$D$42:$D$59))/1000000</f>
      </c>
      <c r="CX8" s="32">
        <f>(SUMPRODUCT(alpha*fck*(1-(1-((($I8+$J8*Mesh_Y+$K8*Mesh_X))*(($I8+$J8*Mesh_Y+$K8*Mesh_X)&gt;0)*(($I8+$J8*Mesh_Y+$K8*Mesh_X)&lt;eco)+eco*(($I8+$J8*Mesh_Y+$K8*Mesh_X)&gt;=eco))/eco)^n)*((($I8+$J8*Mesh_Y+$K8*Mesh_X))&gt;0),Mesh_A,Mesh_X)+SUMPRODUCT((Es*(($I8+$J8*Geometry!$E$42:$E$59+$K8*Geometry!$D$42:$D$59))*(ABS(Es*(($I8+$J8*Geometry!$E$42:$E$59+$K8*Geometry!$D$42:$D$59)))&lt;=fy)+fy*(Es*(($I8+$J8*Geometry!$E$42:$E$59+$K8*Geometry!$D$42:$D$59))&gt;fy)-fy*(Es*(($I8+$J8*Geometry!$E$42:$E$59+$K8*Geometry!$D$42:$D$59))&lt;-fy)-(alpha*fck*(1-(1-((($I8+$J8*Geometry!$E$42:$E$59+$K8*Geometry!$D$42:$D$59))*(($I8+$J8*Geometry!$E$42:$E$59+$K8*Geometry!$D$42:$D$59)&gt;0)*(($I8+$J8*Geometry!$E$42:$E$59+$K8*Geometry!$D$42:$D$59)&lt;eco)+eco*(($I8+$J8*Geometry!$E$42:$E$59+$K8*Geometry!$D$42:$D$59)&gt;=eco))/eco)^n)*((($I8+$J8*Geometry!$E$42:$E$59+$K8*Geometry!$D$42:$D$59))&gt;0))),Geometry!$F$42:$F$59,Geometry!$D$42:$D$59))/1000000</f>
      </c>
      <c r="CY8" s="32">
        <f>(SUMPRODUCT(alpha*fck*(1-(1-((($L8+$M8*Mesh_Y+$N8*Mesh_X))*(($L8+$M8*Mesh_Y+$N8*Mesh_X)&gt;0)*(($L8+$M8*Mesh_Y+$N8*Mesh_X)&lt;eco)+eco*(($L8+$M8*Mesh_Y+$N8*Mesh_X)&gt;=eco))/eco)^n)*((($L8+$M8*Mesh_Y+$N8*Mesh_X))&gt;0),Mesh_A,Mesh_X)+SUMPRODUCT((Es*(($L8+$M8*Geometry!$E$42:$E$59+$N8*Geometry!$D$42:$D$59))*(ABS(Es*(($L8+$M8*Geometry!$E$42:$E$59+$N8*Geometry!$D$42:$D$59)))&lt;=fy)+fy*(Es*(($L8+$M8*Geometry!$E$42:$E$59+$N8*Geometry!$D$42:$D$59))&gt;fy)-fy*(Es*(($L8+$M8*Geometry!$E$42:$E$59+$N8*Geometry!$D$42:$D$59))&lt;-fy)-(alpha*fck*(1-(1-((($L8+$M8*Geometry!$E$42:$E$59+$N8*Geometry!$D$42:$D$59))*(($L8+$M8*Geometry!$E$42:$E$59+$N8*Geometry!$D$42:$D$59)&gt;0)*(($L8+$M8*Geometry!$E$42:$E$59+$N8*Geometry!$D$42:$D$59)&lt;eco)+eco*(($L8+$M8*Geometry!$E$42:$E$59+$N8*Geometry!$D$42:$D$59)&gt;=eco))/eco)^n)*((($L8+$M8*Geometry!$E$42:$E$59+$N8*Geometry!$D$42:$D$59))&gt;0))),Geometry!$F$42:$F$59,Geometry!$D$42:$D$59))/1000000</f>
      </c>
      <c r="CZ8" s="32">
        <f>(SUMPRODUCT(alpha*fck*(1-(1-((($O8+$P8*Mesh_Y+$Q8*Mesh_X))*(($O8+$P8*Mesh_Y+$Q8*Mesh_X)&gt;0)*(($O8+$P8*Mesh_Y+$Q8*Mesh_X)&lt;eco)+eco*(($O8+$P8*Mesh_Y+$Q8*Mesh_X)&gt;=eco))/eco)^n)*((($O8+$P8*Mesh_Y+$Q8*Mesh_X))&gt;0),Mesh_A,Mesh_X)+SUMPRODUCT((Es*(($O8+$P8*Geometry!$E$42:$E$59+$Q8*Geometry!$D$42:$D$59))*(ABS(Es*(($O8+$P8*Geometry!$E$42:$E$59+$Q8*Geometry!$D$42:$D$59)))&lt;=fy)+fy*(Es*(($O8+$P8*Geometry!$E$42:$E$59+$Q8*Geometry!$D$42:$D$59))&gt;fy)-fy*(Es*(($O8+$P8*Geometry!$E$42:$E$59+$Q8*Geometry!$D$42:$D$59))&lt;-fy)-(alpha*fck*(1-(1-((($O8+$P8*Geometry!$E$42:$E$59+$Q8*Geometry!$D$42:$D$59))*(($O8+$P8*Geometry!$E$42:$E$59+$Q8*Geometry!$D$42:$D$59)&gt;0)*(($O8+$P8*Geometry!$E$42:$E$59+$Q8*Geometry!$D$42:$D$59)&lt;eco)+eco*(($O8+$P8*Geometry!$E$42:$E$59+$Q8*Geometry!$D$42:$D$59)&gt;=eco))/eco)^n)*((($O8+$P8*Geometry!$E$42:$E$59+$Q8*Geometry!$D$42:$D$59))&gt;0))),Geometry!$F$42:$F$59,Geometry!$D$42:$D$59))/1000000</f>
      </c>
      <c r="DA8" s="32">
        <f>(SUMPRODUCT(alpha*fck*(1-(1-((($R8+$S8*Mesh_Y+$T8*Mesh_X))*(($R8+$S8*Mesh_Y+$T8*Mesh_X)&gt;0)*(($R8+$S8*Mesh_Y+$T8*Mesh_X)&lt;eco)+eco*(($R8+$S8*Mesh_Y+$T8*Mesh_X)&gt;=eco))/eco)^n)*((($R8+$S8*Mesh_Y+$T8*Mesh_X))&gt;0),Mesh_A,Mesh_X)+SUMPRODUCT((Es*(($R8+$S8*Geometry!$E$42:$E$59+$T8*Geometry!$D$42:$D$59))*(ABS(Es*(($R8+$S8*Geometry!$E$42:$E$59+$T8*Geometry!$D$42:$D$59)))&lt;=fy)+fy*(Es*(($R8+$S8*Geometry!$E$42:$E$59+$T8*Geometry!$D$42:$D$59))&gt;fy)-fy*(Es*(($R8+$S8*Geometry!$E$42:$E$59+$T8*Geometry!$D$42:$D$59))&lt;-fy)-(alpha*fck*(1-(1-((($R8+$S8*Geometry!$E$42:$E$59+$T8*Geometry!$D$42:$D$59))*(($R8+$S8*Geometry!$E$42:$E$59+$T8*Geometry!$D$42:$D$59)&gt;0)*(($R8+$S8*Geometry!$E$42:$E$59+$T8*Geometry!$D$42:$D$59)&lt;eco)+eco*(($R8+$S8*Geometry!$E$42:$E$59+$T8*Geometry!$D$42:$D$59)&gt;=eco))/eco)^n)*((($R8+$S8*Geometry!$E$42:$E$59+$T8*Geometry!$D$42:$D$59))&gt;0))),Geometry!$F$42:$F$59,Geometry!$D$42:$D$59))/1000000</f>
      </c>
      <c r="DB8" s="32">
        <f>(SUMPRODUCT(alpha*fck*(1-(1-((($U8+$V8*Mesh_Y+$W8*Mesh_X))*(($U8+$V8*Mesh_Y+$W8*Mesh_X)&gt;0)*(($U8+$V8*Mesh_Y+$W8*Mesh_X)&lt;eco)+eco*(($U8+$V8*Mesh_Y+$W8*Mesh_X)&gt;=eco))/eco)^n)*((($U8+$V8*Mesh_Y+$W8*Mesh_X))&gt;0),Mesh_A,Mesh_X)+SUMPRODUCT((Es*(($U8+$V8*Geometry!$E$42:$E$59+$W8*Geometry!$D$42:$D$59))*(ABS(Es*(($U8+$V8*Geometry!$E$42:$E$59+$W8*Geometry!$D$42:$D$59)))&lt;=fy)+fy*(Es*(($U8+$V8*Geometry!$E$42:$E$59+$W8*Geometry!$D$42:$D$59))&gt;fy)-fy*(Es*(($U8+$V8*Geometry!$E$42:$E$59+$W8*Geometry!$D$42:$D$59))&lt;-fy)-(alpha*fck*(1-(1-((($U8+$V8*Geometry!$E$42:$E$59+$W8*Geometry!$D$42:$D$59))*(($U8+$V8*Geometry!$E$42:$E$59+$W8*Geometry!$D$42:$D$59)&gt;0)*(($U8+$V8*Geometry!$E$42:$E$59+$W8*Geometry!$D$42:$D$59)&lt;eco)+eco*(($U8+$V8*Geometry!$E$42:$E$59+$W8*Geometry!$D$42:$D$59)&gt;=eco))/eco)^n)*((($U8+$V8*Geometry!$E$42:$E$59+$W8*Geometry!$D$42:$D$59))&gt;0))),Geometry!$F$42:$F$59,Geometry!$D$42:$D$59))/1000000</f>
      </c>
      <c r="DC8" s="32">
        <f>(SUMPRODUCT(alpha*fck*(1-(1-((($X8+$Y8*Mesh_Y+$Z8*Mesh_X))*(($X8+$Y8*Mesh_Y+$Z8*Mesh_X)&gt;0)*(($X8+$Y8*Mesh_Y+$Z8*Mesh_X)&lt;eco)+eco*(($X8+$Y8*Mesh_Y+$Z8*Mesh_X)&gt;=eco))/eco)^n)*((($X8+$Y8*Mesh_Y+$Z8*Mesh_X))&gt;0),Mesh_A,Mesh_X)+SUMPRODUCT((Es*(($X8+$Y8*Geometry!$E$42:$E$59+$Z8*Geometry!$D$42:$D$59))*(ABS(Es*(($X8+$Y8*Geometry!$E$42:$E$59+$Z8*Geometry!$D$42:$D$59)))&lt;=fy)+fy*(Es*(($X8+$Y8*Geometry!$E$42:$E$59+$Z8*Geometry!$D$42:$D$59))&gt;fy)-fy*(Es*(($X8+$Y8*Geometry!$E$42:$E$59+$Z8*Geometry!$D$42:$D$59))&lt;-fy)-(alpha*fck*(1-(1-((($X8+$Y8*Geometry!$E$42:$E$59+$Z8*Geometry!$D$42:$D$59))*(($X8+$Y8*Geometry!$E$42:$E$59+$Z8*Geometry!$D$42:$D$59)&gt;0)*(($X8+$Y8*Geometry!$E$42:$E$59+$Z8*Geometry!$D$42:$D$59)&lt;eco)+eco*(($X8+$Y8*Geometry!$E$42:$E$59+$Z8*Geometry!$D$42:$D$59)&gt;=eco))/eco)^n)*((($X8+$Y8*Geometry!$E$42:$E$59+$Z8*Geometry!$D$42:$D$59))&gt;0))),Geometry!$F$42:$F$59,Geometry!$D$42:$D$59))/1000000</f>
      </c>
      <c r="DD8" s="32">
        <f>(SUMPRODUCT(alpha*fck*(1-(1-((($AA8+$AB8*Mesh_Y+$AC8*Mesh_X))*(($AA8+$AB8*Mesh_Y+$AC8*Mesh_X)&gt;0)*(($AA8+$AB8*Mesh_Y+$AC8*Mesh_X)&lt;eco)+eco*(($AA8+$AB8*Mesh_Y+$AC8*Mesh_X)&gt;=eco))/eco)^n)*((($AA8+$AB8*Mesh_Y+$AC8*Mesh_X))&gt;0),Mesh_A,Mesh_X)+SUMPRODUCT((Es*(($AA8+$AB8*Geometry!$E$42:$E$59+$AC8*Geometry!$D$42:$D$59))*(ABS(Es*(($AA8+$AB8*Geometry!$E$42:$E$59+$AC8*Geometry!$D$42:$D$59)))&lt;=fy)+fy*(Es*(($AA8+$AB8*Geometry!$E$42:$E$59+$AC8*Geometry!$D$42:$D$59))&gt;fy)-fy*(Es*(($AA8+$AB8*Geometry!$E$42:$E$59+$AC8*Geometry!$D$42:$D$59))&lt;-fy)-(alpha*fck*(1-(1-((($AA8+$AB8*Geometry!$E$42:$E$59+$AC8*Geometry!$D$42:$D$59))*(($AA8+$AB8*Geometry!$E$42:$E$59+$AC8*Geometry!$D$42:$D$59)&gt;0)*(($AA8+$AB8*Geometry!$E$42:$E$59+$AC8*Geometry!$D$42:$D$59)&lt;eco)+eco*(($AA8+$AB8*Geometry!$E$42:$E$59+$AC8*Geometry!$D$42:$D$59)&gt;=eco))/eco)^n)*((($AA8+$AB8*Geometry!$E$42:$E$59+$AC8*Geometry!$D$42:$D$59))&gt;0))),Geometry!$F$42:$F$59,Geometry!$D$42:$D$59))/1000000</f>
      </c>
      <c r="DE8" s="32">
        <f>(SUMPRODUCT(alpha*fck*(1-(1-((($AD8+$AE8*Mesh_Y+$AF8*Mesh_X))*(($AD8+$AE8*Mesh_Y+$AF8*Mesh_X)&gt;0)*(($AD8+$AE8*Mesh_Y+$AF8*Mesh_X)&lt;eco)+eco*(($AD8+$AE8*Mesh_Y+$AF8*Mesh_X)&gt;=eco))/eco)^n)*((($AD8+$AE8*Mesh_Y+$AF8*Mesh_X))&gt;0),Mesh_A,Mesh_X)+SUMPRODUCT((Es*(($AD8+$AE8*Geometry!$E$42:$E$59+$AF8*Geometry!$D$42:$D$59))*(ABS(Es*(($AD8+$AE8*Geometry!$E$42:$E$59+$AF8*Geometry!$D$42:$D$59)))&lt;=fy)+fy*(Es*(($AD8+$AE8*Geometry!$E$42:$E$59+$AF8*Geometry!$D$42:$D$59))&gt;fy)-fy*(Es*(($AD8+$AE8*Geometry!$E$42:$E$59+$AF8*Geometry!$D$42:$D$59))&lt;-fy)-(alpha*fck*(1-(1-((($AD8+$AE8*Geometry!$E$42:$E$59+$AF8*Geometry!$D$42:$D$59))*(($AD8+$AE8*Geometry!$E$42:$E$59+$AF8*Geometry!$D$42:$D$59)&gt;0)*(($AD8+$AE8*Geometry!$E$42:$E$59+$AF8*Geometry!$D$42:$D$59)&lt;eco)+eco*(($AD8+$AE8*Geometry!$E$42:$E$59+$AF8*Geometry!$D$42:$D$59)&gt;=eco))/eco)^n)*((($AD8+$AE8*Geometry!$E$42:$E$59+$AF8*Geometry!$D$42:$D$59))&gt;0))),Geometry!$F$42:$F$59,Geometry!$D$42:$D$59))/1000000</f>
      </c>
      <c r="DF8" s="32">
        <f>(SUMPRODUCT(alpha*fck*(1-(1-((($AG8+$AH8*Mesh_Y+$AI8*Mesh_X))*(($AG8+$AH8*Mesh_Y+$AI8*Mesh_X)&gt;0)*(($AG8+$AH8*Mesh_Y+$AI8*Mesh_X)&lt;eco)+eco*(($AG8+$AH8*Mesh_Y+$AI8*Mesh_X)&gt;=eco))/eco)^n)*((($AG8+$AH8*Mesh_Y+$AI8*Mesh_X))&gt;0),Mesh_A,Mesh_X)+SUMPRODUCT((Es*(($AG8+$AH8*Geometry!$E$42:$E$59+$AI8*Geometry!$D$42:$D$59))*(ABS(Es*(($AG8+$AH8*Geometry!$E$42:$E$59+$AI8*Geometry!$D$42:$D$59)))&lt;=fy)+fy*(Es*(($AG8+$AH8*Geometry!$E$42:$E$59+$AI8*Geometry!$D$42:$D$59))&gt;fy)-fy*(Es*(($AG8+$AH8*Geometry!$E$42:$E$59+$AI8*Geometry!$D$42:$D$59))&lt;-fy)-(alpha*fck*(1-(1-((($AG8+$AH8*Geometry!$E$42:$E$59+$AI8*Geometry!$D$42:$D$59))*(($AG8+$AH8*Geometry!$E$42:$E$59+$AI8*Geometry!$D$42:$D$59)&gt;0)*(($AG8+$AH8*Geometry!$E$42:$E$59+$AI8*Geometry!$D$42:$D$59)&lt;eco)+eco*(($AG8+$AH8*Geometry!$E$42:$E$59+$AI8*Geometry!$D$42:$D$59)&gt;=eco))/eco)^n)*((($AG8+$AH8*Geometry!$E$42:$E$59+$AI8*Geometry!$D$42:$D$59))&gt;0))),Geometry!$F$42:$F$59,Geometry!$D$42:$D$59))/1000000</f>
      </c>
      <c r="DG8" s="32">
        <f>(SUMPRODUCT(alpha*fck*(1-(1-((($AJ8+$AK8*Mesh_Y+$AL8*Mesh_X))*(($AJ8+$AK8*Mesh_Y+$AL8*Mesh_X)&gt;0)*(($AJ8+$AK8*Mesh_Y+$AL8*Mesh_X)&lt;eco)+eco*(($AJ8+$AK8*Mesh_Y+$AL8*Mesh_X)&gt;=eco))/eco)^n)*((($AJ8+$AK8*Mesh_Y+$AL8*Mesh_X))&gt;0),Mesh_A,Mesh_X)+SUMPRODUCT((Es*(($AJ8+$AK8*Geometry!$E$42:$E$59+$AL8*Geometry!$D$42:$D$59))*(ABS(Es*(($AJ8+$AK8*Geometry!$E$42:$E$59+$AL8*Geometry!$D$42:$D$59)))&lt;=fy)+fy*(Es*(($AJ8+$AK8*Geometry!$E$42:$E$59+$AL8*Geometry!$D$42:$D$59))&gt;fy)-fy*(Es*(($AJ8+$AK8*Geometry!$E$42:$E$59+$AL8*Geometry!$D$42:$D$59))&lt;-fy)-(alpha*fck*(1-(1-((($AJ8+$AK8*Geometry!$E$42:$E$59+$AL8*Geometry!$D$42:$D$59))*(($AJ8+$AK8*Geometry!$E$42:$E$59+$AL8*Geometry!$D$42:$D$59)&gt;0)*(($AJ8+$AK8*Geometry!$E$42:$E$59+$AL8*Geometry!$D$42:$D$59)&lt;eco)+eco*(($AJ8+$AK8*Geometry!$E$42:$E$59+$AL8*Geometry!$D$42:$D$59)&gt;=eco))/eco)^n)*((($AJ8+$AK8*Geometry!$E$42:$E$59+$AL8*Geometry!$D$42:$D$59))&gt;0))),Geometry!$F$42:$F$59,Geometry!$D$42:$D$59))/1000000</f>
      </c>
      <c r="DH8" s="32">
        <f>(SUMPRODUCT(alpha*fck*(1-(1-((($AM8+$AN8*Mesh_Y+$AO8*Mesh_X))*(($AM8+$AN8*Mesh_Y+$AO8*Mesh_X)&gt;0)*(($AM8+$AN8*Mesh_Y+$AO8*Mesh_X)&lt;eco)+eco*(($AM8+$AN8*Mesh_Y+$AO8*Mesh_X)&gt;=eco))/eco)^n)*((($AM8+$AN8*Mesh_Y+$AO8*Mesh_X))&gt;0),Mesh_A,Mesh_X)+SUMPRODUCT((Es*(($AM8+$AN8*Geometry!$E$42:$E$59+$AO8*Geometry!$D$42:$D$59))*(ABS(Es*(($AM8+$AN8*Geometry!$E$42:$E$59+$AO8*Geometry!$D$42:$D$59)))&lt;=fy)+fy*(Es*(($AM8+$AN8*Geometry!$E$42:$E$59+$AO8*Geometry!$D$42:$D$59))&gt;fy)-fy*(Es*(($AM8+$AN8*Geometry!$E$42:$E$59+$AO8*Geometry!$D$42:$D$59))&lt;-fy)-(alpha*fck*(1-(1-((($AM8+$AN8*Geometry!$E$42:$E$59+$AO8*Geometry!$D$42:$D$59))*(($AM8+$AN8*Geometry!$E$42:$E$59+$AO8*Geometry!$D$42:$D$59)&gt;0)*(($AM8+$AN8*Geometry!$E$42:$E$59+$AO8*Geometry!$D$42:$D$59)&lt;eco)+eco*(($AM8+$AN8*Geometry!$E$42:$E$59+$AO8*Geometry!$D$42:$D$59)&gt;=eco))/eco)^n)*((($AM8+$AN8*Geometry!$E$42:$E$59+$AO8*Geometry!$D$42:$D$59))&gt;0))),Geometry!$F$42:$F$59,Geometry!$D$42:$D$59))/1000000</f>
      </c>
      <c r="DI8" s="32">
        <f>(SUMPRODUCT(alpha*fck*(1-(1-((($AP8+$AQ8*Mesh_Y+$AR8*Mesh_X))*(($AP8+$AQ8*Mesh_Y+$AR8*Mesh_X)&gt;0)*(($AP8+$AQ8*Mesh_Y+$AR8*Mesh_X)&lt;eco)+eco*(($AP8+$AQ8*Mesh_Y+$AR8*Mesh_X)&gt;=eco))/eco)^n)*((($AP8+$AQ8*Mesh_Y+$AR8*Mesh_X))&gt;0),Mesh_A,Mesh_X)+SUMPRODUCT((Es*(($AP8+$AQ8*Geometry!$E$42:$E$59+$AR8*Geometry!$D$42:$D$59))*(ABS(Es*(($AP8+$AQ8*Geometry!$E$42:$E$59+$AR8*Geometry!$D$42:$D$59)))&lt;=fy)+fy*(Es*(($AP8+$AQ8*Geometry!$E$42:$E$59+$AR8*Geometry!$D$42:$D$59))&gt;fy)-fy*(Es*(($AP8+$AQ8*Geometry!$E$42:$E$59+$AR8*Geometry!$D$42:$D$59))&lt;-fy)-(alpha*fck*(1-(1-((($AP8+$AQ8*Geometry!$E$42:$E$59+$AR8*Geometry!$D$42:$D$59))*(($AP8+$AQ8*Geometry!$E$42:$E$59+$AR8*Geometry!$D$42:$D$59)&gt;0)*(($AP8+$AQ8*Geometry!$E$42:$E$59+$AR8*Geometry!$D$42:$D$59)&lt;eco)+eco*(($AP8+$AQ8*Geometry!$E$42:$E$59+$AR8*Geometry!$D$42:$D$59)&gt;=eco))/eco)^n)*((($AP8+$AQ8*Geometry!$E$42:$E$59+$AR8*Geometry!$D$42:$D$59))&gt;0))),Geometry!$F$42:$F$59,Geometry!$D$42:$D$59))/1000000</f>
      </c>
      <c r="DJ8" s="32">
        <f>(SUMPRODUCT(alpha*fck*(1-(1-((($AS8+$AT8*Mesh_Y+$AU8*Mesh_X))*(($AS8+$AT8*Mesh_Y+$AU8*Mesh_X)&gt;0)*(($AS8+$AT8*Mesh_Y+$AU8*Mesh_X)&lt;eco)+eco*(($AS8+$AT8*Mesh_Y+$AU8*Mesh_X)&gt;=eco))/eco)^n)*((($AS8+$AT8*Mesh_Y+$AU8*Mesh_X))&gt;0),Mesh_A,Mesh_X)+SUMPRODUCT((Es*(($AS8+$AT8*Geometry!$E$42:$E$59+$AU8*Geometry!$D$42:$D$59))*(ABS(Es*(($AS8+$AT8*Geometry!$E$42:$E$59+$AU8*Geometry!$D$42:$D$59)))&lt;=fy)+fy*(Es*(($AS8+$AT8*Geometry!$E$42:$E$59+$AU8*Geometry!$D$42:$D$59))&gt;fy)-fy*(Es*(($AS8+$AT8*Geometry!$E$42:$E$59+$AU8*Geometry!$D$42:$D$59))&lt;-fy)-(alpha*fck*(1-(1-((($AS8+$AT8*Geometry!$E$42:$E$59+$AU8*Geometry!$D$42:$D$59))*(($AS8+$AT8*Geometry!$E$42:$E$59+$AU8*Geometry!$D$42:$D$59)&gt;0)*(($AS8+$AT8*Geometry!$E$42:$E$59+$AU8*Geometry!$D$42:$D$59)&lt;eco)+eco*(($AS8+$AT8*Geometry!$E$42:$E$59+$AU8*Geometry!$D$42:$D$59)&gt;=eco))/eco)^n)*((($AS8+$AT8*Geometry!$E$42:$E$59+$AU8*Geometry!$D$42:$D$59))&gt;0))),Geometry!$F$42:$F$59,Geometry!$D$42:$D$59))/1000000</f>
      </c>
      <c r="DK8" s="32">
        <f>(SUMPRODUCT(alpha*fck*(1-(1-((($AV8+$AW8*Mesh_Y+$AX8*Mesh_X))*(($AV8+$AW8*Mesh_Y+$AX8*Mesh_X)&gt;0)*(($AV8+$AW8*Mesh_Y+$AX8*Mesh_X)&lt;eco)+eco*(($AV8+$AW8*Mesh_Y+$AX8*Mesh_X)&gt;=eco))/eco)^n)*((($AV8+$AW8*Mesh_Y+$AX8*Mesh_X))&gt;0),Mesh_A,Mesh_X)+SUMPRODUCT((Es*(($AV8+$AW8*Geometry!$E$42:$E$59+$AX8*Geometry!$D$42:$D$59))*(ABS(Es*(($AV8+$AW8*Geometry!$E$42:$E$59+$AX8*Geometry!$D$42:$D$59)))&lt;=fy)+fy*(Es*(($AV8+$AW8*Geometry!$E$42:$E$59+$AX8*Geometry!$D$42:$D$59))&gt;fy)-fy*(Es*(($AV8+$AW8*Geometry!$E$42:$E$59+$AX8*Geometry!$D$42:$D$59))&lt;-fy)-(alpha*fck*(1-(1-((($AV8+$AW8*Geometry!$E$42:$E$59+$AX8*Geometry!$D$42:$D$59))*(($AV8+$AW8*Geometry!$E$42:$E$59+$AX8*Geometry!$D$42:$D$59)&gt;0)*(($AV8+$AW8*Geometry!$E$42:$E$59+$AX8*Geometry!$D$42:$D$59)&lt;eco)+eco*(($AV8+$AW8*Geometry!$E$42:$E$59+$AX8*Geometry!$D$42:$D$59)&gt;=eco))/eco)^n)*((($AV8+$AW8*Geometry!$E$42:$E$59+$AX8*Geometry!$D$42:$D$59))&gt;0))),Geometry!$F$42:$F$59,Geometry!$D$42:$D$59))/1000000</f>
      </c>
      <c r="DL8" s="32">
        <f>(SUMPRODUCT(alpha*fck*(1-(1-((($AY8+$AZ8*Mesh_Y+$BA8*Mesh_X))*(($AY8+$AZ8*Mesh_Y+$BA8*Mesh_X)&gt;0)*(($AY8+$AZ8*Mesh_Y+$BA8*Mesh_X)&lt;eco)+eco*(($AY8+$AZ8*Mesh_Y+$BA8*Mesh_X)&gt;=eco))/eco)^n)*((($AY8+$AZ8*Mesh_Y+$BA8*Mesh_X))&gt;0),Mesh_A,Mesh_X)+SUMPRODUCT((Es*(($AY8+$AZ8*Geometry!$E$42:$E$59+$BA8*Geometry!$D$42:$D$59))*(ABS(Es*(($AY8+$AZ8*Geometry!$E$42:$E$59+$BA8*Geometry!$D$42:$D$59)))&lt;=fy)+fy*(Es*(($AY8+$AZ8*Geometry!$E$42:$E$59+$BA8*Geometry!$D$42:$D$59))&gt;fy)-fy*(Es*(($AY8+$AZ8*Geometry!$E$42:$E$59+$BA8*Geometry!$D$42:$D$59))&lt;-fy)-(alpha*fck*(1-(1-((($AY8+$AZ8*Geometry!$E$42:$E$59+$BA8*Geometry!$D$42:$D$59))*(($AY8+$AZ8*Geometry!$E$42:$E$59+$BA8*Geometry!$D$42:$D$59)&gt;0)*(($AY8+$AZ8*Geometry!$E$42:$E$59+$BA8*Geometry!$D$42:$D$59)&lt;eco)+eco*(($AY8+$AZ8*Geometry!$E$42:$E$59+$BA8*Geometry!$D$42:$D$59)&gt;=eco))/eco)^n)*((($AY8+$AZ8*Geometry!$E$42:$E$59+$BA8*Geometry!$D$42:$D$59))&gt;0))),Geometry!$F$42:$F$59,Geometry!$D$42:$D$59))/1000000</f>
      </c>
      <c r="DM8" s="32">
        <f>(SUMPRODUCT(alpha*fck*(1-(1-((($BB8+$BC8*Mesh_Y+$BD8*Mesh_X))*(($BB8+$BC8*Mesh_Y+$BD8*Mesh_X)&gt;0)*(($BB8+$BC8*Mesh_Y+$BD8*Mesh_X)&lt;eco)+eco*(($BB8+$BC8*Mesh_Y+$BD8*Mesh_X)&gt;=eco))/eco)^n)*((($BB8+$BC8*Mesh_Y+$BD8*Mesh_X))&gt;0),Mesh_A,Mesh_X)+SUMPRODUCT((Es*(($BB8+$BC8*Geometry!$E$42:$E$59+$BD8*Geometry!$D$42:$D$59))*(ABS(Es*(($BB8+$BC8*Geometry!$E$42:$E$59+$BD8*Geometry!$D$42:$D$59)))&lt;=fy)+fy*(Es*(($BB8+$BC8*Geometry!$E$42:$E$59+$BD8*Geometry!$D$42:$D$59))&gt;fy)-fy*(Es*(($BB8+$BC8*Geometry!$E$42:$E$59+$BD8*Geometry!$D$42:$D$59))&lt;-fy)-(alpha*fck*(1-(1-((($BB8+$BC8*Geometry!$E$42:$E$59+$BD8*Geometry!$D$42:$D$59))*(($BB8+$BC8*Geometry!$E$42:$E$59+$BD8*Geometry!$D$42:$D$59)&gt;0)*(($BB8+$BC8*Geometry!$E$42:$E$59+$BD8*Geometry!$D$42:$D$59)&lt;eco)+eco*(($BB8+$BC8*Geometry!$E$42:$E$59+$BD8*Geometry!$D$42:$D$59)&gt;=eco))/eco)^n)*((($BB8+$BC8*Geometry!$E$42:$E$59+$BD8*Geometry!$D$42:$D$59))&gt;0))),Geometry!$F$42:$F$59,Geometry!$D$42:$D$59))/1000000</f>
      </c>
      <c r="DN8" s="32">
        <f>(SUMPRODUCT(alpha*fck*(1-(1-((($BE8+$BF8*Mesh_Y+$BG8*Mesh_X))*(($BE8+$BF8*Mesh_Y+$BG8*Mesh_X)&gt;0)*(($BE8+$BF8*Mesh_Y+$BG8*Mesh_X)&lt;eco)+eco*(($BE8+$BF8*Mesh_Y+$BG8*Mesh_X)&gt;=eco))/eco)^n)*((($BE8+$BF8*Mesh_Y+$BG8*Mesh_X))&gt;0),Mesh_A,Mesh_X)+SUMPRODUCT((Es*(($BE8+$BF8*Geometry!$E$42:$E$59+$BG8*Geometry!$D$42:$D$59))*(ABS(Es*(($BE8+$BF8*Geometry!$E$42:$E$59+$BG8*Geometry!$D$42:$D$59)))&lt;=fy)+fy*(Es*(($BE8+$BF8*Geometry!$E$42:$E$59+$BG8*Geometry!$D$42:$D$59))&gt;fy)-fy*(Es*(($BE8+$BF8*Geometry!$E$42:$E$59+$BG8*Geometry!$D$42:$D$59))&lt;-fy)-(alpha*fck*(1-(1-((($BE8+$BF8*Geometry!$E$42:$E$59+$BG8*Geometry!$D$42:$D$59))*(($BE8+$BF8*Geometry!$E$42:$E$59+$BG8*Geometry!$D$42:$D$59)&gt;0)*(($BE8+$BF8*Geometry!$E$42:$E$59+$BG8*Geometry!$D$42:$D$59)&lt;eco)+eco*(($BE8+$BF8*Geometry!$E$42:$E$59+$BG8*Geometry!$D$42:$D$59)&gt;=eco))/eco)^n)*((($BE8+$BF8*Geometry!$E$42:$E$59+$BG8*Geometry!$D$42:$D$59))&gt;0))),Geometry!$F$42:$F$59,Geometry!$D$42:$D$59))/1000000</f>
      </c>
      <c r="DO8" s="32">
        <f>(SUMPRODUCT(alpha*fck*(1-(1-((($BH8+$BI8*Mesh_Y+$BJ8*Mesh_X))*(($BH8+$BI8*Mesh_Y+$BJ8*Mesh_X)&gt;0)*(($BH8+$BI8*Mesh_Y+$BJ8*Mesh_X)&lt;eco)+eco*(($BH8+$BI8*Mesh_Y+$BJ8*Mesh_X)&gt;=eco))/eco)^n)*((($BH8+$BI8*Mesh_Y+$BJ8*Mesh_X))&gt;0),Mesh_A,Mesh_X)+SUMPRODUCT((Es*(($BH8+$BI8*Geometry!$E$42:$E$59+$BJ8*Geometry!$D$42:$D$59))*(ABS(Es*(($BH8+$BI8*Geometry!$E$42:$E$59+$BJ8*Geometry!$D$42:$D$59)))&lt;=fy)+fy*(Es*(($BH8+$BI8*Geometry!$E$42:$E$59+$BJ8*Geometry!$D$42:$D$59))&gt;fy)-fy*(Es*(($BH8+$BI8*Geometry!$E$42:$E$59+$BJ8*Geometry!$D$42:$D$59))&lt;-fy)-(alpha*fck*(1-(1-((($BH8+$BI8*Geometry!$E$42:$E$59+$BJ8*Geometry!$D$42:$D$59))*(($BH8+$BI8*Geometry!$E$42:$E$59+$BJ8*Geometry!$D$42:$D$59)&gt;0)*(($BH8+$BI8*Geometry!$E$42:$E$59+$BJ8*Geometry!$D$42:$D$59)&lt;eco)+eco*(($BH8+$BI8*Geometry!$E$42:$E$59+$BJ8*Geometry!$D$42:$D$59)&gt;=eco))/eco)^n)*((($BH8+$BI8*Geometry!$E$42:$E$59+$BJ8*Geometry!$D$42:$D$59))&gt;0))),Geometry!$F$42:$F$59,Geometry!$D$42:$D$59))/1000000</f>
      </c>
      <c r="DP8" s="45">
        <f>MAX(1,MIN(18,SUMPRODUCT(--($BK8:$CC8&gt;=Pu))))</f>
      </c>
      <c r="DQ8" s="46">
        <f>(Pu-INDEX($BK8:$CC8,1,$DP8))/(INDEX($BK8:$CC8,1,$DP8+1)-INDEX($BK8:$CC8,1,$DP8))</f>
      </c>
      <c r="DR8" s="33">
        <f>INDEX($CD8:$CV8,1,$DP8)+$DQ8*(INDEX($CD8:$CV8,1,$DP8+1)-INDEX($CD8:$CV8,1,$DP8))</f>
      </c>
      <c r="DS8" s="33">
        <f>INDEX($CW8:$DO8,1,$DP8)+$DQ8*(INDEX($CW8:$DO8,1,$DP8+1)-INDEX($CW8:$DO8,1,$DP8))</f>
      </c>
      <c r="DT8" s="33">
        <f>SQRT(DR8^2+DS8^2)</f>
      </c>
    </row>
    <row r="9" spans="1:124" x14ac:dyDescent="0.25">
      <c r="A9">
        <v>2</v>
      </c>
      <c r="B9" s="43">
        <v>15</v>
      </c>
      <c r="C9" s="12">
        <f>MAX(SUMPRODUCT(MAX((Geometry!$E$6:$E$13)*COS(RADIANS($B9))+(Geometry!$D$6:$D$13)*SIN(RADIANS($B9)))))</f>
      </c>
      <c r="D9" s="12">
        <f>SUMPRODUCT(MIN((Geometry!$E$42:$E$59)*COS(RADIANS($B9))+(Geometry!$D$42:$D$59)*SIN(RADIANS($B9))))</f>
      </c>
      <c r="E9" s="12">
        <f>C9-D9</f>
      </c>
      <c r="F9" s="30">
        <f>ecu</f>
      </c>
      <c r="G9" s="44">
        <f>0*COS(RADIANS($B9))</f>
      </c>
      <c r="H9" s="44">
        <f>0*SIN(RADIANS($B9))</f>
      </c>
      <c r="I9" s="30">
        <f>ecu-((ecu-0)/($C9-($C9-PM_Angle!$C$8*$E9)))*$C9</f>
      </c>
      <c r="J9" s="44">
        <f>((ecu-0)/($C9-($C9-PM_Angle!$C$8*$E9)))*COS(RADIANS($B9))</f>
      </c>
      <c r="K9" s="44">
        <f>((ecu-0)/($C9-($C9-PM_Angle!$C$8*$E9)))*SIN(RADIANS($B9))</f>
      </c>
      <c r="L9" s="30">
        <f>ecu-((ecu-0)/($C9-($C9-PM_Angle!$C$9*$E9)))*$C9</f>
      </c>
      <c r="M9" s="44">
        <f>((ecu-0)/($C9-($C9-PM_Angle!$C$9*$E9)))*COS(RADIANS($B9))</f>
      </c>
      <c r="N9" s="44">
        <f>((ecu-0)/($C9-($C9-PM_Angle!$C$9*$E9)))*SIN(RADIANS($B9))</f>
      </c>
      <c r="O9" s="30">
        <f>ecu-((ecu-0)/($C9-($C9-PM_Angle!$C$10*$E9)))*$C9</f>
      </c>
      <c r="P9" s="44">
        <f>((ecu-0)/($C9-($C9-PM_Angle!$C$10*$E9)))*COS(RADIANS($B9))</f>
      </c>
      <c r="Q9" s="44">
        <f>((ecu-0)/($C9-($C9-PM_Angle!$C$10*$E9)))*SIN(RADIANS($B9))</f>
      </c>
      <c r="R9" s="30">
        <f>ecu-((ecu-0)/($C9-($C9-PM_Angle!$C$11*$E9)))*$C9</f>
      </c>
      <c r="S9" s="44">
        <f>((ecu-0)/($C9-($C9-PM_Angle!$C$11*$E9)))*COS(RADIANS($B9))</f>
      </c>
      <c r="T9" s="44">
        <f>((ecu-0)/($C9-($C9-PM_Angle!$C$11*$E9)))*SIN(RADIANS($B9))</f>
      </c>
      <c r="U9" s="30">
        <f>ecu-((ecu-(-PM_Angle!$E$12))/($C9-$D9))*$C9</f>
      </c>
      <c r="V9" s="44">
        <f>((ecu-(-PM_Angle!$E$12))/($C9-$D9))*COS(RADIANS($B9))</f>
      </c>
      <c r="W9" s="44">
        <f>((ecu-(-PM_Angle!$E$12))/($C9-$D9))*SIN(RADIANS($B9))</f>
      </c>
      <c r="X9" s="30">
        <f>ecu-((ecu-(-PM_Angle!$D$13*fy/Es))/($C9-$D9))*$C9</f>
      </c>
      <c r="Y9" s="44">
        <f>((ecu-(-PM_Angle!$D$13*fy/Es))/($C9-$D9))*COS(RADIANS($B9))</f>
      </c>
      <c r="Z9" s="44">
        <f>((ecu-(-PM_Angle!$D$13*fy/Es))/($C9-$D9))*SIN(RADIANS($B9))</f>
      </c>
      <c r="AA9" s="30">
        <f>ecu-((ecu-(-PM_Angle!$D$14*fy/Es))/($C9-$D9))*$C9</f>
      </c>
      <c r="AB9" s="44">
        <f>((ecu-(-PM_Angle!$D$14*fy/Es))/($C9-$D9))*COS(RADIANS($B9))</f>
      </c>
      <c r="AC9" s="44">
        <f>((ecu-(-PM_Angle!$D$14*fy/Es))/($C9-$D9))*SIN(RADIANS($B9))</f>
      </c>
      <c r="AD9" s="30">
        <f>ecu-((ecu-(-PM_Angle!$D$15*fy/Es))/($C9-$D9))*$C9</f>
      </c>
      <c r="AE9" s="44">
        <f>((ecu-(-PM_Angle!$D$15*fy/Es))/($C9-$D9))*COS(RADIANS($B9))</f>
      </c>
      <c r="AF9" s="44">
        <f>((ecu-(-PM_Angle!$D$15*fy/Es))/($C9-$D9))*SIN(RADIANS($B9))</f>
      </c>
      <c r="AG9" s="30">
        <f>ecu-((ecu-(-PM_Angle!$D$16*fy/Es))/($C9-$D9))*$C9</f>
      </c>
      <c r="AH9" s="44">
        <f>((ecu-(-PM_Angle!$D$16*fy/Es))/($C9-$D9))*COS(RADIANS($B9))</f>
      </c>
      <c r="AI9" s="44">
        <f>((ecu-(-PM_Angle!$D$16*fy/Es))/($C9-$D9))*SIN(RADIANS($B9))</f>
      </c>
      <c r="AJ9" s="30">
        <f>ecu-((ecu-(-PM_Angle!$E$17))/($C9-$D9))*$C9</f>
      </c>
      <c r="AK9" s="44">
        <f>((ecu-(-PM_Angle!$E$17))/($C9-$D9))*COS(RADIANS($B9))</f>
      </c>
      <c r="AL9" s="44">
        <f>((ecu-(-PM_Angle!$E$17))/($C9-$D9))*SIN(RADIANS($B9))</f>
      </c>
      <c r="AM9" s="30">
        <f>ecu-((ecu-(-PM_Angle!$E$18))/($C9-$D9))*$C9</f>
      </c>
      <c r="AN9" s="44">
        <f>((ecu-(-PM_Angle!$E$18))/($C9-$D9))*COS(RADIANS($B9))</f>
      </c>
      <c r="AO9" s="44">
        <f>((ecu-(-PM_Angle!$E$18))/($C9-$D9))*SIN(RADIANS($B9))</f>
      </c>
      <c r="AP9" s="30">
        <f>ecu-((ecu-(-PM_Angle!$E$19))/($C9-$D9))*$C9</f>
      </c>
      <c r="AQ9" s="44">
        <f>((ecu-(-PM_Angle!$E$19))/($C9-$D9))*COS(RADIANS($B9))</f>
      </c>
      <c r="AR9" s="44">
        <f>((ecu-(-PM_Angle!$E$19))/($C9-$D9))*SIN(RADIANS($B9))</f>
      </c>
      <c r="AS9" s="30">
        <f>ecu-((ecu-(-PM_Angle!$E$20))/($C9-$D9))*$C9</f>
      </c>
      <c r="AT9" s="44">
        <f>((ecu-(-PM_Angle!$E$20))/($C9-$D9))*COS(RADIANS($B9))</f>
      </c>
      <c r="AU9" s="44">
        <f>((ecu-(-PM_Angle!$E$20))/($C9-$D9))*SIN(RADIANS($B9))</f>
      </c>
      <c r="AV9" s="30">
        <f>ecu-((ecu-(-PM_Angle!$E$21))/($C9-$D9))*$C9</f>
      </c>
      <c r="AW9" s="44">
        <f>((ecu-(-PM_Angle!$E$21))/($C9-$D9))*COS(RADIANS($B9))</f>
      </c>
      <c r="AX9" s="44">
        <f>((ecu-(-PM_Angle!$E$21))/($C9-$D9))*SIN(RADIANS($B9))</f>
      </c>
      <c r="AY9" s="30">
        <f>ecu-((ecu-(-PM_Angle!$E$22))/($C9-$D9))*$C9</f>
      </c>
      <c r="AZ9" s="44">
        <f>((ecu-(-PM_Angle!$E$22))/($C9-$D9))*COS(RADIANS($B9))</f>
      </c>
      <c r="BA9" s="44">
        <f>((ecu-(-PM_Angle!$E$22))/($C9-$D9))*SIN(RADIANS($B9))</f>
      </c>
      <c r="BB9" s="30">
        <f>ecu-((ecu-(-PM_Angle!$E$23))/($C9-$D9))*$C9</f>
      </c>
      <c r="BC9" s="44">
        <f>((ecu-(-PM_Angle!$E$23))/($C9-$D9))*COS(RADIANS($B9))</f>
      </c>
      <c r="BD9" s="44">
        <f>((ecu-(-PM_Angle!$E$23))/($C9-$D9))*SIN(RADIANS($B9))</f>
      </c>
      <c r="BE9" s="30">
        <f>ecu-((ecu-(-PM_Angle!$E$24))/($C9-$D9))*$C9</f>
      </c>
      <c r="BF9" s="44">
        <f>((ecu-(-PM_Angle!$E$24))/($C9-$D9))*COS(RADIANS($B9))</f>
      </c>
      <c r="BG9" s="44">
        <f>((ecu-(-PM_Angle!$E$24))/($C9-$D9))*SIN(RADIANS($B9))</f>
      </c>
      <c r="BH9" s="30">
        <f>etu</f>
      </c>
      <c r="BI9" s="44">
        <f>0*COS(RADIANS($B9))</f>
      </c>
      <c r="BJ9" s="44">
        <f>0*SIN(RADIANS($B9))</f>
      </c>
      <c r="BK9" s="32">
        <f>(SUMPRODUCT(alpha*fck*(1-(1-((($F9+$G9*Mesh_Y+$H9*Mesh_X))*(($F9+$G9*Mesh_Y+$H9*Mesh_X)&gt;0)*(($F9+$G9*Mesh_Y+$H9*Mesh_X)&lt;eco)+eco*(($F9+$G9*Mesh_Y+$H9*Mesh_X)&gt;=eco))/eco)^n)*((($F9+$G9*Mesh_Y+$H9*Mesh_X))&gt;0),Mesh_A)+SUMPRODUCT((Es*(($F9+$G9*Geometry!$E$42:$E$59+$H9*Geometry!$D$42:$D$59))*(ABS(Es*(($F9+$G9*Geometry!$E$42:$E$59+$H9*Geometry!$D$42:$D$59)))&lt;=fy)+fy*(Es*(($F9+$G9*Geometry!$E$42:$E$59+$H9*Geometry!$D$42:$D$59))&gt;fy)-fy*(Es*(($F9+$G9*Geometry!$E$42:$E$59+$H9*Geometry!$D$42:$D$59))&lt;-fy)-(alpha*fck*(1-(1-((($F9+$G9*Geometry!$E$42:$E$59+$H9*Geometry!$D$42:$D$59))*(($F9+$G9*Geometry!$E$42:$E$59+$H9*Geometry!$D$42:$D$59)&gt;0)*(($F9+$G9*Geometry!$E$42:$E$59+$H9*Geometry!$D$42:$D$59)&lt;eco)+eco*(($F9+$G9*Geometry!$E$42:$E$59+$H9*Geometry!$D$42:$D$59)&gt;=eco))/eco)^n)*((($F9+$G9*Geometry!$E$42:$E$59+$H9*Geometry!$D$42:$D$59))&gt;0))),Geometry!$F$42:$F$59))/1000</f>
      </c>
      <c r="BL9" s="32">
        <f>(SUMPRODUCT(alpha*fck*(1-(1-((($I9+$J9*Mesh_Y+$K9*Mesh_X))*(($I9+$J9*Mesh_Y+$K9*Mesh_X)&gt;0)*(($I9+$J9*Mesh_Y+$K9*Mesh_X)&lt;eco)+eco*(($I9+$J9*Mesh_Y+$K9*Mesh_X)&gt;=eco))/eco)^n)*((($I9+$J9*Mesh_Y+$K9*Mesh_X))&gt;0),Mesh_A)+SUMPRODUCT((Es*(($I9+$J9*Geometry!$E$42:$E$59+$K9*Geometry!$D$42:$D$59))*(ABS(Es*(($I9+$J9*Geometry!$E$42:$E$59+$K9*Geometry!$D$42:$D$59)))&lt;=fy)+fy*(Es*(($I9+$J9*Geometry!$E$42:$E$59+$K9*Geometry!$D$42:$D$59))&gt;fy)-fy*(Es*(($I9+$J9*Geometry!$E$42:$E$59+$K9*Geometry!$D$42:$D$59))&lt;-fy)-(alpha*fck*(1-(1-((($I9+$J9*Geometry!$E$42:$E$59+$K9*Geometry!$D$42:$D$59))*(($I9+$J9*Geometry!$E$42:$E$59+$K9*Geometry!$D$42:$D$59)&gt;0)*(($I9+$J9*Geometry!$E$42:$E$59+$K9*Geometry!$D$42:$D$59)&lt;eco)+eco*(($I9+$J9*Geometry!$E$42:$E$59+$K9*Geometry!$D$42:$D$59)&gt;=eco))/eco)^n)*((($I9+$J9*Geometry!$E$42:$E$59+$K9*Geometry!$D$42:$D$59))&gt;0))),Geometry!$F$42:$F$59))/1000</f>
      </c>
      <c r="BM9" s="32">
        <f>(SUMPRODUCT(alpha*fck*(1-(1-((($L9+$M9*Mesh_Y+$N9*Mesh_X))*(($L9+$M9*Mesh_Y+$N9*Mesh_X)&gt;0)*(($L9+$M9*Mesh_Y+$N9*Mesh_X)&lt;eco)+eco*(($L9+$M9*Mesh_Y+$N9*Mesh_X)&gt;=eco))/eco)^n)*((($L9+$M9*Mesh_Y+$N9*Mesh_X))&gt;0),Mesh_A)+SUMPRODUCT((Es*(($L9+$M9*Geometry!$E$42:$E$59+$N9*Geometry!$D$42:$D$59))*(ABS(Es*(($L9+$M9*Geometry!$E$42:$E$59+$N9*Geometry!$D$42:$D$59)))&lt;=fy)+fy*(Es*(($L9+$M9*Geometry!$E$42:$E$59+$N9*Geometry!$D$42:$D$59))&gt;fy)-fy*(Es*(($L9+$M9*Geometry!$E$42:$E$59+$N9*Geometry!$D$42:$D$59))&lt;-fy)-(alpha*fck*(1-(1-((($L9+$M9*Geometry!$E$42:$E$59+$N9*Geometry!$D$42:$D$59))*(($L9+$M9*Geometry!$E$42:$E$59+$N9*Geometry!$D$42:$D$59)&gt;0)*(($L9+$M9*Geometry!$E$42:$E$59+$N9*Geometry!$D$42:$D$59)&lt;eco)+eco*(($L9+$M9*Geometry!$E$42:$E$59+$N9*Geometry!$D$42:$D$59)&gt;=eco))/eco)^n)*((($L9+$M9*Geometry!$E$42:$E$59+$N9*Geometry!$D$42:$D$59))&gt;0))),Geometry!$F$42:$F$59))/1000</f>
      </c>
      <c r="BN9" s="32">
        <f>(SUMPRODUCT(alpha*fck*(1-(1-((($O9+$P9*Mesh_Y+$Q9*Mesh_X))*(($O9+$P9*Mesh_Y+$Q9*Mesh_X)&gt;0)*(($O9+$P9*Mesh_Y+$Q9*Mesh_X)&lt;eco)+eco*(($O9+$P9*Mesh_Y+$Q9*Mesh_X)&gt;=eco))/eco)^n)*((($O9+$P9*Mesh_Y+$Q9*Mesh_X))&gt;0),Mesh_A)+SUMPRODUCT((Es*(($O9+$P9*Geometry!$E$42:$E$59+$Q9*Geometry!$D$42:$D$59))*(ABS(Es*(($O9+$P9*Geometry!$E$42:$E$59+$Q9*Geometry!$D$42:$D$59)))&lt;=fy)+fy*(Es*(($O9+$P9*Geometry!$E$42:$E$59+$Q9*Geometry!$D$42:$D$59))&gt;fy)-fy*(Es*(($O9+$P9*Geometry!$E$42:$E$59+$Q9*Geometry!$D$42:$D$59))&lt;-fy)-(alpha*fck*(1-(1-((($O9+$P9*Geometry!$E$42:$E$59+$Q9*Geometry!$D$42:$D$59))*(($O9+$P9*Geometry!$E$42:$E$59+$Q9*Geometry!$D$42:$D$59)&gt;0)*(($O9+$P9*Geometry!$E$42:$E$59+$Q9*Geometry!$D$42:$D$59)&lt;eco)+eco*(($O9+$P9*Geometry!$E$42:$E$59+$Q9*Geometry!$D$42:$D$59)&gt;=eco))/eco)^n)*((($O9+$P9*Geometry!$E$42:$E$59+$Q9*Geometry!$D$42:$D$59))&gt;0))),Geometry!$F$42:$F$59))/1000</f>
      </c>
      <c r="BO9" s="32">
        <f>(SUMPRODUCT(alpha*fck*(1-(1-((($R9+$S9*Mesh_Y+$T9*Mesh_X))*(($R9+$S9*Mesh_Y+$T9*Mesh_X)&gt;0)*(($R9+$S9*Mesh_Y+$T9*Mesh_X)&lt;eco)+eco*(($R9+$S9*Mesh_Y+$T9*Mesh_X)&gt;=eco))/eco)^n)*((($R9+$S9*Mesh_Y+$T9*Mesh_X))&gt;0),Mesh_A)+SUMPRODUCT((Es*(($R9+$S9*Geometry!$E$42:$E$59+$T9*Geometry!$D$42:$D$59))*(ABS(Es*(($R9+$S9*Geometry!$E$42:$E$59+$T9*Geometry!$D$42:$D$59)))&lt;=fy)+fy*(Es*(($R9+$S9*Geometry!$E$42:$E$59+$T9*Geometry!$D$42:$D$59))&gt;fy)-fy*(Es*(($R9+$S9*Geometry!$E$42:$E$59+$T9*Geometry!$D$42:$D$59))&lt;-fy)-(alpha*fck*(1-(1-((($R9+$S9*Geometry!$E$42:$E$59+$T9*Geometry!$D$42:$D$59))*(($R9+$S9*Geometry!$E$42:$E$59+$T9*Geometry!$D$42:$D$59)&gt;0)*(($R9+$S9*Geometry!$E$42:$E$59+$T9*Geometry!$D$42:$D$59)&lt;eco)+eco*(($R9+$S9*Geometry!$E$42:$E$59+$T9*Geometry!$D$42:$D$59)&gt;=eco))/eco)^n)*((($R9+$S9*Geometry!$E$42:$E$59+$T9*Geometry!$D$42:$D$59))&gt;0))),Geometry!$F$42:$F$59))/1000</f>
      </c>
      <c r="BP9" s="32">
        <f>(SUMPRODUCT(alpha*fck*(1-(1-((($U9+$V9*Mesh_Y+$W9*Mesh_X))*(($U9+$V9*Mesh_Y+$W9*Mesh_X)&gt;0)*(($U9+$V9*Mesh_Y+$W9*Mesh_X)&lt;eco)+eco*(($U9+$V9*Mesh_Y+$W9*Mesh_X)&gt;=eco))/eco)^n)*((($U9+$V9*Mesh_Y+$W9*Mesh_X))&gt;0),Mesh_A)+SUMPRODUCT((Es*(($U9+$V9*Geometry!$E$42:$E$59+$W9*Geometry!$D$42:$D$59))*(ABS(Es*(($U9+$V9*Geometry!$E$42:$E$59+$W9*Geometry!$D$42:$D$59)))&lt;=fy)+fy*(Es*(($U9+$V9*Geometry!$E$42:$E$59+$W9*Geometry!$D$42:$D$59))&gt;fy)-fy*(Es*(($U9+$V9*Geometry!$E$42:$E$59+$W9*Geometry!$D$42:$D$59))&lt;-fy)-(alpha*fck*(1-(1-((($U9+$V9*Geometry!$E$42:$E$59+$W9*Geometry!$D$42:$D$59))*(($U9+$V9*Geometry!$E$42:$E$59+$W9*Geometry!$D$42:$D$59)&gt;0)*(($U9+$V9*Geometry!$E$42:$E$59+$W9*Geometry!$D$42:$D$59)&lt;eco)+eco*(($U9+$V9*Geometry!$E$42:$E$59+$W9*Geometry!$D$42:$D$59)&gt;=eco))/eco)^n)*((($U9+$V9*Geometry!$E$42:$E$59+$W9*Geometry!$D$42:$D$59))&gt;0))),Geometry!$F$42:$F$59))/1000</f>
      </c>
      <c r="BQ9" s="32">
        <f>(SUMPRODUCT(alpha*fck*(1-(1-((($X9+$Y9*Mesh_Y+$Z9*Mesh_X))*(($X9+$Y9*Mesh_Y+$Z9*Mesh_X)&gt;0)*(($X9+$Y9*Mesh_Y+$Z9*Mesh_X)&lt;eco)+eco*(($X9+$Y9*Mesh_Y+$Z9*Mesh_X)&gt;=eco))/eco)^n)*((($X9+$Y9*Mesh_Y+$Z9*Mesh_X))&gt;0),Mesh_A)+SUMPRODUCT((Es*(($X9+$Y9*Geometry!$E$42:$E$59+$Z9*Geometry!$D$42:$D$59))*(ABS(Es*(($X9+$Y9*Geometry!$E$42:$E$59+$Z9*Geometry!$D$42:$D$59)))&lt;=fy)+fy*(Es*(($X9+$Y9*Geometry!$E$42:$E$59+$Z9*Geometry!$D$42:$D$59))&gt;fy)-fy*(Es*(($X9+$Y9*Geometry!$E$42:$E$59+$Z9*Geometry!$D$42:$D$59))&lt;-fy)-(alpha*fck*(1-(1-((($X9+$Y9*Geometry!$E$42:$E$59+$Z9*Geometry!$D$42:$D$59))*(($X9+$Y9*Geometry!$E$42:$E$59+$Z9*Geometry!$D$42:$D$59)&gt;0)*(($X9+$Y9*Geometry!$E$42:$E$59+$Z9*Geometry!$D$42:$D$59)&lt;eco)+eco*(($X9+$Y9*Geometry!$E$42:$E$59+$Z9*Geometry!$D$42:$D$59)&gt;=eco))/eco)^n)*((($X9+$Y9*Geometry!$E$42:$E$59+$Z9*Geometry!$D$42:$D$59))&gt;0))),Geometry!$F$42:$F$59))/1000</f>
      </c>
      <c r="BR9" s="32">
        <f>(SUMPRODUCT(alpha*fck*(1-(1-((($AA9+$AB9*Mesh_Y+$AC9*Mesh_X))*(($AA9+$AB9*Mesh_Y+$AC9*Mesh_X)&gt;0)*(($AA9+$AB9*Mesh_Y+$AC9*Mesh_X)&lt;eco)+eco*(($AA9+$AB9*Mesh_Y+$AC9*Mesh_X)&gt;=eco))/eco)^n)*((($AA9+$AB9*Mesh_Y+$AC9*Mesh_X))&gt;0),Mesh_A)+SUMPRODUCT((Es*(($AA9+$AB9*Geometry!$E$42:$E$59+$AC9*Geometry!$D$42:$D$59))*(ABS(Es*(($AA9+$AB9*Geometry!$E$42:$E$59+$AC9*Geometry!$D$42:$D$59)))&lt;=fy)+fy*(Es*(($AA9+$AB9*Geometry!$E$42:$E$59+$AC9*Geometry!$D$42:$D$59))&gt;fy)-fy*(Es*(($AA9+$AB9*Geometry!$E$42:$E$59+$AC9*Geometry!$D$42:$D$59))&lt;-fy)-(alpha*fck*(1-(1-((($AA9+$AB9*Geometry!$E$42:$E$59+$AC9*Geometry!$D$42:$D$59))*(($AA9+$AB9*Geometry!$E$42:$E$59+$AC9*Geometry!$D$42:$D$59)&gt;0)*(($AA9+$AB9*Geometry!$E$42:$E$59+$AC9*Geometry!$D$42:$D$59)&lt;eco)+eco*(($AA9+$AB9*Geometry!$E$42:$E$59+$AC9*Geometry!$D$42:$D$59)&gt;=eco))/eco)^n)*((($AA9+$AB9*Geometry!$E$42:$E$59+$AC9*Geometry!$D$42:$D$59))&gt;0))),Geometry!$F$42:$F$59))/1000</f>
      </c>
      <c r="BS9" s="32">
        <f>(SUMPRODUCT(alpha*fck*(1-(1-((($AD9+$AE9*Mesh_Y+$AF9*Mesh_X))*(($AD9+$AE9*Mesh_Y+$AF9*Mesh_X)&gt;0)*(($AD9+$AE9*Mesh_Y+$AF9*Mesh_X)&lt;eco)+eco*(($AD9+$AE9*Mesh_Y+$AF9*Mesh_X)&gt;=eco))/eco)^n)*((($AD9+$AE9*Mesh_Y+$AF9*Mesh_X))&gt;0),Mesh_A)+SUMPRODUCT((Es*(($AD9+$AE9*Geometry!$E$42:$E$59+$AF9*Geometry!$D$42:$D$59))*(ABS(Es*(($AD9+$AE9*Geometry!$E$42:$E$59+$AF9*Geometry!$D$42:$D$59)))&lt;=fy)+fy*(Es*(($AD9+$AE9*Geometry!$E$42:$E$59+$AF9*Geometry!$D$42:$D$59))&gt;fy)-fy*(Es*(($AD9+$AE9*Geometry!$E$42:$E$59+$AF9*Geometry!$D$42:$D$59))&lt;-fy)-(alpha*fck*(1-(1-((($AD9+$AE9*Geometry!$E$42:$E$59+$AF9*Geometry!$D$42:$D$59))*(($AD9+$AE9*Geometry!$E$42:$E$59+$AF9*Geometry!$D$42:$D$59)&gt;0)*(($AD9+$AE9*Geometry!$E$42:$E$59+$AF9*Geometry!$D$42:$D$59)&lt;eco)+eco*(($AD9+$AE9*Geometry!$E$42:$E$59+$AF9*Geometry!$D$42:$D$59)&gt;=eco))/eco)^n)*((($AD9+$AE9*Geometry!$E$42:$E$59+$AF9*Geometry!$D$42:$D$59))&gt;0))),Geometry!$F$42:$F$59))/1000</f>
      </c>
      <c r="BT9" s="32">
        <f>(SUMPRODUCT(alpha*fck*(1-(1-((($AG9+$AH9*Mesh_Y+$AI9*Mesh_X))*(($AG9+$AH9*Mesh_Y+$AI9*Mesh_X)&gt;0)*(($AG9+$AH9*Mesh_Y+$AI9*Mesh_X)&lt;eco)+eco*(($AG9+$AH9*Mesh_Y+$AI9*Mesh_X)&gt;=eco))/eco)^n)*((($AG9+$AH9*Mesh_Y+$AI9*Mesh_X))&gt;0),Mesh_A)+SUMPRODUCT((Es*(($AG9+$AH9*Geometry!$E$42:$E$59+$AI9*Geometry!$D$42:$D$59))*(ABS(Es*(($AG9+$AH9*Geometry!$E$42:$E$59+$AI9*Geometry!$D$42:$D$59)))&lt;=fy)+fy*(Es*(($AG9+$AH9*Geometry!$E$42:$E$59+$AI9*Geometry!$D$42:$D$59))&gt;fy)-fy*(Es*(($AG9+$AH9*Geometry!$E$42:$E$59+$AI9*Geometry!$D$42:$D$59))&lt;-fy)-(alpha*fck*(1-(1-((($AG9+$AH9*Geometry!$E$42:$E$59+$AI9*Geometry!$D$42:$D$59))*(($AG9+$AH9*Geometry!$E$42:$E$59+$AI9*Geometry!$D$42:$D$59)&gt;0)*(($AG9+$AH9*Geometry!$E$42:$E$59+$AI9*Geometry!$D$42:$D$59)&lt;eco)+eco*(($AG9+$AH9*Geometry!$E$42:$E$59+$AI9*Geometry!$D$42:$D$59)&gt;=eco))/eco)^n)*((($AG9+$AH9*Geometry!$E$42:$E$59+$AI9*Geometry!$D$42:$D$59))&gt;0))),Geometry!$F$42:$F$59))/1000</f>
      </c>
      <c r="BU9" s="32">
        <f>(SUMPRODUCT(alpha*fck*(1-(1-((($AJ9+$AK9*Mesh_Y+$AL9*Mesh_X))*(($AJ9+$AK9*Mesh_Y+$AL9*Mesh_X)&gt;0)*(($AJ9+$AK9*Mesh_Y+$AL9*Mesh_X)&lt;eco)+eco*(($AJ9+$AK9*Mesh_Y+$AL9*Mesh_X)&gt;=eco))/eco)^n)*((($AJ9+$AK9*Mesh_Y+$AL9*Mesh_X))&gt;0),Mesh_A)+SUMPRODUCT((Es*(($AJ9+$AK9*Geometry!$E$42:$E$59+$AL9*Geometry!$D$42:$D$59))*(ABS(Es*(($AJ9+$AK9*Geometry!$E$42:$E$59+$AL9*Geometry!$D$42:$D$59)))&lt;=fy)+fy*(Es*(($AJ9+$AK9*Geometry!$E$42:$E$59+$AL9*Geometry!$D$42:$D$59))&gt;fy)-fy*(Es*(($AJ9+$AK9*Geometry!$E$42:$E$59+$AL9*Geometry!$D$42:$D$59))&lt;-fy)-(alpha*fck*(1-(1-((($AJ9+$AK9*Geometry!$E$42:$E$59+$AL9*Geometry!$D$42:$D$59))*(($AJ9+$AK9*Geometry!$E$42:$E$59+$AL9*Geometry!$D$42:$D$59)&gt;0)*(($AJ9+$AK9*Geometry!$E$42:$E$59+$AL9*Geometry!$D$42:$D$59)&lt;eco)+eco*(($AJ9+$AK9*Geometry!$E$42:$E$59+$AL9*Geometry!$D$42:$D$59)&gt;=eco))/eco)^n)*((($AJ9+$AK9*Geometry!$E$42:$E$59+$AL9*Geometry!$D$42:$D$59))&gt;0))),Geometry!$F$42:$F$59))/1000</f>
      </c>
      <c r="BV9" s="32">
        <f>(SUMPRODUCT(alpha*fck*(1-(1-((($AM9+$AN9*Mesh_Y+$AO9*Mesh_X))*(($AM9+$AN9*Mesh_Y+$AO9*Mesh_X)&gt;0)*(($AM9+$AN9*Mesh_Y+$AO9*Mesh_X)&lt;eco)+eco*(($AM9+$AN9*Mesh_Y+$AO9*Mesh_X)&gt;=eco))/eco)^n)*((($AM9+$AN9*Mesh_Y+$AO9*Mesh_X))&gt;0),Mesh_A)+SUMPRODUCT((Es*(($AM9+$AN9*Geometry!$E$42:$E$59+$AO9*Geometry!$D$42:$D$59))*(ABS(Es*(($AM9+$AN9*Geometry!$E$42:$E$59+$AO9*Geometry!$D$42:$D$59)))&lt;=fy)+fy*(Es*(($AM9+$AN9*Geometry!$E$42:$E$59+$AO9*Geometry!$D$42:$D$59))&gt;fy)-fy*(Es*(($AM9+$AN9*Geometry!$E$42:$E$59+$AO9*Geometry!$D$42:$D$59))&lt;-fy)-(alpha*fck*(1-(1-((($AM9+$AN9*Geometry!$E$42:$E$59+$AO9*Geometry!$D$42:$D$59))*(($AM9+$AN9*Geometry!$E$42:$E$59+$AO9*Geometry!$D$42:$D$59)&gt;0)*(($AM9+$AN9*Geometry!$E$42:$E$59+$AO9*Geometry!$D$42:$D$59)&lt;eco)+eco*(($AM9+$AN9*Geometry!$E$42:$E$59+$AO9*Geometry!$D$42:$D$59)&gt;=eco))/eco)^n)*((($AM9+$AN9*Geometry!$E$42:$E$59+$AO9*Geometry!$D$42:$D$59))&gt;0))),Geometry!$F$42:$F$59))/1000</f>
      </c>
      <c r="BW9" s="32">
        <f>(SUMPRODUCT(alpha*fck*(1-(1-((($AP9+$AQ9*Mesh_Y+$AR9*Mesh_X))*(($AP9+$AQ9*Mesh_Y+$AR9*Mesh_X)&gt;0)*(($AP9+$AQ9*Mesh_Y+$AR9*Mesh_X)&lt;eco)+eco*(($AP9+$AQ9*Mesh_Y+$AR9*Mesh_X)&gt;=eco))/eco)^n)*((($AP9+$AQ9*Mesh_Y+$AR9*Mesh_X))&gt;0),Mesh_A)+SUMPRODUCT((Es*(($AP9+$AQ9*Geometry!$E$42:$E$59+$AR9*Geometry!$D$42:$D$59))*(ABS(Es*(($AP9+$AQ9*Geometry!$E$42:$E$59+$AR9*Geometry!$D$42:$D$59)))&lt;=fy)+fy*(Es*(($AP9+$AQ9*Geometry!$E$42:$E$59+$AR9*Geometry!$D$42:$D$59))&gt;fy)-fy*(Es*(($AP9+$AQ9*Geometry!$E$42:$E$59+$AR9*Geometry!$D$42:$D$59))&lt;-fy)-(alpha*fck*(1-(1-((($AP9+$AQ9*Geometry!$E$42:$E$59+$AR9*Geometry!$D$42:$D$59))*(($AP9+$AQ9*Geometry!$E$42:$E$59+$AR9*Geometry!$D$42:$D$59)&gt;0)*(($AP9+$AQ9*Geometry!$E$42:$E$59+$AR9*Geometry!$D$42:$D$59)&lt;eco)+eco*(($AP9+$AQ9*Geometry!$E$42:$E$59+$AR9*Geometry!$D$42:$D$59)&gt;=eco))/eco)^n)*((($AP9+$AQ9*Geometry!$E$42:$E$59+$AR9*Geometry!$D$42:$D$59))&gt;0))),Geometry!$F$42:$F$59))/1000</f>
      </c>
      <c r="BX9" s="32">
        <f>(SUMPRODUCT(alpha*fck*(1-(1-((($AS9+$AT9*Mesh_Y+$AU9*Mesh_X))*(($AS9+$AT9*Mesh_Y+$AU9*Mesh_X)&gt;0)*(($AS9+$AT9*Mesh_Y+$AU9*Mesh_X)&lt;eco)+eco*(($AS9+$AT9*Mesh_Y+$AU9*Mesh_X)&gt;=eco))/eco)^n)*((($AS9+$AT9*Mesh_Y+$AU9*Mesh_X))&gt;0),Mesh_A)+SUMPRODUCT((Es*(($AS9+$AT9*Geometry!$E$42:$E$59+$AU9*Geometry!$D$42:$D$59))*(ABS(Es*(($AS9+$AT9*Geometry!$E$42:$E$59+$AU9*Geometry!$D$42:$D$59)))&lt;=fy)+fy*(Es*(($AS9+$AT9*Geometry!$E$42:$E$59+$AU9*Geometry!$D$42:$D$59))&gt;fy)-fy*(Es*(($AS9+$AT9*Geometry!$E$42:$E$59+$AU9*Geometry!$D$42:$D$59))&lt;-fy)-(alpha*fck*(1-(1-((($AS9+$AT9*Geometry!$E$42:$E$59+$AU9*Geometry!$D$42:$D$59))*(($AS9+$AT9*Geometry!$E$42:$E$59+$AU9*Geometry!$D$42:$D$59)&gt;0)*(($AS9+$AT9*Geometry!$E$42:$E$59+$AU9*Geometry!$D$42:$D$59)&lt;eco)+eco*(($AS9+$AT9*Geometry!$E$42:$E$59+$AU9*Geometry!$D$42:$D$59)&gt;=eco))/eco)^n)*((($AS9+$AT9*Geometry!$E$42:$E$59+$AU9*Geometry!$D$42:$D$59))&gt;0))),Geometry!$F$42:$F$59))/1000</f>
      </c>
      <c r="BY9" s="32">
        <f>(SUMPRODUCT(alpha*fck*(1-(1-((($AV9+$AW9*Mesh_Y+$AX9*Mesh_X))*(($AV9+$AW9*Mesh_Y+$AX9*Mesh_X)&gt;0)*(($AV9+$AW9*Mesh_Y+$AX9*Mesh_X)&lt;eco)+eco*(($AV9+$AW9*Mesh_Y+$AX9*Mesh_X)&gt;=eco))/eco)^n)*((($AV9+$AW9*Mesh_Y+$AX9*Mesh_X))&gt;0),Mesh_A)+SUMPRODUCT((Es*(($AV9+$AW9*Geometry!$E$42:$E$59+$AX9*Geometry!$D$42:$D$59))*(ABS(Es*(($AV9+$AW9*Geometry!$E$42:$E$59+$AX9*Geometry!$D$42:$D$59)))&lt;=fy)+fy*(Es*(($AV9+$AW9*Geometry!$E$42:$E$59+$AX9*Geometry!$D$42:$D$59))&gt;fy)-fy*(Es*(($AV9+$AW9*Geometry!$E$42:$E$59+$AX9*Geometry!$D$42:$D$59))&lt;-fy)-(alpha*fck*(1-(1-((($AV9+$AW9*Geometry!$E$42:$E$59+$AX9*Geometry!$D$42:$D$59))*(($AV9+$AW9*Geometry!$E$42:$E$59+$AX9*Geometry!$D$42:$D$59)&gt;0)*(($AV9+$AW9*Geometry!$E$42:$E$59+$AX9*Geometry!$D$42:$D$59)&lt;eco)+eco*(($AV9+$AW9*Geometry!$E$42:$E$59+$AX9*Geometry!$D$42:$D$59)&gt;=eco))/eco)^n)*((($AV9+$AW9*Geometry!$E$42:$E$59+$AX9*Geometry!$D$42:$D$59))&gt;0))),Geometry!$F$42:$F$59))/1000</f>
      </c>
      <c r="BZ9" s="32">
        <f>(SUMPRODUCT(alpha*fck*(1-(1-((($AY9+$AZ9*Mesh_Y+$BA9*Mesh_X))*(($AY9+$AZ9*Mesh_Y+$BA9*Mesh_X)&gt;0)*(($AY9+$AZ9*Mesh_Y+$BA9*Mesh_X)&lt;eco)+eco*(($AY9+$AZ9*Mesh_Y+$BA9*Mesh_X)&gt;=eco))/eco)^n)*((($AY9+$AZ9*Mesh_Y+$BA9*Mesh_X))&gt;0),Mesh_A)+SUMPRODUCT((Es*(($AY9+$AZ9*Geometry!$E$42:$E$59+$BA9*Geometry!$D$42:$D$59))*(ABS(Es*(($AY9+$AZ9*Geometry!$E$42:$E$59+$BA9*Geometry!$D$42:$D$59)))&lt;=fy)+fy*(Es*(($AY9+$AZ9*Geometry!$E$42:$E$59+$BA9*Geometry!$D$42:$D$59))&gt;fy)-fy*(Es*(($AY9+$AZ9*Geometry!$E$42:$E$59+$BA9*Geometry!$D$42:$D$59))&lt;-fy)-(alpha*fck*(1-(1-((($AY9+$AZ9*Geometry!$E$42:$E$59+$BA9*Geometry!$D$42:$D$59))*(($AY9+$AZ9*Geometry!$E$42:$E$59+$BA9*Geometry!$D$42:$D$59)&gt;0)*(($AY9+$AZ9*Geometry!$E$42:$E$59+$BA9*Geometry!$D$42:$D$59)&lt;eco)+eco*(($AY9+$AZ9*Geometry!$E$42:$E$59+$BA9*Geometry!$D$42:$D$59)&gt;=eco))/eco)^n)*((($AY9+$AZ9*Geometry!$E$42:$E$59+$BA9*Geometry!$D$42:$D$59))&gt;0))),Geometry!$F$42:$F$59))/1000</f>
      </c>
      <c r="CA9" s="32">
        <f>(SUMPRODUCT(alpha*fck*(1-(1-((($BB9+$BC9*Mesh_Y+$BD9*Mesh_X))*(($BB9+$BC9*Mesh_Y+$BD9*Mesh_X)&gt;0)*(($BB9+$BC9*Mesh_Y+$BD9*Mesh_X)&lt;eco)+eco*(($BB9+$BC9*Mesh_Y+$BD9*Mesh_X)&gt;=eco))/eco)^n)*((($BB9+$BC9*Mesh_Y+$BD9*Mesh_X))&gt;0),Mesh_A)+SUMPRODUCT((Es*(($BB9+$BC9*Geometry!$E$42:$E$59+$BD9*Geometry!$D$42:$D$59))*(ABS(Es*(($BB9+$BC9*Geometry!$E$42:$E$59+$BD9*Geometry!$D$42:$D$59)))&lt;=fy)+fy*(Es*(($BB9+$BC9*Geometry!$E$42:$E$59+$BD9*Geometry!$D$42:$D$59))&gt;fy)-fy*(Es*(($BB9+$BC9*Geometry!$E$42:$E$59+$BD9*Geometry!$D$42:$D$59))&lt;-fy)-(alpha*fck*(1-(1-((($BB9+$BC9*Geometry!$E$42:$E$59+$BD9*Geometry!$D$42:$D$59))*(($BB9+$BC9*Geometry!$E$42:$E$59+$BD9*Geometry!$D$42:$D$59)&gt;0)*(($BB9+$BC9*Geometry!$E$42:$E$59+$BD9*Geometry!$D$42:$D$59)&lt;eco)+eco*(($BB9+$BC9*Geometry!$E$42:$E$59+$BD9*Geometry!$D$42:$D$59)&gt;=eco))/eco)^n)*((($BB9+$BC9*Geometry!$E$42:$E$59+$BD9*Geometry!$D$42:$D$59))&gt;0))),Geometry!$F$42:$F$59))/1000</f>
      </c>
      <c r="CB9" s="32">
        <f>(SUMPRODUCT(alpha*fck*(1-(1-((($BE9+$BF9*Mesh_Y+$BG9*Mesh_X))*(($BE9+$BF9*Mesh_Y+$BG9*Mesh_X)&gt;0)*(($BE9+$BF9*Mesh_Y+$BG9*Mesh_X)&lt;eco)+eco*(($BE9+$BF9*Mesh_Y+$BG9*Mesh_X)&gt;=eco))/eco)^n)*((($BE9+$BF9*Mesh_Y+$BG9*Mesh_X))&gt;0),Mesh_A)+SUMPRODUCT((Es*(($BE9+$BF9*Geometry!$E$42:$E$59+$BG9*Geometry!$D$42:$D$59))*(ABS(Es*(($BE9+$BF9*Geometry!$E$42:$E$59+$BG9*Geometry!$D$42:$D$59)))&lt;=fy)+fy*(Es*(($BE9+$BF9*Geometry!$E$42:$E$59+$BG9*Geometry!$D$42:$D$59))&gt;fy)-fy*(Es*(($BE9+$BF9*Geometry!$E$42:$E$59+$BG9*Geometry!$D$42:$D$59))&lt;-fy)-(alpha*fck*(1-(1-((($BE9+$BF9*Geometry!$E$42:$E$59+$BG9*Geometry!$D$42:$D$59))*(($BE9+$BF9*Geometry!$E$42:$E$59+$BG9*Geometry!$D$42:$D$59)&gt;0)*(($BE9+$BF9*Geometry!$E$42:$E$59+$BG9*Geometry!$D$42:$D$59)&lt;eco)+eco*(($BE9+$BF9*Geometry!$E$42:$E$59+$BG9*Geometry!$D$42:$D$59)&gt;=eco))/eco)^n)*((($BE9+$BF9*Geometry!$E$42:$E$59+$BG9*Geometry!$D$42:$D$59))&gt;0))),Geometry!$F$42:$F$59))/1000</f>
      </c>
      <c r="CC9" s="32">
        <f>(SUMPRODUCT(alpha*fck*(1-(1-((($BH9+$BI9*Mesh_Y+$BJ9*Mesh_X))*(($BH9+$BI9*Mesh_Y+$BJ9*Mesh_X)&gt;0)*(($BH9+$BI9*Mesh_Y+$BJ9*Mesh_X)&lt;eco)+eco*(($BH9+$BI9*Mesh_Y+$BJ9*Mesh_X)&gt;=eco))/eco)^n)*((($BH9+$BI9*Mesh_Y+$BJ9*Mesh_X))&gt;0),Mesh_A)+SUMPRODUCT((Es*(($BH9+$BI9*Geometry!$E$42:$E$59+$BJ9*Geometry!$D$42:$D$59))*(ABS(Es*(($BH9+$BI9*Geometry!$E$42:$E$59+$BJ9*Geometry!$D$42:$D$59)))&lt;=fy)+fy*(Es*(($BH9+$BI9*Geometry!$E$42:$E$59+$BJ9*Geometry!$D$42:$D$59))&gt;fy)-fy*(Es*(($BH9+$BI9*Geometry!$E$42:$E$59+$BJ9*Geometry!$D$42:$D$59))&lt;-fy)-(alpha*fck*(1-(1-((($BH9+$BI9*Geometry!$E$42:$E$59+$BJ9*Geometry!$D$42:$D$59))*(($BH9+$BI9*Geometry!$E$42:$E$59+$BJ9*Geometry!$D$42:$D$59)&gt;0)*(($BH9+$BI9*Geometry!$E$42:$E$59+$BJ9*Geometry!$D$42:$D$59)&lt;eco)+eco*(($BH9+$BI9*Geometry!$E$42:$E$59+$BJ9*Geometry!$D$42:$D$59)&gt;=eco))/eco)^n)*((($BH9+$BI9*Geometry!$E$42:$E$59+$BJ9*Geometry!$D$42:$D$59))&gt;0))),Geometry!$F$42:$F$59))/1000</f>
      </c>
      <c r="CD9" s="32">
        <f>(SUMPRODUCT(alpha*fck*(1-(1-((($F9+$G9*Mesh_Y+$H9*Mesh_X))*(($F9+$G9*Mesh_Y+$H9*Mesh_X)&gt;0)*(($F9+$G9*Mesh_Y+$H9*Mesh_X)&lt;eco)+eco*(($F9+$G9*Mesh_Y+$H9*Mesh_X)&gt;=eco))/eco)^n)*((($F9+$G9*Mesh_Y+$H9*Mesh_X))&gt;0),Mesh_A,Mesh_Y)+SUMPRODUCT((Es*(($F9+$G9*Geometry!$E$42:$E$59+$H9*Geometry!$D$42:$D$59))*(ABS(Es*(($F9+$G9*Geometry!$E$42:$E$59+$H9*Geometry!$D$42:$D$59)))&lt;=fy)+fy*(Es*(($F9+$G9*Geometry!$E$42:$E$59+$H9*Geometry!$D$42:$D$59))&gt;fy)-fy*(Es*(($F9+$G9*Geometry!$E$42:$E$59+$H9*Geometry!$D$42:$D$59))&lt;-fy)-(alpha*fck*(1-(1-((($F9+$G9*Geometry!$E$42:$E$59+$H9*Geometry!$D$42:$D$59))*(($F9+$G9*Geometry!$E$42:$E$59+$H9*Geometry!$D$42:$D$59)&gt;0)*(($F9+$G9*Geometry!$E$42:$E$59+$H9*Geometry!$D$42:$D$59)&lt;eco)+eco*(($F9+$G9*Geometry!$E$42:$E$59+$H9*Geometry!$D$42:$D$59)&gt;=eco))/eco)^n)*((($F9+$G9*Geometry!$E$42:$E$59+$H9*Geometry!$D$42:$D$59))&gt;0))),Geometry!$F$42:$F$59,Geometry!$E$42:$E$59))/1000000</f>
      </c>
      <c r="CE9" s="32">
        <f>(SUMPRODUCT(alpha*fck*(1-(1-((($I9+$J9*Mesh_Y+$K9*Mesh_X))*(($I9+$J9*Mesh_Y+$K9*Mesh_X)&gt;0)*(($I9+$J9*Mesh_Y+$K9*Mesh_X)&lt;eco)+eco*(($I9+$J9*Mesh_Y+$K9*Mesh_X)&gt;=eco))/eco)^n)*((($I9+$J9*Mesh_Y+$K9*Mesh_X))&gt;0),Mesh_A,Mesh_Y)+SUMPRODUCT((Es*(($I9+$J9*Geometry!$E$42:$E$59+$K9*Geometry!$D$42:$D$59))*(ABS(Es*(($I9+$J9*Geometry!$E$42:$E$59+$K9*Geometry!$D$42:$D$59)))&lt;=fy)+fy*(Es*(($I9+$J9*Geometry!$E$42:$E$59+$K9*Geometry!$D$42:$D$59))&gt;fy)-fy*(Es*(($I9+$J9*Geometry!$E$42:$E$59+$K9*Geometry!$D$42:$D$59))&lt;-fy)-(alpha*fck*(1-(1-((($I9+$J9*Geometry!$E$42:$E$59+$K9*Geometry!$D$42:$D$59))*(($I9+$J9*Geometry!$E$42:$E$59+$K9*Geometry!$D$42:$D$59)&gt;0)*(($I9+$J9*Geometry!$E$42:$E$59+$K9*Geometry!$D$42:$D$59)&lt;eco)+eco*(($I9+$J9*Geometry!$E$42:$E$59+$K9*Geometry!$D$42:$D$59)&gt;=eco))/eco)^n)*((($I9+$J9*Geometry!$E$42:$E$59+$K9*Geometry!$D$42:$D$59))&gt;0))),Geometry!$F$42:$F$59,Geometry!$E$42:$E$59))/1000000</f>
      </c>
      <c r="CF9" s="32">
        <f>(SUMPRODUCT(alpha*fck*(1-(1-((($L9+$M9*Mesh_Y+$N9*Mesh_X))*(($L9+$M9*Mesh_Y+$N9*Mesh_X)&gt;0)*(($L9+$M9*Mesh_Y+$N9*Mesh_X)&lt;eco)+eco*(($L9+$M9*Mesh_Y+$N9*Mesh_X)&gt;=eco))/eco)^n)*((($L9+$M9*Mesh_Y+$N9*Mesh_X))&gt;0),Mesh_A,Mesh_Y)+SUMPRODUCT((Es*(($L9+$M9*Geometry!$E$42:$E$59+$N9*Geometry!$D$42:$D$59))*(ABS(Es*(($L9+$M9*Geometry!$E$42:$E$59+$N9*Geometry!$D$42:$D$59)))&lt;=fy)+fy*(Es*(($L9+$M9*Geometry!$E$42:$E$59+$N9*Geometry!$D$42:$D$59))&gt;fy)-fy*(Es*(($L9+$M9*Geometry!$E$42:$E$59+$N9*Geometry!$D$42:$D$59))&lt;-fy)-(alpha*fck*(1-(1-((($L9+$M9*Geometry!$E$42:$E$59+$N9*Geometry!$D$42:$D$59))*(($L9+$M9*Geometry!$E$42:$E$59+$N9*Geometry!$D$42:$D$59)&gt;0)*(($L9+$M9*Geometry!$E$42:$E$59+$N9*Geometry!$D$42:$D$59)&lt;eco)+eco*(($L9+$M9*Geometry!$E$42:$E$59+$N9*Geometry!$D$42:$D$59)&gt;=eco))/eco)^n)*((($L9+$M9*Geometry!$E$42:$E$59+$N9*Geometry!$D$42:$D$59))&gt;0))),Geometry!$F$42:$F$59,Geometry!$E$42:$E$59))/1000000</f>
      </c>
      <c r="CG9" s="32">
        <f>(SUMPRODUCT(alpha*fck*(1-(1-((($O9+$P9*Mesh_Y+$Q9*Mesh_X))*(($O9+$P9*Mesh_Y+$Q9*Mesh_X)&gt;0)*(($O9+$P9*Mesh_Y+$Q9*Mesh_X)&lt;eco)+eco*(($O9+$P9*Mesh_Y+$Q9*Mesh_X)&gt;=eco))/eco)^n)*((($O9+$P9*Mesh_Y+$Q9*Mesh_X))&gt;0),Mesh_A,Mesh_Y)+SUMPRODUCT((Es*(($O9+$P9*Geometry!$E$42:$E$59+$Q9*Geometry!$D$42:$D$59))*(ABS(Es*(($O9+$P9*Geometry!$E$42:$E$59+$Q9*Geometry!$D$42:$D$59)))&lt;=fy)+fy*(Es*(($O9+$P9*Geometry!$E$42:$E$59+$Q9*Geometry!$D$42:$D$59))&gt;fy)-fy*(Es*(($O9+$P9*Geometry!$E$42:$E$59+$Q9*Geometry!$D$42:$D$59))&lt;-fy)-(alpha*fck*(1-(1-((($O9+$P9*Geometry!$E$42:$E$59+$Q9*Geometry!$D$42:$D$59))*(($O9+$P9*Geometry!$E$42:$E$59+$Q9*Geometry!$D$42:$D$59)&gt;0)*(($O9+$P9*Geometry!$E$42:$E$59+$Q9*Geometry!$D$42:$D$59)&lt;eco)+eco*(($O9+$P9*Geometry!$E$42:$E$59+$Q9*Geometry!$D$42:$D$59)&gt;=eco))/eco)^n)*((($O9+$P9*Geometry!$E$42:$E$59+$Q9*Geometry!$D$42:$D$59))&gt;0))),Geometry!$F$42:$F$59,Geometry!$E$42:$E$59))/1000000</f>
      </c>
      <c r="CH9" s="32">
        <f>(SUMPRODUCT(alpha*fck*(1-(1-((($R9+$S9*Mesh_Y+$T9*Mesh_X))*(($R9+$S9*Mesh_Y+$T9*Mesh_X)&gt;0)*(($R9+$S9*Mesh_Y+$T9*Mesh_X)&lt;eco)+eco*(($R9+$S9*Mesh_Y+$T9*Mesh_X)&gt;=eco))/eco)^n)*((($R9+$S9*Mesh_Y+$T9*Mesh_X))&gt;0),Mesh_A,Mesh_Y)+SUMPRODUCT((Es*(($R9+$S9*Geometry!$E$42:$E$59+$T9*Geometry!$D$42:$D$59))*(ABS(Es*(($R9+$S9*Geometry!$E$42:$E$59+$T9*Geometry!$D$42:$D$59)))&lt;=fy)+fy*(Es*(($R9+$S9*Geometry!$E$42:$E$59+$T9*Geometry!$D$42:$D$59))&gt;fy)-fy*(Es*(($R9+$S9*Geometry!$E$42:$E$59+$T9*Geometry!$D$42:$D$59))&lt;-fy)-(alpha*fck*(1-(1-((($R9+$S9*Geometry!$E$42:$E$59+$T9*Geometry!$D$42:$D$59))*(($R9+$S9*Geometry!$E$42:$E$59+$T9*Geometry!$D$42:$D$59)&gt;0)*(($R9+$S9*Geometry!$E$42:$E$59+$T9*Geometry!$D$42:$D$59)&lt;eco)+eco*(($R9+$S9*Geometry!$E$42:$E$59+$T9*Geometry!$D$42:$D$59)&gt;=eco))/eco)^n)*((($R9+$S9*Geometry!$E$42:$E$59+$T9*Geometry!$D$42:$D$59))&gt;0))),Geometry!$F$42:$F$59,Geometry!$E$42:$E$59))/1000000</f>
      </c>
      <c r="CI9" s="32">
        <f>(SUMPRODUCT(alpha*fck*(1-(1-((($U9+$V9*Mesh_Y+$W9*Mesh_X))*(($U9+$V9*Mesh_Y+$W9*Mesh_X)&gt;0)*(($U9+$V9*Mesh_Y+$W9*Mesh_X)&lt;eco)+eco*(($U9+$V9*Mesh_Y+$W9*Mesh_X)&gt;=eco))/eco)^n)*((($U9+$V9*Mesh_Y+$W9*Mesh_X))&gt;0),Mesh_A,Mesh_Y)+SUMPRODUCT((Es*(($U9+$V9*Geometry!$E$42:$E$59+$W9*Geometry!$D$42:$D$59))*(ABS(Es*(($U9+$V9*Geometry!$E$42:$E$59+$W9*Geometry!$D$42:$D$59)))&lt;=fy)+fy*(Es*(($U9+$V9*Geometry!$E$42:$E$59+$W9*Geometry!$D$42:$D$59))&gt;fy)-fy*(Es*(($U9+$V9*Geometry!$E$42:$E$59+$W9*Geometry!$D$42:$D$59))&lt;-fy)-(alpha*fck*(1-(1-((($U9+$V9*Geometry!$E$42:$E$59+$W9*Geometry!$D$42:$D$59))*(($U9+$V9*Geometry!$E$42:$E$59+$W9*Geometry!$D$42:$D$59)&gt;0)*(($U9+$V9*Geometry!$E$42:$E$59+$W9*Geometry!$D$42:$D$59)&lt;eco)+eco*(($U9+$V9*Geometry!$E$42:$E$59+$W9*Geometry!$D$42:$D$59)&gt;=eco))/eco)^n)*((($U9+$V9*Geometry!$E$42:$E$59+$W9*Geometry!$D$42:$D$59))&gt;0))),Geometry!$F$42:$F$59,Geometry!$E$42:$E$59))/1000000</f>
      </c>
      <c r="CJ9" s="32">
        <f>(SUMPRODUCT(alpha*fck*(1-(1-((($X9+$Y9*Mesh_Y+$Z9*Mesh_X))*(($X9+$Y9*Mesh_Y+$Z9*Mesh_X)&gt;0)*(($X9+$Y9*Mesh_Y+$Z9*Mesh_X)&lt;eco)+eco*(($X9+$Y9*Mesh_Y+$Z9*Mesh_X)&gt;=eco))/eco)^n)*((($X9+$Y9*Mesh_Y+$Z9*Mesh_X))&gt;0),Mesh_A,Mesh_Y)+SUMPRODUCT((Es*(($X9+$Y9*Geometry!$E$42:$E$59+$Z9*Geometry!$D$42:$D$59))*(ABS(Es*(($X9+$Y9*Geometry!$E$42:$E$59+$Z9*Geometry!$D$42:$D$59)))&lt;=fy)+fy*(Es*(($X9+$Y9*Geometry!$E$42:$E$59+$Z9*Geometry!$D$42:$D$59))&gt;fy)-fy*(Es*(($X9+$Y9*Geometry!$E$42:$E$59+$Z9*Geometry!$D$42:$D$59))&lt;-fy)-(alpha*fck*(1-(1-((($X9+$Y9*Geometry!$E$42:$E$59+$Z9*Geometry!$D$42:$D$59))*(($X9+$Y9*Geometry!$E$42:$E$59+$Z9*Geometry!$D$42:$D$59)&gt;0)*(($X9+$Y9*Geometry!$E$42:$E$59+$Z9*Geometry!$D$42:$D$59)&lt;eco)+eco*(($X9+$Y9*Geometry!$E$42:$E$59+$Z9*Geometry!$D$42:$D$59)&gt;=eco))/eco)^n)*((($X9+$Y9*Geometry!$E$42:$E$59+$Z9*Geometry!$D$42:$D$59))&gt;0))),Geometry!$F$42:$F$59,Geometry!$E$42:$E$59))/1000000</f>
      </c>
      <c r="CK9" s="32">
        <f>(SUMPRODUCT(alpha*fck*(1-(1-((($AA9+$AB9*Mesh_Y+$AC9*Mesh_X))*(($AA9+$AB9*Mesh_Y+$AC9*Mesh_X)&gt;0)*(($AA9+$AB9*Mesh_Y+$AC9*Mesh_X)&lt;eco)+eco*(($AA9+$AB9*Mesh_Y+$AC9*Mesh_X)&gt;=eco))/eco)^n)*((($AA9+$AB9*Mesh_Y+$AC9*Mesh_X))&gt;0),Mesh_A,Mesh_Y)+SUMPRODUCT((Es*(($AA9+$AB9*Geometry!$E$42:$E$59+$AC9*Geometry!$D$42:$D$59))*(ABS(Es*(($AA9+$AB9*Geometry!$E$42:$E$59+$AC9*Geometry!$D$42:$D$59)))&lt;=fy)+fy*(Es*(($AA9+$AB9*Geometry!$E$42:$E$59+$AC9*Geometry!$D$42:$D$59))&gt;fy)-fy*(Es*(($AA9+$AB9*Geometry!$E$42:$E$59+$AC9*Geometry!$D$42:$D$59))&lt;-fy)-(alpha*fck*(1-(1-((($AA9+$AB9*Geometry!$E$42:$E$59+$AC9*Geometry!$D$42:$D$59))*(($AA9+$AB9*Geometry!$E$42:$E$59+$AC9*Geometry!$D$42:$D$59)&gt;0)*(($AA9+$AB9*Geometry!$E$42:$E$59+$AC9*Geometry!$D$42:$D$59)&lt;eco)+eco*(($AA9+$AB9*Geometry!$E$42:$E$59+$AC9*Geometry!$D$42:$D$59)&gt;=eco))/eco)^n)*((($AA9+$AB9*Geometry!$E$42:$E$59+$AC9*Geometry!$D$42:$D$59))&gt;0))),Geometry!$F$42:$F$59,Geometry!$E$42:$E$59))/1000000</f>
      </c>
      <c r="CL9" s="32">
        <f>(SUMPRODUCT(alpha*fck*(1-(1-((($AD9+$AE9*Mesh_Y+$AF9*Mesh_X))*(($AD9+$AE9*Mesh_Y+$AF9*Mesh_X)&gt;0)*(($AD9+$AE9*Mesh_Y+$AF9*Mesh_X)&lt;eco)+eco*(($AD9+$AE9*Mesh_Y+$AF9*Mesh_X)&gt;=eco))/eco)^n)*((($AD9+$AE9*Mesh_Y+$AF9*Mesh_X))&gt;0),Mesh_A,Mesh_Y)+SUMPRODUCT((Es*(($AD9+$AE9*Geometry!$E$42:$E$59+$AF9*Geometry!$D$42:$D$59))*(ABS(Es*(($AD9+$AE9*Geometry!$E$42:$E$59+$AF9*Geometry!$D$42:$D$59)))&lt;=fy)+fy*(Es*(($AD9+$AE9*Geometry!$E$42:$E$59+$AF9*Geometry!$D$42:$D$59))&gt;fy)-fy*(Es*(($AD9+$AE9*Geometry!$E$42:$E$59+$AF9*Geometry!$D$42:$D$59))&lt;-fy)-(alpha*fck*(1-(1-((($AD9+$AE9*Geometry!$E$42:$E$59+$AF9*Geometry!$D$42:$D$59))*(($AD9+$AE9*Geometry!$E$42:$E$59+$AF9*Geometry!$D$42:$D$59)&gt;0)*(($AD9+$AE9*Geometry!$E$42:$E$59+$AF9*Geometry!$D$42:$D$59)&lt;eco)+eco*(($AD9+$AE9*Geometry!$E$42:$E$59+$AF9*Geometry!$D$42:$D$59)&gt;=eco))/eco)^n)*((($AD9+$AE9*Geometry!$E$42:$E$59+$AF9*Geometry!$D$42:$D$59))&gt;0))),Geometry!$F$42:$F$59,Geometry!$E$42:$E$59))/1000000</f>
      </c>
      <c r="CM9" s="32">
        <f>(SUMPRODUCT(alpha*fck*(1-(1-((($AG9+$AH9*Mesh_Y+$AI9*Mesh_X))*(($AG9+$AH9*Mesh_Y+$AI9*Mesh_X)&gt;0)*(($AG9+$AH9*Mesh_Y+$AI9*Mesh_X)&lt;eco)+eco*(($AG9+$AH9*Mesh_Y+$AI9*Mesh_X)&gt;=eco))/eco)^n)*((($AG9+$AH9*Mesh_Y+$AI9*Mesh_X))&gt;0),Mesh_A,Mesh_Y)+SUMPRODUCT((Es*(($AG9+$AH9*Geometry!$E$42:$E$59+$AI9*Geometry!$D$42:$D$59))*(ABS(Es*(($AG9+$AH9*Geometry!$E$42:$E$59+$AI9*Geometry!$D$42:$D$59)))&lt;=fy)+fy*(Es*(($AG9+$AH9*Geometry!$E$42:$E$59+$AI9*Geometry!$D$42:$D$59))&gt;fy)-fy*(Es*(($AG9+$AH9*Geometry!$E$42:$E$59+$AI9*Geometry!$D$42:$D$59))&lt;-fy)-(alpha*fck*(1-(1-((($AG9+$AH9*Geometry!$E$42:$E$59+$AI9*Geometry!$D$42:$D$59))*(($AG9+$AH9*Geometry!$E$42:$E$59+$AI9*Geometry!$D$42:$D$59)&gt;0)*(($AG9+$AH9*Geometry!$E$42:$E$59+$AI9*Geometry!$D$42:$D$59)&lt;eco)+eco*(($AG9+$AH9*Geometry!$E$42:$E$59+$AI9*Geometry!$D$42:$D$59)&gt;=eco))/eco)^n)*((($AG9+$AH9*Geometry!$E$42:$E$59+$AI9*Geometry!$D$42:$D$59))&gt;0))),Geometry!$F$42:$F$59,Geometry!$E$42:$E$59))/1000000</f>
      </c>
      <c r="CN9" s="32">
        <f>(SUMPRODUCT(alpha*fck*(1-(1-((($AJ9+$AK9*Mesh_Y+$AL9*Mesh_X))*(($AJ9+$AK9*Mesh_Y+$AL9*Mesh_X)&gt;0)*(($AJ9+$AK9*Mesh_Y+$AL9*Mesh_X)&lt;eco)+eco*(($AJ9+$AK9*Mesh_Y+$AL9*Mesh_X)&gt;=eco))/eco)^n)*((($AJ9+$AK9*Mesh_Y+$AL9*Mesh_X))&gt;0),Mesh_A,Mesh_Y)+SUMPRODUCT((Es*(($AJ9+$AK9*Geometry!$E$42:$E$59+$AL9*Geometry!$D$42:$D$59))*(ABS(Es*(($AJ9+$AK9*Geometry!$E$42:$E$59+$AL9*Geometry!$D$42:$D$59)))&lt;=fy)+fy*(Es*(($AJ9+$AK9*Geometry!$E$42:$E$59+$AL9*Geometry!$D$42:$D$59))&gt;fy)-fy*(Es*(($AJ9+$AK9*Geometry!$E$42:$E$59+$AL9*Geometry!$D$42:$D$59))&lt;-fy)-(alpha*fck*(1-(1-((($AJ9+$AK9*Geometry!$E$42:$E$59+$AL9*Geometry!$D$42:$D$59))*(($AJ9+$AK9*Geometry!$E$42:$E$59+$AL9*Geometry!$D$42:$D$59)&gt;0)*(($AJ9+$AK9*Geometry!$E$42:$E$59+$AL9*Geometry!$D$42:$D$59)&lt;eco)+eco*(($AJ9+$AK9*Geometry!$E$42:$E$59+$AL9*Geometry!$D$42:$D$59)&gt;=eco))/eco)^n)*((($AJ9+$AK9*Geometry!$E$42:$E$59+$AL9*Geometry!$D$42:$D$59))&gt;0))),Geometry!$F$42:$F$59,Geometry!$E$42:$E$59))/1000000</f>
      </c>
      <c r="CO9" s="32">
        <f>(SUMPRODUCT(alpha*fck*(1-(1-((($AM9+$AN9*Mesh_Y+$AO9*Mesh_X))*(($AM9+$AN9*Mesh_Y+$AO9*Mesh_X)&gt;0)*(($AM9+$AN9*Mesh_Y+$AO9*Mesh_X)&lt;eco)+eco*(($AM9+$AN9*Mesh_Y+$AO9*Mesh_X)&gt;=eco))/eco)^n)*((($AM9+$AN9*Mesh_Y+$AO9*Mesh_X))&gt;0),Mesh_A,Mesh_Y)+SUMPRODUCT((Es*(($AM9+$AN9*Geometry!$E$42:$E$59+$AO9*Geometry!$D$42:$D$59))*(ABS(Es*(($AM9+$AN9*Geometry!$E$42:$E$59+$AO9*Geometry!$D$42:$D$59)))&lt;=fy)+fy*(Es*(($AM9+$AN9*Geometry!$E$42:$E$59+$AO9*Geometry!$D$42:$D$59))&gt;fy)-fy*(Es*(($AM9+$AN9*Geometry!$E$42:$E$59+$AO9*Geometry!$D$42:$D$59))&lt;-fy)-(alpha*fck*(1-(1-((($AM9+$AN9*Geometry!$E$42:$E$59+$AO9*Geometry!$D$42:$D$59))*(($AM9+$AN9*Geometry!$E$42:$E$59+$AO9*Geometry!$D$42:$D$59)&gt;0)*(($AM9+$AN9*Geometry!$E$42:$E$59+$AO9*Geometry!$D$42:$D$59)&lt;eco)+eco*(($AM9+$AN9*Geometry!$E$42:$E$59+$AO9*Geometry!$D$42:$D$59)&gt;=eco))/eco)^n)*((($AM9+$AN9*Geometry!$E$42:$E$59+$AO9*Geometry!$D$42:$D$59))&gt;0))),Geometry!$F$42:$F$59,Geometry!$E$42:$E$59))/1000000</f>
      </c>
      <c r="CP9" s="32">
        <f>(SUMPRODUCT(alpha*fck*(1-(1-((($AP9+$AQ9*Mesh_Y+$AR9*Mesh_X))*(($AP9+$AQ9*Mesh_Y+$AR9*Mesh_X)&gt;0)*(($AP9+$AQ9*Mesh_Y+$AR9*Mesh_X)&lt;eco)+eco*(($AP9+$AQ9*Mesh_Y+$AR9*Mesh_X)&gt;=eco))/eco)^n)*((($AP9+$AQ9*Mesh_Y+$AR9*Mesh_X))&gt;0),Mesh_A,Mesh_Y)+SUMPRODUCT((Es*(($AP9+$AQ9*Geometry!$E$42:$E$59+$AR9*Geometry!$D$42:$D$59))*(ABS(Es*(($AP9+$AQ9*Geometry!$E$42:$E$59+$AR9*Geometry!$D$42:$D$59)))&lt;=fy)+fy*(Es*(($AP9+$AQ9*Geometry!$E$42:$E$59+$AR9*Geometry!$D$42:$D$59))&gt;fy)-fy*(Es*(($AP9+$AQ9*Geometry!$E$42:$E$59+$AR9*Geometry!$D$42:$D$59))&lt;-fy)-(alpha*fck*(1-(1-((($AP9+$AQ9*Geometry!$E$42:$E$59+$AR9*Geometry!$D$42:$D$59))*(($AP9+$AQ9*Geometry!$E$42:$E$59+$AR9*Geometry!$D$42:$D$59)&gt;0)*(($AP9+$AQ9*Geometry!$E$42:$E$59+$AR9*Geometry!$D$42:$D$59)&lt;eco)+eco*(($AP9+$AQ9*Geometry!$E$42:$E$59+$AR9*Geometry!$D$42:$D$59)&gt;=eco))/eco)^n)*((($AP9+$AQ9*Geometry!$E$42:$E$59+$AR9*Geometry!$D$42:$D$59))&gt;0))),Geometry!$F$42:$F$59,Geometry!$E$42:$E$59))/1000000</f>
      </c>
      <c r="CQ9" s="32">
        <f>(SUMPRODUCT(alpha*fck*(1-(1-((($AS9+$AT9*Mesh_Y+$AU9*Mesh_X))*(($AS9+$AT9*Mesh_Y+$AU9*Mesh_X)&gt;0)*(($AS9+$AT9*Mesh_Y+$AU9*Mesh_X)&lt;eco)+eco*(($AS9+$AT9*Mesh_Y+$AU9*Mesh_X)&gt;=eco))/eco)^n)*((($AS9+$AT9*Mesh_Y+$AU9*Mesh_X))&gt;0),Mesh_A,Mesh_Y)+SUMPRODUCT((Es*(($AS9+$AT9*Geometry!$E$42:$E$59+$AU9*Geometry!$D$42:$D$59))*(ABS(Es*(($AS9+$AT9*Geometry!$E$42:$E$59+$AU9*Geometry!$D$42:$D$59)))&lt;=fy)+fy*(Es*(($AS9+$AT9*Geometry!$E$42:$E$59+$AU9*Geometry!$D$42:$D$59))&gt;fy)-fy*(Es*(($AS9+$AT9*Geometry!$E$42:$E$59+$AU9*Geometry!$D$42:$D$59))&lt;-fy)-(alpha*fck*(1-(1-((($AS9+$AT9*Geometry!$E$42:$E$59+$AU9*Geometry!$D$42:$D$59))*(($AS9+$AT9*Geometry!$E$42:$E$59+$AU9*Geometry!$D$42:$D$59)&gt;0)*(($AS9+$AT9*Geometry!$E$42:$E$59+$AU9*Geometry!$D$42:$D$59)&lt;eco)+eco*(($AS9+$AT9*Geometry!$E$42:$E$59+$AU9*Geometry!$D$42:$D$59)&gt;=eco))/eco)^n)*((($AS9+$AT9*Geometry!$E$42:$E$59+$AU9*Geometry!$D$42:$D$59))&gt;0))),Geometry!$F$42:$F$59,Geometry!$E$42:$E$59))/1000000</f>
      </c>
      <c r="CR9" s="32">
        <f>(SUMPRODUCT(alpha*fck*(1-(1-((($AV9+$AW9*Mesh_Y+$AX9*Mesh_X))*(($AV9+$AW9*Mesh_Y+$AX9*Mesh_X)&gt;0)*(($AV9+$AW9*Mesh_Y+$AX9*Mesh_X)&lt;eco)+eco*(($AV9+$AW9*Mesh_Y+$AX9*Mesh_X)&gt;=eco))/eco)^n)*((($AV9+$AW9*Mesh_Y+$AX9*Mesh_X))&gt;0),Mesh_A,Mesh_Y)+SUMPRODUCT((Es*(($AV9+$AW9*Geometry!$E$42:$E$59+$AX9*Geometry!$D$42:$D$59))*(ABS(Es*(($AV9+$AW9*Geometry!$E$42:$E$59+$AX9*Geometry!$D$42:$D$59)))&lt;=fy)+fy*(Es*(($AV9+$AW9*Geometry!$E$42:$E$59+$AX9*Geometry!$D$42:$D$59))&gt;fy)-fy*(Es*(($AV9+$AW9*Geometry!$E$42:$E$59+$AX9*Geometry!$D$42:$D$59))&lt;-fy)-(alpha*fck*(1-(1-((($AV9+$AW9*Geometry!$E$42:$E$59+$AX9*Geometry!$D$42:$D$59))*(($AV9+$AW9*Geometry!$E$42:$E$59+$AX9*Geometry!$D$42:$D$59)&gt;0)*(($AV9+$AW9*Geometry!$E$42:$E$59+$AX9*Geometry!$D$42:$D$59)&lt;eco)+eco*(($AV9+$AW9*Geometry!$E$42:$E$59+$AX9*Geometry!$D$42:$D$59)&gt;=eco))/eco)^n)*((($AV9+$AW9*Geometry!$E$42:$E$59+$AX9*Geometry!$D$42:$D$59))&gt;0))),Geometry!$F$42:$F$59,Geometry!$E$42:$E$59))/1000000</f>
      </c>
      <c r="CS9" s="32">
        <f>(SUMPRODUCT(alpha*fck*(1-(1-((($AY9+$AZ9*Mesh_Y+$BA9*Mesh_X))*(($AY9+$AZ9*Mesh_Y+$BA9*Mesh_X)&gt;0)*(($AY9+$AZ9*Mesh_Y+$BA9*Mesh_X)&lt;eco)+eco*(($AY9+$AZ9*Mesh_Y+$BA9*Mesh_X)&gt;=eco))/eco)^n)*((($AY9+$AZ9*Mesh_Y+$BA9*Mesh_X))&gt;0),Mesh_A,Mesh_Y)+SUMPRODUCT((Es*(($AY9+$AZ9*Geometry!$E$42:$E$59+$BA9*Geometry!$D$42:$D$59))*(ABS(Es*(($AY9+$AZ9*Geometry!$E$42:$E$59+$BA9*Geometry!$D$42:$D$59)))&lt;=fy)+fy*(Es*(($AY9+$AZ9*Geometry!$E$42:$E$59+$BA9*Geometry!$D$42:$D$59))&gt;fy)-fy*(Es*(($AY9+$AZ9*Geometry!$E$42:$E$59+$BA9*Geometry!$D$42:$D$59))&lt;-fy)-(alpha*fck*(1-(1-((($AY9+$AZ9*Geometry!$E$42:$E$59+$BA9*Geometry!$D$42:$D$59))*(($AY9+$AZ9*Geometry!$E$42:$E$59+$BA9*Geometry!$D$42:$D$59)&gt;0)*(($AY9+$AZ9*Geometry!$E$42:$E$59+$BA9*Geometry!$D$42:$D$59)&lt;eco)+eco*(($AY9+$AZ9*Geometry!$E$42:$E$59+$BA9*Geometry!$D$42:$D$59)&gt;=eco))/eco)^n)*((($AY9+$AZ9*Geometry!$E$42:$E$59+$BA9*Geometry!$D$42:$D$59))&gt;0))),Geometry!$F$42:$F$59,Geometry!$E$42:$E$59))/1000000</f>
      </c>
      <c r="CT9" s="32">
        <f>(SUMPRODUCT(alpha*fck*(1-(1-((($BB9+$BC9*Mesh_Y+$BD9*Mesh_X))*(($BB9+$BC9*Mesh_Y+$BD9*Mesh_X)&gt;0)*(($BB9+$BC9*Mesh_Y+$BD9*Mesh_X)&lt;eco)+eco*(($BB9+$BC9*Mesh_Y+$BD9*Mesh_X)&gt;=eco))/eco)^n)*((($BB9+$BC9*Mesh_Y+$BD9*Mesh_X))&gt;0),Mesh_A,Mesh_Y)+SUMPRODUCT((Es*(($BB9+$BC9*Geometry!$E$42:$E$59+$BD9*Geometry!$D$42:$D$59))*(ABS(Es*(($BB9+$BC9*Geometry!$E$42:$E$59+$BD9*Geometry!$D$42:$D$59)))&lt;=fy)+fy*(Es*(($BB9+$BC9*Geometry!$E$42:$E$59+$BD9*Geometry!$D$42:$D$59))&gt;fy)-fy*(Es*(($BB9+$BC9*Geometry!$E$42:$E$59+$BD9*Geometry!$D$42:$D$59))&lt;-fy)-(alpha*fck*(1-(1-((($BB9+$BC9*Geometry!$E$42:$E$59+$BD9*Geometry!$D$42:$D$59))*(($BB9+$BC9*Geometry!$E$42:$E$59+$BD9*Geometry!$D$42:$D$59)&gt;0)*(($BB9+$BC9*Geometry!$E$42:$E$59+$BD9*Geometry!$D$42:$D$59)&lt;eco)+eco*(($BB9+$BC9*Geometry!$E$42:$E$59+$BD9*Geometry!$D$42:$D$59)&gt;=eco))/eco)^n)*((($BB9+$BC9*Geometry!$E$42:$E$59+$BD9*Geometry!$D$42:$D$59))&gt;0))),Geometry!$F$42:$F$59,Geometry!$E$42:$E$59))/1000000</f>
      </c>
      <c r="CU9" s="32">
        <f>(SUMPRODUCT(alpha*fck*(1-(1-((($BE9+$BF9*Mesh_Y+$BG9*Mesh_X))*(($BE9+$BF9*Mesh_Y+$BG9*Mesh_X)&gt;0)*(($BE9+$BF9*Mesh_Y+$BG9*Mesh_X)&lt;eco)+eco*(($BE9+$BF9*Mesh_Y+$BG9*Mesh_X)&gt;=eco))/eco)^n)*((($BE9+$BF9*Mesh_Y+$BG9*Mesh_X))&gt;0),Mesh_A,Mesh_Y)+SUMPRODUCT((Es*(($BE9+$BF9*Geometry!$E$42:$E$59+$BG9*Geometry!$D$42:$D$59))*(ABS(Es*(($BE9+$BF9*Geometry!$E$42:$E$59+$BG9*Geometry!$D$42:$D$59)))&lt;=fy)+fy*(Es*(($BE9+$BF9*Geometry!$E$42:$E$59+$BG9*Geometry!$D$42:$D$59))&gt;fy)-fy*(Es*(($BE9+$BF9*Geometry!$E$42:$E$59+$BG9*Geometry!$D$42:$D$59))&lt;-fy)-(alpha*fck*(1-(1-((($BE9+$BF9*Geometry!$E$42:$E$59+$BG9*Geometry!$D$42:$D$59))*(($BE9+$BF9*Geometry!$E$42:$E$59+$BG9*Geometry!$D$42:$D$59)&gt;0)*(($BE9+$BF9*Geometry!$E$42:$E$59+$BG9*Geometry!$D$42:$D$59)&lt;eco)+eco*(($BE9+$BF9*Geometry!$E$42:$E$59+$BG9*Geometry!$D$42:$D$59)&gt;=eco))/eco)^n)*((($BE9+$BF9*Geometry!$E$42:$E$59+$BG9*Geometry!$D$42:$D$59))&gt;0))),Geometry!$F$42:$F$59,Geometry!$E$42:$E$59))/1000000</f>
      </c>
      <c r="CV9" s="32">
        <f>(SUMPRODUCT(alpha*fck*(1-(1-((($BH9+$BI9*Mesh_Y+$BJ9*Mesh_X))*(($BH9+$BI9*Mesh_Y+$BJ9*Mesh_X)&gt;0)*(($BH9+$BI9*Mesh_Y+$BJ9*Mesh_X)&lt;eco)+eco*(($BH9+$BI9*Mesh_Y+$BJ9*Mesh_X)&gt;=eco))/eco)^n)*((($BH9+$BI9*Mesh_Y+$BJ9*Mesh_X))&gt;0),Mesh_A,Mesh_Y)+SUMPRODUCT((Es*(($BH9+$BI9*Geometry!$E$42:$E$59+$BJ9*Geometry!$D$42:$D$59))*(ABS(Es*(($BH9+$BI9*Geometry!$E$42:$E$59+$BJ9*Geometry!$D$42:$D$59)))&lt;=fy)+fy*(Es*(($BH9+$BI9*Geometry!$E$42:$E$59+$BJ9*Geometry!$D$42:$D$59))&gt;fy)-fy*(Es*(($BH9+$BI9*Geometry!$E$42:$E$59+$BJ9*Geometry!$D$42:$D$59))&lt;-fy)-(alpha*fck*(1-(1-((($BH9+$BI9*Geometry!$E$42:$E$59+$BJ9*Geometry!$D$42:$D$59))*(($BH9+$BI9*Geometry!$E$42:$E$59+$BJ9*Geometry!$D$42:$D$59)&gt;0)*(($BH9+$BI9*Geometry!$E$42:$E$59+$BJ9*Geometry!$D$42:$D$59)&lt;eco)+eco*(($BH9+$BI9*Geometry!$E$42:$E$59+$BJ9*Geometry!$D$42:$D$59)&gt;=eco))/eco)^n)*((($BH9+$BI9*Geometry!$E$42:$E$59+$BJ9*Geometry!$D$42:$D$59))&gt;0))),Geometry!$F$42:$F$59,Geometry!$E$42:$E$59))/1000000</f>
      </c>
      <c r="CW9" s="32">
        <f>(SUMPRODUCT(alpha*fck*(1-(1-((($F9+$G9*Mesh_Y+$H9*Mesh_X))*(($F9+$G9*Mesh_Y+$H9*Mesh_X)&gt;0)*(($F9+$G9*Mesh_Y+$H9*Mesh_X)&lt;eco)+eco*(($F9+$G9*Mesh_Y+$H9*Mesh_X)&gt;=eco))/eco)^n)*((($F9+$G9*Mesh_Y+$H9*Mesh_X))&gt;0),Mesh_A,Mesh_X)+SUMPRODUCT((Es*(($F9+$G9*Geometry!$E$42:$E$59+$H9*Geometry!$D$42:$D$59))*(ABS(Es*(($F9+$G9*Geometry!$E$42:$E$59+$H9*Geometry!$D$42:$D$59)))&lt;=fy)+fy*(Es*(($F9+$G9*Geometry!$E$42:$E$59+$H9*Geometry!$D$42:$D$59))&gt;fy)-fy*(Es*(($F9+$G9*Geometry!$E$42:$E$59+$H9*Geometry!$D$42:$D$59))&lt;-fy)-(alpha*fck*(1-(1-((($F9+$G9*Geometry!$E$42:$E$59+$H9*Geometry!$D$42:$D$59))*(($F9+$G9*Geometry!$E$42:$E$59+$H9*Geometry!$D$42:$D$59)&gt;0)*(($F9+$G9*Geometry!$E$42:$E$59+$H9*Geometry!$D$42:$D$59)&lt;eco)+eco*(($F9+$G9*Geometry!$E$42:$E$59+$H9*Geometry!$D$42:$D$59)&gt;=eco))/eco)^n)*((($F9+$G9*Geometry!$E$42:$E$59+$H9*Geometry!$D$42:$D$59))&gt;0))),Geometry!$F$42:$F$59,Geometry!$D$42:$D$59))/1000000</f>
      </c>
      <c r="CX9" s="32">
        <f>(SUMPRODUCT(alpha*fck*(1-(1-((($I9+$J9*Mesh_Y+$K9*Mesh_X))*(($I9+$J9*Mesh_Y+$K9*Mesh_X)&gt;0)*(($I9+$J9*Mesh_Y+$K9*Mesh_X)&lt;eco)+eco*(($I9+$J9*Mesh_Y+$K9*Mesh_X)&gt;=eco))/eco)^n)*((($I9+$J9*Mesh_Y+$K9*Mesh_X))&gt;0),Mesh_A,Mesh_X)+SUMPRODUCT((Es*(($I9+$J9*Geometry!$E$42:$E$59+$K9*Geometry!$D$42:$D$59))*(ABS(Es*(($I9+$J9*Geometry!$E$42:$E$59+$K9*Geometry!$D$42:$D$59)))&lt;=fy)+fy*(Es*(($I9+$J9*Geometry!$E$42:$E$59+$K9*Geometry!$D$42:$D$59))&gt;fy)-fy*(Es*(($I9+$J9*Geometry!$E$42:$E$59+$K9*Geometry!$D$42:$D$59))&lt;-fy)-(alpha*fck*(1-(1-((($I9+$J9*Geometry!$E$42:$E$59+$K9*Geometry!$D$42:$D$59))*(($I9+$J9*Geometry!$E$42:$E$59+$K9*Geometry!$D$42:$D$59)&gt;0)*(($I9+$J9*Geometry!$E$42:$E$59+$K9*Geometry!$D$42:$D$59)&lt;eco)+eco*(($I9+$J9*Geometry!$E$42:$E$59+$K9*Geometry!$D$42:$D$59)&gt;=eco))/eco)^n)*((($I9+$J9*Geometry!$E$42:$E$59+$K9*Geometry!$D$42:$D$59))&gt;0))),Geometry!$F$42:$F$59,Geometry!$D$42:$D$59))/1000000</f>
      </c>
      <c r="CY9" s="32">
        <f>(SUMPRODUCT(alpha*fck*(1-(1-((($L9+$M9*Mesh_Y+$N9*Mesh_X))*(($L9+$M9*Mesh_Y+$N9*Mesh_X)&gt;0)*(($L9+$M9*Mesh_Y+$N9*Mesh_X)&lt;eco)+eco*(($L9+$M9*Mesh_Y+$N9*Mesh_X)&gt;=eco))/eco)^n)*((($L9+$M9*Mesh_Y+$N9*Mesh_X))&gt;0),Mesh_A,Mesh_X)+SUMPRODUCT((Es*(($L9+$M9*Geometry!$E$42:$E$59+$N9*Geometry!$D$42:$D$59))*(ABS(Es*(($L9+$M9*Geometry!$E$42:$E$59+$N9*Geometry!$D$42:$D$59)))&lt;=fy)+fy*(Es*(($L9+$M9*Geometry!$E$42:$E$59+$N9*Geometry!$D$42:$D$59))&gt;fy)-fy*(Es*(($L9+$M9*Geometry!$E$42:$E$59+$N9*Geometry!$D$42:$D$59))&lt;-fy)-(alpha*fck*(1-(1-((($L9+$M9*Geometry!$E$42:$E$59+$N9*Geometry!$D$42:$D$59))*(($L9+$M9*Geometry!$E$42:$E$59+$N9*Geometry!$D$42:$D$59)&gt;0)*(($L9+$M9*Geometry!$E$42:$E$59+$N9*Geometry!$D$42:$D$59)&lt;eco)+eco*(($L9+$M9*Geometry!$E$42:$E$59+$N9*Geometry!$D$42:$D$59)&gt;=eco))/eco)^n)*((($L9+$M9*Geometry!$E$42:$E$59+$N9*Geometry!$D$42:$D$59))&gt;0))),Geometry!$F$42:$F$59,Geometry!$D$42:$D$59))/1000000</f>
      </c>
      <c r="CZ9" s="32">
        <f>(SUMPRODUCT(alpha*fck*(1-(1-((($O9+$P9*Mesh_Y+$Q9*Mesh_X))*(($O9+$P9*Mesh_Y+$Q9*Mesh_X)&gt;0)*(($O9+$P9*Mesh_Y+$Q9*Mesh_X)&lt;eco)+eco*(($O9+$P9*Mesh_Y+$Q9*Mesh_X)&gt;=eco))/eco)^n)*((($O9+$P9*Mesh_Y+$Q9*Mesh_X))&gt;0),Mesh_A,Mesh_X)+SUMPRODUCT((Es*(($O9+$P9*Geometry!$E$42:$E$59+$Q9*Geometry!$D$42:$D$59))*(ABS(Es*(($O9+$P9*Geometry!$E$42:$E$59+$Q9*Geometry!$D$42:$D$59)))&lt;=fy)+fy*(Es*(($O9+$P9*Geometry!$E$42:$E$59+$Q9*Geometry!$D$42:$D$59))&gt;fy)-fy*(Es*(($O9+$P9*Geometry!$E$42:$E$59+$Q9*Geometry!$D$42:$D$59))&lt;-fy)-(alpha*fck*(1-(1-((($O9+$P9*Geometry!$E$42:$E$59+$Q9*Geometry!$D$42:$D$59))*(($O9+$P9*Geometry!$E$42:$E$59+$Q9*Geometry!$D$42:$D$59)&gt;0)*(($O9+$P9*Geometry!$E$42:$E$59+$Q9*Geometry!$D$42:$D$59)&lt;eco)+eco*(($O9+$P9*Geometry!$E$42:$E$59+$Q9*Geometry!$D$42:$D$59)&gt;=eco))/eco)^n)*((($O9+$P9*Geometry!$E$42:$E$59+$Q9*Geometry!$D$42:$D$59))&gt;0))),Geometry!$F$42:$F$59,Geometry!$D$42:$D$59))/1000000</f>
      </c>
      <c r="DA9" s="32">
        <f>(SUMPRODUCT(alpha*fck*(1-(1-((($R9+$S9*Mesh_Y+$T9*Mesh_X))*(($R9+$S9*Mesh_Y+$T9*Mesh_X)&gt;0)*(($R9+$S9*Mesh_Y+$T9*Mesh_X)&lt;eco)+eco*(($R9+$S9*Mesh_Y+$T9*Mesh_X)&gt;=eco))/eco)^n)*((($R9+$S9*Mesh_Y+$T9*Mesh_X))&gt;0),Mesh_A,Mesh_X)+SUMPRODUCT((Es*(($R9+$S9*Geometry!$E$42:$E$59+$T9*Geometry!$D$42:$D$59))*(ABS(Es*(($R9+$S9*Geometry!$E$42:$E$59+$T9*Geometry!$D$42:$D$59)))&lt;=fy)+fy*(Es*(($R9+$S9*Geometry!$E$42:$E$59+$T9*Geometry!$D$42:$D$59))&gt;fy)-fy*(Es*(($R9+$S9*Geometry!$E$42:$E$59+$T9*Geometry!$D$42:$D$59))&lt;-fy)-(alpha*fck*(1-(1-((($R9+$S9*Geometry!$E$42:$E$59+$T9*Geometry!$D$42:$D$59))*(($R9+$S9*Geometry!$E$42:$E$59+$T9*Geometry!$D$42:$D$59)&gt;0)*(($R9+$S9*Geometry!$E$42:$E$59+$T9*Geometry!$D$42:$D$59)&lt;eco)+eco*(($R9+$S9*Geometry!$E$42:$E$59+$T9*Geometry!$D$42:$D$59)&gt;=eco))/eco)^n)*((($R9+$S9*Geometry!$E$42:$E$59+$T9*Geometry!$D$42:$D$59))&gt;0))),Geometry!$F$42:$F$59,Geometry!$D$42:$D$59))/1000000</f>
      </c>
      <c r="DB9" s="32">
        <f>(SUMPRODUCT(alpha*fck*(1-(1-((($U9+$V9*Mesh_Y+$W9*Mesh_X))*(($U9+$V9*Mesh_Y+$W9*Mesh_X)&gt;0)*(($U9+$V9*Mesh_Y+$W9*Mesh_X)&lt;eco)+eco*(($U9+$V9*Mesh_Y+$W9*Mesh_X)&gt;=eco))/eco)^n)*((($U9+$V9*Mesh_Y+$W9*Mesh_X))&gt;0),Mesh_A,Mesh_X)+SUMPRODUCT((Es*(($U9+$V9*Geometry!$E$42:$E$59+$W9*Geometry!$D$42:$D$59))*(ABS(Es*(($U9+$V9*Geometry!$E$42:$E$59+$W9*Geometry!$D$42:$D$59)))&lt;=fy)+fy*(Es*(($U9+$V9*Geometry!$E$42:$E$59+$W9*Geometry!$D$42:$D$59))&gt;fy)-fy*(Es*(($U9+$V9*Geometry!$E$42:$E$59+$W9*Geometry!$D$42:$D$59))&lt;-fy)-(alpha*fck*(1-(1-((($U9+$V9*Geometry!$E$42:$E$59+$W9*Geometry!$D$42:$D$59))*(($U9+$V9*Geometry!$E$42:$E$59+$W9*Geometry!$D$42:$D$59)&gt;0)*(($U9+$V9*Geometry!$E$42:$E$59+$W9*Geometry!$D$42:$D$59)&lt;eco)+eco*(($U9+$V9*Geometry!$E$42:$E$59+$W9*Geometry!$D$42:$D$59)&gt;=eco))/eco)^n)*((($U9+$V9*Geometry!$E$42:$E$59+$W9*Geometry!$D$42:$D$59))&gt;0))),Geometry!$F$42:$F$59,Geometry!$D$42:$D$59))/1000000</f>
      </c>
      <c r="DC9" s="32">
        <f>(SUMPRODUCT(alpha*fck*(1-(1-((($X9+$Y9*Mesh_Y+$Z9*Mesh_X))*(($X9+$Y9*Mesh_Y+$Z9*Mesh_X)&gt;0)*(($X9+$Y9*Mesh_Y+$Z9*Mesh_X)&lt;eco)+eco*(($X9+$Y9*Mesh_Y+$Z9*Mesh_X)&gt;=eco))/eco)^n)*((($X9+$Y9*Mesh_Y+$Z9*Mesh_X))&gt;0),Mesh_A,Mesh_X)+SUMPRODUCT((Es*(($X9+$Y9*Geometry!$E$42:$E$59+$Z9*Geometry!$D$42:$D$59))*(ABS(Es*(($X9+$Y9*Geometry!$E$42:$E$59+$Z9*Geometry!$D$42:$D$59)))&lt;=fy)+fy*(Es*(($X9+$Y9*Geometry!$E$42:$E$59+$Z9*Geometry!$D$42:$D$59))&gt;fy)-fy*(Es*(($X9+$Y9*Geometry!$E$42:$E$59+$Z9*Geometry!$D$42:$D$59))&lt;-fy)-(alpha*fck*(1-(1-((($X9+$Y9*Geometry!$E$42:$E$59+$Z9*Geometry!$D$42:$D$59))*(($X9+$Y9*Geometry!$E$42:$E$59+$Z9*Geometry!$D$42:$D$59)&gt;0)*(($X9+$Y9*Geometry!$E$42:$E$59+$Z9*Geometry!$D$42:$D$59)&lt;eco)+eco*(($X9+$Y9*Geometry!$E$42:$E$59+$Z9*Geometry!$D$42:$D$59)&gt;=eco))/eco)^n)*((($X9+$Y9*Geometry!$E$42:$E$59+$Z9*Geometry!$D$42:$D$59))&gt;0))),Geometry!$F$42:$F$59,Geometry!$D$42:$D$59))/1000000</f>
      </c>
      <c r="DD9" s="32">
        <f>(SUMPRODUCT(alpha*fck*(1-(1-((($AA9+$AB9*Mesh_Y+$AC9*Mesh_X))*(($AA9+$AB9*Mesh_Y+$AC9*Mesh_X)&gt;0)*(($AA9+$AB9*Mesh_Y+$AC9*Mesh_X)&lt;eco)+eco*(($AA9+$AB9*Mesh_Y+$AC9*Mesh_X)&gt;=eco))/eco)^n)*((($AA9+$AB9*Mesh_Y+$AC9*Mesh_X))&gt;0),Mesh_A,Mesh_X)+SUMPRODUCT((Es*(($AA9+$AB9*Geometry!$E$42:$E$59+$AC9*Geometry!$D$42:$D$59))*(ABS(Es*(($AA9+$AB9*Geometry!$E$42:$E$59+$AC9*Geometry!$D$42:$D$59)))&lt;=fy)+fy*(Es*(($AA9+$AB9*Geometry!$E$42:$E$59+$AC9*Geometry!$D$42:$D$59))&gt;fy)-fy*(Es*(($AA9+$AB9*Geometry!$E$42:$E$59+$AC9*Geometry!$D$42:$D$59))&lt;-fy)-(alpha*fck*(1-(1-((($AA9+$AB9*Geometry!$E$42:$E$59+$AC9*Geometry!$D$42:$D$59))*(($AA9+$AB9*Geometry!$E$42:$E$59+$AC9*Geometry!$D$42:$D$59)&gt;0)*(($AA9+$AB9*Geometry!$E$42:$E$59+$AC9*Geometry!$D$42:$D$59)&lt;eco)+eco*(($AA9+$AB9*Geometry!$E$42:$E$59+$AC9*Geometry!$D$42:$D$59)&gt;=eco))/eco)^n)*((($AA9+$AB9*Geometry!$E$42:$E$59+$AC9*Geometry!$D$42:$D$59))&gt;0))),Geometry!$F$42:$F$59,Geometry!$D$42:$D$59))/1000000</f>
      </c>
      <c r="DE9" s="32">
        <f>(SUMPRODUCT(alpha*fck*(1-(1-((($AD9+$AE9*Mesh_Y+$AF9*Mesh_X))*(($AD9+$AE9*Mesh_Y+$AF9*Mesh_X)&gt;0)*(($AD9+$AE9*Mesh_Y+$AF9*Mesh_X)&lt;eco)+eco*(($AD9+$AE9*Mesh_Y+$AF9*Mesh_X)&gt;=eco))/eco)^n)*((($AD9+$AE9*Mesh_Y+$AF9*Mesh_X))&gt;0),Mesh_A,Mesh_X)+SUMPRODUCT((Es*(($AD9+$AE9*Geometry!$E$42:$E$59+$AF9*Geometry!$D$42:$D$59))*(ABS(Es*(($AD9+$AE9*Geometry!$E$42:$E$59+$AF9*Geometry!$D$42:$D$59)))&lt;=fy)+fy*(Es*(($AD9+$AE9*Geometry!$E$42:$E$59+$AF9*Geometry!$D$42:$D$59))&gt;fy)-fy*(Es*(($AD9+$AE9*Geometry!$E$42:$E$59+$AF9*Geometry!$D$42:$D$59))&lt;-fy)-(alpha*fck*(1-(1-((($AD9+$AE9*Geometry!$E$42:$E$59+$AF9*Geometry!$D$42:$D$59))*(($AD9+$AE9*Geometry!$E$42:$E$59+$AF9*Geometry!$D$42:$D$59)&gt;0)*(($AD9+$AE9*Geometry!$E$42:$E$59+$AF9*Geometry!$D$42:$D$59)&lt;eco)+eco*(($AD9+$AE9*Geometry!$E$42:$E$59+$AF9*Geometry!$D$42:$D$59)&gt;=eco))/eco)^n)*((($AD9+$AE9*Geometry!$E$42:$E$59+$AF9*Geometry!$D$42:$D$59))&gt;0))),Geometry!$F$42:$F$59,Geometry!$D$42:$D$59))/1000000</f>
      </c>
      <c r="DF9" s="32">
        <f>(SUMPRODUCT(alpha*fck*(1-(1-((($AG9+$AH9*Mesh_Y+$AI9*Mesh_X))*(($AG9+$AH9*Mesh_Y+$AI9*Mesh_X)&gt;0)*(($AG9+$AH9*Mesh_Y+$AI9*Mesh_X)&lt;eco)+eco*(($AG9+$AH9*Mesh_Y+$AI9*Mesh_X)&gt;=eco))/eco)^n)*((($AG9+$AH9*Mesh_Y+$AI9*Mesh_X))&gt;0),Mesh_A,Mesh_X)+SUMPRODUCT((Es*(($AG9+$AH9*Geometry!$E$42:$E$59+$AI9*Geometry!$D$42:$D$59))*(ABS(Es*(($AG9+$AH9*Geometry!$E$42:$E$59+$AI9*Geometry!$D$42:$D$59)))&lt;=fy)+fy*(Es*(($AG9+$AH9*Geometry!$E$42:$E$59+$AI9*Geometry!$D$42:$D$59))&gt;fy)-fy*(Es*(($AG9+$AH9*Geometry!$E$42:$E$59+$AI9*Geometry!$D$42:$D$59))&lt;-fy)-(alpha*fck*(1-(1-((($AG9+$AH9*Geometry!$E$42:$E$59+$AI9*Geometry!$D$42:$D$59))*(($AG9+$AH9*Geometry!$E$42:$E$59+$AI9*Geometry!$D$42:$D$59)&gt;0)*(($AG9+$AH9*Geometry!$E$42:$E$59+$AI9*Geometry!$D$42:$D$59)&lt;eco)+eco*(($AG9+$AH9*Geometry!$E$42:$E$59+$AI9*Geometry!$D$42:$D$59)&gt;=eco))/eco)^n)*((($AG9+$AH9*Geometry!$E$42:$E$59+$AI9*Geometry!$D$42:$D$59))&gt;0))),Geometry!$F$42:$F$59,Geometry!$D$42:$D$59))/1000000</f>
      </c>
      <c r="DG9" s="32">
        <f>(SUMPRODUCT(alpha*fck*(1-(1-((($AJ9+$AK9*Mesh_Y+$AL9*Mesh_X))*(($AJ9+$AK9*Mesh_Y+$AL9*Mesh_X)&gt;0)*(($AJ9+$AK9*Mesh_Y+$AL9*Mesh_X)&lt;eco)+eco*(($AJ9+$AK9*Mesh_Y+$AL9*Mesh_X)&gt;=eco))/eco)^n)*((($AJ9+$AK9*Mesh_Y+$AL9*Mesh_X))&gt;0),Mesh_A,Mesh_X)+SUMPRODUCT((Es*(($AJ9+$AK9*Geometry!$E$42:$E$59+$AL9*Geometry!$D$42:$D$59))*(ABS(Es*(($AJ9+$AK9*Geometry!$E$42:$E$59+$AL9*Geometry!$D$42:$D$59)))&lt;=fy)+fy*(Es*(($AJ9+$AK9*Geometry!$E$42:$E$59+$AL9*Geometry!$D$42:$D$59))&gt;fy)-fy*(Es*(($AJ9+$AK9*Geometry!$E$42:$E$59+$AL9*Geometry!$D$42:$D$59))&lt;-fy)-(alpha*fck*(1-(1-((($AJ9+$AK9*Geometry!$E$42:$E$59+$AL9*Geometry!$D$42:$D$59))*(($AJ9+$AK9*Geometry!$E$42:$E$59+$AL9*Geometry!$D$42:$D$59)&gt;0)*(($AJ9+$AK9*Geometry!$E$42:$E$59+$AL9*Geometry!$D$42:$D$59)&lt;eco)+eco*(($AJ9+$AK9*Geometry!$E$42:$E$59+$AL9*Geometry!$D$42:$D$59)&gt;=eco))/eco)^n)*((($AJ9+$AK9*Geometry!$E$42:$E$59+$AL9*Geometry!$D$42:$D$59))&gt;0))),Geometry!$F$42:$F$59,Geometry!$D$42:$D$59))/1000000</f>
      </c>
      <c r="DH9" s="32">
        <f>(SUMPRODUCT(alpha*fck*(1-(1-((($AM9+$AN9*Mesh_Y+$AO9*Mesh_X))*(($AM9+$AN9*Mesh_Y+$AO9*Mesh_X)&gt;0)*(($AM9+$AN9*Mesh_Y+$AO9*Mesh_X)&lt;eco)+eco*(($AM9+$AN9*Mesh_Y+$AO9*Mesh_X)&gt;=eco))/eco)^n)*((($AM9+$AN9*Mesh_Y+$AO9*Mesh_X))&gt;0),Mesh_A,Mesh_X)+SUMPRODUCT((Es*(($AM9+$AN9*Geometry!$E$42:$E$59+$AO9*Geometry!$D$42:$D$59))*(ABS(Es*(($AM9+$AN9*Geometry!$E$42:$E$59+$AO9*Geometry!$D$42:$D$59)))&lt;=fy)+fy*(Es*(($AM9+$AN9*Geometry!$E$42:$E$59+$AO9*Geometry!$D$42:$D$59))&gt;fy)-fy*(Es*(($AM9+$AN9*Geometry!$E$42:$E$59+$AO9*Geometry!$D$42:$D$59))&lt;-fy)-(alpha*fck*(1-(1-((($AM9+$AN9*Geometry!$E$42:$E$59+$AO9*Geometry!$D$42:$D$59))*(($AM9+$AN9*Geometry!$E$42:$E$59+$AO9*Geometry!$D$42:$D$59)&gt;0)*(($AM9+$AN9*Geometry!$E$42:$E$59+$AO9*Geometry!$D$42:$D$59)&lt;eco)+eco*(($AM9+$AN9*Geometry!$E$42:$E$59+$AO9*Geometry!$D$42:$D$59)&gt;=eco))/eco)^n)*((($AM9+$AN9*Geometry!$E$42:$E$59+$AO9*Geometry!$D$42:$D$59))&gt;0))),Geometry!$F$42:$F$59,Geometry!$D$42:$D$59))/1000000</f>
      </c>
      <c r="DI9" s="32">
        <f>(SUMPRODUCT(alpha*fck*(1-(1-((($AP9+$AQ9*Mesh_Y+$AR9*Mesh_X))*(($AP9+$AQ9*Mesh_Y+$AR9*Mesh_X)&gt;0)*(($AP9+$AQ9*Mesh_Y+$AR9*Mesh_X)&lt;eco)+eco*(($AP9+$AQ9*Mesh_Y+$AR9*Mesh_X)&gt;=eco))/eco)^n)*((($AP9+$AQ9*Mesh_Y+$AR9*Mesh_X))&gt;0),Mesh_A,Mesh_X)+SUMPRODUCT((Es*(($AP9+$AQ9*Geometry!$E$42:$E$59+$AR9*Geometry!$D$42:$D$59))*(ABS(Es*(($AP9+$AQ9*Geometry!$E$42:$E$59+$AR9*Geometry!$D$42:$D$59)))&lt;=fy)+fy*(Es*(($AP9+$AQ9*Geometry!$E$42:$E$59+$AR9*Geometry!$D$42:$D$59))&gt;fy)-fy*(Es*(($AP9+$AQ9*Geometry!$E$42:$E$59+$AR9*Geometry!$D$42:$D$59))&lt;-fy)-(alpha*fck*(1-(1-((($AP9+$AQ9*Geometry!$E$42:$E$59+$AR9*Geometry!$D$42:$D$59))*(($AP9+$AQ9*Geometry!$E$42:$E$59+$AR9*Geometry!$D$42:$D$59)&gt;0)*(($AP9+$AQ9*Geometry!$E$42:$E$59+$AR9*Geometry!$D$42:$D$59)&lt;eco)+eco*(($AP9+$AQ9*Geometry!$E$42:$E$59+$AR9*Geometry!$D$42:$D$59)&gt;=eco))/eco)^n)*((($AP9+$AQ9*Geometry!$E$42:$E$59+$AR9*Geometry!$D$42:$D$59))&gt;0))),Geometry!$F$42:$F$59,Geometry!$D$42:$D$59))/1000000</f>
      </c>
      <c r="DJ9" s="32">
        <f>(SUMPRODUCT(alpha*fck*(1-(1-((($AS9+$AT9*Mesh_Y+$AU9*Mesh_X))*(($AS9+$AT9*Mesh_Y+$AU9*Mesh_X)&gt;0)*(($AS9+$AT9*Mesh_Y+$AU9*Mesh_X)&lt;eco)+eco*(($AS9+$AT9*Mesh_Y+$AU9*Mesh_X)&gt;=eco))/eco)^n)*((($AS9+$AT9*Mesh_Y+$AU9*Mesh_X))&gt;0),Mesh_A,Mesh_X)+SUMPRODUCT((Es*(($AS9+$AT9*Geometry!$E$42:$E$59+$AU9*Geometry!$D$42:$D$59))*(ABS(Es*(($AS9+$AT9*Geometry!$E$42:$E$59+$AU9*Geometry!$D$42:$D$59)))&lt;=fy)+fy*(Es*(($AS9+$AT9*Geometry!$E$42:$E$59+$AU9*Geometry!$D$42:$D$59))&gt;fy)-fy*(Es*(($AS9+$AT9*Geometry!$E$42:$E$59+$AU9*Geometry!$D$42:$D$59))&lt;-fy)-(alpha*fck*(1-(1-((($AS9+$AT9*Geometry!$E$42:$E$59+$AU9*Geometry!$D$42:$D$59))*(($AS9+$AT9*Geometry!$E$42:$E$59+$AU9*Geometry!$D$42:$D$59)&gt;0)*(($AS9+$AT9*Geometry!$E$42:$E$59+$AU9*Geometry!$D$42:$D$59)&lt;eco)+eco*(($AS9+$AT9*Geometry!$E$42:$E$59+$AU9*Geometry!$D$42:$D$59)&gt;=eco))/eco)^n)*((($AS9+$AT9*Geometry!$E$42:$E$59+$AU9*Geometry!$D$42:$D$59))&gt;0))),Geometry!$F$42:$F$59,Geometry!$D$42:$D$59))/1000000</f>
      </c>
      <c r="DK9" s="32">
        <f>(SUMPRODUCT(alpha*fck*(1-(1-((($AV9+$AW9*Mesh_Y+$AX9*Mesh_X))*(($AV9+$AW9*Mesh_Y+$AX9*Mesh_X)&gt;0)*(($AV9+$AW9*Mesh_Y+$AX9*Mesh_X)&lt;eco)+eco*(($AV9+$AW9*Mesh_Y+$AX9*Mesh_X)&gt;=eco))/eco)^n)*((($AV9+$AW9*Mesh_Y+$AX9*Mesh_X))&gt;0),Mesh_A,Mesh_X)+SUMPRODUCT((Es*(($AV9+$AW9*Geometry!$E$42:$E$59+$AX9*Geometry!$D$42:$D$59))*(ABS(Es*(($AV9+$AW9*Geometry!$E$42:$E$59+$AX9*Geometry!$D$42:$D$59)))&lt;=fy)+fy*(Es*(($AV9+$AW9*Geometry!$E$42:$E$59+$AX9*Geometry!$D$42:$D$59))&gt;fy)-fy*(Es*(($AV9+$AW9*Geometry!$E$42:$E$59+$AX9*Geometry!$D$42:$D$59))&lt;-fy)-(alpha*fck*(1-(1-((($AV9+$AW9*Geometry!$E$42:$E$59+$AX9*Geometry!$D$42:$D$59))*(($AV9+$AW9*Geometry!$E$42:$E$59+$AX9*Geometry!$D$42:$D$59)&gt;0)*(($AV9+$AW9*Geometry!$E$42:$E$59+$AX9*Geometry!$D$42:$D$59)&lt;eco)+eco*(($AV9+$AW9*Geometry!$E$42:$E$59+$AX9*Geometry!$D$42:$D$59)&gt;=eco))/eco)^n)*((($AV9+$AW9*Geometry!$E$42:$E$59+$AX9*Geometry!$D$42:$D$59))&gt;0))),Geometry!$F$42:$F$59,Geometry!$D$42:$D$59))/1000000</f>
      </c>
      <c r="DL9" s="32">
        <f>(SUMPRODUCT(alpha*fck*(1-(1-((($AY9+$AZ9*Mesh_Y+$BA9*Mesh_X))*(($AY9+$AZ9*Mesh_Y+$BA9*Mesh_X)&gt;0)*(($AY9+$AZ9*Mesh_Y+$BA9*Mesh_X)&lt;eco)+eco*(($AY9+$AZ9*Mesh_Y+$BA9*Mesh_X)&gt;=eco))/eco)^n)*((($AY9+$AZ9*Mesh_Y+$BA9*Mesh_X))&gt;0),Mesh_A,Mesh_X)+SUMPRODUCT((Es*(($AY9+$AZ9*Geometry!$E$42:$E$59+$BA9*Geometry!$D$42:$D$59))*(ABS(Es*(($AY9+$AZ9*Geometry!$E$42:$E$59+$BA9*Geometry!$D$42:$D$59)))&lt;=fy)+fy*(Es*(($AY9+$AZ9*Geometry!$E$42:$E$59+$BA9*Geometry!$D$42:$D$59))&gt;fy)-fy*(Es*(($AY9+$AZ9*Geometry!$E$42:$E$59+$BA9*Geometry!$D$42:$D$59))&lt;-fy)-(alpha*fck*(1-(1-((($AY9+$AZ9*Geometry!$E$42:$E$59+$BA9*Geometry!$D$42:$D$59))*(($AY9+$AZ9*Geometry!$E$42:$E$59+$BA9*Geometry!$D$42:$D$59)&gt;0)*(($AY9+$AZ9*Geometry!$E$42:$E$59+$BA9*Geometry!$D$42:$D$59)&lt;eco)+eco*(($AY9+$AZ9*Geometry!$E$42:$E$59+$BA9*Geometry!$D$42:$D$59)&gt;=eco))/eco)^n)*((($AY9+$AZ9*Geometry!$E$42:$E$59+$BA9*Geometry!$D$42:$D$59))&gt;0))),Geometry!$F$42:$F$59,Geometry!$D$42:$D$59))/1000000</f>
      </c>
      <c r="DM9" s="32">
        <f>(SUMPRODUCT(alpha*fck*(1-(1-((($BB9+$BC9*Mesh_Y+$BD9*Mesh_X))*(($BB9+$BC9*Mesh_Y+$BD9*Mesh_X)&gt;0)*(($BB9+$BC9*Mesh_Y+$BD9*Mesh_X)&lt;eco)+eco*(($BB9+$BC9*Mesh_Y+$BD9*Mesh_X)&gt;=eco))/eco)^n)*((($BB9+$BC9*Mesh_Y+$BD9*Mesh_X))&gt;0),Mesh_A,Mesh_X)+SUMPRODUCT((Es*(($BB9+$BC9*Geometry!$E$42:$E$59+$BD9*Geometry!$D$42:$D$59))*(ABS(Es*(($BB9+$BC9*Geometry!$E$42:$E$59+$BD9*Geometry!$D$42:$D$59)))&lt;=fy)+fy*(Es*(($BB9+$BC9*Geometry!$E$42:$E$59+$BD9*Geometry!$D$42:$D$59))&gt;fy)-fy*(Es*(($BB9+$BC9*Geometry!$E$42:$E$59+$BD9*Geometry!$D$42:$D$59))&lt;-fy)-(alpha*fck*(1-(1-((($BB9+$BC9*Geometry!$E$42:$E$59+$BD9*Geometry!$D$42:$D$59))*(($BB9+$BC9*Geometry!$E$42:$E$59+$BD9*Geometry!$D$42:$D$59)&gt;0)*(($BB9+$BC9*Geometry!$E$42:$E$59+$BD9*Geometry!$D$42:$D$59)&lt;eco)+eco*(($BB9+$BC9*Geometry!$E$42:$E$59+$BD9*Geometry!$D$42:$D$59)&gt;=eco))/eco)^n)*((($BB9+$BC9*Geometry!$E$42:$E$59+$BD9*Geometry!$D$42:$D$59))&gt;0))),Geometry!$F$42:$F$59,Geometry!$D$42:$D$59))/1000000</f>
      </c>
      <c r="DN9" s="32">
        <f>(SUMPRODUCT(alpha*fck*(1-(1-((($BE9+$BF9*Mesh_Y+$BG9*Mesh_X))*(($BE9+$BF9*Mesh_Y+$BG9*Mesh_X)&gt;0)*(($BE9+$BF9*Mesh_Y+$BG9*Mesh_X)&lt;eco)+eco*(($BE9+$BF9*Mesh_Y+$BG9*Mesh_X)&gt;=eco))/eco)^n)*((($BE9+$BF9*Mesh_Y+$BG9*Mesh_X))&gt;0),Mesh_A,Mesh_X)+SUMPRODUCT((Es*(($BE9+$BF9*Geometry!$E$42:$E$59+$BG9*Geometry!$D$42:$D$59))*(ABS(Es*(($BE9+$BF9*Geometry!$E$42:$E$59+$BG9*Geometry!$D$42:$D$59)))&lt;=fy)+fy*(Es*(($BE9+$BF9*Geometry!$E$42:$E$59+$BG9*Geometry!$D$42:$D$59))&gt;fy)-fy*(Es*(($BE9+$BF9*Geometry!$E$42:$E$59+$BG9*Geometry!$D$42:$D$59))&lt;-fy)-(alpha*fck*(1-(1-((($BE9+$BF9*Geometry!$E$42:$E$59+$BG9*Geometry!$D$42:$D$59))*(($BE9+$BF9*Geometry!$E$42:$E$59+$BG9*Geometry!$D$42:$D$59)&gt;0)*(($BE9+$BF9*Geometry!$E$42:$E$59+$BG9*Geometry!$D$42:$D$59)&lt;eco)+eco*(($BE9+$BF9*Geometry!$E$42:$E$59+$BG9*Geometry!$D$42:$D$59)&gt;=eco))/eco)^n)*((($BE9+$BF9*Geometry!$E$42:$E$59+$BG9*Geometry!$D$42:$D$59))&gt;0))),Geometry!$F$42:$F$59,Geometry!$D$42:$D$59))/1000000</f>
      </c>
      <c r="DO9" s="32">
        <f>(SUMPRODUCT(alpha*fck*(1-(1-((($BH9+$BI9*Mesh_Y+$BJ9*Mesh_X))*(($BH9+$BI9*Mesh_Y+$BJ9*Mesh_X)&gt;0)*(($BH9+$BI9*Mesh_Y+$BJ9*Mesh_X)&lt;eco)+eco*(($BH9+$BI9*Mesh_Y+$BJ9*Mesh_X)&gt;=eco))/eco)^n)*((($BH9+$BI9*Mesh_Y+$BJ9*Mesh_X))&gt;0),Mesh_A,Mesh_X)+SUMPRODUCT((Es*(($BH9+$BI9*Geometry!$E$42:$E$59+$BJ9*Geometry!$D$42:$D$59))*(ABS(Es*(($BH9+$BI9*Geometry!$E$42:$E$59+$BJ9*Geometry!$D$42:$D$59)))&lt;=fy)+fy*(Es*(($BH9+$BI9*Geometry!$E$42:$E$59+$BJ9*Geometry!$D$42:$D$59))&gt;fy)-fy*(Es*(($BH9+$BI9*Geometry!$E$42:$E$59+$BJ9*Geometry!$D$42:$D$59))&lt;-fy)-(alpha*fck*(1-(1-((($BH9+$BI9*Geometry!$E$42:$E$59+$BJ9*Geometry!$D$42:$D$59))*(($BH9+$BI9*Geometry!$E$42:$E$59+$BJ9*Geometry!$D$42:$D$59)&gt;0)*(($BH9+$BI9*Geometry!$E$42:$E$59+$BJ9*Geometry!$D$42:$D$59)&lt;eco)+eco*(($BH9+$BI9*Geometry!$E$42:$E$59+$BJ9*Geometry!$D$42:$D$59)&gt;=eco))/eco)^n)*((($BH9+$BI9*Geometry!$E$42:$E$59+$BJ9*Geometry!$D$42:$D$59))&gt;0))),Geometry!$F$42:$F$59,Geometry!$D$42:$D$59))/1000000</f>
      </c>
      <c r="DP9" s="45">
        <f>MAX(1,MIN(18,SUMPRODUCT(--($BK9:$CC9&gt;=Pu))))</f>
      </c>
      <c r="DQ9" s="46">
        <f>(Pu-INDEX($BK9:$CC9,1,$DP9))/(INDEX($BK9:$CC9,1,$DP9+1)-INDEX($BK9:$CC9,1,$DP9))</f>
      </c>
      <c r="DR9" s="33">
        <f>INDEX($CD9:$CV9,1,$DP9)+$DQ9*(INDEX($CD9:$CV9,1,$DP9+1)-INDEX($CD9:$CV9,1,$DP9))</f>
      </c>
      <c r="DS9" s="33">
        <f>INDEX($CW9:$DO9,1,$DP9)+$DQ9*(INDEX($CW9:$DO9,1,$DP9+1)-INDEX($CW9:$DO9,1,$DP9))</f>
      </c>
      <c r="DT9" s="33">
        <f>SQRT(DR9^2+DS9^2)</f>
      </c>
    </row>
    <row r="10" spans="1:124" x14ac:dyDescent="0.25">
      <c r="A10">
        <v>3</v>
      </c>
      <c r="B10" s="43">
        <v>30</v>
      </c>
      <c r="C10" s="12">
        <f>MAX(SUMPRODUCT(MAX((Geometry!$E$6:$E$13)*COS(RADIANS($B10))+(Geometry!$D$6:$D$13)*SIN(RADIANS($B10)))))</f>
      </c>
      <c r="D10" s="12">
        <f>SUMPRODUCT(MIN((Geometry!$E$42:$E$59)*COS(RADIANS($B10))+(Geometry!$D$42:$D$59)*SIN(RADIANS($B10))))</f>
      </c>
      <c r="E10" s="12">
        <f>C10-D10</f>
      </c>
      <c r="F10" s="30">
        <f>ecu</f>
      </c>
      <c r="G10" s="44">
        <f>0*COS(RADIANS($B10))</f>
      </c>
      <c r="H10" s="44">
        <f>0*SIN(RADIANS($B10))</f>
      </c>
      <c r="I10" s="30">
        <f>ecu-((ecu-0)/($C10-($C10-PM_Angle!$C$8*$E10)))*$C10</f>
      </c>
      <c r="J10" s="44">
        <f>((ecu-0)/($C10-($C10-PM_Angle!$C$8*$E10)))*COS(RADIANS($B10))</f>
      </c>
      <c r="K10" s="44">
        <f>((ecu-0)/($C10-($C10-PM_Angle!$C$8*$E10)))*SIN(RADIANS($B10))</f>
      </c>
      <c r="L10" s="30">
        <f>ecu-((ecu-0)/($C10-($C10-PM_Angle!$C$9*$E10)))*$C10</f>
      </c>
      <c r="M10" s="44">
        <f>((ecu-0)/($C10-($C10-PM_Angle!$C$9*$E10)))*COS(RADIANS($B10))</f>
      </c>
      <c r="N10" s="44">
        <f>((ecu-0)/($C10-($C10-PM_Angle!$C$9*$E10)))*SIN(RADIANS($B10))</f>
      </c>
      <c r="O10" s="30">
        <f>ecu-((ecu-0)/($C10-($C10-PM_Angle!$C$10*$E10)))*$C10</f>
      </c>
      <c r="P10" s="44">
        <f>((ecu-0)/($C10-($C10-PM_Angle!$C$10*$E10)))*COS(RADIANS($B10))</f>
      </c>
      <c r="Q10" s="44">
        <f>((ecu-0)/($C10-($C10-PM_Angle!$C$10*$E10)))*SIN(RADIANS($B10))</f>
      </c>
      <c r="R10" s="30">
        <f>ecu-((ecu-0)/($C10-($C10-PM_Angle!$C$11*$E10)))*$C10</f>
      </c>
      <c r="S10" s="44">
        <f>((ecu-0)/($C10-($C10-PM_Angle!$C$11*$E10)))*COS(RADIANS($B10))</f>
      </c>
      <c r="T10" s="44">
        <f>((ecu-0)/($C10-($C10-PM_Angle!$C$11*$E10)))*SIN(RADIANS($B10))</f>
      </c>
      <c r="U10" s="30">
        <f>ecu-((ecu-(-PM_Angle!$E$12))/($C10-$D10))*$C10</f>
      </c>
      <c r="V10" s="44">
        <f>((ecu-(-PM_Angle!$E$12))/($C10-$D10))*COS(RADIANS($B10))</f>
      </c>
      <c r="W10" s="44">
        <f>((ecu-(-PM_Angle!$E$12))/($C10-$D10))*SIN(RADIANS($B10))</f>
      </c>
      <c r="X10" s="30">
        <f>ecu-((ecu-(-PM_Angle!$D$13*fy/Es))/($C10-$D10))*$C10</f>
      </c>
      <c r="Y10" s="44">
        <f>((ecu-(-PM_Angle!$D$13*fy/Es))/($C10-$D10))*COS(RADIANS($B10))</f>
      </c>
      <c r="Z10" s="44">
        <f>((ecu-(-PM_Angle!$D$13*fy/Es))/($C10-$D10))*SIN(RADIANS($B10))</f>
      </c>
      <c r="AA10" s="30">
        <f>ecu-((ecu-(-PM_Angle!$D$14*fy/Es))/($C10-$D10))*$C10</f>
      </c>
      <c r="AB10" s="44">
        <f>((ecu-(-PM_Angle!$D$14*fy/Es))/($C10-$D10))*COS(RADIANS($B10))</f>
      </c>
      <c r="AC10" s="44">
        <f>((ecu-(-PM_Angle!$D$14*fy/Es))/($C10-$D10))*SIN(RADIANS($B10))</f>
      </c>
      <c r="AD10" s="30">
        <f>ecu-((ecu-(-PM_Angle!$D$15*fy/Es))/($C10-$D10))*$C10</f>
      </c>
      <c r="AE10" s="44">
        <f>((ecu-(-PM_Angle!$D$15*fy/Es))/($C10-$D10))*COS(RADIANS($B10))</f>
      </c>
      <c r="AF10" s="44">
        <f>((ecu-(-PM_Angle!$D$15*fy/Es))/($C10-$D10))*SIN(RADIANS($B10))</f>
      </c>
      <c r="AG10" s="30">
        <f>ecu-((ecu-(-PM_Angle!$D$16*fy/Es))/($C10-$D10))*$C10</f>
      </c>
      <c r="AH10" s="44">
        <f>((ecu-(-PM_Angle!$D$16*fy/Es))/($C10-$D10))*COS(RADIANS($B10))</f>
      </c>
      <c r="AI10" s="44">
        <f>((ecu-(-PM_Angle!$D$16*fy/Es))/($C10-$D10))*SIN(RADIANS($B10))</f>
      </c>
      <c r="AJ10" s="30">
        <f>ecu-((ecu-(-PM_Angle!$E$17))/($C10-$D10))*$C10</f>
      </c>
      <c r="AK10" s="44">
        <f>((ecu-(-PM_Angle!$E$17))/($C10-$D10))*COS(RADIANS($B10))</f>
      </c>
      <c r="AL10" s="44">
        <f>((ecu-(-PM_Angle!$E$17))/($C10-$D10))*SIN(RADIANS($B10))</f>
      </c>
      <c r="AM10" s="30">
        <f>ecu-((ecu-(-PM_Angle!$E$18))/($C10-$D10))*$C10</f>
      </c>
      <c r="AN10" s="44">
        <f>((ecu-(-PM_Angle!$E$18))/($C10-$D10))*COS(RADIANS($B10))</f>
      </c>
      <c r="AO10" s="44">
        <f>((ecu-(-PM_Angle!$E$18))/($C10-$D10))*SIN(RADIANS($B10))</f>
      </c>
      <c r="AP10" s="30">
        <f>ecu-((ecu-(-PM_Angle!$E$19))/($C10-$D10))*$C10</f>
      </c>
      <c r="AQ10" s="44">
        <f>((ecu-(-PM_Angle!$E$19))/($C10-$D10))*COS(RADIANS($B10))</f>
      </c>
      <c r="AR10" s="44">
        <f>((ecu-(-PM_Angle!$E$19))/($C10-$D10))*SIN(RADIANS($B10))</f>
      </c>
      <c r="AS10" s="30">
        <f>ecu-((ecu-(-PM_Angle!$E$20))/($C10-$D10))*$C10</f>
      </c>
      <c r="AT10" s="44">
        <f>((ecu-(-PM_Angle!$E$20))/($C10-$D10))*COS(RADIANS($B10))</f>
      </c>
      <c r="AU10" s="44">
        <f>((ecu-(-PM_Angle!$E$20))/($C10-$D10))*SIN(RADIANS($B10))</f>
      </c>
      <c r="AV10" s="30">
        <f>ecu-((ecu-(-PM_Angle!$E$21))/($C10-$D10))*$C10</f>
      </c>
      <c r="AW10" s="44">
        <f>((ecu-(-PM_Angle!$E$21))/($C10-$D10))*COS(RADIANS($B10))</f>
      </c>
      <c r="AX10" s="44">
        <f>((ecu-(-PM_Angle!$E$21))/($C10-$D10))*SIN(RADIANS($B10))</f>
      </c>
      <c r="AY10" s="30">
        <f>ecu-((ecu-(-PM_Angle!$E$22))/($C10-$D10))*$C10</f>
      </c>
      <c r="AZ10" s="44">
        <f>((ecu-(-PM_Angle!$E$22))/($C10-$D10))*COS(RADIANS($B10))</f>
      </c>
      <c r="BA10" s="44">
        <f>((ecu-(-PM_Angle!$E$22))/($C10-$D10))*SIN(RADIANS($B10))</f>
      </c>
      <c r="BB10" s="30">
        <f>ecu-((ecu-(-PM_Angle!$E$23))/($C10-$D10))*$C10</f>
      </c>
      <c r="BC10" s="44">
        <f>((ecu-(-PM_Angle!$E$23))/($C10-$D10))*COS(RADIANS($B10))</f>
      </c>
      <c r="BD10" s="44">
        <f>((ecu-(-PM_Angle!$E$23))/($C10-$D10))*SIN(RADIANS($B10))</f>
      </c>
      <c r="BE10" s="30">
        <f>ecu-((ecu-(-PM_Angle!$E$24))/($C10-$D10))*$C10</f>
      </c>
      <c r="BF10" s="44">
        <f>((ecu-(-PM_Angle!$E$24))/($C10-$D10))*COS(RADIANS($B10))</f>
      </c>
      <c r="BG10" s="44">
        <f>((ecu-(-PM_Angle!$E$24))/($C10-$D10))*SIN(RADIANS($B10))</f>
      </c>
      <c r="BH10" s="30">
        <f>etu</f>
      </c>
      <c r="BI10" s="44">
        <f>0*COS(RADIANS($B10))</f>
      </c>
      <c r="BJ10" s="44">
        <f>0*SIN(RADIANS($B10))</f>
      </c>
      <c r="BK10" s="32">
        <f>(SUMPRODUCT(alpha*fck*(1-(1-((($F10+$G10*Mesh_Y+$H10*Mesh_X))*(($F10+$G10*Mesh_Y+$H10*Mesh_X)&gt;0)*(($F10+$G10*Mesh_Y+$H10*Mesh_X)&lt;eco)+eco*(($F10+$G10*Mesh_Y+$H10*Mesh_X)&gt;=eco))/eco)^n)*((($F10+$G10*Mesh_Y+$H10*Mesh_X))&gt;0),Mesh_A)+SUMPRODUCT((Es*(($F10+$G10*Geometry!$E$42:$E$59+$H10*Geometry!$D$42:$D$59))*(ABS(Es*(($F10+$G10*Geometry!$E$42:$E$59+$H10*Geometry!$D$42:$D$59)))&lt;=fy)+fy*(Es*(($F10+$G10*Geometry!$E$42:$E$59+$H10*Geometry!$D$42:$D$59))&gt;fy)-fy*(Es*(($F10+$G10*Geometry!$E$42:$E$59+$H10*Geometry!$D$42:$D$59))&lt;-fy)-(alpha*fck*(1-(1-((($F10+$G10*Geometry!$E$42:$E$59+$H10*Geometry!$D$42:$D$59))*(($F10+$G10*Geometry!$E$42:$E$59+$H10*Geometry!$D$42:$D$59)&gt;0)*(($F10+$G10*Geometry!$E$42:$E$59+$H10*Geometry!$D$42:$D$59)&lt;eco)+eco*(($F10+$G10*Geometry!$E$42:$E$59+$H10*Geometry!$D$42:$D$59)&gt;=eco))/eco)^n)*((($F10+$G10*Geometry!$E$42:$E$59+$H10*Geometry!$D$42:$D$59))&gt;0))),Geometry!$F$42:$F$59))/1000</f>
      </c>
      <c r="BL10" s="32">
        <f>(SUMPRODUCT(alpha*fck*(1-(1-((($I10+$J10*Mesh_Y+$K10*Mesh_X))*(($I10+$J10*Mesh_Y+$K10*Mesh_X)&gt;0)*(($I10+$J10*Mesh_Y+$K10*Mesh_X)&lt;eco)+eco*(($I10+$J10*Mesh_Y+$K10*Mesh_X)&gt;=eco))/eco)^n)*((($I10+$J10*Mesh_Y+$K10*Mesh_X))&gt;0),Mesh_A)+SUMPRODUCT((Es*(($I10+$J10*Geometry!$E$42:$E$59+$K10*Geometry!$D$42:$D$59))*(ABS(Es*(($I10+$J10*Geometry!$E$42:$E$59+$K10*Geometry!$D$42:$D$59)))&lt;=fy)+fy*(Es*(($I10+$J10*Geometry!$E$42:$E$59+$K10*Geometry!$D$42:$D$59))&gt;fy)-fy*(Es*(($I10+$J10*Geometry!$E$42:$E$59+$K10*Geometry!$D$42:$D$59))&lt;-fy)-(alpha*fck*(1-(1-((($I10+$J10*Geometry!$E$42:$E$59+$K10*Geometry!$D$42:$D$59))*(($I10+$J10*Geometry!$E$42:$E$59+$K10*Geometry!$D$42:$D$59)&gt;0)*(($I10+$J10*Geometry!$E$42:$E$59+$K10*Geometry!$D$42:$D$59)&lt;eco)+eco*(($I10+$J10*Geometry!$E$42:$E$59+$K10*Geometry!$D$42:$D$59)&gt;=eco))/eco)^n)*((($I10+$J10*Geometry!$E$42:$E$59+$K10*Geometry!$D$42:$D$59))&gt;0))),Geometry!$F$42:$F$59))/1000</f>
      </c>
      <c r="BM10" s="32">
        <f>(SUMPRODUCT(alpha*fck*(1-(1-((($L10+$M10*Mesh_Y+$N10*Mesh_X))*(($L10+$M10*Mesh_Y+$N10*Mesh_X)&gt;0)*(($L10+$M10*Mesh_Y+$N10*Mesh_X)&lt;eco)+eco*(($L10+$M10*Mesh_Y+$N10*Mesh_X)&gt;=eco))/eco)^n)*((($L10+$M10*Mesh_Y+$N10*Mesh_X))&gt;0),Mesh_A)+SUMPRODUCT((Es*(($L10+$M10*Geometry!$E$42:$E$59+$N10*Geometry!$D$42:$D$59))*(ABS(Es*(($L10+$M10*Geometry!$E$42:$E$59+$N10*Geometry!$D$42:$D$59)))&lt;=fy)+fy*(Es*(($L10+$M10*Geometry!$E$42:$E$59+$N10*Geometry!$D$42:$D$59))&gt;fy)-fy*(Es*(($L10+$M10*Geometry!$E$42:$E$59+$N10*Geometry!$D$42:$D$59))&lt;-fy)-(alpha*fck*(1-(1-((($L10+$M10*Geometry!$E$42:$E$59+$N10*Geometry!$D$42:$D$59))*(($L10+$M10*Geometry!$E$42:$E$59+$N10*Geometry!$D$42:$D$59)&gt;0)*(($L10+$M10*Geometry!$E$42:$E$59+$N10*Geometry!$D$42:$D$59)&lt;eco)+eco*(($L10+$M10*Geometry!$E$42:$E$59+$N10*Geometry!$D$42:$D$59)&gt;=eco))/eco)^n)*((($L10+$M10*Geometry!$E$42:$E$59+$N10*Geometry!$D$42:$D$59))&gt;0))),Geometry!$F$42:$F$59))/1000</f>
      </c>
      <c r="BN10" s="32">
        <f>(SUMPRODUCT(alpha*fck*(1-(1-((($O10+$P10*Mesh_Y+$Q10*Mesh_X))*(($O10+$P10*Mesh_Y+$Q10*Mesh_X)&gt;0)*(($O10+$P10*Mesh_Y+$Q10*Mesh_X)&lt;eco)+eco*(($O10+$P10*Mesh_Y+$Q10*Mesh_X)&gt;=eco))/eco)^n)*((($O10+$P10*Mesh_Y+$Q10*Mesh_X))&gt;0),Mesh_A)+SUMPRODUCT((Es*(($O10+$P10*Geometry!$E$42:$E$59+$Q10*Geometry!$D$42:$D$59))*(ABS(Es*(($O10+$P10*Geometry!$E$42:$E$59+$Q10*Geometry!$D$42:$D$59)))&lt;=fy)+fy*(Es*(($O10+$P10*Geometry!$E$42:$E$59+$Q10*Geometry!$D$42:$D$59))&gt;fy)-fy*(Es*(($O10+$P10*Geometry!$E$42:$E$59+$Q10*Geometry!$D$42:$D$59))&lt;-fy)-(alpha*fck*(1-(1-((($O10+$P10*Geometry!$E$42:$E$59+$Q10*Geometry!$D$42:$D$59))*(($O10+$P10*Geometry!$E$42:$E$59+$Q10*Geometry!$D$42:$D$59)&gt;0)*(($O10+$P10*Geometry!$E$42:$E$59+$Q10*Geometry!$D$42:$D$59)&lt;eco)+eco*(($O10+$P10*Geometry!$E$42:$E$59+$Q10*Geometry!$D$42:$D$59)&gt;=eco))/eco)^n)*((($O10+$P10*Geometry!$E$42:$E$59+$Q10*Geometry!$D$42:$D$59))&gt;0))),Geometry!$F$42:$F$59))/1000</f>
      </c>
      <c r="BO10" s="32">
        <f>(SUMPRODUCT(alpha*fck*(1-(1-((($R10+$S10*Mesh_Y+$T10*Mesh_X))*(($R10+$S10*Mesh_Y+$T10*Mesh_X)&gt;0)*(($R10+$S10*Mesh_Y+$T10*Mesh_X)&lt;eco)+eco*(($R10+$S10*Mesh_Y+$T10*Mesh_X)&gt;=eco))/eco)^n)*((($R10+$S10*Mesh_Y+$T10*Mesh_X))&gt;0),Mesh_A)+SUMPRODUCT((Es*(($R10+$S10*Geometry!$E$42:$E$59+$T10*Geometry!$D$42:$D$59))*(ABS(Es*(($R10+$S10*Geometry!$E$42:$E$59+$T10*Geometry!$D$42:$D$59)))&lt;=fy)+fy*(Es*(($R10+$S10*Geometry!$E$42:$E$59+$T10*Geometry!$D$42:$D$59))&gt;fy)-fy*(Es*(($R10+$S10*Geometry!$E$42:$E$59+$T10*Geometry!$D$42:$D$59))&lt;-fy)-(alpha*fck*(1-(1-((($R10+$S10*Geometry!$E$42:$E$59+$T10*Geometry!$D$42:$D$59))*(($R10+$S10*Geometry!$E$42:$E$59+$T10*Geometry!$D$42:$D$59)&gt;0)*(($R10+$S10*Geometry!$E$42:$E$59+$T10*Geometry!$D$42:$D$59)&lt;eco)+eco*(($R10+$S10*Geometry!$E$42:$E$59+$T10*Geometry!$D$42:$D$59)&gt;=eco))/eco)^n)*((($R10+$S10*Geometry!$E$42:$E$59+$T10*Geometry!$D$42:$D$59))&gt;0))),Geometry!$F$42:$F$59))/1000</f>
      </c>
      <c r="BP10" s="32">
        <f>(SUMPRODUCT(alpha*fck*(1-(1-((($U10+$V10*Mesh_Y+$W10*Mesh_X))*(($U10+$V10*Mesh_Y+$W10*Mesh_X)&gt;0)*(($U10+$V10*Mesh_Y+$W10*Mesh_X)&lt;eco)+eco*(($U10+$V10*Mesh_Y+$W10*Mesh_X)&gt;=eco))/eco)^n)*((($U10+$V10*Mesh_Y+$W10*Mesh_X))&gt;0),Mesh_A)+SUMPRODUCT((Es*(($U10+$V10*Geometry!$E$42:$E$59+$W10*Geometry!$D$42:$D$59))*(ABS(Es*(($U10+$V10*Geometry!$E$42:$E$59+$W10*Geometry!$D$42:$D$59)))&lt;=fy)+fy*(Es*(($U10+$V10*Geometry!$E$42:$E$59+$W10*Geometry!$D$42:$D$59))&gt;fy)-fy*(Es*(($U10+$V10*Geometry!$E$42:$E$59+$W10*Geometry!$D$42:$D$59))&lt;-fy)-(alpha*fck*(1-(1-((($U10+$V10*Geometry!$E$42:$E$59+$W10*Geometry!$D$42:$D$59))*(($U10+$V10*Geometry!$E$42:$E$59+$W10*Geometry!$D$42:$D$59)&gt;0)*(($U10+$V10*Geometry!$E$42:$E$59+$W10*Geometry!$D$42:$D$59)&lt;eco)+eco*(($U10+$V10*Geometry!$E$42:$E$59+$W10*Geometry!$D$42:$D$59)&gt;=eco))/eco)^n)*((($U10+$V10*Geometry!$E$42:$E$59+$W10*Geometry!$D$42:$D$59))&gt;0))),Geometry!$F$42:$F$59))/1000</f>
      </c>
      <c r="BQ10" s="32">
        <f>(SUMPRODUCT(alpha*fck*(1-(1-((($X10+$Y10*Mesh_Y+$Z10*Mesh_X))*(($X10+$Y10*Mesh_Y+$Z10*Mesh_X)&gt;0)*(($X10+$Y10*Mesh_Y+$Z10*Mesh_X)&lt;eco)+eco*(($X10+$Y10*Mesh_Y+$Z10*Mesh_X)&gt;=eco))/eco)^n)*((($X10+$Y10*Mesh_Y+$Z10*Mesh_X))&gt;0),Mesh_A)+SUMPRODUCT((Es*(($X10+$Y10*Geometry!$E$42:$E$59+$Z10*Geometry!$D$42:$D$59))*(ABS(Es*(($X10+$Y10*Geometry!$E$42:$E$59+$Z10*Geometry!$D$42:$D$59)))&lt;=fy)+fy*(Es*(($X10+$Y10*Geometry!$E$42:$E$59+$Z10*Geometry!$D$42:$D$59))&gt;fy)-fy*(Es*(($X10+$Y10*Geometry!$E$42:$E$59+$Z10*Geometry!$D$42:$D$59))&lt;-fy)-(alpha*fck*(1-(1-((($X10+$Y10*Geometry!$E$42:$E$59+$Z10*Geometry!$D$42:$D$59))*(($X10+$Y10*Geometry!$E$42:$E$59+$Z10*Geometry!$D$42:$D$59)&gt;0)*(($X10+$Y10*Geometry!$E$42:$E$59+$Z10*Geometry!$D$42:$D$59)&lt;eco)+eco*(($X10+$Y10*Geometry!$E$42:$E$59+$Z10*Geometry!$D$42:$D$59)&gt;=eco))/eco)^n)*((($X10+$Y10*Geometry!$E$42:$E$59+$Z10*Geometry!$D$42:$D$59))&gt;0))),Geometry!$F$42:$F$59))/1000</f>
      </c>
      <c r="BR10" s="32">
        <f>(SUMPRODUCT(alpha*fck*(1-(1-((($AA10+$AB10*Mesh_Y+$AC10*Mesh_X))*(($AA10+$AB10*Mesh_Y+$AC10*Mesh_X)&gt;0)*(($AA10+$AB10*Mesh_Y+$AC10*Mesh_X)&lt;eco)+eco*(($AA10+$AB10*Mesh_Y+$AC10*Mesh_X)&gt;=eco))/eco)^n)*((($AA10+$AB10*Mesh_Y+$AC10*Mesh_X))&gt;0),Mesh_A)+SUMPRODUCT((Es*(($AA10+$AB10*Geometry!$E$42:$E$59+$AC10*Geometry!$D$42:$D$59))*(ABS(Es*(($AA10+$AB10*Geometry!$E$42:$E$59+$AC10*Geometry!$D$42:$D$59)))&lt;=fy)+fy*(Es*(($AA10+$AB10*Geometry!$E$42:$E$59+$AC10*Geometry!$D$42:$D$59))&gt;fy)-fy*(Es*(($AA10+$AB10*Geometry!$E$42:$E$59+$AC10*Geometry!$D$42:$D$59))&lt;-fy)-(alpha*fck*(1-(1-((($AA10+$AB10*Geometry!$E$42:$E$59+$AC10*Geometry!$D$42:$D$59))*(($AA10+$AB10*Geometry!$E$42:$E$59+$AC10*Geometry!$D$42:$D$59)&gt;0)*(($AA10+$AB10*Geometry!$E$42:$E$59+$AC10*Geometry!$D$42:$D$59)&lt;eco)+eco*(($AA10+$AB10*Geometry!$E$42:$E$59+$AC10*Geometry!$D$42:$D$59)&gt;=eco))/eco)^n)*((($AA10+$AB10*Geometry!$E$42:$E$59+$AC10*Geometry!$D$42:$D$59))&gt;0))),Geometry!$F$42:$F$59))/1000</f>
      </c>
      <c r="BS10" s="32">
        <f>(SUMPRODUCT(alpha*fck*(1-(1-((($AD10+$AE10*Mesh_Y+$AF10*Mesh_X))*(($AD10+$AE10*Mesh_Y+$AF10*Mesh_X)&gt;0)*(($AD10+$AE10*Mesh_Y+$AF10*Mesh_X)&lt;eco)+eco*(($AD10+$AE10*Mesh_Y+$AF10*Mesh_X)&gt;=eco))/eco)^n)*((($AD10+$AE10*Mesh_Y+$AF10*Mesh_X))&gt;0),Mesh_A)+SUMPRODUCT((Es*(($AD10+$AE10*Geometry!$E$42:$E$59+$AF10*Geometry!$D$42:$D$59))*(ABS(Es*(($AD10+$AE10*Geometry!$E$42:$E$59+$AF10*Geometry!$D$42:$D$59)))&lt;=fy)+fy*(Es*(($AD10+$AE10*Geometry!$E$42:$E$59+$AF10*Geometry!$D$42:$D$59))&gt;fy)-fy*(Es*(($AD10+$AE10*Geometry!$E$42:$E$59+$AF10*Geometry!$D$42:$D$59))&lt;-fy)-(alpha*fck*(1-(1-((($AD10+$AE10*Geometry!$E$42:$E$59+$AF10*Geometry!$D$42:$D$59))*(($AD10+$AE10*Geometry!$E$42:$E$59+$AF10*Geometry!$D$42:$D$59)&gt;0)*(($AD10+$AE10*Geometry!$E$42:$E$59+$AF10*Geometry!$D$42:$D$59)&lt;eco)+eco*(($AD10+$AE10*Geometry!$E$42:$E$59+$AF10*Geometry!$D$42:$D$59)&gt;=eco))/eco)^n)*((($AD10+$AE10*Geometry!$E$42:$E$59+$AF10*Geometry!$D$42:$D$59))&gt;0))),Geometry!$F$42:$F$59))/1000</f>
      </c>
      <c r="BT10" s="32">
        <f>(SUMPRODUCT(alpha*fck*(1-(1-((($AG10+$AH10*Mesh_Y+$AI10*Mesh_X))*(($AG10+$AH10*Mesh_Y+$AI10*Mesh_X)&gt;0)*(($AG10+$AH10*Mesh_Y+$AI10*Mesh_X)&lt;eco)+eco*(($AG10+$AH10*Mesh_Y+$AI10*Mesh_X)&gt;=eco))/eco)^n)*((($AG10+$AH10*Mesh_Y+$AI10*Mesh_X))&gt;0),Mesh_A)+SUMPRODUCT((Es*(($AG10+$AH10*Geometry!$E$42:$E$59+$AI10*Geometry!$D$42:$D$59))*(ABS(Es*(($AG10+$AH10*Geometry!$E$42:$E$59+$AI10*Geometry!$D$42:$D$59)))&lt;=fy)+fy*(Es*(($AG10+$AH10*Geometry!$E$42:$E$59+$AI10*Geometry!$D$42:$D$59))&gt;fy)-fy*(Es*(($AG10+$AH10*Geometry!$E$42:$E$59+$AI10*Geometry!$D$42:$D$59))&lt;-fy)-(alpha*fck*(1-(1-((($AG10+$AH10*Geometry!$E$42:$E$59+$AI10*Geometry!$D$42:$D$59))*(($AG10+$AH10*Geometry!$E$42:$E$59+$AI10*Geometry!$D$42:$D$59)&gt;0)*(($AG10+$AH10*Geometry!$E$42:$E$59+$AI10*Geometry!$D$42:$D$59)&lt;eco)+eco*(($AG10+$AH10*Geometry!$E$42:$E$59+$AI10*Geometry!$D$42:$D$59)&gt;=eco))/eco)^n)*((($AG10+$AH10*Geometry!$E$42:$E$59+$AI10*Geometry!$D$42:$D$59))&gt;0))),Geometry!$F$42:$F$59))/1000</f>
      </c>
      <c r="BU10" s="32">
        <f>(SUMPRODUCT(alpha*fck*(1-(1-((($AJ10+$AK10*Mesh_Y+$AL10*Mesh_X))*(($AJ10+$AK10*Mesh_Y+$AL10*Mesh_X)&gt;0)*(($AJ10+$AK10*Mesh_Y+$AL10*Mesh_X)&lt;eco)+eco*(($AJ10+$AK10*Mesh_Y+$AL10*Mesh_X)&gt;=eco))/eco)^n)*((($AJ10+$AK10*Mesh_Y+$AL10*Mesh_X))&gt;0),Mesh_A)+SUMPRODUCT((Es*(($AJ10+$AK10*Geometry!$E$42:$E$59+$AL10*Geometry!$D$42:$D$59))*(ABS(Es*(($AJ10+$AK10*Geometry!$E$42:$E$59+$AL10*Geometry!$D$42:$D$59)))&lt;=fy)+fy*(Es*(($AJ10+$AK10*Geometry!$E$42:$E$59+$AL10*Geometry!$D$42:$D$59))&gt;fy)-fy*(Es*(($AJ10+$AK10*Geometry!$E$42:$E$59+$AL10*Geometry!$D$42:$D$59))&lt;-fy)-(alpha*fck*(1-(1-((($AJ10+$AK10*Geometry!$E$42:$E$59+$AL10*Geometry!$D$42:$D$59))*(($AJ10+$AK10*Geometry!$E$42:$E$59+$AL10*Geometry!$D$42:$D$59)&gt;0)*(($AJ10+$AK10*Geometry!$E$42:$E$59+$AL10*Geometry!$D$42:$D$59)&lt;eco)+eco*(($AJ10+$AK10*Geometry!$E$42:$E$59+$AL10*Geometry!$D$42:$D$59)&gt;=eco))/eco)^n)*((($AJ10+$AK10*Geometry!$E$42:$E$59+$AL10*Geometry!$D$42:$D$59))&gt;0))),Geometry!$F$42:$F$59))/1000</f>
      </c>
      <c r="BV10" s="32">
        <f>(SUMPRODUCT(alpha*fck*(1-(1-((($AM10+$AN10*Mesh_Y+$AO10*Mesh_X))*(($AM10+$AN10*Mesh_Y+$AO10*Mesh_X)&gt;0)*(($AM10+$AN10*Mesh_Y+$AO10*Mesh_X)&lt;eco)+eco*(($AM10+$AN10*Mesh_Y+$AO10*Mesh_X)&gt;=eco))/eco)^n)*((($AM10+$AN10*Mesh_Y+$AO10*Mesh_X))&gt;0),Mesh_A)+SUMPRODUCT((Es*(($AM10+$AN10*Geometry!$E$42:$E$59+$AO10*Geometry!$D$42:$D$59))*(ABS(Es*(($AM10+$AN10*Geometry!$E$42:$E$59+$AO10*Geometry!$D$42:$D$59)))&lt;=fy)+fy*(Es*(($AM10+$AN10*Geometry!$E$42:$E$59+$AO10*Geometry!$D$42:$D$59))&gt;fy)-fy*(Es*(($AM10+$AN10*Geometry!$E$42:$E$59+$AO10*Geometry!$D$42:$D$59))&lt;-fy)-(alpha*fck*(1-(1-((($AM10+$AN10*Geometry!$E$42:$E$59+$AO10*Geometry!$D$42:$D$59))*(($AM10+$AN10*Geometry!$E$42:$E$59+$AO10*Geometry!$D$42:$D$59)&gt;0)*(($AM10+$AN10*Geometry!$E$42:$E$59+$AO10*Geometry!$D$42:$D$59)&lt;eco)+eco*(($AM10+$AN10*Geometry!$E$42:$E$59+$AO10*Geometry!$D$42:$D$59)&gt;=eco))/eco)^n)*((($AM10+$AN10*Geometry!$E$42:$E$59+$AO10*Geometry!$D$42:$D$59))&gt;0))),Geometry!$F$42:$F$59))/1000</f>
      </c>
      <c r="BW10" s="32">
        <f>(SUMPRODUCT(alpha*fck*(1-(1-((($AP10+$AQ10*Mesh_Y+$AR10*Mesh_X))*(($AP10+$AQ10*Mesh_Y+$AR10*Mesh_X)&gt;0)*(($AP10+$AQ10*Mesh_Y+$AR10*Mesh_X)&lt;eco)+eco*(($AP10+$AQ10*Mesh_Y+$AR10*Mesh_X)&gt;=eco))/eco)^n)*((($AP10+$AQ10*Mesh_Y+$AR10*Mesh_X))&gt;0),Mesh_A)+SUMPRODUCT((Es*(($AP10+$AQ10*Geometry!$E$42:$E$59+$AR10*Geometry!$D$42:$D$59))*(ABS(Es*(($AP10+$AQ10*Geometry!$E$42:$E$59+$AR10*Geometry!$D$42:$D$59)))&lt;=fy)+fy*(Es*(($AP10+$AQ10*Geometry!$E$42:$E$59+$AR10*Geometry!$D$42:$D$59))&gt;fy)-fy*(Es*(($AP10+$AQ10*Geometry!$E$42:$E$59+$AR10*Geometry!$D$42:$D$59))&lt;-fy)-(alpha*fck*(1-(1-((($AP10+$AQ10*Geometry!$E$42:$E$59+$AR10*Geometry!$D$42:$D$59))*(($AP10+$AQ10*Geometry!$E$42:$E$59+$AR10*Geometry!$D$42:$D$59)&gt;0)*(($AP10+$AQ10*Geometry!$E$42:$E$59+$AR10*Geometry!$D$42:$D$59)&lt;eco)+eco*(($AP10+$AQ10*Geometry!$E$42:$E$59+$AR10*Geometry!$D$42:$D$59)&gt;=eco))/eco)^n)*((($AP10+$AQ10*Geometry!$E$42:$E$59+$AR10*Geometry!$D$42:$D$59))&gt;0))),Geometry!$F$42:$F$59))/1000</f>
      </c>
      <c r="BX10" s="32">
        <f>(SUMPRODUCT(alpha*fck*(1-(1-((($AS10+$AT10*Mesh_Y+$AU10*Mesh_X))*(($AS10+$AT10*Mesh_Y+$AU10*Mesh_X)&gt;0)*(($AS10+$AT10*Mesh_Y+$AU10*Mesh_X)&lt;eco)+eco*(($AS10+$AT10*Mesh_Y+$AU10*Mesh_X)&gt;=eco))/eco)^n)*((($AS10+$AT10*Mesh_Y+$AU10*Mesh_X))&gt;0),Mesh_A)+SUMPRODUCT((Es*(($AS10+$AT10*Geometry!$E$42:$E$59+$AU10*Geometry!$D$42:$D$59))*(ABS(Es*(($AS10+$AT10*Geometry!$E$42:$E$59+$AU10*Geometry!$D$42:$D$59)))&lt;=fy)+fy*(Es*(($AS10+$AT10*Geometry!$E$42:$E$59+$AU10*Geometry!$D$42:$D$59))&gt;fy)-fy*(Es*(($AS10+$AT10*Geometry!$E$42:$E$59+$AU10*Geometry!$D$42:$D$59))&lt;-fy)-(alpha*fck*(1-(1-((($AS10+$AT10*Geometry!$E$42:$E$59+$AU10*Geometry!$D$42:$D$59))*(($AS10+$AT10*Geometry!$E$42:$E$59+$AU10*Geometry!$D$42:$D$59)&gt;0)*(($AS10+$AT10*Geometry!$E$42:$E$59+$AU10*Geometry!$D$42:$D$59)&lt;eco)+eco*(($AS10+$AT10*Geometry!$E$42:$E$59+$AU10*Geometry!$D$42:$D$59)&gt;=eco))/eco)^n)*((($AS10+$AT10*Geometry!$E$42:$E$59+$AU10*Geometry!$D$42:$D$59))&gt;0))),Geometry!$F$42:$F$59))/1000</f>
      </c>
      <c r="BY10" s="32">
        <f>(SUMPRODUCT(alpha*fck*(1-(1-((($AV10+$AW10*Mesh_Y+$AX10*Mesh_X))*(($AV10+$AW10*Mesh_Y+$AX10*Mesh_X)&gt;0)*(($AV10+$AW10*Mesh_Y+$AX10*Mesh_X)&lt;eco)+eco*(($AV10+$AW10*Mesh_Y+$AX10*Mesh_X)&gt;=eco))/eco)^n)*((($AV10+$AW10*Mesh_Y+$AX10*Mesh_X))&gt;0),Mesh_A)+SUMPRODUCT((Es*(($AV10+$AW10*Geometry!$E$42:$E$59+$AX10*Geometry!$D$42:$D$59))*(ABS(Es*(($AV10+$AW10*Geometry!$E$42:$E$59+$AX10*Geometry!$D$42:$D$59)))&lt;=fy)+fy*(Es*(($AV10+$AW10*Geometry!$E$42:$E$59+$AX10*Geometry!$D$42:$D$59))&gt;fy)-fy*(Es*(($AV10+$AW10*Geometry!$E$42:$E$59+$AX10*Geometry!$D$42:$D$59))&lt;-fy)-(alpha*fck*(1-(1-((($AV10+$AW10*Geometry!$E$42:$E$59+$AX10*Geometry!$D$42:$D$59))*(($AV10+$AW10*Geometry!$E$42:$E$59+$AX10*Geometry!$D$42:$D$59)&gt;0)*(($AV10+$AW10*Geometry!$E$42:$E$59+$AX10*Geometry!$D$42:$D$59)&lt;eco)+eco*(($AV10+$AW10*Geometry!$E$42:$E$59+$AX10*Geometry!$D$42:$D$59)&gt;=eco))/eco)^n)*((($AV10+$AW10*Geometry!$E$42:$E$59+$AX10*Geometry!$D$42:$D$59))&gt;0))),Geometry!$F$42:$F$59))/1000</f>
      </c>
      <c r="BZ10" s="32">
        <f>(SUMPRODUCT(alpha*fck*(1-(1-((($AY10+$AZ10*Mesh_Y+$BA10*Mesh_X))*(($AY10+$AZ10*Mesh_Y+$BA10*Mesh_X)&gt;0)*(($AY10+$AZ10*Mesh_Y+$BA10*Mesh_X)&lt;eco)+eco*(($AY10+$AZ10*Mesh_Y+$BA10*Mesh_X)&gt;=eco))/eco)^n)*((($AY10+$AZ10*Mesh_Y+$BA10*Mesh_X))&gt;0),Mesh_A)+SUMPRODUCT((Es*(($AY10+$AZ10*Geometry!$E$42:$E$59+$BA10*Geometry!$D$42:$D$59))*(ABS(Es*(($AY10+$AZ10*Geometry!$E$42:$E$59+$BA10*Geometry!$D$42:$D$59)))&lt;=fy)+fy*(Es*(($AY10+$AZ10*Geometry!$E$42:$E$59+$BA10*Geometry!$D$42:$D$59))&gt;fy)-fy*(Es*(($AY10+$AZ10*Geometry!$E$42:$E$59+$BA10*Geometry!$D$42:$D$59))&lt;-fy)-(alpha*fck*(1-(1-((($AY10+$AZ10*Geometry!$E$42:$E$59+$BA10*Geometry!$D$42:$D$59))*(($AY10+$AZ10*Geometry!$E$42:$E$59+$BA10*Geometry!$D$42:$D$59)&gt;0)*(($AY10+$AZ10*Geometry!$E$42:$E$59+$BA10*Geometry!$D$42:$D$59)&lt;eco)+eco*(($AY10+$AZ10*Geometry!$E$42:$E$59+$BA10*Geometry!$D$42:$D$59)&gt;=eco))/eco)^n)*((($AY10+$AZ10*Geometry!$E$42:$E$59+$BA10*Geometry!$D$42:$D$59))&gt;0))),Geometry!$F$42:$F$59))/1000</f>
      </c>
      <c r="CA10" s="32">
        <f>(SUMPRODUCT(alpha*fck*(1-(1-((($BB10+$BC10*Mesh_Y+$BD10*Mesh_X))*(($BB10+$BC10*Mesh_Y+$BD10*Mesh_X)&gt;0)*(($BB10+$BC10*Mesh_Y+$BD10*Mesh_X)&lt;eco)+eco*(($BB10+$BC10*Mesh_Y+$BD10*Mesh_X)&gt;=eco))/eco)^n)*((($BB10+$BC10*Mesh_Y+$BD10*Mesh_X))&gt;0),Mesh_A)+SUMPRODUCT((Es*(($BB10+$BC10*Geometry!$E$42:$E$59+$BD10*Geometry!$D$42:$D$59))*(ABS(Es*(($BB10+$BC10*Geometry!$E$42:$E$59+$BD10*Geometry!$D$42:$D$59)))&lt;=fy)+fy*(Es*(($BB10+$BC10*Geometry!$E$42:$E$59+$BD10*Geometry!$D$42:$D$59))&gt;fy)-fy*(Es*(($BB10+$BC10*Geometry!$E$42:$E$59+$BD10*Geometry!$D$42:$D$59))&lt;-fy)-(alpha*fck*(1-(1-((($BB10+$BC10*Geometry!$E$42:$E$59+$BD10*Geometry!$D$42:$D$59))*(($BB10+$BC10*Geometry!$E$42:$E$59+$BD10*Geometry!$D$42:$D$59)&gt;0)*(($BB10+$BC10*Geometry!$E$42:$E$59+$BD10*Geometry!$D$42:$D$59)&lt;eco)+eco*(($BB10+$BC10*Geometry!$E$42:$E$59+$BD10*Geometry!$D$42:$D$59)&gt;=eco))/eco)^n)*((($BB10+$BC10*Geometry!$E$42:$E$59+$BD10*Geometry!$D$42:$D$59))&gt;0))),Geometry!$F$42:$F$59))/1000</f>
      </c>
      <c r="CB10" s="32">
        <f>(SUMPRODUCT(alpha*fck*(1-(1-((($BE10+$BF10*Mesh_Y+$BG10*Mesh_X))*(($BE10+$BF10*Mesh_Y+$BG10*Mesh_X)&gt;0)*(($BE10+$BF10*Mesh_Y+$BG10*Mesh_X)&lt;eco)+eco*(($BE10+$BF10*Mesh_Y+$BG10*Mesh_X)&gt;=eco))/eco)^n)*((($BE10+$BF10*Mesh_Y+$BG10*Mesh_X))&gt;0),Mesh_A)+SUMPRODUCT((Es*(($BE10+$BF10*Geometry!$E$42:$E$59+$BG10*Geometry!$D$42:$D$59))*(ABS(Es*(($BE10+$BF10*Geometry!$E$42:$E$59+$BG10*Geometry!$D$42:$D$59)))&lt;=fy)+fy*(Es*(($BE10+$BF10*Geometry!$E$42:$E$59+$BG10*Geometry!$D$42:$D$59))&gt;fy)-fy*(Es*(($BE10+$BF10*Geometry!$E$42:$E$59+$BG10*Geometry!$D$42:$D$59))&lt;-fy)-(alpha*fck*(1-(1-((($BE10+$BF10*Geometry!$E$42:$E$59+$BG10*Geometry!$D$42:$D$59))*(($BE10+$BF10*Geometry!$E$42:$E$59+$BG10*Geometry!$D$42:$D$59)&gt;0)*(($BE10+$BF10*Geometry!$E$42:$E$59+$BG10*Geometry!$D$42:$D$59)&lt;eco)+eco*(($BE10+$BF10*Geometry!$E$42:$E$59+$BG10*Geometry!$D$42:$D$59)&gt;=eco))/eco)^n)*((($BE10+$BF10*Geometry!$E$42:$E$59+$BG10*Geometry!$D$42:$D$59))&gt;0))),Geometry!$F$42:$F$59))/1000</f>
      </c>
      <c r="CC10" s="32">
        <f>(SUMPRODUCT(alpha*fck*(1-(1-((($BH10+$BI10*Mesh_Y+$BJ10*Mesh_X))*(($BH10+$BI10*Mesh_Y+$BJ10*Mesh_X)&gt;0)*(($BH10+$BI10*Mesh_Y+$BJ10*Mesh_X)&lt;eco)+eco*(($BH10+$BI10*Mesh_Y+$BJ10*Mesh_X)&gt;=eco))/eco)^n)*((($BH10+$BI10*Mesh_Y+$BJ10*Mesh_X))&gt;0),Mesh_A)+SUMPRODUCT((Es*(($BH10+$BI10*Geometry!$E$42:$E$59+$BJ10*Geometry!$D$42:$D$59))*(ABS(Es*(($BH10+$BI10*Geometry!$E$42:$E$59+$BJ10*Geometry!$D$42:$D$59)))&lt;=fy)+fy*(Es*(($BH10+$BI10*Geometry!$E$42:$E$59+$BJ10*Geometry!$D$42:$D$59))&gt;fy)-fy*(Es*(($BH10+$BI10*Geometry!$E$42:$E$59+$BJ10*Geometry!$D$42:$D$59))&lt;-fy)-(alpha*fck*(1-(1-((($BH10+$BI10*Geometry!$E$42:$E$59+$BJ10*Geometry!$D$42:$D$59))*(($BH10+$BI10*Geometry!$E$42:$E$59+$BJ10*Geometry!$D$42:$D$59)&gt;0)*(($BH10+$BI10*Geometry!$E$42:$E$59+$BJ10*Geometry!$D$42:$D$59)&lt;eco)+eco*(($BH10+$BI10*Geometry!$E$42:$E$59+$BJ10*Geometry!$D$42:$D$59)&gt;=eco))/eco)^n)*((($BH10+$BI10*Geometry!$E$42:$E$59+$BJ10*Geometry!$D$42:$D$59))&gt;0))),Geometry!$F$42:$F$59))/1000</f>
      </c>
      <c r="CD10" s="32">
        <f>(SUMPRODUCT(alpha*fck*(1-(1-((($F10+$G10*Mesh_Y+$H10*Mesh_X))*(($F10+$G10*Mesh_Y+$H10*Mesh_X)&gt;0)*(($F10+$G10*Mesh_Y+$H10*Mesh_X)&lt;eco)+eco*(($F10+$G10*Mesh_Y+$H10*Mesh_X)&gt;=eco))/eco)^n)*((($F10+$G10*Mesh_Y+$H10*Mesh_X))&gt;0),Mesh_A,Mesh_Y)+SUMPRODUCT((Es*(($F10+$G10*Geometry!$E$42:$E$59+$H10*Geometry!$D$42:$D$59))*(ABS(Es*(($F10+$G10*Geometry!$E$42:$E$59+$H10*Geometry!$D$42:$D$59)))&lt;=fy)+fy*(Es*(($F10+$G10*Geometry!$E$42:$E$59+$H10*Geometry!$D$42:$D$59))&gt;fy)-fy*(Es*(($F10+$G10*Geometry!$E$42:$E$59+$H10*Geometry!$D$42:$D$59))&lt;-fy)-(alpha*fck*(1-(1-((($F10+$G10*Geometry!$E$42:$E$59+$H10*Geometry!$D$42:$D$59))*(($F10+$G10*Geometry!$E$42:$E$59+$H10*Geometry!$D$42:$D$59)&gt;0)*(($F10+$G10*Geometry!$E$42:$E$59+$H10*Geometry!$D$42:$D$59)&lt;eco)+eco*(($F10+$G10*Geometry!$E$42:$E$59+$H10*Geometry!$D$42:$D$59)&gt;=eco))/eco)^n)*((($F10+$G10*Geometry!$E$42:$E$59+$H10*Geometry!$D$42:$D$59))&gt;0))),Geometry!$F$42:$F$59,Geometry!$E$42:$E$59))/1000000</f>
      </c>
      <c r="CE10" s="32">
        <f>(SUMPRODUCT(alpha*fck*(1-(1-((($I10+$J10*Mesh_Y+$K10*Mesh_X))*(($I10+$J10*Mesh_Y+$K10*Mesh_X)&gt;0)*(($I10+$J10*Mesh_Y+$K10*Mesh_X)&lt;eco)+eco*(($I10+$J10*Mesh_Y+$K10*Mesh_X)&gt;=eco))/eco)^n)*((($I10+$J10*Mesh_Y+$K10*Mesh_X))&gt;0),Mesh_A,Mesh_Y)+SUMPRODUCT((Es*(($I10+$J10*Geometry!$E$42:$E$59+$K10*Geometry!$D$42:$D$59))*(ABS(Es*(($I10+$J10*Geometry!$E$42:$E$59+$K10*Geometry!$D$42:$D$59)))&lt;=fy)+fy*(Es*(($I10+$J10*Geometry!$E$42:$E$59+$K10*Geometry!$D$42:$D$59))&gt;fy)-fy*(Es*(($I10+$J10*Geometry!$E$42:$E$59+$K10*Geometry!$D$42:$D$59))&lt;-fy)-(alpha*fck*(1-(1-((($I10+$J10*Geometry!$E$42:$E$59+$K10*Geometry!$D$42:$D$59))*(($I10+$J10*Geometry!$E$42:$E$59+$K10*Geometry!$D$42:$D$59)&gt;0)*(($I10+$J10*Geometry!$E$42:$E$59+$K10*Geometry!$D$42:$D$59)&lt;eco)+eco*(($I10+$J10*Geometry!$E$42:$E$59+$K10*Geometry!$D$42:$D$59)&gt;=eco))/eco)^n)*((($I10+$J10*Geometry!$E$42:$E$59+$K10*Geometry!$D$42:$D$59))&gt;0))),Geometry!$F$42:$F$59,Geometry!$E$42:$E$59))/1000000</f>
      </c>
      <c r="CF10" s="32">
        <f>(SUMPRODUCT(alpha*fck*(1-(1-((($L10+$M10*Mesh_Y+$N10*Mesh_X))*(($L10+$M10*Mesh_Y+$N10*Mesh_X)&gt;0)*(($L10+$M10*Mesh_Y+$N10*Mesh_X)&lt;eco)+eco*(($L10+$M10*Mesh_Y+$N10*Mesh_X)&gt;=eco))/eco)^n)*((($L10+$M10*Mesh_Y+$N10*Mesh_X))&gt;0),Mesh_A,Mesh_Y)+SUMPRODUCT((Es*(($L10+$M10*Geometry!$E$42:$E$59+$N10*Geometry!$D$42:$D$59))*(ABS(Es*(($L10+$M10*Geometry!$E$42:$E$59+$N10*Geometry!$D$42:$D$59)))&lt;=fy)+fy*(Es*(($L10+$M10*Geometry!$E$42:$E$59+$N10*Geometry!$D$42:$D$59))&gt;fy)-fy*(Es*(($L10+$M10*Geometry!$E$42:$E$59+$N10*Geometry!$D$42:$D$59))&lt;-fy)-(alpha*fck*(1-(1-((($L10+$M10*Geometry!$E$42:$E$59+$N10*Geometry!$D$42:$D$59))*(($L10+$M10*Geometry!$E$42:$E$59+$N10*Geometry!$D$42:$D$59)&gt;0)*(($L10+$M10*Geometry!$E$42:$E$59+$N10*Geometry!$D$42:$D$59)&lt;eco)+eco*(($L10+$M10*Geometry!$E$42:$E$59+$N10*Geometry!$D$42:$D$59)&gt;=eco))/eco)^n)*((($L10+$M10*Geometry!$E$42:$E$59+$N10*Geometry!$D$42:$D$59))&gt;0))),Geometry!$F$42:$F$59,Geometry!$E$42:$E$59))/1000000</f>
      </c>
      <c r="CG10" s="32">
        <f>(SUMPRODUCT(alpha*fck*(1-(1-((($O10+$P10*Mesh_Y+$Q10*Mesh_X))*(($O10+$P10*Mesh_Y+$Q10*Mesh_X)&gt;0)*(($O10+$P10*Mesh_Y+$Q10*Mesh_X)&lt;eco)+eco*(($O10+$P10*Mesh_Y+$Q10*Mesh_X)&gt;=eco))/eco)^n)*((($O10+$P10*Mesh_Y+$Q10*Mesh_X))&gt;0),Mesh_A,Mesh_Y)+SUMPRODUCT((Es*(($O10+$P10*Geometry!$E$42:$E$59+$Q10*Geometry!$D$42:$D$59))*(ABS(Es*(($O10+$P10*Geometry!$E$42:$E$59+$Q10*Geometry!$D$42:$D$59)))&lt;=fy)+fy*(Es*(($O10+$P10*Geometry!$E$42:$E$59+$Q10*Geometry!$D$42:$D$59))&gt;fy)-fy*(Es*(($O10+$P10*Geometry!$E$42:$E$59+$Q10*Geometry!$D$42:$D$59))&lt;-fy)-(alpha*fck*(1-(1-((($O10+$P10*Geometry!$E$42:$E$59+$Q10*Geometry!$D$42:$D$59))*(($O10+$P10*Geometry!$E$42:$E$59+$Q10*Geometry!$D$42:$D$59)&gt;0)*(($O10+$P10*Geometry!$E$42:$E$59+$Q10*Geometry!$D$42:$D$59)&lt;eco)+eco*(($O10+$P10*Geometry!$E$42:$E$59+$Q10*Geometry!$D$42:$D$59)&gt;=eco))/eco)^n)*((($O10+$P10*Geometry!$E$42:$E$59+$Q10*Geometry!$D$42:$D$59))&gt;0))),Geometry!$F$42:$F$59,Geometry!$E$42:$E$59))/1000000</f>
      </c>
      <c r="CH10" s="32">
        <f>(SUMPRODUCT(alpha*fck*(1-(1-((($R10+$S10*Mesh_Y+$T10*Mesh_X))*(($R10+$S10*Mesh_Y+$T10*Mesh_X)&gt;0)*(($R10+$S10*Mesh_Y+$T10*Mesh_X)&lt;eco)+eco*(($R10+$S10*Mesh_Y+$T10*Mesh_X)&gt;=eco))/eco)^n)*((($R10+$S10*Mesh_Y+$T10*Mesh_X))&gt;0),Mesh_A,Mesh_Y)+SUMPRODUCT((Es*(($R10+$S10*Geometry!$E$42:$E$59+$T10*Geometry!$D$42:$D$59))*(ABS(Es*(($R10+$S10*Geometry!$E$42:$E$59+$T10*Geometry!$D$42:$D$59)))&lt;=fy)+fy*(Es*(($R10+$S10*Geometry!$E$42:$E$59+$T10*Geometry!$D$42:$D$59))&gt;fy)-fy*(Es*(($R10+$S10*Geometry!$E$42:$E$59+$T10*Geometry!$D$42:$D$59))&lt;-fy)-(alpha*fck*(1-(1-((($R10+$S10*Geometry!$E$42:$E$59+$T10*Geometry!$D$42:$D$59))*(($R10+$S10*Geometry!$E$42:$E$59+$T10*Geometry!$D$42:$D$59)&gt;0)*(($R10+$S10*Geometry!$E$42:$E$59+$T10*Geometry!$D$42:$D$59)&lt;eco)+eco*(($R10+$S10*Geometry!$E$42:$E$59+$T10*Geometry!$D$42:$D$59)&gt;=eco))/eco)^n)*((($R10+$S10*Geometry!$E$42:$E$59+$T10*Geometry!$D$42:$D$59))&gt;0))),Geometry!$F$42:$F$59,Geometry!$E$42:$E$59))/1000000</f>
      </c>
      <c r="CI10" s="32">
        <f>(SUMPRODUCT(alpha*fck*(1-(1-((($U10+$V10*Mesh_Y+$W10*Mesh_X))*(($U10+$V10*Mesh_Y+$W10*Mesh_X)&gt;0)*(($U10+$V10*Mesh_Y+$W10*Mesh_X)&lt;eco)+eco*(($U10+$V10*Mesh_Y+$W10*Mesh_X)&gt;=eco))/eco)^n)*((($U10+$V10*Mesh_Y+$W10*Mesh_X))&gt;0),Mesh_A,Mesh_Y)+SUMPRODUCT((Es*(($U10+$V10*Geometry!$E$42:$E$59+$W10*Geometry!$D$42:$D$59))*(ABS(Es*(($U10+$V10*Geometry!$E$42:$E$59+$W10*Geometry!$D$42:$D$59)))&lt;=fy)+fy*(Es*(($U10+$V10*Geometry!$E$42:$E$59+$W10*Geometry!$D$42:$D$59))&gt;fy)-fy*(Es*(($U10+$V10*Geometry!$E$42:$E$59+$W10*Geometry!$D$42:$D$59))&lt;-fy)-(alpha*fck*(1-(1-((($U10+$V10*Geometry!$E$42:$E$59+$W10*Geometry!$D$42:$D$59))*(($U10+$V10*Geometry!$E$42:$E$59+$W10*Geometry!$D$42:$D$59)&gt;0)*(($U10+$V10*Geometry!$E$42:$E$59+$W10*Geometry!$D$42:$D$59)&lt;eco)+eco*(($U10+$V10*Geometry!$E$42:$E$59+$W10*Geometry!$D$42:$D$59)&gt;=eco))/eco)^n)*((($U10+$V10*Geometry!$E$42:$E$59+$W10*Geometry!$D$42:$D$59))&gt;0))),Geometry!$F$42:$F$59,Geometry!$E$42:$E$59))/1000000</f>
      </c>
      <c r="CJ10" s="32">
        <f>(SUMPRODUCT(alpha*fck*(1-(1-((($X10+$Y10*Mesh_Y+$Z10*Mesh_X))*(($X10+$Y10*Mesh_Y+$Z10*Mesh_X)&gt;0)*(($X10+$Y10*Mesh_Y+$Z10*Mesh_X)&lt;eco)+eco*(($X10+$Y10*Mesh_Y+$Z10*Mesh_X)&gt;=eco))/eco)^n)*((($X10+$Y10*Mesh_Y+$Z10*Mesh_X))&gt;0),Mesh_A,Mesh_Y)+SUMPRODUCT((Es*(($X10+$Y10*Geometry!$E$42:$E$59+$Z10*Geometry!$D$42:$D$59))*(ABS(Es*(($X10+$Y10*Geometry!$E$42:$E$59+$Z10*Geometry!$D$42:$D$59)))&lt;=fy)+fy*(Es*(($X10+$Y10*Geometry!$E$42:$E$59+$Z10*Geometry!$D$42:$D$59))&gt;fy)-fy*(Es*(($X10+$Y10*Geometry!$E$42:$E$59+$Z10*Geometry!$D$42:$D$59))&lt;-fy)-(alpha*fck*(1-(1-((($X10+$Y10*Geometry!$E$42:$E$59+$Z10*Geometry!$D$42:$D$59))*(($X10+$Y10*Geometry!$E$42:$E$59+$Z10*Geometry!$D$42:$D$59)&gt;0)*(($X10+$Y10*Geometry!$E$42:$E$59+$Z10*Geometry!$D$42:$D$59)&lt;eco)+eco*(($X10+$Y10*Geometry!$E$42:$E$59+$Z10*Geometry!$D$42:$D$59)&gt;=eco))/eco)^n)*((($X10+$Y10*Geometry!$E$42:$E$59+$Z10*Geometry!$D$42:$D$59))&gt;0))),Geometry!$F$42:$F$59,Geometry!$E$42:$E$59))/1000000</f>
      </c>
      <c r="CK10" s="32">
        <f>(SUMPRODUCT(alpha*fck*(1-(1-((($AA10+$AB10*Mesh_Y+$AC10*Mesh_X))*(($AA10+$AB10*Mesh_Y+$AC10*Mesh_X)&gt;0)*(($AA10+$AB10*Mesh_Y+$AC10*Mesh_X)&lt;eco)+eco*(($AA10+$AB10*Mesh_Y+$AC10*Mesh_X)&gt;=eco))/eco)^n)*((($AA10+$AB10*Mesh_Y+$AC10*Mesh_X))&gt;0),Mesh_A,Mesh_Y)+SUMPRODUCT((Es*(($AA10+$AB10*Geometry!$E$42:$E$59+$AC10*Geometry!$D$42:$D$59))*(ABS(Es*(($AA10+$AB10*Geometry!$E$42:$E$59+$AC10*Geometry!$D$42:$D$59)))&lt;=fy)+fy*(Es*(($AA10+$AB10*Geometry!$E$42:$E$59+$AC10*Geometry!$D$42:$D$59))&gt;fy)-fy*(Es*(($AA10+$AB10*Geometry!$E$42:$E$59+$AC10*Geometry!$D$42:$D$59))&lt;-fy)-(alpha*fck*(1-(1-((($AA10+$AB10*Geometry!$E$42:$E$59+$AC10*Geometry!$D$42:$D$59))*(($AA10+$AB10*Geometry!$E$42:$E$59+$AC10*Geometry!$D$42:$D$59)&gt;0)*(($AA10+$AB10*Geometry!$E$42:$E$59+$AC10*Geometry!$D$42:$D$59)&lt;eco)+eco*(($AA10+$AB10*Geometry!$E$42:$E$59+$AC10*Geometry!$D$42:$D$59)&gt;=eco))/eco)^n)*((($AA10+$AB10*Geometry!$E$42:$E$59+$AC10*Geometry!$D$42:$D$59))&gt;0))),Geometry!$F$42:$F$59,Geometry!$E$42:$E$59))/1000000</f>
      </c>
      <c r="CL10" s="32">
        <f>(SUMPRODUCT(alpha*fck*(1-(1-((($AD10+$AE10*Mesh_Y+$AF10*Mesh_X))*(($AD10+$AE10*Mesh_Y+$AF10*Mesh_X)&gt;0)*(($AD10+$AE10*Mesh_Y+$AF10*Mesh_X)&lt;eco)+eco*(($AD10+$AE10*Mesh_Y+$AF10*Mesh_X)&gt;=eco))/eco)^n)*((($AD10+$AE10*Mesh_Y+$AF10*Mesh_X))&gt;0),Mesh_A,Mesh_Y)+SUMPRODUCT((Es*(($AD10+$AE10*Geometry!$E$42:$E$59+$AF10*Geometry!$D$42:$D$59))*(ABS(Es*(($AD10+$AE10*Geometry!$E$42:$E$59+$AF10*Geometry!$D$42:$D$59)))&lt;=fy)+fy*(Es*(($AD10+$AE10*Geometry!$E$42:$E$59+$AF10*Geometry!$D$42:$D$59))&gt;fy)-fy*(Es*(($AD10+$AE10*Geometry!$E$42:$E$59+$AF10*Geometry!$D$42:$D$59))&lt;-fy)-(alpha*fck*(1-(1-((($AD10+$AE10*Geometry!$E$42:$E$59+$AF10*Geometry!$D$42:$D$59))*(($AD10+$AE10*Geometry!$E$42:$E$59+$AF10*Geometry!$D$42:$D$59)&gt;0)*(($AD10+$AE10*Geometry!$E$42:$E$59+$AF10*Geometry!$D$42:$D$59)&lt;eco)+eco*(($AD10+$AE10*Geometry!$E$42:$E$59+$AF10*Geometry!$D$42:$D$59)&gt;=eco))/eco)^n)*((($AD10+$AE10*Geometry!$E$42:$E$59+$AF10*Geometry!$D$42:$D$59))&gt;0))),Geometry!$F$42:$F$59,Geometry!$E$42:$E$59))/1000000</f>
      </c>
      <c r="CM10" s="32">
        <f>(SUMPRODUCT(alpha*fck*(1-(1-((($AG10+$AH10*Mesh_Y+$AI10*Mesh_X))*(($AG10+$AH10*Mesh_Y+$AI10*Mesh_X)&gt;0)*(($AG10+$AH10*Mesh_Y+$AI10*Mesh_X)&lt;eco)+eco*(($AG10+$AH10*Mesh_Y+$AI10*Mesh_X)&gt;=eco))/eco)^n)*((($AG10+$AH10*Mesh_Y+$AI10*Mesh_X))&gt;0),Mesh_A,Mesh_Y)+SUMPRODUCT((Es*(($AG10+$AH10*Geometry!$E$42:$E$59+$AI10*Geometry!$D$42:$D$59))*(ABS(Es*(($AG10+$AH10*Geometry!$E$42:$E$59+$AI10*Geometry!$D$42:$D$59)))&lt;=fy)+fy*(Es*(($AG10+$AH10*Geometry!$E$42:$E$59+$AI10*Geometry!$D$42:$D$59))&gt;fy)-fy*(Es*(($AG10+$AH10*Geometry!$E$42:$E$59+$AI10*Geometry!$D$42:$D$59))&lt;-fy)-(alpha*fck*(1-(1-((($AG10+$AH10*Geometry!$E$42:$E$59+$AI10*Geometry!$D$42:$D$59))*(($AG10+$AH10*Geometry!$E$42:$E$59+$AI10*Geometry!$D$42:$D$59)&gt;0)*(($AG10+$AH10*Geometry!$E$42:$E$59+$AI10*Geometry!$D$42:$D$59)&lt;eco)+eco*(($AG10+$AH10*Geometry!$E$42:$E$59+$AI10*Geometry!$D$42:$D$59)&gt;=eco))/eco)^n)*((($AG10+$AH10*Geometry!$E$42:$E$59+$AI10*Geometry!$D$42:$D$59))&gt;0))),Geometry!$F$42:$F$59,Geometry!$E$42:$E$59))/1000000</f>
      </c>
      <c r="CN10" s="32">
        <f>(SUMPRODUCT(alpha*fck*(1-(1-((($AJ10+$AK10*Mesh_Y+$AL10*Mesh_X))*(($AJ10+$AK10*Mesh_Y+$AL10*Mesh_X)&gt;0)*(($AJ10+$AK10*Mesh_Y+$AL10*Mesh_X)&lt;eco)+eco*(($AJ10+$AK10*Mesh_Y+$AL10*Mesh_X)&gt;=eco))/eco)^n)*((($AJ10+$AK10*Mesh_Y+$AL10*Mesh_X))&gt;0),Mesh_A,Mesh_Y)+SUMPRODUCT((Es*(($AJ10+$AK10*Geometry!$E$42:$E$59+$AL10*Geometry!$D$42:$D$59))*(ABS(Es*(($AJ10+$AK10*Geometry!$E$42:$E$59+$AL10*Geometry!$D$42:$D$59)))&lt;=fy)+fy*(Es*(($AJ10+$AK10*Geometry!$E$42:$E$59+$AL10*Geometry!$D$42:$D$59))&gt;fy)-fy*(Es*(($AJ10+$AK10*Geometry!$E$42:$E$59+$AL10*Geometry!$D$42:$D$59))&lt;-fy)-(alpha*fck*(1-(1-((($AJ10+$AK10*Geometry!$E$42:$E$59+$AL10*Geometry!$D$42:$D$59))*(($AJ10+$AK10*Geometry!$E$42:$E$59+$AL10*Geometry!$D$42:$D$59)&gt;0)*(($AJ10+$AK10*Geometry!$E$42:$E$59+$AL10*Geometry!$D$42:$D$59)&lt;eco)+eco*(($AJ10+$AK10*Geometry!$E$42:$E$59+$AL10*Geometry!$D$42:$D$59)&gt;=eco))/eco)^n)*((($AJ10+$AK10*Geometry!$E$42:$E$59+$AL10*Geometry!$D$42:$D$59))&gt;0))),Geometry!$F$42:$F$59,Geometry!$E$42:$E$59))/1000000</f>
      </c>
      <c r="CO10" s="32">
        <f>(SUMPRODUCT(alpha*fck*(1-(1-((($AM10+$AN10*Mesh_Y+$AO10*Mesh_X))*(($AM10+$AN10*Mesh_Y+$AO10*Mesh_X)&gt;0)*(($AM10+$AN10*Mesh_Y+$AO10*Mesh_X)&lt;eco)+eco*(($AM10+$AN10*Mesh_Y+$AO10*Mesh_X)&gt;=eco))/eco)^n)*((($AM10+$AN10*Mesh_Y+$AO10*Mesh_X))&gt;0),Mesh_A,Mesh_Y)+SUMPRODUCT((Es*(($AM10+$AN10*Geometry!$E$42:$E$59+$AO10*Geometry!$D$42:$D$59))*(ABS(Es*(($AM10+$AN10*Geometry!$E$42:$E$59+$AO10*Geometry!$D$42:$D$59)))&lt;=fy)+fy*(Es*(($AM10+$AN10*Geometry!$E$42:$E$59+$AO10*Geometry!$D$42:$D$59))&gt;fy)-fy*(Es*(($AM10+$AN10*Geometry!$E$42:$E$59+$AO10*Geometry!$D$42:$D$59))&lt;-fy)-(alpha*fck*(1-(1-((($AM10+$AN10*Geometry!$E$42:$E$59+$AO10*Geometry!$D$42:$D$59))*(($AM10+$AN10*Geometry!$E$42:$E$59+$AO10*Geometry!$D$42:$D$59)&gt;0)*(($AM10+$AN10*Geometry!$E$42:$E$59+$AO10*Geometry!$D$42:$D$59)&lt;eco)+eco*(($AM10+$AN10*Geometry!$E$42:$E$59+$AO10*Geometry!$D$42:$D$59)&gt;=eco))/eco)^n)*((($AM10+$AN10*Geometry!$E$42:$E$59+$AO10*Geometry!$D$42:$D$59))&gt;0))),Geometry!$F$42:$F$59,Geometry!$E$42:$E$59))/1000000</f>
      </c>
      <c r="CP10" s="32">
        <f>(SUMPRODUCT(alpha*fck*(1-(1-((($AP10+$AQ10*Mesh_Y+$AR10*Mesh_X))*(($AP10+$AQ10*Mesh_Y+$AR10*Mesh_X)&gt;0)*(($AP10+$AQ10*Mesh_Y+$AR10*Mesh_X)&lt;eco)+eco*(($AP10+$AQ10*Mesh_Y+$AR10*Mesh_X)&gt;=eco))/eco)^n)*((($AP10+$AQ10*Mesh_Y+$AR10*Mesh_X))&gt;0),Mesh_A,Mesh_Y)+SUMPRODUCT((Es*(($AP10+$AQ10*Geometry!$E$42:$E$59+$AR10*Geometry!$D$42:$D$59))*(ABS(Es*(($AP10+$AQ10*Geometry!$E$42:$E$59+$AR10*Geometry!$D$42:$D$59)))&lt;=fy)+fy*(Es*(($AP10+$AQ10*Geometry!$E$42:$E$59+$AR10*Geometry!$D$42:$D$59))&gt;fy)-fy*(Es*(($AP10+$AQ10*Geometry!$E$42:$E$59+$AR10*Geometry!$D$42:$D$59))&lt;-fy)-(alpha*fck*(1-(1-((($AP10+$AQ10*Geometry!$E$42:$E$59+$AR10*Geometry!$D$42:$D$59))*(($AP10+$AQ10*Geometry!$E$42:$E$59+$AR10*Geometry!$D$42:$D$59)&gt;0)*(($AP10+$AQ10*Geometry!$E$42:$E$59+$AR10*Geometry!$D$42:$D$59)&lt;eco)+eco*(($AP10+$AQ10*Geometry!$E$42:$E$59+$AR10*Geometry!$D$42:$D$59)&gt;=eco))/eco)^n)*((($AP10+$AQ10*Geometry!$E$42:$E$59+$AR10*Geometry!$D$42:$D$59))&gt;0))),Geometry!$F$42:$F$59,Geometry!$E$42:$E$59))/1000000</f>
      </c>
      <c r="CQ10" s="32">
        <f>(SUMPRODUCT(alpha*fck*(1-(1-((($AS10+$AT10*Mesh_Y+$AU10*Mesh_X))*(($AS10+$AT10*Mesh_Y+$AU10*Mesh_X)&gt;0)*(($AS10+$AT10*Mesh_Y+$AU10*Mesh_X)&lt;eco)+eco*(($AS10+$AT10*Mesh_Y+$AU10*Mesh_X)&gt;=eco))/eco)^n)*((($AS10+$AT10*Mesh_Y+$AU10*Mesh_X))&gt;0),Mesh_A,Mesh_Y)+SUMPRODUCT((Es*(($AS10+$AT10*Geometry!$E$42:$E$59+$AU10*Geometry!$D$42:$D$59))*(ABS(Es*(($AS10+$AT10*Geometry!$E$42:$E$59+$AU10*Geometry!$D$42:$D$59)))&lt;=fy)+fy*(Es*(($AS10+$AT10*Geometry!$E$42:$E$59+$AU10*Geometry!$D$42:$D$59))&gt;fy)-fy*(Es*(($AS10+$AT10*Geometry!$E$42:$E$59+$AU10*Geometry!$D$42:$D$59))&lt;-fy)-(alpha*fck*(1-(1-((($AS10+$AT10*Geometry!$E$42:$E$59+$AU10*Geometry!$D$42:$D$59))*(($AS10+$AT10*Geometry!$E$42:$E$59+$AU10*Geometry!$D$42:$D$59)&gt;0)*(($AS10+$AT10*Geometry!$E$42:$E$59+$AU10*Geometry!$D$42:$D$59)&lt;eco)+eco*(($AS10+$AT10*Geometry!$E$42:$E$59+$AU10*Geometry!$D$42:$D$59)&gt;=eco))/eco)^n)*((($AS10+$AT10*Geometry!$E$42:$E$59+$AU10*Geometry!$D$42:$D$59))&gt;0))),Geometry!$F$42:$F$59,Geometry!$E$42:$E$59))/1000000</f>
      </c>
      <c r="CR10" s="32">
        <f>(SUMPRODUCT(alpha*fck*(1-(1-((($AV10+$AW10*Mesh_Y+$AX10*Mesh_X))*(($AV10+$AW10*Mesh_Y+$AX10*Mesh_X)&gt;0)*(($AV10+$AW10*Mesh_Y+$AX10*Mesh_X)&lt;eco)+eco*(($AV10+$AW10*Mesh_Y+$AX10*Mesh_X)&gt;=eco))/eco)^n)*((($AV10+$AW10*Mesh_Y+$AX10*Mesh_X))&gt;0),Mesh_A,Mesh_Y)+SUMPRODUCT((Es*(($AV10+$AW10*Geometry!$E$42:$E$59+$AX10*Geometry!$D$42:$D$59))*(ABS(Es*(($AV10+$AW10*Geometry!$E$42:$E$59+$AX10*Geometry!$D$42:$D$59)))&lt;=fy)+fy*(Es*(($AV10+$AW10*Geometry!$E$42:$E$59+$AX10*Geometry!$D$42:$D$59))&gt;fy)-fy*(Es*(($AV10+$AW10*Geometry!$E$42:$E$59+$AX10*Geometry!$D$42:$D$59))&lt;-fy)-(alpha*fck*(1-(1-((($AV10+$AW10*Geometry!$E$42:$E$59+$AX10*Geometry!$D$42:$D$59))*(($AV10+$AW10*Geometry!$E$42:$E$59+$AX10*Geometry!$D$42:$D$59)&gt;0)*(($AV10+$AW10*Geometry!$E$42:$E$59+$AX10*Geometry!$D$42:$D$59)&lt;eco)+eco*(($AV10+$AW10*Geometry!$E$42:$E$59+$AX10*Geometry!$D$42:$D$59)&gt;=eco))/eco)^n)*((($AV10+$AW10*Geometry!$E$42:$E$59+$AX10*Geometry!$D$42:$D$59))&gt;0))),Geometry!$F$42:$F$59,Geometry!$E$42:$E$59))/1000000</f>
      </c>
      <c r="CS10" s="32">
        <f>(SUMPRODUCT(alpha*fck*(1-(1-((($AY10+$AZ10*Mesh_Y+$BA10*Mesh_X))*(($AY10+$AZ10*Mesh_Y+$BA10*Mesh_X)&gt;0)*(($AY10+$AZ10*Mesh_Y+$BA10*Mesh_X)&lt;eco)+eco*(($AY10+$AZ10*Mesh_Y+$BA10*Mesh_X)&gt;=eco))/eco)^n)*((($AY10+$AZ10*Mesh_Y+$BA10*Mesh_X))&gt;0),Mesh_A,Mesh_Y)+SUMPRODUCT((Es*(($AY10+$AZ10*Geometry!$E$42:$E$59+$BA10*Geometry!$D$42:$D$59))*(ABS(Es*(($AY10+$AZ10*Geometry!$E$42:$E$59+$BA10*Geometry!$D$42:$D$59)))&lt;=fy)+fy*(Es*(($AY10+$AZ10*Geometry!$E$42:$E$59+$BA10*Geometry!$D$42:$D$59))&gt;fy)-fy*(Es*(($AY10+$AZ10*Geometry!$E$42:$E$59+$BA10*Geometry!$D$42:$D$59))&lt;-fy)-(alpha*fck*(1-(1-((($AY10+$AZ10*Geometry!$E$42:$E$59+$BA10*Geometry!$D$42:$D$59))*(($AY10+$AZ10*Geometry!$E$42:$E$59+$BA10*Geometry!$D$42:$D$59)&gt;0)*(($AY10+$AZ10*Geometry!$E$42:$E$59+$BA10*Geometry!$D$42:$D$59)&lt;eco)+eco*(($AY10+$AZ10*Geometry!$E$42:$E$59+$BA10*Geometry!$D$42:$D$59)&gt;=eco))/eco)^n)*((($AY10+$AZ10*Geometry!$E$42:$E$59+$BA10*Geometry!$D$42:$D$59))&gt;0))),Geometry!$F$42:$F$59,Geometry!$E$42:$E$59))/1000000</f>
      </c>
      <c r="CT10" s="32">
        <f>(SUMPRODUCT(alpha*fck*(1-(1-((($BB10+$BC10*Mesh_Y+$BD10*Mesh_X))*(($BB10+$BC10*Mesh_Y+$BD10*Mesh_X)&gt;0)*(($BB10+$BC10*Mesh_Y+$BD10*Mesh_X)&lt;eco)+eco*(($BB10+$BC10*Mesh_Y+$BD10*Mesh_X)&gt;=eco))/eco)^n)*((($BB10+$BC10*Mesh_Y+$BD10*Mesh_X))&gt;0),Mesh_A,Mesh_Y)+SUMPRODUCT((Es*(($BB10+$BC10*Geometry!$E$42:$E$59+$BD10*Geometry!$D$42:$D$59))*(ABS(Es*(($BB10+$BC10*Geometry!$E$42:$E$59+$BD10*Geometry!$D$42:$D$59)))&lt;=fy)+fy*(Es*(($BB10+$BC10*Geometry!$E$42:$E$59+$BD10*Geometry!$D$42:$D$59))&gt;fy)-fy*(Es*(($BB10+$BC10*Geometry!$E$42:$E$59+$BD10*Geometry!$D$42:$D$59))&lt;-fy)-(alpha*fck*(1-(1-((($BB10+$BC10*Geometry!$E$42:$E$59+$BD10*Geometry!$D$42:$D$59))*(($BB10+$BC10*Geometry!$E$42:$E$59+$BD10*Geometry!$D$42:$D$59)&gt;0)*(($BB10+$BC10*Geometry!$E$42:$E$59+$BD10*Geometry!$D$42:$D$59)&lt;eco)+eco*(($BB10+$BC10*Geometry!$E$42:$E$59+$BD10*Geometry!$D$42:$D$59)&gt;=eco))/eco)^n)*((($BB10+$BC10*Geometry!$E$42:$E$59+$BD10*Geometry!$D$42:$D$59))&gt;0))),Geometry!$F$42:$F$59,Geometry!$E$42:$E$59))/1000000</f>
      </c>
      <c r="CU10" s="32">
        <f>(SUMPRODUCT(alpha*fck*(1-(1-((($BE10+$BF10*Mesh_Y+$BG10*Mesh_X))*(($BE10+$BF10*Mesh_Y+$BG10*Mesh_X)&gt;0)*(($BE10+$BF10*Mesh_Y+$BG10*Mesh_X)&lt;eco)+eco*(($BE10+$BF10*Mesh_Y+$BG10*Mesh_X)&gt;=eco))/eco)^n)*((($BE10+$BF10*Mesh_Y+$BG10*Mesh_X))&gt;0),Mesh_A,Mesh_Y)+SUMPRODUCT((Es*(($BE10+$BF10*Geometry!$E$42:$E$59+$BG10*Geometry!$D$42:$D$59))*(ABS(Es*(($BE10+$BF10*Geometry!$E$42:$E$59+$BG10*Geometry!$D$42:$D$59)))&lt;=fy)+fy*(Es*(($BE10+$BF10*Geometry!$E$42:$E$59+$BG10*Geometry!$D$42:$D$59))&gt;fy)-fy*(Es*(($BE10+$BF10*Geometry!$E$42:$E$59+$BG10*Geometry!$D$42:$D$59))&lt;-fy)-(alpha*fck*(1-(1-((($BE10+$BF10*Geometry!$E$42:$E$59+$BG10*Geometry!$D$42:$D$59))*(($BE10+$BF10*Geometry!$E$42:$E$59+$BG10*Geometry!$D$42:$D$59)&gt;0)*(($BE10+$BF10*Geometry!$E$42:$E$59+$BG10*Geometry!$D$42:$D$59)&lt;eco)+eco*(($BE10+$BF10*Geometry!$E$42:$E$59+$BG10*Geometry!$D$42:$D$59)&gt;=eco))/eco)^n)*((($BE10+$BF10*Geometry!$E$42:$E$59+$BG10*Geometry!$D$42:$D$59))&gt;0))),Geometry!$F$42:$F$59,Geometry!$E$42:$E$59))/1000000</f>
      </c>
      <c r="CV10" s="32">
        <f>(SUMPRODUCT(alpha*fck*(1-(1-((($BH10+$BI10*Mesh_Y+$BJ10*Mesh_X))*(($BH10+$BI10*Mesh_Y+$BJ10*Mesh_X)&gt;0)*(($BH10+$BI10*Mesh_Y+$BJ10*Mesh_X)&lt;eco)+eco*(($BH10+$BI10*Mesh_Y+$BJ10*Mesh_X)&gt;=eco))/eco)^n)*((($BH10+$BI10*Mesh_Y+$BJ10*Mesh_X))&gt;0),Mesh_A,Mesh_Y)+SUMPRODUCT((Es*(($BH10+$BI10*Geometry!$E$42:$E$59+$BJ10*Geometry!$D$42:$D$59))*(ABS(Es*(($BH10+$BI10*Geometry!$E$42:$E$59+$BJ10*Geometry!$D$42:$D$59)))&lt;=fy)+fy*(Es*(($BH10+$BI10*Geometry!$E$42:$E$59+$BJ10*Geometry!$D$42:$D$59))&gt;fy)-fy*(Es*(($BH10+$BI10*Geometry!$E$42:$E$59+$BJ10*Geometry!$D$42:$D$59))&lt;-fy)-(alpha*fck*(1-(1-((($BH10+$BI10*Geometry!$E$42:$E$59+$BJ10*Geometry!$D$42:$D$59))*(($BH10+$BI10*Geometry!$E$42:$E$59+$BJ10*Geometry!$D$42:$D$59)&gt;0)*(($BH10+$BI10*Geometry!$E$42:$E$59+$BJ10*Geometry!$D$42:$D$59)&lt;eco)+eco*(($BH10+$BI10*Geometry!$E$42:$E$59+$BJ10*Geometry!$D$42:$D$59)&gt;=eco))/eco)^n)*((($BH10+$BI10*Geometry!$E$42:$E$59+$BJ10*Geometry!$D$42:$D$59))&gt;0))),Geometry!$F$42:$F$59,Geometry!$E$42:$E$59))/1000000</f>
      </c>
      <c r="CW10" s="32">
        <f>(SUMPRODUCT(alpha*fck*(1-(1-((($F10+$G10*Mesh_Y+$H10*Mesh_X))*(($F10+$G10*Mesh_Y+$H10*Mesh_X)&gt;0)*(($F10+$G10*Mesh_Y+$H10*Mesh_X)&lt;eco)+eco*(($F10+$G10*Mesh_Y+$H10*Mesh_X)&gt;=eco))/eco)^n)*((($F10+$G10*Mesh_Y+$H10*Mesh_X))&gt;0),Mesh_A,Mesh_X)+SUMPRODUCT((Es*(($F10+$G10*Geometry!$E$42:$E$59+$H10*Geometry!$D$42:$D$59))*(ABS(Es*(($F10+$G10*Geometry!$E$42:$E$59+$H10*Geometry!$D$42:$D$59)))&lt;=fy)+fy*(Es*(($F10+$G10*Geometry!$E$42:$E$59+$H10*Geometry!$D$42:$D$59))&gt;fy)-fy*(Es*(($F10+$G10*Geometry!$E$42:$E$59+$H10*Geometry!$D$42:$D$59))&lt;-fy)-(alpha*fck*(1-(1-((($F10+$G10*Geometry!$E$42:$E$59+$H10*Geometry!$D$42:$D$59))*(($F10+$G10*Geometry!$E$42:$E$59+$H10*Geometry!$D$42:$D$59)&gt;0)*(($F10+$G10*Geometry!$E$42:$E$59+$H10*Geometry!$D$42:$D$59)&lt;eco)+eco*(($F10+$G10*Geometry!$E$42:$E$59+$H10*Geometry!$D$42:$D$59)&gt;=eco))/eco)^n)*((($F10+$G10*Geometry!$E$42:$E$59+$H10*Geometry!$D$42:$D$59))&gt;0))),Geometry!$F$42:$F$59,Geometry!$D$42:$D$59))/1000000</f>
      </c>
      <c r="CX10" s="32">
        <f>(SUMPRODUCT(alpha*fck*(1-(1-((($I10+$J10*Mesh_Y+$K10*Mesh_X))*(($I10+$J10*Mesh_Y+$K10*Mesh_X)&gt;0)*(($I10+$J10*Mesh_Y+$K10*Mesh_X)&lt;eco)+eco*(($I10+$J10*Mesh_Y+$K10*Mesh_X)&gt;=eco))/eco)^n)*((($I10+$J10*Mesh_Y+$K10*Mesh_X))&gt;0),Mesh_A,Mesh_X)+SUMPRODUCT((Es*(($I10+$J10*Geometry!$E$42:$E$59+$K10*Geometry!$D$42:$D$59))*(ABS(Es*(($I10+$J10*Geometry!$E$42:$E$59+$K10*Geometry!$D$42:$D$59)))&lt;=fy)+fy*(Es*(($I10+$J10*Geometry!$E$42:$E$59+$K10*Geometry!$D$42:$D$59))&gt;fy)-fy*(Es*(($I10+$J10*Geometry!$E$42:$E$59+$K10*Geometry!$D$42:$D$59))&lt;-fy)-(alpha*fck*(1-(1-((($I10+$J10*Geometry!$E$42:$E$59+$K10*Geometry!$D$42:$D$59))*(($I10+$J10*Geometry!$E$42:$E$59+$K10*Geometry!$D$42:$D$59)&gt;0)*(($I10+$J10*Geometry!$E$42:$E$59+$K10*Geometry!$D$42:$D$59)&lt;eco)+eco*(($I10+$J10*Geometry!$E$42:$E$59+$K10*Geometry!$D$42:$D$59)&gt;=eco))/eco)^n)*((($I10+$J10*Geometry!$E$42:$E$59+$K10*Geometry!$D$42:$D$59))&gt;0))),Geometry!$F$42:$F$59,Geometry!$D$42:$D$59))/1000000</f>
      </c>
      <c r="CY10" s="32">
        <f>(SUMPRODUCT(alpha*fck*(1-(1-((($L10+$M10*Mesh_Y+$N10*Mesh_X))*(($L10+$M10*Mesh_Y+$N10*Mesh_X)&gt;0)*(($L10+$M10*Mesh_Y+$N10*Mesh_X)&lt;eco)+eco*(($L10+$M10*Mesh_Y+$N10*Mesh_X)&gt;=eco))/eco)^n)*((($L10+$M10*Mesh_Y+$N10*Mesh_X))&gt;0),Mesh_A,Mesh_X)+SUMPRODUCT((Es*(($L10+$M10*Geometry!$E$42:$E$59+$N10*Geometry!$D$42:$D$59))*(ABS(Es*(($L10+$M10*Geometry!$E$42:$E$59+$N10*Geometry!$D$42:$D$59)))&lt;=fy)+fy*(Es*(($L10+$M10*Geometry!$E$42:$E$59+$N10*Geometry!$D$42:$D$59))&gt;fy)-fy*(Es*(($L10+$M10*Geometry!$E$42:$E$59+$N10*Geometry!$D$42:$D$59))&lt;-fy)-(alpha*fck*(1-(1-((($L10+$M10*Geometry!$E$42:$E$59+$N10*Geometry!$D$42:$D$59))*(($L10+$M10*Geometry!$E$42:$E$59+$N10*Geometry!$D$42:$D$59)&gt;0)*(($L10+$M10*Geometry!$E$42:$E$59+$N10*Geometry!$D$42:$D$59)&lt;eco)+eco*(($L10+$M10*Geometry!$E$42:$E$59+$N10*Geometry!$D$42:$D$59)&gt;=eco))/eco)^n)*((($L10+$M10*Geometry!$E$42:$E$59+$N10*Geometry!$D$42:$D$59))&gt;0))),Geometry!$F$42:$F$59,Geometry!$D$42:$D$59))/1000000</f>
      </c>
      <c r="CZ10" s="32">
        <f>(SUMPRODUCT(alpha*fck*(1-(1-((($O10+$P10*Mesh_Y+$Q10*Mesh_X))*(($O10+$P10*Mesh_Y+$Q10*Mesh_X)&gt;0)*(($O10+$P10*Mesh_Y+$Q10*Mesh_X)&lt;eco)+eco*(($O10+$P10*Mesh_Y+$Q10*Mesh_X)&gt;=eco))/eco)^n)*((($O10+$P10*Mesh_Y+$Q10*Mesh_X))&gt;0),Mesh_A,Mesh_X)+SUMPRODUCT((Es*(($O10+$P10*Geometry!$E$42:$E$59+$Q10*Geometry!$D$42:$D$59))*(ABS(Es*(($O10+$P10*Geometry!$E$42:$E$59+$Q10*Geometry!$D$42:$D$59)))&lt;=fy)+fy*(Es*(($O10+$P10*Geometry!$E$42:$E$59+$Q10*Geometry!$D$42:$D$59))&gt;fy)-fy*(Es*(($O10+$P10*Geometry!$E$42:$E$59+$Q10*Geometry!$D$42:$D$59))&lt;-fy)-(alpha*fck*(1-(1-((($O10+$P10*Geometry!$E$42:$E$59+$Q10*Geometry!$D$42:$D$59))*(($O10+$P10*Geometry!$E$42:$E$59+$Q10*Geometry!$D$42:$D$59)&gt;0)*(($O10+$P10*Geometry!$E$42:$E$59+$Q10*Geometry!$D$42:$D$59)&lt;eco)+eco*(($O10+$P10*Geometry!$E$42:$E$59+$Q10*Geometry!$D$42:$D$59)&gt;=eco))/eco)^n)*((($O10+$P10*Geometry!$E$42:$E$59+$Q10*Geometry!$D$42:$D$59))&gt;0))),Geometry!$F$42:$F$59,Geometry!$D$42:$D$59))/1000000</f>
      </c>
      <c r="DA10" s="32">
        <f>(SUMPRODUCT(alpha*fck*(1-(1-((($R10+$S10*Mesh_Y+$T10*Mesh_X))*(($R10+$S10*Mesh_Y+$T10*Mesh_X)&gt;0)*(($R10+$S10*Mesh_Y+$T10*Mesh_X)&lt;eco)+eco*(($R10+$S10*Mesh_Y+$T10*Mesh_X)&gt;=eco))/eco)^n)*((($R10+$S10*Mesh_Y+$T10*Mesh_X))&gt;0),Mesh_A,Mesh_X)+SUMPRODUCT((Es*(($R10+$S10*Geometry!$E$42:$E$59+$T10*Geometry!$D$42:$D$59))*(ABS(Es*(($R10+$S10*Geometry!$E$42:$E$59+$T10*Geometry!$D$42:$D$59)))&lt;=fy)+fy*(Es*(($R10+$S10*Geometry!$E$42:$E$59+$T10*Geometry!$D$42:$D$59))&gt;fy)-fy*(Es*(($R10+$S10*Geometry!$E$42:$E$59+$T10*Geometry!$D$42:$D$59))&lt;-fy)-(alpha*fck*(1-(1-((($R10+$S10*Geometry!$E$42:$E$59+$T10*Geometry!$D$42:$D$59))*(($R10+$S10*Geometry!$E$42:$E$59+$T10*Geometry!$D$42:$D$59)&gt;0)*(($R10+$S10*Geometry!$E$42:$E$59+$T10*Geometry!$D$42:$D$59)&lt;eco)+eco*(($R10+$S10*Geometry!$E$42:$E$59+$T10*Geometry!$D$42:$D$59)&gt;=eco))/eco)^n)*((($R10+$S10*Geometry!$E$42:$E$59+$T10*Geometry!$D$42:$D$59))&gt;0))),Geometry!$F$42:$F$59,Geometry!$D$42:$D$59))/1000000</f>
      </c>
      <c r="DB10" s="32">
        <f>(SUMPRODUCT(alpha*fck*(1-(1-((($U10+$V10*Mesh_Y+$W10*Mesh_X))*(($U10+$V10*Mesh_Y+$W10*Mesh_X)&gt;0)*(($U10+$V10*Mesh_Y+$W10*Mesh_X)&lt;eco)+eco*(($U10+$V10*Mesh_Y+$W10*Mesh_X)&gt;=eco))/eco)^n)*((($U10+$V10*Mesh_Y+$W10*Mesh_X))&gt;0),Mesh_A,Mesh_X)+SUMPRODUCT((Es*(($U10+$V10*Geometry!$E$42:$E$59+$W10*Geometry!$D$42:$D$59))*(ABS(Es*(($U10+$V10*Geometry!$E$42:$E$59+$W10*Geometry!$D$42:$D$59)))&lt;=fy)+fy*(Es*(($U10+$V10*Geometry!$E$42:$E$59+$W10*Geometry!$D$42:$D$59))&gt;fy)-fy*(Es*(($U10+$V10*Geometry!$E$42:$E$59+$W10*Geometry!$D$42:$D$59))&lt;-fy)-(alpha*fck*(1-(1-((($U10+$V10*Geometry!$E$42:$E$59+$W10*Geometry!$D$42:$D$59))*(($U10+$V10*Geometry!$E$42:$E$59+$W10*Geometry!$D$42:$D$59)&gt;0)*(($U10+$V10*Geometry!$E$42:$E$59+$W10*Geometry!$D$42:$D$59)&lt;eco)+eco*(($U10+$V10*Geometry!$E$42:$E$59+$W10*Geometry!$D$42:$D$59)&gt;=eco))/eco)^n)*((($U10+$V10*Geometry!$E$42:$E$59+$W10*Geometry!$D$42:$D$59))&gt;0))),Geometry!$F$42:$F$59,Geometry!$D$42:$D$59))/1000000</f>
      </c>
      <c r="DC10" s="32">
        <f>(SUMPRODUCT(alpha*fck*(1-(1-((($X10+$Y10*Mesh_Y+$Z10*Mesh_X))*(($X10+$Y10*Mesh_Y+$Z10*Mesh_X)&gt;0)*(($X10+$Y10*Mesh_Y+$Z10*Mesh_X)&lt;eco)+eco*(($X10+$Y10*Mesh_Y+$Z10*Mesh_X)&gt;=eco))/eco)^n)*((($X10+$Y10*Mesh_Y+$Z10*Mesh_X))&gt;0),Mesh_A,Mesh_X)+SUMPRODUCT((Es*(($X10+$Y10*Geometry!$E$42:$E$59+$Z10*Geometry!$D$42:$D$59))*(ABS(Es*(($X10+$Y10*Geometry!$E$42:$E$59+$Z10*Geometry!$D$42:$D$59)))&lt;=fy)+fy*(Es*(($X10+$Y10*Geometry!$E$42:$E$59+$Z10*Geometry!$D$42:$D$59))&gt;fy)-fy*(Es*(($X10+$Y10*Geometry!$E$42:$E$59+$Z10*Geometry!$D$42:$D$59))&lt;-fy)-(alpha*fck*(1-(1-((($X10+$Y10*Geometry!$E$42:$E$59+$Z10*Geometry!$D$42:$D$59))*(($X10+$Y10*Geometry!$E$42:$E$59+$Z10*Geometry!$D$42:$D$59)&gt;0)*(($X10+$Y10*Geometry!$E$42:$E$59+$Z10*Geometry!$D$42:$D$59)&lt;eco)+eco*(($X10+$Y10*Geometry!$E$42:$E$59+$Z10*Geometry!$D$42:$D$59)&gt;=eco))/eco)^n)*((($X10+$Y10*Geometry!$E$42:$E$59+$Z10*Geometry!$D$42:$D$59))&gt;0))),Geometry!$F$42:$F$59,Geometry!$D$42:$D$59))/1000000</f>
      </c>
      <c r="DD10" s="32">
        <f>(SUMPRODUCT(alpha*fck*(1-(1-((($AA10+$AB10*Mesh_Y+$AC10*Mesh_X))*(($AA10+$AB10*Mesh_Y+$AC10*Mesh_X)&gt;0)*(($AA10+$AB10*Mesh_Y+$AC10*Mesh_X)&lt;eco)+eco*(($AA10+$AB10*Mesh_Y+$AC10*Mesh_X)&gt;=eco))/eco)^n)*((($AA10+$AB10*Mesh_Y+$AC10*Mesh_X))&gt;0),Mesh_A,Mesh_X)+SUMPRODUCT((Es*(($AA10+$AB10*Geometry!$E$42:$E$59+$AC10*Geometry!$D$42:$D$59))*(ABS(Es*(($AA10+$AB10*Geometry!$E$42:$E$59+$AC10*Geometry!$D$42:$D$59)))&lt;=fy)+fy*(Es*(($AA10+$AB10*Geometry!$E$42:$E$59+$AC10*Geometry!$D$42:$D$59))&gt;fy)-fy*(Es*(($AA10+$AB10*Geometry!$E$42:$E$59+$AC10*Geometry!$D$42:$D$59))&lt;-fy)-(alpha*fck*(1-(1-((($AA10+$AB10*Geometry!$E$42:$E$59+$AC10*Geometry!$D$42:$D$59))*(($AA10+$AB10*Geometry!$E$42:$E$59+$AC10*Geometry!$D$42:$D$59)&gt;0)*(($AA10+$AB10*Geometry!$E$42:$E$59+$AC10*Geometry!$D$42:$D$59)&lt;eco)+eco*(($AA10+$AB10*Geometry!$E$42:$E$59+$AC10*Geometry!$D$42:$D$59)&gt;=eco))/eco)^n)*((($AA10+$AB10*Geometry!$E$42:$E$59+$AC10*Geometry!$D$42:$D$59))&gt;0))),Geometry!$F$42:$F$59,Geometry!$D$42:$D$59))/1000000</f>
      </c>
      <c r="DE10" s="32">
        <f>(SUMPRODUCT(alpha*fck*(1-(1-((($AD10+$AE10*Mesh_Y+$AF10*Mesh_X))*(($AD10+$AE10*Mesh_Y+$AF10*Mesh_X)&gt;0)*(($AD10+$AE10*Mesh_Y+$AF10*Mesh_X)&lt;eco)+eco*(($AD10+$AE10*Mesh_Y+$AF10*Mesh_X)&gt;=eco))/eco)^n)*((($AD10+$AE10*Mesh_Y+$AF10*Mesh_X))&gt;0),Mesh_A,Mesh_X)+SUMPRODUCT((Es*(($AD10+$AE10*Geometry!$E$42:$E$59+$AF10*Geometry!$D$42:$D$59))*(ABS(Es*(($AD10+$AE10*Geometry!$E$42:$E$59+$AF10*Geometry!$D$42:$D$59)))&lt;=fy)+fy*(Es*(($AD10+$AE10*Geometry!$E$42:$E$59+$AF10*Geometry!$D$42:$D$59))&gt;fy)-fy*(Es*(($AD10+$AE10*Geometry!$E$42:$E$59+$AF10*Geometry!$D$42:$D$59))&lt;-fy)-(alpha*fck*(1-(1-((($AD10+$AE10*Geometry!$E$42:$E$59+$AF10*Geometry!$D$42:$D$59))*(($AD10+$AE10*Geometry!$E$42:$E$59+$AF10*Geometry!$D$42:$D$59)&gt;0)*(($AD10+$AE10*Geometry!$E$42:$E$59+$AF10*Geometry!$D$42:$D$59)&lt;eco)+eco*(($AD10+$AE10*Geometry!$E$42:$E$59+$AF10*Geometry!$D$42:$D$59)&gt;=eco))/eco)^n)*((($AD10+$AE10*Geometry!$E$42:$E$59+$AF10*Geometry!$D$42:$D$59))&gt;0))),Geometry!$F$42:$F$59,Geometry!$D$42:$D$59))/1000000</f>
      </c>
      <c r="DF10" s="32">
        <f>(SUMPRODUCT(alpha*fck*(1-(1-((($AG10+$AH10*Mesh_Y+$AI10*Mesh_X))*(($AG10+$AH10*Mesh_Y+$AI10*Mesh_X)&gt;0)*(($AG10+$AH10*Mesh_Y+$AI10*Mesh_X)&lt;eco)+eco*(($AG10+$AH10*Mesh_Y+$AI10*Mesh_X)&gt;=eco))/eco)^n)*((($AG10+$AH10*Mesh_Y+$AI10*Mesh_X))&gt;0),Mesh_A,Mesh_X)+SUMPRODUCT((Es*(($AG10+$AH10*Geometry!$E$42:$E$59+$AI10*Geometry!$D$42:$D$59))*(ABS(Es*(($AG10+$AH10*Geometry!$E$42:$E$59+$AI10*Geometry!$D$42:$D$59)))&lt;=fy)+fy*(Es*(($AG10+$AH10*Geometry!$E$42:$E$59+$AI10*Geometry!$D$42:$D$59))&gt;fy)-fy*(Es*(($AG10+$AH10*Geometry!$E$42:$E$59+$AI10*Geometry!$D$42:$D$59))&lt;-fy)-(alpha*fck*(1-(1-((($AG10+$AH10*Geometry!$E$42:$E$59+$AI10*Geometry!$D$42:$D$59))*(($AG10+$AH10*Geometry!$E$42:$E$59+$AI10*Geometry!$D$42:$D$59)&gt;0)*(($AG10+$AH10*Geometry!$E$42:$E$59+$AI10*Geometry!$D$42:$D$59)&lt;eco)+eco*(($AG10+$AH10*Geometry!$E$42:$E$59+$AI10*Geometry!$D$42:$D$59)&gt;=eco))/eco)^n)*((($AG10+$AH10*Geometry!$E$42:$E$59+$AI10*Geometry!$D$42:$D$59))&gt;0))),Geometry!$F$42:$F$59,Geometry!$D$42:$D$59))/1000000</f>
      </c>
      <c r="DG10" s="32">
        <f>(SUMPRODUCT(alpha*fck*(1-(1-((($AJ10+$AK10*Mesh_Y+$AL10*Mesh_X))*(($AJ10+$AK10*Mesh_Y+$AL10*Mesh_X)&gt;0)*(($AJ10+$AK10*Mesh_Y+$AL10*Mesh_X)&lt;eco)+eco*(($AJ10+$AK10*Mesh_Y+$AL10*Mesh_X)&gt;=eco))/eco)^n)*((($AJ10+$AK10*Mesh_Y+$AL10*Mesh_X))&gt;0),Mesh_A,Mesh_X)+SUMPRODUCT((Es*(($AJ10+$AK10*Geometry!$E$42:$E$59+$AL10*Geometry!$D$42:$D$59))*(ABS(Es*(($AJ10+$AK10*Geometry!$E$42:$E$59+$AL10*Geometry!$D$42:$D$59)))&lt;=fy)+fy*(Es*(($AJ10+$AK10*Geometry!$E$42:$E$59+$AL10*Geometry!$D$42:$D$59))&gt;fy)-fy*(Es*(($AJ10+$AK10*Geometry!$E$42:$E$59+$AL10*Geometry!$D$42:$D$59))&lt;-fy)-(alpha*fck*(1-(1-((($AJ10+$AK10*Geometry!$E$42:$E$59+$AL10*Geometry!$D$42:$D$59))*(($AJ10+$AK10*Geometry!$E$42:$E$59+$AL10*Geometry!$D$42:$D$59)&gt;0)*(($AJ10+$AK10*Geometry!$E$42:$E$59+$AL10*Geometry!$D$42:$D$59)&lt;eco)+eco*(($AJ10+$AK10*Geometry!$E$42:$E$59+$AL10*Geometry!$D$42:$D$59)&gt;=eco))/eco)^n)*((($AJ10+$AK10*Geometry!$E$42:$E$59+$AL10*Geometry!$D$42:$D$59))&gt;0))),Geometry!$F$42:$F$59,Geometry!$D$42:$D$59))/1000000</f>
      </c>
      <c r="DH10" s="32">
        <f>(SUMPRODUCT(alpha*fck*(1-(1-((($AM10+$AN10*Mesh_Y+$AO10*Mesh_X))*(($AM10+$AN10*Mesh_Y+$AO10*Mesh_X)&gt;0)*(($AM10+$AN10*Mesh_Y+$AO10*Mesh_X)&lt;eco)+eco*(($AM10+$AN10*Mesh_Y+$AO10*Mesh_X)&gt;=eco))/eco)^n)*((($AM10+$AN10*Mesh_Y+$AO10*Mesh_X))&gt;0),Mesh_A,Mesh_X)+SUMPRODUCT((Es*(($AM10+$AN10*Geometry!$E$42:$E$59+$AO10*Geometry!$D$42:$D$59))*(ABS(Es*(($AM10+$AN10*Geometry!$E$42:$E$59+$AO10*Geometry!$D$42:$D$59)))&lt;=fy)+fy*(Es*(($AM10+$AN10*Geometry!$E$42:$E$59+$AO10*Geometry!$D$42:$D$59))&gt;fy)-fy*(Es*(($AM10+$AN10*Geometry!$E$42:$E$59+$AO10*Geometry!$D$42:$D$59))&lt;-fy)-(alpha*fck*(1-(1-((($AM10+$AN10*Geometry!$E$42:$E$59+$AO10*Geometry!$D$42:$D$59))*(($AM10+$AN10*Geometry!$E$42:$E$59+$AO10*Geometry!$D$42:$D$59)&gt;0)*(($AM10+$AN10*Geometry!$E$42:$E$59+$AO10*Geometry!$D$42:$D$59)&lt;eco)+eco*(($AM10+$AN10*Geometry!$E$42:$E$59+$AO10*Geometry!$D$42:$D$59)&gt;=eco))/eco)^n)*((($AM10+$AN10*Geometry!$E$42:$E$59+$AO10*Geometry!$D$42:$D$59))&gt;0))),Geometry!$F$42:$F$59,Geometry!$D$42:$D$59))/1000000</f>
      </c>
      <c r="DI10" s="32">
        <f>(SUMPRODUCT(alpha*fck*(1-(1-((($AP10+$AQ10*Mesh_Y+$AR10*Mesh_X))*(($AP10+$AQ10*Mesh_Y+$AR10*Mesh_X)&gt;0)*(($AP10+$AQ10*Mesh_Y+$AR10*Mesh_X)&lt;eco)+eco*(($AP10+$AQ10*Mesh_Y+$AR10*Mesh_X)&gt;=eco))/eco)^n)*((($AP10+$AQ10*Mesh_Y+$AR10*Mesh_X))&gt;0),Mesh_A,Mesh_X)+SUMPRODUCT((Es*(($AP10+$AQ10*Geometry!$E$42:$E$59+$AR10*Geometry!$D$42:$D$59))*(ABS(Es*(($AP10+$AQ10*Geometry!$E$42:$E$59+$AR10*Geometry!$D$42:$D$59)))&lt;=fy)+fy*(Es*(($AP10+$AQ10*Geometry!$E$42:$E$59+$AR10*Geometry!$D$42:$D$59))&gt;fy)-fy*(Es*(($AP10+$AQ10*Geometry!$E$42:$E$59+$AR10*Geometry!$D$42:$D$59))&lt;-fy)-(alpha*fck*(1-(1-((($AP10+$AQ10*Geometry!$E$42:$E$59+$AR10*Geometry!$D$42:$D$59))*(($AP10+$AQ10*Geometry!$E$42:$E$59+$AR10*Geometry!$D$42:$D$59)&gt;0)*(($AP10+$AQ10*Geometry!$E$42:$E$59+$AR10*Geometry!$D$42:$D$59)&lt;eco)+eco*(($AP10+$AQ10*Geometry!$E$42:$E$59+$AR10*Geometry!$D$42:$D$59)&gt;=eco))/eco)^n)*((($AP10+$AQ10*Geometry!$E$42:$E$59+$AR10*Geometry!$D$42:$D$59))&gt;0))),Geometry!$F$42:$F$59,Geometry!$D$42:$D$59))/1000000</f>
      </c>
      <c r="DJ10" s="32">
        <f>(SUMPRODUCT(alpha*fck*(1-(1-((($AS10+$AT10*Mesh_Y+$AU10*Mesh_X))*(($AS10+$AT10*Mesh_Y+$AU10*Mesh_X)&gt;0)*(($AS10+$AT10*Mesh_Y+$AU10*Mesh_X)&lt;eco)+eco*(($AS10+$AT10*Mesh_Y+$AU10*Mesh_X)&gt;=eco))/eco)^n)*((($AS10+$AT10*Mesh_Y+$AU10*Mesh_X))&gt;0),Mesh_A,Mesh_X)+SUMPRODUCT((Es*(($AS10+$AT10*Geometry!$E$42:$E$59+$AU10*Geometry!$D$42:$D$59))*(ABS(Es*(($AS10+$AT10*Geometry!$E$42:$E$59+$AU10*Geometry!$D$42:$D$59)))&lt;=fy)+fy*(Es*(($AS10+$AT10*Geometry!$E$42:$E$59+$AU10*Geometry!$D$42:$D$59))&gt;fy)-fy*(Es*(($AS10+$AT10*Geometry!$E$42:$E$59+$AU10*Geometry!$D$42:$D$59))&lt;-fy)-(alpha*fck*(1-(1-((($AS10+$AT10*Geometry!$E$42:$E$59+$AU10*Geometry!$D$42:$D$59))*(($AS10+$AT10*Geometry!$E$42:$E$59+$AU10*Geometry!$D$42:$D$59)&gt;0)*(($AS10+$AT10*Geometry!$E$42:$E$59+$AU10*Geometry!$D$42:$D$59)&lt;eco)+eco*(($AS10+$AT10*Geometry!$E$42:$E$59+$AU10*Geometry!$D$42:$D$59)&gt;=eco))/eco)^n)*((($AS10+$AT10*Geometry!$E$42:$E$59+$AU10*Geometry!$D$42:$D$59))&gt;0))),Geometry!$F$42:$F$59,Geometry!$D$42:$D$59))/1000000</f>
      </c>
      <c r="DK10" s="32">
        <f>(SUMPRODUCT(alpha*fck*(1-(1-((($AV10+$AW10*Mesh_Y+$AX10*Mesh_X))*(($AV10+$AW10*Mesh_Y+$AX10*Mesh_X)&gt;0)*(($AV10+$AW10*Mesh_Y+$AX10*Mesh_X)&lt;eco)+eco*(($AV10+$AW10*Mesh_Y+$AX10*Mesh_X)&gt;=eco))/eco)^n)*((($AV10+$AW10*Mesh_Y+$AX10*Mesh_X))&gt;0),Mesh_A,Mesh_X)+SUMPRODUCT((Es*(($AV10+$AW10*Geometry!$E$42:$E$59+$AX10*Geometry!$D$42:$D$59))*(ABS(Es*(($AV10+$AW10*Geometry!$E$42:$E$59+$AX10*Geometry!$D$42:$D$59)))&lt;=fy)+fy*(Es*(($AV10+$AW10*Geometry!$E$42:$E$59+$AX10*Geometry!$D$42:$D$59))&gt;fy)-fy*(Es*(($AV10+$AW10*Geometry!$E$42:$E$59+$AX10*Geometry!$D$42:$D$59))&lt;-fy)-(alpha*fck*(1-(1-((($AV10+$AW10*Geometry!$E$42:$E$59+$AX10*Geometry!$D$42:$D$59))*(($AV10+$AW10*Geometry!$E$42:$E$59+$AX10*Geometry!$D$42:$D$59)&gt;0)*(($AV10+$AW10*Geometry!$E$42:$E$59+$AX10*Geometry!$D$42:$D$59)&lt;eco)+eco*(($AV10+$AW10*Geometry!$E$42:$E$59+$AX10*Geometry!$D$42:$D$59)&gt;=eco))/eco)^n)*((($AV10+$AW10*Geometry!$E$42:$E$59+$AX10*Geometry!$D$42:$D$59))&gt;0))),Geometry!$F$42:$F$59,Geometry!$D$42:$D$59))/1000000</f>
      </c>
      <c r="DL10" s="32">
        <f>(SUMPRODUCT(alpha*fck*(1-(1-((($AY10+$AZ10*Mesh_Y+$BA10*Mesh_X))*(($AY10+$AZ10*Mesh_Y+$BA10*Mesh_X)&gt;0)*(($AY10+$AZ10*Mesh_Y+$BA10*Mesh_X)&lt;eco)+eco*(($AY10+$AZ10*Mesh_Y+$BA10*Mesh_X)&gt;=eco))/eco)^n)*((($AY10+$AZ10*Mesh_Y+$BA10*Mesh_X))&gt;0),Mesh_A,Mesh_X)+SUMPRODUCT((Es*(($AY10+$AZ10*Geometry!$E$42:$E$59+$BA10*Geometry!$D$42:$D$59))*(ABS(Es*(($AY10+$AZ10*Geometry!$E$42:$E$59+$BA10*Geometry!$D$42:$D$59)))&lt;=fy)+fy*(Es*(($AY10+$AZ10*Geometry!$E$42:$E$59+$BA10*Geometry!$D$42:$D$59))&gt;fy)-fy*(Es*(($AY10+$AZ10*Geometry!$E$42:$E$59+$BA10*Geometry!$D$42:$D$59))&lt;-fy)-(alpha*fck*(1-(1-((($AY10+$AZ10*Geometry!$E$42:$E$59+$BA10*Geometry!$D$42:$D$59))*(($AY10+$AZ10*Geometry!$E$42:$E$59+$BA10*Geometry!$D$42:$D$59)&gt;0)*(($AY10+$AZ10*Geometry!$E$42:$E$59+$BA10*Geometry!$D$42:$D$59)&lt;eco)+eco*(($AY10+$AZ10*Geometry!$E$42:$E$59+$BA10*Geometry!$D$42:$D$59)&gt;=eco))/eco)^n)*((($AY10+$AZ10*Geometry!$E$42:$E$59+$BA10*Geometry!$D$42:$D$59))&gt;0))),Geometry!$F$42:$F$59,Geometry!$D$42:$D$59))/1000000</f>
      </c>
      <c r="DM10" s="32">
        <f>(SUMPRODUCT(alpha*fck*(1-(1-((($BB10+$BC10*Mesh_Y+$BD10*Mesh_X))*(($BB10+$BC10*Mesh_Y+$BD10*Mesh_X)&gt;0)*(($BB10+$BC10*Mesh_Y+$BD10*Mesh_X)&lt;eco)+eco*(($BB10+$BC10*Mesh_Y+$BD10*Mesh_X)&gt;=eco))/eco)^n)*((($BB10+$BC10*Mesh_Y+$BD10*Mesh_X))&gt;0),Mesh_A,Mesh_X)+SUMPRODUCT((Es*(($BB10+$BC10*Geometry!$E$42:$E$59+$BD10*Geometry!$D$42:$D$59))*(ABS(Es*(($BB10+$BC10*Geometry!$E$42:$E$59+$BD10*Geometry!$D$42:$D$59)))&lt;=fy)+fy*(Es*(($BB10+$BC10*Geometry!$E$42:$E$59+$BD10*Geometry!$D$42:$D$59))&gt;fy)-fy*(Es*(($BB10+$BC10*Geometry!$E$42:$E$59+$BD10*Geometry!$D$42:$D$59))&lt;-fy)-(alpha*fck*(1-(1-((($BB10+$BC10*Geometry!$E$42:$E$59+$BD10*Geometry!$D$42:$D$59))*(($BB10+$BC10*Geometry!$E$42:$E$59+$BD10*Geometry!$D$42:$D$59)&gt;0)*(($BB10+$BC10*Geometry!$E$42:$E$59+$BD10*Geometry!$D$42:$D$59)&lt;eco)+eco*(($BB10+$BC10*Geometry!$E$42:$E$59+$BD10*Geometry!$D$42:$D$59)&gt;=eco))/eco)^n)*((($BB10+$BC10*Geometry!$E$42:$E$59+$BD10*Geometry!$D$42:$D$59))&gt;0))),Geometry!$F$42:$F$59,Geometry!$D$42:$D$59))/1000000</f>
      </c>
      <c r="DN10" s="32">
        <f>(SUMPRODUCT(alpha*fck*(1-(1-((($BE10+$BF10*Mesh_Y+$BG10*Mesh_X))*(($BE10+$BF10*Mesh_Y+$BG10*Mesh_X)&gt;0)*(($BE10+$BF10*Mesh_Y+$BG10*Mesh_X)&lt;eco)+eco*(($BE10+$BF10*Mesh_Y+$BG10*Mesh_X)&gt;=eco))/eco)^n)*((($BE10+$BF10*Mesh_Y+$BG10*Mesh_X))&gt;0),Mesh_A,Mesh_X)+SUMPRODUCT((Es*(($BE10+$BF10*Geometry!$E$42:$E$59+$BG10*Geometry!$D$42:$D$59))*(ABS(Es*(($BE10+$BF10*Geometry!$E$42:$E$59+$BG10*Geometry!$D$42:$D$59)))&lt;=fy)+fy*(Es*(($BE10+$BF10*Geometry!$E$42:$E$59+$BG10*Geometry!$D$42:$D$59))&gt;fy)-fy*(Es*(($BE10+$BF10*Geometry!$E$42:$E$59+$BG10*Geometry!$D$42:$D$59))&lt;-fy)-(alpha*fck*(1-(1-((($BE10+$BF10*Geometry!$E$42:$E$59+$BG10*Geometry!$D$42:$D$59))*(($BE10+$BF10*Geometry!$E$42:$E$59+$BG10*Geometry!$D$42:$D$59)&gt;0)*(($BE10+$BF10*Geometry!$E$42:$E$59+$BG10*Geometry!$D$42:$D$59)&lt;eco)+eco*(($BE10+$BF10*Geometry!$E$42:$E$59+$BG10*Geometry!$D$42:$D$59)&gt;=eco))/eco)^n)*((($BE10+$BF10*Geometry!$E$42:$E$59+$BG10*Geometry!$D$42:$D$59))&gt;0))),Geometry!$F$42:$F$59,Geometry!$D$42:$D$59))/1000000</f>
      </c>
      <c r="DO10" s="32">
        <f>(SUMPRODUCT(alpha*fck*(1-(1-((($BH10+$BI10*Mesh_Y+$BJ10*Mesh_X))*(($BH10+$BI10*Mesh_Y+$BJ10*Mesh_X)&gt;0)*(($BH10+$BI10*Mesh_Y+$BJ10*Mesh_X)&lt;eco)+eco*(($BH10+$BI10*Mesh_Y+$BJ10*Mesh_X)&gt;=eco))/eco)^n)*((($BH10+$BI10*Mesh_Y+$BJ10*Mesh_X))&gt;0),Mesh_A,Mesh_X)+SUMPRODUCT((Es*(($BH10+$BI10*Geometry!$E$42:$E$59+$BJ10*Geometry!$D$42:$D$59))*(ABS(Es*(($BH10+$BI10*Geometry!$E$42:$E$59+$BJ10*Geometry!$D$42:$D$59)))&lt;=fy)+fy*(Es*(($BH10+$BI10*Geometry!$E$42:$E$59+$BJ10*Geometry!$D$42:$D$59))&gt;fy)-fy*(Es*(($BH10+$BI10*Geometry!$E$42:$E$59+$BJ10*Geometry!$D$42:$D$59))&lt;-fy)-(alpha*fck*(1-(1-((($BH10+$BI10*Geometry!$E$42:$E$59+$BJ10*Geometry!$D$42:$D$59))*(($BH10+$BI10*Geometry!$E$42:$E$59+$BJ10*Geometry!$D$42:$D$59)&gt;0)*(($BH10+$BI10*Geometry!$E$42:$E$59+$BJ10*Geometry!$D$42:$D$59)&lt;eco)+eco*(($BH10+$BI10*Geometry!$E$42:$E$59+$BJ10*Geometry!$D$42:$D$59)&gt;=eco))/eco)^n)*((($BH10+$BI10*Geometry!$E$42:$E$59+$BJ10*Geometry!$D$42:$D$59))&gt;0))),Geometry!$F$42:$F$59,Geometry!$D$42:$D$59))/1000000</f>
      </c>
      <c r="DP10" s="45">
        <f>MAX(1,MIN(18,SUMPRODUCT(--($BK10:$CC10&gt;=Pu))))</f>
      </c>
      <c r="DQ10" s="46">
        <f>(Pu-INDEX($BK10:$CC10,1,$DP10))/(INDEX($BK10:$CC10,1,$DP10+1)-INDEX($BK10:$CC10,1,$DP10))</f>
      </c>
      <c r="DR10" s="33">
        <f>INDEX($CD10:$CV10,1,$DP10)+$DQ10*(INDEX($CD10:$CV10,1,$DP10+1)-INDEX($CD10:$CV10,1,$DP10))</f>
      </c>
      <c r="DS10" s="33">
        <f>INDEX($CW10:$DO10,1,$DP10)+$DQ10*(INDEX($CW10:$DO10,1,$DP10+1)-INDEX($CW10:$DO10,1,$DP10))</f>
      </c>
      <c r="DT10" s="33">
        <f>SQRT(DR10^2+DS10^2)</f>
      </c>
    </row>
    <row r="11" spans="1:124" x14ac:dyDescent="0.25">
      <c r="A11">
        <v>4</v>
      </c>
      <c r="B11" s="43">
        <v>45</v>
      </c>
      <c r="C11" s="12">
        <f>MAX(SUMPRODUCT(MAX((Geometry!$E$6:$E$13)*COS(RADIANS($B11))+(Geometry!$D$6:$D$13)*SIN(RADIANS($B11)))))</f>
      </c>
      <c r="D11" s="12">
        <f>SUMPRODUCT(MIN((Geometry!$E$42:$E$59)*COS(RADIANS($B11))+(Geometry!$D$42:$D$59)*SIN(RADIANS($B11))))</f>
      </c>
      <c r="E11" s="12">
        <f>C11-D11</f>
      </c>
      <c r="F11" s="30">
        <f>ecu</f>
      </c>
      <c r="G11" s="44">
        <f>0*COS(RADIANS($B11))</f>
      </c>
      <c r="H11" s="44">
        <f>0*SIN(RADIANS($B11))</f>
      </c>
      <c r="I11" s="30">
        <f>ecu-((ecu-0)/($C11-($C11-PM_Angle!$C$8*$E11)))*$C11</f>
      </c>
      <c r="J11" s="44">
        <f>((ecu-0)/($C11-($C11-PM_Angle!$C$8*$E11)))*COS(RADIANS($B11))</f>
      </c>
      <c r="K11" s="44">
        <f>((ecu-0)/($C11-($C11-PM_Angle!$C$8*$E11)))*SIN(RADIANS($B11))</f>
      </c>
      <c r="L11" s="30">
        <f>ecu-((ecu-0)/($C11-($C11-PM_Angle!$C$9*$E11)))*$C11</f>
      </c>
      <c r="M11" s="44">
        <f>((ecu-0)/($C11-($C11-PM_Angle!$C$9*$E11)))*COS(RADIANS($B11))</f>
      </c>
      <c r="N11" s="44">
        <f>((ecu-0)/($C11-($C11-PM_Angle!$C$9*$E11)))*SIN(RADIANS($B11))</f>
      </c>
      <c r="O11" s="30">
        <f>ecu-((ecu-0)/($C11-($C11-PM_Angle!$C$10*$E11)))*$C11</f>
      </c>
      <c r="P11" s="44">
        <f>((ecu-0)/($C11-($C11-PM_Angle!$C$10*$E11)))*COS(RADIANS($B11))</f>
      </c>
      <c r="Q11" s="44">
        <f>((ecu-0)/($C11-($C11-PM_Angle!$C$10*$E11)))*SIN(RADIANS($B11))</f>
      </c>
      <c r="R11" s="30">
        <f>ecu-((ecu-0)/($C11-($C11-PM_Angle!$C$11*$E11)))*$C11</f>
      </c>
      <c r="S11" s="44">
        <f>((ecu-0)/($C11-($C11-PM_Angle!$C$11*$E11)))*COS(RADIANS($B11))</f>
      </c>
      <c r="T11" s="44">
        <f>((ecu-0)/($C11-($C11-PM_Angle!$C$11*$E11)))*SIN(RADIANS($B11))</f>
      </c>
      <c r="U11" s="30">
        <f>ecu-((ecu-(-PM_Angle!$E$12))/($C11-$D11))*$C11</f>
      </c>
      <c r="V11" s="44">
        <f>((ecu-(-PM_Angle!$E$12))/($C11-$D11))*COS(RADIANS($B11))</f>
      </c>
      <c r="W11" s="44">
        <f>((ecu-(-PM_Angle!$E$12))/($C11-$D11))*SIN(RADIANS($B11))</f>
      </c>
      <c r="X11" s="30">
        <f>ecu-((ecu-(-PM_Angle!$D$13*fy/Es))/($C11-$D11))*$C11</f>
      </c>
      <c r="Y11" s="44">
        <f>((ecu-(-PM_Angle!$D$13*fy/Es))/($C11-$D11))*COS(RADIANS($B11))</f>
      </c>
      <c r="Z11" s="44">
        <f>((ecu-(-PM_Angle!$D$13*fy/Es))/($C11-$D11))*SIN(RADIANS($B11))</f>
      </c>
      <c r="AA11" s="30">
        <f>ecu-((ecu-(-PM_Angle!$D$14*fy/Es))/($C11-$D11))*$C11</f>
      </c>
      <c r="AB11" s="44">
        <f>((ecu-(-PM_Angle!$D$14*fy/Es))/($C11-$D11))*COS(RADIANS($B11))</f>
      </c>
      <c r="AC11" s="44">
        <f>((ecu-(-PM_Angle!$D$14*fy/Es))/($C11-$D11))*SIN(RADIANS($B11))</f>
      </c>
      <c r="AD11" s="30">
        <f>ecu-((ecu-(-PM_Angle!$D$15*fy/Es))/($C11-$D11))*$C11</f>
      </c>
      <c r="AE11" s="44">
        <f>((ecu-(-PM_Angle!$D$15*fy/Es))/($C11-$D11))*COS(RADIANS($B11))</f>
      </c>
      <c r="AF11" s="44">
        <f>((ecu-(-PM_Angle!$D$15*fy/Es))/($C11-$D11))*SIN(RADIANS($B11))</f>
      </c>
      <c r="AG11" s="30">
        <f>ecu-((ecu-(-PM_Angle!$D$16*fy/Es))/($C11-$D11))*$C11</f>
      </c>
      <c r="AH11" s="44">
        <f>((ecu-(-PM_Angle!$D$16*fy/Es))/($C11-$D11))*COS(RADIANS($B11))</f>
      </c>
      <c r="AI11" s="44">
        <f>((ecu-(-PM_Angle!$D$16*fy/Es))/($C11-$D11))*SIN(RADIANS($B11))</f>
      </c>
      <c r="AJ11" s="30">
        <f>ecu-((ecu-(-PM_Angle!$E$17))/($C11-$D11))*$C11</f>
      </c>
      <c r="AK11" s="44">
        <f>((ecu-(-PM_Angle!$E$17))/($C11-$D11))*COS(RADIANS($B11))</f>
      </c>
      <c r="AL11" s="44">
        <f>((ecu-(-PM_Angle!$E$17))/($C11-$D11))*SIN(RADIANS($B11))</f>
      </c>
      <c r="AM11" s="30">
        <f>ecu-((ecu-(-PM_Angle!$E$18))/($C11-$D11))*$C11</f>
      </c>
      <c r="AN11" s="44">
        <f>((ecu-(-PM_Angle!$E$18))/($C11-$D11))*COS(RADIANS($B11))</f>
      </c>
      <c r="AO11" s="44">
        <f>((ecu-(-PM_Angle!$E$18))/($C11-$D11))*SIN(RADIANS($B11))</f>
      </c>
      <c r="AP11" s="30">
        <f>ecu-((ecu-(-PM_Angle!$E$19))/($C11-$D11))*$C11</f>
      </c>
      <c r="AQ11" s="44">
        <f>((ecu-(-PM_Angle!$E$19))/($C11-$D11))*COS(RADIANS($B11))</f>
      </c>
      <c r="AR11" s="44">
        <f>((ecu-(-PM_Angle!$E$19))/($C11-$D11))*SIN(RADIANS($B11))</f>
      </c>
      <c r="AS11" s="30">
        <f>ecu-((ecu-(-PM_Angle!$E$20))/($C11-$D11))*$C11</f>
      </c>
      <c r="AT11" s="44">
        <f>((ecu-(-PM_Angle!$E$20))/($C11-$D11))*COS(RADIANS($B11))</f>
      </c>
      <c r="AU11" s="44">
        <f>((ecu-(-PM_Angle!$E$20))/($C11-$D11))*SIN(RADIANS($B11))</f>
      </c>
      <c r="AV11" s="30">
        <f>ecu-((ecu-(-PM_Angle!$E$21))/($C11-$D11))*$C11</f>
      </c>
      <c r="AW11" s="44">
        <f>((ecu-(-PM_Angle!$E$21))/($C11-$D11))*COS(RADIANS($B11))</f>
      </c>
      <c r="AX11" s="44">
        <f>((ecu-(-PM_Angle!$E$21))/($C11-$D11))*SIN(RADIANS($B11))</f>
      </c>
      <c r="AY11" s="30">
        <f>ecu-((ecu-(-PM_Angle!$E$22))/($C11-$D11))*$C11</f>
      </c>
      <c r="AZ11" s="44">
        <f>((ecu-(-PM_Angle!$E$22))/($C11-$D11))*COS(RADIANS($B11))</f>
      </c>
      <c r="BA11" s="44">
        <f>((ecu-(-PM_Angle!$E$22))/($C11-$D11))*SIN(RADIANS($B11))</f>
      </c>
      <c r="BB11" s="30">
        <f>ecu-((ecu-(-PM_Angle!$E$23))/($C11-$D11))*$C11</f>
      </c>
      <c r="BC11" s="44">
        <f>((ecu-(-PM_Angle!$E$23))/($C11-$D11))*COS(RADIANS($B11))</f>
      </c>
      <c r="BD11" s="44">
        <f>((ecu-(-PM_Angle!$E$23))/($C11-$D11))*SIN(RADIANS($B11))</f>
      </c>
      <c r="BE11" s="30">
        <f>ecu-((ecu-(-PM_Angle!$E$24))/($C11-$D11))*$C11</f>
      </c>
      <c r="BF11" s="44">
        <f>((ecu-(-PM_Angle!$E$24))/($C11-$D11))*COS(RADIANS($B11))</f>
      </c>
      <c r="BG11" s="44">
        <f>((ecu-(-PM_Angle!$E$24))/($C11-$D11))*SIN(RADIANS($B11))</f>
      </c>
      <c r="BH11" s="30">
        <f>etu</f>
      </c>
      <c r="BI11" s="44">
        <f>0*COS(RADIANS($B11))</f>
      </c>
      <c r="BJ11" s="44">
        <f>0*SIN(RADIANS($B11))</f>
      </c>
      <c r="BK11" s="32">
        <f>(SUMPRODUCT(alpha*fck*(1-(1-((($F11+$G11*Mesh_Y+$H11*Mesh_X))*(($F11+$G11*Mesh_Y+$H11*Mesh_X)&gt;0)*(($F11+$G11*Mesh_Y+$H11*Mesh_X)&lt;eco)+eco*(($F11+$G11*Mesh_Y+$H11*Mesh_X)&gt;=eco))/eco)^n)*((($F11+$G11*Mesh_Y+$H11*Mesh_X))&gt;0),Mesh_A)+SUMPRODUCT((Es*(($F11+$G11*Geometry!$E$42:$E$59+$H11*Geometry!$D$42:$D$59))*(ABS(Es*(($F11+$G11*Geometry!$E$42:$E$59+$H11*Geometry!$D$42:$D$59)))&lt;=fy)+fy*(Es*(($F11+$G11*Geometry!$E$42:$E$59+$H11*Geometry!$D$42:$D$59))&gt;fy)-fy*(Es*(($F11+$G11*Geometry!$E$42:$E$59+$H11*Geometry!$D$42:$D$59))&lt;-fy)-(alpha*fck*(1-(1-((($F11+$G11*Geometry!$E$42:$E$59+$H11*Geometry!$D$42:$D$59))*(($F11+$G11*Geometry!$E$42:$E$59+$H11*Geometry!$D$42:$D$59)&gt;0)*(($F11+$G11*Geometry!$E$42:$E$59+$H11*Geometry!$D$42:$D$59)&lt;eco)+eco*(($F11+$G11*Geometry!$E$42:$E$59+$H11*Geometry!$D$42:$D$59)&gt;=eco))/eco)^n)*((($F11+$G11*Geometry!$E$42:$E$59+$H11*Geometry!$D$42:$D$59))&gt;0))),Geometry!$F$42:$F$59))/1000</f>
      </c>
      <c r="BL11" s="32">
        <f>(SUMPRODUCT(alpha*fck*(1-(1-((($I11+$J11*Mesh_Y+$K11*Mesh_X))*(($I11+$J11*Mesh_Y+$K11*Mesh_X)&gt;0)*(($I11+$J11*Mesh_Y+$K11*Mesh_X)&lt;eco)+eco*(($I11+$J11*Mesh_Y+$K11*Mesh_X)&gt;=eco))/eco)^n)*((($I11+$J11*Mesh_Y+$K11*Mesh_X))&gt;0),Mesh_A)+SUMPRODUCT((Es*(($I11+$J11*Geometry!$E$42:$E$59+$K11*Geometry!$D$42:$D$59))*(ABS(Es*(($I11+$J11*Geometry!$E$42:$E$59+$K11*Geometry!$D$42:$D$59)))&lt;=fy)+fy*(Es*(($I11+$J11*Geometry!$E$42:$E$59+$K11*Geometry!$D$42:$D$59))&gt;fy)-fy*(Es*(($I11+$J11*Geometry!$E$42:$E$59+$K11*Geometry!$D$42:$D$59))&lt;-fy)-(alpha*fck*(1-(1-((($I11+$J11*Geometry!$E$42:$E$59+$K11*Geometry!$D$42:$D$59))*(($I11+$J11*Geometry!$E$42:$E$59+$K11*Geometry!$D$42:$D$59)&gt;0)*(($I11+$J11*Geometry!$E$42:$E$59+$K11*Geometry!$D$42:$D$59)&lt;eco)+eco*(($I11+$J11*Geometry!$E$42:$E$59+$K11*Geometry!$D$42:$D$59)&gt;=eco))/eco)^n)*((($I11+$J11*Geometry!$E$42:$E$59+$K11*Geometry!$D$42:$D$59))&gt;0))),Geometry!$F$42:$F$59))/1000</f>
      </c>
      <c r="BM11" s="32">
        <f>(SUMPRODUCT(alpha*fck*(1-(1-((($L11+$M11*Mesh_Y+$N11*Mesh_X))*(($L11+$M11*Mesh_Y+$N11*Mesh_X)&gt;0)*(($L11+$M11*Mesh_Y+$N11*Mesh_X)&lt;eco)+eco*(($L11+$M11*Mesh_Y+$N11*Mesh_X)&gt;=eco))/eco)^n)*((($L11+$M11*Mesh_Y+$N11*Mesh_X))&gt;0),Mesh_A)+SUMPRODUCT((Es*(($L11+$M11*Geometry!$E$42:$E$59+$N11*Geometry!$D$42:$D$59))*(ABS(Es*(($L11+$M11*Geometry!$E$42:$E$59+$N11*Geometry!$D$42:$D$59)))&lt;=fy)+fy*(Es*(($L11+$M11*Geometry!$E$42:$E$59+$N11*Geometry!$D$42:$D$59))&gt;fy)-fy*(Es*(($L11+$M11*Geometry!$E$42:$E$59+$N11*Geometry!$D$42:$D$59))&lt;-fy)-(alpha*fck*(1-(1-((($L11+$M11*Geometry!$E$42:$E$59+$N11*Geometry!$D$42:$D$59))*(($L11+$M11*Geometry!$E$42:$E$59+$N11*Geometry!$D$42:$D$59)&gt;0)*(($L11+$M11*Geometry!$E$42:$E$59+$N11*Geometry!$D$42:$D$59)&lt;eco)+eco*(($L11+$M11*Geometry!$E$42:$E$59+$N11*Geometry!$D$42:$D$59)&gt;=eco))/eco)^n)*((($L11+$M11*Geometry!$E$42:$E$59+$N11*Geometry!$D$42:$D$59))&gt;0))),Geometry!$F$42:$F$59))/1000</f>
      </c>
      <c r="BN11" s="32">
        <f>(SUMPRODUCT(alpha*fck*(1-(1-((($O11+$P11*Mesh_Y+$Q11*Mesh_X))*(($O11+$P11*Mesh_Y+$Q11*Mesh_X)&gt;0)*(($O11+$P11*Mesh_Y+$Q11*Mesh_X)&lt;eco)+eco*(($O11+$P11*Mesh_Y+$Q11*Mesh_X)&gt;=eco))/eco)^n)*((($O11+$P11*Mesh_Y+$Q11*Mesh_X))&gt;0),Mesh_A)+SUMPRODUCT((Es*(($O11+$P11*Geometry!$E$42:$E$59+$Q11*Geometry!$D$42:$D$59))*(ABS(Es*(($O11+$P11*Geometry!$E$42:$E$59+$Q11*Geometry!$D$42:$D$59)))&lt;=fy)+fy*(Es*(($O11+$P11*Geometry!$E$42:$E$59+$Q11*Geometry!$D$42:$D$59))&gt;fy)-fy*(Es*(($O11+$P11*Geometry!$E$42:$E$59+$Q11*Geometry!$D$42:$D$59))&lt;-fy)-(alpha*fck*(1-(1-((($O11+$P11*Geometry!$E$42:$E$59+$Q11*Geometry!$D$42:$D$59))*(($O11+$P11*Geometry!$E$42:$E$59+$Q11*Geometry!$D$42:$D$59)&gt;0)*(($O11+$P11*Geometry!$E$42:$E$59+$Q11*Geometry!$D$42:$D$59)&lt;eco)+eco*(($O11+$P11*Geometry!$E$42:$E$59+$Q11*Geometry!$D$42:$D$59)&gt;=eco))/eco)^n)*((($O11+$P11*Geometry!$E$42:$E$59+$Q11*Geometry!$D$42:$D$59))&gt;0))),Geometry!$F$42:$F$59))/1000</f>
      </c>
      <c r="BO11" s="32">
        <f>(SUMPRODUCT(alpha*fck*(1-(1-((($R11+$S11*Mesh_Y+$T11*Mesh_X))*(($R11+$S11*Mesh_Y+$T11*Mesh_X)&gt;0)*(($R11+$S11*Mesh_Y+$T11*Mesh_X)&lt;eco)+eco*(($R11+$S11*Mesh_Y+$T11*Mesh_X)&gt;=eco))/eco)^n)*((($R11+$S11*Mesh_Y+$T11*Mesh_X))&gt;0),Mesh_A)+SUMPRODUCT((Es*(($R11+$S11*Geometry!$E$42:$E$59+$T11*Geometry!$D$42:$D$59))*(ABS(Es*(($R11+$S11*Geometry!$E$42:$E$59+$T11*Geometry!$D$42:$D$59)))&lt;=fy)+fy*(Es*(($R11+$S11*Geometry!$E$42:$E$59+$T11*Geometry!$D$42:$D$59))&gt;fy)-fy*(Es*(($R11+$S11*Geometry!$E$42:$E$59+$T11*Geometry!$D$42:$D$59))&lt;-fy)-(alpha*fck*(1-(1-((($R11+$S11*Geometry!$E$42:$E$59+$T11*Geometry!$D$42:$D$59))*(($R11+$S11*Geometry!$E$42:$E$59+$T11*Geometry!$D$42:$D$59)&gt;0)*(($R11+$S11*Geometry!$E$42:$E$59+$T11*Geometry!$D$42:$D$59)&lt;eco)+eco*(($R11+$S11*Geometry!$E$42:$E$59+$T11*Geometry!$D$42:$D$59)&gt;=eco))/eco)^n)*((($R11+$S11*Geometry!$E$42:$E$59+$T11*Geometry!$D$42:$D$59))&gt;0))),Geometry!$F$42:$F$59))/1000</f>
      </c>
      <c r="BP11" s="32">
        <f>(SUMPRODUCT(alpha*fck*(1-(1-((($U11+$V11*Mesh_Y+$W11*Mesh_X))*(($U11+$V11*Mesh_Y+$W11*Mesh_X)&gt;0)*(($U11+$V11*Mesh_Y+$W11*Mesh_X)&lt;eco)+eco*(($U11+$V11*Mesh_Y+$W11*Mesh_X)&gt;=eco))/eco)^n)*((($U11+$V11*Mesh_Y+$W11*Mesh_X))&gt;0),Mesh_A)+SUMPRODUCT((Es*(($U11+$V11*Geometry!$E$42:$E$59+$W11*Geometry!$D$42:$D$59))*(ABS(Es*(($U11+$V11*Geometry!$E$42:$E$59+$W11*Geometry!$D$42:$D$59)))&lt;=fy)+fy*(Es*(($U11+$V11*Geometry!$E$42:$E$59+$W11*Geometry!$D$42:$D$59))&gt;fy)-fy*(Es*(($U11+$V11*Geometry!$E$42:$E$59+$W11*Geometry!$D$42:$D$59))&lt;-fy)-(alpha*fck*(1-(1-((($U11+$V11*Geometry!$E$42:$E$59+$W11*Geometry!$D$42:$D$59))*(($U11+$V11*Geometry!$E$42:$E$59+$W11*Geometry!$D$42:$D$59)&gt;0)*(($U11+$V11*Geometry!$E$42:$E$59+$W11*Geometry!$D$42:$D$59)&lt;eco)+eco*(($U11+$V11*Geometry!$E$42:$E$59+$W11*Geometry!$D$42:$D$59)&gt;=eco))/eco)^n)*((($U11+$V11*Geometry!$E$42:$E$59+$W11*Geometry!$D$42:$D$59))&gt;0))),Geometry!$F$42:$F$59))/1000</f>
      </c>
      <c r="BQ11" s="32">
        <f>(SUMPRODUCT(alpha*fck*(1-(1-((($X11+$Y11*Mesh_Y+$Z11*Mesh_X))*(($X11+$Y11*Mesh_Y+$Z11*Mesh_X)&gt;0)*(($X11+$Y11*Mesh_Y+$Z11*Mesh_X)&lt;eco)+eco*(($X11+$Y11*Mesh_Y+$Z11*Mesh_X)&gt;=eco))/eco)^n)*((($X11+$Y11*Mesh_Y+$Z11*Mesh_X))&gt;0),Mesh_A)+SUMPRODUCT((Es*(($X11+$Y11*Geometry!$E$42:$E$59+$Z11*Geometry!$D$42:$D$59))*(ABS(Es*(($X11+$Y11*Geometry!$E$42:$E$59+$Z11*Geometry!$D$42:$D$59)))&lt;=fy)+fy*(Es*(($X11+$Y11*Geometry!$E$42:$E$59+$Z11*Geometry!$D$42:$D$59))&gt;fy)-fy*(Es*(($X11+$Y11*Geometry!$E$42:$E$59+$Z11*Geometry!$D$42:$D$59))&lt;-fy)-(alpha*fck*(1-(1-((($X11+$Y11*Geometry!$E$42:$E$59+$Z11*Geometry!$D$42:$D$59))*(($X11+$Y11*Geometry!$E$42:$E$59+$Z11*Geometry!$D$42:$D$59)&gt;0)*(($X11+$Y11*Geometry!$E$42:$E$59+$Z11*Geometry!$D$42:$D$59)&lt;eco)+eco*(($X11+$Y11*Geometry!$E$42:$E$59+$Z11*Geometry!$D$42:$D$59)&gt;=eco))/eco)^n)*((($X11+$Y11*Geometry!$E$42:$E$59+$Z11*Geometry!$D$42:$D$59))&gt;0))),Geometry!$F$42:$F$59))/1000</f>
      </c>
      <c r="BR11" s="32">
        <f>(SUMPRODUCT(alpha*fck*(1-(1-((($AA11+$AB11*Mesh_Y+$AC11*Mesh_X))*(($AA11+$AB11*Mesh_Y+$AC11*Mesh_X)&gt;0)*(($AA11+$AB11*Mesh_Y+$AC11*Mesh_X)&lt;eco)+eco*(($AA11+$AB11*Mesh_Y+$AC11*Mesh_X)&gt;=eco))/eco)^n)*((($AA11+$AB11*Mesh_Y+$AC11*Mesh_X))&gt;0),Mesh_A)+SUMPRODUCT((Es*(($AA11+$AB11*Geometry!$E$42:$E$59+$AC11*Geometry!$D$42:$D$59))*(ABS(Es*(($AA11+$AB11*Geometry!$E$42:$E$59+$AC11*Geometry!$D$42:$D$59)))&lt;=fy)+fy*(Es*(($AA11+$AB11*Geometry!$E$42:$E$59+$AC11*Geometry!$D$42:$D$59))&gt;fy)-fy*(Es*(($AA11+$AB11*Geometry!$E$42:$E$59+$AC11*Geometry!$D$42:$D$59))&lt;-fy)-(alpha*fck*(1-(1-((($AA11+$AB11*Geometry!$E$42:$E$59+$AC11*Geometry!$D$42:$D$59))*(($AA11+$AB11*Geometry!$E$42:$E$59+$AC11*Geometry!$D$42:$D$59)&gt;0)*(($AA11+$AB11*Geometry!$E$42:$E$59+$AC11*Geometry!$D$42:$D$59)&lt;eco)+eco*(($AA11+$AB11*Geometry!$E$42:$E$59+$AC11*Geometry!$D$42:$D$59)&gt;=eco))/eco)^n)*((($AA11+$AB11*Geometry!$E$42:$E$59+$AC11*Geometry!$D$42:$D$59))&gt;0))),Geometry!$F$42:$F$59))/1000</f>
      </c>
      <c r="BS11" s="32">
        <f>(SUMPRODUCT(alpha*fck*(1-(1-((($AD11+$AE11*Mesh_Y+$AF11*Mesh_X))*(($AD11+$AE11*Mesh_Y+$AF11*Mesh_X)&gt;0)*(($AD11+$AE11*Mesh_Y+$AF11*Mesh_X)&lt;eco)+eco*(($AD11+$AE11*Mesh_Y+$AF11*Mesh_X)&gt;=eco))/eco)^n)*((($AD11+$AE11*Mesh_Y+$AF11*Mesh_X))&gt;0),Mesh_A)+SUMPRODUCT((Es*(($AD11+$AE11*Geometry!$E$42:$E$59+$AF11*Geometry!$D$42:$D$59))*(ABS(Es*(($AD11+$AE11*Geometry!$E$42:$E$59+$AF11*Geometry!$D$42:$D$59)))&lt;=fy)+fy*(Es*(($AD11+$AE11*Geometry!$E$42:$E$59+$AF11*Geometry!$D$42:$D$59))&gt;fy)-fy*(Es*(($AD11+$AE11*Geometry!$E$42:$E$59+$AF11*Geometry!$D$42:$D$59))&lt;-fy)-(alpha*fck*(1-(1-((($AD11+$AE11*Geometry!$E$42:$E$59+$AF11*Geometry!$D$42:$D$59))*(($AD11+$AE11*Geometry!$E$42:$E$59+$AF11*Geometry!$D$42:$D$59)&gt;0)*(($AD11+$AE11*Geometry!$E$42:$E$59+$AF11*Geometry!$D$42:$D$59)&lt;eco)+eco*(($AD11+$AE11*Geometry!$E$42:$E$59+$AF11*Geometry!$D$42:$D$59)&gt;=eco))/eco)^n)*((($AD11+$AE11*Geometry!$E$42:$E$59+$AF11*Geometry!$D$42:$D$59))&gt;0))),Geometry!$F$42:$F$59))/1000</f>
      </c>
      <c r="BT11" s="32">
        <f>(SUMPRODUCT(alpha*fck*(1-(1-((($AG11+$AH11*Mesh_Y+$AI11*Mesh_X))*(($AG11+$AH11*Mesh_Y+$AI11*Mesh_X)&gt;0)*(($AG11+$AH11*Mesh_Y+$AI11*Mesh_X)&lt;eco)+eco*(($AG11+$AH11*Mesh_Y+$AI11*Mesh_X)&gt;=eco))/eco)^n)*((($AG11+$AH11*Mesh_Y+$AI11*Mesh_X))&gt;0),Mesh_A)+SUMPRODUCT((Es*(($AG11+$AH11*Geometry!$E$42:$E$59+$AI11*Geometry!$D$42:$D$59))*(ABS(Es*(($AG11+$AH11*Geometry!$E$42:$E$59+$AI11*Geometry!$D$42:$D$59)))&lt;=fy)+fy*(Es*(($AG11+$AH11*Geometry!$E$42:$E$59+$AI11*Geometry!$D$42:$D$59))&gt;fy)-fy*(Es*(($AG11+$AH11*Geometry!$E$42:$E$59+$AI11*Geometry!$D$42:$D$59))&lt;-fy)-(alpha*fck*(1-(1-((($AG11+$AH11*Geometry!$E$42:$E$59+$AI11*Geometry!$D$42:$D$59))*(($AG11+$AH11*Geometry!$E$42:$E$59+$AI11*Geometry!$D$42:$D$59)&gt;0)*(($AG11+$AH11*Geometry!$E$42:$E$59+$AI11*Geometry!$D$42:$D$59)&lt;eco)+eco*(($AG11+$AH11*Geometry!$E$42:$E$59+$AI11*Geometry!$D$42:$D$59)&gt;=eco))/eco)^n)*((($AG11+$AH11*Geometry!$E$42:$E$59+$AI11*Geometry!$D$42:$D$59))&gt;0))),Geometry!$F$42:$F$59))/1000</f>
      </c>
      <c r="BU11" s="32">
        <f>(SUMPRODUCT(alpha*fck*(1-(1-((($AJ11+$AK11*Mesh_Y+$AL11*Mesh_X))*(($AJ11+$AK11*Mesh_Y+$AL11*Mesh_X)&gt;0)*(($AJ11+$AK11*Mesh_Y+$AL11*Mesh_X)&lt;eco)+eco*(($AJ11+$AK11*Mesh_Y+$AL11*Mesh_X)&gt;=eco))/eco)^n)*((($AJ11+$AK11*Mesh_Y+$AL11*Mesh_X))&gt;0),Mesh_A)+SUMPRODUCT((Es*(($AJ11+$AK11*Geometry!$E$42:$E$59+$AL11*Geometry!$D$42:$D$59))*(ABS(Es*(($AJ11+$AK11*Geometry!$E$42:$E$59+$AL11*Geometry!$D$42:$D$59)))&lt;=fy)+fy*(Es*(($AJ11+$AK11*Geometry!$E$42:$E$59+$AL11*Geometry!$D$42:$D$59))&gt;fy)-fy*(Es*(($AJ11+$AK11*Geometry!$E$42:$E$59+$AL11*Geometry!$D$42:$D$59))&lt;-fy)-(alpha*fck*(1-(1-((($AJ11+$AK11*Geometry!$E$42:$E$59+$AL11*Geometry!$D$42:$D$59))*(($AJ11+$AK11*Geometry!$E$42:$E$59+$AL11*Geometry!$D$42:$D$59)&gt;0)*(($AJ11+$AK11*Geometry!$E$42:$E$59+$AL11*Geometry!$D$42:$D$59)&lt;eco)+eco*(($AJ11+$AK11*Geometry!$E$42:$E$59+$AL11*Geometry!$D$42:$D$59)&gt;=eco))/eco)^n)*((($AJ11+$AK11*Geometry!$E$42:$E$59+$AL11*Geometry!$D$42:$D$59))&gt;0))),Geometry!$F$42:$F$59))/1000</f>
      </c>
      <c r="BV11" s="32">
        <f>(SUMPRODUCT(alpha*fck*(1-(1-((($AM11+$AN11*Mesh_Y+$AO11*Mesh_X))*(($AM11+$AN11*Mesh_Y+$AO11*Mesh_X)&gt;0)*(($AM11+$AN11*Mesh_Y+$AO11*Mesh_X)&lt;eco)+eco*(($AM11+$AN11*Mesh_Y+$AO11*Mesh_X)&gt;=eco))/eco)^n)*((($AM11+$AN11*Mesh_Y+$AO11*Mesh_X))&gt;0),Mesh_A)+SUMPRODUCT((Es*(($AM11+$AN11*Geometry!$E$42:$E$59+$AO11*Geometry!$D$42:$D$59))*(ABS(Es*(($AM11+$AN11*Geometry!$E$42:$E$59+$AO11*Geometry!$D$42:$D$59)))&lt;=fy)+fy*(Es*(($AM11+$AN11*Geometry!$E$42:$E$59+$AO11*Geometry!$D$42:$D$59))&gt;fy)-fy*(Es*(($AM11+$AN11*Geometry!$E$42:$E$59+$AO11*Geometry!$D$42:$D$59))&lt;-fy)-(alpha*fck*(1-(1-((($AM11+$AN11*Geometry!$E$42:$E$59+$AO11*Geometry!$D$42:$D$59))*(($AM11+$AN11*Geometry!$E$42:$E$59+$AO11*Geometry!$D$42:$D$59)&gt;0)*(($AM11+$AN11*Geometry!$E$42:$E$59+$AO11*Geometry!$D$42:$D$59)&lt;eco)+eco*(($AM11+$AN11*Geometry!$E$42:$E$59+$AO11*Geometry!$D$42:$D$59)&gt;=eco))/eco)^n)*((($AM11+$AN11*Geometry!$E$42:$E$59+$AO11*Geometry!$D$42:$D$59))&gt;0))),Geometry!$F$42:$F$59))/1000</f>
      </c>
      <c r="BW11" s="32">
        <f>(SUMPRODUCT(alpha*fck*(1-(1-((($AP11+$AQ11*Mesh_Y+$AR11*Mesh_X))*(($AP11+$AQ11*Mesh_Y+$AR11*Mesh_X)&gt;0)*(($AP11+$AQ11*Mesh_Y+$AR11*Mesh_X)&lt;eco)+eco*(($AP11+$AQ11*Mesh_Y+$AR11*Mesh_X)&gt;=eco))/eco)^n)*((($AP11+$AQ11*Mesh_Y+$AR11*Mesh_X))&gt;0),Mesh_A)+SUMPRODUCT((Es*(($AP11+$AQ11*Geometry!$E$42:$E$59+$AR11*Geometry!$D$42:$D$59))*(ABS(Es*(($AP11+$AQ11*Geometry!$E$42:$E$59+$AR11*Geometry!$D$42:$D$59)))&lt;=fy)+fy*(Es*(($AP11+$AQ11*Geometry!$E$42:$E$59+$AR11*Geometry!$D$42:$D$59))&gt;fy)-fy*(Es*(($AP11+$AQ11*Geometry!$E$42:$E$59+$AR11*Geometry!$D$42:$D$59))&lt;-fy)-(alpha*fck*(1-(1-((($AP11+$AQ11*Geometry!$E$42:$E$59+$AR11*Geometry!$D$42:$D$59))*(($AP11+$AQ11*Geometry!$E$42:$E$59+$AR11*Geometry!$D$42:$D$59)&gt;0)*(($AP11+$AQ11*Geometry!$E$42:$E$59+$AR11*Geometry!$D$42:$D$59)&lt;eco)+eco*(($AP11+$AQ11*Geometry!$E$42:$E$59+$AR11*Geometry!$D$42:$D$59)&gt;=eco))/eco)^n)*((($AP11+$AQ11*Geometry!$E$42:$E$59+$AR11*Geometry!$D$42:$D$59))&gt;0))),Geometry!$F$42:$F$59))/1000</f>
      </c>
      <c r="BX11" s="32">
        <f>(SUMPRODUCT(alpha*fck*(1-(1-((($AS11+$AT11*Mesh_Y+$AU11*Mesh_X))*(($AS11+$AT11*Mesh_Y+$AU11*Mesh_X)&gt;0)*(($AS11+$AT11*Mesh_Y+$AU11*Mesh_X)&lt;eco)+eco*(($AS11+$AT11*Mesh_Y+$AU11*Mesh_X)&gt;=eco))/eco)^n)*((($AS11+$AT11*Mesh_Y+$AU11*Mesh_X))&gt;0),Mesh_A)+SUMPRODUCT((Es*(($AS11+$AT11*Geometry!$E$42:$E$59+$AU11*Geometry!$D$42:$D$59))*(ABS(Es*(($AS11+$AT11*Geometry!$E$42:$E$59+$AU11*Geometry!$D$42:$D$59)))&lt;=fy)+fy*(Es*(($AS11+$AT11*Geometry!$E$42:$E$59+$AU11*Geometry!$D$42:$D$59))&gt;fy)-fy*(Es*(($AS11+$AT11*Geometry!$E$42:$E$59+$AU11*Geometry!$D$42:$D$59))&lt;-fy)-(alpha*fck*(1-(1-((($AS11+$AT11*Geometry!$E$42:$E$59+$AU11*Geometry!$D$42:$D$59))*(($AS11+$AT11*Geometry!$E$42:$E$59+$AU11*Geometry!$D$42:$D$59)&gt;0)*(($AS11+$AT11*Geometry!$E$42:$E$59+$AU11*Geometry!$D$42:$D$59)&lt;eco)+eco*(($AS11+$AT11*Geometry!$E$42:$E$59+$AU11*Geometry!$D$42:$D$59)&gt;=eco))/eco)^n)*((($AS11+$AT11*Geometry!$E$42:$E$59+$AU11*Geometry!$D$42:$D$59))&gt;0))),Geometry!$F$42:$F$59))/1000</f>
      </c>
      <c r="BY11" s="32">
        <f>(SUMPRODUCT(alpha*fck*(1-(1-((($AV11+$AW11*Mesh_Y+$AX11*Mesh_X))*(($AV11+$AW11*Mesh_Y+$AX11*Mesh_X)&gt;0)*(($AV11+$AW11*Mesh_Y+$AX11*Mesh_X)&lt;eco)+eco*(($AV11+$AW11*Mesh_Y+$AX11*Mesh_X)&gt;=eco))/eco)^n)*((($AV11+$AW11*Mesh_Y+$AX11*Mesh_X))&gt;0),Mesh_A)+SUMPRODUCT((Es*(($AV11+$AW11*Geometry!$E$42:$E$59+$AX11*Geometry!$D$42:$D$59))*(ABS(Es*(($AV11+$AW11*Geometry!$E$42:$E$59+$AX11*Geometry!$D$42:$D$59)))&lt;=fy)+fy*(Es*(($AV11+$AW11*Geometry!$E$42:$E$59+$AX11*Geometry!$D$42:$D$59))&gt;fy)-fy*(Es*(($AV11+$AW11*Geometry!$E$42:$E$59+$AX11*Geometry!$D$42:$D$59))&lt;-fy)-(alpha*fck*(1-(1-((($AV11+$AW11*Geometry!$E$42:$E$59+$AX11*Geometry!$D$42:$D$59))*(($AV11+$AW11*Geometry!$E$42:$E$59+$AX11*Geometry!$D$42:$D$59)&gt;0)*(($AV11+$AW11*Geometry!$E$42:$E$59+$AX11*Geometry!$D$42:$D$59)&lt;eco)+eco*(($AV11+$AW11*Geometry!$E$42:$E$59+$AX11*Geometry!$D$42:$D$59)&gt;=eco))/eco)^n)*((($AV11+$AW11*Geometry!$E$42:$E$59+$AX11*Geometry!$D$42:$D$59))&gt;0))),Geometry!$F$42:$F$59))/1000</f>
      </c>
      <c r="BZ11" s="32">
        <f>(SUMPRODUCT(alpha*fck*(1-(1-((($AY11+$AZ11*Mesh_Y+$BA11*Mesh_X))*(($AY11+$AZ11*Mesh_Y+$BA11*Mesh_X)&gt;0)*(($AY11+$AZ11*Mesh_Y+$BA11*Mesh_X)&lt;eco)+eco*(($AY11+$AZ11*Mesh_Y+$BA11*Mesh_X)&gt;=eco))/eco)^n)*((($AY11+$AZ11*Mesh_Y+$BA11*Mesh_X))&gt;0),Mesh_A)+SUMPRODUCT((Es*(($AY11+$AZ11*Geometry!$E$42:$E$59+$BA11*Geometry!$D$42:$D$59))*(ABS(Es*(($AY11+$AZ11*Geometry!$E$42:$E$59+$BA11*Geometry!$D$42:$D$59)))&lt;=fy)+fy*(Es*(($AY11+$AZ11*Geometry!$E$42:$E$59+$BA11*Geometry!$D$42:$D$59))&gt;fy)-fy*(Es*(($AY11+$AZ11*Geometry!$E$42:$E$59+$BA11*Geometry!$D$42:$D$59))&lt;-fy)-(alpha*fck*(1-(1-((($AY11+$AZ11*Geometry!$E$42:$E$59+$BA11*Geometry!$D$42:$D$59))*(($AY11+$AZ11*Geometry!$E$42:$E$59+$BA11*Geometry!$D$42:$D$59)&gt;0)*(($AY11+$AZ11*Geometry!$E$42:$E$59+$BA11*Geometry!$D$42:$D$59)&lt;eco)+eco*(($AY11+$AZ11*Geometry!$E$42:$E$59+$BA11*Geometry!$D$42:$D$59)&gt;=eco))/eco)^n)*((($AY11+$AZ11*Geometry!$E$42:$E$59+$BA11*Geometry!$D$42:$D$59))&gt;0))),Geometry!$F$42:$F$59))/1000</f>
      </c>
      <c r="CA11" s="32">
        <f>(SUMPRODUCT(alpha*fck*(1-(1-((($BB11+$BC11*Mesh_Y+$BD11*Mesh_X))*(($BB11+$BC11*Mesh_Y+$BD11*Mesh_X)&gt;0)*(($BB11+$BC11*Mesh_Y+$BD11*Mesh_X)&lt;eco)+eco*(($BB11+$BC11*Mesh_Y+$BD11*Mesh_X)&gt;=eco))/eco)^n)*((($BB11+$BC11*Mesh_Y+$BD11*Mesh_X))&gt;0),Mesh_A)+SUMPRODUCT((Es*(($BB11+$BC11*Geometry!$E$42:$E$59+$BD11*Geometry!$D$42:$D$59))*(ABS(Es*(($BB11+$BC11*Geometry!$E$42:$E$59+$BD11*Geometry!$D$42:$D$59)))&lt;=fy)+fy*(Es*(($BB11+$BC11*Geometry!$E$42:$E$59+$BD11*Geometry!$D$42:$D$59))&gt;fy)-fy*(Es*(($BB11+$BC11*Geometry!$E$42:$E$59+$BD11*Geometry!$D$42:$D$59))&lt;-fy)-(alpha*fck*(1-(1-((($BB11+$BC11*Geometry!$E$42:$E$59+$BD11*Geometry!$D$42:$D$59))*(($BB11+$BC11*Geometry!$E$42:$E$59+$BD11*Geometry!$D$42:$D$59)&gt;0)*(($BB11+$BC11*Geometry!$E$42:$E$59+$BD11*Geometry!$D$42:$D$59)&lt;eco)+eco*(($BB11+$BC11*Geometry!$E$42:$E$59+$BD11*Geometry!$D$42:$D$59)&gt;=eco))/eco)^n)*((($BB11+$BC11*Geometry!$E$42:$E$59+$BD11*Geometry!$D$42:$D$59))&gt;0))),Geometry!$F$42:$F$59))/1000</f>
      </c>
      <c r="CB11" s="32">
        <f>(SUMPRODUCT(alpha*fck*(1-(1-((($BE11+$BF11*Mesh_Y+$BG11*Mesh_X))*(($BE11+$BF11*Mesh_Y+$BG11*Mesh_X)&gt;0)*(($BE11+$BF11*Mesh_Y+$BG11*Mesh_X)&lt;eco)+eco*(($BE11+$BF11*Mesh_Y+$BG11*Mesh_X)&gt;=eco))/eco)^n)*((($BE11+$BF11*Mesh_Y+$BG11*Mesh_X))&gt;0),Mesh_A)+SUMPRODUCT((Es*(($BE11+$BF11*Geometry!$E$42:$E$59+$BG11*Geometry!$D$42:$D$59))*(ABS(Es*(($BE11+$BF11*Geometry!$E$42:$E$59+$BG11*Geometry!$D$42:$D$59)))&lt;=fy)+fy*(Es*(($BE11+$BF11*Geometry!$E$42:$E$59+$BG11*Geometry!$D$42:$D$59))&gt;fy)-fy*(Es*(($BE11+$BF11*Geometry!$E$42:$E$59+$BG11*Geometry!$D$42:$D$59))&lt;-fy)-(alpha*fck*(1-(1-((($BE11+$BF11*Geometry!$E$42:$E$59+$BG11*Geometry!$D$42:$D$59))*(($BE11+$BF11*Geometry!$E$42:$E$59+$BG11*Geometry!$D$42:$D$59)&gt;0)*(($BE11+$BF11*Geometry!$E$42:$E$59+$BG11*Geometry!$D$42:$D$59)&lt;eco)+eco*(($BE11+$BF11*Geometry!$E$42:$E$59+$BG11*Geometry!$D$42:$D$59)&gt;=eco))/eco)^n)*((($BE11+$BF11*Geometry!$E$42:$E$59+$BG11*Geometry!$D$42:$D$59))&gt;0))),Geometry!$F$42:$F$59))/1000</f>
      </c>
      <c r="CC11" s="32">
        <f>(SUMPRODUCT(alpha*fck*(1-(1-((($BH11+$BI11*Mesh_Y+$BJ11*Mesh_X))*(($BH11+$BI11*Mesh_Y+$BJ11*Mesh_X)&gt;0)*(($BH11+$BI11*Mesh_Y+$BJ11*Mesh_X)&lt;eco)+eco*(($BH11+$BI11*Mesh_Y+$BJ11*Mesh_X)&gt;=eco))/eco)^n)*((($BH11+$BI11*Mesh_Y+$BJ11*Mesh_X))&gt;0),Mesh_A)+SUMPRODUCT((Es*(($BH11+$BI11*Geometry!$E$42:$E$59+$BJ11*Geometry!$D$42:$D$59))*(ABS(Es*(($BH11+$BI11*Geometry!$E$42:$E$59+$BJ11*Geometry!$D$42:$D$59)))&lt;=fy)+fy*(Es*(($BH11+$BI11*Geometry!$E$42:$E$59+$BJ11*Geometry!$D$42:$D$59))&gt;fy)-fy*(Es*(($BH11+$BI11*Geometry!$E$42:$E$59+$BJ11*Geometry!$D$42:$D$59))&lt;-fy)-(alpha*fck*(1-(1-((($BH11+$BI11*Geometry!$E$42:$E$59+$BJ11*Geometry!$D$42:$D$59))*(($BH11+$BI11*Geometry!$E$42:$E$59+$BJ11*Geometry!$D$42:$D$59)&gt;0)*(($BH11+$BI11*Geometry!$E$42:$E$59+$BJ11*Geometry!$D$42:$D$59)&lt;eco)+eco*(($BH11+$BI11*Geometry!$E$42:$E$59+$BJ11*Geometry!$D$42:$D$59)&gt;=eco))/eco)^n)*((($BH11+$BI11*Geometry!$E$42:$E$59+$BJ11*Geometry!$D$42:$D$59))&gt;0))),Geometry!$F$42:$F$59))/1000</f>
      </c>
      <c r="CD11" s="32">
        <f>(SUMPRODUCT(alpha*fck*(1-(1-((($F11+$G11*Mesh_Y+$H11*Mesh_X))*(($F11+$G11*Mesh_Y+$H11*Mesh_X)&gt;0)*(($F11+$G11*Mesh_Y+$H11*Mesh_X)&lt;eco)+eco*(($F11+$G11*Mesh_Y+$H11*Mesh_X)&gt;=eco))/eco)^n)*((($F11+$G11*Mesh_Y+$H11*Mesh_X))&gt;0),Mesh_A,Mesh_Y)+SUMPRODUCT((Es*(($F11+$G11*Geometry!$E$42:$E$59+$H11*Geometry!$D$42:$D$59))*(ABS(Es*(($F11+$G11*Geometry!$E$42:$E$59+$H11*Geometry!$D$42:$D$59)))&lt;=fy)+fy*(Es*(($F11+$G11*Geometry!$E$42:$E$59+$H11*Geometry!$D$42:$D$59))&gt;fy)-fy*(Es*(($F11+$G11*Geometry!$E$42:$E$59+$H11*Geometry!$D$42:$D$59))&lt;-fy)-(alpha*fck*(1-(1-((($F11+$G11*Geometry!$E$42:$E$59+$H11*Geometry!$D$42:$D$59))*(($F11+$G11*Geometry!$E$42:$E$59+$H11*Geometry!$D$42:$D$59)&gt;0)*(($F11+$G11*Geometry!$E$42:$E$59+$H11*Geometry!$D$42:$D$59)&lt;eco)+eco*(($F11+$G11*Geometry!$E$42:$E$59+$H11*Geometry!$D$42:$D$59)&gt;=eco))/eco)^n)*((($F11+$G11*Geometry!$E$42:$E$59+$H11*Geometry!$D$42:$D$59))&gt;0))),Geometry!$F$42:$F$59,Geometry!$E$42:$E$59))/1000000</f>
      </c>
      <c r="CE11" s="32">
        <f>(SUMPRODUCT(alpha*fck*(1-(1-((($I11+$J11*Mesh_Y+$K11*Mesh_X))*(($I11+$J11*Mesh_Y+$K11*Mesh_X)&gt;0)*(($I11+$J11*Mesh_Y+$K11*Mesh_X)&lt;eco)+eco*(($I11+$J11*Mesh_Y+$K11*Mesh_X)&gt;=eco))/eco)^n)*((($I11+$J11*Mesh_Y+$K11*Mesh_X))&gt;0),Mesh_A,Mesh_Y)+SUMPRODUCT((Es*(($I11+$J11*Geometry!$E$42:$E$59+$K11*Geometry!$D$42:$D$59))*(ABS(Es*(($I11+$J11*Geometry!$E$42:$E$59+$K11*Geometry!$D$42:$D$59)))&lt;=fy)+fy*(Es*(($I11+$J11*Geometry!$E$42:$E$59+$K11*Geometry!$D$42:$D$59))&gt;fy)-fy*(Es*(($I11+$J11*Geometry!$E$42:$E$59+$K11*Geometry!$D$42:$D$59))&lt;-fy)-(alpha*fck*(1-(1-((($I11+$J11*Geometry!$E$42:$E$59+$K11*Geometry!$D$42:$D$59))*(($I11+$J11*Geometry!$E$42:$E$59+$K11*Geometry!$D$42:$D$59)&gt;0)*(($I11+$J11*Geometry!$E$42:$E$59+$K11*Geometry!$D$42:$D$59)&lt;eco)+eco*(($I11+$J11*Geometry!$E$42:$E$59+$K11*Geometry!$D$42:$D$59)&gt;=eco))/eco)^n)*((($I11+$J11*Geometry!$E$42:$E$59+$K11*Geometry!$D$42:$D$59))&gt;0))),Geometry!$F$42:$F$59,Geometry!$E$42:$E$59))/1000000</f>
      </c>
      <c r="CF11" s="32">
        <f>(SUMPRODUCT(alpha*fck*(1-(1-((($L11+$M11*Mesh_Y+$N11*Mesh_X))*(($L11+$M11*Mesh_Y+$N11*Mesh_X)&gt;0)*(($L11+$M11*Mesh_Y+$N11*Mesh_X)&lt;eco)+eco*(($L11+$M11*Mesh_Y+$N11*Mesh_X)&gt;=eco))/eco)^n)*((($L11+$M11*Mesh_Y+$N11*Mesh_X))&gt;0),Mesh_A,Mesh_Y)+SUMPRODUCT((Es*(($L11+$M11*Geometry!$E$42:$E$59+$N11*Geometry!$D$42:$D$59))*(ABS(Es*(($L11+$M11*Geometry!$E$42:$E$59+$N11*Geometry!$D$42:$D$59)))&lt;=fy)+fy*(Es*(($L11+$M11*Geometry!$E$42:$E$59+$N11*Geometry!$D$42:$D$59))&gt;fy)-fy*(Es*(($L11+$M11*Geometry!$E$42:$E$59+$N11*Geometry!$D$42:$D$59))&lt;-fy)-(alpha*fck*(1-(1-((($L11+$M11*Geometry!$E$42:$E$59+$N11*Geometry!$D$42:$D$59))*(($L11+$M11*Geometry!$E$42:$E$59+$N11*Geometry!$D$42:$D$59)&gt;0)*(($L11+$M11*Geometry!$E$42:$E$59+$N11*Geometry!$D$42:$D$59)&lt;eco)+eco*(($L11+$M11*Geometry!$E$42:$E$59+$N11*Geometry!$D$42:$D$59)&gt;=eco))/eco)^n)*((($L11+$M11*Geometry!$E$42:$E$59+$N11*Geometry!$D$42:$D$59))&gt;0))),Geometry!$F$42:$F$59,Geometry!$E$42:$E$59))/1000000</f>
      </c>
      <c r="CG11" s="32">
        <f>(SUMPRODUCT(alpha*fck*(1-(1-((($O11+$P11*Mesh_Y+$Q11*Mesh_X))*(($O11+$P11*Mesh_Y+$Q11*Mesh_X)&gt;0)*(($O11+$P11*Mesh_Y+$Q11*Mesh_X)&lt;eco)+eco*(($O11+$P11*Mesh_Y+$Q11*Mesh_X)&gt;=eco))/eco)^n)*((($O11+$P11*Mesh_Y+$Q11*Mesh_X))&gt;0),Mesh_A,Mesh_Y)+SUMPRODUCT((Es*(($O11+$P11*Geometry!$E$42:$E$59+$Q11*Geometry!$D$42:$D$59))*(ABS(Es*(($O11+$P11*Geometry!$E$42:$E$59+$Q11*Geometry!$D$42:$D$59)))&lt;=fy)+fy*(Es*(($O11+$P11*Geometry!$E$42:$E$59+$Q11*Geometry!$D$42:$D$59))&gt;fy)-fy*(Es*(($O11+$P11*Geometry!$E$42:$E$59+$Q11*Geometry!$D$42:$D$59))&lt;-fy)-(alpha*fck*(1-(1-((($O11+$P11*Geometry!$E$42:$E$59+$Q11*Geometry!$D$42:$D$59))*(($O11+$P11*Geometry!$E$42:$E$59+$Q11*Geometry!$D$42:$D$59)&gt;0)*(($O11+$P11*Geometry!$E$42:$E$59+$Q11*Geometry!$D$42:$D$59)&lt;eco)+eco*(($O11+$P11*Geometry!$E$42:$E$59+$Q11*Geometry!$D$42:$D$59)&gt;=eco))/eco)^n)*((($O11+$P11*Geometry!$E$42:$E$59+$Q11*Geometry!$D$42:$D$59))&gt;0))),Geometry!$F$42:$F$59,Geometry!$E$42:$E$59))/1000000</f>
      </c>
      <c r="CH11" s="32">
        <f>(SUMPRODUCT(alpha*fck*(1-(1-((($R11+$S11*Mesh_Y+$T11*Mesh_X))*(($R11+$S11*Mesh_Y+$T11*Mesh_X)&gt;0)*(($R11+$S11*Mesh_Y+$T11*Mesh_X)&lt;eco)+eco*(($R11+$S11*Mesh_Y+$T11*Mesh_X)&gt;=eco))/eco)^n)*((($R11+$S11*Mesh_Y+$T11*Mesh_X))&gt;0),Mesh_A,Mesh_Y)+SUMPRODUCT((Es*(($R11+$S11*Geometry!$E$42:$E$59+$T11*Geometry!$D$42:$D$59))*(ABS(Es*(($R11+$S11*Geometry!$E$42:$E$59+$T11*Geometry!$D$42:$D$59)))&lt;=fy)+fy*(Es*(($R11+$S11*Geometry!$E$42:$E$59+$T11*Geometry!$D$42:$D$59))&gt;fy)-fy*(Es*(($R11+$S11*Geometry!$E$42:$E$59+$T11*Geometry!$D$42:$D$59))&lt;-fy)-(alpha*fck*(1-(1-((($R11+$S11*Geometry!$E$42:$E$59+$T11*Geometry!$D$42:$D$59))*(($R11+$S11*Geometry!$E$42:$E$59+$T11*Geometry!$D$42:$D$59)&gt;0)*(($R11+$S11*Geometry!$E$42:$E$59+$T11*Geometry!$D$42:$D$59)&lt;eco)+eco*(($R11+$S11*Geometry!$E$42:$E$59+$T11*Geometry!$D$42:$D$59)&gt;=eco))/eco)^n)*((($R11+$S11*Geometry!$E$42:$E$59+$T11*Geometry!$D$42:$D$59))&gt;0))),Geometry!$F$42:$F$59,Geometry!$E$42:$E$59))/1000000</f>
      </c>
      <c r="CI11" s="32">
        <f>(SUMPRODUCT(alpha*fck*(1-(1-((($U11+$V11*Mesh_Y+$W11*Mesh_X))*(($U11+$V11*Mesh_Y+$W11*Mesh_X)&gt;0)*(($U11+$V11*Mesh_Y+$W11*Mesh_X)&lt;eco)+eco*(($U11+$V11*Mesh_Y+$W11*Mesh_X)&gt;=eco))/eco)^n)*((($U11+$V11*Mesh_Y+$W11*Mesh_X))&gt;0),Mesh_A,Mesh_Y)+SUMPRODUCT((Es*(($U11+$V11*Geometry!$E$42:$E$59+$W11*Geometry!$D$42:$D$59))*(ABS(Es*(($U11+$V11*Geometry!$E$42:$E$59+$W11*Geometry!$D$42:$D$59)))&lt;=fy)+fy*(Es*(($U11+$V11*Geometry!$E$42:$E$59+$W11*Geometry!$D$42:$D$59))&gt;fy)-fy*(Es*(($U11+$V11*Geometry!$E$42:$E$59+$W11*Geometry!$D$42:$D$59))&lt;-fy)-(alpha*fck*(1-(1-((($U11+$V11*Geometry!$E$42:$E$59+$W11*Geometry!$D$42:$D$59))*(($U11+$V11*Geometry!$E$42:$E$59+$W11*Geometry!$D$42:$D$59)&gt;0)*(($U11+$V11*Geometry!$E$42:$E$59+$W11*Geometry!$D$42:$D$59)&lt;eco)+eco*(($U11+$V11*Geometry!$E$42:$E$59+$W11*Geometry!$D$42:$D$59)&gt;=eco))/eco)^n)*((($U11+$V11*Geometry!$E$42:$E$59+$W11*Geometry!$D$42:$D$59))&gt;0))),Geometry!$F$42:$F$59,Geometry!$E$42:$E$59))/1000000</f>
      </c>
      <c r="CJ11" s="32">
        <f>(SUMPRODUCT(alpha*fck*(1-(1-((($X11+$Y11*Mesh_Y+$Z11*Mesh_X))*(($X11+$Y11*Mesh_Y+$Z11*Mesh_X)&gt;0)*(($X11+$Y11*Mesh_Y+$Z11*Mesh_X)&lt;eco)+eco*(($X11+$Y11*Mesh_Y+$Z11*Mesh_X)&gt;=eco))/eco)^n)*((($X11+$Y11*Mesh_Y+$Z11*Mesh_X))&gt;0),Mesh_A,Mesh_Y)+SUMPRODUCT((Es*(($X11+$Y11*Geometry!$E$42:$E$59+$Z11*Geometry!$D$42:$D$59))*(ABS(Es*(($X11+$Y11*Geometry!$E$42:$E$59+$Z11*Geometry!$D$42:$D$59)))&lt;=fy)+fy*(Es*(($X11+$Y11*Geometry!$E$42:$E$59+$Z11*Geometry!$D$42:$D$59))&gt;fy)-fy*(Es*(($X11+$Y11*Geometry!$E$42:$E$59+$Z11*Geometry!$D$42:$D$59))&lt;-fy)-(alpha*fck*(1-(1-((($X11+$Y11*Geometry!$E$42:$E$59+$Z11*Geometry!$D$42:$D$59))*(($X11+$Y11*Geometry!$E$42:$E$59+$Z11*Geometry!$D$42:$D$59)&gt;0)*(($X11+$Y11*Geometry!$E$42:$E$59+$Z11*Geometry!$D$42:$D$59)&lt;eco)+eco*(($X11+$Y11*Geometry!$E$42:$E$59+$Z11*Geometry!$D$42:$D$59)&gt;=eco))/eco)^n)*((($X11+$Y11*Geometry!$E$42:$E$59+$Z11*Geometry!$D$42:$D$59))&gt;0))),Geometry!$F$42:$F$59,Geometry!$E$42:$E$59))/1000000</f>
      </c>
      <c r="CK11" s="32">
        <f>(SUMPRODUCT(alpha*fck*(1-(1-((($AA11+$AB11*Mesh_Y+$AC11*Mesh_X))*(($AA11+$AB11*Mesh_Y+$AC11*Mesh_X)&gt;0)*(($AA11+$AB11*Mesh_Y+$AC11*Mesh_X)&lt;eco)+eco*(($AA11+$AB11*Mesh_Y+$AC11*Mesh_X)&gt;=eco))/eco)^n)*((($AA11+$AB11*Mesh_Y+$AC11*Mesh_X))&gt;0),Mesh_A,Mesh_Y)+SUMPRODUCT((Es*(($AA11+$AB11*Geometry!$E$42:$E$59+$AC11*Geometry!$D$42:$D$59))*(ABS(Es*(($AA11+$AB11*Geometry!$E$42:$E$59+$AC11*Geometry!$D$42:$D$59)))&lt;=fy)+fy*(Es*(($AA11+$AB11*Geometry!$E$42:$E$59+$AC11*Geometry!$D$42:$D$59))&gt;fy)-fy*(Es*(($AA11+$AB11*Geometry!$E$42:$E$59+$AC11*Geometry!$D$42:$D$59))&lt;-fy)-(alpha*fck*(1-(1-((($AA11+$AB11*Geometry!$E$42:$E$59+$AC11*Geometry!$D$42:$D$59))*(($AA11+$AB11*Geometry!$E$42:$E$59+$AC11*Geometry!$D$42:$D$59)&gt;0)*(($AA11+$AB11*Geometry!$E$42:$E$59+$AC11*Geometry!$D$42:$D$59)&lt;eco)+eco*(($AA11+$AB11*Geometry!$E$42:$E$59+$AC11*Geometry!$D$42:$D$59)&gt;=eco))/eco)^n)*((($AA11+$AB11*Geometry!$E$42:$E$59+$AC11*Geometry!$D$42:$D$59))&gt;0))),Geometry!$F$42:$F$59,Geometry!$E$42:$E$59))/1000000</f>
      </c>
      <c r="CL11" s="32">
        <f>(SUMPRODUCT(alpha*fck*(1-(1-((($AD11+$AE11*Mesh_Y+$AF11*Mesh_X))*(($AD11+$AE11*Mesh_Y+$AF11*Mesh_X)&gt;0)*(($AD11+$AE11*Mesh_Y+$AF11*Mesh_X)&lt;eco)+eco*(($AD11+$AE11*Mesh_Y+$AF11*Mesh_X)&gt;=eco))/eco)^n)*((($AD11+$AE11*Mesh_Y+$AF11*Mesh_X))&gt;0),Mesh_A,Mesh_Y)+SUMPRODUCT((Es*(($AD11+$AE11*Geometry!$E$42:$E$59+$AF11*Geometry!$D$42:$D$59))*(ABS(Es*(($AD11+$AE11*Geometry!$E$42:$E$59+$AF11*Geometry!$D$42:$D$59)))&lt;=fy)+fy*(Es*(($AD11+$AE11*Geometry!$E$42:$E$59+$AF11*Geometry!$D$42:$D$59))&gt;fy)-fy*(Es*(($AD11+$AE11*Geometry!$E$42:$E$59+$AF11*Geometry!$D$42:$D$59))&lt;-fy)-(alpha*fck*(1-(1-((($AD11+$AE11*Geometry!$E$42:$E$59+$AF11*Geometry!$D$42:$D$59))*(($AD11+$AE11*Geometry!$E$42:$E$59+$AF11*Geometry!$D$42:$D$59)&gt;0)*(($AD11+$AE11*Geometry!$E$42:$E$59+$AF11*Geometry!$D$42:$D$59)&lt;eco)+eco*(($AD11+$AE11*Geometry!$E$42:$E$59+$AF11*Geometry!$D$42:$D$59)&gt;=eco))/eco)^n)*((($AD11+$AE11*Geometry!$E$42:$E$59+$AF11*Geometry!$D$42:$D$59))&gt;0))),Geometry!$F$42:$F$59,Geometry!$E$42:$E$59))/1000000</f>
      </c>
      <c r="CM11" s="32">
        <f>(SUMPRODUCT(alpha*fck*(1-(1-((($AG11+$AH11*Mesh_Y+$AI11*Mesh_X))*(($AG11+$AH11*Mesh_Y+$AI11*Mesh_X)&gt;0)*(($AG11+$AH11*Mesh_Y+$AI11*Mesh_X)&lt;eco)+eco*(($AG11+$AH11*Mesh_Y+$AI11*Mesh_X)&gt;=eco))/eco)^n)*((($AG11+$AH11*Mesh_Y+$AI11*Mesh_X))&gt;0),Mesh_A,Mesh_Y)+SUMPRODUCT((Es*(($AG11+$AH11*Geometry!$E$42:$E$59+$AI11*Geometry!$D$42:$D$59))*(ABS(Es*(($AG11+$AH11*Geometry!$E$42:$E$59+$AI11*Geometry!$D$42:$D$59)))&lt;=fy)+fy*(Es*(($AG11+$AH11*Geometry!$E$42:$E$59+$AI11*Geometry!$D$42:$D$59))&gt;fy)-fy*(Es*(($AG11+$AH11*Geometry!$E$42:$E$59+$AI11*Geometry!$D$42:$D$59))&lt;-fy)-(alpha*fck*(1-(1-((($AG11+$AH11*Geometry!$E$42:$E$59+$AI11*Geometry!$D$42:$D$59))*(($AG11+$AH11*Geometry!$E$42:$E$59+$AI11*Geometry!$D$42:$D$59)&gt;0)*(($AG11+$AH11*Geometry!$E$42:$E$59+$AI11*Geometry!$D$42:$D$59)&lt;eco)+eco*(($AG11+$AH11*Geometry!$E$42:$E$59+$AI11*Geometry!$D$42:$D$59)&gt;=eco))/eco)^n)*((($AG11+$AH11*Geometry!$E$42:$E$59+$AI11*Geometry!$D$42:$D$59))&gt;0))),Geometry!$F$42:$F$59,Geometry!$E$42:$E$59))/1000000</f>
      </c>
      <c r="CN11" s="32">
        <f>(SUMPRODUCT(alpha*fck*(1-(1-((($AJ11+$AK11*Mesh_Y+$AL11*Mesh_X))*(($AJ11+$AK11*Mesh_Y+$AL11*Mesh_X)&gt;0)*(($AJ11+$AK11*Mesh_Y+$AL11*Mesh_X)&lt;eco)+eco*(($AJ11+$AK11*Mesh_Y+$AL11*Mesh_X)&gt;=eco))/eco)^n)*((($AJ11+$AK11*Mesh_Y+$AL11*Mesh_X))&gt;0),Mesh_A,Mesh_Y)+SUMPRODUCT((Es*(($AJ11+$AK11*Geometry!$E$42:$E$59+$AL11*Geometry!$D$42:$D$59))*(ABS(Es*(($AJ11+$AK11*Geometry!$E$42:$E$59+$AL11*Geometry!$D$42:$D$59)))&lt;=fy)+fy*(Es*(($AJ11+$AK11*Geometry!$E$42:$E$59+$AL11*Geometry!$D$42:$D$59))&gt;fy)-fy*(Es*(($AJ11+$AK11*Geometry!$E$42:$E$59+$AL11*Geometry!$D$42:$D$59))&lt;-fy)-(alpha*fck*(1-(1-((($AJ11+$AK11*Geometry!$E$42:$E$59+$AL11*Geometry!$D$42:$D$59))*(($AJ11+$AK11*Geometry!$E$42:$E$59+$AL11*Geometry!$D$42:$D$59)&gt;0)*(($AJ11+$AK11*Geometry!$E$42:$E$59+$AL11*Geometry!$D$42:$D$59)&lt;eco)+eco*(($AJ11+$AK11*Geometry!$E$42:$E$59+$AL11*Geometry!$D$42:$D$59)&gt;=eco))/eco)^n)*((($AJ11+$AK11*Geometry!$E$42:$E$59+$AL11*Geometry!$D$42:$D$59))&gt;0))),Geometry!$F$42:$F$59,Geometry!$E$42:$E$59))/1000000</f>
      </c>
      <c r="CO11" s="32">
        <f>(SUMPRODUCT(alpha*fck*(1-(1-((($AM11+$AN11*Mesh_Y+$AO11*Mesh_X))*(($AM11+$AN11*Mesh_Y+$AO11*Mesh_X)&gt;0)*(($AM11+$AN11*Mesh_Y+$AO11*Mesh_X)&lt;eco)+eco*(($AM11+$AN11*Mesh_Y+$AO11*Mesh_X)&gt;=eco))/eco)^n)*((($AM11+$AN11*Mesh_Y+$AO11*Mesh_X))&gt;0),Mesh_A,Mesh_Y)+SUMPRODUCT((Es*(($AM11+$AN11*Geometry!$E$42:$E$59+$AO11*Geometry!$D$42:$D$59))*(ABS(Es*(($AM11+$AN11*Geometry!$E$42:$E$59+$AO11*Geometry!$D$42:$D$59)))&lt;=fy)+fy*(Es*(($AM11+$AN11*Geometry!$E$42:$E$59+$AO11*Geometry!$D$42:$D$59))&gt;fy)-fy*(Es*(($AM11+$AN11*Geometry!$E$42:$E$59+$AO11*Geometry!$D$42:$D$59))&lt;-fy)-(alpha*fck*(1-(1-((($AM11+$AN11*Geometry!$E$42:$E$59+$AO11*Geometry!$D$42:$D$59))*(($AM11+$AN11*Geometry!$E$42:$E$59+$AO11*Geometry!$D$42:$D$59)&gt;0)*(($AM11+$AN11*Geometry!$E$42:$E$59+$AO11*Geometry!$D$42:$D$59)&lt;eco)+eco*(($AM11+$AN11*Geometry!$E$42:$E$59+$AO11*Geometry!$D$42:$D$59)&gt;=eco))/eco)^n)*((($AM11+$AN11*Geometry!$E$42:$E$59+$AO11*Geometry!$D$42:$D$59))&gt;0))),Geometry!$F$42:$F$59,Geometry!$E$42:$E$59))/1000000</f>
      </c>
      <c r="CP11" s="32">
        <f>(SUMPRODUCT(alpha*fck*(1-(1-((($AP11+$AQ11*Mesh_Y+$AR11*Mesh_X))*(($AP11+$AQ11*Mesh_Y+$AR11*Mesh_X)&gt;0)*(($AP11+$AQ11*Mesh_Y+$AR11*Mesh_X)&lt;eco)+eco*(($AP11+$AQ11*Mesh_Y+$AR11*Mesh_X)&gt;=eco))/eco)^n)*((($AP11+$AQ11*Mesh_Y+$AR11*Mesh_X))&gt;0),Mesh_A,Mesh_Y)+SUMPRODUCT((Es*(($AP11+$AQ11*Geometry!$E$42:$E$59+$AR11*Geometry!$D$42:$D$59))*(ABS(Es*(($AP11+$AQ11*Geometry!$E$42:$E$59+$AR11*Geometry!$D$42:$D$59)))&lt;=fy)+fy*(Es*(($AP11+$AQ11*Geometry!$E$42:$E$59+$AR11*Geometry!$D$42:$D$59))&gt;fy)-fy*(Es*(($AP11+$AQ11*Geometry!$E$42:$E$59+$AR11*Geometry!$D$42:$D$59))&lt;-fy)-(alpha*fck*(1-(1-((($AP11+$AQ11*Geometry!$E$42:$E$59+$AR11*Geometry!$D$42:$D$59))*(($AP11+$AQ11*Geometry!$E$42:$E$59+$AR11*Geometry!$D$42:$D$59)&gt;0)*(($AP11+$AQ11*Geometry!$E$42:$E$59+$AR11*Geometry!$D$42:$D$59)&lt;eco)+eco*(($AP11+$AQ11*Geometry!$E$42:$E$59+$AR11*Geometry!$D$42:$D$59)&gt;=eco))/eco)^n)*((($AP11+$AQ11*Geometry!$E$42:$E$59+$AR11*Geometry!$D$42:$D$59))&gt;0))),Geometry!$F$42:$F$59,Geometry!$E$42:$E$59))/1000000</f>
      </c>
      <c r="CQ11" s="32">
        <f>(SUMPRODUCT(alpha*fck*(1-(1-((($AS11+$AT11*Mesh_Y+$AU11*Mesh_X))*(($AS11+$AT11*Mesh_Y+$AU11*Mesh_X)&gt;0)*(($AS11+$AT11*Mesh_Y+$AU11*Mesh_X)&lt;eco)+eco*(($AS11+$AT11*Mesh_Y+$AU11*Mesh_X)&gt;=eco))/eco)^n)*((($AS11+$AT11*Mesh_Y+$AU11*Mesh_X))&gt;0),Mesh_A,Mesh_Y)+SUMPRODUCT((Es*(($AS11+$AT11*Geometry!$E$42:$E$59+$AU11*Geometry!$D$42:$D$59))*(ABS(Es*(($AS11+$AT11*Geometry!$E$42:$E$59+$AU11*Geometry!$D$42:$D$59)))&lt;=fy)+fy*(Es*(($AS11+$AT11*Geometry!$E$42:$E$59+$AU11*Geometry!$D$42:$D$59))&gt;fy)-fy*(Es*(($AS11+$AT11*Geometry!$E$42:$E$59+$AU11*Geometry!$D$42:$D$59))&lt;-fy)-(alpha*fck*(1-(1-((($AS11+$AT11*Geometry!$E$42:$E$59+$AU11*Geometry!$D$42:$D$59))*(($AS11+$AT11*Geometry!$E$42:$E$59+$AU11*Geometry!$D$42:$D$59)&gt;0)*(($AS11+$AT11*Geometry!$E$42:$E$59+$AU11*Geometry!$D$42:$D$59)&lt;eco)+eco*(($AS11+$AT11*Geometry!$E$42:$E$59+$AU11*Geometry!$D$42:$D$59)&gt;=eco))/eco)^n)*((($AS11+$AT11*Geometry!$E$42:$E$59+$AU11*Geometry!$D$42:$D$59))&gt;0))),Geometry!$F$42:$F$59,Geometry!$E$42:$E$59))/1000000</f>
      </c>
      <c r="CR11" s="32">
        <f>(SUMPRODUCT(alpha*fck*(1-(1-((($AV11+$AW11*Mesh_Y+$AX11*Mesh_X))*(($AV11+$AW11*Mesh_Y+$AX11*Mesh_X)&gt;0)*(($AV11+$AW11*Mesh_Y+$AX11*Mesh_X)&lt;eco)+eco*(($AV11+$AW11*Mesh_Y+$AX11*Mesh_X)&gt;=eco))/eco)^n)*((($AV11+$AW11*Mesh_Y+$AX11*Mesh_X))&gt;0),Mesh_A,Mesh_Y)+SUMPRODUCT((Es*(($AV11+$AW11*Geometry!$E$42:$E$59+$AX11*Geometry!$D$42:$D$59))*(ABS(Es*(($AV11+$AW11*Geometry!$E$42:$E$59+$AX11*Geometry!$D$42:$D$59)))&lt;=fy)+fy*(Es*(($AV11+$AW11*Geometry!$E$42:$E$59+$AX11*Geometry!$D$42:$D$59))&gt;fy)-fy*(Es*(($AV11+$AW11*Geometry!$E$42:$E$59+$AX11*Geometry!$D$42:$D$59))&lt;-fy)-(alpha*fck*(1-(1-((($AV11+$AW11*Geometry!$E$42:$E$59+$AX11*Geometry!$D$42:$D$59))*(($AV11+$AW11*Geometry!$E$42:$E$59+$AX11*Geometry!$D$42:$D$59)&gt;0)*(($AV11+$AW11*Geometry!$E$42:$E$59+$AX11*Geometry!$D$42:$D$59)&lt;eco)+eco*(($AV11+$AW11*Geometry!$E$42:$E$59+$AX11*Geometry!$D$42:$D$59)&gt;=eco))/eco)^n)*((($AV11+$AW11*Geometry!$E$42:$E$59+$AX11*Geometry!$D$42:$D$59))&gt;0))),Geometry!$F$42:$F$59,Geometry!$E$42:$E$59))/1000000</f>
      </c>
      <c r="CS11" s="32">
        <f>(SUMPRODUCT(alpha*fck*(1-(1-((($AY11+$AZ11*Mesh_Y+$BA11*Mesh_X))*(($AY11+$AZ11*Mesh_Y+$BA11*Mesh_X)&gt;0)*(($AY11+$AZ11*Mesh_Y+$BA11*Mesh_X)&lt;eco)+eco*(($AY11+$AZ11*Mesh_Y+$BA11*Mesh_X)&gt;=eco))/eco)^n)*((($AY11+$AZ11*Mesh_Y+$BA11*Mesh_X))&gt;0),Mesh_A,Mesh_Y)+SUMPRODUCT((Es*(($AY11+$AZ11*Geometry!$E$42:$E$59+$BA11*Geometry!$D$42:$D$59))*(ABS(Es*(($AY11+$AZ11*Geometry!$E$42:$E$59+$BA11*Geometry!$D$42:$D$59)))&lt;=fy)+fy*(Es*(($AY11+$AZ11*Geometry!$E$42:$E$59+$BA11*Geometry!$D$42:$D$59))&gt;fy)-fy*(Es*(($AY11+$AZ11*Geometry!$E$42:$E$59+$BA11*Geometry!$D$42:$D$59))&lt;-fy)-(alpha*fck*(1-(1-((($AY11+$AZ11*Geometry!$E$42:$E$59+$BA11*Geometry!$D$42:$D$59))*(($AY11+$AZ11*Geometry!$E$42:$E$59+$BA11*Geometry!$D$42:$D$59)&gt;0)*(($AY11+$AZ11*Geometry!$E$42:$E$59+$BA11*Geometry!$D$42:$D$59)&lt;eco)+eco*(($AY11+$AZ11*Geometry!$E$42:$E$59+$BA11*Geometry!$D$42:$D$59)&gt;=eco))/eco)^n)*((($AY11+$AZ11*Geometry!$E$42:$E$59+$BA11*Geometry!$D$42:$D$59))&gt;0))),Geometry!$F$42:$F$59,Geometry!$E$42:$E$59))/1000000</f>
      </c>
      <c r="CT11" s="32">
        <f>(SUMPRODUCT(alpha*fck*(1-(1-((($BB11+$BC11*Mesh_Y+$BD11*Mesh_X))*(($BB11+$BC11*Mesh_Y+$BD11*Mesh_X)&gt;0)*(($BB11+$BC11*Mesh_Y+$BD11*Mesh_X)&lt;eco)+eco*(($BB11+$BC11*Mesh_Y+$BD11*Mesh_X)&gt;=eco))/eco)^n)*((($BB11+$BC11*Mesh_Y+$BD11*Mesh_X))&gt;0),Mesh_A,Mesh_Y)+SUMPRODUCT((Es*(($BB11+$BC11*Geometry!$E$42:$E$59+$BD11*Geometry!$D$42:$D$59))*(ABS(Es*(($BB11+$BC11*Geometry!$E$42:$E$59+$BD11*Geometry!$D$42:$D$59)))&lt;=fy)+fy*(Es*(($BB11+$BC11*Geometry!$E$42:$E$59+$BD11*Geometry!$D$42:$D$59))&gt;fy)-fy*(Es*(($BB11+$BC11*Geometry!$E$42:$E$59+$BD11*Geometry!$D$42:$D$59))&lt;-fy)-(alpha*fck*(1-(1-((($BB11+$BC11*Geometry!$E$42:$E$59+$BD11*Geometry!$D$42:$D$59))*(($BB11+$BC11*Geometry!$E$42:$E$59+$BD11*Geometry!$D$42:$D$59)&gt;0)*(($BB11+$BC11*Geometry!$E$42:$E$59+$BD11*Geometry!$D$42:$D$59)&lt;eco)+eco*(($BB11+$BC11*Geometry!$E$42:$E$59+$BD11*Geometry!$D$42:$D$59)&gt;=eco))/eco)^n)*((($BB11+$BC11*Geometry!$E$42:$E$59+$BD11*Geometry!$D$42:$D$59))&gt;0))),Geometry!$F$42:$F$59,Geometry!$E$42:$E$59))/1000000</f>
      </c>
      <c r="CU11" s="32">
        <f>(SUMPRODUCT(alpha*fck*(1-(1-((($BE11+$BF11*Mesh_Y+$BG11*Mesh_X))*(($BE11+$BF11*Mesh_Y+$BG11*Mesh_X)&gt;0)*(($BE11+$BF11*Mesh_Y+$BG11*Mesh_X)&lt;eco)+eco*(($BE11+$BF11*Mesh_Y+$BG11*Mesh_X)&gt;=eco))/eco)^n)*((($BE11+$BF11*Mesh_Y+$BG11*Mesh_X))&gt;0),Mesh_A,Mesh_Y)+SUMPRODUCT((Es*(($BE11+$BF11*Geometry!$E$42:$E$59+$BG11*Geometry!$D$42:$D$59))*(ABS(Es*(($BE11+$BF11*Geometry!$E$42:$E$59+$BG11*Geometry!$D$42:$D$59)))&lt;=fy)+fy*(Es*(($BE11+$BF11*Geometry!$E$42:$E$59+$BG11*Geometry!$D$42:$D$59))&gt;fy)-fy*(Es*(($BE11+$BF11*Geometry!$E$42:$E$59+$BG11*Geometry!$D$42:$D$59))&lt;-fy)-(alpha*fck*(1-(1-((($BE11+$BF11*Geometry!$E$42:$E$59+$BG11*Geometry!$D$42:$D$59))*(($BE11+$BF11*Geometry!$E$42:$E$59+$BG11*Geometry!$D$42:$D$59)&gt;0)*(($BE11+$BF11*Geometry!$E$42:$E$59+$BG11*Geometry!$D$42:$D$59)&lt;eco)+eco*(($BE11+$BF11*Geometry!$E$42:$E$59+$BG11*Geometry!$D$42:$D$59)&gt;=eco))/eco)^n)*((($BE11+$BF11*Geometry!$E$42:$E$59+$BG11*Geometry!$D$42:$D$59))&gt;0))),Geometry!$F$42:$F$59,Geometry!$E$42:$E$59))/1000000</f>
      </c>
      <c r="CV11" s="32">
        <f>(SUMPRODUCT(alpha*fck*(1-(1-((($BH11+$BI11*Mesh_Y+$BJ11*Mesh_X))*(($BH11+$BI11*Mesh_Y+$BJ11*Mesh_X)&gt;0)*(($BH11+$BI11*Mesh_Y+$BJ11*Mesh_X)&lt;eco)+eco*(($BH11+$BI11*Mesh_Y+$BJ11*Mesh_X)&gt;=eco))/eco)^n)*((($BH11+$BI11*Mesh_Y+$BJ11*Mesh_X))&gt;0),Mesh_A,Mesh_Y)+SUMPRODUCT((Es*(($BH11+$BI11*Geometry!$E$42:$E$59+$BJ11*Geometry!$D$42:$D$59))*(ABS(Es*(($BH11+$BI11*Geometry!$E$42:$E$59+$BJ11*Geometry!$D$42:$D$59)))&lt;=fy)+fy*(Es*(($BH11+$BI11*Geometry!$E$42:$E$59+$BJ11*Geometry!$D$42:$D$59))&gt;fy)-fy*(Es*(($BH11+$BI11*Geometry!$E$42:$E$59+$BJ11*Geometry!$D$42:$D$59))&lt;-fy)-(alpha*fck*(1-(1-((($BH11+$BI11*Geometry!$E$42:$E$59+$BJ11*Geometry!$D$42:$D$59))*(($BH11+$BI11*Geometry!$E$42:$E$59+$BJ11*Geometry!$D$42:$D$59)&gt;0)*(($BH11+$BI11*Geometry!$E$42:$E$59+$BJ11*Geometry!$D$42:$D$59)&lt;eco)+eco*(($BH11+$BI11*Geometry!$E$42:$E$59+$BJ11*Geometry!$D$42:$D$59)&gt;=eco))/eco)^n)*((($BH11+$BI11*Geometry!$E$42:$E$59+$BJ11*Geometry!$D$42:$D$59))&gt;0))),Geometry!$F$42:$F$59,Geometry!$E$42:$E$59))/1000000</f>
      </c>
      <c r="CW11" s="32">
        <f>(SUMPRODUCT(alpha*fck*(1-(1-((($F11+$G11*Mesh_Y+$H11*Mesh_X))*(($F11+$G11*Mesh_Y+$H11*Mesh_X)&gt;0)*(($F11+$G11*Mesh_Y+$H11*Mesh_X)&lt;eco)+eco*(($F11+$G11*Mesh_Y+$H11*Mesh_X)&gt;=eco))/eco)^n)*((($F11+$G11*Mesh_Y+$H11*Mesh_X))&gt;0),Mesh_A,Mesh_X)+SUMPRODUCT((Es*(($F11+$G11*Geometry!$E$42:$E$59+$H11*Geometry!$D$42:$D$59))*(ABS(Es*(($F11+$G11*Geometry!$E$42:$E$59+$H11*Geometry!$D$42:$D$59)))&lt;=fy)+fy*(Es*(($F11+$G11*Geometry!$E$42:$E$59+$H11*Geometry!$D$42:$D$59))&gt;fy)-fy*(Es*(($F11+$G11*Geometry!$E$42:$E$59+$H11*Geometry!$D$42:$D$59))&lt;-fy)-(alpha*fck*(1-(1-((($F11+$G11*Geometry!$E$42:$E$59+$H11*Geometry!$D$42:$D$59))*(($F11+$G11*Geometry!$E$42:$E$59+$H11*Geometry!$D$42:$D$59)&gt;0)*(($F11+$G11*Geometry!$E$42:$E$59+$H11*Geometry!$D$42:$D$59)&lt;eco)+eco*(($F11+$G11*Geometry!$E$42:$E$59+$H11*Geometry!$D$42:$D$59)&gt;=eco))/eco)^n)*((($F11+$G11*Geometry!$E$42:$E$59+$H11*Geometry!$D$42:$D$59))&gt;0))),Geometry!$F$42:$F$59,Geometry!$D$42:$D$59))/1000000</f>
      </c>
      <c r="CX11" s="32">
        <f>(SUMPRODUCT(alpha*fck*(1-(1-((($I11+$J11*Mesh_Y+$K11*Mesh_X))*(($I11+$J11*Mesh_Y+$K11*Mesh_X)&gt;0)*(($I11+$J11*Mesh_Y+$K11*Mesh_X)&lt;eco)+eco*(($I11+$J11*Mesh_Y+$K11*Mesh_X)&gt;=eco))/eco)^n)*((($I11+$J11*Mesh_Y+$K11*Mesh_X))&gt;0),Mesh_A,Mesh_X)+SUMPRODUCT((Es*(($I11+$J11*Geometry!$E$42:$E$59+$K11*Geometry!$D$42:$D$59))*(ABS(Es*(($I11+$J11*Geometry!$E$42:$E$59+$K11*Geometry!$D$42:$D$59)))&lt;=fy)+fy*(Es*(($I11+$J11*Geometry!$E$42:$E$59+$K11*Geometry!$D$42:$D$59))&gt;fy)-fy*(Es*(($I11+$J11*Geometry!$E$42:$E$59+$K11*Geometry!$D$42:$D$59))&lt;-fy)-(alpha*fck*(1-(1-((($I11+$J11*Geometry!$E$42:$E$59+$K11*Geometry!$D$42:$D$59))*(($I11+$J11*Geometry!$E$42:$E$59+$K11*Geometry!$D$42:$D$59)&gt;0)*(($I11+$J11*Geometry!$E$42:$E$59+$K11*Geometry!$D$42:$D$59)&lt;eco)+eco*(($I11+$J11*Geometry!$E$42:$E$59+$K11*Geometry!$D$42:$D$59)&gt;=eco))/eco)^n)*((($I11+$J11*Geometry!$E$42:$E$59+$K11*Geometry!$D$42:$D$59))&gt;0))),Geometry!$F$42:$F$59,Geometry!$D$42:$D$59))/1000000</f>
      </c>
      <c r="CY11" s="32">
        <f>(SUMPRODUCT(alpha*fck*(1-(1-((($L11+$M11*Mesh_Y+$N11*Mesh_X))*(($L11+$M11*Mesh_Y+$N11*Mesh_X)&gt;0)*(($L11+$M11*Mesh_Y+$N11*Mesh_X)&lt;eco)+eco*(($L11+$M11*Mesh_Y+$N11*Mesh_X)&gt;=eco))/eco)^n)*((($L11+$M11*Mesh_Y+$N11*Mesh_X))&gt;0),Mesh_A,Mesh_X)+SUMPRODUCT((Es*(($L11+$M11*Geometry!$E$42:$E$59+$N11*Geometry!$D$42:$D$59))*(ABS(Es*(($L11+$M11*Geometry!$E$42:$E$59+$N11*Geometry!$D$42:$D$59)))&lt;=fy)+fy*(Es*(($L11+$M11*Geometry!$E$42:$E$59+$N11*Geometry!$D$42:$D$59))&gt;fy)-fy*(Es*(($L11+$M11*Geometry!$E$42:$E$59+$N11*Geometry!$D$42:$D$59))&lt;-fy)-(alpha*fck*(1-(1-((($L11+$M11*Geometry!$E$42:$E$59+$N11*Geometry!$D$42:$D$59))*(($L11+$M11*Geometry!$E$42:$E$59+$N11*Geometry!$D$42:$D$59)&gt;0)*(($L11+$M11*Geometry!$E$42:$E$59+$N11*Geometry!$D$42:$D$59)&lt;eco)+eco*(($L11+$M11*Geometry!$E$42:$E$59+$N11*Geometry!$D$42:$D$59)&gt;=eco))/eco)^n)*((($L11+$M11*Geometry!$E$42:$E$59+$N11*Geometry!$D$42:$D$59))&gt;0))),Geometry!$F$42:$F$59,Geometry!$D$42:$D$59))/1000000</f>
      </c>
      <c r="CZ11" s="32">
        <f>(SUMPRODUCT(alpha*fck*(1-(1-((($O11+$P11*Mesh_Y+$Q11*Mesh_X))*(($O11+$P11*Mesh_Y+$Q11*Mesh_X)&gt;0)*(($O11+$P11*Mesh_Y+$Q11*Mesh_X)&lt;eco)+eco*(($O11+$P11*Mesh_Y+$Q11*Mesh_X)&gt;=eco))/eco)^n)*((($O11+$P11*Mesh_Y+$Q11*Mesh_X))&gt;0),Mesh_A,Mesh_X)+SUMPRODUCT((Es*(($O11+$P11*Geometry!$E$42:$E$59+$Q11*Geometry!$D$42:$D$59))*(ABS(Es*(($O11+$P11*Geometry!$E$42:$E$59+$Q11*Geometry!$D$42:$D$59)))&lt;=fy)+fy*(Es*(($O11+$P11*Geometry!$E$42:$E$59+$Q11*Geometry!$D$42:$D$59))&gt;fy)-fy*(Es*(($O11+$P11*Geometry!$E$42:$E$59+$Q11*Geometry!$D$42:$D$59))&lt;-fy)-(alpha*fck*(1-(1-((($O11+$P11*Geometry!$E$42:$E$59+$Q11*Geometry!$D$42:$D$59))*(($O11+$P11*Geometry!$E$42:$E$59+$Q11*Geometry!$D$42:$D$59)&gt;0)*(($O11+$P11*Geometry!$E$42:$E$59+$Q11*Geometry!$D$42:$D$59)&lt;eco)+eco*(($O11+$P11*Geometry!$E$42:$E$59+$Q11*Geometry!$D$42:$D$59)&gt;=eco))/eco)^n)*((($O11+$P11*Geometry!$E$42:$E$59+$Q11*Geometry!$D$42:$D$59))&gt;0))),Geometry!$F$42:$F$59,Geometry!$D$42:$D$59))/1000000</f>
      </c>
      <c r="DA11" s="32">
        <f>(SUMPRODUCT(alpha*fck*(1-(1-((($R11+$S11*Mesh_Y+$T11*Mesh_X))*(($R11+$S11*Mesh_Y+$T11*Mesh_X)&gt;0)*(($R11+$S11*Mesh_Y+$T11*Mesh_X)&lt;eco)+eco*(($R11+$S11*Mesh_Y+$T11*Mesh_X)&gt;=eco))/eco)^n)*((($R11+$S11*Mesh_Y+$T11*Mesh_X))&gt;0),Mesh_A,Mesh_X)+SUMPRODUCT((Es*(($R11+$S11*Geometry!$E$42:$E$59+$T11*Geometry!$D$42:$D$59))*(ABS(Es*(($R11+$S11*Geometry!$E$42:$E$59+$T11*Geometry!$D$42:$D$59)))&lt;=fy)+fy*(Es*(($R11+$S11*Geometry!$E$42:$E$59+$T11*Geometry!$D$42:$D$59))&gt;fy)-fy*(Es*(($R11+$S11*Geometry!$E$42:$E$59+$T11*Geometry!$D$42:$D$59))&lt;-fy)-(alpha*fck*(1-(1-((($R11+$S11*Geometry!$E$42:$E$59+$T11*Geometry!$D$42:$D$59))*(($R11+$S11*Geometry!$E$42:$E$59+$T11*Geometry!$D$42:$D$59)&gt;0)*(($R11+$S11*Geometry!$E$42:$E$59+$T11*Geometry!$D$42:$D$59)&lt;eco)+eco*(($R11+$S11*Geometry!$E$42:$E$59+$T11*Geometry!$D$42:$D$59)&gt;=eco))/eco)^n)*((($R11+$S11*Geometry!$E$42:$E$59+$T11*Geometry!$D$42:$D$59))&gt;0))),Geometry!$F$42:$F$59,Geometry!$D$42:$D$59))/1000000</f>
      </c>
      <c r="DB11" s="32">
        <f>(SUMPRODUCT(alpha*fck*(1-(1-((($U11+$V11*Mesh_Y+$W11*Mesh_X))*(($U11+$V11*Mesh_Y+$W11*Mesh_X)&gt;0)*(($U11+$V11*Mesh_Y+$W11*Mesh_X)&lt;eco)+eco*(($U11+$V11*Mesh_Y+$W11*Mesh_X)&gt;=eco))/eco)^n)*((($U11+$V11*Mesh_Y+$W11*Mesh_X))&gt;0),Mesh_A,Mesh_X)+SUMPRODUCT((Es*(($U11+$V11*Geometry!$E$42:$E$59+$W11*Geometry!$D$42:$D$59))*(ABS(Es*(($U11+$V11*Geometry!$E$42:$E$59+$W11*Geometry!$D$42:$D$59)))&lt;=fy)+fy*(Es*(($U11+$V11*Geometry!$E$42:$E$59+$W11*Geometry!$D$42:$D$59))&gt;fy)-fy*(Es*(($U11+$V11*Geometry!$E$42:$E$59+$W11*Geometry!$D$42:$D$59))&lt;-fy)-(alpha*fck*(1-(1-((($U11+$V11*Geometry!$E$42:$E$59+$W11*Geometry!$D$42:$D$59))*(($U11+$V11*Geometry!$E$42:$E$59+$W11*Geometry!$D$42:$D$59)&gt;0)*(($U11+$V11*Geometry!$E$42:$E$59+$W11*Geometry!$D$42:$D$59)&lt;eco)+eco*(($U11+$V11*Geometry!$E$42:$E$59+$W11*Geometry!$D$42:$D$59)&gt;=eco))/eco)^n)*((($U11+$V11*Geometry!$E$42:$E$59+$W11*Geometry!$D$42:$D$59))&gt;0))),Geometry!$F$42:$F$59,Geometry!$D$42:$D$59))/1000000</f>
      </c>
      <c r="DC11" s="32">
        <f>(SUMPRODUCT(alpha*fck*(1-(1-((($X11+$Y11*Mesh_Y+$Z11*Mesh_X))*(($X11+$Y11*Mesh_Y+$Z11*Mesh_X)&gt;0)*(($X11+$Y11*Mesh_Y+$Z11*Mesh_X)&lt;eco)+eco*(($X11+$Y11*Mesh_Y+$Z11*Mesh_X)&gt;=eco))/eco)^n)*((($X11+$Y11*Mesh_Y+$Z11*Mesh_X))&gt;0),Mesh_A,Mesh_X)+SUMPRODUCT((Es*(($X11+$Y11*Geometry!$E$42:$E$59+$Z11*Geometry!$D$42:$D$59))*(ABS(Es*(($X11+$Y11*Geometry!$E$42:$E$59+$Z11*Geometry!$D$42:$D$59)))&lt;=fy)+fy*(Es*(($X11+$Y11*Geometry!$E$42:$E$59+$Z11*Geometry!$D$42:$D$59))&gt;fy)-fy*(Es*(($X11+$Y11*Geometry!$E$42:$E$59+$Z11*Geometry!$D$42:$D$59))&lt;-fy)-(alpha*fck*(1-(1-((($X11+$Y11*Geometry!$E$42:$E$59+$Z11*Geometry!$D$42:$D$59))*(($X11+$Y11*Geometry!$E$42:$E$59+$Z11*Geometry!$D$42:$D$59)&gt;0)*(($X11+$Y11*Geometry!$E$42:$E$59+$Z11*Geometry!$D$42:$D$59)&lt;eco)+eco*(($X11+$Y11*Geometry!$E$42:$E$59+$Z11*Geometry!$D$42:$D$59)&gt;=eco))/eco)^n)*((($X11+$Y11*Geometry!$E$42:$E$59+$Z11*Geometry!$D$42:$D$59))&gt;0))),Geometry!$F$42:$F$59,Geometry!$D$42:$D$59))/1000000</f>
      </c>
      <c r="DD11" s="32">
        <f>(SUMPRODUCT(alpha*fck*(1-(1-((($AA11+$AB11*Mesh_Y+$AC11*Mesh_X))*(($AA11+$AB11*Mesh_Y+$AC11*Mesh_X)&gt;0)*(($AA11+$AB11*Mesh_Y+$AC11*Mesh_X)&lt;eco)+eco*(($AA11+$AB11*Mesh_Y+$AC11*Mesh_X)&gt;=eco))/eco)^n)*((($AA11+$AB11*Mesh_Y+$AC11*Mesh_X))&gt;0),Mesh_A,Mesh_X)+SUMPRODUCT((Es*(($AA11+$AB11*Geometry!$E$42:$E$59+$AC11*Geometry!$D$42:$D$59))*(ABS(Es*(($AA11+$AB11*Geometry!$E$42:$E$59+$AC11*Geometry!$D$42:$D$59)))&lt;=fy)+fy*(Es*(($AA11+$AB11*Geometry!$E$42:$E$59+$AC11*Geometry!$D$42:$D$59))&gt;fy)-fy*(Es*(($AA11+$AB11*Geometry!$E$42:$E$59+$AC11*Geometry!$D$42:$D$59))&lt;-fy)-(alpha*fck*(1-(1-((($AA11+$AB11*Geometry!$E$42:$E$59+$AC11*Geometry!$D$42:$D$59))*(($AA11+$AB11*Geometry!$E$42:$E$59+$AC11*Geometry!$D$42:$D$59)&gt;0)*(($AA11+$AB11*Geometry!$E$42:$E$59+$AC11*Geometry!$D$42:$D$59)&lt;eco)+eco*(($AA11+$AB11*Geometry!$E$42:$E$59+$AC11*Geometry!$D$42:$D$59)&gt;=eco))/eco)^n)*((($AA11+$AB11*Geometry!$E$42:$E$59+$AC11*Geometry!$D$42:$D$59))&gt;0))),Geometry!$F$42:$F$59,Geometry!$D$42:$D$59))/1000000</f>
      </c>
      <c r="DE11" s="32">
        <f>(SUMPRODUCT(alpha*fck*(1-(1-((($AD11+$AE11*Mesh_Y+$AF11*Mesh_X))*(($AD11+$AE11*Mesh_Y+$AF11*Mesh_X)&gt;0)*(($AD11+$AE11*Mesh_Y+$AF11*Mesh_X)&lt;eco)+eco*(($AD11+$AE11*Mesh_Y+$AF11*Mesh_X)&gt;=eco))/eco)^n)*((($AD11+$AE11*Mesh_Y+$AF11*Mesh_X))&gt;0),Mesh_A,Mesh_X)+SUMPRODUCT((Es*(($AD11+$AE11*Geometry!$E$42:$E$59+$AF11*Geometry!$D$42:$D$59))*(ABS(Es*(($AD11+$AE11*Geometry!$E$42:$E$59+$AF11*Geometry!$D$42:$D$59)))&lt;=fy)+fy*(Es*(($AD11+$AE11*Geometry!$E$42:$E$59+$AF11*Geometry!$D$42:$D$59))&gt;fy)-fy*(Es*(($AD11+$AE11*Geometry!$E$42:$E$59+$AF11*Geometry!$D$42:$D$59))&lt;-fy)-(alpha*fck*(1-(1-((($AD11+$AE11*Geometry!$E$42:$E$59+$AF11*Geometry!$D$42:$D$59))*(($AD11+$AE11*Geometry!$E$42:$E$59+$AF11*Geometry!$D$42:$D$59)&gt;0)*(($AD11+$AE11*Geometry!$E$42:$E$59+$AF11*Geometry!$D$42:$D$59)&lt;eco)+eco*(($AD11+$AE11*Geometry!$E$42:$E$59+$AF11*Geometry!$D$42:$D$59)&gt;=eco))/eco)^n)*((($AD11+$AE11*Geometry!$E$42:$E$59+$AF11*Geometry!$D$42:$D$59))&gt;0))),Geometry!$F$42:$F$59,Geometry!$D$42:$D$59))/1000000</f>
      </c>
      <c r="DF11" s="32">
        <f>(SUMPRODUCT(alpha*fck*(1-(1-((($AG11+$AH11*Mesh_Y+$AI11*Mesh_X))*(($AG11+$AH11*Mesh_Y+$AI11*Mesh_X)&gt;0)*(($AG11+$AH11*Mesh_Y+$AI11*Mesh_X)&lt;eco)+eco*(($AG11+$AH11*Mesh_Y+$AI11*Mesh_X)&gt;=eco))/eco)^n)*((($AG11+$AH11*Mesh_Y+$AI11*Mesh_X))&gt;0),Mesh_A,Mesh_X)+SUMPRODUCT((Es*(($AG11+$AH11*Geometry!$E$42:$E$59+$AI11*Geometry!$D$42:$D$59))*(ABS(Es*(($AG11+$AH11*Geometry!$E$42:$E$59+$AI11*Geometry!$D$42:$D$59)))&lt;=fy)+fy*(Es*(($AG11+$AH11*Geometry!$E$42:$E$59+$AI11*Geometry!$D$42:$D$59))&gt;fy)-fy*(Es*(($AG11+$AH11*Geometry!$E$42:$E$59+$AI11*Geometry!$D$42:$D$59))&lt;-fy)-(alpha*fck*(1-(1-((($AG11+$AH11*Geometry!$E$42:$E$59+$AI11*Geometry!$D$42:$D$59))*(($AG11+$AH11*Geometry!$E$42:$E$59+$AI11*Geometry!$D$42:$D$59)&gt;0)*(($AG11+$AH11*Geometry!$E$42:$E$59+$AI11*Geometry!$D$42:$D$59)&lt;eco)+eco*(($AG11+$AH11*Geometry!$E$42:$E$59+$AI11*Geometry!$D$42:$D$59)&gt;=eco))/eco)^n)*((($AG11+$AH11*Geometry!$E$42:$E$59+$AI11*Geometry!$D$42:$D$59))&gt;0))),Geometry!$F$42:$F$59,Geometry!$D$42:$D$59))/1000000</f>
      </c>
      <c r="DG11" s="32">
        <f>(SUMPRODUCT(alpha*fck*(1-(1-((($AJ11+$AK11*Mesh_Y+$AL11*Mesh_X))*(($AJ11+$AK11*Mesh_Y+$AL11*Mesh_X)&gt;0)*(($AJ11+$AK11*Mesh_Y+$AL11*Mesh_X)&lt;eco)+eco*(($AJ11+$AK11*Mesh_Y+$AL11*Mesh_X)&gt;=eco))/eco)^n)*((($AJ11+$AK11*Mesh_Y+$AL11*Mesh_X))&gt;0),Mesh_A,Mesh_X)+SUMPRODUCT((Es*(($AJ11+$AK11*Geometry!$E$42:$E$59+$AL11*Geometry!$D$42:$D$59))*(ABS(Es*(($AJ11+$AK11*Geometry!$E$42:$E$59+$AL11*Geometry!$D$42:$D$59)))&lt;=fy)+fy*(Es*(($AJ11+$AK11*Geometry!$E$42:$E$59+$AL11*Geometry!$D$42:$D$59))&gt;fy)-fy*(Es*(($AJ11+$AK11*Geometry!$E$42:$E$59+$AL11*Geometry!$D$42:$D$59))&lt;-fy)-(alpha*fck*(1-(1-((($AJ11+$AK11*Geometry!$E$42:$E$59+$AL11*Geometry!$D$42:$D$59))*(($AJ11+$AK11*Geometry!$E$42:$E$59+$AL11*Geometry!$D$42:$D$59)&gt;0)*(($AJ11+$AK11*Geometry!$E$42:$E$59+$AL11*Geometry!$D$42:$D$59)&lt;eco)+eco*(($AJ11+$AK11*Geometry!$E$42:$E$59+$AL11*Geometry!$D$42:$D$59)&gt;=eco))/eco)^n)*((($AJ11+$AK11*Geometry!$E$42:$E$59+$AL11*Geometry!$D$42:$D$59))&gt;0))),Geometry!$F$42:$F$59,Geometry!$D$42:$D$59))/1000000</f>
      </c>
      <c r="DH11" s="32">
        <f>(SUMPRODUCT(alpha*fck*(1-(1-((($AM11+$AN11*Mesh_Y+$AO11*Mesh_X))*(($AM11+$AN11*Mesh_Y+$AO11*Mesh_X)&gt;0)*(($AM11+$AN11*Mesh_Y+$AO11*Mesh_X)&lt;eco)+eco*(($AM11+$AN11*Mesh_Y+$AO11*Mesh_X)&gt;=eco))/eco)^n)*((($AM11+$AN11*Mesh_Y+$AO11*Mesh_X))&gt;0),Mesh_A,Mesh_X)+SUMPRODUCT((Es*(($AM11+$AN11*Geometry!$E$42:$E$59+$AO11*Geometry!$D$42:$D$59))*(ABS(Es*(($AM11+$AN11*Geometry!$E$42:$E$59+$AO11*Geometry!$D$42:$D$59)))&lt;=fy)+fy*(Es*(($AM11+$AN11*Geometry!$E$42:$E$59+$AO11*Geometry!$D$42:$D$59))&gt;fy)-fy*(Es*(($AM11+$AN11*Geometry!$E$42:$E$59+$AO11*Geometry!$D$42:$D$59))&lt;-fy)-(alpha*fck*(1-(1-((($AM11+$AN11*Geometry!$E$42:$E$59+$AO11*Geometry!$D$42:$D$59))*(($AM11+$AN11*Geometry!$E$42:$E$59+$AO11*Geometry!$D$42:$D$59)&gt;0)*(($AM11+$AN11*Geometry!$E$42:$E$59+$AO11*Geometry!$D$42:$D$59)&lt;eco)+eco*(($AM11+$AN11*Geometry!$E$42:$E$59+$AO11*Geometry!$D$42:$D$59)&gt;=eco))/eco)^n)*((($AM11+$AN11*Geometry!$E$42:$E$59+$AO11*Geometry!$D$42:$D$59))&gt;0))),Geometry!$F$42:$F$59,Geometry!$D$42:$D$59))/1000000</f>
      </c>
      <c r="DI11" s="32">
        <f>(SUMPRODUCT(alpha*fck*(1-(1-((($AP11+$AQ11*Mesh_Y+$AR11*Mesh_X))*(($AP11+$AQ11*Mesh_Y+$AR11*Mesh_X)&gt;0)*(($AP11+$AQ11*Mesh_Y+$AR11*Mesh_X)&lt;eco)+eco*(($AP11+$AQ11*Mesh_Y+$AR11*Mesh_X)&gt;=eco))/eco)^n)*((($AP11+$AQ11*Mesh_Y+$AR11*Mesh_X))&gt;0),Mesh_A,Mesh_X)+SUMPRODUCT((Es*(($AP11+$AQ11*Geometry!$E$42:$E$59+$AR11*Geometry!$D$42:$D$59))*(ABS(Es*(($AP11+$AQ11*Geometry!$E$42:$E$59+$AR11*Geometry!$D$42:$D$59)))&lt;=fy)+fy*(Es*(($AP11+$AQ11*Geometry!$E$42:$E$59+$AR11*Geometry!$D$42:$D$59))&gt;fy)-fy*(Es*(($AP11+$AQ11*Geometry!$E$42:$E$59+$AR11*Geometry!$D$42:$D$59))&lt;-fy)-(alpha*fck*(1-(1-((($AP11+$AQ11*Geometry!$E$42:$E$59+$AR11*Geometry!$D$42:$D$59))*(($AP11+$AQ11*Geometry!$E$42:$E$59+$AR11*Geometry!$D$42:$D$59)&gt;0)*(($AP11+$AQ11*Geometry!$E$42:$E$59+$AR11*Geometry!$D$42:$D$59)&lt;eco)+eco*(($AP11+$AQ11*Geometry!$E$42:$E$59+$AR11*Geometry!$D$42:$D$59)&gt;=eco))/eco)^n)*((($AP11+$AQ11*Geometry!$E$42:$E$59+$AR11*Geometry!$D$42:$D$59))&gt;0))),Geometry!$F$42:$F$59,Geometry!$D$42:$D$59))/1000000</f>
      </c>
      <c r="DJ11" s="32">
        <f>(SUMPRODUCT(alpha*fck*(1-(1-((($AS11+$AT11*Mesh_Y+$AU11*Mesh_X))*(($AS11+$AT11*Mesh_Y+$AU11*Mesh_X)&gt;0)*(($AS11+$AT11*Mesh_Y+$AU11*Mesh_X)&lt;eco)+eco*(($AS11+$AT11*Mesh_Y+$AU11*Mesh_X)&gt;=eco))/eco)^n)*((($AS11+$AT11*Mesh_Y+$AU11*Mesh_X))&gt;0),Mesh_A,Mesh_X)+SUMPRODUCT((Es*(($AS11+$AT11*Geometry!$E$42:$E$59+$AU11*Geometry!$D$42:$D$59))*(ABS(Es*(($AS11+$AT11*Geometry!$E$42:$E$59+$AU11*Geometry!$D$42:$D$59)))&lt;=fy)+fy*(Es*(($AS11+$AT11*Geometry!$E$42:$E$59+$AU11*Geometry!$D$42:$D$59))&gt;fy)-fy*(Es*(($AS11+$AT11*Geometry!$E$42:$E$59+$AU11*Geometry!$D$42:$D$59))&lt;-fy)-(alpha*fck*(1-(1-((($AS11+$AT11*Geometry!$E$42:$E$59+$AU11*Geometry!$D$42:$D$59))*(($AS11+$AT11*Geometry!$E$42:$E$59+$AU11*Geometry!$D$42:$D$59)&gt;0)*(($AS11+$AT11*Geometry!$E$42:$E$59+$AU11*Geometry!$D$42:$D$59)&lt;eco)+eco*(($AS11+$AT11*Geometry!$E$42:$E$59+$AU11*Geometry!$D$42:$D$59)&gt;=eco))/eco)^n)*((($AS11+$AT11*Geometry!$E$42:$E$59+$AU11*Geometry!$D$42:$D$59))&gt;0))),Geometry!$F$42:$F$59,Geometry!$D$42:$D$59))/1000000</f>
      </c>
      <c r="DK11" s="32">
        <f>(SUMPRODUCT(alpha*fck*(1-(1-((($AV11+$AW11*Mesh_Y+$AX11*Mesh_X))*(($AV11+$AW11*Mesh_Y+$AX11*Mesh_X)&gt;0)*(($AV11+$AW11*Mesh_Y+$AX11*Mesh_X)&lt;eco)+eco*(($AV11+$AW11*Mesh_Y+$AX11*Mesh_X)&gt;=eco))/eco)^n)*((($AV11+$AW11*Mesh_Y+$AX11*Mesh_X))&gt;0),Mesh_A,Mesh_X)+SUMPRODUCT((Es*(($AV11+$AW11*Geometry!$E$42:$E$59+$AX11*Geometry!$D$42:$D$59))*(ABS(Es*(($AV11+$AW11*Geometry!$E$42:$E$59+$AX11*Geometry!$D$42:$D$59)))&lt;=fy)+fy*(Es*(($AV11+$AW11*Geometry!$E$42:$E$59+$AX11*Geometry!$D$42:$D$59))&gt;fy)-fy*(Es*(($AV11+$AW11*Geometry!$E$42:$E$59+$AX11*Geometry!$D$42:$D$59))&lt;-fy)-(alpha*fck*(1-(1-((($AV11+$AW11*Geometry!$E$42:$E$59+$AX11*Geometry!$D$42:$D$59))*(($AV11+$AW11*Geometry!$E$42:$E$59+$AX11*Geometry!$D$42:$D$59)&gt;0)*(($AV11+$AW11*Geometry!$E$42:$E$59+$AX11*Geometry!$D$42:$D$59)&lt;eco)+eco*(($AV11+$AW11*Geometry!$E$42:$E$59+$AX11*Geometry!$D$42:$D$59)&gt;=eco))/eco)^n)*((($AV11+$AW11*Geometry!$E$42:$E$59+$AX11*Geometry!$D$42:$D$59))&gt;0))),Geometry!$F$42:$F$59,Geometry!$D$42:$D$59))/1000000</f>
      </c>
      <c r="DL11" s="32">
        <f>(SUMPRODUCT(alpha*fck*(1-(1-((($AY11+$AZ11*Mesh_Y+$BA11*Mesh_X))*(($AY11+$AZ11*Mesh_Y+$BA11*Mesh_X)&gt;0)*(($AY11+$AZ11*Mesh_Y+$BA11*Mesh_X)&lt;eco)+eco*(($AY11+$AZ11*Mesh_Y+$BA11*Mesh_X)&gt;=eco))/eco)^n)*((($AY11+$AZ11*Mesh_Y+$BA11*Mesh_X))&gt;0),Mesh_A,Mesh_X)+SUMPRODUCT((Es*(($AY11+$AZ11*Geometry!$E$42:$E$59+$BA11*Geometry!$D$42:$D$59))*(ABS(Es*(($AY11+$AZ11*Geometry!$E$42:$E$59+$BA11*Geometry!$D$42:$D$59)))&lt;=fy)+fy*(Es*(($AY11+$AZ11*Geometry!$E$42:$E$59+$BA11*Geometry!$D$42:$D$59))&gt;fy)-fy*(Es*(($AY11+$AZ11*Geometry!$E$42:$E$59+$BA11*Geometry!$D$42:$D$59))&lt;-fy)-(alpha*fck*(1-(1-((($AY11+$AZ11*Geometry!$E$42:$E$59+$BA11*Geometry!$D$42:$D$59))*(($AY11+$AZ11*Geometry!$E$42:$E$59+$BA11*Geometry!$D$42:$D$59)&gt;0)*(($AY11+$AZ11*Geometry!$E$42:$E$59+$BA11*Geometry!$D$42:$D$59)&lt;eco)+eco*(($AY11+$AZ11*Geometry!$E$42:$E$59+$BA11*Geometry!$D$42:$D$59)&gt;=eco))/eco)^n)*((($AY11+$AZ11*Geometry!$E$42:$E$59+$BA11*Geometry!$D$42:$D$59))&gt;0))),Geometry!$F$42:$F$59,Geometry!$D$42:$D$59))/1000000</f>
      </c>
      <c r="DM11" s="32">
        <f>(SUMPRODUCT(alpha*fck*(1-(1-((($BB11+$BC11*Mesh_Y+$BD11*Mesh_X))*(($BB11+$BC11*Mesh_Y+$BD11*Mesh_X)&gt;0)*(($BB11+$BC11*Mesh_Y+$BD11*Mesh_X)&lt;eco)+eco*(($BB11+$BC11*Mesh_Y+$BD11*Mesh_X)&gt;=eco))/eco)^n)*((($BB11+$BC11*Mesh_Y+$BD11*Mesh_X))&gt;0),Mesh_A,Mesh_X)+SUMPRODUCT((Es*(($BB11+$BC11*Geometry!$E$42:$E$59+$BD11*Geometry!$D$42:$D$59))*(ABS(Es*(($BB11+$BC11*Geometry!$E$42:$E$59+$BD11*Geometry!$D$42:$D$59)))&lt;=fy)+fy*(Es*(($BB11+$BC11*Geometry!$E$42:$E$59+$BD11*Geometry!$D$42:$D$59))&gt;fy)-fy*(Es*(($BB11+$BC11*Geometry!$E$42:$E$59+$BD11*Geometry!$D$42:$D$59))&lt;-fy)-(alpha*fck*(1-(1-((($BB11+$BC11*Geometry!$E$42:$E$59+$BD11*Geometry!$D$42:$D$59))*(($BB11+$BC11*Geometry!$E$42:$E$59+$BD11*Geometry!$D$42:$D$59)&gt;0)*(($BB11+$BC11*Geometry!$E$42:$E$59+$BD11*Geometry!$D$42:$D$59)&lt;eco)+eco*(($BB11+$BC11*Geometry!$E$42:$E$59+$BD11*Geometry!$D$42:$D$59)&gt;=eco))/eco)^n)*((($BB11+$BC11*Geometry!$E$42:$E$59+$BD11*Geometry!$D$42:$D$59))&gt;0))),Geometry!$F$42:$F$59,Geometry!$D$42:$D$59))/1000000</f>
      </c>
      <c r="DN11" s="32">
        <f>(SUMPRODUCT(alpha*fck*(1-(1-((($BE11+$BF11*Mesh_Y+$BG11*Mesh_X))*(($BE11+$BF11*Mesh_Y+$BG11*Mesh_X)&gt;0)*(($BE11+$BF11*Mesh_Y+$BG11*Mesh_X)&lt;eco)+eco*(($BE11+$BF11*Mesh_Y+$BG11*Mesh_X)&gt;=eco))/eco)^n)*((($BE11+$BF11*Mesh_Y+$BG11*Mesh_X))&gt;0),Mesh_A,Mesh_X)+SUMPRODUCT((Es*(($BE11+$BF11*Geometry!$E$42:$E$59+$BG11*Geometry!$D$42:$D$59))*(ABS(Es*(($BE11+$BF11*Geometry!$E$42:$E$59+$BG11*Geometry!$D$42:$D$59)))&lt;=fy)+fy*(Es*(($BE11+$BF11*Geometry!$E$42:$E$59+$BG11*Geometry!$D$42:$D$59))&gt;fy)-fy*(Es*(($BE11+$BF11*Geometry!$E$42:$E$59+$BG11*Geometry!$D$42:$D$59))&lt;-fy)-(alpha*fck*(1-(1-((($BE11+$BF11*Geometry!$E$42:$E$59+$BG11*Geometry!$D$42:$D$59))*(($BE11+$BF11*Geometry!$E$42:$E$59+$BG11*Geometry!$D$42:$D$59)&gt;0)*(($BE11+$BF11*Geometry!$E$42:$E$59+$BG11*Geometry!$D$42:$D$59)&lt;eco)+eco*(($BE11+$BF11*Geometry!$E$42:$E$59+$BG11*Geometry!$D$42:$D$59)&gt;=eco))/eco)^n)*((($BE11+$BF11*Geometry!$E$42:$E$59+$BG11*Geometry!$D$42:$D$59))&gt;0))),Geometry!$F$42:$F$59,Geometry!$D$42:$D$59))/1000000</f>
      </c>
      <c r="DO11" s="32">
        <f>(SUMPRODUCT(alpha*fck*(1-(1-((($BH11+$BI11*Mesh_Y+$BJ11*Mesh_X))*(($BH11+$BI11*Mesh_Y+$BJ11*Mesh_X)&gt;0)*(($BH11+$BI11*Mesh_Y+$BJ11*Mesh_X)&lt;eco)+eco*(($BH11+$BI11*Mesh_Y+$BJ11*Mesh_X)&gt;=eco))/eco)^n)*((($BH11+$BI11*Mesh_Y+$BJ11*Mesh_X))&gt;0),Mesh_A,Mesh_X)+SUMPRODUCT((Es*(($BH11+$BI11*Geometry!$E$42:$E$59+$BJ11*Geometry!$D$42:$D$59))*(ABS(Es*(($BH11+$BI11*Geometry!$E$42:$E$59+$BJ11*Geometry!$D$42:$D$59)))&lt;=fy)+fy*(Es*(($BH11+$BI11*Geometry!$E$42:$E$59+$BJ11*Geometry!$D$42:$D$59))&gt;fy)-fy*(Es*(($BH11+$BI11*Geometry!$E$42:$E$59+$BJ11*Geometry!$D$42:$D$59))&lt;-fy)-(alpha*fck*(1-(1-((($BH11+$BI11*Geometry!$E$42:$E$59+$BJ11*Geometry!$D$42:$D$59))*(($BH11+$BI11*Geometry!$E$42:$E$59+$BJ11*Geometry!$D$42:$D$59)&gt;0)*(($BH11+$BI11*Geometry!$E$42:$E$59+$BJ11*Geometry!$D$42:$D$59)&lt;eco)+eco*(($BH11+$BI11*Geometry!$E$42:$E$59+$BJ11*Geometry!$D$42:$D$59)&gt;=eco))/eco)^n)*((($BH11+$BI11*Geometry!$E$42:$E$59+$BJ11*Geometry!$D$42:$D$59))&gt;0))),Geometry!$F$42:$F$59,Geometry!$D$42:$D$59))/1000000</f>
      </c>
      <c r="DP11" s="45">
        <f>MAX(1,MIN(18,SUMPRODUCT(--($BK11:$CC11&gt;=Pu))))</f>
      </c>
      <c r="DQ11" s="46">
        <f>(Pu-INDEX($BK11:$CC11,1,$DP11))/(INDEX($BK11:$CC11,1,$DP11+1)-INDEX($BK11:$CC11,1,$DP11))</f>
      </c>
      <c r="DR11" s="33">
        <f>INDEX($CD11:$CV11,1,$DP11)+$DQ11*(INDEX($CD11:$CV11,1,$DP11+1)-INDEX($CD11:$CV11,1,$DP11))</f>
      </c>
      <c r="DS11" s="33">
        <f>INDEX($CW11:$DO11,1,$DP11)+$DQ11*(INDEX($CW11:$DO11,1,$DP11+1)-INDEX($CW11:$DO11,1,$DP11))</f>
      </c>
      <c r="DT11" s="33">
        <f>SQRT(DR11^2+DS11^2)</f>
      </c>
    </row>
    <row r="12" spans="1:124" x14ac:dyDescent="0.25">
      <c r="A12">
        <v>5</v>
      </c>
      <c r="B12" s="43">
        <v>60</v>
      </c>
      <c r="C12" s="12">
        <f>MAX(SUMPRODUCT(MAX((Geometry!$E$6:$E$13)*COS(RADIANS($B12))+(Geometry!$D$6:$D$13)*SIN(RADIANS($B12)))))</f>
      </c>
      <c r="D12" s="12">
        <f>SUMPRODUCT(MIN((Geometry!$E$42:$E$59)*COS(RADIANS($B12))+(Geometry!$D$42:$D$59)*SIN(RADIANS($B12))))</f>
      </c>
      <c r="E12" s="12">
        <f>C12-D12</f>
      </c>
      <c r="F12" s="30">
        <f>ecu</f>
      </c>
      <c r="G12" s="44">
        <f>0*COS(RADIANS($B12))</f>
      </c>
      <c r="H12" s="44">
        <f>0*SIN(RADIANS($B12))</f>
      </c>
      <c r="I12" s="30">
        <f>ecu-((ecu-0)/($C12-($C12-PM_Angle!$C$8*$E12)))*$C12</f>
      </c>
      <c r="J12" s="44">
        <f>((ecu-0)/($C12-($C12-PM_Angle!$C$8*$E12)))*COS(RADIANS($B12))</f>
      </c>
      <c r="K12" s="44">
        <f>((ecu-0)/($C12-($C12-PM_Angle!$C$8*$E12)))*SIN(RADIANS($B12))</f>
      </c>
      <c r="L12" s="30">
        <f>ecu-((ecu-0)/($C12-($C12-PM_Angle!$C$9*$E12)))*$C12</f>
      </c>
      <c r="M12" s="44">
        <f>((ecu-0)/($C12-($C12-PM_Angle!$C$9*$E12)))*COS(RADIANS($B12))</f>
      </c>
      <c r="N12" s="44">
        <f>((ecu-0)/($C12-($C12-PM_Angle!$C$9*$E12)))*SIN(RADIANS($B12))</f>
      </c>
      <c r="O12" s="30">
        <f>ecu-((ecu-0)/($C12-($C12-PM_Angle!$C$10*$E12)))*$C12</f>
      </c>
      <c r="P12" s="44">
        <f>((ecu-0)/($C12-($C12-PM_Angle!$C$10*$E12)))*COS(RADIANS($B12))</f>
      </c>
      <c r="Q12" s="44">
        <f>((ecu-0)/($C12-($C12-PM_Angle!$C$10*$E12)))*SIN(RADIANS($B12))</f>
      </c>
      <c r="R12" s="30">
        <f>ecu-((ecu-0)/($C12-($C12-PM_Angle!$C$11*$E12)))*$C12</f>
      </c>
      <c r="S12" s="44">
        <f>((ecu-0)/($C12-($C12-PM_Angle!$C$11*$E12)))*COS(RADIANS($B12))</f>
      </c>
      <c r="T12" s="44">
        <f>((ecu-0)/($C12-($C12-PM_Angle!$C$11*$E12)))*SIN(RADIANS($B12))</f>
      </c>
      <c r="U12" s="30">
        <f>ecu-((ecu-(-PM_Angle!$E$12))/($C12-$D12))*$C12</f>
      </c>
      <c r="V12" s="44">
        <f>((ecu-(-PM_Angle!$E$12))/($C12-$D12))*COS(RADIANS($B12))</f>
      </c>
      <c r="W12" s="44">
        <f>((ecu-(-PM_Angle!$E$12))/($C12-$D12))*SIN(RADIANS($B12))</f>
      </c>
      <c r="X12" s="30">
        <f>ecu-((ecu-(-PM_Angle!$D$13*fy/Es))/($C12-$D12))*$C12</f>
      </c>
      <c r="Y12" s="44">
        <f>((ecu-(-PM_Angle!$D$13*fy/Es))/($C12-$D12))*COS(RADIANS($B12))</f>
      </c>
      <c r="Z12" s="44">
        <f>((ecu-(-PM_Angle!$D$13*fy/Es))/($C12-$D12))*SIN(RADIANS($B12))</f>
      </c>
      <c r="AA12" s="30">
        <f>ecu-((ecu-(-PM_Angle!$D$14*fy/Es))/($C12-$D12))*$C12</f>
      </c>
      <c r="AB12" s="44">
        <f>((ecu-(-PM_Angle!$D$14*fy/Es))/($C12-$D12))*COS(RADIANS($B12))</f>
      </c>
      <c r="AC12" s="44">
        <f>((ecu-(-PM_Angle!$D$14*fy/Es))/($C12-$D12))*SIN(RADIANS($B12))</f>
      </c>
      <c r="AD12" s="30">
        <f>ecu-((ecu-(-PM_Angle!$D$15*fy/Es))/($C12-$D12))*$C12</f>
      </c>
      <c r="AE12" s="44">
        <f>((ecu-(-PM_Angle!$D$15*fy/Es))/($C12-$D12))*COS(RADIANS($B12))</f>
      </c>
      <c r="AF12" s="44">
        <f>((ecu-(-PM_Angle!$D$15*fy/Es))/($C12-$D12))*SIN(RADIANS($B12))</f>
      </c>
      <c r="AG12" s="30">
        <f>ecu-((ecu-(-PM_Angle!$D$16*fy/Es))/($C12-$D12))*$C12</f>
      </c>
      <c r="AH12" s="44">
        <f>((ecu-(-PM_Angle!$D$16*fy/Es))/($C12-$D12))*COS(RADIANS($B12))</f>
      </c>
      <c r="AI12" s="44">
        <f>((ecu-(-PM_Angle!$D$16*fy/Es))/($C12-$D12))*SIN(RADIANS($B12))</f>
      </c>
      <c r="AJ12" s="30">
        <f>ecu-((ecu-(-PM_Angle!$E$17))/($C12-$D12))*$C12</f>
      </c>
      <c r="AK12" s="44">
        <f>((ecu-(-PM_Angle!$E$17))/($C12-$D12))*COS(RADIANS($B12))</f>
      </c>
      <c r="AL12" s="44">
        <f>((ecu-(-PM_Angle!$E$17))/($C12-$D12))*SIN(RADIANS($B12))</f>
      </c>
      <c r="AM12" s="30">
        <f>ecu-((ecu-(-PM_Angle!$E$18))/($C12-$D12))*$C12</f>
      </c>
      <c r="AN12" s="44">
        <f>((ecu-(-PM_Angle!$E$18))/($C12-$D12))*COS(RADIANS($B12))</f>
      </c>
      <c r="AO12" s="44">
        <f>((ecu-(-PM_Angle!$E$18))/($C12-$D12))*SIN(RADIANS($B12))</f>
      </c>
      <c r="AP12" s="30">
        <f>ecu-((ecu-(-PM_Angle!$E$19))/($C12-$D12))*$C12</f>
      </c>
      <c r="AQ12" s="44">
        <f>((ecu-(-PM_Angle!$E$19))/($C12-$D12))*COS(RADIANS($B12))</f>
      </c>
      <c r="AR12" s="44">
        <f>((ecu-(-PM_Angle!$E$19))/($C12-$D12))*SIN(RADIANS($B12))</f>
      </c>
      <c r="AS12" s="30">
        <f>ecu-((ecu-(-PM_Angle!$E$20))/($C12-$D12))*$C12</f>
      </c>
      <c r="AT12" s="44">
        <f>((ecu-(-PM_Angle!$E$20))/($C12-$D12))*COS(RADIANS($B12))</f>
      </c>
      <c r="AU12" s="44">
        <f>((ecu-(-PM_Angle!$E$20))/($C12-$D12))*SIN(RADIANS($B12))</f>
      </c>
      <c r="AV12" s="30">
        <f>ecu-((ecu-(-PM_Angle!$E$21))/($C12-$D12))*$C12</f>
      </c>
      <c r="AW12" s="44">
        <f>((ecu-(-PM_Angle!$E$21))/($C12-$D12))*COS(RADIANS($B12))</f>
      </c>
      <c r="AX12" s="44">
        <f>((ecu-(-PM_Angle!$E$21))/($C12-$D12))*SIN(RADIANS($B12))</f>
      </c>
      <c r="AY12" s="30">
        <f>ecu-((ecu-(-PM_Angle!$E$22))/($C12-$D12))*$C12</f>
      </c>
      <c r="AZ12" s="44">
        <f>((ecu-(-PM_Angle!$E$22))/($C12-$D12))*COS(RADIANS($B12))</f>
      </c>
      <c r="BA12" s="44">
        <f>((ecu-(-PM_Angle!$E$22))/($C12-$D12))*SIN(RADIANS($B12))</f>
      </c>
      <c r="BB12" s="30">
        <f>ecu-((ecu-(-PM_Angle!$E$23))/($C12-$D12))*$C12</f>
      </c>
      <c r="BC12" s="44">
        <f>((ecu-(-PM_Angle!$E$23))/($C12-$D12))*COS(RADIANS($B12))</f>
      </c>
      <c r="BD12" s="44">
        <f>((ecu-(-PM_Angle!$E$23))/($C12-$D12))*SIN(RADIANS($B12))</f>
      </c>
      <c r="BE12" s="30">
        <f>ecu-((ecu-(-PM_Angle!$E$24))/($C12-$D12))*$C12</f>
      </c>
      <c r="BF12" s="44">
        <f>((ecu-(-PM_Angle!$E$24))/($C12-$D12))*COS(RADIANS($B12))</f>
      </c>
      <c r="BG12" s="44">
        <f>((ecu-(-PM_Angle!$E$24))/($C12-$D12))*SIN(RADIANS($B12))</f>
      </c>
      <c r="BH12" s="30">
        <f>etu</f>
      </c>
      <c r="BI12" s="44">
        <f>0*COS(RADIANS($B12))</f>
      </c>
      <c r="BJ12" s="44">
        <f>0*SIN(RADIANS($B12))</f>
      </c>
      <c r="BK12" s="32">
        <f>(SUMPRODUCT(alpha*fck*(1-(1-((($F12+$G12*Mesh_Y+$H12*Mesh_X))*(($F12+$G12*Mesh_Y+$H12*Mesh_X)&gt;0)*(($F12+$G12*Mesh_Y+$H12*Mesh_X)&lt;eco)+eco*(($F12+$G12*Mesh_Y+$H12*Mesh_X)&gt;=eco))/eco)^n)*((($F12+$G12*Mesh_Y+$H12*Mesh_X))&gt;0),Mesh_A)+SUMPRODUCT((Es*(($F12+$G12*Geometry!$E$42:$E$59+$H12*Geometry!$D$42:$D$59))*(ABS(Es*(($F12+$G12*Geometry!$E$42:$E$59+$H12*Geometry!$D$42:$D$59)))&lt;=fy)+fy*(Es*(($F12+$G12*Geometry!$E$42:$E$59+$H12*Geometry!$D$42:$D$59))&gt;fy)-fy*(Es*(($F12+$G12*Geometry!$E$42:$E$59+$H12*Geometry!$D$42:$D$59))&lt;-fy)-(alpha*fck*(1-(1-((($F12+$G12*Geometry!$E$42:$E$59+$H12*Geometry!$D$42:$D$59))*(($F12+$G12*Geometry!$E$42:$E$59+$H12*Geometry!$D$42:$D$59)&gt;0)*(($F12+$G12*Geometry!$E$42:$E$59+$H12*Geometry!$D$42:$D$59)&lt;eco)+eco*(($F12+$G12*Geometry!$E$42:$E$59+$H12*Geometry!$D$42:$D$59)&gt;=eco))/eco)^n)*((($F12+$G12*Geometry!$E$42:$E$59+$H12*Geometry!$D$42:$D$59))&gt;0))),Geometry!$F$42:$F$59))/1000</f>
      </c>
      <c r="BL12" s="32">
        <f>(SUMPRODUCT(alpha*fck*(1-(1-((($I12+$J12*Mesh_Y+$K12*Mesh_X))*(($I12+$J12*Mesh_Y+$K12*Mesh_X)&gt;0)*(($I12+$J12*Mesh_Y+$K12*Mesh_X)&lt;eco)+eco*(($I12+$J12*Mesh_Y+$K12*Mesh_X)&gt;=eco))/eco)^n)*((($I12+$J12*Mesh_Y+$K12*Mesh_X))&gt;0),Mesh_A)+SUMPRODUCT((Es*(($I12+$J12*Geometry!$E$42:$E$59+$K12*Geometry!$D$42:$D$59))*(ABS(Es*(($I12+$J12*Geometry!$E$42:$E$59+$K12*Geometry!$D$42:$D$59)))&lt;=fy)+fy*(Es*(($I12+$J12*Geometry!$E$42:$E$59+$K12*Geometry!$D$42:$D$59))&gt;fy)-fy*(Es*(($I12+$J12*Geometry!$E$42:$E$59+$K12*Geometry!$D$42:$D$59))&lt;-fy)-(alpha*fck*(1-(1-((($I12+$J12*Geometry!$E$42:$E$59+$K12*Geometry!$D$42:$D$59))*(($I12+$J12*Geometry!$E$42:$E$59+$K12*Geometry!$D$42:$D$59)&gt;0)*(($I12+$J12*Geometry!$E$42:$E$59+$K12*Geometry!$D$42:$D$59)&lt;eco)+eco*(($I12+$J12*Geometry!$E$42:$E$59+$K12*Geometry!$D$42:$D$59)&gt;=eco))/eco)^n)*((($I12+$J12*Geometry!$E$42:$E$59+$K12*Geometry!$D$42:$D$59))&gt;0))),Geometry!$F$42:$F$59))/1000</f>
      </c>
      <c r="BM12" s="32">
        <f>(SUMPRODUCT(alpha*fck*(1-(1-((($L12+$M12*Mesh_Y+$N12*Mesh_X))*(($L12+$M12*Mesh_Y+$N12*Mesh_X)&gt;0)*(($L12+$M12*Mesh_Y+$N12*Mesh_X)&lt;eco)+eco*(($L12+$M12*Mesh_Y+$N12*Mesh_X)&gt;=eco))/eco)^n)*((($L12+$M12*Mesh_Y+$N12*Mesh_X))&gt;0),Mesh_A)+SUMPRODUCT((Es*(($L12+$M12*Geometry!$E$42:$E$59+$N12*Geometry!$D$42:$D$59))*(ABS(Es*(($L12+$M12*Geometry!$E$42:$E$59+$N12*Geometry!$D$42:$D$59)))&lt;=fy)+fy*(Es*(($L12+$M12*Geometry!$E$42:$E$59+$N12*Geometry!$D$42:$D$59))&gt;fy)-fy*(Es*(($L12+$M12*Geometry!$E$42:$E$59+$N12*Geometry!$D$42:$D$59))&lt;-fy)-(alpha*fck*(1-(1-((($L12+$M12*Geometry!$E$42:$E$59+$N12*Geometry!$D$42:$D$59))*(($L12+$M12*Geometry!$E$42:$E$59+$N12*Geometry!$D$42:$D$59)&gt;0)*(($L12+$M12*Geometry!$E$42:$E$59+$N12*Geometry!$D$42:$D$59)&lt;eco)+eco*(($L12+$M12*Geometry!$E$42:$E$59+$N12*Geometry!$D$42:$D$59)&gt;=eco))/eco)^n)*((($L12+$M12*Geometry!$E$42:$E$59+$N12*Geometry!$D$42:$D$59))&gt;0))),Geometry!$F$42:$F$59))/1000</f>
      </c>
      <c r="BN12" s="32">
        <f>(SUMPRODUCT(alpha*fck*(1-(1-((($O12+$P12*Mesh_Y+$Q12*Mesh_X))*(($O12+$P12*Mesh_Y+$Q12*Mesh_X)&gt;0)*(($O12+$P12*Mesh_Y+$Q12*Mesh_X)&lt;eco)+eco*(($O12+$P12*Mesh_Y+$Q12*Mesh_X)&gt;=eco))/eco)^n)*((($O12+$P12*Mesh_Y+$Q12*Mesh_X))&gt;0),Mesh_A)+SUMPRODUCT((Es*(($O12+$P12*Geometry!$E$42:$E$59+$Q12*Geometry!$D$42:$D$59))*(ABS(Es*(($O12+$P12*Geometry!$E$42:$E$59+$Q12*Geometry!$D$42:$D$59)))&lt;=fy)+fy*(Es*(($O12+$P12*Geometry!$E$42:$E$59+$Q12*Geometry!$D$42:$D$59))&gt;fy)-fy*(Es*(($O12+$P12*Geometry!$E$42:$E$59+$Q12*Geometry!$D$42:$D$59))&lt;-fy)-(alpha*fck*(1-(1-((($O12+$P12*Geometry!$E$42:$E$59+$Q12*Geometry!$D$42:$D$59))*(($O12+$P12*Geometry!$E$42:$E$59+$Q12*Geometry!$D$42:$D$59)&gt;0)*(($O12+$P12*Geometry!$E$42:$E$59+$Q12*Geometry!$D$42:$D$59)&lt;eco)+eco*(($O12+$P12*Geometry!$E$42:$E$59+$Q12*Geometry!$D$42:$D$59)&gt;=eco))/eco)^n)*((($O12+$P12*Geometry!$E$42:$E$59+$Q12*Geometry!$D$42:$D$59))&gt;0))),Geometry!$F$42:$F$59))/1000</f>
      </c>
      <c r="BO12" s="32">
        <f>(SUMPRODUCT(alpha*fck*(1-(1-((($R12+$S12*Mesh_Y+$T12*Mesh_X))*(($R12+$S12*Mesh_Y+$T12*Mesh_X)&gt;0)*(($R12+$S12*Mesh_Y+$T12*Mesh_X)&lt;eco)+eco*(($R12+$S12*Mesh_Y+$T12*Mesh_X)&gt;=eco))/eco)^n)*((($R12+$S12*Mesh_Y+$T12*Mesh_X))&gt;0),Mesh_A)+SUMPRODUCT((Es*(($R12+$S12*Geometry!$E$42:$E$59+$T12*Geometry!$D$42:$D$59))*(ABS(Es*(($R12+$S12*Geometry!$E$42:$E$59+$T12*Geometry!$D$42:$D$59)))&lt;=fy)+fy*(Es*(($R12+$S12*Geometry!$E$42:$E$59+$T12*Geometry!$D$42:$D$59))&gt;fy)-fy*(Es*(($R12+$S12*Geometry!$E$42:$E$59+$T12*Geometry!$D$42:$D$59))&lt;-fy)-(alpha*fck*(1-(1-((($R12+$S12*Geometry!$E$42:$E$59+$T12*Geometry!$D$42:$D$59))*(($R12+$S12*Geometry!$E$42:$E$59+$T12*Geometry!$D$42:$D$59)&gt;0)*(($R12+$S12*Geometry!$E$42:$E$59+$T12*Geometry!$D$42:$D$59)&lt;eco)+eco*(($R12+$S12*Geometry!$E$42:$E$59+$T12*Geometry!$D$42:$D$59)&gt;=eco))/eco)^n)*((($R12+$S12*Geometry!$E$42:$E$59+$T12*Geometry!$D$42:$D$59))&gt;0))),Geometry!$F$42:$F$59))/1000</f>
      </c>
      <c r="BP12" s="32">
        <f>(SUMPRODUCT(alpha*fck*(1-(1-((($U12+$V12*Mesh_Y+$W12*Mesh_X))*(($U12+$V12*Mesh_Y+$W12*Mesh_X)&gt;0)*(($U12+$V12*Mesh_Y+$W12*Mesh_X)&lt;eco)+eco*(($U12+$V12*Mesh_Y+$W12*Mesh_X)&gt;=eco))/eco)^n)*((($U12+$V12*Mesh_Y+$W12*Mesh_X))&gt;0),Mesh_A)+SUMPRODUCT((Es*(($U12+$V12*Geometry!$E$42:$E$59+$W12*Geometry!$D$42:$D$59))*(ABS(Es*(($U12+$V12*Geometry!$E$42:$E$59+$W12*Geometry!$D$42:$D$59)))&lt;=fy)+fy*(Es*(($U12+$V12*Geometry!$E$42:$E$59+$W12*Geometry!$D$42:$D$59))&gt;fy)-fy*(Es*(($U12+$V12*Geometry!$E$42:$E$59+$W12*Geometry!$D$42:$D$59))&lt;-fy)-(alpha*fck*(1-(1-((($U12+$V12*Geometry!$E$42:$E$59+$W12*Geometry!$D$42:$D$59))*(($U12+$V12*Geometry!$E$42:$E$59+$W12*Geometry!$D$42:$D$59)&gt;0)*(($U12+$V12*Geometry!$E$42:$E$59+$W12*Geometry!$D$42:$D$59)&lt;eco)+eco*(($U12+$V12*Geometry!$E$42:$E$59+$W12*Geometry!$D$42:$D$59)&gt;=eco))/eco)^n)*((($U12+$V12*Geometry!$E$42:$E$59+$W12*Geometry!$D$42:$D$59))&gt;0))),Geometry!$F$42:$F$59))/1000</f>
      </c>
      <c r="BQ12" s="32">
        <f>(SUMPRODUCT(alpha*fck*(1-(1-((($X12+$Y12*Mesh_Y+$Z12*Mesh_X))*(($X12+$Y12*Mesh_Y+$Z12*Mesh_X)&gt;0)*(($X12+$Y12*Mesh_Y+$Z12*Mesh_X)&lt;eco)+eco*(($X12+$Y12*Mesh_Y+$Z12*Mesh_X)&gt;=eco))/eco)^n)*((($X12+$Y12*Mesh_Y+$Z12*Mesh_X))&gt;0),Mesh_A)+SUMPRODUCT((Es*(($X12+$Y12*Geometry!$E$42:$E$59+$Z12*Geometry!$D$42:$D$59))*(ABS(Es*(($X12+$Y12*Geometry!$E$42:$E$59+$Z12*Geometry!$D$42:$D$59)))&lt;=fy)+fy*(Es*(($X12+$Y12*Geometry!$E$42:$E$59+$Z12*Geometry!$D$42:$D$59))&gt;fy)-fy*(Es*(($X12+$Y12*Geometry!$E$42:$E$59+$Z12*Geometry!$D$42:$D$59))&lt;-fy)-(alpha*fck*(1-(1-((($X12+$Y12*Geometry!$E$42:$E$59+$Z12*Geometry!$D$42:$D$59))*(($X12+$Y12*Geometry!$E$42:$E$59+$Z12*Geometry!$D$42:$D$59)&gt;0)*(($X12+$Y12*Geometry!$E$42:$E$59+$Z12*Geometry!$D$42:$D$59)&lt;eco)+eco*(($X12+$Y12*Geometry!$E$42:$E$59+$Z12*Geometry!$D$42:$D$59)&gt;=eco))/eco)^n)*((($X12+$Y12*Geometry!$E$42:$E$59+$Z12*Geometry!$D$42:$D$59))&gt;0))),Geometry!$F$42:$F$59))/1000</f>
      </c>
      <c r="BR12" s="32">
        <f>(SUMPRODUCT(alpha*fck*(1-(1-((($AA12+$AB12*Mesh_Y+$AC12*Mesh_X))*(($AA12+$AB12*Mesh_Y+$AC12*Mesh_X)&gt;0)*(($AA12+$AB12*Mesh_Y+$AC12*Mesh_X)&lt;eco)+eco*(($AA12+$AB12*Mesh_Y+$AC12*Mesh_X)&gt;=eco))/eco)^n)*((($AA12+$AB12*Mesh_Y+$AC12*Mesh_X))&gt;0),Mesh_A)+SUMPRODUCT((Es*(($AA12+$AB12*Geometry!$E$42:$E$59+$AC12*Geometry!$D$42:$D$59))*(ABS(Es*(($AA12+$AB12*Geometry!$E$42:$E$59+$AC12*Geometry!$D$42:$D$59)))&lt;=fy)+fy*(Es*(($AA12+$AB12*Geometry!$E$42:$E$59+$AC12*Geometry!$D$42:$D$59))&gt;fy)-fy*(Es*(($AA12+$AB12*Geometry!$E$42:$E$59+$AC12*Geometry!$D$42:$D$59))&lt;-fy)-(alpha*fck*(1-(1-((($AA12+$AB12*Geometry!$E$42:$E$59+$AC12*Geometry!$D$42:$D$59))*(($AA12+$AB12*Geometry!$E$42:$E$59+$AC12*Geometry!$D$42:$D$59)&gt;0)*(($AA12+$AB12*Geometry!$E$42:$E$59+$AC12*Geometry!$D$42:$D$59)&lt;eco)+eco*(($AA12+$AB12*Geometry!$E$42:$E$59+$AC12*Geometry!$D$42:$D$59)&gt;=eco))/eco)^n)*((($AA12+$AB12*Geometry!$E$42:$E$59+$AC12*Geometry!$D$42:$D$59))&gt;0))),Geometry!$F$42:$F$59))/1000</f>
      </c>
      <c r="BS12" s="32">
        <f>(SUMPRODUCT(alpha*fck*(1-(1-((($AD12+$AE12*Mesh_Y+$AF12*Mesh_X))*(($AD12+$AE12*Mesh_Y+$AF12*Mesh_X)&gt;0)*(($AD12+$AE12*Mesh_Y+$AF12*Mesh_X)&lt;eco)+eco*(($AD12+$AE12*Mesh_Y+$AF12*Mesh_X)&gt;=eco))/eco)^n)*((($AD12+$AE12*Mesh_Y+$AF12*Mesh_X))&gt;0),Mesh_A)+SUMPRODUCT((Es*(($AD12+$AE12*Geometry!$E$42:$E$59+$AF12*Geometry!$D$42:$D$59))*(ABS(Es*(($AD12+$AE12*Geometry!$E$42:$E$59+$AF12*Geometry!$D$42:$D$59)))&lt;=fy)+fy*(Es*(($AD12+$AE12*Geometry!$E$42:$E$59+$AF12*Geometry!$D$42:$D$59))&gt;fy)-fy*(Es*(($AD12+$AE12*Geometry!$E$42:$E$59+$AF12*Geometry!$D$42:$D$59))&lt;-fy)-(alpha*fck*(1-(1-((($AD12+$AE12*Geometry!$E$42:$E$59+$AF12*Geometry!$D$42:$D$59))*(($AD12+$AE12*Geometry!$E$42:$E$59+$AF12*Geometry!$D$42:$D$59)&gt;0)*(($AD12+$AE12*Geometry!$E$42:$E$59+$AF12*Geometry!$D$42:$D$59)&lt;eco)+eco*(($AD12+$AE12*Geometry!$E$42:$E$59+$AF12*Geometry!$D$42:$D$59)&gt;=eco))/eco)^n)*((($AD12+$AE12*Geometry!$E$42:$E$59+$AF12*Geometry!$D$42:$D$59))&gt;0))),Geometry!$F$42:$F$59))/1000</f>
      </c>
      <c r="BT12" s="32">
        <f>(SUMPRODUCT(alpha*fck*(1-(1-((($AG12+$AH12*Mesh_Y+$AI12*Mesh_X))*(($AG12+$AH12*Mesh_Y+$AI12*Mesh_X)&gt;0)*(($AG12+$AH12*Mesh_Y+$AI12*Mesh_X)&lt;eco)+eco*(($AG12+$AH12*Mesh_Y+$AI12*Mesh_X)&gt;=eco))/eco)^n)*((($AG12+$AH12*Mesh_Y+$AI12*Mesh_X))&gt;0),Mesh_A)+SUMPRODUCT((Es*(($AG12+$AH12*Geometry!$E$42:$E$59+$AI12*Geometry!$D$42:$D$59))*(ABS(Es*(($AG12+$AH12*Geometry!$E$42:$E$59+$AI12*Geometry!$D$42:$D$59)))&lt;=fy)+fy*(Es*(($AG12+$AH12*Geometry!$E$42:$E$59+$AI12*Geometry!$D$42:$D$59))&gt;fy)-fy*(Es*(($AG12+$AH12*Geometry!$E$42:$E$59+$AI12*Geometry!$D$42:$D$59))&lt;-fy)-(alpha*fck*(1-(1-((($AG12+$AH12*Geometry!$E$42:$E$59+$AI12*Geometry!$D$42:$D$59))*(($AG12+$AH12*Geometry!$E$42:$E$59+$AI12*Geometry!$D$42:$D$59)&gt;0)*(($AG12+$AH12*Geometry!$E$42:$E$59+$AI12*Geometry!$D$42:$D$59)&lt;eco)+eco*(($AG12+$AH12*Geometry!$E$42:$E$59+$AI12*Geometry!$D$42:$D$59)&gt;=eco))/eco)^n)*((($AG12+$AH12*Geometry!$E$42:$E$59+$AI12*Geometry!$D$42:$D$59))&gt;0))),Geometry!$F$42:$F$59))/1000</f>
      </c>
      <c r="BU12" s="32">
        <f>(SUMPRODUCT(alpha*fck*(1-(1-((($AJ12+$AK12*Mesh_Y+$AL12*Mesh_X))*(($AJ12+$AK12*Mesh_Y+$AL12*Mesh_X)&gt;0)*(($AJ12+$AK12*Mesh_Y+$AL12*Mesh_X)&lt;eco)+eco*(($AJ12+$AK12*Mesh_Y+$AL12*Mesh_X)&gt;=eco))/eco)^n)*((($AJ12+$AK12*Mesh_Y+$AL12*Mesh_X))&gt;0),Mesh_A)+SUMPRODUCT((Es*(($AJ12+$AK12*Geometry!$E$42:$E$59+$AL12*Geometry!$D$42:$D$59))*(ABS(Es*(($AJ12+$AK12*Geometry!$E$42:$E$59+$AL12*Geometry!$D$42:$D$59)))&lt;=fy)+fy*(Es*(($AJ12+$AK12*Geometry!$E$42:$E$59+$AL12*Geometry!$D$42:$D$59))&gt;fy)-fy*(Es*(($AJ12+$AK12*Geometry!$E$42:$E$59+$AL12*Geometry!$D$42:$D$59))&lt;-fy)-(alpha*fck*(1-(1-((($AJ12+$AK12*Geometry!$E$42:$E$59+$AL12*Geometry!$D$42:$D$59))*(($AJ12+$AK12*Geometry!$E$42:$E$59+$AL12*Geometry!$D$42:$D$59)&gt;0)*(($AJ12+$AK12*Geometry!$E$42:$E$59+$AL12*Geometry!$D$42:$D$59)&lt;eco)+eco*(($AJ12+$AK12*Geometry!$E$42:$E$59+$AL12*Geometry!$D$42:$D$59)&gt;=eco))/eco)^n)*((($AJ12+$AK12*Geometry!$E$42:$E$59+$AL12*Geometry!$D$42:$D$59))&gt;0))),Geometry!$F$42:$F$59))/1000</f>
      </c>
      <c r="BV12" s="32">
        <f>(SUMPRODUCT(alpha*fck*(1-(1-((($AM12+$AN12*Mesh_Y+$AO12*Mesh_X))*(($AM12+$AN12*Mesh_Y+$AO12*Mesh_X)&gt;0)*(($AM12+$AN12*Mesh_Y+$AO12*Mesh_X)&lt;eco)+eco*(($AM12+$AN12*Mesh_Y+$AO12*Mesh_X)&gt;=eco))/eco)^n)*((($AM12+$AN12*Mesh_Y+$AO12*Mesh_X))&gt;0),Mesh_A)+SUMPRODUCT((Es*(($AM12+$AN12*Geometry!$E$42:$E$59+$AO12*Geometry!$D$42:$D$59))*(ABS(Es*(($AM12+$AN12*Geometry!$E$42:$E$59+$AO12*Geometry!$D$42:$D$59)))&lt;=fy)+fy*(Es*(($AM12+$AN12*Geometry!$E$42:$E$59+$AO12*Geometry!$D$42:$D$59))&gt;fy)-fy*(Es*(($AM12+$AN12*Geometry!$E$42:$E$59+$AO12*Geometry!$D$42:$D$59))&lt;-fy)-(alpha*fck*(1-(1-((($AM12+$AN12*Geometry!$E$42:$E$59+$AO12*Geometry!$D$42:$D$59))*(($AM12+$AN12*Geometry!$E$42:$E$59+$AO12*Geometry!$D$42:$D$59)&gt;0)*(($AM12+$AN12*Geometry!$E$42:$E$59+$AO12*Geometry!$D$42:$D$59)&lt;eco)+eco*(($AM12+$AN12*Geometry!$E$42:$E$59+$AO12*Geometry!$D$42:$D$59)&gt;=eco))/eco)^n)*((($AM12+$AN12*Geometry!$E$42:$E$59+$AO12*Geometry!$D$42:$D$59))&gt;0))),Geometry!$F$42:$F$59))/1000</f>
      </c>
      <c r="BW12" s="32">
        <f>(SUMPRODUCT(alpha*fck*(1-(1-((($AP12+$AQ12*Mesh_Y+$AR12*Mesh_X))*(($AP12+$AQ12*Mesh_Y+$AR12*Mesh_X)&gt;0)*(($AP12+$AQ12*Mesh_Y+$AR12*Mesh_X)&lt;eco)+eco*(($AP12+$AQ12*Mesh_Y+$AR12*Mesh_X)&gt;=eco))/eco)^n)*((($AP12+$AQ12*Mesh_Y+$AR12*Mesh_X))&gt;0),Mesh_A)+SUMPRODUCT((Es*(($AP12+$AQ12*Geometry!$E$42:$E$59+$AR12*Geometry!$D$42:$D$59))*(ABS(Es*(($AP12+$AQ12*Geometry!$E$42:$E$59+$AR12*Geometry!$D$42:$D$59)))&lt;=fy)+fy*(Es*(($AP12+$AQ12*Geometry!$E$42:$E$59+$AR12*Geometry!$D$42:$D$59))&gt;fy)-fy*(Es*(($AP12+$AQ12*Geometry!$E$42:$E$59+$AR12*Geometry!$D$42:$D$59))&lt;-fy)-(alpha*fck*(1-(1-((($AP12+$AQ12*Geometry!$E$42:$E$59+$AR12*Geometry!$D$42:$D$59))*(($AP12+$AQ12*Geometry!$E$42:$E$59+$AR12*Geometry!$D$42:$D$59)&gt;0)*(($AP12+$AQ12*Geometry!$E$42:$E$59+$AR12*Geometry!$D$42:$D$59)&lt;eco)+eco*(($AP12+$AQ12*Geometry!$E$42:$E$59+$AR12*Geometry!$D$42:$D$59)&gt;=eco))/eco)^n)*((($AP12+$AQ12*Geometry!$E$42:$E$59+$AR12*Geometry!$D$42:$D$59))&gt;0))),Geometry!$F$42:$F$59))/1000</f>
      </c>
      <c r="BX12" s="32">
        <f>(SUMPRODUCT(alpha*fck*(1-(1-((($AS12+$AT12*Mesh_Y+$AU12*Mesh_X))*(($AS12+$AT12*Mesh_Y+$AU12*Mesh_X)&gt;0)*(($AS12+$AT12*Mesh_Y+$AU12*Mesh_X)&lt;eco)+eco*(($AS12+$AT12*Mesh_Y+$AU12*Mesh_X)&gt;=eco))/eco)^n)*((($AS12+$AT12*Mesh_Y+$AU12*Mesh_X))&gt;0),Mesh_A)+SUMPRODUCT((Es*(($AS12+$AT12*Geometry!$E$42:$E$59+$AU12*Geometry!$D$42:$D$59))*(ABS(Es*(($AS12+$AT12*Geometry!$E$42:$E$59+$AU12*Geometry!$D$42:$D$59)))&lt;=fy)+fy*(Es*(($AS12+$AT12*Geometry!$E$42:$E$59+$AU12*Geometry!$D$42:$D$59))&gt;fy)-fy*(Es*(($AS12+$AT12*Geometry!$E$42:$E$59+$AU12*Geometry!$D$42:$D$59))&lt;-fy)-(alpha*fck*(1-(1-((($AS12+$AT12*Geometry!$E$42:$E$59+$AU12*Geometry!$D$42:$D$59))*(($AS12+$AT12*Geometry!$E$42:$E$59+$AU12*Geometry!$D$42:$D$59)&gt;0)*(($AS12+$AT12*Geometry!$E$42:$E$59+$AU12*Geometry!$D$42:$D$59)&lt;eco)+eco*(($AS12+$AT12*Geometry!$E$42:$E$59+$AU12*Geometry!$D$42:$D$59)&gt;=eco))/eco)^n)*((($AS12+$AT12*Geometry!$E$42:$E$59+$AU12*Geometry!$D$42:$D$59))&gt;0))),Geometry!$F$42:$F$59))/1000</f>
      </c>
      <c r="BY12" s="32">
        <f>(SUMPRODUCT(alpha*fck*(1-(1-((($AV12+$AW12*Mesh_Y+$AX12*Mesh_X))*(($AV12+$AW12*Mesh_Y+$AX12*Mesh_X)&gt;0)*(($AV12+$AW12*Mesh_Y+$AX12*Mesh_X)&lt;eco)+eco*(($AV12+$AW12*Mesh_Y+$AX12*Mesh_X)&gt;=eco))/eco)^n)*((($AV12+$AW12*Mesh_Y+$AX12*Mesh_X))&gt;0),Mesh_A)+SUMPRODUCT((Es*(($AV12+$AW12*Geometry!$E$42:$E$59+$AX12*Geometry!$D$42:$D$59))*(ABS(Es*(($AV12+$AW12*Geometry!$E$42:$E$59+$AX12*Geometry!$D$42:$D$59)))&lt;=fy)+fy*(Es*(($AV12+$AW12*Geometry!$E$42:$E$59+$AX12*Geometry!$D$42:$D$59))&gt;fy)-fy*(Es*(($AV12+$AW12*Geometry!$E$42:$E$59+$AX12*Geometry!$D$42:$D$59))&lt;-fy)-(alpha*fck*(1-(1-((($AV12+$AW12*Geometry!$E$42:$E$59+$AX12*Geometry!$D$42:$D$59))*(($AV12+$AW12*Geometry!$E$42:$E$59+$AX12*Geometry!$D$42:$D$59)&gt;0)*(($AV12+$AW12*Geometry!$E$42:$E$59+$AX12*Geometry!$D$42:$D$59)&lt;eco)+eco*(($AV12+$AW12*Geometry!$E$42:$E$59+$AX12*Geometry!$D$42:$D$59)&gt;=eco))/eco)^n)*((($AV12+$AW12*Geometry!$E$42:$E$59+$AX12*Geometry!$D$42:$D$59))&gt;0))),Geometry!$F$42:$F$59))/1000</f>
      </c>
      <c r="BZ12" s="32">
        <f>(SUMPRODUCT(alpha*fck*(1-(1-((($AY12+$AZ12*Mesh_Y+$BA12*Mesh_X))*(($AY12+$AZ12*Mesh_Y+$BA12*Mesh_X)&gt;0)*(($AY12+$AZ12*Mesh_Y+$BA12*Mesh_X)&lt;eco)+eco*(($AY12+$AZ12*Mesh_Y+$BA12*Mesh_X)&gt;=eco))/eco)^n)*((($AY12+$AZ12*Mesh_Y+$BA12*Mesh_X))&gt;0),Mesh_A)+SUMPRODUCT((Es*(($AY12+$AZ12*Geometry!$E$42:$E$59+$BA12*Geometry!$D$42:$D$59))*(ABS(Es*(($AY12+$AZ12*Geometry!$E$42:$E$59+$BA12*Geometry!$D$42:$D$59)))&lt;=fy)+fy*(Es*(($AY12+$AZ12*Geometry!$E$42:$E$59+$BA12*Geometry!$D$42:$D$59))&gt;fy)-fy*(Es*(($AY12+$AZ12*Geometry!$E$42:$E$59+$BA12*Geometry!$D$42:$D$59))&lt;-fy)-(alpha*fck*(1-(1-((($AY12+$AZ12*Geometry!$E$42:$E$59+$BA12*Geometry!$D$42:$D$59))*(($AY12+$AZ12*Geometry!$E$42:$E$59+$BA12*Geometry!$D$42:$D$59)&gt;0)*(($AY12+$AZ12*Geometry!$E$42:$E$59+$BA12*Geometry!$D$42:$D$59)&lt;eco)+eco*(($AY12+$AZ12*Geometry!$E$42:$E$59+$BA12*Geometry!$D$42:$D$59)&gt;=eco))/eco)^n)*((($AY12+$AZ12*Geometry!$E$42:$E$59+$BA12*Geometry!$D$42:$D$59))&gt;0))),Geometry!$F$42:$F$59))/1000</f>
      </c>
      <c r="CA12" s="32">
        <f>(SUMPRODUCT(alpha*fck*(1-(1-((($BB12+$BC12*Mesh_Y+$BD12*Mesh_X))*(($BB12+$BC12*Mesh_Y+$BD12*Mesh_X)&gt;0)*(($BB12+$BC12*Mesh_Y+$BD12*Mesh_X)&lt;eco)+eco*(($BB12+$BC12*Mesh_Y+$BD12*Mesh_X)&gt;=eco))/eco)^n)*((($BB12+$BC12*Mesh_Y+$BD12*Mesh_X))&gt;0),Mesh_A)+SUMPRODUCT((Es*(($BB12+$BC12*Geometry!$E$42:$E$59+$BD12*Geometry!$D$42:$D$59))*(ABS(Es*(($BB12+$BC12*Geometry!$E$42:$E$59+$BD12*Geometry!$D$42:$D$59)))&lt;=fy)+fy*(Es*(($BB12+$BC12*Geometry!$E$42:$E$59+$BD12*Geometry!$D$42:$D$59))&gt;fy)-fy*(Es*(($BB12+$BC12*Geometry!$E$42:$E$59+$BD12*Geometry!$D$42:$D$59))&lt;-fy)-(alpha*fck*(1-(1-((($BB12+$BC12*Geometry!$E$42:$E$59+$BD12*Geometry!$D$42:$D$59))*(($BB12+$BC12*Geometry!$E$42:$E$59+$BD12*Geometry!$D$42:$D$59)&gt;0)*(($BB12+$BC12*Geometry!$E$42:$E$59+$BD12*Geometry!$D$42:$D$59)&lt;eco)+eco*(($BB12+$BC12*Geometry!$E$42:$E$59+$BD12*Geometry!$D$42:$D$59)&gt;=eco))/eco)^n)*((($BB12+$BC12*Geometry!$E$42:$E$59+$BD12*Geometry!$D$42:$D$59))&gt;0))),Geometry!$F$42:$F$59))/1000</f>
      </c>
      <c r="CB12" s="32">
        <f>(SUMPRODUCT(alpha*fck*(1-(1-((($BE12+$BF12*Mesh_Y+$BG12*Mesh_X))*(($BE12+$BF12*Mesh_Y+$BG12*Mesh_X)&gt;0)*(($BE12+$BF12*Mesh_Y+$BG12*Mesh_X)&lt;eco)+eco*(($BE12+$BF12*Mesh_Y+$BG12*Mesh_X)&gt;=eco))/eco)^n)*((($BE12+$BF12*Mesh_Y+$BG12*Mesh_X))&gt;0),Mesh_A)+SUMPRODUCT((Es*(($BE12+$BF12*Geometry!$E$42:$E$59+$BG12*Geometry!$D$42:$D$59))*(ABS(Es*(($BE12+$BF12*Geometry!$E$42:$E$59+$BG12*Geometry!$D$42:$D$59)))&lt;=fy)+fy*(Es*(($BE12+$BF12*Geometry!$E$42:$E$59+$BG12*Geometry!$D$42:$D$59))&gt;fy)-fy*(Es*(($BE12+$BF12*Geometry!$E$42:$E$59+$BG12*Geometry!$D$42:$D$59))&lt;-fy)-(alpha*fck*(1-(1-((($BE12+$BF12*Geometry!$E$42:$E$59+$BG12*Geometry!$D$42:$D$59))*(($BE12+$BF12*Geometry!$E$42:$E$59+$BG12*Geometry!$D$42:$D$59)&gt;0)*(($BE12+$BF12*Geometry!$E$42:$E$59+$BG12*Geometry!$D$42:$D$59)&lt;eco)+eco*(($BE12+$BF12*Geometry!$E$42:$E$59+$BG12*Geometry!$D$42:$D$59)&gt;=eco))/eco)^n)*((($BE12+$BF12*Geometry!$E$42:$E$59+$BG12*Geometry!$D$42:$D$59))&gt;0))),Geometry!$F$42:$F$59))/1000</f>
      </c>
      <c r="CC12" s="32">
        <f>(SUMPRODUCT(alpha*fck*(1-(1-((($BH12+$BI12*Mesh_Y+$BJ12*Mesh_X))*(($BH12+$BI12*Mesh_Y+$BJ12*Mesh_X)&gt;0)*(($BH12+$BI12*Mesh_Y+$BJ12*Mesh_X)&lt;eco)+eco*(($BH12+$BI12*Mesh_Y+$BJ12*Mesh_X)&gt;=eco))/eco)^n)*((($BH12+$BI12*Mesh_Y+$BJ12*Mesh_X))&gt;0),Mesh_A)+SUMPRODUCT((Es*(($BH12+$BI12*Geometry!$E$42:$E$59+$BJ12*Geometry!$D$42:$D$59))*(ABS(Es*(($BH12+$BI12*Geometry!$E$42:$E$59+$BJ12*Geometry!$D$42:$D$59)))&lt;=fy)+fy*(Es*(($BH12+$BI12*Geometry!$E$42:$E$59+$BJ12*Geometry!$D$42:$D$59))&gt;fy)-fy*(Es*(($BH12+$BI12*Geometry!$E$42:$E$59+$BJ12*Geometry!$D$42:$D$59))&lt;-fy)-(alpha*fck*(1-(1-((($BH12+$BI12*Geometry!$E$42:$E$59+$BJ12*Geometry!$D$42:$D$59))*(($BH12+$BI12*Geometry!$E$42:$E$59+$BJ12*Geometry!$D$42:$D$59)&gt;0)*(($BH12+$BI12*Geometry!$E$42:$E$59+$BJ12*Geometry!$D$42:$D$59)&lt;eco)+eco*(($BH12+$BI12*Geometry!$E$42:$E$59+$BJ12*Geometry!$D$42:$D$59)&gt;=eco))/eco)^n)*((($BH12+$BI12*Geometry!$E$42:$E$59+$BJ12*Geometry!$D$42:$D$59))&gt;0))),Geometry!$F$42:$F$59))/1000</f>
      </c>
      <c r="CD12" s="32">
        <f>(SUMPRODUCT(alpha*fck*(1-(1-((($F12+$G12*Mesh_Y+$H12*Mesh_X))*(($F12+$G12*Mesh_Y+$H12*Mesh_X)&gt;0)*(($F12+$G12*Mesh_Y+$H12*Mesh_X)&lt;eco)+eco*(($F12+$G12*Mesh_Y+$H12*Mesh_X)&gt;=eco))/eco)^n)*((($F12+$G12*Mesh_Y+$H12*Mesh_X))&gt;0),Mesh_A,Mesh_Y)+SUMPRODUCT((Es*(($F12+$G12*Geometry!$E$42:$E$59+$H12*Geometry!$D$42:$D$59))*(ABS(Es*(($F12+$G12*Geometry!$E$42:$E$59+$H12*Geometry!$D$42:$D$59)))&lt;=fy)+fy*(Es*(($F12+$G12*Geometry!$E$42:$E$59+$H12*Geometry!$D$42:$D$59))&gt;fy)-fy*(Es*(($F12+$G12*Geometry!$E$42:$E$59+$H12*Geometry!$D$42:$D$59))&lt;-fy)-(alpha*fck*(1-(1-((($F12+$G12*Geometry!$E$42:$E$59+$H12*Geometry!$D$42:$D$59))*(($F12+$G12*Geometry!$E$42:$E$59+$H12*Geometry!$D$42:$D$59)&gt;0)*(($F12+$G12*Geometry!$E$42:$E$59+$H12*Geometry!$D$42:$D$59)&lt;eco)+eco*(($F12+$G12*Geometry!$E$42:$E$59+$H12*Geometry!$D$42:$D$59)&gt;=eco))/eco)^n)*((($F12+$G12*Geometry!$E$42:$E$59+$H12*Geometry!$D$42:$D$59))&gt;0))),Geometry!$F$42:$F$59,Geometry!$E$42:$E$59))/1000000</f>
      </c>
      <c r="CE12" s="32">
        <f>(SUMPRODUCT(alpha*fck*(1-(1-((($I12+$J12*Mesh_Y+$K12*Mesh_X))*(($I12+$J12*Mesh_Y+$K12*Mesh_X)&gt;0)*(($I12+$J12*Mesh_Y+$K12*Mesh_X)&lt;eco)+eco*(($I12+$J12*Mesh_Y+$K12*Mesh_X)&gt;=eco))/eco)^n)*((($I12+$J12*Mesh_Y+$K12*Mesh_X))&gt;0),Mesh_A,Mesh_Y)+SUMPRODUCT((Es*(($I12+$J12*Geometry!$E$42:$E$59+$K12*Geometry!$D$42:$D$59))*(ABS(Es*(($I12+$J12*Geometry!$E$42:$E$59+$K12*Geometry!$D$42:$D$59)))&lt;=fy)+fy*(Es*(($I12+$J12*Geometry!$E$42:$E$59+$K12*Geometry!$D$42:$D$59))&gt;fy)-fy*(Es*(($I12+$J12*Geometry!$E$42:$E$59+$K12*Geometry!$D$42:$D$59))&lt;-fy)-(alpha*fck*(1-(1-((($I12+$J12*Geometry!$E$42:$E$59+$K12*Geometry!$D$42:$D$59))*(($I12+$J12*Geometry!$E$42:$E$59+$K12*Geometry!$D$42:$D$59)&gt;0)*(($I12+$J12*Geometry!$E$42:$E$59+$K12*Geometry!$D$42:$D$59)&lt;eco)+eco*(($I12+$J12*Geometry!$E$42:$E$59+$K12*Geometry!$D$42:$D$59)&gt;=eco))/eco)^n)*((($I12+$J12*Geometry!$E$42:$E$59+$K12*Geometry!$D$42:$D$59))&gt;0))),Geometry!$F$42:$F$59,Geometry!$E$42:$E$59))/1000000</f>
      </c>
      <c r="CF12" s="32">
        <f>(SUMPRODUCT(alpha*fck*(1-(1-((($L12+$M12*Mesh_Y+$N12*Mesh_X))*(($L12+$M12*Mesh_Y+$N12*Mesh_X)&gt;0)*(($L12+$M12*Mesh_Y+$N12*Mesh_X)&lt;eco)+eco*(($L12+$M12*Mesh_Y+$N12*Mesh_X)&gt;=eco))/eco)^n)*((($L12+$M12*Mesh_Y+$N12*Mesh_X))&gt;0),Mesh_A,Mesh_Y)+SUMPRODUCT((Es*(($L12+$M12*Geometry!$E$42:$E$59+$N12*Geometry!$D$42:$D$59))*(ABS(Es*(($L12+$M12*Geometry!$E$42:$E$59+$N12*Geometry!$D$42:$D$59)))&lt;=fy)+fy*(Es*(($L12+$M12*Geometry!$E$42:$E$59+$N12*Geometry!$D$42:$D$59))&gt;fy)-fy*(Es*(($L12+$M12*Geometry!$E$42:$E$59+$N12*Geometry!$D$42:$D$59))&lt;-fy)-(alpha*fck*(1-(1-((($L12+$M12*Geometry!$E$42:$E$59+$N12*Geometry!$D$42:$D$59))*(($L12+$M12*Geometry!$E$42:$E$59+$N12*Geometry!$D$42:$D$59)&gt;0)*(($L12+$M12*Geometry!$E$42:$E$59+$N12*Geometry!$D$42:$D$59)&lt;eco)+eco*(($L12+$M12*Geometry!$E$42:$E$59+$N12*Geometry!$D$42:$D$59)&gt;=eco))/eco)^n)*((($L12+$M12*Geometry!$E$42:$E$59+$N12*Geometry!$D$42:$D$59))&gt;0))),Geometry!$F$42:$F$59,Geometry!$E$42:$E$59))/1000000</f>
      </c>
      <c r="CG12" s="32">
        <f>(SUMPRODUCT(alpha*fck*(1-(1-((($O12+$P12*Mesh_Y+$Q12*Mesh_X))*(($O12+$P12*Mesh_Y+$Q12*Mesh_X)&gt;0)*(($O12+$P12*Mesh_Y+$Q12*Mesh_X)&lt;eco)+eco*(($O12+$P12*Mesh_Y+$Q12*Mesh_X)&gt;=eco))/eco)^n)*((($O12+$P12*Mesh_Y+$Q12*Mesh_X))&gt;0),Mesh_A,Mesh_Y)+SUMPRODUCT((Es*(($O12+$P12*Geometry!$E$42:$E$59+$Q12*Geometry!$D$42:$D$59))*(ABS(Es*(($O12+$P12*Geometry!$E$42:$E$59+$Q12*Geometry!$D$42:$D$59)))&lt;=fy)+fy*(Es*(($O12+$P12*Geometry!$E$42:$E$59+$Q12*Geometry!$D$42:$D$59))&gt;fy)-fy*(Es*(($O12+$P12*Geometry!$E$42:$E$59+$Q12*Geometry!$D$42:$D$59))&lt;-fy)-(alpha*fck*(1-(1-((($O12+$P12*Geometry!$E$42:$E$59+$Q12*Geometry!$D$42:$D$59))*(($O12+$P12*Geometry!$E$42:$E$59+$Q12*Geometry!$D$42:$D$59)&gt;0)*(($O12+$P12*Geometry!$E$42:$E$59+$Q12*Geometry!$D$42:$D$59)&lt;eco)+eco*(($O12+$P12*Geometry!$E$42:$E$59+$Q12*Geometry!$D$42:$D$59)&gt;=eco))/eco)^n)*((($O12+$P12*Geometry!$E$42:$E$59+$Q12*Geometry!$D$42:$D$59))&gt;0))),Geometry!$F$42:$F$59,Geometry!$E$42:$E$59))/1000000</f>
      </c>
      <c r="CH12" s="32">
        <f>(SUMPRODUCT(alpha*fck*(1-(1-((($R12+$S12*Mesh_Y+$T12*Mesh_X))*(($R12+$S12*Mesh_Y+$T12*Mesh_X)&gt;0)*(($R12+$S12*Mesh_Y+$T12*Mesh_X)&lt;eco)+eco*(($R12+$S12*Mesh_Y+$T12*Mesh_X)&gt;=eco))/eco)^n)*((($R12+$S12*Mesh_Y+$T12*Mesh_X))&gt;0),Mesh_A,Mesh_Y)+SUMPRODUCT((Es*(($R12+$S12*Geometry!$E$42:$E$59+$T12*Geometry!$D$42:$D$59))*(ABS(Es*(($R12+$S12*Geometry!$E$42:$E$59+$T12*Geometry!$D$42:$D$59)))&lt;=fy)+fy*(Es*(($R12+$S12*Geometry!$E$42:$E$59+$T12*Geometry!$D$42:$D$59))&gt;fy)-fy*(Es*(($R12+$S12*Geometry!$E$42:$E$59+$T12*Geometry!$D$42:$D$59))&lt;-fy)-(alpha*fck*(1-(1-((($R12+$S12*Geometry!$E$42:$E$59+$T12*Geometry!$D$42:$D$59))*(($R12+$S12*Geometry!$E$42:$E$59+$T12*Geometry!$D$42:$D$59)&gt;0)*(($R12+$S12*Geometry!$E$42:$E$59+$T12*Geometry!$D$42:$D$59)&lt;eco)+eco*(($R12+$S12*Geometry!$E$42:$E$59+$T12*Geometry!$D$42:$D$59)&gt;=eco))/eco)^n)*((($R12+$S12*Geometry!$E$42:$E$59+$T12*Geometry!$D$42:$D$59))&gt;0))),Geometry!$F$42:$F$59,Geometry!$E$42:$E$59))/1000000</f>
      </c>
      <c r="CI12" s="32">
        <f>(SUMPRODUCT(alpha*fck*(1-(1-((($U12+$V12*Mesh_Y+$W12*Mesh_X))*(($U12+$V12*Mesh_Y+$W12*Mesh_X)&gt;0)*(($U12+$V12*Mesh_Y+$W12*Mesh_X)&lt;eco)+eco*(($U12+$V12*Mesh_Y+$W12*Mesh_X)&gt;=eco))/eco)^n)*((($U12+$V12*Mesh_Y+$W12*Mesh_X))&gt;0),Mesh_A,Mesh_Y)+SUMPRODUCT((Es*(($U12+$V12*Geometry!$E$42:$E$59+$W12*Geometry!$D$42:$D$59))*(ABS(Es*(($U12+$V12*Geometry!$E$42:$E$59+$W12*Geometry!$D$42:$D$59)))&lt;=fy)+fy*(Es*(($U12+$V12*Geometry!$E$42:$E$59+$W12*Geometry!$D$42:$D$59))&gt;fy)-fy*(Es*(($U12+$V12*Geometry!$E$42:$E$59+$W12*Geometry!$D$42:$D$59))&lt;-fy)-(alpha*fck*(1-(1-((($U12+$V12*Geometry!$E$42:$E$59+$W12*Geometry!$D$42:$D$59))*(($U12+$V12*Geometry!$E$42:$E$59+$W12*Geometry!$D$42:$D$59)&gt;0)*(($U12+$V12*Geometry!$E$42:$E$59+$W12*Geometry!$D$42:$D$59)&lt;eco)+eco*(($U12+$V12*Geometry!$E$42:$E$59+$W12*Geometry!$D$42:$D$59)&gt;=eco))/eco)^n)*((($U12+$V12*Geometry!$E$42:$E$59+$W12*Geometry!$D$42:$D$59))&gt;0))),Geometry!$F$42:$F$59,Geometry!$E$42:$E$59))/1000000</f>
      </c>
      <c r="CJ12" s="32">
        <f>(SUMPRODUCT(alpha*fck*(1-(1-((($X12+$Y12*Mesh_Y+$Z12*Mesh_X))*(($X12+$Y12*Mesh_Y+$Z12*Mesh_X)&gt;0)*(($X12+$Y12*Mesh_Y+$Z12*Mesh_X)&lt;eco)+eco*(($X12+$Y12*Mesh_Y+$Z12*Mesh_X)&gt;=eco))/eco)^n)*((($X12+$Y12*Mesh_Y+$Z12*Mesh_X))&gt;0),Mesh_A,Mesh_Y)+SUMPRODUCT((Es*(($X12+$Y12*Geometry!$E$42:$E$59+$Z12*Geometry!$D$42:$D$59))*(ABS(Es*(($X12+$Y12*Geometry!$E$42:$E$59+$Z12*Geometry!$D$42:$D$59)))&lt;=fy)+fy*(Es*(($X12+$Y12*Geometry!$E$42:$E$59+$Z12*Geometry!$D$42:$D$59))&gt;fy)-fy*(Es*(($X12+$Y12*Geometry!$E$42:$E$59+$Z12*Geometry!$D$42:$D$59))&lt;-fy)-(alpha*fck*(1-(1-((($X12+$Y12*Geometry!$E$42:$E$59+$Z12*Geometry!$D$42:$D$59))*(($X12+$Y12*Geometry!$E$42:$E$59+$Z12*Geometry!$D$42:$D$59)&gt;0)*(($X12+$Y12*Geometry!$E$42:$E$59+$Z12*Geometry!$D$42:$D$59)&lt;eco)+eco*(($X12+$Y12*Geometry!$E$42:$E$59+$Z12*Geometry!$D$42:$D$59)&gt;=eco))/eco)^n)*((($X12+$Y12*Geometry!$E$42:$E$59+$Z12*Geometry!$D$42:$D$59))&gt;0))),Geometry!$F$42:$F$59,Geometry!$E$42:$E$59))/1000000</f>
      </c>
      <c r="CK12" s="32">
        <f>(SUMPRODUCT(alpha*fck*(1-(1-((($AA12+$AB12*Mesh_Y+$AC12*Mesh_X))*(($AA12+$AB12*Mesh_Y+$AC12*Mesh_X)&gt;0)*(($AA12+$AB12*Mesh_Y+$AC12*Mesh_X)&lt;eco)+eco*(($AA12+$AB12*Mesh_Y+$AC12*Mesh_X)&gt;=eco))/eco)^n)*((($AA12+$AB12*Mesh_Y+$AC12*Mesh_X))&gt;0),Mesh_A,Mesh_Y)+SUMPRODUCT((Es*(($AA12+$AB12*Geometry!$E$42:$E$59+$AC12*Geometry!$D$42:$D$59))*(ABS(Es*(($AA12+$AB12*Geometry!$E$42:$E$59+$AC12*Geometry!$D$42:$D$59)))&lt;=fy)+fy*(Es*(($AA12+$AB12*Geometry!$E$42:$E$59+$AC12*Geometry!$D$42:$D$59))&gt;fy)-fy*(Es*(($AA12+$AB12*Geometry!$E$42:$E$59+$AC12*Geometry!$D$42:$D$59))&lt;-fy)-(alpha*fck*(1-(1-((($AA12+$AB12*Geometry!$E$42:$E$59+$AC12*Geometry!$D$42:$D$59))*(($AA12+$AB12*Geometry!$E$42:$E$59+$AC12*Geometry!$D$42:$D$59)&gt;0)*(($AA12+$AB12*Geometry!$E$42:$E$59+$AC12*Geometry!$D$42:$D$59)&lt;eco)+eco*(($AA12+$AB12*Geometry!$E$42:$E$59+$AC12*Geometry!$D$42:$D$59)&gt;=eco))/eco)^n)*((($AA12+$AB12*Geometry!$E$42:$E$59+$AC12*Geometry!$D$42:$D$59))&gt;0))),Geometry!$F$42:$F$59,Geometry!$E$42:$E$59))/1000000</f>
      </c>
      <c r="CL12" s="32">
        <f>(SUMPRODUCT(alpha*fck*(1-(1-((($AD12+$AE12*Mesh_Y+$AF12*Mesh_X))*(($AD12+$AE12*Mesh_Y+$AF12*Mesh_X)&gt;0)*(($AD12+$AE12*Mesh_Y+$AF12*Mesh_X)&lt;eco)+eco*(($AD12+$AE12*Mesh_Y+$AF12*Mesh_X)&gt;=eco))/eco)^n)*((($AD12+$AE12*Mesh_Y+$AF12*Mesh_X))&gt;0),Mesh_A,Mesh_Y)+SUMPRODUCT((Es*(($AD12+$AE12*Geometry!$E$42:$E$59+$AF12*Geometry!$D$42:$D$59))*(ABS(Es*(($AD12+$AE12*Geometry!$E$42:$E$59+$AF12*Geometry!$D$42:$D$59)))&lt;=fy)+fy*(Es*(($AD12+$AE12*Geometry!$E$42:$E$59+$AF12*Geometry!$D$42:$D$59))&gt;fy)-fy*(Es*(($AD12+$AE12*Geometry!$E$42:$E$59+$AF12*Geometry!$D$42:$D$59))&lt;-fy)-(alpha*fck*(1-(1-((($AD12+$AE12*Geometry!$E$42:$E$59+$AF12*Geometry!$D$42:$D$59))*(($AD12+$AE12*Geometry!$E$42:$E$59+$AF12*Geometry!$D$42:$D$59)&gt;0)*(($AD12+$AE12*Geometry!$E$42:$E$59+$AF12*Geometry!$D$42:$D$59)&lt;eco)+eco*(($AD12+$AE12*Geometry!$E$42:$E$59+$AF12*Geometry!$D$42:$D$59)&gt;=eco))/eco)^n)*((($AD12+$AE12*Geometry!$E$42:$E$59+$AF12*Geometry!$D$42:$D$59))&gt;0))),Geometry!$F$42:$F$59,Geometry!$E$42:$E$59))/1000000</f>
      </c>
      <c r="CM12" s="32">
        <f>(SUMPRODUCT(alpha*fck*(1-(1-((($AG12+$AH12*Mesh_Y+$AI12*Mesh_X))*(($AG12+$AH12*Mesh_Y+$AI12*Mesh_X)&gt;0)*(($AG12+$AH12*Mesh_Y+$AI12*Mesh_X)&lt;eco)+eco*(($AG12+$AH12*Mesh_Y+$AI12*Mesh_X)&gt;=eco))/eco)^n)*((($AG12+$AH12*Mesh_Y+$AI12*Mesh_X))&gt;0),Mesh_A,Mesh_Y)+SUMPRODUCT((Es*(($AG12+$AH12*Geometry!$E$42:$E$59+$AI12*Geometry!$D$42:$D$59))*(ABS(Es*(($AG12+$AH12*Geometry!$E$42:$E$59+$AI12*Geometry!$D$42:$D$59)))&lt;=fy)+fy*(Es*(($AG12+$AH12*Geometry!$E$42:$E$59+$AI12*Geometry!$D$42:$D$59))&gt;fy)-fy*(Es*(($AG12+$AH12*Geometry!$E$42:$E$59+$AI12*Geometry!$D$42:$D$59))&lt;-fy)-(alpha*fck*(1-(1-((($AG12+$AH12*Geometry!$E$42:$E$59+$AI12*Geometry!$D$42:$D$59))*(($AG12+$AH12*Geometry!$E$42:$E$59+$AI12*Geometry!$D$42:$D$59)&gt;0)*(($AG12+$AH12*Geometry!$E$42:$E$59+$AI12*Geometry!$D$42:$D$59)&lt;eco)+eco*(($AG12+$AH12*Geometry!$E$42:$E$59+$AI12*Geometry!$D$42:$D$59)&gt;=eco))/eco)^n)*((($AG12+$AH12*Geometry!$E$42:$E$59+$AI12*Geometry!$D$42:$D$59))&gt;0))),Geometry!$F$42:$F$59,Geometry!$E$42:$E$59))/1000000</f>
      </c>
      <c r="CN12" s="32">
        <f>(SUMPRODUCT(alpha*fck*(1-(1-((($AJ12+$AK12*Mesh_Y+$AL12*Mesh_X))*(($AJ12+$AK12*Mesh_Y+$AL12*Mesh_X)&gt;0)*(($AJ12+$AK12*Mesh_Y+$AL12*Mesh_X)&lt;eco)+eco*(($AJ12+$AK12*Mesh_Y+$AL12*Mesh_X)&gt;=eco))/eco)^n)*((($AJ12+$AK12*Mesh_Y+$AL12*Mesh_X))&gt;0),Mesh_A,Mesh_Y)+SUMPRODUCT((Es*(($AJ12+$AK12*Geometry!$E$42:$E$59+$AL12*Geometry!$D$42:$D$59))*(ABS(Es*(($AJ12+$AK12*Geometry!$E$42:$E$59+$AL12*Geometry!$D$42:$D$59)))&lt;=fy)+fy*(Es*(($AJ12+$AK12*Geometry!$E$42:$E$59+$AL12*Geometry!$D$42:$D$59))&gt;fy)-fy*(Es*(($AJ12+$AK12*Geometry!$E$42:$E$59+$AL12*Geometry!$D$42:$D$59))&lt;-fy)-(alpha*fck*(1-(1-((($AJ12+$AK12*Geometry!$E$42:$E$59+$AL12*Geometry!$D$42:$D$59))*(($AJ12+$AK12*Geometry!$E$42:$E$59+$AL12*Geometry!$D$42:$D$59)&gt;0)*(($AJ12+$AK12*Geometry!$E$42:$E$59+$AL12*Geometry!$D$42:$D$59)&lt;eco)+eco*(($AJ12+$AK12*Geometry!$E$42:$E$59+$AL12*Geometry!$D$42:$D$59)&gt;=eco))/eco)^n)*((($AJ12+$AK12*Geometry!$E$42:$E$59+$AL12*Geometry!$D$42:$D$59))&gt;0))),Geometry!$F$42:$F$59,Geometry!$E$42:$E$59))/1000000</f>
      </c>
      <c r="CO12" s="32">
        <f>(SUMPRODUCT(alpha*fck*(1-(1-((($AM12+$AN12*Mesh_Y+$AO12*Mesh_X))*(($AM12+$AN12*Mesh_Y+$AO12*Mesh_X)&gt;0)*(($AM12+$AN12*Mesh_Y+$AO12*Mesh_X)&lt;eco)+eco*(($AM12+$AN12*Mesh_Y+$AO12*Mesh_X)&gt;=eco))/eco)^n)*((($AM12+$AN12*Mesh_Y+$AO12*Mesh_X))&gt;0),Mesh_A,Mesh_Y)+SUMPRODUCT((Es*(($AM12+$AN12*Geometry!$E$42:$E$59+$AO12*Geometry!$D$42:$D$59))*(ABS(Es*(($AM12+$AN12*Geometry!$E$42:$E$59+$AO12*Geometry!$D$42:$D$59)))&lt;=fy)+fy*(Es*(($AM12+$AN12*Geometry!$E$42:$E$59+$AO12*Geometry!$D$42:$D$59))&gt;fy)-fy*(Es*(($AM12+$AN12*Geometry!$E$42:$E$59+$AO12*Geometry!$D$42:$D$59))&lt;-fy)-(alpha*fck*(1-(1-((($AM12+$AN12*Geometry!$E$42:$E$59+$AO12*Geometry!$D$42:$D$59))*(($AM12+$AN12*Geometry!$E$42:$E$59+$AO12*Geometry!$D$42:$D$59)&gt;0)*(($AM12+$AN12*Geometry!$E$42:$E$59+$AO12*Geometry!$D$42:$D$59)&lt;eco)+eco*(($AM12+$AN12*Geometry!$E$42:$E$59+$AO12*Geometry!$D$42:$D$59)&gt;=eco))/eco)^n)*((($AM12+$AN12*Geometry!$E$42:$E$59+$AO12*Geometry!$D$42:$D$59))&gt;0))),Geometry!$F$42:$F$59,Geometry!$E$42:$E$59))/1000000</f>
      </c>
      <c r="CP12" s="32">
        <f>(SUMPRODUCT(alpha*fck*(1-(1-((($AP12+$AQ12*Mesh_Y+$AR12*Mesh_X))*(($AP12+$AQ12*Mesh_Y+$AR12*Mesh_X)&gt;0)*(($AP12+$AQ12*Mesh_Y+$AR12*Mesh_X)&lt;eco)+eco*(($AP12+$AQ12*Mesh_Y+$AR12*Mesh_X)&gt;=eco))/eco)^n)*((($AP12+$AQ12*Mesh_Y+$AR12*Mesh_X))&gt;0),Mesh_A,Mesh_Y)+SUMPRODUCT((Es*(($AP12+$AQ12*Geometry!$E$42:$E$59+$AR12*Geometry!$D$42:$D$59))*(ABS(Es*(($AP12+$AQ12*Geometry!$E$42:$E$59+$AR12*Geometry!$D$42:$D$59)))&lt;=fy)+fy*(Es*(($AP12+$AQ12*Geometry!$E$42:$E$59+$AR12*Geometry!$D$42:$D$59))&gt;fy)-fy*(Es*(($AP12+$AQ12*Geometry!$E$42:$E$59+$AR12*Geometry!$D$42:$D$59))&lt;-fy)-(alpha*fck*(1-(1-((($AP12+$AQ12*Geometry!$E$42:$E$59+$AR12*Geometry!$D$42:$D$59))*(($AP12+$AQ12*Geometry!$E$42:$E$59+$AR12*Geometry!$D$42:$D$59)&gt;0)*(($AP12+$AQ12*Geometry!$E$42:$E$59+$AR12*Geometry!$D$42:$D$59)&lt;eco)+eco*(($AP12+$AQ12*Geometry!$E$42:$E$59+$AR12*Geometry!$D$42:$D$59)&gt;=eco))/eco)^n)*((($AP12+$AQ12*Geometry!$E$42:$E$59+$AR12*Geometry!$D$42:$D$59))&gt;0))),Geometry!$F$42:$F$59,Geometry!$E$42:$E$59))/1000000</f>
      </c>
      <c r="CQ12" s="32">
        <f>(SUMPRODUCT(alpha*fck*(1-(1-((($AS12+$AT12*Mesh_Y+$AU12*Mesh_X))*(($AS12+$AT12*Mesh_Y+$AU12*Mesh_X)&gt;0)*(($AS12+$AT12*Mesh_Y+$AU12*Mesh_X)&lt;eco)+eco*(($AS12+$AT12*Mesh_Y+$AU12*Mesh_X)&gt;=eco))/eco)^n)*((($AS12+$AT12*Mesh_Y+$AU12*Mesh_X))&gt;0),Mesh_A,Mesh_Y)+SUMPRODUCT((Es*(($AS12+$AT12*Geometry!$E$42:$E$59+$AU12*Geometry!$D$42:$D$59))*(ABS(Es*(($AS12+$AT12*Geometry!$E$42:$E$59+$AU12*Geometry!$D$42:$D$59)))&lt;=fy)+fy*(Es*(($AS12+$AT12*Geometry!$E$42:$E$59+$AU12*Geometry!$D$42:$D$59))&gt;fy)-fy*(Es*(($AS12+$AT12*Geometry!$E$42:$E$59+$AU12*Geometry!$D$42:$D$59))&lt;-fy)-(alpha*fck*(1-(1-((($AS12+$AT12*Geometry!$E$42:$E$59+$AU12*Geometry!$D$42:$D$59))*(($AS12+$AT12*Geometry!$E$42:$E$59+$AU12*Geometry!$D$42:$D$59)&gt;0)*(($AS12+$AT12*Geometry!$E$42:$E$59+$AU12*Geometry!$D$42:$D$59)&lt;eco)+eco*(($AS12+$AT12*Geometry!$E$42:$E$59+$AU12*Geometry!$D$42:$D$59)&gt;=eco))/eco)^n)*((($AS12+$AT12*Geometry!$E$42:$E$59+$AU12*Geometry!$D$42:$D$59))&gt;0))),Geometry!$F$42:$F$59,Geometry!$E$42:$E$59))/1000000</f>
      </c>
      <c r="CR12" s="32">
        <f>(SUMPRODUCT(alpha*fck*(1-(1-((($AV12+$AW12*Mesh_Y+$AX12*Mesh_X))*(($AV12+$AW12*Mesh_Y+$AX12*Mesh_X)&gt;0)*(($AV12+$AW12*Mesh_Y+$AX12*Mesh_X)&lt;eco)+eco*(($AV12+$AW12*Mesh_Y+$AX12*Mesh_X)&gt;=eco))/eco)^n)*((($AV12+$AW12*Mesh_Y+$AX12*Mesh_X))&gt;0),Mesh_A,Mesh_Y)+SUMPRODUCT((Es*(($AV12+$AW12*Geometry!$E$42:$E$59+$AX12*Geometry!$D$42:$D$59))*(ABS(Es*(($AV12+$AW12*Geometry!$E$42:$E$59+$AX12*Geometry!$D$42:$D$59)))&lt;=fy)+fy*(Es*(($AV12+$AW12*Geometry!$E$42:$E$59+$AX12*Geometry!$D$42:$D$59))&gt;fy)-fy*(Es*(($AV12+$AW12*Geometry!$E$42:$E$59+$AX12*Geometry!$D$42:$D$59))&lt;-fy)-(alpha*fck*(1-(1-((($AV12+$AW12*Geometry!$E$42:$E$59+$AX12*Geometry!$D$42:$D$59))*(($AV12+$AW12*Geometry!$E$42:$E$59+$AX12*Geometry!$D$42:$D$59)&gt;0)*(($AV12+$AW12*Geometry!$E$42:$E$59+$AX12*Geometry!$D$42:$D$59)&lt;eco)+eco*(($AV12+$AW12*Geometry!$E$42:$E$59+$AX12*Geometry!$D$42:$D$59)&gt;=eco))/eco)^n)*((($AV12+$AW12*Geometry!$E$42:$E$59+$AX12*Geometry!$D$42:$D$59))&gt;0))),Geometry!$F$42:$F$59,Geometry!$E$42:$E$59))/1000000</f>
      </c>
      <c r="CS12" s="32">
        <f>(SUMPRODUCT(alpha*fck*(1-(1-((($AY12+$AZ12*Mesh_Y+$BA12*Mesh_X))*(($AY12+$AZ12*Mesh_Y+$BA12*Mesh_X)&gt;0)*(($AY12+$AZ12*Mesh_Y+$BA12*Mesh_X)&lt;eco)+eco*(($AY12+$AZ12*Mesh_Y+$BA12*Mesh_X)&gt;=eco))/eco)^n)*((($AY12+$AZ12*Mesh_Y+$BA12*Mesh_X))&gt;0),Mesh_A,Mesh_Y)+SUMPRODUCT((Es*(($AY12+$AZ12*Geometry!$E$42:$E$59+$BA12*Geometry!$D$42:$D$59))*(ABS(Es*(($AY12+$AZ12*Geometry!$E$42:$E$59+$BA12*Geometry!$D$42:$D$59)))&lt;=fy)+fy*(Es*(($AY12+$AZ12*Geometry!$E$42:$E$59+$BA12*Geometry!$D$42:$D$59))&gt;fy)-fy*(Es*(($AY12+$AZ12*Geometry!$E$42:$E$59+$BA12*Geometry!$D$42:$D$59))&lt;-fy)-(alpha*fck*(1-(1-((($AY12+$AZ12*Geometry!$E$42:$E$59+$BA12*Geometry!$D$42:$D$59))*(($AY12+$AZ12*Geometry!$E$42:$E$59+$BA12*Geometry!$D$42:$D$59)&gt;0)*(($AY12+$AZ12*Geometry!$E$42:$E$59+$BA12*Geometry!$D$42:$D$59)&lt;eco)+eco*(($AY12+$AZ12*Geometry!$E$42:$E$59+$BA12*Geometry!$D$42:$D$59)&gt;=eco))/eco)^n)*((($AY12+$AZ12*Geometry!$E$42:$E$59+$BA12*Geometry!$D$42:$D$59))&gt;0))),Geometry!$F$42:$F$59,Geometry!$E$42:$E$59))/1000000</f>
      </c>
      <c r="CT12" s="32">
        <f>(SUMPRODUCT(alpha*fck*(1-(1-((($BB12+$BC12*Mesh_Y+$BD12*Mesh_X))*(($BB12+$BC12*Mesh_Y+$BD12*Mesh_X)&gt;0)*(($BB12+$BC12*Mesh_Y+$BD12*Mesh_X)&lt;eco)+eco*(($BB12+$BC12*Mesh_Y+$BD12*Mesh_X)&gt;=eco))/eco)^n)*((($BB12+$BC12*Mesh_Y+$BD12*Mesh_X))&gt;0),Mesh_A,Mesh_Y)+SUMPRODUCT((Es*(($BB12+$BC12*Geometry!$E$42:$E$59+$BD12*Geometry!$D$42:$D$59))*(ABS(Es*(($BB12+$BC12*Geometry!$E$42:$E$59+$BD12*Geometry!$D$42:$D$59)))&lt;=fy)+fy*(Es*(($BB12+$BC12*Geometry!$E$42:$E$59+$BD12*Geometry!$D$42:$D$59))&gt;fy)-fy*(Es*(($BB12+$BC12*Geometry!$E$42:$E$59+$BD12*Geometry!$D$42:$D$59))&lt;-fy)-(alpha*fck*(1-(1-((($BB12+$BC12*Geometry!$E$42:$E$59+$BD12*Geometry!$D$42:$D$59))*(($BB12+$BC12*Geometry!$E$42:$E$59+$BD12*Geometry!$D$42:$D$59)&gt;0)*(($BB12+$BC12*Geometry!$E$42:$E$59+$BD12*Geometry!$D$42:$D$59)&lt;eco)+eco*(($BB12+$BC12*Geometry!$E$42:$E$59+$BD12*Geometry!$D$42:$D$59)&gt;=eco))/eco)^n)*((($BB12+$BC12*Geometry!$E$42:$E$59+$BD12*Geometry!$D$42:$D$59))&gt;0))),Geometry!$F$42:$F$59,Geometry!$E$42:$E$59))/1000000</f>
      </c>
      <c r="CU12" s="32">
        <f>(SUMPRODUCT(alpha*fck*(1-(1-((($BE12+$BF12*Mesh_Y+$BG12*Mesh_X))*(($BE12+$BF12*Mesh_Y+$BG12*Mesh_X)&gt;0)*(($BE12+$BF12*Mesh_Y+$BG12*Mesh_X)&lt;eco)+eco*(($BE12+$BF12*Mesh_Y+$BG12*Mesh_X)&gt;=eco))/eco)^n)*((($BE12+$BF12*Mesh_Y+$BG12*Mesh_X))&gt;0),Mesh_A,Mesh_Y)+SUMPRODUCT((Es*(($BE12+$BF12*Geometry!$E$42:$E$59+$BG12*Geometry!$D$42:$D$59))*(ABS(Es*(($BE12+$BF12*Geometry!$E$42:$E$59+$BG12*Geometry!$D$42:$D$59)))&lt;=fy)+fy*(Es*(($BE12+$BF12*Geometry!$E$42:$E$59+$BG12*Geometry!$D$42:$D$59))&gt;fy)-fy*(Es*(($BE12+$BF12*Geometry!$E$42:$E$59+$BG12*Geometry!$D$42:$D$59))&lt;-fy)-(alpha*fck*(1-(1-((($BE12+$BF12*Geometry!$E$42:$E$59+$BG12*Geometry!$D$42:$D$59))*(($BE12+$BF12*Geometry!$E$42:$E$59+$BG12*Geometry!$D$42:$D$59)&gt;0)*(($BE12+$BF12*Geometry!$E$42:$E$59+$BG12*Geometry!$D$42:$D$59)&lt;eco)+eco*(($BE12+$BF12*Geometry!$E$42:$E$59+$BG12*Geometry!$D$42:$D$59)&gt;=eco))/eco)^n)*((($BE12+$BF12*Geometry!$E$42:$E$59+$BG12*Geometry!$D$42:$D$59))&gt;0))),Geometry!$F$42:$F$59,Geometry!$E$42:$E$59))/1000000</f>
      </c>
      <c r="CV12" s="32">
        <f>(SUMPRODUCT(alpha*fck*(1-(1-((($BH12+$BI12*Mesh_Y+$BJ12*Mesh_X))*(($BH12+$BI12*Mesh_Y+$BJ12*Mesh_X)&gt;0)*(($BH12+$BI12*Mesh_Y+$BJ12*Mesh_X)&lt;eco)+eco*(($BH12+$BI12*Mesh_Y+$BJ12*Mesh_X)&gt;=eco))/eco)^n)*((($BH12+$BI12*Mesh_Y+$BJ12*Mesh_X))&gt;0),Mesh_A,Mesh_Y)+SUMPRODUCT((Es*(($BH12+$BI12*Geometry!$E$42:$E$59+$BJ12*Geometry!$D$42:$D$59))*(ABS(Es*(($BH12+$BI12*Geometry!$E$42:$E$59+$BJ12*Geometry!$D$42:$D$59)))&lt;=fy)+fy*(Es*(($BH12+$BI12*Geometry!$E$42:$E$59+$BJ12*Geometry!$D$42:$D$59))&gt;fy)-fy*(Es*(($BH12+$BI12*Geometry!$E$42:$E$59+$BJ12*Geometry!$D$42:$D$59))&lt;-fy)-(alpha*fck*(1-(1-((($BH12+$BI12*Geometry!$E$42:$E$59+$BJ12*Geometry!$D$42:$D$59))*(($BH12+$BI12*Geometry!$E$42:$E$59+$BJ12*Geometry!$D$42:$D$59)&gt;0)*(($BH12+$BI12*Geometry!$E$42:$E$59+$BJ12*Geometry!$D$42:$D$59)&lt;eco)+eco*(($BH12+$BI12*Geometry!$E$42:$E$59+$BJ12*Geometry!$D$42:$D$59)&gt;=eco))/eco)^n)*((($BH12+$BI12*Geometry!$E$42:$E$59+$BJ12*Geometry!$D$42:$D$59))&gt;0))),Geometry!$F$42:$F$59,Geometry!$E$42:$E$59))/1000000</f>
      </c>
      <c r="CW12" s="32">
        <f>(SUMPRODUCT(alpha*fck*(1-(1-((($F12+$G12*Mesh_Y+$H12*Mesh_X))*(($F12+$G12*Mesh_Y+$H12*Mesh_X)&gt;0)*(($F12+$G12*Mesh_Y+$H12*Mesh_X)&lt;eco)+eco*(($F12+$G12*Mesh_Y+$H12*Mesh_X)&gt;=eco))/eco)^n)*((($F12+$G12*Mesh_Y+$H12*Mesh_X))&gt;0),Mesh_A,Mesh_X)+SUMPRODUCT((Es*(($F12+$G12*Geometry!$E$42:$E$59+$H12*Geometry!$D$42:$D$59))*(ABS(Es*(($F12+$G12*Geometry!$E$42:$E$59+$H12*Geometry!$D$42:$D$59)))&lt;=fy)+fy*(Es*(($F12+$G12*Geometry!$E$42:$E$59+$H12*Geometry!$D$42:$D$59))&gt;fy)-fy*(Es*(($F12+$G12*Geometry!$E$42:$E$59+$H12*Geometry!$D$42:$D$59))&lt;-fy)-(alpha*fck*(1-(1-((($F12+$G12*Geometry!$E$42:$E$59+$H12*Geometry!$D$42:$D$59))*(($F12+$G12*Geometry!$E$42:$E$59+$H12*Geometry!$D$42:$D$59)&gt;0)*(($F12+$G12*Geometry!$E$42:$E$59+$H12*Geometry!$D$42:$D$59)&lt;eco)+eco*(($F12+$G12*Geometry!$E$42:$E$59+$H12*Geometry!$D$42:$D$59)&gt;=eco))/eco)^n)*((($F12+$G12*Geometry!$E$42:$E$59+$H12*Geometry!$D$42:$D$59))&gt;0))),Geometry!$F$42:$F$59,Geometry!$D$42:$D$59))/1000000</f>
      </c>
      <c r="CX12" s="32">
        <f>(SUMPRODUCT(alpha*fck*(1-(1-((($I12+$J12*Mesh_Y+$K12*Mesh_X))*(($I12+$J12*Mesh_Y+$K12*Mesh_X)&gt;0)*(($I12+$J12*Mesh_Y+$K12*Mesh_X)&lt;eco)+eco*(($I12+$J12*Mesh_Y+$K12*Mesh_X)&gt;=eco))/eco)^n)*((($I12+$J12*Mesh_Y+$K12*Mesh_X))&gt;0),Mesh_A,Mesh_X)+SUMPRODUCT((Es*(($I12+$J12*Geometry!$E$42:$E$59+$K12*Geometry!$D$42:$D$59))*(ABS(Es*(($I12+$J12*Geometry!$E$42:$E$59+$K12*Geometry!$D$42:$D$59)))&lt;=fy)+fy*(Es*(($I12+$J12*Geometry!$E$42:$E$59+$K12*Geometry!$D$42:$D$59))&gt;fy)-fy*(Es*(($I12+$J12*Geometry!$E$42:$E$59+$K12*Geometry!$D$42:$D$59))&lt;-fy)-(alpha*fck*(1-(1-((($I12+$J12*Geometry!$E$42:$E$59+$K12*Geometry!$D$42:$D$59))*(($I12+$J12*Geometry!$E$42:$E$59+$K12*Geometry!$D$42:$D$59)&gt;0)*(($I12+$J12*Geometry!$E$42:$E$59+$K12*Geometry!$D$42:$D$59)&lt;eco)+eco*(($I12+$J12*Geometry!$E$42:$E$59+$K12*Geometry!$D$42:$D$59)&gt;=eco))/eco)^n)*((($I12+$J12*Geometry!$E$42:$E$59+$K12*Geometry!$D$42:$D$59))&gt;0))),Geometry!$F$42:$F$59,Geometry!$D$42:$D$59))/1000000</f>
      </c>
      <c r="CY12" s="32">
        <f>(SUMPRODUCT(alpha*fck*(1-(1-((($L12+$M12*Mesh_Y+$N12*Mesh_X))*(($L12+$M12*Mesh_Y+$N12*Mesh_X)&gt;0)*(($L12+$M12*Mesh_Y+$N12*Mesh_X)&lt;eco)+eco*(($L12+$M12*Mesh_Y+$N12*Mesh_X)&gt;=eco))/eco)^n)*((($L12+$M12*Mesh_Y+$N12*Mesh_X))&gt;0),Mesh_A,Mesh_X)+SUMPRODUCT((Es*(($L12+$M12*Geometry!$E$42:$E$59+$N12*Geometry!$D$42:$D$59))*(ABS(Es*(($L12+$M12*Geometry!$E$42:$E$59+$N12*Geometry!$D$42:$D$59)))&lt;=fy)+fy*(Es*(($L12+$M12*Geometry!$E$42:$E$59+$N12*Geometry!$D$42:$D$59))&gt;fy)-fy*(Es*(($L12+$M12*Geometry!$E$42:$E$59+$N12*Geometry!$D$42:$D$59))&lt;-fy)-(alpha*fck*(1-(1-((($L12+$M12*Geometry!$E$42:$E$59+$N12*Geometry!$D$42:$D$59))*(($L12+$M12*Geometry!$E$42:$E$59+$N12*Geometry!$D$42:$D$59)&gt;0)*(($L12+$M12*Geometry!$E$42:$E$59+$N12*Geometry!$D$42:$D$59)&lt;eco)+eco*(($L12+$M12*Geometry!$E$42:$E$59+$N12*Geometry!$D$42:$D$59)&gt;=eco))/eco)^n)*((($L12+$M12*Geometry!$E$42:$E$59+$N12*Geometry!$D$42:$D$59))&gt;0))),Geometry!$F$42:$F$59,Geometry!$D$42:$D$59))/1000000</f>
      </c>
      <c r="CZ12" s="32">
        <f>(SUMPRODUCT(alpha*fck*(1-(1-((($O12+$P12*Mesh_Y+$Q12*Mesh_X))*(($O12+$P12*Mesh_Y+$Q12*Mesh_X)&gt;0)*(($O12+$P12*Mesh_Y+$Q12*Mesh_X)&lt;eco)+eco*(($O12+$P12*Mesh_Y+$Q12*Mesh_X)&gt;=eco))/eco)^n)*((($O12+$P12*Mesh_Y+$Q12*Mesh_X))&gt;0),Mesh_A,Mesh_X)+SUMPRODUCT((Es*(($O12+$P12*Geometry!$E$42:$E$59+$Q12*Geometry!$D$42:$D$59))*(ABS(Es*(($O12+$P12*Geometry!$E$42:$E$59+$Q12*Geometry!$D$42:$D$59)))&lt;=fy)+fy*(Es*(($O12+$P12*Geometry!$E$42:$E$59+$Q12*Geometry!$D$42:$D$59))&gt;fy)-fy*(Es*(($O12+$P12*Geometry!$E$42:$E$59+$Q12*Geometry!$D$42:$D$59))&lt;-fy)-(alpha*fck*(1-(1-((($O12+$P12*Geometry!$E$42:$E$59+$Q12*Geometry!$D$42:$D$59))*(($O12+$P12*Geometry!$E$42:$E$59+$Q12*Geometry!$D$42:$D$59)&gt;0)*(($O12+$P12*Geometry!$E$42:$E$59+$Q12*Geometry!$D$42:$D$59)&lt;eco)+eco*(($O12+$P12*Geometry!$E$42:$E$59+$Q12*Geometry!$D$42:$D$59)&gt;=eco))/eco)^n)*((($O12+$P12*Geometry!$E$42:$E$59+$Q12*Geometry!$D$42:$D$59))&gt;0))),Geometry!$F$42:$F$59,Geometry!$D$42:$D$59))/1000000</f>
      </c>
      <c r="DA12" s="32">
        <f>(SUMPRODUCT(alpha*fck*(1-(1-((($R12+$S12*Mesh_Y+$T12*Mesh_X))*(($R12+$S12*Mesh_Y+$T12*Mesh_X)&gt;0)*(($R12+$S12*Mesh_Y+$T12*Mesh_X)&lt;eco)+eco*(($R12+$S12*Mesh_Y+$T12*Mesh_X)&gt;=eco))/eco)^n)*((($R12+$S12*Mesh_Y+$T12*Mesh_X))&gt;0),Mesh_A,Mesh_X)+SUMPRODUCT((Es*(($R12+$S12*Geometry!$E$42:$E$59+$T12*Geometry!$D$42:$D$59))*(ABS(Es*(($R12+$S12*Geometry!$E$42:$E$59+$T12*Geometry!$D$42:$D$59)))&lt;=fy)+fy*(Es*(($R12+$S12*Geometry!$E$42:$E$59+$T12*Geometry!$D$42:$D$59))&gt;fy)-fy*(Es*(($R12+$S12*Geometry!$E$42:$E$59+$T12*Geometry!$D$42:$D$59))&lt;-fy)-(alpha*fck*(1-(1-((($R12+$S12*Geometry!$E$42:$E$59+$T12*Geometry!$D$42:$D$59))*(($R12+$S12*Geometry!$E$42:$E$59+$T12*Geometry!$D$42:$D$59)&gt;0)*(($R12+$S12*Geometry!$E$42:$E$59+$T12*Geometry!$D$42:$D$59)&lt;eco)+eco*(($R12+$S12*Geometry!$E$42:$E$59+$T12*Geometry!$D$42:$D$59)&gt;=eco))/eco)^n)*((($R12+$S12*Geometry!$E$42:$E$59+$T12*Geometry!$D$42:$D$59))&gt;0))),Geometry!$F$42:$F$59,Geometry!$D$42:$D$59))/1000000</f>
      </c>
      <c r="DB12" s="32">
        <f>(SUMPRODUCT(alpha*fck*(1-(1-((($U12+$V12*Mesh_Y+$W12*Mesh_X))*(($U12+$V12*Mesh_Y+$W12*Mesh_X)&gt;0)*(($U12+$V12*Mesh_Y+$W12*Mesh_X)&lt;eco)+eco*(($U12+$V12*Mesh_Y+$W12*Mesh_X)&gt;=eco))/eco)^n)*((($U12+$V12*Mesh_Y+$W12*Mesh_X))&gt;0),Mesh_A,Mesh_X)+SUMPRODUCT((Es*(($U12+$V12*Geometry!$E$42:$E$59+$W12*Geometry!$D$42:$D$59))*(ABS(Es*(($U12+$V12*Geometry!$E$42:$E$59+$W12*Geometry!$D$42:$D$59)))&lt;=fy)+fy*(Es*(($U12+$V12*Geometry!$E$42:$E$59+$W12*Geometry!$D$42:$D$59))&gt;fy)-fy*(Es*(($U12+$V12*Geometry!$E$42:$E$59+$W12*Geometry!$D$42:$D$59))&lt;-fy)-(alpha*fck*(1-(1-((($U12+$V12*Geometry!$E$42:$E$59+$W12*Geometry!$D$42:$D$59))*(($U12+$V12*Geometry!$E$42:$E$59+$W12*Geometry!$D$42:$D$59)&gt;0)*(($U12+$V12*Geometry!$E$42:$E$59+$W12*Geometry!$D$42:$D$59)&lt;eco)+eco*(($U12+$V12*Geometry!$E$42:$E$59+$W12*Geometry!$D$42:$D$59)&gt;=eco))/eco)^n)*((($U12+$V12*Geometry!$E$42:$E$59+$W12*Geometry!$D$42:$D$59))&gt;0))),Geometry!$F$42:$F$59,Geometry!$D$42:$D$59))/1000000</f>
      </c>
      <c r="DC12" s="32">
        <f>(SUMPRODUCT(alpha*fck*(1-(1-((($X12+$Y12*Mesh_Y+$Z12*Mesh_X))*(($X12+$Y12*Mesh_Y+$Z12*Mesh_X)&gt;0)*(($X12+$Y12*Mesh_Y+$Z12*Mesh_X)&lt;eco)+eco*(($X12+$Y12*Mesh_Y+$Z12*Mesh_X)&gt;=eco))/eco)^n)*((($X12+$Y12*Mesh_Y+$Z12*Mesh_X))&gt;0),Mesh_A,Mesh_X)+SUMPRODUCT((Es*(($X12+$Y12*Geometry!$E$42:$E$59+$Z12*Geometry!$D$42:$D$59))*(ABS(Es*(($X12+$Y12*Geometry!$E$42:$E$59+$Z12*Geometry!$D$42:$D$59)))&lt;=fy)+fy*(Es*(($X12+$Y12*Geometry!$E$42:$E$59+$Z12*Geometry!$D$42:$D$59))&gt;fy)-fy*(Es*(($X12+$Y12*Geometry!$E$42:$E$59+$Z12*Geometry!$D$42:$D$59))&lt;-fy)-(alpha*fck*(1-(1-((($X12+$Y12*Geometry!$E$42:$E$59+$Z12*Geometry!$D$42:$D$59))*(($X12+$Y12*Geometry!$E$42:$E$59+$Z12*Geometry!$D$42:$D$59)&gt;0)*(($X12+$Y12*Geometry!$E$42:$E$59+$Z12*Geometry!$D$42:$D$59)&lt;eco)+eco*(($X12+$Y12*Geometry!$E$42:$E$59+$Z12*Geometry!$D$42:$D$59)&gt;=eco))/eco)^n)*((($X12+$Y12*Geometry!$E$42:$E$59+$Z12*Geometry!$D$42:$D$59))&gt;0))),Geometry!$F$42:$F$59,Geometry!$D$42:$D$59))/1000000</f>
      </c>
      <c r="DD12" s="32">
        <f>(SUMPRODUCT(alpha*fck*(1-(1-((($AA12+$AB12*Mesh_Y+$AC12*Mesh_X))*(($AA12+$AB12*Mesh_Y+$AC12*Mesh_X)&gt;0)*(($AA12+$AB12*Mesh_Y+$AC12*Mesh_X)&lt;eco)+eco*(($AA12+$AB12*Mesh_Y+$AC12*Mesh_X)&gt;=eco))/eco)^n)*((($AA12+$AB12*Mesh_Y+$AC12*Mesh_X))&gt;0),Mesh_A,Mesh_X)+SUMPRODUCT((Es*(($AA12+$AB12*Geometry!$E$42:$E$59+$AC12*Geometry!$D$42:$D$59))*(ABS(Es*(($AA12+$AB12*Geometry!$E$42:$E$59+$AC12*Geometry!$D$42:$D$59)))&lt;=fy)+fy*(Es*(($AA12+$AB12*Geometry!$E$42:$E$59+$AC12*Geometry!$D$42:$D$59))&gt;fy)-fy*(Es*(($AA12+$AB12*Geometry!$E$42:$E$59+$AC12*Geometry!$D$42:$D$59))&lt;-fy)-(alpha*fck*(1-(1-((($AA12+$AB12*Geometry!$E$42:$E$59+$AC12*Geometry!$D$42:$D$59))*(($AA12+$AB12*Geometry!$E$42:$E$59+$AC12*Geometry!$D$42:$D$59)&gt;0)*(($AA12+$AB12*Geometry!$E$42:$E$59+$AC12*Geometry!$D$42:$D$59)&lt;eco)+eco*(($AA12+$AB12*Geometry!$E$42:$E$59+$AC12*Geometry!$D$42:$D$59)&gt;=eco))/eco)^n)*((($AA12+$AB12*Geometry!$E$42:$E$59+$AC12*Geometry!$D$42:$D$59))&gt;0))),Geometry!$F$42:$F$59,Geometry!$D$42:$D$59))/1000000</f>
      </c>
      <c r="DE12" s="32">
        <f>(SUMPRODUCT(alpha*fck*(1-(1-((($AD12+$AE12*Mesh_Y+$AF12*Mesh_X))*(($AD12+$AE12*Mesh_Y+$AF12*Mesh_X)&gt;0)*(($AD12+$AE12*Mesh_Y+$AF12*Mesh_X)&lt;eco)+eco*(($AD12+$AE12*Mesh_Y+$AF12*Mesh_X)&gt;=eco))/eco)^n)*((($AD12+$AE12*Mesh_Y+$AF12*Mesh_X))&gt;0),Mesh_A,Mesh_X)+SUMPRODUCT((Es*(($AD12+$AE12*Geometry!$E$42:$E$59+$AF12*Geometry!$D$42:$D$59))*(ABS(Es*(($AD12+$AE12*Geometry!$E$42:$E$59+$AF12*Geometry!$D$42:$D$59)))&lt;=fy)+fy*(Es*(($AD12+$AE12*Geometry!$E$42:$E$59+$AF12*Geometry!$D$42:$D$59))&gt;fy)-fy*(Es*(($AD12+$AE12*Geometry!$E$42:$E$59+$AF12*Geometry!$D$42:$D$59))&lt;-fy)-(alpha*fck*(1-(1-((($AD12+$AE12*Geometry!$E$42:$E$59+$AF12*Geometry!$D$42:$D$59))*(($AD12+$AE12*Geometry!$E$42:$E$59+$AF12*Geometry!$D$42:$D$59)&gt;0)*(($AD12+$AE12*Geometry!$E$42:$E$59+$AF12*Geometry!$D$42:$D$59)&lt;eco)+eco*(($AD12+$AE12*Geometry!$E$42:$E$59+$AF12*Geometry!$D$42:$D$59)&gt;=eco))/eco)^n)*((($AD12+$AE12*Geometry!$E$42:$E$59+$AF12*Geometry!$D$42:$D$59))&gt;0))),Geometry!$F$42:$F$59,Geometry!$D$42:$D$59))/1000000</f>
      </c>
      <c r="DF12" s="32">
        <f>(SUMPRODUCT(alpha*fck*(1-(1-((($AG12+$AH12*Mesh_Y+$AI12*Mesh_X))*(($AG12+$AH12*Mesh_Y+$AI12*Mesh_X)&gt;0)*(($AG12+$AH12*Mesh_Y+$AI12*Mesh_X)&lt;eco)+eco*(($AG12+$AH12*Mesh_Y+$AI12*Mesh_X)&gt;=eco))/eco)^n)*((($AG12+$AH12*Mesh_Y+$AI12*Mesh_X))&gt;0),Mesh_A,Mesh_X)+SUMPRODUCT((Es*(($AG12+$AH12*Geometry!$E$42:$E$59+$AI12*Geometry!$D$42:$D$59))*(ABS(Es*(($AG12+$AH12*Geometry!$E$42:$E$59+$AI12*Geometry!$D$42:$D$59)))&lt;=fy)+fy*(Es*(($AG12+$AH12*Geometry!$E$42:$E$59+$AI12*Geometry!$D$42:$D$59))&gt;fy)-fy*(Es*(($AG12+$AH12*Geometry!$E$42:$E$59+$AI12*Geometry!$D$42:$D$59))&lt;-fy)-(alpha*fck*(1-(1-((($AG12+$AH12*Geometry!$E$42:$E$59+$AI12*Geometry!$D$42:$D$59))*(($AG12+$AH12*Geometry!$E$42:$E$59+$AI12*Geometry!$D$42:$D$59)&gt;0)*(($AG12+$AH12*Geometry!$E$42:$E$59+$AI12*Geometry!$D$42:$D$59)&lt;eco)+eco*(($AG12+$AH12*Geometry!$E$42:$E$59+$AI12*Geometry!$D$42:$D$59)&gt;=eco))/eco)^n)*((($AG12+$AH12*Geometry!$E$42:$E$59+$AI12*Geometry!$D$42:$D$59))&gt;0))),Geometry!$F$42:$F$59,Geometry!$D$42:$D$59))/1000000</f>
      </c>
      <c r="DG12" s="32">
        <f>(SUMPRODUCT(alpha*fck*(1-(1-((($AJ12+$AK12*Mesh_Y+$AL12*Mesh_X))*(($AJ12+$AK12*Mesh_Y+$AL12*Mesh_X)&gt;0)*(($AJ12+$AK12*Mesh_Y+$AL12*Mesh_X)&lt;eco)+eco*(($AJ12+$AK12*Mesh_Y+$AL12*Mesh_X)&gt;=eco))/eco)^n)*((($AJ12+$AK12*Mesh_Y+$AL12*Mesh_X))&gt;0),Mesh_A,Mesh_X)+SUMPRODUCT((Es*(($AJ12+$AK12*Geometry!$E$42:$E$59+$AL12*Geometry!$D$42:$D$59))*(ABS(Es*(($AJ12+$AK12*Geometry!$E$42:$E$59+$AL12*Geometry!$D$42:$D$59)))&lt;=fy)+fy*(Es*(($AJ12+$AK12*Geometry!$E$42:$E$59+$AL12*Geometry!$D$42:$D$59))&gt;fy)-fy*(Es*(($AJ12+$AK12*Geometry!$E$42:$E$59+$AL12*Geometry!$D$42:$D$59))&lt;-fy)-(alpha*fck*(1-(1-((($AJ12+$AK12*Geometry!$E$42:$E$59+$AL12*Geometry!$D$42:$D$59))*(($AJ12+$AK12*Geometry!$E$42:$E$59+$AL12*Geometry!$D$42:$D$59)&gt;0)*(($AJ12+$AK12*Geometry!$E$42:$E$59+$AL12*Geometry!$D$42:$D$59)&lt;eco)+eco*(($AJ12+$AK12*Geometry!$E$42:$E$59+$AL12*Geometry!$D$42:$D$59)&gt;=eco))/eco)^n)*((($AJ12+$AK12*Geometry!$E$42:$E$59+$AL12*Geometry!$D$42:$D$59))&gt;0))),Geometry!$F$42:$F$59,Geometry!$D$42:$D$59))/1000000</f>
      </c>
      <c r="DH12" s="32">
        <f>(SUMPRODUCT(alpha*fck*(1-(1-((($AM12+$AN12*Mesh_Y+$AO12*Mesh_X))*(($AM12+$AN12*Mesh_Y+$AO12*Mesh_X)&gt;0)*(($AM12+$AN12*Mesh_Y+$AO12*Mesh_X)&lt;eco)+eco*(($AM12+$AN12*Mesh_Y+$AO12*Mesh_X)&gt;=eco))/eco)^n)*((($AM12+$AN12*Mesh_Y+$AO12*Mesh_X))&gt;0),Mesh_A,Mesh_X)+SUMPRODUCT((Es*(($AM12+$AN12*Geometry!$E$42:$E$59+$AO12*Geometry!$D$42:$D$59))*(ABS(Es*(($AM12+$AN12*Geometry!$E$42:$E$59+$AO12*Geometry!$D$42:$D$59)))&lt;=fy)+fy*(Es*(($AM12+$AN12*Geometry!$E$42:$E$59+$AO12*Geometry!$D$42:$D$59))&gt;fy)-fy*(Es*(($AM12+$AN12*Geometry!$E$42:$E$59+$AO12*Geometry!$D$42:$D$59))&lt;-fy)-(alpha*fck*(1-(1-((($AM12+$AN12*Geometry!$E$42:$E$59+$AO12*Geometry!$D$42:$D$59))*(($AM12+$AN12*Geometry!$E$42:$E$59+$AO12*Geometry!$D$42:$D$59)&gt;0)*(($AM12+$AN12*Geometry!$E$42:$E$59+$AO12*Geometry!$D$42:$D$59)&lt;eco)+eco*(($AM12+$AN12*Geometry!$E$42:$E$59+$AO12*Geometry!$D$42:$D$59)&gt;=eco))/eco)^n)*((($AM12+$AN12*Geometry!$E$42:$E$59+$AO12*Geometry!$D$42:$D$59))&gt;0))),Geometry!$F$42:$F$59,Geometry!$D$42:$D$59))/1000000</f>
      </c>
      <c r="DI12" s="32">
        <f>(SUMPRODUCT(alpha*fck*(1-(1-((($AP12+$AQ12*Mesh_Y+$AR12*Mesh_X))*(($AP12+$AQ12*Mesh_Y+$AR12*Mesh_X)&gt;0)*(($AP12+$AQ12*Mesh_Y+$AR12*Mesh_X)&lt;eco)+eco*(($AP12+$AQ12*Mesh_Y+$AR12*Mesh_X)&gt;=eco))/eco)^n)*((($AP12+$AQ12*Mesh_Y+$AR12*Mesh_X))&gt;0),Mesh_A,Mesh_X)+SUMPRODUCT((Es*(($AP12+$AQ12*Geometry!$E$42:$E$59+$AR12*Geometry!$D$42:$D$59))*(ABS(Es*(($AP12+$AQ12*Geometry!$E$42:$E$59+$AR12*Geometry!$D$42:$D$59)))&lt;=fy)+fy*(Es*(($AP12+$AQ12*Geometry!$E$42:$E$59+$AR12*Geometry!$D$42:$D$59))&gt;fy)-fy*(Es*(($AP12+$AQ12*Geometry!$E$42:$E$59+$AR12*Geometry!$D$42:$D$59))&lt;-fy)-(alpha*fck*(1-(1-((($AP12+$AQ12*Geometry!$E$42:$E$59+$AR12*Geometry!$D$42:$D$59))*(($AP12+$AQ12*Geometry!$E$42:$E$59+$AR12*Geometry!$D$42:$D$59)&gt;0)*(($AP12+$AQ12*Geometry!$E$42:$E$59+$AR12*Geometry!$D$42:$D$59)&lt;eco)+eco*(($AP12+$AQ12*Geometry!$E$42:$E$59+$AR12*Geometry!$D$42:$D$59)&gt;=eco))/eco)^n)*((($AP12+$AQ12*Geometry!$E$42:$E$59+$AR12*Geometry!$D$42:$D$59))&gt;0))),Geometry!$F$42:$F$59,Geometry!$D$42:$D$59))/1000000</f>
      </c>
      <c r="DJ12" s="32">
        <f>(SUMPRODUCT(alpha*fck*(1-(1-((($AS12+$AT12*Mesh_Y+$AU12*Mesh_X))*(($AS12+$AT12*Mesh_Y+$AU12*Mesh_X)&gt;0)*(($AS12+$AT12*Mesh_Y+$AU12*Mesh_X)&lt;eco)+eco*(($AS12+$AT12*Mesh_Y+$AU12*Mesh_X)&gt;=eco))/eco)^n)*((($AS12+$AT12*Mesh_Y+$AU12*Mesh_X))&gt;0),Mesh_A,Mesh_X)+SUMPRODUCT((Es*(($AS12+$AT12*Geometry!$E$42:$E$59+$AU12*Geometry!$D$42:$D$59))*(ABS(Es*(($AS12+$AT12*Geometry!$E$42:$E$59+$AU12*Geometry!$D$42:$D$59)))&lt;=fy)+fy*(Es*(($AS12+$AT12*Geometry!$E$42:$E$59+$AU12*Geometry!$D$42:$D$59))&gt;fy)-fy*(Es*(($AS12+$AT12*Geometry!$E$42:$E$59+$AU12*Geometry!$D$42:$D$59))&lt;-fy)-(alpha*fck*(1-(1-((($AS12+$AT12*Geometry!$E$42:$E$59+$AU12*Geometry!$D$42:$D$59))*(($AS12+$AT12*Geometry!$E$42:$E$59+$AU12*Geometry!$D$42:$D$59)&gt;0)*(($AS12+$AT12*Geometry!$E$42:$E$59+$AU12*Geometry!$D$42:$D$59)&lt;eco)+eco*(($AS12+$AT12*Geometry!$E$42:$E$59+$AU12*Geometry!$D$42:$D$59)&gt;=eco))/eco)^n)*((($AS12+$AT12*Geometry!$E$42:$E$59+$AU12*Geometry!$D$42:$D$59))&gt;0))),Geometry!$F$42:$F$59,Geometry!$D$42:$D$59))/1000000</f>
      </c>
      <c r="DK12" s="32">
        <f>(SUMPRODUCT(alpha*fck*(1-(1-((($AV12+$AW12*Mesh_Y+$AX12*Mesh_X))*(($AV12+$AW12*Mesh_Y+$AX12*Mesh_X)&gt;0)*(($AV12+$AW12*Mesh_Y+$AX12*Mesh_X)&lt;eco)+eco*(($AV12+$AW12*Mesh_Y+$AX12*Mesh_X)&gt;=eco))/eco)^n)*((($AV12+$AW12*Mesh_Y+$AX12*Mesh_X))&gt;0),Mesh_A,Mesh_X)+SUMPRODUCT((Es*(($AV12+$AW12*Geometry!$E$42:$E$59+$AX12*Geometry!$D$42:$D$59))*(ABS(Es*(($AV12+$AW12*Geometry!$E$42:$E$59+$AX12*Geometry!$D$42:$D$59)))&lt;=fy)+fy*(Es*(($AV12+$AW12*Geometry!$E$42:$E$59+$AX12*Geometry!$D$42:$D$59))&gt;fy)-fy*(Es*(($AV12+$AW12*Geometry!$E$42:$E$59+$AX12*Geometry!$D$42:$D$59))&lt;-fy)-(alpha*fck*(1-(1-((($AV12+$AW12*Geometry!$E$42:$E$59+$AX12*Geometry!$D$42:$D$59))*(($AV12+$AW12*Geometry!$E$42:$E$59+$AX12*Geometry!$D$42:$D$59)&gt;0)*(($AV12+$AW12*Geometry!$E$42:$E$59+$AX12*Geometry!$D$42:$D$59)&lt;eco)+eco*(($AV12+$AW12*Geometry!$E$42:$E$59+$AX12*Geometry!$D$42:$D$59)&gt;=eco))/eco)^n)*((($AV12+$AW12*Geometry!$E$42:$E$59+$AX12*Geometry!$D$42:$D$59))&gt;0))),Geometry!$F$42:$F$59,Geometry!$D$42:$D$59))/1000000</f>
      </c>
      <c r="DL12" s="32">
        <f>(SUMPRODUCT(alpha*fck*(1-(1-((($AY12+$AZ12*Mesh_Y+$BA12*Mesh_X))*(($AY12+$AZ12*Mesh_Y+$BA12*Mesh_X)&gt;0)*(($AY12+$AZ12*Mesh_Y+$BA12*Mesh_X)&lt;eco)+eco*(($AY12+$AZ12*Mesh_Y+$BA12*Mesh_X)&gt;=eco))/eco)^n)*((($AY12+$AZ12*Mesh_Y+$BA12*Mesh_X))&gt;0),Mesh_A,Mesh_X)+SUMPRODUCT((Es*(($AY12+$AZ12*Geometry!$E$42:$E$59+$BA12*Geometry!$D$42:$D$59))*(ABS(Es*(($AY12+$AZ12*Geometry!$E$42:$E$59+$BA12*Geometry!$D$42:$D$59)))&lt;=fy)+fy*(Es*(($AY12+$AZ12*Geometry!$E$42:$E$59+$BA12*Geometry!$D$42:$D$59))&gt;fy)-fy*(Es*(($AY12+$AZ12*Geometry!$E$42:$E$59+$BA12*Geometry!$D$42:$D$59))&lt;-fy)-(alpha*fck*(1-(1-((($AY12+$AZ12*Geometry!$E$42:$E$59+$BA12*Geometry!$D$42:$D$59))*(($AY12+$AZ12*Geometry!$E$42:$E$59+$BA12*Geometry!$D$42:$D$59)&gt;0)*(($AY12+$AZ12*Geometry!$E$42:$E$59+$BA12*Geometry!$D$42:$D$59)&lt;eco)+eco*(($AY12+$AZ12*Geometry!$E$42:$E$59+$BA12*Geometry!$D$42:$D$59)&gt;=eco))/eco)^n)*((($AY12+$AZ12*Geometry!$E$42:$E$59+$BA12*Geometry!$D$42:$D$59))&gt;0))),Geometry!$F$42:$F$59,Geometry!$D$42:$D$59))/1000000</f>
      </c>
      <c r="DM12" s="32">
        <f>(SUMPRODUCT(alpha*fck*(1-(1-((($BB12+$BC12*Mesh_Y+$BD12*Mesh_X))*(($BB12+$BC12*Mesh_Y+$BD12*Mesh_X)&gt;0)*(($BB12+$BC12*Mesh_Y+$BD12*Mesh_X)&lt;eco)+eco*(($BB12+$BC12*Mesh_Y+$BD12*Mesh_X)&gt;=eco))/eco)^n)*((($BB12+$BC12*Mesh_Y+$BD12*Mesh_X))&gt;0),Mesh_A,Mesh_X)+SUMPRODUCT((Es*(($BB12+$BC12*Geometry!$E$42:$E$59+$BD12*Geometry!$D$42:$D$59))*(ABS(Es*(($BB12+$BC12*Geometry!$E$42:$E$59+$BD12*Geometry!$D$42:$D$59)))&lt;=fy)+fy*(Es*(($BB12+$BC12*Geometry!$E$42:$E$59+$BD12*Geometry!$D$42:$D$59))&gt;fy)-fy*(Es*(($BB12+$BC12*Geometry!$E$42:$E$59+$BD12*Geometry!$D$42:$D$59))&lt;-fy)-(alpha*fck*(1-(1-((($BB12+$BC12*Geometry!$E$42:$E$59+$BD12*Geometry!$D$42:$D$59))*(($BB12+$BC12*Geometry!$E$42:$E$59+$BD12*Geometry!$D$42:$D$59)&gt;0)*(($BB12+$BC12*Geometry!$E$42:$E$59+$BD12*Geometry!$D$42:$D$59)&lt;eco)+eco*(($BB12+$BC12*Geometry!$E$42:$E$59+$BD12*Geometry!$D$42:$D$59)&gt;=eco))/eco)^n)*((($BB12+$BC12*Geometry!$E$42:$E$59+$BD12*Geometry!$D$42:$D$59))&gt;0))),Geometry!$F$42:$F$59,Geometry!$D$42:$D$59))/1000000</f>
      </c>
      <c r="DN12" s="32">
        <f>(SUMPRODUCT(alpha*fck*(1-(1-((($BE12+$BF12*Mesh_Y+$BG12*Mesh_X))*(($BE12+$BF12*Mesh_Y+$BG12*Mesh_X)&gt;0)*(($BE12+$BF12*Mesh_Y+$BG12*Mesh_X)&lt;eco)+eco*(($BE12+$BF12*Mesh_Y+$BG12*Mesh_X)&gt;=eco))/eco)^n)*((($BE12+$BF12*Mesh_Y+$BG12*Mesh_X))&gt;0),Mesh_A,Mesh_X)+SUMPRODUCT((Es*(($BE12+$BF12*Geometry!$E$42:$E$59+$BG12*Geometry!$D$42:$D$59))*(ABS(Es*(($BE12+$BF12*Geometry!$E$42:$E$59+$BG12*Geometry!$D$42:$D$59)))&lt;=fy)+fy*(Es*(($BE12+$BF12*Geometry!$E$42:$E$59+$BG12*Geometry!$D$42:$D$59))&gt;fy)-fy*(Es*(($BE12+$BF12*Geometry!$E$42:$E$59+$BG12*Geometry!$D$42:$D$59))&lt;-fy)-(alpha*fck*(1-(1-((($BE12+$BF12*Geometry!$E$42:$E$59+$BG12*Geometry!$D$42:$D$59))*(($BE12+$BF12*Geometry!$E$42:$E$59+$BG12*Geometry!$D$42:$D$59)&gt;0)*(($BE12+$BF12*Geometry!$E$42:$E$59+$BG12*Geometry!$D$42:$D$59)&lt;eco)+eco*(($BE12+$BF12*Geometry!$E$42:$E$59+$BG12*Geometry!$D$42:$D$59)&gt;=eco))/eco)^n)*((($BE12+$BF12*Geometry!$E$42:$E$59+$BG12*Geometry!$D$42:$D$59))&gt;0))),Geometry!$F$42:$F$59,Geometry!$D$42:$D$59))/1000000</f>
      </c>
      <c r="DO12" s="32">
        <f>(SUMPRODUCT(alpha*fck*(1-(1-((($BH12+$BI12*Mesh_Y+$BJ12*Mesh_X))*(($BH12+$BI12*Mesh_Y+$BJ12*Mesh_X)&gt;0)*(($BH12+$BI12*Mesh_Y+$BJ12*Mesh_X)&lt;eco)+eco*(($BH12+$BI12*Mesh_Y+$BJ12*Mesh_X)&gt;=eco))/eco)^n)*((($BH12+$BI12*Mesh_Y+$BJ12*Mesh_X))&gt;0),Mesh_A,Mesh_X)+SUMPRODUCT((Es*(($BH12+$BI12*Geometry!$E$42:$E$59+$BJ12*Geometry!$D$42:$D$59))*(ABS(Es*(($BH12+$BI12*Geometry!$E$42:$E$59+$BJ12*Geometry!$D$42:$D$59)))&lt;=fy)+fy*(Es*(($BH12+$BI12*Geometry!$E$42:$E$59+$BJ12*Geometry!$D$42:$D$59))&gt;fy)-fy*(Es*(($BH12+$BI12*Geometry!$E$42:$E$59+$BJ12*Geometry!$D$42:$D$59))&lt;-fy)-(alpha*fck*(1-(1-((($BH12+$BI12*Geometry!$E$42:$E$59+$BJ12*Geometry!$D$42:$D$59))*(($BH12+$BI12*Geometry!$E$42:$E$59+$BJ12*Geometry!$D$42:$D$59)&gt;0)*(($BH12+$BI12*Geometry!$E$42:$E$59+$BJ12*Geometry!$D$42:$D$59)&lt;eco)+eco*(($BH12+$BI12*Geometry!$E$42:$E$59+$BJ12*Geometry!$D$42:$D$59)&gt;=eco))/eco)^n)*((($BH12+$BI12*Geometry!$E$42:$E$59+$BJ12*Geometry!$D$42:$D$59))&gt;0))),Geometry!$F$42:$F$59,Geometry!$D$42:$D$59))/1000000</f>
      </c>
      <c r="DP12" s="45">
        <f>MAX(1,MIN(18,SUMPRODUCT(--($BK12:$CC12&gt;=Pu))))</f>
      </c>
      <c r="DQ12" s="46">
        <f>(Pu-INDEX($BK12:$CC12,1,$DP12))/(INDEX($BK12:$CC12,1,$DP12+1)-INDEX($BK12:$CC12,1,$DP12))</f>
      </c>
      <c r="DR12" s="33">
        <f>INDEX($CD12:$CV12,1,$DP12)+$DQ12*(INDEX($CD12:$CV12,1,$DP12+1)-INDEX($CD12:$CV12,1,$DP12))</f>
      </c>
      <c r="DS12" s="33">
        <f>INDEX($CW12:$DO12,1,$DP12)+$DQ12*(INDEX($CW12:$DO12,1,$DP12+1)-INDEX($CW12:$DO12,1,$DP12))</f>
      </c>
      <c r="DT12" s="33">
        <f>SQRT(DR12^2+DS12^2)</f>
      </c>
    </row>
    <row r="13" spans="1:124" x14ac:dyDescent="0.25">
      <c r="A13">
        <v>6</v>
      </c>
      <c r="B13" s="43">
        <v>75</v>
      </c>
      <c r="C13" s="12">
        <f>MAX(SUMPRODUCT(MAX((Geometry!$E$6:$E$13)*COS(RADIANS($B13))+(Geometry!$D$6:$D$13)*SIN(RADIANS($B13)))))</f>
      </c>
      <c r="D13" s="12">
        <f>SUMPRODUCT(MIN((Geometry!$E$42:$E$59)*COS(RADIANS($B13))+(Geometry!$D$42:$D$59)*SIN(RADIANS($B13))))</f>
      </c>
      <c r="E13" s="12">
        <f>C13-D13</f>
      </c>
      <c r="F13" s="30">
        <f>ecu</f>
      </c>
      <c r="G13" s="44">
        <f>0*COS(RADIANS($B13))</f>
      </c>
      <c r="H13" s="44">
        <f>0*SIN(RADIANS($B13))</f>
      </c>
      <c r="I13" s="30">
        <f>ecu-((ecu-0)/($C13-($C13-PM_Angle!$C$8*$E13)))*$C13</f>
      </c>
      <c r="J13" s="44">
        <f>((ecu-0)/($C13-($C13-PM_Angle!$C$8*$E13)))*COS(RADIANS($B13))</f>
      </c>
      <c r="K13" s="44">
        <f>((ecu-0)/($C13-($C13-PM_Angle!$C$8*$E13)))*SIN(RADIANS($B13))</f>
      </c>
      <c r="L13" s="30">
        <f>ecu-((ecu-0)/($C13-($C13-PM_Angle!$C$9*$E13)))*$C13</f>
      </c>
      <c r="M13" s="44">
        <f>((ecu-0)/($C13-($C13-PM_Angle!$C$9*$E13)))*COS(RADIANS($B13))</f>
      </c>
      <c r="N13" s="44">
        <f>((ecu-0)/($C13-($C13-PM_Angle!$C$9*$E13)))*SIN(RADIANS($B13))</f>
      </c>
      <c r="O13" s="30">
        <f>ecu-((ecu-0)/($C13-($C13-PM_Angle!$C$10*$E13)))*$C13</f>
      </c>
      <c r="P13" s="44">
        <f>((ecu-0)/($C13-($C13-PM_Angle!$C$10*$E13)))*COS(RADIANS($B13))</f>
      </c>
      <c r="Q13" s="44">
        <f>((ecu-0)/($C13-($C13-PM_Angle!$C$10*$E13)))*SIN(RADIANS($B13))</f>
      </c>
      <c r="R13" s="30">
        <f>ecu-((ecu-0)/($C13-($C13-PM_Angle!$C$11*$E13)))*$C13</f>
      </c>
      <c r="S13" s="44">
        <f>((ecu-0)/($C13-($C13-PM_Angle!$C$11*$E13)))*COS(RADIANS($B13))</f>
      </c>
      <c r="T13" s="44">
        <f>((ecu-0)/($C13-($C13-PM_Angle!$C$11*$E13)))*SIN(RADIANS($B13))</f>
      </c>
      <c r="U13" s="30">
        <f>ecu-((ecu-(-PM_Angle!$E$12))/($C13-$D13))*$C13</f>
      </c>
      <c r="V13" s="44">
        <f>((ecu-(-PM_Angle!$E$12))/($C13-$D13))*COS(RADIANS($B13))</f>
      </c>
      <c r="W13" s="44">
        <f>((ecu-(-PM_Angle!$E$12))/($C13-$D13))*SIN(RADIANS($B13))</f>
      </c>
      <c r="X13" s="30">
        <f>ecu-((ecu-(-PM_Angle!$D$13*fy/Es))/($C13-$D13))*$C13</f>
      </c>
      <c r="Y13" s="44">
        <f>((ecu-(-PM_Angle!$D$13*fy/Es))/($C13-$D13))*COS(RADIANS($B13))</f>
      </c>
      <c r="Z13" s="44">
        <f>((ecu-(-PM_Angle!$D$13*fy/Es))/($C13-$D13))*SIN(RADIANS($B13))</f>
      </c>
      <c r="AA13" s="30">
        <f>ecu-((ecu-(-PM_Angle!$D$14*fy/Es))/($C13-$D13))*$C13</f>
      </c>
      <c r="AB13" s="44">
        <f>((ecu-(-PM_Angle!$D$14*fy/Es))/($C13-$D13))*COS(RADIANS($B13))</f>
      </c>
      <c r="AC13" s="44">
        <f>((ecu-(-PM_Angle!$D$14*fy/Es))/($C13-$D13))*SIN(RADIANS($B13))</f>
      </c>
      <c r="AD13" s="30">
        <f>ecu-((ecu-(-PM_Angle!$D$15*fy/Es))/($C13-$D13))*$C13</f>
      </c>
      <c r="AE13" s="44">
        <f>((ecu-(-PM_Angle!$D$15*fy/Es))/($C13-$D13))*COS(RADIANS($B13))</f>
      </c>
      <c r="AF13" s="44">
        <f>((ecu-(-PM_Angle!$D$15*fy/Es))/($C13-$D13))*SIN(RADIANS($B13))</f>
      </c>
      <c r="AG13" s="30">
        <f>ecu-((ecu-(-PM_Angle!$D$16*fy/Es))/($C13-$D13))*$C13</f>
      </c>
      <c r="AH13" s="44">
        <f>((ecu-(-PM_Angle!$D$16*fy/Es))/($C13-$D13))*COS(RADIANS($B13))</f>
      </c>
      <c r="AI13" s="44">
        <f>((ecu-(-PM_Angle!$D$16*fy/Es))/($C13-$D13))*SIN(RADIANS($B13))</f>
      </c>
      <c r="AJ13" s="30">
        <f>ecu-((ecu-(-PM_Angle!$E$17))/($C13-$D13))*$C13</f>
      </c>
      <c r="AK13" s="44">
        <f>((ecu-(-PM_Angle!$E$17))/($C13-$D13))*COS(RADIANS($B13))</f>
      </c>
      <c r="AL13" s="44">
        <f>((ecu-(-PM_Angle!$E$17))/($C13-$D13))*SIN(RADIANS($B13))</f>
      </c>
      <c r="AM13" s="30">
        <f>ecu-((ecu-(-PM_Angle!$E$18))/($C13-$D13))*$C13</f>
      </c>
      <c r="AN13" s="44">
        <f>((ecu-(-PM_Angle!$E$18))/($C13-$D13))*COS(RADIANS($B13))</f>
      </c>
      <c r="AO13" s="44">
        <f>((ecu-(-PM_Angle!$E$18))/($C13-$D13))*SIN(RADIANS($B13))</f>
      </c>
      <c r="AP13" s="30">
        <f>ecu-((ecu-(-PM_Angle!$E$19))/($C13-$D13))*$C13</f>
      </c>
      <c r="AQ13" s="44">
        <f>((ecu-(-PM_Angle!$E$19))/($C13-$D13))*COS(RADIANS($B13))</f>
      </c>
      <c r="AR13" s="44">
        <f>((ecu-(-PM_Angle!$E$19))/($C13-$D13))*SIN(RADIANS($B13))</f>
      </c>
      <c r="AS13" s="30">
        <f>ecu-((ecu-(-PM_Angle!$E$20))/($C13-$D13))*$C13</f>
      </c>
      <c r="AT13" s="44">
        <f>((ecu-(-PM_Angle!$E$20))/($C13-$D13))*COS(RADIANS($B13))</f>
      </c>
      <c r="AU13" s="44">
        <f>((ecu-(-PM_Angle!$E$20))/($C13-$D13))*SIN(RADIANS($B13))</f>
      </c>
      <c r="AV13" s="30">
        <f>ecu-((ecu-(-PM_Angle!$E$21))/($C13-$D13))*$C13</f>
      </c>
      <c r="AW13" s="44">
        <f>((ecu-(-PM_Angle!$E$21))/($C13-$D13))*COS(RADIANS($B13))</f>
      </c>
      <c r="AX13" s="44">
        <f>((ecu-(-PM_Angle!$E$21))/($C13-$D13))*SIN(RADIANS($B13))</f>
      </c>
      <c r="AY13" s="30">
        <f>ecu-((ecu-(-PM_Angle!$E$22))/($C13-$D13))*$C13</f>
      </c>
      <c r="AZ13" s="44">
        <f>((ecu-(-PM_Angle!$E$22))/($C13-$D13))*COS(RADIANS($B13))</f>
      </c>
      <c r="BA13" s="44">
        <f>((ecu-(-PM_Angle!$E$22))/($C13-$D13))*SIN(RADIANS($B13))</f>
      </c>
      <c r="BB13" s="30">
        <f>ecu-((ecu-(-PM_Angle!$E$23))/($C13-$D13))*$C13</f>
      </c>
      <c r="BC13" s="44">
        <f>((ecu-(-PM_Angle!$E$23))/($C13-$D13))*COS(RADIANS($B13))</f>
      </c>
      <c r="BD13" s="44">
        <f>((ecu-(-PM_Angle!$E$23))/($C13-$D13))*SIN(RADIANS($B13))</f>
      </c>
      <c r="BE13" s="30">
        <f>ecu-((ecu-(-PM_Angle!$E$24))/($C13-$D13))*$C13</f>
      </c>
      <c r="BF13" s="44">
        <f>((ecu-(-PM_Angle!$E$24))/($C13-$D13))*COS(RADIANS($B13))</f>
      </c>
      <c r="BG13" s="44">
        <f>((ecu-(-PM_Angle!$E$24))/($C13-$D13))*SIN(RADIANS($B13))</f>
      </c>
      <c r="BH13" s="30">
        <f>etu</f>
      </c>
      <c r="BI13" s="44">
        <f>0*COS(RADIANS($B13))</f>
      </c>
      <c r="BJ13" s="44">
        <f>0*SIN(RADIANS($B13))</f>
      </c>
      <c r="BK13" s="32">
        <f>(SUMPRODUCT(alpha*fck*(1-(1-((($F13+$G13*Mesh_Y+$H13*Mesh_X))*(($F13+$G13*Mesh_Y+$H13*Mesh_X)&gt;0)*(($F13+$G13*Mesh_Y+$H13*Mesh_X)&lt;eco)+eco*(($F13+$G13*Mesh_Y+$H13*Mesh_X)&gt;=eco))/eco)^n)*((($F13+$G13*Mesh_Y+$H13*Mesh_X))&gt;0),Mesh_A)+SUMPRODUCT((Es*(($F13+$G13*Geometry!$E$42:$E$59+$H13*Geometry!$D$42:$D$59))*(ABS(Es*(($F13+$G13*Geometry!$E$42:$E$59+$H13*Geometry!$D$42:$D$59)))&lt;=fy)+fy*(Es*(($F13+$G13*Geometry!$E$42:$E$59+$H13*Geometry!$D$42:$D$59))&gt;fy)-fy*(Es*(($F13+$G13*Geometry!$E$42:$E$59+$H13*Geometry!$D$42:$D$59))&lt;-fy)-(alpha*fck*(1-(1-((($F13+$G13*Geometry!$E$42:$E$59+$H13*Geometry!$D$42:$D$59))*(($F13+$G13*Geometry!$E$42:$E$59+$H13*Geometry!$D$42:$D$59)&gt;0)*(($F13+$G13*Geometry!$E$42:$E$59+$H13*Geometry!$D$42:$D$59)&lt;eco)+eco*(($F13+$G13*Geometry!$E$42:$E$59+$H13*Geometry!$D$42:$D$59)&gt;=eco))/eco)^n)*((($F13+$G13*Geometry!$E$42:$E$59+$H13*Geometry!$D$42:$D$59))&gt;0))),Geometry!$F$42:$F$59))/1000</f>
      </c>
      <c r="BL13" s="32">
        <f>(SUMPRODUCT(alpha*fck*(1-(1-((($I13+$J13*Mesh_Y+$K13*Mesh_X))*(($I13+$J13*Mesh_Y+$K13*Mesh_X)&gt;0)*(($I13+$J13*Mesh_Y+$K13*Mesh_X)&lt;eco)+eco*(($I13+$J13*Mesh_Y+$K13*Mesh_X)&gt;=eco))/eco)^n)*((($I13+$J13*Mesh_Y+$K13*Mesh_X))&gt;0),Mesh_A)+SUMPRODUCT((Es*(($I13+$J13*Geometry!$E$42:$E$59+$K13*Geometry!$D$42:$D$59))*(ABS(Es*(($I13+$J13*Geometry!$E$42:$E$59+$K13*Geometry!$D$42:$D$59)))&lt;=fy)+fy*(Es*(($I13+$J13*Geometry!$E$42:$E$59+$K13*Geometry!$D$42:$D$59))&gt;fy)-fy*(Es*(($I13+$J13*Geometry!$E$42:$E$59+$K13*Geometry!$D$42:$D$59))&lt;-fy)-(alpha*fck*(1-(1-((($I13+$J13*Geometry!$E$42:$E$59+$K13*Geometry!$D$42:$D$59))*(($I13+$J13*Geometry!$E$42:$E$59+$K13*Geometry!$D$42:$D$59)&gt;0)*(($I13+$J13*Geometry!$E$42:$E$59+$K13*Geometry!$D$42:$D$59)&lt;eco)+eco*(($I13+$J13*Geometry!$E$42:$E$59+$K13*Geometry!$D$42:$D$59)&gt;=eco))/eco)^n)*((($I13+$J13*Geometry!$E$42:$E$59+$K13*Geometry!$D$42:$D$59))&gt;0))),Geometry!$F$42:$F$59))/1000</f>
      </c>
      <c r="BM13" s="32">
        <f>(SUMPRODUCT(alpha*fck*(1-(1-((($L13+$M13*Mesh_Y+$N13*Mesh_X))*(($L13+$M13*Mesh_Y+$N13*Mesh_X)&gt;0)*(($L13+$M13*Mesh_Y+$N13*Mesh_X)&lt;eco)+eco*(($L13+$M13*Mesh_Y+$N13*Mesh_X)&gt;=eco))/eco)^n)*((($L13+$M13*Mesh_Y+$N13*Mesh_X))&gt;0),Mesh_A)+SUMPRODUCT((Es*(($L13+$M13*Geometry!$E$42:$E$59+$N13*Geometry!$D$42:$D$59))*(ABS(Es*(($L13+$M13*Geometry!$E$42:$E$59+$N13*Geometry!$D$42:$D$59)))&lt;=fy)+fy*(Es*(($L13+$M13*Geometry!$E$42:$E$59+$N13*Geometry!$D$42:$D$59))&gt;fy)-fy*(Es*(($L13+$M13*Geometry!$E$42:$E$59+$N13*Geometry!$D$42:$D$59))&lt;-fy)-(alpha*fck*(1-(1-((($L13+$M13*Geometry!$E$42:$E$59+$N13*Geometry!$D$42:$D$59))*(($L13+$M13*Geometry!$E$42:$E$59+$N13*Geometry!$D$42:$D$59)&gt;0)*(($L13+$M13*Geometry!$E$42:$E$59+$N13*Geometry!$D$42:$D$59)&lt;eco)+eco*(($L13+$M13*Geometry!$E$42:$E$59+$N13*Geometry!$D$42:$D$59)&gt;=eco))/eco)^n)*((($L13+$M13*Geometry!$E$42:$E$59+$N13*Geometry!$D$42:$D$59))&gt;0))),Geometry!$F$42:$F$59))/1000</f>
      </c>
      <c r="BN13" s="32">
        <f>(SUMPRODUCT(alpha*fck*(1-(1-((($O13+$P13*Mesh_Y+$Q13*Mesh_X))*(($O13+$P13*Mesh_Y+$Q13*Mesh_X)&gt;0)*(($O13+$P13*Mesh_Y+$Q13*Mesh_X)&lt;eco)+eco*(($O13+$P13*Mesh_Y+$Q13*Mesh_X)&gt;=eco))/eco)^n)*((($O13+$P13*Mesh_Y+$Q13*Mesh_X))&gt;0),Mesh_A)+SUMPRODUCT((Es*(($O13+$P13*Geometry!$E$42:$E$59+$Q13*Geometry!$D$42:$D$59))*(ABS(Es*(($O13+$P13*Geometry!$E$42:$E$59+$Q13*Geometry!$D$42:$D$59)))&lt;=fy)+fy*(Es*(($O13+$P13*Geometry!$E$42:$E$59+$Q13*Geometry!$D$42:$D$59))&gt;fy)-fy*(Es*(($O13+$P13*Geometry!$E$42:$E$59+$Q13*Geometry!$D$42:$D$59))&lt;-fy)-(alpha*fck*(1-(1-((($O13+$P13*Geometry!$E$42:$E$59+$Q13*Geometry!$D$42:$D$59))*(($O13+$P13*Geometry!$E$42:$E$59+$Q13*Geometry!$D$42:$D$59)&gt;0)*(($O13+$P13*Geometry!$E$42:$E$59+$Q13*Geometry!$D$42:$D$59)&lt;eco)+eco*(($O13+$P13*Geometry!$E$42:$E$59+$Q13*Geometry!$D$42:$D$59)&gt;=eco))/eco)^n)*((($O13+$P13*Geometry!$E$42:$E$59+$Q13*Geometry!$D$42:$D$59))&gt;0))),Geometry!$F$42:$F$59))/1000</f>
      </c>
      <c r="BO13" s="32">
        <f>(SUMPRODUCT(alpha*fck*(1-(1-((($R13+$S13*Mesh_Y+$T13*Mesh_X))*(($R13+$S13*Mesh_Y+$T13*Mesh_X)&gt;0)*(($R13+$S13*Mesh_Y+$T13*Mesh_X)&lt;eco)+eco*(($R13+$S13*Mesh_Y+$T13*Mesh_X)&gt;=eco))/eco)^n)*((($R13+$S13*Mesh_Y+$T13*Mesh_X))&gt;0),Mesh_A)+SUMPRODUCT((Es*(($R13+$S13*Geometry!$E$42:$E$59+$T13*Geometry!$D$42:$D$59))*(ABS(Es*(($R13+$S13*Geometry!$E$42:$E$59+$T13*Geometry!$D$42:$D$59)))&lt;=fy)+fy*(Es*(($R13+$S13*Geometry!$E$42:$E$59+$T13*Geometry!$D$42:$D$59))&gt;fy)-fy*(Es*(($R13+$S13*Geometry!$E$42:$E$59+$T13*Geometry!$D$42:$D$59))&lt;-fy)-(alpha*fck*(1-(1-((($R13+$S13*Geometry!$E$42:$E$59+$T13*Geometry!$D$42:$D$59))*(($R13+$S13*Geometry!$E$42:$E$59+$T13*Geometry!$D$42:$D$59)&gt;0)*(($R13+$S13*Geometry!$E$42:$E$59+$T13*Geometry!$D$42:$D$59)&lt;eco)+eco*(($R13+$S13*Geometry!$E$42:$E$59+$T13*Geometry!$D$42:$D$59)&gt;=eco))/eco)^n)*((($R13+$S13*Geometry!$E$42:$E$59+$T13*Geometry!$D$42:$D$59))&gt;0))),Geometry!$F$42:$F$59))/1000</f>
      </c>
      <c r="BP13" s="32">
        <f>(SUMPRODUCT(alpha*fck*(1-(1-((($U13+$V13*Mesh_Y+$W13*Mesh_X))*(($U13+$V13*Mesh_Y+$W13*Mesh_X)&gt;0)*(($U13+$V13*Mesh_Y+$W13*Mesh_X)&lt;eco)+eco*(($U13+$V13*Mesh_Y+$W13*Mesh_X)&gt;=eco))/eco)^n)*((($U13+$V13*Mesh_Y+$W13*Mesh_X))&gt;0),Mesh_A)+SUMPRODUCT((Es*(($U13+$V13*Geometry!$E$42:$E$59+$W13*Geometry!$D$42:$D$59))*(ABS(Es*(($U13+$V13*Geometry!$E$42:$E$59+$W13*Geometry!$D$42:$D$59)))&lt;=fy)+fy*(Es*(($U13+$V13*Geometry!$E$42:$E$59+$W13*Geometry!$D$42:$D$59))&gt;fy)-fy*(Es*(($U13+$V13*Geometry!$E$42:$E$59+$W13*Geometry!$D$42:$D$59))&lt;-fy)-(alpha*fck*(1-(1-((($U13+$V13*Geometry!$E$42:$E$59+$W13*Geometry!$D$42:$D$59))*(($U13+$V13*Geometry!$E$42:$E$59+$W13*Geometry!$D$42:$D$59)&gt;0)*(($U13+$V13*Geometry!$E$42:$E$59+$W13*Geometry!$D$42:$D$59)&lt;eco)+eco*(($U13+$V13*Geometry!$E$42:$E$59+$W13*Geometry!$D$42:$D$59)&gt;=eco))/eco)^n)*((($U13+$V13*Geometry!$E$42:$E$59+$W13*Geometry!$D$42:$D$59))&gt;0))),Geometry!$F$42:$F$59))/1000</f>
      </c>
      <c r="BQ13" s="32">
        <f>(SUMPRODUCT(alpha*fck*(1-(1-((($X13+$Y13*Mesh_Y+$Z13*Mesh_X))*(($X13+$Y13*Mesh_Y+$Z13*Mesh_X)&gt;0)*(($X13+$Y13*Mesh_Y+$Z13*Mesh_X)&lt;eco)+eco*(($X13+$Y13*Mesh_Y+$Z13*Mesh_X)&gt;=eco))/eco)^n)*((($X13+$Y13*Mesh_Y+$Z13*Mesh_X))&gt;0),Mesh_A)+SUMPRODUCT((Es*(($X13+$Y13*Geometry!$E$42:$E$59+$Z13*Geometry!$D$42:$D$59))*(ABS(Es*(($X13+$Y13*Geometry!$E$42:$E$59+$Z13*Geometry!$D$42:$D$59)))&lt;=fy)+fy*(Es*(($X13+$Y13*Geometry!$E$42:$E$59+$Z13*Geometry!$D$42:$D$59))&gt;fy)-fy*(Es*(($X13+$Y13*Geometry!$E$42:$E$59+$Z13*Geometry!$D$42:$D$59))&lt;-fy)-(alpha*fck*(1-(1-((($X13+$Y13*Geometry!$E$42:$E$59+$Z13*Geometry!$D$42:$D$59))*(($X13+$Y13*Geometry!$E$42:$E$59+$Z13*Geometry!$D$42:$D$59)&gt;0)*(($X13+$Y13*Geometry!$E$42:$E$59+$Z13*Geometry!$D$42:$D$59)&lt;eco)+eco*(($X13+$Y13*Geometry!$E$42:$E$59+$Z13*Geometry!$D$42:$D$59)&gt;=eco))/eco)^n)*((($X13+$Y13*Geometry!$E$42:$E$59+$Z13*Geometry!$D$42:$D$59))&gt;0))),Geometry!$F$42:$F$59))/1000</f>
      </c>
      <c r="BR13" s="32">
        <f>(SUMPRODUCT(alpha*fck*(1-(1-((($AA13+$AB13*Mesh_Y+$AC13*Mesh_X))*(($AA13+$AB13*Mesh_Y+$AC13*Mesh_X)&gt;0)*(($AA13+$AB13*Mesh_Y+$AC13*Mesh_X)&lt;eco)+eco*(($AA13+$AB13*Mesh_Y+$AC13*Mesh_X)&gt;=eco))/eco)^n)*((($AA13+$AB13*Mesh_Y+$AC13*Mesh_X))&gt;0),Mesh_A)+SUMPRODUCT((Es*(($AA13+$AB13*Geometry!$E$42:$E$59+$AC13*Geometry!$D$42:$D$59))*(ABS(Es*(($AA13+$AB13*Geometry!$E$42:$E$59+$AC13*Geometry!$D$42:$D$59)))&lt;=fy)+fy*(Es*(($AA13+$AB13*Geometry!$E$42:$E$59+$AC13*Geometry!$D$42:$D$59))&gt;fy)-fy*(Es*(($AA13+$AB13*Geometry!$E$42:$E$59+$AC13*Geometry!$D$42:$D$59))&lt;-fy)-(alpha*fck*(1-(1-((($AA13+$AB13*Geometry!$E$42:$E$59+$AC13*Geometry!$D$42:$D$59))*(($AA13+$AB13*Geometry!$E$42:$E$59+$AC13*Geometry!$D$42:$D$59)&gt;0)*(($AA13+$AB13*Geometry!$E$42:$E$59+$AC13*Geometry!$D$42:$D$59)&lt;eco)+eco*(($AA13+$AB13*Geometry!$E$42:$E$59+$AC13*Geometry!$D$42:$D$59)&gt;=eco))/eco)^n)*((($AA13+$AB13*Geometry!$E$42:$E$59+$AC13*Geometry!$D$42:$D$59))&gt;0))),Geometry!$F$42:$F$59))/1000</f>
      </c>
      <c r="BS13" s="32">
        <f>(SUMPRODUCT(alpha*fck*(1-(1-((($AD13+$AE13*Mesh_Y+$AF13*Mesh_X))*(($AD13+$AE13*Mesh_Y+$AF13*Mesh_X)&gt;0)*(($AD13+$AE13*Mesh_Y+$AF13*Mesh_X)&lt;eco)+eco*(($AD13+$AE13*Mesh_Y+$AF13*Mesh_X)&gt;=eco))/eco)^n)*((($AD13+$AE13*Mesh_Y+$AF13*Mesh_X))&gt;0),Mesh_A)+SUMPRODUCT((Es*(($AD13+$AE13*Geometry!$E$42:$E$59+$AF13*Geometry!$D$42:$D$59))*(ABS(Es*(($AD13+$AE13*Geometry!$E$42:$E$59+$AF13*Geometry!$D$42:$D$59)))&lt;=fy)+fy*(Es*(($AD13+$AE13*Geometry!$E$42:$E$59+$AF13*Geometry!$D$42:$D$59))&gt;fy)-fy*(Es*(($AD13+$AE13*Geometry!$E$42:$E$59+$AF13*Geometry!$D$42:$D$59))&lt;-fy)-(alpha*fck*(1-(1-((($AD13+$AE13*Geometry!$E$42:$E$59+$AF13*Geometry!$D$42:$D$59))*(($AD13+$AE13*Geometry!$E$42:$E$59+$AF13*Geometry!$D$42:$D$59)&gt;0)*(($AD13+$AE13*Geometry!$E$42:$E$59+$AF13*Geometry!$D$42:$D$59)&lt;eco)+eco*(($AD13+$AE13*Geometry!$E$42:$E$59+$AF13*Geometry!$D$42:$D$59)&gt;=eco))/eco)^n)*((($AD13+$AE13*Geometry!$E$42:$E$59+$AF13*Geometry!$D$42:$D$59))&gt;0))),Geometry!$F$42:$F$59))/1000</f>
      </c>
      <c r="BT13" s="32">
        <f>(SUMPRODUCT(alpha*fck*(1-(1-((($AG13+$AH13*Mesh_Y+$AI13*Mesh_X))*(($AG13+$AH13*Mesh_Y+$AI13*Mesh_X)&gt;0)*(($AG13+$AH13*Mesh_Y+$AI13*Mesh_X)&lt;eco)+eco*(($AG13+$AH13*Mesh_Y+$AI13*Mesh_X)&gt;=eco))/eco)^n)*((($AG13+$AH13*Mesh_Y+$AI13*Mesh_X))&gt;0),Mesh_A)+SUMPRODUCT((Es*(($AG13+$AH13*Geometry!$E$42:$E$59+$AI13*Geometry!$D$42:$D$59))*(ABS(Es*(($AG13+$AH13*Geometry!$E$42:$E$59+$AI13*Geometry!$D$42:$D$59)))&lt;=fy)+fy*(Es*(($AG13+$AH13*Geometry!$E$42:$E$59+$AI13*Geometry!$D$42:$D$59))&gt;fy)-fy*(Es*(($AG13+$AH13*Geometry!$E$42:$E$59+$AI13*Geometry!$D$42:$D$59))&lt;-fy)-(alpha*fck*(1-(1-((($AG13+$AH13*Geometry!$E$42:$E$59+$AI13*Geometry!$D$42:$D$59))*(($AG13+$AH13*Geometry!$E$42:$E$59+$AI13*Geometry!$D$42:$D$59)&gt;0)*(($AG13+$AH13*Geometry!$E$42:$E$59+$AI13*Geometry!$D$42:$D$59)&lt;eco)+eco*(($AG13+$AH13*Geometry!$E$42:$E$59+$AI13*Geometry!$D$42:$D$59)&gt;=eco))/eco)^n)*((($AG13+$AH13*Geometry!$E$42:$E$59+$AI13*Geometry!$D$42:$D$59))&gt;0))),Geometry!$F$42:$F$59))/1000</f>
      </c>
      <c r="BU13" s="32">
        <f>(SUMPRODUCT(alpha*fck*(1-(1-((($AJ13+$AK13*Mesh_Y+$AL13*Mesh_X))*(($AJ13+$AK13*Mesh_Y+$AL13*Mesh_X)&gt;0)*(($AJ13+$AK13*Mesh_Y+$AL13*Mesh_X)&lt;eco)+eco*(($AJ13+$AK13*Mesh_Y+$AL13*Mesh_X)&gt;=eco))/eco)^n)*((($AJ13+$AK13*Mesh_Y+$AL13*Mesh_X))&gt;0),Mesh_A)+SUMPRODUCT((Es*(($AJ13+$AK13*Geometry!$E$42:$E$59+$AL13*Geometry!$D$42:$D$59))*(ABS(Es*(($AJ13+$AK13*Geometry!$E$42:$E$59+$AL13*Geometry!$D$42:$D$59)))&lt;=fy)+fy*(Es*(($AJ13+$AK13*Geometry!$E$42:$E$59+$AL13*Geometry!$D$42:$D$59))&gt;fy)-fy*(Es*(($AJ13+$AK13*Geometry!$E$42:$E$59+$AL13*Geometry!$D$42:$D$59))&lt;-fy)-(alpha*fck*(1-(1-((($AJ13+$AK13*Geometry!$E$42:$E$59+$AL13*Geometry!$D$42:$D$59))*(($AJ13+$AK13*Geometry!$E$42:$E$59+$AL13*Geometry!$D$42:$D$59)&gt;0)*(($AJ13+$AK13*Geometry!$E$42:$E$59+$AL13*Geometry!$D$42:$D$59)&lt;eco)+eco*(($AJ13+$AK13*Geometry!$E$42:$E$59+$AL13*Geometry!$D$42:$D$59)&gt;=eco))/eco)^n)*((($AJ13+$AK13*Geometry!$E$42:$E$59+$AL13*Geometry!$D$42:$D$59))&gt;0))),Geometry!$F$42:$F$59))/1000</f>
      </c>
      <c r="BV13" s="32">
        <f>(SUMPRODUCT(alpha*fck*(1-(1-((($AM13+$AN13*Mesh_Y+$AO13*Mesh_X))*(($AM13+$AN13*Mesh_Y+$AO13*Mesh_X)&gt;0)*(($AM13+$AN13*Mesh_Y+$AO13*Mesh_X)&lt;eco)+eco*(($AM13+$AN13*Mesh_Y+$AO13*Mesh_X)&gt;=eco))/eco)^n)*((($AM13+$AN13*Mesh_Y+$AO13*Mesh_X))&gt;0),Mesh_A)+SUMPRODUCT((Es*(($AM13+$AN13*Geometry!$E$42:$E$59+$AO13*Geometry!$D$42:$D$59))*(ABS(Es*(($AM13+$AN13*Geometry!$E$42:$E$59+$AO13*Geometry!$D$42:$D$59)))&lt;=fy)+fy*(Es*(($AM13+$AN13*Geometry!$E$42:$E$59+$AO13*Geometry!$D$42:$D$59))&gt;fy)-fy*(Es*(($AM13+$AN13*Geometry!$E$42:$E$59+$AO13*Geometry!$D$42:$D$59))&lt;-fy)-(alpha*fck*(1-(1-((($AM13+$AN13*Geometry!$E$42:$E$59+$AO13*Geometry!$D$42:$D$59))*(($AM13+$AN13*Geometry!$E$42:$E$59+$AO13*Geometry!$D$42:$D$59)&gt;0)*(($AM13+$AN13*Geometry!$E$42:$E$59+$AO13*Geometry!$D$42:$D$59)&lt;eco)+eco*(($AM13+$AN13*Geometry!$E$42:$E$59+$AO13*Geometry!$D$42:$D$59)&gt;=eco))/eco)^n)*((($AM13+$AN13*Geometry!$E$42:$E$59+$AO13*Geometry!$D$42:$D$59))&gt;0))),Geometry!$F$42:$F$59))/1000</f>
      </c>
      <c r="BW13" s="32">
        <f>(SUMPRODUCT(alpha*fck*(1-(1-((($AP13+$AQ13*Mesh_Y+$AR13*Mesh_X))*(($AP13+$AQ13*Mesh_Y+$AR13*Mesh_X)&gt;0)*(($AP13+$AQ13*Mesh_Y+$AR13*Mesh_X)&lt;eco)+eco*(($AP13+$AQ13*Mesh_Y+$AR13*Mesh_X)&gt;=eco))/eco)^n)*((($AP13+$AQ13*Mesh_Y+$AR13*Mesh_X))&gt;0),Mesh_A)+SUMPRODUCT((Es*(($AP13+$AQ13*Geometry!$E$42:$E$59+$AR13*Geometry!$D$42:$D$59))*(ABS(Es*(($AP13+$AQ13*Geometry!$E$42:$E$59+$AR13*Geometry!$D$42:$D$59)))&lt;=fy)+fy*(Es*(($AP13+$AQ13*Geometry!$E$42:$E$59+$AR13*Geometry!$D$42:$D$59))&gt;fy)-fy*(Es*(($AP13+$AQ13*Geometry!$E$42:$E$59+$AR13*Geometry!$D$42:$D$59))&lt;-fy)-(alpha*fck*(1-(1-((($AP13+$AQ13*Geometry!$E$42:$E$59+$AR13*Geometry!$D$42:$D$59))*(($AP13+$AQ13*Geometry!$E$42:$E$59+$AR13*Geometry!$D$42:$D$59)&gt;0)*(($AP13+$AQ13*Geometry!$E$42:$E$59+$AR13*Geometry!$D$42:$D$59)&lt;eco)+eco*(($AP13+$AQ13*Geometry!$E$42:$E$59+$AR13*Geometry!$D$42:$D$59)&gt;=eco))/eco)^n)*((($AP13+$AQ13*Geometry!$E$42:$E$59+$AR13*Geometry!$D$42:$D$59))&gt;0))),Geometry!$F$42:$F$59))/1000</f>
      </c>
      <c r="BX13" s="32">
        <f>(SUMPRODUCT(alpha*fck*(1-(1-((($AS13+$AT13*Mesh_Y+$AU13*Mesh_X))*(($AS13+$AT13*Mesh_Y+$AU13*Mesh_X)&gt;0)*(($AS13+$AT13*Mesh_Y+$AU13*Mesh_X)&lt;eco)+eco*(($AS13+$AT13*Mesh_Y+$AU13*Mesh_X)&gt;=eco))/eco)^n)*((($AS13+$AT13*Mesh_Y+$AU13*Mesh_X))&gt;0),Mesh_A)+SUMPRODUCT((Es*(($AS13+$AT13*Geometry!$E$42:$E$59+$AU13*Geometry!$D$42:$D$59))*(ABS(Es*(($AS13+$AT13*Geometry!$E$42:$E$59+$AU13*Geometry!$D$42:$D$59)))&lt;=fy)+fy*(Es*(($AS13+$AT13*Geometry!$E$42:$E$59+$AU13*Geometry!$D$42:$D$59))&gt;fy)-fy*(Es*(($AS13+$AT13*Geometry!$E$42:$E$59+$AU13*Geometry!$D$42:$D$59))&lt;-fy)-(alpha*fck*(1-(1-((($AS13+$AT13*Geometry!$E$42:$E$59+$AU13*Geometry!$D$42:$D$59))*(($AS13+$AT13*Geometry!$E$42:$E$59+$AU13*Geometry!$D$42:$D$59)&gt;0)*(($AS13+$AT13*Geometry!$E$42:$E$59+$AU13*Geometry!$D$42:$D$59)&lt;eco)+eco*(($AS13+$AT13*Geometry!$E$42:$E$59+$AU13*Geometry!$D$42:$D$59)&gt;=eco))/eco)^n)*((($AS13+$AT13*Geometry!$E$42:$E$59+$AU13*Geometry!$D$42:$D$59))&gt;0))),Geometry!$F$42:$F$59))/1000</f>
      </c>
      <c r="BY13" s="32">
        <f>(SUMPRODUCT(alpha*fck*(1-(1-((($AV13+$AW13*Mesh_Y+$AX13*Mesh_X))*(($AV13+$AW13*Mesh_Y+$AX13*Mesh_X)&gt;0)*(($AV13+$AW13*Mesh_Y+$AX13*Mesh_X)&lt;eco)+eco*(($AV13+$AW13*Mesh_Y+$AX13*Mesh_X)&gt;=eco))/eco)^n)*((($AV13+$AW13*Mesh_Y+$AX13*Mesh_X))&gt;0),Mesh_A)+SUMPRODUCT((Es*(($AV13+$AW13*Geometry!$E$42:$E$59+$AX13*Geometry!$D$42:$D$59))*(ABS(Es*(($AV13+$AW13*Geometry!$E$42:$E$59+$AX13*Geometry!$D$42:$D$59)))&lt;=fy)+fy*(Es*(($AV13+$AW13*Geometry!$E$42:$E$59+$AX13*Geometry!$D$42:$D$59))&gt;fy)-fy*(Es*(($AV13+$AW13*Geometry!$E$42:$E$59+$AX13*Geometry!$D$42:$D$59))&lt;-fy)-(alpha*fck*(1-(1-((($AV13+$AW13*Geometry!$E$42:$E$59+$AX13*Geometry!$D$42:$D$59))*(($AV13+$AW13*Geometry!$E$42:$E$59+$AX13*Geometry!$D$42:$D$59)&gt;0)*(($AV13+$AW13*Geometry!$E$42:$E$59+$AX13*Geometry!$D$42:$D$59)&lt;eco)+eco*(($AV13+$AW13*Geometry!$E$42:$E$59+$AX13*Geometry!$D$42:$D$59)&gt;=eco))/eco)^n)*((($AV13+$AW13*Geometry!$E$42:$E$59+$AX13*Geometry!$D$42:$D$59))&gt;0))),Geometry!$F$42:$F$59))/1000</f>
      </c>
      <c r="BZ13" s="32">
        <f>(SUMPRODUCT(alpha*fck*(1-(1-((($AY13+$AZ13*Mesh_Y+$BA13*Mesh_X))*(($AY13+$AZ13*Mesh_Y+$BA13*Mesh_X)&gt;0)*(($AY13+$AZ13*Mesh_Y+$BA13*Mesh_X)&lt;eco)+eco*(($AY13+$AZ13*Mesh_Y+$BA13*Mesh_X)&gt;=eco))/eco)^n)*((($AY13+$AZ13*Mesh_Y+$BA13*Mesh_X))&gt;0),Mesh_A)+SUMPRODUCT((Es*(($AY13+$AZ13*Geometry!$E$42:$E$59+$BA13*Geometry!$D$42:$D$59))*(ABS(Es*(($AY13+$AZ13*Geometry!$E$42:$E$59+$BA13*Geometry!$D$42:$D$59)))&lt;=fy)+fy*(Es*(($AY13+$AZ13*Geometry!$E$42:$E$59+$BA13*Geometry!$D$42:$D$59))&gt;fy)-fy*(Es*(($AY13+$AZ13*Geometry!$E$42:$E$59+$BA13*Geometry!$D$42:$D$59))&lt;-fy)-(alpha*fck*(1-(1-((($AY13+$AZ13*Geometry!$E$42:$E$59+$BA13*Geometry!$D$42:$D$59))*(($AY13+$AZ13*Geometry!$E$42:$E$59+$BA13*Geometry!$D$42:$D$59)&gt;0)*(($AY13+$AZ13*Geometry!$E$42:$E$59+$BA13*Geometry!$D$42:$D$59)&lt;eco)+eco*(($AY13+$AZ13*Geometry!$E$42:$E$59+$BA13*Geometry!$D$42:$D$59)&gt;=eco))/eco)^n)*((($AY13+$AZ13*Geometry!$E$42:$E$59+$BA13*Geometry!$D$42:$D$59))&gt;0))),Geometry!$F$42:$F$59))/1000</f>
      </c>
      <c r="CA13" s="32">
        <f>(SUMPRODUCT(alpha*fck*(1-(1-((($BB13+$BC13*Mesh_Y+$BD13*Mesh_X))*(($BB13+$BC13*Mesh_Y+$BD13*Mesh_X)&gt;0)*(($BB13+$BC13*Mesh_Y+$BD13*Mesh_X)&lt;eco)+eco*(($BB13+$BC13*Mesh_Y+$BD13*Mesh_X)&gt;=eco))/eco)^n)*((($BB13+$BC13*Mesh_Y+$BD13*Mesh_X))&gt;0),Mesh_A)+SUMPRODUCT((Es*(($BB13+$BC13*Geometry!$E$42:$E$59+$BD13*Geometry!$D$42:$D$59))*(ABS(Es*(($BB13+$BC13*Geometry!$E$42:$E$59+$BD13*Geometry!$D$42:$D$59)))&lt;=fy)+fy*(Es*(($BB13+$BC13*Geometry!$E$42:$E$59+$BD13*Geometry!$D$42:$D$59))&gt;fy)-fy*(Es*(($BB13+$BC13*Geometry!$E$42:$E$59+$BD13*Geometry!$D$42:$D$59))&lt;-fy)-(alpha*fck*(1-(1-((($BB13+$BC13*Geometry!$E$42:$E$59+$BD13*Geometry!$D$42:$D$59))*(($BB13+$BC13*Geometry!$E$42:$E$59+$BD13*Geometry!$D$42:$D$59)&gt;0)*(($BB13+$BC13*Geometry!$E$42:$E$59+$BD13*Geometry!$D$42:$D$59)&lt;eco)+eco*(($BB13+$BC13*Geometry!$E$42:$E$59+$BD13*Geometry!$D$42:$D$59)&gt;=eco))/eco)^n)*((($BB13+$BC13*Geometry!$E$42:$E$59+$BD13*Geometry!$D$42:$D$59))&gt;0))),Geometry!$F$42:$F$59))/1000</f>
      </c>
      <c r="CB13" s="32">
        <f>(SUMPRODUCT(alpha*fck*(1-(1-((($BE13+$BF13*Mesh_Y+$BG13*Mesh_X))*(($BE13+$BF13*Mesh_Y+$BG13*Mesh_X)&gt;0)*(($BE13+$BF13*Mesh_Y+$BG13*Mesh_X)&lt;eco)+eco*(($BE13+$BF13*Mesh_Y+$BG13*Mesh_X)&gt;=eco))/eco)^n)*((($BE13+$BF13*Mesh_Y+$BG13*Mesh_X))&gt;0),Mesh_A)+SUMPRODUCT((Es*(($BE13+$BF13*Geometry!$E$42:$E$59+$BG13*Geometry!$D$42:$D$59))*(ABS(Es*(($BE13+$BF13*Geometry!$E$42:$E$59+$BG13*Geometry!$D$42:$D$59)))&lt;=fy)+fy*(Es*(($BE13+$BF13*Geometry!$E$42:$E$59+$BG13*Geometry!$D$42:$D$59))&gt;fy)-fy*(Es*(($BE13+$BF13*Geometry!$E$42:$E$59+$BG13*Geometry!$D$42:$D$59))&lt;-fy)-(alpha*fck*(1-(1-((($BE13+$BF13*Geometry!$E$42:$E$59+$BG13*Geometry!$D$42:$D$59))*(($BE13+$BF13*Geometry!$E$42:$E$59+$BG13*Geometry!$D$42:$D$59)&gt;0)*(($BE13+$BF13*Geometry!$E$42:$E$59+$BG13*Geometry!$D$42:$D$59)&lt;eco)+eco*(($BE13+$BF13*Geometry!$E$42:$E$59+$BG13*Geometry!$D$42:$D$59)&gt;=eco))/eco)^n)*((($BE13+$BF13*Geometry!$E$42:$E$59+$BG13*Geometry!$D$42:$D$59))&gt;0))),Geometry!$F$42:$F$59))/1000</f>
      </c>
      <c r="CC13" s="32">
        <f>(SUMPRODUCT(alpha*fck*(1-(1-((($BH13+$BI13*Mesh_Y+$BJ13*Mesh_X))*(($BH13+$BI13*Mesh_Y+$BJ13*Mesh_X)&gt;0)*(($BH13+$BI13*Mesh_Y+$BJ13*Mesh_X)&lt;eco)+eco*(($BH13+$BI13*Mesh_Y+$BJ13*Mesh_X)&gt;=eco))/eco)^n)*((($BH13+$BI13*Mesh_Y+$BJ13*Mesh_X))&gt;0),Mesh_A)+SUMPRODUCT((Es*(($BH13+$BI13*Geometry!$E$42:$E$59+$BJ13*Geometry!$D$42:$D$59))*(ABS(Es*(($BH13+$BI13*Geometry!$E$42:$E$59+$BJ13*Geometry!$D$42:$D$59)))&lt;=fy)+fy*(Es*(($BH13+$BI13*Geometry!$E$42:$E$59+$BJ13*Geometry!$D$42:$D$59))&gt;fy)-fy*(Es*(($BH13+$BI13*Geometry!$E$42:$E$59+$BJ13*Geometry!$D$42:$D$59))&lt;-fy)-(alpha*fck*(1-(1-((($BH13+$BI13*Geometry!$E$42:$E$59+$BJ13*Geometry!$D$42:$D$59))*(($BH13+$BI13*Geometry!$E$42:$E$59+$BJ13*Geometry!$D$42:$D$59)&gt;0)*(($BH13+$BI13*Geometry!$E$42:$E$59+$BJ13*Geometry!$D$42:$D$59)&lt;eco)+eco*(($BH13+$BI13*Geometry!$E$42:$E$59+$BJ13*Geometry!$D$42:$D$59)&gt;=eco))/eco)^n)*((($BH13+$BI13*Geometry!$E$42:$E$59+$BJ13*Geometry!$D$42:$D$59))&gt;0))),Geometry!$F$42:$F$59))/1000</f>
      </c>
      <c r="CD13" s="32">
        <f>(SUMPRODUCT(alpha*fck*(1-(1-((($F13+$G13*Mesh_Y+$H13*Mesh_X))*(($F13+$G13*Mesh_Y+$H13*Mesh_X)&gt;0)*(($F13+$G13*Mesh_Y+$H13*Mesh_X)&lt;eco)+eco*(($F13+$G13*Mesh_Y+$H13*Mesh_X)&gt;=eco))/eco)^n)*((($F13+$G13*Mesh_Y+$H13*Mesh_X))&gt;0),Mesh_A,Mesh_Y)+SUMPRODUCT((Es*(($F13+$G13*Geometry!$E$42:$E$59+$H13*Geometry!$D$42:$D$59))*(ABS(Es*(($F13+$G13*Geometry!$E$42:$E$59+$H13*Geometry!$D$42:$D$59)))&lt;=fy)+fy*(Es*(($F13+$G13*Geometry!$E$42:$E$59+$H13*Geometry!$D$42:$D$59))&gt;fy)-fy*(Es*(($F13+$G13*Geometry!$E$42:$E$59+$H13*Geometry!$D$42:$D$59))&lt;-fy)-(alpha*fck*(1-(1-((($F13+$G13*Geometry!$E$42:$E$59+$H13*Geometry!$D$42:$D$59))*(($F13+$G13*Geometry!$E$42:$E$59+$H13*Geometry!$D$42:$D$59)&gt;0)*(($F13+$G13*Geometry!$E$42:$E$59+$H13*Geometry!$D$42:$D$59)&lt;eco)+eco*(($F13+$G13*Geometry!$E$42:$E$59+$H13*Geometry!$D$42:$D$59)&gt;=eco))/eco)^n)*((($F13+$G13*Geometry!$E$42:$E$59+$H13*Geometry!$D$42:$D$59))&gt;0))),Geometry!$F$42:$F$59,Geometry!$E$42:$E$59))/1000000</f>
      </c>
      <c r="CE13" s="32">
        <f>(SUMPRODUCT(alpha*fck*(1-(1-((($I13+$J13*Mesh_Y+$K13*Mesh_X))*(($I13+$J13*Mesh_Y+$K13*Mesh_X)&gt;0)*(($I13+$J13*Mesh_Y+$K13*Mesh_X)&lt;eco)+eco*(($I13+$J13*Mesh_Y+$K13*Mesh_X)&gt;=eco))/eco)^n)*((($I13+$J13*Mesh_Y+$K13*Mesh_X))&gt;0),Mesh_A,Mesh_Y)+SUMPRODUCT((Es*(($I13+$J13*Geometry!$E$42:$E$59+$K13*Geometry!$D$42:$D$59))*(ABS(Es*(($I13+$J13*Geometry!$E$42:$E$59+$K13*Geometry!$D$42:$D$59)))&lt;=fy)+fy*(Es*(($I13+$J13*Geometry!$E$42:$E$59+$K13*Geometry!$D$42:$D$59))&gt;fy)-fy*(Es*(($I13+$J13*Geometry!$E$42:$E$59+$K13*Geometry!$D$42:$D$59))&lt;-fy)-(alpha*fck*(1-(1-((($I13+$J13*Geometry!$E$42:$E$59+$K13*Geometry!$D$42:$D$59))*(($I13+$J13*Geometry!$E$42:$E$59+$K13*Geometry!$D$42:$D$59)&gt;0)*(($I13+$J13*Geometry!$E$42:$E$59+$K13*Geometry!$D$42:$D$59)&lt;eco)+eco*(($I13+$J13*Geometry!$E$42:$E$59+$K13*Geometry!$D$42:$D$59)&gt;=eco))/eco)^n)*((($I13+$J13*Geometry!$E$42:$E$59+$K13*Geometry!$D$42:$D$59))&gt;0))),Geometry!$F$42:$F$59,Geometry!$E$42:$E$59))/1000000</f>
      </c>
      <c r="CF13" s="32">
        <f>(SUMPRODUCT(alpha*fck*(1-(1-((($L13+$M13*Mesh_Y+$N13*Mesh_X))*(($L13+$M13*Mesh_Y+$N13*Mesh_X)&gt;0)*(($L13+$M13*Mesh_Y+$N13*Mesh_X)&lt;eco)+eco*(($L13+$M13*Mesh_Y+$N13*Mesh_X)&gt;=eco))/eco)^n)*((($L13+$M13*Mesh_Y+$N13*Mesh_X))&gt;0),Mesh_A,Mesh_Y)+SUMPRODUCT((Es*(($L13+$M13*Geometry!$E$42:$E$59+$N13*Geometry!$D$42:$D$59))*(ABS(Es*(($L13+$M13*Geometry!$E$42:$E$59+$N13*Geometry!$D$42:$D$59)))&lt;=fy)+fy*(Es*(($L13+$M13*Geometry!$E$42:$E$59+$N13*Geometry!$D$42:$D$59))&gt;fy)-fy*(Es*(($L13+$M13*Geometry!$E$42:$E$59+$N13*Geometry!$D$42:$D$59))&lt;-fy)-(alpha*fck*(1-(1-((($L13+$M13*Geometry!$E$42:$E$59+$N13*Geometry!$D$42:$D$59))*(($L13+$M13*Geometry!$E$42:$E$59+$N13*Geometry!$D$42:$D$59)&gt;0)*(($L13+$M13*Geometry!$E$42:$E$59+$N13*Geometry!$D$42:$D$59)&lt;eco)+eco*(($L13+$M13*Geometry!$E$42:$E$59+$N13*Geometry!$D$42:$D$59)&gt;=eco))/eco)^n)*((($L13+$M13*Geometry!$E$42:$E$59+$N13*Geometry!$D$42:$D$59))&gt;0))),Geometry!$F$42:$F$59,Geometry!$E$42:$E$59))/1000000</f>
      </c>
      <c r="CG13" s="32">
        <f>(SUMPRODUCT(alpha*fck*(1-(1-((($O13+$P13*Mesh_Y+$Q13*Mesh_X))*(($O13+$P13*Mesh_Y+$Q13*Mesh_X)&gt;0)*(($O13+$P13*Mesh_Y+$Q13*Mesh_X)&lt;eco)+eco*(($O13+$P13*Mesh_Y+$Q13*Mesh_X)&gt;=eco))/eco)^n)*((($O13+$P13*Mesh_Y+$Q13*Mesh_X))&gt;0),Mesh_A,Mesh_Y)+SUMPRODUCT((Es*(($O13+$P13*Geometry!$E$42:$E$59+$Q13*Geometry!$D$42:$D$59))*(ABS(Es*(($O13+$P13*Geometry!$E$42:$E$59+$Q13*Geometry!$D$42:$D$59)))&lt;=fy)+fy*(Es*(($O13+$P13*Geometry!$E$42:$E$59+$Q13*Geometry!$D$42:$D$59))&gt;fy)-fy*(Es*(($O13+$P13*Geometry!$E$42:$E$59+$Q13*Geometry!$D$42:$D$59))&lt;-fy)-(alpha*fck*(1-(1-((($O13+$P13*Geometry!$E$42:$E$59+$Q13*Geometry!$D$42:$D$59))*(($O13+$P13*Geometry!$E$42:$E$59+$Q13*Geometry!$D$42:$D$59)&gt;0)*(($O13+$P13*Geometry!$E$42:$E$59+$Q13*Geometry!$D$42:$D$59)&lt;eco)+eco*(($O13+$P13*Geometry!$E$42:$E$59+$Q13*Geometry!$D$42:$D$59)&gt;=eco))/eco)^n)*((($O13+$P13*Geometry!$E$42:$E$59+$Q13*Geometry!$D$42:$D$59))&gt;0))),Geometry!$F$42:$F$59,Geometry!$E$42:$E$59))/1000000</f>
      </c>
      <c r="CH13" s="32">
        <f>(SUMPRODUCT(alpha*fck*(1-(1-((($R13+$S13*Mesh_Y+$T13*Mesh_X))*(($R13+$S13*Mesh_Y+$T13*Mesh_X)&gt;0)*(($R13+$S13*Mesh_Y+$T13*Mesh_X)&lt;eco)+eco*(($R13+$S13*Mesh_Y+$T13*Mesh_X)&gt;=eco))/eco)^n)*((($R13+$S13*Mesh_Y+$T13*Mesh_X))&gt;0),Mesh_A,Mesh_Y)+SUMPRODUCT((Es*(($R13+$S13*Geometry!$E$42:$E$59+$T13*Geometry!$D$42:$D$59))*(ABS(Es*(($R13+$S13*Geometry!$E$42:$E$59+$T13*Geometry!$D$42:$D$59)))&lt;=fy)+fy*(Es*(($R13+$S13*Geometry!$E$42:$E$59+$T13*Geometry!$D$42:$D$59))&gt;fy)-fy*(Es*(($R13+$S13*Geometry!$E$42:$E$59+$T13*Geometry!$D$42:$D$59))&lt;-fy)-(alpha*fck*(1-(1-((($R13+$S13*Geometry!$E$42:$E$59+$T13*Geometry!$D$42:$D$59))*(($R13+$S13*Geometry!$E$42:$E$59+$T13*Geometry!$D$42:$D$59)&gt;0)*(($R13+$S13*Geometry!$E$42:$E$59+$T13*Geometry!$D$42:$D$59)&lt;eco)+eco*(($R13+$S13*Geometry!$E$42:$E$59+$T13*Geometry!$D$42:$D$59)&gt;=eco))/eco)^n)*((($R13+$S13*Geometry!$E$42:$E$59+$T13*Geometry!$D$42:$D$59))&gt;0))),Geometry!$F$42:$F$59,Geometry!$E$42:$E$59))/1000000</f>
      </c>
      <c r="CI13" s="32">
        <f>(SUMPRODUCT(alpha*fck*(1-(1-((($U13+$V13*Mesh_Y+$W13*Mesh_X))*(($U13+$V13*Mesh_Y+$W13*Mesh_X)&gt;0)*(($U13+$V13*Mesh_Y+$W13*Mesh_X)&lt;eco)+eco*(($U13+$V13*Mesh_Y+$W13*Mesh_X)&gt;=eco))/eco)^n)*((($U13+$V13*Mesh_Y+$W13*Mesh_X))&gt;0),Mesh_A,Mesh_Y)+SUMPRODUCT((Es*(($U13+$V13*Geometry!$E$42:$E$59+$W13*Geometry!$D$42:$D$59))*(ABS(Es*(($U13+$V13*Geometry!$E$42:$E$59+$W13*Geometry!$D$42:$D$59)))&lt;=fy)+fy*(Es*(($U13+$V13*Geometry!$E$42:$E$59+$W13*Geometry!$D$42:$D$59))&gt;fy)-fy*(Es*(($U13+$V13*Geometry!$E$42:$E$59+$W13*Geometry!$D$42:$D$59))&lt;-fy)-(alpha*fck*(1-(1-((($U13+$V13*Geometry!$E$42:$E$59+$W13*Geometry!$D$42:$D$59))*(($U13+$V13*Geometry!$E$42:$E$59+$W13*Geometry!$D$42:$D$59)&gt;0)*(($U13+$V13*Geometry!$E$42:$E$59+$W13*Geometry!$D$42:$D$59)&lt;eco)+eco*(($U13+$V13*Geometry!$E$42:$E$59+$W13*Geometry!$D$42:$D$59)&gt;=eco))/eco)^n)*((($U13+$V13*Geometry!$E$42:$E$59+$W13*Geometry!$D$42:$D$59))&gt;0))),Geometry!$F$42:$F$59,Geometry!$E$42:$E$59))/1000000</f>
      </c>
      <c r="CJ13" s="32">
        <f>(SUMPRODUCT(alpha*fck*(1-(1-((($X13+$Y13*Mesh_Y+$Z13*Mesh_X))*(($X13+$Y13*Mesh_Y+$Z13*Mesh_X)&gt;0)*(($X13+$Y13*Mesh_Y+$Z13*Mesh_X)&lt;eco)+eco*(($X13+$Y13*Mesh_Y+$Z13*Mesh_X)&gt;=eco))/eco)^n)*((($X13+$Y13*Mesh_Y+$Z13*Mesh_X))&gt;0),Mesh_A,Mesh_Y)+SUMPRODUCT((Es*(($X13+$Y13*Geometry!$E$42:$E$59+$Z13*Geometry!$D$42:$D$59))*(ABS(Es*(($X13+$Y13*Geometry!$E$42:$E$59+$Z13*Geometry!$D$42:$D$59)))&lt;=fy)+fy*(Es*(($X13+$Y13*Geometry!$E$42:$E$59+$Z13*Geometry!$D$42:$D$59))&gt;fy)-fy*(Es*(($X13+$Y13*Geometry!$E$42:$E$59+$Z13*Geometry!$D$42:$D$59))&lt;-fy)-(alpha*fck*(1-(1-((($X13+$Y13*Geometry!$E$42:$E$59+$Z13*Geometry!$D$42:$D$59))*(($X13+$Y13*Geometry!$E$42:$E$59+$Z13*Geometry!$D$42:$D$59)&gt;0)*(($X13+$Y13*Geometry!$E$42:$E$59+$Z13*Geometry!$D$42:$D$59)&lt;eco)+eco*(($X13+$Y13*Geometry!$E$42:$E$59+$Z13*Geometry!$D$42:$D$59)&gt;=eco))/eco)^n)*((($X13+$Y13*Geometry!$E$42:$E$59+$Z13*Geometry!$D$42:$D$59))&gt;0))),Geometry!$F$42:$F$59,Geometry!$E$42:$E$59))/1000000</f>
      </c>
      <c r="CK13" s="32">
        <f>(SUMPRODUCT(alpha*fck*(1-(1-((($AA13+$AB13*Mesh_Y+$AC13*Mesh_X))*(($AA13+$AB13*Mesh_Y+$AC13*Mesh_X)&gt;0)*(($AA13+$AB13*Mesh_Y+$AC13*Mesh_X)&lt;eco)+eco*(($AA13+$AB13*Mesh_Y+$AC13*Mesh_X)&gt;=eco))/eco)^n)*((($AA13+$AB13*Mesh_Y+$AC13*Mesh_X))&gt;0),Mesh_A,Mesh_Y)+SUMPRODUCT((Es*(($AA13+$AB13*Geometry!$E$42:$E$59+$AC13*Geometry!$D$42:$D$59))*(ABS(Es*(($AA13+$AB13*Geometry!$E$42:$E$59+$AC13*Geometry!$D$42:$D$59)))&lt;=fy)+fy*(Es*(($AA13+$AB13*Geometry!$E$42:$E$59+$AC13*Geometry!$D$42:$D$59))&gt;fy)-fy*(Es*(($AA13+$AB13*Geometry!$E$42:$E$59+$AC13*Geometry!$D$42:$D$59))&lt;-fy)-(alpha*fck*(1-(1-((($AA13+$AB13*Geometry!$E$42:$E$59+$AC13*Geometry!$D$42:$D$59))*(($AA13+$AB13*Geometry!$E$42:$E$59+$AC13*Geometry!$D$42:$D$59)&gt;0)*(($AA13+$AB13*Geometry!$E$42:$E$59+$AC13*Geometry!$D$42:$D$59)&lt;eco)+eco*(($AA13+$AB13*Geometry!$E$42:$E$59+$AC13*Geometry!$D$42:$D$59)&gt;=eco))/eco)^n)*((($AA13+$AB13*Geometry!$E$42:$E$59+$AC13*Geometry!$D$42:$D$59))&gt;0))),Geometry!$F$42:$F$59,Geometry!$E$42:$E$59))/1000000</f>
      </c>
      <c r="CL13" s="32">
        <f>(SUMPRODUCT(alpha*fck*(1-(1-((($AD13+$AE13*Mesh_Y+$AF13*Mesh_X))*(($AD13+$AE13*Mesh_Y+$AF13*Mesh_X)&gt;0)*(($AD13+$AE13*Mesh_Y+$AF13*Mesh_X)&lt;eco)+eco*(($AD13+$AE13*Mesh_Y+$AF13*Mesh_X)&gt;=eco))/eco)^n)*((($AD13+$AE13*Mesh_Y+$AF13*Mesh_X))&gt;0),Mesh_A,Mesh_Y)+SUMPRODUCT((Es*(($AD13+$AE13*Geometry!$E$42:$E$59+$AF13*Geometry!$D$42:$D$59))*(ABS(Es*(($AD13+$AE13*Geometry!$E$42:$E$59+$AF13*Geometry!$D$42:$D$59)))&lt;=fy)+fy*(Es*(($AD13+$AE13*Geometry!$E$42:$E$59+$AF13*Geometry!$D$42:$D$59))&gt;fy)-fy*(Es*(($AD13+$AE13*Geometry!$E$42:$E$59+$AF13*Geometry!$D$42:$D$59))&lt;-fy)-(alpha*fck*(1-(1-((($AD13+$AE13*Geometry!$E$42:$E$59+$AF13*Geometry!$D$42:$D$59))*(($AD13+$AE13*Geometry!$E$42:$E$59+$AF13*Geometry!$D$42:$D$59)&gt;0)*(($AD13+$AE13*Geometry!$E$42:$E$59+$AF13*Geometry!$D$42:$D$59)&lt;eco)+eco*(($AD13+$AE13*Geometry!$E$42:$E$59+$AF13*Geometry!$D$42:$D$59)&gt;=eco))/eco)^n)*((($AD13+$AE13*Geometry!$E$42:$E$59+$AF13*Geometry!$D$42:$D$59))&gt;0))),Geometry!$F$42:$F$59,Geometry!$E$42:$E$59))/1000000</f>
      </c>
      <c r="CM13" s="32">
        <f>(SUMPRODUCT(alpha*fck*(1-(1-((($AG13+$AH13*Mesh_Y+$AI13*Mesh_X))*(($AG13+$AH13*Mesh_Y+$AI13*Mesh_X)&gt;0)*(($AG13+$AH13*Mesh_Y+$AI13*Mesh_X)&lt;eco)+eco*(($AG13+$AH13*Mesh_Y+$AI13*Mesh_X)&gt;=eco))/eco)^n)*((($AG13+$AH13*Mesh_Y+$AI13*Mesh_X))&gt;0),Mesh_A,Mesh_Y)+SUMPRODUCT((Es*(($AG13+$AH13*Geometry!$E$42:$E$59+$AI13*Geometry!$D$42:$D$59))*(ABS(Es*(($AG13+$AH13*Geometry!$E$42:$E$59+$AI13*Geometry!$D$42:$D$59)))&lt;=fy)+fy*(Es*(($AG13+$AH13*Geometry!$E$42:$E$59+$AI13*Geometry!$D$42:$D$59))&gt;fy)-fy*(Es*(($AG13+$AH13*Geometry!$E$42:$E$59+$AI13*Geometry!$D$42:$D$59))&lt;-fy)-(alpha*fck*(1-(1-((($AG13+$AH13*Geometry!$E$42:$E$59+$AI13*Geometry!$D$42:$D$59))*(($AG13+$AH13*Geometry!$E$42:$E$59+$AI13*Geometry!$D$42:$D$59)&gt;0)*(($AG13+$AH13*Geometry!$E$42:$E$59+$AI13*Geometry!$D$42:$D$59)&lt;eco)+eco*(($AG13+$AH13*Geometry!$E$42:$E$59+$AI13*Geometry!$D$42:$D$59)&gt;=eco))/eco)^n)*((($AG13+$AH13*Geometry!$E$42:$E$59+$AI13*Geometry!$D$42:$D$59))&gt;0))),Geometry!$F$42:$F$59,Geometry!$E$42:$E$59))/1000000</f>
      </c>
      <c r="CN13" s="32">
        <f>(SUMPRODUCT(alpha*fck*(1-(1-((($AJ13+$AK13*Mesh_Y+$AL13*Mesh_X))*(($AJ13+$AK13*Mesh_Y+$AL13*Mesh_X)&gt;0)*(($AJ13+$AK13*Mesh_Y+$AL13*Mesh_X)&lt;eco)+eco*(($AJ13+$AK13*Mesh_Y+$AL13*Mesh_X)&gt;=eco))/eco)^n)*((($AJ13+$AK13*Mesh_Y+$AL13*Mesh_X))&gt;0),Mesh_A,Mesh_Y)+SUMPRODUCT((Es*(($AJ13+$AK13*Geometry!$E$42:$E$59+$AL13*Geometry!$D$42:$D$59))*(ABS(Es*(($AJ13+$AK13*Geometry!$E$42:$E$59+$AL13*Geometry!$D$42:$D$59)))&lt;=fy)+fy*(Es*(($AJ13+$AK13*Geometry!$E$42:$E$59+$AL13*Geometry!$D$42:$D$59))&gt;fy)-fy*(Es*(($AJ13+$AK13*Geometry!$E$42:$E$59+$AL13*Geometry!$D$42:$D$59))&lt;-fy)-(alpha*fck*(1-(1-((($AJ13+$AK13*Geometry!$E$42:$E$59+$AL13*Geometry!$D$42:$D$59))*(($AJ13+$AK13*Geometry!$E$42:$E$59+$AL13*Geometry!$D$42:$D$59)&gt;0)*(($AJ13+$AK13*Geometry!$E$42:$E$59+$AL13*Geometry!$D$42:$D$59)&lt;eco)+eco*(($AJ13+$AK13*Geometry!$E$42:$E$59+$AL13*Geometry!$D$42:$D$59)&gt;=eco))/eco)^n)*((($AJ13+$AK13*Geometry!$E$42:$E$59+$AL13*Geometry!$D$42:$D$59))&gt;0))),Geometry!$F$42:$F$59,Geometry!$E$42:$E$59))/1000000</f>
      </c>
      <c r="CO13" s="32">
        <f>(SUMPRODUCT(alpha*fck*(1-(1-((($AM13+$AN13*Mesh_Y+$AO13*Mesh_X))*(($AM13+$AN13*Mesh_Y+$AO13*Mesh_X)&gt;0)*(($AM13+$AN13*Mesh_Y+$AO13*Mesh_X)&lt;eco)+eco*(($AM13+$AN13*Mesh_Y+$AO13*Mesh_X)&gt;=eco))/eco)^n)*((($AM13+$AN13*Mesh_Y+$AO13*Mesh_X))&gt;0),Mesh_A,Mesh_Y)+SUMPRODUCT((Es*(($AM13+$AN13*Geometry!$E$42:$E$59+$AO13*Geometry!$D$42:$D$59))*(ABS(Es*(($AM13+$AN13*Geometry!$E$42:$E$59+$AO13*Geometry!$D$42:$D$59)))&lt;=fy)+fy*(Es*(($AM13+$AN13*Geometry!$E$42:$E$59+$AO13*Geometry!$D$42:$D$59))&gt;fy)-fy*(Es*(($AM13+$AN13*Geometry!$E$42:$E$59+$AO13*Geometry!$D$42:$D$59))&lt;-fy)-(alpha*fck*(1-(1-((($AM13+$AN13*Geometry!$E$42:$E$59+$AO13*Geometry!$D$42:$D$59))*(($AM13+$AN13*Geometry!$E$42:$E$59+$AO13*Geometry!$D$42:$D$59)&gt;0)*(($AM13+$AN13*Geometry!$E$42:$E$59+$AO13*Geometry!$D$42:$D$59)&lt;eco)+eco*(($AM13+$AN13*Geometry!$E$42:$E$59+$AO13*Geometry!$D$42:$D$59)&gt;=eco))/eco)^n)*((($AM13+$AN13*Geometry!$E$42:$E$59+$AO13*Geometry!$D$42:$D$59))&gt;0))),Geometry!$F$42:$F$59,Geometry!$E$42:$E$59))/1000000</f>
      </c>
      <c r="CP13" s="32">
        <f>(SUMPRODUCT(alpha*fck*(1-(1-((($AP13+$AQ13*Mesh_Y+$AR13*Mesh_X))*(($AP13+$AQ13*Mesh_Y+$AR13*Mesh_X)&gt;0)*(($AP13+$AQ13*Mesh_Y+$AR13*Mesh_X)&lt;eco)+eco*(($AP13+$AQ13*Mesh_Y+$AR13*Mesh_X)&gt;=eco))/eco)^n)*((($AP13+$AQ13*Mesh_Y+$AR13*Mesh_X))&gt;0),Mesh_A,Mesh_Y)+SUMPRODUCT((Es*(($AP13+$AQ13*Geometry!$E$42:$E$59+$AR13*Geometry!$D$42:$D$59))*(ABS(Es*(($AP13+$AQ13*Geometry!$E$42:$E$59+$AR13*Geometry!$D$42:$D$59)))&lt;=fy)+fy*(Es*(($AP13+$AQ13*Geometry!$E$42:$E$59+$AR13*Geometry!$D$42:$D$59))&gt;fy)-fy*(Es*(($AP13+$AQ13*Geometry!$E$42:$E$59+$AR13*Geometry!$D$42:$D$59))&lt;-fy)-(alpha*fck*(1-(1-((($AP13+$AQ13*Geometry!$E$42:$E$59+$AR13*Geometry!$D$42:$D$59))*(($AP13+$AQ13*Geometry!$E$42:$E$59+$AR13*Geometry!$D$42:$D$59)&gt;0)*(($AP13+$AQ13*Geometry!$E$42:$E$59+$AR13*Geometry!$D$42:$D$59)&lt;eco)+eco*(($AP13+$AQ13*Geometry!$E$42:$E$59+$AR13*Geometry!$D$42:$D$59)&gt;=eco))/eco)^n)*((($AP13+$AQ13*Geometry!$E$42:$E$59+$AR13*Geometry!$D$42:$D$59))&gt;0))),Geometry!$F$42:$F$59,Geometry!$E$42:$E$59))/1000000</f>
      </c>
      <c r="CQ13" s="32">
        <f>(SUMPRODUCT(alpha*fck*(1-(1-((($AS13+$AT13*Mesh_Y+$AU13*Mesh_X))*(($AS13+$AT13*Mesh_Y+$AU13*Mesh_X)&gt;0)*(($AS13+$AT13*Mesh_Y+$AU13*Mesh_X)&lt;eco)+eco*(($AS13+$AT13*Mesh_Y+$AU13*Mesh_X)&gt;=eco))/eco)^n)*((($AS13+$AT13*Mesh_Y+$AU13*Mesh_X))&gt;0),Mesh_A,Mesh_Y)+SUMPRODUCT((Es*(($AS13+$AT13*Geometry!$E$42:$E$59+$AU13*Geometry!$D$42:$D$59))*(ABS(Es*(($AS13+$AT13*Geometry!$E$42:$E$59+$AU13*Geometry!$D$42:$D$59)))&lt;=fy)+fy*(Es*(($AS13+$AT13*Geometry!$E$42:$E$59+$AU13*Geometry!$D$42:$D$59))&gt;fy)-fy*(Es*(($AS13+$AT13*Geometry!$E$42:$E$59+$AU13*Geometry!$D$42:$D$59))&lt;-fy)-(alpha*fck*(1-(1-((($AS13+$AT13*Geometry!$E$42:$E$59+$AU13*Geometry!$D$42:$D$59))*(($AS13+$AT13*Geometry!$E$42:$E$59+$AU13*Geometry!$D$42:$D$59)&gt;0)*(($AS13+$AT13*Geometry!$E$42:$E$59+$AU13*Geometry!$D$42:$D$59)&lt;eco)+eco*(($AS13+$AT13*Geometry!$E$42:$E$59+$AU13*Geometry!$D$42:$D$59)&gt;=eco))/eco)^n)*((($AS13+$AT13*Geometry!$E$42:$E$59+$AU13*Geometry!$D$42:$D$59))&gt;0))),Geometry!$F$42:$F$59,Geometry!$E$42:$E$59))/1000000</f>
      </c>
      <c r="CR13" s="32">
        <f>(SUMPRODUCT(alpha*fck*(1-(1-((($AV13+$AW13*Mesh_Y+$AX13*Mesh_X))*(($AV13+$AW13*Mesh_Y+$AX13*Mesh_X)&gt;0)*(($AV13+$AW13*Mesh_Y+$AX13*Mesh_X)&lt;eco)+eco*(($AV13+$AW13*Mesh_Y+$AX13*Mesh_X)&gt;=eco))/eco)^n)*((($AV13+$AW13*Mesh_Y+$AX13*Mesh_X))&gt;0),Mesh_A,Mesh_Y)+SUMPRODUCT((Es*(($AV13+$AW13*Geometry!$E$42:$E$59+$AX13*Geometry!$D$42:$D$59))*(ABS(Es*(($AV13+$AW13*Geometry!$E$42:$E$59+$AX13*Geometry!$D$42:$D$59)))&lt;=fy)+fy*(Es*(($AV13+$AW13*Geometry!$E$42:$E$59+$AX13*Geometry!$D$42:$D$59))&gt;fy)-fy*(Es*(($AV13+$AW13*Geometry!$E$42:$E$59+$AX13*Geometry!$D$42:$D$59))&lt;-fy)-(alpha*fck*(1-(1-((($AV13+$AW13*Geometry!$E$42:$E$59+$AX13*Geometry!$D$42:$D$59))*(($AV13+$AW13*Geometry!$E$42:$E$59+$AX13*Geometry!$D$42:$D$59)&gt;0)*(($AV13+$AW13*Geometry!$E$42:$E$59+$AX13*Geometry!$D$42:$D$59)&lt;eco)+eco*(($AV13+$AW13*Geometry!$E$42:$E$59+$AX13*Geometry!$D$42:$D$59)&gt;=eco))/eco)^n)*((($AV13+$AW13*Geometry!$E$42:$E$59+$AX13*Geometry!$D$42:$D$59))&gt;0))),Geometry!$F$42:$F$59,Geometry!$E$42:$E$59))/1000000</f>
      </c>
      <c r="CS13" s="32">
        <f>(SUMPRODUCT(alpha*fck*(1-(1-((($AY13+$AZ13*Mesh_Y+$BA13*Mesh_X))*(($AY13+$AZ13*Mesh_Y+$BA13*Mesh_X)&gt;0)*(($AY13+$AZ13*Mesh_Y+$BA13*Mesh_X)&lt;eco)+eco*(($AY13+$AZ13*Mesh_Y+$BA13*Mesh_X)&gt;=eco))/eco)^n)*((($AY13+$AZ13*Mesh_Y+$BA13*Mesh_X))&gt;0),Mesh_A,Mesh_Y)+SUMPRODUCT((Es*(($AY13+$AZ13*Geometry!$E$42:$E$59+$BA13*Geometry!$D$42:$D$59))*(ABS(Es*(($AY13+$AZ13*Geometry!$E$42:$E$59+$BA13*Geometry!$D$42:$D$59)))&lt;=fy)+fy*(Es*(($AY13+$AZ13*Geometry!$E$42:$E$59+$BA13*Geometry!$D$42:$D$59))&gt;fy)-fy*(Es*(($AY13+$AZ13*Geometry!$E$42:$E$59+$BA13*Geometry!$D$42:$D$59))&lt;-fy)-(alpha*fck*(1-(1-((($AY13+$AZ13*Geometry!$E$42:$E$59+$BA13*Geometry!$D$42:$D$59))*(($AY13+$AZ13*Geometry!$E$42:$E$59+$BA13*Geometry!$D$42:$D$59)&gt;0)*(($AY13+$AZ13*Geometry!$E$42:$E$59+$BA13*Geometry!$D$42:$D$59)&lt;eco)+eco*(($AY13+$AZ13*Geometry!$E$42:$E$59+$BA13*Geometry!$D$42:$D$59)&gt;=eco))/eco)^n)*((($AY13+$AZ13*Geometry!$E$42:$E$59+$BA13*Geometry!$D$42:$D$59))&gt;0))),Geometry!$F$42:$F$59,Geometry!$E$42:$E$59))/1000000</f>
      </c>
      <c r="CT13" s="32">
        <f>(SUMPRODUCT(alpha*fck*(1-(1-((($BB13+$BC13*Mesh_Y+$BD13*Mesh_X))*(($BB13+$BC13*Mesh_Y+$BD13*Mesh_X)&gt;0)*(($BB13+$BC13*Mesh_Y+$BD13*Mesh_X)&lt;eco)+eco*(($BB13+$BC13*Mesh_Y+$BD13*Mesh_X)&gt;=eco))/eco)^n)*((($BB13+$BC13*Mesh_Y+$BD13*Mesh_X))&gt;0),Mesh_A,Mesh_Y)+SUMPRODUCT((Es*(($BB13+$BC13*Geometry!$E$42:$E$59+$BD13*Geometry!$D$42:$D$59))*(ABS(Es*(($BB13+$BC13*Geometry!$E$42:$E$59+$BD13*Geometry!$D$42:$D$59)))&lt;=fy)+fy*(Es*(($BB13+$BC13*Geometry!$E$42:$E$59+$BD13*Geometry!$D$42:$D$59))&gt;fy)-fy*(Es*(($BB13+$BC13*Geometry!$E$42:$E$59+$BD13*Geometry!$D$42:$D$59))&lt;-fy)-(alpha*fck*(1-(1-((($BB13+$BC13*Geometry!$E$42:$E$59+$BD13*Geometry!$D$42:$D$59))*(($BB13+$BC13*Geometry!$E$42:$E$59+$BD13*Geometry!$D$42:$D$59)&gt;0)*(($BB13+$BC13*Geometry!$E$42:$E$59+$BD13*Geometry!$D$42:$D$59)&lt;eco)+eco*(($BB13+$BC13*Geometry!$E$42:$E$59+$BD13*Geometry!$D$42:$D$59)&gt;=eco))/eco)^n)*((($BB13+$BC13*Geometry!$E$42:$E$59+$BD13*Geometry!$D$42:$D$59))&gt;0))),Geometry!$F$42:$F$59,Geometry!$E$42:$E$59))/1000000</f>
      </c>
      <c r="CU13" s="32">
        <f>(SUMPRODUCT(alpha*fck*(1-(1-((($BE13+$BF13*Mesh_Y+$BG13*Mesh_X))*(($BE13+$BF13*Mesh_Y+$BG13*Mesh_X)&gt;0)*(($BE13+$BF13*Mesh_Y+$BG13*Mesh_X)&lt;eco)+eco*(($BE13+$BF13*Mesh_Y+$BG13*Mesh_X)&gt;=eco))/eco)^n)*((($BE13+$BF13*Mesh_Y+$BG13*Mesh_X))&gt;0),Mesh_A,Mesh_Y)+SUMPRODUCT((Es*(($BE13+$BF13*Geometry!$E$42:$E$59+$BG13*Geometry!$D$42:$D$59))*(ABS(Es*(($BE13+$BF13*Geometry!$E$42:$E$59+$BG13*Geometry!$D$42:$D$59)))&lt;=fy)+fy*(Es*(($BE13+$BF13*Geometry!$E$42:$E$59+$BG13*Geometry!$D$42:$D$59))&gt;fy)-fy*(Es*(($BE13+$BF13*Geometry!$E$42:$E$59+$BG13*Geometry!$D$42:$D$59))&lt;-fy)-(alpha*fck*(1-(1-((($BE13+$BF13*Geometry!$E$42:$E$59+$BG13*Geometry!$D$42:$D$59))*(($BE13+$BF13*Geometry!$E$42:$E$59+$BG13*Geometry!$D$42:$D$59)&gt;0)*(($BE13+$BF13*Geometry!$E$42:$E$59+$BG13*Geometry!$D$42:$D$59)&lt;eco)+eco*(($BE13+$BF13*Geometry!$E$42:$E$59+$BG13*Geometry!$D$42:$D$59)&gt;=eco))/eco)^n)*((($BE13+$BF13*Geometry!$E$42:$E$59+$BG13*Geometry!$D$42:$D$59))&gt;0))),Geometry!$F$42:$F$59,Geometry!$E$42:$E$59))/1000000</f>
      </c>
      <c r="CV13" s="32">
        <f>(SUMPRODUCT(alpha*fck*(1-(1-((($BH13+$BI13*Mesh_Y+$BJ13*Mesh_X))*(($BH13+$BI13*Mesh_Y+$BJ13*Mesh_X)&gt;0)*(($BH13+$BI13*Mesh_Y+$BJ13*Mesh_X)&lt;eco)+eco*(($BH13+$BI13*Mesh_Y+$BJ13*Mesh_X)&gt;=eco))/eco)^n)*((($BH13+$BI13*Mesh_Y+$BJ13*Mesh_X))&gt;0),Mesh_A,Mesh_Y)+SUMPRODUCT((Es*(($BH13+$BI13*Geometry!$E$42:$E$59+$BJ13*Geometry!$D$42:$D$59))*(ABS(Es*(($BH13+$BI13*Geometry!$E$42:$E$59+$BJ13*Geometry!$D$42:$D$59)))&lt;=fy)+fy*(Es*(($BH13+$BI13*Geometry!$E$42:$E$59+$BJ13*Geometry!$D$42:$D$59))&gt;fy)-fy*(Es*(($BH13+$BI13*Geometry!$E$42:$E$59+$BJ13*Geometry!$D$42:$D$59))&lt;-fy)-(alpha*fck*(1-(1-((($BH13+$BI13*Geometry!$E$42:$E$59+$BJ13*Geometry!$D$42:$D$59))*(($BH13+$BI13*Geometry!$E$42:$E$59+$BJ13*Geometry!$D$42:$D$59)&gt;0)*(($BH13+$BI13*Geometry!$E$42:$E$59+$BJ13*Geometry!$D$42:$D$59)&lt;eco)+eco*(($BH13+$BI13*Geometry!$E$42:$E$59+$BJ13*Geometry!$D$42:$D$59)&gt;=eco))/eco)^n)*((($BH13+$BI13*Geometry!$E$42:$E$59+$BJ13*Geometry!$D$42:$D$59))&gt;0))),Geometry!$F$42:$F$59,Geometry!$E$42:$E$59))/1000000</f>
      </c>
      <c r="CW13" s="32">
        <f>(SUMPRODUCT(alpha*fck*(1-(1-((($F13+$G13*Mesh_Y+$H13*Mesh_X))*(($F13+$G13*Mesh_Y+$H13*Mesh_X)&gt;0)*(($F13+$G13*Mesh_Y+$H13*Mesh_X)&lt;eco)+eco*(($F13+$G13*Mesh_Y+$H13*Mesh_X)&gt;=eco))/eco)^n)*((($F13+$G13*Mesh_Y+$H13*Mesh_X))&gt;0),Mesh_A,Mesh_X)+SUMPRODUCT((Es*(($F13+$G13*Geometry!$E$42:$E$59+$H13*Geometry!$D$42:$D$59))*(ABS(Es*(($F13+$G13*Geometry!$E$42:$E$59+$H13*Geometry!$D$42:$D$59)))&lt;=fy)+fy*(Es*(($F13+$G13*Geometry!$E$42:$E$59+$H13*Geometry!$D$42:$D$59))&gt;fy)-fy*(Es*(($F13+$G13*Geometry!$E$42:$E$59+$H13*Geometry!$D$42:$D$59))&lt;-fy)-(alpha*fck*(1-(1-((($F13+$G13*Geometry!$E$42:$E$59+$H13*Geometry!$D$42:$D$59))*(($F13+$G13*Geometry!$E$42:$E$59+$H13*Geometry!$D$42:$D$59)&gt;0)*(($F13+$G13*Geometry!$E$42:$E$59+$H13*Geometry!$D$42:$D$59)&lt;eco)+eco*(($F13+$G13*Geometry!$E$42:$E$59+$H13*Geometry!$D$42:$D$59)&gt;=eco))/eco)^n)*((($F13+$G13*Geometry!$E$42:$E$59+$H13*Geometry!$D$42:$D$59))&gt;0))),Geometry!$F$42:$F$59,Geometry!$D$42:$D$59))/1000000</f>
      </c>
      <c r="CX13" s="32">
        <f>(SUMPRODUCT(alpha*fck*(1-(1-((($I13+$J13*Mesh_Y+$K13*Mesh_X))*(($I13+$J13*Mesh_Y+$K13*Mesh_X)&gt;0)*(($I13+$J13*Mesh_Y+$K13*Mesh_X)&lt;eco)+eco*(($I13+$J13*Mesh_Y+$K13*Mesh_X)&gt;=eco))/eco)^n)*((($I13+$J13*Mesh_Y+$K13*Mesh_X))&gt;0),Mesh_A,Mesh_X)+SUMPRODUCT((Es*(($I13+$J13*Geometry!$E$42:$E$59+$K13*Geometry!$D$42:$D$59))*(ABS(Es*(($I13+$J13*Geometry!$E$42:$E$59+$K13*Geometry!$D$42:$D$59)))&lt;=fy)+fy*(Es*(($I13+$J13*Geometry!$E$42:$E$59+$K13*Geometry!$D$42:$D$59))&gt;fy)-fy*(Es*(($I13+$J13*Geometry!$E$42:$E$59+$K13*Geometry!$D$42:$D$59))&lt;-fy)-(alpha*fck*(1-(1-((($I13+$J13*Geometry!$E$42:$E$59+$K13*Geometry!$D$42:$D$59))*(($I13+$J13*Geometry!$E$42:$E$59+$K13*Geometry!$D$42:$D$59)&gt;0)*(($I13+$J13*Geometry!$E$42:$E$59+$K13*Geometry!$D$42:$D$59)&lt;eco)+eco*(($I13+$J13*Geometry!$E$42:$E$59+$K13*Geometry!$D$42:$D$59)&gt;=eco))/eco)^n)*((($I13+$J13*Geometry!$E$42:$E$59+$K13*Geometry!$D$42:$D$59))&gt;0))),Geometry!$F$42:$F$59,Geometry!$D$42:$D$59))/1000000</f>
      </c>
      <c r="CY13" s="32">
        <f>(SUMPRODUCT(alpha*fck*(1-(1-((($L13+$M13*Mesh_Y+$N13*Mesh_X))*(($L13+$M13*Mesh_Y+$N13*Mesh_X)&gt;0)*(($L13+$M13*Mesh_Y+$N13*Mesh_X)&lt;eco)+eco*(($L13+$M13*Mesh_Y+$N13*Mesh_X)&gt;=eco))/eco)^n)*((($L13+$M13*Mesh_Y+$N13*Mesh_X))&gt;0),Mesh_A,Mesh_X)+SUMPRODUCT((Es*(($L13+$M13*Geometry!$E$42:$E$59+$N13*Geometry!$D$42:$D$59))*(ABS(Es*(($L13+$M13*Geometry!$E$42:$E$59+$N13*Geometry!$D$42:$D$59)))&lt;=fy)+fy*(Es*(($L13+$M13*Geometry!$E$42:$E$59+$N13*Geometry!$D$42:$D$59))&gt;fy)-fy*(Es*(($L13+$M13*Geometry!$E$42:$E$59+$N13*Geometry!$D$42:$D$59))&lt;-fy)-(alpha*fck*(1-(1-((($L13+$M13*Geometry!$E$42:$E$59+$N13*Geometry!$D$42:$D$59))*(($L13+$M13*Geometry!$E$42:$E$59+$N13*Geometry!$D$42:$D$59)&gt;0)*(($L13+$M13*Geometry!$E$42:$E$59+$N13*Geometry!$D$42:$D$59)&lt;eco)+eco*(($L13+$M13*Geometry!$E$42:$E$59+$N13*Geometry!$D$42:$D$59)&gt;=eco))/eco)^n)*((($L13+$M13*Geometry!$E$42:$E$59+$N13*Geometry!$D$42:$D$59))&gt;0))),Geometry!$F$42:$F$59,Geometry!$D$42:$D$59))/1000000</f>
      </c>
      <c r="CZ13" s="32">
        <f>(SUMPRODUCT(alpha*fck*(1-(1-((($O13+$P13*Mesh_Y+$Q13*Mesh_X))*(($O13+$P13*Mesh_Y+$Q13*Mesh_X)&gt;0)*(($O13+$P13*Mesh_Y+$Q13*Mesh_X)&lt;eco)+eco*(($O13+$P13*Mesh_Y+$Q13*Mesh_X)&gt;=eco))/eco)^n)*((($O13+$P13*Mesh_Y+$Q13*Mesh_X))&gt;0),Mesh_A,Mesh_X)+SUMPRODUCT((Es*(($O13+$P13*Geometry!$E$42:$E$59+$Q13*Geometry!$D$42:$D$59))*(ABS(Es*(($O13+$P13*Geometry!$E$42:$E$59+$Q13*Geometry!$D$42:$D$59)))&lt;=fy)+fy*(Es*(($O13+$P13*Geometry!$E$42:$E$59+$Q13*Geometry!$D$42:$D$59))&gt;fy)-fy*(Es*(($O13+$P13*Geometry!$E$42:$E$59+$Q13*Geometry!$D$42:$D$59))&lt;-fy)-(alpha*fck*(1-(1-((($O13+$P13*Geometry!$E$42:$E$59+$Q13*Geometry!$D$42:$D$59))*(($O13+$P13*Geometry!$E$42:$E$59+$Q13*Geometry!$D$42:$D$59)&gt;0)*(($O13+$P13*Geometry!$E$42:$E$59+$Q13*Geometry!$D$42:$D$59)&lt;eco)+eco*(($O13+$P13*Geometry!$E$42:$E$59+$Q13*Geometry!$D$42:$D$59)&gt;=eco))/eco)^n)*((($O13+$P13*Geometry!$E$42:$E$59+$Q13*Geometry!$D$42:$D$59))&gt;0))),Geometry!$F$42:$F$59,Geometry!$D$42:$D$59))/1000000</f>
      </c>
      <c r="DA13" s="32">
        <f>(SUMPRODUCT(alpha*fck*(1-(1-((($R13+$S13*Mesh_Y+$T13*Mesh_X))*(($R13+$S13*Mesh_Y+$T13*Mesh_X)&gt;0)*(($R13+$S13*Mesh_Y+$T13*Mesh_X)&lt;eco)+eco*(($R13+$S13*Mesh_Y+$T13*Mesh_X)&gt;=eco))/eco)^n)*((($R13+$S13*Mesh_Y+$T13*Mesh_X))&gt;0),Mesh_A,Mesh_X)+SUMPRODUCT((Es*(($R13+$S13*Geometry!$E$42:$E$59+$T13*Geometry!$D$42:$D$59))*(ABS(Es*(($R13+$S13*Geometry!$E$42:$E$59+$T13*Geometry!$D$42:$D$59)))&lt;=fy)+fy*(Es*(($R13+$S13*Geometry!$E$42:$E$59+$T13*Geometry!$D$42:$D$59))&gt;fy)-fy*(Es*(($R13+$S13*Geometry!$E$42:$E$59+$T13*Geometry!$D$42:$D$59))&lt;-fy)-(alpha*fck*(1-(1-((($R13+$S13*Geometry!$E$42:$E$59+$T13*Geometry!$D$42:$D$59))*(($R13+$S13*Geometry!$E$42:$E$59+$T13*Geometry!$D$42:$D$59)&gt;0)*(($R13+$S13*Geometry!$E$42:$E$59+$T13*Geometry!$D$42:$D$59)&lt;eco)+eco*(($R13+$S13*Geometry!$E$42:$E$59+$T13*Geometry!$D$42:$D$59)&gt;=eco))/eco)^n)*((($R13+$S13*Geometry!$E$42:$E$59+$T13*Geometry!$D$42:$D$59))&gt;0))),Geometry!$F$42:$F$59,Geometry!$D$42:$D$59))/1000000</f>
      </c>
      <c r="DB13" s="32">
        <f>(SUMPRODUCT(alpha*fck*(1-(1-((($U13+$V13*Mesh_Y+$W13*Mesh_X))*(($U13+$V13*Mesh_Y+$W13*Mesh_X)&gt;0)*(($U13+$V13*Mesh_Y+$W13*Mesh_X)&lt;eco)+eco*(($U13+$V13*Mesh_Y+$W13*Mesh_X)&gt;=eco))/eco)^n)*((($U13+$V13*Mesh_Y+$W13*Mesh_X))&gt;0),Mesh_A,Mesh_X)+SUMPRODUCT((Es*(($U13+$V13*Geometry!$E$42:$E$59+$W13*Geometry!$D$42:$D$59))*(ABS(Es*(($U13+$V13*Geometry!$E$42:$E$59+$W13*Geometry!$D$42:$D$59)))&lt;=fy)+fy*(Es*(($U13+$V13*Geometry!$E$42:$E$59+$W13*Geometry!$D$42:$D$59))&gt;fy)-fy*(Es*(($U13+$V13*Geometry!$E$42:$E$59+$W13*Geometry!$D$42:$D$59))&lt;-fy)-(alpha*fck*(1-(1-((($U13+$V13*Geometry!$E$42:$E$59+$W13*Geometry!$D$42:$D$59))*(($U13+$V13*Geometry!$E$42:$E$59+$W13*Geometry!$D$42:$D$59)&gt;0)*(($U13+$V13*Geometry!$E$42:$E$59+$W13*Geometry!$D$42:$D$59)&lt;eco)+eco*(($U13+$V13*Geometry!$E$42:$E$59+$W13*Geometry!$D$42:$D$59)&gt;=eco))/eco)^n)*((($U13+$V13*Geometry!$E$42:$E$59+$W13*Geometry!$D$42:$D$59))&gt;0))),Geometry!$F$42:$F$59,Geometry!$D$42:$D$59))/1000000</f>
      </c>
      <c r="DC13" s="32">
        <f>(SUMPRODUCT(alpha*fck*(1-(1-((($X13+$Y13*Mesh_Y+$Z13*Mesh_X))*(($X13+$Y13*Mesh_Y+$Z13*Mesh_X)&gt;0)*(($X13+$Y13*Mesh_Y+$Z13*Mesh_X)&lt;eco)+eco*(($X13+$Y13*Mesh_Y+$Z13*Mesh_X)&gt;=eco))/eco)^n)*((($X13+$Y13*Mesh_Y+$Z13*Mesh_X))&gt;0),Mesh_A,Mesh_X)+SUMPRODUCT((Es*(($X13+$Y13*Geometry!$E$42:$E$59+$Z13*Geometry!$D$42:$D$59))*(ABS(Es*(($X13+$Y13*Geometry!$E$42:$E$59+$Z13*Geometry!$D$42:$D$59)))&lt;=fy)+fy*(Es*(($X13+$Y13*Geometry!$E$42:$E$59+$Z13*Geometry!$D$42:$D$59))&gt;fy)-fy*(Es*(($X13+$Y13*Geometry!$E$42:$E$59+$Z13*Geometry!$D$42:$D$59))&lt;-fy)-(alpha*fck*(1-(1-((($X13+$Y13*Geometry!$E$42:$E$59+$Z13*Geometry!$D$42:$D$59))*(($X13+$Y13*Geometry!$E$42:$E$59+$Z13*Geometry!$D$42:$D$59)&gt;0)*(($X13+$Y13*Geometry!$E$42:$E$59+$Z13*Geometry!$D$42:$D$59)&lt;eco)+eco*(($X13+$Y13*Geometry!$E$42:$E$59+$Z13*Geometry!$D$42:$D$59)&gt;=eco))/eco)^n)*((($X13+$Y13*Geometry!$E$42:$E$59+$Z13*Geometry!$D$42:$D$59))&gt;0))),Geometry!$F$42:$F$59,Geometry!$D$42:$D$59))/1000000</f>
      </c>
      <c r="DD13" s="32">
        <f>(SUMPRODUCT(alpha*fck*(1-(1-((($AA13+$AB13*Mesh_Y+$AC13*Mesh_X))*(($AA13+$AB13*Mesh_Y+$AC13*Mesh_X)&gt;0)*(($AA13+$AB13*Mesh_Y+$AC13*Mesh_X)&lt;eco)+eco*(($AA13+$AB13*Mesh_Y+$AC13*Mesh_X)&gt;=eco))/eco)^n)*((($AA13+$AB13*Mesh_Y+$AC13*Mesh_X))&gt;0),Mesh_A,Mesh_X)+SUMPRODUCT((Es*(($AA13+$AB13*Geometry!$E$42:$E$59+$AC13*Geometry!$D$42:$D$59))*(ABS(Es*(($AA13+$AB13*Geometry!$E$42:$E$59+$AC13*Geometry!$D$42:$D$59)))&lt;=fy)+fy*(Es*(($AA13+$AB13*Geometry!$E$42:$E$59+$AC13*Geometry!$D$42:$D$59))&gt;fy)-fy*(Es*(($AA13+$AB13*Geometry!$E$42:$E$59+$AC13*Geometry!$D$42:$D$59))&lt;-fy)-(alpha*fck*(1-(1-((($AA13+$AB13*Geometry!$E$42:$E$59+$AC13*Geometry!$D$42:$D$59))*(($AA13+$AB13*Geometry!$E$42:$E$59+$AC13*Geometry!$D$42:$D$59)&gt;0)*(($AA13+$AB13*Geometry!$E$42:$E$59+$AC13*Geometry!$D$42:$D$59)&lt;eco)+eco*(($AA13+$AB13*Geometry!$E$42:$E$59+$AC13*Geometry!$D$42:$D$59)&gt;=eco))/eco)^n)*((($AA13+$AB13*Geometry!$E$42:$E$59+$AC13*Geometry!$D$42:$D$59))&gt;0))),Geometry!$F$42:$F$59,Geometry!$D$42:$D$59))/1000000</f>
      </c>
      <c r="DE13" s="32">
        <f>(SUMPRODUCT(alpha*fck*(1-(1-((($AD13+$AE13*Mesh_Y+$AF13*Mesh_X))*(($AD13+$AE13*Mesh_Y+$AF13*Mesh_X)&gt;0)*(($AD13+$AE13*Mesh_Y+$AF13*Mesh_X)&lt;eco)+eco*(($AD13+$AE13*Mesh_Y+$AF13*Mesh_X)&gt;=eco))/eco)^n)*((($AD13+$AE13*Mesh_Y+$AF13*Mesh_X))&gt;0),Mesh_A,Mesh_X)+SUMPRODUCT((Es*(($AD13+$AE13*Geometry!$E$42:$E$59+$AF13*Geometry!$D$42:$D$59))*(ABS(Es*(($AD13+$AE13*Geometry!$E$42:$E$59+$AF13*Geometry!$D$42:$D$59)))&lt;=fy)+fy*(Es*(($AD13+$AE13*Geometry!$E$42:$E$59+$AF13*Geometry!$D$42:$D$59))&gt;fy)-fy*(Es*(($AD13+$AE13*Geometry!$E$42:$E$59+$AF13*Geometry!$D$42:$D$59))&lt;-fy)-(alpha*fck*(1-(1-((($AD13+$AE13*Geometry!$E$42:$E$59+$AF13*Geometry!$D$42:$D$59))*(($AD13+$AE13*Geometry!$E$42:$E$59+$AF13*Geometry!$D$42:$D$59)&gt;0)*(($AD13+$AE13*Geometry!$E$42:$E$59+$AF13*Geometry!$D$42:$D$59)&lt;eco)+eco*(($AD13+$AE13*Geometry!$E$42:$E$59+$AF13*Geometry!$D$42:$D$59)&gt;=eco))/eco)^n)*((($AD13+$AE13*Geometry!$E$42:$E$59+$AF13*Geometry!$D$42:$D$59))&gt;0))),Geometry!$F$42:$F$59,Geometry!$D$42:$D$59))/1000000</f>
      </c>
      <c r="DF13" s="32">
        <f>(SUMPRODUCT(alpha*fck*(1-(1-((($AG13+$AH13*Mesh_Y+$AI13*Mesh_X))*(($AG13+$AH13*Mesh_Y+$AI13*Mesh_X)&gt;0)*(($AG13+$AH13*Mesh_Y+$AI13*Mesh_X)&lt;eco)+eco*(($AG13+$AH13*Mesh_Y+$AI13*Mesh_X)&gt;=eco))/eco)^n)*((($AG13+$AH13*Mesh_Y+$AI13*Mesh_X))&gt;0),Mesh_A,Mesh_X)+SUMPRODUCT((Es*(($AG13+$AH13*Geometry!$E$42:$E$59+$AI13*Geometry!$D$42:$D$59))*(ABS(Es*(($AG13+$AH13*Geometry!$E$42:$E$59+$AI13*Geometry!$D$42:$D$59)))&lt;=fy)+fy*(Es*(($AG13+$AH13*Geometry!$E$42:$E$59+$AI13*Geometry!$D$42:$D$59))&gt;fy)-fy*(Es*(($AG13+$AH13*Geometry!$E$42:$E$59+$AI13*Geometry!$D$42:$D$59))&lt;-fy)-(alpha*fck*(1-(1-((($AG13+$AH13*Geometry!$E$42:$E$59+$AI13*Geometry!$D$42:$D$59))*(($AG13+$AH13*Geometry!$E$42:$E$59+$AI13*Geometry!$D$42:$D$59)&gt;0)*(($AG13+$AH13*Geometry!$E$42:$E$59+$AI13*Geometry!$D$42:$D$59)&lt;eco)+eco*(($AG13+$AH13*Geometry!$E$42:$E$59+$AI13*Geometry!$D$42:$D$59)&gt;=eco))/eco)^n)*((($AG13+$AH13*Geometry!$E$42:$E$59+$AI13*Geometry!$D$42:$D$59))&gt;0))),Geometry!$F$42:$F$59,Geometry!$D$42:$D$59))/1000000</f>
      </c>
      <c r="DG13" s="32">
        <f>(SUMPRODUCT(alpha*fck*(1-(1-((($AJ13+$AK13*Mesh_Y+$AL13*Mesh_X))*(($AJ13+$AK13*Mesh_Y+$AL13*Mesh_X)&gt;0)*(($AJ13+$AK13*Mesh_Y+$AL13*Mesh_X)&lt;eco)+eco*(($AJ13+$AK13*Mesh_Y+$AL13*Mesh_X)&gt;=eco))/eco)^n)*((($AJ13+$AK13*Mesh_Y+$AL13*Mesh_X))&gt;0),Mesh_A,Mesh_X)+SUMPRODUCT((Es*(($AJ13+$AK13*Geometry!$E$42:$E$59+$AL13*Geometry!$D$42:$D$59))*(ABS(Es*(($AJ13+$AK13*Geometry!$E$42:$E$59+$AL13*Geometry!$D$42:$D$59)))&lt;=fy)+fy*(Es*(($AJ13+$AK13*Geometry!$E$42:$E$59+$AL13*Geometry!$D$42:$D$59))&gt;fy)-fy*(Es*(($AJ13+$AK13*Geometry!$E$42:$E$59+$AL13*Geometry!$D$42:$D$59))&lt;-fy)-(alpha*fck*(1-(1-((($AJ13+$AK13*Geometry!$E$42:$E$59+$AL13*Geometry!$D$42:$D$59))*(($AJ13+$AK13*Geometry!$E$42:$E$59+$AL13*Geometry!$D$42:$D$59)&gt;0)*(($AJ13+$AK13*Geometry!$E$42:$E$59+$AL13*Geometry!$D$42:$D$59)&lt;eco)+eco*(($AJ13+$AK13*Geometry!$E$42:$E$59+$AL13*Geometry!$D$42:$D$59)&gt;=eco))/eco)^n)*((($AJ13+$AK13*Geometry!$E$42:$E$59+$AL13*Geometry!$D$42:$D$59))&gt;0))),Geometry!$F$42:$F$59,Geometry!$D$42:$D$59))/1000000</f>
      </c>
      <c r="DH13" s="32">
        <f>(SUMPRODUCT(alpha*fck*(1-(1-((($AM13+$AN13*Mesh_Y+$AO13*Mesh_X))*(($AM13+$AN13*Mesh_Y+$AO13*Mesh_X)&gt;0)*(($AM13+$AN13*Mesh_Y+$AO13*Mesh_X)&lt;eco)+eco*(($AM13+$AN13*Mesh_Y+$AO13*Mesh_X)&gt;=eco))/eco)^n)*((($AM13+$AN13*Mesh_Y+$AO13*Mesh_X))&gt;0),Mesh_A,Mesh_X)+SUMPRODUCT((Es*(($AM13+$AN13*Geometry!$E$42:$E$59+$AO13*Geometry!$D$42:$D$59))*(ABS(Es*(($AM13+$AN13*Geometry!$E$42:$E$59+$AO13*Geometry!$D$42:$D$59)))&lt;=fy)+fy*(Es*(($AM13+$AN13*Geometry!$E$42:$E$59+$AO13*Geometry!$D$42:$D$59))&gt;fy)-fy*(Es*(($AM13+$AN13*Geometry!$E$42:$E$59+$AO13*Geometry!$D$42:$D$59))&lt;-fy)-(alpha*fck*(1-(1-((($AM13+$AN13*Geometry!$E$42:$E$59+$AO13*Geometry!$D$42:$D$59))*(($AM13+$AN13*Geometry!$E$42:$E$59+$AO13*Geometry!$D$42:$D$59)&gt;0)*(($AM13+$AN13*Geometry!$E$42:$E$59+$AO13*Geometry!$D$42:$D$59)&lt;eco)+eco*(($AM13+$AN13*Geometry!$E$42:$E$59+$AO13*Geometry!$D$42:$D$59)&gt;=eco))/eco)^n)*((($AM13+$AN13*Geometry!$E$42:$E$59+$AO13*Geometry!$D$42:$D$59))&gt;0))),Geometry!$F$42:$F$59,Geometry!$D$42:$D$59))/1000000</f>
      </c>
      <c r="DI13" s="32">
        <f>(SUMPRODUCT(alpha*fck*(1-(1-((($AP13+$AQ13*Mesh_Y+$AR13*Mesh_X))*(($AP13+$AQ13*Mesh_Y+$AR13*Mesh_X)&gt;0)*(($AP13+$AQ13*Mesh_Y+$AR13*Mesh_X)&lt;eco)+eco*(($AP13+$AQ13*Mesh_Y+$AR13*Mesh_X)&gt;=eco))/eco)^n)*((($AP13+$AQ13*Mesh_Y+$AR13*Mesh_X))&gt;0),Mesh_A,Mesh_X)+SUMPRODUCT((Es*(($AP13+$AQ13*Geometry!$E$42:$E$59+$AR13*Geometry!$D$42:$D$59))*(ABS(Es*(($AP13+$AQ13*Geometry!$E$42:$E$59+$AR13*Geometry!$D$42:$D$59)))&lt;=fy)+fy*(Es*(($AP13+$AQ13*Geometry!$E$42:$E$59+$AR13*Geometry!$D$42:$D$59))&gt;fy)-fy*(Es*(($AP13+$AQ13*Geometry!$E$42:$E$59+$AR13*Geometry!$D$42:$D$59))&lt;-fy)-(alpha*fck*(1-(1-((($AP13+$AQ13*Geometry!$E$42:$E$59+$AR13*Geometry!$D$42:$D$59))*(($AP13+$AQ13*Geometry!$E$42:$E$59+$AR13*Geometry!$D$42:$D$59)&gt;0)*(($AP13+$AQ13*Geometry!$E$42:$E$59+$AR13*Geometry!$D$42:$D$59)&lt;eco)+eco*(($AP13+$AQ13*Geometry!$E$42:$E$59+$AR13*Geometry!$D$42:$D$59)&gt;=eco))/eco)^n)*((($AP13+$AQ13*Geometry!$E$42:$E$59+$AR13*Geometry!$D$42:$D$59))&gt;0))),Geometry!$F$42:$F$59,Geometry!$D$42:$D$59))/1000000</f>
      </c>
      <c r="DJ13" s="32">
        <f>(SUMPRODUCT(alpha*fck*(1-(1-((($AS13+$AT13*Mesh_Y+$AU13*Mesh_X))*(($AS13+$AT13*Mesh_Y+$AU13*Mesh_X)&gt;0)*(($AS13+$AT13*Mesh_Y+$AU13*Mesh_X)&lt;eco)+eco*(($AS13+$AT13*Mesh_Y+$AU13*Mesh_X)&gt;=eco))/eco)^n)*((($AS13+$AT13*Mesh_Y+$AU13*Mesh_X))&gt;0),Mesh_A,Mesh_X)+SUMPRODUCT((Es*(($AS13+$AT13*Geometry!$E$42:$E$59+$AU13*Geometry!$D$42:$D$59))*(ABS(Es*(($AS13+$AT13*Geometry!$E$42:$E$59+$AU13*Geometry!$D$42:$D$59)))&lt;=fy)+fy*(Es*(($AS13+$AT13*Geometry!$E$42:$E$59+$AU13*Geometry!$D$42:$D$59))&gt;fy)-fy*(Es*(($AS13+$AT13*Geometry!$E$42:$E$59+$AU13*Geometry!$D$42:$D$59))&lt;-fy)-(alpha*fck*(1-(1-((($AS13+$AT13*Geometry!$E$42:$E$59+$AU13*Geometry!$D$42:$D$59))*(($AS13+$AT13*Geometry!$E$42:$E$59+$AU13*Geometry!$D$42:$D$59)&gt;0)*(($AS13+$AT13*Geometry!$E$42:$E$59+$AU13*Geometry!$D$42:$D$59)&lt;eco)+eco*(($AS13+$AT13*Geometry!$E$42:$E$59+$AU13*Geometry!$D$42:$D$59)&gt;=eco))/eco)^n)*((($AS13+$AT13*Geometry!$E$42:$E$59+$AU13*Geometry!$D$42:$D$59))&gt;0))),Geometry!$F$42:$F$59,Geometry!$D$42:$D$59))/1000000</f>
      </c>
      <c r="DK13" s="32">
        <f>(SUMPRODUCT(alpha*fck*(1-(1-((($AV13+$AW13*Mesh_Y+$AX13*Mesh_X))*(($AV13+$AW13*Mesh_Y+$AX13*Mesh_X)&gt;0)*(($AV13+$AW13*Mesh_Y+$AX13*Mesh_X)&lt;eco)+eco*(($AV13+$AW13*Mesh_Y+$AX13*Mesh_X)&gt;=eco))/eco)^n)*((($AV13+$AW13*Mesh_Y+$AX13*Mesh_X))&gt;0),Mesh_A,Mesh_X)+SUMPRODUCT((Es*(($AV13+$AW13*Geometry!$E$42:$E$59+$AX13*Geometry!$D$42:$D$59))*(ABS(Es*(($AV13+$AW13*Geometry!$E$42:$E$59+$AX13*Geometry!$D$42:$D$59)))&lt;=fy)+fy*(Es*(($AV13+$AW13*Geometry!$E$42:$E$59+$AX13*Geometry!$D$42:$D$59))&gt;fy)-fy*(Es*(($AV13+$AW13*Geometry!$E$42:$E$59+$AX13*Geometry!$D$42:$D$59))&lt;-fy)-(alpha*fck*(1-(1-((($AV13+$AW13*Geometry!$E$42:$E$59+$AX13*Geometry!$D$42:$D$59))*(($AV13+$AW13*Geometry!$E$42:$E$59+$AX13*Geometry!$D$42:$D$59)&gt;0)*(($AV13+$AW13*Geometry!$E$42:$E$59+$AX13*Geometry!$D$42:$D$59)&lt;eco)+eco*(($AV13+$AW13*Geometry!$E$42:$E$59+$AX13*Geometry!$D$42:$D$59)&gt;=eco))/eco)^n)*((($AV13+$AW13*Geometry!$E$42:$E$59+$AX13*Geometry!$D$42:$D$59))&gt;0))),Geometry!$F$42:$F$59,Geometry!$D$42:$D$59))/1000000</f>
      </c>
      <c r="DL13" s="32">
        <f>(SUMPRODUCT(alpha*fck*(1-(1-((($AY13+$AZ13*Mesh_Y+$BA13*Mesh_X))*(($AY13+$AZ13*Mesh_Y+$BA13*Mesh_X)&gt;0)*(($AY13+$AZ13*Mesh_Y+$BA13*Mesh_X)&lt;eco)+eco*(($AY13+$AZ13*Mesh_Y+$BA13*Mesh_X)&gt;=eco))/eco)^n)*((($AY13+$AZ13*Mesh_Y+$BA13*Mesh_X))&gt;0),Mesh_A,Mesh_X)+SUMPRODUCT((Es*(($AY13+$AZ13*Geometry!$E$42:$E$59+$BA13*Geometry!$D$42:$D$59))*(ABS(Es*(($AY13+$AZ13*Geometry!$E$42:$E$59+$BA13*Geometry!$D$42:$D$59)))&lt;=fy)+fy*(Es*(($AY13+$AZ13*Geometry!$E$42:$E$59+$BA13*Geometry!$D$42:$D$59))&gt;fy)-fy*(Es*(($AY13+$AZ13*Geometry!$E$42:$E$59+$BA13*Geometry!$D$42:$D$59))&lt;-fy)-(alpha*fck*(1-(1-((($AY13+$AZ13*Geometry!$E$42:$E$59+$BA13*Geometry!$D$42:$D$59))*(($AY13+$AZ13*Geometry!$E$42:$E$59+$BA13*Geometry!$D$42:$D$59)&gt;0)*(($AY13+$AZ13*Geometry!$E$42:$E$59+$BA13*Geometry!$D$42:$D$59)&lt;eco)+eco*(($AY13+$AZ13*Geometry!$E$42:$E$59+$BA13*Geometry!$D$42:$D$59)&gt;=eco))/eco)^n)*((($AY13+$AZ13*Geometry!$E$42:$E$59+$BA13*Geometry!$D$42:$D$59))&gt;0))),Geometry!$F$42:$F$59,Geometry!$D$42:$D$59))/1000000</f>
      </c>
      <c r="DM13" s="32">
        <f>(SUMPRODUCT(alpha*fck*(1-(1-((($BB13+$BC13*Mesh_Y+$BD13*Mesh_X))*(($BB13+$BC13*Mesh_Y+$BD13*Mesh_X)&gt;0)*(($BB13+$BC13*Mesh_Y+$BD13*Mesh_X)&lt;eco)+eco*(($BB13+$BC13*Mesh_Y+$BD13*Mesh_X)&gt;=eco))/eco)^n)*((($BB13+$BC13*Mesh_Y+$BD13*Mesh_X))&gt;0),Mesh_A,Mesh_X)+SUMPRODUCT((Es*(($BB13+$BC13*Geometry!$E$42:$E$59+$BD13*Geometry!$D$42:$D$59))*(ABS(Es*(($BB13+$BC13*Geometry!$E$42:$E$59+$BD13*Geometry!$D$42:$D$59)))&lt;=fy)+fy*(Es*(($BB13+$BC13*Geometry!$E$42:$E$59+$BD13*Geometry!$D$42:$D$59))&gt;fy)-fy*(Es*(($BB13+$BC13*Geometry!$E$42:$E$59+$BD13*Geometry!$D$42:$D$59))&lt;-fy)-(alpha*fck*(1-(1-((($BB13+$BC13*Geometry!$E$42:$E$59+$BD13*Geometry!$D$42:$D$59))*(($BB13+$BC13*Geometry!$E$42:$E$59+$BD13*Geometry!$D$42:$D$59)&gt;0)*(($BB13+$BC13*Geometry!$E$42:$E$59+$BD13*Geometry!$D$42:$D$59)&lt;eco)+eco*(($BB13+$BC13*Geometry!$E$42:$E$59+$BD13*Geometry!$D$42:$D$59)&gt;=eco))/eco)^n)*((($BB13+$BC13*Geometry!$E$42:$E$59+$BD13*Geometry!$D$42:$D$59))&gt;0))),Geometry!$F$42:$F$59,Geometry!$D$42:$D$59))/1000000</f>
      </c>
      <c r="DN13" s="32">
        <f>(SUMPRODUCT(alpha*fck*(1-(1-((($BE13+$BF13*Mesh_Y+$BG13*Mesh_X))*(($BE13+$BF13*Mesh_Y+$BG13*Mesh_X)&gt;0)*(($BE13+$BF13*Mesh_Y+$BG13*Mesh_X)&lt;eco)+eco*(($BE13+$BF13*Mesh_Y+$BG13*Mesh_X)&gt;=eco))/eco)^n)*((($BE13+$BF13*Mesh_Y+$BG13*Mesh_X))&gt;0),Mesh_A,Mesh_X)+SUMPRODUCT((Es*(($BE13+$BF13*Geometry!$E$42:$E$59+$BG13*Geometry!$D$42:$D$59))*(ABS(Es*(($BE13+$BF13*Geometry!$E$42:$E$59+$BG13*Geometry!$D$42:$D$59)))&lt;=fy)+fy*(Es*(($BE13+$BF13*Geometry!$E$42:$E$59+$BG13*Geometry!$D$42:$D$59))&gt;fy)-fy*(Es*(($BE13+$BF13*Geometry!$E$42:$E$59+$BG13*Geometry!$D$42:$D$59))&lt;-fy)-(alpha*fck*(1-(1-((($BE13+$BF13*Geometry!$E$42:$E$59+$BG13*Geometry!$D$42:$D$59))*(($BE13+$BF13*Geometry!$E$42:$E$59+$BG13*Geometry!$D$42:$D$59)&gt;0)*(($BE13+$BF13*Geometry!$E$42:$E$59+$BG13*Geometry!$D$42:$D$59)&lt;eco)+eco*(($BE13+$BF13*Geometry!$E$42:$E$59+$BG13*Geometry!$D$42:$D$59)&gt;=eco))/eco)^n)*((($BE13+$BF13*Geometry!$E$42:$E$59+$BG13*Geometry!$D$42:$D$59))&gt;0))),Geometry!$F$42:$F$59,Geometry!$D$42:$D$59))/1000000</f>
      </c>
      <c r="DO13" s="32">
        <f>(SUMPRODUCT(alpha*fck*(1-(1-((($BH13+$BI13*Mesh_Y+$BJ13*Mesh_X))*(($BH13+$BI13*Mesh_Y+$BJ13*Mesh_X)&gt;0)*(($BH13+$BI13*Mesh_Y+$BJ13*Mesh_X)&lt;eco)+eco*(($BH13+$BI13*Mesh_Y+$BJ13*Mesh_X)&gt;=eco))/eco)^n)*((($BH13+$BI13*Mesh_Y+$BJ13*Mesh_X))&gt;0),Mesh_A,Mesh_X)+SUMPRODUCT((Es*(($BH13+$BI13*Geometry!$E$42:$E$59+$BJ13*Geometry!$D$42:$D$59))*(ABS(Es*(($BH13+$BI13*Geometry!$E$42:$E$59+$BJ13*Geometry!$D$42:$D$59)))&lt;=fy)+fy*(Es*(($BH13+$BI13*Geometry!$E$42:$E$59+$BJ13*Geometry!$D$42:$D$59))&gt;fy)-fy*(Es*(($BH13+$BI13*Geometry!$E$42:$E$59+$BJ13*Geometry!$D$42:$D$59))&lt;-fy)-(alpha*fck*(1-(1-((($BH13+$BI13*Geometry!$E$42:$E$59+$BJ13*Geometry!$D$42:$D$59))*(($BH13+$BI13*Geometry!$E$42:$E$59+$BJ13*Geometry!$D$42:$D$59)&gt;0)*(($BH13+$BI13*Geometry!$E$42:$E$59+$BJ13*Geometry!$D$42:$D$59)&lt;eco)+eco*(($BH13+$BI13*Geometry!$E$42:$E$59+$BJ13*Geometry!$D$42:$D$59)&gt;=eco))/eco)^n)*((($BH13+$BI13*Geometry!$E$42:$E$59+$BJ13*Geometry!$D$42:$D$59))&gt;0))),Geometry!$F$42:$F$59,Geometry!$D$42:$D$59))/1000000</f>
      </c>
      <c r="DP13" s="45">
        <f>MAX(1,MIN(18,SUMPRODUCT(--($BK13:$CC13&gt;=Pu))))</f>
      </c>
      <c r="DQ13" s="46">
        <f>(Pu-INDEX($BK13:$CC13,1,$DP13))/(INDEX($BK13:$CC13,1,$DP13+1)-INDEX($BK13:$CC13,1,$DP13))</f>
      </c>
      <c r="DR13" s="33">
        <f>INDEX($CD13:$CV13,1,$DP13)+$DQ13*(INDEX($CD13:$CV13,1,$DP13+1)-INDEX($CD13:$CV13,1,$DP13))</f>
      </c>
      <c r="DS13" s="33">
        <f>INDEX($CW13:$DO13,1,$DP13)+$DQ13*(INDEX($CW13:$DO13,1,$DP13+1)-INDEX($CW13:$DO13,1,$DP13))</f>
      </c>
      <c r="DT13" s="33">
        <f>SQRT(DR13^2+DS13^2)</f>
      </c>
    </row>
    <row r="14" spans="1:124" x14ac:dyDescent="0.25">
      <c r="A14">
        <v>7</v>
      </c>
      <c r="B14" s="43">
        <v>90</v>
      </c>
      <c r="C14" s="12">
        <f>MAX(SUMPRODUCT(MAX((Geometry!$E$6:$E$13)*COS(RADIANS($B14))+(Geometry!$D$6:$D$13)*SIN(RADIANS($B14)))))</f>
      </c>
      <c r="D14" s="12">
        <f>SUMPRODUCT(MIN((Geometry!$E$42:$E$59)*COS(RADIANS($B14))+(Geometry!$D$42:$D$59)*SIN(RADIANS($B14))))</f>
      </c>
      <c r="E14" s="12">
        <f>C14-D14</f>
      </c>
      <c r="F14" s="30">
        <f>ecu</f>
      </c>
      <c r="G14" s="44">
        <f>0*COS(RADIANS($B14))</f>
      </c>
      <c r="H14" s="44">
        <f>0*SIN(RADIANS($B14))</f>
      </c>
      <c r="I14" s="30">
        <f>ecu-((ecu-0)/($C14-($C14-PM_Angle!$C$8*$E14)))*$C14</f>
      </c>
      <c r="J14" s="44">
        <f>((ecu-0)/($C14-($C14-PM_Angle!$C$8*$E14)))*COS(RADIANS($B14))</f>
      </c>
      <c r="K14" s="44">
        <f>((ecu-0)/($C14-($C14-PM_Angle!$C$8*$E14)))*SIN(RADIANS($B14))</f>
      </c>
      <c r="L14" s="30">
        <f>ecu-((ecu-0)/($C14-($C14-PM_Angle!$C$9*$E14)))*$C14</f>
      </c>
      <c r="M14" s="44">
        <f>((ecu-0)/($C14-($C14-PM_Angle!$C$9*$E14)))*COS(RADIANS($B14))</f>
      </c>
      <c r="N14" s="44">
        <f>((ecu-0)/($C14-($C14-PM_Angle!$C$9*$E14)))*SIN(RADIANS($B14))</f>
      </c>
      <c r="O14" s="30">
        <f>ecu-((ecu-0)/($C14-($C14-PM_Angle!$C$10*$E14)))*$C14</f>
      </c>
      <c r="P14" s="44">
        <f>((ecu-0)/($C14-($C14-PM_Angle!$C$10*$E14)))*COS(RADIANS($B14))</f>
      </c>
      <c r="Q14" s="44">
        <f>((ecu-0)/($C14-($C14-PM_Angle!$C$10*$E14)))*SIN(RADIANS($B14))</f>
      </c>
      <c r="R14" s="30">
        <f>ecu-((ecu-0)/($C14-($C14-PM_Angle!$C$11*$E14)))*$C14</f>
      </c>
      <c r="S14" s="44">
        <f>((ecu-0)/($C14-($C14-PM_Angle!$C$11*$E14)))*COS(RADIANS($B14))</f>
      </c>
      <c r="T14" s="44">
        <f>((ecu-0)/($C14-($C14-PM_Angle!$C$11*$E14)))*SIN(RADIANS($B14))</f>
      </c>
      <c r="U14" s="30">
        <f>ecu-((ecu-(-PM_Angle!$E$12))/($C14-$D14))*$C14</f>
      </c>
      <c r="V14" s="44">
        <f>((ecu-(-PM_Angle!$E$12))/($C14-$D14))*COS(RADIANS($B14))</f>
      </c>
      <c r="W14" s="44">
        <f>((ecu-(-PM_Angle!$E$12))/($C14-$D14))*SIN(RADIANS($B14))</f>
      </c>
      <c r="X14" s="30">
        <f>ecu-((ecu-(-PM_Angle!$D$13*fy/Es))/($C14-$D14))*$C14</f>
      </c>
      <c r="Y14" s="44">
        <f>((ecu-(-PM_Angle!$D$13*fy/Es))/($C14-$D14))*COS(RADIANS($B14))</f>
      </c>
      <c r="Z14" s="44">
        <f>((ecu-(-PM_Angle!$D$13*fy/Es))/($C14-$D14))*SIN(RADIANS($B14))</f>
      </c>
      <c r="AA14" s="30">
        <f>ecu-((ecu-(-PM_Angle!$D$14*fy/Es))/($C14-$D14))*$C14</f>
      </c>
      <c r="AB14" s="44">
        <f>((ecu-(-PM_Angle!$D$14*fy/Es))/($C14-$D14))*COS(RADIANS($B14))</f>
      </c>
      <c r="AC14" s="44">
        <f>((ecu-(-PM_Angle!$D$14*fy/Es))/($C14-$D14))*SIN(RADIANS($B14))</f>
      </c>
      <c r="AD14" s="30">
        <f>ecu-((ecu-(-PM_Angle!$D$15*fy/Es))/($C14-$D14))*$C14</f>
      </c>
      <c r="AE14" s="44">
        <f>((ecu-(-PM_Angle!$D$15*fy/Es))/($C14-$D14))*COS(RADIANS($B14))</f>
      </c>
      <c r="AF14" s="44">
        <f>((ecu-(-PM_Angle!$D$15*fy/Es))/($C14-$D14))*SIN(RADIANS($B14))</f>
      </c>
      <c r="AG14" s="30">
        <f>ecu-((ecu-(-PM_Angle!$D$16*fy/Es))/($C14-$D14))*$C14</f>
      </c>
      <c r="AH14" s="44">
        <f>((ecu-(-PM_Angle!$D$16*fy/Es))/($C14-$D14))*COS(RADIANS($B14))</f>
      </c>
      <c r="AI14" s="44">
        <f>((ecu-(-PM_Angle!$D$16*fy/Es))/($C14-$D14))*SIN(RADIANS($B14))</f>
      </c>
      <c r="AJ14" s="30">
        <f>ecu-((ecu-(-PM_Angle!$E$17))/($C14-$D14))*$C14</f>
      </c>
      <c r="AK14" s="44">
        <f>((ecu-(-PM_Angle!$E$17))/($C14-$D14))*COS(RADIANS($B14))</f>
      </c>
      <c r="AL14" s="44">
        <f>((ecu-(-PM_Angle!$E$17))/($C14-$D14))*SIN(RADIANS($B14))</f>
      </c>
      <c r="AM14" s="30">
        <f>ecu-((ecu-(-PM_Angle!$E$18))/($C14-$D14))*$C14</f>
      </c>
      <c r="AN14" s="44">
        <f>((ecu-(-PM_Angle!$E$18))/($C14-$D14))*COS(RADIANS($B14))</f>
      </c>
      <c r="AO14" s="44">
        <f>((ecu-(-PM_Angle!$E$18))/($C14-$D14))*SIN(RADIANS($B14))</f>
      </c>
      <c r="AP14" s="30">
        <f>ecu-((ecu-(-PM_Angle!$E$19))/($C14-$D14))*$C14</f>
      </c>
      <c r="AQ14" s="44">
        <f>((ecu-(-PM_Angle!$E$19))/($C14-$D14))*COS(RADIANS($B14))</f>
      </c>
      <c r="AR14" s="44">
        <f>((ecu-(-PM_Angle!$E$19))/($C14-$D14))*SIN(RADIANS($B14))</f>
      </c>
      <c r="AS14" s="30">
        <f>ecu-((ecu-(-PM_Angle!$E$20))/($C14-$D14))*$C14</f>
      </c>
      <c r="AT14" s="44">
        <f>((ecu-(-PM_Angle!$E$20))/($C14-$D14))*COS(RADIANS($B14))</f>
      </c>
      <c r="AU14" s="44">
        <f>((ecu-(-PM_Angle!$E$20))/($C14-$D14))*SIN(RADIANS($B14))</f>
      </c>
      <c r="AV14" s="30">
        <f>ecu-((ecu-(-PM_Angle!$E$21))/($C14-$D14))*$C14</f>
      </c>
      <c r="AW14" s="44">
        <f>((ecu-(-PM_Angle!$E$21))/($C14-$D14))*COS(RADIANS($B14))</f>
      </c>
      <c r="AX14" s="44">
        <f>((ecu-(-PM_Angle!$E$21))/($C14-$D14))*SIN(RADIANS($B14))</f>
      </c>
      <c r="AY14" s="30">
        <f>ecu-((ecu-(-PM_Angle!$E$22))/($C14-$D14))*$C14</f>
      </c>
      <c r="AZ14" s="44">
        <f>((ecu-(-PM_Angle!$E$22))/($C14-$D14))*COS(RADIANS($B14))</f>
      </c>
      <c r="BA14" s="44">
        <f>((ecu-(-PM_Angle!$E$22))/($C14-$D14))*SIN(RADIANS($B14))</f>
      </c>
      <c r="BB14" s="30">
        <f>ecu-((ecu-(-PM_Angle!$E$23))/($C14-$D14))*$C14</f>
      </c>
      <c r="BC14" s="44">
        <f>((ecu-(-PM_Angle!$E$23))/($C14-$D14))*COS(RADIANS($B14))</f>
      </c>
      <c r="BD14" s="44">
        <f>((ecu-(-PM_Angle!$E$23))/($C14-$D14))*SIN(RADIANS($B14))</f>
      </c>
      <c r="BE14" s="30">
        <f>ecu-((ecu-(-PM_Angle!$E$24))/($C14-$D14))*$C14</f>
      </c>
      <c r="BF14" s="44">
        <f>((ecu-(-PM_Angle!$E$24))/($C14-$D14))*COS(RADIANS($B14))</f>
      </c>
      <c r="BG14" s="44">
        <f>((ecu-(-PM_Angle!$E$24))/($C14-$D14))*SIN(RADIANS($B14))</f>
      </c>
      <c r="BH14" s="30">
        <f>etu</f>
      </c>
      <c r="BI14" s="44">
        <f>0*COS(RADIANS($B14))</f>
      </c>
      <c r="BJ14" s="44">
        <f>0*SIN(RADIANS($B14))</f>
      </c>
      <c r="BK14" s="32">
        <f>(SUMPRODUCT(alpha*fck*(1-(1-((($F14+$G14*Mesh_Y+$H14*Mesh_X))*(($F14+$G14*Mesh_Y+$H14*Mesh_X)&gt;0)*(($F14+$G14*Mesh_Y+$H14*Mesh_X)&lt;eco)+eco*(($F14+$G14*Mesh_Y+$H14*Mesh_X)&gt;=eco))/eco)^n)*((($F14+$G14*Mesh_Y+$H14*Mesh_X))&gt;0),Mesh_A)+SUMPRODUCT((Es*(($F14+$G14*Geometry!$E$42:$E$59+$H14*Geometry!$D$42:$D$59))*(ABS(Es*(($F14+$G14*Geometry!$E$42:$E$59+$H14*Geometry!$D$42:$D$59)))&lt;=fy)+fy*(Es*(($F14+$G14*Geometry!$E$42:$E$59+$H14*Geometry!$D$42:$D$59))&gt;fy)-fy*(Es*(($F14+$G14*Geometry!$E$42:$E$59+$H14*Geometry!$D$42:$D$59))&lt;-fy)-(alpha*fck*(1-(1-((($F14+$G14*Geometry!$E$42:$E$59+$H14*Geometry!$D$42:$D$59))*(($F14+$G14*Geometry!$E$42:$E$59+$H14*Geometry!$D$42:$D$59)&gt;0)*(($F14+$G14*Geometry!$E$42:$E$59+$H14*Geometry!$D$42:$D$59)&lt;eco)+eco*(($F14+$G14*Geometry!$E$42:$E$59+$H14*Geometry!$D$42:$D$59)&gt;=eco))/eco)^n)*((($F14+$G14*Geometry!$E$42:$E$59+$H14*Geometry!$D$42:$D$59))&gt;0))),Geometry!$F$42:$F$59))/1000</f>
      </c>
      <c r="BL14" s="32">
        <f>(SUMPRODUCT(alpha*fck*(1-(1-((($I14+$J14*Mesh_Y+$K14*Mesh_X))*(($I14+$J14*Mesh_Y+$K14*Mesh_X)&gt;0)*(($I14+$J14*Mesh_Y+$K14*Mesh_X)&lt;eco)+eco*(($I14+$J14*Mesh_Y+$K14*Mesh_X)&gt;=eco))/eco)^n)*((($I14+$J14*Mesh_Y+$K14*Mesh_X))&gt;0),Mesh_A)+SUMPRODUCT((Es*(($I14+$J14*Geometry!$E$42:$E$59+$K14*Geometry!$D$42:$D$59))*(ABS(Es*(($I14+$J14*Geometry!$E$42:$E$59+$K14*Geometry!$D$42:$D$59)))&lt;=fy)+fy*(Es*(($I14+$J14*Geometry!$E$42:$E$59+$K14*Geometry!$D$42:$D$59))&gt;fy)-fy*(Es*(($I14+$J14*Geometry!$E$42:$E$59+$K14*Geometry!$D$42:$D$59))&lt;-fy)-(alpha*fck*(1-(1-((($I14+$J14*Geometry!$E$42:$E$59+$K14*Geometry!$D$42:$D$59))*(($I14+$J14*Geometry!$E$42:$E$59+$K14*Geometry!$D$42:$D$59)&gt;0)*(($I14+$J14*Geometry!$E$42:$E$59+$K14*Geometry!$D$42:$D$59)&lt;eco)+eco*(($I14+$J14*Geometry!$E$42:$E$59+$K14*Geometry!$D$42:$D$59)&gt;=eco))/eco)^n)*((($I14+$J14*Geometry!$E$42:$E$59+$K14*Geometry!$D$42:$D$59))&gt;0))),Geometry!$F$42:$F$59))/1000</f>
      </c>
      <c r="BM14" s="32">
        <f>(SUMPRODUCT(alpha*fck*(1-(1-((($L14+$M14*Mesh_Y+$N14*Mesh_X))*(($L14+$M14*Mesh_Y+$N14*Mesh_X)&gt;0)*(($L14+$M14*Mesh_Y+$N14*Mesh_X)&lt;eco)+eco*(($L14+$M14*Mesh_Y+$N14*Mesh_X)&gt;=eco))/eco)^n)*((($L14+$M14*Mesh_Y+$N14*Mesh_X))&gt;0),Mesh_A)+SUMPRODUCT((Es*(($L14+$M14*Geometry!$E$42:$E$59+$N14*Geometry!$D$42:$D$59))*(ABS(Es*(($L14+$M14*Geometry!$E$42:$E$59+$N14*Geometry!$D$42:$D$59)))&lt;=fy)+fy*(Es*(($L14+$M14*Geometry!$E$42:$E$59+$N14*Geometry!$D$42:$D$59))&gt;fy)-fy*(Es*(($L14+$M14*Geometry!$E$42:$E$59+$N14*Geometry!$D$42:$D$59))&lt;-fy)-(alpha*fck*(1-(1-((($L14+$M14*Geometry!$E$42:$E$59+$N14*Geometry!$D$42:$D$59))*(($L14+$M14*Geometry!$E$42:$E$59+$N14*Geometry!$D$42:$D$59)&gt;0)*(($L14+$M14*Geometry!$E$42:$E$59+$N14*Geometry!$D$42:$D$59)&lt;eco)+eco*(($L14+$M14*Geometry!$E$42:$E$59+$N14*Geometry!$D$42:$D$59)&gt;=eco))/eco)^n)*((($L14+$M14*Geometry!$E$42:$E$59+$N14*Geometry!$D$42:$D$59))&gt;0))),Geometry!$F$42:$F$59))/1000</f>
      </c>
      <c r="BN14" s="32">
        <f>(SUMPRODUCT(alpha*fck*(1-(1-((($O14+$P14*Mesh_Y+$Q14*Mesh_X))*(($O14+$P14*Mesh_Y+$Q14*Mesh_X)&gt;0)*(($O14+$P14*Mesh_Y+$Q14*Mesh_X)&lt;eco)+eco*(($O14+$P14*Mesh_Y+$Q14*Mesh_X)&gt;=eco))/eco)^n)*((($O14+$P14*Mesh_Y+$Q14*Mesh_X))&gt;0),Mesh_A)+SUMPRODUCT((Es*(($O14+$P14*Geometry!$E$42:$E$59+$Q14*Geometry!$D$42:$D$59))*(ABS(Es*(($O14+$P14*Geometry!$E$42:$E$59+$Q14*Geometry!$D$42:$D$59)))&lt;=fy)+fy*(Es*(($O14+$P14*Geometry!$E$42:$E$59+$Q14*Geometry!$D$42:$D$59))&gt;fy)-fy*(Es*(($O14+$P14*Geometry!$E$42:$E$59+$Q14*Geometry!$D$42:$D$59))&lt;-fy)-(alpha*fck*(1-(1-((($O14+$P14*Geometry!$E$42:$E$59+$Q14*Geometry!$D$42:$D$59))*(($O14+$P14*Geometry!$E$42:$E$59+$Q14*Geometry!$D$42:$D$59)&gt;0)*(($O14+$P14*Geometry!$E$42:$E$59+$Q14*Geometry!$D$42:$D$59)&lt;eco)+eco*(($O14+$P14*Geometry!$E$42:$E$59+$Q14*Geometry!$D$42:$D$59)&gt;=eco))/eco)^n)*((($O14+$P14*Geometry!$E$42:$E$59+$Q14*Geometry!$D$42:$D$59))&gt;0))),Geometry!$F$42:$F$59))/1000</f>
      </c>
      <c r="BO14" s="32">
        <f>(SUMPRODUCT(alpha*fck*(1-(1-((($R14+$S14*Mesh_Y+$T14*Mesh_X))*(($R14+$S14*Mesh_Y+$T14*Mesh_X)&gt;0)*(($R14+$S14*Mesh_Y+$T14*Mesh_X)&lt;eco)+eco*(($R14+$S14*Mesh_Y+$T14*Mesh_X)&gt;=eco))/eco)^n)*((($R14+$S14*Mesh_Y+$T14*Mesh_X))&gt;0),Mesh_A)+SUMPRODUCT((Es*(($R14+$S14*Geometry!$E$42:$E$59+$T14*Geometry!$D$42:$D$59))*(ABS(Es*(($R14+$S14*Geometry!$E$42:$E$59+$T14*Geometry!$D$42:$D$59)))&lt;=fy)+fy*(Es*(($R14+$S14*Geometry!$E$42:$E$59+$T14*Geometry!$D$42:$D$59))&gt;fy)-fy*(Es*(($R14+$S14*Geometry!$E$42:$E$59+$T14*Geometry!$D$42:$D$59))&lt;-fy)-(alpha*fck*(1-(1-((($R14+$S14*Geometry!$E$42:$E$59+$T14*Geometry!$D$42:$D$59))*(($R14+$S14*Geometry!$E$42:$E$59+$T14*Geometry!$D$42:$D$59)&gt;0)*(($R14+$S14*Geometry!$E$42:$E$59+$T14*Geometry!$D$42:$D$59)&lt;eco)+eco*(($R14+$S14*Geometry!$E$42:$E$59+$T14*Geometry!$D$42:$D$59)&gt;=eco))/eco)^n)*((($R14+$S14*Geometry!$E$42:$E$59+$T14*Geometry!$D$42:$D$59))&gt;0))),Geometry!$F$42:$F$59))/1000</f>
      </c>
      <c r="BP14" s="32">
        <f>(SUMPRODUCT(alpha*fck*(1-(1-((($U14+$V14*Mesh_Y+$W14*Mesh_X))*(($U14+$V14*Mesh_Y+$W14*Mesh_X)&gt;0)*(($U14+$V14*Mesh_Y+$W14*Mesh_X)&lt;eco)+eco*(($U14+$V14*Mesh_Y+$W14*Mesh_X)&gt;=eco))/eco)^n)*((($U14+$V14*Mesh_Y+$W14*Mesh_X))&gt;0),Mesh_A)+SUMPRODUCT((Es*(($U14+$V14*Geometry!$E$42:$E$59+$W14*Geometry!$D$42:$D$59))*(ABS(Es*(($U14+$V14*Geometry!$E$42:$E$59+$W14*Geometry!$D$42:$D$59)))&lt;=fy)+fy*(Es*(($U14+$V14*Geometry!$E$42:$E$59+$W14*Geometry!$D$42:$D$59))&gt;fy)-fy*(Es*(($U14+$V14*Geometry!$E$42:$E$59+$W14*Geometry!$D$42:$D$59))&lt;-fy)-(alpha*fck*(1-(1-((($U14+$V14*Geometry!$E$42:$E$59+$W14*Geometry!$D$42:$D$59))*(($U14+$V14*Geometry!$E$42:$E$59+$W14*Geometry!$D$42:$D$59)&gt;0)*(($U14+$V14*Geometry!$E$42:$E$59+$W14*Geometry!$D$42:$D$59)&lt;eco)+eco*(($U14+$V14*Geometry!$E$42:$E$59+$W14*Geometry!$D$42:$D$59)&gt;=eco))/eco)^n)*((($U14+$V14*Geometry!$E$42:$E$59+$W14*Geometry!$D$42:$D$59))&gt;0))),Geometry!$F$42:$F$59))/1000</f>
      </c>
      <c r="BQ14" s="32">
        <f>(SUMPRODUCT(alpha*fck*(1-(1-((($X14+$Y14*Mesh_Y+$Z14*Mesh_X))*(($X14+$Y14*Mesh_Y+$Z14*Mesh_X)&gt;0)*(($X14+$Y14*Mesh_Y+$Z14*Mesh_X)&lt;eco)+eco*(($X14+$Y14*Mesh_Y+$Z14*Mesh_X)&gt;=eco))/eco)^n)*((($X14+$Y14*Mesh_Y+$Z14*Mesh_X))&gt;0),Mesh_A)+SUMPRODUCT((Es*(($X14+$Y14*Geometry!$E$42:$E$59+$Z14*Geometry!$D$42:$D$59))*(ABS(Es*(($X14+$Y14*Geometry!$E$42:$E$59+$Z14*Geometry!$D$42:$D$59)))&lt;=fy)+fy*(Es*(($X14+$Y14*Geometry!$E$42:$E$59+$Z14*Geometry!$D$42:$D$59))&gt;fy)-fy*(Es*(($X14+$Y14*Geometry!$E$42:$E$59+$Z14*Geometry!$D$42:$D$59))&lt;-fy)-(alpha*fck*(1-(1-((($X14+$Y14*Geometry!$E$42:$E$59+$Z14*Geometry!$D$42:$D$59))*(($X14+$Y14*Geometry!$E$42:$E$59+$Z14*Geometry!$D$42:$D$59)&gt;0)*(($X14+$Y14*Geometry!$E$42:$E$59+$Z14*Geometry!$D$42:$D$59)&lt;eco)+eco*(($X14+$Y14*Geometry!$E$42:$E$59+$Z14*Geometry!$D$42:$D$59)&gt;=eco))/eco)^n)*((($X14+$Y14*Geometry!$E$42:$E$59+$Z14*Geometry!$D$42:$D$59))&gt;0))),Geometry!$F$42:$F$59))/1000</f>
      </c>
      <c r="BR14" s="32">
        <f>(SUMPRODUCT(alpha*fck*(1-(1-((($AA14+$AB14*Mesh_Y+$AC14*Mesh_X))*(($AA14+$AB14*Mesh_Y+$AC14*Mesh_X)&gt;0)*(($AA14+$AB14*Mesh_Y+$AC14*Mesh_X)&lt;eco)+eco*(($AA14+$AB14*Mesh_Y+$AC14*Mesh_X)&gt;=eco))/eco)^n)*((($AA14+$AB14*Mesh_Y+$AC14*Mesh_X))&gt;0),Mesh_A)+SUMPRODUCT((Es*(($AA14+$AB14*Geometry!$E$42:$E$59+$AC14*Geometry!$D$42:$D$59))*(ABS(Es*(($AA14+$AB14*Geometry!$E$42:$E$59+$AC14*Geometry!$D$42:$D$59)))&lt;=fy)+fy*(Es*(($AA14+$AB14*Geometry!$E$42:$E$59+$AC14*Geometry!$D$42:$D$59))&gt;fy)-fy*(Es*(($AA14+$AB14*Geometry!$E$42:$E$59+$AC14*Geometry!$D$42:$D$59))&lt;-fy)-(alpha*fck*(1-(1-((($AA14+$AB14*Geometry!$E$42:$E$59+$AC14*Geometry!$D$42:$D$59))*(($AA14+$AB14*Geometry!$E$42:$E$59+$AC14*Geometry!$D$42:$D$59)&gt;0)*(($AA14+$AB14*Geometry!$E$42:$E$59+$AC14*Geometry!$D$42:$D$59)&lt;eco)+eco*(($AA14+$AB14*Geometry!$E$42:$E$59+$AC14*Geometry!$D$42:$D$59)&gt;=eco))/eco)^n)*((($AA14+$AB14*Geometry!$E$42:$E$59+$AC14*Geometry!$D$42:$D$59))&gt;0))),Geometry!$F$42:$F$59))/1000</f>
      </c>
      <c r="BS14" s="32">
        <f>(SUMPRODUCT(alpha*fck*(1-(1-((($AD14+$AE14*Mesh_Y+$AF14*Mesh_X))*(($AD14+$AE14*Mesh_Y+$AF14*Mesh_X)&gt;0)*(($AD14+$AE14*Mesh_Y+$AF14*Mesh_X)&lt;eco)+eco*(($AD14+$AE14*Mesh_Y+$AF14*Mesh_X)&gt;=eco))/eco)^n)*((($AD14+$AE14*Mesh_Y+$AF14*Mesh_X))&gt;0),Mesh_A)+SUMPRODUCT((Es*(($AD14+$AE14*Geometry!$E$42:$E$59+$AF14*Geometry!$D$42:$D$59))*(ABS(Es*(($AD14+$AE14*Geometry!$E$42:$E$59+$AF14*Geometry!$D$42:$D$59)))&lt;=fy)+fy*(Es*(($AD14+$AE14*Geometry!$E$42:$E$59+$AF14*Geometry!$D$42:$D$59))&gt;fy)-fy*(Es*(($AD14+$AE14*Geometry!$E$42:$E$59+$AF14*Geometry!$D$42:$D$59))&lt;-fy)-(alpha*fck*(1-(1-((($AD14+$AE14*Geometry!$E$42:$E$59+$AF14*Geometry!$D$42:$D$59))*(($AD14+$AE14*Geometry!$E$42:$E$59+$AF14*Geometry!$D$42:$D$59)&gt;0)*(($AD14+$AE14*Geometry!$E$42:$E$59+$AF14*Geometry!$D$42:$D$59)&lt;eco)+eco*(($AD14+$AE14*Geometry!$E$42:$E$59+$AF14*Geometry!$D$42:$D$59)&gt;=eco))/eco)^n)*((($AD14+$AE14*Geometry!$E$42:$E$59+$AF14*Geometry!$D$42:$D$59))&gt;0))),Geometry!$F$42:$F$59))/1000</f>
      </c>
      <c r="BT14" s="32">
        <f>(SUMPRODUCT(alpha*fck*(1-(1-((($AG14+$AH14*Mesh_Y+$AI14*Mesh_X))*(($AG14+$AH14*Mesh_Y+$AI14*Mesh_X)&gt;0)*(($AG14+$AH14*Mesh_Y+$AI14*Mesh_X)&lt;eco)+eco*(($AG14+$AH14*Mesh_Y+$AI14*Mesh_X)&gt;=eco))/eco)^n)*((($AG14+$AH14*Mesh_Y+$AI14*Mesh_X))&gt;0),Mesh_A)+SUMPRODUCT((Es*(($AG14+$AH14*Geometry!$E$42:$E$59+$AI14*Geometry!$D$42:$D$59))*(ABS(Es*(($AG14+$AH14*Geometry!$E$42:$E$59+$AI14*Geometry!$D$42:$D$59)))&lt;=fy)+fy*(Es*(($AG14+$AH14*Geometry!$E$42:$E$59+$AI14*Geometry!$D$42:$D$59))&gt;fy)-fy*(Es*(($AG14+$AH14*Geometry!$E$42:$E$59+$AI14*Geometry!$D$42:$D$59))&lt;-fy)-(alpha*fck*(1-(1-((($AG14+$AH14*Geometry!$E$42:$E$59+$AI14*Geometry!$D$42:$D$59))*(($AG14+$AH14*Geometry!$E$42:$E$59+$AI14*Geometry!$D$42:$D$59)&gt;0)*(($AG14+$AH14*Geometry!$E$42:$E$59+$AI14*Geometry!$D$42:$D$59)&lt;eco)+eco*(($AG14+$AH14*Geometry!$E$42:$E$59+$AI14*Geometry!$D$42:$D$59)&gt;=eco))/eco)^n)*((($AG14+$AH14*Geometry!$E$42:$E$59+$AI14*Geometry!$D$42:$D$59))&gt;0))),Geometry!$F$42:$F$59))/1000</f>
      </c>
      <c r="BU14" s="32">
        <f>(SUMPRODUCT(alpha*fck*(1-(1-((($AJ14+$AK14*Mesh_Y+$AL14*Mesh_X))*(($AJ14+$AK14*Mesh_Y+$AL14*Mesh_X)&gt;0)*(($AJ14+$AK14*Mesh_Y+$AL14*Mesh_X)&lt;eco)+eco*(($AJ14+$AK14*Mesh_Y+$AL14*Mesh_X)&gt;=eco))/eco)^n)*((($AJ14+$AK14*Mesh_Y+$AL14*Mesh_X))&gt;0),Mesh_A)+SUMPRODUCT((Es*(($AJ14+$AK14*Geometry!$E$42:$E$59+$AL14*Geometry!$D$42:$D$59))*(ABS(Es*(($AJ14+$AK14*Geometry!$E$42:$E$59+$AL14*Geometry!$D$42:$D$59)))&lt;=fy)+fy*(Es*(($AJ14+$AK14*Geometry!$E$42:$E$59+$AL14*Geometry!$D$42:$D$59))&gt;fy)-fy*(Es*(($AJ14+$AK14*Geometry!$E$42:$E$59+$AL14*Geometry!$D$42:$D$59))&lt;-fy)-(alpha*fck*(1-(1-((($AJ14+$AK14*Geometry!$E$42:$E$59+$AL14*Geometry!$D$42:$D$59))*(($AJ14+$AK14*Geometry!$E$42:$E$59+$AL14*Geometry!$D$42:$D$59)&gt;0)*(($AJ14+$AK14*Geometry!$E$42:$E$59+$AL14*Geometry!$D$42:$D$59)&lt;eco)+eco*(($AJ14+$AK14*Geometry!$E$42:$E$59+$AL14*Geometry!$D$42:$D$59)&gt;=eco))/eco)^n)*((($AJ14+$AK14*Geometry!$E$42:$E$59+$AL14*Geometry!$D$42:$D$59))&gt;0))),Geometry!$F$42:$F$59))/1000</f>
      </c>
      <c r="BV14" s="32">
        <f>(SUMPRODUCT(alpha*fck*(1-(1-((($AM14+$AN14*Mesh_Y+$AO14*Mesh_X))*(($AM14+$AN14*Mesh_Y+$AO14*Mesh_X)&gt;0)*(($AM14+$AN14*Mesh_Y+$AO14*Mesh_X)&lt;eco)+eco*(($AM14+$AN14*Mesh_Y+$AO14*Mesh_X)&gt;=eco))/eco)^n)*((($AM14+$AN14*Mesh_Y+$AO14*Mesh_X))&gt;0),Mesh_A)+SUMPRODUCT((Es*(($AM14+$AN14*Geometry!$E$42:$E$59+$AO14*Geometry!$D$42:$D$59))*(ABS(Es*(($AM14+$AN14*Geometry!$E$42:$E$59+$AO14*Geometry!$D$42:$D$59)))&lt;=fy)+fy*(Es*(($AM14+$AN14*Geometry!$E$42:$E$59+$AO14*Geometry!$D$42:$D$59))&gt;fy)-fy*(Es*(($AM14+$AN14*Geometry!$E$42:$E$59+$AO14*Geometry!$D$42:$D$59))&lt;-fy)-(alpha*fck*(1-(1-((($AM14+$AN14*Geometry!$E$42:$E$59+$AO14*Geometry!$D$42:$D$59))*(($AM14+$AN14*Geometry!$E$42:$E$59+$AO14*Geometry!$D$42:$D$59)&gt;0)*(($AM14+$AN14*Geometry!$E$42:$E$59+$AO14*Geometry!$D$42:$D$59)&lt;eco)+eco*(($AM14+$AN14*Geometry!$E$42:$E$59+$AO14*Geometry!$D$42:$D$59)&gt;=eco))/eco)^n)*((($AM14+$AN14*Geometry!$E$42:$E$59+$AO14*Geometry!$D$42:$D$59))&gt;0))),Geometry!$F$42:$F$59))/1000</f>
      </c>
      <c r="BW14" s="32">
        <f>(SUMPRODUCT(alpha*fck*(1-(1-((($AP14+$AQ14*Mesh_Y+$AR14*Mesh_X))*(($AP14+$AQ14*Mesh_Y+$AR14*Mesh_X)&gt;0)*(($AP14+$AQ14*Mesh_Y+$AR14*Mesh_X)&lt;eco)+eco*(($AP14+$AQ14*Mesh_Y+$AR14*Mesh_X)&gt;=eco))/eco)^n)*((($AP14+$AQ14*Mesh_Y+$AR14*Mesh_X))&gt;0),Mesh_A)+SUMPRODUCT((Es*(($AP14+$AQ14*Geometry!$E$42:$E$59+$AR14*Geometry!$D$42:$D$59))*(ABS(Es*(($AP14+$AQ14*Geometry!$E$42:$E$59+$AR14*Geometry!$D$42:$D$59)))&lt;=fy)+fy*(Es*(($AP14+$AQ14*Geometry!$E$42:$E$59+$AR14*Geometry!$D$42:$D$59))&gt;fy)-fy*(Es*(($AP14+$AQ14*Geometry!$E$42:$E$59+$AR14*Geometry!$D$42:$D$59))&lt;-fy)-(alpha*fck*(1-(1-((($AP14+$AQ14*Geometry!$E$42:$E$59+$AR14*Geometry!$D$42:$D$59))*(($AP14+$AQ14*Geometry!$E$42:$E$59+$AR14*Geometry!$D$42:$D$59)&gt;0)*(($AP14+$AQ14*Geometry!$E$42:$E$59+$AR14*Geometry!$D$42:$D$59)&lt;eco)+eco*(($AP14+$AQ14*Geometry!$E$42:$E$59+$AR14*Geometry!$D$42:$D$59)&gt;=eco))/eco)^n)*((($AP14+$AQ14*Geometry!$E$42:$E$59+$AR14*Geometry!$D$42:$D$59))&gt;0))),Geometry!$F$42:$F$59))/1000</f>
      </c>
      <c r="BX14" s="32">
        <f>(SUMPRODUCT(alpha*fck*(1-(1-((($AS14+$AT14*Mesh_Y+$AU14*Mesh_X))*(($AS14+$AT14*Mesh_Y+$AU14*Mesh_X)&gt;0)*(($AS14+$AT14*Mesh_Y+$AU14*Mesh_X)&lt;eco)+eco*(($AS14+$AT14*Mesh_Y+$AU14*Mesh_X)&gt;=eco))/eco)^n)*((($AS14+$AT14*Mesh_Y+$AU14*Mesh_X))&gt;0),Mesh_A)+SUMPRODUCT((Es*(($AS14+$AT14*Geometry!$E$42:$E$59+$AU14*Geometry!$D$42:$D$59))*(ABS(Es*(($AS14+$AT14*Geometry!$E$42:$E$59+$AU14*Geometry!$D$42:$D$59)))&lt;=fy)+fy*(Es*(($AS14+$AT14*Geometry!$E$42:$E$59+$AU14*Geometry!$D$42:$D$59))&gt;fy)-fy*(Es*(($AS14+$AT14*Geometry!$E$42:$E$59+$AU14*Geometry!$D$42:$D$59))&lt;-fy)-(alpha*fck*(1-(1-((($AS14+$AT14*Geometry!$E$42:$E$59+$AU14*Geometry!$D$42:$D$59))*(($AS14+$AT14*Geometry!$E$42:$E$59+$AU14*Geometry!$D$42:$D$59)&gt;0)*(($AS14+$AT14*Geometry!$E$42:$E$59+$AU14*Geometry!$D$42:$D$59)&lt;eco)+eco*(($AS14+$AT14*Geometry!$E$42:$E$59+$AU14*Geometry!$D$42:$D$59)&gt;=eco))/eco)^n)*((($AS14+$AT14*Geometry!$E$42:$E$59+$AU14*Geometry!$D$42:$D$59))&gt;0))),Geometry!$F$42:$F$59))/1000</f>
      </c>
      <c r="BY14" s="32">
        <f>(SUMPRODUCT(alpha*fck*(1-(1-((($AV14+$AW14*Mesh_Y+$AX14*Mesh_X))*(($AV14+$AW14*Mesh_Y+$AX14*Mesh_X)&gt;0)*(($AV14+$AW14*Mesh_Y+$AX14*Mesh_X)&lt;eco)+eco*(($AV14+$AW14*Mesh_Y+$AX14*Mesh_X)&gt;=eco))/eco)^n)*((($AV14+$AW14*Mesh_Y+$AX14*Mesh_X))&gt;0),Mesh_A)+SUMPRODUCT((Es*(($AV14+$AW14*Geometry!$E$42:$E$59+$AX14*Geometry!$D$42:$D$59))*(ABS(Es*(($AV14+$AW14*Geometry!$E$42:$E$59+$AX14*Geometry!$D$42:$D$59)))&lt;=fy)+fy*(Es*(($AV14+$AW14*Geometry!$E$42:$E$59+$AX14*Geometry!$D$42:$D$59))&gt;fy)-fy*(Es*(($AV14+$AW14*Geometry!$E$42:$E$59+$AX14*Geometry!$D$42:$D$59))&lt;-fy)-(alpha*fck*(1-(1-((($AV14+$AW14*Geometry!$E$42:$E$59+$AX14*Geometry!$D$42:$D$59))*(($AV14+$AW14*Geometry!$E$42:$E$59+$AX14*Geometry!$D$42:$D$59)&gt;0)*(($AV14+$AW14*Geometry!$E$42:$E$59+$AX14*Geometry!$D$42:$D$59)&lt;eco)+eco*(($AV14+$AW14*Geometry!$E$42:$E$59+$AX14*Geometry!$D$42:$D$59)&gt;=eco))/eco)^n)*((($AV14+$AW14*Geometry!$E$42:$E$59+$AX14*Geometry!$D$42:$D$59))&gt;0))),Geometry!$F$42:$F$59))/1000</f>
      </c>
      <c r="BZ14" s="32">
        <f>(SUMPRODUCT(alpha*fck*(1-(1-((($AY14+$AZ14*Mesh_Y+$BA14*Mesh_X))*(($AY14+$AZ14*Mesh_Y+$BA14*Mesh_X)&gt;0)*(($AY14+$AZ14*Mesh_Y+$BA14*Mesh_X)&lt;eco)+eco*(($AY14+$AZ14*Mesh_Y+$BA14*Mesh_X)&gt;=eco))/eco)^n)*((($AY14+$AZ14*Mesh_Y+$BA14*Mesh_X))&gt;0),Mesh_A)+SUMPRODUCT((Es*(($AY14+$AZ14*Geometry!$E$42:$E$59+$BA14*Geometry!$D$42:$D$59))*(ABS(Es*(($AY14+$AZ14*Geometry!$E$42:$E$59+$BA14*Geometry!$D$42:$D$59)))&lt;=fy)+fy*(Es*(($AY14+$AZ14*Geometry!$E$42:$E$59+$BA14*Geometry!$D$42:$D$59))&gt;fy)-fy*(Es*(($AY14+$AZ14*Geometry!$E$42:$E$59+$BA14*Geometry!$D$42:$D$59))&lt;-fy)-(alpha*fck*(1-(1-((($AY14+$AZ14*Geometry!$E$42:$E$59+$BA14*Geometry!$D$42:$D$59))*(($AY14+$AZ14*Geometry!$E$42:$E$59+$BA14*Geometry!$D$42:$D$59)&gt;0)*(($AY14+$AZ14*Geometry!$E$42:$E$59+$BA14*Geometry!$D$42:$D$59)&lt;eco)+eco*(($AY14+$AZ14*Geometry!$E$42:$E$59+$BA14*Geometry!$D$42:$D$59)&gt;=eco))/eco)^n)*((($AY14+$AZ14*Geometry!$E$42:$E$59+$BA14*Geometry!$D$42:$D$59))&gt;0))),Geometry!$F$42:$F$59))/1000</f>
      </c>
      <c r="CA14" s="32">
        <f>(SUMPRODUCT(alpha*fck*(1-(1-((($BB14+$BC14*Mesh_Y+$BD14*Mesh_X))*(($BB14+$BC14*Mesh_Y+$BD14*Mesh_X)&gt;0)*(($BB14+$BC14*Mesh_Y+$BD14*Mesh_X)&lt;eco)+eco*(($BB14+$BC14*Mesh_Y+$BD14*Mesh_X)&gt;=eco))/eco)^n)*((($BB14+$BC14*Mesh_Y+$BD14*Mesh_X))&gt;0),Mesh_A)+SUMPRODUCT((Es*(($BB14+$BC14*Geometry!$E$42:$E$59+$BD14*Geometry!$D$42:$D$59))*(ABS(Es*(($BB14+$BC14*Geometry!$E$42:$E$59+$BD14*Geometry!$D$42:$D$59)))&lt;=fy)+fy*(Es*(($BB14+$BC14*Geometry!$E$42:$E$59+$BD14*Geometry!$D$42:$D$59))&gt;fy)-fy*(Es*(($BB14+$BC14*Geometry!$E$42:$E$59+$BD14*Geometry!$D$42:$D$59))&lt;-fy)-(alpha*fck*(1-(1-((($BB14+$BC14*Geometry!$E$42:$E$59+$BD14*Geometry!$D$42:$D$59))*(($BB14+$BC14*Geometry!$E$42:$E$59+$BD14*Geometry!$D$42:$D$59)&gt;0)*(($BB14+$BC14*Geometry!$E$42:$E$59+$BD14*Geometry!$D$42:$D$59)&lt;eco)+eco*(($BB14+$BC14*Geometry!$E$42:$E$59+$BD14*Geometry!$D$42:$D$59)&gt;=eco))/eco)^n)*((($BB14+$BC14*Geometry!$E$42:$E$59+$BD14*Geometry!$D$42:$D$59))&gt;0))),Geometry!$F$42:$F$59))/1000</f>
      </c>
      <c r="CB14" s="32">
        <f>(SUMPRODUCT(alpha*fck*(1-(1-((($BE14+$BF14*Mesh_Y+$BG14*Mesh_X))*(($BE14+$BF14*Mesh_Y+$BG14*Mesh_X)&gt;0)*(($BE14+$BF14*Mesh_Y+$BG14*Mesh_X)&lt;eco)+eco*(($BE14+$BF14*Mesh_Y+$BG14*Mesh_X)&gt;=eco))/eco)^n)*((($BE14+$BF14*Mesh_Y+$BG14*Mesh_X))&gt;0),Mesh_A)+SUMPRODUCT((Es*(($BE14+$BF14*Geometry!$E$42:$E$59+$BG14*Geometry!$D$42:$D$59))*(ABS(Es*(($BE14+$BF14*Geometry!$E$42:$E$59+$BG14*Geometry!$D$42:$D$59)))&lt;=fy)+fy*(Es*(($BE14+$BF14*Geometry!$E$42:$E$59+$BG14*Geometry!$D$42:$D$59))&gt;fy)-fy*(Es*(($BE14+$BF14*Geometry!$E$42:$E$59+$BG14*Geometry!$D$42:$D$59))&lt;-fy)-(alpha*fck*(1-(1-((($BE14+$BF14*Geometry!$E$42:$E$59+$BG14*Geometry!$D$42:$D$59))*(($BE14+$BF14*Geometry!$E$42:$E$59+$BG14*Geometry!$D$42:$D$59)&gt;0)*(($BE14+$BF14*Geometry!$E$42:$E$59+$BG14*Geometry!$D$42:$D$59)&lt;eco)+eco*(($BE14+$BF14*Geometry!$E$42:$E$59+$BG14*Geometry!$D$42:$D$59)&gt;=eco))/eco)^n)*((($BE14+$BF14*Geometry!$E$42:$E$59+$BG14*Geometry!$D$42:$D$59))&gt;0))),Geometry!$F$42:$F$59))/1000</f>
      </c>
      <c r="CC14" s="32">
        <f>(SUMPRODUCT(alpha*fck*(1-(1-((($BH14+$BI14*Mesh_Y+$BJ14*Mesh_X))*(($BH14+$BI14*Mesh_Y+$BJ14*Mesh_X)&gt;0)*(($BH14+$BI14*Mesh_Y+$BJ14*Mesh_X)&lt;eco)+eco*(($BH14+$BI14*Mesh_Y+$BJ14*Mesh_X)&gt;=eco))/eco)^n)*((($BH14+$BI14*Mesh_Y+$BJ14*Mesh_X))&gt;0),Mesh_A)+SUMPRODUCT((Es*(($BH14+$BI14*Geometry!$E$42:$E$59+$BJ14*Geometry!$D$42:$D$59))*(ABS(Es*(($BH14+$BI14*Geometry!$E$42:$E$59+$BJ14*Geometry!$D$42:$D$59)))&lt;=fy)+fy*(Es*(($BH14+$BI14*Geometry!$E$42:$E$59+$BJ14*Geometry!$D$42:$D$59))&gt;fy)-fy*(Es*(($BH14+$BI14*Geometry!$E$42:$E$59+$BJ14*Geometry!$D$42:$D$59))&lt;-fy)-(alpha*fck*(1-(1-((($BH14+$BI14*Geometry!$E$42:$E$59+$BJ14*Geometry!$D$42:$D$59))*(($BH14+$BI14*Geometry!$E$42:$E$59+$BJ14*Geometry!$D$42:$D$59)&gt;0)*(($BH14+$BI14*Geometry!$E$42:$E$59+$BJ14*Geometry!$D$42:$D$59)&lt;eco)+eco*(($BH14+$BI14*Geometry!$E$42:$E$59+$BJ14*Geometry!$D$42:$D$59)&gt;=eco))/eco)^n)*((($BH14+$BI14*Geometry!$E$42:$E$59+$BJ14*Geometry!$D$42:$D$59))&gt;0))),Geometry!$F$42:$F$59))/1000</f>
      </c>
      <c r="CD14" s="32">
        <f>(SUMPRODUCT(alpha*fck*(1-(1-((($F14+$G14*Mesh_Y+$H14*Mesh_X))*(($F14+$G14*Mesh_Y+$H14*Mesh_X)&gt;0)*(($F14+$G14*Mesh_Y+$H14*Mesh_X)&lt;eco)+eco*(($F14+$G14*Mesh_Y+$H14*Mesh_X)&gt;=eco))/eco)^n)*((($F14+$G14*Mesh_Y+$H14*Mesh_X))&gt;0),Mesh_A,Mesh_Y)+SUMPRODUCT((Es*(($F14+$G14*Geometry!$E$42:$E$59+$H14*Geometry!$D$42:$D$59))*(ABS(Es*(($F14+$G14*Geometry!$E$42:$E$59+$H14*Geometry!$D$42:$D$59)))&lt;=fy)+fy*(Es*(($F14+$G14*Geometry!$E$42:$E$59+$H14*Geometry!$D$42:$D$59))&gt;fy)-fy*(Es*(($F14+$G14*Geometry!$E$42:$E$59+$H14*Geometry!$D$42:$D$59))&lt;-fy)-(alpha*fck*(1-(1-((($F14+$G14*Geometry!$E$42:$E$59+$H14*Geometry!$D$42:$D$59))*(($F14+$G14*Geometry!$E$42:$E$59+$H14*Geometry!$D$42:$D$59)&gt;0)*(($F14+$G14*Geometry!$E$42:$E$59+$H14*Geometry!$D$42:$D$59)&lt;eco)+eco*(($F14+$G14*Geometry!$E$42:$E$59+$H14*Geometry!$D$42:$D$59)&gt;=eco))/eco)^n)*((($F14+$G14*Geometry!$E$42:$E$59+$H14*Geometry!$D$42:$D$59))&gt;0))),Geometry!$F$42:$F$59,Geometry!$E$42:$E$59))/1000000</f>
      </c>
      <c r="CE14" s="32">
        <f>(SUMPRODUCT(alpha*fck*(1-(1-((($I14+$J14*Mesh_Y+$K14*Mesh_X))*(($I14+$J14*Mesh_Y+$K14*Mesh_X)&gt;0)*(($I14+$J14*Mesh_Y+$K14*Mesh_X)&lt;eco)+eco*(($I14+$J14*Mesh_Y+$K14*Mesh_X)&gt;=eco))/eco)^n)*((($I14+$J14*Mesh_Y+$K14*Mesh_X))&gt;0),Mesh_A,Mesh_Y)+SUMPRODUCT((Es*(($I14+$J14*Geometry!$E$42:$E$59+$K14*Geometry!$D$42:$D$59))*(ABS(Es*(($I14+$J14*Geometry!$E$42:$E$59+$K14*Geometry!$D$42:$D$59)))&lt;=fy)+fy*(Es*(($I14+$J14*Geometry!$E$42:$E$59+$K14*Geometry!$D$42:$D$59))&gt;fy)-fy*(Es*(($I14+$J14*Geometry!$E$42:$E$59+$K14*Geometry!$D$42:$D$59))&lt;-fy)-(alpha*fck*(1-(1-((($I14+$J14*Geometry!$E$42:$E$59+$K14*Geometry!$D$42:$D$59))*(($I14+$J14*Geometry!$E$42:$E$59+$K14*Geometry!$D$42:$D$59)&gt;0)*(($I14+$J14*Geometry!$E$42:$E$59+$K14*Geometry!$D$42:$D$59)&lt;eco)+eco*(($I14+$J14*Geometry!$E$42:$E$59+$K14*Geometry!$D$42:$D$59)&gt;=eco))/eco)^n)*((($I14+$J14*Geometry!$E$42:$E$59+$K14*Geometry!$D$42:$D$59))&gt;0))),Geometry!$F$42:$F$59,Geometry!$E$42:$E$59))/1000000</f>
      </c>
      <c r="CF14" s="32">
        <f>(SUMPRODUCT(alpha*fck*(1-(1-((($L14+$M14*Mesh_Y+$N14*Mesh_X))*(($L14+$M14*Mesh_Y+$N14*Mesh_X)&gt;0)*(($L14+$M14*Mesh_Y+$N14*Mesh_X)&lt;eco)+eco*(($L14+$M14*Mesh_Y+$N14*Mesh_X)&gt;=eco))/eco)^n)*((($L14+$M14*Mesh_Y+$N14*Mesh_X))&gt;0),Mesh_A,Mesh_Y)+SUMPRODUCT((Es*(($L14+$M14*Geometry!$E$42:$E$59+$N14*Geometry!$D$42:$D$59))*(ABS(Es*(($L14+$M14*Geometry!$E$42:$E$59+$N14*Geometry!$D$42:$D$59)))&lt;=fy)+fy*(Es*(($L14+$M14*Geometry!$E$42:$E$59+$N14*Geometry!$D$42:$D$59))&gt;fy)-fy*(Es*(($L14+$M14*Geometry!$E$42:$E$59+$N14*Geometry!$D$42:$D$59))&lt;-fy)-(alpha*fck*(1-(1-((($L14+$M14*Geometry!$E$42:$E$59+$N14*Geometry!$D$42:$D$59))*(($L14+$M14*Geometry!$E$42:$E$59+$N14*Geometry!$D$42:$D$59)&gt;0)*(($L14+$M14*Geometry!$E$42:$E$59+$N14*Geometry!$D$42:$D$59)&lt;eco)+eco*(($L14+$M14*Geometry!$E$42:$E$59+$N14*Geometry!$D$42:$D$59)&gt;=eco))/eco)^n)*((($L14+$M14*Geometry!$E$42:$E$59+$N14*Geometry!$D$42:$D$59))&gt;0))),Geometry!$F$42:$F$59,Geometry!$E$42:$E$59))/1000000</f>
      </c>
      <c r="CG14" s="32">
        <f>(SUMPRODUCT(alpha*fck*(1-(1-((($O14+$P14*Mesh_Y+$Q14*Mesh_X))*(($O14+$P14*Mesh_Y+$Q14*Mesh_X)&gt;0)*(($O14+$P14*Mesh_Y+$Q14*Mesh_X)&lt;eco)+eco*(($O14+$P14*Mesh_Y+$Q14*Mesh_X)&gt;=eco))/eco)^n)*((($O14+$P14*Mesh_Y+$Q14*Mesh_X))&gt;0),Mesh_A,Mesh_Y)+SUMPRODUCT((Es*(($O14+$P14*Geometry!$E$42:$E$59+$Q14*Geometry!$D$42:$D$59))*(ABS(Es*(($O14+$P14*Geometry!$E$42:$E$59+$Q14*Geometry!$D$42:$D$59)))&lt;=fy)+fy*(Es*(($O14+$P14*Geometry!$E$42:$E$59+$Q14*Geometry!$D$42:$D$59))&gt;fy)-fy*(Es*(($O14+$P14*Geometry!$E$42:$E$59+$Q14*Geometry!$D$42:$D$59))&lt;-fy)-(alpha*fck*(1-(1-((($O14+$P14*Geometry!$E$42:$E$59+$Q14*Geometry!$D$42:$D$59))*(($O14+$P14*Geometry!$E$42:$E$59+$Q14*Geometry!$D$42:$D$59)&gt;0)*(($O14+$P14*Geometry!$E$42:$E$59+$Q14*Geometry!$D$42:$D$59)&lt;eco)+eco*(($O14+$P14*Geometry!$E$42:$E$59+$Q14*Geometry!$D$42:$D$59)&gt;=eco))/eco)^n)*((($O14+$P14*Geometry!$E$42:$E$59+$Q14*Geometry!$D$42:$D$59))&gt;0))),Geometry!$F$42:$F$59,Geometry!$E$42:$E$59))/1000000</f>
      </c>
      <c r="CH14" s="32">
        <f>(SUMPRODUCT(alpha*fck*(1-(1-((($R14+$S14*Mesh_Y+$T14*Mesh_X))*(($R14+$S14*Mesh_Y+$T14*Mesh_X)&gt;0)*(($R14+$S14*Mesh_Y+$T14*Mesh_X)&lt;eco)+eco*(($R14+$S14*Mesh_Y+$T14*Mesh_X)&gt;=eco))/eco)^n)*((($R14+$S14*Mesh_Y+$T14*Mesh_X))&gt;0),Mesh_A,Mesh_Y)+SUMPRODUCT((Es*(($R14+$S14*Geometry!$E$42:$E$59+$T14*Geometry!$D$42:$D$59))*(ABS(Es*(($R14+$S14*Geometry!$E$42:$E$59+$T14*Geometry!$D$42:$D$59)))&lt;=fy)+fy*(Es*(($R14+$S14*Geometry!$E$42:$E$59+$T14*Geometry!$D$42:$D$59))&gt;fy)-fy*(Es*(($R14+$S14*Geometry!$E$42:$E$59+$T14*Geometry!$D$42:$D$59))&lt;-fy)-(alpha*fck*(1-(1-((($R14+$S14*Geometry!$E$42:$E$59+$T14*Geometry!$D$42:$D$59))*(($R14+$S14*Geometry!$E$42:$E$59+$T14*Geometry!$D$42:$D$59)&gt;0)*(($R14+$S14*Geometry!$E$42:$E$59+$T14*Geometry!$D$42:$D$59)&lt;eco)+eco*(($R14+$S14*Geometry!$E$42:$E$59+$T14*Geometry!$D$42:$D$59)&gt;=eco))/eco)^n)*((($R14+$S14*Geometry!$E$42:$E$59+$T14*Geometry!$D$42:$D$59))&gt;0))),Geometry!$F$42:$F$59,Geometry!$E$42:$E$59))/1000000</f>
      </c>
      <c r="CI14" s="32">
        <f>(SUMPRODUCT(alpha*fck*(1-(1-((($U14+$V14*Mesh_Y+$W14*Mesh_X))*(($U14+$V14*Mesh_Y+$W14*Mesh_X)&gt;0)*(($U14+$V14*Mesh_Y+$W14*Mesh_X)&lt;eco)+eco*(($U14+$V14*Mesh_Y+$W14*Mesh_X)&gt;=eco))/eco)^n)*((($U14+$V14*Mesh_Y+$W14*Mesh_X))&gt;0),Mesh_A,Mesh_Y)+SUMPRODUCT((Es*(($U14+$V14*Geometry!$E$42:$E$59+$W14*Geometry!$D$42:$D$59))*(ABS(Es*(($U14+$V14*Geometry!$E$42:$E$59+$W14*Geometry!$D$42:$D$59)))&lt;=fy)+fy*(Es*(($U14+$V14*Geometry!$E$42:$E$59+$W14*Geometry!$D$42:$D$59))&gt;fy)-fy*(Es*(($U14+$V14*Geometry!$E$42:$E$59+$W14*Geometry!$D$42:$D$59))&lt;-fy)-(alpha*fck*(1-(1-((($U14+$V14*Geometry!$E$42:$E$59+$W14*Geometry!$D$42:$D$59))*(($U14+$V14*Geometry!$E$42:$E$59+$W14*Geometry!$D$42:$D$59)&gt;0)*(($U14+$V14*Geometry!$E$42:$E$59+$W14*Geometry!$D$42:$D$59)&lt;eco)+eco*(($U14+$V14*Geometry!$E$42:$E$59+$W14*Geometry!$D$42:$D$59)&gt;=eco))/eco)^n)*((($U14+$V14*Geometry!$E$42:$E$59+$W14*Geometry!$D$42:$D$59))&gt;0))),Geometry!$F$42:$F$59,Geometry!$E$42:$E$59))/1000000</f>
      </c>
      <c r="CJ14" s="32">
        <f>(SUMPRODUCT(alpha*fck*(1-(1-((($X14+$Y14*Mesh_Y+$Z14*Mesh_X))*(($X14+$Y14*Mesh_Y+$Z14*Mesh_X)&gt;0)*(($X14+$Y14*Mesh_Y+$Z14*Mesh_X)&lt;eco)+eco*(($X14+$Y14*Mesh_Y+$Z14*Mesh_X)&gt;=eco))/eco)^n)*((($X14+$Y14*Mesh_Y+$Z14*Mesh_X))&gt;0),Mesh_A,Mesh_Y)+SUMPRODUCT((Es*(($X14+$Y14*Geometry!$E$42:$E$59+$Z14*Geometry!$D$42:$D$59))*(ABS(Es*(($X14+$Y14*Geometry!$E$42:$E$59+$Z14*Geometry!$D$42:$D$59)))&lt;=fy)+fy*(Es*(($X14+$Y14*Geometry!$E$42:$E$59+$Z14*Geometry!$D$42:$D$59))&gt;fy)-fy*(Es*(($X14+$Y14*Geometry!$E$42:$E$59+$Z14*Geometry!$D$42:$D$59))&lt;-fy)-(alpha*fck*(1-(1-((($X14+$Y14*Geometry!$E$42:$E$59+$Z14*Geometry!$D$42:$D$59))*(($X14+$Y14*Geometry!$E$42:$E$59+$Z14*Geometry!$D$42:$D$59)&gt;0)*(($X14+$Y14*Geometry!$E$42:$E$59+$Z14*Geometry!$D$42:$D$59)&lt;eco)+eco*(($X14+$Y14*Geometry!$E$42:$E$59+$Z14*Geometry!$D$42:$D$59)&gt;=eco))/eco)^n)*((($X14+$Y14*Geometry!$E$42:$E$59+$Z14*Geometry!$D$42:$D$59))&gt;0))),Geometry!$F$42:$F$59,Geometry!$E$42:$E$59))/1000000</f>
      </c>
      <c r="CK14" s="32">
        <f>(SUMPRODUCT(alpha*fck*(1-(1-((($AA14+$AB14*Mesh_Y+$AC14*Mesh_X))*(($AA14+$AB14*Mesh_Y+$AC14*Mesh_X)&gt;0)*(($AA14+$AB14*Mesh_Y+$AC14*Mesh_X)&lt;eco)+eco*(($AA14+$AB14*Mesh_Y+$AC14*Mesh_X)&gt;=eco))/eco)^n)*((($AA14+$AB14*Mesh_Y+$AC14*Mesh_X))&gt;0),Mesh_A,Mesh_Y)+SUMPRODUCT((Es*(($AA14+$AB14*Geometry!$E$42:$E$59+$AC14*Geometry!$D$42:$D$59))*(ABS(Es*(($AA14+$AB14*Geometry!$E$42:$E$59+$AC14*Geometry!$D$42:$D$59)))&lt;=fy)+fy*(Es*(($AA14+$AB14*Geometry!$E$42:$E$59+$AC14*Geometry!$D$42:$D$59))&gt;fy)-fy*(Es*(($AA14+$AB14*Geometry!$E$42:$E$59+$AC14*Geometry!$D$42:$D$59))&lt;-fy)-(alpha*fck*(1-(1-((($AA14+$AB14*Geometry!$E$42:$E$59+$AC14*Geometry!$D$42:$D$59))*(($AA14+$AB14*Geometry!$E$42:$E$59+$AC14*Geometry!$D$42:$D$59)&gt;0)*(($AA14+$AB14*Geometry!$E$42:$E$59+$AC14*Geometry!$D$42:$D$59)&lt;eco)+eco*(($AA14+$AB14*Geometry!$E$42:$E$59+$AC14*Geometry!$D$42:$D$59)&gt;=eco))/eco)^n)*((($AA14+$AB14*Geometry!$E$42:$E$59+$AC14*Geometry!$D$42:$D$59))&gt;0))),Geometry!$F$42:$F$59,Geometry!$E$42:$E$59))/1000000</f>
      </c>
      <c r="CL14" s="32">
        <f>(SUMPRODUCT(alpha*fck*(1-(1-((($AD14+$AE14*Mesh_Y+$AF14*Mesh_X))*(($AD14+$AE14*Mesh_Y+$AF14*Mesh_X)&gt;0)*(($AD14+$AE14*Mesh_Y+$AF14*Mesh_X)&lt;eco)+eco*(($AD14+$AE14*Mesh_Y+$AF14*Mesh_X)&gt;=eco))/eco)^n)*((($AD14+$AE14*Mesh_Y+$AF14*Mesh_X))&gt;0),Mesh_A,Mesh_Y)+SUMPRODUCT((Es*(($AD14+$AE14*Geometry!$E$42:$E$59+$AF14*Geometry!$D$42:$D$59))*(ABS(Es*(($AD14+$AE14*Geometry!$E$42:$E$59+$AF14*Geometry!$D$42:$D$59)))&lt;=fy)+fy*(Es*(($AD14+$AE14*Geometry!$E$42:$E$59+$AF14*Geometry!$D$42:$D$59))&gt;fy)-fy*(Es*(($AD14+$AE14*Geometry!$E$42:$E$59+$AF14*Geometry!$D$42:$D$59))&lt;-fy)-(alpha*fck*(1-(1-((($AD14+$AE14*Geometry!$E$42:$E$59+$AF14*Geometry!$D$42:$D$59))*(($AD14+$AE14*Geometry!$E$42:$E$59+$AF14*Geometry!$D$42:$D$59)&gt;0)*(($AD14+$AE14*Geometry!$E$42:$E$59+$AF14*Geometry!$D$42:$D$59)&lt;eco)+eco*(($AD14+$AE14*Geometry!$E$42:$E$59+$AF14*Geometry!$D$42:$D$59)&gt;=eco))/eco)^n)*((($AD14+$AE14*Geometry!$E$42:$E$59+$AF14*Geometry!$D$42:$D$59))&gt;0))),Geometry!$F$42:$F$59,Geometry!$E$42:$E$59))/1000000</f>
      </c>
      <c r="CM14" s="32">
        <f>(SUMPRODUCT(alpha*fck*(1-(1-((($AG14+$AH14*Mesh_Y+$AI14*Mesh_X))*(($AG14+$AH14*Mesh_Y+$AI14*Mesh_X)&gt;0)*(($AG14+$AH14*Mesh_Y+$AI14*Mesh_X)&lt;eco)+eco*(($AG14+$AH14*Mesh_Y+$AI14*Mesh_X)&gt;=eco))/eco)^n)*((($AG14+$AH14*Mesh_Y+$AI14*Mesh_X))&gt;0),Mesh_A,Mesh_Y)+SUMPRODUCT((Es*(($AG14+$AH14*Geometry!$E$42:$E$59+$AI14*Geometry!$D$42:$D$59))*(ABS(Es*(($AG14+$AH14*Geometry!$E$42:$E$59+$AI14*Geometry!$D$42:$D$59)))&lt;=fy)+fy*(Es*(($AG14+$AH14*Geometry!$E$42:$E$59+$AI14*Geometry!$D$42:$D$59))&gt;fy)-fy*(Es*(($AG14+$AH14*Geometry!$E$42:$E$59+$AI14*Geometry!$D$42:$D$59))&lt;-fy)-(alpha*fck*(1-(1-((($AG14+$AH14*Geometry!$E$42:$E$59+$AI14*Geometry!$D$42:$D$59))*(($AG14+$AH14*Geometry!$E$42:$E$59+$AI14*Geometry!$D$42:$D$59)&gt;0)*(($AG14+$AH14*Geometry!$E$42:$E$59+$AI14*Geometry!$D$42:$D$59)&lt;eco)+eco*(($AG14+$AH14*Geometry!$E$42:$E$59+$AI14*Geometry!$D$42:$D$59)&gt;=eco))/eco)^n)*((($AG14+$AH14*Geometry!$E$42:$E$59+$AI14*Geometry!$D$42:$D$59))&gt;0))),Geometry!$F$42:$F$59,Geometry!$E$42:$E$59))/1000000</f>
      </c>
      <c r="CN14" s="32">
        <f>(SUMPRODUCT(alpha*fck*(1-(1-((($AJ14+$AK14*Mesh_Y+$AL14*Mesh_X))*(($AJ14+$AK14*Mesh_Y+$AL14*Mesh_X)&gt;0)*(($AJ14+$AK14*Mesh_Y+$AL14*Mesh_X)&lt;eco)+eco*(($AJ14+$AK14*Mesh_Y+$AL14*Mesh_X)&gt;=eco))/eco)^n)*((($AJ14+$AK14*Mesh_Y+$AL14*Mesh_X))&gt;0),Mesh_A,Mesh_Y)+SUMPRODUCT((Es*(($AJ14+$AK14*Geometry!$E$42:$E$59+$AL14*Geometry!$D$42:$D$59))*(ABS(Es*(($AJ14+$AK14*Geometry!$E$42:$E$59+$AL14*Geometry!$D$42:$D$59)))&lt;=fy)+fy*(Es*(($AJ14+$AK14*Geometry!$E$42:$E$59+$AL14*Geometry!$D$42:$D$59))&gt;fy)-fy*(Es*(($AJ14+$AK14*Geometry!$E$42:$E$59+$AL14*Geometry!$D$42:$D$59))&lt;-fy)-(alpha*fck*(1-(1-((($AJ14+$AK14*Geometry!$E$42:$E$59+$AL14*Geometry!$D$42:$D$59))*(($AJ14+$AK14*Geometry!$E$42:$E$59+$AL14*Geometry!$D$42:$D$59)&gt;0)*(($AJ14+$AK14*Geometry!$E$42:$E$59+$AL14*Geometry!$D$42:$D$59)&lt;eco)+eco*(($AJ14+$AK14*Geometry!$E$42:$E$59+$AL14*Geometry!$D$42:$D$59)&gt;=eco))/eco)^n)*((($AJ14+$AK14*Geometry!$E$42:$E$59+$AL14*Geometry!$D$42:$D$59))&gt;0))),Geometry!$F$42:$F$59,Geometry!$E$42:$E$59))/1000000</f>
      </c>
      <c r="CO14" s="32">
        <f>(SUMPRODUCT(alpha*fck*(1-(1-((($AM14+$AN14*Mesh_Y+$AO14*Mesh_X))*(($AM14+$AN14*Mesh_Y+$AO14*Mesh_X)&gt;0)*(($AM14+$AN14*Mesh_Y+$AO14*Mesh_X)&lt;eco)+eco*(($AM14+$AN14*Mesh_Y+$AO14*Mesh_X)&gt;=eco))/eco)^n)*((($AM14+$AN14*Mesh_Y+$AO14*Mesh_X))&gt;0),Mesh_A,Mesh_Y)+SUMPRODUCT((Es*(($AM14+$AN14*Geometry!$E$42:$E$59+$AO14*Geometry!$D$42:$D$59))*(ABS(Es*(($AM14+$AN14*Geometry!$E$42:$E$59+$AO14*Geometry!$D$42:$D$59)))&lt;=fy)+fy*(Es*(($AM14+$AN14*Geometry!$E$42:$E$59+$AO14*Geometry!$D$42:$D$59))&gt;fy)-fy*(Es*(($AM14+$AN14*Geometry!$E$42:$E$59+$AO14*Geometry!$D$42:$D$59))&lt;-fy)-(alpha*fck*(1-(1-((($AM14+$AN14*Geometry!$E$42:$E$59+$AO14*Geometry!$D$42:$D$59))*(($AM14+$AN14*Geometry!$E$42:$E$59+$AO14*Geometry!$D$42:$D$59)&gt;0)*(($AM14+$AN14*Geometry!$E$42:$E$59+$AO14*Geometry!$D$42:$D$59)&lt;eco)+eco*(($AM14+$AN14*Geometry!$E$42:$E$59+$AO14*Geometry!$D$42:$D$59)&gt;=eco))/eco)^n)*((($AM14+$AN14*Geometry!$E$42:$E$59+$AO14*Geometry!$D$42:$D$59))&gt;0))),Geometry!$F$42:$F$59,Geometry!$E$42:$E$59))/1000000</f>
      </c>
      <c r="CP14" s="32">
        <f>(SUMPRODUCT(alpha*fck*(1-(1-((($AP14+$AQ14*Mesh_Y+$AR14*Mesh_X))*(($AP14+$AQ14*Mesh_Y+$AR14*Mesh_X)&gt;0)*(($AP14+$AQ14*Mesh_Y+$AR14*Mesh_X)&lt;eco)+eco*(($AP14+$AQ14*Mesh_Y+$AR14*Mesh_X)&gt;=eco))/eco)^n)*((($AP14+$AQ14*Mesh_Y+$AR14*Mesh_X))&gt;0),Mesh_A,Mesh_Y)+SUMPRODUCT((Es*(($AP14+$AQ14*Geometry!$E$42:$E$59+$AR14*Geometry!$D$42:$D$59))*(ABS(Es*(($AP14+$AQ14*Geometry!$E$42:$E$59+$AR14*Geometry!$D$42:$D$59)))&lt;=fy)+fy*(Es*(($AP14+$AQ14*Geometry!$E$42:$E$59+$AR14*Geometry!$D$42:$D$59))&gt;fy)-fy*(Es*(($AP14+$AQ14*Geometry!$E$42:$E$59+$AR14*Geometry!$D$42:$D$59))&lt;-fy)-(alpha*fck*(1-(1-((($AP14+$AQ14*Geometry!$E$42:$E$59+$AR14*Geometry!$D$42:$D$59))*(($AP14+$AQ14*Geometry!$E$42:$E$59+$AR14*Geometry!$D$42:$D$59)&gt;0)*(($AP14+$AQ14*Geometry!$E$42:$E$59+$AR14*Geometry!$D$42:$D$59)&lt;eco)+eco*(($AP14+$AQ14*Geometry!$E$42:$E$59+$AR14*Geometry!$D$42:$D$59)&gt;=eco))/eco)^n)*((($AP14+$AQ14*Geometry!$E$42:$E$59+$AR14*Geometry!$D$42:$D$59))&gt;0))),Geometry!$F$42:$F$59,Geometry!$E$42:$E$59))/1000000</f>
      </c>
      <c r="CQ14" s="32">
        <f>(SUMPRODUCT(alpha*fck*(1-(1-((($AS14+$AT14*Mesh_Y+$AU14*Mesh_X))*(($AS14+$AT14*Mesh_Y+$AU14*Mesh_X)&gt;0)*(($AS14+$AT14*Mesh_Y+$AU14*Mesh_X)&lt;eco)+eco*(($AS14+$AT14*Mesh_Y+$AU14*Mesh_X)&gt;=eco))/eco)^n)*((($AS14+$AT14*Mesh_Y+$AU14*Mesh_X))&gt;0),Mesh_A,Mesh_Y)+SUMPRODUCT((Es*(($AS14+$AT14*Geometry!$E$42:$E$59+$AU14*Geometry!$D$42:$D$59))*(ABS(Es*(($AS14+$AT14*Geometry!$E$42:$E$59+$AU14*Geometry!$D$42:$D$59)))&lt;=fy)+fy*(Es*(($AS14+$AT14*Geometry!$E$42:$E$59+$AU14*Geometry!$D$42:$D$59))&gt;fy)-fy*(Es*(($AS14+$AT14*Geometry!$E$42:$E$59+$AU14*Geometry!$D$42:$D$59))&lt;-fy)-(alpha*fck*(1-(1-((($AS14+$AT14*Geometry!$E$42:$E$59+$AU14*Geometry!$D$42:$D$59))*(($AS14+$AT14*Geometry!$E$42:$E$59+$AU14*Geometry!$D$42:$D$59)&gt;0)*(($AS14+$AT14*Geometry!$E$42:$E$59+$AU14*Geometry!$D$42:$D$59)&lt;eco)+eco*(($AS14+$AT14*Geometry!$E$42:$E$59+$AU14*Geometry!$D$42:$D$59)&gt;=eco))/eco)^n)*((($AS14+$AT14*Geometry!$E$42:$E$59+$AU14*Geometry!$D$42:$D$59))&gt;0))),Geometry!$F$42:$F$59,Geometry!$E$42:$E$59))/1000000</f>
      </c>
      <c r="CR14" s="32">
        <f>(SUMPRODUCT(alpha*fck*(1-(1-((($AV14+$AW14*Mesh_Y+$AX14*Mesh_X))*(($AV14+$AW14*Mesh_Y+$AX14*Mesh_X)&gt;0)*(($AV14+$AW14*Mesh_Y+$AX14*Mesh_X)&lt;eco)+eco*(($AV14+$AW14*Mesh_Y+$AX14*Mesh_X)&gt;=eco))/eco)^n)*((($AV14+$AW14*Mesh_Y+$AX14*Mesh_X))&gt;0),Mesh_A,Mesh_Y)+SUMPRODUCT((Es*(($AV14+$AW14*Geometry!$E$42:$E$59+$AX14*Geometry!$D$42:$D$59))*(ABS(Es*(($AV14+$AW14*Geometry!$E$42:$E$59+$AX14*Geometry!$D$42:$D$59)))&lt;=fy)+fy*(Es*(($AV14+$AW14*Geometry!$E$42:$E$59+$AX14*Geometry!$D$42:$D$59))&gt;fy)-fy*(Es*(($AV14+$AW14*Geometry!$E$42:$E$59+$AX14*Geometry!$D$42:$D$59))&lt;-fy)-(alpha*fck*(1-(1-((($AV14+$AW14*Geometry!$E$42:$E$59+$AX14*Geometry!$D$42:$D$59))*(($AV14+$AW14*Geometry!$E$42:$E$59+$AX14*Geometry!$D$42:$D$59)&gt;0)*(($AV14+$AW14*Geometry!$E$42:$E$59+$AX14*Geometry!$D$42:$D$59)&lt;eco)+eco*(($AV14+$AW14*Geometry!$E$42:$E$59+$AX14*Geometry!$D$42:$D$59)&gt;=eco))/eco)^n)*((($AV14+$AW14*Geometry!$E$42:$E$59+$AX14*Geometry!$D$42:$D$59))&gt;0))),Geometry!$F$42:$F$59,Geometry!$E$42:$E$59))/1000000</f>
      </c>
      <c r="CS14" s="32">
        <f>(SUMPRODUCT(alpha*fck*(1-(1-((($AY14+$AZ14*Mesh_Y+$BA14*Mesh_X))*(($AY14+$AZ14*Mesh_Y+$BA14*Mesh_X)&gt;0)*(($AY14+$AZ14*Mesh_Y+$BA14*Mesh_X)&lt;eco)+eco*(($AY14+$AZ14*Mesh_Y+$BA14*Mesh_X)&gt;=eco))/eco)^n)*((($AY14+$AZ14*Mesh_Y+$BA14*Mesh_X))&gt;0),Mesh_A,Mesh_Y)+SUMPRODUCT((Es*(($AY14+$AZ14*Geometry!$E$42:$E$59+$BA14*Geometry!$D$42:$D$59))*(ABS(Es*(($AY14+$AZ14*Geometry!$E$42:$E$59+$BA14*Geometry!$D$42:$D$59)))&lt;=fy)+fy*(Es*(($AY14+$AZ14*Geometry!$E$42:$E$59+$BA14*Geometry!$D$42:$D$59))&gt;fy)-fy*(Es*(($AY14+$AZ14*Geometry!$E$42:$E$59+$BA14*Geometry!$D$42:$D$59))&lt;-fy)-(alpha*fck*(1-(1-((($AY14+$AZ14*Geometry!$E$42:$E$59+$BA14*Geometry!$D$42:$D$59))*(($AY14+$AZ14*Geometry!$E$42:$E$59+$BA14*Geometry!$D$42:$D$59)&gt;0)*(($AY14+$AZ14*Geometry!$E$42:$E$59+$BA14*Geometry!$D$42:$D$59)&lt;eco)+eco*(($AY14+$AZ14*Geometry!$E$42:$E$59+$BA14*Geometry!$D$42:$D$59)&gt;=eco))/eco)^n)*((($AY14+$AZ14*Geometry!$E$42:$E$59+$BA14*Geometry!$D$42:$D$59))&gt;0))),Geometry!$F$42:$F$59,Geometry!$E$42:$E$59))/1000000</f>
      </c>
      <c r="CT14" s="32">
        <f>(SUMPRODUCT(alpha*fck*(1-(1-((($BB14+$BC14*Mesh_Y+$BD14*Mesh_X))*(($BB14+$BC14*Mesh_Y+$BD14*Mesh_X)&gt;0)*(($BB14+$BC14*Mesh_Y+$BD14*Mesh_X)&lt;eco)+eco*(($BB14+$BC14*Mesh_Y+$BD14*Mesh_X)&gt;=eco))/eco)^n)*((($BB14+$BC14*Mesh_Y+$BD14*Mesh_X))&gt;0),Mesh_A,Mesh_Y)+SUMPRODUCT((Es*(($BB14+$BC14*Geometry!$E$42:$E$59+$BD14*Geometry!$D$42:$D$59))*(ABS(Es*(($BB14+$BC14*Geometry!$E$42:$E$59+$BD14*Geometry!$D$42:$D$59)))&lt;=fy)+fy*(Es*(($BB14+$BC14*Geometry!$E$42:$E$59+$BD14*Geometry!$D$42:$D$59))&gt;fy)-fy*(Es*(($BB14+$BC14*Geometry!$E$42:$E$59+$BD14*Geometry!$D$42:$D$59))&lt;-fy)-(alpha*fck*(1-(1-((($BB14+$BC14*Geometry!$E$42:$E$59+$BD14*Geometry!$D$42:$D$59))*(($BB14+$BC14*Geometry!$E$42:$E$59+$BD14*Geometry!$D$42:$D$59)&gt;0)*(($BB14+$BC14*Geometry!$E$42:$E$59+$BD14*Geometry!$D$42:$D$59)&lt;eco)+eco*(($BB14+$BC14*Geometry!$E$42:$E$59+$BD14*Geometry!$D$42:$D$59)&gt;=eco))/eco)^n)*((($BB14+$BC14*Geometry!$E$42:$E$59+$BD14*Geometry!$D$42:$D$59))&gt;0))),Geometry!$F$42:$F$59,Geometry!$E$42:$E$59))/1000000</f>
      </c>
      <c r="CU14" s="32">
        <f>(SUMPRODUCT(alpha*fck*(1-(1-((($BE14+$BF14*Mesh_Y+$BG14*Mesh_X))*(($BE14+$BF14*Mesh_Y+$BG14*Mesh_X)&gt;0)*(($BE14+$BF14*Mesh_Y+$BG14*Mesh_X)&lt;eco)+eco*(($BE14+$BF14*Mesh_Y+$BG14*Mesh_X)&gt;=eco))/eco)^n)*((($BE14+$BF14*Mesh_Y+$BG14*Mesh_X))&gt;0),Mesh_A,Mesh_Y)+SUMPRODUCT((Es*(($BE14+$BF14*Geometry!$E$42:$E$59+$BG14*Geometry!$D$42:$D$59))*(ABS(Es*(($BE14+$BF14*Geometry!$E$42:$E$59+$BG14*Geometry!$D$42:$D$59)))&lt;=fy)+fy*(Es*(($BE14+$BF14*Geometry!$E$42:$E$59+$BG14*Geometry!$D$42:$D$59))&gt;fy)-fy*(Es*(($BE14+$BF14*Geometry!$E$42:$E$59+$BG14*Geometry!$D$42:$D$59))&lt;-fy)-(alpha*fck*(1-(1-((($BE14+$BF14*Geometry!$E$42:$E$59+$BG14*Geometry!$D$42:$D$59))*(($BE14+$BF14*Geometry!$E$42:$E$59+$BG14*Geometry!$D$42:$D$59)&gt;0)*(($BE14+$BF14*Geometry!$E$42:$E$59+$BG14*Geometry!$D$42:$D$59)&lt;eco)+eco*(($BE14+$BF14*Geometry!$E$42:$E$59+$BG14*Geometry!$D$42:$D$59)&gt;=eco))/eco)^n)*((($BE14+$BF14*Geometry!$E$42:$E$59+$BG14*Geometry!$D$42:$D$59))&gt;0))),Geometry!$F$42:$F$59,Geometry!$E$42:$E$59))/1000000</f>
      </c>
      <c r="CV14" s="32">
        <f>(SUMPRODUCT(alpha*fck*(1-(1-((($BH14+$BI14*Mesh_Y+$BJ14*Mesh_X))*(($BH14+$BI14*Mesh_Y+$BJ14*Mesh_X)&gt;0)*(($BH14+$BI14*Mesh_Y+$BJ14*Mesh_X)&lt;eco)+eco*(($BH14+$BI14*Mesh_Y+$BJ14*Mesh_X)&gt;=eco))/eco)^n)*((($BH14+$BI14*Mesh_Y+$BJ14*Mesh_X))&gt;0),Mesh_A,Mesh_Y)+SUMPRODUCT((Es*(($BH14+$BI14*Geometry!$E$42:$E$59+$BJ14*Geometry!$D$42:$D$59))*(ABS(Es*(($BH14+$BI14*Geometry!$E$42:$E$59+$BJ14*Geometry!$D$42:$D$59)))&lt;=fy)+fy*(Es*(($BH14+$BI14*Geometry!$E$42:$E$59+$BJ14*Geometry!$D$42:$D$59))&gt;fy)-fy*(Es*(($BH14+$BI14*Geometry!$E$42:$E$59+$BJ14*Geometry!$D$42:$D$59))&lt;-fy)-(alpha*fck*(1-(1-((($BH14+$BI14*Geometry!$E$42:$E$59+$BJ14*Geometry!$D$42:$D$59))*(($BH14+$BI14*Geometry!$E$42:$E$59+$BJ14*Geometry!$D$42:$D$59)&gt;0)*(($BH14+$BI14*Geometry!$E$42:$E$59+$BJ14*Geometry!$D$42:$D$59)&lt;eco)+eco*(($BH14+$BI14*Geometry!$E$42:$E$59+$BJ14*Geometry!$D$42:$D$59)&gt;=eco))/eco)^n)*((($BH14+$BI14*Geometry!$E$42:$E$59+$BJ14*Geometry!$D$42:$D$59))&gt;0))),Geometry!$F$42:$F$59,Geometry!$E$42:$E$59))/1000000</f>
      </c>
      <c r="CW14" s="32">
        <f>(SUMPRODUCT(alpha*fck*(1-(1-((($F14+$G14*Mesh_Y+$H14*Mesh_X))*(($F14+$G14*Mesh_Y+$H14*Mesh_X)&gt;0)*(($F14+$G14*Mesh_Y+$H14*Mesh_X)&lt;eco)+eco*(($F14+$G14*Mesh_Y+$H14*Mesh_X)&gt;=eco))/eco)^n)*((($F14+$G14*Mesh_Y+$H14*Mesh_X))&gt;0),Mesh_A,Mesh_X)+SUMPRODUCT((Es*(($F14+$G14*Geometry!$E$42:$E$59+$H14*Geometry!$D$42:$D$59))*(ABS(Es*(($F14+$G14*Geometry!$E$42:$E$59+$H14*Geometry!$D$42:$D$59)))&lt;=fy)+fy*(Es*(($F14+$G14*Geometry!$E$42:$E$59+$H14*Geometry!$D$42:$D$59))&gt;fy)-fy*(Es*(($F14+$G14*Geometry!$E$42:$E$59+$H14*Geometry!$D$42:$D$59))&lt;-fy)-(alpha*fck*(1-(1-((($F14+$G14*Geometry!$E$42:$E$59+$H14*Geometry!$D$42:$D$59))*(($F14+$G14*Geometry!$E$42:$E$59+$H14*Geometry!$D$42:$D$59)&gt;0)*(($F14+$G14*Geometry!$E$42:$E$59+$H14*Geometry!$D$42:$D$59)&lt;eco)+eco*(($F14+$G14*Geometry!$E$42:$E$59+$H14*Geometry!$D$42:$D$59)&gt;=eco))/eco)^n)*((($F14+$G14*Geometry!$E$42:$E$59+$H14*Geometry!$D$42:$D$59))&gt;0))),Geometry!$F$42:$F$59,Geometry!$D$42:$D$59))/1000000</f>
      </c>
      <c r="CX14" s="32">
        <f>(SUMPRODUCT(alpha*fck*(1-(1-((($I14+$J14*Mesh_Y+$K14*Mesh_X))*(($I14+$J14*Mesh_Y+$K14*Mesh_X)&gt;0)*(($I14+$J14*Mesh_Y+$K14*Mesh_X)&lt;eco)+eco*(($I14+$J14*Mesh_Y+$K14*Mesh_X)&gt;=eco))/eco)^n)*((($I14+$J14*Mesh_Y+$K14*Mesh_X))&gt;0),Mesh_A,Mesh_X)+SUMPRODUCT((Es*(($I14+$J14*Geometry!$E$42:$E$59+$K14*Geometry!$D$42:$D$59))*(ABS(Es*(($I14+$J14*Geometry!$E$42:$E$59+$K14*Geometry!$D$42:$D$59)))&lt;=fy)+fy*(Es*(($I14+$J14*Geometry!$E$42:$E$59+$K14*Geometry!$D$42:$D$59))&gt;fy)-fy*(Es*(($I14+$J14*Geometry!$E$42:$E$59+$K14*Geometry!$D$42:$D$59))&lt;-fy)-(alpha*fck*(1-(1-((($I14+$J14*Geometry!$E$42:$E$59+$K14*Geometry!$D$42:$D$59))*(($I14+$J14*Geometry!$E$42:$E$59+$K14*Geometry!$D$42:$D$59)&gt;0)*(($I14+$J14*Geometry!$E$42:$E$59+$K14*Geometry!$D$42:$D$59)&lt;eco)+eco*(($I14+$J14*Geometry!$E$42:$E$59+$K14*Geometry!$D$42:$D$59)&gt;=eco))/eco)^n)*((($I14+$J14*Geometry!$E$42:$E$59+$K14*Geometry!$D$42:$D$59))&gt;0))),Geometry!$F$42:$F$59,Geometry!$D$42:$D$59))/1000000</f>
      </c>
      <c r="CY14" s="32">
        <f>(SUMPRODUCT(alpha*fck*(1-(1-((($L14+$M14*Mesh_Y+$N14*Mesh_X))*(($L14+$M14*Mesh_Y+$N14*Mesh_X)&gt;0)*(($L14+$M14*Mesh_Y+$N14*Mesh_X)&lt;eco)+eco*(($L14+$M14*Mesh_Y+$N14*Mesh_X)&gt;=eco))/eco)^n)*((($L14+$M14*Mesh_Y+$N14*Mesh_X))&gt;0),Mesh_A,Mesh_X)+SUMPRODUCT((Es*(($L14+$M14*Geometry!$E$42:$E$59+$N14*Geometry!$D$42:$D$59))*(ABS(Es*(($L14+$M14*Geometry!$E$42:$E$59+$N14*Geometry!$D$42:$D$59)))&lt;=fy)+fy*(Es*(($L14+$M14*Geometry!$E$42:$E$59+$N14*Geometry!$D$42:$D$59))&gt;fy)-fy*(Es*(($L14+$M14*Geometry!$E$42:$E$59+$N14*Geometry!$D$42:$D$59))&lt;-fy)-(alpha*fck*(1-(1-((($L14+$M14*Geometry!$E$42:$E$59+$N14*Geometry!$D$42:$D$59))*(($L14+$M14*Geometry!$E$42:$E$59+$N14*Geometry!$D$42:$D$59)&gt;0)*(($L14+$M14*Geometry!$E$42:$E$59+$N14*Geometry!$D$42:$D$59)&lt;eco)+eco*(($L14+$M14*Geometry!$E$42:$E$59+$N14*Geometry!$D$42:$D$59)&gt;=eco))/eco)^n)*((($L14+$M14*Geometry!$E$42:$E$59+$N14*Geometry!$D$42:$D$59))&gt;0))),Geometry!$F$42:$F$59,Geometry!$D$42:$D$59))/1000000</f>
      </c>
      <c r="CZ14" s="32">
        <f>(SUMPRODUCT(alpha*fck*(1-(1-((($O14+$P14*Mesh_Y+$Q14*Mesh_X))*(($O14+$P14*Mesh_Y+$Q14*Mesh_X)&gt;0)*(($O14+$P14*Mesh_Y+$Q14*Mesh_X)&lt;eco)+eco*(($O14+$P14*Mesh_Y+$Q14*Mesh_X)&gt;=eco))/eco)^n)*((($O14+$P14*Mesh_Y+$Q14*Mesh_X))&gt;0),Mesh_A,Mesh_X)+SUMPRODUCT((Es*(($O14+$P14*Geometry!$E$42:$E$59+$Q14*Geometry!$D$42:$D$59))*(ABS(Es*(($O14+$P14*Geometry!$E$42:$E$59+$Q14*Geometry!$D$42:$D$59)))&lt;=fy)+fy*(Es*(($O14+$P14*Geometry!$E$42:$E$59+$Q14*Geometry!$D$42:$D$59))&gt;fy)-fy*(Es*(($O14+$P14*Geometry!$E$42:$E$59+$Q14*Geometry!$D$42:$D$59))&lt;-fy)-(alpha*fck*(1-(1-((($O14+$P14*Geometry!$E$42:$E$59+$Q14*Geometry!$D$42:$D$59))*(($O14+$P14*Geometry!$E$42:$E$59+$Q14*Geometry!$D$42:$D$59)&gt;0)*(($O14+$P14*Geometry!$E$42:$E$59+$Q14*Geometry!$D$42:$D$59)&lt;eco)+eco*(($O14+$P14*Geometry!$E$42:$E$59+$Q14*Geometry!$D$42:$D$59)&gt;=eco))/eco)^n)*((($O14+$P14*Geometry!$E$42:$E$59+$Q14*Geometry!$D$42:$D$59))&gt;0))),Geometry!$F$42:$F$59,Geometry!$D$42:$D$59))/1000000</f>
      </c>
      <c r="DA14" s="32">
        <f>(SUMPRODUCT(alpha*fck*(1-(1-((($R14+$S14*Mesh_Y+$T14*Mesh_X))*(($R14+$S14*Mesh_Y+$T14*Mesh_X)&gt;0)*(($R14+$S14*Mesh_Y+$T14*Mesh_X)&lt;eco)+eco*(($R14+$S14*Mesh_Y+$T14*Mesh_X)&gt;=eco))/eco)^n)*((($R14+$S14*Mesh_Y+$T14*Mesh_X))&gt;0),Mesh_A,Mesh_X)+SUMPRODUCT((Es*(($R14+$S14*Geometry!$E$42:$E$59+$T14*Geometry!$D$42:$D$59))*(ABS(Es*(($R14+$S14*Geometry!$E$42:$E$59+$T14*Geometry!$D$42:$D$59)))&lt;=fy)+fy*(Es*(($R14+$S14*Geometry!$E$42:$E$59+$T14*Geometry!$D$42:$D$59))&gt;fy)-fy*(Es*(($R14+$S14*Geometry!$E$42:$E$59+$T14*Geometry!$D$42:$D$59))&lt;-fy)-(alpha*fck*(1-(1-((($R14+$S14*Geometry!$E$42:$E$59+$T14*Geometry!$D$42:$D$59))*(($R14+$S14*Geometry!$E$42:$E$59+$T14*Geometry!$D$42:$D$59)&gt;0)*(($R14+$S14*Geometry!$E$42:$E$59+$T14*Geometry!$D$42:$D$59)&lt;eco)+eco*(($R14+$S14*Geometry!$E$42:$E$59+$T14*Geometry!$D$42:$D$59)&gt;=eco))/eco)^n)*((($R14+$S14*Geometry!$E$42:$E$59+$T14*Geometry!$D$42:$D$59))&gt;0))),Geometry!$F$42:$F$59,Geometry!$D$42:$D$59))/1000000</f>
      </c>
      <c r="DB14" s="32">
        <f>(SUMPRODUCT(alpha*fck*(1-(1-((($U14+$V14*Mesh_Y+$W14*Mesh_X))*(($U14+$V14*Mesh_Y+$W14*Mesh_X)&gt;0)*(($U14+$V14*Mesh_Y+$W14*Mesh_X)&lt;eco)+eco*(($U14+$V14*Mesh_Y+$W14*Mesh_X)&gt;=eco))/eco)^n)*((($U14+$V14*Mesh_Y+$W14*Mesh_X))&gt;0),Mesh_A,Mesh_X)+SUMPRODUCT((Es*(($U14+$V14*Geometry!$E$42:$E$59+$W14*Geometry!$D$42:$D$59))*(ABS(Es*(($U14+$V14*Geometry!$E$42:$E$59+$W14*Geometry!$D$42:$D$59)))&lt;=fy)+fy*(Es*(($U14+$V14*Geometry!$E$42:$E$59+$W14*Geometry!$D$42:$D$59))&gt;fy)-fy*(Es*(($U14+$V14*Geometry!$E$42:$E$59+$W14*Geometry!$D$42:$D$59))&lt;-fy)-(alpha*fck*(1-(1-((($U14+$V14*Geometry!$E$42:$E$59+$W14*Geometry!$D$42:$D$59))*(($U14+$V14*Geometry!$E$42:$E$59+$W14*Geometry!$D$42:$D$59)&gt;0)*(($U14+$V14*Geometry!$E$42:$E$59+$W14*Geometry!$D$42:$D$59)&lt;eco)+eco*(($U14+$V14*Geometry!$E$42:$E$59+$W14*Geometry!$D$42:$D$59)&gt;=eco))/eco)^n)*((($U14+$V14*Geometry!$E$42:$E$59+$W14*Geometry!$D$42:$D$59))&gt;0))),Geometry!$F$42:$F$59,Geometry!$D$42:$D$59))/1000000</f>
      </c>
      <c r="DC14" s="32">
        <f>(SUMPRODUCT(alpha*fck*(1-(1-((($X14+$Y14*Mesh_Y+$Z14*Mesh_X))*(($X14+$Y14*Mesh_Y+$Z14*Mesh_X)&gt;0)*(($X14+$Y14*Mesh_Y+$Z14*Mesh_X)&lt;eco)+eco*(($X14+$Y14*Mesh_Y+$Z14*Mesh_X)&gt;=eco))/eco)^n)*((($X14+$Y14*Mesh_Y+$Z14*Mesh_X))&gt;0),Mesh_A,Mesh_X)+SUMPRODUCT((Es*(($X14+$Y14*Geometry!$E$42:$E$59+$Z14*Geometry!$D$42:$D$59))*(ABS(Es*(($X14+$Y14*Geometry!$E$42:$E$59+$Z14*Geometry!$D$42:$D$59)))&lt;=fy)+fy*(Es*(($X14+$Y14*Geometry!$E$42:$E$59+$Z14*Geometry!$D$42:$D$59))&gt;fy)-fy*(Es*(($X14+$Y14*Geometry!$E$42:$E$59+$Z14*Geometry!$D$42:$D$59))&lt;-fy)-(alpha*fck*(1-(1-((($X14+$Y14*Geometry!$E$42:$E$59+$Z14*Geometry!$D$42:$D$59))*(($X14+$Y14*Geometry!$E$42:$E$59+$Z14*Geometry!$D$42:$D$59)&gt;0)*(($X14+$Y14*Geometry!$E$42:$E$59+$Z14*Geometry!$D$42:$D$59)&lt;eco)+eco*(($X14+$Y14*Geometry!$E$42:$E$59+$Z14*Geometry!$D$42:$D$59)&gt;=eco))/eco)^n)*((($X14+$Y14*Geometry!$E$42:$E$59+$Z14*Geometry!$D$42:$D$59))&gt;0))),Geometry!$F$42:$F$59,Geometry!$D$42:$D$59))/1000000</f>
      </c>
      <c r="DD14" s="32">
        <f>(SUMPRODUCT(alpha*fck*(1-(1-((($AA14+$AB14*Mesh_Y+$AC14*Mesh_X))*(($AA14+$AB14*Mesh_Y+$AC14*Mesh_X)&gt;0)*(($AA14+$AB14*Mesh_Y+$AC14*Mesh_X)&lt;eco)+eco*(($AA14+$AB14*Mesh_Y+$AC14*Mesh_X)&gt;=eco))/eco)^n)*((($AA14+$AB14*Mesh_Y+$AC14*Mesh_X))&gt;0),Mesh_A,Mesh_X)+SUMPRODUCT((Es*(($AA14+$AB14*Geometry!$E$42:$E$59+$AC14*Geometry!$D$42:$D$59))*(ABS(Es*(($AA14+$AB14*Geometry!$E$42:$E$59+$AC14*Geometry!$D$42:$D$59)))&lt;=fy)+fy*(Es*(($AA14+$AB14*Geometry!$E$42:$E$59+$AC14*Geometry!$D$42:$D$59))&gt;fy)-fy*(Es*(($AA14+$AB14*Geometry!$E$42:$E$59+$AC14*Geometry!$D$42:$D$59))&lt;-fy)-(alpha*fck*(1-(1-((($AA14+$AB14*Geometry!$E$42:$E$59+$AC14*Geometry!$D$42:$D$59))*(($AA14+$AB14*Geometry!$E$42:$E$59+$AC14*Geometry!$D$42:$D$59)&gt;0)*(($AA14+$AB14*Geometry!$E$42:$E$59+$AC14*Geometry!$D$42:$D$59)&lt;eco)+eco*(($AA14+$AB14*Geometry!$E$42:$E$59+$AC14*Geometry!$D$42:$D$59)&gt;=eco))/eco)^n)*((($AA14+$AB14*Geometry!$E$42:$E$59+$AC14*Geometry!$D$42:$D$59))&gt;0))),Geometry!$F$42:$F$59,Geometry!$D$42:$D$59))/1000000</f>
      </c>
      <c r="DE14" s="32">
        <f>(SUMPRODUCT(alpha*fck*(1-(1-((($AD14+$AE14*Mesh_Y+$AF14*Mesh_X))*(($AD14+$AE14*Mesh_Y+$AF14*Mesh_X)&gt;0)*(($AD14+$AE14*Mesh_Y+$AF14*Mesh_X)&lt;eco)+eco*(($AD14+$AE14*Mesh_Y+$AF14*Mesh_X)&gt;=eco))/eco)^n)*((($AD14+$AE14*Mesh_Y+$AF14*Mesh_X))&gt;0),Mesh_A,Mesh_X)+SUMPRODUCT((Es*(($AD14+$AE14*Geometry!$E$42:$E$59+$AF14*Geometry!$D$42:$D$59))*(ABS(Es*(($AD14+$AE14*Geometry!$E$42:$E$59+$AF14*Geometry!$D$42:$D$59)))&lt;=fy)+fy*(Es*(($AD14+$AE14*Geometry!$E$42:$E$59+$AF14*Geometry!$D$42:$D$59))&gt;fy)-fy*(Es*(($AD14+$AE14*Geometry!$E$42:$E$59+$AF14*Geometry!$D$42:$D$59))&lt;-fy)-(alpha*fck*(1-(1-((($AD14+$AE14*Geometry!$E$42:$E$59+$AF14*Geometry!$D$42:$D$59))*(($AD14+$AE14*Geometry!$E$42:$E$59+$AF14*Geometry!$D$42:$D$59)&gt;0)*(($AD14+$AE14*Geometry!$E$42:$E$59+$AF14*Geometry!$D$42:$D$59)&lt;eco)+eco*(($AD14+$AE14*Geometry!$E$42:$E$59+$AF14*Geometry!$D$42:$D$59)&gt;=eco))/eco)^n)*((($AD14+$AE14*Geometry!$E$42:$E$59+$AF14*Geometry!$D$42:$D$59))&gt;0))),Geometry!$F$42:$F$59,Geometry!$D$42:$D$59))/1000000</f>
      </c>
      <c r="DF14" s="32">
        <f>(SUMPRODUCT(alpha*fck*(1-(1-((($AG14+$AH14*Mesh_Y+$AI14*Mesh_X))*(($AG14+$AH14*Mesh_Y+$AI14*Mesh_X)&gt;0)*(($AG14+$AH14*Mesh_Y+$AI14*Mesh_X)&lt;eco)+eco*(($AG14+$AH14*Mesh_Y+$AI14*Mesh_X)&gt;=eco))/eco)^n)*((($AG14+$AH14*Mesh_Y+$AI14*Mesh_X))&gt;0),Mesh_A,Mesh_X)+SUMPRODUCT((Es*(($AG14+$AH14*Geometry!$E$42:$E$59+$AI14*Geometry!$D$42:$D$59))*(ABS(Es*(($AG14+$AH14*Geometry!$E$42:$E$59+$AI14*Geometry!$D$42:$D$59)))&lt;=fy)+fy*(Es*(($AG14+$AH14*Geometry!$E$42:$E$59+$AI14*Geometry!$D$42:$D$59))&gt;fy)-fy*(Es*(($AG14+$AH14*Geometry!$E$42:$E$59+$AI14*Geometry!$D$42:$D$59))&lt;-fy)-(alpha*fck*(1-(1-((($AG14+$AH14*Geometry!$E$42:$E$59+$AI14*Geometry!$D$42:$D$59))*(($AG14+$AH14*Geometry!$E$42:$E$59+$AI14*Geometry!$D$42:$D$59)&gt;0)*(($AG14+$AH14*Geometry!$E$42:$E$59+$AI14*Geometry!$D$42:$D$59)&lt;eco)+eco*(($AG14+$AH14*Geometry!$E$42:$E$59+$AI14*Geometry!$D$42:$D$59)&gt;=eco))/eco)^n)*((($AG14+$AH14*Geometry!$E$42:$E$59+$AI14*Geometry!$D$42:$D$59))&gt;0))),Geometry!$F$42:$F$59,Geometry!$D$42:$D$59))/1000000</f>
      </c>
      <c r="DG14" s="32">
        <f>(SUMPRODUCT(alpha*fck*(1-(1-((($AJ14+$AK14*Mesh_Y+$AL14*Mesh_X))*(($AJ14+$AK14*Mesh_Y+$AL14*Mesh_X)&gt;0)*(($AJ14+$AK14*Mesh_Y+$AL14*Mesh_X)&lt;eco)+eco*(($AJ14+$AK14*Mesh_Y+$AL14*Mesh_X)&gt;=eco))/eco)^n)*((($AJ14+$AK14*Mesh_Y+$AL14*Mesh_X))&gt;0),Mesh_A,Mesh_X)+SUMPRODUCT((Es*(($AJ14+$AK14*Geometry!$E$42:$E$59+$AL14*Geometry!$D$42:$D$59))*(ABS(Es*(($AJ14+$AK14*Geometry!$E$42:$E$59+$AL14*Geometry!$D$42:$D$59)))&lt;=fy)+fy*(Es*(($AJ14+$AK14*Geometry!$E$42:$E$59+$AL14*Geometry!$D$42:$D$59))&gt;fy)-fy*(Es*(($AJ14+$AK14*Geometry!$E$42:$E$59+$AL14*Geometry!$D$42:$D$59))&lt;-fy)-(alpha*fck*(1-(1-((($AJ14+$AK14*Geometry!$E$42:$E$59+$AL14*Geometry!$D$42:$D$59))*(($AJ14+$AK14*Geometry!$E$42:$E$59+$AL14*Geometry!$D$42:$D$59)&gt;0)*(($AJ14+$AK14*Geometry!$E$42:$E$59+$AL14*Geometry!$D$42:$D$59)&lt;eco)+eco*(($AJ14+$AK14*Geometry!$E$42:$E$59+$AL14*Geometry!$D$42:$D$59)&gt;=eco))/eco)^n)*((($AJ14+$AK14*Geometry!$E$42:$E$59+$AL14*Geometry!$D$42:$D$59))&gt;0))),Geometry!$F$42:$F$59,Geometry!$D$42:$D$59))/1000000</f>
      </c>
      <c r="DH14" s="32">
        <f>(SUMPRODUCT(alpha*fck*(1-(1-((($AM14+$AN14*Mesh_Y+$AO14*Mesh_X))*(($AM14+$AN14*Mesh_Y+$AO14*Mesh_X)&gt;0)*(($AM14+$AN14*Mesh_Y+$AO14*Mesh_X)&lt;eco)+eco*(($AM14+$AN14*Mesh_Y+$AO14*Mesh_X)&gt;=eco))/eco)^n)*((($AM14+$AN14*Mesh_Y+$AO14*Mesh_X))&gt;0),Mesh_A,Mesh_X)+SUMPRODUCT((Es*(($AM14+$AN14*Geometry!$E$42:$E$59+$AO14*Geometry!$D$42:$D$59))*(ABS(Es*(($AM14+$AN14*Geometry!$E$42:$E$59+$AO14*Geometry!$D$42:$D$59)))&lt;=fy)+fy*(Es*(($AM14+$AN14*Geometry!$E$42:$E$59+$AO14*Geometry!$D$42:$D$59))&gt;fy)-fy*(Es*(($AM14+$AN14*Geometry!$E$42:$E$59+$AO14*Geometry!$D$42:$D$59))&lt;-fy)-(alpha*fck*(1-(1-((($AM14+$AN14*Geometry!$E$42:$E$59+$AO14*Geometry!$D$42:$D$59))*(($AM14+$AN14*Geometry!$E$42:$E$59+$AO14*Geometry!$D$42:$D$59)&gt;0)*(($AM14+$AN14*Geometry!$E$42:$E$59+$AO14*Geometry!$D$42:$D$59)&lt;eco)+eco*(($AM14+$AN14*Geometry!$E$42:$E$59+$AO14*Geometry!$D$42:$D$59)&gt;=eco))/eco)^n)*((($AM14+$AN14*Geometry!$E$42:$E$59+$AO14*Geometry!$D$42:$D$59))&gt;0))),Geometry!$F$42:$F$59,Geometry!$D$42:$D$59))/1000000</f>
      </c>
      <c r="DI14" s="32">
        <f>(SUMPRODUCT(alpha*fck*(1-(1-((($AP14+$AQ14*Mesh_Y+$AR14*Mesh_X))*(($AP14+$AQ14*Mesh_Y+$AR14*Mesh_X)&gt;0)*(($AP14+$AQ14*Mesh_Y+$AR14*Mesh_X)&lt;eco)+eco*(($AP14+$AQ14*Mesh_Y+$AR14*Mesh_X)&gt;=eco))/eco)^n)*((($AP14+$AQ14*Mesh_Y+$AR14*Mesh_X))&gt;0),Mesh_A,Mesh_X)+SUMPRODUCT((Es*(($AP14+$AQ14*Geometry!$E$42:$E$59+$AR14*Geometry!$D$42:$D$59))*(ABS(Es*(($AP14+$AQ14*Geometry!$E$42:$E$59+$AR14*Geometry!$D$42:$D$59)))&lt;=fy)+fy*(Es*(($AP14+$AQ14*Geometry!$E$42:$E$59+$AR14*Geometry!$D$42:$D$59))&gt;fy)-fy*(Es*(($AP14+$AQ14*Geometry!$E$42:$E$59+$AR14*Geometry!$D$42:$D$59))&lt;-fy)-(alpha*fck*(1-(1-((($AP14+$AQ14*Geometry!$E$42:$E$59+$AR14*Geometry!$D$42:$D$59))*(($AP14+$AQ14*Geometry!$E$42:$E$59+$AR14*Geometry!$D$42:$D$59)&gt;0)*(($AP14+$AQ14*Geometry!$E$42:$E$59+$AR14*Geometry!$D$42:$D$59)&lt;eco)+eco*(($AP14+$AQ14*Geometry!$E$42:$E$59+$AR14*Geometry!$D$42:$D$59)&gt;=eco))/eco)^n)*((($AP14+$AQ14*Geometry!$E$42:$E$59+$AR14*Geometry!$D$42:$D$59))&gt;0))),Geometry!$F$42:$F$59,Geometry!$D$42:$D$59))/1000000</f>
      </c>
      <c r="DJ14" s="32">
        <f>(SUMPRODUCT(alpha*fck*(1-(1-((($AS14+$AT14*Mesh_Y+$AU14*Mesh_X))*(($AS14+$AT14*Mesh_Y+$AU14*Mesh_X)&gt;0)*(($AS14+$AT14*Mesh_Y+$AU14*Mesh_X)&lt;eco)+eco*(($AS14+$AT14*Mesh_Y+$AU14*Mesh_X)&gt;=eco))/eco)^n)*((($AS14+$AT14*Mesh_Y+$AU14*Mesh_X))&gt;0),Mesh_A,Mesh_X)+SUMPRODUCT((Es*(($AS14+$AT14*Geometry!$E$42:$E$59+$AU14*Geometry!$D$42:$D$59))*(ABS(Es*(($AS14+$AT14*Geometry!$E$42:$E$59+$AU14*Geometry!$D$42:$D$59)))&lt;=fy)+fy*(Es*(($AS14+$AT14*Geometry!$E$42:$E$59+$AU14*Geometry!$D$42:$D$59))&gt;fy)-fy*(Es*(($AS14+$AT14*Geometry!$E$42:$E$59+$AU14*Geometry!$D$42:$D$59))&lt;-fy)-(alpha*fck*(1-(1-((($AS14+$AT14*Geometry!$E$42:$E$59+$AU14*Geometry!$D$42:$D$59))*(($AS14+$AT14*Geometry!$E$42:$E$59+$AU14*Geometry!$D$42:$D$59)&gt;0)*(($AS14+$AT14*Geometry!$E$42:$E$59+$AU14*Geometry!$D$42:$D$59)&lt;eco)+eco*(($AS14+$AT14*Geometry!$E$42:$E$59+$AU14*Geometry!$D$42:$D$59)&gt;=eco))/eco)^n)*((($AS14+$AT14*Geometry!$E$42:$E$59+$AU14*Geometry!$D$42:$D$59))&gt;0))),Geometry!$F$42:$F$59,Geometry!$D$42:$D$59))/1000000</f>
      </c>
      <c r="DK14" s="32">
        <f>(SUMPRODUCT(alpha*fck*(1-(1-((($AV14+$AW14*Mesh_Y+$AX14*Mesh_X))*(($AV14+$AW14*Mesh_Y+$AX14*Mesh_X)&gt;0)*(($AV14+$AW14*Mesh_Y+$AX14*Mesh_X)&lt;eco)+eco*(($AV14+$AW14*Mesh_Y+$AX14*Mesh_X)&gt;=eco))/eco)^n)*((($AV14+$AW14*Mesh_Y+$AX14*Mesh_X))&gt;0),Mesh_A,Mesh_X)+SUMPRODUCT((Es*(($AV14+$AW14*Geometry!$E$42:$E$59+$AX14*Geometry!$D$42:$D$59))*(ABS(Es*(($AV14+$AW14*Geometry!$E$42:$E$59+$AX14*Geometry!$D$42:$D$59)))&lt;=fy)+fy*(Es*(($AV14+$AW14*Geometry!$E$42:$E$59+$AX14*Geometry!$D$42:$D$59))&gt;fy)-fy*(Es*(($AV14+$AW14*Geometry!$E$42:$E$59+$AX14*Geometry!$D$42:$D$59))&lt;-fy)-(alpha*fck*(1-(1-((($AV14+$AW14*Geometry!$E$42:$E$59+$AX14*Geometry!$D$42:$D$59))*(($AV14+$AW14*Geometry!$E$42:$E$59+$AX14*Geometry!$D$42:$D$59)&gt;0)*(($AV14+$AW14*Geometry!$E$42:$E$59+$AX14*Geometry!$D$42:$D$59)&lt;eco)+eco*(($AV14+$AW14*Geometry!$E$42:$E$59+$AX14*Geometry!$D$42:$D$59)&gt;=eco))/eco)^n)*((($AV14+$AW14*Geometry!$E$42:$E$59+$AX14*Geometry!$D$42:$D$59))&gt;0))),Geometry!$F$42:$F$59,Geometry!$D$42:$D$59))/1000000</f>
      </c>
      <c r="DL14" s="32">
        <f>(SUMPRODUCT(alpha*fck*(1-(1-((($AY14+$AZ14*Mesh_Y+$BA14*Mesh_X))*(($AY14+$AZ14*Mesh_Y+$BA14*Mesh_X)&gt;0)*(($AY14+$AZ14*Mesh_Y+$BA14*Mesh_X)&lt;eco)+eco*(($AY14+$AZ14*Mesh_Y+$BA14*Mesh_X)&gt;=eco))/eco)^n)*((($AY14+$AZ14*Mesh_Y+$BA14*Mesh_X))&gt;0),Mesh_A,Mesh_X)+SUMPRODUCT((Es*(($AY14+$AZ14*Geometry!$E$42:$E$59+$BA14*Geometry!$D$42:$D$59))*(ABS(Es*(($AY14+$AZ14*Geometry!$E$42:$E$59+$BA14*Geometry!$D$42:$D$59)))&lt;=fy)+fy*(Es*(($AY14+$AZ14*Geometry!$E$42:$E$59+$BA14*Geometry!$D$42:$D$59))&gt;fy)-fy*(Es*(($AY14+$AZ14*Geometry!$E$42:$E$59+$BA14*Geometry!$D$42:$D$59))&lt;-fy)-(alpha*fck*(1-(1-((($AY14+$AZ14*Geometry!$E$42:$E$59+$BA14*Geometry!$D$42:$D$59))*(($AY14+$AZ14*Geometry!$E$42:$E$59+$BA14*Geometry!$D$42:$D$59)&gt;0)*(($AY14+$AZ14*Geometry!$E$42:$E$59+$BA14*Geometry!$D$42:$D$59)&lt;eco)+eco*(($AY14+$AZ14*Geometry!$E$42:$E$59+$BA14*Geometry!$D$42:$D$59)&gt;=eco))/eco)^n)*((($AY14+$AZ14*Geometry!$E$42:$E$59+$BA14*Geometry!$D$42:$D$59))&gt;0))),Geometry!$F$42:$F$59,Geometry!$D$42:$D$59))/1000000</f>
      </c>
      <c r="DM14" s="32">
        <f>(SUMPRODUCT(alpha*fck*(1-(1-((($BB14+$BC14*Mesh_Y+$BD14*Mesh_X))*(($BB14+$BC14*Mesh_Y+$BD14*Mesh_X)&gt;0)*(($BB14+$BC14*Mesh_Y+$BD14*Mesh_X)&lt;eco)+eco*(($BB14+$BC14*Mesh_Y+$BD14*Mesh_X)&gt;=eco))/eco)^n)*((($BB14+$BC14*Mesh_Y+$BD14*Mesh_X))&gt;0),Mesh_A,Mesh_X)+SUMPRODUCT((Es*(($BB14+$BC14*Geometry!$E$42:$E$59+$BD14*Geometry!$D$42:$D$59))*(ABS(Es*(($BB14+$BC14*Geometry!$E$42:$E$59+$BD14*Geometry!$D$42:$D$59)))&lt;=fy)+fy*(Es*(($BB14+$BC14*Geometry!$E$42:$E$59+$BD14*Geometry!$D$42:$D$59))&gt;fy)-fy*(Es*(($BB14+$BC14*Geometry!$E$42:$E$59+$BD14*Geometry!$D$42:$D$59))&lt;-fy)-(alpha*fck*(1-(1-((($BB14+$BC14*Geometry!$E$42:$E$59+$BD14*Geometry!$D$42:$D$59))*(($BB14+$BC14*Geometry!$E$42:$E$59+$BD14*Geometry!$D$42:$D$59)&gt;0)*(($BB14+$BC14*Geometry!$E$42:$E$59+$BD14*Geometry!$D$42:$D$59)&lt;eco)+eco*(($BB14+$BC14*Geometry!$E$42:$E$59+$BD14*Geometry!$D$42:$D$59)&gt;=eco))/eco)^n)*((($BB14+$BC14*Geometry!$E$42:$E$59+$BD14*Geometry!$D$42:$D$59))&gt;0))),Geometry!$F$42:$F$59,Geometry!$D$42:$D$59))/1000000</f>
      </c>
      <c r="DN14" s="32">
        <f>(SUMPRODUCT(alpha*fck*(1-(1-((($BE14+$BF14*Mesh_Y+$BG14*Mesh_X))*(($BE14+$BF14*Mesh_Y+$BG14*Mesh_X)&gt;0)*(($BE14+$BF14*Mesh_Y+$BG14*Mesh_X)&lt;eco)+eco*(($BE14+$BF14*Mesh_Y+$BG14*Mesh_X)&gt;=eco))/eco)^n)*((($BE14+$BF14*Mesh_Y+$BG14*Mesh_X))&gt;0),Mesh_A,Mesh_X)+SUMPRODUCT((Es*(($BE14+$BF14*Geometry!$E$42:$E$59+$BG14*Geometry!$D$42:$D$59))*(ABS(Es*(($BE14+$BF14*Geometry!$E$42:$E$59+$BG14*Geometry!$D$42:$D$59)))&lt;=fy)+fy*(Es*(($BE14+$BF14*Geometry!$E$42:$E$59+$BG14*Geometry!$D$42:$D$59))&gt;fy)-fy*(Es*(($BE14+$BF14*Geometry!$E$42:$E$59+$BG14*Geometry!$D$42:$D$59))&lt;-fy)-(alpha*fck*(1-(1-((($BE14+$BF14*Geometry!$E$42:$E$59+$BG14*Geometry!$D$42:$D$59))*(($BE14+$BF14*Geometry!$E$42:$E$59+$BG14*Geometry!$D$42:$D$59)&gt;0)*(($BE14+$BF14*Geometry!$E$42:$E$59+$BG14*Geometry!$D$42:$D$59)&lt;eco)+eco*(($BE14+$BF14*Geometry!$E$42:$E$59+$BG14*Geometry!$D$42:$D$59)&gt;=eco))/eco)^n)*((($BE14+$BF14*Geometry!$E$42:$E$59+$BG14*Geometry!$D$42:$D$59))&gt;0))),Geometry!$F$42:$F$59,Geometry!$D$42:$D$59))/1000000</f>
      </c>
      <c r="DO14" s="32">
        <f>(SUMPRODUCT(alpha*fck*(1-(1-((($BH14+$BI14*Mesh_Y+$BJ14*Mesh_X))*(($BH14+$BI14*Mesh_Y+$BJ14*Mesh_X)&gt;0)*(($BH14+$BI14*Mesh_Y+$BJ14*Mesh_X)&lt;eco)+eco*(($BH14+$BI14*Mesh_Y+$BJ14*Mesh_X)&gt;=eco))/eco)^n)*((($BH14+$BI14*Mesh_Y+$BJ14*Mesh_X))&gt;0),Mesh_A,Mesh_X)+SUMPRODUCT((Es*(($BH14+$BI14*Geometry!$E$42:$E$59+$BJ14*Geometry!$D$42:$D$59))*(ABS(Es*(($BH14+$BI14*Geometry!$E$42:$E$59+$BJ14*Geometry!$D$42:$D$59)))&lt;=fy)+fy*(Es*(($BH14+$BI14*Geometry!$E$42:$E$59+$BJ14*Geometry!$D$42:$D$59))&gt;fy)-fy*(Es*(($BH14+$BI14*Geometry!$E$42:$E$59+$BJ14*Geometry!$D$42:$D$59))&lt;-fy)-(alpha*fck*(1-(1-((($BH14+$BI14*Geometry!$E$42:$E$59+$BJ14*Geometry!$D$42:$D$59))*(($BH14+$BI14*Geometry!$E$42:$E$59+$BJ14*Geometry!$D$42:$D$59)&gt;0)*(($BH14+$BI14*Geometry!$E$42:$E$59+$BJ14*Geometry!$D$42:$D$59)&lt;eco)+eco*(($BH14+$BI14*Geometry!$E$42:$E$59+$BJ14*Geometry!$D$42:$D$59)&gt;=eco))/eco)^n)*((($BH14+$BI14*Geometry!$E$42:$E$59+$BJ14*Geometry!$D$42:$D$59))&gt;0))),Geometry!$F$42:$F$59,Geometry!$D$42:$D$59))/1000000</f>
      </c>
      <c r="DP14" s="45">
        <f>MAX(1,MIN(18,SUMPRODUCT(--($BK14:$CC14&gt;=Pu))))</f>
      </c>
      <c r="DQ14" s="46">
        <f>(Pu-INDEX($BK14:$CC14,1,$DP14))/(INDEX($BK14:$CC14,1,$DP14+1)-INDEX($BK14:$CC14,1,$DP14))</f>
      </c>
      <c r="DR14" s="33">
        <f>INDEX($CD14:$CV14,1,$DP14)+$DQ14*(INDEX($CD14:$CV14,1,$DP14+1)-INDEX($CD14:$CV14,1,$DP14))</f>
      </c>
      <c r="DS14" s="33">
        <f>INDEX($CW14:$DO14,1,$DP14)+$DQ14*(INDEX($CW14:$DO14,1,$DP14+1)-INDEX($CW14:$DO14,1,$DP14))</f>
      </c>
      <c r="DT14" s="33">
        <f>SQRT(DR14^2+DS14^2)</f>
      </c>
    </row>
    <row r="15" spans="1:124" x14ac:dyDescent="0.25">
      <c r="A15">
        <v>8</v>
      </c>
      <c r="B15" s="43">
        <v>105</v>
      </c>
      <c r="C15" s="12">
        <f>MAX(SUMPRODUCT(MAX((Geometry!$E$6:$E$13)*COS(RADIANS($B15))+(Geometry!$D$6:$D$13)*SIN(RADIANS($B15)))))</f>
      </c>
      <c r="D15" s="12">
        <f>SUMPRODUCT(MIN((Geometry!$E$42:$E$59)*COS(RADIANS($B15))+(Geometry!$D$42:$D$59)*SIN(RADIANS($B15))))</f>
      </c>
      <c r="E15" s="12">
        <f>C15-D15</f>
      </c>
      <c r="F15" s="30">
        <f>ecu</f>
      </c>
      <c r="G15" s="44">
        <f>0*COS(RADIANS($B15))</f>
      </c>
      <c r="H15" s="44">
        <f>0*SIN(RADIANS($B15))</f>
      </c>
      <c r="I15" s="30">
        <f>ecu-((ecu-0)/($C15-($C15-PM_Angle!$C$8*$E15)))*$C15</f>
      </c>
      <c r="J15" s="44">
        <f>((ecu-0)/($C15-($C15-PM_Angle!$C$8*$E15)))*COS(RADIANS($B15))</f>
      </c>
      <c r="K15" s="44">
        <f>((ecu-0)/($C15-($C15-PM_Angle!$C$8*$E15)))*SIN(RADIANS($B15))</f>
      </c>
      <c r="L15" s="30">
        <f>ecu-((ecu-0)/($C15-($C15-PM_Angle!$C$9*$E15)))*$C15</f>
      </c>
      <c r="M15" s="44">
        <f>((ecu-0)/($C15-($C15-PM_Angle!$C$9*$E15)))*COS(RADIANS($B15))</f>
      </c>
      <c r="N15" s="44">
        <f>((ecu-0)/($C15-($C15-PM_Angle!$C$9*$E15)))*SIN(RADIANS($B15))</f>
      </c>
      <c r="O15" s="30">
        <f>ecu-((ecu-0)/($C15-($C15-PM_Angle!$C$10*$E15)))*$C15</f>
      </c>
      <c r="P15" s="44">
        <f>((ecu-0)/($C15-($C15-PM_Angle!$C$10*$E15)))*COS(RADIANS($B15))</f>
      </c>
      <c r="Q15" s="44">
        <f>((ecu-0)/($C15-($C15-PM_Angle!$C$10*$E15)))*SIN(RADIANS($B15))</f>
      </c>
      <c r="R15" s="30">
        <f>ecu-((ecu-0)/($C15-($C15-PM_Angle!$C$11*$E15)))*$C15</f>
      </c>
      <c r="S15" s="44">
        <f>((ecu-0)/($C15-($C15-PM_Angle!$C$11*$E15)))*COS(RADIANS($B15))</f>
      </c>
      <c r="T15" s="44">
        <f>((ecu-0)/($C15-($C15-PM_Angle!$C$11*$E15)))*SIN(RADIANS($B15))</f>
      </c>
      <c r="U15" s="30">
        <f>ecu-((ecu-(-PM_Angle!$E$12))/($C15-$D15))*$C15</f>
      </c>
      <c r="V15" s="44">
        <f>((ecu-(-PM_Angle!$E$12))/($C15-$D15))*COS(RADIANS($B15))</f>
      </c>
      <c r="W15" s="44">
        <f>((ecu-(-PM_Angle!$E$12))/($C15-$D15))*SIN(RADIANS($B15))</f>
      </c>
      <c r="X15" s="30">
        <f>ecu-((ecu-(-PM_Angle!$D$13*fy/Es))/($C15-$D15))*$C15</f>
      </c>
      <c r="Y15" s="44">
        <f>((ecu-(-PM_Angle!$D$13*fy/Es))/($C15-$D15))*COS(RADIANS($B15))</f>
      </c>
      <c r="Z15" s="44">
        <f>((ecu-(-PM_Angle!$D$13*fy/Es))/($C15-$D15))*SIN(RADIANS($B15))</f>
      </c>
      <c r="AA15" s="30">
        <f>ecu-((ecu-(-PM_Angle!$D$14*fy/Es))/($C15-$D15))*$C15</f>
      </c>
      <c r="AB15" s="44">
        <f>((ecu-(-PM_Angle!$D$14*fy/Es))/($C15-$D15))*COS(RADIANS($B15))</f>
      </c>
      <c r="AC15" s="44">
        <f>((ecu-(-PM_Angle!$D$14*fy/Es))/($C15-$D15))*SIN(RADIANS($B15))</f>
      </c>
      <c r="AD15" s="30">
        <f>ecu-((ecu-(-PM_Angle!$D$15*fy/Es))/($C15-$D15))*$C15</f>
      </c>
      <c r="AE15" s="44">
        <f>((ecu-(-PM_Angle!$D$15*fy/Es))/($C15-$D15))*COS(RADIANS($B15))</f>
      </c>
      <c r="AF15" s="44">
        <f>((ecu-(-PM_Angle!$D$15*fy/Es))/($C15-$D15))*SIN(RADIANS($B15))</f>
      </c>
      <c r="AG15" s="30">
        <f>ecu-((ecu-(-PM_Angle!$D$16*fy/Es))/($C15-$D15))*$C15</f>
      </c>
      <c r="AH15" s="44">
        <f>((ecu-(-PM_Angle!$D$16*fy/Es))/($C15-$D15))*COS(RADIANS($B15))</f>
      </c>
      <c r="AI15" s="44">
        <f>((ecu-(-PM_Angle!$D$16*fy/Es))/($C15-$D15))*SIN(RADIANS($B15))</f>
      </c>
      <c r="AJ15" s="30">
        <f>ecu-((ecu-(-PM_Angle!$E$17))/($C15-$D15))*$C15</f>
      </c>
      <c r="AK15" s="44">
        <f>((ecu-(-PM_Angle!$E$17))/($C15-$D15))*COS(RADIANS($B15))</f>
      </c>
      <c r="AL15" s="44">
        <f>((ecu-(-PM_Angle!$E$17))/($C15-$D15))*SIN(RADIANS($B15))</f>
      </c>
      <c r="AM15" s="30">
        <f>ecu-((ecu-(-PM_Angle!$E$18))/($C15-$D15))*$C15</f>
      </c>
      <c r="AN15" s="44">
        <f>((ecu-(-PM_Angle!$E$18))/($C15-$D15))*COS(RADIANS($B15))</f>
      </c>
      <c r="AO15" s="44">
        <f>((ecu-(-PM_Angle!$E$18))/($C15-$D15))*SIN(RADIANS($B15))</f>
      </c>
      <c r="AP15" s="30">
        <f>ecu-((ecu-(-PM_Angle!$E$19))/($C15-$D15))*$C15</f>
      </c>
      <c r="AQ15" s="44">
        <f>((ecu-(-PM_Angle!$E$19))/($C15-$D15))*COS(RADIANS($B15))</f>
      </c>
      <c r="AR15" s="44">
        <f>((ecu-(-PM_Angle!$E$19))/($C15-$D15))*SIN(RADIANS($B15))</f>
      </c>
      <c r="AS15" s="30">
        <f>ecu-((ecu-(-PM_Angle!$E$20))/($C15-$D15))*$C15</f>
      </c>
      <c r="AT15" s="44">
        <f>((ecu-(-PM_Angle!$E$20))/($C15-$D15))*COS(RADIANS($B15))</f>
      </c>
      <c r="AU15" s="44">
        <f>((ecu-(-PM_Angle!$E$20))/($C15-$D15))*SIN(RADIANS($B15))</f>
      </c>
      <c r="AV15" s="30">
        <f>ecu-((ecu-(-PM_Angle!$E$21))/($C15-$D15))*$C15</f>
      </c>
      <c r="AW15" s="44">
        <f>((ecu-(-PM_Angle!$E$21))/($C15-$D15))*COS(RADIANS($B15))</f>
      </c>
      <c r="AX15" s="44">
        <f>((ecu-(-PM_Angle!$E$21))/($C15-$D15))*SIN(RADIANS($B15))</f>
      </c>
      <c r="AY15" s="30">
        <f>ecu-((ecu-(-PM_Angle!$E$22))/($C15-$D15))*$C15</f>
      </c>
      <c r="AZ15" s="44">
        <f>((ecu-(-PM_Angle!$E$22))/($C15-$D15))*COS(RADIANS($B15))</f>
      </c>
      <c r="BA15" s="44">
        <f>((ecu-(-PM_Angle!$E$22))/($C15-$D15))*SIN(RADIANS($B15))</f>
      </c>
      <c r="BB15" s="30">
        <f>ecu-((ecu-(-PM_Angle!$E$23))/($C15-$D15))*$C15</f>
      </c>
      <c r="BC15" s="44">
        <f>((ecu-(-PM_Angle!$E$23))/($C15-$D15))*COS(RADIANS($B15))</f>
      </c>
      <c r="BD15" s="44">
        <f>((ecu-(-PM_Angle!$E$23))/($C15-$D15))*SIN(RADIANS($B15))</f>
      </c>
      <c r="BE15" s="30">
        <f>ecu-((ecu-(-PM_Angle!$E$24))/($C15-$D15))*$C15</f>
      </c>
      <c r="BF15" s="44">
        <f>((ecu-(-PM_Angle!$E$24))/($C15-$D15))*COS(RADIANS($B15))</f>
      </c>
      <c r="BG15" s="44">
        <f>((ecu-(-PM_Angle!$E$24))/($C15-$D15))*SIN(RADIANS($B15))</f>
      </c>
      <c r="BH15" s="30">
        <f>etu</f>
      </c>
      <c r="BI15" s="44">
        <f>0*COS(RADIANS($B15))</f>
      </c>
      <c r="BJ15" s="44">
        <f>0*SIN(RADIANS($B15))</f>
      </c>
      <c r="BK15" s="32">
        <f>(SUMPRODUCT(alpha*fck*(1-(1-((($F15+$G15*Mesh_Y+$H15*Mesh_X))*(($F15+$G15*Mesh_Y+$H15*Mesh_X)&gt;0)*(($F15+$G15*Mesh_Y+$H15*Mesh_X)&lt;eco)+eco*(($F15+$G15*Mesh_Y+$H15*Mesh_X)&gt;=eco))/eco)^n)*((($F15+$G15*Mesh_Y+$H15*Mesh_X))&gt;0),Mesh_A)+SUMPRODUCT((Es*(($F15+$G15*Geometry!$E$42:$E$59+$H15*Geometry!$D$42:$D$59))*(ABS(Es*(($F15+$G15*Geometry!$E$42:$E$59+$H15*Geometry!$D$42:$D$59)))&lt;=fy)+fy*(Es*(($F15+$G15*Geometry!$E$42:$E$59+$H15*Geometry!$D$42:$D$59))&gt;fy)-fy*(Es*(($F15+$G15*Geometry!$E$42:$E$59+$H15*Geometry!$D$42:$D$59))&lt;-fy)-(alpha*fck*(1-(1-((($F15+$G15*Geometry!$E$42:$E$59+$H15*Geometry!$D$42:$D$59))*(($F15+$G15*Geometry!$E$42:$E$59+$H15*Geometry!$D$42:$D$59)&gt;0)*(($F15+$G15*Geometry!$E$42:$E$59+$H15*Geometry!$D$42:$D$59)&lt;eco)+eco*(($F15+$G15*Geometry!$E$42:$E$59+$H15*Geometry!$D$42:$D$59)&gt;=eco))/eco)^n)*((($F15+$G15*Geometry!$E$42:$E$59+$H15*Geometry!$D$42:$D$59))&gt;0))),Geometry!$F$42:$F$59))/1000</f>
      </c>
      <c r="BL15" s="32">
        <f>(SUMPRODUCT(alpha*fck*(1-(1-((($I15+$J15*Mesh_Y+$K15*Mesh_X))*(($I15+$J15*Mesh_Y+$K15*Mesh_X)&gt;0)*(($I15+$J15*Mesh_Y+$K15*Mesh_X)&lt;eco)+eco*(($I15+$J15*Mesh_Y+$K15*Mesh_X)&gt;=eco))/eco)^n)*((($I15+$J15*Mesh_Y+$K15*Mesh_X))&gt;0),Mesh_A)+SUMPRODUCT((Es*(($I15+$J15*Geometry!$E$42:$E$59+$K15*Geometry!$D$42:$D$59))*(ABS(Es*(($I15+$J15*Geometry!$E$42:$E$59+$K15*Geometry!$D$42:$D$59)))&lt;=fy)+fy*(Es*(($I15+$J15*Geometry!$E$42:$E$59+$K15*Geometry!$D$42:$D$59))&gt;fy)-fy*(Es*(($I15+$J15*Geometry!$E$42:$E$59+$K15*Geometry!$D$42:$D$59))&lt;-fy)-(alpha*fck*(1-(1-((($I15+$J15*Geometry!$E$42:$E$59+$K15*Geometry!$D$42:$D$59))*(($I15+$J15*Geometry!$E$42:$E$59+$K15*Geometry!$D$42:$D$59)&gt;0)*(($I15+$J15*Geometry!$E$42:$E$59+$K15*Geometry!$D$42:$D$59)&lt;eco)+eco*(($I15+$J15*Geometry!$E$42:$E$59+$K15*Geometry!$D$42:$D$59)&gt;=eco))/eco)^n)*((($I15+$J15*Geometry!$E$42:$E$59+$K15*Geometry!$D$42:$D$59))&gt;0))),Geometry!$F$42:$F$59))/1000</f>
      </c>
      <c r="BM15" s="32">
        <f>(SUMPRODUCT(alpha*fck*(1-(1-((($L15+$M15*Mesh_Y+$N15*Mesh_X))*(($L15+$M15*Mesh_Y+$N15*Mesh_X)&gt;0)*(($L15+$M15*Mesh_Y+$N15*Mesh_X)&lt;eco)+eco*(($L15+$M15*Mesh_Y+$N15*Mesh_X)&gt;=eco))/eco)^n)*((($L15+$M15*Mesh_Y+$N15*Mesh_X))&gt;0),Mesh_A)+SUMPRODUCT((Es*(($L15+$M15*Geometry!$E$42:$E$59+$N15*Geometry!$D$42:$D$59))*(ABS(Es*(($L15+$M15*Geometry!$E$42:$E$59+$N15*Geometry!$D$42:$D$59)))&lt;=fy)+fy*(Es*(($L15+$M15*Geometry!$E$42:$E$59+$N15*Geometry!$D$42:$D$59))&gt;fy)-fy*(Es*(($L15+$M15*Geometry!$E$42:$E$59+$N15*Geometry!$D$42:$D$59))&lt;-fy)-(alpha*fck*(1-(1-((($L15+$M15*Geometry!$E$42:$E$59+$N15*Geometry!$D$42:$D$59))*(($L15+$M15*Geometry!$E$42:$E$59+$N15*Geometry!$D$42:$D$59)&gt;0)*(($L15+$M15*Geometry!$E$42:$E$59+$N15*Geometry!$D$42:$D$59)&lt;eco)+eco*(($L15+$M15*Geometry!$E$42:$E$59+$N15*Geometry!$D$42:$D$59)&gt;=eco))/eco)^n)*((($L15+$M15*Geometry!$E$42:$E$59+$N15*Geometry!$D$42:$D$59))&gt;0))),Geometry!$F$42:$F$59))/1000</f>
      </c>
      <c r="BN15" s="32">
        <f>(SUMPRODUCT(alpha*fck*(1-(1-((($O15+$P15*Mesh_Y+$Q15*Mesh_X))*(($O15+$P15*Mesh_Y+$Q15*Mesh_X)&gt;0)*(($O15+$P15*Mesh_Y+$Q15*Mesh_X)&lt;eco)+eco*(($O15+$P15*Mesh_Y+$Q15*Mesh_X)&gt;=eco))/eco)^n)*((($O15+$P15*Mesh_Y+$Q15*Mesh_X))&gt;0),Mesh_A)+SUMPRODUCT((Es*(($O15+$P15*Geometry!$E$42:$E$59+$Q15*Geometry!$D$42:$D$59))*(ABS(Es*(($O15+$P15*Geometry!$E$42:$E$59+$Q15*Geometry!$D$42:$D$59)))&lt;=fy)+fy*(Es*(($O15+$P15*Geometry!$E$42:$E$59+$Q15*Geometry!$D$42:$D$59))&gt;fy)-fy*(Es*(($O15+$P15*Geometry!$E$42:$E$59+$Q15*Geometry!$D$42:$D$59))&lt;-fy)-(alpha*fck*(1-(1-((($O15+$P15*Geometry!$E$42:$E$59+$Q15*Geometry!$D$42:$D$59))*(($O15+$P15*Geometry!$E$42:$E$59+$Q15*Geometry!$D$42:$D$59)&gt;0)*(($O15+$P15*Geometry!$E$42:$E$59+$Q15*Geometry!$D$42:$D$59)&lt;eco)+eco*(($O15+$P15*Geometry!$E$42:$E$59+$Q15*Geometry!$D$42:$D$59)&gt;=eco))/eco)^n)*((($O15+$P15*Geometry!$E$42:$E$59+$Q15*Geometry!$D$42:$D$59))&gt;0))),Geometry!$F$42:$F$59))/1000</f>
      </c>
      <c r="BO15" s="32">
        <f>(SUMPRODUCT(alpha*fck*(1-(1-((($R15+$S15*Mesh_Y+$T15*Mesh_X))*(($R15+$S15*Mesh_Y+$T15*Mesh_X)&gt;0)*(($R15+$S15*Mesh_Y+$T15*Mesh_X)&lt;eco)+eco*(($R15+$S15*Mesh_Y+$T15*Mesh_X)&gt;=eco))/eco)^n)*((($R15+$S15*Mesh_Y+$T15*Mesh_X))&gt;0),Mesh_A)+SUMPRODUCT((Es*(($R15+$S15*Geometry!$E$42:$E$59+$T15*Geometry!$D$42:$D$59))*(ABS(Es*(($R15+$S15*Geometry!$E$42:$E$59+$T15*Geometry!$D$42:$D$59)))&lt;=fy)+fy*(Es*(($R15+$S15*Geometry!$E$42:$E$59+$T15*Geometry!$D$42:$D$59))&gt;fy)-fy*(Es*(($R15+$S15*Geometry!$E$42:$E$59+$T15*Geometry!$D$42:$D$59))&lt;-fy)-(alpha*fck*(1-(1-((($R15+$S15*Geometry!$E$42:$E$59+$T15*Geometry!$D$42:$D$59))*(($R15+$S15*Geometry!$E$42:$E$59+$T15*Geometry!$D$42:$D$59)&gt;0)*(($R15+$S15*Geometry!$E$42:$E$59+$T15*Geometry!$D$42:$D$59)&lt;eco)+eco*(($R15+$S15*Geometry!$E$42:$E$59+$T15*Geometry!$D$42:$D$59)&gt;=eco))/eco)^n)*((($R15+$S15*Geometry!$E$42:$E$59+$T15*Geometry!$D$42:$D$59))&gt;0))),Geometry!$F$42:$F$59))/1000</f>
      </c>
      <c r="BP15" s="32">
        <f>(SUMPRODUCT(alpha*fck*(1-(1-((($U15+$V15*Mesh_Y+$W15*Mesh_X))*(($U15+$V15*Mesh_Y+$W15*Mesh_X)&gt;0)*(($U15+$V15*Mesh_Y+$W15*Mesh_X)&lt;eco)+eco*(($U15+$V15*Mesh_Y+$W15*Mesh_X)&gt;=eco))/eco)^n)*((($U15+$V15*Mesh_Y+$W15*Mesh_X))&gt;0),Mesh_A)+SUMPRODUCT((Es*(($U15+$V15*Geometry!$E$42:$E$59+$W15*Geometry!$D$42:$D$59))*(ABS(Es*(($U15+$V15*Geometry!$E$42:$E$59+$W15*Geometry!$D$42:$D$59)))&lt;=fy)+fy*(Es*(($U15+$V15*Geometry!$E$42:$E$59+$W15*Geometry!$D$42:$D$59))&gt;fy)-fy*(Es*(($U15+$V15*Geometry!$E$42:$E$59+$W15*Geometry!$D$42:$D$59))&lt;-fy)-(alpha*fck*(1-(1-((($U15+$V15*Geometry!$E$42:$E$59+$W15*Geometry!$D$42:$D$59))*(($U15+$V15*Geometry!$E$42:$E$59+$W15*Geometry!$D$42:$D$59)&gt;0)*(($U15+$V15*Geometry!$E$42:$E$59+$W15*Geometry!$D$42:$D$59)&lt;eco)+eco*(($U15+$V15*Geometry!$E$42:$E$59+$W15*Geometry!$D$42:$D$59)&gt;=eco))/eco)^n)*((($U15+$V15*Geometry!$E$42:$E$59+$W15*Geometry!$D$42:$D$59))&gt;0))),Geometry!$F$42:$F$59))/1000</f>
      </c>
      <c r="BQ15" s="32">
        <f>(SUMPRODUCT(alpha*fck*(1-(1-((($X15+$Y15*Mesh_Y+$Z15*Mesh_X))*(($X15+$Y15*Mesh_Y+$Z15*Mesh_X)&gt;0)*(($X15+$Y15*Mesh_Y+$Z15*Mesh_X)&lt;eco)+eco*(($X15+$Y15*Mesh_Y+$Z15*Mesh_X)&gt;=eco))/eco)^n)*((($X15+$Y15*Mesh_Y+$Z15*Mesh_X))&gt;0),Mesh_A)+SUMPRODUCT((Es*(($X15+$Y15*Geometry!$E$42:$E$59+$Z15*Geometry!$D$42:$D$59))*(ABS(Es*(($X15+$Y15*Geometry!$E$42:$E$59+$Z15*Geometry!$D$42:$D$59)))&lt;=fy)+fy*(Es*(($X15+$Y15*Geometry!$E$42:$E$59+$Z15*Geometry!$D$42:$D$59))&gt;fy)-fy*(Es*(($X15+$Y15*Geometry!$E$42:$E$59+$Z15*Geometry!$D$42:$D$59))&lt;-fy)-(alpha*fck*(1-(1-((($X15+$Y15*Geometry!$E$42:$E$59+$Z15*Geometry!$D$42:$D$59))*(($X15+$Y15*Geometry!$E$42:$E$59+$Z15*Geometry!$D$42:$D$59)&gt;0)*(($X15+$Y15*Geometry!$E$42:$E$59+$Z15*Geometry!$D$42:$D$59)&lt;eco)+eco*(($X15+$Y15*Geometry!$E$42:$E$59+$Z15*Geometry!$D$42:$D$59)&gt;=eco))/eco)^n)*((($X15+$Y15*Geometry!$E$42:$E$59+$Z15*Geometry!$D$42:$D$59))&gt;0))),Geometry!$F$42:$F$59))/1000</f>
      </c>
      <c r="BR15" s="32">
        <f>(SUMPRODUCT(alpha*fck*(1-(1-((($AA15+$AB15*Mesh_Y+$AC15*Mesh_X))*(($AA15+$AB15*Mesh_Y+$AC15*Mesh_X)&gt;0)*(($AA15+$AB15*Mesh_Y+$AC15*Mesh_X)&lt;eco)+eco*(($AA15+$AB15*Mesh_Y+$AC15*Mesh_X)&gt;=eco))/eco)^n)*((($AA15+$AB15*Mesh_Y+$AC15*Mesh_X))&gt;0),Mesh_A)+SUMPRODUCT((Es*(($AA15+$AB15*Geometry!$E$42:$E$59+$AC15*Geometry!$D$42:$D$59))*(ABS(Es*(($AA15+$AB15*Geometry!$E$42:$E$59+$AC15*Geometry!$D$42:$D$59)))&lt;=fy)+fy*(Es*(($AA15+$AB15*Geometry!$E$42:$E$59+$AC15*Geometry!$D$42:$D$59))&gt;fy)-fy*(Es*(($AA15+$AB15*Geometry!$E$42:$E$59+$AC15*Geometry!$D$42:$D$59))&lt;-fy)-(alpha*fck*(1-(1-((($AA15+$AB15*Geometry!$E$42:$E$59+$AC15*Geometry!$D$42:$D$59))*(($AA15+$AB15*Geometry!$E$42:$E$59+$AC15*Geometry!$D$42:$D$59)&gt;0)*(($AA15+$AB15*Geometry!$E$42:$E$59+$AC15*Geometry!$D$42:$D$59)&lt;eco)+eco*(($AA15+$AB15*Geometry!$E$42:$E$59+$AC15*Geometry!$D$42:$D$59)&gt;=eco))/eco)^n)*((($AA15+$AB15*Geometry!$E$42:$E$59+$AC15*Geometry!$D$42:$D$59))&gt;0))),Geometry!$F$42:$F$59))/1000</f>
      </c>
      <c r="BS15" s="32">
        <f>(SUMPRODUCT(alpha*fck*(1-(1-((($AD15+$AE15*Mesh_Y+$AF15*Mesh_X))*(($AD15+$AE15*Mesh_Y+$AF15*Mesh_X)&gt;0)*(($AD15+$AE15*Mesh_Y+$AF15*Mesh_X)&lt;eco)+eco*(($AD15+$AE15*Mesh_Y+$AF15*Mesh_X)&gt;=eco))/eco)^n)*((($AD15+$AE15*Mesh_Y+$AF15*Mesh_X))&gt;0),Mesh_A)+SUMPRODUCT((Es*(($AD15+$AE15*Geometry!$E$42:$E$59+$AF15*Geometry!$D$42:$D$59))*(ABS(Es*(($AD15+$AE15*Geometry!$E$42:$E$59+$AF15*Geometry!$D$42:$D$59)))&lt;=fy)+fy*(Es*(($AD15+$AE15*Geometry!$E$42:$E$59+$AF15*Geometry!$D$42:$D$59))&gt;fy)-fy*(Es*(($AD15+$AE15*Geometry!$E$42:$E$59+$AF15*Geometry!$D$42:$D$59))&lt;-fy)-(alpha*fck*(1-(1-((($AD15+$AE15*Geometry!$E$42:$E$59+$AF15*Geometry!$D$42:$D$59))*(($AD15+$AE15*Geometry!$E$42:$E$59+$AF15*Geometry!$D$42:$D$59)&gt;0)*(($AD15+$AE15*Geometry!$E$42:$E$59+$AF15*Geometry!$D$42:$D$59)&lt;eco)+eco*(($AD15+$AE15*Geometry!$E$42:$E$59+$AF15*Geometry!$D$42:$D$59)&gt;=eco))/eco)^n)*((($AD15+$AE15*Geometry!$E$42:$E$59+$AF15*Geometry!$D$42:$D$59))&gt;0))),Geometry!$F$42:$F$59))/1000</f>
      </c>
      <c r="BT15" s="32">
        <f>(SUMPRODUCT(alpha*fck*(1-(1-((($AG15+$AH15*Mesh_Y+$AI15*Mesh_X))*(($AG15+$AH15*Mesh_Y+$AI15*Mesh_X)&gt;0)*(($AG15+$AH15*Mesh_Y+$AI15*Mesh_X)&lt;eco)+eco*(($AG15+$AH15*Mesh_Y+$AI15*Mesh_X)&gt;=eco))/eco)^n)*((($AG15+$AH15*Mesh_Y+$AI15*Mesh_X))&gt;0),Mesh_A)+SUMPRODUCT((Es*(($AG15+$AH15*Geometry!$E$42:$E$59+$AI15*Geometry!$D$42:$D$59))*(ABS(Es*(($AG15+$AH15*Geometry!$E$42:$E$59+$AI15*Geometry!$D$42:$D$59)))&lt;=fy)+fy*(Es*(($AG15+$AH15*Geometry!$E$42:$E$59+$AI15*Geometry!$D$42:$D$59))&gt;fy)-fy*(Es*(($AG15+$AH15*Geometry!$E$42:$E$59+$AI15*Geometry!$D$42:$D$59))&lt;-fy)-(alpha*fck*(1-(1-((($AG15+$AH15*Geometry!$E$42:$E$59+$AI15*Geometry!$D$42:$D$59))*(($AG15+$AH15*Geometry!$E$42:$E$59+$AI15*Geometry!$D$42:$D$59)&gt;0)*(($AG15+$AH15*Geometry!$E$42:$E$59+$AI15*Geometry!$D$42:$D$59)&lt;eco)+eco*(($AG15+$AH15*Geometry!$E$42:$E$59+$AI15*Geometry!$D$42:$D$59)&gt;=eco))/eco)^n)*((($AG15+$AH15*Geometry!$E$42:$E$59+$AI15*Geometry!$D$42:$D$59))&gt;0))),Geometry!$F$42:$F$59))/1000</f>
      </c>
      <c r="BU15" s="32">
        <f>(SUMPRODUCT(alpha*fck*(1-(1-((($AJ15+$AK15*Mesh_Y+$AL15*Mesh_X))*(($AJ15+$AK15*Mesh_Y+$AL15*Mesh_X)&gt;0)*(($AJ15+$AK15*Mesh_Y+$AL15*Mesh_X)&lt;eco)+eco*(($AJ15+$AK15*Mesh_Y+$AL15*Mesh_X)&gt;=eco))/eco)^n)*((($AJ15+$AK15*Mesh_Y+$AL15*Mesh_X))&gt;0),Mesh_A)+SUMPRODUCT((Es*(($AJ15+$AK15*Geometry!$E$42:$E$59+$AL15*Geometry!$D$42:$D$59))*(ABS(Es*(($AJ15+$AK15*Geometry!$E$42:$E$59+$AL15*Geometry!$D$42:$D$59)))&lt;=fy)+fy*(Es*(($AJ15+$AK15*Geometry!$E$42:$E$59+$AL15*Geometry!$D$42:$D$59))&gt;fy)-fy*(Es*(($AJ15+$AK15*Geometry!$E$42:$E$59+$AL15*Geometry!$D$42:$D$59))&lt;-fy)-(alpha*fck*(1-(1-((($AJ15+$AK15*Geometry!$E$42:$E$59+$AL15*Geometry!$D$42:$D$59))*(($AJ15+$AK15*Geometry!$E$42:$E$59+$AL15*Geometry!$D$42:$D$59)&gt;0)*(($AJ15+$AK15*Geometry!$E$42:$E$59+$AL15*Geometry!$D$42:$D$59)&lt;eco)+eco*(($AJ15+$AK15*Geometry!$E$42:$E$59+$AL15*Geometry!$D$42:$D$59)&gt;=eco))/eco)^n)*((($AJ15+$AK15*Geometry!$E$42:$E$59+$AL15*Geometry!$D$42:$D$59))&gt;0))),Geometry!$F$42:$F$59))/1000</f>
      </c>
      <c r="BV15" s="32">
        <f>(SUMPRODUCT(alpha*fck*(1-(1-((($AM15+$AN15*Mesh_Y+$AO15*Mesh_X))*(($AM15+$AN15*Mesh_Y+$AO15*Mesh_X)&gt;0)*(($AM15+$AN15*Mesh_Y+$AO15*Mesh_X)&lt;eco)+eco*(($AM15+$AN15*Mesh_Y+$AO15*Mesh_X)&gt;=eco))/eco)^n)*((($AM15+$AN15*Mesh_Y+$AO15*Mesh_X))&gt;0),Mesh_A)+SUMPRODUCT((Es*(($AM15+$AN15*Geometry!$E$42:$E$59+$AO15*Geometry!$D$42:$D$59))*(ABS(Es*(($AM15+$AN15*Geometry!$E$42:$E$59+$AO15*Geometry!$D$42:$D$59)))&lt;=fy)+fy*(Es*(($AM15+$AN15*Geometry!$E$42:$E$59+$AO15*Geometry!$D$42:$D$59))&gt;fy)-fy*(Es*(($AM15+$AN15*Geometry!$E$42:$E$59+$AO15*Geometry!$D$42:$D$59))&lt;-fy)-(alpha*fck*(1-(1-((($AM15+$AN15*Geometry!$E$42:$E$59+$AO15*Geometry!$D$42:$D$59))*(($AM15+$AN15*Geometry!$E$42:$E$59+$AO15*Geometry!$D$42:$D$59)&gt;0)*(($AM15+$AN15*Geometry!$E$42:$E$59+$AO15*Geometry!$D$42:$D$59)&lt;eco)+eco*(($AM15+$AN15*Geometry!$E$42:$E$59+$AO15*Geometry!$D$42:$D$59)&gt;=eco))/eco)^n)*((($AM15+$AN15*Geometry!$E$42:$E$59+$AO15*Geometry!$D$42:$D$59))&gt;0))),Geometry!$F$42:$F$59))/1000</f>
      </c>
      <c r="BW15" s="32">
        <f>(SUMPRODUCT(alpha*fck*(1-(1-((($AP15+$AQ15*Mesh_Y+$AR15*Mesh_X))*(($AP15+$AQ15*Mesh_Y+$AR15*Mesh_X)&gt;0)*(($AP15+$AQ15*Mesh_Y+$AR15*Mesh_X)&lt;eco)+eco*(($AP15+$AQ15*Mesh_Y+$AR15*Mesh_X)&gt;=eco))/eco)^n)*((($AP15+$AQ15*Mesh_Y+$AR15*Mesh_X))&gt;0),Mesh_A)+SUMPRODUCT((Es*(($AP15+$AQ15*Geometry!$E$42:$E$59+$AR15*Geometry!$D$42:$D$59))*(ABS(Es*(($AP15+$AQ15*Geometry!$E$42:$E$59+$AR15*Geometry!$D$42:$D$59)))&lt;=fy)+fy*(Es*(($AP15+$AQ15*Geometry!$E$42:$E$59+$AR15*Geometry!$D$42:$D$59))&gt;fy)-fy*(Es*(($AP15+$AQ15*Geometry!$E$42:$E$59+$AR15*Geometry!$D$42:$D$59))&lt;-fy)-(alpha*fck*(1-(1-((($AP15+$AQ15*Geometry!$E$42:$E$59+$AR15*Geometry!$D$42:$D$59))*(($AP15+$AQ15*Geometry!$E$42:$E$59+$AR15*Geometry!$D$42:$D$59)&gt;0)*(($AP15+$AQ15*Geometry!$E$42:$E$59+$AR15*Geometry!$D$42:$D$59)&lt;eco)+eco*(($AP15+$AQ15*Geometry!$E$42:$E$59+$AR15*Geometry!$D$42:$D$59)&gt;=eco))/eco)^n)*((($AP15+$AQ15*Geometry!$E$42:$E$59+$AR15*Geometry!$D$42:$D$59))&gt;0))),Geometry!$F$42:$F$59))/1000</f>
      </c>
      <c r="BX15" s="32">
        <f>(SUMPRODUCT(alpha*fck*(1-(1-((($AS15+$AT15*Mesh_Y+$AU15*Mesh_X))*(($AS15+$AT15*Mesh_Y+$AU15*Mesh_X)&gt;0)*(($AS15+$AT15*Mesh_Y+$AU15*Mesh_X)&lt;eco)+eco*(($AS15+$AT15*Mesh_Y+$AU15*Mesh_X)&gt;=eco))/eco)^n)*((($AS15+$AT15*Mesh_Y+$AU15*Mesh_X))&gt;0),Mesh_A)+SUMPRODUCT((Es*(($AS15+$AT15*Geometry!$E$42:$E$59+$AU15*Geometry!$D$42:$D$59))*(ABS(Es*(($AS15+$AT15*Geometry!$E$42:$E$59+$AU15*Geometry!$D$42:$D$59)))&lt;=fy)+fy*(Es*(($AS15+$AT15*Geometry!$E$42:$E$59+$AU15*Geometry!$D$42:$D$59))&gt;fy)-fy*(Es*(($AS15+$AT15*Geometry!$E$42:$E$59+$AU15*Geometry!$D$42:$D$59))&lt;-fy)-(alpha*fck*(1-(1-((($AS15+$AT15*Geometry!$E$42:$E$59+$AU15*Geometry!$D$42:$D$59))*(($AS15+$AT15*Geometry!$E$42:$E$59+$AU15*Geometry!$D$42:$D$59)&gt;0)*(($AS15+$AT15*Geometry!$E$42:$E$59+$AU15*Geometry!$D$42:$D$59)&lt;eco)+eco*(($AS15+$AT15*Geometry!$E$42:$E$59+$AU15*Geometry!$D$42:$D$59)&gt;=eco))/eco)^n)*((($AS15+$AT15*Geometry!$E$42:$E$59+$AU15*Geometry!$D$42:$D$59))&gt;0))),Geometry!$F$42:$F$59))/1000</f>
      </c>
      <c r="BY15" s="32">
        <f>(SUMPRODUCT(alpha*fck*(1-(1-((($AV15+$AW15*Mesh_Y+$AX15*Mesh_X))*(($AV15+$AW15*Mesh_Y+$AX15*Mesh_X)&gt;0)*(($AV15+$AW15*Mesh_Y+$AX15*Mesh_X)&lt;eco)+eco*(($AV15+$AW15*Mesh_Y+$AX15*Mesh_X)&gt;=eco))/eco)^n)*((($AV15+$AW15*Mesh_Y+$AX15*Mesh_X))&gt;0),Mesh_A)+SUMPRODUCT((Es*(($AV15+$AW15*Geometry!$E$42:$E$59+$AX15*Geometry!$D$42:$D$59))*(ABS(Es*(($AV15+$AW15*Geometry!$E$42:$E$59+$AX15*Geometry!$D$42:$D$59)))&lt;=fy)+fy*(Es*(($AV15+$AW15*Geometry!$E$42:$E$59+$AX15*Geometry!$D$42:$D$59))&gt;fy)-fy*(Es*(($AV15+$AW15*Geometry!$E$42:$E$59+$AX15*Geometry!$D$42:$D$59))&lt;-fy)-(alpha*fck*(1-(1-((($AV15+$AW15*Geometry!$E$42:$E$59+$AX15*Geometry!$D$42:$D$59))*(($AV15+$AW15*Geometry!$E$42:$E$59+$AX15*Geometry!$D$42:$D$59)&gt;0)*(($AV15+$AW15*Geometry!$E$42:$E$59+$AX15*Geometry!$D$42:$D$59)&lt;eco)+eco*(($AV15+$AW15*Geometry!$E$42:$E$59+$AX15*Geometry!$D$42:$D$59)&gt;=eco))/eco)^n)*((($AV15+$AW15*Geometry!$E$42:$E$59+$AX15*Geometry!$D$42:$D$59))&gt;0))),Geometry!$F$42:$F$59))/1000</f>
      </c>
      <c r="BZ15" s="32">
        <f>(SUMPRODUCT(alpha*fck*(1-(1-((($AY15+$AZ15*Mesh_Y+$BA15*Mesh_X))*(($AY15+$AZ15*Mesh_Y+$BA15*Mesh_X)&gt;0)*(($AY15+$AZ15*Mesh_Y+$BA15*Mesh_X)&lt;eco)+eco*(($AY15+$AZ15*Mesh_Y+$BA15*Mesh_X)&gt;=eco))/eco)^n)*((($AY15+$AZ15*Mesh_Y+$BA15*Mesh_X))&gt;0),Mesh_A)+SUMPRODUCT((Es*(($AY15+$AZ15*Geometry!$E$42:$E$59+$BA15*Geometry!$D$42:$D$59))*(ABS(Es*(($AY15+$AZ15*Geometry!$E$42:$E$59+$BA15*Geometry!$D$42:$D$59)))&lt;=fy)+fy*(Es*(($AY15+$AZ15*Geometry!$E$42:$E$59+$BA15*Geometry!$D$42:$D$59))&gt;fy)-fy*(Es*(($AY15+$AZ15*Geometry!$E$42:$E$59+$BA15*Geometry!$D$42:$D$59))&lt;-fy)-(alpha*fck*(1-(1-((($AY15+$AZ15*Geometry!$E$42:$E$59+$BA15*Geometry!$D$42:$D$59))*(($AY15+$AZ15*Geometry!$E$42:$E$59+$BA15*Geometry!$D$42:$D$59)&gt;0)*(($AY15+$AZ15*Geometry!$E$42:$E$59+$BA15*Geometry!$D$42:$D$59)&lt;eco)+eco*(($AY15+$AZ15*Geometry!$E$42:$E$59+$BA15*Geometry!$D$42:$D$59)&gt;=eco))/eco)^n)*((($AY15+$AZ15*Geometry!$E$42:$E$59+$BA15*Geometry!$D$42:$D$59))&gt;0))),Geometry!$F$42:$F$59))/1000</f>
      </c>
      <c r="CA15" s="32">
        <f>(SUMPRODUCT(alpha*fck*(1-(1-((($BB15+$BC15*Mesh_Y+$BD15*Mesh_X))*(($BB15+$BC15*Mesh_Y+$BD15*Mesh_X)&gt;0)*(($BB15+$BC15*Mesh_Y+$BD15*Mesh_X)&lt;eco)+eco*(($BB15+$BC15*Mesh_Y+$BD15*Mesh_X)&gt;=eco))/eco)^n)*((($BB15+$BC15*Mesh_Y+$BD15*Mesh_X))&gt;0),Mesh_A)+SUMPRODUCT((Es*(($BB15+$BC15*Geometry!$E$42:$E$59+$BD15*Geometry!$D$42:$D$59))*(ABS(Es*(($BB15+$BC15*Geometry!$E$42:$E$59+$BD15*Geometry!$D$42:$D$59)))&lt;=fy)+fy*(Es*(($BB15+$BC15*Geometry!$E$42:$E$59+$BD15*Geometry!$D$42:$D$59))&gt;fy)-fy*(Es*(($BB15+$BC15*Geometry!$E$42:$E$59+$BD15*Geometry!$D$42:$D$59))&lt;-fy)-(alpha*fck*(1-(1-((($BB15+$BC15*Geometry!$E$42:$E$59+$BD15*Geometry!$D$42:$D$59))*(($BB15+$BC15*Geometry!$E$42:$E$59+$BD15*Geometry!$D$42:$D$59)&gt;0)*(($BB15+$BC15*Geometry!$E$42:$E$59+$BD15*Geometry!$D$42:$D$59)&lt;eco)+eco*(($BB15+$BC15*Geometry!$E$42:$E$59+$BD15*Geometry!$D$42:$D$59)&gt;=eco))/eco)^n)*((($BB15+$BC15*Geometry!$E$42:$E$59+$BD15*Geometry!$D$42:$D$59))&gt;0))),Geometry!$F$42:$F$59))/1000</f>
      </c>
      <c r="CB15" s="32">
        <f>(SUMPRODUCT(alpha*fck*(1-(1-((($BE15+$BF15*Mesh_Y+$BG15*Mesh_X))*(($BE15+$BF15*Mesh_Y+$BG15*Mesh_X)&gt;0)*(($BE15+$BF15*Mesh_Y+$BG15*Mesh_X)&lt;eco)+eco*(($BE15+$BF15*Mesh_Y+$BG15*Mesh_X)&gt;=eco))/eco)^n)*((($BE15+$BF15*Mesh_Y+$BG15*Mesh_X))&gt;0),Mesh_A)+SUMPRODUCT((Es*(($BE15+$BF15*Geometry!$E$42:$E$59+$BG15*Geometry!$D$42:$D$59))*(ABS(Es*(($BE15+$BF15*Geometry!$E$42:$E$59+$BG15*Geometry!$D$42:$D$59)))&lt;=fy)+fy*(Es*(($BE15+$BF15*Geometry!$E$42:$E$59+$BG15*Geometry!$D$42:$D$59))&gt;fy)-fy*(Es*(($BE15+$BF15*Geometry!$E$42:$E$59+$BG15*Geometry!$D$42:$D$59))&lt;-fy)-(alpha*fck*(1-(1-((($BE15+$BF15*Geometry!$E$42:$E$59+$BG15*Geometry!$D$42:$D$59))*(($BE15+$BF15*Geometry!$E$42:$E$59+$BG15*Geometry!$D$42:$D$59)&gt;0)*(($BE15+$BF15*Geometry!$E$42:$E$59+$BG15*Geometry!$D$42:$D$59)&lt;eco)+eco*(($BE15+$BF15*Geometry!$E$42:$E$59+$BG15*Geometry!$D$42:$D$59)&gt;=eco))/eco)^n)*((($BE15+$BF15*Geometry!$E$42:$E$59+$BG15*Geometry!$D$42:$D$59))&gt;0))),Geometry!$F$42:$F$59))/1000</f>
      </c>
      <c r="CC15" s="32">
        <f>(SUMPRODUCT(alpha*fck*(1-(1-((($BH15+$BI15*Mesh_Y+$BJ15*Mesh_X))*(($BH15+$BI15*Mesh_Y+$BJ15*Mesh_X)&gt;0)*(($BH15+$BI15*Mesh_Y+$BJ15*Mesh_X)&lt;eco)+eco*(($BH15+$BI15*Mesh_Y+$BJ15*Mesh_X)&gt;=eco))/eco)^n)*((($BH15+$BI15*Mesh_Y+$BJ15*Mesh_X))&gt;0),Mesh_A)+SUMPRODUCT((Es*(($BH15+$BI15*Geometry!$E$42:$E$59+$BJ15*Geometry!$D$42:$D$59))*(ABS(Es*(($BH15+$BI15*Geometry!$E$42:$E$59+$BJ15*Geometry!$D$42:$D$59)))&lt;=fy)+fy*(Es*(($BH15+$BI15*Geometry!$E$42:$E$59+$BJ15*Geometry!$D$42:$D$59))&gt;fy)-fy*(Es*(($BH15+$BI15*Geometry!$E$42:$E$59+$BJ15*Geometry!$D$42:$D$59))&lt;-fy)-(alpha*fck*(1-(1-((($BH15+$BI15*Geometry!$E$42:$E$59+$BJ15*Geometry!$D$42:$D$59))*(($BH15+$BI15*Geometry!$E$42:$E$59+$BJ15*Geometry!$D$42:$D$59)&gt;0)*(($BH15+$BI15*Geometry!$E$42:$E$59+$BJ15*Geometry!$D$42:$D$59)&lt;eco)+eco*(($BH15+$BI15*Geometry!$E$42:$E$59+$BJ15*Geometry!$D$42:$D$59)&gt;=eco))/eco)^n)*((($BH15+$BI15*Geometry!$E$42:$E$59+$BJ15*Geometry!$D$42:$D$59))&gt;0))),Geometry!$F$42:$F$59))/1000</f>
      </c>
      <c r="CD15" s="32">
        <f>(SUMPRODUCT(alpha*fck*(1-(1-((($F15+$G15*Mesh_Y+$H15*Mesh_X))*(($F15+$G15*Mesh_Y+$H15*Mesh_X)&gt;0)*(($F15+$G15*Mesh_Y+$H15*Mesh_X)&lt;eco)+eco*(($F15+$G15*Mesh_Y+$H15*Mesh_X)&gt;=eco))/eco)^n)*((($F15+$G15*Mesh_Y+$H15*Mesh_X))&gt;0),Mesh_A,Mesh_Y)+SUMPRODUCT((Es*(($F15+$G15*Geometry!$E$42:$E$59+$H15*Geometry!$D$42:$D$59))*(ABS(Es*(($F15+$G15*Geometry!$E$42:$E$59+$H15*Geometry!$D$42:$D$59)))&lt;=fy)+fy*(Es*(($F15+$G15*Geometry!$E$42:$E$59+$H15*Geometry!$D$42:$D$59))&gt;fy)-fy*(Es*(($F15+$G15*Geometry!$E$42:$E$59+$H15*Geometry!$D$42:$D$59))&lt;-fy)-(alpha*fck*(1-(1-((($F15+$G15*Geometry!$E$42:$E$59+$H15*Geometry!$D$42:$D$59))*(($F15+$G15*Geometry!$E$42:$E$59+$H15*Geometry!$D$42:$D$59)&gt;0)*(($F15+$G15*Geometry!$E$42:$E$59+$H15*Geometry!$D$42:$D$59)&lt;eco)+eco*(($F15+$G15*Geometry!$E$42:$E$59+$H15*Geometry!$D$42:$D$59)&gt;=eco))/eco)^n)*((($F15+$G15*Geometry!$E$42:$E$59+$H15*Geometry!$D$42:$D$59))&gt;0))),Geometry!$F$42:$F$59,Geometry!$E$42:$E$59))/1000000</f>
      </c>
      <c r="CE15" s="32">
        <f>(SUMPRODUCT(alpha*fck*(1-(1-((($I15+$J15*Mesh_Y+$K15*Mesh_X))*(($I15+$J15*Mesh_Y+$K15*Mesh_X)&gt;0)*(($I15+$J15*Mesh_Y+$K15*Mesh_X)&lt;eco)+eco*(($I15+$J15*Mesh_Y+$K15*Mesh_X)&gt;=eco))/eco)^n)*((($I15+$J15*Mesh_Y+$K15*Mesh_X))&gt;0),Mesh_A,Mesh_Y)+SUMPRODUCT((Es*(($I15+$J15*Geometry!$E$42:$E$59+$K15*Geometry!$D$42:$D$59))*(ABS(Es*(($I15+$J15*Geometry!$E$42:$E$59+$K15*Geometry!$D$42:$D$59)))&lt;=fy)+fy*(Es*(($I15+$J15*Geometry!$E$42:$E$59+$K15*Geometry!$D$42:$D$59))&gt;fy)-fy*(Es*(($I15+$J15*Geometry!$E$42:$E$59+$K15*Geometry!$D$42:$D$59))&lt;-fy)-(alpha*fck*(1-(1-((($I15+$J15*Geometry!$E$42:$E$59+$K15*Geometry!$D$42:$D$59))*(($I15+$J15*Geometry!$E$42:$E$59+$K15*Geometry!$D$42:$D$59)&gt;0)*(($I15+$J15*Geometry!$E$42:$E$59+$K15*Geometry!$D$42:$D$59)&lt;eco)+eco*(($I15+$J15*Geometry!$E$42:$E$59+$K15*Geometry!$D$42:$D$59)&gt;=eco))/eco)^n)*((($I15+$J15*Geometry!$E$42:$E$59+$K15*Geometry!$D$42:$D$59))&gt;0))),Geometry!$F$42:$F$59,Geometry!$E$42:$E$59))/1000000</f>
      </c>
      <c r="CF15" s="32">
        <f>(SUMPRODUCT(alpha*fck*(1-(1-((($L15+$M15*Mesh_Y+$N15*Mesh_X))*(($L15+$M15*Mesh_Y+$N15*Mesh_X)&gt;0)*(($L15+$M15*Mesh_Y+$N15*Mesh_X)&lt;eco)+eco*(($L15+$M15*Mesh_Y+$N15*Mesh_X)&gt;=eco))/eco)^n)*((($L15+$M15*Mesh_Y+$N15*Mesh_X))&gt;0),Mesh_A,Mesh_Y)+SUMPRODUCT((Es*(($L15+$M15*Geometry!$E$42:$E$59+$N15*Geometry!$D$42:$D$59))*(ABS(Es*(($L15+$M15*Geometry!$E$42:$E$59+$N15*Geometry!$D$42:$D$59)))&lt;=fy)+fy*(Es*(($L15+$M15*Geometry!$E$42:$E$59+$N15*Geometry!$D$42:$D$59))&gt;fy)-fy*(Es*(($L15+$M15*Geometry!$E$42:$E$59+$N15*Geometry!$D$42:$D$59))&lt;-fy)-(alpha*fck*(1-(1-((($L15+$M15*Geometry!$E$42:$E$59+$N15*Geometry!$D$42:$D$59))*(($L15+$M15*Geometry!$E$42:$E$59+$N15*Geometry!$D$42:$D$59)&gt;0)*(($L15+$M15*Geometry!$E$42:$E$59+$N15*Geometry!$D$42:$D$59)&lt;eco)+eco*(($L15+$M15*Geometry!$E$42:$E$59+$N15*Geometry!$D$42:$D$59)&gt;=eco))/eco)^n)*((($L15+$M15*Geometry!$E$42:$E$59+$N15*Geometry!$D$42:$D$59))&gt;0))),Geometry!$F$42:$F$59,Geometry!$E$42:$E$59))/1000000</f>
      </c>
      <c r="CG15" s="32">
        <f>(SUMPRODUCT(alpha*fck*(1-(1-((($O15+$P15*Mesh_Y+$Q15*Mesh_X))*(($O15+$P15*Mesh_Y+$Q15*Mesh_X)&gt;0)*(($O15+$P15*Mesh_Y+$Q15*Mesh_X)&lt;eco)+eco*(($O15+$P15*Mesh_Y+$Q15*Mesh_X)&gt;=eco))/eco)^n)*((($O15+$P15*Mesh_Y+$Q15*Mesh_X))&gt;0),Mesh_A,Mesh_Y)+SUMPRODUCT((Es*(($O15+$P15*Geometry!$E$42:$E$59+$Q15*Geometry!$D$42:$D$59))*(ABS(Es*(($O15+$P15*Geometry!$E$42:$E$59+$Q15*Geometry!$D$42:$D$59)))&lt;=fy)+fy*(Es*(($O15+$P15*Geometry!$E$42:$E$59+$Q15*Geometry!$D$42:$D$59))&gt;fy)-fy*(Es*(($O15+$P15*Geometry!$E$42:$E$59+$Q15*Geometry!$D$42:$D$59))&lt;-fy)-(alpha*fck*(1-(1-((($O15+$P15*Geometry!$E$42:$E$59+$Q15*Geometry!$D$42:$D$59))*(($O15+$P15*Geometry!$E$42:$E$59+$Q15*Geometry!$D$42:$D$59)&gt;0)*(($O15+$P15*Geometry!$E$42:$E$59+$Q15*Geometry!$D$42:$D$59)&lt;eco)+eco*(($O15+$P15*Geometry!$E$42:$E$59+$Q15*Geometry!$D$42:$D$59)&gt;=eco))/eco)^n)*((($O15+$P15*Geometry!$E$42:$E$59+$Q15*Geometry!$D$42:$D$59))&gt;0))),Geometry!$F$42:$F$59,Geometry!$E$42:$E$59))/1000000</f>
      </c>
      <c r="CH15" s="32">
        <f>(SUMPRODUCT(alpha*fck*(1-(1-((($R15+$S15*Mesh_Y+$T15*Mesh_X))*(($R15+$S15*Mesh_Y+$T15*Mesh_X)&gt;0)*(($R15+$S15*Mesh_Y+$T15*Mesh_X)&lt;eco)+eco*(($R15+$S15*Mesh_Y+$T15*Mesh_X)&gt;=eco))/eco)^n)*((($R15+$S15*Mesh_Y+$T15*Mesh_X))&gt;0),Mesh_A,Mesh_Y)+SUMPRODUCT((Es*(($R15+$S15*Geometry!$E$42:$E$59+$T15*Geometry!$D$42:$D$59))*(ABS(Es*(($R15+$S15*Geometry!$E$42:$E$59+$T15*Geometry!$D$42:$D$59)))&lt;=fy)+fy*(Es*(($R15+$S15*Geometry!$E$42:$E$59+$T15*Geometry!$D$42:$D$59))&gt;fy)-fy*(Es*(($R15+$S15*Geometry!$E$42:$E$59+$T15*Geometry!$D$42:$D$59))&lt;-fy)-(alpha*fck*(1-(1-((($R15+$S15*Geometry!$E$42:$E$59+$T15*Geometry!$D$42:$D$59))*(($R15+$S15*Geometry!$E$42:$E$59+$T15*Geometry!$D$42:$D$59)&gt;0)*(($R15+$S15*Geometry!$E$42:$E$59+$T15*Geometry!$D$42:$D$59)&lt;eco)+eco*(($R15+$S15*Geometry!$E$42:$E$59+$T15*Geometry!$D$42:$D$59)&gt;=eco))/eco)^n)*((($R15+$S15*Geometry!$E$42:$E$59+$T15*Geometry!$D$42:$D$59))&gt;0))),Geometry!$F$42:$F$59,Geometry!$E$42:$E$59))/1000000</f>
      </c>
      <c r="CI15" s="32">
        <f>(SUMPRODUCT(alpha*fck*(1-(1-((($U15+$V15*Mesh_Y+$W15*Mesh_X))*(($U15+$V15*Mesh_Y+$W15*Mesh_X)&gt;0)*(($U15+$V15*Mesh_Y+$W15*Mesh_X)&lt;eco)+eco*(($U15+$V15*Mesh_Y+$W15*Mesh_X)&gt;=eco))/eco)^n)*((($U15+$V15*Mesh_Y+$W15*Mesh_X))&gt;0),Mesh_A,Mesh_Y)+SUMPRODUCT((Es*(($U15+$V15*Geometry!$E$42:$E$59+$W15*Geometry!$D$42:$D$59))*(ABS(Es*(($U15+$V15*Geometry!$E$42:$E$59+$W15*Geometry!$D$42:$D$59)))&lt;=fy)+fy*(Es*(($U15+$V15*Geometry!$E$42:$E$59+$W15*Geometry!$D$42:$D$59))&gt;fy)-fy*(Es*(($U15+$V15*Geometry!$E$42:$E$59+$W15*Geometry!$D$42:$D$59))&lt;-fy)-(alpha*fck*(1-(1-((($U15+$V15*Geometry!$E$42:$E$59+$W15*Geometry!$D$42:$D$59))*(($U15+$V15*Geometry!$E$42:$E$59+$W15*Geometry!$D$42:$D$59)&gt;0)*(($U15+$V15*Geometry!$E$42:$E$59+$W15*Geometry!$D$42:$D$59)&lt;eco)+eco*(($U15+$V15*Geometry!$E$42:$E$59+$W15*Geometry!$D$42:$D$59)&gt;=eco))/eco)^n)*((($U15+$V15*Geometry!$E$42:$E$59+$W15*Geometry!$D$42:$D$59))&gt;0))),Geometry!$F$42:$F$59,Geometry!$E$42:$E$59))/1000000</f>
      </c>
      <c r="CJ15" s="32">
        <f>(SUMPRODUCT(alpha*fck*(1-(1-((($X15+$Y15*Mesh_Y+$Z15*Mesh_X))*(($X15+$Y15*Mesh_Y+$Z15*Mesh_X)&gt;0)*(($X15+$Y15*Mesh_Y+$Z15*Mesh_X)&lt;eco)+eco*(($X15+$Y15*Mesh_Y+$Z15*Mesh_X)&gt;=eco))/eco)^n)*((($X15+$Y15*Mesh_Y+$Z15*Mesh_X))&gt;0),Mesh_A,Mesh_Y)+SUMPRODUCT((Es*(($X15+$Y15*Geometry!$E$42:$E$59+$Z15*Geometry!$D$42:$D$59))*(ABS(Es*(($X15+$Y15*Geometry!$E$42:$E$59+$Z15*Geometry!$D$42:$D$59)))&lt;=fy)+fy*(Es*(($X15+$Y15*Geometry!$E$42:$E$59+$Z15*Geometry!$D$42:$D$59))&gt;fy)-fy*(Es*(($X15+$Y15*Geometry!$E$42:$E$59+$Z15*Geometry!$D$42:$D$59))&lt;-fy)-(alpha*fck*(1-(1-((($X15+$Y15*Geometry!$E$42:$E$59+$Z15*Geometry!$D$42:$D$59))*(($X15+$Y15*Geometry!$E$42:$E$59+$Z15*Geometry!$D$42:$D$59)&gt;0)*(($X15+$Y15*Geometry!$E$42:$E$59+$Z15*Geometry!$D$42:$D$59)&lt;eco)+eco*(($X15+$Y15*Geometry!$E$42:$E$59+$Z15*Geometry!$D$42:$D$59)&gt;=eco))/eco)^n)*((($X15+$Y15*Geometry!$E$42:$E$59+$Z15*Geometry!$D$42:$D$59))&gt;0))),Geometry!$F$42:$F$59,Geometry!$E$42:$E$59))/1000000</f>
      </c>
      <c r="CK15" s="32">
        <f>(SUMPRODUCT(alpha*fck*(1-(1-((($AA15+$AB15*Mesh_Y+$AC15*Mesh_X))*(($AA15+$AB15*Mesh_Y+$AC15*Mesh_X)&gt;0)*(($AA15+$AB15*Mesh_Y+$AC15*Mesh_X)&lt;eco)+eco*(($AA15+$AB15*Mesh_Y+$AC15*Mesh_X)&gt;=eco))/eco)^n)*((($AA15+$AB15*Mesh_Y+$AC15*Mesh_X))&gt;0),Mesh_A,Mesh_Y)+SUMPRODUCT((Es*(($AA15+$AB15*Geometry!$E$42:$E$59+$AC15*Geometry!$D$42:$D$59))*(ABS(Es*(($AA15+$AB15*Geometry!$E$42:$E$59+$AC15*Geometry!$D$42:$D$59)))&lt;=fy)+fy*(Es*(($AA15+$AB15*Geometry!$E$42:$E$59+$AC15*Geometry!$D$42:$D$59))&gt;fy)-fy*(Es*(($AA15+$AB15*Geometry!$E$42:$E$59+$AC15*Geometry!$D$42:$D$59))&lt;-fy)-(alpha*fck*(1-(1-((($AA15+$AB15*Geometry!$E$42:$E$59+$AC15*Geometry!$D$42:$D$59))*(($AA15+$AB15*Geometry!$E$42:$E$59+$AC15*Geometry!$D$42:$D$59)&gt;0)*(($AA15+$AB15*Geometry!$E$42:$E$59+$AC15*Geometry!$D$42:$D$59)&lt;eco)+eco*(($AA15+$AB15*Geometry!$E$42:$E$59+$AC15*Geometry!$D$42:$D$59)&gt;=eco))/eco)^n)*((($AA15+$AB15*Geometry!$E$42:$E$59+$AC15*Geometry!$D$42:$D$59))&gt;0))),Geometry!$F$42:$F$59,Geometry!$E$42:$E$59))/1000000</f>
      </c>
      <c r="CL15" s="32">
        <f>(SUMPRODUCT(alpha*fck*(1-(1-((($AD15+$AE15*Mesh_Y+$AF15*Mesh_X))*(($AD15+$AE15*Mesh_Y+$AF15*Mesh_X)&gt;0)*(($AD15+$AE15*Mesh_Y+$AF15*Mesh_X)&lt;eco)+eco*(($AD15+$AE15*Mesh_Y+$AF15*Mesh_X)&gt;=eco))/eco)^n)*((($AD15+$AE15*Mesh_Y+$AF15*Mesh_X))&gt;0),Mesh_A,Mesh_Y)+SUMPRODUCT((Es*(($AD15+$AE15*Geometry!$E$42:$E$59+$AF15*Geometry!$D$42:$D$59))*(ABS(Es*(($AD15+$AE15*Geometry!$E$42:$E$59+$AF15*Geometry!$D$42:$D$59)))&lt;=fy)+fy*(Es*(($AD15+$AE15*Geometry!$E$42:$E$59+$AF15*Geometry!$D$42:$D$59))&gt;fy)-fy*(Es*(($AD15+$AE15*Geometry!$E$42:$E$59+$AF15*Geometry!$D$42:$D$59))&lt;-fy)-(alpha*fck*(1-(1-((($AD15+$AE15*Geometry!$E$42:$E$59+$AF15*Geometry!$D$42:$D$59))*(($AD15+$AE15*Geometry!$E$42:$E$59+$AF15*Geometry!$D$42:$D$59)&gt;0)*(($AD15+$AE15*Geometry!$E$42:$E$59+$AF15*Geometry!$D$42:$D$59)&lt;eco)+eco*(($AD15+$AE15*Geometry!$E$42:$E$59+$AF15*Geometry!$D$42:$D$59)&gt;=eco))/eco)^n)*((($AD15+$AE15*Geometry!$E$42:$E$59+$AF15*Geometry!$D$42:$D$59))&gt;0))),Geometry!$F$42:$F$59,Geometry!$E$42:$E$59))/1000000</f>
      </c>
      <c r="CM15" s="32">
        <f>(SUMPRODUCT(alpha*fck*(1-(1-((($AG15+$AH15*Mesh_Y+$AI15*Mesh_X))*(($AG15+$AH15*Mesh_Y+$AI15*Mesh_X)&gt;0)*(($AG15+$AH15*Mesh_Y+$AI15*Mesh_X)&lt;eco)+eco*(($AG15+$AH15*Mesh_Y+$AI15*Mesh_X)&gt;=eco))/eco)^n)*((($AG15+$AH15*Mesh_Y+$AI15*Mesh_X))&gt;0),Mesh_A,Mesh_Y)+SUMPRODUCT((Es*(($AG15+$AH15*Geometry!$E$42:$E$59+$AI15*Geometry!$D$42:$D$59))*(ABS(Es*(($AG15+$AH15*Geometry!$E$42:$E$59+$AI15*Geometry!$D$42:$D$59)))&lt;=fy)+fy*(Es*(($AG15+$AH15*Geometry!$E$42:$E$59+$AI15*Geometry!$D$42:$D$59))&gt;fy)-fy*(Es*(($AG15+$AH15*Geometry!$E$42:$E$59+$AI15*Geometry!$D$42:$D$59))&lt;-fy)-(alpha*fck*(1-(1-((($AG15+$AH15*Geometry!$E$42:$E$59+$AI15*Geometry!$D$42:$D$59))*(($AG15+$AH15*Geometry!$E$42:$E$59+$AI15*Geometry!$D$42:$D$59)&gt;0)*(($AG15+$AH15*Geometry!$E$42:$E$59+$AI15*Geometry!$D$42:$D$59)&lt;eco)+eco*(($AG15+$AH15*Geometry!$E$42:$E$59+$AI15*Geometry!$D$42:$D$59)&gt;=eco))/eco)^n)*((($AG15+$AH15*Geometry!$E$42:$E$59+$AI15*Geometry!$D$42:$D$59))&gt;0))),Geometry!$F$42:$F$59,Geometry!$E$42:$E$59))/1000000</f>
      </c>
      <c r="CN15" s="32">
        <f>(SUMPRODUCT(alpha*fck*(1-(1-((($AJ15+$AK15*Mesh_Y+$AL15*Mesh_X))*(($AJ15+$AK15*Mesh_Y+$AL15*Mesh_X)&gt;0)*(($AJ15+$AK15*Mesh_Y+$AL15*Mesh_X)&lt;eco)+eco*(($AJ15+$AK15*Mesh_Y+$AL15*Mesh_X)&gt;=eco))/eco)^n)*((($AJ15+$AK15*Mesh_Y+$AL15*Mesh_X))&gt;0),Mesh_A,Mesh_Y)+SUMPRODUCT((Es*(($AJ15+$AK15*Geometry!$E$42:$E$59+$AL15*Geometry!$D$42:$D$59))*(ABS(Es*(($AJ15+$AK15*Geometry!$E$42:$E$59+$AL15*Geometry!$D$42:$D$59)))&lt;=fy)+fy*(Es*(($AJ15+$AK15*Geometry!$E$42:$E$59+$AL15*Geometry!$D$42:$D$59))&gt;fy)-fy*(Es*(($AJ15+$AK15*Geometry!$E$42:$E$59+$AL15*Geometry!$D$42:$D$59))&lt;-fy)-(alpha*fck*(1-(1-((($AJ15+$AK15*Geometry!$E$42:$E$59+$AL15*Geometry!$D$42:$D$59))*(($AJ15+$AK15*Geometry!$E$42:$E$59+$AL15*Geometry!$D$42:$D$59)&gt;0)*(($AJ15+$AK15*Geometry!$E$42:$E$59+$AL15*Geometry!$D$42:$D$59)&lt;eco)+eco*(($AJ15+$AK15*Geometry!$E$42:$E$59+$AL15*Geometry!$D$42:$D$59)&gt;=eco))/eco)^n)*((($AJ15+$AK15*Geometry!$E$42:$E$59+$AL15*Geometry!$D$42:$D$59))&gt;0))),Geometry!$F$42:$F$59,Geometry!$E$42:$E$59))/1000000</f>
      </c>
      <c r="CO15" s="32">
        <f>(SUMPRODUCT(alpha*fck*(1-(1-((($AM15+$AN15*Mesh_Y+$AO15*Mesh_X))*(($AM15+$AN15*Mesh_Y+$AO15*Mesh_X)&gt;0)*(($AM15+$AN15*Mesh_Y+$AO15*Mesh_X)&lt;eco)+eco*(($AM15+$AN15*Mesh_Y+$AO15*Mesh_X)&gt;=eco))/eco)^n)*((($AM15+$AN15*Mesh_Y+$AO15*Mesh_X))&gt;0),Mesh_A,Mesh_Y)+SUMPRODUCT((Es*(($AM15+$AN15*Geometry!$E$42:$E$59+$AO15*Geometry!$D$42:$D$59))*(ABS(Es*(($AM15+$AN15*Geometry!$E$42:$E$59+$AO15*Geometry!$D$42:$D$59)))&lt;=fy)+fy*(Es*(($AM15+$AN15*Geometry!$E$42:$E$59+$AO15*Geometry!$D$42:$D$59))&gt;fy)-fy*(Es*(($AM15+$AN15*Geometry!$E$42:$E$59+$AO15*Geometry!$D$42:$D$59))&lt;-fy)-(alpha*fck*(1-(1-((($AM15+$AN15*Geometry!$E$42:$E$59+$AO15*Geometry!$D$42:$D$59))*(($AM15+$AN15*Geometry!$E$42:$E$59+$AO15*Geometry!$D$42:$D$59)&gt;0)*(($AM15+$AN15*Geometry!$E$42:$E$59+$AO15*Geometry!$D$42:$D$59)&lt;eco)+eco*(($AM15+$AN15*Geometry!$E$42:$E$59+$AO15*Geometry!$D$42:$D$59)&gt;=eco))/eco)^n)*((($AM15+$AN15*Geometry!$E$42:$E$59+$AO15*Geometry!$D$42:$D$59))&gt;0))),Geometry!$F$42:$F$59,Geometry!$E$42:$E$59))/1000000</f>
      </c>
      <c r="CP15" s="32">
        <f>(SUMPRODUCT(alpha*fck*(1-(1-((($AP15+$AQ15*Mesh_Y+$AR15*Mesh_X))*(($AP15+$AQ15*Mesh_Y+$AR15*Mesh_X)&gt;0)*(($AP15+$AQ15*Mesh_Y+$AR15*Mesh_X)&lt;eco)+eco*(($AP15+$AQ15*Mesh_Y+$AR15*Mesh_X)&gt;=eco))/eco)^n)*((($AP15+$AQ15*Mesh_Y+$AR15*Mesh_X))&gt;0),Mesh_A,Mesh_Y)+SUMPRODUCT((Es*(($AP15+$AQ15*Geometry!$E$42:$E$59+$AR15*Geometry!$D$42:$D$59))*(ABS(Es*(($AP15+$AQ15*Geometry!$E$42:$E$59+$AR15*Geometry!$D$42:$D$59)))&lt;=fy)+fy*(Es*(($AP15+$AQ15*Geometry!$E$42:$E$59+$AR15*Geometry!$D$42:$D$59))&gt;fy)-fy*(Es*(($AP15+$AQ15*Geometry!$E$42:$E$59+$AR15*Geometry!$D$42:$D$59))&lt;-fy)-(alpha*fck*(1-(1-((($AP15+$AQ15*Geometry!$E$42:$E$59+$AR15*Geometry!$D$42:$D$59))*(($AP15+$AQ15*Geometry!$E$42:$E$59+$AR15*Geometry!$D$42:$D$59)&gt;0)*(($AP15+$AQ15*Geometry!$E$42:$E$59+$AR15*Geometry!$D$42:$D$59)&lt;eco)+eco*(($AP15+$AQ15*Geometry!$E$42:$E$59+$AR15*Geometry!$D$42:$D$59)&gt;=eco))/eco)^n)*((($AP15+$AQ15*Geometry!$E$42:$E$59+$AR15*Geometry!$D$42:$D$59))&gt;0))),Geometry!$F$42:$F$59,Geometry!$E$42:$E$59))/1000000</f>
      </c>
      <c r="CQ15" s="32">
        <f>(SUMPRODUCT(alpha*fck*(1-(1-((($AS15+$AT15*Mesh_Y+$AU15*Mesh_X))*(($AS15+$AT15*Mesh_Y+$AU15*Mesh_X)&gt;0)*(($AS15+$AT15*Mesh_Y+$AU15*Mesh_X)&lt;eco)+eco*(($AS15+$AT15*Mesh_Y+$AU15*Mesh_X)&gt;=eco))/eco)^n)*((($AS15+$AT15*Mesh_Y+$AU15*Mesh_X))&gt;0),Mesh_A,Mesh_Y)+SUMPRODUCT((Es*(($AS15+$AT15*Geometry!$E$42:$E$59+$AU15*Geometry!$D$42:$D$59))*(ABS(Es*(($AS15+$AT15*Geometry!$E$42:$E$59+$AU15*Geometry!$D$42:$D$59)))&lt;=fy)+fy*(Es*(($AS15+$AT15*Geometry!$E$42:$E$59+$AU15*Geometry!$D$42:$D$59))&gt;fy)-fy*(Es*(($AS15+$AT15*Geometry!$E$42:$E$59+$AU15*Geometry!$D$42:$D$59))&lt;-fy)-(alpha*fck*(1-(1-((($AS15+$AT15*Geometry!$E$42:$E$59+$AU15*Geometry!$D$42:$D$59))*(($AS15+$AT15*Geometry!$E$42:$E$59+$AU15*Geometry!$D$42:$D$59)&gt;0)*(($AS15+$AT15*Geometry!$E$42:$E$59+$AU15*Geometry!$D$42:$D$59)&lt;eco)+eco*(($AS15+$AT15*Geometry!$E$42:$E$59+$AU15*Geometry!$D$42:$D$59)&gt;=eco))/eco)^n)*((($AS15+$AT15*Geometry!$E$42:$E$59+$AU15*Geometry!$D$42:$D$59))&gt;0))),Geometry!$F$42:$F$59,Geometry!$E$42:$E$59))/1000000</f>
      </c>
      <c r="CR15" s="32">
        <f>(SUMPRODUCT(alpha*fck*(1-(1-((($AV15+$AW15*Mesh_Y+$AX15*Mesh_X))*(($AV15+$AW15*Mesh_Y+$AX15*Mesh_X)&gt;0)*(($AV15+$AW15*Mesh_Y+$AX15*Mesh_X)&lt;eco)+eco*(($AV15+$AW15*Mesh_Y+$AX15*Mesh_X)&gt;=eco))/eco)^n)*((($AV15+$AW15*Mesh_Y+$AX15*Mesh_X))&gt;0),Mesh_A,Mesh_Y)+SUMPRODUCT((Es*(($AV15+$AW15*Geometry!$E$42:$E$59+$AX15*Geometry!$D$42:$D$59))*(ABS(Es*(($AV15+$AW15*Geometry!$E$42:$E$59+$AX15*Geometry!$D$42:$D$59)))&lt;=fy)+fy*(Es*(($AV15+$AW15*Geometry!$E$42:$E$59+$AX15*Geometry!$D$42:$D$59))&gt;fy)-fy*(Es*(($AV15+$AW15*Geometry!$E$42:$E$59+$AX15*Geometry!$D$42:$D$59))&lt;-fy)-(alpha*fck*(1-(1-((($AV15+$AW15*Geometry!$E$42:$E$59+$AX15*Geometry!$D$42:$D$59))*(($AV15+$AW15*Geometry!$E$42:$E$59+$AX15*Geometry!$D$42:$D$59)&gt;0)*(($AV15+$AW15*Geometry!$E$42:$E$59+$AX15*Geometry!$D$42:$D$59)&lt;eco)+eco*(($AV15+$AW15*Geometry!$E$42:$E$59+$AX15*Geometry!$D$42:$D$59)&gt;=eco))/eco)^n)*((($AV15+$AW15*Geometry!$E$42:$E$59+$AX15*Geometry!$D$42:$D$59))&gt;0))),Geometry!$F$42:$F$59,Geometry!$E$42:$E$59))/1000000</f>
      </c>
      <c r="CS15" s="32">
        <f>(SUMPRODUCT(alpha*fck*(1-(1-((($AY15+$AZ15*Mesh_Y+$BA15*Mesh_X))*(($AY15+$AZ15*Mesh_Y+$BA15*Mesh_X)&gt;0)*(($AY15+$AZ15*Mesh_Y+$BA15*Mesh_X)&lt;eco)+eco*(($AY15+$AZ15*Mesh_Y+$BA15*Mesh_X)&gt;=eco))/eco)^n)*((($AY15+$AZ15*Mesh_Y+$BA15*Mesh_X))&gt;0),Mesh_A,Mesh_Y)+SUMPRODUCT((Es*(($AY15+$AZ15*Geometry!$E$42:$E$59+$BA15*Geometry!$D$42:$D$59))*(ABS(Es*(($AY15+$AZ15*Geometry!$E$42:$E$59+$BA15*Geometry!$D$42:$D$59)))&lt;=fy)+fy*(Es*(($AY15+$AZ15*Geometry!$E$42:$E$59+$BA15*Geometry!$D$42:$D$59))&gt;fy)-fy*(Es*(($AY15+$AZ15*Geometry!$E$42:$E$59+$BA15*Geometry!$D$42:$D$59))&lt;-fy)-(alpha*fck*(1-(1-((($AY15+$AZ15*Geometry!$E$42:$E$59+$BA15*Geometry!$D$42:$D$59))*(($AY15+$AZ15*Geometry!$E$42:$E$59+$BA15*Geometry!$D$42:$D$59)&gt;0)*(($AY15+$AZ15*Geometry!$E$42:$E$59+$BA15*Geometry!$D$42:$D$59)&lt;eco)+eco*(($AY15+$AZ15*Geometry!$E$42:$E$59+$BA15*Geometry!$D$42:$D$59)&gt;=eco))/eco)^n)*((($AY15+$AZ15*Geometry!$E$42:$E$59+$BA15*Geometry!$D$42:$D$59))&gt;0))),Geometry!$F$42:$F$59,Geometry!$E$42:$E$59))/1000000</f>
      </c>
      <c r="CT15" s="32">
        <f>(SUMPRODUCT(alpha*fck*(1-(1-((($BB15+$BC15*Mesh_Y+$BD15*Mesh_X))*(($BB15+$BC15*Mesh_Y+$BD15*Mesh_X)&gt;0)*(($BB15+$BC15*Mesh_Y+$BD15*Mesh_X)&lt;eco)+eco*(($BB15+$BC15*Mesh_Y+$BD15*Mesh_X)&gt;=eco))/eco)^n)*((($BB15+$BC15*Mesh_Y+$BD15*Mesh_X))&gt;0),Mesh_A,Mesh_Y)+SUMPRODUCT((Es*(($BB15+$BC15*Geometry!$E$42:$E$59+$BD15*Geometry!$D$42:$D$59))*(ABS(Es*(($BB15+$BC15*Geometry!$E$42:$E$59+$BD15*Geometry!$D$42:$D$59)))&lt;=fy)+fy*(Es*(($BB15+$BC15*Geometry!$E$42:$E$59+$BD15*Geometry!$D$42:$D$59))&gt;fy)-fy*(Es*(($BB15+$BC15*Geometry!$E$42:$E$59+$BD15*Geometry!$D$42:$D$59))&lt;-fy)-(alpha*fck*(1-(1-((($BB15+$BC15*Geometry!$E$42:$E$59+$BD15*Geometry!$D$42:$D$59))*(($BB15+$BC15*Geometry!$E$42:$E$59+$BD15*Geometry!$D$42:$D$59)&gt;0)*(($BB15+$BC15*Geometry!$E$42:$E$59+$BD15*Geometry!$D$42:$D$59)&lt;eco)+eco*(($BB15+$BC15*Geometry!$E$42:$E$59+$BD15*Geometry!$D$42:$D$59)&gt;=eco))/eco)^n)*((($BB15+$BC15*Geometry!$E$42:$E$59+$BD15*Geometry!$D$42:$D$59))&gt;0))),Geometry!$F$42:$F$59,Geometry!$E$42:$E$59))/1000000</f>
      </c>
      <c r="CU15" s="32">
        <f>(SUMPRODUCT(alpha*fck*(1-(1-((($BE15+$BF15*Mesh_Y+$BG15*Mesh_X))*(($BE15+$BF15*Mesh_Y+$BG15*Mesh_X)&gt;0)*(($BE15+$BF15*Mesh_Y+$BG15*Mesh_X)&lt;eco)+eco*(($BE15+$BF15*Mesh_Y+$BG15*Mesh_X)&gt;=eco))/eco)^n)*((($BE15+$BF15*Mesh_Y+$BG15*Mesh_X))&gt;0),Mesh_A,Mesh_Y)+SUMPRODUCT((Es*(($BE15+$BF15*Geometry!$E$42:$E$59+$BG15*Geometry!$D$42:$D$59))*(ABS(Es*(($BE15+$BF15*Geometry!$E$42:$E$59+$BG15*Geometry!$D$42:$D$59)))&lt;=fy)+fy*(Es*(($BE15+$BF15*Geometry!$E$42:$E$59+$BG15*Geometry!$D$42:$D$59))&gt;fy)-fy*(Es*(($BE15+$BF15*Geometry!$E$42:$E$59+$BG15*Geometry!$D$42:$D$59))&lt;-fy)-(alpha*fck*(1-(1-((($BE15+$BF15*Geometry!$E$42:$E$59+$BG15*Geometry!$D$42:$D$59))*(($BE15+$BF15*Geometry!$E$42:$E$59+$BG15*Geometry!$D$42:$D$59)&gt;0)*(($BE15+$BF15*Geometry!$E$42:$E$59+$BG15*Geometry!$D$42:$D$59)&lt;eco)+eco*(($BE15+$BF15*Geometry!$E$42:$E$59+$BG15*Geometry!$D$42:$D$59)&gt;=eco))/eco)^n)*((($BE15+$BF15*Geometry!$E$42:$E$59+$BG15*Geometry!$D$42:$D$59))&gt;0))),Geometry!$F$42:$F$59,Geometry!$E$42:$E$59))/1000000</f>
      </c>
      <c r="CV15" s="32">
        <f>(SUMPRODUCT(alpha*fck*(1-(1-((($BH15+$BI15*Mesh_Y+$BJ15*Mesh_X))*(($BH15+$BI15*Mesh_Y+$BJ15*Mesh_X)&gt;0)*(($BH15+$BI15*Mesh_Y+$BJ15*Mesh_X)&lt;eco)+eco*(($BH15+$BI15*Mesh_Y+$BJ15*Mesh_X)&gt;=eco))/eco)^n)*((($BH15+$BI15*Mesh_Y+$BJ15*Mesh_X))&gt;0),Mesh_A,Mesh_Y)+SUMPRODUCT((Es*(($BH15+$BI15*Geometry!$E$42:$E$59+$BJ15*Geometry!$D$42:$D$59))*(ABS(Es*(($BH15+$BI15*Geometry!$E$42:$E$59+$BJ15*Geometry!$D$42:$D$59)))&lt;=fy)+fy*(Es*(($BH15+$BI15*Geometry!$E$42:$E$59+$BJ15*Geometry!$D$42:$D$59))&gt;fy)-fy*(Es*(($BH15+$BI15*Geometry!$E$42:$E$59+$BJ15*Geometry!$D$42:$D$59))&lt;-fy)-(alpha*fck*(1-(1-((($BH15+$BI15*Geometry!$E$42:$E$59+$BJ15*Geometry!$D$42:$D$59))*(($BH15+$BI15*Geometry!$E$42:$E$59+$BJ15*Geometry!$D$42:$D$59)&gt;0)*(($BH15+$BI15*Geometry!$E$42:$E$59+$BJ15*Geometry!$D$42:$D$59)&lt;eco)+eco*(($BH15+$BI15*Geometry!$E$42:$E$59+$BJ15*Geometry!$D$42:$D$59)&gt;=eco))/eco)^n)*((($BH15+$BI15*Geometry!$E$42:$E$59+$BJ15*Geometry!$D$42:$D$59))&gt;0))),Geometry!$F$42:$F$59,Geometry!$E$42:$E$59))/1000000</f>
      </c>
      <c r="CW15" s="32">
        <f>(SUMPRODUCT(alpha*fck*(1-(1-((($F15+$G15*Mesh_Y+$H15*Mesh_X))*(($F15+$G15*Mesh_Y+$H15*Mesh_X)&gt;0)*(($F15+$G15*Mesh_Y+$H15*Mesh_X)&lt;eco)+eco*(($F15+$G15*Mesh_Y+$H15*Mesh_X)&gt;=eco))/eco)^n)*((($F15+$G15*Mesh_Y+$H15*Mesh_X))&gt;0),Mesh_A,Mesh_X)+SUMPRODUCT((Es*(($F15+$G15*Geometry!$E$42:$E$59+$H15*Geometry!$D$42:$D$59))*(ABS(Es*(($F15+$G15*Geometry!$E$42:$E$59+$H15*Geometry!$D$42:$D$59)))&lt;=fy)+fy*(Es*(($F15+$G15*Geometry!$E$42:$E$59+$H15*Geometry!$D$42:$D$59))&gt;fy)-fy*(Es*(($F15+$G15*Geometry!$E$42:$E$59+$H15*Geometry!$D$42:$D$59))&lt;-fy)-(alpha*fck*(1-(1-((($F15+$G15*Geometry!$E$42:$E$59+$H15*Geometry!$D$42:$D$59))*(($F15+$G15*Geometry!$E$42:$E$59+$H15*Geometry!$D$42:$D$59)&gt;0)*(($F15+$G15*Geometry!$E$42:$E$59+$H15*Geometry!$D$42:$D$59)&lt;eco)+eco*(($F15+$G15*Geometry!$E$42:$E$59+$H15*Geometry!$D$42:$D$59)&gt;=eco))/eco)^n)*((($F15+$G15*Geometry!$E$42:$E$59+$H15*Geometry!$D$42:$D$59))&gt;0))),Geometry!$F$42:$F$59,Geometry!$D$42:$D$59))/1000000</f>
      </c>
      <c r="CX15" s="32">
        <f>(SUMPRODUCT(alpha*fck*(1-(1-((($I15+$J15*Mesh_Y+$K15*Mesh_X))*(($I15+$J15*Mesh_Y+$K15*Mesh_X)&gt;0)*(($I15+$J15*Mesh_Y+$K15*Mesh_X)&lt;eco)+eco*(($I15+$J15*Mesh_Y+$K15*Mesh_X)&gt;=eco))/eco)^n)*((($I15+$J15*Mesh_Y+$K15*Mesh_X))&gt;0),Mesh_A,Mesh_X)+SUMPRODUCT((Es*(($I15+$J15*Geometry!$E$42:$E$59+$K15*Geometry!$D$42:$D$59))*(ABS(Es*(($I15+$J15*Geometry!$E$42:$E$59+$K15*Geometry!$D$42:$D$59)))&lt;=fy)+fy*(Es*(($I15+$J15*Geometry!$E$42:$E$59+$K15*Geometry!$D$42:$D$59))&gt;fy)-fy*(Es*(($I15+$J15*Geometry!$E$42:$E$59+$K15*Geometry!$D$42:$D$59))&lt;-fy)-(alpha*fck*(1-(1-((($I15+$J15*Geometry!$E$42:$E$59+$K15*Geometry!$D$42:$D$59))*(($I15+$J15*Geometry!$E$42:$E$59+$K15*Geometry!$D$42:$D$59)&gt;0)*(($I15+$J15*Geometry!$E$42:$E$59+$K15*Geometry!$D$42:$D$59)&lt;eco)+eco*(($I15+$J15*Geometry!$E$42:$E$59+$K15*Geometry!$D$42:$D$59)&gt;=eco))/eco)^n)*((($I15+$J15*Geometry!$E$42:$E$59+$K15*Geometry!$D$42:$D$59))&gt;0))),Geometry!$F$42:$F$59,Geometry!$D$42:$D$59))/1000000</f>
      </c>
      <c r="CY15" s="32">
        <f>(SUMPRODUCT(alpha*fck*(1-(1-((($L15+$M15*Mesh_Y+$N15*Mesh_X))*(($L15+$M15*Mesh_Y+$N15*Mesh_X)&gt;0)*(($L15+$M15*Mesh_Y+$N15*Mesh_X)&lt;eco)+eco*(($L15+$M15*Mesh_Y+$N15*Mesh_X)&gt;=eco))/eco)^n)*((($L15+$M15*Mesh_Y+$N15*Mesh_X))&gt;0),Mesh_A,Mesh_X)+SUMPRODUCT((Es*(($L15+$M15*Geometry!$E$42:$E$59+$N15*Geometry!$D$42:$D$59))*(ABS(Es*(($L15+$M15*Geometry!$E$42:$E$59+$N15*Geometry!$D$42:$D$59)))&lt;=fy)+fy*(Es*(($L15+$M15*Geometry!$E$42:$E$59+$N15*Geometry!$D$42:$D$59))&gt;fy)-fy*(Es*(($L15+$M15*Geometry!$E$42:$E$59+$N15*Geometry!$D$42:$D$59))&lt;-fy)-(alpha*fck*(1-(1-((($L15+$M15*Geometry!$E$42:$E$59+$N15*Geometry!$D$42:$D$59))*(($L15+$M15*Geometry!$E$42:$E$59+$N15*Geometry!$D$42:$D$59)&gt;0)*(($L15+$M15*Geometry!$E$42:$E$59+$N15*Geometry!$D$42:$D$59)&lt;eco)+eco*(($L15+$M15*Geometry!$E$42:$E$59+$N15*Geometry!$D$42:$D$59)&gt;=eco))/eco)^n)*((($L15+$M15*Geometry!$E$42:$E$59+$N15*Geometry!$D$42:$D$59))&gt;0))),Geometry!$F$42:$F$59,Geometry!$D$42:$D$59))/1000000</f>
      </c>
      <c r="CZ15" s="32">
        <f>(SUMPRODUCT(alpha*fck*(1-(1-((($O15+$P15*Mesh_Y+$Q15*Mesh_X))*(($O15+$P15*Mesh_Y+$Q15*Mesh_X)&gt;0)*(($O15+$P15*Mesh_Y+$Q15*Mesh_X)&lt;eco)+eco*(($O15+$P15*Mesh_Y+$Q15*Mesh_X)&gt;=eco))/eco)^n)*((($O15+$P15*Mesh_Y+$Q15*Mesh_X))&gt;0),Mesh_A,Mesh_X)+SUMPRODUCT((Es*(($O15+$P15*Geometry!$E$42:$E$59+$Q15*Geometry!$D$42:$D$59))*(ABS(Es*(($O15+$P15*Geometry!$E$42:$E$59+$Q15*Geometry!$D$42:$D$59)))&lt;=fy)+fy*(Es*(($O15+$P15*Geometry!$E$42:$E$59+$Q15*Geometry!$D$42:$D$59))&gt;fy)-fy*(Es*(($O15+$P15*Geometry!$E$42:$E$59+$Q15*Geometry!$D$42:$D$59))&lt;-fy)-(alpha*fck*(1-(1-((($O15+$P15*Geometry!$E$42:$E$59+$Q15*Geometry!$D$42:$D$59))*(($O15+$P15*Geometry!$E$42:$E$59+$Q15*Geometry!$D$42:$D$59)&gt;0)*(($O15+$P15*Geometry!$E$42:$E$59+$Q15*Geometry!$D$42:$D$59)&lt;eco)+eco*(($O15+$P15*Geometry!$E$42:$E$59+$Q15*Geometry!$D$42:$D$59)&gt;=eco))/eco)^n)*((($O15+$P15*Geometry!$E$42:$E$59+$Q15*Geometry!$D$42:$D$59))&gt;0))),Geometry!$F$42:$F$59,Geometry!$D$42:$D$59))/1000000</f>
      </c>
      <c r="DA15" s="32">
        <f>(SUMPRODUCT(alpha*fck*(1-(1-((($R15+$S15*Mesh_Y+$T15*Mesh_X))*(($R15+$S15*Mesh_Y+$T15*Mesh_X)&gt;0)*(($R15+$S15*Mesh_Y+$T15*Mesh_X)&lt;eco)+eco*(($R15+$S15*Mesh_Y+$T15*Mesh_X)&gt;=eco))/eco)^n)*((($R15+$S15*Mesh_Y+$T15*Mesh_X))&gt;0),Mesh_A,Mesh_X)+SUMPRODUCT((Es*(($R15+$S15*Geometry!$E$42:$E$59+$T15*Geometry!$D$42:$D$59))*(ABS(Es*(($R15+$S15*Geometry!$E$42:$E$59+$T15*Geometry!$D$42:$D$59)))&lt;=fy)+fy*(Es*(($R15+$S15*Geometry!$E$42:$E$59+$T15*Geometry!$D$42:$D$59))&gt;fy)-fy*(Es*(($R15+$S15*Geometry!$E$42:$E$59+$T15*Geometry!$D$42:$D$59))&lt;-fy)-(alpha*fck*(1-(1-((($R15+$S15*Geometry!$E$42:$E$59+$T15*Geometry!$D$42:$D$59))*(($R15+$S15*Geometry!$E$42:$E$59+$T15*Geometry!$D$42:$D$59)&gt;0)*(($R15+$S15*Geometry!$E$42:$E$59+$T15*Geometry!$D$42:$D$59)&lt;eco)+eco*(($R15+$S15*Geometry!$E$42:$E$59+$T15*Geometry!$D$42:$D$59)&gt;=eco))/eco)^n)*((($R15+$S15*Geometry!$E$42:$E$59+$T15*Geometry!$D$42:$D$59))&gt;0))),Geometry!$F$42:$F$59,Geometry!$D$42:$D$59))/1000000</f>
      </c>
      <c r="DB15" s="32">
        <f>(SUMPRODUCT(alpha*fck*(1-(1-((($U15+$V15*Mesh_Y+$W15*Mesh_X))*(($U15+$V15*Mesh_Y+$W15*Mesh_X)&gt;0)*(($U15+$V15*Mesh_Y+$W15*Mesh_X)&lt;eco)+eco*(($U15+$V15*Mesh_Y+$W15*Mesh_X)&gt;=eco))/eco)^n)*((($U15+$V15*Mesh_Y+$W15*Mesh_X))&gt;0),Mesh_A,Mesh_X)+SUMPRODUCT((Es*(($U15+$V15*Geometry!$E$42:$E$59+$W15*Geometry!$D$42:$D$59))*(ABS(Es*(($U15+$V15*Geometry!$E$42:$E$59+$W15*Geometry!$D$42:$D$59)))&lt;=fy)+fy*(Es*(($U15+$V15*Geometry!$E$42:$E$59+$W15*Geometry!$D$42:$D$59))&gt;fy)-fy*(Es*(($U15+$V15*Geometry!$E$42:$E$59+$W15*Geometry!$D$42:$D$59))&lt;-fy)-(alpha*fck*(1-(1-((($U15+$V15*Geometry!$E$42:$E$59+$W15*Geometry!$D$42:$D$59))*(($U15+$V15*Geometry!$E$42:$E$59+$W15*Geometry!$D$42:$D$59)&gt;0)*(($U15+$V15*Geometry!$E$42:$E$59+$W15*Geometry!$D$42:$D$59)&lt;eco)+eco*(($U15+$V15*Geometry!$E$42:$E$59+$W15*Geometry!$D$42:$D$59)&gt;=eco))/eco)^n)*((($U15+$V15*Geometry!$E$42:$E$59+$W15*Geometry!$D$42:$D$59))&gt;0))),Geometry!$F$42:$F$59,Geometry!$D$42:$D$59))/1000000</f>
      </c>
      <c r="DC15" s="32">
        <f>(SUMPRODUCT(alpha*fck*(1-(1-((($X15+$Y15*Mesh_Y+$Z15*Mesh_X))*(($X15+$Y15*Mesh_Y+$Z15*Mesh_X)&gt;0)*(($X15+$Y15*Mesh_Y+$Z15*Mesh_X)&lt;eco)+eco*(($X15+$Y15*Mesh_Y+$Z15*Mesh_X)&gt;=eco))/eco)^n)*((($X15+$Y15*Mesh_Y+$Z15*Mesh_X))&gt;0),Mesh_A,Mesh_X)+SUMPRODUCT((Es*(($X15+$Y15*Geometry!$E$42:$E$59+$Z15*Geometry!$D$42:$D$59))*(ABS(Es*(($X15+$Y15*Geometry!$E$42:$E$59+$Z15*Geometry!$D$42:$D$59)))&lt;=fy)+fy*(Es*(($X15+$Y15*Geometry!$E$42:$E$59+$Z15*Geometry!$D$42:$D$59))&gt;fy)-fy*(Es*(($X15+$Y15*Geometry!$E$42:$E$59+$Z15*Geometry!$D$42:$D$59))&lt;-fy)-(alpha*fck*(1-(1-((($X15+$Y15*Geometry!$E$42:$E$59+$Z15*Geometry!$D$42:$D$59))*(($X15+$Y15*Geometry!$E$42:$E$59+$Z15*Geometry!$D$42:$D$59)&gt;0)*(($X15+$Y15*Geometry!$E$42:$E$59+$Z15*Geometry!$D$42:$D$59)&lt;eco)+eco*(($X15+$Y15*Geometry!$E$42:$E$59+$Z15*Geometry!$D$42:$D$59)&gt;=eco))/eco)^n)*((($X15+$Y15*Geometry!$E$42:$E$59+$Z15*Geometry!$D$42:$D$59))&gt;0))),Geometry!$F$42:$F$59,Geometry!$D$42:$D$59))/1000000</f>
      </c>
      <c r="DD15" s="32">
        <f>(SUMPRODUCT(alpha*fck*(1-(1-((($AA15+$AB15*Mesh_Y+$AC15*Mesh_X))*(($AA15+$AB15*Mesh_Y+$AC15*Mesh_X)&gt;0)*(($AA15+$AB15*Mesh_Y+$AC15*Mesh_X)&lt;eco)+eco*(($AA15+$AB15*Mesh_Y+$AC15*Mesh_X)&gt;=eco))/eco)^n)*((($AA15+$AB15*Mesh_Y+$AC15*Mesh_X))&gt;0),Mesh_A,Mesh_X)+SUMPRODUCT((Es*(($AA15+$AB15*Geometry!$E$42:$E$59+$AC15*Geometry!$D$42:$D$59))*(ABS(Es*(($AA15+$AB15*Geometry!$E$42:$E$59+$AC15*Geometry!$D$42:$D$59)))&lt;=fy)+fy*(Es*(($AA15+$AB15*Geometry!$E$42:$E$59+$AC15*Geometry!$D$42:$D$59))&gt;fy)-fy*(Es*(($AA15+$AB15*Geometry!$E$42:$E$59+$AC15*Geometry!$D$42:$D$59))&lt;-fy)-(alpha*fck*(1-(1-((($AA15+$AB15*Geometry!$E$42:$E$59+$AC15*Geometry!$D$42:$D$59))*(($AA15+$AB15*Geometry!$E$42:$E$59+$AC15*Geometry!$D$42:$D$59)&gt;0)*(($AA15+$AB15*Geometry!$E$42:$E$59+$AC15*Geometry!$D$42:$D$59)&lt;eco)+eco*(($AA15+$AB15*Geometry!$E$42:$E$59+$AC15*Geometry!$D$42:$D$59)&gt;=eco))/eco)^n)*((($AA15+$AB15*Geometry!$E$42:$E$59+$AC15*Geometry!$D$42:$D$59))&gt;0))),Geometry!$F$42:$F$59,Geometry!$D$42:$D$59))/1000000</f>
      </c>
      <c r="DE15" s="32">
        <f>(SUMPRODUCT(alpha*fck*(1-(1-((($AD15+$AE15*Mesh_Y+$AF15*Mesh_X))*(($AD15+$AE15*Mesh_Y+$AF15*Mesh_X)&gt;0)*(($AD15+$AE15*Mesh_Y+$AF15*Mesh_X)&lt;eco)+eco*(($AD15+$AE15*Mesh_Y+$AF15*Mesh_X)&gt;=eco))/eco)^n)*((($AD15+$AE15*Mesh_Y+$AF15*Mesh_X))&gt;0),Mesh_A,Mesh_X)+SUMPRODUCT((Es*(($AD15+$AE15*Geometry!$E$42:$E$59+$AF15*Geometry!$D$42:$D$59))*(ABS(Es*(($AD15+$AE15*Geometry!$E$42:$E$59+$AF15*Geometry!$D$42:$D$59)))&lt;=fy)+fy*(Es*(($AD15+$AE15*Geometry!$E$42:$E$59+$AF15*Geometry!$D$42:$D$59))&gt;fy)-fy*(Es*(($AD15+$AE15*Geometry!$E$42:$E$59+$AF15*Geometry!$D$42:$D$59))&lt;-fy)-(alpha*fck*(1-(1-((($AD15+$AE15*Geometry!$E$42:$E$59+$AF15*Geometry!$D$42:$D$59))*(($AD15+$AE15*Geometry!$E$42:$E$59+$AF15*Geometry!$D$42:$D$59)&gt;0)*(($AD15+$AE15*Geometry!$E$42:$E$59+$AF15*Geometry!$D$42:$D$59)&lt;eco)+eco*(($AD15+$AE15*Geometry!$E$42:$E$59+$AF15*Geometry!$D$42:$D$59)&gt;=eco))/eco)^n)*((($AD15+$AE15*Geometry!$E$42:$E$59+$AF15*Geometry!$D$42:$D$59))&gt;0))),Geometry!$F$42:$F$59,Geometry!$D$42:$D$59))/1000000</f>
      </c>
      <c r="DF15" s="32">
        <f>(SUMPRODUCT(alpha*fck*(1-(1-((($AG15+$AH15*Mesh_Y+$AI15*Mesh_X))*(($AG15+$AH15*Mesh_Y+$AI15*Mesh_X)&gt;0)*(($AG15+$AH15*Mesh_Y+$AI15*Mesh_X)&lt;eco)+eco*(($AG15+$AH15*Mesh_Y+$AI15*Mesh_X)&gt;=eco))/eco)^n)*((($AG15+$AH15*Mesh_Y+$AI15*Mesh_X))&gt;0),Mesh_A,Mesh_X)+SUMPRODUCT((Es*(($AG15+$AH15*Geometry!$E$42:$E$59+$AI15*Geometry!$D$42:$D$59))*(ABS(Es*(($AG15+$AH15*Geometry!$E$42:$E$59+$AI15*Geometry!$D$42:$D$59)))&lt;=fy)+fy*(Es*(($AG15+$AH15*Geometry!$E$42:$E$59+$AI15*Geometry!$D$42:$D$59))&gt;fy)-fy*(Es*(($AG15+$AH15*Geometry!$E$42:$E$59+$AI15*Geometry!$D$42:$D$59))&lt;-fy)-(alpha*fck*(1-(1-((($AG15+$AH15*Geometry!$E$42:$E$59+$AI15*Geometry!$D$42:$D$59))*(($AG15+$AH15*Geometry!$E$42:$E$59+$AI15*Geometry!$D$42:$D$59)&gt;0)*(($AG15+$AH15*Geometry!$E$42:$E$59+$AI15*Geometry!$D$42:$D$59)&lt;eco)+eco*(($AG15+$AH15*Geometry!$E$42:$E$59+$AI15*Geometry!$D$42:$D$59)&gt;=eco))/eco)^n)*((($AG15+$AH15*Geometry!$E$42:$E$59+$AI15*Geometry!$D$42:$D$59))&gt;0))),Geometry!$F$42:$F$59,Geometry!$D$42:$D$59))/1000000</f>
      </c>
      <c r="DG15" s="32">
        <f>(SUMPRODUCT(alpha*fck*(1-(1-((($AJ15+$AK15*Mesh_Y+$AL15*Mesh_X))*(($AJ15+$AK15*Mesh_Y+$AL15*Mesh_X)&gt;0)*(($AJ15+$AK15*Mesh_Y+$AL15*Mesh_X)&lt;eco)+eco*(($AJ15+$AK15*Mesh_Y+$AL15*Mesh_X)&gt;=eco))/eco)^n)*((($AJ15+$AK15*Mesh_Y+$AL15*Mesh_X))&gt;0),Mesh_A,Mesh_X)+SUMPRODUCT((Es*(($AJ15+$AK15*Geometry!$E$42:$E$59+$AL15*Geometry!$D$42:$D$59))*(ABS(Es*(($AJ15+$AK15*Geometry!$E$42:$E$59+$AL15*Geometry!$D$42:$D$59)))&lt;=fy)+fy*(Es*(($AJ15+$AK15*Geometry!$E$42:$E$59+$AL15*Geometry!$D$42:$D$59))&gt;fy)-fy*(Es*(($AJ15+$AK15*Geometry!$E$42:$E$59+$AL15*Geometry!$D$42:$D$59))&lt;-fy)-(alpha*fck*(1-(1-((($AJ15+$AK15*Geometry!$E$42:$E$59+$AL15*Geometry!$D$42:$D$59))*(($AJ15+$AK15*Geometry!$E$42:$E$59+$AL15*Geometry!$D$42:$D$59)&gt;0)*(($AJ15+$AK15*Geometry!$E$42:$E$59+$AL15*Geometry!$D$42:$D$59)&lt;eco)+eco*(($AJ15+$AK15*Geometry!$E$42:$E$59+$AL15*Geometry!$D$42:$D$59)&gt;=eco))/eco)^n)*((($AJ15+$AK15*Geometry!$E$42:$E$59+$AL15*Geometry!$D$42:$D$59))&gt;0))),Geometry!$F$42:$F$59,Geometry!$D$42:$D$59))/1000000</f>
      </c>
      <c r="DH15" s="32">
        <f>(SUMPRODUCT(alpha*fck*(1-(1-((($AM15+$AN15*Mesh_Y+$AO15*Mesh_X))*(($AM15+$AN15*Mesh_Y+$AO15*Mesh_X)&gt;0)*(($AM15+$AN15*Mesh_Y+$AO15*Mesh_X)&lt;eco)+eco*(($AM15+$AN15*Mesh_Y+$AO15*Mesh_X)&gt;=eco))/eco)^n)*((($AM15+$AN15*Mesh_Y+$AO15*Mesh_X))&gt;0),Mesh_A,Mesh_X)+SUMPRODUCT((Es*(($AM15+$AN15*Geometry!$E$42:$E$59+$AO15*Geometry!$D$42:$D$59))*(ABS(Es*(($AM15+$AN15*Geometry!$E$42:$E$59+$AO15*Geometry!$D$42:$D$59)))&lt;=fy)+fy*(Es*(($AM15+$AN15*Geometry!$E$42:$E$59+$AO15*Geometry!$D$42:$D$59))&gt;fy)-fy*(Es*(($AM15+$AN15*Geometry!$E$42:$E$59+$AO15*Geometry!$D$42:$D$59))&lt;-fy)-(alpha*fck*(1-(1-((($AM15+$AN15*Geometry!$E$42:$E$59+$AO15*Geometry!$D$42:$D$59))*(($AM15+$AN15*Geometry!$E$42:$E$59+$AO15*Geometry!$D$42:$D$59)&gt;0)*(($AM15+$AN15*Geometry!$E$42:$E$59+$AO15*Geometry!$D$42:$D$59)&lt;eco)+eco*(($AM15+$AN15*Geometry!$E$42:$E$59+$AO15*Geometry!$D$42:$D$59)&gt;=eco))/eco)^n)*((($AM15+$AN15*Geometry!$E$42:$E$59+$AO15*Geometry!$D$42:$D$59))&gt;0))),Geometry!$F$42:$F$59,Geometry!$D$42:$D$59))/1000000</f>
      </c>
      <c r="DI15" s="32">
        <f>(SUMPRODUCT(alpha*fck*(1-(1-((($AP15+$AQ15*Mesh_Y+$AR15*Mesh_X))*(($AP15+$AQ15*Mesh_Y+$AR15*Mesh_X)&gt;0)*(($AP15+$AQ15*Mesh_Y+$AR15*Mesh_X)&lt;eco)+eco*(($AP15+$AQ15*Mesh_Y+$AR15*Mesh_X)&gt;=eco))/eco)^n)*((($AP15+$AQ15*Mesh_Y+$AR15*Mesh_X))&gt;0),Mesh_A,Mesh_X)+SUMPRODUCT((Es*(($AP15+$AQ15*Geometry!$E$42:$E$59+$AR15*Geometry!$D$42:$D$59))*(ABS(Es*(($AP15+$AQ15*Geometry!$E$42:$E$59+$AR15*Geometry!$D$42:$D$59)))&lt;=fy)+fy*(Es*(($AP15+$AQ15*Geometry!$E$42:$E$59+$AR15*Geometry!$D$42:$D$59))&gt;fy)-fy*(Es*(($AP15+$AQ15*Geometry!$E$42:$E$59+$AR15*Geometry!$D$42:$D$59))&lt;-fy)-(alpha*fck*(1-(1-((($AP15+$AQ15*Geometry!$E$42:$E$59+$AR15*Geometry!$D$42:$D$59))*(($AP15+$AQ15*Geometry!$E$42:$E$59+$AR15*Geometry!$D$42:$D$59)&gt;0)*(($AP15+$AQ15*Geometry!$E$42:$E$59+$AR15*Geometry!$D$42:$D$59)&lt;eco)+eco*(($AP15+$AQ15*Geometry!$E$42:$E$59+$AR15*Geometry!$D$42:$D$59)&gt;=eco))/eco)^n)*((($AP15+$AQ15*Geometry!$E$42:$E$59+$AR15*Geometry!$D$42:$D$59))&gt;0))),Geometry!$F$42:$F$59,Geometry!$D$42:$D$59))/1000000</f>
      </c>
      <c r="DJ15" s="32">
        <f>(SUMPRODUCT(alpha*fck*(1-(1-((($AS15+$AT15*Mesh_Y+$AU15*Mesh_X))*(($AS15+$AT15*Mesh_Y+$AU15*Mesh_X)&gt;0)*(($AS15+$AT15*Mesh_Y+$AU15*Mesh_X)&lt;eco)+eco*(($AS15+$AT15*Mesh_Y+$AU15*Mesh_X)&gt;=eco))/eco)^n)*((($AS15+$AT15*Mesh_Y+$AU15*Mesh_X))&gt;0),Mesh_A,Mesh_X)+SUMPRODUCT((Es*(($AS15+$AT15*Geometry!$E$42:$E$59+$AU15*Geometry!$D$42:$D$59))*(ABS(Es*(($AS15+$AT15*Geometry!$E$42:$E$59+$AU15*Geometry!$D$42:$D$59)))&lt;=fy)+fy*(Es*(($AS15+$AT15*Geometry!$E$42:$E$59+$AU15*Geometry!$D$42:$D$59))&gt;fy)-fy*(Es*(($AS15+$AT15*Geometry!$E$42:$E$59+$AU15*Geometry!$D$42:$D$59))&lt;-fy)-(alpha*fck*(1-(1-((($AS15+$AT15*Geometry!$E$42:$E$59+$AU15*Geometry!$D$42:$D$59))*(($AS15+$AT15*Geometry!$E$42:$E$59+$AU15*Geometry!$D$42:$D$59)&gt;0)*(($AS15+$AT15*Geometry!$E$42:$E$59+$AU15*Geometry!$D$42:$D$59)&lt;eco)+eco*(($AS15+$AT15*Geometry!$E$42:$E$59+$AU15*Geometry!$D$42:$D$59)&gt;=eco))/eco)^n)*((($AS15+$AT15*Geometry!$E$42:$E$59+$AU15*Geometry!$D$42:$D$59))&gt;0))),Geometry!$F$42:$F$59,Geometry!$D$42:$D$59))/1000000</f>
      </c>
      <c r="DK15" s="32">
        <f>(SUMPRODUCT(alpha*fck*(1-(1-((($AV15+$AW15*Mesh_Y+$AX15*Mesh_X))*(($AV15+$AW15*Mesh_Y+$AX15*Mesh_X)&gt;0)*(($AV15+$AW15*Mesh_Y+$AX15*Mesh_X)&lt;eco)+eco*(($AV15+$AW15*Mesh_Y+$AX15*Mesh_X)&gt;=eco))/eco)^n)*((($AV15+$AW15*Mesh_Y+$AX15*Mesh_X))&gt;0),Mesh_A,Mesh_X)+SUMPRODUCT((Es*(($AV15+$AW15*Geometry!$E$42:$E$59+$AX15*Geometry!$D$42:$D$59))*(ABS(Es*(($AV15+$AW15*Geometry!$E$42:$E$59+$AX15*Geometry!$D$42:$D$59)))&lt;=fy)+fy*(Es*(($AV15+$AW15*Geometry!$E$42:$E$59+$AX15*Geometry!$D$42:$D$59))&gt;fy)-fy*(Es*(($AV15+$AW15*Geometry!$E$42:$E$59+$AX15*Geometry!$D$42:$D$59))&lt;-fy)-(alpha*fck*(1-(1-((($AV15+$AW15*Geometry!$E$42:$E$59+$AX15*Geometry!$D$42:$D$59))*(($AV15+$AW15*Geometry!$E$42:$E$59+$AX15*Geometry!$D$42:$D$59)&gt;0)*(($AV15+$AW15*Geometry!$E$42:$E$59+$AX15*Geometry!$D$42:$D$59)&lt;eco)+eco*(($AV15+$AW15*Geometry!$E$42:$E$59+$AX15*Geometry!$D$42:$D$59)&gt;=eco))/eco)^n)*((($AV15+$AW15*Geometry!$E$42:$E$59+$AX15*Geometry!$D$42:$D$59))&gt;0))),Geometry!$F$42:$F$59,Geometry!$D$42:$D$59))/1000000</f>
      </c>
      <c r="DL15" s="32">
        <f>(SUMPRODUCT(alpha*fck*(1-(1-((($AY15+$AZ15*Mesh_Y+$BA15*Mesh_X))*(($AY15+$AZ15*Mesh_Y+$BA15*Mesh_X)&gt;0)*(($AY15+$AZ15*Mesh_Y+$BA15*Mesh_X)&lt;eco)+eco*(($AY15+$AZ15*Mesh_Y+$BA15*Mesh_X)&gt;=eco))/eco)^n)*((($AY15+$AZ15*Mesh_Y+$BA15*Mesh_X))&gt;0),Mesh_A,Mesh_X)+SUMPRODUCT((Es*(($AY15+$AZ15*Geometry!$E$42:$E$59+$BA15*Geometry!$D$42:$D$59))*(ABS(Es*(($AY15+$AZ15*Geometry!$E$42:$E$59+$BA15*Geometry!$D$42:$D$59)))&lt;=fy)+fy*(Es*(($AY15+$AZ15*Geometry!$E$42:$E$59+$BA15*Geometry!$D$42:$D$59))&gt;fy)-fy*(Es*(($AY15+$AZ15*Geometry!$E$42:$E$59+$BA15*Geometry!$D$42:$D$59))&lt;-fy)-(alpha*fck*(1-(1-((($AY15+$AZ15*Geometry!$E$42:$E$59+$BA15*Geometry!$D$42:$D$59))*(($AY15+$AZ15*Geometry!$E$42:$E$59+$BA15*Geometry!$D$42:$D$59)&gt;0)*(($AY15+$AZ15*Geometry!$E$42:$E$59+$BA15*Geometry!$D$42:$D$59)&lt;eco)+eco*(($AY15+$AZ15*Geometry!$E$42:$E$59+$BA15*Geometry!$D$42:$D$59)&gt;=eco))/eco)^n)*((($AY15+$AZ15*Geometry!$E$42:$E$59+$BA15*Geometry!$D$42:$D$59))&gt;0))),Geometry!$F$42:$F$59,Geometry!$D$42:$D$59))/1000000</f>
      </c>
      <c r="DM15" s="32">
        <f>(SUMPRODUCT(alpha*fck*(1-(1-((($BB15+$BC15*Mesh_Y+$BD15*Mesh_X))*(($BB15+$BC15*Mesh_Y+$BD15*Mesh_X)&gt;0)*(($BB15+$BC15*Mesh_Y+$BD15*Mesh_X)&lt;eco)+eco*(($BB15+$BC15*Mesh_Y+$BD15*Mesh_X)&gt;=eco))/eco)^n)*((($BB15+$BC15*Mesh_Y+$BD15*Mesh_X))&gt;0),Mesh_A,Mesh_X)+SUMPRODUCT((Es*(($BB15+$BC15*Geometry!$E$42:$E$59+$BD15*Geometry!$D$42:$D$59))*(ABS(Es*(($BB15+$BC15*Geometry!$E$42:$E$59+$BD15*Geometry!$D$42:$D$59)))&lt;=fy)+fy*(Es*(($BB15+$BC15*Geometry!$E$42:$E$59+$BD15*Geometry!$D$42:$D$59))&gt;fy)-fy*(Es*(($BB15+$BC15*Geometry!$E$42:$E$59+$BD15*Geometry!$D$42:$D$59))&lt;-fy)-(alpha*fck*(1-(1-((($BB15+$BC15*Geometry!$E$42:$E$59+$BD15*Geometry!$D$42:$D$59))*(($BB15+$BC15*Geometry!$E$42:$E$59+$BD15*Geometry!$D$42:$D$59)&gt;0)*(($BB15+$BC15*Geometry!$E$42:$E$59+$BD15*Geometry!$D$42:$D$59)&lt;eco)+eco*(($BB15+$BC15*Geometry!$E$42:$E$59+$BD15*Geometry!$D$42:$D$59)&gt;=eco))/eco)^n)*((($BB15+$BC15*Geometry!$E$42:$E$59+$BD15*Geometry!$D$42:$D$59))&gt;0))),Geometry!$F$42:$F$59,Geometry!$D$42:$D$59))/1000000</f>
      </c>
      <c r="DN15" s="32">
        <f>(SUMPRODUCT(alpha*fck*(1-(1-((($BE15+$BF15*Mesh_Y+$BG15*Mesh_X))*(($BE15+$BF15*Mesh_Y+$BG15*Mesh_X)&gt;0)*(($BE15+$BF15*Mesh_Y+$BG15*Mesh_X)&lt;eco)+eco*(($BE15+$BF15*Mesh_Y+$BG15*Mesh_X)&gt;=eco))/eco)^n)*((($BE15+$BF15*Mesh_Y+$BG15*Mesh_X))&gt;0),Mesh_A,Mesh_X)+SUMPRODUCT((Es*(($BE15+$BF15*Geometry!$E$42:$E$59+$BG15*Geometry!$D$42:$D$59))*(ABS(Es*(($BE15+$BF15*Geometry!$E$42:$E$59+$BG15*Geometry!$D$42:$D$59)))&lt;=fy)+fy*(Es*(($BE15+$BF15*Geometry!$E$42:$E$59+$BG15*Geometry!$D$42:$D$59))&gt;fy)-fy*(Es*(($BE15+$BF15*Geometry!$E$42:$E$59+$BG15*Geometry!$D$42:$D$59))&lt;-fy)-(alpha*fck*(1-(1-((($BE15+$BF15*Geometry!$E$42:$E$59+$BG15*Geometry!$D$42:$D$59))*(($BE15+$BF15*Geometry!$E$42:$E$59+$BG15*Geometry!$D$42:$D$59)&gt;0)*(($BE15+$BF15*Geometry!$E$42:$E$59+$BG15*Geometry!$D$42:$D$59)&lt;eco)+eco*(($BE15+$BF15*Geometry!$E$42:$E$59+$BG15*Geometry!$D$42:$D$59)&gt;=eco))/eco)^n)*((($BE15+$BF15*Geometry!$E$42:$E$59+$BG15*Geometry!$D$42:$D$59))&gt;0))),Geometry!$F$42:$F$59,Geometry!$D$42:$D$59))/1000000</f>
      </c>
      <c r="DO15" s="32">
        <f>(SUMPRODUCT(alpha*fck*(1-(1-((($BH15+$BI15*Mesh_Y+$BJ15*Mesh_X))*(($BH15+$BI15*Mesh_Y+$BJ15*Mesh_X)&gt;0)*(($BH15+$BI15*Mesh_Y+$BJ15*Mesh_X)&lt;eco)+eco*(($BH15+$BI15*Mesh_Y+$BJ15*Mesh_X)&gt;=eco))/eco)^n)*((($BH15+$BI15*Mesh_Y+$BJ15*Mesh_X))&gt;0),Mesh_A,Mesh_X)+SUMPRODUCT((Es*(($BH15+$BI15*Geometry!$E$42:$E$59+$BJ15*Geometry!$D$42:$D$59))*(ABS(Es*(($BH15+$BI15*Geometry!$E$42:$E$59+$BJ15*Geometry!$D$42:$D$59)))&lt;=fy)+fy*(Es*(($BH15+$BI15*Geometry!$E$42:$E$59+$BJ15*Geometry!$D$42:$D$59))&gt;fy)-fy*(Es*(($BH15+$BI15*Geometry!$E$42:$E$59+$BJ15*Geometry!$D$42:$D$59))&lt;-fy)-(alpha*fck*(1-(1-((($BH15+$BI15*Geometry!$E$42:$E$59+$BJ15*Geometry!$D$42:$D$59))*(($BH15+$BI15*Geometry!$E$42:$E$59+$BJ15*Geometry!$D$42:$D$59)&gt;0)*(($BH15+$BI15*Geometry!$E$42:$E$59+$BJ15*Geometry!$D$42:$D$59)&lt;eco)+eco*(($BH15+$BI15*Geometry!$E$42:$E$59+$BJ15*Geometry!$D$42:$D$59)&gt;=eco))/eco)^n)*((($BH15+$BI15*Geometry!$E$42:$E$59+$BJ15*Geometry!$D$42:$D$59))&gt;0))),Geometry!$F$42:$F$59,Geometry!$D$42:$D$59))/1000000</f>
      </c>
      <c r="DP15" s="45">
        <f>MAX(1,MIN(18,SUMPRODUCT(--($BK15:$CC15&gt;=Pu))))</f>
      </c>
      <c r="DQ15" s="46">
        <f>(Pu-INDEX($BK15:$CC15,1,$DP15))/(INDEX($BK15:$CC15,1,$DP15+1)-INDEX($BK15:$CC15,1,$DP15))</f>
      </c>
      <c r="DR15" s="33">
        <f>INDEX($CD15:$CV15,1,$DP15)+$DQ15*(INDEX($CD15:$CV15,1,$DP15+1)-INDEX($CD15:$CV15,1,$DP15))</f>
      </c>
      <c r="DS15" s="33">
        <f>INDEX($CW15:$DO15,1,$DP15)+$DQ15*(INDEX($CW15:$DO15,1,$DP15+1)-INDEX($CW15:$DO15,1,$DP15))</f>
      </c>
      <c r="DT15" s="33">
        <f>SQRT(DR15^2+DS15^2)</f>
      </c>
    </row>
    <row r="16" spans="1:124" x14ac:dyDescent="0.25">
      <c r="A16">
        <v>9</v>
      </c>
      <c r="B16" s="43">
        <v>120</v>
      </c>
      <c r="C16" s="12">
        <f>MAX(SUMPRODUCT(MAX((Geometry!$E$6:$E$13)*COS(RADIANS($B16))+(Geometry!$D$6:$D$13)*SIN(RADIANS($B16)))))</f>
      </c>
      <c r="D16" s="12">
        <f>SUMPRODUCT(MIN((Geometry!$E$42:$E$59)*COS(RADIANS($B16))+(Geometry!$D$42:$D$59)*SIN(RADIANS($B16))))</f>
      </c>
      <c r="E16" s="12">
        <f>C16-D16</f>
      </c>
      <c r="F16" s="30">
        <f>ecu</f>
      </c>
      <c r="G16" s="44">
        <f>0*COS(RADIANS($B16))</f>
      </c>
      <c r="H16" s="44">
        <f>0*SIN(RADIANS($B16))</f>
      </c>
      <c r="I16" s="30">
        <f>ecu-((ecu-0)/($C16-($C16-PM_Angle!$C$8*$E16)))*$C16</f>
      </c>
      <c r="J16" s="44">
        <f>((ecu-0)/($C16-($C16-PM_Angle!$C$8*$E16)))*COS(RADIANS($B16))</f>
      </c>
      <c r="K16" s="44">
        <f>((ecu-0)/($C16-($C16-PM_Angle!$C$8*$E16)))*SIN(RADIANS($B16))</f>
      </c>
      <c r="L16" s="30">
        <f>ecu-((ecu-0)/($C16-($C16-PM_Angle!$C$9*$E16)))*$C16</f>
      </c>
      <c r="M16" s="44">
        <f>((ecu-0)/($C16-($C16-PM_Angle!$C$9*$E16)))*COS(RADIANS($B16))</f>
      </c>
      <c r="N16" s="44">
        <f>((ecu-0)/($C16-($C16-PM_Angle!$C$9*$E16)))*SIN(RADIANS($B16))</f>
      </c>
      <c r="O16" s="30">
        <f>ecu-((ecu-0)/($C16-($C16-PM_Angle!$C$10*$E16)))*$C16</f>
      </c>
      <c r="P16" s="44">
        <f>((ecu-0)/($C16-($C16-PM_Angle!$C$10*$E16)))*COS(RADIANS($B16))</f>
      </c>
      <c r="Q16" s="44">
        <f>((ecu-0)/($C16-($C16-PM_Angle!$C$10*$E16)))*SIN(RADIANS($B16))</f>
      </c>
      <c r="R16" s="30">
        <f>ecu-((ecu-0)/($C16-($C16-PM_Angle!$C$11*$E16)))*$C16</f>
      </c>
      <c r="S16" s="44">
        <f>((ecu-0)/($C16-($C16-PM_Angle!$C$11*$E16)))*COS(RADIANS($B16))</f>
      </c>
      <c r="T16" s="44">
        <f>((ecu-0)/($C16-($C16-PM_Angle!$C$11*$E16)))*SIN(RADIANS($B16))</f>
      </c>
      <c r="U16" s="30">
        <f>ecu-((ecu-(-PM_Angle!$E$12))/($C16-$D16))*$C16</f>
      </c>
      <c r="V16" s="44">
        <f>((ecu-(-PM_Angle!$E$12))/($C16-$D16))*COS(RADIANS($B16))</f>
      </c>
      <c r="W16" s="44">
        <f>((ecu-(-PM_Angle!$E$12))/($C16-$D16))*SIN(RADIANS($B16))</f>
      </c>
      <c r="X16" s="30">
        <f>ecu-((ecu-(-PM_Angle!$D$13*fy/Es))/($C16-$D16))*$C16</f>
      </c>
      <c r="Y16" s="44">
        <f>((ecu-(-PM_Angle!$D$13*fy/Es))/($C16-$D16))*COS(RADIANS($B16))</f>
      </c>
      <c r="Z16" s="44">
        <f>((ecu-(-PM_Angle!$D$13*fy/Es))/($C16-$D16))*SIN(RADIANS($B16))</f>
      </c>
      <c r="AA16" s="30">
        <f>ecu-((ecu-(-PM_Angle!$D$14*fy/Es))/($C16-$D16))*$C16</f>
      </c>
      <c r="AB16" s="44">
        <f>((ecu-(-PM_Angle!$D$14*fy/Es))/($C16-$D16))*COS(RADIANS($B16))</f>
      </c>
      <c r="AC16" s="44">
        <f>((ecu-(-PM_Angle!$D$14*fy/Es))/($C16-$D16))*SIN(RADIANS($B16))</f>
      </c>
      <c r="AD16" s="30">
        <f>ecu-((ecu-(-PM_Angle!$D$15*fy/Es))/($C16-$D16))*$C16</f>
      </c>
      <c r="AE16" s="44">
        <f>((ecu-(-PM_Angle!$D$15*fy/Es))/($C16-$D16))*COS(RADIANS($B16))</f>
      </c>
      <c r="AF16" s="44">
        <f>((ecu-(-PM_Angle!$D$15*fy/Es))/($C16-$D16))*SIN(RADIANS($B16))</f>
      </c>
      <c r="AG16" s="30">
        <f>ecu-((ecu-(-PM_Angle!$D$16*fy/Es))/($C16-$D16))*$C16</f>
      </c>
      <c r="AH16" s="44">
        <f>((ecu-(-PM_Angle!$D$16*fy/Es))/($C16-$D16))*COS(RADIANS($B16))</f>
      </c>
      <c r="AI16" s="44">
        <f>((ecu-(-PM_Angle!$D$16*fy/Es))/($C16-$D16))*SIN(RADIANS($B16))</f>
      </c>
      <c r="AJ16" s="30">
        <f>ecu-((ecu-(-PM_Angle!$E$17))/($C16-$D16))*$C16</f>
      </c>
      <c r="AK16" s="44">
        <f>((ecu-(-PM_Angle!$E$17))/($C16-$D16))*COS(RADIANS($B16))</f>
      </c>
      <c r="AL16" s="44">
        <f>((ecu-(-PM_Angle!$E$17))/($C16-$D16))*SIN(RADIANS($B16))</f>
      </c>
      <c r="AM16" s="30">
        <f>ecu-((ecu-(-PM_Angle!$E$18))/($C16-$D16))*$C16</f>
      </c>
      <c r="AN16" s="44">
        <f>((ecu-(-PM_Angle!$E$18))/($C16-$D16))*COS(RADIANS($B16))</f>
      </c>
      <c r="AO16" s="44">
        <f>((ecu-(-PM_Angle!$E$18))/($C16-$D16))*SIN(RADIANS($B16))</f>
      </c>
      <c r="AP16" s="30">
        <f>ecu-((ecu-(-PM_Angle!$E$19))/($C16-$D16))*$C16</f>
      </c>
      <c r="AQ16" s="44">
        <f>((ecu-(-PM_Angle!$E$19))/($C16-$D16))*COS(RADIANS($B16))</f>
      </c>
      <c r="AR16" s="44">
        <f>((ecu-(-PM_Angle!$E$19))/($C16-$D16))*SIN(RADIANS($B16))</f>
      </c>
      <c r="AS16" s="30">
        <f>ecu-((ecu-(-PM_Angle!$E$20))/($C16-$D16))*$C16</f>
      </c>
      <c r="AT16" s="44">
        <f>((ecu-(-PM_Angle!$E$20))/($C16-$D16))*COS(RADIANS($B16))</f>
      </c>
      <c r="AU16" s="44">
        <f>((ecu-(-PM_Angle!$E$20))/($C16-$D16))*SIN(RADIANS($B16))</f>
      </c>
      <c r="AV16" s="30">
        <f>ecu-((ecu-(-PM_Angle!$E$21))/($C16-$D16))*$C16</f>
      </c>
      <c r="AW16" s="44">
        <f>((ecu-(-PM_Angle!$E$21))/($C16-$D16))*COS(RADIANS($B16))</f>
      </c>
      <c r="AX16" s="44">
        <f>((ecu-(-PM_Angle!$E$21))/($C16-$D16))*SIN(RADIANS($B16))</f>
      </c>
      <c r="AY16" s="30">
        <f>ecu-((ecu-(-PM_Angle!$E$22))/($C16-$D16))*$C16</f>
      </c>
      <c r="AZ16" s="44">
        <f>((ecu-(-PM_Angle!$E$22))/($C16-$D16))*COS(RADIANS($B16))</f>
      </c>
      <c r="BA16" s="44">
        <f>((ecu-(-PM_Angle!$E$22))/($C16-$D16))*SIN(RADIANS($B16))</f>
      </c>
      <c r="BB16" s="30">
        <f>ecu-((ecu-(-PM_Angle!$E$23))/($C16-$D16))*$C16</f>
      </c>
      <c r="BC16" s="44">
        <f>((ecu-(-PM_Angle!$E$23))/($C16-$D16))*COS(RADIANS($B16))</f>
      </c>
      <c r="BD16" s="44">
        <f>((ecu-(-PM_Angle!$E$23))/($C16-$D16))*SIN(RADIANS($B16))</f>
      </c>
      <c r="BE16" s="30">
        <f>ecu-((ecu-(-PM_Angle!$E$24))/($C16-$D16))*$C16</f>
      </c>
      <c r="BF16" s="44">
        <f>((ecu-(-PM_Angle!$E$24))/($C16-$D16))*COS(RADIANS($B16))</f>
      </c>
      <c r="BG16" s="44">
        <f>((ecu-(-PM_Angle!$E$24))/($C16-$D16))*SIN(RADIANS($B16))</f>
      </c>
      <c r="BH16" s="30">
        <f>etu</f>
      </c>
      <c r="BI16" s="44">
        <f>0*COS(RADIANS($B16))</f>
      </c>
      <c r="BJ16" s="44">
        <f>0*SIN(RADIANS($B16))</f>
      </c>
      <c r="BK16" s="32">
        <f>(SUMPRODUCT(alpha*fck*(1-(1-((($F16+$G16*Mesh_Y+$H16*Mesh_X))*(($F16+$G16*Mesh_Y+$H16*Mesh_X)&gt;0)*(($F16+$G16*Mesh_Y+$H16*Mesh_X)&lt;eco)+eco*(($F16+$G16*Mesh_Y+$H16*Mesh_X)&gt;=eco))/eco)^n)*((($F16+$G16*Mesh_Y+$H16*Mesh_X))&gt;0),Mesh_A)+SUMPRODUCT((Es*(($F16+$G16*Geometry!$E$42:$E$59+$H16*Geometry!$D$42:$D$59))*(ABS(Es*(($F16+$G16*Geometry!$E$42:$E$59+$H16*Geometry!$D$42:$D$59)))&lt;=fy)+fy*(Es*(($F16+$G16*Geometry!$E$42:$E$59+$H16*Geometry!$D$42:$D$59))&gt;fy)-fy*(Es*(($F16+$G16*Geometry!$E$42:$E$59+$H16*Geometry!$D$42:$D$59))&lt;-fy)-(alpha*fck*(1-(1-((($F16+$G16*Geometry!$E$42:$E$59+$H16*Geometry!$D$42:$D$59))*(($F16+$G16*Geometry!$E$42:$E$59+$H16*Geometry!$D$42:$D$59)&gt;0)*(($F16+$G16*Geometry!$E$42:$E$59+$H16*Geometry!$D$42:$D$59)&lt;eco)+eco*(($F16+$G16*Geometry!$E$42:$E$59+$H16*Geometry!$D$42:$D$59)&gt;=eco))/eco)^n)*((($F16+$G16*Geometry!$E$42:$E$59+$H16*Geometry!$D$42:$D$59))&gt;0))),Geometry!$F$42:$F$59))/1000</f>
      </c>
      <c r="BL16" s="32">
        <f>(SUMPRODUCT(alpha*fck*(1-(1-((($I16+$J16*Mesh_Y+$K16*Mesh_X))*(($I16+$J16*Mesh_Y+$K16*Mesh_X)&gt;0)*(($I16+$J16*Mesh_Y+$K16*Mesh_X)&lt;eco)+eco*(($I16+$J16*Mesh_Y+$K16*Mesh_X)&gt;=eco))/eco)^n)*((($I16+$J16*Mesh_Y+$K16*Mesh_X))&gt;0),Mesh_A)+SUMPRODUCT((Es*(($I16+$J16*Geometry!$E$42:$E$59+$K16*Geometry!$D$42:$D$59))*(ABS(Es*(($I16+$J16*Geometry!$E$42:$E$59+$K16*Geometry!$D$42:$D$59)))&lt;=fy)+fy*(Es*(($I16+$J16*Geometry!$E$42:$E$59+$K16*Geometry!$D$42:$D$59))&gt;fy)-fy*(Es*(($I16+$J16*Geometry!$E$42:$E$59+$K16*Geometry!$D$42:$D$59))&lt;-fy)-(alpha*fck*(1-(1-((($I16+$J16*Geometry!$E$42:$E$59+$K16*Geometry!$D$42:$D$59))*(($I16+$J16*Geometry!$E$42:$E$59+$K16*Geometry!$D$42:$D$59)&gt;0)*(($I16+$J16*Geometry!$E$42:$E$59+$K16*Geometry!$D$42:$D$59)&lt;eco)+eco*(($I16+$J16*Geometry!$E$42:$E$59+$K16*Geometry!$D$42:$D$59)&gt;=eco))/eco)^n)*((($I16+$J16*Geometry!$E$42:$E$59+$K16*Geometry!$D$42:$D$59))&gt;0))),Geometry!$F$42:$F$59))/1000</f>
      </c>
      <c r="BM16" s="32">
        <f>(SUMPRODUCT(alpha*fck*(1-(1-((($L16+$M16*Mesh_Y+$N16*Mesh_X))*(($L16+$M16*Mesh_Y+$N16*Mesh_X)&gt;0)*(($L16+$M16*Mesh_Y+$N16*Mesh_X)&lt;eco)+eco*(($L16+$M16*Mesh_Y+$N16*Mesh_X)&gt;=eco))/eco)^n)*((($L16+$M16*Mesh_Y+$N16*Mesh_X))&gt;0),Mesh_A)+SUMPRODUCT((Es*(($L16+$M16*Geometry!$E$42:$E$59+$N16*Geometry!$D$42:$D$59))*(ABS(Es*(($L16+$M16*Geometry!$E$42:$E$59+$N16*Geometry!$D$42:$D$59)))&lt;=fy)+fy*(Es*(($L16+$M16*Geometry!$E$42:$E$59+$N16*Geometry!$D$42:$D$59))&gt;fy)-fy*(Es*(($L16+$M16*Geometry!$E$42:$E$59+$N16*Geometry!$D$42:$D$59))&lt;-fy)-(alpha*fck*(1-(1-((($L16+$M16*Geometry!$E$42:$E$59+$N16*Geometry!$D$42:$D$59))*(($L16+$M16*Geometry!$E$42:$E$59+$N16*Geometry!$D$42:$D$59)&gt;0)*(($L16+$M16*Geometry!$E$42:$E$59+$N16*Geometry!$D$42:$D$59)&lt;eco)+eco*(($L16+$M16*Geometry!$E$42:$E$59+$N16*Geometry!$D$42:$D$59)&gt;=eco))/eco)^n)*((($L16+$M16*Geometry!$E$42:$E$59+$N16*Geometry!$D$42:$D$59))&gt;0))),Geometry!$F$42:$F$59))/1000</f>
      </c>
      <c r="BN16" s="32">
        <f>(SUMPRODUCT(alpha*fck*(1-(1-((($O16+$P16*Mesh_Y+$Q16*Mesh_X))*(($O16+$P16*Mesh_Y+$Q16*Mesh_X)&gt;0)*(($O16+$P16*Mesh_Y+$Q16*Mesh_X)&lt;eco)+eco*(($O16+$P16*Mesh_Y+$Q16*Mesh_X)&gt;=eco))/eco)^n)*((($O16+$P16*Mesh_Y+$Q16*Mesh_X))&gt;0),Mesh_A)+SUMPRODUCT((Es*(($O16+$P16*Geometry!$E$42:$E$59+$Q16*Geometry!$D$42:$D$59))*(ABS(Es*(($O16+$P16*Geometry!$E$42:$E$59+$Q16*Geometry!$D$42:$D$59)))&lt;=fy)+fy*(Es*(($O16+$P16*Geometry!$E$42:$E$59+$Q16*Geometry!$D$42:$D$59))&gt;fy)-fy*(Es*(($O16+$P16*Geometry!$E$42:$E$59+$Q16*Geometry!$D$42:$D$59))&lt;-fy)-(alpha*fck*(1-(1-((($O16+$P16*Geometry!$E$42:$E$59+$Q16*Geometry!$D$42:$D$59))*(($O16+$P16*Geometry!$E$42:$E$59+$Q16*Geometry!$D$42:$D$59)&gt;0)*(($O16+$P16*Geometry!$E$42:$E$59+$Q16*Geometry!$D$42:$D$59)&lt;eco)+eco*(($O16+$P16*Geometry!$E$42:$E$59+$Q16*Geometry!$D$42:$D$59)&gt;=eco))/eco)^n)*((($O16+$P16*Geometry!$E$42:$E$59+$Q16*Geometry!$D$42:$D$59))&gt;0))),Geometry!$F$42:$F$59))/1000</f>
      </c>
      <c r="BO16" s="32">
        <f>(SUMPRODUCT(alpha*fck*(1-(1-((($R16+$S16*Mesh_Y+$T16*Mesh_X))*(($R16+$S16*Mesh_Y+$T16*Mesh_X)&gt;0)*(($R16+$S16*Mesh_Y+$T16*Mesh_X)&lt;eco)+eco*(($R16+$S16*Mesh_Y+$T16*Mesh_X)&gt;=eco))/eco)^n)*((($R16+$S16*Mesh_Y+$T16*Mesh_X))&gt;0),Mesh_A)+SUMPRODUCT((Es*(($R16+$S16*Geometry!$E$42:$E$59+$T16*Geometry!$D$42:$D$59))*(ABS(Es*(($R16+$S16*Geometry!$E$42:$E$59+$T16*Geometry!$D$42:$D$59)))&lt;=fy)+fy*(Es*(($R16+$S16*Geometry!$E$42:$E$59+$T16*Geometry!$D$42:$D$59))&gt;fy)-fy*(Es*(($R16+$S16*Geometry!$E$42:$E$59+$T16*Geometry!$D$42:$D$59))&lt;-fy)-(alpha*fck*(1-(1-((($R16+$S16*Geometry!$E$42:$E$59+$T16*Geometry!$D$42:$D$59))*(($R16+$S16*Geometry!$E$42:$E$59+$T16*Geometry!$D$42:$D$59)&gt;0)*(($R16+$S16*Geometry!$E$42:$E$59+$T16*Geometry!$D$42:$D$59)&lt;eco)+eco*(($R16+$S16*Geometry!$E$42:$E$59+$T16*Geometry!$D$42:$D$59)&gt;=eco))/eco)^n)*((($R16+$S16*Geometry!$E$42:$E$59+$T16*Geometry!$D$42:$D$59))&gt;0))),Geometry!$F$42:$F$59))/1000</f>
      </c>
      <c r="BP16" s="32">
        <f>(SUMPRODUCT(alpha*fck*(1-(1-((($U16+$V16*Mesh_Y+$W16*Mesh_X))*(($U16+$V16*Mesh_Y+$W16*Mesh_X)&gt;0)*(($U16+$V16*Mesh_Y+$W16*Mesh_X)&lt;eco)+eco*(($U16+$V16*Mesh_Y+$W16*Mesh_X)&gt;=eco))/eco)^n)*((($U16+$V16*Mesh_Y+$W16*Mesh_X))&gt;0),Mesh_A)+SUMPRODUCT((Es*(($U16+$V16*Geometry!$E$42:$E$59+$W16*Geometry!$D$42:$D$59))*(ABS(Es*(($U16+$V16*Geometry!$E$42:$E$59+$W16*Geometry!$D$42:$D$59)))&lt;=fy)+fy*(Es*(($U16+$V16*Geometry!$E$42:$E$59+$W16*Geometry!$D$42:$D$59))&gt;fy)-fy*(Es*(($U16+$V16*Geometry!$E$42:$E$59+$W16*Geometry!$D$42:$D$59))&lt;-fy)-(alpha*fck*(1-(1-((($U16+$V16*Geometry!$E$42:$E$59+$W16*Geometry!$D$42:$D$59))*(($U16+$V16*Geometry!$E$42:$E$59+$W16*Geometry!$D$42:$D$59)&gt;0)*(($U16+$V16*Geometry!$E$42:$E$59+$W16*Geometry!$D$42:$D$59)&lt;eco)+eco*(($U16+$V16*Geometry!$E$42:$E$59+$W16*Geometry!$D$42:$D$59)&gt;=eco))/eco)^n)*((($U16+$V16*Geometry!$E$42:$E$59+$W16*Geometry!$D$42:$D$59))&gt;0))),Geometry!$F$42:$F$59))/1000</f>
      </c>
      <c r="BQ16" s="32">
        <f>(SUMPRODUCT(alpha*fck*(1-(1-((($X16+$Y16*Mesh_Y+$Z16*Mesh_X))*(($X16+$Y16*Mesh_Y+$Z16*Mesh_X)&gt;0)*(($X16+$Y16*Mesh_Y+$Z16*Mesh_X)&lt;eco)+eco*(($X16+$Y16*Mesh_Y+$Z16*Mesh_X)&gt;=eco))/eco)^n)*((($X16+$Y16*Mesh_Y+$Z16*Mesh_X))&gt;0),Mesh_A)+SUMPRODUCT((Es*(($X16+$Y16*Geometry!$E$42:$E$59+$Z16*Geometry!$D$42:$D$59))*(ABS(Es*(($X16+$Y16*Geometry!$E$42:$E$59+$Z16*Geometry!$D$42:$D$59)))&lt;=fy)+fy*(Es*(($X16+$Y16*Geometry!$E$42:$E$59+$Z16*Geometry!$D$42:$D$59))&gt;fy)-fy*(Es*(($X16+$Y16*Geometry!$E$42:$E$59+$Z16*Geometry!$D$42:$D$59))&lt;-fy)-(alpha*fck*(1-(1-((($X16+$Y16*Geometry!$E$42:$E$59+$Z16*Geometry!$D$42:$D$59))*(($X16+$Y16*Geometry!$E$42:$E$59+$Z16*Geometry!$D$42:$D$59)&gt;0)*(($X16+$Y16*Geometry!$E$42:$E$59+$Z16*Geometry!$D$42:$D$59)&lt;eco)+eco*(($X16+$Y16*Geometry!$E$42:$E$59+$Z16*Geometry!$D$42:$D$59)&gt;=eco))/eco)^n)*((($X16+$Y16*Geometry!$E$42:$E$59+$Z16*Geometry!$D$42:$D$59))&gt;0))),Geometry!$F$42:$F$59))/1000</f>
      </c>
      <c r="BR16" s="32">
        <f>(SUMPRODUCT(alpha*fck*(1-(1-((($AA16+$AB16*Mesh_Y+$AC16*Mesh_X))*(($AA16+$AB16*Mesh_Y+$AC16*Mesh_X)&gt;0)*(($AA16+$AB16*Mesh_Y+$AC16*Mesh_X)&lt;eco)+eco*(($AA16+$AB16*Mesh_Y+$AC16*Mesh_X)&gt;=eco))/eco)^n)*((($AA16+$AB16*Mesh_Y+$AC16*Mesh_X))&gt;0),Mesh_A)+SUMPRODUCT((Es*(($AA16+$AB16*Geometry!$E$42:$E$59+$AC16*Geometry!$D$42:$D$59))*(ABS(Es*(($AA16+$AB16*Geometry!$E$42:$E$59+$AC16*Geometry!$D$42:$D$59)))&lt;=fy)+fy*(Es*(($AA16+$AB16*Geometry!$E$42:$E$59+$AC16*Geometry!$D$42:$D$59))&gt;fy)-fy*(Es*(($AA16+$AB16*Geometry!$E$42:$E$59+$AC16*Geometry!$D$42:$D$59))&lt;-fy)-(alpha*fck*(1-(1-((($AA16+$AB16*Geometry!$E$42:$E$59+$AC16*Geometry!$D$42:$D$59))*(($AA16+$AB16*Geometry!$E$42:$E$59+$AC16*Geometry!$D$42:$D$59)&gt;0)*(($AA16+$AB16*Geometry!$E$42:$E$59+$AC16*Geometry!$D$42:$D$59)&lt;eco)+eco*(($AA16+$AB16*Geometry!$E$42:$E$59+$AC16*Geometry!$D$42:$D$59)&gt;=eco))/eco)^n)*((($AA16+$AB16*Geometry!$E$42:$E$59+$AC16*Geometry!$D$42:$D$59))&gt;0))),Geometry!$F$42:$F$59))/1000</f>
      </c>
      <c r="BS16" s="32">
        <f>(SUMPRODUCT(alpha*fck*(1-(1-((($AD16+$AE16*Mesh_Y+$AF16*Mesh_X))*(($AD16+$AE16*Mesh_Y+$AF16*Mesh_X)&gt;0)*(($AD16+$AE16*Mesh_Y+$AF16*Mesh_X)&lt;eco)+eco*(($AD16+$AE16*Mesh_Y+$AF16*Mesh_X)&gt;=eco))/eco)^n)*((($AD16+$AE16*Mesh_Y+$AF16*Mesh_X))&gt;0),Mesh_A)+SUMPRODUCT((Es*(($AD16+$AE16*Geometry!$E$42:$E$59+$AF16*Geometry!$D$42:$D$59))*(ABS(Es*(($AD16+$AE16*Geometry!$E$42:$E$59+$AF16*Geometry!$D$42:$D$59)))&lt;=fy)+fy*(Es*(($AD16+$AE16*Geometry!$E$42:$E$59+$AF16*Geometry!$D$42:$D$59))&gt;fy)-fy*(Es*(($AD16+$AE16*Geometry!$E$42:$E$59+$AF16*Geometry!$D$42:$D$59))&lt;-fy)-(alpha*fck*(1-(1-((($AD16+$AE16*Geometry!$E$42:$E$59+$AF16*Geometry!$D$42:$D$59))*(($AD16+$AE16*Geometry!$E$42:$E$59+$AF16*Geometry!$D$42:$D$59)&gt;0)*(($AD16+$AE16*Geometry!$E$42:$E$59+$AF16*Geometry!$D$42:$D$59)&lt;eco)+eco*(($AD16+$AE16*Geometry!$E$42:$E$59+$AF16*Geometry!$D$42:$D$59)&gt;=eco))/eco)^n)*((($AD16+$AE16*Geometry!$E$42:$E$59+$AF16*Geometry!$D$42:$D$59))&gt;0))),Geometry!$F$42:$F$59))/1000</f>
      </c>
      <c r="BT16" s="32">
        <f>(SUMPRODUCT(alpha*fck*(1-(1-((($AG16+$AH16*Mesh_Y+$AI16*Mesh_X))*(($AG16+$AH16*Mesh_Y+$AI16*Mesh_X)&gt;0)*(($AG16+$AH16*Mesh_Y+$AI16*Mesh_X)&lt;eco)+eco*(($AG16+$AH16*Mesh_Y+$AI16*Mesh_X)&gt;=eco))/eco)^n)*((($AG16+$AH16*Mesh_Y+$AI16*Mesh_X))&gt;0),Mesh_A)+SUMPRODUCT((Es*(($AG16+$AH16*Geometry!$E$42:$E$59+$AI16*Geometry!$D$42:$D$59))*(ABS(Es*(($AG16+$AH16*Geometry!$E$42:$E$59+$AI16*Geometry!$D$42:$D$59)))&lt;=fy)+fy*(Es*(($AG16+$AH16*Geometry!$E$42:$E$59+$AI16*Geometry!$D$42:$D$59))&gt;fy)-fy*(Es*(($AG16+$AH16*Geometry!$E$42:$E$59+$AI16*Geometry!$D$42:$D$59))&lt;-fy)-(alpha*fck*(1-(1-((($AG16+$AH16*Geometry!$E$42:$E$59+$AI16*Geometry!$D$42:$D$59))*(($AG16+$AH16*Geometry!$E$42:$E$59+$AI16*Geometry!$D$42:$D$59)&gt;0)*(($AG16+$AH16*Geometry!$E$42:$E$59+$AI16*Geometry!$D$42:$D$59)&lt;eco)+eco*(($AG16+$AH16*Geometry!$E$42:$E$59+$AI16*Geometry!$D$42:$D$59)&gt;=eco))/eco)^n)*((($AG16+$AH16*Geometry!$E$42:$E$59+$AI16*Geometry!$D$42:$D$59))&gt;0))),Geometry!$F$42:$F$59))/1000</f>
      </c>
      <c r="BU16" s="32">
        <f>(SUMPRODUCT(alpha*fck*(1-(1-((($AJ16+$AK16*Mesh_Y+$AL16*Mesh_X))*(($AJ16+$AK16*Mesh_Y+$AL16*Mesh_X)&gt;0)*(($AJ16+$AK16*Mesh_Y+$AL16*Mesh_X)&lt;eco)+eco*(($AJ16+$AK16*Mesh_Y+$AL16*Mesh_X)&gt;=eco))/eco)^n)*((($AJ16+$AK16*Mesh_Y+$AL16*Mesh_X))&gt;0),Mesh_A)+SUMPRODUCT((Es*(($AJ16+$AK16*Geometry!$E$42:$E$59+$AL16*Geometry!$D$42:$D$59))*(ABS(Es*(($AJ16+$AK16*Geometry!$E$42:$E$59+$AL16*Geometry!$D$42:$D$59)))&lt;=fy)+fy*(Es*(($AJ16+$AK16*Geometry!$E$42:$E$59+$AL16*Geometry!$D$42:$D$59))&gt;fy)-fy*(Es*(($AJ16+$AK16*Geometry!$E$42:$E$59+$AL16*Geometry!$D$42:$D$59))&lt;-fy)-(alpha*fck*(1-(1-((($AJ16+$AK16*Geometry!$E$42:$E$59+$AL16*Geometry!$D$42:$D$59))*(($AJ16+$AK16*Geometry!$E$42:$E$59+$AL16*Geometry!$D$42:$D$59)&gt;0)*(($AJ16+$AK16*Geometry!$E$42:$E$59+$AL16*Geometry!$D$42:$D$59)&lt;eco)+eco*(($AJ16+$AK16*Geometry!$E$42:$E$59+$AL16*Geometry!$D$42:$D$59)&gt;=eco))/eco)^n)*((($AJ16+$AK16*Geometry!$E$42:$E$59+$AL16*Geometry!$D$42:$D$59))&gt;0))),Geometry!$F$42:$F$59))/1000</f>
      </c>
      <c r="BV16" s="32">
        <f>(SUMPRODUCT(alpha*fck*(1-(1-((($AM16+$AN16*Mesh_Y+$AO16*Mesh_X))*(($AM16+$AN16*Mesh_Y+$AO16*Mesh_X)&gt;0)*(($AM16+$AN16*Mesh_Y+$AO16*Mesh_X)&lt;eco)+eco*(($AM16+$AN16*Mesh_Y+$AO16*Mesh_X)&gt;=eco))/eco)^n)*((($AM16+$AN16*Mesh_Y+$AO16*Mesh_X))&gt;0),Mesh_A)+SUMPRODUCT((Es*(($AM16+$AN16*Geometry!$E$42:$E$59+$AO16*Geometry!$D$42:$D$59))*(ABS(Es*(($AM16+$AN16*Geometry!$E$42:$E$59+$AO16*Geometry!$D$42:$D$59)))&lt;=fy)+fy*(Es*(($AM16+$AN16*Geometry!$E$42:$E$59+$AO16*Geometry!$D$42:$D$59))&gt;fy)-fy*(Es*(($AM16+$AN16*Geometry!$E$42:$E$59+$AO16*Geometry!$D$42:$D$59))&lt;-fy)-(alpha*fck*(1-(1-((($AM16+$AN16*Geometry!$E$42:$E$59+$AO16*Geometry!$D$42:$D$59))*(($AM16+$AN16*Geometry!$E$42:$E$59+$AO16*Geometry!$D$42:$D$59)&gt;0)*(($AM16+$AN16*Geometry!$E$42:$E$59+$AO16*Geometry!$D$42:$D$59)&lt;eco)+eco*(($AM16+$AN16*Geometry!$E$42:$E$59+$AO16*Geometry!$D$42:$D$59)&gt;=eco))/eco)^n)*((($AM16+$AN16*Geometry!$E$42:$E$59+$AO16*Geometry!$D$42:$D$59))&gt;0))),Geometry!$F$42:$F$59))/1000</f>
      </c>
      <c r="BW16" s="32">
        <f>(SUMPRODUCT(alpha*fck*(1-(1-((($AP16+$AQ16*Mesh_Y+$AR16*Mesh_X))*(($AP16+$AQ16*Mesh_Y+$AR16*Mesh_X)&gt;0)*(($AP16+$AQ16*Mesh_Y+$AR16*Mesh_X)&lt;eco)+eco*(($AP16+$AQ16*Mesh_Y+$AR16*Mesh_X)&gt;=eco))/eco)^n)*((($AP16+$AQ16*Mesh_Y+$AR16*Mesh_X))&gt;0),Mesh_A)+SUMPRODUCT((Es*(($AP16+$AQ16*Geometry!$E$42:$E$59+$AR16*Geometry!$D$42:$D$59))*(ABS(Es*(($AP16+$AQ16*Geometry!$E$42:$E$59+$AR16*Geometry!$D$42:$D$59)))&lt;=fy)+fy*(Es*(($AP16+$AQ16*Geometry!$E$42:$E$59+$AR16*Geometry!$D$42:$D$59))&gt;fy)-fy*(Es*(($AP16+$AQ16*Geometry!$E$42:$E$59+$AR16*Geometry!$D$42:$D$59))&lt;-fy)-(alpha*fck*(1-(1-((($AP16+$AQ16*Geometry!$E$42:$E$59+$AR16*Geometry!$D$42:$D$59))*(($AP16+$AQ16*Geometry!$E$42:$E$59+$AR16*Geometry!$D$42:$D$59)&gt;0)*(($AP16+$AQ16*Geometry!$E$42:$E$59+$AR16*Geometry!$D$42:$D$59)&lt;eco)+eco*(($AP16+$AQ16*Geometry!$E$42:$E$59+$AR16*Geometry!$D$42:$D$59)&gt;=eco))/eco)^n)*((($AP16+$AQ16*Geometry!$E$42:$E$59+$AR16*Geometry!$D$42:$D$59))&gt;0))),Geometry!$F$42:$F$59))/1000</f>
      </c>
      <c r="BX16" s="32">
        <f>(SUMPRODUCT(alpha*fck*(1-(1-((($AS16+$AT16*Mesh_Y+$AU16*Mesh_X))*(($AS16+$AT16*Mesh_Y+$AU16*Mesh_X)&gt;0)*(($AS16+$AT16*Mesh_Y+$AU16*Mesh_X)&lt;eco)+eco*(($AS16+$AT16*Mesh_Y+$AU16*Mesh_X)&gt;=eco))/eco)^n)*((($AS16+$AT16*Mesh_Y+$AU16*Mesh_X))&gt;0),Mesh_A)+SUMPRODUCT((Es*(($AS16+$AT16*Geometry!$E$42:$E$59+$AU16*Geometry!$D$42:$D$59))*(ABS(Es*(($AS16+$AT16*Geometry!$E$42:$E$59+$AU16*Geometry!$D$42:$D$59)))&lt;=fy)+fy*(Es*(($AS16+$AT16*Geometry!$E$42:$E$59+$AU16*Geometry!$D$42:$D$59))&gt;fy)-fy*(Es*(($AS16+$AT16*Geometry!$E$42:$E$59+$AU16*Geometry!$D$42:$D$59))&lt;-fy)-(alpha*fck*(1-(1-((($AS16+$AT16*Geometry!$E$42:$E$59+$AU16*Geometry!$D$42:$D$59))*(($AS16+$AT16*Geometry!$E$42:$E$59+$AU16*Geometry!$D$42:$D$59)&gt;0)*(($AS16+$AT16*Geometry!$E$42:$E$59+$AU16*Geometry!$D$42:$D$59)&lt;eco)+eco*(($AS16+$AT16*Geometry!$E$42:$E$59+$AU16*Geometry!$D$42:$D$59)&gt;=eco))/eco)^n)*((($AS16+$AT16*Geometry!$E$42:$E$59+$AU16*Geometry!$D$42:$D$59))&gt;0))),Geometry!$F$42:$F$59))/1000</f>
      </c>
      <c r="BY16" s="32">
        <f>(SUMPRODUCT(alpha*fck*(1-(1-((($AV16+$AW16*Mesh_Y+$AX16*Mesh_X))*(($AV16+$AW16*Mesh_Y+$AX16*Mesh_X)&gt;0)*(($AV16+$AW16*Mesh_Y+$AX16*Mesh_X)&lt;eco)+eco*(($AV16+$AW16*Mesh_Y+$AX16*Mesh_X)&gt;=eco))/eco)^n)*((($AV16+$AW16*Mesh_Y+$AX16*Mesh_X))&gt;0),Mesh_A)+SUMPRODUCT((Es*(($AV16+$AW16*Geometry!$E$42:$E$59+$AX16*Geometry!$D$42:$D$59))*(ABS(Es*(($AV16+$AW16*Geometry!$E$42:$E$59+$AX16*Geometry!$D$42:$D$59)))&lt;=fy)+fy*(Es*(($AV16+$AW16*Geometry!$E$42:$E$59+$AX16*Geometry!$D$42:$D$59))&gt;fy)-fy*(Es*(($AV16+$AW16*Geometry!$E$42:$E$59+$AX16*Geometry!$D$42:$D$59))&lt;-fy)-(alpha*fck*(1-(1-((($AV16+$AW16*Geometry!$E$42:$E$59+$AX16*Geometry!$D$42:$D$59))*(($AV16+$AW16*Geometry!$E$42:$E$59+$AX16*Geometry!$D$42:$D$59)&gt;0)*(($AV16+$AW16*Geometry!$E$42:$E$59+$AX16*Geometry!$D$42:$D$59)&lt;eco)+eco*(($AV16+$AW16*Geometry!$E$42:$E$59+$AX16*Geometry!$D$42:$D$59)&gt;=eco))/eco)^n)*((($AV16+$AW16*Geometry!$E$42:$E$59+$AX16*Geometry!$D$42:$D$59))&gt;0))),Geometry!$F$42:$F$59))/1000</f>
      </c>
      <c r="BZ16" s="32">
        <f>(SUMPRODUCT(alpha*fck*(1-(1-((($AY16+$AZ16*Mesh_Y+$BA16*Mesh_X))*(($AY16+$AZ16*Mesh_Y+$BA16*Mesh_X)&gt;0)*(($AY16+$AZ16*Mesh_Y+$BA16*Mesh_X)&lt;eco)+eco*(($AY16+$AZ16*Mesh_Y+$BA16*Mesh_X)&gt;=eco))/eco)^n)*((($AY16+$AZ16*Mesh_Y+$BA16*Mesh_X))&gt;0),Mesh_A)+SUMPRODUCT((Es*(($AY16+$AZ16*Geometry!$E$42:$E$59+$BA16*Geometry!$D$42:$D$59))*(ABS(Es*(($AY16+$AZ16*Geometry!$E$42:$E$59+$BA16*Geometry!$D$42:$D$59)))&lt;=fy)+fy*(Es*(($AY16+$AZ16*Geometry!$E$42:$E$59+$BA16*Geometry!$D$42:$D$59))&gt;fy)-fy*(Es*(($AY16+$AZ16*Geometry!$E$42:$E$59+$BA16*Geometry!$D$42:$D$59))&lt;-fy)-(alpha*fck*(1-(1-((($AY16+$AZ16*Geometry!$E$42:$E$59+$BA16*Geometry!$D$42:$D$59))*(($AY16+$AZ16*Geometry!$E$42:$E$59+$BA16*Geometry!$D$42:$D$59)&gt;0)*(($AY16+$AZ16*Geometry!$E$42:$E$59+$BA16*Geometry!$D$42:$D$59)&lt;eco)+eco*(($AY16+$AZ16*Geometry!$E$42:$E$59+$BA16*Geometry!$D$42:$D$59)&gt;=eco))/eco)^n)*((($AY16+$AZ16*Geometry!$E$42:$E$59+$BA16*Geometry!$D$42:$D$59))&gt;0))),Geometry!$F$42:$F$59))/1000</f>
      </c>
      <c r="CA16" s="32">
        <f>(SUMPRODUCT(alpha*fck*(1-(1-((($BB16+$BC16*Mesh_Y+$BD16*Mesh_X))*(($BB16+$BC16*Mesh_Y+$BD16*Mesh_X)&gt;0)*(($BB16+$BC16*Mesh_Y+$BD16*Mesh_X)&lt;eco)+eco*(($BB16+$BC16*Mesh_Y+$BD16*Mesh_X)&gt;=eco))/eco)^n)*((($BB16+$BC16*Mesh_Y+$BD16*Mesh_X))&gt;0),Mesh_A)+SUMPRODUCT((Es*(($BB16+$BC16*Geometry!$E$42:$E$59+$BD16*Geometry!$D$42:$D$59))*(ABS(Es*(($BB16+$BC16*Geometry!$E$42:$E$59+$BD16*Geometry!$D$42:$D$59)))&lt;=fy)+fy*(Es*(($BB16+$BC16*Geometry!$E$42:$E$59+$BD16*Geometry!$D$42:$D$59))&gt;fy)-fy*(Es*(($BB16+$BC16*Geometry!$E$42:$E$59+$BD16*Geometry!$D$42:$D$59))&lt;-fy)-(alpha*fck*(1-(1-((($BB16+$BC16*Geometry!$E$42:$E$59+$BD16*Geometry!$D$42:$D$59))*(($BB16+$BC16*Geometry!$E$42:$E$59+$BD16*Geometry!$D$42:$D$59)&gt;0)*(($BB16+$BC16*Geometry!$E$42:$E$59+$BD16*Geometry!$D$42:$D$59)&lt;eco)+eco*(($BB16+$BC16*Geometry!$E$42:$E$59+$BD16*Geometry!$D$42:$D$59)&gt;=eco))/eco)^n)*((($BB16+$BC16*Geometry!$E$42:$E$59+$BD16*Geometry!$D$42:$D$59))&gt;0))),Geometry!$F$42:$F$59))/1000</f>
      </c>
      <c r="CB16" s="32">
        <f>(SUMPRODUCT(alpha*fck*(1-(1-((($BE16+$BF16*Mesh_Y+$BG16*Mesh_X))*(($BE16+$BF16*Mesh_Y+$BG16*Mesh_X)&gt;0)*(($BE16+$BF16*Mesh_Y+$BG16*Mesh_X)&lt;eco)+eco*(($BE16+$BF16*Mesh_Y+$BG16*Mesh_X)&gt;=eco))/eco)^n)*((($BE16+$BF16*Mesh_Y+$BG16*Mesh_X))&gt;0),Mesh_A)+SUMPRODUCT((Es*(($BE16+$BF16*Geometry!$E$42:$E$59+$BG16*Geometry!$D$42:$D$59))*(ABS(Es*(($BE16+$BF16*Geometry!$E$42:$E$59+$BG16*Geometry!$D$42:$D$59)))&lt;=fy)+fy*(Es*(($BE16+$BF16*Geometry!$E$42:$E$59+$BG16*Geometry!$D$42:$D$59))&gt;fy)-fy*(Es*(($BE16+$BF16*Geometry!$E$42:$E$59+$BG16*Geometry!$D$42:$D$59))&lt;-fy)-(alpha*fck*(1-(1-((($BE16+$BF16*Geometry!$E$42:$E$59+$BG16*Geometry!$D$42:$D$59))*(($BE16+$BF16*Geometry!$E$42:$E$59+$BG16*Geometry!$D$42:$D$59)&gt;0)*(($BE16+$BF16*Geometry!$E$42:$E$59+$BG16*Geometry!$D$42:$D$59)&lt;eco)+eco*(($BE16+$BF16*Geometry!$E$42:$E$59+$BG16*Geometry!$D$42:$D$59)&gt;=eco))/eco)^n)*((($BE16+$BF16*Geometry!$E$42:$E$59+$BG16*Geometry!$D$42:$D$59))&gt;0))),Geometry!$F$42:$F$59))/1000</f>
      </c>
      <c r="CC16" s="32">
        <f>(SUMPRODUCT(alpha*fck*(1-(1-((($BH16+$BI16*Mesh_Y+$BJ16*Mesh_X))*(($BH16+$BI16*Mesh_Y+$BJ16*Mesh_X)&gt;0)*(($BH16+$BI16*Mesh_Y+$BJ16*Mesh_X)&lt;eco)+eco*(($BH16+$BI16*Mesh_Y+$BJ16*Mesh_X)&gt;=eco))/eco)^n)*((($BH16+$BI16*Mesh_Y+$BJ16*Mesh_X))&gt;0),Mesh_A)+SUMPRODUCT((Es*(($BH16+$BI16*Geometry!$E$42:$E$59+$BJ16*Geometry!$D$42:$D$59))*(ABS(Es*(($BH16+$BI16*Geometry!$E$42:$E$59+$BJ16*Geometry!$D$42:$D$59)))&lt;=fy)+fy*(Es*(($BH16+$BI16*Geometry!$E$42:$E$59+$BJ16*Geometry!$D$42:$D$59))&gt;fy)-fy*(Es*(($BH16+$BI16*Geometry!$E$42:$E$59+$BJ16*Geometry!$D$42:$D$59))&lt;-fy)-(alpha*fck*(1-(1-((($BH16+$BI16*Geometry!$E$42:$E$59+$BJ16*Geometry!$D$42:$D$59))*(($BH16+$BI16*Geometry!$E$42:$E$59+$BJ16*Geometry!$D$42:$D$59)&gt;0)*(($BH16+$BI16*Geometry!$E$42:$E$59+$BJ16*Geometry!$D$42:$D$59)&lt;eco)+eco*(($BH16+$BI16*Geometry!$E$42:$E$59+$BJ16*Geometry!$D$42:$D$59)&gt;=eco))/eco)^n)*((($BH16+$BI16*Geometry!$E$42:$E$59+$BJ16*Geometry!$D$42:$D$59))&gt;0))),Geometry!$F$42:$F$59))/1000</f>
      </c>
      <c r="CD16" s="32">
        <f>(SUMPRODUCT(alpha*fck*(1-(1-((($F16+$G16*Mesh_Y+$H16*Mesh_X))*(($F16+$G16*Mesh_Y+$H16*Mesh_X)&gt;0)*(($F16+$G16*Mesh_Y+$H16*Mesh_X)&lt;eco)+eco*(($F16+$G16*Mesh_Y+$H16*Mesh_X)&gt;=eco))/eco)^n)*((($F16+$G16*Mesh_Y+$H16*Mesh_X))&gt;0),Mesh_A,Mesh_Y)+SUMPRODUCT((Es*(($F16+$G16*Geometry!$E$42:$E$59+$H16*Geometry!$D$42:$D$59))*(ABS(Es*(($F16+$G16*Geometry!$E$42:$E$59+$H16*Geometry!$D$42:$D$59)))&lt;=fy)+fy*(Es*(($F16+$G16*Geometry!$E$42:$E$59+$H16*Geometry!$D$42:$D$59))&gt;fy)-fy*(Es*(($F16+$G16*Geometry!$E$42:$E$59+$H16*Geometry!$D$42:$D$59))&lt;-fy)-(alpha*fck*(1-(1-((($F16+$G16*Geometry!$E$42:$E$59+$H16*Geometry!$D$42:$D$59))*(($F16+$G16*Geometry!$E$42:$E$59+$H16*Geometry!$D$42:$D$59)&gt;0)*(($F16+$G16*Geometry!$E$42:$E$59+$H16*Geometry!$D$42:$D$59)&lt;eco)+eco*(($F16+$G16*Geometry!$E$42:$E$59+$H16*Geometry!$D$42:$D$59)&gt;=eco))/eco)^n)*((($F16+$G16*Geometry!$E$42:$E$59+$H16*Geometry!$D$42:$D$59))&gt;0))),Geometry!$F$42:$F$59,Geometry!$E$42:$E$59))/1000000</f>
      </c>
      <c r="CE16" s="32">
        <f>(SUMPRODUCT(alpha*fck*(1-(1-((($I16+$J16*Mesh_Y+$K16*Mesh_X))*(($I16+$J16*Mesh_Y+$K16*Mesh_X)&gt;0)*(($I16+$J16*Mesh_Y+$K16*Mesh_X)&lt;eco)+eco*(($I16+$J16*Mesh_Y+$K16*Mesh_X)&gt;=eco))/eco)^n)*((($I16+$J16*Mesh_Y+$K16*Mesh_X))&gt;0),Mesh_A,Mesh_Y)+SUMPRODUCT((Es*(($I16+$J16*Geometry!$E$42:$E$59+$K16*Geometry!$D$42:$D$59))*(ABS(Es*(($I16+$J16*Geometry!$E$42:$E$59+$K16*Geometry!$D$42:$D$59)))&lt;=fy)+fy*(Es*(($I16+$J16*Geometry!$E$42:$E$59+$K16*Geometry!$D$42:$D$59))&gt;fy)-fy*(Es*(($I16+$J16*Geometry!$E$42:$E$59+$K16*Geometry!$D$42:$D$59))&lt;-fy)-(alpha*fck*(1-(1-((($I16+$J16*Geometry!$E$42:$E$59+$K16*Geometry!$D$42:$D$59))*(($I16+$J16*Geometry!$E$42:$E$59+$K16*Geometry!$D$42:$D$59)&gt;0)*(($I16+$J16*Geometry!$E$42:$E$59+$K16*Geometry!$D$42:$D$59)&lt;eco)+eco*(($I16+$J16*Geometry!$E$42:$E$59+$K16*Geometry!$D$42:$D$59)&gt;=eco))/eco)^n)*((($I16+$J16*Geometry!$E$42:$E$59+$K16*Geometry!$D$42:$D$59))&gt;0))),Geometry!$F$42:$F$59,Geometry!$E$42:$E$59))/1000000</f>
      </c>
      <c r="CF16" s="32">
        <f>(SUMPRODUCT(alpha*fck*(1-(1-((($L16+$M16*Mesh_Y+$N16*Mesh_X))*(($L16+$M16*Mesh_Y+$N16*Mesh_X)&gt;0)*(($L16+$M16*Mesh_Y+$N16*Mesh_X)&lt;eco)+eco*(($L16+$M16*Mesh_Y+$N16*Mesh_X)&gt;=eco))/eco)^n)*((($L16+$M16*Mesh_Y+$N16*Mesh_X))&gt;0),Mesh_A,Mesh_Y)+SUMPRODUCT((Es*(($L16+$M16*Geometry!$E$42:$E$59+$N16*Geometry!$D$42:$D$59))*(ABS(Es*(($L16+$M16*Geometry!$E$42:$E$59+$N16*Geometry!$D$42:$D$59)))&lt;=fy)+fy*(Es*(($L16+$M16*Geometry!$E$42:$E$59+$N16*Geometry!$D$42:$D$59))&gt;fy)-fy*(Es*(($L16+$M16*Geometry!$E$42:$E$59+$N16*Geometry!$D$42:$D$59))&lt;-fy)-(alpha*fck*(1-(1-((($L16+$M16*Geometry!$E$42:$E$59+$N16*Geometry!$D$42:$D$59))*(($L16+$M16*Geometry!$E$42:$E$59+$N16*Geometry!$D$42:$D$59)&gt;0)*(($L16+$M16*Geometry!$E$42:$E$59+$N16*Geometry!$D$42:$D$59)&lt;eco)+eco*(($L16+$M16*Geometry!$E$42:$E$59+$N16*Geometry!$D$42:$D$59)&gt;=eco))/eco)^n)*((($L16+$M16*Geometry!$E$42:$E$59+$N16*Geometry!$D$42:$D$59))&gt;0))),Geometry!$F$42:$F$59,Geometry!$E$42:$E$59))/1000000</f>
      </c>
      <c r="CG16" s="32">
        <f>(SUMPRODUCT(alpha*fck*(1-(1-((($O16+$P16*Mesh_Y+$Q16*Mesh_X))*(($O16+$P16*Mesh_Y+$Q16*Mesh_X)&gt;0)*(($O16+$P16*Mesh_Y+$Q16*Mesh_X)&lt;eco)+eco*(($O16+$P16*Mesh_Y+$Q16*Mesh_X)&gt;=eco))/eco)^n)*((($O16+$P16*Mesh_Y+$Q16*Mesh_X))&gt;0),Mesh_A,Mesh_Y)+SUMPRODUCT((Es*(($O16+$P16*Geometry!$E$42:$E$59+$Q16*Geometry!$D$42:$D$59))*(ABS(Es*(($O16+$P16*Geometry!$E$42:$E$59+$Q16*Geometry!$D$42:$D$59)))&lt;=fy)+fy*(Es*(($O16+$P16*Geometry!$E$42:$E$59+$Q16*Geometry!$D$42:$D$59))&gt;fy)-fy*(Es*(($O16+$P16*Geometry!$E$42:$E$59+$Q16*Geometry!$D$42:$D$59))&lt;-fy)-(alpha*fck*(1-(1-((($O16+$P16*Geometry!$E$42:$E$59+$Q16*Geometry!$D$42:$D$59))*(($O16+$P16*Geometry!$E$42:$E$59+$Q16*Geometry!$D$42:$D$59)&gt;0)*(($O16+$P16*Geometry!$E$42:$E$59+$Q16*Geometry!$D$42:$D$59)&lt;eco)+eco*(($O16+$P16*Geometry!$E$42:$E$59+$Q16*Geometry!$D$42:$D$59)&gt;=eco))/eco)^n)*((($O16+$P16*Geometry!$E$42:$E$59+$Q16*Geometry!$D$42:$D$59))&gt;0))),Geometry!$F$42:$F$59,Geometry!$E$42:$E$59))/1000000</f>
      </c>
      <c r="CH16" s="32">
        <f>(SUMPRODUCT(alpha*fck*(1-(1-((($R16+$S16*Mesh_Y+$T16*Mesh_X))*(($R16+$S16*Mesh_Y+$T16*Mesh_X)&gt;0)*(($R16+$S16*Mesh_Y+$T16*Mesh_X)&lt;eco)+eco*(($R16+$S16*Mesh_Y+$T16*Mesh_X)&gt;=eco))/eco)^n)*((($R16+$S16*Mesh_Y+$T16*Mesh_X))&gt;0),Mesh_A,Mesh_Y)+SUMPRODUCT((Es*(($R16+$S16*Geometry!$E$42:$E$59+$T16*Geometry!$D$42:$D$59))*(ABS(Es*(($R16+$S16*Geometry!$E$42:$E$59+$T16*Geometry!$D$42:$D$59)))&lt;=fy)+fy*(Es*(($R16+$S16*Geometry!$E$42:$E$59+$T16*Geometry!$D$42:$D$59))&gt;fy)-fy*(Es*(($R16+$S16*Geometry!$E$42:$E$59+$T16*Geometry!$D$42:$D$59))&lt;-fy)-(alpha*fck*(1-(1-((($R16+$S16*Geometry!$E$42:$E$59+$T16*Geometry!$D$42:$D$59))*(($R16+$S16*Geometry!$E$42:$E$59+$T16*Geometry!$D$42:$D$59)&gt;0)*(($R16+$S16*Geometry!$E$42:$E$59+$T16*Geometry!$D$42:$D$59)&lt;eco)+eco*(($R16+$S16*Geometry!$E$42:$E$59+$T16*Geometry!$D$42:$D$59)&gt;=eco))/eco)^n)*((($R16+$S16*Geometry!$E$42:$E$59+$T16*Geometry!$D$42:$D$59))&gt;0))),Geometry!$F$42:$F$59,Geometry!$E$42:$E$59))/1000000</f>
      </c>
      <c r="CI16" s="32">
        <f>(SUMPRODUCT(alpha*fck*(1-(1-((($U16+$V16*Mesh_Y+$W16*Mesh_X))*(($U16+$V16*Mesh_Y+$W16*Mesh_X)&gt;0)*(($U16+$V16*Mesh_Y+$W16*Mesh_X)&lt;eco)+eco*(($U16+$V16*Mesh_Y+$W16*Mesh_X)&gt;=eco))/eco)^n)*((($U16+$V16*Mesh_Y+$W16*Mesh_X))&gt;0),Mesh_A,Mesh_Y)+SUMPRODUCT((Es*(($U16+$V16*Geometry!$E$42:$E$59+$W16*Geometry!$D$42:$D$59))*(ABS(Es*(($U16+$V16*Geometry!$E$42:$E$59+$W16*Geometry!$D$42:$D$59)))&lt;=fy)+fy*(Es*(($U16+$V16*Geometry!$E$42:$E$59+$W16*Geometry!$D$42:$D$59))&gt;fy)-fy*(Es*(($U16+$V16*Geometry!$E$42:$E$59+$W16*Geometry!$D$42:$D$59))&lt;-fy)-(alpha*fck*(1-(1-((($U16+$V16*Geometry!$E$42:$E$59+$W16*Geometry!$D$42:$D$59))*(($U16+$V16*Geometry!$E$42:$E$59+$W16*Geometry!$D$42:$D$59)&gt;0)*(($U16+$V16*Geometry!$E$42:$E$59+$W16*Geometry!$D$42:$D$59)&lt;eco)+eco*(($U16+$V16*Geometry!$E$42:$E$59+$W16*Geometry!$D$42:$D$59)&gt;=eco))/eco)^n)*((($U16+$V16*Geometry!$E$42:$E$59+$W16*Geometry!$D$42:$D$59))&gt;0))),Geometry!$F$42:$F$59,Geometry!$E$42:$E$59))/1000000</f>
      </c>
      <c r="CJ16" s="32">
        <f>(SUMPRODUCT(alpha*fck*(1-(1-((($X16+$Y16*Mesh_Y+$Z16*Mesh_X))*(($X16+$Y16*Mesh_Y+$Z16*Mesh_X)&gt;0)*(($X16+$Y16*Mesh_Y+$Z16*Mesh_X)&lt;eco)+eco*(($X16+$Y16*Mesh_Y+$Z16*Mesh_X)&gt;=eco))/eco)^n)*((($X16+$Y16*Mesh_Y+$Z16*Mesh_X))&gt;0),Mesh_A,Mesh_Y)+SUMPRODUCT((Es*(($X16+$Y16*Geometry!$E$42:$E$59+$Z16*Geometry!$D$42:$D$59))*(ABS(Es*(($X16+$Y16*Geometry!$E$42:$E$59+$Z16*Geometry!$D$42:$D$59)))&lt;=fy)+fy*(Es*(($X16+$Y16*Geometry!$E$42:$E$59+$Z16*Geometry!$D$42:$D$59))&gt;fy)-fy*(Es*(($X16+$Y16*Geometry!$E$42:$E$59+$Z16*Geometry!$D$42:$D$59))&lt;-fy)-(alpha*fck*(1-(1-((($X16+$Y16*Geometry!$E$42:$E$59+$Z16*Geometry!$D$42:$D$59))*(($X16+$Y16*Geometry!$E$42:$E$59+$Z16*Geometry!$D$42:$D$59)&gt;0)*(($X16+$Y16*Geometry!$E$42:$E$59+$Z16*Geometry!$D$42:$D$59)&lt;eco)+eco*(($X16+$Y16*Geometry!$E$42:$E$59+$Z16*Geometry!$D$42:$D$59)&gt;=eco))/eco)^n)*((($X16+$Y16*Geometry!$E$42:$E$59+$Z16*Geometry!$D$42:$D$59))&gt;0))),Geometry!$F$42:$F$59,Geometry!$E$42:$E$59))/1000000</f>
      </c>
      <c r="CK16" s="32">
        <f>(SUMPRODUCT(alpha*fck*(1-(1-((($AA16+$AB16*Mesh_Y+$AC16*Mesh_X))*(($AA16+$AB16*Mesh_Y+$AC16*Mesh_X)&gt;0)*(($AA16+$AB16*Mesh_Y+$AC16*Mesh_X)&lt;eco)+eco*(($AA16+$AB16*Mesh_Y+$AC16*Mesh_X)&gt;=eco))/eco)^n)*((($AA16+$AB16*Mesh_Y+$AC16*Mesh_X))&gt;0),Mesh_A,Mesh_Y)+SUMPRODUCT((Es*(($AA16+$AB16*Geometry!$E$42:$E$59+$AC16*Geometry!$D$42:$D$59))*(ABS(Es*(($AA16+$AB16*Geometry!$E$42:$E$59+$AC16*Geometry!$D$42:$D$59)))&lt;=fy)+fy*(Es*(($AA16+$AB16*Geometry!$E$42:$E$59+$AC16*Geometry!$D$42:$D$59))&gt;fy)-fy*(Es*(($AA16+$AB16*Geometry!$E$42:$E$59+$AC16*Geometry!$D$42:$D$59))&lt;-fy)-(alpha*fck*(1-(1-((($AA16+$AB16*Geometry!$E$42:$E$59+$AC16*Geometry!$D$42:$D$59))*(($AA16+$AB16*Geometry!$E$42:$E$59+$AC16*Geometry!$D$42:$D$59)&gt;0)*(($AA16+$AB16*Geometry!$E$42:$E$59+$AC16*Geometry!$D$42:$D$59)&lt;eco)+eco*(($AA16+$AB16*Geometry!$E$42:$E$59+$AC16*Geometry!$D$42:$D$59)&gt;=eco))/eco)^n)*((($AA16+$AB16*Geometry!$E$42:$E$59+$AC16*Geometry!$D$42:$D$59))&gt;0))),Geometry!$F$42:$F$59,Geometry!$E$42:$E$59))/1000000</f>
      </c>
      <c r="CL16" s="32">
        <f>(SUMPRODUCT(alpha*fck*(1-(1-((($AD16+$AE16*Mesh_Y+$AF16*Mesh_X))*(($AD16+$AE16*Mesh_Y+$AF16*Mesh_X)&gt;0)*(($AD16+$AE16*Mesh_Y+$AF16*Mesh_X)&lt;eco)+eco*(($AD16+$AE16*Mesh_Y+$AF16*Mesh_X)&gt;=eco))/eco)^n)*((($AD16+$AE16*Mesh_Y+$AF16*Mesh_X))&gt;0),Mesh_A,Mesh_Y)+SUMPRODUCT((Es*(($AD16+$AE16*Geometry!$E$42:$E$59+$AF16*Geometry!$D$42:$D$59))*(ABS(Es*(($AD16+$AE16*Geometry!$E$42:$E$59+$AF16*Geometry!$D$42:$D$59)))&lt;=fy)+fy*(Es*(($AD16+$AE16*Geometry!$E$42:$E$59+$AF16*Geometry!$D$42:$D$59))&gt;fy)-fy*(Es*(($AD16+$AE16*Geometry!$E$42:$E$59+$AF16*Geometry!$D$42:$D$59))&lt;-fy)-(alpha*fck*(1-(1-((($AD16+$AE16*Geometry!$E$42:$E$59+$AF16*Geometry!$D$42:$D$59))*(($AD16+$AE16*Geometry!$E$42:$E$59+$AF16*Geometry!$D$42:$D$59)&gt;0)*(($AD16+$AE16*Geometry!$E$42:$E$59+$AF16*Geometry!$D$42:$D$59)&lt;eco)+eco*(($AD16+$AE16*Geometry!$E$42:$E$59+$AF16*Geometry!$D$42:$D$59)&gt;=eco))/eco)^n)*((($AD16+$AE16*Geometry!$E$42:$E$59+$AF16*Geometry!$D$42:$D$59))&gt;0))),Geometry!$F$42:$F$59,Geometry!$E$42:$E$59))/1000000</f>
      </c>
      <c r="CM16" s="32">
        <f>(SUMPRODUCT(alpha*fck*(1-(1-((($AG16+$AH16*Mesh_Y+$AI16*Mesh_X))*(($AG16+$AH16*Mesh_Y+$AI16*Mesh_X)&gt;0)*(($AG16+$AH16*Mesh_Y+$AI16*Mesh_X)&lt;eco)+eco*(($AG16+$AH16*Mesh_Y+$AI16*Mesh_X)&gt;=eco))/eco)^n)*((($AG16+$AH16*Mesh_Y+$AI16*Mesh_X))&gt;0),Mesh_A,Mesh_Y)+SUMPRODUCT((Es*(($AG16+$AH16*Geometry!$E$42:$E$59+$AI16*Geometry!$D$42:$D$59))*(ABS(Es*(($AG16+$AH16*Geometry!$E$42:$E$59+$AI16*Geometry!$D$42:$D$59)))&lt;=fy)+fy*(Es*(($AG16+$AH16*Geometry!$E$42:$E$59+$AI16*Geometry!$D$42:$D$59))&gt;fy)-fy*(Es*(($AG16+$AH16*Geometry!$E$42:$E$59+$AI16*Geometry!$D$42:$D$59))&lt;-fy)-(alpha*fck*(1-(1-((($AG16+$AH16*Geometry!$E$42:$E$59+$AI16*Geometry!$D$42:$D$59))*(($AG16+$AH16*Geometry!$E$42:$E$59+$AI16*Geometry!$D$42:$D$59)&gt;0)*(($AG16+$AH16*Geometry!$E$42:$E$59+$AI16*Geometry!$D$42:$D$59)&lt;eco)+eco*(($AG16+$AH16*Geometry!$E$42:$E$59+$AI16*Geometry!$D$42:$D$59)&gt;=eco))/eco)^n)*((($AG16+$AH16*Geometry!$E$42:$E$59+$AI16*Geometry!$D$42:$D$59))&gt;0))),Geometry!$F$42:$F$59,Geometry!$E$42:$E$59))/1000000</f>
      </c>
      <c r="CN16" s="32">
        <f>(SUMPRODUCT(alpha*fck*(1-(1-((($AJ16+$AK16*Mesh_Y+$AL16*Mesh_X))*(($AJ16+$AK16*Mesh_Y+$AL16*Mesh_X)&gt;0)*(($AJ16+$AK16*Mesh_Y+$AL16*Mesh_X)&lt;eco)+eco*(($AJ16+$AK16*Mesh_Y+$AL16*Mesh_X)&gt;=eco))/eco)^n)*((($AJ16+$AK16*Mesh_Y+$AL16*Mesh_X))&gt;0),Mesh_A,Mesh_Y)+SUMPRODUCT((Es*(($AJ16+$AK16*Geometry!$E$42:$E$59+$AL16*Geometry!$D$42:$D$59))*(ABS(Es*(($AJ16+$AK16*Geometry!$E$42:$E$59+$AL16*Geometry!$D$42:$D$59)))&lt;=fy)+fy*(Es*(($AJ16+$AK16*Geometry!$E$42:$E$59+$AL16*Geometry!$D$42:$D$59))&gt;fy)-fy*(Es*(($AJ16+$AK16*Geometry!$E$42:$E$59+$AL16*Geometry!$D$42:$D$59))&lt;-fy)-(alpha*fck*(1-(1-((($AJ16+$AK16*Geometry!$E$42:$E$59+$AL16*Geometry!$D$42:$D$59))*(($AJ16+$AK16*Geometry!$E$42:$E$59+$AL16*Geometry!$D$42:$D$59)&gt;0)*(($AJ16+$AK16*Geometry!$E$42:$E$59+$AL16*Geometry!$D$42:$D$59)&lt;eco)+eco*(($AJ16+$AK16*Geometry!$E$42:$E$59+$AL16*Geometry!$D$42:$D$59)&gt;=eco))/eco)^n)*((($AJ16+$AK16*Geometry!$E$42:$E$59+$AL16*Geometry!$D$42:$D$59))&gt;0))),Geometry!$F$42:$F$59,Geometry!$E$42:$E$59))/1000000</f>
      </c>
      <c r="CO16" s="32">
        <f>(SUMPRODUCT(alpha*fck*(1-(1-((($AM16+$AN16*Mesh_Y+$AO16*Mesh_X))*(($AM16+$AN16*Mesh_Y+$AO16*Mesh_X)&gt;0)*(($AM16+$AN16*Mesh_Y+$AO16*Mesh_X)&lt;eco)+eco*(($AM16+$AN16*Mesh_Y+$AO16*Mesh_X)&gt;=eco))/eco)^n)*((($AM16+$AN16*Mesh_Y+$AO16*Mesh_X))&gt;0),Mesh_A,Mesh_Y)+SUMPRODUCT((Es*(($AM16+$AN16*Geometry!$E$42:$E$59+$AO16*Geometry!$D$42:$D$59))*(ABS(Es*(($AM16+$AN16*Geometry!$E$42:$E$59+$AO16*Geometry!$D$42:$D$59)))&lt;=fy)+fy*(Es*(($AM16+$AN16*Geometry!$E$42:$E$59+$AO16*Geometry!$D$42:$D$59))&gt;fy)-fy*(Es*(($AM16+$AN16*Geometry!$E$42:$E$59+$AO16*Geometry!$D$42:$D$59))&lt;-fy)-(alpha*fck*(1-(1-((($AM16+$AN16*Geometry!$E$42:$E$59+$AO16*Geometry!$D$42:$D$59))*(($AM16+$AN16*Geometry!$E$42:$E$59+$AO16*Geometry!$D$42:$D$59)&gt;0)*(($AM16+$AN16*Geometry!$E$42:$E$59+$AO16*Geometry!$D$42:$D$59)&lt;eco)+eco*(($AM16+$AN16*Geometry!$E$42:$E$59+$AO16*Geometry!$D$42:$D$59)&gt;=eco))/eco)^n)*((($AM16+$AN16*Geometry!$E$42:$E$59+$AO16*Geometry!$D$42:$D$59))&gt;0))),Geometry!$F$42:$F$59,Geometry!$E$42:$E$59))/1000000</f>
      </c>
      <c r="CP16" s="32">
        <f>(SUMPRODUCT(alpha*fck*(1-(1-((($AP16+$AQ16*Mesh_Y+$AR16*Mesh_X))*(($AP16+$AQ16*Mesh_Y+$AR16*Mesh_X)&gt;0)*(($AP16+$AQ16*Mesh_Y+$AR16*Mesh_X)&lt;eco)+eco*(($AP16+$AQ16*Mesh_Y+$AR16*Mesh_X)&gt;=eco))/eco)^n)*((($AP16+$AQ16*Mesh_Y+$AR16*Mesh_X))&gt;0),Mesh_A,Mesh_Y)+SUMPRODUCT((Es*(($AP16+$AQ16*Geometry!$E$42:$E$59+$AR16*Geometry!$D$42:$D$59))*(ABS(Es*(($AP16+$AQ16*Geometry!$E$42:$E$59+$AR16*Geometry!$D$42:$D$59)))&lt;=fy)+fy*(Es*(($AP16+$AQ16*Geometry!$E$42:$E$59+$AR16*Geometry!$D$42:$D$59))&gt;fy)-fy*(Es*(($AP16+$AQ16*Geometry!$E$42:$E$59+$AR16*Geometry!$D$42:$D$59))&lt;-fy)-(alpha*fck*(1-(1-((($AP16+$AQ16*Geometry!$E$42:$E$59+$AR16*Geometry!$D$42:$D$59))*(($AP16+$AQ16*Geometry!$E$42:$E$59+$AR16*Geometry!$D$42:$D$59)&gt;0)*(($AP16+$AQ16*Geometry!$E$42:$E$59+$AR16*Geometry!$D$42:$D$59)&lt;eco)+eco*(($AP16+$AQ16*Geometry!$E$42:$E$59+$AR16*Geometry!$D$42:$D$59)&gt;=eco))/eco)^n)*((($AP16+$AQ16*Geometry!$E$42:$E$59+$AR16*Geometry!$D$42:$D$59))&gt;0))),Geometry!$F$42:$F$59,Geometry!$E$42:$E$59))/1000000</f>
      </c>
      <c r="CQ16" s="32">
        <f>(SUMPRODUCT(alpha*fck*(1-(1-((($AS16+$AT16*Mesh_Y+$AU16*Mesh_X))*(($AS16+$AT16*Mesh_Y+$AU16*Mesh_X)&gt;0)*(($AS16+$AT16*Mesh_Y+$AU16*Mesh_X)&lt;eco)+eco*(($AS16+$AT16*Mesh_Y+$AU16*Mesh_X)&gt;=eco))/eco)^n)*((($AS16+$AT16*Mesh_Y+$AU16*Mesh_X))&gt;0),Mesh_A,Mesh_Y)+SUMPRODUCT((Es*(($AS16+$AT16*Geometry!$E$42:$E$59+$AU16*Geometry!$D$42:$D$59))*(ABS(Es*(($AS16+$AT16*Geometry!$E$42:$E$59+$AU16*Geometry!$D$42:$D$59)))&lt;=fy)+fy*(Es*(($AS16+$AT16*Geometry!$E$42:$E$59+$AU16*Geometry!$D$42:$D$59))&gt;fy)-fy*(Es*(($AS16+$AT16*Geometry!$E$42:$E$59+$AU16*Geometry!$D$42:$D$59))&lt;-fy)-(alpha*fck*(1-(1-((($AS16+$AT16*Geometry!$E$42:$E$59+$AU16*Geometry!$D$42:$D$59))*(($AS16+$AT16*Geometry!$E$42:$E$59+$AU16*Geometry!$D$42:$D$59)&gt;0)*(($AS16+$AT16*Geometry!$E$42:$E$59+$AU16*Geometry!$D$42:$D$59)&lt;eco)+eco*(($AS16+$AT16*Geometry!$E$42:$E$59+$AU16*Geometry!$D$42:$D$59)&gt;=eco))/eco)^n)*((($AS16+$AT16*Geometry!$E$42:$E$59+$AU16*Geometry!$D$42:$D$59))&gt;0))),Geometry!$F$42:$F$59,Geometry!$E$42:$E$59))/1000000</f>
      </c>
      <c r="CR16" s="32">
        <f>(SUMPRODUCT(alpha*fck*(1-(1-((($AV16+$AW16*Mesh_Y+$AX16*Mesh_X))*(($AV16+$AW16*Mesh_Y+$AX16*Mesh_X)&gt;0)*(($AV16+$AW16*Mesh_Y+$AX16*Mesh_X)&lt;eco)+eco*(($AV16+$AW16*Mesh_Y+$AX16*Mesh_X)&gt;=eco))/eco)^n)*((($AV16+$AW16*Mesh_Y+$AX16*Mesh_X))&gt;0),Mesh_A,Mesh_Y)+SUMPRODUCT((Es*(($AV16+$AW16*Geometry!$E$42:$E$59+$AX16*Geometry!$D$42:$D$59))*(ABS(Es*(($AV16+$AW16*Geometry!$E$42:$E$59+$AX16*Geometry!$D$42:$D$59)))&lt;=fy)+fy*(Es*(($AV16+$AW16*Geometry!$E$42:$E$59+$AX16*Geometry!$D$42:$D$59))&gt;fy)-fy*(Es*(($AV16+$AW16*Geometry!$E$42:$E$59+$AX16*Geometry!$D$42:$D$59))&lt;-fy)-(alpha*fck*(1-(1-((($AV16+$AW16*Geometry!$E$42:$E$59+$AX16*Geometry!$D$42:$D$59))*(($AV16+$AW16*Geometry!$E$42:$E$59+$AX16*Geometry!$D$42:$D$59)&gt;0)*(($AV16+$AW16*Geometry!$E$42:$E$59+$AX16*Geometry!$D$42:$D$59)&lt;eco)+eco*(($AV16+$AW16*Geometry!$E$42:$E$59+$AX16*Geometry!$D$42:$D$59)&gt;=eco))/eco)^n)*((($AV16+$AW16*Geometry!$E$42:$E$59+$AX16*Geometry!$D$42:$D$59))&gt;0))),Geometry!$F$42:$F$59,Geometry!$E$42:$E$59))/1000000</f>
      </c>
      <c r="CS16" s="32">
        <f>(SUMPRODUCT(alpha*fck*(1-(1-((($AY16+$AZ16*Mesh_Y+$BA16*Mesh_X))*(($AY16+$AZ16*Mesh_Y+$BA16*Mesh_X)&gt;0)*(($AY16+$AZ16*Mesh_Y+$BA16*Mesh_X)&lt;eco)+eco*(($AY16+$AZ16*Mesh_Y+$BA16*Mesh_X)&gt;=eco))/eco)^n)*((($AY16+$AZ16*Mesh_Y+$BA16*Mesh_X))&gt;0),Mesh_A,Mesh_Y)+SUMPRODUCT((Es*(($AY16+$AZ16*Geometry!$E$42:$E$59+$BA16*Geometry!$D$42:$D$59))*(ABS(Es*(($AY16+$AZ16*Geometry!$E$42:$E$59+$BA16*Geometry!$D$42:$D$59)))&lt;=fy)+fy*(Es*(($AY16+$AZ16*Geometry!$E$42:$E$59+$BA16*Geometry!$D$42:$D$59))&gt;fy)-fy*(Es*(($AY16+$AZ16*Geometry!$E$42:$E$59+$BA16*Geometry!$D$42:$D$59))&lt;-fy)-(alpha*fck*(1-(1-((($AY16+$AZ16*Geometry!$E$42:$E$59+$BA16*Geometry!$D$42:$D$59))*(($AY16+$AZ16*Geometry!$E$42:$E$59+$BA16*Geometry!$D$42:$D$59)&gt;0)*(($AY16+$AZ16*Geometry!$E$42:$E$59+$BA16*Geometry!$D$42:$D$59)&lt;eco)+eco*(($AY16+$AZ16*Geometry!$E$42:$E$59+$BA16*Geometry!$D$42:$D$59)&gt;=eco))/eco)^n)*((($AY16+$AZ16*Geometry!$E$42:$E$59+$BA16*Geometry!$D$42:$D$59))&gt;0))),Geometry!$F$42:$F$59,Geometry!$E$42:$E$59))/1000000</f>
      </c>
      <c r="CT16" s="32">
        <f>(SUMPRODUCT(alpha*fck*(1-(1-((($BB16+$BC16*Mesh_Y+$BD16*Mesh_X))*(($BB16+$BC16*Mesh_Y+$BD16*Mesh_X)&gt;0)*(($BB16+$BC16*Mesh_Y+$BD16*Mesh_X)&lt;eco)+eco*(($BB16+$BC16*Mesh_Y+$BD16*Mesh_X)&gt;=eco))/eco)^n)*((($BB16+$BC16*Mesh_Y+$BD16*Mesh_X))&gt;0),Mesh_A,Mesh_Y)+SUMPRODUCT((Es*(($BB16+$BC16*Geometry!$E$42:$E$59+$BD16*Geometry!$D$42:$D$59))*(ABS(Es*(($BB16+$BC16*Geometry!$E$42:$E$59+$BD16*Geometry!$D$42:$D$59)))&lt;=fy)+fy*(Es*(($BB16+$BC16*Geometry!$E$42:$E$59+$BD16*Geometry!$D$42:$D$59))&gt;fy)-fy*(Es*(($BB16+$BC16*Geometry!$E$42:$E$59+$BD16*Geometry!$D$42:$D$59))&lt;-fy)-(alpha*fck*(1-(1-((($BB16+$BC16*Geometry!$E$42:$E$59+$BD16*Geometry!$D$42:$D$59))*(($BB16+$BC16*Geometry!$E$42:$E$59+$BD16*Geometry!$D$42:$D$59)&gt;0)*(($BB16+$BC16*Geometry!$E$42:$E$59+$BD16*Geometry!$D$42:$D$59)&lt;eco)+eco*(($BB16+$BC16*Geometry!$E$42:$E$59+$BD16*Geometry!$D$42:$D$59)&gt;=eco))/eco)^n)*((($BB16+$BC16*Geometry!$E$42:$E$59+$BD16*Geometry!$D$42:$D$59))&gt;0))),Geometry!$F$42:$F$59,Geometry!$E$42:$E$59))/1000000</f>
      </c>
      <c r="CU16" s="32">
        <f>(SUMPRODUCT(alpha*fck*(1-(1-((($BE16+$BF16*Mesh_Y+$BG16*Mesh_X))*(($BE16+$BF16*Mesh_Y+$BG16*Mesh_X)&gt;0)*(($BE16+$BF16*Mesh_Y+$BG16*Mesh_X)&lt;eco)+eco*(($BE16+$BF16*Mesh_Y+$BG16*Mesh_X)&gt;=eco))/eco)^n)*((($BE16+$BF16*Mesh_Y+$BG16*Mesh_X))&gt;0),Mesh_A,Mesh_Y)+SUMPRODUCT((Es*(($BE16+$BF16*Geometry!$E$42:$E$59+$BG16*Geometry!$D$42:$D$59))*(ABS(Es*(($BE16+$BF16*Geometry!$E$42:$E$59+$BG16*Geometry!$D$42:$D$59)))&lt;=fy)+fy*(Es*(($BE16+$BF16*Geometry!$E$42:$E$59+$BG16*Geometry!$D$42:$D$59))&gt;fy)-fy*(Es*(($BE16+$BF16*Geometry!$E$42:$E$59+$BG16*Geometry!$D$42:$D$59))&lt;-fy)-(alpha*fck*(1-(1-((($BE16+$BF16*Geometry!$E$42:$E$59+$BG16*Geometry!$D$42:$D$59))*(($BE16+$BF16*Geometry!$E$42:$E$59+$BG16*Geometry!$D$42:$D$59)&gt;0)*(($BE16+$BF16*Geometry!$E$42:$E$59+$BG16*Geometry!$D$42:$D$59)&lt;eco)+eco*(($BE16+$BF16*Geometry!$E$42:$E$59+$BG16*Geometry!$D$42:$D$59)&gt;=eco))/eco)^n)*((($BE16+$BF16*Geometry!$E$42:$E$59+$BG16*Geometry!$D$42:$D$59))&gt;0))),Geometry!$F$42:$F$59,Geometry!$E$42:$E$59))/1000000</f>
      </c>
      <c r="CV16" s="32">
        <f>(SUMPRODUCT(alpha*fck*(1-(1-((($BH16+$BI16*Mesh_Y+$BJ16*Mesh_X))*(($BH16+$BI16*Mesh_Y+$BJ16*Mesh_X)&gt;0)*(($BH16+$BI16*Mesh_Y+$BJ16*Mesh_X)&lt;eco)+eco*(($BH16+$BI16*Mesh_Y+$BJ16*Mesh_X)&gt;=eco))/eco)^n)*((($BH16+$BI16*Mesh_Y+$BJ16*Mesh_X))&gt;0),Mesh_A,Mesh_Y)+SUMPRODUCT((Es*(($BH16+$BI16*Geometry!$E$42:$E$59+$BJ16*Geometry!$D$42:$D$59))*(ABS(Es*(($BH16+$BI16*Geometry!$E$42:$E$59+$BJ16*Geometry!$D$42:$D$59)))&lt;=fy)+fy*(Es*(($BH16+$BI16*Geometry!$E$42:$E$59+$BJ16*Geometry!$D$42:$D$59))&gt;fy)-fy*(Es*(($BH16+$BI16*Geometry!$E$42:$E$59+$BJ16*Geometry!$D$42:$D$59))&lt;-fy)-(alpha*fck*(1-(1-((($BH16+$BI16*Geometry!$E$42:$E$59+$BJ16*Geometry!$D$42:$D$59))*(($BH16+$BI16*Geometry!$E$42:$E$59+$BJ16*Geometry!$D$42:$D$59)&gt;0)*(($BH16+$BI16*Geometry!$E$42:$E$59+$BJ16*Geometry!$D$42:$D$59)&lt;eco)+eco*(($BH16+$BI16*Geometry!$E$42:$E$59+$BJ16*Geometry!$D$42:$D$59)&gt;=eco))/eco)^n)*((($BH16+$BI16*Geometry!$E$42:$E$59+$BJ16*Geometry!$D$42:$D$59))&gt;0))),Geometry!$F$42:$F$59,Geometry!$E$42:$E$59))/1000000</f>
      </c>
      <c r="CW16" s="32">
        <f>(SUMPRODUCT(alpha*fck*(1-(1-((($F16+$G16*Mesh_Y+$H16*Mesh_X))*(($F16+$G16*Mesh_Y+$H16*Mesh_X)&gt;0)*(($F16+$G16*Mesh_Y+$H16*Mesh_X)&lt;eco)+eco*(($F16+$G16*Mesh_Y+$H16*Mesh_X)&gt;=eco))/eco)^n)*((($F16+$G16*Mesh_Y+$H16*Mesh_X))&gt;0),Mesh_A,Mesh_X)+SUMPRODUCT((Es*(($F16+$G16*Geometry!$E$42:$E$59+$H16*Geometry!$D$42:$D$59))*(ABS(Es*(($F16+$G16*Geometry!$E$42:$E$59+$H16*Geometry!$D$42:$D$59)))&lt;=fy)+fy*(Es*(($F16+$G16*Geometry!$E$42:$E$59+$H16*Geometry!$D$42:$D$59))&gt;fy)-fy*(Es*(($F16+$G16*Geometry!$E$42:$E$59+$H16*Geometry!$D$42:$D$59))&lt;-fy)-(alpha*fck*(1-(1-((($F16+$G16*Geometry!$E$42:$E$59+$H16*Geometry!$D$42:$D$59))*(($F16+$G16*Geometry!$E$42:$E$59+$H16*Geometry!$D$42:$D$59)&gt;0)*(($F16+$G16*Geometry!$E$42:$E$59+$H16*Geometry!$D$42:$D$59)&lt;eco)+eco*(($F16+$G16*Geometry!$E$42:$E$59+$H16*Geometry!$D$42:$D$59)&gt;=eco))/eco)^n)*((($F16+$G16*Geometry!$E$42:$E$59+$H16*Geometry!$D$42:$D$59))&gt;0))),Geometry!$F$42:$F$59,Geometry!$D$42:$D$59))/1000000</f>
      </c>
      <c r="CX16" s="32">
        <f>(SUMPRODUCT(alpha*fck*(1-(1-((($I16+$J16*Mesh_Y+$K16*Mesh_X))*(($I16+$J16*Mesh_Y+$K16*Mesh_X)&gt;0)*(($I16+$J16*Mesh_Y+$K16*Mesh_X)&lt;eco)+eco*(($I16+$J16*Mesh_Y+$K16*Mesh_X)&gt;=eco))/eco)^n)*((($I16+$J16*Mesh_Y+$K16*Mesh_X))&gt;0),Mesh_A,Mesh_X)+SUMPRODUCT((Es*(($I16+$J16*Geometry!$E$42:$E$59+$K16*Geometry!$D$42:$D$59))*(ABS(Es*(($I16+$J16*Geometry!$E$42:$E$59+$K16*Geometry!$D$42:$D$59)))&lt;=fy)+fy*(Es*(($I16+$J16*Geometry!$E$42:$E$59+$K16*Geometry!$D$42:$D$59))&gt;fy)-fy*(Es*(($I16+$J16*Geometry!$E$42:$E$59+$K16*Geometry!$D$42:$D$59))&lt;-fy)-(alpha*fck*(1-(1-((($I16+$J16*Geometry!$E$42:$E$59+$K16*Geometry!$D$42:$D$59))*(($I16+$J16*Geometry!$E$42:$E$59+$K16*Geometry!$D$42:$D$59)&gt;0)*(($I16+$J16*Geometry!$E$42:$E$59+$K16*Geometry!$D$42:$D$59)&lt;eco)+eco*(($I16+$J16*Geometry!$E$42:$E$59+$K16*Geometry!$D$42:$D$59)&gt;=eco))/eco)^n)*((($I16+$J16*Geometry!$E$42:$E$59+$K16*Geometry!$D$42:$D$59))&gt;0))),Geometry!$F$42:$F$59,Geometry!$D$42:$D$59))/1000000</f>
      </c>
      <c r="CY16" s="32">
        <f>(SUMPRODUCT(alpha*fck*(1-(1-((($L16+$M16*Mesh_Y+$N16*Mesh_X))*(($L16+$M16*Mesh_Y+$N16*Mesh_X)&gt;0)*(($L16+$M16*Mesh_Y+$N16*Mesh_X)&lt;eco)+eco*(($L16+$M16*Mesh_Y+$N16*Mesh_X)&gt;=eco))/eco)^n)*((($L16+$M16*Mesh_Y+$N16*Mesh_X))&gt;0),Mesh_A,Mesh_X)+SUMPRODUCT((Es*(($L16+$M16*Geometry!$E$42:$E$59+$N16*Geometry!$D$42:$D$59))*(ABS(Es*(($L16+$M16*Geometry!$E$42:$E$59+$N16*Geometry!$D$42:$D$59)))&lt;=fy)+fy*(Es*(($L16+$M16*Geometry!$E$42:$E$59+$N16*Geometry!$D$42:$D$59))&gt;fy)-fy*(Es*(($L16+$M16*Geometry!$E$42:$E$59+$N16*Geometry!$D$42:$D$59))&lt;-fy)-(alpha*fck*(1-(1-((($L16+$M16*Geometry!$E$42:$E$59+$N16*Geometry!$D$42:$D$59))*(($L16+$M16*Geometry!$E$42:$E$59+$N16*Geometry!$D$42:$D$59)&gt;0)*(($L16+$M16*Geometry!$E$42:$E$59+$N16*Geometry!$D$42:$D$59)&lt;eco)+eco*(($L16+$M16*Geometry!$E$42:$E$59+$N16*Geometry!$D$42:$D$59)&gt;=eco))/eco)^n)*((($L16+$M16*Geometry!$E$42:$E$59+$N16*Geometry!$D$42:$D$59))&gt;0))),Geometry!$F$42:$F$59,Geometry!$D$42:$D$59))/1000000</f>
      </c>
      <c r="CZ16" s="32">
        <f>(SUMPRODUCT(alpha*fck*(1-(1-((($O16+$P16*Mesh_Y+$Q16*Mesh_X))*(($O16+$P16*Mesh_Y+$Q16*Mesh_X)&gt;0)*(($O16+$P16*Mesh_Y+$Q16*Mesh_X)&lt;eco)+eco*(($O16+$P16*Mesh_Y+$Q16*Mesh_X)&gt;=eco))/eco)^n)*((($O16+$P16*Mesh_Y+$Q16*Mesh_X))&gt;0),Mesh_A,Mesh_X)+SUMPRODUCT((Es*(($O16+$P16*Geometry!$E$42:$E$59+$Q16*Geometry!$D$42:$D$59))*(ABS(Es*(($O16+$P16*Geometry!$E$42:$E$59+$Q16*Geometry!$D$42:$D$59)))&lt;=fy)+fy*(Es*(($O16+$P16*Geometry!$E$42:$E$59+$Q16*Geometry!$D$42:$D$59))&gt;fy)-fy*(Es*(($O16+$P16*Geometry!$E$42:$E$59+$Q16*Geometry!$D$42:$D$59))&lt;-fy)-(alpha*fck*(1-(1-((($O16+$P16*Geometry!$E$42:$E$59+$Q16*Geometry!$D$42:$D$59))*(($O16+$P16*Geometry!$E$42:$E$59+$Q16*Geometry!$D$42:$D$59)&gt;0)*(($O16+$P16*Geometry!$E$42:$E$59+$Q16*Geometry!$D$42:$D$59)&lt;eco)+eco*(($O16+$P16*Geometry!$E$42:$E$59+$Q16*Geometry!$D$42:$D$59)&gt;=eco))/eco)^n)*((($O16+$P16*Geometry!$E$42:$E$59+$Q16*Geometry!$D$42:$D$59))&gt;0))),Geometry!$F$42:$F$59,Geometry!$D$42:$D$59))/1000000</f>
      </c>
      <c r="DA16" s="32">
        <f>(SUMPRODUCT(alpha*fck*(1-(1-((($R16+$S16*Mesh_Y+$T16*Mesh_X))*(($R16+$S16*Mesh_Y+$T16*Mesh_X)&gt;0)*(($R16+$S16*Mesh_Y+$T16*Mesh_X)&lt;eco)+eco*(($R16+$S16*Mesh_Y+$T16*Mesh_X)&gt;=eco))/eco)^n)*((($R16+$S16*Mesh_Y+$T16*Mesh_X))&gt;0),Mesh_A,Mesh_X)+SUMPRODUCT((Es*(($R16+$S16*Geometry!$E$42:$E$59+$T16*Geometry!$D$42:$D$59))*(ABS(Es*(($R16+$S16*Geometry!$E$42:$E$59+$T16*Geometry!$D$42:$D$59)))&lt;=fy)+fy*(Es*(($R16+$S16*Geometry!$E$42:$E$59+$T16*Geometry!$D$42:$D$59))&gt;fy)-fy*(Es*(($R16+$S16*Geometry!$E$42:$E$59+$T16*Geometry!$D$42:$D$59))&lt;-fy)-(alpha*fck*(1-(1-((($R16+$S16*Geometry!$E$42:$E$59+$T16*Geometry!$D$42:$D$59))*(($R16+$S16*Geometry!$E$42:$E$59+$T16*Geometry!$D$42:$D$59)&gt;0)*(($R16+$S16*Geometry!$E$42:$E$59+$T16*Geometry!$D$42:$D$59)&lt;eco)+eco*(($R16+$S16*Geometry!$E$42:$E$59+$T16*Geometry!$D$42:$D$59)&gt;=eco))/eco)^n)*((($R16+$S16*Geometry!$E$42:$E$59+$T16*Geometry!$D$42:$D$59))&gt;0))),Geometry!$F$42:$F$59,Geometry!$D$42:$D$59))/1000000</f>
      </c>
      <c r="DB16" s="32">
        <f>(SUMPRODUCT(alpha*fck*(1-(1-((($U16+$V16*Mesh_Y+$W16*Mesh_X))*(($U16+$V16*Mesh_Y+$W16*Mesh_X)&gt;0)*(($U16+$V16*Mesh_Y+$W16*Mesh_X)&lt;eco)+eco*(($U16+$V16*Mesh_Y+$W16*Mesh_X)&gt;=eco))/eco)^n)*((($U16+$V16*Mesh_Y+$W16*Mesh_X))&gt;0),Mesh_A,Mesh_X)+SUMPRODUCT((Es*(($U16+$V16*Geometry!$E$42:$E$59+$W16*Geometry!$D$42:$D$59))*(ABS(Es*(($U16+$V16*Geometry!$E$42:$E$59+$W16*Geometry!$D$42:$D$59)))&lt;=fy)+fy*(Es*(($U16+$V16*Geometry!$E$42:$E$59+$W16*Geometry!$D$42:$D$59))&gt;fy)-fy*(Es*(($U16+$V16*Geometry!$E$42:$E$59+$W16*Geometry!$D$42:$D$59))&lt;-fy)-(alpha*fck*(1-(1-((($U16+$V16*Geometry!$E$42:$E$59+$W16*Geometry!$D$42:$D$59))*(($U16+$V16*Geometry!$E$42:$E$59+$W16*Geometry!$D$42:$D$59)&gt;0)*(($U16+$V16*Geometry!$E$42:$E$59+$W16*Geometry!$D$42:$D$59)&lt;eco)+eco*(($U16+$V16*Geometry!$E$42:$E$59+$W16*Geometry!$D$42:$D$59)&gt;=eco))/eco)^n)*((($U16+$V16*Geometry!$E$42:$E$59+$W16*Geometry!$D$42:$D$59))&gt;0))),Geometry!$F$42:$F$59,Geometry!$D$42:$D$59))/1000000</f>
      </c>
      <c r="DC16" s="32">
        <f>(SUMPRODUCT(alpha*fck*(1-(1-((($X16+$Y16*Mesh_Y+$Z16*Mesh_X))*(($X16+$Y16*Mesh_Y+$Z16*Mesh_X)&gt;0)*(($X16+$Y16*Mesh_Y+$Z16*Mesh_X)&lt;eco)+eco*(($X16+$Y16*Mesh_Y+$Z16*Mesh_X)&gt;=eco))/eco)^n)*((($X16+$Y16*Mesh_Y+$Z16*Mesh_X))&gt;0),Mesh_A,Mesh_X)+SUMPRODUCT((Es*(($X16+$Y16*Geometry!$E$42:$E$59+$Z16*Geometry!$D$42:$D$59))*(ABS(Es*(($X16+$Y16*Geometry!$E$42:$E$59+$Z16*Geometry!$D$42:$D$59)))&lt;=fy)+fy*(Es*(($X16+$Y16*Geometry!$E$42:$E$59+$Z16*Geometry!$D$42:$D$59))&gt;fy)-fy*(Es*(($X16+$Y16*Geometry!$E$42:$E$59+$Z16*Geometry!$D$42:$D$59))&lt;-fy)-(alpha*fck*(1-(1-((($X16+$Y16*Geometry!$E$42:$E$59+$Z16*Geometry!$D$42:$D$59))*(($X16+$Y16*Geometry!$E$42:$E$59+$Z16*Geometry!$D$42:$D$59)&gt;0)*(($X16+$Y16*Geometry!$E$42:$E$59+$Z16*Geometry!$D$42:$D$59)&lt;eco)+eco*(($X16+$Y16*Geometry!$E$42:$E$59+$Z16*Geometry!$D$42:$D$59)&gt;=eco))/eco)^n)*((($X16+$Y16*Geometry!$E$42:$E$59+$Z16*Geometry!$D$42:$D$59))&gt;0))),Geometry!$F$42:$F$59,Geometry!$D$42:$D$59))/1000000</f>
      </c>
      <c r="DD16" s="32">
        <f>(SUMPRODUCT(alpha*fck*(1-(1-((($AA16+$AB16*Mesh_Y+$AC16*Mesh_X))*(($AA16+$AB16*Mesh_Y+$AC16*Mesh_X)&gt;0)*(($AA16+$AB16*Mesh_Y+$AC16*Mesh_X)&lt;eco)+eco*(($AA16+$AB16*Mesh_Y+$AC16*Mesh_X)&gt;=eco))/eco)^n)*((($AA16+$AB16*Mesh_Y+$AC16*Mesh_X))&gt;0),Mesh_A,Mesh_X)+SUMPRODUCT((Es*(($AA16+$AB16*Geometry!$E$42:$E$59+$AC16*Geometry!$D$42:$D$59))*(ABS(Es*(($AA16+$AB16*Geometry!$E$42:$E$59+$AC16*Geometry!$D$42:$D$59)))&lt;=fy)+fy*(Es*(($AA16+$AB16*Geometry!$E$42:$E$59+$AC16*Geometry!$D$42:$D$59))&gt;fy)-fy*(Es*(($AA16+$AB16*Geometry!$E$42:$E$59+$AC16*Geometry!$D$42:$D$59))&lt;-fy)-(alpha*fck*(1-(1-((($AA16+$AB16*Geometry!$E$42:$E$59+$AC16*Geometry!$D$42:$D$59))*(($AA16+$AB16*Geometry!$E$42:$E$59+$AC16*Geometry!$D$42:$D$59)&gt;0)*(($AA16+$AB16*Geometry!$E$42:$E$59+$AC16*Geometry!$D$42:$D$59)&lt;eco)+eco*(($AA16+$AB16*Geometry!$E$42:$E$59+$AC16*Geometry!$D$42:$D$59)&gt;=eco))/eco)^n)*((($AA16+$AB16*Geometry!$E$42:$E$59+$AC16*Geometry!$D$42:$D$59))&gt;0))),Geometry!$F$42:$F$59,Geometry!$D$42:$D$59))/1000000</f>
      </c>
      <c r="DE16" s="32">
        <f>(SUMPRODUCT(alpha*fck*(1-(1-((($AD16+$AE16*Mesh_Y+$AF16*Mesh_X))*(($AD16+$AE16*Mesh_Y+$AF16*Mesh_X)&gt;0)*(($AD16+$AE16*Mesh_Y+$AF16*Mesh_X)&lt;eco)+eco*(($AD16+$AE16*Mesh_Y+$AF16*Mesh_X)&gt;=eco))/eco)^n)*((($AD16+$AE16*Mesh_Y+$AF16*Mesh_X))&gt;0),Mesh_A,Mesh_X)+SUMPRODUCT((Es*(($AD16+$AE16*Geometry!$E$42:$E$59+$AF16*Geometry!$D$42:$D$59))*(ABS(Es*(($AD16+$AE16*Geometry!$E$42:$E$59+$AF16*Geometry!$D$42:$D$59)))&lt;=fy)+fy*(Es*(($AD16+$AE16*Geometry!$E$42:$E$59+$AF16*Geometry!$D$42:$D$59))&gt;fy)-fy*(Es*(($AD16+$AE16*Geometry!$E$42:$E$59+$AF16*Geometry!$D$42:$D$59))&lt;-fy)-(alpha*fck*(1-(1-((($AD16+$AE16*Geometry!$E$42:$E$59+$AF16*Geometry!$D$42:$D$59))*(($AD16+$AE16*Geometry!$E$42:$E$59+$AF16*Geometry!$D$42:$D$59)&gt;0)*(($AD16+$AE16*Geometry!$E$42:$E$59+$AF16*Geometry!$D$42:$D$59)&lt;eco)+eco*(($AD16+$AE16*Geometry!$E$42:$E$59+$AF16*Geometry!$D$42:$D$59)&gt;=eco))/eco)^n)*((($AD16+$AE16*Geometry!$E$42:$E$59+$AF16*Geometry!$D$42:$D$59))&gt;0))),Geometry!$F$42:$F$59,Geometry!$D$42:$D$59))/1000000</f>
      </c>
      <c r="DF16" s="32">
        <f>(SUMPRODUCT(alpha*fck*(1-(1-((($AG16+$AH16*Mesh_Y+$AI16*Mesh_X))*(($AG16+$AH16*Mesh_Y+$AI16*Mesh_X)&gt;0)*(($AG16+$AH16*Mesh_Y+$AI16*Mesh_X)&lt;eco)+eco*(($AG16+$AH16*Mesh_Y+$AI16*Mesh_X)&gt;=eco))/eco)^n)*((($AG16+$AH16*Mesh_Y+$AI16*Mesh_X))&gt;0),Mesh_A,Mesh_X)+SUMPRODUCT((Es*(($AG16+$AH16*Geometry!$E$42:$E$59+$AI16*Geometry!$D$42:$D$59))*(ABS(Es*(($AG16+$AH16*Geometry!$E$42:$E$59+$AI16*Geometry!$D$42:$D$59)))&lt;=fy)+fy*(Es*(($AG16+$AH16*Geometry!$E$42:$E$59+$AI16*Geometry!$D$42:$D$59))&gt;fy)-fy*(Es*(($AG16+$AH16*Geometry!$E$42:$E$59+$AI16*Geometry!$D$42:$D$59))&lt;-fy)-(alpha*fck*(1-(1-((($AG16+$AH16*Geometry!$E$42:$E$59+$AI16*Geometry!$D$42:$D$59))*(($AG16+$AH16*Geometry!$E$42:$E$59+$AI16*Geometry!$D$42:$D$59)&gt;0)*(($AG16+$AH16*Geometry!$E$42:$E$59+$AI16*Geometry!$D$42:$D$59)&lt;eco)+eco*(($AG16+$AH16*Geometry!$E$42:$E$59+$AI16*Geometry!$D$42:$D$59)&gt;=eco))/eco)^n)*((($AG16+$AH16*Geometry!$E$42:$E$59+$AI16*Geometry!$D$42:$D$59))&gt;0))),Geometry!$F$42:$F$59,Geometry!$D$42:$D$59))/1000000</f>
      </c>
      <c r="DG16" s="32">
        <f>(SUMPRODUCT(alpha*fck*(1-(1-((($AJ16+$AK16*Mesh_Y+$AL16*Mesh_X))*(($AJ16+$AK16*Mesh_Y+$AL16*Mesh_X)&gt;0)*(($AJ16+$AK16*Mesh_Y+$AL16*Mesh_X)&lt;eco)+eco*(($AJ16+$AK16*Mesh_Y+$AL16*Mesh_X)&gt;=eco))/eco)^n)*((($AJ16+$AK16*Mesh_Y+$AL16*Mesh_X))&gt;0),Mesh_A,Mesh_X)+SUMPRODUCT((Es*(($AJ16+$AK16*Geometry!$E$42:$E$59+$AL16*Geometry!$D$42:$D$59))*(ABS(Es*(($AJ16+$AK16*Geometry!$E$42:$E$59+$AL16*Geometry!$D$42:$D$59)))&lt;=fy)+fy*(Es*(($AJ16+$AK16*Geometry!$E$42:$E$59+$AL16*Geometry!$D$42:$D$59))&gt;fy)-fy*(Es*(($AJ16+$AK16*Geometry!$E$42:$E$59+$AL16*Geometry!$D$42:$D$59))&lt;-fy)-(alpha*fck*(1-(1-((($AJ16+$AK16*Geometry!$E$42:$E$59+$AL16*Geometry!$D$42:$D$59))*(($AJ16+$AK16*Geometry!$E$42:$E$59+$AL16*Geometry!$D$42:$D$59)&gt;0)*(($AJ16+$AK16*Geometry!$E$42:$E$59+$AL16*Geometry!$D$42:$D$59)&lt;eco)+eco*(($AJ16+$AK16*Geometry!$E$42:$E$59+$AL16*Geometry!$D$42:$D$59)&gt;=eco))/eco)^n)*((($AJ16+$AK16*Geometry!$E$42:$E$59+$AL16*Geometry!$D$42:$D$59))&gt;0))),Geometry!$F$42:$F$59,Geometry!$D$42:$D$59))/1000000</f>
      </c>
      <c r="DH16" s="32">
        <f>(SUMPRODUCT(alpha*fck*(1-(1-((($AM16+$AN16*Mesh_Y+$AO16*Mesh_X))*(($AM16+$AN16*Mesh_Y+$AO16*Mesh_X)&gt;0)*(($AM16+$AN16*Mesh_Y+$AO16*Mesh_X)&lt;eco)+eco*(($AM16+$AN16*Mesh_Y+$AO16*Mesh_X)&gt;=eco))/eco)^n)*((($AM16+$AN16*Mesh_Y+$AO16*Mesh_X))&gt;0),Mesh_A,Mesh_X)+SUMPRODUCT((Es*(($AM16+$AN16*Geometry!$E$42:$E$59+$AO16*Geometry!$D$42:$D$59))*(ABS(Es*(($AM16+$AN16*Geometry!$E$42:$E$59+$AO16*Geometry!$D$42:$D$59)))&lt;=fy)+fy*(Es*(($AM16+$AN16*Geometry!$E$42:$E$59+$AO16*Geometry!$D$42:$D$59))&gt;fy)-fy*(Es*(($AM16+$AN16*Geometry!$E$42:$E$59+$AO16*Geometry!$D$42:$D$59))&lt;-fy)-(alpha*fck*(1-(1-((($AM16+$AN16*Geometry!$E$42:$E$59+$AO16*Geometry!$D$42:$D$59))*(($AM16+$AN16*Geometry!$E$42:$E$59+$AO16*Geometry!$D$42:$D$59)&gt;0)*(($AM16+$AN16*Geometry!$E$42:$E$59+$AO16*Geometry!$D$42:$D$59)&lt;eco)+eco*(($AM16+$AN16*Geometry!$E$42:$E$59+$AO16*Geometry!$D$42:$D$59)&gt;=eco))/eco)^n)*((($AM16+$AN16*Geometry!$E$42:$E$59+$AO16*Geometry!$D$42:$D$59))&gt;0))),Geometry!$F$42:$F$59,Geometry!$D$42:$D$59))/1000000</f>
      </c>
      <c r="DI16" s="32">
        <f>(SUMPRODUCT(alpha*fck*(1-(1-((($AP16+$AQ16*Mesh_Y+$AR16*Mesh_X))*(($AP16+$AQ16*Mesh_Y+$AR16*Mesh_X)&gt;0)*(($AP16+$AQ16*Mesh_Y+$AR16*Mesh_X)&lt;eco)+eco*(($AP16+$AQ16*Mesh_Y+$AR16*Mesh_X)&gt;=eco))/eco)^n)*((($AP16+$AQ16*Mesh_Y+$AR16*Mesh_X))&gt;0),Mesh_A,Mesh_X)+SUMPRODUCT((Es*(($AP16+$AQ16*Geometry!$E$42:$E$59+$AR16*Geometry!$D$42:$D$59))*(ABS(Es*(($AP16+$AQ16*Geometry!$E$42:$E$59+$AR16*Geometry!$D$42:$D$59)))&lt;=fy)+fy*(Es*(($AP16+$AQ16*Geometry!$E$42:$E$59+$AR16*Geometry!$D$42:$D$59))&gt;fy)-fy*(Es*(($AP16+$AQ16*Geometry!$E$42:$E$59+$AR16*Geometry!$D$42:$D$59))&lt;-fy)-(alpha*fck*(1-(1-((($AP16+$AQ16*Geometry!$E$42:$E$59+$AR16*Geometry!$D$42:$D$59))*(($AP16+$AQ16*Geometry!$E$42:$E$59+$AR16*Geometry!$D$42:$D$59)&gt;0)*(($AP16+$AQ16*Geometry!$E$42:$E$59+$AR16*Geometry!$D$42:$D$59)&lt;eco)+eco*(($AP16+$AQ16*Geometry!$E$42:$E$59+$AR16*Geometry!$D$42:$D$59)&gt;=eco))/eco)^n)*((($AP16+$AQ16*Geometry!$E$42:$E$59+$AR16*Geometry!$D$42:$D$59))&gt;0))),Geometry!$F$42:$F$59,Geometry!$D$42:$D$59))/1000000</f>
      </c>
      <c r="DJ16" s="32">
        <f>(SUMPRODUCT(alpha*fck*(1-(1-((($AS16+$AT16*Mesh_Y+$AU16*Mesh_X))*(($AS16+$AT16*Mesh_Y+$AU16*Mesh_X)&gt;0)*(($AS16+$AT16*Mesh_Y+$AU16*Mesh_X)&lt;eco)+eco*(($AS16+$AT16*Mesh_Y+$AU16*Mesh_X)&gt;=eco))/eco)^n)*((($AS16+$AT16*Mesh_Y+$AU16*Mesh_X))&gt;0),Mesh_A,Mesh_X)+SUMPRODUCT((Es*(($AS16+$AT16*Geometry!$E$42:$E$59+$AU16*Geometry!$D$42:$D$59))*(ABS(Es*(($AS16+$AT16*Geometry!$E$42:$E$59+$AU16*Geometry!$D$42:$D$59)))&lt;=fy)+fy*(Es*(($AS16+$AT16*Geometry!$E$42:$E$59+$AU16*Geometry!$D$42:$D$59))&gt;fy)-fy*(Es*(($AS16+$AT16*Geometry!$E$42:$E$59+$AU16*Geometry!$D$42:$D$59))&lt;-fy)-(alpha*fck*(1-(1-((($AS16+$AT16*Geometry!$E$42:$E$59+$AU16*Geometry!$D$42:$D$59))*(($AS16+$AT16*Geometry!$E$42:$E$59+$AU16*Geometry!$D$42:$D$59)&gt;0)*(($AS16+$AT16*Geometry!$E$42:$E$59+$AU16*Geometry!$D$42:$D$59)&lt;eco)+eco*(($AS16+$AT16*Geometry!$E$42:$E$59+$AU16*Geometry!$D$42:$D$59)&gt;=eco))/eco)^n)*((($AS16+$AT16*Geometry!$E$42:$E$59+$AU16*Geometry!$D$42:$D$59))&gt;0))),Geometry!$F$42:$F$59,Geometry!$D$42:$D$59))/1000000</f>
      </c>
      <c r="DK16" s="32">
        <f>(SUMPRODUCT(alpha*fck*(1-(1-((($AV16+$AW16*Mesh_Y+$AX16*Mesh_X))*(($AV16+$AW16*Mesh_Y+$AX16*Mesh_X)&gt;0)*(($AV16+$AW16*Mesh_Y+$AX16*Mesh_X)&lt;eco)+eco*(($AV16+$AW16*Mesh_Y+$AX16*Mesh_X)&gt;=eco))/eco)^n)*((($AV16+$AW16*Mesh_Y+$AX16*Mesh_X))&gt;0),Mesh_A,Mesh_X)+SUMPRODUCT((Es*(($AV16+$AW16*Geometry!$E$42:$E$59+$AX16*Geometry!$D$42:$D$59))*(ABS(Es*(($AV16+$AW16*Geometry!$E$42:$E$59+$AX16*Geometry!$D$42:$D$59)))&lt;=fy)+fy*(Es*(($AV16+$AW16*Geometry!$E$42:$E$59+$AX16*Geometry!$D$42:$D$59))&gt;fy)-fy*(Es*(($AV16+$AW16*Geometry!$E$42:$E$59+$AX16*Geometry!$D$42:$D$59))&lt;-fy)-(alpha*fck*(1-(1-((($AV16+$AW16*Geometry!$E$42:$E$59+$AX16*Geometry!$D$42:$D$59))*(($AV16+$AW16*Geometry!$E$42:$E$59+$AX16*Geometry!$D$42:$D$59)&gt;0)*(($AV16+$AW16*Geometry!$E$42:$E$59+$AX16*Geometry!$D$42:$D$59)&lt;eco)+eco*(($AV16+$AW16*Geometry!$E$42:$E$59+$AX16*Geometry!$D$42:$D$59)&gt;=eco))/eco)^n)*((($AV16+$AW16*Geometry!$E$42:$E$59+$AX16*Geometry!$D$42:$D$59))&gt;0))),Geometry!$F$42:$F$59,Geometry!$D$42:$D$59))/1000000</f>
      </c>
      <c r="DL16" s="32">
        <f>(SUMPRODUCT(alpha*fck*(1-(1-((($AY16+$AZ16*Mesh_Y+$BA16*Mesh_X))*(($AY16+$AZ16*Mesh_Y+$BA16*Mesh_X)&gt;0)*(($AY16+$AZ16*Mesh_Y+$BA16*Mesh_X)&lt;eco)+eco*(($AY16+$AZ16*Mesh_Y+$BA16*Mesh_X)&gt;=eco))/eco)^n)*((($AY16+$AZ16*Mesh_Y+$BA16*Mesh_X))&gt;0),Mesh_A,Mesh_X)+SUMPRODUCT((Es*(($AY16+$AZ16*Geometry!$E$42:$E$59+$BA16*Geometry!$D$42:$D$59))*(ABS(Es*(($AY16+$AZ16*Geometry!$E$42:$E$59+$BA16*Geometry!$D$42:$D$59)))&lt;=fy)+fy*(Es*(($AY16+$AZ16*Geometry!$E$42:$E$59+$BA16*Geometry!$D$42:$D$59))&gt;fy)-fy*(Es*(($AY16+$AZ16*Geometry!$E$42:$E$59+$BA16*Geometry!$D$42:$D$59))&lt;-fy)-(alpha*fck*(1-(1-((($AY16+$AZ16*Geometry!$E$42:$E$59+$BA16*Geometry!$D$42:$D$59))*(($AY16+$AZ16*Geometry!$E$42:$E$59+$BA16*Geometry!$D$42:$D$59)&gt;0)*(($AY16+$AZ16*Geometry!$E$42:$E$59+$BA16*Geometry!$D$42:$D$59)&lt;eco)+eco*(($AY16+$AZ16*Geometry!$E$42:$E$59+$BA16*Geometry!$D$42:$D$59)&gt;=eco))/eco)^n)*((($AY16+$AZ16*Geometry!$E$42:$E$59+$BA16*Geometry!$D$42:$D$59))&gt;0))),Geometry!$F$42:$F$59,Geometry!$D$42:$D$59))/1000000</f>
      </c>
      <c r="DM16" s="32">
        <f>(SUMPRODUCT(alpha*fck*(1-(1-((($BB16+$BC16*Mesh_Y+$BD16*Mesh_X))*(($BB16+$BC16*Mesh_Y+$BD16*Mesh_X)&gt;0)*(($BB16+$BC16*Mesh_Y+$BD16*Mesh_X)&lt;eco)+eco*(($BB16+$BC16*Mesh_Y+$BD16*Mesh_X)&gt;=eco))/eco)^n)*((($BB16+$BC16*Mesh_Y+$BD16*Mesh_X))&gt;0),Mesh_A,Mesh_X)+SUMPRODUCT((Es*(($BB16+$BC16*Geometry!$E$42:$E$59+$BD16*Geometry!$D$42:$D$59))*(ABS(Es*(($BB16+$BC16*Geometry!$E$42:$E$59+$BD16*Geometry!$D$42:$D$59)))&lt;=fy)+fy*(Es*(($BB16+$BC16*Geometry!$E$42:$E$59+$BD16*Geometry!$D$42:$D$59))&gt;fy)-fy*(Es*(($BB16+$BC16*Geometry!$E$42:$E$59+$BD16*Geometry!$D$42:$D$59))&lt;-fy)-(alpha*fck*(1-(1-((($BB16+$BC16*Geometry!$E$42:$E$59+$BD16*Geometry!$D$42:$D$59))*(($BB16+$BC16*Geometry!$E$42:$E$59+$BD16*Geometry!$D$42:$D$59)&gt;0)*(($BB16+$BC16*Geometry!$E$42:$E$59+$BD16*Geometry!$D$42:$D$59)&lt;eco)+eco*(($BB16+$BC16*Geometry!$E$42:$E$59+$BD16*Geometry!$D$42:$D$59)&gt;=eco))/eco)^n)*((($BB16+$BC16*Geometry!$E$42:$E$59+$BD16*Geometry!$D$42:$D$59))&gt;0))),Geometry!$F$42:$F$59,Geometry!$D$42:$D$59))/1000000</f>
      </c>
      <c r="DN16" s="32">
        <f>(SUMPRODUCT(alpha*fck*(1-(1-((($BE16+$BF16*Mesh_Y+$BG16*Mesh_X))*(($BE16+$BF16*Mesh_Y+$BG16*Mesh_X)&gt;0)*(($BE16+$BF16*Mesh_Y+$BG16*Mesh_X)&lt;eco)+eco*(($BE16+$BF16*Mesh_Y+$BG16*Mesh_X)&gt;=eco))/eco)^n)*((($BE16+$BF16*Mesh_Y+$BG16*Mesh_X))&gt;0),Mesh_A,Mesh_X)+SUMPRODUCT((Es*(($BE16+$BF16*Geometry!$E$42:$E$59+$BG16*Geometry!$D$42:$D$59))*(ABS(Es*(($BE16+$BF16*Geometry!$E$42:$E$59+$BG16*Geometry!$D$42:$D$59)))&lt;=fy)+fy*(Es*(($BE16+$BF16*Geometry!$E$42:$E$59+$BG16*Geometry!$D$42:$D$59))&gt;fy)-fy*(Es*(($BE16+$BF16*Geometry!$E$42:$E$59+$BG16*Geometry!$D$42:$D$59))&lt;-fy)-(alpha*fck*(1-(1-((($BE16+$BF16*Geometry!$E$42:$E$59+$BG16*Geometry!$D$42:$D$59))*(($BE16+$BF16*Geometry!$E$42:$E$59+$BG16*Geometry!$D$42:$D$59)&gt;0)*(($BE16+$BF16*Geometry!$E$42:$E$59+$BG16*Geometry!$D$42:$D$59)&lt;eco)+eco*(($BE16+$BF16*Geometry!$E$42:$E$59+$BG16*Geometry!$D$42:$D$59)&gt;=eco))/eco)^n)*((($BE16+$BF16*Geometry!$E$42:$E$59+$BG16*Geometry!$D$42:$D$59))&gt;0))),Geometry!$F$42:$F$59,Geometry!$D$42:$D$59))/1000000</f>
      </c>
      <c r="DO16" s="32">
        <f>(SUMPRODUCT(alpha*fck*(1-(1-((($BH16+$BI16*Mesh_Y+$BJ16*Mesh_X))*(($BH16+$BI16*Mesh_Y+$BJ16*Mesh_X)&gt;0)*(($BH16+$BI16*Mesh_Y+$BJ16*Mesh_X)&lt;eco)+eco*(($BH16+$BI16*Mesh_Y+$BJ16*Mesh_X)&gt;=eco))/eco)^n)*((($BH16+$BI16*Mesh_Y+$BJ16*Mesh_X))&gt;0),Mesh_A,Mesh_X)+SUMPRODUCT((Es*(($BH16+$BI16*Geometry!$E$42:$E$59+$BJ16*Geometry!$D$42:$D$59))*(ABS(Es*(($BH16+$BI16*Geometry!$E$42:$E$59+$BJ16*Geometry!$D$42:$D$59)))&lt;=fy)+fy*(Es*(($BH16+$BI16*Geometry!$E$42:$E$59+$BJ16*Geometry!$D$42:$D$59))&gt;fy)-fy*(Es*(($BH16+$BI16*Geometry!$E$42:$E$59+$BJ16*Geometry!$D$42:$D$59))&lt;-fy)-(alpha*fck*(1-(1-((($BH16+$BI16*Geometry!$E$42:$E$59+$BJ16*Geometry!$D$42:$D$59))*(($BH16+$BI16*Geometry!$E$42:$E$59+$BJ16*Geometry!$D$42:$D$59)&gt;0)*(($BH16+$BI16*Geometry!$E$42:$E$59+$BJ16*Geometry!$D$42:$D$59)&lt;eco)+eco*(($BH16+$BI16*Geometry!$E$42:$E$59+$BJ16*Geometry!$D$42:$D$59)&gt;=eco))/eco)^n)*((($BH16+$BI16*Geometry!$E$42:$E$59+$BJ16*Geometry!$D$42:$D$59))&gt;0))),Geometry!$F$42:$F$59,Geometry!$D$42:$D$59))/1000000</f>
      </c>
      <c r="DP16" s="45">
        <f>MAX(1,MIN(18,SUMPRODUCT(--($BK16:$CC16&gt;=Pu))))</f>
      </c>
      <c r="DQ16" s="46">
        <f>(Pu-INDEX($BK16:$CC16,1,$DP16))/(INDEX($BK16:$CC16,1,$DP16+1)-INDEX($BK16:$CC16,1,$DP16))</f>
      </c>
      <c r="DR16" s="33">
        <f>INDEX($CD16:$CV16,1,$DP16)+$DQ16*(INDEX($CD16:$CV16,1,$DP16+1)-INDEX($CD16:$CV16,1,$DP16))</f>
      </c>
      <c r="DS16" s="33">
        <f>INDEX($CW16:$DO16,1,$DP16)+$DQ16*(INDEX($CW16:$DO16,1,$DP16+1)-INDEX($CW16:$DO16,1,$DP16))</f>
      </c>
      <c r="DT16" s="33">
        <f>SQRT(DR16^2+DS16^2)</f>
      </c>
    </row>
    <row r="17" spans="1:124" x14ac:dyDescent="0.25">
      <c r="A17">
        <v>10</v>
      </c>
      <c r="B17" s="43">
        <v>135</v>
      </c>
      <c r="C17" s="12">
        <f>MAX(SUMPRODUCT(MAX((Geometry!$E$6:$E$13)*COS(RADIANS($B17))+(Geometry!$D$6:$D$13)*SIN(RADIANS($B17)))))</f>
      </c>
      <c r="D17" s="12">
        <f>SUMPRODUCT(MIN((Geometry!$E$42:$E$59)*COS(RADIANS($B17))+(Geometry!$D$42:$D$59)*SIN(RADIANS($B17))))</f>
      </c>
      <c r="E17" s="12">
        <f>C17-D17</f>
      </c>
      <c r="F17" s="30">
        <f>ecu</f>
      </c>
      <c r="G17" s="44">
        <f>0*COS(RADIANS($B17))</f>
      </c>
      <c r="H17" s="44">
        <f>0*SIN(RADIANS($B17))</f>
      </c>
      <c r="I17" s="30">
        <f>ecu-((ecu-0)/($C17-($C17-PM_Angle!$C$8*$E17)))*$C17</f>
      </c>
      <c r="J17" s="44">
        <f>((ecu-0)/($C17-($C17-PM_Angle!$C$8*$E17)))*COS(RADIANS($B17))</f>
      </c>
      <c r="K17" s="44">
        <f>((ecu-0)/($C17-($C17-PM_Angle!$C$8*$E17)))*SIN(RADIANS($B17))</f>
      </c>
      <c r="L17" s="30">
        <f>ecu-((ecu-0)/($C17-($C17-PM_Angle!$C$9*$E17)))*$C17</f>
      </c>
      <c r="M17" s="44">
        <f>((ecu-0)/($C17-($C17-PM_Angle!$C$9*$E17)))*COS(RADIANS($B17))</f>
      </c>
      <c r="N17" s="44">
        <f>((ecu-0)/($C17-($C17-PM_Angle!$C$9*$E17)))*SIN(RADIANS($B17))</f>
      </c>
      <c r="O17" s="30">
        <f>ecu-((ecu-0)/($C17-($C17-PM_Angle!$C$10*$E17)))*$C17</f>
      </c>
      <c r="P17" s="44">
        <f>((ecu-0)/($C17-($C17-PM_Angle!$C$10*$E17)))*COS(RADIANS($B17))</f>
      </c>
      <c r="Q17" s="44">
        <f>((ecu-0)/($C17-($C17-PM_Angle!$C$10*$E17)))*SIN(RADIANS($B17))</f>
      </c>
      <c r="R17" s="30">
        <f>ecu-((ecu-0)/($C17-($C17-PM_Angle!$C$11*$E17)))*$C17</f>
      </c>
      <c r="S17" s="44">
        <f>((ecu-0)/($C17-($C17-PM_Angle!$C$11*$E17)))*COS(RADIANS($B17))</f>
      </c>
      <c r="T17" s="44">
        <f>((ecu-0)/($C17-($C17-PM_Angle!$C$11*$E17)))*SIN(RADIANS($B17))</f>
      </c>
      <c r="U17" s="30">
        <f>ecu-((ecu-(-PM_Angle!$E$12))/($C17-$D17))*$C17</f>
      </c>
      <c r="V17" s="44">
        <f>((ecu-(-PM_Angle!$E$12))/($C17-$D17))*COS(RADIANS($B17))</f>
      </c>
      <c r="W17" s="44">
        <f>((ecu-(-PM_Angle!$E$12))/($C17-$D17))*SIN(RADIANS($B17))</f>
      </c>
      <c r="X17" s="30">
        <f>ecu-((ecu-(-PM_Angle!$D$13*fy/Es))/($C17-$D17))*$C17</f>
      </c>
      <c r="Y17" s="44">
        <f>((ecu-(-PM_Angle!$D$13*fy/Es))/($C17-$D17))*COS(RADIANS($B17))</f>
      </c>
      <c r="Z17" s="44">
        <f>((ecu-(-PM_Angle!$D$13*fy/Es))/($C17-$D17))*SIN(RADIANS($B17))</f>
      </c>
      <c r="AA17" s="30">
        <f>ecu-((ecu-(-PM_Angle!$D$14*fy/Es))/($C17-$D17))*$C17</f>
      </c>
      <c r="AB17" s="44">
        <f>((ecu-(-PM_Angle!$D$14*fy/Es))/($C17-$D17))*COS(RADIANS($B17))</f>
      </c>
      <c r="AC17" s="44">
        <f>((ecu-(-PM_Angle!$D$14*fy/Es))/($C17-$D17))*SIN(RADIANS($B17))</f>
      </c>
      <c r="AD17" s="30">
        <f>ecu-((ecu-(-PM_Angle!$D$15*fy/Es))/($C17-$D17))*$C17</f>
      </c>
      <c r="AE17" s="44">
        <f>((ecu-(-PM_Angle!$D$15*fy/Es))/($C17-$D17))*COS(RADIANS($B17))</f>
      </c>
      <c r="AF17" s="44">
        <f>((ecu-(-PM_Angle!$D$15*fy/Es))/($C17-$D17))*SIN(RADIANS($B17))</f>
      </c>
      <c r="AG17" s="30">
        <f>ecu-((ecu-(-PM_Angle!$D$16*fy/Es))/($C17-$D17))*$C17</f>
      </c>
      <c r="AH17" s="44">
        <f>((ecu-(-PM_Angle!$D$16*fy/Es))/($C17-$D17))*COS(RADIANS($B17))</f>
      </c>
      <c r="AI17" s="44">
        <f>((ecu-(-PM_Angle!$D$16*fy/Es))/($C17-$D17))*SIN(RADIANS($B17))</f>
      </c>
      <c r="AJ17" s="30">
        <f>ecu-((ecu-(-PM_Angle!$E$17))/($C17-$D17))*$C17</f>
      </c>
      <c r="AK17" s="44">
        <f>((ecu-(-PM_Angle!$E$17))/($C17-$D17))*COS(RADIANS($B17))</f>
      </c>
      <c r="AL17" s="44">
        <f>((ecu-(-PM_Angle!$E$17))/($C17-$D17))*SIN(RADIANS($B17))</f>
      </c>
      <c r="AM17" s="30">
        <f>ecu-((ecu-(-PM_Angle!$E$18))/($C17-$D17))*$C17</f>
      </c>
      <c r="AN17" s="44">
        <f>((ecu-(-PM_Angle!$E$18))/($C17-$D17))*COS(RADIANS($B17))</f>
      </c>
      <c r="AO17" s="44">
        <f>((ecu-(-PM_Angle!$E$18))/($C17-$D17))*SIN(RADIANS($B17))</f>
      </c>
      <c r="AP17" s="30">
        <f>ecu-((ecu-(-PM_Angle!$E$19))/($C17-$D17))*$C17</f>
      </c>
      <c r="AQ17" s="44">
        <f>((ecu-(-PM_Angle!$E$19))/($C17-$D17))*COS(RADIANS($B17))</f>
      </c>
      <c r="AR17" s="44">
        <f>((ecu-(-PM_Angle!$E$19))/($C17-$D17))*SIN(RADIANS($B17))</f>
      </c>
      <c r="AS17" s="30">
        <f>ecu-((ecu-(-PM_Angle!$E$20))/($C17-$D17))*$C17</f>
      </c>
      <c r="AT17" s="44">
        <f>((ecu-(-PM_Angle!$E$20))/($C17-$D17))*COS(RADIANS($B17))</f>
      </c>
      <c r="AU17" s="44">
        <f>((ecu-(-PM_Angle!$E$20))/($C17-$D17))*SIN(RADIANS($B17))</f>
      </c>
      <c r="AV17" s="30">
        <f>ecu-((ecu-(-PM_Angle!$E$21))/($C17-$D17))*$C17</f>
      </c>
      <c r="AW17" s="44">
        <f>((ecu-(-PM_Angle!$E$21))/($C17-$D17))*COS(RADIANS($B17))</f>
      </c>
      <c r="AX17" s="44">
        <f>((ecu-(-PM_Angle!$E$21))/($C17-$D17))*SIN(RADIANS($B17))</f>
      </c>
      <c r="AY17" s="30">
        <f>ecu-((ecu-(-PM_Angle!$E$22))/($C17-$D17))*$C17</f>
      </c>
      <c r="AZ17" s="44">
        <f>((ecu-(-PM_Angle!$E$22))/($C17-$D17))*COS(RADIANS($B17))</f>
      </c>
      <c r="BA17" s="44">
        <f>((ecu-(-PM_Angle!$E$22))/($C17-$D17))*SIN(RADIANS($B17))</f>
      </c>
      <c r="BB17" s="30">
        <f>ecu-((ecu-(-PM_Angle!$E$23))/($C17-$D17))*$C17</f>
      </c>
      <c r="BC17" s="44">
        <f>((ecu-(-PM_Angle!$E$23))/($C17-$D17))*COS(RADIANS($B17))</f>
      </c>
      <c r="BD17" s="44">
        <f>((ecu-(-PM_Angle!$E$23))/($C17-$D17))*SIN(RADIANS($B17))</f>
      </c>
      <c r="BE17" s="30">
        <f>ecu-((ecu-(-PM_Angle!$E$24))/($C17-$D17))*$C17</f>
      </c>
      <c r="BF17" s="44">
        <f>((ecu-(-PM_Angle!$E$24))/($C17-$D17))*COS(RADIANS($B17))</f>
      </c>
      <c r="BG17" s="44">
        <f>((ecu-(-PM_Angle!$E$24))/($C17-$D17))*SIN(RADIANS($B17))</f>
      </c>
      <c r="BH17" s="30">
        <f>etu</f>
      </c>
      <c r="BI17" s="44">
        <f>0*COS(RADIANS($B17))</f>
      </c>
      <c r="BJ17" s="44">
        <f>0*SIN(RADIANS($B17))</f>
      </c>
      <c r="BK17" s="32">
        <f>(SUMPRODUCT(alpha*fck*(1-(1-((($F17+$G17*Mesh_Y+$H17*Mesh_X))*(($F17+$G17*Mesh_Y+$H17*Mesh_X)&gt;0)*(($F17+$G17*Mesh_Y+$H17*Mesh_X)&lt;eco)+eco*(($F17+$G17*Mesh_Y+$H17*Mesh_X)&gt;=eco))/eco)^n)*((($F17+$G17*Mesh_Y+$H17*Mesh_X))&gt;0),Mesh_A)+SUMPRODUCT((Es*(($F17+$G17*Geometry!$E$42:$E$59+$H17*Geometry!$D$42:$D$59))*(ABS(Es*(($F17+$G17*Geometry!$E$42:$E$59+$H17*Geometry!$D$42:$D$59)))&lt;=fy)+fy*(Es*(($F17+$G17*Geometry!$E$42:$E$59+$H17*Geometry!$D$42:$D$59))&gt;fy)-fy*(Es*(($F17+$G17*Geometry!$E$42:$E$59+$H17*Geometry!$D$42:$D$59))&lt;-fy)-(alpha*fck*(1-(1-((($F17+$G17*Geometry!$E$42:$E$59+$H17*Geometry!$D$42:$D$59))*(($F17+$G17*Geometry!$E$42:$E$59+$H17*Geometry!$D$42:$D$59)&gt;0)*(($F17+$G17*Geometry!$E$42:$E$59+$H17*Geometry!$D$42:$D$59)&lt;eco)+eco*(($F17+$G17*Geometry!$E$42:$E$59+$H17*Geometry!$D$42:$D$59)&gt;=eco))/eco)^n)*((($F17+$G17*Geometry!$E$42:$E$59+$H17*Geometry!$D$42:$D$59))&gt;0))),Geometry!$F$42:$F$59))/1000</f>
      </c>
      <c r="BL17" s="32">
        <f>(SUMPRODUCT(alpha*fck*(1-(1-((($I17+$J17*Mesh_Y+$K17*Mesh_X))*(($I17+$J17*Mesh_Y+$K17*Mesh_X)&gt;0)*(($I17+$J17*Mesh_Y+$K17*Mesh_X)&lt;eco)+eco*(($I17+$J17*Mesh_Y+$K17*Mesh_X)&gt;=eco))/eco)^n)*((($I17+$J17*Mesh_Y+$K17*Mesh_X))&gt;0),Mesh_A)+SUMPRODUCT((Es*(($I17+$J17*Geometry!$E$42:$E$59+$K17*Geometry!$D$42:$D$59))*(ABS(Es*(($I17+$J17*Geometry!$E$42:$E$59+$K17*Geometry!$D$42:$D$59)))&lt;=fy)+fy*(Es*(($I17+$J17*Geometry!$E$42:$E$59+$K17*Geometry!$D$42:$D$59))&gt;fy)-fy*(Es*(($I17+$J17*Geometry!$E$42:$E$59+$K17*Geometry!$D$42:$D$59))&lt;-fy)-(alpha*fck*(1-(1-((($I17+$J17*Geometry!$E$42:$E$59+$K17*Geometry!$D$42:$D$59))*(($I17+$J17*Geometry!$E$42:$E$59+$K17*Geometry!$D$42:$D$59)&gt;0)*(($I17+$J17*Geometry!$E$42:$E$59+$K17*Geometry!$D$42:$D$59)&lt;eco)+eco*(($I17+$J17*Geometry!$E$42:$E$59+$K17*Geometry!$D$42:$D$59)&gt;=eco))/eco)^n)*((($I17+$J17*Geometry!$E$42:$E$59+$K17*Geometry!$D$42:$D$59))&gt;0))),Geometry!$F$42:$F$59))/1000</f>
      </c>
      <c r="BM17" s="32">
        <f>(SUMPRODUCT(alpha*fck*(1-(1-((($L17+$M17*Mesh_Y+$N17*Mesh_X))*(($L17+$M17*Mesh_Y+$N17*Mesh_X)&gt;0)*(($L17+$M17*Mesh_Y+$N17*Mesh_X)&lt;eco)+eco*(($L17+$M17*Mesh_Y+$N17*Mesh_X)&gt;=eco))/eco)^n)*((($L17+$M17*Mesh_Y+$N17*Mesh_X))&gt;0),Mesh_A)+SUMPRODUCT((Es*(($L17+$M17*Geometry!$E$42:$E$59+$N17*Geometry!$D$42:$D$59))*(ABS(Es*(($L17+$M17*Geometry!$E$42:$E$59+$N17*Geometry!$D$42:$D$59)))&lt;=fy)+fy*(Es*(($L17+$M17*Geometry!$E$42:$E$59+$N17*Geometry!$D$42:$D$59))&gt;fy)-fy*(Es*(($L17+$M17*Geometry!$E$42:$E$59+$N17*Geometry!$D$42:$D$59))&lt;-fy)-(alpha*fck*(1-(1-((($L17+$M17*Geometry!$E$42:$E$59+$N17*Geometry!$D$42:$D$59))*(($L17+$M17*Geometry!$E$42:$E$59+$N17*Geometry!$D$42:$D$59)&gt;0)*(($L17+$M17*Geometry!$E$42:$E$59+$N17*Geometry!$D$42:$D$59)&lt;eco)+eco*(($L17+$M17*Geometry!$E$42:$E$59+$N17*Geometry!$D$42:$D$59)&gt;=eco))/eco)^n)*((($L17+$M17*Geometry!$E$42:$E$59+$N17*Geometry!$D$42:$D$59))&gt;0))),Geometry!$F$42:$F$59))/1000</f>
      </c>
      <c r="BN17" s="32">
        <f>(SUMPRODUCT(alpha*fck*(1-(1-((($O17+$P17*Mesh_Y+$Q17*Mesh_X))*(($O17+$P17*Mesh_Y+$Q17*Mesh_X)&gt;0)*(($O17+$P17*Mesh_Y+$Q17*Mesh_X)&lt;eco)+eco*(($O17+$P17*Mesh_Y+$Q17*Mesh_X)&gt;=eco))/eco)^n)*((($O17+$P17*Mesh_Y+$Q17*Mesh_X))&gt;0),Mesh_A)+SUMPRODUCT((Es*(($O17+$P17*Geometry!$E$42:$E$59+$Q17*Geometry!$D$42:$D$59))*(ABS(Es*(($O17+$P17*Geometry!$E$42:$E$59+$Q17*Geometry!$D$42:$D$59)))&lt;=fy)+fy*(Es*(($O17+$P17*Geometry!$E$42:$E$59+$Q17*Geometry!$D$42:$D$59))&gt;fy)-fy*(Es*(($O17+$P17*Geometry!$E$42:$E$59+$Q17*Geometry!$D$42:$D$59))&lt;-fy)-(alpha*fck*(1-(1-((($O17+$P17*Geometry!$E$42:$E$59+$Q17*Geometry!$D$42:$D$59))*(($O17+$P17*Geometry!$E$42:$E$59+$Q17*Geometry!$D$42:$D$59)&gt;0)*(($O17+$P17*Geometry!$E$42:$E$59+$Q17*Geometry!$D$42:$D$59)&lt;eco)+eco*(($O17+$P17*Geometry!$E$42:$E$59+$Q17*Geometry!$D$42:$D$59)&gt;=eco))/eco)^n)*((($O17+$P17*Geometry!$E$42:$E$59+$Q17*Geometry!$D$42:$D$59))&gt;0))),Geometry!$F$42:$F$59))/1000</f>
      </c>
      <c r="BO17" s="32">
        <f>(SUMPRODUCT(alpha*fck*(1-(1-((($R17+$S17*Mesh_Y+$T17*Mesh_X))*(($R17+$S17*Mesh_Y+$T17*Mesh_X)&gt;0)*(($R17+$S17*Mesh_Y+$T17*Mesh_X)&lt;eco)+eco*(($R17+$S17*Mesh_Y+$T17*Mesh_X)&gt;=eco))/eco)^n)*((($R17+$S17*Mesh_Y+$T17*Mesh_X))&gt;0),Mesh_A)+SUMPRODUCT((Es*(($R17+$S17*Geometry!$E$42:$E$59+$T17*Geometry!$D$42:$D$59))*(ABS(Es*(($R17+$S17*Geometry!$E$42:$E$59+$T17*Geometry!$D$42:$D$59)))&lt;=fy)+fy*(Es*(($R17+$S17*Geometry!$E$42:$E$59+$T17*Geometry!$D$42:$D$59))&gt;fy)-fy*(Es*(($R17+$S17*Geometry!$E$42:$E$59+$T17*Geometry!$D$42:$D$59))&lt;-fy)-(alpha*fck*(1-(1-((($R17+$S17*Geometry!$E$42:$E$59+$T17*Geometry!$D$42:$D$59))*(($R17+$S17*Geometry!$E$42:$E$59+$T17*Geometry!$D$42:$D$59)&gt;0)*(($R17+$S17*Geometry!$E$42:$E$59+$T17*Geometry!$D$42:$D$59)&lt;eco)+eco*(($R17+$S17*Geometry!$E$42:$E$59+$T17*Geometry!$D$42:$D$59)&gt;=eco))/eco)^n)*((($R17+$S17*Geometry!$E$42:$E$59+$T17*Geometry!$D$42:$D$59))&gt;0))),Geometry!$F$42:$F$59))/1000</f>
      </c>
      <c r="BP17" s="32">
        <f>(SUMPRODUCT(alpha*fck*(1-(1-((($U17+$V17*Mesh_Y+$W17*Mesh_X))*(($U17+$V17*Mesh_Y+$W17*Mesh_X)&gt;0)*(($U17+$V17*Mesh_Y+$W17*Mesh_X)&lt;eco)+eco*(($U17+$V17*Mesh_Y+$W17*Mesh_X)&gt;=eco))/eco)^n)*((($U17+$V17*Mesh_Y+$W17*Mesh_X))&gt;0),Mesh_A)+SUMPRODUCT((Es*(($U17+$V17*Geometry!$E$42:$E$59+$W17*Geometry!$D$42:$D$59))*(ABS(Es*(($U17+$V17*Geometry!$E$42:$E$59+$W17*Geometry!$D$42:$D$59)))&lt;=fy)+fy*(Es*(($U17+$V17*Geometry!$E$42:$E$59+$W17*Geometry!$D$42:$D$59))&gt;fy)-fy*(Es*(($U17+$V17*Geometry!$E$42:$E$59+$W17*Geometry!$D$42:$D$59))&lt;-fy)-(alpha*fck*(1-(1-((($U17+$V17*Geometry!$E$42:$E$59+$W17*Geometry!$D$42:$D$59))*(($U17+$V17*Geometry!$E$42:$E$59+$W17*Geometry!$D$42:$D$59)&gt;0)*(($U17+$V17*Geometry!$E$42:$E$59+$W17*Geometry!$D$42:$D$59)&lt;eco)+eco*(($U17+$V17*Geometry!$E$42:$E$59+$W17*Geometry!$D$42:$D$59)&gt;=eco))/eco)^n)*((($U17+$V17*Geometry!$E$42:$E$59+$W17*Geometry!$D$42:$D$59))&gt;0))),Geometry!$F$42:$F$59))/1000</f>
      </c>
      <c r="BQ17" s="32">
        <f>(SUMPRODUCT(alpha*fck*(1-(1-((($X17+$Y17*Mesh_Y+$Z17*Mesh_X))*(($X17+$Y17*Mesh_Y+$Z17*Mesh_X)&gt;0)*(($X17+$Y17*Mesh_Y+$Z17*Mesh_X)&lt;eco)+eco*(($X17+$Y17*Mesh_Y+$Z17*Mesh_X)&gt;=eco))/eco)^n)*((($X17+$Y17*Mesh_Y+$Z17*Mesh_X))&gt;0),Mesh_A)+SUMPRODUCT((Es*(($X17+$Y17*Geometry!$E$42:$E$59+$Z17*Geometry!$D$42:$D$59))*(ABS(Es*(($X17+$Y17*Geometry!$E$42:$E$59+$Z17*Geometry!$D$42:$D$59)))&lt;=fy)+fy*(Es*(($X17+$Y17*Geometry!$E$42:$E$59+$Z17*Geometry!$D$42:$D$59))&gt;fy)-fy*(Es*(($X17+$Y17*Geometry!$E$42:$E$59+$Z17*Geometry!$D$42:$D$59))&lt;-fy)-(alpha*fck*(1-(1-((($X17+$Y17*Geometry!$E$42:$E$59+$Z17*Geometry!$D$42:$D$59))*(($X17+$Y17*Geometry!$E$42:$E$59+$Z17*Geometry!$D$42:$D$59)&gt;0)*(($X17+$Y17*Geometry!$E$42:$E$59+$Z17*Geometry!$D$42:$D$59)&lt;eco)+eco*(($X17+$Y17*Geometry!$E$42:$E$59+$Z17*Geometry!$D$42:$D$59)&gt;=eco))/eco)^n)*((($X17+$Y17*Geometry!$E$42:$E$59+$Z17*Geometry!$D$42:$D$59))&gt;0))),Geometry!$F$42:$F$59))/1000</f>
      </c>
      <c r="BR17" s="32">
        <f>(SUMPRODUCT(alpha*fck*(1-(1-((($AA17+$AB17*Mesh_Y+$AC17*Mesh_X))*(($AA17+$AB17*Mesh_Y+$AC17*Mesh_X)&gt;0)*(($AA17+$AB17*Mesh_Y+$AC17*Mesh_X)&lt;eco)+eco*(($AA17+$AB17*Mesh_Y+$AC17*Mesh_X)&gt;=eco))/eco)^n)*((($AA17+$AB17*Mesh_Y+$AC17*Mesh_X))&gt;0),Mesh_A)+SUMPRODUCT((Es*(($AA17+$AB17*Geometry!$E$42:$E$59+$AC17*Geometry!$D$42:$D$59))*(ABS(Es*(($AA17+$AB17*Geometry!$E$42:$E$59+$AC17*Geometry!$D$42:$D$59)))&lt;=fy)+fy*(Es*(($AA17+$AB17*Geometry!$E$42:$E$59+$AC17*Geometry!$D$42:$D$59))&gt;fy)-fy*(Es*(($AA17+$AB17*Geometry!$E$42:$E$59+$AC17*Geometry!$D$42:$D$59))&lt;-fy)-(alpha*fck*(1-(1-((($AA17+$AB17*Geometry!$E$42:$E$59+$AC17*Geometry!$D$42:$D$59))*(($AA17+$AB17*Geometry!$E$42:$E$59+$AC17*Geometry!$D$42:$D$59)&gt;0)*(($AA17+$AB17*Geometry!$E$42:$E$59+$AC17*Geometry!$D$42:$D$59)&lt;eco)+eco*(($AA17+$AB17*Geometry!$E$42:$E$59+$AC17*Geometry!$D$42:$D$59)&gt;=eco))/eco)^n)*((($AA17+$AB17*Geometry!$E$42:$E$59+$AC17*Geometry!$D$42:$D$59))&gt;0))),Geometry!$F$42:$F$59))/1000</f>
      </c>
      <c r="BS17" s="32">
        <f>(SUMPRODUCT(alpha*fck*(1-(1-((($AD17+$AE17*Mesh_Y+$AF17*Mesh_X))*(($AD17+$AE17*Mesh_Y+$AF17*Mesh_X)&gt;0)*(($AD17+$AE17*Mesh_Y+$AF17*Mesh_X)&lt;eco)+eco*(($AD17+$AE17*Mesh_Y+$AF17*Mesh_X)&gt;=eco))/eco)^n)*((($AD17+$AE17*Mesh_Y+$AF17*Mesh_X))&gt;0),Mesh_A)+SUMPRODUCT((Es*(($AD17+$AE17*Geometry!$E$42:$E$59+$AF17*Geometry!$D$42:$D$59))*(ABS(Es*(($AD17+$AE17*Geometry!$E$42:$E$59+$AF17*Geometry!$D$42:$D$59)))&lt;=fy)+fy*(Es*(($AD17+$AE17*Geometry!$E$42:$E$59+$AF17*Geometry!$D$42:$D$59))&gt;fy)-fy*(Es*(($AD17+$AE17*Geometry!$E$42:$E$59+$AF17*Geometry!$D$42:$D$59))&lt;-fy)-(alpha*fck*(1-(1-((($AD17+$AE17*Geometry!$E$42:$E$59+$AF17*Geometry!$D$42:$D$59))*(($AD17+$AE17*Geometry!$E$42:$E$59+$AF17*Geometry!$D$42:$D$59)&gt;0)*(($AD17+$AE17*Geometry!$E$42:$E$59+$AF17*Geometry!$D$42:$D$59)&lt;eco)+eco*(($AD17+$AE17*Geometry!$E$42:$E$59+$AF17*Geometry!$D$42:$D$59)&gt;=eco))/eco)^n)*((($AD17+$AE17*Geometry!$E$42:$E$59+$AF17*Geometry!$D$42:$D$59))&gt;0))),Geometry!$F$42:$F$59))/1000</f>
      </c>
      <c r="BT17" s="32">
        <f>(SUMPRODUCT(alpha*fck*(1-(1-((($AG17+$AH17*Mesh_Y+$AI17*Mesh_X))*(($AG17+$AH17*Mesh_Y+$AI17*Mesh_X)&gt;0)*(($AG17+$AH17*Mesh_Y+$AI17*Mesh_X)&lt;eco)+eco*(($AG17+$AH17*Mesh_Y+$AI17*Mesh_X)&gt;=eco))/eco)^n)*((($AG17+$AH17*Mesh_Y+$AI17*Mesh_X))&gt;0),Mesh_A)+SUMPRODUCT((Es*(($AG17+$AH17*Geometry!$E$42:$E$59+$AI17*Geometry!$D$42:$D$59))*(ABS(Es*(($AG17+$AH17*Geometry!$E$42:$E$59+$AI17*Geometry!$D$42:$D$59)))&lt;=fy)+fy*(Es*(($AG17+$AH17*Geometry!$E$42:$E$59+$AI17*Geometry!$D$42:$D$59))&gt;fy)-fy*(Es*(($AG17+$AH17*Geometry!$E$42:$E$59+$AI17*Geometry!$D$42:$D$59))&lt;-fy)-(alpha*fck*(1-(1-((($AG17+$AH17*Geometry!$E$42:$E$59+$AI17*Geometry!$D$42:$D$59))*(($AG17+$AH17*Geometry!$E$42:$E$59+$AI17*Geometry!$D$42:$D$59)&gt;0)*(($AG17+$AH17*Geometry!$E$42:$E$59+$AI17*Geometry!$D$42:$D$59)&lt;eco)+eco*(($AG17+$AH17*Geometry!$E$42:$E$59+$AI17*Geometry!$D$42:$D$59)&gt;=eco))/eco)^n)*((($AG17+$AH17*Geometry!$E$42:$E$59+$AI17*Geometry!$D$42:$D$59))&gt;0))),Geometry!$F$42:$F$59))/1000</f>
      </c>
      <c r="BU17" s="32">
        <f>(SUMPRODUCT(alpha*fck*(1-(1-((($AJ17+$AK17*Mesh_Y+$AL17*Mesh_X))*(($AJ17+$AK17*Mesh_Y+$AL17*Mesh_X)&gt;0)*(($AJ17+$AK17*Mesh_Y+$AL17*Mesh_X)&lt;eco)+eco*(($AJ17+$AK17*Mesh_Y+$AL17*Mesh_X)&gt;=eco))/eco)^n)*((($AJ17+$AK17*Mesh_Y+$AL17*Mesh_X))&gt;0),Mesh_A)+SUMPRODUCT((Es*(($AJ17+$AK17*Geometry!$E$42:$E$59+$AL17*Geometry!$D$42:$D$59))*(ABS(Es*(($AJ17+$AK17*Geometry!$E$42:$E$59+$AL17*Geometry!$D$42:$D$59)))&lt;=fy)+fy*(Es*(($AJ17+$AK17*Geometry!$E$42:$E$59+$AL17*Geometry!$D$42:$D$59))&gt;fy)-fy*(Es*(($AJ17+$AK17*Geometry!$E$42:$E$59+$AL17*Geometry!$D$42:$D$59))&lt;-fy)-(alpha*fck*(1-(1-((($AJ17+$AK17*Geometry!$E$42:$E$59+$AL17*Geometry!$D$42:$D$59))*(($AJ17+$AK17*Geometry!$E$42:$E$59+$AL17*Geometry!$D$42:$D$59)&gt;0)*(($AJ17+$AK17*Geometry!$E$42:$E$59+$AL17*Geometry!$D$42:$D$59)&lt;eco)+eco*(($AJ17+$AK17*Geometry!$E$42:$E$59+$AL17*Geometry!$D$42:$D$59)&gt;=eco))/eco)^n)*((($AJ17+$AK17*Geometry!$E$42:$E$59+$AL17*Geometry!$D$42:$D$59))&gt;0))),Geometry!$F$42:$F$59))/1000</f>
      </c>
      <c r="BV17" s="32">
        <f>(SUMPRODUCT(alpha*fck*(1-(1-((($AM17+$AN17*Mesh_Y+$AO17*Mesh_X))*(($AM17+$AN17*Mesh_Y+$AO17*Mesh_X)&gt;0)*(($AM17+$AN17*Mesh_Y+$AO17*Mesh_X)&lt;eco)+eco*(($AM17+$AN17*Mesh_Y+$AO17*Mesh_X)&gt;=eco))/eco)^n)*((($AM17+$AN17*Mesh_Y+$AO17*Mesh_X))&gt;0),Mesh_A)+SUMPRODUCT((Es*(($AM17+$AN17*Geometry!$E$42:$E$59+$AO17*Geometry!$D$42:$D$59))*(ABS(Es*(($AM17+$AN17*Geometry!$E$42:$E$59+$AO17*Geometry!$D$42:$D$59)))&lt;=fy)+fy*(Es*(($AM17+$AN17*Geometry!$E$42:$E$59+$AO17*Geometry!$D$42:$D$59))&gt;fy)-fy*(Es*(($AM17+$AN17*Geometry!$E$42:$E$59+$AO17*Geometry!$D$42:$D$59))&lt;-fy)-(alpha*fck*(1-(1-((($AM17+$AN17*Geometry!$E$42:$E$59+$AO17*Geometry!$D$42:$D$59))*(($AM17+$AN17*Geometry!$E$42:$E$59+$AO17*Geometry!$D$42:$D$59)&gt;0)*(($AM17+$AN17*Geometry!$E$42:$E$59+$AO17*Geometry!$D$42:$D$59)&lt;eco)+eco*(($AM17+$AN17*Geometry!$E$42:$E$59+$AO17*Geometry!$D$42:$D$59)&gt;=eco))/eco)^n)*((($AM17+$AN17*Geometry!$E$42:$E$59+$AO17*Geometry!$D$42:$D$59))&gt;0))),Geometry!$F$42:$F$59))/1000</f>
      </c>
      <c r="BW17" s="32">
        <f>(SUMPRODUCT(alpha*fck*(1-(1-((($AP17+$AQ17*Mesh_Y+$AR17*Mesh_X))*(($AP17+$AQ17*Mesh_Y+$AR17*Mesh_X)&gt;0)*(($AP17+$AQ17*Mesh_Y+$AR17*Mesh_X)&lt;eco)+eco*(($AP17+$AQ17*Mesh_Y+$AR17*Mesh_X)&gt;=eco))/eco)^n)*((($AP17+$AQ17*Mesh_Y+$AR17*Mesh_X))&gt;0),Mesh_A)+SUMPRODUCT((Es*(($AP17+$AQ17*Geometry!$E$42:$E$59+$AR17*Geometry!$D$42:$D$59))*(ABS(Es*(($AP17+$AQ17*Geometry!$E$42:$E$59+$AR17*Geometry!$D$42:$D$59)))&lt;=fy)+fy*(Es*(($AP17+$AQ17*Geometry!$E$42:$E$59+$AR17*Geometry!$D$42:$D$59))&gt;fy)-fy*(Es*(($AP17+$AQ17*Geometry!$E$42:$E$59+$AR17*Geometry!$D$42:$D$59))&lt;-fy)-(alpha*fck*(1-(1-((($AP17+$AQ17*Geometry!$E$42:$E$59+$AR17*Geometry!$D$42:$D$59))*(($AP17+$AQ17*Geometry!$E$42:$E$59+$AR17*Geometry!$D$42:$D$59)&gt;0)*(($AP17+$AQ17*Geometry!$E$42:$E$59+$AR17*Geometry!$D$42:$D$59)&lt;eco)+eco*(($AP17+$AQ17*Geometry!$E$42:$E$59+$AR17*Geometry!$D$42:$D$59)&gt;=eco))/eco)^n)*((($AP17+$AQ17*Geometry!$E$42:$E$59+$AR17*Geometry!$D$42:$D$59))&gt;0))),Geometry!$F$42:$F$59))/1000</f>
      </c>
      <c r="BX17" s="32">
        <f>(SUMPRODUCT(alpha*fck*(1-(1-((($AS17+$AT17*Mesh_Y+$AU17*Mesh_X))*(($AS17+$AT17*Mesh_Y+$AU17*Mesh_X)&gt;0)*(($AS17+$AT17*Mesh_Y+$AU17*Mesh_X)&lt;eco)+eco*(($AS17+$AT17*Mesh_Y+$AU17*Mesh_X)&gt;=eco))/eco)^n)*((($AS17+$AT17*Mesh_Y+$AU17*Mesh_X))&gt;0),Mesh_A)+SUMPRODUCT((Es*(($AS17+$AT17*Geometry!$E$42:$E$59+$AU17*Geometry!$D$42:$D$59))*(ABS(Es*(($AS17+$AT17*Geometry!$E$42:$E$59+$AU17*Geometry!$D$42:$D$59)))&lt;=fy)+fy*(Es*(($AS17+$AT17*Geometry!$E$42:$E$59+$AU17*Geometry!$D$42:$D$59))&gt;fy)-fy*(Es*(($AS17+$AT17*Geometry!$E$42:$E$59+$AU17*Geometry!$D$42:$D$59))&lt;-fy)-(alpha*fck*(1-(1-((($AS17+$AT17*Geometry!$E$42:$E$59+$AU17*Geometry!$D$42:$D$59))*(($AS17+$AT17*Geometry!$E$42:$E$59+$AU17*Geometry!$D$42:$D$59)&gt;0)*(($AS17+$AT17*Geometry!$E$42:$E$59+$AU17*Geometry!$D$42:$D$59)&lt;eco)+eco*(($AS17+$AT17*Geometry!$E$42:$E$59+$AU17*Geometry!$D$42:$D$59)&gt;=eco))/eco)^n)*((($AS17+$AT17*Geometry!$E$42:$E$59+$AU17*Geometry!$D$42:$D$59))&gt;0))),Geometry!$F$42:$F$59))/1000</f>
      </c>
      <c r="BY17" s="32">
        <f>(SUMPRODUCT(alpha*fck*(1-(1-((($AV17+$AW17*Mesh_Y+$AX17*Mesh_X))*(($AV17+$AW17*Mesh_Y+$AX17*Mesh_X)&gt;0)*(($AV17+$AW17*Mesh_Y+$AX17*Mesh_X)&lt;eco)+eco*(($AV17+$AW17*Mesh_Y+$AX17*Mesh_X)&gt;=eco))/eco)^n)*((($AV17+$AW17*Mesh_Y+$AX17*Mesh_X))&gt;0),Mesh_A)+SUMPRODUCT((Es*(($AV17+$AW17*Geometry!$E$42:$E$59+$AX17*Geometry!$D$42:$D$59))*(ABS(Es*(($AV17+$AW17*Geometry!$E$42:$E$59+$AX17*Geometry!$D$42:$D$59)))&lt;=fy)+fy*(Es*(($AV17+$AW17*Geometry!$E$42:$E$59+$AX17*Geometry!$D$42:$D$59))&gt;fy)-fy*(Es*(($AV17+$AW17*Geometry!$E$42:$E$59+$AX17*Geometry!$D$42:$D$59))&lt;-fy)-(alpha*fck*(1-(1-((($AV17+$AW17*Geometry!$E$42:$E$59+$AX17*Geometry!$D$42:$D$59))*(($AV17+$AW17*Geometry!$E$42:$E$59+$AX17*Geometry!$D$42:$D$59)&gt;0)*(($AV17+$AW17*Geometry!$E$42:$E$59+$AX17*Geometry!$D$42:$D$59)&lt;eco)+eco*(($AV17+$AW17*Geometry!$E$42:$E$59+$AX17*Geometry!$D$42:$D$59)&gt;=eco))/eco)^n)*((($AV17+$AW17*Geometry!$E$42:$E$59+$AX17*Geometry!$D$42:$D$59))&gt;0))),Geometry!$F$42:$F$59))/1000</f>
      </c>
      <c r="BZ17" s="32">
        <f>(SUMPRODUCT(alpha*fck*(1-(1-((($AY17+$AZ17*Mesh_Y+$BA17*Mesh_X))*(($AY17+$AZ17*Mesh_Y+$BA17*Mesh_X)&gt;0)*(($AY17+$AZ17*Mesh_Y+$BA17*Mesh_X)&lt;eco)+eco*(($AY17+$AZ17*Mesh_Y+$BA17*Mesh_X)&gt;=eco))/eco)^n)*((($AY17+$AZ17*Mesh_Y+$BA17*Mesh_X))&gt;0),Mesh_A)+SUMPRODUCT((Es*(($AY17+$AZ17*Geometry!$E$42:$E$59+$BA17*Geometry!$D$42:$D$59))*(ABS(Es*(($AY17+$AZ17*Geometry!$E$42:$E$59+$BA17*Geometry!$D$42:$D$59)))&lt;=fy)+fy*(Es*(($AY17+$AZ17*Geometry!$E$42:$E$59+$BA17*Geometry!$D$42:$D$59))&gt;fy)-fy*(Es*(($AY17+$AZ17*Geometry!$E$42:$E$59+$BA17*Geometry!$D$42:$D$59))&lt;-fy)-(alpha*fck*(1-(1-((($AY17+$AZ17*Geometry!$E$42:$E$59+$BA17*Geometry!$D$42:$D$59))*(($AY17+$AZ17*Geometry!$E$42:$E$59+$BA17*Geometry!$D$42:$D$59)&gt;0)*(($AY17+$AZ17*Geometry!$E$42:$E$59+$BA17*Geometry!$D$42:$D$59)&lt;eco)+eco*(($AY17+$AZ17*Geometry!$E$42:$E$59+$BA17*Geometry!$D$42:$D$59)&gt;=eco))/eco)^n)*((($AY17+$AZ17*Geometry!$E$42:$E$59+$BA17*Geometry!$D$42:$D$59))&gt;0))),Geometry!$F$42:$F$59))/1000</f>
      </c>
      <c r="CA17" s="32">
        <f>(SUMPRODUCT(alpha*fck*(1-(1-((($BB17+$BC17*Mesh_Y+$BD17*Mesh_X))*(($BB17+$BC17*Mesh_Y+$BD17*Mesh_X)&gt;0)*(($BB17+$BC17*Mesh_Y+$BD17*Mesh_X)&lt;eco)+eco*(($BB17+$BC17*Mesh_Y+$BD17*Mesh_X)&gt;=eco))/eco)^n)*((($BB17+$BC17*Mesh_Y+$BD17*Mesh_X))&gt;0),Mesh_A)+SUMPRODUCT((Es*(($BB17+$BC17*Geometry!$E$42:$E$59+$BD17*Geometry!$D$42:$D$59))*(ABS(Es*(($BB17+$BC17*Geometry!$E$42:$E$59+$BD17*Geometry!$D$42:$D$59)))&lt;=fy)+fy*(Es*(($BB17+$BC17*Geometry!$E$42:$E$59+$BD17*Geometry!$D$42:$D$59))&gt;fy)-fy*(Es*(($BB17+$BC17*Geometry!$E$42:$E$59+$BD17*Geometry!$D$42:$D$59))&lt;-fy)-(alpha*fck*(1-(1-((($BB17+$BC17*Geometry!$E$42:$E$59+$BD17*Geometry!$D$42:$D$59))*(($BB17+$BC17*Geometry!$E$42:$E$59+$BD17*Geometry!$D$42:$D$59)&gt;0)*(($BB17+$BC17*Geometry!$E$42:$E$59+$BD17*Geometry!$D$42:$D$59)&lt;eco)+eco*(($BB17+$BC17*Geometry!$E$42:$E$59+$BD17*Geometry!$D$42:$D$59)&gt;=eco))/eco)^n)*((($BB17+$BC17*Geometry!$E$42:$E$59+$BD17*Geometry!$D$42:$D$59))&gt;0))),Geometry!$F$42:$F$59))/1000</f>
      </c>
      <c r="CB17" s="32">
        <f>(SUMPRODUCT(alpha*fck*(1-(1-((($BE17+$BF17*Mesh_Y+$BG17*Mesh_X))*(($BE17+$BF17*Mesh_Y+$BG17*Mesh_X)&gt;0)*(($BE17+$BF17*Mesh_Y+$BG17*Mesh_X)&lt;eco)+eco*(($BE17+$BF17*Mesh_Y+$BG17*Mesh_X)&gt;=eco))/eco)^n)*((($BE17+$BF17*Mesh_Y+$BG17*Mesh_X))&gt;0),Mesh_A)+SUMPRODUCT((Es*(($BE17+$BF17*Geometry!$E$42:$E$59+$BG17*Geometry!$D$42:$D$59))*(ABS(Es*(($BE17+$BF17*Geometry!$E$42:$E$59+$BG17*Geometry!$D$42:$D$59)))&lt;=fy)+fy*(Es*(($BE17+$BF17*Geometry!$E$42:$E$59+$BG17*Geometry!$D$42:$D$59))&gt;fy)-fy*(Es*(($BE17+$BF17*Geometry!$E$42:$E$59+$BG17*Geometry!$D$42:$D$59))&lt;-fy)-(alpha*fck*(1-(1-((($BE17+$BF17*Geometry!$E$42:$E$59+$BG17*Geometry!$D$42:$D$59))*(($BE17+$BF17*Geometry!$E$42:$E$59+$BG17*Geometry!$D$42:$D$59)&gt;0)*(($BE17+$BF17*Geometry!$E$42:$E$59+$BG17*Geometry!$D$42:$D$59)&lt;eco)+eco*(($BE17+$BF17*Geometry!$E$42:$E$59+$BG17*Geometry!$D$42:$D$59)&gt;=eco))/eco)^n)*((($BE17+$BF17*Geometry!$E$42:$E$59+$BG17*Geometry!$D$42:$D$59))&gt;0))),Geometry!$F$42:$F$59))/1000</f>
      </c>
      <c r="CC17" s="32">
        <f>(SUMPRODUCT(alpha*fck*(1-(1-((($BH17+$BI17*Mesh_Y+$BJ17*Mesh_X))*(($BH17+$BI17*Mesh_Y+$BJ17*Mesh_X)&gt;0)*(($BH17+$BI17*Mesh_Y+$BJ17*Mesh_X)&lt;eco)+eco*(($BH17+$BI17*Mesh_Y+$BJ17*Mesh_X)&gt;=eco))/eco)^n)*((($BH17+$BI17*Mesh_Y+$BJ17*Mesh_X))&gt;0),Mesh_A)+SUMPRODUCT((Es*(($BH17+$BI17*Geometry!$E$42:$E$59+$BJ17*Geometry!$D$42:$D$59))*(ABS(Es*(($BH17+$BI17*Geometry!$E$42:$E$59+$BJ17*Geometry!$D$42:$D$59)))&lt;=fy)+fy*(Es*(($BH17+$BI17*Geometry!$E$42:$E$59+$BJ17*Geometry!$D$42:$D$59))&gt;fy)-fy*(Es*(($BH17+$BI17*Geometry!$E$42:$E$59+$BJ17*Geometry!$D$42:$D$59))&lt;-fy)-(alpha*fck*(1-(1-((($BH17+$BI17*Geometry!$E$42:$E$59+$BJ17*Geometry!$D$42:$D$59))*(($BH17+$BI17*Geometry!$E$42:$E$59+$BJ17*Geometry!$D$42:$D$59)&gt;0)*(($BH17+$BI17*Geometry!$E$42:$E$59+$BJ17*Geometry!$D$42:$D$59)&lt;eco)+eco*(($BH17+$BI17*Geometry!$E$42:$E$59+$BJ17*Geometry!$D$42:$D$59)&gt;=eco))/eco)^n)*((($BH17+$BI17*Geometry!$E$42:$E$59+$BJ17*Geometry!$D$42:$D$59))&gt;0))),Geometry!$F$42:$F$59))/1000</f>
      </c>
      <c r="CD17" s="32">
        <f>(SUMPRODUCT(alpha*fck*(1-(1-((($F17+$G17*Mesh_Y+$H17*Mesh_X))*(($F17+$G17*Mesh_Y+$H17*Mesh_X)&gt;0)*(($F17+$G17*Mesh_Y+$H17*Mesh_X)&lt;eco)+eco*(($F17+$G17*Mesh_Y+$H17*Mesh_X)&gt;=eco))/eco)^n)*((($F17+$G17*Mesh_Y+$H17*Mesh_X))&gt;0),Mesh_A,Mesh_Y)+SUMPRODUCT((Es*(($F17+$G17*Geometry!$E$42:$E$59+$H17*Geometry!$D$42:$D$59))*(ABS(Es*(($F17+$G17*Geometry!$E$42:$E$59+$H17*Geometry!$D$42:$D$59)))&lt;=fy)+fy*(Es*(($F17+$G17*Geometry!$E$42:$E$59+$H17*Geometry!$D$42:$D$59))&gt;fy)-fy*(Es*(($F17+$G17*Geometry!$E$42:$E$59+$H17*Geometry!$D$42:$D$59))&lt;-fy)-(alpha*fck*(1-(1-((($F17+$G17*Geometry!$E$42:$E$59+$H17*Geometry!$D$42:$D$59))*(($F17+$G17*Geometry!$E$42:$E$59+$H17*Geometry!$D$42:$D$59)&gt;0)*(($F17+$G17*Geometry!$E$42:$E$59+$H17*Geometry!$D$42:$D$59)&lt;eco)+eco*(($F17+$G17*Geometry!$E$42:$E$59+$H17*Geometry!$D$42:$D$59)&gt;=eco))/eco)^n)*((($F17+$G17*Geometry!$E$42:$E$59+$H17*Geometry!$D$42:$D$59))&gt;0))),Geometry!$F$42:$F$59,Geometry!$E$42:$E$59))/1000000</f>
      </c>
      <c r="CE17" s="32">
        <f>(SUMPRODUCT(alpha*fck*(1-(1-((($I17+$J17*Mesh_Y+$K17*Mesh_X))*(($I17+$J17*Mesh_Y+$K17*Mesh_X)&gt;0)*(($I17+$J17*Mesh_Y+$K17*Mesh_X)&lt;eco)+eco*(($I17+$J17*Mesh_Y+$K17*Mesh_X)&gt;=eco))/eco)^n)*((($I17+$J17*Mesh_Y+$K17*Mesh_X))&gt;0),Mesh_A,Mesh_Y)+SUMPRODUCT((Es*(($I17+$J17*Geometry!$E$42:$E$59+$K17*Geometry!$D$42:$D$59))*(ABS(Es*(($I17+$J17*Geometry!$E$42:$E$59+$K17*Geometry!$D$42:$D$59)))&lt;=fy)+fy*(Es*(($I17+$J17*Geometry!$E$42:$E$59+$K17*Geometry!$D$42:$D$59))&gt;fy)-fy*(Es*(($I17+$J17*Geometry!$E$42:$E$59+$K17*Geometry!$D$42:$D$59))&lt;-fy)-(alpha*fck*(1-(1-((($I17+$J17*Geometry!$E$42:$E$59+$K17*Geometry!$D$42:$D$59))*(($I17+$J17*Geometry!$E$42:$E$59+$K17*Geometry!$D$42:$D$59)&gt;0)*(($I17+$J17*Geometry!$E$42:$E$59+$K17*Geometry!$D$42:$D$59)&lt;eco)+eco*(($I17+$J17*Geometry!$E$42:$E$59+$K17*Geometry!$D$42:$D$59)&gt;=eco))/eco)^n)*((($I17+$J17*Geometry!$E$42:$E$59+$K17*Geometry!$D$42:$D$59))&gt;0))),Geometry!$F$42:$F$59,Geometry!$E$42:$E$59))/1000000</f>
      </c>
      <c r="CF17" s="32">
        <f>(SUMPRODUCT(alpha*fck*(1-(1-((($L17+$M17*Mesh_Y+$N17*Mesh_X))*(($L17+$M17*Mesh_Y+$N17*Mesh_X)&gt;0)*(($L17+$M17*Mesh_Y+$N17*Mesh_X)&lt;eco)+eco*(($L17+$M17*Mesh_Y+$N17*Mesh_X)&gt;=eco))/eco)^n)*((($L17+$M17*Mesh_Y+$N17*Mesh_X))&gt;0),Mesh_A,Mesh_Y)+SUMPRODUCT((Es*(($L17+$M17*Geometry!$E$42:$E$59+$N17*Geometry!$D$42:$D$59))*(ABS(Es*(($L17+$M17*Geometry!$E$42:$E$59+$N17*Geometry!$D$42:$D$59)))&lt;=fy)+fy*(Es*(($L17+$M17*Geometry!$E$42:$E$59+$N17*Geometry!$D$42:$D$59))&gt;fy)-fy*(Es*(($L17+$M17*Geometry!$E$42:$E$59+$N17*Geometry!$D$42:$D$59))&lt;-fy)-(alpha*fck*(1-(1-((($L17+$M17*Geometry!$E$42:$E$59+$N17*Geometry!$D$42:$D$59))*(($L17+$M17*Geometry!$E$42:$E$59+$N17*Geometry!$D$42:$D$59)&gt;0)*(($L17+$M17*Geometry!$E$42:$E$59+$N17*Geometry!$D$42:$D$59)&lt;eco)+eco*(($L17+$M17*Geometry!$E$42:$E$59+$N17*Geometry!$D$42:$D$59)&gt;=eco))/eco)^n)*((($L17+$M17*Geometry!$E$42:$E$59+$N17*Geometry!$D$42:$D$59))&gt;0))),Geometry!$F$42:$F$59,Geometry!$E$42:$E$59))/1000000</f>
      </c>
      <c r="CG17" s="32">
        <f>(SUMPRODUCT(alpha*fck*(1-(1-((($O17+$P17*Mesh_Y+$Q17*Mesh_X))*(($O17+$P17*Mesh_Y+$Q17*Mesh_X)&gt;0)*(($O17+$P17*Mesh_Y+$Q17*Mesh_X)&lt;eco)+eco*(($O17+$P17*Mesh_Y+$Q17*Mesh_X)&gt;=eco))/eco)^n)*((($O17+$P17*Mesh_Y+$Q17*Mesh_X))&gt;0),Mesh_A,Mesh_Y)+SUMPRODUCT((Es*(($O17+$P17*Geometry!$E$42:$E$59+$Q17*Geometry!$D$42:$D$59))*(ABS(Es*(($O17+$P17*Geometry!$E$42:$E$59+$Q17*Geometry!$D$42:$D$59)))&lt;=fy)+fy*(Es*(($O17+$P17*Geometry!$E$42:$E$59+$Q17*Geometry!$D$42:$D$59))&gt;fy)-fy*(Es*(($O17+$P17*Geometry!$E$42:$E$59+$Q17*Geometry!$D$42:$D$59))&lt;-fy)-(alpha*fck*(1-(1-((($O17+$P17*Geometry!$E$42:$E$59+$Q17*Geometry!$D$42:$D$59))*(($O17+$P17*Geometry!$E$42:$E$59+$Q17*Geometry!$D$42:$D$59)&gt;0)*(($O17+$P17*Geometry!$E$42:$E$59+$Q17*Geometry!$D$42:$D$59)&lt;eco)+eco*(($O17+$P17*Geometry!$E$42:$E$59+$Q17*Geometry!$D$42:$D$59)&gt;=eco))/eco)^n)*((($O17+$P17*Geometry!$E$42:$E$59+$Q17*Geometry!$D$42:$D$59))&gt;0))),Geometry!$F$42:$F$59,Geometry!$E$42:$E$59))/1000000</f>
      </c>
      <c r="CH17" s="32">
        <f>(SUMPRODUCT(alpha*fck*(1-(1-((($R17+$S17*Mesh_Y+$T17*Mesh_X))*(($R17+$S17*Mesh_Y+$T17*Mesh_X)&gt;0)*(($R17+$S17*Mesh_Y+$T17*Mesh_X)&lt;eco)+eco*(($R17+$S17*Mesh_Y+$T17*Mesh_X)&gt;=eco))/eco)^n)*((($R17+$S17*Mesh_Y+$T17*Mesh_X))&gt;0),Mesh_A,Mesh_Y)+SUMPRODUCT((Es*(($R17+$S17*Geometry!$E$42:$E$59+$T17*Geometry!$D$42:$D$59))*(ABS(Es*(($R17+$S17*Geometry!$E$42:$E$59+$T17*Geometry!$D$42:$D$59)))&lt;=fy)+fy*(Es*(($R17+$S17*Geometry!$E$42:$E$59+$T17*Geometry!$D$42:$D$59))&gt;fy)-fy*(Es*(($R17+$S17*Geometry!$E$42:$E$59+$T17*Geometry!$D$42:$D$59))&lt;-fy)-(alpha*fck*(1-(1-((($R17+$S17*Geometry!$E$42:$E$59+$T17*Geometry!$D$42:$D$59))*(($R17+$S17*Geometry!$E$42:$E$59+$T17*Geometry!$D$42:$D$59)&gt;0)*(($R17+$S17*Geometry!$E$42:$E$59+$T17*Geometry!$D$42:$D$59)&lt;eco)+eco*(($R17+$S17*Geometry!$E$42:$E$59+$T17*Geometry!$D$42:$D$59)&gt;=eco))/eco)^n)*((($R17+$S17*Geometry!$E$42:$E$59+$T17*Geometry!$D$42:$D$59))&gt;0))),Geometry!$F$42:$F$59,Geometry!$E$42:$E$59))/1000000</f>
      </c>
      <c r="CI17" s="32">
        <f>(SUMPRODUCT(alpha*fck*(1-(1-((($U17+$V17*Mesh_Y+$W17*Mesh_X))*(($U17+$V17*Mesh_Y+$W17*Mesh_X)&gt;0)*(($U17+$V17*Mesh_Y+$W17*Mesh_X)&lt;eco)+eco*(($U17+$V17*Mesh_Y+$W17*Mesh_X)&gt;=eco))/eco)^n)*((($U17+$V17*Mesh_Y+$W17*Mesh_X))&gt;0),Mesh_A,Mesh_Y)+SUMPRODUCT((Es*(($U17+$V17*Geometry!$E$42:$E$59+$W17*Geometry!$D$42:$D$59))*(ABS(Es*(($U17+$V17*Geometry!$E$42:$E$59+$W17*Geometry!$D$42:$D$59)))&lt;=fy)+fy*(Es*(($U17+$V17*Geometry!$E$42:$E$59+$W17*Geometry!$D$42:$D$59))&gt;fy)-fy*(Es*(($U17+$V17*Geometry!$E$42:$E$59+$W17*Geometry!$D$42:$D$59))&lt;-fy)-(alpha*fck*(1-(1-((($U17+$V17*Geometry!$E$42:$E$59+$W17*Geometry!$D$42:$D$59))*(($U17+$V17*Geometry!$E$42:$E$59+$W17*Geometry!$D$42:$D$59)&gt;0)*(($U17+$V17*Geometry!$E$42:$E$59+$W17*Geometry!$D$42:$D$59)&lt;eco)+eco*(($U17+$V17*Geometry!$E$42:$E$59+$W17*Geometry!$D$42:$D$59)&gt;=eco))/eco)^n)*((($U17+$V17*Geometry!$E$42:$E$59+$W17*Geometry!$D$42:$D$59))&gt;0))),Geometry!$F$42:$F$59,Geometry!$E$42:$E$59))/1000000</f>
      </c>
      <c r="CJ17" s="32">
        <f>(SUMPRODUCT(alpha*fck*(1-(1-((($X17+$Y17*Mesh_Y+$Z17*Mesh_X))*(($X17+$Y17*Mesh_Y+$Z17*Mesh_X)&gt;0)*(($X17+$Y17*Mesh_Y+$Z17*Mesh_X)&lt;eco)+eco*(($X17+$Y17*Mesh_Y+$Z17*Mesh_X)&gt;=eco))/eco)^n)*((($X17+$Y17*Mesh_Y+$Z17*Mesh_X))&gt;0),Mesh_A,Mesh_Y)+SUMPRODUCT((Es*(($X17+$Y17*Geometry!$E$42:$E$59+$Z17*Geometry!$D$42:$D$59))*(ABS(Es*(($X17+$Y17*Geometry!$E$42:$E$59+$Z17*Geometry!$D$42:$D$59)))&lt;=fy)+fy*(Es*(($X17+$Y17*Geometry!$E$42:$E$59+$Z17*Geometry!$D$42:$D$59))&gt;fy)-fy*(Es*(($X17+$Y17*Geometry!$E$42:$E$59+$Z17*Geometry!$D$42:$D$59))&lt;-fy)-(alpha*fck*(1-(1-((($X17+$Y17*Geometry!$E$42:$E$59+$Z17*Geometry!$D$42:$D$59))*(($X17+$Y17*Geometry!$E$42:$E$59+$Z17*Geometry!$D$42:$D$59)&gt;0)*(($X17+$Y17*Geometry!$E$42:$E$59+$Z17*Geometry!$D$42:$D$59)&lt;eco)+eco*(($X17+$Y17*Geometry!$E$42:$E$59+$Z17*Geometry!$D$42:$D$59)&gt;=eco))/eco)^n)*((($X17+$Y17*Geometry!$E$42:$E$59+$Z17*Geometry!$D$42:$D$59))&gt;0))),Geometry!$F$42:$F$59,Geometry!$E$42:$E$59))/1000000</f>
      </c>
      <c r="CK17" s="32">
        <f>(SUMPRODUCT(alpha*fck*(1-(1-((($AA17+$AB17*Mesh_Y+$AC17*Mesh_X))*(($AA17+$AB17*Mesh_Y+$AC17*Mesh_X)&gt;0)*(($AA17+$AB17*Mesh_Y+$AC17*Mesh_X)&lt;eco)+eco*(($AA17+$AB17*Mesh_Y+$AC17*Mesh_X)&gt;=eco))/eco)^n)*((($AA17+$AB17*Mesh_Y+$AC17*Mesh_X))&gt;0),Mesh_A,Mesh_Y)+SUMPRODUCT((Es*(($AA17+$AB17*Geometry!$E$42:$E$59+$AC17*Geometry!$D$42:$D$59))*(ABS(Es*(($AA17+$AB17*Geometry!$E$42:$E$59+$AC17*Geometry!$D$42:$D$59)))&lt;=fy)+fy*(Es*(($AA17+$AB17*Geometry!$E$42:$E$59+$AC17*Geometry!$D$42:$D$59))&gt;fy)-fy*(Es*(($AA17+$AB17*Geometry!$E$42:$E$59+$AC17*Geometry!$D$42:$D$59))&lt;-fy)-(alpha*fck*(1-(1-((($AA17+$AB17*Geometry!$E$42:$E$59+$AC17*Geometry!$D$42:$D$59))*(($AA17+$AB17*Geometry!$E$42:$E$59+$AC17*Geometry!$D$42:$D$59)&gt;0)*(($AA17+$AB17*Geometry!$E$42:$E$59+$AC17*Geometry!$D$42:$D$59)&lt;eco)+eco*(($AA17+$AB17*Geometry!$E$42:$E$59+$AC17*Geometry!$D$42:$D$59)&gt;=eco))/eco)^n)*((($AA17+$AB17*Geometry!$E$42:$E$59+$AC17*Geometry!$D$42:$D$59))&gt;0))),Geometry!$F$42:$F$59,Geometry!$E$42:$E$59))/1000000</f>
      </c>
      <c r="CL17" s="32">
        <f>(SUMPRODUCT(alpha*fck*(1-(1-((($AD17+$AE17*Mesh_Y+$AF17*Mesh_X))*(($AD17+$AE17*Mesh_Y+$AF17*Mesh_X)&gt;0)*(($AD17+$AE17*Mesh_Y+$AF17*Mesh_X)&lt;eco)+eco*(($AD17+$AE17*Mesh_Y+$AF17*Mesh_X)&gt;=eco))/eco)^n)*((($AD17+$AE17*Mesh_Y+$AF17*Mesh_X))&gt;0),Mesh_A,Mesh_Y)+SUMPRODUCT((Es*(($AD17+$AE17*Geometry!$E$42:$E$59+$AF17*Geometry!$D$42:$D$59))*(ABS(Es*(($AD17+$AE17*Geometry!$E$42:$E$59+$AF17*Geometry!$D$42:$D$59)))&lt;=fy)+fy*(Es*(($AD17+$AE17*Geometry!$E$42:$E$59+$AF17*Geometry!$D$42:$D$59))&gt;fy)-fy*(Es*(($AD17+$AE17*Geometry!$E$42:$E$59+$AF17*Geometry!$D$42:$D$59))&lt;-fy)-(alpha*fck*(1-(1-((($AD17+$AE17*Geometry!$E$42:$E$59+$AF17*Geometry!$D$42:$D$59))*(($AD17+$AE17*Geometry!$E$42:$E$59+$AF17*Geometry!$D$42:$D$59)&gt;0)*(($AD17+$AE17*Geometry!$E$42:$E$59+$AF17*Geometry!$D$42:$D$59)&lt;eco)+eco*(($AD17+$AE17*Geometry!$E$42:$E$59+$AF17*Geometry!$D$42:$D$59)&gt;=eco))/eco)^n)*((($AD17+$AE17*Geometry!$E$42:$E$59+$AF17*Geometry!$D$42:$D$59))&gt;0))),Geometry!$F$42:$F$59,Geometry!$E$42:$E$59))/1000000</f>
      </c>
      <c r="CM17" s="32">
        <f>(SUMPRODUCT(alpha*fck*(1-(1-((($AG17+$AH17*Mesh_Y+$AI17*Mesh_X))*(($AG17+$AH17*Mesh_Y+$AI17*Mesh_X)&gt;0)*(($AG17+$AH17*Mesh_Y+$AI17*Mesh_X)&lt;eco)+eco*(($AG17+$AH17*Mesh_Y+$AI17*Mesh_X)&gt;=eco))/eco)^n)*((($AG17+$AH17*Mesh_Y+$AI17*Mesh_X))&gt;0),Mesh_A,Mesh_Y)+SUMPRODUCT((Es*(($AG17+$AH17*Geometry!$E$42:$E$59+$AI17*Geometry!$D$42:$D$59))*(ABS(Es*(($AG17+$AH17*Geometry!$E$42:$E$59+$AI17*Geometry!$D$42:$D$59)))&lt;=fy)+fy*(Es*(($AG17+$AH17*Geometry!$E$42:$E$59+$AI17*Geometry!$D$42:$D$59))&gt;fy)-fy*(Es*(($AG17+$AH17*Geometry!$E$42:$E$59+$AI17*Geometry!$D$42:$D$59))&lt;-fy)-(alpha*fck*(1-(1-((($AG17+$AH17*Geometry!$E$42:$E$59+$AI17*Geometry!$D$42:$D$59))*(($AG17+$AH17*Geometry!$E$42:$E$59+$AI17*Geometry!$D$42:$D$59)&gt;0)*(($AG17+$AH17*Geometry!$E$42:$E$59+$AI17*Geometry!$D$42:$D$59)&lt;eco)+eco*(($AG17+$AH17*Geometry!$E$42:$E$59+$AI17*Geometry!$D$42:$D$59)&gt;=eco))/eco)^n)*((($AG17+$AH17*Geometry!$E$42:$E$59+$AI17*Geometry!$D$42:$D$59))&gt;0))),Geometry!$F$42:$F$59,Geometry!$E$42:$E$59))/1000000</f>
      </c>
      <c r="CN17" s="32">
        <f>(SUMPRODUCT(alpha*fck*(1-(1-((($AJ17+$AK17*Mesh_Y+$AL17*Mesh_X))*(($AJ17+$AK17*Mesh_Y+$AL17*Mesh_X)&gt;0)*(($AJ17+$AK17*Mesh_Y+$AL17*Mesh_X)&lt;eco)+eco*(($AJ17+$AK17*Mesh_Y+$AL17*Mesh_X)&gt;=eco))/eco)^n)*((($AJ17+$AK17*Mesh_Y+$AL17*Mesh_X))&gt;0),Mesh_A,Mesh_Y)+SUMPRODUCT((Es*(($AJ17+$AK17*Geometry!$E$42:$E$59+$AL17*Geometry!$D$42:$D$59))*(ABS(Es*(($AJ17+$AK17*Geometry!$E$42:$E$59+$AL17*Geometry!$D$42:$D$59)))&lt;=fy)+fy*(Es*(($AJ17+$AK17*Geometry!$E$42:$E$59+$AL17*Geometry!$D$42:$D$59))&gt;fy)-fy*(Es*(($AJ17+$AK17*Geometry!$E$42:$E$59+$AL17*Geometry!$D$42:$D$59))&lt;-fy)-(alpha*fck*(1-(1-((($AJ17+$AK17*Geometry!$E$42:$E$59+$AL17*Geometry!$D$42:$D$59))*(($AJ17+$AK17*Geometry!$E$42:$E$59+$AL17*Geometry!$D$42:$D$59)&gt;0)*(($AJ17+$AK17*Geometry!$E$42:$E$59+$AL17*Geometry!$D$42:$D$59)&lt;eco)+eco*(($AJ17+$AK17*Geometry!$E$42:$E$59+$AL17*Geometry!$D$42:$D$59)&gt;=eco))/eco)^n)*((($AJ17+$AK17*Geometry!$E$42:$E$59+$AL17*Geometry!$D$42:$D$59))&gt;0))),Geometry!$F$42:$F$59,Geometry!$E$42:$E$59))/1000000</f>
      </c>
      <c r="CO17" s="32">
        <f>(SUMPRODUCT(alpha*fck*(1-(1-((($AM17+$AN17*Mesh_Y+$AO17*Mesh_X))*(($AM17+$AN17*Mesh_Y+$AO17*Mesh_X)&gt;0)*(($AM17+$AN17*Mesh_Y+$AO17*Mesh_X)&lt;eco)+eco*(($AM17+$AN17*Mesh_Y+$AO17*Mesh_X)&gt;=eco))/eco)^n)*((($AM17+$AN17*Mesh_Y+$AO17*Mesh_X))&gt;0),Mesh_A,Mesh_Y)+SUMPRODUCT((Es*(($AM17+$AN17*Geometry!$E$42:$E$59+$AO17*Geometry!$D$42:$D$59))*(ABS(Es*(($AM17+$AN17*Geometry!$E$42:$E$59+$AO17*Geometry!$D$42:$D$59)))&lt;=fy)+fy*(Es*(($AM17+$AN17*Geometry!$E$42:$E$59+$AO17*Geometry!$D$42:$D$59))&gt;fy)-fy*(Es*(($AM17+$AN17*Geometry!$E$42:$E$59+$AO17*Geometry!$D$42:$D$59))&lt;-fy)-(alpha*fck*(1-(1-((($AM17+$AN17*Geometry!$E$42:$E$59+$AO17*Geometry!$D$42:$D$59))*(($AM17+$AN17*Geometry!$E$42:$E$59+$AO17*Geometry!$D$42:$D$59)&gt;0)*(($AM17+$AN17*Geometry!$E$42:$E$59+$AO17*Geometry!$D$42:$D$59)&lt;eco)+eco*(($AM17+$AN17*Geometry!$E$42:$E$59+$AO17*Geometry!$D$42:$D$59)&gt;=eco))/eco)^n)*((($AM17+$AN17*Geometry!$E$42:$E$59+$AO17*Geometry!$D$42:$D$59))&gt;0))),Geometry!$F$42:$F$59,Geometry!$E$42:$E$59))/1000000</f>
      </c>
      <c r="CP17" s="32">
        <f>(SUMPRODUCT(alpha*fck*(1-(1-((($AP17+$AQ17*Mesh_Y+$AR17*Mesh_X))*(($AP17+$AQ17*Mesh_Y+$AR17*Mesh_X)&gt;0)*(($AP17+$AQ17*Mesh_Y+$AR17*Mesh_X)&lt;eco)+eco*(($AP17+$AQ17*Mesh_Y+$AR17*Mesh_X)&gt;=eco))/eco)^n)*((($AP17+$AQ17*Mesh_Y+$AR17*Mesh_X))&gt;0),Mesh_A,Mesh_Y)+SUMPRODUCT((Es*(($AP17+$AQ17*Geometry!$E$42:$E$59+$AR17*Geometry!$D$42:$D$59))*(ABS(Es*(($AP17+$AQ17*Geometry!$E$42:$E$59+$AR17*Geometry!$D$42:$D$59)))&lt;=fy)+fy*(Es*(($AP17+$AQ17*Geometry!$E$42:$E$59+$AR17*Geometry!$D$42:$D$59))&gt;fy)-fy*(Es*(($AP17+$AQ17*Geometry!$E$42:$E$59+$AR17*Geometry!$D$42:$D$59))&lt;-fy)-(alpha*fck*(1-(1-((($AP17+$AQ17*Geometry!$E$42:$E$59+$AR17*Geometry!$D$42:$D$59))*(($AP17+$AQ17*Geometry!$E$42:$E$59+$AR17*Geometry!$D$42:$D$59)&gt;0)*(($AP17+$AQ17*Geometry!$E$42:$E$59+$AR17*Geometry!$D$42:$D$59)&lt;eco)+eco*(($AP17+$AQ17*Geometry!$E$42:$E$59+$AR17*Geometry!$D$42:$D$59)&gt;=eco))/eco)^n)*((($AP17+$AQ17*Geometry!$E$42:$E$59+$AR17*Geometry!$D$42:$D$59))&gt;0))),Geometry!$F$42:$F$59,Geometry!$E$42:$E$59))/1000000</f>
      </c>
      <c r="CQ17" s="32">
        <f>(SUMPRODUCT(alpha*fck*(1-(1-((($AS17+$AT17*Mesh_Y+$AU17*Mesh_X))*(($AS17+$AT17*Mesh_Y+$AU17*Mesh_X)&gt;0)*(($AS17+$AT17*Mesh_Y+$AU17*Mesh_X)&lt;eco)+eco*(($AS17+$AT17*Mesh_Y+$AU17*Mesh_X)&gt;=eco))/eco)^n)*((($AS17+$AT17*Mesh_Y+$AU17*Mesh_X))&gt;0),Mesh_A,Mesh_Y)+SUMPRODUCT((Es*(($AS17+$AT17*Geometry!$E$42:$E$59+$AU17*Geometry!$D$42:$D$59))*(ABS(Es*(($AS17+$AT17*Geometry!$E$42:$E$59+$AU17*Geometry!$D$42:$D$59)))&lt;=fy)+fy*(Es*(($AS17+$AT17*Geometry!$E$42:$E$59+$AU17*Geometry!$D$42:$D$59))&gt;fy)-fy*(Es*(($AS17+$AT17*Geometry!$E$42:$E$59+$AU17*Geometry!$D$42:$D$59))&lt;-fy)-(alpha*fck*(1-(1-((($AS17+$AT17*Geometry!$E$42:$E$59+$AU17*Geometry!$D$42:$D$59))*(($AS17+$AT17*Geometry!$E$42:$E$59+$AU17*Geometry!$D$42:$D$59)&gt;0)*(($AS17+$AT17*Geometry!$E$42:$E$59+$AU17*Geometry!$D$42:$D$59)&lt;eco)+eco*(($AS17+$AT17*Geometry!$E$42:$E$59+$AU17*Geometry!$D$42:$D$59)&gt;=eco))/eco)^n)*((($AS17+$AT17*Geometry!$E$42:$E$59+$AU17*Geometry!$D$42:$D$59))&gt;0))),Geometry!$F$42:$F$59,Geometry!$E$42:$E$59))/1000000</f>
      </c>
      <c r="CR17" s="32">
        <f>(SUMPRODUCT(alpha*fck*(1-(1-((($AV17+$AW17*Mesh_Y+$AX17*Mesh_X))*(($AV17+$AW17*Mesh_Y+$AX17*Mesh_X)&gt;0)*(($AV17+$AW17*Mesh_Y+$AX17*Mesh_X)&lt;eco)+eco*(($AV17+$AW17*Mesh_Y+$AX17*Mesh_X)&gt;=eco))/eco)^n)*((($AV17+$AW17*Mesh_Y+$AX17*Mesh_X))&gt;0),Mesh_A,Mesh_Y)+SUMPRODUCT((Es*(($AV17+$AW17*Geometry!$E$42:$E$59+$AX17*Geometry!$D$42:$D$59))*(ABS(Es*(($AV17+$AW17*Geometry!$E$42:$E$59+$AX17*Geometry!$D$42:$D$59)))&lt;=fy)+fy*(Es*(($AV17+$AW17*Geometry!$E$42:$E$59+$AX17*Geometry!$D$42:$D$59))&gt;fy)-fy*(Es*(($AV17+$AW17*Geometry!$E$42:$E$59+$AX17*Geometry!$D$42:$D$59))&lt;-fy)-(alpha*fck*(1-(1-((($AV17+$AW17*Geometry!$E$42:$E$59+$AX17*Geometry!$D$42:$D$59))*(($AV17+$AW17*Geometry!$E$42:$E$59+$AX17*Geometry!$D$42:$D$59)&gt;0)*(($AV17+$AW17*Geometry!$E$42:$E$59+$AX17*Geometry!$D$42:$D$59)&lt;eco)+eco*(($AV17+$AW17*Geometry!$E$42:$E$59+$AX17*Geometry!$D$42:$D$59)&gt;=eco))/eco)^n)*((($AV17+$AW17*Geometry!$E$42:$E$59+$AX17*Geometry!$D$42:$D$59))&gt;0))),Geometry!$F$42:$F$59,Geometry!$E$42:$E$59))/1000000</f>
      </c>
      <c r="CS17" s="32">
        <f>(SUMPRODUCT(alpha*fck*(1-(1-((($AY17+$AZ17*Mesh_Y+$BA17*Mesh_X))*(($AY17+$AZ17*Mesh_Y+$BA17*Mesh_X)&gt;0)*(($AY17+$AZ17*Mesh_Y+$BA17*Mesh_X)&lt;eco)+eco*(($AY17+$AZ17*Mesh_Y+$BA17*Mesh_X)&gt;=eco))/eco)^n)*((($AY17+$AZ17*Mesh_Y+$BA17*Mesh_X))&gt;0),Mesh_A,Mesh_Y)+SUMPRODUCT((Es*(($AY17+$AZ17*Geometry!$E$42:$E$59+$BA17*Geometry!$D$42:$D$59))*(ABS(Es*(($AY17+$AZ17*Geometry!$E$42:$E$59+$BA17*Geometry!$D$42:$D$59)))&lt;=fy)+fy*(Es*(($AY17+$AZ17*Geometry!$E$42:$E$59+$BA17*Geometry!$D$42:$D$59))&gt;fy)-fy*(Es*(($AY17+$AZ17*Geometry!$E$42:$E$59+$BA17*Geometry!$D$42:$D$59))&lt;-fy)-(alpha*fck*(1-(1-((($AY17+$AZ17*Geometry!$E$42:$E$59+$BA17*Geometry!$D$42:$D$59))*(($AY17+$AZ17*Geometry!$E$42:$E$59+$BA17*Geometry!$D$42:$D$59)&gt;0)*(($AY17+$AZ17*Geometry!$E$42:$E$59+$BA17*Geometry!$D$42:$D$59)&lt;eco)+eco*(($AY17+$AZ17*Geometry!$E$42:$E$59+$BA17*Geometry!$D$42:$D$59)&gt;=eco))/eco)^n)*((($AY17+$AZ17*Geometry!$E$42:$E$59+$BA17*Geometry!$D$42:$D$59))&gt;0))),Geometry!$F$42:$F$59,Geometry!$E$42:$E$59))/1000000</f>
      </c>
      <c r="CT17" s="32">
        <f>(SUMPRODUCT(alpha*fck*(1-(1-((($BB17+$BC17*Mesh_Y+$BD17*Mesh_X))*(($BB17+$BC17*Mesh_Y+$BD17*Mesh_X)&gt;0)*(($BB17+$BC17*Mesh_Y+$BD17*Mesh_X)&lt;eco)+eco*(($BB17+$BC17*Mesh_Y+$BD17*Mesh_X)&gt;=eco))/eco)^n)*((($BB17+$BC17*Mesh_Y+$BD17*Mesh_X))&gt;0),Mesh_A,Mesh_Y)+SUMPRODUCT((Es*(($BB17+$BC17*Geometry!$E$42:$E$59+$BD17*Geometry!$D$42:$D$59))*(ABS(Es*(($BB17+$BC17*Geometry!$E$42:$E$59+$BD17*Geometry!$D$42:$D$59)))&lt;=fy)+fy*(Es*(($BB17+$BC17*Geometry!$E$42:$E$59+$BD17*Geometry!$D$42:$D$59))&gt;fy)-fy*(Es*(($BB17+$BC17*Geometry!$E$42:$E$59+$BD17*Geometry!$D$42:$D$59))&lt;-fy)-(alpha*fck*(1-(1-((($BB17+$BC17*Geometry!$E$42:$E$59+$BD17*Geometry!$D$42:$D$59))*(($BB17+$BC17*Geometry!$E$42:$E$59+$BD17*Geometry!$D$42:$D$59)&gt;0)*(($BB17+$BC17*Geometry!$E$42:$E$59+$BD17*Geometry!$D$42:$D$59)&lt;eco)+eco*(($BB17+$BC17*Geometry!$E$42:$E$59+$BD17*Geometry!$D$42:$D$59)&gt;=eco))/eco)^n)*((($BB17+$BC17*Geometry!$E$42:$E$59+$BD17*Geometry!$D$42:$D$59))&gt;0))),Geometry!$F$42:$F$59,Geometry!$E$42:$E$59))/1000000</f>
      </c>
      <c r="CU17" s="32">
        <f>(SUMPRODUCT(alpha*fck*(1-(1-((($BE17+$BF17*Mesh_Y+$BG17*Mesh_X))*(($BE17+$BF17*Mesh_Y+$BG17*Mesh_X)&gt;0)*(($BE17+$BF17*Mesh_Y+$BG17*Mesh_X)&lt;eco)+eco*(($BE17+$BF17*Mesh_Y+$BG17*Mesh_X)&gt;=eco))/eco)^n)*((($BE17+$BF17*Mesh_Y+$BG17*Mesh_X))&gt;0),Mesh_A,Mesh_Y)+SUMPRODUCT((Es*(($BE17+$BF17*Geometry!$E$42:$E$59+$BG17*Geometry!$D$42:$D$59))*(ABS(Es*(($BE17+$BF17*Geometry!$E$42:$E$59+$BG17*Geometry!$D$42:$D$59)))&lt;=fy)+fy*(Es*(($BE17+$BF17*Geometry!$E$42:$E$59+$BG17*Geometry!$D$42:$D$59))&gt;fy)-fy*(Es*(($BE17+$BF17*Geometry!$E$42:$E$59+$BG17*Geometry!$D$42:$D$59))&lt;-fy)-(alpha*fck*(1-(1-((($BE17+$BF17*Geometry!$E$42:$E$59+$BG17*Geometry!$D$42:$D$59))*(($BE17+$BF17*Geometry!$E$42:$E$59+$BG17*Geometry!$D$42:$D$59)&gt;0)*(($BE17+$BF17*Geometry!$E$42:$E$59+$BG17*Geometry!$D$42:$D$59)&lt;eco)+eco*(($BE17+$BF17*Geometry!$E$42:$E$59+$BG17*Geometry!$D$42:$D$59)&gt;=eco))/eco)^n)*((($BE17+$BF17*Geometry!$E$42:$E$59+$BG17*Geometry!$D$42:$D$59))&gt;0))),Geometry!$F$42:$F$59,Geometry!$E$42:$E$59))/1000000</f>
      </c>
      <c r="CV17" s="32">
        <f>(SUMPRODUCT(alpha*fck*(1-(1-((($BH17+$BI17*Mesh_Y+$BJ17*Mesh_X))*(($BH17+$BI17*Mesh_Y+$BJ17*Mesh_X)&gt;0)*(($BH17+$BI17*Mesh_Y+$BJ17*Mesh_X)&lt;eco)+eco*(($BH17+$BI17*Mesh_Y+$BJ17*Mesh_X)&gt;=eco))/eco)^n)*((($BH17+$BI17*Mesh_Y+$BJ17*Mesh_X))&gt;0),Mesh_A,Mesh_Y)+SUMPRODUCT((Es*(($BH17+$BI17*Geometry!$E$42:$E$59+$BJ17*Geometry!$D$42:$D$59))*(ABS(Es*(($BH17+$BI17*Geometry!$E$42:$E$59+$BJ17*Geometry!$D$42:$D$59)))&lt;=fy)+fy*(Es*(($BH17+$BI17*Geometry!$E$42:$E$59+$BJ17*Geometry!$D$42:$D$59))&gt;fy)-fy*(Es*(($BH17+$BI17*Geometry!$E$42:$E$59+$BJ17*Geometry!$D$42:$D$59))&lt;-fy)-(alpha*fck*(1-(1-((($BH17+$BI17*Geometry!$E$42:$E$59+$BJ17*Geometry!$D$42:$D$59))*(($BH17+$BI17*Geometry!$E$42:$E$59+$BJ17*Geometry!$D$42:$D$59)&gt;0)*(($BH17+$BI17*Geometry!$E$42:$E$59+$BJ17*Geometry!$D$42:$D$59)&lt;eco)+eco*(($BH17+$BI17*Geometry!$E$42:$E$59+$BJ17*Geometry!$D$42:$D$59)&gt;=eco))/eco)^n)*((($BH17+$BI17*Geometry!$E$42:$E$59+$BJ17*Geometry!$D$42:$D$59))&gt;0))),Geometry!$F$42:$F$59,Geometry!$E$42:$E$59))/1000000</f>
      </c>
      <c r="CW17" s="32">
        <f>(SUMPRODUCT(alpha*fck*(1-(1-((($F17+$G17*Mesh_Y+$H17*Mesh_X))*(($F17+$G17*Mesh_Y+$H17*Mesh_X)&gt;0)*(($F17+$G17*Mesh_Y+$H17*Mesh_X)&lt;eco)+eco*(($F17+$G17*Mesh_Y+$H17*Mesh_X)&gt;=eco))/eco)^n)*((($F17+$G17*Mesh_Y+$H17*Mesh_X))&gt;0),Mesh_A,Mesh_X)+SUMPRODUCT((Es*(($F17+$G17*Geometry!$E$42:$E$59+$H17*Geometry!$D$42:$D$59))*(ABS(Es*(($F17+$G17*Geometry!$E$42:$E$59+$H17*Geometry!$D$42:$D$59)))&lt;=fy)+fy*(Es*(($F17+$G17*Geometry!$E$42:$E$59+$H17*Geometry!$D$42:$D$59))&gt;fy)-fy*(Es*(($F17+$G17*Geometry!$E$42:$E$59+$H17*Geometry!$D$42:$D$59))&lt;-fy)-(alpha*fck*(1-(1-((($F17+$G17*Geometry!$E$42:$E$59+$H17*Geometry!$D$42:$D$59))*(($F17+$G17*Geometry!$E$42:$E$59+$H17*Geometry!$D$42:$D$59)&gt;0)*(($F17+$G17*Geometry!$E$42:$E$59+$H17*Geometry!$D$42:$D$59)&lt;eco)+eco*(($F17+$G17*Geometry!$E$42:$E$59+$H17*Geometry!$D$42:$D$59)&gt;=eco))/eco)^n)*((($F17+$G17*Geometry!$E$42:$E$59+$H17*Geometry!$D$42:$D$59))&gt;0))),Geometry!$F$42:$F$59,Geometry!$D$42:$D$59))/1000000</f>
      </c>
      <c r="CX17" s="32">
        <f>(SUMPRODUCT(alpha*fck*(1-(1-((($I17+$J17*Mesh_Y+$K17*Mesh_X))*(($I17+$J17*Mesh_Y+$K17*Mesh_X)&gt;0)*(($I17+$J17*Mesh_Y+$K17*Mesh_X)&lt;eco)+eco*(($I17+$J17*Mesh_Y+$K17*Mesh_X)&gt;=eco))/eco)^n)*((($I17+$J17*Mesh_Y+$K17*Mesh_X))&gt;0),Mesh_A,Mesh_X)+SUMPRODUCT((Es*(($I17+$J17*Geometry!$E$42:$E$59+$K17*Geometry!$D$42:$D$59))*(ABS(Es*(($I17+$J17*Geometry!$E$42:$E$59+$K17*Geometry!$D$42:$D$59)))&lt;=fy)+fy*(Es*(($I17+$J17*Geometry!$E$42:$E$59+$K17*Geometry!$D$42:$D$59))&gt;fy)-fy*(Es*(($I17+$J17*Geometry!$E$42:$E$59+$K17*Geometry!$D$42:$D$59))&lt;-fy)-(alpha*fck*(1-(1-((($I17+$J17*Geometry!$E$42:$E$59+$K17*Geometry!$D$42:$D$59))*(($I17+$J17*Geometry!$E$42:$E$59+$K17*Geometry!$D$42:$D$59)&gt;0)*(($I17+$J17*Geometry!$E$42:$E$59+$K17*Geometry!$D$42:$D$59)&lt;eco)+eco*(($I17+$J17*Geometry!$E$42:$E$59+$K17*Geometry!$D$42:$D$59)&gt;=eco))/eco)^n)*((($I17+$J17*Geometry!$E$42:$E$59+$K17*Geometry!$D$42:$D$59))&gt;0))),Geometry!$F$42:$F$59,Geometry!$D$42:$D$59))/1000000</f>
      </c>
      <c r="CY17" s="32">
        <f>(SUMPRODUCT(alpha*fck*(1-(1-((($L17+$M17*Mesh_Y+$N17*Mesh_X))*(($L17+$M17*Mesh_Y+$N17*Mesh_X)&gt;0)*(($L17+$M17*Mesh_Y+$N17*Mesh_X)&lt;eco)+eco*(($L17+$M17*Mesh_Y+$N17*Mesh_X)&gt;=eco))/eco)^n)*((($L17+$M17*Mesh_Y+$N17*Mesh_X))&gt;0),Mesh_A,Mesh_X)+SUMPRODUCT((Es*(($L17+$M17*Geometry!$E$42:$E$59+$N17*Geometry!$D$42:$D$59))*(ABS(Es*(($L17+$M17*Geometry!$E$42:$E$59+$N17*Geometry!$D$42:$D$59)))&lt;=fy)+fy*(Es*(($L17+$M17*Geometry!$E$42:$E$59+$N17*Geometry!$D$42:$D$59))&gt;fy)-fy*(Es*(($L17+$M17*Geometry!$E$42:$E$59+$N17*Geometry!$D$42:$D$59))&lt;-fy)-(alpha*fck*(1-(1-((($L17+$M17*Geometry!$E$42:$E$59+$N17*Geometry!$D$42:$D$59))*(($L17+$M17*Geometry!$E$42:$E$59+$N17*Geometry!$D$42:$D$59)&gt;0)*(($L17+$M17*Geometry!$E$42:$E$59+$N17*Geometry!$D$42:$D$59)&lt;eco)+eco*(($L17+$M17*Geometry!$E$42:$E$59+$N17*Geometry!$D$42:$D$59)&gt;=eco))/eco)^n)*((($L17+$M17*Geometry!$E$42:$E$59+$N17*Geometry!$D$42:$D$59))&gt;0))),Geometry!$F$42:$F$59,Geometry!$D$42:$D$59))/1000000</f>
      </c>
      <c r="CZ17" s="32">
        <f>(SUMPRODUCT(alpha*fck*(1-(1-((($O17+$P17*Mesh_Y+$Q17*Mesh_X))*(($O17+$P17*Mesh_Y+$Q17*Mesh_X)&gt;0)*(($O17+$P17*Mesh_Y+$Q17*Mesh_X)&lt;eco)+eco*(($O17+$P17*Mesh_Y+$Q17*Mesh_X)&gt;=eco))/eco)^n)*((($O17+$P17*Mesh_Y+$Q17*Mesh_X))&gt;0),Mesh_A,Mesh_X)+SUMPRODUCT((Es*(($O17+$P17*Geometry!$E$42:$E$59+$Q17*Geometry!$D$42:$D$59))*(ABS(Es*(($O17+$P17*Geometry!$E$42:$E$59+$Q17*Geometry!$D$42:$D$59)))&lt;=fy)+fy*(Es*(($O17+$P17*Geometry!$E$42:$E$59+$Q17*Geometry!$D$42:$D$59))&gt;fy)-fy*(Es*(($O17+$P17*Geometry!$E$42:$E$59+$Q17*Geometry!$D$42:$D$59))&lt;-fy)-(alpha*fck*(1-(1-((($O17+$P17*Geometry!$E$42:$E$59+$Q17*Geometry!$D$42:$D$59))*(($O17+$P17*Geometry!$E$42:$E$59+$Q17*Geometry!$D$42:$D$59)&gt;0)*(($O17+$P17*Geometry!$E$42:$E$59+$Q17*Geometry!$D$42:$D$59)&lt;eco)+eco*(($O17+$P17*Geometry!$E$42:$E$59+$Q17*Geometry!$D$42:$D$59)&gt;=eco))/eco)^n)*((($O17+$P17*Geometry!$E$42:$E$59+$Q17*Geometry!$D$42:$D$59))&gt;0))),Geometry!$F$42:$F$59,Geometry!$D$42:$D$59))/1000000</f>
      </c>
      <c r="DA17" s="32">
        <f>(SUMPRODUCT(alpha*fck*(1-(1-((($R17+$S17*Mesh_Y+$T17*Mesh_X))*(($R17+$S17*Mesh_Y+$T17*Mesh_X)&gt;0)*(($R17+$S17*Mesh_Y+$T17*Mesh_X)&lt;eco)+eco*(($R17+$S17*Mesh_Y+$T17*Mesh_X)&gt;=eco))/eco)^n)*((($R17+$S17*Mesh_Y+$T17*Mesh_X))&gt;0),Mesh_A,Mesh_X)+SUMPRODUCT((Es*(($R17+$S17*Geometry!$E$42:$E$59+$T17*Geometry!$D$42:$D$59))*(ABS(Es*(($R17+$S17*Geometry!$E$42:$E$59+$T17*Geometry!$D$42:$D$59)))&lt;=fy)+fy*(Es*(($R17+$S17*Geometry!$E$42:$E$59+$T17*Geometry!$D$42:$D$59))&gt;fy)-fy*(Es*(($R17+$S17*Geometry!$E$42:$E$59+$T17*Geometry!$D$42:$D$59))&lt;-fy)-(alpha*fck*(1-(1-((($R17+$S17*Geometry!$E$42:$E$59+$T17*Geometry!$D$42:$D$59))*(($R17+$S17*Geometry!$E$42:$E$59+$T17*Geometry!$D$42:$D$59)&gt;0)*(($R17+$S17*Geometry!$E$42:$E$59+$T17*Geometry!$D$42:$D$59)&lt;eco)+eco*(($R17+$S17*Geometry!$E$42:$E$59+$T17*Geometry!$D$42:$D$59)&gt;=eco))/eco)^n)*((($R17+$S17*Geometry!$E$42:$E$59+$T17*Geometry!$D$42:$D$59))&gt;0))),Geometry!$F$42:$F$59,Geometry!$D$42:$D$59))/1000000</f>
      </c>
      <c r="DB17" s="32">
        <f>(SUMPRODUCT(alpha*fck*(1-(1-((($U17+$V17*Mesh_Y+$W17*Mesh_X))*(($U17+$V17*Mesh_Y+$W17*Mesh_X)&gt;0)*(($U17+$V17*Mesh_Y+$W17*Mesh_X)&lt;eco)+eco*(($U17+$V17*Mesh_Y+$W17*Mesh_X)&gt;=eco))/eco)^n)*((($U17+$V17*Mesh_Y+$W17*Mesh_X))&gt;0),Mesh_A,Mesh_X)+SUMPRODUCT((Es*(($U17+$V17*Geometry!$E$42:$E$59+$W17*Geometry!$D$42:$D$59))*(ABS(Es*(($U17+$V17*Geometry!$E$42:$E$59+$W17*Geometry!$D$42:$D$59)))&lt;=fy)+fy*(Es*(($U17+$V17*Geometry!$E$42:$E$59+$W17*Geometry!$D$42:$D$59))&gt;fy)-fy*(Es*(($U17+$V17*Geometry!$E$42:$E$59+$W17*Geometry!$D$42:$D$59))&lt;-fy)-(alpha*fck*(1-(1-((($U17+$V17*Geometry!$E$42:$E$59+$W17*Geometry!$D$42:$D$59))*(($U17+$V17*Geometry!$E$42:$E$59+$W17*Geometry!$D$42:$D$59)&gt;0)*(($U17+$V17*Geometry!$E$42:$E$59+$W17*Geometry!$D$42:$D$59)&lt;eco)+eco*(($U17+$V17*Geometry!$E$42:$E$59+$W17*Geometry!$D$42:$D$59)&gt;=eco))/eco)^n)*((($U17+$V17*Geometry!$E$42:$E$59+$W17*Geometry!$D$42:$D$59))&gt;0))),Geometry!$F$42:$F$59,Geometry!$D$42:$D$59))/1000000</f>
      </c>
      <c r="DC17" s="32">
        <f>(SUMPRODUCT(alpha*fck*(1-(1-((($X17+$Y17*Mesh_Y+$Z17*Mesh_X))*(($X17+$Y17*Mesh_Y+$Z17*Mesh_X)&gt;0)*(($X17+$Y17*Mesh_Y+$Z17*Mesh_X)&lt;eco)+eco*(($X17+$Y17*Mesh_Y+$Z17*Mesh_X)&gt;=eco))/eco)^n)*((($X17+$Y17*Mesh_Y+$Z17*Mesh_X))&gt;0),Mesh_A,Mesh_X)+SUMPRODUCT((Es*(($X17+$Y17*Geometry!$E$42:$E$59+$Z17*Geometry!$D$42:$D$59))*(ABS(Es*(($X17+$Y17*Geometry!$E$42:$E$59+$Z17*Geometry!$D$42:$D$59)))&lt;=fy)+fy*(Es*(($X17+$Y17*Geometry!$E$42:$E$59+$Z17*Geometry!$D$42:$D$59))&gt;fy)-fy*(Es*(($X17+$Y17*Geometry!$E$42:$E$59+$Z17*Geometry!$D$42:$D$59))&lt;-fy)-(alpha*fck*(1-(1-((($X17+$Y17*Geometry!$E$42:$E$59+$Z17*Geometry!$D$42:$D$59))*(($X17+$Y17*Geometry!$E$42:$E$59+$Z17*Geometry!$D$42:$D$59)&gt;0)*(($X17+$Y17*Geometry!$E$42:$E$59+$Z17*Geometry!$D$42:$D$59)&lt;eco)+eco*(($X17+$Y17*Geometry!$E$42:$E$59+$Z17*Geometry!$D$42:$D$59)&gt;=eco))/eco)^n)*((($X17+$Y17*Geometry!$E$42:$E$59+$Z17*Geometry!$D$42:$D$59))&gt;0))),Geometry!$F$42:$F$59,Geometry!$D$42:$D$59))/1000000</f>
      </c>
      <c r="DD17" s="32">
        <f>(SUMPRODUCT(alpha*fck*(1-(1-((($AA17+$AB17*Mesh_Y+$AC17*Mesh_X))*(($AA17+$AB17*Mesh_Y+$AC17*Mesh_X)&gt;0)*(($AA17+$AB17*Mesh_Y+$AC17*Mesh_X)&lt;eco)+eco*(($AA17+$AB17*Mesh_Y+$AC17*Mesh_X)&gt;=eco))/eco)^n)*((($AA17+$AB17*Mesh_Y+$AC17*Mesh_X))&gt;0),Mesh_A,Mesh_X)+SUMPRODUCT((Es*(($AA17+$AB17*Geometry!$E$42:$E$59+$AC17*Geometry!$D$42:$D$59))*(ABS(Es*(($AA17+$AB17*Geometry!$E$42:$E$59+$AC17*Geometry!$D$42:$D$59)))&lt;=fy)+fy*(Es*(($AA17+$AB17*Geometry!$E$42:$E$59+$AC17*Geometry!$D$42:$D$59))&gt;fy)-fy*(Es*(($AA17+$AB17*Geometry!$E$42:$E$59+$AC17*Geometry!$D$42:$D$59))&lt;-fy)-(alpha*fck*(1-(1-((($AA17+$AB17*Geometry!$E$42:$E$59+$AC17*Geometry!$D$42:$D$59))*(($AA17+$AB17*Geometry!$E$42:$E$59+$AC17*Geometry!$D$42:$D$59)&gt;0)*(($AA17+$AB17*Geometry!$E$42:$E$59+$AC17*Geometry!$D$42:$D$59)&lt;eco)+eco*(($AA17+$AB17*Geometry!$E$42:$E$59+$AC17*Geometry!$D$42:$D$59)&gt;=eco))/eco)^n)*((($AA17+$AB17*Geometry!$E$42:$E$59+$AC17*Geometry!$D$42:$D$59))&gt;0))),Geometry!$F$42:$F$59,Geometry!$D$42:$D$59))/1000000</f>
      </c>
      <c r="DE17" s="32">
        <f>(SUMPRODUCT(alpha*fck*(1-(1-((($AD17+$AE17*Mesh_Y+$AF17*Mesh_X))*(($AD17+$AE17*Mesh_Y+$AF17*Mesh_X)&gt;0)*(($AD17+$AE17*Mesh_Y+$AF17*Mesh_X)&lt;eco)+eco*(($AD17+$AE17*Mesh_Y+$AF17*Mesh_X)&gt;=eco))/eco)^n)*((($AD17+$AE17*Mesh_Y+$AF17*Mesh_X))&gt;0),Mesh_A,Mesh_X)+SUMPRODUCT((Es*(($AD17+$AE17*Geometry!$E$42:$E$59+$AF17*Geometry!$D$42:$D$59))*(ABS(Es*(($AD17+$AE17*Geometry!$E$42:$E$59+$AF17*Geometry!$D$42:$D$59)))&lt;=fy)+fy*(Es*(($AD17+$AE17*Geometry!$E$42:$E$59+$AF17*Geometry!$D$42:$D$59))&gt;fy)-fy*(Es*(($AD17+$AE17*Geometry!$E$42:$E$59+$AF17*Geometry!$D$42:$D$59))&lt;-fy)-(alpha*fck*(1-(1-((($AD17+$AE17*Geometry!$E$42:$E$59+$AF17*Geometry!$D$42:$D$59))*(($AD17+$AE17*Geometry!$E$42:$E$59+$AF17*Geometry!$D$42:$D$59)&gt;0)*(($AD17+$AE17*Geometry!$E$42:$E$59+$AF17*Geometry!$D$42:$D$59)&lt;eco)+eco*(($AD17+$AE17*Geometry!$E$42:$E$59+$AF17*Geometry!$D$42:$D$59)&gt;=eco))/eco)^n)*((($AD17+$AE17*Geometry!$E$42:$E$59+$AF17*Geometry!$D$42:$D$59))&gt;0))),Geometry!$F$42:$F$59,Geometry!$D$42:$D$59))/1000000</f>
      </c>
      <c r="DF17" s="32">
        <f>(SUMPRODUCT(alpha*fck*(1-(1-((($AG17+$AH17*Mesh_Y+$AI17*Mesh_X))*(($AG17+$AH17*Mesh_Y+$AI17*Mesh_X)&gt;0)*(($AG17+$AH17*Mesh_Y+$AI17*Mesh_X)&lt;eco)+eco*(($AG17+$AH17*Mesh_Y+$AI17*Mesh_X)&gt;=eco))/eco)^n)*((($AG17+$AH17*Mesh_Y+$AI17*Mesh_X))&gt;0),Mesh_A,Mesh_X)+SUMPRODUCT((Es*(($AG17+$AH17*Geometry!$E$42:$E$59+$AI17*Geometry!$D$42:$D$59))*(ABS(Es*(($AG17+$AH17*Geometry!$E$42:$E$59+$AI17*Geometry!$D$42:$D$59)))&lt;=fy)+fy*(Es*(($AG17+$AH17*Geometry!$E$42:$E$59+$AI17*Geometry!$D$42:$D$59))&gt;fy)-fy*(Es*(($AG17+$AH17*Geometry!$E$42:$E$59+$AI17*Geometry!$D$42:$D$59))&lt;-fy)-(alpha*fck*(1-(1-((($AG17+$AH17*Geometry!$E$42:$E$59+$AI17*Geometry!$D$42:$D$59))*(($AG17+$AH17*Geometry!$E$42:$E$59+$AI17*Geometry!$D$42:$D$59)&gt;0)*(($AG17+$AH17*Geometry!$E$42:$E$59+$AI17*Geometry!$D$42:$D$59)&lt;eco)+eco*(($AG17+$AH17*Geometry!$E$42:$E$59+$AI17*Geometry!$D$42:$D$59)&gt;=eco))/eco)^n)*((($AG17+$AH17*Geometry!$E$42:$E$59+$AI17*Geometry!$D$42:$D$59))&gt;0))),Geometry!$F$42:$F$59,Geometry!$D$42:$D$59))/1000000</f>
      </c>
      <c r="DG17" s="32">
        <f>(SUMPRODUCT(alpha*fck*(1-(1-((($AJ17+$AK17*Mesh_Y+$AL17*Mesh_X))*(($AJ17+$AK17*Mesh_Y+$AL17*Mesh_X)&gt;0)*(($AJ17+$AK17*Mesh_Y+$AL17*Mesh_X)&lt;eco)+eco*(($AJ17+$AK17*Mesh_Y+$AL17*Mesh_X)&gt;=eco))/eco)^n)*((($AJ17+$AK17*Mesh_Y+$AL17*Mesh_X))&gt;0),Mesh_A,Mesh_X)+SUMPRODUCT((Es*(($AJ17+$AK17*Geometry!$E$42:$E$59+$AL17*Geometry!$D$42:$D$59))*(ABS(Es*(($AJ17+$AK17*Geometry!$E$42:$E$59+$AL17*Geometry!$D$42:$D$59)))&lt;=fy)+fy*(Es*(($AJ17+$AK17*Geometry!$E$42:$E$59+$AL17*Geometry!$D$42:$D$59))&gt;fy)-fy*(Es*(($AJ17+$AK17*Geometry!$E$42:$E$59+$AL17*Geometry!$D$42:$D$59))&lt;-fy)-(alpha*fck*(1-(1-((($AJ17+$AK17*Geometry!$E$42:$E$59+$AL17*Geometry!$D$42:$D$59))*(($AJ17+$AK17*Geometry!$E$42:$E$59+$AL17*Geometry!$D$42:$D$59)&gt;0)*(($AJ17+$AK17*Geometry!$E$42:$E$59+$AL17*Geometry!$D$42:$D$59)&lt;eco)+eco*(($AJ17+$AK17*Geometry!$E$42:$E$59+$AL17*Geometry!$D$42:$D$59)&gt;=eco))/eco)^n)*((($AJ17+$AK17*Geometry!$E$42:$E$59+$AL17*Geometry!$D$42:$D$59))&gt;0))),Geometry!$F$42:$F$59,Geometry!$D$42:$D$59))/1000000</f>
      </c>
      <c r="DH17" s="32">
        <f>(SUMPRODUCT(alpha*fck*(1-(1-((($AM17+$AN17*Mesh_Y+$AO17*Mesh_X))*(($AM17+$AN17*Mesh_Y+$AO17*Mesh_X)&gt;0)*(($AM17+$AN17*Mesh_Y+$AO17*Mesh_X)&lt;eco)+eco*(($AM17+$AN17*Mesh_Y+$AO17*Mesh_X)&gt;=eco))/eco)^n)*((($AM17+$AN17*Mesh_Y+$AO17*Mesh_X))&gt;0),Mesh_A,Mesh_X)+SUMPRODUCT((Es*(($AM17+$AN17*Geometry!$E$42:$E$59+$AO17*Geometry!$D$42:$D$59))*(ABS(Es*(($AM17+$AN17*Geometry!$E$42:$E$59+$AO17*Geometry!$D$42:$D$59)))&lt;=fy)+fy*(Es*(($AM17+$AN17*Geometry!$E$42:$E$59+$AO17*Geometry!$D$42:$D$59))&gt;fy)-fy*(Es*(($AM17+$AN17*Geometry!$E$42:$E$59+$AO17*Geometry!$D$42:$D$59))&lt;-fy)-(alpha*fck*(1-(1-((($AM17+$AN17*Geometry!$E$42:$E$59+$AO17*Geometry!$D$42:$D$59))*(($AM17+$AN17*Geometry!$E$42:$E$59+$AO17*Geometry!$D$42:$D$59)&gt;0)*(($AM17+$AN17*Geometry!$E$42:$E$59+$AO17*Geometry!$D$42:$D$59)&lt;eco)+eco*(($AM17+$AN17*Geometry!$E$42:$E$59+$AO17*Geometry!$D$42:$D$59)&gt;=eco))/eco)^n)*((($AM17+$AN17*Geometry!$E$42:$E$59+$AO17*Geometry!$D$42:$D$59))&gt;0))),Geometry!$F$42:$F$59,Geometry!$D$42:$D$59))/1000000</f>
      </c>
      <c r="DI17" s="32">
        <f>(SUMPRODUCT(alpha*fck*(1-(1-((($AP17+$AQ17*Mesh_Y+$AR17*Mesh_X))*(($AP17+$AQ17*Mesh_Y+$AR17*Mesh_X)&gt;0)*(($AP17+$AQ17*Mesh_Y+$AR17*Mesh_X)&lt;eco)+eco*(($AP17+$AQ17*Mesh_Y+$AR17*Mesh_X)&gt;=eco))/eco)^n)*((($AP17+$AQ17*Mesh_Y+$AR17*Mesh_X))&gt;0),Mesh_A,Mesh_X)+SUMPRODUCT((Es*(($AP17+$AQ17*Geometry!$E$42:$E$59+$AR17*Geometry!$D$42:$D$59))*(ABS(Es*(($AP17+$AQ17*Geometry!$E$42:$E$59+$AR17*Geometry!$D$42:$D$59)))&lt;=fy)+fy*(Es*(($AP17+$AQ17*Geometry!$E$42:$E$59+$AR17*Geometry!$D$42:$D$59))&gt;fy)-fy*(Es*(($AP17+$AQ17*Geometry!$E$42:$E$59+$AR17*Geometry!$D$42:$D$59))&lt;-fy)-(alpha*fck*(1-(1-((($AP17+$AQ17*Geometry!$E$42:$E$59+$AR17*Geometry!$D$42:$D$59))*(($AP17+$AQ17*Geometry!$E$42:$E$59+$AR17*Geometry!$D$42:$D$59)&gt;0)*(($AP17+$AQ17*Geometry!$E$42:$E$59+$AR17*Geometry!$D$42:$D$59)&lt;eco)+eco*(($AP17+$AQ17*Geometry!$E$42:$E$59+$AR17*Geometry!$D$42:$D$59)&gt;=eco))/eco)^n)*((($AP17+$AQ17*Geometry!$E$42:$E$59+$AR17*Geometry!$D$42:$D$59))&gt;0))),Geometry!$F$42:$F$59,Geometry!$D$42:$D$59))/1000000</f>
      </c>
      <c r="DJ17" s="32">
        <f>(SUMPRODUCT(alpha*fck*(1-(1-((($AS17+$AT17*Mesh_Y+$AU17*Mesh_X))*(($AS17+$AT17*Mesh_Y+$AU17*Mesh_X)&gt;0)*(($AS17+$AT17*Mesh_Y+$AU17*Mesh_X)&lt;eco)+eco*(($AS17+$AT17*Mesh_Y+$AU17*Mesh_X)&gt;=eco))/eco)^n)*((($AS17+$AT17*Mesh_Y+$AU17*Mesh_X))&gt;0),Mesh_A,Mesh_X)+SUMPRODUCT((Es*(($AS17+$AT17*Geometry!$E$42:$E$59+$AU17*Geometry!$D$42:$D$59))*(ABS(Es*(($AS17+$AT17*Geometry!$E$42:$E$59+$AU17*Geometry!$D$42:$D$59)))&lt;=fy)+fy*(Es*(($AS17+$AT17*Geometry!$E$42:$E$59+$AU17*Geometry!$D$42:$D$59))&gt;fy)-fy*(Es*(($AS17+$AT17*Geometry!$E$42:$E$59+$AU17*Geometry!$D$42:$D$59))&lt;-fy)-(alpha*fck*(1-(1-((($AS17+$AT17*Geometry!$E$42:$E$59+$AU17*Geometry!$D$42:$D$59))*(($AS17+$AT17*Geometry!$E$42:$E$59+$AU17*Geometry!$D$42:$D$59)&gt;0)*(($AS17+$AT17*Geometry!$E$42:$E$59+$AU17*Geometry!$D$42:$D$59)&lt;eco)+eco*(($AS17+$AT17*Geometry!$E$42:$E$59+$AU17*Geometry!$D$42:$D$59)&gt;=eco))/eco)^n)*((($AS17+$AT17*Geometry!$E$42:$E$59+$AU17*Geometry!$D$42:$D$59))&gt;0))),Geometry!$F$42:$F$59,Geometry!$D$42:$D$59))/1000000</f>
      </c>
      <c r="DK17" s="32">
        <f>(SUMPRODUCT(alpha*fck*(1-(1-((($AV17+$AW17*Mesh_Y+$AX17*Mesh_X))*(($AV17+$AW17*Mesh_Y+$AX17*Mesh_X)&gt;0)*(($AV17+$AW17*Mesh_Y+$AX17*Mesh_X)&lt;eco)+eco*(($AV17+$AW17*Mesh_Y+$AX17*Mesh_X)&gt;=eco))/eco)^n)*((($AV17+$AW17*Mesh_Y+$AX17*Mesh_X))&gt;0),Mesh_A,Mesh_X)+SUMPRODUCT((Es*(($AV17+$AW17*Geometry!$E$42:$E$59+$AX17*Geometry!$D$42:$D$59))*(ABS(Es*(($AV17+$AW17*Geometry!$E$42:$E$59+$AX17*Geometry!$D$42:$D$59)))&lt;=fy)+fy*(Es*(($AV17+$AW17*Geometry!$E$42:$E$59+$AX17*Geometry!$D$42:$D$59))&gt;fy)-fy*(Es*(($AV17+$AW17*Geometry!$E$42:$E$59+$AX17*Geometry!$D$42:$D$59))&lt;-fy)-(alpha*fck*(1-(1-((($AV17+$AW17*Geometry!$E$42:$E$59+$AX17*Geometry!$D$42:$D$59))*(($AV17+$AW17*Geometry!$E$42:$E$59+$AX17*Geometry!$D$42:$D$59)&gt;0)*(($AV17+$AW17*Geometry!$E$42:$E$59+$AX17*Geometry!$D$42:$D$59)&lt;eco)+eco*(($AV17+$AW17*Geometry!$E$42:$E$59+$AX17*Geometry!$D$42:$D$59)&gt;=eco))/eco)^n)*((($AV17+$AW17*Geometry!$E$42:$E$59+$AX17*Geometry!$D$42:$D$59))&gt;0))),Geometry!$F$42:$F$59,Geometry!$D$42:$D$59))/1000000</f>
      </c>
      <c r="DL17" s="32">
        <f>(SUMPRODUCT(alpha*fck*(1-(1-((($AY17+$AZ17*Mesh_Y+$BA17*Mesh_X))*(($AY17+$AZ17*Mesh_Y+$BA17*Mesh_X)&gt;0)*(($AY17+$AZ17*Mesh_Y+$BA17*Mesh_X)&lt;eco)+eco*(($AY17+$AZ17*Mesh_Y+$BA17*Mesh_X)&gt;=eco))/eco)^n)*((($AY17+$AZ17*Mesh_Y+$BA17*Mesh_X))&gt;0),Mesh_A,Mesh_X)+SUMPRODUCT((Es*(($AY17+$AZ17*Geometry!$E$42:$E$59+$BA17*Geometry!$D$42:$D$59))*(ABS(Es*(($AY17+$AZ17*Geometry!$E$42:$E$59+$BA17*Geometry!$D$42:$D$59)))&lt;=fy)+fy*(Es*(($AY17+$AZ17*Geometry!$E$42:$E$59+$BA17*Geometry!$D$42:$D$59))&gt;fy)-fy*(Es*(($AY17+$AZ17*Geometry!$E$42:$E$59+$BA17*Geometry!$D$42:$D$59))&lt;-fy)-(alpha*fck*(1-(1-((($AY17+$AZ17*Geometry!$E$42:$E$59+$BA17*Geometry!$D$42:$D$59))*(($AY17+$AZ17*Geometry!$E$42:$E$59+$BA17*Geometry!$D$42:$D$59)&gt;0)*(($AY17+$AZ17*Geometry!$E$42:$E$59+$BA17*Geometry!$D$42:$D$59)&lt;eco)+eco*(($AY17+$AZ17*Geometry!$E$42:$E$59+$BA17*Geometry!$D$42:$D$59)&gt;=eco))/eco)^n)*((($AY17+$AZ17*Geometry!$E$42:$E$59+$BA17*Geometry!$D$42:$D$59))&gt;0))),Geometry!$F$42:$F$59,Geometry!$D$42:$D$59))/1000000</f>
      </c>
      <c r="DM17" s="32">
        <f>(SUMPRODUCT(alpha*fck*(1-(1-((($BB17+$BC17*Mesh_Y+$BD17*Mesh_X))*(($BB17+$BC17*Mesh_Y+$BD17*Mesh_X)&gt;0)*(($BB17+$BC17*Mesh_Y+$BD17*Mesh_X)&lt;eco)+eco*(($BB17+$BC17*Mesh_Y+$BD17*Mesh_X)&gt;=eco))/eco)^n)*((($BB17+$BC17*Mesh_Y+$BD17*Mesh_X))&gt;0),Mesh_A,Mesh_X)+SUMPRODUCT((Es*(($BB17+$BC17*Geometry!$E$42:$E$59+$BD17*Geometry!$D$42:$D$59))*(ABS(Es*(($BB17+$BC17*Geometry!$E$42:$E$59+$BD17*Geometry!$D$42:$D$59)))&lt;=fy)+fy*(Es*(($BB17+$BC17*Geometry!$E$42:$E$59+$BD17*Geometry!$D$42:$D$59))&gt;fy)-fy*(Es*(($BB17+$BC17*Geometry!$E$42:$E$59+$BD17*Geometry!$D$42:$D$59))&lt;-fy)-(alpha*fck*(1-(1-((($BB17+$BC17*Geometry!$E$42:$E$59+$BD17*Geometry!$D$42:$D$59))*(($BB17+$BC17*Geometry!$E$42:$E$59+$BD17*Geometry!$D$42:$D$59)&gt;0)*(($BB17+$BC17*Geometry!$E$42:$E$59+$BD17*Geometry!$D$42:$D$59)&lt;eco)+eco*(($BB17+$BC17*Geometry!$E$42:$E$59+$BD17*Geometry!$D$42:$D$59)&gt;=eco))/eco)^n)*((($BB17+$BC17*Geometry!$E$42:$E$59+$BD17*Geometry!$D$42:$D$59))&gt;0))),Geometry!$F$42:$F$59,Geometry!$D$42:$D$59))/1000000</f>
      </c>
      <c r="DN17" s="32">
        <f>(SUMPRODUCT(alpha*fck*(1-(1-((($BE17+$BF17*Mesh_Y+$BG17*Mesh_X))*(($BE17+$BF17*Mesh_Y+$BG17*Mesh_X)&gt;0)*(($BE17+$BF17*Mesh_Y+$BG17*Mesh_X)&lt;eco)+eco*(($BE17+$BF17*Mesh_Y+$BG17*Mesh_X)&gt;=eco))/eco)^n)*((($BE17+$BF17*Mesh_Y+$BG17*Mesh_X))&gt;0),Mesh_A,Mesh_X)+SUMPRODUCT((Es*(($BE17+$BF17*Geometry!$E$42:$E$59+$BG17*Geometry!$D$42:$D$59))*(ABS(Es*(($BE17+$BF17*Geometry!$E$42:$E$59+$BG17*Geometry!$D$42:$D$59)))&lt;=fy)+fy*(Es*(($BE17+$BF17*Geometry!$E$42:$E$59+$BG17*Geometry!$D$42:$D$59))&gt;fy)-fy*(Es*(($BE17+$BF17*Geometry!$E$42:$E$59+$BG17*Geometry!$D$42:$D$59))&lt;-fy)-(alpha*fck*(1-(1-((($BE17+$BF17*Geometry!$E$42:$E$59+$BG17*Geometry!$D$42:$D$59))*(($BE17+$BF17*Geometry!$E$42:$E$59+$BG17*Geometry!$D$42:$D$59)&gt;0)*(($BE17+$BF17*Geometry!$E$42:$E$59+$BG17*Geometry!$D$42:$D$59)&lt;eco)+eco*(($BE17+$BF17*Geometry!$E$42:$E$59+$BG17*Geometry!$D$42:$D$59)&gt;=eco))/eco)^n)*((($BE17+$BF17*Geometry!$E$42:$E$59+$BG17*Geometry!$D$42:$D$59))&gt;0))),Geometry!$F$42:$F$59,Geometry!$D$42:$D$59))/1000000</f>
      </c>
      <c r="DO17" s="32">
        <f>(SUMPRODUCT(alpha*fck*(1-(1-((($BH17+$BI17*Mesh_Y+$BJ17*Mesh_X))*(($BH17+$BI17*Mesh_Y+$BJ17*Mesh_X)&gt;0)*(($BH17+$BI17*Mesh_Y+$BJ17*Mesh_X)&lt;eco)+eco*(($BH17+$BI17*Mesh_Y+$BJ17*Mesh_X)&gt;=eco))/eco)^n)*((($BH17+$BI17*Mesh_Y+$BJ17*Mesh_X))&gt;0),Mesh_A,Mesh_X)+SUMPRODUCT((Es*(($BH17+$BI17*Geometry!$E$42:$E$59+$BJ17*Geometry!$D$42:$D$59))*(ABS(Es*(($BH17+$BI17*Geometry!$E$42:$E$59+$BJ17*Geometry!$D$42:$D$59)))&lt;=fy)+fy*(Es*(($BH17+$BI17*Geometry!$E$42:$E$59+$BJ17*Geometry!$D$42:$D$59))&gt;fy)-fy*(Es*(($BH17+$BI17*Geometry!$E$42:$E$59+$BJ17*Geometry!$D$42:$D$59))&lt;-fy)-(alpha*fck*(1-(1-((($BH17+$BI17*Geometry!$E$42:$E$59+$BJ17*Geometry!$D$42:$D$59))*(($BH17+$BI17*Geometry!$E$42:$E$59+$BJ17*Geometry!$D$42:$D$59)&gt;0)*(($BH17+$BI17*Geometry!$E$42:$E$59+$BJ17*Geometry!$D$42:$D$59)&lt;eco)+eco*(($BH17+$BI17*Geometry!$E$42:$E$59+$BJ17*Geometry!$D$42:$D$59)&gt;=eco))/eco)^n)*((($BH17+$BI17*Geometry!$E$42:$E$59+$BJ17*Geometry!$D$42:$D$59))&gt;0))),Geometry!$F$42:$F$59,Geometry!$D$42:$D$59))/1000000</f>
      </c>
      <c r="DP17" s="45">
        <f>MAX(1,MIN(18,SUMPRODUCT(--($BK17:$CC17&gt;=Pu))))</f>
      </c>
      <c r="DQ17" s="46">
        <f>(Pu-INDEX($BK17:$CC17,1,$DP17))/(INDEX($BK17:$CC17,1,$DP17+1)-INDEX($BK17:$CC17,1,$DP17))</f>
      </c>
      <c r="DR17" s="33">
        <f>INDEX($CD17:$CV17,1,$DP17)+$DQ17*(INDEX($CD17:$CV17,1,$DP17+1)-INDEX($CD17:$CV17,1,$DP17))</f>
      </c>
      <c r="DS17" s="33">
        <f>INDEX($CW17:$DO17,1,$DP17)+$DQ17*(INDEX($CW17:$DO17,1,$DP17+1)-INDEX($CW17:$DO17,1,$DP17))</f>
      </c>
      <c r="DT17" s="33">
        <f>SQRT(DR17^2+DS17^2)</f>
      </c>
    </row>
    <row r="18" spans="1:124" x14ac:dyDescent="0.25">
      <c r="A18">
        <v>11</v>
      </c>
      <c r="B18" s="43">
        <v>150</v>
      </c>
      <c r="C18" s="12">
        <f>MAX(SUMPRODUCT(MAX((Geometry!$E$6:$E$13)*COS(RADIANS($B18))+(Geometry!$D$6:$D$13)*SIN(RADIANS($B18)))))</f>
      </c>
      <c r="D18" s="12">
        <f>SUMPRODUCT(MIN((Geometry!$E$42:$E$59)*COS(RADIANS($B18))+(Geometry!$D$42:$D$59)*SIN(RADIANS($B18))))</f>
      </c>
      <c r="E18" s="12">
        <f>C18-D18</f>
      </c>
      <c r="F18" s="30">
        <f>ecu</f>
      </c>
      <c r="G18" s="44">
        <f>0*COS(RADIANS($B18))</f>
      </c>
      <c r="H18" s="44">
        <f>0*SIN(RADIANS($B18))</f>
      </c>
      <c r="I18" s="30">
        <f>ecu-((ecu-0)/($C18-($C18-PM_Angle!$C$8*$E18)))*$C18</f>
      </c>
      <c r="J18" s="44">
        <f>((ecu-0)/($C18-($C18-PM_Angle!$C$8*$E18)))*COS(RADIANS($B18))</f>
      </c>
      <c r="K18" s="44">
        <f>((ecu-0)/($C18-($C18-PM_Angle!$C$8*$E18)))*SIN(RADIANS($B18))</f>
      </c>
      <c r="L18" s="30">
        <f>ecu-((ecu-0)/($C18-($C18-PM_Angle!$C$9*$E18)))*$C18</f>
      </c>
      <c r="M18" s="44">
        <f>((ecu-0)/($C18-($C18-PM_Angle!$C$9*$E18)))*COS(RADIANS($B18))</f>
      </c>
      <c r="N18" s="44">
        <f>((ecu-0)/($C18-($C18-PM_Angle!$C$9*$E18)))*SIN(RADIANS($B18))</f>
      </c>
      <c r="O18" s="30">
        <f>ecu-((ecu-0)/($C18-($C18-PM_Angle!$C$10*$E18)))*$C18</f>
      </c>
      <c r="P18" s="44">
        <f>((ecu-0)/($C18-($C18-PM_Angle!$C$10*$E18)))*COS(RADIANS($B18))</f>
      </c>
      <c r="Q18" s="44">
        <f>((ecu-0)/($C18-($C18-PM_Angle!$C$10*$E18)))*SIN(RADIANS($B18))</f>
      </c>
      <c r="R18" s="30">
        <f>ecu-((ecu-0)/($C18-($C18-PM_Angle!$C$11*$E18)))*$C18</f>
      </c>
      <c r="S18" s="44">
        <f>((ecu-0)/($C18-($C18-PM_Angle!$C$11*$E18)))*COS(RADIANS($B18))</f>
      </c>
      <c r="T18" s="44">
        <f>((ecu-0)/($C18-($C18-PM_Angle!$C$11*$E18)))*SIN(RADIANS($B18))</f>
      </c>
      <c r="U18" s="30">
        <f>ecu-((ecu-(-PM_Angle!$E$12))/($C18-$D18))*$C18</f>
      </c>
      <c r="V18" s="44">
        <f>((ecu-(-PM_Angle!$E$12))/($C18-$D18))*COS(RADIANS($B18))</f>
      </c>
      <c r="W18" s="44">
        <f>((ecu-(-PM_Angle!$E$12))/($C18-$D18))*SIN(RADIANS($B18))</f>
      </c>
      <c r="X18" s="30">
        <f>ecu-((ecu-(-PM_Angle!$D$13*fy/Es))/($C18-$D18))*$C18</f>
      </c>
      <c r="Y18" s="44">
        <f>((ecu-(-PM_Angle!$D$13*fy/Es))/($C18-$D18))*COS(RADIANS($B18))</f>
      </c>
      <c r="Z18" s="44">
        <f>((ecu-(-PM_Angle!$D$13*fy/Es))/($C18-$D18))*SIN(RADIANS($B18))</f>
      </c>
      <c r="AA18" s="30">
        <f>ecu-((ecu-(-PM_Angle!$D$14*fy/Es))/($C18-$D18))*$C18</f>
      </c>
      <c r="AB18" s="44">
        <f>((ecu-(-PM_Angle!$D$14*fy/Es))/($C18-$D18))*COS(RADIANS($B18))</f>
      </c>
      <c r="AC18" s="44">
        <f>((ecu-(-PM_Angle!$D$14*fy/Es))/($C18-$D18))*SIN(RADIANS($B18))</f>
      </c>
      <c r="AD18" s="30">
        <f>ecu-((ecu-(-PM_Angle!$D$15*fy/Es))/($C18-$D18))*$C18</f>
      </c>
      <c r="AE18" s="44">
        <f>((ecu-(-PM_Angle!$D$15*fy/Es))/($C18-$D18))*COS(RADIANS($B18))</f>
      </c>
      <c r="AF18" s="44">
        <f>((ecu-(-PM_Angle!$D$15*fy/Es))/($C18-$D18))*SIN(RADIANS($B18))</f>
      </c>
      <c r="AG18" s="30">
        <f>ecu-((ecu-(-PM_Angle!$D$16*fy/Es))/($C18-$D18))*$C18</f>
      </c>
      <c r="AH18" s="44">
        <f>((ecu-(-PM_Angle!$D$16*fy/Es))/($C18-$D18))*COS(RADIANS($B18))</f>
      </c>
      <c r="AI18" s="44">
        <f>((ecu-(-PM_Angle!$D$16*fy/Es))/($C18-$D18))*SIN(RADIANS($B18))</f>
      </c>
      <c r="AJ18" s="30">
        <f>ecu-((ecu-(-PM_Angle!$E$17))/($C18-$D18))*$C18</f>
      </c>
      <c r="AK18" s="44">
        <f>((ecu-(-PM_Angle!$E$17))/($C18-$D18))*COS(RADIANS($B18))</f>
      </c>
      <c r="AL18" s="44">
        <f>((ecu-(-PM_Angle!$E$17))/($C18-$D18))*SIN(RADIANS($B18))</f>
      </c>
      <c r="AM18" s="30">
        <f>ecu-((ecu-(-PM_Angle!$E$18))/($C18-$D18))*$C18</f>
      </c>
      <c r="AN18" s="44">
        <f>((ecu-(-PM_Angle!$E$18))/($C18-$D18))*COS(RADIANS($B18))</f>
      </c>
      <c r="AO18" s="44">
        <f>((ecu-(-PM_Angle!$E$18))/($C18-$D18))*SIN(RADIANS($B18))</f>
      </c>
      <c r="AP18" s="30">
        <f>ecu-((ecu-(-PM_Angle!$E$19))/($C18-$D18))*$C18</f>
      </c>
      <c r="AQ18" s="44">
        <f>((ecu-(-PM_Angle!$E$19))/($C18-$D18))*COS(RADIANS($B18))</f>
      </c>
      <c r="AR18" s="44">
        <f>((ecu-(-PM_Angle!$E$19))/($C18-$D18))*SIN(RADIANS($B18))</f>
      </c>
      <c r="AS18" s="30">
        <f>ecu-((ecu-(-PM_Angle!$E$20))/($C18-$D18))*$C18</f>
      </c>
      <c r="AT18" s="44">
        <f>((ecu-(-PM_Angle!$E$20))/($C18-$D18))*COS(RADIANS($B18))</f>
      </c>
      <c r="AU18" s="44">
        <f>((ecu-(-PM_Angle!$E$20))/($C18-$D18))*SIN(RADIANS($B18))</f>
      </c>
      <c r="AV18" s="30">
        <f>ecu-((ecu-(-PM_Angle!$E$21))/($C18-$D18))*$C18</f>
      </c>
      <c r="AW18" s="44">
        <f>((ecu-(-PM_Angle!$E$21))/($C18-$D18))*COS(RADIANS($B18))</f>
      </c>
      <c r="AX18" s="44">
        <f>((ecu-(-PM_Angle!$E$21))/($C18-$D18))*SIN(RADIANS($B18))</f>
      </c>
      <c r="AY18" s="30">
        <f>ecu-((ecu-(-PM_Angle!$E$22))/($C18-$D18))*$C18</f>
      </c>
      <c r="AZ18" s="44">
        <f>((ecu-(-PM_Angle!$E$22))/($C18-$D18))*COS(RADIANS($B18))</f>
      </c>
      <c r="BA18" s="44">
        <f>((ecu-(-PM_Angle!$E$22))/($C18-$D18))*SIN(RADIANS($B18))</f>
      </c>
      <c r="BB18" s="30">
        <f>ecu-((ecu-(-PM_Angle!$E$23))/($C18-$D18))*$C18</f>
      </c>
      <c r="BC18" s="44">
        <f>((ecu-(-PM_Angle!$E$23))/($C18-$D18))*COS(RADIANS($B18))</f>
      </c>
      <c r="BD18" s="44">
        <f>((ecu-(-PM_Angle!$E$23))/($C18-$D18))*SIN(RADIANS($B18))</f>
      </c>
      <c r="BE18" s="30">
        <f>ecu-((ecu-(-PM_Angle!$E$24))/($C18-$D18))*$C18</f>
      </c>
      <c r="BF18" s="44">
        <f>((ecu-(-PM_Angle!$E$24))/($C18-$D18))*COS(RADIANS($B18))</f>
      </c>
      <c r="BG18" s="44">
        <f>((ecu-(-PM_Angle!$E$24))/($C18-$D18))*SIN(RADIANS($B18))</f>
      </c>
      <c r="BH18" s="30">
        <f>etu</f>
      </c>
      <c r="BI18" s="44">
        <f>0*COS(RADIANS($B18))</f>
      </c>
      <c r="BJ18" s="44">
        <f>0*SIN(RADIANS($B18))</f>
      </c>
      <c r="BK18" s="32">
        <f>(SUMPRODUCT(alpha*fck*(1-(1-((($F18+$G18*Mesh_Y+$H18*Mesh_X))*(($F18+$G18*Mesh_Y+$H18*Mesh_X)&gt;0)*(($F18+$G18*Mesh_Y+$H18*Mesh_X)&lt;eco)+eco*(($F18+$G18*Mesh_Y+$H18*Mesh_X)&gt;=eco))/eco)^n)*((($F18+$G18*Mesh_Y+$H18*Mesh_X))&gt;0),Mesh_A)+SUMPRODUCT((Es*(($F18+$G18*Geometry!$E$42:$E$59+$H18*Geometry!$D$42:$D$59))*(ABS(Es*(($F18+$G18*Geometry!$E$42:$E$59+$H18*Geometry!$D$42:$D$59)))&lt;=fy)+fy*(Es*(($F18+$G18*Geometry!$E$42:$E$59+$H18*Geometry!$D$42:$D$59))&gt;fy)-fy*(Es*(($F18+$G18*Geometry!$E$42:$E$59+$H18*Geometry!$D$42:$D$59))&lt;-fy)-(alpha*fck*(1-(1-((($F18+$G18*Geometry!$E$42:$E$59+$H18*Geometry!$D$42:$D$59))*(($F18+$G18*Geometry!$E$42:$E$59+$H18*Geometry!$D$42:$D$59)&gt;0)*(($F18+$G18*Geometry!$E$42:$E$59+$H18*Geometry!$D$42:$D$59)&lt;eco)+eco*(($F18+$G18*Geometry!$E$42:$E$59+$H18*Geometry!$D$42:$D$59)&gt;=eco))/eco)^n)*((($F18+$G18*Geometry!$E$42:$E$59+$H18*Geometry!$D$42:$D$59))&gt;0))),Geometry!$F$42:$F$59))/1000</f>
      </c>
      <c r="BL18" s="32">
        <f>(SUMPRODUCT(alpha*fck*(1-(1-((($I18+$J18*Mesh_Y+$K18*Mesh_X))*(($I18+$J18*Mesh_Y+$K18*Mesh_X)&gt;0)*(($I18+$J18*Mesh_Y+$K18*Mesh_X)&lt;eco)+eco*(($I18+$J18*Mesh_Y+$K18*Mesh_X)&gt;=eco))/eco)^n)*((($I18+$J18*Mesh_Y+$K18*Mesh_X))&gt;0),Mesh_A)+SUMPRODUCT((Es*(($I18+$J18*Geometry!$E$42:$E$59+$K18*Geometry!$D$42:$D$59))*(ABS(Es*(($I18+$J18*Geometry!$E$42:$E$59+$K18*Geometry!$D$42:$D$59)))&lt;=fy)+fy*(Es*(($I18+$J18*Geometry!$E$42:$E$59+$K18*Geometry!$D$42:$D$59))&gt;fy)-fy*(Es*(($I18+$J18*Geometry!$E$42:$E$59+$K18*Geometry!$D$42:$D$59))&lt;-fy)-(alpha*fck*(1-(1-((($I18+$J18*Geometry!$E$42:$E$59+$K18*Geometry!$D$42:$D$59))*(($I18+$J18*Geometry!$E$42:$E$59+$K18*Geometry!$D$42:$D$59)&gt;0)*(($I18+$J18*Geometry!$E$42:$E$59+$K18*Geometry!$D$42:$D$59)&lt;eco)+eco*(($I18+$J18*Geometry!$E$42:$E$59+$K18*Geometry!$D$42:$D$59)&gt;=eco))/eco)^n)*((($I18+$J18*Geometry!$E$42:$E$59+$K18*Geometry!$D$42:$D$59))&gt;0))),Geometry!$F$42:$F$59))/1000</f>
      </c>
      <c r="BM18" s="32">
        <f>(SUMPRODUCT(alpha*fck*(1-(1-((($L18+$M18*Mesh_Y+$N18*Mesh_X))*(($L18+$M18*Mesh_Y+$N18*Mesh_X)&gt;0)*(($L18+$M18*Mesh_Y+$N18*Mesh_X)&lt;eco)+eco*(($L18+$M18*Mesh_Y+$N18*Mesh_X)&gt;=eco))/eco)^n)*((($L18+$M18*Mesh_Y+$N18*Mesh_X))&gt;0),Mesh_A)+SUMPRODUCT((Es*(($L18+$M18*Geometry!$E$42:$E$59+$N18*Geometry!$D$42:$D$59))*(ABS(Es*(($L18+$M18*Geometry!$E$42:$E$59+$N18*Geometry!$D$42:$D$59)))&lt;=fy)+fy*(Es*(($L18+$M18*Geometry!$E$42:$E$59+$N18*Geometry!$D$42:$D$59))&gt;fy)-fy*(Es*(($L18+$M18*Geometry!$E$42:$E$59+$N18*Geometry!$D$42:$D$59))&lt;-fy)-(alpha*fck*(1-(1-((($L18+$M18*Geometry!$E$42:$E$59+$N18*Geometry!$D$42:$D$59))*(($L18+$M18*Geometry!$E$42:$E$59+$N18*Geometry!$D$42:$D$59)&gt;0)*(($L18+$M18*Geometry!$E$42:$E$59+$N18*Geometry!$D$42:$D$59)&lt;eco)+eco*(($L18+$M18*Geometry!$E$42:$E$59+$N18*Geometry!$D$42:$D$59)&gt;=eco))/eco)^n)*((($L18+$M18*Geometry!$E$42:$E$59+$N18*Geometry!$D$42:$D$59))&gt;0))),Geometry!$F$42:$F$59))/1000</f>
      </c>
      <c r="BN18" s="32">
        <f>(SUMPRODUCT(alpha*fck*(1-(1-((($O18+$P18*Mesh_Y+$Q18*Mesh_X))*(($O18+$P18*Mesh_Y+$Q18*Mesh_X)&gt;0)*(($O18+$P18*Mesh_Y+$Q18*Mesh_X)&lt;eco)+eco*(($O18+$P18*Mesh_Y+$Q18*Mesh_X)&gt;=eco))/eco)^n)*((($O18+$P18*Mesh_Y+$Q18*Mesh_X))&gt;0),Mesh_A)+SUMPRODUCT((Es*(($O18+$P18*Geometry!$E$42:$E$59+$Q18*Geometry!$D$42:$D$59))*(ABS(Es*(($O18+$P18*Geometry!$E$42:$E$59+$Q18*Geometry!$D$42:$D$59)))&lt;=fy)+fy*(Es*(($O18+$P18*Geometry!$E$42:$E$59+$Q18*Geometry!$D$42:$D$59))&gt;fy)-fy*(Es*(($O18+$P18*Geometry!$E$42:$E$59+$Q18*Geometry!$D$42:$D$59))&lt;-fy)-(alpha*fck*(1-(1-((($O18+$P18*Geometry!$E$42:$E$59+$Q18*Geometry!$D$42:$D$59))*(($O18+$P18*Geometry!$E$42:$E$59+$Q18*Geometry!$D$42:$D$59)&gt;0)*(($O18+$P18*Geometry!$E$42:$E$59+$Q18*Geometry!$D$42:$D$59)&lt;eco)+eco*(($O18+$P18*Geometry!$E$42:$E$59+$Q18*Geometry!$D$42:$D$59)&gt;=eco))/eco)^n)*((($O18+$P18*Geometry!$E$42:$E$59+$Q18*Geometry!$D$42:$D$59))&gt;0))),Geometry!$F$42:$F$59))/1000</f>
      </c>
      <c r="BO18" s="32">
        <f>(SUMPRODUCT(alpha*fck*(1-(1-((($R18+$S18*Mesh_Y+$T18*Mesh_X))*(($R18+$S18*Mesh_Y+$T18*Mesh_X)&gt;0)*(($R18+$S18*Mesh_Y+$T18*Mesh_X)&lt;eco)+eco*(($R18+$S18*Mesh_Y+$T18*Mesh_X)&gt;=eco))/eco)^n)*((($R18+$S18*Mesh_Y+$T18*Mesh_X))&gt;0),Mesh_A)+SUMPRODUCT((Es*(($R18+$S18*Geometry!$E$42:$E$59+$T18*Geometry!$D$42:$D$59))*(ABS(Es*(($R18+$S18*Geometry!$E$42:$E$59+$T18*Geometry!$D$42:$D$59)))&lt;=fy)+fy*(Es*(($R18+$S18*Geometry!$E$42:$E$59+$T18*Geometry!$D$42:$D$59))&gt;fy)-fy*(Es*(($R18+$S18*Geometry!$E$42:$E$59+$T18*Geometry!$D$42:$D$59))&lt;-fy)-(alpha*fck*(1-(1-((($R18+$S18*Geometry!$E$42:$E$59+$T18*Geometry!$D$42:$D$59))*(($R18+$S18*Geometry!$E$42:$E$59+$T18*Geometry!$D$42:$D$59)&gt;0)*(($R18+$S18*Geometry!$E$42:$E$59+$T18*Geometry!$D$42:$D$59)&lt;eco)+eco*(($R18+$S18*Geometry!$E$42:$E$59+$T18*Geometry!$D$42:$D$59)&gt;=eco))/eco)^n)*((($R18+$S18*Geometry!$E$42:$E$59+$T18*Geometry!$D$42:$D$59))&gt;0))),Geometry!$F$42:$F$59))/1000</f>
      </c>
      <c r="BP18" s="32">
        <f>(SUMPRODUCT(alpha*fck*(1-(1-((($U18+$V18*Mesh_Y+$W18*Mesh_X))*(($U18+$V18*Mesh_Y+$W18*Mesh_X)&gt;0)*(($U18+$V18*Mesh_Y+$W18*Mesh_X)&lt;eco)+eco*(($U18+$V18*Mesh_Y+$W18*Mesh_X)&gt;=eco))/eco)^n)*((($U18+$V18*Mesh_Y+$W18*Mesh_X))&gt;0),Mesh_A)+SUMPRODUCT((Es*(($U18+$V18*Geometry!$E$42:$E$59+$W18*Geometry!$D$42:$D$59))*(ABS(Es*(($U18+$V18*Geometry!$E$42:$E$59+$W18*Geometry!$D$42:$D$59)))&lt;=fy)+fy*(Es*(($U18+$V18*Geometry!$E$42:$E$59+$W18*Geometry!$D$42:$D$59))&gt;fy)-fy*(Es*(($U18+$V18*Geometry!$E$42:$E$59+$W18*Geometry!$D$42:$D$59))&lt;-fy)-(alpha*fck*(1-(1-((($U18+$V18*Geometry!$E$42:$E$59+$W18*Geometry!$D$42:$D$59))*(($U18+$V18*Geometry!$E$42:$E$59+$W18*Geometry!$D$42:$D$59)&gt;0)*(($U18+$V18*Geometry!$E$42:$E$59+$W18*Geometry!$D$42:$D$59)&lt;eco)+eco*(($U18+$V18*Geometry!$E$42:$E$59+$W18*Geometry!$D$42:$D$59)&gt;=eco))/eco)^n)*((($U18+$V18*Geometry!$E$42:$E$59+$W18*Geometry!$D$42:$D$59))&gt;0))),Geometry!$F$42:$F$59))/1000</f>
      </c>
      <c r="BQ18" s="32">
        <f>(SUMPRODUCT(alpha*fck*(1-(1-((($X18+$Y18*Mesh_Y+$Z18*Mesh_X))*(($X18+$Y18*Mesh_Y+$Z18*Mesh_X)&gt;0)*(($X18+$Y18*Mesh_Y+$Z18*Mesh_X)&lt;eco)+eco*(($X18+$Y18*Mesh_Y+$Z18*Mesh_X)&gt;=eco))/eco)^n)*((($X18+$Y18*Mesh_Y+$Z18*Mesh_X))&gt;0),Mesh_A)+SUMPRODUCT((Es*(($X18+$Y18*Geometry!$E$42:$E$59+$Z18*Geometry!$D$42:$D$59))*(ABS(Es*(($X18+$Y18*Geometry!$E$42:$E$59+$Z18*Geometry!$D$42:$D$59)))&lt;=fy)+fy*(Es*(($X18+$Y18*Geometry!$E$42:$E$59+$Z18*Geometry!$D$42:$D$59))&gt;fy)-fy*(Es*(($X18+$Y18*Geometry!$E$42:$E$59+$Z18*Geometry!$D$42:$D$59))&lt;-fy)-(alpha*fck*(1-(1-((($X18+$Y18*Geometry!$E$42:$E$59+$Z18*Geometry!$D$42:$D$59))*(($X18+$Y18*Geometry!$E$42:$E$59+$Z18*Geometry!$D$42:$D$59)&gt;0)*(($X18+$Y18*Geometry!$E$42:$E$59+$Z18*Geometry!$D$42:$D$59)&lt;eco)+eco*(($X18+$Y18*Geometry!$E$42:$E$59+$Z18*Geometry!$D$42:$D$59)&gt;=eco))/eco)^n)*((($X18+$Y18*Geometry!$E$42:$E$59+$Z18*Geometry!$D$42:$D$59))&gt;0))),Geometry!$F$42:$F$59))/1000</f>
      </c>
      <c r="BR18" s="32">
        <f>(SUMPRODUCT(alpha*fck*(1-(1-((($AA18+$AB18*Mesh_Y+$AC18*Mesh_X))*(($AA18+$AB18*Mesh_Y+$AC18*Mesh_X)&gt;0)*(($AA18+$AB18*Mesh_Y+$AC18*Mesh_X)&lt;eco)+eco*(($AA18+$AB18*Mesh_Y+$AC18*Mesh_X)&gt;=eco))/eco)^n)*((($AA18+$AB18*Mesh_Y+$AC18*Mesh_X))&gt;0),Mesh_A)+SUMPRODUCT((Es*(($AA18+$AB18*Geometry!$E$42:$E$59+$AC18*Geometry!$D$42:$D$59))*(ABS(Es*(($AA18+$AB18*Geometry!$E$42:$E$59+$AC18*Geometry!$D$42:$D$59)))&lt;=fy)+fy*(Es*(($AA18+$AB18*Geometry!$E$42:$E$59+$AC18*Geometry!$D$42:$D$59))&gt;fy)-fy*(Es*(($AA18+$AB18*Geometry!$E$42:$E$59+$AC18*Geometry!$D$42:$D$59))&lt;-fy)-(alpha*fck*(1-(1-((($AA18+$AB18*Geometry!$E$42:$E$59+$AC18*Geometry!$D$42:$D$59))*(($AA18+$AB18*Geometry!$E$42:$E$59+$AC18*Geometry!$D$42:$D$59)&gt;0)*(($AA18+$AB18*Geometry!$E$42:$E$59+$AC18*Geometry!$D$42:$D$59)&lt;eco)+eco*(($AA18+$AB18*Geometry!$E$42:$E$59+$AC18*Geometry!$D$42:$D$59)&gt;=eco))/eco)^n)*((($AA18+$AB18*Geometry!$E$42:$E$59+$AC18*Geometry!$D$42:$D$59))&gt;0))),Geometry!$F$42:$F$59))/1000</f>
      </c>
      <c r="BS18" s="32">
        <f>(SUMPRODUCT(alpha*fck*(1-(1-((($AD18+$AE18*Mesh_Y+$AF18*Mesh_X))*(($AD18+$AE18*Mesh_Y+$AF18*Mesh_X)&gt;0)*(($AD18+$AE18*Mesh_Y+$AF18*Mesh_X)&lt;eco)+eco*(($AD18+$AE18*Mesh_Y+$AF18*Mesh_X)&gt;=eco))/eco)^n)*((($AD18+$AE18*Mesh_Y+$AF18*Mesh_X))&gt;0),Mesh_A)+SUMPRODUCT((Es*(($AD18+$AE18*Geometry!$E$42:$E$59+$AF18*Geometry!$D$42:$D$59))*(ABS(Es*(($AD18+$AE18*Geometry!$E$42:$E$59+$AF18*Geometry!$D$42:$D$59)))&lt;=fy)+fy*(Es*(($AD18+$AE18*Geometry!$E$42:$E$59+$AF18*Geometry!$D$42:$D$59))&gt;fy)-fy*(Es*(($AD18+$AE18*Geometry!$E$42:$E$59+$AF18*Geometry!$D$42:$D$59))&lt;-fy)-(alpha*fck*(1-(1-((($AD18+$AE18*Geometry!$E$42:$E$59+$AF18*Geometry!$D$42:$D$59))*(($AD18+$AE18*Geometry!$E$42:$E$59+$AF18*Geometry!$D$42:$D$59)&gt;0)*(($AD18+$AE18*Geometry!$E$42:$E$59+$AF18*Geometry!$D$42:$D$59)&lt;eco)+eco*(($AD18+$AE18*Geometry!$E$42:$E$59+$AF18*Geometry!$D$42:$D$59)&gt;=eco))/eco)^n)*((($AD18+$AE18*Geometry!$E$42:$E$59+$AF18*Geometry!$D$42:$D$59))&gt;0))),Geometry!$F$42:$F$59))/1000</f>
      </c>
      <c r="BT18" s="32">
        <f>(SUMPRODUCT(alpha*fck*(1-(1-((($AG18+$AH18*Mesh_Y+$AI18*Mesh_X))*(($AG18+$AH18*Mesh_Y+$AI18*Mesh_X)&gt;0)*(($AG18+$AH18*Mesh_Y+$AI18*Mesh_X)&lt;eco)+eco*(($AG18+$AH18*Mesh_Y+$AI18*Mesh_X)&gt;=eco))/eco)^n)*((($AG18+$AH18*Mesh_Y+$AI18*Mesh_X))&gt;0),Mesh_A)+SUMPRODUCT((Es*(($AG18+$AH18*Geometry!$E$42:$E$59+$AI18*Geometry!$D$42:$D$59))*(ABS(Es*(($AG18+$AH18*Geometry!$E$42:$E$59+$AI18*Geometry!$D$42:$D$59)))&lt;=fy)+fy*(Es*(($AG18+$AH18*Geometry!$E$42:$E$59+$AI18*Geometry!$D$42:$D$59))&gt;fy)-fy*(Es*(($AG18+$AH18*Geometry!$E$42:$E$59+$AI18*Geometry!$D$42:$D$59))&lt;-fy)-(alpha*fck*(1-(1-((($AG18+$AH18*Geometry!$E$42:$E$59+$AI18*Geometry!$D$42:$D$59))*(($AG18+$AH18*Geometry!$E$42:$E$59+$AI18*Geometry!$D$42:$D$59)&gt;0)*(($AG18+$AH18*Geometry!$E$42:$E$59+$AI18*Geometry!$D$42:$D$59)&lt;eco)+eco*(($AG18+$AH18*Geometry!$E$42:$E$59+$AI18*Geometry!$D$42:$D$59)&gt;=eco))/eco)^n)*((($AG18+$AH18*Geometry!$E$42:$E$59+$AI18*Geometry!$D$42:$D$59))&gt;0))),Geometry!$F$42:$F$59))/1000</f>
      </c>
      <c r="BU18" s="32">
        <f>(SUMPRODUCT(alpha*fck*(1-(1-((($AJ18+$AK18*Mesh_Y+$AL18*Mesh_X))*(($AJ18+$AK18*Mesh_Y+$AL18*Mesh_X)&gt;0)*(($AJ18+$AK18*Mesh_Y+$AL18*Mesh_X)&lt;eco)+eco*(($AJ18+$AK18*Mesh_Y+$AL18*Mesh_X)&gt;=eco))/eco)^n)*((($AJ18+$AK18*Mesh_Y+$AL18*Mesh_X))&gt;0),Mesh_A)+SUMPRODUCT((Es*(($AJ18+$AK18*Geometry!$E$42:$E$59+$AL18*Geometry!$D$42:$D$59))*(ABS(Es*(($AJ18+$AK18*Geometry!$E$42:$E$59+$AL18*Geometry!$D$42:$D$59)))&lt;=fy)+fy*(Es*(($AJ18+$AK18*Geometry!$E$42:$E$59+$AL18*Geometry!$D$42:$D$59))&gt;fy)-fy*(Es*(($AJ18+$AK18*Geometry!$E$42:$E$59+$AL18*Geometry!$D$42:$D$59))&lt;-fy)-(alpha*fck*(1-(1-((($AJ18+$AK18*Geometry!$E$42:$E$59+$AL18*Geometry!$D$42:$D$59))*(($AJ18+$AK18*Geometry!$E$42:$E$59+$AL18*Geometry!$D$42:$D$59)&gt;0)*(($AJ18+$AK18*Geometry!$E$42:$E$59+$AL18*Geometry!$D$42:$D$59)&lt;eco)+eco*(($AJ18+$AK18*Geometry!$E$42:$E$59+$AL18*Geometry!$D$42:$D$59)&gt;=eco))/eco)^n)*((($AJ18+$AK18*Geometry!$E$42:$E$59+$AL18*Geometry!$D$42:$D$59))&gt;0))),Geometry!$F$42:$F$59))/1000</f>
      </c>
      <c r="BV18" s="32">
        <f>(SUMPRODUCT(alpha*fck*(1-(1-((($AM18+$AN18*Mesh_Y+$AO18*Mesh_X))*(($AM18+$AN18*Mesh_Y+$AO18*Mesh_X)&gt;0)*(($AM18+$AN18*Mesh_Y+$AO18*Mesh_X)&lt;eco)+eco*(($AM18+$AN18*Mesh_Y+$AO18*Mesh_X)&gt;=eco))/eco)^n)*((($AM18+$AN18*Mesh_Y+$AO18*Mesh_X))&gt;0),Mesh_A)+SUMPRODUCT((Es*(($AM18+$AN18*Geometry!$E$42:$E$59+$AO18*Geometry!$D$42:$D$59))*(ABS(Es*(($AM18+$AN18*Geometry!$E$42:$E$59+$AO18*Geometry!$D$42:$D$59)))&lt;=fy)+fy*(Es*(($AM18+$AN18*Geometry!$E$42:$E$59+$AO18*Geometry!$D$42:$D$59))&gt;fy)-fy*(Es*(($AM18+$AN18*Geometry!$E$42:$E$59+$AO18*Geometry!$D$42:$D$59))&lt;-fy)-(alpha*fck*(1-(1-((($AM18+$AN18*Geometry!$E$42:$E$59+$AO18*Geometry!$D$42:$D$59))*(($AM18+$AN18*Geometry!$E$42:$E$59+$AO18*Geometry!$D$42:$D$59)&gt;0)*(($AM18+$AN18*Geometry!$E$42:$E$59+$AO18*Geometry!$D$42:$D$59)&lt;eco)+eco*(($AM18+$AN18*Geometry!$E$42:$E$59+$AO18*Geometry!$D$42:$D$59)&gt;=eco))/eco)^n)*((($AM18+$AN18*Geometry!$E$42:$E$59+$AO18*Geometry!$D$42:$D$59))&gt;0))),Geometry!$F$42:$F$59))/1000</f>
      </c>
      <c r="BW18" s="32">
        <f>(SUMPRODUCT(alpha*fck*(1-(1-((($AP18+$AQ18*Mesh_Y+$AR18*Mesh_X))*(($AP18+$AQ18*Mesh_Y+$AR18*Mesh_X)&gt;0)*(($AP18+$AQ18*Mesh_Y+$AR18*Mesh_X)&lt;eco)+eco*(($AP18+$AQ18*Mesh_Y+$AR18*Mesh_X)&gt;=eco))/eco)^n)*((($AP18+$AQ18*Mesh_Y+$AR18*Mesh_X))&gt;0),Mesh_A)+SUMPRODUCT((Es*(($AP18+$AQ18*Geometry!$E$42:$E$59+$AR18*Geometry!$D$42:$D$59))*(ABS(Es*(($AP18+$AQ18*Geometry!$E$42:$E$59+$AR18*Geometry!$D$42:$D$59)))&lt;=fy)+fy*(Es*(($AP18+$AQ18*Geometry!$E$42:$E$59+$AR18*Geometry!$D$42:$D$59))&gt;fy)-fy*(Es*(($AP18+$AQ18*Geometry!$E$42:$E$59+$AR18*Geometry!$D$42:$D$59))&lt;-fy)-(alpha*fck*(1-(1-((($AP18+$AQ18*Geometry!$E$42:$E$59+$AR18*Geometry!$D$42:$D$59))*(($AP18+$AQ18*Geometry!$E$42:$E$59+$AR18*Geometry!$D$42:$D$59)&gt;0)*(($AP18+$AQ18*Geometry!$E$42:$E$59+$AR18*Geometry!$D$42:$D$59)&lt;eco)+eco*(($AP18+$AQ18*Geometry!$E$42:$E$59+$AR18*Geometry!$D$42:$D$59)&gt;=eco))/eco)^n)*((($AP18+$AQ18*Geometry!$E$42:$E$59+$AR18*Geometry!$D$42:$D$59))&gt;0))),Geometry!$F$42:$F$59))/1000</f>
      </c>
      <c r="BX18" s="32">
        <f>(SUMPRODUCT(alpha*fck*(1-(1-((($AS18+$AT18*Mesh_Y+$AU18*Mesh_X))*(($AS18+$AT18*Mesh_Y+$AU18*Mesh_X)&gt;0)*(($AS18+$AT18*Mesh_Y+$AU18*Mesh_X)&lt;eco)+eco*(($AS18+$AT18*Mesh_Y+$AU18*Mesh_X)&gt;=eco))/eco)^n)*((($AS18+$AT18*Mesh_Y+$AU18*Mesh_X))&gt;0),Mesh_A)+SUMPRODUCT((Es*(($AS18+$AT18*Geometry!$E$42:$E$59+$AU18*Geometry!$D$42:$D$59))*(ABS(Es*(($AS18+$AT18*Geometry!$E$42:$E$59+$AU18*Geometry!$D$42:$D$59)))&lt;=fy)+fy*(Es*(($AS18+$AT18*Geometry!$E$42:$E$59+$AU18*Geometry!$D$42:$D$59))&gt;fy)-fy*(Es*(($AS18+$AT18*Geometry!$E$42:$E$59+$AU18*Geometry!$D$42:$D$59))&lt;-fy)-(alpha*fck*(1-(1-((($AS18+$AT18*Geometry!$E$42:$E$59+$AU18*Geometry!$D$42:$D$59))*(($AS18+$AT18*Geometry!$E$42:$E$59+$AU18*Geometry!$D$42:$D$59)&gt;0)*(($AS18+$AT18*Geometry!$E$42:$E$59+$AU18*Geometry!$D$42:$D$59)&lt;eco)+eco*(($AS18+$AT18*Geometry!$E$42:$E$59+$AU18*Geometry!$D$42:$D$59)&gt;=eco))/eco)^n)*((($AS18+$AT18*Geometry!$E$42:$E$59+$AU18*Geometry!$D$42:$D$59))&gt;0))),Geometry!$F$42:$F$59))/1000</f>
      </c>
      <c r="BY18" s="32">
        <f>(SUMPRODUCT(alpha*fck*(1-(1-((($AV18+$AW18*Mesh_Y+$AX18*Mesh_X))*(($AV18+$AW18*Mesh_Y+$AX18*Mesh_X)&gt;0)*(($AV18+$AW18*Mesh_Y+$AX18*Mesh_X)&lt;eco)+eco*(($AV18+$AW18*Mesh_Y+$AX18*Mesh_X)&gt;=eco))/eco)^n)*((($AV18+$AW18*Mesh_Y+$AX18*Mesh_X))&gt;0),Mesh_A)+SUMPRODUCT((Es*(($AV18+$AW18*Geometry!$E$42:$E$59+$AX18*Geometry!$D$42:$D$59))*(ABS(Es*(($AV18+$AW18*Geometry!$E$42:$E$59+$AX18*Geometry!$D$42:$D$59)))&lt;=fy)+fy*(Es*(($AV18+$AW18*Geometry!$E$42:$E$59+$AX18*Geometry!$D$42:$D$59))&gt;fy)-fy*(Es*(($AV18+$AW18*Geometry!$E$42:$E$59+$AX18*Geometry!$D$42:$D$59))&lt;-fy)-(alpha*fck*(1-(1-((($AV18+$AW18*Geometry!$E$42:$E$59+$AX18*Geometry!$D$42:$D$59))*(($AV18+$AW18*Geometry!$E$42:$E$59+$AX18*Geometry!$D$42:$D$59)&gt;0)*(($AV18+$AW18*Geometry!$E$42:$E$59+$AX18*Geometry!$D$42:$D$59)&lt;eco)+eco*(($AV18+$AW18*Geometry!$E$42:$E$59+$AX18*Geometry!$D$42:$D$59)&gt;=eco))/eco)^n)*((($AV18+$AW18*Geometry!$E$42:$E$59+$AX18*Geometry!$D$42:$D$59))&gt;0))),Geometry!$F$42:$F$59))/1000</f>
      </c>
      <c r="BZ18" s="32">
        <f>(SUMPRODUCT(alpha*fck*(1-(1-((($AY18+$AZ18*Mesh_Y+$BA18*Mesh_X))*(($AY18+$AZ18*Mesh_Y+$BA18*Mesh_X)&gt;0)*(($AY18+$AZ18*Mesh_Y+$BA18*Mesh_X)&lt;eco)+eco*(($AY18+$AZ18*Mesh_Y+$BA18*Mesh_X)&gt;=eco))/eco)^n)*((($AY18+$AZ18*Mesh_Y+$BA18*Mesh_X))&gt;0),Mesh_A)+SUMPRODUCT((Es*(($AY18+$AZ18*Geometry!$E$42:$E$59+$BA18*Geometry!$D$42:$D$59))*(ABS(Es*(($AY18+$AZ18*Geometry!$E$42:$E$59+$BA18*Geometry!$D$42:$D$59)))&lt;=fy)+fy*(Es*(($AY18+$AZ18*Geometry!$E$42:$E$59+$BA18*Geometry!$D$42:$D$59))&gt;fy)-fy*(Es*(($AY18+$AZ18*Geometry!$E$42:$E$59+$BA18*Geometry!$D$42:$D$59))&lt;-fy)-(alpha*fck*(1-(1-((($AY18+$AZ18*Geometry!$E$42:$E$59+$BA18*Geometry!$D$42:$D$59))*(($AY18+$AZ18*Geometry!$E$42:$E$59+$BA18*Geometry!$D$42:$D$59)&gt;0)*(($AY18+$AZ18*Geometry!$E$42:$E$59+$BA18*Geometry!$D$42:$D$59)&lt;eco)+eco*(($AY18+$AZ18*Geometry!$E$42:$E$59+$BA18*Geometry!$D$42:$D$59)&gt;=eco))/eco)^n)*((($AY18+$AZ18*Geometry!$E$42:$E$59+$BA18*Geometry!$D$42:$D$59))&gt;0))),Geometry!$F$42:$F$59))/1000</f>
      </c>
      <c r="CA18" s="32">
        <f>(SUMPRODUCT(alpha*fck*(1-(1-((($BB18+$BC18*Mesh_Y+$BD18*Mesh_X))*(($BB18+$BC18*Mesh_Y+$BD18*Mesh_X)&gt;0)*(($BB18+$BC18*Mesh_Y+$BD18*Mesh_X)&lt;eco)+eco*(($BB18+$BC18*Mesh_Y+$BD18*Mesh_X)&gt;=eco))/eco)^n)*((($BB18+$BC18*Mesh_Y+$BD18*Mesh_X))&gt;0),Mesh_A)+SUMPRODUCT((Es*(($BB18+$BC18*Geometry!$E$42:$E$59+$BD18*Geometry!$D$42:$D$59))*(ABS(Es*(($BB18+$BC18*Geometry!$E$42:$E$59+$BD18*Geometry!$D$42:$D$59)))&lt;=fy)+fy*(Es*(($BB18+$BC18*Geometry!$E$42:$E$59+$BD18*Geometry!$D$42:$D$59))&gt;fy)-fy*(Es*(($BB18+$BC18*Geometry!$E$42:$E$59+$BD18*Geometry!$D$42:$D$59))&lt;-fy)-(alpha*fck*(1-(1-((($BB18+$BC18*Geometry!$E$42:$E$59+$BD18*Geometry!$D$42:$D$59))*(($BB18+$BC18*Geometry!$E$42:$E$59+$BD18*Geometry!$D$42:$D$59)&gt;0)*(($BB18+$BC18*Geometry!$E$42:$E$59+$BD18*Geometry!$D$42:$D$59)&lt;eco)+eco*(($BB18+$BC18*Geometry!$E$42:$E$59+$BD18*Geometry!$D$42:$D$59)&gt;=eco))/eco)^n)*((($BB18+$BC18*Geometry!$E$42:$E$59+$BD18*Geometry!$D$42:$D$59))&gt;0))),Geometry!$F$42:$F$59))/1000</f>
      </c>
      <c r="CB18" s="32">
        <f>(SUMPRODUCT(alpha*fck*(1-(1-((($BE18+$BF18*Mesh_Y+$BG18*Mesh_X))*(($BE18+$BF18*Mesh_Y+$BG18*Mesh_X)&gt;0)*(($BE18+$BF18*Mesh_Y+$BG18*Mesh_X)&lt;eco)+eco*(($BE18+$BF18*Mesh_Y+$BG18*Mesh_X)&gt;=eco))/eco)^n)*((($BE18+$BF18*Mesh_Y+$BG18*Mesh_X))&gt;0),Mesh_A)+SUMPRODUCT((Es*(($BE18+$BF18*Geometry!$E$42:$E$59+$BG18*Geometry!$D$42:$D$59))*(ABS(Es*(($BE18+$BF18*Geometry!$E$42:$E$59+$BG18*Geometry!$D$42:$D$59)))&lt;=fy)+fy*(Es*(($BE18+$BF18*Geometry!$E$42:$E$59+$BG18*Geometry!$D$42:$D$59))&gt;fy)-fy*(Es*(($BE18+$BF18*Geometry!$E$42:$E$59+$BG18*Geometry!$D$42:$D$59))&lt;-fy)-(alpha*fck*(1-(1-((($BE18+$BF18*Geometry!$E$42:$E$59+$BG18*Geometry!$D$42:$D$59))*(($BE18+$BF18*Geometry!$E$42:$E$59+$BG18*Geometry!$D$42:$D$59)&gt;0)*(($BE18+$BF18*Geometry!$E$42:$E$59+$BG18*Geometry!$D$42:$D$59)&lt;eco)+eco*(($BE18+$BF18*Geometry!$E$42:$E$59+$BG18*Geometry!$D$42:$D$59)&gt;=eco))/eco)^n)*((($BE18+$BF18*Geometry!$E$42:$E$59+$BG18*Geometry!$D$42:$D$59))&gt;0))),Geometry!$F$42:$F$59))/1000</f>
      </c>
      <c r="CC18" s="32">
        <f>(SUMPRODUCT(alpha*fck*(1-(1-((($BH18+$BI18*Mesh_Y+$BJ18*Mesh_X))*(($BH18+$BI18*Mesh_Y+$BJ18*Mesh_X)&gt;0)*(($BH18+$BI18*Mesh_Y+$BJ18*Mesh_X)&lt;eco)+eco*(($BH18+$BI18*Mesh_Y+$BJ18*Mesh_X)&gt;=eco))/eco)^n)*((($BH18+$BI18*Mesh_Y+$BJ18*Mesh_X))&gt;0),Mesh_A)+SUMPRODUCT((Es*(($BH18+$BI18*Geometry!$E$42:$E$59+$BJ18*Geometry!$D$42:$D$59))*(ABS(Es*(($BH18+$BI18*Geometry!$E$42:$E$59+$BJ18*Geometry!$D$42:$D$59)))&lt;=fy)+fy*(Es*(($BH18+$BI18*Geometry!$E$42:$E$59+$BJ18*Geometry!$D$42:$D$59))&gt;fy)-fy*(Es*(($BH18+$BI18*Geometry!$E$42:$E$59+$BJ18*Geometry!$D$42:$D$59))&lt;-fy)-(alpha*fck*(1-(1-((($BH18+$BI18*Geometry!$E$42:$E$59+$BJ18*Geometry!$D$42:$D$59))*(($BH18+$BI18*Geometry!$E$42:$E$59+$BJ18*Geometry!$D$42:$D$59)&gt;0)*(($BH18+$BI18*Geometry!$E$42:$E$59+$BJ18*Geometry!$D$42:$D$59)&lt;eco)+eco*(($BH18+$BI18*Geometry!$E$42:$E$59+$BJ18*Geometry!$D$42:$D$59)&gt;=eco))/eco)^n)*((($BH18+$BI18*Geometry!$E$42:$E$59+$BJ18*Geometry!$D$42:$D$59))&gt;0))),Geometry!$F$42:$F$59))/1000</f>
      </c>
      <c r="CD18" s="32">
        <f>(SUMPRODUCT(alpha*fck*(1-(1-((($F18+$G18*Mesh_Y+$H18*Mesh_X))*(($F18+$G18*Mesh_Y+$H18*Mesh_X)&gt;0)*(($F18+$G18*Mesh_Y+$H18*Mesh_X)&lt;eco)+eco*(($F18+$G18*Mesh_Y+$H18*Mesh_X)&gt;=eco))/eco)^n)*((($F18+$G18*Mesh_Y+$H18*Mesh_X))&gt;0),Mesh_A,Mesh_Y)+SUMPRODUCT((Es*(($F18+$G18*Geometry!$E$42:$E$59+$H18*Geometry!$D$42:$D$59))*(ABS(Es*(($F18+$G18*Geometry!$E$42:$E$59+$H18*Geometry!$D$42:$D$59)))&lt;=fy)+fy*(Es*(($F18+$G18*Geometry!$E$42:$E$59+$H18*Geometry!$D$42:$D$59))&gt;fy)-fy*(Es*(($F18+$G18*Geometry!$E$42:$E$59+$H18*Geometry!$D$42:$D$59))&lt;-fy)-(alpha*fck*(1-(1-((($F18+$G18*Geometry!$E$42:$E$59+$H18*Geometry!$D$42:$D$59))*(($F18+$G18*Geometry!$E$42:$E$59+$H18*Geometry!$D$42:$D$59)&gt;0)*(($F18+$G18*Geometry!$E$42:$E$59+$H18*Geometry!$D$42:$D$59)&lt;eco)+eco*(($F18+$G18*Geometry!$E$42:$E$59+$H18*Geometry!$D$42:$D$59)&gt;=eco))/eco)^n)*((($F18+$G18*Geometry!$E$42:$E$59+$H18*Geometry!$D$42:$D$59))&gt;0))),Geometry!$F$42:$F$59,Geometry!$E$42:$E$59))/1000000</f>
      </c>
      <c r="CE18" s="32">
        <f>(SUMPRODUCT(alpha*fck*(1-(1-((($I18+$J18*Mesh_Y+$K18*Mesh_X))*(($I18+$J18*Mesh_Y+$K18*Mesh_X)&gt;0)*(($I18+$J18*Mesh_Y+$K18*Mesh_X)&lt;eco)+eco*(($I18+$J18*Mesh_Y+$K18*Mesh_X)&gt;=eco))/eco)^n)*((($I18+$J18*Mesh_Y+$K18*Mesh_X))&gt;0),Mesh_A,Mesh_Y)+SUMPRODUCT((Es*(($I18+$J18*Geometry!$E$42:$E$59+$K18*Geometry!$D$42:$D$59))*(ABS(Es*(($I18+$J18*Geometry!$E$42:$E$59+$K18*Geometry!$D$42:$D$59)))&lt;=fy)+fy*(Es*(($I18+$J18*Geometry!$E$42:$E$59+$K18*Geometry!$D$42:$D$59))&gt;fy)-fy*(Es*(($I18+$J18*Geometry!$E$42:$E$59+$K18*Geometry!$D$42:$D$59))&lt;-fy)-(alpha*fck*(1-(1-((($I18+$J18*Geometry!$E$42:$E$59+$K18*Geometry!$D$42:$D$59))*(($I18+$J18*Geometry!$E$42:$E$59+$K18*Geometry!$D$42:$D$59)&gt;0)*(($I18+$J18*Geometry!$E$42:$E$59+$K18*Geometry!$D$42:$D$59)&lt;eco)+eco*(($I18+$J18*Geometry!$E$42:$E$59+$K18*Geometry!$D$42:$D$59)&gt;=eco))/eco)^n)*((($I18+$J18*Geometry!$E$42:$E$59+$K18*Geometry!$D$42:$D$59))&gt;0))),Geometry!$F$42:$F$59,Geometry!$E$42:$E$59))/1000000</f>
      </c>
      <c r="CF18" s="32">
        <f>(SUMPRODUCT(alpha*fck*(1-(1-((($L18+$M18*Mesh_Y+$N18*Mesh_X))*(($L18+$M18*Mesh_Y+$N18*Mesh_X)&gt;0)*(($L18+$M18*Mesh_Y+$N18*Mesh_X)&lt;eco)+eco*(($L18+$M18*Mesh_Y+$N18*Mesh_X)&gt;=eco))/eco)^n)*((($L18+$M18*Mesh_Y+$N18*Mesh_X))&gt;0),Mesh_A,Mesh_Y)+SUMPRODUCT((Es*(($L18+$M18*Geometry!$E$42:$E$59+$N18*Geometry!$D$42:$D$59))*(ABS(Es*(($L18+$M18*Geometry!$E$42:$E$59+$N18*Geometry!$D$42:$D$59)))&lt;=fy)+fy*(Es*(($L18+$M18*Geometry!$E$42:$E$59+$N18*Geometry!$D$42:$D$59))&gt;fy)-fy*(Es*(($L18+$M18*Geometry!$E$42:$E$59+$N18*Geometry!$D$42:$D$59))&lt;-fy)-(alpha*fck*(1-(1-((($L18+$M18*Geometry!$E$42:$E$59+$N18*Geometry!$D$42:$D$59))*(($L18+$M18*Geometry!$E$42:$E$59+$N18*Geometry!$D$42:$D$59)&gt;0)*(($L18+$M18*Geometry!$E$42:$E$59+$N18*Geometry!$D$42:$D$59)&lt;eco)+eco*(($L18+$M18*Geometry!$E$42:$E$59+$N18*Geometry!$D$42:$D$59)&gt;=eco))/eco)^n)*((($L18+$M18*Geometry!$E$42:$E$59+$N18*Geometry!$D$42:$D$59))&gt;0))),Geometry!$F$42:$F$59,Geometry!$E$42:$E$59))/1000000</f>
      </c>
      <c r="CG18" s="32">
        <f>(SUMPRODUCT(alpha*fck*(1-(1-((($O18+$P18*Mesh_Y+$Q18*Mesh_X))*(($O18+$P18*Mesh_Y+$Q18*Mesh_X)&gt;0)*(($O18+$P18*Mesh_Y+$Q18*Mesh_X)&lt;eco)+eco*(($O18+$P18*Mesh_Y+$Q18*Mesh_X)&gt;=eco))/eco)^n)*((($O18+$P18*Mesh_Y+$Q18*Mesh_X))&gt;0),Mesh_A,Mesh_Y)+SUMPRODUCT((Es*(($O18+$P18*Geometry!$E$42:$E$59+$Q18*Geometry!$D$42:$D$59))*(ABS(Es*(($O18+$P18*Geometry!$E$42:$E$59+$Q18*Geometry!$D$42:$D$59)))&lt;=fy)+fy*(Es*(($O18+$P18*Geometry!$E$42:$E$59+$Q18*Geometry!$D$42:$D$59))&gt;fy)-fy*(Es*(($O18+$P18*Geometry!$E$42:$E$59+$Q18*Geometry!$D$42:$D$59))&lt;-fy)-(alpha*fck*(1-(1-((($O18+$P18*Geometry!$E$42:$E$59+$Q18*Geometry!$D$42:$D$59))*(($O18+$P18*Geometry!$E$42:$E$59+$Q18*Geometry!$D$42:$D$59)&gt;0)*(($O18+$P18*Geometry!$E$42:$E$59+$Q18*Geometry!$D$42:$D$59)&lt;eco)+eco*(($O18+$P18*Geometry!$E$42:$E$59+$Q18*Geometry!$D$42:$D$59)&gt;=eco))/eco)^n)*((($O18+$P18*Geometry!$E$42:$E$59+$Q18*Geometry!$D$42:$D$59))&gt;0))),Geometry!$F$42:$F$59,Geometry!$E$42:$E$59))/1000000</f>
      </c>
      <c r="CH18" s="32">
        <f>(SUMPRODUCT(alpha*fck*(1-(1-((($R18+$S18*Mesh_Y+$T18*Mesh_X))*(($R18+$S18*Mesh_Y+$T18*Mesh_X)&gt;0)*(($R18+$S18*Mesh_Y+$T18*Mesh_X)&lt;eco)+eco*(($R18+$S18*Mesh_Y+$T18*Mesh_X)&gt;=eco))/eco)^n)*((($R18+$S18*Mesh_Y+$T18*Mesh_X))&gt;0),Mesh_A,Mesh_Y)+SUMPRODUCT((Es*(($R18+$S18*Geometry!$E$42:$E$59+$T18*Geometry!$D$42:$D$59))*(ABS(Es*(($R18+$S18*Geometry!$E$42:$E$59+$T18*Geometry!$D$42:$D$59)))&lt;=fy)+fy*(Es*(($R18+$S18*Geometry!$E$42:$E$59+$T18*Geometry!$D$42:$D$59))&gt;fy)-fy*(Es*(($R18+$S18*Geometry!$E$42:$E$59+$T18*Geometry!$D$42:$D$59))&lt;-fy)-(alpha*fck*(1-(1-((($R18+$S18*Geometry!$E$42:$E$59+$T18*Geometry!$D$42:$D$59))*(($R18+$S18*Geometry!$E$42:$E$59+$T18*Geometry!$D$42:$D$59)&gt;0)*(($R18+$S18*Geometry!$E$42:$E$59+$T18*Geometry!$D$42:$D$59)&lt;eco)+eco*(($R18+$S18*Geometry!$E$42:$E$59+$T18*Geometry!$D$42:$D$59)&gt;=eco))/eco)^n)*((($R18+$S18*Geometry!$E$42:$E$59+$T18*Geometry!$D$42:$D$59))&gt;0))),Geometry!$F$42:$F$59,Geometry!$E$42:$E$59))/1000000</f>
      </c>
      <c r="CI18" s="32">
        <f>(SUMPRODUCT(alpha*fck*(1-(1-((($U18+$V18*Mesh_Y+$W18*Mesh_X))*(($U18+$V18*Mesh_Y+$W18*Mesh_X)&gt;0)*(($U18+$V18*Mesh_Y+$W18*Mesh_X)&lt;eco)+eco*(($U18+$V18*Mesh_Y+$W18*Mesh_X)&gt;=eco))/eco)^n)*((($U18+$V18*Mesh_Y+$W18*Mesh_X))&gt;0),Mesh_A,Mesh_Y)+SUMPRODUCT((Es*(($U18+$V18*Geometry!$E$42:$E$59+$W18*Geometry!$D$42:$D$59))*(ABS(Es*(($U18+$V18*Geometry!$E$42:$E$59+$W18*Geometry!$D$42:$D$59)))&lt;=fy)+fy*(Es*(($U18+$V18*Geometry!$E$42:$E$59+$W18*Geometry!$D$42:$D$59))&gt;fy)-fy*(Es*(($U18+$V18*Geometry!$E$42:$E$59+$W18*Geometry!$D$42:$D$59))&lt;-fy)-(alpha*fck*(1-(1-((($U18+$V18*Geometry!$E$42:$E$59+$W18*Geometry!$D$42:$D$59))*(($U18+$V18*Geometry!$E$42:$E$59+$W18*Geometry!$D$42:$D$59)&gt;0)*(($U18+$V18*Geometry!$E$42:$E$59+$W18*Geometry!$D$42:$D$59)&lt;eco)+eco*(($U18+$V18*Geometry!$E$42:$E$59+$W18*Geometry!$D$42:$D$59)&gt;=eco))/eco)^n)*((($U18+$V18*Geometry!$E$42:$E$59+$W18*Geometry!$D$42:$D$59))&gt;0))),Geometry!$F$42:$F$59,Geometry!$E$42:$E$59))/1000000</f>
      </c>
      <c r="CJ18" s="32">
        <f>(SUMPRODUCT(alpha*fck*(1-(1-((($X18+$Y18*Mesh_Y+$Z18*Mesh_X))*(($X18+$Y18*Mesh_Y+$Z18*Mesh_X)&gt;0)*(($X18+$Y18*Mesh_Y+$Z18*Mesh_X)&lt;eco)+eco*(($X18+$Y18*Mesh_Y+$Z18*Mesh_X)&gt;=eco))/eco)^n)*((($X18+$Y18*Mesh_Y+$Z18*Mesh_X))&gt;0),Mesh_A,Mesh_Y)+SUMPRODUCT((Es*(($X18+$Y18*Geometry!$E$42:$E$59+$Z18*Geometry!$D$42:$D$59))*(ABS(Es*(($X18+$Y18*Geometry!$E$42:$E$59+$Z18*Geometry!$D$42:$D$59)))&lt;=fy)+fy*(Es*(($X18+$Y18*Geometry!$E$42:$E$59+$Z18*Geometry!$D$42:$D$59))&gt;fy)-fy*(Es*(($X18+$Y18*Geometry!$E$42:$E$59+$Z18*Geometry!$D$42:$D$59))&lt;-fy)-(alpha*fck*(1-(1-((($X18+$Y18*Geometry!$E$42:$E$59+$Z18*Geometry!$D$42:$D$59))*(($X18+$Y18*Geometry!$E$42:$E$59+$Z18*Geometry!$D$42:$D$59)&gt;0)*(($X18+$Y18*Geometry!$E$42:$E$59+$Z18*Geometry!$D$42:$D$59)&lt;eco)+eco*(($X18+$Y18*Geometry!$E$42:$E$59+$Z18*Geometry!$D$42:$D$59)&gt;=eco))/eco)^n)*((($X18+$Y18*Geometry!$E$42:$E$59+$Z18*Geometry!$D$42:$D$59))&gt;0))),Geometry!$F$42:$F$59,Geometry!$E$42:$E$59))/1000000</f>
      </c>
      <c r="CK18" s="32">
        <f>(SUMPRODUCT(alpha*fck*(1-(1-((($AA18+$AB18*Mesh_Y+$AC18*Mesh_X))*(($AA18+$AB18*Mesh_Y+$AC18*Mesh_X)&gt;0)*(($AA18+$AB18*Mesh_Y+$AC18*Mesh_X)&lt;eco)+eco*(($AA18+$AB18*Mesh_Y+$AC18*Mesh_X)&gt;=eco))/eco)^n)*((($AA18+$AB18*Mesh_Y+$AC18*Mesh_X))&gt;0),Mesh_A,Mesh_Y)+SUMPRODUCT((Es*(($AA18+$AB18*Geometry!$E$42:$E$59+$AC18*Geometry!$D$42:$D$59))*(ABS(Es*(($AA18+$AB18*Geometry!$E$42:$E$59+$AC18*Geometry!$D$42:$D$59)))&lt;=fy)+fy*(Es*(($AA18+$AB18*Geometry!$E$42:$E$59+$AC18*Geometry!$D$42:$D$59))&gt;fy)-fy*(Es*(($AA18+$AB18*Geometry!$E$42:$E$59+$AC18*Geometry!$D$42:$D$59))&lt;-fy)-(alpha*fck*(1-(1-((($AA18+$AB18*Geometry!$E$42:$E$59+$AC18*Geometry!$D$42:$D$59))*(($AA18+$AB18*Geometry!$E$42:$E$59+$AC18*Geometry!$D$42:$D$59)&gt;0)*(($AA18+$AB18*Geometry!$E$42:$E$59+$AC18*Geometry!$D$42:$D$59)&lt;eco)+eco*(($AA18+$AB18*Geometry!$E$42:$E$59+$AC18*Geometry!$D$42:$D$59)&gt;=eco))/eco)^n)*((($AA18+$AB18*Geometry!$E$42:$E$59+$AC18*Geometry!$D$42:$D$59))&gt;0))),Geometry!$F$42:$F$59,Geometry!$E$42:$E$59))/1000000</f>
      </c>
      <c r="CL18" s="32">
        <f>(SUMPRODUCT(alpha*fck*(1-(1-((($AD18+$AE18*Mesh_Y+$AF18*Mesh_X))*(($AD18+$AE18*Mesh_Y+$AF18*Mesh_X)&gt;0)*(($AD18+$AE18*Mesh_Y+$AF18*Mesh_X)&lt;eco)+eco*(($AD18+$AE18*Mesh_Y+$AF18*Mesh_X)&gt;=eco))/eco)^n)*((($AD18+$AE18*Mesh_Y+$AF18*Mesh_X))&gt;0),Mesh_A,Mesh_Y)+SUMPRODUCT((Es*(($AD18+$AE18*Geometry!$E$42:$E$59+$AF18*Geometry!$D$42:$D$59))*(ABS(Es*(($AD18+$AE18*Geometry!$E$42:$E$59+$AF18*Geometry!$D$42:$D$59)))&lt;=fy)+fy*(Es*(($AD18+$AE18*Geometry!$E$42:$E$59+$AF18*Geometry!$D$42:$D$59))&gt;fy)-fy*(Es*(($AD18+$AE18*Geometry!$E$42:$E$59+$AF18*Geometry!$D$42:$D$59))&lt;-fy)-(alpha*fck*(1-(1-((($AD18+$AE18*Geometry!$E$42:$E$59+$AF18*Geometry!$D$42:$D$59))*(($AD18+$AE18*Geometry!$E$42:$E$59+$AF18*Geometry!$D$42:$D$59)&gt;0)*(($AD18+$AE18*Geometry!$E$42:$E$59+$AF18*Geometry!$D$42:$D$59)&lt;eco)+eco*(($AD18+$AE18*Geometry!$E$42:$E$59+$AF18*Geometry!$D$42:$D$59)&gt;=eco))/eco)^n)*((($AD18+$AE18*Geometry!$E$42:$E$59+$AF18*Geometry!$D$42:$D$59))&gt;0))),Geometry!$F$42:$F$59,Geometry!$E$42:$E$59))/1000000</f>
      </c>
      <c r="CM18" s="32">
        <f>(SUMPRODUCT(alpha*fck*(1-(1-((($AG18+$AH18*Mesh_Y+$AI18*Mesh_X))*(($AG18+$AH18*Mesh_Y+$AI18*Mesh_X)&gt;0)*(($AG18+$AH18*Mesh_Y+$AI18*Mesh_X)&lt;eco)+eco*(($AG18+$AH18*Mesh_Y+$AI18*Mesh_X)&gt;=eco))/eco)^n)*((($AG18+$AH18*Mesh_Y+$AI18*Mesh_X))&gt;0),Mesh_A,Mesh_Y)+SUMPRODUCT((Es*(($AG18+$AH18*Geometry!$E$42:$E$59+$AI18*Geometry!$D$42:$D$59))*(ABS(Es*(($AG18+$AH18*Geometry!$E$42:$E$59+$AI18*Geometry!$D$42:$D$59)))&lt;=fy)+fy*(Es*(($AG18+$AH18*Geometry!$E$42:$E$59+$AI18*Geometry!$D$42:$D$59))&gt;fy)-fy*(Es*(($AG18+$AH18*Geometry!$E$42:$E$59+$AI18*Geometry!$D$42:$D$59))&lt;-fy)-(alpha*fck*(1-(1-((($AG18+$AH18*Geometry!$E$42:$E$59+$AI18*Geometry!$D$42:$D$59))*(($AG18+$AH18*Geometry!$E$42:$E$59+$AI18*Geometry!$D$42:$D$59)&gt;0)*(($AG18+$AH18*Geometry!$E$42:$E$59+$AI18*Geometry!$D$42:$D$59)&lt;eco)+eco*(($AG18+$AH18*Geometry!$E$42:$E$59+$AI18*Geometry!$D$42:$D$59)&gt;=eco))/eco)^n)*((($AG18+$AH18*Geometry!$E$42:$E$59+$AI18*Geometry!$D$42:$D$59))&gt;0))),Geometry!$F$42:$F$59,Geometry!$E$42:$E$59))/1000000</f>
      </c>
      <c r="CN18" s="32">
        <f>(SUMPRODUCT(alpha*fck*(1-(1-((($AJ18+$AK18*Mesh_Y+$AL18*Mesh_X))*(($AJ18+$AK18*Mesh_Y+$AL18*Mesh_X)&gt;0)*(($AJ18+$AK18*Mesh_Y+$AL18*Mesh_X)&lt;eco)+eco*(($AJ18+$AK18*Mesh_Y+$AL18*Mesh_X)&gt;=eco))/eco)^n)*((($AJ18+$AK18*Mesh_Y+$AL18*Mesh_X))&gt;0),Mesh_A,Mesh_Y)+SUMPRODUCT((Es*(($AJ18+$AK18*Geometry!$E$42:$E$59+$AL18*Geometry!$D$42:$D$59))*(ABS(Es*(($AJ18+$AK18*Geometry!$E$42:$E$59+$AL18*Geometry!$D$42:$D$59)))&lt;=fy)+fy*(Es*(($AJ18+$AK18*Geometry!$E$42:$E$59+$AL18*Geometry!$D$42:$D$59))&gt;fy)-fy*(Es*(($AJ18+$AK18*Geometry!$E$42:$E$59+$AL18*Geometry!$D$42:$D$59))&lt;-fy)-(alpha*fck*(1-(1-((($AJ18+$AK18*Geometry!$E$42:$E$59+$AL18*Geometry!$D$42:$D$59))*(($AJ18+$AK18*Geometry!$E$42:$E$59+$AL18*Geometry!$D$42:$D$59)&gt;0)*(($AJ18+$AK18*Geometry!$E$42:$E$59+$AL18*Geometry!$D$42:$D$59)&lt;eco)+eco*(($AJ18+$AK18*Geometry!$E$42:$E$59+$AL18*Geometry!$D$42:$D$59)&gt;=eco))/eco)^n)*((($AJ18+$AK18*Geometry!$E$42:$E$59+$AL18*Geometry!$D$42:$D$59))&gt;0))),Geometry!$F$42:$F$59,Geometry!$E$42:$E$59))/1000000</f>
      </c>
      <c r="CO18" s="32">
        <f>(SUMPRODUCT(alpha*fck*(1-(1-((($AM18+$AN18*Mesh_Y+$AO18*Mesh_X))*(($AM18+$AN18*Mesh_Y+$AO18*Mesh_X)&gt;0)*(($AM18+$AN18*Mesh_Y+$AO18*Mesh_X)&lt;eco)+eco*(($AM18+$AN18*Mesh_Y+$AO18*Mesh_X)&gt;=eco))/eco)^n)*((($AM18+$AN18*Mesh_Y+$AO18*Mesh_X))&gt;0),Mesh_A,Mesh_Y)+SUMPRODUCT((Es*(($AM18+$AN18*Geometry!$E$42:$E$59+$AO18*Geometry!$D$42:$D$59))*(ABS(Es*(($AM18+$AN18*Geometry!$E$42:$E$59+$AO18*Geometry!$D$42:$D$59)))&lt;=fy)+fy*(Es*(($AM18+$AN18*Geometry!$E$42:$E$59+$AO18*Geometry!$D$42:$D$59))&gt;fy)-fy*(Es*(($AM18+$AN18*Geometry!$E$42:$E$59+$AO18*Geometry!$D$42:$D$59))&lt;-fy)-(alpha*fck*(1-(1-((($AM18+$AN18*Geometry!$E$42:$E$59+$AO18*Geometry!$D$42:$D$59))*(($AM18+$AN18*Geometry!$E$42:$E$59+$AO18*Geometry!$D$42:$D$59)&gt;0)*(($AM18+$AN18*Geometry!$E$42:$E$59+$AO18*Geometry!$D$42:$D$59)&lt;eco)+eco*(($AM18+$AN18*Geometry!$E$42:$E$59+$AO18*Geometry!$D$42:$D$59)&gt;=eco))/eco)^n)*((($AM18+$AN18*Geometry!$E$42:$E$59+$AO18*Geometry!$D$42:$D$59))&gt;0))),Geometry!$F$42:$F$59,Geometry!$E$42:$E$59))/1000000</f>
      </c>
      <c r="CP18" s="32">
        <f>(SUMPRODUCT(alpha*fck*(1-(1-((($AP18+$AQ18*Mesh_Y+$AR18*Mesh_X))*(($AP18+$AQ18*Mesh_Y+$AR18*Mesh_X)&gt;0)*(($AP18+$AQ18*Mesh_Y+$AR18*Mesh_X)&lt;eco)+eco*(($AP18+$AQ18*Mesh_Y+$AR18*Mesh_X)&gt;=eco))/eco)^n)*((($AP18+$AQ18*Mesh_Y+$AR18*Mesh_X))&gt;0),Mesh_A,Mesh_Y)+SUMPRODUCT((Es*(($AP18+$AQ18*Geometry!$E$42:$E$59+$AR18*Geometry!$D$42:$D$59))*(ABS(Es*(($AP18+$AQ18*Geometry!$E$42:$E$59+$AR18*Geometry!$D$42:$D$59)))&lt;=fy)+fy*(Es*(($AP18+$AQ18*Geometry!$E$42:$E$59+$AR18*Geometry!$D$42:$D$59))&gt;fy)-fy*(Es*(($AP18+$AQ18*Geometry!$E$42:$E$59+$AR18*Geometry!$D$42:$D$59))&lt;-fy)-(alpha*fck*(1-(1-((($AP18+$AQ18*Geometry!$E$42:$E$59+$AR18*Geometry!$D$42:$D$59))*(($AP18+$AQ18*Geometry!$E$42:$E$59+$AR18*Geometry!$D$42:$D$59)&gt;0)*(($AP18+$AQ18*Geometry!$E$42:$E$59+$AR18*Geometry!$D$42:$D$59)&lt;eco)+eco*(($AP18+$AQ18*Geometry!$E$42:$E$59+$AR18*Geometry!$D$42:$D$59)&gt;=eco))/eco)^n)*((($AP18+$AQ18*Geometry!$E$42:$E$59+$AR18*Geometry!$D$42:$D$59))&gt;0))),Geometry!$F$42:$F$59,Geometry!$E$42:$E$59))/1000000</f>
      </c>
      <c r="CQ18" s="32">
        <f>(SUMPRODUCT(alpha*fck*(1-(1-((($AS18+$AT18*Mesh_Y+$AU18*Mesh_X))*(($AS18+$AT18*Mesh_Y+$AU18*Mesh_X)&gt;0)*(($AS18+$AT18*Mesh_Y+$AU18*Mesh_X)&lt;eco)+eco*(($AS18+$AT18*Mesh_Y+$AU18*Mesh_X)&gt;=eco))/eco)^n)*((($AS18+$AT18*Mesh_Y+$AU18*Mesh_X))&gt;0),Mesh_A,Mesh_Y)+SUMPRODUCT((Es*(($AS18+$AT18*Geometry!$E$42:$E$59+$AU18*Geometry!$D$42:$D$59))*(ABS(Es*(($AS18+$AT18*Geometry!$E$42:$E$59+$AU18*Geometry!$D$42:$D$59)))&lt;=fy)+fy*(Es*(($AS18+$AT18*Geometry!$E$42:$E$59+$AU18*Geometry!$D$42:$D$59))&gt;fy)-fy*(Es*(($AS18+$AT18*Geometry!$E$42:$E$59+$AU18*Geometry!$D$42:$D$59))&lt;-fy)-(alpha*fck*(1-(1-((($AS18+$AT18*Geometry!$E$42:$E$59+$AU18*Geometry!$D$42:$D$59))*(($AS18+$AT18*Geometry!$E$42:$E$59+$AU18*Geometry!$D$42:$D$59)&gt;0)*(($AS18+$AT18*Geometry!$E$42:$E$59+$AU18*Geometry!$D$42:$D$59)&lt;eco)+eco*(($AS18+$AT18*Geometry!$E$42:$E$59+$AU18*Geometry!$D$42:$D$59)&gt;=eco))/eco)^n)*((($AS18+$AT18*Geometry!$E$42:$E$59+$AU18*Geometry!$D$42:$D$59))&gt;0))),Geometry!$F$42:$F$59,Geometry!$E$42:$E$59))/1000000</f>
      </c>
      <c r="CR18" s="32">
        <f>(SUMPRODUCT(alpha*fck*(1-(1-((($AV18+$AW18*Mesh_Y+$AX18*Mesh_X))*(($AV18+$AW18*Mesh_Y+$AX18*Mesh_X)&gt;0)*(($AV18+$AW18*Mesh_Y+$AX18*Mesh_X)&lt;eco)+eco*(($AV18+$AW18*Mesh_Y+$AX18*Mesh_X)&gt;=eco))/eco)^n)*((($AV18+$AW18*Mesh_Y+$AX18*Mesh_X))&gt;0),Mesh_A,Mesh_Y)+SUMPRODUCT((Es*(($AV18+$AW18*Geometry!$E$42:$E$59+$AX18*Geometry!$D$42:$D$59))*(ABS(Es*(($AV18+$AW18*Geometry!$E$42:$E$59+$AX18*Geometry!$D$42:$D$59)))&lt;=fy)+fy*(Es*(($AV18+$AW18*Geometry!$E$42:$E$59+$AX18*Geometry!$D$42:$D$59))&gt;fy)-fy*(Es*(($AV18+$AW18*Geometry!$E$42:$E$59+$AX18*Geometry!$D$42:$D$59))&lt;-fy)-(alpha*fck*(1-(1-((($AV18+$AW18*Geometry!$E$42:$E$59+$AX18*Geometry!$D$42:$D$59))*(($AV18+$AW18*Geometry!$E$42:$E$59+$AX18*Geometry!$D$42:$D$59)&gt;0)*(($AV18+$AW18*Geometry!$E$42:$E$59+$AX18*Geometry!$D$42:$D$59)&lt;eco)+eco*(($AV18+$AW18*Geometry!$E$42:$E$59+$AX18*Geometry!$D$42:$D$59)&gt;=eco))/eco)^n)*((($AV18+$AW18*Geometry!$E$42:$E$59+$AX18*Geometry!$D$42:$D$59))&gt;0))),Geometry!$F$42:$F$59,Geometry!$E$42:$E$59))/1000000</f>
      </c>
      <c r="CS18" s="32">
        <f>(SUMPRODUCT(alpha*fck*(1-(1-((($AY18+$AZ18*Mesh_Y+$BA18*Mesh_X))*(($AY18+$AZ18*Mesh_Y+$BA18*Mesh_X)&gt;0)*(($AY18+$AZ18*Mesh_Y+$BA18*Mesh_X)&lt;eco)+eco*(($AY18+$AZ18*Mesh_Y+$BA18*Mesh_X)&gt;=eco))/eco)^n)*((($AY18+$AZ18*Mesh_Y+$BA18*Mesh_X))&gt;0),Mesh_A,Mesh_Y)+SUMPRODUCT((Es*(($AY18+$AZ18*Geometry!$E$42:$E$59+$BA18*Geometry!$D$42:$D$59))*(ABS(Es*(($AY18+$AZ18*Geometry!$E$42:$E$59+$BA18*Geometry!$D$42:$D$59)))&lt;=fy)+fy*(Es*(($AY18+$AZ18*Geometry!$E$42:$E$59+$BA18*Geometry!$D$42:$D$59))&gt;fy)-fy*(Es*(($AY18+$AZ18*Geometry!$E$42:$E$59+$BA18*Geometry!$D$42:$D$59))&lt;-fy)-(alpha*fck*(1-(1-((($AY18+$AZ18*Geometry!$E$42:$E$59+$BA18*Geometry!$D$42:$D$59))*(($AY18+$AZ18*Geometry!$E$42:$E$59+$BA18*Geometry!$D$42:$D$59)&gt;0)*(($AY18+$AZ18*Geometry!$E$42:$E$59+$BA18*Geometry!$D$42:$D$59)&lt;eco)+eco*(($AY18+$AZ18*Geometry!$E$42:$E$59+$BA18*Geometry!$D$42:$D$59)&gt;=eco))/eco)^n)*((($AY18+$AZ18*Geometry!$E$42:$E$59+$BA18*Geometry!$D$42:$D$59))&gt;0))),Geometry!$F$42:$F$59,Geometry!$E$42:$E$59))/1000000</f>
      </c>
      <c r="CT18" s="32">
        <f>(SUMPRODUCT(alpha*fck*(1-(1-((($BB18+$BC18*Mesh_Y+$BD18*Mesh_X))*(($BB18+$BC18*Mesh_Y+$BD18*Mesh_X)&gt;0)*(($BB18+$BC18*Mesh_Y+$BD18*Mesh_X)&lt;eco)+eco*(($BB18+$BC18*Mesh_Y+$BD18*Mesh_X)&gt;=eco))/eco)^n)*((($BB18+$BC18*Mesh_Y+$BD18*Mesh_X))&gt;0),Mesh_A,Mesh_Y)+SUMPRODUCT((Es*(($BB18+$BC18*Geometry!$E$42:$E$59+$BD18*Geometry!$D$42:$D$59))*(ABS(Es*(($BB18+$BC18*Geometry!$E$42:$E$59+$BD18*Geometry!$D$42:$D$59)))&lt;=fy)+fy*(Es*(($BB18+$BC18*Geometry!$E$42:$E$59+$BD18*Geometry!$D$42:$D$59))&gt;fy)-fy*(Es*(($BB18+$BC18*Geometry!$E$42:$E$59+$BD18*Geometry!$D$42:$D$59))&lt;-fy)-(alpha*fck*(1-(1-((($BB18+$BC18*Geometry!$E$42:$E$59+$BD18*Geometry!$D$42:$D$59))*(($BB18+$BC18*Geometry!$E$42:$E$59+$BD18*Geometry!$D$42:$D$59)&gt;0)*(($BB18+$BC18*Geometry!$E$42:$E$59+$BD18*Geometry!$D$42:$D$59)&lt;eco)+eco*(($BB18+$BC18*Geometry!$E$42:$E$59+$BD18*Geometry!$D$42:$D$59)&gt;=eco))/eco)^n)*((($BB18+$BC18*Geometry!$E$42:$E$59+$BD18*Geometry!$D$42:$D$59))&gt;0))),Geometry!$F$42:$F$59,Geometry!$E$42:$E$59))/1000000</f>
      </c>
      <c r="CU18" s="32">
        <f>(SUMPRODUCT(alpha*fck*(1-(1-((($BE18+$BF18*Mesh_Y+$BG18*Mesh_X))*(($BE18+$BF18*Mesh_Y+$BG18*Mesh_X)&gt;0)*(($BE18+$BF18*Mesh_Y+$BG18*Mesh_X)&lt;eco)+eco*(($BE18+$BF18*Mesh_Y+$BG18*Mesh_X)&gt;=eco))/eco)^n)*((($BE18+$BF18*Mesh_Y+$BG18*Mesh_X))&gt;0),Mesh_A,Mesh_Y)+SUMPRODUCT((Es*(($BE18+$BF18*Geometry!$E$42:$E$59+$BG18*Geometry!$D$42:$D$59))*(ABS(Es*(($BE18+$BF18*Geometry!$E$42:$E$59+$BG18*Geometry!$D$42:$D$59)))&lt;=fy)+fy*(Es*(($BE18+$BF18*Geometry!$E$42:$E$59+$BG18*Geometry!$D$42:$D$59))&gt;fy)-fy*(Es*(($BE18+$BF18*Geometry!$E$42:$E$59+$BG18*Geometry!$D$42:$D$59))&lt;-fy)-(alpha*fck*(1-(1-((($BE18+$BF18*Geometry!$E$42:$E$59+$BG18*Geometry!$D$42:$D$59))*(($BE18+$BF18*Geometry!$E$42:$E$59+$BG18*Geometry!$D$42:$D$59)&gt;0)*(($BE18+$BF18*Geometry!$E$42:$E$59+$BG18*Geometry!$D$42:$D$59)&lt;eco)+eco*(($BE18+$BF18*Geometry!$E$42:$E$59+$BG18*Geometry!$D$42:$D$59)&gt;=eco))/eco)^n)*((($BE18+$BF18*Geometry!$E$42:$E$59+$BG18*Geometry!$D$42:$D$59))&gt;0))),Geometry!$F$42:$F$59,Geometry!$E$42:$E$59))/1000000</f>
      </c>
      <c r="CV18" s="32">
        <f>(SUMPRODUCT(alpha*fck*(1-(1-((($BH18+$BI18*Mesh_Y+$BJ18*Mesh_X))*(($BH18+$BI18*Mesh_Y+$BJ18*Mesh_X)&gt;0)*(($BH18+$BI18*Mesh_Y+$BJ18*Mesh_X)&lt;eco)+eco*(($BH18+$BI18*Mesh_Y+$BJ18*Mesh_X)&gt;=eco))/eco)^n)*((($BH18+$BI18*Mesh_Y+$BJ18*Mesh_X))&gt;0),Mesh_A,Mesh_Y)+SUMPRODUCT((Es*(($BH18+$BI18*Geometry!$E$42:$E$59+$BJ18*Geometry!$D$42:$D$59))*(ABS(Es*(($BH18+$BI18*Geometry!$E$42:$E$59+$BJ18*Geometry!$D$42:$D$59)))&lt;=fy)+fy*(Es*(($BH18+$BI18*Geometry!$E$42:$E$59+$BJ18*Geometry!$D$42:$D$59))&gt;fy)-fy*(Es*(($BH18+$BI18*Geometry!$E$42:$E$59+$BJ18*Geometry!$D$42:$D$59))&lt;-fy)-(alpha*fck*(1-(1-((($BH18+$BI18*Geometry!$E$42:$E$59+$BJ18*Geometry!$D$42:$D$59))*(($BH18+$BI18*Geometry!$E$42:$E$59+$BJ18*Geometry!$D$42:$D$59)&gt;0)*(($BH18+$BI18*Geometry!$E$42:$E$59+$BJ18*Geometry!$D$42:$D$59)&lt;eco)+eco*(($BH18+$BI18*Geometry!$E$42:$E$59+$BJ18*Geometry!$D$42:$D$59)&gt;=eco))/eco)^n)*((($BH18+$BI18*Geometry!$E$42:$E$59+$BJ18*Geometry!$D$42:$D$59))&gt;0))),Geometry!$F$42:$F$59,Geometry!$E$42:$E$59))/1000000</f>
      </c>
      <c r="CW18" s="32">
        <f>(SUMPRODUCT(alpha*fck*(1-(1-((($F18+$G18*Mesh_Y+$H18*Mesh_X))*(($F18+$G18*Mesh_Y+$H18*Mesh_X)&gt;0)*(($F18+$G18*Mesh_Y+$H18*Mesh_X)&lt;eco)+eco*(($F18+$G18*Mesh_Y+$H18*Mesh_X)&gt;=eco))/eco)^n)*((($F18+$G18*Mesh_Y+$H18*Mesh_X))&gt;0),Mesh_A,Mesh_X)+SUMPRODUCT((Es*(($F18+$G18*Geometry!$E$42:$E$59+$H18*Geometry!$D$42:$D$59))*(ABS(Es*(($F18+$G18*Geometry!$E$42:$E$59+$H18*Geometry!$D$42:$D$59)))&lt;=fy)+fy*(Es*(($F18+$G18*Geometry!$E$42:$E$59+$H18*Geometry!$D$42:$D$59))&gt;fy)-fy*(Es*(($F18+$G18*Geometry!$E$42:$E$59+$H18*Geometry!$D$42:$D$59))&lt;-fy)-(alpha*fck*(1-(1-((($F18+$G18*Geometry!$E$42:$E$59+$H18*Geometry!$D$42:$D$59))*(($F18+$G18*Geometry!$E$42:$E$59+$H18*Geometry!$D$42:$D$59)&gt;0)*(($F18+$G18*Geometry!$E$42:$E$59+$H18*Geometry!$D$42:$D$59)&lt;eco)+eco*(($F18+$G18*Geometry!$E$42:$E$59+$H18*Geometry!$D$42:$D$59)&gt;=eco))/eco)^n)*((($F18+$G18*Geometry!$E$42:$E$59+$H18*Geometry!$D$42:$D$59))&gt;0))),Geometry!$F$42:$F$59,Geometry!$D$42:$D$59))/1000000</f>
      </c>
      <c r="CX18" s="32">
        <f>(SUMPRODUCT(alpha*fck*(1-(1-((($I18+$J18*Mesh_Y+$K18*Mesh_X))*(($I18+$J18*Mesh_Y+$K18*Mesh_X)&gt;0)*(($I18+$J18*Mesh_Y+$K18*Mesh_X)&lt;eco)+eco*(($I18+$J18*Mesh_Y+$K18*Mesh_X)&gt;=eco))/eco)^n)*((($I18+$J18*Mesh_Y+$K18*Mesh_X))&gt;0),Mesh_A,Mesh_X)+SUMPRODUCT((Es*(($I18+$J18*Geometry!$E$42:$E$59+$K18*Geometry!$D$42:$D$59))*(ABS(Es*(($I18+$J18*Geometry!$E$42:$E$59+$K18*Geometry!$D$42:$D$59)))&lt;=fy)+fy*(Es*(($I18+$J18*Geometry!$E$42:$E$59+$K18*Geometry!$D$42:$D$59))&gt;fy)-fy*(Es*(($I18+$J18*Geometry!$E$42:$E$59+$K18*Geometry!$D$42:$D$59))&lt;-fy)-(alpha*fck*(1-(1-((($I18+$J18*Geometry!$E$42:$E$59+$K18*Geometry!$D$42:$D$59))*(($I18+$J18*Geometry!$E$42:$E$59+$K18*Geometry!$D$42:$D$59)&gt;0)*(($I18+$J18*Geometry!$E$42:$E$59+$K18*Geometry!$D$42:$D$59)&lt;eco)+eco*(($I18+$J18*Geometry!$E$42:$E$59+$K18*Geometry!$D$42:$D$59)&gt;=eco))/eco)^n)*((($I18+$J18*Geometry!$E$42:$E$59+$K18*Geometry!$D$42:$D$59))&gt;0))),Geometry!$F$42:$F$59,Geometry!$D$42:$D$59))/1000000</f>
      </c>
      <c r="CY18" s="32">
        <f>(SUMPRODUCT(alpha*fck*(1-(1-((($L18+$M18*Mesh_Y+$N18*Mesh_X))*(($L18+$M18*Mesh_Y+$N18*Mesh_X)&gt;0)*(($L18+$M18*Mesh_Y+$N18*Mesh_X)&lt;eco)+eco*(($L18+$M18*Mesh_Y+$N18*Mesh_X)&gt;=eco))/eco)^n)*((($L18+$M18*Mesh_Y+$N18*Mesh_X))&gt;0),Mesh_A,Mesh_X)+SUMPRODUCT((Es*(($L18+$M18*Geometry!$E$42:$E$59+$N18*Geometry!$D$42:$D$59))*(ABS(Es*(($L18+$M18*Geometry!$E$42:$E$59+$N18*Geometry!$D$42:$D$59)))&lt;=fy)+fy*(Es*(($L18+$M18*Geometry!$E$42:$E$59+$N18*Geometry!$D$42:$D$59))&gt;fy)-fy*(Es*(($L18+$M18*Geometry!$E$42:$E$59+$N18*Geometry!$D$42:$D$59))&lt;-fy)-(alpha*fck*(1-(1-((($L18+$M18*Geometry!$E$42:$E$59+$N18*Geometry!$D$42:$D$59))*(($L18+$M18*Geometry!$E$42:$E$59+$N18*Geometry!$D$42:$D$59)&gt;0)*(($L18+$M18*Geometry!$E$42:$E$59+$N18*Geometry!$D$42:$D$59)&lt;eco)+eco*(($L18+$M18*Geometry!$E$42:$E$59+$N18*Geometry!$D$42:$D$59)&gt;=eco))/eco)^n)*((($L18+$M18*Geometry!$E$42:$E$59+$N18*Geometry!$D$42:$D$59))&gt;0))),Geometry!$F$42:$F$59,Geometry!$D$42:$D$59))/1000000</f>
      </c>
      <c r="CZ18" s="32">
        <f>(SUMPRODUCT(alpha*fck*(1-(1-((($O18+$P18*Mesh_Y+$Q18*Mesh_X))*(($O18+$P18*Mesh_Y+$Q18*Mesh_X)&gt;0)*(($O18+$P18*Mesh_Y+$Q18*Mesh_X)&lt;eco)+eco*(($O18+$P18*Mesh_Y+$Q18*Mesh_X)&gt;=eco))/eco)^n)*((($O18+$P18*Mesh_Y+$Q18*Mesh_X))&gt;0),Mesh_A,Mesh_X)+SUMPRODUCT((Es*(($O18+$P18*Geometry!$E$42:$E$59+$Q18*Geometry!$D$42:$D$59))*(ABS(Es*(($O18+$P18*Geometry!$E$42:$E$59+$Q18*Geometry!$D$42:$D$59)))&lt;=fy)+fy*(Es*(($O18+$P18*Geometry!$E$42:$E$59+$Q18*Geometry!$D$42:$D$59))&gt;fy)-fy*(Es*(($O18+$P18*Geometry!$E$42:$E$59+$Q18*Geometry!$D$42:$D$59))&lt;-fy)-(alpha*fck*(1-(1-((($O18+$P18*Geometry!$E$42:$E$59+$Q18*Geometry!$D$42:$D$59))*(($O18+$P18*Geometry!$E$42:$E$59+$Q18*Geometry!$D$42:$D$59)&gt;0)*(($O18+$P18*Geometry!$E$42:$E$59+$Q18*Geometry!$D$42:$D$59)&lt;eco)+eco*(($O18+$P18*Geometry!$E$42:$E$59+$Q18*Geometry!$D$42:$D$59)&gt;=eco))/eco)^n)*((($O18+$P18*Geometry!$E$42:$E$59+$Q18*Geometry!$D$42:$D$59))&gt;0))),Geometry!$F$42:$F$59,Geometry!$D$42:$D$59))/1000000</f>
      </c>
      <c r="DA18" s="32">
        <f>(SUMPRODUCT(alpha*fck*(1-(1-((($R18+$S18*Mesh_Y+$T18*Mesh_X))*(($R18+$S18*Mesh_Y+$T18*Mesh_X)&gt;0)*(($R18+$S18*Mesh_Y+$T18*Mesh_X)&lt;eco)+eco*(($R18+$S18*Mesh_Y+$T18*Mesh_X)&gt;=eco))/eco)^n)*((($R18+$S18*Mesh_Y+$T18*Mesh_X))&gt;0),Mesh_A,Mesh_X)+SUMPRODUCT((Es*(($R18+$S18*Geometry!$E$42:$E$59+$T18*Geometry!$D$42:$D$59))*(ABS(Es*(($R18+$S18*Geometry!$E$42:$E$59+$T18*Geometry!$D$42:$D$59)))&lt;=fy)+fy*(Es*(($R18+$S18*Geometry!$E$42:$E$59+$T18*Geometry!$D$42:$D$59))&gt;fy)-fy*(Es*(($R18+$S18*Geometry!$E$42:$E$59+$T18*Geometry!$D$42:$D$59))&lt;-fy)-(alpha*fck*(1-(1-((($R18+$S18*Geometry!$E$42:$E$59+$T18*Geometry!$D$42:$D$59))*(($R18+$S18*Geometry!$E$42:$E$59+$T18*Geometry!$D$42:$D$59)&gt;0)*(($R18+$S18*Geometry!$E$42:$E$59+$T18*Geometry!$D$42:$D$59)&lt;eco)+eco*(($R18+$S18*Geometry!$E$42:$E$59+$T18*Geometry!$D$42:$D$59)&gt;=eco))/eco)^n)*((($R18+$S18*Geometry!$E$42:$E$59+$T18*Geometry!$D$42:$D$59))&gt;0))),Geometry!$F$42:$F$59,Geometry!$D$42:$D$59))/1000000</f>
      </c>
      <c r="DB18" s="32">
        <f>(SUMPRODUCT(alpha*fck*(1-(1-((($U18+$V18*Mesh_Y+$W18*Mesh_X))*(($U18+$V18*Mesh_Y+$W18*Mesh_X)&gt;0)*(($U18+$V18*Mesh_Y+$W18*Mesh_X)&lt;eco)+eco*(($U18+$V18*Mesh_Y+$W18*Mesh_X)&gt;=eco))/eco)^n)*((($U18+$V18*Mesh_Y+$W18*Mesh_X))&gt;0),Mesh_A,Mesh_X)+SUMPRODUCT((Es*(($U18+$V18*Geometry!$E$42:$E$59+$W18*Geometry!$D$42:$D$59))*(ABS(Es*(($U18+$V18*Geometry!$E$42:$E$59+$W18*Geometry!$D$42:$D$59)))&lt;=fy)+fy*(Es*(($U18+$V18*Geometry!$E$42:$E$59+$W18*Geometry!$D$42:$D$59))&gt;fy)-fy*(Es*(($U18+$V18*Geometry!$E$42:$E$59+$W18*Geometry!$D$42:$D$59))&lt;-fy)-(alpha*fck*(1-(1-((($U18+$V18*Geometry!$E$42:$E$59+$W18*Geometry!$D$42:$D$59))*(($U18+$V18*Geometry!$E$42:$E$59+$W18*Geometry!$D$42:$D$59)&gt;0)*(($U18+$V18*Geometry!$E$42:$E$59+$W18*Geometry!$D$42:$D$59)&lt;eco)+eco*(($U18+$V18*Geometry!$E$42:$E$59+$W18*Geometry!$D$42:$D$59)&gt;=eco))/eco)^n)*((($U18+$V18*Geometry!$E$42:$E$59+$W18*Geometry!$D$42:$D$59))&gt;0))),Geometry!$F$42:$F$59,Geometry!$D$42:$D$59))/1000000</f>
      </c>
      <c r="DC18" s="32">
        <f>(SUMPRODUCT(alpha*fck*(1-(1-((($X18+$Y18*Mesh_Y+$Z18*Mesh_X))*(($X18+$Y18*Mesh_Y+$Z18*Mesh_X)&gt;0)*(($X18+$Y18*Mesh_Y+$Z18*Mesh_X)&lt;eco)+eco*(($X18+$Y18*Mesh_Y+$Z18*Mesh_X)&gt;=eco))/eco)^n)*((($X18+$Y18*Mesh_Y+$Z18*Mesh_X))&gt;0),Mesh_A,Mesh_X)+SUMPRODUCT((Es*(($X18+$Y18*Geometry!$E$42:$E$59+$Z18*Geometry!$D$42:$D$59))*(ABS(Es*(($X18+$Y18*Geometry!$E$42:$E$59+$Z18*Geometry!$D$42:$D$59)))&lt;=fy)+fy*(Es*(($X18+$Y18*Geometry!$E$42:$E$59+$Z18*Geometry!$D$42:$D$59))&gt;fy)-fy*(Es*(($X18+$Y18*Geometry!$E$42:$E$59+$Z18*Geometry!$D$42:$D$59))&lt;-fy)-(alpha*fck*(1-(1-((($X18+$Y18*Geometry!$E$42:$E$59+$Z18*Geometry!$D$42:$D$59))*(($X18+$Y18*Geometry!$E$42:$E$59+$Z18*Geometry!$D$42:$D$59)&gt;0)*(($X18+$Y18*Geometry!$E$42:$E$59+$Z18*Geometry!$D$42:$D$59)&lt;eco)+eco*(($X18+$Y18*Geometry!$E$42:$E$59+$Z18*Geometry!$D$42:$D$59)&gt;=eco))/eco)^n)*((($X18+$Y18*Geometry!$E$42:$E$59+$Z18*Geometry!$D$42:$D$59))&gt;0))),Geometry!$F$42:$F$59,Geometry!$D$42:$D$59))/1000000</f>
      </c>
      <c r="DD18" s="32">
        <f>(SUMPRODUCT(alpha*fck*(1-(1-((($AA18+$AB18*Mesh_Y+$AC18*Mesh_X))*(($AA18+$AB18*Mesh_Y+$AC18*Mesh_X)&gt;0)*(($AA18+$AB18*Mesh_Y+$AC18*Mesh_X)&lt;eco)+eco*(($AA18+$AB18*Mesh_Y+$AC18*Mesh_X)&gt;=eco))/eco)^n)*((($AA18+$AB18*Mesh_Y+$AC18*Mesh_X))&gt;0),Mesh_A,Mesh_X)+SUMPRODUCT((Es*(($AA18+$AB18*Geometry!$E$42:$E$59+$AC18*Geometry!$D$42:$D$59))*(ABS(Es*(($AA18+$AB18*Geometry!$E$42:$E$59+$AC18*Geometry!$D$42:$D$59)))&lt;=fy)+fy*(Es*(($AA18+$AB18*Geometry!$E$42:$E$59+$AC18*Geometry!$D$42:$D$59))&gt;fy)-fy*(Es*(($AA18+$AB18*Geometry!$E$42:$E$59+$AC18*Geometry!$D$42:$D$59))&lt;-fy)-(alpha*fck*(1-(1-((($AA18+$AB18*Geometry!$E$42:$E$59+$AC18*Geometry!$D$42:$D$59))*(($AA18+$AB18*Geometry!$E$42:$E$59+$AC18*Geometry!$D$42:$D$59)&gt;0)*(($AA18+$AB18*Geometry!$E$42:$E$59+$AC18*Geometry!$D$42:$D$59)&lt;eco)+eco*(($AA18+$AB18*Geometry!$E$42:$E$59+$AC18*Geometry!$D$42:$D$59)&gt;=eco))/eco)^n)*((($AA18+$AB18*Geometry!$E$42:$E$59+$AC18*Geometry!$D$42:$D$59))&gt;0))),Geometry!$F$42:$F$59,Geometry!$D$42:$D$59))/1000000</f>
      </c>
      <c r="DE18" s="32">
        <f>(SUMPRODUCT(alpha*fck*(1-(1-((($AD18+$AE18*Mesh_Y+$AF18*Mesh_X))*(($AD18+$AE18*Mesh_Y+$AF18*Mesh_X)&gt;0)*(($AD18+$AE18*Mesh_Y+$AF18*Mesh_X)&lt;eco)+eco*(($AD18+$AE18*Mesh_Y+$AF18*Mesh_X)&gt;=eco))/eco)^n)*((($AD18+$AE18*Mesh_Y+$AF18*Mesh_X))&gt;0),Mesh_A,Mesh_X)+SUMPRODUCT((Es*(($AD18+$AE18*Geometry!$E$42:$E$59+$AF18*Geometry!$D$42:$D$59))*(ABS(Es*(($AD18+$AE18*Geometry!$E$42:$E$59+$AF18*Geometry!$D$42:$D$59)))&lt;=fy)+fy*(Es*(($AD18+$AE18*Geometry!$E$42:$E$59+$AF18*Geometry!$D$42:$D$59))&gt;fy)-fy*(Es*(($AD18+$AE18*Geometry!$E$42:$E$59+$AF18*Geometry!$D$42:$D$59))&lt;-fy)-(alpha*fck*(1-(1-((($AD18+$AE18*Geometry!$E$42:$E$59+$AF18*Geometry!$D$42:$D$59))*(($AD18+$AE18*Geometry!$E$42:$E$59+$AF18*Geometry!$D$42:$D$59)&gt;0)*(($AD18+$AE18*Geometry!$E$42:$E$59+$AF18*Geometry!$D$42:$D$59)&lt;eco)+eco*(($AD18+$AE18*Geometry!$E$42:$E$59+$AF18*Geometry!$D$42:$D$59)&gt;=eco))/eco)^n)*((($AD18+$AE18*Geometry!$E$42:$E$59+$AF18*Geometry!$D$42:$D$59))&gt;0))),Geometry!$F$42:$F$59,Geometry!$D$42:$D$59))/1000000</f>
      </c>
      <c r="DF18" s="32">
        <f>(SUMPRODUCT(alpha*fck*(1-(1-((($AG18+$AH18*Mesh_Y+$AI18*Mesh_X))*(($AG18+$AH18*Mesh_Y+$AI18*Mesh_X)&gt;0)*(($AG18+$AH18*Mesh_Y+$AI18*Mesh_X)&lt;eco)+eco*(($AG18+$AH18*Mesh_Y+$AI18*Mesh_X)&gt;=eco))/eco)^n)*((($AG18+$AH18*Mesh_Y+$AI18*Mesh_X))&gt;0),Mesh_A,Mesh_X)+SUMPRODUCT((Es*(($AG18+$AH18*Geometry!$E$42:$E$59+$AI18*Geometry!$D$42:$D$59))*(ABS(Es*(($AG18+$AH18*Geometry!$E$42:$E$59+$AI18*Geometry!$D$42:$D$59)))&lt;=fy)+fy*(Es*(($AG18+$AH18*Geometry!$E$42:$E$59+$AI18*Geometry!$D$42:$D$59))&gt;fy)-fy*(Es*(($AG18+$AH18*Geometry!$E$42:$E$59+$AI18*Geometry!$D$42:$D$59))&lt;-fy)-(alpha*fck*(1-(1-((($AG18+$AH18*Geometry!$E$42:$E$59+$AI18*Geometry!$D$42:$D$59))*(($AG18+$AH18*Geometry!$E$42:$E$59+$AI18*Geometry!$D$42:$D$59)&gt;0)*(($AG18+$AH18*Geometry!$E$42:$E$59+$AI18*Geometry!$D$42:$D$59)&lt;eco)+eco*(($AG18+$AH18*Geometry!$E$42:$E$59+$AI18*Geometry!$D$42:$D$59)&gt;=eco))/eco)^n)*((($AG18+$AH18*Geometry!$E$42:$E$59+$AI18*Geometry!$D$42:$D$59))&gt;0))),Geometry!$F$42:$F$59,Geometry!$D$42:$D$59))/1000000</f>
      </c>
      <c r="DG18" s="32">
        <f>(SUMPRODUCT(alpha*fck*(1-(1-((($AJ18+$AK18*Mesh_Y+$AL18*Mesh_X))*(($AJ18+$AK18*Mesh_Y+$AL18*Mesh_X)&gt;0)*(($AJ18+$AK18*Mesh_Y+$AL18*Mesh_X)&lt;eco)+eco*(($AJ18+$AK18*Mesh_Y+$AL18*Mesh_X)&gt;=eco))/eco)^n)*((($AJ18+$AK18*Mesh_Y+$AL18*Mesh_X))&gt;0),Mesh_A,Mesh_X)+SUMPRODUCT((Es*(($AJ18+$AK18*Geometry!$E$42:$E$59+$AL18*Geometry!$D$42:$D$59))*(ABS(Es*(($AJ18+$AK18*Geometry!$E$42:$E$59+$AL18*Geometry!$D$42:$D$59)))&lt;=fy)+fy*(Es*(($AJ18+$AK18*Geometry!$E$42:$E$59+$AL18*Geometry!$D$42:$D$59))&gt;fy)-fy*(Es*(($AJ18+$AK18*Geometry!$E$42:$E$59+$AL18*Geometry!$D$42:$D$59))&lt;-fy)-(alpha*fck*(1-(1-((($AJ18+$AK18*Geometry!$E$42:$E$59+$AL18*Geometry!$D$42:$D$59))*(($AJ18+$AK18*Geometry!$E$42:$E$59+$AL18*Geometry!$D$42:$D$59)&gt;0)*(($AJ18+$AK18*Geometry!$E$42:$E$59+$AL18*Geometry!$D$42:$D$59)&lt;eco)+eco*(($AJ18+$AK18*Geometry!$E$42:$E$59+$AL18*Geometry!$D$42:$D$59)&gt;=eco))/eco)^n)*((($AJ18+$AK18*Geometry!$E$42:$E$59+$AL18*Geometry!$D$42:$D$59))&gt;0))),Geometry!$F$42:$F$59,Geometry!$D$42:$D$59))/1000000</f>
      </c>
      <c r="DH18" s="32">
        <f>(SUMPRODUCT(alpha*fck*(1-(1-((($AM18+$AN18*Mesh_Y+$AO18*Mesh_X))*(($AM18+$AN18*Mesh_Y+$AO18*Mesh_X)&gt;0)*(($AM18+$AN18*Mesh_Y+$AO18*Mesh_X)&lt;eco)+eco*(($AM18+$AN18*Mesh_Y+$AO18*Mesh_X)&gt;=eco))/eco)^n)*((($AM18+$AN18*Mesh_Y+$AO18*Mesh_X))&gt;0),Mesh_A,Mesh_X)+SUMPRODUCT((Es*(($AM18+$AN18*Geometry!$E$42:$E$59+$AO18*Geometry!$D$42:$D$59))*(ABS(Es*(($AM18+$AN18*Geometry!$E$42:$E$59+$AO18*Geometry!$D$42:$D$59)))&lt;=fy)+fy*(Es*(($AM18+$AN18*Geometry!$E$42:$E$59+$AO18*Geometry!$D$42:$D$59))&gt;fy)-fy*(Es*(($AM18+$AN18*Geometry!$E$42:$E$59+$AO18*Geometry!$D$42:$D$59))&lt;-fy)-(alpha*fck*(1-(1-((($AM18+$AN18*Geometry!$E$42:$E$59+$AO18*Geometry!$D$42:$D$59))*(($AM18+$AN18*Geometry!$E$42:$E$59+$AO18*Geometry!$D$42:$D$59)&gt;0)*(($AM18+$AN18*Geometry!$E$42:$E$59+$AO18*Geometry!$D$42:$D$59)&lt;eco)+eco*(($AM18+$AN18*Geometry!$E$42:$E$59+$AO18*Geometry!$D$42:$D$59)&gt;=eco))/eco)^n)*((($AM18+$AN18*Geometry!$E$42:$E$59+$AO18*Geometry!$D$42:$D$59))&gt;0))),Geometry!$F$42:$F$59,Geometry!$D$42:$D$59))/1000000</f>
      </c>
      <c r="DI18" s="32">
        <f>(SUMPRODUCT(alpha*fck*(1-(1-((($AP18+$AQ18*Mesh_Y+$AR18*Mesh_X))*(($AP18+$AQ18*Mesh_Y+$AR18*Mesh_X)&gt;0)*(($AP18+$AQ18*Mesh_Y+$AR18*Mesh_X)&lt;eco)+eco*(($AP18+$AQ18*Mesh_Y+$AR18*Mesh_X)&gt;=eco))/eco)^n)*((($AP18+$AQ18*Mesh_Y+$AR18*Mesh_X))&gt;0),Mesh_A,Mesh_X)+SUMPRODUCT((Es*(($AP18+$AQ18*Geometry!$E$42:$E$59+$AR18*Geometry!$D$42:$D$59))*(ABS(Es*(($AP18+$AQ18*Geometry!$E$42:$E$59+$AR18*Geometry!$D$42:$D$59)))&lt;=fy)+fy*(Es*(($AP18+$AQ18*Geometry!$E$42:$E$59+$AR18*Geometry!$D$42:$D$59))&gt;fy)-fy*(Es*(($AP18+$AQ18*Geometry!$E$42:$E$59+$AR18*Geometry!$D$42:$D$59))&lt;-fy)-(alpha*fck*(1-(1-((($AP18+$AQ18*Geometry!$E$42:$E$59+$AR18*Geometry!$D$42:$D$59))*(($AP18+$AQ18*Geometry!$E$42:$E$59+$AR18*Geometry!$D$42:$D$59)&gt;0)*(($AP18+$AQ18*Geometry!$E$42:$E$59+$AR18*Geometry!$D$42:$D$59)&lt;eco)+eco*(($AP18+$AQ18*Geometry!$E$42:$E$59+$AR18*Geometry!$D$42:$D$59)&gt;=eco))/eco)^n)*((($AP18+$AQ18*Geometry!$E$42:$E$59+$AR18*Geometry!$D$42:$D$59))&gt;0))),Geometry!$F$42:$F$59,Geometry!$D$42:$D$59))/1000000</f>
      </c>
      <c r="DJ18" s="32">
        <f>(SUMPRODUCT(alpha*fck*(1-(1-((($AS18+$AT18*Mesh_Y+$AU18*Mesh_X))*(($AS18+$AT18*Mesh_Y+$AU18*Mesh_X)&gt;0)*(($AS18+$AT18*Mesh_Y+$AU18*Mesh_X)&lt;eco)+eco*(($AS18+$AT18*Mesh_Y+$AU18*Mesh_X)&gt;=eco))/eco)^n)*((($AS18+$AT18*Mesh_Y+$AU18*Mesh_X))&gt;0),Mesh_A,Mesh_X)+SUMPRODUCT((Es*(($AS18+$AT18*Geometry!$E$42:$E$59+$AU18*Geometry!$D$42:$D$59))*(ABS(Es*(($AS18+$AT18*Geometry!$E$42:$E$59+$AU18*Geometry!$D$42:$D$59)))&lt;=fy)+fy*(Es*(($AS18+$AT18*Geometry!$E$42:$E$59+$AU18*Geometry!$D$42:$D$59))&gt;fy)-fy*(Es*(($AS18+$AT18*Geometry!$E$42:$E$59+$AU18*Geometry!$D$42:$D$59))&lt;-fy)-(alpha*fck*(1-(1-((($AS18+$AT18*Geometry!$E$42:$E$59+$AU18*Geometry!$D$42:$D$59))*(($AS18+$AT18*Geometry!$E$42:$E$59+$AU18*Geometry!$D$42:$D$59)&gt;0)*(($AS18+$AT18*Geometry!$E$42:$E$59+$AU18*Geometry!$D$42:$D$59)&lt;eco)+eco*(($AS18+$AT18*Geometry!$E$42:$E$59+$AU18*Geometry!$D$42:$D$59)&gt;=eco))/eco)^n)*((($AS18+$AT18*Geometry!$E$42:$E$59+$AU18*Geometry!$D$42:$D$59))&gt;0))),Geometry!$F$42:$F$59,Geometry!$D$42:$D$59))/1000000</f>
      </c>
      <c r="DK18" s="32">
        <f>(SUMPRODUCT(alpha*fck*(1-(1-((($AV18+$AW18*Mesh_Y+$AX18*Mesh_X))*(($AV18+$AW18*Mesh_Y+$AX18*Mesh_X)&gt;0)*(($AV18+$AW18*Mesh_Y+$AX18*Mesh_X)&lt;eco)+eco*(($AV18+$AW18*Mesh_Y+$AX18*Mesh_X)&gt;=eco))/eco)^n)*((($AV18+$AW18*Mesh_Y+$AX18*Mesh_X))&gt;0),Mesh_A,Mesh_X)+SUMPRODUCT((Es*(($AV18+$AW18*Geometry!$E$42:$E$59+$AX18*Geometry!$D$42:$D$59))*(ABS(Es*(($AV18+$AW18*Geometry!$E$42:$E$59+$AX18*Geometry!$D$42:$D$59)))&lt;=fy)+fy*(Es*(($AV18+$AW18*Geometry!$E$42:$E$59+$AX18*Geometry!$D$42:$D$59))&gt;fy)-fy*(Es*(($AV18+$AW18*Geometry!$E$42:$E$59+$AX18*Geometry!$D$42:$D$59))&lt;-fy)-(alpha*fck*(1-(1-((($AV18+$AW18*Geometry!$E$42:$E$59+$AX18*Geometry!$D$42:$D$59))*(($AV18+$AW18*Geometry!$E$42:$E$59+$AX18*Geometry!$D$42:$D$59)&gt;0)*(($AV18+$AW18*Geometry!$E$42:$E$59+$AX18*Geometry!$D$42:$D$59)&lt;eco)+eco*(($AV18+$AW18*Geometry!$E$42:$E$59+$AX18*Geometry!$D$42:$D$59)&gt;=eco))/eco)^n)*((($AV18+$AW18*Geometry!$E$42:$E$59+$AX18*Geometry!$D$42:$D$59))&gt;0))),Geometry!$F$42:$F$59,Geometry!$D$42:$D$59))/1000000</f>
      </c>
      <c r="DL18" s="32">
        <f>(SUMPRODUCT(alpha*fck*(1-(1-((($AY18+$AZ18*Mesh_Y+$BA18*Mesh_X))*(($AY18+$AZ18*Mesh_Y+$BA18*Mesh_X)&gt;0)*(($AY18+$AZ18*Mesh_Y+$BA18*Mesh_X)&lt;eco)+eco*(($AY18+$AZ18*Mesh_Y+$BA18*Mesh_X)&gt;=eco))/eco)^n)*((($AY18+$AZ18*Mesh_Y+$BA18*Mesh_X))&gt;0),Mesh_A,Mesh_X)+SUMPRODUCT((Es*(($AY18+$AZ18*Geometry!$E$42:$E$59+$BA18*Geometry!$D$42:$D$59))*(ABS(Es*(($AY18+$AZ18*Geometry!$E$42:$E$59+$BA18*Geometry!$D$42:$D$59)))&lt;=fy)+fy*(Es*(($AY18+$AZ18*Geometry!$E$42:$E$59+$BA18*Geometry!$D$42:$D$59))&gt;fy)-fy*(Es*(($AY18+$AZ18*Geometry!$E$42:$E$59+$BA18*Geometry!$D$42:$D$59))&lt;-fy)-(alpha*fck*(1-(1-((($AY18+$AZ18*Geometry!$E$42:$E$59+$BA18*Geometry!$D$42:$D$59))*(($AY18+$AZ18*Geometry!$E$42:$E$59+$BA18*Geometry!$D$42:$D$59)&gt;0)*(($AY18+$AZ18*Geometry!$E$42:$E$59+$BA18*Geometry!$D$42:$D$59)&lt;eco)+eco*(($AY18+$AZ18*Geometry!$E$42:$E$59+$BA18*Geometry!$D$42:$D$59)&gt;=eco))/eco)^n)*((($AY18+$AZ18*Geometry!$E$42:$E$59+$BA18*Geometry!$D$42:$D$59))&gt;0))),Geometry!$F$42:$F$59,Geometry!$D$42:$D$59))/1000000</f>
      </c>
      <c r="DM18" s="32">
        <f>(SUMPRODUCT(alpha*fck*(1-(1-((($BB18+$BC18*Mesh_Y+$BD18*Mesh_X))*(($BB18+$BC18*Mesh_Y+$BD18*Mesh_X)&gt;0)*(($BB18+$BC18*Mesh_Y+$BD18*Mesh_X)&lt;eco)+eco*(($BB18+$BC18*Mesh_Y+$BD18*Mesh_X)&gt;=eco))/eco)^n)*((($BB18+$BC18*Mesh_Y+$BD18*Mesh_X))&gt;0),Mesh_A,Mesh_X)+SUMPRODUCT((Es*(($BB18+$BC18*Geometry!$E$42:$E$59+$BD18*Geometry!$D$42:$D$59))*(ABS(Es*(($BB18+$BC18*Geometry!$E$42:$E$59+$BD18*Geometry!$D$42:$D$59)))&lt;=fy)+fy*(Es*(($BB18+$BC18*Geometry!$E$42:$E$59+$BD18*Geometry!$D$42:$D$59))&gt;fy)-fy*(Es*(($BB18+$BC18*Geometry!$E$42:$E$59+$BD18*Geometry!$D$42:$D$59))&lt;-fy)-(alpha*fck*(1-(1-((($BB18+$BC18*Geometry!$E$42:$E$59+$BD18*Geometry!$D$42:$D$59))*(($BB18+$BC18*Geometry!$E$42:$E$59+$BD18*Geometry!$D$42:$D$59)&gt;0)*(($BB18+$BC18*Geometry!$E$42:$E$59+$BD18*Geometry!$D$42:$D$59)&lt;eco)+eco*(($BB18+$BC18*Geometry!$E$42:$E$59+$BD18*Geometry!$D$42:$D$59)&gt;=eco))/eco)^n)*((($BB18+$BC18*Geometry!$E$42:$E$59+$BD18*Geometry!$D$42:$D$59))&gt;0))),Geometry!$F$42:$F$59,Geometry!$D$42:$D$59))/1000000</f>
      </c>
      <c r="DN18" s="32">
        <f>(SUMPRODUCT(alpha*fck*(1-(1-((($BE18+$BF18*Mesh_Y+$BG18*Mesh_X))*(($BE18+$BF18*Mesh_Y+$BG18*Mesh_X)&gt;0)*(($BE18+$BF18*Mesh_Y+$BG18*Mesh_X)&lt;eco)+eco*(($BE18+$BF18*Mesh_Y+$BG18*Mesh_X)&gt;=eco))/eco)^n)*((($BE18+$BF18*Mesh_Y+$BG18*Mesh_X))&gt;0),Mesh_A,Mesh_X)+SUMPRODUCT((Es*(($BE18+$BF18*Geometry!$E$42:$E$59+$BG18*Geometry!$D$42:$D$59))*(ABS(Es*(($BE18+$BF18*Geometry!$E$42:$E$59+$BG18*Geometry!$D$42:$D$59)))&lt;=fy)+fy*(Es*(($BE18+$BF18*Geometry!$E$42:$E$59+$BG18*Geometry!$D$42:$D$59))&gt;fy)-fy*(Es*(($BE18+$BF18*Geometry!$E$42:$E$59+$BG18*Geometry!$D$42:$D$59))&lt;-fy)-(alpha*fck*(1-(1-((($BE18+$BF18*Geometry!$E$42:$E$59+$BG18*Geometry!$D$42:$D$59))*(($BE18+$BF18*Geometry!$E$42:$E$59+$BG18*Geometry!$D$42:$D$59)&gt;0)*(($BE18+$BF18*Geometry!$E$42:$E$59+$BG18*Geometry!$D$42:$D$59)&lt;eco)+eco*(($BE18+$BF18*Geometry!$E$42:$E$59+$BG18*Geometry!$D$42:$D$59)&gt;=eco))/eco)^n)*((($BE18+$BF18*Geometry!$E$42:$E$59+$BG18*Geometry!$D$42:$D$59))&gt;0))),Geometry!$F$42:$F$59,Geometry!$D$42:$D$59))/1000000</f>
      </c>
      <c r="DO18" s="32">
        <f>(SUMPRODUCT(alpha*fck*(1-(1-((($BH18+$BI18*Mesh_Y+$BJ18*Mesh_X))*(($BH18+$BI18*Mesh_Y+$BJ18*Mesh_X)&gt;0)*(($BH18+$BI18*Mesh_Y+$BJ18*Mesh_X)&lt;eco)+eco*(($BH18+$BI18*Mesh_Y+$BJ18*Mesh_X)&gt;=eco))/eco)^n)*((($BH18+$BI18*Mesh_Y+$BJ18*Mesh_X))&gt;0),Mesh_A,Mesh_X)+SUMPRODUCT((Es*(($BH18+$BI18*Geometry!$E$42:$E$59+$BJ18*Geometry!$D$42:$D$59))*(ABS(Es*(($BH18+$BI18*Geometry!$E$42:$E$59+$BJ18*Geometry!$D$42:$D$59)))&lt;=fy)+fy*(Es*(($BH18+$BI18*Geometry!$E$42:$E$59+$BJ18*Geometry!$D$42:$D$59))&gt;fy)-fy*(Es*(($BH18+$BI18*Geometry!$E$42:$E$59+$BJ18*Geometry!$D$42:$D$59))&lt;-fy)-(alpha*fck*(1-(1-((($BH18+$BI18*Geometry!$E$42:$E$59+$BJ18*Geometry!$D$42:$D$59))*(($BH18+$BI18*Geometry!$E$42:$E$59+$BJ18*Geometry!$D$42:$D$59)&gt;0)*(($BH18+$BI18*Geometry!$E$42:$E$59+$BJ18*Geometry!$D$42:$D$59)&lt;eco)+eco*(($BH18+$BI18*Geometry!$E$42:$E$59+$BJ18*Geometry!$D$42:$D$59)&gt;=eco))/eco)^n)*((($BH18+$BI18*Geometry!$E$42:$E$59+$BJ18*Geometry!$D$42:$D$59))&gt;0))),Geometry!$F$42:$F$59,Geometry!$D$42:$D$59))/1000000</f>
      </c>
      <c r="DP18" s="45">
        <f>MAX(1,MIN(18,SUMPRODUCT(--($BK18:$CC18&gt;=Pu))))</f>
      </c>
      <c r="DQ18" s="46">
        <f>(Pu-INDEX($BK18:$CC18,1,$DP18))/(INDEX($BK18:$CC18,1,$DP18+1)-INDEX($BK18:$CC18,1,$DP18))</f>
      </c>
      <c r="DR18" s="33">
        <f>INDEX($CD18:$CV18,1,$DP18)+$DQ18*(INDEX($CD18:$CV18,1,$DP18+1)-INDEX($CD18:$CV18,1,$DP18))</f>
      </c>
      <c r="DS18" s="33">
        <f>INDEX($CW18:$DO18,1,$DP18)+$DQ18*(INDEX($CW18:$DO18,1,$DP18+1)-INDEX($CW18:$DO18,1,$DP18))</f>
      </c>
      <c r="DT18" s="33">
        <f>SQRT(DR18^2+DS18^2)</f>
      </c>
    </row>
    <row r="19" spans="1:124" x14ac:dyDescent="0.25">
      <c r="A19">
        <v>12</v>
      </c>
      <c r="B19" s="43">
        <v>165</v>
      </c>
      <c r="C19" s="12">
        <f>MAX(SUMPRODUCT(MAX((Geometry!$E$6:$E$13)*COS(RADIANS($B19))+(Geometry!$D$6:$D$13)*SIN(RADIANS($B19)))))</f>
      </c>
      <c r="D19" s="12">
        <f>SUMPRODUCT(MIN((Geometry!$E$42:$E$59)*COS(RADIANS($B19))+(Geometry!$D$42:$D$59)*SIN(RADIANS($B19))))</f>
      </c>
      <c r="E19" s="12">
        <f>C19-D19</f>
      </c>
      <c r="F19" s="30">
        <f>ecu</f>
      </c>
      <c r="G19" s="44">
        <f>0*COS(RADIANS($B19))</f>
      </c>
      <c r="H19" s="44">
        <f>0*SIN(RADIANS($B19))</f>
      </c>
      <c r="I19" s="30">
        <f>ecu-((ecu-0)/($C19-($C19-PM_Angle!$C$8*$E19)))*$C19</f>
      </c>
      <c r="J19" s="44">
        <f>((ecu-0)/($C19-($C19-PM_Angle!$C$8*$E19)))*COS(RADIANS($B19))</f>
      </c>
      <c r="K19" s="44">
        <f>((ecu-0)/($C19-($C19-PM_Angle!$C$8*$E19)))*SIN(RADIANS($B19))</f>
      </c>
      <c r="L19" s="30">
        <f>ecu-((ecu-0)/($C19-($C19-PM_Angle!$C$9*$E19)))*$C19</f>
      </c>
      <c r="M19" s="44">
        <f>((ecu-0)/($C19-($C19-PM_Angle!$C$9*$E19)))*COS(RADIANS($B19))</f>
      </c>
      <c r="N19" s="44">
        <f>((ecu-0)/($C19-($C19-PM_Angle!$C$9*$E19)))*SIN(RADIANS($B19))</f>
      </c>
      <c r="O19" s="30">
        <f>ecu-((ecu-0)/($C19-($C19-PM_Angle!$C$10*$E19)))*$C19</f>
      </c>
      <c r="P19" s="44">
        <f>((ecu-0)/($C19-($C19-PM_Angle!$C$10*$E19)))*COS(RADIANS($B19))</f>
      </c>
      <c r="Q19" s="44">
        <f>((ecu-0)/($C19-($C19-PM_Angle!$C$10*$E19)))*SIN(RADIANS($B19))</f>
      </c>
      <c r="R19" s="30">
        <f>ecu-((ecu-0)/($C19-($C19-PM_Angle!$C$11*$E19)))*$C19</f>
      </c>
      <c r="S19" s="44">
        <f>((ecu-0)/($C19-($C19-PM_Angle!$C$11*$E19)))*COS(RADIANS($B19))</f>
      </c>
      <c r="T19" s="44">
        <f>((ecu-0)/($C19-($C19-PM_Angle!$C$11*$E19)))*SIN(RADIANS($B19))</f>
      </c>
      <c r="U19" s="30">
        <f>ecu-((ecu-(-PM_Angle!$E$12))/($C19-$D19))*$C19</f>
      </c>
      <c r="V19" s="44">
        <f>((ecu-(-PM_Angle!$E$12))/($C19-$D19))*COS(RADIANS($B19))</f>
      </c>
      <c r="W19" s="44">
        <f>((ecu-(-PM_Angle!$E$12))/($C19-$D19))*SIN(RADIANS($B19))</f>
      </c>
      <c r="X19" s="30">
        <f>ecu-((ecu-(-PM_Angle!$D$13*fy/Es))/($C19-$D19))*$C19</f>
      </c>
      <c r="Y19" s="44">
        <f>((ecu-(-PM_Angle!$D$13*fy/Es))/($C19-$D19))*COS(RADIANS($B19))</f>
      </c>
      <c r="Z19" s="44">
        <f>((ecu-(-PM_Angle!$D$13*fy/Es))/($C19-$D19))*SIN(RADIANS($B19))</f>
      </c>
      <c r="AA19" s="30">
        <f>ecu-((ecu-(-PM_Angle!$D$14*fy/Es))/($C19-$D19))*$C19</f>
      </c>
      <c r="AB19" s="44">
        <f>((ecu-(-PM_Angle!$D$14*fy/Es))/($C19-$D19))*COS(RADIANS($B19))</f>
      </c>
      <c r="AC19" s="44">
        <f>((ecu-(-PM_Angle!$D$14*fy/Es))/($C19-$D19))*SIN(RADIANS($B19))</f>
      </c>
      <c r="AD19" s="30">
        <f>ecu-((ecu-(-PM_Angle!$D$15*fy/Es))/($C19-$D19))*$C19</f>
      </c>
      <c r="AE19" s="44">
        <f>((ecu-(-PM_Angle!$D$15*fy/Es))/($C19-$D19))*COS(RADIANS($B19))</f>
      </c>
      <c r="AF19" s="44">
        <f>((ecu-(-PM_Angle!$D$15*fy/Es))/($C19-$D19))*SIN(RADIANS($B19))</f>
      </c>
      <c r="AG19" s="30">
        <f>ecu-((ecu-(-PM_Angle!$D$16*fy/Es))/($C19-$D19))*$C19</f>
      </c>
      <c r="AH19" s="44">
        <f>((ecu-(-PM_Angle!$D$16*fy/Es))/($C19-$D19))*COS(RADIANS($B19))</f>
      </c>
      <c r="AI19" s="44">
        <f>((ecu-(-PM_Angle!$D$16*fy/Es))/($C19-$D19))*SIN(RADIANS($B19))</f>
      </c>
      <c r="AJ19" s="30">
        <f>ecu-((ecu-(-PM_Angle!$E$17))/($C19-$D19))*$C19</f>
      </c>
      <c r="AK19" s="44">
        <f>((ecu-(-PM_Angle!$E$17))/($C19-$D19))*COS(RADIANS($B19))</f>
      </c>
      <c r="AL19" s="44">
        <f>((ecu-(-PM_Angle!$E$17))/($C19-$D19))*SIN(RADIANS($B19))</f>
      </c>
      <c r="AM19" s="30">
        <f>ecu-((ecu-(-PM_Angle!$E$18))/($C19-$D19))*$C19</f>
      </c>
      <c r="AN19" s="44">
        <f>((ecu-(-PM_Angle!$E$18))/($C19-$D19))*COS(RADIANS($B19))</f>
      </c>
      <c r="AO19" s="44">
        <f>((ecu-(-PM_Angle!$E$18))/($C19-$D19))*SIN(RADIANS($B19))</f>
      </c>
      <c r="AP19" s="30">
        <f>ecu-((ecu-(-PM_Angle!$E$19))/($C19-$D19))*$C19</f>
      </c>
      <c r="AQ19" s="44">
        <f>((ecu-(-PM_Angle!$E$19))/($C19-$D19))*COS(RADIANS($B19))</f>
      </c>
      <c r="AR19" s="44">
        <f>((ecu-(-PM_Angle!$E$19))/($C19-$D19))*SIN(RADIANS($B19))</f>
      </c>
      <c r="AS19" s="30">
        <f>ecu-((ecu-(-PM_Angle!$E$20))/($C19-$D19))*$C19</f>
      </c>
      <c r="AT19" s="44">
        <f>((ecu-(-PM_Angle!$E$20))/($C19-$D19))*COS(RADIANS($B19))</f>
      </c>
      <c r="AU19" s="44">
        <f>((ecu-(-PM_Angle!$E$20))/($C19-$D19))*SIN(RADIANS($B19))</f>
      </c>
      <c r="AV19" s="30">
        <f>ecu-((ecu-(-PM_Angle!$E$21))/($C19-$D19))*$C19</f>
      </c>
      <c r="AW19" s="44">
        <f>((ecu-(-PM_Angle!$E$21))/($C19-$D19))*COS(RADIANS($B19))</f>
      </c>
      <c r="AX19" s="44">
        <f>((ecu-(-PM_Angle!$E$21))/($C19-$D19))*SIN(RADIANS($B19))</f>
      </c>
      <c r="AY19" s="30">
        <f>ecu-((ecu-(-PM_Angle!$E$22))/($C19-$D19))*$C19</f>
      </c>
      <c r="AZ19" s="44">
        <f>((ecu-(-PM_Angle!$E$22))/($C19-$D19))*COS(RADIANS($B19))</f>
      </c>
      <c r="BA19" s="44">
        <f>((ecu-(-PM_Angle!$E$22))/($C19-$D19))*SIN(RADIANS($B19))</f>
      </c>
      <c r="BB19" s="30">
        <f>ecu-((ecu-(-PM_Angle!$E$23))/($C19-$D19))*$C19</f>
      </c>
      <c r="BC19" s="44">
        <f>((ecu-(-PM_Angle!$E$23))/($C19-$D19))*COS(RADIANS($B19))</f>
      </c>
      <c r="BD19" s="44">
        <f>((ecu-(-PM_Angle!$E$23))/($C19-$D19))*SIN(RADIANS($B19))</f>
      </c>
      <c r="BE19" s="30">
        <f>ecu-((ecu-(-PM_Angle!$E$24))/($C19-$D19))*$C19</f>
      </c>
      <c r="BF19" s="44">
        <f>((ecu-(-PM_Angle!$E$24))/($C19-$D19))*COS(RADIANS($B19))</f>
      </c>
      <c r="BG19" s="44">
        <f>((ecu-(-PM_Angle!$E$24))/($C19-$D19))*SIN(RADIANS($B19))</f>
      </c>
      <c r="BH19" s="30">
        <f>etu</f>
      </c>
      <c r="BI19" s="44">
        <f>0*COS(RADIANS($B19))</f>
      </c>
      <c r="BJ19" s="44">
        <f>0*SIN(RADIANS($B19))</f>
      </c>
      <c r="BK19" s="32">
        <f>(SUMPRODUCT(alpha*fck*(1-(1-((($F19+$G19*Mesh_Y+$H19*Mesh_X))*(($F19+$G19*Mesh_Y+$H19*Mesh_X)&gt;0)*(($F19+$G19*Mesh_Y+$H19*Mesh_X)&lt;eco)+eco*(($F19+$G19*Mesh_Y+$H19*Mesh_X)&gt;=eco))/eco)^n)*((($F19+$G19*Mesh_Y+$H19*Mesh_X))&gt;0),Mesh_A)+SUMPRODUCT((Es*(($F19+$G19*Geometry!$E$42:$E$59+$H19*Geometry!$D$42:$D$59))*(ABS(Es*(($F19+$G19*Geometry!$E$42:$E$59+$H19*Geometry!$D$42:$D$59)))&lt;=fy)+fy*(Es*(($F19+$G19*Geometry!$E$42:$E$59+$H19*Geometry!$D$42:$D$59))&gt;fy)-fy*(Es*(($F19+$G19*Geometry!$E$42:$E$59+$H19*Geometry!$D$42:$D$59))&lt;-fy)-(alpha*fck*(1-(1-((($F19+$G19*Geometry!$E$42:$E$59+$H19*Geometry!$D$42:$D$59))*(($F19+$G19*Geometry!$E$42:$E$59+$H19*Geometry!$D$42:$D$59)&gt;0)*(($F19+$G19*Geometry!$E$42:$E$59+$H19*Geometry!$D$42:$D$59)&lt;eco)+eco*(($F19+$G19*Geometry!$E$42:$E$59+$H19*Geometry!$D$42:$D$59)&gt;=eco))/eco)^n)*((($F19+$G19*Geometry!$E$42:$E$59+$H19*Geometry!$D$42:$D$59))&gt;0))),Geometry!$F$42:$F$59))/1000</f>
      </c>
      <c r="BL19" s="32">
        <f>(SUMPRODUCT(alpha*fck*(1-(1-((($I19+$J19*Mesh_Y+$K19*Mesh_X))*(($I19+$J19*Mesh_Y+$K19*Mesh_X)&gt;0)*(($I19+$J19*Mesh_Y+$K19*Mesh_X)&lt;eco)+eco*(($I19+$J19*Mesh_Y+$K19*Mesh_X)&gt;=eco))/eco)^n)*((($I19+$J19*Mesh_Y+$K19*Mesh_X))&gt;0),Mesh_A)+SUMPRODUCT((Es*(($I19+$J19*Geometry!$E$42:$E$59+$K19*Geometry!$D$42:$D$59))*(ABS(Es*(($I19+$J19*Geometry!$E$42:$E$59+$K19*Geometry!$D$42:$D$59)))&lt;=fy)+fy*(Es*(($I19+$J19*Geometry!$E$42:$E$59+$K19*Geometry!$D$42:$D$59))&gt;fy)-fy*(Es*(($I19+$J19*Geometry!$E$42:$E$59+$K19*Geometry!$D$42:$D$59))&lt;-fy)-(alpha*fck*(1-(1-((($I19+$J19*Geometry!$E$42:$E$59+$K19*Geometry!$D$42:$D$59))*(($I19+$J19*Geometry!$E$42:$E$59+$K19*Geometry!$D$42:$D$59)&gt;0)*(($I19+$J19*Geometry!$E$42:$E$59+$K19*Geometry!$D$42:$D$59)&lt;eco)+eco*(($I19+$J19*Geometry!$E$42:$E$59+$K19*Geometry!$D$42:$D$59)&gt;=eco))/eco)^n)*((($I19+$J19*Geometry!$E$42:$E$59+$K19*Geometry!$D$42:$D$59))&gt;0))),Geometry!$F$42:$F$59))/1000</f>
      </c>
      <c r="BM19" s="32">
        <f>(SUMPRODUCT(alpha*fck*(1-(1-((($L19+$M19*Mesh_Y+$N19*Mesh_X))*(($L19+$M19*Mesh_Y+$N19*Mesh_X)&gt;0)*(($L19+$M19*Mesh_Y+$N19*Mesh_X)&lt;eco)+eco*(($L19+$M19*Mesh_Y+$N19*Mesh_X)&gt;=eco))/eco)^n)*((($L19+$M19*Mesh_Y+$N19*Mesh_X))&gt;0),Mesh_A)+SUMPRODUCT((Es*(($L19+$M19*Geometry!$E$42:$E$59+$N19*Geometry!$D$42:$D$59))*(ABS(Es*(($L19+$M19*Geometry!$E$42:$E$59+$N19*Geometry!$D$42:$D$59)))&lt;=fy)+fy*(Es*(($L19+$M19*Geometry!$E$42:$E$59+$N19*Geometry!$D$42:$D$59))&gt;fy)-fy*(Es*(($L19+$M19*Geometry!$E$42:$E$59+$N19*Geometry!$D$42:$D$59))&lt;-fy)-(alpha*fck*(1-(1-((($L19+$M19*Geometry!$E$42:$E$59+$N19*Geometry!$D$42:$D$59))*(($L19+$M19*Geometry!$E$42:$E$59+$N19*Geometry!$D$42:$D$59)&gt;0)*(($L19+$M19*Geometry!$E$42:$E$59+$N19*Geometry!$D$42:$D$59)&lt;eco)+eco*(($L19+$M19*Geometry!$E$42:$E$59+$N19*Geometry!$D$42:$D$59)&gt;=eco))/eco)^n)*((($L19+$M19*Geometry!$E$42:$E$59+$N19*Geometry!$D$42:$D$59))&gt;0))),Geometry!$F$42:$F$59))/1000</f>
      </c>
      <c r="BN19" s="32">
        <f>(SUMPRODUCT(alpha*fck*(1-(1-((($O19+$P19*Mesh_Y+$Q19*Mesh_X))*(($O19+$P19*Mesh_Y+$Q19*Mesh_X)&gt;0)*(($O19+$P19*Mesh_Y+$Q19*Mesh_X)&lt;eco)+eco*(($O19+$P19*Mesh_Y+$Q19*Mesh_X)&gt;=eco))/eco)^n)*((($O19+$P19*Mesh_Y+$Q19*Mesh_X))&gt;0),Mesh_A)+SUMPRODUCT((Es*(($O19+$P19*Geometry!$E$42:$E$59+$Q19*Geometry!$D$42:$D$59))*(ABS(Es*(($O19+$P19*Geometry!$E$42:$E$59+$Q19*Geometry!$D$42:$D$59)))&lt;=fy)+fy*(Es*(($O19+$P19*Geometry!$E$42:$E$59+$Q19*Geometry!$D$42:$D$59))&gt;fy)-fy*(Es*(($O19+$P19*Geometry!$E$42:$E$59+$Q19*Geometry!$D$42:$D$59))&lt;-fy)-(alpha*fck*(1-(1-((($O19+$P19*Geometry!$E$42:$E$59+$Q19*Geometry!$D$42:$D$59))*(($O19+$P19*Geometry!$E$42:$E$59+$Q19*Geometry!$D$42:$D$59)&gt;0)*(($O19+$P19*Geometry!$E$42:$E$59+$Q19*Geometry!$D$42:$D$59)&lt;eco)+eco*(($O19+$P19*Geometry!$E$42:$E$59+$Q19*Geometry!$D$42:$D$59)&gt;=eco))/eco)^n)*((($O19+$P19*Geometry!$E$42:$E$59+$Q19*Geometry!$D$42:$D$59))&gt;0))),Geometry!$F$42:$F$59))/1000</f>
      </c>
      <c r="BO19" s="32">
        <f>(SUMPRODUCT(alpha*fck*(1-(1-((($R19+$S19*Mesh_Y+$T19*Mesh_X))*(($R19+$S19*Mesh_Y+$T19*Mesh_X)&gt;0)*(($R19+$S19*Mesh_Y+$T19*Mesh_X)&lt;eco)+eco*(($R19+$S19*Mesh_Y+$T19*Mesh_X)&gt;=eco))/eco)^n)*((($R19+$S19*Mesh_Y+$T19*Mesh_X))&gt;0),Mesh_A)+SUMPRODUCT((Es*(($R19+$S19*Geometry!$E$42:$E$59+$T19*Geometry!$D$42:$D$59))*(ABS(Es*(($R19+$S19*Geometry!$E$42:$E$59+$T19*Geometry!$D$42:$D$59)))&lt;=fy)+fy*(Es*(($R19+$S19*Geometry!$E$42:$E$59+$T19*Geometry!$D$42:$D$59))&gt;fy)-fy*(Es*(($R19+$S19*Geometry!$E$42:$E$59+$T19*Geometry!$D$42:$D$59))&lt;-fy)-(alpha*fck*(1-(1-((($R19+$S19*Geometry!$E$42:$E$59+$T19*Geometry!$D$42:$D$59))*(($R19+$S19*Geometry!$E$42:$E$59+$T19*Geometry!$D$42:$D$59)&gt;0)*(($R19+$S19*Geometry!$E$42:$E$59+$T19*Geometry!$D$42:$D$59)&lt;eco)+eco*(($R19+$S19*Geometry!$E$42:$E$59+$T19*Geometry!$D$42:$D$59)&gt;=eco))/eco)^n)*((($R19+$S19*Geometry!$E$42:$E$59+$T19*Geometry!$D$42:$D$59))&gt;0))),Geometry!$F$42:$F$59))/1000</f>
      </c>
      <c r="BP19" s="32">
        <f>(SUMPRODUCT(alpha*fck*(1-(1-((($U19+$V19*Mesh_Y+$W19*Mesh_X))*(($U19+$V19*Mesh_Y+$W19*Mesh_X)&gt;0)*(($U19+$V19*Mesh_Y+$W19*Mesh_X)&lt;eco)+eco*(($U19+$V19*Mesh_Y+$W19*Mesh_X)&gt;=eco))/eco)^n)*((($U19+$V19*Mesh_Y+$W19*Mesh_X))&gt;0),Mesh_A)+SUMPRODUCT((Es*(($U19+$V19*Geometry!$E$42:$E$59+$W19*Geometry!$D$42:$D$59))*(ABS(Es*(($U19+$V19*Geometry!$E$42:$E$59+$W19*Geometry!$D$42:$D$59)))&lt;=fy)+fy*(Es*(($U19+$V19*Geometry!$E$42:$E$59+$W19*Geometry!$D$42:$D$59))&gt;fy)-fy*(Es*(($U19+$V19*Geometry!$E$42:$E$59+$W19*Geometry!$D$42:$D$59))&lt;-fy)-(alpha*fck*(1-(1-((($U19+$V19*Geometry!$E$42:$E$59+$W19*Geometry!$D$42:$D$59))*(($U19+$V19*Geometry!$E$42:$E$59+$W19*Geometry!$D$42:$D$59)&gt;0)*(($U19+$V19*Geometry!$E$42:$E$59+$W19*Geometry!$D$42:$D$59)&lt;eco)+eco*(($U19+$V19*Geometry!$E$42:$E$59+$W19*Geometry!$D$42:$D$59)&gt;=eco))/eco)^n)*((($U19+$V19*Geometry!$E$42:$E$59+$W19*Geometry!$D$42:$D$59))&gt;0))),Geometry!$F$42:$F$59))/1000</f>
      </c>
      <c r="BQ19" s="32">
        <f>(SUMPRODUCT(alpha*fck*(1-(1-((($X19+$Y19*Mesh_Y+$Z19*Mesh_X))*(($X19+$Y19*Mesh_Y+$Z19*Mesh_X)&gt;0)*(($X19+$Y19*Mesh_Y+$Z19*Mesh_X)&lt;eco)+eco*(($X19+$Y19*Mesh_Y+$Z19*Mesh_X)&gt;=eco))/eco)^n)*((($X19+$Y19*Mesh_Y+$Z19*Mesh_X))&gt;0),Mesh_A)+SUMPRODUCT((Es*(($X19+$Y19*Geometry!$E$42:$E$59+$Z19*Geometry!$D$42:$D$59))*(ABS(Es*(($X19+$Y19*Geometry!$E$42:$E$59+$Z19*Geometry!$D$42:$D$59)))&lt;=fy)+fy*(Es*(($X19+$Y19*Geometry!$E$42:$E$59+$Z19*Geometry!$D$42:$D$59))&gt;fy)-fy*(Es*(($X19+$Y19*Geometry!$E$42:$E$59+$Z19*Geometry!$D$42:$D$59))&lt;-fy)-(alpha*fck*(1-(1-((($X19+$Y19*Geometry!$E$42:$E$59+$Z19*Geometry!$D$42:$D$59))*(($X19+$Y19*Geometry!$E$42:$E$59+$Z19*Geometry!$D$42:$D$59)&gt;0)*(($X19+$Y19*Geometry!$E$42:$E$59+$Z19*Geometry!$D$42:$D$59)&lt;eco)+eco*(($X19+$Y19*Geometry!$E$42:$E$59+$Z19*Geometry!$D$42:$D$59)&gt;=eco))/eco)^n)*((($X19+$Y19*Geometry!$E$42:$E$59+$Z19*Geometry!$D$42:$D$59))&gt;0))),Geometry!$F$42:$F$59))/1000</f>
      </c>
      <c r="BR19" s="32">
        <f>(SUMPRODUCT(alpha*fck*(1-(1-((($AA19+$AB19*Mesh_Y+$AC19*Mesh_X))*(($AA19+$AB19*Mesh_Y+$AC19*Mesh_X)&gt;0)*(($AA19+$AB19*Mesh_Y+$AC19*Mesh_X)&lt;eco)+eco*(($AA19+$AB19*Mesh_Y+$AC19*Mesh_X)&gt;=eco))/eco)^n)*((($AA19+$AB19*Mesh_Y+$AC19*Mesh_X))&gt;0),Mesh_A)+SUMPRODUCT((Es*(($AA19+$AB19*Geometry!$E$42:$E$59+$AC19*Geometry!$D$42:$D$59))*(ABS(Es*(($AA19+$AB19*Geometry!$E$42:$E$59+$AC19*Geometry!$D$42:$D$59)))&lt;=fy)+fy*(Es*(($AA19+$AB19*Geometry!$E$42:$E$59+$AC19*Geometry!$D$42:$D$59))&gt;fy)-fy*(Es*(($AA19+$AB19*Geometry!$E$42:$E$59+$AC19*Geometry!$D$42:$D$59))&lt;-fy)-(alpha*fck*(1-(1-((($AA19+$AB19*Geometry!$E$42:$E$59+$AC19*Geometry!$D$42:$D$59))*(($AA19+$AB19*Geometry!$E$42:$E$59+$AC19*Geometry!$D$42:$D$59)&gt;0)*(($AA19+$AB19*Geometry!$E$42:$E$59+$AC19*Geometry!$D$42:$D$59)&lt;eco)+eco*(($AA19+$AB19*Geometry!$E$42:$E$59+$AC19*Geometry!$D$42:$D$59)&gt;=eco))/eco)^n)*((($AA19+$AB19*Geometry!$E$42:$E$59+$AC19*Geometry!$D$42:$D$59))&gt;0))),Geometry!$F$42:$F$59))/1000</f>
      </c>
      <c r="BS19" s="32">
        <f>(SUMPRODUCT(alpha*fck*(1-(1-((($AD19+$AE19*Mesh_Y+$AF19*Mesh_X))*(($AD19+$AE19*Mesh_Y+$AF19*Mesh_X)&gt;0)*(($AD19+$AE19*Mesh_Y+$AF19*Mesh_X)&lt;eco)+eco*(($AD19+$AE19*Mesh_Y+$AF19*Mesh_X)&gt;=eco))/eco)^n)*((($AD19+$AE19*Mesh_Y+$AF19*Mesh_X))&gt;0),Mesh_A)+SUMPRODUCT((Es*(($AD19+$AE19*Geometry!$E$42:$E$59+$AF19*Geometry!$D$42:$D$59))*(ABS(Es*(($AD19+$AE19*Geometry!$E$42:$E$59+$AF19*Geometry!$D$42:$D$59)))&lt;=fy)+fy*(Es*(($AD19+$AE19*Geometry!$E$42:$E$59+$AF19*Geometry!$D$42:$D$59))&gt;fy)-fy*(Es*(($AD19+$AE19*Geometry!$E$42:$E$59+$AF19*Geometry!$D$42:$D$59))&lt;-fy)-(alpha*fck*(1-(1-((($AD19+$AE19*Geometry!$E$42:$E$59+$AF19*Geometry!$D$42:$D$59))*(($AD19+$AE19*Geometry!$E$42:$E$59+$AF19*Geometry!$D$42:$D$59)&gt;0)*(($AD19+$AE19*Geometry!$E$42:$E$59+$AF19*Geometry!$D$42:$D$59)&lt;eco)+eco*(($AD19+$AE19*Geometry!$E$42:$E$59+$AF19*Geometry!$D$42:$D$59)&gt;=eco))/eco)^n)*((($AD19+$AE19*Geometry!$E$42:$E$59+$AF19*Geometry!$D$42:$D$59))&gt;0))),Geometry!$F$42:$F$59))/1000</f>
      </c>
      <c r="BT19" s="32">
        <f>(SUMPRODUCT(alpha*fck*(1-(1-((($AG19+$AH19*Mesh_Y+$AI19*Mesh_X))*(($AG19+$AH19*Mesh_Y+$AI19*Mesh_X)&gt;0)*(($AG19+$AH19*Mesh_Y+$AI19*Mesh_X)&lt;eco)+eco*(($AG19+$AH19*Mesh_Y+$AI19*Mesh_X)&gt;=eco))/eco)^n)*((($AG19+$AH19*Mesh_Y+$AI19*Mesh_X))&gt;0),Mesh_A)+SUMPRODUCT((Es*(($AG19+$AH19*Geometry!$E$42:$E$59+$AI19*Geometry!$D$42:$D$59))*(ABS(Es*(($AG19+$AH19*Geometry!$E$42:$E$59+$AI19*Geometry!$D$42:$D$59)))&lt;=fy)+fy*(Es*(($AG19+$AH19*Geometry!$E$42:$E$59+$AI19*Geometry!$D$42:$D$59))&gt;fy)-fy*(Es*(($AG19+$AH19*Geometry!$E$42:$E$59+$AI19*Geometry!$D$42:$D$59))&lt;-fy)-(alpha*fck*(1-(1-((($AG19+$AH19*Geometry!$E$42:$E$59+$AI19*Geometry!$D$42:$D$59))*(($AG19+$AH19*Geometry!$E$42:$E$59+$AI19*Geometry!$D$42:$D$59)&gt;0)*(($AG19+$AH19*Geometry!$E$42:$E$59+$AI19*Geometry!$D$42:$D$59)&lt;eco)+eco*(($AG19+$AH19*Geometry!$E$42:$E$59+$AI19*Geometry!$D$42:$D$59)&gt;=eco))/eco)^n)*((($AG19+$AH19*Geometry!$E$42:$E$59+$AI19*Geometry!$D$42:$D$59))&gt;0))),Geometry!$F$42:$F$59))/1000</f>
      </c>
      <c r="BU19" s="32">
        <f>(SUMPRODUCT(alpha*fck*(1-(1-((($AJ19+$AK19*Mesh_Y+$AL19*Mesh_X))*(($AJ19+$AK19*Mesh_Y+$AL19*Mesh_X)&gt;0)*(($AJ19+$AK19*Mesh_Y+$AL19*Mesh_X)&lt;eco)+eco*(($AJ19+$AK19*Mesh_Y+$AL19*Mesh_X)&gt;=eco))/eco)^n)*((($AJ19+$AK19*Mesh_Y+$AL19*Mesh_X))&gt;0),Mesh_A)+SUMPRODUCT((Es*(($AJ19+$AK19*Geometry!$E$42:$E$59+$AL19*Geometry!$D$42:$D$59))*(ABS(Es*(($AJ19+$AK19*Geometry!$E$42:$E$59+$AL19*Geometry!$D$42:$D$59)))&lt;=fy)+fy*(Es*(($AJ19+$AK19*Geometry!$E$42:$E$59+$AL19*Geometry!$D$42:$D$59))&gt;fy)-fy*(Es*(($AJ19+$AK19*Geometry!$E$42:$E$59+$AL19*Geometry!$D$42:$D$59))&lt;-fy)-(alpha*fck*(1-(1-((($AJ19+$AK19*Geometry!$E$42:$E$59+$AL19*Geometry!$D$42:$D$59))*(($AJ19+$AK19*Geometry!$E$42:$E$59+$AL19*Geometry!$D$42:$D$59)&gt;0)*(($AJ19+$AK19*Geometry!$E$42:$E$59+$AL19*Geometry!$D$42:$D$59)&lt;eco)+eco*(($AJ19+$AK19*Geometry!$E$42:$E$59+$AL19*Geometry!$D$42:$D$59)&gt;=eco))/eco)^n)*((($AJ19+$AK19*Geometry!$E$42:$E$59+$AL19*Geometry!$D$42:$D$59))&gt;0))),Geometry!$F$42:$F$59))/1000</f>
      </c>
      <c r="BV19" s="32">
        <f>(SUMPRODUCT(alpha*fck*(1-(1-((($AM19+$AN19*Mesh_Y+$AO19*Mesh_X))*(($AM19+$AN19*Mesh_Y+$AO19*Mesh_X)&gt;0)*(($AM19+$AN19*Mesh_Y+$AO19*Mesh_X)&lt;eco)+eco*(($AM19+$AN19*Mesh_Y+$AO19*Mesh_X)&gt;=eco))/eco)^n)*((($AM19+$AN19*Mesh_Y+$AO19*Mesh_X))&gt;0),Mesh_A)+SUMPRODUCT((Es*(($AM19+$AN19*Geometry!$E$42:$E$59+$AO19*Geometry!$D$42:$D$59))*(ABS(Es*(($AM19+$AN19*Geometry!$E$42:$E$59+$AO19*Geometry!$D$42:$D$59)))&lt;=fy)+fy*(Es*(($AM19+$AN19*Geometry!$E$42:$E$59+$AO19*Geometry!$D$42:$D$59))&gt;fy)-fy*(Es*(($AM19+$AN19*Geometry!$E$42:$E$59+$AO19*Geometry!$D$42:$D$59))&lt;-fy)-(alpha*fck*(1-(1-((($AM19+$AN19*Geometry!$E$42:$E$59+$AO19*Geometry!$D$42:$D$59))*(($AM19+$AN19*Geometry!$E$42:$E$59+$AO19*Geometry!$D$42:$D$59)&gt;0)*(($AM19+$AN19*Geometry!$E$42:$E$59+$AO19*Geometry!$D$42:$D$59)&lt;eco)+eco*(($AM19+$AN19*Geometry!$E$42:$E$59+$AO19*Geometry!$D$42:$D$59)&gt;=eco))/eco)^n)*((($AM19+$AN19*Geometry!$E$42:$E$59+$AO19*Geometry!$D$42:$D$59))&gt;0))),Geometry!$F$42:$F$59))/1000</f>
      </c>
      <c r="BW19" s="32">
        <f>(SUMPRODUCT(alpha*fck*(1-(1-((($AP19+$AQ19*Mesh_Y+$AR19*Mesh_X))*(($AP19+$AQ19*Mesh_Y+$AR19*Mesh_X)&gt;0)*(($AP19+$AQ19*Mesh_Y+$AR19*Mesh_X)&lt;eco)+eco*(($AP19+$AQ19*Mesh_Y+$AR19*Mesh_X)&gt;=eco))/eco)^n)*((($AP19+$AQ19*Mesh_Y+$AR19*Mesh_X))&gt;0),Mesh_A)+SUMPRODUCT((Es*(($AP19+$AQ19*Geometry!$E$42:$E$59+$AR19*Geometry!$D$42:$D$59))*(ABS(Es*(($AP19+$AQ19*Geometry!$E$42:$E$59+$AR19*Geometry!$D$42:$D$59)))&lt;=fy)+fy*(Es*(($AP19+$AQ19*Geometry!$E$42:$E$59+$AR19*Geometry!$D$42:$D$59))&gt;fy)-fy*(Es*(($AP19+$AQ19*Geometry!$E$42:$E$59+$AR19*Geometry!$D$42:$D$59))&lt;-fy)-(alpha*fck*(1-(1-((($AP19+$AQ19*Geometry!$E$42:$E$59+$AR19*Geometry!$D$42:$D$59))*(($AP19+$AQ19*Geometry!$E$42:$E$59+$AR19*Geometry!$D$42:$D$59)&gt;0)*(($AP19+$AQ19*Geometry!$E$42:$E$59+$AR19*Geometry!$D$42:$D$59)&lt;eco)+eco*(($AP19+$AQ19*Geometry!$E$42:$E$59+$AR19*Geometry!$D$42:$D$59)&gt;=eco))/eco)^n)*((($AP19+$AQ19*Geometry!$E$42:$E$59+$AR19*Geometry!$D$42:$D$59))&gt;0))),Geometry!$F$42:$F$59))/1000</f>
      </c>
      <c r="BX19" s="32">
        <f>(SUMPRODUCT(alpha*fck*(1-(1-((($AS19+$AT19*Mesh_Y+$AU19*Mesh_X))*(($AS19+$AT19*Mesh_Y+$AU19*Mesh_X)&gt;0)*(($AS19+$AT19*Mesh_Y+$AU19*Mesh_X)&lt;eco)+eco*(($AS19+$AT19*Mesh_Y+$AU19*Mesh_X)&gt;=eco))/eco)^n)*((($AS19+$AT19*Mesh_Y+$AU19*Mesh_X))&gt;0),Mesh_A)+SUMPRODUCT((Es*(($AS19+$AT19*Geometry!$E$42:$E$59+$AU19*Geometry!$D$42:$D$59))*(ABS(Es*(($AS19+$AT19*Geometry!$E$42:$E$59+$AU19*Geometry!$D$42:$D$59)))&lt;=fy)+fy*(Es*(($AS19+$AT19*Geometry!$E$42:$E$59+$AU19*Geometry!$D$42:$D$59))&gt;fy)-fy*(Es*(($AS19+$AT19*Geometry!$E$42:$E$59+$AU19*Geometry!$D$42:$D$59))&lt;-fy)-(alpha*fck*(1-(1-((($AS19+$AT19*Geometry!$E$42:$E$59+$AU19*Geometry!$D$42:$D$59))*(($AS19+$AT19*Geometry!$E$42:$E$59+$AU19*Geometry!$D$42:$D$59)&gt;0)*(($AS19+$AT19*Geometry!$E$42:$E$59+$AU19*Geometry!$D$42:$D$59)&lt;eco)+eco*(($AS19+$AT19*Geometry!$E$42:$E$59+$AU19*Geometry!$D$42:$D$59)&gt;=eco))/eco)^n)*((($AS19+$AT19*Geometry!$E$42:$E$59+$AU19*Geometry!$D$42:$D$59))&gt;0))),Geometry!$F$42:$F$59))/1000</f>
      </c>
      <c r="BY19" s="32">
        <f>(SUMPRODUCT(alpha*fck*(1-(1-((($AV19+$AW19*Mesh_Y+$AX19*Mesh_X))*(($AV19+$AW19*Mesh_Y+$AX19*Mesh_X)&gt;0)*(($AV19+$AW19*Mesh_Y+$AX19*Mesh_X)&lt;eco)+eco*(($AV19+$AW19*Mesh_Y+$AX19*Mesh_X)&gt;=eco))/eco)^n)*((($AV19+$AW19*Mesh_Y+$AX19*Mesh_X))&gt;0),Mesh_A)+SUMPRODUCT((Es*(($AV19+$AW19*Geometry!$E$42:$E$59+$AX19*Geometry!$D$42:$D$59))*(ABS(Es*(($AV19+$AW19*Geometry!$E$42:$E$59+$AX19*Geometry!$D$42:$D$59)))&lt;=fy)+fy*(Es*(($AV19+$AW19*Geometry!$E$42:$E$59+$AX19*Geometry!$D$42:$D$59))&gt;fy)-fy*(Es*(($AV19+$AW19*Geometry!$E$42:$E$59+$AX19*Geometry!$D$42:$D$59))&lt;-fy)-(alpha*fck*(1-(1-((($AV19+$AW19*Geometry!$E$42:$E$59+$AX19*Geometry!$D$42:$D$59))*(($AV19+$AW19*Geometry!$E$42:$E$59+$AX19*Geometry!$D$42:$D$59)&gt;0)*(($AV19+$AW19*Geometry!$E$42:$E$59+$AX19*Geometry!$D$42:$D$59)&lt;eco)+eco*(($AV19+$AW19*Geometry!$E$42:$E$59+$AX19*Geometry!$D$42:$D$59)&gt;=eco))/eco)^n)*((($AV19+$AW19*Geometry!$E$42:$E$59+$AX19*Geometry!$D$42:$D$59))&gt;0))),Geometry!$F$42:$F$59))/1000</f>
      </c>
      <c r="BZ19" s="32">
        <f>(SUMPRODUCT(alpha*fck*(1-(1-((($AY19+$AZ19*Mesh_Y+$BA19*Mesh_X))*(($AY19+$AZ19*Mesh_Y+$BA19*Mesh_X)&gt;0)*(($AY19+$AZ19*Mesh_Y+$BA19*Mesh_X)&lt;eco)+eco*(($AY19+$AZ19*Mesh_Y+$BA19*Mesh_X)&gt;=eco))/eco)^n)*((($AY19+$AZ19*Mesh_Y+$BA19*Mesh_X))&gt;0),Mesh_A)+SUMPRODUCT((Es*(($AY19+$AZ19*Geometry!$E$42:$E$59+$BA19*Geometry!$D$42:$D$59))*(ABS(Es*(($AY19+$AZ19*Geometry!$E$42:$E$59+$BA19*Geometry!$D$42:$D$59)))&lt;=fy)+fy*(Es*(($AY19+$AZ19*Geometry!$E$42:$E$59+$BA19*Geometry!$D$42:$D$59))&gt;fy)-fy*(Es*(($AY19+$AZ19*Geometry!$E$42:$E$59+$BA19*Geometry!$D$42:$D$59))&lt;-fy)-(alpha*fck*(1-(1-((($AY19+$AZ19*Geometry!$E$42:$E$59+$BA19*Geometry!$D$42:$D$59))*(($AY19+$AZ19*Geometry!$E$42:$E$59+$BA19*Geometry!$D$42:$D$59)&gt;0)*(($AY19+$AZ19*Geometry!$E$42:$E$59+$BA19*Geometry!$D$42:$D$59)&lt;eco)+eco*(($AY19+$AZ19*Geometry!$E$42:$E$59+$BA19*Geometry!$D$42:$D$59)&gt;=eco))/eco)^n)*((($AY19+$AZ19*Geometry!$E$42:$E$59+$BA19*Geometry!$D$42:$D$59))&gt;0))),Geometry!$F$42:$F$59))/1000</f>
      </c>
      <c r="CA19" s="32">
        <f>(SUMPRODUCT(alpha*fck*(1-(1-((($BB19+$BC19*Mesh_Y+$BD19*Mesh_X))*(($BB19+$BC19*Mesh_Y+$BD19*Mesh_X)&gt;0)*(($BB19+$BC19*Mesh_Y+$BD19*Mesh_X)&lt;eco)+eco*(($BB19+$BC19*Mesh_Y+$BD19*Mesh_X)&gt;=eco))/eco)^n)*((($BB19+$BC19*Mesh_Y+$BD19*Mesh_X))&gt;0),Mesh_A)+SUMPRODUCT((Es*(($BB19+$BC19*Geometry!$E$42:$E$59+$BD19*Geometry!$D$42:$D$59))*(ABS(Es*(($BB19+$BC19*Geometry!$E$42:$E$59+$BD19*Geometry!$D$42:$D$59)))&lt;=fy)+fy*(Es*(($BB19+$BC19*Geometry!$E$42:$E$59+$BD19*Geometry!$D$42:$D$59))&gt;fy)-fy*(Es*(($BB19+$BC19*Geometry!$E$42:$E$59+$BD19*Geometry!$D$42:$D$59))&lt;-fy)-(alpha*fck*(1-(1-((($BB19+$BC19*Geometry!$E$42:$E$59+$BD19*Geometry!$D$42:$D$59))*(($BB19+$BC19*Geometry!$E$42:$E$59+$BD19*Geometry!$D$42:$D$59)&gt;0)*(($BB19+$BC19*Geometry!$E$42:$E$59+$BD19*Geometry!$D$42:$D$59)&lt;eco)+eco*(($BB19+$BC19*Geometry!$E$42:$E$59+$BD19*Geometry!$D$42:$D$59)&gt;=eco))/eco)^n)*((($BB19+$BC19*Geometry!$E$42:$E$59+$BD19*Geometry!$D$42:$D$59))&gt;0))),Geometry!$F$42:$F$59))/1000</f>
      </c>
      <c r="CB19" s="32">
        <f>(SUMPRODUCT(alpha*fck*(1-(1-((($BE19+$BF19*Mesh_Y+$BG19*Mesh_X))*(($BE19+$BF19*Mesh_Y+$BG19*Mesh_X)&gt;0)*(($BE19+$BF19*Mesh_Y+$BG19*Mesh_X)&lt;eco)+eco*(($BE19+$BF19*Mesh_Y+$BG19*Mesh_X)&gt;=eco))/eco)^n)*((($BE19+$BF19*Mesh_Y+$BG19*Mesh_X))&gt;0),Mesh_A)+SUMPRODUCT((Es*(($BE19+$BF19*Geometry!$E$42:$E$59+$BG19*Geometry!$D$42:$D$59))*(ABS(Es*(($BE19+$BF19*Geometry!$E$42:$E$59+$BG19*Geometry!$D$42:$D$59)))&lt;=fy)+fy*(Es*(($BE19+$BF19*Geometry!$E$42:$E$59+$BG19*Geometry!$D$42:$D$59))&gt;fy)-fy*(Es*(($BE19+$BF19*Geometry!$E$42:$E$59+$BG19*Geometry!$D$42:$D$59))&lt;-fy)-(alpha*fck*(1-(1-((($BE19+$BF19*Geometry!$E$42:$E$59+$BG19*Geometry!$D$42:$D$59))*(($BE19+$BF19*Geometry!$E$42:$E$59+$BG19*Geometry!$D$42:$D$59)&gt;0)*(($BE19+$BF19*Geometry!$E$42:$E$59+$BG19*Geometry!$D$42:$D$59)&lt;eco)+eco*(($BE19+$BF19*Geometry!$E$42:$E$59+$BG19*Geometry!$D$42:$D$59)&gt;=eco))/eco)^n)*((($BE19+$BF19*Geometry!$E$42:$E$59+$BG19*Geometry!$D$42:$D$59))&gt;0))),Geometry!$F$42:$F$59))/1000</f>
      </c>
      <c r="CC19" s="32">
        <f>(SUMPRODUCT(alpha*fck*(1-(1-((($BH19+$BI19*Mesh_Y+$BJ19*Mesh_X))*(($BH19+$BI19*Mesh_Y+$BJ19*Mesh_X)&gt;0)*(($BH19+$BI19*Mesh_Y+$BJ19*Mesh_X)&lt;eco)+eco*(($BH19+$BI19*Mesh_Y+$BJ19*Mesh_X)&gt;=eco))/eco)^n)*((($BH19+$BI19*Mesh_Y+$BJ19*Mesh_X))&gt;0),Mesh_A)+SUMPRODUCT((Es*(($BH19+$BI19*Geometry!$E$42:$E$59+$BJ19*Geometry!$D$42:$D$59))*(ABS(Es*(($BH19+$BI19*Geometry!$E$42:$E$59+$BJ19*Geometry!$D$42:$D$59)))&lt;=fy)+fy*(Es*(($BH19+$BI19*Geometry!$E$42:$E$59+$BJ19*Geometry!$D$42:$D$59))&gt;fy)-fy*(Es*(($BH19+$BI19*Geometry!$E$42:$E$59+$BJ19*Geometry!$D$42:$D$59))&lt;-fy)-(alpha*fck*(1-(1-((($BH19+$BI19*Geometry!$E$42:$E$59+$BJ19*Geometry!$D$42:$D$59))*(($BH19+$BI19*Geometry!$E$42:$E$59+$BJ19*Geometry!$D$42:$D$59)&gt;0)*(($BH19+$BI19*Geometry!$E$42:$E$59+$BJ19*Geometry!$D$42:$D$59)&lt;eco)+eco*(($BH19+$BI19*Geometry!$E$42:$E$59+$BJ19*Geometry!$D$42:$D$59)&gt;=eco))/eco)^n)*((($BH19+$BI19*Geometry!$E$42:$E$59+$BJ19*Geometry!$D$42:$D$59))&gt;0))),Geometry!$F$42:$F$59))/1000</f>
      </c>
      <c r="CD19" s="32">
        <f>(SUMPRODUCT(alpha*fck*(1-(1-((($F19+$G19*Mesh_Y+$H19*Mesh_X))*(($F19+$G19*Mesh_Y+$H19*Mesh_X)&gt;0)*(($F19+$G19*Mesh_Y+$H19*Mesh_X)&lt;eco)+eco*(($F19+$G19*Mesh_Y+$H19*Mesh_X)&gt;=eco))/eco)^n)*((($F19+$G19*Mesh_Y+$H19*Mesh_X))&gt;0),Mesh_A,Mesh_Y)+SUMPRODUCT((Es*(($F19+$G19*Geometry!$E$42:$E$59+$H19*Geometry!$D$42:$D$59))*(ABS(Es*(($F19+$G19*Geometry!$E$42:$E$59+$H19*Geometry!$D$42:$D$59)))&lt;=fy)+fy*(Es*(($F19+$G19*Geometry!$E$42:$E$59+$H19*Geometry!$D$42:$D$59))&gt;fy)-fy*(Es*(($F19+$G19*Geometry!$E$42:$E$59+$H19*Geometry!$D$42:$D$59))&lt;-fy)-(alpha*fck*(1-(1-((($F19+$G19*Geometry!$E$42:$E$59+$H19*Geometry!$D$42:$D$59))*(($F19+$G19*Geometry!$E$42:$E$59+$H19*Geometry!$D$42:$D$59)&gt;0)*(($F19+$G19*Geometry!$E$42:$E$59+$H19*Geometry!$D$42:$D$59)&lt;eco)+eco*(($F19+$G19*Geometry!$E$42:$E$59+$H19*Geometry!$D$42:$D$59)&gt;=eco))/eco)^n)*((($F19+$G19*Geometry!$E$42:$E$59+$H19*Geometry!$D$42:$D$59))&gt;0))),Geometry!$F$42:$F$59,Geometry!$E$42:$E$59))/1000000</f>
      </c>
      <c r="CE19" s="32">
        <f>(SUMPRODUCT(alpha*fck*(1-(1-((($I19+$J19*Mesh_Y+$K19*Mesh_X))*(($I19+$J19*Mesh_Y+$K19*Mesh_X)&gt;0)*(($I19+$J19*Mesh_Y+$K19*Mesh_X)&lt;eco)+eco*(($I19+$J19*Mesh_Y+$K19*Mesh_X)&gt;=eco))/eco)^n)*((($I19+$J19*Mesh_Y+$K19*Mesh_X))&gt;0),Mesh_A,Mesh_Y)+SUMPRODUCT((Es*(($I19+$J19*Geometry!$E$42:$E$59+$K19*Geometry!$D$42:$D$59))*(ABS(Es*(($I19+$J19*Geometry!$E$42:$E$59+$K19*Geometry!$D$42:$D$59)))&lt;=fy)+fy*(Es*(($I19+$J19*Geometry!$E$42:$E$59+$K19*Geometry!$D$42:$D$59))&gt;fy)-fy*(Es*(($I19+$J19*Geometry!$E$42:$E$59+$K19*Geometry!$D$42:$D$59))&lt;-fy)-(alpha*fck*(1-(1-((($I19+$J19*Geometry!$E$42:$E$59+$K19*Geometry!$D$42:$D$59))*(($I19+$J19*Geometry!$E$42:$E$59+$K19*Geometry!$D$42:$D$59)&gt;0)*(($I19+$J19*Geometry!$E$42:$E$59+$K19*Geometry!$D$42:$D$59)&lt;eco)+eco*(($I19+$J19*Geometry!$E$42:$E$59+$K19*Geometry!$D$42:$D$59)&gt;=eco))/eco)^n)*((($I19+$J19*Geometry!$E$42:$E$59+$K19*Geometry!$D$42:$D$59))&gt;0))),Geometry!$F$42:$F$59,Geometry!$E$42:$E$59))/1000000</f>
      </c>
      <c r="CF19" s="32">
        <f>(SUMPRODUCT(alpha*fck*(1-(1-((($L19+$M19*Mesh_Y+$N19*Mesh_X))*(($L19+$M19*Mesh_Y+$N19*Mesh_X)&gt;0)*(($L19+$M19*Mesh_Y+$N19*Mesh_X)&lt;eco)+eco*(($L19+$M19*Mesh_Y+$N19*Mesh_X)&gt;=eco))/eco)^n)*((($L19+$M19*Mesh_Y+$N19*Mesh_X))&gt;0),Mesh_A,Mesh_Y)+SUMPRODUCT((Es*(($L19+$M19*Geometry!$E$42:$E$59+$N19*Geometry!$D$42:$D$59))*(ABS(Es*(($L19+$M19*Geometry!$E$42:$E$59+$N19*Geometry!$D$42:$D$59)))&lt;=fy)+fy*(Es*(($L19+$M19*Geometry!$E$42:$E$59+$N19*Geometry!$D$42:$D$59))&gt;fy)-fy*(Es*(($L19+$M19*Geometry!$E$42:$E$59+$N19*Geometry!$D$42:$D$59))&lt;-fy)-(alpha*fck*(1-(1-((($L19+$M19*Geometry!$E$42:$E$59+$N19*Geometry!$D$42:$D$59))*(($L19+$M19*Geometry!$E$42:$E$59+$N19*Geometry!$D$42:$D$59)&gt;0)*(($L19+$M19*Geometry!$E$42:$E$59+$N19*Geometry!$D$42:$D$59)&lt;eco)+eco*(($L19+$M19*Geometry!$E$42:$E$59+$N19*Geometry!$D$42:$D$59)&gt;=eco))/eco)^n)*((($L19+$M19*Geometry!$E$42:$E$59+$N19*Geometry!$D$42:$D$59))&gt;0))),Geometry!$F$42:$F$59,Geometry!$E$42:$E$59))/1000000</f>
      </c>
      <c r="CG19" s="32">
        <f>(SUMPRODUCT(alpha*fck*(1-(1-((($O19+$P19*Mesh_Y+$Q19*Mesh_X))*(($O19+$P19*Mesh_Y+$Q19*Mesh_X)&gt;0)*(($O19+$P19*Mesh_Y+$Q19*Mesh_X)&lt;eco)+eco*(($O19+$P19*Mesh_Y+$Q19*Mesh_X)&gt;=eco))/eco)^n)*((($O19+$P19*Mesh_Y+$Q19*Mesh_X))&gt;0),Mesh_A,Mesh_Y)+SUMPRODUCT((Es*(($O19+$P19*Geometry!$E$42:$E$59+$Q19*Geometry!$D$42:$D$59))*(ABS(Es*(($O19+$P19*Geometry!$E$42:$E$59+$Q19*Geometry!$D$42:$D$59)))&lt;=fy)+fy*(Es*(($O19+$P19*Geometry!$E$42:$E$59+$Q19*Geometry!$D$42:$D$59))&gt;fy)-fy*(Es*(($O19+$P19*Geometry!$E$42:$E$59+$Q19*Geometry!$D$42:$D$59))&lt;-fy)-(alpha*fck*(1-(1-((($O19+$P19*Geometry!$E$42:$E$59+$Q19*Geometry!$D$42:$D$59))*(($O19+$P19*Geometry!$E$42:$E$59+$Q19*Geometry!$D$42:$D$59)&gt;0)*(($O19+$P19*Geometry!$E$42:$E$59+$Q19*Geometry!$D$42:$D$59)&lt;eco)+eco*(($O19+$P19*Geometry!$E$42:$E$59+$Q19*Geometry!$D$42:$D$59)&gt;=eco))/eco)^n)*((($O19+$P19*Geometry!$E$42:$E$59+$Q19*Geometry!$D$42:$D$59))&gt;0))),Geometry!$F$42:$F$59,Geometry!$E$42:$E$59))/1000000</f>
      </c>
      <c r="CH19" s="32">
        <f>(SUMPRODUCT(alpha*fck*(1-(1-((($R19+$S19*Mesh_Y+$T19*Mesh_X))*(($R19+$S19*Mesh_Y+$T19*Mesh_X)&gt;0)*(($R19+$S19*Mesh_Y+$T19*Mesh_X)&lt;eco)+eco*(($R19+$S19*Mesh_Y+$T19*Mesh_X)&gt;=eco))/eco)^n)*((($R19+$S19*Mesh_Y+$T19*Mesh_X))&gt;0),Mesh_A,Mesh_Y)+SUMPRODUCT((Es*(($R19+$S19*Geometry!$E$42:$E$59+$T19*Geometry!$D$42:$D$59))*(ABS(Es*(($R19+$S19*Geometry!$E$42:$E$59+$T19*Geometry!$D$42:$D$59)))&lt;=fy)+fy*(Es*(($R19+$S19*Geometry!$E$42:$E$59+$T19*Geometry!$D$42:$D$59))&gt;fy)-fy*(Es*(($R19+$S19*Geometry!$E$42:$E$59+$T19*Geometry!$D$42:$D$59))&lt;-fy)-(alpha*fck*(1-(1-((($R19+$S19*Geometry!$E$42:$E$59+$T19*Geometry!$D$42:$D$59))*(($R19+$S19*Geometry!$E$42:$E$59+$T19*Geometry!$D$42:$D$59)&gt;0)*(($R19+$S19*Geometry!$E$42:$E$59+$T19*Geometry!$D$42:$D$59)&lt;eco)+eco*(($R19+$S19*Geometry!$E$42:$E$59+$T19*Geometry!$D$42:$D$59)&gt;=eco))/eco)^n)*((($R19+$S19*Geometry!$E$42:$E$59+$T19*Geometry!$D$42:$D$59))&gt;0))),Geometry!$F$42:$F$59,Geometry!$E$42:$E$59))/1000000</f>
      </c>
      <c r="CI19" s="32">
        <f>(SUMPRODUCT(alpha*fck*(1-(1-((($U19+$V19*Mesh_Y+$W19*Mesh_X))*(($U19+$V19*Mesh_Y+$W19*Mesh_X)&gt;0)*(($U19+$V19*Mesh_Y+$W19*Mesh_X)&lt;eco)+eco*(($U19+$V19*Mesh_Y+$W19*Mesh_X)&gt;=eco))/eco)^n)*((($U19+$V19*Mesh_Y+$W19*Mesh_X))&gt;0),Mesh_A,Mesh_Y)+SUMPRODUCT((Es*(($U19+$V19*Geometry!$E$42:$E$59+$W19*Geometry!$D$42:$D$59))*(ABS(Es*(($U19+$V19*Geometry!$E$42:$E$59+$W19*Geometry!$D$42:$D$59)))&lt;=fy)+fy*(Es*(($U19+$V19*Geometry!$E$42:$E$59+$W19*Geometry!$D$42:$D$59))&gt;fy)-fy*(Es*(($U19+$V19*Geometry!$E$42:$E$59+$W19*Geometry!$D$42:$D$59))&lt;-fy)-(alpha*fck*(1-(1-((($U19+$V19*Geometry!$E$42:$E$59+$W19*Geometry!$D$42:$D$59))*(($U19+$V19*Geometry!$E$42:$E$59+$W19*Geometry!$D$42:$D$59)&gt;0)*(($U19+$V19*Geometry!$E$42:$E$59+$W19*Geometry!$D$42:$D$59)&lt;eco)+eco*(($U19+$V19*Geometry!$E$42:$E$59+$W19*Geometry!$D$42:$D$59)&gt;=eco))/eco)^n)*((($U19+$V19*Geometry!$E$42:$E$59+$W19*Geometry!$D$42:$D$59))&gt;0))),Geometry!$F$42:$F$59,Geometry!$E$42:$E$59))/1000000</f>
      </c>
      <c r="CJ19" s="32">
        <f>(SUMPRODUCT(alpha*fck*(1-(1-((($X19+$Y19*Mesh_Y+$Z19*Mesh_X))*(($X19+$Y19*Mesh_Y+$Z19*Mesh_X)&gt;0)*(($X19+$Y19*Mesh_Y+$Z19*Mesh_X)&lt;eco)+eco*(($X19+$Y19*Mesh_Y+$Z19*Mesh_X)&gt;=eco))/eco)^n)*((($X19+$Y19*Mesh_Y+$Z19*Mesh_X))&gt;0),Mesh_A,Mesh_Y)+SUMPRODUCT((Es*(($X19+$Y19*Geometry!$E$42:$E$59+$Z19*Geometry!$D$42:$D$59))*(ABS(Es*(($X19+$Y19*Geometry!$E$42:$E$59+$Z19*Geometry!$D$42:$D$59)))&lt;=fy)+fy*(Es*(($X19+$Y19*Geometry!$E$42:$E$59+$Z19*Geometry!$D$42:$D$59))&gt;fy)-fy*(Es*(($X19+$Y19*Geometry!$E$42:$E$59+$Z19*Geometry!$D$42:$D$59))&lt;-fy)-(alpha*fck*(1-(1-((($X19+$Y19*Geometry!$E$42:$E$59+$Z19*Geometry!$D$42:$D$59))*(($X19+$Y19*Geometry!$E$42:$E$59+$Z19*Geometry!$D$42:$D$59)&gt;0)*(($X19+$Y19*Geometry!$E$42:$E$59+$Z19*Geometry!$D$42:$D$59)&lt;eco)+eco*(($X19+$Y19*Geometry!$E$42:$E$59+$Z19*Geometry!$D$42:$D$59)&gt;=eco))/eco)^n)*((($X19+$Y19*Geometry!$E$42:$E$59+$Z19*Geometry!$D$42:$D$59))&gt;0))),Geometry!$F$42:$F$59,Geometry!$E$42:$E$59))/1000000</f>
      </c>
      <c r="CK19" s="32">
        <f>(SUMPRODUCT(alpha*fck*(1-(1-((($AA19+$AB19*Mesh_Y+$AC19*Mesh_X))*(($AA19+$AB19*Mesh_Y+$AC19*Mesh_X)&gt;0)*(($AA19+$AB19*Mesh_Y+$AC19*Mesh_X)&lt;eco)+eco*(($AA19+$AB19*Mesh_Y+$AC19*Mesh_X)&gt;=eco))/eco)^n)*((($AA19+$AB19*Mesh_Y+$AC19*Mesh_X))&gt;0),Mesh_A,Mesh_Y)+SUMPRODUCT((Es*(($AA19+$AB19*Geometry!$E$42:$E$59+$AC19*Geometry!$D$42:$D$59))*(ABS(Es*(($AA19+$AB19*Geometry!$E$42:$E$59+$AC19*Geometry!$D$42:$D$59)))&lt;=fy)+fy*(Es*(($AA19+$AB19*Geometry!$E$42:$E$59+$AC19*Geometry!$D$42:$D$59))&gt;fy)-fy*(Es*(($AA19+$AB19*Geometry!$E$42:$E$59+$AC19*Geometry!$D$42:$D$59))&lt;-fy)-(alpha*fck*(1-(1-((($AA19+$AB19*Geometry!$E$42:$E$59+$AC19*Geometry!$D$42:$D$59))*(($AA19+$AB19*Geometry!$E$42:$E$59+$AC19*Geometry!$D$42:$D$59)&gt;0)*(($AA19+$AB19*Geometry!$E$42:$E$59+$AC19*Geometry!$D$42:$D$59)&lt;eco)+eco*(($AA19+$AB19*Geometry!$E$42:$E$59+$AC19*Geometry!$D$42:$D$59)&gt;=eco))/eco)^n)*((($AA19+$AB19*Geometry!$E$42:$E$59+$AC19*Geometry!$D$42:$D$59))&gt;0))),Geometry!$F$42:$F$59,Geometry!$E$42:$E$59))/1000000</f>
      </c>
      <c r="CL19" s="32">
        <f>(SUMPRODUCT(alpha*fck*(1-(1-((($AD19+$AE19*Mesh_Y+$AF19*Mesh_X))*(($AD19+$AE19*Mesh_Y+$AF19*Mesh_X)&gt;0)*(($AD19+$AE19*Mesh_Y+$AF19*Mesh_X)&lt;eco)+eco*(($AD19+$AE19*Mesh_Y+$AF19*Mesh_X)&gt;=eco))/eco)^n)*((($AD19+$AE19*Mesh_Y+$AF19*Mesh_X))&gt;0),Mesh_A,Mesh_Y)+SUMPRODUCT((Es*(($AD19+$AE19*Geometry!$E$42:$E$59+$AF19*Geometry!$D$42:$D$59))*(ABS(Es*(($AD19+$AE19*Geometry!$E$42:$E$59+$AF19*Geometry!$D$42:$D$59)))&lt;=fy)+fy*(Es*(($AD19+$AE19*Geometry!$E$42:$E$59+$AF19*Geometry!$D$42:$D$59))&gt;fy)-fy*(Es*(($AD19+$AE19*Geometry!$E$42:$E$59+$AF19*Geometry!$D$42:$D$59))&lt;-fy)-(alpha*fck*(1-(1-((($AD19+$AE19*Geometry!$E$42:$E$59+$AF19*Geometry!$D$42:$D$59))*(($AD19+$AE19*Geometry!$E$42:$E$59+$AF19*Geometry!$D$42:$D$59)&gt;0)*(($AD19+$AE19*Geometry!$E$42:$E$59+$AF19*Geometry!$D$42:$D$59)&lt;eco)+eco*(($AD19+$AE19*Geometry!$E$42:$E$59+$AF19*Geometry!$D$42:$D$59)&gt;=eco))/eco)^n)*((($AD19+$AE19*Geometry!$E$42:$E$59+$AF19*Geometry!$D$42:$D$59))&gt;0))),Geometry!$F$42:$F$59,Geometry!$E$42:$E$59))/1000000</f>
      </c>
      <c r="CM19" s="32">
        <f>(SUMPRODUCT(alpha*fck*(1-(1-((($AG19+$AH19*Mesh_Y+$AI19*Mesh_X))*(($AG19+$AH19*Mesh_Y+$AI19*Mesh_X)&gt;0)*(($AG19+$AH19*Mesh_Y+$AI19*Mesh_X)&lt;eco)+eco*(($AG19+$AH19*Mesh_Y+$AI19*Mesh_X)&gt;=eco))/eco)^n)*((($AG19+$AH19*Mesh_Y+$AI19*Mesh_X))&gt;0),Mesh_A,Mesh_Y)+SUMPRODUCT((Es*(($AG19+$AH19*Geometry!$E$42:$E$59+$AI19*Geometry!$D$42:$D$59))*(ABS(Es*(($AG19+$AH19*Geometry!$E$42:$E$59+$AI19*Geometry!$D$42:$D$59)))&lt;=fy)+fy*(Es*(($AG19+$AH19*Geometry!$E$42:$E$59+$AI19*Geometry!$D$42:$D$59))&gt;fy)-fy*(Es*(($AG19+$AH19*Geometry!$E$42:$E$59+$AI19*Geometry!$D$42:$D$59))&lt;-fy)-(alpha*fck*(1-(1-((($AG19+$AH19*Geometry!$E$42:$E$59+$AI19*Geometry!$D$42:$D$59))*(($AG19+$AH19*Geometry!$E$42:$E$59+$AI19*Geometry!$D$42:$D$59)&gt;0)*(($AG19+$AH19*Geometry!$E$42:$E$59+$AI19*Geometry!$D$42:$D$59)&lt;eco)+eco*(($AG19+$AH19*Geometry!$E$42:$E$59+$AI19*Geometry!$D$42:$D$59)&gt;=eco))/eco)^n)*((($AG19+$AH19*Geometry!$E$42:$E$59+$AI19*Geometry!$D$42:$D$59))&gt;0))),Geometry!$F$42:$F$59,Geometry!$E$42:$E$59))/1000000</f>
      </c>
      <c r="CN19" s="32">
        <f>(SUMPRODUCT(alpha*fck*(1-(1-((($AJ19+$AK19*Mesh_Y+$AL19*Mesh_X))*(($AJ19+$AK19*Mesh_Y+$AL19*Mesh_X)&gt;0)*(($AJ19+$AK19*Mesh_Y+$AL19*Mesh_X)&lt;eco)+eco*(($AJ19+$AK19*Mesh_Y+$AL19*Mesh_X)&gt;=eco))/eco)^n)*((($AJ19+$AK19*Mesh_Y+$AL19*Mesh_X))&gt;0),Mesh_A,Mesh_Y)+SUMPRODUCT((Es*(($AJ19+$AK19*Geometry!$E$42:$E$59+$AL19*Geometry!$D$42:$D$59))*(ABS(Es*(($AJ19+$AK19*Geometry!$E$42:$E$59+$AL19*Geometry!$D$42:$D$59)))&lt;=fy)+fy*(Es*(($AJ19+$AK19*Geometry!$E$42:$E$59+$AL19*Geometry!$D$42:$D$59))&gt;fy)-fy*(Es*(($AJ19+$AK19*Geometry!$E$42:$E$59+$AL19*Geometry!$D$42:$D$59))&lt;-fy)-(alpha*fck*(1-(1-((($AJ19+$AK19*Geometry!$E$42:$E$59+$AL19*Geometry!$D$42:$D$59))*(($AJ19+$AK19*Geometry!$E$42:$E$59+$AL19*Geometry!$D$42:$D$59)&gt;0)*(($AJ19+$AK19*Geometry!$E$42:$E$59+$AL19*Geometry!$D$42:$D$59)&lt;eco)+eco*(($AJ19+$AK19*Geometry!$E$42:$E$59+$AL19*Geometry!$D$42:$D$59)&gt;=eco))/eco)^n)*((($AJ19+$AK19*Geometry!$E$42:$E$59+$AL19*Geometry!$D$42:$D$59))&gt;0))),Geometry!$F$42:$F$59,Geometry!$E$42:$E$59))/1000000</f>
      </c>
      <c r="CO19" s="32">
        <f>(SUMPRODUCT(alpha*fck*(1-(1-((($AM19+$AN19*Mesh_Y+$AO19*Mesh_X))*(($AM19+$AN19*Mesh_Y+$AO19*Mesh_X)&gt;0)*(($AM19+$AN19*Mesh_Y+$AO19*Mesh_X)&lt;eco)+eco*(($AM19+$AN19*Mesh_Y+$AO19*Mesh_X)&gt;=eco))/eco)^n)*((($AM19+$AN19*Mesh_Y+$AO19*Mesh_X))&gt;0),Mesh_A,Mesh_Y)+SUMPRODUCT((Es*(($AM19+$AN19*Geometry!$E$42:$E$59+$AO19*Geometry!$D$42:$D$59))*(ABS(Es*(($AM19+$AN19*Geometry!$E$42:$E$59+$AO19*Geometry!$D$42:$D$59)))&lt;=fy)+fy*(Es*(($AM19+$AN19*Geometry!$E$42:$E$59+$AO19*Geometry!$D$42:$D$59))&gt;fy)-fy*(Es*(($AM19+$AN19*Geometry!$E$42:$E$59+$AO19*Geometry!$D$42:$D$59))&lt;-fy)-(alpha*fck*(1-(1-((($AM19+$AN19*Geometry!$E$42:$E$59+$AO19*Geometry!$D$42:$D$59))*(($AM19+$AN19*Geometry!$E$42:$E$59+$AO19*Geometry!$D$42:$D$59)&gt;0)*(($AM19+$AN19*Geometry!$E$42:$E$59+$AO19*Geometry!$D$42:$D$59)&lt;eco)+eco*(($AM19+$AN19*Geometry!$E$42:$E$59+$AO19*Geometry!$D$42:$D$59)&gt;=eco))/eco)^n)*((($AM19+$AN19*Geometry!$E$42:$E$59+$AO19*Geometry!$D$42:$D$59))&gt;0))),Geometry!$F$42:$F$59,Geometry!$E$42:$E$59))/1000000</f>
      </c>
      <c r="CP19" s="32">
        <f>(SUMPRODUCT(alpha*fck*(1-(1-((($AP19+$AQ19*Mesh_Y+$AR19*Mesh_X))*(($AP19+$AQ19*Mesh_Y+$AR19*Mesh_X)&gt;0)*(($AP19+$AQ19*Mesh_Y+$AR19*Mesh_X)&lt;eco)+eco*(($AP19+$AQ19*Mesh_Y+$AR19*Mesh_X)&gt;=eco))/eco)^n)*((($AP19+$AQ19*Mesh_Y+$AR19*Mesh_X))&gt;0),Mesh_A,Mesh_Y)+SUMPRODUCT((Es*(($AP19+$AQ19*Geometry!$E$42:$E$59+$AR19*Geometry!$D$42:$D$59))*(ABS(Es*(($AP19+$AQ19*Geometry!$E$42:$E$59+$AR19*Geometry!$D$42:$D$59)))&lt;=fy)+fy*(Es*(($AP19+$AQ19*Geometry!$E$42:$E$59+$AR19*Geometry!$D$42:$D$59))&gt;fy)-fy*(Es*(($AP19+$AQ19*Geometry!$E$42:$E$59+$AR19*Geometry!$D$42:$D$59))&lt;-fy)-(alpha*fck*(1-(1-((($AP19+$AQ19*Geometry!$E$42:$E$59+$AR19*Geometry!$D$42:$D$59))*(($AP19+$AQ19*Geometry!$E$42:$E$59+$AR19*Geometry!$D$42:$D$59)&gt;0)*(($AP19+$AQ19*Geometry!$E$42:$E$59+$AR19*Geometry!$D$42:$D$59)&lt;eco)+eco*(($AP19+$AQ19*Geometry!$E$42:$E$59+$AR19*Geometry!$D$42:$D$59)&gt;=eco))/eco)^n)*((($AP19+$AQ19*Geometry!$E$42:$E$59+$AR19*Geometry!$D$42:$D$59))&gt;0))),Geometry!$F$42:$F$59,Geometry!$E$42:$E$59))/1000000</f>
      </c>
      <c r="CQ19" s="32">
        <f>(SUMPRODUCT(alpha*fck*(1-(1-((($AS19+$AT19*Mesh_Y+$AU19*Mesh_X))*(($AS19+$AT19*Mesh_Y+$AU19*Mesh_X)&gt;0)*(($AS19+$AT19*Mesh_Y+$AU19*Mesh_X)&lt;eco)+eco*(($AS19+$AT19*Mesh_Y+$AU19*Mesh_X)&gt;=eco))/eco)^n)*((($AS19+$AT19*Mesh_Y+$AU19*Mesh_X))&gt;0),Mesh_A,Mesh_Y)+SUMPRODUCT((Es*(($AS19+$AT19*Geometry!$E$42:$E$59+$AU19*Geometry!$D$42:$D$59))*(ABS(Es*(($AS19+$AT19*Geometry!$E$42:$E$59+$AU19*Geometry!$D$42:$D$59)))&lt;=fy)+fy*(Es*(($AS19+$AT19*Geometry!$E$42:$E$59+$AU19*Geometry!$D$42:$D$59))&gt;fy)-fy*(Es*(($AS19+$AT19*Geometry!$E$42:$E$59+$AU19*Geometry!$D$42:$D$59))&lt;-fy)-(alpha*fck*(1-(1-((($AS19+$AT19*Geometry!$E$42:$E$59+$AU19*Geometry!$D$42:$D$59))*(($AS19+$AT19*Geometry!$E$42:$E$59+$AU19*Geometry!$D$42:$D$59)&gt;0)*(($AS19+$AT19*Geometry!$E$42:$E$59+$AU19*Geometry!$D$42:$D$59)&lt;eco)+eco*(($AS19+$AT19*Geometry!$E$42:$E$59+$AU19*Geometry!$D$42:$D$59)&gt;=eco))/eco)^n)*((($AS19+$AT19*Geometry!$E$42:$E$59+$AU19*Geometry!$D$42:$D$59))&gt;0))),Geometry!$F$42:$F$59,Geometry!$E$42:$E$59))/1000000</f>
      </c>
      <c r="CR19" s="32">
        <f>(SUMPRODUCT(alpha*fck*(1-(1-((($AV19+$AW19*Mesh_Y+$AX19*Mesh_X))*(($AV19+$AW19*Mesh_Y+$AX19*Mesh_X)&gt;0)*(($AV19+$AW19*Mesh_Y+$AX19*Mesh_X)&lt;eco)+eco*(($AV19+$AW19*Mesh_Y+$AX19*Mesh_X)&gt;=eco))/eco)^n)*((($AV19+$AW19*Mesh_Y+$AX19*Mesh_X))&gt;0),Mesh_A,Mesh_Y)+SUMPRODUCT((Es*(($AV19+$AW19*Geometry!$E$42:$E$59+$AX19*Geometry!$D$42:$D$59))*(ABS(Es*(($AV19+$AW19*Geometry!$E$42:$E$59+$AX19*Geometry!$D$42:$D$59)))&lt;=fy)+fy*(Es*(($AV19+$AW19*Geometry!$E$42:$E$59+$AX19*Geometry!$D$42:$D$59))&gt;fy)-fy*(Es*(($AV19+$AW19*Geometry!$E$42:$E$59+$AX19*Geometry!$D$42:$D$59))&lt;-fy)-(alpha*fck*(1-(1-((($AV19+$AW19*Geometry!$E$42:$E$59+$AX19*Geometry!$D$42:$D$59))*(($AV19+$AW19*Geometry!$E$42:$E$59+$AX19*Geometry!$D$42:$D$59)&gt;0)*(($AV19+$AW19*Geometry!$E$42:$E$59+$AX19*Geometry!$D$42:$D$59)&lt;eco)+eco*(($AV19+$AW19*Geometry!$E$42:$E$59+$AX19*Geometry!$D$42:$D$59)&gt;=eco))/eco)^n)*((($AV19+$AW19*Geometry!$E$42:$E$59+$AX19*Geometry!$D$42:$D$59))&gt;0))),Geometry!$F$42:$F$59,Geometry!$E$42:$E$59))/1000000</f>
      </c>
      <c r="CS19" s="32">
        <f>(SUMPRODUCT(alpha*fck*(1-(1-((($AY19+$AZ19*Mesh_Y+$BA19*Mesh_X))*(($AY19+$AZ19*Mesh_Y+$BA19*Mesh_X)&gt;0)*(($AY19+$AZ19*Mesh_Y+$BA19*Mesh_X)&lt;eco)+eco*(($AY19+$AZ19*Mesh_Y+$BA19*Mesh_X)&gt;=eco))/eco)^n)*((($AY19+$AZ19*Mesh_Y+$BA19*Mesh_X))&gt;0),Mesh_A,Mesh_Y)+SUMPRODUCT((Es*(($AY19+$AZ19*Geometry!$E$42:$E$59+$BA19*Geometry!$D$42:$D$59))*(ABS(Es*(($AY19+$AZ19*Geometry!$E$42:$E$59+$BA19*Geometry!$D$42:$D$59)))&lt;=fy)+fy*(Es*(($AY19+$AZ19*Geometry!$E$42:$E$59+$BA19*Geometry!$D$42:$D$59))&gt;fy)-fy*(Es*(($AY19+$AZ19*Geometry!$E$42:$E$59+$BA19*Geometry!$D$42:$D$59))&lt;-fy)-(alpha*fck*(1-(1-((($AY19+$AZ19*Geometry!$E$42:$E$59+$BA19*Geometry!$D$42:$D$59))*(($AY19+$AZ19*Geometry!$E$42:$E$59+$BA19*Geometry!$D$42:$D$59)&gt;0)*(($AY19+$AZ19*Geometry!$E$42:$E$59+$BA19*Geometry!$D$42:$D$59)&lt;eco)+eco*(($AY19+$AZ19*Geometry!$E$42:$E$59+$BA19*Geometry!$D$42:$D$59)&gt;=eco))/eco)^n)*((($AY19+$AZ19*Geometry!$E$42:$E$59+$BA19*Geometry!$D$42:$D$59))&gt;0))),Geometry!$F$42:$F$59,Geometry!$E$42:$E$59))/1000000</f>
      </c>
      <c r="CT19" s="32">
        <f>(SUMPRODUCT(alpha*fck*(1-(1-((($BB19+$BC19*Mesh_Y+$BD19*Mesh_X))*(($BB19+$BC19*Mesh_Y+$BD19*Mesh_X)&gt;0)*(($BB19+$BC19*Mesh_Y+$BD19*Mesh_X)&lt;eco)+eco*(($BB19+$BC19*Mesh_Y+$BD19*Mesh_X)&gt;=eco))/eco)^n)*((($BB19+$BC19*Mesh_Y+$BD19*Mesh_X))&gt;0),Mesh_A,Mesh_Y)+SUMPRODUCT((Es*(($BB19+$BC19*Geometry!$E$42:$E$59+$BD19*Geometry!$D$42:$D$59))*(ABS(Es*(($BB19+$BC19*Geometry!$E$42:$E$59+$BD19*Geometry!$D$42:$D$59)))&lt;=fy)+fy*(Es*(($BB19+$BC19*Geometry!$E$42:$E$59+$BD19*Geometry!$D$42:$D$59))&gt;fy)-fy*(Es*(($BB19+$BC19*Geometry!$E$42:$E$59+$BD19*Geometry!$D$42:$D$59))&lt;-fy)-(alpha*fck*(1-(1-((($BB19+$BC19*Geometry!$E$42:$E$59+$BD19*Geometry!$D$42:$D$59))*(($BB19+$BC19*Geometry!$E$42:$E$59+$BD19*Geometry!$D$42:$D$59)&gt;0)*(($BB19+$BC19*Geometry!$E$42:$E$59+$BD19*Geometry!$D$42:$D$59)&lt;eco)+eco*(($BB19+$BC19*Geometry!$E$42:$E$59+$BD19*Geometry!$D$42:$D$59)&gt;=eco))/eco)^n)*((($BB19+$BC19*Geometry!$E$42:$E$59+$BD19*Geometry!$D$42:$D$59))&gt;0))),Geometry!$F$42:$F$59,Geometry!$E$42:$E$59))/1000000</f>
      </c>
      <c r="CU19" s="32">
        <f>(SUMPRODUCT(alpha*fck*(1-(1-((($BE19+$BF19*Mesh_Y+$BG19*Mesh_X))*(($BE19+$BF19*Mesh_Y+$BG19*Mesh_X)&gt;0)*(($BE19+$BF19*Mesh_Y+$BG19*Mesh_X)&lt;eco)+eco*(($BE19+$BF19*Mesh_Y+$BG19*Mesh_X)&gt;=eco))/eco)^n)*((($BE19+$BF19*Mesh_Y+$BG19*Mesh_X))&gt;0),Mesh_A,Mesh_Y)+SUMPRODUCT((Es*(($BE19+$BF19*Geometry!$E$42:$E$59+$BG19*Geometry!$D$42:$D$59))*(ABS(Es*(($BE19+$BF19*Geometry!$E$42:$E$59+$BG19*Geometry!$D$42:$D$59)))&lt;=fy)+fy*(Es*(($BE19+$BF19*Geometry!$E$42:$E$59+$BG19*Geometry!$D$42:$D$59))&gt;fy)-fy*(Es*(($BE19+$BF19*Geometry!$E$42:$E$59+$BG19*Geometry!$D$42:$D$59))&lt;-fy)-(alpha*fck*(1-(1-((($BE19+$BF19*Geometry!$E$42:$E$59+$BG19*Geometry!$D$42:$D$59))*(($BE19+$BF19*Geometry!$E$42:$E$59+$BG19*Geometry!$D$42:$D$59)&gt;0)*(($BE19+$BF19*Geometry!$E$42:$E$59+$BG19*Geometry!$D$42:$D$59)&lt;eco)+eco*(($BE19+$BF19*Geometry!$E$42:$E$59+$BG19*Geometry!$D$42:$D$59)&gt;=eco))/eco)^n)*((($BE19+$BF19*Geometry!$E$42:$E$59+$BG19*Geometry!$D$42:$D$59))&gt;0))),Geometry!$F$42:$F$59,Geometry!$E$42:$E$59))/1000000</f>
      </c>
      <c r="CV19" s="32">
        <f>(SUMPRODUCT(alpha*fck*(1-(1-((($BH19+$BI19*Mesh_Y+$BJ19*Mesh_X))*(($BH19+$BI19*Mesh_Y+$BJ19*Mesh_X)&gt;0)*(($BH19+$BI19*Mesh_Y+$BJ19*Mesh_X)&lt;eco)+eco*(($BH19+$BI19*Mesh_Y+$BJ19*Mesh_X)&gt;=eco))/eco)^n)*((($BH19+$BI19*Mesh_Y+$BJ19*Mesh_X))&gt;0),Mesh_A,Mesh_Y)+SUMPRODUCT((Es*(($BH19+$BI19*Geometry!$E$42:$E$59+$BJ19*Geometry!$D$42:$D$59))*(ABS(Es*(($BH19+$BI19*Geometry!$E$42:$E$59+$BJ19*Geometry!$D$42:$D$59)))&lt;=fy)+fy*(Es*(($BH19+$BI19*Geometry!$E$42:$E$59+$BJ19*Geometry!$D$42:$D$59))&gt;fy)-fy*(Es*(($BH19+$BI19*Geometry!$E$42:$E$59+$BJ19*Geometry!$D$42:$D$59))&lt;-fy)-(alpha*fck*(1-(1-((($BH19+$BI19*Geometry!$E$42:$E$59+$BJ19*Geometry!$D$42:$D$59))*(($BH19+$BI19*Geometry!$E$42:$E$59+$BJ19*Geometry!$D$42:$D$59)&gt;0)*(($BH19+$BI19*Geometry!$E$42:$E$59+$BJ19*Geometry!$D$42:$D$59)&lt;eco)+eco*(($BH19+$BI19*Geometry!$E$42:$E$59+$BJ19*Geometry!$D$42:$D$59)&gt;=eco))/eco)^n)*((($BH19+$BI19*Geometry!$E$42:$E$59+$BJ19*Geometry!$D$42:$D$59))&gt;0))),Geometry!$F$42:$F$59,Geometry!$E$42:$E$59))/1000000</f>
      </c>
      <c r="CW19" s="32">
        <f>(SUMPRODUCT(alpha*fck*(1-(1-((($F19+$G19*Mesh_Y+$H19*Mesh_X))*(($F19+$G19*Mesh_Y+$H19*Mesh_X)&gt;0)*(($F19+$G19*Mesh_Y+$H19*Mesh_X)&lt;eco)+eco*(($F19+$G19*Mesh_Y+$H19*Mesh_X)&gt;=eco))/eco)^n)*((($F19+$G19*Mesh_Y+$H19*Mesh_X))&gt;0),Mesh_A,Mesh_X)+SUMPRODUCT((Es*(($F19+$G19*Geometry!$E$42:$E$59+$H19*Geometry!$D$42:$D$59))*(ABS(Es*(($F19+$G19*Geometry!$E$42:$E$59+$H19*Geometry!$D$42:$D$59)))&lt;=fy)+fy*(Es*(($F19+$G19*Geometry!$E$42:$E$59+$H19*Geometry!$D$42:$D$59))&gt;fy)-fy*(Es*(($F19+$G19*Geometry!$E$42:$E$59+$H19*Geometry!$D$42:$D$59))&lt;-fy)-(alpha*fck*(1-(1-((($F19+$G19*Geometry!$E$42:$E$59+$H19*Geometry!$D$42:$D$59))*(($F19+$G19*Geometry!$E$42:$E$59+$H19*Geometry!$D$42:$D$59)&gt;0)*(($F19+$G19*Geometry!$E$42:$E$59+$H19*Geometry!$D$42:$D$59)&lt;eco)+eco*(($F19+$G19*Geometry!$E$42:$E$59+$H19*Geometry!$D$42:$D$59)&gt;=eco))/eco)^n)*((($F19+$G19*Geometry!$E$42:$E$59+$H19*Geometry!$D$42:$D$59))&gt;0))),Geometry!$F$42:$F$59,Geometry!$D$42:$D$59))/1000000</f>
      </c>
      <c r="CX19" s="32">
        <f>(SUMPRODUCT(alpha*fck*(1-(1-((($I19+$J19*Mesh_Y+$K19*Mesh_X))*(($I19+$J19*Mesh_Y+$K19*Mesh_X)&gt;0)*(($I19+$J19*Mesh_Y+$K19*Mesh_X)&lt;eco)+eco*(($I19+$J19*Mesh_Y+$K19*Mesh_X)&gt;=eco))/eco)^n)*((($I19+$J19*Mesh_Y+$K19*Mesh_X))&gt;0),Mesh_A,Mesh_X)+SUMPRODUCT((Es*(($I19+$J19*Geometry!$E$42:$E$59+$K19*Geometry!$D$42:$D$59))*(ABS(Es*(($I19+$J19*Geometry!$E$42:$E$59+$K19*Geometry!$D$42:$D$59)))&lt;=fy)+fy*(Es*(($I19+$J19*Geometry!$E$42:$E$59+$K19*Geometry!$D$42:$D$59))&gt;fy)-fy*(Es*(($I19+$J19*Geometry!$E$42:$E$59+$K19*Geometry!$D$42:$D$59))&lt;-fy)-(alpha*fck*(1-(1-((($I19+$J19*Geometry!$E$42:$E$59+$K19*Geometry!$D$42:$D$59))*(($I19+$J19*Geometry!$E$42:$E$59+$K19*Geometry!$D$42:$D$59)&gt;0)*(($I19+$J19*Geometry!$E$42:$E$59+$K19*Geometry!$D$42:$D$59)&lt;eco)+eco*(($I19+$J19*Geometry!$E$42:$E$59+$K19*Geometry!$D$42:$D$59)&gt;=eco))/eco)^n)*((($I19+$J19*Geometry!$E$42:$E$59+$K19*Geometry!$D$42:$D$59))&gt;0))),Geometry!$F$42:$F$59,Geometry!$D$42:$D$59))/1000000</f>
      </c>
      <c r="CY19" s="32">
        <f>(SUMPRODUCT(alpha*fck*(1-(1-((($L19+$M19*Mesh_Y+$N19*Mesh_X))*(($L19+$M19*Mesh_Y+$N19*Mesh_X)&gt;0)*(($L19+$M19*Mesh_Y+$N19*Mesh_X)&lt;eco)+eco*(($L19+$M19*Mesh_Y+$N19*Mesh_X)&gt;=eco))/eco)^n)*((($L19+$M19*Mesh_Y+$N19*Mesh_X))&gt;0),Mesh_A,Mesh_X)+SUMPRODUCT((Es*(($L19+$M19*Geometry!$E$42:$E$59+$N19*Geometry!$D$42:$D$59))*(ABS(Es*(($L19+$M19*Geometry!$E$42:$E$59+$N19*Geometry!$D$42:$D$59)))&lt;=fy)+fy*(Es*(($L19+$M19*Geometry!$E$42:$E$59+$N19*Geometry!$D$42:$D$59))&gt;fy)-fy*(Es*(($L19+$M19*Geometry!$E$42:$E$59+$N19*Geometry!$D$42:$D$59))&lt;-fy)-(alpha*fck*(1-(1-((($L19+$M19*Geometry!$E$42:$E$59+$N19*Geometry!$D$42:$D$59))*(($L19+$M19*Geometry!$E$42:$E$59+$N19*Geometry!$D$42:$D$59)&gt;0)*(($L19+$M19*Geometry!$E$42:$E$59+$N19*Geometry!$D$42:$D$59)&lt;eco)+eco*(($L19+$M19*Geometry!$E$42:$E$59+$N19*Geometry!$D$42:$D$59)&gt;=eco))/eco)^n)*((($L19+$M19*Geometry!$E$42:$E$59+$N19*Geometry!$D$42:$D$59))&gt;0))),Geometry!$F$42:$F$59,Geometry!$D$42:$D$59))/1000000</f>
      </c>
      <c r="CZ19" s="32">
        <f>(SUMPRODUCT(alpha*fck*(1-(1-((($O19+$P19*Mesh_Y+$Q19*Mesh_X))*(($O19+$P19*Mesh_Y+$Q19*Mesh_X)&gt;0)*(($O19+$P19*Mesh_Y+$Q19*Mesh_X)&lt;eco)+eco*(($O19+$P19*Mesh_Y+$Q19*Mesh_X)&gt;=eco))/eco)^n)*((($O19+$P19*Mesh_Y+$Q19*Mesh_X))&gt;0),Mesh_A,Mesh_X)+SUMPRODUCT((Es*(($O19+$P19*Geometry!$E$42:$E$59+$Q19*Geometry!$D$42:$D$59))*(ABS(Es*(($O19+$P19*Geometry!$E$42:$E$59+$Q19*Geometry!$D$42:$D$59)))&lt;=fy)+fy*(Es*(($O19+$P19*Geometry!$E$42:$E$59+$Q19*Geometry!$D$42:$D$59))&gt;fy)-fy*(Es*(($O19+$P19*Geometry!$E$42:$E$59+$Q19*Geometry!$D$42:$D$59))&lt;-fy)-(alpha*fck*(1-(1-((($O19+$P19*Geometry!$E$42:$E$59+$Q19*Geometry!$D$42:$D$59))*(($O19+$P19*Geometry!$E$42:$E$59+$Q19*Geometry!$D$42:$D$59)&gt;0)*(($O19+$P19*Geometry!$E$42:$E$59+$Q19*Geometry!$D$42:$D$59)&lt;eco)+eco*(($O19+$P19*Geometry!$E$42:$E$59+$Q19*Geometry!$D$42:$D$59)&gt;=eco))/eco)^n)*((($O19+$P19*Geometry!$E$42:$E$59+$Q19*Geometry!$D$42:$D$59))&gt;0))),Geometry!$F$42:$F$59,Geometry!$D$42:$D$59))/1000000</f>
      </c>
      <c r="DA19" s="32">
        <f>(SUMPRODUCT(alpha*fck*(1-(1-((($R19+$S19*Mesh_Y+$T19*Mesh_X))*(($R19+$S19*Mesh_Y+$T19*Mesh_X)&gt;0)*(($R19+$S19*Mesh_Y+$T19*Mesh_X)&lt;eco)+eco*(($R19+$S19*Mesh_Y+$T19*Mesh_X)&gt;=eco))/eco)^n)*((($R19+$S19*Mesh_Y+$T19*Mesh_X))&gt;0),Mesh_A,Mesh_X)+SUMPRODUCT((Es*(($R19+$S19*Geometry!$E$42:$E$59+$T19*Geometry!$D$42:$D$59))*(ABS(Es*(($R19+$S19*Geometry!$E$42:$E$59+$T19*Geometry!$D$42:$D$59)))&lt;=fy)+fy*(Es*(($R19+$S19*Geometry!$E$42:$E$59+$T19*Geometry!$D$42:$D$59))&gt;fy)-fy*(Es*(($R19+$S19*Geometry!$E$42:$E$59+$T19*Geometry!$D$42:$D$59))&lt;-fy)-(alpha*fck*(1-(1-((($R19+$S19*Geometry!$E$42:$E$59+$T19*Geometry!$D$42:$D$59))*(($R19+$S19*Geometry!$E$42:$E$59+$T19*Geometry!$D$42:$D$59)&gt;0)*(($R19+$S19*Geometry!$E$42:$E$59+$T19*Geometry!$D$42:$D$59)&lt;eco)+eco*(($R19+$S19*Geometry!$E$42:$E$59+$T19*Geometry!$D$42:$D$59)&gt;=eco))/eco)^n)*((($R19+$S19*Geometry!$E$42:$E$59+$T19*Geometry!$D$42:$D$59))&gt;0))),Geometry!$F$42:$F$59,Geometry!$D$42:$D$59))/1000000</f>
      </c>
      <c r="DB19" s="32">
        <f>(SUMPRODUCT(alpha*fck*(1-(1-((($U19+$V19*Mesh_Y+$W19*Mesh_X))*(($U19+$V19*Mesh_Y+$W19*Mesh_X)&gt;0)*(($U19+$V19*Mesh_Y+$W19*Mesh_X)&lt;eco)+eco*(($U19+$V19*Mesh_Y+$W19*Mesh_X)&gt;=eco))/eco)^n)*((($U19+$V19*Mesh_Y+$W19*Mesh_X))&gt;0),Mesh_A,Mesh_X)+SUMPRODUCT((Es*(($U19+$V19*Geometry!$E$42:$E$59+$W19*Geometry!$D$42:$D$59))*(ABS(Es*(($U19+$V19*Geometry!$E$42:$E$59+$W19*Geometry!$D$42:$D$59)))&lt;=fy)+fy*(Es*(($U19+$V19*Geometry!$E$42:$E$59+$W19*Geometry!$D$42:$D$59))&gt;fy)-fy*(Es*(($U19+$V19*Geometry!$E$42:$E$59+$W19*Geometry!$D$42:$D$59))&lt;-fy)-(alpha*fck*(1-(1-((($U19+$V19*Geometry!$E$42:$E$59+$W19*Geometry!$D$42:$D$59))*(($U19+$V19*Geometry!$E$42:$E$59+$W19*Geometry!$D$42:$D$59)&gt;0)*(($U19+$V19*Geometry!$E$42:$E$59+$W19*Geometry!$D$42:$D$59)&lt;eco)+eco*(($U19+$V19*Geometry!$E$42:$E$59+$W19*Geometry!$D$42:$D$59)&gt;=eco))/eco)^n)*((($U19+$V19*Geometry!$E$42:$E$59+$W19*Geometry!$D$42:$D$59))&gt;0))),Geometry!$F$42:$F$59,Geometry!$D$42:$D$59))/1000000</f>
      </c>
      <c r="DC19" s="32">
        <f>(SUMPRODUCT(alpha*fck*(1-(1-((($X19+$Y19*Mesh_Y+$Z19*Mesh_X))*(($X19+$Y19*Mesh_Y+$Z19*Mesh_X)&gt;0)*(($X19+$Y19*Mesh_Y+$Z19*Mesh_X)&lt;eco)+eco*(($X19+$Y19*Mesh_Y+$Z19*Mesh_X)&gt;=eco))/eco)^n)*((($X19+$Y19*Mesh_Y+$Z19*Mesh_X))&gt;0),Mesh_A,Mesh_X)+SUMPRODUCT((Es*(($X19+$Y19*Geometry!$E$42:$E$59+$Z19*Geometry!$D$42:$D$59))*(ABS(Es*(($X19+$Y19*Geometry!$E$42:$E$59+$Z19*Geometry!$D$42:$D$59)))&lt;=fy)+fy*(Es*(($X19+$Y19*Geometry!$E$42:$E$59+$Z19*Geometry!$D$42:$D$59))&gt;fy)-fy*(Es*(($X19+$Y19*Geometry!$E$42:$E$59+$Z19*Geometry!$D$42:$D$59))&lt;-fy)-(alpha*fck*(1-(1-((($X19+$Y19*Geometry!$E$42:$E$59+$Z19*Geometry!$D$42:$D$59))*(($X19+$Y19*Geometry!$E$42:$E$59+$Z19*Geometry!$D$42:$D$59)&gt;0)*(($X19+$Y19*Geometry!$E$42:$E$59+$Z19*Geometry!$D$42:$D$59)&lt;eco)+eco*(($X19+$Y19*Geometry!$E$42:$E$59+$Z19*Geometry!$D$42:$D$59)&gt;=eco))/eco)^n)*((($X19+$Y19*Geometry!$E$42:$E$59+$Z19*Geometry!$D$42:$D$59))&gt;0))),Geometry!$F$42:$F$59,Geometry!$D$42:$D$59))/1000000</f>
      </c>
      <c r="DD19" s="32">
        <f>(SUMPRODUCT(alpha*fck*(1-(1-((($AA19+$AB19*Mesh_Y+$AC19*Mesh_X))*(($AA19+$AB19*Mesh_Y+$AC19*Mesh_X)&gt;0)*(($AA19+$AB19*Mesh_Y+$AC19*Mesh_X)&lt;eco)+eco*(($AA19+$AB19*Mesh_Y+$AC19*Mesh_X)&gt;=eco))/eco)^n)*((($AA19+$AB19*Mesh_Y+$AC19*Mesh_X))&gt;0),Mesh_A,Mesh_X)+SUMPRODUCT((Es*(($AA19+$AB19*Geometry!$E$42:$E$59+$AC19*Geometry!$D$42:$D$59))*(ABS(Es*(($AA19+$AB19*Geometry!$E$42:$E$59+$AC19*Geometry!$D$42:$D$59)))&lt;=fy)+fy*(Es*(($AA19+$AB19*Geometry!$E$42:$E$59+$AC19*Geometry!$D$42:$D$59))&gt;fy)-fy*(Es*(($AA19+$AB19*Geometry!$E$42:$E$59+$AC19*Geometry!$D$42:$D$59))&lt;-fy)-(alpha*fck*(1-(1-((($AA19+$AB19*Geometry!$E$42:$E$59+$AC19*Geometry!$D$42:$D$59))*(($AA19+$AB19*Geometry!$E$42:$E$59+$AC19*Geometry!$D$42:$D$59)&gt;0)*(($AA19+$AB19*Geometry!$E$42:$E$59+$AC19*Geometry!$D$42:$D$59)&lt;eco)+eco*(($AA19+$AB19*Geometry!$E$42:$E$59+$AC19*Geometry!$D$42:$D$59)&gt;=eco))/eco)^n)*((($AA19+$AB19*Geometry!$E$42:$E$59+$AC19*Geometry!$D$42:$D$59))&gt;0))),Geometry!$F$42:$F$59,Geometry!$D$42:$D$59))/1000000</f>
      </c>
      <c r="DE19" s="32">
        <f>(SUMPRODUCT(alpha*fck*(1-(1-((($AD19+$AE19*Mesh_Y+$AF19*Mesh_X))*(($AD19+$AE19*Mesh_Y+$AF19*Mesh_X)&gt;0)*(($AD19+$AE19*Mesh_Y+$AF19*Mesh_X)&lt;eco)+eco*(($AD19+$AE19*Mesh_Y+$AF19*Mesh_X)&gt;=eco))/eco)^n)*((($AD19+$AE19*Mesh_Y+$AF19*Mesh_X))&gt;0),Mesh_A,Mesh_X)+SUMPRODUCT((Es*(($AD19+$AE19*Geometry!$E$42:$E$59+$AF19*Geometry!$D$42:$D$59))*(ABS(Es*(($AD19+$AE19*Geometry!$E$42:$E$59+$AF19*Geometry!$D$42:$D$59)))&lt;=fy)+fy*(Es*(($AD19+$AE19*Geometry!$E$42:$E$59+$AF19*Geometry!$D$42:$D$59))&gt;fy)-fy*(Es*(($AD19+$AE19*Geometry!$E$42:$E$59+$AF19*Geometry!$D$42:$D$59))&lt;-fy)-(alpha*fck*(1-(1-((($AD19+$AE19*Geometry!$E$42:$E$59+$AF19*Geometry!$D$42:$D$59))*(($AD19+$AE19*Geometry!$E$42:$E$59+$AF19*Geometry!$D$42:$D$59)&gt;0)*(($AD19+$AE19*Geometry!$E$42:$E$59+$AF19*Geometry!$D$42:$D$59)&lt;eco)+eco*(($AD19+$AE19*Geometry!$E$42:$E$59+$AF19*Geometry!$D$42:$D$59)&gt;=eco))/eco)^n)*((($AD19+$AE19*Geometry!$E$42:$E$59+$AF19*Geometry!$D$42:$D$59))&gt;0))),Geometry!$F$42:$F$59,Geometry!$D$42:$D$59))/1000000</f>
      </c>
      <c r="DF19" s="32">
        <f>(SUMPRODUCT(alpha*fck*(1-(1-((($AG19+$AH19*Mesh_Y+$AI19*Mesh_X))*(($AG19+$AH19*Mesh_Y+$AI19*Mesh_X)&gt;0)*(($AG19+$AH19*Mesh_Y+$AI19*Mesh_X)&lt;eco)+eco*(($AG19+$AH19*Mesh_Y+$AI19*Mesh_X)&gt;=eco))/eco)^n)*((($AG19+$AH19*Mesh_Y+$AI19*Mesh_X))&gt;0),Mesh_A,Mesh_X)+SUMPRODUCT((Es*(($AG19+$AH19*Geometry!$E$42:$E$59+$AI19*Geometry!$D$42:$D$59))*(ABS(Es*(($AG19+$AH19*Geometry!$E$42:$E$59+$AI19*Geometry!$D$42:$D$59)))&lt;=fy)+fy*(Es*(($AG19+$AH19*Geometry!$E$42:$E$59+$AI19*Geometry!$D$42:$D$59))&gt;fy)-fy*(Es*(($AG19+$AH19*Geometry!$E$42:$E$59+$AI19*Geometry!$D$42:$D$59))&lt;-fy)-(alpha*fck*(1-(1-((($AG19+$AH19*Geometry!$E$42:$E$59+$AI19*Geometry!$D$42:$D$59))*(($AG19+$AH19*Geometry!$E$42:$E$59+$AI19*Geometry!$D$42:$D$59)&gt;0)*(($AG19+$AH19*Geometry!$E$42:$E$59+$AI19*Geometry!$D$42:$D$59)&lt;eco)+eco*(($AG19+$AH19*Geometry!$E$42:$E$59+$AI19*Geometry!$D$42:$D$59)&gt;=eco))/eco)^n)*((($AG19+$AH19*Geometry!$E$42:$E$59+$AI19*Geometry!$D$42:$D$59))&gt;0))),Geometry!$F$42:$F$59,Geometry!$D$42:$D$59))/1000000</f>
      </c>
      <c r="DG19" s="32">
        <f>(SUMPRODUCT(alpha*fck*(1-(1-((($AJ19+$AK19*Mesh_Y+$AL19*Mesh_X))*(($AJ19+$AK19*Mesh_Y+$AL19*Mesh_X)&gt;0)*(($AJ19+$AK19*Mesh_Y+$AL19*Mesh_X)&lt;eco)+eco*(($AJ19+$AK19*Mesh_Y+$AL19*Mesh_X)&gt;=eco))/eco)^n)*((($AJ19+$AK19*Mesh_Y+$AL19*Mesh_X))&gt;0),Mesh_A,Mesh_X)+SUMPRODUCT((Es*(($AJ19+$AK19*Geometry!$E$42:$E$59+$AL19*Geometry!$D$42:$D$59))*(ABS(Es*(($AJ19+$AK19*Geometry!$E$42:$E$59+$AL19*Geometry!$D$42:$D$59)))&lt;=fy)+fy*(Es*(($AJ19+$AK19*Geometry!$E$42:$E$59+$AL19*Geometry!$D$42:$D$59))&gt;fy)-fy*(Es*(($AJ19+$AK19*Geometry!$E$42:$E$59+$AL19*Geometry!$D$42:$D$59))&lt;-fy)-(alpha*fck*(1-(1-((($AJ19+$AK19*Geometry!$E$42:$E$59+$AL19*Geometry!$D$42:$D$59))*(($AJ19+$AK19*Geometry!$E$42:$E$59+$AL19*Geometry!$D$42:$D$59)&gt;0)*(($AJ19+$AK19*Geometry!$E$42:$E$59+$AL19*Geometry!$D$42:$D$59)&lt;eco)+eco*(($AJ19+$AK19*Geometry!$E$42:$E$59+$AL19*Geometry!$D$42:$D$59)&gt;=eco))/eco)^n)*((($AJ19+$AK19*Geometry!$E$42:$E$59+$AL19*Geometry!$D$42:$D$59))&gt;0))),Geometry!$F$42:$F$59,Geometry!$D$42:$D$59))/1000000</f>
      </c>
      <c r="DH19" s="32">
        <f>(SUMPRODUCT(alpha*fck*(1-(1-((($AM19+$AN19*Mesh_Y+$AO19*Mesh_X))*(($AM19+$AN19*Mesh_Y+$AO19*Mesh_X)&gt;0)*(($AM19+$AN19*Mesh_Y+$AO19*Mesh_X)&lt;eco)+eco*(($AM19+$AN19*Mesh_Y+$AO19*Mesh_X)&gt;=eco))/eco)^n)*((($AM19+$AN19*Mesh_Y+$AO19*Mesh_X))&gt;0),Mesh_A,Mesh_X)+SUMPRODUCT((Es*(($AM19+$AN19*Geometry!$E$42:$E$59+$AO19*Geometry!$D$42:$D$59))*(ABS(Es*(($AM19+$AN19*Geometry!$E$42:$E$59+$AO19*Geometry!$D$42:$D$59)))&lt;=fy)+fy*(Es*(($AM19+$AN19*Geometry!$E$42:$E$59+$AO19*Geometry!$D$42:$D$59))&gt;fy)-fy*(Es*(($AM19+$AN19*Geometry!$E$42:$E$59+$AO19*Geometry!$D$42:$D$59))&lt;-fy)-(alpha*fck*(1-(1-((($AM19+$AN19*Geometry!$E$42:$E$59+$AO19*Geometry!$D$42:$D$59))*(($AM19+$AN19*Geometry!$E$42:$E$59+$AO19*Geometry!$D$42:$D$59)&gt;0)*(($AM19+$AN19*Geometry!$E$42:$E$59+$AO19*Geometry!$D$42:$D$59)&lt;eco)+eco*(($AM19+$AN19*Geometry!$E$42:$E$59+$AO19*Geometry!$D$42:$D$59)&gt;=eco))/eco)^n)*((($AM19+$AN19*Geometry!$E$42:$E$59+$AO19*Geometry!$D$42:$D$59))&gt;0))),Geometry!$F$42:$F$59,Geometry!$D$42:$D$59))/1000000</f>
      </c>
      <c r="DI19" s="32">
        <f>(SUMPRODUCT(alpha*fck*(1-(1-((($AP19+$AQ19*Mesh_Y+$AR19*Mesh_X))*(($AP19+$AQ19*Mesh_Y+$AR19*Mesh_X)&gt;0)*(($AP19+$AQ19*Mesh_Y+$AR19*Mesh_X)&lt;eco)+eco*(($AP19+$AQ19*Mesh_Y+$AR19*Mesh_X)&gt;=eco))/eco)^n)*((($AP19+$AQ19*Mesh_Y+$AR19*Mesh_X))&gt;0),Mesh_A,Mesh_X)+SUMPRODUCT((Es*(($AP19+$AQ19*Geometry!$E$42:$E$59+$AR19*Geometry!$D$42:$D$59))*(ABS(Es*(($AP19+$AQ19*Geometry!$E$42:$E$59+$AR19*Geometry!$D$42:$D$59)))&lt;=fy)+fy*(Es*(($AP19+$AQ19*Geometry!$E$42:$E$59+$AR19*Geometry!$D$42:$D$59))&gt;fy)-fy*(Es*(($AP19+$AQ19*Geometry!$E$42:$E$59+$AR19*Geometry!$D$42:$D$59))&lt;-fy)-(alpha*fck*(1-(1-((($AP19+$AQ19*Geometry!$E$42:$E$59+$AR19*Geometry!$D$42:$D$59))*(($AP19+$AQ19*Geometry!$E$42:$E$59+$AR19*Geometry!$D$42:$D$59)&gt;0)*(($AP19+$AQ19*Geometry!$E$42:$E$59+$AR19*Geometry!$D$42:$D$59)&lt;eco)+eco*(($AP19+$AQ19*Geometry!$E$42:$E$59+$AR19*Geometry!$D$42:$D$59)&gt;=eco))/eco)^n)*((($AP19+$AQ19*Geometry!$E$42:$E$59+$AR19*Geometry!$D$42:$D$59))&gt;0))),Geometry!$F$42:$F$59,Geometry!$D$42:$D$59))/1000000</f>
      </c>
      <c r="DJ19" s="32">
        <f>(SUMPRODUCT(alpha*fck*(1-(1-((($AS19+$AT19*Mesh_Y+$AU19*Mesh_X))*(($AS19+$AT19*Mesh_Y+$AU19*Mesh_X)&gt;0)*(($AS19+$AT19*Mesh_Y+$AU19*Mesh_X)&lt;eco)+eco*(($AS19+$AT19*Mesh_Y+$AU19*Mesh_X)&gt;=eco))/eco)^n)*((($AS19+$AT19*Mesh_Y+$AU19*Mesh_X))&gt;0),Mesh_A,Mesh_X)+SUMPRODUCT((Es*(($AS19+$AT19*Geometry!$E$42:$E$59+$AU19*Geometry!$D$42:$D$59))*(ABS(Es*(($AS19+$AT19*Geometry!$E$42:$E$59+$AU19*Geometry!$D$42:$D$59)))&lt;=fy)+fy*(Es*(($AS19+$AT19*Geometry!$E$42:$E$59+$AU19*Geometry!$D$42:$D$59))&gt;fy)-fy*(Es*(($AS19+$AT19*Geometry!$E$42:$E$59+$AU19*Geometry!$D$42:$D$59))&lt;-fy)-(alpha*fck*(1-(1-((($AS19+$AT19*Geometry!$E$42:$E$59+$AU19*Geometry!$D$42:$D$59))*(($AS19+$AT19*Geometry!$E$42:$E$59+$AU19*Geometry!$D$42:$D$59)&gt;0)*(($AS19+$AT19*Geometry!$E$42:$E$59+$AU19*Geometry!$D$42:$D$59)&lt;eco)+eco*(($AS19+$AT19*Geometry!$E$42:$E$59+$AU19*Geometry!$D$42:$D$59)&gt;=eco))/eco)^n)*((($AS19+$AT19*Geometry!$E$42:$E$59+$AU19*Geometry!$D$42:$D$59))&gt;0))),Geometry!$F$42:$F$59,Geometry!$D$42:$D$59))/1000000</f>
      </c>
      <c r="DK19" s="32">
        <f>(SUMPRODUCT(alpha*fck*(1-(1-((($AV19+$AW19*Mesh_Y+$AX19*Mesh_X))*(($AV19+$AW19*Mesh_Y+$AX19*Mesh_X)&gt;0)*(($AV19+$AW19*Mesh_Y+$AX19*Mesh_X)&lt;eco)+eco*(($AV19+$AW19*Mesh_Y+$AX19*Mesh_X)&gt;=eco))/eco)^n)*((($AV19+$AW19*Mesh_Y+$AX19*Mesh_X))&gt;0),Mesh_A,Mesh_X)+SUMPRODUCT((Es*(($AV19+$AW19*Geometry!$E$42:$E$59+$AX19*Geometry!$D$42:$D$59))*(ABS(Es*(($AV19+$AW19*Geometry!$E$42:$E$59+$AX19*Geometry!$D$42:$D$59)))&lt;=fy)+fy*(Es*(($AV19+$AW19*Geometry!$E$42:$E$59+$AX19*Geometry!$D$42:$D$59))&gt;fy)-fy*(Es*(($AV19+$AW19*Geometry!$E$42:$E$59+$AX19*Geometry!$D$42:$D$59))&lt;-fy)-(alpha*fck*(1-(1-((($AV19+$AW19*Geometry!$E$42:$E$59+$AX19*Geometry!$D$42:$D$59))*(($AV19+$AW19*Geometry!$E$42:$E$59+$AX19*Geometry!$D$42:$D$59)&gt;0)*(($AV19+$AW19*Geometry!$E$42:$E$59+$AX19*Geometry!$D$42:$D$59)&lt;eco)+eco*(($AV19+$AW19*Geometry!$E$42:$E$59+$AX19*Geometry!$D$42:$D$59)&gt;=eco))/eco)^n)*((($AV19+$AW19*Geometry!$E$42:$E$59+$AX19*Geometry!$D$42:$D$59))&gt;0))),Geometry!$F$42:$F$59,Geometry!$D$42:$D$59))/1000000</f>
      </c>
      <c r="DL19" s="32">
        <f>(SUMPRODUCT(alpha*fck*(1-(1-((($AY19+$AZ19*Mesh_Y+$BA19*Mesh_X))*(($AY19+$AZ19*Mesh_Y+$BA19*Mesh_X)&gt;0)*(($AY19+$AZ19*Mesh_Y+$BA19*Mesh_X)&lt;eco)+eco*(($AY19+$AZ19*Mesh_Y+$BA19*Mesh_X)&gt;=eco))/eco)^n)*((($AY19+$AZ19*Mesh_Y+$BA19*Mesh_X))&gt;0),Mesh_A,Mesh_X)+SUMPRODUCT((Es*(($AY19+$AZ19*Geometry!$E$42:$E$59+$BA19*Geometry!$D$42:$D$59))*(ABS(Es*(($AY19+$AZ19*Geometry!$E$42:$E$59+$BA19*Geometry!$D$42:$D$59)))&lt;=fy)+fy*(Es*(($AY19+$AZ19*Geometry!$E$42:$E$59+$BA19*Geometry!$D$42:$D$59))&gt;fy)-fy*(Es*(($AY19+$AZ19*Geometry!$E$42:$E$59+$BA19*Geometry!$D$42:$D$59))&lt;-fy)-(alpha*fck*(1-(1-((($AY19+$AZ19*Geometry!$E$42:$E$59+$BA19*Geometry!$D$42:$D$59))*(($AY19+$AZ19*Geometry!$E$42:$E$59+$BA19*Geometry!$D$42:$D$59)&gt;0)*(($AY19+$AZ19*Geometry!$E$42:$E$59+$BA19*Geometry!$D$42:$D$59)&lt;eco)+eco*(($AY19+$AZ19*Geometry!$E$42:$E$59+$BA19*Geometry!$D$42:$D$59)&gt;=eco))/eco)^n)*((($AY19+$AZ19*Geometry!$E$42:$E$59+$BA19*Geometry!$D$42:$D$59))&gt;0))),Geometry!$F$42:$F$59,Geometry!$D$42:$D$59))/1000000</f>
      </c>
      <c r="DM19" s="32">
        <f>(SUMPRODUCT(alpha*fck*(1-(1-((($BB19+$BC19*Mesh_Y+$BD19*Mesh_X))*(($BB19+$BC19*Mesh_Y+$BD19*Mesh_X)&gt;0)*(($BB19+$BC19*Mesh_Y+$BD19*Mesh_X)&lt;eco)+eco*(($BB19+$BC19*Mesh_Y+$BD19*Mesh_X)&gt;=eco))/eco)^n)*((($BB19+$BC19*Mesh_Y+$BD19*Mesh_X))&gt;0),Mesh_A,Mesh_X)+SUMPRODUCT((Es*(($BB19+$BC19*Geometry!$E$42:$E$59+$BD19*Geometry!$D$42:$D$59))*(ABS(Es*(($BB19+$BC19*Geometry!$E$42:$E$59+$BD19*Geometry!$D$42:$D$59)))&lt;=fy)+fy*(Es*(($BB19+$BC19*Geometry!$E$42:$E$59+$BD19*Geometry!$D$42:$D$59))&gt;fy)-fy*(Es*(($BB19+$BC19*Geometry!$E$42:$E$59+$BD19*Geometry!$D$42:$D$59))&lt;-fy)-(alpha*fck*(1-(1-((($BB19+$BC19*Geometry!$E$42:$E$59+$BD19*Geometry!$D$42:$D$59))*(($BB19+$BC19*Geometry!$E$42:$E$59+$BD19*Geometry!$D$42:$D$59)&gt;0)*(($BB19+$BC19*Geometry!$E$42:$E$59+$BD19*Geometry!$D$42:$D$59)&lt;eco)+eco*(($BB19+$BC19*Geometry!$E$42:$E$59+$BD19*Geometry!$D$42:$D$59)&gt;=eco))/eco)^n)*((($BB19+$BC19*Geometry!$E$42:$E$59+$BD19*Geometry!$D$42:$D$59))&gt;0))),Geometry!$F$42:$F$59,Geometry!$D$42:$D$59))/1000000</f>
      </c>
      <c r="DN19" s="32">
        <f>(SUMPRODUCT(alpha*fck*(1-(1-((($BE19+$BF19*Mesh_Y+$BG19*Mesh_X))*(($BE19+$BF19*Mesh_Y+$BG19*Mesh_X)&gt;0)*(($BE19+$BF19*Mesh_Y+$BG19*Mesh_X)&lt;eco)+eco*(($BE19+$BF19*Mesh_Y+$BG19*Mesh_X)&gt;=eco))/eco)^n)*((($BE19+$BF19*Mesh_Y+$BG19*Mesh_X))&gt;0),Mesh_A,Mesh_X)+SUMPRODUCT((Es*(($BE19+$BF19*Geometry!$E$42:$E$59+$BG19*Geometry!$D$42:$D$59))*(ABS(Es*(($BE19+$BF19*Geometry!$E$42:$E$59+$BG19*Geometry!$D$42:$D$59)))&lt;=fy)+fy*(Es*(($BE19+$BF19*Geometry!$E$42:$E$59+$BG19*Geometry!$D$42:$D$59))&gt;fy)-fy*(Es*(($BE19+$BF19*Geometry!$E$42:$E$59+$BG19*Geometry!$D$42:$D$59))&lt;-fy)-(alpha*fck*(1-(1-((($BE19+$BF19*Geometry!$E$42:$E$59+$BG19*Geometry!$D$42:$D$59))*(($BE19+$BF19*Geometry!$E$42:$E$59+$BG19*Geometry!$D$42:$D$59)&gt;0)*(($BE19+$BF19*Geometry!$E$42:$E$59+$BG19*Geometry!$D$42:$D$59)&lt;eco)+eco*(($BE19+$BF19*Geometry!$E$42:$E$59+$BG19*Geometry!$D$42:$D$59)&gt;=eco))/eco)^n)*((($BE19+$BF19*Geometry!$E$42:$E$59+$BG19*Geometry!$D$42:$D$59))&gt;0))),Geometry!$F$42:$F$59,Geometry!$D$42:$D$59))/1000000</f>
      </c>
      <c r="DO19" s="32">
        <f>(SUMPRODUCT(alpha*fck*(1-(1-((($BH19+$BI19*Mesh_Y+$BJ19*Mesh_X))*(($BH19+$BI19*Mesh_Y+$BJ19*Mesh_X)&gt;0)*(($BH19+$BI19*Mesh_Y+$BJ19*Mesh_X)&lt;eco)+eco*(($BH19+$BI19*Mesh_Y+$BJ19*Mesh_X)&gt;=eco))/eco)^n)*((($BH19+$BI19*Mesh_Y+$BJ19*Mesh_X))&gt;0),Mesh_A,Mesh_X)+SUMPRODUCT((Es*(($BH19+$BI19*Geometry!$E$42:$E$59+$BJ19*Geometry!$D$42:$D$59))*(ABS(Es*(($BH19+$BI19*Geometry!$E$42:$E$59+$BJ19*Geometry!$D$42:$D$59)))&lt;=fy)+fy*(Es*(($BH19+$BI19*Geometry!$E$42:$E$59+$BJ19*Geometry!$D$42:$D$59))&gt;fy)-fy*(Es*(($BH19+$BI19*Geometry!$E$42:$E$59+$BJ19*Geometry!$D$42:$D$59))&lt;-fy)-(alpha*fck*(1-(1-((($BH19+$BI19*Geometry!$E$42:$E$59+$BJ19*Geometry!$D$42:$D$59))*(($BH19+$BI19*Geometry!$E$42:$E$59+$BJ19*Geometry!$D$42:$D$59)&gt;0)*(($BH19+$BI19*Geometry!$E$42:$E$59+$BJ19*Geometry!$D$42:$D$59)&lt;eco)+eco*(($BH19+$BI19*Geometry!$E$42:$E$59+$BJ19*Geometry!$D$42:$D$59)&gt;=eco))/eco)^n)*((($BH19+$BI19*Geometry!$E$42:$E$59+$BJ19*Geometry!$D$42:$D$59))&gt;0))),Geometry!$F$42:$F$59,Geometry!$D$42:$D$59))/1000000</f>
      </c>
      <c r="DP19" s="45">
        <f>MAX(1,MIN(18,SUMPRODUCT(--($BK19:$CC19&gt;=Pu))))</f>
      </c>
      <c r="DQ19" s="46">
        <f>(Pu-INDEX($BK19:$CC19,1,$DP19))/(INDEX($BK19:$CC19,1,$DP19+1)-INDEX($BK19:$CC19,1,$DP19))</f>
      </c>
      <c r="DR19" s="33">
        <f>INDEX($CD19:$CV19,1,$DP19)+$DQ19*(INDEX($CD19:$CV19,1,$DP19+1)-INDEX($CD19:$CV19,1,$DP19))</f>
      </c>
      <c r="DS19" s="33">
        <f>INDEX($CW19:$DO19,1,$DP19)+$DQ19*(INDEX($CW19:$DO19,1,$DP19+1)-INDEX($CW19:$DO19,1,$DP19))</f>
      </c>
      <c r="DT19" s="33">
        <f>SQRT(DR19^2+DS19^2)</f>
      </c>
    </row>
    <row r="20" spans="1:124" x14ac:dyDescent="0.25">
      <c r="A20">
        <v>13</v>
      </c>
      <c r="B20" s="43">
        <v>180</v>
      </c>
      <c r="C20" s="12">
        <f>MAX(SUMPRODUCT(MAX((Geometry!$E$6:$E$13)*COS(RADIANS($B20))+(Geometry!$D$6:$D$13)*SIN(RADIANS($B20)))))</f>
      </c>
      <c r="D20" s="12">
        <f>SUMPRODUCT(MIN((Geometry!$E$42:$E$59)*COS(RADIANS($B20))+(Geometry!$D$42:$D$59)*SIN(RADIANS($B20))))</f>
      </c>
      <c r="E20" s="12">
        <f>C20-D20</f>
      </c>
      <c r="F20" s="30">
        <f>ecu</f>
      </c>
      <c r="G20" s="44">
        <f>0*COS(RADIANS($B20))</f>
      </c>
      <c r="H20" s="44">
        <f>0*SIN(RADIANS($B20))</f>
      </c>
      <c r="I20" s="30">
        <f>ecu-((ecu-0)/($C20-($C20-PM_Angle!$C$8*$E20)))*$C20</f>
      </c>
      <c r="J20" s="44">
        <f>((ecu-0)/($C20-($C20-PM_Angle!$C$8*$E20)))*COS(RADIANS($B20))</f>
      </c>
      <c r="K20" s="44">
        <f>((ecu-0)/($C20-($C20-PM_Angle!$C$8*$E20)))*SIN(RADIANS($B20))</f>
      </c>
      <c r="L20" s="30">
        <f>ecu-((ecu-0)/($C20-($C20-PM_Angle!$C$9*$E20)))*$C20</f>
      </c>
      <c r="M20" s="44">
        <f>((ecu-0)/($C20-($C20-PM_Angle!$C$9*$E20)))*COS(RADIANS($B20))</f>
      </c>
      <c r="N20" s="44">
        <f>((ecu-0)/($C20-($C20-PM_Angle!$C$9*$E20)))*SIN(RADIANS($B20))</f>
      </c>
      <c r="O20" s="30">
        <f>ecu-((ecu-0)/($C20-($C20-PM_Angle!$C$10*$E20)))*$C20</f>
      </c>
      <c r="P20" s="44">
        <f>((ecu-0)/($C20-($C20-PM_Angle!$C$10*$E20)))*COS(RADIANS($B20))</f>
      </c>
      <c r="Q20" s="44">
        <f>((ecu-0)/($C20-($C20-PM_Angle!$C$10*$E20)))*SIN(RADIANS($B20))</f>
      </c>
      <c r="R20" s="30">
        <f>ecu-((ecu-0)/($C20-($C20-PM_Angle!$C$11*$E20)))*$C20</f>
      </c>
      <c r="S20" s="44">
        <f>((ecu-0)/($C20-($C20-PM_Angle!$C$11*$E20)))*COS(RADIANS($B20))</f>
      </c>
      <c r="T20" s="44">
        <f>((ecu-0)/($C20-($C20-PM_Angle!$C$11*$E20)))*SIN(RADIANS($B20))</f>
      </c>
      <c r="U20" s="30">
        <f>ecu-((ecu-(-PM_Angle!$E$12))/($C20-$D20))*$C20</f>
      </c>
      <c r="V20" s="44">
        <f>((ecu-(-PM_Angle!$E$12))/($C20-$D20))*COS(RADIANS($B20))</f>
      </c>
      <c r="W20" s="44">
        <f>((ecu-(-PM_Angle!$E$12))/($C20-$D20))*SIN(RADIANS($B20))</f>
      </c>
      <c r="X20" s="30">
        <f>ecu-((ecu-(-PM_Angle!$D$13*fy/Es))/($C20-$D20))*$C20</f>
      </c>
      <c r="Y20" s="44">
        <f>((ecu-(-PM_Angle!$D$13*fy/Es))/($C20-$D20))*COS(RADIANS($B20))</f>
      </c>
      <c r="Z20" s="44">
        <f>((ecu-(-PM_Angle!$D$13*fy/Es))/($C20-$D20))*SIN(RADIANS($B20))</f>
      </c>
      <c r="AA20" s="30">
        <f>ecu-((ecu-(-PM_Angle!$D$14*fy/Es))/($C20-$D20))*$C20</f>
      </c>
      <c r="AB20" s="44">
        <f>((ecu-(-PM_Angle!$D$14*fy/Es))/($C20-$D20))*COS(RADIANS($B20))</f>
      </c>
      <c r="AC20" s="44">
        <f>((ecu-(-PM_Angle!$D$14*fy/Es))/($C20-$D20))*SIN(RADIANS($B20))</f>
      </c>
      <c r="AD20" s="30">
        <f>ecu-((ecu-(-PM_Angle!$D$15*fy/Es))/($C20-$D20))*$C20</f>
      </c>
      <c r="AE20" s="44">
        <f>((ecu-(-PM_Angle!$D$15*fy/Es))/($C20-$D20))*COS(RADIANS($B20))</f>
      </c>
      <c r="AF20" s="44">
        <f>((ecu-(-PM_Angle!$D$15*fy/Es))/($C20-$D20))*SIN(RADIANS($B20))</f>
      </c>
      <c r="AG20" s="30">
        <f>ecu-((ecu-(-PM_Angle!$D$16*fy/Es))/($C20-$D20))*$C20</f>
      </c>
      <c r="AH20" s="44">
        <f>((ecu-(-PM_Angle!$D$16*fy/Es))/($C20-$D20))*COS(RADIANS($B20))</f>
      </c>
      <c r="AI20" s="44">
        <f>((ecu-(-PM_Angle!$D$16*fy/Es))/($C20-$D20))*SIN(RADIANS($B20))</f>
      </c>
      <c r="AJ20" s="30">
        <f>ecu-((ecu-(-PM_Angle!$E$17))/($C20-$D20))*$C20</f>
      </c>
      <c r="AK20" s="44">
        <f>((ecu-(-PM_Angle!$E$17))/($C20-$D20))*COS(RADIANS($B20))</f>
      </c>
      <c r="AL20" s="44">
        <f>((ecu-(-PM_Angle!$E$17))/($C20-$D20))*SIN(RADIANS($B20))</f>
      </c>
      <c r="AM20" s="30">
        <f>ecu-((ecu-(-PM_Angle!$E$18))/($C20-$D20))*$C20</f>
      </c>
      <c r="AN20" s="44">
        <f>((ecu-(-PM_Angle!$E$18))/($C20-$D20))*COS(RADIANS($B20))</f>
      </c>
      <c r="AO20" s="44">
        <f>((ecu-(-PM_Angle!$E$18))/($C20-$D20))*SIN(RADIANS($B20))</f>
      </c>
      <c r="AP20" s="30">
        <f>ecu-((ecu-(-PM_Angle!$E$19))/($C20-$D20))*$C20</f>
      </c>
      <c r="AQ20" s="44">
        <f>((ecu-(-PM_Angle!$E$19))/($C20-$D20))*COS(RADIANS($B20))</f>
      </c>
      <c r="AR20" s="44">
        <f>((ecu-(-PM_Angle!$E$19))/($C20-$D20))*SIN(RADIANS($B20))</f>
      </c>
      <c r="AS20" s="30">
        <f>ecu-((ecu-(-PM_Angle!$E$20))/($C20-$D20))*$C20</f>
      </c>
      <c r="AT20" s="44">
        <f>((ecu-(-PM_Angle!$E$20))/($C20-$D20))*COS(RADIANS($B20))</f>
      </c>
      <c r="AU20" s="44">
        <f>((ecu-(-PM_Angle!$E$20))/($C20-$D20))*SIN(RADIANS($B20))</f>
      </c>
      <c r="AV20" s="30">
        <f>ecu-((ecu-(-PM_Angle!$E$21))/($C20-$D20))*$C20</f>
      </c>
      <c r="AW20" s="44">
        <f>((ecu-(-PM_Angle!$E$21))/($C20-$D20))*COS(RADIANS($B20))</f>
      </c>
      <c r="AX20" s="44">
        <f>((ecu-(-PM_Angle!$E$21))/($C20-$D20))*SIN(RADIANS($B20))</f>
      </c>
      <c r="AY20" s="30">
        <f>ecu-((ecu-(-PM_Angle!$E$22))/($C20-$D20))*$C20</f>
      </c>
      <c r="AZ20" s="44">
        <f>((ecu-(-PM_Angle!$E$22))/($C20-$D20))*COS(RADIANS($B20))</f>
      </c>
      <c r="BA20" s="44">
        <f>((ecu-(-PM_Angle!$E$22))/($C20-$D20))*SIN(RADIANS($B20))</f>
      </c>
      <c r="BB20" s="30">
        <f>ecu-((ecu-(-PM_Angle!$E$23))/($C20-$D20))*$C20</f>
      </c>
      <c r="BC20" s="44">
        <f>((ecu-(-PM_Angle!$E$23))/($C20-$D20))*COS(RADIANS($B20))</f>
      </c>
      <c r="BD20" s="44">
        <f>((ecu-(-PM_Angle!$E$23))/($C20-$D20))*SIN(RADIANS($B20))</f>
      </c>
      <c r="BE20" s="30">
        <f>ecu-((ecu-(-PM_Angle!$E$24))/($C20-$D20))*$C20</f>
      </c>
      <c r="BF20" s="44">
        <f>((ecu-(-PM_Angle!$E$24))/($C20-$D20))*COS(RADIANS($B20))</f>
      </c>
      <c r="BG20" s="44">
        <f>((ecu-(-PM_Angle!$E$24))/($C20-$D20))*SIN(RADIANS($B20))</f>
      </c>
      <c r="BH20" s="30">
        <f>etu</f>
      </c>
      <c r="BI20" s="44">
        <f>0*COS(RADIANS($B20))</f>
      </c>
      <c r="BJ20" s="44">
        <f>0*SIN(RADIANS($B20))</f>
      </c>
      <c r="BK20" s="32">
        <f>(SUMPRODUCT(alpha*fck*(1-(1-((($F20+$G20*Mesh_Y+$H20*Mesh_X))*(($F20+$G20*Mesh_Y+$H20*Mesh_X)&gt;0)*(($F20+$G20*Mesh_Y+$H20*Mesh_X)&lt;eco)+eco*(($F20+$G20*Mesh_Y+$H20*Mesh_X)&gt;=eco))/eco)^n)*((($F20+$G20*Mesh_Y+$H20*Mesh_X))&gt;0),Mesh_A)+SUMPRODUCT((Es*(($F20+$G20*Geometry!$E$42:$E$59+$H20*Geometry!$D$42:$D$59))*(ABS(Es*(($F20+$G20*Geometry!$E$42:$E$59+$H20*Geometry!$D$42:$D$59)))&lt;=fy)+fy*(Es*(($F20+$G20*Geometry!$E$42:$E$59+$H20*Geometry!$D$42:$D$59))&gt;fy)-fy*(Es*(($F20+$G20*Geometry!$E$42:$E$59+$H20*Geometry!$D$42:$D$59))&lt;-fy)-(alpha*fck*(1-(1-((($F20+$G20*Geometry!$E$42:$E$59+$H20*Geometry!$D$42:$D$59))*(($F20+$G20*Geometry!$E$42:$E$59+$H20*Geometry!$D$42:$D$59)&gt;0)*(($F20+$G20*Geometry!$E$42:$E$59+$H20*Geometry!$D$42:$D$59)&lt;eco)+eco*(($F20+$G20*Geometry!$E$42:$E$59+$H20*Geometry!$D$42:$D$59)&gt;=eco))/eco)^n)*((($F20+$G20*Geometry!$E$42:$E$59+$H20*Geometry!$D$42:$D$59))&gt;0))),Geometry!$F$42:$F$59))/1000</f>
      </c>
      <c r="BL20" s="32">
        <f>(SUMPRODUCT(alpha*fck*(1-(1-((($I20+$J20*Mesh_Y+$K20*Mesh_X))*(($I20+$J20*Mesh_Y+$K20*Mesh_X)&gt;0)*(($I20+$J20*Mesh_Y+$K20*Mesh_X)&lt;eco)+eco*(($I20+$J20*Mesh_Y+$K20*Mesh_X)&gt;=eco))/eco)^n)*((($I20+$J20*Mesh_Y+$K20*Mesh_X))&gt;0),Mesh_A)+SUMPRODUCT((Es*(($I20+$J20*Geometry!$E$42:$E$59+$K20*Geometry!$D$42:$D$59))*(ABS(Es*(($I20+$J20*Geometry!$E$42:$E$59+$K20*Geometry!$D$42:$D$59)))&lt;=fy)+fy*(Es*(($I20+$J20*Geometry!$E$42:$E$59+$K20*Geometry!$D$42:$D$59))&gt;fy)-fy*(Es*(($I20+$J20*Geometry!$E$42:$E$59+$K20*Geometry!$D$42:$D$59))&lt;-fy)-(alpha*fck*(1-(1-((($I20+$J20*Geometry!$E$42:$E$59+$K20*Geometry!$D$42:$D$59))*(($I20+$J20*Geometry!$E$42:$E$59+$K20*Geometry!$D$42:$D$59)&gt;0)*(($I20+$J20*Geometry!$E$42:$E$59+$K20*Geometry!$D$42:$D$59)&lt;eco)+eco*(($I20+$J20*Geometry!$E$42:$E$59+$K20*Geometry!$D$42:$D$59)&gt;=eco))/eco)^n)*((($I20+$J20*Geometry!$E$42:$E$59+$K20*Geometry!$D$42:$D$59))&gt;0))),Geometry!$F$42:$F$59))/1000</f>
      </c>
      <c r="BM20" s="32">
        <f>(SUMPRODUCT(alpha*fck*(1-(1-((($L20+$M20*Mesh_Y+$N20*Mesh_X))*(($L20+$M20*Mesh_Y+$N20*Mesh_X)&gt;0)*(($L20+$M20*Mesh_Y+$N20*Mesh_X)&lt;eco)+eco*(($L20+$M20*Mesh_Y+$N20*Mesh_X)&gt;=eco))/eco)^n)*((($L20+$M20*Mesh_Y+$N20*Mesh_X))&gt;0),Mesh_A)+SUMPRODUCT((Es*(($L20+$M20*Geometry!$E$42:$E$59+$N20*Geometry!$D$42:$D$59))*(ABS(Es*(($L20+$M20*Geometry!$E$42:$E$59+$N20*Geometry!$D$42:$D$59)))&lt;=fy)+fy*(Es*(($L20+$M20*Geometry!$E$42:$E$59+$N20*Geometry!$D$42:$D$59))&gt;fy)-fy*(Es*(($L20+$M20*Geometry!$E$42:$E$59+$N20*Geometry!$D$42:$D$59))&lt;-fy)-(alpha*fck*(1-(1-((($L20+$M20*Geometry!$E$42:$E$59+$N20*Geometry!$D$42:$D$59))*(($L20+$M20*Geometry!$E$42:$E$59+$N20*Geometry!$D$42:$D$59)&gt;0)*(($L20+$M20*Geometry!$E$42:$E$59+$N20*Geometry!$D$42:$D$59)&lt;eco)+eco*(($L20+$M20*Geometry!$E$42:$E$59+$N20*Geometry!$D$42:$D$59)&gt;=eco))/eco)^n)*((($L20+$M20*Geometry!$E$42:$E$59+$N20*Geometry!$D$42:$D$59))&gt;0))),Geometry!$F$42:$F$59))/1000</f>
      </c>
      <c r="BN20" s="32">
        <f>(SUMPRODUCT(alpha*fck*(1-(1-((($O20+$P20*Mesh_Y+$Q20*Mesh_X))*(($O20+$P20*Mesh_Y+$Q20*Mesh_X)&gt;0)*(($O20+$P20*Mesh_Y+$Q20*Mesh_X)&lt;eco)+eco*(($O20+$P20*Mesh_Y+$Q20*Mesh_X)&gt;=eco))/eco)^n)*((($O20+$P20*Mesh_Y+$Q20*Mesh_X))&gt;0),Mesh_A)+SUMPRODUCT((Es*(($O20+$P20*Geometry!$E$42:$E$59+$Q20*Geometry!$D$42:$D$59))*(ABS(Es*(($O20+$P20*Geometry!$E$42:$E$59+$Q20*Geometry!$D$42:$D$59)))&lt;=fy)+fy*(Es*(($O20+$P20*Geometry!$E$42:$E$59+$Q20*Geometry!$D$42:$D$59))&gt;fy)-fy*(Es*(($O20+$P20*Geometry!$E$42:$E$59+$Q20*Geometry!$D$42:$D$59))&lt;-fy)-(alpha*fck*(1-(1-((($O20+$P20*Geometry!$E$42:$E$59+$Q20*Geometry!$D$42:$D$59))*(($O20+$P20*Geometry!$E$42:$E$59+$Q20*Geometry!$D$42:$D$59)&gt;0)*(($O20+$P20*Geometry!$E$42:$E$59+$Q20*Geometry!$D$42:$D$59)&lt;eco)+eco*(($O20+$P20*Geometry!$E$42:$E$59+$Q20*Geometry!$D$42:$D$59)&gt;=eco))/eco)^n)*((($O20+$P20*Geometry!$E$42:$E$59+$Q20*Geometry!$D$42:$D$59))&gt;0))),Geometry!$F$42:$F$59))/1000</f>
      </c>
      <c r="BO20" s="32">
        <f>(SUMPRODUCT(alpha*fck*(1-(1-((($R20+$S20*Mesh_Y+$T20*Mesh_X))*(($R20+$S20*Mesh_Y+$T20*Mesh_X)&gt;0)*(($R20+$S20*Mesh_Y+$T20*Mesh_X)&lt;eco)+eco*(($R20+$S20*Mesh_Y+$T20*Mesh_X)&gt;=eco))/eco)^n)*((($R20+$S20*Mesh_Y+$T20*Mesh_X))&gt;0),Mesh_A)+SUMPRODUCT((Es*(($R20+$S20*Geometry!$E$42:$E$59+$T20*Geometry!$D$42:$D$59))*(ABS(Es*(($R20+$S20*Geometry!$E$42:$E$59+$T20*Geometry!$D$42:$D$59)))&lt;=fy)+fy*(Es*(($R20+$S20*Geometry!$E$42:$E$59+$T20*Geometry!$D$42:$D$59))&gt;fy)-fy*(Es*(($R20+$S20*Geometry!$E$42:$E$59+$T20*Geometry!$D$42:$D$59))&lt;-fy)-(alpha*fck*(1-(1-((($R20+$S20*Geometry!$E$42:$E$59+$T20*Geometry!$D$42:$D$59))*(($R20+$S20*Geometry!$E$42:$E$59+$T20*Geometry!$D$42:$D$59)&gt;0)*(($R20+$S20*Geometry!$E$42:$E$59+$T20*Geometry!$D$42:$D$59)&lt;eco)+eco*(($R20+$S20*Geometry!$E$42:$E$59+$T20*Geometry!$D$42:$D$59)&gt;=eco))/eco)^n)*((($R20+$S20*Geometry!$E$42:$E$59+$T20*Geometry!$D$42:$D$59))&gt;0))),Geometry!$F$42:$F$59))/1000</f>
      </c>
      <c r="BP20" s="32">
        <f>(SUMPRODUCT(alpha*fck*(1-(1-((($U20+$V20*Mesh_Y+$W20*Mesh_X))*(($U20+$V20*Mesh_Y+$W20*Mesh_X)&gt;0)*(($U20+$V20*Mesh_Y+$W20*Mesh_X)&lt;eco)+eco*(($U20+$V20*Mesh_Y+$W20*Mesh_X)&gt;=eco))/eco)^n)*((($U20+$V20*Mesh_Y+$W20*Mesh_X))&gt;0),Mesh_A)+SUMPRODUCT((Es*(($U20+$V20*Geometry!$E$42:$E$59+$W20*Geometry!$D$42:$D$59))*(ABS(Es*(($U20+$V20*Geometry!$E$42:$E$59+$W20*Geometry!$D$42:$D$59)))&lt;=fy)+fy*(Es*(($U20+$V20*Geometry!$E$42:$E$59+$W20*Geometry!$D$42:$D$59))&gt;fy)-fy*(Es*(($U20+$V20*Geometry!$E$42:$E$59+$W20*Geometry!$D$42:$D$59))&lt;-fy)-(alpha*fck*(1-(1-((($U20+$V20*Geometry!$E$42:$E$59+$W20*Geometry!$D$42:$D$59))*(($U20+$V20*Geometry!$E$42:$E$59+$W20*Geometry!$D$42:$D$59)&gt;0)*(($U20+$V20*Geometry!$E$42:$E$59+$W20*Geometry!$D$42:$D$59)&lt;eco)+eco*(($U20+$V20*Geometry!$E$42:$E$59+$W20*Geometry!$D$42:$D$59)&gt;=eco))/eco)^n)*((($U20+$V20*Geometry!$E$42:$E$59+$W20*Geometry!$D$42:$D$59))&gt;0))),Geometry!$F$42:$F$59))/1000</f>
      </c>
      <c r="BQ20" s="32">
        <f>(SUMPRODUCT(alpha*fck*(1-(1-((($X20+$Y20*Mesh_Y+$Z20*Mesh_X))*(($X20+$Y20*Mesh_Y+$Z20*Mesh_X)&gt;0)*(($X20+$Y20*Mesh_Y+$Z20*Mesh_X)&lt;eco)+eco*(($X20+$Y20*Mesh_Y+$Z20*Mesh_X)&gt;=eco))/eco)^n)*((($X20+$Y20*Mesh_Y+$Z20*Mesh_X))&gt;0),Mesh_A)+SUMPRODUCT((Es*(($X20+$Y20*Geometry!$E$42:$E$59+$Z20*Geometry!$D$42:$D$59))*(ABS(Es*(($X20+$Y20*Geometry!$E$42:$E$59+$Z20*Geometry!$D$42:$D$59)))&lt;=fy)+fy*(Es*(($X20+$Y20*Geometry!$E$42:$E$59+$Z20*Geometry!$D$42:$D$59))&gt;fy)-fy*(Es*(($X20+$Y20*Geometry!$E$42:$E$59+$Z20*Geometry!$D$42:$D$59))&lt;-fy)-(alpha*fck*(1-(1-((($X20+$Y20*Geometry!$E$42:$E$59+$Z20*Geometry!$D$42:$D$59))*(($X20+$Y20*Geometry!$E$42:$E$59+$Z20*Geometry!$D$42:$D$59)&gt;0)*(($X20+$Y20*Geometry!$E$42:$E$59+$Z20*Geometry!$D$42:$D$59)&lt;eco)+eco*(($X20+$Y20*Geometry!$E$42:$E$59+$Z20*Geometry!$D$42:$D$59)&gt;=eco))/eco)^n)*((($X20+$Y20*Geometry!$E$42:$E$59+$Z20*Geometry!$D$42:$D$59))&gt;0))),Geometry!$F$42:$F$59))/1000</f>
      </c>
      <c r="BR20" s="32">
        <f>(SUMPRODUCT(alpha*fck*(1-(1-((($AA20+$AB20*Mesh_Y+$AC20*Mesh_X))*(($AA20+$AB20*Mesh_Y+$AC20*Mesh_X)&gt;0)*(($AA20+$AB20*Mesh_Y+$AC20*Mesh_X)&lt;eco)+eco*(($AA20+$AB20*Mesh_Y+$AC20*Mesh_X)&gt;=eco))/eco)^n)*((($AA20+$AB20*Mesh_Y+$AC20*Mesh_X))&gt;0),Mesh_A)+SUMPRODUCT((Es*(($AA20+$AB20*Geometry!$E$42:$E$59+$AC20*Geometry!$D$42:$D$59))*(ABS(Es*(($AA20+$AB20*Geometry!$E$42:$E$59+$AC20*Geometry!$D$42:$D$59)))&lt;=fy)+fy*(Es*(($AA20+$AB20*Geometry!$E$42:$E$59+$AC20*Geometry!$D$42:$D$59))&gt;fy)-fy*(Es*(($AA20+$AB20*Geometry!$E$42:$E$59+$AC20*Geometry!$D$42:$D$59))&lt;-fy)-(alpha*fck*(1-(1-((($AA20+$AB20*Geometry!$E$42:$E$59+$AC20*Geometry!$D$42:$D$59))*(($AA20+$AB20*Geometry!$E$42:$E$59+$AC20*Geometry!$D$42:$D$59)&gt;0)*(($AA20+$AB20*Geometry!$E$42:$E$59+$AC20*Geometry!$D$42:$D$59)&lt;eco)+eco*(($AA20+$AB20*Geometry!$E$42:$E$59+$AC20*Geometry!$D$42:$D$59)&gt;=eco))/eco)^n)*((($AA20+$AB20*Geometry!$E$42:$E$59+$AC20*Geometry!$D$42:$D$59))&gt;0))),Geometry!$F$42:$F$59))/1000</f>
      </c>
      <c r="BS20" s="32">
        <f>(SUMPRODUCT(alpha*fck*(1-(1-((($AD20+$AE20*Mesh_Y+$AF20*Mesh_X))*(($AD20+$AE20*Mesh_Y+$AF20*Mesh_X)&gt;0)*(($AD20+$AE20*Mesh_Y+$AF20*Mesh_X)&lt;eco)+eco*(($AD20+$AE20*Mesh_Y+$AF20*Mesh_X)&gt;=eco))/eco)^n)*((($AD20+$AE20*Mesh_Y+$AF20*Mesh_X))&gt;0),Mesh_A)+SUMPRODUCT((Es*(($AD20+$AE20*Geometry!$E$42:$E$59+$AF20*Geometry!$D$42:$D$59))*(ABS(Es*(($AD20+$AE20*Geometry!$E$42:$E$59+$AF20*Geometry!$D$42:$D$59)))&lt;=fy)+fy*(Es*(($AD20+$AE20*Geometry!$E$42:$E$59+$AF20*Geometry!$D$42:$D$59))&gt;fy)-fy*(Es*(($AD20+$AE20*Geometry!$E$42:$E$59+$AF20*Geometry!$D$42:$D$59))&lt;-fy)-(alpha*fck*(1-(1-((($AD20+$AE20*Geometry!$E$42:$E$59+$AF20*Geometry!$D$42:$D$59))*(($AD20+$AE20*Geometry!$E$42:$E$59+$AF20*Geometry!$D$42:$D$59)&gt;0)*(($AD20+$AE20*Geometry!$E$42:$E$59+$AF20*Geometry!$D$42:$D$59)&lt;eco)+eco*(($AD20+$AE20*Geometry!$E$42:$E$59+$AF20*Geometry!$D$42:$D$59)&gt;=eco))/eco)^n)*((($AD20+$AE20*Geometry!$E$42:$E$59+$AF20*Geometry!$D$42:$D$59))&gt;0))),Geometry!$F$42:$F$59))/1000</f>
      </c>
      <c r="BT20" s="32">
        <f>(SUMPRODUCT(alpha*fck*(1-(1-((($AG20+$AH20*Mesh_Y+$AI20*Mesh_X))*(($AG20+$AH20*Mesh_Y+$AI20*Mesh_X)&gt;0)*(($AG20+$AH20*Mesh_Y+$AI20*Mesh_X)&lt;eco)+eco*(($AG20+$AH20*Mesh_Y+$AI20*Mesh_X)&gt;=eco))/eco)^n)*((($AG20+$AH20*Mesh_Y+$AI20*Mesh_X))&gt;0),Mesh_A)+SUMPRODUCT((Es*(($AG20+$AH20*Geometry!$E$42:$E$59+$AI20*Geometry!$D$42:$D$59))*(ABS(Es*(($AG20+$AH20*Geometry!$E$42:$E$59+$AI20*Geometry!$D$42:$D$59)))&lt;=fy)+fy*(Es*(($AG20+$AH20*Geometry!$E$42:$E$59+$AI20*Geometry!$D$42:$D$59))&gt;fy)-fy*(Es*(($AG20+$AH20*Geometry!$E$42:$E$59+$AI20*Geometry!$D$42:$D$59))&lt;-fy)-(alpha*fck*(1-(1-((($AG20+$AH20*Geometry!$E$42:$E$59+$AI20*Geometry!$D$42:$D$59))*(($AG20+$AH20*Geometry!$E$42:$E$59+$AI20*Geometry!$D$42:$D$59)&gt;0)*(($AG20+$AH20*Geometry!$E$42:$E$59+$AI20*Geometry!$D$42:$D$59)&lt;eco)+eco*(($AG20+$AH20*Geometry!$E$42:$E$59+$AI20*Geometry!$D$42:$D$59)&gt;=eco))/eco)^n)*((($AG20+$AH20*Geometry!$E$42:$E$59+$AI20*Geometry!$D$42:$D$59))&gt;0))),Geometry!$F$42:$F$59))/1000</f>
      </c>
      <c r="BU20" s="32">
        <f>(SUMPRODUCT(alpha*fck*(1-(1-((($AJ20+$AK20*Mesh_Y+$AL20*Mesh_X))*(($AJ20+$AK20*Mesh_Y+$AL20*Mesh_X)&gt;0)*(($AJ20+$AK20*Mesh_Y+$AL20*Mesh_X)&lt;eco)+eco*(($AJ20+$AK20*Mesh_Y+$AL20*Mesh_X)&gt;=eco))/eco)^n)*((($AJ20+$AK20*Mesh_Y+$AL20*Mesh_X))&gt;0),Mesh_A)+SUMPRODUCT((Es*(($AJ20+$AK20*Geometry!$E$42:$E$59+$AL20*Geometry!$D$42:$D$59))*(ABS(Es*(($AJ20+$AK20*Geometry!$E$42:$E$59+$AL20*Geometry!$D$42:$D$59)))&lt;=fy)+fy*(Es*(($AJ20+$AK20*Geometry!$E$42:$E$59+$AL20*Geometry!$D$42:$D$59))&gt;fy)-fy*(Es*(($AJ20+$AK20*Geometry!$E$42:$E$59+$AL20*Geometry!$D$42:$D$59))&lt;-fy)-(alpha*fck*(1-(1-((($AJ20+$AK20*Geometry!$E$42:$E$59+$AL20*Geometry!$D$42:$D$59))*(($AJ20+$AK20*Geometry!$E$42:$E$59+$AL20*Geometry!$D$42:$D$59)&gt;0)*(($AJ20+$AK20*Geometry!$E$42:$E$59+$AL20*Geometry!$D$42:$D$59)&lt;eco)+eco*(($AJ20+$AK20*Geometry!$E$42:$E$59+$AL20*Geometry!$D$42:$D$59)&gt;=eco))/eco)^n)*((($AJ20+$AK20*Geometry!$E$42:$E$59+$AL20*Geometry!$D$42:$D$59))&gt;0))),Geometry!$F$42:$F$59))/1000</f>
      </c>
      <c r="BV20" s="32">
        <f>(SUMPRODUCT(alpha*fck*(1-(1-((($AM20+$AN20*Mesh_Y+$AO20*Mesh_X))*(($AM20+$AN20*Mesh_Y+$AO20*Mesh_X)&gt;0)*(($AM20+$AN20*Mesh_Y+$AO20*Mesh_X)&lt;eco)+eco*(($AM20+$AN20*Mesh_Y+$AO20*Mesh_X)&gt;=eco))/eco)^n)*((($AM20+$AN20*Mesh_Y+$AO20*Mesh_X))&gt;0),Mesh_A)+SUMPRODUCT((Es*(($AM20+$AN20*Geometry!$E$42:$E$59+$AO20*Geometry!$D$42:$D$59))*(ABS(Es*(($AM20+$AN20*Geometry!$E$42:$E$59+$AO20*Geometry!$D$42:$D$59)))&lt;=fy)+fy*(Es*(($AM20+$AN20*Geometry!$E$42:$E$59+$AO20*Geometry!$D$42:$D$59))&gt;fy)-fy*(Es*(($AM20+$AN20*Geometry!$E$42:$E$59+$AO20*Geometry!$D$42:$D$59))&lt;-fy)-(alpha*fck*(1-(1-((($AM20+$AN20*Geometry!$E$42:$E$59+$AO20*Geometry!$D$42:$D$59))*(($AM20+$AN20*Geometry!$E$42:$E$59+$AO20*Geometry!$D$42:$D$59)&gt;0)*(($AM20+$AN20*Geometry!$E$42:$E$59+$AO20*Geometry!$D$42:$D$59)&lt;eco)+eco*(($AM20+$AN20*Geometry!$E$42:$E$59+$AO20*Geometry!$D$42:$D$59)&gt;=eco))/eco)^n)*((($AM20+$AN20*Geometry!$E$42:$E$59+$AO20*Geometry!$D$42:$D$59))&gt;0))),Geometry!$F$42:$F$59))/1000</f>
      </c>
      <c r="BW20" s="32">
        <f>(SUMPRODUCT(alpha*fck*(1-(1-((($AP20+$AQ20*Mesh_Y+$AR20*Mesh_X))*(($AP20+$AQ20*Mesh_Y+$AR20*Mesh_X)&gt;0)*(($AP20+$AQ20*Mesh_Y+$AR20*Mesh_X)&lt;eco)+eco*(($AP20+$AQ20*Mesh_Y+$AR20*Mesh_X)&gt;=eco))/eco)^n)*((($AP20+$AQ20*Mesh_Y+$AR20*Mesh_X))&gt;0),Mesh_A)+SUMPRODUCT((Es*(($AP20+$AQ20*Geometry!$E$42:$E$59+$AR20*Geometry!$D$42:$D$59))*(ABS(Es*(($AP20+$AQ20*Geometry!$E$42:$E$59+$AR20*Geometry!$D$42:$D$59)))&lt;=fy)+fy*(Es*(($AP20+$AQ20*Geometry!$E$42:$E$59+$AR20*Geometry!$D$42:$D$59))&gt;fy)-fy*(Es*(($AP20+$AQ20*Geometry!$E$42:$E$59+$AR20*Geometry!$D$42:$D$59))&lt;-fy)-(alpha*fck*(1-(1-((($AP20+$AQ20*Geometry!$E$42:$E$59+$AR20*Geometry!$D$42:$D$59))*(($AP20+$AQ20*Geometry!$E$42:$E$59+$AR20*Geometry!$D$42:$D$59)&gt;0)*(($AP20+$AQ20*Geometry!$E$42:$E$59+$AR20*Geometry!$D$42:$D$59)&lt;eco)+eco*(($AP20+$AQ20*Geometry!$E$42:$E$59+$AR20*Geometry!$D$42:$D$59)&gt;=eco))/eco)^n)*((($AP20+$AQ20*Geometry!$E$42:$E$59+$AR20*Geometry!$D$42:$D$59))&gt;0))),Geometry!$F$42:$F$59))/1000</f>
      </c>
      <c r="BX20" s="32">
        <f>(SUMPRODUCT(alpha*fck*(1-(1-((($AS20+$AT20*Mesh_Y+$AU20*Mesh_X))*(($AS20+$AT20*Mesh_Y+$AU20*Mesh_X)&gt;0)*(($AS20+$AT20*Mesh_Y+$AU20*Mesh_X)&lt;eco)+eco*(($AS20+$AT20*Mesh_Y+$AU20*Mesh_X)&gt;=eco))/eco)^n)*((($AS20+$AT20*Mesh_Y+$AU20*Mesh_X))&gt;0),Mesh_A)+SUMPRODUCT((Es*(($AS20+$AT20*Geometry!$E$42:$E$59+$AU20*Geometry!$D$42:$D$59))*(ABS(Es*(($AS20+$AT20*Geometry!$E$42:$E$59+$AU20*Geometry!$D$42:$D$59)))&lt;=fy)+fy*(Es*(($AS20+$AT20*Geometry!$E$42:$E$59+$AU20*Geometry!$D$42:$D$59))&gt;fy)-fy*(Es*(($AS20+$AT20*Geometry!$E$42:$E$59+$AU20*Geometry!$D$42:$D$59))&lt;-fy)-(alpha*fck*(1-(1-((($AS20+$AT20*Geometry!$E$42:$E$59+$AU20*Geometry!$D$42:$D$59))*(($AS20+$AT20*Geometry!$E$42:$E$59+$AU20*Geometry!$D$42:$D$59)&gt;0)*(($AS20+$AT20*Geometry!$E$42:$E$59+$AU20*Geometry!$D$42:$D$59)&lt;eco)+eco*(($AS20+$AT20*Geometry!$E$42:$E$59+$AU20*Geometry!$D$42:$D$59)&gt;=eco))/eco)^n)*((($AS20+$AT20*Geometry!$E$42:$E$59+$AU20*Geometry!$D$42:$D$59))&gt;0))),Geometry!$F$42:$F$59))/1000</f>
      </c>
      <c r="BY20" s="32">
        <f>(SUMPRODUCT(alpha*fck*(1-(1-((($AV20+$AW20*Mesh_Y+$AX20*Mesh_X))*(($AV20+$AW20*Mesh_Y+$AX20*Mesh_X)&gt;0)*(($AV20+$AW20*Mesh_Y+$AX20*Mesh_X)&lt;eco)+eco*(($AV20+$AW20*Mesh_Y+$AX20*Mesh_X)&gt;=eco))/eco)^n)*((($AV20+$AW20*Mesh_Y+$AX20*Mesh_X))&gt;0),Mesh_A)+SUMPRODUCT((Es*(($AV20+$AW20*Geometry!$E$42:$E$59+$AX20*Geometry!$D$42:$D$59))*(ABS(Es*(($AV20+$AW20*Geometry!$E$42:$E$59+$AX20*Geometry!$D$42:$D$59)))&lt;=fy)+fy*(Es*(($AV20+$AW20*Geometry!$E$42:$E$59+$AX20*Geometry!$D$42:$D$59))&gt;fy)-fy*(Es*(($AV20+$AW20*Geometry!$E$42:$E$59+$AX20*Geometry!$D$42:$D$59))&lt;-fy)-(alpha*fck*(1-(1-((($AV20+$AW20*Geometry!$E$42:$E$59+$AX20*Geometry!$D$42:$D$59))*(($AV20+$AW20*Geometry!$E$42:$E$59+$AX20*Geometry!$D$42:$D$59)&gt;0)*(($AV20+$AW20*Geometry!$E$42:$E$59+$AX20*Geometry!$D$42:$D$59)&lt;eco)+eco*(($AV20+$AW20*Geometry!$E$42:$E$59+$AX20*Geometry!$D$42:$D$59)&gt;=eco))/eco)^n)*((($AV20+$AW20*Geometry!$E$42:$E$59+$AX20*Geometry!$D$42:$D$59))&gt;0))),Geometry!$F$42:$F$59))/1000</f>
      </c>
      <c r="BZ20" s="32">
        <f>(SUMPRODUCT(alpha*fck*(1-(1-((($AY20+$AZ20*Mesh_Y+$BA20*Mesh_X))*(($AY20+$AZ20*Mesh_Y+$BA20*Mesh_X)&gt;0)*(($AY20+$AZ20*Mesh_Y+$BA20*Mesh_X)&lt;eco)+eco*(($AY20+$AZ20*Mesh_Y+$BA20*Mesh_X)&gt;=eco))/eco)^n)*((($AY20+$AZ20*Mesh_Y+$BA20*Mesh_X))&gt;0),Mesh_A)+SUMPRODUCT((Es*(($AY20+$AZ20*Geometry!$E$42:$E$59+$BA20*Geometry!$D$42:$D$59))*(ABS(Es*(($AY20+$AZ20*Geometry!$E$42:$E$59+$BA20*Geometry!$D$42:$D$59)))&lt;=fy)+fy*(Es*(($AY20+$AZ20*Geometry!$E$42:$E$59+$BA20*Geometry!$D$42:$D$59))&gt;fy)-fy*(Es*(($AY20+$AZ20*Geometry!$E$42:$E$59+$BA20*Geometry!$D$42:$D$59))&lt;-fy)-(alpha*fck*(1-(1-((($AY20+$AZ20*Geometry!$E$42:$E$59+$BA20*Geometry!$D$42:$D$59))*(($AY20+$AZ20*Geometry!$E$42:$E$59+$BA20*Geometry!$D$42:$D$59)&gt;0)*(($AY20+$AZ20*Geometry!$E$42:$E$59+$BA20*Geometry!$D$42:$D$59)&lt;eco)+eco*(($AY20+$AZ20*Geometry!$E$42:$E$59+$BA20*Geometry!$D$42:$D$59)&gt;=eco))/eco)^n)*((($AY20+$AZ20*Geometry!$E$42:$E$59+$BA20*Geometry!$D$42:$D$59))&gt;0))),Geometry!$F$42:$F$59))/1000</f>
      </c>
      <c r="CA20" s="32">
        <f>(SUMPRODUCT(alpha*fck*(1-(1-((($BB20+$BC20*Mesh_Y+$BD20*Mesh_X))*(($BB20+$BC20*Mesh_Y+$BD20*Mesh_X)&gt;0)*(($BB20+$BC20*Mesh_Y+$BD20*Mesh_X)&lt;eco)+eco*(($BB20+$BC20*Mesh_Y+$BD20*Mesh_X)&gt;=eco))/eco)^n)*((($BB20+$BC20*Mesh_Y+$BD20*Mesh_X))&gt;0),Mesh_A)+SUMPRODUCT((Es*(($BB20+$BC20*Geometry!$E$42:$E$59+$BD20*Geometry!$D$42:$D$59))*(ABS(Es*(($BB20+$BC20*Geometry!$E$42:$E$59+$BD20*Geometry!$D$42:$D$59)))&lt;=fy)+fy*(Es*(($BB20+$BC20*Geometry!$E$42:$E$59+$BD20*Geometry!$D$42:$D$59))&gt;fy)-fy*(Es*(($BB20+$BC20*Geometry!$E$42:$E$59+$BD20*Geometry!$D$42:$D$59))&lt;-fy)-(alpha*fck*(1-(1-((($BB20+$BC20*Geometry!$E$42:$E$59+$BD20*Geometry!$D$42:$D$59))*(($BB20+$BC20*Geometry!$E$42:$E$59+$BD20*Geometry!$D$42:$D$59)&gt;0)*(($BB20+$BC20*Geometry!$E$42:$E$59+$BD20*Geometry!$D$42:$D$59)&lt;eco)+eco*(($BB20+$BC20*Geometry!$E$42:$E$59+$BD20*Geometry!$D$42:$D$59)&gt;=eco))/eco)^n)*((($BB20+$BC20*Geometry!$E$42:$E$59+$BD20*Geometry!$D$42:$D$59))&gt;0))),Geometry!$F$42:$F$59))/1000</f>
      </c>
      <c r="CB20" s="32">
        <f>(SUMPRODUCT(alpha*fck*(1-(1-((($BE20+$BF20*Mesh_Y+$BG20*Mesh_X))*(($BE20+$BF20*Mesh_Y+$BG20*Mesh_X)&gt;0)*(($BE20+$BF20*Mesh_Y+$BG20*Mesh_X)&lt;eco)+eco*(($BE20+$BF20*Mesh_Y+$BG20*Mesh_X)&gt;=eco))/eco)^n)*((($BE20+$BF20*Mesh_Y+$BG20*Mesh_X))&gt;0),Mesh_A)+SUMPRODUCT((Es*(($BE20+$BF20*Geometry!$E$42:$E$59+$BG20*Geometry!$D$42:$D$59))*(ABS(Es*(($BE20+$BF20*Geometry!$E$42:$E$59+$BG20*Geometry!$D$42:$D$59)))&lt;=fy)+fy*(Es*(($BE20+$BF20*Geometry!$E$42:$E$59+$BG20*Geometry!$D$42:$D$59))&gt;fy)-fy*(Es*(($BE20+$BF20*Geometry!$E$42:$E$59+$BG20*Geometry!$D$42:$D$59))&lt;-fy)-(alpha*fck*(1-(1-((($BE20+$BF20*Geometry!$E$42:$E$59+$BG20*Geometry!$D$42:$D$59))*(($BE20+$BF20*Geometry!$E$42:$E$59+$BG20*Geometry!$D$42:$D$59)&gt;0)*(($BE20+$BF20*Geometry!$E$42:$E$59+$BG20*Geometry!$D$42:$D$59)&lt;eco)+eco*(($BE20+$BF20*Geometry!$E$42:$E$59+$BG20*Geometry!$D$42:$D$59)&gt;=eco))/eco)^n)*((($BE20+$BF20*Geometry!$E$42:$E$59+$BG20*Geometry!$D$42:$D$59))&gt;0))),Geometry!$F$42:$F$59))/1000</f>
      </c>
      <c r="CC20" s="32">
        <f>(SUMPRODUCT(alpha*fck*(1-(1-((($BH20+$BI20*Mesh_Y+$BJ20*Mesh_X))*(($BH20+$BI20*Mesh_Y+$BJ20*Mesh_X)&gt;0)*(($BH20+$BI20*Mesh_Y+$BJ20*Mesh_X)&lt;eco)+eco*(($BH20+$BI20*Mesh_Y+$BJ20*Mesh_X)&gt;=eco))/eco)^n)*((($BH20+$BI20*Mesh_Y+$BJ20*Mesh_X))&gt;0),Mesh_A)+SUMPRODUCT((Es*(($BH20+$BI20*Geometry!$E$42:$E$59+$BJ20*Geometry!$D$42:$D$59))*(ABS(Es*(($BH20+$BI20*Geometry!$E$42:$E$59+$BJ20*Geometry!$D$42:$D$59)))&lt;=fy)+fy*(Es*(($BH20+$BI20*Geometry!$E$42:$E$59+$BJ20*Geometry!$D$42:$D$59))&gt;fy)-fy*(Es*(($BH20+$BI20*Geometry!$E$42:$E$59+$BJ20*Geometry!$D$42:$D$59))&lt;-fy)-(alpha*fck*(1-(1-((($BH20+$BI20*Geometry!$E$42:$E$59+$BJ20*Geometry!$D$42:$D$59))*(($BH20+$BI20*Geometry!$E$42:$E$59+$BJ20*Geometry!$D$42:$D$59)&gt;0)*(($BH20+$BI20*Geometry!$E$42:$E$59+$BJ20*Geometry!$D$42:$D$59)&lt;eco)+eco*(($BH20+$BI20*Geometry!$E$42:$E$59+$BJ20*Geometry!$D$42:$D$59)&gt;=eco))/eco)^n)*((($BH20+$BI20*Geometry!$E$42:$E$59+$BJ20*Geometry!$D$42:$D$59))&gt;0))),Geometry!$F$42:$F$59))/1000</f>
      </c>
      <c r="CD20" s="32">
        <f>(SUMPRODUCT(alpha*fck*(1-(1-((($F20+$G20*Mesh_Y+$H20*Mesh_X))*(($F20+$G20*Mesh_Y+$H20*Mesh_X)&gt;0)*(($F20+$G20*Mesh_Y+$H20*Mesh_X)&lt;eco)+eco*(($F20+$G20*Mesh_Y+$H20*Mesh_X)&gt;=eco))/eco)^n)*((($F20+$G20*Mesh_Y+$H20*Mesh_X))&gt;0),Mesh_A,Mesh_Y)+SUMPRODUCT((Es*(($F20+$G20*Geometry!$E$42:$E$59+$H20*Geometry!$D$42:$D$59))*(ABS(Es*(($F20+$G20*Geometry!$E$42:$E$59+$H20*Geometry!$D$42:$D$59)))&lt;=fy)+fy*(Es*(($F20+$G20*Geometry!$E$42:$E$59+$H20*Geometry!$D$42:$D$59))&gt;fy)-fy*(Es*(($F20+$G20*Geometry!$E$42:$E$59+$H20*Geometry!$D$42:$D$59))&lt;-fy)-(alpha*fck*(1-(1-((($F20+$G20*Geometry!$E$42:$E$59+$H20*Geometry!$D$42:$D$59))*(($F20+$G20*Geometry!$E$42:$E$59+$H20*Geometry!$D$42:$D$59)&gt;0)*(($F20+$G20*Geometry!$E$42:$E$59+$H20*Geometry!$D$42:$D$59)&lt;eco)+eco*(($F20+$G20*Geometry!$E$42:$E$59+$H20*Geometry!$D$42:$D$59)&gt;=eco))/eco)^n)*((($F20+$G20*Geometry!$E$42:$E$59+$H20*Geometry!$D$42:$D$59))&gt;0))),Geometry!$F$42:$F$59,Geometry!$E$42:$E$59))/1000000</f>
      </c>
      <c r="CE20" s="32">
        <f>(SUMPRODUCT(alpha*fck*(1-(1-((($I20+$J20*Mesh_Y+$K20*Mesh_X))*(($I20+$J20*Mesh_Y+$K20*Mesh_X)&gt;0)*(($I20+$J20*Mesh_Y+$K20*Mesh_X)&lt;eco)+eco*(($I20+$J20*Mesh_Y+$K20*Mesh_X)&gt;=eco))/eco)^n)*((($I20+$J20*Mesh_Y+$K20*Mesh_X))&gt;0),Mesh_A,Mesh_Y)+SUMPRODUCT((Es*(($I20+$J20*Geometry!$E$42:$E$59+$K20*Geometry!$D$42:$D$59))*(ABS(Es*(($I20+$J20*Geometry!$E$42:$E$59+$K20*Geometry!$D$42:$D$59)))&lt;=fy)+fy*(Es*(($I20+$J20*Geometry!$E$42:$E$59+$K20*Geometry!$D$42:$D$59))&gt;fy)-fy*(Es*(($I20+$J20*Geometry!$E$42:$E$59+$K20*Geometry!$D$42:$D$59))&lt;-fy)-(alpha*fck*(1-(1-((($I20+$J20*Geometry!$E$42:$E$59+$K20*Geometry!$D$42:$D$59))*(($I20+$J20*Geometry!$E$42:$E$59+$K20*Geometry!$D$42:$D$59)&gt;0)*(($I20+$J20*Geometry!$E$42:$E$59+$K20*Geometry!$D$42:$D$59)&lt;eco)+eco*(($I20+$J20*Geometry!$E$42:$E$59+$K20*Geometry!$D$42:$D$59)&gt;=eco))/eco)^n)*((($I20+$J20*Geometry!$E$42:$E$59+$K20*Geometry!$D$42:$D$59))&gt;0))),Geometry!$F$42:$F$59,Geometry!$E$42:$E$59))/1000000</f>
      </c>
      <c r="CF20" s="32">
        <f>(SUMPRODUCT(alpha*fck*(1-(1-((($L20+$M20*Mesh_Y+$N20*Mesh_X))*(($L20+$M20*Mesh_Y+$N20*Mesh_X)&gt;0)*(($L20+$M20*Mesh_Y+$N20*Mesh_X)&lt;eco)+eco*(($L20+$M20*Mesh_Y+$N20*Mesh_X)&gt;=eco))/eco)^n)*((($L20+$M20*Mesh_Y+$N20*Mesh_X))&gt;0),Mesh_A,Mesh_Y)+SUMPRODUCT((Es*(($L20+$M20*Geometry!$E$42:$E$59+$N20*Geometry!$D$42:$D$59))*(ABS(Es*(($L20+$M20*Geometry!$E$42:$E$59+$N20*Geometry!$D$42:$D$59)))&lt;=fy)+fy*(Es*(($L20+$M20*Geometry!$E$42:$E$59+$N20*Geometry!$D$42:$D$59))&gt;fy)-fy*(Es*(($L20+$M20*Geometry!$E$42:$E$59+$N20*Geometry!$D$42:$D$59))&lt;-fy)-(alpha*fck*(1-(1-((($L20+$M20*Geometry!$E$42:$E$59+$N20*Geometry!$D$42:$D$59))*(($L20+$M20*Geometry!$E$42:$E$59+$N20*Geometry!$D$42:$D$59)&gt;0)*(($L20+$M20*Geometry!$E$42:$E$59+$N20*Geometry!$D$42:$D$59)&lt;eco)+eco*(($L20+$M20*Geometry!$E$42:$E$59+$N20*Geometry!$D$42:$D$59)&gt;=eco))/eco)^n)*((($L20+$M20*Geometry!$E$42:$E$59+$N20*Geometry!$D$42:$D$59))&gt;0))),Geometry!$F$42:$F$59,Geometry!$E$42:$E$59))/1000000</f>
      </c>
      <c r="CG20" s="32">
        <f>(SUMPRODUCT(alpha*fck*(1-(1-((($O20+$P20*Mesh_Y+$Q20*Mesh_X))*(($O20+$P20*Mesh_Y+$Q20*Mesh_X)&gt;0)*(($O20+$P20*Mesh_Y+$Q20*Mesh_X)&lt;eco)+eco*(($O20+$P20*Mesh_Y+$Q20*Mesh_X)&gt;=eco))/eco)^n)*((($O20+$P20*Mesh_Y+$Q20*Mesh_X))&gt;0),Mesh_A,Mesh_Y)+SUMPRODUCT((Es*(($O20+$P20*Geometry!$E$42:$E$59+$Q20*Geometry!$D$42:$D$59))*(ABS(Es*(($O20+$P20*Geometry!$E$42:$E$59+$Q20*Geometry!$D$42:$D$59)))&lt;=fy)+fy*(Es*(($O20+$P20*Geometry!$E$42:$E$59+$Q20*Geometry!$D$42:$D$59))&gt;fy)-fy*(Es*(($O20+$P20*Geometry!$E$42:$E$59+$Q20*Geometry!$D$42:$D$59))&lt;-fy)-(alpha*fck*(1-(1-((($O20+$P20*Geometry!$E$42:$E$59+$Q20*Geometry!$D$42:$D$59))*(($O20+$P20*Geometry!$E$42:$E$59+$Q20*Geometry!$D$42:$D$59)&gt;0)*(($O20+$P20*Geometry!$E$42:$E$59+$Q20*Geometry!$D$42:$D$59)&lt;eco)+eco*(($O20+$P20*Geometry!$E$42:$E$59+$Q20*Geometry!$D$42:$D$59)&gt;=eco))/eco)^n)*((($O20+$P20*Geometry!$E$42:$E$59+$Q20*Geometry!$D$42:$D$59))&gt;0))),Geometry!$F$42:$F$59,Geometry!$E$42:$E$59))/1000000</f>
      </c>
      <c r="CH20" s="32">
        <f>(SUMPRODUCT(alpha*fck*(1-(1-((($R20+$S20*Mesh_Y+$T20*Mesh_X))*(($R20+$S20*Mesh_Y+$T20*Mesh_X)&gt;0)*(($R20+$S20*Mesh_Y+$T20*Mesh_X)&lt;eco)+eco*(($R20+$S20*Mesh_Y+$T20*Mesh_X)&gt;=eco))/eco)^n)*((($R20+$S20*Mesh_Y+$T20*Mesh_X))&gt;0),Mesh_A,Mesh_Y)+SUMPRODUCT((Es*(($R20+$S20*Geometry!$E$42:$E$59+$T20*Geometry!$D$42:$D$59))*(ABS(Es*(($R20+$S20*Geometry!$E$42:$E$59+$T20*Geometry!$D$42:$D$59)))&lt;=fy)+fy*(Es*(($R20+$S20*Geometry!$E$42:$E$59+$T20*Geometry!$D$42:$D$59))&gt;fy)-fy*(Es*(($R20+$S20*Geometry!$E$42:$E$59+$T20*Geometry!$D$42:$D$59))&lt;-fy)-(alpha*fck*(1-(1-((($R20+$S20*Geometry!$E$42:$E$59+$T20*Geometry!$D$42:$D$59))*(($R20+$S20*Geometry!$E$42:$E$59+$T20*Geometry!$D$42:$D$59)&gt;0)*(($R20+$S20*Geometry!$E$42:$E$59+$T20*Geometry!$D$42:$D$59)&lt;eco)+eco*(($R20+$S20*Geometry!$E$42:$E$59+$T20*Geometry!$D$42:$D$59)&gt;=eco))/eco)^n)*((($R20+$S20*Geometry!$E$42:$E$59+$T20*Geometry!$D$42:$D$59))&gt;0))),Geometry!$F$42:$F$59,Geometry!$E$42:$E$59))/1000000</f>
      </c>
      <c r="CI20" s="32">
        <f>(SUMPRODUCT(alpha*fck*(1-(1-((($U20+$V20*Mesh_Y+$W20*Mesh_X))*(($U20+$V20*Mesh_Y+$W20*Mesh_X)&gt;0)*(($U20+$V20*Mesh_Y+$W20*Mesh_X)&lt;eco)+eco*(($U20+$V20*Mesh_Y+$W20*Mesh_X)&gt;=eco))/eco)^n)*((($U20+$V20*Mesh_Y+$W20*Mesh_X))&gt;0),Mesh_A,Mesh_Y)+SUMPRODUCT((Es*(($U20+$V20*Geometry!$E$42:$E$59+$W20*Geometry!$D$42:$D$59))*(ABS(Es*(($U20+$V20*Geometry!$E$42:$E$59+$W20*Geometry!$D$42:$D$59)))&lt;=fy)+fy*(Es*(($U20+$V20*Geometry!$E$42:$E$59+$W20*Geometry!$D$42:$D$59))&gt;fy)-fy*(Es*(($U20+$V20*Geometry!$E$42:$E$59+$W20*Geometry!$D$42:$D$59))&lt;-fy)-(alpha*fck*(1-(1-((($U20+$V20*Geometry!$E$42:$E$59+$W20*Geometry!$D$42:$D$59))*(($U20+$V20*Geometry!$E$42:$E$59+$W20*Geometry!$D$42:$D$59)&gt;0)*(($U20+$V20*Geometry!$E$42:$E$59+$W20*Geometry!$D$42:$D$59)&lt;eco)+eco*(($U20+$V20*Geometry!$E$42:$E$59+$W20*Geometry!$D$42:$D$59)&gt;=eco))/eco)^n)*((($U20+$V20*Geometry!$E$42:$E$59+$W20*Geometry!$D$42:$D$59))&gt;0))),Geometry!$F$42:$F$59,Geometry!$E$42:$E$59))/1000000</f>
      </c>
      <c r="CJ20" s="32">
        <f>(SUMPRODUCT(alpha*fck*(1-(1-((($X20+$Y20*Mesh_Y+$Z20*Mesh_X))*(($X20+$Y20*Mesh_Y+$Z20*Mesh_X)&gt;0)*(($X20+$Y20*Mesh_Y+$Z20*Mesh_X)&lt;eco)+eco*(($X20+$Y20*Mesh_Y+$Z20*Mesh_X)&gt;=eco))/eco)^n)*((($X20+$Y20*Mesh_Y+$Z20*Mesh_X))&gt;0),Mesh_A,Mesh_Y)+SUMPRODUCT((Es*(($X20+$Y20*Geometry!$E$42:$E$59+$Z20*Geometry!$D$42:$D$59))*(ABS(Es*(($X20+$Y20*Geometry!$E$42:$E$59+$Z20*Geometry!$D$42:$D$59)))&lt;=fy)+fy*(Es*(($X20+$Y20*Geometry!$E$42:$E$59+$Z20*Geometry!$D$42:$D$59))&gt;fy)-fy*(Es*(($X20+$Y20*Geometry!$E$42:$E$59+$Z20*Geometry!$D$42:$D$59))&lt;-fy)-(alpha*fck*(1-(1-((($X20+$Y20*Geometry!$E$42:$E$59+$Z20*Geometry!$D$42:$D$59))*(($X20+$Y20*Geometry!$E$42:$E$59+$Z20*Geometry!$D$42:$D$59)&gt;0)*(($X20+$Y20*Geometry!$E$42:$E$59+$Z20*Geometry!$D$42:$D$59)&lt;eco)+eco*(($X20+$Y20*Geometry!$E$42:$E$59+$Z20*Geometry!$D$42:$D$59)&gt;=eco))/eco)^n)*((($X20+$Y20*Geometry!$E$42:$E$59+$Z20*Geometry!$D$42:$D$59))&gt;0))),Geometry!$F$42:$F$59,Geometry!$E$42:$E$59))/1000000</f>
      </c>
      <c r="CK20" s="32">
        <f>(SUMPRODUCT(alpha*fck*(1-(1-((($AA20+$AB20*Mesh_Y+$AC20*Mesh_X))*(($AA20+$AB20*Mesh_Y+$AC20*Mesh_X)&gt;0)*(($AA20+$AB20*Mesh_Y+$AC20*Mesh_X)&lt;eco)+eco*(($AA20+$AB20*Mesh_Y+$AC20*Mesh_X)&gt;=eco))/eco)^n)*((($AA20+$AB20*Mesh_Y+$AC20*Mesh_X))&gt;0),Mesh_A,Mesh_Y)+SUMPRODUCT((Es*(($AA20+$AB20*Geometry!$E$42:$E$59+$AC20*Geometry!$D$42:$D$59))*(ABS(Es*(($AA20+$AB20*Geometry!$E$42:$E$59+$AC20*Geometry!$D$42:$D$59)))&lt;=fy)+fy*(Es*(($AA20+$AB20*Geometry!$E$42:$E$59+$AC20*Geometry!$D$42:$D$59))&gt;fy)-fy*(Es*(($AA20+$AB20*Geometry!$E$42:$E$59+$AC20*Geometry!$D$42:$D$59))&lt;-fy)-(alpha*fck*(1-(1-((($AA20+$AB20*Geometry!$E$42:$E$59+$AC20*Geometry!$D$42:$D$59))*(($AA20+$AB20*Geometry!$E$42:$E$59+$AC20*Geometry!$D$42:$D$59)&gt;0)*(($AA20+$AB20*Geometry!$E$42:$E$59+$AC20*Geometry!$D$42:$D$59)&lt;eco)+eco*(($AA20+$AB20*Geometry!$E$42:$E$59+$AC20*Geometry!$D$42:$D$59)&gt;=eco))/eco)^n)*((($AA20+$AB20*Geometry!$E$42:$E$59+$AC20*Geometry!$D$42:$D$59))&gt;0))),Geometry!$F$42:$F$59,Geometry!$E$42:$E$59))/1000000</f>
      </c>
      <c r="CL20" s="32">
        <f>(SUMPRODUCT(alpha*fck*(1-(1-((($AD20+$AE20*Mesh_Y+$AF20*Mesh_X))*(($AD20+$AE20*Mesh_Y+$AF20*Mesh_X)&gt;0)*(($AD20+$AE20*Mesh_Y+$AF20*Mesh_X)&lt;eco)+eco*(($AD20+$AE20*Mesh_Y+$AF20*Mesh_X)&gt;=eco))/eco)^n)*((($AD20+$AE20*Mesh_Y+$AF20*Mesh_X))&gt;0),Mesh_A,Mesh_Y)+SUMPRODUCT((Es*(($AD20+$AE20*Geometry!$E$42:$E$59+$AF20*Geometry!$D$42:$D$59))*(ABS(Es*(($AD20+$AE20*Geometry!$E$42:$E$59+$AF20*Geometry!$D$42:$D$59)))&lt;=fy)+fy*(Es*(($AD20+$AE20*Geometry!$E$42:$E$59+$AF20*Geometry!$D$42:$D$59))&gt;fy)-fy*(Es*(($AD20+$AE20*Geometry!$E$42:$E$59+$AF20*Geometry!$D$42:$D$59))&lt;-fy)-(alpha*fck*(1-(1-((($AD20+$AE20*Geometry!$E$42:$E$59+$AF20*Geometry!$D$42:$D$59))*(($AD20+$AE20*Geometry!$E$42:$E$59+$AF20*Geometry!$D$42:$D$59)&gt;0)*(($AD20+$AE20*Geometry!$E$42:$E$59+$AF20*Geometry!$D$42:$D$59)&lt;eco)+eco*(($AD20+$AE20*Geometry!$E$42:$E$59+$AF20*Geometry!$D$42:$D$59)&gt;=eco))/eco)^n)*((($AD20+$AE20*Geometry!$E$42:$E$59+$AF20*Geometry!$D$42:$D$59))&gt;0))),Geometry!$F$42:$F$59,Geometry!$E$42:$E$59))/1000000</f>
      </c>
      <c r="CM20" s="32">
        <f>(SUMPRODUCT(alpha*fck*(1-(1-((($AG20+$AH20*Mesh_Y+$AI20*Mesh_X))*(($AG20+$AH20*Mesh_Y+$AI20*Mesh_X)&gt;0)*(($AG20+$AH20*Mesh_Y+$AI20*Mesh_X)&lt;eco)+eco*(($AG20+$AH20*Mesh_Y+$AI20*Mesh_X)&gt;=eco))/eco)^n)*((($AG20+$AH20*Mesh_Y+$AI20*Mesh_X))&gt;0),Mesh_A,Mesh_Y)+SUMPRODUCT((Es*(($AG20+$AH20*Geometry!$E$42:$E$59+$AI20*Geometry!$D$42:$D$59))*(ABS(Es*(($AG20+$AH20*Geometry!$E$42:$E$59+$AI20*Geometry!$D$42:$D$59)))&lt;=fy)+fy*(Es*(($AG20+$AH20*Geometry!$E$42:$E$59+$AI20*Geometry!$D$42:$D$59))&gt;fy)-fy*(Es*(($AG20+$AH20*Geometry!$E$42:$E$59+$AI20*Geometry!$D$42:$D$59))&lt;-fy)-(alpha*fck*(1-(1-((($AG20+$AH20*Geometry!$E$42:$E$59+$AI20*Geometry!$D$42:$D$59))*(($AG20+$AH20*Geometry!$E$42:$E$59+$AI20*Geometry!$D$42:$D$59)&gt;0)*(($AG20+$AH20*Geometry!$E$42:$E$59+$AI20*Geometry!$D$42:$D$59)&lt;eco)+eco*(($AG20+$AH20*Geometry!$E$42:$E$59+$AI20*Geometry!$D$42:$D$59)&gt;=eco))/eco)^n)*((($AG20+$AH20*Geometry!$E$42:$E$59+$AI20*Geometry!$D$42:$D$59))&gt;0))),Geometry!$F$42:$F$59,Geometry!$E$42:$E$59))/1000000</f>
      </c>
      <c r="CN20" s="32">
        <f>(SUMPRODUCT(alpha*fck*(1-(1-((($AJ20+$AK20*Mesh_Y+$AL20*Mesh_X))*(($AJ20+$AK20*Mesh_Y+$AL20*Mesh_X)&gt;0)*(($AJ20+$AK20*Mesh_Y+$AL20*Mesh_X)&lt;eco)+eco*(($AJ20+$AK20*Mesh_Y+$AL20*Mesh_X)&gt;=eco))/eco)^n)*((($AJ20+$AK20*Mesh_Y+$AL20*Mesh_X))&gt;0),Mesh_A,Mesh_Y)+SUMPRODUCT((Es*(($AJ20+$AK20*Geometry!$E$42:$E$59+$AL20*Geometry!$D$42:$D$59))*(ABS(Es*(($AJ20+$AK20*Geometry!$E$42:$E$59+$AL20*Geometry!$D$42:$D$59)))&lt;=fy)+fy*(Es*(($AJ20+$AK20*Geometry!$E$42:$E$59+$AL20*Geometry!$D$42:$D$59))&gt;fy)-fy*(Es*(($AJ20+$AK20*Geometry!$E$42:$E$59+$AL20*Geometry!$D$42:$D$59))&lt;-fy)-(alpha*fck*(1-(1-((($AJ20+$AK20*Geometry!$E$42:$E$59+$AL20*Geometry!$D$42:$D$59))*(($AJ20+$AK20*Geometry!$E$42:$E$59+$AL20*Geometry!$D$42:$D$59)&gt;0)*(($AJ20+$AK20*Geometry!$E$42:$E$59+$AL20*Geometry!$D$42:$D$59)&lt;eco)+eco*(($AJ20+$AK20*Geometry!$E$42:$E$59+$AL20*Geometry!$D$42:$D$59)&gt;=eco))/eco)^n)*((($AJ20+$AK20*Geometry!$E$42:$E$59+$AL20*Geometry!$D$42:$D$59))&gt;0))),Geometry!$F$42:$F$59,Geometry!$E$42:$E$59))/1000000</f>
      </c>
      <c r="CO20" s="32">
        <f>(SUMPRODUCT(alpha*fck*(1-(1-((($AM20+$AN20*Mesh_Y+$AO20*Mesh_X))*(($AM20+$AN20*Mesh_Y+$AO20*Mesh_X)&gt;0)*(($AM20+$AN20*Mesh_Y+$AO20*Mesh_X)&lt;eco)+eco*(($AM20+$AN20*Mesh_Y+$AO20*Mesh_X)&gt;=eco))/eco)^n)*((($AM20+$AN20*Mesh_Y+$AO20*Mesh_X))&gt;0),Mesh_A,Mesh_Y)+SUMPRODUCT((Es*(($AM20+$AN20*Geometry!$E$42:$E$59+$AO20*Geometry!$D$42:$D$59))*(ABS(Es*(($AM20+$AN20*Geometry!$E$42:$E$59+$AO20*Geometry!$D$42:$D$59)))&lt;=fy)+fy*(Es*(($AM20+$AN20*Geometry!$E$42:$E$59+$AO20*Geometry!$D$42:$D$59))&gt;fy)-fy*(Es*(($AM20+$AN20*Geometry!$E$42:$E$59+$AO20*Geometry!$D$42:$D$59))&lt;-fy)-(alpha*fck*(1-(1-((($AM20+$AN20*Geometry!$E$42:$E$59+$AO20*Geometry!$D$42:$D$59))*(($AM20+$AN20*Geometry!$E$42:$E$59+$AO20*Geometry!$D$42:$D$59)&gt;0)*(($AM20+$AN20*Geometry!$E$42:$E$59+$AO20*Geometry!$D$42:$D$59)&lt;eco)+eco*(($AM20+$AN20*Geometry!$E$42:$E$59+$AO20*Geometry!$D$42:$D$59)&gt;=eco))/eco)^n)*((($AM20+$AN20*Geometry!$E$42:$E$59+$AO20*Geometry!$D$42:$D$59))&gt;0))),Geometry!$F$42:$F$59,Geometry!$E$42:$E$59))/1000000</f>
      </c>
      <c r="CP20" s="32">
        <f>(SUMPRODUCT(alpha*fck*(1-(1-((($AP20+$AQ20*Mesh_Y+$AR20*Mesh_X))*(($AP20+$AQ20*Mesh_Y+$AR20*Mesh_X)&gt;0)*(($AP20+$AQ20*Mesh_Y+$AR20*Mesh_X)&lt;eco)+eco*(($AP20+$AQ20*Mesh_Y+$AR20*Mesh_X)&gt;=eco))/eco)^n)*((($AP20+$AQ20*Mesh_Y+$AR20*Mesh_X))&gt;0),Mesh_A,Mesh_Y)+SUMPRODUCT((Es*(($AP20+$AQ20*Geometry!$E$42:$E$59+$AR20*Geometry!$D$42:$D$59))*(ABS(Es*(($AP20+$AQ20*Geometry!$E$42:$E$59+$AR20*Geometry!$D$42:$D$59)))&lt;=fy)+fy*(Es*(($AP20+$AQ20*Geometry!$E$42:$E$59+$AR20*Geometry!$D$42:$D$59))&gt;fy)-fy*(Es*(($AP20+$AQ20*Geometry!$E$42:$E$59+$AR20*Geometry!$D$42:$D$59))&lt;-fy)-(alpha*fck*(1-(1-((($AP20+$AQ20*Geometry!$E$42:$E$59+$AR20*Geometry!$D$42:$D$59))*(($AP20+$AQ20*Geometry!$E$42:$E$59+$AR20*Geometry!$D$42:$D$59)&gt;0)*(($AP20+$AQ20*Geometry!$E$42:$E$59+$AR20*Geometry!$D$42:$D$59)&lt;eco)+eco*(($AP20+$AQ20*Geometry!$E$42:$E$59+$AR20*Geometry!$D$42:$D$59)&gt;=eco))/eco)^n)*((($AP20+$AQ20*Geometry!$E$42:$E$59+$AR20*Geometry!$D$42:$D$59))&gt;0))),Geometry!$F$42:$F$59,Geometry!$E$42:$E$59))/1000000</f>
      </c>
      <c r="CQ20" s="32">
        <f>(SUMPRODUCT(alpha*fck*(1-(1-((($AS20+$AT20*Mesh_Y+$AU20*Mesh_X))*(($AS20+$AT20*Mesh_Y+$AU20*Mesh_X)&gt;0)*(($AS20+$AT20*Mesh_Y+$AU20*Mesh_X)&lt;eco)+eco*(($AS20+$AT20*Mesh_Y+$AU20*Mesh_X)&gt;=eco))/eco)^n)*((($AS20+$AT20*Mesh_Y+$AU20*Mesh_X))&gt;0),Mesh_A,Mesh_Y)+SUMPRODUCT((Es*(($AS20+$AT20*Geometry!$E$42:$E$59+$AU20*Geometry!$D$42:$D$59))*(ABS(Es*(($AS20+$AT20*Geometry!$E$42:$E$59+$AU20*Geometry!$D$42:$D$59)))&lt;=fy)+fy*(Es*(($AS20+$AT20*Geometry!$E$42:$E$59+$AU20*Geometry!$D$42:$D$59))&gt;fy)-fy*(Es*(($AS20+$AT20*Geometry!$E$42:$E$59+$AU20*Geometry!$D$42:$D$59))&lt;-fy)-(alpha*fck*(1-(1-((($AS20+$AT20*Geometry!$E$42:$E$59+$AU20*Geometry!$D$42:$D$59))*(($AS20+$AT20*Geometry!$E$42:$E$59+$AU20*Geometry!$D$42:$D$59)&gt;0)*(($AS20+$AT20*Geometry!$E$42:$E$59+$AU20*Geometry!$D$42:$D$59)&lt;eco)+eco*(($AS20+$AT20*Geometry!$E$42:$E$59+$AU20*Geometry!$D$42:$D$59)&gt;=eco))/eco)^n)*((($AS20+$AT20*Geometry!$E$42:$E$59+$AU20*Geometry!$D$42:$D$59))&gt;0))),Geometry!$F$42:$F$59,Geometry!$E$42:$E$59))/1000000</f>
      </c>
      <c r="CR20" s="32">
        <f>(SUMPRODUCT(alpha*fck*(1-(1-((($AV20+$AW20*Mesh_Y+$AX20*Mesh_X))*(($AV20+$AW20*Mesh_Y+$AX20*Mesh_X)&gt;0)*(($AV20+$AW20*Mesh_Y+$AX20*Mesh_X)&lt;eco)+eco*(($AV20+$AW20*Mesh_Y+$AX20*Mesh_X)&gt;=eco))/eco)^n)*((($AV20+$AW20*Mesh_Y+$AX20*Mesh_X))&gt;0),Mesh_A,Mesh_Y)+SUMPRODUCT((Es*(($AV20+$AW20*Geometry!$E$42:$E$59+$AX20*Geometry!$D$42:$D$59))*(ABS(Es*(($AV20+$AW20*Geometry!$E$42:$E$59+$AX20*Geometry!$D$42:$D$59)))&lt;=fy)+fy*(Es*(($AV20+$AW20*Geometry!$E$42:$E$59+$AX20*Geometry!$D$42:$D$59))&gt;fy)-fy*(Es*(($AV20+$AW20*Geometry!$E$42:$E$59+$AX20*Geometry!$D$42:$D$59))&lt;-fy)-(alpha*fck*(1-(1-((($AV20+$AW20*Geometry!$E$42:$E$59+$AX20*Geometry!$D$42:$D$59))*(($AV20+$AW20*Geometry!$E$42:$E$59+$AX20*Geometry!$D$42:$D$59)&gt;0)*(($AV20+$AW20*Geometry!$E$42:$E$59+$AX20*Geometry!$D$42:$D$59)&lt;eco)+eco*(($AV20+$AW20*Geometry!$E$42:$E$59+$AX20*Geometry!$D$42:$D$59)&gt;=eco))/eco)^n)*((($AV20+$AW20*Geometry!$E$42:$E$59+$AX20*Geometry!$D$42:$D$59))&gt;0))),Geometry!$F$42:$F$59,Geometry!$E$42:$E$59))/1000000</f>
      </c>
      <c r="CS20" s="32">
        <f>(SUMPRODUCT(alpha*fck*(1-(1-((($AY20+$AZ20*Mesh_Y+$BA20*Mesh_X))*(($AY20+$AZ20*Mesh_Y+$BA20*Mesh_X)&gt;0)*(($AY20+$AZ20*Mesh_Y+$BA20*Mesh_X)&lt;eco)+eco*(($AY20+$AZ20*Mesh_Y+$BA20*Mesh_X)&gt;=eco))/eco)^n)*((($AY20+$AZ20*Mesh_Y+$BA20*Mesh_X))&gt;0),Mesh_A,Mesh_Y)+SUMPRODUCT((Es*(($AY20+$AZ20*Geometry!$E$42:$E$59+$BA20*Geometry!$D$42:$D$59))*(ABS(Es*(($AY20+$AZ20*Geometry!$E$42:$E$59+$BA20*Geometry!$D$42:$D$59)))&lt;=fy)+fy*(Es*(($AY20+$AZ20*Geometry!$E$42:$E$59+$BA20*Geometry!$D$42:$D$59))&gt;fy)-fy*(Es*(($AY20+$AZ20*Geometry!$E$42:$E$59+$BA20*Geometry!$D$42:$D$59))&lt;-fy)-(alpha*fck*(1-(1-((($AY20+$AZ20*Geometry!$E$42:$E$59+$BA20*Geometry!$D$42:$D$59))*(($AY20+$AZ20*Geometry!$E$42:$E$59+$BA20*Geometry!$D$42:$D$59)&gt;0)*(($AY20+$AZ20*Geometry!$E$42:$E$59+$BA20*Geometry!$D$42:$D$59)&lt;eco)+eco*(($AY20+$AZ20*Geometry!$E$42:$E$59+$BA20*Geometry!$D$42:$D$59)&gt;=eco))/eco)^n)*((($AY20+$AZ20*Geometry!$E$42:$E$59+$BA20*Geometry!$D$42:$D$59))&gt;0))),Geometry!$F$42:$F$59,Geometry!$E$42:$E$59))/1000000</f>
      </c>
      <c r="CT20" s="32">
        <f>(SUMPRODUCT(alpha*fck*(1-(1-((($BB20+$BC20*Mesh_Y+$BD20*Mesh_X))*(($BB20+$BC20*Mesh_Y+$BD20*Mesh_X)&gt;0)*(($BB20+$BC20*Mesh_Y+$BD20*Mesh_X)&lt;eco)+eco*(($BB20+$BC20*Mesh_Y+$BD20*Mesh_X)&gt;=eco))/eco)^n)*((($BB20+$BC20*Mesh_Y+$BD20*Mesh_X))&gt;0),Mesh_A,Mesh_Y)+SUMPRODUCT((Es*(($BB20+$BC20*Geometry!$E$42:$E$59+$BD20*Geometry!$D$42:$D$59))*(ABS(Es*(($BB20+$BC20*Geometry!$E$42:$E$59+$BD20*Geometry!$D$42:$D$59)))&lt;=fy)+fy*(Es*(($BB20+$BC20*Geometry!$E$42:$E$59+$BD20*Geometry!$D$42:$D$59))&gt;fy)-fy*(Es*(($BB20+$BC20*Geometry!$E$42:$E$59+$BD20*Geometry!$D$42:$D$59))&lt;-fy)-(alpha*fck*(1-(1-((($BB20+$BC20*Geometry!$E$42:$E$59+$BD20*Geometry!$D$42:$D$59))*(($BB20+$BC20*Geometry!$E$42:$E$59+$BD20*Geometry!$D$42:$D$59)&gt;0)*(($BB20+$BC20*Geometry!$E$42:$E$59+$BD20*Geometry!$D$42:$D$59)&lt;eco)+eco*(($BB20+$BC20*Geometry!$E$42:$E$59+$BD20*Geometry!$D$42:$D$59)&gt;=eco))/eco)^n)*((($BB20+$BC20*Geometry!$E$42:$E$59+$BD20*Geometry!$D$42:$D$59))&gt;0))),Geometry!$F$42:$F$59,Geometry!$E$42:$E$59))/1000000</f>
      </c>
      <c r="CU20" s="32">
        <f>(SUMPRODUCT(alpha*fck*(1-(1-((($BE20+$BF20*Mesh_Y+$BG20*Mesh_X))*(($BE20+$BF20*Mesh_Y+$BG20*Mesh_X)&gt;0)*(($BE20+$BF20*Mesh_Y+$BG20*Mesh_X)&lt;eco)+eco*(($BE20+$BF20*Mesh_Y+$BG20*Mesh_X)&gt;=eco))/eco)^n)*((($BE20+$BF20*Mesh_Y+$BG20*Mesh_X))&gt;0),Mesh_A,Mesh_Y)+SUMPRODUCT((Es*(($BE20+$BF20*Geometry!$E$42:$E$59+$BG20*Geometry!$D$42:$D$59))*(ABS(Es*(($BE20+$BF20*Geometry!$E$42:$E$59+$BG20*Geometry!$D$42:$D$59)))&lt;=fy)+fy*(Es*(($BE20+$BF20*Geometry!$E$42:$E$59+$BG20*Geometry!$D$42:$D$59))&gt;fy)-fy*(Es*(($BE20+$BF20*Geometry!$E$42:$E$59+$BG20*Geometry!$D$42:$D$59))&lt;-fy)-(alpha*fck*(1-(1-((($BE20+$BF20*Geometry!$E$42:$E$59+$BG20*Geometry!$D$42:$D$59))*(($BE20+$BF20*Geometry!$E$42:$E$59+$BG20*Geometry!$D$42:$D$59)&gt;0)*(($BE20+$BF20*Geometry!$E$42:$E$59+$BG20*Geometry!$D$42:$D$59)&lt;eco)+eco*(($BE20+$BF20*Geometry!$E$42:$E$59+$BG20*Geometry!$D$42:$D$59)&gt;=eco))/eco)^n)*((($BE20+$BF20*Geometry!$E$42:$E$59+$BG20*Geometry!$D$42:$D$59))&gt;0))),Geometry!$F$42:$F$59,Geometry!$E$42:$E$59))/1000000</f>
      </c>
      <c r="CV20" s="32">
        <f>(SUMPRODUCT(alpha*fck*(1-(1-((($BH20+$BI20*Mesh_Y+$BJ20*Mesh_X))*(($BH20+$BI20*Mesh_Y+$BJ20*Mesh_X)&gt;0)*(($BH20+$BI20*Mesh_Y+$BJ20*Mesh_X)&lt;eco)+eco*(($BH20+$BI20*Mesh_Y+$BJ20*Mesh_X)&gt;=eco))/eco)^n)*((($BH20+$BI20*Mesh_Y+$BJ20*Mesh_X))&gt;0),Mesh_A,Mesh_Y)+SUMPRODUCT((Es*(($BH20+$BI20*Geometry!$E$42:$E$59+$BJ20*Geometry!$D$42:$D$59))*(ABS(Es*(($BH20+$BI20*Geometry!$E$42:$E$59+$BJ20*Geometry!$D$42:$D$59)))&lt;=fy)+fy*(Es*(($BH20+$BI20*Geometry!$E$42:$E$59+$BJ20*Geometry!$D$42:$D$59))&gt;fy)-fy*(Es*(($BH20+$BI20*Geometry!$E$42:$E$59+$BJ20*Geometry!$D$42:$D$59))&lt;-fy)-(alpha*fck*(1-(1-((($BH20+$BI20*Geometry!$E$42:$E$59+$BJ20*Geometry!$D$42:$D$59))*(($BH20+$BI20*Geometry!$E$42:$E$59+$BJ20*Geometry!$D$42:$D$59)&gt;0)*(($BH20+$BI20*Geometry!$E$42:$E$59+$BJ20*Geometry!$D$42:$D$59)&lt;eco)+eco*(($BH20+$BI20*Geometry!$E$42:$E$59+$BJ20*Geometry!$D$42:$D$59)&gt;=eco))/eco)^n)*((($BH20+$BI20*Geometry!$E$42:$E$59+$BJ20*Geometry!$D$42:$D$59))&gt;0))),Geometry!$F$42:$F$59,Geometry!$E$42:$E$59))/1000000</f>
      </c>
      <c r="CW20" s="32">
        <f>(SUMPRODUCT(alpha*fck*(1-(1-((($F20+$G20*Mesh_Y+$H20*Mesh_X))*(($F20+$G20*Mesh_Y+$H20*Mesh_X)&gt;0)*(($F20+$G20*Mesh_Y+$H20*Mesh_X)&lt;eco)+eco*(($F20+$G20*Mesh_Y+$H20*Mesh_X)&gt;=eco))/eco)^n)*((($F20+$G20*Mesh_Y+$H20*Mesh_X))&gt;0),Mesh_A,Mesh_X)+SUMPRODUCT((Es*(($F20+$G20*Geometry!$E$42:$E$59+$H20*Geometry!$D$42:$D$59))*(ABS(Es*(($F20+$G20*Geometry!$E$42:$E$59+$H20*Geometry!$D$42:$D$59)))&lt;=fy)+fy*(Es*(($F20+$G20*Geometry!$E$42:$E$59+$H20*Geometry!$D$42:$D$59))&gt;fy)-fy*(Es*(($F20+$G20*Geometry!$E$42:$E$59+$H20*Geometry!$D$42:$D$59))&lt;-fy)-(alpha*fck*(1-(1-((($F20+$G20*Geometry!$E$42:$E$59+$H20*Geometry!$D$42:$D$59))*(($F20+$G20*Geometry!$E$42:$E$59+$H20*Geometry!$D$42:$D$59)&gt;0)*(($F20+$G20*Geometry!$E$42:$E$59+$H20*Geometry!$D$42:$D$59)&lt;eco)+eco*(($F20+$G20*Geometry!$E$42:$E$59+$H20*Geometry!$D$42:$D$59)&gt;=eco))/eco)^n)*((($F20+$G20*Geometry!$E$42:$E$59+$H20*Geometry!$D$42:$D$59))&gt;0))),Geometry!$F$42:$F$59,Geometry!$D$42:$D$59))/1000000</f>
      </c>
      <c r="CX20" s="32">
        <f>(SUMPRODUCT(alpha*fck*(1-(1-((($I20+$J20*Mesh_Y+$K20*Mesh_X))*(($I20+$J20*Mesh_Y+$K20*Mesh_X)&gt;0)*(($I20+$J20*Mesh_Y+$K20*Mesh_X)&lt;eco)+eco*(($I20+$J20*Mesh_Y+$K20*Mesh_X)&gt;=eco))/eco)^n)*((($I20+$J20*Mesh_Y+$K20*Mesh_X))&gt;0),Mesh_A,Mesh_X)+SUMPRODUCT((Es*(($I20+$J20*Geometry!$E$42:$E$59+$K20*Geometry!$D$42:$D$59))*(ABS(Es*(($I20+$J20*Geometry!$E$42:$E$59+$K20*Geometry!$D$42:$D$59)))&lt;=fy)+fy*(Es*(($I20+$J20*Geometry!$E$42:$E$59+$K20*Geometry!$D$42:$D$59))&gt;fy)-fy*(Es*(($I20+$J20*Geometry!$E$42:$E$59+$K20*Geometry!$D$42:$D$59))&lt;-fy)-(alpha*fck*(1-(1-((($I20+$J20*Geometry!$E$42:$E$59+$K20*Geometry!$D$42:$D$59))*(($I20+$J20*Geometry!$E$42:$E$59+$K20*Geometry!$D$42:$D$59)&gt;0)*(($I20+$J20*Geometry!$E$42:$E$59+$K20*Geometry!$D$42:$D$59)&lt;eco)+eco*(($I20+$J20*Geometry!$E$42:$E$59+$K20*Geometry!$D$42:$D$59)&gt;=eco))/eco)^n)*((($I20+$J20*Geometry!$E$42:$E$59+$K20*Geometry!$D$42:$D$59))&gt;0))),Geometry!$F$42:$F$59,Geometry!$D$42:$D$59))/1000000</f>
      </c>
      <c r="CY20" s="32">
        <f>(SUMPRODUCT(alpha*fck*(1-(1-((($L20+$M20*Mesh_Y+$N20*Mesh_X))*(($L20+$M20*Mesh_Y+$N20*Mesh_X)&gt;0)*(($L20+$M20*Mesh_Y+$N20*Mesh_X)&lt;eco)+eco*(($L20+$M20*Mesh_Y+$N20*Mesh_X)&gt;=eco))/eco)^n)*((($L20+$M20*Mesh_Y+$N20*Mesh_X))&gt;0),Mesh_A,Mesh_X)+SUMPRODUCT((Es*(($L20+$M20*Geometry!$E$42:$E$59+$N20*Geometry!$D$42:$D$59))*(ABS(Es*(($L20+$M20*Geometry!$E$42:$E$59+$N20*Geometry!$D$42:$D$59)))&lt;=fy)+fy*(Es*(($L20+$M20*Geometry!$E$42:$E$59+$N20*Geometry!$D$42:$D$59))&gt;fy)-fy*(Es*(($L20+$M20*Geometry!$E$42:$E$59+$N20*Geometry!$D$42:$D$59))&lt;-fy)-(alpha*fck*(1-(1-((($L20+$M20*Geometry!$E$42:$E$59+$N20*Geometry!$D$42:$D$59))*(($L20+$M20*Geometry!$E$42:$E$59+$N20*Geometry!$D$42:$D$59)&gt;0)*(($L20+$M20*Geometry!$E$42:$E$59+$N20*Geometry!$D$42:$D$59)&lt;eco)+eco*(($L20+$M20*Geometry!$E$42:$E$59+$N20*Geometry!$D$42:$D$59)&gt;=eco))/eco)^n)*((($L20+$M20*Geometry!$E$42:$E$59+$N20*Geometry!$D$42:$D$59))&gt;0))),Geometry!$F$42:$F$59,Geometry!$D$42:$D$59))/1000000</f>
      </c>
      <c r="CZ20" s="32">
        <f>(SUMPRODUCT(alpha*fck*(1-(1-((($O20+$P20*Mesh_Y+$Q20*Mesh_X))*(($O20+$P20*Mesh_Y+$Q20*Mesh_X)&gt;0)*(($O20+$P20*Mesh_Y+$Q20*Mesh_X)&lt;eco)+eco*(($O20+$P20*Mesh_Y+$Q20*Mesh_X)&gt;=eco))/eco)^n)*((($O20+$P20*Mesh_Y+$Q20*Mesh_X))&gt;0),Mesh_A,Mesh_X)+SUMPRODUCT((Es*(($O20+$P20*Geometry!$E$42:$E$59+$Q20*Geometry!$D$42:$D$59))*(ABS(Es*(($O20+$P20*Geometry!$E$42:$E$59+$Q20*Geometry!$D$42:$D$59)))&lt;=fy)+fy*(Es*(($O20+$P20*Geometry!$E$42:$E$59+$Q20*Geometry!$D$42:$D$59))&gt;fy)-fy*(Es*(($O20+$P20*Geometry!$E$42:$E$59+$Q20*Geometry!$D$42:$D$59))&lt;-fy)-(alpha*fck*(1-(1-((($O20+$P20*Geometry!$E$42:$E$59+$Q20*Geometry!$D$42:$D$59))*(($O20+$P20*Geometry!$E$42:$E$59+$Q20*Geometry!$D$42:$D$59)&gt;0)*(($O20+$P20*Geometry!$E$42:$E$59+$Q20*Geometry!$D$42:$D$59)&lt;eco)+eco*(($O20+$P20*Geometry!$E$42:$E$59+$Q20*Geometry!$D$42:$D$59)&gt;=eco))/eco)^n)*((($O20+$P20*Geometry!$E$42:$E$59+$Q20*Geometry!$D$42:$D$59))&gt;0))),Geometry!$F$42:$F$59,Geometry!$D$42:$D$59))/1000000</f>
      </c>
      <c r="DA20" s="32">
        <f>(SUMPRODUCT(alpha*fck*(1-(1-((($R20+$S20*Mesh_Y+$T20*Mesh_X))*(($R20+$S20*Mesh_Y+$T20*Mesh_X)&gt;0)*(($R20+$S20*Mesh_Y+$T20*Mesh_X)&lt;eco)+eco*(($R20+$S20*Mesh_Y+$T20*Mesh_X)&gt;=eco))/eco)^n)*((($R20+$S20*Mesh_Y+$T20*Mesh_X))&gt;0),Mesh_A,Mesh_X)+SUMPRODUCT((Es*(($R20+$S20*Geometry!$E$42:$E$59+$T20*Geometry!$D$42:$D$59))*(ABS(Es*(($R20+$S20*Geometry!$E$42:$E$59+$T20*Geometry!$D$42:$D$59)))&lt;=fy)+fy*(Es*(($R20+$S20*Geometry!$E$42:$E$59+$T20*Geometry!$D$42:$D$59))&gt;fy)-fy*(Es*(($R20+$S20*Geometry!$E$42:$E$59+$T20*Geometry!$D$42:$D$59))&lt;-fy)-(alpha*fck*(1-(1-((($R20+$S20*Geometry!$E$42:$E$59+$T20*Geometry!$D$42:$D$59))*(($R20+$S20*Geometry!$E$42:$E$59+$T20*Geometry!$D$42:$D$59)&gt;0)*(($R20+$S20*Geometry!$E$42:$E$59+$T20*Geometry!$D$42:$D$59)&lt;eco)+eco*(($R20+$S20*Geometry!$E$42:$E$59+$T20*Geometry!$D$42:$D$59)&gt;=eco))/eco)^n)*((($R20+$S20*Geometry!$E$42:$E$59+$T20*Geometry!$D$42:$D$59))&gt;0))),Geometry!$F$42:$F$59,Geometry!$D$42:$D$59))/1000000</f>
      </c>
      <c r="DB20" s="32">
        <f>(SUMPRODUCT(alpha*fck*(1-(1-((($U20+$V20*Mesh_Y+$W20*Mesh_X))*(($U20+$V20*Mesh_Y+$W20*Mesh_X)&gt;0)*(($U20+$V20*Mesh_Y+$W20*Mesh_X)&lt;eco)+eco*(($U20+$V20*Mesh_Y+$W20*Mesh_X)&gt;=eco))/eco)^n)*((($U20+$V20*Mesh_Y+$W20*Mesh_X))&gt;0),Mesh_A,Mesh_X)+SUMPRODUCT((Es*(($U20+$V20*Geometry!$E$42:$E$59+$W20*Geometry!$D$42:$D$59))*(ABS(Es*(($U20+$V20*Geometry!$E$42:$E$59+$W20*Geometry!$D$42:$D$59)))&lt;=fy)+fy*(Es*(($U20+$V20*Geometry!$E$42:$E$59+$W20*Geometry!$D$42:$D$59))&gt;fy)-fy*(Es*(($U20+$V20*Geometry!$E$42:$E$59+$W20*Geometry!$D$42:$D$59))&lt;-fy)-(alpha*fck*(1-(1-((($U20+$V20*Geometry!$E$42:$E$59+$W20*Geometry!$D$42:$D$59))*(($U20+$V20*Geometry!$E$42:$E$59+$W20*Geometry!$D$42:$D$59)&gt;0)*(($U20+$V20*Geometry!$E$42:$E$59+$W20*Geometry!$D$42:$D$59)&lt;eco)+eco*(($U20+$V20*Geometry!$E$42:$E$59+$W20*Geometry!$D$42:$D$59)&gt;=eco))/eco)^n)*((($U20+$V20*Geometry!$E$42:$E$59+$W20*Geometry!$D$42:$D$59))&gt;0))),Geometry!$F$42:$F$59,Geometry!$D$42:$D$59))/1000000</f>
      </c>
      <c r="DC20" s="32">
        <f>(SUMPRODUCT(alpha*fck*(1-(1-((($X20+$Y20*Mesh_Y+$Z20*Mesh_X))*(($X20+$Y20*Mesh_Y+$Z20*Mesh_X)&gt;0)*(($X20+$Y20*Mesh_Y+$Z20*Mesh_X)&lt;eco)+eco*(($X20+$Y20*Mesh_Y+$Z20*Mesh_X)&gt;=eco))/eco)^n)*((($X20+$Y20*Mesh_Y+$Z20*Mesh_X))&gt;0),Mesh_A,Mesh_X)+SUMPRODUCT((Es*(($X20+$Y20*Geometry!$E$42:$E$59+$Z20*Geometry!$D$42:$D$59))*(ABS(Es*(($X20+$Y20*Geometry!$E$42:$E$59+$Z20*Geometry!$D$42:$D$59)))&lt;=fy)+fy*(Es*(($X20+$Y20*Geometry!$E$42:$E$59+$Z20*Geometry!$D$42:$D$59))&gt;fy)-fy*(Es*(($X20+$Y20*Geometry!$E$42:$E$59+$Z20*Geometry!$D$42:$D$59))&lt;-fy)-(alpha*fck*(1-(1-((($X20+$Y20*Geometry!$E$42:$E$59+$Z20*Geometry!$D$42:$D$59))*(($X20+$Y20*Geometry!$E$42:$E$59+$Z20*Geometry!$D$42:$D$59)&gt;0)*(($X20+$Y20*Geometry!$E$42:$E$59+$Z20*Geometry!$D$42:$D$59)&lt;eco)+eco*(($X20+$Y20*Geometry!$E$42:$E$59+$Z20*Geometry!$D$42:$D$59)&gt;=eco))/eco)^n)*((($X20+$Y20*Geometry!$E$42:$E$59+$Z20*Geometry!$D$42:$D$59))&gt;0))),Geometry!$F$42:$F$59,Geometry!$D$42:$D$59))/1000000</f>
      </c>
      <c r="DD20" s="32">
        <f>(SUMPRODUCT(alpha*fck*(1-(1-((($AA20+$AB20*Mesh_Y+$AC20*Mesh_X))*(($AA20+$AB20*Mesh_Y+$AC20*Mesh_X)&gt;0)*(($AA20+$AB20*Mesh_Y+$AC20*Mesh_X)&lt;eco)+eco*(($AA20+$AB20*Mesh_Y+$AC20*Mesh_X)&gt;=eco))/eco)^n)*((($AA20+$AB20*Mesh_Y+$AC20*Mesh_X))&gt;0),Mesh_A,Mesh_X)+SUMPRODUCT((Es*(($AA20+$AB20*Geometry!$E$42:$E$59+$AC20*Geometry!$D$42:$D$59))*(ABS(Es*(($AA20+$AB20*Geometry!$E$42:$E$59+$AC20*Geometry!$D$42:$D$59)))&lt;=fy)+fy*(Es*(($AA20+$AB20*Geometry!$E$42:$E$59+$AC20*Geometry!$D$42:$D$59))&gt;fy)-fy*(Es*(($AA20+$AB20*Geometry!$E$42:$E$59+$AC20*Geometry!$D$42:$D$59))&lt;-fy)-(alpha*fck*(1-(1-((($AA20+$AB20*Geometry!$E$42:$E$59+$AC20*Geometry!$D$42:$D$59))*(($AA20+$AB20*Geometry!$E$42:$E$59+$AC20*Geometry!$D$42:$D$59)&gt;0)*(($AA20+$AB20*Geometry!$E$42:$E$59+$AC20*Geometry!$D$42:$D$59)&lt;eco)+eco*(($AA20+$AB20*Geometry!$E$42:$E$59+$AC20*Geometry!$D$42:$D$59)&gt;=eco))/eco)^n)*((($AA20+$AB20*Geometry!$E$42:$E$59+$AC20*Geometry!$D$42:$D$59))&gt;0))),Geometry!$F$42:$F$59,Geometry!$D$42:$D$59))/1000000</f>
      </c>
      <c r="DE20" s="32">
        <f>(SUMPRODUCT(alpha*fck*(1-(1-((($AD20+$AE20*Mesh_Y+$AF20*Mesh_X))*(($AD20+$AE20*Mesh_Y+$AF20*Mesh_X)&gt;0)*(($AD20+$AE20*Mesh_Y+$AF20*Mesh_X)&lt;eco)+eco*(($AD20+$AE20*Mesh_Y+$AF20*Mesh_X)&gt;=eco))/eco)^n)*((($AD20+$AE20*Mesh_Y+$AF20*Mesh_X))&gt;0),Mesh_A,Mesh_X)+SUMPRODUCT((Es*(($AD20+$AE20*Geometry!$E$42:$E$59+$AF20*Geometry!$D$42:$D$59))*(ABS(Es*(($AD20+$AE20*Geometry!$E$42:$E$59+$AF20*Geometry!$D$42:$D$59)))&lt;=fy)+fy*(Es*(($AD20+$AE20*Geometry!$E$42:$E$59+$AF20*Geometry!$D$42:$D$59))&gt;fy)-fy*(Es*(($AD20+$AE20*Geometry!$E$42:$E$59+$AF20*Geometry!$D$42:$D$59))&lt;-fy)-(alpha*fck*(1-(1-((($AD20+$AE20*Geometry!$E$42:$E$59+$AF20*Geometry!$D$42:$D$59))*(($AD20+$AE20*Geometry!$E$42:$E$59+$AF20*Geometry!$D$42:$D$59)&gt;0)*(($AD20+$AE20*Geometry!$E$42:$E$59+$AF20*Geometry!$D$42:$D$59)&lt;eco)+eco*(($AD20+$AE20*Geometry!$E$42:$E$59+$AF20*Geometry!$D$42:$D$59)&gt;=eco))/eco)^n)*((($AD20+$AE20*Geometry!$E$42:$E$59+$AF20*Geometry!$D$42:$D$59))&gt;0))),Geometry!$F$42:$F$59,Geometry!$D$42:$D$59))/1000000</f>
      </c>
      <c r="DF20" s="32">
        <f>(SUMPRODUCT(alpha*fck*(1-(1-((($AG20+$AH20*Mesh_Y+$AI20*Mesh_X))*(($AG20+$AH20*Mesh_Y+$AI20*Mesh_X)&gt;0)*(($AG20+$AH20*Mesh_Y+$AI20*Mesh_X)&lt;eco)+eco*(($AG20+$AH20*Mesh_Y+$AI20*Mesh_X)&gt;=eco))/eco)^n)*((($AG20+$AH20*Mesh_Y+$AI20*Mesh_X))&gt;0),Mesh_A,Mesh_X)+SUMPRODUCT((Es*(($AG20+$AH20*Geometry!$E$42:$E$59+$AI20*Geometry!$D$42:$D$59))*(ABS(Es*(($AG20+$AH20*Geometry!$E$42:$E$59+$AI20*Geometry!$D$42:$D$59)))&lt;=fy)+fy*(Es*(($AG20+$AH20*Geometry!$E$42:$E$59+$AI20*Geometry!$D$42:$D$59))&gt;fy)-fy*(Es*(($AG20+$AH20*Geometry!$E$42:$E$59+$AI20*Geometry!$D$42:$D$59))&lt;-fy)-(alpha*fck*(1-(1-((($AG20+$AH20*Geometry!$E$42:$E$59+$AI20*Geometry!$D$42:$D$59))*(($AG20+$AH20*Geometry!$E$42:$E$59+$AI20*Geometry!$D$42:$D$59)&gt;0)*(($AG20+$AH20*Geometry!$E$42:$E$59+$AI20*Geometry!$D$42:$D$59)&lt;eco)+eco*(($AG20+$AH20*Geometry!$E$42:$E$59+$AI20*Geometry!$D$42:$D$59)&gt;=eco))/eco)^n)*((($AG20+$AH20*Geometry!$E$42:$E$59+$AI20*Geometry!$D$42:$D$59))&gt;0))),Geometry!$F$42:$F$59,Geometry!$D$42:$D$59))/1000000</f>
      </c>
      <c r="DG20" s="32">
        <f>(SUMPRODUCT(alpha*fck*(1-(1-((($AJ20+$AK20*Mesh_Y+$AL20*Mesh_X))*(($AJ20+$AK20*Mesh_Y+$AL20*Mesh_X)&gt;0)*(($AJ20+$AK20*Mesh_Y+$AL20*Mesh_X)&lt;eco)+eco*(($AJ20+$AK20*Mesh_Y+$AL20*Mesh_X)&gt;=eco))/eco)^n)*((($AJ20+$AK20*Mesh_Y+$AL20*Mesh_X))&gt;0),Mesh_A,Mesh_X)+SUMPRODUCT((Es*(($AJ20+$AK20*Geometry!$E$42:$E$59+$AL20*Geometry!$D$42:$D$59))*(ABS(Es*(($AJ20+$AK20*Geometry!$E$42:$E$59+$AL20*Geometry!$D$42:$D$59)))&lt;=fy)+fy*(Es*(($AJ20+$AK20*Geometry!$E$42:$E$59+$AL20*Geometry!$D$42:$D$59))&gt;fy)-fy*(Es*(($AJ20+$AK20*Geometry!$E$42:$E$59+$AL20*Geometry!$D$42:$D$59))&lt;-fy)-(alpha*fck*(1-(1-((($AJ20+$AK20*Geometry!$E$42:$E$59+$AL20*Geometry!$D$42:$D$59))*(($AJ20+$AK20*Geometry!$E$42:$E$59+$AL20*Geometry!$D$42:$D$59)&gt;0)*(($AJ20+$AK20*Geometry!$E$42:$E$59+$AL20*Geometry!$D$42:$D$59)&lt;eco)+eco*(($AJ20+$AK20*Geometry!$E$42:$E$59+$AL20*Geometry!$D$42:$D$59)&gt;=eco))/eco)^n)*((($AJ20+$AK20*Geometry!$E$42:$E$59+$AL20*Geometry!$D$42:$D$59))&gt;0))),Geometry!$F$42:$F$59,Geometry!$D$42:$D$59))/1000000</f>
      </c>
      <c r="DH20" s="32">
        <f>(SUMPRODUCT(alpha*fck*(1-(1-((($AM20+$AN20*Mesh_Y+$AO20*Mesh_X))*(($AM20+$AN20*Mesh_Y+$AO20*Mesh_X)&gt;0)*(($AM20+$AN20*Mesh_Y+$AO20*Mesh_X)&lt;eco)+eco*(($AM20+$AN20*Mesh_Y+$AO20*Mesh_X)&gt;=eco))/eco)^n)*((($AM20+$AN20*Mesh_Y+$AO20*Mesh_X))&gt;0),Mesh_A,Mesh_X)+SUMPRODUCT((Es*(($AM20+$AN20*Geometry!$E$42:$E$59+$AO20*Geometry!$D$42:$D$59))*(ABS(Es*(($AM20+$AN20*Geometry!$E$42:$E$59+$AO20*Geometry!$D$42:$D$59)))&lt;=fy)+fy*(Es*(($AM20+$AN20*Geometry!$E$42:$E$59+$AO20*Geometry!$D$42:$D$59))&gt;fy)-fy*(Es*(($AM20+$AN20*Geometry!$E$42:$E$59+$AO20*Geometry!$D$42:$D$59))&lt;-fy)-(alpha*fck*(1-(1-((($AM20+$AN20*Geometry!$E$42:$E$59+$AO20*Geometry!$D$42:$D$59))*(($AM20+$AN20*Geometry!$E$42:$E$59+$AO20*Geometry!$D$42:$D$59)&gt;0)*(($AM20+$AN20*Geometry!$E$42:$E$59+$AO20*Geometry!$D$42:$D$59)&lt;eco)+eco*(($AM20+$AN20*Geometry!$E$42:$E$59+$AO20*Geometry!$D$42:$D$59)&gt;=eco))/eco)^n)*((($AM20+$AN20*Geometry!$E$42:$E$59+$AO20*Geometry!$D$42:$D$59))&gt;0))),Geometry!$F$42:$F$59,Geometry!$D$42:$D$59))/1000000</f>
      </c>
      <c r="DI20" s="32">
        <f>(SUMPRODUCT(alpha*fck*(1-(1-((($AP20+$AQ20*Mesh_Y+$AR20*Mesh_X))*(($AP20+$AQ20*Mesh_Y+$AR20*Mesh_X)&gt;0)*(($AP20+$AQ20*Mesh_Y+$AR20*Mesh_X)&lt;eco)+eco*(($AP20+$AQ20*Mesh_Y+$AR20*Mesh_X)&gt;=eco))/eco)^n)*((($AP20+$AQ20*Mesh_Y+$AR20*Mesh_X))&gt;0),Mesh_A,Mesh_X)+SUMPRODUCT((Es*(($AP20+$AQ20*Geometry!$E$42:$E$59+$AR20*Geometry!$D$42:$D$59))*(ABS(Es*(($AP20+$AQ20*Geometry!$E$42:$E$59+$AR20*Geometry!$D$42:$D$59)))&lt;=fy)+fy*(Es*(($AP20+$AQ20*Geometry!$E$42:$E$59+$AR20*Geometry!$D$42:$D$59))&gt;fy)-fy*(Es*(($AP20+$AQ20*Geometry!$E$42:$E$59+$AR20*Geometry!$D$42:$D$59))&lt;-fy)-(alpha*fck*(1-(1-((($AP20+$AQ20*Geometry!$E$42:$E$59+$AR20*Geometry!$D$42:$D$59))*(($AP20+$AQ20*Geometry!$E$42:$E$59+$AR20*Geometry!$D$42:$D$59)&gt;0)*(($AP20+$AQ20*Geometry!$E$42:$E$59+$AR20*Geometry!$D$42:$D$59)&lt;eco)+eco*(($AP20+$AQ20*Geometry!$E$42:$E$59+$AR20*Geometry!$D$42:$D$59)&gt;=eco))/eco)^n)*((($AP20+$AQ20*Geometry!$E$42:$E$59+$AR20*Geometry!$D$42:$D$59))&gt;0))),Geometry!$F$42:$F$59,Geometry!$D$42:$D$59))/1000000</f>
      </c>
      <c r="DJ20" s="32">
        <f>(SUMPRODUCT(alpha*fck*(1-(1-((($AS20+$AT20*Mesh_Y+$AU20*Mesh_X))*(($AS20+$AT20*Mesh_Y+$AU20*Mesh_X)&gt;0)*(($AS20+$AT20*Mesh_Y+$AU20*Mesh_X)&lt;eco)+eco*(($AS20+$AT20*Mesh_Y+$AU20*Mesh_X)&gt;=eco))/eco)^n)*((($AS20+$AT20*Mesh_Y+$AU20*Mesh_X))&gt;0),Mesh_A,Mesh_X)+SUMPRODUCT((Es*(($AS20+$AT20*Geometry!$E$42:$E$59+$AU20*Geometry!$D$42:$D$59))*(ABS(Es*(($AS20+$AT20*Geometry!$E$42:$E$59+$AU20*Geometry!$D$42:$D$59)))&lt;=fy)+fy*(Es*(($AS20+$AT20*Geometry!$E$42:$E$59+$AU20*Geometry!$D$42:$D$59))&gt;fy)-fy*(Es*(($AS20+$AT20*Geometry!$E$42:$E$59+$AU20*Geometry!$D$42:$D$59))&lt;-fy)-(alpha*fck*(1-(1-((($AS20+$AT20*Geometry!$E$42:$E$59+$AU20*Geometry!$D$42:$D$59))*(($AS20+$AT20*Geometry!$E$42:$E$59+$AU20*Geometry!$D$42:$D$59)&gt;0)*(($AS20+$AT20*Geometry!$E$42:$E$59+$AU20*Geometry!$D$42:$D$59)&lt;eco)+eco*(($AS20+$AT20*Geometry!$E$42:$E$59+$AU20*Geometry!$D$42:$D$59)&gt;=eco))/eco)^n)*((($AS20+$AT20*Geometry!$E$42:$E$59+$AU20*Geometry!$D$42:$D$59))&gt;0))),Geometry!$F$42:$F$59,Geometry!$D$42:$D$59))/1000000</f>
      </c>
      <c r="DK20" s="32">
        <f>(SUMPRODUCT(alpha*fck*(1-(1-((($AV20+$AW20*Mesh_Y+$AX20*Mesh_X))*(($AV20+$AW20*Mesh_Y+$AX20*Mesh_X)&gt;0)*(($AV20+$AW20*Mesh_Y+$AX20*Mesh_X)&lt;eco)+eco*(($AV20+$AW20*Mesh_Y+$AX20*Mesh_X)&gt;=eco))/eco)^n)*((($AV20+$AW20*Mesh_Y+$AX20*Mesh_X))&gt;0),Mesh_A,Mesh_X)+SUMPRODUCT((Es*(($AV20+$AW20*Geometry!$E$42:$E$59+$AX20*Geometry!$D$42:$D$59))*(ABS(Es*(($AV20+$AW20*Geometry!$E$42:$E$59+$AX20*Geometry!$D$42:$D$59)))&lt;=fy)+fy*(Es*(($AV20+$AW20*Geometry!$E$42:$E$59+$AX20*Geometry!$D$42:$D$59))&gt;fy)-fy*(Es*(($AV20+$AW20*Geometry!$E$42:$E$59+$AX20*Geometry!$D$42:$D$59))&lt;-fy)-(alpha*fck*(1-(1-((($AV20+$AW20*Geometry!$E$42:$E$59+$AX20*Geometry!$D$42:$D$59))*(($AV20+$AW20*Geometry!$E$42:$E$59+$AX20*Geometry!$D$42:$D$59)&gt;0)*(($AV20+$AW20*Geometry!$E$42:$E$59+$AX20*Geometry!$D$42:$D$59)&lt;eco)+eco*(($AV20+$AW20*Geometry!$E$42:$E$59+$AX20*Geometry!$D$42:$D$59)&gt;=eco))/eco)^n)*((($AV20+$AW20*Geometry!$E$42:$E$59+$AX20*Geometry!$D$42:$D$59))&gt;0))),Geometry!$F$42:$F$59,Geometry!$D$42:$D$59))/1000000</f>
      </c>
      <c r="DL20" s="32">
        <f>(SUMPRODUCT(alpha*fck*(1-(1-((($AY20+$AZ20*Mesh_Y+$BA20*Mesh_X))*(($AY20+$AZ20*Mesh_Y+$BA20*Mesh_X)&gt;0)*(($AY20+$AZ20*Mesh_Y+$BA20*Mesh_X)&lt;eco)+eco*(($AY20+$AZ20*Mesh_Y+$BA20*Mesh_X)&gt;=eco))/eco)^n)*((($AY20+$AZ20*Mesh_Y+$BA20*Mesh_X))&gt;0),Mesh_A,Mesh_X)+SUMPRODUCT((Es*(($AY20+$AZ20*Geometry!$E$42:$E$59+$BA20*Geometry!$D$42:$D$59))*(ABS(Es*(($AY20+$AZ20*Geometry!$E$42:$E$59+$BA20*Geometry!$D$42:$D$59)))&lt;=fy)+fy*(Es*(($AY20+$AZ20*Geometry!$E$42:$E$59+$BA20*Geometry!$D$42:$D$59))&gt;fy)-fy*(Es*(($AY20+$AZ20*Geometry!$E$42:$E$59+$BA20*Geometry!$D$42:$D$59))&lt;-fy)-(alpha*fck*(1-(1-((($AY20+$AZ20*Geometry!$E$42:$E$59+$BA20*Geometry!$D$42:$D$59))*(($AY20+$AZ20*Geometry!$E$42:$E$59+$BA20*Geometry!$D$42:$D$59)&gt;0)*(($AY20+$AZ20*Geometry!$E$42:$E$59+$BA20*Geometry!$D$42:$D$59)&lt;eco)+eco*(($AY20+$AZ20*Geometry!$E$42:$E$59+$BA20*Geometry!$D$42:$D$59)&gt;=eco))/eco)^n)*((($AY20+$AZ20*Geometry!$E$42:$E$59+$BA20*Geometry!$D$42:$D$59))&gt;0))),Geometry!$F$42:$F$59,Geometry!$D$42:$D$59))/1000000</f>
      </c>
      <c r="DM20" s="32">
        <f>(SUMPRODUCT(alpha*fck*(1-(1-((($BB20+$BC20*Mesh_Y+$BD20*Mesh_X))*(($BB20+$BC20*Mesh_Y+$BD20*Mesh_X)&gt;0)*(($BB20+$BC20*Mesh_Y+$BD20*Mesh_X)&lt;eco)+eco*(($BB20+$BC20*Mesh_Y+$BD20*Mesh_X)&gt;=eco))/eco)^n)*((($BB20+$BC20*Mesh_Y+$BD20*Mesh_X))&gt;0),Mesh_A,Mesh_X)+SUMPRODUCT((Es*(($BB20+$BC20*Geometry!$E$42:$E$59+$BD20*Geometry!$D$42:$D$59))*(ABS(Es*(($BB20+$BC20*Geometry!$E$42:$E$59+$BD20*Geometry!$D$42:$D$59)))&lt;=fy)+fy*(Es*(($BB20+$BC20*Geometry!$E$42:$E$59+$BD20*Geometry!$D$42:$D$59))&gt;fy)-fy*(Es*(($BB20+$BC20*Geometry!$E$42:$E$59+$BD20*Geometry!$D$42:$D$59))&lt;-fy)-(alpha*fck*(1-(1-((($BB20+$BC20*Geometry!$E$42:$E$59+$BD20*Geometry!$D$42:$D$59))*(($BB20+$BC20*Geometry!$E$42:$E$59+$BD20*Geometry!$D$42:$D$59)&gt;0)*(($BB20+$BC20*Geometry!$E$42:$E$59+$BD20*Geometry!$D$42:$D$59)&lt;eco)+eco*(($BB20+$BC20*Geometry!$E$42:$E$59+$BD20*Geometry!$D$42:$D$59)&gt;=eco))/eco)^n)*((($BB20+$BC20*Geometry!$E$42:$E$59+$BD20*Geometry!$D$42:$D$59))&gt;0))),Geometry!$F$42:$F$59,Geometry!$D$42:$D$59))/1000000</f>
      </c>
      <c r="DN20" s="32">
        <f>(SUMPRODUCT(alpha*fck*(1-(1-((($BE20+$BF20*Mesh_Y+$BG20*Mesh_X))*(($BE20+$BF20*Mesh_Y+$BG20*Mesh_X)&gt;0)*(($BE20+$BF20*Mesh_Y+$BG20*Mesh_X)&lt;eco)+eco*(($BE20+$BF20*Mesh_Y+$BG20*Mesh_X)&gt;=eco))/eco)^n)*((($BE20+$BF20*Mesh_Y+$BG20*Mesh_X))&gt;0),Mesh_A,Mesh_X)+SUMPRODUCT((Es*(($BE20+$BF20*Geometry!$E$42:$E$59+$BG20*Geometry!$D$42:$D$59))*(ABS(Es*(($BE20+$BF20*Geometry!$E$42:$E$59+$BG20*Geometry!$D$42:$D$59)))&lt;=fy)+fy*(Es*(($BE20+$BF20*Geometry!$E$42:$E$59+$BG20*Geometry!$D$42:$D$59))&gt;fy)-fy*(Es*(($BE20+$BF20*Geometry!$E$42:$E$59+$BG20*Geometry!$D$42:$D$59))&lt;-fy)-(alpha*fck*(1-(1-((($BE20+$BF20*Geometry!$E$42:$E$59+$BG20*Geometry!$D$42:$D$59))*(($BE20+$BF20*Geometry!$E$42:$E$59+$BG20*Geometry!$D$42:$D$59)&gt;0)*(($BE20+$BF20*Geometry!$E$42:$E$59+$BG20*Geometry!$D$42:$D$59)&lt;eco)+eco*(($BE20+$BF20*Geometry!$E$42:$E$59+$BG20*Geometry!$D$42:$D$59)&gt;=eco))/eco)^n)*((($BE20+$BF20*Geometry!$E$42:$E$59+$BG20*Geometry!$D$42:$D$59))&gt;0))),Geometry!$F$42:$F$59,Geometry!$D$42:$D$59))/1000000</f>
      </c>
      <c r="DO20" s="32">
        <f>(SUMPRODUCT(alpha*fck*(1-(1-((($BH20+$BI20*Mesh_Y+$BJ20*Mesh_X))*(($BH20+$BI20*Mesh_Y+$BJ20*Mesh_X)&gt;0)*(($BH20+$BI20*Mesh_Y+$BJ20*Mesh_X)&lt;eco)+eco*(($BH20+$BI20*Mesh_Y+$BJ20*Mesh_X)&gt;=eco))/eco)^n)*((($BH20+$BI20*Mesh_Y+$BJ20*Mesh_X))&gt;0),Mesh_A,Mesh_X)+SUMPRODUCT((Es*(($BH20+$BI20*Geometry!$E$42:$E$59+$BJ20*Geometry!$D$42:$D$59))*(ABS(Es*(($BH20+$BI20*Geometry!$E$42:$E$59+$BJ20*Geometry!$D$42:$D$59)))&lt;=fy)+fy*(Es*(($BH20+$BI20*Geometry!$E$42:$E$59+$BJ20*Geometry!$D$42:$D$59))&gt;fy)-fy*(Es*(($BH20+$BI20*Geometry!$E$42:$E$59+$BJ20*Geometry!$D$42:$D$59))&lt;-fy)-(alpha*fck*(1-(1-((($BH20+$BI20*Geometry!$E$42:$E$59+$BJ20*Geometry!$D$42:$D$59))*(($BH20+$BI20*Geometry!$E$42:$E$59+$BJ20*Geometry!$D$42:$D$59)&gt;0)*(($BH20+$BI20*Geometry!$E$42:$E$59+$BJ20*Geometry!$D$42:$D$59)&lt;eco)+eco*(($BH20+$BI20*Geometry!$E$42:$E$59+$BJ20*Geometry!$D$42:$D$59)&gt;=eco))/eco)^n)*((($BH20+$BI20*Geometry!$E$42:$E$59+$BJ20*Geometry!$D$42:$D$59))&gt;0))),Geometry!$F$42:$F$59,Geometry!$D$42:$D$59))/1000000</f>
      </c>
      <c r="DP20" s="45">
        <f>MAX(1,MIN(18,SUMPRODUCT(--($BK20:$CC20&gt;=Pu))))</f>
      </c>
      <c r="DQ20" s="46">
        <f>(Pu-INDEX($BK20:$CC20,1,$DP20))/(INDEX($BK20:$CC20,1,$DP20+1)-INDEX($BK20:$CC20,1,$DP20))</f>
      </c>
      <c r="DR20" s="33">
        <f>INDEX($CD20:$CV20,1,$DP20)+$DQ20*(INDEX($CD20:$CV20,1,$DP20+1)-INDEX($CD20:$CV20,1,$DP20))</f>
      </c>
      <c r="DS20" s="33">
        <f>INDEX($CW20:$DO20,1,$DP20)+$DQ20*(INDEX($CW20:$DO20,1,$DP20+1)-INDEX($CW20:$DO20,1,$DP20))</f>
      </c>
      <c r="DT20" s="33">
        <f>SQRT(DR20^2+DS20^2)</f>
      </c>
    </row>
    <row r="21" spans="1:124" x14ac:dyDescent="0.25">
      <c r="A21">
        <v>14</v>
      </c>
      <c r="B21" s="43">
        <v>195</v>
      </c>
      <c r="C21" s="12">
        <f>MAX(SUMPRODUCT(MAX((Geometry!$E$6:$E$13)*COS(RADIANS($B21))+(Geometry!$D$6:$D$13)*SIN(RADIANS($B21)))))</f>
      </c>
      <c r="D21" s="12">
        <f>SUMPRODUCT(MIN((Geometry!$E$42:$E$59)*COS(RADIANS($B21))+(Geometry!$D$42:$D$59)*SIN(RADIANS($B21))))</f>
      </c>
      <c r="E21" s="12">
        <f>C21-D21</f>
      </c>
      <c r="F21" s="30">
        <f>ecu</f>
      </c>
      <c r="G21" s="44">
        <f>0*COS(RADIANS($B21))</f>
      </c>
      <c r="H21" s="44">
        <f>0*SIN(RADIANS($B21))</f>
      </c>
      <c r="I21" s="30">
        <f>ecu-((ecu-0)/($C21-($C21-PM_Angle!$C$8*$E21)))*$C21</f>
      </c>
      <c r="J21" s="44">
        <f>((ecu-0)/($C21-($C21-PM_Angle!$C$8*$E21)))*COS(RADIANS($B21))</f>
      </c>
      <c r="K21" s="44">
        <f>((ecu-0)/($C21-($C21-PM_Angle!$C$8*$E21)))*SIN(RADIANS($B21))</f>
      </c>
      <c r="L21" s="30">
        <f>ecu-((ecu-0)/($C21-($C21-PM_Angle!$C$9*$E21)))*$C21</f>
      </c>
      <c r="M21" s="44">
        <f>((ecu-0)/($C21-($C21-PM_Angle!$C$9*$E21)))*COS(RADIANS($B21))</f>
      </c>
      <c r="N21" s="44">
        <f>((ecu-0)/($C21-($C21-PM_Angle!$C$9*$E21)))*SIN(RADIANS($B21))</f>
      </c>
      <c r="O21" s="30">
        <f>ecu-((ecu-0)/($C21-($C21-PM_Angle!$C$10*$E21)))*$C21</f>
      </c>
      <c r="P21" s="44">
        <f>((ecu-0)/($C21-($C21-PM_Angle!$C$10*$E21)))*COS(RADIANS($B21))</f>
      </c>
      <c r="Q21" s="44">
        <f>((ecu-0)/($C21-($C21-PM_Angle!$C$10*$E21)))*SIN(RADIANS($B21))</f>
      </c>
      <c r="R21" s="30">
        <f>ecu-((ecu-0)/($C21-($C21-PM_Angle!$C$11*$E21)))*$C21</f>
      </c>
      <c r="S21" s="44">
        <f>((ecu-0)/($C21-($C21-PM_Angle!$C$11*$E21)))*COS(RADIANS($B21))</f>
      </c>
      <c r="T21" s="44">
        <f>((ecu-0)/($C21-($C21-PM_Angle!$C$11*$E21)))*SIN(RADIANS($B21))</f>
      </c>
      <c r="U21" s="30">
        <f>ecu-((ecu-(-PM_Angle!$E$12))/($C21-$D21))*$C21</f>
      </c>
      <c r="V21" s="44">
        <f>((ecu-(-PM_Angle!$E$12))/($C21-$D21))*COS(RADIANS($B21))</f>
      </c>
      <c r="W21" s="44">
        <f>((ecu-(-PM_Angle!$E$12))/($C21-$D21))*SIN(RADIANS($B21))</f>
      </c>
      <c r="X21" s="30">
        <f>ecu-((ecu-(-PM_Angle!$D$13*fy/Es))/($C21-$D21))*$C21</f>
      </c>
      <c r="Y21" s="44">
        <f>((ecu-(-PM_Angle!$D$13*fy/Es))/($C21-$D21))*COS(RADIANS($B21))</f>
      </c>
      <c r="Z21" s="44">
        <f>((ecu-(-PM_Angle!$D$13*fy/Es))/($C21-$D21))*SIN(RADIANS($B21))</f>
      </c>
      <c r="AA21" s="30">
        <f>ecu-((ecu-(-PM_Angle!$D$14*fy/Es))/($C21-$D21))*$C21</f>
      </c>
      <c r="AB21" s="44">
        <f>((ecu-(-PM_Angle!$D$14*fy/Es))/($C21-$D21))*COS(RADIANS($B21))</f>
      </c>
      <c r="AC21" s="44">
        <f>((ecu-(-PM_Angle!$D$14*fy/Es))/($C21-$D21))*SIN(RADIANS($B21))</f>
      </c>
      <c r="AD21" s="30">
        <f>ecu-((ecu-(-PM_Angle!$D$15*fy/Es))/($C21-$D21))*$C21</f>
      </c>
      <c r="AE21" s="44">
        <f>((ecu-(-PM_Angle!$D$15*fy/Es))/($C21-$D21))*COS(RADIANS($B21))</f>
      </c>
      <c r="AF21" s="44">
        <f>((ecu-(-PM_Angle!$D$15*fy/Es))/($C21-$D21))*SIN(RADIANS($B21))</f>
      </c>
      <c r="AG21" s="30">
        <f>ecu-((ecu-(-PM_Angle!$D$16*fy/Es))/($C21-$D21))*$C21</f>
      </c>
      <c r="AH21" s="44">
        <f>((ecu-(-PM_Angle!$D$16*fy/Es))/($C21-$D21))*COS(RADIANS($B21))</f>
      </c>
      <c r="AI21" s="44">
        <f>((ecu-(-PM_Angle!$D$16*fy/Es))/($C21-$D21))*SIN(RADIANS($B21))</f>
      </c>
      <c r="AJ21" s="30">
        <f>ecu-((ecu-(-PM_Angle!$E$17))/($C21-$D21))*$C21</f>
      </c>
      <c r="AK21" s="44">
        <f>((ecu-(-PM_Angle!$E$17))/($C21-$D21))*COS(RADIANS($B21))</f>
      </c>
      <c r="AL21" s="44">
        <f>((ecu-(-PM_Angle!$E$17))/($C21-$D21))*SIN(RADIANS($B21))</f>
      </c>
      <c r="AM21" s="30">
        <f>ecu-((ecu-(-PM_Angle!$E$18))/($C21-$D21))*$C21</f>
      </c>
      <c r="AN21" s="44">
        <f>((ecu-(-PM_Angle!$E$18))/($C21-$D21))*COS(RADIANS($B21))</f>
      </c>
      <c r="AO21" s="44">
        <f>((ecu-(-PM_Angle!$E$18))/($C21-$D21))*SIN(RADIANS($B21))</f>
      </c>
      <c r="AP21" s="30">
        <f>ecu-((ecu-(-PM_Angle!$E$19))/($C21-$D21))*$C21</f>
      </c>
      <c r="AQ21" s="44">
        <f>((ecu-(-PM_Angle!$E$19))/($C21-$D21))*COS(RADIANS($B21))</f>
      </c>
      <c r="AR21" s="44">
        <f>((ecu-(-PM_Angle!$E$19))/($C21-$D21))*SIN(RADIANS($B21))</f>
      </c>
      <c r="AS21" s="30">
        <f>ecu-((ecu-(-PM_Angle!$E$20))/($C21-$D21))*$C21</f>
      </c>
      <c r="AT21" s="44">
        <f>((ecu-(-PM_Angle!$E$20))/($C21-$D21))*COS(RADIANS($B21))</f>
      </c>
      <c r="AU21" s="44">
        <f>((ecu-(-PM_Angle!$E$20))/($C21-$D21))*SIN(RADIANS($B21))</f>
      </c>
      <c r="AV21" s="30">
        <f>ecu-((ecu-(-PM_Angle!$E$21))/($C21-$D21))*$C21</f>
      </c>
      <c r="AW21" s="44">
        <f>((ecu-(-PM_Angle!$E$21))/($C21-$D21))*COS(RADIANS($B21))</f>
      </c>
      <c r="AX21" s="44">
        <f>((ecu-(-PM_Angle!$E$21))/($C21-$D21))*SIN(RADIANS($B21))</f>
      </c>
      <c r="AY21" s="30">
        <f>ecu-((ecu-(-PM_Angle!$E$22))/($C21-$D21))*$C21</f>
      </c>
      <c r="AZ21" s="44">
        <f>((ecu-(-PM_Angle!$E$22))/($C21-$D21))*COS(RADIANS($B21))</f>
      </c>
      <c r="BA21" s="44">
        <f>((ecu-(-PM_Angle!$E$22))/($C21-$D21))*SIN(RADIANS($B21))</f>
      </c>
      <c r="BB21" s="30">
        <f>ecu-((ecu-(-PM_Angle!$E$23))/($C21-$D21))*$C21</f>
      </c>
      <c r="BC21" s="44">
        <f>((ecu-(-PM_Angle!$E$23))/($C21-$D21))*COS(RADIANS($B21))</f>
      </c>
      <c r="BD21" s="44">
        <f>((ecu-(-PM_Angle!$E$23))/($C21-$D21))*SIN(RADIANS($B21))</f>
      </c>
      <c r="BE21" s="30">
        <f>ecu-((ecu-(-PM_Angle!$E$24))/($C21-$D21))*$C21</f>
      </c>
      <c r="BF21" s="44">
        <f>((ecu-(-PM_Angle!$E$24))/($C21-$D21))*COS(RADIANS($B21))</f>
      </c>
      <c r="BG21" s="44">
        <f>((ecu-(-PM_Angle!$E$24))/($C21-$D21))*SIN(RADIANS($B21))</f>
      </c>
      <c r="BH21" s="30">
        <f>etu</f>
      </c>
      <c r="BI21" s="44">
        <f>0*COS(RADIANS($B21))</f>
      </c>
      <c r="BJ21" s="44">
        <f>0*SIN(RADIANS($B21))</f>
      </c>
      <c r="BK21" s="32">
        <f>(SUMPRODUCT(alpha*fck*(1-(1-((($F21+$G21*Mesh_Y+$H21*Mesh_X))*(($F21+$G21*Mesh_Y+$H21*Mesh_X)&gt;0)*(($F21+$G21*Mesh_Y+$H21*Mesh_X)&lt;eco)+eco*(($F21+$G21*Mesh_Y+$H21*Mesh_X)&gt;=eco))/eco)^n)*((($F21+$G21*Mesh_Y+$H21*Mesh_X))&gt;0),Mesh_A)+SUMPRODUCT((Es*(($F21+$G21*Geometry!$E$42:$E$59+$H21*Geometry!$D$42:$D$59))*(ABS(Es*(($F21+$G21*Geometry!$E$42:$E$59+$H21*Geometry!$D$42:$D$59)))&lt;=fy)+fy*(Es*(($F21+$G21*Geometry!$E$42:$E$59+$H21*Geometry!$D$42:$D$59))&gt;fy)-fy*(Es*(($F21+$G21*Geometry!$E$42:$E$59+$H21*Geometry!$D$42:$D$59))&lt;-fy)-(alpha*fck*(1-(1-((($F21+$G21*Geometry!$E$42:$E$59+$H21*Geometry!$D$42:$D$59))*(($F21+$G21*Geometry!$E$42:$E$59+$H21*Geometry!$D$42:$D$59)&gt;0)*(($F21+$G21*Geometry!$E$42:$E$59+$H21*Geometry!$D$42:$D$59)&lt;eco)+eco*(($F21+$G21*Geometry!$E$42:$E$59+$H21*Geometry!$D$42:$D$59)&gt;=eco))/eco)^n)*((($F21+$G21*Geometry!$E$42:$E$59+$H21*Geometry!$D$42:$D$59))&gt;0))),Geometry!$F$42:$F$59))/1000</f>
      </c>
      <c r="BL21" s="32">
        <f>(SUMPRODUCT(alpha*fck*(1-(1-((($I21+$J21*Mesh_Y+$K21*Mesh_X))*(($I21+$J21*Mesh_Y+$K21*Mesh_X)&gt;0)*(($I21+$J21*Mesh_Y+$K21*Mesh_X)&lt;eco)+eco*(($I21+$J21*Mesh_Y+$K21*Mesh_X)&gt;=eco))/eco)^n)*((($I21+$J21*Mesh_Y+$K21*Mesh_X))&gt;0),Mesh_A)+SUMPRODUCT((Es*(($I21+$J21*Geometry!$E$42:$E$59+$K21*Geometry!$D$42:$D$59))*(ABS(Es*(($I21+$J21*Geometry!$E$42:$E$59+$K21*Geometry!$D$42:$D$59)))&lt;=fy)+fy*(Es*(($I21+$J21*Geometry!$E$42:$E$59+$K21*Geometry!$D$42:$D$59))&gt;fy)-fy*(Es*(($I21+$J21*Geometry!$E$42:$E$59+$K21*Geometry!$D$42:$D$59))&lt;-fy)-(alpha*fck*(1-(1-((($I21+$J21*Geometry!$E$42:$E$59+$K21*Geometry!$D$42:$D$59))*(($I21+$J21*Geometry!$E$42:$E$59+$K21*Geometry!$D$42:$D$59)&gt;0)*(($I21+$J21*Geometry!$E$42:$E$59+$K21*Geometry!$D$42:$D$59)&lt;eco)+eco*(($I21+$J21*Geometry!$E$42:$E$59+$K21*Geometry!$D$42:$D$59)&gt;=eco))/eco)^n)*((($I21+$J21*Geometry!$E$42:$E$59+$K21*Geometry!$D$42:$D$59))&gt;0))),Geometry!$F$42:$F$59))/1000</f>
      </c>
      <c r="BM21" s="32">
        <f>(SUMPRODUCT(alpha*fck*(1-(1-((($L21+$M21*Mesh_Y+$N21*Mesh_X))*(($L21+$M21*Mesh_Y+$N21*Mesh_X)&gt;0)*(($L21+$M21*Mesh_Y+$N21*Mesh_X)&lt;eco)+eco*(($L21+$M21*Mesh_Y+$N21*Mesh_X)&gt;=eco))/eco)^n)*((($L21+$M21*Mesh_Y+$N21*Mesh_X))&gt;0),Mesh_A)+SUMPRODUCT((Es*(($L21+$M21*Geometry!$E$42:$E$59+$N21*Geometry!$D$42:$D$59))*(ABS(Es*(($L21+$M21*Geometry!$E$42:$E$59+$N21*Geometry!$D$42:$D$59)))&lt;=fy)+fy*(Es*(($L21+$M21*Geometry!$E$42:$E$59+$N21*Geometry!$D$42:$D$59))&gt;fy)-fy*(Es*(($L21+$M21*Geometry!$E$42:$E$59+$N21*Geometry!$D$42:$D$59))&lt;-fy)-(alpha*fck*(1-(1-((($L21+$M21*Geometry!$E$42:$E$59+$N21*Geometry!$D$42:$D$59))*(($L21+$M21*Geometry!$E$42:$E$59+$N21*Geometry!$D$42:$D$59)&gt;0)*(($L21+$M21*Geometry!$E$42:$E$59+$N21*Geometry!$D$42:$D$59)&lt;eco)+eco*(($L21+$M21*Geometry!$E$42:$E$59+$N21*Geometry!$D$42:$D$59)&gt;=eco))/eco)^n)*((($L21+$M21*Geometry!$E$42:$E$59+$N21*Geometry!$D$42:$D$59))&gt;0))),Geometry!$F$42:$F$59))/1000</f>
      </c>
      <c r="BN21" s="32">
        <f>(SUMPRODUCT(alpha*fck*(1-(1-((($O21+$P21*Mesh_Y+$Q21*Mesh_X))*(($O21+$P21*Mesh_Y+$Q21*Mesh_X)&gt;0)*(($O21+$P21*Mesh_Y+$Q21*Mesh_X)&lt;eco)+eco*(($O21+$P21*Mesh_Y+$Q21*Mesh_X)&gt;=eco))/eco)^n)*((($O21+$P21*Mesh_Y+$Q21*Mesh_X))&gt;0),Mesh_A)+SUMPRODUCT((Es*(($O21+$P21*Geometry!$E$42:$E$59+$Q21*Geometry!$D$42:$D$59))*(ABS(Es*(($O21+$P21*Geometry!$E$42:$E$59+$Q21*Geometry!$D$42:$D$59)))&lt;=fy)+fy*(Es*(($O21+$P21*Geometry!$E$42:$E$59+$Q21*Geometry!$D$42:$D$59))&gt;fy)-fy*(Es*(($O21+$P21*Geometry!$E$42:$E$59+$Q21*Geometry!$D$42:$D$59))&lt;-fy)-(alpha*fck*(1-(1-((($O21+$P21*Geometry!$E$42:$E$59+$Q21*Geometry!$D$42:$D$59))*(($O21+$P21*Geometry!$E$42:$E$59+$Q21*Geometry!$D$42:$D$59)&gt;0)*(($O21+$P21*Geometry!$E$42:$E$59+$Q21*Geometry!$D$42:$D$59)&lt;eco)+eco*(($O21+$P21*Geometry!$E$42:$E$59+$Q21*Geometry!$D$42:$D$59)&gt;=eco))/eco)^n)*((($O21+$P21*Geometry!$E$42:$E$59+$Q21*Geometry!$D$42:$D$59))&gt;0))),Geometry!$F$42:$F$59))/1000</f>
      </c>
      <c r="BO21" s="32">
        <f>(SUMPRODUCT(alpha*fck*(1-(1-((($R21+$S21*Mesh_Y+$T21*Mesh_X))*(($R21+$S21*Mesh_Y+$T21*Mesh_X)&gt;0)*(($R21+$S21*Mesh_Y+$T21*Mesh_X)&lt;eco)+eco*(($R21+$S21*Mesh_Y+$T21*Mesh_X)&gt;=eco))/eco)^n)*((($R21+$S21*Mesh_Y+$T21*Mesh_X))&gt;0),Mesh_A)+SUMPRODUCT((Es*(($R21+$S21*Geometry!$E$42:$E$59+$T21*Geometry!$D$42:$D$59))*(ABS(Es*(($R21+$S21*Geometry!$E$42:$E$59+$T21*Geometry!$D$42:$D$59)))&lt;=fy)+fy*(Es*(($R21+$S21*Geometry!$E$42:$E$59+$T21*Geometry!$D$42:$D$59))&gt;fy)-fy*(Es*(($R21+$S21*Geometry!$E$42:$E$59+$T21*Geometry!$D$42:$D$59))&lt;-fy)-(alpha*fck*(1-(1-((($R21+$S21*Geometry!$E$42:$E$59+$T21*Geometry!$D$42:$D$59))*(($R21+$S21*Geometry!$E$42:$E$59+$T21*Geometry!$D$42:$D$59)&gt;0)*(($R21+$S21*Geometry!$E$42:$E$59+$T21*Geometry!$D$42:$D$59)&lt;eco)+eco*(($R21+$S21*Geometry!$E$42:$E$59+$T21*Geometry!$D$42:$D$59)&gt;=eco))/eco)^n)*((($R21+$S21*Geometry!$E$42:$E$59+$T21*Geometry!$D$42:$D$59))&gt;0))),Geometry!$F$42:$F$59))/1000</f>
      </c>
      <c r="BP21" s="32">
        <f>(SUMPRODUCT(alpha*fck*(1-(1-((($U21+$V21*Mesh_Y+$W21*Mesh_X))*(($U21+$V21*Mesh_Y+$W21*Mesh_X)&gt;0)*(($U21+$V21*Mesh_Y+$W21*Mesh_X)&lt;eco)+eco*(($U21+$V21*Mesh_Y+$W21*Mesh_X)&gt;=eco))/eco)^n)*((($U21+$V21*Mesh_Y+$W21*Mesh_X))&gt;0),Mesh_A)+SUMPRODUCT((Es*(($U21+$V21*Geometry!$E$42:$E$59+$W21*Geometry!$D$42:$D$59))*(ABS(Es*(($U21+$V21*Geometry!$E$42:$E$59+$W21*Geometry!$D$42:$D$59)))&lt;=fy)+fy*(Es*(($U21+$V21*Geometry!$E$42:$E$59+$W21*Geometry!$D$42:$D$59))&gt;fy)-fy*(Es*(($U21+$V21*Geometry!$E$42:$E$59+$W21*Geometry!$D$42:$D$59))&lt;-fy)-(alpha*fck*(1-(1-((($U21+$V21*Geometry!$E$42:$E$59+$W21*Geometry!$D$42:$D$59))*(($U21+$V21*Geometry!$E$42:$E$59+$W21*Geometry!$D$42:$D$59)&gt;0)*(($U21+$V21*Geometry!$E$42:$E$59+$W21*Geometry!$D$42:$D$59)&lt;eco)+eco*(($U21+$V21*Geometry!$E$42:$E$59+$W21*Geometry!$D$42:$D$59)&gt;=eco))/eco)^n)*((($U21+$V21*Geometry!$E$42:$E$59+$W21*Geometry!$D$42:$D$59))&gt;0))),Geometry!$F$42:$F$59))/1000</f>
      </c>
      <c r="BQ21" s="32">
        <f>(SUMPRODUCT(alpha*fck*(1-(1-((($X21+$Y21*Mesh_Y+$Z21*Mesh_X))*(($X21+$Y21*Mesh_Y+$Z21*Mesh_X)&gt;0)*(($X21+$Y21*Mesh_Y+$Z21*Mesh_X)&lt;eco)+eco*(($X21+$Y21*Mesh_Y+$Z21*Mesh_X)&gt;=eco))/eco)^n)*((($X21+$Y21*Mesh_Y+$Z21*Mesh_X))&gt;0),Mesh_A)+SUMPRODUCT((Es*(($X21+$Y21*Geometry!$E$42:$E$59+$Z21*Geometry!$D$42:$D$59))*(ABS(Es*(($X21+$Y21*Geometry!$E$42:$E$59+$Z21*Geometry!$D$42:$D$59)))&lt;=fy)+fy*(Es*(($X21+$Y21*Geometry!$E$42:$E$59+$Z21*Geometry!$D$42:$D$59))&gt;fy)-fy*(Es*(($X21+$Y21*Geometry!$E$42:$E$59+$Z21*Geometry!$D$42:$D$59))&lt;-fy)-(alpha*fck*(1-(1-((($X21+$Y21*Geometry!$E$42:$E$59+$Z21*Geometry!$D$42:$D$59))*(($X21+$Y21*Geometry!$E$42:$E$59+$Z21*Geometry!$D$42:$D$59)&gt;0)*(($X21+$Y21*Geometry!$E$42:$E$59+$Z21*Geometry!$D$42:$D$59)&lt;eco)+eco*(($X21+$Y21*Geometry!$E$42:$E$59+$Z21*Geometry!$D$42:$D$59)&gt;=eco))/eco)^n)*((($X21+$Y21*Geometry!$E$42:$E$59+$Z21*Geometry!$D$42:$D$59))&gt;0))),Geometry!$F$42:$F$59))/1000</f>
      </c>
      <c r="BR21" s="32">
        <f>(SUMPRODUCT(alpha*fck*(1-(1-((($AA21+$AB21*Mesh_Y+$AC21*Mesh_X))*(($AA21+$AB21*Mesh_Y+$AC21*Mesh_X)&gt;0)*(($AA21+$AB21*Mesh_Y+$AC21*Mesh_X)&lt;eco)+eco*(($AA21+$AB21*Mesh_Y+$AC21*Mesh_X)&gt;=eco))/eco)^n)*((($AA21+$AB21*Mesh_Y+$AC21*Mesh_X))&gt;0),Mesh_A)+SUMPRODUCT((Es*(($AA21+$AB21*Geometry!$E$42:$E$59+$AC21*Geometry!$D$42:$D$59))*(ABS(Es*(($AA21+$AB21*Geometry!$E$42:$E$59+$AC21*Geometry!$D$42:$D$59)))&lt;=fy)+fy*(Es*(($AA21+$AB21*Geometry!$E$42:$E$59+$AC21*Geometry!$D$42:$D$59))&gt;fy)-fy*(Es*(($AA21+$AB21*Geometry!$E$42:$E$59+$AC21*Geometry!$D$42:$D$59))&lt;-fy)-(alpha*fck*(1-(1-((($AA21+$AB21*Geometry!$E$42:$E$59+$AC21*Geometry!$D$42:$D$59))*(($AA21+$AB21*Geometry!$E$42:$E$59+$AC21*Geometry!$D$42:$D$59)&gt;0)*(($AA21+$AB21*Geometry!$E$42:$E$59+$AC21*Geometry!$D$42:$D$59)&lt;eco)+eco*(($AA21+$AB21*Geometry!$E$42:$E$59+$AC21*Geometry!$D$42:$D$59)&gt;=eco))/eco)^n)*((($AA21+$AB21*Geometry!$E$42:$E$59+$AC21*Geometry!$D$42:$D$59))&gt;0))),Geometry!$F$42:$F$59))/1000</f>
      </c>
      <c r="BS21" s="32">
        <f>(SUMPRODUCT(alpha*fck*(1-(1-((($AD21+$AE21*Mesh_Y+$AF21*Mesh_X))*(($AD21+$AE21*Mesh_Y+$AF21*Mesh_X)&gt;0)*(($AD21+$AE21*Mesh_Y+$AF21*Mesh_X)&lt;eco)+eco*(($AD21+$AE21*Mesh_Y+$AF21*Mesh_X)&gt;=eco))/eco)^n)*((($AD21+$AE21*Mesh_Y+$AF21*Mesh_X))&gt;0),Mesh_A)+SUMPRODUCT((Es*(($AD21+$AE21*Geometry!$E$42:$E$59+$AF21*Geometry!$D$42:$D$59))*(ABS(Es*(($AD21+$AE21*Geometry!$E$42:$E$59+$AF21*Geometry!$D$42:$D$59)))&lt;=fy)+fy*(Es*(($AD21+$AE21*Geometry!$E$42:$E$59+$AF21*Geometry!$D$42:$D$59))&gt;fy)-fy*(Es*(($AD21+$AE21*Geometry!$E$42:$E$59+$AF21*Geometry!$D$42:$D$59))&lt;-fy)-(alpha*fck*(1-(1-((($AD21+$AE21*Geometry!$E$42:$E$59+$AF21*Geometry!$D$42:$D$59))*(($AD21+$AE21*Geometry!$E$42:$E$59+$AF21*Geometry!$D$42:$D$59)&gt;0)*(($AD21+$AE21*Geometry!$E$42:$E$59+$AF21*Geometry!$D$42:$D$59)&lt;eco)+eco*(($AD21+$AE21*Geometry!$E$42:$E$59+$AF21*Geometry!$D$42:$D$59)&gt;=eco))/eco)^n)*((($AD21+$AE21*Geometry!$E$42:$E$59+$AF21*Geometry!$D$42:$D$59))&gt;0))),Geometry!$F$42:$F$59))/1000</f>
      </c>
      <c r="BT21" s="32">
        <f>(SUMPRODUCT(alpha*fck*(1-(1-((($AG21+$AH21*Mesh_Y+$AI21*Mesh_X))*(($AG21+$AH21*Mesh_Y+$AI21*Mesh_X)&gt;0)*(($AG21+$AH21*Mesh_Y+$AI21*Mesh_X)&lt;eco)+eco*(($AG21+$AH21*Mesh_Y+$AI21*Mesh_X)&gt;=eco))/eco)^n)*((($AG21+$AH21*Mesh_Y+$AI21*Mesh_X))&gt;0),Mesh_A)+SUMPRODUCT((Es*(($AG21+$AH21*Geometry!$E$42:$E$59+$AI21*Geometry!$D$42:$D$59))*(ABS(Es*(($AG21+$AH21*Geometry!$E$42:$E$59+$AI21*Geometry!$D$42:$D$59)))&lt;=fy)+fy*(Es*(($AG21+$AH21*Geometry!$E$42:$E$59+$AI21*Geometry!$D$42:$D$59))&gt;fy)-fy*(Es*(($AG21+$AH21*Geometry!$E$42:$E$59+$AI21*Geometry!$D$42:$D$59))&lt;-fy)-(alpha*fck*(1-(1-((($AG21+$AH21*Geometry!$E$42:$E$59+$AI21*Geometry!$D$42:$D$59))*(($AG21+$AH21*Geometry!$E$42:$E$59+$AI21*Geometry!$D$42:$D$59)&gt;0)*(($AG21+$AH21*Geometry!$E$42:$E$59+$AI21*Geometry!$D$42:$D$59)&lt;eco)+eco*(($AG21+$AH21*Geometry!$E$42:$E$59+$AI21*Geometry!$D$42:$D$59)&gt;=eco))/eco)^n)*((($AG21+$AH21*Geometry!$E$42:$E$59+$AI21*Geometry!$D$42:$D$59))&gt;0))),Geometry!$F$42:$F$59))/1000</f>
      </c>
      <c r="BU21" s="32">
        <f>(SUMPRODUCT(alpha*fck*(1-(1-((($AJ21+$AK21*Mesh_Y+$AL21*Mesh_X))*(($AJ21+$AK21*Mesh_Y+$AL21*Mesh_X)&gt;0)*(($AJ21+$AK21*Mesh_Y+$AL21*Mesh_X)&lt;eco)+eco*(($AJ21+$AK21*Mesh_Y+$AL21*Mesh_X)&gt;=eco))/eco)^n)*((($AJ21+$AK21*Mesh_Y+$AL21*Mesh_X))&gt;0),Mesh_A)+SUMPRODUCT((Es*(($AJ21+$AK21*Geometry!$E$42:$E$59+$AL21*Geometry!$D$42:$D$59))*(ABS(Es*(($AJ21+$AK21*Geometry!$E$42:$E$59+$AL21*Geometry!$D$42:$D$59)))&lt;=fy)+fy*(Es*(($AJ21+$AK21*Geometry!$E$42:$E$59+$AL21*Geometry!$D$42:$D$59))&gt;fy)-fy*(Es*(($AJ21+$AK21*Geometry!$E$42:$E$59+$AL21*Geometry!$D$42:$D$59))&lt;-fy)-(alpha*fck*(1-(1-((($AJ21+$AK21*Geometry!$E$42:$E$59+$AL21*Geometry!$D$42:$D$59))*(($AJ21+$AK21*Geometry!$E$42:$E$59+$AL21*Geometry!$D$42:$D$59)&gt;0)*(($AJ21+$AK21*Geometry!$E$42:$E$59+$AL21*Geometry!$D$42:$D$59)&lt;eco)+eco*(($AJ21+$AK21*Geometry!$E$42:$E$59+$AL21*Geometry!$D$42:$D$59)&gt;=eco))/eco)^n)*((($AJ21+$AK21*Geometry!$E$42:$E$59+$AL21*Geometry!$D$42:$D$59))&gt;0))),Geometry!$F$42:$F$59))/1000</f>
      </c>
      <c r="BV21" s="32">
        <f>(SUMPRODUCT(alpha*fck*(1-(1-((($AM21+$AN21*Mesh_Y+$AO21*Mesh_X))*(($AM21+$AN21*Mesh_Y+$AO21*Mesh_X)&gt;0)*(($AM21+$AN21*Mesh_Y+$AO21*Mesh_X)&lt;eco)+eco*(($AM21+$AN21*Mesh_Y+$AO21*Mesh_X)&gt;=eco))/eco)^n)*((($AM21+$AN21*Mesh_Y+$AO21*Mesh_X))&gt;0),Mesh_A)+SUMPRODUCT((Es*(($AM21+$AN21*Geometry!$E$42:$E$59+$AO21*Geometry!$D$42:$D$59))*(ABS(Es*(($AM21+$AN21*Geometry!$E$42:$E$59+$AO21*Geometry!$D$42:$D$59)))&lt;=fy)+fy*(Es*(($AM21+$AN21*Geometry!$E$42:$E$59+$AO21*Geometry!$D$42:$D$59))&gt;fy)-fy*(Es*(($AM21+$AN21*Geometry!$E$42:$E$59+$AO21*Geometry!$D$42:$D$59))&lt;-fy)-(alpha*fck*(1-(1-((($AM21+$AN21*Geometry!$E$42:$E$59+$AO21*Geometry!$D$42:$D$59))*(($AM21+$AN21*Geometry!$E$42:$E$59+$AO21*Geometry!$D$42:$D$59)&gt;0)*(($AM21+$AN21*Geometry!$E$42:$E$59+$AO21*Geometry!$D$42:$D$59)&lt;eco)+eco*(($AM21+$AN21*Geometry!$E$42:$E$59+$AO21*Geometry!$D$42:$D$59)&gt;=eco))/eco)^n)*((($AM21+$AN21*Geometry!$E$42:$E$59+$AO21*Geometry!$D$42:$D$59))&gt;0))),Geometry!$F$42:$F$59))/1000</f>
      </c>
      <c r="BW21" s="32">
        <f>(SUMPRODUCT(alpha*fck*(1-(1-((($AP21+$AQ21*Mesh_Y+$AR21*Mesh_X))*(($AP21+$AQ21*Mesh_Y+$AR21*Mesh_X)&gt;0)*(($AP21+$AQ21*Mesh_Y+$AR21*Mesh_X)&lt;eco)+eco*(($AP21+$AQ21*Mesh_Y+$AR21*Mesh_X)&gt;=eco))/eco)^n)*((($AP21+$AQ21*Mesh_Y+$AR21*Mesh_X))&gt;0),Mesh_A)+SUMPRODUCT((Es*(($AP21+$AQ21*Geometry!$E$42:$E$59+$AR21*Geometry!$D$42:$D$59))*(ABS(Es*(($AP21+$AQ21*Geometry!$E$42:$E$59+$AR21*Geometry!$D$42:$D$59)))&lt;=fy)+fy*(Es*(($AP21+$AQ21*Geometry!$E$42:$E$59+$AR21*Geometry!$D$42:$D$59))&gt;fy)-fy*(Es*(($AP21+$AQ21*Geometry!$E$42:$E$59+$AR21*Geometry!$D$42:$D$59))&lt;-fy)-(alpha*fck*(1-(1-((($AP21+$AQ21*Geometry!$E$42:$E$59+$AR21*Geometry!$D$42:$D$59))*(($AP21+$AQ21*Geometry!$E$42:$E$59+$AR21*Geometry!$D$42:$D$59)&gt;0)*(($AP21+$AQ21*Geometry!$E$42:$E$59+$AR21*Geometry!$D$42:$D$59)&lt;eco)+eco*(($AP21+$AQ21*Geometry!$E$42:$E$59+$AR21*Geometry!$D$42:$D$59)&gt;=eco))/eco)^n)*((($AP21+$AQ21*Geometry!$E$42:$E$59+$AR21*Geometry!$D$42:$D$59))&gt;0))),Geometry!$F$42:$F$59))/1000</f>
      </c>
      <c r="BX21" s="32">
        <f>(SUMPRODUCT(alpha*fck*(1-(1-((($AS21+$AT21*Mesh_Y+$AU21*Mesh_X))*(($AS21+$AT21*Mesh_Y+$AU21*Mesh_X)&gt;0)*(($AS21+$AT21*Mesh_Y+$AU21*Mesh_X)&lt;eco)+eco*(($AS21+$AT21*Mesh_Y+$AU21*Mesh_X)&gt;=eco))/eco)^n)*((($AS21+$AT21*Mesh_Y+$AU21*Mesh_X))&gt;0),Mesh_A)+SUMPRODUCT((Es*(($AS21+$AT21*Geometry!$E$42:$E$59+$AU21*Geometry!$D$42:$D$59))*(ABS(Es*(($AS21+$AT21*Geometry!$E$42:$E$59+$AU21*Geometry!$D$42:$D$59)))&lt;=fy)+fy*(Es*(($AS21+$AT21*Geometry!$E$42:$E$59+$AU21*Geometry!$D$42:$D$59))&gt;fy)-fy*(Es*(($AS21+$AT21*Geometry!$E$42:$E$59+$AU21*Geometry!$D$42:$D$59))&lt;-fy)-(alpha*fck*(1-(1-((($AS21+$AT21*Geometry!$E$42:$E$59+$AU21*Geometry!$D$42:$D$59))*(($AS21+$AT21*Geometry!$E$42:$E$59+$AU21*Geometry!$D$42:$D$59)&gt;0)*(($AS21+$AT21*Geometry!$E$42:$E$59+$AU21*Geometry!$D$42:$D$59)&lt;eco)+eco*(($AS21+$AT21*Geometry!$E$42:$E$59+$AU21*Geometry!$D$42:$D$59)&gt;=eco))/eco)^n)*((($AS21+$AT21*Geometry!$E$42:$E$59+$AU21*Geometry!$D$42:$D$59))&gt;0))),Geometry!$F$42:$F$59))/1000</f>
      </c>
      <c r="BY21" s="32">
        <f>(SUMPRODUCT(alpha*fck*(1-(1-((($AV21+$AW21*Mesh_Y+$AX21*Mesh_X))*(($AV21+$AW21*Mesh_Y+$AX21*Mesh_X)&gt;0)*(($AV21+$AW21*Mesh_Y+$AX21*Mesh_X)&lt;eco)+eco*(($AV21+$AW21*Mesh_Y+$AX21*Mesh_X)&gt;=eco))/eco)^n)*((($AV21+$AW21*Mesh_Y+$AX21*Mesh_X))&gt;0),Mesh_A)+SUMPRODUCT((Es*(($AV21+$AW21*Geometry!$E$42:$E$59+$AX21*Geometry!$D$42:$D$59))*(ABS(Es*(($AV21+$AW21*Geometry!$E$42:$E$59+$AX21*Geometry!$D$42:$D$59)))&lt;=fy)+fy*(Es*(($AV21+$AW21*Geometry!$E$42:$E$59+$AX21*Geometry!$D$42:$D$59))&gt;fy)-fy*(Es*(($AV21+$AW21*Geometry!$E$42:$E$59+$AX21*Geometry!$D$42:$D$59))&lt;-fy)-(alpha*fck*(1-(1-((($AV21+$AW21*Geometry!$E$42:$E$59+$AX21*Geometry!$D$42:$D$59))*(($AV21+$AW21*Geometry!$E$42:$E$59+$AX21*Geometry!$D$42:$D$59)&gt;0)*(($AV21+$AW21*Geometry!$E$42:$E$59+$AX21*Geometry!$D$42:$D$59)&lt;eco)+eco*(($AV21+$AW21*Geometry!$E$42:$E$59+$AX21*Geometry!$D$42:$D$59)&gt;=eco))/eco)^n)*((($AV21+$AW21*Geometry!$E$42:$E$59+$AX21*Geometry!$D$42:$D$59))&gt;0))),Geometry!$F$42:$F$59))/1000</f>
      </c>
      <c r="BZ21" s="32">
        <f>(SUMPRODUCT(alpha*fck*(1-(1-((($AY21+$AZ21*Mesh_Y+$BA21*Mesh_X))*(($AY21+$AZ21*Mesh_Y+$BA21*Mesh_X)&gt;0)*(($AY21+$AZ21*Mesh_Y+$BA21*Mesh_X)&lt;eco)+eco*(($AY21+$AZ21*Mesh_Y+$BA21*Mesh_X)&gt;=eco))/eco)^n)*((($AY21+$AZ21*Mesh_Y+$BA21*Mesh_X))&gt;0),Mesh_A)+SUMPRODUCT((Es*(($AY21+$AZ21*Geometry!$E$42:$E$59+$BA21*Geometry!$D$42:$D$59))*(ABS(Es*(($AY21+$AZ21*Geometry!$E$42:$E$59+$BA21*Geometry!$D$42:$D$59)))&lt;=fy)+fy*(Es*(($AY21+$AZ21*Geometry!$E$42:$E$59+$BA21*Geometry!$D$42:$D$59))&gt;fy)-fy*(Es*(($AY21+$AZ21*Geometry!$E$42:$E$59+$BA21*Geometry!$D$42:$D$59))&lt;-fy)-(alpha*fck*(1-(1-((($AY21+$AZ21*Geometry!$E$42:$E$59+$BA21*Geometry!$D$42:$D$59))*(($AY21+$AZ21*Geometry!$E$42:$E$59+$BA21*Geometry!$D$42:$D$59)&gt;0)*(($AY21+$AZ21*Geometry!$E$42:$E$59+$BA21*Geometry!$D$42:$D$59)&lt;eco)+eco*(($AY21+$AZ21*Geometry!$E$42:$E$59+$BA21*Geometry!$D$42:$D$59)&gt;=eco))/eco)^n)*((($AY21+$AZ21*Geometry!$E$42:$E$59+$BA21*Geometry!$D$42:$D$59))&gt;0))),Geometry!$F$42:$F$59))/1000</f>
      </c>
      <c r="CA21" s="32">
        <f>(SUMPRODUCT(alpha*fck*(1-(1-((($BB21+$BC21*Mesh_Y+$BD21*Mesh_X))*(($BB21+$BC21*Mesh_Y+$BD21*Mesh_X)&gt;0)*(($BB21+$BC21*Mesh_Y+$BD21*Mesh_X)&lt;eco)+eco*(($BB21+$BC21*Mesh_Y+$BD21*Mesh_X)&gt;=eco))/eco)^n)*((($BB21+$BC21*Mesh_Y+$BD21*Mesh_X))&gt;0),Mesh_A)+SUMPRODUCT((Es*(($BB21+$BC21*Geometry!$E$42:$E$59+$BD21*Geometry!$D$42:$D$59))*(ABS(Es*(($BB21+$BC21*Geometry!$E$42:$E$59+$BD21*Geometry!$D$42:$D$59)))&lt;=fy)+fy*(Es*(($BB21+$BC21*Geometry!$E$42:$E$59+$BD21*Geometry!$D$42:$D$59))&gt;fy)-fy*(Es*(($BB21+$BC21*Geometry!$E$42:$E$59+$BD21*Geometry!$D$42:$D$59))&lt;-fy)-(alpha*fck*(1-(1-((($BB21+$BC21*Geometry!$E$42:$E$59+$BD21*Geometry!$D$42:$D$59))*(($BB21+$BC21*Geometry!$E$42:$E$59+$BD21*Geometry!$D$42:$D$59)&gt;0)*(($BB21+$BC21*Geometry!$E$42:$E$59+$BD21*Geometry!$D$42:$D$59)&lt;eco)+eco*(($BB21+$BC21*Geometry!$E$42:$E$59+$BD21*Geometry!$D$42:$D$59)&gt;=eco))/eco)^n)*((($BB21+$BC21*Geometry!$E$42:$E$59+$BD21*Geometry!$D$42:$D$59))&gt;0))),Geometry!$F$42:$F$59))/1000</f>
      </c>
      <c r="CB21" s="32">
        <f>(SUMPRODUCT(alpha*fck*(1-(1-((($BE21+$BF21*Mesh_Y+$BG21*Mesh_X))*(($BE21+$BF21*Mesh_Y+$BG21*Mesh_X)&gt;0)*(($BE21+$BF21*Mesh_Y+$BG21*Mesh_X)&lt;eco)+eco*(($BE21+$BF21*Mesh_Y+$BG21*Mesh_X)&gt;=eco))/eco)^n)*((($BE21+$BF21*Mesh_Y+$BG21*Mesh_X))&gt;0),Mesh_A)+SUMPRODUCT((Es*(($BE21+$BF21*Geometry!$E$42:$E$59+$BG21*Geometry!$D$42:$D$59))*(ABS(Es*(($BE21+$BF21*Geometry!$E$42:$E$59+$BG21*Geometry!$D$42:$D$59)))&lt;=fy)+fy*(Es*(($BE21+$BF21*Geometry!$E$42:$E$59+$BG21*Geometry!$D$42:$D$59))&gt;fy)-fy*(Es*(($BE21+$BF21*Geometry!$E$42:$E$59+$BG21*Geometry!$D$42:$D$59))&lt;-fy)-(alpha*fck*(1-(1-((($BE21+$BF21*Geometry!$E$42:$E$59+$BG21*Geometry!$D$42:$D$59))*(($BE21+$BF21*Geometry!$E$42:$E$59+$BG21*Geometry!$D$42:$D$59)&gt;0)*(($BE21+$BF21*Geometry!$E$42:$E$59+$BG21*Geometry!$D$42:$D$59)&lt;eco)+eco*(($BE21+$BF21*Geometry!$E$42:$E$59+$BG21*Geometry!$D$42:$D$59)&gt;=eco))/eco)^n)*((($BE21+$BF21*Geometry!$E$42:$E$59+$BG21*Geometry!$D$42:$D$59))&gt;0))),Geometry!$F$42:$F$59))/1000</f>
      </c>
      <c r="CC21" s="32">
        <f>(SUMPRODUCT(alpha*fck*(1-(1-((($BH21+$BI21*Mesh_Y+$BJ21*Mesh_X))*(($BH21+$BI21*Mesh_Y+$BJ21*Mesh_X)&gt;0)*(($BH21+$BI21*Mesh_Y+$BJ21*Mesh_X)&lt;eco)+eco*(($BH21+$BI21*Mesh_Y+$BJ21*Mesh_X)&gt;=eco))/eco)^n)*((($BH21+$BI21*Mesh_Y+$BJ21*Mesh_X))&gt;0),Mesh_A)+SUMPRODUCT((Es*(($BH21+$BI21*Geometry!$E$42:$E$59+$BJ21*Geometry!$D$42:$D$59))*(ABS(Es*(($BH21+$BI21*Geometry!$E$42:$E$59+$BJ21*Geometry!$D$42:$D$59)))&lt;=fy)+fy*(Es*(($BH21+$BI21*Geometry!$E$42:$E$59+$BJ21*Geometry!$D$42:$D$59))&gt;fy)-fy*(Es*(($BH21+$BI21*Geometry!$E$42:$E$59+$BJ21*Geometry!$D$42:$D$59))&lt;-fy)-(alpha*fck*(1-(1-((($BH21+$BI21*Geometry!$E$42:$E$59+$BJ21*Geometry!$D$42:$D$59))*(($BH21+$BI21*Geometry!$E$42:$E$59+$BJ21*Geometry!$D$42:$D$59)&gt;0)*(($BH21+$BI21*Geometry!$E$42:$E$59+$BJ21*Geometry!$D$42:$D$59)&lt;eco)+eco*(($BH21+$BI21*Geometry!$E$42:$E$59+$BJ21*Geometry!$D$42:$D$59)&gt;=eco))/eco)^n)*((($BH21+$BI21*Geometry!$E$42:$E$59+$BJ21*Geometry!$D$42:$D$59))&gt;0))),Geometry!$F$42:$F$59))/1000</f>
      </c>
      <c r="CD21" s="32">
        <f>(SUMPRODUCT(alpha*fck*(1-(1-((($F21+$G21*Mesh_Y+$H21*Mesh_X))*(($F21+$G21*Mesh_Y+$H21*Mesh_X)&gt;0)*(($F21+$G21*Mesh_Y+$H21*Mesh_X)&lt;eco)+eco*(($F21+$G21*Mesh_Y+$H21*Mesh_X)&gt;=eco))/eco)^n)*((($F21+$G21*Mesh_Y+$H21*Mesh_X))&gt;0),Mesh_A,Mesh_Y)+SUMPRODUCT((Es*(($F21+$G21*Geometry!$E$42:$E$59+$H21*Geometry!$D$42:$D$59))*(ABS(Es*(($F21+$G21*Geometry!$E$42:$E$59+$H21*Geometry!$D$42:$D$59)))&lt;=fy)+fy*(Es*(($F21+$G21*Geometry!$E$42:$E$59+$H21*Geometry!$D$42:$D$59))&gt;fy)-fy*(Es*(($F21+$G21*Geometry!$E$42:$E$59+$H21*Geometry!$D$42:$D$59))&lt;-fy)-(alpha*fck*(1-(1-((($F21+$G21*Geometry!$E$42:$E$59+$H21*Geometry!$D$42:$D$59))*(($F21+$G21*Geometry!$E$42:$E$59+$H21*Geometry!$D$42:$D$59)&gt;0)*(($F21+$G21*Geometry!$E$42:$E$59+$H21*Geometry!$D$42:$D$59)&lt;eco)+eco*(($F21+$G21*Geometry!$E$42:$E$59+$H21*Geometry!$D$42:$D$59)&gt;=eco))/eco)^n)*((($F21+$G21*Geometry!$E$42:$E$59+$H21*Geometry!$D$42:$D$59))&gt;0))),Geometry!$F$42:$F$59,Geometry!$E$42:$E$59))/1000000</f>
      </c>
      <c r="CE21" s="32">
        <f>(SUMPRODUCT(alpha*fck*(1-(1-((($I21+$J21*Mesh_Y+$K21*Mesh_X))*(($I21+$J21*Mesh_Y+$K21*Mesh_X)&gt;0)*(($I21+$J21*Mesh_Y+$K21*Mesh_X)&lt;eco)+eco*(($I21+$J21*Mesh_Y+$K21*Mesh_X)&gt;=eco))/eco)^n)*((($I21+$J21*Mesh_Y+$K21*Mesh_X))&gt;0),Mesh_A,Mesh_Y)+SUMPRODUCT((Es*(($I21+$J21*Geometry!$E$42:$E$59+$K21*Geometry!$D$42:$D$59))*(ABS(Es*(($I21+$J21*Geometry!$E$42:$E$59+$K21*Geometry!$D$42:$D$59)))&lt;=fy)+fy*(Es*(($I21+$J21*Geometry!$E$42:$E$59+$K21*Geometry!$D$42:$D$59))&gt;fy)-fy*(Es*(($I21+$J21*Geometry!$E$42:$E$59+$K21*Geometry!$D$42:$D$59))&lt;-fy)-(alpha*fck*(1-(1-((($I21+$J21*Geometry!$E$42:$E$59+$K21*Geometry!$D$42:$D$59))*(($I21+$J21*Geometry!$E$42:$E$59+$K21*Geometry!$D$42:$D$59)&gt;0)*(($I21+$J21*Geometry!$E$42:$E$59+$K21*Geometry!$D$42:$D$59)&lt;eco)+eco*(($I21+$J21*Geometry!$E$42:$E$59+$K21*Geometry!$D$42:$D$59)&gt;=eco))/eco)^n)*((($I21+$J21*Geometry!$E$42:$E$59+$K21*Geometry!$D$42:$D$59))&gt;0))),Geometry!$F$42:$F$59,Geometry!$E$42:$E$59))/1000000</f>
      </c>
      <c r="CF21" s="32">
        <f>(SUMPRODUCT(alpha*fck*(1-(1-((($L21+$M21*Mesh_Y+$N21*Mesh_X))*(($L21+$M21*Mesh_Y+$N21*Mesh_X)&gt;0)*(($L21+$M21*Mesh_Y+$N21*Mesh_X)&lt;eco)+eco*(($L21+$M21*Mesh_Y+$N21*Mesh_X)&gt;=eco))/eco)^n)*((($L21+$M21*Mesh_Y+$N21*Mesh_X))&gt;0),Mesh_A,Mesh_Y)+SUMPRODUCT((Es*(($L21+$M21*Geometry!$E$42:$E$59+$N21*Geometry!$D$42:$D$59))*(ABS(Es*(($L21+$M21*Geometry!$E$42:$E$59+$N21*Geometry!$D$42:$D$59)))&lt;=fy)+fy*(Es*(($L21+$M21*Geometry!$E$42:$E$59+$N21*Geometry!$D$42:$D$59))&gt;fy)-fy*(Es*(($L21+$M21*Geometry!$E$42:$E$59+$N21*Geometry!$D$42:$D$59))&lt;-fy)-(alpha*fck*(1-(1-((($L21+$M21*Geometry!$E$42:$E$59+$N21*Geometry!$D$42:$D$59))*(($L21+$M21*Geometry!$E$42:$E$59+$N21*Geometry!$D$42:$D$59)&gt;0)*(($L21+$M21*Geometry!$E$42:$E$59+$N21*Geometry!$D$42:$D$59)&lt;eco)+eco*(($L21+$M21*Geometry!$E$42:$E$59+$N21*Geometry!$D$42:$D$59)&gt;=eco))/eco)^n)*((($L21+$M21*Geometry!$E$42:$E$59+$N21*Geometry!$D$42:$D$59))&gt;0))),Geometry!$F$42:$F$59,Geometry!$E$42:$E$59))/1000000</f>
      </c>
      <c r="CG21" s="32">
        <f>(SUMPRODUCT(alpha*fck*(1-(1-((($O21+$P21*Mesh_Y+$Q21*Mesh_X))*(($O21+$P21*Mesh_Y+$Q21*Mesh_X)&gt;0)*(($O21+$P21*Mesh_Y+$Q21*Mesh_X)&lt;eco)+eco*(($O21+$P21*Mesh_Y+$Q21*Mesh_X)&gt;=eco))/eco)^n)*((($O21+$P21*Mesh_Y+$Q21*Mesh_X))&gt;0),Mesh_A,Mesh_Y)+SUMPRODUCT((Es*(($O21+$P21*Geometry!$E$42:$E$59+$Q21*Geometry!$D$42:$D$59))*(ABS(Es*(($O21+$P21*Geometry!$E$42:$E$59+$Q21*Geometry!$D$42:$D$59)))&lt;=fy)+fy*(Es*(($O21+$P21*Geometry!$E$42:$E$59+$Q21*Geometry!$D$42:$D$59))&gt;fy)-fy*(Es*(($O21+$P21*Geometry!$E$42:$E$59+$Q21*Geometry!$D$42:$D$59))&lt;-fy)-(alpha*fck*(1-(1-((($O21+$P21*Geometry!$E$42:$E$59+$Q21*Geometry!$D$42:$D$59))*(($O21+$P21*Geometry!$E$42:$E$59+$Q21*Geometry!$D$42:$D$59)&gt;0)*(($O21+$P21*Geometry!$E$42:$E$59+$Q21*Geometry!$D$42:$D$59)&lt;eco)+eco*(($O21+$P21*Geometry!$E$42:$E$59+$Q21*Geometry!$D$42:$D$59)&gt;=eco))/eco)^n)*((($O21+$P21*Geometry!$E$42:$E$59+$Q21*Geometry!$D$42:$D$59))&gt;0))),Geometry!$F$42:$F$59,Geometry!$E$42:$E$59))/1000000</f>
      </c>
      <c r="CH21" s="32">
        <f>(SUMPRODUCT(alpha*fck*(1-(1-((($R21+$S21*Mesh_Y+$T21*Mesh_X))*(($R21+$S21*Mesh_Y+$T21*Mesh_X)&gt;0)*(($R21+$S21*Mesh_Y+$T21*Mesh_X)&lt;eco)+eco*(($R21+$S21*Mesh_Y+$T21*Mesh_X)&gt;=eco))/eco)^n)*((($R21+$S21*Mesh_Y+$T21*Mesh_X))&gt;0),Mesh_A,Mesh_Y)+SUMPRODUCT((Es*(($R21+$S21*Geometry!$E$42:$E$59+$T21*Geometry!$D$42:$D$59))*(ABS(Es*(($R21+$S21*Geometry!$E$42:$E$59+$T21*Geometry!$D$42:$D$59)))&lt;=fy)+fy*(Es*(($R21+$S21*Geometry!$E$42:$E$59+$T21*Geometry!$D$42:$D$59))&gt;fy)-fy*(Es*(($R21+$S21*Geometry!$E$42:$E$59+$T21*Geometry!$D$42:$D$59))&lt;-fy)-(alpha*fck*(1-(1-((($R21+$S21*Geometry!$E$42:$E$59+$T21*Geometry!$D$42:$D$59))*(($R21+$S21*Geometry!$E$42:$E$59+$T21*Geometry!$D$42:$D$59)&gt;0)*(($R21+$S21*Geometry!$E$42:$E$59+$T21*Geometry!$D$42:$D$59)&lt;eco)+eco*(($R21+$S21*Geometry!$E$42:$E$59+$T21*Geometry!$D$42:$D$59)&gt;=eco))/eco)^n)*((($R21+$S21*Geometry!$E$42:$E$59+$T21*Geometry!$D$42:$D$59))&gt;0))),Geometry!$F$42:$F$59,Geometry!$E$42:$E$59))/1000000</f>
      </c>
      <c r="CI21" s="32">
        <f>(SUMPRODUCT(alpha*fck*(1-(1-((($U21+$V21*Mesh_Y+$W21*Mesh_X))*(($U21+$V21*Mesh_Y+$W21*Mesh_X)&gt;0)*(($U21+$V21*Mesh_Y+$W21*Mesh_X)&lt;eco)+eco*(($U21+$V21*Mesh_Y+$W21*Mesh_X)&gt;=eco))/eco)^n)*((($U21+$V21*Mesh_Y+$W21*Mesh_X))&gt;0),Mesh_A,Mesh_Y)+SUMPRODUCT((Es*(($U21+$V21*Geometry!$E$42:$E$59+$W21*Geometry!$D$42:$D$59))*(ABS(Es*(($U21+$V21*Geometry!$E$42:$E$59+$W21*Geometry!$D$42:$D$59)))&lt;=fy)+fy*(Es*(($U21+$V21*Geometry!$E$42:$E$59+$W21*Geometry!$D$42:$D$59))&gt;fy)-fy*(Es*(($U21+$V21*Geometry!$E$42:$E$59+$W21*Geometry!$D$42:$D$59))&lt;-fy)-(alpha*fck*(1-(1-((($U21+$V21*Geometry!$E$42:$E$59+$W21*Geometry!$D$42:$D$59))*(($U21+$V21*Geometry!$E$42:$E$59+$W21*Geometry!$D$42:$D$59)&gt;0)*(($U21+$V21*Geometry!$E$42:$E$59+$W21*Geometry!$D$42:$D$59)&lt;eco)+eco*(($U21+$V21*Geometry!$E$42:$E$59+$W21*Geometry!$D$42:$D$59)&gt;=eco))/eco)^n)*((($U21+$V21*Geometry!$E$42:$E$59+$W21*Geometry!$D$42:$D$59))&gt;0))),Geometry!$F$42:$F$59,Geometry!$E$42:$E$59))/1000000</f>
      </c>
      <c r="CJ21" s="32">
        <f>(SUMPRODUCT(alpha*fck*(1-(1-((($X21+$Y21*Mesh_Y+$Z21*Mesh_X))*(($X21+$Y21*Mesh_Y+$Z21*Mesh_X)&gt;0)*(($X21+$Y21*Mesh_Y+$Z21*Mesh_X)&lt;eco)+eco*(($X21+$Y21*Mesh_Y+$Z21*Mesh_X)&gt;=eco))/eco)^n)*((($X21+$Y21*Mesh_Y+$Z21*Mesh_X))&gt;0),Mesh_A,Mesh_Y)+SUMPRODUCT((Es*(($X21+$Y21*Geometry!$E$42:$E$59+$Z21*Geometry!$D$42:$D$59))*(ABS(Es*(($X21+$Y21*Geometry!$E$42:$E$59+$Z21*Geometry!$D$42:$D$59)))&lt;=fy)+fy*(Es*(($X21+$Y21*Geometry!$E$42:$E$59+$Z21*Geometry!$D$42:$D$59))&gt;fy)-fy*(Es*(($X21+$Y21*Geometry!$E$42:$E$59+$Z21*Geometry!$D$42:$D$59))&lt;-fy)-(alpha*fck*(1-(1-((($X21+$Y21*Geometry!$E$42:$E$59+$Z21*Geometry!$D$42:$D$59))*(($X21+$Y21*Geometry!$E$42:$E$59+$Z21*Geometry!$D$42:$D$59)&gt;0)*(($X21+$Y21*Geometry!$E$42:$E$59+$Z21*Geometry!$D$42:$D$59)&lt;eco)+eco*(($X21+$Y21*Geometry!$E$42:$E$59+$Z21*Geometry!$D$42:$D$59)&gt;=eco))/eco)^n)*((($X21+$Y21*Geometry!$E$42:$E$59+$Z21*Geometry!$D$42:$D$59))&gt;0))),Geometry!$F$42:$F$59,Geometry!$E$42:$E$59))/1000000</f>
      </c>
      <c r="CK21" s="32">
        <f>(SUMPRODUCT(alpha*fck*(1-(1-((($AA21+$AB21*Mesh_Y+$AC21*Mesh_X))*(($AA21+$AB21*Mesh_Y+$AC21*Mesh_X)&gt;0)*(($AA21+$AB21*Mesh_Y+$AC21*Mesh_X)&lt;eco)+eco*(($AA21+$AB21*Mesh_Y+$AC21*Mesh_X)&gt;=eco))/eco)^n)*((($AA21+$AB21*Mesh_Y+$AC21*Mesh_X))&gt;0),Mesh_A,Mesh_Y)+SUMPRODUCT((Es*(($AA21+$AB21*Geometry!$E$42:$E$59+$AC21*Geometry!$D$42:$D$59))*(ABS(Es*(($AA21+$AB21*Geometry!$E$42:$E$59+$AC21*Geometry!$D$42:$D$59)))&lt;=fy)+fy*(Es*(($AA21+$AB21*Geometry!$E$42:$E$59+$AC21*Geometry!$D$42:$D$59))&gt;fy)-fy*(Es*(($AA21+$AB21*Geometry!$E$42:$E$59+$AC21*Geometry!$D$42:$D$59))&lt;-fy)-(alpha*fck*(1-(1-((($AA21+$AB21*Geometry!$E$42:$E$59+$AC21*Geometry!$D$42:$D$59))*(($AA21+$AB21*Geometry!$E$42:$E$59+$AC21*Geometry!$D$42:$D$59)&gt;0)*(($AA21+$AB21*Geometry!$E$42:$E$59+$AC21*Geometry!$D$42:$D$59)&lt;eco)+eco*(($AA21+$AB21*Geometry!$E$42:$E$59+$AC21*Geometry!$D$42:$D$59)&gt;=eco))/eco)^n)*((($AA21+$AB21*Geometry!$E$42:$E$59+$AC21*Geometry!$D$42:$D$59))&gt;0))),Geometry!$F$42:$F$59,Geometry!$E$42:$E$59))/1000000</f>
      </c>
      <c r="CL21" s="32">
        <f>(SUMPRODUCT(alpha*fck*(1-(1-((($AD21+$AE21*Mesh_Y+$AF21*Mesh_X))*(($AD21+$AE21*Mesh_Y+$AF21*Mesh_X)&gt;0)*(($AD21+$AE21*Mesh_Y+$AF21*Mesh_X)&lt;eco)+eco*(($AD21+$AE21*Mesh_Y+$AF21*Mesh_X)&gt;=eco))/eco)^n)*((($AD21+$AE21*Mesh_Y+$AF21*Mesh_X))&gt;0),Mesh_A,Mesh_Y)+SUMPRODUCT((Es*(($AD21+$AE21*Geometry!$E$42:$E$59+$AF21*Geometry!$D$42:$D$59))*(ABS(Es*(($AD21+$AE21*Geometry!$E$42:$E$59+$AF21*Geometry!$D$42:$D$59)))&lt;=fy)+fy*(Es*(($AD21+$AE21*Geometry!$E$42:$E$59+$AF21*Geometry!$D$42:$D$59))&gt;fy)-fy*(Es*(($AD21+$AE21*Geometry!$E$42:$E$59+$AF21*Geometry!$D$42:$D$59))&lt;-fy)-(alpha*fck*(1-(1-((($AD21+$AE21*Geometry!$E$42:$E$59+$AF21*Geometry!$D$42:$D$59))*(($AD21+$AE21*Geometry!$E$42:$E$59+$AF21*Geometry!$D$42:$D$59)&gt;0)*(($AD21+$AE21*Geometry!$E$42:$E$59+$AF21*Geometry!$D$42:$D$59)&lt;eco)+eco*(($AD21+$AE21*Geometry!$E$42:$E$59+$AF21*Geometry!$D$42:$D$59)&gt;=eco))/eco)^n)*((($AD21+$AE21*Geometry!$E$42:$E$59+$AF21*Geometry!$D$42:$D$59))&gt;0))),Geometry!$F$42:$F$59,Geometry!$E$42:$E$59))/1000000</f>
      </c>
      <c r="CM21" s="32">
        <f>(SUMPRODUCT(alpha*fck*(1-(1-((($AG21+$AH21*Mesh_Y+$AI21*Mesh_X))*(($AG21+$AH21*Mesh_Y+$AI21*Mesh_X)&gt;0)*(($AG21+$AH21*Mesh_Y+$AI21*Mesh_X)&lt;eco)+eco*(($AG21+$AH21*Mesh_Y+$AI21*Mesh_X)&gt;=eco))/eco)^n)*((($AG21+$AH21*Mesh_Y+$AI21*Mesh_X))&gt;0),Mesh_A,Mesh_Y)+SUMPRODUCT((Es*(($AG21+$AH21*Geometry!$E$42:$E$59+$AI21*Geometry!$D$42:$D$59))*(ABS(Es*(($AG21+$AH21*Geometry!$E$42:$E$59+$AI21*Geometry!$D$42:$D$59)))&lt;=fy)+fy*(Es*(($AG21+$AH21*Geometry!$E$42:$E$59+$AI21*Geometry!$D$42:$D$59))&gt;fy)-fy*(Es*(($AG21+$AH21*Geometry!$E$42:$E$59+$AI21*Geometry!$D$42:$D$59))&lt;-fy)-(alpha*fck*(1-(1-((($AG21+$AH21*Geometry!$E$42:$E$59+$AI21*Geometry!$D$42:$D$59))*(($AG21+$AH21*Geometry!$E$42:$E$59+$AI21*Geometry!$D$42:$D$59)&gt;0)*(($AG21+$AH21*Geometry!$E$42:$E$59+$AI21*Geometry!$D$42:$D$59)&lt;eco)+eco*(($AG21+$AH21*Geometry!$E$42:$E$59+$AI21*Geometry!$D$42:$D$59)&gt;=eco))/eco)^n)*((($AG21+$AH21*Geometry!$E$42:$E$59+$AI21*Geometry!$D$42:$D$59))&gt;0))),Geometry!$F$42:$F$59,Geometry!$E$42:$E$59))/1000000</f>
      </c>
      <c r="CN21" s="32">
        <f>(SUMPRODUCT(alpha*fck*(1-(1-((($AJ21+$AK21*Mesh_Y+$AL21*Mesh_X))*(($AJ21+$AK21*Mesh_Y+$AL21*Mesh_X)&gt;0)*(($AJ21+$AK21*Mesh_Y+$AL21*Mesh_X)&lt;eco)+eco*(($AJ21+$AK21*Mesh_Y+$AL21*Mesh_X)&gt;=eco))/eco)^n)*((($AJ21+$AK21*Mesh_Y+$AL21*Mesh_X))&gt;0),Mesh_A,Mesh_Y)+SUMPRODUCT((Es*(($AJ21+$AK21*Geometry!$E$42:$E$59+$AL21*Geometry!$D$42:$D$59))*(ABS(Es*(($AJ21+$AK21*Geometry!$E$42:$E$59+$AL21*Geometry!$D$42:$D$59)))&lt;=fy)+fy*(Es*(($AJ21+$AK21*Geometry!$E$42:$E$59+$AL21*Geometry!$D$42:$D$59))&gt;fy)-fy*(Es*(($AJ21+$AK21*Geometry!$E$42:$E$59+$AL21*Geometry!$D$42:$D$59))&lt;-fy)-(alpha*fck*(1-(1-((($AJ21+$AK21*Geometry!$E$42:$E$59+$AL21*Geometry!$D$42:$D$59))*(($AJ21+$AK21*Geometry!$E$42:$E$59+$AL21*Geometry!$D$42:$D$59)&gt;0)*(($AJ21+$AK21*Geometry!$E$42:$E$59+$AL21*Geometry!$D$42:$D$59)&lt;eco)+eco*(($AJ21+$AK21*Geometry!$E$42:$E$59+$AL21*Geometry!$D$42:$D$59)&gt;=eco))/eco)^n)*((($AJ21+$AK21*Geometry!$E$42:$E$59+$AL21*Geometry!$D$42:$D$59))&gt;0))),Geometry!$F$42:$F$59,Geometry!$E$42:$E$59))/1000000</f>
      </c>
      <c r="CO21" s="32">
        <f>(SUMPRODUCT(alpha*fck*(1-(1-((($AM21+$AN21*Mesh_Y+$AO21*Mesh_X))*(($AM21+$AN21*Mesh_Y+$AO21*Mesh_X)&gt;0)*(($AM21+$AN21*Mesh_Y+$AO21*Mesh_X)&lt;eco)+eco*(($AM21+$AN21*Mesh_Y+$AO21*Mesh_X)&gt;=eco))/eco)^n)*((($AM21+$AN21*Mesh_Y+$AO21*Mesh_X))&gt;0),Mesh_A,Mesh_Y)+SUMPRODUCT((Es*(($AM21+$AN21*Geometry!$E$42:$E$59+$AO21*Geometry!$D$42:$D$59))*(ABS(Es*(($AM21+$AN21*Geometry!$E$42:$E$59+$AO21*Geometry!$D$42:$D$59)))&lt;=fy)+fy*(Es*(($AM21+$AN21*Geometry!$E$42:$E$59+$AO21*Geometry!$D$42:$D$59))&gt;fy)-fy*(Es*(($AM21+$AN21*Geometry!$E$42:$E$59+$AO21*Geometry!$D$42:$D$59))&lt;-fy)-(alpha*fck*(1-(1-((($AM21+$AN21*Geometry!$E$42:$E$59+$AO21*Geometry!$D$42:$D$59))*(($AM21+$AN21*Geometry!$E$42:$E$59+$AO21*Geometry!$D$42:$D$59)&gt;0)*(($AM21+$AN21*Geometry!$E$42:$E$59+$AO21*Geometry!$D$42:$D$59)&lt;eco)+eco*(($AM21+$AN21*Geometry!$E$42:$E$59+$AO21*Geometry!$D$42:$D$59)&gt;=eco))/eco)^n)*((($AM21+$AN21*Geometry!$E$42:$E$59+$AO21*Geometry!$D$42:$D$59))&gt;0))),Geometry!$F$42:$F$59,Geometry!$E$42:$E$59))/1000000</f>
      </c>
      <c r="CP21" s="32">
        <f>(SUMPRODUCT(alpha*fck*(1-(1-((($AP21+$AQ21*Mesh_Y+$AR21*Mesh_X))*(($AP21+$AQ21*Mesh_Y+$AR21*Mesh_X)&gt;0)*(($AP21+$AQ21*Mesh_Y+$AR21*Mesh_X)&lt;eco)+eco*(($AP21+$AQ21*Mesh_Y+$AR21*Mesh_X)&gt;=eco))/eco)^n)*((($AP21+$AQ21*Mesh_Y+$AR21*Mesh_X))&gt;0),Mesh_A,Mesh_Y)+SUMPRODUCT((Es*(($AP21+$AQ21*Geometry!$E$42:$E$59+$AR21*Geometry!$D$42:$D$59))*(ABS(Es*(($AP21+$AQ21*Geometry!$E$42:$E$59+$AR21*Geometry!$D$42:$D$59)))&lt;=fy)+fy*(Es*(($AP21+$AQ21*Geometry!$E$42:$E$59+$AR21*Geometry!$D$42:$D$59))&gt;fy)-fy*(Es*(($AP21+$AQ21*Geometry!$E$42:$E$59+$AR21*Geometry!$D$42:$D$59))&lt;-fy)-(alpha*fck*(1-(1-((($AP21+$AQ21*Geometry!$E$42:$E$59+$AR21*Geometry!$D$42:$D$59))*(($AP21+$AQ21*Geometry!$E$42:$E$59+$AR21*Geometry!$D$42:$D$59)&gt;0)*(($AP21+$AQ21*Geometry!$E$42:$E$59+$AR21*Geometry!$D$42:$D$59)&lt;eco)+eco*(($AP21+$AQ21*Geometry!$E$42:$E$59+$AR21*Geometry!$D$42:$D$59)&gt;=eco))/eco)^n)*((($AP21+$AQ21*Geometry!$E$42:$E$59+$AR21*Geometry!$D$42:$D$59))&gt;0))),Geometry!$F$42:$F$59,Geometry!$E$42:$E$59))/1000000</f>
      </c>
      <c r="CQ21" s="32">
        <f>(SUMPRODUCT(alpha*fck*(1-(1-((($AS21+$AT21*Mesh_Y+$AU21*Mesh_X))*(($AS21+$AT21*Mesh_Y+$AU21*Mesh_X)&gt;0)*(($AS21+$AT21*Mesh_Y+$AU21*Mesh_X)&lt;eco)+eco*(($AS21+$AT21*Mesh_Y+$AU21*Mesh_X)&gt;=eco))/eco)^n)*((($AS21+$AT21*Mesh_Y+$AU21*Mesh_X))&gt;0),Mesh_A,Mesh_Y)+SUMPRODUCT((Es*(($AS21+$AT21*Geometry!$E$42:$E$59+$AU21*Geometry!$D$42:$D$59))*(ABS(Es*(($AS21+$AT21*Geometry!$E$42:$E$59+$AU21*Geometry!$D$42:$D$59)))&lt;=fy)+fy*(Es*(($AS21+$AT21*Geometry!$E$42:$E$59+$AU21*Geometry!$D$42:$D$59))&gt;fy)-fy*(Es*(($AS21+$AT21*Geometry!$E$42:$E$59+$AU21*Geometry!$D$42:$D$59))&lt;-fy)-(alpha*fck*(1-(1-((($AS21+$AT21*Geometry!$E$42:$E$59+$AU21*Geometry!$D$42:$D$59))*(($AS21+$AT21*Geometry!$E$42:$E$59+$AU21*Geometry!$D$42:$D$59)&gt;0)*(($AS21+$AT21*Geometry!$E$42:$E$59+$AU21*Geometry!$D$42:$D$59)&lt;eco)+eco*(($AS21+$AT21*Geometry!$E$42:$E$59+$AU21*Geometry!$D$42:$D$59)&gt;=eco))/eco)^n)*((($AS21+$AT21*Geometry!$E$42:$E$59+$AU21*Geometry!$D$42:$D$59))&gt;0))),Geometry!$F$42:$F$59,Geometry!$E$42:$E$59))/1000000</f>
      </c>
      <c r="CR21" s="32">
        <f>(SUMPRODUCT(alpha*fck*(1-(1-((($AV21+$AW21*Mesh_Y+$AX21*Mesh_X))*(($AV21+$AW21*Mesh_Y+$AX21*Mesh_X)&gt;0)*(($AV21+$AW21*Mesh_Y+$AX21*Mesh_X)&lt;eco)+eco*(($AV21+$AW21*Mesh_Y+$AX21*Mesh_X)&gt;=eco))/eco)^n)*((($AV21+$AW21*Mesh_Y+$AX21*Mesh_X))&gt;0),Mesh_A,Mesh_Y)+SUMPRODUCT((Es*(($AV21+$AW21*Geometry!$E$42:$E$59+$AX21*Geometry!$D$42:$D$59))*(ABS(Es*(($AV21+$AW21*Geometry!$E$42:$E$59+$AX21*Geometry!$D$42:$D$59)))&lt;=fy)+fy*(Es*(($AV21+$AW21*Geometry!$E$42:$E$59+$AX21*Geometry!$D$42:$D$59))&gt;fy)-fy*(Es*(($AV21+$AW21*Geometry!$E$42:$E$59+$AX21*Geometry!$D$42:$D$59))&lt;-fy)-(alpha*fck*(1-(1-((($AV21+$AW21*Geometry!$E$42:$E$59+$AX21*Geometry!$D$42:$D$59))*(($AV21+$AW21*Geometry!$E$42:$E$59+$AX21*Geometry!$D$42:$D$59)&gt;0)*(($AV21+$AW21*Geometry!$E$42:$E$59+$AX21*Geometry!$D$42:$D$59)&lt;eco)+eco*(($AV21+$AW21*Geometry!$E$42:$E$59+$AX21*Geometry!$D$42:$D$59)&gt;=eco))/eco)^n)*((($AV21+$AW21*Geometry!$E$42:$E$59+$AX21*Geometry!$D$42:$D$59))&gt;0))),Geometry!$F$42:$F$59,Geometry!$E$42:$E$59))/1000000</f>
      </c>
      <c r="CS21" s="32">
        <f>(SUMPRODUCT(alpha*fck*(1-(1-((($AY21+$AZ21*Mesh_Y+$BA21*Mesh_X))*(($AY21+$AZ21*Mesh_Y+$BA21*Mesh_X)&gt;0)*(($AY21+$AZ21*Mesh_Y+$BA21*Mesh_X)&lt;eco)+eco*(($AY21+$AZ21*Mesh_Y+$BA21*Mesh_X)&gt;=eco))/eco)^n)*((($AY21+$AZ21*Mesh_Y+$BA21*Mesh_X))&gt;0),Mesh_A,Mesh_Y)+SUMPRODUCT((Es*(($AY21+$AZ21*Geometry!$E$42:$E$59+$BA21*Geometry!$D$42:$D$59))*(ABS(Es*(($AY21+$AZ21*Geometry!$E$42:$E$59+$BA21*Geometry!$D$42:$D$59)))&lt;=fy)+fy*(Es*(($AY21+$AZ21*Geometry!$E$42:$E$59+$BA21*Geometry!$D$42:$D$59))&gt;fy)-fy*(Es*(($AY21+$AZ21*Geometry!$E$42:$E$59+$BA21*Geometry!$D$42:$D$59))&lt;-fy)-(alpha*fck*(1-(1-((($AY21+$AZ21*Geometry!$E$42:$E$59+$BA21*Geometry!$D$42:$D$59))*(($AY21+$AZ21*Geometry!$E$42:$E$59+$BA21*Geometry!$D$42:$D$59)&gt;0)*(($AY21+$AZ21*Geometry!$E$42:$E$59+$BA21*Geometry!$D$42:$D$59)&lt;eco)+eco*(($AY21+$AZ21*Geometry!$E$42:$E$59+$BA21*Geometry!$D$42:$D$59)&gt;=eco))/eco)^n)*((($AY21+$AZ21*Geometry!$E$42:$E$59+$BA21*Geometry!$D$42:$D$59))&gt;0))),Geometry!$F$42:$F$59,Geometry!$E$42:$E$59))/1000000</f>
      </c>
      <c r="CT21" s="32">
        <f>(SUMPRODUCT(alpha*fck*(1-(1-((($BB21+$BC21*Mesh_Y+$BD21*Mesh_X))*(($BB21+$BC21*Mesh_Y+$BD21*Mesh_X)&gt;0)*(($BB21+$BC21*Mesh_Y+$BD21*Mesh_X)&lt;eco)+eco*(($BB21+$BC21*Mesh_Y+$BD21*Mesh_X)&gt;=eco))/eco)^n)*((($BB21+$BC21*Mesh_Y+$BD21*Mesh_X))&gt;0),Mesh_A,Mesh_Y)+SUMPRODUCT((Es*(($BB21+$BC21*Geometry!$E$42:$E$59+$BD21*Geometry!$D$42:$D$59))*(ABS(Es*(($BB21+$BC21*Geometry!$E$42:$E$59+$BD21*Geometry!$D$42:$D$59)))&lt;=fy)+fy*(Es*(($BB21+$BC21*Geometry!$E$42:$E$59+$BD21*Geometry!$D$42:$D$59))&gt;fy)-fy*(Es*(($BB21+$BC21*Geometry!$E$42:$E$59+$BD21*Geometry!$D$42:$D$59))&lt;-fy)-(alpha*fck*(1-(1-((($BB21+$BC21*Geometry!$E$42:$E$59+$BD21*Geometry!$D$42:$D$59))*(($BB21+$BC21*Geometry!$E$42:$E$59+$BD21*Geometry!$D$42:$D$59)&gt;0)*(($BB21+$BC21*Geometry!$E$42:$E$59+$BD21*Geometry!$D$42:$D$59)&lt;eco)+eco*(($BB21+$BC21*Geometry!$E$42:$E$59+$BD21*Geometry!$D$42:$D$59)&gt;=eco))/eco)^n)*((($BB21+$BC21*Geometry!$E$42:$E$59+$BD21*Geometry!$D$42:$D$59))&gt;0))),Geometry!$F$42:$F$59,Geometry!$E$42:$E$59))/1000000</f>
      </c>
      <c r="CU21" s="32">
        <f>(SUMPRODUCT(alpha*fck*(1-(1-((($BE21+$BF21*Mesh_Y+$BG21*Mesh_X))*(($BE21+$BF21*Mesh_Y+$BG21*Mesh_X)&gt;0)*(($BE21+$BF21*Mesh_Y+$BG21*Mesh_X)&lt;eco)+eco*(($BE21+$BF21*Mesh_Y+$BG21*Mesh_X)&gt;=eco))/eco)^n)*((($BE21+$BF21*Mesh_Y+$BG21*Mesh_X))&gt;0),Mesh_A,Mesh_Y)+SUMPRODUCT((Es*(($BE21+$BF21*Geometry!$E$42:$E$59+$BG21*Geometry!$D$42:$D$59))*(ABS(Es*(($BE21+$BF21*Geometry!$E$42:$E$59+$BG21*Geometry!$D$42:$D$59)))&lt;=fy)+fy*(Es*(($BE21+$BF21*Geometry!$E$42:$E$59+$BG21*Geometry!$D$42:$D$59))&gt;fy)-fy*(Es*(($BE21+$BF21*Geometry!$E$42:$E$59+$BG21*Geometry!$D$42:$D$59))&lt;-fy)-(alpha*fck*(1-(1-((($BE21+$BF21*Geometry!$E$42:$E$59+$BG21*Geometry!$D$42:$D$59))*(($BE21+$BF21*Geometry!$E$42:$E$59+$BG21*Geometry!$D$42:$D$59)&gt;0)*(($BE21+$BF21*Geometry!$E$42:$E$59+$BG21*Geometry!$D$42:$D$59)&lt;eco)+eco*(($BE21+$BF21*Geometry!$E$42:$E$59+$BG21*Geometry!$D$42:$D$59)&gt;=eco))/eco)^n)*((($BE21+$BF21*Geometry!$E$42:$E$59+$BG21*Geometry!$D$42:$D$59))&gt;0))),Geometry!$F$42:$F$59,Geometry!$E$42:$E$59))/1000000</f>
      </c>
      <c r="CV21" s="32">
        <f>(SUMPRODUCT(alpha*fck*(1-(1-((($BH21+$BI21*Mesh_Y+$BJ21*Mesh_X))*(($BH21+$BI21*Mesh_Y+$BJ21*Mesh_X)&gt;0)*(($BH21+$BI21*Mesh_Y+$BJ21*Mesh_X)&lt;eco)+eco*(($BH21+$BI21*Mesh_Y+$BJ21*Mesh_X)&gt;=eco))/eco)^n)*((($BH21+$BI21*Mesh_Y+$BJ21*Mesh_X))&gt;0),Mesh_A,Mesh_Y)+SUMPRODUCT((Es*(($BH21+$BI21*Geometry!$E$42:$E$59+$BJ21*Geometry!$D$42:$D$59))*(ABS(Es*(($BH21+$BI21*Geometry!$E$42:$E$59+$BJ21*Geometry!$D$42:$D$59)))&lt;=fy)+fy*(Es*(($BH21+$BI21*Geometry!$E$42:$E$59+$BJ21*Geometry!$D$42:$D$59))&gt;fy)-fy*(Es*(($BH21+$BI21*Geometry!$E$42:$E$59+$BJ21*Geometry!$D$42:$D$59))&lt;-fy)-(alpha*fck*(1-(1-((($BH21+$BI21*Geometry!$E$42:$E$59+$BJ21*Geometry!$D$42:$D$59))*(($BH21+$BI21*Geometry!$E$42:$E$59+$BJ21*Geometry!$D$42:$D$59)&gt;0)*(($BH21+$BI21*Geometry!$E$42:$E$59+$BJ21*Geometry!$D$42:$D$59)&lt;eco)+eco*(($BH21+$BI21*Geometry!$E$42:$E$59+$BJ21*Geometry!$D$42:$D$59)&gt;=eco))/eco)^n)*((($BH21+$BI21*Geometry!$E$42:$E$59+$BJ21*Geometry!$D$42:$D$59))&gt;0))),Geometry!$F$42:$F$59,Geometry!$E$42:$E$59))/1000000</f>
      </c>
      <c r="CW21" s="32">
        <f>(SUMPRODUCT(alpha*fck*(1-(1-((($F21+$G21*Mesh_Y+$H21*Mesh_X))*(($F21+$G21*Mesh_Y+$H21*Mesh_X)&gt;0)*(($F21+$G21*Mesh_Y+$H21*Mesh_X)&lt;eco)+eco*(($F21+$G21*Mesh_Y+$H21*Mesh_X)&gt;=eco))/eco)^n)*((($F21+$G21*Mesh_Y+$H21*Mesh_X))&gt;0),Mesh_A,Mesh_X)+SUMPRODUCT((Es*(($F21+$G21*Geometry!$E$42:$E$59+$H21*Geometry!$D$42:$D$59))*(ABS(Es*(($F21+$G21*Geometry!$E$42:$E$59+$H21*Geometry!$D$42:$D$59)))&lt;=fy)+fy*(Es*(($F21+$G21*Geometry!$E$42:$E$59+$H21*Geometry!$D$42:$D$59))&gt;fy)-fy*(Es*(($F21+$G21*Geometry!$E$42:$E$59+$H21*Geometry!$D$42:$D$59))&lt;-fy)-(alpha*fck*(1-(1-((($F21+$G21*Geometry!$E$42:$E$59+$H21*Geometry!$D$42:$D$59))*(($F21+$G21*Geometry!$E$42:$E$59+$H21*Geometry!$D$42:$D$59)&gt;0)*(($F21+$G21*Geometry!$E$42:$E$59+$H21*Geometry!$D$42:$D$59)&lt;eco)+eco*(($F21+$G21*Geometry!$E$42:$E$59+$H21*Geometry!$D$42:$D$59)&gt;=eco))/eco)^n)*((($F21+$G21*Geometry!$E$42:$E$59+$H21*Geometry!$D$42:$D$59))&gt;0))),Geometry!$F$42:$F$59,Geometry!$D$42:$D$59))/1000000</f>
      </c>
      <c r="CX21" s="32">
        <f>(SUMPRODUCT(alpha*fck*(1-(1-((($I21+$J21*Mesh_Y+$K21*Mesh_X))*(($I21+$J21*Mesh_Y+$K21*Mesh_X)&gt;0)*(($I21+$J21*Mesh_Y+$K21*Mesh_X)&lt;eco)+eco*(($I21+$J21*Mesh_Y+$K21*Mesh_X)&gt;=eco))/eco)^n)*((($I21+$J21*Mesh_Y+$K21*Mesh_X))&gt;0),Mesh_A,Mesh_X)+SUMPRODUCT((Es*(($I21+$J21*Geometry!$E$42:$E$59+$K21*Geometry!$D$42:$D$59))*(ABS(Es*(($I21+$J21*Geometry!$E$42:$E$59+$K21*Geometry!$D$42:$D$59)))&lt;=fy)+fy*(Es*(($I21+$J21*Geometry!$E$42:$E$59+$K21*Geometry!$D$42:$D$59))&gt;fy)-fy*(Es*(($I21+$J21*Geometry!$E$42:$E$59+$K21*Geometry!$D$42:$D$59))&lt;-fy)-(alpha*fck*(1-(1-((($I21+$J21*Geometry!$E$42:$E$59+$K21*Geometry!$D$42:$D$59))*(($I21+$J21*Geometry!$E$42:$E$59+$K21*Geometry!$D$42:$D$59)&gt;0)*(($I21+$J21*Geometry!$E$42:$E$59+$K21*Geometry!$D$42:$D$59)&lt;eco)+eco*(($I21+$J21*Geometry!$E$42:$E$59+$K21*Geometry!$D$42:$D$59)&gt;=eco))/eco)^n)*((($I21+$J21*Geometry!$E$42:$E$59+$K21*Geometry!$D$42:$D$59))&gt;0))),Geometry!$F$42:$F$59,Geometry!$D$42:$D$59))/1000000</f>
      </c>
      <c r="CY21" s="32">
        <f>(SUMPRODUCT(alpha*fck*(1-(1-((($L21+$M21*Mesh_Y+$N21*Mesh_X))*(($L21+$M21*Mesh_Y+$N21*Mesh_X)&gt;0)*(($L21+$M21*Mesh_Y+$N21*Mesh_X)&lt;eco)+eco*(($L21+$M21*Mesh_Y+$N21*Mesh_X)&gt;=eco))/eco)^n)*((($L21+$M21*Mesh_Y+$N21*Mesh_X))&gt;0),Mesh_A,Mesh_X)+SUMPRODUCT((Es*(($L21+$M21*Geometry!$E$42:$E$59+$N21*Geometry!$D$42:$D$59))*(ABS(Es*(($L21+$M21*Geometry!$E$42:$E$59+$N21*Geometry!$D$42:$D$59)))&lt;=fy)+fy*(Es*(($L21+$M21*Geometry!$E$42:$E$59+$N21*Geometry!$D$42:$D$59))&gt;fy)-fy*(Es*(($L21+$M21*Geometry!$E$42:$E$59+$N21*Geometry!$D$42:$D$59))&lt;-fy)-(alpha*fck*(1-(1-((($L21+$M21*Geometry!$E$42:$E$59+$N21*Geometry!$D$42:$D$59))*(($L21+$M21*Geometry!$E$42:$E$59+$N21*Geometry!$D$42:$D$59)&gt;0)*(($L21+$M21*Geometry!$E$42:$E$59+$N21*Geometry!$D$42:$D$59)&lt;eco)+eco*(($L21+$M21*Geometry!$E$42:$E$59+$N21*Geometry!$D$42:$D$59)&gt;=eco))/eco)^n)*((($L21+$M21*Geometry!$E$42:$E$59+$N21*Geometry!$D$42:$D$59))&gt;0))),Geometry!$F$42:$F$59,Geometry!$D$42:$D$59))/1000000</f>
      </c>
      <c r="CZ21" s="32">
        <f>(SUMPRODUCT(alpha*fck*(1-(1-((($O21+$P21*Mesh_Y+$Q21*Mesh_X))*(($O21+$P21*Mesh_Y+$Q21*Mesh_X)&gt;0)*(($O21+$P21*Mesh_Y+$Q21*Mesh_X)&lt;eco)+eco*(($O21+$P21*Mesh_Y+$Q21*Mesh_X)&gt;=eco))/eco)^n)*((($O21+$P21*Mesh_Y+$Q21*Mesh_X))&gt;0),Mesh_A,Mesh_X)+SUMPRODUCT((Es*(($O21+$P21*Geometry!$E$42:$E$59+$Q21*Geometry!$D$42:$D$59))*(ABS(Es*(($O21+$P21*Geometry!$E$42:$E$59+$Q21*Geometry!$D$42:$D$59)))&lt;=fy)+fy*(Es*(($O21+$P21*Geometry!$E$42:$E$59+$Q21*Geometry!$D$42:$D$59))&gt;fy)-fy*(Es*(($O21+$P21*Geometry!$E$42:$E$59+$Q21*Geometry!$D$42:$D$59))&lt;-fy)-(alpha*fck*(1-(1-((($O21+$P21*Geometry!$E$42:$E$59+$Q21*Geometry!$D$42:$D$59))*(($O21+$P21*Geometry!$E$42:$E$59+$Q21*Geometry!$D$42:$D$59)&gt;0)*(($O21+$P21*Geometry!$E$42:$E$59+$Q21*Geometry!$D$42:$D$59)&lt;eco)+eco*(($O21+$P21*Geometry!$E$42:$E$59+$Q21*Geometry!$D$42:$D$59)&gt;=eco))/eco)^n)*((($O21+$P21*Geometry!$E$42:$E$59+$Q21*Geometry!$D$42:$D$59))&gt;0))),Geometry!$F$42:$F$59,Geometry!$D$42:$D$59))/1000000</f>
      </c>
      <c r="DA21" s="32">
        <f>(SUMPRODUCT(alpha*fck*(1-(1-((($R21+$S21*Mesh_Y+$T21*Mesh_X))*(($R21+$S21*Mesh_Y+$T21*Mesh_X)&gt;0)*(($R21+$S21*Mesh_Y+$T21*Mesh_X)&lt;eco)+eco*(($R21+$S21*Mesh_Y+$T21*Mesh_X)&gt;=eco))/eco)^n)*((($R21+$S21*Mesh_Y+$T21*Mesh_X))&gt;0),Mesh_A,Mesh_X)+SUMPRODUCT((Es*(($R21+$S21*Geometry!$E$42:$E$59+$T21*Geometry!$D$42:$D$59))*(ABS(Es*(($R21+$S21*Geometry!$E$42:$E$59+$T21*Geometry!$D$42:$D$59)))&lt;=fy)+fy*(Es*(($R21+$S21*Geometry!$E$42:$E$59+$T21*Geometry!$D$42:$D$59))&gt;fy)-fy*(Es*(($R21+$S21*Geometry!$E$42:$E$59+$T21*Geometry!$D$42:$D$59))&lt;-fy)-(alpha*fck*(1-(1-((($R21+$S21*Geometry!$E$42:$E$59+$T21*Geometry!$D$42:$D$59))*(($R21+$S21*Geometry!$E$42:$E$59+$T21*Geometry!$D$42:$D$59)&gt;0)*(($R21+$S21*Geometry!$E$42:$E$59+$T21*Geometry!$D$42:$D$59)&lt;eco)+eco*(($R21+$S21*Geometry!$E$42:$E$59+$T21*Geometry!$D$42:$D$59)&gt;=eco))/eco)^n)*((($R21+$S21*Geometry!$E$42:$E$59+$T21*Geometry!$D$42:$D$59))&gt;0))),Geometry!$F$42:$F$59,Geometry!$D$42:$D$59))/1000000</f>
      </c>
      <c r="DB21" s="32">
        <f>(SUMPRODUCT(alpha*fck*(1-(1-((($U21+$V21*Mesh_Y+$W21*Mesh_X))*(($U21+$V21*Mesh_Y+$W21*Mesh_X)&gt;0)*(($U21+$V21*Mesh_Y+$W21*Mesh_X)&lt;eco)+eco*(($U21+$V21*Mesh_Y+$W21*Mesh_X)&gt;=eco))/eco)^n)*((($U21+$V21*Mesh_Y+$W21*Mesh_X))&gt;0),Mesh_A,Mesh_X)+SUMPRODUCT((Es*(($U21+$V21*Geometry!$E$42:$E$59+$W21*Geometry!$D$42:$D$59))*(ABS(Es*(($U21+$V21*Geometry!$E$42:$E$59+$W21*Geometry!$D$42:$D$59)))&lt;=fy)+fy*(Es*(($U21+$V21*Geometry!$E$42:$E$59+$W21*Geometry!$D$42:$D$59))&gt;fy)-fy*(Es*(($U21+$V21*Geometry!$E$42:$E$59+$W21*Geometry!$D$42:$D$59))&lt;-fy)-(alpha*fck*(1-(1-((($U21+$V21*Geometry!$E$42:$E$59+$W21*Geometry!$D$42:$D$59))*(($U21+$V21*Geometry!$E$42:$E$59+$W21*Geometry!$D$42:$D$59)&gt;0)*(($U21+$V21*Geometry!$E$42:$E$59+$W21*Geometry!$D$42:$D$59)&lt;eco)+eco*(($U21+$V21*Geometry!$E$42:$E$59+$W21*Geometry!$D$42:$D$59)&gt;=eco))/eco)^n)*((($U21+$V21*Geometry!$E$42:$E$59+$W21*Geometry!$D$42:$D$59))&gt;0))),Geometry!$F$42:$F$59,Geometry!$D$42:$D$59))/1000000</f>
      </c>
      <c r="DC21" s="32">
        <f>(SUMPRODUCT(alpha*fck*(1-(1-((($X21+$Y21*Mesh_Y+$Z21*Mesh_X))*(($X21+$Y21*Mesh_Y+$Z21*Mesh_X)&gt;0)*(($X21+$Y21*Mesh_Y+$Z21*Mesh_X)&lt;eco)+eco*(($X21+$Y21*Mesh_Y+$Z21*Mesh_X)&gt;=eco))/eco)^n)*((($X21+$Y21*Mesh_Y+$Z21*Mesh_X))&gt;0),Mesh_A,Mesh_X)+SUMPRODUCT((Es*(($X21+$Y21*Geometry!$E$42:$E$59+$Z21*Geometry!$D$42:$D$59))*(ABS(Es*(($X21+$Y21*Geometry!$E$42:$E$59+$Z21*Geometry!$D$42:$D$59)))&lt;=fy)+fy*(Es*(($X21+$Y21*Geometry!$E$42:$E$59+$Z21*Geometry!$D$42:$D$59))&gt;fy)-fy*(Es*(($X21+$Y21*Geometry!$E$42:$E$59+$Z21*Geometry!$D$42:$D$59))&lt;-fy)-(alpha*fck*(1-(1-((($X21+$Y21*Geometry!$E$42:$E$59+$Z21*Geometry!$D$42:$D$59))*(($X21+$Y21*Geometry!$E$42:$E$59+$Z21*Geometry!$D$42:$D$59)&gt;0)*(($X21+$Y21*Geometry!$E$42:$E$59+$Z21*Geometry!$D$42:$D$59)&lt;eco)+eco*(($X21+$Y21*Geometry!$E$42:$E$59+$Z21*Geometry!$D$42:$D$59)&gt;=eco))/eco)^n)*((($X21+$Y21*Geometry!$E$42:$E$59+$Z21*Geometry!$D$42:$D$59))&gt;0))),Geometry!$F$42:$F$59,Geometry!$D$42:$D$59))/1000000</f>
      </c>
      <c r="DD21" s="32">
        <f>(SUMPRODUCT(alpha*fck*(1-(1-((($AA21+$AB21*Mesh_Y+$AC21*Mesh_X))*(($AA21+$AB21*Mesh_Y+$AC21*Mesh_X)&gt;0)*(($AA21+$AB21*Mesh_Y+$AC21*Mesh_X)&lt;eco)+eco*(($AA21+$AB21*Mesh_Y+$AC21*Mesh_X)&gt;=eco))/eco)^n)*((($AA21+$AB21*Mesh_Y+$AC21*Mesh_X))&gt;0),Mesh_A,Mesh_X)+SUMPRODUCT((Es*(($AA21+$AB21*Geometry!$E$42:$E$59+$AC21*Geometry!$D$42:$D$59))*(ABS(Es*(($AA21+$AB21*Geometry!$E$42:$E$59+$AC21*Geometry!$D$42:$D$59)))&lt;=fy)+fy*(Es*(($AA21+$AB21*Geometry!$E$42:$E$59+$AC21*Geometry!$D$42:$D$59))&gt;fy)-fy*(Es*(($AA21+$AB21*Geometry!$E$42:$E$59+$AC21*Geometry!$D$42:$D$59))&lt;-fy)-(alpha*fck*(1-(1-((($AA21+$AB21*Geometry!$E$42:$E$59+$AC21*Geometry!$D$42:$D$59))*(($AA21+$AB21*Geometry!$E$42:$E$59+$AC21*Geometry!$D$42:$D$59)&gt;0)*(($AA21+$AB21*Geometry!$E$42:$E$59+$AC21*Geometry!$D$42:$D$59)&lt;eco)+eco*(($AA21+$AB21*Geometry!$E$42:$E$59+$AC21*Geometry!$D$42:$D$59)&gt;=eco))/eco)^n)*((($AA21+$AB21*Geometry!$E$42:$E$59+$AC21*Geometry!$D$42:$D$59))&gt;0))),Geometry!$F$42:$F$59,Geometry!$D$42:$D$59))/1000000</f>
      </c>
      <c r="DE21" s="32">
        <f>(SUMPRODUCT(alpha*fck*(1-(1-((($AD21+$AE21*Mesh_Y+$AF21*Mesh_X))*(($AD21+$AE21*Mesh_Y+$AF21*Mesh_X)&gt;0)*(($AD21+$AE21*Mesh_Y+$AF21*Mesh_X)&lt;eco)+eco*(($AD21+$AE21*Mesh_Y+$AF21*Mesh_X)&gt;=eco))/eco)^n)*((($AD21+$AE21*Mesh_Y+$AF21*Mesh_X))&gt;0),Mesh_A,Mesh_X)+SUMPRODUCT((Es*(($AD21+$AE21*Geometry!$E$42:$E$59+$AF21*Geometry!$D$42:$D$59))*(ABS(Es*(($AD21+$AE21*Geometry!$E$42:$E$59+$AF21*Geometry!$D$42:$D$59)))&lt;=fy)+fy*(Es*(($AD21+$AE21*Geometry!$E$42:$E$59+$AF21*Geometry!$D$42:$D$59))&gt;fy)-fy*(Es*(($AD21+$AE21*Geometry!$E$42:$E$59+$AF21*Geometry!$D$42:$D$59))&lt;-fy)-(alpha*fck*(1-(1-((($AD21+$AE21*Geometry!$E$42:$E$59+$AF21*Geometry!$D$42:$D$59))*(($AD21+$AE21*Geometry!$E$42:$E$59+$AF21*Geometry!$D$42:$D$59)&gt;0)*(($AD21+$AE21*Geometry!$E$42:$E$59+$AF21*Geometry!$D$42:$D$59)&lt;eco)+eco*(($AD21+$AE21*Geometry!$E$42:$E$59+$AF21*Geometry!$D$42:$D$59)&gt;=eco))/eco)^n)*((($AD21+$AE21*Geometry!$E$42:$E$59+$AF21*Geometry!$D$42:$D$59))&gt;0))),Geometry!$F$42:$F$59,Geometry!$D$42:$D$59))/1000000</f>
      </c>
      <c r="DF21" s="32">
        <f>(SUMPRODUCT(alpha*fck*(1-(1-((($AG21+$AH21*Mesh_Y+$AI21*Mesh_X))*(($AG21+$AH21*Mesh_Y+$AI21*Mesh_X)&gt;0)*(($AG21+$AH21*Mesh_Y+$AI21*Mesh_X)&lt;eco)+eco*(($AG21+$AH21*Mesh_Y+$AI21*Mesh_X)&gt;=eco))/eco)^n)*((($AG21+$AH21*Mesh_Y+$AI21*Mesh_X))&gt;0),Mesh_A,Mesh_X)+SUMPRODUCT((Es*(($AG21+$AH21*Geometry!$E$42:$E$59+$AI21*Geometry!$D$42:$D$59))*(ABS(Es*(($AG21+$AH21*Geometry!$E$42:$E$59+$AI21*Geometry!$D$42:$D$59)))&lt;=fy)+fy*(Es*(($AG21+$AH21*Geometry!$E$42:$E$59+$AI21*Geometry!$D$42:$D$59))&gt;fy)-fy*(Es*(($AG21+$AH21*Geometry!$E$42:$E$59+$AI21*Geometry!$D$42:$D$59))&lt;-fy)-(alpha*fck*(1-(1-((($AG21+$AH21*Geometry!$E$42:$E$59+$AI21*Geometry!$D$42:$D$59))*(($AG21+$AH21*Geometry!$E$42:$E$59+$AI21*Geometry!$D$42:$D$59)&gt;0)*(($AG21+$AH21*Geometry!$E$42:$E$59+$AI21*Geometry!$D$42:$D$59)&lt;eco)+eco*(($AG21+$AH21*Geometry!$E$42:$E$59+$AI21*Geometry!$D$42:$D$59)&gt;=eco))/eco)^n)*((($AG21+$AH21*Geometry!$E$42:$E$59+$AI21*Geometry!$D$42:$D$59))&gt;0))),Geometry!$F$42:$F$59,Geometry!$D$42:$D$59))/1000000</f>
      </c>
      <c r="DG21" s="32">
        <f>(SUMPRODUCT(alpha*fck*(1-(1-((($AJ21+$AK21*Mesh_Y+$AL21*Mesh_X))*(($AJ21+$AK21*Mesh_Y+$AL21*Mesh_X)&gt;0)*(($AJ21+$AK21*Mesh_Y+$AL21*Mesh_X)&lt;eco)+eco*(($AJ21+$AK21*Mesh_Y+$AL21*Mesh_X)&gt;=eco))/eco)^n)*((($AJ21+$AK21*Mesh_Y+$AL21*Mesh_X))&gt;0),Mesh_A,Mesh_X)+SUMPRODUCT((Es*(($AJ21+$AK21*Geometry!$E$42:$E$59+$AL21*Geometry!$D$42:$D$59))*(ABS(Es*(($AJ21+$AK21*Geometry!$E$42:$E$59+$AL21*Geometry!$D$42:$D$59)))&lt;=fy)+fy*(Es*(($AJ21+$AK21*Geometry!$E$42:$E$59+$AL21*Geometry!$D$42:$D$59))&gt;fy)-fy*(Es*(($AJ21+$AK21*Geometry!$E$42:$E$59+$AL21*Geometry!$D$42:$D$59))&lt;-fy)-(alpha*fck*(1-(1-((($AJ21+$AK21*Geometry!$E$42:$E$59+$AL21*Geometry!$D$42:$D$59))*(($AJ21+$AK21*Geometry!$E$42:$E$59+$AL21*Geometry!$D$42:$D$59)&gt;0)*(($AJ21+$AK21*Geometry!$E$42:$E$59+$AL21*Geometry!$D$42:$D$59)&lt;eco)+eco*(($AJ21+$AK21*Geometry!$E$42:$E$59+$AL21*Geometry!$D$42:$D$59)&gt;=eco))/eco)^n)*((($AJ21+$AK21*Geometry!$E$42:$E$59+$AL21*Geometry!$D$42:$D$59))&gt;0))),Geometry!$F$42:$F$59,Geometry!$D$42:$D$59))/1000000</f>
      </c>
      <c r="DH21" s="32">
        <f>(SUMPRODUCT(alpha*fck*(1-(1-((($AM21+$AN21*Mesh_Y+$AO21*Mesh_X))*(($AM21+$AN21*Mesh_Y+$AO21*Mesh_X)&gt;0)*(($AM21+$AN21*Mesh_Y+$AO21*Mesh_X)&lt;eco)+eco*(($AM21+$AN21*Mesh_Y+$AO21*Mesh_X)&gt;=eco))/eco)^n)*((($AM21+$AN21*Mesh_Y+$AO21*Mesh_X))&gt;0),Mesh_A,Mesh_X)+SUMPRODUCT((Es*(($AM21+$AN21*Geometry!$E$42:$E$59+$AO21*Geometry!$D$42:$D$59))*(ABS(Es*(($AM21+$AN21*Geometry!$E$42:$E$59+$AO21*Geometry!$D$42:$D$59)))&lt;=fy)+fy*(Es*(($AM21+$AN21*Geometry!$E$42:$E$59+$AO21*Geometry!$D$42:$D$59))&gt;fy)-fy*(Es*(($AM21+$AN21*Geometry!$E$42:$E$59+$AO21*Geometry!$D$42:$D$59))&lt;-fy)-(alpha*fck*(1-(1-((($AM21+$AN21*Geometry!$E$42:$E$59+$AO21*Geometry!$D$42:$D$59))*(($AM21+$AN21*Geometry!$E$42:$E$59+$AO21*Geometry!$D$42:$D$59)&gt;0)*(($AM21+$AN21*Geometry!$E$42:$E$59+$AO21*Geometry!$D$42:$D$59)&lt;eco)+eco*(($AM21+$AN21*Geometry!$E$42:$E$59+$AO21*Geometry!$D$42:$D$59)&gt;=eco))/eco)^n)*((($AM21+$AN21*Geometry!$E$42:$E$59+$AO21*Geometry!$D$42:$D$59))&gt;0))),Geometry!$F$42:$F$59,Geometry!$D$42:$D$59))/1000000</f>
      </c>
      <c r="DI21" s="32">
        <f>(SUMPRODUCT(alpha*fck*(1-(1-((($AP21+$AQ21*Mesh_Y+$AR21*Mesh_X))*(($AP21+$AQ21*Mesh_Y+$AR21*Mesh_X)&gt;0)*(($AP21+$AQ21*Mesh_Y+$AR21*Mesh_X)&lt;eco)+eco*(($AP21+$AQ21*Mesh_Y+$AR21*Mesh_X)&gt;=eco))/eco)^n)*((($AP21+$AQ21*Mesh_Y+$AR21*Mesh_X))&gt;0),Mesh_A,Mesh_X)+SUMPRODUCT((Es*(($AP21+$AQ21*Geometry!$E$42:$E$59+$AR21*Geometry!$D$42:$D$59))*(ABS(Es*(($AP21+$AQ21*Geometry!$E$42:$E$59+$AR21*Geometry!$D$42:$D$59)))&lt;=fy)+fy*(Es*(($AP21+$AQ21*Geometry!$E$42:$E$59+$AR21*Geometry!$D$42:$D$59))&gt;fy)-fy*(Es*(($AP21+$AQ21*Geometry!$E$42:$E$59+$AR21*Geometry!$D$42:$D$59))&lt;-fy)-(alpha*fck*(1-(1-((($AP21+$AQ21*Geometry!$E$42:$E$59+$AR21*Geometry!$D$42:$D$59))*(($AP21+$AQ21*Geometry!$E$42:$E$59+$AR21*Geometry!$D$42:$D$59)&gt;0)*(($AP21+$AQ21*Geometry!$E$42:$E$59+$AR21*Geometry!$D$42:$D$59)&lt;eco)+eco*(($AP21+$AQ21*Geometry!$E$42:$E$59+$AR21*Geometry!$D$42:$D$59)&gt;=eco))/eco)^n)*((($AP21+$AQ21*Geometry!$E$42:$E$59+$AR21*Geometry!$D$42:$D$59))&gt;0))),Geometry!$F$42:$F$59,Geometry!$D$42:$D$59))/1000000</f>
      </c>
      <c r="DJ21" s="32">
        <f>(SUMPRODUCT(alpha*fck*(1-(1-((($AS21+$AT21*Mesh_Y+$AU21*Mesh_X))*(($AS21+$AT21*Mesh_Y+$AU21*Mesh_X)&gt;0)*(($AS21+$AT21*Mesh_Y+$AU21*Mesh_X)&lt;eco)+eco*(($AS21+$AT21*Mesh_Y+$AU21*Mesh_X)&gt;=eco))/eco)^n)*((($AS21+$AT21*Mesh_Y+$AU21*Mesh_X))&gt;0),Mesh_A,Mesh_X)+SUMPRODUCT((Es*(($AS21+$AT21*Geometry!$E$42:$E$59+$AU21*Geometry!$D$42:$D$59))*(ABS(Es*(($AS21+$AT21*Geometry!$E$42:$E$59+$AU21*Geometry!$D$42:$D$59)))&lt;=fy)+fy*(Es*(($AS21+$AT21*Geometry!$E$42:$E$59+$AU21*Geometry!$D$42:$D$59))&gt;fy)-fy*(Es*(($AS21+$AT21*Geometry!$E$42:$E$59+$AU21*Geometry!$D$42:$D$59))&lt;-fy)-(alpha*fck*(1-(1-((($AS21+$AT21*Geometry!$E$42:$E$59+$AU21*Geometry!$D$42:$D$59))*(($AS21+$AT21*Geometry!$E$42:$E$59+$AU21*Geometry!$D$42:$D$59)&gt;0)*(($AS21+$AT21*Geometry!$E$42:$E$59+$AU21*Geometry!$D$42:$D$59)&lt;eco)+eco*(($AS21+$AT21*Geometry!$E$42:$E$59+$AU21*Geometry!$D$42:$D$59)&gt;=eco))/eco)^n)*((($AS21+$AT21*Geometry!$E$42:$E$59+$AU21*Geometry!$D$42:$D$59))&gt;0))),Geometry!$F$42:$F$59,Geometry!$D$42:$D$59))/1000000</f>
      </c>
      <c r="DK21" s="32">
        <f>(SUMPRODUCT(alpha*fck*(1-(1-((($AV21+$AW21*Mesh_Y+$AX21*Mesh_X))*(($AV21+$AW21*Mesh_Y+$AX21*Mesh_X)&gt;0)*(($AV21+$AW21*Mesh_Y+$AX21*Mesh_X)&lt;eco)+eco*(($AV21+$AW21*Mesh_Y+$AX21*Mesh_X)&gt;=eco))/eco)^n)*((($AV21+$AW21*Mesh_Y+$AX21*Mesh_X))&gt;0),Mesh_A,Mesh_X)+SUMPRODUCT((Es*(($AV21+$AW21*Geometry!$E$42:$E$59+$AX21*Geometry!$D$42:$D$59))*(ABS(Es*(($AV21+$AW21*Geometry!$E$42:$E$59+$AX21*Geometry!$D$42:$D$59)))&lt;=fy)+fy*(Es*(($AV21+$AW21*Geometry!$E$42:$E$59+$AX21*Geometry!$D$42:$D$59))&gt;fy)-fy*(Es*(($AV21+$AW21*Geometry!$E$42:$E$59+$AX21*Geometry!$D$42:$D$59))&lt;-fy)-(alpha*fck*(1-(1-((($AV21+$AW21*Geometry!$E$42:$E$59+$AX21*Geometry!$D$42:$D$59))*(($AV21+$AW21*Geometry!$E$42:$E$59+$AX21*Geometry!$D$42:$D$59)&gt;0)*(($AV21+$AW21*Geometry!$E$42:$E$59+$AX21*Geometry!$D$42:$D$59)&lt;eco)+eco*(($AV21+$AW21*Geometry!$E$42:$E$59+$AX21*Geometry!$D$42:$D$59)&gt;=eco))/eco)^n)*((($AV21+$AW21*Geometry!$E$42:$E$59+$AX21*Geometry!$D$42:$D$59))&gt;0))),Geometry!$F$42:$F$59,Geometry!$D$42:$D$59))/1000000</f>
      </c>
      <c r="DL21" s="32">
        <f>(SUMPRODUCT(alpha*fck*(1-(1-((($AY21+$AZ21*Mesh_Y+$BA21*Mesh_X))*(($AY21+$AZ21*Mesh_Y+$BA21*Mesh_X)&gt;0)*(($AY21+$AZ21*Mesh_Y+$BA21*Mesh_X)&lt;eco)+eco*(($AY21+$AZ21*Mesh_Y+$BA21*Mesh_X)&gt;=eco))/eco)^n)*((($AY21+$AZ21*Mesh_Y+$BA21*Mesh_X))&gt;0),Mesh_A,Mesh_X)+SUMPRODUCT((Es*(($AY21+$AZ21*Geometry!$E$42:$E$59+$BA21*Geometry!$D$42:$D$59))*(ABS(Es*(($AY21+$AZ21*Geometry!$E$42:$E$59+$BA21*Geometry!$D$42:$D$59)))&lt;=fy)+fy*(Es*(($AY21+$AZ21*Geometry!$E$42:$E$59+$BA21*Geometry!$D$42:$D$59))&gt;fy)-fy*(Es*(($AY21+$AZ21*Geometry!$E$42:$E$59+$BA21*Geometry!$D$42:$D$59))&lt;-fy)-(alpha*fck*(1-(1-((($AY21+$AZ21*Geometry!$E$42:$E$59+$BA21*Geometry!$D$42:$D$59))*(($AY21+$AZ21*Geometry!$E$42:$E$59+$BA21*Geometry!$D$42:$D$59)&gt;0)*(($AY21+$AZ21*Geometry!$E$42:$E$59+$BA21*Geometry!$D$42:$D$59)&lt;eco)+eco*(($AY21+$AZ21*Geometry!$E$42:$E$59+$BA21*Geometry!$D$42:$D$59)&gt;=eco))/eco)^n)*((($AY21+$AZ21*Geometry!$E$42:$E$59+$BA21*Geometry!$D$42:$D$59))&gt;0))),Geometry!$F$42:$F$59,Geometry!$D$42:$D$59))/1000000</f>
      </c>
      <c r="DM21" s="32">
        <f>(SUMPRODUCT(alpha*fck*(1-(1-((($BB21+$BC21*Mesh_Y+$BD21*Mesh_X))*(($BB21+$BC21*Mesh_Y+$BD21*Mesh_X)&gt;0)*(($BB21+$BC21*Mesh_Y+$BD21*Mesh_X)&lt;eco)+eco*(($BB21+$BC21*Mesh_Y+$BD21*Mesh_X)&gt;=eco))/eco)^n)*((($BB21+$BC21*Mesh_Y+$BD21*Mesh_X))&gt;0),Mesh_A,Mesh_X)+SUMPRODUCT((Es*(($BB21+$BC21*Geometry!$E$42:$E$59+$BD21*Geometry!$D$42:$D$59))*(ABS(Es*(($BB21+$BC21*Geometry!$E$42:$E$59+$BD21*Geometry!$D$42:$D$59)))&lt;=fy)+fy*(Es*(($BB21+$BC21*Geometry!$E$42:$E$59+$BD21*Geometry!$D$42:$D$59))&gt;fy)-fy*(Es*(($BB21+$BC21*Geometry!$E$42:$E$59+$BD21*Geometry!$D$42:$D$59))&lt;-fy)-(alpha*fck*(1-(1-((($BB21+$BC21*Geometry!$E$42:$E$59+$BD21*Geometry!$D$42:$D$59))*(($BB21+$BC21*Geometry!$E$42:$E$59+$BD21*Geometry!$D$42:$D$59)&gt;0)*(($BB21+$BC21*Geometry!$E$42:$E$59+$BD21*Geometry!$D$42:$D$59)&lt;eco)+eco*(($BB21+$BC21*Geometry!$E$42:$E$59+$BD21*Geometry!$D$42:$D$59)&gt;=eco))/eco)^n)*((($BB21+$BC21*Geometry!$E$42:$E$59+$BD21*Geometry!$D$42:$D$59))&gt;0))),Geometry!$F$42:$F$59,Geometry!$D$42:$D$59))/1000000</f>
      </c>
      <c r="DN21" s="32">
        <f>(SUMPRODUCT(alpha*fck*(1-(1-((($BE21+$BF21*Mesh_Y+$BG21*Mesh_X))*(($BE21+$BF21*Mesh_Y+$BG21*Mesh_X)&gt;0)*(($BE21+$BF21*Mesh_Y+$BG21*Mesh_X)&lt;eco)+eco*(($BE21+$BF21*Mesh_Y+$BG21*Mesh_X)&gt;=eco))/eco)^n)*((($BE21+$BF21*Mesh_Y+$BG21*Mesh_X))&gt;0),Mesh_A,Mesh_X)+SUMPRODUCT((Es*(($BE21+$BF21*Geometry!$E$42:$E$59+$BG21*Geometry!$D$42:$D$59))*(ABS(Es*(($BE21+$BF21*Geometry!$E$42:$E$59+$BG21*Geometry!$D$42:$D$59)))&lt;=fy)+fy*(Es*(($BE21+$BF21*Geometry!$E$42:$E$59+$BG21*Geometry!$D$42:$D$59))&gt;fy)-fy*(Es*(($BE21+$BF21*Geometry!$E$42:$E$59+$BG21*Geometry!$D$42:$D$59))&lt;-fy)-(alpha*fck*(1-(1-((($BE21+$BF21*Geometry!$E$42:$E$59+$BG21*Geometry!$D$42:$D$59))*(($BE21+$BF21*Geometry!$E$42:$E$59+$BG21*Geometry!$D$42:$D$59)&gt;0)*(($BE21+$BF21*Geometry!$E$42:$E$59+$BG21*Geometry!$D$42:$D$59)&lt;eco)+eco*(($BE21+$BF21*Geometry!$E$42:$E$59+$BG21*Geometry!$D$42:$D$59)&gt;=eco))/eco)^n)*((($BE21+$BF21*Geometry!$E$42:$E$59+$BG21*Geometry!$D$42:$D$59))&gt;0))),Geometry!$F$42:$F$59,Geometry!$D$42:$D$59))/1000000</f>
      </c>
      <c r="DO21" s="32">
        <f>(SUMPRODUCT(alpha*fck*(1-(1-((($BH21+$BI21*Mesh_Y+$BJ21*Mesh_X))*(($BH21+$BI21*Mesh_Y+$BJ21*Mesh_X)&gt;0)*(($BH21+$BI21*Mesh_Y+$BJ21*Mesh_X)&lt;eco)+eco*(($BH21+$BI21*Mesh_Y+$BJ21*Mesh_X)&gt;=eco))/eco)^n)*((($BH21+$BI21*Mesh_Y+$BJ21*Mesh_X))&gt;0),Mesh_A,Mesh_X)+SUMPRODUCT((Es*(($BH21+$BI21*Geometry!$E$42:$E$59+$BJ21*Geometry!$D$42:$D$59))*(ABS(Es*(($BH21+$BI21*Geometry!$E$42:$E$59+$BJ21*Geometry!$D$42:$D$59)))&lt;=fy)+fy*(Es*(($BH21+$BI21*Geometry!$E$42:$E$59+$BJ21*Geometry!$D$42:$D$59))&gt;fy)-fy*(Es*(($BH21+$BI21*Geometry!$E$42:$E$59+$BJ21*Geometry!$D$42:$D$59))&lt;-fy)-(alpha*fck*(1-(1-((($BH21+$BI21*Geometry!$E$42:$E$59+$BJ21*Geometry!$D$42:$D$59))*(($BH21+$BI21*Geometry!$E$42:$E$59+$BJ21*Geometry!$D$42:$D$59)&gt;0)*(($BH21+$BI21*Geometry!$E$42:$E$59+$BJ21*Geometry!$D$42:$D$59)&lt;eco)+eco*(($BH21+$BI21*Geometry!$E$42:$E$59+$BJ21*Geometry!$D$42:$D$59)&gt;=eco))/eco)^n)*((($BH21+$BI21*Geometry!$E$42:$E$59+$BJ21*Geometry!$D$42:$D$59))&gt;0))),Geometry!$F$42:$F$59,Geometry!$D$42:$D$59))/1000000</f>
      </c>
      <c r="DP21" s="45">
        <f>MAX(1,MIN(18,SUMPRODUCT(--($BK21:$CC21&gt;=Pu))))</f>
      </c>
      <c r="DQ21" s="46">
        <f>(Pu-INDEX($BK21:$CC21,1,$DP21))/(INDEX($BK21:$CC21,1,$DP21+1)-INDEX($BK21:$CC21,1,$DP21))</f>
      </c>
      <c r="DR21" s="33">
        <f>INDEX($CD21:$CV21,1,$DP21)+$DQ21*(INDEX($CD21:$CV21,1,$DP21+1)-INDEX($CD21:$CV21,1,$DP21))</f>
      </c>
      <c r="DS21" s="33">
        <f>INDEX($CW21:$DO21,1,$DP21)+$DQ21*(INDEX($CW21:$DO21,1,$DP21+1)-INDEX($CW21:$DO21,1,$DP21))</f>
      </c>
      <c r="DT21" s="33">
        <f>SQRT(DR21^2+DS21^2)</f>
      </c>
    </row>
    <row r="22" spans="1:124" x14ac:dyDescent="0.25">
      <c r="A22">
        <v>15</v>
      </c>
      <c r="B22" s="43">
        <v>210</v>
      </c>
      <c r="C22" s="12">
        <f>MAX(SUMPRODUCT(MAX((Geometry!$E$6:$E$13)*COS(RADIANS($B22))+(Geometry!$D$6:$D$13)*SIN(RADIANS($B22)))))</f>
      </c>
      <c r="D22" s="12">
        <f>SUMPRODUCT(MIN((Geometry!$E$42:$E$59)*COS(RADIANS($B22))+(Geometry!$D$42:$D$59)*SIN(RADIANS($B22))))</f>
      </c>
      <c r="E22" s="12">
        <f>C22-D22</f>
      </c>
      <c r="F22" s="30">
        <f>ecu</f>
      </c>
      <c r="G22" s="44">
        <f>0*COS(RADIANS($B22))</f>
      </c>
      <c r="H22" s="44">
        <f>0*SIN(RADIANS($B22))</f>
      </c>
      <c r="I22" s="30">
        <f>ecu-((ecu-0)/($C22-($C22-PM_Angle!$C$8*$E22)))*$C22</f>
      </c>
      <c r="J22" s="44">
        <f>((ecu-0)/($C22-($C22-PM_Angle!$C$8*$E22)))*COS(RADIANS($B22))</f>
      </c>
      <c r="K22" s="44">
        <f>((ecu-0)/($C22-($C22-PM_Angle!$C$8*$E22)))*SIN(RADIANS($B22))</f>
      </c>
      <c r="L22" s="30">
        <f>ecu-((ecu-0)/($C22-($C22-PM_Angle!$C$9*$E22)))*$C22</f>
      </c>
      <c r="M22" s="44">
        <f>((ecu-0)/($C22-($C22-PM_Angle!$C$9*$E22)))*COS(RADIANS($B22))</f>
      </c>
      <c r="N22" s="44">
        <f>((ecu-0)/($C22-($C22-PM_Angle!$C$9*$E22)))*SIN(RADIANS($B22))</f>
      </c>
      <c r="O22" s="30">
        <f>ecu-((ecu-0)/($C22-($C22-PM_Angle!$C$10*$E22)))*$C22</f>
      </c>
      <c r="P22" s="44">
        <f>((ecu-0)/($C22-($C22-PM_Angle!$C$10*$E22)))*COS(RADIANS($B22))</f>
      </c>
      <c r="Q22" s="44">
        <f>((ecu-0)/($C22-($C22-PM_Angle!$C$10*$E22)))*SIN(RADIANS($B22))</f>
      </c>
      <c r="R22" s="30">
        <f>ecu-((ecu-0)/($C22-($C22-PM_Angle!$C$11*$E22)))*$C22</f>
      </c>
      <c r="S22" s="44">
        <f>((ecu-0)/($C22-($C22-PM_Angle!$C$11*$E22)))*COS(RADIANS($B22))</f>
      </c>
      <c r="T22" s="44">
        <f>((ecu-0)/($C22-($C22-PM_Angle!$C$11*$E22)))*SIN(RADIANS($B22))</f>
      </c>
      <c r="U22" s="30">
        <f>ecu-((ecu-(-PM_Angle!$E$12))/($C22-$D22))*$C22</f>
      </c>
      <c r="V22" s="44">
        <f>((ecu-(-PM_Angle!$E$12))/($C22-$D22))*COS(RADIANS($B22))</f>
      </c>
      <c r="W22" s="44">
        <f>((ecu-(-PM_Angle!$E$12))/($C22-$D22))*SIN(RADIANS($B22))</f>
      </c>
      <c r="X22" s="30">
        <f>ecu-((ecu-(-PM_Angle!$D$13*fy/Es))/($C22-$D22))*$C22</f>
      </c>
      <c r="Y22" s="44">
        <f>((ecu-(-PM_Angle!$D$13*fy/Es))/($C22-$D22))*COS(RADIANS($B22))</f>
      </c>
      <c r="Z22" s="44">
        <f>((ecu-(-PM_Angle!$D$13*fy/Es))/($C22-$D22))*SIN(RADIANS($B22))</f>
      </c>
      <c r="AA22" s="30">
        <f>ecu-((ecu-(-PM_Angle!$D$14*fy/Es))/($C22-$D22))*$C22</f>
      </c>
      <c r="AB22" s="44">
        <f>((ecu-(-PM_Angle!$D$14*fy/Es))/($C22-$D22))*COS(RADIANS($B22))</f>
      </c>
      <c r="AC22" s="44">
        <f>((ecu-(-PM_Angle!$D$14*fy/Es))/($C22-$D22))*SIN(RADIANS($B22))</f>
      </c>
      <c r="AD22" s="30">
        <f>ecu-((ecu-(-PM_Angle!$D$15*fy/Es))/($C22-$D22))*$C22</f>
      </c>
      <c r="AE22" s="44">
        <f>((ecu-(-PM_Angle!$D$15*fy/Es))/($C22-$D22))*COS(RADIANS($B22))</f>
      </c>
      <c r="AF22" s="44">
        <f>((ecu-(-PM_Angle!$D$15*fy/Es))/($C22-$D22))*SIN(RADIANS($B22))</f>
      </c>
      <c r="AG22" s="30">
        <f>ecu-((ecu-(-PM_Angle!$D$16*fy/Es))/($C22-$D22))*$C22</f>
      </c>
      <c r="AH22" s="44">
        <f>((ecu-(-PM_Angle!$D$16*fy/Es))/($C22-$D22))*COS(RADIANS($B22))</f>
      </c>
      <c r="AI22" s="44">
        <f>((ecu-(-PM_Angle!$D$16*fy/Es))/($C22-$D22))*SIN(RADIANS($B22))</f>
      </c>
      <c r="AJ22" s="30">
        <f>ecu-((ecu-(-PM_Angle!$E$17))/($C22-$D22))*$C22</f>
      </c>
      <c r="AK22" s="44">
        <f>((ecu-(-PM_Angle!$E$17))/($C22-$D22))*COS(RADIANS($B22))</f>
      </c>
      <c r="AL22" s="44">
        <f>((ecu-(-PM_Angle!$E$17))/($C22-$D22))*SIN(RADIANS($B22))</f>
      </c>
      <c r="AM22" s="30">
        <f>ecu-((ecu-(-PM_Angle!$E$18))/($C22-$D22))*$C22</f>
      </c>
      <c r="AN22" s="44">
        <f>((ecu-(-PM_Angle!$E$18))/($C22-$D22))*COS(RADIANS($B22))</f>
      </c>
      <c r="AO22" s="44">
        <f>((ecu-(-PM_Angle!$E$18))/($C22-$D22))*SIN(RADIANS($B22))</f>
      </c>
      <c r="AP22" s="30">
        <f>ecu-((ecu-(-PM_Angle!$E$19))/($C22-$D22))*$C22</f>
      </c>
      <c r="AQ22" s="44">
        <f>((ecu-(-PM_Angle!$E$19))/($C22-$D22))*COS(RADIANS($B22))</f>
      </c>
      <c r="AR22" s="44">
        <f>((ecu-(-PM_Angle!$E$19))/($C22-$D22))*SIN(RADIANS($B22))</f>
      </c>
      <c r="AS22" s="30">
        <f>ecu-((ecu-(-PM_Angle!$E$20))/($C22-$D22))*$C22</f>
      </c>
      <c r="AT22" s="44">
        <f>((ecu-(-PM_Angle!$E$20))/($C22-$D22))*COS(RADIANS($B22))</f>
      </c>
      <c r="AU22" s="44">
        <f>((ecu-(-PM_Angle!$E$20))/($C22-$D22))*SIN(RADIANS($B22))</f>
      </c>
      <c r="AV22" s="30">
        <f>ecu-((ecu-(-PM_Angle!$E$21))/($C22-$D22))*$C22</f>
      </c>
      <c r="AW22" s="44">
        <f>((ecu-(-PM_Angle!$E$21))/($C22-$D22))*COS(RADIANS($B22))</f>
      </c>
      <c r="AX22" s="44">
        <f>((ecu-(-PM_Angle!$E$21))/($C22-$D22))*SIN(RADIANS($B22))</f>
      </c>
      <c r="AY22" s="30">
        <f>ecu-((ecu-(-PM_Angle!$E$22))/($C22-$D22))*$C22</f>
      </c>
      <c r="AZ22" s="44">
        <f>((ecu-(-PM_Angle!$E$22))/($C22-$D22))*COS(RADIANS($B22))</f>
      </c>
      <c r="BA22" s="44">
        <f>((ecu-(-PM_Angle!$E$22))/($C22-$D22))*SIN(RADIANS($B22))</f>
      </c>
      <c r="BB22" s="30">
        <f>ecu-((ecu-(-PM_Angle!$E$23))/($C22-$D22))*$C22</f>
      </c>
      <c r="BC22" s="44">
        <f>((ecu-(-PM_Angle!$E$23))/($C22-$D22))*COS(RADIANS($B22))</f>
      </c>
      <c r="BD22" s="44">
        <f>((ecu-(-PM_Angle!$E$23))/($C22-$D22))*SIN(RADIANS($B22))</f>
      </c>
      <c r="BE22" s="30">
        <f>ecu-((ecu-(-PM_Angle!$E$24))/($C22-$D22))*$C22</f>
      </c>
      <c r="BF22" s="44">
        <f>((ecu-(-PM_Angle!$E$24))/($C22-$D22))*COS(RADIANS($B22))</f>
      </c>
      <c r="BG22" s="44">
        <f>((ecu-(-PM_Angle!$E$24))/($C22-$D22))*SIN(RADIANS($B22))</f>
      </c>
      <c r="BH22" s="30">
        <f>etu</f>
      </c>
      <c r="BI22" s="44">
        <f>0*COS(RADIANS($B22))</f>
      </c>
      <c r="BJ22" s="44">
        <f>0*SIN(RADIANS($B22))</f>
      </c>
      <c r="BK22" s="32">
        <f>(SUMPRODUCT(alpha*fck*(1-(1-((($F22+$G22*Mesh_Y+$H22*Mesh_X))*(($F22+$G22*Mesh_Y+$H22*Mesh_X)&gt;0)*(($F22+$G22*Mesh_Y+$H22*Mesh_X)&lt;eco)+eco*(($F22+$G22*Mesh_Y+$H22*Mesh_X)&gt;=eco))/eco)^n)*((($F22+$G22*Mesh_Y+$H22*Mesh_X))&gt;0),Mesh_A)+SUMPRODUCT((Es*(($F22+$G22*Geometry!$E$42:$E$59+$H22*Geometry!$D$42:$D$59))*(ABS(Es*(($F22+$G22*Geometry!$E$42:$E$59+$H22*Geometry!$D$42:$D$59)))&lt;=fy)+fy*(Es*(($F22+$G22*Geometry!$E$42:$E$59+$H22*Geometry!$D$42:$D$59))&gt;fy)-fy*(Es*(($F22+$G22*Geometry!$E$42:$E$59+$H22*Geometry!$D$42:$D$59))&lt;-fy)-(alpha*fck*(1-(1-((($F22+$G22*Geometry!$E$42:$E$59+$H22*Geometry!$D$42:$D$59))*(($F22+$G22*Geometry!$E$42:$E$59+$H22*Geometry!$D$42:$D$59)&gt;0)*(($F22+$G22*Geometry!$E$42:$E$59+$H22*Geometry!$D$42:$D$59)&lt;eco)+eco*(($F22+$G22*Geometry!$E$42:$E$59+$H22*Geometry!$D$42:$D$59)&gt;=eco))/eco)^n)*((($F22+$G22*Geometry!$E$42:$E$59+$H22*Geometry!$D$42:$D$59))&gt;0))),Geometry!$F$42:$F$59))/1000</f>
      </c>
      <c r="BL22" s="32">
        <f>(SUMPRODUCT(alpha*fck*(1-(1-((($I22+$J22*Mesh_Y+$K22*Mesh_X))*(($I22+$J22*Mesh_Y+$K22*Mesh_X)&gt;0)*(($I22+$J22*Mesh_Y+$K22*Mesh_X)&lt;eco)+eco*(($I22+$J22*Mesh_Y+$K22*Mesh_X)&gt;=eco))/eco)^n)*((($I22+$J22*Mesh_Y+$K22*Mesh_X))&gt;0),Mesh_A)+SUMPRODUCT((Es*(($I22+$J22*Geometry!$E$42:$E$59+$K22*Geometry!$D$42:$D$59))*(ABS(Es*(($I22+$J22*Geometry!$E$42:$E$59+$K22*Geometry!$D$42:$D$59)))&lt;=fy)+fy*(Es*(($I22+$J22*Geometry!$E$42:$E$59+$K22*Geometry!$D$42:$D$59))&gt;fy)-fy*(Es*(($I22+$J22*Geometry!$E$42:$E$59+$K22*Geometry!$D$42:$D$59))&lt;-fy)-(alpha*fck*(1-(1-((($I22+$J22*Geometry!$E$42:$E$59+$K22*Geometry!$D$42:$D$59))*(($I22+$J22*Geometry!$E$42:$E$59+$K22*Geometry!$D$42:$D$59)&gt;0)*(($I22+$J22*Geometry!$E$42:$E$59+$K22*Geometry!$D$42:$D$59)&lt;eco)+eco*(($I22+$J22*Geometry!$E$42:$E$59+$K22*Geometry!$D$42:$D$59)&gt;=eco))/eco)^n)*((($I22+$J22*Geometry!$E$42:$E$59+$K22*Geometry!$D$42:$D$59))&gt;0))),Geometry!$F$42:$F$59))/1000</f>
      </c>
      <c r="BM22" s="32">
        <f>(SUMPRODUCT(alpha*fck*(1-(1-((($L22+$M22*Mesh_Y+$N22*Mesh_X))*(($L22+$M22*Mesh_Y+$N22*Mesh_X)&gt;0)*(($L22+$M22*Mesh_Y+$N22*Mesh_X)&lt;eco)+eco*(($L22+$M22*Mesh_Y+$N22*Mesh_X)&gt;=eco))/eco)^n)*((($L22+$M22*Mesh_Y+$N22*Mesh_X))&gt;0),Mesh_A)+SUMPRODUCT((Es*(($L22+$M22*Geometry!$E$42:$E$59+$N22*Geometry!$D$42:$D$59))*(ABS(Es*(($L22+$M22*Geometry!$E$42:$E$59+$N22*Geometry!$D$42:$D$59)))&lt;=fy)+fy*(Es*(($L22+$M22*Geometry!$E$42:$E$59+$N22*Geometry!$D$42:$D$59))&gt;fy)-fy*(Es*(($L22+$M22*Geometry!$E$42:$E$59+$N22*Geometry!$D$42:$D$59))&lt;-fy)-(alpha*fck*(1-(1-((($L22+$M22*Geometry!$E$42:$E$59+$N22*Geometry!$D$42:$D$59))*(($L22+$M22*Geometry!$E$42:$E$59+$N22*Geometry!$D$42:$D$59)&gt;0)*(($L22+$M22*Geometry!$E$42:$E$59+$N22*Geometry!$D$42:$D$59)&lt;eco)+eco*(($L22+$M22*Geometry!$E$42:$E$59+$N22*Geometry!$D$42:$D$59)&gt;=eco))/eco)^n)*((($L22+$M22*Geometry!$E$42:$E$59+$N22*Geometry!$D$42:$D$59))&gt;0))),Geometry!$F$42:$F$59))/1000</f>
      </c>
      <c r="BN22" s="32">
        <f>(SUMPRODUCT(alpha*fck*(1-(1-((($O22+$P22*Mesh_Y+$Q22*Mesh_X))*(($O22+$P22*Mesh_Y+$Q22*Mesh_X)&gt;0)*(($O22+$P22*Mesh_Y+$Q22*Mesh_X)&lt;eco)+eco*(($O22+$P22*Mesh_Y+$Q22*Mesh_X)&gt;=eco))/eco)^n)*((($O22+$P22*Mesh_Y+$Q22*Mesh_X))&gt;0),Mesh_A)+SUMPRODUCT((Es*(($O22+$P22*Geometry!$E$42:$E$59+$Q22*Geometry!$D$42:$D$59))*(ABS(Es*(($O22+$P22*Geometry!$E$42:$E$59+$Q22*Geometry!$D$42:$D$59)))&lt;=fy)+fy*(Es*(($O22+$P22*Geometry!$E$42:$E$59+$Q22*Geometry!$D$42:$D$59))&gt;fy)-fy*(Es*(($O22+$P22*Geometry!$E$42:$E$59+$Q22*Geometry!$D$42:$D$59))&lt;-fy)-(alpha*fck*(1-(1-((($O22+$P22*Geometry!$E$42:$E$59+$Q22*Geometry!$D$42:$D$59))*(($O22+$P22*Geometry!$E$42:$E$59+$Q22*Geometry!$D$42:$D$59)&gt;0)*(($O22+$P22*Geometry!$E$42:$E$59+$Q22*Geometry!$D$42:$D$59)&lt;eco)+eco*(($O22+$P22*Geometry!$E$42:$E$59+$Q22*Geometry!$D$42:$D$59)&gt;=eco))/eco)^n)*((($O22+$P22*Geometry!$E$42:$E$59+$Q22*Geometry!$D$42:$D$59))&gt;0))),Geometry!$F$42:$F$59))/1000</f>
      </c>
      <c r="BO22" s="32">
        <f>(SUMPRODUCT(alpha*fck*(1-(1-((($R22+$S22*Mesh_Y+$T22*Mesh_X))*(($R22+$S22*Mesh_Y+$T22*Mesh_X)&gt;0)*(($R22+$S22*Mesh_Y+$T22*Mesh_X)&lt;eco)+eco*(($R22+$S22*Mesh_Y+$T22*Mesh_X)&gt;=eco))/eco)^n)*((($R22+$S22*Mesh_Y+$T22*Mesh_X))&gt;0),Mesh_A)+SUMPRODUCT((Es*(($R22+$S22*Geometry!$E$42:$E$59+$T22*Geometry!$D$42:$D$59))*(ABS(Es*(($R22+$S22*Geometry!$E$42:$E$59+$T22*Geometry!$D$42:$D$59)))&lt;=fy)+fy*(Es*(($R22+$S22*Geometry!$E$42:$E$59+$T22*Geometry!$D$42:$D$59))&gt;fy)-fy*(Es*(($R22+$S22*Geometry!$E$42:$E$59+$T22*Geometry!$D$42:$D$59))&lt;-fy)-(alpha*fck*(1-(1-((($R22+$S22*Geometry!$E$42:$E$59+$T22*Geometry!$D$42:$D$59))*(($R22+$S22*Geometry!$E$42:$E$59+$T22*Geometry!$D$42:$D$59)&gt;0)*(($R22+$S22*Geometry!$E$42:$E$59+$T22*Geometry!$D$42:$D$59)&lt;eco)+eco*(($R22+$S22*Geometry!$E$42:$E$59+$T22*Geometry!$D$42:$D$59)&gt;=eco))/eco)^n)*((($R22+$S22*Geometry!$E$42:$E$59+$T22*Geometry!$D$42:$D$59))&gt;0))),Geometry!$F$42:$F$59))/1000</f>
      </c>
      <c r="BP22" s="32">
        <f>(SUMPRODUCT(alpha*fck*(1-(1-((($U22+$V22*Mesh_Y+$W22*Mesh_X))*(($U22+$V22*Mesh_Y+$W22*Mesh_X)&gt;0)*(($U22+$V22*Mesh_Y+$W22*Mesh_X)&lt;eco)+eco*(($U22+$V22*Mesh_Y+$W22*Mesh_X)&gt;=eco))/eco)^n)*((($U22+$V22*Mesh_Y+$W22*Mesh_X))&gt;0),Mesh_A)+SUMPRODUCT((Es*(($U22+$V22*Geometry!$E$42:$E$59+$W22*Geometry!$D$42:$D$59))*(ABS(Es*(($U22+$V22*Geometry!$E$42:$E$59+$W22*Geometry!$D$42:$D$59)))&lt;=fy)+fy*(Es*(($U22+$V22*Geometry!$E$42:$E$59+$W22*Geometry!$D$42:$D$59))&gt;fy)-fy*(Es*(($U22+$V22*Geometry!$E$42:$E$59+$W22*Geometry!$D$42:$D$59))&lt;-fy)-(alpha*fck*(1-(1-((($U22+$V22*Geometry!$E$42:$E$59+$W22*Geometry!$D$42:$D$59))*(($U22+$V22*Geometry!$E$42:$E$59+$W22*Geometry!$D$42:$D$59)&gt;0)*(($U22+$V22*Geometry!$E$42:$E$59+$W22*Geometry!$D$42:$D$59)&lt;eco)+eco*(($U22+$V22*Geometry!$E$42:$E$59+$W22*Geometry!$D$42:$D$59)&gt;=eco))/eco)^n)*((($U22+$V22*Geometry!$E$42:$E$59+$W22*Geometry!$D$42:$D$59))&gt;0))),Geometry!$F$42:$F$59))/1000</f>
      </c>
      <c r="BQ22" s="32">
        <f>(SUMPRODUCT(alpha*fck*(1-(1-((($X22+$Y22*Mesh_Y+$Z22*Mesh_X))*(($X22+$Y22*Mesh_Y+$Z22*Mesh_X)&gt;0)*(($X22+$Y22*Mesh_Y+$Z22*Mesh_X)&lt;eco)+eco*(($X22+$Y22*Mesh_Y+$Z22*Mesh_X)&gt;=eco))/eco)^n)*((($X22+$Y22*Mesh_Y+$Z22*Mesh_X))&gt;0),Mesh_A)+SUMPRODUCT((Es*(($X22+$Y22*Geometry!$E$42:$E$59+$Z22*Geometry!$D$42:$D$59))*(ABS(Es*(($X22+$Y22*Geometry!$E$42:$E$59+$Z22*Geometry!$D$42:$D$59)))&lt;=fy)+fy*(Es*(($X22+$Y22*Geometry!$E$42:$E$59+$Z22*Geometry!$D$42:$D$59))&gt;fy)-fy*(Es*(($X22+$Y22*Geometry!$E$42:$E$59+$Z22*Geometry!$D$42:$D$59))&lt;-fy)-(alpha*fck*(1-(1-((($X22+$Y22*Geometry!$E$42:$E$59+$Z22*Geometry!$D$42:$D$59))*(($X22+$Y22*Geometry!$E$42:$E$59+$Z22*Geometry!$D$42:$D$59)&gt;0)*(($X22+$Y22*Geometry!$E$42:$E$59+$Z22*Geometry!$D$42:$D$59)&lt;eco)+eco*(($X22+$Y22*Geometry!$E$42:$E$59+$Z22*Geometry!$D$42:$D$59)&gt;=eco))/eco)^n)*((($X22+$Y22*Geometry!$E$42:$E$59+$Z22*Geometry!$D$42:$D$59))&gt;0))),Geometry!$F$42:$F$59))/1000</f>
      </c>
      <c r="BR22" s="32">
        <f>(SUMPRODUCT(alpha*fck*(1-(1-((($AA22+$AB22*Mesh_Y+$AC22*Mesh_X))*(($AA22+$AB22*Mesh_Y+$AC22*Mesh_X)&gt;0)*(($AA22+$AB22*Mesh_Y+$AC22*Mesh_X)&lt;eco)+eco*(($AA22+$AB22*Mesh_Y+$AC22*Mesh_X)&gt;=eco))/eco)^n)*((($AA22+$AB22*Mesh_Y+$AC22*Mesh_X))&gt;0),Mesh_A)+SUMPRODUCT((Es*(($AA22+$AB22*Geometry!$E$42:$E$59+$AC22*Geometry!$D$42:$D$59))*(ABS(Es*(($AA22+$AB22*Geometry!$E$42:$E$59+$AC22*Geometry!$D$42:$D$59)))&lt;=fy)+fy*(Es*(($AA22+$AB22*Geometry!$E$42:$E$59+$AC22*Geometry!$D$42:$D$59))&gt;fy)-fy*(Es*(($AA22+$AB22*Geometry!$E$42:$E$59+$AC22*Geometry!$D$42:$D$59))&lt;-fy)-(alpha*fck*(1-(1-((($AA22+$AB22*Geometry!$E$42:$E$59+$AC22*Geometry!$D$42:$D$59))*(($AA22+$AB22*Geometry!$E$42:$E$59+$AC22*Geometry!$D$42:$D$59)&gt;0)*(($AA22+$AB22*Geometry!$E$42:$E$59+$AC22*Geometry!$D$42:$D$59)&lt;eco)+eco*(($AA22+$AB22*Geometry!$E$42:$E$59+$AC22*Geometry!$D$42:$D$59)&gt;=eco))/eco)^n)*((($AA22+$AB22*Geometry!$E$42:$E$59+$AC22*Geometry!$D$42:$D$59))&gt;0))),Geometry!$F$42:$F$59))/1000</f>
      </c>
      <c r="BS22" s="32">
        <f>(SUMPRODUCT(alpha*fck*(1-(1-((($AD22+$AE22*Mesh_Y+$AF22*Mesh_X))*(($AD22+$AE22*Mesh_Y+$AF22*Mesh_X)&gt;0)*(($AD22+$AE22*Mesh_Y+$AF22*Mesh_X)&lt;eco)+eco*(($AD22+$AE22*Mesh_Y+$AF22*Mesh_X)&gt;=eco))/eco)^n)*((($AD22+$AE22*Mesh_Y+$AF22*Mesh_X))&gt;0),Mesh_A)+SUMPRODUCT((Es*(($AD22+$AE22*Geometry!$E$42:$E$59+$AF22*Geometry!$D$42:$D$59))*(ABS(Es*(($AD22+$AE22*Geometry!$E$42:$E$59+$AF22*Geometry!$D$42:$D$59)))&lt;=fy)+fy*(Es*(($AD22+$AE22*Geometry!$E$42:$E$59+$AF22*Geometry!$D$42:$D$59))&gt;fy)-fy*(Es*(($AD22+$AE22*Geometry!$E$42:$E$59+$AF22*Geometry!$D$42:$D$59))&lt;-fy)-(alpha*fck*(1-(1-((($AD22+$AE22*Geometry!$E$42:$E$59+$AF22*Geometry!$D$42:$D$59))*(($AD22+$AE22*Geometry!$E$42:$E$59+$AF22*Geometry!$D$42:$D$59)&gt;0)*(($AD22+$AE22*Geometry!$E$42:$E$59+$AF22*Geometry!$D$42:$D$59)&lt;eco)+eco*(($AD22+$AE22*Geometry!$E$42:$E$59+$AF22*Geometry!$D$42:$D$59)&gt;=eco))/eco)^n)*((($AD22+$AE22*Geometry!$E$42:$E$59+$AF22*Geometry!$D$42:$D$59))&gt;0))),Geometry!$F$42:$F$59))/1000</f>
      </c>
      <c r="BT22" s="32">
        <f>(SUMPRODUCT(alpha*fck*(1-(1-((($AG22+$AH22*Mesh_Y+$AI22*Mesh_X))*(($AG22+$AH22*Mesh_Y+$AI22*Mesh_X)&gt;0)*(($AG22+$AH22*Mesh_Y+$AI22*Mesh_X)&lt;eco)+eco*(($AG22+$AH22*Mesh_Y+$AI22*Mesh_X)&gt;=eco))/eco)^n)*((($AG22+$AH22*Mesh_Y+$AI22*Mesh_X))&gt;0),Mesh_A)+SUMPRODUCT((Es*(($AG22+$AH22*Geometry!$E$42:$E$59+$AI22*Geometry!$D$42:$D$59))*(ABS(Es*(($AG22+$AH22*Geometry!$E$42:$E$59+$AI22*Geometry!$D$42:$D$59)))&lt;=fy)+fy*(Es*(($AG22+$AH22*Geometry!$E$42:$E$59+$AI22*Geometry!$D$42:$D$59))&gt;fy)-fy*(Es*(($AG22+$AH22*Geometry!$E$42:$E$59+$AI22*Geometry!$D$42:$D$59))&lt;-fy)-(alpha*fck*(1-(1-((($AG22+$AH22*Geometry!$E$42:$E$59+$AI22*Geometry!$D$42:$D$59))*(($AG22+$AH22*Geometry!$E$42:$E$59+$AI22*Geometry!$D$42:$D$59)&gt;0)*(($AG22+$AH22*Geometry!$E$42:$E$59+$AI22*Geometry!$D$42:$D$59)&lt;eco)+eco*(($AG22+$AH22*Geometry!$E$42:$E$59+$AI22*Geometry!$D$42:$D$59)&gt;=eco))/eco)^n)*((($AG22+$AH22*Geometry!$E$42:$E$59+$AI22*Geometry!$D$42:$D$59))&gt;0))),Geometry!$F$42:$F$59))/1000</f>
      </c>
      <c r="BU22" s="32">
        <f>(SUMPRODUCT(alpha*fck*(1-(1-((($AJ22+$AK22*Mesh_Y+$AL22*Mesh_X))*(($AJ22+$AK22*Mesh_Y+$AL22*Mesh_X)&gt;0)*(($AJ22+$AK22*Mesh_Y+$AL22*Mesh_X)&lt;eco)+eco*(($AJ22+$AK22*Mesh_Y+$AL22*Mesh_X)&gt;=eco))/eco)^n)*((($AJ22+$AK22*Mesh_Y+$AL22*Mesh_X))&gt;0),Mesh_A)+SUMPRODUCT((Es*(($AJ22+$AK22*Geometry!$E$42:$E$59+$AL22*Geometry!$D$42:$D$59))*(ABS(Es*(($AJ22+$AK22*Geometry!$E$42:$E$59+$AL22*Geometry!$D$42:$D$59)))&lt;=fy)+fy*(Es*(($AJ22+$AK22*Geometry!$E$42:$E$59+$AL22*Geometry!$D$42:$D$59))&gt;fy)-fy*(Es*(($AJ22+$AK22*Geometry!$E$42:$E$59+$AL22*Geometry!$D$42:$D$59))&lt;-fy)-(alpha*fck*(1-(1-((($AJ22+$AK22*Geometry!$E$42:$E$59+$AL22*Geometry!$D$42:$D$59))*(($AJ22+$AK22*Geometry!$E$42:$E$59+$AL22*Geometry!$D$42:$D$59)&gt;0)*(($AJ22+$AK22*Geometry!$E$42:$E$59+$AL22*Geometry!$D$42:$D$59)&lt;eco)+eco*(($AJ22+$AK22*Geometry!$E$42:$E$59+$AL22*Geometry!$D$42:$D$59)&gt;=eco))/eco)^n)*((($AJ22+$AK22*Geometry!$E$42:$E$59+$AL22*Geometry!$D$42:$D$59))&gt;0))),Geometry!$F$42:$F$59))/1000</f>
      </c>
      <c r="BV22" s="32">
        <f>(SUMPRODUCT(alpha*fck*(1-(1-((($AM22+$AN22*Mesh_Y+$AO22*Mesh_X))*(($AM22+$AN22*Mesh_Y+$AO22*Mesh_X)&gt;0)*(($AM22+$AN22*Mesh_Y+$AO22*Mesh_X)&lt;eco)+eco*(($AM22+$AN22*Mesh_Y+$AO22*Mesh_X)&gt;=eco))/eco)^n)*((($AM22+$AN22*Mesh_Y+$AO22*Mesh_X))&gt;0),Mesh_A)+SUMPRODUCT((Es*(($AM22+$AN22*Geometry!$E$42:$E$59+$AO22*Geometry!$D$42:$D$59))*(ABS(Es*(($AM22+$AN22*Geometry!$E$42:$E$59+$AO22*Geometry!$D$42:$D$59)))&lt;=fy)+fy*(Es*(($AM22+$AN22*Geometry!$E$42:$E$59+$AO22*Geometry!$D$42:$D$59))&gt;fy)-fy*(Es*(($AM22+$AN22*Geometry!$E$42:$E$59+$AO22*Geometry!$D$42:$D$59))&lt;-fy)-(alpha*fck*(1-(1-((($AM22+$AN22*Geometry!$E$42:$E$59+$AO22*Geometry!$D$42:$D$59))*(($AM22+$AN22*Geometry!$E$42:$E$59+$AO22*Geometry!$D$42:$D$59)&gt;0)*(($AM22+$AN22*Geometry!$E$42:$E$59+$AO22*Geometry!$D$42:$D$59)&lt;eco)+eco*(($AM22+$AN22*Geometry!$E$42:$E$59+$AO22*Geometry!$D$42:$D$59)&gt;=eco))/eco)^n)*((($AM22+$AN22*Geometry!$E$42:$E$59+$AO22*Geometry!$D$42:$D$59))&gt;0))),Geometry!$F$42:$F$59))/1000</f>
      </c>
      <c r="BW22" s="32">
        <f>(SUMPRODUCT(alpha*fck*(1-(1-((($AP22+$AQ22*Mesh_Y+$AR22*Mesh_X))*(($AP22+$AQ22*Mesh_Y+$AR22*Mesh_X)&gt;0)*(($AP22+$AQ22*Mesh_Y+$AR22*Mesh_X)&lt;eco)+eco*(($AP22+$AQ22*Mesh_Y+$AR22*Mesh_X)&gt;=eco))/eco)^n)*((($AP22+$AQ22*Mesh_Y+$AR22*Mesh_X))&gt;0),Mesh_A)+SUMPRODUCT((Es*(($AP22+$AQ22*Geometry!$E$42:$E$59+$AR22*Geometry!$D$42:$D$59))*(ABS(Es*(($AP22+$AQ22*Geometry!$E$42:$E$59+$AR22*Geometry!$D$42:$D$59)))&lt;=fy)+fy*(Es*(($AP22+$AQ22*Geometry!$E$42:$E$59+$AR22*Geometry!$D$42:$D$59))&gt;fy)-fy*(Es*(($AP22+$AQ22*Geometry!$E$42:$E$59+$AR22*Geometry!$D$42:$D$59))&lt;-fy)-(alpha*fck*(1-(1-((($AP22+$AQ22*Geometry!$E$42:$E$59+$AR22*Geometry!$D$42:$D$59))*(($AP22+$AQ22*Geometry!$E$42:$E$59+$AR22*Geometry!$D$42:$D$59)&gt;0)*(($AP22+$AQ22*Geometry!$E$42:$E$59+$AR22*Geometry!$D$42:$D$59)&lt;eco)+eco*(($AP22+$AQ22*Geometry!$E$42:$E$59+$AR22*Geometry!$D$42:$D$59)&gt;=eco))/eco)^n)*((($AP22+$AQ22*Geometry!$E$42:$E$59+$AR22*Geometry!$D$42:$D$59))&gt;0))),Geometry!$F$42:$F$59))/1000</f>
      </c>
      <c r="BX22" s="32">
        <f>(SUMPRODUCT(alpha*fck*(1-(1-((($AS22+$AT22*Mesh_Y+$AU22*Mesh_X))*(($AS22+$AT22*Mesh_Y+$AU22*Mesh_X)&gt;0)*(($AS22+$AT22*Mesh_Y+$AU22*Mesh_X)&lt;eco)+eco*(($AS22+$AT22*Mesh_Y+$AU22*Mesh_X)&gt;=eco))/eco)^n)*((($AS22+$AT22*Mesh_Y+$AU22*Mesh_X))&gt;0),Mesh_A)+SUMPRODUCT((Es*(($AS22+$AT22*Geometry!$E$42:$E$59+$AU22*Geometry!$D$42:$D$59))*(ABS(Es*(($AS22+$AT22*Geometry!$E$42:$E$59+$AU22*Geometry!$D$42:$D$59)))&lt;=fy)+fy*(Es*(($AS22+$AT22*Geometry!$E$42:$E$59+$AU22*Geometry!$D$42:$D$59))&gt;fy)-fy*(Es*(($AS22+$AT22*Geometry!$E$42:$E$59+$AU22*Geometry!$D$42:$D$59))&lt;-fy)-(alpha*fck*(1-(1-((($AS22+$AT22*Geometry!$E$42:$E$59+$AU22*Geometry!$D$42:$D$59))*(($AS22+$AT22*Geometry!$E$42:$E$59+$AU22*Geometry!$D$42:$D$59)&gt;0)*(($AS22+$AT22*Geometry!$E$42:$E$59+$AU22*Geometry!$D$42:$D$59)&lt;eco)+eco*(($AS22+$AT22*Geometry!$E$42:$E$59+$AU22*Geometry!$D$42:$D$59)&gt;=eco))/eco)^n)*((($AS22+$AT22*Geometry!$E$42:$E$59+$AU22*Geometry!$D$42:$D$59))&gt;0))),Geometry!$F$42:$F$59))/1000</f>
      </c>
      <c r="BY22" s="32">
        <f>(SUMPRODUCT(alpha*fck*(1-(1-((($AV22+$AW22*Mesh_Y+$AX22*Mesh_X))*(($AV22+$AW22*Mesh_Y+$AX22*Mesh_X)&gt;0)*(($AV22+$AW22*Mesh_Y+$AX22*Mesh_X)&lt;eco)+eco*(($AV22+$AW22*Mesh_Y+$AX22*Mesh_X)&gt;=eco))/eco)^n)*((($AV22+$AW22*Mesh_Y+$AX22*Mesh_X))&gt;0),Mesh_A)+SUMPRODUCT((Es*(($AV22+$AW22*Geometry!$E$42:$E$59+$AX22*Geometry!$D$42:$D$59))*(ABS(Es*(($AV22+$AW22*Geometry!$E$42:$E$59+$AX22*Geometry!$D$42:$D$59)))&lt;=fy)+fy*(Es*(($AV22+$AW22*Geometry!$E$42:$E$59+$AX22*Geometry!$D$42:$D$59))&gt;fy)-fy*(Es*(($AV22+$AW22*Geometry!$E$42:$E$59+$AX22*Geometry!$D$42:$D$59))&lt;-fy)-(alpha*fck*(1-(1-((($AV22+$AW22*Geometry!$E$42:$E$59+$AX22*Geometry!$D$42:$D$59))*(($AV22+$AW22*Geometry!$E$42:$E$59+$AX22*Geometry!$D$42:$D$59)&gt;0)*(($AV22+$AW22*Geometry!$E$42:$E$59+$AX22*Geometry!$D$42:$D$59)&lt;eco)+eco*(($AV22+$AW22*Geometry!$E$42:$E$59+$AX22*Geometry!$D$42:$D$59)&gt;=eco))/eco)^n)*((($AV22+$AW22*Geometry!$E$42:$E$59+$AX22*Geometry!$D$42:$D$59))&gt;0))),Geometry!$F$42:$F$59))/1000</f>
      </c>
      <c r="BZ22" s="32">
        <f>(SUMPRODUCT(alpha*fck*(1-(1-((($AY22+$AZ22*Mesh_Y+$BA22*Mesh_X))*(($AY22+$AZ22*Mesh_Y+$BA22*Mesh_X)&gt;0)*(($AY22+$AZ22*Mesh_Y+$BA22*Mesh_X)&lt;eco)+eco*(($AY22+$AZ22*Mesh_Y+$BA22*Mesh_X)&gt;=eco))/eco)^n)*((($AY22+$AZ22*Mesh_Y+$BA22*Mesh_X))&gt;0),Mesh_A)+SUMPRODUCT((Es*(($AY22+$AZ22*Geometry!$E$42:$E$59+$BA22*Geometry!$D$42:$D$59))*(ABS(Es*(($AY22+$AZ22*Geometry!$E$42:$E$59+$BA22*Geometry!$D$42:$D$59)))&lt;=fy)+fy*(Es*(($AY22+$AZ22*Geometry!$E$42:$E$59+$BA22*Geometry!$D$42:$D$59))&gt;fy)-fy*(Es*(($AY22+$AZ22*Geometry!$E$42:$E$59+$BA22*Geometry!$D$42:$D$59))&lt;-fy)-(alpha*fck*(1-(1-((($AY22+$AZ22*Geometry!$E$42:$E$59+$BA22*Geometry!$D$42:$D$59))*(($AY22+$AZ22*Geometry!$E$42:$E$59+$BA22*Geometry!$D$42:$D$59)&gt;0)*(($AY22+$AZ22*Geometry!$E$42:$E$59+$BA22*Geometry!$D$42:$D$59)&lt;eco)+eco*(($AY22+$AZ22*Geometry!$E$42:$E$59+$BA22*Geometry!$D$42:$D$59)&gt;=eco))/eco)^n)*((($AY22+$AZ22*Geometry!$E$42:$E$59+$BA22*Geometry!$D$42:$D$59))&gt;0))),Geometry!$F$42:$F$59))/1000</f>
      </c>
      <c r="CA22" s="32">
        <f>(SUMPRODUCT(alpha*fck*(1-(1-((($BB22+$BC22*Mesh_Y+$BD22*Mesh_X))*(($BB22+$BC22*Mesh_Y+$BD22*Mesh_X)&gt;0)*(($BB22+$BC22*Mesh_Y+$BD22*Mesh_X)&lt;eco)+eco*(($BB22+$BC22*Mesh_Y+$BD22*Mesh_X)&gt;=eco))/eco)^n)*((($BB22+$BC22*Mesh_Y+$BD22*Mesh_X))&gt;0),Mesh_A)+SUMPRODUCT((Es*(($BB22+$BC22*Geometry!$E$42:$E$59+$BD22*Geometry!$D$42:$D$59))*(ABS(Es*(($BB22+$BC22*Geometry!$E$42:$E$59+$BD22*Geometry!$D$42:$D$59)))&lt;=fy)+fy*(Es*(($BB22+$BC22*Geometry!$E$42:$E$59+$BD22*Geometry!$D$42:$D$59))&gt;fy)-fy*(Es*(($BB22+$BC22*Geometry!$E$42:$E$59+$BD22*Geometry!$D$42:$D$59))&lt;-fy)-(alpha*fck*(1-(1-((($BB22+$BC22*Geometry!$E$42:$E$59+$BD22*Geometry!$D$42:$D$59))*(($BB22+$BC22*Geometry!$E$42:$E$59+$BD22*Geometry!$D$42:$D$59)&gt;0)*(($BB22+$BC22*Geometry!$E$42:$E$59+$BD22*Geometry!$D$42:$D$59)&lt;eco)+eco*(($BB22+$BC22*Geometry!$E$42:$E$59+$BD22*Geometry!$D$42:$D$59)&gt;=eco))/eco)^n)*((($BB22+$BC22*Geometry!$E$42:$E$59+$BD22*Geometry!$D$42:$D$59))&gt;0))),Geometry!$F$42:$F$59))/1000</f>
      </c>
      <c r="CB22" s="32">
        <f>(SUMPRODUCT(alpha*fck*(1-(1-((($BE22+$BF22*Mesh_Y+$BG22*Mesh_X))*(($BE22+$BF22*Mesh_Y+$BG22*Mesh_X)&gt;0)*(($BE22+$BF22*Mesh_Y+$BG22*Mesh_X)&lt;eco)+eco*(($BE22+$BF22*Mesh_Y+$BG22*Mesh_X)&gt;=eco))/eco)^n)*((($BE22+$BF22*Mesh_Y+$BG22*Mesh_X))&gt;0),Mesh_A)+SUMPRODUCT((Es*(($BE22+$BF22*Geometry!$E$42:$E$59+$BG22*Geometry!$D$42:$D$59))*(ABS(Es*(($BE22+$BF22*Geometry!$E$42:$E$59+$BG22*Geometry!$D$42:$D$59)))&lt;=fy)+fy*(Es*(($BE22+$BF22*Geometry!$E$42:$E$59+$BG22*Geometry!$D$42:$D$59))&gt;fy)-fy*(Es*(($BE22+$BF22*Geometry!$E$42:$E$59+$BG22*Geometry!$D$42:$D$59))&lt;-fy)-(alpha*fck*(1-(1-((($BE22+$BF22*Geometry!$E$42:$E$59+$BG22*Geometry!$D$42:$D$59))*(($BE22+$BF22*Geometry!$E$42:$E$59+$BG22*Geometry!$D$42:$D$59)&gt;0)*(($BE22+$BF22*Geometry!$E$42:$E$59+$BG22*Geometry!$D$42:$D$59)&lt;eco)+eco*(($BE22+$BF22*Geometry!$E$42:$E$59+$BG22*Geometry!$D$42:$D$59)&gt;=eco))/eco)^n)*((($BE22+$BF22*Geometry!$E$42:$E$59+$BG22*Geometry!$D$42:$D$59))&gt;0))),Geometry!$F$42:$F$59))/1000</f>
      </c>
      <c r="CC22" s="32">
        <f>(SUMPRODUCT(alpha*fck*(1-(1-((($BH22+$BI22*Mesh_Y+$BJ22*Mesh_X))*(($BH22+$BI22*Mesh_Y+$BJ22*Mesh_X)&gt;0)*(($BH22+$BI22*Mesh_Y+$BJ22*Mesh_X)&lt;eco)+eco*(($BH22+$BI22*Mesh_Y+$BJ22*Mesh_X)&gt;=eco))/eco)^n)*((($BH22+$BI22*Mesh_Y+$BJ22*Mesh_X))&gt;0),Mesh_A)+SUMPRODUCT((Es*(($BH22+$BI22*Geometry!$E$42:$E$59+$BJ22*Geometry!$D$42:$D$59))*(ABS(Es*(($BH22+$BI22*Geometry!$E$42:$E$59+$BJ22*Geometry!$D$42:$D$59)))&lt;=fy)+fy*(Es*(($BH22+$BI22*Geometry!$E$42:$E$59+$BJ22*Geometry!$D$42:$D$59))&gt;fy)-fy*(Es*(($BH22+$BI22*Geometry!$E$42:$E$59+$BJ22*Geometry!$D$42:$D$59))&lt;-fy)-(alpha*fck*(1-(1-((($BH22+$BI22*Geometry!$E$42:$E$59+$BJ22*Geometry!$D$42:$D$59))*(($BH22+$BI22*Geometry!$E$42:$E$59+$BJ22*Geometry!$D$42:$D$59)&gt;0)*(($BH22+$BI22*Geometry!$E$42:$E$59+$BJ22*Geometry!$D$42:$D$59)&lt;eco)+eco*(($BH22+$BI22*Geometry!$E$42:$E$59+$BJ22*Geometry!$D$42:$D$59)&gt;=eco))/eco)^n)*((($BH22+$BI22*Geometry!$E$42:$E$59+$BJ22*Geometry!$D$42:$D$59))&gt;0))),Geometry!$F$42:$F$59))/1000</f>
      </c>
      <c r="CD22" s="32">
        <f>(SUMPRODUCT(alpha*fck*(1-(1-((($F22+$G22*Mesh_Y+$H22*Mesh_X))*(($F22+$G22*Mesh_Y+$H22*Mesh_X)&gt;0)*(($F22+$G22*Mesh_Y+$H22*Mesh_X)&lt;eco)+eco*(($F22+$G22*Mesh_Y+$H22*Mesh_X)&gt;=eco))/eco)^n)*((($F22+$G22*Mesh_Y+$H22*Mesh_X))&gt;0),Mesh_A,Mesh_Y)+SUMPRODUCT((Es*(($F22+$G22*Geometry!$E$42:$E$59+$H22*Geometry!$D$42:$D$59))*(ABS(Es*(($F22+$G22*Geometry!$E$42:$E$59+$H22*Geometry!$D$42:$D$59)))&lt;=fy)+fy*(Es*(($F22+$G22*Geometry!$E$42:$E$59+$H22*Geometry!$D$42:$D$59))&gt;fy)-fy*(Es*(($F22+$G22*Geometry!$E$42:$E$59+$H22*Geometry!$D$42:$D$59))&lt;-fy)-(alpha*fck*(1-(1-((($F22+$G22*Geometry!$E$42:$E$59+$H22*Geometry!$D$42:$D$59))*(($F22+$G22*Geometry!$E$42:$E$59+$H22*Geometry!$D$42:$D$59)&gt;0)*(($F22+$G22*Geometry!$E$42:$E$59+$H22*Geometry!$D$42:$D$59)&lt;eco)+eco*(($F22+$G22*Geometry!$E$42:$E$59+$H22*Geometry!$D$42:$D$59)&gt;=eco))/eco)^n)*((($F22+$G22*Geometry!$E$42:$E$59+$H22*Geometry!$D$42:$D$59))&gt;0))),Geometry!$F$42:$F$59,Geometry!$E$42:$E$59))/1000000</f>
      </c>
      <c r="CE22" s="32">
        <f>(SUMPRODUCT(alpha*fck*(1-(1-((($I22+$J22*Mesh_Y+$K22*Mesh_X))*(($I22+$J22*Mesh_Y+$K22*Mesh_X)&gt;0)*(($I22+$J22*Mesh_Y+$K22*Mesh_X)&lt;eco)+eco*(($I22+$J22*Mesh_Y+$K22*Mesh_X)&gt;=eco))/eco)^n)*((($I22+$J22*Mesh_Y+$K22*Mesh_X))&gt;0),Mesh_A,Mesh_Y)+SUMPRODUCT((Es*(($I22+$J22*Geometry!$E$42:$E$59+$K22*Geometry!$D$42:$D$59))*(ABS(Es*(($I22+$J22*Geometry!$E$42:$E$59+$K22*Geometry!$D$42:$D$59)))&lt;=fy)+fy*(Es*(($I22+$J22*Geometry!$E$42:$E$59+$K22*Geometry!$D$42:$D$59))&gt;fy)-fy*(Es*(($I22+$J22*Geometry!$E$42:$E$59+$K22*Geometry!$D$42:$D$59))&lt;-fy)-(alpha*fck*(1-(1-((($I22+$J22*Geometry!$E$42:$E$59+$K22*Geometry!$D$42:$D$59))*(($I22+$J22*Geometry!$E$42:$E$59+$K22*Geometry!$D$42:$D$59)&gt;0)*(($I22+$J22*Geometry!$E$42:$E$59+$K22*Geometry!$D$42:$D$59)&lt;eco)+eco*(($I22+$J22*Geometry!$E$42:$E$59+$K22*Geometry!$D$42:$D$59)&gt;=eco))/eco)^n)*((($I22+$J22*Geometry!$E$42:$E$59+$K22*Geometry!$D$42:$D$59))&gt;0))),Geometry!$F$42:$F$59,Geometry!$E$42:$E$59))/1000000</f>
      </c>
      <c r="CF22" s="32">
        <f>(SUMPRODUCT(alpha*fck*(1-(1-((($L22+$M22*Mesh_Y+$N22*Mesh_X))*(($L22+$M22*Mesh_Y+$N22*Mesh_X)&gt;0)*(($L22+$M22*Mesh_Y+$N22*Mesh_X)&lt;eco)+eco*(($L22+$M22*Mesh_Y+$N22*Mesh_X)&gt;=eco))/eco)^n)*((($L22+$M22*Mesh_Y+$N22*Mesh_X))&gt;0),Mesh_A,Mesh_Y)+SUMPRODUCT((Es*(($L22+$M22*Geometry!$E$42:$E$59+$N22*Geometry!$D$42:$D$59))*(ABS(Es*(($L22+$M22*Geometry!$E$42:$E$59+$N22*Geometry!$D$42:$D$59)))&lt;=fy)+fy*(Es*(($L22+$M22*Geometry!$E$42:$E$59+$N22*Geometry!$D$42:$D$59))&gt;fy)-fy*(Es*(($L22+$M22*Geometry!$E$42:$E$59+$N22*Geometry!$D$42:$D$59))&lt;-fy)-(alpha*fck*(1-(1-((($L22+$M22*Geometry!$E$42:$E$59+$N22*Geometry!$D$42:$D$59))*(($L22+$M22*Geometry!$E$42:$E$59+$N22*Geometry!$D$42:$D$59)&gt;0)*(($L22+$M22*Geometry!$E$42:$E$59+$N22*Geometry!$D$42:$D$59)&lt;eco)+eco*(($L22+$M22*Geometry!$E$42:$E$59+$N22*Geometry!$D$42:$D$59)&gt;=eco))/eco)^n)*((($L22+$M22*Geometry!$E$42:$E$59+$N22*Geometry!$D$42:$D$59))&gt;0))),Geometry!$F$42:$F$59,Geometry!$E$42:$E$59))/1000000</f>
      </c>
      <c r="CG22" s="32">
        <f>(SUMPRODUCT(alpha*fck*(1-(1-((($O22+$P22*Mesh_Y+$Q22*Mesh_X))*(($O22+$P22*Mesh_Y+$Q22*Mesh_X)&gt;0)*(($O22+$P22*Mesh_Y+$Q22*Mesh_X)&lt;eco)+eco*(($O22+$P22*Mesh_Y+$Q22*Mesh_X)&gt;=eco))/eco)^n)*((($O22+$P22*Mesh_Y+$Q22*Mesh_X))&gt;0),Mesh_A,Mesh_Y)+SUMPRODUCT((Es*(($O22+$P22*Geometry!$E$42:$E$59+$Q22*Geometry!$D$42:$D$59))*(ABS(Es*(($O22+$P22*Geometry!$E$42:$E$59+$Q22*Geometry!$D$42:$D$59)))&lt;=fy)+fy*(Es*(($O22+$P22*Geometry!$E$42:$E$59+$Q22*Geometry!$D$42:$D$59))&gt;fy)-fy*(Es*(($O22+$P22*Geometry!$E$42:$E$59+$Q22*Geometry!$D$42:$D$59))&lt;-fy)-(alpha*fck*(1-(1-((($O22+$P22*Geometry!$E$42:$E$59+$Q22*Geometry!$D$42:$D$59))*(($O22+$P22*Geometry!$E$42:$E$59+$Q22*Geometry!$D$42:$D$59)&gt;0)*(($O22+$P22*Geometry!$E$42:$E$59+$Q22*Geometry!$D$42:$D$59)&lt;eco)+eco*(($O22+$P22*Geometry!$E$42:$E$59+$Q22*Geometry!$D$42:$D$59)&gt;=eco))/eco)^n)*((($O22+$P22*Geometry!$E$42:$E$59+$Q22*Geometry!$D$42:$D$59))&gt;0))),Geometry!$F$42:$F$59,Geometry!$E$42:$E$59))/1000000</f>
      </c>
      <c r="CH22" s="32">
        <f>(SUMPRODUCT(alpha*fck*(1-(1-((($R22+$S22*Mesh_Y+$T22*Mesh_X))*(($R22+$S22*Mesh_Y+$T22*Mesh_X)&gt;0)*(($R22+$S22*Mesh_Y+$T22*Mesh_X)&lt;eco)+eco*(($R22+$S22*Mesh_Y+$T22*Mesh_X)&gt;=eco))/eco)^n)*((($R22+$S22*Mesh_Y+$T22*Mesh_X))&gt;0),Mesh_A,Mesh_Y)+SUMPRODUCT((Es*(($R22+$S22*Geometry!$E$42:$E$59+$T22*Geometry!$D$42:$D$59))*(ABS(Es*(($R22+$S22*Geometry!$E$42:$E$59+$T22*Geometry!$D$42:$D$59)))&lt;=fy)+fy*(Es*(($R22+$S22*Geometry!$E$42:$E$59+$T22*Geometry!$D$42:$D$59))&gt;fy)-fy*(Es*(($R22+$S22*Geometry!$E$42:$E$59+$T22*Geometry!$D$42:$D$59))&lt;-fy)-(alpha*fck*(1-(1-((($R22+$S22*Geometry!$E$42:$E$59+$T22*Geometry!$D$42:$D$59))*(($R22+$S22*Geometry!$E$42:$E$59+$T22*Geometry!$D$42:$D$59)&gt;0)*(($R22+$S22*Geometry!$E$42:$E$59+$T22*Geometry!$D$42:$D$59)&lt;eco)+eco*(($R22+$S22*Geometry!$E$42:$E$59+$T22*Geometry!$D$42:$D$59)&gt;=eco))/eco)^n)*((($R22+$S22*Geometry!$E$42:$E$59+$T22*Geometry!$D$42:$D$59))&gt;0))),Geometry!$F$42:$F$59,Geometry!$E$42:$E$59))/1000000</f>
      </c>
      <c r="CI22" s="32">
        <f>(SUMPRODUCT(alpha*fck*(1-(1-((($U22+$V22*Mesh_Y+$W22*Mesh_X))*(($U22+$V22*Mesh_Y+$W22*Mesh_X)&gt;0)*(($U22+$V22*Mesh_Y+$W22*Mesh_X)&lt;eco)+eco*(($U22+$V22*Mesh_Y+$W22*Mesh_X)&gt;=eco))/eco)^n)*((($U22+$V22*Mesh_Y+$W22*Mesh_X))&gt;0),Mesh_A,Mesh_Y)+SUMPRODUCT((Es*(($U22+$V22*Geometry!$E$42:$E$59+$W22*Geometry!$D$42:$D$59))*(ABS(Es*(($U22+$V22*Geometry!$E$42:$E$59+$W22*Geometry!$D$42:$D$59)))&lt;=fy)+fy*(Es*(($U22+$V22*Geometry!$E$42:$E$59+$W22*Geometry!$D$42:$D$59))&gt;fy)-fy*(Es*(($U22+$V22*Geometry!$E$42:$E$59+$W22*Geometry!$D$42:$D$59))&lt;-fy)-(alpha*fck*(1-(1-((($U22+$V22*Geometry!$E$42:$E$59+$W22*Geometry!$D$42:$D$59))*(($U22+$V22*Geometry!$E$42:$E$59+$W22*Geometry!$D$42:$D$59)&gt;0)*(($U22+$V22*Geometry!$E$42:$E$59+$W22*Geometry!$D$42:$D$59)&lt;eco)+eco*(($U22+$V22*Geometry!$E$42:$E$59+$W22*Geometry!$D$42:$D$59)&gt;=eco))/eco)^n)*((($U22+$V22*Geometry!$E$42:$E$59+$W22*Geometry!$D$42:$D$59))&gt;0))),Geometry!$F$42:$F$59,Geometry!$E$42:$E$59))/1000000</f>
      </c>
      <c r="CJ22" s="32">
        <f>(SUMPRODUCT(alpha*fck*(1-(1-((($X22+$Y22*Mesh_Y+$Z22*Mesh_X))*(($X22+$Y22*Mesh_Y+$Z22*Mesh_X)&gt;0)*(($X22+$Y22*Mesh_Y+$Z22*Mesh_X)&lt;eco)+eco*(($X22+$Y22*Mesh_Y+$Z22*Mesh_X)&gt;=eco))/eco)^n)*((($X22+$Y22*Mesh_Y+$Z22*Mesh_X))&gt;0),Mesh_A,Mesh_Y)+SUMPRODUCT((Es*(($X22+$Y22*Geometry!$E$42:$E$59+$Z22*Geometry!$D$42:$D$59))*(ABS(Es*(($X22+$Y22*Geometry!$E$42:$E$59+$Z22*Geometry!$D$42:$D$59)))&lt;=fy)+fy*(Es*(($X22+$Y22*Geometry!$E$42:$E$59+$Z22*Geometry!$D$42:$D$59))&gt;fy)-fy*(Es*(($X22+$Y22*Geometry!$E$42:$E$59+$Z22*Geometry!$D$42:$D$59))&lt;-fy)-(alpha*fck*(1-(1-((($X22+$Y22*Geometry!$E$42:$E$59+$Z22*Geometry!$D$42:$D$59))*(($X22+$Y22*Geometry!$E$42:$E$59+$Z22*Geometry!$D$42:$D$59)&gt;0)*(($X22+$Y22*Geometry!$E$42:$E$59+$Z22*Geometry!$D$42:$D$59)&lt;eco)+eco*(($X22+$Y22*Geometry!$E$42:$E$59+$Z22*Geometry!$D$42:$D$59)&gt;=eco))/eco)^n)*((($X22+$Y22*Geometry!$E$42:$E$59+$Z22*Geometry!$D$42:$D$59))&gt;0))),Geometry!$F$42:$F$59,Geometry!$E$42:$E$59))/1000000</f>
      </c>
      <c r="CK22" s="32">
        <f>(SUMPRODUCT(alpha*fck*(1-(1-((($AA22+$AB22*Mesh_Y+$AC22*Mesh_X))*(($AA22+$AB22*Mesh_Y+$AC22*Mesh_X)&gt;0)*(($AA22+$AB22*Mesh_Y+$AC22*Mesh_X)&lt;eco)+eco*(($AA22+$AB22*Mesh_Y+$AC22*Mesh_X)&gt;=eco))/eco)^n)*((($AA22+$AB22*Mesh_Y+$AC22*Mesh_X))&gt;0),Mesh_A,Mesh_Y)+SUMPRODUCT((Es*(($AA22+$AB22*Geometry!$E$42:$E$59+$AC22*Geometry!$D$42:$D$59))*(ABS(Es*(($AA22+$AB22*Geometry!$E$42:$E$59+$AC22*Geometry!$D$42:$D$59)))&lt;=fy)+fy*(Es*(($AA22+$AB22*Geometry!$E$42:$E$59+$AC22*Geometry!$D$42:$D$59))&gt;fy)-fy*(Es*(($AA22+$AB22*Geometry!$E$42:$E$59+$AC22*Geometry!$D$42:$D$59))&lt;-fy)-(alpha*fck*(1-(1-((($AA22+$AB22*Geometry!$E$42:$E$59+$AC22*Geometry!$D$42:$D$59))*(($AA22+$AB22*Geometry!$E$42:$E$59+$AC22*Geometry!$D$42:$D$59)&gt;0)*(($AA22+$AB22*Geometry!$E$42:$E$59+$AC22*Geometry!$D$42:$D$59)&lt;eco)+eco*(($AA22+$AB22*Geometry!$E$42:$E$59+$AC22*Geometry!$D$42:$D$59)&gt;=eco))/eco)^n)*((($AA22+$AB22*Geometry!$E$42:$E$59+$AC22*Geometry!$D$42:$D$59))&gt;0))),Geometry!$F$42:$F$59,Geometry!$E$42:$E$59))/1000000</f>
      </c>
      <c r="CL22" s="32">
        <f>(SUMPRODUCT(alpha*fck*(1-(1-((($AD22+$AE22*Mesh_Y+$AF22*Mesh_X))*(($AD22+$AE22*Mesh_Y+$AF22*Mesh_X)&gt;0)*(($AD22+$AE22*Mesh_Y+$AF22*Mesh_X)&lt;eco)+eco*(($AD22+$AE22*Mesh_Y+$AF22*Mesh_X)&gt;=eco))/eco)^n)*((($AD22+$AE22*Mesh_Y+$AF22*Mesh_X))&gt;0),Mesh_A,Mesh_Y)+SUMPRODUCT((Es*(($AD22+$AE22*Geometry!$E$42:$E$59+$AF22*Geometry!$D$42:$D$59))*(ABS(Es*(($AD22+$AE22*Geometry!$E$42:$E$59+$AF22*Geometry!$D$42:$D$59)))&lt;=fy)+fy*(Es*(($AD22+$AE22*Geometry!$E$42:$E$59+$AF22*Geometry!$D$42:$D$59))&gt;fy)-fy*(Es*(($AD22+$AE22*Geometry!$E$42:$E$59+$AF22*Geometry!$D$42:$D$59))&lt;-fy)-(alpha*fck*(1-(1-((($AD22+$AE22*Geometry!$E$42:$E$59+$AF22*Geometry!$D$42:$D$59))*(($AD22+$AE22*Geometry!$E$42:$E$59+$AF22*Geometry!$D$42:$D$59)&gt;0)*(($AD22+$AE22*Geometry!$E$42:$E$59+$AF22*Geometry!$D$42:$D$59)&lt;eco)+eco*(($AD22+$AE22*Geometry!$E$42:$E$59+$AF22*Geometry!$D$42:$D$59)&gt;=eco))/eco)^n)*((($AD22+$AE22*Geometry!$E$42:$E$59+$AF22*Geometry!$D$42:$D$59))&gt;0))),Geometry!$F$42:$F$59,Geometry!$E$42:$E$59))/1000000</f>
      </c>
      <c r="CM22" s="32">
        <f>(SUMPRODUCT(alpha*fck*(1-(1-((($AG22+$AH22*Mesh_Y+$AI22*Mesh_X))*(($AG22+$AH22*Mesh_Y+$AI22*Mesh_X)&gt;0)*(($AG22+$AH22*Mesh_Y+$AI22*Mesh_X)&lt;eco)+eco*(($AG22+$AH22*Mesh_Y+$AI22*Mesh_X)&gt;=eco))/eco)^n)*((($AG22+$AH22*Mesh_Y+$AI22*Mesh_X))&gt;0),Mesh_A,Mesh_Y)+SUMPRODUCT((Es*(($AG22+$AH22*Geometry!$E$42:$E$59+$AI22*Geometry!$D$42:$D$59))*(ABS(Es*(($AG22+$AH22*Geometry!$E$42:$E$59+$AI22*Geometry!$D$42:$D$59)))&lt;=fy)+fy*(Es*(($AG22+$AH22*Geometry!$E$42:$E$59+$AI22*Geometry!$D$42:$D$59))&gt;fy)-fy*(Es*(($AG22+$AH22*Geometry!$E$42:$E$59+$AI22*Geometry!$D$42:$D$59))&lt;-fy)-(alpha*fck*(1-(1-((($AG22+$AH22*Geometry!$E$42:$E$59+$AI22*Geometry!$D$42:$D$59))*(($AG22+$AH22*Geometry!$E$42:$E$59+$AI22*Geometry!$D$42:$D$59)&gt;0)*(($AG22+$AH22*Geometry!$E$42:$E$59+$AI22*Geometry!$D$42:$D$59)&lt;eco)+eco*(($AG22+$AH22*Geometry!$E$42:$E$59+$AI22*Geometry!$D$42:$D$59)&gt;=eco))/eco)^n)*((($AG22+$AH22*Geometry!$E$42:$E$59+$AI22*Geometry!$D$42:$D$59))&gt;0))),Geometry!$F$42:$F$59,Geometry!$E$42:$E$59))/1000000</f>
      </c>
      <c r="CN22" s="32">
        <f>(SUMPRODUCT(alpha*fck*(1-(1-((($AJ22+$AK22*Mesh_Y+$AL22*Mesh_X))*(($AJ22+$AK22*Mesh_Y+$AL22*Mesh_X)&gt;0)*(($AJ22+$AK22*Mesh_Y+$AL22*Mesh_X)&lt;eco)+eco*(($AJ22+$AK22*Mesh_Y+$AL22*Mesh_X)&gt;=eco))/eco)^n)*((($AJ22+$AK22*Mesh_Y+$AL22*Mesh_X))&gt;0),Mesh_A,Mesh_Y)+SUMPRODUCT((Es*(($AJ22+$AK22*Geometry!$E$42:$E$59+$AL22*Geometry!$D$42:$D$59))*(ABS(Es*(($AJ22+$AK22*Geometry!$E$42:$E$59+$AL22*Geometry!$D$42:$D$59)))&lt;=fy)+fy*(Es*(($AJ22+$AK22*Geometry!$E$42:$E$59+$AL22*Geometry!$D$42:$D$59))&gt;fy)-fy*(Es*(($AJ22+$AK22*Geometry!$E$42:$E$59+$AL22*Geometry!$D$42:$D$59))&lt;-fy)-(alpha*fck*(1-(1-((($AJ22+$AK22*Geometry!$E$42:$E$59+$AL22*Geometry!$D$42:$D$59))*(($AJ22+$AK22*Geometry!$E$42:$E$59+$AL22*Geometry!$D$42:$D$59)&gt;0)*(($AJ22+$AK22*Geometry!$E$42:$E$59+$AL22*Geometry!$D$42:$D$59)&lt;eco)+eco*(($AJ22+$AK22*Geometry!$E$42:$E$59+$AL22*Geometry!$D$42:$D$59)&gt;=eco))/eco)^n)*((($AJ22+$AK22*Geometry!$E$42:$E$59+$AL22*Geometry!$D$42:$D$59))&gt;0))),Geometry!$F$42:$F$59,Geometry!$E$42:$E$59))/1000000</f>
      </c>
      <c r="CO22" s="32">
        <f>(SUMPRODUCT(alpha*fck*(1-(1-((($AM22+$AN22*Mesh_Y+$AO22*Mesh_X))*(($AM22+$AN22*Mesh_Y+$AO22*Mesh_X)&gt;0)*(($AM22+$AN22*Mesh_Y+$AO22*Mesh_X)&lt;eco)+eco*(($AM22+$AN22*Mesh_Y+$AO22*Mesh_X)&gt;=eco))/eco)^n)*((($AM22+$AN22*Mesh_Y+$AO22*Mesh_X))&gt;0),Mesh_A,Mesh_Y)+SUMPRODUCT((Es*(($AM22+$AN22*Geometry!$E$42:$E$59+$AO22*Geometry!$D$42:$D$59))*(ABS(Es*(($AM22+$AN22*Geometry!$E$42:$E$59+$AO22*Geometry!$D$42:$D$59)))&lt;=fy)+fy*(Es*(($AM22+$AN22*Geometry!$E$42:$E$59+$AO22*Geometry!$D$42:$D$59))&gt;fy)-fy*(Es*(($AM22+$AN22*Geometry!$E$42:$E$59+$AO22*Geometry!$D$42:$D$59))&lt;-fy)-(alpha*fck*(1-(1-((($AM22+$AN22*Geometry!$E$42:$E$59+$AO22*Geometry!$D$42:$D$59))*(($AM22+$AN22*Geometry!$E$42:$E$59+$AO22*Geometry!$D$42:$D$59)&gt;0)*(($AM22+$AN22*Geometry!$E$42:$E$59+$AO22*Geometry!$D$42:$D$59)&lt;eco)+eco*(($AM22+$AN22*Geometry!$E$42:$E$59+$AO22*Geometry!$D$42:$D$59)&gt;=eco))/eco)^n)*((($AM22+$AN22*Geometry!$E$42:$E$59+$AO22*Geometry!$D$42:$D$59))&gt;0))),Geometry!$F$42:$F$59,Geometry!$E$42:$E$59))/1000000</f>
      </c>
      <c r="CP22" s="32">
        <f>(SUMPRODUCT(alpha*fck*(1-(1-((($AP22+$AQ22*Mesh_Y+$AR22*Mesh_X))*(($AP22+$AQ22*Mesh_Y+$AR22*Mesh_X)&gt;0)*(($AP22+$AQ22*Mesh_Y+$AR22*Mesh_X)&lt;eco)+eco*(($AP22+$AQ22*Mesh_Y+$AR22*Mesh_X)&gt;=eco))/eco)^n)*((($AP22+$AQ22*Mesh_Y+$AR22*Mesh_X))&gt;0),Mesh_A,Mesh_Y)+SUMPRODUCT((Es*(($AP22+$AQ22*Geometry!$E$42:$E$59+$AR22*Geometry!$D$42:$D$59))*(ABS(Es*(($AP22+$AQ22*Geometry!$E$42:$E$59+$AR22*Geometry!$D$42:$D$59)))&lt;=fy)+fy*(Es*(($AP22+$AQ22*Geometry!$E$42:$E$59+$AR22*Geometry!$D$42:$D$59))&gt;fy)-fy*(Es*(($AP22+$AQ22*Geometry!$E$42:$E$59+$AR22*Geometry!$D$42:$D$59))&lt;-fy)-(alpha*fck*(1-(1-((($AP22+$AQ22*Geometry!$E$42:$E$59+$AR22*Geometry!$D$42:$D$59))*(($AP22+$AQ22*Geometry!$E$42:$E$59+$AR22*Geometry!$D$42:$D$59)&gt;0)*(($AP22+$AQ22*Geometry!$E$42:$E$59+$AR22*Geometry!$D$42:$D$59)&lt;eco)+eco*(($AP22+$AQ22*Geometry!$E$42:$E$59+$AR22*Geometry!$D$42:$D$59)&gt;=eco))/eco)^n)*((($AP22+$AQ22*Geometry!$E$42:$E$59+$AR22*Geometry!$D$42:$D$59))&gt;0))),Geometry!$F$42:$F$59,Geometry!$E$42:$E$59))/1000000</f>
      </c>
      <c r="CQ22" s="32">
        <f>(SUMPRODUCT(alpha*fck*(1-(1-((($AS22+$AT22*Mesh_Y+$AU22*Mesh_X))*(($AS22+$AT22*Mesh_Y+$AU22*Mesh_X)&gt;0)*(($AS22+$AT22*Mesh_Y+$AU22*Mesh_X)&lt;eco)+eco*(($AS22+$AT22*Mesh_Y+$AU22*Mesh_X)&gt;=eco))/eco)^n)*((($AS22+$AT22*Mesh_Y+$AU22*Mesh_X))&gt;0),Mesh_A,Mesh_Y)+SUMPRODUCT((Es*(($AS22+$AT22*Geometry!$E$42:$E$59+$AU22*Geometry!$D$42:$D$59))*(ABS(Es*(($AS22+$AT22*Geometry!$E$42:$E$59+$AU22*Geometry!$D$42:$D$59)))&lt;=fy)+fy*(Es*(($AS22+$AT22*Geometry!$E$42:$E$59+$AU22*Geometry!$D$42:$D$59))&gt;fy)-fy*(Es*(($AS22+$AT22*Geometry!$E$42:$E$59+$AU22*Geometry!$D$42:$D$59))&lt;-fy)-(alpha*fck*(1-(1-((($AS22+$AT22*Geometry!$E$42:$E$59+$AU22*Geometry!$D$42:$D$59))*(($AS22+$AT22*Geometry!$E$42:$E$59+$AU22*Geometry!$D$42:$D$59)&gt;0)*(($AS22+$AT22*Geometry!$E$42:$E$59+$AU22*Geometry!$D$42:$D$59)&lt;eco)+eco*(($AS22+$AT22*Geometry!$E$42:$E$59+$AU22*Geometry!$D$42:$D$59)&gt;=eco))/eco)^n)*((($AS22+$AT22*Geometry!$E$42:$E$59+$AU22*Geometry!$D$42:$D$59))&gt;0))),Geometry!$F$42:$F$59,Geometry!$E$42:$E$59))/1000000</f>
      </c>
      <c r="CR22" s="32">
        <f>(SUMPRODUCT(alpha*fck*(1-(1-((($AV22+$AW22*Mesh_Y+$AX22*Mesh_X))*(($AV22+$AW22*Mesh_Y+$AX22*Mesh_X)&gt;0)*(($AV22+$AW22*Mesh_Y+$AX22*Mesh_X)&lt;eco)+eco*(($AV22+$AW22*Mesh_Y+$AX22*Mesh_X)&gt;=eco))/eco)^n)*((($AV22+$AW22*Mesh_Y+$AX22*Mesh_X))&gt;0),Mesh_A,Mesh_Y)+SUMPRODUCT((Es*(($AV22+$AW22*Geometry!$E$42:$E$59+$AX22*Geometry!$D$42:$D$59))*(ABS(Es*(($AV22+$AW22*Geometry!$E$42:$E$59+$AX22*Geometry!$D$42:$D$59)))&lt;=fy)+fy*(Es*(($AV22+$AW22*Geometry!$E$42:$E$59+$AX22*Geometry!$D$42:$D$59))&gt;fy)-fy*(Es*(($AV22+$AW22*Geometry!$E$42:$E$59+$AX22*Geometry!$D$42:$D$59))&lt;-fy)-(alpha*fck*(1-(1-((($AV22+$AW22*Geometry!$E$42:$E$59+$AX22*Geometry!$D$42:$D$59))*(($AV22+$AW22*Geometry!$E$42:$E$59+$AX22*Geometry!$D$42:$D$59)&gt;0)*(($AV22+$AW22*Geometry!$E$42:$E$59+$AX22*Geometry!$D$42:$D$59)&lt;eco)+eco*(($AV22+$AW22*Geometry!$E$42:$E$59+$AX22*Geometry!$D$42:$D$59)&gt;=eco))/eco)^n)*((($AV22+$AW22*Geometry!$E$42:$E$59+$AX22*Geometry!$D$42:$D$59))&gt;0))),Geometry!$F$42:$F$59,Geometry!$E$42:$E$59))/1000000</f>
      </c>
      <c r="CS22" s="32">
        <f>(SUMPRODUCT(alpha*fck*(1-(1-((($AY22+$AZ22*Mesh_Y+$BA22*Mesh_X))*(($AY22+$AZ22*Mesh_Y+$BA22*Mesh_X)&gt;0)*(($AY22+$AZ22*Mesh_Y+$BA22*Mesh_X)&lt;eco)+eco*(($AY22+$AZ22*Mesh_Y+$BA22*Mesh_X)&gt;=eco))/eco)^n)*((($AY22+$AZ22*Mesh_Y+$BA22*Mesh_X))&gt;0),Mesh_A,Mesh_Y)+SUMPRODUCT((Es*(($AY22+$AZ22*Geometry!$E$42:$E$59+$BA22*Geometry!$D$42:$D$59))*(ABS(Es*(($AY22+$AZ22*Geometry!$E$42:$E$59+$BA22*Geometry!$D$42:$D$59)))&lt;=fy)+fy*(Es*(($AY22+$AZ22*Geometry!$E$42:$E$59+$BA22*Geometry!$D$42:$D$59))&gt;fy)-fy*(Es*(($AY22+$AZ22*Geometry!$E$42:$E$59+$BA22*Geometry!$D$42:$D$59))&lt;-fy)-(alpha*fck*(1-(1-((($AY22+$AZ22*Geometry!$E$42:$E$59+$BA22*Geometry!$D$42:$D$59))*(($AY22+$AZ22*Geometry!$E$42:$E$59+$BA22*Geometry!$D$42:$D$59)&gt;0)*(($AY22+$AZ22*Geometry!$E$42:$E$59+$BA22*Geometry!$D$42:$D$59)&lt;eco)+eco*(($AY22+$AZ22*Geometry!$E$42:$E$59+$BA22*Geometry!$D$42:$D$59)&gt;=eco))/eco)^n)*((($AY22+$AZ22*Geometry!$E$42:$E$59+$BA22*Geometry!$D$42:$D$59))&gt;0))),Geometry!$F$42:$F$59,Geometry!$E$42:$E$59))/1000000</f>
      </c>
      <c r="CT22" s="32">
        <f>(SUMPRODUCT(alpha*fck*(1-(1-((($BB22+$BC22*Mesh_Y+$BD22*Mesh_X))*(($BB22+$BC22*Mesh_Y+$BD22*Mesh_X)&gt;0)*(($BB22+$BC22*Mesh_Y+$BD22*Mesh_X)&lt;eco)+eco*(($BB22+$BC22*Mesh_Y+$BD22*Mesh_X)&gt;=eco))/eco)^n)*((($BB22+$BC22*Mesh_Y+$BD22*Mesh_X))&gt;0),Mesh_A,Mesh_Y)+SUMPRODUCT((Es*(($BB22+$BC22*Geometry!$E$42:$E$59+$BD22*Geometry!$D$42:$D$59))*(ABS(Es*(($BB22+$BC22*Geometry!$E$42:$E$59+$BD22*Geometry!$D$42:$D$59)))&lt;=fy)+fy*(Es*(($BB22+$BC22*Geometry!$E$42:$E$59+$BD22*Geometry!$D$42:$D$59))&gt;fy)-fy*(Es*(($BB22+$BC22*Geometry!$E$42:$E$59+$BD22*Geometry!$D$42:$D$59))&lt;-fy)-(alpha*fck*(1-(1-((($BB22+$BC22*Geometry!$E$42:$E$59+$BD22*Geometry!$D$42:$D$59))*(($BB22+$BC22*Geometry!$E$42:$E$59+$BD22*Geometry!$D$42:$D$59)&gt;0)*(($BB22+$BC22*Geometry!$E$42:$E$59+$BD22*Geometry!$D$42:$D$59)&lt;eco)+eco*(($BB22+$BC22*Geometry!$E$42:$E$59+$BD22*Geometry!$D$42:$D$59)&gt;=eco))/eco)^n)*((($BB22+$BC22*Geometry!$E$42:$E$59+$BD22*Geometry!$D$42:$D$59))&gt;0))),Geometry!$F$42:$F$59,Geometry!$E$42:$E$59))/1000000</f>
      </c>
      <c r="CU22" s="32">
        <f>(SUMPRODUCT(alpha*fck*(1-(1-((($BE22+$BF22*Mesh_Y+$BG22*Mesh_X))*(($BE22+$BF22*Mesh_Y+$BG22*Mesh_X)&gt;0)*(($BE22+$BF22*Mesh_Y+$BG22*Mesh_X)&lt;eco)+eco*(($BE22+$BF22*Mesh_Y+$BG22*Mesh_X)&gt;=eco))/eco)^n)*((($BE22+$BF22*Mesh_Y+$BG22*Mesh_X))&gt;0),Mesh_A,Mesh_Y)+SUMPRODUCT((Es*(($BE22+$BF22*Geometry!$E$42:$E$59+$BG22*Geometry!$D$42:$D$59))*(ABS(Es*(($BE22+$BF22*Geometry!$E$42:$E$59+$BG22*Geometry!$D$42:$D$59)))&lt;=fy)+fy*(Es*(($BE22+$BF22*Geometry!$E$42:$E$59+$BG22*Geometry!$D$42:$D$59))&gt;fy)-fy*(Es*(($BE22+$BF22*Geometry!$E$42:$E$59+$BG22*Geometry!$D$42:$D$59))&lt;-fy)-(alpha*fck*(1-(1-((($BE22+$BF22*Geometry!$E$42:$E$59+$BG22*Geometry!$D$42:$D$59))*(($BE22+$BF22*Geometry!$E$42:$E$59+$BG22*Geometry!$D$42:$D$59)&gt;0)*(($BE22+$BF22*Geometry!$E$42:$E$59+$BG22*Geometry!$D$42:$D$59)&lt;eco)+eco*(($BE22+$BF22*Geometry!$E$42:$E$59+$BG22*Geometry!$D$42:$D$59)&gt;=eco))/eco)^n)*((($BE22+$BF22*Geometry!$E$42:$E$59+$BG22*Geometry!$D$42:$D$59))&gt;0))),Geometry!$F$42:$F$59,Geometry!$E$42:$E$59))/1000000</f>
      </c>
      <c r="CV22" s="32">
        <f>(SUMPRODUCT(alpha*fck*(1-(1-((($BH22+$BI22*Mesh_Y+$BJ22*Mesh_X))*(($BH22+$BI22*Mesh_Y+$BJ22*Mesh_X)&gt;0)*(($BH22+$BI22*Mesh_Y+$BJ22*Mesh_X)&lt;eco)+eco*(($BH22+$BI22*Mesh_Y+$BJ22*Mesh_X)&gt;=eco))/eco)^n)*((($BH22+$BI22*Mesh_Y+$BJ22*Mesh_X))&gt;0),Mesh_A,Mesh_Y)+SUMPRODUCT((Es*(($BH22+$BI22*Geometry!$E$42:$E$59+$BJ22*Geometry!$D$42:$D$59))*(ABS(Es*(($BH22+$BI22*Geometry!$E$42:$E$59+$BJ22*Geometry!$D$42:$D$59)))&lt;=fy)+fy*(Es*(($BH22+$BI22*Geometry!$E$42:$E$59+$BJ22*Geometry!$D$42:$D$59))&gt;fy)-fy*(Es*(($BH22+$BI22*Geometry!$E$42:$E$59+$BJ22*Geometry!$D$42:$D$59))&lt;-fy)-(alpha*fck*(1-(1-((($BH22+$BI22*Geometry!$E$42:$E$59+$BJ22*Geometry!$D$42:$D$59))*(($BH22+$BI22*Geometry!$E$42:$E$59+$BJ22*Geometry!$D$42:$D$59)&gt;0)*(($BH22+$BI22*Geometry!$E$42:$E$59+$BJ22*Geometry!$D$42:$D$59)&lt;eco)+eco*(($BH22+$BI22*Geometry!$E$42:$E$59+$BJ22*Geometry!$D$42:$D$59)&gt;=eco))/eco)^n)*((($BH22+$BI22*Geometry!$E$42:$E$59+$BJ22*Geometry!$D$42:$D$59))&gt;0))),Geometry!$F$42:$F$59,Geometry!$E$42:$E$59))/1000000</f>
      </c>
      <c r="CW22" s="32">
        <f>(SUMPRODUCT(alpha*fck*(1-(1-((($F22+$G22*Mesh_Y+$H22*Mesh_X))*(($F22+$G22*Mesh_Y+$H22*Mesh_X)&gt;0)*(($F22+$G22*Mesh_Y+$H22*Mesh_X)&lt;eco)+eco*(($F22+$G22*Mesh_Y+$H22*Mesh_X)&gt;=eco))/eco)^n)*((($F22+$G22*Mesh_Y+$H22*Mesh_X))&gt;0),Mesh_A,Mesh_X)+SUMPRODUCT((Es*(($F22+$G22*Geometry!$E$42:$E$59+$H22*Geometry!$D$42:$D$59))*(ABS(Es*(($F22+$G22*Geometry!$E$42:$E$59+$H22*Geometry!$D$42:$D$59)))&lt;=fy)+fy*(Es*(($F22+$G22*Geometry!$E$42:$E$59+$H22*Geometry!$D$42:$D$59))&gt;fy)-fy*(Es*(($F22+$G22*Geometry!$E$42:$E$59+$H22*Geometry!$D$42:$D$59))&lt;-fy)-(alpha*fck*(1-(1-((($F22+$G22*Geometry!$E$42:$E$59+$H22*Geometry!$D$42:$D$59))*(($F22+$G22*Geometry!$E$42:$E$59+$H22*Geometry!$D$42:$D$59)&gt;0)*(($F22+$G22*Geometry!$E$42:$E$59+$H22*Geometry!$D$42:$D$59)&lt;eco)+eco*(($F22+$G22*Geometry!$E$42:$E$59+$H22*Geometry!$D$42:$D$59)&gt;=eco))/eco)^n)*((($F22+$G22*Geometry!$E$42:$E$59+$H22*Geometry!$D$42:$D$59))&gt;0))),Geometry!$F$42:$F$59,Geometry!$D$42:$D$59))/1000000</f>
      </c>
      <c r="CX22" s="32">
        <f>(SUMPRODUCT(alpha*fck*(1-(1-((($I22+$J22*Mesh_Y+$K22*Mesh_X))*(($I22+$J22*Mesh_Y+$K22*Mesh_X)&gt;0)*(($I22+$J22*Mesh_Y+$K22*Mesh_X)&lt;eco)+eco*(($I22+$J22*Mesh_Y+$K22*Mesh_X)&gt;=eco))/eco)^n)*((($I22+$J22*Mesh_Y+$K22*Mesh_X))&gt;0),Mesh_A,Mesh_X)+SUMPRODUCT((Es*(($I22+$J22*Geometry!$E$42:$E$59+$K22*Geometry!$D$42:$D$59))*(ABS(Es*(($I22+$J22*Geometry!$E$42:$E$59+$K22*Geometry!$D$42:$D$59)))&lt;=fy)+fy*(Es*(($I22+$J22*Geometry!$E$42:$E$59+$K22*Geometry!$D$42:$D$59))&gt;fy)-fy*(Es*(($I22+$J22*Geometry!$E$42:$E$59+$K22*Geometry!$D$42:$D$59))&lt;-fy)-(alpha*fck*(1-(1-((($I22+$J22*Geometry!$E$42:$E$59+$K22*Geometry!$D$42:$D$59))*(($I22+$J22*Geometry!$E$42:$E$59+$K22*Geometry!$D$42:$D$59)&gt;0)*(($I22+$J22*Geometry!$E$42:$E$59+$K22*Geometry!$D$42:$D$59)&lt;eco)+eco*(($I22+$J22*Geometry!$E$42:$E$59+$K22*Geometry!$D$42:$D$59)&gt;=eco))/eco)^n)*((($I22+$J22*Geometry!$E$42:$E$59+$K22*Geometry!$D$42:$D$59))&gt;0))),Geometry!$F$42:$F$59,Geometry!$D$42:$D$59))/1000000</f>
      </c>
      <c r="CY22" s="32">
        <f>(SUMPRODUCT(alpha*fck*(1-(1-((($L22+$M22*Mesh_Y+$N22*Mesh_X))*(($L22+$M22*Mesh_Y+$N22*Mesh_X)&gt;0)*(($L22+$M22*Mesh_Y+$N22*Mesh_X)&lt;eco)+eco*(($L22+$M22*Mesh_Y+$N22*Mesh_X)&gt;=eco))/eco)^n)*((($L22+$M22*Mesh_Y+$N22*Mesh_X))&gt;0),Mesh_A,Mesh_X)+SUMPRODUCT((Es*(($L22+$M22*Geometry!$E$42:$E$59+$N22*Geometry!$D$42:$D$59))*(ABS(Es*(($L22+$M22*Geometry!$E$42:$E$59+$N22*Geometry!$D$42:$D$59)))&lt;=fy)+fy*(Es*(($L22+$M22*Geometry!$E$42:$E$59+$N22*Geometry!$D$42:$D$59))&gt;fy)-fy*(Es*(($L22+$M22*Geometry!$E$42:$E$59+$N22*Geometry!$D$42:$D$59))&lt;-fy)-(alpha*fck*(1-(1-((($L22+$M22*Geometry!$E$42:$E$59+$N22*Geometry!$D$42:$D$59))*(($L22+$M22*Geometry!$E$42:$E$59+$N22*Geometry!$D$42:$D$59)&gt;0)*(($L22+$M22*Geometry!$E$42:$E$59+$N22*Geometry!$D$42:$D$59)&lt;eco)+eco*(($L22+$M22*Geometry!$E$42:$E$59+$N22*Geometry!$D$42:$D$59)&gt;=eco))/eco)^n)*((($L22+$M22*Geometry!$E$42:$E$59+$N22*Geometry!$D$42:$D$59))&gt;0))),Geometry!$F$42:$F$59,Geometry!$D$42:$D$59))/1000000</f>
      </c>
      <c r="CZ22" s="32">
        <f>(SUMPRODUCT(alpha*fck*(1-(1-((($O22+$P22*Mesh_Y+$Q22*Mesh_X))*(($O22+$P22*Mesh_Y+$Q22*Mesh_X)&gt;0)*(($O22+$P22*Mesh_Y+$Q22*Mesh_X)&lt;eco)+eco*(($O22+$P22*Mesh_Y+$Q22*Mesh_X)&gt;=eco))/eco)^n)*((($O22+$P22*Mesh_Y+$Q22*Mesh_X))&gt;0),Mesh_A,Mesh_X)+SUMPRODUCT((Es*(($O22+$P22*Geometry!$E$42:$E$59+$Q22*Geometry!$D$42:$D$59))*(ABS(Es*(($O22+$P22*Geometry!$E$42:$E$59+$Q22*Geometry!$D$42:$D$59)))&lt;=fy)+fy*(Es*(($O22+$P22*Geometry!$E$42:$E$59+$Q22*Geometry!$D$42:$D$59))&gt;fy)-fy*(Es*(($O22+$P22*Geometry!$E$42:$E$59+$Q22*Geometry!$D$42:$D$59))&lt;-fy)-(alpha*fck*(1-(1-((($O22+$P22*Geometry!$E$42:$E$59+$Q22*Geometry!$D$42:$D$59))*(($O22+$P22*Geometry!$E$42:$E$59+$Q22*Geometry!$D$42:$D$59)&gt;0)*(($O22+$P22*Geometry!$E$42:$E$59+$Q22*Geometry!$D$42:$D$59)&lt;eco)+eco*(($O22+$P22*Geometry!$E$42:$E$59+$Q22*Geometry!$D$42:$D$59)&gt;=eco))/eco)^n)*((($O22+$P22*Geometry!$E$42:$E$59+$Q22*Geometry!$D$42:$D$59))&gt;0))),Geometry!$F$42:$F$59,Geometry!$D$42:$D$59))/1000000</f>
      </c>
      <c r="DA22" s="32">
        <f>(SUMPRODUCT(alpha*fck*(1-(1-((($R22+$S22*Mesh_Y+$T22*Mesh_X))*(($R22+$S22*Mesh_Y+$T22*Mesh_X)&gt;0)*(($R22+$S22*Mesh_Y+$T22*Mesh_X)&lt;eco)+eco*(($R22+$S22*Mesh_Y+$T22*Mesh_X)&gt;=eco))/eco)^n)*((($R22+$S22*Mesh_Y+$T22*Mesh_X))&gt;0),Mesh_A,Mesh_X)+SUMPRODUCT((Es*(($R22+$S22*Geometry!$E$42:$E$59+$T22*Geometry!$D$42:$D$59))*(ABS(Es*(($R22+$S22*Geometry!$E$42:$E$59+$T22*Geometry!$D$42:$D$59)))&lt;=fy)+fy*(Es*(($R22+$S22*Geometry!$E$42:$E$59+$T22*Geometry!$D$42:$D$59))&gt;fy)-fy*(Es*(($R22+$S22*Geometry!$E$42:$E$59+$T22*Geometry!$D$42:$D$59))&lt;-fy)-(alpha*fck*(1-(1-((($R22+$S22*Geometry!$E$42:$E$59+$T22*Geometry!$D$42:$D$59))*(($R22+$S22*Geometry!$E$42:$E$59+$T22*Geometry!$D$42:$D$59)&gt;0)*(($R22+$S22*Geometry!$E$42:$E$59+$T22*Geometry!$D$42:$D$59)&lt;eco)+eco*(($R22+$S22*Geometry!$E$42:$E$59+$T22*Geometry!$D$42:$D$59)&gt;=eco))/eco)^n)*((($R22+$S22*Geometry!$E$42:$E$59+$T22*Geometry!$D$42:$D$59))&gt;0))),Geometry!$F$42:$F$59,Geometry!$D$42:$D$59))/1000000</f>
      </c>
      <c r="DB22" s="32">
        <f>(SUMPRODUCT(alpha*fck*(1-(1-((($U22+$V22*Mesh_Y+$W22*Mesh_X))*(($U22+$V22*Mesh_Y+$W22*Mesh_X)&gt;0)*(($U22+$V22*Mesh_Y+$W22*Mesh_X)&lt;eco)+eco*(($U22+$V22*Mesh_Y+$W22*Mesh_X)&gt;=eco))/eco)^n)*((($U22+$V22*Mesh_Y+$W22*Mesh_X))&gt;0),Mesh_A,Mesh_X)+SUMPRODUCT((Es*(($U22+$V22*Geometry!$E$42:$E$59+$W22*Geometry!$D$42:$D$59))*(ABS(Es*(($U22+$V22*Geometry!$E$42:$E$59+$W22*Geometry!$D$42:$D$59)))&lt;=fy)+fy*(Es*(($U22+$V22*Geometry!$E$42:$E$59+$W22*Geometry!$D$42:$D$59))&gt;fy)-fy*(Es*(($U22+$V22*Geometry!$E$42:$E$59+$W22*Geometry!$D$42:$D$59))&lt;-fy)-(alpha*fck*(1-(1-((($U22+$V22*Geometry!$E$42:$E$59+$W22*Geometry!$D$42:$D$59))*(($U22+$V22*Geometry!$E$42:$E$59+$W22*Geometry!$D$42:$D$59)&gt;0)*(($U22+$V22*Geometry!$E$42:$E$59+$W22*Geometry!$D$42:$D$59)&lt;eco)+eco*(($U22+$V22*Geometry!$E$42:$E$59+$W22*Geometry!$D$42:$D$59)&gt;=eco))/eco)^n)*((($U22+$V22*Geometry!$E$42:$E$59+$W22*Geometry!$D$42:$D$59))&gt;0))),Geometry!$F$42:$F$59,Geometry!$D$42:$D$59))/1000000</f>
      </c>
      <c r="DC22" s="32">
        <f>(SUMPRODUCT(alpha*fck*(1-(1-((($X22+$Y22*Mesh_Y+$Z22*Mesh_X))*(($X22+$Y22*Mesh_Y+$Z22*Mesh_X)&gt;0)*(($X22+$Y22*Mesh_Y+$Z22*Mesh_X)&lt;eco)+eco*(($X22+$Y22*Mesh_Y+$Z22*Mesh_X)&gt;=eco))/eco)^n)*((($X22+$Y22*Mesh_Y+$Z22*Mesh_X))&gt;0),Mesh_A,Mesh_X)+SUMPRODUCT((Es*(($X22+$Y22*Geometry!$E$42:$E$59+$Z22*Geometry!$D$42:$D$59))*(ABS(Es*(($X22+$Y22*Geometry!$E$42:$E$59+$Z22*Geometry!$D$42:$D$59)))&lt;=fy)+fy*(Es*(($X22+$Y22*Geometry!$E$42:$E$59+$Z22*Geometry!$D$42:$D$59))&gt;fy)-fy*(Es*(($X22+$Y22*Geometry!$E$42:$E$59+$Z22*Geometry!$D$42:$D$59))&lt;-fy)-(alpha*fck*(1-(1-((($X22+$Y22*Geometry!$E$42:$E$59+$Z22*Geometry!$D$42:$D$59))*(($X22+$Y22*Geometry!$E$42:$E$59+$Z22*Geometry!$D$42:$D$59)&gt;0)*(($X22+$Y22*Geometry!$E$42:$E$59+$Z22*Geometry!$D$42:$D$59)&lt;eco)+eco*(($X22+$Y22*Geometry!$E$42:$E$59+$Z22*Geometry!$D$42:$D$59)&gt;=eco))/eco)^n)*((($X22+$Y22*Geometry!$E$42:$E$59+$Z22*Geometry!$D$42:$D$59))&gt;0))),Geometry!$F$42:$F$59,Geometry!$D$42:$D$59))/1000000</f>
      </c>
      <c r="DD22" s="32">
        <f>(SUMPRODUCT(alpha*fck*(1-(1-((($AA22+$AB22*Mesh_Y+$AC22*Mesh_X))*(($AA22+$AB22*Mesh_Y+$AC22*Mesh_X)&gt;0)*(($AA22+$AB22*Mesh_Y+$AC22*Mesh_X)&lt;eco)+eco*(($AA22+$AB22*Mesh_Y+$AC22*Mesh_X)&gt;=eco))/eco)^n)*((($AA22+$AB22*Mesh_Y+$AC22*Mesh_X))&gt;0),Mesh_A,Mesh_X)+SUMPRODUCT((Es*(($AA22+$AB22*Geometry!$E$42:$E$59+$AC22*Geometry!$D$42:$D$59))*(ABS(Es*(($AA22+$AB22*Geometry!$E$42:$E$59+$AC22*Geometry!$D$42:$D$59)))&lt;=fy)+fy*(Es*(($AA22+$AB22*Geometry!$E$42:$E$59+$AC22*Geometry!$D$42:$D$59))&gt;fy)-fy*(Es*(($AA22+$AB22*Geometry!$E$42:$E$59+$AC22*Geometry!$D$42:$D$59))&lt;-fy)-(alpha*fck*(1-(1-((($AA22+$AB22*Geometry!$E$42:$E$59+$AC22*Geometry!$D$42:$D$59))*(($AA22+$AB22*Geometry!$E$42:$E$59+$AC22*Geometry!$D$42:$D$59)&gt;0)*(($AA22+$AB22*Geometry!$E$42:$E$59+$AC22*Geometry!$D$42:$D$59)&lt;eco)+eco*(($AA22+$AB22*Geometry!$E$42:$E$59+$AC22*Geometry!$D$42:$D$59)&gt;=eco))/eco)^n)*((($AA22+$AB22*Geometry!$E$42:$E$59+$AC22*Geometry!$D$42:$D$59))&gt;0))),Geometry!$F$42:$F$59,Geometry!$D$42:$D$59))/1000000</f>
      </c>
      <c r="DE22" s="32">
        <f>(SUMPRODUCT(alpha*fck*(1-(1-((($AD22+$AE22*Mesh_Y+$AF22*Mesh_X))*(($AD22+$AE22*Mesh_Y+$AF22*Mesh_X)&gt;0)*(($AD22+$AE22*Mesh_Y+$AF22*Mesh_X)&lt;eco)+eco*(($AD22+$AE22*Mesh_Y+$AF22*Mesh_X)&gt;=eco))/eco)^n)*((($AD22+$AE22*Mesh_Y+$AF22*Mesh_X))&gt;0),Mesh_A,Mesh_X)+SUMPRODUCT((Es*(($AD22+$AE22*Geometry!$E$42:$E$59+$AF22*Geometry!$D$42:$D$59))*(ABS(Es*(($AD22+$AE22*Geometry!$E$42:$E$59+$AF22*Geometry!$D$42:$D$59)))&lt;=fy)+fy*(Es*(($AD22+$AE22*Geometry!$E$42:$E$59+$AF22*Geometry!$D$42:$D$59))&gt;fy)-fy*(Es*(($AD22+$AE22*Geometry!$E$42:$E$59+$AF22*Geometry!$D$42:$D$59))&lt;-fy)-(alpha*fck*(1-(1-((($AD22+$AE22*Geometry!$E$42:$E$59+$AF22*Geometry!$D$42:$D$59))*(($AD22+$AE22*Geometry!$E$42:$E$59+$AF22*Geometry!$D$42:$D$59)&gt;0)*(($AD22+$AE22*Geometry!$E$42:$E$59+$AF22*Geometry!$D$42:$D$59)&lt;eco)+eco*(($AD22+$AE22*Geometry!$E$42:$E$59+$AF22*Geometry!$D$42:$D$59)&gt;=eco))/eco)^n)*((($AD22+$AE22*Geometry!$E$42:$E$59+$AF22*Geometry!$D$42:$D$59))&gt;0))),Geometry!$F$42:$F$59,Geometry!$D$42:$D$59))/1000000</f>
      </c>
      <c r="DF22" s="32">
        <f>(SUMPRODUCT(alpha*fck*(1-(1-((($AG22+$AH22*Mesh_Y+$AI22*Mesh_X))*(($AG22+$AH22*Mesh_Y+$AI22*Mesh_X)&gt;0)*(($AG22+$AH22*Mesh_Y+$AI22*Mesh_X)&lt;eco)+eco*(($AG22+$AH22*Mesh_Y+$AI22*Mesh_X)&gt;=eco))/eco)^n)*((($AG22+$AH22*Mesh_Y+$AI22*Mesh_X))&gt;0),Mesh_A,Mesh_X)+SUMPRODUCT((Es*(($AG22+$AH22*Geometry!$E$42:$E$59+$AI22*Geometry!$D$42:$D$59))*(ABS(Es*(($AG22+$AH22*Geometry!$E$42:$E$59+$AI22*Geometry!$D$42:$D$59)))&lt;=fy)+fy*(Es*(($AG22+$AH22*Geometry!$E$42:$E$59+$AI22*Geometry!$D$42:$D$59))&gt;fy)-fy*(Es*(($AG22+$AH22*Geometry!$E$42:$E$59+$AI22*Geometry!$D$42:$D$59))&lt;-fy)-(alpha*fck*(1-(1-((($AG22+$AH22*Geometry!$E$42:$E$59+$AI22*Geometry!$D$42:$D$59))*(($AG22+$AH22*Geometry!$E$42:$E$59+$AI22*Geometry!$D$42:$D$59)&gt;0)*(($AG22+$AH22*Geometry!$E$42:$E$59+$AI22*Geometry!$D$42:$D$59)&lt;eco)+eco*(($AG22+$AH22*Geometry!$E$42:$E$59+$AI22*Geometry!$D$42:$D$59)&gt;=eco))/eco)^n)*((($AG22+$AH22*Geometry!$E$42:$E$59+$AI22*Geometry!$D$42:$D$59))&gt;0))),Geometry!$F$42:$F$59,Geometry!$D$42:$D$59))/1000000</f>
      </c>
      <c r="DG22" s="32">
        <f>(SUMPRODUCT(alpha*fck*(1-(1-((($AJ22+$AK22*Mesh_Y+$AL22*Mesh_X))*(($AJ22+$AK22*Mesh_Y+$AL22*Mesh_X)&gt;0)*(($AJ22+$AK22*Mesh_Y+$AL22*Mesh_X)&lt;eco)+eco*(($AJ22+$AK22*Mesh_Y+$AL22*Mesh_X)&gt;=eco))/eco)^n)*((($AJ22+$AK22*Mesh_Y+$AL22*Mesh_X))&gt;0),Mesh_A,Mesh_X)+SUMPRODUCT((Es*(($AJ22+$AK22*Geometry!$E$42:$E$59+$AL22*Geometry!$D$42:$D$59))*(ABS(Es*(($AJ22+$AK22*Geometry!$E$42:$E$59+$AL22*Geometry!$D$42:$D$59)))&lt;=fy)+fy*(Es*(($AJ22+$AK22*Geometry!$E$42:$E$59+$AL22*Geometry!$D$42:$D$59))&gt;fy)-fy*(Es*(($AJ22+$AK22*Geometry!$E$42:$E$59+$AL22*Geometry!$D$42:$D$59))&lt;-fy)-(alpha*fck*(1-(1-((($AJ22+$AK22*Geometry!$E$42:$E$59+$AL22*Geometry!$D$42:$D$59))*(($AJ22+$AK22*Geometry!$E$42:$E$59+$AL22*Geometry!$D$42:$D$59)&gt;0)*(($AJ22+$AK22*Geometry!$E$42:$E$59+$AL22*Geometry!$D$42:$D$59)&lt;eco)+eco*(($AJ22+$AK22*Geometry!$E$42:$E$59+$AL22*Geometry!$D$42:$D$59)&gt;=eco))/eco)^n)*((($AJ22+$AK22*Geometry!$E$42:$E$59+$AL22*Geometry!$D$42:$D$59))&gt;0))),Geometry!$F$42:$F$59,Geometry!$D$42:$D$59))/1000000</f>
      </c>
      <c r="DH22" s="32">
        <f>(SUMPRODUCT(alpha*fck*(1-(1-((($AM22+$AN22*Mesh_Y+$AO22*Mesh_X))*(($AM22+$AN22*Mesh_Y+$AO22*Mesh_X)&gt;0)*(($AM22+$AN22*Mesh_Y+$AO22*Mesh_X)&lt;eco)+eco*(($AM22+$AN22*Mesh_Y+$AO22*Mesh_X)&gt;=eco))/eco)^n)*((($AM22+$AN22*Mesh_Y+$AO22*Mesh_X))&gt;0),Mesh_A,Mesh_X)+SUMPRODUCT((Es*(($AM22+$AN22*Geometry!$E$42:$E$59+$AO22*Geometry!$D$42:$D$59))*(ABS(Es*(($AM22+$AN22*Geometry!$E$42:$E$59+$AO22*Geometry!$D$42:$D$59)))&lt;=fy)+fy*(Es*(($AM22+$AN22*Geometry!$E$42:$E$59+$AO22*Geometry!$D$42:$D$59))&gt;fy)-fy*(Es*(($AM22+$AN22*Geometry!$E$42:$E$59+$AO22*Geometry!$D$42:$D$59))&lt;-fy)-(alpha*fck*(1-(1-((($AM22+$AN22*Geometry!$E$42:$E$59+$AO22*Geometry!$D$42:$D$59))*(($AM22+$AN22*Geometry!$E$42:$E$59+$AO22*Geometry!$D$42:$D$59)&gt;0)*(($AM22+$AN22*Geometry!$E$42:$E$59+$AO22*Geometry!$D$42:$D$59)&lt;eco)+eco*(($AM22+$AN22*Geometry!$E$42:$E$59+$AO22*Geometry!$D$42:$D$59)&gt;=eco))/eco)^n)*((($AM22+$AN22*Geometry!$E$42:$E$59+$AO22*Geometry!$D$42:$D$59))&gt;0))),Geometry!$F$42:$F$59,Geometry!$D$42:$D$59))/1000000</f>
      </c>
      <c r="DI22" s="32">
        <f>(SUMPRODUCT(alpha*fck*(1-(1-((($AP22+$AQ22*Mesh_Y+$AR22*Mesh_X))*(($AP22+$AQ22*Mesh_Y+$AR22*Mesh_X)&gt;0)*(($AP22+$AQ22*Mesh_Y+$AR22*Mesh_X)&lt;eco)+eco*(($AP22+$AQ22*Mesh_Y+$AR22*Mesh_X)&gt;=eco))/eco)^n)*((($AP22+$AQ22*Mesh_Y+$AR22*Mesh_X))&gt;0),Mesh_A,Mesh_X)+SUMPRODUCT((Es*(($AP22+$AQ22*Geometry!$E$42:$E$59+$AR22*Geometry!$D$42:$D$59))*(ABS(Es*(($AP22+$AQ22*Geometry!$E$42:$E$59+$AR22*Geometry!$D$42:$D$59)))&lt;=fy)+fy*(Es*(($AP22+$AQ22*Geometry!$E$42:$E$59+$AR22*Geometry!$D$42:$D$59))&gt;fy)-fy*(Es*(($AP22+$AQ22*Geometry!$E$42:$E$59+$AR22*Geometry!$D$42:$D$59))&lt;-fy)-(alpha*fck*(1-(1-((($AP22+$AQ22*Geometry!$E$42:$E$59+$AR22*Geometry!$D$42:$D$59))*(($AP22+$AQ22*Geometry!$E$42:$E$59+$AR22*Geometry!$D$42:$D$59)&gt;0)*(($AP22+$AQ22*Geometry!$E$42:$E$59+$AR22*Geometry!$D$42:$D$59)&lt;eco)+eco*(($AP22+$AQ22*Geometry!$E$42:$E$59+$AR22*Geometry!$D$42:$D$59)&gt;=eco))/eco)^n)*((($AP22+$AQ22*Geometry!$E$42:$E$59+$AR22*Geometry!$D$42:$D$59))&gt;0))),Geometry!$F$42:$F$59,Geometry!$D$42:$D$59))/1000000</f>
      </c>
      <c r="DJ22" s="32">
        <f>(SUMPRODUCT(alpha*fck*(1-(1-((($AS22+$AT22*Mesh_Y+$AU22*Mesh_X))*(($AS22+$AT22*Mesh_Y+$AU22*Mesh_X)&gt;0)*(($AS22+$AT22*Mesh_Y+$AU22*Mesh_X)&lt;eco)+eco*(($AS22+$AT22*Mesh_Y+$AU22*Mesh_X)&gt;=eco))/eco)^n)*((($AS22+$AT22*Mesh_Y+$AU22*Mesh_X))&gt;0),Mesh_A,Mesh_X)+SUMPRODUCT((Es*(($AS22+$AT22*Geometry!$E$42:$E$59+$AU22*Geometry!$D$42:$D$59))*(ABS(Es*(($AS22+$AT22*Geometry!$E$42:$E$59+$AU22*Geometry!$D$42:$D$59)))&lt;=fy)+fy*(Es*(($AS22+$AT22*Geometry!$E$42:$E$59+$AU22*Geometry!$D$42:$D$59))&gt;fy)-fy*(Es*(($AS22+$AT22*Geometry!$E$42:$E$59+$AU22*Geometry!$D$42:$D$59))&lt;-fy)-(alpha*fck*(1-(1-((($AS22+$AT22*Geometry!$E$42:$E$59+$AU22*Geometry!$D$42:$D$59))*(($AS22+$AT22*Geometry!$E$42:$E$59+$AU22*Geometry!$D$42:$D$59)&gt;0)*(($AS22+$AT22*Geometry!$E$42:$E$59+$AU22*Geometry!$D$42:$D$59)&lt;eco)+eco*(($AS22+$AT22*Geometry!$E$42:$E$59+$AU22*Geometry!$D$42:$D$59)&gt;=eco))/eco)^n)*((($AS22+$AT22*Geometry!$E$42:$E$59+$AU22*Geometry!$D$42:$D$59))&gt;0))),Geometry!$F$42:$F$59,Geometry!$D$42:$D$59))/1000000</f>
      </c>
      <c r="DK22" s="32">
        <f>(SUMPRODUCT(alpha*fck*(1-(1-((($AV22+$AW22*Mesh_Y+$AX22*Mesh_X))*(($AV22+$AW22*Mesh_Y+$AX22*Mesh_X)&gt;0)*(($AV22+$AW22*Mesh_Y+$AX22*Mesh_X)&lt;eco)+eco*(($AV22+$AW22*Mesh_Y+$AX22*Mesh_X)&gt;=eco))/eco)^n)*((($AV22+$AW22*Mesh_Y+$AX22*Mesh_X))&gt;0),Mesh_A,Mesh_X)+SUMPRODUCT((Es*(($AV22+$AW22*Geometry!$E$42:$E$59+$AX22*Geometry!$D$42:$D$59))*(ABS(Es*(($AV22+$AW22*Geometry!$E$42:$E$59+$AX22*Geometry!$D$42:$D$59)))&lt;=fy)+fy*(Es*(($AV22+$AW22*Geometry!$E$42:$E$59+$AX22*Geometry!$D$42:$D$59))&gt;fy)-fy*(Es*(($AV22+$AW22*Geometry!$E$42:$E$59+$AX22*Geometry!$D$42:$D$59))&lt;-fy)-(alpha*fck*(1-(1-((($AV22+$AW22*Geometry!$E$42:$E$59+$AX22*Geometry!$D$42:$D$59))*(($AV22+$AW22*Geometry!$E$42:$E$59+$AX22*Geometry!$D$42:$D$59)&gt;0)*(($AV22+$AW22*Geometry!$E$42:$E$59+$AX22*Geometry!$D$42:$D$59)&lt;eco)+eco*(($AV22+$AW22*Geometry!$E$42:$E$59+$AX22*Geometry!$D$42:$D$59)&gt;=eco))/eco)^n)*((($AV22+$AW22*Geometry!$E$42:$E$59+$AX22*Geometry!$D$42:$D$59))&gt;0))),Geometry!$F$42:$F$59,Geometry!$D$42:$D$59))/1000000</f>
      </c>
      <c r="DL22" s="32">
        <f>(SUMPRODUCT(alpha*fck*(1-(1-((($AY22+$AZ22*Mesh_Y+$BA22*Mesh_X))*(($AY22+$AZ22*Mesh_Y+$BA22*Mesh_X)&gt;0)*(($AY22+$AZ22*Mesh_Y+$BA22*Mesh_X)&lt;eco)+eco*(($AY22+$AZ22*Mesh_Y+$BA22*Mesh_X)&gt;=eco))/eco)^n)*((($AY22+$AZ22*Mesh_Y+$BA22*Mesh_X))&gt;0),Mesh_A,Mesh_X)+SUMPRODUCT((Es*(($AY22+$AZ22*Geometry!$E$42:$E$59+$BA22*Geometry!$D$42:$D$59))*(ABS(Es*(($AY22+$AZ22*Geometry!$E$42:$E$59+$BA22*Geometry!$D$42:$D$59)))&lt;=fy)+fy*(Es*(($AY22+$AZ22*Geometry!$E$42:$E$59+$BA22*Geometry!$D$42:$D$59))&gt;fy)-fy*(Es*(($AY22+$AZ22*Geometry!$E$42:$E$59+$BA22*Geometry!$D$42:$D$59))&lt;-fy)-(alpha*fck*(1-(1-((($AY22+$AZ22*Geometry!$E$42:$E$59+$BA22*Geometry!$D$42:$D$59))*(($AY22+$AZ22*Geometry!$E$42:$E$59+$BA22*Geometry!$D$42:$D$59)&gt;0)*(($AY22+$AZ22*Geometry!$E$42:$E$59+$BA22*Geometry!$D$42:$D$59)&lt;eco)+eco*(($AY22+$AZ22*Geometry!$E$42:$E$59+$BA22*Geometry!$D$42:$D$59)&gt;=eco))/eco)^n)*((($AY22+$AZ22*Geometry!$E$42:$E$59+$BA22*Geometry!$D$42:$D$59))&gt;0))),Geometry!$F$42:$F$59,Geometry!$D$42:$D$59))/1000000</f>
      </c>
      <c r="DM22" s="32">
        <f>(SUMPRODUCT(alpha*fck*(1-(1-((($BB22+$BC22*Mesh_Y+$BD22*Mesh_X))*(($BB22+$BC22*Mesh_Y+$BD22*Mesh_X)&gt;0)*(($BB22+$BC22*Mesh_Y+$BD22*Mesh_X)&lt;eco)+eco*(($BB22+$BC22*Mesh_Y+$BD22*Mesh_X)&gt;=eco))/eco)^n)*((($BB22+$BC22*Mesh_Y+$BD22*Mesh_X))&gt;0),Mesh_A,Mesh_X)+SUMPRODUCT((Es*(($BB22+$BC22*Geometry!$E$42:$E$59+$BD22*Geometry!$D$42:$D$59))*(ABS(Es*(($BB22+$BC22*Geometry!$E$42:$E$59+$BD22*Geometry!$D$42:$D$59)))&lt;=fy)+fy*(Es*(($BB22+$BC22*Geometry!$E$42:$E$59+$BD22*Geometry!$D$42:$D$59))&gt;fy)-fy*(Es*(($BB22+$BC22*Geometry!$E$42:$E$59+$BD22*Geometry!$D$42:$D$59))&lt;-fy)-(alpha*fck*(1-(1-((($BB22+$BC22*Geometry!$E$42:$E$59+$BD22*Geometry!$D$42:$D$59))*(($BB22+$BC22*Geometry!$E$42:$E$59+$BD22*Geometry!$D$42:$D$59)&gt;0)*(($BB22+$BC22*Geometry!$E$42:$E$59+$BD22*Geometry!$D$42:$D$59)&lt;eco)+eco*(($BB22+$BC22*Geometry!$E$42:$E$59+$BD22*Geometry!$D$42:$D$59)&gt;=eco))/eco)^n)*((($BB22+$BC22*Geometry!$E$42:$E$59+$BD22*Geometry!$D$42:$D$59))&gt;0))),Geometry!$F$42:$F$59,Geometry!$D$42:$D$59))/1000000</f>
      </c>
      <c r="DN22" s="32">
        <f>(SUMPRODUCT(alpha*fck*(1-(1-((($BE22+$BF22*Mesh_Y+$BG22*Mesh_X))*(($BE22+$BF22*Mesh_Y+$BG22*Mesh_X)&gt;0)*(($BE22+$BF22*Mesh_Y+$BG22*Mesh_X)&lt;eco)+eco*(($BE22+$BF22*Mesh_Y+$BG22*Mesh_X)&gt;=eco))/eco)^n)*((($BE22+$BF22*Mesh_Y+$BG22*Mesh_X))&gt;0),Mesh_A,Mesh_X)+SUMPRODUCT((Es*(($BE22+$BF22*Geometry!$E$42:$E$59+$BG22*Geometry!$D$42:$D$59))*(ABS(Es*(($BE22+$BF22*Geometry!$E$42:$E$59+$BG22*Geometry!$D$42:$D$59)))&lt;=fy)+fy*(Es*(($BE22+$BF22*Geometry!$E$42:$E$59+$BG22*Geometry!$D$42:$D$59))&gt;fy)-fy*(Es*(($BE22+$BF22*Geometry!$E$42:$E$59+$BG22*Geometry!$D$42:$D$59))&lt;-fy)-(alpha*fck*(1-(1-((($BE22+$BF22*Geometry!$E$42:$E$59+$BG22*Geometry!$D$42:$D$59))*(($BE22+$BF22*Geometry!$E$42:$E$59+$BG22*Geometry!$D$42:$D$59)&gt;0)*(($BE22+$BF22*Geometry!$E$42:$E$59+$BG22*Geometry!$D$42:$D$59)&lt;eco)+eco*(($BE22+$BF22*Geometry!$E$42:$E$59+$BG22*Geometry!$D$42:$D$59)&gt;=eco))/eco)^n)*((($BE22+$BF22*Geometry!$E$42:$E$59+$BG22*Geometry!$D$42:$D$59))&gt;0))),Geometry!$F$42:$F$59,Geometry!$D$42:$D$59))/1000000</f>
      </c>
      <c r="DO22" s="32">
        <f>(SUMPRODUCT(alpha*fck*(1-(1-((($BH22+$BI22*Mesh_Y+$BJ22*Mesh_X))*(($BH22+$BI22*Mesh_Y+$BJ22*Mesh_X)&gt;0)*(($BH22+$BI22*Mesh_Y+$BJ22*Mesh_X)&lt;eco)+eco*(($BH22+$BI22*Mesh_Y+$BJ22*Mesh_X)&gt;=eco))/eco)^n)*((($BH22+$BI22*Mesh_Y+$BJ22*Mesh_X))&gt;0),Mesh_A,Mesh_X)+SUMPRODUCT((Es*(($BH22+$BI22*Geometry!$E$42:$E$59+$BJ22*Geometry!$D$42:$D$59))*(ABS(Es*(($BH22+$BI22*Geometry!$E$42:$E$59+$BJ22*Geometry!$D$42:$D$59)))&lt;=fy)+fy*(Es*(($BH22+$BI22*Geometry!$E$42:$E$59+$BJ22*Geometry!$D$42:$D$59))&gt;fy)-fy*(Es*(($BH22+$BI22*Geometry!$E$42:$E$59+$BJ22*Geometry!$D$42:$D$59))&lt;-fy)-(alpha*fck*(1-(1-((($BH22+$BI22*Geometry!$E$42:$E$59+$BJ22*Geometry!$D$42:$D$59))*(($BH22+$BI22*Geometry!$E$42:$E$59+$BJ22*Geometry!$D$42:$D$59)&gt;0)*(($BH22+$BI22*Geometry!$E$42:$E$59+$BJ22*Geometry!$D$42:$D$59)&lt;eco)+eco*(($BH22+$BI22*Geometry!$E$42:$E$59+$BJ22*Geometry!$D$42:$D$59)&gt;=eco))/eco)^n)*((($BH22+$BI22*Geometry!$E$42:$E$59+$BJ22*Geometry!$D$42:$D$59))&gt;0))),Geometry!$F$42:$F$59,Geometry!$D$42:$D$59))/1000000</f>
      </c>
      <c r="DP22" s="45">
        <f>MAX(1,MIN(18,SUMPRODUCT(--($BK22:$CC22&gt;=Pu))))</f>
      </c>
      <c r="DQ22" s="46">
        <f>(Pu-INDEX($BK22:$CC22,1,$DP22))/(INDEX($BK22:$CC22,1,$DP22+1)-INDEX($BK22:$CC22,1,$DP22))</f>
      </c>
      <c r="DR22" s="33">
        <f>INDEX($CD22:$CV22,1,$DP22)+$DQ22*(INDEX($CD22:$CV22,1,$DP22+1)-INDEX($CD22:$CV22,1,$DP22))</f>
      </c>
      <c r="DS22" s="33">
        <f>INDEX($CW22:$DO22,1,$DP22)+$DQ22*(INDEX($CW22:$DO22,1,$DP22+1)-INDEX($CW22:$DO22,1,$DP22))</f>
      </c>
      <c r="DT22" s="33">
        <f>SQRT(DR22^2+DS22^2)</f>
      </c>
    </row>
    <row r="23" spans="1:124" x14ac:dyDescent="0.25">
      <c r="A23">
        <v>16</v>
      </c>
      <c r="B23" s="43">
        <v>225</v>
      </c>
      <c r="C23" s="12">
        <f>MAX(SUMPRODUCT(MAX((Geometry!$E$6:$E$13)*COS(RADIANS($B23))+(Geometry!$D$6:$D$13)*SIN(RADIANS($B23)))))</f>
      </c>
      <c r="D23" s="12">
        <f>SUMPRODUCT(MIN((Geometry!$E$42:$E$59)*COS(RADIANS($B23))+(Geometry!$D$42:$D$59)*SIN(RADIANS($B23))))</f>
      </c>
      <c r="E23" s="12">
        <f>C23-D23</f>
      </c>
      <c r="F23" s="30">
        <f>ecu</f>
      </c>
      <c r="G23" s="44">
        <f>0*COS(RADIANS($B23))</f>
      </c>
      <c r="H23" s="44">
        <f>0*SIN(RADIANS($B23))</f>
      </c>
      <c r="I23" s="30">
        <f>ecu-((ecu-0)/($C23-($C23-PM_Angle!$C$8*$E23)))*$C23</f>
      </c>
      <c r="J23" s="44">
        <f>((ecu-0)/($C23-($C23-PM_Angle!$C$8*$E23)))*COS(RADIANS($B23))</f>
      </c>
      <c r="K23" s="44">
        <f>((ecu-0)/($C23-($C23-PM_Angle!$C$8*$E23)))*SIN(RADIANS($B23))</f>
      </c>
      <c r="L23" s="30">
        <f>ecu-((ecu-0)/($C23-($C23-PM_Angle!$C$9*$E23)))*$C23</f>
      </c>
      <c r="M23" s="44">
        <f>((ecu-0)/($C23-($C23-PM_Angle!$C$9*$E23)))*COS(RADIANS($B23))</f>
      </c>
      <c r="N23" s="44">
        <f>((ecu-0)/($C23-($C23-PM_Angle!$C$9*$E23)))*SIN(RADIANS($B23))</f>
      </c>
      <c r="O23" s="30">
        <f>ecu-((ecu-0)/($C23-($C23-PM_Angle!$C$10*$E23)))*$C23</f>
      </c>
      <c r="P23" s="44">
        <f>((ecu-0)/($C23-($C23-PM_Angle!$C$10*$E23)))*COS(RADIANS($B23))</f>
      </c>
      <c r="Q23" s="44">
        <f>((ecu-0)/($C23-($C23-PM_Angle!$C$10*$E23)))*SIN(RADIANS($B23))</f>
      </c>
      <c r="R23" s="30">
        <f>ecu-((ecu-0)/($C23-($C23-PM_Angle!$C$11*$E23)))*$C23</f>
      </c>
      <c r="S23" s="44">
        <f>((ecu-0)/($C23-($C23-PM_Angle!$C$11*$E23)))*COS(RADIANS($B23))</f>
      </c>
      <c r="T23" s="44">
        <f>((ecu-0)/($C23-($C23-PM_Angle!$C$11*$E23)))*SIN(RADIANS($B23))</f>
      </c>
      <c r="U23" s="30">
        <f>ecu-((ecu-(-PM_Angle!$E$12))/($C23-$D23))*$C23</f>
      </c>
      <c r="V23" s="44">
        <f>((ecu-(-PM_Angle!$E$12))/($C23-$D23))*COS(RADIANS($B23))</f>
      </c>
      <c r="W23" s="44">
        <f>((ecu-(-PM_Angle!$E$12))/($C23-$D23))*SIN(RADIANS($B23))</f>
      </c>
      <c r="X23" s="30">
        <f>ecu-((ecu-(-PM_Angle!$D$13*fy/Es))/($C23-$D23))*$C23</f>
      </c>
      <c r="Y23" s="44">
        <f>((ecu-(-PM_Angle!$D$13*fy/Es))/($C23-$D23))*COS(RADIANS($B23))</f>
      </c>
      <c r="Z23" s="44">
        <f>((ecu-(-PM_Angle!$D$13*fy/Es))/($C23-$D23))*SIN(RADIANS($B23))</f>
      </c>
      <c r="AA23" s="30">
        <f>ecu-((ecu-(-PM_Angle!$D$14*fy/Es))/($C23-$D23))*$C23</f>
      </c>
      <c r="AB23" s="44">
        <f>((ecu-(-PM_Angle!$D$14*fy/Es))/($C23-$D23))*COS(RADIANS($B23))</f>
      </c>
      <c r="AC23" s="44">
        <f>((ecu-(-PM_Angle!$D$14*fy/Es))/($C23-$D23))*SIN(RADIANS($B23))</f>
      </c>
      <c r="AD23" s="30">
        <f>ecu-((ecu-(-PM_Angle!$D$15*fy/Es))/($C23-$D23))*$C23</f>
      </c>
      <c r="AE23" s="44">
        <f>((ecu-(-PM_Angle!$D$15*fy/Es))/($C23-$D23))*COS(RADIANS($B23))</f>
      </c>
      <c r="AF23" s="44">
        <f>((ecu-(-PM_Angle!$D$15*fy/Es))/($C23-$D23))*SIN(RADIANS($B23))</f>
      </c>
      <c r="AG23" s="30">
        <f>ecu-((ecu-(-PM_Angle!$D$16*fy/Es))/($C23-$D23))*$C23</f>
      </c>
      <c r="AH23" s="44">
        <f>((ecu-(-PM_Angle!$D$16*fy/Es))/($C23-$D23))*COS(RADIANS($B23))</f>
      </c>
      <c r="AI23" s="44">
        <f>((ecu-(-PM_Angle!$D$16*fy/Es))/($C23-$D23))*SIN(RADIANS($B23))</f>
      </c>
      <c r="AJ23" s="30">
        <f>ecu-((ecu-(-PM_Angle!$E$17))/($C23-$D23))*$C23</f>
      </c>
      <c r="AK23" s="44">
        <f>((ecu-(-PM_Angle!$E$17))/($C23-$D23))*COS(RADIANS($B23))</f>
      </c>
      <c r="AL23" s="44">
        <f>((ecu-(-PM_Angle!$E$17))/($C23-$D23))*SIN(RADIANS($B23))</f>
      </c>
      <c r="AM23" s="30">
        <f>ecu-((ecu-(-PM_Angle!$E$18))/($C23-$D23))*$C23</f>
      </c>
      <c r="AN23" s="44">
        <f>((ecu-(-PM_Angle!$E$18))/($C23-$D23))*COS(RADIANS($B23))</f>
      </c>
      <c r="AO23" s="44">
        <f>((ecu-(-PM_Angle!$E$18))/($C23-$D23))*SIN(RADIANS($B23))</f>
      </c>
      <c r="AP23" s="30">
        <f>ecu-((ecu-(-PM_Angle!$E$19))/($C23-$D23))*$C23</f>
      </c>
      <c r="AQ23" s="44">
        <f>((ecu-(-PM_Angle!$E$19))/($C23-$D23))*COS(RADIANS($B23))</f>
      </c>
      <c r="AR23" s="44">
        <f>((ecu-(-PM_Angle!$E$19))/($C23-$D23))*SIN(RADIANS($B23))</f>
      </c>
      <c r="AS23" s="30">
        <f>ecu-((ecu-(-PM_Angle!$E$20))/($C23-$D23))*$C23</f>
      </c>
      <c r="AT23" s="44">
        <f>((ecu-(-PM_Angle!$E$20))/($C23-$D23))*COS(RADIANS($B23))</f>
      </c>
      <c r="AU23" s="44">
        <f>((ecu-(-PM_Angle!$E$20))/($C23-$D23))*SIN(RADIANS($B23))</f>
      </c>
      <c r="AV23" s="30">
        <f>ecu-((ecu-(-PM_Angle!$E$21))/($C23-$D23))*$C23</f>
      </c>
      <c r="AW23" s="44">
        <f>((ecu-(-PM_Angle!$E$21))/($C23-$D23))*COS(RADIANS($B23))</f>
      </c>
      <c r="AX23" s="44">
        <f>((ecu-(-PM_Angle!$E$21))/($C23-$D23))*SIN(RADIANS($B23))</f>
      </c>
      <c r="AY23" s="30">
        <f>ecu-((ecu-(-PM_Angle!$E$22))/($C23-$D23))*$C23</f>
      </c>
      <c r="AZ23" s="44">
        <f>((ecu-(-PM_Angle!$E$22))/($C23-$D23))*COS(RADIANS($B23))</f>
      </c>
      <c r="BA23" s="44">
        <f>((ecu-(-PM_Angle!$E$22))/($C23-$D23))*SIN(RADIANS($B23))</f>
      </c>
      <c r="BB23" s="30">
        <f>ecu-((ecu-(-PM_Angle!$E$23))/($C23-$D23))*$C23</f>
      </c>
      <c r="BC23" s="44">
        <f>((ecu-(-PM_Angle!$E$23))/($C23-$D23))*COS(RADIANS($B23))</f>
      </c>
      <c r="BD23" s="44">
        <f>((ecu-(-PM_Angle!$E$23))/($C23-$D23))*SIN(RADIANS($B23))</f>
      </c>
      <c r="BE23" s="30">
        <f>ecu-((ecu-(-PM_Angle!$E$24))/($C23-$D23))*$C23</f>
      </c>
      <c r="BF23" s="44">
        <f>((ecu-(-PM_Angle!$E$24))/($C23-$D23))*COS(RADIANS($B23))</f>
      </c>
      <c r="BG23" s="44">
        <f>((ecu-(-PM_Angle!$E$24))/($C23-$D23))*SIN(RADIANS($B23))</f>
      </c>
      <c r="BH23" s="30">
        <f>etu</f>
      </c>
      <c r="BI23" s="44">
        <f>0*COS(RADIANS($B23))</f>
      </c>
      <c r="BJ23" s="44">
        <f>0*SIN(RADIANS($B23))</f>
      </c>
      <c r="BK23" s="32">
        <f>(SUMPRODUCT(alpha*fck*(1-(1-((($F23+$G23*Mesh_Y+$H23*Mesh_X))*(($F23+$G23*Mesh_Y+$H23*Mesh_X)&gt;0)*(($F23+$G23*Mesh_Y+$H23*Mesh_X)&lt;eco)+eco*(($F23+$G23*Mesh_Y+$H23*Mesh_X)&gt;=eco))/eco)^n)*((($F23+$G23*Mesh_Y+$H23*Mesh_X))&gt;0),Mesh_A)+SUMPRODUCT((Es*(($F23+$G23*Geometry!$E$42:$E$59+$H23*Geometry!$D$42:$D$59))*(ABS(Es*(($F23+$G23*Geometry!$E$42:$E$59+$H23*Geometry!$D$42:$D$59)))&lt;=fy)+fy*(Es*(($F23+$G23*Geometry!$E$42:$E$59+$H23*Geometry!$D$42:$D$59))&gt;fy)-fy*(Es*(($F23+$G23*Geometry!$E$42:$E$59+$H23*Geometry!$D$42:$D$59))&lt;-fy)-(alpha*fck*(1-(1-((($F23+$G23*Geometry!$E$42:$E$59+$H23*Geometry!$D$42:$D$59))*(($F23+$G23*Geometry!$E$42:$E$59+$H23*Geometry!$D$42:$D$59)&gt;0)*(($F23+$G23*Geometry!$E$42:$E$59+$H23*Geometry!$D$42:$D$59)&lt;eco)+eco*(($F23+$G23*Geometry!$E$42:$E$59+$H23*Geometry!$D$42:$D$59)&gt;=eco))/eco)^n)*((($F23+$G23*Geometry!$E$42:$E$59+$H23*Geometry!$D$42:$D$59))&gt;0))),Geometry!$F$42:$F$59))/1000</f>
      </c>
      <c r="BL23" s="32">
        <f>(SUMPRODUCT(alpha*fck*(1-(1-((($I23+$J23*Mesh_Y+$K23*Mesh_X))*(($I23+$J23*Mesh_Y+$K23*Mesh_X)&gt;0)*(($I23+$J23*Mesh_Y+$K23*Mesh_X)&lt;eco)+eco*(($I23+$J23*Mesh_Y+$K23*Mesh_X)&gt;=eco))/eco)^n)*((($I23+$J23*Mesh_Y+$K23*Mesh_X))&gt;0),Mesh_A)+SUMPRODUCT((Es*(($I23+$J23*Geometry!$E$42:$E$59+$K23*Geometry!$D$42:$D$59))*(ABS(Es*(($I23+$J23*Geometry!$E$42:$E$59+$K23*Geometry!$D$42:$D$59)))&lt;=fy)+fy*(Es*(($I23+$J23*Geometry!$E$42:$E$59+$K23*Geometry!$D$42:$D$59))&gt;fy)-fy*(Es*(($I23+$J23*Geometry!$E$42:$E$59+$K23*Geometry!$D$42:$D$59))&lt;-fy)-(alpha*fck*(1-(1-((($I23+$J23*Geometry!$E$42:$E$59+$K23*Geometry!$D$42:$D$59))*(($I23+$J23*Geometry!$E$42:$E$59+$K23*Geometry!$D$42:$D$59)&gt;0)*(($I23+$J23*Geometry!$E$42:$E$59+$K23*Geometry!$D$42:$D$59)&lt;eco)+eco*(($I23+$J23*Geometry!$E$42:$E$59+$K23*Geometry!$D$42:$D$59)&gt;=eco))/eco)^n)*((($I23+$J23*Geometry!$E$42:$E$59+$K23*Geometry!$D$42:$D$59))&gt;0))),Geometry!$F$42:$F$59))/1000</f>
      </c>
      <c r="BM23" s="32">
        <f>(SUMPRODUCT(alpha*fck*(1-(1-((($L23+$M23*Mesh_Y+$N23*Mesh_X))*(($L23+$M23*Mesh_Y+$N23*Mesh_X)&gt;0)*(($L23+$M23*Mesh_Y+$N23*Mesh_X)&lt;eco)+eco*(($L23+$M23*Mesh_Y+$N23*Mesh_X)&gt;=eco))/eco)^n)*((($L23+$M23*Mesh_Y+$N23*Mesh_X))&gt;0),Mesh_A)+SUMPRODUCT((Es*(($L23+$M23*Geometry!$E$42:$E$59+$N23*Geometry!$D$42:$D$59))*(ABS(Es*(($L23+$M23*Geometry!$E$42:$E$59+$N23*Geometry!$D$42:$D$59)))&lt;=fy)+fy*(Es*(($L23+$M23*Geometry!$E$42:$E$59+$N23*Geometry!$D$42:$D$59))&gt;fy)-fy*(Es*(($L23+$M23*Geometry!$E$42:$E$59+$N23*Geometry!$D$42:$D$59))&lt;-fy)-(alpha*fck*(1-(1-((($L23+$M23*Geometry!$E$42:$E$59+$N23*Geometry!$D$42:$D$59))*(($L23+$M23*Geometry!$E$42:$E$59+$N23*Geometry!$D$42:$D$59)&gt;0)*(($L23+$M23*Geometry!$E$42:$E$59+$N23*Geometry!$D$42:$D$59)&lt;eco)+eco*(($L23+$M23*Geometry!$E$42:$E$59+$N23*Geometry!$D$42:$D$59)&gt;=eco))/eco)^n)*((($L23+$M23*Geometry!$E$42:$E$59+$N23*Geometry!$D$42:$D$59))&gt;0))),Geometry!$F$42:$F$59))/1000</f>
      </c>
      <c r="BN23" s="32">
        <f>(SUMPRODUCT(alpha*fck*(1-(1-((($O23+$P23*Mesh_Y+$Q23*Mesh_X))*(($O23+$P23*Mesh_Y+$Q23*Mesh_X)&gt;0)*(($O23+$P23*Mesh_Y+$Q23*Mesh_X)&lt;eco)+eco*(($O23+$P23*Mesh_Y+$Q23*Mesh_X)&gt;=eco))/eco)^n)*((($O23+$P23*Mesh_Y+$Q23*Mesh_X))&gt;0),Mesh_A)+SUMPRODUCT((Es*(($O23+$P23*Geometry!$E$42:$E$59+$Q23*Geometry!$D$42:$D$59))*(ABS(Es*(($O23+$P23*Geometry!$E$42:$E$59+$Q23*Geometry!$D$42:$D$59)))&lt;=fy)+fy*(Es*(($O23+$P23*Geometry!$E$42:$E$59+$Q23*Geometry!$D$42:$D$59))&gt;fy)-fy*(Es*(($O23+$P23*Geometry!$E$42:$E$59+$Q23*Geometry!$D$42:$D$59))&lt;-fy)-(alpha*fck*(1-(1-((($O23+$P23*Geometry!$E$42:$E$59+$Q23*Geometry!$D$42:$D$59))*(($O23+$P23*Geometry!$E$42:$E$59+$Q23*Geometry!$D$42:$D$59)&gt;0)*(($O23+$P23*Geometry!$E$42:$E$59+$Q23*Geometry!$D$42:$D$59)&lt;eco)+eco*(($O23+$P23*Geometry!$E$42:$E$59+$Q23*Geometry!$D$42:$D$59)&gt;=eco))/eco)^n)*((($O23+$P23*Geometry!$E$42:$E$59+$Q23*Geometry!$D$42:$D$59))&gt;0))),Geometry!$F$42:$F$59))/1000</f>
      </c>
      <c r="BO23" s="32">
        <f>(SUMPRODUCT(alpha*fck*(1-(1-((($R23+$S23*Mesh_Y+$T23*Mesh_X))*(($R23+$S23*Mesh_Y+$T23*Mesh_X)&gt;0)*(($R23+$S23*Mesh_Y+$T23*Mesh_X)&lt;eco)+eco*(($R23+$S23*Mesh_Y+$T23*Mesh_X)&gt;=eco))/eco)^n)*((($R23+$S23*Mesh_Y+$T23*Mesh_X))&gt;0),Mesh_A)+SUMPRODUCT((Es*(($R23+$S23*Geometry!$E$42:$E$59+$T23*Geometry!$D$42:$D$59))*(ABS(Es*(($R23+$S23*Geometry!$E$42:$E$59+$T23*Geometry!$D$42:$D$59)))&lt;=fy)+fy*(Es*(($R23+$S23*Geometry!$E$42:$E$59+$T23*Geometry!$D$42:$D$59))&gt;fy)-fy*(Es*(($R23+$S23*Geometry!$E$42:$E$59+$T23*Geometry!$D$42:$D$59))&lt;-fy)-(alpha*fck*(1-(1-((($R23+$S23*Geometry!$E$42:$E$59+$T23*Geometry!$D$42:$D$59))*(($R23+$S23*Geometry!$E$42:$E$59+$T23*Geometry!$D$42:$D$59)&gt;0)*(($R23+$S23*Geometry!$E$42:$E$59+$T23*Geometry!$D$42:$D$59)&lt;eco)+eco*(($R23+$S23*Geometry!$E$42:$E$59+$T23*Geometry!$D$42:$D$59)&gt;=eco))/eco)^n)*((($R23+$S23*Geometry!$E$42:$E$59+$T23*Geometry!$D$42:$D$59))&gt;0))),Geometry!$F$42:$F$59))/1000</f>
      </c>
      <c r="BP23" s="32">
        <f>(SUMPRODUCT(alpha*fck*(1-(1-((($U23+$V23*Mesh_Y+$W23*Mesh_X))*(($U23+$V23*Mesh_Y+$W23*Mesh_X)&gt;0)*(($U23+$V23*Mesh_Y+$W23*Mesh_X)&lt;eco)+eco*(($U23+$V23*Mesh_Y+$W23*Mesh_X)&gt;=eco))/eco)^n)*((($U23+$V23*Mesh_Y+$W23*Mesh_X))&gt;0),Mesh_A)+SUMPRODUCT((Es*(($U23+$V23*Geometry!$E$42:$E$59+$W23*Geometry!$D$42:$D$59))*(ABS(Es*(($U23+$V23*Geometry!$E$42:$E$59+$W23*Geometry!$D$42:$D$59)))&lt;=fy)+fy*(Es*(($U23+$V23*Geometry!$E$42:$E$59+$W23*Geometry!$D$42:$D$59))&gt;fy)-fy*(Es*(($U23+$V23*Geometry!$E$42:$E$59+$W23*Geometry!$D$42:$D$59))&lt;-fy)-(alpha*fck*(1-(1-((($U23+$V23*Geometry!$E$42:$E$59+$W23*Geometry!$D$42:$D$59))*(($U23+$V23*Geometry!$E$42:$E$59+$W23*Geometry!$D$42:$D$59)&gt;0)*(($U23+$V23*Geometry!$E$42:$E$59+$W23*Geometry!$D$42:$D$59)&lt;eco)+eco*(($U23+$V23*Geometry!$E$42:$E$59+$W23*Geometry!$D$42:$D$59)&gt;=eco))/eco)^n)*((($U23+$V23*Geometry!$E$42:$E$59+$W23*Geometry!$D$42:$D$59))&gt;0))),Geometry!$F$42:$F$59))/1000</f>
      </c>
      <c r="BQ23" s="32">
        <f>(SUMPRODUCT(alpha*fck*(1-(1-((($X23+$Y23*Mesh_Y+$Z23*Mesh_X))*(($X23+$Y23*Mesh_Y+$Z23*Mesh_X)&gt;0)*(($X23+$Y23*Mesh_Y+$Z23*Mesh_X)&lt;eco)+eco*(($X23+$Y23*Mesh_Y+$Z23*Mesh_X)&gt;=eco))/eco)^n)*((($X23+$Y23*Mesh_Y+$Z23*Mesh_X))&gt;0),Mesh_A)+SUMPRODUCT((Es*(($X23+$Y23*Geometry!$E$42:$E$59+$Z23*Geometry!$D$42:$D$59))*(ABS(Es*(($X23+$Y23*Geometry!$E$42:$E$59+$Z23*Geometry!$D$42:$D$59)))&lt;=fy)+fy*(Es*(($X23+$Y23*Geometry!$E$42:$E$59+$Z23*Geometry!$D$42:$D$59))&gt;fy)-fy*(Es*(($X23+$Y23*Geometry!$E$42:$E$59+$Z23*Geometry!$D$42:$D$59))&lt;-fy)-(alpha*fck*(1-(1-((($X23+$Y23*Geometry!$E$42:$E$59+$Z23*Geometry!$D$42:$D$59))*(($X23+$Y23*Geometry!$E$42:$E$59+$Z23*Geometry!$D$42:$D$59)&gt;0)*(($X23+$Y23*Geometry!$E$42:$E$59+$Z23*Geometry!$D$42:$D$59)&lt;eco)+eco*(($X23+$Y23*Geometry!$E$42:$E$59+$Z23*Geometry!$D$42:$D$59)&gt;=eco))/eco)^n)*((($X23+$Y23*Geometry!$E$42:$E$59+$Z23*Geometry!$D$42:$D$59))&gt;0))),Geometry!$F$42:$F$59))/1000</f>
      </c>
      <c r="BR23" s="32">
        <f>(SUMPRODUCT(alpha*fck*(1-(1-((($AA23+$AB23*Mesh_Y+$AC23*Mesh_X))*(($AA23+$AB23*Mesh_Y+$AC23*Mesh_X)&gt;0)*(($AA23+$AB23*Mesh_Y+$AC23*Mesh_X)&lt;eco)+eco*(($AA23+$AB23*Mesh_Y+$AC23*Mesh_X)&gt;=eco))/eco)^n)*((($AA23+$AB23*Mesh_Y+$AC23*Mesh_X))&gt;0),Mesh_A)+SUMPRODUCT((Es*(($AA23+$AB23*Geometry!$E$42:$E$59+$AC23*Geometry!$D$42:$D$59))*(ABS(Es*(($AA23+$AB23*Geometry!$E$42:$E$59+$AC23*Geometry!$D$42:$D$59)))&lt;=fy)+fy*(Es*(($AA23+$AB23*Geometry!$E$42:$E$59+$AC23*Geometry!$D$42:$D$59))&gt;fy)-fy*(Es*(($AA23+$AB23*Geometry!$E$42:$E$59+$AC23*Geometry!$D$42:$D$59))&lt;-fy)-(alpha*fck*(1-(1-((($AA23+$AB23*Geometry!$E$42:$E$59+$AC23*Geometry!$D$42:$D$59))*(($AA23+$AB23*Geometry!$E$42:$E$59+$AC23*Geometry!$D$42:$D$59)&gt;0)*(($AA23+$AB23*Geometry!$E$42:$E$59+$AC23*Geometry!$D$42:$D$59)&lt;eco)+eco*(($AA23+$AB23*Geometry!$E$42:$E$59+$AC23*Geometry!$D$42:$D$59)&gt;=eco))/eco)^n)*((($AA23+$AB23*Geometry!$E$42:$E$59+$AC23*Geometry!$D$42:$D$59))&gt;0))),Geometry!$F$42:$F$59))/1000</f>
      </c>
      <c r="BS23" s="32">
        <f>(SUMPRODUCT(alpha*fck*(1-(1-((($AD23+$AE23*Mesh_Y+$AF23*Mesh_X))*(($AD23+$AE23*Mesh_Y+$AF23*Mesh_X)&gt;0)*(($AD23+$AE23*Mesh_Y+$AF23*Mesh_X)&lt;eco)+eco*(($AD23+$AE23*Mesh_Y+$AF23*Mesh_X)&gt;=eco))/eco)^n)*((($AD23+$AE23*Mesh_Y+$AF23*Mesh_X))&gt;0),Mesh_A)+SUMPRODUCT((Es*(($AD23+$AE23*Geometry!$E$42:$E$59+$AF23*Geometry!$D$42:$D$59))*(ABS(Es*(($AD23+$AE23*Geometry!$E$42:$E$59+$AF23*Geometry!$D$42:$D$59)))&lt;=fy)+fy*(Es*(($AD23+$AE23*Geometry!$E$42:$E$59+$AF23*Geometry!$D$42:$D$59))&gt;fy)-fy*(Es*(($AD23+$AE23*Geometry!$E$42:$E$59+$AF23*Geometry!$D$42:$D$59))&lt;-fy)-(alpha*fck*(1-(1-((($AD23+$AE23*Geometry!$E$42:$E$59+$AF23*Geometry!$D$42:$D$59))*(($AD23+$AE23*Geometry!$E$42:$E$59+$AF23*Geometry!$D$42:$D$59)&gt;0)*(($AD23+$AE23*Geometry!$E$42:$E$59+$AF23*Geometry!$D$42:$D$59)&lt;eco)+eco*(($AD23+$AE23*Geometry!$E$42:$E$59+$AF23*Geometry!$D$42:$D$59)&gt;=eco))/eco)^n)*((($AD23+$AE23*Geometry!$E$42:$E$59+$AF23*Geometry!$D$42:$D$59))&gt;0))),Geometry!$F$42:$F$59))/1000</f>
      </c>
      <c r="BT23" s="32">
        <f>(SUMPRODUCT(alpha*fck*(1-(1-((($AG23+$AH23*Mesh_Y+$AI23*Mesh_X))*(($AG23+$AH23*Mesh_Y+$AI23*Mesh_X)&gt;0)*(($AG23+$AH23*Mesh_Y+$AI23*Mesh_X)&lt;eco)+eco*(($AG23+$AH23*Mesh_Y+$AI23*Mesh_X)&gt;=eco))/eco)^n)*((($AG23+$AH23*Mesh_Y+$AI23*Mesh_X))&gt;0),Mesh_A)+SUMPRODUCT((Es*(($AG23+$AH23*Geometry!$E$42:$E$59+$AI23*Geometry!$D$42:$D$59))*(ABS(Es*(($AG23+$AH23*Geometry!$E$42:$E$59+$AI23*Geometry!$D$42:$D$59)))&lt;=fy)+fy*(Es*(($AG23+$AH23*Geometry!$E$42:$E$59+$AI23*Geometry!$D$42:$D$59))&gt;fy)-fy*(Es*(($AG23+$AH23*Geometry!$E$42:$E$59+$AI23*Geometry!$D$42:$D$59))&lt;-fy)-(alpha*fck*(1-(1-((($AG23+$AH23*Geometry!$E$42:$E$59+$AI23*Geometry!$D$42:$D$59))*(($AG23+$AH23*Geometry!$E$42:$E$59+$AI23*Geometry!$D$42:$D$59)&gt;0)*(($AG23+$AH23*Geometry!$E$42:$E$59+$AI23*Geometry!$D$42:$D$59)&lt;eco)+eco*(($AG23+$AH23*Geometry!$E$42:$E$59+$AI23*Geometry!$D$42:$D$59)&gt;=eco))/eco)^n)*((($AG23+$AH23*Geometry!$E$42:$E$59+$AI23*Geometry!$D$42:$D$59))&gt;0))),Geometry!$F$42:$F$59))/1000</f>
      </c>
      <c r="BU23" s="32">
        <f>(SUMPRODUCT(alpha*fck*(1-(1-((($AJ23+$AK23*Mesh_Y+$AL23*Mesh_X))*(($AJ23+$AK23*Mesh_Y+$AL23*Mesh_X)&gt;0)*(($AJ23+$AK23*Mesh_Y+$AL23*Mesh_X)&lt;eco)+eco*(($AJ23+$AK23*Mesh_Y+$AL23*Mesh_X)&gt;=eco))/eco)^n)*((($AJ23+$AK23*Mesh_Y+$AL23*Mesh_X))&gt;0),Mesh_A)+SUMPRODUCT((Es*(($AJ23+$AK23*Geometry!$E$42:$E$59+$AL23*Geometry!$D$42:$D$59))*(ABS(Es*(($AJ23+$AK23*Geometry!$E$42:$E$59+$AL23*Geometry!$D$42:$D$59)))&lt;=fy)+fy*(Es*(($AJ23+$AK23*Geometry!$E$42:$E$59+$AL23*Geometry!$D$42:$D$59))&gt;fy)-fy*(Es*(($AJ23+$AK23*Geometry!$E$42:$E$59+$AL23*Geometry!$D$42:$D$59))&lt;-fy)-(alpha*fck*(1-(1-((($AJ23+$AK23*Geometry!$E$42:$E$59+$AL23*Geometry!$D$42:$D$59))*(($AJ23+$AK23*Geometry!$E$42:$E$59+$AL23*Geometry!$D$42:$D$59)&gt;0)*(($AJ23+$AK23*Geometry!$E$42:$E$59+$AL23*Geometry!$D$42:$D$59)&lt;eco)+eco*(($AJ23+$AK23*Geometry!$E$42:$E$59+$AL23*Geometry!$D$42:$D$59)&gt;=eco))/eco)^n)*((($AJ23+$AK23*Geometry!$E$42:$E$59+$AL23*Geometry!$D$42:$D$59))&gt;0))),Geometry!$F$42:$F$59))/1000</f>
      </c>
      <c r="BV23" s="32">
        <f>(SUMPRODUCT(alpha*fck*(1-(1-((($AM23+$AN23*Mesh_Y+$AO23*Mesh_X))*(($AM23+$AN23*Mesh_Y+$AO23*Mesh_X)&gt;0)*(($AM23+$AN23*Mesh_Y+$AO23*Mesh_X)&lt;eco)+eco*(($AM23+$AN23*Mesh_Y+$AO23*Mesh_X)&gt;=eco))/eco)^n)*((($AM23+$AN23*Mesh_Y+$AO23*Mesh_X))&gt;0),Mesh_A)+SUMPRODUCT((Es*(($AM23+$AN23*Geometry!$E$42:$E$59+$AO23*Geometry!$D$42:$D$59))*(ABS(Es*(($AM23+$AN23*Geometry!$E$42:$E$59+$AO23*Geometry!$D$42:$D$59)))&lt;=fy)+fy*(Es*(($AM23+$AN23*Geometry!$E$42:$E$59+$AO23*Geometry!$D$42:$D$59))&gt;fy)-fy*(Es*(($AM23+$AN23*Geometry!$E$42:$E$59+$AO23*Geometry!$D$42:$D$59))&lt;-fy)-(alpha*fck*(1-(1-((($AM23+$AN23*Geometry!$E$42:$E$59+$AO23*Geometry!$D$42:$D$59))*(($AM23+$AN23*Geometry!$E$42:$E$59+$AO23*Geometry!$D$42:$D$59)&gt;0)*(($AM23+$AN23*Geometry!$E$42:$E$59+$AO23*Geometry!$D$42:$D$59)&lt;eco)+eco*(($AM23+$AN23*Geometry!$E$42:$E$59+$AO23*Geometry!$D$42:$D$59)&gt;=eco))/eco)^n)*((($AM23+$AN23*Geometry!$E$42:$E$59+$AO23*Geometry!$D$42:$D$59))&gt;0))),Geometry!$F$42:$F$59))/1000</f>
      </c>
      <c r="BW23" s="32">
        <f>(SUMPRODUCT(alpha*fck*(1-(1-((($AP23+$AQ23*Mesh_Y+$AR23*Mesh_X))*(($AP23+$AQ23*Mesh_Y+$AR23*Mesh_X)&gt;0)*(($AP23+$AQ23*Mesh_Y+$AR23*Mesh_X)&lt;eco)+eco*(($AP23+$AQ23*Mesh_Y+$AR23*Mesh_X)&gt;=eco))/eco)^n)*((($AP23+$AQ23*Mesh_Y+$AR23*Mesh_X))&gt;0),Mesh_A)+SUMPRODUCT((Es*(($AP23+$AQ23*Geometry!$E$42:$E$59+$AR23*Geometry!$D$42:$D$59))*(ABS(Es*(($AP23+$AQ23*Geometry!$E$42:$E$59+$AR23*Geometry!$D$42:$D$59)))&lt;=fy)+fy*(Es*(($AP23+$AQ23*Geometry!$E$42:$E$59+$AR23*Geometry!$D$42:$D$59))&gt;fy)-fy*(Es*(($AP23+$AQ23*Geometry!$E$42:$E$59+$AR23*Geometry!$D$42:$D$59))&lt;-fy)-(alpha*fck*(1-(1-((($AP23+$AQ23*Geometry!$E$42:$E$59+$AR23*Geometry!$D$42:$D$59))*(($AP23+$AQ23*Geometry!$E$42:$E$59+$AR23*Geometry!$D$42:$D$59)&gt;0)*(($AP23+$AQ23*Geometry!$E$42:$E$59+$AR23*Geometry!$D$42:$D$59)&lt;eco)+eco*(($AP23+$AQ23*Geometry!$E$42:$E$59+$AR23*Geometry!$D$42:$D$59)&gt;=eco))/eco)^n)*((($AP23+$AQ23*Geometry!$E$42:$E$59+$AR23*Geometry!$D$42:$D$59))&gt;0))),Geometry!$F$42:$F$59))/1000</f>
      </c>
      <c r="BX23" s="32">
        <f>(SUMPRODUCT(alpha*fck*(1-(1-((($AS23+$AT23*Mesh_Y+$AU23*Mesh_X))*(($AS23+$AT23*Mesh_Y+$AU23*Mesh_X)&gt;0)*(($AS23+$AT23*Mesh_Y+$AU23*Mesh_X)&lt;eco)+eco*(($AS23+$AT23*Mesh_Y+$AU23*Mesh_X)&gt;=eco))/eco)^n)*((($AS23+$AT23*Mesh_Y+$AU23*Mesh_X))&gt;0),Mesh_A)+SUMPRODUCT((Es*(($AS23+$AT23*Geometry!$E$42:$E$59+$AU23*Geometry!$D$42:$D$59))*(ABS(Es*(($AS23+$AT23*Geometry!$E$42:$E$59+$AU23*Geometry!$D$42:$D$59)))&lt;=fy)+fy*(Es*(($AS23+$AT23*Geometry!$E$42:$E$59+$AU23*Geometry!$D$42:$D$59))&gt;fy)-fy*(Es*(($AS23+$AT23*Geometry!$E$42:$E$59+$AU23*Geometry!$D$42:$D$59))&lt;-fy)-(alpha*fck*(1-(1-((($AS23+$AT23*Geometry!$E$42:$E$59+$AU23*Geometry!$D$42:$D$59))*(($AS23+$AT23*Geometry!$E$42:$E$59+$AU23*Geometry!$D$42:$D$59)&gt;0)*(($AS23+$AT23*Geometry!$E$42:$E$59+$AU23*Geometry!$D$42:$D$59)&lt;eco)+eco*(($AS23+$AT23*Geometry!$E$42:$E$59+$AU23*Geometry!$D$42:$D$59)&gt;=eco))/eco)^n)*((($AS23+$AT23*Geometry!$E$42:$E$59+$AU23*Geometry!$D$42:$D$59))&gt;0))),Geometry!$F$42:$F$59))/1000</f>
      </c>
      <c r="BY23" s="32">
        <f>(SUMPRODUCT(alpha*fck*(1-(1-((($AV23+$AW23*Mesh_Y+$AX23*Mesh_X))*(($AV23+$AW23*Mesh_Y+$AX23*Mesh_X)&gt;0)*(($AV23+$AW23*Mesh_Y+$AX23*Mesh_X)&lt;eco)+eco*(($AV23+$AW23*Mesh_Y+$AX23*Mesh_X)&gt;=eco))/eco)^n)*((($AV23+$AW23*Mesh_Y+$AX23*Mesh_X))&gt;0),Mesh_A)+SUMPRODUCT((Es*(($AV23+$AW23*Geometry!$E$42:$E$59+$AX23*Geometry!$D$42:$D$59))*(ABS(Es*(($AV23+$AW23*Geometry!$E$42:$E$59+$AX23*Geometry!$D$42:$D$59)))&lt;=fy)+fy*(Es*(($AV23+$AW23*Geometry!$E$42:$E$59+$AX23*Geometry!$D$42:$D$59))&gt;fy)-fy*(Es*(($AV23+$AW23*Geometry!$E$42:$E$59+$AX23*Geometry!$D$42:$D$59))&lt;-fy)-(alpha*fck*(1-(1-((($AV23+$AW23*Geometry!$E$42:$E$59+$AX23*Geometry!$D$42:$D$59))*(($AV23+$AW23*Geometry!$E$42:$E$59+$AX23*Geometry!$D$42:$D$59)&gt;0)*(($AV23+$AW23*Geometry!$E$42:$E$59+$AX23*Geometry!$D$42:$D$59)&lt;eco)+eco*(($AV23+$AW23*Geometry!$E$42:$E$59+$AX23*Geometry!$D$42:$D$59)&gt;=eco))/eco)^n)*((($AV23+$AW23*Geometry!$E$42:$E$59+$AX23*Geometry!$D$42:$D$59))&gt;0))),Geometry!$F$42:$F$59))/1000</f>
      </c>
      <c r="BZ23" s="32">
        <f>(SUMPRODUCT(alpha*fck*(1-(1-((($AY23+$AZ23*Mesh_Y+$BA23*Mesh_X))*(($AY23+$AZ23*Mesh_Y+$BA23*Mesh_X)&gt;0)*(($AY23+$AZ23*Mesh_Y+$BA23*Mesh_X)&lt;eco)+eco*(($AY23+$AZ23*Mesh_Y+$BA23*Mesh_X)&gt;=eco))/eco)^n)*((($AY23+$AZ23*Mesh_Y+$BA23*Mesh_X))&gt;0),Mesh_A)+SUMPRODUCT((Es*(($AY23+$AZ23*Geometry!$E$42:$E$59+$BA23*Geometry!$D$42:$D$59))*(ABS(Es*(($AY23+$AZ23*Geometry!$E$42:$E$59+$BA23*Geometry!$D$42:$D$59)))&lt;=fy)+fy*(Es*(($AY23+$AZ23*Geometry!$E$42:$E$59+$BA23*Geometry!$D$42:$D$59))&gt;fy)-fy*(Es*(($AY23+$AZ23*Geometry!$E$42:$E$59+$BA23*Geometry!$D$42:$D$59))&lt;-fy)-(alpha*fck*(1-(1-((($AY23+$AZ23*Geometry!$E$42:$E$59+$BA23*Geometry!$D$42:$D$59))*(($AY23+$AZ23*Geometry!$E$42:$E$59+$BA23*Geometry!$D$42:$D$59)&gt;0)*(($AY23+$AZ23*Geometry!$E$42:$E$59+$BA23*Geometry!$D$42:$D$59)&lt;eco)+eco*(($AY23+$AZ23*Geometry!$E$42:$E$59+$BA23*Geometry!$D$42:$D$59)&gt;=eco))/eco)^n)*((($AY23+$AZ23*Geometry!$E$42:$E$59+$BA23*Geometry!$D$42:$D$59))&gt;0))),Geometry!$F$42:$F$59))/1000</f>
      </c>
      <c r="CA23" s="32">
        <f>(SUMPRODUCT(alpha*fck*(1-(1-((($BB23+$BC23*Mesh_Y+$BD23*Mesh_X))*(($BB23+$BC23*Mesh_Y+$BD23*Mesh_X)&gt;0)*(($BB23+$BC23*Mesh_Y+$BD23*Mesh_X)&lt;eco)+eco*(($BB23+$BC23*Mesh_Y+$BD23*Mesh_X)&gt;=eco))/eco)^n)*((($BB23+$BC23*Mesh_Y+$BD23*Mesh_X))&gt;0),Mesh_A)+SUMPRODUCT((Es*(($BB23+$BC23*Geometry!$E$42:$E$59+$BD23*Geometry!$D$42:$D$59))*(ABS(Es*(($BB23+$BC23*Geometry!$E$42:$E$59+$BD23*Geometry!$D$42:$D$59)))&lt;=fy)+fy*(Es*(($BB23+$BC23*Geometry!$E$42:$E$59+$BD23*Geometry!$D$42:$D$59))&gt;fy)-fy*(Es*(($BB23+$BC23*Geometry!$E$42:$E$59+$BD23*Geometry!$D$42:$D$59))&lt;-fy)-(alpha*fck*(1-(1-((($BB23+$BC23*Geometry!$E$42:$E$59+$BD23*Geometry!$D$42:$D$59))*(($BB23+$BC23*Geometry!$E$42:$E$59+$BD23*Geometry!$D$42:$D$59)&gt;0)*(($BB23+$BC23*Geometry!$E$42:$E$59+$BD23*Geometry!$D$42:$D$59)&lt;eco)+eco*(($BB23+$BC23*Geometry!$E$42:$E$59+$BD23*Geometry!$D$42:$D$59)&gt;=eco))/eco)^n)*((($BB23+$BC23*Geometry!$E$42:$E$59+$BD23*Geometry!$D$42:$D$59))&gt;0))),Geometry!$F$42:$F$59))/1000</f>
      </c>
      <c r="CB23" s="32">
        <f>(SUMPRODUCT(alpha*fck*(1-(1-((($BE23+$BF23*Mesh_Y+$BG23*Mesh_X))*(($BE23+$BF23*Mesh_Y+$BG23*Mesh_X)&gt;0)*(($BE23+$BF23*Mesh_Y+$BG23*Mesh_X)&lt;eco)+eco*(($BE23+$BF23*Mesh_Y+$BG23*Mesh_X)&gt;=eco))/eco)^n)*((($BE23+$BF23*Mesh_Y+$BG23*Mesh_X))&gt;0),Mesh_A)+SUMPRODUCT((Es*(($BE23+$BF23*Geometry!$E$42:$E$59+$BG23*Geometry!$D$42:$D$59))*(ABS(Es*(($BE23+$BF23*Geometry!$E$42:$E$59+$BG23*Geometry!$D$42:$D$59)))&lt;=fy)+fy*(Es*(($BE23+$BF23*Geometry!$E$42:$E$59+$BG23*Geometry!$D$42:$D$59))&gt;fy)-fy*(Es*(($BE23+$BF23*Geometry!$E$42:$E$59+$BG23*Geometry!$D$42:$D$59))&lt;-fy)-(alpha*fck*(1-(1-((($BE23+$BF23*Geometry!$E$42:$E$59+$BG23*Geometry!$D$42:$D$59))*(($BE23+$BF23*Geometry!$E$42:$E$59+$BG23*Geometry!$D$42:$D$59)&gt;0)*(($BE23+$BF23*Geometry!$E$42:$E$59+$BG23*Geometry!$D$42:$D$59)&lt;eco)+eco*(($BE23+$BF23*Geometry!$E$42:$E$59+$BG23*Geometry!$D$42:$D$59)&gt;=eco))/eco)^n)*((($BE23+$BF23*Geometry!$E$42:$E$59+$BG23*Geometry!$D$42:$D$59))&gt;0))),Geometry!$F$42:$F$59))/1000</f>
      </c>
      <c r="CC23" s="32">
        <f>(SUMPRODUCT(alpha*fck*(1-(1-((($BH23+$BI23*Mesh_Y+$BJ23*Mesh_X))*(($BH23+$BI23*Mesh_Y+$BJ23*Mesh_X)&gt;0)*(($BH23+$BI23*Mesh_Y+$BJ23*Mesh_X)&lt;eco)+eco*(($BH23+$BI23*Mesh_Y+$BJ23*Mesh_X)&gt;=eco))/eco)^n)*((($BH23+$BI23*Mesh_Y+$BJ23*Mesh_X))&gt;0),Mesh_A)+SUMPRODUCT((Es*(($BH23+$BI23*Geometry!$E$42:$E$59+$BJ23*Geometry!$D$42:$D$59))*(ABS(Es*(($BH23+$BI23*Geometry!$E$42:$E$59+$BJ23*Geometry!$D$42:$D$59)))&lt;=fy)+fy*(Es*(($BH23+$BI23*Geometry!$E$42:$E$59+$BJ23*Geometry!$D$42:$D$59))&gt;fy)-fy*(Es*(($BH23+$BI23*Geometry!$E$42:$E$59+$BJ23*Geometry!$D$42:$D$59))&lt;-fy)-(alpha*fck*(1-(1-((($BH23+$BI23*Geometry!$E$42:$E$59+$BJ23*Geometry!$D$42:$D$59))*(($BH23+$BI23*Geometry!$E$42:$E$59+$BJ23*Geometry!$D$42:$D$59)&gt;0)*(($BH23+$BI23*Geometry!$E$42:$E$59+$BJ23*Geometry!$D$42:$D$59)&lt;eco)+eco*(($BH23+$BI23*Geometry!$E$42:$E$59+$BJ23*Geometry!$D$42:$D$59)&gt;=eco))/eco)^n)*((($BH23+$BI23*Geometry!$E$42:$E$59+$BJ23*Geometry!$D$42:$D$59))&gt;0))),Geometry!$F$42:$F$59))/1000</f>
      </c>
      <c r="CD23" s="32">
        <f>(SUMPRODUCT(alpha*fck*(1-(1-((($F23+$G23*Mesh_Y+$H23*Mesh_X))*(($F23+$G23*Mesh_Y+$H23*Mesh_X)&gt;0)*(($F23+$G23*Mesh_Y+$H23*Mesh_X)&lt;eco)+eco*(($F23+$G23*Mesh_Y+$H23*Mesh_X)&gt;=eco))/eco)^n)*((($F23+$G23*Mesh_Y+$H23*Mesh_X))&gt;0),Mesh_A,Mesh_Y)+SUMPRODUCT((Es*(($F23+$G23*Geometry!$E$42:$E$59+$H23*Geometry!$D$42:$D$59))*(ABS(Es*(($F23+$G23*Geometry!$E$42:$E$59+$H23*Geometry!$D$42:$D$59)))&lt;=fy)+fy*(Es*(($F23+$G23*Geometry!$E$42:$E$59+$H23*Geometry!$D$42:$D$59))&gt;fy)-fy*(Es*(($F23+$G23*Geometry!$E$42:$E$59+$H23*Geometry!$D$42:$D$59))&lt;-fy)-(alpha*fck*(1-(1-((($F23+$G23*Geometry!$E$42:$E$59+$H23*Geometry!$D$42:$D$59))*(($F23+$G23*Geometry!$E$42:$E$59+$H23*Geometry!$D$42:$D$59)&gt;0)*(($F23+$G23*Geometry!$E$42:$E$59+$H23*Geometry!$D$42:$D$59)&lt;eco)+eco*(($F23+$G23*Geometry!$E$42:$E$59+$H23*Geometry!$D$42:$D$59)&gt;=eco))/eco)^n)*((($F23+$G23*Geometry!$E$42:$E$59+$H23*Geometry!$D$42:$D$59))&gt;0))),Geometry!$F$42:$F$59,Geometry!$E$42:$E$59))/1000000</f>
      </c>
      <c r="CE23" s="32">
        <f>(SUMPRODUCT(alpha*fck*(1-(1-((($I23+$J23*Mesh_Y+$K23*Mesh_X))*(($I23+$J23*Mesh_Y+$K23*Mesh_X)&gt;0)*(($I23+$J23*Mesh_Y+$K23*Mesh_X)&lt;eco)+eco*(($I23+$J23*Mesh_Y+$K23*Mesh_X)&gt;=eco))/eco)^n)*((($I23+$J23*Mesh_Y+$K23*Mesh_X))&gt;0),Mesh_A,Mesh_Y)+SUMPRODUCT((Es*(($I23+$J23*Geometry!$E$42:$E$59+$K23*Geometry!$D$42:$D$59))*(ABS(Es*(($I23+$J23*Geometry!$E$42:$E$59+$K23*Geometry!$D$42:$D$59)))&lt;=fy)+fy*(Es*(($I23+$J23*Geometry!$E$42:$E$59+$K23*Geometry!$D$42:$D$59))&gt;fy)-fy*(Es*(($I23+$J23*Geometry!$E$42:$E$59+$K23*Geometry!$D$42:$D$59))&lt;-fy)-(alpha*fck*(1-(1-((($I23+$J23*Geometry!$E$42:$E$59+$K23*Geometry!$D$42:$D$59))*(($I23+$J23*Geometry!$E$42:$E$59+$K23*Geometry!$D$42:$D$59)&gt;0)*(($I23+$J23*Geometry!$E$42:$E$59+$K23*Geometry!$D$42:$D$59)&lt;eco)+eco*(($I23+$J23*Geometry!$E$42:$E$59+$K23*Geometry!$D$42:$D$59)&gt;=eco))/eco)^n)*((($I23+$J23*Geometry!$E$42:$E$59+$K23*Geometry!$D$42:$D$59))&gt;0))),Geometry!$F$42:$F$59,Geometry!$E$42:$E$59))/1000000</f>
      </c>
      <c r="CF23" s="32">
        <f>(SUMPRODUCT(alpha*fck*(1-(1-((($L23+$M23*Mesh_Y+$N23*Mesh_X))*(($L23+$M23*Mesh_Y+$N23*Mesh_X)&gt;0)*(($L23+$M23*Mesh_Y+$N23*Mesh_X)&lt;eco)+eco*(($L23+$M23*Mesh_Y+$N23*Mesh_X)&gt;=eco))/eco)^n)*((($L23+$M23*Mesh_Y+$N23*Mesh_X))&gt;0),Mesh_A,Mesh_Y)+SUMPRODUCT((Es*(($L23+$M23*Geometry!$E$42:$E$59+$N23*Geometry!$D$42:$D$59))*(ABS(Es*(($L23+$M23*Geometry!$E$42:$E$59+$N23*Geometry!$D$42:$D$59)))&lt;=fy)+fy*(Es*(($L23+$M23*Geometry!$E$42:$E$59+$N23*Geometry!$D$42:$D$59))&gt;fy)-fy*(Es*(($L23+$M23*Geometry!$E$42:$E$59+$N23*Geometry!$D$42:$D$59))&lt;-fy)-(alpha*fck*(1-(1-((($L23+$M23*Geometry!$E$42:$E$59+$N23*Geometry!$D$42:$D$59))*(($L23+$M23*Geometry!$E$42:$E$59+$N23*Geometry!$D$42:$D$59)&gt;0)*(($L23+$M23*Geometry!$E$42:$E$59+$N23*Geometry!$D$42:$D$59)&lt;eco)+eco*(($L23+$M23*Geometry!$E$42:$E$59+$N23*Geometry!$D$42:$D$59)&gt;=eco))/eco)^n)*((($L23+$M23*Geometry!$E$42:$E$59+$N23*Geometry!$D$42:$D$59))&gt;0))),Geometry!$F$42:$F$59,Geometry!$E$42:$E$59))/1000000</f>
      </c>
      <c r="CG23" s="32">
        <f>(SUMPRODUCT(alpha*fck*(1-(1-((($O23+$P23*Mesh_Y+$Q23*Mesh_X))*(($O23+$P23*Mesh_Y+$Q23*Mesh_X)&gt;0)*(($O23+$P23*Mesh_Y+$Q23*Mesh_X)&lt;eco)+eco*(($O23+$P23*Mesh_Y+$Q23*Mesh_X)&gt;=eco))/eco)^n)*((($O23+$P23*Mesh_Y+$Q23*Mesh_X))&gt;0),Mesh_A,Mesh_Y)+SUMPRODUCT((Es*(($O23+$P23*Geometry!$E$42:$E$59+$Q23*Geometry!$D$42:$D$59))*(ABS(Es*(($O23+$P23*Geometry!$E$42:$E$59+$Q23*Geometry!$D$42:$D$59)))&lt;=fy)+fy*(Es*(($O23+$P23*Geometry!$E$42:$E$59+$Q23*Geometry!$D$42:$D$59))&gt;fy)-fy*(Es*(($O23+$P23*Geometry!$E$42:$E$59+$Q23*Geometry!$D$42:$D$59))&lt;-fy)-(alpha*fck*(1-(1-((($O23+$P23*Geometry!$E$42:$E$59+$Q23*Geometry!$D$42:$D$59))*(($O23+$P23*Geometry!$E$42:$E$59+$Q23*Geometry!$D$42:$D$59)&gt;0)*(($O23+$P23*Geometry!$E$42:$E$59+$Q23*Geometry!$D$42:$D$59)&lt;eco)+eco*(($O23+$P23*Geometry!$E$42:$E$59+$Q23*Geometry!$D$42:$D$59)&gt;=eco))/eco)^n)*((($O23+$P23*Geometry!$E$42:$E$59+$Q23*Geometry!$D$42:$D$59))&gt;0))),Geometry!$F$42:$F$59,Geometry!$E$42:$E$59))/1000000</f>
      </c>
      <c r="CH23" s="32">
        <f>(SUMPRODUCT(alpha*fck*(1-(1-((($R23+$S23*Mesh_Y+$T23*Mesh_X))*(($R23+$S23*Mesh_Y+$T23*Mesh_X)&gt;0)*(($R23+$S23*Mesh_Y+$T23*Mesh_X)&lt;eco)+eco*(($R23+$S23*Mesh_Y+$T23*Mesh_X)&gt;=eco))/eco)^n)*((($R23+$S23*Mesh_Y+$T23*Mesh_X))&gt;0),Mesh_A,Mesh_Y)+SUMPRODUCT((Es*(($R23+$S23*Geometry!$E$42:$E$59+$T23*Geometry!$D$42:$D$59))*(ABS(Es*(($R23+$S23*Geometry!$E$42:$E$59+$T23*Geometry!$D$42:$D$59)))&lt;=fy)+fy*(Es*(($R23+$S23*Geometry!$E$42:$E$59+$T23*Geometry!$D$42:$D$59))&gt;fy)-fy*(Es*(($R23+$S23*Geometry!$E$42:$E$59+$T23*Geometry!$D$42:$D$59))&lt;-fy)-(alpha*fck*(1-(1-((($R23+$S23*Geometry!$E$42:$E$59+$T23*Geometry!$D$42:$D$59))*(($R23+$S23*Geometry!$E$42:$E$59+$T23*Geometry!$D$42:$D$59)&gt;0)*(($R23+$S23*Geometry!$E$42:$E$59+$T23*Geometry!$D$42:$D$59)&lt;eco)+eco*(($R23+$S23*Geometry!$E$42:$E$59+$T23*Geometry!$D$42:$D$59)&gt;=eco))/eco)^n)*((($R23+$S23*Geometry!$E$42:$E$59+$T23*Geometry!$D$42:$D$59))&gt;0))),Geometry!$F$42:$F$59,Geometry!$E$42:$E$59))/1000000</f>
      </c>
      <c r="CI23" s="32">
        <f>(SUMPRODUCT(alpha*fck*(1-(1-((($U23+$V23*Mesh_Y+$W23*Mesh_X))*(($U23+$V23*Mesh_Y+$W23*Mesh_X)&gt;0)*(($U23+$V23*Mesh_Y+$W23*Mesh_X)&lt;eco)+eco*(($U23+$V23*Mesh_Y+$W23*Mesh_X)&gt;=eco))/eco)^n)*((($U23+$V23*Mesh_Y+$W23*Mesh_X))&gt;0),Mesh_A,Mesh_Y)+SUMPRODUCT((Es*(($U23+$V23*Geometry!$E$42:$E$59+$W23*Geometry!$D$42:$D$59))*(ABS(Es*(($U23+$V23*Geometry!$E$42:$E$59+$W23*Geometry!$D$42:$D$59)))&lt;=fy)+fy*(Es*(($U23+$V23*Geometry!$E$42:$E$59+$W23*Geometry!$D$42:$D$59))&gt;fy)-fy*(Es*(($U23+$V23*Geometry!$E$42:$E$59+$W23*Geometry!$D$42:$D$59))&lt;-fy)-(alpha*fck*(1-(1-((($U23+$V23*Geometry!$E$42:$E$59+$W23*Geometry!$D$42:$D$59))*(($U23+$V23*Geometry!$E$42:$E$59+$W23*Geometry!$D$42:$D$59)&gt;0)*(($U23+$V23*Geometry!$E$42:$E$59+$W23*Geometry!$D$42:$D$59)&lt;eco)+eco*(($U23+$V23*Geometry!$E$42:$E$59+$W23*Geometry!$D$42:$D$59)&gt;=eco))/eco)^n)*((($U23+$V23*Geometry!$E$42:$E$59+$W23*Geometry!$D$42:$D$59))&gt;0))),Geometry!$F$42:$F$59,Geometry!$E$42:$E$59))/1000000</f>
      </c>
      <c r="CJ23" s="32">
        <f>(SUMPRODUCT(alpha*fck*(1-(1-((($X23+$Y23*Mesh_Y+$Z23*Mesh_X))*(($X23+$Y23*Mesh_Y+$Z23*Mesh_X)&gt;0)*(($X23+$Y23*Mesh_Y+$Z23*Mesh_X)&lt;eco)+eco*(($X23+$Y23*Mesh_Y+$Z23*Mesh_X)&gt;=eco))/eco)^n)*((($X23+$Y23*Mesh_Y+$Z23*Mesh_X))&gt;0),Mesh_A,Mesh_Y)+SUMPRODUCT((Es*(($X23+$Y23*Geometry!$E$42:$E$59+$Z23*Geometry!$D$42:$D$59))*(ABS(Es*(($X23+$Y23*Geometry!$E$42:$E$59+$Z23*Geometry!$D$42:$D$59)))&lt;=fy)+fy*(Es*(($X23+$Y23*Geometry!$E$42:$E$59+$Z23*Geometry!$D$42:$D$59))&gt;fy)-fy*(Es*(($X23+$Y23*Geometry!$E$42:$E$59+$Z23*Geometry!$D$42:$D$59))&lt;-fy)-(alpha*fck*(1-(1-((($X23+$Y23*Geometry!$E$42:$E$59+$Z23*Geometry!$D$42:$D$59))*(($X23+$Y23*Geometry!$E$42:$E$59+$Z23*Geometry!$D$42:$D$59)&gt;0)*(($X23+$Y23*Geometry!$E$42:$E$59+$Z23*Geometry!$D$42:$D$59)&lt;eco)+eco*(($X23+$Y23*Geometry!$E$42:$E$59+$Z23*Geometry!$D$42:$D$59)&gt;=eco))/eco)^n)*((($X23+$Y23*Geometry!$E$42:$E$59+$Z23*Geometry!$D$42:$D$59))&gt;0))),Geometry!$F$42:$F$59,Geometry!$E$42:$E$59))/1000000</f>
      </c>
      <c r="CK23" s="32">
        <f>(SUMPRODUCT(alpha*fck*(1-(1-((($AA23+$AB23*Mesh_Y+$AC23*Mesh_X))*(($AA23+$AB23*Mesh_Y+$AC23*Mesh_X)&gt;0)*(($AA23+$AB23*Mesh_Y+$AC23*Mesh_X)&lt;eco)+eco*(($AA23+$AB23*Mesh_Y+$AC23*Mesh_X)&gt;=eco))/eco)^n)*((($AA23+$AB23*Mesh_Y+$AC23*Mesh_X))&gt;0),Mesh_A,Mesh_Y)+SUMPRODUCT((Es*(($AA23+$AB23*Geometry!$E$42:$E$59+$AC23*Geometry!$D$42:$D$59))*(ABS(Es*(($AA23+$AB23*Geometry!$E$42:$E$59+$AC23*Geometry!$D$42:$D$59)))&lt;=fy)+fy*(Es*(($AA23+$AB23*Geometry!$E$42:$E$59+$AC23*Geometry!$D$42:$D$59))&gt;fy)-fy*(Es*(($AA23+$AB23*Geometry!$E$42:$E$59+$AC23*Geometry!$D$42:$D$59))&lt;-fy)-(alpha*fck*(1-(1-((($AA23+$AB23*Geometry!$E$42:$E$59+$AC23*Geometry!$D$42:$D$59))*(($AA23+$AB23*Geometry!$E$42:$E$59+$AC23*Geometry!$D$42:$D$59)&gt;0)*(($AA23+$AB23*Geometry!$E$42:$E$59+$AC23*Geometry!$D$42:$D$59)&lt;eco)+eco*(($AA23+$AB23*Geometry!$E$42:$E$59+$AC23*Geometry!$D$42:$D$59)&gt;=eco))/eco)^n)*((($AA23+$AB23*Geometry!$E$42:$E$59+$AC23*Geometry!$D$42:$D$59))&gt;0))),Geometry!$F$42:$F$59,Geometry!$E$42:$E$59))/1000000</f>
      </c>
      <c r="CL23" s="32">
        <f>(SUMPRODUCT(alpha*fck*(1-(1-((($AD23+$AE23*Mesh_Y+$AF23*Mesh_X))*(($AD23+$AE23*Mesh_Y+$AF23*Mesh_X)&gt;0)*(($AD23+$AE23*Mesh_Y+$AF23*Mesh_X)&lt;eco)+eco*(($AD23+$AE23*Mesh_Y+$AF23*Mesh_X)&gt;=eco))/eco)^n)*((($AD23+$AE23*Mesh_Y+$AF23*Mesh_X))&gt;0),Mesh_A,Mesh_Y)+SUMPRODUCT((Es*(($AD23+$AE23*Geometry!$E$42:$E$59+$AF23*Geometry!$D$42:$D$59))*(ABS(Es*(($AD23+$AE23*Geometry!$E$42:$E$59+$AF23*Geometry!$D$42:$D$59)))&lt;=fy)+fy*(Es*(($AD23+$AE23*Geometry!$E$42:$E$59+$AF23*Geometry!$D$42:$D$59))&gt;fy)-fy*(Es*(($AD23+$AE23*Geometry!$E$42:$E$59+$AF23*Geometry!$D$42:$D$59))&lt;-fy)-(alpha*fck*(1-(1-((($AD23+$AE23*Geometry!$E$42:$E$59+$AF23*Geometry!$D$42:$D$59))*(($AD23+$AE23*Geometry!$E$42:$E$59+$AF23*Geometry!$D$42:$D$59)&gt;0)*(($AD23+$AE23*Geometry!$E$42:$E$59+$AF23*Geometry!$D$42:$D$59)&lt;eco)+eco*(($AD23+$AE23*Geometry!$E$42:$E$59+$AF23*Geometry!$D$42:$D$59)&gt;=eco))/eco)^n)*((($AD23+$AE23*Geometry!$E$42:$E$59+$AF23*Geometry!$D$42:$D$59))&gt;0))),Geometry!$F$42:$F$59,Geometry!$E$42:$E$59))/1000000</f>
      </c>
      <c r="CM23" s="32">
        <f>(SUMPRODUCT(alpha*fck*(1-(1-((($AG23+$AH23*Mesh_Y+$AI23*Mesh_X))*(($AG23+$AH23*Mesh_Y+$AI23*Mesh_X)&gt;0)*(($AG23+$AH23*Mesh_Y+$AI23*Mesh_X)&lt;eco)+eco*(($AG23+$AH23*Mesh_Y+$AI23*Mesh_X)&gt;=eco))/eco)^n)*((($AG23+$AH23*Mesh_Y+$AI23*Mesh_X))&gt;0),Mesh_A,Mesh_Y)+SUMPRODUCT((Es*(($AG23+$AH23*Geometry!$E$42:$E$59+$AI23*Geometry!$D$42:$D$59))*(ABS(Es*(($AG23+$AH23*Geometry!$E$42:$E$59+$AI23*Geometry!$D$42:$D$59)))&lt;=fy)+fy*(Es*(($AG23+$AH23*Geometry!$E$42:$E$59+$AI23*Geometry!$D$42:$D$59))&gt;fy)-fy*(Es*(($AG23+$AH23*Geometry!$E$42:$E$59+$AI23*Geometry!$D$42:$D$59))&lt;-fy)-(alpha*fck*(1-(1-((($AG23+$AH23*Geometry!$E$42:$E$59+$AI23*Geometry!$D$42:$D$59))*(($AG23+$AH23*Geometry!$E$42:$E$59+$AI23*Geometry!$D$42:$D$59)&gt;0)*(($AG23+$AH23*Geometry!$E$42:$E$59+$AI23*Geometry!$D$42:$D$59)&lt;eco)+eco*(($AG23+$AH23*Geometry!$E$42:$E$59+$AI23*Geometry!$D$42:$D$59)&gt;=eco))/eco)^n)*((($AG23+$AH23*Geometry!$E$42:$E$59+$AI23*Geometry!$D$42:$D$59))&gt;0))),Geometry!$F$42:$F$59,Geometry!$E$42:$E$59))/1000000</f>
      </c>
      <c r="CN23" s="32">
        <f>(SUMPRODUCT(alpha*fck*(1-(1-((($AJ23+$AK23*Mesh_Y+$AL23*Mesh_X))*(($AJ23+$AK23*Mesh_Y+$AL23*Mesh_X)&gt;0)*(($AJ23+$AK23*Mesh_Y+$AL23*Mesh_X)&lt;eco)+eco*(($AJ23+$AK23*Mesh_Y+$AL23*Mesh_X)&gt;=eco))/eco)^n)*((($AJ23+$AK23*Mesh_Y+$AL23*Mesh_X))&gt;0),Mesh_A,Mesh_Y)+SUMPRODUCT((Es*(($AJ23+$AK23*Geometry!$E$42:$E$59+$AL23*Geometry!$D$42:$D$59))*(ABS(Es*(($AJ23+$AK23*Geometry!$E$42:$E$59+$AL23*Geometry!$D$42:$D$59)))&lt;=fy)+fy*(Es*(($AJ23+$AK23*Geometry!$E$42:$E$59+$AL23*Geometry!$D$42:$D$59))&gt;fy)-fy*(Es*(($AJ23+$AK23*Geometry!$E$42:$E$59+$AL23*Geometry!$D$42:$D$59))&lt;-fy)-(alpha*fck*(1-(1-((($AJ23+$AK23*Geometry!$E$42:$E$59+$AL23*Geometry!$D$42:$D$59))*(($AJ23+$AK23*Geometry!$E$42:$E$59+$AL23*Geometry!$D$42:$D$59)&gt;0)*(($AJ23+$AK23*Geometry!$E$42:$E$59+$AL23*Geometry!$D$42:$D$59)&lt;eco)+eco*(($AJ23+$AK23*Geometry!$E$42:$E$59+$AL23*Geometry!$D$42:$D$59)&gt;=eco))/eco)^n)*((($AJ23+$AK23*Geometry!$E$42:$E$59+$AL23*Geometry!$D$42:$D$59))&gt;0))),Geometry!$F$42:$F$59,Geometry!$E$42:$E$59))/1000000</f>
      </c>
      <c r="CO23" s="32">
        <f>(SUMPRODUCT(alpha*fck*(1-(1-((($AM23+$AN23*Mesh_Y+$AO23*Mesh_X))*(($AM23+$AN23*Mesh_Y+$AO23*Mesh_X)&gt;0)*(($AM23+$AN23*Mesh_Y+$AO23*Mesh_X)&lt;eco)+eco*(($AM23+$AN23*Mesh_Y+$AO23*Mesh_X)&gt;=eco))/eco)^n)*((($AM23+$AN23*Mesh_Y+$AO23*Mesh_X))&gt;0),Mesh_A,Mesh_Y)+SUMPRODUCT((Es*(($AM23+$AN23*Geometry!$E$42:$E$59+$AO23*Geometry!$D$42:$D$59))*(ABS(Es*(($AM23+$AN23*Geometry!$E$42:$E$59+$AO23*Geometry!$D$42:$D$59)))&lt;=fy)+fy*(Es*(($AM23+$AN23*Geometry!$E$42:$E$59+$AO23*Geometry!$D$42:$D$59))&gt;fy)-fy*(Es*(($AM23+$AN23*Geometry!$E$42:$E$59+$AO23*Geometry!$D$42:$D$59))&lt;-fy)-(alpha*fck*(1-(1-((($AM23+$AN23*Geometry!$E$42:$E$59+$AO23*Geometry!$D$42:$D$59))*(($AM23+$AN23*Geometry!$E$42:$E$59+$AO23*Geometry!$D$42:$D$59)&gt;0)*(($AM23+$AN23*Geometry!$E$42:$E$59+$AO23*Geometry!$D$42:$D$59)&lt;eco)+eco*(($AM23+$AN23*Geometry!$E$42:$E$59+$AO23*Geometry!$D$42:$D$59)&gt;=eco))/eco)^n)*((($AM23+$AN23*Geometry!$E$42:$E$59+$AO23*Geometry!$D$42:$D$59))&gt;0))),Geometry!$F$42:$F$59,Geometry!$E$42:$E$59))/1000000</f>
      </c>
      <c r="CP23" s="32">
        <f>(SUMPRODUCT(alpha*fck*(1-(1-((($AP23+$AQ23*Mesh_Y+$AR23*Mesh_X))*(($AP23+$AQ23*Mesh_Y+$AR23*Mesh_X)&gt;0)*(($AP23+$AQ23*Mesh_Y+$AR23*Mesh_X)&lt;eco)+eco*(($AP23+$AQ23*Mesh_Y+$AR23*Mesh_X)&gt;=eco))/eco)^n)*((($AP23+$AQ23*Mesh_Y+$AR23*Mesh_X))&gt;0),Mesh_A,Mesh_Y)+SUMPRODUCT((Es*(($AP23+$AQ23*Geometry!$E$42:$E$59+$AR23*Geometry!$D$42:$D$59))*(ABS(Es*(($AP23+$AQ23*Geometry!$E$42:$E$59+$AR23*Geometry!$D$42:$D$59)))&lt;=fy)+fy*(Es*(($AP23+$AQ23*Geometry!$E$42:$E$59+$AR23*Geometry!$D$42:$D$59))&gt;fy)-fy*(Es*(($AP23+$AQ23*Geometry!$E$42:$E$59+$AR23*Geometry!$D$42:$D$59))&lt;-fy)-(alpha*fck*(1-(1-((($AP23+$AQ23*Geometry!$E$42:$E$59+$AR23*Geometry!$D$42:$D$59))*(($AP23+$AQ23*Geometry!$E$42:$E$59+$AR23*Geometry!$D$42:$D$59)&gt;0)*(($AP23+$AQ23*Geometry!$E$42:$E$59+$AR23*Geometry!$D$42:$D$59)&lt;eco)+eco*(($AP23+$AQ23*Geometry!$E$42:$E$59+$AR23*Geometry!$D$42:$D$59)&gt;=eco))/eco)^n)*((($AP23+$AQ23*Geometry!$E$42:$E$59+$AR23*Geometry!$D$42:$D$59))&gt;0))),Geometry!$F$42:$F$59,Geometry!$E$42:$E$59))/1000000</f>
      </c>
      <c r="CQ23" s="32">
        <f>(SUMPRODUCT(alpha*fck*(1-(1-((($AS23+$AT23*Mesh_Y+$AU23*Mesh_X))*(($AS23+$AT23*Mesh_Y+$AU23*Mesh_X)&gt;0)*(($AS23+$AT23*Mesh_Y+$AU23*Mesh_X)&lt;eco)+eco*(($AS23+$AT23*Mesh_Y+$AU23*Mesh_X)&gt;=eco))/eco)^n)*((($AS23+$AT23*Mesh_Y+$AU23*Mesh_X))&gt;0),Mesh_A,Mesh_Y)+SUMPRODUCT((Es*(($AS23+$AT23*Geometry!$E$42:$E$59+$AU23*Geometry!$D$42:$D$59))*(ABS(Es*(($AS23+$AT23*Geometry!$E$42:$E$59+$AU23*Geometry!$D$42:$D$59)))&lt;=fy)+fy*(Es*(($AS23+$AT23*Geometry!$E$42:$E$59+$AU23*Geometry!$D$42:$D$59))&gt;fy)-fy*(Es*(($AS23+$AT23*Geometry!$E$42:$E$59+$AU23*Geometry!$D$42:$D$59))&lt;-fy)-(alpha*fck*(1-(1-((($AS23+$AT23*Geometry!$E$42:$E$59+$AU23*Geometry!$D$42:$D$59))*(($AS23+$AT23*Geometry!$E$42:$E$59+$AU23*Geometry!$D$42:$D$59)&gt;0)*(($AS23+$AT23*Geometry!$E$42:$E$59+$AU23*Geometry!$D$42:$D$59)&lt;eco)+eco*(($AS23+$AT23*Geometry!$E$42:$E$59+$AU23*Geometry!$D$42:$D$59)&gt;=eco))/eco)^n)*((($AS23+$AT23*Geometry!$E$42:$E$59+$AU23*Geometry!$D$42:$D$59))&gt;0))),Geometry!$F$42:$F$59,Geometry!$E$42:$E$59))/1000000</f>
      </c>
      <c r="CR23" s="32">
        <f>(SUMPRODUCT(alpha*fck*(1-(1-((($AV23+$AW23*Mesh_Y+$AX23*Mesh_X))*(($AV23+$AW23*Mesh_Y+$AX23*Mesh_X)&gt;0)*(($AV23+$AW23*Mesh_Y+$AX23*Mesh_X)&lt;eco)+eco*(($AV23+$AW23*Mesh_Y+$AX23*Mesh_X)&gt;=eco))/eco)^n)*((($AV23+$AW23*Mesh_Y+$AX23*Mesh_X))&gt;0),Mesh_A,Mesh_Y)+SUMPRODUCT((Es*(($AV23+$AW23*Geometry!$E$42:$E$59+$AX23*Geometry!$D$42:$D$59))*(ABS(Es*(($AV23+$AW23*Geometry!$E$42:$E$59+$AX23*Geometry!$D$42:$D$59)))&lt;=fy)+fy*(Es*(($AV23+$AW23*Geometry!$E$42:$E$59+$AX23*Geometry!$D$42:$D$59))&gt;fy)-fy*(Es*(($AV23+$AW23*Geometry!$E$42:$E$59+$AX23*Geometry!$D$42:$D$59))&lt;-fy)-(alpha*fck*(1-(1-((($AV23+$AW23*Geometry!$E$42:$E$59+$AX23*Geometry!$D$42:$D$59))*(($AV23+$AW23*Geometry!$E$42:$E$59+$AX23*Geometry!$D$42:$D$59)&gt;0)*(($AV23+$AW23*Geometry!$E$42:$E$59+$AX23*Geometry!$D$42:$D$59)&lt;eco)+eco*(($AV23+$AW23*Geometry!$E$42:$E$59+$AX23*Geometry!$D$42:$D$59)&gt;=eco))/eco)^n)*((($AV23+$AW23*Geometry!$E$42:$E$59+$AX23*Geometry!$D$42:$D$59))&gt;0))),Geometry!$F$42:$F$59,Geometry!$E$42:$E$59))/1000000</f>
      </c>
      <c r="CS23" s="32">
        <f>(SUMPRODUCT(alpha*fck*(1-(1-((($AY23+$AZ23*Mesh_Y+$BA23*Mesh_X))*(($AY23+$AZ23*Mesh_Y+$BA23*Mesh_X)&gt;0)*(($AY23+$AZ23*Mesh_Y+$BA23*Mesh_X)&lt;eco)+eco*(($AY23+$AZ23*Mesh_Y+$BA23*Mesh_X)&gt;=eco))/eco)^n)*((($AY23+$AZ23*Mesh_Y+$BA23*Mesh_X))&gt;0),Mesh_A,Mesh_Y)+SUMPRODUCT((Es*(($AY23+$AZ23*Geometry!$E$42:$E$59+$BA23*Geometry!$D$42:$D$59))*(ABS(Es*(($AY23+$AZ23*Geometry!$E$42:$E$59+$BA23*Geometry!$D$42:$D$59)))&lt;=fy)+fy*(Es*(($AY23+$AZ23*Geometry!$E$42:$E$59+$BA23*Geometry!$D$42:$D$59))&gt;fy)-fy*(Es*(($AY23+$AZ23*Geometry!$E$42:$E$59+$BA23*Geometry!$D$42:$D$59))&lt;-fy)-(alpha*fck*(1-(1-((($AY23+$AZ23*Geometry!$E$42:$E$59+$BA23*Geometry!$D$42:$D$59))*(($AY23+$AZ23*Geometry!$E$42:$E$59+$BA23*Geometry!$D$42:$D$59)&gt;0)*(($AY23+$AZ23*Geometry!$E$42:$E$59+$BA23*Geometry!$D$42:$D$59)&lt;eco)+eco*(($AY23+$AZ23*Geometry!$E$42:$E$59+$BA23*Geometry!$D$42:$D$59)&gt;=eco))/eco)^n)*((($AY23+$AZ23*Geometry!$E$42:$E$59+$BA23*Geometry!$D$42:$D$59))&gt;0))),Geometry!$F$42:$F$59,Geometry!$E$42:$E$59))/1000000</f>
      </c>
      <c r="CT23" s="32">
        <f>(SUMPRODUCT(alpha*fck*(1-(1-((($BB23+$BC23*Mesh_Y+$BD23*Mesh_X))*(($BB23+$BC23*Mesh_Y+$BD23*Mesh_X)&gt;0)*(($BB23+$BC23*Mesh_Y+$BD23*Mesh_X)&lt;eco)+eco*(($BB23+$BC23*Mesh_Y+$BD23*Mesh_X)&gt;=eco))/eco)^n)*((($BB23+$BC23*Mesh_Y+$BD23*Mesh_X))&gt;0),Mesh_A,Mesh_Y)+SUMPRODUCT((Es*(($BB23+$BC23*Geometry!$E$42:$E$59+$BD23*Geometry!$D$42:$D$59))*(ABS(Es*(($BB23+$BC23*Geometry!$E$42:$E$59+$BD23*Geometry!$D$42:$D$59)))&lt;=fy)+fy*(Es*(($BB23+$BC23*Geometry!$E$42:$E$59+$BD23*Geometry!$D$42:$D$59))&gt;fy)-fy*(Es*(($BB23+$BC23*Geometry!$E$42:$E$59+$BD23*Geometry!$D$42:$D$59))&lt;-fy)-(alpha*fck*(1-(1-((($BB23+$BC23*Geometry!$E$42:$E$59+$BD23*Geometry!$D$42:$D$59))*(($BB23+$BC23*Geometry!$E$42:$E$59+$BD23*Geometry!$D$42:$D$59)&gt;0)*(($BB23+$BC23*Geometry!$E$42:$E$59+$BD23*Geometry!$D$42:$D$59)&lt;eco)+eco*(($BB23+$BC23*Geometry!$E$42:$E$59+$BD23*Geometry!$D$42:$D$59)&gt;=eco))/eco)^n)*((($BB23+$BC23*Geometry!$E$42:$E$59+$BD23*Geometry!$D$42:$D$59))&gt;0))),Geometry!$F$42:$F$59,Geometry!$E$42:$E$59))/1000000</f>
      </c>
      <c r="CU23" s="32">
        <f>(SUMPRODUCT(alpha*fck*(1-(1-((($BE23+$BF23*Mesh_Y+$BG23*Mesh_X))*(($BE23+$BF23*Mesh_Y+$BG23*Mesh_X)&gt;0)*(($BE23+$BF23*Mesh_Y+$BG23*Mesh_X)&lt;eco)+eco*(($BE23+$BF23*Mesh_Y+$BG23*Mesh_X)&gt;=eco))/eco)^n)*((($BE23+$BF23*Mesh_Y+$BG23*Mesh_X))&gt;0),Mesh_A,Mesh_Y)+SUMPRODUCT((Es*(($BE23+$BF23*Geometry!$E$42:$E$59+$BG23*Geometry!$D$42:$D$59))*(ABS(Es*(($BE23+$BF23*Geometry!$E$42:$E$59+$BG23*Geometry!$D$42:$D$59)))&lt;=fy)+fy*(Es*(($BE23+$BF23*Geometry!$E$42:$E$59+$BG23*Geometry!$D$42:$D$59))&gt;fy)-fy*(Es*(($BE23+$BF23*Geometry!$E$42:$E$59+$BG23*Geometry!$D$42:$D$59))&lt;-fy)-(alpha*fck*(1-(1-((($BE23+$BF23*Geometry!$E$42:$E$59+$BG23*Geometry!$D$42:$D$59))*(($BE23+$BF23*Geometry!$E$42:$E$59+$BG23*Geometry!$D$42:$D$59)&gt;0)*(($BE23+$BF23*Geometry!$E$42:$E$59+$BG23*Geometry!$D$42:$D$59)&lt;eco)+eco*(($BE23+$BF23*Geometry!$E$42:$E$59+$BG23*Geometry!$D$42:$D$59)&gt;=eco))/eco)^n)*((($BE23+$BF23*Geometry!$E$42:$E$59+$BG23*Geometry!$D$42:$D$59))&gt;0))),Geometry!$F$42:$F$59,Geometry!$E$42:$E$59))/1000000</f>
      </c>
      <c r="CV23" s="32">
        <f>(SUMPRODUCT(alpha*fck*(1-(1-((($BH23+$BI23*Mesh_Y+$BJ23*Mesh_X))*(($BH23+$BI23*Mesh_Y+$BJ23*Mesh_X)&gt;0)*(($BH23+$BI23*Mesh_Y+$BJ23*Mesh_X)&lt;eco)+eco*(($BH23+$BI23*Mesh_Y+$BJ23*Mesh_X)&gt;=eco))/eco)^n)*((($BH23+$BI23*Mesh_Y+$BJ23*Mesh_X))&gt;0),Mesh_A,Mesh_Y)+SUMPRODUCT((Es*(($BH23+$BI23*Geometry!$E$42:$E$59+$BJ23*Geometry!$D$42:$D$59))*(ABS(Es*(($BH23+$BI23*Geometry!$E$42:$E$59+$BJ23*Geometry!$D$42:$D$59)))&lt;=fy)+fy*(Es*(($BH23+$BI23*Geometry!$E$42:$E$59+$BJ23*Geometry!$D$42:$D$59))&gt;fy)-fy*(Es*(($BH23+$BI23*Geometry!$E$42:$E$59+$BJ23*Geometry!$D$42:$D$59))&lt;-fy)-(alpha*fck*(1-(1-((($BH23+$BI23*Geometry!$E$42:$E$59+$BJ23*Geometry!$D$42:$D$59))*(($BH23+$BI23*Geometry!$E$42:$E$59+$BJ23*Geometry!$D$42:$D$59)&gt;0)*(($BH23+$BI23*Geometry!$E$42:$E$59+$BJ23*Geometry!$D$42:$D$59)&lt;eco)+eco*(($BH23+$BI23*Geometry!$E$42:$E$59+$BJ23*Geometry!$D$42:$D$59)&gt;=eco))/eco)^n)*((($BH23+$BI23*Geometry!$E$42:$E$59+$BJ23*Geometry!$D$42:$D$59))&gt;0))),Geometry!$F$42:$F$59,Geometry!$E$42:$E$59))/1000000</f>
      </c>
      <c r="CW23" s="32">
        <f>(SUMPRODUCT(alpha*fck*(1-(1-((($F23+$G23*Mesh_Y+$H23*Mesh_X))*(($F23+$G23*Mesh_Y+$H23*Mesh_X)&gt;0)*(($F23+$G23*Mesh_Y+$H23*Mesh_X)&lt;eco)+eco*(($F23+$G23*Mesh_Y+$H23*Mesh_X)&gt;=eco))/eco)^n)*((($F23+$G23*Mesh_Y+$H23*Mesh_X))&gt;0),Mesh_A,Mesh_X)+SUMPRODUCT((Es*(($F23+$G23*Geometry!$E$42:$E$59+$H23*Geometry!$D$42:$D$59))*(ABS(Es*(($F23+$G23*Geometry!$E$42:$E$59+$H23*Geometry!$D$42:$D$59)))&lt;=fy)+fy*(Es*(($F23+$G23*Geometry!$E$42:$E$59+$H23*Geometry!$D$42:$D$59))&gt;fy)-fy*(Es*(($F23+$G23*Geometry!$E$42:$E$59+$H23*Geometry!$D$42:$D$59))&lt;-fy)-(alpha*fck*(1-(1-((($F23+$G23*Geometry!$E$42:$E$59+$H23*Geometry!$D$42:$D$59))*(($F23+$G23*Geometry!$E$42:$E$59+$H23*Geometry!$D$42:$D$59)&gt;0)*(($F23+$G23*Geometry!$E$42:$E$59+$H23*Geometry!$D$42:$D$59)&lt;eco)+eco*(($F23+$G23*Geometry!$E$42:$E$59+$H23*Geometry!$D$42:$D$59)&gt;=eco))/eco)^n)*((($F23+$G23*Geometry!$E$42:$E$59+$H23*Geometry!$D$42:$D$59))&gt;0))),Geometry!$F$42:$F$59,Geometry!$D$42:$D$59))/1000000</f>
      </c>
      <c r="CX23" s="32">
        <f>(SUMPRODUCT(alpha*fck*(1-(1-((($I23+$J23*Mesh_Y+$K23*Mesh_X))*(($I23+$J23*Mesh_Y+$K23*Mesh_X)&gt;0)*(($I23+$J23*Mesh_Y+$K23*Mesh_X)&lt;eco)+eco*(($I23+$J23*Mesh_Y+$K23*Mesh_X)&gt;=eco))/eco)^n)*((($I23+$J23*Mesh_Y+$K23*Mesh_X))&gt;0),Mesh_A,Mesh_X)+SUMPRODUCT((Es*(($I23+$J23*Geometry!$E$42:$E$59+$K23*Geometry!$D$42:$D$59))*(ABS(Es*(($I23+$J23*Geometry!$E$42:$E$59+$K23*Geometry!$D$42:$D$59)))&lt;=fy)+fy*(Es*(($I23+$J23*Geometry!$E$42:$E$59+$K23*Geometry!$D$42:$D$59))&gt;fy)-fy*(Es*(($I23+$J23*Geometry!$E$42:$E$59+$K23*Geometry!$D$42:$D$59))&lt;-fy)-(alpha*fck*(1-(1-((($I23+$J23*Geometry!$E$42:$E$59+$K23*Geometry!$D$42:$D$59))*(($I23+$J23*Geometry!$E$42:$E$59+$K23*Geometry!$D$42:$D$59)&gt;0)*(($I23+$J23*Geometry!$E$42:$E$59+$K23*Geometry!$D$42:$D$59)&lt;eco)+eco*(($I23+$J23*Geometry!$E$42:$E$59+$K23*Geometry!$D$42:$D$59)&gt;=eco))/eco)^n)*((($I23+$J23*Geometry!$E$42:$E$59+$K23*Geometry!$D$42:$D$59))&gt;0))),Geometry!$F$42:$F$59,Geometry!$D$42:$D$59))/1000000</f>
      </c>
      <c r="CY23" s="32">
        <f>(SUMPRODUCT(alpha*fck*(1-(1-((($L23+$M23*Mesh_Y+$N23*Mesh_X))*(($L23+$M23*Mesh_Y+$N23*Mesh_X)&gt;0)*(($L23+$M23*Mesh_Y+$N23*Mesh_X)&lt;eco)+eco*(($L23+$M23*Mesh_Y+$N23*Mesh_X)&gt;=eco))/eco)^n)*((($L23+$M23*Mesh_Y+$N23*Mesh_X))&gt;0),Mesh_A,Mesh_X)+SUMPRODUCT((Es*(($L23+$M23*Geometry!$E$42:$E$59+$N23*Geometry!$D$42:$D$59))*(ABS(Es*(($L23+$M23*Geometry!$E$42:$E$59+$N23*Geometry!$D$42:$D$59)))&lt;=fy)+fy*(Es*(($L23+$M23*Geometry!$E$42:$E$59+$N23*Geometry!$D$42:$D$59))&gt;fy)-fy*(Es*(($L23+$M23*Geometry!$E$42:$E$59+$N23*Geometry!$D$42:$D$59))&lt;-fy)-(alpha*fck*(1-(1-((($L23+$M23*Geometry!$E$42:$E$59+$N23*Geometry!$D$42:$D$59))*(($L23+$M23*Geometry!$E$42:$E$59+$N23*Geometry!$D$42:$D$59)&gt;0)*(($L23+$M23*Geometry!$E$42:$E$59+$N23*Geometry!$D$42:$D$59)&lt;eco)+eco*(($L23+$M23*Geometry!$E$42:$E$59+$N23*Geometry!$D$42:$D$59)&gt;=eco))/eco)^n)*((($L23+$M23*Geometry!$E$42:$E$59+$N23*Geometry!$D$42:$D$59))&gt;0))),Geometry!$F$42:$F$59,Geometry!$D$42:$D$59))/1000000</f>
      </c>
      <c r="CZ23" s="32">
        <f>(SUMPRODUCT(alpha*fck*(1-(1-((($O23+$P23*Mesh_Y+$Q23*Mesh_X))*(($O23+$P23*Mesh_Y+$Q23*Mesh_X)&gt;0)*(($O23+$P23*Mesh_Y+$Q23*Mesh_X)&lt;eco)+eco*(($O23+$P23*Mesh_Y+$Q23*Mesh_X)&gt;=eco))/eco)^n)*((($O23+$P23*Mesh_Y+$Q23*Mesh_X))&gt;0),Mesh_A,Mesh_X)+SUMPRODUCT((Es*(($O23+$P23*Geometry!$E$42:$E$59+$Q23*Geometry!$D$42:$D$59))*(ABS(Es*(($O23+$P23*Geometry!$E$42:$E$59+$Q23*Geometry!$D$42:$D$59)))&lt;=fy)+fy*(Es*(($O23+$P23*Geometry!$E$42:$E$59+$Q23*Geometry!$D$42:$D$59))&gt;fy)-fy*(Es*(($O23+$P23*Geometry!$E$42:$E$59+$Q23*Geometry!$D$42:$D$59))&lt;-fy)-(alpha*fck*(1-(1-((($O23+$P23*Geometry!$E$42:$E$59+$Q23*Geometry!$D$42:$D$59))*(($O23+$P23*Geometry!$E$42:$E$59+$Q23*Geometry!$D$42:$D$59)&gt;0)*(($O23+$P23*Geometry!$E$42:$E$59+$Q23*Geometry!$D$42:$D$59)&lt;eco)+eco*(($O23+$P23*Geometry!$E$42:$E$59+$Q23*Geometry!$D$42:$D$59)&gt;=eco))/eco)^n)*((($O23+$P23*Geometry!$E$42:$E$59+$Q23*Geometry!$D$42:$D$59))&gt;0))),Geometry!$F$42:$F$59,Geometry!$D$42:$D$59))/1000000</f>
      </c>
      <c r="DA23" s="32">
        <f>(SUMPRODUCT(alpha*fck*(1-(1-((($R23+$S23*Mesh_Y+$T23*Mesh_X))*(($R23+$S23*Mesh_Y+$T23*Mesh_X)&gt;0)*(($R23+$S23*Mesh_Y+$T23*Mesh_X)&lt;eco)+eco*(($R23+$S23*Mesh_Y+$T23*Mesh_X)&gt;=eco))/eco)^n)*((($R23+$S23*Mesh_Y+$T23*Mesh_X))&gt;0),Mesh_A,Mesh_X)+SUMPRODUCT((Es*(($R23+$S23*Geometry!$E$42:$E$59+$T23*Geometry!$D$42:$D$59))*(ABS(Es*(($R23+$S23*Geometry!$E$42:$E$59+$T23*Geometry!$D$42:$D$59)))&lt;=fy)+fy*(Es*(($R23+$S23*Geometry!$E$42:$E$59+$T23*Geometry!$D$42:$D$59))&gt;fy)-fy*(Es*(($R23+$S23*Geometry!$E$42:$E$59+$T23*Geometry!$D$42:$D$59))&lt;-fy)-(alpha*fck*(1-(1-((($R23+$S23*Geometry!$E$42:$E$59+$T23*Geometry!$D$42:$D$59))*(($R23+$S23*Geometry!$E$42:$E$59+$T23*Geometry!$D$42:$D$59)&gt;0)*(($R23+$S23*Geometry!$E$42:$E$59+$T23*Geometry!$D$42:$D$59)&lt;eco)+eco*(($R23+$S23*Geometry!$E$42:$E$59+$T23*Geometry!$D$42:$D$59)&gt;=eco))/eco)^n)*((($R23+$S23*Geometry!$E$42:$E$59+$T23*Geometry!$D$42:$D$59))&gt;0))),Geometry!$F$42:$F$59,Geometry!$D$42:$D$59))/1000000</f>
      </c>
      <c r="DB23" s="32">
        <f>(SUMPRODUCT(alpha*fck*(1-(1-((($U23+$V23*Mesh_Y+$W23*Mesh_X))*(($U23+$V23*Mesh_Y+$W23*Mesh_X)&gt;0)*(($U23+$V23*Mesh_Y+$W23*Mesh_X)&lt;eco)+eco*(($U23+$V23*Mesh_Y+$W23*Mesh_X)&gt;=eco))/eco)^n)*((($U23+$V23*Mesh_Y+$W23*Mesh_X))&gt;0),Mesh_A,Mesh_X)+SUMPRODUCT((Es*(($U23+$V23*Geometry!$E$42:$E$59+$W23*Geometry!$D$42:$D$59))*(ABS(Es*(($U23+$V23*Geometry!$E$42:$E$59+$W23*Geometry!$D$42:$D$59)))&lt;=fy)+fy*(Es*(($U23+$V23*Geometry!$E$42:$E$59+$W23*Geometry!$D$42:$D$59))&gt;fy)-fy*(Es*(($U23+$V23*Geometry!$E$42:$E$59+$W23*Geometry!$D$42:$D$59))&lt;-fy)-(alpha*fck*(1-(1-((($U23+$V23*Geometry!$E$42:$E$59+$W23*Geometry!$D$42:$D$59))*(($U23+$V23*Geometry!$E$42:$E$59+$W23*Geometry!$D$42:$D$59)&gt;0)*(($U23+$V23*Geometry!$E$42:$E$59+$W23*Geometry!$D$42:$D$59)&lt;eco)+eco*(($U23+$V23*Geometry!$E$42:$E$59+$W23*Geometry!$D$42:$D$59)&gt;=eco))/eco)^n)*((($U23+$V23*Geometry!$E$42:$E$59+$W23*Geometry!$D$42:$D$59))&gt;0))),Geometry!$F$42:$F$59,Geometry!$D$42:$D$59))/1000000</f>
      </c>
      <c r="DC23" s="32">
        <f>(SUMPRODUCT(alpha*fck*(1-(1-((($X23+$Y23*Mesh_Y+$Z23*Mesh_X))*(($X23+$Y23*Mesh_Y+$Z23*Mesh_X)&gt;0)*(($X23+$Y23*Mesh_Y+$Z23*Mesh_X)&lt;eco)+eco*(($X23+$Y23*Mesh_Y+$Z23*Mesh_X)&gt;=eco))/eco)^n)*((($X23+$Y23*Mesh_Y+$Z23*Mesh_X))&gt;0),Mesh_A,Mesh_X)+SUMPRODUCT((Es*(($X23+$Y23*Geometry!$E$42:$E$59+$Z23*Geometry!$D$42:$D$59))*(ABS(Es*(($X23+$Y23*Geometry!$E$42:$E$59+$Z23*Geometry!$D$42:$D$59)))&lt;=fy)+fy*(Es*(($X23+$Y23*Geometry!$E$42:$E$59+$Z23*Geometry!$D$42:$D$59))&gt;fy)-fy*(Es*(($X23+$Y23*Geometry!$E$42:$E$59+$Z23*Geometry!$D$42:$D$59))&lt;-fy)-(alpha*fck*(1-(1-((($X23+$Y23*Geometry!$E$42:$E$59+$Z23*Geometry!$D$42:$D$59))*(($X23+$Y23*Geometry!$E$42:$E$59+$Z23*Geometry!$D$42:$D$59)&gt;0)*(($X23+$Y23*Geometry!$E$42:$E$59+$Z23*Geometry!$D$42:$D$59)&lt;eco)+eco*(($X23+$Y23*Geometry!$E$42:$E$59+$Z23*Geometry!$D$42:$D$59)&gt;=eco))/eco)^n)*((($X23+$Y23*Geometry!$E$42:$E$59+$Z23*Geometry!$D$42:$D$59))&gt;0))),Geometry!$F$42:$F$59,Geometry!$D$42:$D$59))/1000000</f>
      </c>
      <c r="DD23" s="32">
        <f>(SUMPRODUCT(alpha*fck*(1-(1-((($AA23+$AB23*Mesh_Y+$AC23*Mesh_X))*(($AA23+$AB23*Mesh_Y+$AC23*Mesh_X)&gt;0)*(($AA23+$AB23*Mesh_Y+$AC23*Mesh_X)&lt;eco)+eco*(($AA23+$AB23*Mesh_Y+$AC23*Mesh_X)&gt;=eco))/eco)^n)*((($AA23+$AB23*Mesh_Y+$AC23*Mesh_X))&gt;0),Mesh_A,Mesh_X)+SUMPRODUCT((Es*(($AA23+$AB23*Geometry!$E$42:$E$59+$AC23*Geometry!$D$42:$D$59))*(ABS(Es*(($AA23+$AB23*Geometry!$E$42:$E$59+$AC23*Geometry!$D$42:$D$59)))&lt;=fy)+fy*(Es*(($AA23+$AB23*Geometry!$E$42:$E$59+$AC23*Geometry!$D$42:$D$59))&gt;fy)-fy*(Es*(($AA23+$AB23*Geometry!$E$42:$E$59+$AC23*Geometry!$D$42:$D$59))&lt;-fy)-(alpha*fck*(1-(1-((($AA23+$AB23*Geometry!$E$42:$E$59+$AC23*Geometry!$D$42:$D$59))*(($AA23+$AB23*Geometry!$E$42:$E$59+$AC23*Geometry!$D$42:$D$59)&gt;0)*(($AA23+$AB23*Geometry!$E$42:$E$59+$AC23*Geometry!$D$42:$D$59)&lt;eco)+eco*(($AA23+$AB23*Geometry!$E$42:$E$59+$AC23*Geometry!$D$42:$D$59)&gt;=eco))/eco)^n)*((($AA23+$AB23*Geometry!$E$42:$E$59+$AC23*Geometry!$D$42:$D$59))&gt;0))),Geometry!$F$42:$F$59,Geometry!$D$42:$D$59))/1000000</f>
      </c>
      <c r="DE23" s="32">
        <f>(SUMPRODUCT(alpha*fck*(1-(1-((($AD23+$AE23*Mesh_Y+$AF23*Mesh_X))*(($AD23+$AE23*Mesh_Y+$AF23*Mesh_X)&gt;0)*(($AD23+$AE23*Mesh_Y+$AF23*Mesh_X)&lt;eco)+eco*(($AD23+$AE23*Mesh_Y+$AF23*Mesh_X)&gt;=eco))/eco)^n)*((($AD23+$AE23*Mesh_Y+$AF23*Mesh_X))&gt;0),Mesh_A,Mesh_X)+SUMPRODUCT((Es*(($AD23+$AE23*Geometry!$E$42:$E$59+$AF23*Geometry!$D$42:$D$59))*(ABS(Es*(($AD23+$AE23*Geometry!$E$42:$E$59+$AF23*Geometry!$D$42:$D$59)))&lt;=fy)+fy*(Es*(($AD23+$AE23*Geometry!$E$42:$E$59+$AF23*Geometry!$D$42:$D$59))&gt;fy)-fy*(Es*(($AD23+$AE23*Geometry!$E$42:$E$59+$AF23*Geometry!$D$42:$D$59))&lt;-fy)-(alpha*fck*(1-(1-((($AD23+$AE23*Geometry!$E$42:$E$59+$AF23*Geometry!$D$42:$D$59))*(($AD23+$AE23*Geometry!$E$42:$E$59+$AF23*Geometry!$D$42:$D$59)&gt;0)*(($AD23+$AE23*Geometry!$E$42:$E$59+$AF23*Geometry!$D$42:$D$59)&lt;eco)+eco*(($AD23+$AE23*Geometry!$E$42:$E$59+$AF23*Geometry!$D$42:$D$59)&gt;=eco))/eco)^n)*((($AD23+$AE23*Geometry!$E$42:$E$59+$AF23*Geometry!$D$42:$D$59))&gt;0))),Geometry!$F$42:$F$59,Geometry!$D$42:$D$59))/1000000</f>
      </c>
      <c r="DF23" s="32">
        <f>(SUMPRODUCT(alpha*fck*(1-(1-((($AG23+$AH23*Mesh_Y+$AI23*Mesh_X))*(($AG23+$AH23*Mesh_Y+$AI23*Mesh_X)&gt;0)*(($AG23+$AH23*Mesh_Y+$AI23*Mesh_X)&lt;eco)+eco*(($AG23+$AH23*Mesh_Y+$AI23*Mesh_X)&gt;=eco))/eco)^n)*((($AG23+$AH23*Mesh_Y+$AI23*Mesh_X))&gt;0),Mesh_A,Mesh_X)+SUMPRODUCT((Es*(($AG23+$AH23*Geometry!$E$42:$E$59+$AI23*Geometry!$D$42:$D$59))*(ABS(Es*(($AG23+$AH23*Geometry!$E$42:$E$59+$AI23*Geometry!$D$42:$D$59)))&lt;=fy)+fy*(Es*(($AG23+$AH23*Geometry!$E$42:$E$59+$AI23*Geometry!$D$42:$D$59))&gt;fy)-fy*(Es*(($AG23+$AH23*Geometry!$E$42:$E$59+$AI23*Geometry!$D$42:$D$59))&lt;-fy)-(alpha*fck*(1-(1-((($AG23+$AH23*Geometry!$E$42:$E$59+$AI23*Geometry!$D$42:$D$59))*(($AG23+$AH23*Geometry!$E$42:$E$59+$AI23*Geometry!$D$42:$D$59)&gt;0)*(($AG23+$AH23*Geometry!$E$42:$E$59+$AI23*Geometry!$D$42:$D$59)&lt;eco)+eco*(($AG23+$AH23*Geometry!$E$42:$E$59+$AI23*Geometry!$D$42:$D$59)&gt;=eco))/eco)^n)*((($AG23+$AH23*Geometry!$E$42:$E$59+$AI23*Geometry!$D$42:$D$59))&gt;0))),Geometry!$F$42:$F$59,Geometry!$D$42:$D$59))/1000000</f>
      </c>
      <c r="DG23" s="32">
        <f>(SUMPRODUCT(alpha*fck*(1-(1-((($AJ23+$AK23*Mesh_Y+$AL23*Mesh_X))*(($AJ23+$AK23*Mesh_Y+$AL23*Mesh_X)&gt;0)*(($AJ23+$AK23*Mesh_Y+$AL23*Mesh_X)&lt;eco)+eco*(($AJ23+$AK23*Mesh_Y+$AL23*Mesh_X)&gt;=eco))/eco)^n)*((($AJ23+$AK23*Mesh_Y+$AL23*Mesh_X))&gt;0),Mesh_A,Mesh_X)+SUMPRODUCT((Es*(($AJ23+$AK23*Geometry!$E$42:$E$59+$AL23*Geometry!$D$42:$D$59))*(ABS(Es*(($AJ23+$AK23*Geometry!$E$42:$E$59+$AL23*Geometry!$D$42:$D$59)))&lt;=fy)+fy*(Es*(($AJ23+$AK23*Geometry!$E$42:$E$59+$AL23*Geometry!$D$42:$D$59))&gt;fy)-fy*(Es*(($AJ23+$AK23*Geometry!$E$42:$E$59+$AL23*Geometry!$D$42:$D$59))&lt;-fy)-(alpha*fck*(1-(1-((($AJ23+$AK23*Geometry!$E$42:$E$59+$AL23*Geometry!$D$42:$D$59))*(($AJ23+$AK23*Geometry!$E$42:$E$59+$AL23*Geometry!$D$42:$D$59)&gt;0)*(($AJ23+$AK23*Geometry!$E$42:$E$59+$AL23*Geometry!$D$42:$D$59)&lt;eco)+eco*(($AJ23+$AK23*Geometry!$E$42:$E$59+$AL23*Geometry!$D$42:$D$59)&gt;=eco))/eco)^n)*((($AJ23+$AK23*Geometry!$E$42:$E$59+$AL23*Geometry!$D$42:$D$59))&gt;0))),Geometry!$F$42:$F$59,Geometry!$D$42:$D$59))/1000000</f>
      </c>
      <c r="DH23" s="32">
        <f>(SUMPRODUCT(alpha*fck*(1-(1-((($AM23+$AN23*Mesh_Y+$AO23*Mesh_X))*(($AM23+$AN23*Mesh_Y+$AO23*Mesh_X)&gt;0)*(($AM23+$AN23*Mesh_Y+$AO23*Mesh_X)&lt;eco)+eco*(($AM23+$AN23*Mesh_Y+$AO23*Mesh_X)&gt;=eco))/eco)^n)*((($AM23+$AN23*Mesh_Y+$AO23*Mesh_X))&gt;0),Mesh_A,Mesh_X)+SUMPRODUCT((Es*(($AM23+$AN23*Geometry!$E$42:$E$59+$AO23*Geometry!$D$42:$D$59))*(ABS(Es*(($AM23+$AN23*Geometry!$E$42:$E$59+$AO23*Geometry!$D$42:$D$59)))&lt;=fy)+fy*(Es*(($AM23+$AN23*Geometry!$E$42:$E$59+$AO23*Geometry!$D$42:$D$59))&gt;fy)-fy*(Es*(($AM23+$AN23*Geometry!$E$42:$E$59+$AO23*Geometry!$D$42:$D$59))&lt;-fy)-(alpha*fck*(1-(1-((($AM23+$AN23*Geometry!$E$42:$E$59+$AO23*Geometry!$D$42:$D$59))*(($AM23+$AN23*Geometry!$E$42:$E$59+$AO23*Geometry!$D$42:$D$59)&gt;0)*(($AM23+$AN23*Geometry!$E$42:$E$59+$AO23*Geometry!$D$42:$D$59)&lt;eco)+eco*(($AM23+$AN23*Geometry!$E$42:$E$59+$AO23*Geometry!$D$42:$D$59)&gt;=eco))/eco)^n)*((($AM23+$AN23*Geometry!$E$42:$E$59+$AO23*Geometry!$D$42:$D$59))&gt;0))),Geometry!$F$42:$F$59,Geometry!$D$42:$D$59))/1000000</f>
      </c>
      <c r="DI23" s="32">
        <f>(SUMPRODUCT(alpha*fck*(1-(1-((($AP23+$AQ23*Mesh_Y+$AR23*Mesh_X))*(($AP23+$AQ23*Mesh_Y+$AR23*Mesh_X)&gt;0)*(($AP23+$AQ23*Mesh_Y+$AR23*Mesh_X)&lt;eco)+eco*(($AP23+$AQ23*Mesh_Y+$AR23*Mesh_X)&gt;=eco))/eco)^n)*((($AP23+$AQ23*Mesh_Y+$AR23*Mesh_X))&gt;0),Mesh_A,Mesh_X)+SUMPRODUCT((Es*(($AP23+$AQ23*Geometry!$E$42:$E$59+$AR23*Geometry!$D$42:$D$59))*(ABS(Es*(($AP23+$AQ23*Geometry!$E$42:$E$59+$AR23*Geometry!$D$42:$D$59)))&lt;=fy)+fy*(Es*(($AP23+$AQ23*Geometry!$E$42:$E$59+$AR23*Geometry!$D$42:$D$59))&gt;fy)-fy*(Es*(($AP23+$AQ23*Geometry!$E$42:$E$59+$AR23*Geometry!$D$42:$D$59))&lt;-fy)-(alpha*fck*(1-(1-((($AP23+$AQ23*Geometry!$E$42:$E$59+$AR23*Geometry!$D$42:$D$59))*(($AP23+$AQ23*Geometry!$E$42:$E$59+$AR23*Geometry!$D$42:$D$59)&gt;0)*(($AP23+$AQ23*Geometry!$E$42:$E$59+$AR23*Geometry!$D$42:$D$59)&lt;eco)+eco*(($AP23+$AQ23*Geometry!$E$42:$E$59+$AR23*Geometry!$D$42:$D$59)&gt;=eco))/eco)^n)*((($AP23+$AQ23*Geometry!$E$42:$E$59+$AR23*Geometry!$D$42:$D$59))&gt;0))),Geometry!$F$42:$F$59,Geometry!$D$42:$D$59))/1000000</f>
      </c>
      <c r="DJ23" s="32">
        <f>(SUMPRODUCT(alpha*fck*(1-(1-((($AS23+$AT23*Mesh_Y+$AU23*Mesh_X))*(($AS23+$AT23*Mesh_Y+$AU23*Mesh_X)&gt;0)*(($AS23+$AT23*Mesh_Y+$AU23*Mesh_X)&lt;eco)+eco*(($AS23+$AT23*Mesh_Y+$AU23*Mesh_X)&gt;=eco))/eco)^n)*((($AS23+$AT23*Mesh_Y+$AU23*Mesh_X))&gt;0),Mesh_A,Mesh_X)+SUMPRODUCT((Es*(($AS23+$AT23*Geometry!$E$42:$E$59+$AU23*Geometry!$D$42:$D$59))*(ABS(Es*(($AS23+$AT23*Geometry!$E$42:$E$59+$AU23*Geometry!$D$42:$D$59)))&lt;=fy)+fy*(Es*(($AS23+$AT23*Geometry!$E$42:$E$59+$AU23*Geometry!$D$42:$D$59))&gt;fy)-fy*(Es*(($AS23+$AT23*Geometry!$E$42:$E$59+$AU23*Geometry!$D$42:$D$59))&lt;-fy)-(alpha*fck*(1-(1-((($AS23+$AT23*Geometry!$E$42:$E$59+$AU23*Geometry!$D$42:$D$59))*(($AS23+$AT23*Geometry!$E$42:$E$59+$AU23*Geometry!$D$42:$D$59)&gt;0)*(($AS23+$AT23*Geometry!$E$42:$E$59+$AU23*Geometry!$D$42:$D$59)&lt;eco)+eco*(($AS23+$AT23*Geometry!$E$42:$E$59+$AU23*Geometry!$D$42:$D$59)&gt;=eco))/eco)^n)*((($AS23+$AT23*Geometry!$E$42:$E$59+$AU23*Geometry!$D$42:$D$59))&gt;0))),Geometry!$F$42:$F$59,Geometry!$D$42:$D$59))/1000000</f>
      </c>
      <c r="DK23" s="32">
        <f>(SUMPRODUCT(alpha*fck*(1-(1-((($AV23+$AW23*Mesh_Y+$AX23*Mesh_X))*(($AV23+$AW23*Mesh_Y+$AX23*Mesh_X)&gt;0)*(($AV23+$AW23*Mesh_Y+$AX23*Mesh_X)&lt;eco)+eco*(($AV23+$AW23*Mesh_Y+$AX23*Mesh_X)&gt;=eco))/eco)^n)*((($AV23+$AW23*Mesh_Y+$AX23*Mesh_X))&gt;0),Mesh_A,Mesh_X)+SUMPRODUCT((Es*(($AV23+$AW23*Geometry!$E$42:$E$59+$AX23*Geometry!$D$42:$D$59))*(ABS(Es*(($AV23+$AW23*Geometry!$E$42:$E$59+$AX23*Geometry!$D$42:$D$59)))&lt;=fy)+fy*(Es*(($AV23+$AW23*Geometry!$E$42:$E$59+$AX23*Geometry!$D$42:$D$59))&gt;fy)-fy*(Es*(($AV23+$AW23*Geometry!$E$42:$E$59+$AX23*Geometry!$D$42:$D$59))&lt;-fy)-(alpha*fck*(1-(1-((($AV23+$AW23*Geometry!$E$42:$E$59+$AX23*Geometry!$D$42:$D$59))*(($AV23+$AW23*Geometry!$E$42:$E$59+$AX23*Geometry!$D$42:$D$59)&gt;0)*(($AV23+$AW23*Geometry!$E$42:$E$59+$AX23*Geometry!$D$42:$D$59)&lt;eco)+eco*(($AV23+$AW23*Geometry!$E$42:$E$59+$AX23*Geometry!$D$42:$D$59)&gt;=eco))/eco)^n)*((($AV23+$AW23*Geometry!$E$42:$E$59+$AX23*Geometry!$D$42:$D$59))&gt;0))),Geometry!$F$42:$F$59,Geometry!$D$42:$D$59))/1000000</f>
      </c>
      <c r="DL23" s="32">
        <f>(SUMPRODUCT(alpha*fck*(1-(1-((($AY23+$AZ23*Mesh_Y+$BA23*Mesh_X))*(($AY23+$AZ23*Mesh_Y+$BA23*Mesh_X)&gt;0)*(($AY23+$AZ23*Mesh_Y+$BA23*Mesh_X)&lt;eco)+eco*(($AY23+$AZ23*Mesh_Y+$BA23*Mesh_X)&gt;=eco))/eco)^n)*((($AY23+$AZ23*Mesh_Y+$BA23*Mesh_X))&gt;0),Mesh_A,Mesh_X)+SUMPRODUCT((Es*(($AY23+$AZ23*Geometry!$E$42:$E$59+$BA23*Geometry!$D$42:$D$59))*(ABS(Es*(($AY23+$AZ23*Geometry!$E$42:$E$59+$BA23*Geometry!$D$42:$D$59)))&lt;=fy)+fy*(Es*(($AY23+$AZ23*Geometry!$E$42:$E$59+$BA23*Geometry!$D$42:$D$59))&gt;fy)-fy*(Es*(($AY23+$AZ23*Geometry!$E$42:$E$59+$BA23*Geometry!$D$42:$D$59))&lt;-fy)-(alpha*fck*(1-(1-((($AY23+$AZ23*Geometry!$E$42:$E$59+$BA23*Geometry!$D$42:$D$59))*(($AY23+$AZ23*Geometry!$E$42:$E$59+$BA23*Geometry!$D$42:$D$59)&gt;0)*(($AY23+$AZ23*Geometry!$E$42:$E$59+$BA23*Geometry!$D$42:$D$59)&lt;eco)+eco*(($AY23+$AZ23*Geometry!$E$42:$E$59+$BA23*Geometry!$D$42:$D$59)&gt;=eco))/eco)^n)*((($AY23+$AZ23*Geometry!$E$42:$E$59+$BA23*Geometry!$D$42:$D$59))&gt;0))),Geometry!$F$42:$F$59,Geometry!$D$42:$D$59))/1000000</f>
      </c>
      <c r="DM23" s="32">
        <f>(SUMPRODUCT(alpha*fck*(1-(1-((($BB23+$BC23*Mesh_Y+$BD23*Mesh_X))*(($BB23+$BC23*Mesh_Y+$BD23*Mesh_X)&gt;0)*(($BB23+$BC23*Mesh_Y+$BD23*Mesh_X)&lt;eco)+eco*(($BB23+$BC23*Mesh_Y+$BD23*Mesh_X)&gt;=eco))/eco)^n)*((($BB23+$BC23*Mesh_Y+$BD23*Mesh_X))&gt;0),Mesh_A,Mesh_X)+SUMPRODUCT((Es*(($BB23+$BC23*Geometry!$E$42:$E$59+$BD23*Geometry!$D$42:$D$59))*(ABS(Es*(($BB23+$BC23*Geometry!$E$42:$E$59+$BD23*Geometry!$D$42:$D$59)))&lt;=fy)+fy*(Es*(($BB23+$BC23*Geometry!$E$42:$E$59+$BD23*Geometry!$D$42:$D$59))&gt;fy)-fy*(Es*(($BB23+$BC23*Geometry!$E$42:$E$59+$BD23*Geometry!$D$42:$D$59))&lt;-fy)-(alpha*fck*(1-(1-((($BB23+$BC23*Geometry!$E$42:$E$59+$BD23*Geometry!$D$42:$D$59))*(($BB23+$BC23*Geometry!$E$42:$E$59+$BD23*Geometry!$D$42:$D$59)&gt;0)*(($BB23+$BC23*Geometry!$E$42:$E$59+$BD23*Geometry!$D$42:$D$59)&lt;eco)+eco*(($BB23+$BC23*Geometry!$E$42:$E$59+$BD23*Geometry!$D$42:$D$59)&gt;=eco))/eco)^n)*((($BB23+$BC23*Geometry!$E$42:$E$59+$BD23*Geometry!$D$42:$D$59))&gt;0))),Geometry!$F$42:$F$59,Geometry!$D$42:$D$59))/1000000</f>
      </c>
      <c r="DN23" s="32">
        <f>(SUMPRODUCT(alpha*fck*(1-(1-((($BE23+$BF23*Mesh_Y+$BG23*Mesh_X))*(($BE23+$BF23*Mesh_Y+$BG23*Mesh_X)&gt;0)*(($BE23+$BF23*Mesh_Y+$BG23*Mesh_X)&lt;eco)+eco*(($BE23+$BF23*Mesh_Y+$BG23*Mesh_X)&gt;=eco))/eco)^n)*((($BE23+$BF23*Mesh_Y+$BG23*Mesh_X))&gt;0),Mesh_A,Mesh_X)+SUMPRODUCT((Es*(($BE23+$BF23*Geometry!$E$42:$E$59+$BG23*Geometry!$D$42:$D$59))*(ABS(Es*(($BE23+$BF23*Geometry!$E$42:$E$59+$BG23*Geometry!$D$42:$D$59)))&lt;=fy)+fy*(Es*(($BE23+$BF23*Geometry!$E$42:$E$59+$BG23*Geometry!$D$42:$D$59))&gt;fy)-fy*(Es*(($BE23+$BF23*Geometry!$E$42:$E$59+$BG23*Geometry!$D$42:$D$59))&lt;-fy)-(alpha*fck*(1-(1-((($BE23+$BF23*Geometry!$E$42:$E$59+$BG23*Geometry!$D$42:$D$59))*(($BE23+$BF23*Geometry!$E$42:$E$59+$BG23*Geometry!$D$42:$D$59)&gt;0)*(($BE23+$BF23*Geometry!$E$42:$E$59+$BG23*Geometry!$D$42:$D$59)&lt;eco)+eco*(($BE23+$BF23*Geometry!$E$42:$E$59+$BG23*Geometry!$D$42:$D$59)&gt;=eco))/eco)^n)*((($BE23+$BF23*Geometry!$E$42:$E$59+$BG23*Geometry!$D$42:$D$59))&gt;0))),Geometry!$F$42:$F$59,Geometry!$D$42:$D$59))/1000000</f>
      </c>
      <c r="DO23" s="32">
        <f>(SUMPRODUCT(alpha*fck*(1-(1-((($BH23+$BI23*Mesh_Y+$BJ23*Mesh_X))*(($BH23+$BI23*Mesh_Y+$BJ23*Mesh_X)&gt;0)*(($BH23+$BI23*Mesh_Y+$BJ23*Mesh_X)&lt;eco)+eco*(($BH23+$BI23*Mesh_Y+$BJ23*Mesh_X)&gt;=eco))/eco)^n)*((($BH23+$BI23*Mesh_Y+$BJ23*Mesh_X))&gt;0),Mesh_A,Mesh_X)+SUMPRODUCT((Es*(($BH23+$BI23*Geometry!$E$42:$E$59+$BJ23*Geometry!$D$42:$D$59))*(ABS(Es*(($BH23+$BI23*Geometry!$E$42:$E$59+$BJ23*Geometry!$D$42:$D$59)))&lt;=fy)+fy*(Es*(($BH23+$BI23*Geometry!$E$42:$E$59+$BJ23*Geometry!$D$42:$D$59))&gt;fy)-fy*(Es*(($BH23+$BI23*Geometry!$E$42:$E$59+$BJ23*Geometry!$D$42:$D$59))&lt;-fy)-(alpha*fck*(1-(1-((($BH23+$BI23*Geometry!$E$42:$E$59+$BJ23*Geometry!$D$42:$D$59))*(($BH23+$BI23*Geometry!$E$42:$E$59+$BJ23*Geometry!$D$42:$D$59)&gt;0)*(($BH23+$BI23*Geometry!$E$42:$E$59+$BJ23*Geometry!$D$42:$D$59)&lt;eco)+eco*(($BH23+$BI23*Geometry!$E$42:$E$59+$BJ23*Geometry!$D$42:$D$59)&gt;=eco))/eco)^n)*((($BH23+$BI23*Geometry!$E$42:$E$59+$BJ23*Geometry!$D$42:$D$59))&gt;0))),Geometry!$F$42:$F$59,Geometry!$D$42:$D$59))/1000000</f>
      </c>
      <c r="DP23" s="45">
        <f>MAX(1,MIN(18,SUMPRODUCT(--($BK23:$CC23&gt;=Pu))))</f>
      </c>
      <c r="DQ23" s="46">
        <f>(Pu-INDEX($BK23:$CC23,1,$DP23))/(INDEX($BK23:$CC23,1,$DP23+1)-INDEX($BK23:$CC23,1,$DP23))</f>
      </c>
      <c r="DR23" s="33">
        <f>INDEX($CD23:$CV23,1,$DP23)+$DQ23*(INDEX($CD23:$CV23,1,$DP23+1)-INDEX($CD23:$CV23,1,$DP23))</f>
      </c>
      <c r="DS23" s="33">
        <f>INDEX($CW23:$DO23,1,$DP23)+$DQ23*(INDEX($CW23:$DO23,1,$DP23+1)-INDEX($CW23:$DO23,1,$DP23))</f>
      </c>
      <c r="DT23" s="33">
        <f>SQRT(DR23^2+DS23^2)</f>
      </c>
    </row>
    <row r="24" spans="1:124" x14ac:dyDescent="0.25">
      <c r="A24">
        <v>17</v>
      </c>
      <c r="B24" s="43">
        <v>240</v>
      </c>
      <c r="C24" s="12">
        <f>MAX(SUMPRODUCT(MAX((Geometry!$E$6:$E$13)*COS(RADIANS($B24))+(Geometry!$D$6:$D$13)*SIN(RADIANS($B24)))))</f>
      </c>
      <c r="D24" s="12">
        <f>SUMPRODUCT(MIN((Geometry!$E$42:$E$59)*COS(RADIANS($B24))+(Geometry!$D$42:$D$59)*SIN(RADIANS($B24))))</f>
      </c>
      <c r="E24" s="12">
        <f>C24-D24</f>
      </c>
      <c r="F24" s="30">
        <f>ecu</f>
      </c>
      <c r="G24" s="44">
        <f>0*COS(RADIANS($B24))</f>
      </c>
      <c r="H24" s="44">
        <f>0*SIN(RADIANS($B24))</f>
      </c>
      <c r="I24" s="30">
        <f>ecu-((ecu-0)/($C24-($C24-PM_Angle!$C$8*$E24)))*$C24</f>
      </c>
      <c r="J24" s="44">
        <f>((ecu-0)/($C24-($C24-PM_Angle!$C$8*$E24)))*COS(RADIANS($B24))</f>
      </c>
      <c r="K24" s="44">
        <f>((ecu-0)/($C24-($C24-PM_Angle!$C$8*$E24)))*SIN(RADIANS($B24))</f>
      </c>
      <c r="L24" s="30">
        <f>ecu-((ecu-0)/($C24-($C24-PM_Angle!$C$9*$E24)))*$C24</f>
      </c>
      <c r="M24" s="44">
        <f>((ecu-0)/($C24-($C24-PM_Angle!$C$9*$E24)))*COS(RADIANS($B24))</f>
      </c>
      <c r="N24" s="44">
        <f>((ecu-0)/($C24-($C24-PM_Angle!$C$9*$E24)))*SIN(RADIANS($B24))</f>
      </c>
      <c r="O24" s="30">
        <f>ecu-((ecu-0)/($C24-($C24-PM_Angle!$C$10*$E24)))*$C24</f>
      </c>
      <c r="P24" s="44">
        <f>((ecu-0)/($C24-($C24-PM_Angle!$C$10*$E24)))*COS(RADIANS($B24))</f>
      </c>
      <c r="Q24" s="44">
        <f>((ecu-0)/($C24-($C24-PM_Angle!$C$10*$E24)))*SIN(RADIANS($B24))</f>
      </c>
      <c r="R24" s="30">
        <f>ecu-((ecu-0)/($C24-($C24-PM_Angle!$C$11*$E24)))*$C24</f>
      </c>
      <c r="S24" s="44">
        <f>((ecu-0)/($C24-($C24-PM_Angle!$C$11*$E24)))*COS(RADIANS($B24))</f>
      </c>
      <c r="T24" s="44">
        <f>((ecu-0)/($C24-($C24-PM_Angle!$C$11*$E24)))*SIN(RADIANS($B24))</f>
      </c>
      <c r="U24" s="30">
        <f>ecu-((ecu-(-PM_Angle!$E$12))/($C24-$D24))*$C24</f>
      </c>
      <c r="V24" s="44">
        <f>((ecu-(-PM_Angle!$E$12))/($C24-$D24))*COS(RADIANS($B24))</f>
      </c>
      <c r="W24" s="44">
        <f>((ecu-(-PM_Angle!$E$12))/($C24-$D24))*SIN(RADIANS($B24))</f>
      </c>
      <c r="X24" s="30">
        <f>ecu-((ecu-(-PM_Angle!$D$13*fy/Es))/($C24-$D24))*$C24</f>
      </c>
      <c r="Y24" s="44">
        <f>((ecu-(-PM_Angle!$D$13*fy/Es))/($C24-$D24))*COS(RADIANS($B24))</f>
      </c>
      <c r="Z24" s="44">
        <f>((ecu-(-PM_Angle!$D$13*fy/Es))/($C24-$D24))*SIN(RADIANS($B24))</f>
      </c>
      <c r="AA24" s="30">
        <f>ecu-((ecu-(-PM_Angle!$D$14*fy/Es))/($C24-$D24))*$C24</f>
      </c>
      <c r="AB24" s="44">
        <f>((ecu-(-PM_Angle!$D$14*fy/Es))/($C24-$D24))*COS(RADIANS($B24))</f>
      </c>
      <c r="AC24" s="44">
        <f>((ecu-(-PM_Angle!$D$14*fy/Es))/($C24-$D24))*SIN(RADIANS($B24))</f>
      </c>
      <c r="AD24" s="30">
        <f>ecu-((ecu-(-PM_Angle!$D$15*fy/Es))/($C24-$D24))*$C24</f>
      </c>
      <c r="AE24" s="44">
        <f>((ecu-(-PM_Angle!$D$15*fy/Es))/($C24-$D24))*COS(RADIANS($B24))</f>
      </c>
      <c r="AF24" s="44">
        <f>((ecu-(-PM_Angle!$D$15*fy/Es))/($C24-$D24))*SIN(RADIANS($B24))</f>
      </c>
      <c r="AG24" s="30">
        <f>ecu-((ecu-(-PM_Angle!$D$16*fy/Es))/($C24-$D24))*$C24</f>
      </c>
      <c r="AH24" s="44">
        <f>((ecu-(-PM_Angle!$D$16*fy/Es))/($C24-$D24))*COS(RADIANS($B24))</f>
      </c>
      <c r="AI24" s="44">
        <f>((ecu-(-PM_Angle!$D$16*fy/Es))/($C24-$D24))*SIN(RADIANS($B24))</f>
      </c>
      <c r="AJ24" s="30">
        <f>ecu-((ecu-(-PM_Angle!$E$17))/($C24-$D24))*$C24</f>
      </c>
      <c r="AK24" s="44">
        <f>((ecu-(-PM_Angle!$E$17))/($C24-$D24))*COS(RADIANS($B24))</f>
      </c>
      <c r="AL24" s="44">
        <f>((ecu-(-PM_Angle!$E$17))/($C24-$D24))*SIN(RADIANS($B24))</f>
      </c>
      <c r="AM24" s="30">
        <f>ecu-((ecu-(-PM_Angle!$E$18))/($C24-$D24))*$C24</f>
      </c>
      <c r="AN24" s="44">
        <f>((ecu-(-PM_Angle!$E$18))/($C24-$D24))*COS(RADIANS($B24))</f>
      </c>
      <c r="AO24" s="44">
        <f>((ecu-(-PM_Angle!$E$18))/($C24-$D24))*SIN(RADIANS($B24))</f>
      </c>
      <c r="AP24" s="30">
        <f>ecu-((ecu-(-PM_Angle!$E$19))/($C24-$D24))*$C24</f>
      </c>
      <c r="AQ24" s="44">
        <f>((ecu-(-PM_Angle!$E$19))/($C24-$D24))*COS(RADIANS($B24))</f>
      </c>
      <c r="AR24" s="44">
        <f>((ecu-(-PM_Angle!$E$19))/($C24-$D24))*SIN(RADIANS($B24))</f>
      </c>
      <c r="AS24" s="30">
        <f>ecu-((ecu-(-PM_Angle!$E$20))/($C24-$D24))*$C24</f>
      </c>
      <c r="AT24" s="44">
        <f>((ecu-(-PM_Angle!$E$20))/($C24-$D24))*COS(RADIANS($B24))</f>
      </c>
      <c r="AU24" s="44">
        <f>((ecu-(-PM_Angle!$E$20))/($C24-$D24))*SIN(RADIANS($B24))</f>
      </c>
      <c r="AV24" s="30">
        <f>ecu-((ecu-(-PM_Angle!$E$21))/($C24-$D24))*$C24</f>
      </c>
      <c r="AW24" s="44">
        <f>((ecu-(-PM_Angle!$E$21))/($C24-$D24))*COS(RADIANS($B24))</f>
      </c>
      <c r="AX24" s="44">
        <f>((ecu-(-PM_Angle!$E$21))/($C24-$D24))*SIN(RADIANS($B24))</f>
      </c>
      <c r="AY24" s="30">
        <f>ecu-((ecu-(-PM_Angle!$E$22))/($C24-$D24))*$C24</f>
      </c>
      <c r="AZ24" s="44">
        <f>((ecu-(-PM_Angle!$E$22))/($C24-$D24))*COS(RADIANS($B24))</f>
      </c>
      <c r="BA24" s="44">
        <f>((ecu-(-PM_Angle!$E$22))/($C24-$D24))*SIN(RADIANS($B24))</f>
      </c>
      <c r="BB24" s="30">
        <f>ecu-((ecu-(-PM_Angle!$E$23))/($C24-$D24))*$C24</f>
      </c>
      <c r="BC24" s="44">
        <f>((ecu-(-PM_Angle!$E$23))/($C24-$D24))*COS(RADIANS($B24))</f>
      </c>
      <c r="BD24" s="44">
        <f>((ecu-(-PM_Angle!$E$23))/($C24-$D24))*SIN(RADIANS($B24))</f>
      </c>
      <c r="BE24" s="30">
        <f>ecu-((ecu-(-PM_Angle!$E$24))/($C24-$D24))*$C24</f>
      </c>
      <c r="BF24" s="44">
        <f>((ecu-(-PM_Angle!$E$24))/($C24-$D24))*COS(RADIANS($B24))</f>
      </c>
      <c r="BG24" s="44">
        <f>((ecu-(-PM_Angle!$E$24))/($C24-$D24))*SIN(RADIANS($B24))</f>
      </c>
      <c r="BH24" s="30">
        <f>etu</f>
      </c>
      <c r="BI24" s="44">
        <f>0*COS(RADIANS($B24))</f>
      </c>
      <c r="BJ24" s="44">
        <f>0*SIN(RADIANS($B24))</f>
      </c>
      <c r="BK24" s="32">
        <f>(SUMPRODUCT(alpha*fck*(1-(1-((($F24+$G24*Mesh_Y+$H24*Mesh_X))*(($F24+$G24*Mesh_Y+$H24*Mesh_X)&gt;0)*(($F24+$G24*Mesh_Y+$H24*Mesh_X)&lt;eco)+eco*(($F24+$G24*Mesh_Y+$H24*Mesh_X)&gt;=eco))/eco)^n)*((($F24+$G24*Mesh_Y+$H24*Mesh_X))&gt;0),Mesh_A)+SUMPRODUCT((Es*(($F24+$G24*Geometry!$E$42:$E$59+$H24*Geometry!$D$42:$D$59))*(ABS(Es*(($F24+$G24*Geometry!$E$42:$E$59+$H24*Geometry!$D$42:$D$59)))&lt;=fy)+fy*(Es*(($F24+$G24*Geometry!$E$42:$E$59+$H24*Geometry!$D$42:$D$59))&gt;fy)-fy*(Es*(($F24+$G24*Geometry!$E$42:$E$59+$H24*Geometry!$D$42:$D$59))&lt;-fy)-(alpha*fck*(1-(1-((($F24+$G24*Geometry!$E$42:$E$59+$H24*Geometry!$D$42:$D$59))*(($F24+$G24*Geometry!$E$42:$E$59+$H24*Geometry!$D$42:$D$59)&gt;0)*(($F24+$G24*Geometry!$E$42:$E$59+$H24*Geometry!$D$42:$D$59)&lt;eco)+eco*(($F24+$G24*Geometry!$E$42:$E$59+$H24*Geometry!$D$42:$D$59)&gt;=eco))/eco)^n)*((($F24+$G24*Geometry!$E$42:$E$59+$H24*Geometry!$D$42:$D$59))&gt;0))),Geometry!$F$42:$F$59))/1000</f>
      </c>
      <c r="BL24" s="32">
        <f>(SUMPRODUCT(alpha*fck*(1-(1-((($I24+$J24*Mesh_Y+$K24*Mesh_X))*(($I24+$J24*Mesh_Y+$K24*Mesh_X)&gt;0)*(($I24+$J24*Mesh_Y+$K24*Mesh_X)&lt;eco)+eco*(($I24+$J24*Mesh_Y+$K24*Mesh_X)&gt;=eco))/eco)^n)*((($I24+$J24*Mesh_Y+$K24*Mesh_X))&gt;0),Mesh_A)+SUMPRODUCT((Es*(($I24+$J24*Geometry!$E$42:$E$59+$K24*Geometry!$D$42:$D$59))*(ABS(Es*(($I24+$J24*Geometry!$E$42:$E$59+$K24*Geometry!$D$42:$D$59)))&lt;=fy)+fy*(Es*(($I24+$J24*Geometry!$E$42:$E$59+$K24*Geometry!$D$42:$D$59))&gt;fy)-fy*(Es*(($I24+$J24*Geometry!$E$42:$E$59+$K24*Geometry!$D$42:$D$59))&lt;-fy)-(alpha*fck*(1-(1-((($I24+$J24*Geometry!$E$42:$E$59+$K24*Geometry!$D$42:$D$59))*(($I24+$J24*Geometry!$E$42:$E$59+$K24*Geometry!$D$42:$D$59)&gt;0)*(($I24+$J24*Geometry!$E$42:$E$59+$K24*Geometry!$D$42:$D$59)&lt;eco)+eco*(($I24+$J24*Geometry!$E$42:$E$59+$K24*Geometry!$D$42:$D$59)&gt;=eco))/eco)^n)*((($I24+$J24*Geometry!$E$42:$E$59+$K24*Geometry!$D$42:$D$59))&gt;0))),Geometry!$F$42:$F$59))/1000</f>
      </c>
      <c r="BM24" s="32">
        <f>(SUMPRODUCT(alpha*fck*(1-(1-((($L24+$M24*Mesh_Y+$N24*Mesh_X))*(($L24+$M24*Mesh_Y+$N24*Mesh_X)&gt;0)*(($L24+$M24*Mesh_Y+$N24*Mesh_X)&lt;eco)+eco*(($L24+$M24*Mesh_Y+$N24*Mesh_X)&gt;=eco))/eco)^n)*((($L24+$M24*Mesh_Y+$N24*Mesh_X))&gt;0),Mesh_A)+SUMPRODUCT((Es*(($L24+$M24*Geometry!$E$42:$E$59+$N24*Geometry!$D$42:$D$59))*(ABS(Es*(($L24+$M24*Geometry!$E$42:$E$59+$N24*Geometry!$D$42:$D$59)))&lt;=fy)+fy*(Es*(($L24+$M24*Geometry!$E$42:$E$59+$N24*Geometry!$D$42:$D$59))&gt;fy)-fy*(Es*(($L24+$M24*Geometry!$E$42:$E$59+$N24*Geometry!$D$42:$D$59))&lt;-fy)-(alpha*fck*(1-(1-((($L24+$M24*Geometry!$E$42:$E$59+$N24*Geometry!$D$42:$D$59))*(($L24+$M24*Geometry!$E$42:$E$59+$N24*Geometry!$D$42:$D$59)&gt;0)*(($L24+$M24*Geometry!$E$42:$E$59+$N24*Geometry!$D$42:$D$59)&lt;eco)+eco*(($L24+$M24*Geometry!$E$42:$E$59+$N24*Geometry!$D$42:$D$59)&gt;=eco))/eco)^n)*((($L24+$M24*Geometry!$E$42:$E$59+$N24*Geometry!$D$42:$D$59))&gt;0))),Geometry!$F$42:$F$59))/1000</f>
      </c>
      <c r="BN24" s="32">
        <f>(SUMPRODUCT(alpha*fck*(1-(1-((($O24+$P24*Mesh_Y+$Q24*Mesh_X))*(($O24+$P24*Mesh_Y+$Q24*Mesh_X)&gt;0)*(($O24+$P24*Mesh_Y+$Q24*Mesh_X)&lt;eco)+eco*(($O24+$P24*Mesh_Y+$Q24*Mesh_X)&gt;=eco))/eco)^n)*((($O24+$P24*Mesh_Y+$Q24*Mesh_X))&gt;0),Mesh_A)+SUMPRODUCT((Es*(($O24+$P24*Geometry!$E$42:$E$59+$Q24*Geometry!$D$42:$D$59))*(ABS(Es*(($O24+$P24*Geometry!$E$42:$E$59+$Q24*Geometry!$D$42:$D$59)))&lt;=fy)+fy*(Es*(($O24+$P24*Geometry!$E$42:$E$59+$Q24*Geometry!$D$42:$D$59))&gt;fy)-fy*(Es*(($O24+$P24*Geometry!$E$42:$E$59+$Q24*Geometry!$D$42:$D$59))&lt;-fy)-(alpha*fck*(1-(1-((($O24+$P24*Geometry!$E$42:$E$59+$Q24*Geometry!$D$42:$D$59))*(($O24+$P24*Geometry!$E$42:$E$59+$Q24*Geometry!$D$42:$D$59)&gt;0)*(($O24+$P24*Geometry!$E$42:$E$59+$Q24*Geometry!$D$42:$D$59)&lt;eco)+eco*(($O24+$P24*Geometry!$E$42:$E$59+$Q24*Geometry!$D$42:$D$59)&gt;=eco))/eco)^n)*((($O24+$P24*Geometry!$E$42:$E$59+$Q24*Geometry!$D$42:$D$59))&gt;0))),Geometry!$F$42:$F$59))/1000</f>
      </c>
      <c r="BO24" s="32">
        <f>(SUMPRODUCT(alpha*fck*(1-(1-((($R24+$S24*Mesh_Y+$T24*Mesh_X))*(($R24+$S24*Mesh_Y+$T24*Mesh_X)&gt;0)*(($R24+$S24*Mesh_Y+$T24*Mesh_X)&lt;eco)+eco*(($R24+$S24*Mesh_Y+$T24*Mesh_X)&gt;=eco))/eco)^n)*((($R24+$S24*Mesh_Y+$T24*Mesh_X))&gt;0),Mesh_A)+SUMPRODUCT((Es*(($R24+$S24*Geometry!$E$42:$E$59+$T24*Geometry!$D$42:$D$59))*(ABS(Es*(($R24+$S24*Geometry!$E$42:$E$59+$T24*Geometry!$D$42:$D$59)))&lt;=fy)+fy*(Es*(($R24+$S24*Geometry!$E$42:$E$59+$T24*Geometry!$D$42:$D$59))&gt;fy)-fy*(Es*(($R24+$S24*Geometry!$E$42:$E$59+$T24*Geometry!$D$42:$D$59))&lt;-fy)-(alpha*fck*(1-(1-((($R24+$S24*Geometry!$E$42:$E$59+$T24*Geometry!$D$42:$D$59))*(($R24+$S24*Geometry!$E$42:$E$59+$T24*Geometry!$D$42:$D$59)&gt;0)*(($R24+$S24*Geometry!$E$42:$E$59+$T24*Geometry!$D$42:$D$59)&lt;eco)+eco*(($R24+$S24*Geometry!$E$42:$E$59+$T24*Geometry!$D$42:$D$59)&gt;=eco))/eco)^n)*((($R24+$S24*Geometry!$E$42:$E$59+$T24*Geometry!$D$42:$D$59))&gt;0))),Geometry!$F$42:$F$59))/1000</f>
      </c>
      <c r="BP24" s="32">
        <f>(SUMPRODUCT(alpha*fck*(1-(1-((($U24+$V24*Mesh_Y+$W24*Mesh_X))*(($U24+$V24*Mesh_Y+$W24*Mesh_X)&gt;0)*(($U24+$V24*Mesh_Y+$W24*Mesh_X)&lt;eco)+eco*(($U24+$V24*Mesh_Y+$W24*Mesh_X)&gt;=eco))/eco)^n)*((($U24+$V24*Mesh_Y+$W24*Mesh_X))&gt;0),Mesh_A)+SUMPRODUCT((Es*(($U24+$V24*Geometry!$E$42:$E$59+$W24*Geometry!$D$42:$D$59))*(ABS(Es*(($U24+$V24*Geometry!$E$42:$E$59+$W24*Geometry!$D$42:$D$59)))&lt;=fy)+fy*(Es*(($U24+$V24*Geometry!$E$42:$E$59+$W24*Geometry!$D$42:$D$59))&gt;fy)-fy*(Es*(($U24+$V24*Geometry!$E$42:$E$59+$W24*Geometry!$D$42:$D$59))&lt;-fy)-(alpha*fck*(1-(1-((($U24+$V24*Geometry!$E$42:$E$59+$W24*Geometry!$D$42:$D$59))*(($U24+$V24*Geometry!$E$42:$E$59+$W24*Geometry!$D$42:$D$59)&gt;0)*(($U24+$V24*Geometry!$E$42:$E$59+$W24*Geometry!$D$42:$D$59)&lt;eco)+eco*(($U24+$V24*Geometry!$E$42:$E$59+$W24*Geometry!$D$42:$D$59)&gt;=eco))/eco)^n)*((($U24+$V24*Geometry!$E$42:$E$59+$W24*Geometry!$D$42:$D$59))&gt;0))),Geometry!$F$42:$F$59))/1000</f>
      </c>
      <c r="BQ24" s="32">
        <f>(SUMPRODUCT(alpha*fck*(1-(1-((($X24+$Y24*Mesh_Y+$Z24*Mesh_X))*(($X24+$Y24*Mesh_Y+$Z24*Mesh_X)&gt;0)*(($X24+$Y24*Mesh_Y+$Z24*Mesh_X)&lt;eco)+eco*(($X24+$Y24*Mesh_Y+$Z24*Mesh_X)&gt;=eco))/eco)^n)*((($X24+$Y24*Mesh_Y+$Z24*Mesh_X))&gt;0),Mesh_A)+SUMPRODUCT((Es*(($X24+$Y24*Geometry!$E$42:$E$59+$Z24*Geometry!$D$42:$D$59))*(ABS(Es*(($X24+$Y24*Geometry!$E$42:$E$59+$Z24*Geometry!$D$42:$D$59)))&lt;=fy)+fy*(Es*(($X24+$Y24*Geometry!$E$42:$E$59+$Z24*Geometry!$D$42:$D$59))&gt;fy)-fy*(Es*(($X24+$Y24*Geometry!$E$42:$E$59+$Z24*Geometry!$D$42:$D$59))&lt;-fy)-(alpha*fck*(1-(1-((($X24+$Y24*Geometry!$E$42:$E$59+$Z24*Geometry!$D$42:$D$59))*(($X24+$Y24*Geometry!$E$42:$E$59+$Z24*Geometry!$D$42:$D$59)&gt;0)*(($X24+$Y24*Geometry!$E$42:$E$59+$Z24*Geometry!$D$42:$D$59)&lt;eco)+eco*(($X24+$Y24*Geometry!$E$42:$E$59+$Z24*Geometry!$D$42:$D$59)&gt;=eco))/eco)^n)*((($X24+$Y24*Geometry!$E$42:$E$59+$Z24*Geometry!$D$42:$D$59))&gt;0))),Geometry!$F$42:$F$59))/1000</f>
      </c>
      <c r="BR24" s="32">
        <f>(SUMPRODUCT(alpha*fck*(1-(1-((($AA24+$AB24*Mesh_Y+$AC24*Mesh_X))*(($AA24+$AB24*Mesh_Y+$AC24*Mesh_X)&gt;0)*(($AA24+$AB24*Mesh_Y+$AC24*Mesh_X)&lt;eco)+eco*(($AA24+$AB24*Mesh_Y+$AC24*Mesh_X)&gt;=eco))/eco)^n)*((($AA24+$AB24*Mesh_Y+$AC24*Mesh_X))&gt;0),Mesh_A)+SUMPRODUCT((Es*(($AA24+$AB24*Geometry!$E$42:$E$59+$AC24*Geometry!$D$42:$D$59))*(ABS(Es*(($AA24+$AB24*Geometry!$E$42:$E$59+$AC24*Geometry!$D$42:$D$59)))&lt;=fy)+fy*(Es*(($AA24+$AB24*Geometry!$E$42:$E$59+$AC24*Geometry!$D$42:$D$59))&gt;fy)-fy*(Es*(($AA24+$AB24*Geometry!$E$42:$E$59+$AC24*Geometry!$D$42:$D$59))&lt;-fy)-(alpha*fck*(1-(1-((($AA24+$AB24*Geometry!$E$42:$E$59+$AC24*Geometry!$D$42:$D$59))*(($AA24+$AB24*Geometry!$E$42:$E$59+$AC24*Geometry!$D$42:$D$59)&gt;0)*(($AA24+$AB24*Geometry!$E$42:$E$59+$AC24*Geometry!$D$42:$D$59)&lt;eco)+eco*(($AA24+$AB24*Geometry!$E$42:$E$59+$AC24*Geometry!$D$42:$D$59)&gt;=eco))/eco)^n)*((($AA24+$AB24*Geometry!$E$42:$E$59+$AC24*Geometry!$D$42:$D$59))&gt;0))),Geometry!$F$42:$F$59))/1000</f>
      </c>
      <c r="BS24" s="32">
        <f>(SUMPRODUCT(alpha*fck*(1-(1-((($AD24+$AE24*Mesh_Y+$AF24*Mesh_X))*(($AD24+$AE24*Mesh_Y+$AF24*Mesh_X)&gt;0)*(($AD24+$AE24*Mesh_Y+$AF24*Mesh_X)&lt;eco)+eco*(($AD24+$AE24*Mesh_Y+$AF24*Mesh_X)&gt;=eco))/eco)^n)*((($AD24+$AE24*Mesh_Y+$AF24*Mesh_X))&gt;0),Mesh_A)+SUMPRODUCT((Es*(($AD24+$AE24*Geometry!$E$42:$E$59+$AF24*Geometry!$D$42:$D$59))*(ABS(Es*(($AD24+$AE24*Geometry!$E$42:$E$59+$AF24*Geometry!$D$42:$D$59)))&lt;=fy)+fy*(Es*(($AD24+$AE24*Geometry!$E$42:$E$59+$AF24*Geometry!$D$42:$D$59))&gt;fy)-fy*(Es*(($AD24+$AE24*Geometry!$E$42:$E$59+$AF24*Geometry!$D$42:$D$59))&lt;-fy)-(alpha*fck*(1-(1-((($AD24+$AE24*Geometry!$E$42:$E$59+$AF24*Geometry!$D$42:$D$59))*(($AD24+$AE24*Geometry!$E$42:$E$59+$AF24*Geometry!$D$42:$D$59)&gt;0)*(($AD24+$AE24*Geometry!$E$42:$E$59+$AF24*Geometry!$D$42:$D$59)&lt;eco)+eco*(($AD24+$AE24*Geometry!$E$42:$E$59+$AF24*Geometry!$D$42:$D$59)&gt;=eco))/eco)^n)*((($AD24+$AE24*Geometry!$E$42:$E$59+$AF24*Geometry!$D$42:$D$59))&gt;0))),Geometry!$F$42:$F$59))/1000</f>
      </c>
      <c r="BT24" s="32">
        <f>(SUMPRODUCT(alpha*fck*(1-(1-((($AG24+$AH24*Mesh_Y+$AI24*Mesh_X))*(($AG24+$AH24*Mesh_Y+$AI24*Mesh_X)&gt;0)*(($AG24+$AH24*Mesh_Y+$AI24*Mesh_X)&lt;eco)+eco*(($AG24+$AH24*Mesh_Y+$AI24*Mesh_X)&gt;=eco))/eco)^n)*((($AG24+$AH24*Mesh_Y+$AI24*Mesh_X))&gt;0),Mesh_A)+SUMPRODUCT((Es*(($AG24+$AH24*Geometry!$E$42:$E$59+$AI24*Geometry!$D$42:$D$59))*(ABS(Es*(($AG24+$AH24*Geometry!$E$42:$E$59+$AI24*Geometry!$D$42:$D$59)))&lt;=fy)+fy*(Es*(($AG24+$AH24*Geometry!$E$42:$E$59+$AI24*Geometry!$D$42:$D$59))&gt;fy)-fy*(Es*(($AG24+$AH24*Geometry!$E$42:$E$59+$AI24*Geometry!$D$42:$D$59))&lt;-fy)-(alpha*fck*(1-(1-((($AG24+$AH24*Geometry!$E$42:$E$59+$AI24*Geometry!$D$42:$D$59))*(($AG24+$AH24*Geometry!$E$42:$E$59+$AI24*Geometry!$D$42:$D$59)&gt;0)*(($AG24+$AH24*Geometry!$E$42:$E$59+$AI24*Geometry!$D$42:$D$59)&lt;eco)+eco*(($AG24+$AH24*Geometry!$E$42:$E$59+$AI24*Geometry!$D$42:$D$59)&gt;=eco))/eco)^n)*((($AG24+$AH24*Geometry!$E$42:$E$59+$AI24*Geometry!$D$42:$D$59))&gt;0))),Geometry!$F$42:$F$59))/1000</f>
      </c>
      <c r="BU24" s="32">
        <f>(SUMPRODUCT(alpha*fck*(1-(1-((($AJ24+$AK24*Mesh_Y+$AL24*Mesh_X))*(($AJ24+$AK24*Mesh_Y+$AL24*Mesh_X)&gt;0)*(($AJ24+$AK24*Mesh_Y+$AL24*Mesh_X)&lt;eco)+eco*(($AJ24+$AK24*Mesh_Y+$AL24*Mesh_X)&gt;=eco))/eco)^n)*((($AJ24+$AK24*Mesh_Y+$AL24*Mesh_X))&gt;0),Mesh_A)+SUMPRODUCT((Es*(($AJ24+$AK24*Geometry!$E$42:$E$59+$AL24*Geometry!$D$42:$D$59))*(ABS(Es*(($AJ24+$AK24*Geometry!$E$42:$E$59+$AL24*Geometry!$D$42:$D$59)))&lt;=fy)+fy*(Es*(($AJ24+$AK24*Geometry!$E$42:$E$59+$AL24*Geometry!$D$42:$D$59))&gt;fy)-fy*(Es*(($AJ24+$AK24*Geometry!$E$42:$E$59+$AL24*Geometry!$D$42:$D$59))&lt;-fy)-(alpha*fck*(1-(1-((($AJ24+$AK24*Geometry!$E$42:$E$59+$AL24*Geometry!$D$42:$D$59))*(($AJ24+$AK24*Geometry!$E$42:$E$59+$AL24*Geometry!$D$42:$D$59)&gt;0)*(($AJ24+$AK24*Geometry!$E$42:$E$59+$AL24*Geometry!$D$42:$D$59)&lt;eco)+eco*(($AJ24+$AK24*Geometry!$E$42:$E$59+$AL24*Geometry!$D$42:$D$59)&gt;=eco))/eco)^n)*((($AJ24+$AK24*Geometry!$E$42:$E$59+$AL24*Geometry!$D$42:$D$59))&gt;0))),Geometry!$F$42:$F$59))/1000</f>
      </c>
      <c r="BV24" s="32">
        <f>(SUMPRODUCT(alpha*fck*(1-(1-((($AM24+$AN24*Mesh_Y+$AO24*Mesh_X))*(($AM24+$AN24*Mesh_Y+$AO24*Mesh_X)&gt;0)*(($AM24+$AN24*Mesh_Y+$AO24*Mesh_X)&lt;eco)+eco*(($AM24+$AN24*Mesh_Y+$AO24*Mesh_X)&gt;=eco))/eco)^n)*((($AM24+$AN24*Mesh_Y+$AO24*Mesh_X))&gt;0),Mesh_A)+SUMPRODUCT((Es*(($AM24+$AN24*Geometry!$E$42:$E$59+$AO24*Geometry!$D$42:$D$59))*(ABS(Es*(($AM24+$AN24*Geometry!$E$42:$E$59+$AO24*Geometry!$D$42:$D$59)))&lt;=fy)+fy*(Es*(($AM24+$AN24*Geometry!$E$42:$E$59+$AO24*Geometry!$D$42:$D$59))&gt;fy)-fy*(Es*(($AM24+$AN24*Geometry!$E$42:$E$59+$AO24*Geometry!$D$42:$D$59))&lt;-fy)-(alpha*fck*(1-(1-((($AM24+$AN24*Geometry!$E$42:$E$59+$AO24*Geometry!$D$42:$D$59))*(($AM24+$AN24*Geometry!$E$42:$E$59+$AO24*Geometry!$D$42:$D$59)&gt;0)*(($AM24+$AN24*Geometry!$E$42:$E$59+$AO24*Geometry!$D$42:$D$59)&lt;eco)+eco*(($AM24+$AN24*Geometry!$E$42:$E$59+$AO24*Geometry!$D$42:$D$59)&gt;=eco))/eco)^n)*((($AM24+$AN24*Geometry!$E$42:$E$59+$AO24*Geometry!$D$42:$D$59))&gt;0))),Geometry!$F$42:$F$59))/1000</f>
      </c>
      <c r="BW24" s="32">
        <f>(SUMPRODUCT(alpha*fck*(1-(1-((($AP24+$AQ24*Mesh_Y+$AR24*Mesh_X))*(($AP24+$AQ24*Mesh_Y+$AR24*Mesh_X)&gt;0)*(($AP24+$AQ24*Mesh_Y+$AR24*Mesh_X)&lt;eco)+eco*(($AP24+$AQ24*Mesh_Y+$AR24*Mesh_X)&gt;=eco))/eco)^n)*((($AP24+$AQ24*Mesh_Y+$AR24*Mesh_X))&gt;0),Mesh_A)+SUMPRODUCT((Es*(($AP24+$AQ24*Geometry!$E$42:$E$59+$AR24*Geometry!$D$42:$D$59))*(ABS(Es*(($AP24+$AQ24*Geometry!$E$42:$E$59+$AR24*Geometry!$D$42:$D$59)))&lt;=fy)+fy*(Es*(($AP24+$AQ24*Geometry!$E$42:$E$59+$AR24*Geometry!$D$42:$D$59))&gt;fy)-fy*(Es*(($AP24+$AQ24*Geometry!$E$42:$E$59+$AR24*Geometry!$D$42:$D$59))&lt;-fy)-(alpha*fck*(1-(1-((($AP24+$AQ24*Geometry!$E$42:$E$59+$AR24*Geometry!$D$42:$D$59))*(($AP24+$AQ24*Geometry!$E$42:$E$59+$AR24*Geometry!$D$42:$D$59)&gt;0)*(($AP24+$AQ24*Geometry!$E$42:$E$59+$AR24*Geometry!$D$42:$D$59)&lt;eco)+eco*(($AP24+$AQ24*Geometry!$E$42:$E$59+$AR24*Geometry!$D$42:$D$59)&gt;=eco))/eco)^n)*((($AP24+$AQ24*Geometry!$E$42:$E$59+$AR24*Geometry!$D$42:$D$59))&gt;0))),Geometry!$F$42:$F$59))/1000</f>
      </c>
      <c r="BX24" s="32">
        <f>(SUMPRODUCT(alpha*fck*(1-(1-((($AS24+$AT24*Mesh_Y+$AU24*Mesh_X))*(($AS24+$AT24*Mesh_Y+$AU24*Mesh_X)&gt;0)*(($AS24+$AT24*Mesh_Y+$AU24*Mesh_X)&lt;eco)+eco*(($AS24+$AT24*Mesh_Y+$AU24*Mesh_X)&gt;=eco))/eco)^n)*((($AS24+$AT24*Mesh_Y+$AU24*Mesh_X))&gt;0),Mesh_A)+SUMPRODUCT((Es*(($AS24+$AT24*Geometry!$E$42:$E$59+$AU24*Geometry!$D$42:$D$59))*(ABS(Es*(($AS24+$AT24*Geometry!$E$42:$E$59+$AU24*Geometry!$D$42:$D$59)))&lt;=fy)+fy*(Es*(($AS24+$AT24*Geometry!$E$42:$E$59+$AU24*Geometry!$D$42:$D$59))&gt;fy)-fy*(Es*(($AS24+$AT24*Geometry!$E$42:$E$59+$AU24*Geometry!$D$42:$D$59))&lt;-fy)-(alpha*fck*(1-(1-((($AS24+$AT24*Geometry!$E$42:$E$59+$AU24*Geometry!$D$42:$D$59))*(($AS24+$AT24*Geometry!$E$42:$E$59+$AU24*Geometry!$D$42:$D$59)&gt;0)*(($AS24+$AT24*Geometry!$E$42:$E$59+$AU24*Geometry!$D$42:$D$59)&lt;eco)+eco*(($AS24+$AT24*Geometry!$E$42:$E$59+$AU24*Geometry!$D$42:$D$59)&gt;=eco))/eco)^n)*((($AS24+$AT24*Geometry!$E$42:$E$59+$AU24*Geometry!$D$42:$D$59))&gt;0))),Geometry!$F$42:$F$59))/1000</f>
      </c>
      <c r="BY24" s="32">
        <f>(SUMPRODUCT(alpha*fck*(1-(1-((($AV24+$AW24*Mesh_Y+$AX24*Mesh_X))*(($AV24+$AW24*Mesh_Y+$AX24*Mesh_X)&gt;0)*(($AV24+$AW24*Mesh_Y+$AX24*Mesh_X)&lt;eco)+eco*(($AV24+$AW24*Mesh_Y+$AX24*Mesh_X)&gt;=eco))/eco)^n)*((($AV24+$AW24*Mesh_Y+$AX24*Mesh_X))&gt;0),Mesh_A)+SUMPRODUCT((Es*(($AV24+$AW24*Geometry!$E$42:$E$59+$AX24*Geometry!$D$42:$D$59))*(ABS(Es*(($AV24+$AW24*Geometry!$E$42:$E$59+$AX24*Geometry!$D$42:$D$59)))&lt;=fy)+fy*(Es*(($AV24+$AW24*Geometry!$E$42:$E$59+$AX24*Geometry!$D$42:$D$59))&gt;fy)-fy*(Es*(($AV24+$AW24*Geometry!$E$42:$E$59+$AX24*Geometry!$D$42:$D$59))&lt;-fy)-(alpha*fck*(1-(1-((($AV24+$AW24*Geometry!$E$42:$E$59+$AX24*Geometry!$D$42:$D$59))*(($AV24+$AW24*Geometry!$E$42:$E$59+$AX24*Geometry!$D$42:$D$59)&gt;0)*(($AV24+$AW24*Geometry!$E$42:$E$59+$AX24*Geometry!$D$42:$D$59)&lt;eco)+eco*(($AV24+$AW24*Geometry!$E$42:$E$59+$AX24*Geometry!$D$42:$D$59)&gt;=eco))/eco)^n)*((($AV24+$AW24*Geometry!$E$42:$E$59+$AX24*Geometry!$D$42:$D$59))&gt;0))),Geometry!$F$42:$F$59))/1000</f>
      </c>
      <c r="BZ24" s="32">
        <f>(SUMPRODUCT(alpha*fck*(1-(1-((($AY24+$AZ24*Mesh_Y+$BA24*Mesh_X))*(($AY24+$AZ24*Mesh_Y+$BA24*Mesh_X)&gt;0)*(($AY24+$AZ24*Mesh_Y+$BA24*Mesh_X)&lt;eco)+eco*(($AY24+$AZ24*Mesh_Y+$BA24*Mesh_X)&gt;=eco))/eco)^n)*((($AY24+$AZ24*Mesh_Y+$BA24*Mesh_X))&gt;0),Mesh_A)+SUMPRODUCT((Es*(($AY24+$AZ24*Geometry!$E$42:$E$59+$BA24*Geometry!$D$42:$D$59))*(ABS(Es*(($AY24+$AZ24*Geometry!$E$42:$E$59+$BA24*Geometry!$D$42:$D$59)))&lt;=fy)+fy*(Es*(($AY24+$AZ24*Geometry!$E$42:$E$59+$BA24*Geometry!$D$42:$D$59))&gt;fy)-fy*(Es*(($AY24+$AZ24*Geometry!$E$42:$E$59+$BA24*Geometry!$D$42:$D$59))&lt;-fy)-(alpha*fck*(1-(1-((($AY24+$AZ24*Geometry!$E$42:$E$59+$BA24*Geometry!$D$42:$D$59))*(($AY24+$AZ24*Geometry!$E$42:$E$59+$BA24*Geometry!$D$42:$D$59)&gt;0)*(($AY24+$AZ24*Geometry!$E$42:$E$59+$BA24*Geometry!$D$42:$D$59)&lt;eco)+eco*(($AY24+$AZ24*Geometry!$E$42:$E$59+$BA24*Geometry!$D$42:$D$59)&gt;=eco))/eco)^n)*((($AY24+$AZ24*Geometry!$E$42:$E$59+$BA24*Geometry!$D$42:$D$59))&gt;0))),Geometry!$F$42:$F$59))/1000</f>
      </c>
      <c r="CA24" s="32">
        <f>(SUMPRODUCT(alpha*fck*(1-(1-((($BB24+$BC24*Mesh_Y+$BD24*Mesh_X))*(($BB24+$BC24*Mesh_Y+$BD24*Mesh_X)&gt;0)*(($BB24+$BC24*Mesh_Y+$BD24*Mesh_X)&lt;eco)+eco*(($BB24+$BC24*Mesh_Y+$BD24*Mesh_X)&gt;=eco))/eco)^n)*((($BB24+$BC24*Mesh_Y+$BD24*Mesh_X))&gt;0),Mesh_A)+SUMPRODUCT((Es*(($BB24+$BC24*Geometry!$E$42:$E$59+$BD24*Geometry!$D$42:$D$59))*(ABS(Es*(($BB24+$BC24*Geometry!$E$42:$E$59+$BD24*Geometry!$D$42:$D$59)))&lt;=fy)+fy*(Es*(($BB24+$BC24*Geometry!$E$42:$E$59+$BD24*Geometry!$D$42:$D$59))&gt;fy)-fy*(Es*(($BB24+$BC24*Geometry!$E$42:$E$59+$BD24*Geometry!$D$42:$D$59))&lt;-fy)-(alpha*fck*(1-(1-((($BB24+$BC24*Geometry!$E$42:$E$59+$BD24*Geometry!$D$42:$D$59))*(($BB24+$BC24*Geometry!$E$42:$E$59+$BD24*Geometry!$D$42:$D$59)&gt;0)*(($BB24+$BC24*Geometry!$E$42:$E$59+$BD24*Geometry!$D$42:$D$59)&lt;eco)+eco*(($BB24+$BC24*Geometry!$E$42:$E$59+$BD24*Geometry!$D$42:$D$59)&gt;=eco))/eco)^n)*((($BB24+$BC24*Geometry!$E$42:$E$59+$BD24*Geometry!$D$42:$D$59))&gt;0))),Geometry!$F$42:$F$59))/1000</f>
      </c>
      <c r="CB24" s="32">
        <f>(SUMPRODUCT(alpha*fck*(1-(1-((($BE24+$BF24*Mesh_Y+$BG24*Mesh_X))*(($BE24+$BF24*Mesh_Y+$BG24*Mesh_X)&gt;0)*(($BE24+$BF24*Mesh_Y+$BG24*Mesh_X)&lt;eco)+eco*(($BE24+$BF24*Mesh_Y+$BG24*Mesh_X)&gt;=eco))/eco)^n)*((($BE24+$BF24*Mesh_Y+$BG24*Mesh_X))&gt;0),Mesh_A)+SUMPRODUCT((Es*(($BE24+$BF24*Geometry!$E$42:$E$59+$BG24*Geometry!$D$42:$D$59))*(ABS(Es*(($BE24+$BF24*Geometry!$E$42:$E$59+$BG24*Geometry!$D$42:$D$59)))&lt;=fy)+fy*(Es*(($BE24+$BF24*Geometry!$E$42:$E$59+$BG24*Geometry!$D$42:$D$59))&gt;fy)-fy*(Es*(($BE24+$BF24*Geometry!$E$42:$E$59+$BG24*Geometry!$D$42:$D$59))&lt;-fy)-(alpha*fck*(1-(1-((($BE24+$BF24*Geometry!$E$42:$E$59+$BG24*Geometry!$D$42:$D$59))*(($BE24+$BF24*Geometry!$E$42:$E$59+$BG24*Geometry!$D$42:$D$59)&gt;0)*(($BE24+$BF24*Geometry!$E$42:$E$59+$BG24*Geometry!$D$42:$D$59)&lt;eco)+eco*(($BE24+$BF24*Geometry!$E$42:$E$59+$BG24*Geometry!$D$42:$D$59)&gt;=eco))/eco)^n)*((($BE24+$BF24*Geometry!$E$42:$E$59+$BG24*Geometry!$D$42:$D$59))&gt;0))),Geometry!$F$42:$F$59))/1000</f>
      </c>
      <c r="CC24" s="32">
        <f>(SUMPRODUCT(alpha*fck*(1-(1-((($BH24+$BI24*Mesh_Y+$BJ24*Mesh_X))*(($BH24+$BI24*Mesh_Y+$BJ24*Mesh_X)&gt;0)*(($BH24+$BI24*Mesh_Y+$BJ24*Mesh_X)&lt;eco)+eco*(($BH24+$BI24*Mesh_Y+$BJ24*Mesh_X)&gt;=eco))/eco)^n)*((($BH24+$BI24*Mesh_Y+$BJ24*Mesh_X))&gt;0),Mesh_A)+SUMPRODUCT((Es*(($BH24+$BI24*Geometry!$E$42:$E$59+$BJ24*Geometry!$D$42:$D$59))*(ABS(Es*(($BH24+$BI24*Geometry!$E$42:$E$59+$BJ24*Geometry!$D$42:$D$59)))&lt;=fy)+fy*(Es*(($BH24+$BI24*Geometry!$E$42:$E$59+$BJ24*Geometry!$D$42:$D$59))&gt;fy)-fy*(Es*(($BH24+$BI24*Geometry!$E$42:$E$59+$BJ24*Geometry!$D$42:$D$59))&lt;-fy)-(alpha*fck*(1-(1-((($BH24+$BI24*Geometry!$E$42:$E$59+$BJ24*Geometry!$D$42:$D$59))*(($BH24+$BI24*Geometry!$E$42:$E$59+$BJ24*Geometry!$D$42:$D$59)&gt;0)*(($BH24+$BI24*Geometry!$E$42:$E$59+$BJ24*Geometry!$D$42:$D$59)&lt;eco)+eco*(($BH24+$BI24*Geometry!$E$42:$E$59+$BJ24*Geometry!$D$42:$D$59)&gt;=eco))/eco)^n)*((($BH24+$BI24*Geometry!$E$42:$E$59+$BJ24*Geometry!$D$42:$D$59))&gt;0))),Geometry!$F$42:$F$59))/1000</f>
      </c>
      <c r="CD24" s="32">
        <f>(SUMPRODUCT(alpha*fck*(1-(1-((($F24+$G24*Mesh_Y+$H24*Mesh_X))*(($F24+$G24*Mesh_Y+$H24*Mesh_X)&gt;0)*(($F24+$G24*Mesh_Y+$H24*Mesh_X)&lt;eco)+eco*(($F24+$G24*Mesh_Y+$H24*Mesh_X)&gt;=eco))/eco)^n)*((($F24+$G24*Mesh_Y+$H24*Mesh_X))&gt;0),Mesh_A,Mesh_Y)+SUMPRODUCT((Es*(($F24+$G24*Geometry!$E$42:$E$59+$H24*Geometry!$D$42:$D$59))*(ABS(Es*(($F24+$G24*Geometry!$E$42:$E$59+$H24*Geometry!$D$42:$D$59)))&lt;=fy)+fy*(Es*(($F24+$G24*Geometry!$E$42:$E$59+$H24*Geometry!$D$42:$D$59))&gt;fy)-fy*(Es*(($F24+$G24*Geometry!$E$42:$E$59+$H24*Geometry!$D$42:$D$59))&lt;-fy)-(alpha*fck*(1-(1-((($F24+$G24*Geometry!$E$42:$E$59+$H24*Geometry!$D$42:$D$59))*(($F24+$G24*Geometry!$E$42:$E$59+$H24*Geometry!$D$42:$D$59)&gt;0)*(($F24+$G24*Geometry!$E$42:$E$59+$H24*Geometry!$D$42:$D$59)&lt;eco)+eco*(($F24+$G24*Geometry!$E$42:$E$59+$H24*Geometry!$D$42:$D$59)&gt;=eco))/eco)^n)*((($F24+$G24*Geometry!$E$42:$E$59+$H24*Geometry!$D$42:$D$59))&gt;0))),Geometry!$F$42:$F$59,Geometry!$E$42:$E$59))/1000000</f>
      </c>
      <c r="CE24" s="32">
        <f>(SUMPRODUCT(alpha*fck*(1-(1-((($I24+$J24*Mesh_Y+$K24*Mesh_X))*(($I24+$J24*Mesh_Y+$K24*Mesh_X)&gt;0)*(($I24+$J24*Mesh_Y+$K24*Mesh_X)&lt;eco)+eco*(($I24+$J24*Mesh_Y+$K24*Mesh_X)&gt;=eco))/eco)^n)*((($I24+$J24*Mesh_Y+$K24*Mesh_X))&gt;0),Mesh_A,Mesh_Y)+SUMPRODUCT((Es*(($I24+$J24*Geometry!$E$42:$E$59+$K24*Geometry!$D$42:$D$59))*(ABS(Es*(($I24+$J24*Geometry!$E$42:$E$59+$K24*Geometry!$D$42:$D$59)))&lt;=fy)+fy*(Es*(($I24+$J24*Geometry!$E$42:$E$59+$K24*Geometry!$D$42:$D$59))&gt;fy)-fy*(Es*(($I24+$J24*Geometry!$E$42:$E$59+$K24*Geometry!$D$42:$D$59))&lt;-fy)-(alpha*fck*(1-(1-((($I24+$J24*Geometry!$E$42:$E$59+$K24*Geometry!$D$42:$D$59))*(($I24+$J24*Geometry!$E$42:$E$59+$K24*Geometry!$D$42:$D$59)&gt;0)*(($I24+$J24*Geometry!$E$42:$E$59+$K24*Geometry!$D$42:$D$59)&lt;eco)+eco*(($I24+$J24*Geometry!$E$42:$E$59+$K24*Geometry!$D$42:$D$59)&gt;=eco))/eco)^n)*((($I24+$J24*Geometry!$E$42:$E$59+$K24*Geometry!$D$42:$D$59))&gt;0))),Geometry!$F$42:$F$59,Geometry!$E$42:$E$59))/1000000</f>
      </c>
      <c r="CF24" s="32">
        <f>(SUMPRODUCT(alpha*fck*(1-(1-((($L24+$M24*Mesh_Y+$N24*Mesh_X))*(($L24+$M24*Mesh_Y+$N24*Mesh_X)&gt;0)*(($L24+$M24*Mesh_Y+$N24*Mesh_X)&lt;eco)+eco*(($L24+$M24*Mesh_Y+$N24*Mesh_X)&gt;=eco))/eco)^n)*((($L24+$M24*Mesh_Y+$N24*Mesh_X))&gt;0),Mesh_A,Mesh_Y)+SUMPRODUCT((Es*(($L24+$M24*Geometry!$E$42:$E$59+$N24*Geometry!$D$42:$D$59))*(ABS(Es*(($L24+$M24*Geometry!$E$42:$E$59+$N24*Geometry!$D$42:$D$59)))&lt;=fy)+fy*(Es*(($L24+$M24*Geometry!$E$42:$E$59+$N24*Geometry!$D$42:$D$59))&gt;fy)-fy*(Es*(($L24+$M24*Geometry!$E$42:$E$59+$N24*Geometry!$D$42:$D$59))&lt;-fy)-(alpha*fck*(1-(1-((($L24+$M24*Geometry!$E$42:$E$59+$N24*Geometry!$D$42:$D$59))*(($L24+$M24*Geometry!$E$42:$E$59+$N24*Geometry!$D$42:$D$59)&gt;0)*(($L24+$M24*Geometry!$E$42:$E$59+$N24*Geometry!$D$42:$D$59)&lt;eco)+eco*(($L24+$M24*Geometry!$E$42:$E$59+$N24*Geometry!$D$42:$D$59)&gt;=eco))/eco)^n)*((($L24+$M24*Geometry!$E$42:$E$59+$N24*Geometry!$D$42:$D$59))&gt;0))),Geometry!$F$42:$F$59,Geometry!$E$42:$E$59))/1000000</f>
      </c>
      <c r="CG24" s="32">
        <f>(SUMPRODUCT(alpha*fck*(1-(1-((($O24+$P24*Mesh_Y+$Q24*Mesh_X))*(($O24+$P24*Mesh_Y+$Q24*Mesh_X)&gt;0)*(($O24+$P24*Mesh_Y+$Q24*Mesh_X)&lt;eco)+eco*(($O24+$P24*Mesh_Y+$Q24*Mesh_X)&gt;=eco))/eco)^n)*((($O24+$P24*Mesh_Y+$Q24*Mesh_X))&gt;0),Mesh_A,Mesh_Y)+SUMPRODUCT((Es*(($O24+$P24*Geometry!$E$42:$E$59+$Q24*Geometry!$D$42:$D$59))*(ABS(Es*(($O24+$P24*Geometry!$E$42:$E$59+$Q24*Geometry!$D$42:$D$59)))&lt;=fy)+fy*(Es*(($O24+$P24*Geometry!$E$42:$E$59+$Q24*Geometry!$D$42:$D$59))&gt;fy)-fy*(Es*(($O24+$P24*Geometry!$E$42:$E$59+$Q24*Geometry!$D$42:$D$59))&lt;-fy)-(alpha*fck*(1-(1-((($O24+$P24*Geometry!$E$42:$E$59+$Q24*Geometry!$D$42:$D$59))*(($O24+$P24*Geometry!$E$42:$E$59+$Q24*Geometry!$D$42:$D$59)&gt;0)*(($O24+$P24*Geometry!$E$42:$E$59+$Q24*Geometry!$D$42:$D$59)&lt;eco)+eco*(($O24+$P24*Geometry!$E$42:$E$59+$Q24*Geometry!$D$42:$D$59)&gt;=eco))/eco)^n)*((($O24+$P24*Geometry!$E$42:$E$59+$Q24*Geometry!$D$42:$D$59))&gt;0))),Geometry!$F$42:$F$59,Geometry!$E$42:$E$59))/1000000</f>
      </c>
      <c r="CH24" s="32">
        <f>(SUMPRODUCT(alpha*fck*(1-(1-((($R24+$S24*Mesh_Y+$T24*Mesh_X))*(($R24+$S24*Mesh_Y+$T24*Mesh_X)&gt;0)*(($R24+$S24*Mesh_Y+$T24*Mesh_X)&lt;eco)+eco*(($R24+$S24*Mesh_Y+$T24*Mesh_X)&gt;=eco))/eco)^n)*((($R24+$S24*Mesh_Y+$T24*Mesh_X))&gt;0),Mesh_A,Mesh_Y)+SUMPRODUCT((Es*(($R24+$S24*Geometry!$E$42:$E$59+$T24*Geometry!$D$42:$D$59))*(ABS(Es*(($R24+$S24*Geometry!$E$42:$E$59+$T24*Geometry!$D$42:$D$59)))&lt;=fy)+fy*(Es*(($R24+$S24*Geometry!$E$42:$E$59+$T24*Geometry!$D$42:$D$59))&gt;fy)-fy*(Es*(($R24+$S24*Geometry!$E$42:$E$59+$T24*Geometry!$D$42:$D$59))&lt;-fy)-(alpha*fck*(1-(1-((($R24+$S24*Geometry!$E$42:$E$59+$T24*Geometry!$D$42:$D$59))*(($R24+$S24*Geometry!$E$42:$E$59+$T24*Geometry!$D$42:$D$59)&gt;0)*(($R24+$S24*Geometry!$E$42:$E$59+$T24*Geometry!$D$42:$D$59)&lt;eco)+eco*(($R24+$S24*Geometry!$E$42:$E$59+$T24*Geometry!$D$42:$D$59)&gt;=eco))/eco)^n)*((($R24+$S24*Geometry!$E$42:$E$59+$T24*Geometry!$D$42:$D$59))&gt;0))),Geometry!$F$42:$F$59,Geometry!$E$42:$E$59))/1000000</f>
      </c>
      <c r="CI24" s="32">
        <f>(SUMPRODUCT(alpha*fck*(1-(1-((($U24+$V24*Mesh_Y+$W24*Mesh_X))*(($U24+$V24*Mesh_Y+$W24*Mesh_X)&gt;0)*(($U24+$V24*Mesh_Y+$W24*Mesh_X)&lt;eco)+eco*(($U24+$V24*Mesh_Y+$W24*Mesh_X)&gt;=eco))/eco)^n)*((($U24+$V24*Mesh_Y+$W24*Mesh_X))&gt;0),Mesh_A,Mesh_Y)+SUMPRODUCT((Es*(($U24+$V24*Geometry!$E$42:$E$59+$W24*Geometry!$D$42:$D$59))*(ABS(Es*(($U24+$V24*Geometry!$E$42:$E$59+$W24*Geometry!$D$42:$D$59)))&lt;=fy)+fy*(Es*(($U24+$V24*Geometry!$E$42:$E$59+$W24*Geometry!$D$42:$D$59))&gt;fy)-fy*(Es*(($U24+$V24*Geometry!$E$42:$E$59+$W24*Geometry!$D$42:$D$59))&lt;-fy)-(alpha*fck*(1-(1-((($U24+$V24*Geometry!$E$42:$E$59+$W24*Geometry!$D$42:$D$59))*(($U24+$V24*Geometry!$E$42:$E$59+$W24*Geometry!$D$42:$D$59)&gt;0)*(($U24+$V24*Geometry!$E$42:$E$59+$W24*Geometry!$D$42:$D$59)&lt;eco)+eco*(($U24+$V24*Geometry!$E$42:$E$59+$W24*Geometry!$D$42:$D$59)&gt;=eco))/eco)^n)*((($U24+$V24*Geometry!$E$42:$E$59+$W24*Geometry!$D$42:$D$59))&gt;0))),Geometry!$F$42:$F$59,Geometry!$E$42:$E$59))/1000000</f>
      </c>
      <c r="CJ24" s="32">
        <f>(SUMPRODUCT(alpha*fck*(1-(1-((($X24+$Y24*Mesh_Y+$Z24*Mesh_X))*(($X24+$Y24*Mesh_Y+$Z24*Mesh_X)&gt;0)*(($X24+$Y24*Mesh_Y+$Z24*Mesh_X)&lt;eco)+eco*(($X24+$Y24*Mesh_Y+$Z24*Mesh_X)&gt;=eco))/eco)^n)*((($X24+$Y24*Mesh_Y+$Z24*Mesh_X))&gt;0),Mesh_A,Mesh_Y)+SUMPRODUCT((Es*(($X24+$Y24*Geometry!$E$42:$E$59+$Z24*Geometry!$D$42:$D$59))*(ABS(Es*(($X24+$Y24*Geometry!$E$42:$E$59+$Z24*Geometry!$D$42:$D$59)))&lt;=fy)+fy*(Es*(($X24+$Y24*Geometry!$E$42:$E$59+$Z24*Geometry!$D$42:$D$59))&gt;fy)-fy*(Es*(($X24+$Y24*Geometry!$E$42:$E$59+$Z24*Geometry!$D$42:$D$59))&lt;-fy)-(alpha*fck*(1-(1-((($X24+$Y24*Geometry!$E$42:$E$59+$Z24*Geometry!$D$42:$D$59))*(($X24+$Y24*Geometry!$E$42:$E$59+$Z24*Geometry!$D$42:$D$59)&gt;0)*(($X24+$Y24*Geometry!$E$42:$E$59+$Z24*Geometry!$D$42:$D$59)&lt;eco)+eco*(($X24+$Y24*Geometry!$E$42:$E$59+$Z24*Geometry!$D$42:$D$59)&gt;=eco))/eco)^n)*((($X24+$Y24*Geometry!$E$42:$E$59+$Z24*Geometry!$D$42:$D$59))&gt;0))),Geometry!$F$42:$F$59,Geometry!$E$42:$E$59))/1000000</f>
      </c>
      <c r="CK24" s="32">
        <f>(SUMPRODUCT(alpha*fck*(1-(1-((($AA24+$AB24*Mesh_Y+$AC24*Mesh_X))*(($AA24+$AB24*Mesh_Y+$AC24*Mesh_X)&gt;0)*(($AA24+$AB24*Mesh_Y+$AC24*Mesh_X)&lt;eco)+eco*(($AA24+$AB24*Mesh_Y+$AC24*Mesh_X)&gt;=eco))/eco)^n)*((($AA24+$AB24*Mesh_Y+$AC24*Mesh_X))&gt;0),Mesh_A,Mesh_Y)+SUMPRODUCT((Es*(($AA24+$AB24*Geometry!$E$42:$E$59+$AC24*Geometry!$D$42:$D$59))*(ABS(Es*(($AA24+$AB24*Geometry!$E$42:$E$59+$AC24*Geometry!$D$42:$D$59)))&lt;=fy)+fy*(Es*(($AA24+$AB24*Geometry!$E$42:$E$59+$AC24*Geometry!$D$42:$D$59))&gt;fy)-fy*(Es*(($AA24+$AB24*Geometry!$E$42:$E$59+$AC24*Geometry!$D$42:$D$59))&lt;-fy)-(alpha*fck*(1-(1-((($AA24+$AB24*Geometry!$E$42:$E$59+$AC24*Geometry!$D$42:$D$59))*(($AA24+$AB24*Geometry!$E$42:$E$59+$AC24*Geometry!$D$42:$D$59)&gt;0)*(($AA24+$AB24*Geometry!$E$42:$E$59+$AC24*Geometry!$D$42:$D$59)&lt;eco)+eco*(($AA24+$AB24*Geometry!$E$42:$E$59+$AC24*Geometry!$D$42:$D$59)&gt;=eco))/eco)^n)*((($AA24+$AB24*Geometry!$E$42:$E$59+$AC24*Geometry!$D$42:$D$59))&gt;0))),Geometry!$F$42:$F$59,Geometry!$E$42:$E$59))/1000000</f>
      </c>
      <c r="CL24" s="32">
        <f>(SUMPRODUCT(alpha*fck*(1-(1-((($AD24+$AE24*Mesh_Y+$AF24*Mesh_X))*(($AD24+$AE24*Mesh_Y+$AF24*Mesh_X)&gt;0)*(($AD24+$AE24*Mesh_Y+$AF24*Mesh_X)&lt;eco)+eco*(($AD24+$AE24*Mesh_Y+$AF24*Mesh_X)&gt;=eco))/eco)^n)*((($AD24+$AE24*Mesh_Y+$AF24*Mesh_X))&gt;0),Mesh_A,Mesh_Y)+SUMPRODUCT((Es*(($AD24+$AE24*Geometry!$E$42:$E$59+$AF24*Geometry!$D$42:$D$59))*(ABS(Es*(($AD24+$AE24*Geometry!$E$42:$E$59+$AF24*Geometry!$D$42:$D$59)))&lt;=fy)+fy*(Es*(($AD24+$AE24*Geometry!$E$42:$E$59+$AF24*Geometry!$D$42:$D$59))&gt;fy)-fy*(Es*(($AD24+$AE24*Geometry!$E$42:$E$59+$AF24*Geometry!$D$42:$D$59))&lt;-fy)-(alpha*fck*(1-(1-((($AD24+$AE24*Geometry!$E$42:$E$59+$AF24*Geometry!$D$42:$D$59))*(($AD24+$AE24*Geometry!$E$42:$E$59+$AF24*Geometry!$D$42:$D$59)&gt;0)*(($AD24+$AE24*Geometry!$E$42:$E$59+$AF24*Geometry!$D$42:$D$59)&lt;eco)+eco*(($AD24+$AE24*Geometry!$E$42:$E$59+$AF24*Geometry!$D$42:$D$59)&gt;=eco))/eco)^n)*((($AD24+$AE24*Geometry!$E$42:$E$59+$AF24*Geometry!$D$42:$D$59))&gt;0))),Geometry!$F$42:$F$59,Geometry!$E$42:$E$59))/1000000</f>
      </c>
      <c r="CM24" s="32">
        <f>(SUMPRODUCT(alpha*fck*(1-(1-((($AG24+$AH24*Mesh_Y+$AI24*Mesh_X))*(($AG24+$AH24*Mesh_Y+$AI24*Mesh_X)&gt;0)*(($AG24+$AH24*Mesh_Y+$AI24*Mesh_X)&lt;eco)+eco*(($AG24+$AH24*Mesh_Y+$AI24*Mesh_X)&gt;=eco))/eco)^n)*((($AG24+$AH24*Mesh_Y+$AI24*Mesh_X))&gt;0),Mesh_A,Mesh_Y)+SUMPRODUCT((Es*(($AG24+$AH24*Geometry!$E$42:$E$59+$AI24*Geometry!$D$42:$D$59))*(ABS(Es*(($AG24+$AH24*Geometry!$E$42:$E$59+$AI24*Geometry!$D$42:$D$59)))&lt;=fy)+fy*(Es*(($AG24+$AH24*Geometry!$E$42:$E$59+$AI24*Geometry!$D$42:$D$59))&gt;fy)-fy*(Es*(($AG24+$AH24*Geometry!$E$42:$E$59+$AI24*Geometry!$D$42:$D$59))&lt;-fy)-(alpha*fck*(1-(1-((($AG24+$AH24*Geometry!$E$42:$E$59+$AI24*Geometry!$D$42:$D$59))*(($AG24+$AH24*Geometry!$E$42:$E$59+$AI24*Geometry!$D$42:$D$59)&gt;0)*(($AG24+$AH24*Geometry!$E$42:$E$59+$AI24*Geometry!$D$42:$D$59)&lt;eco)+eco*(($AG24+$AH24*Geometry!$E$42:$E$59+$AI24*Geometry!$D$42:$D$59)&gt;=eco))/eco)^n)*((($AG24+$AH24*Geometry!$E$42:$E$59+$AI24*Geometry!$D$42:$D$59))&gt;0))),Geometry!$F$42:$F$59,Geometry!$E$42:$E$59))/1000000</f>
      </c>
      <c r="CN24" s="32">
        <f>(SUMPRODUCT(alpha*fck*(1-(1-((($AJ24+$AK24*Mesh_Y+$AL24*Mesh_X))*(($AJ24+$AK24*Mesh_Y+$AL24*Mesh_X)&gt;0)*(($AJ24+$AK24*Mesh_Y+$AL24*Mesh_X)&lt;eco)+eco*(($AJ24+$AK24*Mesh_Y+$AL24*Mesh_X)&gt;=eco))/eco)^n)*((($AJ24+$AK24*Mesh_Y+$AL24*Mesh_X))&gt;0),Mesh_A,Mesh_Y)+SUMPRODUCT((Es*(($AJ24+$AK24*Geometry!$E$42:$E$59+$AL24*Geometry!$D$42:$D$59))*(ABS(Es*(($AJ24+$AK24*Geometry!$E$42:$E$59+$AL24*Geometry!$D$42:$D$59)))&lt;=fy)+fy*(Es*(($AJ24+$AK24*Geometry!$E$42:$E$59+$AL24*Geometry!$D$42:$D$59))&gt;fy)-fy*(Es*(($AJ24+$AK24*Geometry!$E$42:$E$59+$AL24*Geometry!$D$42:$D$59))&lt;-fy)-(alpha*fck*(1-(1-((($AJ24+$AK24*Geometry!$E$42:$E$59+$AL24*Geometry!$D$42:$D$59))*(($AJ24+$AK24*Geometry!$E$42:$E$59+$AL24*Geometry!$D$42:$D$59)&gt;0)*(($AJ24+$AK24*Geometry!$E$42:$E$59+$AL24*Geometry!$D$42:$D$59)&lt;eco)+eco*(($AJ24+$AK24*Geometry!$E$42:$E$59+$AL24*Geometry!$D$42:$D$59)&gt;=eco))/eco)^n)*((($AJ24+$AK24*Geometry!$E$42:$E$59+$AL24*Geometry!$D$42:$D$59))&gt;0))),Geometry!$F$42:$F$59,Geometry!$E$42:$E$59))/1000000</f>
      </c>
      <c r="CO24" s="32">
        <f>(SUMPRODUCT(alpha*fck*(1-(1-((($AM24+$AN24*Mesh_Y+$AO24*Mesh_X))*(($AM24+$AN24*Mesh_Y+$AO24*Mesh_X)&gt;0)*(($AM24+$AN24*Mesh_Y+$AO24*Mesh_X)&lt;eco)+eco*(($AM24+$AN24*Mesh_Y+$AO24*Mesh_X)&gt;=eco))/eco)^n)*((($AM24+$AN24*Mesh_Y+$AO24*Mesh_X))&gt;0),Mesh_A,Mesh_Y)+SUMPRODUCT((Es*(($AM24+$AN24*Geometry!$E$42:$E$59+$AO24*Geometry!$D$42:$D$59))*(ABS(Es*(($AM24+$AN24*Geometry!$E$42:$E$59+$AO24*Geometry!$D$42:$D$59)))&lt;=fy)+fy*(Es*(($AM24+$AN24*Geometry!$E$42:$E$59+$AO24*Geometry!$D$42:$D$59))&gt;fy)-fy*(Es*(($AM24+$AN24*Geometry!$E$42:$E$59+$AO24*Geometry!$D$42:$D$59))&lt;-fy)-(alpha*fck*(1-(1-((($AM24+$AN24*Geometry!$E$42:$E$59+$AO24*Geometry!$D$42:$D$59))*(($AM24+$AN24*Geometry!$E$42:$E$59+$AO24*Geometry!$D$42:$D$59)&gt;0)*(($AM24+$AN24*Geometry!$E$42:$E$59+$AO24*Geometry!$D$42:$D$59)&lt;eco)+eco*(($AM24+$AN24*Geometry!$E$42:$E$59+$AO24*Geometry!$D$42:$D$59)&gt;=eco))/eco)^n)*((($AM24+$AN24*Geometry!$E$42:$E$59+$AO24*Geometry!$D$42:$D$59))&gt;0))),Geometry!$F$42:$F$59,Geometry!$E$42:$E$59))/1000000</f>
      </c>
      <c r="CP24" s="32">
        <f>(SUMPRODUCT(alpha*fck*(1-(1-((($AP24+$AQ24*Mesh_Y+$AR24*Mesh_X))*(($AP24+$AQ24*Mesh_Y+$AR24*Mesh_X)&gt;0)*(($AP24+$AQ24*Mesh_Y+$AR24*Mesh_X)&lt;eco)+eco*(($AP24+$AQ24*Mesh_Y+$AR24*Mesh_X)&gt;=eco))/eco)^n)*((($AP24+$AQ24*Mesh_Y+$AR24*Mesh_X))&gt;0),Mesh_A,Mesh_Y)+SUMPRODUCT((Es*(($AP24+$AQ24*Geometry!$E$42:$E$59+$AR24*Geometry!$D$42:$D$59))*(ABS(Es*(($AP24+$AQ24*Geometry!$E$42:$E$59+$AR24*Geometry!$D$42:$D$59)))&lt;=fy)+fy*(Es*(($AP24+$AQ24*Geometry!$E$42:$E$59+$AR24*Geometry!$D$42:$D$59))&gt;fy)-fy*(Es*(($AP24+$AQ24*Geometry!$E$42:$E$59+$AR24*Geometry!$D$42:$D$59))&lt;-fy)-(alpha*fck*(1-(1-((($AP24+$AQ24*Geometry!$E$42:$E$59+$AR24*Geometry!$D$42:$D$59))*(($AP24+$AQ24*Geometry!$E$42:$E$59+$AR24*Geometry!$D$42:$D$59)&gt;0)*(($AP24+$AQ24*Geometry!$E$42:$E$59+$AR24*Geometry!$D$42:$D$59)&lt;eco)+eco*(($AP24+$AQ24*Geometry!$E$42:$E$59+$AR24*Geometry!$D$42:$D$59)&gt;=eco))/eco)^n)*((($AP24+$AQ24*Geometry!$E$42:$E$59+$AR24*Geometry!$D$42:$D$59))&gt;0))),Geometry!$F$42:$F$59,Geometry!$E$42:$E$59))/1000000</f>
      </c>
      <c r="CQ24" s="32">
        <f>(SUMPRODUCT(alpha*fck*(1-(1-((($AS24+$AT24*Mesh_Y+$AU24*Mesh_X))*(($AS24+$AT24*Mesh_Y+$AU24*Mesh_X)&gt;0)*(($AS24+$AT24*Mesh_Y+$AU24*Mesh_X)&lt;eco)+eco*(($AS24+$AT24*Mesh_Y+$AU24*Mesh_X)&gt;=eco))/eco)^n)*((($AS24+$AT24*Mesh_Y+$AU24*Mesh_X))&gt;0),Mesh_A,Mesh_Y)+SUMPRODUCT((Es*(($AS24+$AT24*Geometry!$E$42:$E$59+$AU24*Geometry!$D$42:$D$59))*(ABS(Es*(($AS24+$AT24*Geometry!$E$42:$E$59+$AU24*Geometry!$D$42:$D$59)))&lt;=fy)+fy*(Es*(($AS24+$AT24*Geometry!$E$42:$E$59+$AU24*Geometry!$D$42:$D$59))&gt;fy)-fy*(Es*(($AS24+$AT24*Geometry!$E$42:$E$59+$AU24*Geometry!$D$42:$D$59))&lt;-fy)-(alpha*fck*(1-(1-((($AS24+$AT24*Geometry!$E$42:$E$59+$AU24*Geometry!$D$42:$D$59))*(($AS24+$AT24*Geometry!$E$42:$E$59+$AU24*Geometry!$D$42:$D$59)&gt;0)*(($AS24+$AT24*Geometry!$E$42:$E$59+$AU24*Geometry!$D$42:$D$59)&lt;eco)+eco*(($AS24+$AT24*Geometry!$E$42:$E$59+$AU24*Geometry!$D$42:$D$59)&gt;=eco))/eco)^n)*((($AS24+$AT24*Geometry!$E$42:$E$59+$AU24*Geometry!$D$42:$D$59))&gt;0))),Geometry!$F$42:$F$59,Geometry!$E$42:$E$59))/1000000</f>
      </c>
      <c r="CR24" s="32">
        <f>(SUMPRODUCT(alpha*fck*(1-(1-((($AV24+$AW24*Mesh_Y+$AX24*Mesh_X))*(($AV24+$AW24*Mesh_Y+$AX24*Mesh_X)&gt;0)*(($AV24+$AW24*Mesh_Y+$AX24*Mesh_X)&lt;eco)+eco*(($AV24+$AW24*Mesh_Y+$AX24*Mesh_X)&gt;=eco))/eco)^n)*((($AV24+$AW24*Mesh_Y+$AX24*Mesh_X))&gt;0),Mesh_A,Mesh_Y)+SUMPRODUCT((Es*(($AV24+$AW24*Geometry!$E$42:$E$59+$AX24*Geometry!$D$42:$D$59))*(ABS(Es*(($AV24+$AW24*Geometry!$E$42:$E$59+$AX24*Geometry!$D$42:$D$59)))&lt;=fy)+fy*(Es*(($AV24+$AW24*Geometry!$E$42:$E$59+$AX24*Geometry!$D$42:$D$59))&gt;fy)-fy*(Es*(($AV24+$AW24*Geometry!$E$42:$E$59+$AX24*Geometry!$D$42:$D$59))&lt;-fy)-(alpha*fck*(1-(1-((($AV24+$AW24*Geometry!$E$42:$E$59+$AX24*Geometry!$D$42:$D$59))*(($AV24+$AW24*Geometry!$E$42:$E$59+$AX24*Geometry!$D$42:$D$59)&gt;0)*(($AV24+$AW24*Geometry!$E$42:$E$59+$AX24*Geometry!$D$42:$D$59)&lt;eco)+eco*(($AV24+$AW24*Geometry!$E$42:$E$59+$AX24*Geometry!$D$42:$D$59)&gt;=eco))/eco)^n)*((($AV24+$AW24*Geometry!$E$42:$E$59+$AX24*Geometry!$D$42:$D$59))&gt;0))),Geometry!$F$42:$F$59,Geometry!$E$42:$E$59))/1000000</f>
      </c>
      <c r="CS24" s="32">
        <f>(SUMPRODUCT(alpha*fck*(1-(1-((($AY24+$AZ24*Mesh_Y+$BA24*Mesh_X))*(($AY24+$AZ24*Mesh_Y+$BA24*Mesh_X)&gt;0)*(($AY24+$AZ24*Mesh_Y+$BA24*Mesh_X)&lt;eco)+eco*(($AY24+$AZ24*Mesh_Y+$BA24*Mesh_X)&gt;=eco))/eco)^n)*((($AY24+$AZ24*Mesh_Y+$BA24*Mesh_X))&gt;0),Mesh_A,Mesh_Y)+SUMPRODUCT((Es*(($AY24+$AZ24*Geometry!$E$42:$E$59+$BA24*Geometry!$D$42:$D$59))*(ABS(Es*(($AY24+$AZ24*Geometry!$E$42:$E$59+$BA24*Geometry!$D$42:$D$59)))&lt;=fy)+fy*(Es*(($AY24+$AZ24*Geometry!$E$42:$E$59+$BA24*Geometry!$D$42:$D$59))&gt;fy)-fy*(Es*(($AY24+$AZ24*Geometry!$E$42:$E$59+$BA24*Geometry!$D$42:$D$59))&lt;-fy)-(alpha*fck*(1-(1-((($AY24+$AZ24*Geometry!$E$42:$E$59+$BA24*Geometry!$D$42:$D$59))*(($AY24+$AZ24*Geometry!$E$42:$E$59+$BA24*Geometry!$D$42:$D$59)&gt;0)*(($AY24+$AZ24*Geometry!$E$42:$E$59+$BA24*Geometry!$D$42:$D$59)&lt;eco)+eco*(($AY24+$AZ24*Geometry!$E$42:$E$59+$BA24*Geometry!$D$42:$D$59)&gt;=eco))/eco)^n)*((($AY24+$AZ24*Geometry!$E$42:$E$59+$BA24*Geometry!$D$42:$D$59))&gt;0))),Geometry!$F$42:$F$59,Geometry!$E$42:$E$59))/1000000</f>
      </c>
      <c r="CT24" s="32">
        <f>(SUMPRODUCT(alpha*fck*(1-(1-((($BB24+$BC24*Mesh_Y+$BD24*Mesh_X))*(($BB24+$BC24*Mesh_Y+$BD24*Mesh_X)&gt;0)*(($BB24+$BC24*Mesh_Y+$BD24*Mesh_X)&lt;eco)+eco*(($BB24+$BC24*Mesh_Y+$BD24*Mesh_X)&gt;=eco))/eco)^n)*((($BB24+$BC24*Mesh_Y+$BD24*Mesh_X))&gt;0),Mesh_A,Mesh_Y)+SUMPRODUCT((Es*(($BB24+$BC24*Geometry!$E$42:$E$59+$BD24*Geometry!$D$42:$D$59))*(ABS(Es*(($BB24+$BC24*Geometry!$E$42:$E$59+$BD24*Geometry!$D$42:$D$59)))&lt;=fy)+fy*(Es*(($BB24+$BC24*Geometry!$E$42:$E$59+$BD24*Geometry!$D$42:$D$59))&gt;fy)-fy*(Es*(($BB24+$BC24*Geometry!$E$42:$E$59+$BD24*Geometry!$D$42:$D$59))&lt;-fy)-(alpha*fck*(1-(1-((($BB24+$BC24*Geometry!$E$42:$E$59+$BD24*Geometry!$D$42:$D$59))*(($BB24+$BC24*Geometry!$E$42:$E$59+$BD24*Geometry!$D$42:$D$59)&gt;0)*(($BB24+$BC24*Geometry!$E$42:$E$59+$BD24*Geometry!$D$42:$D$59)&lt;eco)+eco*(($BB24+$BC24*Geometry!$E$42:$E$59+$BD24*Geometry!$D$42:$D$59)&gt;=eco))/eco)^n)*((($BB24+$BC24*Geometry!$E$42:$E$59+$BD24*Geometry!$D$42:$D$59))&gt;0))),Geometry!$F$42:$F$59,Geometry!$E$42:$E$59))/1000000</f>
      </c>
      <c r="CU24" s="32">
        <f>(SUMPRODUCT(alpha*fck*(1-(1-((($BE24+$BF24*Mesh_Y+$BG24*Mesh_X))*(($BE24+$BF24*Mesh_Y+$BG24*Mesh_X)&gt;0)*(($BE24+$BF24*Mesh_Y+$BG24*Mesh_X)&lt;eco)+eco*(($BE24+$BF24*Mesh_Y+$BG24*Mesh_X)&gt;=eco))/eco)^n)*((($BE24+$BF24*Mesh_Y+$BG24*Mesh_X))&gt;0),Mesh_A,Mesh_Y)+SUMPRODUCT((Es*(($BE24+$BF24*Geometry!$E$42:$E$59+$BG24*Geometry!$D$42:$D$59))*(ABS(Es*(($BE24+$BF24*Geometry!$E$42:$E$59+$BG24*Geometry!$D$42:$D$59)))&lt;=fy)+fy*(Es*(($BE24+$BF24*Geometry!$E$42:$E$59+$BG24*Geometry!$D$42:$D$59))&gt;fy)-fy*(Es*(($BE24+$BF24*Geometry!$E$42:$E$59+$BG24*Geometry!$D$42:$D$59))&lt;-fy)-(alpha*fck*(1-(1-((($BE24+$BF24*Geometry!$E$42:$E$59+$BG24*Geometry!$D$42:$D$59))*(($BE24+$BF24*Geometry!$E$42:$E$59+$BG24*Geometry!$D$42:$D$59)&gt;0)*(($BE24+$BF24*Geometry!$E$42:$E$59+$BG24*Geometry!$D$42:$D$59)&lt;eco)+eco*(($BE24+$BF24*Geometry!$E$42:$E$59+$BG24*Geometry!$D$42:$D$59)&gt;=eco))/eco)^n)*((($BE24+$BF24*Geometry!$E$42:$E$59+$BG24*Geometry!$D$42:$D$59))&gt;0))),Geometry!$F$42:$F$59,Geometry!$E$42:$E$59))/1000000</f>
      </c>
      <c r="CV24" s="32">
        <f>(SUMPRODUCT(alpha*fck*(1-(1-((($BH24+$BI24*Mesh_Y+$BJ24*Mesh_X))*(($BH24+$BI24*Mesh_Y+$BJ24*Mesh_X)&gt;0)*(($BH24+$BI24*Mesh_Y+$BJ24*Mesh_X)&lt;eco)+eco*(($BH24+$BI24*Mesh_Y+$BJ24*Mesh_X)&gt;=eco))/eco)^n)*((($BH24+$BI24*Mesh_Y+$BJ24*Mesh_X))&gt;0),Mesh_A,Mesh_Y)+SUMPRODUCT((Es*(($BH24+$BI24*Geometry!$E$42:$E$59+$BJ24*Geometry!$D$42:$D$59))*(ABS(Es*(($BH24+$BI24*Geometry!$E$42:$E$59+$BJ24*Geometry!$D$42:$D$59)))&lt;=fy)+fy*(Es*(($BH24+$BI24*Geometry!$E$42:$E$59+$BJ24*Geometry!$D$42:$D$59))&gt;fy)-fy*(Es*(($BH24+$BI24*Geometry!$E$42:$E$59+$BJ24*Geometry!$D$42:$D$59))&lt;-fy)-(alpha*fck*(1-(1-((($BH24+$BI24*Geometry!$E$42:$E$59+$BJ24*Geometry!$D$42:$D$59))*(($BH24+$BI24*Geometry!$E$42:$E$59+$BJ24*Geometry!$D$42:$D$59)&gt;0)*(($BH24+$BI24*Geometry!$E$42:$E$59+$BJ24*Geometry!$D$42:$D$59)&lt;eco)+eco*(($BH24+$BI24*Geometry!$E$42:$E$59+$BJ24*Geometry!$D$42:$D$59)&gt;=eco))/eco)^n)*((($BH24+$BI24*Geometry!$E$42:$E$59+$BJ24*Geometry!$D$42:$D$59))&gt;0))),Geometry!$F$42:$F$59,Geometry!$E$42:$E$59))/1000000</f>
      </c>
      <c r="CW24" s="32">
        <f>(SUMPRODUCT(alpha*fck*(1-(1-((($F24+$G24*Mesh_Y+$H24*Mesh_X))*(($F24+$G24*Mesh_Y+$H24*Mesh_X)&gt;0)*(($F24+$G24*Mesh_Y+$H24*Mesh_X)&lt;eco)+eco*(($F24+$G24*Mesh_Y+$H24*Mesh_X)&gt;=eco))/eco)^n)*((($F24+$G24*Mesh_Y+$H24*Mesh_X))&gt;0),Mesh_A,Mesh_X)+SUMPRODUCT((Es*(($F24+$G24*Geometry!$E$42:$E$59+$H24*Geometry!$D$42:$D$59))*(ABS(Es*(($F24+$G24*Geometry!$E$42:$E$59+$H24*Geometry!$D$42:$D$59)))&lt;=fy)+fy*(Es*(($F24+$G24*Geometry!$E$42:$E$59+$H24*Geometry!$D$42:$D$59))&gt;fy)-fy*(Es*(($F24+$G24*Geometry!$E$42:$E$59+$H24*Geometry!$D$42:$D$59))&lt;-fy)-(alpha*fck*(1-(1-((($F24+$G24*Geometry!$E$42:$E$59+$H24*Geometry!$D$42:$D$59))*(($F24+$G24*Geometry!$E$42:$E$59+$H24*Geometry!$D$42:$D$59)&gt;0)*(($F24+$G24*Geometry!$E$42:$E$59+$H24*Geometry!$D$42:$D$59)&lt;eco)+eco*(($F24+$G24*Geometry!$E$42:$E$59+$H24*Geometry!$D$42:$D$59)&gt;=eco))/eco)^n)*((($F24+$G24*Geometry!$E$42:$E$59+$H24*Geometry!$D$42:$D$59))&gt;0))),Geometry!$F$42:$F$59,Geometry!$D$42:$D$59))/1000000</f>
      </c>
      <c r="CX24" s="32">
        <f>(SUMPRODUCT(alpha*fck*(1-(1-((($I24+$J24*Mesh_Y+$K24*Mesh_X))*(($I24+$J24*Mesh_Y+$K24*Mesh_X)&gt;0)*(($I24+$J24*Mesh_Y+$K24*Mesh_X)&lt;eco)+eco*(($I24+$J24*Mesh_Y+$K24*Mesh_X)&gt;=eco))/eco)^n)*((($I24+$J24*Mesh_Y+$K24*Mesh_X))&gt;0),Mesh_A,Mesh_X)+SUMPRODUCT((Es*(($I24+$J24*Geometry!$E$42:$E$59+$K24*Geometry!$D$42:$D$59))*(ABS(Es*(($I24+$J24*Geometry!$E$42:$E$59+$K24*Geometry!$D$42:$D$59)))&lt;=fy)+fy*(Es*(($I24+$J24*Geometry!$E$42:$E$59+$K24*Geometry!$D$42:$D$59))&gt;fy)-fy*(Es*(($I24+$J24*Geometry!$E$42:$E$59+$K24*Geometry!$D$42:$D$59))&lt;-fy)-(alpha*fck*(1-(1-((($I24+$J24*Geometry!$E$42:$E$59+$K24*Geometry!$D$42:$D$59))*(($I24+$J24*Geometry!$E$42:$E$59+$K24*Geometry!$D$42:$D$59)&gt;0)*(($I24+$J24*Geometry!$E$42:$E$59+$K24*Geometry!$D$42:$D$59)&lt;eco)+eco*(($I24+$J24*Geometry!$E$42:$E$59+$K24*Geometry!$D$42:$D$59)&gt;=eco))/eco)^n)*((($I24+$J24*Geometry!$E$42:$E$59+$K24*Geometry!$D$42:$D$59))&gt;0))),Geometry!$F$42:$F$59,Geometry!$D$42:$D$59))/1000000</f>
      </c>
      <c r="CY24" s="32">
        <f>(SUMPRODUCT(alpha*fck*(1-(1-((($L24+$M24*Mesh_Y+$N24*Mesh_X))*(($L24+$M24*Mesh_Y+$N24*Mesh_X)&gt;0)*(($L24+$M24*Mesh_Y+$N24*Mesh_X)&lt;eco)+eco*(($L24+$M24*Mesh_Y+$N24*Mesh_X)&gt;=eco))/eco)^n)*((($L24+$M24*Mesh_Y+$N24*Mesh_X))&gt;0),Mesh_A,Mesh_X)+SUMPRODUCT((Es*(($L24+$M24*Geometry!$E$42:$E$59+$N24*Geometry!$D$42:$D$59))*(ABS(Es*(($L24+$M24*Geometry!$E$42:$E$59+$N24*Geometry!$D$42:$D$59)))&lt;=fy)+fy*(Es*(($L24+$M24*Geometry!$E$42:$E$59+$N24*Geometry!$D$42:$D$59))&gt;fy)-fy*(Es*(($L24+$M24*Geometry!$E$42:$E$59+$N24*Geometry!$D$42:$D$59))&lt;-fy)-(alpha*fck*(1-(1-((($L24+$M24*Geometry!$E$42:$E$59+$N24*Geometry!$D$42:$D$59))*(($L24+$M24*Geometry!$E$42:$E$59+$N24*Geometry!$D$42:$D$59)&gt;0)*(($L24+$M24*Geometry!$E$42:$E$59+$N24*Geometry!$D$42:$D$59)&lt;eco)+eco*(($L24+$M24*Geometry!$E$42:$E$59+$N24*Geometry!$D$42:$D$59)&gt;=eco))/eco)^n)*((($L24+$M24*Geometry!$E$42:$E$59+$N24*Geometry!$D$42:$D$59))&gt;0))),Geometry!$F$42:$F$59,Geometry!$D$42:$D$59))/1000000</f>
      </c>
      <c r="CZ24" s="32">
        <f>(SUMPRODUCT(alpha*fck*(1-(1-((($O24+$P24*Mesh_Y+$Q24*Mesh_X))*(($O24+$P24*Mesh_Y+$Q24*Mesh_X)&gt;0)*(($O24+$P24*Mesh_Y+$Q24*Mesh_X)&lt;eco)+eco*(($O24+$P24*Mesh_Y+$Q24*Mesh_X)&gt;=eco))/eco)^n)*((($O24+$P24*Mesh_Y+$Q24*Mesh_X))&gt;0),Mesh_A,Mesh_X)+SUMPRODUCT((Es*(($O24+$P24*Geometry!$E$42:$E$59+$Q24*Geometry!$D$42:$D$59))*(ABS(Es*(($O24+$P24*Geometry!$E$42:$E$59+$Q24*Geometry!$D$42:$D$59)))&lt;=fy)+fy*(Es*(($O24+$P24*Geometry!$E$42:$E$59+$Q24*Geometry!$D$42:$D$59))&gt;fy)-fy*(Es*(($O24+$P24*Geometry!$E$42:$E$59+$Q24*Geometry!$D$42:$D$59))&lt;-fy)-(alpha*fck*(1-(1-((($O24+$P24*Geometry!$E$42:$E$59+$Q24*Geometry!$D$42:$D$59))*(($O24+$P24*Geometry!$E$42:$E$59+$Q24*Geometry!$D$42:$D$59)&gt;0)*(($O24+$P24*Geometry!$E$42:$E$59+$Q24*Geometry!$D$42:$D$59)&lt;eco)+eco*(($O24+$P24*Geometry!$E$42:$E$59+$Q24*Geometry!$D$42:$D$59)&gt;=eco))/eco)^n)*((($O24+$P24*Geometry!$E$42:$E$59+$Q24*Geometry!$D$42:$D$59))&gt;0))),Geometry!$F$42:$F$59,Geometry!$D$42:$D$59))/1000000</f>
      </c>
      <c r="DA24" s="32">
        <f>(SUMPRODUCT(alpha*fck*(1-(1-((($R24+$S24*Mesh_Y+$T24*Mesh_X))*(($R24+$S24*Mesh_Y+$T24*Mesh_X)&gt;0)*(($R24+$S24*Mesh_Y+$T24*Mesh_X)&lt;eco)+eco*(($R24+$S24*Mesh_Y+$T24*Mesh_X)&gt;=eco))/eco)^n)*((($R24+$S24*Mesh_Y+$T24*Mesh_X))&gt;0),Mesh_A,Mesh_X)+SUMPRODUCT((Es*(($R24+$S24*Geometry!$E$42:$E$59+$T24*Geometry!$D$42:$D$59))*(ABS(Es*(($R24+$S24*Geometry!$E$42:$E$59+$T24*Geometry!$D$42:$D$59)))&lt;=fy)+fy*(Es*(($R24+$S24*Geometry!$E$42:$E$59+$T24*Geometry!$D$42:$D$59))&gt;fy)-fy*(Es*(($R24+$S24*Geometry!$E$42:$E$59+$T24*Geometry!$D$42:$D$59))&lt;-fy)-(alpha*fck*(1-(1-((($R24+$S24*Geometry!$E$42:$E$59+$T24*Geometry!$D$42:$D$59))*(($R24+$S24*Geometry!$E$42:$E$59+$T24*Geometry!$D$42:$D$59)&gt;0)*(($R24+$S24*Geometry!$E$42:$E$59+$T24*Geometry!$D$42:$D$59)&lt;eco)+eco*(($R24+$S24*Geometry!$E$42:$E$59+$T24*Geometry!$D$42:$D$59)&gt;=eco))/eco)^n)*((($R24+$S24*Geometry!$E$42:$E$59+$T24*Geometry!$D$42:$D$59))&gt;0))),Geometry!$F$42:$F$59,Geometry!$D$42:$D$59))/1000000</f>
      </c>
      <c r="DB24" s="32">
        <f>(SUMPRODUCT(alpha*fck*(1-(1-((($U24+$V24*Mesh_Y+$W24*Mesh_X))*(($U24+$V24*Mesh_Y+$W24*Mesh_X)&gt;0)*(($U24+$V24*Mesh_Y+$W24*Mesh_X)&lt;eco)+eco*(($U24+$V24*Mesh_Y+$W24*Mesh_X)&gt;=eco))/eco)^n)*((($U24+$V24*Mesh_Y+$W24*Mesh_X))&gt;0),Mesh_A,Mesh_X)+SUMPRODUCT((Es*(($U24+$V24*Geometry!$E$42:$E$59+$W24*Geometry!$D$42:$D$59))*(ABS(Es*(($U24+$V24*Geometry!$E$42:$E$59+$W24*Geometry!$D$42:$D$59)))&lt;=fy)+fy*(Es*(($U24+$V24*Geometry!$E$42:$E$59+$W24*Geometry!$D$42:$D$59))&gt;fy)-fy*(Es*(($U24+$V24*Geometry!$E$42:$E$59+$W24*Geometry!$D$42:$D$59))&lt;-fy)-(alpha*fck*(1-(1-((($U24+$V24*Geometry!$E$42:$E$59+$W24*Geometry!$D$42:$D$59))*(($U24+$V24*Geometry!$E$42:$E$59+$W24*Geometry!$D$42:$D$59)&gt;0)*(($U24+$V24*Geometry!$E$42:$E$59+$W24*Geometry!$D$42:$D$59)&lt;eco)+eco*(($U24+$V24*Geometry!$E$42:$E$59+$W24*Geometry!$D$42:$D$59)&gt;=eco))/eco)^n)*((($U24+$V24*Geometry!$E$42:$E$59+$W24*Geometry!$D$42:$D$59))&gt;0))),Geometry!$F$42:$F$59,Geometry!$D$42:$D$59))/1000000</f>
      </c>
      <c r="DC24" s="32">
        <f>(SUMPRODUCT(alpha*fck*(1-(1-((($X24+$Y24*Mesh_Y+$Z24*Mesh_X))*(($X24+$Y24*Mesh_Y+$Z24*Mesh_X)&gt;0)*(($X24+$Y24*Mesh_Y+$Z24*Mesh_X)&lt;eco)+eco*(($X24+$Y24*Mesh_Y+$Z24*Mesh_X)&gt;=eco))/eco)^n)*((($X24+$Y24*Mesh_Y+$Z24*Mesh_X))&gt;0),Mesh_A,Mesh_X)+SUMPRODUCT((Es*(($X24+$Y24*Geometry!$E$42:$E$59+$Z24*Geometry!$D$42:$D$59))*(ABS(Es*(($X24+$Y24*Geometry!$E$42:$E$59+$Z24*Geometry!$D$42:$D$59)))&lt;=fy)+fy*(Es*(($X24+$Y24*Geometry!$E$42:$E$59+$Z24*Geometry!$D$42:$D$59))&gt;fy)-fy*(Es*(($X24+$Y24*Geometry!$E$42:$E$59+$Z24*Geometry!$D$42:$D$59))&lt;-fy)-(alpha*fck*(1-(1-((($X24+$Y24*Geometry!$E$42:$E$59+$Z24*Geometry!$D$42:$D$59))*(($X24+$Y24*Geometry!$E$42:$E$59+$Z24*Geometry!$D$42:$D$59)&gt;0)*(($X24+$Y24*Geometry!$E$42:$E$59+$Z24*Geometry!$D$42:$D$59)&lt;eco)+eco*(($X24+$Y24*Geometry!$E$42:$E$59+$Z24*Geometry!$D$42:$D$59)&gt;=eco))/eco)^n)*((($X24+$Y24*Geometry!$E$42:$E$59+$Z24*Geometry!$D$42:$D$59))&gt;0))),Geometry!$F$42:$F$59,Geometry!$D$42:$D$59))/1000000</f>
      </c>
      <c r="DD24" s="32">
        <f>(SUMPRODUCT(alpha*fck*(1-(1-((($AA24+$AB24*Mesh_Y+$AC24*Mesh_X))*(($AA24+$AB24*Mesh_Y+$AC24*Mesh_X)&gt;0)*(($AA24+$AB24*Mesh_Y+$AC24*Mesh_X)&lt;eco)+eco*(($AA24+$AB24*Mesh_Y+$AC24*Mesh_X)&gt;=eco))/eco)^n)*((($AA24+$AB24*Mesh_Y+$AC24*Mesh_X))&gt;0),Mesh_A,Mesh_X)+SUMPRODUCT((Es*(($AA24+$AB24*Geometry!$E$42:$E$59+$AC24*Geometry!$D$42:$D$59))*(ABS(Es*(($AA24+$AB24*Geometry!$E$42:$E$59+$AC24*Geometry!$D$42:$D$59)))&lt;=fy)+fy*(Es*(($AA24+$AB24*Geometry!$E$42:$E$59+$AC24*Geometry!$D$42:$D$59))&gt;fy)-fy*(Es*(($AA24+$AB24*Geometry!$E$42:$E$59+$AC24*Geometry!$D$42:$D$59))&lt;-fy)-(alpha*fck*(1-(1-((($AA24+$AB24*Geometry!$E$42:$E$59+$AC24*Geometry!$D$42:$D$59))*(($AA24+$AB24*Geometry!$E$42:$E$59+$AC24*Geometry!$D$42:$D$59)&gt;0)*(($AA24+$AB24*Geometry!$E$42:$E$59+$AC24*Geometry!$D$42:$D$59)&lt;eco)+eco*(($AA24+$AB24*Geometry!$E$42:$E$59+$AC24*Geometry!$D$42:$D$59)&gt;=eco))/eco)^n)*((($AA24+$AB24*Geometry!$E$42:$E$59+$AC24*Geometry!$D$42:$D$59))&gt;0))),Geometry!$F$42:$F$59,Geometry!$D$42:$D$59))/1000000</f>
      </c>
      <c r="DE24" s="32">
        <f>(SUMPRODUCT(alpha*fck*(1-(1-((($AD24+$AE24*Mesh_Y+$AF24*Mesh_X))*(($AD24+$AE24*Mesh_Y+$AF24*Mesh_X)&gt;0)*(($AD24+$AE24*Mesh_Y+$AF24*Mesh_X)&lt;eco)+eco*(($AD24+$AE24*Mesh_Y+$AF24*Mesh_X)&gt;=eco))/eco)^n)*((($AD24+$AE24*Mesh_Y+$AF24*Mesh_X))&gt;0),Mesh_A,Mesh_X)+SUMPRODUCT((Es*(($AD24+$AE24*Geometry!$E$42:$E$59+$AF24*Geometry!$D$42:$D$59))*(ABS(Es*(($AD24+$AE24*Geometry!$E$42:$E$59+$AF24*Geometry!$D$42:$D$59)))&lt;=fy)+fy*(Es*(($AD24+$AE24*Geometry!$E$42:$E$59+$AF24*Geometry!$D$42:$D$59))&gt;fy)-fy*(Es*(($AD24+$AE24*Geometry!$E$42:$E$59+$AF24*Geometry!$D$42:$D$59))&lt;-fy)-(alpha*fck*(1-(1-((($AD24+$AE24*Geometry!$E$42:$E$59+$AF24*Geometry!$D$42:$D$59))*(($AD24+$AE24*Geometry!$E$42:$E$59+$AF24*Geometry!$D$42:$D$59)&gt;0)*(($AD24+$AE24*Geometry!$E$42:$E$59+$AF24*Geometry!$D$42:$D$59)&lt;eco)+eco*(($AD24+$AE24*Geometry!$E$42:$E$59+$AF24*Geometry!$D$42:$D$59)&gt;=eco))/eco)^n)*((($AD24+$AE24*Geometry!$E$42:$E$59+$AF24*Geometry!$D$42:$D$59))&gt;0))),Geometry!$F$42:$F$59,Geometry!$D$42:$D$59))/1000000</f>
      </c>
      <c r="DF24" s="32">
        <f>(SUMPRODUCT(alpha*fck*(1-(1-((($AG24+$AH24*Mesh_Y+$AI24*Mesh_X))*(($AG24+$AH24*Mesh_Y+$AI24*Mesh_X)&gt;0)*(($AG24+$AH24*Mesh_Y+$AI24*Mesh_X)&lt;eco)+eco*(($AG24+$AH24*Mesh_Y+$AI24*Mesh_X)&gt;=eco))/eco)^n)*((($AG24+$AH24*Mesh_Y+$AI24*Mesh_X))&gt;0),Mesh_A,Mesh_X)+SUMPRODUCT((Es*(($AG24+$AH24*Geometry!$E$42:$E$59+$AI24*Geometry!$D$42:$D$59))*(ABS(Es*(($AG24+$AH24*Geometry!$E$42:$E$59+$AI24*Geometry!$D$42:$D$59)))&lt;=fy)+fy*(Es*(($AG24+$AH24*Geometry!$E$42:$E$59+$AI24*Geometry!$D$42:$D$59))&gt;fy)-fy*(Es*(($AG24+$AH24*Geometry!$E$42:$E$59+$AI24*Geometry!$D$42:$D$59))&lt;-fy)-(alpha*fck*(1-(1-((($AG24+$AH24*Geometry!$E$42:$E$59+$AI24*Geometry!$D$42:$D$59))*(($AG24+$AH24*Geometry!$E$42:$E$59+$AI24*Geometry!$D$42:$D$59)&gt;0)*(($AG24+$AH24*Geometry!$E$42:$E$59+$AI24*Geometry!$D$42:$D$59)&lt;eco)+eco*(($AG24+$AH24*Geometry!$E$42:$E$59+$AI24*Geometry!$D$42:$D$59)&gt;=eco))/eco)^n)*((($AG24+$AH24*Geometry!$E$42:$E$59+$AI24*Geometry!$D$42:$D$59))&gt;0))),Geometry!$F$42:$F$59,Geometry!$D$42:$D$59))/1000000</f>
      </c>
      <c r="DG24" s="32">
        <f>(SUMPRODUCT(alpha*fck*(1-(1-((($AJ24+$AK24*Mesh_Y+$AL24*Mesh_X))*(($AJ24+$AK24*Mesh_Y+$AL24*Mesh_X)&gt;0)*(($AJ24+$AK24*Mesh_Y+$AL24*Mesh_X)&lt;eco)+eco*(($AJ24+$AK24*Mesh_Y+$AL24*Mesh_X)&gt;=eco))/eco)^n)*((($AJ24+$AK24*Mesh_Y+$AL24*Mesh_X))&gt;0),Mesh_A,Mesh_X)+SUMPRODUCT((Es*(($AJ24+$AK24*Geometry!$E$42:$E$59+$AL24*Geometry!$D$42:$D$59))*(ABS(Es*(($AJ24+$AK24*Geometry!$E$42:$E$59+$AL24*Geometry!$D$42:$D$59)))&lt;=fy)+fy*(Es*(($AJ24+$AK24*Geometry!$E$42:$E$59+$AL24*Geometry!$D$42:$D$59))&gt;fy)-fy*(Es*(($AJ24+$AK24*Geometry!$E$42:$E$59+$AL24*Geometry!$D$42:$D$59))&lt;-fy)-(alpha*fck*(1-(1-((($AJ24+$AK24*Geometry!$E$42:$E$59+$AL24*Geometry!$D$42:$D$59))*(($AJ24+$AK24*Geometry!$E$42:$E$59+$AL24*Geometry!$D$42:$D$59)&gt;0)*(($AJ24+$AK24*Geometry!$E$42:$E$59+$AL24*Geometry!$D$42:$D$59)&lt;eco)+eco*(($AJ24+$AK24*Geometry!$E$42:$E$59+$AL24*Geometry!$D$42:$D$59)&gt;=eco))/eco)^n)*((($AJ24+$AK24*Geometry!$E$42:$E$59+$AL24*Geometry!$D$42:$D$59))&gt;0))),Geometry!$F$42:$F$59,Geometry!$D$42:$D$59))/1000000</f>
      </c>
      <c r="DH24" s="32">
        <f>(SUMPRODUCT(alpha*fck*(1-(1-((($AM24+$AN24*Mesh_Y+$AO24*Mesh_X))*(($AM24+$AN24*Mesh_Y+$AO24*Mesh_X)&gt;0)*(($AM24+$AN24*Mesh_Y+$AO24*Mesh_X)&lt;eco)+eco*(($AM24+$AN24*Mesh_Y+$AO24*Mesh_X)&gt;=eco))/eco)^n)*((($AM24+$AN24*Mesh_Y+$AO24*Mesh_X))&gt;0),Mesh_A,Mesh_X)+SUMPRODUCT((Es*(($AM24+$AN24*Geometry!$E$42:$E$59+$AO24*Geometry!$D$42:$D$59))*(ABS(Es*(($AM24+$AN24*Geometry!$E$42:$E$59+$AO24*Geometry!$D$42:$D$59)))&lt;=fy)+fy*(Es*(($AM24+$AN24*Geometry!$E$42:$E$59+$AO24*Geometry!$D$42:$D$59))&gt;fy)-fy*(Es*(($AM24+$AN24*Geometry!$E$42:$E$59+$AO24*Geometry!$D$42:$D$59))&lt;-fy)-(alpha*fck*(1-(1-((($AM24+$AN24*Geometry!$E$42:$E$59+$AO24*Geometry!$D$42:$D$59))*(($AM24+$AN24*Geometry!$E$42:$E$59+$AO24*Geometry!$D$42:$D$59)&gt;0)*(($AM24+$AN24*Geometry!$E$42:$E$59+$AO24*Geometry!$D$42:$D$59)&lt;eco)+eco*(($AM24+$AN24*Geometry!$E$42:$E$59+$AO24*Geometry!$D$42:$D$59)&gt;=eco))/eco)^n)*((($AM24+$AN24*Geometry!$E$42:$E$59+$AO24*Geometry!$D$42:$D$59))&gt;0))),Geometry!$F$42:$F$59,Geometry!$D$42:$D$59))/1000000</f>
      </c>
      <c r="DI24" s="32">
        <f>(SUMPRODUCT(alpha*fck*(1-(1-((($AP24+$AQ24*Mesh_Y+$AR24*Mesh_X))*(($AP24+$AQ24*Mesh_Y+$AR24*Mesh_X)&gt;0)*(($AP24+$AQ24*Mesh_Y+$AR24*Mesh_X)&lt;eco)+eco*(($AP24+$AQ24*Mesh_Y+$AR24*Mesh_X)&gt;=eco))/eco)^n)*((($AP24+$AQ24*Mesh_Y+$AR24*Mesh_X))&gt;0),Mesh_A,Mesh_X)+SUMPRODUCT((Es*(($AP24+$AQ24*Geometry!$E$42:$E$59+$AR24*Geometry!$D$42:$D$59))*(ABS(Es*(($AP24+$AQ24*Geometry!$E$42:$E$59+$AR24*Geometry!$D$42:$D$59)))&lt;=fy)+fy*(Es*(($AP24+$AQ24*Geometry!$E$42:$E$59+$AR24*Geometry!$D$42:$D$59))&gt;fy)-fy*(Es*(($AP24+$AQ24*Geometry!$E$42:$E$59+$AR24*Geometry!$D$42:$D$59))&lt;-fy)-(alpha*fck*(1-(1-((($AP24+$AQ24*Geometry!$E$42:$E$59+$AR24*Geometry!$D$42:$D$59))*(($AP24+$AQ24*Geometry!$E$42:$E$59+$AR24*Geometry!$D$42:$D$59)&gt;0)*(($AP24+$AQ24*Geometry!$E$42:$E$59+$AR24*Geometry!$D$42:$D$59)&lt;eco)+eco*(($AP24+$AQ24*Geometry!$E$42:$E$59+$AR24*Geometry!$D$42:$D$59)&gt;=eco))/eco)^n)*((($AP24+$AQ24*Geometry!$E$42:$E$59+$AR24*Geometry!$D$42:$D$59))&gt;0))),Geometry!$F$42:$F$59,Geometry!$D$42:$D$59))/1000000</f>
      </c>
      <c r="DJ24" s="32">
        <f>(SUMPRODUCT(alpha*fck*(1-(1-((($AS24+$AT24*Mesh_Y+$AU24*Mesh_X))*(($AS24+$AT24*Mesh_Y+$AU24*Mesh_X)&gt;0)*(($AS24+$AT24*Mesh_Y+$AU24*Mesh_X)&lt;eco)+eco*(($AS24+$AT24*Mesh_Y+$AU24*Mesh_X)&gt;=eco))/eco)^n)*((($AS24+$AT24*Mesh_Y+$AU24*Mesh_X))&gt;0),Mesh_A,Mesh_X)+SUMPRODUCT((Es*(($AS24+$AT24*Geometry!$E$42:$E$59+$AU24*Geometry!$D$42:$D$59))*(ABS(Es*(($AS24+$AT24*Geometry!$E$42:$E$59+$AU24*Geometry!$D$42:$D$59)))&lt;=fy)+fy*(Es*(($AS24+$AT24*Geometry!$E$42:$E$59+$AU24*Geometry!$D$42:$D$59))&gt;fy)-fy*(Es*(($AS24+$AT24*Geometry!$E$42:$E$59+$AU24*Geometry!$D$42:$D$59))&lt;-fy)-(alpha*fck*(1-(1-((($AS24+$AT24*Geometry!$E$42:$E$59+$AU24*Geometry!$D$42:$D$59))*(($AS24+$AT24*Geometry!$E$42:$E$59+$AU24*Geometry!$D$42:$D$59)&gt;0)*(($AS24+$AT24*Geometry!$E$42:$E$59+$AU24*Geometry!$D$42:$D$59)&lt;eco)+eco*(($AS24+$AT24*Geometry!$E$42:$E$59+$AU24*Geometry!$D$42:$D$59)&gt;=eco))/eco)^n)*((($AS24+$AT24*Geometry!$E$42:$E$59+$AU24*Geometry!$D$42:$D$59))&gt;0))),Geometry!$F$42:$F$59,Geometry!$D$42:$D$59))/1000000</f>
      </c>
      <c r="DK24" s="32">
        <f>(SUMPRODUCT(alpha*fck*(1-(1-((($AV24+$AW24*Mesh_Y+$AX24*Mesh_X))*(($AV24+$AW24*Mesh_Y+$AX24*Mesh_X)&gt;0)*(($AV24+$AW24*Mesh_Y+$AX24*Mesh_X)&lt;eco)+eco*(($AV24+$AW24*Mesh_Y+$AX24*Mesh_X)&gt;=eco))/eco)^n)*((($AV24+$AW24*Mesh_Y+$AX24*Mesh_X))&gt;0),Mesh_A,Mesh_X)+SUMPRODUCT((Es*(($AV24+$AW24*Geometry!$E$42:$E$59+$AX24*Geometry!$D$42:$D$59))*(ABS(Es*(($AV24+$AW24*Geometry!$E$42:$E$59+$AX24*Geometry!$D$42:$D$59)))&lt;=fy)+fy*(Es*(($AV24+$AW24*Geometry!$E$42:$E$59+$AX24*Geometry!$D$42:$D$59))&gt;fy)-fy*(Es*(($AV24+$AW24*Geometry!$E$42:$E$59+$AX24*Geometry!$D$42:$D$59))&lt;-fy)-(alpha*fck*(1-(1-((($AV24+$AW24*Geometry!$E$42:$E$59+$AX24*Geometry!$D$42:$D$59))*(($AV24+$AW24*Geometry!$E$42:$E$59+$AX24*Geometry!$D$42:$D$59)&gt;0)*(($AV24+$AW24*Geometry!$E$42:$E$59+$AX24*Geometry!$D$42:$D$59)&lt;eco)+eco*(($AV24+$AW24*Geometry!$E$42:$E$59+$AX24*Geometry!$D$42:$D$59)&gt;=eco))/eco)^n)*((($AV24+$AW24*Geometry!$E$42:$E$59+$AX24*Geometry!$D$42:$D$59))&gt;0))),Geometry!$F$42:$F$59,Geometry!$D$42:$D$59))/1000000</f>
      </c>
      <c r="DL24" s="32">
        <f>(SUMPRODUCT(alpha*fck*(1-(1-((($AY24+$AZ24*Mesh_Y+$BA24*Mesh_X))*(($AY24+$AZ24*Mesh_Y+$BA24*Mesh_X)&gt;0)*(($AY24+$AZ24*Mesh_Y+$BA24*Mesh_X)&lt;eco)+eco*(($AY24+$AZ24*Mesh_Y+$BA24*Mesh_X)&gt;=eco))/eco)^n)*((($AY24+$AZ24*Mesh_Y+$BA24*Mesh_X))&gt;0),Mesh_A,Mesh_X)+SUMPRODUCT((Es*(($AY24+$AZ24*Geometry!$E$42:$E$59+$BA24*Geometry!$D$42:$D$59))*(ABS(Es*(($AY24+$AZ24*Geometry!$E$42:$E$59+$BA24*Geometry!$D$42:$D$59)))&lt;=fy)+fy*(Es*(($AY24+$AZ24*Geometry!$E$42:$E$59+$BA24*Geometry!$D$42:$D$59))&gt;fy)-fy*(Es*(($AY24+$AZ24*Geometry!$E$42:$E$59+$BA24*Geometry!$D$42:$D$59))&lt;-fy)-(alpha*fck*(1-(1-((($AY24+$AZ24*Geometry!$E$42:$E$59+$BA24*Geometry!$D$42:$D$59))*(($AY24+$AZ24*Geometry!$E$42:$E$59+$BA24*Geometry!$D$42:$D$59)&gt;0)*(($AY24+$AZ24*Geometry!$E$42:$E$59+$BA24*Geometry!$D$42:$D$59)&lt;eco)+eco*(($AY24+$AZ24*Geometry!$E$42:$E$59+$BA24*Geometry!$D$42:$D$59)&gt;=eco))/eco)^n)*((($AY24+$AZ24*Geometry!$E$42:$E$59+$BA24*Geometry!$D$42:$D$59))&gt;0))),Geometry!$F$42:$F$59,Geometry!$D$42:$D$59))/1000000</f>
      </c>
      <c r="DM24" s="32">
        <f>(SUMPRODUCT(alpha*fck*(1-(1-((($BB24+$BC24*Mesh_Y+$BD24*Mesh_X))*(($BB24+$BC24*Mesh_Y+$BD24*Mesh_X)&gt;0)*(($BB24+$BC24*Mesh_Y+$BD24*Mesh_X)&lt;eco)+eco*(($BB24+$BC24*Mesh_Y+$BD24*Mesh_X)&gt;=eco))/eco)^n)*((($BB24+$BC24*Mesh_Y+$BD24*Mesh_X))&gt;0),Mesh_A,Mesh_X)+SUMPRODUCT((Es*(($BB24+$BC24*Geometry!$E$42:$E$59+$BD24*Geometry!$D$42:$D$59))*(ABS(Es*(($BB24+$BC24*Geometry!$E$42:$E$59+$BD24*Geometry!$D$42:$D$59)))&lt;=fy)+fy*(Es*(($BB24+$BC24*Geometry!$E$42:$E$59+$BD24*Geometry!$D$42:$D$59))&gt;fy)-fy*(Es*(($BB24+$BC24*Geometry!$E$42:$E$59+$BD24*Geometry!$D$42:$D$59))&lt;-fy)-(alpha*fck*(1-(1-((($BB24+$BC24*Geometry!$E$42:$E$59+$BD24*Geometry!$D$42:$D$59))*(($BB24+$BC24*Geometry!$E$42:$E$59+$BD24*Geometry!$D$42:$D$59)&gt;0)*(($BB24+$BC24*Geometry!$E$42:$E$59+$BD24*Geometry!$D$42:$D$59)&lt;eco)+eco*(($BB24+$BC24*Geometry!$E$42:$E$59+$BD24*Geometry!$D$42:$D$59)&gt;=eco))/eco)^n)*((($BB24+$BC24*Geometry!$E$42:$E$59+$BD24*Geometry!$D$42:$D$59))&gt;0))),Geometry!$F$42:$F$59,Geometry!$D$42:$D$59))/1000000</f>
      </c>
      <c r="DN24" s="32">
        <f>(SUMPRODUCT(alpha*fck*(1-(1-((($BE24+$BF24*Mesh_Y+$BG24*Mesh_X))*(($BE24+$BF24*Mesh_Y+$BG24*Mesh_X)&gt;0)*(($BE24+$BF24*Mesh_Y+$BG24*Mesh_X)&lt;eco)+eco*(($BE24+$BF24*Mesh_Y+$BG24*Mesh_X)&gt;=eco))/eco)^n)*((($BE24+$BF24*Mesh_Y+$BG24*Mesh_X))&gt;0),Mesh_A,Mesh_X)+SUMPRODUCT((Es*(($BE24+$BF24*Geometry!$E$42:$E$59+$BG24*Geometry!$D$42:$D$59))*(ABS(Es*(($BE24+$BF24*Geometry!$E$42:$E$59+$BG24*Geometry!$D$42:$D$59)))&lt;=fy)+fy*(Es*(($BE24+$BF24*Geometry!$E$42:$E$59+$BG24*Geometry!$D$42:$D$59))&gt;fy)-fy*(Es*(($BE24+$BF24*Geometry!$E$42:$E$59+$BG24*Geometry!$D$42:$D$59))&lt;-fy)-(alpha*fck*(1-(1-((($BE24+$BF24*Geometry!$E$42:$E$59+$BG24*Geometry!$D$42:$D$59))*(($BE24+$BF24*Geometry!$E$42:$E$59+$BG24*Geometry!$D$42:$D$59)&gt;0)*(($BE24+$BF24*Geometry!$E$42:$E$59+$BG24*Geometry!$D$42:$D$59)&lt;eco)+eco*(($BE24+$BF24*Geometry!$E$42:$E$59+$BG24*Geometry!$D$42:$D$59)&gt;=eco))/eco)^n)*((($BE24+$BF24*Geometry!$E$42:$E$59+$BG24*Geometry!$D$42:$D$59))&gt;0))),Geometry!$F$42:$F$59,Geometry!$D$42:$D$59))/1000000</f>
      </c>
      <c r="DO24" s="32">
        <f>(SUMPRODUCT(alpha*fck*(1-(1-((($BH24+$BI24*Mesh_Y+$BJ24*Mesh_X))*(($BH24+$BI24*Mesh_Y+$BJ24*Mesh_X)&gt;0)*(($BH24+$BI24*Mesh_Y+$BJ24*Mesh_X)&lt;eco)+eco*(($BH24+$BI24*Mesh_Y+$BJ24*Mesh_X)&gt;=eco))/eco)^n)*((($BH24+$BI24*Mesh_Y+$BJ24*Mesh_X))&gt;0),Mesh_A,Mesh_X)+SUMPRODUCT((Es*(($BH24+$BI24*Geometry!$E$42:$E$59+$BJ24*Geometry!$D$42:$D$59))*(ABS(Es*(($BH24+$BI24*Geometry!$E$42:$E$59+$BJ24*Geometry!$D$42:$D$59)))&lt;=fy)+fy*(Es*(($BH24+$BI24*Geometry!$E$42:$E$59+$BJ24*Geometry!$D$42:$D$59))&gt;fy)-fy*(Es*(($BH24+$BI24*Geometry!$E$42:$E$59+$BJ24*Geometry!$D$42:$D$59))&lt;-fy)-(alpha*fck*(1-(1-((($BH24+$BI24*Geometry!$E$42:$E$59+$BJ24*Geometry!$D$42:$D$59))*(($BH24+$BI24*Geometry!$E$42:$E$59+$BJ24*Geometry!$D$42:$D$59)&gt;0)*(($BH24+$BI24*Geometry!$E$42:$E$59+$BJ24*Geometry!$D$42:$D$59)&lt;eco)+eco*(($BH24+$BI24*Geometry!$E$42:$E$59+$BJ24*Geometry!$D$42:$D$59)&gt;=eco))/eco)^n)*((($BH24+$BI24*Geometry!$E$42:$E$59+$BJ24*Geometry!$D$42:$D$59))&gt;0))),Geometry!$F$42:$F$59,Geometry!$D$42:$D$59))/1000000</f>
      </c>
      <c r="DP24" s="45">
        <f>MAX(1,MIN(18,SUMPRODUCT(--($BK24:$CC24&gt;=Pu))))</f>
      </c>
      <c r="DQ24" s="46">
        <f>(Pu-INDEX($BK24:$CC24,1,$DP24))/(INDEX($BK24:$CC24,1,$DP24+1)-INDEX($BK24:$CC24,1,$DP24))</f>
      </c>
      <c r="DR24" s="33">
        <f>INDEX($CD24:$CV24,1,$DP24)+$DQ24*(INDEX($CD24:$CV24,1,$DP24+1)-INDEX($CD24:$CV24,1,$DP24))</f>
      </c>
      <c r="DS24" s="33">
        <f>INDEX($CW24:$DO24,1,$DP24)+$DQ24*(INDEX($CW24:$DO24,1,$DP24+1)-INDEX($CW24:$DO24,1,$DP24))</f>
      </c>
      <c r="DT24" s="33">
        <f>SQRT(DR24^2+DS24^2)</f>
      </c>
    </row>
    <row r="25" spans="1:124" x14ac:dyDescent="0.25">
      <c r="A25">
        <v>18</v>
      </c>
      <c r="B25" s="43">
        <v>255</v>
      </c>
      <c r="C25" s="12">
        <f>MAX(SUMPRODUCT(MAX((Geometry!$E$6:$E$13)*COS(RADIANS($B25))+(Geometry!$D$6:$D$13)*SIN(RADIANS($B25)))))</f>
      </c>
      <c r="D25" s="12">
        <f>SUMPRODUCT(MIN((Geometry!$E$42:$E$59)*COS(RADIANS($B25))+(Geometry!$D$42:$D$59)*SIN(RADIANS($B25))))</f>
      </c>
      <c r="E25" s="12">
        <f>C25-D25</f>
      </c>
      <c r="F25" s="30">
        <f>ecu</f>
      </c>
      <c r="G25" s="44">
        <f>0*COS(RADIANS($B25))</f>
      </c>
      <c r="H25" s="44">
        <f>0*SIN(RADIANS($B25))</f>
      </c>
      <c r="I25" s="30">
        <f>ecu-((ecu-0)/($C25-($C25-PM_Angle!$C$8*$E25)))*$C25</f>
      </c>
      <c r="J25" s="44">
        <f>((ecu-0)/($C25-($C25-PM_Angle!$C$8*$E25)))*COS(RADIANS($B25))</f>
      </c>
      <c r="K25" s="44">
        <f>((ecu-0)/($C25-($C25-PM_Angle!$C$8*$E25)))*SIN(RADIANS($B25))</f>
      </c>
      <c r="L25" s="30">
        <f>ecu-((ecu-0)/($C25-($C25-PM_Angle!$C$9*$E25)))*$C25</f>
      </c>
      <c r="M25" s="44">
        <f>((ecu-0)/($C25-($C25-PM_Angle!$C$9*$E25)))*COS(RADIANS($B25))</f>
      </c>
      <c r="N25" s="44">
        <f>((ecu-0)/($C25-($C25-PM_Angle!$C$9*$E25)))*SIN(RADIANS($B25))</f>
      </c>
      <c r="O25" s="30">
        <f>ecu-((ecu-0)/($C25-($C25-PM_Angle!$C$10*$E25)))*$C25</f>
      </c>
      <c r="P25" s="44">
        <f>((ecu-0)/($C25-($C25-PM_Angle!$C$10*$E25)))*COS(RADIANS($B25))</f>
      </c>
      <c r="Q25" s="44">
        <f>((ecu-0)/($C25-($C25-PM_Angle!$C$10*$E25)))*SIN(RADIANS($B25))</f>
      </c>
      <c r="R25" s="30">
        <f>ecu-((ecu-0)/($C25-($C25-PM_Angle!$C$11*$E25)))*$C25</f>
      </c>
      <c r="S25" s="44">
        <f>((ecu-0)/($C25-($C25-PM_Angle!$C$11*$E25)))*COS(RADIANS($B25))</f>
      </c>
      <c r="T25" s="44">
        <f>((ecu-0)/($C25-($C25-PM_Angle!$C$11*$E25)))*SIN(RADIANS($B25))</f>
      </c>
      <c r="U25" s="30">
        <f>ecu-((ecu-(-PM_Angle!$E$12))/($C25-$D25))*$C25</f>
      </c>
      <c r="V25" s="44">
        <f>((ecu-(-PM_Angle!$E$12))/($C25-$D25))*COS(RADIANS($B25))</f>
      </c>
      <c r="W25" s="44">
        <f>((ecu-(-PM_Angle!$E$12))/($C25-$D25))*SIN(RADIANS($B25))</f>
      </c>
      <c r="X25" s="30">
        <f>ecu-((ecu-(-PM_Angle!$D$13*fy/Es))/($C25-$D25))*$C25</f>
      </c>
      <c r="Y25" s="44">
        <f>((ecu-(-PM_Angle!$D$13*fy/Es))/($C25-$D25))*COS(RADIANS($B25))</f>
      </c>
      <c r="Z25" s="44">
        <f>((ecu-(-PM_Angle!$D$13*fy/Es))/($C25-$D25))*SIN(RADIANS($B25))</f>
      </c>
      <c r="AA25" s="30">
        <f>ecu-((ecu-(-PM_Angle!$D$14*fy/Es))/($C25-$D25))*$C25</f>
      </c>
      <c r="AB25" s="44">
        <f>((ecu-(-PM_Angle!$D$14*fy/Es))/($C25-$D25))*COS(RADIANS($B25))</f>
      </c>
      <c r="AC25" s="44">
        <f>((ecu-(-PM_Angle!$D$14*fy/Es))/($C25-$D25))*SIN(RADIANS($B25))</f>
      </c>
      <c r="AD25" s="30">
        <f>ecu-((ecu-(-PM_Angle!$D$15*fy/Es))/($C25-$D25))*$C25</f>
      </c>
      <c r="AE25" s="44">
        <f>((ecu-(-PM_Angle!$D$15*fy/Es))/($C25-$D25))*COS(RADIANS($B25))</f>
      </c>
      <c r="AF25" s="44">
        <f>((ecu-(-PM_Angle!$D$15*fy/Es))/($C25-$D25))*SIN(RADIANS($B25))</f>
      </c>
      <c r="AG25" s="30">
        <f>ecu-((ecu-(-PM_Angle!$D$16*fy/Es))/($C25-$D25))*$C25</f>
      </c>
      <c r="AH25" s="44">
        <f>((ecu-(-PM_Angle!$D$16*fy/Es))/($C25-$D25))*COS(RADIANS($B25))</f>
      </c>
      <c r="AI25" s="44">
        <f>((ecu-(-PM_Angle!$D$16*fy/Es))/($C25-$D25))*SIN(RADIANS($B25))</f>
      </c>
      <c r="AJ25" s="30">
        <f>ecu-((ecu-(-PM_Angle!$E$17))/($C25-$D25))*$C25</f>
      </c>
      <c r="AK25" s="44">
        <f>((ecu-(-PM_Angle!$E$17))/($C25-$D25))*COS(RADIANS($B25))</f>
      </c>
      <c r="AL25" s="44">
        <f>((ecu-(-PM_Angle!$E$17))/($C25-$D25))*SIN(RADIANS($B25))</f>
      </c>
      <c r="AM25" s="30">
        <f>ecu-((ecu-(-PM_Angle!$E$18))/($C25-$D25))*$C25</f>
      </c>
      <c r="AN25" s="44">
        <f>((ecu-(-PM_Angle!$E$18))/($C25-$D25))*COS(RADIANS($B25))</f>
      </c>
      <c r="AO25" s="44">
        <f>((ecu-(-PM_Angle!$E$18))/($C25-$D25))*SIN(RADIANS($B25))</f>
      </c>
      <c r="AP25" s="30">
        <f>ecu-((ecu-(-PM_Angle!$E$19))/($C25-$D25))*$C25</f>
      </c>
      <c r="AQ25" s="44">
        <f>((ecu-(-PM_Angle!$E$19))/($C25-$D25))*COS(RADIANS($B25))</f>
      </c>
      <c r="AR25" s="44">
        <f>((ecu-(-PM_Angle!$E$19))/($C25-$D25))*SIN(RADIANS($B25))</f>
      </c>
      <c r="AS25" s="30">
        <f>ecu-((ecu-(-PM_Angle!$E$20))/($C25-$D25))*$C25</f>
      </c>
      <c r="AT25" s="44">
        <f>((ecu-(-PM_Angle!$E$20))/($C25-$D25))*COS(RADIANS($B25))</f>
      </c>
      <c r="AU25" s="44">
        <f>((ecu-(-PM_Angle!$E$20))/($C25-$D25))*SIN(RADIANS($B25))</f>
      </c>
      <c r="AV25" s="30">
        <f>ecu-((ecu-(-PM_Angle!$E$21))/($C25-$D25))*$C25</f>
      </c>
      <c r="AW25" s="44">
        <f>((ecu-(-PM_Angle!$E$21))/($C25-$D25))*COS(RADIANS($B25))</f>
      </c>
      <c r="AX25" s="44">
        <f>((ecu-(-PM_Angle!$E$21))/($C25-$D25))*SIN(RADIANS($B25))</f>
      </c>
      <c r="AY25" s="30">
        <f>ecu-((ecu-(-PM_Angle!$E$22))/($C25-$D25))*$C25</f>
      </c>
      <c r="AZ25" s="44">
        <f>((ecu-(-PM_Angle!$E$22))/($C25-$D25))*COS(RADIANS($B25))</f>
      </c>
      <c r="BA25" s="44">
        <f>((ecu-(-PM_Angle!$E$22))/($C25-$D25))*SIN(RADIANS($B25))</f>
      </c>
      <c r="BB25" s="30">
        <f>ecu-((ecu-(-PM_Angle!$E$23))/($C25-$D25))*$C25</f>
      </c>
      <c r="BC25" s="44">
        <f>((ecu-(-PM_Angle!$E$23))/($C25-$D25))*COS(RADIANS($B25))</f>
      </c>
      <c r="BD25" s="44">
        <f>((ecu-(-PM_Angle!$E$23))/($C25-$D25))*SIN(RADIANS($B25))</f>
      </c>
      <c r="BE25" s="30">
        <f>ecu-((ecu-(-PM_Angle!$E$24))/($C25-$D25))*$C25</f>
      </c>
      <c r="BF25" s="44">
        <f>((ecu-(-PM_Angle!$E$24))/($C25-$D25))*COS(RADIANS($B25))</f>
      </c>
      <c r="BG25" s="44">
        <f>((ecu-(-PM_Angle!$E$24))/($C25-$D25))*SIN(RADIANS($B25))</f>
      </c>
      <c r="BH25" s="30">
        <f>etu</f>
      </c>
      <c r="BI25" s="44">
        <f>0*COS(RADIANS($B25))</f>
      </c>
      <c r="BJ25" s="44">
        <f>0*SIN(RADIANS($B25))</f>
      </c>
      <c r="BK25" s="32">
        <f>(SUMPRODUCT(alpha*fck*(1-(1-((($F25+$G25*Mesh_Y+$H25*Mesh_X))*(($F25+$G25*Mesh_Y+$H25*Mesh_X)&gt;0)*(($F25+$G25*Mesh_Y+$H25*Mesh_X)&lt;eco)+eco*(($F25+$G25*Mesh_Y+$H25*Mesh_X)&gt;=eco))/eco)^n)*((($F25+$G25*Mesh_Y+$H25*Mesh_X))&gt;0),Mesh_A)+SUMPRODUCT((Es*(($F25+$G25*Geometry!$E$42:$E$59+$H25*Geometry!$D$42:$D$59))*(ABS(Es*(($F25+$G25*Geometry!$E$42:$E$59+$H25*Geometry!$D$42:$D$59)))&lt;=fy)+fy*(Es*(($F25+$G25*Geometry!$E$42:$E$59+$H25*Geometry!$D$42:$D$59))&gt;fy)-fy*(Es*(($F25+$G25*Geometry!$E$42:$E$59+$H25*Geometry!$D$42:$D$59))&lt;-fy)-(alpha*fck*(1-(1-((($F25+$G25*Geometry!$E$42:$E$59+$H25*Geometry!$D$42:$D$59))*(($F25+$G25*Geometry!$E$42:$E$59+$H25*Geometry!$D$42:$D$59)&gt;0)*(($F25+$G25*Geometry!$E$42:$E$59+$H25*Geometry!$D$42:$D$59)&lt;eco)+eco*(($F25+$G25*Geometry!$E$42:$E$59+$H25*Geometry!$D$42:$D$59)&gt;=eco))/eco)^n)*((($F25+$G25*Geometry!$E$42:$E$59+$H25*Geometry!$D$42:$D$59))&gt;0))),Geometry!$F$42:$F$59))/1000</f>
      </c>
      <c r="BL25" s="32">
        <f>(SUMPRODUCT(alpha*fck*(1-(1-((($I25+$J25*Mesh_Y+$K25*Mesh_X))*(($I25+$J25*Mesh_Y+$K25*Mesh_X)&gt;0)*(($I25+$J25*Mesh_Y+$K25*Mesh_X)&lt;eco)+eco*(($I25+$J25*Mesh_Y+$K25*Mesh_X)&gt;=eco))/eco)^n)*((($I25+$J25*Mesh_Y+$K25*Mesh_X))&gt;0),Mesh_A)+SUMPRODUCT((Es*(($I25+$J25*Geometry!$E$42:$E$59+$K25*Geometry!$D$42:$D$59))*(ABS(Es*(($I25+$J25*Geometry!$E$42:$E$59+$K25*Geometry!$D$42:$D$59)))&lt;=fy)+fy*(Es*(($I25+$J25*Geometry!$E$42:$E$59+$K25*Geometry!$D$42:$D$59))&gt;fy)-fy*(Es*(($I25+$J25*Geometry!$E$42:$E$59+$K25*Geometry!$D$42:$D$59))&lt;-fy)-(alpha*fck*(1-(1-((($I25+$J25*Geometry!$E$42:$E$59+$K25*Geometry!$D$42:$D$59))*(($I25+$J25*Geometry!$E$42:$E$59+$K25*Geometry!$D$42:$D$59)&gt;0)*(($I25+$J25*Geometry!$E$42:$E$59+$K25*Geometry!$D$42:$D$59)&lt;eco)+eco*(($I25+$J25*Geometry!$E$42:$E$59+$K25*Geometry!$D$42:$D$59)&gt;=eco))/eco)^n)*((($I25+$J25*Geometry!$E$42:$E$59+$K25*Geometry!$D$42:$D$59))&gt;0))),Geometry!$F$42:$F$59))/1000</f>
      </c>
      <c r="BM25" s="32">
        <f>(SUMPRODUCT(alpha*fck*(1-(1-((($L25+$M25*Mesh_Y+$N25*Mesh_X))*(($L25+$M25*Mesh_Y+$N25*Mesh_X)&gt;0)*(($L25+$M25*Mesh_Y+$N25*Mesh_X)&lt;eco)+eco*(($L25+$M25*Mesh_Y+$N25*Mesh_X)&gt;=eco))/eco)^n)*((($L25+$M25*Mesh_Y+$N25*Mesh_X))&gt;0),Mesh_A)+SUMPRODUCT((Es*(($L25+$M25*Geometry!$E$42:$E$59+$N25*Geometry!$D$42:$D$59))*(ABS(Es*(($L25+$M25*Geometry!$E$42:$E$59+$N25*Geometry!$D$42:$D$59)))&lt;=fy)+fy*(Es*(($L25+$M25*Geometry!$E$42:$E$59+$N25*Geometry!$D$42:$D$59))&gt;fy)-fy*(Es*(($L25+$M25*Geometry!$E$42:$E$59+$N25*Geometry!$D$42:$D$59))&lt;-fy)-(alpha*fck*(1-(1-((($L25+$M25*Geometry!$E$42:$E$59+$N25*Geometry!$D$42:$D$59))*(($L25+$M25*Geometry!$E$42:$E$59+$N25*Geometry!$D$42:$D$59)&gt;0)*(($L25+$M25*Geometry!$E$42:$E$59+$N25*Geometry!$D$42:$D$59)&lt;eco)+eco*(($L25+$M25*Geometry!$E$42:$E$59+$N25*Geometry!$D$42:$D$59)&gt;=eco))/eco)^n)*((($L25+$M25*Geometry!$E$42:$E$59+$N25*Geometry!$D$42:$D$59))&gt;0))),Geometry!$F$42:$F$59))/1000</f>
      </c>
      <c r="BN25" s="32">
        <f>(SUMPRODUCT(alpha*fck*(1-(1-((($O25+$P25*Mesh_Y+$Q25*Mesh_X))*(($O25+$P25*Mesh_Y+$Q25*Mesh_X)&gt;0)*(($O25+$P25*Mesh_Y+$Q25*Mesh_X)&lt;eco)+eco*(($O25+$P25*Mesh_Y+$Q25*Mesh_X)&gt;=eco))/eco)^n)*((($O25+$P25*Mesh_Y+$Q25*Mesh_X))&gt;0),Mesh_A)+SUMPRODUCT((Es*(($O25+$P25*Geometry!$E$42:$E$59+$Q25*Geometry!$D$42:$D$59))*(ABS(Es*(($O25+$P25*Geometry!$E$42:$E$59+$Q25*Geometry!$D$42:$D$59)))&lt;=fy)+fy*(Es*(($O25+$P25*Geometry!$E$42:$E$59+$Q25*Geometry!$D$42:$D$59))&gt;fy)-fy*(Es*(($O25+$P25*Geometry!$E$42:$E$59+$Q25*Geometry!$D$42:$D$59))&lt;-fy)-(alpha*fck*(1-(1-((($O25+$P25*Geometry!$E$42:$E$59+$Q25*Geometry!$D$42:$D$59))*(($O25+$P25*Geometry!$E$42:$E$59+$Q25*Geometry!$D$42:$D$59)&gt;0)*(($O25+$P25*Geometry!$E$42:$E$59+$Q25*Geometry!$D$42:$D$59)&lt;eco)+eco*(($O25+$P25*Geometry!$E$42:$E$59+$Q25*Geometry!$D$42:$D$59)&gt;=eco))/eco)^n)*((($O25+$P25*Geometry!$E$42:$E$59+$Q25*Geometry!$D$42:$D$59))&gt;0))),Geometry!$F$42:$F$59))/1000</f>
      </c>
      <c r="BO25" s="32">
        <f>(SUMPRODUCT(alpha*fck*(1-(1-((($R25+$S25*Mesh_Y+$T25*Mesh_X))*(($R25+$S25*Mesh_Y+$T25*Mesh_X)&gt;0)*(($R25+$S25*Mesh_Y+$T25*Mesh_X)&lt;eco)+eco*(($R25+$S25*Mesh_Y+$T25*Mesh_X)&gt;=eco))/eco)^n)*((($R25+$S25*Mesh_Y+$T25*Mesh_X))&gt;0),Mesh_A)+SUMPRODUCT((Es*(($R25+$S25*Geometry!$E$42:$E$59+$T25*Geometry!$D$42:$D$59))*(ABS(Es*(($R25+$S25*Geometry!$E$42:$E$59+$T25*Geometry!$D$42:$D$59)))&lt;=fy)+fy*(Es*(($R25+$S25*Geometry!$E$42:$E$59+$T25*Geometry!$D$42:$D$59))&gt;fy)-fy*(Es*(($R25+$S25*Geometry!$E$42:$E$59+$T25*Geometry!$D$42:$D$59))&lt;-fy)-(alpha*fck*(1-(1-((($R25+$S25*Geometry!$E$42:$E$59+$T25*Geometry!$D$42:$D$59))*(($R25+$S25*Geometry!$E$42:$E$59+$T25*Geometry!$D$42:$D$59)&gt;0)*(($R25+$S25*Geometry!$E$42:$E$59+$T25*Geometry!$D$42:$D$59)&lt;eco)+eco*(($R25+$S25*Geometry!$E$42:$E$59+$T25*Geometry!$D$42:$D$59)&gt;=eco))/eco)^n)*((($R25+$S25*Geometry!$E$42:$E$59+$T25*Geometry!$D$42:$D$59))&gt;0))),Geometry!$F$42:$F$59))/1000</f>
      </c>
      <c r="BP25" s="32">
        <f>(SUMPRODUCT(alpha*fck*(1-(1-((($U25+$V25*Mesh_Y+$W25*Mesh_X))*(($U25+$V25*Mesh_Y+$W25*Mesh_X)&gt;0)*(($U25+$V25*Mesh_Y+$W25*Mesh_X)&lt;eco)+eco*(($U25+$V25*Mesh_Y+$W25*Mesh_X)&gt;=eco))/eco)^n)*((($U25+$V25*Mesh_Y+$W25*Mesh_X))&gt;0),Mesh_A)+SUMPRODUCT((Es*(($U25+$V25*Geometry!$E$42:$E$59+$W25*Geometry!$D$42:$D$59))*(ABS(Es*(($U25+$V25*Geometry!$E$42:$E$59+$W25*Geometry!$D$42:$D$59)))&lt;=fy)+fy*(Es*(($U25+$V25*Geometry!$E$42:$E$59+$W25*Geometry!$D$42:$D$59))&gt;fy)-fy*(Es*(($U25+$V25*Geometry!$E$42:$E$59+$W25*Geometry!$D$42:$D$59))&lt;-fy)-(alpha*fck*(1-(1-((($U25+$V25*Geometry!$E$42:$E$59+$W25*Geometry!$D$42:$D$59))*(($U25+$V25*Geometry!$E$42:$E$59+$W25*Geometry!$D$42:$D$59)&gt;0)*(($U25+$V25*Geometry!$E$42:$E$59+$W25*Geometry!$D$42:$D$59)&lt;eco)+eco*(($U25+$V25*Geometry!$E$42:$E$59+$W25*Geometry!$D$42:$D$59)&gt;=eco))/eco)^n)*((($U25+$V25*Geometry!$E$42:$E$59+$W25*Geometry!$D$42:$D$59))&gt;0))),Geometry!$F$42:$F$59))/1000</f>
      </c>
      <c r="BQ25" s="32">
        <f>(SUMPRODUCT(alpha*fck*(1-(1-((($X25+$Y25*Mesh_Y+$Z25*Mesh_X))*(($X25+$Y25*Mesh_Y+$Z25*Mesh_X)&gt;0)*(($X25+$Y25*Mesh_Y+$Z25*Mesh_X)&lt;eco)+eco*(($X25+$Y25*Mesh_Y+$Z25*Mesh_X)&gt;=eco))/eco)^n)*((($X25+$Y25*Mesh_Y+$Z25*Mesh_X))&gt;0),Mesh_A)+SUMPRODUCT((Es*(($X25+$Y25*Geometry!$E$42:$E$59+$Z25*Geometry!$D$42:$D$59))*(ABS(Es*(($X25+$Y25*Geometry!$E$42:$E$59+$Z25*Geometry!$D$42:$D$59)))&lt;=fy)+fy*(Es*(($X25+$Y25*Geometry!$E$42:$E$59+$Z25*Geometry!$D$42:$D$59))&gt;fy)-fy*(Es*(($X25+$Y25*Geometry!$E$42:$E$59+$Z25*Geometry!$D$42:$D$59))&lt;-fy)-(alpha*fck*(1-(1-((($X25+$Y25*Geometry!$E$42:$E$59+$Z25*Geometry!$D$42:$D$59))*(($X25+$Y25*Geometry!$E$42:$E$59+$Z25*Geometry!$D$42:$D$59)&gt;0)*(($X25+$Y25*Geometry!$E$42:$E$59+$Z25*Geometry!$D$42:$D$59)&lt;eco)+eco*(($X25+$Y25*Geometry!$E$42:$E$59+$Z25*Geometry!$D$42:$D$59)&gt;=eco))/eco)^n)*((($X25+$Y25*Geometry!$E$42:$E$59+$Z25*Geometry!$D$42:$D$59))&gt;0))),Geometry!$F$42:$F$59))/1000</f>
      </c>
      <c r="BR25" s="32">
        <f>(SUMPRODUCT(alpha*fck*(1-(1-((($AA25+$AB25*Mesh_Y+$AC25*Mesh_X))*(($AA25+$AB25*Mesh_Y+$AC25*Mesh_X)&gt;0)*(($AA25+$AB25*Mesh_Y+$AC25*Mesh_X)&lt;eco)+eco*(($AA25+$AB25*Mesh_Y+$AC25*Mesh_X)&gt;=eco))/eco)^n)*((($AA25+$AB25*Mesh_Y+$AC25*Mesh_X))&gt;0),Mesh_A)+SUMPRODUCT((Es*(($AA25+$AB25*Geometry!$E$42:$E$59+$AC25*Geometry!$D$42:$D$59))*(ABS(Es*(($AA25+$AB25*Geometry!$E$42:$E$59+$AC25*Geometry!$D$42:$D$59)))&lt;=fy)+fy*(Es*(($AA25+$AB25*Geometry!$E$42:$E$59+$AC25*Geometry!$D$42:$D$59))&gt;fy)-fy*(Es*(($AA25+$AB25*Geometry!$E$42:$E$59+$AC25*Geometry!$D$42:$D$59))&lt;-fy)-(alpha*fck*(1-(1-((($AA25+$AB25*Geometry!$E$42:$E$59+$AC25*Geometry!$D$42:$D$59))*(($AA25+$AB25*Geometry!$E$42:$E$59+$AC25*Geometry!$D$42:$D$59)&gt;0)*(($AA25+$AB25*Geometry!$E$42:$E$59+$AC25*Geometry!$D$42:$D$59)&lt;eco)+eco*(($AA25+$AB25*Geometry!$E$42:$E$59+$AC25*Geometry!$D$42:$D$59)&gt;=eco))/eco)^n)*((($AA25+$AB25*Geometry!$E$42:$E$59+$AC25*Geometry!$D$42:$D$59))&gt;0))),Geometry!$F$42:$F$59))/1000</f>
      </c>
      <c r="BS25" s="32">
        <f>(SUMPRODUCT(alpha*fck*(1-(1-((($AD25+$AE25*Mesh_Y+$AF25*Mesh_X))*(($AD25+$AE25*Mesh_Y+$AF25*Mesh_X)&gt;0)*(($AD25+$AE25*Mesh_Y+$AF25*Mesh_X)&lt;eco)+eco*(($AD25+$AE25*Mesh_Y+$AF25*Mesh_X)&gt;=eco))/eco)^n)*((($AD25+$AE25*Mesh_Y+$AF25*Mesh_X))&gt;0),Mesh_A)+SUMPRODUCT((Es*(($AD25+$AE25*Geometry!$E$42:$E$59+$AF25*Geometry!$D$42:$D$59))*(ABS(Es*(($AD25+$AE25*Geometry!$E$42:$E$59+$AF25*Geometry!$D$42:$D$59)))&lt;=fy)+fy*(Es*(($AD25+$AE25*Geometry!$E$42:$E$59+$AF25*Geometry!$D$42:$D$59))&gt;fy)-fy*(Es*(($AD25+$AE25*Geometry!$E$42:$E$59+$AF25*Geometry!$D$42:$D$59))&lt;-fy)-(alpha*fck*(1-(1-((($AD25+$AE25*Geometry!$E$42:$E$59+$AF25*Geometry!$D$42:$D$59))*(($AD25+$AE25*Geometry!$E$42:$E$59+$AF25*Geometry!$D$42:$D$59)&gt;0)*(($AD25+$AE25*Geometry!$E$42:$E$59+$AF25*Geometry!$D$42:$D$59)&lt;eco)+eco*(($AD25+$AE25*Geometry!$E$42:$E$59+$AF25*Geometry!$D$42:$D$59)&gt;=eco))/eco)^n)*((($AD25+$AE25*Geometry!$E$42:$E$59+$AF25*Geometry!$D$42:$D$59))&gt;0))),Geometry!$F$42:$F$59))/1000</f>
      </c>
      <c r="BT25" s="32">
        <f>(SUMPRODUCT(alpha*fck*(1-(1-((($AG25+$AH25*Mesh_Y+$AI25*Mesh_X))*(($AG25+$AH25*Mesh_Y+$AI25*Mesh_X)&gt;0)*(($AG25+$AH25*Mesh_Y+$AI25*Mesh_X)&lt;eco)+eco*(($AG25+$AH25*Mesh_Y+$AI25*Mesh_X)&gt;=eco))/eco)^n)*((($AG25+$AH25*Mesh_Y+$AI25*Mesh_X))&gt;0),Mesh_A)+SUMPRODUCT((Es*(($AG25+$AH25*Geometry!$E$42:$E$59+$AI25*Geometry!$D$42:$D$59))*(ABS(Es*(($AG25+$AH25*Geometry!$E$42:$E$59+$AI25*Geometry!$D$42:$D$59)))&lt;=fy)+fy*(Es*(($AG25+$AH25*Geometry!$E$42:$E$59+$AI25*Geometry!$D$42:$D$59))&gt;fy)-fy*(Es*(($AG25+$AH25*Geometry!$E$42:$E$59+$AI25*Geometry!$D$42:$D$59))&lt;-fy)-(alpha*fck*(1-(1-((($AG25+$AH25*Geometry!$E$42:$E$59+$AI25*Geometry!$D$42:$D$59))*(($AG25+$AH25*Geometry!$E$42:$E$59+$AI25*Geometry!$D$42:$D$59)&gt;0)*(($AG25+$AH25*Geometry!$E$42:$E$59+$AI25*Geometry!$D$42:$D$59)&lt;eco)+eco*(($AG25+$AH25*Geometry!$E$42:$E$59+$AI25*Geometry!$D$42:$D$59)&gt;=eco))/eco)^n)*((($AG25+$AH25*Geometry!$E$42:$E$59+$AI25*Geometry!$D$42:$D$59))&gt;0))),Geometry!$F$42:$F$59))/1000</f>
      </c>
      <c r="BU25" s="32">
        <f>(SUMPRODUCT(alpha*fck*(1-(1-((($AJ25+$AK25*Mesh_Y+$AL25*Mesh_X))*(($AJ25+$AK25*Mesh_Y+$AL25*Mesh_X)&gt;0)*(($AJ25+$AK25*Mesh_Y+$AL25*Mesh_X)&lt;eco)+eco*(($AJ25+$AK25*Mesh_Y+$AL25*Mesh_X)&gt;=eco))/eco)^n)*((($AJ25+$AK25*Mesh_Y+$AL25*Mesh_X))&gt;0),Mesh_A)+SUMPRODUCT((Es*(($AJ25+$AK25*Geometry!$E$42:$E$59+$AL25*Geometry!$D$42:$D$59))*(ABS(Es*(($AJ25+$AK25*Geometry!$E$42:$E$59+$AL25*Geometry!$D$42:$D$59)))&lt;=fy)+fy*(Es*(($AJ25+$AK25*Geometry!$E$42:$E$59+$AL25*Geometry!$D$42:$D$59))&gt;fy)-fy*(Es*(($AJ25+$AK25*Geometry!$E$42:$E$59+$AL25*Geometry!$D$42:$D$59))&lt;-fy)-(alpha*fck*(1-(1-((($AJ25+$AK25*Geometry!$E$42:$E$59+$AL25*Geometry!$D$42:$D$59))*(($AJ25+$AK25*Geometry!$E$42:$E$59+$AL25*Geometry!$D$42:$D$59)&gt;0)*(($AJ25+$AK25*Geometry!$E$42:$E$59+$AL25*Geometry!$D$42:$D$59)&lt;eco)+eco*(($AJ25+$AK25*Geometry!$E$42:$E$59+$AL25*Geometry!$D$42:$D$59)&gt;=eco))/eco)^n)*((($AJ25+$AK25*Geometry!$E$42:$E$59+$AL25*Geometry!$D$42:$D$59))&gt;0))),Geometry!$F$42:$F$59))/1000</f>
      </c>
      <c r="BV25" s="32">
        <f>(SUMPRODUCT(alpha*fck*(1-(1-((($AM25+$AN25*Mesh_Y+$AO25*Mesh_X))*(($AM25+$AN25*Mesh_Y+$AO25*Mesh_X)&gt;0)*(($AM25+$AN25*Mesh_Y+$AO25*Mesh_X)&lt;eco)+eco*(($AM25+$AN25*Mesh_Y+$AO25*Mesh_X)&gt;=eco))/eco)^n)*((($AM25+$AN25*Mesh_Y+$AO25*Mesh_X))&gt;0),Mesh_A)+SUMPRODUCT((Es*(($AM25+$AN25*Geometry!$E$42:$E$59+$AO25*Geometry!$D$42:$D$59))*(ABS(Es*(($AM25+$AN25*Geometry!$E$42:$E$59+$AO25*Geometry!$D$42:$D$59)))&lt;=fy)+fy*(Es*(($AM25+$AN25*Geometry!$E$42:$E$59+$AO25*Geometry!$D$42:$D$59))&gt;fy)-fy*(Es*(($AM25+$AN25*Geometry!$E$42:$E$59+$AO25*Geometry!$D$42:$D$59))&lt;-fy)-(alpha*fck*(1-(1-((($AM25+$AN25*Geometry!$E$42:$E$59+$AO25*Geometry!$D$42:$D$59))*(($AM25+$AN25*Geometry!$E$42:$E$59+$AO25*Geometry!$D$42:$D$59)&gt;0)*(($AM25+$AN25*Geometry!$E$42:$E$59+$AO25*Geometry!$D$42:$D$59)&lt;eco)+eco*(($AM25+$AN25*Geometry!$E$42:$E$59+$AO25*Geometry!$D$42:$D$59)&gt;=eco))/eco)^n)*((($AM25+$AN25*Geometry!$E$42:$E$59+$AO25*Geometry!$D$42:$D$59))&gt;0))),Geometry!$F$42:$F$59))/1000</f>
      </c>
      <c r="BW25" s="32">
        <f>(SUMPRODUCT(alpha*fck*(1-(1-((($AP25+$AQ25*Mesh_Y+$AR25*Mesh_X))*(($AP25+$AQ25*Mesh_Y+$AR25*Mesh_X)&gt;0)*(($AP25+$AQ25*Mesh_Y+$AR25*Mesh_X)&lt;eco)+eco*(($AP25+$AQ25*Mesh_Y+$AR25*Mesh_X)&gt;=eco))/eco)^n)*((($AP25+$AQ25*Mesh_Y+$AR25*Mesh_X))&gt;0),Mesh_A)+SUMPRODUCT((Es*(($AP25+$AQ25*Geometry!$E$42:$E$59+$AR25*Geometry!$D$42:$D$59))*(ABS(Es*(($AP25+$AQ25*Geometry!$E$42:$E$59+$AR25*Geometry!$D$42:$D$59)))&lt;=fy)+fy*(Es*(($AP25+$AQ25*Geometry!$E$42:$E$59+$AR25*Geometry!$D$42:$D$59))&gt;fy)-fy*(Es*(($AP25+$AQ25*Geometry!$E$42:$E$59+$AR25*Geometry!$D$42:$D$59))&lt;-fy)-(alpha*fck*(1-(1-((($AP25+$AQ25*Geometry!$E$42:$E$59+$AR25*Geometry!$D$42:$D$59))*(($AP25+$AQ25*Geometry!$E$42:$E$59+$AR25*Geometry!$D$42:$D$59)&gt;0)*(($AP25+$AQ25*Geometry!$E$42:$E$59+$AR25*Geometry!$D$42:$D$59)&lt;eco)+eco*(($AP25+$AQ25*Geometry!$E$42:$E$59+$AR25*Geometry!$D$42:$D$59)&gt;=eco))/eco)^n)*((($AP25+$AQ25*Geometry!$E$42:$E$59+$AR25*Geometry!$D$42:$D$59))&gt;0))),Geometry!$F$42:$F$59))/1000</f>
      </c>
      <c r="BX25" s="32">
        <f>(SUMPRODUCT(alpha*fck*(1-(1-((($AS25+$AT25*Mesh_Y+$AU25*Mesh_X))*(($AS25+$AT25*Mesh_Y+$AU25*Mesh_X)&gt;0)*(($AS25+$AT25*Mesh_Y+$AU25*Mesh_X)&lt;eco)+eco*(($AS25+$AT25*Mesh_Y+$AU25*Mesh_X)&gt;=eco))/eco)^n)*((($AS25+$AT25*Mesh_Y+$AU25*Mesh_X))&gt;0),Mesh_A)+SUMPRODUCT((Es*(($AS25+$AT25*Geometry!$E$42:$E$59+$AU25*Geometry!$D$42:$D$59))*(ABS(Es*(($AS25+$AT25*Geometry!$E$42:$E$59+$AU25*Geometry!$D$42:$D$59)))&lt;=fy)+fy*(Es*(($AS25+$AT25*Geometry!$E$42:$E$59+$AU25*Geometry!$D$42:$D$59))&gt;fy)-fy*(Es*(($AS25+$AT25*Geometry!$E$42:$E$59+$AU25*Geometry!$D$42:$D$59))&lt;-fy)-(alpha*fck*(1-(1-((($AS25+$AT25*Geometry!$E$42:$E$59+$AU25*Geometry!$D$42:$D$59))*(($AS25+$AT25*Geometry!$E$42:$E$59+$AU25*Geometry!$D$42:$D$59)&gt;0)*(($AS25+$AT25*Geometry!$E$42:$E$59+$AU25*Geometry!$D$42:$D$59)&lt;eco)+eco*(($AS25+$AT25*Geometry!$E$42:$E$59+$AU25*Geometry!$D$42:$D$59)&gt;=eco))/eco)^n)*((($AS25+$AT25*Geometry!$E$42:$E$59+$AU25*Geometry!$D$42:$D$59))&gt;0))),Geometry!$F$42:$F$59))/1000</f>
      </c>
      <c r="BY25" s="32">
        <f>(SUMPRODUCT(alpha*fck*(1-(1-((($AV25+$AW25*Mesh_Y+$AX25*Mesh_X))*(($AV25+$AW25*Mesh_Y+$AX25*Mesh_X)&gt;0)*(($AV25+$AW25*Mesh_Y+$AX25*Mesh_X)&lt;eco)+eco*(($AV25+$AW25*Mesh_Y+$AX25*Mesh_X)&gt;=eco))/eco)^n)*((($AV25+$AW25*Mesh_Y+$AX25*Mesh_X))&gt;0),Mesh_A)+SUMPRODUCT((Es*(($AV25+$AW25*Geometry!$E$42:$E$59+$AX25*Geometry!$D$42:$D$59))*(ABS(Es*(($AV25+$AW25*Geometry!$E$42:$E$59+$AX25*Geometry!$D$42:$D$59)))&lt;=fy)+fy*(Es*(($AV25+$AW25*Geometry!$E$42:$E$59+$AX25*Geometry!$D$42:$D$59))&gt;fy)-fy*(Es*(($AV25+$AW25*Geometry!$E$42:$E$59+$AX25*Geometry!$D$42:$D$59))&lt;-fy)-(alpha*fck*(1-(1-((($AV25+$AW25*Geometry!$E$42:$E$59+$AX25*Geometry!$D$42:$D$59))*(($AV25+$AW25*Geometry!$E$42:$E$59+$AX25*Geometry!$D$42:$D$59)&gt;0)*(($AV25+$AW25*Geometry!$E$42:$E$59+$AX25*Geometry!$D$42:$D$59)&lt;eco)+eco*(($AV25+$AW25*Geometry!$E$42:$E$59+$AX25*Geometry!$D$42:$D$59)&gt;=eco))/eco)^n)*((($AV25+$AW25*Geometry!$E$42:$E$59+$AX25*Geometry!$D$42:$D$59))&gt;0))),Geometry!$F$42:$F$59))/1000</f>
      </c>
      <c r="BZ25" s="32">
        <f>(SUMPRODUCT(alpha*fck*(1-(1-((($AY25+$AZ25*Mesh_Y+$BA25*Mesh_X))*(($AY25+$AZ25*Mesh_Y+$BA25*Mesh_X)&gt;0)*(($AY25+$AZ25*Mesh_Y+$BA25*Mesh_X)&lt;eco)+eco*(($AY25+$AZ25*Mesh_Y+$BA25*Mesh_X)&gt;=eco))/eco)^n)*((($AY25+$AZ25*Mesh_Y+$BA25*Mesh_X))&gt;0),Mesh_A)+SUMPRODUCT((Es*(($AY25+$AZ25*Geometry!$E$42:$E$59+$BA25*Geometry!$D$42:$D$59))*(ABS(Es*(($AY25+$AZ25*Geometry!$E$42:$E$59+$BA25*Geometry!$D$42:$D$59)))&lt;=fy)+fy*(Es*(($AY25+$AZ25*Geometry!$E$42:$E$59+$BA25*Geometry!$D$42:$D$59))&gt;fy)-fy*(Es*(($AY25+$AZ25*Geometry!$E$42:$E$59+$BA25*Geometry!$D$42:$D$59))&lt;-fy)-(alpha*fck*(1-(1-((($AY25+$AZ25*Geometry!$E$42:$E$59+$BA25*Geometry!$D$42:$D$59))*(($AY25+$AZ25*Geometry!$E$42:$E$59+$BA25*Geometry!$D$42:$D$59)&gt;0)*(($AY25+$AZ25*Geometry!$E$42:$E$59+$BA25*Geometry!$D$42:$D$59)&lt;eco)+eco*(($AY25+$AZ25*Geometry!$E$42:$E$59+$BA25*Geometry!$D$42:$D$59)&gt;=eco))/eco)^n)*((($AY25+$AZ25*Geometry!$E$42:$E$59+$BA25*Geometry!$D$42:$D$59))&gt;0))),Geometry!$F$42:$F$59))/1000</f>
      </c>
      <c r="CA25" s="32">
        <f>(SUMPRODUCT(alpha*fck*(1-(1-((($BB25+$BC25*Mesh_Y+$BD25*Mesh_X))*(($BB25+$BC25*Mesh_Y+$BD25*Mesh_X)&gt;0)*(($BB25+$BC25*Mesh_Y+$BD25*Mesh_X)&lt;eco)+eco*(($BB25+$BC25*Mesh_Y+$BD25*Mesh_X)&gt;=eco))/eco)^n)*((($BB25+$BC25*Mesh_Y+$BD25*Mesh_X))&gt;0),Mesh_A)+SUMPRODUCT((Es*(($BB25+$BC25*Geometry!$E$42:$E$59+$BD25*Geometry!$D$42:$D$59))*(ABS(Es*(($BB25+$BC25*Geometry!$E$42:$E$59+$BD25*Geometry!$D$42:$D$59)))&lt;=fy)+fy*(Es*(($BB25+$BC25*Geometry!$E$42:$E$59+$BD25*Geometry!$D$42:$D$59))&gt;fy)-fy*(Es*(($BB25+$BC25*Geometry!$E$42:$E$59+$BD25*Geometry!$D$42:$D$59))&lt;-fy)-(alpha*fck*(1-(1-((($BB25+$BC25*Geometry!$E$42:$E$59+$BD25*Geometry!$D$42:$D$59))*(($BB25+$BC25*Geometry!$E$42:$E$59+$BD25*Geometry!$D$42:$D$59)&gt;0)*(($BB25+$BC25*Geometry!$E$42:$E$59+$BD25*Geometry!$D$42:$D$59)&lt;eco)+eco*(($BB25+$BC25*Geometry!$E$42:$E$59+$BD25*Geometry!$D$42:$D$59)&gt;=eco))/eco)^n)*((($BB25+$BC25*Geometry!$E$42:$E$59+$BD25*Geometry!$D$42:$D$59))&gt;0))),Geometry!$F$42:$F$59))/1000</f>
      </c>
      <c r="CB25" s="32">
        <f>(SUMPRODUCT(alpha*fck*(1-(1-((($BE25+$BF25*Mesh_Y+$BG25*Mesh_X))*(($BE25+$BF25*Mesh_Y+$BG25*Mesh_X)&gt;0)*(($BE25+$BF25*Mesh_Y+$BG25*Mesh_X)&lt;eco)+eco*(($BE25+$BF25*Mesh_Y+$BG25*Mesh_X)&gt;=eco))/eco)^n)*((($BE25+$BF25*Mesh_Y+$BG25*Mesh_X))&gt;0),Mesh_A)+SUMPRODUCT((Es*(($BE25+$BF25*Geometry!$E$42:$E$59+$BG25*Geometry!$D$42:$D$59))*(ABS(Es*(($BE25+$BF25*Geometry!$E$42:$E$59+$BG25*Geometry!$D$42:$D$59)))&lt;=fy)+fy*(Es*(($BE25+$BF25*Geometry!$E$42:$E$59+$BG25*Geometry!$D$42:$D$59))&gt;fy)-fy*(Es*(($BE25+$BF25*Geometry!$E$42:$E$59+$BG25*Geometry!$D$42:$D$59))&lt;-fy)-(alpha*fck*(1-(1-((($BE25+$BF25*Geometry!$E$42:$E$59+$BG25*Geometry!$D$42:$D$59))*(($BE25+$BF25*Geometry!$E$42:$E$59+$BG25*Geometry!$D$42:$D$59)&gt;0)*(($BE25+$BF25*Geometry!$E$42:$E$59+$BG25*Geometry!$D$42:$D$59)&lt;eco)+eco*(($BE25+$BF25*Geometry!$E$42:$E$59+$BG25*Geometry!$D$42:$D$59)&gt;=eco))/eco)^n)*((($BE25+$BF25*Geometry!$E$42:$E$59+$BG25*Geometry!$D$42:$D$59))&gt;0))),Geometry!$F$42:$F$59))/1000</f>
      </c>
      <c r="CC25" s="32">
        <f>(SUMPRODUCT(alpha*fck*(1-(1-((($BH25+$BI25*Mesh_Y+$BJ25*Mesh_X))*(($BH25+$BI25*Mesh_Y+$BJ25*Mesh_X)&gt;0)*(($BH25+$BI25*Mesh_Y+$BJ25*Mesh_X)&lt;eco)+eco*(($BH25+$BI25*Mesh_Y+$BJ25*Mesh_X)&gt;=eco))/eco)^n)*((($BH25+$BI25*Mesh_Y+$BJ25*Mesh_X))&gt;0),Mesh_A)+SUMPRODUCT((Es*(($BH25+$BI25*Geometry!$E$42:$E$59+$BJ25*Geometry!$D$42:$D$59))*(ABS(Es*(($BH25+$BI25*Geometry!$E$42:$E$59+$BJ25*Geometry!$D$42:$D$59)))&lt;=fy)+fy*(Es*(($BH25+$BI25*Geometry!$E$42:$E$59+$BJ25*Geometry!$D$42:$D$59))&gt;fy)-fy*(Es*(($BH25+$BI25*Geometry!$E$42:$E$59+$BJ25*Geometry!$D$42:$D$59))&lt;-fy)-(alpha*fck*(1-(1-((($BH25+$BI25*Geometry!$E$42:$E$59+$BJ25*Geometry!$D$42:$D$59))*(($BH25+$BI25*Geometry!$E$42:$E$59+$BJ25*Geometry!$D$42:$D$59)&gt;0)*(($BH25+$BI25*Geometry!$E$42:$E$59+$BJ25*Geometry!$D$42:$D$59)&lt;eco)+eco*(($BH25+$BI25*Geometry!$E$42:$E$59+$BJ25*Geometry!$D$42:$D$59)&gt;=eco))/eco)^n)*((($BH25+$BI25*Geometry!$E$42:$E$59+$BJ25*Geometry!$D$42:$D$59))&gt;0))),Geometry!$F$42:$F$59))/1000</f>
      </c>
      <c r="CD25" s="32">
        <f>(SUMPRODUCT(alpha*fck*(1-(1-((($F25+$G25*Mesh_Y+$H25*Mesh_X))*(($F25+$G25*Mesh_Y+$H25*Mesh_X)&gt;0)*(($F25+$G25*Mesh_Y+$H25*Mesh_X)&lt;eco)+eco*(($F25+$G25*Mesh_Y+$H25*Mesh_X)&gt;=eco))/eco)^n)*((($F25+$G25*Mesh_Y+$H25*Mesh_X))&gt;0),Mesh_A,Mesh_Y)+SUMPRODUCT((Es*(($F25+$G25*Geometry!$E$42:$E$59+$H25*Geometry!$D$42:$D$59))*(ABS(Es*(($F25+$G25*Geometry!$E$42:$E$59+$H25*Geometry!$D$42:$D$59)))&lt;=fy)+fy*(Es*(($F25+$G25*Geometry!$E$42:$E$59+$H25*Geometry!$D$42:$D$59))&gt;fy)-fy*(Es*(($F25+$G25*Geometry!$E$42:$E$59+$H25*Geometry!$D$42:$D$59))&lt;-fy)-(alpha*fck*(1-(1-((($F25+$G25*Geometry!$E$42:$E$59+$H25*Geometry!$D$42:$D$59))*(($F25+$G25*Geometry!$E$42:$E$59+$H25*Geometry!$D$42:$D$59)&gt;0)*(($F25+$G25*Geometry!$E$42:$E$59+$H25*Geometry!$D$42:$D$59)&lt;eco)+eco*(($F25+$G25*Geometry!$E$42:$E$59+$H25*Geometry!$D$42:$D$59)&gt;=eco))/eco)^n)*((($F25+$G25*Geometry!$E$42:$E$59+$H25*Geometry!$D$42:$D$59))&gt;0))),Geometry!$F$42:$F$59,Geometry!$E$42:$E$59))/1000000</f>
      </c>
      <c r="CE25" s="32">
        <f>(SUMPRODUCT(alpha*fck*(1-(1-((($I25+$J25*Mesh_Y+$K25*Mesh_X))*(($I25+$J25*Mesh_Y+$K25*Mesh_X)&gt;0)*(($I25+$J25*Mesh_Y+$K25*Mesh_X)&lt;eco)+eco*(($I25+$J25*Mesh_Y+$K25*Mesh_X)&gt;=eco))/eco)^n)*((($I25+$J25*Mesh_Y+$K25*Mesh_X))&gt;0),Mesh_A,Mesh_Y)+SUMPRODUCT((Es*(($I25+$J25*Geometry!$E$42:$E$59+$K25*Geometry!$D$42:$D$59))*(ABS(Es*(($I25+$J25*Geometry!$E$42:$E$59+$K25*Geometry!$D$42:$D$59)))&lt;=fy)+fy*(Es*(($I25+$J25*Geometry!$E$42:$E$59+$K25*Geometry!$D$42:$D$59))&gt;fy)-fy*(Es*(($I25+$J25*Geometry!$E$42:$E$59+$K25*Geometry!$D$42:$D$59))&lt;-fy)-(alpha*fck*(1-(1-((($I25+$J25*Geometry!$E$42:$E$59+$K25*Geometry!$D$42:$D$59))*(($I25+$J25*Geometry!$E$42:$E$59+$K25*Geometry!$D$42:$D$59)&gt;0)*(($I25+$J25*Geometry!$E$42:$E$59+$K25*Geometry!$D$42:$D$59)&lt;eco)+eco*(($I25+$J25*Geometry!$E$42:$E$59+$K25*Geometry!$D$42:$D$59)&gt;=eco))/eco)^n)*((($I25+$J25*Geometry!$E$42:$E$59+$K25*Geometry!$D$42:$D$59))&gt;0))),Geometry!$F$42:$F$59,Geometry!$E$42:$E$59))/1000000</f>
      </c>
      <c r="CF25" s="32">
        <f>(SUMPRODUCT(alpha*fck*(1-(1-((($L25+$M25*Mesh_Y+$N25*Mesh_X))*(($L25+$M25*Mesh_Y+$N25*Mesh_X)&gt;0)*(($L25+$M25*Mesh_Y+$N25*Mesh_X)&lt;eco)+eco*(($L25+$M25*Mesh_Y+$N25*Mesh_X)&gt;=eco))/eco)^n)*((($L25+$M25*Mesh_Y+$N25*Mesh_X))&gt;0),Mesh_A,Mesh_Y)+SUMPRODUCT((Es*(($L25+$M25*Geometry!$E$42:$E$59+$N25*Geometry!$D$42:$D$59))*(ABS(Es*(($L25+$M25*Geometry!$E$42:$E$59+$N25*Geometry!$D$42:$D$59)))&lt;=fy)+fy*(Es*(($L25+$M25*Geometry!$E$42:$E$59+$N25*Geometry!$D$42:$D$59))&gt;fy)-fy*(Es*(($L25+$M25*Geometry!$E$42:$E$59+$N25*Geometry!$D$42:$D$59))&lt;-fy)-(alpha*fck*(1-(1-((($L25+$M25*Geometry!$E$42:$E$59+$N25*Geometry!$D$42:$D$59))*(($L25+$M25*Geometry!$E$42:$E$59+$N25*Geometry!$D$42:$D$59)&gt;0)*(($L25+$M25*Geometry!$E$42:$E$59+$N25*Geometry!$D$42:$D$59)&lt;eco)+eco*(($L25+$M25*Geometry!$E$42:$E$59+$N25*Geometry!$D$42:$D$59)&gt;=eco))/eco)^n)*((($L25+$M25*Geometry!$E$42:$E$59+$N25*Geometry!$D$42:$D$59))&gt;0))),Geometry!$F$42:$F$59,Geometry!$E$42:$E$59))/1000000</f>
      </c>
      <c r="CG25" s="32">
        <f>(SUMPRODUCT(alpha*fck*(1-(1-((($O25+$P25*Mesh_Y+$Q25*Mesh_X))*(($O25+$P25*Mesh_Y+$Q25*Mesh_X)&gt;0)*(($O25+$P25*Mesh_Y+$Q25*Mesh_X)&lt;eco)+eco*(($O25+$P25*Mesh_Y+$Q25*Mesh_X)&gt;=eco))/eco)^n)*((($O25+$P25*Mesh_Y+$Q25*Mesh_X))&gt;0),Mesh_A,Mesh_Y)+SUMPRODUCT((Es*(($O25+$P25*Geometry!$E$42:$E$59+$Q25*Geometry!$D$42:$D$59))*(ABS(Es*(($O25+$P25*Geometry!$E$42:$E$59+$Q25*Geometry!$D$42:$D$59)))&lt;=fy)+fy*(Es*(($O25+$P25*Geometry!$E$42:$E$59+$Q25*Geometry!$D$42:$D$59))&gt;fy)-fy*(Es*(($O25+$P25*Geometry!$E$42:$E$59+$Q25*Geometry!$D$42:$D$59))&lt;-fy)-(alpha*fck*(1-(1-((($O25+$P25*Geometry!$E$42:$E$59+$Q25*Geometry!$D$42:$D$59))*(($O25+$P25*Geometry!$E$42:$E$59+$Q25*Geometry!$D$42:$D$59)&gt;0)*(($O25+$P25*Geometry!$E$42:$E$59+$Q25*Geometry!$D$42:$D$59)&lt;eco)+eco*(($O25+$P25*Geometry!$E$42:$E$59+$Q25*Geometry!$D$42:$D$59)&gt;=eco))/eco)^n)*((($O25+$P25*Geometry!$E$42:$E$59+$Q25*Geometry!$D$42:$D$59))&gt;0))),Geometry!$F$42:$F$59,Geometry!$E$42:$E$59))/1000000</f>
      </c>
      <c r="CH25" s="32">
        <f>(SUMPRODUCT(alpha*fck*(1-(1-((($R25+$S25*Mesh_Y+$T25*Mesh_X))*(($R25+$S25*Mesh_Y+$T25*Mesh_X)&gt;0)*(($R25+$S25*Mesh_Y+$T25*Mesh_X)&lt;eco)+eco*(($R25+$S25*Mesh_Y+$T25*Mesh_X)&gt;=eco))/eco)^n)*((($R25+$S25*Mesh_Y+$T25*Mesh_X))&gt;0),Mesh_A,Mesh_Y)+SUMPRODUCT((Es*(($R25+$S25*Geometry!$E$42:$E$59+$T25*Geometry!$D$42:$D$59))*(ABS(Es*(($R25+$S25*Geometry!$E$42:$E$59+$T25*Geometry!$D$42:$D$59)))&lt;=fy)+fy*(Es*(($R25+$S25*Geometry!$E$42:$E$59+$T25*Geometry!$D$42:$D$59))&gt;fy)-fy*(Es*(($R25+$S25*Geometry!$E$42:$E$59+$T25*Geometry!$D$42:$D$59))&lt;-fy)-(alpha*fck*(1-(1-((($R25+$S25*Geometry!$E$42:$E$59+$T25*Geometry!$D$42:$D$59))*(($R25+$S25*Geometry!$E$42:$E$59+$T25*Geometry!$D$42:$D$59)&gt;0)*(($R25+$S25*Geometry!$E$42:$E$59+$T25*Geometry!$D$42:$D$59)&lt;eco)+eco*(($R25+$S25*Geometry!$E$42:$E$59+$T25*Geometry!$D$42:$D$59)&gt;=eco))/eco)^n)*((($R25+$S25*Geometry!$E$42:$E$59+$T25*Geometry!$D$42:$D$59))&gt;0))),Geometry!$F$42:$F$59,Geometry!$E$42:$E$59))/1000000</f>
      </c>
      <c r="CI25" s="32">
        <f>(SUMPRODUCT(alpha*fck*(1-(1-((($U25+$V25*Mesh_Y+$W25*Mesh_X))*(($U25+$V25*Mesh_Y+$W25*Mesh_X)&gt;0)*(($U25+$V25*Mesh_Y+$W25*Mesh_X)&lt;eco)+eco*(($U25+$V25*Mesh_Y+$W25*Mesh_X)&gt;=eco))/eco)^n)*((($U25+$V25*Mesh_Y+$W25*Mesh_X))&gt;0),Mesh_A,Mesh_Y)+SUMPRODUCT((Es*(($U25+$V25*Geometry!$E$42:$E$59+$W25*Geometry!$D$42:$D$59))*(ABS(Es*(($U25+$V25*Geometry!$E$42:$E$59+$W25*Geometry!$D$42:$D$59)))&lt;=fy)+fy*(Es*(($U25+$V25*Geometry!$E$42:$E$59+$W25*Geometry!$D$42:$D$59))&gt;fy)-fy*(Es*(($U25+$V25*Geometry!$E$42:$E$59+$W25*Geometry!$D$42:$D$59))&lt;-fy)-(alpha*fck*(1-(1-((($U25+$V25*Geometry!$E$42:$E$59+$W25*Geometry!$D$42:$D$59))*(($U25+$V25*Geometry!$E$42:$E$59+$W25*Geometry!$D$42:$D$59)&gt;0)*(($U25+$V25*Geometry!$E$42:$E$59+$W25*Geometry!$D$42:$D$59)&lt;eco)+eco*(($U25+$V25*Geometry!$E$42:$E$59+$W25*Geometry!$D$42:$D$59)&gt;=eco))/eco)^n)*((($U25+$V25*Geometry!$E$42:$E$59+$W25*Geometry!$D$42:$D$59))&gt;0))),Geometry!$F$42:$F$59,Geometry!$E$42:$E$59))/1000000</f>
      </c>
      <c r="CJ25" s="32">
        <f>(SUMPRODUCT(alpha*fck*(1-(1-((($X25+$Y25*Mesh_Y+$Z25*Mesh_X))*(($X25+$Y25*Mesh_Y+$Z25*Mesh_X)&gt;0)*(($X25+$Y25*Mesh_Y+$Z25*Mesh_X)&lt;eco)+eco*(($X25+$Y25*Mesh_Y+$Z25*Mesh_X)&gt;=eco))/eco)^n)*((($X25+$Y25*Mesh_Y+$Z25*Mesh_X))&gt;0),Mesh_A,Mesh_Y)+SUMPRODUCT((Es*(($X25+$Y25*Geometry!$E$42:$E$59+$Z25*Geometry!$D$42:$D$59))*(ABS(Es*(($X25+$Y25*Geometry!$E$42:$E$59+$Z25*Geometry!$D$42:$D$59)))&lt;=fy)+fy*(Es*(($X25+$Y25*Geometry!$E$42:$E$59+$Z25*Geometry!$D$42:$D$59))&gt;fy)-fy*(Es*(($X25+$Y25*Geometry!$E$42:$E$59+$Z25*Geometry!$D$42:$D$59))&lt;-fy)-(alpha*fck*(1-(1-((($X25+$Y25*Geometry!$E$42:$E$59+$Z25*Geometry!$D$42:$D$59))*(($X25+$Y25*Geometry!$E$42:$E$59+$Z25*Geometry!$D$42:$D$59)&gt;0)*(($X25+$Y25*Geometry!$E$42:$E$59+$Z25*Geometry!$D$42:$D$59)&lt;eco)+eco*(($X25+$Y25*Geometry!$E$42:$E$59+$Z25*Geometry!$D$42:$D$59)&gt;=eco))/eco)^n)*((($X25+$Y25*Geometry!$E$42:$E$59+$Z25*Geometry!$D$42:$D$59))&gt;0))),Geometry!$F$42:$F$59,Geometry!$E$42:$E$59))/1000000</f>
      </c>
      <c r="CK25" s="32">
        <f>(SUMPRODUCT(alpha*fck*(1-(1-((($AA25+$AB25*Mesh_Y+$AC25*Mesh_X))*(($AA25+$AB25*Mesh_Y+$AC25*Mesh_X)&gt;0)*(($AA25+$AB25*Mesh_Y+$AC25*Mesh_X)&lt;eco)+eco*(($AA25+$AB25*Mesh_Y+$AC25*Mesh_X)&gt;=eco))/eco)^n)*((($AA25+$AB25*Mesh_Y+$AC25*Mesh_X))&gt;0),Mesh_A,Mesh_Y)+SUMPRODUCT((Es*(($AA25+$AB25*Geometry!$E$42:$E$59+$AC25*Geometry!$D$42:$D$59))*(ABS(Es*(($AA25+$AB25*Geometry!$E$42:$E$59+$AC25*Geometry!$D$42:$D$59)))&lt;=fy)+fy*(Es*(($AA25+$AB25*Geometry!$E$42:$E$59+$AC25*Geometry!$D$42:$D$59))&gt;fy)-fy*(Es*(($AA25+$AB25*Geometry!$E$42:$E$59+$AC25*Geometry!$D$42:$D$59))&lt;-fy)-(alpha*fck*(1-(1-((($AA25+$AB25*Geometry!$E$42:$E$59+$AC25*Geometry!$D$42:$D$59))*(($AA25+$AB25*Geometry!$E$42:$E$59+$AC25*Geometry!$D$42:$D$59)&gt;0)*(($AA25+$AB25*Geometry!$E$42:$E$59+$AC25*Geometry!$D$42:$D$59)&lt;eco)+eco*(($AA25+$AB25*Geometry!$E$42:$E$59+$AC25*Geometry!$D$42:$D$59)&gt;=eco))/eco)^n)*((($AA25+$AB25*Geometry!$E$42:$E$59+$AC25*Geometry!$D$42:$D$59))&gt;0))),Geometry!$F$42:$F$59,Geometry!$E$42:$E$59))/1000000</f>
      </c>
      <c r="CL25" s="32">
        <f>(SUMPRODUCT(alpha*fck*(1-(1-((($AD25+$AE25*Mesh_Y+$AF25*Mesh_X))*(($AD25+$AE25*Mesh_Y+$AF25*Mesh_X)&gt;0)*(($AD25+$AE25*Mesh_Y+$AF25*Mesh_X)&lt;eco)+eco*(($AD25+$AE25*Mesh_Y+$AF25*Mesh_X)&gt;=eco))/eco)^n)*((($AD25+$AE25*Mesh_Y+$AF25*Mesh_X))&gt;0),Mesh_A,Mesh_Y)+SUMPRODUCT((Es*(($AD25+$AE25*Geometry!$E$42:$E$59+$AF25*Geometry!$D$42:$D$59))*(ABS(Es*(($AD25+$AE25*Geometry!$E$42:$E$59+$AF25*Geometry!$D$42:$D$59)))&lt;=fy)+fy*(Es*(($AD25+$AE25*Geometry!$E$42:$E$59+$AF25*Geometry!$D$42:$D$59))&gt;fy)-fy*(Es*(($AD25+$AE25*Geometry!$E$42:$E$59+$AF25*Geometry!$D$42:$D$59))&lt;-fy)-(alpha*fck*(1-(1-((($AD25+$AE25*Geometry!$E$42:$E$59+$AF25*Geometry!$D$42:$D$59))*(($AD25+$AE25*Geometry!$E$42:$E$59+$AF25*Geometry!$D$42:$D$59)&gt;0)*(($AD25+$AE25*Geometry!$E$42:$E$59+$AF25*Geometry!$D$42:$D$59)&lt;eco)+eco*(($AD25+$AE25*Geometry!$E$42:$E$59+$AF25*Geometry!$D$42:$D$59)&gt;=eco))/eco)^n)*((($AD25+$AE25*Geometry!$E$42:$E$59+$AF25*Geometry!$D$42:$D$59))&gt;0))),Geometry!$F$42:$F$59,Geometry!$E$42:$E$59))/1000000</f>
      </c>
      <c r="CM25" s="32">
        <f>(SUMPRODUCT(alpha*fck*(1-(1-((($AG25+$AH25*Mesh_Y+$AI25*Mesh_X))*(($AG25+$AH25*Mesh_Y+$AI25*Mesh_X)&gt;0)*(($AG25+$AH25*Mesh_Y+$AI25*Mesh_X)&lt;eco)+eco*(($AG25+$AH25*Mesh_Y+$AI25*Mesh_X)&gt;=eco))/eco)^n)*((($AG25+$AH25*Mesh_Y+$AI25*Mesh_X))&gt;0),Mesh_A,Mesh_Y)+SUMPRODUCT((Es*(($AG25+$AH25*Geometry!$E$42:$E$59+$AI25*Geometry!$D$42:$D$59))*(ABS(Es*(($AG25+$AH25*Geometry!$E$42:$E$59+$AI25*Geometry!$D$42:$D$59)))&lt;=fy)+fy*(Es*(($AG25+$AH25*Geometry!$E$42:$E$59+$AI25*Geometry!$D$42:$D$59))&gt;fy)-fy*(Es*(($AG25+$AH25*Geometry!$E$42:$E$59+$AI25*Geometry!$D$42:$D$59))&lt;-fy)-(alpha*fck*(1-(1-((($AG25+$AH25*Geometry!$E$42:$E$59+$AI25*Geometry!$D$42:$D$59))*(($AG25+$AH25*Geometry!$E$42:$E$59+$AI25*Geometry!$D$42:$D$59)&gt;0)*(($AG25+$AH25*Geometry!$E$42:$E$59+$AI25*Geometry!$D$42:$D$59)&lt;eco)+eco*(($AG25+$AH25*Geometry!$E$42:$E$59+$AI25*Geometry!$D$42:$D$59)&gt;=eco))/eco)^n)*((($AG25+$AH25*Geometry!$E$42:$E$59+$AI25*Geometry!$D$42:$D$59))&gt;0))),Geometry!$F$42:$F$59,Geometry!$E$42:$E$59))/1000000</f>
      </c>
      <c r="CN25" s="32">
        <f>(SUMPRODUCT(alpha*fck*(1-(1-((($AJ25+$AK25*Mesh_Y+$AL25*Mesh_X))*(($AJ25+$AK25*Mesh_Y+$AL25*Mesh_X)&gt;0)*(($AJ25+$AK25*Mesh_Y+$AL25*Mesh_X)&lt;eco)+eco*(($AJ25+$AK25*Mesh_Y+$AL25*Mesh_X)&gt;=eco))/eco)^n)*((($AJ25+$AK25*Mesh_Y+$AL25*Mesh_X))&gt;0),Mesh_A,Mesh_Y)+SUMPRODUCT((Es*(($AJ25+$AK25*Geometry!$E$42:$E$59+$AL25*Geometry!$D$42:$D$59))*(ABS(Es*(($AJ25+$AK25*Geometry!$E$42:$E$59+$AL25*Geometry!$D$42:$D$59)))&lt;=fy)+fy*(Es*(($AJ25+$AK25*Geometry!$E$42:$E$59+$AL25*Geometry!$D$42:$D$59))&gt;fy)-fy*(Es*(($AJ25+$AK25*Geometry!$E$42:$E$59+$AL25*Geometry!$D$42:$D$59))&lt;-fy)-(alpha*fck*(1-(1-((($AJ25+$AK25*Geometry!$E$42:$E$59+$AL25*Geometry!$D$42:$D$59))*(($AJ25+$AK25*Geometry!$E$42:$E$59+$AL25*Geometry!$D$42:$D$59)&gt;0)*(($AJ25+$AK25*Geometry!$E$42:$E$59+$AL25*Geometry!$D$42:$D$59)&lt;eco)+eco*(($AJ25+$AK25*Geometry!$E$42:$E$59+$AL25*Geometry!$D$42:$D$59)&gt;=eco))/eco)^n)*((($AJ25+$AK25*Geometry!$E$42:$E$59+$AL25*Geometry!$D$42:$D$59))&gt;0))),Geometry!$F$42:$F$59,Geometry!$E$42:$E$59))/1000000</f>
      </c>
      <c r="CO25" s="32">
        <f>(SUMPRODUCT(alpha*fck*(1-(1-((($AM25+$AN25*Mesh_Y+$AO25*Mesh_X))*(($AM25+$AN25*Mesh_Y+$AO25*Mesh_X)&gt;0)*(($AM25+$AN25*Mesh_Y+$AO25*Mesh_X)&lt;eco)+eco*(($AM25+$AN25*Mesh_Y+$AO25*Mesh_X)&gt;=eco))/eco)^n)*((($AM25+$AN25*Mesh_Y+$AO25*Mesh_X))&gt;0),Mesh_A,Mesh_Y)+SUMPRODUCT((Es*(($AM25+$AN25*Geometry!$E$42:$E$59+$AO25*Geometry!$D$42:$D$59))*(ABS(Es*(($AM25+$AN25*Geometry!$E$42:$E$59+$AO25*Geometry!$D$42:$D$59)))&lt;=fy)+fy*(Es*(($AM25+$AN25*Geometry!$E$42:$E$59+$AO25*Geometry!$D$42:$D$59))&gt;fy)-fy*(Es*(($AM25+$AN25*Geometry!$E$42:$E$59+$AO25*Geometry!$D$42:$D$59))&lt;-fy)-(alpha*fck*(1-(1-((($AM25+$AN25*Geometry!$E$42:$E$59+$AO25*Geometry!$D$42:$D$59))*(($AM25+$AN25*Geometry!$E$42:$E$59+$AO25*Geometry!$D$42:$D$59)&gt;0)*(($AM25+$AN25*Geometry!$E$42:$E$59+$AO25*Geometry!$D$42:$D$59)&lt;eco)+eco*(($AM25+$AN25*Geometry!$E$42:$E$59+$AO25*Geometry!$D$42:$D$59)&gt;=eco))/eco)^n)*((($AM25+$AN25*Geometry!$E$42:$E$59+$AO25*Geometry!$D$42:$D$59))&gt;0))),Geometry!$F$42:$F$59,Geometry!$E$42:$E$59))/1000000</f>
      </c>
      <c r="CP25" s="32">
        <f>(SUMPRODUCT(alpha*fck*(1-(1-((($AP25+$AQ25*Mesh_Y+$AR25*Mesh_X))*(($AP25+$AQ25*Mesh_Y+$AR25*Mesh_X)&gt;0)*(($AP25+$AQ25*Mesh_Y+$AR25*Mesh_X)&lt;eco)+eco*(($AP25+$AQ25*Mesh_Y+$AR25*Mesh_X)&gt;=eco))/eco)^n)*((($AP25+$AQ25*Mesh_Y+$AR25*Mesh_X))&gt;0),Mesh_A,Mesh_Y)+SUMPRODUCT((Es*(($AP25+$AQ25*Geometry!$E$42:$E$59+$AR25*Geometry!$D$42:$D$59))*(ABS(Es*(($AP25+$AQ25*Geometry!$E$42:$E$59+$AR25*Geometry!$D$42:$D$59)))&lt;=fy)+fy*(Es*(($AP25+$AQ25*Geometry!$E$42:$E$59+$AR25*Geometry!$D$42:$D$59))&gt;fy)-fy*(Es*(($AP25+$AQ25*Geometry!$E$42:$E$59+$AR25*Geometry!$D$42:$D$59))&lt;-fy)-(alpha*fck*(1-(1-((($AP25+$AQ25*Geometry!$E$42:$E$59+$AR25*Geometry!$D$42:$D$59))*(($AP25+$AQ25*Geometry!$E$42:$E$59+$AR25*Geometry!$D$42:$D$59)&gt;0)*(($AP25+$AQ25*Geometry!$E$42:$E$59+$AR25*Geometry!$D$42:$D$59)&lt;eco)+eco*(($AP25+$AQ25*Geometry!$E$42:$E$59+$AR25*Geometry!$D$42:$D$59)&gt;=eco))/eco)^n)*((($AP25+$AQ25*Geometry!$E$42:$E$59+$AR25*Geometry!$D$42:$D$59))&gt;0))),Geometry!$F$42:$F$59,Geometry!$E$42:$E$59))/1000000</f>
      </c>
      <c r="CQ25" s="32">
        <f>(SUMPRODUCT(alpha*fck*(1-(1-((($AS25+$AT25*Mesh_Y+$AU25*Mesh_X))*(($AS25+$AT25*Mesh_Y+$AU25*Mesh_X)&gt;0)*(($AS25+$AT25*Mesh_Y+$AU25*Mesh_X)&lt;eco)+eco*(($AS25+$AT25*Mesh_Y+$AU25*Mesh_X)&gt;=eco))/eco)^n)*((($AS25+$AT25*Mesh_Y+$AU25*Mesh_X))&gt;0),Mesh_A,Mesh_Y)+SUMPRODUCT((Es*(($AS25+$AT25*Geometry!$E$42:$E$59+$AU25*Geometry!$D$42:$D$59))*(ABS(Es*(($AS25+$AT25*Geometry!$E$42:$E$59+$AU25*Geometry!$D$42:$D$59)))&lt;=fy)+fy*(Es*(($AS25+$AT25*Geometry!$E$42:$E$59+$AU25*Geometry!$D$42:$D$59))&gt;fy)-fy*(Es*(($AS25+$AT25*Geometry!$E$42:$E$59+$AU25*Geometry!$D$42:$D$59))&lt;-fy)-(alpha*fck*(1-(1-((($AS25+$AT25*Geometry!$E$42:$E$59+$AU25*Geometry!$D$42:$D$59))*(($AS25+$AT25*Geometry!$E$42:$E$59+$AU25*Geometry!$D$42:$D$59)&gt;0)*(($AS25+$AT25*Geometry!$E$42:$E$59+$AU25*Geometry!$D$42:$D$59)&lt;eco)+eco*(($AS25+$AT25*Geometry!$E$42:$E$59+$AU25*Geometry!$D$42:$D$59)&gt;=eco))/eco)^n)*((($AS25+$AT25*Geometry!$E$42:$E$59+$AU25*Geometry!$D$42:$D$59))&gt;0))),Geometry!$F$42:$F$59,Geometry!$E$42:$E$59))/1000000</f>
      </c>
      <c r="CR25" s="32">
        <f>(SUMPRODUCT(alpha*fck*(1-(1-((($AV25+$AW25*Mesh_Y+$AX25*Mesh_X))*(($AV25+$AW25*Mesh_Y+$AX25*Mesh_X)&gt;0)*(($AV25+$AW25*Mesh_Y+$AX25*Mesh_X)&lt;eco)+eco*(($AV25+$AW25*Mesh_Y+$AX25*Mesh_X)&gt;=eco))/eco)^n)*((($AV25+$AW25*Mesh_Y+$AX25*Mesh_X))&gt;0),Mesh_A,Mesh_Y)+SUMPRODUCT((Es*(($AV25+$AW25*Geometry!$E$42:$E$59+$AX25*Geometry!$D$42:$D$59))*(ABS(Es*(($AV25+$AW25*Geometry!$E$42:$E$59+$AX25*Geometry!$D$42:$D$59)))&lt;=fy)+fy*(Es*(($AV25+$AW25*Geometry!$E$42:$E$59+$AX25*Geometry!$D$42:$D$59))&gt;fy)-fy*(Es*(($AV25+$AW25*Geometry!$E$42:$E$59+$AX25*Geometry!$D$42:$D$59))&lt;-fy)-(alpha*fck*(1-(1-((($AV25+$AW25*Geometry!$E$42:$E$59+$AX25*Geometry!$D$42:$D$59))*(($AV25+$AW25*Geometry!$E$42:$E$59+$AX25*Geometry!$D$42:$D$59)&gt;0)*(($AV25+$AW25*Geometry!$E$42:$E$59+$AX25*Geometry!$D$42:$D$59)&lt;eco)+eco*(($AV25+$AW25*Geometry!$E$42:$E$59+$AX25*Geometry!$D$42:$D$59)&gt;=eco))/eco)^n)*((($AV25+$AW25*Geometry!$E$42:$E$59+$AX25*Geometry!$D$42:$D$59))&gt;0))),Geometry!$F$42:$F$59,Geometry!$E$42:$E$59))/1000000</f>
      </c>
      <c r="CS25" s="32">
        <f>(SUMPRODUCT(alpha*fck*(1-(1-((($AY25+$AZ25*Mesh_Y+$BA25*Mesh_X))*(($AY25+$AZ25*Mesh_Y+$BA25*Mesh_X)&gt;0)*(($AY25+$AZ25*Mesh_Y+$BA25*Mesh_X)&lt;eco)+eco*(($AY25+$AZ25*Mesh_Y+$BA25*Mesh_X)&gt;=eco))/eco)^n)*((($AY25+$AZ25*Mesh_Y+$BA25*Mesh_X))&gt;0),Mesh_A,Mesh_Y)+SUMPRODUCT((Es*(($AY25+$AZ25*Geometry!$E$42:$E$59+$BA25*Geometry!$D$42:$D$59))*(ABS(Es*(($AY25+$AZ25*Geometry!$E$42:$E$59+$BA25*Geometry!$D$42:$D$59)))&lt;=fy)+fy*(Es*(($AY25+$AZ25*Geometry!$E$42:$E$59+$BA25*Geometry!$D$42:$D$59))&gt;fy)-fy*(Es*(($AY25+$AZ25*Geometry!$E$42:$E$59+$BA25*Geometry!$D$42:$D$59))&lt;-fy)-(alpha*fck*(1-(1-((($AY25+$AZ25*Geometry!$E$42:$E$59+$BA25*Geometry!$D$42:$D$59))*(($AY25+$AZ25*Geometry!$E$42:$E$59+$BA25*Geometry!$D$42:$D$59)&gt;0)*(($AY25+$AZ25*Geometry!$E$42:$E$59+$BA25*Geometry!$D$42:$D$59)&lt;eco)+eco*(($AY25+$AZ25*Geometry!$E$42:$E$59+$BA25*Geometry!$D$42:$D$59)&gt;=eco))/eco)^n)*((($AY25+$AZ25*Geometry!$E$42:$E$59+$BA25*Geometry!$D$42:$D$59))&gt;0))),Geometry!$F$42:$F$59,Geometry!$E$42:$E$59))/1000000</f>
      </c>
      <c r="CT25" s="32">
        <f>(SUMPRODUCT(alpha*fck*(1-(1-((($BB25+$BC25*Mesh_Y+$BD25*Mesh_X))*(($BB25+$BC25*Mesh_Y+$BD25*Mesh_X)&gt;0)*(($BB25+$BC25*Mesh_Y+$BD25*Mesh_X)&lt;eco)+eco*(($BB25+$BC25*Mesh_Y+$BD25*Mesh_X)&gt;=eco))/eco)^n)*((($BB25+$BC25*Mesh_Y+$BD25*Mesh_X))&gt;0),Mesh_A,Mesh_Y)+SUMPRODUCT((Es*(($BB25+$BC25*Geometry!$E$42:$E$59+$BD25*Geometry!$D$42:$D$59))*(ABS(Es*(($BB25+$BC25*Geometry!$E$42:$E$59+$BD25*Geometry!$D$42:$D$59)))&lt;=fy)+fy*(Es*(($BB25+$BC25*Geometry!$E$42:$E$59+$BD25*Geometry!$D$42:$D$59))&gt;fy)-fy*(Es*(($BB25+$BC25*Geometry!$E$42:$E$59+$BD25*Geometry!$D$42:$D$59))&lt;-fy)-(alpha*fck*(1-(1-((($BB25+$BC25*Geometry!$E$42:$E$59+$BD25*Geometry!$D$42:$D$59))*(($BB25+$BC25*Geometry!$E$42:$E$59+$BD25*Geometry!$D$42:$D$59)&gt;0)*(($BB25+$BC25*Geometry!$E$42:$E$59+$BD25*Geometry!$D$42:$D$59)&lt;eco)+eco*(($BB25+$BC25*Geometry!$E$42:$E$59+$BD25*Geometry!$D$42:$D$59)&gt;=eco))/eco)^n)*((($BB25+$BC25*Geometry!$E$42:$E$59+$BD25*Geometry!$D$42:$D$59))&gt;0))),Geometry!$F$42:$F$59,Geometry!$E$42:$E$59))/1000000</f>
      </c>
      <c r="CU25" s="32">
        <f>(SUMPRODUCT(alpha*fck*(1-(1-((($BE25+$BF25*Mesh_Y+$BG25*Mesh_X))*(($BE25+$BF25*Mesh_Y+$BG25*Mesh_X)&gt;0)*(($BE25+$BF25*Mesh_Y+$BG25*Mesh_X)&lt;eco)+eco*(($BE25+$BF25*Mesh_Y+$BG25*Mesh_X)&gt;=eco))/eco)^n)*((($BE25+$BF25*Mesh_Y+$BG25*Mesh_X))&gt;0),Mesh_A,Mesh_Y)+SUMPRODUCT((Es*(($BE25+$BF25*Geometry!$E$42:$E$59+$BG25*Geometry!$D$42:$D$59))*(ABS(Es*(($BE25+$BF25*Geometry!$E$42:$E$59+$BG25*Geometry!$D$42:$D$59)))&lt;=fy)+fy*(Es*(($BE25+$BF25*Geometry!$E$42:$E$59+$BG25*Geometry!$D$42:$D$59))&gt;fy)-fy*(Es*(($BE25+$BF25*Geometry!$E$42:$E$59+$BG25*Geometry!$D$42:$D$59))&lt;-fy)-(alpha*fck*(1-(1-((($BE25+$BF25*Geometry!$E$42:$E$59+$BG25*Geometry!$D$42:$D$59))*(($BE25+$BF25*Geometry!$E$42:$E$59+$BG25*Geometry!$D$42:$D$59)&gt;0)*(($BE25+$BF25*Geometry!$E$42:$E$59+$BG25*Geometry!$D$42:$D$59)&lt;eco)+eco*(($BE25+$BF25*Geometry!$E$42:$E$59+$BG25*Geometry!$D$42:$D$59)&gt;=eco))/eco)^n)*((($BE25+$BF25*Geometry!$E$42:$E$59+$BG25*Geometry!$D$42:$D$59))&gt;0))),Geometry!$F$42:$F$59,Geometry!$E$42:$E$59))/1000000</f>
      </c>
      <c r="CV25" s="32">
        <f>(SUMPRODUCT(alpha*fck*(1-(1-((($BH25+$BI25*Mesh_Y+$BJ25*Mesh_X))*(($BH25+$BI25*Mesh_Y+$BJ25*Mesh_X)&gt;0)*(($BH25+$BI25*Mesh_Y+$BJ25*Mesh_X)&lt;eco)+eco*(($BH25+$BI25*Mesh_Y+$BJ25*Mesh_X)&gt;=eco))/eco)^n)*((($BH25+$BI25*Mesh_Y+$BJ25*Mesh_X))&gt;0),Mesh_A,Mesh_Y)+SUMPRODUCT((Es*(($BH25+$BI25*Geometry!$E$42:$E$59+$BJ25*Geometry!$D$42:$D$59))*(ABS(Es*(($BH25+$BI25*Geometry!$E$42:$E$59+$BJ25*Geometry!$D$42:$D$59)))&lt;=fy)+fy*(Es*(($BH25+$BI25*Geometry!$E$42:$E$59+$BJ25*Geometry!$D$42:$D$59))&gt;fy)-fy*(Es*(($BH25+$BI25*Geometry!$E$42:$E$59+$BJ25*Geometry!$D$42:$D$59))&lt;-fy)-(alpha*fck*(1-(1-((($BH25+$BI25*Geometry!$E$42:$E$59+$BJ25*Geometry!$D$42:$D$59))*(($BH25+$BI25*Geometry!$E$42:$E$59+$BJ25*Geometry!$D$42:$D$59)&gt;0)*(($BH25+$BI25*Geometry!$E$42:$E$59+$BJ25*Geometry!$D$42:$D$59)&lt;eco)+eco*(($BH25+$BI25*Geometry!$E$42:$E$59+$BJ25*Geometry!$D$42:$D$59)&gt;=eco))/eco)^n)*((($BH25+$BI25*Geometry!$E$42:$E$59+$BJ25*Geometry!$D$42:$D$59))&gt;0))),Geometry!$F$42:$F$59,Geometry!$E$42:$E$59))/1000000</f>
      </c>
      <c r="CW25" s="32">
        <f>(SUMPRODUCT(alpha*fck*(1-(1-((($F25+$G25*Mesh_Y+$H25*Mesh_X))*(($F25+$G25*Mesh_Y+$H25*Mesh_X)&gt;0)*(($F25+$G25*Mesh_Y+$H25*Mesh_X)&lt;eco)+eco*(($F25+$G25*Mesh_Y+$H25*Mesh_X)&gt;=eco))/eco)^n)*((($F25+$G25*Mesh_Y+$H25*Mesh_X))&gt;0),Mesh_A,Mesh_X)+SUMPRODUCT((Es*(($F25+$G25*Geometry!$E$42:$E$59+$H25*Geometry!$D$42:$D$59))*(ABS(Es*(($F25+$G25*Geometry!$E$42:$E$59+$H25*Geometry!$D$42:$D$59)))&lt;=fy)+fy*(Es*(($F25+$G25*Geometry!$E$42:$E$59+$H25*Geometry!$D$42:$D$59))&gt;fy)-fy*(Es*(($F25+$G25*Geometry!$E$42:$E$59+$H25*Geometry!$D$42:$D$59))&lt;-fy)-(alpha*fck*(1-(1-((($F25+$G25*Geometry!$E$42:$E$59+$H25*Geometry!$D$42:$D$59))*(($F25+$G25*Geometry!$E$42:$E$59+$H25*Geometry!$D$42:$D$59)&gt;0)*(($F25+$G25*Geometry!$E$42:$E$59+$H25*Geometry!$D$42:$D$59)&lt;eco)+eco*(($F25+$G25*Geometry!$E$42:$E$59+$H25*Geometry!$D$42:$D$59)&gt;=eco))/eco)^n)*((($F25+$G25*Geometry!$E$42:$E$59+$H25*Geometry!$D$42:$D$59))&gt;0))),Geometry!$F$42:$F$59,Geometry!$D$42:$D$59))/1000000</f>
      </c>
      <c r="CX25" s="32">
        <f>(SUMPRODUCT(alpha*fck*(1-(1-((($I25+$J25*Mesh_Y+$K25*Mesh_X))*(($I25+$J25*Mesh_Y+$K25*Mesh_X)&gt;0)*(($I25+$J25*Mesh_Y+$K25*Mesh_X)&lt;eco)+eco*(($I25+$J25*Mesh_Y+$K25*Mesh_X)&gt;=eco))/eco)^n)*((($I25+$J25*Mesh_Y+$K25*Mesh_X))&gt;0),Mesh_A,Mesh_X)+SUMPRODUCT((Es*(($I25+$J25*Geometry!$E$42:$E$59+$K25*Geometry!$D$42:$D$59))*(ABS(Es*(($I25+$J25*Geometry!$E$42:$E$59+$K25*Geometry!$D$42:$D$59)))&lt;=fy)+fy*(Es*(($I25+$J25*Geometry!$E$42:$E$59+$K25*Geometry!$D$42:$D$59))&gt;fy)-fy*(Es*(($I25+$J25*Geometry!$E$42:$E$59+$K25*Geometry!$D$42:$D$59))&lt;-fy)-(alpha*fck*(1-(1-((($I25+$J25*Geometry!$E$42:$E$59+$K25*Geometry!$D$42:$D$59))*(($I25+$J25*Geometry!$E$42:$E$59+$K25*Geometry!$D$42:$D$59)&gt;0)*(($I25+$J25*Geometry!$E$42:$E$59+$K25*Geometry!$D$42:$D$59)&lt;eco)+eco*(($I25+$J25*Geometry!$E$42:$E$59+$K25*Geometry!$D$42:$D$59)&gt;=eco))/eco)^n)*((($I25+$J25*Geometry!$E$42:$E$59+$K25*Geometry!$D$42:$D$59))&gt;0))),Geometry!$F$42:$F$59,Geometry!$D$42:$D$59))/1000000</f>
      </c>
      <c r="CY25" s="32">
        <f>(SUMPRODUCT(alpha*fck*(1-(1-((($L25+$M25*Mesh_Y+$N25*Mesh_X))*(($L25+$M25*Mesh_Y+$N25*Mesh_X)&gt;0)*(($L25+$M25*Mesh_Y+$N25*Mesh_X)&lt;eco)+eco*(($L25+$M25*Mesh_Y+$N25*Mesh_X)&gt;=eco))/eco)^n)*((($L25+$M25*Mesh_Y+$N25*Mesh_X))&gt;0),Mesh_A,Mesh_X)+SUMPRODUCT((Es*(($L25+$M25*Geometry!$E$42:$E$59+$N25*Geometry!$D$42:$D$59))*(ABS(Es*(($L25+$M25*Geometry!$E$42:$E$59+$N25*Geometry!$D$42:$D$59)))&lt;=fy)+fy*(Es*(($L25+$M25*Geometry!$E$42:$E$59+$N25*Geometry!$D$42:$D$59))&gt;fy)-fy*(Es*(($L25+$M25*Geometry!$E$42:$E$59+$N25*Geometry!$D$42:$D$59))&lt;-fy)-(alpha*fck*(1-(1-((($L25+$M25*Geometry!$E$42:$E$59+$N25*Geometry!$D$42:$D$59))*(($L25+$M25*Geometry!$E$42:$E$59+$N25*Geometry!$D$42:$D$59)&gt;0)*(($L25+$M25*Geometry!$E$42:$E$59+$N25*Geometry!$D$42:$D$59)&lt;eco)+eco*(($L25+$M25*Geometry!$E$42:$E$59+$N25*Geometry!$D$42:$D$59)&gt;=eco))/eco)^n)*((($L25+$M25*Geometry!$E$42:$E$59+$N25*Geometry!$D$42:$D$59))&gt;0))),Geometry!$F$42:$F$59,Geometry!$D$42:$D$59))/1000000</f>
      </c>
      <c r="CZ25" s="32">
        <f>(SUMPRODUCT(alpha*fck*(1-(1-((($O25+$P25*Mesh_Y+$Q25*Mesh_X))*(($O25+$P25*Mesh_Y+$Q25*Mesh_X)&gt;0)*(($O25+$P25*Mesh_Y+$Q25*Mesh_X)&lt;eco)+eco*(($O25+$P25*Mesh_Y+$Q25*Mesh_X)&gt;=eco))/eco)^n)*((($O25+$P25*Mesh_Y+$Q25*Mesh_X))&gt;0),Mesh_A,Mesh_X)+SUMPRODUCT((Es*(($O25+$P25*Geometry!$E$42:$E$59+$Q25*Geometry!$D$42:$D$59))*(ABS(Es*(($O25+$P25*Geometry!$E$42:$E$59+$Q25*Geometry!$D$42:$D$59)))&lt;=fy)+fy*(Es*(($O25+$P25*Geometry!$E$42:$E$59+$Q25*Geometry!$D$42:$D$59))&gt;fy)-fy*(Es*(($O25+$P25*Geometry!$E$42:$E$59+$Q25*Geometry!$D$42:$D$59))&lt;-fy)-(alpha*fck*(1-(1-((($O25+$P25*Geometry!$E$42:$E$59+$Q25*Geometry!$D$42:$D$59))*(($O25+$P25*Geometry!$E$42:$E$59+$Q25*Geometry!$D$42:$D$59)&gt;0)*(($O25+$P25*Geometry!$E$42:$E$59+$Q25*Geometry!$D$42:$D$59)&lt;eco)+eco*(($O25+$P25*Geometry!$E$42:$E$59+$Q25*Geometry!$D$42:$D$59)&gt;=eco))/eco)^n)*((($O25+$P25*Geometry!$E$42:$E$59+$Q25*Geometry!$D$42:$D$59))&gt;0))),Geometry!$F$42:$F$59,Geometry!$D$42:$D$59))/1000000</f>
      </c>
      <c r="DA25" s="32">
        <f>(SUMPRODUCT(alpha*fck*(1-(1-((($R25+$S25*Mesh_Y+$T25*Mesh_X))*(($R25+$S25*Mesh_Y+$T25*Mesh_X)&gt;0)*(($R25+$S25*Mesh_Y+$T25*Mesh_X)&lt;eco)+eco*(($R25+$S25*Mesh_Y+$T25*Mesh_X)&gt;=eco))/eco)^n)*((($R25+$S25*Mesh_Y+$T25*Mesh_X))&gt;0),Mesh_A,Mesh_X)+SUMPRODUCT((Es*(($R25+$S25*Geometry!$E$42:$E$59+$T25*Geometry!$D$42:$D$59))*(ABS(Es*(($R25+$S25*Geometry!$E$42:$E$59+$T25*Geometry!$D$42:$D$59)))&lt;=fy)+fy*(Es*(($R25+$S25*Geometry!$E$42:$E$59+$T25*Geometry!$D$42:$D$59))&gt;fy)-fy*(Es*(($R25+$S25*Geometry!$E$42:$E$59+$T25*Geometry!$D$42:$D$59))&lt;-fy)-(alpha*fck*(1-(1-((($R25+$S25*Geometry!$E$42:$E$59+$T25*Geometry!$D$42:$D$59))*(($R25+$S25*Geometry!$E$42:$E$59+$T25*Geometry!$D$42:$D$59)&gt;0)*(($R25+$S25*Geometry!$E$42:$E$59+$T25*Geometry!$D$42:$D$59)&lt;eco)+eco*(($R25+$S25*Geometry!$E$42:$E$59+$T25*Geometry!$D$42:$D$59)&gt;=eco))/eco)^n)*((($R25+$S25*Geometry!$E$42:$E$59+$T25*Geometry!$D$42:$D$59))&gt;0))),Geometry!$F$42:$F$59,Geometry!$D$42:$D$59))/1000000</f>
      </c>
      <c r="DB25" s="32">
        <f>(SUMPRODUCT(alpha*fck*(1-(1-((($U25+$V25*Mesh_Y+$W25*Mesh_X))*(($U25+$V25*Mesh_Y+$W25*Mesh_X)&gt;0)*(($U25+$V25*Mesh_Y+$W25*Mesh_X)&lt;eco)+eco*(($U25+$V25*Mesh_Y+$W25*Mesh_X)&gt;=eco))/eco)^n)*((($U25+$V25*Mesh_Y+$W25*Mesh_X))&gt;0),Mesh_A,Mesh_X)+SUMPRODUCT((Es*(($U25+$V25*Geometry!$E$42:$E$59+$W25*Geometry!$D$42:$D$59))*(ABS(Es*(($U25+$V25*Geometry!$E$42:$E$59+$W25*Geometry!$D$42:$D$59)))&lt;=fy)+fy*(Es*(($U25+$V25*Geometry!$E$42:$E$59+$W25*Geometry!$D$42:$D$59))&gt;fy)-fy*(Es*(($U25+$V25*Geometry!$E$42:$E$59+$W25*Geometry!$D$42:$D$59))&lt;-fy)-(alpha*fck*(1-(1-((($U25+$V25*Geometry!$E$42:$E$59+$W25*Geometry!$D$42:$D$59))*(($U25+$V25*Geometry!$E$42:$E$59+$W25*Geometry!$D$42:$D$59)&gt;0)*(($U25+$V25*Geometry!$E$42:$E$59+$W25*Geometry!$D$42:$D$59)&lt;eco)+eco*(($U25+$V25*Geometry!$E$42:$E$59+$W25*Geometry!$D$42:$D$59)&gt;=eco))/eco)^n)*((($U25+$V25*Geometry!$E$42:$E$59+$W25*Geometry!$D$42:$D$59))&gt;0))),Geometry!$F$42:$F$59,Geometry!$D$42:$D$59))/1000000</f>
      </c>
      <c r="DC25" s="32">
        <f>(SUMPRODUCT(alpha*fck*(1-(1-((($X25+$Y25*Mesh_Y+$Z25*Mesh_X))*(($X25+$Y25*Mesh_Y+$Z25*Mesh_X)&gt;0)*(($X25+$Y25*Mesh_Y+$Z25*Mesh_X)&lt;eco)+eco*(($X25+$Y25*Mesh_Y+$Z25*Mesh_X)&gt;=eco))/eco)^n)*((($X25+$Y25*Mesh_Y+$Z25*Mesh_X))&gt;0),Mesh_A,Mesh_X)+SUMPRODUCT((Es*(($X25+$Y25*Geometry!$E$42:$E$59+$Z25*Geometry!$D$42:$D$59))*(ABS(Es*(($X25+$Y25*Geometry!$E$42:$E$59+$Z25*Geometry!$D$42:$D$59)))&lt;=fy)+fy*(Es*(($X25+$Y25*Geometry!$E$42:$E$59+$Z25*Geometry!$D$42:$D$59))&gt;fy)-fy*(Es*(($X25+$Y25*Geometry!$E$42:$E$59+$Z25*Geometry!$D$42:$D$59))&lt;-fy)-(alpha*fck*(1-(1-((($X25+$Y25*Geometry!$E$42:$E$59+$Z25*Geometry!$D$42:$D$59))*(($X25+$Y25*Geometry!$E$42:$E$59+$Z25*Geometry!$D$42:$D$59)&gt;0)*(($X25+$Y25*Geometry!$E$42:$E$59+$Z25*Geometry!$D$42:$D$59)&lt;eco)+eco*(($X25+$Y25*Geometry!$E$42:$E$59+$Z25*Geometry!$D$42:$D$59)&gt;=eco))/eco)^n)*((($X25+$Y25*Geometry!$E$42:$E$59+$Z25*Geometry!$D$42:$D$59))&gt;0))),Geometry!$F$42:$F$59,Geometry!$D$42:$D$59))/1000000</f>
      </c>
      <c r="DD25" s="32">
        <f>(SUMPRODUCT(alpha*fck*(1-(1-((($AA25+$AB25*Mesh_Y+$AC25*Mesh_X))*(($AA25+$AB25*Mesh_Y+$AC25*Mesh_X)&gt;0)*(($AA25+$AB25*Mesh_Y+$AC25*Mesh_X)&lt;eco)+eco*(($AA25+$AB25*Mesh_Y+$AC25*Mesh_X)&gt;=eco))/eco)^n)*((($AA25+$AB25*Mesh_Y+$AC25*Mesh_X))&gt;0),Mesh_A,Mesh_X)+SUMPRODUCT((Es*(($AA25+$AB25*Geometry!$E$42:$E$59+$AC25*Geometry!$D$42:$D$59))*(ABS(Es*(($AA25+$AB25*Geometry!$E$42:$E$59+$AC25*Geometry!$D$42:$D$59)))&lt;=fy)+fy*(Es*(($AA25+$AB25*Geometry!$E$42:$E$59+$AC25*Geometry!$D$42:$D$59))&gt;fy)-fy*(Es*(($AA25+$AB25*Geometry!$E$42:$E$59+$AC25*Geometry!$D$42:$D$59))&lt;-fy)-(alpha*fck*(1-(1-((($AA25+$AB25*Geometry!$E$42:$E$59+$AC25*Geometry!$D$42:$D$59))*(($AA25+$AB25*Geometry!$E$42:$E$59+$AC25*Geometry!$D$42:$D$59)&gt;0)*(($AA25+$AB25*Geometry!$E$42:$E$59+$AC25*Geometry!$D$42:$D$59)&lt;eco)+eco*(($AA25+$AB25*Geometry!$E$42:$E$59+$AC25*Geometry!$D$42:$D$59)&gt;=eco))/eco)^n)*((($AA25+$AB25*Geometry!$E$42:$E$59+$AC25*Geometry!$D$42:$D$59))&gt;0))),Geometry!$F$42:$F$59,Geometry!$D$42:$D$59))/1000000</f>
      </c>
      <c r="DE25" s="32">
        <f>(SUMPRODUCT(alpha*fck*(1-(1-((($AD25+$AE25*Mesh_Y+$AF25*Mesh_X))*(($AD25+$AE25*Mesh_Y+$AF25*Mesh_X)&gt;0)*(($AD25+$AE25*Mesh_Y+$AF25*Mesh_X)&lt;eco)+eco*(($AD25+$AE25*Mesh_Y+$AF25*Mesh_X)&gt;=eco))/eco)^n)*((($AD25+$AE25*Mesh_Y+$AF25*Mesh_X))&gt;0),Mesh_A,Mesh_X)+SUMPRODUCT((Es*(($AD25+$AE25*Geometry!$E$42:$E$59+$AF25*Geometry!$D$42:$D$59))*(ABS(Es*(($AD25+$AE25*Geometry!$E$42:$E$59+$AF25*Geometry!$D$42:$D$59)))&lt;=fy)+fy*(Es*(($AD25+$AE25*Geometry!$E$42:$E$59+$AF25*Geometry!$D$42:$D$59))&gt;fy)-fy*(Es*(($AD25+$AE25*Geometry!$E$42:$E$59+$AF25*Geometry!$D$42:$D$59))&lt;-fy)-(alpha*fck*(1-(1-((($AD25+$AE25*Geometry!$E$42:$E$59+$AF25*Geometry!$D$42:$D$59))*(($AD25+$AE25*Geometry!$E$42:$E$59+$AF25*Geometry!$D$42:$D$59)&gt;0)*(($AD25+$AE25*Geometry!$E$42:$E$59+$AF25*Geometry!$D$42:$D$59)&lt;eco)+eco*(($AD25+$AE25*Geometry!$E$42:$E$59+$AF25*Geometry!$D$42:$D$59)&gt;=eco))/eco)^n)*((($AD25+$AE25*Geometry!$E$42:$E$59+$AF25*Geometry!$D$42:$D$59))&gt;0))),Geometry!$F$42:$F$59,Geometry!$D$42:$D$59))/1000000</f>
      </c>
      <c r="DF25" s="32">
        <f>(SUMPRODUCT(alpha*fck*(1-(1-((($AG25+$AH25*Mesh_Y+$AI25*Mesh_X))*(($AG25+$AH25*Mesh_Y+$AI25*Mesh_X)&gt;0)*(($AG25+$AH25*Mesh_Y+$AI25*Mesh_X)&lt;eco)+eco*(($AG25+$AH25*Mesh_Y+$AI25*Mesh_X)&gt;=eco))/eco)^n)*((($AG25+$AH25*Mesh_Y+$AI25*Mesh_X))&gt;0),Mesh_A,Mesh_X)+SUMPRODUCT((Es*(($AG25+$AH25*Geometry!$E$42:$E$59+$AI25*Geometry!$D$42:$D$59))*(ABS(Es*(($AG25+$AH25*Geometry!$E$42:$E$59+$AI25*Geometry!$D$42:$D$59)))&lt;=fy)+fy*(Es*(($AG25+$AH25*Geometry!$E$42:$E$59+$AI25*Geometry!$D$42:$D$59))&gt;fy)-fy*(Es*(($AG25+$AH25*Geometry!$E$42:$E$59+$AI25*Geometry!$D$42:$D$59))&lt;-fy)-(alpha*fck*(1-(1-((($AG25+$AH25*Geometry!$E$42:$E$59+$AI25*Geometry!$D$42:$D$59))*(($AG25+$AH25*Geometry!$E$42:$E$59+$AI25*Geometry!$D$42:$D$59)&gt;0)*(($AG25+$AH25*Geometry!$E$42:$E$59+$AI25*Geometry!$D$42:$D$59)&lt;eco)+eco*(($AG25+$AH25*Geometry!$E$42:$E$59+$AI25*Geometry!$D$42:$D$59)&gt;=eco))/eco)^n)*((($AG25+$AH25*Geometry!$E$42:$E$59+$AI25*Geometry!$D$42:$D$59))&gt;0))),Geometry!$F$42:$F$59,Geometry!$D$42:$D$59))/1000000</f>
      </c>
      <c r="DG25" s="32">
        <f>(SUMPRODUCT(alpha*fck*(1-(1-((($AJ25+$AK25*Mesh_Y+$AL25*Mesh_X))*(($AJ25+$AK25*Mesh_Y+$AL25*Mesh_X)&gt;0)*(($AJ25+$AK25*Mesh_Y+$AL25*Mesh_X)&lt;eco)+eco*(($AJ25+$AK25*Mesh_Y+$AL25*Mesh_X)&gt;=eco))/eco)^n)*((($AJ25+$AK25*Mesh_Y+$AL25*Mesh_X))&gt;0),Mesh_A,Mesh_X)+SUMPRODUCT((Es*(($AJ25+$AK25*Geometry!$E$42:$E$59+$AL25*Geometry!$D$42:$D$59))*(ABS(Es*(($AJ25+$AK25*Geometry!$E$42:$E$59+$AL25*Geometry!$D$42:$D$59)))&lt;=fy)+fy*(Es*(($AJ25+$AK25*Geometry!$E$42:$E$59+$AL25*Geometry!$D$42:$D$59))&gt;fy)-fy*(Es*(($AJ25+$AK25*Geometry!$E$42:$E$59+$AL25*Geometry!$D$42:$D$59))&lt;-fy)-(alpha*fck*(1-(1-((($AJ25+$AK25*Geometry!$E$42:$E$59+$AL25*Geometry!$D$42:$D$59))*(($AJ25+$AK25*Geometry!$E$42:$E$59+$AL25*Geometry!$D$42:$D$59)&gt;0)*(($AJ25+$AK25*Geometry!$E$42:$E$59+$AL25*Geometry!$D$42:$D$59)&lt;eco)+eco*(($AJ25+$AK25*Geometry!$E$42:$E$59+$AL25*Geometry!$D$42:$D$59)&gt;=eco))/eco)^n)*((($AJ25+$AK25*Geometry!$E$42:$E$59+$AL25*Geometry!$D$42:$D$59))&gt;0))),Geometry!$F$42:$F$59,Geometry!$D$42:$D$59))/1000000</f>
      </c>
      <c r="DH25" s="32">
        <f>(SUMPRODUCT(alpha*fck*(1-(1-((($AM25+$AN25*Mesh_Y+$AO25*Mesh_X))*(($AM25+$AN25*Mesh_Y+$AO25*Mesh_X)&gt;0)*(($AM25+$AN25*Mesh_Y+$AO25*Mesh_X)&lt;eco)+eco*(($AM25+$AN25*Mesh_Y+$AO25*Mesh_X)&gt;=eco))/eco)^n)*((($AM25+$AN25*Mesh_Y+$AO25*Mesh_X))&gt;0),Mesh_A,Mesh_X)+SUMPRODUCT((Es*(($AM25+$AN25*Geometry!$E$42:$E$59+$AO25*Geometry!$D$42:$D$59))*(ABS(Es*(($AM25+$AN25*Geometry!$E$42:$E$59+$AO25*Geometry!$D$42:$D$59)))&lt;=fy)+fy*(Es*(($AM25+$AN25*Geometry!$E$42:$E$59+$AO25*Geometry!$D$42:$D$59))&gt;fy)-fy*(Es*(($AM25+$AN25*Geometry!$E$42:$E$59+$AO25*Geometry!$D$42:$D$59))&lt;-fy)-(alpha*fck*(1-(1-((($AM25+$AN25*Geometry!$E$42:$E$59+$AO25*Geometry!$D$42:$D$59))*(($AM25+$AN25*Geometry!$E$42:$E$59+$AO25*Geometry!$D$42:$D$59)&gt;0)*(($AM25+$AN25*Geometry!$E$42:$E$59+$AO25*Geometry!$D$42:$D$59)&lt;eco)+eco*(($AM25+$AN25*Geometry!$E$42:$E$59+$AO25*Geometry!$D$42:$D$59)&gt;=eco))/eco)^n)*((($AM25+$AN25*Geometry!$E$42:$E$59+$AO25*Geometry!$D$42:$D$59))&gt;0))),Geometry!$F$42:$F$59,Geometry!$D$42:$D$59))/1000000</f>
      </c>
      <c r="DI25" s="32">
        <f>(SUMPRODUCT(alpha*fck*(1-(1-((($AP25+$AQ25*Mesh_Y+$AR25*Mesh_X))*(($AP25+$AQ25*Mesh_Y+$AR25*Mesh_X)&gt;0)*(($AP25+$AQ25*Mesh_Y+$AR25*Mesh_X)&lt;eco)+eco*(($AP25+$AQ25*Mesh_Y+$AR25*Mesh_X)&gt;=eco))/eco)^n)*((($AP25+$AQ25*Mesh_Y+$AR25*Mesh_X))&gt;0),Mesh_A,Mesh_X)+SUMPRODUCT((Es*(($AP25+$AQ25*Geometry!$E$42:$E$59+$AR25*Geometry!$D$42:$D$59))*(ABS(Es*(($AP25+$AQ25*Geometry!$E$42:$E$59+$AR25*Geometry!$D$42:$D$59)))&lt;=fy)+fy*(Es*(($AP25+$AQ25*Geometry!$E$42:$E$59+$AR25*Geometry!$D$42:$D$59))&gt;fy)-fy*(Es*(($AP25+$AQ25*Geometry!$E$42:$E$59+$AR25*Geometry!$D$42:$D$59))&lt;-fy)-(alpha*fck*(1-(1-((($AP25+$AQ25*Geometry!$E$42:$E$59+$AR25*Geometry!$D$42:$D$59))*(($AP25+$AQ25*Geometry!$E$42:$E$59+$AR25*Geometry!$D$42:$D$59)&gt;0)*(($AP25+$AQ25*Geometry!$E$42:$E$59+$AR25*Geometry!$D$42:$D$59)&lt;eco)+eco*(($AP25+$AQ25*Geometry!$E$42:$E$59+$AR25*Geometry!$D$42:$D$59)&gt;=eco))/eco)^n)*((($AP25+$AQ25*Geometry!$E$42:$E$59+$AR25*Geometry!$D$42:$D$59))&gt;0))),Geometry!$F$42:$F$59,Geometry!$D$42:$D$59))/1000000</f>
      </c>
      <c r="DJ25" s="32">
        <f>(SUMPRODUCT(alpha*fck*(1-(1-((($AS25+$AT25*Mesh_Y+$AU25*Mesh_X))*(($AS25+$AT25*Mesh_Y+$AU25*Mesh_X)&gt;0)*(($AS25+$AT25*Mesh_Y+$AU25*Mesh_X)&lt;eco)+eco*(($AS25+$AT25*Mesh_Y+$AU25*Mesh_X)&gt;=eco))/eco)^n)*((($AS25+$AT25*Mesh_Y+$AU25*Mesh_X))&gt;0),Mesh_A,Mesh_X)+SUMPRODUCT((Es*(($AS25+$AT25*Geometry!$E$42:$E$59+$AU25*Geometry!$D$42:$D$59))*(ABS(Es*(($AS25+$AT25*Geometry!$E$42:$E$59+$AU25*Geometry!$D$42:$D$59)))&lt;=fy)+fy*(Es*(($AS25+$AT25*Geometry!$E$42:$E$59+$AU25*Geometry!$D$42:$D$59))&gt;fy)-fy*(Es*(($AS25+$AT25*Geometry!$E$42:$E$59+$AU25*Geometry!$D$42:$D$59))&lt;-fy)-(alpha*fck*(1-(1-((($AS25+$AT25*Geometry!$E$42:$E$59+$AU25*Geometry!$D$42:$D$59))*(($AS25+$AT25*Geometry!$E$42:$E$59+$AU25*Geometry!$D$42:$D$59)&gt;0)*(($AS25+$AT25*Geometry!$E$42:$E$59+$AU25*Geometry!$D$42:$D$59)&lt;eco)+eco*(($AS25+$AT25*Geometry!$E$42:$E$59+$AU25*Geometry!$D$42:$D$59)&gt;=eco))/eco)^n)*((($AS25+$AT25*Geometry!$E$42:$E$59+$AU25*Geometry!$D$42:$D$59))&gt;0))),Geometry!$F$42:$F$59,Geometry!$D$42:$D$59))/1000000</f>
      </c>
      <c r="DK25" s="32">
        <f>(SUMPRODUCT(alpha*fck*(1-(1-((($AV25+$AW25*Mesh_Y+$AX25*Mesh_X))*(($AV25+$AW25*Mesh_Y+$AX25*Mesh_X)&gt;0)*(($AV25+$AW25*Mesh_Y+$AX25*Mesh_X)&lt;eco)+eco*(($AV25+$AW25*Mesh_Y+$AX25*Mesh_X)&gt;=eco))/eco)^n)*((($AV25+$AW25*Mesh_Y+$AX25*Mesh_X))&gt;0),Mesh_A,Mesh_X)+SUMPRODUCT((Es*(($AV25+$AW25*Geometry!$E$42:$E$59+$AX25*Geometry!$D$42:$D$59))*(ABS(Es*(($AV25+$AW25*Geometry!$E$42:$E$59+$AX25*Geometry!$D$42:$D$59)))&lt;=fy)+fy*(Es*(($AV25+$AW25*Geometry!$E$42:$E$59+$AX25*Geometry!$D$42:$D$59))&gt;fy)-fy*(Es*(($AV25+$AW25*Geometry!$E$42:$E$59+$AX25*Geometry!$D$42:$D$59))&lt;-fy)-(alpha*fck*(1-(1-((($AV25+$AW25*Geometry!$E$42:$E$59+$AX25*Geometry!$D$42:$D$59))*(($AV25+$AW25*Geometry!$E$42:$E$59+$AX25*Geometry!$D$42:$D$59)&gt;0)*(($AV25+$AW25*Geometry!$E$42:$E$59+$AX25*Geometry!$D$42:$D$59)&lt;eco)+eco*(($AV25+$AW25*Geometry!$E$42:$E$59+$AX25*Geometry!$D$42:$D$59)&gt;=eco))/eco)^n)*((($AV25+$AW25*Geometry!$E$42:$E$59+$AX25*Geometry!$D$42:$D$59))&gt;0))),Geometry!$F$42:$F$59,Geometry!$D$42:$D$59))/1000000</f>
      </c>
      <c r="DL25" s="32">
        <f>(SUMPRODUCT(alpha*fck*(1-(1-((($AY25+$AZ25*Mesh_Y+$BA25*Mesh_X))*(($AY25+$AZ25*Mesh_Y+$BA25*Mesh_X)&gt;0)*(($AY25+$AZ25*Mesh_Y+$BA25*Mesh_X)&lt;eco)+eco*(($AY25+$AZ25*Mesh_Y+$BA25*Mesh_X)&gt;=eco))/eco)^n)*((($AY25+$AZ25*Mesh_Y+$BA25*Mesh_X))&gt;0),Mesh_A,Mesh_X)+SUMPRODUCT((Es*(($AY25+$AZ25*Geometry!$E$42:$E$59+$BA25*Geometry!$D$42:$D$59))*(ABS(Es*(($AY25+$AZ25*Geometry!$E$42:$E$59+$BA25*Geometry!$D$42:$D$59)))&lt;=fy)+fy*(Es*(($AY25+$AZ25*Geometry!$E$42:$E$59+$BA25*Geometry!$D$42:$D$59))&gt;fy)-fy*(Es*(($AY25+$AZ25*Geometry!$E$42:$E$59+$BA25*Geometry!$D$42:$D$59))&lt;-fy)-(alpha*fck*(1-(1-((($AY25+$AZ25*Geometry!$E$42:$E$59+$BA25*Geometry!$D$42:$D$59))*(($AY25+$AZ25*Geometry!$E$42:$E$59+$BA25*Geometry!$D$42:$D$59)&gt;0)*(($AY25+$AZ25*Geometry!$E$42:$E$59+$BA25*Geometry!$D$42:$D$59)&lt;eco)+eco*(($AY25+$AZ25*Geometry!$E$42:$E$59+$BA25*Geometry!$D$42:$D$59)&gt;=eco))/eco)^n)*((($AY25+$AZ25*Geometry!$E$42:$E$59+$BA25*Geometry!$D$42:$D$59))&gt;0))),Geometry!$F$42:$F$59,Geometry!$D$42:$D$59))/1000000</f>
      </c>
      <c r="DM25" s="32">
        <f>(SUMPRODUCT(alpha*fck*(1-(1-((($BB25+$BC25*Mesh_Y+$BD25*Mesh_X))*(($BB25+$BC25*Mesh_Y+$BD25*Mesh_X)&gt;0)*(($BB25+$BC25*Mesh_Y+$BD25*Mesh_X)&lt;eco)+eco*(($BB25+$BC25*Mesh_Y+$BD25*Mesh_X)&gt;=eco))/eco)^n)*((($BB25+$BC25*Mesh_Y+$BD25*Mesh_X))&gt;0),Mesh_A,Mesh_X)+SUMPRODUCT((Es*(($BB25+$BC25*Geometry!$E$42:$E$59+$BD25*Geometry!$D$42:$D$59))*(ABS(Es*(($BB25+$BC25*Geometry!$E$42:$E$59+$BD25*Geometry!$D$42:$D$59)))&lt;=fy)+fy*(Es*(($BB25+$BC25*Geometry!$E$42:$E$59+$BD25*Geometry!$D$42:$D$59))&gt;fy)-fy*(Es*(($BB25+$BC25*Geometry!$E$42:$E$59+$BD25*Geometry!$D$42:$D$59))&lt;-fy)-(alpha*fck*(1-(1-((($BB25+$BC25*Geometry!$E$42:$E$59+$BD25*Geometry!$D$42:$D$59))*(($BB25+$BC25*Geometry!$E$42:$E$59+$BD25*Geometry!$D$42:$D$59)&gt;0)*(($BB25+$BC25*Geometry!$E$42:$E$59+$BD25*Geometry!$D$42:$D$59)&lt;eco)+eco*(($BB25+$BC25*Geometry!$E$42:$E$59+$BD25*Geometry!$D$42:$D$59)&gt;=eco))/eco)^n)*((($BB25+$BC25*Geometry!$E$42:$E$59+$BD25*Geometry!$D$42:$D$59))&gt;0))),Geometry!$F$42:$F$59,Geometry!$D$42:$D$59))/1000000</f>
      </c>
      <c r="DN25" s="32">
        <f>(SUMPRODUCT(alpha*fck*(1-(1-((($BE25+$BF25*Mesh_Y+$BG25*Mesh_X))*(($BE25+$BF25*Mesh_Y+$BG25*Mesh_X)&gt;0)*(($BE25+$BF25*Mesh_Y+$BG25*Mesh_X)&lt;eco)+eco*(($BE25+$BF25*Mesh_Y+$BG25*Mesh_X)&gt;=eco))/eco)^n)*((($BE25+$BF25*Mesh_Y+$BG25*Mesh_X))&gt;0),Mesh_A,Mesh_X)+SUMPRODUCT((Es*(($BE25+$BF25*Geometry!$E$42:$E$59+$BG25*Geometry!$D$42:$D$59))*(ABS(Es*(($BE25+$BF25*Geometry!$E$42:$E$59+$BG25*Geometry!$D$42:$D$59)))&lt;=fy)+fy*(Es*(($BE25+$BF25*Geometry!$E$42:$E$59+$BG25*Geometry!$D$42:$D$59))&gt;fy)-fy*(Es*(($BE25+$BF25*Geometry!$E$42:$E$59+$BG25*Geometry!$D$42:$D$59))&lt;-fy)-(alpha*fck*(1-(1-((($BE25+$BF25*Geometry!$E$42:$E$59+$BG25*Geometry!$D$42:$D$59))*(($BE25+$BF25*Geometry!$E$42:$E$59+$BG25*Geometry!$D$42:$D$59)&gt;0)*(($BE25+$BF25*Geometry!$E$42:$E$59+$BG25*Geometry!$D$42:$D$59)&lt;eco)+eco*(($BE25+$BF25*Geometry!$E$42:$E$59+$BG25*Geometry!$D$42:$D$59)&gt;=eco))/eco)^n)*((($BE25+$BF25*Geometry!$E$42:$E$59+$BG25*Geometry!$D$42:$D$59))&gt;0))),Geometry!$F$42:$F$59,Geometry!$D$42:$D$59))/1000000</f>
      </c>
      <c r="DO25" s="32">
        <f>(SUMPRODUCT(alpha*fck*(1-(1-((($BH25+$BI25*Mesh_Y+$BJ25*Mesh_X))*(($BH25+$BI25*Mesh_Y+$BJ25*Mesh_X)&gt;0)*(($BH25+$BI25*Mesh_Y+$BJ25*Mesh_X)&lt;eco)+eco*(($BH25+$BI25*Mesh_Y+$BJ25*Mesh_X)&gt;=eco))/eco)^n)*((($BH25+$BI25*Mesh_Y+$BJ25*Mesh_X))&gt;0),Mesh_A,Mesh_X)+SUMPRODUCT((Es*(($BH25+$BI25*Geometry!$E$42:$E$59+$BJ25*Geometry!$D$42:$D$59))*(ABS(Es*(($BH25+$BI25*Geometry!$E$42:$E$59+$BJ25*Geometry!$D$42:$D$59)))&lt;=fy)+fy*(Es*(($BH25+$BI25*Geometry!$E$42:$E$59+$BJ25*Geometry!$D$42:$D$59))&gt;fy)-fy*(Es*(($BH25+$BI25*Geometry!$E$42:$E$59+$BJ25*Geometry!$D$42:$D$59))&lt;-fy)-(alpha*fck*(1-(1-((($BH25+$BI25*Geometry!$E$42:$E$59+$BJ25*Geometry!$D$42:$D$59))*(($BH25+$BI25*Geometry!$E$42:$E$59+$BJ25*Geometry!$D$42:$D$59)&gt;0)*(($BH25+$BI25*Geometry!$E$42:$E$59+$BJ25*Geometry!$D$42:$D$59)&lt;eco)+eco*(($BH25+$BI25*Geometry!$E$42:$E$59+$BJ25*Geometry!$D$42:$D$59)&gt;=eco))/eco)^n)*((($BH25+$BI25*Geometry!$E$42:$E$59+$BJ25*Geometry!$D$42:$D$59))&gt;0))),Geometry!$F$42:$F$59,Geometry!$D$42:$D$59))/1000000</f>
      </c>
      <c r="DP25" s="45">
        <f>MAX(1,MIN(18,SUMPRODUCT(--($BK25:$CC25&gt;=Pu))))</f>
      </c>
      <c r="DQ25" s="46">
        <f>(Pu-INDEX($BK25:$CC25,1,$DP25))/(INDEX($BK25:$CC25,1,$DP25+1)-INDEX($BK25:$CC25,1,$DP25))</f>
      </c>
      <c r="DR25" s="33">
        <f>INDEX($CD25:$CV25,1,$DP25)+$DQ25*(INDEX($CD25:$CV25,1,$DP25+1)-INDEX($CD25:$CV25,1,$DP25))</f>
      </c>
      <c r="DS25" s="33">
        <f>INDEX($CW25:$DO25,1,$DP25)+$DQ25*(INDEX($CW25:$DO25,1,$DP25+1)-INDEX($CW25:$DO25,1,$DP25))</f>
      </c>
      <c r="DT25" s="33">
        <f>SQRT(DR25^2+DS25^2)</f>
      </c>
    </row>
    <row r="26" spans="1:124" x14ac:dyDescent="0.25">
      <c r="A26">
        <v>19</v>
      </c>
      <c r="B26" s="43">
        <v>270</v>
      </c>
      <c r="C26" s="12">
        <f>MAX(SUMPRODUCT(MAX((Geometry!$E$6:$E$13)*COS(RADIANS($B26))+(Geometry!$D$6:$D$13)*SIN(RADIANS($B26)))))</f>
      </c>
      <c r="D26" s="12">
        <f>SUMPRODUCT(MIN((Geometry!$E$42:$E$59)*COS(RADIANS($B26))+(Geometry!$D$42:$D$59)*SIN(RADIANS($B26))))</f>
      </c>
      <c r="E26" s="12">
        <f>C26-D26</f>
      </c>
      <c r="F26" s="30">
        <f>ecu</f>
      </c>
      <c r="G26" s="44">
        <f>0*COS(RADIANS($B26))</f>
      </c>
      <c r="H26" s="44">
        <f>0*SIN(RADIANS($B26))</f>
      </c>
      <c r="I26" s="30">
        <f>ecu-((ecu-0)/($C26-($C26-PM_Angle!$C$8*$E26)))*$C26</f>
      </c>
      <c r="J26" s="44">
        <f>((ecu-0)/($C26-($C26-PM_Angle!$C$8*$E26)))*COS(RADIANS($B26))</f>
      </c>
      <c r="K26" s="44">
        <f>((ecu-0)/($C26-($C26-PM_Angle!$C$8*$E26)))*SIN(RADIANS($B26))</f>
      </c>
      <c r="L26" s="30">
        <f>ecu-((ecu-0)/($C26-($C26-PM_Angle!$C$9*$E26)))*$C26</f>
      </c>
      <c r="M26" s="44">
        <f>((ecu-0)/($C26-($C26-PM_Angle!$C$9*$E26)))*COS(RADIANS($B26))</f>
      </c>
      <c r="N26" s="44">
        <f>((ecu-0)/($C26-($C26-PM_Angle!$C$9*$E26)))*SIN(RADIANS($B26))</f>
      </c>
      <c r="O26" s="30">
        <f>ecu-((ecu-0)/($C26-($C26-PM_Angle!$C$10*$E26)))*$C26</f>
      </c>
      <c r="P26" s="44">
        <f>((ecu-0)/($C26-($C26-PM_Angle!$C$10*$E26)))*COS(RADIANS($B26))</f>
      </c>
      <c r="Q26" s="44">
        <f>((ecu-0)/($C26-($C26-PM_Angle!$C$10*$E26)))*SIN(RADIANS($B26))</f>
      </c>
      <c r="R26" s="30">
        <f>ecu-((ecu-0)/($C26-($C26-PM_Angle!$C$11*$E26)))*$C26</f>
      </c>
      <c r="S26" s="44">
        <f>((ecu-0)/($C26-($C26-PM_Angle!$C$11*$E26)))*COS(RADIANS($B26))</f>
      </c>
      <c r="T26" s="44">
        <f>((ecu-0)/($C26-($C26-PM_Angle!$C$11*$E26)))*SIN(RADIANS($B26))</f>
      </c>
      <c r="U26" s="30">
        <f>ecu-((ecu-(-PM_Angle!$E$12))/($C26-$D26))*$C26</f>
      </c>
      <c r="V26" s="44">
        <f>((ecu-(-PM_Angle!$E$12))/($C26-$D26))*COS(RADIANS($B26))</f>
      </c>
      <c r="W26" s="44">
        <f>((ecu-(-PM_Angle!$E$12))/($C26-$D26))*SIN(RADIANS($B26))</f>
      </c>
      <c r="X26" s="30">
        <f>ecu-((ecu-(-PM_Angle!$D$13*fy/Es))/($C26-$D26))*$C26</f>
      </c>
      <c r="Y26" s="44">
        <f>((ecu-(-PM_Angle!$D$13*fy/Es))/($C26-$D26))*COS(RADIANS($B26))</f>
      </c>
      <c r="Z26" s="44">
        <f>((ecu-(-PM_Angle!$D$13*fy/Es))/($C26-$D26))*SIN(RADIANS($B26))</f>
      </c>
      <c r="AA26" s="30">
        <f>ecu-((ecu-(-PM_Angle!$D$14*fy/Es))/($C26-$D26))*$C26</f>
      </c>
      <c r="AB26" s="44">
        <f>((ecu-(-PM_Angle!$D$14*fy/Es))/($C26-$D26))*COS(RADIANS($B26))</f>
      </c>
      <c r="AC26" s="44">
        <f>((ecu-(-PM_Angle!$D$14*fy/Es))/($C26-$D26))*SIN(RADIANS($B26))</f>
      </c>
      <c r="AD26" s="30">
        <f>ecu-((ecu-(-PM_Angle!$D$15*fy/Es))/($C26-$D26))*$C26</f>
      </c>
      <c r="AE26" s="44">
        <f>((ecu-(-PM_Angle!$D$15*fy/Es))/($C26-$D26))*COS(RADIANS($B26))</f>
      </c>
      <c r="AF26" s="44">
        <f>((ecu-(-PM_Angle!$D$15*fy/Es))/($C26-$D26))*SIN(RADIANS($B26))</f>
      </c>
      <c r="AG26" s="30">
        <f>ecu-((ecu-(-PM_Angle!$D$16*fy/Es))/($C26-$D26))*$C26</f>
      </c>
      <c r="AH26" s="44">
        <f>((ecu-(-PM_Angle!$D$16*fy/Es))/($C26-$D26))*COS(RADIANS($B26))</f>
      </c>
      <c r="AI26" s="44">
        <f>((ecu-(-PM_Angle!$D$16*fy/Es))/($C26-$D26))*SIN(RADIANS($B26))</f>
      </c>
      <c r="AJ26" s="30">
        <f>ecu-((ecu-(-PM_Angle!$E$17))/($C26-$D26))*$C26</f>
      </c>
      <c r="AK26" s="44">
        <f>((ecu-(-PM_Angle!$E$17))/($C26-$D26))*COS(RADIANS($B26))</f>
      </c>
      <c r="AL26" s="44">
        <f>((ecu-(-PM_Angle!$E$17))/($C26-$D26))*SIN(RADIANS($B26))</f>
      </c>
      <c r="AM26" s="30">
        <f>ecu-((ecu-(-PM_Angle!$E$18))/($C26-$D26))*$C26</f>
      </c>
      <c r="AN26" s="44">
        <f>((ecu-(-PM_Angle!$E$18))/($C26-$D26))*COS(RADIANS($B26))</f>
      </c>
      <c r="AO26" s="44">
        <f>((ecu-(-PM_Angle!$E$18))/($C26-$D26))*SIN(RADIANS($B26))</f>
      </c>
      <c r="AP26" s="30">
        <f>ecu-((ecu-(-PM_Angle!$E$19))/($C26-$D26))*$C26</f>
      </c>
      <c r="AQ26" s="44">
        <f>((ecu-(-PM_Angle!$E$19))/($C26-$D26))*COS(RADIANS($B26))</f>
      </c>
      <c r="AR26" s="44">
        <f>((ecu-(-PM_Angle!$E$19))/($C26-$D26))*SIN(RADIANS($B26))</f>
      </c>
      <c r="AS26" s="30">
        <f>ecu-((ecu-(-PM_Angle!$E$20))/($C26-$D26))*$C26</f>
      </c>
      <c r="AT26" s="44">
        <f>((ecu-(-PM_Angle!$E$20))/($C26-$D26))*COS(RADIANS($B26))</f>
      </c>
      <c r="AU26" s="44">
        <f>((ecu-(-PM_Angle!$E$20))/($C26-$D26))*SIN(RADIANS($B26))</f>
      </c>
      <c r="AV26" s="30">
        <f>ecu-((ecu-(-PM_Angle!$E$21))/($C26-$D26))*$C26</f>
      </c>
      <c r="AW26" s="44">
        <f>((ecu-(-PM_Angle!$E$21))/($C26-$D26))*COS(RADIANS($B26))</f>
      </c>
      <c r="AX26" s="44">
        <f>((ecu-(-PM_Angle!$E$21))/($C26-$D26))*SIN(RADIANS($B26))</f>
      </c>
      <c r="AY26" s="30">
        <f>ecu-((ecu-(-PM_Angle!$E$22))/($C26-$D26))*$C26</f>
      </c>
      <c r="AZ26" s="44">
        <f>((ecu-(-PM_Angle!$E$22))/($C26-$D26))*COS(RADIANS($B26))</f>
      </c>
      <c r="BA26" s="44">
        <f>((ecu-(-PM_Angle!$E$22))/($C26-$D26))*SIN(RADIANS($B26))</f>
      </c>
      <c r="BB26" s="30">
        <f>ecu-((ecu-(-PM_Angle!$E$23))/($C26-$D26))*$C26</f>
      </c>
      <c r="BC26" s="44">
        <f>((ecu-(-PM_Angle!$E$23))/($C26-$D26))*COS(RADIANS($B26))</f>
      </c>
      <c r="BD26" s="44">
        <f>((ecu-(-PM_Angle!$E$23))/($C26-$D26))*SIN(RADIANS($B26))</f>
      </c>
      <c r="BE26" s="30">
        <f>ecu-((ecu-(-PM_Angle!$E$24))/($C26-$D26))*$C26</f>
      </c>
      <c r="BF26" s="44">
        <f>((ecu-(-PM_Angle!$E$24))/($C26-$D26))*COS(RADIANS($B26))</f>
      </c>
      <c r="BG26" s="44">
        <f>((ecu-(-PM_Angle!$E$24))/($C26-$D26))*SIN(RADIANS($B26))</f>
      </c>
      <c r="BH26" s="30">
        <f>etu</f>
      </c>
      <c r="BI26" s="44">
        <f>0*COS(RADIANS($B26))</f>
      </c>
      <c r="BJ26" s="44">
        <f>0*SIN(RADIANS($B26))</f>
      </c>
      <c r="BK26" s="32">
        <f>(SUMPRODUCT(alpha*fck*(1-(1-((($F26+$G26*Mesh_Y+$H26*Mesh_X))*(($F26+$G26*Mesh_Y+$H26*Mesh_X)&gt;0)*(($F26+$G26*Mesh_Y+$H26*Mesh_X)&lt;eco)+eco*(($F26+$G26*Mesh_Y+$H26*Mesh_X)&gt;=eco))/eco)^n)*((($F26+$G26*Mesh_Y+$H26*Mesh_X))&gt;0),Mesh_A)+SUMPRODUCT((Es*(($F26+$G26*Geometry!$E$42:$E$59+$H26*Geometry!$D$42:$D$59))*(ABS(Es*(($F26+$G26*Geometry!$E$42:$E$59+$H26*Geometry!$D$42:$D$59)))&lt;=fy)+fy*(Es*(($F26+$G26*Geometry!$E$42:$E$59+$H26*Geometry!$D$42:$D$59))&gt;fy)-fy*(Es*(($F26+$G26*Geometry!$E$42:$E$59+$H26*Geometry!$D$42:$D$59))&lt;-fy)-(alpha*fck*(1-(1-((($F26+$G26*Geometry!$E$42:$E$59+$H26*Geometry!$D$42:$D$59))*(($F26+$G26*Geometry!$E$42:$E$59+$H26*Geometry!$D$42:$D$59)&gt;0)*(($F26+$G26*Geometry!$E$42:$E$59+$H26*Geometry!$D$42:$D$59)&lt;eco)+eco*(($F26+$G26*Geometry!$E$42:$E$59+$H26*Geometry!$D$42:$D$59)&gt;=eco))/eco)^n)*((($F26+$G26*Geometry!$E$42:$E$59+$H26*Geometry!$D$42:$D$59))&gt;0))),Geometry!$F$42:$F$59))/1000</f>
      </c>
      <c r="BL26" s="32">
        <f>(SUMPRODUCT(alpha*fck*(1-(1-((($I26+$J26*Mesh_Y+$K26*Mesh_X))*(($I26+$J26*Mesh_Y+$K26*Mesh_X)&gt;0)*(($I26+$J26*Mesh_Y+$K26*Mesh_X)&lt;eco)+eco*(($I26+$J26*Mesh_Y+$K26*Mesh_X)&gt;=eco))/eco)^n)*((($I26+$J26*Mesh_Y+$K26*Mesh_X))&gt;0),Mesh_A)+SUMPRODUCT((Es*(($I26+$J26*Geometry!$E$42:$E$59+$K26*Geometry!$D$42:$D$59))*(ABS(Es*(($I26+$J26*Geometry!$E$42:$E$59+$K26*Geometry!$D$42:$D$59)))&lt;=fy)+fy*(Es*(($I26+$J26*Geometry!$E$42:$E$59+$K26*Geometry!$D$42:$D$59))&gt;fy)-fy*(Es*(($I26+$J26*Geometry!$E$42:$E$59+$K26*Geometry!$D$42:$D$59))&lt;-fy)-(alpha*fck*(1-(1-((($I26+$J26*Geometry!$E$42:$E$59+$K26*Geometry!$D$42:$D$59))*(($I26+$J26*Geometry!$E$42:$E$59+$K26*Geometry!$D$42:$D$59)&gt;0)*(($I26+$J26*Geometry!$E$42:$E$59+$K26*Geometry!$D$42:$D$59)&lt;eco)+eco*(($I26+$J26*Geometry!$E$42:$E$59+$K26*Geometry!$D$42:$D$59)&gt;=eco))/eco)^n)*((($I26+$J26*Geometry!$E$42:$E$59+$K26*Geometry!$D$42:$D$59))&gt;0))),Geometry!$F$42:$F$59))/1000</f>
      </c>
      <c r="BM26" s="32">
        <f>(SUMPRODUCT(alpha*fck*(1-(1-((($L26+$M26*Mesh_Y+$N26*Mesh_X))*(($L26+$M26*Mesh_Y+$N26*Mesh_X)&gt;0)*(($L26+$M26*Mesh_Y+$N26*Mesh_X)&lt;eco)+eco*(($L26+$M26*Mesh_Y+$N26*Mesh_X)&gt;=eco))/eco)^n)*((($L26+$M26*Mesh_Y+$N26*Mesh_X))&gt;0),Mesh_A)+SUMPRODUCT((Es*(($L26+$M26*Geometry!$E$42:$E$59+$N26*Geometry!$D$42:$D$59))*(ABS(Es*(($L26+$M26*Geometry!$E$42:$E$59+$N26*Geometry!$D$42:$D$59)))&lt;=fy)+fy*(Es*(($L26+$M26*Geometry!$E$42:$E$59+$N26*Geometry!$D$42:$D$59))&gt;fy)-fy*(Es*(($L26+$M26*Geometry!$E$42:$E$59+$N26*Geometry!$D$42:$D$59))&lt;-fy)-(alpha*fck*(1-(1-((($L26+$M26*Geometry!$E$42:$E$59+$N26*Geometry!$D$42:$D$59))*(($L26+$M26*Geometry!$E$42:$E$59+$N26*Geometry!$D$42:$D$59)&gt;0)*(($L26+$M26*Geometry!$E$42:$E$59+$N26*Geometry!$D$42:$D$59)&lt;eco)+eco*(($L26+$M26*Geometry!$E$42:$E$59+$N26*Geometry!$D$42:$D$59)&gt;=eco))/eco)^n)*((($L26+$M26*Geometry!$E$42:$E$59+$N26*Geometry!$D$42:$D$59))&gt;0))),Geometry!$F$42:$F$59))/1000</f>
      </c>
      <c r="BN26" s="32">
        <f>(SUMPRODUCT(alpha*fck*(1-(1-((($O26+$P26*Mesh_Y+$Q26*Mesh_X))*(($O26+$P26*Mesh_Y+$Q26*Mesh_X)&gt;0)*(($O26+$P26*Mesh_Y+$Q26*Mesh_X)&lt;eco)+eco*(($O26+$P26*Mesh_Y+$Q26*Mesh_X)&gt;=eco))/eco)^n)*((($O26+$P26*Mesh_Y+$Q26*Mesh_X))&gt;0),Mesh_A)+SUMPRODUCT((Es*(($O26+$P26*Geometry!$E$42:$E$59+$Q26*Geometry!$D$42:$D$59))*(ABS(Es*(($O26+$P26*Geometry!$E$42:$E$59+$Q26*Geometry!$D$42:$D$59)))&lt;=fy)+fy*(Es*(($O26+$P26*Geometry!$E$42:$E$59+$Q26*Geometry!$D$42:$D$59))&gt;fy)-fy*(Es*(($O26+$P26*Geometry!$E$42:$E$59+$Q26*Geometry!$D$42:$D$59))&lt;-fy)-(alpha*fck*(1-(1-((($O26+$P26*Geometry!$E$42:$E$59+$Q26*Geometry!$D$42:$D$59))*(($O26+$P26*Geometry!$E$42:$E$59+$Q26*Geometry!$D$42:$D$59)&gt;0)*(($O26+$P26*Geometry!$E$42:$E$59+$Q26*Geometry!$D$42:$D$59)&lt;eco)+eco*(($O26+$P26*Geometry!$E$42:$E$59+$Q26*Geometry!$D$42:$D$59)&gt;=eco))/eco)^n)*((($O26+$P26*Geometry!$E$42:$E$59+$Q26*Geometry!$D$42:$D$59))&gt;0))),Geometry!$F$42:$F$59))/1000</f>
      </c>
      <c r="BO26" s="32">
        <f>(SUMPRODUCT(alpha*fck*(1-(1-((($R26+$S26*Mesh_Y+$T26*Mesh_X))*(($R26+$S26*Mesh_Y+$T26*Mesh_X)&gt;0)*(($R26+$S26*Mesh_Y+$T26*Mesh_X)&lt;eco)+eco*(($R26+$S26*Mesh_Y+$T26*Mesh_X)&gt;=eco))/eco)^n)*((($R26+$S26*Mesh_Y+$T26*Mesh_X))&gt;0),Mesh_A)+SUMPRODUCT((Es*(($R26+$S26*Geometry!$E$42:$E$59+$T26*Geometry!$D$42:$D$59))*(ABS(Es*(($R26+$S26*Geometry!$E$42:$E$59+$T26*Geometry!$D$42:$D$59)))&lt;=fy)+fy*(Es*(($R26+$S26*Geometry!$E$42:$E$59+$T26*Geometry!$D$42:$D$59))&gt;fy)-fy*(Es*(($R26+$S26*Geometry!$E$42:$E$59+$T26*Geometry!$D$42:$D$59))&lt;-fy)-(alpha*fck*(1-(1-((($R26+$S26*Geometry!$E$42:$E$59+$T26*Geometry!$D$42:$D$59))*(($R26+$S26*Geometry!$E$42:$E$59+$T26*Geometry!$D$42:$D$59)&gt;0)*(($R26+$S26*Geometry!$E$42:$E$59+$T26*Geometry!$D$42:$D$59)&lt;eco)+eco*(($R26+$S26*Geometry!$E$42:$E$59+$T26*Geometry!$D$42:$D$59)&gt;=eco))/eco)^n)*((($R26+$S26*Geometry!$E$42:$E$59+$T26*Geometry!$D$42:$D$59))&gt;0))),Geometry!$F$42:$F$59))/1000</f>
      </c>
      <c r="BP26" s="32">
        <f>(SUMPRODUCT(alpha*fck*(1-(1-((($U26+$V26*Mesh_Y+$W26*Mesh_X))*(($U26+$V26*Mesh_Y+$W26*Mesh_X)&gt;0)*(($U26+$V26*Mesh_Y+$W26*Mesh_X)&lt;eco)+eco*(($U26+$V26*Mesh_Y+$W26*Mesh_X)&gt;=eco))/eco)^n)*((($U26+$V26*Mesh_Y+$W26*Mesh_X))&gt;0),Mesh_A)+SUMPRODUCT((Es*(($U26+$V26*Geometry!$E$42:$E$59+$W26*Geometry!$D$42:$D$59))*(ABS(Es*(($U26+$V26*Geometry!$E$42:$E$59+$W26*Geometry!$D$42:$D$59)))&lt;=fy)+fy*(Es*(($U26+$V26*Geometry!$E$42:$E$59+$W26*Geometry!$D$42:$D$59))&gt;fy)-fy*(Es*(($U26+$V26*Geometry!$E$42:$E$59+$W26*Geometry!$D$42:$D$59))&lt;-fy)-(alpha*fck*(1-(1-((($U26+$V26*Geometry!$E$42:$E$59+$W26*Geometry!$D$42:$D$59))*(($U26+$V26*Geometry!$E$42:$E$59+$W26*Geometry!$D$42:$D$59)&gt;0)*(($U26+$V26*Geometry!$E$42:$E$59+$W26*Geometry!$D$42:$D$59)&lt;eco)+eco*(($U26+$V26*Geometry!$E$42:$E$59+$W26*Geometry!$D$42:$D$59)&gt;=eco))/eco)^n)*((($U26+$V26*Geometry!$E$42:$E$59+$W26*Geometry!$D$42:$D$59))&gt;0))),Geometry!$F$42:$F$59))/1000</f>
      </c>
      <c r="BQ26" s="32">
        <f>(SUMPRODUCT(alpha*fck*(1-(1-((($X26+$Y26*Mesh_Y+$Z26*Mesh_X))*(($X26+$Y26*Mesh_Y+$Z26*Mesh_X)&gt;0)*(($X26+$Y26*Mesh_Y+$Z26*Mesh_X)&lt;eco)+eco*(($X26+$Y26*Mesh_Y+$Z26*Mesh_X)&gt;=eco))/eco)^n)*((($X26+$Y26*Mesh_Y+$Z26*Mesh_X))&gt;0),Mesh_A)+SUMPRODUCT((Es*(($X26+$Y26*Geometry!$E$42:$E$59+$Z26*Geometry!$D$42:$D$59))*(ABS(Es*(($X26+$Y26*Geometry!$E$42:$E$59+$Z26*Geometry!$D$42:$D$59)))&lt;=fy)+fy*(Es*(($X26+$Y26*Geometry!$E$42:$E$59+$Z26*Geometry!$D$42:$D$59))&gt;fy)-fy*(Es*(($X26+$Y26*Geometry!$E$42:$E$59+$Z26*Geometry!$D$42:$D$59))&lt;-fy)-(alpha*fck*(1-(1-((($X26+$Y26*Geometry!$E$42:$E$59+$Z26*Geometry!$D$42:$D$59))*(($X26+$Y26*Geometry!$E$42:$E$59+$Z26*Geometry!$D$42:$D$59)&gt;0)*(($X26+$Y26*Geometry!$E$42:$E$59+$Z26*Geometry!$D$42:$D$59)&lt;eco)+eco*(($X26+$Y26*Geometry!$E$42:$E$59+$Z26*Geometry!$D$42:$D$59)&gt;=eco))/eco)^n)*((($X26+$Y26*Geometry!$E$42:$E$59+$Z26*Geometry!$D$42:$D$59))&gt;0))),Geometry!$F$42:$F$59))/1000</f>
      </c>
      <c r="BR26" s="32">
        <f>(SUMPRODUCT(alpha*fck*(1-(1-((($AA26+$AB26*Mesh_Y+$AC26*Mesh_X))*(($AA26+$AB26*Mesh_Y+$AC26*Mesh_X)&gt;0)*(($AA26+$AB26*Mesh_Y+$AC26*Mesh_X)&lt;eco)+eco*(($AA26+$AB26*Mesh_Y+$AC26*Mesh_X)&gt;=eco))/eco)^n)*((($AA26+$AB26*Mesh_Y+$AC26*Mesh_X))&gt;0),Mesh_A)+SUMPRODUCT((Es*(($AA26+$AB26*Geometry!$E$42:$E$59+$AC26*Geometry!$D$42:$D$59))*(ABS(Es*(($AA26+$AB26*Geometry!$E$42:$E$59+$AC26*Geometry!$D$42:$D$59)))&lt;=fy)+fy*(Es*(($AA26+$AB26*Geometry!$E$42:$E$59+$AC26*Geometry!$D$42:$D$59))&gt;fy)-fy*(Es*(($AA26+$AB26*Geometry!$E$42:$E$59+$AC26*Geometry!$D$42:$D$59))&lt;-fy)-(alpha*fck*(1-(1-((($AA26+$AB26*Geometry!$E$42:$E$59+$AC26*Geometry!$D$42:$D$59))*(($AA26+$AB26*Geometry!$E$42:$E$59+$AC26*Geometry!$D$42:$D$59)&gt;0)*(($AA26+$AB26*Geometry!$E$42:$E$59+$AC26*Geometry!$D$42:$D$59)&lt;eco)+eco*(($AA26+$AB26*Geometry!$E$42:$E$59+$AC26*Geometry!$D$42:$D$59)&gt;=eco))/eco)^n)*((($AA26+$AB26*Geometry!$E$42:$E$59+$AC26*Geometry!$D$42:$D$59))&gt;0))),Geometry!$F$42:$F$59))/1000</f>
      </c>
      <c r="BS26" s="32">
        <f>(SUMPRODUCT(alpha*fck*(1-(1-((($AD26+$AE26*Mesh_Y+$AF26*Mesh_X))*(($AD26+$AE26*Mesh_Y+$AF26*Mesh_X)&gt;0)*(($AD26+$AE26*Mesh_Y+$AF26*Mesh_X)&lt;eco)+eco*(($AD26+$AE26*Mesh_Y+$AF26*Mesh_X)&gt;=eco))/eco)^n)*((($AD26+$AE26*Mesh_Y+$AF26*Mesh_X))&gt;0),Mesh_A)+SUMPRODUCT((Es*(($AD26+$AE26*Geometry!$E$42:$E$59+$AF26*Geometry!$D$42:$D$59))*(ABS(Es*(($AD26+$AE26*Geometry!$E$42:$E$59+$AF26*Geometry!$D$42:$D$59)))&lt;=fy)+fy*(Es*(($AD26+$AE26*Geometry!$E$42:$E$59+$AF26*Geometry!$D$42:$D$59))&gt;fy)-fy*(Es*(($AD26+$AE26*Geometry!$E$42:$E$59+$AF26*Geometry!$D$42:$D$59))&lt;-fy)-(alpha*fck*(1-(1-((($AD26+$AE26*Geometry!$E$42:$E$59+$AF26*Geometry!$D$42:$D$59))*(($AD26+$AE26*Geometry!$E$42:$E$59+$AF26*Geometry!$D$42:$D$59)&gt;0)*(($AD26+$AE26*Geometry!$E$42:$E$59+$AF26*Geometry!$D$42:$D$59)&lt;eco)+eco*(($AD26+$AE26*Geometry!$E$42:$E$59+$AF26*Geometry!$D$42:$D$59)&gt;=eco))/eco)^n)*((($AD26+$AE26*Geometry!$E$42:$E$59+$AF26*Geometry!$D$42:$D$59))&gt;0))),Geometry!$F$42:$F$59))/1000</f>
      </c>
      <c r="BT26" s="32">
        <f>(SUMPRODUCT(alpha*fck*(1-(1-((($AG26+$AH26*Mesh_Y+$AI26*Mesh_X))*(($AG26+$AH26*Mesh_Y+$AI26*Mesh_X)&gt;0)*(($AG26+$AH26*Mesh_Y+$AI26*Mesh_X)&lt;eco)+eco*(($AG26+$AH26*Mesh_Y+$AI26*Mesh_X)&gt;=eco))/eco)^n)*((($AG26+$AH26*Mesh_Y+$AI26*Mesh_X))&gt;0),Mesh_A)+SUMPRODUCT((Es*(($AG26+$AH26*Geometry!$E$42:$E$59+$AI26*Geometry!$D$42:$D$59))*(ABS(Es*(($AG26+$AH26*Geometry!$E$42:$E$59+$AI26*Geometry!$D$42:$D$59)))&lt;=fy)+fy*(Es*(($AG26+$AH26*Geometry!$E$42:$E$59+$AI26*Geometry!$D$42:$D$59))&gt;fy)-fy*(Es*(($AG26+$AH26*Geometry!$E$42:$E$59+$AI26*Geometry!$D$42:$D$59))&lt;-fy)-(alpha*fck*(1-(1-((($AG26+$AH26*Geometry!$E$42:$E$59+$AI26*Geometry!$D$42:$D$59))*(($AG26+$AH26*Geometry!$E$42:$E$59+$AI26*Geometry!$D$42:$D$59)&gt;0)*(($AG26+$AH26*Geometry!$E$42:$E$59+$AI26*Geometry!$D$42:$D$59)&lt;eco)+eco*(($AG26+$AH26*Geometry!$E$42:$E$59+$AI26*Geometry!$D$42:$D$59)&gt;=eco))/eco)^n)*((($AG26+$AH26*Geometry!$E$42:$E$59+$AI26*Geometry!$D$42:$D$59))&gt;0))),Geometry!$F$42:$F$59))/1000</f>
      </c>
      <c r="BU26" s="32">
        <f>(SUMPRODUCT(alpha*fck*(1-(1-((($AJ26+$AK26*Mesh_Y+$AL26*Mesh_X))*(($AJ26+$AK26*Mesh_Y+$AL26*Mesh_X)&gt;0)*(($AJ26+$AK26*Mesh_Y+$AL26*Mesh_X)&lt;eco)+eco*(($AJ26+$AK26*Mesh_Y+$AL26*Mesh_X)&gt;=eco))/eco)^n)*((($AJ26+$AK26*Mesh_Y+$AL26*Mesh_X))&gt;0),Mesh_A)+SUMPRODUCT((Es*(($AJ26+$AK26*Geometry!$E$42:$E$59+$AL26*Geometry!$D$42:$D$59))*(ABS(Es*(($AJ26+$AK26*Geometry!$E$42:$E$59+$AL26*Geometry!$D$42:$D$59)))&lt;=fy)+fy*(Es*(($AJ26+$AK26*Geometry!$E$42:$E$59+$AL26*Geometry!$D$42:$D$59))&gt;fy)-fy*(Es*(($AJ26+$AK26*Geometry!$E$42:$E$59+$AL26*Geometry!$D$42:$D$59))&lt;-fy)-(alpha*fck*(1-(1-((($AJ26+$AK26*Geometry!$E$42:$E$59+$AL26*Geometry!$D$42:$D$59))*(($AJ26+$AK26*Geometry!$E$42:$E$59+$AL26*Geometry!$D$42:$D$59)&gt;0)*(($AJ26+$AK26*Geometry!$E$42:$E$59+$AL26*Geometry!$D$42:$D$59)&lt;eco)+eco*(($AJ26+$AK26*Geometry!$E$42:$E$59+$AL26*Geometry!$D$42:$D$59)&gt;=eco))/eco)^n)*((($AJ26+$AK26*Geometry!$E$42:$E$59+$AL26*Geometry!$D$42:$D$59))&gt;0))),Geometry!$F$42:$F$59))/1000</f>
      </c>
      <c r="BV26" s="32">
        <f>(SUMPRODUCT(alpha*fck*(1-(1-((($AM26+$AN26*Mesh_Y+$AO26*Mesh_X))*(($AM26+$AN26*Mesh_Y+$AO26*Mesh_X)&gt;0)*(($AM26+$AN26*Mesh_Y+$AO26*Mesh_X)&lt;eco)+eco*(($AM26+$AN26*Mesh_Y+$AO26*Mesh_X)&gt;=eco))/eco)^n)*((($AM26+$AN26*Mesh_Y+$AO26*Mesh_X))&gt;0),Mesh_A)+SUMPRODUCT((Es*(($AM26+$AN26*Geometry!$E$42:$E$59+$AO26*Geometry!$D$42:$D$59))*(ABS(Es*(($AM26+$AN26*Geometry!$E$42:$E$59+$AO26*Geometry!$D$42:$D$59)))&lt;=fy)+fy*(Es*(($AM26+$AN26*Geometry!$E$42:$E$59+$AO26*Geometry!$D$42:$D$59))&gt;fy)-fy*(Es*(($AM26+$AN26*Geometry!$E$42:$E$59+$AO26*Geometry!$D$42:$D$59))&lt;-fy)-(alpha*fck*(1-(1-((($AM26+$AN26*Geometry!$E$42:$E$59+$AO26*Geometry!$D$42:$D$59))*(($AM26+$AN26*Geometry!$E$42:$E$59+$AO26*Geometry!$D$42:$D$59)&gt;0)*(($AM26+$AN26*Geometry!$E$42:$E$59+$AO26*Geometry!$D$42:$D$59)&lt;eco)+eco*(($AM26+$AN26*Geometry!$E$42:$E$59+$AO26*Geometry!$D$42:$D$59)&gt;=eco))/eco)^n)*((($AM26+$AN26*Geometry!$E$42:$E$59+$AO26*Geometry!$D$42:$D$59))&gt;0))),Geometry!$F$42:$F$59))/1000</f>
      </c>
      <c r="BW26" s="32">
        <f>(SUMPRODUCT(alpha*fck*(1-(1-((($AP26+$AQ26*Mesh_Y+$AR26*Mesh_X))*(($AP26+$AQ26*Mesh_Y+$AR26*Mesh_X)&gt;0)*(($AP26+$AQ26*Mesh_Y+$AR26*Mesh_X)&lt;eco)+eco*(($AP26+$AQ26*Mesh_Y+$AR26*Mesh_X)&gt;=eco))/eco)^n)*((($AP26+$AQ26*Mesh_Y+$AR26*Mesh_X))&gt;0),Mesh_A)+SUMPRODUCT((Es*(($AP26+$AQ26*Geometry!$E$42:$E$59+$AR26*Geometry!$D$42:$D$59))*(ABS(Es*(($AP26+$AQ26*Geometry!$E$42:$E$59+$AR26*Geometry!$D$42:$D$59)))&lt;=fy)+fy*(Es*(($AP26+$AQ26*Geometry!$E$42:$E$59+$AR26*Geometry!$D$42:$D$59))&gt;fy)-fy*(Es*(($AP26+$AQ26*Geometry!$E$42:$E$59+$AR26*Geometry!$D$42:$D$59))&lt;-fy)-(alpha*fck*(1-(1-((($AP26+$AQ26*Geometry!$E$42:$E$59+$AR26*Geometry!$D$42:$D$59))*(($AP26+$AQ26*Geometry!$E$42:$E$59+$AR26*Geometry!$D$42:$D$59)&gt;0)*(($AP26+$AQ26*Geometry!$E$42:$E$59+$AR26*Geometry!$D$42:$D$59)&lt;eco)+eco*(($AP26+$AQ26*Geometry!$E$42:$E$59+$AR26*Geometry!$D$42:$D$59)&gt;=eco))/eco)^n)*((($AP26+$AQ26*Geometry!$E$42:$E$59+$AR26*Geometry!$D$42:$D$59))&gt;0))),Geometry!$F$42:$F$59))/1000</f>
      </c>
      <c r="BX26" s="32">
        <f>(SUMPRODUCT(alpha*fck*(1-(1-((($AS26+$AT26*Mesh_Y+$AU26*Mesh_X))*(($AS26+$AT26*Mesh_Y+$AU26*Mesh_X)&gt;0)*(($AS26+$AT26*Mesh_Y+$AU26*Mesh_X)&lt;eco)+eco*(($AS26+$AT26*Mesh_Y+$AU26*Mesh_X)&gt;=eco))/eco)^n)*((($AS26+$AT26*Mesh_Y+$AU26*Mesh_X))&gt;0),Mesh_A)+SUMPRODUCT((Es*(($AS26+$AT26*Geometry!$E$42:$E$59+$AU26*Geometry!$D$42:$D$59))*(ABS(Es*(($AS26+$AT26*Geometry!$E$42:$E$59+$AU26*Geometry!$D$42:$D$59)))&lt;=fy)+fy*(Es*(($AS26+$AT26*Geometry!$E$42:$E$59+$AU26*Geometry!$D$42:$D$59))&gt;fy)-fy*(Es*(($AS26+$AT26*Geometry!$E$42:$E$59+$AU26*Geometry!$D$42:$D$59))&lt;-fy)-(alpha*fck*(1-(1-((($AS26+$AT26*Geometry!$E$42:$E$59+$AU26*Geometry!$D$42:$D$59))*(($AS26+$AT26*Geometry!$E$42:$E$59+$AU26*Geometry!$D$42:$D$59)&gt;0)*(($AS26+$AT26*Geometry!$E$42:$E$59+$AU26*Geometry!$D$42:$D$59)&lt;eco)+eco*(($AS26+$AT26*Geometry!$E$42:$E$59+$AU26*Geometry!$D$42:$D$59)&gt;=eco))/eco)^n)*((($AS26+$AT26*Geometry!$E$42:$E$59+$AU26*Geometry!$D$42:$D$59))&gt;0))),Geometry!$F$42:$F$59))/1000</f>
      </c>
      <c r="BY26" s="32">
        <f>(SUMPRODUCT(alpha*fck*(1-(1-((($AV26+$AW26*Mesh_Y+$AX26*Mesh_X))*(($AV26+$AW26*Mesh_Y+$AX26*Mesh_X)&gt;0)*(($AV26+$AW26*Mesh_Y+$AX26*Mesh_X)&lt;eco)+eco*(($AV26+$AW26*Mesh_Y+$AX26*Mesh_X)&gt;=eco))/eco)^n)*((($AV26+$AW26*Mesh_Y+$AX26*Mesh_X))&gt;0),Mesh_A)+SUMPRODUCT((Es*(($AV26+$AW26*Geometry!$E$42:$E$59+$AX26*Geometry!$D$42:$D$59))*(ABS(Es*(($AV26+$AW26*Geometry!$E$42:$E$59+$AX26*Geometry!$D$42:$D$59)))&lt;=fy)+fy*(Es*(($AV26+$AW26*Geometry!$E$42:$E$59+$AX26*Geometry!$D$42:$D$59))&gt;fy)-fy*(Es*(($AV26+$AW26*Geometry!$E$42:$E$59+$AX26*Geometry!$D$42:$D$59))&lt;-fy)-(alpha*fck*(1-(1-((($AV26+$AW26*Geometry!$E$42:$E$59+$AX26*Geometry!$D$42:$D$59))*(($AV26+$AW26*Geometry!$E$42:$E$59+$AX26*Geometry!$D$42:$D$59)&gt;0)*(($AV26+$AW26*Geometry!$E$42:$E$59+$AX26*Geometry!$D$42:$D$59)&lt;eco)+eco*(($AV26+$AW26*Geometry!$E$42:$E$59+$AX26*Geometry!$D$42:$D$59)&gt;=eco))/eco)^n)*((($AV26+$AW26*Geometry!$E$42:$E$59+$AX26*Geometry!$D$42:$D$59))&gt;0))),Geometry!$F$42:$F$59))/1000</f>
      </c>
      <c r="BZ26" s="32">
        <f>(SUMPRODUCT(alpha*fck*(1-(1-((($AY26+$AZ26*Mesh_Y+$BA26*Mesh_X))*(($AY26+$AZ26*Mesh_Y+$BA26*Mesh_X)&gt;0)*(($AY26+$AZ26*Mesh_Y+$BA26*Mesh_X)&lt;eco)+eco*(($AY26+$AZ26*Mesh_Y+$BA26*Mesh_X)&gt;=eco))/eco)^n)*((($AY26+$AZ26*Mesh_Y+$BA26*Mesh_X))&gt;0),Mesh_A)+SUMPRODUCT((Es*(($AY26+$AZ26*Geometry!$E$42:$E$59+$BA26*Geometry!$D$42:$D$59))*(ABS(Es*(($AY26+$AZ26*Geometry!$E$42:$E$59+$BA26*Geometry!$D$42:$D$59)))&lt;=fy)+fy*(Es*(($AY26+$AZ26*Geometry!$E$42:$E$59+$BA26*Geometry!$D$42:$D$59))&gt;fy)-fy*(Es*(($AY26+$AZ26*Geometry!$E$42:$E$59+$BA26*Geometry!$D$42:$D$59))&lt;-fy)-(alpha*fck*(1-(1-((($AY26+$AZ26*Geometry!$E$42:$E$59+$BA26*Geometry!$D$42:$D$59))*(($AY26+$AZ26*Geometry!$E$42:$E$59+$BA26*Geometry!$D$42:$D$59)&gt;0)*(($AY26+$AZ26*Geometry!$E$42:$E$59+$BA26*Geometry!$D$42:$D$59)&lt;eco)+eco*(($AY26+$AZ26*Geometry!$E$42:$E$59+$BA26*Geometry!$D$42:$D$59)&gt;=eco))/eco)^n)*((($AY26+$AZ26*Geometry!$E$42:$E$59+$BA26*Geometry!$D$42:$D$59))&gt;0))),Geometry!$F$42:$F$59))/1000</f>
      </c>
      <c r="CA26" s="32">
        <f>(SUMPRODUCT(alpha*fck*(1-(1-((($BB26+$BC26*Mesh_Y+$BD26*Mesh_X))*(($BB26+$BC26*Mesh_Y+$BD26*Mesh_X)&gt;0)*(($BB26+$BC26*Mesh_Y+$BD26*Mesh_X)&lt;eco)+eco*(($BB26+$BC26*Mesh_Y+$BD26*Mesh_X)&gt;=eco))/eco)^n)*((($BB26+$BC26*Mesh_Y+$BD26*Mesh_X))&gt;0),Mesh_A)+SUMPRODUCT((Es*(($BB26+$BC26*Geometry!$E$42:$E$59+$BD26*Geometry!$D$42:$D$59))*(ABS(Es*(($BB26+$BC26*Geometry!$E$42:$E$59+$BD26*Geometry!$D$42:$D$59)))&lt;=fy)+fy*(Es*(($BB26+$BC26*Geometry!$E$42:$E$59+$BD26*Geometry!$D$42:$D$59))&gt;fy)-fy*(Es*(($BB26+$BC26*Geometry!$E$42:$E$59+$BD26*Geometry!$D$42:$D$59))&lt;-fy)-(alpha*fck*(1-(1-((($BB26+$BC26*Geometry!$E$42:$E$59+$BD26*Geometry!$D$42:$D$59))*(($BB26+$BC26*Geometry!$E$42:$E$59+$BD26*Geometry!$D$42:$D$59)&gt;0)*(($BB26+$BC26*Geometry!$E$42:$E$59+$BD26*Geometry!$D$42:$D$59)&lt;eco)+eco*(($BB26+$BC26*Geometry!$E$42:$E$59+$BD26*Geometry!$D$42:$D$59)&gt;=eco))/eco)^n)*((($BB26+$BC26*Geometry!$E$42:$E$59+$BD26*Geometry!$D$42:$D$59))&gt;0))),Geometry!$F$42:$F$59))/1000</f>
      </c>
      <c r="CB26" s="32">
        <f>(SUMPRODUCT(alpha*fck*(1-(1-((($BE26+$BF26*Mesh_Y+$BG26*Mesh_X))*(($BE26+$BF26*Mesh_Y+$BG26*Mesh_X)&gt;0)*(($BE26+$BF26*Mesh_Y+$BG26*Mesh_X)&lt;eco)+eco*(($BE26+$BF26*Mesh_Y+$BG26*Mesh_X)&gt;=eco))/eco)^n)*((($BE26+$BF26*Mesh_Y+$BG26*Mesh_X))&gt;0),Mesh_A)+SUMPRODUCT((Es*(($BE26+$BF26*Geometry!$E$42:$E$59+$BG26*Geometry!$D$42:$D$59))*(ABS(Es*(($BE26+$BF26*Geometry!$E$42:$E$59+$BG26*Geometry!$D$42:$D$59)))&lt;=fy)+fy*(Es*(($BE26+$BF26*Geometry!$E$42:$E$59+$BG26*Geometry!$D$42:$D$59))&gt;fy)-fy*(Es*(($BE26+$BF26*Geometry!$E$42:$E$59+$BG26*Geometry!$D$42:$D$59))&lt;-fy)-(alpha*fck*(1-(1-((($BE26+$BF26*Geometry!$E$42:$E$59+$BG26*Geometry!$D$42:$D$59))*(($BE26+$BF26*Geometry!$E$42:$E$59+$BG26*Geometry!$D$42:$D$59)&gt;0)*(($BE26+$BF26*Geometry!$E$42:$E$59+$BG26*Geometry!$D$42:$D$59)&lt;eco)+eco*(($BE26+$BF26*Geometry!$E$42:$E$59+$BG26*Geometry!$D$42:$D$59)&gt;=eco))/eco)^n)*((($BE26+$BF26*Geometry!$E$42:$E$59+$BG26*Geometry!$D$42:$D$59))&gt;0))),Geometry!$F$42:$F$59))/1000</f>
      </c>
      <c r="CC26" s="32">
        <f>(SUMPRODUCT(alpha*fck*(1-(1-((($BH26+$BI26*Mesh_Y+$BJ26*Mesh_X))*(($BH26+$BI26*Mesh_Y+$BJ26*Mesh_X)&gt;0)*(($BH26+$BI26*Mesh_Y+$BJ26*Mesh_X)&lt;eco)+eco*(($BH26+$BI26*Mesh_Y+$BJ26*Mesh_X)&gt;=eco))/eco)^n)*((($BH26+$BI26*Mesh_Y+$BJ26*Mesh_X))&gt;0),Mesh_A)+SUMPRODUCT((Es*(($BH26+$BI26*Geometry!$E$42:$E$59+$BJ26*Geometry!$D$42:$D$59))*(ABS(Es*(($BH26+$BI26*Geometry!$E$42:$E$59+$BJ26*Geometry!$D$42:$D$59)))&lt;=fy)+fy*(Es*(($BH26+$BI26*Geometry!$E$42:$E$59+$BJ26*Geometry!$D$42:$D$59))&gt;fy)-fy*(Es*(($BH26+$BI26*Geometry!$E$42:$E$59+$BJ26*Geometry!$D$42:$D$59))&lt;-fy)-(alpha*fck*(1-(1-((($BH26+$BI26*Geometry!$E$42:$E$59+$BJ26*Geometry!$D$42:$D$59))*(($BH26+$BI26*Geometry!$E$42:$E$59+$BJ26*Geometry!$D$42:$D$59)&gt;0)*(($BH26+$BI26*Geometry!$E$42:$E$59+$BJ26*Geometry!$D$42:$D$59)&lt;eco)+eco*(($BH26+$BI26*Geometry!$E$42:$E$59+$BJ26*Geometry!$D$42:$D$59)&gt;=eco))/eco)^n)*((($BH26+$BI26*Geometry!$E$42:$E$59+$BJ26*Geometry!$D$42:$D$59))&gt;0))),Geometry!$F$42:$F$59))/1000</f>
      </c>
      <c r="CD26" s="32">
        <f>(SUMPRODUCT(alpha*fck*(1-(1-((($F26+$G26*Mesh_Y+$H26*Mesh_X))*(($F26+$G26*Mesh_Y+$H26*Mesh_X)&gt;0)*(($F26+$G26*Mesh_Y+$H26*Mesh_X)&lt;eco)+eco*(($F26+$G26*Mesh_Y+$H26*Mesh_X)&gt;=eco))/eco)^n)*((($F26+$G26*Mesh_Y+$H26*Mesh_X))&gt;0),Mesh_A,Mesh_Y)+SUMPRODUCT((Es*(($F26+$G26*Geometry!$E$42:$E$59+$H26*Geometry!$D$42:$D$59))*(ABS(Es*(($F26+$G26*Geometry!$E$42:$E$59+$H26*Geometry!$D$42:$D$59)))&lt;=fy)+fy*(Es*(($F26+$G26*Geometry!$E$42:$E$59+$H26*Geometry!$D$42:$D$59))&gt;fy)-fy*(Es*(($F26+$G26*Geometry!$E$42:$E$59+$H26*Geometry!$D$42:$D$59))&lt;-fy)-(alpha*fck*(1-(1-((($F26+$G26*Geometry!$E$42:$E$59+$H26*Geometry!$D$42:$D$59))*(($F26+$G26*Geometry!$E$42:$E$59+$H26*Geometry!$D$42:$D$59)&gt;0)*(($F26+$G26*Geometry!$E$42:$E$59+$H26*Geometry!$D$42:$D$59)&lt;eco)+eco*(($F26+$G26*Geometry!$E$42:$E$59+$H26*Geometry!$D$42:$D$59)&gt;=eco))/eco)^n)*((($F26+$G26*Geometry!$E$42:$E$59+$H26*Geometry!$D$42:$D$59))&gt;0))),Geometry!$F$42:$F$59,Geometry!$E$42:$E$59))/1000000</f>
      </c>
      <c r="CE26" s="32">
        <f>(SUMPRODUCT(alpha*fck*(1-(1-((($I26+$J26*Mesh_Y+$K26*Mesh_X))*(($I26+$J26*Mesh_Y+$K26*Mesh_X)&gt;0)*(($I26+$J26*Mesh_Y+$K26*Mesh_X)&lt;eco)+eco*(($I26+$J26*Mesh_Y+$K26*Mesh_X)&gt;=eco))/eco)^n)*((($I26+$J26*Mesh_Y+$K26*Mesh_X))&gt;0),Mesh_A,Mesh_Y)+SUMPRODUCT((Es*(($I26+$J26*Geometry!$E$42:$E$59+$K26*Geometry!$D$42:$D$59))*(ABS(Es*(($I26+$J26*Geometry!$E$42:$E$59+$K26*Geometry!$D$42:$D$59)))&lt;=fy)+fy*(Es*(($I26+$J26*Geometry!$E$42:$E$59+$K26*Geometry!$D$42:$D$59))&gt;fy)-fy*(Es*(($I26+$J26*Geometry!$E$42:$E$59+$K26*Geometry!$D$42:$D$59))&lt;-fy)-(alpha*fck*(1-(1-((($I26+$J26*Geometry!$E$42:$E$59+$K26*Geometry!$D$42:$D$59))*(($I26+$J26*Geometry!$E$42:$E$59+$K26*Geometry!$D$42:$D$59)&gt;0)*(($I26+$J26*Geometry!$E$42:$E$59+$K26*Geometry!$D$42:$D$59)&lt;eco)+eco*(($I26+$J26*Geometry!$E$42:$E$59+$K26*Geometry!$D$42:$D$59)&gt;=eco))/eco)^n)*((($I26+$J26*Geometry!$E$42:$E$59+$K26*Geometry!$D$42:$D$59))&gt;0))),Geometry!$F$42:$F$59,Geometry!$E$42:$E$59))/1000000</f>
      </c>
      <c r="CF26" s="32">
        <f>(SUMPRODUCT(alpha*fck*(1-(1-((($L26+$M26*Mesh_Y+$N26*Mesh_X))*(($L26+$M26*Mesh_Y+$N26*Mesh_X)&gt;0)*(($L26+$M26*Mesh_Y+$N26*Mesh_X)&lt;eco)+eco*(($L26+$M26*Mesh_Y+$N26*Mesh_X)&gt;=eco))/eco)^n)*((($L26+$M26*Mesh_Y+$N26*Mesh_X))&gt;0),Mesh_A,Mesh_Y)+SUMPRODUCT((Es*(($L26+$M26*Geometry!$E$42:$E$59+$N26*Geometry!$D$42:$D$59))*(ABS(Es*(($L26+$M26*Geometry!$E$42:$E$59+$N26*Geometry!$D$42:$D$59)))&lt;=fy)+fy*(Es*(($L26+$M26*Geometry!$E$42:$E$59+$N26*Geometry!$D$42:$D$59))&gt;fy)-fy*(Es*(($L26+$M26*Geometry!$E$42:$E$59+$N26*Geometry!$D$42:$D$59))&lt;-fy)-(alpha*fck*(1-(1-((($L26+$M26*Geometry!$E$42:$E$59+$N26*Geometry!$D$42:$D$59))*(($L26+$M26*Geometry!$E$42:$E$59+$N26*Geometry!$D$42:$D$59)&gt;0)*(($L26+$M26*Geometry!$E$42:$E$59+$N26*Geometry!$D$42:$D$59)&lt;eco)+eco*(($L26+$M26*Geometry!$E$42:$E$59+$N26*Geometry!$D$42:$D$59)&gt;=eco))/eco)^n)*((($L26+$M26*Geometry!$E$42:$E$59+$N26*Geometry!$D$42:$D$59))&gt;0))),Geometry!$F$42:$F$59,Geometry!$E$42:$E$59))/1000000</f>
      </c>
      <c r="CG26" s="32">
        <f>(SUMPRODUCT(alpha*fck*(1-(1-((($O26+$P26*Mesh_Y+$Q26*Mesh_X))*(($O26+$P26*Mesh_Y+$Q26*Mesh_X)&gt;0)*(($O26+$P26*Mesh_Y+$Q26*Mesh_X)&lt;eco)+eco*(($O26+$P26*Mesh_Y+$Q26*Mesh_X)&gt;=eco))/eco)^n)*((($O26+$P26*Mesh_Y+$Q26*Mesh_X))&gt;0),Mesh_A,Mesh_Y)+SUMPRODUCT((Es*(($O26+$P26*Geometry!$E$42:$E$59+$Q26*Geometry!$D$42:$D$59))*(ABS(Es*(($O26+$P26*Geometry!$E$42:$E$59+$Q26*Geometry!$D$42:$D$59)))&lt;=fy)+fy*(Es*(($O26+$P26*Geometry!$E$42:$E$59+$Q26*Geometry!$D$42:$D$59))&gt;fy)-fy*(Es*(($O26+$P26*Geometry!$E$42:$E$59+$Q26*Geometry!$D$42:$D$59))&lt;-fy)-(alpha*fck*(1-(1-((($O26+$P26*Geometry!$E$42:$E$59+$Q26*Geometry!$D$42:$D$59))*(($O26+$P26*Geometry!$E$42:$E$59+$Q26*Geometry!$D$42:$D$59)&gt;0)*(($O26+$P26*Geometry!$E$42:$E$59+$Q26*Geometry!$D$42:$D$59)&lt;eco)+eco*(($O26+$P26*Geometry!$E$42:$E$59+$Q26*Geometry!$D$42:$D$59)&gt;=eco))/eco)^n)*((($O26+$P26*Geometry!$E$42:$E$59+$Q26*Geometry!$D$42:$D$59))&gt;0))),Geometry!$F$42:$F$59,Geometry!$E$42:$E$59))/1000000</f>
      </c>
      <c r="CH26" s="32">
        <f>(SUMPRODUCT(alpha*fck*(1-(1-((($R26+$S26*Mesh_Y+$T26*Mesh_X))*(($R26+$S26*Mesh_Y+$T26*Mesh_X)&gt;0)*(($R26+$S26*Mesh_Y+$T26*Mesh_X)&lt;eco)+eco*(($R26+$S26*Mesh_Y+$T26*Mesh_X)&gt;=eco))/eco)^n)*((($R26+$S26*Mesh_Y+$T26*Mesh_X))&gt;0),Mesh_A,Mesh_Y)+SUMPRODUCT((Es*(($R26+$S26*Geometry!$E$42:$E$59+$T26*Geometry!$D$42:$D$59))*(ABS(Es*(($R26+$S26*Geometry!$E$42:$E$59+$T26*Geometry!$D$42:$D$59)))&lt;=fy)+fy*(Es*(($R26+$S26*Geometry!$E$42:$E$59+$T26*Geometry!$D$42:$D$59))&gt;fy)-fy*(Es*(($R26+$S26*Geometry!$E$42:$E$59+$T26*Geometry!$D$42:$D$59))&lt;-fy)-(alpha*fck*(1-(1-((($R26+$S26*Geometry!$E$42:$E$59+$T26*Geometry!$D$42:$D$59))*(($R26+$S26*Geometry!$E$42:$E$59+$T26*Geometry!$D$42:$D$59)&gt;0)*(($R26+$S26*Geometry!$E$42:$E$59+$T26*Geometry!$D$42:$D$59)&lt;eco)+eco*(($R26+$S26*Geometry!$E$42:$E$59+$T26*Geometry!$D$42:$D$59)&gt;=eco))/eco)^n)*((($R26+$S26*Geometry!$E$42:$E$59+$T26*Geometry!$D$42:$D$59))&gt;0))),Geometry!$F$42:$F$59,Geometry!$E$42:$E$59))/1000000</f>
      </c>
      <c r="CI26" s="32">
        <f>(SUMPRODUCT(alpha*fck*(1-(1-((($U26+$V26*Mesh_Y+$W26*Mesh_X))*(($U26+$V26*Mesh_Y+$W26*Mesh_X)&gt;0)*(($U26+$V26*Mesh_Y+$W26*Mesh_X)&lt;eco)+eco*(($U26+$V26*Mesh_Y+$W26*Mesh_X)&gt;=eco))/eco)^n)*((($U26+$V26*Mesh_Y+$W26*Mesh_X))&gt;0),Mesh_A,Mesh_Y)+SUMPRODUCT((Es*(($U26+$V26*Geometry!$E$42:$E$59+$W26*Geometry!$D$42:$D$59))*(ABS(Es*(($U26+$V26*Geometry!$E$42:$E$59+$W26*Geometry!$D$42:$D$59)))&lt;=fy)+fy*(Es*(($U26+$V26*Geometry!$E$42:$E$59+$W26*Geometry!$D$42:$D$59))&gt;fy)-fy*(Es*(($U26+$V26*Geometry!$E$42:$E$59+$W26*Geometry!$D$42:$D$59))&lt;-fy)-(alpha*fck*(1-(1-((($U26+$V26*Geometry!$E$42:$E$59+$W26*Geometry!$D$42:$D$59))*(($U26+$V26*Geometry!$E$42:$E$59+$W26*Geometry!$D$42:$D$59)&gt;0)*(($U26+$V26*Geometry!$E$42:$E$59+$W26*Geometry!$D$42:$D$59)&lt;eco)+eco*(($U26+$V26*Geometry!$E$42:$E$59+$W26*Geometry!$D$42:$D$59)&gt;=eco))/eco)^n)*((($U26+$V26*Geometry!$E$42:$E$59+$W26*Geometry!$D$42:$D$59))&gt;0))),Geometry!$F$42:$F$59,Geometry!$E$42:$E$59))/1000000</f>
      </c>
      <c r="CJ26" s="32">
        <f>(SUMPRODUCT(alpha*fck*(1-(1-((($X26+$Y26*Mesh_Y+$Z26*Mesh_X))*(($X26+$Y26*Mesh_Y+$Z26*Mesh_X)&gt;0)*(($X26+$Y26*Mesh_Y+$Z26*Mesh_X)&lt;eco)+eco*(($X26+$Y26*Mesh_Y+$Z26*Mesh_X)&gt;=eco))/eco)^n)*((($X26+$Y26*Mesh_Y+$Z26*Mesh_X))&gt;0),Mesh_A,Mesh_Y)+SUMPRODUCT((Es*(($X26+$Y26*Geometry!$E$42:$E$59+$Z26*Geometry!$D$42:$D$59))*(ABS(Es*(($X26+$Y26*Geometry!$E$42:$E$59+$Z26*Geometry!$D$42:$D$59)))&lt;=fy)+fy*(Es*(($X26+$Y26*Geometry!$E$42:$E$59+$Z26*Geometry!$D$42:$D$59))&gt;fy)-fy*(Es*(($X26+$Y26*Geometry!$E$42:$E$59+$Z26*Geometry!$D$42:$D$59))&lt;-fy)-(alpha*fck*(1-(1-((($X26+$Y26*Geometry!$E$42:$E$59+$Z26*Geometry!$D$42:$D$59))*(($X26+$Y26*Geometry!$E$42:$E$59+$Z26*Geometry!$D$42:$D$59)&gt;0)*(($X26+$Y26*Geometry!$E$42:$E$59+$Z26*Geometry!$D$42:$D$59)&lt;eco)+eco*(($X26+$Y26*Geometry!$E$42:$E$59+$Z26*Geometry!$D$42:$D$59)&gt;=eco))/eco)^n)*((($X26+$Y26*Geometry!$E$42:$E$59+$Z26*Geometry!$D$42:$D$59))&gt;0))),Geometry!$F$42:$F$59,Geometry!$E$42:$E$59))/1000000</f>
      </c>
      <c r="CK26" s="32">
        <f>(SUMPRODUCT(alpha*fck*(1-(1-((($AA26+$AB26*Mesh_Y+$AC26*Mesh_X))*(($AA26+$AB26*Mesh_Y+$AC26*Mesh_X)&gt;0)*(($AA26+$AB26*Mesh_Y+$AC26*Mesh_X)&lt;eco)+eco*(($AA26+$AB26*Mesh_Y+$AC26*Mesh_X)&gt;=eco))/eco)^n)*((($AA26+$AB26*Mesh_Y+$AC26*Mesh_X))&gt;0),Mesh_A,Mesh_Y)+SUMPRODUCT((Es*(($AA26+$AB26*Geometry!$E$42:$E$59+$AC26*Geometry!$D$42:$D$59))*(ABS(Es*(($AA26+$AB26*Geometry!$E$42:$E$59+$AC26*Geometry!$D$42:$D$59)))&lt;=fy)+fy*(Es*(($AA26+$AB26*Geometry!$E$42:$E$59+$AC26*Geometry!$D$42:$D$59))&gt;fy)-fy*(Es*(($AA26+$AB26*Geometry!$E$42:$E$59+$AC26*Geometry!$D$42:$D$59))&lt;-fy)-(alpha*fck*(1-(1-((($AA26+$AB26*Geometry!$E$42:$E$59+$AC26*Geometry!$D$42:$D$59))*(($AA26+$AB26*Geometry!$E$42:$E$59+$AC26*Geometry!$D$42:$D$59)&gt;0)*(($AA26+$AB26*Geometry!$E$42:$E$59+$AC26*Geometry!$D$42:$D$59)&lt;eco)+eco*(($AA26+$AB26*Geometry!$E$42:$E$59+$AC26*Geometry!$D$42:$D$59)&gt;=eco))/eco)^n)*((($AA26+$AB26*Geometry!$E$42:$E$59+$AC26*Geometry!$D$42:$D$59))&gt;0))),Geometry!$F$42:$F$59,Geometry!$E$42:$E$59))/1000000</f>
      </c>
      <c r="CL26" s="32">
        <f>(SUMPRODUCT(alpha*fck*(1-(1-((($AD26+$AE26*Mesh_Y+$AF26*Mesh_X))*(($AD26+$AE26*Mesh_Y+$AF26*Mesh_X)&gt;0)*(($AD26+$AE26*Mesh_Y+$AF26*Mesh_X)&lt;eco)+eco*(($AD26+$AE26*Mesh_Y+$AF26*Mesh_X)&gt;=eco))/eco)^n)*((($AD26+$AE26*Mesh_Y+$AF26*Mesh_X))&gt;0),Mesh_A,Mesh_Y)+SUMPRODUCT((Es*(($AD26+$AE26*Geometry!$E$42:$E$59+$AF26*Geometry!$D$42:$D$59))*(ABS(Es*(($AD26+$AE26*Geometry!$E$42:$E$59+$AF26*Geometry!$D$42:$D$59)))&lt;=fy)+fy*(Es*(($AD26+$AE26*Geometry!$E$42:$E$59+$AF26*Geometry!$D$42:$D$59))&gt;fy)-fy*(Es*(($AD26+$AE26*Geometry!$E$42:$E$59+$AF26*Geometry!$D$42:$D$59))&lt;-fy)-(alpha*fck*(1-(1-((($AD26+$AE26*Geometry!$E$42:$E$59+$AF26*Geometry!$D$42:$D$59))*(($AD26+$AE26*Geometry!$E$42:$E$59+$AF26*Geometry!$D$42:$D$59)&gt;0)*(($AD26+$AE26*Geometry!$E$42:$E$59+$AF26*Geometry!$D$42:$D$59)&lt;eco)+eco*(($AD26+$AE26*Geometry!$E$42:$E$59+$AF26*Geometry!$D$42:$D$59)&gt;=eco))/eco)^n)*((($AD26+$AE26*Geometry!$E$42:$E$59+$AF26*Geometry!$D$42:$D$59))&gt;0))),Geometry!$F$42:$F$59,Geometry!$E$42:$E$59))/1000000</f>
      </c>
      <c r="CM26" s="32">
        <f>(SUMPRODUCT(alpha*fck*(1-(1-((($AG26+$AH26*Mesh_Y+$AI26*Mesh_X))*(($AG26+$AH26*Mesh_Y+$AI26*Mesh_X)&gt;0)*(($AG26+$AH26*Mesh_Y+$AI26*Mesh_X)&lt;eco)+eco*(($AG26+$AH26*Mesh_Y+$AI26*Mesh_X)&gt;=eco))/eco)^n)*((($AG26+$AH26*Mesh_Y+$AI26*Mesh_X))&gt;0),Mesh_A,Mesh_Y)+SUMPRODUCT((Es*(($AG26+$AH26*Geometry!$E$42:$E$59+$AI26*Geometry!$D$42:$D$59))*(ABS(Es*(($AG26+$AH26*Geometry!$E$42:$E$59+$AI26*Geometry!$D$42:$D$59)))&lt;=fy)+fy*(Es*(($AG26+$AH26*Geometry!$E$42:$E$59+$AI26*Geometry!$D$42:$D$59))&gt;fy)-fy*(Es*(($AG26+$AH26*Geometry!$E$42:$E$59+$AI26*Geometry!$D$42:$D$59))&lt;-fy)-(alpha*fck*(1-(1-((($AG26+$AH26*Geometry!$E$42:$E$59+$AI26*Geometry!$D$42:$D$59))*(($AG26+$AH26*Geometry!$E$42:$E$59+$AI26*Geometry!$D$42:$D$59)&gt;0)*(($AG26+$AH26*Geometry!$E$42:$E$59+$AI26*Geometry!$D$42:$D$59)&lt;eco)+eco*(($AG26+$AH26*Geometry!$E$42:$E$59+$AI26*Geometry!$D$42:$D$59)&gt;=eco))/eco)^n)*((($AG26+$AH26*Geometry!$E$42:$E$59+$AI26*Geometry!$D$42:$D$59))&gt;0))),Geometry!$F$42:$F$59,Geometry!$E$42:$E$59))/1000000</f>
      </c>
      <c r="CN26" s="32">
        <f>(SUMPRODUCT(alpha*fck*(1-(1-((($AJ26+$AK26*Mesh_Y+$AL26*Mesh_X))*(($AJ26+$AK26*Mesh_Y+$AL26*Mesh_X)&gt;0)*(($AJ26+$AK26*Mesh_Y+$AL26*Mesh_X)&lt;eco)+eco*(($AJ26+$AK26*Mesh_Y+$AL26*Mesh_X)&gt;=eco))/eco)^n)*((($AJ26+$AK26*Mesh_Y+$AL26*Mesh_X))&gt;0),Mesh_A,Mesh_Y)+SUMPRODUCT((Es*(($AJ26+$AK26*Geometry!$E$42:$E$59+$AL26*Geometry!$D$42:$D$59))*(ABS(Es*(($AJ26+$AK26*Geometry!$E$42:$E$59+$AL26*Geometry!$D$42:$D$59)))&lt;=fy)+fy*(Es*(($AJ26+$AK26*Geometry!$E$42:$E$59+$AL26*Geometry!$D$42:$D$59))&gt;fy)-fy*(Es*(($AJ26+$AK26*Geometry!$E$42:$E$59+$AL26*Geometry!$D$42:$D$59))&lt;-fy)-(alpha*fck*(1-(1-((($AJ26+$AK26*Geometry!$E$42:$E$59+$AL26*Geometry!$D$42:$D$59))*(($AJ26+$AK26*Geometry!$E$42:$E$59+$AL26*Geometry!$D$42:$D$59)&gt;0)*(($AJ26+$AK26*Geometry!$E$42:$E$59+$AL26*Geometry!$D$42:$D$59)&lt;eco)+eco*(($AJ26+$AK26*Geometry!$E$42:$E$59+$AL26*Geometry!$D$42:$D$59)&gt;=eco))/eco)^n)*((($AJ26+$AK26*Geometry!$E$42:$E$59+$AL26*Geometry!$D$42:$D$59))&gt;0))),Geometry!$F$42:$F$59,Geometry!$E$42:$E$59))/1000000</f>
      </c>
      <c r="CO26" s="32">
        <f>(SUMPRODUCT(alpha*fck*(1-(1-((($AM26+$AN26*Mesh_Y+$AO26*Mesh_X))*(($AM26+$AN26*Mesh_Y+$AO26*Mesh_X)&gt;0)*(($AM26+$AN26*Mesh_Y+$AO26*Mesh_X)&lt;eco)+eco*(($AM26+$AN26*Mesh_Y+$AO26*Mesh_X)&gt;=eco))/eco)^n)*((($AM26+$AN26*Mesh_Y+$AO26*Mesh_X))&gt;0),Mesh_A,Mesh_Y)+SUMPRODUCT((Es*(($AM26+$AN26*Geometry!$E$42:$E$59+$AO26*Geometry!$D$42:$D$59))*(ABS(Es*(($AM26+$AN26*Geometry!$E$42:$E$59+$AO26*Geometry!$D$42:$D$59)))&lt;=fy)+fy*(Es*(($AM26+$AN26*Geometry!$E$42:$E$59+$AO26*Geometry!$D$42:$D$59))&gt;fy)-fy*(Es*(($AM26+$AN26*Geometry!$E$42:$E$59+$AO26*Geometry!$D$42:$D$59))&lt;-fy)-(alpha*fck*(1-(1-((($AM26+$AN26*Geometry!$E$42:$E$59+$AO26*Geometry!$D$42:$D$59))*(($AM26+$AN26*Geometry!$E$42:$E$59+$AO26*Geometry!$D$42:$D$59)&gt;0)*(($AM26+$AN26*Geometry!$E$42:$E$59+$AO26*Geometry!$D$42:$D$59)&lt;eco)+eco*(($AM26+$AN26*Geometry!$E$42:$E$59+$AO26*Geometry!$D$42:$D$59)&gt;=eco))/eco)^n)*((($AM26+$AN26*Geometry!$E$42:$E$59+$AO26*Geometry!$D$42:$D$59))&gt;0))),Geometry!$F$42:$F$59,Geometry!$E$42:$E$59))/1000000</f>
      </c>
      <c r="CP26" s="32">
        <f>(SUMPRODUCT(alpha*fck*(1-(1-((($AP26+$AQ26*Mesh_Y+$AR26*Mesh_X))*(($AP26+$AQ26*Mesh_Y+$AR26*Mesh_X)&gt;0)*(($AP26+$AQ26*Mesh_Y+$AR26*Mesh_X)&lt;eco)+eco*(($AP26+$AQ26*Mesh_Y+$AR26*Mesh_X)&gt;=eco))/eco)^n)*((($AP26+$AQ26*Mesh_Y+$AR26*Mesh_X))&gt;0),Mesh_A,Mesh_Y)+SUMPRODUCT((Es*(($AP26+$AQ26*Geometry!$E$42:$E$59+$AR26*Geometry!$D$42:$D$59))*(ABS(Es*(($AP26+$AQ26*Geometry!$E$42:$E$59+$AR26*Geometry!$D$42:$D$59)))&lt;=fy)+fy*(Es*(($AP26+$AQ26*Geometry!$E$42:$E$59+$AR26*Geometry!$D$42:$D$59))&gt;fy)-fy*(Es*(($AP26+$AQ26*Geometry!$E$42:$E$59+$AR26*Geometry!$D$42:$D$59))&lt;-fy)-(alpha*fck*(1-(1-((($AP26+$AQ26*Geometry!$E$42:$E$59+$AR26*Geometry!$D$42:$D$59))*(($AP26+$AQ26*Geometry!$E$42:$E$59+$AR26*Geometry!$D$42:$D$59)&gt;0)*(($AP26+$AQ26*Geometry!$E$42:$E$59+$AR26*Geometry!$D$42:$D$59)&lt;eco)+eco*(($AP26+$AQ26*Geometry!$E$42:$E$59+$AR26*Geometry!$D$42:$D$59)&gt;=eco))/eco)^n)*((($AP26+$AQ26*Geometry!$E$42:$E$59+$AR26*Geometry!$D$42:$D$59))&gt;0))),Geometry!$F$42:$F$59,Geometry!$E$42:$E$59))/1000000</f>
      </c>
      <c r="CQ26" s="32">
        <f>(SUMPRODUCT(alpha*fck*(1-(1-((($AS26+$AT26*Mesh_Y+$AU26*Mesh_X))*(($AS26+$AT26*Mesh_Y+$AU26*Mesh_X)&gt;0)*(($AS26+$AT26*Mesh_Y+$AU26*Mesh_X)&lt;eco)+eco*(($AS26+$AT26*Mesh_Y+$AU26*Mesh_X)&gt;=eco))/eco)^n)*((($AS26+$AT26*Mesh_Y+$AU26*Mesh_X))&gt;0),Mesh_A,Mesh_Y)+SUMPRODUCT((Es*(($AS26+$AT26*Geometry!$E$42:$E$59+$AU26*Geometry!$D$42:$D$59))*(ABS(Es*(($AS26+$AT26*Geometry!$E$42:$E$59+$AU26*Geometry!$D$42:$D$59)))&lt;=fy)+fy*(Es*(($AS26+$AT26*Geometry!$E$42:$E$59+$AU26*Geometry!$D$42:$D$59))&gt;fy)-fy*(Es*(($AS26+$AT26*Geometry!$E$42:$E$59+$AU26*Geometry!$D$42:$D$59))&lt;-fy)-(alpha*fck*(1-(1-((($AS26+$AT26*Geometry!$E$42:$E$59+$AU26*Geometry!$D$42:$D$59))*(($AS26+$AT26*Geometry!$E$42:$E$59+$AU26*Geometry!$D$42:$D$59)&gt;0)*(($AS26+$AT26*Geometry!$E$42:$E$59+$AU26*Geometry!$D$42:$D$59)&lt;eco)+eco*(($AS26+$AT26*Geometry!$E$42:$E$59+$AU26*Geometry!$D$42:$D$59)&gt;=eco))/eco)^n)*((($AS26+$AT26*Geometry!$E$42:$E$59+$AU26*Geometry!$D$42:$D$59))&gt;0))),Geometry!$F$42:$F$59,Geometry!$E$42:$E$59))/1000000</f>
      </c>
      <c r="CR26" s="32">
        <f>(SUMPRODUCT(alpha*fck*(1-(1-((($AV26+$AW26*Mesh_Y+$AX26*Mesh_X))*(($AV26+$AW26*Mesh_Y+$AX26*Mesh_X)&gt;0)*(($AV26+$AW26*Mesh_Y+$AX26*Mesh_X)&lt;eco)+eco*(($AV26+$AW26*Mesh_Y+$AX26*Mesh_X)&gt;=eco))/eco)^n)*((($AV26+$AW26*Mesh_Y+$AX26*Mesh_X))&gt;0),Mesh_A,Mesh_Y)+SUMPRODUCT((Es*(($AV26+$AW26*Geometry!$E$42:$E$59+$AX26*Geometry!$D$42:$D$59))*(ABS(Es*(($AV26+$AW26*Geometry!$E$42:$E$59+$AX26*Geometry!$D$42:$D$59)))&lt;=fy)+fy*(Es*(($AV26+$AW26*Geometry!$E$42:$E$59+$AX26*Geometry!$D$42:$D$59))&gt;fy)-fy*(Es*(($AV26+$AW26*Geometry!$E$42:$E$59+$AX26*Geometry!$D$42:$D$59))&lt;-fy)-(alpha*fck*(1-(1-((($AV26+$AW26*Geometry!$E$42:$E$59+$AX26*Geometry!$D$42:$D$59))*(($AV26+$AW26*Geometry!$E$42:$E$59+$AX26*Geometry!$D$42:$D$59)&gt;0)*(($AV26+$AW26*Geometry!$E$42:$E$59+$AX26*Geometry!$D$42:$D$59)&lt;eco)+eco*(($AV26+$AW26*Geometry!$E$42:$E$59+$AX26*Geometry!$D$42:$D$59)&gt;=eco))/eco)^n)*((($AV26+$AW26*Geometry!$E$42:$E$59+$AX26*Geometry!$D$42:$D$59))&gt;0))),Geometry!$F$42:$F$59,Geometry!$E$42:$E$59))/1000000</f>
      </c>
      <c r="CS26" s="32">
        <f>(SUMPRODUCT(alpha*fck*(1-(1-((($AY26+$AZ26*Mesh_Y+$BA26*Mesh_X))*(($AY26+$AZ26*Mesh_Y+$BA26*Mesh_X)&gt;0)*(($AY26+$AZ26*Mesh_Y+$BA26*Mesh_X)&lt;eco)+eco*(($AY26+$AZ26*Mesh_Y+$BA26*Mesh_X)&gt;=eco))/eco)^n)*((($AY26+$AZ26*Mesh_Y+$BA26*Mesh_X))&gt;0),Mesh_A,Mesh_Y)+SUMPRODUCT((Es*(($AY26+$AZ26*Geometry!$E$42:$E$59+$BA26*Geometry!$D$42:$D$59))*(ABS(Es*(($AY26+$AZ26*Geometry!$E$42:$E$59+$BA26*Geometry!$D$42:$D$59)))&lt;=fy)+fy*(Es*(($AY26+$AZ26*Geometry!$E$42:$E$59+$BA26*Geometry!$D$42:$D$59))&gt;fy)-fy*(Es*(($AY26+$AZ26*Geometry!$E$42:$E$59+$BA26*Geometry!$D$42:$D$59))&lt;-fy)-(alpha*fck*(1-(1-((($AY26+$AZ26*Geometry!$E$42:$E$59+$BA26*Geometry!$D$42:$D$59))*(($AY26+$AZ26*Geometry!$E$42:$E$59+$BA26*Geometry!$D$42:$D$59)&gt;0)*(($AY26+$AZ26*Geometry!$E$42:$E$59+$BA26*Geometry!$D$42:$D$59)&lt;eco)+eco*(($AY26+$AZ26*Geometry!$E$42:$E$59+$BA26*Geometry!$D$42:$D$59)&gt;=eco))/eco)^n)*((($AY26+$AZ26*Geometry!$E$42:$E$59+$BA26*Geometry!$D$42:$D$59))&gt;0))),Geometry!$F$42:$F$59,Geometry!$E$42:$E$59))/1000000</f>
      </c>
      <c r="CT26" s="32">
        <f>(SUMPRODUCT(alpha*fck*(1-(1-((($BB26+$BC26*Mesh_Y+$BD26*Mesh_X))*(($BB26+$BC26*Mesh_Y+$BD26*Mesh_X)&gt;0)*(($BB26+$BC26*Mesh_Y+$BD26*Mesh_X)&lt;eco)+eco*(($BB26+$BC26*Mesh_Y+$BD26*Mesh_X)&gt;=eco))/eco)^n)*((($BB26+$BC26*Mesh_Y+$BD26*Mesh_X))&gt;0),Mesh_A,Mesh_Y)+SUMPRODUCT((Es*(($BB26+$BC26*Geometry!$E$42:$E$59+$BD26*Geometry!$D$42:$D$59))*(ABS(Es*(($BB26+$BC26*Geometry!$E$42:$E$59+$BD26*Geometry!$D$42:$D$59)))&lt;=fy)+fy*(Es*(($BB26+$BC26*Geometry!$E$42:$E$59+$BD26*Geometry!$D$42:$D$59))&gt;fy)-fy*(Es*(($BB26+$BC26*Geometry!$E$42:$E$59+$BD26*Geometry!$D$42:$D$59))&lt;-fy)-(alpha*fck*(1-(1-((($BB26+$BC26*Geometry!$E$42:$E$59+$BD26*Geometry!$D$42:$D$59))*(($BB26+$BC26*Geometry!$E$42:$E$59+$BD26*Geometry!$D$42:$D$59)&gt;0)*(($BB26+$BC26*Geometry!$E$42:$E$59+$BD26*Geometry!$D$42:$D$59)&lt;eco)+eco*(($BB26+$BC26*Geometry!$E$42:$E$59+$BD26*Geometry!$D$42:$D$59)&gt;=eco))/eco)^n)*((($BB26+$BC26*Geometry!$E$42:$E$59+$BD26*Geometry!$D$42:$D$59))&gt;0))),Geometry!$F$42:$F$59,Geometry!$E$42:$E$59))/1000000</f>
      </c>
      <c r="CU26" s="32">
        <f>(SUMPRODUCT(alpha*fck*(1-(1-((($BE26+$BF26*Mesh_Y+$BG26*Mesh_X))*(($BE26+$BF26*Mesh_Y+$BG26*Mesh_X)&gt;0)*(($BE26+$BF26*Mesh_Y+$BG26*Mesh_X)&lt;eco)+eco*(($BE26+$BF26*Mesh_Y+$BG26*Mesh_X)&gt;=eco))/eco)^n)*((($BE26+$BF26*Mesh_Y+$BG26*Mesh_X))&gt;0),Mesh_A,Mesh_Y)+SUMPRODUCT((Es*(($BE26+$BF26*Geometry!$E$42:$E$59+$BG26*Geometry!$D$42:$D$59))*(ABS(Es*(($BE26+$BF26*Geometry!$E$42:$E$59+$BG26*Geometry!$D$42:$D$59)))&lt;=fy)+fy*(Es*(($BE26+$BF26*Geometry!$E$42:$E$59+$BG26*Geometry!$D$42:$D$59))&gt;fy)-fy*(Es*(($BE26+$BF26*Geometry!$E$42:$E$59+$BG26*Geometry!$D$42:$D$59))&lt;-fy)-(alpha*fck*(1-(1-((($BE26+$BF26*Geometry!$E$42:$E$59+$BG26*Geometry!$D$42:$D$59))*(($BE26+$BF26*Geometry!$E$42:$E$59+$BG26*Geometry!$D$42:$D$59)&gt;0)*(($BE26+$BF26*Geometry!$E$42:$E$59+$BG26*Geometry!$D$42:$D$59)&lt;eco)+eco*(($BE26+$BF26*Geometry!$E$42:$E$59+$BG26*Geometry!$D$42:$D$59)&gt;=eco))/eco)^n)*((($BE26+$BF26*Geometry!$E$42:$E$59+$BG26*Geometry!$D$42:$D$59))&gt;0))),Geometry!$F$42:$F$59,Geometry!$E$42:$E$59))/1000000</f>
      </c>
      <c r="CV26" s="32">
        <f>(SUMPRODUCT(alpha*fck*(1-(1-((($BH26+$BI26*Mesh_Y+$BJ26*Mesh_X))*(($BH26+$BI26*Mesh_Y+$BJ26*Mesh_X)&gt;0)*(($BH26+$BI26*Mesh_Y+$BJ26*Mesh_X)&lt;eco)+eco*(($BH26+$BI26*Mesh_Y+$BJ26*Mesh_X)&gt;=eco))/eco)^n)*((($BH26+$BI26*Mesh_Y+$BJ26*Mesh_X))&gt;0),Mesh_A,Mesh_Y)+SUMPRODUCT((Es*(($BH26+$BI26*Geometry!$E$42:$E$59+$BJ26*Geometry!$D$42:$D$59))*(ABS(Es*(($BH26+$BI26*Geometry!$E$42:$E$59+$BJ26*Geometry!$D$42:$D$59)))&lt;=fy)+fy*(Es*(($BH26+$BI26*Geometry!$E$42:$E$59+$BJ26*Geometry!$D$42:$D$59))&gt;fy)-fy*(Es*(($BH26+$BI26*Geometry!$E$42:$E$59+$BJ26*Geometry!$D$42:$D$59))&lt;-fy)-(alpha*fck*(1-(1-((($BH26+$BI26*Geometry!$E$42:$E$59+$BJ26*Geometry!$D$42:$D$59))*(($BH26+$BI26*Geometry!$E$42:$E$59+$BJ26*Geometry!$D$42:$D$59)&gt;0)*(($BH26+$BI26*Geometry!$E$42:$E$59+$BJ26*Geometry!$D$42:$D$59)&lt;eco)+eco*(($BH26+$BI26*Geometry!$E$42:$E$59+$BJ26*Geometry!$D$42:$D$59)&gt;=eco))/eco)^n)*((($BH26+$BI26*Geometry!$E$42:$E$59+$BJ26*Geometry!$D$42:$D$59))&gt;0))),Geometry!$F$42:$F$59,Geometry!$E$42:$E$59))/1000000</f>
      </c>
      <c r="CW26" s="32">
        <f>(SUMPRODUCT(alpha*fck*(1-(1-((($F26+$G26*Mesh_Y+$H26*Mesh_X))*(($F26+$G26*Mesh_Y+$H26*Mesh_X)&gt;0)*(($F26+$G26*Mesh_Y+$H26*Mesh_X)&lt;eco)+eco*(($F26+$G26*Mesh_Y+$H26*Mesh_X)&gt;=eco))/eco)^n)*((($F26+$G26*Mesh_Y+$H26*Mesh_X))&gt;0),Mesh_A,Mesh_X)+SUMPRODUCT((Es*(($F26+$G26*Geometry!$E$42:$E$59+$H26*Geometry!$D$42:$D$59))*(ABS(Es*(($F26+$G26*Geometry!$E$42:$E$59+$H26*Geometry!$D$42:$D$59)))&lt;=fy)+fy*(Es*(($F26+$G26*Geometry!$E$42:$E$59+$H26*Geometry!$D$42:$D$59))&gt;fy)-fy*(Es*(($F26+$G26*Geometry!$E$42:$E$59+$H26*Geometry!$D$42:$D$59))&lt;-fy)-(alpha*fck*(1-(1-((($F26+$G26*Geometry!$E$42:$E$59+$H26*Geometry!$D$42:$D$59))*(($F26+$G26*Geometry!$E$42:$E$59+$H26*Geometry!$D$42:$D$59)&gt;0)*(($F26+$G26*Geometry!$E$42:$E$59+$H26*Geometry!$D$42:$D$59)&lt;eco)+eco*(($F26+$G26*Geometry!$E$42:$E$59+$H26*Geometry!$D$42:$D$59)&gt;=eco))/eco)^n)*((($F26+$G26*Geometry!$E$42:$E$59+$H26*Geometry!$D$42:$D$59))&gt;0))),Geometry!$F$42:$F$59,Geometry!$D$42:$D$59))/1000000</f>
      </c>
      <c r="CX26" s="32">
        <f>(SUMPRODUCT(alpha*fck*(1-(1-((($I26+$J26*Mesh_Y+$K26*Mesh_X))*(($I26+$J26*Mesh_Y+$K26*Mesh_X)&gt;0)*(($I26+$J26*Mesh_Y+$K26*Mesh_X)&lt;eco)+eco*(($I26+$J26*Mesh_Y+$K26*Mesh_X)&gt;=eco))/eco)^n)*((($I26+$J26*Mesh_Y+$K26*Mesh_X))&gt;0),Mesh_A,Mesh_X)+SUMPRODUCT((Es*(($I26+$J26*Geometry!$E$42:$E$59+$K26*Geometry!$D$42:$D$59))*(ABS(Es*(($I26+$J26*Geometry!$E$42:$E$59+$K26*Geometry!$D$42:$D$59)))&lt;=fy)+fy*(Es*(($I26+$J26*Geometry!$E$42:$E$59+$K26*Geometry!$D$42:$D$59))&gt;fy)-fy*(Es*(($I26+$J26*Geometry!$E$42:$E$59+$K26*Geometry!$D$42:$D$59))&lt;-fy)-(alpha*fck*(1-(1-((($I26+$J26*Geometry!$E$42:$E$59+$K26*Geometry!$D$42:$D$59))*(($I26+$J26*Geometry!$E$42:$E$59+$K26*Geometry!$D$42:$D$59)&gt;0)*(($I26+$J26*Geometry!$E$42:$E$59+$K26*Geometry!$D$42:$D$59)&lt;eco)+eco*(($I26+$J26*Geometry!$E$42:$E$59+$K26*Geometry!$D$42:$D$59)&gt;=eco))/eco)^n)*((($I26+$J26*Geometry!$E$42:$E$59+$K26*Geometry!$D$42:$D$59))&gt;0))),Geometry!$F$42:$F$59,Geometry!$D$42:$D$59))/1000000</f>
      </c>
      <c r="CY26" s="32">
        <f>(SUMPRODUCT(alpha*fck*(1-(1-((($L26+$M26*Mesh_Y+$N26*Mesh_X))*(($L26+$M26*Mesh_Y+$N26*Mesh_X)&gt;0)*(($L26+$M26*Mesh_Y+$N26*Mesh_X)&lt;eco)+eco*(($L26+$M26*Mesh_Y+$N26*Mesh_X)&gt;=eco))/eco)^n)*((($L26+$M26*Mesh_Y+$N26*Mesh_X))&gt;0),Mesh_A,Mesh_X)+SUMPRODUCT((Es*(($L26+$M26*Geometry!$E$42:$E$59+$N26*Geometry!$D$42:$D$59))*(ABS(Es*(($L26+$M26*Geometry!$E$42:$E$59+$N26*Geometry!$D$42:$D$59)))&lt;=fy)+fy*(Es*(($L26+$M26*Geometry!$E$42:$E$59+$N26*Geometry!$D$42:$D$59))&gt;fy)-fy*(Es*(($L26+$M26*Geometry!$E$42:$E$59+$N26*Geometry!$D$42:$D$59))&lt;-fy)-(alpha*fck*(1-(1-((($L26+$M26*Geometry!$E$42:$E$59+$N26*Geometry!$D$42:$D$59))*(($L26+$M26*Geometry!$E$42:$E$59+$N26*Geometry!$D$42:$D$59)&gt;0)*(($L26+$M26*Geometry!$E$42:$E$59+$N26*Geometry!$D$42:$D$59)&lt;eco)+eco*(($L26+$M26*Geometry!$E$42:$E$59+$N26*Geometry!$D$42:$D$59)&gt;=eco))/eco)^n)*((($L26+$M26*Geometry!$E$42:$E$59+$N26*Geometry!$D$42:$D$59))&gt;0))),Geometry!$F$42:$F$59,Geometry!$D$42:$D$59))/1000000</f>
      </c>
      <c r="CZ26" s="32">
        <f>(SUMPRODUCT(alpha*fck*(1-(1-((($O26+$P26*Mesh_Y+$Q26*Mesh_X))*(($O26+$P26*Mesh_Y+$Q26*Mesh_X)&gt;0)*(($O26+$P26*Mesh_Y+$Q26*Mesh_X)&lt;eco)+eco*(($O26+$P26*Mesh_Y+$Q26*Mesh_X)&gt;=eco))/eco)^n)*((($O26+$P26*Mesh_Y+$Q26*Mesh_X))&gt;0),Mesh_A,Mesh_X)+SUMPRODUCT((Es*(($O26+$P26*Geometry!$E$42:$E$59+$Q26*Geometry!$D$42:$D$59))*(ABS(Es*(($O26+$P26*Geometry!$E$42:$E$59+$Q26*Geometry!$D$42:$D$59)))&lt;=fy)+fy*(Es*(($O26+$P26*Geometry!$E$42:$E$59+$Q26*Geometry!$D$42:$D$59))&gt;fy)-fy*(Es*(($O26+$P26*Geometry!$E$42:$E$59+$Q26*Geometry!$D$42:$D$59))&lt;-fy)-(alpha*fck*(1-(1-((($O26+$P26*Geometry!$E$42:$E$59+$Q26*Geometry!$D$42:$D$59))*(($O26+$P26*Geometry!$E$42:$E$59+$Q26*Geometry!$D$42:$D$59)&gt;0)*(($O26+$P26*Geometry!$E$42:$E$59+$Q26*Geometry!$D$42:$D$59)&lt;eco)+eco*(($O26+$P26*Geometry!$E$42:$E$59+$Q26*Geometry!$D$42:$D$59)&gt;=eco))/eco)^n)*((($O26+$P26*Geometry!$E$42:$E$59+$Q26*Geometry!$D$42:$D$59))&gt;0))),Geometry!$F$42:$F$59,Geometry!$D$42:$D$59))/1000000</f>
      </c>
      <c r="DA26" s="32">
        <f>(SUMPRODUCT(alpha*fck*(1-(1-((($R26+$S26*Mesh_Y+$T26*Mesh_X))*(($R26+$S26*Mesh_Y+$T26*Mesh_X)&gt;0)*(($R26+$S26*Mesh_Y+$T26*Mesh_X)&lt;eco)+eco*(($R26+$S26*Mesh_Y+$T26*Mesh_X)&gt;=eco))/eco)^n)*((($R26+$S26*Mesh_Y+$T26*Mesh_X))&gt;0),Mesh_A,Mesh_X)+SUMPRODUCT((Es*(($R26+$S26*Geometry!$E$42:$E$59+$T26*Geometry!$D$42:$D$59))*(ABS(Es*(($R26+$S26*Geometry!$E$42:$E$59+$T26*Geometry!$D$42:$D$59)))&lt;=fy)+fy*(Es*(($R26+$S26*Geometry!$E$42:$E$59+$T26*Geometry!$D$42:$D$59))&gt;fy)-fy*(Es*(($R26+$S26*Geometry!$E$42:$E$59+$T26*Geometry!$D$42:$D$59))&lt;-fy)-(alpha*fck*(1-(1-((($R26+$S26*Geometry!$E$42:$E$59+$T26*Geometry!$D$42:$D$59))*(($R26+$S26*Geometry!$E$42:$E$59+$T26*Geometry!$D$42:$D$59)&gt;0)*(($R26+$S26*Geometry!$E$42:$E$59+$T26*Geometry!$D$42:$D$59)&lt;eco)+eco*(($R26+$S26*Geometry!$E$42:$E$59+$T26*Geometry!$D$42:$D$59)&gt;=eco))/eco)^n)*((($R26+$S26*Geometry!$E$42:$E$59+$T26*Geometry!$D$42:$D$59))&gt;0))),Geometry!$F$42:$F$59,Geometry!$D$42:$D$59))/1000000</f>
      </c>
      <c r="DB26" s="32">
        <f>(SUMPRODUCT(alpha*fck*(1-(1-((($U26+$V26*Mesh_Y+$W26*Mesh_X))*(($U26+$V26*Mesh_Y+$W26*Mesh_X)&gt;0)*(($U26+$V26*Mesh_Y+$W26*Mesh_X)&lt;eco)+eco*(($U26+$V26*Mesh_Y+$W26*Mesh_X)&gt;=eco))/eco)^n)*((($U26+$V26*Mesh_Y+$W26*Mesh_X))&gt;0),Mesh_A,Mesh_X)+SUMPRODUCT((Es*(($U26+$V26*Geometry!$E$42:$E$59+$W26*Geometry!$D$42:$D$59))*(ABS(Es*(($U26+$V26*Geometry!$E$42:$E$59+$W26*Geometry!$D$42:$D$59)))&lt;=fy)+fy*(Es*(($U26+$V26*Geometry!$E$42:$E$59+$W26*Geometry!$D$42:$D$59))&gt;fy)-fy*(Es*(($U26+$V26*Geometry!$E$42:$E$59+$W26*Geometry!$D$42:$D$59))&lt;-fy)-(alpha*fck*(1-(1-((($U26+$V26*Geometry!$E$42:$E$59+$W26*Geometry!$D$42:$D$59))*(($U26+$V26*Geometry!$E$42:$E$59+$W26*Geometry!$D$42:$D$59)&gt;0)*(($U26+$V26*Geometry!$E$42:$E$59+$W26*Geometry!$D$42:$D$59)&lt;eco)+eco*(($U26+$V26*Geometry!$E$42:$E$59+$W26*Geometry!$D$42:$D$59)&gt;=eco))/eco)^n)*((($U26+$V26*Geometry!$E$42:$E$59+$W26*Geometry!$D$42:$D$59))&gt;0))),Geometry!$F$42:$F$59,Geometry!$D$42:$D$59))/1000000</f>
      </c>
      <c r="DC26" s="32">
        <f>(SUMPRODUCT(alpha*fck*(1-(1-((($X26+$Y26*Mesh_Y+$Z26*Mesh_X))*(($X26+$Y26*Mesh_Y+$Z26*Mesh_X)&gt;0)*(($X26+$Y26*Mesh_Y+$Z26*Mesh_X)&lt;eco)+eco*(($X26+$Y26*Mesh_Y+$Z26*Mesh_X)&gt;=eco))/eco)^n)*((($X26+$Y26*Mesh_Y+$Z26*Mesh_X))&gt;0),Mesh_A,Mesh_X)+SUMPRODUCT((Es*(($X26+$Y26*Geometry!$E$42:$E$59+$Z26*Geometry!$D$42:$D$59))*(ABS(Es*(($X26+$Y26*Geometry!$E$42:$E$59+$Z26*Geometry!$D$42:$D$59)))&lt;=fy)+fy*(Es*(($X26+$Y26*Geometry!$E$42:$E$59+$Z26*Geometry!$D$42:$D$59))&gt;fy)-fy*(Es*(($X26+$Y26*Geometry!$E$42:$E$59+$Z26*Geometry!$D$42:$D$59))&lt;-fy)-(alpha*fck*(1-(1-((($X26+$Y26*Geometry!$E$42:$E$59+$Z26*Geometry!$D$42:$D$59))*(($X26+$Y26*Geometry!$E$42:$E$59+$Z26*Geometry!$D$42:$D$59)&gt;0)*(($X26+$Y26*Geometry!$E$42:$E$59+$Z26*Geometry!$D$42:$D$59)&lt;eco)+eco*(($X26+$Y26*Geometry!$E$42:$E$59+$Z26*Geometry!$D$42:$D$59)&gt;=eco))/eco)^n)*((($X26+$Y26*Geometry!$E$42:$E$59+$Z26*Geometry!$D$42:$D$59))&gt;0))),Geometry!$F$42:$F$59,Geometry!$D$42:$D$59))/1000000</f>
      </c>
      <c r="DD26" s="32">
        <f>(SUMPRODUCT(alpha*fck*(1-(1-((($AA26+$AB26*Mesh_Y+$AC26*Mesh_X))*(($AA26+$AB26*Mesh_Y+$AC26*Mesh_X)&gt;0)*(($AA26+$AB26*Mesh_Y+$AC26*Mesh_X)&lt;eco)+eco*(($AA26+$AB26*Mesh_Y+$AC26*Mesh_X)&gt;=eco))/eco)^n)*((($AA26+$AB26*Mesh_Y+$AC26*Mesh_X))&gt;0),Mesh_A,Mesh_X)+SUMPRODUCT((Es*(($AA26+$AB26*Geometry!$E$42:$E$59+$AC26*Geometry!$D$42:$D$59))*(ABS(Es*(($AA26+$AB26*Geometry!$E$42:$E$59+$AC26*Geometry!$D$42:$D$59)))&lt;=fy)+fy*(Es*(($AA26+$AB26*Geometry!$E$42:$E$59+$AC26*Geometry!$D$42:$D$59))&gt;fy)-fy*(Es*(($AA26+$AB26*Geometry!$E$42:$E$59+$AC26*Geometry!$D$42:$D$59))&lt;-fy)-(alpha*fck*(1-(1-((($AA26+$AB26*Geometry!$E$42:$E$59+$AC26*Geometry!$D$42:$D$59))*(($AA26+$AB26*Geometry!$E$42:$E$59+$AC26*Geometry!$D$42:$D$59)&gt;0)*(($AA26+$AB26*Geometry!$E$42:$E$59+$AC26*Geometry!$D$42:$D$59)&lt;eco)+eco*(($AA26+$AB26*Geometry!$E$42:$E$59+$AC26*Geometry!$D$42:$D$59)&gt;=eco))/eco)^n)*((($AA26+$AB26*Geometry!$E$42:$E$59+$AC26*Geometry!$D$42:$D$59))&gt;0))),Geometry!$F$42:$F$59,Geometry!$D$42:$D$59))/1000000</f>
      </c>
      <c r="DE26" s="32">
        <f>(SUMPRODUCT(alpha*fck*(1-(1-((($AD26+$AE26*Mesh_Y+$AF26*Mesh_X))*(($AD26+$AE26*Mesh_Y+$AF26*Mesh_X)&gt;0)*(($AD26+$AE26*Mesh_Y+$AF26*Mesh_X)&lt;eco)+eco*(($AD26+$AE26*Mesh_Y+$AF26*Mesh_X)&gt;=eco))/eco)^n)*((($AD26+$AE26*Mesh_Y+$AF26*Mesh_X))&gt;0),Mesh_A,Mesh_X)+SUMPRODUCT((Es*(($AD26+$AE26*Geometry!$E$42:$E$59+$AF26*Geometry!$D$42:$D$59))*(ABS(Es*(($AD26+$AE26*Geometry!$E$42:$E$59+$AF26*Geometry!$D$42:$D$59)))&lt;=fy)+fy*(Es*(($AD26+$AE26*Geometry!$E$42:$E$59+$AF26*Geometry!$D$42:$D$59))&gt;fy)-fy*(Es*(($AD26+$AE26*Geometry!$E$42:$E$59+$AF26*Geometry!$D$42:$D$59))&lt;-fy)-(alpha*fck*(1-(1-((($AD26+$AE26*Geometry!$E$42:$E$59+$AF26*Geometry!$D$42:$D$59))*(($AD26+$AE26*Geometry!$E$42:$E$59+$AF26*Geometry!$D$42:$D$59)&gt;0)*(($AD26+$AE26*Geometry!$E$42:$E$59+$AF26*Geometry!$D$42:$D$59)&lt;eco)+eco*(($AD26+$AE26*Geometry!$E$42:$E$59+$AF26*Geometry!$D$42:$D$59)&gt;=eco))/eco)^n)*((($AD26+$AE26*Geometry!$E$42:$E$59+$AF26*Geometry!$D$42:$D$59))&gt;0))),Geometry!$F$42:$F$59,Geometry!$D$42:$D$59))/1000000</f>
      </c>
      <c r="DF26" s="32">
        <f>(SUMPRODUCT(alpha*fck*(1-(1-((($AG26+$AH26*Mesh_Y+$AI26*Mesh_X))*(($AG26+$AH26*Mesh_Y+$AI26*Mesh_X)&gt;0)*(($AG26+$AH26*Mesh_Y+$AI26*Mesh_X)&lt;eco)+eco*(($AG26+$AH26*Mesh_Y+$AI26*Mesh_X)&gt;=eco))/eco)^n)*((($AG26+$AH26*Mesh_Y+$AI26*Mesh_X))&gt;0),Mesh_A,Mesh_X)+SUMPRODUCT((Es*(($AG26+$AH26*Geometry!$E$42:$E$59+$AI26*Geometry!$D$42:$D$59))*(ABS(Es*(($AG26+$AH26*Geometry!$E$42:$E$59+$AI26*Geometry!$D$42:$D$59)))&lt;=fy)+fy*(Es*(($AG26+$AH26*Geometry!$E$42:$E$59+$AI26*Geometry!$D$42:$D$59))&gt;fy)-fy*(Es*(($AG26+$AH26*Geometry!$E$42:$E$59+$AI26*Geometry!$D$42:$D$59))&lt;-fy)-(alpha*fck*(1-(1-((($AG26+$AH26*Geometry!$E$42:$E$59+$AI26*Geometry!$D$42:$D$59))*(($AG26+$AH26*Geometry!$E$42:$E$59+$AI26*Geometry!$D$42:$D$59)&gt;0)*(($AG26+$AH26*Geometry!$E$42:$E$59+$AI26*Geometry!$D$42:$D$59)&lt;eco)+eco*(($AG26+$AH26*Geometry!$E$42:$E$59+$AI26*Geometry!$D$42:$D$59)&gt;=eco))/eco)^n)*((($AG26+$AH26*Geometry!$E$42:$E$59+$AI26*Geometry!$D$42:$D$59))&gt;0))),Geometry!$F$42:$F$59,Geometry!$D$42:$D$59))/1000000</f>
      </c>
      <c r="DG26" s="32">
        <f>(SUMPRODUCT(alpha*fck*(1-(1-((($AJ26+$AK26*Mesh_Y+$AL26*Mesh_X))*(($AJ26+$AK26*Mesh_Y+$AL26*Mesh_X)&gt;0)*(($AJ26+$AK26*Mesh_Y+$AL26*Mesh_X)&lt;eco)+eco*(($AJ26+$AK26*Mesh_Y+$AL26*Mesh_X)&gt;=eco))/eco)^n)*((($AJ26+$AK26*Mesh_Y+$AL26*Mesh_X))&gt;0),Mesh_A,Mesh_X)+SUMPRODUCT((Es*(($AJ26+$AK26*Geometry!$E$42:$E$59+$AL26*Geometry!$D$42:$D$59))*(ABS(Es*(($AJ26+$AK26*Geometry!$E$42:$E$59+$AL26*Geometry!$D$42:$D$59)))&lt;=fy)+fy*(Es*(($AJ26+$AK26*Geometry!$E$42:$E$59+$AL26*Geometry!$D$42:$D$59))&gt;fy)-fy*(Es*(($AJ26+$AK26*Geometry!$E$42:$E$59+$AL26*Geometry!$D$42:$D$59))&lt;-fy)-(alpha*fck*(1-(1-((($AJ26+$AK26*Geometry!$E$42:$E$59+$AL26*Geometry!$D$42:$D$59))*(($AJ26+$AK26*Geometry!$E$42:$E$59+$AL26*Geometry!$D$42:$D$59)&gt;0)*(($AJ26+$AK26*Geometry!$E$42:$E$59+$AL26*Geometry!$D$42:$D$59)&lt;eco)+eco*(($AJ26+$AK26*Geometry!$E$42:$E$59+$AL26*Geometry!$D$42:$D$59)&gt;=eco))/eco)^n)*((($AJ26+$AK26*Geometry!$E$42:$E$59+$AL26*Geometry!$D$42:$D$59))&gt;0))),Geometry!$F$42:$F$59,Geometry!$D$42:$D$59))/1000000</f>
      </c>
      <c r="DH26" s="32">
        <f>(SUMPRODUCT(alpha*fck*(1-(1-((($AM26+$AN26*Mesh_Y+$AO26*Mesh_X))*(($AM26+$AN26*Mesh_Y+$AO26*Mesh_X)&gt;0)*(($AM26+$AN26*Mesh_Y+$AO26*Mesh_X)&lt;eco)+eco*(($AM26+$AN26*Mesh_Y+$AO26*Mesh_X)&gt;=eco))/eco)^n)*((($AM26+$AN26*Mesh_Y+$AO26*Mesh_X))&gt;0),Mesh_A,Mesh_X)+SUMPRODUCT((Es*(($AM26+$AN26*Geometry!$E$42:$E$59+$AO26*Geometry!$D$42:$D$59))*(ABS(Es*(($AM26+$AN26*Geometry!$E$42:$E$59+$AO26*Geometry!$D$42:$D$59)))&lt;=fy)+fy*(Es*(($AM26+$AN26*Geometry!$E$42:$E$59+$AO26*Geometry!$D$42:$D$59))&gt;fy)-fy*(Es*(($AM26+$AN26*Geometry!$E$42:$E$59+$AO26*Geometry!$D$42:$D$59))&lt;-fy)-(alpha*fck*(1-(1-((($AM26+$AN26*Geometry!$E$42:$E$59+$AO26*Geometry!$D$42:$D$59))*(($AM26+$AN26*Geometry!$E$42:$E$59+$AO26*Geometry!$D$42:$D$59)&gt;0)*(($AM26+$AN26*Geometry!$E$42:$E$59+$AO26*Geometry!$D$42:$D$59)&lt;eco)+eco*(($AM26+$AN26*Geometry!$E$42:$E$59+$AO26*Geometry!$D$42:$D$59)&gt;=eco))/eco)^n)*((($AM26+$AN26*Geometry!$E$42:$E$59+$AO26*Geometry!$D$42:$D$59))&gt;0))),Geometry!$F$42:$F$59,Geometry!$D$42:$D$59))/1000000</f>
      </c>
      <c r="DI26" s="32">
        <f>(SUMPRODUCT(alpha*fck*(1-(1-((($AP26+$AQ26*Mesh_Y+$AR26*Mesh_X))*(($AP26+$AQ26*Mesh_Y+$AR26*Mesh_X)&gt;0)*(($AP26+$AQ26*Mesh_Y+$AR26*Mesh_X)&lt;eco)+eco*(($AP26+$AQ26*Mesh_Y+$AR26*Mesh_X)&gt;=eco))/eco)^n)*((($AP26+$AQ26*Mesh_Y+$AR26*Mesh_X))&gt;0),Mesh_A,Mesh_X)+SUMPRODUCT((Es*(($AP26+$AQ26*Geometry!$E$42:$E$59+$AR26*Geometry!$D$42:$D$59))*(ABS(Es*(($AP26+$AQ26*Geometry!$E$42:$E$59+$AR26*Geometry!$D$42:$D$59)))&lt;=fy)+fy*(Es*(($AP26+$AQ26*Geometry!$E$42:$E$59+$AR26*Geometry!$D$42:$D$59))&gt;fy)-fy*(Es*(($AP26+$AQ26*Geometry!$E$42:$E$59+$AR26*Geometry!$D$42:$D$59))&lt;-fy)-(alpha*fck*(1-(1-((($AP26+$AQ26*Geometry!$E$42:$E$59+$AR26*Geometry!$D$42:$D$59))*(($AP26+$AQ26*Geometry!$E$42:$E$59+$AR26*Geometry!$D$42:$D$59)&gt;0)*(($AP26+$AQ26*Geometry!$E$42:$E$59+$AR26*Geometry!$D$42:$D$59)&lt;eco)+eco*(($AP26+$AQ26*Geometry!$E$42:$E$59+$AR26*Geometry!$D$42:$D$59)&gt;=eco))/eco)^n)*((($AP26+$AQ26*Geometry!$E$42:$E$59+$AR26*Geometry!$D$42:$D$59))&gt;0))),Geometry!$F$42:$F$59,Geometry!$D$42:$D$59))/1000000</f>
      </c>
      <c r="DJ26" s="32">
        <f>(SUMPRODUCT(alpha*fck*(1-(1-((($AS26+$AT26*Mesh_Y+$AU26*Mesh_X))*(($AS26+$AT26*Mesh_Y+$AU26*Mesh_X)&gt;0)*(($AS26+$AT26*Mesh_Y+$AU26*Mesh_X)&lt;eco)+eco*(($AS26+$AT26*Mesh_Y+$AU26*Mesh_X)&gt;=eco))/eco)^n)*((($AS26+$AT26*Mesh_Y+$AU26*Mesh_X))&gt;0),Mesh_A,Mesh_X)+SUMPRODUCT((Es*(($AS26+$AT26*Geometry!$E$42:$E$59+$AU26*Geometry!$D$42:$D$59))*(ABS(Es*(($AS26+$AT26*Geometry!$E$42:$E$59+$AU26*Geometry!$D$42:$D$59)))&lt;=fy)+fy*(Es*(($AS26+$AT26*Geometry!$E$42:$E$59+$AU26*Geometry!$D$42:$D$59))&gt;fy)-fy*(Es*(($AS26+$AT26*Geometry!$E$42:$E$59+$AU26*Geometry!$D$42:$D$59))&lt;-fy)-(alpha*fck*(1-(1-((($AS26+$AT26*Geometry!$E$42:$E$59+$AU26*Geometry!$D$42:$D$59))*(($AS26+$AT26*Geometry!$E$42:$E$59+$AU26*Geometry!$D$42:$D$59)&gt;0)*(($AS26+$AT26*Geometry!$E$42:$E$59+$AU26*Geometry!$D$42:$D$59)&lt;eco)+eco*(($AS26+$AT26*Geometry!$E$42:$E$59+$AU26*Geometry!$D$42:$D$59)&gt;=eco))/eco)^n)*((($AS26+$AT26*Geometry!$E$42:$E$59+$AU26*Geometry!$D$42:$D$59))&gt;0))),Geometry!$F$42:$F$59,Geometry!$D$42:$D$59))/1000000</f>
      </c>
      <c r="DK26" s="32">
        <f>(SUMPRODUCT(alpha*fck*(1-(1-((($AV26+$AW26*Mesh_Y+$AX26*Mesh_X))*(($AV26+$AW26*Mesh_Y+$AX26*Mesh_X)&gt;0)*(($AV26+$AW26*Mesh_Y+$AX26*Mesh_X)&lt;eco)+eco*(($AV26+$AW26*Mesh_Y+$AX26*Mesh_X)&gt;=eco))/eco)^n)*((($AV26+$AW26*Mesh_Y+$AX26*Mesh_X))&gt;0),Mesh_A,Mesh_X)+SUMPRODUCT((Es*(($AV26+$AW26*Geometry!$E$42:$E$59+$AX26*Geometry!$D$42:$D$59))*(ABS(Es*(($AV26+$AW26*Geometry!$E$42:$E$59+$AX26*Geometry!$D$42:$D$59)))&lt;=fy)+fy*(Es*(($AV26+$AW26*Geometry!$E$42:$E$59+$AX26*Geometry!$D$42:$D$59))&gt;fy)-fy*(Es*(($AV26+$AW26*Geometry!$E$42:$E$59+$AX26*Geometry!$D$42:$D$59))&lt;-fy)-(alpha*fck*(1-(1-((($AV26+$AW26*Geometry!$E$42:$E$59+$AX26*Geometry!$D$42:$D$59))*(($AV26+$AW26*Geometry!$E$42:$E$59+$AX26*Geometry!$D$42:$D$59)&gt;0)*(($AV26+$AW26*Geometry!$E$42:$E$59+$AX26*Geometry!$D$42:$D$59)&lt;eco)+eco*(($AV26+$AW26*Geometry!$E$42:$E$59+$AX26*Geometry!$D$42:$D$59)&gt;=eco))/eco)^n)*((($AV26+$AW26*Geometry!$E$42:$E$59+$AX26*Geometry!$D$42:$D$59))&gt;0))),Geometry!$F$42:$F$59,Geometry!$D$42:$D$59))/1000000</f>
      </c>
      <c r="DL26" s="32">
        <f>(SUMPRODUCT(alpha*fck*(1-(1-((($AY26+$AZ26*Mesh_Y+$BA26*Mesh_X))*(($AY26+$AZ26*Mesh_Y+$BA26*Mesh_X)&gt;0)*(($AY26+$AZ26*Mesh_Y+$BA26*Mesh_X)&lt;eco)+eco*(($AY26+$AZ26*Mesh_Y+$BA26*Mesh_X)&gt;=eco))/eco)^n)*((($AY26+$AZ26*Mesh_Y+$BA26*Mesh_X))&gt;0),Mesh_A,Mesh_X)+SUMPRODUCT((Es*(($AY26+$AZ26*Geometry!$E$42:$E$59+$BA26*Geometry!$D$42:$D$59))*(ABS(Es*(($AY26+$AZ26*Geometry!$E$42:$E$59+$BA26*Geometry!$D$42:$D$59)))&lt;=fy)+fy*(Es*(($AY26+$AZ26*Geometry!$E$42:$E$59+$BA26*Geometry!$D$42:$D$59))&gt;fy)-fy*(Es*(($AY26+$AZ26*Geometry!$E$42:$E$59+$BA26*Geometry!$D$42:$D$59))&lt;-fy)-(alpha*fck*(1-(1-((($AY26+$AZ26*Geometry!$E$42:$E$59+$BA26*Geometry!$D$42:$D$59))*(($AY26+$AZ26*Geometry!$E$42:$E$59+$BA26*Geometry!$D$42:$D$59)&gt;0)*(($AY26+$AZ26*Geometry!$E$42:$E$59+$BA26*Geometry!$D$42:$D$59)&lt;eco)+eco*(($AY26+$AZ26*Geometry!$E$42:$E$59+$BA26*Geometry!$D$42:$D$59)&gt;=eco))/eco)^n)*((($AY26+$AZ26*Geometry!$E$42:$E$59+$BA26*Geometry!$D$42:$D$59))&gt;0))),Geometry!$F$42:$F$59,Geometry!$D$42:$D$59))/1000000</f>
      </c>
      <c r="DM26" s="32">
        <f>(SUMPRODUCT(alpha*fck*(1-(1-((($BB26+$BC26*Mesh_Y+$BD26*Mesh_X))*(($BB26+$BC26*Mesh_Y+$BD26*Mesh_X)&gt;0)*(($BB26+$BC26*Mesh_Y+$BD26*Mesh_X)&lt;eco)+eco*(($BB26+$BC26*Mesh_Y+$BD26*Mesh_X)&gt;=eco))/eco)^n)*((($BB26+$BC26*Mesh_Y+$BD26*Mesh_X))&gt;0),Mesh_A,Mesh_X)+SUMPRODUCT((Es*(($BB26+$BC26*Geometry!$E$42:$E$59+$BD26*Geometry!$D$42:$D$59))*(ABS(Es*(($BB26+$BC26*Geometry!$E$42:$E$59+$BD26*Geometry!$D$42:$D$59)))&lt;=fy)+fy*(Es*(($BB26+$BC26*Geometry!$E$42:$E$59+$BD26*Geometry!$D$42:$D$59))&gt;fy)-fy*(Es*(($BB26+$BC26*Geometry!$E$42:$E$59+$BD26*Geometry!$D$42:$D$59))&lt;-fy)-(alpha*fck*(1-(1-((($BB26+$BC26*Geometry!$E$42:$E$59+$BD26*Geometry!$D$42:$D$59))*(($BB26+$BC26*Geometry!$E$42:$E$59+$BD26*Geometry!$D$42:$D$59)&gt;0)*(($BB26+$BC26*Geometry!$E$42:$E$59+$BD26*Geometry!$D$42:$D$59)&lt;eco)+eco*(($BB26+$BC26*Geometry!$E$42:$E$59+$BD26*Geometry!$D$42:$D$59)&gt;=eco))/eco)^n)*((($BB26+$BC26*Geometry!$E$42:$E$59+$BD26*Geometry!$D$42:$D$59))&gt;0))),Geometry!$F$42:$F$59,Geometry!$D$42:$D$59))/1000000</f>
      </c>
      <c r="DN26" s="32">
        <f>(SUMPRODUCT(alpha*fck*(1-(1-((($BE26+$BF26*Mesh_Y+$BG26*Mesh_X))*(($BE26+$BF26*Mesh_Y+$BG26*Mesh_X)&gt;0)*(($BE26+$BF26*Mesh_Y+$BG26*Mesh_X)&lt;eco)+eco*(($BE26+$BF26*Mesh_Y+$BG26*Mesh_X)&gt;=eco))/eco)^n)*((($BE26+$BF26*Mesh_Y+$BG26*Mesh_X))&gt;0),Mesh_A,Mesh_X)+SUMPRODUCT((Es*(($BE26+$BF26*Geometry!$E$42:$E$59+$BG26*Geometry!$D$42:$D$59))*(ABS(Es*(($BE26+$BF26*Geometry!$E$42:$E$59+$BG26*Geometry!$D$42:$D$59)))&lt;=fy)+fy*(Es*(($BE26+$BF26*Geometry!$E$42:$E$59+$BG26*Geometry!$D$42:$D$59))&gt;fy)-fy*(Es*(($BE26+$BF26*Geometry!$E$42:$E$59+$BG26*Geometry!$D$42:$D$59))&lt;-fy)-(alpha*fck*(1-(1-((($BE26+$BF26*Geometry!$E$42:$E$59+$BG26*Geometry!$D$42:$D$59))*(($BE26+$BF26*Geometry!$E$42:$E$59+$BG26*Geometry!$D$42:$D$59)&gt;0)*(($BE26+$BF26*Geometry!$E$42:$E$59+$BG26*Geometry!$D$42:$D$59)&lt;eco)+eco*(($BE26+$BF26*Geometry!$E$42:$E$59+$BG26*Geometry!$D$42:$D$59)&gt;=eco))/eco)^n)*((($BE26+$BF26*Geometry!$E$42:$E$59+$BG26*Geometry!$D$42:$D$59))&gt;0))),Geometry!$F$42:$F$59,Geometry!$D$42:$D$59))/1000000</f>
      </c>
      <c r="DO26" s="32">
        <f>(SUMPRODUCT(alpha*fck*(1-(1-((($BH26+$BI26*Mesh_Y+$BJ26*Mesh_X))*(($BH26+$BI26*Mesh_Y+$BJ26*Mesh_X)&gt;0)*(($BH26+$BI26*Mesh_Y+$BJ26*Mesh_X)&lt;eco)+eco*(($BH26+$BI26*Mesh_Y+$BJ26*Mesh_X)&gt;=eco))/eco)^n)*((($BH26+$BI26*Mesh_Y+$BJ26*Mesh_X))&gt;0),Mesh_A,Mesh_X)+SUMPRODUCT((Es*(($BH26+$BI26*Geometry!$E$42:$E$59+$BJ26*Geometry!$D$42:$D$59))*(ABS(Es*(($BH26+$BI26*Geometry!$E$42:$E$59+$BJ26*Geometry!$D$42:$D$59)))&lt;=fy)+fy*(Es*(($BH26+$BI26*Geometry!$E$42:$E$59+$BJ26*Geometry!$D$42:$D$59))&gt;fy)-fy*(Es*(($BH26+$BI26*Geometry!$E$42:$E$59+$BJ26*Geometry!$D$42:$D$59))&lt;-fy)-(alpha*fck*(1-(1-((($BH26+$BI26*Geometry!$E$42:$E$59+$BJ26*Geometry!$D$42:$D$59))*(($BH26+$BI26*Geometry!$E$42:$E$59+$BJ26*Geometry!$D$42:$D$59)&gt;0)*(($BH26+$BI26*Geometry!$E$42:$E$59+$BJ26*Geometry!$D$42:$D$59)&lt;eco)+eco*(($BH26+$BI26*Geometry!$E$42:$E$59+$BJ26*Geometry!$D$42:$D$59)&gt;=eco))/eco)^n)*((($BH26+$BI26*Geometry!$E$42:$E$59+$BJ26*Geometry!$D$42:$D$59))&gt;0))),Geometry!$F$42:$F$59,Geometry!$D$42:$D$59))/1000000</f>
      </c>
      <c r="DP26" s="45">
        <f>MAX(1,MIN(18,SUMPRODUCT(--($BK26:$CC26&gt;=Pu))))</f>
      </c>
      <c r="DQ26" s="46">
        <f>(Pu-INDEX($BK26:$CC26,1,$DP26))/(INDEX($BK26:$CC26,1,$DP26+1)-INDEX($BK26:$CC26,1,$DP26))</f>
      </c>
      <c r="DR26" s="33">
        <f>INDEX($CD26:$CV26,1,$DP26)+$DQ26*(INDEX($CD26:$CV26,1,$DP26+1)-INDEX($CD26:$CV26,1,$DP26))</f>
      </c>
      <c r="DS26" s="33">
        <f>INDEX($CW26:$DO26,1,$DP26)+$DQ26*(INDEX($CW26:$DO26,1,$DP26+1)-INDEX($CW26:$DO26,1,$DP26))</f>
      </c>
      <c r="DT26" s="33">
        <f>SQRT(DR26^2+DS26^2)</f>
      </c>
    </row>
    <row r="27" spans="1:124" x14ac:dyDescent="0.25">
      <c r="A27">
        <v>20</v>
      </c>
      <c r="B27" s="43">
        <v>285</v>
      </c>
      <c r="C27" s="12">
        <f>MAX(SUMPRODUCT(MAX((Geometry!$E$6:$E$13)*COS(RADIANS($B27))+(Geometry!$D$6:$D$13)*SIN(RADIANS($B27)))))</f>
      </c>
      <c r="D27" s="12">
        <f>SUMPRODUCT(MIN((Geometry!$E$42:$E$59)*COS(RADIANS($B27))+(Geometry!$D$42:$D$59)*SIN(RADIANS($B27))))</f>
      </c>
      <c r="E27" s="12">
        <f>C27-D27</f>
      </c>
      <c r="F27" s="30">
        <f>ecu</f>
      </c>
      <c r="G27" s="44">
        <f>0*COS(RADIANS($B27))</f>
      </c>
      <c r="H27" s="44">
        <f>0*SIN(RADIANS($B27))</f>
      </c>
      <c r="I27" s="30">
        <f>ecu-((ecu-0)/($C27-($C27-PM_Angle!$C$8*$E27)))*$C27</f>
      </c>
      <c r="J27" s="44">
        <f>((ecu-0)/($C27-($C27-PM_Angle!$C$8*$E27)))*COS(RADIANS($B27))</f>
      </c>
      <c r="K27" s="44">
        <f>((ecu-0)/($C27-($C27-PM_Angle!$C$8*$E27)))*SIN(RADIANS($B27))</f>
      </c>
      <c r="L27" s="30">
        <f>ecu-((ecu-0)/($C27-($C27-PM_Angle!$C$9*$E27)))*$C27</f>
      </c>
      <c r="M27" s="44">
        <f>((ecu-0)/($C27-($C27-PM_Angle!$C$9*$E27)))*COS(RADIANS($B27))</f>
      </c>
      <c r="N27" s="44">
        <f>((ecu-0)/($C27-($C27-PM_Angle!$C$9*$E27)))*SIN(RADIANS($B27))</f>
      </c>
      <c r="O27" s="30">
        <f>ecu-((ecu-0)/($C27-($C27-PM_Angle!$C$10*$E27)))*$C27</f>
      </c>
      <c r="P27" s="44">
        <f>((ecu-0)/($C27-($C27-PM_Angle!$C$10*$E27)))*COS(RADIANS($B27))</f>
      </c>
      <c r="Q27" s="44">
        <f>((ecu-0)/($C27-($C27-PM_Angle!$C$10*$E27)))*SIN(RADIANS($B27))</f>
      </c>
      <c r="R27" s="30">
        <f>ecu-((ecu-0)/($C27-($C27-PM_Angle!$C$11*$E27)))*$C27</f>
      </c>
      <c r="S27" s="44">
        <f>((ecu-0)/($C27-($C27-PM_Angle!$C$11*$E27)))*COS(RADIANS($B27))</f>
      </c>
      <c r="T27" s="44">
        <f>((ecu-0)/($C27-($C27-PM_Angle!$C$11*$E27)))*SIN(RADIANS($B27))</f>
      </c>
      <c r="U27" s="30">
        <f>ecu-((ecu-(-PM_Angle!$E$12))/($C27-$D27))*$C27</f>
      </c>
      <c r="V27" s="44">
        <f>((ecu-(-PM_Angle!$E$12))/($C27-$D27))*COS(RADIANS($B27))</f>
      </c>
      <c r="W27" s="44">
        <f>((ecu-(-PM_Angle!$E$12))/($C27-$D27))*SIN(RADIANS($B27))</f>
      </c>
      <c r="X27" s="30">
        <f>ecu-((ecu-(-PM_Angle!$D$13*fy/Es))/($C27-$D27))*$C27</f>
      </c>
      <c r="Y27" s="44">
        <f>((ecu-(-PM_Angle!$D$13*fy/Es))/($C27-$D27))*COS(RADIANS($B27))</f>
      </c>
      <c r="Z27" s="44">
        <f>((ecu-(-PM_Angle!$D$13*fy/Es))/($C27-$D27))*SIN(RADIANS($B27))</f>
      </c>
      <c r="AA27" s="30">
        <f>ecu-((ecu-(-PM_Angle!$D$14*fy/Es))/($C27-$D27))*$C27</f>
      </c>
      <c r="AB27" s="44">
        <f>((ecu-(-PM_Angle!$D$14*fy/Es))/($C27-$D27))*COS(RADIANS($B27))</f>
      </c>
      <c r="AC27" s="44">
        <f>((ecu-(-PM_Angle!$D$14*fy/Es))/($C27-$D27))*SIN(RADIANS($B27))</f>
      </c>
      <c r="AD27" s="30">
        <f>ecu-((ecu-(-PM_Angle!$D$15*fy/Es))/($C27-$D27))*$C27</f>
      </c>
      <c r="AE27" s="44">
        <f>((ecu-(-PM_Angle!$D$15*fy/Es))/($C27-$D27))*COS(RADIANS($B27))</f>
      </c>
      <c r="AF27" s="44">
        <f>((ecu-(-PM_Angle!$D$15*fy/Es))/($C27-$D27))*SIN(RADIANS($B27))</f>
      </c>
      <c r="AG27" s="30">
        <f>ecu-((ecu-(-PM_Angle!$D$16*fy/Es))/($C27-$D27))*$C27</f>
      </c>
      <c r="AH27" s="44">
        <f>((ecu-(-PM_Angle!$D$16*fy/Es))/($C27-$D27))*COS(RADIANS($B27))</f>
      </c>
      <c r="AI27" s="44">
        <f>((ecu-(-PM_Angle!$D$16*fy/Es))/($C27-$D27))*SIN(RADIANS($B27))</f>
      </c>
      <c r="AJ27" s="30">
        <f>ecu-((ecu-(-PM_Angle!$E$17))/($C27-$D27))*$C27</f>
      </c>
      <c r="AK27" s="44">
        <f>((ecu-(-PM_Angle!$E$17))/($C27-$D27))*COS(RADIANS($B27))</f>
      </c>
      <c r="AL27" s="44">
        <f>((ecu-(-PM_Angle!$E$17))/($C27-$D27))*SIN(RADIANS($B27))</f>
      </c>
      <c r="AM27" s="30">
        <f>ecu-((ecu-(-PM_Angle!$E$18))/($C27-$D27))*$C27</f>
      </c>
      <c r="AN27" s="44">
        <f>((ecu-(-PM_Angle!$E$18))/($C27-$D27))*COS(RADIANS($B27))</f>
      </c>
      <c r="AO27" s="44">
        <f>((ecu-(-PM_Angle!$E$18))/($C27-$D27))*SIN(RADIANS($B27))</f>
      </c>
      <c r="AP27" s="30">
        <f>ecu-((ecu-(-PM_Angle!$E$19))/($C27-$D27))*$C27</f>
      </c>
      <c r="AQ27" s="44">
        <f>((ecu-(-PM_Angle!$E$19))/($C27-$D27))*COS(RADIANS($B27))</f>
      </c>
      <c r="AR27" s="44">
        <f>((ecu-(-PM_Angle!$E$19))/($C27-$D27))*SIN(RADIANS($B27))</f>
      </c>
      <c r="AS27" s="30">
        <f>ecu-((ecu-(-PM_Angle!$E$20))/($C27-$D27))*$C27</f>
      </c>
      <c r="AT27" s="44">
        <f>((ecu-(-PM_Angle!$E$20))/($C27-$D27))*COS(RADIANS($B27))</f>
      </c>
      <c r="AU27" s="44">
        <f>((ecu-(-PM_Angle!$E$20))/($C27-$D27))*SIN(RADIANS($B27))</f>
      </c>
      <c r="AV27" s="30">
        <f>ecu-((ecu-(-PM_Angle!$E$21))/($C27-$D27))*$C27</f>
      </c>
      <c r="AW27" s="44">
        <f>((ecu-(-PM_Angle!$E$21))/($C27-$D27))*COS(RADIANS($B27))</f>
      </c>
      <c r="AX27" s="44">
        <f>((ecu-(-PM_Angle!$E$21))/($C27-$D27))*SIN(RADIANS($B27))</f>
      </c>
      <c r="AY27" s="30">
        <f>ecu-((ecu-(-PM_Angle!$E$22))/($C27-$D27))*$C27</f>
      </c>
      <c r="AZ27" s="44">
        <f>((ecu-(-PM_Angle!$E$22))/($C27-$D27))*COS(RADIANS($B27))</f>
      </c>
      <c r="BA27" s="44">
        <f>((ecu-(-PM_Angle!$E$22))/($C27-$D27))*SIN(RADIANS($B27))</f>
      </c>
      <c r="BB27" s="30">
        <f>ecu-((ecu-(-PM_Angle!$E$23))/($C27-$D27))*$C27</f>
      </c>
      <c r="BC27" s="44">
        <f>((ecu-(-PM_Angle!$E$23))/($C27-$D27))*COS(RADIANS($B27))</f>
      </c>
      <c r="BD27" s="44">
        <f>((ecu-(-PM_Angle!$E$23))/($C27-$D27))*SIN(RADIANS($B27))</f>
      </c>
      <c r="BE27" s="30">
        <f>ecu-((ecu-(-PM_Angle!$E$24))/($C27-$D27))*$C27</f>
      </c>
      <c r="BF27" s="44">
        <f>((ecu-(-PM_Angle!$E$24))/($C27-$D27))*COS(RADIANS($B27))</f>
      </c>
      <c r="BG27" s="44">
        <f>((ecu-(-PM_Angle!$E$24))/($C27-$D27))*SIN(RADIANS($B27))</f>
      </c>
      <c r="BH27" s="30">
        <f>etu</f>
      </c>
      <c r="BI27" s="44">
        <f>0*COS(RADIANS($B27))</f>
      </c>
      <c r="BJ27" s="44">
        <f>0*SIN(RADIANS($B27))</f>
      </c>
      <c r="BK27" s="32">
        <f>(SUMPRODUCT(alpha*fck*(1-(1-((($F27+$G27*Mesh_Y+$H27*Mesh_X))*(($F27+$G27*Mesh_Y+$H27*Mesh_X)&gt;0)*(($F27+$G27*Mesh_Y+$H27*Mesh_X)&lt;eco)+eco*(($F27+$G27*Mesh_Y+$H27*Mesh_X)&gt;=eco))/eco)^n)*((($F27+$G27*Mesh_Y+$H27*Mesh_X))&gt;0),Mesh_A)+SUMPRODUCT((Es*(($F27+$G27*Geometry!$E$42:$E$59+$H27*Geometry!$D$42:$D$59))*(ABS(Es*(($F27+$G27*Geometry!$E$42:$E$59+$H27*Geometry!$D$42:$D$59)))&lt;=fy)+fy*(Es*(($F27+$G27*Geometry!$E$42:$E$59+$H27*Geometry!$D$42:$D$59))&gt;fy)-fy*(Es*(($F27+$G27*Geometry!$E$42:$E$59+$H27*Geometry!$D$42:$D$59))&lt;-fy)-(alpha*fck*(1-(1-((($F27+$G27*Geometry!$E$42:$E$59+$H27*Geometry!$D$42:$D$59))*(($F27+$G27*Geometry!$E$42:$E$59+$H27*Geometry!$D$42:$D$59)&gt;0)*(($F27+$G27*Geometry!$E$42:$E$59+$H27*Geometry!$D$42:$D$59)&lt;eco)+eco*(($F27+$G27*Geometry!$E$42:$E$59+$H27*Geometry!$D$42:$D$59)&gt;=eco))/eco)^n)*((($F27+$G27*Geometry!$E$42:$E$59+$H27*Geometry!$D$42:$D$59))&gt;0))),Geometry!$F$42:$F$59))/1000</f>
      </c>
      <c r="BL27" s="32">
        <f>(SUMPRODUCT(alpha*fck*(1-(1-((($I27+$J27*Mesh_Y+$K27*Mesh_X))*(($I27+$J27*Mesh_Y+$K27*Mesh_X)&gt;0)*(($I27+$J27*Mesh_Y+$K27*Mesh_X)&lt;eco)+eco*(($I27+$J27*Mesh_Y+$K27*Mesh_X)&gt;=eco))/eco)^n)*((($I27+$J27*Mesh_Y+$K27*Mesh_X))&gt;0),Mesh_A)+SUMPRODUCT((Es*(($I27+$J27*Geometry!$E$42:$E$59+$K27*Geometry!$D$42:$D$59))*(ABS(Es*(($I27+$J27*Geometry!$E$42:$E$59+$K27*Geometry!$D$42:$D$59)))&lt;=fy)+fy*(Es*(($I27+$J27*Geometry!$E$42:$E$59+$K27*Geometry!$D$42:$D$59))&gt;fy)-fy*(Es*(($I27+$J27*Geometry!$E$42:$E$59+$K27*Geometry!$D$42:$D$59))&lt;-fy)-(alpha*fck*(1-(1-((($I27+$J27*Geometry!$E$42:$E$59+$K27*Geometry!$D$42:$D$59))*(($I27+$J27*Geometry!$E$42:$E$59+$K27*Geometry!$D$42:$D$59)&gt;0)*(($I27+$J27*Geometry!$E$42:$E$59+$K27*Geometry!$D$42:$D$59)&lt;eco)+eco*(($I27+$J27*Geometry!$E$42:$E$59+$K27*Geometry!$D$42:$D$59)&gt;=eco))/eco)^n)*((($I27+$J27*Geometry!$E$42:$E$59+$K27*Geometry!$D$42:$D$59))&gt;0))),Geometry!$F$42:$F$59))/1000</f>
      </c>
      <c r="BM27" s="32">
        <f>(SUMPRODUCT(alpha*fck*(1-(1-((($L27+$M27*Mesh_Y+$N27*Mesh_X))*(($L27+$M27*Mesh_Y+$N27*Mesh_X)&gt;0)*(($L27+$M27*Mesh_Y+$N27*Mesh_X)&lt;eco)+eco*(($L27+$M27*Mesh_Y+$N27*Mesh_X)&gt;=eco))/eco)^n)*((($L27+$M27*Mesh_Y+$N27*Mesh_X))&gt;0),Mesh_A)+SUMPRODUCT((Es*(($L27+$M27*Geometry!$E$42:$E$59+$N27*Geometry!$D$42:$D$59))*(ABS(Es*(($L27+$M27*Geometry!$E$42:$E$59+$N27*Geometry!$D$42:$D$59)))&lt;=fy)+fy*(Es*(($L27+$M27*Geometry!$E$42:$E$59+$N27*Geometry!$D$42:$D$59))&gt;fy)-fy*(Es*(($L27+$M27*Geometry!$E$42:$E$59+$N27*Geometry!$D$42:$D$59))&lt;-fy)-(alpha*fck*(1-(1-((($L27+$M27*Geometry!$E$42:$E$59+$N27*Geometry!$D$42:$D$59))*(($L27+$M27*Geometry!$E$42:$E$59+$N27*Geometry!$D$42:$D$59)&gt;0)*(($L27+$M27*Geometry!$E$42:$E$59+$N27*Geometry!$D$42:$D$59)&lt;eco)+eco*(($L27+$M27*Geometry!$E$42:$E$59+$N27*Geometry!$D$42:$D$59)&gt;=eco))/eco)^n)*((($L27+$M27*Geometry!$E$42:$E$59+$N27*Geometry!$D$42:$D$59))&gt;0))),Geometry!$F$42:$F$59))/1000</f>
      </c>
      <c r="BN27" s="32">
        <f>(SUMPRODUCT(alpha*fck*(1-(1-((($O27+$P27*Mesh_Y+$Q27*Mesh_X))*(($O27+$P27*Mesh_Y+$Q27*Mesh_X)&gt;0)*(($O27+$P27*Mesh_Y+$Q27*Mesh_X)&lt;eco)+eco*(($O27+$P27*Mesh_Y+$Q27*Mesh_X)&gt;=eco))/eco)^n)*((($O27+$P27*Mesh_Y+$Q27*Mesh_X))&gt;0),Mesh_A)+SUMPRODUCT((Es*(($O27+$P27*Geometry!$E$42:$E$59+$Q27*Geometry!$D$42:$D$59))*(ABS(Es*(($O27+$P27*Geometry!$E$42:$E$59+$Q27*Geometry!$D$42:$D$59)))&lt;=fy)+fy*(Es*(($O27+$P27*Geometry!$E$42:$E$59+$Q27*Geometry!$D$42:$D$59))&gt;fy)-fy*(Es*(($O27+$P27*Geometry!$E$42:$E$59+$Q27*Geometry!$D$42:$D$59))&lt;-fy)-(alpha*fck*(1-(1-((($O27+$P27*Geometry!$E$42:$E$59+$Q27*Geometry!$D$42:$D$59))*(($O27+$P27*Geometry!$E$42:$E$59+$Q27*Geometry!$D$42:$D$59)&gt;0)*(($O27+$P27*Geometry!$E$42:$E$59+$Q27*Geometry!$D$42:$D$59)&lt;eco)+eco*(($O27+$P27*Geometry!$E$42:$E$59+$Q27*Geometry!$D$42:$D$59)&gt;=eco))/eco)^n)*((($O27+$P27*Geometry!$E$42:$E$59+$Q27*Geometry!$D$42:$D$59))&gt;0))),Geometry!$F$42:$F$59))/1000</f>
      </c>
      <c r="BO27" s="32">
        <f>(SUMPRODUCT(alpha*fck*(1-(1-((($R27+$S27*Mesh_Y+$T27*Mesh_X))*(($R27+$S27*Mesh_Y+$T27*Mesh_X)&gt;0)*(($R27+$S27*Mesh_Y+$T27*Mesh_X)&lt;eco)+eco*(($R27+$S27*Mesh_Y+$T27*Mesh_X)&gt;=eco))/eco)^n)*((($R27+$S27*Mesh_Y+$T27*Mesh_X))&gt;0),Mesh_A)+SUMPRODUCT((Es*(($R27+$S27*Geometry!$E$42:$E$59+$T27*Geometry!$D$42:$D$59))*(ABS(Es*(($R27+$S27*Geometry!$E$42:$E$59+$T27*Geometry!$D$42:$D$59)))&lt;=fy)+fy*(Es*(($R27+$S27*Geometry!$E$42:$E$59+$T27*Geometry!$D$42:$D$59))&gt;fy)-fy*(Es*(($R27+$S27*Geometry!$E$42:$E$59+$T27*Geometry!$D$42:$D$59))&lt;-fy)-(alpha*fck*(1-(1-((($R27+$S27*Geometry!$E$42:$E$59+$T27*Geometry!$D$42:$D$59))*(($R27+$S27*Geometry!$E$42:$E$59+$T27*Geometry!$D$42:$D$59)&gt;0)*(($R27+$S27*Geometry!$E$42:$E$59+$T27*Geometry!$D$42:$D$59)&lt;eco)+eco*(($R27+$S27*Geometry!$E$42:$E$59+$T27*Geometry!$D$42:$D$59)&gt;=eco))/eco)^n)*((($R27+$S27*Geometry!$E$42:$E$59+$T27*Geometry!$D$42:$D$59))&gt;0))),Geometry!$F$42:$F$59))/1000</f>
      </c>
      <c r="BP27" s="32">
        <f>(SUMPRODUCT(alpha*fck*(1-(1-((($U27+$V27*Mesh_Y+$W27*Mesh_X))*(($U27+$V27*Mesh_Y+$W27*Mesh_X)&gt;0)*(($U27+$V27*Mesh_Y+$W27*Mesh_X)&lt;eco)+eco*(($U27+$V27*Mesh_Y+$W27*Mesh_X)&gt;=eco))/eco)^n)*((($U27+$V27*Mesh_Y+$W27*Mesh_X))&gt;0),Mesh_A)+SUMPRODUCT((Es*(($U27+$V27*Geometry!$E$42:$E$59+$W27*Geometry!$D$42:$D$59))*(ABS(Es*(($U27+$V27*Geometry!$E$42:$E$59+$W27*Geometry!$D$42:$D$59)))&lt;=fy)+fy*(Es*(($U27+$V27*Geometry!$E$42:$E$59+$W27*Geometry!$D$42:$D$59))&gt;fy)-fy*(Es*(($U27+$V27*Geometry!$E$42:$E$59+$W27*Geometry!$D$42:$D$59))&lt;-fy)-(alpha*fck*(1-(1-((($U27+$V27*Geometry!$E$42:$E$59+$W27*Geometry!$D$42:$D$59))*(($U27+$V27*Geometry!$E$42:$E$59+$W27*Geometry!$D$42:$D$59)&gt;0)*(($U27+$V27*Geometry!$E$42:$E$59+$W27*Geometry!$D$42:$D$59)&lt;eco)+eco*(($U27+$V27*Geometry!$E$42:$E$59+$W27*Geometry!$D$42:$D$59)&gt;=eco))/eco)^n)*((($U27+$V27*Geometry!$E$42:$E$59+$W27*Geometry!$D$42:$D$59))&gt;0))),Geometry!$F$42:$F$59))/1000</f>
      </c>
      <c r="BQ27" s="32">
        <f>(SUMPRODUCT(alpha*fck*(1-(1-((($X27+$Y27*Mesh_Y+$Z27*Mesh_X))*(($X27+$Y27*Mesh_Y+$Z27*Mesh_X)&gt;0)*(($X27+$Y27*Mesh_Y+$Z27*Mesh_X)&lt;eco)+eco*(($X27+$Y27*Mesh_Y+$Z27*Mesh_X)&gt;=eco))/eco)^n)*((($X27+$Y27*Mesh_Y+$Z27*Mesh_X))&gt;0),Mesh_A)+SUMPRODUCT((Es*(($X27+$Y27*Geometry!$E$42:$E$59+$Z27*Geometry!$D$42:$D$59))*(ABS(Es*(($X27+$Y27*Geometry!$E$42:$E$59+$Z27*Geometry!$D$42:$D$59)))&lt;=fy)+fy*(Es*(($X27+$Y27*Geometry!$E$42:$E$59+$Z27*Geometry!$D$42:$D$59))&gt;fy)-fy*(Es*(($X27+$Y27*Geometry!$E$42:$E$59+$Z27*Geometry!$D$42:$D$59))&lt;-fy)-(alpha*fck*(1-(1-((($X27+$Y27*Geometry!$E$42:$E$59+$Z27*Geometry!$D$42:$D$59))*(($X27+$Y27*Geometry!$E$42:$E$59+$Z27*Geometry!$D$42:$D$59)&gt;0)*(($X27+$Y27*Geometry!$E$42:$E$59+$Z27*Geometry!$D$42:$D$59)&lt;eco)+eco*(($X27+$Y27*Geometry!$E$42:$E$59+$Z27*Geometry!$D$42:$D$59)&gt;=eco))/eco)^n)*((($X27+$Y27*Geometry!$E$42:$E$59+$Z27*Geometry!$D$42:$D$59))&gt;0))),Geometry!$F$42:$F$59))/1000</f>
      </c>
      <c r="BR27" s="32">
        <f>(SUMPRODUCT(alpha*fck*(1-(1-((($AA27+$AB27*Mesh_Y+$AC27*Mesh_X))*(($AA27+$AB27*Mesh_Y+$AC27*Mesh_X)&gt;0)*(($AA27+$AB27*Mesh_Y+$AC27*Mesh_X)&lt;eco)+eco*(($AA27+$AB27*Mesh_Y+$AC27*Mesh_X)&gt;=eco))/eco)^n)*((($AA27+$AB27*Mesh_Y+$AC27*Mesh_X))&gt;0),Mesh_A)+SUMPRODUCT((Es*(($AA27+$AB27*Geometry!$E$42:$E$59+$AC27*Geometry!$D$42:$D$59))*(ABS(Es*(($AA27+$AB27*Geometry!$E$42:$E$59+$AC27*Geometry!$D$42:$D$59)))&lt;=fy)+fy*(Es*(($AA27+$AB27*Geometry!$E$42:$E$59+$AC27*Geometry!$D$42:$D$59))&gt;fy)-fy*(Es*(($AA27+$AB27*Geometry!$E$42:$E$59+$AC27*Geometry!$D$42:$D$59))&lt;-fy)-(alpha*fck*(1-(1-((($AA27+$AB27*Geometry!$E$42:$E$59+$AC27*Geometry!$D$42:$D$59))*(($AA27+$AB27*Geometry!$E$42:$E$59+$AC27*Geometry!$D$42:$D$59)&gt;0)*(($AA27+$AB27*Geometry!$E$42:$E$59+$AC27*Geometry!$D$42:$D$59)&lt;eco)+eco*(($AA27+$AB27*Geometry!$E$42:$E$59+$AC27*Geometry!$D$42:$D$59)&gt;=eco))/eco)^n)*((($AA27+$AB27*Geometry!$E$42:$E$59+$AC27*Geometry!$D$42:$D$59))&gt;0))),Geometry!$F$42:$F$59))/1000</f>
      </c>
      <c r="BS27" s="32">
        <f>(SUMPRODUCT(alpha*fck*(1-(1-((($AD27+$AE27*Mesh_Y+$AF27*Mesh_X))*(($AD27+$AE27*Mesh_Y+$AF27*Mesh_X)&gt;0)*(($AD27+$AE27*Mesh_Y+$AF27*Mesh_X)&lt;eco)+eco*(($AD27+$AE27*Mesh_Y+$AF27*Mesh_X)&gt;=eco))/eco)^n)*((($AD27+$AE27*Mesh_Y+$AF27*Mesh_X))&gt;0),Mesh_A)+SUMPRODUCT((Es*(($AD27+$AE27*Geometry!$E$42:$E$59+$AF27*Geometry!$D$42:$D$59))*(ABS(Es*(($AD27+$AE27*Geometry!$E$42:$E$59+$AF27*Geometry!$D$42:$D$59)))&lt;=fy)+fy*(Es*(($AD27+$AE27*Geometry!$E$42:$E$59+$AF27*Geometry!$D$42:$D$59))&gt;fy)-fy*(Es*(($AD27+$AE27*Geometry!$E$42:$E$59+$AF27*Geometry!$D$42:$D$59))&lt;-fy)-(alpha*fck*(1-(1-((($AD27+$AE27*Geometry!$E$42:$E$59+$AF27*Geometry!$D$42:$D$59))*(($AD27+$AE27*Geometry!$E$42:$E$59+$AF27*Geometry!$D$42:$D$59)&gt;0)*(($AD27+$AE27*Geometry!$E$42:$E$59+$AF27*Geometry!$D$42:$D$59)&lt;eco)+eco*(($AD27+$AE27*Geometry!$E$42:$E$59+$AF27*Geometry!$D$42:$D$59)&gt;=eco))/eco)^n)*((($AD27+$AE27*Geometry!$E$42:$E$59+$AF27*Geometry!$D$42:$D$59))&gt;0))),Geometry!$F$42:$F$59))/1000</f>
      </c>
      <c r="BT27" s="32">
        <f>(SUMPRODUCT(alpha*fck*(1-(1-((($AG27+$AH27*Mesh_Y+$AI27*Mesh_X))*(($AG27+$AH27*Mesh_Y+$AI27*Mesh_X)&gt;0)*(($AG27+$AH27*Mesh_Y+$AI27*Mesh_X)&lt;eco)+eco*(($AG27+$AH27*Mesh_Y+$AI27*Mesh_X)&gt;=eco))/eco)^n)*((($AG27+$AH27*Mesh_Y+$AI27*Mesh_X))&gt;0),Mesh_A)+SUMPRODUCT((Es*(($AG27+$AH27*Geometry!$E$42:$E$59+$AI27*Geometry!$D$42:$D$59))*(ABS(Es*(($AG27+$AH27*Geometry!$E$42:$E$59+$AI27*Geometry!$D$42:$D$59)))&lt;=fy)+fy*(Es*(($AG27+$AH27*Geometry!$E$42:$E$59+$AI27*Geometry!$D$42:$D$59))&gt;fy)-fy*(Es*(($AG27+$AH27*Geometry!$E$42:$E$59+$AI27*Geometry!$D$42:$D$59))&lt;-fy)-(alpha*fck*(1-(1-((($AG27+$AH27*Geometry!$E$42:$E$59+$AI27*Geometry!$D$42:$D$59))*(($AG27+$AH27*Geometry!$E$42:$E$59+$AI27*Geometry!$D$42:$D$59)&gt;0)*(($AG27+$AH27*Geometry!$E$42:$E$59+$AI27*Geometry!$D$42:$D$59)&lt;eco)+eco*(($AG27+$AH27*Geometry!$E$42:$E$59+$AI27*Geometry!$D$42:$D$59)&gt;=eco))/eco)^n)*((($AG27+$AH27*Geometry!$E$42:$E$59+$AI27*Geometry!$D$42:$D$59))&gt;0))),Geometry!$F$42:$F$59))/1000</f>
      </c>
      <c r="BU27" s="32">
        <f>(SUMPRODUCT(alpha*fck*(1-(1-((($AJ27+$AK27*Mesh_Y+$AL27*Mesh_X))*(($AJ27+$AK27*Mesh_Y+$AL27*Mesh_X)&gt;0)*(($AJ27+$AK27*Mesh_Y+$AL27*Mesh_X)&lt;eco)+eco*(($AJ27+$AK27*Mesh_Y+$AL27*Mesh_X)&gt;=eco))/eco)^n)*((($AJ27+$AK27*Mesh_Y+$AL27*Mesh_X))&gt;0),Mesh_A)+SUMPRODUCT((Es*(($AJ27+$AK27*Geometry!$E$42:$E$59+$AL27*Geometry!$D$42:$D$59))*(ABS(Es*(($AJ27+$AK27*Geometry!$E$42:$E$59+$AL27*Geometry!$D$42:$D$59)))&lt;=fy)+fy*(Es*(($AJ27+$AK27*Geometry!$E$42:$E$59+$AL27*Geometry!$D$42:$D$59))&gt;fy)-fy*(Es*(($AJ27+$AK27*Geometry!$E$42:$E$59+$AL27*Geometry!$D$42:$D$59))&lt;-fy)-(alpha*fck*(1-(1-((($AJ27+$AK27*Geometry!$E$42:$E$59+$AL27*Geometry!$D$42:$D$59))*(($AJ27+$AK27*Geometry!$E$42:$E$59+$AL27*Geometry!$D$42:$D$59)&gt;0)*(($AJ27+$AK27*Geometry!$E$42:$E$59+$AL27*Geometry!$D$42:$D$59)&lt;eco)+eco*(($AJ27+$AK27*Geometry!$E$42:$E$59+$AL27*Geometry!$D$42:$D$59)&gt;=eco))/eco)^n)*((($AJ27+$AK27*Geometry!$E$42:$E$59+$AL27*Geometry!$D$42:$D$59))&gt;0))),Geometry!$F$42:$F$59))/1000</f>
      </c>
      <c r="BV27" s="32">
        <f>(SUMPRODUCT(alpha*fck*(1-(1-((($AM27+$AN27*Mesh_Y+$AO27*Mesh_X))*(($AM27+$AN27*Mesh_Y+$AO27*Mesh_X)&gt;0)*(($AM27+$AN27*Mesh_Y+$AO27*Mesh_X)&lt;eco)+eco*(($AM27+$AN27*Mesh_Y+$AO27*Mesh_X)&gt;=eco))/eco)^n)*((($AM27+$AN27*Mesh_Y+$AO27*Mesh_X))&gt;0),Mesh_A)+SUMPRODUCT((Es*(($AM27+$AN27*Geometry!$E$42:$E$59+$AO27*Geometry!$D$42:$D$59))*(ABS(Es*(($AM27+$AN27*Geometry!$E$42:$E$59+$AO27*Geometry!$D$42:$D$59)))&lt;=fy)+fy*(Es*(($AM27+$AN27*Geometry!$E$42:$E$59+$AO27*Geometry!$D$42:$D$59))&gt;fy)-fy*(Es*(($AM27+$AN27*Geometry!$E$42:$E$59+$AO27*Geometry!$D$42:$D$59))&lt;-fy)-(alpha*fck*(1-(1-((($AM27+$AN27*Geometry!$E$42:$E$59+$AO27*Geometry!$D$42:$D$59))*(($AM27+$AN27*Geometry!$E$42:$E$59+$AO27*Geometry!$D$42:$D$59)&gt;0)*(($AM27+$AN27*Geometry!$E$42:$E$59+$AO27*Geometry!$D$42:$D$59)&lt;eco)+eco*(($AM27+$AN27*Geometry!$E$42:$E$59+$AO27*Geometry!$D$42:$D$59)&gt;=eco))/eco)^n)*((($AM27+$AN27*Geometry!$E$42:$E$59+$AO27*Geometry!$D$42:$D$59))&gt;0))),Geometry!$F$42:$F$59))/1000</f>
      </c>
      <c r="BW27" s="32">
        <f>(SUMPRODUCT(alpha*fck*(1-(1-((($AP27+$AQ27*Mesh_Y+$AR27*Mesh_X))*(($AP27+$AQ27*Mesh_Y+$AR27*Mesh_X)&gt;0)*(($AP27+$AQ27*Mesh_Y+$AR27*Mesh_X)&lt;eco)+eco*(($AP27+$AQ27*Mesh_Y+$AR27*Mesh_X)&gt;=eco))/eco)^n)*((($AP27+$AQ27*Mesh_Y+$AR27*Mesh_X))&gt;0),Mesh_A)+SUMPRODUCT((Es*(($AP27+$AQ27*Geometry!$E$42:$E$59+$AR27*Geometry!$D$42:$D$59))*(ABS(Es*(($AP27+$AQ27*Geometry!$E$42:$E$59+$AR27*Geometry!$D$42:$D$59)))&lt;=fy)+fy*(Es*(($AP27+$AQ27*Geometry!$E$42:$E$59+$AR27*Geometry!$D$42:$D$59))&gt;fy)-fy*(Es*(($AP27+$AQ27*Geometry!$E$42:$E$59+$AR27*Geometry!$D$42:$D$59))&lt;-fy)-(alpha*fck*(1-(1-((($AP27+$AQ27*Geometry!$E$42:$E$59+$AR27*Geometry!$D$42:$D$59))*(($AP27+$AQ27*Geometry!$E$42:$E$59+$AR27*Geometry!$D$42:$D$59)&gt;0)*(($AP27+$AQ27*Geometry!$E$42:$E$59+$AR27*Geometry!$D$42:$D$59)&lt;eco)+eco*(($AP27+$AQ27*Geometry!$E$42:$E$59+$AR27*Geometry!$D$42:$D$59)&gt;=eco))/eco)^n)*((($AP27+$AQ27*Geometry!$E$42:$E$59+$AR27*Geometry!$D$42:$D$59))&gt;0))),Geometry!$F$42:$F$59))/1000</f>
      </c>
      <c r="BX27" s="32">
        <f>(SUMPRODUCT(alpha*fck*(1-(1-((($AS27+$AT27*Mesh_Y+$AU27*Mesh_X))*(($AS27+$AT27*Mesh_Y+$AU27*Mesh_X)&gt;0)*(($AS27+$AT27*Mesh_Y+$AU27*Mesh_X)&lt;eco)+eco*(($AS27+$AT27*Mesh_Y+$AU27*Mesh_X)&gt;=eco))/eco)^n)*((($AS27+$AT27*Mesh_Y+$AU27*Mesh_X))&gt;0),Mesh_A)+SUMPRODUCT((Es*(($AS27+$AT27*Geometry!$E$42:$E$59+$AU27*Geometry!$D$42:$D$59))*(ABS(Es*(($AS27+$AT27*Geometry!$E$42:$E$59+$AU27*Geometry!$D$42:$D$59)))&lt;=fy)+fy*(Es*(($AS27+$AT27*Geometry!$E$42:$E$59+$AU27*Geometry!$D$42:$D$59))&gt;fy)-fy*(Es*(($AS27+$AT27*Geometry!$E$42:$E$59+$AU27*Geometry!$D$42:$D$59))&lt;-fy)-(alpha*fck*(1-(1-((($AS27+$AT27*Geometry!$E$42:$E$59+$AU27*Geometry!$D$42:$D$59))*(($AS27+$AT27*Geometry!$E$42:$E$59+$AU27*Geometry!$D$42:$D$59)&gt;0)*(($AS27+$AT27*Geometry!$E$42:$E$59+$AU27*Geometry!$D$42:$D$59)&lt;eco)+eco*(($AS27+$AT27*Geometry!$E$42:$E$59+$AU27*Geometry!$D$42:$D$59)&gt;=eco))/eco)^n)*((($AS27+$AT27*Geometry!$E$42:$E$59+$AU27*Geometry!$D$42:$D$59))&gt;0))),Geometry!$F$42:$F$59))/1000</f>
      </c>
      <c r="BY27" s="32">
        <f>(SUMPRODUCT(alpha*fck*(1-(1-((($AV27+$AW27*Mesh_Y+$AX27*Mesh_X))*(($AV27+$AW27*Mesh_Y+$AX27*Mesh_X)&gt;0)*(($AV27+$AW27*Mesh_Y+$AX27*Mesh_X)&lt;eco)+eco*(($AV27+$AW27*Mesh_Y+$AX27*Mesh_X)&gt;=eco))/eco)^n)*((($AV27+$AW27*Mesh_Y+$AX27*Mesh_X))&gt;0),Mesh_A)+SUMPRODUCT((Es*(($AV27+$AW27*Geometry!$E$42:$E$59+$AX27*Geometry!$D$42:$D$59))*(ABS(Es*(($AV27+$AW27*Geometry!$E$42:$E$59+$AX27*Geometry!$D$42:$D$59)))&lt;=fy)+fy*(Es*(($AV27+$AW27*Geometry!$E$42:$E$59+$AX27*Geometry!$D$42:$D$59))&gt;fy)-fy*(Es*(($AV27+$AW27*Geometry!$E$42:$E$59+$AX27*Geometry!$D$42:$D$59))&lt;-fy)-(alpha*fck*(1-(1-((($AV27+$AW27*Geometry!$E$42:$E$59+$AX27*Geometry!$D$42:$D$59))*(($AV27+$AW27*Geometry!$E$42:$E$59+$AX27*Geometry!$D$42:$D$59)&gt;0)*(($AV27+$AW27*Geometry!$E$42:$E$59+$AX27*Geometry!$D$42:$D$59)&lt;eco)+eco*(($AV27+$AW27*Geometry!$E$42:$E$59+$AX27*Geometry!$D$42:$D$59)&gt;=eco))/eco)^n)*((($AV27+$AW27*Geometry!$E$42:$E$59+$AX27*Geometry!$D$42:$D$59))&gt;0))),Geometry!$F$42:$F$59))/1000</f>
      </c>
      <c r="BZ27" s="32">
        <f>(SUMPRODUCT(alpha*fck*(1-(1-((($AY27+$AZ27*Mesh_Y+$BA27*Mesh_X))*(($AY27+$AZ27*Mesh_Y+$BA27*Mesh_X)&gt;0)*(($AY27+$AZ27*Mesh_Y+$BA27*Mesh_X)&lt;eco)+eco*(($AY27+$AZ27*Mesh_Y+$BA27*Mesh_X)&gt;=eco))/eco)^n)*((($AY27+$AZ27*Mesh_Y+$BA27*Mesh_X))&gt;0),Mesh_A)+SUMPRODUCT((Es*(($AY27+$AZ27*Geometry!$E$42:$E$59+$BA27*Geometry!$D$42:$D$59))*(ABS(Es*(($AY27+$AZ27*Geometry!$E$42:$E$59+$BA27*Geometry!$D$42:$D$59)))&lt;=fy)+fy*(Es*(($AY27+$AZ27*Geometry!$E$42:$E$59+$BA27*Geometry!$D$42:$D$59))&gt;fy)-fy*(Es*(($AY27+$AZ27*Geometry!$E$42:$E$59+$BA27*Geometry!$D$42:$D$59))&lt;-fy)-(alpha*fck*(1-(1-((($AY27+$AZ27*Geometry!$E$42:$E$59+$BA27*Geometry!$D$42:$D$59))*(($AY27+$AZ27*Geometry!$E$42:$E$59+$BA27*Geometry!$D$42:$D$59)&gt;0)*(($AY27+$AZ27*Geometry!$E$42:$E$59+$BA27*Geometry!$D$42:$D$59)&lt;eco)+eco*(($AY27+$AZ27*Geometry!$E$42:$E$59+$BA27*Geometry!$D$42:$D$59)&gt;=eco))/eco)^n)*((($AY27+$AZ27*Geometry!$E$42:$E$59+$BA27*Geometry!$D$42:$D$59))&gt;0))),Geometry!$F$42:$F$59))/1000</f>
      </c>
      <c r="CA27" s="32">
        <f>(SUMPRODUCT(alpha*fck*(1-(1-((($BB27+$BC27*Mesh_Y+$BD27*Mesh_X))*(($BB27+$BC27*Mesh_Y+$BD27*Mesh_X)&gt;0)*(($BB27+$BC27*Mesh_Y+$BD27*Mesh_X)&lt;eco)+eco*(($BB27+$BC27*Mesh_Y+$BD27*Mesh_X)&gt;=eco))/eco)^n)*((($BB27+$BC27*Mesh_Y+$BD27*Mesh_X))&gt;0),Mesh_A)+SUMPRODUCT((Es*(($BB27+$BC27*Geometry!$E$42:$E$59+$BD27*Geometry!$D$42:$D$59))*(ABS(Es*(($BB27+$BC27*Geometry!$E$42:$E$59+$BD27*Geometry!$D$42:$D$59)))&lt;=fy)+fy*(Es*(($BB27+$BC27*Geometry!$E$42:$E$59+$BD27*Geometry!$D$42:$D$59))&gt;fy)-fy*(Es*(($BB27+$BC27*Geometry!$E$42:$E$59+$BD27*Geometry!$D$42:$D$59))&lt;-fy)-(alpha*fck*(1-(1-((($BB27+$BC27*Geometry!$E$42:$E$59+$BD27*Geometry!$D$42:$D$59))*(($BB27+$BC27*Geometry!$E$42:$E$59+$BD27*Geometry!$D$42:$D$59)&gt;0)*(($BB27+$BC27*Geometry!$E$42:$E$59+$BD27*Geometry!$D$42:$D$59)&lt;eco)+eco*(($BB27+$BC27*Geometry!$E$42:$E$59+$BD27*Geometry!$D$42:$D$59)&gt;=eco))/eco)^n)*((($BB27+$BC27*Geometry!$E$42:$E$59+$BD27*Geometry!$D$42:$D$59))&gt;0))),Geometry!$F$42:$F$59))/1000</f>
      </c>
      <c r="CB27" s="32">
        <f>(SUMPRODUCT(alpha*fck*(1-(1-((($BE27+$BF27*Mesh_Y+$BG27*Mesh_X))*(($BE27+$BF27*Mesh_Y+$BG27*Mesh_X)&gt;0)*(($BE27+$BF27*Mesh_Y+$BG27*Mesh_X)&lt;eco)+eco*(($BE27+$BF27*Mesh_Y+$BG27*Mesh_X)&gt;=eco))/eco)^n)*((($BE27+$BF27*Mesh_Y+$BG27*Mesh_X))&gt;0),Mesh_A)+SUMPRODUCT((Es*(($BE27+$BF27*Geometry!$E$42:$E$59+$BG27*Geometry!$D$42:$D$59))*(ABS(Es*(($BE27+$BF27*Geometry!$E$42:$E$59+$BG27*Geometry!$D$42:$D$59)))&lt;=fy)+fy*(Es*(($BE27+$BF27*Geometry!$E$42:$E$59+$BG27*Geometry!$D$42:$D$59))&gt;fy)-fy*(Es*(($BE27+$BF27*Geometry!$E$42:$E$59+$BG27*Geometry!$D$42:$D$59))&lt;-fy)-(alpha*fck*(1-(1-((($BE27+$BF27*Geometry!$E$42:$E$59+$BG27*Geometry!$D$42:$D$59))*(($BE27+$BF27*Geometry!$E$42:$E$59+$BG27*Geometry!$D$42:$D$59)&gt;0)*(($BE27+$BF27*Geometry!$E$42:$E$59+$BG27*Geometry!$D$42:$D$59)&lt;eco)+eco*(($BE27+$BF27*Geometry!$E$42:$E$59+$BG27*Geometry!$D$42:$D$59)&gt;=eco))/eco)^n)*((($BE27+$BF27*Geometry!$E$42:$E$59+$BG27*Geometry!$D$42:$D$59))&gt;0))),Geometry!$F$42:$F$59))/1000</f>
      </c>
      <c r="CC27" s="32">
        <f>(SUMPRODUCT(alpha*fck*(1-(1-((($BH27+$BI27*Mesh_Y+$BJ27*Mesh_X))*(($BH27+$BI27*Mesh_Y+$BJ27*Mesh_X)&gt;0)*(($BH27+$BI27*Mesh_Y+$BJ27*Mesh_X)&lt;eco)+eco*(($BH27+$BI27*Mesh_Y+$BJ27*Mesh_X)&gt;=eco))/eco)^n)*((($BH27+$BI27*Mesh_Y+$BJ27*Mesh_X))&gt;0),Mesh_A)+SUMPRODUCT((Es*(($BH27+$BI27*Geometry!$E$42:$E$59+$BJ27*Geometry!$D$42:$D$59))*(ABS(Es*(($BH27+$BI27*Geometry!$E$42:$E$59+$BJ27*Geometry!$D$42:$D$59)))&lt;=fy)+fy*(Es*(($BH27+$BI27*Geometry!$E$42:$E$59+$BJ27*Geometry!$D$42:$D$59))&gt;fy)-fy*(Es*(($BH27+$BI27*Geometry!$E$42:$E$59+$BJ27*Geometry!$D$42:$D$59))&lt;-fy)-(alpha*fck*(1-(1-((($BH27+$BI27*Geometry!$E$42:$E$59+$BJ27*Geometry!$D$42:$D$59))*(($BH27+$BI27*Geometry!$E$42:$E$59+$BJ27*Geometry!$D$42:$D$59)&gt;0)*(($BH27+$BI27*Geometry!$E$42:$E$59+$BJ27*Geometry!$D$42:$D$59)&lt;eco)+eco*(($BH27+$BI27*Geometry!$E$42:$E$59+$BJ27*Geometry!$D$42:$D$59)&gt;=eco))/eco)^n)*((($BH27+$BI27*Geometry!$E$42:$E$59+$BJ27*Geometry!$D$42:$D$59))&gt;0))),Geometry!$F$42:$F$59))/1000</f>
      </c>
      <c r="CD27" s="32">
        <f>(SUMPRODUCT(alpha*fck*(1-(1-((($F27+$G27*Mesh_Y+$H27*Mesh_X))*(($F27+$G27*Mesh_Y+$H27*Mesh_X)&gt;0)*(($F27+$G27*Mesh_Y+$H27*Mesh_X)&lt;eco)+eco*(($F27+$G27*Mesh_Y+$H27*Mesh_X)&gt;=eco))/eco)^n)*((($F27+$G27*Mesh_Y+$H27*Mesh_X))&gt;0),Mesh_A,Mesh_Y)+SUMPRODUCT((Es*(($F27+$G27*Geometry!$E$42:$E$59+$H27*Geometry!$D$42:$D$59))*(ABS(Es*(($F27+$G27*Geometry!$E$42:$E$59+$H27*Geometry!$D$42:$D$59)))&lt;=fy)+fy*(Es*(($F27+$G27*Geometry!$E$42:$E$59+$H27*Geometry!$D$42:$D$59))&gt;fy)-fy*(Es*(($F27+$G27*Geometry!$E$42:$E$59+$H27*Geometry!$D$42:$D$59))&lt;-fy)-(alpha*fck*(1-(1-((($F27+$G27*Geometry!$E$42:$E$59+$H27*Geometry!$D$42:$D$59))*(($F27+$G27*Geometry!$E$42:$E$59+$H27*Geometry!$D$42:$D$59)&gt;0)*(($F27+$G27*Geometry!$E$42:$E$59+$H27*Geometry!$D$42:$D$59)&lt;eco)+eco*(($F27+$G27*Geometry!$E$42:$E$59+$H27*Geometry!$D$42:$D$59)&gt;=eco))/eco)^n)*((($F27+$G27*Geometry!$E$42:$E$59+$H27*Geometry!$D$42:$D$59))&gt;0))),Geometry!$F$42:$F$59,Geometry!$E$42:$E$59))/1000000</f>
      </c>
      <c r="CE27" s="32">
        <f>(SUMPRODUCT(alpha*fck*(1-(1-((($I27+$J27*Mesh_Y+$K27*Mesh_X))*(($I27+$J27*Mesh_Y+$K27*Mesh_X)&gt;0)*(($I27+$J27*Mesh_Y+$K27*Mesh_X)&lt;eco)+eco*(($I27+$J27*Mesh_Y+$K27*Mesh_X)&gt;=eco))/eco)^n)*((($I27+$J27*Mesh_Y+$K27*Mesh_X))&gt;0),Mesh_A,Mesh_Y)+SUMPRODUCT((Es*(($I27+$J27*Geometry!$E$42:$E$59+$K27*Geometry!$D$42:$D$59))*(ABS(Es*(($I27+$J27*Geometry!$E$42:$E$59+$K27*Geometry!$D$42:$D$59)))&lt;=fy)+fy*(Es*(($I27+$J27*Geometry!$E$42:$E$59+$K27*Geometry!$D$42:$D$59))&gt;fy)-fy*(Es*(($I27+$J27*Geometry!$E$42:$E$59+$K27*Geometry!$D$42:$D$59))&lt;-fy)-(alpha*fck*(1-(1-((($I27+$J27*Geometry!$E$42:$E$59+$K27*Geometry!$D$42:$D$59))*(($I27+$J27*Geometry!$E$42:$E$59+$K27*Geometry!$D$42:$D$59)&gt;0)*(($I27+$J27*Geometry!$E$42:$E$59+$K27*Geometry!$D$42:$D$59)&lt;eco)+eco*(($I27+$J27*Geometry!$E$42:$E$59+$K27*Geometry!$D$42:$D$59)&gt;=eco))/eco)^n)*((($I27+$J27*Geometry!$E$42:$E$59+$K27*Geometry!$D$42:$D$59))&gt;0))),Geometry!$F$42:$F$59,Geometry!$E$42:$E$59))/1000000</f>
      </c>
      <c r="CF27" s="32">
        <f>(SUMPRODUCT(alpha*fck*(1-(1-((($L27+$M27*Mesh_Y+$N27*Mesh_X))*(($L27+$M27*Mesh_Y+$N27*Mesh_X)&gt;0)*(($L27+$M27*Mesh_Y+$N27*Mesh_X)&lt;eco)+eco*(($L27+$M27*Mesh_Y+$N27*Mesh_X)&gt;=eco))/eco)^n)*((($L27+$M27*Mesh_Y+$N27*Mesh_X))&gt;0),Mesh_A,Mesh_Y)+SUMPRODUCT((Es*(($L27+$M27*Geometry!$E$42:$E$59+$N27*Geometry!$D$42:$D$59))*(ABS(Es*(($L27+$M27*Geometry!$E$42:$E$59+$N27*Geometry!$D$42:$D$59)))&lt;=fy)+fy*(Es*(($L27+$M27*Geometry!$E$42:$E$59+$N27*Geometry!$D$42:$D$59))&gt;fy)-fy*(Es*(($L27+$M27*Geometry!$E$42:$E$59+$N27*Geometry!$D$42:$D$59))&lt;-fy)-(alpha*fck*(1-(1-((($L27+$M27*Geometry!$E$42:$E$59+$N27*Geometry!$D$42:$D$59))*(($L27+$M27*Geometry!$E$42:$E$59+$N27*Geometry!$D$42:$D$59)&gt;0)*(($L27+$M27*Geometry!$E$42:$E$59+$N27*Geometry!$D$42:$D$59)&lt;eco)+eco*(($L27+$M27*Geometry!$E$42:$E$59+$N27*Geometry!$D$42:$D$59)&gt;=eco))/eco)^n)*((($L27+$M27*Geometry!$E$42:$E$59+$N27*Geometry!$D$42:$D$59))&gt;0))),Geometry!$F$42:$F$59,Geometry!$E$42:$E$59))/1000000</f>
      </c>
      <c r="CG27" s="32">
        <f>(SUMPRODUCT(alpha*fck*(1-(1-((($O27+$P27*Mesh_Y+$Q27*Mesh_X))*(($O27+$P27*Mesh_Y+$Q27*Mesh_X)&gt;0)*(($O27+$P27*Mesh_Y+$Q27*Mesh_X)&lt;eco)+eco*(($O27+$P27*Mesh_Y+$Q27*Mesh_X)&gt;=eco))/eco)^n)*((($O27+$P27*Mesh_Y+$Q27*Mesh_X))&gt;0),Mesh_A,Mesh_Y)+SUMPRODUCT((Es*(($O27+$P27*Geometry!$E$42:$E$59+$Q27*Geometry!$D$42:$D$59))*(ABS(Es*(($O27+$P27*Geometry!$E$42:$E$59+$Q27*Geometry!$D$42:$D$59)))&lt;=fy)+fy*(Es*(($O27+$P27*Geometry!$E$42:$E$59+$Q27*Geometry!$D$42:$D$59))&gt;fy)-fy*(Es*(($O27+$P27*Geometry!$E$42:$E$59+$Q27*Geometry!$D$42:$D$59))&lt;-fy)-(alpha*fck*(1-(1-((($O27+$P27*Geometry!$E$42:$E$59+$Q27*Geometry!$D$42:$D$59))*(($O27+$P27*Geometry!$E$42:$E$59+$Q27*Geometry!$D$42:$D$59)&gt;0)*(($O27+$P27*Geometry!$E$42:$E$59+$Q27*Geometry!$D$42:$D$59)&lt;eco)+eco*(($O27+$P27*Geometry!$E$42:$E$59+$Q27*Geometry!$D$42:$D$59)&gt;=eco))/eco)^n)*((($O27+$P27*Geometry!$E$42:$E$59+$Q27*Geometry!$D$42:$D$59))&gt;0))),Geometry!$F$42:$F$59,Geometry!$E$42:$E$59))/1000000</f>
      </c>
      <c r="CH27" s="32">
        <f>(SUMPRODUCT(alpha*fck*(1-(1-((($R27+$S27*Mesh_Y+$T27*Mesh_X))*(($R27+$S27*Mesh_Y+$T27*Mesh_X)&gt;0)*(($R27+$S27*Mesh_Y+$T27*Mesh_X)&lt;eco)+eco*(($R27+$S27*Mesh_Y+$T27*Mesh_X)&gt;=eco))/eco)^n)*((($R27+$S27*Mesh_Y+$T27*Mesh_X))&gt;0),Mesh_A,Mesh_Y)+SUMPRODUCT((Es*(($R27+$S27*Geometry!$E$42:$E$59+$T27*Geometry!$D$42:$D$59))*(ABS(Es*(($R27+$S27*Geometry!$E$42:$E$59+$T27*Geometry!$D$42:$D$59)))&lt;=fy)+fy*(Es*(($R27+$S27*Geometry!$E$42:$E$59+$T27*Geometry!$D$42:$D$59))&gt;fy)-fy*(Es*(($R27+$S27*Geometry!$E$42:$E$59+$T27*Geometry!$D$42:$D$59))&lt;-fy)-(alpha*fck*(1-(1-((($R27+$S27*Geometry!$E$42:$E$59+$T27*Geometry!$D$42:$D$59))*(($R27+$S27*Geometry!$E$42:$E$59+$T27*Geometry!$D$42:$D$59)&gt;0)*(($R27+$S27*Geometry!$E$42:$E$59+$T27*Geometry!$D$42:$D$59)&lt;eco)+eco*(($R27+$S27*Geometry!$E$42:$E$59+$T27*Geometry!$D$42:$D$59)&gt;=eco))/eco)^n)*((($R27+$S27*Geometry!$E$42:$E$59+$T27*Geometry!$D$42:$D$59))&gt;0))),Geometry!$F$42:$F$59,Geometry!$E$42:$E$59))/1000000</f>
      </c>
      <c r="CI27" s="32">
        <f>(SUMPRODUCT(alpha*fck*(1-(1-((($U27+$V27*Mesh_Y+$W27*Mesh_X))*(($U27+$V27*Mesh_Y+$W27*Mesh_X)&gt;0)*(($U27+$V27*Mesh_Y+$W27*Mesh_X)&lt;eco)+eco*(($U27+$V27*Mesh_Y+$W27*Mesh_X)&gt;=eco))/eco)^n)*((($U27+$V27*Mesh_Y+$W27*Mesh_X))&gt;0),Mesh_A,Mesh_Y)+SUMPRODUCT((Es*(($U27+$V27*Geometry!$E$42:$E$59+$W27*Geometry!$D$42:$D$59))*(ABS(Es*(($U27+$V27*Geometry!$E$42:$E$59+$W27*Geometry!$D$42:$D$59)))&lt;=fy)+fy*(Es*(($U27+$V27*Geometry!$E$42:$E$59+$W27*Geometry!$D$42:$D$59))&gt;fy)-fy*(Es*(($U27+$V27*Geometry!$E$42:$E$59+$W27*Geometry!$D$42:$D$59))&lt;-fy)-(alpha*fck*(1-(1-((($U27+$V27*Geometry!$E$42:$E$59+$W27*Geometry!$D$42:$D$59))*(($U27+$V27*Geometry!$E$42:$E$59+$W27*Geometry!$D$42:$D$59)&gt;0)*(($U27+$V27*Geometry!$E$42:$E$59+$W27*Geometry!$D$42:$D$59)&lt;eco)+eco*(($U27+$V27*Geometry!$E$42:$E$59+$W27*Geometry!$D$42:$D$59)&gt;=eco))/eco)^n)*((($U27+$V27*Geometry!$E$42:$E$59+$W27*Geometry!$D$42:$D$59))&gt;0))),Geometry!$F$42:$F$59,Geometry!$E$42:$E$59))/1000000</f>
      </c>
      <c r="CJ27" s="32">
        <f>(SUMPRODUCT(alpha*fck*(1-(1-((($X27+$Y27*Mesh_Y+$Z27*Mesh_X))*(($X27+$Y27*Mesh_Y+$Z27*Mesh_X)&gt;0)*(($X27+$Y27*Mesh_Y+$Z27*Mesh_X)&lt;eco)+eco*(($X27+$Y27*Mesh_Y+$Z27*Mesh_X)&gt;=eco))/eco)^n)*((($X27+$Y27*Mesh_Y+$Z27*Mesh_X))&gt;0),Mesh_A,Mesh_Y)+SUMPRODUCT((Es*(($X27+$Y27*Geometry!$E$42:$E$59+$Z27*Geometry!$D$42:$D$59))*(ABS(Es*(($X27+$Y27*Geometry!$E$42:$E$59+$Z27*Geometry!$D$42:$D$59)))&lt;=fy)+fy*(Es*(($X27+$Y27*Geometry!$E$42:$E$59+$Z27*Geometry!$D$42:$D$59))&gt;fy)-fy*(Es*(($X27+$Y27*Geometry!$E$42:$E$59+$Z27*Geometry!$D$42:$D$59))&lt;-fy)-(alpha*fck*(1-(1-((($X27+$Y27*Geometry!$E$42:$E$59+$Z27*Geometry!$D$42:$D$59))*(($X27+$Y27*Geometry!$E$42:$E$59+$Z27*Geometry!$D$42:$D$59)&gt;0)*(($X27+$Y27*Geometry!$E$42:$E$59+$Z27*Geometry!$D$42:$D$59)&lt;eco)+eco*(($X27+$Y27*Geometry!$E$42:$E$59+$Z27*Geometry!$D$42:$D$59)&gt;=eco))/eco)^n)*((($X27+$Y27*Geometry!$E$42:$E$59+$Z27*Geometry!$D$42:$D$59))&gt;0))),Geometry!$F$42:$F$59,Geometry!$E$42:$E$59))/1000000</f>
      </c>
      <c r="CK27" s="32">
        <f>(SUMPRODUCT(alpha*fck*(1-(1-((($AA27+$AB27*Mesh_Y+$AC27*Mesh_X))*(($AA27+$AB27*Mesh_Y+$AC27*Mesh_X)&gt;0)*(($AA27+$AB27*Mesh_Y+$AC27*Mesh_X)&lt;eco)+eco*(($AA27+$AB27*Mesh_Y+$AC27*Mesh_X)&gt;=eco))/eco)^n)*((($AA27+$AB27*Mesh_Y+$AC27*Mesh_X))&gt;0),Mesh_A,Mesh_Y)+SUMPRODUCT((Es*(($AA27+$AB27*Geometry!$E$42:$E$59+$AC27*Geometry!$D$42:$D$59))*(ABS(Es*(($AA27+$AB27*Geometry!$E$42:$E$59+$AC27*Geometry!$D$42:$D$59)))&lt;=fy)+fy*(Es*(($AA27+$AB27*Geometry!$E$42:$E$59+$AC27*Geometry!$D$42:$D$59))&gt;fy)-fy*(Es*(($AA27+$AB27*Geometry!$E$42:$E$59+$AC27*Geometry!$D$42:$D$59))&lt;-fy)-(alpha*fck*(1-(1-((($AA27+$AB27*Geometry!$E$42:$E$59+$AC27*Geometry!$D$42:$D$59))*(($AA27+$AB27*Geometry!$E$42:$E$59+$AC27*Geometry!$D$42:$D$59)&gt;0)*(($AA27+$AB27*Geometry!$E$42:$E$59+$AC27*Geometry!$D$42:$D$59)&lt;eco)+eco*(($AA27+$AB27*Geometry!$E$42:$E$59+$AC27*Geometry!$D$42:$D$59)&gt;=eco))/eco)^n)*((($AA27+$AB27*Geometry!$E$42:$E$59+$AC27*Geometry!$D$42:$D$59))&gt;0))),Geometry!$F$42:$F$59,Geometry!$E$42:$E$59))/1000000</f>
      </c>
      <c r="CL27" s="32">
        <f>(SUMPRODUCT(alpha*fck*(1-(1-((($AD27+$AE27*Mesh_Y+$AF27*Mesh_X))*(($AD27+$AE27*Mesh_Y+$AF27*Mesh_X)&gt;0)*(($AD27+$AE27*Mesh_Y+$AF27*Mesh_X)&lt;eco)+eco*(($AD27+$AE27*Mesh_Y+$AF27*Mesh_X)&gt;=eco))/eco)^n)*((($AD27+$AE27*Mesh_Y+$AF27*Mesh_X))&gt;0),Mesh_A,Mesh_Y)+SUMPRODUCT((Es*(($AD27+$AE27*Geometry!$E$42:$E$59+$AF27*Geometry!$D$42:$D$59))*(ABS(Es*(($AD27+$AE27*Geometry!$E$42:$E$59+$AF27*Geometry!$D$42:$D$59)))&lt;=fy)+fy*(Es*(($AD27+$AE27*Geometry!$E$42:$E$59+$AF27*Geometry!$D$42:$D$59))&gt;fy)-fy*(Es*(($AD27+$AE27*Geometry!$E$42:$E$59+$AF27*Geometry!$D$42:$D$59))&lt;-fy)-(alpha*fck*(1-(1-((($AD27+$AE27*Geometry!$E$42:$E$59+$AF27*Geometry!$D$42:$D$59))*(($AD27+$AE27*Geometry!$E$42:$E$59+$AF27*Geometry!$D$42:$D$59)&gt;0)*(($AD27+$AE27*Geometry!$E$42:$E$59+$AF27*Geometry!$D$42:$D$59)&lt;eco)+eco*(($AD27+$AE27*Geometry!$E$42:$E$59+$AF27*Geometry!$D$42:$D$59)&gt;=eco))/eco)^n)*((($AD27+$AE27*Geometry!$E$42:$E$59+$AF27*Geometry!$D$42:$D$59))&gt;0))),Geometry!$F$42:$F$59,Geometry!$E$42:$E$59))/1000000</f>
      </c>
      <c r="CM27" s="32">
        <f>(SUMPRODUCT(alpha*fck*(1-(1-((($AG27+$AH27*Mesh_Y+$AI27*Mesh_X))*(($AG27+$AH27*Mesh_Y+$AI27*Mesh_X)&gt;0)*(($AG27+$AH27*Mesh_Y+$AI27*Mesh_X)&lt;eco)+eco*(($AG27+$AH27*Mesh_Y+$AI27*Mesh_X)&gt;=eco))/eco)^n)*((($AG27+$AH27*Mesh_Y+$AI27*Mesh_X))&gt;0),Mesh_A,Mesh_Y)+SUMPRODUCT((Es*(($AG27+$AH27*Geometry!$E$42:$E$59+$AI27*Geometry!$D$42:$D$59))*(ABS(Es*(($AG27+$AH27*Geometry!$E$42:$E$59+$AI27*Geometry!$D$42:$D$59)))&lt;=fy)+fy*(Es*(($AG27+$AH27*Geometry!$E$42:$E$59+$AI27*Geometry!$D$42:$D$59))&gt;fy)-fy*(Es*(($AG27+$AH27*Geometry!$E$42:$E$59+$AI27*Geometry!$D$42:$D$59))&lt;-fy)-(alpha*fck*(1-(1-((($AG27+$AH27*Geometry!$E$42:$E$59+$AI27*Geometry!$D$42:$D$59))*(($AG27+$AH27*Geometry!$E$42:$E$59+$AI27*Geometry!$D$42:$D$59)&gt;0)*(($AG27+$AH27*Geometry!$E$42:$E$59+$AI27*Geometry!$D$42:$D$59)&lt;eco)+eco*(($AG27+$AH27*Geometry!$E$42:$E$59+$AI27*Geometry!$D$42:$D$59)&gt;=eco))/eco)^n)*((($AG27+$AH27*Geometry!$E$42:$E$59+$AI27*Geometry!$D$42:$D$59))&gt;0))),Geometry!$F$42:$F$59,Geometry!$E$42:$E$59))/1000000</f>
      </c>
      <c r="CN27" s="32">
        <f>(SUMPRODUCT(alpha*fck*(1-(1-((($AJ27+$AK27*Mesh_Y+$AL27*Mesh_X))*(($AJ27+$AK27*Mesh_Y+$AL27*Mesh_X)&gt;0)*(($AJ27+$AK27*Mesh_Y+$AL27*Mesh_X)&lt;eco)+eco*(($AJ27+$AK27*Mesh_Y+$AL27*Mesh_X)&gt;=eco))/eco)^n)*((($AJ27+$AK27*Mesh_Y+$AL27*Mesh_X))&gt;0),Mesh_A,Mesh_Y)+SUMPRODUCT((Es*(($AJ27+$AK27*Geometry!$E$42:$E$59+$AL27*Geometry!$D$42:$D$59))*(ABS(Es*(($AJ27+$AK27*Geometry!$E$42:$E$59+$AL27*Geometry!$D$42:$D$59)))&lt;=fy)+fy*(Es*(($AJ27+$AK27*Geometry!$E$42:$E$59+$AL27*Geometry!$D$42:$D$59))&gt;fy)-fy*(Es*(($AJ27+$AK27*Geometry!$E$42:$E$59+$AL27*Geometry!$D$42:$D$59))&lt;-fy)-(alpha*fck*(1-(1-((($AJ27+$AK27*Geometry!$E$42:$E$59+$AL27*Geometry!$D$42:$D$59))*(($AJ27+$AK27*Geometry!$E$42:$E$59+$AL27*Geometry!$D$42:$D$59)&gt;0)*(($AJ27+$AK27*Geometry!$E$42:$E$59+$AL27*Geometry!$D$42:$D$59)&lt;eco)+eco*(($AJ27+$AK27*Geometry!$E$42:$E$59+$AL27*Geometry!$D$42:$D$59)&gt;=eco))/eco)^n)*((($AJ27+$AK27*Geometry!$E$42:$E$59+$AL27*Geometry!$D$42:$D$59))&gt;0))),Geometry!$F$42:$F$59,Geometry!$E$42:$E$59))/1000000</f>
      </c>
      <c r="CO27" s="32">
        <f>(SUMPRODUCT(alpha*fck*(1-(1-((($AM27+$AN27*Mesh_Y+$AO27*Mesh_X))*(($AM27+$AN27*Mesh_Y+$AO27*Mesh_X)&gt;0)*(($AM27+$AN27*Mesh_Y+$AO27*Mesh_X)&lt;eco)+eco*(($AM27+$AN27*Mesh_Y+$AO27*Mesh_X)&gt;=eco))/eco)^n)*((($AM27+$AN27*Mesh_Y+$AO27*Mesh_X))&gt;0),Mesh_A,Mesh_Y)+SUMPRODUCT((Es*(($AM27+$AN27*Geometry!$E$42:$E$59+$AO27*Geometry!$D$42:$D$59))*(ABS(Es*(($AM27+$AN27*Geometry!$E$42:$E$59+$AO27*Geometry!$D$42:$D$59)))&lt;=fy)+fy*(Es*(($AM27+$AN27*Geometry!$E$42:$E$59+$AO27*Geometry!$D$42:$D$59))&gt;fy)-fy*(Es*(($AM27+$AN27*Geometry!$E$42:$E$59+$AO27*Geometry!$D$42:$D$59))&lt;-fy)-(alpha*fck*(1-(1-((($AM27+$AN27*Geometry!$E$42:$E$59+$AO27*Geometry!$D$42:$D$59))*(($AM27+$AN27*Geometry!$E$42:$E$59+$AO27*Geometry!$D$42:$D$59)&gt;0)*(($AM27+$AN27*Geometry!$E$42:$E$59+$AO27*Geometry!$D$42:$D$59)&lt;eco)+eco*(($AM27+$AN27*Geometry!$E$42:$E$59+$AO27*Geometry!$D$42:$D$59)&gt;=eco))/eco)^n)*((($AM27+$AN27*Geometry!$E$42:$E$59+$AO27*Geometry!$D$42:$D$59))&gt;0))),Geometry!$F$42:$F$59,Geometry!$E$42:$E$59))/1000000</f>
      </c>
      <c r="CP27" s="32">
        <f>(SUMPRODUCT(alpha*fck*(1-(1-((($AP27+$AQ27*Mesh_Y+$AR27*Mesh_X))*(($AP27+$AQ27*Mesh_Y+$AR27*Mesh_X)&gt;0)*(($AP27+$AQ27*Mesh_Y+$AR27*Mesh_X)&lt;eco)+eco*(($AP27+$AQ27*Mesh_Y+$AR27*Mesh_X)&gt;=eco))/eco)^n)*((($AP27+$AQ27*Mesh_Y+$AR27*Mesh_X))&gt;0),Mesh_A,Mesh_Y)+SUMPRODUCT((Es*(($AP27+$AQ27*Geometry!$E$42:$E$59+$AR27*Geometry!$D$42:$D$59))*(ABS(Es*(($AP27+$AQ27*Geometry!$E$42:$E$59+$AR27*Geometry!$D$42:$D$59)))&lt;=fy)+fy*(Es*(($AP27+$AQ27*Geometry!$E$42:$E$59+$AR27*Geometry!$D$42:$D$59))&gt;fy)-fy*(Es*(($AP27+$AQ27*Geometry!$E$42:$E$59+$AR27*Geometry!$D$42:$D$59))&lt;-fy)-(alpha*fck*(1-(1-((($AP27+$AQ27*Geometry!$E$42:$E$59+$AR27*Geometry!$D$42:$D$59))*(($AP27+$AQ27*Geometry!$E$42:$E$59+$AR27*Geometry!$D$42:$D$59)&gt;0)*(($AP27+$AQ27*Geometry!$E$42:$E$59+$AR27*Geometry!$D$42:$D$59)&lt;eco)+eco*(($AP27+$AQ27*Geometry!$E$42:$E$59+$AR27*Geometry!$D$42:$D$59)&gt;=eco))/eco)^n)*((($AP27+$AQ27*Geometry!$E$42:$E$59+$AR27*Geometry!$D$42:$D$59))&gt;0))),Geometry!$F$42:$F$59,Geometry!$E$42:$E$59))/1000000</f>
      </c>
      <c r="CQ27" s="32">
        <f>(SUMPRODUCT(alpha*fck*(1-(1-((($AS27+$AT27*Mesh_Y+$AU27*Mesh_X))*(($AS27+$AT27*Mesh_Y+$AU27*Mesh_X)&gt;0)*(($AS27+$AT27*Mesh_Y+$AU27*Mesh_X)&lt;eco)+eco*(($AS27+$AT27*Mesh_Y+$AU27*Mesh_X)&gt;=eco))/eco)^n)*((($AS27+$AT27*Mesh_Y+$AU27*Mesh_X))&gt;0),Mesh_A,Mesh_Y)+SUMPRODUCT((Es*(($AS27+$AT27*Geometry!$E$42:$E$59+$AU27*Geometry!$D$42:$D$59))*(ABS(Es*(($AS27+$AT27*Geometry!$E$42:$E$59+$AU27*Geometry!$D$42:$D$59)))&lt;=fy)+fy*(Es*(($AS27+$AT27*Geometry!$E$42:$E$59+$AU27*Geometry!$D$42:$D$59))&gt;fy)-fy*(Es*(($AS27+$AT27*Geometry!$E$42:$E$59+$AU27*Geometry!$D$42:$D$59))&lt;-fy)-(alpha*fck*(1-(1-((($AS27+$AT27*Geometry!$E$42:$E$59+$AU27*Geometry!$D$42:$D$59))*(($AS27+$AT27*Geometry!$E$42:$E$59+$AU27*Geometry!$D$42:$D$59)&gt;0)*(($AS27+$AT27*Geometry!$E$42:$E$59+$AU27*Geometry!$D$42:$D$59)&lt;eco)+eco*(($AS27+$AT27*Geometry!$E$42:$E$59+$AU27*Geometry!$D$42:$D$59)&gt;=eco))/eco)^n)*((($AS27+$AT27*Geometry!$E$42:$E$59+$AU27*Geometry!$D$42:$D$59))&gt;0))),Geometry!$F$42:$F$59,Geometry!$E$42:$E$59))/1000000</f>
      </c>
      <c r="CR27" s="32">
        <f>(SUMPRODUCT(alpha*fck*(1-(1-((($AV27+$AW27*Mesh_Y+$AX27*Mesh_X))*(($AV27+$AW27*Mesh_Y+$AX27*Mesh_X)&gt;0)*(($AV27+$AW27*Mesh_Y+$AX27*Mesh_X)&lt;eco)+eco*(($AV27+$AW27*Mesh_Y+$AX27*Mesh_X)&gt;=eco))/eco)^n)*((($AV27+$AW27*Mesh_Y+$AX27*Mesh_X))&gt;0),Mesh_A,Mesh_Y)+SUMPRODUCT((Es*(($AV27+$AW27*Geometry!$E$42:$E$59+$AX27*Geometry!$D$42:$D$59))*(ABS(Es*(($AV27+$AW27*Geometry!$E$42:$E$59+$AX27*Geometry!$D$42:$D$59)))&lt;=fy)+fy*(Es*(($AV27+$AW27*Geometry!$E$42:$E$59+$AX27*Geometry!$D$42:$D$59))&gt;fy)-fy*(Es*(($AV27+$AW27*Geometry!$E$42:$E$59+$AX27*Geometry!$D$42:$D$59))&lt;-fy)-(alpha*fck*(1-(1-((($AV27+$AW27*Geometry!$E$42:$E$59+$AX27*Geometry!$D$42:$D$59))*(($AV27+$AW27*Geometry!$E$42:$E$59+$AX27*Geometry!$D$42:$D$59)&gt;0)*(($AV27+$AW27*Geometry!$E$42:$E$59+$AX27*Geometry!$D$42:$D$59)&lt;eco)+eco*(($AV27+$AW27*Geometry!$E$42:$E$59+$AX27*Geometry!$D$42:$D$59)&gt;=eco))/eco)^n)*((($AV27+$AW27*Geometry!$E$42:$E$59+$AX27*Geometry!$D$42:$D$59))&gt;0))),Geometry!$F$42:$F$59,Geometry!$E$42:$E$59))/1000000</f>
      </c>
      <c r="CS27" s="32">
        <f>(SUMPRODUCT(alpha*fck*(1-(1-((($AY27+$AZ27*Mesh_Y+$BA27*Mesh_X))*(($AY27+$AZ27*Mesh_Y+$BA27*Mesh_X)&gt;0)*(($AY27+$AZ27*Mesh_Y+$BA27*Mesh_X)&lt;eco)+eco*(($AY27+$AZ27*Mesh_Y+$BA27*Mesh_X)&gt;=eco))/eco)^n)*((($AY27+$AZ27*Mesh_Y+$BA27*Mesh_X))&gt;0),Mesh_A,Mesh_Y)+SUMPRODUCT((Es*(($AY27+$AZ27*Geometry!$E$42:$E$59+$BA27*Geometry!$D$42:$D$59))*(ABS(Es*(($AY27+$AZ27*Geometry!$E$42:$E$59+$BA27*Geometry!$D$42:$D$59)))&lt;=fy)+fy*(Es*(($AY27+$AZ27*Geometry!$E$42:$E$59+$BA27*Geometry!$D$42:$D$59))&gt;fy)-fy*(Es*(($AY27+$AZ27*Geometry!$E$42:$E$59+$BA27*Geometry!$D$42:$D$59))&lt;-fy)-(alpha*fck*(1-(1-((($AY27+$AZ27*Geometry!$E$42:$E$59+$BA27*Geometry!$D$42:$D$59))*(($AY27+$AZ27*Geometry!$E$42:$E$59+$BA27*Geometry!$D$42:$D$59)&gt;0)*(($AY27+$AZ27*Geometry!$E$42:$E$59+$BA27*Geometry!$D$42:$D$59)&lt;eco)+eco*(($AY27+$AZ27*Geometry!$E$42:$E$59+$BA27*Geometry!$D$42:$D$59)&gt;=eco))/eco)^n)*((($AY27+$AZ27*Geometry!$E$42:$E$59+$BA27*Geometry!$D$42:$D$59))&gt;0))),Geometry!$F$42:$F$59,Geometry!$E$42:$E$59))/1000000</f>
      </c>
      <c r="CT27" s="32">
        <f>(SUMPRODUCT(alpha*fck*(1-(1-((($BB27+$BC27*Mesh_Y+$BD27*Mesh_X))*(($BB27+$BC27*Mesh_Y+$BD27*Mesh_X)&gt;0)*(($BB27+$BC27*Mesh_Y+$BD27*Mesh_X)&lt;eco)+eco*(($BB27+$BC27*Mesh_Y+$BD27*Mesh_X)&gt;=eco))/eco)^n)*((($BB27+$BC27*Mesh_Y+$BD27*Mesh_X))&gt;0),Mesh_A,Mesh_Y)+SUMPRODUCT((Es*(($BB27+$BC27*Geometry!$E$42:$E$59+$BD27*Geometry!$D$42:$D$59))*(ABS(Es*(($BB27+$BC27*Geometry!$E$42:$E$59+$BD27*Geometry!$D$42:$D$59)))&lt;=fy)+fy*(Es*(($BB27+$BC27*Geometry!$E$42:$E$59+$BD27*Geometry!$D$42:$D$59))&gt;fy)-fy*(Es*(($BB27+$BC27*Geometry!$E$42:$E$59+$BD27*Geometry!$D$42:$D$59))&lt;-fy)-(alpha*fck*(1-(1-((($BB27+$BC27*Geometry!$E$42:$E$59+$BD27*Geometry!$D$42:$D$59))*(($BB27+$BC27*Geometry!$E$42:$E$59+$BD27*Geometry!$D$42:$D$59)&gt;0)*(($BB27+$BC27*Geometry!$E$42:$E$59+$BD27*Geometry!$D$42:$D$59)&lt;eco)+eco*(($BB27+$BC27*Geometry!$E$42:$E$59+$BD27*Geometry!$D$42:$D$59)&gt;=eco))/eco)^n)*((($BB27+$BC27*Geometry!$E$42:$E$59+$BD27*Geometry!$D$42:$D$59))&gt;0))),Geometry!$F$42:$F$59,Geometry!$E$42:$E$59))/1000000</f>
      </c>
      <c r="CU27" s="32">
        <f>(SUMPRODUCT(alpha*fck*(1-(1-((($BE27+$BF27*Mesh_Y+$BG27*Mesh_X))*(($BE27+$BF27*Mesh_Y+$BG27*Mesh_X)&gt;0)*(($BE27+$BF27*Mesh_Y+$BG27*Mesh_X)&lt;eco)+eco*(($BE27+$BF27*Mesh_Y+$BG27*Mesh_X)&gt;=eco))/eco)^n)*((($BE27+$BF27*Mesh_Y+$BG27*Mesh_X))&gt;0),Mesh_A,Mesh_Y)+SUMPRODUCT((Es*(($BE27+$BF27*Geometry!$E$42:$E$59+$BG27*Geometry!$D$42:$D$59))*(ABS(Es*(($BE27+$BF27*Geometry!$E$42:$E$59+$BG27*Geometry!$D$42:$D$59)))&lt;=fy)+fy*(Es*(($BE27+$BF27*Geometry!$E$42:$E$59+$BG27*Geometry!$D$42:$D$59))&gt;fy)-fy*(Es*(($BE27+$BF27*Geometry!$E$42:$E$59+$BG27*Geometry!$D$42:$D$59))&lt;-fy)-(alpha*fck*(1-(1-((($BE27+$BF27*Geometry!$E$42:$E$59+$BG27*Geometry!$D$42:$D$59))*(($BE27+$BF27*Geometry!$E$42:$E$59+$BG27*Geometry!$D$42:$D$59)&gt;0)*(($BE27+$BF27*Geometry!$E$42:$E$59+$BG27*Geometry!$D$42:$D$59)&lt;eco)+eco*(($BE27+$BF27*Geometry!$E$42:$E$59+$BG27*Geometry!$D$42:$D$59)&gt;=eco))/eco)^n)*((($BE27+$BF27*Geometry!$E$42:$E$59+$BG27*Geometry!$D$42:$D$59))&gt;0))),Geometry!$F$42:$F$59,Geometry!$E$42:$E$59))/1000000</f>
      </c>
      <c r="CV27" s="32">
        <f>(SUMPRODUCT(alpha*fck*(1-(1-((($BH27+$BI27*Mesh_Y+$BJ27*Mesh_X))*(($BH27+$BI27*Mesh_Y+$BJ27*Mesh_X)&gt;0)*(($BH27+$BI27*Mesh_Y+$BJ27*Mesh_X)&lt;eco)+eco*(($BH27+$BI27*Mesh_Y+$BJ27*Mesh_X)&gt;=eco))/eco)^n)*((($BH27+$BI27*Mesh_Y+$BJ27*Mesh_X))&gt;0),Mesh_A,Mesh_Y)+SUMPRODUCT((Es*(($BH27+$BI27*Geometry!$E$42:$E$59+$BJ27*Geometry!$D$42:$D$59))*(ABS(Es*(($BH27+$BI27*Geometry!$E$42:$E$59+$BJ27*Geometry!$D$42:$D$59)))&lt;=fy)+fy*(Es*(($BH27+$BI27*Geometry!$E$42:$E$59+$BJ27*Geometry!$D$42:$D$59))&gt;fy)-fy*(Es*(($BH27+$BI27*Geometry!$E$42:$E$59+$BJ27*Geometry!$D$42:$D$59))&lt;-fy)-(alpha*fck*(1-(1-((($BH27+$BI27*Geometry!$E$42:$E$59+$BJ27*Geometry!$D$42:$D$59))*(($BH27+$BI27*Geometry!$E$42:$E$59+$BJ27*Geometry!$D$42:$D$59)&gt;0)*(($BH27+$BI27*Geometry!$E$42:$E$59+$BJ27*Geometry!$D$42:$D$59)&lt;eco)+eco*(($BH27+$BI27*Geometry!$E$42:$E$59+$BJ27*Geometry!$D$42:$D$59)&gt;=eco))/eco)^n)*((($BH27+$BI27*Geometry!$E$42:$E$59+$BJ27*Geometry!$D$42:$D$59))&gt;0))),Geometry!$F$42:$F$59,Geometry!$E$42:$E$59))/1000000</f>
      </c>
      <c r="CW27" s="32">
        <f>(SUMPRODUCT(alpha*fck*(1-(1-((($F27+$G27*Mesh_Y+$H27*Mesh_X))*(($F27+$G27*Mesh_Y+$H27*Mesh_X)&gt;0)*(($F27+$G27*Mesh_Y+$H27*Mesh_X)&lt;eco)+eco*(($F27+$G27*Mesh_Y+$H27*Mesh_X)&gt;=eco))/eco)^n)*((($F27+$G27*Mesh_Y+$H27*Mesh_X))&gt;0),Mesh_A,Mesh_X)+SUMPRODUCT((Es*(($F27+$G27*Geometry!$E$42:$E$59+$H27*Geometry!$D$42:$D$59))*(ABS(Es*(($F27+$G27*Geometry!$E$42:$E$59+$H27*Geometry!$D$42:$D$59)))&lt;=fy)+fy*(Es*(($F27+$G27*Geometry!$E$42:$E$59+$H27*Geometry!$D$42:$D$59))&gt;fy)-fy*(Es*(($F27+$G27*Geometry!$E$42:$E$59+$H27*Geometry!$D$42:$D$59))&lt;-fy)-(alpha*fck*(1-(1-((($F27+$G27*Geometry!$E$42:$E$59+$H27*Geometry!$D$42:$D$59))*(($F27+$G27*Geometry!$E$42:$E$59+$H27*Geometry!$D$42:$D$59)&gt;0)*(($F27+$G27*Geometry!$E$42:$E$59+$H27*Geometry!$D$42:$D$59)&lt;eco)+eco*(($F27+$G27*Geometry!$E$42:$E$59+$H27*Geometry!$D$42:$D$59)&gt;=eco))/eco)^n)*((($F27+$G27*Geometry!$E$42:$E$59+$H27*Geometry!$D$42:$D$59))&gt;0))),Geometry!$F$42:$F$59,Geometry!$D$42:$D$59))/1000000</f>
      </c>
      <c r="CX27" s="32">
        <f>(SUMPRODUCT(alpha*fck*(1-(1-((($I27+$J27*Mesh_Y+$K27*Mesh_X))*(($I27+$J27*Mesh_Y+$K27*Mesh_X)&gt;0)*(($I27+$J27*Mesh_Y+$K27*Mesh_X)&lt;eco)+eco*(($I27+$J27*Mesh_Y+$K27*Mesh_X)&gt;=eco))/eco)^n)*((($I27+$J27*Mesh_Y+$K27*Mesh_X))&gt;0),Mesh_A,Mesh_X)+SUMPRODUCT((Es*(($I27+$J27*Geometry!$E$42:$E$59+$K27*Geometry!$D$42:$D$59))*(ABS(Es*(($I27+$J27*Geometry!$E$42:$E$59+$K27*Geometry!$D$42:$D$59)))&lt;=fy)+fy*(Es*(($I27+$J27*Geometry!$E$42:$E$59+$K27*Geometry!$D$42:$D$59))&gt;fy)-fy*(Es*(($I27+$J27*Geometry!$E$42:$E$59+$K27*Geometry!$D$42:$D$59))&lt;-fy)-(alpha*fck*(1-(1-((($I27+$J27*Geometry!$E$42:$E$59+$K27*Geometry!$D$42:$D$59))*(($I27+$J27*Geometry!$E$42:$E$59+$K27*Geometry!$D$42:$D$59)&gt;0)*(($I27+$J27*Geometry!$E$42:$E$59+$K27*Geometry!$D$42:$D$59)&lt;eco)+eco*(($I27+$J27*Geometry!$E$42:$E$59+$K27*Geometry!$D$42:$D$59)&gt;=eco))/eco)^n)*((($I27+$J27*Geometry!$E$42:$E$59+$K27*Geometry!$D$42:$D$59))&gt;0))),Geometry!$F$42:$F$59,Geometry!$D$42:$D$59))/1000000</f>
      </c>
      <c r="CY27" s="32">
        <f>(SUMPRODUCT(alpha*fck*(1-(1-((($L27+$M27*Mesh_Y+$N27*Mesh_X))*(($L27+$M27*Mesh_Y+$N27*Mesh_X)&gt;0)*(($L27+$M27*Mesh_Y+$N27*Mesh_X)&lt;eco)+eco*(($L27+$M27*Mesh_Y+$N27*Mesh_X)&gt;=eco))/eco)^n)*((($L27+$M27*Mesh_Y+$N27*Mesh_X))&gt;0),Mesh_A,Mesh_X)+SUMPRODUCT((Es*(($L27+$M27*Geometry!$E$42:$E$59+$N27*Geometry!$D$42:$D$59))*(ABS(Es*(($L27+$M27*Geometry!$E$42:$E$59+$N27*Geometry!$D$42:$D$59)))&lt;=fy)+fy*(Es*(($L27+$M27*Geometry!$E$42:$E$59+$N27*Geometry!$D$42:$D$59))&gt;fy)-fy*(Es*(($L27+$M27*Geometry!$E$42:$E$59+$N27*Geometry!$D$42:$D$59))&lt;-fy)-(alpha*fck*(1-(1-((($L27+$M27*Geometry!$E$42:$E$59+$N27*Geometry!$D$42:$D$59))*(($L27+$M27*Geometry!$E$42:$E$59+$N27*Geometry!$D$42:$D$59)&gt;0)*(($L27+$M27*Geometry!$E$42:$E$59+$N27*Geometry!$D$42:$D$59)&lt;eco)+eco*(($L27+$M27*Geometry!$E$42:$E$59+$N27*Geometry!$D$42:$D$59)&gt;=eco))/eco)^n)*((($L27+$M27*Geometry!$E$42:$E$59+$N27*Geometry!$D$42:$D$59))&gt;0))),Geometry!$F$42:$F$59,Geometry!$D$42:$D$59))/1000000</f>
      </c>
      <c r="CZ27" s="32">
        <f>(SUMPRODUCT(alpha*fck*(1-(1-((($O27+$P27*Mesh_Y+$Q27*Mesh_X))*(($O27+$P27*Mesh_Y+$Q27*Mesh_X)&gt;0)*(($O27+$P27*Mesh_Y+$Q27*Mesh_X)&lt;eco)+eco*(($O27+$P27*Mesh_Y+$Q27*Mesh_X)&gt;=eco))/eco)^n)*((($O27+$P27*Mesh_Y+$Q27*Mesh_X))&gt;0),Mesh_A,Mesh_X)+SUMPRODUCT((Es*(($O27+$P27*Geometry!$E$42:$E$59+$Q27*Geometry!$D$42:$D$59))*(ABS(Es*(($O27+$P27*Geometry!$E$42:$E$59+$Q27*Geometry!$D$42:$D$59)))&lt;=fy)+fy*(Es*(($O27+$P27*Geometry!$E$42:$E$59+$Q27*Geometry!$D$42:$D$59))&gt;fy)-fy*(Es*(($O27+$P27*Geometry!$E$42:$E$59+$Q27*Geometry!$D$42:$D$59))&lt;-fy)-(alpha*fck*(1-(1-((($O27+$P27*Geometry!$E$42:$E$59+$Q27*Geometry!$D$42:$D$59))*(($O27+$P27*Geometry!$E$42:$E$59+$Q27*Geometry!$D$42:$D$59)&gt;0)*(($O27+$P27*Geometry!$E$42:$E$59+$Q27*Geometry!$D$42:$D$59)&lt;eco)+eco*(($O27+$P27*Geometry!$E$42:$E$59+$Q27*Geometry!$D$42:$D$59)&gt;=eco))/eco)^n)*((($O27+$P27*Geometry!$E$42:$E$59+$Q27*Geometry!$D$42:$D$59))&gt;0))),Geometry!$F$42:$F$59,Geometry!$D$42:$D$59))/1000000</f>
      </c>
      <c r="DA27" s="32">
        <f>(SUMPRODUCT(alpha*fck*(1-(1-((($R27+$S27*Mesh_Y+$T27*Mesh_X))*(($R27+$S27*Mesh_Y+$T27*Mesh_X)&gt;0)*(($R27+$S27*Mesh_Y+$T27*Mesh_X)&lt;eco)+eco*(($R27+$S27*Mesh_Y+$T27*Mesh_X)&gt;=eco))/eco)^n)*((($R27+$S27*Mesh_Y+$T27*Mesh_X))&gt;0),Mesh_A,Mesh_X)+SUMPRODUCT((Es*(($R27+$S27*Geometry!$E$42:$E$59+$T27*Geometry!$D$42:$D$59))*(ABS(Es*(($R27+$S27*Geometry!$E$42:$E$59+$T27*Geometry!$D$42:$D$59)))&lt;=fy)+fy*(Es*(($R27+$S27*Geometry!$E$42:$E$59+$T27*Geometry!$D$42:$D$59))&gt;fy)-fy*(Es*(($R27+$S27*Geometry!$E$42:$E$59+$T27*Geometry!$D$42:$D$59))&lt;-fy)-(alpha*fck*(1-(1-((($R27+$S27*Geometry!$E$42:$E$59+$T27*Geometry!$D$42:$D$59))*(($R27+$S27*Geometry!$E$42:$E$59+$T27*Geometry!$D$42:$D$59)&gt;0)*(($R27+$S27*Geometry!$E$42:$E$59+$T27*Geometry!$D$42:$D$59)&lt;eco)+eco*(($R27+$S27*Geometry!$E$42:$E$59+$T27*Geometry!$D$42:$D$59)&gt;=eco))/eco)^n)*((($R27+$S27*Geometry!$E$42:$E$59+$T27*Geometry!$D$42:$D$59))&gt;0))),Geometry!$F$42:$F$59,Geometry!$D$42:$D$59))/1000000</f>
      </c>
      <c r="DB27" s="32">
        <f>(SUMPRODUCT(alpha*fck*(1-(1-((($U27+$V27*Mesh_Y+$W27*Mesh_X))*(($U27+$V27*Mesh_Y+$W27*Mesh_X)&gt;0)*(($U27+$V27*Mesh_Y+$W27*Mesh_X)&lt;eco)+eco*(($U27+$V27*Mesh_Y+$W27*Mesh_X)&gt;=eco))/eco)^n)*((($U27+$V27*Mesh_Y+$W27*Mesh_X))&gt;0),Mesh_A,Mesh_X)+SUMPRODUCT((Es*(($U27+$V27*Geometry!$E$42:$E$59+$W27*Geometry!$D$42:$D$59))*(ABS(Es*(($U27+$V27*Geometry!$E$42:$E$59+$W27*Geometry!$D$42:$D$59)))&lt;=fy)+fy*(Es*(($U27+$V27*Geometry!$E$42:$E$59+$W27*Geometry!$D$42:$D$59))&gt;fy)-fy*(Es*(($U27+$V27*Geometry!$E$42:$E$59+$W27*Geometry!$D$42:$D$59))&lt;-fy)-(alpha*fck*(1-(1-((($U27+$V27*Geometry!$E$42:$E$59+$W27*Geometry!$D$42:$D$59))*(($U27+$V27*Geometry!$E$42:$E$59+$W27*Geometry!$D$42:$D$59)&gt;0)*(($U27+$V27*Geometry!$E$42:$E$59+$W27*Geometry!$D$42:$D$59)&lt;eco)+eco*(($U27+$V27*Geometry!$E$42:$E$59+$W27*Geometry!$D$42:$D$59)&gt;=eco))/eco)^n)*((($U27+$V27*Geometry!$E$42:$E$59+$W27*Geometry!$D$42:$D$59))&gt;0))),Geometry!$F$42:$F$59,Geometry!$D$42:$D$59))/1000000</f>
      </c>
      <c r="DC27" s="32">
        <f>(SUMPRODUCT(alpha*fck*(1-(1-((($X27+$Y27*Mesh_Y+$Z27*Mesh_X))*(($X27+$Y27*Mesh_Y+$Z27*Mesh_X)&gt;0)*(($X27+$Y27*Mesh_Y+$Z27*Mesh_X)&lt;eco)+eco*(($X27+$Y27*Mesh_Y+$Z27*Mesh_X)&gt;=eco))/eco)^n)*((($X27+$Y27*Mesh_Y+$Z27*Mesh_X))&gt;0),Mesh_A,Mesh_X)+SUMPRODUCT((Es*(($X27+$Y27*Geometry!$E$42:$E$59+$Z27*Geometry!$D$42:$D$59))*(ABS(Es*(($X27+$Y27*Geometry!$E$42:$E$59+$Z27*Geometry!$D$42:$D$59)))&lt;=fy)+fy*(Es*(($X27+$Y27*Geometry!$E$42:$E$59+$Z27*Geometry!$D$42:$D$59))&gt;fy)-fy*(Es*(($X27+$Y27*Geometry!$E$42:$E$59+$Z27*Geometry!$D$42:$D$59))&lt;-fy)-(alpha*fck*(1-(1-((($X27+$Y27*Geometry!$E$42:$E$59+$Z27*Geometry!$D$42:$D$59))*(($X27+$Y27*Geometry!$E$42:$E$59+$Z27*Geometry!$D$42:$D$59)&gt;0)*(($X27+$Y27*Geometry!$E$42:$E$59+$Z27*Geometry!$D$42:$D$59)&lt;eco)+eco*(($X27+$Y27*Geometry!$E$42:$E$59+$Z27*Geometry!$D$42:$D$59)&gt;=eco))/eco)^n)*((($X27+$Y27*Geometry!$E$42:$E$59+$Z27*Geometry!$D$42:$D$59))&gt;0))),Geometry!$F$42:$F$59,Geometry!$D$42:$D$59))/1000000</f>
      </c>
      <c r="DD27" s="32">
        <f>(SUMPRODUCT(alpha*fck*(1-(1-((($AA27+$AB27*Mesh_Y+$AC27*Mesh_X))*(($AA27+$AB27*Mesh_Y+$AC27*Mesh_X)&gt;0)*(($AA27+$AB27*Mesh_Y+$AC27*Mesh_X)&lt;eco)+eco*(($AA27+$AB27*Mesh_Y+$AC27*Mesh_X)&gt;=eco))/eco)^n)*((($AA27+$AB27*Mesh_Y+$AC27*Mesh_X))&gt;0),Mesh_A,Mesh_X)+SUMPRODUCT((Es*(($AA27+$AB27*Geometry!$E$42:$E$59+$AC27*Geometry!$D$42:$D$59))*(ABS(Es*(($AA27+$AB27*Geometry!$E$42:$E$59+$AC27*Geometry!$D$42:$D$59)))&lt;=fy)+fy*(Es*(($AA27+$AB27*Geometry!$E$42:$E$59+$AC27*Geometry!$D$42:$D$59))&gt;fy)-fy*(Es*(($AA27+$AB27*Geometry!$E$42:$E$59+$AC27*Geometry!$D$42:$D$59))&lt;-fy)-(alpha*fck*(1-(1-((($AA27+$AB27*Geometry!$E$42:$E$59+$AC27*Geometry!$D$42:$D$59))*(($AA27+$AB27*Geometry!$E$42:$E$59+$AC27*Geometry!$D$42:$D$59)&gt;0)*(($AA27+$AB27*Geometry!$E$42:$E$59+$AC27*Geometry!$D$42:$D$59)&lt;eco)+eco*(($AA27+$AB27*Geometry!$E$42:$E$59+$AC27*Geometry!$D$42:$D$59)&gt;=eco))/eco)^n)*((($AA27+$AB27*Geometry!$E$42:$E$59+$AC27*Geometry!$D$42:$D$59))&gt;0))),Geometry!$F$42:$F$59,Geometry!$D$42:$D$59))/1000000</f>
      </c>
      <c r="DE27" s="32">
        <f>(SUMPRODUCT(alpha*fck*(1-(1-((($AD27+$AE27*Mesh_Y+$AF27*Mesh_X))*(($AD27+$AE27*Mesh_Y+$AF27*Mesh_X)&gt;0)*(($AD27+$AE27*Mesh_Y+$AF27*Mesh_X)&lt;eco)+eco*(($AD27+$AE27*Mesh_Y+$AF27*Mesh_X)&gt;=eco))/eco)^n)*((($AD27+$AE27*Mesh_Y+$AF27*Mesh_X))&gt;0),Mesh_A,Mesh_X)+SUMPRODUCT((Es*(($AD27+$AE27*Geometry!$E$42:$E$59+$AF27*Geometry!$D$42:$D$59))*(ABS(Es*(($AD27+$AE27*Geometry!$E$42:$E$59+$AF27*Geometry!$D$42:$D$59)))&lt;=fy)+fy*(Es*(($AD27+$AE27*Geometry!$E$42:$E$59+$AF27*Geometry!$D$42:$D$59))&gt;fy)-fy*(Es*(($AD27+$AE27*Geometry!$E$42:$E$59+$AF27*Geometry!$D$42:$D$59))&lt;-fy)-(alpha*fck*(1-(1-((($AD27+$AE27*Geometry!$E$42:$E$59+$AF27*Geometry!$D$42:$D$59))*(($AD27+$AE27*Geometry!$E$42:$E$59+$AF27*Geometry!$D$42:$D$59)&gt;0)*(($AD27+$AE27*Geometry!$E$42:$E$59+$AF27*Geometry!$D$42:$D$59)&lt;eco)+eco*(($AD27+$AE27*Geometry!$E$42:$E$59+$AF27*Geometry!$D$42:$D$59)&gt;=eco))/eco)^n)*((($AD27+$AE27*Geometry!$E$42:$E$59+$AF27*Geometry!$D$42:$D$59))&gt;0))),Geometry!$F$42:$F$59,Geometry!$D$42:$D$59))/1000000</f>
      </c>
      <c r="DF27" s="32">
        <f>(SUMPRODUCT(alpha*fck*(1-(1-((($AG27+$AH27*Mesh_Y+$AI27*Mesh_X))*(($AG27+$AH27*Mesh_Y+$AI27*Mesh_X)&gt;0)*(($AG27+$AH27*Mesh_Y+$AI27*Mesh_X)&lt;eco)+eco*(($AG27+$AH27*Mesh_Y+$AI27*Mesh_X)&gt;=eco))/eco)^n)*((($AG27+$AH27*Mesh_Y+$AI27*Mesh_X))&gt;0),Mesh_A,Mesh_X)+SUMPRODUCT((Es*(($AG27+$AH27*Geometry!$E$42:$E$59+$AI27*Geometry!$D$42:$D$59))*(ABS(Es*(($AG27+$AH27*Geometry!$E$42:$E$59+$AI27*Geometry!$D$42:$D$59)))&lt;=fy)+fy*(Es*(($AG27+$AH27*Geometry!$E$42:$E$59+$AI27*Geometry!$D$42:$D$59))&gt;fy)-fy*(Es*(($AG27+$AH27*Geometry!$E$42:$E$59+$AI27*Geometry!$D$42:$D$59))&lt;-fy)-(alpha*fck*(1-(1-((($AG27+$AH27*Geometry!$E$42:$E$59+$AI27*Geometry!$D$42:$D$59))*(($AG27+$AH27*Geometry!$E$42:$E$59+$AI27*Geometry!$D$42:$D$59)&gt;0)*(($AG27+$AH27*Geometry!$E$42:$E$59+$AI27*Geometry!$D$42:$D$59)&lt;eco)+eco*(($AG27+$AH27*Geometry!$E$42:$E$59+$AI27*Geometry!$D$42:$D$59)&gt;=eco))/eco)^n)*((($AG27+$AH27*Geometry!$E$42:$E$59+$AI27*Geometry!$D$42:$D$59))&gt;0))),Geometry!$F$42:$F$59,Geometry!$D$42:$D$59))/1000000</f>
      </c>
      <c r="DG27" s="32">
        <f>(SUMPRODUCT(alpha*fck*(1-(1-((($AJ27+$AK27*Mesh_Y+$AL27*Mesh_X))*(($AJ27+$AK27*Mesh_Y+$AL27*Mesh_X)&gt;0)*(($AJ27+$AK27*Mesh_Y+$AL27*Mesh_X)&lt;eco)+eco*(($AJ27+$AK27*Mesh_Y+$AL27*Mesh_X)&gt;=eco))/eco)^n)*((($AJ27+$AK27*Mesh_Y+$AL27*Mesh_X))&gt;0),Mesh_A,Mesh_X)+SUMPRODUCT((Es*(($AJ27+$AK27*Geometry!$E$42:$E$59+$AL27*Geometry!$D$42:$D$59))*(ABS(Es*(($AJ27+$AK27*Geometry!$E$42:$E$59+$AL27*Geometry!$D$42:$D$59)))&lt;=fy)+fy*(Es*(($AJ27+$AK27*Geometry!$E$42:$E$59+$AL27*Geometry!$D$42:$D$59))&gt;fy)-fy*(Es*(($AJ27+$AK27*Geometry!$E$42:$E$59+$AL27*Geometry!$D$42:$D$59))&lt;-fy)-(alpha*fck*(1-(1-((($AJ27+$AK27*Geometry!$E$42:$E$59+$AL27*Geometry!$D$42:$D$59))*(($AJ27+$AK27*Geometry!$E$42:$E$59+$AL27*Geometry!$D$42:$D$59)&gt;0)*(($AJ27+$AK27*Geometry!$E$42:$E$59+$AL27*Geometry!$D$42:$D$59)&lt;eco)+eco*(($AJ27+$AK27*Geometry!$E$42:$E$59+$AL27*Geometry!$D$42:$D$59)&gt;=eco))/eco)^n)*((($AJ27+$AK27*Geometry!$E$42:$E$59+$AL27*Geometry!$D$42:$D$59))&gt;0))),Geometry!$F$42:$F$59,Geometry!$D$42:$D$59))/1000000</f>
      </c>
      <c r="DH27" s="32">
        <f>(SUMPRODUCT(alpha*fck*(1-(1-((($AM27+$AN27*Mesh_Y+$AO27*Mesh_X))*(($AM27+$AN27*Mesh_Y+$AO27*Mesh_X)&gt;0)*(($AM27+$AN27*Mesh_Y+$AO27*Mesh_X)&lt;eco)+eco*(($AM27+$AN27*Mesh_Y+$AO27*Mesh_X)&gt;=eco))/eco)^n)*((($AM27+$AN27*Mesh_Y+$AO27*Mesh_X))&gt;0),Mesh_A,Mesh_X)+SUMPRODUCT((Es*(($AM27+$AN27*Geometry!$E$42:$E$59+$AO27*Geometry!$D$42:$D$59))*(ABS(Es*(($AM27+$AN27*Geometry!$E$42:$E$59+$AO27*Geometry!$D$42:$D$59)))&lt;=fy)+fy*(Es*(($AM27+$AN27*Geometry!$E$42:$E$59+$AO27*Geometry!$D$42:$D$59))&gt;fy)-fy*(Es*(($AM27+$AN27*Geometry!$E$42:$E$59+$AO27*Geometry!$D$42:$D$59))&lt;-fy)-(alpha*fck*(1-(1-((($AM27+$AN27*Geometry!$E$42:$E$59+$AO27*Geometry!$D$42:$D$59))*(($AM27+$AN27*Geometry!$E$42:$E$59+$AO27*Geometry!$D$42:$D$59)&gt;0)*(($AM27+$AN27*Geometry!$E$42:$E$59+$AO27*Geometry!$D$42:$D$59)&lt;eco)+eco*(($AM27+$AN27*Geometry!$E$42:$E$59+$AO27*Geometry!$D$42:$D$59)&gt;=eco))/eco)^n)*((($AM27+$AN27*Geometry!$E$42:$E$59+$AO27*Geometry!$D$42:$D$59))&gt;0))),Geometry!$F$42:$F$59,Geometry!$D$42:$D$59))/1000000</f>
      </c>
      <c r="DI27" s="32">
        <f>(SUMPRODUCT(alpha*fck*(1-(1-((($AP27+$AQ27*Mesh_Y+$AR27*Mesh_X))*(($AP27+$AQ27*Mesh_Y+$AR27*Mesh_X)&gt;0)*(($AP27+$AQ27*Mesh_Y+$AR27*Mesh_X)&lt;eco)+eco*(($AP27+$AQ27*Mesh_Y+$AR27*Mesh_X)&gt;=eco))/eco)^n)*((($AP27+$AQ27*Mesh_Y+$AR27*Mesh_X))&gt;0),Mesh_A,Mesh_X)+SUMPRODUCT((Es*(($AP27+$AQ27*Geometry!$E$42:$E$59+$AR27*Geometry!$D$42:$D$59))*(ABS(Es*(($AP27+$AQ27*Geometry!$E$42:$E$59+$AR27*Geometry!$D$42:$D$59)))&lt;=fy)+fy*(Es*(($AP27+$AQ27*Geometry!$E$42:$E$59+$AR27*Geometry!$D$42:$D$59))&gt;fy)-fy*(Es*(($AP27+$AQ27*Geometry!$E$42:$E$59+$AR27*Geometry!$D$42:$D$59))&lt;-fy)-(alpha*fck*(1-(1-((($AP27+$AQ27*Geometry!$E$42:$E$59+$AR27*Geometry!$D$42:$D$59))*(($AP27+$AQ27*Geometry!$E$42:$E$59+$AR27*Geometry!$D$42:$D$59)&gt;0)*(($AP27+$AQ27*Geometry!$E$42:$E$59+$AR27*Geometry!$D$42:$D$59)&lt;eco)+eco*(($AP27+$AQ27*Geometry!$E$42:$E$59+$AR27*Geometry!$D$42:$D$59)&gt;=eco))/eco)^n)*((($AP27+$AQ27*Geometry!$E$42:$E$59+$AR27*Geometry!$D$42:$D$59))&gt;0))),Geometry!$F$42:$F$59,Geometry!$D$42:$D$59))/1000000</f>
      </c>
      <c r="DJ27" s="32">
        <f>(SUMPRODUCT(alpha*fck*(1-(1-((($AS27+$AT27*Mesh_Y+$AU27*Mesh_X))*(($AS27+$AT27*Mesh_Y+$AU27*Mesh_X)&gt;0)*(($AS27+$AT27*Mesh_Y+$AU27*Mesh_X)&lt;eco)+eco*(($AS27+$AT27*Mesh_Y+$AU27*Mesh_X)&gt;=eco))/eco)^n)*((($AS27+$AT27*Mesh_Y+$AU27*Mesh_X))&gt;0),Mesh_A,Mesh_X)+SUMPRODUCT((Es*(($AS27+$AT27*Geometry!$E$42:$E$59+$AU27*Geometry!$D$42:$D$59))*(ABS(Es*(($AS27+$AT27*Geometry!$E$42:$E$59+$AU27*Geometry!$D$42:$D$59)))&lt;=fy)+fy*(Es*(($AS27+$AT27*Geometry!$E$42:$E$59+$AU27*Geometry!$D$42:$D$59))&gt;fy)-fy*(Es*(($AS27+$AT27*Geometry!$E$42:$E$59+$AU27*Geometry!$D$42:$D$59))&lt;-fy)-(alpha*fck*(1-(1-((($AS27+$AT27*Geometry!$E$42:$E$59+$AU27*Geometry!$D$42:$D$59))*(($AS27+$AT27*Geometry!$E$42:$E$59+$AU27*Geometry!$D$42:$D$59)&gt;0)*(($AS27+$AT27*Geometry!$E$42:$E$59+$AU27*Geometry!$D$42:$D$59)&lt;eco)+eco*(($AS27+$AT27*Geometry!$E$42:$E$59+$AU27*Geometry!$D$42:$D$59)&gt;=eco))/eco)^n)*((($AS27+$AT27*Geometry!$E$42:$E$59+$AU27*Geometry!$D$42:$D$59))&gt;0))),Geometry!$F$42:$F$59,Geometry!$D$42:$D$59))/1000000</f>
      </c>
      <c r="DK27" s="32">
        <f>(SUMPRODUCT(alpha*fck*(1-(1-((($AV27+$AW27*Mesh_Y+$AX27*Mesh_X))*(($AV27+$AW27*Mesh_Y+$AX27*Mesh_X)&gt;0)*(($AV27+$AW27*Mesh_Y+$AX27*Mesh_X)&lt;eco)+eco*(($AV27+$AW27*Mesh_Y+$AX27*Mesh_X)&gt;=eco))/eco)^n)*((($AV27+$AW27*Mesh_Y+$AX27*Mesh_X))&gt;0),Mesh_A,Mesh_X)+SUMPRODUCT((Es*(($AV27+$AW27*Geometry!$E$42:$E$59+$AX27*Geometry!$D$42:$D$59))*(ABS(Es*(($AV27+$AW27*Geometry!$E$42:$E$59+$AX27*Geometry!$D$42:$D$59)))&lt;=fy)+fy*(Es*(($AV27+$AW27*Geometry!$E$42:$E$59+$AX27*Geometry!$D$42:$D$59))&gt;fy)-fy*(Es*(($AV27+$AW27*Geometry!$E$42:$E$59+$AX27*Geometry!$D$42:$D$59))&lt;-fy)-(alpha*fck*(1-(1-((($AV27+$AW27*Geometry!$E$42:$E$59+$AX27*Geometry!$D$42:$D$59))*(($AV27+$AW27*Geometry!$E$42:$E$59+$AX27*Geometry!$D$42:$D$59)&gt;0)*(($AV27+$AW27*Geometry!$E$42:$E$59+$AX27*Geometry!$D$42:$D$59)&lt;eco)+eco*(($AV27+$AW27*Geometry!$E$42:$E$59+$AX27*Geometry!$D$42:$D$59)&gt;=eco))/eco)^n)*((($AV27+$AW27*Geometry!$E$42:$E$59+$AX27*Geometry!$D$42:$D$59))&gt;0))),Geometry!$F$42:$F$59,Geometry!$D$42:$D$59))/1000000</f>
      </c>
      <c r="DL27" s="32">
        <f>(SUMPRODUCT(alpha*fck*(1-(1-((($AY27+$AZ27*Mesh_Y+$BA27*Mesh_X))*(($AY27+$AZ27*Mesh_Y+$BA27*Mesh_X)&gt;0)*(($AY27+$AZ27*Mesh_Y+$BA27*Mesh_X)&lt;eco)+eco*(($AY27+$AZ27*Mesh_Y+$BA27*Mesh_X)&gt;=eco))/eco)^n)*((($AY27+$AZ27*Mesh_Y+$BA27*Mesh_X))&gt;0),Mesh_A,Mesh_X)+SUMPRODUCT((Es*(($AY27+$AZ27*Geometry!$E$42:$E$59+$BA27*Geometry!$D$42:$D$59))*(ABS(Es*(($AY27+$AZ27*Geometry!$E$42:$E$59+$BA27*Geometry!$D$42:$D$59)))&lt;=fy)+fy*(Es*(($AY27+$AZ27*Geometry!$E$42:$E$59+$BA27*Geometry!$D$42:$D$59))&gt;fy)-fy*(Es*(($AY27+$AZ27*Geometry!$E$42:$E$59+$BA27*Geometry!$D$42:$D$59))&lt;-fy)-(alpha*fck*(1-(1-((($AY27+$AZ27*Geometry!$E$42:$E$59+$BA27*Geometry!$D$42:$D$59))*(($AY27+$AZ27*Geometry!$E$42:$E$59+$BA27*Geometry!$D$42:$D$59)&gt;0)*(($AY27+$AZ27*Geometry!$E$42:$E$59+$BA27*Geometry!$D$42:$D$59)&lt;eco)+eco*(($AY27+$AZ27*Geometry!$E$42:$E$59+$BA27*Geometry!$D$42:$D$59)&gt;=eco))/eco)^n)*((($AY27+$AZ27*Geometry!$E$42:$E$59+$BA27*Geometry!$D$42:$D$59))&gt;0))),Geometry!$F$42:$F$59,Geometry!$D$42:$D$59))/1000000</f>
      </c>
      <c r="DM27" s="32">
        <f>(SUMPRODUCT(alpha*fck*(1-(1-((($BB27+$BC27*Mesh_Y+$BD27*Mesh_X))*(($BB27+$BC27*Mesh_Y+$BD27*Mesh_X)&gt;0)*(($BB27+$BC27*Mesh_Y+$BD27*Mesh_X)&lt;eco)+eco*(($BB27+$BC27*Mesh_Y+$BD27*Mesh_X)&gt;=eco))/eco)^n)*((($BB27+$BC27*Mesh_Y+$BD27*Mesh_X))&gt;0),Mesh_A,Mesh_X)+SUMPRODUCT((Es*(($BB27+$BC27*Geometry!$E$42:$E$59+$BD27*Geometry!$D$42:$D$59))*(ABS(Es*(($BB27+$BC27*Geometry!$E$42:$E$59+$BD27*Geometry!$D$42:$D$59)))&lt;=fy)+fy*(Es*(($BB27+$BC27*Geometry!$E$42:$E$59+$BD27*Geometry!$D$42:$D$59))&gt;fy)-fy*(Es*(($BB27+$BC27*Geometry!$E$42:$E$59+$BD27*Geometry!$D$42:$D$59))&lt;-fy)-(alpha*fck*(1-(1-((($BB27+$BC27*Geometry!$E$42:$E$59+$BD27*Geometry!$D$42:$D$59))*(($BB27+$BC27*Geometry!$E$42:$E$59+$BD27*Geometry!$D$42:$D$59)&gt;0)*(($BB27+$BC27*Geometry!$E$42:$E$59+$BD27*Geometry!$D$42:$D$59)&lt;eco)+eco*(($BB27+$BC27*Geometry!$E$42:$E$59+$BD27*Geometry!$D$42:$D$59)&gt;=eco))/eco)^n)*((($BB27+$BC27*Geometry!$E$42:$E$59+$BD27*Geometry!$D$42:$D$59))&gt;0))),Geometry!$F$42:$F$59,Geometry!$D$42:$D$59))/1000000</f>
      </c>
      <c r="DN27" s="32">
        <f>(SUMPRODUCT(alpha*fck*(1-(1-((($BE27+$BF27*Mesh_Y+$BG27*Mesh_X))*(($BE27+$BF27*Mesh_Y+$BG27*Mesh_X)&gt;0)*(($BE27+$BF27*Mesh_Y+$BG27*Mesh_X)&lt;eco)+eco*(($BE27+$BF27*Mesh_Y+$BG27*Mesh_X)&gt;=eco))/eco)^n)*((($BE27+$BF27*Mesh_Y+$BG27*Mesh_X))&gt;0),Mesh_A,Mesh_X)+SUMPRODUCT((Es*(($BE27+$BF27*Geometry!$E$42:$E$59+$BG27*Geometry!$D$42:$D$59))*(ABS(Es*(($BE27+$BF27*Geometry!$E$42:$E$59+$BG27*Geometry!$D$42:$D$59)))&lt;=fy)+fy*(Es*(($BE27+$BF27*Geometry!$E$42:$E$59+$BG27*Geometry!$D$42:$D$59))&gt;fy)-fy*(Es*(($BE27+$BF27*Geometry!$E$42:$E$59+$BG27*Geometry!$D$42:$D$59))&lt;-fy)-(alpha*fck*(1-(1-((($BE27+$BF27*Geometry!$E$42:$E$59+$BG27*Geometry!$D$42:$D$59))*(($BE27+$BF27*Geometry!$E$42:$E$59+$BG27*Geometry!$D$42:$D$59)&gt;0)*(($BE27+$BF27*Geometry!$E$42:$E$59+$BG27*Geometry!$D$42:$D$59)&lt;eco)+eco*(($BE27+$BF27*Geometry!$E$42:$E$59+$BG27*Geometry!$D$42:$D$59)&gt;=eco))/eco)^n)*((($BE27+$BF27*Geometry!$E$42:$E$59+$BG27*Geometry!$D$42:$D$59))&gt;0))),Geometry!$F$42:$F$59,Geometry!$D$42:$D$59))/1000000</f>
      </c>
      <c r="DO27" s="32">
        <f>(SUMPRODUCT(alpha*fck*(1-(1-((($BH27+$BI27*Mesh_Y+$BJ27*Mesh_X))*(($BH27+$BI27*Mesh_Y+$BJ27*Mesh_X)&gt;0)*(($BH27+$BI27*Mesh_Y+$BJ27*Mesh_X)&lt;eco)+eco*(($BH27+$BI27*Mesh_Y+$BJ27*Mesh_X)&gt;=eco))/eco)^n)*((($BH27+$BI27*Mesh_Y+$BJ27*Mesh_X))&gt;0),Mesh_A,Mesh_X)+SUMPRODUCT((Es*(($BH27+$BI27*Geometry!$E$42:$E$59+$BJ27*Geometry!$D$42:$D$59))*(ABS(Es*(($BH27+$BI27*Geometry!$E$42:$E$59+$BJ27*Geometry!$D$42:$D$59)))&lt;=fy)+fy*(Es*(($BH27+$BI27*Geometry!$E$42:$E$59+$BJ27*Geometry!$D$42:$D$59))&gt;fy)-fy*(Es*(($BH27+$BI27*Geometry!$E$42:$E$59+$BJ27*Geometry!$D$42:$D$59))&lt;-fy)-(alpha*fck*(1-(1-((($BH27+$BI27*Geometry!$E$42:$E$59+$BJ27*Geometry!$D$42:$D$59))*(($BH27+$BI27*Geometry!$E$42:$E$59+$BJ27*Geometry!$D$42:$D$59)&gt;0)*(($BH27+$BI27*Geometry!$E$42:$E$59+$BJ27*Geometry!$D$42:$D$59)&lt;eco)+eco*(($BH27+$BI27*Geometry!$E$42:$E$59+$BJ27*Geometry!$D$42:$D$59)&gt;=eco))/eco)^n)*((($BH27+$BI27*Geometry!$E$42:$E$59+$BJ27*Geometry!$D$42:$D$59))&gt;0))),Geometry!$F$42:$F$59,Geometry!$D$42:$D$59))/1000000</f>
      </c>
      <c r="DP27" s="45">
        <f>MAX(1,MIN(18,SUMPRODUCT(--($BK27:$CC27&gt;=Pu))))</f>
      </c>
      <c r="DQ27" s="46">
        <f>(Pu-INDEX($BK27:$CC27,1,$DP27))/(INDEX($BK27:$CC27,1,$DP27+1)-INDEX($BK27:$CC27,1,$DP27))</f>
      </c>
      <c r="DR27" s="33">
        <f>INDEX($CD27:$CV27,1,$DP27)+$DQ27*(INDEX($CD27:$CV27,1,$DP27+1)-INDEX($CD27:$CV27,1,$DP27))</f>
      </c>
      <c r="DS27" s="33">
        <f>INDEX($CW27:$DO27,1,$DP27)+$DQ27*(INDEX($CW27:$DO27,1,$DP27+1)-INDEX($CW27:$DO27,1,$DP27))</f>
      </c>
      <c r="DT27" s="33">
        <f>SQRT(DR27^2+DS27^2)</f>
      </c>
    </row>
    <row r="28" spans="1:124" x14ac:dyDescent="0.25">
      <c r="A28">
        <v>21</v>
      </c>
      <c r="B28" s="43">
        <v>300</v>
      </c>
      <c r="C28" s="12">
        <f>MAX(SUMPRODUCT(MAX((Geometry!$E$6:$E$13)*COS(RADIANS($B28))+(Geometry!$D$6:$D$13)*SIN(RADIANS($B28)))))</f>
      </c>
      <c r="D28" s="12">
        <f>SUMPRODUCT(MIN((Geometry!$E$42:$E$59)*COS(RADIANS($B28))+(Geometry!$D$42:$D$59)*SIN(RADIANS($B28))))</f>
      </c>
      <c r="E28" s="12">
        <f>C28-D28</f>
      </c>
      <c r="F28" s="30">
        <f>ecu</f>
      </c>
      <c r="G28" s="44">
        <f>0*COS(RADIANS($B28))</f>
      </c>
      <c r="H28" s="44">
        <f>0*SIN(RADIANS($B28))</f>
      </c>
      <c r="I28" s="30">
        <f>ecu-((ecu-0)/($C28-($C28-PM_Angle!$C$8*$E28)))*$C28</f>
      </c>
      <c r="J28" s="44">
        <f>((ecu-0)/($C28-($C28-PM_Angle!$C$8*$E28)))*COS(RADIANS($B28))</f>
      </c>
      <c r="K28" s="44">
        <f>((ecu-0)/($C28-($C28-PM_Angle!$C$8*$E28)))*SIN(RADIANS($B28))</f>
      </c>
      <c r="L28" s="30">
        <f>ecu-((ecu-0)/($C28-($C28-PM_Angle!$C$9*$E28)))*$C28</f>
      </c>
      <c r="M28" s="44">
        <f>((ecu-0)/($C28-($C28-PM_Angle!$C$9*$E28)))*COS(RADIANS($B28))</f>
      </c>
      <c r="N28" s="44">
        <f>((ecu-0)/($C28-($C28-PM_Angle!$C$9*$E28)))*SIN(RADIANS($B28))</f>
      </c>
      <c r="O28" s="30">
        <f>ecu-((ecu-0)/($C28-($C28-PM_Angle!$C$10*$E28)))*$C28</f>
      </c>
      <c r="P28" s="44">
        <f>((ecu-0)/($C28-($C28-PM_Angle!$C$10*$E28)))*COS(RADIANS($B28))</f>
      </c>
      <c r="Q28" s="44">
        <f>((ecu-0)/($C28-($C28-PM_Angle!$C$10*$E28)))*SIN(RADIANS($B28))</f>
      </c>
      <c r="R28" s="30">
        <f>ecu-((ecu-0)/($C28-($C28-PM_Angle!$C$11*$E28)))*$C28</f>
      </c>
      <c r="S28" s="44">
        <f>((ecu-0)/($C28-($C28-PM_Angle!$C$11*$E28)))*COS(RADIANS($B28))</f>
      </c>
      <c r="T28" s="44">
        <f>((ecu-0)/($C28-($C28-PM_Angle!$C$11*$E28)))*SIN(RADIANS($B28))</f>
      </c>
      <c r="U28" s="30">
        <f>ecu-((ecu-(-PM_Angle!$E$12))/($C28-$D28))*$C28</f>
      </c>
      <c r="V28" s="44">
        <f>((ecu-(-PM_Angle!$E$12))/($C28-$D28))*COS(RADIANS($B28))</f>
      </c>
      <c r="W28" s="44">
        <f>((ecu-(-PM_Angle!$E$12))/($C28-$D28))*SIN(RADIANS($B28))</f>
      </c>
      <c r="X28" s="30">
        <f>ecu-((ecu-(-PM_Angle!$D$13*fy/Es))/($C28-$D28))*$C28</f>
      </c>
      <c r="Y28" s="44">
        <f>((ecu-(-PM_Angle!$D$13*fy/Es))/($C28-$D28))*COS(RADIANS($B28))</f>
      </c>
      <c r="Z28" s="44">
        <f>((ecu-(-PM_Angle!$D$13*fy/Es))/($C28-$D28))*SIN(RADIANS($B28))</f>
      </c>
      <c r="AA28" s="30">
        <f>ecu-((ecu-(-PM_Angle!$D$14*fy/Es))/($C28-$D28))*$C28</f>
      </c>
      <c r="AB28" s="44">
        <f>((ecu-(-PM_Angle!$D$14*fy/Es))/($C28-$D28))*COS(RADIANS($B28))</f>
      </c>
      <c r="AC28" s="44">
        <f>((ecu-(-PM_Angle!$D$14*fy/Es))/($C28-$D28))*SIN(RADIANS($B28))</f>
      </c>
      <c r="AD28" s="30">
        <f>ecu-((ecu-(-PM_Angle!$D$15*fy/Es))/($C28-$D28))*$C28</f>
      </c>
      <c r="AE28" s="44">
        <f>((ecu-(-PM_Angle!$D$15*fy/Es))/($C28-$D28))*COS(RADIANS($B28))</f>
      </c>
      <c r="AF28" s="44">
        <f>((ecu-(-PM_Angle!$D$15*fy/Es))/($C28-$D28))*SIN(RADIANS($B28))</f>
      </c>
      <c r="AG28" s="30">
        <f>ecu-((ecu-(-PM_Angle!$D$16*fy/Es))/($C28-$D28))*$C28</f>
      </c>
      <c r="AH28" s="44">
        <f>((ecu-(-PM_Angle!$D$16*fy/Es))/($C28-$D28))*COS(RADIANS($B28))</f>
      </c>
      <c r="AI28" s="44">
        <f>((ecu-(-PM_Angle!$D$16*fy/Es))/($C28-$D28))*SIN(RADIANS($B28))</f>
      </c>
      <c r="AJ28" s="30">
        <f>ecu-((ecu-(-PM_Angle!$E$17))/($C28-$D28))*$C28</f>
      </c>
      <c r="AK28" s="44">
        <f>((ecu-(-PM_Angle!$E$17))/($C28-$D28))*COS(RADIANS($B28))</f>
      </c>
      <c r="AL28" s="44">
        <f>((ecu-(-PM_Angle!$E$17))/($C28-$D28))*SIN(RADIANS($B28))</f>
      </c>
      <c r="AM28" s="30">
        <f>ecu-((ecu-(-PM_Angle!$E$18))/($C28-$D28))*$C28</f>
      </c>
      <c r="AN28" s="44">
        <f>((ecu-(-PM_Angle!$E$18))/($C28-$D28))*COS(RADIANS($B28))</f>
      </c>
      <c r="AO28" s="44">
        <f>((ecu-(-PM_Angle!$E$18))/($C28-$D28))*SIN(RADIANS($B28))</f>
      </c>
      <c r="AP28" s="30">
        <f>ecu-((ecu-(-PM_Angle!$E$19))/($C28-$D28))*$C28</f>
      </c>
      <c r="AQ28" s="44">
        <f>((ecu-(-PM_Angle!$E$19))/($C28-$D28))*COS(RADIANS($B28))</f>
      </c>
      <c r="AR28" s="44">
        <f>((ecu-(-PM_Angle!$E$19))/($C28-$D28))*SIN(RADIANS($B28))</f>
      </c>
      <c r="AS28" s="30">
        <f>ecu-((ecu-(-PM_Angle!$E$20))/($C28-$D28))*$C28</f>
      </c>
      <c r="AT28" s="44">
        <f>((ecu-(-PM_Angle!$E$20))/($C28-$D28))*COS(RADIANS($B28))</f>
      </c>
      <c r="AU28" s="44">
        <f>((ecu-(-PM_Angle!$E$20))/($C28-$D28))*SIN(RADIANS($B28))</f>
      </c>
      <c r="AV28" s="30">
        <f>ecu-((ecu-(-PM_Angle!$E$21))/($C28-$D28))*$C28</f>
      </c>
      <c r="AW28" s="44">
        <f>((ecu-(-PM_Angle!$E$21))/($C28-$D28))*COS(RADIANS($B28))</f>
      </c>
      <c r="AX28" s="44">
        <f>((ecu-(-PM_Angle!$E$21))/($C28-$D28))*SIN(RADIANS($B28))</f>
      </c>
      <c r="AY28" s="30">
        <f>ecu-((ecu-(-PM_Angle!$E$22))/($C28-$D28))*$C28</f>
      </c>
      <c r="AZ28" s="44">
        <f>((ecu-(-PM_Angle!$E$22))/($C28-$D28))*COS(RADIANS($B28))</f>
      </c>
      <c r="BA28" s="44">
        <f>((ecu-(-PM_Angle!$E$22))/($C28-$D28))*SIN(RADIANS($B28))</f>
      </c>
      <c r="BB28" s="30">
        <f>ecu-((ecu-(-PM_Angle!$E$23))/($C28-$D28))*$C28</f>
      </c>
      <c r="BC28" s="44">
        <f>((ecu-(-PM_Angle!$E$23))/($C28-$D28))*COS(RADIANS($B28))</f>
      </c>
      <c r="BD28" s="44">
        <f>((ecu-(-PM_Angle!$E$23))/($C28-$D28))*SIN(RADIANS($B28))</f>
      </c>
      <c r="BE28" s="30">
        <f>ecu-((ecu-(-PM_Angle!$E$24))/($C28-$D28))*$C28</f>
      </c>
      <c r="BF28" s="44">
        <f>((ecu-(-PM_Angle!$E$24))/($C28-$D28))*COS(RADIANS($B28))</f>
      </c>
      <c r="BG28" s="44">
        <f>((ecu-(-PM_Angle!$E$24))/($C28-$D28))*SIN(RADIANS($B28))</f>
      </c>
      <c r="BH28" s="30">
        <f>etu</f>
      </c>
      <c r="BI28" s="44">
        <f>0*COS(RADIANS($B28))</f>
      </c>
      <c r="BJ28" s="44">
        <f>0*SIN(RADIANS($B28))</f>
      </c>
      <c r="BK28" s="32">
        <f>(SUMPRODUCT(alpha*fck*(1-(1-((($F28+$G28*Mesh_Y+$H28*Mesh_X))*(($F28+$G28*Mesh_Y+$H28*Mesh_X)&gt;0)*(($F28+$G28*Mesh_Y+$H28*Mesh_X)&lt;eco)+eco*(($F28+$G28*Mesh_Y+$H28*Mesh_X)&gt;=eco))/eco)^n)*((($F28+$G28*Mesh_Y+$H28*Mesh_X))&gt;0),Mesh_A)+SUMPRODUCT((Es*(($F28+$G28*Geometry!$E$42:$E$59+$H28*Geometry!$D$42:$D$59))*(ABS(Es*(($F28+$G28*Geometry!$E$42:$E$59+$H28*Geometry!$D$42:$D$59)))&lt;=fy)+fy*(Es*(($F28+$G28*Geometry!$E$42:$E$59+$H28*Geometry!$D$42:$D$59))&gt;fy)-fy*(Es*(($F28+$G28*Geometry!$E$42:$E$59+$H28*Geometry!$D$42:$D$59))&lt;-fy)-(alpha*fck*(1-(1-((($F28+$G28*Geometry!$E$42:$E$59+$H28*Geometry!$D$42:$D$59))*(($F28+$G28*Geometry!$E$42:$E$59+$H28*Geometry!$D$42:$D$59)&gt;0)*(($F28+$G28*Geometry!$E$42:$E$59+$H28*Geometry!$D$42:$D$59)&lt;eco)+eco*(($F28+$G28*Geometry!$E$42:$E$59+$H28*Geometry!$D$42:$D$59)&gt;=eco))/eco)^n)*((($F28+$G28*Geometry!$E$42:$E$59+$H28*Geometry!$D$42:$D$59))&gt;0))),Geometry!$F$42:$F$59))/1000</f>
      </c>
      <c r="BL28" s="32">
        <f>(SUMPRODUCT(alpha*fck*(1-(1-((($I28+$J28*Mesh_Y+$K28*Mesh_X))*(($I28+$J28*Mesh_Y+$K28*Mesh_X)&gt;0)*(($I28+$J28*Mesh_Y+$K28*Mesh_X)&lt;eco)+eco*(($I28+$J28*Mesh_Y+$K28*Mesh_X)&gt;=eco))/eco)^n)*((($I28+$J28*Mesh_Y+$K28*Mesh_X))&gt;0),Mesh_A)+SUMPRODUCT((Es*(($I28+$J28*Geometry!$E$42:$E$59+$K28*Geometry!$D$42:$D$59))*(ABS(Es*(($I28+$J28*Geometry!$E$42:$E$59+$K28*Geometry!$D$42:$D$59)))&lt;=fy)+fy*(Es*(($I28+$J28*Geometry!$E$42:$E$59+$K28*Geometry!$D$42:$D$59))&gt;fy)-fy*(Es*(($I28+$J28*Geometry!$E$42:$E$59+$K28*Geometry!$D$42:$D$59))&lt;-fy)-(alpha*fck*(1-(1-((($I28+$J28*Geometry!$E$42:$E$59+$K28*Geometry!$D$42:$D$59))*(($I28+$J28*Geometry!$E$42:$E$59+$K28*Geometry!$D$42:$D$59)&gt;0)*(($I28+$J28*Geometry!$E$42:$E$59+$K28*Geometry!$D$42:$D$59)&lt;eco)+eco*(($I28+$J28*Geometry!$E$42:$E$59+$K28*Geometry!$D$42:$D$59)&gt;=eco))/eco)^n)*((($I28+$J28*Geometry!$E$42:$E$59+$K28*Geometry!$D$42:$D$59))&gt;0))),Geometry!$F$42:$F$59))/1000</f>
      </c>
      <c r="BM28" s="32">
        <f>(SUMPRODUCT(alpha*fck*(1-(1-((($L28+$M28*Mesh_Y+$N28*Mesh_X))*(($L28+$M28*Mesh_Y+$N28*Mesh_X)&gt;0)*(($L28+$M28*Mesh_Y+$N28*Mesh_X)&lt;eco)+eco*(($L28+$M28*Mesh_Y+$N28*Mesh_X)&gt;=eco))/eco)^n)*((($L28+$M28*Mesh_Y+$N28*Mesh_X))&gt;0),Mesh_A)+SUMPRODUCT((Es*(($L28+$M28*Geometry!$E$42:$E$59+$N28*Geometry!$D$42:$D$59))*(ABS(Es*(($L28+$M28*Geometry!$E$42:$E$59+$N28*Geometry!$D$42:$D$59)))&lt;=fy)+fy*(Es*(($L28+$M28*Geometry!$E$42:$E$59+$N28*Geometry!$D$42:$D$59))&gt;fy)-fy*(Es*(($L28+$M28*Geometry!$E$42:$E$59+$N28*Geometry!$D$42:$D$59))&lt;-fy)-(alpha*fck*(1-(1-((($L28+$M28*Geometry!$E$42:$E$59+$N28*Geometry!$D$42:$D$59))*(($L28+$M28*Geometry!$E$42:$E$59+$N28*Geometry!$D$42:$D$59)&gt;0)*(($L28+$M28*Geometry!$E$42:$E$59+$N28*Geometry!$D$42:$D$59)&lt;eco)+eco*(($L28+$M28*Geometry!$E$42:$E$59+$N28*Geometry!$D$42:$D$59)&gt;=eco))/eco)^n)*((($L28+$M28*Geometry!$E$42:$E$59+$N28*Geometry!$D$42:$D$59))&gt;0))),Geometry!$F$42:$F$59))/1000</f>
      </c>
      <c r="BN28" s="32">
        <f>(SUMPRODUCT(alpha*fck*(1-(1-((($O28+$P28*Mesh_Y+$Q28*Mesh_X))*(($O28+$P28*Mesh_Y+$Q28*Mesh_X)&gt;0)*(($O28+$P28*Mesh_Y+$Q28*Mesh_X)&lt;eco)+eco*(($O28+$P28*Mesh_Y+$Q28*Mesh_X)&gt;=eco))/eco)^n)*((($O28+$P28*Mesh_Y+$Q28*Mesh_X))&gt;0),Mesh_A)+SUMPRODUCT((Es*(($O28+$P28*Geometry!$E$42:$E$59+$Q28*Geometry!$D$42:$D$59))*(ABS(Es*(($O28+$P28*Geometry!$E$42:$E$59+$Q28*Geometry!$D$42:$D$59)))&lt;=fy)+fy*(Es*(($O28+$P28*Geometry!$E$42:$E$59+$Q28*Geometry!$D$42:$D$59))&gt;fy)-fy*(Es*(($O28+$P28*Geometry!$E$42:$E$59+$Q28*Geometry!$D$42:$D$59))&lt;-fy)-(alpha*fck*(1-(1-((($O28+$P28*Geometry!$E$42:$E$59+$Q28*Geometry!$D$42:$D$59))*(($O28+$P28*Geometry!$E$42:$E$59+$Q28*Geometry!$D$42:$D$59)&gt;0)*(($O28+$P28*Geometry!$E$42:$E$59+$Q28*Geometry!$D$42:$D$59)&lt;eco)+eco*(($O28+$P28*Geometry!$E$42:$E$59+$Q28*Geometry!$D$42:$D$59)&gt;=eco))/eco)^n)*((($O28+$P28*Geometry!$E$42:$E$59+$Q28*Geometry!$D$42:$D$59))&gt;0))),Geometry!$F$42:$F$59))/1000</f>
      </c>
      <c r="BO28" s="32">
        <f>(SUMPRODUCT(alpha*fck*(1-(1-((($R28+$S28*Mesh_Y+$T28*Mesh_X))*(($R28+$S28*Mesh_Y+$T28*Mesh_X)&gt;0)*(($R28+$S28*Mesh_Y+$T28*Mesh_X)&lt;eco)+eco*(($R28+$S28*Mesh_Y+$T28*Mesh_X)&gt;=eco))/eco)^n)*((($R28+$S28*Mesh_Y+$T28*Mesh_X))&gt;0),Mesh_A)+SUMPRODUCT((Es*(($R28+$S28*Geometry!$E$42:$E$59+$T28*Geometry!$D$42:$D$59))*(ABS(Es*(($R28+$S28*Geometry!$E$42:$E$59+$T28*Geometry!$D$42:$D$59)))&lt;=fy)+fy*(Es*(($R28+$S28*Geometry!$E$42:$E$59+$T28*Geometry!$D$42:$D$59))&gt;fy)-fy*(Es*(($R28+$S28*Geometry!$E$42:$E$59+$T28*Geometry!$D$42:$D$59))&lt;-fy)-(alpha*fck*(1-(1-((($R28+$S28*Geometry!$E$42:$E$59+$T28*Geometry!$D$42:$D$59))*(($R28+$S28*Geometry!$E$42:$E$59+$T28*Geometry!$D$42:$D$59)&gt;0)*(($R28+$S28*Geometry!$E$42:$E$59+$T28*Geometry!$D$42:$D$59)&lt;eco)+eco*(($R28+$S28*Geometry!$E$42:$E$59+$T28*Geometry!$D$42:$D$59)&gt;=eco))/eco)^n)*((($R28+$S28*Geometry!$E$42:$E$59+$T28*Geometry!$D$42:$D$59))&gt;0))),Geometry!$F$42:$F$59))/1000</f>
      </c>
      <c r="BP28" s="32">
        <f>(SUMPRODUCT(alpha*fck*(1-(1-((($U28+$V28*Mesh_Y+$W28*Mesh_X))*(($U28+$V28*Mesh_Y+$W28*Mesh_X)&gt;0)*(($U28+$V28*Mesh_Y+$W28*Mesh_X)&lt;eco)+eco*(($U28+$V28*Mesh_Y+$W28*Mesh_X)&gt;=eco))/eco)^n)*((($U28+$V28*Mesh_Y+$W28*Mesh_X))&gt;0),Mesh_A)+SUMPRODUCT((Es*(($U28+$V28*Geometry!$E$42:$E$59+$W28*Geometry!$D$42:$D$59))*(ABS(Es*(($U28+$V28*Geometry!$E$42:$E$59+$W28*Geometry!$D$42:$D$59)))&lt;=fy)+fy*(Es*(($U28+$V28*Geometry!$E$42:$E$59+$W28*Geometry!$D$42:$D$59))&gt;fy)-fy*(Es*(($U28+$V28*Geometry!$E$42:$E$59+$W28*Geometry!$D$42:$D$59))&lt;-fy)-(alpha*fck*(1-(1-((($U28+$V28*Geometry!$E$42:$E$59+$W28*Geometry!$D$42:$D$59))*(($U28+$V28*Geometry!$E$42:$E$59+$W28*Geometry!$D$42:$D$59)&gt;0)*(($U28+$V28*Geometry!$E$42:$E$59+$W28*Geometry!$D$42:$D$59)&lt;eco)+eco*(($U28+$V28*Geometry!$E$42:$E$59+$W28*Geometry!$D$42:$D$59)&gt;=eco))/eco)^n)*((($U28+$V28*Geometry!$E$42:$E$59+$W28*Geometry!$D$42:$D$59))&gt;0))),Geometry!$F$42:$F$59))/1000</f>
      </c>
      <c r="BQ28" s="32">
        <f>(SUMPRODUCT(alpha*fck*(1-(1-((($X28+$Y28*Mesh_Y+$Z28*Mesh_X))*(($X28+$Y28*Mesh_Y+$Z28*Mesh_X)&gt;0)*(($X28+$Y28*Mesh_Y+$Z28*Mesh_X)&lt;eco)+eco*(($X28+$Y28*Mesh_Y+$Z28*Mesh_X)&gt;=eco))/eco)^n)*((($X28+$Y28*Mesh_Y+$Z28*Mesh_X))&gt;0),Mesh_A)+SUMPRODUCT((Es*(($X28+$Y28*Geometry!$E$42:$E$59+$Z28*Geometry!$D$42:$D$59))*(ABS(Es*(($X28+$Y28*Geometry!$E$42:$E$59+$Z28*Geometry!$D$42:$D$59)))&lt;=fy)+fy*(Es*(($X28+$Y28*Geometry!$E$42:$E$59+$Z28*Geometry!$D$42:$D$59))&gt;fy)-fy*(Es*(($X28+$Y28*Geometry!$E$42:$E$59+$Z28*Geometry!$D$42:$D$59))&lt;-fy)-(alpha*fck*(1-(1-((($X28+$Y28*Geometry!$E$42:$E$59+$Z28*Geometry!$D$42:$D$59))*(($X28+$Y28*Geometry!$E$42:$E$59+$Z28*Geometry!$D$42:$D$59)&gt;0)*(($X28+$Y28*Geometry!$E$42:$E$59+$Z28*Geometry!$D$42:$D$59)&lt;eco)+eco*(($X28+$Y28*Geometry!$E$42:$E$59+$Z28*Geometry!$D$42:$D$59)&gt;=eco))/eco)^n)*((($X28+$Y28*Geometry!$E$42:$E$59+$Z28*Geometry!$D$42:$D$59))&gt;0))),Geometry!$F$42:$F$59))/1000</f>
      </c>
      <c r="BR28" s="32">
        <f>(SUMPRODUCT(alpha*fck*(1-(1-((($AA28+$AB28*Mesh_Y+$AC28*Mesh_X))*(($AA28+$AB28*Mesh_Y+$AC28*Mesh_X)&gt;0)*(($AA28+$AB28*Mesh_Y+$AC28*Mesh_X)&lt;eco)+eco*(($AA28+$AB28*Mesh_Y+$AC28*Mesh_X)&gt;=eco))/eco)^n)*((($AA28+$AB28*Mesh_Y+$AC28*Mesh_X))&gt;0),Mesh_A)+SUMPRODUCT((Es*(($AA28+$AB28*Geometry!$E$42:$E$59+$AC28*Geometry!$D$42:$D$59))*(ABS(Es*(($AA28+$AB28*Geometry!$E$42:$E$59+$AC28*Geometry!$D$42:$D$59)))&lt;=fy)+fy*(Es*(($AA28+$AB28*Geometry!$E$42:$E$59+$AC28*Geometry!$D$42:$D$59))&gt;fy)-fy*(Es*(($AA28+$AB28*Geometry!$E$42:$E$59+$AC28*Geometry!$D$42:$D$59))&lt;-fy)-(alpha*fck*(1-(1-((($AA28+$AB28*Geometry!$E$42:$E$59+$AC28*Geometry!$D$42:$D$59))*(($AA28+$AB28*Geometry!$E$42:$E$59+$AC28*Geometry!$D$42:$D$59)&gt;0)*(($AA28+$AB28*Geometry!$E$42:$E$59+$AC28*Geometry!$D$42:$D$59)&lt;eco)+eco*(($AA28+$AB28*Geometry!$E$42:$E$59+$AC28*Geometry!$D$42:$D$59)&gt;=eco))/eco)^n)*((($AA28+$AB28*Geometry!$E$42:$E$59+$AC28*Geometry!$D$42:$D$59))&gt;0))),Geometry!$F$42:$F$59))/1000</f>
      </c>
      <c r="BS28" s="32">
        <f>(SUMPRODUCT(alpha*fck*(1-(1-((($AD28+$AE28*Mesh_Y+$AF28*Mesh_X))*(($AD28+$AE28*Mesh_Y+$AF28*Mesh_X)&gt;0)*(($AD28+$AE28*Mesh_Y+$AF28*Mesh_X)&lt;eco)+eco*(($AD28+$AE28*Mesh_Y+$AF28*Mesh_X)&gt;=eco))/eco)^n)*((($AD28+$AE28*Mesh_Y+$AF28*Mesh_X))&gt;0),Mesh_A)+SUMPRODUCT((Es*(($AD28+$AE28*Geometry!$E$42:$E$59+$AF28*Geometry!$D$42:$D$59))*(ABS(Es*(($AD28+$AE28*Geometry!$E$42:$E$59+$AF28*Geometry!$D$42:$D$59)))&lt;=fy)+fy*(Es*(($AD28+$AE28*Geometry!$E$42:$E$59+$AF28*Geometry!$D$42:$D$59))&gt;fy)-fy*(Es*(($AD28+$AE28*Geometry!$E$42:$E$59+$AF28*Geometry!$D$42:$D$59))&lt;-fy)-(alpha*fck*(1-(1-((($AD28+$AE28*Geometry!$E$42:$E$59+$AF28*Geometry!$D$42:$D$59))*(($AD28+$AE28*Geometry!$E$42:$E$59+$AF28*Geometry!$D$42:$D$59)&gt;0)*(($AD28+$AE28*Geometry!$E$42:$E$59+$AF28*Geometry!$D$42:$D$59)&lt;eco)+eco*(($AD28+$AE28*Geometry!$E$42:$E$59+$AF28*Geometry!$D$42:$D$59)&gt;=eco))/eco)^n)*((($AD28+$AE28*Geometry!$E$42:$E$59+$AF28*Geometry!$D$42:$D$59))&gt;0))),Geometry!$F$42:$F$59))/1000</f>
      </c>
      <c r="BT28" s="32">
        <f>(SUMPRODUCT(alpha*fck*(1-(1-((($AG28+$AH28*Mesh_Y+$AI28*Mesh_X))*(($AG28+$AH28*Mesh_Y+$AI28*Mesh_X)&gt;0)*(($AG28+$AH28*Mesh_Y+$AI28*Mesh_X)&lt;eco)+eco*(($AG28+$AH28*Mesh_Y+$AI28*Mesh_X)&gt;=eco))/eco)^n)*((($AG28+$AH28*Mesh_Y+$AI28*Mesh_X))&gt;0),Mesh_A)+SUMPRODUCT((Es*(($AG28+$AH28*Geometry!$E$42:$E$59+$AI28*Geometry!$D$42:$D$59))*(ABS(Es*(($AG28+$AH28*Geometry!$E$42:$E$59+$AI28*Geometry!$D$42:$D$59)))&lt;=fy)+fy*(Es*(($AG28+$AH28*Geometry!$E$42:$E$59+$AI28*Geometry!$D$42:$D$59))&gt;fy)-fy*(Es*(($AG28+$AH28*Geometry!$E$42:$E$59+$AI28*Geometry!$D$42:$D$59))&lt;-fy)-(alpha*fck*(1-(1-((($AG28+$AH28*Geometry!$E$42:$E$59+$AI28*Geometry!$D$42:$D$59))*(($AG28+$AH28*Geometry!$E$42:$E$59+$AI28*Geometry!$D$42:$D$59)&gt;0)*(($AG28+$AH28*Geometry!$E$42:$E$59+$AI28*Geometry!$D$42:$D$59)&lt;eco)+eco*(($AG28+$AH28*Geometry!$E$42:$E$59+$AI28*Geometry!$D$42:$D$59)&gt;=eco))/eco)^n)*((($AG28+$AH28*Geometry!$E$42:$E$59+$AI28*Geometry!$D$42:$D$59))&gt;0))),Geometry!$F$42:$F$59))/1000</f>
      </c>
      <c r="BU28" s="32">
        <f>(SUMPRODUCT(alpha*fck*(1-(1-((($AJ28+$AK28*Mesh_Y+$AL28*Mesh_X))*(($AJ28+$AK28*Mesh_Y+$AL28*Mesh_X)&gt;0)*(($AJ28+$AK28*Mesh_Y+$AL28*Mesh_X)&lt;eco)+eco*(($AJ28+$AK28*Mesh_Y+$AL28*Mesh_X)&gt;=eco))/eco)^n)*((($AJ28+$AK28*Mesh_Y+$AL28*Mesh_X))&gt;0),Mesh_A)+SUMPRODUCT((Es*(($AJ28+$AK28*Geometry!$E$42:$E$59+$AL28*Geometry!$D$42:$D$59))*(ABS(Es*(($AJ28+$AK28*Geometry!$E$42:$E$59+$AL28*Geometry!$D$42:$D$59)))&lt;=fy)+fy*(Es*(($AJ28+$AK28*Geometry!$E$42:$E$59+$AL28*Geometry!$D$42:$D$59))&gt;fy)-fy*(Es*(($AJ28+$AK28*Geometry!$E$42:$E$59+$AL28*Geometry!$D$42:$D$59))&lt;-fy)-(alpha*fck*(1-(1-((($AJ28+$AK28*Geometry!$E$42:$E$59+$AL28*Geometry!$D$42:$D$59))*(($AJ28+$AK28*Geometry!$E$42:$E$59+$AL28*Geometry!$D$42:$D$59)&gt;0)*(($AJ28+$AK28*Geometry!$E$42:$E$59+$AL28*Geometry!$D$42:$D$59)&lt;eco)+eco*(($AJ28+$AK28*Geometry!$E$42:$E$59+$AL28*Geometry!$D$42:$D$59)&gt;=eco))/eco)^n)*((($AJ28+$AK28*Geometry!$E$42:$E$59+$AL28*Geometry!$D$42:$D$59))&gt;0))),Geometry!$F$42:$F$59))/1000</f>
      </c>
      <c r="BV28" s="32">
        <f>(SUMPRODUCT(alpha*fck*(1-(1-((($AM28+$AN28*Mesh_Y+$AO28*Mesh_X))*(($AM28+$AN28*Mesh_Y+$AO28*Mesh_X)&gt;0)*(($AM28+$AN28*Mesh_Y+$AO28*Mesh_X)&lt;eco)+eco*(($AM28+$AN28*Mesh_Y+$AO28*Mesh_X)&gt;=eco))/eco)^n)*((($AM28+$AN28*Mesh_Y+$AO28*Mesh_X))&gt;0),Mesh_A)+SUMPRODUCT((Es*(($AM28+$AN28*Geometry!$E$42:$E$59+$AO28*Geometry!$D$42:$D$59))*(ABS(Es*(($AM28+$AN28*Geometry!$E$42:$E$59+$AO28*Geometry!$D$42:$D$59)))&lt;=fy)+fy*(Es*(($AM28+$AN28*Geometry!$E$42:$E$59+$AO28*Geometry!$D$42:$D$59))&gt;fy)-fy*(Es*(($AM28+$AN28*Geometry!$E$42:$E$59+$AO28*Geometry!$D$42:$D$59))&lt;-fy)-(alpha*fck*(1-(1-((($AM28+$AN28*Geometry!$E$42:$E$59+$AO28*Geometry!$D$42:$D$59))*(($AM28+$AN28*Geometry!$E$42:$E$59+$AO28*Geometry!$D$42:$D$59)&gt;0)*(($AM28+$AN28*Geometry!$E$42:$E$59+$AO28*Geometry!$D$42:$D$59)&lt;eco)+eco*(($AM28+$AN28*Geometry!$E$42:$E$59+$AO28*Geometry!$D$42:$D$59)&gt;=eco))/eco)^n)*((($AM28+$AN28*Geometry!$E$42:$E$59+$AO28*Geometry!$D$42:$D$59))&gt;0))),Geometry!$F$42:$F$59))/1000</f>
      </c>
      <c r="BW28" s="32">
        <f>(SUMPRODUCT(alpha*fck*(1-(1-((($AP28+$AQ28*Mesh_Y+$AR28*Mesh_X))*(($AP28+$AQ28*Mesh_Y+$AR28*Mesh_X)&gt;0)*(($AP28+$AQ28*Mesh_Y+$AR28*Mesh_X)&lt;eco)+eco*(($AP28+$AQ28*Mesh_Y+$AR28*Mesh_X)&gt;=eco))/eco)^n)*((($AP28+$AQ28*Mesh_Y+$AR28*Mesh_X))&gt;0),Mesh_A)+SUMPRODUCT((Es*(($AP28+$AQ28*Geometry!$E$42:$E$59+$AR28*Geometry!$D$42:$D$59))*(ABS(Es*(($AP28+$AQ28*Geometry!$E$42:$E$59+$AR28*Geometry!$D$42:$D$59)))&lt;=fy)+fy*(Es*(($AP28+$AQ28*Geometry!$E$42:$E$59+$AR28*Geometry!$D$42:$D$59))&gt;fy)-fy*(Es*(($AP28+$AQ28*Geometry!$E$42:$E$59+$AR28*Geometry!$D$42:$D$59))&lt;-fy)-(alpha*fck*(1-(1-((($AP28+$AQ28*Geometry!$E$42:$E$59+$AR28*Geometry!$D$42:$D$59))*(($AP28+$AQ28*Geometry!$E$42:$E$59+$AR28*Geometry!$D$42:$D$59)&gt;0)*(($AP28+$AQ28*Geometry!$E$42:$E$59+$AR28*Geometry!$D$42:$D$59)&lt;eco)+eco*(($AP28+$AQ28*Geometry!$E$42:$E$59+$AR28*Geometry!$D$42:$D$59)&gt;=eco))/eco)^n)*((($AP28+$AQ28*Geometry!$E$42:$E$59+$AR28*Geometry!$D$42:$D$59))&gt;0))),Geometry!$F$42:$F$59))/1000</f>
      </c>
      <c r="BX28" s="32">
        <f>(SUMPRODUCT(alpha*fck*(1-(1-((($AS28+$AT28*Mesh_Y+$AU28*Mesh_X))*(($AS28+$AT28*Mesh_Y+$AU28*Mesh_X)&gt;0)*(($AS28+$AT28*Mesh_Y+$AU28*Mesh_X)&lt;eco)+eco*(($AS28+$AT28*Mesh_Y+$AU28*Mesh_X)&gt;=eco))/eco)^n)*((($AS28+$AT28*Mesh_Y+$AU28*Mesh_X))&gt;0),Mesh_A)+SUMPRODUCT((Es*(($AS28+$AT28*Geometry!$E$42:$E$59+$AU28*Geometry!$D$42:$D$59))*(ABS(Es*(($AS28+$AT28*Geometry!$E$42:$E$59+$AU28*Geometry!$D$42:$D$59)))&lt;=fy)+fy*(Es*(($AS28+$AT28*Geometry!$E$42:$E$59+$AU28*Geometry!$D$42:$D$59))&gt;fy)-fy*(Es*(($AS28+$AT28*Geometry!$E$42:$E$59+$AU28*Geometry!$D$42:$D$59))&lt;-fy)-(alpha*fck*(1-(1-((($AS28+$AT28*Geometry!$E$42:$E$59+$AU28*Geometry!$D$42:$D$59))*(($AS28+$AT28*Geometry!$E$42:$E$59+$AU28*Geometry!$D$42:$D$59)&gt;0)*(($AS28+$AT28*Geometry!$E$42:$E$59+$AU28*Geometry!$D$42:$D$59)&lt;eco)+eco*(($AS28+$AT28*Geometry!$E$42:$E$59+$AU28*Geometry!$D$42:$D$59)&gt;=eco))/eco)^n)*((($AS28+$AT28*Geometry!$E$42:$E$59+$AU28*Geometry!$D$42:$D$59))&gt;0))),Geometry!$F$42:$F$59))/1000</f>
      </c>
      <c r="BY28" s="32">
        <f>(SUMPRODUCT(alpha*fck*(1-(1-((($AV28+$AW28*Mesh_Y+$AX28*Mesh_X))*(($AV28+$AW28*Mesh_Y+$AX28*Mesh_X)&gt;0)*(($AV28+$AW28*Mesh_Y+$AX28*Mesh_X)&lt;eco)+eco*(($AV28+$AW28*Mesh_Y+$AX28*Mesh_X)&gt;=eco))/eco)^n)*((($AV28+$AW28*Mesh_Y+$AX28*Mesh_X))&gt;0),Mesh_A)+SUMPRODUCT((Es*(($AV28+$AW28*Geometry!$E$42:$E$59+$AX28*Geometry!$D$42:$D$59))*(ABS(Es*(($AV28+$AW28*Geometry!$E$42:$E$59+$AX28*Geometry!$D$42:$D$59)))&lt;=fy)+fy*(Es*(($AV28+$AW28*Geometry!$E$42:$E$59+$AX28*Geometry!$D$42:$D$59))&gt;fy)-fy*(Es*(($AV28+$AW28*Geometry!$E$42:$E$59+$AX28*Geometry!$D$42:$D$59))&lt;-fy)-(alpha*fck*(1-(1-((($AV28+$AW28*Geometry!$E$42:$E$59+$AX28*Geometry!$D$42:$D$59))*(($AV28+$AW28*Geometry!$E$42:$E$59+$AX28*Geometry!$D$42:$D$59)&gt;0)*(($AV28+$AW28*Geometry!$E$42:$E$59+$AX28*Geometry!$D$42:$D$59)&lt;eco)+eco*(($AV28+$AW28*Geometry!$E$42:$E$59+$AX28*Geometry!$D$42:$D$59)&gt;=eco))/eco)^n)*((($AV28+$AW28*Geometry!$E$42:$E$59+$AX28*Geometry!$D$42:$D$59))&gt;0))),Geometry!$F$42:$F$59))/1000</f>
      </c>
      <c r="BZ28" s="32">
        <f>(SUMPRODUCT(alpha*fck*(1-(1-((($AY28+$AZ28*Mesh_Y+$BA28*Mesh_X))*(($AY28+$AZ28*Mesh_Y+$BA28*Mesh_X)&gt;0)*(($AY28+$AZ28*Mesh_Y+$BA28*Mesh_X)&lt;eco)+eco*(($AY28+$AZ28*Mesh_Y+$BA28*Mesh_X)&gt;=eco))/eco)^n)*((($AY28+$AZ28*Mesh_Y+$BA28*Mesh_X))&gt;0),Mesh_A)+SUMPRODUCT((Es*(($AY28+$AZ28*Geometry!$E$42:$E$59+$BA28*Geometry!$D$42:$D$59))*(ABS(Es*(($AY28+$AZ28*Geometry!$E$42:$E$59+$BA28*Geometry!$D$42:$D$59)))&lt;=fy)+fy*(Es*(($AY28+$AZ28*Geometry!$E$42:$E$59+$BA28*Geometry!$D$42:$D$59))&gt;fy)-fy*(Es*(($AY28+$AZ28*Geometry!$E$42:$E$59+$BA28*Geometry!$D$42:$D$59))&lt;-fy)-(alpha*fck*(1-(1-((($AY28+$AZ28*Geometry!$E$42:$E$59+$BA28*Geometry!$D$42:$D$59))*(($AY28+$AZ28*Geometry!$E$42:$E$59+$BA28*Geometry!$D$42:$D$59)&gt;0)*(($AY28+$AZ28*Geometry!$E$42:$E$59+$BA28*Geometry!$D$42:$D$59)&lt;eco)+eco*(($AY28+$AZ28*Geometry!$E$42:$E$59+$BA28*Geometry!$D$42:$D$59)&gt;=eco))/eco)^n)*((($AY28+$AZ28*Geometry!$E$42:$E$59+$BA28*Geometry!$D$42:$D$59))&gt;0))),Geometry!$F$42:$F$59))/1000</f>
      </c>
      <c r="CA28" s="32">
        <f>(SUMPRODUCT(alpha*fck*(1-(1-((($BB28+$BC28*Mesh_Y+$BD28*Mesh_X))*(($BB28+$BC28*Mesh_Y+$BD28*Mesh_X)&gt;0)*(($BB28+$BC28*Mesh_Y+$BD28*Mesh_X)&lt;eco)+eco*(($BB28+$BC28*Mesh_Y+$BD28*Mesh_X)&gt;=eco))/eco)^n)*((($BB28+$BC28*Mesh_Y+$BD28*Mesh_X))&gt;0),Mesh_A)+SUMPRODUCT((Es*(($BB28+$BC28*Geometry!$E$42:$E$59+$BD28*Geometry!$D$42:$D$59))*(ABS(Es*(($BB28+$BC28*Geometry!$E$42:$E$59+$BD28*Geometry!$D$42:$D$59)))&lt;=fy)+fy*(Es*(($BB28+$BC28*Geometry!$E$42:$E$59+$BD28*Geometry!$D$42:$D$59))&gt;fy)-fy*(Es*(($BB28+$BC28*Geometry!$E$42:$E$59+$BD28*Geometry!$D$42:$D$59))&lt;-fy)-(alpha*fck*(1-(1-((($BB28+$BC28*Geometry!$E$42:$E$59+$BD28*Geometry!$D$42:$D$59))*(($BB28+$BC28*Geometry!$E$42:$E$59+$BD28*Geometry!$D$42:$D$59)&gt;0)*(($BB28+$BC28*Geometry!$E$42:$E$59+$BD28*Geometry!$D$42:$D$59)&lt;eco)+eco*(($BB28+$BC28*Geometry!$E$42:$E$59+$BD28*Geometry!$D$42:$D$59)&gt;=eco))/eco)^n)*((($BB28+$BC28*Geometry!$E$42:$E$59+$BD28*Geometry!$D$42:$D$59))&gt;0))),Geometry!$F$42:$F$59))/1000</f>
      </c>
      <c r="CB28" s="32">
        <f>(SUMPRODUCT(alpha*fck*(1-(1-((($BE28+$BF28*Mesh_Y+$BG28*Mesh_X))*(($BE28+$BF28*Mesh_Y+$BG28*Mesh_X)&gt;0)*(($BE28+$BF28*Mesh_Y+$BG28*Mesh_X)&lt;eco)+eco*(($BE28+$BF28*Mesh_Y+$BG28*Mesh_X)&gt;=eco))/eco)^n)*((($BE28+$BF28*Mesh_Y+$BG28*Mesh_X))&gt;0),Mesh_A)+SUMPRODUCT((Es*(($BE28+$BF28*Geometry!$E$42:$E$59+$BG28*Geometry!$D$42:$D$59))*(ABS(Es*(($BE28+$BF28*Geometry!$E$42:$E$59+$BG28*Geometry!$D$42:$D$59)))&lt;=fy)+fy*(Es*(($BE28+$BF28*Geometry!$E$42:$E$59+$BG28*Geometry!$D$42:$D$59))&gt;fy)-fy*(Es*(($BE28+$BF28*Geometry!$E$42:$E$59+$BG28*Geometry!$D$42:$D$59))&lt;-fy)-(alpha*fck*(1-(1-((($BE28+$BF28*Geometry!$E$42:$E$59+$BG28*Geometry!$D$42:$D$59))*(($BE28+$BF28*Geometry!$E$42:$E$59+$BG28*Geometry!$D$42:$D$59)&gt;0)*(($BE28+$BF28*Geometry!$E$42:$E$59+$BG28*Geometry!$D$42:$D$59)&lt;eco)+eco*(($BE28+$BF28*Geometry!$E$42:$E$59+$BG28*Geometry!$D$42:$D$59)&gt;=eco))/eco)^n)*((($BE28+$BF28*Geometry!$E$42:$E$59+$BG28*Geometry!$D$42:$D$59))&gt;0))),Geometry!$F$42:$F$59))/1000</f>
      </c>
      <c r="CC28" s="32">
        <f>(SUMPRODUCT(alpha*fck*(1-(1-((($BH28+$BI28*Mesh_Y+$BJ28*Mesh_X))*(($BH28+$BI28*Mesh_Y+$BJ28*Mesh_X)&gt;0)*(($BH28+$BI28*Mesh_Y+$BJ28*Mesh_X)&lt;eco)+eco*(($BH28+$BI28*Mesh_Y+$BJ28*Mesh_X)&gt;=eco))/eco)^n)*((($BH28+$BI28*Mesh_Y+$BJ28*Mesh_X))&gt;0),Mesh_A)+SUMPRODUCT((Es*(($BH28+$BI28*Geometry!$E$42:$E$59+$BJ28*Geometry!$D$42:$D$59))*(ABS(Es*(($BH28+$BI28*Geometry!$E$42:$E$59+$BJ28*Geometry!$D$42:$D$59)))&lt;=fy)+fy*(Es*(($BH28+$BI28*Geometry!$E$42:$E$59+$BJ28*Geometry!$D$42:$D$59))&gt;fy)-fy*(Es*(($BH28+$BI28*Geometry!$E$42:$E$59+$BJ28*Geometry!$D$42:$D$59))&lt;-fy)-(alpha*fck*(1-(1-((($BH28+$BI28*Geometry!$E$42:$E$59+$BJ28*Geometry!$D$42:$D$59))*(($BH28+$BI28*Geometry!$E$42:$E$59+$BJ28*Geometry!$D$42:$D$59)&gt;0)*(($BH28+$BI28*Geometry!$E$42:$E$59+$BJ28*Geometry!$D$42:$D$59)&lt;eco)+eco*(($BH28+$BI28*Geometry!$E$42:$E$59+$BJ28*Geometry!$D$42:$D$59)&gt;=eco))/eco)^n)*((($BH28+$BI28*Geometry!$E$42:$E$59+$BJ28*Geometry!$D$42:$D$59))&gt;0))),Geometry!$F$42:$F$59))/1000</f>
      </c>
      <c r="CD28" s="32">
        <f>(SUMPRODUCT(alpha*fck*(1-(1-((($F28+$G28*Mesh_Y+$H28*Mesh_X))*(($F28+$G28*Mesh_Y+$H28*Mesh_X)&gt;0)*(($F28+$G28*Mesh_Y+$H28*Mesh_X)&lt;eco)+eco*(($F28+$G28*Mesh_Y+$H28*Mesh_X)&gt;=eco))/eco)^n)*((($F28+$G28*Mesh_Y+$H28*Mesh_X))&gt;0),Mesh_A,Mesh_Y)+SUMPRODUCT((Es*(($F28+$G28*Geometry!$E$42:$E$59+$H28*Geometry!$D$42:$D$59))*(ABS(Es*(($F28+$G28*Geometry!$E$42:$E$59+$H28*Geometry!$D$42:$D$59)))&lt;=fy)+fy*(Es*(($F28+$G28*Geometry!$E$42:$E$59+$H28*Geometry!$D$42:$D$59))&gt;fy)-fy*(Es*(($F28+$G28*Geometry!$E$42:$E$59+$H28*Geometry!$D$42:$D$59))&lt;-fy)-(alpha*fck*(1-(1-((($F28+$G28*Geometry!$E$42:$E$59+$H28*Geometry!$D$42:$D$59))*(($F28+$G28*Geometry!$E$42:$E$59+$H28*Geometry!$D$42:$D$59)&gt;0)*(($F28+$G28*Geometry!$E$42:$E$59+$H28*Geometry!$D$42:$D$59)&lt;eco)+eco*(($F28+$G28*Geometry!$E$42:$E$59+$H28*Geometry!$D$42:$D$59)&gt;=eco))/eco)^n)*((($F28+$G28*Geometry!$E$42:$E$59+$H28*Geometry!$D$42:$D$59))&gt;0))),Geometry!$F$42:$F$59,Geometry!$E$42:$E$59))/1000000</f>
      </c>
      <c r="CE28" s="32">
        <f>(SUMPRODUCT(alpha*fck*(1-(1-((($I28+$J28*Mesh_Y+$K28*Mesh_X))*(($I28+$J28*Mesh_Y+$K28*Mesh_X)&gt;0)*(($I28+$J28*Mesh_Y+$K28*Mesh_X)&lt;eco)+eco*(($I28+$J28*Mesh_Y+$K28*Mesh_X)&gt;=eco))/eco)^n)*((($I28+$J28*Mesh_Y+$K28*Mesh_X))&gt;0),Mesh_A,Mesh_Y)+SUMPRODUCT((Es*(($I28+$J28*Geometry!$E$42:$E$59+$K28*Geometry!$D$42:$D$59))*(ABS(Es*(($I28+$J28*Geometry!$E$42:$E$59+$K28*Geometry!$D$42:$D$59)))&lt;=fy)+fy*(Es*(($I28+$J28*Geometry!$E$42:$E$59+$K28*Geometry!$D$42:$D$59))&gt;fy)-fy*(Es*(($I28+$J28*Geometry!$E$42:$E$59+$K28*Geometry!$D$42:$D$59))&lt;-fy)-(alpha*fck*(1-(1-((($I28+$J28*Geometry!$E$42:$E$59+$K28*Geometry!$D$42:$D$59))*(($I28+$J28*Geometry!$E$42:$E$59+$K28*Geometry!$D$42:$D$59)&gt;0)*(($I28+$J28*Geometry!$E$42:$E$59+$K28*Geometry!$D$42:$D$59)&lt;eco)+eco*(($I28+$J28*Geometry!$E$42:$E$59+$K28*Geometry!$D$42:$D$59)&gt;=eco))/eco)^n)*((($I28+$J28*Geometry!$E$42:$E$59+$K28*Geometry!$D$42:$D$59))&gt;0))),Geometry!$F$42:$F$59,Geometry!$E$42:$E$59))/1000000</f>
      </c>
      <c r="CF28" s="32">
        <f>(SUMPRODUCT(alpha*fck*(1-(1-((($L28+$M28*Mesh_Y+$N28*Mesh_X))*(($L28+$M28*Mesh_Y+$N28*Mesh_X)&gt;0)*(($L28+$M28*Mesh_Y+$N28*Mesh_X)&lt;eco)+eco*(($L28+$M28*Mesh_Y+$N28*Mesh_X)&gt;=eco))/eco)^n)*((($L28+$M28*Mesh_Y+$N28*Mesh_X))&gt;0),Mesh_A,Mesh_Y)+SUMPRODUCT((Es*(($L28+$M28*Geometry!$E$42:$E$59+$N28*Geometry!$D$42:$D$59))*(ABS(Es*(($L28+$M28*Geometry!$E$42:$E$59+$N28*Geometry!$D$42:$D$59)))&lt;=fy)+fy*(Es*(($L28+$M28*Geometry!$E$42:$E$59+$N28*Geometry!$D$42:$D$59))&gt;fy)-fy*(Es*(($L28+$M28*Geometry!$E$42:$E$59+$N28*Geometry!$D$42:$D$59))&lt;-fy)-(alpha*fck*(1-(1-((($L28+$M28*Geometry!$E$42:$E$59+$N28*Geometry!$D$42:$D$59))*(($L28+$M28*Geometry!$E$42:$E$59+$N28*Geometry!$D$42:$D$59)&gt;0)*(($L28+$M28*Geometry!$E$42:$E$59+$N28*Geometry!$D$42:$D$59)&lt;eco)+eco*(($L28+$M28*Geometry!$E$42:$E$59+$N28*Geometry!$D$42:$D$59)&gt;=eco))/eco)^n)*((($L28+$M28*Geometry!$E$42:$E$59+$N28*Geometry!$D$42:$D$59))&gt;0))),Geometry!$F$42:$F$59,Geometry!$E$42:$E$59))/1000000</f>
      </c>
      <c r="CG28" s="32">
        <f>(SUMPRODUCT(alpha*fck*(1-(1-((($O28+$P28*Mesh_Y+$Q28*Mesh_X))*(($O28+$P28*Mesh_Y+$Q28*Mesh_X)&gt;0)*(($O28+$P28*Mesh_Y+$Q28*Mesh_X)&lt;eco)+eco*(($O28+$P28*Mesh_Y+$Q28*Mesh_X)&gt;=eco))/eco)^n)*((($O28+$P28*Mesh_Y+$Q28*Mesh_X))&gt;0),Mesh_A,Mesh_Y)+SUMPRODUCT((Es*(($O28+$P28*Geometry!$E$42:$E$59+$Q28*Geometry!$D$42:$D$59))*(ABS(Es*(($O28+$P28*Geometry!$E$42:$E$59+$Q28*Geometry!$D$42:$D$59)))&lt;=fy)+fy*(Es*(($O28+$P28*Geometry!$E$42:$E$59+$Q28*Geometry!$D$42:$D$59))&gt;fy)-fy*(Es*(($O28+$P28*Geometry!$E$42:$E$59+$Q28*Geometry!$D$42:$D$59))&lt;-fy)-(alpha*fck*(1-(1-((($O28+$P28*Geometry!$E$42:$E$59+$Q28*Geometry!$D$42:$D$59))*(($O28+$P28*Geometry!$E$42:$E$59+$Q28*Geometry!$D$42:$D$59)&gt;0)*(($O28+$P28*Geometry!$E$42:$E$59+$Q28*Geometry!$D$42:$D$59)&lt;eco)+eco*(($O28+$P28*Geometry!$E$42:$E$59+$Q28*Geometry!$D$42:$D$59)&gt;=eco))/eco)^n)*((($O28+$P28*Geometry!$E$42:$E$59+$Q28*Geometry!$D$42:$D$59))&gt;0))),Geometry!$F$42:$F$59,Geometry!$E$42:$E$59))/1000000</f>
      </c>
      <c r="CH28" s="32">
        <f>(SUMPRODUCT(alpha*fck*(1-(1-((($R28+$S28*Mesh_Y+$T28*Mesh_X))*(($R28+$S28*Mesh_Y+$T28*Mesh_X)&gt;0)*(($R28+$S28*Mesh_Y+$T28*Mesh_X)&lt;eco)+eco*(($R28+$S28*Mesh_Y+$T28*Mesh_X)&gt;=eco))/eco)^n)*((($R28+$S28*Mesh_Y+$T28*Mesh_X))&gt;0),Mesh_A,Mesh_Y)+SUMPRODUCT((Es*(($R28+$S28*Geometry!$E$42:$E$59+$T28*Geometry!$D$42:$D$59))*(ABS(Es*(($R28+$S28*Geometry!$E$42:$E$59+$T28*Geometry!$D$42:$D$59)))&lt;=fy)+fy*(Es*(($R28+$S28*Geometry!$E$42:$E$59+$T28*Geometry!$D$42:$D$59))&gt;fy)-fy*(Es*(($R28+$S28*Geometry!$E$42:$E$59+$T28*Geometry!$D$42:$D$59))&lt;-fy)-(alpha*fck*(1-(1-((($R28+$S28*Geometry!$E$42:$E$59+$T28*Geometry!$D$42:$D$59))*(($R28+$S28*Geometry!$E$42:$E$59+$T28*Geometry!$D$42:$D$59)&gt;0)*(($R28+$S28*Geometry!$E$42:$E$59+$T28*Geometry!$D$42:$D$59)&lt;eco)+eco*(($R28+$S28*Geometry!$E$42:$E$59+$T28*Geometry!$D$42:$D$59)&gt;=eco))/eco)^n)*((($R28+$S28*Geometry!$E$42:$E$59+$T28*Geometry!$D$42:$D$59))&gt;0))),Geometry!$F$42:$F$59,Geometry!$E$42:$E$59))/1000000</f>
      </c>
      <c r="CI28" s="32">
        <f>(SUMPRODUCT(alpha*fck*(1-(1-((($U28+$V28*Mesh_Y+$W28*Mesh_X))*(($U28+$V28*Mesh_Y+$W28*Mesh_X)&gt;0)*(($U28+$V28*Mesh_Y+$W28*Mesh_X)&lt;eco)+eco*(($U28+$V28*Mesh_Y+$W28*Mesh_X)&gt;=eco))/eco)^n)*((($U28+$V28*Mesh_Y+$W28*Mesh_X))&gt;0),Mesh_A,Mesh_Y)+SUMPRODUCT((Es*(($U28+$V28*Geometry!$E$42:$E$59+$W28*Geometry!$D$42:$D$59))*(ABS(Es*(($U28+$V28*Geometry!$E$42:$E$59+$W28*Geometry!$D$42:$D$59)))&lt;=fy)+fy*(Es*(($U28+$V28*Geometry!$E$42:$E$59+$W28*Geometry!$D$42:$D$59))&gt;fy)-fy*(Es*(($U28+$V28*Geometry!$E$42:$E$59+$W28*Geometry!$D$42:$D$59))&lt;-fy)-(alpha*fck*(1-(1-((($U28+$V28*Geometry!$E$42:$E$59+$W28*Geometry!$D$42:$D$59))*(($U28+$V28*Geometry!$E$42:$E$59+$W28*Geometry!$D$42:$D$59)&gt;0)*(($U28+$V28*Geometry!$E$42:$E$59+$W28*Geometry!$D$42:$D$59)&lt;eco)+eco*(($U28+$V28*Geometry!$E$42:$E$59+$W28*Geometry!$D$42:$D$59)&gt;=eco))/eco)^n)*((($U28+$V28*Geometry!$E$42:$E$59+$W28*Geometry!$D$42:$D$59))&gt;0))),Geometry!$F$42:$F$59,Geometry!$E$42:$E$59))/1000000</f>
      </c>
      <c r="CJ28" s="32">
        <f>(SUMPRODUCT(alpha*fck*(1-(1-((($X28+$Y28*Mesh_Y+$Z28*Mesh_X))*(($X28+$Y28*Mesh_Y+$Z28*Mesh_X)&gt;0)*(($X28+$Y28*Mesh_Y+$Z28*Mesh_X)&lt;eco)+eco*(($X28+$Y28*Mesh_Y+$Z28*Mesh_X)&gt;=eco))/eco)^n)*((($X28+$Y28*Mesh_Y+$Z28*Mesh_X))&gt;0),Mesh_A,Mesh_Y)+SUMPRODUCT((Es*(($X28+$Y28*Geometry!$E$42:$E$59+$Z28*Geometry!$D$42:$D$59))*(ABS(Es*(($X28+$Y28*Geometry!$E$42:$E$59+$Z28*Geometry!$D$42:$D$59)))&lt;=fy)+fy*(Es*(($X28+$Y28*Geometry!$E$42:$E$59+$Z28*Geometry!$D$42:$D$59))&gt;fy)-fy*(Es*(($X28+$Y28*Geometry!$E$42:$E$59+$Z28*Geometry!$D$42:$D$59))&lt;-fy)-(alpha*fck*(1-(1-((($X28+$Y28*Geometry!$E$42:$E$59+$Z28*Geometry!$D$42:$D$59))*(($X28+$Y28*Geometry!$E$42:$E$59+$Z28*Geometry!$D$42:$D$59)&gt;0)*(($X28+$Y28*Geometry!$E$42:$E$59+$Z28*Geometry!$D$42:$D$59)&lt;eco)+eco*(($X28+$Y28*Geometry!$E$42:$E$59+$Z28*Geometry!$D$42:$D$59)&gt;=eco))/eco)^n)*((($X28+$Y28*Geometry!$E$42:$E$59+$Z28*Geometry!$D$42:$D$59))&gt;0))),Geometry!$F$42:$F$59,Geometry!$E$42:$E$59))/1000000</f>
      </c>
      <c r="CK28" s="32">
        <f>(SUMPRODUCT(alpha*fck*(1-(1-((($AA28+$AB28*Mesh_Y+$AC28*Mesh_X))*(($AA28+$AB28*Mesh_Y+$AC28*Mesh_X)&gt;0)*(($AA28+$AB28*Mesh_Y+$AC28*Mesh_X)&lt;eco)+eco*(($AA28+$AB28*Mesh_Y+$AC28*Mesh_X)&gt;=eco))/eco)^n)*((($AA28+$AB28*Mesh_Y+$AC28*Mesh_X))&gt;0),Mesh_A,Mesh_Y)+SUMPRODUCT((Es*(($AA28+$AB28*Geometry!$E$42:$E$59+$AC28*Geometry!$D$42:$D$59))*(ABS(Es*(($AA28+$AB28*Geometry!$E$42:$E$59+$AC28*Geometry!$D$42:$D$59)))&lt;=fy)+fy*(Es*(($AA28+$AB28*Geometry!$E$42:$E$59+$AC28*Geometry!$D$42:$D$59))&gt;fy)-fy*(Es*(($AA28+$AB28*Geometry!$E$42:$E$59+$AC28*Geometry!$D$42:$D$59))&lt;-fy)-(alpha*fck*(1-(1-((($AA28+$AB28*Geometry!$E$42:$E$59+$AC28*Geometry!$D$42:$D$59))*(($AA28+$AB28*Geometry!$E$42:$E$59+$AC28*Geometry!$D$42:$D$59)&gt;0)*(($AA28+$AB28*Geometry!$E$42:$E$59+$AC28*Geometry!$D$42:$D$59)&lt;eco)+eco*(($AA28+$AB28*Geometry!$E$42:$E$59+$AC28*Geometry!$D$42:$D$59)&gt;=eco))/eco)^n)*((($AA28+$AB28*Geometry!$E$42:$E$59+$AC28*Geometry!$D$42:$D$59))&gt;0))),Geometry!$F$42:$F$59,Geometry!$E$42:$E$59))/1000000</f>
      </c>
      <c r="CL28" s="32">
        <f>(SUMPRODUCT(alpha*fck*(1-(1-((($AD28+$AE28*Mesh_Y+$AF28*Mesh_X))*(($AD28+$AE28*Mesh_Y+$AF28*Mesh_X)&gt;0)*(($AD28+$AE28*Mesh_Y+$AF28*Mesh_X)&lt;eco)+eco*(($AD28+$AE28*Mesh_Y+$AF28*Mesh_X)&gt;=eco))/eco)^n)*((($AD28+$AE28*Mesh_Y+$AF28*Mesh_X))&gt;0),Mesh_A,Mesh_Y)+SUMPRODUCT((Es*(($AD28+$AE28*Geometry!$E$42:$E$59+$AF28*Geometry!$D$42:$D$59))*(ABS(Es*(($AD28+$AE28*Geometry!$E$42:$E$59+$AF28*Geometry!$D$42:$D$59)))&lt;=fy)+fy*(Es*(($AD28+$AE28*Geometry!$E$42:$E$59+$AF28*Geometry!$D$42:$D$59))&gt;fy)-fy*(Es*(($AD28+$AE28*Geometry!$E$42:$E$59+$AF28*Geometry!$D$42:$D$59))&lt;-fy)-(alpha*fck*(1-(1-((($AD28+$AE28*Geometry!$E$42:$E$59+$AF28*Geometry!$D$42:$D$59))*(($AD28+$AE28*Geometry!$E$42:$E$59+$AF28*Geometry!$D$42:$D$59)&gt;0)*(($AD28+$AE28*Geometry!$E$42:$E$59+$AF28*Geometry!$D$42:$D$59)&lt;eco)+eco*(($AD28+$AE28*Geometry!$E$42:$E$59+$AF28*Geometry!$D$42:$D$59)&gt;=eco))/eco)^n)*((($AD28+$AE28*Geometry!$E$42:$E$59+$AF28*Geometry!$D$42:$D$59))&gt;0))),Geometry!$F$42:$F$59,Geometry!$E$42:$E$59))/1000000</f>
      </c>
      <c r="CM28" s="32">
        <f>(SUMPRODUCT(alpha*fck*(1-(1-((($AG28+$AH28*Mesh_Y+$AI28*Mesh_X))*(($AG28+$AH28*Mesh_Y+$AI28*Mesh_X)&gt;0)*(($AG28+$AH28*Mesh_Y+$AI28*Mesh_X)&lt;eco)+eco*(($AG28+$AH28*Mesh_Y+$AI28*Mesh_X)&gt;=eco))/eco)^n)*((($AG28+$AH28*Mesh_Y+$AI28*Mesh_X))&gt;0),Mesh_A,Mesh_Y)+SUMPRODUCT((Es*(($AG28+$AH28*Geometry!$E$42:$E$59+$AI28*Geometry!$D$42:$D$59))*(ABS(Es*(($AG28+$AH28*Geometry!$E$42:$E$59+$AI28*Geometry!$D$42:$D$59)))&lt;=fy)+fy*(Es*(($AG28+$AH28*Geometry!$E$42:$E$59+$AI28*Geometry!$D$42:$D$59))&gt;fy)-fy*(Es*(($AG28+$AH28*Geometry!$E$42:$E$59+$AI28*Geometry!$D$42:$D$59))&lt;-fy)-(alpha*fck*(1-(1-((($AG28+$AH28*Geometry!$E$42:$E$59+$AI28*Geometry!$D$42:$D$59))*(($AG28+$AH28*Geometry!$E$42:$E$59+$AI28*Geometry!$D$42:$D$59)&gt;0)*(($AG28+$AH28*Geometry!$E$42:$E$59+$AI28*Geometry!$D$42:$D$59)&lt;eco)+eco*(($AG28+$AH28*Geometry!$E$42:$E$59+$AI28*Geometry!$D$42:$D$59)&gt;=eco))/eco)^n)*((($AG28+$AH28*Geometry!$E$42:$E$59+$AI28*Geometry!$D$42:$D$59))&gt;0))),Geometry!$F$42:$F$59,Geometry!$E$42:$E$59))/1000000</f>
      </c>
      <c r="CN28" s="32">
        <f>(SUMPRODUCT(alpha*fck*(1-(1-((($AJ28+$AK28*Mesh_Y+$AL28*Mesh_X))*(($AJ28+$AK28*Mesh_Y+$AL28*Mesh_X)&gt;0)*(($AJ28+$AK28*Mesh_Y+$AL28*Mesh_X)&lt;eco)+eco*(($AJ28+$AK28*Mesh_Y+$AL28*Mesh_X)&gt;=eco))/eco)^n)*((($AJ28+$AK28*Mesh_Y+$AL28*Mesh_X))&gt;0),Mesh_A,Mesh_Y)+SUMPRODUCT((Es*(($AJ28+$AK28*Geometry!$E$42:$E$59+$AL28*Geometry!$D$42:$D$59))*(ABS(Es*(($AJ28+$AK28*Geometry!$E$42:$E$59+$AL28*Geometry!$D$42:$D$59)))&lt;=fy)+fy*(Es*(($AJ28+$AK28*Geometry!$E$42:$E$59+$AL28*Geometry!$D$42:$D$59))&gt;fy)-fy*(Es*(($AJ28+$AK28*Geometry!$E$42:$E$59+$AL28*Geometry!$D$42:$D$59))&lt;-fy)-(alpha*fck*(1-(1-((($AJ28+$AK28*Geometry!$E$42:$E$59+$AL28*Geometry!$D$42:$D$59))*(($AJ28+$AK28*Geometry!$E$42:$E$59+$AL28*Geometry!$D$42:$D$59)&gt;0)*(($AJ28+$AK28*Geometry!$E$42:$E$59+$AL28*Geometry!$D$42:$D$59)&lt;eco)+eco*(($AJ28+$AK28*Geometry!$E$42:$E$59+$AL28*Geometry!$D$42:$D$59)&gt;=eco))/eco)^n)*((($AJ28+$AK28*Geometry!$E$42:$E$59+$AL28*Geometry!$D$42:$D$59))&gt;0))),Geometry!$F$42:$F$59,Geometry!$E$42:$E$59))/1000000</f>
      </c>
      <c r="CO28" s="32">
        <f>(SUMPRODUCT(alpha*fck*(1-(1-((($AM28+$AN28*Mesh_Y+$AO28*Mesh_X))*(($AM28+$AN28*Mesh_Y+$AO28*Mesh_X)&gt;0)*(($AM28+$AN28*Mesh_Y+$AO28*Mesh_X)&lt;eco)+eco*(($AM28+$AN28*Mesh_Y+$AO28*Mesh_X)&gt;=eco))/eco)^n)*((($AM28+$AN28*Mesh_Y+$AO28*Mesh_X))&gt;0),Mesh_A,Mesh_Y)+SUMPRODUCT((Es*(($AM28+$AN28*Geometry!$E$42:$E$59+$AO28*Geometry!$D$42:$D$59))*(ABS(Es*(($AM28+$AN28*Geometry!$E$42:$E$59+$AO28*Geometry!$D$42:$D$59)))&lt;=fy)+fy*(Es*(($AM28+$AN28*Geometry!$E$42:$E$59+$AO28*Geometry!$D$42:$D$59))&gt;fy)-fy*(Es*(($AM28+$AN28*Geometry!$E$42:$E$59+$AO28*Geometry!$D$42:$D$59))&lt;-fy)-(alpha*fck*(1-(1-((($AM28+$AN28*Geometry!$E$42:$E$59+$AO28*Geometry!$D$42:$D$59))*(($AM28+$AN28*Geometry!$E$42:$E$59+$AO28*Geometry!$D$42:$D$59)&gt;0)*(($AM28+$AN28*Geometry!$E$42:$E$59+$AO28*Geometry!$D$42:$D$59)&lt;eco)+eco*(($AM28+$AN28*Geometry!$E$42:$E$59+$AO28*Geometry!$D$42:$D$59)&gt;=eco))/eco)^n)*((($AM28+$AN28*Geometry!$E$42:$E$59+$AO28*Geometry!$D$42:$D$59))&gt;0))),Geometry!$F$42:$F$59,Geometry!$E$42:$E$59))/1000000</f>
      </c>
      <c r="CP28" s="32">
        <f>(SUMPRODUCT(alpha*fck*(1-(1-((($AP28+$AQ28*Mesh_Y+$AR28*Mesh_X))*(($AP28+$AQ28*Mesh_Y+$AR28*Mesh_X)&gt;0)*(($AP28+$AQ28*Mesh_Y+$AR28*Mesh_X)&lt;eco)+eco*(($AP28+$AQ28*Mesh_Y+$AR28*Mesh_X)&gt;=eco))/eco)^n)*((($AP28+$AQ28*Mesh_Y+$AR28*Mesh_X))&gt;0),Mesh_A,Mesh_Y)+SUMPRODUCT((Es*(($AP28+$AQ28*Geometry!$E$42:$E$59+$AR28*Geometry!$D$42:$D$59))*(ABS(Es*(($AP28+$AQ28*Geometry!$E$42:$E$59+$AR28*Geometry!$D$42:$D$59)))&lt;=fy)+fy*(Es*(($AP28+$AQ28*Geometry!$E$42:$E$59+$AR28*Geometry!$D$42:$D$59))&gt;fy)-fy*(Es*(($AP28+$AQ28*Geometry!$E$42:$E$59+$AR28*Geometry!$D$42:$D$59))&lt;-fy)-(alpha*fck*(1-(1-((($AP28+$AQ28*Geometry!$E$42:$E$59+$AR28*Geometry!$D$42:$D$59))*(($AP28+$AQ28*Geometry!$E$42:$E$59+$AR28*Geometry!$D$42:$D$59)&gt;0)*(($AP28+$AQ28*Geometry!$E$42:$E$59+$AR28*Geometry!$D$42:$D$59)&lt;eco)+eco*(($AP28+$AQ28*Geometry!$E$42:$E$59+$AR28*Geometry!$D$42:$D$59)&gt;=eco))/eco)^n)*((($AP28+$AQ28*Geometry!$E$42:$E$59+$AR28*Geometry!$D$42:$D$59))&gt;0))),Geometry!$F$42:$F$59,Geometry!$E$42:$E$59))/1000000</f>
      </c>
      <c r="CQ28" s="32">
        <f>(SUMPRODUCT(alpha*fck*(1-(1-((($AS28+$AT28*Mesh_Y+$AU28*Mesh_X))*(($AS28+$AT28*Mesh_Y+$AU28*Mesh_X)&gt;0)*(($AS28+$AT28*Mesh_Y+$AU28*Mesh_X)&lt;eco)+eco*(($AS28+$AT28*Mesh_Y+$AU28*Mesh_X)&gt;=eco))/eco)^n)*((($AS28+$AT28*Mesh_Y+$AU28*Mesh_X))&gt;0),Mesh_A,Mesh_Y)+SUMPRODUCT((Es*(($AS28+$AT28*Geometry!$E$42:$E$59+$AU28*Geometry!$D$42:$D$59))*(ABS(Es*(($AS28+$AT28*Geometry!$E$42:$E$59+$AU28*Geometry!$D$42:$D$59)))&lt;=fy)+fy*(Es*(($AS28+$AT28*Geometry!$E$42:$E$59+$AU28*Geometry!$D$42:$D$59))&gt;fy)-fy*(Es*(($AS28+$AT28*Geometry!$E$42:$E$59+$AU28*Geometry!$D$42:$D$59))&lt;-fy)-(alpha*fck*(1-(1-((($AS28+$AT28*Geometry!$E$42:$E$59+$AU28*Geometry!$D$42:$D$59))*(($AS28+$AT28*Geometry!$E$42:$E$59+$AU28*Geometry!$D$42:$D$59)&gt;0)*(($AS28+$AT28*Geometry!$E$42:$E$59+$AU28*Geometry!$D$42:$D$59)&lt;eco)+eco*(($AS28+$AT28*Geometry!$E$42:$E$59+$AU28*Geometry!$D$42:$D$59)&gt;=eco))/eco)^n)*((($AS28+$AT28*Geometry!$E$42:$E$59+$AU28*Geometry!$D$42:$D$59))&gt;0))),Geometry!$F$42:$F$59,Geometry!$E$42:$E$59))/1000000</f>
      </c>
      <c r="CR28" s="32">
        <f>(SUMPRODUCT(alpha*fck*(1-(1-((($AV28+$AW28*Mesh_Y+$AX28*Mesh_X))*(($AV28+$AW28*Mesh_Y+$AX28*Mesh_X)&gt;0)*(($AV28+$AW28*Mesh_Y+$AX28*Mesh_X)&lt;eco)+eco*(($AV28+$AW28*Mesh_Y+$AX28*Mesh_X)&gt;=eco))/eco)^n)*((($AV28+$AW28*Mesh_Y+$AX28*Mesh_X))&gt;0),Mesh_A,Mesh_Y)+SUMPRODUCT((Es*(($AV28+$AW28*Geometry!$E$42:$E$59+$AX28*Geometry!$D$42:$D$59))*(ABS(Es*(($AV28+$AW28*Geometry!$E$42:$E$59+$AX28*Geometry!$D$42:$D$59)))&lt;=fy)+fy*(Es*(($AV28+$AW28*Geometry!$E$42:$E$59+$AX28*Geometry!$D$42:$D$59))&gt;fy)-fy*(Es*(($AV28+$AW28*Geometry!$E$42:$E$59+$AX28*Geometry!$D$42:$D$59))&lt;-fy)-(alpha*fck*(1-(1-((($AV28+$AW28*Geometry!$E$42:$E$59+$AX28*Geometry!$D$42:$D$59))*(($AV28+$AW28*Geometry!$E$42:$E$59+$AX28*Geometry!$D$42:$D$59)&gt;0)*(($AV28+$AW28*Geometry!$E$42:$E$59+$AX28*Geometry!$D$42:$D$59)&lt;eco)+eco*(($AV28+$AW28*Geometry!$E$42:$E$59+$AX28*Geometry!$D$42:$D$59)&gt;=eco))/eco)^n)*((($AV28+$AW28*Geometry!$E$42:$E$59+$AX28*Geometry!$D$42:$D$59))&gt;0))),Geometry!$F$42:$F$59,Geometry!$E$42:$E$59))/1000000</f>
      </c>
      <c r="CS28" s="32">
        <f>(SUMPRODUCT(alpha*fck*(1-(1-((($AY28+$AZ28*Mesh_Y+$BA28*Mesh_X))*(($AY28+$AZ28*Mesh_Y+$BA28*Mesh_X)&gt;0)*(($AY28+$AZ28*Mesh_Y+$BA28*Mesh_X)&lt;eco)+eco*(($AY28+$AZ28*Mesh_Y+$BA28*Mesh_X)&gt;=eco))/eco)^n)*((($AY28+$AZ28*Mesh_Y+$BA28*Mesh_X))&gt;0),Mesh_A,Mesh_Y)+SUMPRODUCT((Es*(($AY28+$AZ28*Geometry!$E$42:$E$59+$BA28*Geometry!$D$42:$D$59))*(ABS(Es*(($AY28+$AZ28*Geometry!$E$42:$E$59+$BA28*Geometry!$D$42:$D$59)))&lt;=fy)+fy*(Es*(($AY28+$AZ28*Geometry!$E$42:$E$59+$BA28*Geometry!$D$42:$D$59))&gt;fy)-fy*(Es*(($AY28+$AZ28*Geometry!$E$42:$E$59+$BA28*Geometry!$D$42:$D$59))&lt;-fy)-(alpha*fck*(1-(1-((($AY28+$AZ28*Geometry!$E$42:$E$59+$BA28*Geometry!$D$42:$D$59))*(($AY28+$AZ28*Geometry!$E$42:$E$59+$BA28*Geometry!$D$42:$D$59)&gt;0)*(($AY28+$AZ28*Geometry!$E$42:$E$59+$BA28*Geometry!$D$42:$D$59)&lt;eco)+eco*(($AY28+$AZ28*Geometry!$E$42:$E$59+$BA28*Geometry!$D$42:$D$59)&gt;=eco))/eco)^n)*((($AY28+$AZ28*Geometry!$E$42:$E$59+$BA28*Geometry!$D$42:$D$59))&gt;0))),Geometry!$F$42:$F$59,Geometry!$E$42:$E$59))/1000000</f>
      </c>
      <c r="CT28" s="32">
        <f>(SUMPRODUCT(alpha*fck*(1-(1-((($BB28+$BC28*Mesh_Y+$BD28*Mesh_X))*(($BB28+$BC28*Mesh_Y+$BD28*Mesh_X)&gt;0)*(($BB28+$BC28*Mesh_Y+$BD28*Mesh_X)&lt;eco)+eco*(($BB28+$BC28*Mesh_Y+$BD28*Mesh_X)&gt;=eco))/eco)^n)*((($BB28+$BC28*Mesh_Y+$BD28*Mesh_X))&gt;0),Mesh_A,Mesh_Y)+SUMPRODUCT((Es*(($BB28+$BC28*Geometry!$E$42:$E$59+$BD28*Geometry!$D$42:$D$59))*(ABS(Es*(($BB28+$BC28*Geometry!$E$42:$E$59+$BD28*Geometry!$D$42:$D$59)))&lt;=fy)+fy*(Es*(($BB28+$BC28*Geometry!$E$42:$E$59+$BD28*Geometry!$D$42:$D$59))&gt;fy)-fy*(Es*(($BB28+$BC28*Geometry!$E$42:$E$59+$BD28*Geometry!$D$42:$D$59))&lt;-fy)-(alpha*fck*(1-(1-((($BB28+$BC28*Geometry!$E$42:$E$59+$BD28*Geometry!$D$42:$D$59))*(($BB28+$BC28*Geometry!$E$42:$E$59+$BD28*Geometry!$D$42:$D$59)&gt;0)*(($BB28+$BC28*Geometry!$E$42:$E$59+$BD28*Geometry!$D$42:$D$59)&lt;eco)+eco*(($BB28+$BC28*Geometry!$E$42:$E$59+$BD28*Geometry!$D$42:$D$59)&gt;=eco))/eco)^n)*((($BB28+$BC28*Geometry!$E$42:$E$59+$BD28*Geometry!$D$42:$D$59))&gt;0))),Geometry!$F$42:$F$59,Geometry!$E$42:$E$59))/1000000</f>
      </c>
      <c r="CU28" s="32">
        <f>(SUMPRODUCT(alpha*fck*(1-(1-((($BE28+$BF28*Mesh_Y+$BG28*Mesh_X))*(($BE28+$BF28*Mesh_Y+$BG28*Mesh_X)&gt;0)*(($BE28+$BF28*Mesh_Y+$BG28*Mesh_X)&lt;eco)+eco*(($BE28+$BF28*Mesh_Y+$BG28*Mesh_X)&gt;=eco))/eco)^n)*((($BE28+$BF28*Mesh_Y+$BG28*Mesh_X))&gt;0),Mesh_A,Mesh_Y)+SUMPRODUCT((Es*(($BE28+$BF28*Geometry!$E$42:$E$59+$BG28*Geometry!$D$42:$D$59))*(ABS(Es*(($BE28+$BF28*Geometry!$E$42:$E$59+$BG28*Geometry!$D$42:$D$59)))&lt;=fy)+fy*(Es*(($BE28+$BF28*Geometry!$E$42:$E$59+$BG28*Geometry!$D$42:$D$59))&gt;fy)-fy*(Es*(($BE28+$BF28*Geometry!$E$42:$E$59+$BG28*Geometry!$D$42:$D$59))&lt;-fy)-(alpha*fck*(1-(1-((($BE28+$BF28*Geometry!$E$42:$E$59+$BG28*Geometry!$D$42:$D$59))*(($BE28+$BF28*Geometry!$E$42:$E$59+$BG28*Geometry!$D$42:$D$59)&gt;0)*(($BE28+$BF28*Geometry!$E$42:$E$59+$BG28*Geometry!$D$42:$D$59)&lt;eco)+eco*(($BE28+$BF28*Geometry!$E$42:$E$59+$BG28*Geometry!$D$42:$D$59)&gt;=eco))/eco)^n)*((($BE28+$BF28*Geometry!$E$42:$E$59+$BG28*Geometry!$D$42:$D$59))&gt;0))),Geometry!$F$42:$F$59,Geometry!$E$42:$E$59))/1000000</f>
      </c>
      <c r="CV28" s="32">
        <f>(SUMPRODUCT(alpha*fck*(1-(1-((($BH28+$BI28*Mesh_Y+$BJ28*Mesh_X))*(($BH28+$BI28*Mesh_Y+$BJ28*Mesh_X)&gt;0)*(($BH28+$BI28*Mesh_Y+$BJ28*Mesh_X)&lt;eco)+eco*(($BH28+$BI28*Mesh_Y+$BJ28*Mesh_X)&gt;=eco))/eco)^n)*((($BH28+$BI28*Mesh_Y+$BJ28*Mesh_X))&gt;0),Mesh_A,Mesh_Y)+SUMPRODUCT((Es*(($BH28+$BI28*Geometry!$E$42:$E$59+$BJ28*Geometry!$D$42:$D$59))*(ABS(Es*(($BH28+$BI28*Geometry!$E$42:$E$59+$BJ28*Geometry!$D$42:$D$59)))&lt;=fy)+fy*(Es*(($BH28+$BI28*Geometry!$E$42:$E$59+$BJ28*Geometry!$D$42:$D$59))&gt;fy)-fy*(Es*(($BH28+$BI28*Geometry!$E$42:$E$59+$BJ28*Geometry!$D$42:$D$59))&lt;-fy)-(alpha*fck*(1-(1-((($BH28+$BI28*Geometry!$E$42:$E$59+$BJ28*Geometry!$D$42:$D$59))*(($BH28+$BI28*Geometry!$E$42:$E$59+$BJ28*Geometry!$D$42:$D$59)&gt;0)*(($BH28+$BI28*Geometry!$E$42:$E$59+$BJ28*Geometry!$D$42:$D$59)&lt;eco)+eco*(($BH28+$BI28*Geometry!$E$42:$E$59+$BJ28*Geometry!$D$42:$D$59)&gt;=eco))/eco)^n)*((($BH28+$BI28*Geometry!$E$42:$E$59+$BJ28*Geometry!$D$42:$D$59))&gt;0))),Geometry!$F$42:$F$59,Geometry!$E$42:$E$59))/1000000</f>
      </c>
      <c r="CW28" s="32">
        <f>(SUMPRODUCT(alpha*fck*(1-(1-((($F28+$G28*Mesh_Y+$H28*Mesh_X))*(($F28+$G28*Mesh_Y+$H28*Mesh_X)&gt;0)*(($F28+$G28*Mesh_Y+$H28*Mesh_X)&lt;eco)+eco*(($F28+$G28*Mesh_Y+$H28*Mesh_X)&gt;=eco))/eco)^n)*((($F28+$G28*Mesh_Y+$H28*Mesh_X))&gt;0),Mesh_A,Mesh_X)+SUMPRODUCT((Es*(($F28+$G28*Geometry!$E$42:$E$59+$H28*Geometry!$D$42:$D$59))*(ABS(Es*(($F28+$G28*Geometry!$E$42:$E$59+$H28*Geometry!$D$42:$D$59)))&lt;=fy)+fy*(Es*(($F28+$G28*Geometry!$E$42:$E$59+$H28*Geometry!$D$42:$D$59))&gt;fy)-fy*(Es*(($F28+$G28*Geometry!$E$42:$E$59+$H28*Geometry!$D$42:$D$59))&lt;-fy)-(alpha*fck*(1-(1-((($F28+$G28*Geometry!$E$42:$E$59+$H28*Geometry!$D$42:$D$59))*(($F28+$G28*Geometry!$E$42:$E$59+$H28*Geometry!$D$42:$D$59)&gt;0)*(($F28+$G28*Geometry!$E$42:$E$59+$H28*Geometry!$D$42:$D$59)&lt;eco)+eco*(($F28+$G28*Geometry!$E$42:$E$59+$H28*Geometry!$D$42:$D$59)&gt;=eco))/eco)^n)*((($F28+$G28*Geometry!$E$42:$E$59+$H28*Geometry!$D$42:$D$59))&gt;0))),Geometry!$F$42:$F$59,Geometry!$D$42:$D$59))/1000000</f>
      </c>
      <c r="CX28" s="32">
        <f>(SUMPRODUCT(alpha*fck*(1-(1-((($I28+$J28*Mesh_Y+$K28*Mesh_X))*(($I28+$J28*Mesh_Y+$K28*Mesh_X)&gt;0)*(($I28+$J28*Mesh_Y+$K28*Mesh_X)&lt;eco)+eco*(($I28+$J28*Mesh_Y+$K28*Mesh_X)&gt;=eco))/eco)^n)*((($I28+$J28*Mesh_Y+$K28*Mesh_X))&gt;0),Mesh_A,Mesh_X)+SUMPRODUCT((Es*(($I28+$J28*Geometry!$E$42:$E$59+$K28*Geometry!$D$42:$D$59))*(ABS(Es*(($I28+$J28*Geometry!$E$42:$E$59+$K28*Geometry!$D$42:$D$59)))&lt;=fy)+fy*(Es*(($I28+$J28*Geometry!$E$42:$E$59+$K28*Geometry!$D$42:$D$59))&gt;fy)-fy*(Es*(($I28+$J28*Geometry!$E$42:$E$59+$K28*Geometry!$D$42:$D$59))&lt;-fy)-(alpha*fck*(1-(1-((($I28+$J28*Geometry!$E$42:$E$59+$K28*Geometry!$D$42:$D$59))*(($I28+$J28*Geometry!$E$42:$E$59+$K28*Geometry!$D$42:$D$59)&gt;0)*(($I28+$J28*Geometry!$E$42:$E$59+$K28*Geometry!$D$42:$D$59)&lt;eco)+eco*(($I28+$J28*Geometry!$E$42:$E$59+$K28*Geometry!$D$42:$D$59)&gt;=eco))/eco)^n)*((($I28+$J28*Geometry!$E$42:$E$59+$K28*Geometry!$D$42:$D$59))&gt;0))),Geometry!$F$42:$F$59,Geometry!$D$42:$D$59))/1000000</f>
      </c>
      <c r="CY28" s="32">
        <f>(SUMPRODUCT(alpha*fck*(1-(1-((($L28+$M28*Mesh_Y+$N28*Mesh_X))*(($L28+$M28*Mesh_Y+$N28*Mesh_X)&gt;0)*(($L28+$M28*Mesh_Y+$N28*Mesh_X)&lt;eco)+eco*(($L28+$M28*Mesh_Y+$N28*Mesh_X)&gt;=eco))/eco)^n)*((($L28+$M28*Mesh_Y+$N28*Mesh_X))&gt;0),Mesh_A,Mesh_X)+SUMPRODUCT((Es*(($L28+$M28*Geometry!$E$42:$E$59+$N28*Geometry!$D$42:$D$59))*(ABS(Es*(($L28+$M28*Geometry!$E$42:$E$59+$N28*Geometry!$D$42:$D$59)))&lt;=fy)+fy*(Es*(($L28+$M28*Geometry!$E$42:$E$59+$N28*Geometry!$D$42:$D$59))&gt;fy)-fy*(Es*(($L28+$M28*Geometry!$E$42:$E$59+$N28*Geometry!$D$42:$D$59))&lt;-fy)-(alpha*fck*(1-(1-((($L28+$M28*Geometry!$E$42:$E$59+$N28*Geometry!$D$42:$D$59))*(($L28+$M28*Geometry!$E$42:$E$59+$N28*Geometry!$D$42:$D$59)&gt;0)*(($L28+$M28*Geometry!$E$42:$E$59+$N28*Geometry!$D$42:$D$59)&lt;eco)+eco*(($L28+$M28*Geometry!$E$42:$E$59+$N28*Geometry!$D$42:$D$59)&gt;=eco))/eco)^n)*((($L28+$M28*Geometry!$E$42:$E$59+$N28*Geometry!$D$42:$D$59))&gt;0))),Geometry!$F$42:$F$59,Geometry!$D$42:$D$59))/1000000</f>
      </c>
      <c r="CZ28" s="32">
        <f>(SUMPRODUCT(alpha*fck*(1-(1-((($O28+$P28*Mesh_Y+$Q28*Mesh_X))*(($O28+$P28*Mesh_Y+$Q28*Mesh_X)&gt;0)*(($O28+$P28*Mesh_Y+$Q28*Mesh_X)&lt;eco)+eco*(($O28+$P28*Mesh_Y+$Q28*Mesh_X)&gt;=eco))/eco)^n)*((($O28+$P28*Mesh_Y+$Q28*Mesh_X))&gt;0),Mesh_A,Mesh_X)+SUMPRODUCT((Es*(($O28+$P28*Geometry!$E$42:$E$59+$Q28*Geometry!$D$42:$D$59))*(ABS(Es*(($O28+$P28*Geometry!$E$42:$E$59+$Q28*Geometry!$D$42:$D$59)))&lt;=fy)+fy*(Es*(($O28+$P28*Geometry!$E$42:$E$59+$Q28*Geometry!$D$42:$D$59))&gt;fy)-fy*(Es*(($O28+$P28*Geometry!$E$42:$E$59+$Q28*Geometry!$D$42:$D$59))&lt;-fy)-(alpha*fck*(1-(1-((($O28+$P28*Geometry!$E$42:$E$59+$Q28*Geometry!$D$42:$D$59))*(($O28+$P28*Geometry!$E$42:$E$59+$Q28*Geometry!$D$42:$D$59)&gt;0)*(($O28+$P28*Geometry!$E$42:$E$59+$Q28*Geometry!$D$42:$D$59)&lt;eco)+eco*(($O28+$P28*Geometry!$E$42:$E$59+$Q28*Geometry!$D$42:$D$59)&gt;=eco))/eco)^n)*((($O28+$P28*Geometry!$E$42:$E$59+$Q28*Geometry!$D$42:$D$59))&gt;0))),Geometry!$F$42:$F$59,Geometry!$D$42:$D$59))/1000000</f>
      </c>
      <c r="DA28" s="32">
        <f>(SUMPRODUCT(alpha*fck*(1-(1-((($R28+$S28*Mesh_Y+$T28*Mesh_X))*(($R28+$S28*Mesh_Y+$T28*Mesh_X)&gt;0)*(($R28+$S28*Mesh_Y+$T28*Mesh_X)&lt;eco)+eco*(($R28+$S28*Mesh_Y+$T28*Mesh_X)&gt;=eco))/eco)^n)*((($R28+$S28*Mesh_Y+$T28*Mesh_X))&gt;0),Mesh_A,Mesh_X)+SUMPRODUCT((Es*(($R28+$S28*Geometry!$E$42:$E$59+$T28*Geometry!$D$42:$D$59))*(ABS(Es*(($R28+$S28*Geometry!$E$42:$E$59+$T28*Geometry!$D$42:$D$59)))&lt;=fy)+fy*(Es*(($R28+$S28*Geometry!$E$42:$E$59+$T28*Geometry!$D$42:$D$59))&gt;fy)-fy*(Es*(($R28+$S28*Geometry!$E$42:$E$59+$T28*Geometry!$D$42:$D$59))&lt;-fy)-(alpha*fck*(1-(1-((($R28+$S28*Geometry!$E$42:$E$59+$T28*Geometry!$D$42:$D$59))*(($R28+$S28*Geometry!$E$42:$E$59+$T28*Geometry!$D$42:$D$59)&gt;0)*(($R28+$S28*Geometry!$E$42:$E$59+$T28*Geometry!$D$42:$D$59)&lt;eco)+eco*(($R28+$S28*Geometry!$E$42:$E$59+$T28*Geometry!$D$42:$D$59)&gt;=eco))/eco)^n)*((($R28+$S28*Geometry!$E$42:$E$59+$T28*Geometry!$D$42:$D$59))&gt;0))),Geometry!$F$42:$F$59,Geometry!$D$42:$D$59))/1000000</f>
      </c>
      <c r="DB28" s="32">
        <f>(SUMPRODUCT(alpha*fck*(1-(1-((($U28+$V28*Mesh_Y+$W28*Mesh_X))*(($U28+$V28*Mesh_Y+$W28*Mesh_X)&gt;0)*(($U28+$V28*Mesh_Y+$W28*Mesh_X)&lt;eco)+eco*(($U28+$V28*Mesh_Y+$W28*Mesh_X)&gt;=eco))/eco)^n)*((($U28+$V28*Mesh_Y+$W28*Mesh_X))&gt;0),Mesh_A,Mesh_X)+SUMPRODUCT((Es*(($U28+$V28*Geometry!$E$42:$E$59+$W28*Geometry!$D$42:$D$59))*(ABS(Es*(($U28+$V28*Geometry!$E$42:$E$59+$W28*Geometry!$D$42:$D$59)))&lt;=fy)+fy*(Es*(($U28+$V28*Geometry!$E$42:$E$59+$W28*Geometry!$D$42:$D$59))&gt;fy)-fy*(Es*(($U28+$V28*Geometry!$E$42:$E$59+$W28*Geometry!$D$42:$D$59))&lt;-fy)-(alpha*fck*(1-(1-((($U28+$V28*Geometry!$E$42:$E$59+$W28*Geometry!$D$42:$D$59))*(($U28+$V28*Geometry!$E$42:$E$59+$W28*Geometry!$D$42:$D$59)&gt;0)*(($U28+$V28*Geometry!$E$42:$E$59+$W28*Geometry!$D$42:$D$59)&lt;eco)+eco*(($U28+$V28*Geometry!$E$42:$E$59+$W28*Geometry!$D$42:$D$59)&gt;=eco))/eco)^n)*((($U28+$V28*Geometry!$E$42:$E$59+$W28*Geometry!$D$42:$D$59))&gt;0))),Geometry!$F$42:$F$59,Geometry!$D$42:$D$59))/1000000</f>
      </c>
      <c r="DC28" s="32">
        <f>(SUMPRODUCT(alpha*fck*(1-(1-((($X28+$Y28*Mesh_Y+$Z28*Mesh_X))*(($X28+$Y28*Mesh_Y+$Z28*Mesh_X)&gt;0)*(($X28+$Y28*Mesh_Y+$Z28*Mesh_X)&lt;eco)+eco*(($X28+$Y28*Mesh_Y+$Z28*Mesh_X)&gt;=eco))/eco)^n)*((($X28+$Y28*Mesh_Y+$Z28*Mesh_X))&gt;0),Mesh_A,Mesh_X)+SUMPRODUCT((Es*(($X28+$Y28*Geometry!$E$42:$E$59+$Z28*Geometry!$D$42:$D$59))*(ABS(Es*(($X28+$Y28*Geometry!$E$42:$E$59+$Z28*Geometry!$D$42:$D$59)))&lt;=fy)+fy*(Es*(($X28+$Y28*Geometry!$E$42:$E$59+$Z28*Geometry!$D$42:$D$59))&gt;fy)-fy*(Es*(($X28+$Y28*Geometry!$E$42:$E$59+$Z28*Geometry!$D$42:$D$59))&lt;-fy)-(alpha*fck*(1-(1-((($X28+$Y28*Geometry!$E$42:$E$59+$Z28*Geometry!$D$42:$D$59))*(($X28+$Y28*Geometry!$E$42:$E$59+$Z28*Geometry!$D$42:$D$59)&gt;0)*(($X28+$Y28*Geometry!$E$42:$E$59+$Z28*Geometry!$D$42:$D$59)&lt;eco)+eco*(($X28+$Y28*Geometry!$E$42:$E$59+$Z28*Geometry!$D$42:$D$59)&gt;=eco))/eco)^n)*((($X28+$Y28*Geometry!$E$42:$E$59+$Z28*Geometry!$D$42:$D$59))&gt;0))),Geometry!$F$42:$F$59,Geometry!$D$42:$D$59))/1000000</f>
      </c>
      <c r="DD28" s="32">
        <f>(SUMPRODUCT(alpha*fck*(1-(1-((($AA28+$AB28*Mesh_Y+$AC28*Mesh_X))*(($AA28+$AB28*Mesh_Y+$AC28*Mesh_X)&gt;0)*(($AA28+$AB28*Mesh_Y+$AC28*Mesh_X)&lt;eco)+eco*(($AA28+$AB28*Mesh_Y+$AC28*Mesh_X)&gt;=eco))/eco)^n)*((($AA28+$AB28*Mesh_Y+$AC28*Mesh_X))&gt;0),Mesh_A,Mesh_X)+SUMPRODUCT((Es*(($AA28+$AB28*Geometry!$E$42:$E$59+$AC28*Geometry!$D$42:$D$59))*(ABS(Es*(($AA28+$AB28*Geometry!$E$42:$E$59+$AC28*Geometry!$D$42:$D$59)))&lt;=fy)+fy*(Es*(($AA28+$AB28*Geometry!$E$42:$E$59+$AC28*Geometry!$D$42:$D$59))&gt;fy)-fy*(Es*(($AA28+$AB28*Geometry!$E$42:$E$59+$AC28*Geometry!$D$42:$D$59))&lt;-fy)-(alpha*fck*(1-(1-((($AA28+$AB28*Geometry!$E$42:$E$59+$AC28*Geometry!$D$42:$D$59))*(($AA28+$AB28*Geometry!$E$42:$E$59+$AC28*Geometry!$D$42:$D$59)&gt;0)*(($AA28+$AB28*Geometry!$E$42:$E$59+$AC28*Geometry!$D$42:$D$59)&lt;eco)+eco*(($AA28+$AB28*Geometry!$E$42:$E$59+$AC28*Geometry!$D$42:$D$59)&gt;=eco))/eco)^n)*((($AA28+$AB28*Geometry!$E$42:$E$59+$AC28*Geometry!$D$42:$D$59))&gt;0))),Geometry!$F$42:$F$59,Geometry!$D$42:$D$59))/1000000</f>
      </c>
      <c r="DE28" s="32">
        <f>(SUMPRODUCT(alpha*fck*(1-(1-((($AD28+$AE28*Mesh_Y+$AF28*Mesh_X))*(($AD28+$AE28*Mesh_Y+$AF28*Mesh_X)&gt;0)*(($AD28+$AE28*Mesh_Y+$AF28*Mesh_X)&lt;eco)+eco*(($AD28+$AE28*Mesh_Y+$AF28*Mesh_X)&gt;=eco))/eco)^n)*((($AD28+$AE28*Mesh_Y+$AF28*Mesh_X))&gt;0),Mesh_A,Mesh_X)+SUMPRODUCT((Es*(($AD28+$AE28*Geometry!$E$42:$E$59+$AF28*Geometry!$D$42:$D$59))*(ABS(Es*(($AD28+$AE28*Geometry!$E$42:$E$59+$AF28*Geometry!$D$42:$D$59)))&lt;=fy)+fy*(Es*(($AD28+$AE28*Geometry!$E$42:$E$59+$AF28*Geometry!$D$42:$D$59))&gt;fy)-fy*(Es*(($AD28+$AE28*Geometry!$E$42:$E$59+$AF28*Geometry!$D$42:$D$59))&lt;-fy)-(alpha*fck*(1-(1-((($AD28+$AE28*Geometry!$E$42:$E$59+$AF28*Geometry!$D$42:$D$59))*(($AD28+$AE28*Geometry!$E$42:$E$59+$AF28*Geometry!$D$42:$D$59)&gt;0)*(($AD28+$AE28*Geometry!$E$42:$E$59+$AF28*Geometry!$D$42:$D$59)&lt;eco)+eco*(($AD28+$AE28*Geometry!$E$42:$E$59+$AF28*Geometry!$D$42:$D$59)&gt;=eco))/eco)^n)*((($AD28+$AE28*Geometry!$E$42:$E$59+$AF28*Geometry!$D$42:$D$59))&gt;0))),Geometry!$F$42:$F$59,Geometry!$D$42:$D$59))/1000000</f>
      </c>
      <c r="DF28" s="32">
        <f>(SUMPRODUCT(alpha*fck*(1-(1-((($AG28+$AH28*Mesh_Y+$AI28*Mesh_X))*(($AG28+$AH28*Mesh_Y+$AI28*Mesh_X)&gt;0)*(($AG28+$AH28*Mesh_Y+$AI28*Mesh_X)&lt;eco)+eco*(($AG28+$AH28*Mesh_Y+$AI28*Mesh_X)&gt;=eco))/eco)^n)*((($AG28+$AH28*Mesh_Y+$AI28*Mesh_X))&gt;0),Mesh_A,Mesh_X)+SUMPRODUCT((Es*(($AG28+$AH28*Geometry!$E$42:$E$59+$AI28*Geometry!$D$42:$D$59))*(ABS(Es*(($AG28+$AH28*Geometry!$E$42:$E$59+$AI28*Geometry!$D$42:$D$59)))&lt;=fy)+fy*(Es*(($AG28+$AH28*Geometry!$E$42:$E$59+$AI28*Geometry!$D$42:$D$59))&gt;fy)-fy*(Es*(($AG28+$AH28*Geometry!$E$42:$E$59+$AI28*Geometry!$D$42:$D$59))&lt;-fy)-(alpha*fck*(1-(1-((($AG28+$AH28*Geometry!$E$42:$E$59+$AI28*Geometry!$D$42:$D$59))*(($AG28+$AH28*Geometry!$E$42:$E$59+$AI28*Geometry!$D$42:$D$59)&gt;0)*(($AG28+$AH28*Geometry!$E$42:$E$59+$AI28*Geometry!$D$42:$D$59)&lt;eco)+eco*(($AG28+$AH28*Geometry!$E$42:$E$59+$AI28*Geometry!$D$42:$D$59)&gt;=eco))/eco)^n)*((($AG28+$AH28*Geometry!$E$42:$E$59+$AI28*Geometry!$D$42:$D$59))&gt;0))),Geometry!$F$42:$F$59,Geometry!$D$42:$D$59))/1000000</f>
      </c>
      <c r="DG28" s="32">
        <f>(SUMPRODUCT(alpha*fck*(1-(1-((($AJ28+$AK28*Mesh_Y+$AL28*Mesh_X))*(($AJ28+$AK28*Mesh_Y+$AL28*Mesh_X)&gt;0)*(($AJ28+$AK28*Mesh_Y+$AL28*Mesh_X)&lt;eco)+eco*(($AJ28+$AK28*Mesh_Y+$AL28*Mesh_X)&gt;=eco))/eco)^n)*((($AJ28+$AK28*Mesh_Y+$AL28*Mesh_X))&gt;0),Mesh_A,Mesh_X)+SUMPRODUCT((Es*(($AJ28+$AK28*Geometry!$E$42:$E$59+$AL28*Geometry!$D$42:$D$59))*(ABS(Es*(($AJ28+$AK28*Geometry!$E$42:$E$59+$AL28*Geometry!$D$42:$D$59)))&lt;=fy)+fy*(Es*(($AJ28+$AK28*Geometry!$E$42:$E$59+$AL28*Geometry!$D$42:$D$59))&gt;fy)-fy*(Es*(($AJ28+$AK28*Geometry!$E$42:$E$59+$AL28*Geometry!$D$42:$D$59))&lt;-fy)-(alpha*fck*(1-(1-((($AJ28+$AK28*Geometry!$E$42:$E$59+$AL28*Geometry!$D$42:$D$59))*(($AJ28+$AK28*Geometry!$E$42:$E$59+$AL28*Geometry!$D$42:$D$59)&gt;0)*(($AJ28+$AK28*Geometry!$E$42:$E$59+$AL28*Geometry!$D$42:$D$59)&lt;eco)+eco*(($AJ28+$AK28*Geometry!$E$42:$E$59+$AL28*Geometry!$D$42:$D$59)&gt;=eco))/eco)^n)*((($AJ28+$AK28*Geometry!$E$42:$E$59+$AL28*Geometry!$D$42:$D$59))&gt;0))),Geometry!$F$42:$F$59,Geometry!$D$42:$D$59))/1000000</f>
      </c>
      <c r="DH28" s="32">
        <f>(SUMPRODUCT(alpha*fck*(1-(1-((($AM28+$AN28*Mesh_Y+$AO28*Mesh_X))*(($AM28+$AN28*Mesh_Y+$AO28*Mesh_X)&gt;0)*(($AM28+$AN28*Mesh_Y+$AO28*Mesh_X)&lt;eco)+eco*(($AM28+$AN28*Mesh_Y+$AO28*Mesh_X)&gt;=eco))/eco)^n)*((($AM28+$AN28*Mesh_Y+$AO28*Mesh_X))&gt;0),Mesh_A,Mesh_X)+SUMPRODUCT((Es*(($AM28+$AN28*Geometry!$E$42:$E$59+$AO28*Geometry!$D$42:$D$59))*(ABS(Es*(($AM28+$AN28*Geometry!$E$42:$E$59+$AO28*Geometry!$D$42:$D$59)))&lt;=fy)+fy*(Es*(($AM28+$AN28*Geometry!$E$42:$E$59+$AO28*Geometry!$D$42:$D$59))&gt;fy)-fy*(Es*(($AM28+$AN28*Geometry!$E$42:$E$59+$AO28*Geometry!$D$42:$D$59))&lt;-fy)-(alpha*fck*(1-(1-((($AM28+$AN28*Geometry!$E$42:$E$59+$AO28*Geometry!$D$42:$D$59))*(($AM28+$AN28*Geometry!$E$42:$E$59+$AO28*Geometry!$D$42:$D$59)&gt;0)*(($AM28+$AN28*Geometry!$E$42:$E$59+$AO28*Geometry!$D$42:$D$59)&lt;eco)+eco*(($AM28+$AN28*Geometry!$E$42:$E$59+$AO28*Geometry!$D$42:$D$59)&gt;=eco))/eco)^n)*((($AM28+$AN28*Geometry!$E$42:$E$59+$AO28*Geometry!$D$42:$D$59))&gt;0))),Geometry!$F$42:$F$59,Geometry!$D$42:$D$59))/1000000</f>
      </c>
      <c r="DI28" s="32">
        <f>(SUMPRODUCT(alpha*fck*(1-(1-((($AP28+$AQ28*Mesh_Y+$AR28*Mesh_X))*(($AP28+$AQ28*Mesh_Y+$AR28*Mesh_X)&gt;0)*(($AP28+$AQ28*Mesh_Y+$AR28*Mesh_X)&lt;eco)+eco*(($AP28+$AQ28*Mesh_Y+$AR28*Mesh_X)&gt;=eco))/eco)^n)*((($AP28+$AQ28*Mesh_Y+$AR28*Mesh_X))&gt;0),Mesh_A,Mesh_X)+SUMPRODUCT((Es*(($AP28+$AQ28*Geometry!$E$42:$E$59+$AR28*Geometry!$D$42:$D$59))*(ABS(Es*(($AP28+$AQ28*Geometry!$E$42:$E$59+$AR28*Geometry!$D$42:$D$59)))&lt;=fy)+fy*(Es*(($AP28+$AQ28*Geometry!$E$42:$E$59+$AR28*Geometry!$D$42:$D$59))&gt;fy)-fy*(Es*(($AP28+$AQ28*Geometry!$E$42:$E$59+$AR28*Geometry!$D$42:$D$59))&lt;-fy)-(alpha*fck*(1-(1-((($AP28+$AQ28*Geometry!$E$42:$E$59+$AR28*Geometry!$D$42:$D$59))*(($AP28+$AQ28*Geometry!$E$42:$E$59+$AR28*Geometry!$D$42:$D$59)&gt;0)*(($AP28+$AQ28*Geometry!$E$42:$E$59+$AR28*Geometry!$D$42:$D$59)&lt;eco)+eco*(($AP28+$AQ28*Geometry!$E$42:$E$59+$AR28*Geometry!$D$42:$D$59)&gt;=eco))/eco)^n)*((($AP28+$AQ28*Geometry!$E$42:$E$59+$AR28*Geometry!$D$42:$D$59))&gt;0))),Geometry!$F$42:$F$59,Geometry!$D$42:$D$59))/1000000</f>
      </c>
      <c r="DJ28" s="32">
        <f>(SUMPRODUCT(alpha*fck*(1-(1-((($AS28+$AT28*Mesh_Y+$AU28*Mesh_X))*(($AS28+$AT28*Mesh_Y+$AU28*Mesh_X)&gt;0)*(($AS28+$AT28*Mesh_Y+$AU28*Mesh_X)&lt;eco)+eco*(($AS28+$AT28*Mesh_Y+$AU28*Mesh_X)&gt;=eco))/eco)^n)*((($AS28+$AT28*Mesh_Y+$AU28*Mesh_X))&gt;0),Mesh_A,Mesh_X)+SUMPRODUCT((Es*(($AS28+$AT28*Geometry!$E$42:$E$59+$AU28*Geometry!$D$42:$D$59))*(ABS(Es*(($AS28+$AT28*Geometry!$E$42:$E$59+$AU28*Geometry!$D$42:$D$59)))&lt;=fy)+fy*(Es*(($AS28+$AT28*Geometry!$E$42:$E$59+$AU28*Geometry!$D$42:$D$59))&gt;fy)-fy*(Es*(($AS28+$AT28*Geometry!$E$42:$E$59+$AU28*Geometry!$D$42:$D$59))&lt;-fy)-(alpha*fck*(1-(1-((($AS28+$AT28*Geometry!$E$42:$E$59+$AU28*Geometry!$D$42:$D$59))*(($AS28+$AT28*Geometry!$E$42:$E$59+$AU28*Geometry!$D$42:$D$59)&gt;0)*(($AS28+$AT28*Geometry!$E$42:$E$59+$AU28*Geometry!$D$42:$D$59)&lt;eco)+eco*(($AS28+$AT28*Geometry!$E$42:$E$59+$AU28*Geometry!$D$42:$D$59)&gt;=eco))/eco)^n)*((($AS28+$AT28*Geometry!$E$42:$E$59+$AU28*Geometry!$D$42:$D$59))&gt;0))),Geometry!$F$42:$F$59,Geometry!$D$42:$D$59))/1000000</f>
      </c>
      <c r="DK28" s="32">
        <f>(SUMPRODUCT(alpha*fck*(1-(1-((($AV28+$AW28*Mesh_Y+$AX28*Mesh_X))*(($AV28+$AW28*Mesh_Y+$AX28*Mesh_X)&gt;0)*(($AV28+$AW28*Mesh_Y+$AX28*Mesh_X)&lt;eco)+eco*(($AV28+$AW28*Mesh_Y+$AX28*Mesh_X)&gt;=eco))/eco)^n)*((($AV28+$AW28*Mesh_Y+$AX28*Mesh_X))&gt;0),Mesh_A,Mesh_X)+SUMPRODUCT((Es*(($AV28+$AW28*Geometry!$E$42:$E$59+$AX28*Geometry!$D$42:$D$59))*(ABS(Es*(($AV28+$AW28*Geometry!$E$42:$E$59+$AX28*Geometry!$D$42:$D$59)))&lt;=fy)+fy*(Es*(($AV28+$AW28*Geometry!$E$42:$E$59+$AX28*Geometry!$D$42:$D$59))&gt;fy)-fy*(Es*(($AV28+$AW28*Geometry!$E$42:$E$59+$AX28*Geometry!$D$42:$D$59))&lt;-fy)-(alpha*fck*(1-(1-((($AV28+$AW28*Geometry!$E$42:$E$59+$AX28*Geometry!$D$42:$D$59))*(($AV28+$AW28*Geometry!$E$42:$E$59+$AX28*Geometry!$D$42:$D$59)&gt;0)*(($AV28+$AW28*Geometry!$E$42:$E$59+$AX28*Geometry!$D$42:$D$59)&lt;eco)+eco*(($AV28+$AW28*Geometry!$E$42:$E$59+$AX28*Geometry!$D$42:$D$59)&gt;=eco))/eco)^n)*((($AV28+$AW28*Geometry!$E$42:$E$59+$AX28*Geometry!$D$42:$D$59))&gt;0))),Geometry!$F$42:$F$59,Geometry!$D$42:$D$59))/1000000</f>
      </c>
      <c r="DL28" s="32">
        <f>(SUMPRODUCT(alpha*fck*(1-(1-((($AY28+$AZ28*Mesh_Y+$BA28*Mesh_X))*(($AY28+$AZ28*Mesh_Y+$BA28*Mesh_X)&gt;0)*(($AY28+$AZ28*Mesh_Y+$BA28*Mesh_X)&lt;eco)+eco*(($AY28+$AZ28*Mesh_Y+$BA28*Mesh_X)&gt;=eco))/eco)^n)*((($AY28+$AZ28*Mesh_Y+$BA28*Mesh_X))&gt;0),Mesh_A,Mesh_X)+SUMPRODUCT((Es*(($AY28+$AZ28*Geometry!$E$42:$E$59+$BA28*Geometry!$D$42:$D$59))*(ABS(Es*(($AY28+$AZ28*Geometry!$E$42:$E$59+$BA28*Geometry!$D$42:$D$59)))&lt;=fy)+fy*(Es*(($AY28+$AZ28*Geometry!$E$42:$E$59+$BA28*Geometry!$D$42:$D$59))&gt;fy)-fy*(Es*(($AY28+$AZ28*Geometry!$E$42:$E$59+$BA28*Geometry!$D$42:$D$59))&lt;-fy)-(alpha*fck*(1-(1-((($AY28+$AZ28*Geometry!$E$42:$E$59+$BA28*Geometry!$D$42:$D$59))*(($AY28+$AZ28*Geometry!$E$42:$E$59+$BA28*Geometry!$D$42:$D$59)&gt;0)*(($AY28+$AZ28*Geometry!$E$42:$E$59+$BA28*Geometry!$D$42:$D$59)&lt;eco)+eco*(($AY28+$AZ28*Geometry!$E$42:$E$59+$BA28*Geometry!$D$42:$D$59)&gt;=eco))/eco)^n)*((($AY28+$AZ28*Geometry!$E$42:$E$59+$BA28*Geometry!$D$42:$D$59))&gt;0))),Geometry!$F$42:$F$59,Geometry!$D$42:$D$59))/1000000</f>
      </c>
      <c r="DM28" s="32">
        <f>(SUMPRODUCT(alpha*fck*(1-(1-((($BB28+$BC28*Mesh_Y+$BD28*Mesh_X))*(($BB28+$BC28*Mesh_Y+$BD28*Mesh_X)&gt;0)*(($BB28+$BC28*Mesh_Y+$BD28*Mesh_X)&lt;eco)+eco*(($BB28+$BC28*Mesh_Y+$BD28*Mesh_X)&gt;=eco))/eco)^n)*((($BB28+$BC28*Mesh_Y+$BD28*Mesh_X))&gt;0),Mesh_A,Mesh_X)+SUMPRODUCT((Es*(($BB28+$BC28*Geometry!$E$42:$E$59+$BD28*Geometry!$D$42:$D$59))*(ABS(Es*(($BB28+$BC28*Geometry!$E$42:$E$59+$BD28*Geometry!$D$42:$D$59)))&lt;=fy)+fy*(Es*(($BB28+$BC28*Geometry!$E$42:$E$59+$BD28*Geometry!$D$42:$D$59))&gt;fy)-fy*(Es*(($BB28+$BC28*Geometry!$E$42:$E$59+$BD28*Geometry!$D$42:$D$59))&lt;-fy)-(alpha*fck*(1-(1-((($BB28+$BC28*Geometry!$E$42:$E$59+$BD28*Geometry!$D$42:$D$59))*(($BB28+$BC28*Geometry!$E$42:$E$59+$BD28*Geometry!$D$42:$D$59)&gt;0)*(($BB28+$BC28*Geometry!$E$42:$E$59+$BD28*Geometry!$D$42:$D$59)&lt;eco)+eco*(($BB28+$BC28*Geometry!$E$42:$E$59+$BD28*Geometry!$D$42:$D$59)&gt;=eco))/eco)^n)*((($BB28+$BC28*Geometry!$E$42:$E$59+$BD28*Geometry!$D$42:$D$59))&gt;0))),Geometry!$F$42:$F$59,Geometry!$D$42:$D$59))/1000000</f>
      </c>
      <c r="DN28" s="32">
        <f>(SUMPRODUCT(alpha*fck*(1-(1-((($BE28+$BF28*Mesh_Y+$BG28*Mesh_X))*(($BE28+$BF28*Mesh_Y+$BG28*Mesh_X)&gt;0)*(($BE28+$BF28*Mesh_Y+$BG28*Mesh_X)&lt;eco)+eco*(($BE28+$BF28*Mesh_Y+$BG28*Mesh_X)&gt;=eco))/eco)^n)*((($BE28+$BF28*Mesh_Y+$BG28*Mesh_X))&gt;0),Mesh_A,Mesh_X)+SUMPRODUCT((Es*(($BE28+$BF28*Geometry!$E$42:$E$59+$BG28*Geometry!$D$42:$D$59))*(ABS(Es*(($BE28+$BF28*Geometry!$E$42:$E$59+$BG28*Geometry!$D$42:$D$59)))&lt;=fy)+fy*(Es*(($BE28+$BF28*Geometry!$E$42:$E$59+$BG28*Geometry!$D$42:$D$59))&gt;fy)-fy*(Es*(($BE28+$BF28*Geometry!$E$42:$E$59+$BG28*Geometry!$D$42:$D$59))&lt;-fy)-(alpha*fck*(1-(1-((($BE28+$BF28*Geometry!$E$42:$E$59+$BG28*Geometry!$D$42:$D$59))*(($BE28+$BF28*Geometry!$E$42:$E$59+$BG28*Geometry!$D$42:$D$59)&gt;0)*(($BE28+$BF28*Geometry!$E$42:$E$59+$BG28*Geometry!$D$42:$D$59)&lt;eco)+eco*(($BE28+$BF28*Geometry!$E$42:$E$59+$BG28*Geometry!$D$42:$D$59)&gt;=eco))/eco)^n)*((($BE28+$BF28*Geometry!$E$42:$E$59+$BG28*Geometry!$D$42:$D$59))&gt;0))),Geometry!$F$42:$F$59,Geometry!$D$42:$D$59))/1000000</f>
      </c>
      <c r="DO28" s="32">
        <f>(SUMPRODUCT(alpha*fck*(1-(1-((($BH28+$BI28*Mesh_Y+$BJ28*Mesh_X))*(($BH28+$BI28*Mesh_Y+$BJ28*Mesh_X)&gt;0)*(($BH28+$BI28*Mesh_Y+$BJ28*Mesh_X)&lt;eco)+eco*(($BH28+$BI28*Mesh_Y+$BJ28*Mesh_X)&gt;=eco))/eco)^n)*((($BH28+$BI28*Mesh_Y+$BJ28*Mesh_X))&gt;0),Mesh_A,Mesh_X)+SUMPRODUCT((Es*(($BH28+$BI28*Geometry!$E$42:$E$59+$BJ28*Geometry!$D$42:$D$59))*(ABS(Es*(($BH28+$BI28*Geometry!$E$42:$E$59+$BJ28*Geometry!$D$42:$D$59)))&lt;=fy)+fy*(Es*(($BH28+$BI28*Geometry!$E$42:$E$59+$BJ28*Geometry!$D$42:$D$59))&gt;fy)-fy*(Es*(($BH28+$BI28*Geometry!$E$42:$E$59+$BJ28*Geometry!$D$42:$D$59))&lt;-fy)-(alpha*fck*(1-(1-((($BH28+$BI28*Geometry!$E$42:$E$59+$BJ28*Geometry!$D$42:$D$59))*(($BH28+$BI28*Geometry!$E$42:$E$59+$BJ28*Geometry!$D$42:$D$59)&gt;0)*(($BH28+$BI28*Geometry!$E$42:$E$59+$BJ28*Geometry!$D$42:$D$59)&lt;eco)+eco*(($BH28+$BI28*Geometry!$E$42:$E$59+$BJ28*Geometry!$D$42:$D$59)&gt;=eco))/eco)^n)*((($BH28+$BI28*Geometry!$E$42:$E$59+$BJ28*Geometry!$D$42:$D$59))&gt;0))),Geometry!$F$42:$F$59,Geometry!$D$42:$D$59))/1000000</f>
      </c>
      <c r="DP28" s="45">
        <f>MAX(1,MIN(18,SUMPRODUCT(--($BK28:$CC28&gt;=Pu))))</f>
      </c>
      <c r="DQ28" s="46">
        <f>(Pu-INDEX($BK28:$CC28,1,$DP28))/(INDEX($BK28:$CC28,1,$DP28+1)-INDEX($BK28:$CC28,1,$DP28))</f>
      </c>
      <c r="DR28" s="33">
        <f>INDEX($CD28:$CV28,1,$DP28)+$DQ28*(INDEX($CD28:$CV28,1,$DP28+1)-INDEX($CD28:$CV28,1,$DP28))</f>
      </c>
      <c r="DS28" s="33">
        <f>INDEX($CW28:$DO28,1,$DP28)+$DQ28*(INDEX($CW28:$DO28,1,$DP28+1)-INDEX($CW28:$DO28,1,$DP28))</f>
      </c>
      <c r="DT28" s="33">
        <f>SQRT(DR28^2+DS28^2)</f>
      </c>
    </row>
    <row r="29" spans="1:124" x14ac:dyDescent="0.25">
      <c r="A29">
        <v>22</v>
      </c>
      <c r="B29" s="43">
        <v>315</v>
      </c>
      <c r="C29" s="12">
        <f>MAX(SUMPRODUCT(MAX((Geometry!$E$6:$E$13)*COS(RADIANS($B29))+(Geometry!$D$6:$D$13)*SIN(RADIANS($B29)))))</f>
      </c>
      <c r="D29" s="12">
        <f>SUMPRODUCT(MIN((Geometry!$E$42:$E$59)*COS(RADIANS($B29))+(Geometry!$D$42:$D$59)*SIN(RADIANS($B29))))</f>
      </c>
      <c r="E29" s="12">
        <f>C29-D29</f>
      </c>
      <c r="F29" s="30">
        <f>ecu</f>
      </c>
      <c r="G29" s="44">
        <f>0*COS(RADIANS($B29))</f>
      </c>
      <c r="H29" s="44">
        <f>0*SIN(RADIANS($B29))</f>
      </c>
      <c r="I29" s="30">
        <f>ecu-((ecu-0)/($C29-($C29-PM_Angle!$C$8*$E29)))*$C29</f>
      </c>
      <c r="J29" s="44">
        <f>((ecu-0)/($C29-($C29-PM_Angle!$C$8*$E29)))*COS(RADIANS($B29))</f>
      </c>
      <c r="K29" s="44">
        <f>((ecu-0)/($C29-($C29-PM_Angle!$C$8*$E29)))*SIN(RADIANS($B29))</f>
      </c>
      <c r="L29" s="30">
        <f>ecu-((ecu-0)/($C29-($C29-PM_Angle!$C$9*$E29)))*$C29</f>
      </c>
      <c r="M29" s="44">
        <f>((ecu-0)/($C29-($C29-PM_Angle!$C$9*$E29)))*COS(RADIANS($B29))</f>
      </c>
      <c r="N29" s="44">
        <f>((ecu-0)/($C29-($C29-PM_Angle!$C$9*$E29)))*SIN(RADIANS($B29))</f>
      </c>
      <c r="O29" s="30">
        <f>ecu-((ecu-0)/($C29-($C29-PM_Angle!$C$10*$E29)))*$C29</f>
      </c>
      <c r="P29" s="44">
        <f>((ecu-0)/($C29-($C29-PM_Angle!$C$10*$E29)))*COS(RADIANS($B29))</f>
      </c>
      <c r="Q29" s="44">
        <f>((ecu-0)/($C29-($C29-PM_Angle!$C$10*$E29)))*SIN(RADIANS($B29))</f>
      </c>
      <c r="R29" s="30">
        <f>ecu-((ecu-0)/($C29-($C29-PM_Angle!$C$11*$E29)))*$C29</f>
      </c>
      <c r="S29" s="44">
        <f>((ecu-0)/($C29-($C29-PM_Angle!$C$11*$E29)))*COS(RADIANS($B29))</f>
      </c>
      <c r="T29" s="44">
        <f>((ecu-0)/($C29-($C29-PM_Angle!$C$11*$E29)))*SIN(RADIANS($B29))</f>
      </c>
      <c r="U29" s="30">
        <f>ecu-((ecu-(-PM_Angle!$E$12))/($C29-$D29))*$C29</f>
      </c>
      <c r="V29" s="44">
        <f>((ecu-(-PM_Angle!$E$12))/($C29-$D29))*COS(RADIANS($B29))</f>
      </c>
      <c r="W29" s="44">
        <f>((ecu-(-PM_Angle!$E$12))/($C29-$D29))*SIN(RADIANS($B29))</f>
      </c>
      <c r="X29" s="30">
        <f>ecu-((ecu-(-PM_Angle!$D$13*fy/Es))/($C29-$D29))*$C29</f>
      </c>
      <c r="Y29" s="44">
        <f>((ecu-(-PM_Angle!$D$13*fy/Es))/($C29-$D29))*COS(RADIANS($B29))</f>
      </c>
      <c r="Z29" s="44">
        <f>((ecu-(-PM_Angle!$D$13*fy/Es))/($C29-$D29))*SIN(RADIANS($B29))</f>
      </c>
      <c r="AA29" s="30">
        <f>ecu-((ecu-(-PM_Angle!$D$14*fy/Es))/($C29-$D29))*$C29</f>
      </c>
      <c r="AB29" s="44">
        <f>((ecu-(-PM_Angle!$D$14*fy/Es))/($C29-$D29))*COS(RADIANS($B29))</f>
      </c>
      <c r="AC29" s="44">
        <f>((ecu-(-PM_Angle!$D$14*fy/Es))/($C29-$D29))*SIN(RADIANS($B29))</f>
      </c>
      <c r="AD29" s="30">
        <f>ecu-((ecu-(-PM_Angle!$D$15*fy/Es))/($C29-$D29))*$C29</f>
      </c>
      <c r="AE29" s="44">
        <f>((ecu-(-PM_Angle!$D$15*fy/Es))/($C29-$D29))*COS(RADIANS($B29))</f>
      </c>
      <c r="AF29" s="44">
        <f>((ecu-(-PM_Angle!$D$15*fy/Es))/($C29-$D29))*SIN(RADIANS($B29))</f>
      </c>
      <c r="AG29" s="30">
        <f>ecu-((ecu-(-PM_Angle!$D$16*fy/Es))/($C29-$D29))*$C29</f>
      </c>
      <c r="AH29" s="44">
        <f>((ecu-(-PM_Angle!$D$16*fy/Es))/($C29-$D29))*COS(RADIANS($B29))</f>
      </c>
      <c r="AI29" s="44">
        <f>((ecu-(-PM_Angle!$D$16*fy/Es))/($C29-$D29))*SIN(RADIANS($B29))</f>
      </c>
      <c r="AJ29" s="30">
        <f>ecu-((ecu-(-PM_Angle!$E$17))/($C29-$D29))*$C29</f>
      </c>
      <c r="AK29" s="44">
        <f>((ecu-(-PM_Angle!$E$17))/($C29-$D29))*COS(RADIANS($B29))</f>
      </c>
      <c r="AL29" s="44">
        <f>((ecu-(-PM_Angle!$E$17))/($C29-$D29))*SIN(RADIANS($B29))</f>
      </c>
      <c r="AM29" s="30">
        <f>ecu-((ecu-(-PM_Angle!$E$18))/($C29-$D29))*$C29</f>
      </c>
      <c r="AN29" s="44">
        <f>((ecu-(-PM_Angle!$E$18))/($C29-$D29))*COS(RADIANS($B29))</f>
      </c>
      <c r="AO29" s="44">
        <f>((ecu-(-PM_Angle!$E$18))/($C29-$D29))*SIN(RADIANS($B29))</f>
      </c>
      <c r="AP29" s="30">
        <f>ecu-((ecu-(-PM_Angle!$E$19))/($C29-$D29))*$C29</f>
      </c>
      <c r="AQ29" s="44">
        <f>((ecu-(-PM_Angle!$E$19))/($C29-$D29))*COS(RADIANS($B29))</f>
      </c>
      <c r="AR29" s="44">
        <f>((ecu-(-PM_Angle!$E$19))/($C29-$D29))*SIN(RADIANS($B29))</f>
      </c>
      <c r="AS29" s="30">
        <f>ecu-((ecu-(-PM_Angle!$E$20))/($C29-$D29))*$C29</f>
      </c>
      <c r="AT29" s="44">
        <f>((ecu-(-PM_Angle!$E$20))/($C29-$D29))*COS(RADIANS($B29))</f>
      </c>
      <c r="AU29" s="44">
        <f>((ecu-(-PM_Angle!$E$20))/($C29-$D29))*SIN(RADIANS($B29))</f>
      </c>
      <c r="AV29" s="30">
        <f>ecu-((ecu-(-PM_Angle!$E$21))/($C29-$D29))*$C29</f>
      </c>
      <c r="AW29" s="44">
        <f>((ecu-(-PM_Angle!$E$21))/($C29-$D29))*COS(RADIANS($B29))</f>
      </c>
      <c r="AX29" s="44">
        <f>((ecu-(-PM_Angle!$E$21))/($C29-$D29))*SIN(RADIANS($B29))</f>
      </c>
      <c r="AY29" s="30">
        <f>ecu-((ecu-(-PM_Angle!$E$22))/($C29-$D29))*$C29</f>
      </c>
      <c r="AZ29" s="44">
        <f>((ecu-(-PM_Angle!$E$22))/($C29-$D29))*COS(RADIANS($B29))</f>
      </c>
      <c r="BA29" s="44">
        <f>((ecu-(-PM_Angle!$E$22))/($C29-$D29))*SIN(RADIANS($B29))</f>
      </c>
      <c r="BB29" s="30">
        <f>ecu-((ecu-(-PM_Angle!$E$23))/($C29-$D29))*$C29</f>
      </c>
      <c r="BC29" s="44">
        <f>((ecu-(-PM_Angle!$E$23))/($C29-$D29))*COS(RADIANS($B29))</f>
      </c>
      <c r="BD29" s="44">
        <f>((ecu-(-PM_Angle!$E$23))/($C29-$D29))*SIN(RADIANS($B29))</f>
      </c>
      <c r="BE29" s="30">
        <f>ecu-((ecu-(-PM_Angle!$E$24))/($C29-$D29))*$C29</f>
      </c>
      <c r="BF29" s="44">
        <f>((ecu-(-PM_Angle!$E$24))/($C29-$D29))*COS(RADIANS($B29))</f>
      </c>
      <c r="BG29" s="44">
        <f>((ecu-(-PM_Angle!$E$24))/($C29-$D29))*SIN(RADIANS($B29))</f>
      </c>
      <c r="BH29" s="30">
        <f>etu</f>
      </c>
      <c r="BI29" s="44">
        <f>0*COS(RADIANS($B29))</f>
      </c>
      <c r="BJ29" s="44">
        <f>0*SIN(RADIANS($B29))</f>
      </c>
      <c r="BK29" s="32">
        <f>(SUMPRODUCT(alpha*fck*(1-(1-((($F29+$G29*Mesh_Y+$H29*Mesh_X))*(($F29+$G29*Mesh_Y+$H29*Mesh_X)&gt;0)*(($F29+$G29*Mesh_Y+$H29*Mesh_X)&lt;eco)+eco*(($F29+$G29*Mesh_Y+$H29*Mesh_X)&gt;=eco))/eco)^n)*((($F29+$G29*Mesh_Y+$H29*Mesh_X))&gt;0),Mesh_A)+SUMPRODUCT((Es*(($F29+$G29*Geometry!$E$42:$E$59+$H29*Geometry!$D$42:$D$59))*(ABS(Es*(($F29+$G29*Geometry!$E$42:$E$59+$H29*Geometry!$D$42:$D$59)))&lt;=fy)+fy*(Es*(($F29+$G29*Geometry!$E$42:$E$59+$H29*Geometry!$D$42:$D$59))&gt;fy)-fy*(Es*(($F29+$G29*Geometry!$E$42:$E$59+$H29*Geometry!$D$42:$D$59))&lt;-fy)-(alpha*fck*(1-(1-((($F29+$G29*Geometry!$E$42:$E$59+$H29*Geometry!$D$42:$D$59))*(($F29+$G29*Geometry!$E$42:$E$59+$H29*Geometry!$D$42:$D$59)&gt;0)*(($F29+$G29*Geometry!$E$42:$E$59+$H29*Geometry!$D$42:$D$59)&lt;eco)+eco*(($F29+$G29*Geometry!$E$42:$E$59+$H29*Geometry!$D$42:$D$59)&gt;=eco))/eco)^n)*((($F29+$G29*Geometry!$E$42:$E$59+$H29*Geometry!$D$42:$D$59))&gt;0))),Geometry!$F$42:$F$59))/1000</f>
      </c>
      <c r="BL29" s="32">
        <f>(SUMPRODUCT(alpha*fck*(1-(1-((($I29+$J29*Mesh_Y+$K29*Mesh_X))*(($I29+$J29*Mesh_Y+$K29*Mesh_X)&gt;0)*(($I29+$J29*Mesh_Y+$K29*Mesh_X)&lt;eco)+eco*(($I29+$J29*Mesh_Y+$K29*Mesh_X)&gt;=eco))/eco)^n)*((($I29+$J29*Mesh_Y+$K29*Mesh_X))&gt;0),Mesh_A)+SUMPRODUCT((Es*(($I29+$J29*Geometry!$E$42:$E$59+$K29*Geometry!$D$42:$D$59))*(ABS(Es*(($I29+$J29*Geometry!$E$42:$E$59+$K29*Geometry!$D$42:$D$59)))&lt;=fy)+fy*(Es*(($I29+$J29*Geometry!$E$42:$E$59+$K29*Geometry!$D$42:$D$59))&gt;fy)-fy*(Es*(($I29+$J29*Geometry!$E$42:$E$59+$K29*Geometry!$D$42:$D$59))&lt;-fy)-(alpha*fck*(1-(1-((($I29+$J29*Geometry!$E$42:$E$59+$K29*Geometry!$D$42:$D$59))*(($I29+$J29*Geometry!$E$42:$E$59+$K29*Geometry!$D$42:$D$59)&gt;0)*(($I29+$J29*Geometry!$E$42:$E$59+$K29*Geometry!$D$42:$D$59)&lt;eco)+eco*(($I29+$J29*Geometry!$E$42:$E$59+$K29*Geometry!$D$42:$D$59)&gt;=eco))/eco)^n)*((($I29+$J29*Geometry!$E$42:$E$59+$K29*Geometry!$D$42:$D$59))&gt;0))),Geometry!$F$42:$F$59))/1000</f>
      </c>
      <c r="BM29" s="32">
        <f>(SUMPRODUCT(alpha*fck*(1-(1-((($L29+$M29*Mesh_Y+$N29*Mesh_X))*(($L29+$M29*Mesh_Y+$N29*Mesh_X)&gt;0)*(($L29+$M29*Mesh_Y+$N29*Mesh_X)&lt;eco)+eco*(($L29+$M29*Mesh_Y+$N29*Mesh_X)&gt;=eco))/eco)^n)*((($L29+$M29*Mesh_Y+$N29*Mesh_X))&gt;0),Mesh_A)+SUMPRODUCT((Es*(($L29+$M29*Geometry!$E$42:$E$59+$N29*Geometry!$D$42:$D$59))*(ABS(Es*(($L29+$M29*Geometry!$E$42:$E$59+$N29*Geometry!$D$42:$D$59)))&lt;=fy)+fy*(Es*(($L29+$M29*Geometry!$E$42:$E$59+$N29*Geometry!$D$42:$D$59))&gt;fy)-fy*(Es*(($L29+$M29*Geometry!$E$42:$E$59+$N29*Geometry!$D$42:$D$59))&lt;-fy)-(alpha*fck*(1-(1-((($L29+$M29*Geometry!$E$42:$E$59+$N29*Geometry!$D$42:$D$59))*(($L29+$M29*Geometry!$E$42:$E$59+$N29*Geometry!$D$42:$D$59)&gt;0)*(($L29+$M29*Geometry!$E$42:$E$59+$N29*Geometry!$D$42:$D$59)&lt;eco)+eco*(($L29+$M29*Geometry!$E$42:$E$59+$N29*Geometry!$D$42:$D$59)&gt;=eco))/eco)^n)*((($L29+$M29*Geometry!$E$42:$E$59+$N29*Geometry!$D$42:$D$59))&gt;0))),Geometry!$F$42:$F$59))/1000</f>
      </c>
      <c r="BN29" s="32">
        <f>(SUMPRODUCT(alpha*fck*(1-(1-((($O29+$P29*Mesh_Y+$Q29*Mesh_X))*(($O29+$P29*Mesh_Y+$Q29*Mesh_X)&gt;0)*(($O29+$P29*Mesh_Y+$Q29*Mesh_X)&lt;eco)+eco*(($O29+$P29*Mesh_Y+$Q29*Mesh_X)&gt;=eco))/eco)^n)*((($O29+$P29*Mesh_Y+$Q29*Mesh_X))&gt;0),Mesh_A)+SUMPRODUCT((Es*(($O29+$P29*Geometry!$E$42:$E$59+$Q29*Geometry!$D$42:$D$59))*(ABS(Es*(($O29+$P29*Geometry!$E$42:$E$59+$Q29*Geometry!$D$42:$D$59)))&lt;=fy)+fy*(Es*(($O29+$P29*Geometry!$E$42:$E$59+$Q29*Geometry!$D$42:$D$59))&gt;fy)-fy*(Es*(($O29+$P29*Geometry!$E$42:$E$59+$Q29*Geometry!$D$42:$D$59))&lt;-fy)-(alpha*fck*(1-(1-((($O29+$P29*Geometry!$E$42:$E$59+$Q29*Geometry!$D$42:$D$59))*(($O29+$P29*Geometry!$E$42:$E$59+$Q29*Geometry!$D$42:$D$59)&gt;0)*(($O29+$P29*Geometry!$E$42:$E$59+$Q29*Geometry!$D$42:$D$59)&lt;eco)+eco*(($O29+$P29*Geometry!$E$42:$E$59+$Q29*Geometry!$D$42:$D$59)&gt;=eco))/eco)^n)*((($O29+$P29*Geometry!$E$42:$E$59+$Q29*Geometry!$D$42:$D$59))&gt;0))),Geometry!$F$42:$F$59))/1000</f>
      </c>
      <c r="BO29" s="32">
        <f>(SUMPRODUCT(alpha*fck*(1-(1-((($R29+$S29*Mesh_Y+$T29*Mesh_X))*(($R29+$S29*Mesh_Y+$T29*Mesh_X)&gt;0)*(($R29+$S29*Mesh_Y+$T29*Mesh_X)&lt;eco)+eco*(($R29+$S29*Mesh_Y+$T29*Mesh_X)&gt;=eco))/eco)^n)*((($R29+$S29*Mesh_Y+$T29*Mesh_X))&gt;0),Mesh_A)+SUMPRODUCT((Es*(($R29+$S29*Geometry!$E$42:$E$59+$T29*Geometry!$D$42:$D$59))*(ABS(Es*(($R29+$S29*Geometry!$E$42:$E$59+$T29*Geometry!$D$42:$D$59)))&lt;=fy)+fy*(Es*(($R29+$S29*Geometry!$E$42:$E$59+$T29*Geometry!$D$42:$D$59))&gt;fy)-fy*(Es*(($R29+$S29*Geometry!$E$42:$E$59+$T29*Geometry!$D$42:$D$59))&lt;-fy)-(alpha*fck*(1-(1-((($R29+$S29*Geometry!$E$42:$E$59+$T29*Geometry!$D$42:$D$59))*(($R29+$S29*Geometry!$E$42:$E$59+$T29*Geometry!$D$42:$D$59)&gt;0)*(($R29+$S29*Geometry!$E$42:$E$59+$T29*Geometry!$D$42:$D$59)&lt;eco)+eco*(($R29+$S29*Geometry!$E$42:$E$59+$T29*Geometry!$D$42:$D$59)&gt;=eco))/eco)^n)*((($R29+$S29*Geometry!$E$42:$E$59+$T29*Geometry!$D$42:$D$59))&gt;0))),Geometry!$F$42:$F$59))/1000</f>
      </c>
      <c r="BP29" s="32">
        <f>(SUMPRODUCT(alpha*fck*(1-(1-((($U29+$V29*Mesh_Y+$W29*Mesh_X))*(($U29+$V29*Mesh_Y+$W29*Mesh_X)&gt;0)*(($U29+$V29*Mesh_Y+$W29*Mesh_X)&lt;eco)+eco*(($U29+$V29*Mesh_Y+$W29*Mesh_X)&gt;=eco))/eco)^n)*((($U29+$V29*Mesh_Y+$W29*Mesh_X))&gt;0),Mesh_A)+SUMPRODUCT((Es*(($U29+$V29*Geometry!$E$42:$E$59+$W29*Geometry!$D$42:$D$59))*(ABS(Es*(($U29+$V29*Geometry!$E$42:$E$59+$W29*Geometry!$D$42:$D$59)))&lt;=fy)+fy*(Es*(($U29+$V29*Geometry!$E$42:$E$59+$W29*Geometry!$D$42:$D$59))&gt;fy)-fy*(Es*(($U29+$V29*Geometry!$E$42:$E$59+$W29*Geometry!$D$42:$D$59))&lt;-fy)-(alpha*fck*(1-(1-((($U29+$V29*Geometry!$E$42:$E$59+$W29*Geometry!$D$42:$D$59))*(($U29+$V29*Geometry!$E$42:$E$59+$W29*Geometry!$D$42:$D$59)&gt;0)*(($U29+$V29*Geometry!$E$42:$E$59+$W29*Geometry!$D$42:$D$59)&lt;eco)+eco*(($U29+$V29*Geometry!$E$42:$E$59+$W29*Geometry!$D$42:$D$59)&gt;=eco))/eco)^n)*((($U29+$V29*Geometry!$E$42:$E$59+$W29*Geometry!$D$42:$D$59))&gt;0))),Geometry!$F$42:$F$59))/1000</f>
      </c>
      <c r="BQ29" s="32">
        <f>(SUMPRODUCT(alpha*fck*(1-(1-((($X29+$Y29*Mesh_Y+$Z29*Mesh_X))*(($X29+$Y29*Mesh_Y+$Z29*Mesh_X)&gt;0)*(($X29+$Y29*Mesh_Y+$Z29*Mesh_X)&lt;eco)+eco*(($X29+$Y29*Mesh_Y+$Z29*Mesh_X)&gt;=eco))/eco)^n)*((($X29+$Y29*Mesh_Y+$Z29*Mesh_X))&gt;0),Mesh_A)+SUMPRODUCT((Es*(($X29+$Y29*Geometry!$E$42:$E$59+$Z29*Geometry!$D$42:$D$59))*(ABS(Es*(($X29+$Y29*Geometry!$E$42:$E$59+$Z29*Geometry!$D$42:$D$59)))&lt;=fy)+fy*(Es*(($X29+$Y29*Geometry!$E$42:$E$59+$Z29*Geometry!$D$42:$D$59))&gt;fy)-fy*(Es*(($X29+$Y29*Geometry!$E$42:$E$59+$Z29*Geometry!$D$42:$D$59))&lt;-fy)-(alpha*fck*(1-(1-((($X29+$Y29*Geometry!$E$42:$E$59+$Z29*Geometry!$D$42:$D$59))*(($X29+$Y29*Geometry!$E$42:$E$59+$Z29*Geometry!$D$42:$D$59)&gt;0)*(($X29+$Y29*Geometry!$E$42:$E$59+$Z29*Geometry!$D$42:$D$59)&lt;eco)+eco*(($X29+$Y29*Geometry!$E$42:$E$59+$Z29*Geometry!$D$42:$D$59)&gt;=eco))/eco)^n)*((($X29+$Y29*Geometry!$E$42:$E$59+$Z29*Geometry!$D$42:$D$59))&gt;0))),Geometry!$F$42:$F$59))/1000</f>
      </c>
      <c r="BR29" s="32">
        <f>(SUMPRODUCT(alpha*fck*(1-(1-((($AA29+$AB29*Mesh_Y+$AC29*Mesh_X))*(($AA29+$AB29*Mesh_Y+$AC29*Mesh_X)&gt;0)*(($AA29+$AB29*Mesh_Y+$AC29*Mesh_X)&lt;eco)+eco*(($AA29+$AB29*Mesh_Y+$AC29*Mesh_X)&gt;=eco))/eco)^n)*((($AA29+$AB29*Mesh_Y+$AC29*Mesh_X))&gt;0),Mesh_A)+SUMPRODUCT((Es*(($AA29+$AB29*Geometry!$E$42:$E$59+$AC29*Geometry!$D$42:$D$59))*(ABS(Es*(($AA29+$AB29*Geometry!$E$42:$E$59+$AC29*Geometry!$D$42:$D$59)))&lt;=fy)+fy*(Es*(($AA29+$AB29*Geometry!$E$42:$E$59+$AC29*Geometry!$D$42:$D$59))&gt;fy)-fy*(Es*(($AA29+$AB29*Geometry!$E$42:$E$59+$AC29*Geometry!$D$42:$D$59))&lt;-fy)-(alpha*fck*(1-(1-((($AA29+$AB29*Geometry!$E$42:$E$59+$AC29*Geometry!$D$42:$D$59))*(($AA29+$AB29*Geometry!$E$42:$E$59+$AC29*Geometry!$D$42:$D$59)&gt;0)*(($AA29+$AB29*Geometry!$E$42:$E$59+$AC29*Geometry!$D$42:$D$59)&lt;eco)+eco*(($AA29+$AB29*Geometry!$E$42:$E$59+$AC29*Geometry!$D$42:$D$59)&gt;=eco))/eco)^n)*((($AA29+$AB29*Geometry!$E$42:$E$59+$AC29*Geometry!$D$42:$D$59))&gt;0))),Geometry!$F$42:$F$59))/1000</f>
      </c>
      <c r="BS29" s="32">
        <f>(SUMPRODUCT(alpha*fck*(1-(1-((($AD29+$AE29*Mesh_Y+$AF29*Mesh_X))*(($AD29+$AE29*Mesh_Y+$AF29*Mesh_X)&gt;0)*(($AD29+$AE29*Mesh_Y+$AF29*Mesh_X)&lt;eco)+eco*(($AD29+$AE29*Mesh_Y+$AF29*Mesh_X)&gt;=eco))/eco)^n)*((($AD29+$AE29*Mesh_Y+$AF29*Mesh_X))&gt;0),Mesh_A)+SUMPRODUCT((Es*(($AD29+$AE29*Geometry!$E$42:$E$59+$AF29*Geometry!$D$42:$D$59))*(ABS(Es*(($AD29+$AE29*Geometry!$E$42:$E$59+$AF29*Geometry!$D$42:$D$59)))&lt;=fy)+fy*(Es*(($AD29+$AE29*Geometry!$E$42:$E$59+$AF29*Geometry!$D$42:$D$59))&gt;fy)-fy*(Es*(($AD29+$AE29*Geometry!$E$42:$E$59+$AF29*Geometry!$D$42:$D$59))&lt;-fy)-(alpha*fck*(1-(1-((($AD29+$AE29*Geometry!$E$42:$E$59+$AF29*Geometry!$D$42:$D$59))*(($AD29+$AE29*Geometry!$E$42:$E$59+$AF29*Geometry!$D$42:$D$59)&gt;0)*(($AD29+$AE29*Geometry!$E$42:$E$59+$AF29*Geometry!$D$42:$D$59)&lt;eco)+eco*(($AD29+$AE29*Geometry!$E$42:$E$59+$AF29*Geometry!$D$42:$D$59)&gt;=eco))/eco)^n)*((($AD29+$AE29*Geometry!$E$42:$E$59+$AF29*Geometry!$D$42:$D$59))&gt;0))),Geometry!$F$42:$F$59))/1000</f>
      </c>
      <c r="BT29" s="32">
        <f>(SUMPRODUCT(alpha*fck*(1-(1-((($AG29+$AH29*Mesh_Y+$AI29*Mesh_X))*(($AG29+$AH29*Mesh_Y+$AI29*Mesh_X)&gt;0)*(($AG29+$AH29*Mesh_Y+$AI29*Mesh_X)&lt;eco)+eco*(($AG29+$AH29*Mesh_Y+$AI29*Mesh_X)&gt;=eco))/eco)^n)*((($AG29+$AH29*Mesh_Y+$AI29*Mesh_X))&gt;0),Mesh_A)+SUMPRODUCT((Es*(($AG29+$AH29*Geometry!$E$42:$E$59+$AI29*Geometry!$D$42:$D$59))*(ABS(Es*(($AG29+$AH29*Geometry!$E$42:$E$59+$AI29*Geometry!$D$42:$D$59)))&lt;=fy)+fy*(Es*(($AG29+$AH29*Geometry!$E$42:$E$59+$AI29*Geometry!$D$42:$D$59))&gt;fy)-fy*(Es*(($AG29+$AH29*Geometry!$E$42:$E$59+$AI29*Geometry!$D$42:$D$59))&lt;-fy)-(alpha*fck*(1-(1-((($AG29+$AH29*Geometry!$E$42:$E$59+$AI29*Geometry!$D$42:$D$59))*(($AG29+$AH29*Geometry!$E$42:$E$59+$AI29*Geometry!$D$42:$D$59)&gt;0)*(($AG29+$AH29*Geometry!$E$42:$E$59+$AI29*Geometry!$D$42:$D$59)&lt;eco)+eco*(($AG29+$AH29*Geometry!$E$42:$E$59+$AI29*Geometry!$D$42:$D$59)&gt;=eco))/eco)^n)*((($AG29+$AH29*Geometry!$E$42:$E$59+$AI29*Geometry!$D$42:$D$59))&gt;0))),Geometry!$F$42:$F$59))/1000</f>
      </c>
      <c r="BU29" s="32">
        <f>(SUMPRODUCT(alpha*fck*(1-(1-((($AJ29+$AK29*Mesh_Y+$AL29*Mesh_X))*(($AJ29+$AK29*Mesh_Y+$AL29*Mesh_X)&gt;0)*(($AJ29+$AK29*Mesh_Y+$AL29*Mesh_X)&lt;eco)+eco*(($AJ29+$AK29*Mesh_Y+$AL29*Mesh_X)&gt;=eco))/eco)^n)*((($AJ29+$AK29*Mesh_Y+$AL29*Mesh_X))&gt;0),Mesh_A)+SUMPRODUCT((Es*(($AJ29+$AK29*Geometry!$E$42:$E$59+$AL29*Geometry!$D$42:$D$59))*(ABS(Es*(($AJ29+$AK29*Geometry!$E$42:$E$59+$AL29*Geometry!$D$42:$D$59)))&lt;=fy)+fy*(Es*(($AJ29+$AK29*Geometry!$E$42:$E$59+$AL29*Geometry!$D$42:$D$59))&gt;fy)-fy*(Es*(($AJ29+$AK29*Geometry!$E$42:$E$59+$AL29*Geometry!$D$42:$D$59))&lt;-fy)-(alpha*fck*(1-(1-((($AJ29+$AK29*Geometry!$E$42:$E$59+$AL29*Geometry!$D$42:$D$59))*(($AJ29+$AK29*Geometry!$E$42:$E$59+$AL29*Geometry!$D$42:$D$59)&gt;0)*(($AJ29+$AK29*Geometry!$E$42:$E$59+$AL29*Geometry!$D$42:$D$59)&lt;eco)+eco*(($AJ29+$AK29*Geometry!$E$42:$E$59+$AL29*Geometry!$D$42:$D$59)&gt;=eco))/eco)^n)*((($AJ29+$AK29*Geometry!$E$42:$E$59+$AL29*Geometry!$D$42:$D$59))&gt;0))),Geometry!$F$42:$F$59))/1000</f>
      </c>
      <c r="BV29" s="32">
        <f>(SUMPRODUCT(alpha*fck*(1-(1-((($AM29+$AN29*Mesh_Y+$AO29*Mesh_X))*(($AM29+$AN29*Mesh_Y+$AO29*Mesh_X)&gt;0)*(($AM29+$AN29*Mesh_Y+$AO29*Mesh_X)&lt;eco)+eco*(($AM29+$AN29*Mesh_Y+$AO29*Mesh_X)&gt;=eco))/eco)^n)*((($AM29+$AN29*Mesh_Y+$AO29*Mesh_X))&gt;0),Mesh_A)+SUMPRODUCT((Es*(($AM29+$AN29*Geometry!$E$42:$E$59+$AO29*Geometry!$D$42:$D$59))*(ABS(Es*(($AM29+$AN29*Geometry!$E$42:$E$59+$AO29*Geometry!$D$42:$D$59)))&lt;=fy)+fy*(Es*(($AM29+$AN29*Geometry!$E$42:$E$59+$AO29*Geometry!$D$42:$D$59))&gt;fy)-fy*(Es*(($AM29+$AN29*Geometry!$E$42:$E$59+$AO29*Geometry!$D$42:$D$59))&lt;-fy)-(alpha*fck*(1-(1-((($AM29+$AN29*Geometry!$E$42:$E$59+$AO29*Geometry!$D$42:$D$59))*(($AM29+$AN29*Geometry!$E$42:$E$59+$AO29*Geometry!$D$42:$D$59)&gt;0)*(($AM29+$AN29*Geometry!$E$42:$E$59+$AO29*Geometry!$D$42:$D$59)&lt;eco)+eco*(($AM29+$AN29*Geometry!$E$42:$E$59+$AO29*Geometry!$D$42:$D$59)&gt;=eco))/eco)^n)*((($AM29+$AN29*Geometry!$E$42:$E$59+$AO29*Geometry!$D$42:$D$59))&gt;0))),Geometry!$F$42:$F$59))/1000</f>
      </c>
      <c r="BW29" s="32">
        <f>(SUMPRODUCT(alpha*fck*(1-(1-((($AP29+$AQ29*Mesh_Y+$AR29*Mesh_X))*(($AP29+$AQ29*Mesh_Y+$AR29*Mesh_X)&gt;0)*(($AP29+$AQ29*Mesh_Y+$AR29*Mesh_X)&lt;eco)+eco*(($AP29+$AQ29*Mesh_Y+$AR29*Mesh_X)&gt;=eco))/eco)^n)*((($AP29+$AQ29*Mesh_Y+$AR29*Mesh_X))&gt;0),Mesh_A)+SUMPRODUCT((Es*(($AP29+$AQ29*Geometry!$E$42:$E$59+$AR29*Geometry!$D$42:$D$59))*(ABS(Es*(($AP29+$AQ29*Geometry!$E$42:$E$59+$AR29*Geometry!$D$42:$D$59)))&lt;=fy)+fy*(Es*(($AP29+$AQ29*Geometry!$E$42:$E$59+$AR29*Geometry!$D$42:$D$59))&gt;fy)-fy*(Es*(($AP29+$AQ29*Geometry!$E$42:$E$59+$AR29*Geometry!$D$42:$D$59))&lt;-fy)-(alpha*fck*(1-(1-((($AP29+$AQ29*Geometry!$E$42:$E$59+$AR29*Geometry!$D$42:$D$59))*(($AP29+$AQ29*Geometry!$E$42:$E$59+$AR29*Geometry!$D$42:$D$59)&gt;0)*(($AP29+$AQ29*Geometry!$E$42:$E$59+$AR29*Geometry!$D$42:$D$59)&lt;eco)+eco*(($AP29+$AQ29*Geometry!$E$42:$E$59+$AR29*Geometry!$D$42:$D$59)&gt;=eco))/eco)^n)*((($AP29+$AQ29*Geometry!$E$42:$E$59+$AR29*Geometry!$D$42:$D$59))&gt;0))),Geometry!$F$42:$F$59))/1000</f>
      </c>
      <c r="BX29" s="32">
        <f>(SUMPRODUCT(alpha*fck*(1-(1-((($AS29+$AT29*Mesh_Y+$AU29*Mesh_X))*(($AS29+$AT29*Mesh_Y+$AU29*Mesh_X)&gt;0)*(($AS29+$AT29*Mesh_Y+$AU29*Mesh_X)&lt;eco)+eco*(($AS29+$AT29*Mesh_Y+$AU29*Mesh_X)&gt;=eco))/eco)^n)*((($AS29+$AT29*Mesh_Y+$AU29*Mesh_X))&gt;0),Mesh_A)+SUMPRODUCT((Es*(($AS29+$AT29*Geometry!$E$42:$E$59+$AU29*Geometry!$D$42:$D$59))*(ABS(Es*(($AS29+$AT29*Geometry!$E$42:$E$59+$AU29*Geometry!$D$42:$D$59)))&lt;=fy)+fy*(Es*(($AS29+$AT29*Geometry!$E$42:$E$59+$AU29*Geometry!$D$42:$D$59))&gt;fy)-fy*(Es*(($AS29+$AT29*Geometry!$E$42:$E$59+$AU29*Geometry!$D$42:$D$59))&lt;-fy)-(alpha*fck*(1-(1-((($AS29+$AT29*Geometry!$E$42:$E$59+$AU29*Geometry!$D$42:$D$59))*(($AS29+$AT29*Geometry!$E$42:$E$59+$AU29*Geometry!$D$42:$D$59)&gt;0)*(($AS29+$AT29*Geometry!$E$42:$E$59+$AU29*Geometry!$D$42:$D$59)&lt;eco)+eco*(($AS29+$AT29*Geometry!$E$42:$E$59+$AU29*Geometry!$D$42:$D$59)&gt;=eco))/eco)^n)*((($AS29+$AT29*Geometry!$E$42:$E$59+$AU29*Geometry!$D$42:$D$59))&gt;0))),Geometry!$F$42:$F$59))/1000</f>
      </c>
      <c r="BY29" s="32">
        <f>(SUMPRODUCT(alpha*fck*(1-(1-((($AV29+$AW29*Mesh_Y+$AX29*Mesh_X))*(($AV29+$AW29*Mesh_Y+$AX29*Mesh_X)&gt;0)*(($AV29+$AW29*Mesh_Y+$AX29*Mesh_X)&lt;eco)+eco*(($AV29+$AW29*Mesh_Y+$AX29*Mesh_X)&gt;=eco))/eco)^n)*((($AV29+$AW29*Mesh_Y+$AX29*Mesh_X))&gt;0),Mesh_A)+SUMPRODUCT((Es*(($AV29+$AW29*Geometry!$E$42:$E$59+$AX29*Geometry!$D$42:$D$59))*(ABS(Es*(($AV29+$AW29*Geometry!$E$42:$E$59+$AX29*Geometry!$D$42:$D$59)))&lt;=fy)+fy*(Es*(($AV29+$AW29*Geometry!$E$42:$E$59+$AX29*Geometry!$D$42:$D$59))&gt;fy)-fy*(Es*(($AV29+$AW29*Geometry!$E$42:$E$59+$AX29*Geometry!$D$42:$D$59))&lt;-fy)-(alpha*fck*(1-(1-((($AV29+$AW29*Geometry!$E$42:$E$59+$AX29*Geometry!$D$42:$D$59))*(($AV29+$AW29*Geometry!$E$42:$E$59+$AX29*Geometry!$D$42:$D$59)&gt;0)*(($AV29+$AW29*Geometry!$E$42:$E$59+$AX29*Geometry!$D$42:$D$59)&lt;eco)+eco*(($AV29+$AW29*Geometry!$E$42:$E$59+$AX29*Geometry!$D$42:$D$59)&gt;=eco))/eco)^n)*((($AV29+$AW29*Geometry!$E$42:$E$59+$AX29*Geometry!$D$42:$D$59))&gt;0))),Geometry!$F$42:$F$59))/1000</f>
      </c>
      <c r="BZ29" s="32">
        <f>(SUMPRODUCT(alpha*fck*(1-(1-((($AY29+$AZ29*Mesh_Y+$BA29*Mesh_X))*(($AY29+$AZ29*Mesh_Y+$BA29*Mesh_X)&gt;0)*(($AY29+$AZ29*Mesh_Y+$BA29*Mesh_X)&lt;eco)+eco*(($AY29+$AZ29*Mesh_Y+$BA29*Mesh_X)&gt;=eco))/eco)^n)*((($AY29+$AZ29*Mesh_Y+$BA29*Mesh_X))&gt;0),Mesh_A)+SUMPRODUCT((Es*(($AY29+$AZ29*Geometry!$E$42:$E$59+$BA29*Geometry!$D$42:$D$59))*(ABS(Es*(($AY29+$AZ29*Geometry!$E$42:$E$59+$BA29*Geometry!$D$42:$D$59)))&lt;=fy)+fy*(Es*(($AY29+$AZ29*Geometry!$E$42:$E$59+$BA29*Geometry!$D$42:$D$59))&gt;fy)-fy*(Es*(($AY29+$AZ29*Geometry!$E$42:$E$59+$BA29*Geometry!$D$42:$D$59))&lt;-fy)-(alpha*fck*(1-(1-((($AY29+$AZ29*Geometry!$E$42:$E$59+$BA29*Geometry!$D$42:$D$59))*(($AY29+$AZ29*Geometry!$E$42:$E$59+$BA29*Geometry!$D$42:$D$59)&gt;0)*(($AY29+$AZ29*Geometry!$E$42:$E$59+$BA29*Geometry!$D$42:$D$59)&lt;eco)+eco*(($AY29+$AZ29*Geometry!$E$42:$E$59+$BA29*Geometry!$D$42:$D$59)&gt;=eco))/eco)^n)*((($AY29+$AZ29*Geometry!$E$42:$E$59+$BA29*Geometry!$D$42:$D$59))&gt;0))),Geometry!$F$42:$F$59))/1000</f>
      </c>
      <c r="CA29" s="32">
        <f>(SUMPRODUCT(alpha*fck*(1-(1-((($BB29+$BC29*Mesh_Y+$BD29*Mesh_X))*(($BB29+$BC29*Mesh_Y+$BD29*Mesh_X)&gt;0)*(($BB29+$BC29*Mesh_Y+$BD29*Mesh_X)&lt;eco)+eco*(($BB29+$BC29*Mesh_Y+$BD29*Mesh_X)&gt;=eco))/eco)^n)*((($BB29+$BC29*Mesh_Y+$BD29*Mesh_X))&gt;0),Mesh_A)+SUMPRODUCT((Es*(($BB29+$BC29*Geometry!$E$42:$E$59+$BD29*Geometry!$D$42:$D$59))*(ABS(Es*(($BB29+$BC29*Geometry!$E$42:$E$59+$BD29*Geometry!$D$42:$D$59)))&lt;=fy)+fy*(Es*(($BB29+$BC29*Geometry!$E$42:$E$59+$BD29*Geometry!$D$42:$D$59))&gt;fy)-fy*(Es*(($BB29+$BC29*Geometry!$E$42:$E$59+$BD29*Geometry!$D$42:$D$59))&lt;-fy)-(alpha*fck*(1-(1-((($BB29+$BC29*Geometry!$E$42:$E$59+$BD29*Geometry!$D$42:$D$59))*(($BB29+$BC29*Geometry!$E$42:$E$59+$BD29*Geometry!$D$42:$D$59)&gt;0)*(($BB29+$BC29*Geometry!$E$42:$E$59+$BD29*Geometry!$D$42:$D$59)&lt;eco)+eco*(($BB29+$BC29*Geometry!$E$42:$E$59+$BD29*Geometry!$D$42:$D$59)&gt;=eco))/eco)^n)*((($BB29+$BC29*Geometry!$E$42:$E$59+$BD29*Geometry!$D$42:$D$59))&gt;0))),Geometry!$F$42:$F$59))/1000</f>
      </c>
      <c r="CB29" s="32">
        <f>(SUMPRODUCT(alpha*fck*(1-(1-((($BE29+$BF29*Mesh_Y+$BG29*Mesh_X))*(($BE29+$BF29*Mesh_Y+$BG29*Mesh_X)&gt;0)*(($BE29+$BF29*Mesh_Y+$BG29*Mesh_X)&lt;eco)+eco*(($BE29+$BF29*Mesh_Y+$BG29*Mesh_X)&gt;=eco))/eco)^n)*((($BE29+$BF29*Mesh_Y+$BG29*Mesh_X))&gt;0),Mesh_A)+SUMPRODUCT((Es*(($BE29+$BF29*Geometry!$E$42:$E$59+$BG29*Geometry!$D$42:$D$59))*(ABS(Es*(($BE29+$BF29*Geometry!$E$42:$E$59+$BG29*Geometry!$D$42:$D$59)))&lt;=fy)+fy*(Es*(($BE29+$BF29*Geometry!$E$42:$E$59+$BG29*Geometry!$D$42:$D$59))&gt;fy)-fy*(Es*(($BE29+$BF29*Geometry!$E$42:$E$59+$BG29*Geometry!$D$42:$D$59))&lt;-fy)-(alpha*fck*(1-(1-((($BE29+$BF29*Geometry!$E$42:$E$59+$BG29*Geometry!$D$42:$D$59))*(($BE29+$BF29*Geometry!$E$42:$E$59+$BG29*Geometry!$D$42:$D$59)&gt;0)*(($BE29+$BF29*Geometry!$E$42:$E$59+$BG29*Geometry!$D$42:$D$59)&lt;eco)+eco*(($BE29+$BF29*Geometry!$E$42:$E$59+$BG29*Geometry!$D$42:$D$59)&gt;=eco))/eco)^n)*((($BE29+$BF29*Geometry!$E$42:$E$59+$BG29*Geometry!$D$42:$D$59))&gt;0))),Geometry!$F$42:$F$59))/1000</f>
      </c>
      <c r="CC29" s="32">
        <f>(SUMPRODUCT(alpha*fck*(1-(1-((($BH29+$BI29*Mesh_Y+$BJ29*Mesh_X))*(($BH29+$BI29*Mesh_Y+$BJ29*Mesh_X)&gt;0)*(($BH29+$BI29*Mesh_Y+$BJ29*Mesh_X)&lt;eco)+eco*(($BH29+$BI29*Mesh_Y+$BJ29*Mesh_X)&gt;=eco))/eco)^n)*((($BH29+$BI29*Mesh_Y+$BJ29*Mesh_X))&gt;0),Mesh_A)+SUMPRODUCT((Es*(($BH29+$BI29*Geometry!$E$42:$E$59+$BJ29*Geometry!$D$42:$D$59))*(ABS(Es*(($BH29+$BI29*Geometry!$E$42:$E$59+$BJ29*Geometry!$D$42:$D$59)))&lt;=fy)+fy*(Es*(($BH29+$BI29*Geometry!$E$42:$E$59+$BJ29*Geometry!$D$42:$D$59))&gt;fy)-fy*(Es*(($BH29+$BI29*Geometry!$E$42:$E$59+$BJ29*Geometry!$D$42:$D$59))&lt;-fy)-(alpha*fck*(1-(1-((($BH29+$BI29*Geometry!$E$42:$E$59+$BJ29*Geometry!$D$42:$D$59))*(($BH29+$BI29*Geometry!$E$42:$E$59+$BJ29*Geometry!$D$42:$D$59)&gt;0)*(($BH29+$BI29*Geometry!$E$42:$E$59+$BJ29*Geometry!$D$42:$D$59)&lt;eco)+eco*(($BH29+$BI29*Geometry!$E$42:$E$59+$BJ29*Geometry!$D$42:$D$59)&gt;=eco))/eco)^n)*((($BH29+$BI29*Geometry!$E$42:$E$59+$BJ29*Geometry!$D$42:$D$59))&gt;0))),Geometry!$F$42:$F$59))/1000</f>
      </c>
      <c r="CD29" s="32">
        <f>(SUMPRODUCT(alpha*fck*(1-(1-((($F29+$G29*Mesh_Y+$H29*Mesh_X))*(($F29+$G29*Mesh_Y+$H29*Mesh_X)&gt;0)*(($F29+$G29*Mesh_Y+$H29*Mesh_X)&lt;eco)+eco*(($F29+$G29*Mesh_Y+$H29*Mesh_X)&gt;=eco))/eco)^n)*((($F29+$G29*Mesh_Y+$H29*Mesh_X))&gt;0),Mesh_A,Mesh_Y)+SUMPRODUCT((Es*(($F29+$G29*Geometry!$E$42:$E$59+$H29*Geometry!$D$42:$D$59))*(ABS(Es*(($F29+$G29*Geometry!$E$42:$E$59+$H29*Geometry!$D$42:$D$59)))&lt;=fy)+fy*(Es*(($F29+$G29*Geometry!$E$42:$E$59+$H29*Geometry!$D$42:$D$59))&gt;fy)-fy*(Es*(($F29+$G29*Geometry!$E$42:$E$59+$H29*Geometry!$D$42:$D$59))&lt;-fy)-(alpha*fck*(1-(1-((($F29+$G29*Geometry!$E$42:$E$59+$H29*Geometry!$D$42:$D$59))*(($F29+$G29*Geometry!$E$42:$E$59+$H29*Geometry!$D$42:$D$59)&gt;0)*(($F29+$G29*Geometry!$E$42:$E$59+$H29*Geometry!$D$42:$D$59)&lt;eco)+eco*(($F29+$G29*Geometry!$E$42:$E$59+$H29*Geometry!$D$42:$D$59)&gt;=eco))/eco)^n)*((($F29+$G29*Geometry!$E$42:$E$59+$H29*Geometry!$D$42:$D$59))&gt;0))),Geometry!$F$42:$F$59,Geometry!$E$42:$E$59))/1000000</f>
      </c>
      <c r="CE29" s="32">
        <f>(SUMPRODUCT(alpha*fck*(1-(1-((($I29+$J29*Mesh_Y+$K29*Mesh_X))*(($I29+$J29*Mesh_Y+$K29*Mesh_X)&gt;0)*(($I29+$J29*Mesh_Y+$K29*Mesh_X)&lt;eco)+eco*(($I29+$J29*Mesh_Y+$K29*Mesh_X)&gt;=eco))/eco)^n)*((($I29+$J29*Mesh_Y+$K29*Mesh_X))&gt;0),Mesh_A,Mesh_Y)+SUMPRODUCT((Es*(($I29+$J29*Geometry!$E$42:$E$59+$K29*Geometry!$D$42:$D$59))*(ABS(Es*(($I29+$J29*Geometry!$E$42:$E$59+$K29*Geometry!$D$42:$D$59)))&lt;=fy)+fy*(Es*(($I29+$J29*Geometry!$E$42:$E$59+$K29*Geometry!$D$42:$D$59))&gt;fy)-fy*(Es*(($I29+$J29*Geometry!$E$42:$E$59+$K29*Geometry!$D$42:$D$59))&lt;-fy)-(alpha*fck*(1-(1-((($I29+$J29*Geometry!$E$42:$E$59+$K29*Geometry!$D$42:$D$59))*(($I29+$J29*Geometry!$E$42:$E$59+$K29*Geometry!$D$42:$D$59)&gt;0)*(($I29+$J29*Geometry!$E$42:$E$59+$K29*Geometry!$D$42:$D$59)&lt;eco)+eco*(($I29+$J29*Geometry!$E$42:$E$59+$K29*Geometry!$D$42:$D$59)&gt;=eco))/eco)^n)*((($I29+$J29*Geometry!$E$42:$E$59+$K29*Geometry!$D$42:$D$59))&gt;0))),Geometry!$F$42:$F$59,Geometry!$E$42:$E$59))/1000000</f>
      </c>
      <c r="CF29" s="32">
        <f>(SUMPRODUCT(alpha*fck*(1-(1-((($L29+$M29*Mesh_Y+$N29*Mesh_X))*(($L29+$M29*Mesh_Y+$N29*Mesh_X)&gt;0)*(($L29+$M29*Mesh_Y+$N29*Mesh_X)&lt;eco)+eco*(($L29+$M29*Mesh_Y+$N29*Mesh_X)&gt;=eco))/eco)^n)*((($L29+$M29*Mesh_Y+$N29*Mesh_X))&gt;0),Mesh_A,Mesh_Y)+SUMPRODUCT((Es*(($L29+$M29*Geometry!$E$42:$E$59+$N29*Geometry!$D$42:$D$59))*(ABS(Es*(($L29+$M29*Geometry!$E$42:$E$59+$N29*Geometry!$D$42:$D$59)))&lt;=fy)+fy*(Es*(($L29+$M29*Geometry!$E$42:$E$59+$N29*Geometry!$D$42:$D$59))&gt;fy)-fy*(Es*(($L29+$M29*Geometry!$E$42:$E$59+$N29*Geometry!$D$42:$D$59))&lt;-fy)-(alpha*fck*(1-(1-((($L29+$M29*Geometry!$E$42:$E$59+$N29*Geometry!$D$42:$D$59))*(($L29+$M29*Geometry!$E$42:$E$59+$N29*Geometry!$D$42:$D$59)&gt;0)*(($L29+$M29*Geometry!$E$42:$E$59+$N29*Geometry!$D$42:$D$59)&lt;eco)+eco*(($L29+$M29*Geometry!$E$42:$E$59+$N29*Geometry!$D$42:$D$59)&gt;=eco))/eco)^n)*((($L29+$M29*Geometry!$E$42:$E$59+$N29*Geometry!$D$42:$D$59))&gt;0))),Geometry!$F$42:$F$59,Geometry!$E$42:$E$59))/1000000</f>
      </c>
      <c r="CG29" s="32">
        <f>(SUMPRODUCT(alpha*fck*(1-(1-((($O29+$P29*Mesh_Y+$Q29*Mesh_X))*(($O29+$P29*Mesh_Y+$Q29*Mesh_X)&gt;0)*(($O29+$P29*Mesh_Y+$Q29*Mesh_X)&lt;eco)+eco*(($O29+$P29*Mesh_Y+$Q29*Mesh_X)&gt;=eco))/eco)^n)*((($O29+$P29*Mesh_Y+$Q29*Mesh_X))&gt;0),Mesh_A,Mesh_Y)+SUMPRODUCT((Es*(($O29+$P29*Geometry!$E$42:$E$59+$Q29*Geometry!$D$42:$D$59))*(ABS(Es*(($O29+$P29*Geometry!$E$42:$E$59+$Q29*Geometry!$D$42:$D$59)))&lt;=fy)+fy*(Es*(($O29+$P29*Geometry!$E$42:$E$59+$Q29*Geometry!$D$42:$D$59))&gt;fy)-fy*(Es*(($O29+$P29*Geometry!$E$42:$E$59+$Q29*Geometry!$D$42:$D$59))&lt;-fy)-(alpha*fck*(1-(1-((($O29+$P29*Geometry!$E$42:$E$59+$Q29*Geometry!$D$42:$D$59))*(($O29+$P29*Geometry!$E$42:$E$59+$Q29*Geometry!$D$42:$D$59)&gt;0)*(($O29+$P29*Geometry!$E$42:$E$59+$Q29*Geometry!$D$42:$D$59)&lt;eco)+eco*(($O29+$P29*Geometry!$E$42:$E$59+$Q29*Geometry!$D$42:$D$59)&gt;=eco))/eco)^n)*((($O29+$P29*Geometry!$E$42:$E$59+$Q29*Geometry!$D$42:$D$59))&gt;0))),Geometry!$F$42:$F$59,Geometry!$E$42:$E$59))/1000000</f>
      </c>
      <c r="CH29" s="32">
        <f>(SUMPRODUCT(alpha*fck*(1-(1-((($R29+$S29*Mesh_Y+$T29*Mesh_X))*(($R29+$S29*Mesh_Y+$T29*Mesh_X)&gt;0)*(($R29+$S29*Mesh_Y+$T29*Mesh_X)&lt;eco)+eco*(($R29+$S29*Mesh_Y+$T29*Mesh_X)&gt;=eco))/eco)^n)*((($R29+$S29*Mesh_Y+$T29*Mesh_X))&gt;0),Mesh_A,Mesh_Y)+SUMPRODUCT((Es*(($R29+$S29*Geometry!$E$42:$E$59+$T29*Geometry!$D$42:$D$59))*(ABS(Es*(($R29+$S29*Geometry!$E$42:$E$59+$T29*Geometry!$D$42:$D$59)))&lt;=fy)+fy*(Es*(($R29+$S29*Geometry!$E$42:$E$59+$T29*Geometry!$D$42:$D$59))&gt;fy)-fy*(Es*(($R29+$S29*Geometry!$E$42:$E$59+$T29*Geometry!$D$42:$D$59))&lt;-fy)-(alpha*fck*(1-(1-((($R29+$S29*Geometry!$E$42:$E$59+$T29*Geometry!$D$42:$D$59))*(($R29+$S29*Geometry!$E$42:$E$59+$T29*Geometry!$D$42:$D$59)&gt;0)*(($R29+$S29*Geometry!$E$42:$E$59+$T29*Geometry!$D$42:$D$59)&lt;eco)+eco*(($R29+$S29*Geometry!$E$42:$E$59+$T29*Geometry!$D$42:$D$59)&gt;=eco))/eco)^n)*((($R29+$S29*Geometry!$E$42:$E$59+$T29*Geometry!$D$42:$D$59))&gt;0))),Geometry!$F$42:$F$59,Geometry!$E$42:$E$59))/1000000</f>
      </c>
      <c r="CI29" s="32">
        <f>(SUMPRODUCT(alpha*fck*(1-(1-((($U29+$V29*Mesh_Y+$W29*Mesh_X))*(($U29+$V29*Mesh_Y+$W29*Mesh_X)&gt;0)*(($U29+$V29*Mesh_Y+$W29*Mesh_X)&lt;eco)+eco*(($U29+$V29*Mesh_Y+$W29*Mesh_X)&gt;=eco))/eco)^n)*((($U29+$V29*Mesh_Y+$W29*Mesh_X))&gt;0),Mesh_A,Mesh_Y)+SUMPRODUCT((Es*(($U29+$V29*Geometry!$E$42:$E$59+$W29*Geometry!$D$42:$D$59))*(ABS(Es*(($U29+$V29*Geometry!$E$42:$E$59+$W29*Geometry!$D$42:$D$59)))&lt;=fy)+fy*(Es*(($U29+$V29*Geometry!$E$42:$E$59+$W29*Geometry!$D$42:$D$59))&gt;fy)-fy*(Es*(($U29+$V29*Geometry!$E$42:$E$59+$W29*Geometry!$D$42:$D$59))&lt;-fy)-(alpha*fck*(1-(1-((($U29+$V29*Geometry!$E$42:$E$59+$W29*Geometry!$D$42:$D$59))*(($U29+$V29*Geometry!$E$42:$E$59+$W29*Geometry!$D$42:$D$59)&gt;0)*(($U29+$V29*Geometry!$E$42:$E$59+$W29*Geometry!$D$42:$D$59)&lt;eco)+eco*(($U29+$V29*Geometry!$E$42:$E$59+$W29*Geometry!$D$42:$D$59)&gt;=eco))/eco)^n)*((($U29+$V29*Geometry!$E$42:$E$59+$W29*Geometry!$D$42:$D$59))&gt;0))),Geometry!$F$42:$F$59,Geometry!$E$42:$E$59))/1000000</f>
      </c>
      <c r="CJ29" s="32">
        <f>(SUMPRODUCT(alpha*fck*(1-(1-((($X29+$Y29*Mesh_Y+$Z29*Mesh_X))*(($X29+$Y29*Mesh_Y+$Z29*Mesh_X)&gt;0)*(($X29+$Y29*Mesh_Y+$Z29*Mesh_X)&lt;eco)+eco*(($X29+$Y29*Mesh_Y+$Z29*Mesh_X)&gt;=eco))/eco)^n)*((($X29+$Y29*Mesh_Y+$Z29*Mesh_X))&gt;0),Mesh_A,Mesh_Y)+SUMPRODUCT((Es*(($X29+$Y29*Geometry!$E$42:$E$59+$Z29*Geometry!$D$42:$D$59))*(ABS(Es*(($X29+$Y29*Geometry!$E$42:$E$59+$Z29*Geometry!$D$42:$D$59)))&lt;=fy)+fy*(Es*(($X29+$Y29*Geometry!$E$42:$E$59+$Z29*Geometry!$D$42:$D$59))&gt;fy)-fy*(Es*(($X29+$Y29*Geometry!$E$42:$E$59+$Z29*Geometry!$D$42:$D$59))&lt;-fy)-(alpha*fck*(1-(1-((($X29+$Y29*Geometry!$E$42:$E$59+$Z29*Geometry!$D$42:$D$59))*(($X29+$Y29*Geometry!$E$42:$E$59+$Z29*Geometry!$D$42:$D$59)&gt;0)*(($X29+$Y29*Geometry!$E$42:$E$59+$Z29*Geometry!$D$42:$D$59)&lt;eco)+eco*(($X29+$Y29*Geometry!$E$42:$E$59+$Z29*Geometry!$D$42:$D$59)&gt;=eco))/eco)^n)*((($X29+$Y29*Geometry!$E$42:$E$59+$Z29*Geometry!$D$42:$D$59))&gt;0))),Geometry!$F$42:$F$59,Geometry!$E$42:$E$59))/1000000</f>
      </c>
      <c r="CK29" s="32">
        <f>(SUMPRODUCT(alpha*fck*(1-(1-((($AA29+$AB29*Mesh_Y+$AC29*Mesh_X))*(($AA29+$AB29*Mesh_Y+$AC29*Mesh_X)&gt;0)*(($AA29+$AB29*Mesh_Y+$AC29*Mesh_X)&lt;eco)+eco*(($AA29+$AB29*Mesh_Y+$AC29*Mesh_X)&gt;=eco))/eco)^n)*((($AA29+$AB29*Mesh_Y+$AC29*Mesh_X))&gt;0),Mesh_A,Mesh_Y)+SUMPRODUCT((Es*(($AA29+$AB29*Geometry!$E$42:$E$59+$AC29*Geometry!$D$42:$D$59))*(ABS(Es*(($AA29+$AB29*Geometry!$E$42:$E$59+$AC29*Geometry!$D$42:$D$59)))&lt;=fy)+fy*(Es*(($AA29+$AB29*Geometry!$E$42:$E$59+$AC29*Geometry!$D$42:$D$59))&gt;fy)-fy*(Es*(($AA29+$AB29*Geometry!$E$42:$E$59+$AC29*Geometry!$D$42:$D$59))&lt;-fy)-(alpha*fck*(1-(1-((($AA29+$AB29*Geometry!$E$42:$E$59+$AC29*Geometry!$D$42:$D$59))*(($AA29+$AB29*Geometry!$E$42:$E$59+$AC29*Geometry!$D$42:$D$59)&gt;0)*(($AA29+$AB29*Geometry!$E$42:$E$59+$AC29*Geometry!$D$42:$D$59)&lt;eco)+eco*(($AA29+$AB29*Geometry!$E$42:$E$59+$AC29*Geometry!$D$42:$D$59)&gt;=eco))/eco)^n)*((($AA29+$AB29*Geometry!$E$42:$E$59+$AC29*Geometry!$D$42:$D$59))&gt;0))),Geometry!$F$42:$F$59,Geometry!$E$42:$E$59))/1000000</f>
      </c>
      <c r="CL29" s="32">
        <f>(SUMPRODUCT(alpha*fck*(1-(1-((($AD29+$AE29*Mesh_Y+$AF29*Mesh_X))*(($AD29+$AE29*Mesh_Y+$AF29*Mesh_X)&gt;0)*(($AD29+$AE29*Mesh_Y+$AF29*Mesh_X)&lt;eco)+eco*(($AD29+$AE29*Mesh_Y+$AF29*Mesh_X)&gt;=eco))/eco)^n)*((($AD29+$AE29*Mesh_Y+$AF29*Mesh_X))&gt;0),Mesh_A,Mesh_Y)+SUMPRODUCT((Es*(($AD29+$AE29*Geometry!$E$42:$E$59+$AF29*Geometry!$D$42:$D$59))*(ABS(Es*(($AD29+$AE29*Geometry!$E$42:$E$59+$AF29*Geometry!$D$42:$D$59)))&lt;=fy)+fy*(Es*(($AD29+$AE29*Geometry!$E$42:$E$59+$AF29*Geometry!$D$42:$D$59))&gt;fy)-fy*(Es*(($AD29+$AE29*Geometry!$E$42:$E$59+$AF29*Geometry!$D$42:$D$59))&lt;-fy)-(alpha*fck*(1-(1-((($AD29+$AE29*Geometry!$E$42:$E$59+$AF29*Geometry!$D$42:$D$59))*(($AD29+$AE29*Geometry!$E$42:$E$59+$AF29*Geometry!$D$42:$D$59)&gt;0)*(($AD29+$AE29*Geometry!$E$42:$E$59+$AF29*Geometry!$D$42:$D$59)&lt;eco)+eco*(($AD29+$AE29*Geometry!$E$42:$E$59+$AF29*Geometry!$D$42:$D$59)&gt;=eco))/eco)^n)*((($AD29+$AE29*Geometry!$E$42:$E$59+$AF29*Geometry!$D$42:$D$59))&gt;0))),Geometry!$F$42:$F$59,Geometry!$E$42:$E$59))/1000000</f>
      </c>
      <c r="CM29" s="32">
        <f>(SUMPRODUCT(alpha*fck*(1-(1-((($AG29+$AH29*Mesh_Y+$AI29*Mesh_X))*(($AG29+$AH29*Mesh_Y+$AI29*Mesh_X)&gt;0)*(($AG29+$AH29*Mesh_Y+$AI29*Mesh_X)&lt;eco)+eco*(($AG29+$AH29*Mesh_Y+$AI29*Mesh_X)&gt;=eco))/eco)^n)*((($AG29+$AH29*Mesh_Y+$AI29*Mesh_X))&gt;0),Mesh_A,Mesh_Y)+SUMPRODUCT((Es*(($AG29+$AH29*Geometry!$E$42:$E$59+$AI29*Geometry!$D$42:$D$59))*(ABS(Es*(($AG29+$AH29*Geometry!$E$42:$E$59+$AI29*Geometry!$D$42:$D$59)))&lt;=fy)+fy*(Es*(($AG29+$AH29*Geometry!$E$42:$E$59+$AI29*Geometry!$D$42:$D$59))&gt;fy)-fy*(Es*(($AG29+$AH29*Geometry!$E$42:$E$59+$AI29*Geometry!$D$42:$D$59))&lt;-fy)-(alpha*fck*(1-(1-((($AG29+$AH29*Geometry!$E$42:$E$59+$AI29*Geometry!$D$42:$D$59))*(($AG29+$AH29*Geometry!$E$42:$E$59+$AI29*Geometry!$D$42:$D$59)&gt;0)*(($AG29+$AH29*Geometry!$E$42:$E$59+$AI29*Geometry!$D$42:$D$59)&lt;eco)+eco*(($AG29+$AH29*Geometry!$E$42:$E$59+$AI29*Geometry!$D$42:$D$59)&gt;=eco))/eco)^n)*((($AG29+$AH29*Geometry!$E$42:$E$59+$AI29*Geometry!$D$42:$D$59))&gt;0))),Geometry!$F$42:$F$59,Geometry!$E$42:$E$59))/1000000</f>
      </c>
      <c r="CN29" s="32">
        <f>(SUMPRODUCT(alpha*fck*(1-(1-((($AJ29+$AK29*Mesh_Y+$AL29*Mesh_X))*(($AJ29+$AK29*Mesh_Y+$AL29*Mesh_X)&gt;0)*(($AJ29+$AK29*Mesh_Y+$AL29*Mesh_X)&lt;eco)+eco*(($AJ29+$AK29*Mesh_Y+$AL29*Mesh_X)&gt;=eco))/eco)^n)*((($AJ29+$AK29*Mesh_Y+$AL29*Mesh_X))&gt;0),Mesh_A,Mesh_Y)+SUMPRODUCT((Es*(($AJ29+$AK29*Geometry!$E$42:$E$59+$AL29*Geometry!$D$42:$D$59))*(ABS(Es*(($AJ29+$AK29*Geometry!$E$42:$E$59+$AL29*Geometry!$D$42:$D$59)))&lt;=fy)+fy*(Es*(($AJ29+$AK29*Geometry!$E$42:$E$59+$AL29*Geometry!$D$42:$D$59))&gt;fy)-fy*(Es*(($AJ29+$AK29*Geometry!$E$42:$E$59+$AL29*Geometry!$D$42:$D$59))&lt;-fy)-(alpha*fck*(1-(1-((($AJ29+$AK29*Geometry!$E$42:$E$59+$AL29*Geometry!$D$42:$D$59))*(($AJ29+$AK29*Geometry!$E$42:$E$59+$AL29*Geometry!$D$42:$D$59)&gt;0)*(($AJ29+$AK29*Geometry!$E$42:$E$59+$AL29*Geometry!$D$42:$D$59)&lt;eco)+eco*(($AJ29+$AK29*Geometry!$E$42:$E$59+$AL29*Geometry!$D$42:$D$59)&gt;=eco))/eco)^n)*((($AJ29+$AK29*Geometry!$E$42:$E$59+$AL29*Geometry!$D$42:$D$59))&gt;0))),Geometry!$F$42:$F$59,Geometry!$E$42:$E$59))/1000000</f>
      </c>
      <c r="CO29" s="32">
        <f>(SUMPRODUCT(alpha*fck*(1-(1-((($AM29+$AN29*Mesh_Y+$AO29*Mesh_X))*(($AM29+$AN29*Mesh_Y+$AO29*Mesh_X)&gt;0)*(($AM29+$AN29*Mesh_Y+$AO29*Mesh_X)&lt;eco)+eco*(($AM29+$AN29*Mesh_Y+$AO29*Mesh_X)&gt;=eco))/eco)^n)*((($AM29+$AN29*Mesh_Y+$AO29*Mesh_X))&gt;0),Mesh_A,Mesh_Y)+SUMPRODUCT((Es*(($AM29+$AN29*Geometry!$E$42:$E$59+$AO29*Geometry!$D$42:$D$59))*(ABS(Es*(($AM29+$AN29*Geometry!$E$42:$E$59+$AO29*Geometry!$D$42:$D$59)))&lt;=fy)+fy*(Es*(($AM29+$AN29*Geometry!$E$42:$E$59+$AO29*Geometry!$D$42:$D$59))&gt;fy)-fy*(Es*(($AM29+$AN29*Geometry!$E$42:$E$59+$AO29*Geometry!$D$42:$D$59))&lt;-fy)-(alpha*fck*(1-(1-((($AM29+$AN29*Geometry!$E$42:$E$59+$AO29*Geometry!$D$42:$D$59))*(($AM29+$AN29*Geometry!$E$42:$E$59+$AO29*Geometry!$D$42:$D$59)&gt;0)*(($AM29+$AN29*Geometry!$E$42:$E$59+$AO29*Geometry!$D$42:$D$59)&lt;eco)+eco*(($AM29+$AN29*Geometry!$E$42:$E$59+$AO29*Geometry!$D$42:$D$59)&gt;=eco))/eco)^n)*((($AM29+$AN29*Geometry!$E$42:$E$59+$AO29*Geometry!$D$42:$D$59))&gt;0))),Geometry!$F$42:$F$59,Geometry!$E$42:$E$59))/1000000</f>
      </c>
      <c r="CP29" s="32">
        <f>(SUMPRODUCT(alpha*fck*(1-(1-((($AP29+$AQ29*Mesh_Y+$AR29*Mesh_X))*(($AP29+$AQ29*Mesh_Y+$AR29*Mesh_X)&gt;0)*(($AP29+$AQ29*Mesh_Y+$AR29*Mesh_X)&lt;eco)+eco*(($AP29+$AQ29*Mesh_Y+$AR29*Mesh_X)&gt;=eco))/eco)^n)*((($AP29+$AQ29*Mesh_Y+$AR29*Mesh_X))&gt;0),Mesh_A,Mesh_Y)+SUMPRODUCT((Es*(($AP29+$AQ29*Geometry!$E$42:$E$59+$AR29*Geometry!$D$42:$D$59))*(ABS(Es*(($AP29+$AQ29*Geometry!$E$42:$E$59+$AR29*Geometry!$D$42:$D$59)))&lt;=fy)+fy*(Es*(($AP29+$AQ29*Geometry!$E$42:$E$59+$AR29*Geometry!$D$42:$D$59))&gt;fy)-fy*(Es*(($AP29+$AQ29*Geometry!$E$42:$E$59+$AR29*Geometry!$D$42:$D$59))&lt;-fy)-(alpha*fck*(1-(1-((($AP29+$AQ29*Geometry!$E$42:$E$59+$AR29*Geometry!$D$42:$D$59))*(($AP29+$AQ29*Geometry!$E$42:$E$59+$AR29*Geometry!$D$42:$D$59)&gt;0)*(($AP29+$AQ29*Geometry!$E$42:$E$59+$AR29*Geometry!$D$42:$D$59)&lt;eco)+eco*(($AP29+$AQ29*Geometry!$E$42:$E$59+$AR29*Geometry!$D$42:$D$59)&gt;=eco))/eco)^n)*((($AP29+$AQ29*Geometry!$E$42:$E$59+$AR29*Geometry!$D$42:$D$59))&gt;0))),Geometry!$F$42:$F$59,Geometry!$E$42:$E$59))/1000000</f>
      </c>
      <c r="CQ29" s="32">
        <f>(SUMPRODUCT(alpha*fck*(1-(1-((($AS29+$AT29*Mesh_Y+$AU29*Mesh_X))*(($AS29+$AT29*Mesh_Y+$AU29*Mesh_X)&gt;0)*(($AS29+$AT29*Mesh_Y+$AU29*Mesh_X)&lt;eco)+eco*(($AS29+$AT29*Mesh_Y+$AU29*Mesh_X)&gt;=eco))/eco)^n)*((($AS29+$AT29*Mesh_Y+$AU29*Mesh_X))&gt;0),Mesh_A,Mesh_Y)+SUMPRODUCT((Es*(($AS29+$AT29*Geometry!$E$42:$E$59+$AU29*Geometry!$D$42:$D$59))*(ABS(Es*(($AS29+$AT29*Geometry!$E$42:$E$59+$AU29*Geometry!$D$42:$D$59)))&lt;=fy)+fy*(Es*(($AS29+$AT29*Geometry!$E$42:$E$59+$AU29*Geometry!$D$42:$D$59))&gt;fy)-fy*(Es*(($AS29+$AT29*Geometry!$E$42:$E$59+$AU29*Geometry!$D$42:$D$59))&lt;-fy)-(alpha*fck*(1-(1-((($AS29+$AT29*Geometry!$E$42:$E$59+$AU29*Geometry!$D$42:$D$59))*(($AS29+$AT29*Geometry!$E$42:$E$59+$AU29*Geometry!$D$42:$D$59)&gt;0)*(($AS29+$AT29*Geometry!$E$42:$E$59+$AU29*Geometry!$D$42:$D$59)&lt;eco)+eco*(($AS29+$AT29*Geometry!$E$42:$E$59+$AU29*Geometry!$D$42:$D$59)&gt;=eco))/eco)^n)*((($AS29+$AT29*Geometry!$E$42:$E$59+$AU29*Geometry!$D$42:$D$59))&gt;0))),Geometry!$F$42:$F$59,Geometry!$E$42:$E$59))/1000000</f>
      </c>
      <c r="CR29" s="32">
        <f>(SUMPRODUCT(alpha*fck*(1-(1-((($AV29+$AW29*Mesh_Y+$AX29*Mesh_X))*(($AV29+$AW29*Mesh_Y+$AX29*Mesh_X)&gt;0)*(($AV29+$AW29*Mesh_Y+$AX29*Mesh_X)&lt;eco)+eco*(($AV29+$AW29*Mesh_Y+$AX29*Mesh_X)&gt;=eco))/eco)^n)*((($AV29+$AW29*Mesh_Y+$AX29*Mesh_X))&gt;0),Mesh_A,Mesh_Y)+SUMPRODUCT((Es*(($AV29+$AW29*Geometry!$E$42:$E$59+$AX29*Geometry!$D$42:$D$59))*(ABS(Es*(($AV29+$AW29*Geometry!$E$42:$E$59+$AX29*Geometry!$D$42:$D$59)))&lt;=fy)+fy*(Es*(($AV29+$AW29*Geometry!$E$42:$E$59+$AX29*Geometry!$D$42:$D$59))&gt;fy)-fy*(Es*(($AV29+$AW29*Geometry!$E$42:$E$59+$AX29*Geometry!$D$42:$D$59))&lt;-fy)-(alpha*fck*(1-(1-((($AV29+$AW29*Geometry!$E$42:$E$59+$AX29*Geometry!$D$42:$D$59))*(($AV29+$AW29*Geometry!$E$42:$E$59+$AX29*Geometry!$D$42:$D$59)&gt;0)*(($AV29+$AW29*Geometry!$E$42:$E$59+$AX29*Geometry!$D$42:$D$59)&lt;eco)+eco*(($AV29+$AW29*Geometry!$E$42:$E$59+$AX29*Geometry!$D$42:$D$59)&gt;=eco))/eco)^n)*((($AV29+$AW29*Geometry!$E$42:$E$59+$AX29*Geometry!$D$42:$D$59))&gt;0))),Geometry!$F$42:$F$59,Geometry!$E$42:$E$59))/1000000</f>
      </c>
      <c r="CS29" s="32">
        <f>(SUMPRODUCT(alpha*fck*(1-(1-((($AY29+$AZ29*Mesh_Y+$BA29*Mesh_X))*(($AY29+$AZ29*Mesh_Y+$BA29*Mesh_X)&gt;0)*(($AY29+$AZ29*Mesh_Y+$BA29*Mesh_X)&lt;eco)+eco*(($AY29+$AZ29*Mesh_Y+$BA29*Mesh_X)&gt;=eco))/eco)^n)*((($AY29+$AZ29*Mesh_Y+$BA29*Mesh_X))&gt;0),Mesh_A,Mesh_Y)+SUMPRODUCT((Es*(($AY29+$AZ29*Geometry!$E$42:$E$59+$BA29*Geometry!$D$42:$D$59))*(ABS(Es*(($AY29+$AZ29*Geometry!$E$42:$E$59+$BA29*Geometry!$D$42:$D$59)))&lt;=fy)+fy*(Es*(($AY29+$AZ29*Geometry!$E$42:$E$59+$BA29*Geometry!$D$42:$D$59))&gt;fy)-fy*(Es*(($AY29+$AZ29*Geometry!$E$42:$E$59+$BA29*Geometry!$D$42:$D$59))&lt;-fy)-(alpha*fck*(1-(1-((($AY29+$AZ29*Geometry!$E$42:$E$59+$BA29*Geometry!$D$42:$D$59))*(($AY29+$AZ29*Geometry!$E$42:$E$59+$BA29*Geometry!$D$42:$D$59)&gt;0)*(($AY29+$AZ29*Geometry!$E$42:$E$59+$BA29*Geometry!$D$42:$D$59)&lt;eco)+eco*(($AY29+$AZ29*Geometry!$E$42:$E$59+$BA29*Geometry!$D$42:$D$59)&gt;=eco))/eco)^n)*((($AY29+$AZ29*Geometry!$E$42:$E$59+$BA29*Geometry!$D$42:$D$59))&gt;0))),Geometry!$F$42:$F$59,Geometry!$E$42:$E$59))/1000000</f>
      </c>
      <c r="CT29" s="32">
        <f>(SUMPRODUCT(alpha*fck*(1-(1-((($BB29+$BC29*Mesh_Y+$BD29*Mesh_X))*(($BB29+$BC29*Mesh_Y+$BD29*Mesh_X)&gt;0)*(($BB29+$BC29*Mesh_Y+$BD29*Mesh_X)&lt;eco)+eco*(($BB29+$BC29*Mesh_Y+$BD29*Mesh_X)&gt;=eco))/eco)^n)*((($BB29+$BC29*Mesh_Y+$BD29*Mesh_X))&gt;0),Mesh_A,Mesh_Y)+SUMPRODUCT((Es*(($BB29+$BC29*Geometry!$E$42:$E$59+$BD29*Geometry!$D$42:$D$59))*(ABS(Es*(($BB29+$BC29*Geometry!$E$42:$E$59+$BD29*Geometry!$D$42:$D$59)))&lt;=fy)+fy*(Es*(($BB29+$BC29*Geometry!$E$42:$E$59+$BD29*Geometry!$D$42:$D$59))&gt;fy)-fy*(Es*(($BB29+$BC29*Geometry!$E$42:$E$59+$BD29*Geometry!$D$42:$D$59))&lt;-fy)-(alpha*fck*(1-(1-((($BB29+$BC29*Geometry!$E$42:$E$59+$BD29*Geometry!$D$42:$D$59))*(($BB29+$BC29*Geometry!$E$42:$E$59+$BD29*Geometry!$D$42:$D$59)&gt;0)*(($BB29+$BC29*Geometry!$E$42:$E$59+$BD29*Geometry!$D$42:$D$59)&lt;eco)+eco*(($BB29+$BC29*Geometry!$E$42:$E$59+$BD29*Geometry!$D$42:$D$59)&gt;=eco))/eco)^n)*((($BB29+$BC29*Geometry!$E$42:$E$59+$BD29*Geometry!$D$42:$D$59))&gt;0))),Geometry!$F$42:$F$59,Geometry!$E$42:$E$59))/1000000</f>
      </c>
      <c r="CU29" s="32">
        <f>(SUMPRODUCT(alpha*fck*(1-(1-((($BE29+$BF29*Mesh_Y+$BG29*Mesh_X))*(($BE29+$BF29*Mesh_Y+$BG29*Mesh_X)&gt;0)*(($BE29+$BF29*Mesh_Y+$BG29*Mesh_X)&lt;eco)+eco*(($BE29+$BF29*Mesh_Y+$BG29*Mesh_X)&gt;=eco))/eco)^n)*((($BE29+$BF29*Mesh_Y+$BG29*Mesh_X))&gt;0),Mesh_A,Mesh_Y)+SUMPRODUCT((Es*(($BE29+$BF29*Geometry!$E$42:$E$59+$BG29*Geometry!$D$42:$D$59))*(ABS(Es*(($BE29+$BF29*Geometry!$E$42:$E$59+$BG29*Geometry!$D$42:$D$59)))&lt;=fy)+fy*(Es*(($BE29+$BF29*Geometry!$E$42:$E$59+$BG29*Geometry!$D$42:$D$59))&gt;fy)-fy*(Es*(($BE29+$BF29*Geometry!$E$42:$E$59+$BG29*Geometry!$D$42:$D$59))&lt;-fy)-(alpha*fck*(1-(1-((($BE29+$BF29*Geometry!$E$42:$E$59+$BG29*Geometry!$D$42:$D$59))*(($BE29+$BF29*Geometry!$E$42:$E$59+$BG29*Geometry!$D$42:$D$59)&gt;0)*(($BE29+$BF29*Geometry!$E$42:$E$59+$BG29*Geometry!$D$42:$D$59)&lt;eco)+eco*(($BE29+$BF29*Geometry!$E$42:$E$59+$BG29*Geometry!$D$42:$D$59)&gt;=eco))/eco)^n)*((($BE29+$BF29*Geometry!$E$42:$E$59+$BG29*Geometry!$D$42:$D$59))&gt;0))),Geometry!$F$42:$F$59,Geometry!$E$42:$E$59))/1000000</f>
      </c>
      <c r="CV29" s="32">
        <f>(SUMPRODUCT(alpha*fck*(1-(1-((($BH29+$BI29*Mesh_Y+$BJ29*Mesh_X))*(($BH29+$BI29*Mesh_Y+$BJ29*Mesh_X)&gt;0)*(($BH29+$BI29*Mesh_Y+$BJ29*Mesh_X)&lt;eco)+eco*(($BH29+$BI29*Mesh_Y+$BJ29*Mesh_X)&gt;=eco))/eco)^n)*((($BH29+$BI29*Mesh_Y+$BJ29*Mesh_X))&gt;0),Mesh_A,Mesh_Y)+SUMPRODUCT((Es*(($BH29+$BI29*Geometry!$E$42:$E$59+$BJ29*Geometry!$D$42:$D$59))*(ABS(Es*(($BH29+$BI29*Geometry!$E$42:$E$59+$BJ29*Geometry!$D$42:$D$59)))&lt;=fy)+fy*(Es*(($BH29+$BI29*Geometry!$E$42:$E$59+$BJ29*Geometry!$D$42:$D$59))&gt;fy)-fy*(Es*(($BH29+$BI29*Geometry!$E$42:$E$59+$BJ29*Geometry!$D$42:$D$59))&lt;-fy)-(alpha*fck*(1-(1-((($BH29+$BI29*Geometry!$E$42:$E$59+$BJ29*Geometry!$D$42:$D$59))*(($BH29+$BI29*Geometry!$E$42:$E$59+$BJ29*Geometry!$D$42:$D$59)&gt;0)*(($BH29+$BI29*Geometry!$E$42:$E$59+$BJ29*Geometry!$D$42:$D$59)&lt;eco)+eco*(($BH29+$BI29*Geometry!$E$42:$E$59+$BJ29*Geometry!$D$42:$D$59)&gt;=eco))/eco)^n)*((($BH29+$BI29*Geometry!$E$42:$E$59+$BJ29*Geometry!$D$42:$D$59))&gt;0))),Geometry!$F$42:$F$59,Geometry!$E$42:$E$59))/1000000</f>
      </c>
      <c r="CW29" s="32">
        <f>(SUMPRODUCT(alpha*fck*(1-(1-((($F29+$G29*Mesh_Y+$H29*Mesh_X))*(($F29+$G29*Mesh_Y+$H29*Mesh_X)&gt;0)*(($F29+$G29*Mesh_Y+$H29*Mesh_X)&lt;eco)+eco*(($F29+$G29*Mesh_Y+$H29*Mesh_X)&gt;=eco))/eco)^n)*((($F29+$G29*Mesh_Y+$H29*Mesh_X))&gt;0),Mesh_A,Mesh_X)+SUMPRODUCT((Es*(($F29+$G29*Geometry!$E$42:$E$59+$H29*Geometry!$D$42:$D$59))*(ABS(Es*(($F29+$G29*Geometry!$E$42:$E$59+$H29*Geometry!$D$42:$D$59)))&lt;=fy)+fy*(Es*(($F29+$G29*Geometry!$E$42:$E$59+$H29*Geometry!$D$42:$D$59))&gt;fy)-fy*(Es*(($F29+$G29*Geometry!$E$42:$E$59+$H29*Geometry!$D$42:$D$59))&lt;-fy)-(alpha*fck*(1-(1-((($F29+$G29*Geometry!$E$42:$E$59+$H29*Geometry!$D$42:$D$59))*(($F29+$G29*Geometry!$E$42:$E$59+$H29*Geometry!$D$42:$D$59)&gt;0)*(($F29+$G29*Geometry!$E$42:$E$59+$H29*Geometry!$D$42:$D$59)&lt;eco)+eco*(($F29+$G29*Geometry!$E$42:$E$59+$H29*Geometry!$D$42:$D$59)&gt;=eco))/eco)^n)*((($F29+$G29*Geometry!$E$42:$E$59+$H29*Geometry!$D$42:$D$59))&gt;0))),Geometry!$F$42:$F$59,Geometry!$D$42:$D$59))/1000000</f>
      </c>
      <c r="CX29" s="32">
        <f>(SUMPRODUCT(alpha*fck*(1-(1-((($I29+$J29*Mesh_Y+$K29*Mesh_X))*(($I29+$J29*Mesh_Y+$K29*Mesh_X)&gt;0)*(($I29+$J29*Mesh_Y+$K29*Mesh_X)&lt;eco)+eco*(($I29+$J29*Mesh_Y+$K29*Mesh_X)&gt;=eco))/eco)^n)*((($I29+$J29*Mesh_Y+$K29*Mesh_X))&gt;0),Mesh_A,Mesh_X)+SUMPRODUCT((Es*(($I29+$J29*Geometry!$E$42:$E$59+$K29*Geometry!$D$42:$D$59))*(ABS(Es*(($I29+$J29*Geometry!$E$42:$E$59+$K29*Geometry!$D$42:$D$59)))&lt;=fy)+fy*(Es*(($I29+$J29*Geometry!$E$42:$E$59+$K29*Geometry!$D$42:$D$59))&gt;fy)-fy*(Es*(($I29+$J29*Geometry!$E$42:$E$59+$K29*Geometry!$D$42:$D$59))&lt;-fy)-(alpha*fck*(1-(1-((($I29+$J29*Geometry!$E$42:$E$59+$K29*Geometry!$D$42:$D$59))*(($I29+$J29*Geometry!$E$42:$E$59+$K29*Geometry!$D$42:$D$59)&gt;0)*(($I29+$J29*Geometry!$E$42:$E$59+$K29*Geometry!$D$42:$D$59)&lt;eco)+eco*(($I29+$J29*Geometry!$E$42:$E$59+$K29*Geometry!$D$42:$D$59)&gt;=eco))/eco)^n)*((($I29+$J29*Geometry!$E$42:$E$59+$K29*Geometry!$D$42:$D$59))&gt;0))),Geometry!$F$42:$F$59,Geometry!$D$42:$D$59))/1000000</f>
      </c>
      <c r="CY29" s="32">
        <f>(SUMPRODUCT(alpha*fck*(1-(1-((($L29+$M29*Mesh_Y+$N29*Mesh_X))*(($L29+$M29*Mesh_Y+$N29*Mesh_X)&gt;0)*(($L29+$M29*Mesh_Y+$N29*Mesh_X)&lt;eco)+eco*(($L29+$M29*Mesh_Y+$N29*Mesh_X)&gt;=eco))/eco)^n)*((($L29+$M29*Mesh_Y+$N29*Mesh_X))&gt;0),Mesh_A,Mesh_X)+SUMPRODUCT((Es*(($L29+$M29*Geometry!$E$42:$E$59+$N29*Geometry!$D$42:$D$59))*(ABS(Es*(($L29+$M29*Geometry!$E$42:$E$59+$N29*Geometry!$D$42:$D$59)))&lt;=fy)+fy*(Es*(($L29+$M29*Geometry!$E$42:$E$59+$N29*Geometry!$D$42:$D$59))&gt;fy)-fy*(Es*(($L29+$M29*Geometry!$E$42:$E$59+$N29*Geometry!$D$42:$D$59))&lt;-fy)-(alpha*fck*(1-(1-((($L29+$M29*Geometry!$E$42:$E$59+$N29*Geometry!$D$42:$D$59))*(($L29+$M29*Geometry!$E$42:$E$59+$N29*Geometry!$D$42:$D$59)&gt;0)*(($L29+$M29*Geometry!$E$42:$E$59+$N29*Geometry!$D$42:$D$59)&lt;eco)+eco*(($L29+$M29*Geometry!$E$42:$E$59+$N29*Geometry!$D$42:$D$59)&gt;=eco))/eco)^n)*((($L29+$M29*Geometry!$E$42:$E$59+$N29*Geometry!$D$42:$D$59))&gt;0))),Geometry!$F$42:$F$59,Geometry!$D$42:$D$59))/1000000</f>
      </c>
      <c r="CZ29" s="32">
        <f>(SUMPRODUCT(alpha*fck*(1-(1-((($O29+$P29*Mesh_Y+$Q29*Mesh_X))*(($O29+$P29*Mesh_Y+$Q29*Mesh_X)&gt;0)*(($O29+$P29*Mesh_Y+$Q29*Mesh_X)&lt;eco)+eco*(($O29+$P29*Mesh_Y+$Q29*Mesh_X)&gt;=eco))/eco)^n)*((($O29+$P29*Mesh_Y+$Q29*Mesh_X))&gt;0),Mesh_A,Mesh_X)+SUMPRODUCT((Es*(($O29+$P29*Geometry!$E$42:$E$59+$Q29*Geometry!$D$42:$D$59))*(ABS(Es*(($O29+$P29*Geometry!$E$42:$E$59+$Q29*Geometry!$D$42:$D$59)))&lt;=fy)+fy*(Es*(($O29+$P29*Geometry!$E$42:$E$59+$Q29*Geometry!$D$42:$D$59))&gt;fy)-fy*(Es*(($O29+$P29*Geometry!$E$42:$E$59+$Q29*Geometry!$D$42:$D$59))&lt;-fy)-(alpha*fck*(1-(1-((($O29+$P29*Geometry!$E$42:$E$59+$Q29*Geometry!$D$42:$D$59))*(($O29+$P29*Geometry!$E$42:$E$59+$Q29*Geometry!$D$42:$D$59)&gt;0)*(($O29+$P29*Geometry!$E$42:$E$59+$Q29*Geometry!$D$42:$D$59)&lt;eco)+eco*(($O29+$P29*Geometry!$E$42:$E$59+$Q29*Geometry!$D$42:$D$59)&gt;=eco))/eco)^n)*((($O29+$P29*Geometry!$E$42:$E$59+$Q29*Geometry!$D$42:$D$59))&gt;0))),Geometry!$F$42:$F$59,Geometry!$D$42:$D$59))/1000000</f>
      </c>
      <c r="DA29" s="32">
        <f>(SUMPRODUCT(alpha*fck*(1-(1-((($R29+$S29*Mesh_Y+$T29*Mesh_X))*(($R29+$S29*Mesh_Y+$T29*Mesh_X)&gt;0)*(($R29+$S29*Mesh_Y+$T29*Mesh_X)&lt;eco)+eco*(($R29+$S29*Mesh_Y+$T29*Mesh_X)&gt;=eco))/eco)^n)*((($R29+$S29*Mesh_Y+$T29*Mesh_X))&gt;0),Mesh_A,Mesh_X)+SUMPRODUCT((Es*(($R29+$S29*Geometry!$E$42:$E$59+$T29*Geometry!$D$42:$D$59))*(ABS(Es*(($R29+$S29*Geometry!$E$42:$E$59+$T29*Geometry!$D$42:$D$59)))&lt;=fy)+fy*(Es*(($R29+$S29*Geometry!$E$42:$E$59+$T29*Geometry!$D$42:$D$59))&gt;fy)-fy*(Es*(($R29+$S29*Geometry!$E$42:$E$59+$T29*Geometry!$D$42:$D$59))&lt;-fy)-(alpha*fck*(1-(1-((($R29+$S29*Geometry!$E$42:$E$59+$T29*Geometry!$D$42:$D$59))*(($R29+$S29*Geometry!$E$42:$E$59+$T29*Geometry!$D$42:$D$59)&gt;0)*(($R29+$S29*Geometry!$E$42:$E$59+$T29*Geometry!$D$42:$D$59)&lt;eco)+eco*(($R29+$S29*Geometry!$E$42:$E$59+$T29*Geometry!$D$42:$D$59)&gt;=eco))/eco)^n)*((($R29+$S29*Geometry!$E$42:$E$59+$T29*Geometry!$D$42:$D$59))&gt;0))),Geometry!$F$42:$F$59,Geometry!$D$42:$D$59))/1000000</f>
      </c>
      <c r="DB29" s="32">
        <f>(SUMPRODUCT(alpha*fck*(1-(1-((($U29+$V29*Mesh_Y+$W29*Mesh_X))*(($U29+$V29*Mesh_Y+$W29*Mesh_X)&gt;0)*(($U29+$V29*Mesh_Y+$W29*Mesh_X)&lt;eco)+eco*(($U29+$V29*Mesh_Y+$W29*Mesh_X)&gt;=eco))/eco)^n)*((($U29+$V29*Mesh_Y+$W29*Mesh_X))&gt;0),Mesh_A,Mesh_X)+SUMPRODUCT((Es*(($U29+$V29*Geometry!$E$42:$E$59+$W29*Geometry!$D$42:$D$59))*(ABS(Es*(($U29+$V29*Geometry!$E$42:$E$59+$W29*Geometry!$D$42:$D$59)))&lt;=fy)+fy*(Es*(($U29+$V29*Geometry!$E$42:$E$59+$W29*Geometry!$D$42:$D$59))&gt;fy)-fy*(Es*(($U29+$V29*Geometry!$E$42:$E$59+$W29*Geometry!$D$42:$D$59))&lt;-fy)-(alpha*fck*(1-(1-((($U29+$V29*Geometry!$E$42:$E$59+$W29*Geometry!$D$42:$D$59))*(($U29+$V29*Geometry!$E$42:$E$59+$W29*Geometry!$D$42:$D$59)&gt;0)*(($U29+$V29*Geometry!$E$42:$E$59+$W29*Geometry!$D$42:$D$59)&lt;eco)+eco*(($U29+$V29*Geometry!$E$42:$E$59+$W29*Geometry!$D$42:$D$59)&gt;=eco))/eco)^n)*((($U29+$V29*Geometry!$E$42:$E$59+$W29*Geometry!$D$42:$D$59))&gt;0))),Geometry!$F$42:$F$59,Geometry!$D$42:$D$59))/1000000</f>
      </c>
      <c r="DC29" s="32">
        <f>(SUMPRODUCT(alpha*fck*(1-(1-((($X29+$Y29*Mesh_Y+$Z29*Mesh_X))*(($X29+$Y29*Mesh_Y+$Z29*Mesh_X)&gt;0)*(($X29+$Y29*Mesh_Y+$Z29*Mesh_X)&lt;eco)+eco*(($X29+$Y29*Mesh_Y+$Z29*Mesh_X)&gt;=eco))/eco)^n)*((($X29+$Y29*Mesh_Y+$Z29*Mesh_X))&gt;0),Mesh_A,Mesh_X)+SUMPRODUCT((Es*(($X29+$Y29*Geometry!$E$42:$E$59+$Z29*Geometry!$D$42:$D$59))*(ABS(Es*(($X29+$Y29*Geometry!$E$42:$E$59+$Z29*Geometry!$D$42:$D$59)))&lt;=fy)+fy*(Es*(($X29+$Y29*Geometry!$E$42:$E$59+$Z29*Geometry!$D$42:$D$59))&gt;fy)-fy*(Es*(($X29+$Y29*Geometry!$E$42:$E$59+$Z29*Geometry!$D$42:$D$59))&lt;-fy)-(alpha*fck*(1-(1-((($X29+$Y29*Geometry!$E$42:$E$59+$Z29*Geometry!$D$42:$D$59))*(($X29+$Y29*Geometry!$E$42:$E$59+$Z29*Geometry!$D$42:$D$59)&gt;0)*(($X29+$Y29*Geometry!$E$42:$E$59+$Z29*Geometry!$D$42:$D$59)&lt;eco)+eco*(($X29+$Y29*Geometry!$E$42:$E$59+$Z29*Geometry!$D$42:$D$59)&gt;=eco))/eco)^n)*((($X29+$Y29*Geometry!$E$42:$E$59+$Z29*Geometry!$D$42:$D$59))&gt;0))),Geometry!$F$42:$F$59,Geometry!$D$42:$D$59))/1000000</f>
      </c>
      <c r="DD29" s="32">
        <f>(SUMPRODUCT(alpha*fck*(1-(1-((($AA29+$AB29*Mesh_Y+$AC29*Mesh_X))*(($AA29+$AB29*Mesh_Y+$AC29*Mesh_X)&gt;0)*(($AA29+$AB29*Mesh_Y+$AC29*Mesh_X)&lt;eco)+eco*(($AA29+$AB29*Mesh_Y+$AC29*Mesh_X)&gt;=eco))/eco)^n)*((($AA29+$AB29*Mesh_Y+$AC29*Mesh_X))&gt;0),Mesh_A,Mesh_X)+SUMPRODUCT((Es*(($AA29+$AB29*Geometry!$E$42:$E$59+$AC29*Geometry!$D$42:$D$59))*(ABS(Es*(($AA29+$AB29*Geometry!$E$42:$E$59+$AC29*Geometry!$D$42:$D$59)))&lt;=fy)+fy*(Es*(($AA29+$AB29*Geometry!$E$42:$E$59+$AC29*Geometry!$D$42:$D$59))&gt;fy)-fy*(Es*(($AA29+$AB29*Geometry!$E$42:$E$59+$AC29*Geometry!$D$42:$D$59))&lt;-fy)-(alpha*fck*(1-(1-((($AA29+$AB29*Geometry!$E$42:$E$59+$AC29*Geometry!$D$42:$D$59))*(($AA29+$AB29*Geometry!$E$42:$E$59+$AC29*Geometry!$D$42:$D$59)&gt;0)*(($AA29+$AB29*Geometry!$E$42:$E$59+$AC29*Geometry!$D$42:$D$59)&lt;eco)+eco*(($AA29+$AB29*Geometry!$E$42:$E$59+$AC29*Geometry!$D$42:$D$59)&gt;=eco))/eco)^n)*((($AA29+$AB29*Geometry!$E$42:$E$59+$AC29*Geometry!$D$42:$D$59))&gt;0))),Geometry!$F$42:$F$59,Geometry!$D$42:$D$59))/1000000</f>
      </c>
      <c r="DE29" s="32">
        <f>(SUMPRODUCT(alpha*fck*(1-(1-((($AD29+$AE29*Mesh_Y+$AF29*Mesh_X))*(($AD29+$AE29*Mesh_Y+$AF29*Mesh_X)&gt;0)*(($AD29+$AE29*Mesh_Y+$AF29*Mesh_X)&lt;eco)+eco*(($AD29+$AE29*Mesh_Y+$AF29*Mesh_X)&gt;=eco))/eco)^n)*((($AD29+$AE29*Mesh_Y+$AF29*Mesh_X))&gt;0),Mesh_A,Mesh_X)+SUMPRODUCT((Es*(($AD29+$AE29*Geometry!$E$42:$E$59+$AF29*Geometry!$D$42:$D$59))*(ABS(Es*(($AD29+$AE29*Geometry!$E$42:$E$59+$AF29*Geometry!$D$42:$D$59)))&lt;=fy)+fy*(Es*(($AD29+$AE29*Geometry!$E$42:$E$59+$AF29*Geometry!$D$42:$D$59))&gt;fy)-fy*(Es*(($AD29+$AE29*Geometry!$E$42:$E$59+$AF29*Geometry!$D$42:$D$59))&lt;-fy)-(alpha*fck*(1-(1-((($AD29+$AE29*Geometry!$E$42:$E$59+$AF29*Geometry!$D$42:$D$59))*(($AD29+$AE29*Geometry!$E$42:$E$59+$AF29*Geometry!$D$42:$D$59)&gt;0)*(($AD29+$AE29*Geometry!$E$42:$E$59+$AF29*Geometry!$D$42:$D$59)&lt;eco)+eco*(($AD29+$AE29*Geometry!$E$42:$E$59+$AF29*Geometry!$D$42:$D$59)&gt;=eco))/eco)^n)*((($AD29+$AE29*Geometry!$E$42:$E$59+$AF29*Geometry!$D$42:$D$59))&gt;0))),Geometry!$F$42:$F$59,Geometry!$D$42:$D$59))/1000000</f>
      </c>
      <c r="DF29" s="32">
        <f>(SUMPRODUCT(alpha*fck*(1-(1-((($AG29+$AH29*Mesh_Y+$AI29*Mesh_X))*(($AG29+$AH29*Mesh_Y+$AI29*Mesh_X)&gt;0)*(($AG29+$AH29*Mesh_Y+$AI29*Mesh_X)&lt;eco)+eco*(($AG29+$AH29*Mesh_Y+$AI29*Mesh_X)&gt;=eco))/eco)^n)*((($AG29+$AH29*Mesh_Y+$AI29*Mesh_X))&gt;0),Mesh_A,Mesh_X)+SUMPRODUCT((Es*(($AG29+$AH29*Geometry!$E$42:$E$59+$AI29*Geometry!$D$42:$D$59))*(ABS(Es*(($AG29+$AH29*Geometry!$E$42:$E$59+$AI29*Geometry!$D$42:$D$59)))&lt;=fy)+fy*(Es*(($AG29+$AH29*Geometry!$E$42:$E$59+$AI29*Geometry!$D$42:$D$59))&gt;fy)-fy*(Es*(($AG29+$AH29*Geometry!$E$42:$E$59+$AI29*Geometry!$D$42:$D$59))&lt;-fy)-(alpha*fck*(1-(1-((($AG29+$AH29*Geometry!$E$42:$E$59+$AI29*Geometry!$D$42:$D$59))*(($AG29+$AH29*Geometry!$E$42:$E$59+$AI29*Geometry!$D$42:$D$59)&gt;0)*(($AG29+$AH29*Geometry!$E$42:$E$59+$AI29*Geometry!$D$42:$D$59)&lt;eco)+eco*(($AG29+$AH29*Geometry!$E$42:$E$59+$AI29*Geometry!$D$42:$D$59)&gt;=eco))/eco)^n)*((($AG29+$AH29*Geometry!$E$42:$E$59+$AI29*Geometry!$D$42:$D$59))&gt;0))),Geometry!$F$42:$F$59,Geometry!$D$42:$D$59))/1000000</f>
      </c>
      <c r="DG29" s="32">
        <f>(SUMPRODUCT(alpha*fck*(1-(1-((($AJ29+$AK29*Mesh_Y+$AL29*Mesh_X))*(($AJ29+$AK29*Mesh_Y+$AL29*Mesh_X)&gt;0)*(($AJ29+$AK29*Mesh_Y+$AL29*Mesh_X)&lt;eco)+eco*(($AJ29+$AK29*Mesh_Y+$AL29*Mesh_X)&gt;=eco))/eco)^n)*((($AJ29+$AK29*Mesh_Y+$AL29*Mesh_X))&gt;0),Mesh_A,Mesh_X)+SUMPRODUCT((Es*(($AJ29+$AK29*Geometry!$E$42:$E$59+$AL29*Geometry!$D$42:$D$59))*(ABS(Es*(($AJ29+$AK29*Geometry!$E$42:$E$59+$AL29*Geometry!$D$42:$D$59)))&lt;=fy)+fy*(Es*(($AJ29+$AK29*Geometry!$E$42:$E$59+$AL29*Geometry!$D$42:$D$59))&gt;fy)-fy*(Es*(($AJ29+$AK29*Geometry!$E$42:$E$59+$AL29*Geometry!$D$42:$D$59))&lt;-fy)-(alpha*fck*(1-(1-((($AJ29+$AK29*Geometry!$E$42:$E$59+$AL29*Geometry!$D$42:$D$59))*(($AJ29+$AK29*Geometry!$E$42:$E$59+$AL29*Geometry!$D$42:$D$59)&gt;0)*(($AJ29+$AK29*Geometry!$E$42:$E$59+$AL29*Geometry!$D$42:$D$59)&lt;eco)+eco*(($AJ29+$AK29*Geometry!$E$42:$E$59+$AL29*Geometry!$D$42:$D$59)&gt;=eco))/eco)^n)*((($AJ29+$AK29*Geometry!$E$42:$E$59+$AL29*Geometry!$D$42:$D$59))&gt;0))),Geometry!$F$42:$F$59,Geometry!$D$42:$D$59))/1000000</f>
      </c>
      <c r="DH29" s="32">
        <f>(SUMPRODUCT(alpha*fck*(1-(1-((($AM29+$AN29*Mesh_Y+$AO29*Mesh_X))*(($AM29+$AN29*Mesh_Y+$AO29*Mesh_X)&gt;0)*(($AM29+$AN29*Mesh_Y+$AO29*Mesh_X)&lt;eco)+eco*(($AM29+$AN29*Mesh_Y+$AO29*Mesh_X)&gt;=eco))/eco)^n)*((($AM29+$AN29*Mesh_Y+$AO29*Mesh_X))&gt;0),Mesh_A,Mesh_X)+SUMPRODUCT((Es*(($AM29+$AN29*Geometry!$E$42:$E$59+$AO29*Geometry!$D$42:$D$59))*(ABS(Es*(($AM29+$AN29*Geometry!$E$42:$E$59+$AO29*Geometry!$D$42:$D$59)))&lt;=fy)+fy*(Es*(($AM29+$AN29*Geometry!$E$42:$E$59+$AO29*Geometry!$D$42:$D$59))&gt;fy)-fy*(Es*(($AM29+$AN29*Geometry!$E$42:$E$59+$AO29*Geometry!$D$42:$D$59))&lt;-fy)-(alpha*fck*(1-(1-((($AM29+$AN29*Geometry!$E$42:$E$59+$AO29*Geometry!$D$42:$D$59))*(($AM29+$AN29*Geometry!$E$42:$E$59+$AO29*Geometry!$D$42:$D$59)&gt;0)*(($AM29+$AN29*Geometry!$E$42:$E$59+$AO29*Geometry!$D$42:$D$59)&lt;eco)+eco*(($AM29+$AN29*Geometry!$E$42:$E$59+$AO29*Geometry!$D$42:$D$59)&gt;=eco))/eco)^n)*((($AM29+$AN29*Geometry!$E$42:$E$59+$AO29*Geometry!$D$42:$D$59))&gt;0))),Geometry!$F$42:$F$59,Geometry!$D$42:$D$59))/1000000</f>
      </c>
      <c r="DI29" s="32">
        <f>(SUMPRODUCT(alpha*fck*(1-(1-((($AP29+$AQ29*Mesh_Y+$AR29*Mesh_X))*(($AP29+$AQ29*Mesh_Y+$AR29*Mesh_X)&gt;0)*(($AP29+$AQ29*Mesh_Y+$AR29*Mesh_X)&lt;eco)+eco*(($AP29+$AQ29*Mesh_Y+$AR29*Mesh_X)&gt;=eco))/eco)^n)*((($AP29+$AQ29*Mesh_Y+$AR29*Mesh_X))&gt;0),Mesh_A,Mesh_X)+SUMPRODUCT((Es*(($AP29+$AQ29*Geometry!$E$42:$E$59+$AR29*Geometry!$D$42:$D$59))*(ABS(Es*(($AP29+$AQ29*Geometry!$E$42:$E$59+$AR29*Geometry!$D$42:$D$59)))&lt;=fy)+fy*(Es*(($AP29+$AQ29*Geometry!$E$42:$E$59+$AR29*Geometry!$D$42:$D$59))&gt;fy)-fy*(Es*(($AP29+$AQ29*Geometry!$E$42:$E$59+$AR29*Geometry!$D$42:$D$59))&lt;-fy)-(alpha*fck*(1-(1-((($AP29+$AQ29*Geometry!$E$42:$E$59+$AR29*Geometry!$D$42:$D$59))*(($AP29+$AQ29*Geometry!$E$42:$E$59+$AR29*Geometry!$D$42:$D$59)&gt;0)*(($AP29+$AQ29*Geometry!$E$42:$E$59+$AR29*Geometry!$D$42:$D$59)&lt;eco)+eco*(($AP29+$AQ29*Geometry!$E$42:$E$59+$AR29*Geometry!$D$42:$D$59)&gt;=eco))/eco)^n)*((($AP29+$AQ29*Geometry!$E$42:$E$59+$AR29*Geometry!$D$42:$D$59))&gt;0))),Geometry!$F$42:$F$59,Geometry!$D$42:$D$59))/1000000</f>
      </c>
      <c r="DJ29" s="32">
        <f>(SUMPRODUCT(alpha*fck*(1-(1-((($AS29+$AT29*Mesh_Y+$AU29*Mesh_X))*(($AS29+$AT29*Mesh_Y+$AU29*Mesh_X)&gt;0)*(($AS29+$AT29*Mesh_Y+$AU29*Mesh_X)&lt;eco)+eco*(($AS29+$AT29*Mesh_Y+$AU29*Mesh_X)&gt;=eco))/eco)^n)*((($AS29+$AT29*Mesh_Y+$AU29*Mesh_X))&gt;0),Mesh_A,Mesh_X)+SUMPRODUCT((Es*(($AS29+$AT29*Geometry!$E$42:$E$59+$AU29*Geometry!$D$42:$D$59))*(ABS(Es*(($AS29+$AT29*Geometry!$E$42:$E$59+$AU29*Geometry!$D$42:$D$59)))&lt;=fy)+fy*(Es*(($AS29+$AT29*Geometry!$E$42:$E$59+$AU29*Geometry!$D$42:$D$59))&gt;fy)-fy*(Es*(($AS29+$AT29*Geometry!$E$42:$E$59+$AU29*Geometry!$D$42:$D$59))&lt;-fy)-(alpha*fck*(1-(1-((($AS29+$AT29*Geometry!$E$42:$E$59+$AU29*Geometry!$D$42:$D$59))*(($AS29+$AT29*Geometry!$E$42:$E$59+$AU29*Geometry!$D$42:$D$59)&gt;0)*(($AS29+$AT29*Geometry!$E$42:$E$59+$AU29*Geometry!$D$42:$D$59)&lt;eco)+eco*(($AS29+$AT29*Geometry!$E$42:$E$59+$AU29*Geometry!$D$42:$D$59)&gt;=eco))/eco)^n)*((($AS29+$AT29*Geometry!$E$42:$E$59+$AU29*Geometry!$D$42:$D$59))&gt;0))),Geometry!$F$42:$F$59,Geometry!$D$42:$D$59))/1000000</f>
      </c>
      <c r="DK29" s="32">
        <f>(SUMPRODUCT(alpha*fck*(1-(1-((($AV29+$AW29*Mesh_Y+$AX29*Mesh_X))*(($AV29+$AW29*Mesh_Y+$AX29*Mesh_X)&gt;0)*(($AV29+$AW29*Mesh_Y+$AX29*Mesh_X)&lt;eco)+eco*(($AV29+$AW29*Mesh_Y+$AX29*Mesh_X)&gt;=eco))/eco)^n)*((($AV29+$AW29*Mesh_Y+$AX29*Mesh_X))&gt;0),Mesh_A,Mesh_X)+SUMPRODUCT((Es*(($AV29+$AW29*Geometry!$E$42:$E$59+$AX29*Geometry!$D$42:$D$59))*(ABS(Es*(($AV29+$AW29*Geometry!$E$42:$E$59+$AX29*Geometry!$D$42:$D$59)))&lt;=fy)+fy*(Es*(($AV29+$AW29*Geometry!$E$42:$E$59+$AX29*Geometry!$D$42:$D$59))&gt;fy)-fy*(Es*(($AV29+$AW29*Geometry!$E$42:$E$59+$AX29*Geometry!$D$42:$D$59))&lt;-fy)-(alpha*fck*(1-(1-((($AV29+$AW29*Geometry!$E$42:$E$59+$AX29*Geometry!$D$42:$D$59))*(($AV29+$AW29*Geometry!$E$42:$E$59+$AX29*Geometry!$D$42:$D$59)&gt;0)*(($AV29+$AW29*Geometry!$E$42:$E$59+$AX29*Geometry!$D$42:$D$59)&lt;eco)+eco*(($AV29+$AW29*Geometry!$E$42:$E$59+$AX29*Geometry!$D$42:$D$59)&gt;=eco))/eco)^n)*((($AV29+$AW29*Geometry!$E$42:$E$59+$AX29*Geometry!$D$42:$D$59))&gt;0))),Geometry!$F$42:$F$59,Geometry!$D$42:$D$59))/1000000</f>
      </c>
      <c r="DL29" s="32">
        <f>(SUMPRODUCT(alpha*fck*(1-(1-((($AY29+$AZ29*Mesh_Y+$BA29*Mesh_X))*(($AY29+$AZ29*Mesh_Y+$BA29*Mesh_X)&gt;0)*(($AY29+$AZ29*Mesh_Y+$BA29*Mesh_X)&lt;eco)+eco*(($AY29+$AZ29*Mesh_Y+$BA29*Mesh_X)&gt;=eco))/eco)^n)*((($AY29+$AZ29*Mesh_Y+$BA29*Mesh_X))&gt;0),Mesh_A,Mesh_X)+SUMPRODUCT((Es*(($AY29+$AZ29*Geometry!$E$42:$E$59+$BA29*Geometry!$D$42:$D$59))*(ABS(Es*(($AY29+$AZ29*Geometry!$E$42:$E$59+$BA29*Geometry!$D$42:$D$59)))&lt;=fy)+fy*(Es*(($AY29+$AZ29*Geometry!$E$42:$E$59+$BA29*Geometry!$D$42:$D$59))&gt;fy)-fy*(Es*(($AY29+$AZ29*Geometry!$E$42:$E$59+$BA29*Geometry!$D$42:$D$59))&lt;-fy)-(alpha*fck*(1-(1-((($AY29+$AZ29*Geometry!$E$42:$E$59+$BA29*Geometry!$D$42:$D$59))*(($AY29+$AZ29*Geometry!$E$42:$E$59+$BA29*Geometry!$D$42:$D$59)&gt;0)*(($AY29+$AZ29*Geometry!$E$42:$E$59+$BA29*Geometry!$D$42:$D$59)&lt;eco)+eco*(($AY29+$AZ29*Geometry!$E$42:$E$59+$BA29*Geometry!$D$42:$D$59)&gt;=eco))/eco)^n)*((($AY29+$AZ29*Geometry!$E$42:$E$59+$BA29*Geometry!$D$42:$D$59))&gt;0))),Geometry!$F$42:$F$59,Geometry!$D$42:$D$59))/1000000</f>
      </c>
      <c r="DM29" s="32">
        <f>(SUMPRODUCT(alpha*fck*(1-(1-((($BB29+$BC29*Mesh_Y+$BD29*Mesh_X))*(($BB29+$BC29*Mesh_Y+$BD29*Mesh_X)&gt;0)*(($BB29+$BC29*Mesh_Y+$BD29*Mesh_X)&lt;eco)+eco*(($BB29+$BC29*Mesh_Y+$BD29*Mesh_X)&gt;=eco))/eco)^n)*((($BB29+$BC29*Mesh_Y+$BD29*Mesh_X))&gt;0),Mesh_A,Mesh_X)+SUMPRODUCT((Es*(($BB29+$BC29*Geometry!$E$42:$E$59+$BD29*Geometry!$D$42:$D$59))*(ABS(Es*(($BB29+$BC29*Geometry!$E$42:$E$59+$BD29*Geometry!$D$42:$D$59)))&lt;=fy)+fy*(Es*(($BB29+$BC29*Geometry!$E$42:$E$59+$BD29*Geometry!$D$42:$D$59))&gt;fy)-fy*(Es*(($BB29+$BC29*Geometry!$E$42:$E$59+$BD29*Geometry!$D$42:$D$59))&lt;-fy)-(alpha*fck*(1-(1-((($BB29+$BC29*Geometry!$E$42:$E$59+$BD29*Geometry!$D$42:$D$59))*(($BB29+$BC29*Geometry!$E$42:$E$59+$BD29*Geometry!$D$42:$D$59)&gt;0)*(($BB29+$BC29*Geometry!$E$42:$E$59+$BD29*Geometry!$D$42:$D$59)&lt;eco)+eco*(($BB29+$BC29*Geometry!$E$42:$E$59+$BD29*Geometry!$D$42:$D$59)&gt;=eco))/eco)^n)*((($BB29+$BC29*Geometry!$E$42:$E$59+$BD29*Geometry!$D$42:$D$59))&gt;0))),Geometry!$F$42:$F$59,Geometry!$D$42:$D$59))/1000000</f>
      </c>
      <c r="DN29" s="32">
        <f>(SUMPRODUCT(alpha*fck*(1-(1-((($BE29+$BF29*Mesh_Y+$BG29*Mesh_X))*(($BE29+$BF29*Mesh_Y+$BG29*Mesh_X)&gt;0)*(($BE29+$BF29*Mesh_Y+$BG29*Mesh_X)&lt;eco)+eco*(($BE29+$BF29*Mesh_Y+$BG29*Mesh_X)&gt;=eco))/eco)^n)*((($BE29+$BF29*Mesh_Y+$BG29*Mesh_X))&gt;0),Mesh_A,Mesh_X)+SUMPRODUCT((Es*(($BE29+$BF29*Geometry!$E$42:$E$59+$BG29*Geometry!$D$42:$D$59))*(ABS(Es*(($BE29+$BF29*Geometry!$E$42:$E$59+$BG29*Geometry!$D$42:$D$59)))&lt;=fy)+fy*(Es*(($BE29+$BF29*Geometry!$E$42:$E$59+$BG29*Geometry!$D$42:$D$59))&gt;fy)-fy*(Es*(($BE29+$BF29*Geometry!$E$42:$E$59+$BG29*Geometry!$D$42:$D$59))&lt;-fy)-(alpha*fck*(1-(1-((($BE29+$BF29*Geometry!$E$42:$E$59+$BG29*Geometry!$D$42:$D$59))*(($BE29+$BF29*Geometry!$E$42:$E$59+$BG29*Geometry!$D$42:$D$59)&gt;0)*(($BE29+$BF29*Geometry!$E$42:$E$59+$BG29*Geometry!$D$42:$D$59)&lt;eco)+eco*(($BE29+$BF29*Geometry!$E$42:$E$59+$BG29*Geometry!$D$42:$D$59)&gt;=eco))/eco)^n)*((($BE29+$BF29*Geometry!$E$42:$E$59+$BG29*Geometry!$D$42:$D$59))&gt;0))),Geometry!$F$42:$F$59,Geometry!$D$42:$D$59))/1000000</f>
      </c>
      <c r="DO29" s="32">
        <f>(SUMPRODUCT(alpha*fck*(1-(1-((($BH29+$BI29*Mesh_Y+$BJ29*Mesh_X))*(($BH29+$BI29*Mesh_Y+$BJ29*Mesh_X)&gt;0)*(($BH29+$BI29*Mesh_Y+$BJ29*Mesh_X)&lt;eco)+eco*(($BH29+$BI29*Mesh_Y+$BJ29*Mesh_X)&gt;=eco))/eco)^n)*((($BH29+$BI29*Mesh_Y+$BJ29*Mesh_X))&gt;0),Mesh_A,Mesh_X)+SUMPRODUCT((Es*(($BH29+$BI29*Geometry!$E$42:$E$59+$BJ29*Geometry!$D$42:$D$59))*(ABS(Es*(($BH29+$BI29*Geometry!$E$42:$E$59+$BJ29*Geometry!$D$42:$D$59)))&lt;=fy)+fy*(Es*(($BH29+$BI29*Geometry!$E$42:$E$59+$BJ29*Geometry!$D$42:$D$59))&gt;fy)-fy*(Es*(($BH29+$BI29*Geometry!$E$42:$E$59+$BJ29*Geometry!$D$42:$D$59))&lt;-fy)-(alpha*fck*(1-(1-((($BH29+$BI29*Geometry!$E$42:$E$59+$BJ29*Geometry!$D$42:$D$59))*(($BH29+$BI29*Geometry!$E$42:$E$59+$BJ29*Geometry!$D$42:$D$59)&gt;0)*(($BH29+$BI29*Geometry!$E$42:$E$59+$BJ29*Geometry!$D$42:$D$59)&lt;eco)+eco*(($BH29+$BI29*Geometry!$E$42:$E$59+$BJ29*Geometry!$D$42:$D$59)&gt;=eco))/eco)^n)*((($BH29+$BI29*Geometry!$E$42:$E$59+$BJ29*Geometry!$D$42:$D$59))&gt;0))),Geometry!$F$42:$F$59,Geometry!$D$42:$D$59))/1000000</f>
      </c>
      <c r="DP29" s="45">
        <f>MAX(1,MIN(18,SUMPRODUCT(--($BK29:$CC29&gt;=Pu))))</f>
      </c>
      <c r="DQ29" s="46">
        <f>(Pu-INDEX($BK29:$CC29,1,$DP29))/(INDEX($BK29:$CC29,1,$DP29+1)-INDEX($BK29:$CC29,1,$DP29))</f>
      </c>
      <c r="DR29" s="33">
        <f>INDEX($CD29:$CV29,1,$DP29)+$DQ29*(INDEX($CD29:$CV29,1,$DP29+1)-INDEX($CD29:$CV29,1,$DP29))</f>
      </c>
      <c r="DS29" s="33">
        <f>INDEX($CW29:$DO29,1,$DP29)+$DQ29*(INDEX($CW29:$DO29,1,$DP29+1)-INDEX($CW29:$DO29,1,$DP29))</f>
      </c>
      <c r="DT29" s="33">
        <f>SQRT(DR29^2+DS29^2)</f>
      </c>
    </row>
    <row r="30" spans="1:124" x14ac:dyDescent="0.25">
      <c r="A30">
        <v>23</v>
      </c>
      <c r="B30" s="43">
        <v>330</v>
      </c>
      <c r="C30" s="12">
        <f>MAX(SUMPRODUCT(MAX((Geometry!$E$6:$E$13)*COS(RADIANS($B30))+(Geometry!$D$6:$D$13)*SIN(RADIANS($B30)))))</f>
      </c>
      <c r="D30" s="12">
        <f>SUMPRODUCT(MIN((Geometry!$E$42:$E$59)*COS(RADIANS($B30))+(Geometry!$D$42:$D$59)*SIN(RADIANS($B30))))</f>
      </c>
      <c r="E30" s="12">
        <f>C30-D30</f>
      </c>
      <c r="F30" s="30">
        <f>ecu</f>
      </c>
      <c r="G30" s="44">
        <f>0*COS(RADIANS($B30))</f>
      </c>
      <c r="H30" s="44">
        <f>0*SIN(RADIANS($B30))</f>
      </c>
      <c r="I30" s="30">
        <f>ecu-((ecu-0)/($C30-($C30-PM_Angle!$C$8*$E30)))*$C30</f>
      </c>
      <c r="J30" s="44">
        <f>((ecu-0)/($C30-($C30-PM_Angle!$C$8*$E30)))*COS(RADIANS($B30))</f>
      </c>
      <c r="K30" s="44">
        <f>((ecu-0)/($C30-($C30-PM_Angle!$C$8*$E30)))*SIN(RADIANS($B30))</f>
      </c>
      <c r="L30" s="30">
        <f>ecu-((ecu-0)/($C30-($C30-PM_Angle!$C$9*$E30)))*$C30</f>
      </c>
      <c r="M30" s="44">
        <f>((ecu-0)/($C30-($C30-PM_Angle!$C$9*$E30)))*COS(RADIANS($B30))</f>
      </c>
      <c r="N30" s="44">
        <f>((ecu-0)/($C30-($C30-PM_Angle!$C$9*$E30)))*SIN(RADIANS($B30))</f>
      </c>
      <c r="O30" s="30">
        <f>ecu-((ecu-0)/($C30-($C30-PM_Angle!$C$10*$E30)))*$C30</f>
      </c>
      <c r="P30" s="44">
        <f>((ecu-0)/($C30-($C30-PM_Angle!$C$10*$E30)))*COS(RADIANS($B30))</f>
      </c>
      <c r="Q30" s="44">
        <f>((ecu-0)/($C30-($C30-PM_Angle!$C$10*$E30)))*SIN(RADIANS($B30))</f>
      </c>
      <c r="R30" s="30">
        <f>ecu-((ecu-0)/($C30-($C30-PM_Angle!$C$11*$E30)))*$C30</f>
      </c>
      <c r="S30" s="44">
        <f>((ecu-0)/($C30-($C30-PM_Angle!$C$11*$E30)))*COS(RADIANS($B30))</f>
      </c>
      <c r="T30" s="44">
        <f>((ecu-0)/($C30-($C30-PM_Angle!$C$11*$E30)))*SIN(RADIANS($B30))</f>
      </c>
      <c r="U30" s="30">
        <f>ecu-((ecu-(-PM_Angle!$E$12))/($C30-$D30))*$C30</f>
      </c>
      <c r="V30" s="44">
        <f>((ecu-(-PM_Angle!$E$12))/($C30-$D30))*COS(RADIANS($B30))</f>
      </c>
      <c r="W30" s="44">
        <f>((ecu-(-PM_Angle!$E$12))/($C30-$D30))*SIN(RADIANS($B30))</f>
      </c>
      <c r="X30" s="30">
        <f>ecu-((ecu-(-PM_Angle!$D$13*fy/Es))/($C30-$D30))*$C30</f>
      </c>
      <c r="Y30" s="44">
        <f>((ecu-(-PM_Angle!$D$13*fy/Es))/($C30-$D30))*COS(RADIANS($B30))</f>
      </c>
      <c r="Z30" s="44">
        <f>((ecu-(-PM_Angle!$D$13*fy/Es))/($C30-$D30))*SIN(RADIANS($B30))</f>
      </c>
      <c r="AA30" s="30">
        <f>ecu-((ecu-(-PM_Angle!$D$14*fy/Es))/($C30-$D30))*$C30</f>
      </c>
      <c r="AB30" s="44">
        <f>((ecu-(-PM_Angle!$D$14*fy/Es))/($C30-$D30))*COS(RADIANS($B30))</f>
      </c>
      <c r="AC30" s="44">
        <f>((ecu-(-PM_Angle!$D$14*fy/Es))/($C30-$D30))*SIN(RADIANS($B30))</f>
      </c>
      <c r="AD30" s="30">
        <f>ecu-((ecu-(-PM_Angle!$D$15*fy/Es))/($C30-$D30))*$C30</f>
      </c>
      <c r="AE30" s="44">
        <f>((ecu-(-PM_Angle!$D$15*fy/Es))/($C30-$D30))*COS(RADIANS($B30))</f>
      </c>
      <c r="AF30" s="44">
        <f>((ecu-(-PM_Angle!$D$15*fy/Es))/($C30-$D30))*SIN(RADIANS($B30))</f>
      </c>
      <c r="AG30" s="30">
        <f>ecu-((ecu-(-PM_Angle!$D$16*fy/Es))/($C30-$D30))*$C30</f>
      </c>
      <c r="AH30" s="44">
        <f>((ecu-(-PM_Angle!$D$16*fy/Es))/($C30-$D30))*COS(RADIANS($B30))</f>
      </c>
      <c r="AI30" s="44">
        <f>((ecu-(-PM_Angle!$D$16*fy/Es))/($C30-$D30))*SIN(RADIANS($B30))</f>
      </c>
      <c r="AJ30" s="30">
        <f>ecu-((ecu-(-PM_Angle!$E$17))/($C30-$D30))*$C30</f>
      </c>
      <c r="AK30" s="44">
        <f>((ecu-(-PM_Angle!$E$17))/($C30-$D30))*COS(RADIANS($B30))</f>
      </c>
      <c r="AL30" s="44">
        <f>((ecu-(-PM_Angle!$E$17))/($C30-$D30))*SIN(RADIANS($B30))</f>
      </c>
      <c r="AM30" s="30">
        <f>ecu-((ecu-(-PM_Angle!$E$18))/($C30-$D30))*$C30</f>
      </c>
      <c r="AN30" s="44">
        <f>((ecu-(-PM_Angle!$E$18))/($C30-$D30))*COS(RADIANS($B30))</f>
      </c>
      <c r="AO30" s="44">
        <f>((ecu-(-PM_Angle!$E$18))/($C30-$D30))*SIN(RADIANS($B30))</f>
      </c>
      <c r="AP30" s="30">
        <f>ecu-((ecu-(-PM_Angle!$E$19))/($C30-$D30))*$C30</f>
      </c>
      <c r="AQ30" s="44">
        <f>((ecu-(-PM_Angle!$E$19))/($C30-$D30))*COS(RADIANS($B30))</f>
      </c>
      <c r="AR30" s="44">
        <f>((ecu-(-PM_Angle!$E$19))/($C30-$D30))*SIN(RADIANS($B30))</f>
      </c>
      <c r="AS30" s="30">
        <f>ecu-((ecu-(-PM_Angle!$E$20))/($C30-$D30))*$C30</f>
      </c>
      <c r="AT30" s="44">
        <f>((ecu-(-PM_Angle!$E$20))/($C30-$D30))*COS(RADIANS($B30))</f>
      </c>
      <c r="AU30" s="44">
        <f>((ecu-(-PM_Angle!$E$20))/($C30-$D30))*SIN(RADIANS($B30))</f>
      </c>
      <c r="AV30" s="30">
        <f>ecu-((ecu-(-PM_Angle!$E$21))/($C30-$D30))*$C30</f>
      </c>
      <c r="AW30" s="44">
        <f>((ecu-(-PM_Angle!$E$21))/($C30-$D30))*COS(RADIANS($B30))</f>
      </c>
      <c r="AX30" s="44">
        <f>((ecu-(-PM_Angle!$E$21))/($C30-$D30))*SIN(RADIANS($B30))</f>
      </c>
      <c r="AY30" s="30">
        <f>ecu-((ecu-(-PM_Angle!$E$22))/($C30-$D30))*$C30</f>
      </c>
      <c r="AZ30" s="44">
        <f>((ecu-(-PM_Angle!$E$22))/($C30-$D30))*COS(RADIANS($B30))</f>
      </c>
      <c r="BA30" s="44">
        <f>((ecu-(-PM_Angle!$E$22))/($C30-$D30))*SIN(RADIANS($B30))</f>
      </c>
      <c r="BB30" s="30">
        <f>ecu-((ecu-(-PM_Angle!$E$23))/($C30-$D30))*$C30</f>
      </c>
      <c r="BC30" s="44">
        <f>((ecu-(-PM_Angle!$E$23))/($C30-$D30))*COS(RADIANS($B30))</f>
      </c>
      <c r="BD30" s="44">
        <f>((ecu-(-PM_Angle!$E$23))/($C30-$D30))*SIN(RADIANS($B30))</f>
      </c>
      <c r="BE30" s="30">
        <f>ecu-((ecu-(-PM_Angle!$E$24))/($C30-$D30))*$C30</f>
      </c>
      <c r="BF30" s="44">
        <f>((ecu-(-PM_Angle!$E$24))/($C30-$D30))*COS(RADIANS($B30))</f>
      </c>
      <c r="BG30" s="44">
        <f>((ecu-(-PM_Angle!$E$24))/($C30-$D30))*SIN(RADIANS($B30))</f>
      </c>
      <c r="BH30" s="30">
        <f>etu</f>
      </c>
      <c r="BI30" s="44">
        <f>0*COS(RADIANS($B30))</f>
      </c>
      <c r="BJ30" s="44">
        <f>0*SIN(RADIANS($B30))</f>
      </c>
      <c r="BK30" s="32">
        <f>(SUMPRODUCT(alpha*fck*(1-(1-((($F30+$G30*Mesh_Y+$H30*Mesh_X))*(($F30+$G30*Mesh_Y+$H30*Mesh_X)&gt;0)*(($F30+$G30*Mesh_Y+$H30*Mesh_X)&lt;eco)+eco*(($F30+$G30*Mesh_Y+$H30*Mesh_X)&gt;=eco))/eco)^n)*((($F30+$G30*Mesh_Y+$H30*Mesh_X))&gt;0),Mesh_A)+SUMPRODUCT((Es*(($F30+$G30*Geometry!$E$42:$E$59+$H30*Geometry!$D$42:$D$59))*(ABS(Es*(($F30+$G30*Geometry!$E$42:$E$59+$H30*Geometry!$D$42:$D$59)))&lt;=fy)+fy*(Es*(($F30+$G30*Geometry!$E$42:$E$59+$H30*Geometry!$D$42:$D$59))&gt;fy)-fy*(Es*(($F30+$G30*Geometry!$E$42:$E$59+$H30*Geometry!$D$42:$D$59))&lt;-fy)-(alpha*fck*(1-(1-((($F30+$G30*Geometry!$E$42:$E$59+$H30*Geometry!$D$42:$D$59))*(($F30+$G30*Geometry!$E$42:$E$59+$H30*Geometry!$D$42:$D$59)&gt;0)*(($F30+$G30*Geometry!$E$42:$E$59+$H30*Geometry!$D$42:$D$59)&lt;eco)+eco*(($F30+$G30*Geometry!$E$42:$E$59+$H30*Geometry!$D$42:$D$59)&gt;=eco))/eco)^n)*((($F30+$G30*Geometry!$E$42:$E$59+$H30*Geometry!$D$42:$D$59))&gt;0))),Geometry!$F$42:$F$59))/1000</f>
      </c>
      <c r="BL30" s="32">
        <f>(SUMPRODUCT(alpha*fck*(1-(1-((($I30+$J30*Mesh_Y+$K30*Mesh_X))*(($I30+$J30*Mesh_Y+$K30*Mesh_X)&gt;0)*(($I30+$J30*Mesh_Y+$K30*Mesh_X)&lt;eco)+eco*(($I30+$J30*Mesh_Y+$K30*Mesh_X)&gt;=eco))/eco)^n)*((($I30+$J30*Mesh_Y+$K30*Mesh_X))&gt;0),Mesh_A)+SUMPRODUCT((Es*(($I30+$J30*Geometry!$E$42:$E$59+$K30*Geometry!$D$42:$D$59))*(ABS(Es*(($I30+$J30*Geometry!$E$42:$E$59+$K30*Geometry!$D$42:$D$59)))&lt;=fy)+fy*(Es*(($I30+$J30*Geometry!$E$42:$E$59+$K30*Geometry!$D$42:$D$59))&gt;fy)-fy*(Es*(($I30+$J30*Geometry!$E$42:$E$59+$K30*Geometry!$D$42:$D$59))&lt;-fy)-(alpha*fck*(1-(1-((($I30+$J30*Geometry!$E$42:$E$59+$K30*Geometry!$D$42:$D$59))*(($I30+$J30*Geometry!$E$42:$E$59+$K30*Geometry!$D$42:$D$59)&gt;0)*(($I30+$J30*Geometry!$E$42:$E$59+$K30*Geometry!$D$42:$D$59)&lt;eco)+eco*(($I30+$J30*Geometry!$E$42:$E$59+$K30*Geometry!$D$42:$D$59)&gt;=eco))/eco)^n)*((($I30+$J30*Geometry!$E$42:$E$59+$K30*Geometry!$D$42:$D$59))&gt;0))),Geometry!$F$42:$F$59))/1000</f>
      </c>
      <c r="BM30" s="32">
        <f>(SUMPRODUCT(alpha*fck*(1-(1-((($L30+$M30*Mesh_Y+$N30*Mesh_X))*(($L30+$M30*Mesh_Y+$N30*Mesh_X)&gt;0)*(($L30+$M30*Mesh_Y+$N30*Mesh_X)&lt;eco)+eco*(($L30+$M30*Mesh_Y+$N30*Mesh_X)&gt;=eco))/eco)^n)*((($L30+$M30*Mesh_Y+$N30*Mesh_X))&gt;0),Mesh_A)+SUMPRODUCT((Es*(($L30+$M30*Geometry!$E$42:$E$59+$N30*Geometry!$D$42:$D$59))*(ABS(Es*(($L30+$M30*Geometry!$E$42:$E$59+$N30*Geometry!$D$42:$D$59)))&lt;=fy)+fy*(Es*(($L30+$M30*Geometry!$E$42:$E$59+$N30*Geometry!$D$42:$D$59))&gt;fy)-fy*(Es*(($L30+$M30*Geometry!$E$42:$E$59+$N30*Geometry!$D$42:$D$59))&lt;-fy)-(alpha*fck*(1-(1-((($L30+$M30*Geometry!$E$42:$E$59+$N30*Geometry!$D$42:$D$59))*(($L30+$M30*Geometry!$E$42:$E$59+$N30*Geometry!$D$42:$D$59)&gt;0)*(($L30+$M30*Geometry!$E$42:$E$59+$N30*Geometry!$D$42:$D$59)&lt;eco)+eco*(($L30+$M30*Geometry!$E$42:$E$59+$N30*Geometry!$D$42:$D$59)&gt;=eco))/eco)^n)*((($L30+$M30*Geometry!$E$42:$E$59+$N30*Geometry!$D$42:$D$59))&gt;0))),Geometry!$F$42:$F$59))/1000</f>
      </c>
      <c r="BN30" s="32">
        <f>(SUMPRODUCT(alpha*fck*(1-(1-((($O30+$P30*Mesh_Y+$Q30*Mesh_X))*(($O30+$P30*Mesh_Y+$Q30*Mesh_X)&gt;0)*(($O30+$P30*Mesh_Y+$Q30*Mesh_X)&lt;eco)+eco*(($O30+$P30*Mesh_Y+$Q30*Mesh_X)&gt;=eco))/eco)^n)*((($O30+$P30*Mesh_Y+$Q30*Mesh_X))&gt;0),Mesh_A)+SUMPRODUCT((Es*(($O30+$P30*Geometry!$E$42:$E$59+$Q30*Geometry!$D$42:$D$59))*(ABS(Es*(($O30+$P30*Geometry!$E$42:$E$59+$Q30*Geometry!$D$42:$D$59)))&lt;=fy)+fy*(Es*(($O30+$P30*Geometry!$E$42:$E$59+$Q30*Geometry!$D$42:$D$59))&gt;fy)-fy*(Es*(($O30+$P30*Geometry!$E$42:$E$59+$Q30*Geometry!$D$42:$D$59))&lt;-fy)-(alpha*fck*(1-(1-((($O30+$P30*Geometry!$E$42:$E$59+$Q30*Geometry!$D$42:$D$59))*(($O30+$P30*Geometry!$E$42:$E$59+$Q30*Geometry!$D$42:$D$59)&gt;0)*(($O30+$P30*Geometry!$E$42:$E$59+$Q30*Geometry!$D$42:$D$59)&lt;eco)+eco*(($O30+$P30*Geometry!$E$42:$E$59+$Q30*Geometry!$D$42:$D$59)&gt;=eco))/eco)^n)*((($O30+$P30*Geometry!$E$42:$E$59+$Q30*Geometry!$D$42:$D$59))&gt;0))),Geometry!$F$42:$F$59))/1000</f>
      </c>
      <c r="BO30" s="32">
        <f>(SUMPRODUCT(alpha*fck*(1-(1-((($R30+$S30*Mesh_Y+$T30*Mesh_X))*(($R30+$S30*Mesh_Y+$T30*Mesh_X)&gt;0)*(($R30+$S30*Mesh_Y+$T30*Mesh_X)&lt;eco)+eco*(($R30+$S30*Mesh_Y+$T30*Mesh_X)&gt;=eco))/eco)^n)*((($R30+$S30*Mesh_Y+$T30*Mesh_X))&gt;0),Mesh_A)+SUMPRODUCT((Es*(($R30+$S30*Geometry!$E$42:$E$59+$T30*Geometry!$D$42:$D$59))*(ABS(Es*(($R30+$S30*Geometry!$E$42:$E$59+$T30*Geometry!$D$42:$D$59)))&lt;=fy)+fy*(Es*(($R30+$S30*Geometry!$E$42:$E$59+$T30*Geometry!$D$42:$D$59))&gt;fy)-fy*(Es*(($R30+$S30*Geometry!$E$42:$E$59+$T30*Geometry!$D$42:$D$59))&lt;-fy)-(alpha*fck*(1-(1-((($R30+$S30*Geometry!$E$42:$E$59+$T30*Geometry!$D$42:$D$59))*(($R30+$S30*Geometry!$E$42:$E$59+$T30*Geometry!$D$42:$D$59)&gt;0)*(($R30+$S30*Geometry!$E$42:$E$59+$T30*Geometry!$D$42:$D$59)&lt;eco)+eco*(($R30+$S30*Geometry!$E$42:$E$59+$T30*Geometry!$D$42:$D$59)&gt;=eco))/eco)^n)*((($R30+$S30*Geometry!$E$42:$E$59+$T30*Geometry!$D$42:$D$59))&gt;0))),Geometry!$F$42:$F$59))/1000</f>
      </c>
      <c r="BP30" s="32">
        <f>(SUMPRODUCT(alpha*fck*(1-(1-((($U30+$V30*Mesh_Y+$W30*Mesh_X))*(($U30+$V30*Mesh_Y+$W30*Mesh_X)&gt;0)*(($U30+$V30*Mesh_Y+$W30*Mesh_X)&lt;eco)+eco*(($U30+$V30*Mesh_Y+$W30*Mesh_X)&gt;=eco))/eco)^n)*((($U30+$V30*Mesh_Y+$W30*Mesh_X))&gt;0),Mesh_A)+SUMPRODUCT((Es*(($U30+$V30*Geometry!$E$42:$E$59+$W30*Geometry!$D$42:$D$59))*(ABS(Es*(($U30+$V30*Geometry!$E$42:$E$59+$W30*Geometry!$D$42:$D$59)))&lt;=fy)+fy*(Es*(($U30+$V30*Geometry!$E$42:$E$59+$W30*Geometry!$D$42:$D$59))&gt;fy)-fy*(Es*(($U30+$V30*Geometry!$E$42:$E$59+$W30*Geometry!$D$42:$D$59))&lt;-fy)-(alpha*fck*(1-(1-((($U30+$V30*Geometry!$E$42:$E$59+$W30*Geometry!$D$42:$D$59))*(($U30+$V30*Geometry!$E$42:$E$59+$W30*Geometry!$D$42:$D$59)&gt;0)*(($U30+$V30*Geometry!$E$42:$E$59+$W30*Geometry!$D$42:$D$59)&lt;eco)+eco*(($U30+$V30*Geometry!$E$42:$E$59+$W30*Geometry!$D$42:$D$59)&gt;=eco))/eco)^n)*((($U30+$V30*Geometry!$E$42:$E$59+$W30*Geometry!$D$42:$D$59))&gt;0))),Geometry!$F$42:$F$59))/1000</f>
      </c>
      <c r="BQ30" s="32">
        <f>(SUMPRODUCT(alpha*fck*(1-(1-((($X30+$Y30*Mesh_Y+$Z30*Mesh_X))*(($X30+$Y30*Mesh_Y+$Z30*Mesh_X)&gt;0)*(($X30+$Y30*Mesh_Y+$Z30*Mesh_X)&lt;eco)+eco*(($X30+$Y30*Mesh_Y+$Z30*Mesh_X)&gt;=eco))/eco)^n)*((($X30+$Y30*Mesh_Y+$Z30*Mesh_X))&gt;0),Mesh_A)+SUMPRODUCT((Es*(($X30+$Y30*Geometry!$E$42:$E$59+$Z30*Geometry!$D$42:$D$59))*(ABS(Es*(($X30+$Y30*Geometry!$E$42:$E$59+$Z30*Geometry!$D$42:$D$59)))&lt;=fy)+fy*(Es*(($X30+$Y30*Geometry!$E$42:$E$59+$Z30*Geometry!$D$42:$D$59))&gt;fy)-fy*(Es*(($X30+$Y30*Geometry!$E$42:$E$59+$Z30*Geometry!$D$42:$D$59))&lt;-fy)-(alpha*fck*(1-(1-((($X30+$Y30*Geometry!$E$42:$E$59+$Z30*Geometry!$D$42:$D$59))*(($X30+$Y30*Geometry!$E$42:$E$59+$Z30*Geometry!$D$42:$D$59)&gt;0)*(($X30+$Y30*Geometry!$E$42:$E$59+$Z30*Geometry!$D$42:$D$59)&lt;eco)+eco*(($X30+$Y30*Geometry!$E$42:$E$59+$Z30*Geometry!$D$42:$D$59)&gt;=eco))/eco)^n)*((($X30+$Y30*Geometry!$E$42:$E$59+$Z30*Geometry!$D$42:$D$59))&gt;0))),Geometry!$F$42:$F$59))/1000</f>
      </c>
      <c r="BR30" s="32">
        <f>(SUMPRODUCT(alpha*fck*(1-(1-((($AA30+$AB30*Mesh_Y+$AC30*Mesh_X))*(($AA30+$AB30*Mesh_Y+$AC30*Mesh_X)&gt;0)*(($AA30+$AB30*Mesh_Y+$AC30*Mesh_X)&lt;eco)+eco*(($AA30+$AB30*Mesh_Y+$AC30*Mesh_X)&gt;=eco))/eco)^n)*((($AA30+$AB30*Mesh_Y+$AC30*Mesh_X))&gt;0),Mesh_A)+SUMPRODUCT((Es*(($AA30+$AB30*Geometry!$E$42:$E$59+$AC30*Geometry!$D$42:$D$59))*(ABS(Es*(($AA30+$AB30*Geometry!$E$42:$E$59+$AC30*Geometry!$D$42:$D$59)))&lt;=fy)+fy*(Es*(($AA30+$AB30*Geometry!$E$42:$E$59+$AC30*Geometry!$D$42:$D$59))&gt;fy)-fy*(Es*(($AA30+$AB30*Geometry!$E$42:$E$59+$AC30*Geometry!$D$42:$D$59))&lt;-fy)-(alpha*fck*(1-(1-((($AA30+$AB30*Geometry!$E$42:$E$59+$AC30*Geometry!$D$42:$D$59))*(($AA30+$AB30*Geometry!$E$42:$E$59+$AC30*Geometry!$D$42:$D$59)&gt;0)*(($AA30+$AB30*Geometry!$E$42:$E$59+$AC30*Geometry!$D$42:$D$59)&lt;eco)+eco*(($AA30+$AB30*Geometry!$E$42:$E$59+$AC30*Geometry!$D$42:$D$59)&gt;=eco))/eco)^n)*((($AA30+$AB30*Geometry!$E$42:$E$59+$AC30*Geometry!$D$42:$D$59))&gt;0))),Geometry!$F$42:$F$59))/1000</f>
      </c>
      <c r="BS30" s="32">
        <f>(SUMPRODUCT(alpha*fck*(1-(1-((($AD30+$AE30*Mesh_Y+$AF30*Mesh_X))*(($AD30+$AE30*Mesh_Y+$AF30*Mesh_X)&gt;0)*(($AD30+$AE30*Mesh_Y+$AF30*Mesh_X)&lt;eco)+eco*(($AD30+$AE30*Mesh_Y+$AF30*Mesh_X)&gt;=eco))/eco)^n)*((($AD30+$AE30*Mesh_Y+$AF30*Mesh_X))&gt;0),Mesh_A)+SUMPRODUCT((Es*(($AD30+$AE30*Geometry!$E$42:$E$59+$AF30*Geometry!$D$42:$D$59))*(ABS(Es*(($AD30+$AE30*Geometry!$E$42:$E$59+$AF30*Geometry!$D$42:$D$59)))&lt;=fy)+fy*(Es*(($AD30+$AE30*Geometry!$E$42:$E$59+$AF30*Geometry!$D$42:$D$59))&gt;fy)-fy*(Es*(($AD30+$AE30*Geometry!$E$42:$E$59+$AF30*Geometry!$D$42:$D$59))&lt;-fy)-(alpha*fck*(1-(1-((($AD30+$AE30*Geometry!$E$42:$E$59+$AF30*Geometry!$D$42:$D$59))*(($AD30+$AE30*Geometry!$E$42:$E$59+$AF30*Geometry!$D$42:$D$59)&gt;0)*(($AD30+$AE30*Geometry!$E$42:$E$59+$AF30*Geometry!$D$42:$D$59)&lt;eco)+eco*(($AD30+$AE30*Geometry!$E$42:$E$59+$AF30*Geometry!$D$42:$D$59)&gt;=eco))/eco)^n)*((($AD30+$AE30*Geometry!$E$42:$E$59+$AF30*Geometry!$D$42:$D$59))&gt;0))),Geometry!$F$42:$F$59))/1000</f>
      </c>
      <c r="BT30" s="32">
        <f>(SUMPRODUCT(alpha*fck*(1-(1-((($AG30+$AH30*Mesh_Y+$AI30*Mesh_X))*(($AG30+$AH30*Mesh_Y+$AI30*Mesh_X)&gt;0)*(($AG30+$AH30*Mesh_Y+$AI30*Mesh_X)&lt;eco)+eco*(($AG30+$AH30*Mesh_Y+$AI30*Mesh_X)&gt;=eco))/eco)^n)*((($AG30+$AH30*Mesh_Y+$AI30*Mesh_X))&gt;0),Mesh_A)+SUMPRODUCT((Es*(($AG30+$AH30*Geometry!$E$42:$E$59+$AI30*Geometry!$D$42:$D$59))*(ABS(Es*(($AG30+$AH30*Geometry!$E$42:$E$59+$AI30*Geometry!$D$42:$D$59)))&lt;=fy)+fy*(Es*(($AG30+$AH30*Geometry!$E$42:$E$59+$AI30*Geometry!$D$42:$D$59))&gt;fy)-fy*(Es*(($AG30+$AH30*Geometry!$E$42:$E$59+$AI30*Geometry!$D$42:$D$59))&lt;-fy)-(alpha*fck*(1-(1-((($AG30+$AH30*Geometry!$E$42:$E$59+$AI30*Geometry!$D$42:$D$59))*(($AG30+$AH30*Geometry!$E$42:$E$59+$AI30*Geometry!$D$42:$D$59)&gt;0)*(($AG30+$AH30*Geometry!$E$42:$E$59+$AI30*Geometry!$D$42:$D$59)&lt;eco)+eco*(($AG30+$AH30*Geometry!$E$42:$E$59+$AI30*Geometry!$D$42:$D$59)&gt;=eco))/eco)^n)*((($AG30+$AH30*Geometry!$E$42:$E$59+$AI30*Geometry!$D$42:$D$59))&gt;0))),Geometry!$F$42:$F$59))/1000</f>
      </c>
      <c r="BU30" s="32">
        <f>(SUMPRODUCT(alpha*fck*(1-(1-((($AJ30+$AK30*Mesh_Y+$AL30*Mesh_X))*(($AJ30+$AK30*Mesh_Y+$AL30*Mesh_X)&gt;0)*(($AJ30+$AK30*Mesh_Y+$AL30*Mesh_X)&lt;eco)+eco*(($AJ30+$AK30*Mesh_Y+$AL30*Mesh_X)&gt;=eco))/eco)^n)*((($AJ30+$AK30*Mesh_Y+$AL30*Mesh_X))&gt;0),Mesh_A)+SUMPRODUCT((Es*(($AJ30+$AK30*Geometry!$E$42:$E$59+$AL30*Geometry!$D$42:$D$59))*(ABS(Es*(($AJ30+$AK30*Geometry!$E$42:$E$59+$AL30*Geometry!$D$42:$D$59)))&lt;=fy)+fy*(Es*(($AJ30+$AK30*Geometry!$E$42:$E$59+$AL30*Geometry!$D$42:$D$59))&gt;fy)-fy*(Es*(($AJ30+$AK30*Geometry!$E$42:$E$59+$AL30*Geometry!$D$42:$D$59))&lt;-fy)-(alpha*fck*(1-(1-((($AJ30+$AK30*Geometry!$E$42:$E$59+$AL30*Geometry!$D$42:$D$59))*(($AJ30+$AK30*Geometry!$E$42:$E$59+$AL30*Geometry!$D$42:$D$59)&gt;0)*(($AJ30+$AK30*Geometry!$E$42:$E$59+$AL30*Geometry!$D$42:$D$59)&lt;eco)+eco*(($AJ30+$AK30*Geometry!$E$42:$E$59+$AL30*Geometry!$D$42:$D$59)&gt;=eco))/eco)^n)*((($AJ30+$AK30*Geometry!$E$42:$E$59+$AL30*Geometry!$D$42:$D$59))&gt;0))),Geometry!$F$42:$F$59))/1000</f>
      </c>
      <c r="BV30" s="32">
        <f>(SUMPRODUCT(alpha*fck*(1-(1-((($AM30+$AN30*Mesh_Y+$AO30*Mesh_X))*(($AM30+$AN30*Mesh_Y+$AO30*Mesh_X)&gt;0)*(($AM30+$AN30*Mesh_Y+$AO30*Mesh_X)&lt;eco)+eco*(($AM30+$AN30*Mesh_Y+$AO30*Mesh_X)&gt;=eco))/eco)^n)*((($AM30+$AN30*Mesh_Y+$AO30*Mesh_X))&gt;0),Mesh_A)+SUMPRODUCT((Es*(($AM30+$AN30*Geometry!$E$42:$E$59+$AO30*Geometry!$D$42:$D$59))*(ABS(Es*(($AM30+$AN30*Geometry!$E$42:$E$59+$AO30*Geometry!$D$42:$D$59)))&lt;=fy)+fy*(Es*(($AM30+$AN30*Geometry!$E$42:$E$59+$AO30*Geometry!$D$42:$D$59))&gt;fy)-fy*(Es*(($AM30+$AN30*Geometry!$E$42:$E$59+$AO30*Geometry!$D$42:$D$59))&lt;-fy)-(alpha*fck*(1-(1-((($AM30+$AN30*Geometry!$E$42:$E$59+$AO30*Geometry!$D$42:$D$59))*(($AM30+$AN30*Geometry!$E$42:$E$59+$AO30*Geometry!$D$42:$D$59)&gt;0)*(($AM30+$AN30*Geometry!$E$42:$E$59+$AO30*Geometry!$D$42:$D$59)&lt;eco)+eco*(($AM30+$AN30*Geometry!$E$42:$E$59+$AO30*Geometry!$D$42:$D$59)&gt;=eco))/eco)^n)*((($AM30+$AN30*Geometry!$E$42:$E$59+$AO30*Geometry!$D$42:$D$59))&gt;0))),Geometry!$F$42:$F$59))/1000</f>
      </c>
      <c r="BW30" s="32">
        <f>(SUMPRODUCT(alpha*fck*(1-(1-((($AP30+$AQ30*Mesh_Y+$AR30*Mesh_X))*(($AP30+$AQ30*Mesh_Y+$AR30*Mesh_X)&gt;0)*(($AP30+$AQ30*Mesh_Y+$AR30*Mesh_X)&lt;eco)+eco*(($AP30+$AQ30*Mesh_Y+$AR30*Mesh_X)&gt;=eco))/eco)^n)*((($AP30+$AQ30*Mesh_Y+$AR30*Mesh_X))&gt;0),Mesh_A)+SUMPRODUCT((Es*(($AP30+$AQ30*Geometry!$E$42:$E$59+$AR30*Geometry!$D$42:$D$59))*(ABS(Es*(($AP30+$AQ30*Geometry!$E$42:$E$59+$AR30*Geometry!$D$42:$D$59)))&lt;=fy)+fy*(Es*(($AP30+$AQ30*Geometry!$E$42:$E$59+$AR30*Geometry!$D$42:$D$59))&gt;fy)-fy*(Es*(($AP30+$AQ30*Geometry!$E$42:$E$59+$AR30*Geometry!$D$42:$D$59))&lt;-fy)-(alpha*fck*(1-(1-((($AP30+$AQ30*Geometry!$E$42:$E$59+$AR30*Geometry!$D$42:$D$59))*(($AP30+$AQ30*Geometry!$E$42:$E$59+$AR30*Geometry!$D$42:$D$59)&gt;0)*(($AP30+$AQ30*Geometry!$E$42:$E$59+$AR30*Geometry!$D$42:$D$59)&lt;eco)+eco*(($AP30+$AQ30*Geometry!$E$42:$E$59+$AR30*Geometry!$D$42:$D$59)&gt;=eco))/eco)^n)*((($AP30+$AQ30*Geometry!$E$42:$E$59+$AR30*Geometry!$D$42:$D$59))&gt;0))),Geometry!$F$42:$F$59))/1000</f>
      </c>
      <c r="BX30" s="32">
        <f>(SUMPRODUCT(alpha*fck*(1-(1-((($AS30+$AT30*Mesh_Y+$AU30*Mesh_X))*(($AS30+$AT30*Mesh_Y+$AU30*Mesh_X)&gt;0)*(($AS30+$AT30*Mesh_Y+$AU30*Mesh_X)&lt;eco)+eco*(($AS30+$AT30*Mesh_Y+$AU30*Mesh_X)&gt;=eco))/eco)^n)*((($AS30+$AT30*Mesh_Y+$AU30*Mesh_X))&gt;0),Mesh_A)+SUMPRODUCT((Es*(($AS30+$AT30*Geometry!$E$42:$E$59+$AU30*Geometry!$D$42:$D$59))*(ABS(Es*(($AS30+$AT30*Geometry!$E$42:$E$59+$AU30*Geometry!$D$42:$D$59)))&lt;=fy)+fy*(Es*(($AS30+$AT30*Geometry!$E$42:$E$59+$AU30*Geometry!$D$42:$D$59))&gt;fy)-fy*(Es*(($AS30+$AT30*Geometry!$E$42:$E$59+$AU30*Geometry!$D$42:$D$59))&lt;-fy)-(alpha*fck*(1-(1-((($AS30+$AT30*Geometry!$E$42:$E$59+$AU30*Geometry!$D$42:$D$59))*(($AS30+$AT30*Geometry!$E$42:$E$59+$AU30*Geometry!$D$42:$D$59)&gt;0)*(($AS30+$AT30*Geometry!$E$42:$E$59+$AU30*Geometry!$D$42:$D$59)&lt;eco)+eco*(($AS30+$AT30*Geometry!$E$42:$E$59+$AU30*Geometry!$D$42:$D$59)&gt;=eco))/eco)^n)*((($AS30+$AT30*Geometry!$E$42:$E$59+$AU30*Geometry!$D$42:$D$59))&gt;0))),Geometry!$F$42:$F$59))/1000</f>
      </c>
      <c r="BY30" s="32">
        <f>(SUMPRODUCT(alpha*fck*(1-(1-((($AV30+$AW30*Mesh_Y+$AX30*Mesh_X))*(($AV30+$AW30*Mesh_Y+$AX30*Mesh_X)&gt;0)*(($AV30+$AW30*Mesh_Y+$AX30*Mesh_X)&lt;eco)+eco*(($AV30+$AW30*Mesh_Y+$AX30*Mesh_X)&gt;=eco))/eco)^n)*((($AV30+$AW30*Mesh_Y+$AX30*Mesh_X))&gt;0),Mesh_A)+SUMPRODUCT((Es*(($AV30+$AW30*Geometry!$E$42:$E$59+$AX30*Geometry!$D$42:$D$59))*(ABS(Es*(($AV30+$AW30*Geometry!$E$42:$E$59+$AX30*Geometry!$D$42:$D$59)))&lt;=fy)+fy*(Es*(($AV30+$AW30*Geometry!$E$42:$E$59+$AX30*Geometry!$D$42:$D$59))&gt;fy)-fy*(Es*(($AV30+$AW30*Geometry!$E$42:$E$59+$AX30*Geometry!$D$42:$D$59))&lt;-fy)-(alpha*fck*(1-(1-((($AV30+$AW30*Geometry!$E$42:$E$59+$AX30*Geometry!$D$42:$D$59))*(($AV30+$AW30*Geometry!$E$42:$E$59+$AX30*Geometry!$D$42:$D$59)&gt;0)*(($AV30+$AW30*Geometry!$E$42:$E$59+$AX30*Geometry!$D$42:$D$59)&lt;eco)+eco*(($AV30+$AW30*Geometry!$E$42:$E$59+$AX30*Geometry!$D$42:$D$59)&gt;=eco))/eco)^n)*((($AV30+$AW30*Geometry!$E$42:$E$59+$AX30*Geometry!$D$42:$D$59))&gt;0))),Geometry!$F$42:$F$59))/1000</f>
      </c>
      <c r="BZ30" s="32">
        <f>(SUMPRODUCT(alpha*fck*(1-(1-((($AY30+$AZ30*Mesh_Y+$BA30*Mesh_X))*(($AY30+$AZ30*Mesh_Y+$BA30*Mesh_X)&gt;0)*(($AY30+$AZ30*Mesh_Y+$BA30*Mesh_X)&lt;eco)+eco*(($AY30+$AZ30*Mesh_Y+$BA30*Mesh_X)&gt;=eco))/eco)^n)*((($AY30+$AZ30*Mesh_Y+$BA30*Mesh_X))&gt;0),Mesh_A)+SUMPRODUCT((Es*(($AY30+$AZ30*Geometry!$E$42:$E$59+$BA30*Geometry!$D$42:$D$59))*(ABS(Es*(($AY30+$AZ30*Geometry!$E$42:$E$59+$BA30*Geometry!$D$42:$D$59)))&lt;=fy)+fy*(Es*(($AY30+$AZ30*Geometry!$E$42:$E$59+$BA30*Geometry!$D$42:$D$59))&gt;fy)-fy*(Es*(($AY30+$AZ30*Geometry!$E$42:$E$59+$BA30*Geometry!$D$42:$D$59))&lt;-fy)-(alpha*fck*(1-(1-((($AY30+$AZ30*Geometry!$E$42:$E$59+$BA30*Geometry!$D$42:$D$59))*(($AY30+$AZ30*Geometry!$E$42:$E$59+$BA30*Geometry!$D$42:$D$59)&gt;0)*(($AY30+$AZ30*Geometry!$E$42:$E$59+$BA30*Geometry!$D$42:$D$59)&lt;eco)+eco*(($AY30+$AZ30*Geometry!$E$42:$E$59+$BA30*Geometry!$D$42:$D$59)&gt;=eco))/eco)^n)*((($AY30+$AZ30*Geometry!$E$42:$E$59+$BA30*Geometry!$D$42:$D$59))&gt;0))),Geometry!$F$42:$F$59))/1000</f>
      </c>
      <c r="CA30" s="32">
        <f>(SUMPRODUCT(alpha*fck*(1-(1-((($BB30+$BC30*Mesh_Y+$BD30*Mesh_X))*(($BB30+$BC30*Mesh_Y+$BD30*Mesh_X)&gt;0)*(($BB30+$BC30*Mesh_Y+$BD30*Mesh_X)&lt;eco)+eco*(($BB30+$BC30*Mesh_Y+$BD30*Mesh_X)&gt;=eco))/eco)^n)*((($BB30+$BC30*Mesh_Y+$BD30*Mesh_X))&gt;0),Mesh_A)+SUMPRODUCT((Es*(($BB30+$BC30*Geometry!$E$42:$E$59+$BD30*Geometry!$D$42:$D$59))*(ABS(Es*(($BB30+$BC30*Geometry!$E$42:$E$59+$BD30*Geometry!$D$42:$D$59)))&lt;=fy)+fy*(Es*(($BB30+$BC30*Geometry!$E$42:$E$59+$BD30*Geometry!$D$42:$D$59))&gt;fy)-fy*(Es*(($BB30+$BC30*Geometry!$E$42:$E$59+$BD30*Geometry!$D$42:$D$59))&lt;-fy)-(alpha*fck*(1-(1-((($BB30+$BC30*Geometry!$E$42:$E$59+$BD30*Geometry!$D$42:$D$59))*(($BB30+$BC30*Geometry!$E$42:$E$59+$BD30*Geometry!$D$42:$D$59)&gt;0)*(($BB30+$BC30*Geometry!$E$42:$E$59+$BD30*Geometry!$D$42:$D$59)&lt;eco)+eco*(($BB30+$BC30*Geometry!$E$42:$E$59+$BD30*Geometry!$D$42:$D$59)&gt;=eco))/eco)^n)*((($BB30+$BC30*Geometry!$E$42:$E$59+$BD30*Geometry!$D$42:$D$59))&gt;0))),Geometry!$F$42:$F$59))/1000</f>
      </c>
      <c r="CB30" s="32">
        <f>(SUMPRODUCT(alpha*fck*(1-(1-((($BE30+$BF30*Mesh_Y+$BG30*Mesh_X))*(($BE30+$BF30*Mesh_Y+$BG30*Mesh_X)&gt;0)*(($BE30+$BF30*Mesh_Y+$BG30*Mesh_X)&lt;eco)+eco*(($BE30+$BF30*Mesh_Y+$BG30*Mesh_X)&gt;=eco))/eco)^n)*((($BE30+$BF30*Mesh_Y+$BG30*Mesh_X))&gt;0),Mesh_A)+SUMPRODUCT((Es*(($BE30+$BF30*Geometry!$E$42:$E$59+$BG30*Geometry!$D$42:$D$59))*(ABS(Es*(($BE30+$BF30*Geometry!$E$42:$E$59+$BG30*Geometry!$D$42:$D$59)))&lt;=fy)+fy*(Es*(($BE30+$BF30*Geometry!$E$42:$E$59+$BG30*Geometry!$D$42:$D$59))&gt;fy)-fy*(Es*(($BE30+$BF30*Geometry!$E$42:$E$59+$BG30*Geometry!$D$42:$D$59))&lt;-fy)-(alpha*fck*(1-(1-((($BE30+$BF30*Geometry!$E$42:$E$59+$BG30*Geometry!$D$42:$D$59))*(($BE30+$BF30*Geometry!$E$42:$E$59+$BG30*Geometry!$D$42:$D$59)&gt;0)*(($BE30+$BF30*Geometry!$E$42:$E$59+$BG30*Geometry!$D$42:$D$59)&lt;eco)+eco*(($BE30+$BF30*Geometry!$E$42:$E$59+$BG30*Geometry!$D$42:$D$59)&gt;=eco))/eco)^n)*((($BE30+$BF30*Geometry!$E$42:$E$59+$BG30*Geometry!$D$42:$D$59))&gt;0))),Geometry!$F$42:$F$59))/1000</f>
      </c>
      <c r="CC30" s="32">
        <f>(SUMPRODUCT(alpha*fck*(1-(1-((($BH30+$BI30*Mesh_Y+$BJ30*Mesh_X))*(($BH30+$BI30*Mesh_Y+$BJ30*Mesh_X)&gt;0)*(($BH30+$BI30*Mesh_Y+$BJ30*Mesh_X)&lt;eco)+eco*(($BH30+$BI30*Mesh_Y+$BJ30*Mesh_X)&gt;=eco))/eco)^n)*((($BH30+$BI30*Mesh_Y+$BJ30*Mesh_X))&gt;0),Mesh_A)+SUMPRODUCT((Es*(($BH30+$BI30*Geometry!$E$42:$E$59+$BJ30*Geometry!$D$42:$D$59))*(ABS(Es*(($BH30+$BI30*Geometry!$E$42:$E$59+$BJ30*Geometry!$D$42:$D$59)))&lt;=fy)+fy*(Es*(($BH30+$BI30*Geometry!$E$42:$E$59+$BJ30*Geometry!$D$42:$D$59))&gt;fy)-fy*(Es*(($BH30+$BI30*Geometry!$E$42:$E$59+$BJ30*Geometry!$D$42:$D$59))&lt;-fy)-(alpha*fck*(1-(1-((($BH30+$BI30*Geometry!$E$42:$E$59+$BJ30*Geometry!$D$42:$D$59))*(($BH30+$BI30*Geometry!$E$42:$E$59+$BJ30*Geometry!$D$42:$D$59)&gt;0)*(($BH30+$BI30*Geometry!$E$42:$E$59+$BJ30*Geometry!$D$42:$D$59)&lt;eco)+eco*(($BH30+$BI30*Geometry!$E$42:$E$59+$BJ30*Geometry!$D$42:$D$59)&gt;=eco))/eco)^n)*((($BH30+$BI30*Geometry!$E$42:$E$59+$BJ30*Geometry!$D$42:$D$59))&gt;0))),Geometry!$F$42:$F$59))/1000</f>
      </c>
      <c r="CD30" s="32">
        <f>(SUMPRODUCT(alpha*fck*(1-(1-((($F30+$G30*Mesh_Y+$H30*Mesh_X))*(($F30+$G30*Mesh_Y+$H30*Mesh_X)&gt;0)*(($F30+$G30*Mesh_Y+$H30*Mesh_X)&lt;eco)+eco*(($F30+$G30*Mesh_Y+$H30*Mesh_X)&gt;=eco))/eco)^n)*((($F30+$G30*Mesh_Y+$H30*Mesh_X))&gt;0),Mesh_A,Mesh_Y)+SUMPRODUCT((Es*(($F30+$G30*Geometry!$E$42:$E$59+$H30*Geometry!$D$42:$D$59))*(ABS(Es*(($F30+$G30*Geometry!$E$42:$E$59+$H30*Geometry!$D$42:$D$59)))&lt;=fy)+fy*(Es*(($F30+$G30*Geometry!$E$42:$E$59+$H30*Geometry!$D$42:$D$59))&gt;fy)-fy*(Es*(($F30+$G30*Geometry!$E$42:$E$59+$H30*Geometry!$D$42:$D$59))&lt;-fy)-(alpha*fck*(1-(1-((($F30+$G30*Geometry!$E$42:$E$59+$H30*Geometry!$D$42:$D$59))*(($F30+$G30*Geometry!$E$42:$E$59+$H30*Geometry!$D$42:$D$59)&gt;0)*(($F30+$G30*Geometry!$E$42:$E$59+$H30*Geometry!$D$42:$D$59)&lt;eco)+eco*(($F30+$G30*Geometry!$E$42:$E$59+$H30*Geometry!$D$42:$D$59)&gt;=eco))/eco)^n)*((($F30+$G30*Geometry!$E$42:$E$59+$H30*Geometry!$D$42:$D$59))&gt;0))),Geometry!$F$42:$F$59,Geometry!$E$42:$E$59))/1000000</f>
      </c>
      <c r="CE30" s="32">
        <f>(SUMPRODUCT(alpha*fck*(1-(1-((($I30+$J30*Mesh_Y+$K30*Mesh_X))*(($I30+$J30*Mesh_Y+$K30*Mesh_X)&gt;0)*(($I30+$J30*Mesh_Y+$K30*Mesh_X)&lt;eco)+eco*(($I30+$J30*Mesh_Y+$K30*Mesh_X)&gt;=eco))/eco)^n)*((($I30+$J30*Mesh_Y+$K30*Mesh_X))&gt;0),Mesh_A,Mesh_Y)+SUMPRODUCT((Es*(($I30+$J30*Geometry!$E$42:$E$59+$K30*Geometry!$D$42:$D$59))*(ABS(Es*(($I30+$J30*Geometry!$E$42:$E$59+$K30*Geometry!$D$42:$D$59)))&lt;=fy)+fy*(Es*(($I30+$J30*Geometry!$E$42:$E$59+$K30*Geometry!$D$42:$D$59))&gt;fy)-fy*(Es*(($I30+$J30*Geometry!$E$42:$E$59+$K30*Geometry!$D$42:$D$59))&lt;-fy)-(alpha*fck*(1-(1-((($I30+$J30*Geometry!$E$42:$E$59+$K30*Geometry!$D$42:$D$59))*(($I30+$J30*Geometry!$E$42:$E$59+$K30*Geometry!$D$42:$D$59)&gt;0)*(($I30+$J30*Geometry!$E$42:$E$59+$K30*Geometry!$D$42:$D$59)&lt;eco)+eco*(($I30+$J30*Geometry!$E$42:$E$59+$K30*Geometry!$D$42:$D$59)&gt;=eco))/eco)^n)*((($I30+$J30*Geometry!$E$42:$E$59+$K30*Geometry!$D$42:$D$59))&gt;0))),Geometry!$F$42:$F$59,Geometry!$E$42:$E$59))/1000000</f>
      </c>
      <c r="CF30" s="32">
        <f>(SUMPRODUCT(alpha*fck*(1-(1-((($L30+$M30*Mesh_Y+$N30*Mesh_X))*(($L30+$M30*Mesh_Y+$N30*Mesh_X)&gt;0)*(($L30+$M30*Mesh_Y+$N30*Mesh_X)&lt;eco)+eco*(($L30+$M30*Mesh_Y+$N30*Mesh_X)&gt;=eco))/eco)^n)*((($L30+$M30*Mesh_Y+$N30*Mesh_X))&gt;0),Mesh_A,Mesh_Y)+SUMPRODUCT((Es*(($L30+$M30*Geometry!$E$42:$E$59+$N30*Geometry!$D$42:$D$59))*(ABS(Es*(($L30+$M30*Geometry!$E$42:$E$59+$N30*Geometry!$D$42:$D$59)))&lt;=fy)+fy*(Es*(($L30+$M30*Geometry!$E$42:$E$59+$N30*Geometry!$D$42:$D$59))&gt;fy)-fy*(Es*(($L30+$M30*Geometry!$E$42:$E$59+$N30*Geometry!$D$42:$D$59))&lt;-fy)-(alpha*fck*(1-(1-((($L30+$M30*Geometry!$E$42:$E$59+$N30*Geometry!$D$42:$D$59))*(($L30+$M30*Geometry!$E$42:$E$59+$N30*Geometry!$D$42:$D$59)&gt;0)*(($L30+$M30*Geometry!$E$42:$E$59+$N30*Geometry!$D$42:$D$59)&lt;eco)+eco*(($L30+$M30*Geometry!$E$42:$E$59+$N30*Geometry!$D$42:$D$59)&gt;=eco))/eco)^n)*((($L30+$M30*Geometry!$E$42:$E$59+$N30*Geometry!$D$42:$D$59))&gt;0))),Geometry!$F$42:$F$59,Geometry!$E$42:$E$59))/1000000</f>
      </c>
      <c r="CG30" s="32">
        <f>(SUMPRODUCT(alpha*fck*(1-(1-((($O30+$P30*Mesh_Y+$Q30*Mesh_X))*(($O30+$P30*Mesh_Y+$Q30*Mesh_X)&gt;0)*(($O30+$P30*Mesh_Y+$Q30*Mesh_X)&lt;eco)+eco*(($O30+$P30*Mesh_Y+$Q30*Mesh_X)&gt;=eco))/eco)^n)*((($O30+$P30*Mesh_Y+$Q30*Mesh_X))&gt;0),Mesh_A,Mesh_Y)+SUMPRODUCT((Es*(($O30+$P30*Geometry!$E$42:$E$59+$Q30*Geometry!$D$42:$D$59))*(ABS(Es*(($O30+$P30*Geometry!$E$42:$E$59+$Q30*Geometry!$D$42:$D$59)))&lt;=fy)+fy*(Es*(($O30+$P30*Geometry!$E$42:$E$59+$Q30*Geometry!$D$42:$D$59))&gt;fy)-fy*(Es*(($O30+$P30*Geometry!$E$42:$E$59+$Q30*Geometry!$D$42:$D$59))&lt;-fy)-(alpha*fck*(1-(1-((($O30+$P30*Geometry!$E$42:$E$59+$Q30*Geometry!$D$42:$D$59))*(($O30+$P30*Geometry!$E$42:$E$59+$Q30*Geometry!$D$42:$D$59)&gt;0)*(($O30+$P30*Geometry!$E$42:$E$59+$Q30*Geometry!$D$42:$D$59)&lt;eco)+eco*(($O30+$P30*Geometry!$E$42:$E$59+$Q30*Geometry!$D$42:$D$59)&gt;=eco))/eco)^n)*((($O30+$P30*Geometry!$E$42:$E$59+$Q30*Geometry!$D$42:$D$59))&gt;0))),Geometry!$F$42:$F$59,Geometry!$E$42:$E$59))/1000000</f>
      </c>
      <c r="CH30" s="32">
        <f>(SUMPRODUCT(alpha*fck*(1-(1-((($R30+$S30*Mesh_Y+$T30*Mesh_X))*(($R30+$S30*Mesh_Y+$T30*Mesh_X)&gt;0)*(($R30+$S30*Mesh_Y+$T30*Mesh_X)&lt;eco)+eco*(($R30+$S30*Mesh_Y+$T30*Mesh_X)&gt;=eco))/eco)^n)*((($R30+$S30*Mesh_Y+$T30*Mesh_X))&gt;0),Mesh_A,Mesh_Y)+SUMPRODUCT((Es*(($R30+$S30*Geometry!$E$42:$E$59+$T30*Geometry!$D$42:$D$59))*(ABS(Es*(($R30+$S30*Geometry!$E$42:$E$59+$T30*Geometry!$D$42:$D$59)))&lt;=fy)+fy*(Es*(($R30+$S30*Geometry!$E$42:$E$59+$T30*Geometry!$D$42:$D$59))&gt;fy)-fy*(Es*(($R30+$S30*Geometry!$E$42:$E$59+$T30*Geometry!$D$42:$D$59))&lt;-fy)-(alpha*fck*(1-(1-((($R30+$S30*Geometry!$E$42:$E$59+$T30*Geometry!$D$42:$D$59))*(($R30+$S30*Geometry!$E$42:$E$59+$T30*Geometry!$D$42:$D$59)&gt;0)*(($R30+$S30*Geometry!$E$42:$E$59+$T30*Geometry!$D$42:$D$59)&lt;eco)+eco*(($R30+$S30*Geometry!$E$42:$E$59+$T30*Geometry!$D$42:$D$59)&gt;=eco))/eco)^n)*((($R30+$S30*Geometry!$E$42:$E$59+$T30*Geometry!$D$42:$D$59))&gt;0))),Geometry!$F$42:$F$59,Geometry!$E$42:$E$59))/1000000</f>
      </c>
      <c r="CI30" s="32">
        <f>(SUMPRODUCT(alpha*fck*(1-(1-((($U30+$V30*Mesh_Y+$W30*Mesh_X))*(($U30+$V30*Mesh_Y+$W30*Mesh_X)&gt;0)*(($U30+$V30*Mesh_Y+$W30*Mesh_X)&lt;eco)+eco*(($U30+$V30*Mesh_Y+$W30*Mesh_X)&gt;=eco))/eco)^n)*((($U30+$V30*Mesh_Y+$W30*Mesh_X))&gt;0),Mesh_A,Mesh_Y)+SUMPRODUCT((Es*(($U30+$V30*Geometry!$E$42:$E$59+$W30*Geometry!$D$42:$D$59))*(ABS(Es*(($U30+$V30*Geometry!$E$42:$E$59+$W30*Geometry!$D$42:$D$59)))&lt;=fy)+fy*(Es*(($U30+$V30*Geometry!$E$42:$E$59+$W30*Geometry!$D$42:$D$59))&gt;fy)-fy*(Es*(($U30+$V30*Geometry!$E$42:$E$59+$W30*Geometry!$D$42:$D$59))&lt;-fy)-(alpha*fck*(1-(1-((($U30+$V30*Geometry!$E$42:$E$59+$W30*Geometry!$D$42:$D$59))*(($U30+$V30*Geometry!$E$42:$E$59+$W30*Geometry!$D$42:$D$59)&gt;0)*(($U30+$V30*Geometry!$E$42:$E$59+$W30*Geometry!$D$42:$D$59)&lt;eco)+eco*(($U30+$V30*Geometry!$E$42:$E$59+$W30*Geometry!$D$42:$D$59)&gt;=eco))/eco)^n)*((($U30+$V30*Geometry!$E$42:$E$59+$W30*Geometry!$D$42:$D$59))&gt;0))),Geometry!$F$42:$F$59,Geometry!$E$42:$E$59))/1000000</f>
      </c>
      <c r="CJ30" s="32">
        <f>(SUMPRODUCT(alpha*fck*(1-(1-((($X30+$Y30*Mesh_Y+$Z30*Mesh_X))*(($X30+$Y30*Mesh_Y+$Z30*Mesh_X)&gt;0)*(($X30+$Y30*Mesh_Y+$Z30*Mesh_X)&lt;eco)+eco*(($X30+$Y30*Mesh_Y+$Z30*Mesh_X)&gt;=eco))/eco)^n)*((($X30+$Y30*Mesh_Y+$Z30*Mesh_X))&gt;0),Mesh_A,Mesh_Y)+SUMPRODUCT((Es*(($X30+$Y30*Geometry!$E$42:$E$59+$Z30*Geometry!$D$42:$D$59))*(ABS(Es*(($X30+$Y30*Geometry!$E$42:$E$59+$Z30*Geometry!$D$42:$D$59)))&lt;=fy)+fy*(Es*(($X30+$Y30*Geometry!$E$42:$E$59+$Z30*Geometry!$D$42:$D$59))&gt;fy)-fy*(Es*(($X30+$Y30*Geometry!$E$42:$E$59+$Z30*Geometry!$D$42:$D$59))&lt;-fy)-(alpha*fck*(1-(1-((($X30+$Y30*Geometry!$E$42:$E$59+$Z30*Geometry!$D$42:$D$59))*(($X30+$Y30*Geometry!$E$42:$E$59+$Z30*Geometry!$D$42:$D$59)&gt;0)*(($X30+$Y30*Geometry!$E$42:$E$59+$Z30*Geometry!$D$42:$D$59)&lt;eco)+eco*(($X30+$Y30*Geometry!$E$42:$E$59+$Z30*Geometry!$D$42:$D$59)&gt;=eco))/eco)^n)*((($X30+$Y30*Geometry!$E$42:$E$59+$Z30*Geometry!$D$42:$D$59))&gt;0))),Geometry!$F$42:$F$59,Geometry!$E$42:$E$59))/1000000</f>
      </c>
      <c r="CK30" s="32">
        <f>(SUMPRODUCT(alpha*fck*(1-(1-((($AA30+$AB30*Mesh_Y+$AC30*Mesh_X))*(($AA30+$AB30*Mesh_Y+$AC30*Mesh_X)&gt;0)*(($AA30+$AB30*Mesh_Y+$AC30*Mesh_X)&lt;eco)+eco*(($AA30+$AB30*Mesh_Y+$AC30*Mesh_X)&gt;=eco))/eco)^n)*((($AA30+$AB30*Mesh_Y+$AC30*Mesh_X))&gt;0),Mesh_A,Mesh_Y)+SUMPRODUCT((Es*(($AA30+$AB30*Geometry!$E$42:$E$59+$AC30*Geometry!$D$42:$D$59))*(ABS(Es*(($AA30+$AB30*Geometry!$E$42:$E$59+$AC30*Geometry!$D$42:$D$59)))&lt;=fy)+fy*(Es*(($AA30+$AB30*Geometry!$E$42:$E$59+$AC30*Geometry!$D$42:$D$59))&gt;fy)-fy*(Es*(($AA30+$AB30*Geometry!$E$42:$E$59+$AC30*Geometry!$D$42:$D$59))&lt;-fy)-(alpha*fck*(1-(1-((($AA30+$AB30*Geometry!$E$42:$E$59+$AC30*Geometry!$D$42:$D$59))*(($AA30+$AB30*Geometry!$E$42:$E$59+$AC30*Geometry!$D$42:$D$59)&gt;0)*(($AA30+$AB30*Geometry!$E$42:$E$59+$AC30*Geometry!$D$42:$D$59)&lt;eco)+eco*(($AA30+$AB30*Geometry!$E$42:$E$59+$AC30*Geometry!$D$42:$D$59)&gt;=eco))/eco)^n)*((($AA30+$AB30*Geometry!$E$42:$E$59+$AC30*Geometry!$D$42:$D$59))&gt;0))),Geometry!$F$42:$F$59,Geometry!$E$42:$E$59))/1000000</f>
      </c>
      <c r="CL30" s="32">
        <f>(SUMPRODUCT(alpha*fck*(1-(1-((($AD30+$AE30*Mesh_Y+$AF30*Mesh_X))*(($AD30+$AE30*Mesh_Y+$AF30*Mesh_X)&gt;0)*(($AD30+$AE30*Mesh_Y+$AF30*Mesh_X)&lt;eco)+eco*(($AD30+$AE30*Mesh_Y+$AF30*Mesh_X)&gt;=eco))/eco)^n)*((($AD30+$AE30*Mesh_Y+$AF30*Mesh_X))&gt;0),Mesh_A,Mesh_Y)+SUMPRODUCT((Es*(($AD30+$AE30*Geometry!$E$42:$E$59+$AF30*Geometry!$D$42:$D$59))*(ABS(Es*(($AD30+$AE30*Geometry!$E$42:$E$59+$AF30*Geometry!$D$42:$D$59)))&lt;=fy)+fy*(Es*(($AD30+$AE30*Geometry!$E$42:$E$59+$AF30*Geometry!$D$42:$D$59))&gt;fy)-fy*(Es*(($AD30+$AE30*Geometry!$E$42:$E$59+$AF30*Geometry!$D$42:$D$59))&lt;-fy)-(alpha*fck*(1-(1-((($AD30+$AE30*Geometry!$E$42:$E$59+$AF30*Geometry!$D$42:$D$59))*(($AD30+$AE30*Geometry!$E$42:$E$59+$AF30*Geometry!$D$42:$D$59)&gt;0)*(($AD30+$AE30*Geometry!$E$42:$E$59+$AF30*Geometry!$D$42:$D$59)&lt;eco)+eco*(($AD30+$AE30*Geometry!$E$42:$E$59+$AF30*Geometry!$D$42:$D$59)&gt;=eco))/eco)^n)*((($AD30+$AE30*Geometry!$E$42:$E$59+$AF30*Geometry!$D$42:$D$59))&gt;0))),Geometry!$F$42:$F$59,Geometry!$E$42:$E$59))/1000000</f>
      </c>
      <c r="CM30" s="32">
        <f>(SUMPRODUCT(alpha*fck*(1-(1-((($AG30+$AH30*Mesh_Y+$AI30*Mesh_X))*(($AG30+$AH30*Mesh_Y+$AI30*Mesh_X)&gt;0)*(($AG30+$AH30*Mesh_Y+$AI30*Mesh_X)&lt;eco)+eco*(($AG30+$AH30*Mesh_Y+$AI30*Mesh_X)&gt;=eco))/eco)^n)*((($AG30+$AH30*Mesh_Y+$AI30*Mesh_X))&gt;0),Mesh_A,Mesh_Y)+SUMPRODUCT((Es*(($AG30+$AH30*Geometry!$E$42:$E$59+$AI30*Geometry!$D$42:$D$59))*(ABS(Es*(($AG30+$AH30*Geometry!$E$42:$E$59+$AI30*Geometry!$D$42:$D$59)))&lt;=fy)+fy*(Es*(($AG30+$AH30*Geometry!$E$42:$E$59+$AI30*Geometry!$D$42:$D$59))&gt;fy)-fy*(Es*(($AG30+$AH30*Geometry!$E$42:$E$59+$AI30*Geometry!$D$42:$D$59))&lt;-fy)-(alpha*fck*(1-(1-((($AG30+$AH30*Geometry!$E$42:$E$59+$AI30*Geometry!$D$42:$D$59))*(($AG30+$AH30*Geometry!$E$42:$E$59+$AI30*Geometry!$D$42:$D$59)&gt;0)*(($AG30+$AH30*Geometry!$E$42:$E$59+$AI30*Geometry!$D$42:$D$59)&lt;eco)+eco*(($AG30+$AH30*Geometry!$E$42:$E$59+$AI30*Geometry!$D$42:$D$59)&gt;=eco))/eco)^n)*((($AG30+$AH30*Geometry!$E$42:$E$59+$AI30*Geometry!$D$42:$D$59))&gt;0))),Geometry!$F$42:$F$59,Geometry!$E$42:$E$59))/1000000</f>
      </c>
      <c r="CN30" s="32">
        <f>(SUMPRODUCT(alpha*fck*(1-(1-((($AJ30+$AK30*Mesh_Y+$AL30*Mesh_X))*(($AJ30+$AK30*Mesh_Y+$AL30*Mesh_X)&gt;0)*(($AJ30+$AK30*Mesh_Y+$AL30*Mesh_X)&lt;eco)+eco*(($AJ30+$AK30*Mesh_Y+$AL30*Mesh_X)&gt;=eco))/eco)^n)*((($AJ30+$AK30*Mesh_Y+$AL30*Mesh_X))&gt;0),Mesh_A,Mesh_Y)+SUMPRODUCT((Es*(($AJ30+$AK30*Geometry!$E$42:$E$59+$AL30*Geometry!$D$42:$D$59))*(ABS(Es*(($AJ30+$AK30*Geometry!$E$42:$E$59+$AL30*Geometry!$D$42:$D$59)))&lt;=fy)+fy*(Es*(($AJ30+$AK30*Geometry!$E$42:$E$59+$AL30*Geometry!$D$42:$D$59))&gt;fy)-fy*(Es*(($AJ30+$AK30*Geometry!$E$42:$E$59+$AL30*Geometry!$D$42:$D$59))&lt;-fy)-(alpha*fck*(1-(1-((($AJ30+$AK30*Geometry!$E$42:$E$59+$AL30*Geometry!$D$42:$D$59))*(($AJ30+$AK30*Geometry!$E$42:$E$59+$AL30*Geometry!$D$42:$D$59)&gt;0)*(($AJ30+$AK30*Geometry!$E$42:$E$59+$AL30*Geometry!$D$42:$D$59)&lt;eco)+eco*(($AJ30+$AK30*Geometry!$E$42:$E$59+$AL30*Geometry!$D$42:$D$59)&gt;=eco))/eco)^n)*((($AJ30+$AK30*Geometry!$E$42:$E$59+$AL30*Geometry!$D$42:$D$59))&gt;0))),Geometry!$F$42:$F$59,Geometry!$E$42:$E$59))/1000000</f>
      </c>
      <c r="CO30" s="32">
        <f>(SUMPRODUCT(alpha*fck*(1-(1-((($AM30+$AN30*Mesh_Y+$AO30*Mesh_X))*(($AM30+$AN30*Mesh_Y+$AO30*Mesh_X)&gt;0)*(($AM30+$AN30*Mesh_Y+$AO30*Mesh_X)&lt;eco)+eco*(($AM30+$AN30*Mesh_Y+$AO30*Mesh_X)&gt;=eco))/eco)^n)*((($AM30+$AN30*Mesh_Y+$AO30*Mesh_X))&gt;0),Mesh_A,Mesh_Y)+SUMPRODUCT((Es*(($AM30+$AN30*Geometry!$E$42:$E$59+$AO30*Geometry!$D$42:$D$59))*(ABS(Es*(($AM30+$AN30*Geometry!$E$42:$E$59+$AO30*Geometry!$D$42:$D$59)))&lt;=fy)+fy*(Es*(($AM30+$AN30*Geometry!$E$42:$E$59+$AO30*Geometry!$D$42:$D$59))&gt;fy)-fy*(Es*(($AM30+$AN30*Geometry!$E$42:$E$59+$AO30*Geometry!$D$42:$D$59))&lt;-fy)-(alpha*fck*(1-(1-((($AM30+$AN30*Geometry!$E$42:$E$59+$AO30*Geometry!$D$42:$D$59))*(($AM30+$AN30*Geometry!$E$42:$E$59+$AO30*Geometry!$D$42:$D$59)&gt;0)*(($AM30+$AN30*Geometry!$E$42:$E$59+$AO30*Geometry!$D$42:$D$59)&lt;eco)+eco*(($AM30+$AN30*Geometry!$E$42:$E$59+$AO30*Geometry!$D$42:$D$59)&gt;=eco))/eco)^n)*((($AM30+$AN30*Geometry!$E$42:$E$59+$AO30*Geometry!$D$42:$D$59))&gt;0))),Geometry!$F$42:$F$59,Geometry!$E$42:$E$59))/1000000</f>
      </c>
      <c r="CP30" s="32">
        <f>(SUMPRODUCT(alpha*fck*(1-(1-((($AP30+$AQ30*Mesh_Y+$AR30*Mesh_X))*(($AP30+$AQ30*Mesh_Y+$AR30*Mesh_X)&gt;0)*(($AP30+$AQ30*Mesh_Y+$AR30*Mesh_X)&lt;eco)+eco*(($AP30+$AQ30*Mesh_Y+$AR30*Mesh_X)&gt;=eco))/eco)^n)*((($AP30+$AQ30*Mesh_Y+$AR30*Mesh_X))&gt;0),Mesh_A,Mesh_Y)+SUMPRODUCT((Es*(($AP30+$AQ30*Geometry!$E$42:$E$59+$AR30*Geometry!$D$42:$D$59))*(ABS(Es*(($AP30+$AQ30*Geometry!$E$42:$E$59+$AR30*Geometry!$D$42:$D$59)))&lt;=fy)+fy*(Es*(($AP30+$AQ30*Geometry!$E$42:$E$59+$AR30*Geometry!$D$42:$D$59))&gt;fy)-fy*(Es*(($AP30+$AQ30*Geometry!$E$42:$E$59+$AR30*Geometry!$D$42:$D$59))&lt;-fy)-(alpha*fck*(1-(1-((($AP30+$AQ30*Geometry!$E$42:$E$59+$AR30*Geometry!$D$42:$D$59))*(($AP30+$AQ30*Geometry!$E$42:$E$59+$AR30*Geometry!$D$42:$D$59)&gt;0)*(($AP30+$AQ30*Geometry!$E$42:$E$59+$AR30*Geometry!$D$42:$D$59)&lt;eco)+eco*(($AP30+$AQ30*Geometry!$E$42:$E$59+$AR30*Geometry!$D$42:$D$59)&gt;=eco))/eco)^n)*((($AP30+$AQ30*Geometry!$E$42:$E$59+$AR30*Geometry!$D$42:$D$59))&gt;0))),Geometry!$F$42:$F$59,Geometry!$E$42:$E$59))/1000000</f>
      </c>
      <c r="CQ30" s="32">
        <f>(SUMPRODUCT(alpha*fck*(1-(1-((($AS30+$AT30*Mesh_Y+$AU30*Mesh_X))*(($AS30+$AT30*Mesh_Y+$AU30*Mesh_X)&gt;0)*(($AS30+$AT30*Mesh_Y+$AU30*Mesh_X)&lt;eco)+eco*(($AS30+$AT30*Mesh_Y+$AU30*Mesh_X)&gt;=eco))/eco)^n)*((($AS30+$AT30*Mesh_Y+$AU30*Mesh_X))&gt;0),Mesh_A,Mesh_Y)+SUMPRODUCT((Es*(($AS30+$AT30*Geometry!$E$42:$E$59+$AU30*Geometry!$D$42:$D$59))*(ABS(Es*(($AS30+$AT30*Geometry!$E$42:$E$59+$AU30*Geometry!$D$42:$D$59)))&lt;=fy)+fy*(Es*(($AS30+$AT30*Geometry!$E$42:$E$59+$AU30*Geometry!$D$42:$D$59))&gt;fy)-fy*(Es*(($AS30+$AT30*Geometry!$E$42:$E$59+$AU30*Geometry!$D$42:$D$59))&lt;-fy)-(alpha*fck*(1-(1-((($AS30+$AT30*Geometry!$E$42:$E$59+$AU30*Geometry!$D$42:$D$59))*(($AS30+$AT30*Geometry!$E$42:$E$59+$AU30*Geometry!$D$42:$D$59)&gt;0)*(($AS30+$AT30*Geometry!$E$42:$E$59+$AU30*Geometry!$D$42:$D$59)&lt;eco)+eco*(($AS30+$AT30*Geometry!$E$42:$E$59+$AU30*Geometry!$D$42:$D$59)&gt;=eco))/eco)^n)*((($AS30+$AT30*Geometry!$E$42:$E$59+$AU30*Geometry!$D$42:$D$59))&gt;0))),Geometry!$F$42:$F$59,Geometry!$E$42:$E$59))/1000000</f>
      </c>
      <c r="CR30" s="32">
        <f>(SUMPRODUCT(alpha*fck*(1-(1-((($AV30+$AW30*Mesh_Y+$AX30*Mesh_X))*(($AV30+$AW30*Mesh_Y+$AX30*Mesh_X)&gt;0)*(($AV30+$AW30*Mesh_Y+$AX30*Mesh_X)&lt;eco)+eco*(($AV30+$AW30*Mesh_Y+$AX30*Mesh_X)&gt;=eco))/eco)^n)*((($AV30+$AW30*Mesh_Y+$AX30*Mesh_X))&gt;0),Mesh_A,Mesh_Y)+SUMPRODUCT((Es*(($AV30+$AW30*Geometry!$E$42:$E$59+$AX30*Geometry!$D$42:$D$59))*(ABS(Es*(($AV30+$AW30*Geometry!$E$42:$E$59+$AX30*Geometry!$D$42:$D$59)))&lt;=fy)+fy*(Es*(($AV30+$AW30*Geometry!$E$42:$E$59+$AX30*Geometry!$D$42:$D$59))&gt;fy)-fy*(Es*(($AV30+$AW30*Geometry!$E$42:$E$59+$AX30*Geometry!$D$42:$D$59))&lt;-fy)-(alpha*fck*(1-(1-((($AV30+$AW30*Geometry!$E$42:$E$59+$AX30*Geometry!$D$42:$D$59))*(($AV30+$AW30*Geometry!$E$42:$E$59+$AX30*Geometry!$D$42:$D$59)&gt;0)*(($AV30+$AW30*Geometry!$E$42:$E$59+$AX30*Geometry!$D$42:$D$59)&lt;eco)+eco*(($AV30+$AW30*Geometry!$E$42:$E$59+$AX30*Geometry!$D$42:$D$59)&gt;=eco))/eco)^n)*((($AV30+$AW30*Geometry!$E$42:$E$59+$AX30*Geometry!$D$42:$D$59))&gt;0))),Geometry!$F$42:$F$59,Geometry!$E$42:$E$59))/1000000</f>
      </c>
      <c r="CS30" s="32">
        <f>(SUMPRODUCT(alpha*fck*(1-(1-((($AY30+$AZ30*Mesh_Y+$BA30*Mesh_X))*(($AY30+$AZ30*Mesh_Y+$BA30*Mesh_X)&gt;0)*(($AY30+$AZ30*Mesh_Y+$BA30*Mesh_X)&lt;eco)+eco*(($AY30+$AZ30*Mesh_Y+$BA30*Mesh_X)&gt;=eco))/eco)^n)*((($AY30+$AZ30*Mesh_Y+$BA30*Mesh_X))&gt;0),Mesh_A,Mesh_Y)+SUMPRODUCT((Es*(($AY30+$AZ30*Geometry!$E$42:$E$59+$BA30*Geometry!$D$42:$D$59))*(ABS(Es*(($AY30+$AZ30*Geometry!$E$42:$E$59+$BA30*Geometry!$D$42:$D$59)))&lt;=fy)+fy*(Es*(($AY30+$AZ30*Geometry!$E$42:$E$59+$BA30*Geometry!$D$42:$D$59))&gt;fy)-fy*(Es*(($AY30+$AZ30*Geometry!$E$42:$E$59+$BA30*Geometry!$D$42:$D$59))&lt;-fy)-(alpha*fck*(1-(1-((($AY30+$AZ30*Geometry!$E$42:$E$59+$BA30*Geometry!$D$42:$D$59))*(($AY30+$AZ30*Geometry!$E$42:$E$59+$BA30*Geometry!$D$42:$D$59)&gt;0)*(($AY30+$AZ30*Geometry!$E$42:$E$59+$BA30*Geometry!$D$42:$D$59)&lt;eco)+eco*(($AY30+$AZ30*Geometry!$E$42:$E$59+$BA30*Geometry!$D$42:$D$59)&gt;=eco))/eco)^n)*((($AY30+$AZ30*Geometry!$E$42:$E$59+$BA30*Geometry!$D$42:$D$59))&gt;0))),Geometry!$F$42:$F$59,Geometry!$E$42:$E$59))/1000000</f>
      </c>
      <c r="CT30" s="32">
        <f>(SUMPRODUCT(alpha*fck*(1-(1-((($BB30+$BC30*Mesh_Y+$BD30*Mesh_X))*(($BB30+$BC30*Mesh_Y+$BD30*Mesh_X)&gt;0)*(($BB30+$BC30*Mesh_Y+$BD30*Mesh_X)&lt;eco)+eco*(($BB30+$BC30*Mesh_Y+$BD30*Mesh_X)&gt;=eco))/eco)^n)*((($BB30+$BC30*Mesh_Y+$BD30*Mesh_X))&gt;0),Mesh_A,Mesh_Y)+SUMPRODUCT((Es*(($BB30+$BC30*Geometry!$E$42:$E$59+$BD30*Geometry!$D$42:$D$59))*(ABS(Es*(($BB30+$BC30*Geometry!$E$42:$E$59+$BD30*Geometry!$D$42:$D$59)))&lt;=fy)+fy*(Es*(($BB30+$BC30*Geometry!$E$42:$E$59+$BD30*Geometry!$D$42:$D$59))&gt;fy)-fy*(Es*(($BB30+$BC30*Geometry!$E$42:$E$59+$BD30*Geometry!$D$42:$D$59))&lt;-fy)-(alpha*fck*(1-(1-((($BB30+$BC30*Geometry!$E$42:$E$59+$BD30*Geometry!$D$42:$D$59))*(($BB30+$BC30*Geometry!$E$42:$E$59+$BD30*Geometry!$D$42:$D$59)&gt;0)*(($BB30+$BC30*Geometry!$E$42:$E$59+$BD30*Geometry!$D$42:$D$59)&lt;eco)+eco*(($BB30+$BC30*Geometry!$E$42:$E$59+$BD30*Geometry!$D$42:$D$59)&gt;=eco))/eco)^n)*((($BB30+$BC30*Geometry!$E$42:$E$59+$BD30*Geometry!$D$42:$D$59))&gt;0))),Geometry!$F$42:$F$59,Geometry!$E$42:$E$59))/1000000</f>
      </c>
      <c r="CU30" s="32">
        <f>(SUMPRODUCT(alpha*fck*(1-(1-((($BE30+$BF30*Mesh_Y+$BG30*Mesh_X))*(($BE30+$BF30*Mesh_Y+$BG30*Mesh_X)&gt;0)*(($BE30+$BF30*Mesh_Y+$BG30*Mesh_X)&lt;eco)+eco*(($BE30+$BF30*Mesh_Y+$BG30*Mesh_X)&gt;=eco))/eco)^n)*((($BE30+$BF30*Mesh_Y+$BG30*Mesh_X))&gt;0),Mesh_A,Mesh_Y)+SUMPRODUCT((Es*(($BE30+$BF30*Geometry!$E$42:$E$59+$BG30*Geometry!$D$42:$D$59))*(ABS(Es*(($BE30+$BF30*Geometry!$E$42:$E$59+$BG30*Geometry!$D$42:$D$59)))&lt;=fy)+fy*(Es*(($BE30+$BF30*Geometry!$E$42:$E$59+$BG30*Geometry!$D$42:$D$59))&gt;fy)-fy*(Es*(($BE30+$BF30*Geometry!$E$42:$E$59+$BG30*Geometry!$D$42:$D$59))&lt;-fy)-(alpha*fck*(1-(1-((($BE30+$BF30*Geometry!$E$42:$E$59+$BG30*Geometry!$D$42:$D$59))*(($BE30+$BF30*Geometry!$E$42:$E$59+$BG30*Geometry!$D$42:$D$59)&gt;0)*(($BE30+$BF30*Geometry!$E$42:$E$59+$BG30*Geometry!$D$42:$D$59)&lt;eco)+eco*(($BE30+$BF30*Geometry!$E$42:$E$59+$BG30*Geometry!$D$42:$D$59)&gt;=eco))/eco)^n)*((($BE30+$BF30*Geometry!$E$42:$E$59+$BG30*Geometry!$D$42:$D$59))&gt;0))),Geometry!$F$42:$F$59,Geometry!$E$42:$E$59))/1000000</f>
      </c>
      <c r="CV30" s="32">
        <f>(SUMPRODUCT(alpha*fck*(1-(1-((($BH30+$BI30*Mesh_Y+$BJ30*Mesh_X))*(($BH30+$BI30*Mesh_Y+$BJ30*Mesh_X)&gt;0)*(($BH30+$BI30*Mesh_Y+$BJ30*Mesh_X)&lt;eco)+eco*(($BH30+$BI30*Mesh_Y+$BJ30*Mesh_X)&gt;=eco))/eco)^n)*((($BH30+$BI30*Mesh_Y+$BJ30*Mesh_X))&gt;0),Mesh_A,Mesh_Y)+SUMPRODUCT((Es*(($BH30+$BI30*Geometry!$E$42:$E$59+$BJ30*Geometry!$D$42:$D$59))*(ABS(Es*(($BH30+$BI30*Geometry!$E$42:$E$59+$BJ30*Geometry!$D$42:$D$59)))&lt;=fy)+fy*(Es*(($BH30+$BI30*Geometry!$E$42:$E$59+$BJ30*Geometry!$D$42:$D$59))&gt;fy)-fy*(Es*(($BH30+$BI30*Geometry!$E$42:$E$59+$BJ30*Geometry!$D$42:$D$59))&lt;-fy)-(alpha*fck*(1-(1-((($BH30+$BI30*Geometry!$E$42:$E$59+$BJ30*Geometry!$D$42:$D$59))*(($BH30+$BI30*Geometry!$E$42:$E$59+$BJ30*Geometry!$D$42:$D$59)&gt;0)*(($BH30+$BI30*Geometry!$E$42:$E$59+$BJ30*Geometry!$D$42:$D$59)&lt;eco)+eco*(($BH30+$BI30*Geometry!$E$42:$E$59+$BJ30*Geometry!$D$42:$D$59)&gt;=eco))/eco)^n)*((($BH30+$BI30*Geometry!$E$42:$E$59+$BJ30*Geometry!$D$42:$D$59))&gt;0))),Geometry!$F$42:$F$59,Geometry!$E$42:$E$59))/1000000</f>
      </c>
      <c r="CW30" s="32">
        <f>(SUMPRODUCT(alpha*fck*(1-(1-((($F30+$G30*Mesh_Y+$H30*Mesh_X))*(($F30+$G30*Mesh_Y+$H30*Mesh_X)&gt;0)*(($F30+$G30*Mesh_Y+$H30*Mesh_X)&lt;eco)+eco*(($F30+$G30*Mesh_Y+$H30*Mesh_X)&gt;=eco))/eco)^n)*((($F30+$G30*Mesh_Y+$H30*Mesh_X))&gt;0),Mesh_A,Mesh_X)+SUMPRODUCT((Es*(($F30+$G30*Geometry!$E$42:$E$59+$H30*Geometry!$D$42:$D$59))*(ABS(Es*(($F30+$G30*Geometry!$E$42:$E$59+$H30*Geometry!$D$42:$D$59)))&lt;=fy)+fy*(Es*(($F30+$G30*Geometry!$E$42:$E$59+$H30*Geometry!$D$42:$D$59))&gt;fy)-fy*(Es*(($F30+$G30*Geometry!$E$42:$E$59+$H30*Geometry!$D$42:$D$59))&lt;-fy)-(alpha*fck*(1-(1-((($F30+$G30*Geometry!$E$42:$E$59+$H30*Geometry!$D$42:$D$59))*(($F30+$G30*Geometry!$E$42:$E$59+$H30*Geometry!$D$42:$D$59)&gt;0)*(($F30+$G30*Geometry!$E$42:$E$59+$H30*Geometry!$D$42:$D$59)&lt;eco)+eco*(($F30+$G30*Geometry!$E$42:$E$59+$H30*Geometry!$D$42:$D$59)&gt;=eco))/eco)^n)*((($F30+$G30*Geometry!$E$42:$E$59+$H30*Geometry!$D$42:$D$59))&gt;0))),Geometry!$F$42:$F$59,Geometry!$D$42:$D$59))/1000000</f>
      </c>
      <c r="CX30" s="32">
        <f>(SUMPRODUCT(alpha*fck*(1-(1-((($I30+$J30*Mesh_Y+$K30*Mesh_X))*(($I30+$J30*Mesh_Y+$K30*Mesh_X)&gt;0)*(($I30+$J30*Mesh_Y+$K30*Mesh_X)&lt;eco)+eco*(($I30+$J30*Mesh_Y+$K30*Mesh_X)&gt;=eco))/eco)^n)*((($I30+$J30*Mesh_Y+$K30*Mesh_X))&gt;0),Mesh_A,Mesh_X)+SUMPRODUCT((Es*(($I30+$J30*Geometry!$E$42:$E$59+$K30*Geometry!$D$42:$D$59))*(ABS(Es*(($I30+$J30*Geometry!$E$42:$E$59+$K30*Geometry!$D$42:$D$59)))&lt;=fy)+fy*(Es*(($I30+$J30*Geometry!$E$42:$E$59+$K30*Geometry!$D$42:$D$59))&gt;fy)-fy*(Es*(($I30+$J30*Geometry!$E$42:$E$59+$K30*Geometry!$D$42:$D$59))&lt;-fy)-(alpha*fck*(1-(1-((($I30+$J30*Geometry!$E$42:$E$59+$K30*Geometry!$D$42:$D$59))*(($I30+$J30*Geometry!$E$42:$E$59+$K30*Geometry!$D$42:$D$59)&gt;0)*(($I30+$J30*Geometry!$E$42:$E$59+$K30*Geometry!$D$42:$D$59)&lt;eco)+eco*(($I30+$J30*Geometry!$E$42:$E$59+$K30*Geometry!$D$42:$D$59)&gt;=eco))/eco)^n)*((($I30+$J30*Geometry!$E$42:$E$59+$K30*Geometry!$D$42:$D$59))&gt;0))),Geometry!$F$42:$F$59,Geometry!$D$42:$D$59))/1000000</f>
      </c>
      <c r="CY30" s="32">
        <f>(SUMPRODUCT(alpha*fck*(1-(1-((($L30+$M30*Mesh_Y+$N30*Mesh_X))*(($L30+$M30*Mesh_Y+$N30*Mesh_X)&gt;0)*(($L30+$M30*Mesh_Y+$N30*Mesh_X)&lt;eco)+eco*(($L30+$M30*Mesh_Y+$N30*Mesh_X)&gt;=eco))/eco)^n)*((($L30+$M30*Mesh_Y+$N30*Mesh_X))&gt;0),Mesh_A,Mesh_X)+SUMPRODUCT((Es*(($L30+$M30*Geometry!$E$42:$E$59+$N30*Geometry!$D$42:$D$59))*(ABS(Es*(($L30+$M30*Geometry!$E$42:$E$59+$N30*Geometry!$D$42:$D$59)))&lt;=fy)+fy*(Es*(($L30+$M30*Geometry!$E$42:$E$59+$N30*Geometry!$D$42:$D$59))&gt;fy)-fy*(Es*(($L30+$M30*Geometry!$E$42:$E$59+$N30*Geometry!$D$42:$D$59))&lt;-fy)-(alpha*fck*(1-(1-((($L30+$M30*Geometry!$E$42:$E$59+$N30*Geometry!$D$42:$D$59))*(($L30+$M30*Geometry!$E$42:$E$59+$N30*Geometry!$D$42:$D$59)&gt;0)*(($L30+$M30*Geometry!$E$42:$E$59+$N30*Geometry!$D$42:$D$59)&lt;eco)+eco*(($L30+$M30*Geometry!$E$42:$E$59+$N30*Geometry!$D$42:$D$59)&gt;=eco))/eco)^n)*((($L30+$M30*Geometry!$E$42:$E$59+$N30*Geometry!$D$42:$D$59))&gt;0))),Geometry!$F$42:$F$59,Geometry!$D$42:$D$59))/1000000</f>
      </c>
      <c r="CZ30" s="32">
        <f>(SUMPRODUCT(alpha*fck*(1-(1-((($O30+$P30*Mesh_Y+$Q30*Mesh_X))*(($O30+$P30*Mesh_Y+$Q30*Mesh_X)&gt;0)*(($O30+$P30*Mesh_Y+$Q30*Mesh_X)&lt;eco)+eco*(($O30+$P30*Mesh_Y+$Q30*Mesh_X)&gt;=eco))/eco)^n)*((($O30+$P30*Mesh_Y+$Q30*Mesh_X))&gt;0),Mesh_A,Mesh_X)+SUMPRODUCT((Es*(($O30+$P30*Geometry!$E$42:$E$59+$Q30*Geometry!$D$42:$D$59))*(ABS(Es*(($O30+$P30*Geometry!$E$42:$E$59+$Q30*Geometry!$D$42:$D$59)))&lt;=fy)+fy*(Es*(($O30+$P30*Geometry!$E$42:$E$59+$Q30*Geometry!$D$42:$D$59))&gt;fy)-fy*(Es*(($O30+$P30*Geometry!$E$42:$E$59+$Q30*Geometry!$D$42:$D$59))&lt;-fy)-(alpha*fck*(1-(1-((($O30+$P30*Geometry!$E$42:$E$59+$Q30*Geometry!$D$42:$D$59))*(($O30+$P30*Geometry!$E$42:$E$59+$Q30*Geometry!$D$42:$D$59)&gt;0)*(($O30+$P30*Geometry!$E$42:$E$59+$Q30*Geometry!$D$42:$D$59)&lt;eco)+eco*(($O30+$P30*Geometry!$E$42:$E$59+$Q30*Geometry!$D$42:$D$59)&gt;=eco))/eco)^n)*((($O30+$P30*Geometry!$E$42:$E$59+$Q30*Geometry!$D$42:$D$59))&gt;0))),Geometry!$F$42:$F$59,Geometry!$D$42:$D$59))/1000000</f>
      </c>
      <c r="DA30" s="32">
        <f>(SUMPRODUCT(alpha*fck*(1-(1-((($R30+$S30*Mesh_Y+$T30*Mesh_X))*(($R30+$S30*Mesh_Y+$T30*Mesh_X)&gt;0)*(($R30+$S30*Mesh_Y+$T30*Mesh_X)&lt;eco)+eco*(($R30+$S30*Mesh_Y+$T30*Mesh_X)&gt;=eco))/eco)^n)*((($R30+$S30*Mesh_Y+$T30*Mesh_X))&gt;0),Mesh_A,Mesh_X)+SUMPRODUCT((Es*(($R30+$S30*Geometry!$E$42:$E$59+$T30*Geometry!$D$42:$D$59))*(ABS(Es*(($R30+$S30*Geometry!$E$42:$E$59+$T30*Geometry!$D$42:$D$59)))&lt;=fy)+fy*(Es*(($R30+$S30*Geometry!$E$42:$E$59+$T30*Geometry!$D$42:$D$59))&gt;fy)-fy*(Es*(($R30+$S30*Geometry!$E$42:$E$59+$T30*Geometry!$D$42:$D$59))&lt;-fy)-(alpha*fck*(1-(1-((($R30+$S30*Geometry!$E$42:$E$59+$T30*Geometry!$D$42:$D$59))*(($R30+$S30*Geometry!$E$42:$E$59+$T30*Geometry!$D$42:$D$59)&gt;0)*(($R30+$S30*Geometry!$E$42:$E$59+$T30*Geometry!$D$42:$D$59)&lt;eco)+eco*(($R30+$S30*Geometry!$E$42:$E$59+$T30*Geometry!$D$42:$D$59)&gt;=eco))/eco)^n)*((($R30+$S30*Geometry!$E$42:$E$59+$T30*Geometry!$D$42:$D$59))&gt;0))),Geometry!$F$42:$F$59,Geometry!$D$42:$D$59))/1000000</f>
      </c>
      <c r="DB30" s="32">
        <f>(SUMPRODUCT(alpha*fck*(1-(1-((($U30+$V30*Mesh_Y+$W30*Mesh_X))*(($U30+$V30*Mesh_Y+$W30*Mesh_X)&gt;0)*(($U30+$V30*Mesh_Y+$W30*Mesh_X)&lt;eco)+eco*(($U30+$V30*Mesh_Y+$W30*Mesh_X)&gt;=eco))/eco)^n)*((($U30+$V30*Mesh_Y+$W30*Mesh_X))&gt;0),Mesh_A,Mesh_X)+SUMPRODUCT((Es*(($U30+$V30*Geometry!$E$42:$E$59+$W30*Geometry!$D$42:$D$59))*(ABS(Es*(($U30+$V30*Geometry!$E$42:$E$59+$W30*Geometry!$D$42:$D$59)))&lt;=fy)+fy*(Es*(($U30+$V30*Geometry!$E$42:$E$59+$W30*Geometry!$D$42:$D$59))&gt;fy)-fy*(Es*(($U30+$V30*Geometry!$E$42:$E$59+$W30*Geometry!$D$42:$D$59))&lt;-fy)-(alpha*fck*(1-(1-((($U30+$V30*Geometry!$E$42:$E$59+$W30*Geometry!$D$42:$D$59))*(($U30+$V30*Geometry!$E$42:$E$59+$W30*Geometry!$D$42:$D$59)&gt;0)*(($U30+$V30*Geometry!$E$42:$E$59+$W30*Geometry!$D$42:$D$59)&lt;eco)+eco*(($U30+$V30*Geometry!$E$42:$E$59+$W30*Geometry!$D$42:$D$59)&gt;=eco))/eco)^n)*((($U30+$V30*Geometry!$E$42:$E$59+$W30*Geometry!$D$42:$D$59))&gt;0))),Geometry!$F$42:$F$59,Geometry!$D$42:$D$59))/1000000</f>
      </c>
      <c r="DC30" s="32">
        <f>(SUMPRODUCT(alpha*fck*(1-(1-((($X30+$Y30*Mesh_Y+$Z30*Mesh_X))*(($X30+$Y30*Mesh_Y+$Z30*Mesh_X)&gt;0)*(($X30+$Y30*Mesh_Y+$Z30*Mesh_X)&lt;eco)+eco*(($X30+$Y30*Mesh_Y+$Z30*Mesh_X)&gt;=eco))/eco)^n)*((($X30+$Y30*Mesh_Y+$Z30*Mesh_X))&gt;0),Mesh_A,Mesh_X)+SUMPRODUCT((Es*(($X30+$Y30*Geometry!$E$42:$E$59+$Z30*Geometry!$D$42:$D$59))*(ABS(Es*(($X30+$Y30*Geometry!$E$42:$E$59+$Z30*Geometry!$D$42:$D$59)))&lt;=fy)+fy*(Es*(($X30+$Y30*Geometry!$E$42:$E$59+$Z30*Geometry!$D$42:$D$59))&gt;fy)-fy*(Es*(($X30+$Y30*Geometry!$E$42:$E$59+$Z30*Geometry!$D$42:$D$59))&lt;-fy)-(alpha*fck*(1-(1-((($X30+$Y30*Geometry!$E$42:$E$59+$Z30*Geometry!$D$42:$D$59))*(($X30+$Y30*Geometry!$E$42:$E$59+$Z30*Geometry!$D$42:$D$59)&gt;0)*(($X30+$Y30*Geometry!$E$42:$E$59+$Z30*Geometry!$D$42:$D$59)&lt;eco)+eco*(($X30+$Y30*Geometry!$E$42:$E$59+$Z30*Geometry!$D$42:$D$59)&gt;=eco))/eco)^n)*((($X30+$Y30*Geometry!$E$42:$E$59+$Z30*Geometry!$D$42:$D$59))&gt;0))),Geometry!$F$42:$F$59,Geometry!$D$42:$D$59))/1000000</f>
      </c>
      <c r="DD30" s="32">
        <f>(SUMPRODUCT(alpha*fck*(1-(1-((($AA30+$AB30*Mesh_Y+$AC30*Mesh_X))*(($AA30+$AB30*Mesh_Y+$AC30*Mesh_X)&gt;0)*(($AA30+$AB30*Mesh_Y+$AC30*Mesh_X)&lt;eco)+eco*(($AA30+$AB30*Mesh_Y+$AC30*Mesh_X)&gt;=eco))/eco)^n)*((($AA30+$AB30*Mesh_Y+$AC30*Mesh_X))&gt;0),Mesh_A,Mesh_X)+SUMPRODUCT((Es*(($AA30+$AB30*Geometry!$E$42:$E$59+$AC30*Geometry!$D$42:$D$59))*(ABS(Es*(($AA30+$AB30*Geometry!$E$42:$E$59+$AC30*Geometry!$D$42:$D$59)))&lt;=fy)+fy*(Es*(($AA30+$AB30*Geometry!$E$42:$E$59+$AC30*Geometry!$D$42:$D$59))&gt;fy)-fy*(Es*(($AA30+$AB30*Geometry!$E$42:$E$59+$AC30*Geometry!$D$42:$D$59))&lt;-fy)-(alpha*fck*(1-(1-((($AA30+$AB30*Geometry!$E$42:$E$59+$AC30*Geometry!$D$42:$D$59))*(($AA30+$AB30*Geometry!$E$42:$E$59+$AC30*Geometry!$D$42:$D$59)&gt;0)*(($AA30+$AB30*Geometry!$E$42:$E$59+$AC30*Geometry!$D$42:$D$59)&lt;eco)+eco*(($AA30+$AB30*Geometry!$E$42:$E$59+$AC30*Geometry!$D$42:$D$59)&gt;=eco))/eco)^n)*((($AA30+$AB30*Geometry!$E$42:$E$59+$AC30*Geometry!$D$42:$D$59))&gt;0))),Geometry!$F$42:$F$59,Geometry!$D$42:$D$59))/1000000</f>
      </c>
      <c r="DE30" s="32">
        <f>(SUMPRODUCT(alpha*fck*(1-(1-((($AD30+$AE30*Mesh_Y+$AF30*Mesh_X))*(($AD30+$AE30*Mesh_Y+$AF30*Mesh_X)&gt;0)*(($AD30+$AE30*Mesh_Y+$AF30*Mesh_X)&lt;eco)+eco*(($AD30+$AE30*Mesh_Y+$AF30*Mesh_X)&gt;=eco))/eco)^n)*((($AD30+$AE30*Mesh_Y+$AF30*Mesh_X))&gt;0),Mesh_A,Mesh_X)+SUMPRODUCT((Es*(($AD30+$AE30*Geometry!$E$42:$E$59+$AF30*Geometry!$D$42:$D$59))*(ABS(Es*(($AD30+$AE30*Geometry!$E$42:$E$59+$AF30*Geometry!$D$42:$D$59)))&lt;=fy)+fy*(Es*(($AD30+$AE30*Geometry!$E$42:$E$59+$AF30*Geometry!$D$42:$D$59))&gt;fy)-fy*(Es*(($AD30+$AE30*Geometry!$E$42:$E$59+$AF30*Geometry!$D$42:$D$59))&lt;-fy)-(alpha*fck*(1-(1-((($AD30+$AE30*Geometry!$E$42:$E$59+$AF30*Geometry!$D$42:$D$59))*(($AD30+$AE30*Geometry!$E$42:$E$59+$AF30*Geometry!$D$42:$D$59)&gt;0)*(($AD30+$AE30*Geometry!$E$42:$E$59+$AF30*Geometry!$D$42:$D$59)&lt;eco)+eco*(($AD30+$AE30*Geometry!$E$42:$E$59+$AF30*Geometry!$D$42:$D$59)&gt;=eco))/eco)^n)*((($AD30+$AE30*Geometry!$E$42:$E$59+$AF30*Geometry!$D$42:$D$59))&gt;0))),Geometry!$F$42:$F$59,Geometry!$D$42:$D$59))/1000000</f>
      </c>
      <c r="DF30" s="32">
        <f>(SUMPRODUCT(alpha*fck*(1-(1-((($AG30+$AH30*Mesh_Y+$AI30*Mesh_X))*(($AG30+$AH30*Mesh_Y+$AI30*Mesh_X)&gt;0)*(($AG30+$AH30*Mesh_Y+$AI30*Mesh_X)&lt;eco)+eco*(($AG30+$AH30*Mesh_Y+$AI30*Mesh_X)&gt;=eco))/eco)^n)*((($AG30+$AH30*Mesh_Y+$AI30*Mesh_X))&gt;0),Mesh_A,Mesh_X)+SUMPRODUCT((Es*(($AG30+$AH30*Geometry!$E$42:$E$59+$AI30*Geometry!$D$42:$D$59))*(ABS(Es*(($AG30+$AH30*Geometry!$E$42:$E$59+$AI30*Geometry!$D$42:$D$59)))&lt;=fy)+fy*(Es*(($AG30+$AH30*Geometry!$E$42:$E$59+$AI30*Geometry!$D$42:$D$59))&gt;fy)-fy*(Es*(($AG30+$AH30*Geometry!$E$42:$E$59+$AI30*Geometry!$D$42:$D$59))&lt;-fy)-(alpha*fck*(1-(1-((($AG30+$AH30*Geometry!$E$42:$E$59+$AI30*Geometry!$D$42:$D$59))*(($AG30+$AH30*Geometry!$E$42:$E$59+$AI30*Geometry!$D$42:$D$59)&gt;0)*(($AG30+$AH30*Geometry!$E$42:$E$59+$AI30*Geometry!$D$42:$D$59)&lt;eco)+eco*(($AG30+$AH30*Geometry!$E$42:$E$59+$AI30*Geometry!$D$42:$D$59)&gt;=eco))/eco)^n)*((($AG30+$AH30*Geometry!$E$42:$E$59+$AI30*Geometry!$D$42:$D$59))&gt;0))),Geometry!$F$42:$F$59,Geometry!$D$42:$D$59))/1000000</f>
      </c>
      <c r="DG30" s="32">
        <f>(SUMPRODUCT(alpha*fck*(1-(1-((($AJ30+$AK30*Mesh_Y+$AL30*Mesh_X))*(($AJ30+$AK30*Mesh_Y+$AL30*Mesh_X)&gt;0)*(($AJ30+$AK30*Mesh_Y+$AL30*Mesh_X)&lt;eco)+eco*(($AJ30+$AK30*Mesh_Y+$AL30*Mesh_X)&gt;=eco))/eco)^n)*((($AJ30+$AK30*Mesh_Y+$AL30*Mesh_X))&gt;0),Mesh_A,Mesh_X)+SUMPRODUCT((Es*(($AJ30+$AK30*Geometry!$E$42:$E$59+$AL30*Geometry!$D$42:$D$59))*(ABS(Es*(($AJ30+$AK30*Geometry!$E$42:$E$59+$AL30*Geometry!$D$42:$D$59)))&lt;=fy)+fy*(Es*(($AJ30+$AK30*Geometry!$E$42:$E$59+$AL30*Geometry!$D$42:$D$59))&gt;fy)-fy*(Es*(($AJ30+$AK30*Geometry!$E$42:$E$59+$AL30*Geometry!$D$42:$D$59))&lt;-fy)-(alpha*fck*(1-(1-((($AJ30+$AK30*Geometry!$E$42:$E$59+$AL30*Geometry!$D$42:$D$59))*(($AJ30+$AK30*Geometry!$E$42:$E$59+$AL30*Geometry!$D$42:$D$59)&gt;0)*(($AJ30+$AK30*Geometry!$E$42:$E$59+$AL30*Geometry!$D$42:$D$59)&lt;eco)+eco*(($AJ30+$AK30*Geometry!$E$42:$E$59+$AL30*Geometry!$D$42:$D$59)&gt;=eco))/eco)^n)*((($AJ30+$AK30*Geometry!$E$42:$E$59+$AL30*Geometry!$D$42:$D$59))&gt;0))),Geometry!$F$42:$F$59,Geometry!$D$42:$D$59))/1000000</f>
      </c>
      <c r="DH30" s="32">
        <f>(SUMPRODUCT(alpha*fck*(1-(1-((($AM30+$AN30*Mesh_Y+$AO30*Mesh_X))*(($AM30+$AN30*Mesh_Y+$AO30*Mesh_X)&gt;0)*(($AM30+$AN30*Mesh_Y+$AO30*Mesh_X)&lt;eco)+eco*(($AM30+$AN30*Mesh_Y+$AO30*Mesh_X)&gt;=eco))/eco)^n)*((($AM30+$AN30*Mesh_Y+$AO30*Mesh_X))&gt;0),Mesh_A,Mesh_X)+SUMPRODUCT((Es*(($AM30+$AN30*Geometry!$E$42:$E$59+$AO30*Geometry!$D$42:$D$59))*(ABS(Es*(($AM30+$AN30*Geometry!$E$42:$E$59+$AO30*Geometry!$D$42:$D$59)))&lt;=fy)+fy*(Es*(($AM30+$AN30*Geometry!$E$42:$E$59+$AO30*Geometry!$D$42:$D$59))&gt;fy)-fy*(Es*(($AM30+$AN30*Geometry!$E$42:$E$59+$AO30*Geometry!$D$42:$D$59))&lt;-fy)-(alpha*fck*(1-(1-((($AM30+$AN30*Geometry!$E$42:$E$59+$AO30*Geometry!$D$42:$D$59))*(($AM30+$AN30*Geometry!$E$42:$E$59+$AO30*Geometry!$D$42:$D$59)&gt;0)*(($AM30+$AN30*Geometry!$E$42:$E$59+$AO30*Geometry!$D$42:$D$59)&lt;eco)+eco*(($AM30+$AN30*Geometry!$E$42:$E$59+$AO30*Geometry!$D$42:$D$59)&gt;=eco))/eco)^n)*((($AM30+$AN30*Geometry!$E$42:$E$59+$AO30*Geometry!$D$42:$D$59))&gt;0))),Geometry!$F$42:$F$59,Geometry!$D$42:$D$59))/1000000</f>
      </c>
      <c r="DI30" s="32">
        <f>(SUMPRODUCT(alpha*fck*(1-(1-((($AP30+$AQ30*Mesh_Y+$AR30*Mesh_X))*(($AP30+$AQ30*Mesh_Y+$AR30*Mesh_X)&gt;0)*(($AP30+$AQ30*Mesh_Y+$AR30*Mesh_X)&lt;eco)+eco*(($AP30+$AQ30*Mesh_Y+$AR30*Mesh_X)&gt;=eco))/eco)^n)*((($AP30+$AQ30*Mesh_Y+$AR30*Mesh_X))&gt;0),Mesh_A,Mesh_X)+SUMPRODUCT((Es*(($AP30+$AQ30*Geometry!$E$42:$E$59+$AR30*Geometry!$D$42:$D$59))*(ABS(Es*(($AP30+$AQ30*Geometry!$E$42:$E$59+$AR30*Geometry!$D$42:$D$59)))&lt;=fy)+fy*(Es*(($AP30+$AQ30*Geometry!$E$42:$E$59+$AR30*Geometry!$D$42:$D$59))&gt;fy)-fy*(Es*(($AP30+$AQ30*Geometry!$E$42:$E$59+$AR30*Geometry!$D$42:$D$59))&lt;-fy)-(alpha*fck*(1-(1-((($AP30+$AQ30*Geometry!$E$42:$E$59+$AR30*Geometry!$D$42:$D$59))*(($AP30+$AQ30*Geometry!$E$42:$E$59+$AR30*Geometry!$D$42:$D$59)&gt;0)*(($AP30+$AQ30*Geometry!$E$42:$E$59+$AR30*Geometry!$D$42:$D$59)&lt;eco)+eco*(($AP30+$AQ30*Geometry!$E$42:$E$59+$AR30*Geometry!$D$42:$D$59)&gt;=eco))/eco)^n)*((($AP30+$AQ30*Geometry!$E$42:$E$59+$AR30*Geometry!$D$42:$D$59))&gt;0))),Geometry!$F$42:$F$59,Geometry!$D$42:$D$59))/1000000</f>
      </c>
      <c r="DJ30" s="32">
        <f>(SUMPRODUCT(alpha*fck*(1-(1-((($AS30+$AT30*Mesh_Y+$AU30*Mesh_X))*(($AS30+$AT30*Mesh_Y+$AU30*Mesh_X)&gt;0)*(($AS30+$AT30*Mesh_Y+$AU30*Mesh_X)&lt;eco)+eco*(($AS30+$AT30*Mesh_Y+$AU30*Mesh_X)&gt;=eco))/eco)^n)*((($AS30+$AT30*Mesh_Y+$AU30*Mesh_X))&gt;0),Mesh_A,Mesh_X)+SUMPRODUCT((Es*(($AS30+$AT30*Geometry!$E$42:$E$59+$AU30*Geometry!$D$42:$D$59))*(ABS(Es*(($AS30+$AT30*Geometry!$E$42:$E$59+$AU30*Geometry!$D$42:$D$59)))&lt;=fy)+fy*(Es*(($AS30+$AT30*Geometry!$E$42:$E$59+$AU30*Geometry!$D$42:$D$59))&gt;fy)-fy*(Es*(($AS30+$AT30*Geometry!$E$42:$E$59+$AU30*Geometry!$D$42:$D$59))&lt;-fy)-(alpha*fck*(1-(1-((($AS30+$AT30*Geometry!$E$42:$E$59+$AU30*Geometry!$D$42:$D$59))*(($AS30+$AT30*Geometry!$E$42:$E$59+$AU30*Geometry!$D$42:$D$59)&gt;0)*(($AS30+$AT30*Geometry!$E$42:$E$59+$AU30*Geometry!$D$42:$D$59)&lt;eco)+eco*(($AS30+$AT30*Geometry!$E$42:$E$59+$AU30*Geometry!$D$42:$D$59)&gt;=eco))/eco)^n)*((($AS30+$AT30*Geometry!$E$42:$E$59+$AU30*Geometry!$D$42:$D$59))&gt;0))),Geometry!$F$42:$F$59,Geometry!$D$42:$D$59))/1000000</f>
      </c>
      <c r="DK30" s="32">
        <f>(SUMPRODUCT(alpha*fck*(1-(1-((($AV30+$AW30*Mesh_Y+$AX30*Mesh_X))*(($AV30+$AW30*Mesh_Y+$AX30*Mesh_X)&gt;0)*(($AV30+$AW30*Mesh_Y+$AX30*Mesh_X)&lt;eco)+eco*(($AV30+$AW30*Mesh_Y+$AX30*Mesh_X)&gt;=eco))/eco)^n)*((($AV30+$AW30*Mesh_Y+$AX30*Mesh_X))&gt;0),Mesh_A,Mesh_X)+SUMPRODUCT((Es*(($AV30+$AW30*Geometry!$E$42:$E$59+$AX30*Geometry!$D$42:$D$59))*(ABS(Es*(($AV30+$AW30*Geometry!$E$42:$E$59+$AX30*Geometry!$D$42:$D$59)))&lt;=fy)+fy*(Es*(($AV30+$AW30*Geometry!$E$42:$E$59+$AX30*Geometry!$D$42:$D$59))&gt;fy)-fy*(Es*(($AV30+$AW30*Geometry!$E$42:$E$59+$AX30*Geometry!$D$42:$D$59))&lt;-fy)-(alpha*fck*(1-(1-((($AV30+$AW30*Geometry!$E$42:$E$59+$AX30*Geometry!$D$42:$D$59))*(($AV30+$AW30*Geometry!$E$42:$E$59+$AX30*Geometry!$D$42:$D$59)&gt;0)*(($AV30+$AW30*Geometry!$E$42:$E$59+$AX30*Geometry!$D$42:$D$59)&lt;eco)+eco*(($AV30+$AW30*Geometry!$E$42:$E$59+$AX30*Geometry!$D$42:$D$59)&gt;=eco))/eco)^n)*((($AV30+$AW30*Geometry!$E$42:$E$59+$AX30*Geometry!$D$42:$D$59))&gt;0))),Geometry!$F$42:$F$59,Geometry!$D$42:$D$59))/1000000</f>
      </c>
      <c r="DL30" s="32">
        <f>(SUMPRODUCT(alpha*fck*(1-(1-((($AY30+$AZ30*Mesh_Y+$BA30*Mesh_X))*(($AY30+$AZ30*Mesh_Y+$BA30*Mesh_X)&gt;0)*(($AY30+$AZ30*Mesh_Y+$BA30*Mesh_X)&lt;eco)+eco*(($AY30+$AZ30*Mesh_Y+$BA30*Mesh_X)&gt;=eco))/eco)^n)*((($AY30+$AZ30*Mesh_Y+$BA30*Mesh_X))&gt;0),Mesh_A,Mesh_X)+SUMPRODUCT((Es*(($AY30+$AZ30*Geometry!$E$42:$E$59+$BA30*Geometry!$D$42:$D$59))*(ABS(Es*(($AY30+$AZ30*Geometry!$E$42:$E$59+$BA30*Geometry!$D$42:$D$59)))&lt;=fy)+fy*(Es*(($AY30+$AZ30*Geometry!$E$42:$E$59+$BA30*Geometry!$D$42:$D$59))&gt;fy)-fy*(Es*(($AY30+$AZ30*Geometry!$E$42:$E$59+$BA30*Geometry!$D$42:$D$59))&lt;-fy)-(alpha*fck*(1-(1-((($AY30+$AZ30*Geometry!$E$42:$E$59+$BA30*Geometry!$D$42:$D$59))*(($AY30+$AZ30*Geometry!$E$42:$E$59+$BA30*Geometry!$D$42:$D$59)&gt;0)*(($AY30+$AZ30*Geometry!$E$42:$E$59+$BA30*Geometry!$D$42:$D$59)&lt;eco)+eco*(($AY30+$AZ30*Geometry!$E$42:$E$59+$BA30*Geometry!$D$42:$D$59)&gt;=eco))/eco)^n)*((($AY30+$AZ30*Geometry!$E$42:$E$59+$BA30*Geometry!$D$42:$D$59))&gt;0))),Geometry!$F$42:$F$59,Geometry!$D$42:$D$59))/1000000</f>
      </c>
      <c r="DM30" s="32">
        <f>(SUMPRODUCT(alpha*fck*(1-(1-((($BB30+$BC30*Mesh_Y+$BD30*Mesh_X))*(($BB30+$BC30*Mesh_Y+$BD30*Mesh_X)&gt;0)*(($BB30+$BC30*Mesh_Y+$BD30*Mesh_X)&lt;eco)+eco*(($BB30+$BC30*Mesh_Y+$BD30*Mesh_X)&gt;=eco))/eco)^n)*((($BB30+$BC30*Mesh_Y+$BD30*Mesh_X))&gt;0),Mesh_A,Mesh_X)+SUMPRODUCT((Es*(($BB30+$BC30*Geometry!$E$42:$E$59+$BD30*Geometry!$D$42:$D$59))*(ABS(Es*(($BB30+$BC30*Geometry!$E$42:$E$59+$BD30*Geometry!$D$42:$D$59)))&lt;=fy)+fy*(Es*(($BB30+$BC30*Geometry!$E$42:$E$59+$BD30*Geometry!$D$42:$D$59))&gt;fy)-fy*(Es*(($BB30+$BC30*Geometry!$E$42:$E$59+$BD30*Geometry!$D$42:$D$59))&lt;-fy)-(alpha*fck*(1-(1-((($BB30+$BC30*Geometry!$E$42:$E$59+$BD30*Geometry!$D$42:$D$59))*(($BB30+$BC30*Geometry!$E$42:$E$59+$BD30*Geometry!$D$42:$D$59)&gt;0)*(($BB30+$BC30*Geometry!$E$42:$E$59+$BD30*Geometry!$D$42:$D$59)&lt;eco)+eco*(($BB30+$BC30*Geometry!$E$42:$E$59+$BD30*Geometry!$D$42:$D$59)&gt;=eco))/eco)^n)*((($BB30+$BC30*Geometry!$E$42:$E$59+$BD30*Geometry!$D$42:$D$59))&gt;0))),Geometry!$F$42:$F$59,Geometry!$D$42:$D$59))/1000000</f>
      </c>
      <c r="DN30" s="32">
        <f>(SUMPRODUCT(alpha*fck*(1-(1-((($BE30+$BF30*Mesh_Y+$BG30*Mesh_X))*(($BE30+$BF30*Mesh_Y+$BG30*Mesh_X)&gt;0)*(($BE30+$BF30*Mesh_Y+$BG30*Mesh_X)&lt;eco)+eco*(($BE30+$BF30*Mesh_Y+$BG30*Mesh_X)&gt;=eco))/eco)^n)*((($BE30+$BF30*Mesh_Y+$BG30*Mesh_X))&gt;0),Mesh_A,Mesh_X)+SUMPRODUCT((Es*(($BE30+$BF30*Geometry!$E$42:$E$59+$BG30*Geometry!$D$42:$D$59))*(ABS(Es*(($BE30+$BF30*Geometry!$E$42:$E$59+$BG30*Geometry!$D$42:$D$59)))&lt;=fy)+fy*(Es*(($BE30+$BF30*Geometry!$E$42:$E$59+$BG30*Geometry!$D$42:$D$59))&gt;fy)-fy*(Es*(($BE30+$BF30*Geometry!$E$42:$E$59+$BG30*Geometry!$D$42:$D$59))&lt;-fy)-(alpha*fck*(1-(1-((($BE30+$BF30*Geometry!$E$42:$E$59+$BG30*Geometry!$D$42:$D$59))*(($BE30+$BF30*Geometry!$E$42:$E$59+$BG30*Geometry!$D$42:$D$59)&gt;0)*(($BE30+$BF30*Geometry!$E$42:$E$59+$BG30*Geometry!$D$42:$D$59)&lt;eco)+eco*(($BE30+$BF30*Geometry!$E$42:$E$59+$BG30*Geometry!$D$42:$D$59)&gt;=eco))/eco)^n)*((($BE30+$BF30*Geometry!$E$42:$E$59+$BG30*Geometry!$D$42:$D$59))&gt;0))),Geometry!$F$42:$F$59,Geometry!$D$42:$D$59))/1000000</f>
      </c>
      <c r="DO30" s="32">
        <f>(SUMPRODUCT(alpha*fck*(1-(1-((($BH30+$BI30*Mesh_Y+$BJ30*Mesh_X))*(($BH30+$BI30*Mesh_Y+$BJ30*Mesh_X)&gt;0)*(($BH30+$BI30*Mesh_Y+$BJ30*Mesh_X)&lt;eco)+eco*(($BH30+$BI30*Mesh_Y+$BJ30*Mesh_X)&gt;=eco))/eco)^n)*((($BH30+$BI30*Mesh_Y+$BJ30*Mesh_X))&gt;0),Mesh_A,Mesh_X)+SUMPRODUCT((Es*(($BH30+$BI30*Geometry!$E$42:$E$59+$BJ30*Geometry!$D$42:$D$59))*(ABS(Es*(($BH30+$BI30*Geometry!$E$42:$E$59+$BJ30*Geometry!$D$42:$D$59)))&lt;=fy)+fy*(Es*(($BH30+$BI30*Geometry!$E$42:$E$59+$BJ30*Geometry!$D$42:$D$59))&gt;fy)-fy*(Es*(($BH30+$BI30*Geometry!$E$42:$E$59+$BJ30*Geometry!$D$42:$D$59))&lt;-fy)-(alpha*fck*(1-(1-((($BH30+$BI30*Geometry!$E$42:$E$59+$BJ30*Geometry!$D$42:$D$59))*(($BH30+$BI30*Geometry!$E$42:$E$59+$BJ30*Geometry!$D$42:$D$59)&gt;0)*(($BH30+$BI30*Geometry!$E$42:$E$59+$BJ30*Geometry!$D$42:$D$59)&lt;eco)+eco*(($BH30+$BI30*Geometry!$E$42:$E$59+$BJ30*Geometry!$D$42:$D$59)&gt;=eco))/eco)^n)*((($BH30+$BI30*Geometry!$E$42:$E$59+$BJ30*Geometry!$D$42:$D$59))&gt;0))),Geometry!$F$42:$F$59,Geometry!$D$42:$D$59))/1000000</f>
      </c>
      <c r="DP30" s="45">
        <f>MAX(1,MIN(18,SUMPRODUCT(--($BK30:$CC30&gt;=Pu))))</f>
      </c>
      <c r="DQ30" s="46">
        <f>(Pu-INDEX($BK30:$CC30,1,$DP30))/(INDEX($BK30:$CC30,1,$DP30+1)-INDEX($BK30:$CC30,1,$DP30))</f>
      </c>
      <c r="DR30" s="33">
        <f>INDEX($CD30:$CV30,1,$DP30)+$DQ30*(INDEX($CD30:$CV30,1,$DP30+1)-INDEX($CD30:$CV30,1,$DP30))</f>
      </c>
      <c r="DS30" s="33">
        <f>INDEX($CW30:$DO30,1,$DP30)+$DQ30*(INDEX($CW30:$DO30,1,$DP30+1)-INDEX($CW30:$DO30,1,$DP30))</f>
      </c>
      <c r="DT30" s="33">
        <f>SQRT(DR30^2+DS30^2)</f>
      </c>
    </row>
    <row r="31" spans="1:124" x14ac:dyDescent="0.25">
      <c r="A31">
        <v>24</v>
      </c>
      <c r="B31" s="43">
        <v>345</v>
      </c>
      <c r="C31" s="12">
        <f>MAX(SUMPRODUCT(MAX((Geometry!$E$6:$E$13)*COS(RADIANS($B31))+(Geometry!$D$6:$D$13)*SIN(RADIANS($B31)))))</f>
      </c>
      <c r="D31" s="12">
        <f>SUMPRODUCT(MIN((Geometry!$E$42:$E$59)*COS(RADIANS($B31))+(Geometry!$D$42:$D$59)*SIN(RADIANS($B31))))</f>
      </c>
      <c r="E31" s="12">
        <f>C31-D31</f>
      </c>
      <c r="F31" s="30">
        <f>ecu</f>
      </c>
      <c r="G31" s="44">
        <f>0*COS(RADIANS($B31))</f>
      </c>
      <c r="H31" s="44">
        <f>0*SIN(RADIANS($B31))</f>
      </c>
      <c r="I31" s="30">
        <f>ecu-((ecu-0)/($C31-($C31-PM_Angle!$C$8*$E31)))*$C31</f>
      </c>
      <c r="J31" s="44">
        <f>((ecu-0)/($C31-($C31-PM_Angle!$C$8*$E31)))*COS(RADIANS($B31))</f>
      </c>
      <c r="K31" s="44">
        <f>((ecu-0)/($C31-($C31-PM_Angle!$C$8*$E31)))*SIN(RADIANS($B31))</f>
      </c>
      <c r="L31" s="30">
        <f>ecu-((ecu-0)/($C31-($C31-PM_Angle!$C$9*$E31)))*$C31</f>
      </c>
      <c r="M31" s="44">
        <f>((ecu-0)/($C31-($C31-PM_Angle!$C$9*$E31)))*COS(RADIANS($B31))</f>
      </c>
      <c r="N31" s="44">
        <f>((ecu-0)/($C31-($C31-PM_Angle!$C$9*$E31)))*SIN(RADIANS($B31))</f>
      </c>
      <c r="O31" s="30">
        <f>ecu-((ecu-0)/($C31-($C31-PM_Angle!$C$10*$E31)))*$C31</f>
      </c>
      <c r="P31" s="44">
        <f>((ecu-0)/($C31-($C31-PM_Angle!$C$10*$E31)))*COS(RADIANS($B31))</f>
      </c>
      <c r="Q31" s="44">
        <f>((ecu-0)/($C31-($C31-PM_Angle!$C$10*$E31)))*SIN(RADIANS($B31))</f>
      </c>
      <c r="R31" s="30">
        <f>ecu-((ecu-0)/($C31-($C31-PM_Angle!$C$11*$E31)))*$C31</f>
      </c>
      <c r="S31" s="44">
        <f>((ecu-0)/($C31-($C31-PM_Angle!$C$11*$E31)))*COS(RADIANS($B31))</f>
      </c>
      <c r="T31" s="44">
        <f>((ecu-0)/($C31-($C31-PM_Angle!$C$11*$E31)))*SIN(RADIANS($B31))</f>
      </c>
      <c r="U31" s="30">
        <f>ecu-((ecu-(-PM_Angle!$E$12))/($C31-$D31))*$C31</f>
      </c>
      <c r="V31" s="44">
        <f>((ecu-(-PM_Angle!$E$12))/($C31-$D31))*COS(RADIANS($B31))</f>
      </c>
      <c r="W31" s="44">
        <f>((ecu-(-PM_Angle!$E$12))/($C31-$D31))*SIN(RADIANS($B31))</f>
      </c>
      <c r="X31" s="30">
        <f>ecu-((ecu-(-PM_Angle!$D$13*fy/Es))/($C31-$D31))*$C31</f>
      </c>
      <c r="Y31" s="44">
        <f>((ecu-(-PM_Angle!$D$13*fy/Es))/($C31-$D31))*COS(RADIANS($B31))</f>
      </c>
      <c r="Z31" s="44">
        <f>((ecu-(-PM_Angle!$D$13*fy/Es))/($C31-$D31))*SIN(RADIANS($B31))</f>
      </c>
      <c r="AA31" s="30">
        <f>ecu-((ecu-(-PM_Angle!$D$14*fy/Es))/($C31-$D31))*$C31</f>
      </c>
      <c r="AB31" s="44">
        <f>((ecu-(-PM_Angle!$D$14*fy/Es))/($C31-$D31))*COS(RADIANS($B31))</f>
      </c>
      <c r="AC31" s="44">
        <f>((ecu-(-PM_Angle!$D$14*fy/Es))/($C31-$D31))*SIN(RADIANS($B31))</f>
      </c>
      <c r="AD31" s="30">
        <f>ecu-((ecu-(-PM_Angle!$D$15*fy/Es))/($C31-$D31))*$C31</f>
      </c>
      <c r="AE31" s="44">
        <f>((ecu-(-PM_Angle!$D$15*fy/Es))/($C31-$D31))*COS(RADIANS($B31))</f>
      </c>
      <c r="AF31" s="44">
        <f>((ecu-(-PM_Angle!$D$15*fy/Es))/($C31-$D31))*SIN(RADIANS($B31))</f>
      </c>
      <c r="AG31" s="30">
        <f>ecu-((ecu-(-PM_Angle!$D$16*fy/Es))/($C31-$D31))*$C31</f>
      </c>
      <c r="AH31" s="44">
        <f>((ecu-(-PM_Angle!$D$16*fy/Es))/($C31-$D31))*COS(RADIANS($B31))</f>
      </c>
      <c r="AI31" s="44">
        <f>((ecu-(-PM_Angle!$D$16*fy/Es))/($C31-$D31))*SIN(RADIANS($B31))</f>
      </c>
      <c r="AJ31" s="30">
        <f>ecu-((ecu-(-PM_Angle!$E$17))/($C31-$D31))*$C31</f>
      </c>
      <c r="AK31" s="44">
        <f>((ecu-(-PM_Angle!$E$17))/($C31-$D31))*COS(RADIANS($B31))</f>
      </c>
      <c r="AL31" s="44">
        <f>((ecu-(-PM_Angle!$E$17))/($C31-$D31))*SIN(RADIANS($B31))</f>
      </c>
      <c r="AM31" s="30">
        <f>ecu-((ecu-(-PM_Angle!$E$18))/($C31-$D31))*$C31</f>
      </c>
      <c r="AN31" s="44">
        <f>((ecu-(-PM_Angle!$E$18))/($C31-$D31))*COS(RADIANS($B31))</f>
      </c>
      <c r="AO31" s="44">
        <f>((ecu-(-PM_Angle!$E$18))/($C31-$D31))*SIN(RADIANS($B31))</f>
      </c>
      <c r="AP31" s="30">
        <f>ecu-((ecu-(-PM_Angle!$E$19))/($C31-$D31))*$C31</f>
      </c>
      <c r="AQ31" s="44">
        <f>((ecu-(-PM_Angle!$E$19))/($C31-$D31))*COS(RADIANS($B31))</f>
      </c>
      <c r="AR31" s="44">
        <f>((ecu-(-PM_Angle!$E$19))/($C31-$D31))*SIN(RADIANS($B31))</f>
      </c>
      <c r="AS31" s="30">
        <f>ecu-((ecu-(-PM_Angle!$E$20))/($C31-$D31))*$C31</f>
      </c>
      <c r="AT31" s="44">
        <f>((ecu-(-PM_Angle!$E$20))/($C31-$D31))*COS(RADIANS($B31))</f>
      </c>
      <c r="AU31" s="44">
        <f>((ecu-(-PM_Angle!$E$20))/($C31-$D31))*SIN(RADIANS($B31))</f>
      </c>
      <c r="AV31" s="30">
        <f>ecu-((ecu-(-PM_Angle!$E$21))/($C31-$D31))*$C31</f>
      </c>
      <c r="AW31" s="44">
        <f>((ecu-(-PM_Angle!$E$21))/($C31-$D31))*COS(RADIANS($B31))</f>
      </c>
      <c r="AX31" s="44">
        <f>((ecu-(-PM_Angle!$E$21))/($C31-$D31))*SIN(RADIANS($B31))</f>
      </c>
      <c r="AY31" s="30">
        <f>ecu-((ecu-(-PM_Angle!$E$22))/($C31-$D31))*$C31</f>
      </c>
      <c r="AZ31" s="44">
        <f>((ecu-(-PM_Angle!$E$22))/($C31-$D31))*COS(RADIANS($B31))</f>
      </c>
      <c r="BA31" s="44">
        <f>((ecu-(-PM_Angle!$E$22))/($C31-$D31))*SIN(RADIANS($B31))</f>
      </c>
      <c r="BB31" s="30">
        <f>ecu-((ecu-(-PM_Angle!$E$23))/($C31-$D31))*$C31</f>
      </c>
      <c r="BC31" s="44">
        <f>((ecu-(-PM_Angle!$E$23))/($C31-$D31))*COS(RADIANS($B31))</f>
      </c>
      <c r="BD31" s="44">
        <f>((ecu-(-PM_Angle!$E$23))/($C31-$D31))*SIN(RADIANS($B31))</f>
      </c>
      <c r="BE31" s="30">
        <f>ecu-((ecu-(-PM_Angle!$E$24))/($C31-$D31))*$C31</f>
      </c>
      <c r="BF31" s="44">
        <f>((ecu-(-PM_Angle!$E$24))/($C31-$D31))*COS(RADIANS($B31))</f>
      </c>
      <c r="BG31" s="44">
        <f>((ecu-(-PM_Angle!$E$24))/($C31-$D31))*SIN(RADIANS($B31))</f>
      </c>
      <c r="BH31" s="30">
        <f>etu</f>
      </c>
      <c r="BI31" s="44">
        <f>0*COS(RADIANS($B31))</f>
      </c>
      <c r="BJ31" s="44">
        <f>0*SIN(RADIANS($B31))</f>
      </c>
      <c r="BK31" s="32">
        <f>(SUMPRODUCT(alpha*fck*(1-(1-((($F31+$G31*Mesh_Y+$H31*Mesh_X))*(($F31+$G31*Mesh_Y+$H31*Mesh_X)&gt;0)*(($F31+$G31*Mesh_Y+$H31*Mesh_X)&lt;eco)+eco*(($F31+$G31*Mesh_Y+$H31*Mesh_X)&gt;=eco))/eco)^n)*((($F31+$G31*Mesh_Y+$H31*Mesh_X))&gt;0),Mesh_A)+SUMPRODUCT((Es*(($F31+$G31*Geometry!$E$42:$E$59+$H31*Geometry!$D$42:$D$59))*(ABS(Es*(($F31+$G31*Geometry!$E$42:$E$59+$H31*Geometry!$D$42:$D$59)))&lt;=fy)+fy*(Es*(($F31+$G31*Geometry!$E$42:$E$59+$H31*Geometry!$D$42:$D$59))&gt;fy)-fy*(Es*(($F31+$G31*Geometry!$E$42:$E$59+$H31*Geometry!$D$42:$D$59))&lt;-fy)-(alpha*fck*(1-(1-((($F31+$G31*Geometry!$E$42:$E$59+$H31*Geometry!$D$42:$D$59))*(($F31+$G31*Geometry!$E$42:$E$59+$H31*Geometry!$D$42:$D$59)&gt;0)*(($F31+$G31*Geometry!$E$42:$E$59+$H31*Geometry!$D$42:$D$59)&lt;eco)+eco*(($F31+$G31*Geometry!$E$42:$E$59+$H31*Geometry!$D$42:$D$59)&gt;=eco))/eco)^n)*((($F31+$G31*Geometry!$E$42:$E$59+$H31*Geometry!$D$42:$D$59))&gt;0))),Geometry!$F$42:$F$59))/1000</f>
      </c>
      <c r="BL31" s="32">
        <f>(SUMPRODUCT(alpha*fck*(1-(1-((($I31+$J31*Mesh_Y+$K31*Mesh_X))*(($I31+$J31*Mesh_Y+$K31*Mesh_X)&gt;0)*(($I31+$J31*Mesh_Y+$K31*Mesh_X)&lt;eco)+eco*(($I31+$J31*Mesh_Y+$K31*Mesh_X)&gt;=eco))/eco)^n)*((($I31+$J31*Mesh_Y+$K31*Mesh_X))&gt;0),Mesh_A)+SUMPRODUCT((Es*(($I31+$J31*Geometry!$E$42:$E$59+$K31*Geometry!$D$42:$D$59))*(ABS(Es*(($I31+$J31*Geometry!$E$42:$E$59+$K31*Geometry!$D$42:$D$59)))&lt;=fy)+fy*(Es*(($I31+$J31*Geometry!$E$42:$E$59+$K31*Geometry!$D$42:$D$59))&gt;fy)-fy*(Es*(($I31+$J31*Geometry!$E$42:$E$59+$K31*Geometry!$D$42:$D$59))&lt;-fy)-(alpha*fck*(1-(1-((($I31+$J31*Geometry!$E$42:$E$59+$K31*Geometry!$D$42:$D$59))*(($I31+$J31*Geometry!$E$42:$E$59+$K31*Geometry!$D$42:$D$59)&gt;0)*(($I31+$J31*Geometry!$E$42:$E$59+$K31*Geometry!$D$42:$D$59)&lt;eco)+eco*(($I31+$J31*Geometry!$E$42:$E$59+$K31*Geometry!$D$42:$D$59)&gt;=eco))/eco)^n)*((($I31+$J31*Geometry!$E$42:$E$59+$K31*Geometry!$D$42:$D$59))&gt;0))),Geometry!$F$42:$F$59))/1000</f>
      </c>
      <c r="BM31" s="32">
        <f>(SUMPRODUCT(alpha*fck*(1-(1-((($L31+$M31*Mesh_Y+$N31*Mesh_X))*(($L31+$M31*Mesh_Y+$N31*Mesh_X)&gt;0)*(($L31+$M31*Mesh_Y+$N31*Mesh_X)&lt;eco)+eco*(($L31+$M31*Mesh_Y+$N31*Mesh_X)&gt;=eco))/eco)^n)*((($L31+$M31*Mesh_Y+$N31*Mesh_X))&gt;0),Mesh_A)+SUMPRODUCT((Es*(($L31+$M31*Geometry!$E$42:$E$59+$N31*Geometry!$D$42:$D$59))*(ABS(Es*(($L31+$M31*Geometry!$E$42:$E$59+$N31*Geometry!$D$42:$D$59)))&lt;=fy)+fy*(Es*(($L31+$M31*Geometry!$E$42:$E$59+$N31*Geometry!$D$42:$D$59))&gt;fy)-fy*(Es*(($L31+$M31*Geometry!$E$42:$E$59+$N31*Geometry!$D$42:$D$59))&lt;-fy)-(alpha*fck*(1-(1-((($L31+$M31*Geometry!$E$42:$E$59+$N31*Geometry!$D$42:$D$59))*(($L31+$M31*Geometry!$E$42:$E$59+$N31*Geometry!$D$42:$D$59)&gt;0)*(($L31+$M31*Geometry!$E$42:$E$59+$N31*Geometry!$D$42:$D$59)&lt;eco)+eco*(($L31+$M31*Geometry!$E$42:$E$59+$N31*Geometry!$D$42:$D$59)&gt;=eco))/eco)^n)*((($L31+$M31*Geometry!$E$42:$E$59+$N31*Geometry!$D$42:$D$59))&gt;0))),Geometry!$F$42:$F$59))/1000</f>
      </c>
      <c r="BN31" s="32">
        <f>(SUMPRODUCT(alpha*fck*(1-(1-((($O31+$P31*Mesh_Y+$Q31*Mesh_X))*(($O31+$P31*Mesh_Y+$Q31*Mesh_X)&gt;0)*(($O31+$P31*Mesh_Y+$Q31*Mesh_X)&lt;eco)+eco*(($O31+$P31*Mesh_Y+$Q31*Mesh_X)&gt;=eco))/eco)^n)*((($O31+$P31*Mesh_Y+$Q31*Mesh_X))&gt;0),Mesh_A)+SUMPRODUCT((Es*(($O31+$P31*Geometry!$E$42:$E$59+$Q31*Geometry!$D$42:$D$59))*(ABS(Es*(($O31+$P31*Geometry!$E$42:$E$59+$Q31*Geometry!$D$42:$D$59)))&lt;=fy)+fy*(Es*(($O31+$P31*Geometry!$E$42:$E$59+$Q31*Geometry!$D$42:$D$59))&gt;fy)-fy*(Es*(($O31+$P31*Geometry!$E$42:$E$59+$Q31*Geometry!$D$42:$D$59))&lt;-fy)-(alpha*fck*(1-(1-((($O31+$P31*Geometry!$E$42:$E$59+$Q31*Geometry!$D$42:$D$59))*(($O31+$P31*Geometry!$E$42:$E$59+$Q31*Geometry!$D$42:$D$59)&gt;0)*(($O31+$P31*Geometry!$E$42:$E$59+$Q31*Geometry!$D$42:$D$59)&lt;eco)+eco*(($O31+$P31*Geometry!$E$42:$E$59+$Q31*Geometry!$D$42:$D$59)&gt;=eco))/eco)^n)*((($O31+$P31*Geometry!$E$42:$E$59+$Q31*Geometry!$D$42:$D$59))&gt;0))),Geometry!$F$42:$F$59))/1000</f>
      </c>
      <c r="BO31" s="32">
        <f>(SUMPRODUCT(alpha*fck*(1-(1-((($R31+$S31*Mesh_Y+$T31*Mesh_X))*(($R31+$S31*Mesh_Y+$T31*Mesh_X)&gt;0)*(($R31+$S31*Mesh_Y+$T31*Mesh_X)&lt;eco)+eco*(($R31+$S31*Mesh_Y+$T31*Mesh_X)&gt;=eco))/eco)^n)*((($R31+$S31*Mesh_Y+$T31*Mesh_X))&gt;0),Mesh_A)+SUMPRODUCT((Es*(($R31+$S31*Geometry!$E$42:$E$59+$T31*Geometry!$D$42:$D$59))*(ABS(Es*(($R31+$S31*Geometry!$E$42:$E$59+$T31*Geometry!$D$42:$D$59)))&lt;=fy)+fy*(Es*(($R31+$S31*Geometry!$E$42:$E$59+$T31*Geometry!$D$42:$D$59))&gt;fy)-fy*(Es*(($R31+$S31*Geometry!$E$42:$E$59+$T31*Geometry!$D$42:$D$59))&lt;-fy)-(alpha*fck*(1-(1-((($R31+$S31*Geometry!$E$42:$E$59+$T31*Geometry!$D$42:$D$59))*(($R31+$S31*Geometry!$E$42:$E$59+$T31*Geometry!$D$42:$D$59)&gt;0)*(($R31+$S31*Geometry!$E$42:$E$59+$T31*Geometry!$D$42:$D$59)&lt;eco)+eco*(($R31+$S31*Geometry!$E$42:$E$59+$T31*Geometry!$D$42:$D$59)&gt;=eco))/eco)^n)*((($R31+$S31*Geometry!$E$42:$E$59+$T31*Geometry!$D$42:$D$59))&gt;0))),Geometry!$F$42:$F$59))/1000</f>
      </c>
      <c r="BP31" s="32">
        <f>(SUMPRODUCT(alpha*fck*(1-(1-((($U31+$V31*Mesh_Y+$W31*Mesh_X))*(($U31+$V31*Mesh_Y+$W31*Mesh_X)&gt;0)*(($U31+$V31*Mesh_Y+$W31*Mesh_X)&lt;eco)+eco*(($U31+$V31*Mesh_Y+$W31*Mesh_X)&gt;=eco))/eco)^n)*((($U31+$V31*Mesh_Y+$W31*Mesh_X))&gt;0),Mesh_A)+SUMPRODUCT((Es*(($U31+$V31*Geometry!$E$42:$E$59+$W31*Geometry!$D$42:$D$59))*(ABS(Es*(($U31+$V31*Geometry!$E$42:$E$59+$W31*Geometry!$D$42:$D$59)))&lt;=fy)+fy*(Es*(($U31+$V31*Geometry!$E$42:$E$59+$W31*Geometry!$D$42:$D$59))&gt;fy)-fy*(Es*(($U31+$V31*Geometry!$E$42:$E$59+$W31*Geometry!$D$42:$D$59))&lt;-fy)-(alpha*fck*(1-(1-((($U31+$V31*Geometry!$E$42:$E$59+$W31*Geometry!$D$42:$D$59))*(($U31+$V31*Geometry!$E$42:$E$59+$W31*Geometry!$D$42:$D$59)&gt;0)*(($U31+$V31*Geometry!$E$42:$E$59+$W31*Geometry!$D$42:$D$59)&lt;eco)+eco*(($U31+$V31*Geometry!$E$42:$E$59+$W31*Geometry!$D$42:$D$59)&gt;=eco))/eco)^n)*((($U31+$V31*Geometry!$E$42:$E$59+$W31*Geometry!$D$42:$D$59))&gt;0))),Geometry!$F$42:$F$59))/1000</f>
      </c>
      <c r="BQ31" s="32">
        <f>(SUMPRODUCT(alpha*fck*(1-(1-((($X31+$Y31*Mesh_Y+$Z31*Mesh_X))*(($X31+$Y31*Mesh_Y+$Z31*Mesh_X)&gt;0)*(($X31+$Y31*Mesh_Y+$Z31*Mesh_X)&lt;eco)+eco*(($X31+$Y31*Mesh_Y+$Z31*Mesh_X)&gt;=eco))/eco)^n)*((($X31+$Y31*Mesh_Y+$Z31*Mesh_X))&gt;0),Mesh_A)+SUMPRODUCT((Es*(($X31+$Y31*Geometry!$E$42:$E$59+$Z31*Geometry!$D$42:$D$59))*(ABS(Es*(($X31+$Y31*Geometry!$E$42:$E$59+$Z31*Geometry!$D$42:$D$59)))&lt;=fy)+fy*(Es*(($X31+$Y31*Geometry!$E$42:$E$59+$Z31*Geometry!$D$42:$D$59))&gt;fy)-fy*(Es*(($X31+$Y31*Geometry!$E$42:$E$59+$Z31*Geometry!$D$42:$D$59))&lt;-fy)-(alpha*fck*(1-(1-((($X31+$Y31*Geometry!$E$42:$E$59+$Z31*Geometry!$D$42:$D$59))*(($X31+$Y31*Geometry!$E$42:$E$59+$Z31*Geometry!$D$42:$D$59)&gt;0)*(($X31+$Y31*Geometry!$E$42:$E$59+$Z31*Geometry!$D$42:$D$59)&lt;eco)+eco*(($X31+$Y31*Geometry!$E$42:$E$59+$Z31*Geometry!$D$42:$D$59)&gt;=eco))/eco)^n)*((($X31+$Y31*Geometry!$E$42:$E$59+$Z31*Geometry!$D$42:$D$59))&gt;0))),Geometry!$F$42:$F$59))/1000</f>
      </c>
      <c r="BR31" s="32">
        <f>(SUMPRODUCT(alpha*fck*(1-(1-((($AA31+$AB31*Mesh_Y+$AC31*Mesh_X))*(($AA31+$AB31*Mesh_Y+$AC31*Mesh_X)&gt;0)*(($AA31+$AB31*Mesh_Y+$AC31*Mesh_X)&lt;eco)+eco*(($AA31+$AB31*Mesh_Y+$AC31*Mesh_X)&gt;=eco))/eco)^n)*((($AA31+$AB31*Mesh_Y+$AC31*Mesh_X))&gt;0),Mesh_A)+SUMPRODUCT((Es*(($AA31+$AB31*Geometry!$E$42:$E$59+$AC31*Geometry!$D$42:$D$59))*(ABS(Es*(($AA31+$AB31*Geometry!$E$42:$E$59+$AC31*Geometry!$D$42:$D$59)))&lt;=fy)+fy*(Es*(($AA31+$AB31*Geometry!$E$42:$E$59+$AC31*Geometry!$D$42:$D$59))&gt;fy)-fy*(Es*(($AA31+$AB31*Geometry!$E$42:$E$59+$AC31*Geometry!$D$42:$D$59))&lt;-fy)-(alpha*fck*(1-(1-((($AA31+$AB31*Geometry!$E$42:$E$59+$AC31*Geometry!$D$42:$D$59))*(($AA31+$AB31*Geometry!$E$42:$E$59+$AC31*Geometry!$D$42:$D$59)&gt;0)*(($AA31+$AB31*Geometry!$E$42:$E$59+$AC31*Geometry!$D$42:$D$59)&lt;eco)+eco*(($AA31+$AB31*Geometry!$E$42:$E$59+$AC31*Geometry!$D$42:$D$59)&gt;=eco))/eco)^n)*((($AA31+$AB31*Geometry!$E$42:$E$59+$AC31*Geometry!$D$42:$D$59))&gt;0))),Geometry!$F$42:$F$59))/1000</f>
      </c>
      <c r="BS31" s="32">
        <f>(SUMPRODUCT(alpha*fck*(1-(1-((($AD31+$AE31*Mesh_Y+$AF31*Mesh_X))*(($AD31+$AE31*Mesh_Y+$AF31*Mesh_X)&gt;0)*(($AD31+$AE31*Mesh_Y+$AF31*Mesh_X)&lt;eco)+eco*(($AD31+$AE31*Mesh_Y+$AF31*Mesh_X)&gt;=eco))/eco)^n)*((($AD31+$AE31*Mesh_Y+$AF31*Mesh_X))&gt;0),Mesh_A)+SUMPRODUCT((Es*(($AD31+$AE31*Geometry!$E$42:$E$59+$AF31*Geometry!$D$42:$D$59))*(ABS(Es*(($AD31+$AE31*Geometry!$E$42:$E$59+$AF31*Geometry!$D$42:$D$59)))&lt;=fy)+fy*(Es*(($AD31+$AE31*Geometry!$E$42:$E$59+$AF31*Geometry!$D$42:$D$59))&gt;fy)-fy*(Es*(($AD31+$AE31*Geometry!$E$42:$E$59+$AF31*Geometry!$D$42:$D$59))&lt;-fy)-(alpha*fck*(1-(1-((($AD31+$AE31*Geometry!$E$42:$E$59+$AF31*Geometry!$D$42:$D$59))*(($AD31+$AE31*Geometry!$E$42:$E$59+$AF31*Geometry!$D$42:$D$59)&gt;0)*(($AD31+$AE31*Geometry!$E$42:$E$59+$AF31*Geometry!$D$42:$D$59)&lt;eco)+eco*(($AD31+$AE31*Geometry!$E$42:$E$59+$AF31*Geometry!$D$42:$D$59)&gt;=eco))/eco)^n)*((($AD31+$AE31*Geometry!$E$42:$E$59+$AF31*Geometry!$D$42:$D$59))&gt;0))),Geometry!$F$42:$F$59))/1000</f>
      </c>
      <c r="BT31" s="32">
        <f>(SUMPRODUCT(alpha*fck*(1-(1-((($AG31+$AH31*Mesh_Y+$AI31*Mesh_X))*(($AG31+$AH31*Mesh_Y+$AI31*Mesh_X)&gt;0)*(($AG31+$AH31*Mesh_Y+$AI31*Mesh_X)&lt;eco)+eco*(($AG31+$AH31*Mesh_Y+$AI31*Mesh_X)&gt;=eco))/eco)^n)*((($AG31+$AH31*Mesh_Y+$AI31*Mesh_X))&gt;0),Mesh_A)+SUMPRODUCT((Es*(($AG31+$AH31*Geometry!$E$42:$E$59+$AI31*Geometry!$D$42:$D$59))*(ABS(Es*(($AG31+$AH31*Geometry!$E$42:$E$59+$AI31*Geometry!$D$42:$D$59)))&lt;=fy)+fy*(Es*(($AG31+$AH31*Geometry!$E$42:$E$59+$AI31*Geometry!$D$42:$D$59))&gt;fy)-fy*(Es*(($AG31+$AH31*Geometry!$E$42:$E$59+$AI31*Geometry!$D$42:$D$59))&lt;-fy)-(alpha*fck*(1-(1-((($AG31+$AH31*Geometry!$E$42:$E$59+$AI31*Geometry!$D$42:$D$59))*(($AG31+$AH31*Geometry!$E$42:$E$59+$AI31*Geometry!$D$42:$D$59)&gt;0)*(($AG31+$AH31*Geometry!$E$42:$E$59+$AI31*Geometry!$D$42:$D$59)&lt;eco)+eco*(($AG31+$AH31*Geometry!$E$42:$E$59+$AI31*Geometry!$D$42:$D$59)&gt;=eco))/eco)^n)*((($AG31+$AH31*Geometry!$E$42:$E$59+$AI31*Geometry!$D$42:$D$59))&gt;0))),Geometry!$F$42:$F$59))/1000</f>
      </c>
      <c r="BU31" s="32">
        <f>(SUMPRODUCT(alpha*fck*(1-(1-((($AJ31+$AK31*Mesh_Y+$AL31*Mesh_X))*(($AJ31+$AK31*Mesh_Y+$AL31*Mesh_X)&gt;0)*(($AJ31+$AK31*Mesh_Y+$AL31*Mesh_X)&lt;eco)+eco*(($AJ31+$AK31*Mesh_Y+$AL31*Mesh_X)&gt;=eco))/eco)^n)*((($AJ31+$AK31*Mesh_Y+$AL31*Mesh_X))&gt;0),Mesh_A)+SUMPRODUCT((Es*(($AJ31+$AK31*Geometry!$E$42:$E$59+$AL31*Geometry!$D$42:$D$59))*(ABS(Es*(($AJ31+$AK31*Geometry!$E$42:$E$59+$AL31*Geometry!$D$42:$D$59)))&lt;=fy)+fy*(Es*(($AJ31+$AK31*Geometry!$E$42:$E$59+$AL31*Geometry!$D$42:$D$59))&gt;fy)-fy*(Es*(($AJ31+$AK31*Geometry!$E$42:$E$59+$AL31*Geometry!$D$42:$D$59))&lt;-fy)-(alpha*fck*(1-(1-((($AJ31+$AK31*Geometry!$E$42:$E$59+$AL31*Geometry!$D$42:$D$59))*(($AJ31+$AK31*Geometry!$E$42:$E$59+$AL31*Geometry!$D$42:$D$59)&gt;0)*(($AJ31+$AK31*Geometry!$E$42:$E$59+$AL31*Geometry!$D$42:$D$59)&lt;eco)+eco*(($AJ31+$AK31*Geometry!$E$42:$E$59+$AL31*Geometry!$D$42:$D$59)&gt;=eco))/eco)^n)*((($AJ31+$AK31*Geometry!$E$42:$E$59+$AL31*Geometry!$D$42:$D$59))&gt;0))),Geometry!$F$42:$F$59))/1000</f>
      </c>
      <c r="BV31" s="32">
        <f>(SUMPRODUCT(alpha*fck*(1-(1-((($AM31+$AN31*Mesh_Y+$AO31*Mesh_X))*(($AM31+$AN31*Mesh_Y+$AO31*Mesh_X)&gt;0)*(($AM31+$AN31*Mesh_Y+$AO31*Mesh_X)&lt;eco)+eco*(($AM31+$AN31*Mesh_Y+$AO31*Mesh_X)&gt;=eco))/eco)^n)*((($AM31+$AN31*Mesh_Y+$AO31*Mesh_X))&gt;0),Mesh_A)+SUMPRODUCT((Es*(($AM31+$AN31*Geometry!$E$42:$E$59+$AO31*Geometry!$D$42:$D$59))*(ABS(Es*(($AM31+$AN31*Geometry!$E$42:$E$59+$AO31*Geometry!$D$42:$D$59)))&lt;=fy)+fy*(Es*(($AM31+$AN31*Geometry!$E$42:$E$59+$AO31*Geometry!$D$42:$D$59))&gt;fy)-fy*(Es*(($AM31+$AN31*Geometry!$E$42:$E$59+$AO31*Geometry!$D$42:$D$59))&lt;-fy)-(alpha*fck*(1-(1-((($AM31+$AN31*Geometry!$E$42:$E$59+$AO31*Geometry!$D$42:$D$59))*(($AM31+$AN31*Geometry!$E$42:$E$59+$AO31*Geometry!$D$42:$D$59)&gt;0)*(($AM31+$AN31*Geometry!$E$42:$E$59+$AO31*Geometry!$D$42:$D$59)&lt;eco)+eco*(($AM31+$AN31*Geometry!$E$42:$E$59+$AO31*Geometry!$D$42:$D$59)&gt;=eco))/eco)^n)*((($AM31+$AN31*Geometry!$E$42:$E$59+$AO31*Geometry!$D$42:$D$59))&gt;0))),Geometry!$F$42:$F$59))/1000</f>
      </c>
      <c r="BW31" s="32">
        <f>(SUMPRODUCT(alpha*fck*(1-(1-((($AP31+$AQ31*Mesh_Y+$AR31*Mesh_X))*(($AP31+$AQ31*Mesh_Y+$AR31*Mesh_X)&gt;0)*(($AP31+$AQ31*Mesh_Y+$AR31*Mesh_X)&lt;eco)+eco*(($AP31+$AQ31*Mesh_Y+$AR31*Mesh_X)&gt;=eco))/eco)^n)*((($AP31+$AQ31*Mesh_Y+$AR31*Mesh_X))&gt;0),Mesh_A)+SUMPRODUCT((Es*(($AP31+$AQ31*Geometry!$E$42:$E$59+$AR31*Geometry!$D$42:$D$59))*(ABS(Es*(($AP31+$AQ31*Geometry!$E$42:$E$59+$AR31*Geometry!$D$42:$D$59)))&lt;=fy)+fy*(Es*(($AP31+$AQ31*Geometry!$E$42:$E$59+$AR31*Geometry!$D$42:$D$59))&gt;fy)-fy*(Es*(($AP31+$AQ31*Geometry!$E$42:$E$59+$AR31*Geometry!$D$42:$D$59))&lt;-fy)-(alpha*fck*(1-(1-((($AP31+$AQ31*Geometry!$E$42:$E$59+$AR31*Geometry!$D$42:$D$59))*(($AP31+$AQ31*Geometry!$E$42:$E$59+$AR31*Geometry!$D$42:$D$59)&gt;0)*(($AP31+$AQ31*Geometry!$E$42:$E$59+$AR31*Geometry!$D$42:$D$59)&lt;eco)+eco*(($AP31+$AQ31*Geometry!$E$42:$E$59+$AR31*Geometry!$D$42:$D$59)&gt;=eco))/eco)^n)*((($AP31+$AQ31*Geometry!$E$42:$E$59+$AR31*Geometry!$D$42:$D$59))&gt;0))),Geometry!$F$42:$F$59))/1000</f>
      </c>
      <c r="BX31" s="32">
        <f>(SUMPRODUCT(alpha*fck*(1-(1-((($AS31+$AT31*Mesh_Y+$AU31*Mesh_X))*(($AS31+$AT31*Mesh_Y+$AU31*Mesh_X)&gt;0)*(($AS31+$AT31*Mesh_Y+$AU31*Mesh_X)&lt;eco)+eco*(($AS31+$AT31*Mesh_Y+$AU31*Mesh_X)&gt;=eco))/eco)^n)*((($AS31+$AT31*Mesh_Y+$AU31*Mesh_X))&gt;0),Mesh_A)+SUMPRODUCT((Es*(($AS31+$AT31*Geometry!$E$42:$E$59+$AU31*Geometry!$D$42:$D$59))*(ABS(Es*(($AS31+$AT31*Geometry!$E$42:$E$59+$AU31*Geometry!$D$42:$D$59)))&lt;=fy)+fy*(Es*(($AS31+$AT31*Geometry!$E$42:$E$59+$AU31*Geometry!$D$42:$D$59))&gt;fy)-fy*(Es*(($AS31+$AT31*Geometry!$E$42:$E$59+$AU31*Geometry!$D$42:$D$59))&lt;-fy)-(alpha*fck*(1-(1-((($AS31+$AT31*Geometry!$E$42:$E$59+$AU31*Geometry!$D$42:$D$59))*(($AS31+$AT31*Geometry!$E$42:$E$59+$AU31*Geometry!$D$42:$D$59)&gt;0)*(($AS31+$AT31*Geometry!$E$42:$E$59+$AU31*Geometry!$D$42:$D$59)&lt;eco)+eco*(($AS31+$AT31*Geometry!$E$42:$E$59+$AU31*Geometry!$D$42:$D$59)&gt;=eco))/eco)^n)*((($AS31+$AT31*Geometry!$E$42:$E$59+$AU31*Geometry!$D$42:$D$59))&gt;0))),Geometry!$F$42:$F$59))/1000</f>
      </c>
      <c r="BY31" s="32">
        <f>(SUMPRODUCT(alpha*fck*(1-(1-((($AV31+$AW31*Mesh_Y+$AX31*Mesh_X))*(($AV31+$AW31*Mesh_Y+$AX31*Mesh_X)&gt;0)*(($AV31+$AW31*Mesh_Y+$AX31*Mesh_X)&lt;eco)+eco*(($AV31+$AW31*Mesh_Y+$AX31*Mesh_X)&gt;=eco))/eco)^n)*((($AV31+$AW31*Mesh_Y+$AX31*Mesh_X))&gt;0),Mesh_A)+SUMPRODUCT((Es*(($AV31+$AW31*Geometry!$E$42:$E$59+$AX31*Geometry!$D$42:$D$59))*(ABS(Es*(($AV31+$AW31*Geometry!$E$42:$E$59+$AX31*Geometry!$D$42:$D$59)))&lt;=fy)+fy*(Es*(($AV31+$AW31*Geometry!$E$42:$E$59+$AX31*Geometry!$D$42:$D$59))&gt;fy)-fy*(Es*(($AV31+$AW31*Geometry!$E$42:$E$59+$AX31*Geometry!$D$42:$D$59))&lt;-fy)-(alpha*fck*(1-(1-((($AV31+$AW31*Geometry!$E$42:$E$59+$AX31*Geometry!$D$42:$D$59))*(($AV31+$AW31*Geometry!$E$42:$E$59+$AX31*Geometry!$D$42:$D$59)&gt;0)*(($AV31+$AW31*Geometry!$E$42:$E$59+$AX31*Geometry!$D$42:$D$59)&lt;eco)+eco*(($AV31+$AW31*Geometry!$E$42:$E$59+$AX31*Geometry!$D$42:$D$59)&gt;=eco))/eco)^n)*((($AV31+$AW31*Geometry!$E$42:$E$59+$AX31*Geometry!$D$42:$D$59))&gt;0))),Geometry!$F$42:$F$59))/1000</f>
      </c>
      <c r="BZ31" s="32">
        <f>(SUMPRODUCT(alpha*fck*(1-(1-((($AY31+$AZ31*Mesh_Y+$BA31*Mesh_X))*(($AY31+$AZ31*Mesh_Y+$BA31*Mesh_X)&gt;0)*(($AY31+$AZ31*Mesh_Y+$BA31*Mesh_X)&lt;eco)+eco*(($AY31+$AZ31*Mesh_Y+$BA31*Mesh_X)&gt;=eco))/eco)^n)*((($AY31+$AZ31*Mesh_Y+$BA31*Mesh_X))&gt;0),Mesh_A)+SUMPRODUCT((Es*(($AY31+$AZ31*Geometry!$E$42:$E$59+$BA31*Geometry!$D$42:$D$59))*(ABS(Es*(($AY31+$AZ31*Geometry!$E$42:$E$59+$BA31*Geometry!$D$42:$D$59)))&lt;=fy)+fy*(Es*(($AY31+$AZ31*Geometry!$E$42:$E$59+$BA31*Geometry!$D$42:$D$59))&gt;fy)-fy*(Es*(($AY31+$AZ31*Geometry!$E$42:$E$59+$BA31*Geometry!$D$42:$D$59))&lt;-fy)-(alpha*fck*(1-(1-((($AY31+$AZ31*Geometry!$E$42:$E$59+$BA31*Geometry!$D$42:$D$59))*(($AY31+$AZ31*Geometry!$E$42:$E$59+$BA31*Geometry!$D$42:$D$59)&gt;0)*(($AY31+$AZ31*Geometry!$E$42:$E$59+$BA31*Geometry!$D$42:$D$59)&lt;eco)+eco*(($AY31+$AZ31*Geometry!$E$42:$E$59+$BA31*Geometry!$D$42:$D$59)&gt;=eco))/eco)^n)*((($AY31+$AZ31*Geometry!$E$42:$E$59+$BA31*Geometry!$D$42:$D$59))&gt;0))),Geometry!$F$42:$F$59))/1000</f>
      </c>
      <c r="CA31" s="32">
        <f>(SUMPRODUCT(alpha*fck*(1-(1-((($BB31+$BC31*Mesh_Y+$BD31*Mesh_X))*(($BB31+$BC31*Mesh_Y+$BD31*Mesh_X)&gt;0)*(($BB31+$BC31*Mesh_Y+$BD31*Mesh_X)&lt;eco)+eco*(($BB31+$BC31*Mesh_Y+$BD31*Mesh_X)&gt;=eco))/eco)^n)*((($BB31+$BC31*Mesh_Y+$BD31*Mesh_X))&gt;0),Mesh_A)+SUMPRODUCT((Es*(($BB31+$BC31*Geometry!$E$42:$E$59+$BD31*Geometry!$D$42:$D$59))*(ABS(Es*(($BB31+$BC31*Geometry!$E$42:$E$59+$BD31*Geometry!$D$42:$D$59)))&lt;=fy)+fy*(Es*(($BB31+$BC31*Geometry!$E$42:$E$59+$BD31*Geometry!$D$42:$D$59))&gt;fy)-fy*(Es*(($BB31+$BC31*Geometry!$E$42:$E$59+$BD31*Geometry!$D$42:$D$59))&lt;-fy)-(alpha*fck*(1-(1-((($BB31+$BC31*Geometry!$E$42:$E$59+$BD31*Geometry!$D$42:$D$59))*(($BB31+$BC31*Geometry!$E$42:$E$59+$BD31*Geometry!$D$42:$D$59)&gt;0)*(($BB31+$BC31*Geometry!$E$42:$E$59+$BD31*Geometry!$D$42:$D$59)&lt;eco)+eco*(($BB31+$BC31*Geometry!$E$42:$E$59+$BD31*Geometry!$D$42:$D$59)&gt;=eco))/eco)^n)*((($BB31+$BC31*Geometry!$E$42:$E$59+$BD31*Geometry!$D$42:$D$59))&gt;0))),Geometry!$F$42:$F$59))/1000</f>
      </c>
      <c r="CB31" s="32">
        <f>(SUMPRODUCT(alpha*fck*(1-(1-((($BE31+$BF31*Mesh_Y+$BG31*Mesh_X))*(($BE31+$BF31*Mesh_Y+$BG31*Mesh_X)&gt;0)*(($BE31+$BF31*Mesh_Y+$BG31*Mesh_X)&lt;eco)+eco*(($BE31+$BF31*Mesh_Y+$BG31*Mesh_X)&gt;=eco))/eco)^n)*((($BE31+$BF31*Mesh_Y+$BG31*Mesh_X))&gt;0),Mesh_A)+SUMPRODUCT((Es*(($BE31+$BF31*Geometry!$E$42:$E$59+$BG31*Geometry!$D$42:$D$59))*(ABS(Es*(($BE31+$BF31*Geometry!$E$42:$E$59+$BG31*Geometry!$D$42:$D$59)))&lt;=fy)+fy*(Es*(($BE31+$BF31*Geometry!$E$42:$E$59+$BG31*Geometry!$D$42:$D$59))&gt;fy)-fy*(Es*(($BE31+$BF31*Geometry!$E$42:$E$59+$BG31*Geometry!$D$42:$D$59))&lt;-fy)-(alpha*fck*(1-(1-((($BE31+$BF31*Geometry!$E$42:$E$59+$BG31*Geometry!$D$42:$D$59))*(($BE31+$BF31*Geometry!$E$42:$E$59+$BG31*Geometry!$D$42:$D$59)&gt;0)*(($BE31+$BF31*Geometry!$E$42:$E$59+$BG31*Geometry!$D$42:$D$59)&lt;eco)+eco*(($BE31+$BF31*Geometry!$E$42:$E$59+$BG31*Geometry!$D$42:$D$59)&gt;=eco))/eco)^n)*((($BE31+$BF31*Geometry!$E$42:$E$59+$BG31*Geometry!$D$42:$D$59))&gt;0))),Geometry!$F$42:$F$59))/1000</f>
      </c>
      <c r="CC31" s="32">
        <f>(SUMPRODUCT(alpha*fck*(1-(1-((($BH31+$BI31*Mesh_Y+$BJ31*Mesh_X))*(($BH31+$BI31*Mesh_Y+$BJ31*Mesh_X)&gt;0)*(($BH31+$BI31*Mesh_Y+$BJ31*Mesh_X)&lt;eco)+eco*(($BH31+$BI31*Mesh_Y+$BJ31*Mesh_X)&gt;=eco))/eco)^n)*((($BH31+$BI31*Mesh_Y+$BJ31*Mesh_X))&gt;0),Mesh_A)+SUMPRODUCT((Es*(($BH31+$BI31*Geometry!$E$42:$E$59+$BJ31*Geometry!$D$42:$D$59))*(ABS(Es*(($BH31+$BI31*Geometry!$E$42:$E$59+$BJ31*Geometry!$D$42:$D$59)))&lt;=fy)+fy*(Es*(($BH31+$BI31*Geometry!$E$42:$E$59+$BJ31*Geometry!$D$42:$D$59))&gt;fy)-fy*(Es*(($BH31+$BI31*Geometry!$E$42:$E$59+$BJ31*Geometry!$D$42:$D$59))&lt;-fy)-(alpha*fck*(1-(1-((($BH31+$BI31*Geometry!$E$42:$E$59+$BJ31*Geometry!$D$42:$D$59))*(($BH31+$BI31*Geometry!$E$42:$E$59+$BJ31*Geometry!$D$42:$D$59)&gt;0)*(($BH31+$BI31*Geometry!$E$42:$E$59+$BJ31*Geometry!$D$42:$D$59)&lt;eco)+eco*(($BH31+$BI31*Geometry!$E$42:$E$59+$BJ31*Geometry!$D$42:$D$59)&gt;=eco))/eco)^n)*((($BH31+$BI31*Geometry!$E$42:$E$59+$BJ31*Geometry!$D$42:$D$59))&gt;0))),Geometry!$F$42:$F$59))/1000</f>
      </c>
      <c r="CD31" s="32">
        <f>(SUMPRODUCT(alpha*fck*(1-(1-((($F31+$G31*Mesh_Y+$H31*Mesh_X))*(($F31+$G31*Mesh_Y+$H31*Mesh_X)&gt;0)*(($F31+$G31*Mesh_Y+$H31*Mesh_X)&lt;eco)+eco*(($F31+$G31*Mesh_Y+$H31*Mesh_X)&gt;=eco))/eco)^n)*((($F31+$G31*Mesh_Y+$H31*Mesh_X))&gt;0),Mesh_A,Mesh_Y)+SUMPRODUCT((Es*(($F31+$G31*Geometry!$E$42:$E$59+$H31*Geometry!$D$42:$D$59))*(ABS(Es*(($F31+$G31*Geometry!$E$42:$E$59+$H31*Geometry!$D$42:$D$59)))&lt;=fy)+fy*(Es*(($F31+$G31*Geometry!$E$42:$E$59+$H31*Geometry!$D$42:$D$59))&gt;fy)-fy*(Es*(($F31+$G31*Geometry!$E$42:$E$59+$H31*Geometry!$D$42:$D$59))&lt;-fy)-(alpha*fck*(1-(1-((($F31+$G31*Geometry!$E$42:$E$59+$H31*Geometry!$D$42:$D$59))*(($F31+$G31*Geometry!$E$42:$E$59+$H31*Geometry!$D$42:$D$59)&gt;0)*(($F31+$G31*Geometry!$E$42:$E$59+$H31*Geometry!$D$42:$D$59)&lt;eco)+eco*(($F31+$G31*Geometry!$E$42:$E$59+$H31*Geometry!$D$42:$D$59)&gt;=eco))/eco)^n)*((($F31+$G31*Geometry!$E$42:$E$59+$H31*Geometry!$D$42:$D$59))&gt;0))),Geometry!$F$42:$F$59,Geometry!$E$42:$E$59))/1000000</f>
      </c>
      <c r="CE31" s="32">
        <f>(SUMPRODUCT(alpha*fck*(1-(1-((($I31+$J31*Mesh_Y+$K31*Mesh_X))*(($I31+$J31*Mesh_Y+$K31*Mesh_X)&gt;0)*(($I31+$J31*Mesh_Y+$K31*Mesh_X)&lt;eco)+eco*(($I31+$J31*Mesh_Y+$K31*Mesh_X)&gt;=eco))/eco)^n)*((($I31+$J31*Mesh_Y+$K31*Mesh_X))&gt;0),Mesh_A,Mesh_Y)+SUMPRODUCT((Es*(($I31+$J31*Geometry!$E$42:$E$59+$K31*Geometry!$D$42:$D$59))*(ABS(Es*(($I31+$J31*Geometry!$E$42:$E$59+$K31*Geometry!$D$42:$D$59)))&lt;=fy)+fy*(Es*(($I31+$J31*Geometry!$E$42:$E$59+$K31*Geometry!$D$42:$D$59))&gt;fy)-fy*(Es*(($I31+$J31*Geometry!$E$42:$E$59+$K31*Geometry!$D$42:$D$59))&lt;-fy)-(alpha*fck*(1-(1-((($I31+$J31*Geometry!$E$42:$E$59+$K31*Geometry!$D$42:$D$59))*(($I31+$J31*Geometry!$E$42:$E$59+$K31*Geometry!$D$42:$D$59)&gt;0)*(($I31+$J31*Geometry!$E$42:$E$59+$K31*Geometry!$D$42:$D$59)&lt;eco)+eco*(($I31+$J31*Geometry!$E$42:$E$59+$K31*Geometry!$D$42:$D$59)&gt;=eco))/eco)^n)*((($I31+$J31*Geometry!$E$42:$E$59+$K31*Geometry!$D$42:$D$59))&gt;0))),Geometry!$F$42:$F$59,Geometry!$E$42:$E$59))/1000000</f>
      </c>
      <c r="CF31" s="32">
        <f>(SUMPRODUCT(alpha*fck*(1-(1-((($L31+$M31*Mesh_Y+$N31*Mesh_X))*(($L31+$M31*Mesh_Y+$N31*Mesh_X)&gt;0)*(($L31+$M31*Mesh_Y+$N31*Mesh_X)&lt;eco)+eco*(($L31+$M31*Mesh_Y+$N31*Mesh_X)&gt;=eco))/eco)^n)*((($L31+$M31*Mesh_Y+$N31*Mesh_X))&gt;0),Mesh_A,Mesh_Y)+SUMPRODUCT((Es*(($L31+$M31*Geometry!$E$42:$E$59+$N31*Geometry!$D$42:$D$59))*(ABS(Es*(($L31+$M31*Geometry!$E$42:$E$59+$N31*Geometry!$D$42:$D$59)))&lt;=fy)+fy*(Es*(($L31+$M31*Geometry!$E$42:$E$59+$N31*Geometry!$D$42:$D$59))&gt;fy)-fy*(Es*(($L31+$M31*Geometry!$E$42:$E$59+$N31*Geometry!$D$42:$D$59))&lt;-fy)-(alpha*fck*(1-(1-((($L31+$M31*Geometry!$E$42:$E$59+$N31*Geometry!$D$42:$D$59))*(($L31+$M31*Geometry!$E$42:$E$59+$N31*Geometry!$D$42:$D$59)&gt;0)*(($L31+$M31*Geometry!$E$42:$E$59+$N31*Geometry!$D$42:$D$59)&lt;eco)+eco*(($L31+$M31*Geometry!$E$42:$E$59+$N31*Geometry!$D$42:$D$59)&gt;=eco))/eco)^n)*((($L31+$M31*Geometry!$E$42:$E$59+$N31*Geometry!$D$42:$D$59))&gt;0))),Geometry!$F$42:$F$59,Geometry!$E$42:$E$59))/1000000</f>
      </c>
      <c r="CG31" s="32">
        <f>(SUMPRODUCT(alpha*fck*(1-(1-((($O31+$P31*Mesh_Y+$Q31*Mesh_X))*(($O31+$P31*Mesh_Y+$Q31*Mesh_X)&gt;0)*(($O31+$P31*Mesh_Y+$Q31*Mesh_X)&lt;eco)+eco*(($O31+$P31*Mesh_Y+$Q31*Mesh_X)&gt;=eco))/eco)^n)*((($O31+$P31*Mesh_Y+$Q31*Mesh_X))&gt;0),Mesh_A,Mesh_Y)+SUMPRODUCT((Es*(($O31+$P31*Geometry!$E$42:$E$59+$Q31*Geometry!$D$42:$D$59))*(ABS(Es*(($O31+$P31*Geometry!$E$42:$E$59+$Q31*Geometry!$D$42:$D$59)))&lt;=fy)+fy*(Es*(($O31+$P31*Geometry!$E$42:$E$59+$Q31*Geometry!$D$42:$D$59))&gt;fy)-fy*(Es*(($O31+$P31*Geometry!$E$42:$E$59+$Q31*Geometry!$D$42:$D$59))&lt;-fy)-(alpha*fck*(1-(1-((($O31+$P31*Geometry!$E$42:$E$59+$Q31*Geometry!$D$42:$D$59))*(($O31+$P31*Geometry!$E$42:$E$59+$Q31*Geometry!$D$42:$D$59)&gt;0)*(($O31+$P31*Geometry!$E$42:$E$59+$Q31*Geometry!$D$42:$D$59)&lt;eco)+eco*(($O31+$P31*Geometry!$E$42:$E$59+$Q31*Geometry!$D$42:$D$59)&gt;=eco))/eco)^n)*((($O31+$P31*Geometry!$E$42:$E$59+$Q31*Geometry!$D$42:$D$59))&gt;0))),Geometry!$F$42:$F$59,Geometry!$E$42:$E$59))/1000000</f>
      </c>
      <c r="CH31" s="32">
        <f>(SUMPRODUCT(alpha*fck*(1-(1-((($R31+$S31*Mesh_Y+$T31*Mesh_X))*(($R31+$S31*Mesh_Y+$T31*Mesh_X)&gt;0)*(($R31+$S31*Mesh_Y+$T31*Mesh_X)&lt;eco)+eco*(($R31+$S31*Mesh_Y+$T31*Mesh_X)&gt;=eco))/eco)^n)*((($R31+$S31*Mesh_Y+$T31*Mesh_X))&gt;0),Mesh_A,Mesh_Y)+SUMPRODUCT((Es*(($R31+$S31*Geometry!$E$42:$E$59+$T31*Geometry!$D$42:$D$59))*(ABS(Es*(($R31+$S31*Geometry!$E$42:$E$59+$T31*Geometry!$D$42:$D$59)))&lt;=fy)+fy*(Es*(($R31+$S31*Geometry!$E$42:$E$59+$T31*Geometry!$D$42:$D$59))&gt;fy)-fy*(Es*(($R31+$S31*Geometry!$E$42:$E$59+$T31*Geometry!$D$42:$D$59))&lt;-fy)-(alpha*fck*(1-(1-((($R31+$S31*Geometry!$E$42:$E$59+$T31*Geometry!$D$42:$D$59))*(($R31+$S31*Geometry!$E$42:$E$59+$T31*Geometry!$D$42:$D$59)&gt;0)*(($R31+$S31*Geometry!$E$42:$E$59+$T31*Geometry!$D$42:$D$59)&lt;eco)+eco*(($R31+$S31*Geometry!$E$42:$E$59+$T31*Geometry!$D$42:$D$59)&gt;=eco))/eco)^n)*((($R31+$S31*Geometry!$E$42:$E$59+$T31*Geometry!$D$42:$D$59))&gt;0))),Geometry!$F$42:$F$59,Geometry!$E$42:$E$59))/1000000</f>
      </c>
      <c r="CI31" s="32">
        <f>(SUMPRODUCT(alpha*fck*(1-(1-((($U31+$V31*Mesh_Y+$W31*Mesh_X))*(($U31+$V31*Mesh_Y+$W31*Mesh_X)&gt;0)*(($U31+$V31*Mesh_Y+$W31*Mesh_X)&lt;eco)+eco*(($U31+$V31*Mesh_Y+$W31*Mesh_X)&gt;=eco))/eco)^n)*((($U31+$V31*Mesh_Y+$W31*Mesh_X))&gt;0),Mesh_A,Mesh_Y)+SUMPRODUCT((Es*(($U31+$V31*Geometry!$E$42:$E$59+$W31*Geometry!$D$42:$D$59))*(ABS(Es*(($U31+$V31*Geometry!$E$42:$E$59+$W31*Geometry!$D$42:$D$59)))&lt;=fy)+fy*(Es*(($U31+$V31*Geometry!$E$42:$E$59+$W31*Geometry!$D$42:$D$59))&gt;fy)-fy*(Es*(($U31+$V31*Geometry!$E$42:$E$59+$W31*Geometry!$D$42:$D$59))&lt;-fy)-(alpha*fck*(1-(1-((($U31+$V31*Geometry!$E$42:$E$59+$W31*Geometry!$D$42:$D$59))*(($U31+$V31*Geometry!$E$42:$E$59+$W31*Geometry!$D$42:$D$59)&gt;0)*(($U31+$V31*Geometry!$E$42:$E$59+$W31*Geometry!$D$42:$D$59)&lt;eco)+eco*(($U31+$V31*Geometry!$E$42:$E$59+$W31*Geometry!$D$42:$D$59)&gt;=eco))/eco)^n)*((($U31+$V31*Geometry!$E$42:$E$59+$W31*Geometry!$D$42:$D$59))&gt;0))),Geometry!$F$42:$F$59,Geometry!$E$42:$E$59))/1000000</f>
      </c>
      <c r="CJ31" s="32">
        <f>(SUMPRODUCT(alpha*fck*(1-(1-((($X31+$Y31*Mesh_Y+$Z31*Mesh_X))*(($X31+$Y31*Mesh_Y+$Z31*Mesh_X)&gt;0)*(($X31+$Y31*Mesh_Y+$Z31*Mesh_X)&lt;eco)+eco*(($X31+$Y31*Mesh_Y+$Z31*Mesh_X)&gt;=eco))/eco)^n)*((($X31+$Y31*Mesh_Y+$Z31*Mesh_X))&gt;0),Mesh_A,Mesh_Y)+SUMPRODUCT((Es*(($X31+$Y31*Geometry!$E$42:$E$59+$Z31*Geometry!$D$42:$D$59))*(ABS(Es*(($X31+$Y31*Geometry!$E$42:$E$59+$Z31*Geometry!$D$42:$D$59)))&lt;=fy)+fy*(Es*(($X31+$Y31*Geometry!$E$42:$E$59+$Z31*Geometry!$D$42:$D$59))&gt;fy)-fy*(Es*(($X31+$Y31*Geometry!$E$42:$E$59+$Z31*Geometry!$D$42:$D$59))&lt;-fy)-(alpha*fck*(1-(1-((($X31+$Y31*Geometry!$E$42:$E$59+$Z31*Geometry!$D$42:$D$59))*(($X31+$Y31*Geometry!$E$42:$E$59+$Z31*Geometry!$D$42:$D$59)&gt;0)*(($X31+$Y31*Geometry!$E$42:$E$59+$Z31*Geometry!$D$42:$D$59)&lt;eco)+eco*(($X31+$Y31*Geometry!$E$42:$E$59+$Z31*Geometry!$D$42:$D$59)&gt;=eco))/eco)^n)*((($X31+$Y31*Geometry!$E$42:$E$59+$Z31*Geometry!$D$42:$D$59))&gt;0))),Geometry!$F$42:$F$59,Geometry!$E$42:$E$59))/1000000</f>
      </c>
      <c r="CK31" s="32">
        <f>(SUMPRODUCT(alpha*fck*(1-(1-((($AA31+$AB31*Mesh_Y+$AC31*Mesh_X))*(($AA31+$AB31*Mesh_Y+$AC31*Mesh_X)&gt;0)*(($AA31+$AB31*Mesh_Y+$AC31*Mesh_X)&lt;eco)+eco*(($AA31+$AB31*Mesh_Y+$AC31*Mesh_X)&gt;=eco))/eco)^n)*((($AA31+$AB31*Mesh_Y+$AC31*Mesh_X))&gt;0),Mesh_A,Mesh_Y)+SUMPRODUCT((Es*(($AA31+$AB31*Geometry!$E$42:$E$59+$AC31*Geometry!$D$42:$D$59))*(ABS(Es*(($AA31+$AB31*Geometry!$E$42:$E$59+$AC31*Geometry!$D$42:$D$59)))&lt;=fy)+fy*(Es*(($AA31+$AB31*Geometry!$E$42:$E$59+$AC31*Geometry!$D$42:$D$59))&gt;fy)-fy*(Es*(($AA31+$AB31*Geometry!$E$42:$E$59+$AC31*Geometry!$D$42:$D$59))&lt;-fy)-(alpha*fck*(1-(1-((($AA31+$AB31*Geometry!$E$42:$E$59+$AC31*Geometry!$D$42:$D$59))*(($AA31+$AB31*Geometry!$E$42:$E$59+$AC31*Geometry!$D$42:$D$59)&gt;0)*(($AA31+$AB31*Geometry!$E$42:$E$59+$AC31*Geometry!$D$42:$D$59)&lt;eco)+eco*(($AA31+$AB31*Geometry!$E$42:$E$59+$AC31*Geometry!$D$42:$D$59)&gt;=eco))/eco)^n)*((($AA31+$AB31*Geometry!$E$42:$E$59+$AC31*Geometry!$D$42:$D$59))&gt;0))),Geometry!$F$42:$F$59,Geometry!$E$42:$E$59))/1000000</f>
      </c>
      <c r="CL31" s="32">
        <f>(SUMPRODUCT(alpha*fck*(1-(1-((($AD31+$AE31*Mesh_Y+$AF31*Mesh_X))*(($AD31+$AE31*Mesh_Y+$AF31*Mesh_X)&gt;0)*(($AD31+$AE31*Mesh_Y+$AF31*Mesh_X)&lt;eco)+eco*(($AD31+$AE31*Mesh_Y+$AF31*Mesh_X)&gt;=eco))/eco)^n)*((($AD31+$AE31*Mesh_Y+$AF31*Mesh_X))&gt;0),Mesh_A,Mesh_Y)+SUMPRODUCT((Es*(($AD31+$AE31*Geometry!$E$42:$E$59+$AF31*Geometry!$D$42:$D$59))*(ABS(Es*(($AD31+$AE31*Geometry!$E$42:$E$59+$AF31*Geometry!$D$42:$D$59)))&lt;=fy)+fy*(Es*(($AD31+$AE31*Geometry!$E$42:$E$59+$AF31*Geometry!$D$42:$D$59))&gt;fy)-fy*(Es*(($AD31+$AE31*Geometry!$E$42:$E$59+$AF31*Geometry!$D$42:$D$59))&lt;-fy)-(alpha*fck*(1-(1-((($AD31+$AE31*Geometry!$E$42:$E$59+$AF31*Geometry!$D$42:$D$59))*(($AD31+$AE31*Geometry!$E$42:$E$59+$AF31*Geometry!$D$42:$D$59)&gt;0)*(($AD31+$AE31*Geometry!$E$42:$E$59+$AF31*Geometry!$D$42:$D$59)&lt;eco)+eco*(($AD31+$AE31*Geometry!$E$42:$E$59+$AF31*Geometry!$D$42:$D$59)&gt;=eco))/eco)^n)*((($AD31+$AE31*Geometry!$E$42:$E$59+$AF31*Geometry!$D$42:$D$59))&gt;0))),Geometry!$F$42:$F$59,Geometry!$E$42:$E$59))/1000000</f>
      </c>
      <c r="CM31" s="32">
        <f>(SUMPRODUCT(alpha*fck*(1-(1-((($AG31+$AH31*Mesh_Y+$AI31*Mesh_X))*(($AG31+$AH31*Mesh_Y+$AI31*Mesh_X)&gt;0)*(($AG31+$AH31*Mesh_Y+$AI31*Mesh_X)&lt;eco)+eco*(($AG31+$AH31*Mesh_Y+$AI31*Mesh_X)&gt;=eco))/eco)^n)*((($AG31+$AH31*Mesh_Y+$AI31*Mesh_X))&gt;0),Mesh_A,Mesh_Y)+SUMPRODUCT((Es*(($AG31+$AH31*Geometry!$E$42:$E$59+$AI31*Geometry!$D$42:$D$59))*(ABS(Es*(($AG31+$AH31*Geometry!$E$42:$E$59+$AI31*Geometry!$D$42:$D$59)))&lt;=fy)+fy*(Es*(($AG31+$AH31*Geometry!$E$42:$E$59+$AI31*Geometry!$D$42:$D$59))&gt;fy)-fy*(Es*(($AG31+$AH31*Geometry!$E$42:$E$59+$AI31*Geometry!$D$42:$D$59))&lt;-fy)-(alpha*fck*(1-(1-((($AG31+$AH31*Geometry!$E$42:$E$59+$AI31*Geometry!$D$42:$D$59))*(($AG31+$AH31*Geometry!$E$42:$E$59+$AI31*Geometry!$D$42:$D$59)&gt;0)*(($AG31+$AH31*Geometry!$E$42:$E$59+$AI31*Geometry!$D$42:$D$59)&lt;eco)+eco*(($AG31+$AH31*Geometry!$E$42:$E$59+$AI31*Geometry!$D$42:$D$59)&gt;=eco))/eco)^n)*((($AG31+$AH31*Geometry!$E$42:$E$59+$AI31*Geometry!$D$42:$D$59))&gt;0))),Geometry!$F$42:$F$59,Geometry!$E$42:$E$59))/1000000</f>
      </c>
      <c r="CN31" s="32">
        <f>(SUMPRODUCT(alpha*fck*(1-(1-((($AJ31+$AK31*Mesh_Y+$AL31*Mesh_X))*(($AJ31+$AK31*Mesh_Y+$AL31*Mesh_X)&gt;0)*(($AJ31+$AK31*Mesh_Y+$AL31*Mesh_X)&lt;eco)+eco*(($AJ31+$AK31*Mesh_Y+$AL31*Mesh_X)&gt;=eco))/eco)^n)*((($AJ31+$AK31*Mesh_Y+$AL31*Mesh_X))&gt;0),Mesh_A,Mesh_Y)+SUMPRODUCT((Es*(($AJ31+$AK31*Geometry!$E$42:$E$59+$AL31*Geometry!$D$42:$D$59))*(ABS(Es*(($AJ31+$AK31*Geometry!$E$42:$E$59+$AL31*Geometry!$D$42:$D$59)))&lt;=fy)+fy*(Es*(($AJ31+$AK31*Geometry!$E$42:$E$59+$AL31*Geometry!$D$42:$D$59))&gt;fy)-fy*(Es*(($AJ31+$AK31*Geometry!$E$42:$E$59+$AL31*Geometry!$D$42:$D$59))&lt;-fy)-(alpha*fck*(1-(1-((($AJ31+$AK31*Geometry!$E$42:$E$59+$AL31*Geometry!$D$42:$D$59))*(($AJ31+$AK31*Geometry!$E$42:$E$59+$AL31*Geometry!$D$42:$D$59)&gt;0)*(($AJ31+$AK31*Geometry!$E$42:$E$59+$AL31*Geometry!$D$42:$D$59)&lt;eco)+eco*(($AJ31+$AK31*Geometry!$E$42:$E$59+$AL31*Geometry!$D$42:$D$59)&gt;=eco))/eco)^n)*((($AJ31+$AK31*Geometry!$E$42:$E$59+$AL31*Geometry!$D$42:$D$59))&gt;0))),Geometry!$F$42:$F$59,Geometry!$E$42:$E$59))/1000000</f>
      </c>
      <c r="CO31" s="32">
        <f>(SUMPRODUCT(alpha*fck*(1-(1-((($AM31+$AN31*Mesh_Y+$AO31*Mesh_X))*(($AM31+$AN31*Mesh_Y+$AO31*Mesh_X)&gt;0)*(($AM31+$AN31*Mesh_Y+$AO31*Mesh_X)&lt;eco)+eco*(($AM31+$AN31*Mesh_Y+$AO31*Mesh_X)&gt;=eco))/eco)^n)*((($AM31+$AN31*Mesh_Y+$AO31*Mesh_X))&gt;0),Mesh_A,Mesh_Y)+SUMPRODUCT((Es*(($AM31+$AN31*Geometry!$E$42:$E$59+$AO31*Geometry!$D$42:$D$59))*(ABS(Es*(($AM31+$AN31*Geometry!$E$42:$E$59+$AO31*Geometry!$D$42:$D$59)))&lt;=fy)+fy*(Es*(($AM31+$AN31*Geometry!$E$42:$E$59+$AO31*Geometry!$D$42:$D$59))&gt;fy)-fy*(Es*(($AM31+$AN31*Geometry!$E$42:$E$59+$AO31*Geometry!$D$42:$D$59))&lt;-fy)-(alpha*fck*(1-(1-((($AM31+$AN31*Geometry!$E$42:$E$59+$AO31*Geometry!$D$42:$D$59))*(($AM31+$AN31*Geometry!$E$42:$E$59+$AO31*Geometry!$D$42:$D$59)&gt;0)*(($AM31+$AN31*Geometry!$E$42:$E$59+$AO31*Geometry!$D$42:$D$59)&lt;eco)+eco*(($AM31+$AN31*Geometry!$E$42:$E$59+$AO31*Geometry!$D$42:$D$59)&gt;=eco))/eco)^n)*((($AM31+$AN31*Geometry!$E$42:$E$59+$AO31*Geometry!$D$42:$D$59))&gt;0))),Geometry!$F$42:$F$59,Geometry!$E$42:$E$59))/1000000</f>
      </c>
      <c r="CP31" s="32">
        <f>(SUMPRODUCT(alpha*fck*(1-(1-((($AP31+$AQ31*Mesh_Y+$AR31*Mesh_X))*(($AP31+$AQ31*Mesh_Y+$AR31*Mesh_X)&gt;0)*(($AP31+$AQ31*Mesh_Y+$AR31*Mesh_X)&lt;eco)+eco*(($AP31+$AQ31*Mesh_Y+$AR31*Mesh_X)&gt;=eco))/eco)^n)*((($AP31+$AQ31*Mesh_Y+$AR31*Mesh_X))&gt;0),Mesh_A,Mesh_Y)+SUMPRODUCT((Es*(($AP31+$AQ31*Geometry!$E$42:$E$59+$AR31*Geometry!$D$42:$D$59))*(ABS(Es*(($AP31+$AQ31*Geometry!$E$42:$E$59+$AR31*Geometry!$D$42:$D$59)))&lt;=fy)+fy*(Es*(($AP31+$AQ31*Geometry!$E$42:$E$59+$AR31*Geometry!$D$42:$D$59))&gt;fy)-fy*(Es*(($AP31+$AQ31*Geometry!$E$42:$E$59+$AR31*Geometry!$D$42:$D$59))&lt;-fy)-(alpha*fck*(1-(1-((($AP31+$AQ31*Geometry!$E$42:$E$59+$AR31*Geometry!$D$42:$D$59))*(($AP31+$AQ31*Geometry!$E$42:$E$59+$AR31*Geometry!$D$42:$D$59)&gt;0)*(($AP31+$AQ31*Geometry!$E$42:$E$59+$AR31*Geometry!$D$42:$D$59)&lt;eco)+eco*(($AP31+$AQ31*Geometry!$E$42:$E$59+$AR31*Geometry!$D$42:$D$59)&gt;=eco))/eco)^n)*((($AP31+$AQ31*Geometry!$E$42:$E$59+$AR31*Geometry!$D$42:$D$59))&gt;0))),Geometry!$F$42:$F$59,Geometry!$E$42:$E$59))/1000000</f>
      </c>
      <c r="CQ31" s="32">
        <f>(SUMPRODUCT(alpha*fck*(1-(1-((($AS31+$AT31*Mesh_Y+$AU31*Mesh_X))*(($AS31+$AT31*Mesh_Y+$AU31*Mesh_X)&gt;0)*(($AS31+$AT31*Mesh_Y+$AU31*Mesh_X)&lt;eco)+eco*(($AS31+$AT31*Mesh_Y+$AU31*Mesh_X)&gt;=eco))/eco)^n)*((($AS31+$AT31*Mesh_Y+$AU31*Mesh_X))&gt;0),Mesh_A,Mesh_Y)+SUMPRODUCT((Es*(($AS31+$AT31*Geometry!$E$42:$E$59+$AU31*Geometry!$D$42:$D$59))*(ABS(Es*(($AS31+$AT31*Geometry!$E$42:$E$59+$AU31*Geometry!$D$42:$D$59)))&lt;=fy)+fy*(Es*(($AS31+$AT31*Geometry!$E$42:$E$59+$AU31*Geometry!$D$42:$D$59))&gt;fy)-fy*(Es*(($AS31+$AT31*Geometry!$E$42:$E$59+$AU31*Geometry!$D$42:$D$59))&lt;-fy)-(alpha*fck*(1-(1-((($AS31+$AT31*Geometry!$E$42:$E$59+$AU31*Geometry!$D$42:$D$59))*(($AS31+$AT31*Geometry!$E$42:$E$59+$AU31*Geometry!$D$42:$D$59)&gt;0)*(($AS31+$AT31*Geometry!$E$42:$E$59+$AU31*Geometry!$D$42:$D$59)&lt;eco)+eco*(($AS31+$AT31*Geometry!$E$42:$E$59+$AU31*Geometry!$D$42:$D$59)&gt;=eco))/eco)^n)*((($AS31+$AT31*Geometry!$E$42:$E$59+$AU31*Geometry!$D$42:$D$59))&gt;0))),Geometry!$F$42:$F$59,Geometry!$E$42:$E$59))/1000000</f>
      </c>
      <c r="CR31" s="32">
        <f>(SUMPRODUCT(alpha*fck*(1-(1-((($AV31+$AW31*Mesh_Y+$AX31*Mesh_X))*(($AV31+$AW31*Mesh_Y+$AX31*Mesh_X)&gt;0)*(($AV31+$AW31*Mesh_Y+$AX31*Mesh_X)&lt;eco)+eco*(($AV31+$AW31*Mesh_Y+$AX31*Mesh_X)&gt;=eco))/eco)^n)*((($AV31+$AW31*Mesh_Y+$AX31*Mesh_X))&gt;0),Mesh_A,Mesh_Y)+SUMPRODUCT((Es*(($AV31+$AW31*Geometry!$E$42:$E$59+$AX31*Geometry!$D$42:$D$59))*(ABS(Es*(($AV31+$AW31*Geometry!$E$42:$E$59+$AX31*Geometry!$D$42:$D$59)))&lt;=fy)+fy*(Es*(($AV31+$AW31*Geometry!$E$42:$E$59+$AX31*Geometry!$D$42:$D$59))&gt;fy)-fy*(Es*(($AV31+$AW31*Geometry!$E$42:$E$59+$AX31*Geometry!$D$42:$D$59))&lt;-fy)-(alpha*fck*(1-(1-((($AV31+$AW31*Geometry!$E$42:$E$59+$AX31*Geometry!$D$42:$D$59))*(($AV31+$AW31*Geometry!$E$42:$E$59+$AX31*Geometry!$D$42:$D$59)&gt;0)*(($AV31+$AW31*Geometry!$E$42:$E$59+$AX31*Geometry!$D$42:$D$59)&lt;eco)+eco*(($AV31+$AW31*Geometry!$E$42:$E$59+$AX31*Geometry!$D$42:$D$59)&gt;=eco))/eco)^n)*((($AV31+$AW31*Geometry!$E$42:$E$59+$AX31*Geometry!$D$42:$D$59))&gt;0))),Geometry!$F$42:$F$59,Geometry!$E$42:$E$59))/1000000</f>
      </c>
      <c r="CS31" s="32">
        <f>(SUMPRODUCT(alpha*fck*(1-(1-((($AY31+$AZ31*Mesh_Y+$BA31*Mesh_X))*(($AY31+$AZ31*Mesh_Y+$BA31*Mesh_X)&gt;0)*(($AY31+$AZ31*Mesh_Y+$BA31*Mesh_X)&lt;eco)+eco*(($AY31+$AZ31*Mesh_Y+$BA31*Mesh_X)&gt;=eco))/eco)^n)*((($AY31+$AZ31*Mesh_Y+$BA31*Mesh_X))&gt;0),Mesh_A,Mesh_Y)+SUMPRODUCT((Es*(($AY31+$AZ31*Geometry!$E$42:$E$59+$BA31*Geometry!$D$42:$D$59))*(ABS(Es*(($AY31+$AZ31*Geometry!$E$42:$E$59+$BA31*Geometry!$D$42:$D$59)))&lt;=fy)+fy*(Es*(($AY31+$AZ31*Geometry!$E$42:$E$59+$BA31*Geometry!$D$42:$D$59))&gt;fy)-fy*(Es*(($AY31+$AZ31*Geometry!$E$42:$E$59+$BA31*Geometry!$D$42:$D$59))&lt;-fy)-(alpha*fck*(1-(1-((($AY31+$AZ31*Geometry!$E$42:$E$59+$BA31*Geometry!$D$42:$D$59))*(($AY31+$AZ31*Geometry!$E$42:$E$59+$BA31*Geometry!$D$42:$D$59)&gt;0)*(($AY31+$AZ31*Geometry!$E$42:$E$59+$BA31*Geometry!$D$42:$D$59)&lt;eco)+eco*(($AY31+$AZ31*Geometry!$E$42:$E$59+$BA31*Geometry!$D$42:$D$59)&gt;=eco))/eco)^n)*((($AY31+$AZ31*Geometry!$E$42:$E$59+$BA31*Geometry!$D$42:$D$59))&gt;0))),Geometry!$F$42:$F$59,Geometry!$E$42:$E$59))/1000000</f>
      </c>
      <c r="CT31" s="32">
        <f>(SUMPRODUCT(alpha*fck*(1-(1-((($BB31+$BC31*Mesh_Y+$BD31*Mesh_X))*(($BB31+$BC31*Mesh_Y+$BD31*Mesh_X)&gt;0)*(($BB31+$BC31*Mesh_Y+$BD31*Mesh_X)&lt;eco)+eco*(($BB31+$BC31*Mesh_Y+$BD31*Mesh_X)&gt;=eco))/eco)^n)*((($BB31+$BC31*Mesh_Y+$BD31*Mesh_X))&gt;0),Mesh_A,Mesh_Y)+SUMPRODUCT((Es*(($BB31+$BC31*Geometry!$E$42:$E$59+$BD31*Geometry!$D$42:$D$59))*(ABS(Es*(($BB31+$BC31*Geometry!$E$42:$E$59+$BD31*Geometry!$D$42:$D$59)))&lt;=fy)+fy*(Es*(($BB31+$BC31*Geometry!$E$42:$E$59+$BD31*Geometry!$D$42:$D$59))&gt;fy)-fy*(Es*(($BB31+$BC31*Geometry!$E$42:$E$59+$BD31*Geometry!$D$42:$D$59))&lt;-fy)-(alpha*fck*(1-(1-((($BB31+$BC31*Geometry!$E$42:$E$59+$BD31*Geometry!$D$42:$D$59))*(($BB31+$BC31*Geometry!$E$42:$E$59+$BD31*Geometry!$D$42:$D$59)&gt;0)*(($BB31+$BC31*Geometry!$E$42:$E$59+$BD31*Geometry!$D$42:$D$59)&lt;eco)+eco*(($BB31+$BC31*Geometry!$E$42:$E$59+$BD31*Geometry!$D$42:$D$59)&gt;=eco))/eco)^n)*((($BB31+$BC31*Geometry!$E$42:$E$59+$BD31*Geometry!$D$42:$D$59))&gt;0))),Geometry!$F$42:$F$59,Geometry!$E$42:$E$59))/1000000</f>
      </c>
      <c r="CU31" s="32">
        <f>(SUMPRODUCT(alpha*fck*(1-(1-((($BE31+$BF31*Mesh_Y+$BG31*Mesh_X))*(($BE31+$BF31*Mesh_Y+$BG31*Mesh_X)&gt;0)*(($BE31+$BF31*Mesh_Y+$BG31*Mesh_X)&lt;eco)+eco*(($BE31+$BF31*Mesh_Y+$BG31*Mesh_X)&gt;=eco))/eco)^n)*((($BE31+$BF31*Mesh_Y+$BG31*Mesh_X))&gt;0),Mesh_A,Mesh_Y)+SUMPRODUCT((Es*(($BE31+$BF31*Geometry!$E$42:$E$59+$BG31*Geometry!$D$42:$D$59))*(ABS(Es*(($BE31+$BF31*Geometry!$E$42:$E$59+$BG31*Geometry!$D$42:$D$59)))&lt;=fy)+fy*(Es*(($BE31+$BF31*Geometry!$E$42:$E$59+$BG31*Geometry!$D$42:$D$59))&gt;fy)-fy*(Es*(($BE31+$BF31*Geometry!$E$42:$E$59+$BG31*Geometry!$D$42:$D$59))&lt;-fy)-(alpha*fck*(1-(1-((($BE31+$BF31*Geometry!$E$42:$E$59+$BG31*Geometry!$D$42:$D$59))*(($BE31+$BF31*Geometry!$E$42:$E$59+$BG31*Geometry!$D$42:$D$59)&gt;0)*(($BE31+$BF31*Geometry!$E$42:$E$59+$BG31*Geometry!$D$42:$D$59)&lt;eco)+eco*(($BE31+$BF31*Geometry!$E$42:$E$59+$BG31*Geometry!$D$42:$D$59)&gt;=eco))/eco)^n)*((($BE31+$BF31*Geometry!$E$42:$E$59+$BG31*Geometry!$D$42:$D$59))&gt;0))),Geometry!$F$42:$F$59,Geometry!$E$42:$E$59))/1000000</f>
      </c>
      <c r="CV31" s="32">
        <f>(SUMPRODUCT(alpha*fck*(1-(1-((($BH31+$BI31*Mesh_Y+$BJ31*Mesh_X))*(($BH31+$BI31*Mesh_Y+$BJ31*Mesh_X)&gt;0)*(($BH31+$BI31*Mesh_Y+$BJ31*Mesh_X)&lt;eco)+eco*(($BH31+$BI31*Mesh_Y+$BJ31*Mesh_X)&gt;=eco))/eco)^n)*((($BH31+$BI31*Mesh_Y+$BJ31*Mesh_X))&gt;0),Mesh_A,Mesh_Y)+SUMPRODUCT((Es*(($BH31+$BI31*Geometry!$E$42:$E$59+$BJ31*Geometry!$D$42:$D$59))*(ABS(Es*(($BH31+$BI31*Geometry!$E$42:$E$59+$BJ31*Geometry!$D$42:$D$59)))&lt;=fy)+fy*(Es*(($BH31+$BI31*Geometry!$E$42:$E$59+$BJ31*Geometry!$D$42:$D$59))&gt;fy)-fy*(Es*(($BH31+$BI31*Geometry!$E$42:$E$59+$BJ31*Geometry!$D$42:$D$59))&lt;-fy)-(alpha*fck*(1-(1-((($BH31+$BI31*Geometry!$E$42:$E$59+$BJ31*Geometry!$D$42:$D$59))*(($BH31+$BI31*Geometry!$E$42:$E$59+$BJ31*Geometry!$D$42:$D$59)&gt;0)*(($BH31+$BI31*Geometry!$E$42:$E$59+$BJ31*Geometry!$D$42:$D$59)&lt;eco)+eco*(($BH31+$BI31*Geometry!$E$42:$E$59+$BJ31*Geometry!$D$42:$D$59)&gt;=eco))/eco)^n)*((($BH31+$BI31*Geometry!$E$42:$E$59+$BJ31*Geometry!$D$42:$D$59))&gt;0))),Geometry!$F$42:$F$59,Geometry!$E$42:$E$59))/1000000</f>
      </c>
      <c r="CW31" s="32">
        <f>(SUMPRODUCT(alpha*fck*(1-(1-((($F31+$G31*Mesh_Y+$H31*Mesh_X))*(($F31+$G31*Mesh_Y+$H31*Mesh_X)&gt;0)*(($F31+$G31*Mesh_Y+$H31*Mesh_X)&lt;eco)+eco*(($F31+$G31*Mesh_Y+$H31*Mesh_X)&gt;=eco))/eco)^n)*((($F31+$G31*Mesh_Y+$H31*Mesh_X))&gt;0),Mesh_A,Mesh_X)+SUMPRODUCT((Es*(($F31+$G31*Geometry!$E$42:$E$59+$H31*Geometry!$D$42:$D$59))*(ABS(Es*(($F31+$G31*Geometry!$E$42:$E$59+$H31*Geometry!$D$42:$D$59)))&lt;=fy)+fy*(Es*(($F31+$G31*Geometry!$E$42:$E$59+$H31*Geometry!$D$42:$D$59))&gt;fy)-fy*(Es*(($F31+$G31*Geometry!$E$42:$E$59+$H31*Geometry!$D$42:$D$59))&lt;-fy)-(alpha*fck*(1-(1-((($F31+$G31*Geometry!$E$42:$E$59+$H31*Geometry!$D$42:$D$59))*(($F31+$G31*Geometry!$E$42:$E$59+$H31*Geometry!$D$42:$D$59)&gt;0)*(($F31+$G31*Geometry!$E$42:$E$59+$H31*Geometry!$D$42:$D$59)&lt;eco)+eco*(($F31+$G31*Geometry!$E$42:$E$59+$H31*Geometry!$D$42:$D$59)&gt;=eco))/eco)^n)*((($F31+$G31*Geometry!$E$42:$E$59+$H31*Geometry!$D$42:$D$59))&gt;0))),Geometry!$F$42:$F$59,Geometry!$D$42:$D$59))/1000000</f>
      </c>
      <c r="CX31" s="32">
        <f>(SUMPRODUCT(alpha*fck*(1-(1-((($I31+$J31*Mesh_Y+$K31*Mesh_X))*(($I31+$J31*Mesh_Y+$K31*Mesh_X)&gt;0)*(($I31+$J31*Mesh_Y+$K31*Mesh_X)&lt;eco)+eco*(($I31+$J31*Mesh_Y+$K31*Mesh_X)&gt;=eco))/eco)^n)*((($I31+$J31*Mesh_Y+$K31*Mesh_X))&gt;0),Mesh_A,Mesh_X)+SUMPRODUCT((Es*(($I31+$J31*Geometry!$E$42:$E$59+$K31*Geometry!$D$42:$D$59))*(ABS(Es*(($I31+$J31*Geometry!$E$42:$E$59+$K31*Geometry!$D$42:$D$59)))&lt;=fy)+fy*(Es*(($I31+$J31*Geometry!$E$42:$E$59+$K31*Geometry!$D$42:$D$59))&gt;fy)-fy*(Es*(($I31+$J31*Geometry!$E$42:$E$59+$K31*Geometry!$D$42:$D$59))&lt;-fy)-(alpha*fck*(1-(1-((($I31+$J31*Geometry!$E$42:$E$59+$K31*Geometry!$D$42:$D$59))*(($I31+$J31*Geometry!$E$42:$E$59+$K31*Geometry!$D$42:$D$59)&gt;0)*(($I31+$J31*Geometry!$E$42:$E$59+$K31*Geometry!$D$42:$D$59)&lt;eco)+eco*(($I31+$J31*Geometry!$E$42:$E$59+$K31*Geometry!$D$42:$D$59)&gt;=eco))/eco)^n)*((($I31+$J31*Geometry!$E$42:$E$59+$K31*Geometry!$D$42:$D$59))&gt;0))),Geometry!$F$42:$F$59,Geometry!$D$42:$D$59))/1000000</f>
      </c>
      <c r="CY31" s="32">
        <f>(SUMPRODUCT(alpha*fck*(1-(1-((($L31+$M31*Mesh_Y+$N31*Mesh_X))*(($L31+$M31*Mesh_Y+$N31*Mesh_X)&gt;0)*(($L31+$M31*Mesh_Y+$N31*Mesh_X)&lt;eco)+eco*(($L31+$M31*Mesh_Y+$N31*Mesh_X)&gt;=eco))/eco)^n)*((($L31+$M31*Mesh_Y+$N31*Mesh_X))&gt;0),Mesh_A,Mesh_X)+SUMPRODUCT((Es*(($L31+$M31*Geometry!$E$42:$E$59+$N31*Geometry!$D$42:$D$59))*(ABS(Es*(($L31+$M31*Geometry!$E$42:$E$59+$N31*Geometry!$D$42:$D$59)))&lt;=fy)+fy*(Es*(($L31+$M31*Geometry!$E$42:$E$59+$N31*Geometry!$D$42:$D$59))&gt;fy)-fy*(Es*(($L31+$M31*Geometry!$E$42:$E$59+$N31*Geometry!$D$42:$D$59))&lt;-fy)-(alpha*fck*(1-(1-((($L31+$M31*Geometry!$E$42:$E$59+$N31*Geometry!$D$42:$D$59))*(($L31+$M31*Geometry!$E$42:$E$59+$N31*Geometry!$D$42:$D$59)&gt;0)*(($L31+$M31*Geometry!$E$42:$E$59+$N31*Geometry!$D$42:$D$59)&lt;eco)+eco*(($L31+$M31*Geometry!$E$42:$E$59+$N31*Geometry!$D$42:$D$59)&gt;=eco))/eco)^n)*((($L31+$M31*Geometry!$E$42:$E$59+$N31*Geometry!$D$42:$D$59))&gt;0))),Geometry!$F$42:$F$59,Geometry!$D$42:$D$59))/1000000</f>
      </c>
      <c r="CZ31" s="32">
        <f>(SUMPRODUCT(alpha*fck*(1-(1-((($O31+$P31*Mesh_Y+$Q31*Mesh_X))*(($O31+$P31*Mesh_Y+$Q31*Mesh_X)&gt;0)*(($O31+$P31*Mesh_Y+$Q31*Mesh_X)&lt;eco)+eco*(($O31+$P31*Mesh_Y+$Q31*Mesh_X)&gt;=eco))/eco)^n)*((($O31+$P31*Mesh_Y+$Q31*Mesh_X))&gt;0),Mesh_A,Mesh_X)+SUMPRODUCT((Es*(($O31+$P31*Geometry!$E$42:$E$59+$Q31*Geometry!$D$42:$D$59))*(ABS(Es*(($O31+$P31*Geometry!$E$42:$E$59+$Q31*Geometry!$D$42:$D$59)))&lt;=fy)+fy*(Es*(($O31+$P31*Geometry!$E$42:$E$59+$Q31*Geometry!$D$42:$D$59))&gt;fy)-fy*(Es*(($O31+$P31*Geometry!$E$42:$E$59+$Q31*Geometry!$D$42:$D$59))&lt;-fy)-(alpha*fck*(1-(1-((($O31+$P31*Geometry!$E$42:$E$59+$Q31*Geometry!$D$42:$D$59))*(($O31+$P31*Geometry!$E$42:$E$59+$Q31*Geometry!$D$42:$D$59)&gt;0)*(($O31+$P31*Geometry!$E$42:$E$59+$Q31*Geometry!$D$42:$D$59)&lt;eco)+eco*(($O31+$P31*Geometry!$E$42:$E$59+$Q31*Geometry!$D$42:$D$59)&gt;=eco))/eco)^n)*((($O31+$P31*Geometry!$E$42:$E$59+$Q31*Geometry!$D$42:$D$59))&gt;0))),Geometry!$F$42:$F$59,Geometry!$D$42:$D$59))/1000000</f>
      </c>
      <c r="DA31" s="32">
        <f>(SUMPRODUCT(alpha*fck*(1-(1-((($R31+$S31*Mesh_Y+$T31*Mesh_X))*(($R31+$S31*Mesh_Y+$T31*Mesh_X)&gt;0)*(($R31+$S31*Mesh_Y+$T31*Mesh_X)&lt;eco)+eco*(($R31+$S31*Mesh_Y+$T31*Mesh_X)&gt;=eco))/eco)^n)*((($R31+$S31*Mesh_Y+$T31*Mesh_X))&gt;0),Mesh_A,Mesh_X)+SUMPRODUCT((Es*(($R31+$S31*Geometry!$E$42:$E$59+$T31*Geometry!$D$42:$D$59))*(ABS(Es*(($R31+$S31*Geometry!$E$42:$E$59+$T31*Geometry!$D$42:$D$59)))&lt;=fy)+fy*(Es*(($R31+$S31*Geometry!$E$42:$E$59+$T31*Geometry!$D$42:$D$59))&gt;fy)-fy*(Es*(($R31+$S31*Geometry!$E$42:$E$59+$T31*Geometry!$D$42:$D$59))&lt;-fy)-(alpha*fck*(1-(1-((($R31+$S31*Geometry!$E$42:$E$59+$T31*Geometry!$D$42:$D$59))*(($R31+$S31*Geometry!$E$42:$E$59+$T31*Geometry!$D$42:$D$59)&gt;0)*(($R31+$S31*Geometry!$E$42:$E$59+$T31*Geometry!$D$42:$D$59)&lt;eco)+eco*(($R31+$S31*Geometry!$E$42:$E$59+$T31*Geometry!$D$42:$D$59)&gt;=eco))/eco)^n)*((($R31+$S31*Geometry!$E$42:$E$59+$T31*Geometry!$D$42:$D$59))&gt;0))),Geometry!$F$42:$F$59,Geometry!$D$42:$D$59))/1000000</f>
      </c>
      <c r="DB31" s="32">
        <f>(SUMPRODUCT(alpha*fck*(1-(1-((($U31+$V31*Mesh_Y+$W31*Mesh_X))*(($U31+$V31*Mesh_Y+$W31*Mesh_X)&gt;0)*(($U31+$V31*Mesh_Y+$W31*Mesh_X)&lt;eco)+eco*(($U31+$V31*Mesh_Y+$W31*Mesh_X)&gt;=eco))/eco)^n)*((($U31+$V31*Mesh_Y+$W31*Mesh_X))&gt;0),Mesh_A,Mesh_X)+SUMPRODUCT((Es*(($U31+$V31*Geometry!$E$42:$E$59+$W31*Geometry!$D$42:$D$59))*(ABS(Es*(($U31+$V31*Geometry!$E$42:$E$59+$W31*Geometry!$D$42:$D$59)))&lt;=fy)+fy*(Es*(($U31+$V31*Geometry!$E$42:$E$59+$W31*Geometry!$D$42:$D$59))&gt;fy)-fy*(Es*(($U31+$V31*Geometry!$E$42:$E$59+$W31*Geometry!$D$42:$D$59))&lt;-fy)-(alpha*fck*(1-(1-((($U31+$V31*Geometry!$E$42:$E$59+$W31*Geometry!$D$42:$D$59))*(($U31+$V31*Geometry!$E$42:$E$59+$W31*Geometry!$D$42:$D$59)&gt;0)*(($U31+$V31*Geometry!$E$42:$E$59+$W31*Geometry!$D$42:$D$59)&lt;eco)+eco*(($U31+$V31*Geometry!$E$42:$E$59+$W31*Geometry!$D$42:$D$59)&gt;=eco))/eco)^n)*((($U31+$V31*Geometry!$E$42:$E$59+$W31*Geometry!$D$42:$D$59))&gt;0))),Geometry!$F$42:$F$59,Geometry!$D$42:$D$59))/1000000</f>
      </c>
      <c r="DC31" s="32">
        <f>(SUMPRODUCT(alpha*fck*(1-(1-((($X31+$Y31*Mesh_Y+$Z31*Mesh_X))*(($X31+$Y31*Mesh_Y+$Z31*Mesh_X)&gt;0)*(($X31+$Y31*Mesh_Y+$Z31*Mesh_X)&lt;eco)+eco*(($X31+$Y31*Mesh_Y+$Z31*Mesh_X)&gt;=eco))/eco)^n)*((($X31+$Y31*Mesh_Y+$Z31*Mesh_X))&gt;0),Mesh_A,Mesh_X)+SUMPRODUCT((Es*(($X31+$Y31*Geometry!$E$42:$E$59+$Z31*Geometry!$D$42:$D$59))*(ABS(Es*(($X31+$Y31*Geometry!$E$42:$E$59+$Z31*Geometry!$D$42:$D$59)))&lt;=fy)+fy*(Es*(($X31+$Y31*Geometry!$E$42:$E$59+$Z31*Geometry!$D$42:$D$59))&gt;fy)-fy*(Es*(($X31+$Y31*Geometry!$E$42:$E$59+$Z31*Geometry!$D$42:$D$59))&lt;-fy)-(alpha*fck*(1-(1-((($X31+$Y31*Geometry!$E$42:$E$59+$Z31*Geometry!$D$42:$D$59))*(($X31+$Y31*Geometry!$E$42:$E$59+$Z31*Geometry!$D$42:$D$59)&gt;0)*(($X31+$Y31*Geometry!$E$42:$E$59+$Z31*Geometry!$D$42:$D$59)&lt;eco)+eco*(($X31+$Y31*Geometry!$E$42:$E$59+$Z31*Geometry!$D$42:$D$59)&gt;=eco))/eco)^n)*((($X31+$Y31*Geometry!$E$42:$E$59+$Z31*Geometry!$D$42:$D$59))&gt;0))),Geometry!$F$42:$F$59,Geometry!$D$42:$D$59))/1000000</f>
      </c>
      <c r="DD31" s="32">
        <f>(SUMPRODUCT(alpha*fck*(1-(1-((($AA31+$AB31*Mesh_Y+$AC31*Mesh_X))*(($AA31+$AB31*Mesh_Y+$AC31*Mesh_X)&gt;0)*(($AA31+$AB31*Mesh_Y+$AC31*Mesh_X)&lt;eco)+eco*(($AA31+$AB31*Mesh_Y+$AC31*Mesh_X)&gt;=eco))/eco)^n)*((($AA31+$AB31*Mesh_Y+$AC31*Mesh_X))&gt;0),Mesh_A,Mesh_X)+SUMPRODUCT((Es*(($AA31+$AB31*Geometry!$E$42:$E$59+$AC31*Geometry!$D$42:$D$59))*(ABS(Es*(($AA31+$AB31*Geometry!$E$42:$E$59+$AC31*Geometry!$D$42:$D$59)))&lt;=fy)+fy*(Es*(($AA31+$AB31*Geometry!$E$42:$E$59+$AC31*Geometry!$D$42:$D$59))&gt;fy)-fy*(Es*(($AA31+$AB31*Geometry!$E$42:$E$59+$AC31*Geometry!$D$42:$D$59))&lt;-fy)-(alpha*fck*(1-(1-((($AA31+$AB31*Geometry!$E$42:$E$59+$AC31*Geometry!$D$42:$D$59))*(($AA31+$AB31*Geometry!$E$42:$E$59+$AC31*Geometry!$D$42:$D$59)&gt;0)*(($AA31+$AB31*Geometry!$E$42:$E$59+$AC31*Geometry!$D$42:$D$59)&lt;eco)+eco*(($AA31+$AB31*Geometry!$E$42:$E$59+$AC31*Geometry!$D$42:$D$59)&gt;=eco))/eco)^n)*((($AA31+$AB31*Geometry!$E$42:$E$59+$AC31*Geometry!$D$42:$D$59))&gt;0))),Geometry!$F$42:$F$59,Geometry!$D$42:$D$59))/1000000</f>
      </c>
      <c r="DE31" s="32">
        <f>(SUMPRODUCT(alpha*fck*(1-(1-((($AD31+$AE31*Mesh_Y+$AF31*Mesh_X))*(($AD31+$AE31*Mesh_Y+$AF31*Mesh_X)&gt;0)*(($AD31+$AE31*Mesh_Y+$AF31*Mesh_X)&lt;eco)+eco*(($AD31+$AE31*Mesh_Y+$AF31*Mesh_X)&gt;=eco))/eco)^n)*((($AD31+$AE31*Mesh_Y+$AF31*Mesh_X))&gt;0),Mesh_A,Mesh_X)+SUMPRODUCT((Es*(($AD31+$AE31*Geometry!$E$42:$E$59+$AF31*Geometry!$D$42:$D$59))*(ABS(Es*(($AD31+$AE31*Geometry!$E$42:$E$59+$AF31*Geometry!$D$42:$D$59)))&lt;=fy)+fy*(Es*(($AD31+$AE31*Geometry!$E$42:$E$59+$AF31*Geometry!$D$42:$D$59))&gt;fy)-fy*(Es*(($AD31+$AE31*Geometry!$E$42:$E$59+$AF31*Geometry!$D$42:$D$59))&lt;-fy)-(alpha*fck*(1-(1-((($AD31+$AE31*Geometry!$E$42:$E$59+$AF31*Geometry!$D$42:$D$59))*(($AD31+$AE31*Geometry!$E$42:$E$59+$AF31*Geometry!$D$42:$D$59)&gt;0)*(($AD31+$AE31*Geometry!$E$42:$E$59+$AF31*Geometry!$D$42:$D$59)&lt;eco)+eco*(($AD31+$AE31*Geometry!$E$42:$E$59+$AF31*Geometry!$D$42:$D$59)&gt;=eco))/eco)^n)*((($AD31+$AE31*Geometry!$E$42:$E$59+$AF31*Geometry!$D$42:$D$59))&gt;0))),Geometry!$F$42:$F$59,Geometry!$D$42:$D$59))/1000000</f>
      </c>
      <c r="DF31" s="32">
        <f>(SUMPRODUCT(alpha*fck*(1-(1-((($AG31+$AH31*Mesh_Y+$AI31*Mesh_X))*(($AG31+$AH31*Mesh_Y+$AI31*Mesh_X)&gt;0)*(($AG31+$AH31*Mesh_Y+$AI31*Mesh_X)&lt;eco)+eco*(($AG31+$AH31*Mesh_Y+$AI31*Mesh_X)&gt;=eco))/eco)^n)*((($AG31+$AH31*Mesh_Y+$AI31*Mesh_X))&gt;0),Mesh_A,Mesh_X)+SUMPRODUCT((Es*(($AG31+$AH31*Geometry!$E$42:$E$59+$AI31*Geometry!$D$42:$D$59))*(ABS(Es*(($AG31+$AH31*Geometry!$E$42:$E$59+$AI31*Geometry!$D$42:$D$59)))&lt;=fy)+fy*(Es*(($AG31+$AH31*Geometry!$E$42:$E$59+$AI31*Geometry!$D$42:$D$59))&gt;fy)-fy*(Es*(($AG31+$AH31*Geometry!$E$42:$E$59+$AI31*Geometry!$D$42:$D$59))&lt;-fy)-(alpha*fck*(1-(1-((($AG31+$AH31*Geometry!$E$42:$E$59+$AI31*Geometry!$D$42:$D$59))*(($AG31+$AH31*Geometry!$E$42:$E$59+$AI31*Geometry!$D$42:$D$59)&gt;0)*(($AG31+$AH31*Geometry!$E$42:$E$59+$AI31*Geometry!$D$42:$D$59)&lt;eco)+eco*(($AG31+$AH31*Geometry!$E$42:$E$59+$AI31*Geometry!$D$42:$D$59)&gt;=eco))/eco)^n)*((($AG31+$AH31*Geometry!$E$42:$E$59+$AI31*Geometry!$D$42:$D$59))&gt;0))),Geometry!$F$42:$F$59,Geometry!$D$42:$D$59))/1000000</f>
      </c>
      <c r="DG31" s="32">
        <f>(SUMPRODUCT(alpha*fck*(1-(1-((($AJ31+$AK31*Mesh_Y+$AL31*Mesh_X))*(($AJ31+$AK31*Mesh_Y+$AL31*Mesh_X)&gt;0)*(($AJ31+$AK31*Mesh_Y+$AL31*Mesh_X)&lt;eco)+eco*(($AJ31+$AK31*Mesh_Y+$AL31*Mesh_X)&gt;=eco))/eco)^n)*((($AJ31+$AK31*Mesh_Y+$AL31*Mesh_X))&gt;0),Mesh_A,Mesh_X)+SUMPRODUCT((Es*(($AJ31+$AK31*Geometry!$E$42:$E$59+$AL31*Geometry!$D$42:$D$59))*(ABS(Es*(($AJ31+$AK31*Geometry!$E$42:$E$59+$AL31*Geometry!$D$42:$D$59)))&lt;=fy)+fy*(Es*(($AJ31+$AK31*Geometry!$E$42:$E$59+$AL31*Geometry!$D$42:$D$59))&gt;fy)-fy*(Es*(($AJ31+$AK31*Geometry!$E$42:$E$59+$AL31*Geometry!$D$42:$D$59))&lt;-fy)-(alpha*fck*(1-(1-((($AJ31+$AK31*Geometry!$E$42:$E$59+$AL31*Geometry!$D$42:$D$59))*(($AJ31+$AK31*Geometry!$E$42:$E$59+$AL31*Geometry!$D$42:$D$59)&gt;0)*(($AJ31+$AK31*Geometry!$E$42:$E$59+$AL31*Geometry!$D$42:$D$59)&lt;eco)+eco*(($AJ31+$AK31*Geometry!$E$42:$E$59+$AL31*Geometry!$D$42:$D$59)&gt;=eco))/eco)^n)*((($AJ31+$AK31*Geometry!$E$42:$E$59+$AL31*Geometry!$D$42:$D$59))&gt;0))),Geometry!$F$42:$F$59,Geometry!$D$42:$D$59))/1000000</f>
      </c>
      <c r="DH31" s="32">
        <f>(SUMPRODUCT(alpha*fck*(1-(1-((($AM31+$AN31*Mesh_Y+$AO31*Mesh_X))*(($AM31+$AN31*Mesh_Y+$AO31*Mesh_X)&gt;0)*(($AM31+$AN31*Mesh_Y+$AO31*Mesh_X)&lt;eco)+eco*(($AM31+$AN31*Mesh_Y+$AO31*Mesh_X)&gt;=eco))/eco)^n)*((($AM31+$AN31*Mesh_Y+$AO31*Mesh_X))&gt;0),Mesh_A,Mesh_X)+SUMPRODUCT((Es*(($AM31+$AN31*Geometry!$E$42:$E$59+$AO31*Geometry!$D$42:$D$59))*(ABS(Es*(($AM31+$AN31*Geometry!$E$42:$E$59+$AO31*Geometry!$D$42:$D$59)))&lt;=fy)+fy*(Es*(($AM31+$AN31*Geometry!$E$42:$E$59+$AO31*Geometry!$D$42:$D$59))&gt;fy)-fy*(Es*(($AM31+$AN31*Geometry!$E$42:$E$59+$AO31*Geometry!$D$42:$D$59))&lt;-fy)-(alpha*fck*(1-(1-((($AM31+$AN31*Geometry!$E$42:$E$59+$AO31*Geometry!$D$42:$D$59))*(($AM31+$AN31*Geometry!$E$42:$E$59+$AO31*Geometry!$D$42:$D$59)&gt;0)*(($AM31+$AN31*Geometry!$E$42:$E$59+$AO31*Geometry!$D$42:$D$59)&lt;eco)+eco*(($AM31+$AN31*Geometry!$E$42:$E$59+$AO31*Geometry!$D$42:$D$59)&gt;=eco))/eco)^n)*((($AM31+$AN31*Geometry!$E$42:$E$59+$AO31*Geometry!$D$42:$D$59))&gt;0))),Geometry!$F$42:$F$59,Geometry!$D$42:$D$59))/1000000</f>
      </c>
      <c r="DI31" s="32">
        <f>(SUMPRODUCT(alpha*fck*(1-(1-((($AP31+$AQ31*Mesh_Y+$AR31*Mesh_X))*(($AP31+$AQ31*Mesh_Y+$AR31*Mesh_X)&gt;0)*(($AP31+$AQ31*Mesh_Y+$AR31*Mesh_X)&lt;eco)+eco*(($AP31+$AQ31*Mesh_Y+$AR31*Mesh_X)&gt;=eco))/eco)^n)*((($AP31+$AQ31*Mesh_Y+$AR31*Mesh_X))&gt;0),Mesh_A,Mesh_X)+SUMPRODUCT((Es*(($AP31+$AQ31*Geometry!$E$42:$E$59+$AR31*Geometry!$D$42:$D$59))*(ABS(Es*(($AP31+$AQ31*Geometry!$E$42:$E$59+$AR31*Geometry!$D$42:$D$59)))&lt;=fy)+fy*(Es*(($AP31+$AQ31*Geometry!$E$42:$E$59+$AR31*Geometry!$D$42:$D$59))&gt;fy)-fy*(Es*(($AP31+$AQ31*Geometry!$E$42:$E$59+$AR31*Geometry!$D$42:$D$59))&lt;-fy)-(alpha*fck*(1-(1-((($AP31+$AQ31*Geometry!$E$42:$E$59+$AR31*Geometry!$D$42:$D$59))*(($AP31+$AQ31*Geometry!$E$42:$E$59+$AR31*Geometry!$D$42:$D$59)&gt;0)*(($AP31+$AQ31*Geometry!$E$42:$E$59+$AR31*Geometry!$D$42:$D$59)&lt;eco)+eco*(($AP31+$AQ31*Geometry!$E$42:$E$59+$AR31*Geometry!$D$42:$D$59)&gt;=eco))/eco)^n)*((($AP31+$AQ31*Geometry!$E$42:$E$59+$AR31*Geometry!$D$42:$D$59))&gt;0))),Geometry!$F$42:$F$59,Geometry!$D$42:$D$59))/1000000</f>
      </c>
      <c r="DJ31" s="32">
        <f>(SUMPRODUCT(alpha*fck*(1-(1-((($AS31+$AT31*Mesh_Y+$AU31*Mesh_X))*(($AS31+$AT31*Mesh_Y+$AU31*Mesh_X)&gt;0)*(($AS31+$AT31*Mesh_Y+$AU31*Mesh_X)&lt;eco)+eco*(($AS31+$AT31*Mesh_Y+$AU31*Mesh_X)&gt;=eco))/eco)^n)*((($AS31+$AT31*Mesh_Y+$AU31*Mesh_X))&gt;0),Mesh_A,Mesh_X)+SUMPRODUCT((Es*(($AS31+$AT31*Geometry!$E$42:$E$59+$AU31*Geometry!$D$42:$D$59))*(ABS(Es*(($AS31+$AT31*Geometry!$E$42:$E$59+$AU31*Geometry!$D$42:$D$59)))&lt;=fy)+fy*(Es*(($AS31+$AT31*Geometry!$E$42:$E$59+$AU31*Geometry!$D$42:$D$59))&gt;fy)-fy*(Es*(($AS31+$AT31*Geometry!$E$42:$E$59+$AU31*Geometry!$D$42:$D$59))&lt;-fy)-(alpha*fck*(1-(1-((($AS31+$AT31*Geometry!$E$42:$E$59+$AU31*Geometry!$D$42:$D$59))*(($AS31+$AT31*Geometry!$E$42:$E$59+$AU31*Geometry!$D$42:$D$59)&gt;0)*(($AS31+$AT31*Geometry!$E$42:$E$59+$AU31*Geometry!$D$42:$D$59)&lt;eco)+eco*(($AS31+$AT31*Geometry!$E$42:$E$59+$AU31*Geometry!$D$42:$D$59)&gt;=eco))/eco)^n)*((($AS31+$AT31*Geometry!$E$42:$E$59+$AU31*Geometry!$D$42:$D$59))&gt;0))),Geometry!$F$42:$F$59,Geometry!$D$42:$D$59))/1000000</f>
      </c>
      <c r="DK31" s="32">
        <f>(SUMPRODUCT(alpha*fck*(1-(1-((($AV31+$AW31*Mesh_Y+$AX31*Mesh_X))*(($AV31+$AW31*Mesh_Y+$AX31*Mesh_X)&gt;0)*(($AV31+$AW31*Mesh_Y+$AX31*Mesh_X)&lt;eco)+eco*(($AV31+$AW31*Mesh_Y+$AX31*Mesh_X)&gt;=eco))/eco)^n)*((($AV31+$AW31*Mesh_Y+$AX31*Mesh_X))&gt;0),Mesh_A,Mesh_X)+SUMPRODUCT((Es*(($AV31+$AW31*Geometry!$E$42:$E$59+$AX31*Geometry!$D$42:$D$59))*(ABS(Es*(($AV31+$AW31*Geometry!$E$42:$E$59+$AX31*Geometry!$D$42:$D$59)))&lt;=fy)+fy*(Es*(($AV31+$AW31*Geometry!$E$42:$E$59+$AX31*Geometry!$D$42:$D$59))&gt;fy)-fy*(Es*(($AV31+$AW31*Geometry!$E$42:$E$59+$AX31*Geometry!$D$42:$D$59))&lt;-fy)-(alpha*fck*(1-(1-((($AV31+$AW31*Geometry!$E$42:$E$59+$AX31*Geometry!$D$42:$D$59))*(($AV31+$AW31*Geometry!$E$42:$E$59+$AX31*Geometry!$D$42:$D$59)&gt;0)*(($AV31+$AW31*Geometry!$E$42:$E$59+$AX31*Geometry!$D$42:$D$59)&lt;eco)+eco*(($AV31+$AW31*Geometry!$E$42:$E$59+$AX31*Geometry!$D$42:$D$59)&gt;=eco))/eco)^n)*((($AV31+$AW31*Geometry!$E$42:$E$59+$AX31*Geometry!$D$42:$D$59))&gt;0))),Geometry!$F$42:$F$59,Geometry!$D$42:$D$59))/1000000</f>
      </c>
      <c r="DL31" s="32">
        <f>(SUMPRODUCT(alpha*fck*(1-(1-((($AY31+$AZ31*Mesh_Y+$BA31*Mesh_X))*(($AY31+$AZ31*Mesh_Y+$BA31*Mesh_X)&gt;0)*(($AY31+$AZ31*Mesh_Y+$BA31*Mesh_X)&lt;eco)+eco*(($AY31+$AZ31*Mesh_Y+$BA31*Mesh_X)&gt;=eco))/eco)^n)*((($AY31+$AZ31*Mesh_Y+$BA31*Mesh_X))&gt;0),Mesh_A,Mesh_X)+SUMPRODUCT((Es*(($AY31+$AZ31*Geometry!$E$42:$E$59+$BA31*Geometry!$D$42:$D$59))*(ABS(Es*(($AY31+$AZ31*Geometry!$E$42:$E$59+$BA31*Geometry!$D$42:$D$59)))&lt;=fy)+fy*(Es*(($AY31+$AZ31*Geometry!$E$42:$E$59+$BA31*Geometry!$D$42:$D$59))&gt;fy)-fy*(Es*(($AY31+$AZ31*Geometry!$E$42:$E$59+$BA31*Geometry!$D$42:$D$59))&lt;-fy)-(alpha*fck*(1-(1-((($AY31+$AZ31*Geometry!$E$42:$E$59+$BA31*Geometry!$D$42:$D$59))*(($AY31+$AZ31*Geometry!$E$42:$E$59+$BA31*Geometry!$D$42:$D$59)&gt;0)*(($AY31+$AZ31*Geometry!$E$42:$E$59+$BA31*Geometry!$D$42:$D$59)&lt;eco)+eco*(($AY31+$AZ31*Geometry!$E$42:$E$59+$BA31*Geometry!$D$42:$D$59)&gt;=eco))/eco)^n)*((($AY31+$AZ31*Geometry!$E$42:$E$59+$BA31*Geometry!$D$42:$D$59))&gt;0))),Geometry!$F$42:$F$59,Geometry!$D$42:$D$59))/1000000</f>
      </c>
      <c r="DM31" s="32">
        <f>(SUMPRODUCT(alpha*fck*(1-(1-((($BB31+$BC31*Mesh_Y+$BD31*Mesh_X))*(($BB31+$BC31*Mesh_Y+$BD31*Mesh_X)&gt;0)*(($BB31+$BC31*Mesh_Y+$BD31*Mesh_X)&lt;eco)+eco*(($BB31+$BC31*Mesh_Y+$BD31*Mesh_X)&gt;=eco))/eco)^n)*((($BB31+$BC31*Mesh_Y+$BD31*Mesh_X))&gt;0),Mesh_A,Mesh_X)+SUMPRODUCT((Es*(($BB31+$BC31*Geometry!$E$42:$E$59+$BD31*Geometry!$D$42:$D$59))*(ABS(Es*(($BB31+$BC31*Geometry!$E$42:$E$59+$BD31*Geometry!$D$42:$D$59)))&lt;=fy)+fy*(Es*(($BB31+$BC31*Geometry!$E$42:$E$59+$BD31*Geometry!$D$42:$D$59))&gt;fy)-fy*(Es*(($BB31+$BC31*Geometry!$E$42:$E$59+$BD31*Geometry!$D$42:$D$59))&lt;-fy)-(alpha*fck*(1-(1-((($BB31+$BC31*Geometry!$E$42:$E$59+$BD31*Geometry!$D$42:$D$59))*(($BB31+$BC31*Geometry!$E$42:$E$59+$BD31*Geometry!$D$42:$D$59)&gt;0)*(($BB31+$BC31*Geometry!$E$42:$E$59+$BD31*Geometry!$D$42:$D$59)&lt;eco)+eco*(($BB31+$BC31*Geometry!$E$42:$E$59+$BD31*Geometry!$D$42:$D$59)&gt;=eco))/eco)^n)*((($BB31+$BC31*Geometry!$E$42:$E$59+$BD31*Geometry!$D$42:$D$59))&gt;0))),Geometry!$F$42:$F$59,Geometry!$D$42:$D$59))/1000000</f>
      </c>
      <c r="DN31" s="32">
        <f>(SUMPRODUCT(alpha*fck*(1-(1-((($BE31+$BF31*Mesh_Y+$BG31*Mesh_X))*(($BE31+$BF31*Mesh_Y+$BG31*Mesh_X)&gt;0)*(($BE31+$BF31*Mesh_Y+$BG31*Mesh_X)&lt;eco)+eco*(($BE31+$BF31*Mesh_Y+$BG31*Mesh_X)&gt;=eco))/eco)^n)*((($BE31+$BF31*Mesh_Y+$BG31*Mesh_X))&gt;0),Mesh_A,Mesh_X)+SUMPRODUCT((Es*(($BE31+$BF31*Geometry!$E$42:$E$59+$BG31*Geometry!$D$42:$D$59))*(ABS(Es*(($BE31+$BF31*Geometry!$E$42:$E$59+$BG31*Geometry!$D$42:$D$59)))&lt;=fy)+fy*(Es*(($BE31+$BF31*Geometry!$E$42:$E$59+$BG31*Geometry!$D$42:$D$59))&gt;fy)-fy*(Es*(($BE31+$BF31*Geometry!$E$42:$E$59+$BG31*Geometry!$D$42:$D$59))&lt;-fy)-(alpha*fck*(1-(1-((($BE31+$BF31*Geometry!$E$42:$E$59+$BG31*Geometry!$D$42:$D$59))*(($BE31+$BF31*Geometry!$E$42:$E$59+$BG31*Geometry!$D$42:$D$59)&gt;0)*(($BE31+$BF31*Geometry!$E$42:$E$59+$BG31*Geometry!$D$42:$D$59)&lt;eco)+eco*(($BE31+$BF31*Geometry!$E$42:$E$59+$BG31*Geometry!$D$42:$D$59)&gt;=eco))/eco)^n)*((($BE31+$BF31*Geometry!$E$42:$E$59+$BG31*Geometry!$D$42:$D$59))&gt;0))),Geometry!$F$42:$F$59,Geometry!$D$42:$D$59))/1000000</f>
      </c>
      <c r="DO31" s="32">
        <f>(SUMPRODUCT(alpha*fck*(1-(1-((($BH31+$BI31*Mesh_Y+$BJ31*Mesh_X))*(($BH31+$BI31*Mesh_Y+$BJ31*Mesh_X)&gt;0)*(($BH31+$BI31*Mesh_Y+$BJ31*Mesh_X)&lt;eco)+eco*(($BH31+$BI31*Mesh_Y+$BJ31*Mesh_X)&gt;=eco))/eco)^n)*((($BH31+$BI31*Mesh_Y+$BJ31*Mesh_X))&gt;0),Mesh_A,Mesh_X)+SUMPRODUCT((Es*(($BH31+$BI31*Geometry!$E$42:$E$59+$BJ31*Geometry!$D$42:$D$59))*(ABS(Es*(($BH31+$BI31*Geometry!$E$42:$E$59+$BJ31*Geometry!$D$42:$D$59)))&lt;=fy)+fy*(Es*(($BH31+$BI31*Geometry!$E$42:$E$59+$BJ31*Geometry!$D$42:$D$59))&gt;fy)-fy*(Es*(($BH31+$BI31*Geometry!$E$42:$E$59+$BJ31*Geometry!$D$42:$D$59))&lt;-fy)-(alpha*fck*(1-(1-((($BH31+$BI31*Geometry!$E$42:$E$59+$BJ31*Geometry!$D$42:$D$59))*(($BH31+$BI31*Geometry!$E$42:$E$59+$BJ31*Geometry!$D$42:$D$59)&gt;0)*(($BH31+$BI31*Geometry!$E$42:$E$59+$BJ31*Geometry!$D$42:$D$59)&lt;eco)+eco*(($BH31+$BI31*Geometry!$E$42:$E$59+$BJ31*Geometry!$D$42:$D$59)&gt;=eco))/eco)^n)*((($BH31+$BI31*Geometry!$E$42:$E$59+$BJ31*Geometry!$D$42:$D$59))&gt;0))),Geometry!$F$42:$F$59,Geometry!$D$42:$D$59))/1000000</f>
      </c>
      <c r="DP31" s="45">
        <f>MAX(1,MIN(18,SUMPRODUCT(--($BK31:$CC31&gt;=Pu))))</f>
      </c>
      <c r="DQ31" s="46">
        <f>(Pu-INDEX($BK31:$CC31,1,$DP31))/(INDEX($BK31:$CC31,1,$DP31+1)-INDEX($BK31:$CC31,1,$DP31))</f>
      </c>
      <c r="DR31" s="33">
        <f>INDEX($CD31:$CV31,1,$DP31)+$DQ31*(INDEX($CD31:$CV31,1,$DP31+1)-INDEX($CD31:$CV31,1,$DP31))</f>
      </c>
      <c r="DS31" s="33">
        <f>INDEX($CW31:$DO31,1,$DP31)+$DQ31*(INDEX($CW31:$DO31,1,$DP31+1)-INDEX($CW31:$DO31,1,$DP31))</f>
      </c>
      <c r="DT31" s="33">
        <f>SQRT(DR31^2+DS31^2)</f>
      </c>
    </row>
    <row r="33" spans="121:124" x14ac:dyDescent="0.25">
      <c r="DQ33" s="28" t="s">
        <v>43</v>
      </c>
      <c r="DR33" s="47">
        <f>Mux</f>
      </c>
      <c r="DS33" s="47">
        <f>Muy</f>
      </c>
      <c r="DT33" s="47">
        <f>SQRT(Mux^2+Muy^2)</f>
      </c>
    </row>
  </sheetData>
  <mergeCells count="26">
    <mergeCell ref="B1:M1"/>
    <mergeCell ref="B2:N3"/>
    <mergeCell ref="B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CC6"/>
    <mergeCell ref="CD6:CV6"/>
    <mergeCell ref="CW6:DO6"/>
    <mergeCell ref="DP6:DT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</vt:lpstr>
      <vt:lpstr>Geometry</vt:lpstr>
      <vt:lpstr>Mesh</vt:lpstr>
      <vt:lpstr>PM_Angle</vt:lpstr>
      <vt:lpstr>Concrete</vt:lpstr>
      <vt:lpstr>Steel</vt:lpstr>
      <vt:lpstr>MxMy_FixedP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2026-07-23T07:28:13Z</dcterms:created>
  <dcterms:modified xsi:type="dcterms:W3CDTF">2026-07-23T07:28:13Z</dcterms:modified>
</cp:coreProperties>
</file>