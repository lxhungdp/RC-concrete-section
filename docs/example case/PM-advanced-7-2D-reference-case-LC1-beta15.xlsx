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 = 3·c₁</t>
        </r>
      </text>
    </comment>
    <comment ref="B9" authorId="0">
      <text>
        <r>
          <t>c = 2·c₁</t>
        </r>
      </text>
    </comment>
    <comment ref="B10" authorId="0">
      <text>
        <r>
          <t>c = 1.5·c₁</t>
        </r>
      </text>
    </comment>
    <comment ref="B11" authorId="0">
      <text>
        <r>
          <t>c = 1.2·c₁</t>
        </r>
      </text>
    </comment>
    <comment ref="B12" authorId="0">
      <text>
        <r>
          <t>fₛ = 0</t>
        </r>
      </text>
    </comment>
    <comment ref="G12" authorId="0">
      <text>
        <r>
          <t>Engine-resolved inverse of the controlling bar material law at the requested fs/fyd.</t>
        </r>
      </text>
    </comment>
    <comment ref="B13" authorId="0">
      <text>
        <r>
          <t>fₛ = 0.25·fyd</t>
        </r>
      </text>
    </comment>
    <comment ref="G13" authorId="0">
      <text>
        <r>
          <t>Engine-resolved inverse of the controlling bar material law at the requested fs/fyd.</t>
        </r>
      </text>
    </comment>
    <comment ref="B14" authorId="0">
      <text>
        <r>
          <t>fₛ = 0.5·fyd</t>
        </r>
      </text>
    </comment>
    <comment ref="G14" authorId="0">
      <text>
        <r>
          <t>Engine-resolved inverse of the controlling bar material law at the requested fs/fyd.</t>
        </r>
      </text>
    </comment>
    <comment ref="B15" authorId="0">
      <text>
        <r>
          <t>fₛ = 0.75·fyd</t>
        </r>
      </text>
    </comment>
    <comment ref="G15" authorId="0">
      <text>
        <r>
          <t>Engine-resolved inverse of the controlling bar material law at the requested fs/fyd.</t>
        </r>
      </text>
    </comment>
    <comment ref="B16" authorId="0">
      <text>
        <r>
          <t>fₛ = fyd</t>
        </r>
      </text>
    </comment>
    <comment ref="G16" authorId="0">
      <text>
        <r>
          <t>Engine-resolved inverse of the controlling bar material law at the requested fs/fyd.</t>
        </r>
      </text>
    </comment>
    <comment ref="B17" authorId="0">
      <text>
        <r>
          <t>εₛ = -0.003</t>
        </r>
      </text>
    </comment>
    <comment ref="B18" authorId="0">
      <text>
        <r>
          <t>εₛ = -0.005</t>
        </r>
      </text>
    </comment>
    <comment ref="B19" authorId="0">
      <text>
        <r>
          <t>εₛ = -0.0075</t>
        </r>
      </text>
    </comment>
    <comment ref="B20" authorId="0">
      <text>
        <r>
          <t>εₛ = -0.01</t>
        </r>
      </text>
    </comment>
    <comment ref="B21" authorId="0">
      <text>
        <r>
          <t>εₛ = -0.015</t>
        </r>
      </text>
    </comment>
    <comment ref="B22" authorId="0">
      <text>
        <r>
          <t>εₛ = -0.025</t>
        </r>
      </text>
    </comment>
    <comment ref="B23" authorId="0">
      <text>
        <r>
          <t>εₛ = -0.03</t>
        </r>
      </text>
    </comment>
    <comment ref="B24" authorId="0">
      <text>
        <r>
          <t>εₛ = -0.05</t>
        </r>
      </text>
    </comment>
    <comment ref="B25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<sst xmlns="http://schemas.openxmlformats.org/spreadsheetml/2006/main" count="831" uniqueCount="382">
  <si>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</si>
  <si>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</si>
  <si>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</si>
  <si>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</si>
  <si>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</si>
  <si>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</si>
  <si>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</si>
  <si>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2026-08-04 05:55:40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</si>
  <si>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</si>
  <si>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</si>
  <si>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</si>
  <si>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</si>
  <si>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</si>
  <si>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</si>
  <si>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</si>
  <si>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</si>
  <si>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</si>
  <si>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</si>
  <si>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</si>
  <si>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</si>
  <si>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</si>
  <si>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</si>
  <si>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</si>
  <si>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</si>
  <si>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</si>
  <si>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</si>
  <si>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</si>
  <si>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</si>
  <si>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</si>
  <si>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</si>
  <si>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</si>
  <si>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</si>
  <si>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</si>
  <si>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</si>
  <si>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</si>
  <si>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</si>
  <si>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</si>
  <si>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</si>
  <si>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</si>
  <si>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</si>
  <si>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</si>
  <si>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</si>
  <si>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</si>
  <si>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</si>
  <si>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</si>
  <si>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</si>
  <si>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</si>
  <si>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</si>
  <si>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</si>
  <si>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</si>
  <si>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</si>
  <si>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</si>
  <si>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</si>
  <si>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</si>
  <si>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</si>
  <si>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</si>
  <si>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</si>
  <si>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</si>
  <si>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</si>
  <si>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</si>
  <si>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</si>
  <si>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</si>
  <si>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</si>
  <si>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</si>
  <si>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</si>
  <si>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</si>
  <si>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</si>
  <si>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</si>
  <si>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</si>
  <si>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</si>
  <si>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</si>
  <si>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</si>
  <si>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</si>
  <si>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</si>
  <si>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</si>
  <si>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</si>
  <si>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</si>
  <si>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</si>
  <si>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</si>
  <si>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</si>
  <si>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</si>
  <si>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</si>
  <si>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</si>
  <si>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</si>
  <si>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</si>
  <si>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</si>
  <si>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</si>
  <si>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</si>
  <si>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</si>
  <si>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1368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</si>
  <si>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</si>
  <si>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</si>
  <si>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</si>
  <si>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</si>
  <si>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</si>
  <si>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</si>
  <si>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</si>
  <si>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</si>
  <si>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</si>
  <si>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</si>
  <si>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</si>
  <si>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</si>
  <si>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</si>
  <si>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</si>
  <si>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</si>
  <si>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</si>
  <si>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</si>
  <si>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</si>
  <si>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</si>
  <si>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</si>
  <si>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</si>
  <si>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</si>
  <si>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</si>
  <si>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</si>
  <si>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</si>
  <si>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</si>
  <si>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</si>
  <si>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</si>
  <si>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</si>
  <si>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</si>
  <si>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</si>
  <si>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</si>
  <si>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</si>
  <si>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</si>
  <si>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</si>
  <si>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</si>
  <si>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</si>
  <si>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</si>
  <si>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</si>
  <si>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</si>
  <si>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</si>
  <si>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</si>
  <si>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</si>
  <si>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</si>
  <si>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</si>
  <si>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</si>
  <si>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</si>
  <si>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</si>
  <si>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</si>
  <si>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</si>
  <si>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</si>
  <si>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</si>
  <si>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</si>
  <si>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</si>
  <si>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</si>
  <si>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</si>
  <si>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</si>
  <si>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</si>
  <si>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</si>
  <si>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</si>
  <si>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</si>
  <si>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</si>
  <si>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</si>
  <si>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</si>
  <si>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</si>
  <si>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</si>
  <si>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</si>
  <si>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</si>
  <si>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</si>
  <si>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</si>
  <si>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</si>
  <si>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</si>
  <si>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</si>
  <si>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</si>
  <si>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</si>
  <si>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</si>
  <si>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</si>
  <si>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</si>
  <si>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</si>
  <si>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</si>
  <si>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</si>
  <si>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</si>
  <si>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</si>
  <si>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</si>
  <si>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</si>
  <si>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</si>
  <si>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</si>
  <si>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</si>
  <si>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</si>
  <si>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</si>
  <si>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</si>
  <si>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</si>
  <si>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</si>
  <si>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</si>
  <si>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</si>
  <si>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</si>
  <si>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</si>
  <si>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</si>
  <si>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</si>
  <si>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</si>
  <si>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</si>
  <si>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</si>
  <si>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</si>
  <si>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</si>
  <si>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</si>
  <si>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</si>
  <si>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</si>
  <si>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</si>
  <si>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</si>
  <si>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</si>
  <si>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</si>
  <si>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</si>
  <si>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</si>
  <si>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</si>
  <si>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</si>
  <si>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</si>
  <si>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</si>
  <si>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</si>
  <si>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</si>
  <si>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</si>
  <si>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</si>
  <si>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</si>
  <si>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</si>
  <si>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</si>
  <si>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</si>
  <si>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</si>
  <si>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</si>
  <si>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</si>
  <si>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</si>
  <si>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</si>
  <si>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</si>
  <si>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</si>
  <si>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</si>
  <si>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</si>
  <si>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</si>
  <si>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</si>
  <si>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</si>
  <si>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</si>
  <si>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</si>
  <si>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</si>
  <si>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</si>
  <si>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</si>
  <si>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</si>
  <si>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</si>
  <si>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</si>
  <si>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</si>
  <si>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19 station totals on PM_Angle integrate the same law over the same mesh without materialising 19 more column blocks.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</si>
  <si>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</si>
  <si>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</si>
  <si>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</si>
  <si>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</si>
  <si>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</si>
  <si>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</si>
  <si>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</si>
  <si>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</si>
  <si>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</si>
  <si>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</si>
  <si>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</si>
  <si>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</si>
  <si>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</si>
  <si>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</si>
  <si>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</si>
  <si>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</si>
  <si>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</si>
  <si>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</si>
  <si>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</si>
  <si>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</si>
  <si>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</si>
  <si>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</si>
  <si>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</si>
  <si>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</si>
  <si>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</si>
  <si>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</si>
  <si>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</si>
  <si>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</si>
  <si>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</si>
  <si>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</si>
  <si>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</si>
  <si>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</si>
  <si>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</si>
  <si>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</si>
  <si>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</si>
  <si>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</si>
  <si>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</si>
  <si>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</si>
  <si>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</si>
  <si>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</si>
  <si>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</si>
  <si>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</si>
  <si>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</si>
  <si>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</si>
  <si>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</si>
  <si>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</si>
  <si>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</si>
  <si>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</si>
  <si>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</si>
  <si>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</si>
  <si>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</si>
  <si>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</si>
  <si>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</si>
  <si>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</si>
  <si>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</si>
  <si>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</si>
  <si>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</si>
  <si>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</si>
  <si>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</si>
  <si>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</si>
  <si>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</si>
  <si>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</si>
  <si>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</si>
  <si>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</si>
  <si>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</si>
  <si>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</si>
  <si>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</si>
  <si>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</si>
  <si>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</si>
  <si>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</si>
  <si>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</si>
  <si>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</si>
  <si>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</si>
  <si>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</si>
  <si>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</si>
  <si>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</si>
  <si>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</si>
  <si>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</si>
  <si>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</si>
  <si>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</si>
  <si>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</si>
  <si>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</si>
  <si>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</si>
  <si>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</si>
  <si>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3·c₁</t>
  </si>
  <si>
    <t>c = 2·c₁</t>
  </si>
  <si>
    <t>c = 1.5·c₁</t>
  </si>
  <si>
    <t>c = 1.2·c₁</t>
  </si>
  <si>
    <t>fₛ = 0</t>
  </si>
  <si>
    <t>fₛ = 0.25·fyd</t>
  </si>
  <si>
    <t>fₛ = 0.5·fyd</t>
  </si>
  <si>
    <t>fₛ = 0.75·fyd</t>
  </si>
  <si>
    <t>fₛ = fyd</t>
  </si>
  <si>
    <t>εₛ = -0.003</t>
  </si>
  <si>
    <t>εₛ = -0.005</t>
  </si>
  <si>
    <t>εₛ = -0.0075</t>
  </si>
  <si>
    <t>εₛ = -0.01</t>
  </si>
  <si>
    <t>εₛ = -0.015</t>
  </si>
  <si>
    <t>εₛ = -0.025</t>
  </si>
  <si>
    <t>εₛ = -0.03</t>
  </si>
  <si>
    <t>εₛ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</si>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</sst>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</v>
      </c>
    </row>
    <row r="14" spans="2:5" x14ac:dyDescent="0.25">
      <c r="B14" s="3" t="s">
        <v>119</v>
      </c>
      <c r="C14" s="3"/>
      <c r="D14" s="3"/>
      <c r="E14" s="3"/>
    </row>
    <row r="15" spans="2:5" x14ac:dyDescent="0.25">
      <c r="B15" t="s">
        <v>120</v>
      </c>
      <c r="C15" s="15">
        <v>0.65</v>
      </c>
      <c r="D15" t="s">
        <v>17</v>
      </c>
      <c r="E15" t="s">
        <v>121</v>
      </c>
    </row>
    <row r="16" spans="2:5" x14ac:dyDescent="0.25">
      <c r="B16" t="s">
        <v>122</v>
      </c>
      <c r="C16" s="15">
        <v>0.7</v>
      </c>
      <c r="D16" t="s">
        <v>17</v>
      </c>
      <c r="E16" t="s">
        <v>123</v>
      </c>
    </row>
    <row r="17" spans="2:5" x14ac:dyDescent="0.25">
      <c r="B17" t="s">
        <v>124</v>
      </c>
      <c r="C17" s="15">
        <v>0.85</v>
      </c>
      <c r="D17" t="s">
        <v>17</v>
      </c>
      <c r="E17" t="s">
        <v>125</v>
      </c>
    </row>
    <row r="18" spans="2:5" x14ac:dyDescent="0.25">
      <c r="B18" t="s">
        <v>126</v>
      </c>
      <c r="C18" s="15">
        <v>0.005</v>
      </c>
      <c r="D18" t="s">
        <v>17</v>
      </c>
      <c r="E18" t="s">
        <v>127</v>
      </c>
    </row>
    <row r="19" spans="2:5" x14ac:dyDescent="0.25">
      <c r="B19" t="s">
        <v>128</v>
      </c>
      <c r="C19" s="15">
        <v>0.8</v>
      </c>
      <c r="D19" t="s">
        <v>17</v>
      </c>
      <c r="E19" t="s">
        <v>129</v>
      </c>
    </row>
    <row r="20" spans="2:5" x14ac:dyDescent="0.25">
      <c r="B20" t="s">
        <v>130</v>
      </c>
      <c r="C20" s="15">
        <v>0.85</v>
      </c>
      <c r="D20" t="s">
        <v>17</v>
      </c>
      <c r="E20" t="s">
        <v>129</v>
      </c>
    </row>
    <row r="21" spans="2:5" x14ac:dyDescent="0.25">
      <c r="B21" t="s">
        <v>131</v>
      </c>
      <c r="C21" s="16" t="s">
        <v>132</v>
      </c>
      <c r="D21" t="s">
        <v>11</v>
      </c>
      <c r="E21" t="s">
        <v>133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4" spans="2:5" x14ac:dyDescent="0.25">
      <c r="B24" s="3" t="s">
        <v>137</v>
      </c>
      <c r="C24" s="3"/>
      <c r="D24" s="3"/>
      <c r="E24" s="3"/>
    </row>
    <row r="25" spans="2:5" x14ac:dyDescent="0.25">
      <c r="B25" t="s">
        <v>138</v>
      </c>
      <c r="C25" s="16" t="s">
        <v>139</v>
      </c>
      <c r="D25" t="s">
        <v>11</v>
      </c>
      <c r="E25" t="s">
        <v>140</v>
      </c>
    </row>
    <row r="26" spans="2:5" x14ac:dyDescent="0.25">
      <c r="B26" t="s">
        <v>141</v>
      </c>
      <c r="C26" s="16" t="s">
        <v>57</v>
      </c>
      <c r="D26" t="s">
        <v>11</v>
      </c>
      <c r="E26" t="s">
        <v>11</v>
      </c>
    </row>
    <row r="27" spans="2:5" x14ac:dyDescent="0.25">
      <c r="B27" t="s">
        <v>142</v>
      </c>
      <c r="C27" s="15">
        <v>1.538237698212695</v>
      </c>
      <c r="D27" t="s">
        <v>17</v>
      </c>
      <c r="E27" t="s">
        <v>143</v>
      </c>
    </row>
    <row r="28" spans="2:5" x14ac:dyDescent="0.25">
      <c r="B28" t="s">
        <v>144</v>
      </c>
      <c r="C28" s="16" t="s">
        <v>145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11</v>
      </c>
      <c r="E29" t="s">
        <v>149</v>
      </c>
    </row>
    <row r="30" spans="2:5" x14ac:dyDescent="0.25">
      <c r="B30" t="s">
        <v>150</v>
      </c>
      <c r="C30" s="15">
        <v>16215.258624485536</v>
      </c>
      <c r="D30" t="s">
        <v>56</v>
      </c>
      <c r="E30" t="s">
        <v>151</v>
      </c>
    </row>
    <row r="31" spans="2:5" x14ac:dyDescent="0.25">
      <c r="B31" t="s">
        <v>152</v>
      </c>
      <c r="C31" s="15">
        <v>2414.55917258968</v>
      </c>
      <c r="D31" t="s">
        <v>59</v>
      </c>
      <c r="E31" t="s">
        <v>151</v>
      </c>
    </row>
    <row r="32" spans="2:5" x14ac:dyDescent="0.25">
      <c r="B32" t="s">
        <v>153</v>
      </c>
      <c r="C32" s="15">
        <v>930.792899796101</v>
      </c>
      <c r="D32" t="s">
        <v>59</v>
      </c>
      <c r="E32" t="s">
        <v>151</v>
      </c>
    </row>
    <row r="33" spans="2:5" x14ac:dyDescent="0.25">
      <c r="B33" t="s">
        <v>154</v>
      </c>
      <c r="C33" s="15">
        <v>0.65</v>
      </c>
      <c r="D33" t="s">
        <v>17</v>
      </c>
      <c r="E33" t="s">
        <v>155</v>
      </c>
    </row>
    <row r="34" spans="2:5" x14ac:dyDescent="0.25">
      <c r="B34" t="s">
        <v>156</v>
      </c>
      <c r="C34" s="15">
        <v>0</v>
      </c>
      <c r="D34" t="s">
        <v>17</v>
      </c>
      <c r="E34" t="s">
        <v>157</v>
      </c>
    </row>
  </sheetData>
  <mergeCells count="5">
    <mergeCell ref="B1:E1"/>
    <mergeCell ref="B2:E3"/>
    <mergeCell ref="B5:E5"/>
    <mergeCell ref="B14:E14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158</v>
      </c>
      <c r="C1" s="1"/>
      <c r="D1" s="1"/>
      <c r="E1" s="1"/>
      <c r="F1" s="1"/>
      <c r="G1" s="1"/>
      <c r="H1" s="1"/>
    </row>
    <row r="2" spans="2:2" x14ac:dyDescent="0.25">
      <c r="B2" s="5" t="s">
        <v>159</v>
      </c>
    </row>
    <row r="4" spans="2:8" x14ac:dyDescent="0.25">
      <c r="B4" s="3" t="s">
        <v>160</v>
      </c>
      <c r="C4" s="3"/>
      <c r="D4" s="3"/>
      <c r="E4" s="3"/>
      <c r="F4" s="3"/>
      <c r="G4" s="3"/>
      <c r="H4" s="3"/>
    </row>
    <row r="5" spans="2:7" x14ac:dyDescent="0.25">
      <c r="B5" s="17" t="s">
        <v>161</v>
      </c>
      <c r="C5" s="17" t="s">
        <v>162</v>
      </c>
      <c r="D5" s="17" t="s">
        <v>163</v>
      </c>
      <c r="E5" s="17" t="s">
        <v>164</v>
      </c>
      <c r="F5" s="17" t="s">
        <v>165</v>
      </c>
      <c r="G5" s="17" t="s">
        <v>166</v>
      </c>
    </row>
    <row r="6" spans="2:7" x14ac:dyDescent="0.25">
      <c r="B6">
        <v>1</v>
      </c>
      <c r="C6" t="s">
        <v>160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160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160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160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160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160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160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160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167</v>
      </c>
      <c r="F14" s="21">
        <f>SUM(F6:F13)/2</f>
      </c>
    </row>
    <row r="16" spans="2:8" x14ac:dyDescent="0.25">
      <c r="B16" s="3" t="s">
        <v>168</v>
      </c>
      <c r="C16" s="3"/>
      <c r="D16" s="3"/>
      <c r="E16" s="3"/>
      <c r="F16" s="3"/>
      <c r="G16" s="3"/>
      <c r="H16" s="3"/>
    </row>
    <row r="17" spans="2:7" x14ac:dyDescent="0.25">
      <c r="B17" s="17" t="s">
        <v>161</v>
      </c>
      <c r="C17" s="17" t="s">
        <v>162</v>
      </c>
      <c r="D17" s="17" t="s">
        <v>163</v>
      </c>
      <c r="E17" s="17" t="s">
        <v>164</v>
      </c>
      <c r="F17" s="17" t="s">
        <v>165</v>
      </c>
      <c r="G17" s="17" t="s">
        <v>166</v>
      </c>
    </row>
    <row r="18" spans="2:7" x14ac:dyDescent="0.25">
      <c r="B18">
        <v>1</v>
      </c>
      <c r="C18" t="s">
        <v>168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168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168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168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168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168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168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168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167</v>
      </c>
      <c r="F26" s="21">
        <f>SUM(F18:F25)/2</f>
      </c>
    </row>
    <row r="28" spans="2:8" x14ac:dyDescent="0.25">
      <c r="B28" s="3" t="s">
        <v>169</v>
      </c>
      <c r="C28" s="3"/>
      <c r="D28" s="3"/>
      <c r="E28" s="3"/>
      <c r="F28" s="3"/>
      <c r="G28" s="3"/>
      <c r="H28" s="3"/>
    </row>
    <row r="29" spans="2:7" x14ac:dyDescent="0.25">
      <c r="B29" s="17" t="s">
        <v>161</v>
      </c>
      <c r="C29" s="17" t="s">
        <v>162</v>
      </c>
      <c r="D29" s="17" t="s">
        <v>163</v>
      </c>
      <c r="E29" s="17" t="s">
        <v>164</v>
      </c>
      <c r="F29" s="17" t="s">
        <v>165</v>
      </c>
      <c r="G29" s="17" t="s">
        <v>166</v>
      </c>
    </row>
    <row r="30" spans="2:7" x14ac:dyDescent="0.25">
      <c r="B30">
        <v>1</v>
      </c>
      <c r="C30" t="s">
        <v>169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169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169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169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169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169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169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169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167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161</v>
      </c>
      <c r="C41" s="17" t="s">
        <v>170</v>
      </c>
      <c r="D41" s="17" t="s">
        <v>163</v>
      </c>
      <c r="E41" s="17" t="s">
        <v>164</v>
      </c>
      <c r="F41" s="17" t="s">
        <v>171</v>
      </c>
      <c r="G41" s="17" t="s">
        <v>166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172</v>
      </c>
      <c r="C61" s="3"/>
      <c r="D61" s="3"/>
      <c r="E61" s="3"/>
      <c r="F61" s="3"/>
      <c r="G61" s="3"/>
      <c r="H61" s="3"/>
    </row>
    <row r="62" spans="2:7" x14ac:dyDescent="0.25">
      <c r="B62" t="s">
        <v>173</v>
      </c>
      <c r="D62" s="21">
        <f>ABS(SUM(F6:F13)/2)+-ABS(SUM(F18:F25)/2)+-ABS(SUM(F30:F37)/2)</f>
      </c>
      <c r="E62" t="s">
        <v>71</v>
      </c>
      <c r="G62" s="5" t="s">
        <v>174</v>
      </c>
    </row>
    <row r="63" spans="2:7" x14ac:dyDescent="0.25">
      <c r="B63" t="s">
        <v>175</v>
      </c>
      <c r="D63" s="22">
        <f>MAX(G6:G13)</f>
      </c>
      <c r="E63" t="s">
        <v>46</v>
      </c>
      <c r="G63" s="5" t="s">
        <v>176</v>
      </c>
    </row>
    <row r="64" spans="2:5" x14ac:dyDescent="0.25">
      <c r="B64" t="s">
        <v>177</v>
      </c>
      <c r="D64" s="22">
        <f>MIN(G6:G13)</f>
      </c>
      <c r="E64" t="s">
        <v>46</v>
      </c>
    </row>
    <row r="65" spans="2:7" x14ac:dyDescent="0.25">
      <c r="B65" t="s">
        <v>178</v>
      </c>
      <c r="D65" s="22">
        <f>MIN(G42:G59)</f>
      </c>
      <c r="E65" t="s">
        <v>46</v>
      </c>
      <c r="G65" s="5" t="s">
        <v>179</v>
      </c>
    </row>
    <row r="66" spans="2:5" x14ac:dyDescent="0.25">
      <c r="B66" t="s">
        <v>180</v>
      </c>
      <c r="D66" s="22">
        <f>u_max-u_bar</f>
      </c>
      <c r="E66" t="s">
        <v>46</v>
      </c>
    </row>
    <row r="67" spans="2:5" x14ac:dyDescent="0.25">
      <c r="B67" t="s">
        <v>181</v>
      </c>
      <c r="D67" s="22">
        <f>u_max-u_min</f>
      </c>
      <c r="E67" t="s">
        <v>46</v>
      </c>
    </row>
    <row r="68" spans="2:5" x14ac:dyDescent="0.25">
      <c r="B68" t="s">
        <v>182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183</v>
      </c>
      <c r="B1" s="23"/>
      <c r="C1" s="23"/>
      <c r="D1" s="23"/>
    </row>
    <row r="2" ht="30" customHeight="1" spans="1:4" x14ac:dyDescent="0.25">
      <c r="A2" s="2" t="s">
        <v>184</v>
      </c>
      <c r="B2" s="2"/>
      <c r="C2" s="2"/>
      <c r="D2" s="2"/>
    </row>
    <row r="4" spans="1:4" x14ac:dyDescent="0.25">
      <c r="A4" s="24" t="s">
        <v>161</v>
      </c>
      <c r="B4" s="24" t="s">
        <v>163</v>
      </c>
      <c r="C4" s="24" t="s">
        <v>164</v>
      </c>
      <c r="D4" s="24" t="s">
        <v>185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187</v>
      </c>
    </row>
    <row r="4" spans="2:24" x14ac:dyDescent="0.25">
      <c r="B4" s="25" t="s">
        <v>188</v>
      </c>
      <c r="C4" s="25"/>
      <c r="D4" s="25"/>
      <c r="E4" s="25"/>
      <c r="F4" s="25" t="s">
        <v>189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190</v>
      </c>
      <c r="Q4" s="25"/>
      <c r="R4" s="25"/>
      <c r="S4" s="25" t="s">
        <v>191</v>
      </c>
      <c r="T4" s="25"/>
      <c r="U4" s="25"/>
      <c r="V4" s="25"/>
      <c r="W4" s="25" t="s">
        <v>192</v>
      </c>
      <c r="X4" s="25"/>
    </row>
    <row r="5" ht="30" customHeight="1" spans="2:24" x14ac:dyDescent="0.25">
      <c r="B5" s="17" t="s">
        <v>193</v>
      </c>
      <c r="C5" s="17" t="s">
        <v>194</v>
      </c>
      <c r="D5" s="17" t="s">
        <v>195</v>
      </c>
      <c r="E5" s="17" t="s">
        <v>196</v>
      </c>
      <c r="F5" s="17" t="s">
        <v>197</v>
      </c>
      <c r="G5" s="17" t="s">
        <v>198</v>
      </c>
      <c r="H5" s="17" t="s">
        <v>199</v>
      </c>
      <c r="I5" s="17" t="s">
        <v>200</v>
      </c>
      <c r="J5" s="17" t="s">
        <v>201</v>
      </c>
      <c r="K5" s="17" t="s">
        <v>202</v>
      </c>
      <c r="L5" s="17" t="s">
        <v>203</v>
      </c>
      <c r="M5" s="17" t="s">
        <v>204</v>
      </c>
      <c r="N5" s="17" t="s">
        <v>205</v>
      </c>
      <c r="O5" s="17" t="s">
        <v>206</v>
      </c>
      <c r="P5" s="17" t="s">
        <v>204</v>
      </c>
      <c r="Q5" s="17" t="s">
        <v>205</v>
      </c>
      <c r="R5" s="17" t="s">
        <v>206</v>
      </c>
      <c r="S5" s="17" t="s">
        <v>204</v>
      </c>
      <c r="T5" s="17" t="s">
        <v>205</v>
      </c>
      <c r="U5" s="17" t="s">
        <v>206</v>
      </c>
      <c r="V5" s="17" t="s">
        <v>207</v>
      </c>
      <c r="W5" s="17" t="s">
        <v>208</v>
      </c>
      <c r="X5" s="17" t="s">
        <v>209</v>
      </c>
    </row>
    <row r="7" spans="2:24" x14ac:dyDescent="0.25">
      <c r="B7" s="26" t="s">
        <v>210</v>
      </c>
      <c r="C7" s="27"/>
      <c r="D7" s="27"/>
      <c r="E7" s="27"/>
      <c r="F7" s="28" t="s">
        <v>211</v>
      </c>
      <c r="G7" s="29">
        <f>ecu</f>
      </c>
      <c r="H7" s="30" t="s">
        <v>145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212</v>
      </c>
      <c r="C8" s="36">
        <v>3</v>
      </c>
      <c r="D8" s="36"/>
      <c r="E8" s="36"/>
      <c r="F8" s="20">
        <f>u_max-C8*u_C1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213</v>
      </c>
      <c r="C9" s="36">
        <v>2</v>
      </c>
      <c r="D9" s="36"/>
      <c r="E9" s="36"/>
      <c r="F9" s="20">
        <f>u_max-C9*u_C1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33683.33834920623</v>
      </c>
      <c r="X9" s="40">
        <f>IF(ABS(W9)&lt;0.000000001,0,(S9-W9)/W9*100)</f>
      </c>
    </row>
    <row r="10" spans="2:24" x14ac:dyDescent="0.25">
      <c r="B10" s="35" t="s">
        <v>214</v>
      </c>
      <c r="C10" s="36">
        <v>1.5</v>
      </c>
      <c r="D10" s="36"/>
      <c r="E10" s="36"/>
      <c r="F10" s="20">
        <f>u_max-C10*u_C1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32195.887925811847</v>
      </c>
      <c r="X10" s="40">
        <f>IF(ABS(W10)&lt;0.000000001,0,(S10-W10)/W10*100)</f>
      </c>
    </row>
    <row r="11" spans="2:24" x14ac:dyDescent="0.25">
      <c r="B11" s="35" t="s">
        <v>215</v>
      </c>
      <c r="C11" s="36">
        <v>1.2</v>
      </c>
      <c r="D11" s="36"/>
      <c r="E11" s="36"/>
      <c r="F11" s="20">
        <f>u_max-C11*u_C1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29291.135869918773</v>
      </c>
      <c r="X11" s="40">
        <f>IF(ABS(W11)&lt;0.000000001,0,(S11-W11)/W11*100)</f>
      </c>
    </row>
    <row r="12" spans="2:24" x14ac:dyDescent="0.25">
      <c r="B12" s="35" t="s">
        <v>216</v>
      </c>
      <c r="C12" s="36"/>
      <c r="D12" s="36">
        <v>0</v>
      </c>
      <c r="E12" s="36"/>
      <c r="F12" s="20">
        <f>u_bar</f>
      </c>
      <c r="G12" s="15">
        <v>2.168404344971009e-19</v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24941.453505539637</v>
      </c>
      <c r="X12" s="40">
        <f>IF(ABS(W12)&lt;0.000000001,0,(S12-W12)/W12*100)</f>
      </c>
    </row>
    <row r="13" spans="2:24" x14ac:dyDescent="0.25">
      <c r="B13" s="35" t="s">
        <v>217</v>
      </c>
      <c r="C13" s="36"/>
      <c r="D13" s="36">
        <v>0.25</v>
      </c>
      <c r="E13" s="36"/>
      <c r="F13" s="20">
        <f>u_bar</f>
      </c>
      <c r="G13" s="15">
        <v>-0.0005</v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21079.019157045306</v>
      </c>
      <c r="X13" s="40">
        <f>IF(ABS(W13)&lt;0.000000001,0,(S13-W13)/W13*100)</f>
      </c>
    </row>
    <row r="14" spans="2:24" x14ac:dyDescent="0.25">
      <c r="B14" s="35" t="s">
        <v>218</v>
      </c>
      <c r="C14" s="36"/>
      <c r="D14" s="36">
        <v>0.5</v>
      </c>
      <c r="E14" s="36"/>
      <c r="F14" s="20">
        <f>u_bar</f>
      </c>
      <c r="G14" s="15">
        <v>-0.0009999999999999996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18153.31005527712</v>
      </c>
      <c r="X14" s="40">
        <f>IF(ABS(W14)&lt;0.000000001,0,(S14-W14)/W14*100)</f>
      </c>
    </row>
    <row r="15" spans="2:24" x14ac:dyDescent="0.25">
      <c r="B15" s="35" t="s">
        <v>219</v>
      </c>
      <c r="C15" s="36"/>
      <c r="D15" s="36">
        <v>0.75</v>
      </c>
      <c r="E15" s="36"/>
      <c r="F15" s="20">
        <f>u_bar</f>
      </c>
      <c r="G15" s="15">
        <v>-0.0015000000000000005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15853.978475694379</v>
      </c>
      <c r="X15" s="40">
        <f>IF(ABS(W15)&lt;0.000000001,0,(S15-W15)/W15*100)</f>
      </c>
    </row>
    <row r="16" spans="2:24" x14ac:dyDescent="0.25">
      <c r="B16" s="35" t="s">
        <v>220</v>
      </c>
      <c r="C16" s="36"/>
      <c r="D16" s="36">
        <v>1</v>
      </c>
      <c r="E16" s="36"/>
      <c r="F16" s="20">
        <f>u_bar</f>
      </c>
      <c r="G16" s="15">
        <v>-0.002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13872.542689247419</v>
      </c>
      <c r="X16" s="40">
        <f>IF(ABS(W16)&lt;0.000000001,0,(S16-W16)/W16*100)</f>
      </c>
    </row>
    <row r="17" spans="2:24" x14ac:dyDescent="0.25">
      <c r="B17" s="35" t="s">
        <v>221</v>
      </c>
      <c r="C17" s="36"/>
      <c r="D17" s="36"/>
      <c r="E17" s="36">
        <v>0.003</v>
      </c>
      <c r="F17" s="20">
        <f>u_bar</f>
      </c>
      <c r="G17" s="37">
        <f>-E17</f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10905.321204451915</v>
      </c>
      <c r="X17" s="40">
        <f>IF(ABS(W17)&lt;0.000000001,0,(S17-W17)/W17*100)</f>
      </c>
    </row>
    <row r="18" spans="2:24" x14ac:dyDescent="0.25">
      <c r="B18" s="35" t="s">
        <v>222</v>
      </c>
      <c r="C18" s="36"/>
      <c r="D18" s="36"/>
      <c r="E18" s="36">
        <v>0.005</v>
      </c>
      <c r="F18" s="20">
        <f>u_bar</f>
      </c>
      <c r="G18" s="37">
        <f>-E18</f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7089.749963110848</v>
      </c>
      <c r="X18" s="40">
        <f>IF(ABS(W18)&lt;0.000000001,0,(S18-W18)/W18*100)</f>
      </c>
    </row>
    <row r="19" spans="2:24" x14ac:dyDescent="0.25">
      <c r="B19" s="35" t="s">
        <v>223</v>
      </c>
      <c r="C19" s="36"/>
      <c r="D19" s="36"/>
      <c r="E19" s="36">
        <v>0.0075</v>
      </c>
      <c r="F19" s="20">
        <f>u_bar</f>
      </c>
      <c r="G19" s="37">
        <f>-E19</f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3844.8512713785385</v>
      </c>
      <c r="X19" s="40">
        <f>IF(ABS(W19)&lt;0.000000001,0,(S19-W19)/W19*100)</f>
      </c>
    </row>
    <row r="20" spans="2:24" x14ac:dyDescent="0.25">
      <c r="B20" s="35" t="s">
        <v>224</v>
      </c>
      <c r="C20" s="36"/>
      <c r="D20" s="36"/>
      <c r="E20" s="36">
        <v>0.01</v>
      </c>
      <c r="F20" s="20">
        <f>u_bar</f>
      </c>
      <c r="G20" s="37">
        <f>-E20</f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1694.8502135948982</v>
      </c>
      <c r="X20" s="40">
        <f>IF(ABS(W20)&lt;0.000000001,0,(S20-W20)/W20*100)</f>
      </c>
    </row>
    <row r="21" spans="2:24" x14ac:dyDescent="0.25">
      <c r="B21" s="35" t="s">
        <v>225</v>
      </c>
      <c r="C21" s="36"/>
      <c r="D21" s="36"/>
      <c r="E21" s="36">
        <v>0.015</v>
      </c>
      <c r="F21" s="20">
        <f>u_bar</f>
      </c>
      <c r="G21" s="37">
        <f>-E21</f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-1005.0490032452154</v>
      </c>
      <c r="X21" s="40">
        <f>IF(ABS(W21)&lt;0.000000001,0,(S21-W21)/W21*100)</f>
      </c>
    </row>
    <row r="22" spans="2:24" x14ac:dyDescent="0.25">
      <c r="B22" s="35" t="s">
        <v>226</v>
      </c>
      <c r="C22" s="36"/>
      <c r="D22" s="36"/>
      <c r="E22" s="36">
        <v>0.025</v>
      </c>
      <c r="F22" s="20">
        <f>u_bar</f>
      </c>
      <c r="G22" s="37">
        <f>-E22</f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-3748.2840444667568</v>
      </c>
      <c r="X22" s="40">
        <f>IF(ABS(W22)&lt;0.000000001,0,(S22-W22)/W22*100)</f>
      </c>
    </row>
    <row r="23" spans="2:24" x14ac:dyDescent="0.25">
      <c r="B23" s="35" t="s">
        <v>227</v>
      </c>
      <c r="C23" s="36"/>
      <c r="D23" s="36"/>
      <c r="E23" s="36">
        <v>0.03</v>
      </c>
      <c r="F23" s="20">
        <f>u_bar</f>
      </c>
      <c r="G23" s="37">
        <f>-E23</f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-4342.297402819011</v>
      </c>
      <c r="X23" s="40">
        <f>IF(ABS(W23)&lt;0.000000001,0,(S23-W23)/W23*100)</f>
      </c>
    </row>
    <row r="24" spans="2:24" x14ac:dyDescent="0.25">
      <c r="B24" s="35" t="s">
        <v>228</v>
      </c>
      <c r="C24" s="36"/>
      <c r="D24" s="36"/>
      <c r="E24" s="36">
        <v>0.05</v>
      </c>
      <c r="F24" s="20">
        <f>u_bar</f>
      </c>
      <c r="G24" s="37">
        <f>-E24</f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-5310.77508325461</v>
      </c>
      <c r="X24" s="40">
        <f>IF(ABS(W24)&lt;0.000000001,0,(S24-W24)/W24*100)</f>
      </c>
    </row>
    <row r="25" spans="2:24" x14ac:dyDescent="0.25">
      <c r="B25" s="26" t="s">
        <v>229</v>
      </c>
      <c r="C25" s="27"/>
      <c r="D25" s="27"/>
      <c r="E25" s="27"/>
      <c r="F25" s="28" t="s">
        <v>211</v>
      </c>
      <c r="G25" s="29">
        <f>etu</f>
      </c>
      <c r="H25" s="30" t="s">
        <v>145</v>
      </c>
      <c r="I25" s="31">
        <v>0</v>
      </c>
      <c r="J25" s="29">
        <f>etu</f>
      </c>
      <c r="K25" s="31">
        <f>I25*COS(RADIANS(beta))</f>
      </c>
      <c r="L25" s="31">
        <f>I25*SIN(RADIANS(beta))</f>
      </c>
      <c r="M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2">
        <f>Steel!EF6/1000</f>
      </c>
      <c r="Q25" s="32">
        <f>Steel!EG6/1000000</f>
      </c>
      <c r="R25" s="32">
        <f>Steel!EH6/1000000</f>
      </c>
      <c r="S25" s="33">
        <f>M25+P25</f>
      </c>
      <c r="T25" s="33">
        <f>N25+Q25</f>
      </c>
      <c r="U25" s="33">
        <f>O25+R25</f>
      </c>
      <c r="V25" s="32">
        <f>SQRT(T25^2+U25^2)</f>
      </c>
      <c r="W25" s="32">
        <v>-5790.583579096708</v>
      </c>
      <c r="X25" s="34">
        <f>IF(ABS(W25)&lt;0.000000001,0,(S25-W25)/W25*100)</f>
      </c>
    </row>
    <row r="27" spans="2:11" x14ac:dyDescent="0.25">
      <c r="B27" s="3" t="s">
        <v>230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231</v>
      </c>
    </row>
    <row r="29" spans="3:3" x14ac:dyDescent="0.25">
      <c r="C29" s="5" t="s">
        <v>232</v>
      </c>
    </row>
    <row r="30" spans="2:4" x14ac:dyDescent="0.25">
      <c r="B30" s="11">
        <f>beta</f>
      </c>
      <c r="C30" t="s">
        <v>233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234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235</v>
      </c>
    </row>
    <row r="3" ht="28" customHeight="1" spans="1:9" x14ac:dyDescent="0.25">
      <c r="A3" s="2" t="s">
        <v>236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237</v>
      </c>
      <c r="C4" s="41">
        <v>5</v>
      </c>
      <c r="D4" s="5">
        <f>"detail shown for station P"&amp;C4</f>
      </c>
    </row>
    <row r="5" spans="11:12" x14ac:dyDescent="0.25">
      <c r="K5" s="25" t="s">
        <v>238</v>
      </c>
      <c r="L5" s="25"/>
    </row>
    <row r="6" spans="1:12" x14ac:dyDescent="0.25">
      <c r="A6" s="17" t="s">
        <v>161</v>
      </c>
      <c r="B6" s="17" t="s">
        <v>163</v>
      </c>
      <c r="C6" s="17" t="s">
        <v>164</v>
      </c>
      <c r="D6" s="17" t="s">
        <v>185</v>
      </c>
      <c r="E6" s="17" t="s">
        <v>239</v>
      </c>
      <c r="F6" s="17" t="s">
        <v>240</v>
      </c>
      <c r="G6" s="17" t="s">
        <v>241</v>
      </c>
      <c r="H6" s="17" t="s">
        <v>242</v>
      </c>
      <c r="I6" s="17" t="s">
        <v>243</v>
      </c>
      <c r="K6" s="24" t="s">
        <v>239</v>
      </c>
      <c r="L6" s="24" t="s">
        <v>240</v>
      </c>
    </row>
    <row r="7" spans="1:9" x14ac:dyDescent="0.25">
      <c r="A7" s="35" t="s">
        <v>244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3" t="s">
        <v>245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5" t="s">
        <v>210</v>
      </c>
      <c r="G4" s="25"/>
      <c r="H4" s="25"/>
      <c r="I4" s="25"/>
      <c r="J4" s="25"/>
      <c r="K4" s="25"/>
      <c r="L4" s="25"/>
      <c r="M4" s="25" t="s">
        <v>212</v>
      </c>
      <c r="N4" s="25"/>
      <c r="O4" s="25"/>
      <c r="P4" s="25"/>
      <c r="Q4" s="25"/>
      <c r="R4" s="25"/>
      <c r="S4" s="25"/>
      <c r="T4" s="25" t="s">
        <v>213</v>
      </c>
      <c r="U4" s="25"/>
      <c r="V4" s="25"/>
      <c r="W4" s="25"/>
      <c r="X4" s="25"/>
      <c r="Y4" s="25"/>
      <c r="Z4" s="25"/>
      <c r="AA4" s="25" t="s">
        <v>214</v>
      </c>
      <c r="AB4" s="25"/>
      <c r="AC4" s="25"/>
      <c r="AD4" s="25"/>
      <c r="AE4" s="25"/>
      <c r="AF4" s="25"/>
      <c r="AG4" s="25"/>
      <c r="AH4" s="25" t="s">
        <v>215</v>
      </c>
      <c r="AI4" s="25"/>
      <c r="AJ4" s="25"/>
      <c r="AK4" s="25"/>
      <c r="AL4" s="25"/>
      <c r="AM4" s="25"/>
      <c r="AN4" s="25"/>
      <c r="AO4" s="25" t="s">
        <v>216</v>
      </c>
      <c r="AP4" s="25"/>
      <c r="AQ4" s="25"/>
      <c r="AR4" s="25"/>
      <c r="AS4" s="25"/>
      <c r="AT4" s="25"/>
      <c r="AU4" s="25"/>
      <c r="AV4" s="25" t="s">
        <v>217</v>
      </c>
      <c r="AW4" s="25"/>
      <c r="AX4" s="25"/>
      <c r="AY4" s="25"/>
      <c r="AZ4" s="25"/>
      <c r="BA4" s="25"/>
      <c r="BB4" s="25"/>
      <c r="BC4" s="25" t="s">
        <v>218</v>
      </c>
      <c r="BD4" s="25"/>
      <c r="BE4" s="25"/>
      <c r="BF4" s="25"/>
      <c r="BG4" s="25"/>
      <c r="BH4" s="25"/>
      <c r="BI4" s="25"/>
      <c r="BJ4" s="25" t="s">
        <v>219</v>
      </c>
      <c r="BK4" s="25"/>
      <c r="BL4" s="25"/>
      <c r="BM4" s="25"/>
      <c r="BN4" s="25"/>
      <c r="BO4" s="25"/>
      <c r="BP4" s="25"/>
      <c r="BQ4" s="25" t="s">
        <v>220</v>
      </c>
      <c r="BR4" s="25"/>
      <c r="BS4" s="25"/>
      <c r="BT4" s="25"/>
      <c r="BU4" s="25"/>
      <c r="BV4" s="25"/>
      <c r="BW4" s="25"/>
      <c r="BX4" s="25" t="s">
        <v>221</v>
      </c>
      <c r="BY4" s="25"/>
      <c r="BZ4" s="25"/>
      <c r="CA4" s="25"/>
      <c r="CB4" s="25"/>
      <c r="CC4" s="25"/>
      <c r="CD4" s="25"/>
      <c r="CE4" s="25" t="s">
        <v>222</v>
      </c>
      <c r="CF4" s="25"/>
      <c r="CG4" s="25"/>
      <c r="CH4" s="25"/>
      <c r="CI4" s="25"/>
      <c r="CJ4" s="25"/>
      <c r="CK4" s="25"/>
      <c r="CL4" s="25" t="s">
        <v>223</v>
      </c>
      <c r="CM4" s="25"/>
      <c r="CN4" s="25"/>
      <c r="CO4" s="25"/>
      <c r="CP4" s="25"/>
      <c r="CQ4" s="25"/>
      <c r="CR4" s="25"/>
      <c r="CS4" s="25" t="s">
        <v>224</v>
      </c>
      <c r="CT4" s="25"/>
      <c r="CU4" s="25"/>
      <c r="CV4" s="25"/>
      <c r="CW4" s="25"/>
      <c r="CX4" s="25"/>
      <c r="CY4" s="25"/>
      <c r="CZ4" s="25" t="s">
        <v>225</v>
      </c>
      <c r="DA4" s="25"/>
      <c r="DB4" s="25"/>
      <c r="DC4" s="25"/>
      <c r="DD4" s="25"/>
      <c r="DE4" s="25"/>
      <c r="DF4" s="25"/>
      <c r="DG4" s="25" t="s">
        <v>226</v>
      </c>
      <c r="DH4" s="25"/>
      <c r="DI4" s="25"/>
      <c r="DJ4" s="25"/>
      <c r="DK4" s="25"/>
      <c r="DL4" s="25"/>
      <c r="DM4" s="25"/>
      <c r="DN4" s="25" t="s">
        <v>227</v>
      </c>
      <c r="DO4" s="25"/>
      <c r="DP4" s="25"/>
      <c r="DQ4" s="25"/>
      <c r="DR4" s="25"/>
      <c r="DS4" s="25"/>
      <c r="DT4" s="25"/>
      <c r="DU4" s="25" t="s">
        <v>228</v>
      </c>
      <c r="DV4" s="25"/>
      <c r="DW4" s="25"/>
      <c r="DX4" s="25"/>
      <c r="DY4" s="25"/>
      <c r="DZ4" s="25"/>
      <c r="EA4" s="25"/>
      <c r="EB4" s="25" t="s">
        <v>229</v>
      </c>
      <c r="EC4" s="25"/>
      <c r="ED4" s="25"/>
      <c r="EE4" s="25"/>
      <c r="EF4" s="25"/>
      <c r="EG4" s="25"/>
      <c r="EH4" s="25"/>
      <c r="EI4" s="25" t="s">
        <v>238</v>
      </c>
      <c r="EJ4" s="25"/>
      <c r="EK4" s="25"/>
      <c r="EL4" s="25"/>
      <c r="EM4" s="25"/>
      <c r="EN4" s="25"/>
      <c r="EO4" s="25"/>
    </row>
    <row r="5" ht="28" customHeight="1" spans="1:145" x14ac:dyDescent="0.25">
      <c r="A5" s="17" t="s">
        <v>161</v>
      </c>
      <c r="B5" s="17" t="s">
        <v>170</v>
      </c>
      <c r="C5" s="17" t="s">
        <v>163</v>
      </c>
      <c r="D5" s="17" t="s">
        <v>164</v>
      </c>
      <c r="E5" s="17" t="s">
        <v>171</v>
      </c>
      <c r="F5" s="17" t="s">
        <v>196</v>
      </c>
      <c r="G5" s="17" t="s">
        <v>247</v>
      </c>
      <c r="H5" s="17" t="s">
        <v>240</v>
      </c>
      <c r="I5" s="17" t="s">
        <v>248</v>
      </c>
      <c r="J5" s="17" t="s">
        <v>249</v>
      </c>
      <c r="K5" s="17" t="s">
        <v>250</v>
      </c>
      <c r="L5" s="17" t="s">
        <v>251</v>
      </c>
      <c r="M5" s="17" t="s">
        <v>196</v>
      </c>
      <c r="N5" s="17" t="s">
        <v>247</v>
      </c>
      <c r="O5" s="17" t="s">
        <v>240</v>
      </c>
      <c r="P5" s="17" t="s">
        <v>248</v>
      </c>
      <c r="Q5" s="17" t="s">
        <v>249</v>
      </c>
      <c r="R5" s="17" t="s">
        <v>250</v>
      </c>
      <c r="S5" s="17" t="s">
        <v>251</v>
      </c>
      <c r="T5" s="17" t="s">
        <v>196</v>
      </c>
      <c r="U5" s="17" t="s">
        <v>247</v>
      </c>
      <c r="V5" s="17" t="s">
        <v>240</v>
      </c>
      <c r="W5" s="17" t="s">
        <v>248</v>
      </c>
      <c r="X5" s="17" t="s">
        <v>249</v>
      </c>
      <c r="Y5" s="17" t="s">
        <v>250</v>
      </c>
      <c r="Z5" s="17" t="s">
        <v>251</v>
      </c>
      <c r="AA5" s="17" t="s">
        <v>196</v>
      </c>
      <c r="AB5" s="17" t="s">
        <v>247</v>
      </c>
      <c r="AC5" s="17" t="s">
        <v>240</v>
      </c>
      <c r="AD5" s="17" t="s">
        <v>248</v>
      </c>
      <c r="AE5" s="17" t="s">
        <v>249</v>
      </c>
      <c r="AF5" s="17" t="s">
        <v>250</v>
      </c>
      <c r="AG5" s="17" t="s">
        <v>251</v>
      </c>
      <c r="AH5" s="17" t="s">
        <v>196</v>
      </c>
      <c r="AI5" s="17" t="s">
        <v>247</v>
      </c>
      <c r="AJ5" s="17" t="s">
        <v>240</v>
      </c>
      <c r="AK5" s="17" t="s">
        <v>248</v>
      </c>
      <c r="AL5" s="17" t="s">
        <v>249</v>
      </c>
      <c r="AM5" s="17" t="s">
        <v>250</v>
      </c>
      <c r="AN5" s="17" t="s">
        <v>251</v>
      </c>
      <c r="AO5" s="17" t="s">
        <v>196</v>
      </c>
      <c r="AP5" s="17" t="s">
        <v>247</v>
      </c>
      <c r="AQ5" s="17" t="s">
        <v>240</v>
      </c>
      <c r="AR5" s="17" t="s">
        <v>248</v>
      </c>
      <c r="AS5" s="17" t="s">
        <v>249</v>
      </c>
      <c r="AT5" s="17" t="s">
        <v>250</v>
      </c>
      <c r="AU5" s="17" t="s">
        <v>251</v>
      </c>
      <c r="AV5" s="17" t="s">
        <v>196</v>
      </c>
      <c r="AW5" s="17" t="s">
        <v>247</v>
      </c>
      <c r="AX5" s="17" t="s">
        <v>240</v>
      </c>
      <c r="AY5" s="17" t="s">
        <v>248</v>
      </c>
      <c r="AZ5" s="17" t="s">
        <v>249</v>
      </c>
      <c r="BA5" s="17" t="s">
        <v>250</v>
      </c>
      <c r="BB5" s="17" t="s">
        <v>251</v>
      </c>
      <c r="BC5" s="17" t="s">
        <v>196</v>
      </c>
      <c r="BD5" s="17" t="s">
        <v>247</v>
      </c>
      <c r="BE5" s="17" t="s">
        <v>240</v>
      </c>
      <c r="BF5" s="17" t="s">
        <v>248</v>
      </c>
      <c r="BG5" s="17" t="s">
        <v>249</v>
      </c>
      <c r="BH5" s="17" t="s">
        <v>250</v>
      </c>
      <c r="BI5" s="17" t="s">
        <v>251</v>
      </c>
      <c r="BJ5" s="17" t="s">
        <v>196</v>
      </c>
      <c r="BK5" s="17" t="s">
        <v>247</v>
      </c>
      <c r="BL5" s="17" t="s">
        <v>240</v>
      </c>
      <c r="BM5" s="17" t="s">
        <v>248</v>
      </c>
      <c r="BN5" s="17" t="s">
        <v>249</v>
      </c>
      <c r="BO5" s="17" t="s">
        <v>250</v>
      </c>
      <c r="BP5" s="17" t="s">
        <v>251</v>
      </c>
      <c r="BQ5" s="17" t="s">
        <v>196</v>
      </c>
      <c r="BR5" s="17" t="s">
        <v>247</v>
      </c>
      <c r="BS5" s="17" t="s">
        <v>240</v>
      </c>
      <c r="BT5" s="17" t="s">
        <v>248</v>
      </c>
      <c r="BU5" s="17" t="s">
        <v>249</v>
      </c>
      <c r="BV5" s="17" t="s">
        <v>250</v>
      </c>
      <c r="BW5" s="17" t="s">
        <v>251</v>
      </c>
      <c r="BX5" s="17" t="s">
        <v>196</v>
      </c>
      <c r="BY5" s="17" t="s">
        <v>247</v>
      </c>
      <c r="BZ5" s="17" t="s">
        <v>240</v>
      </c>
      <c r="CA5" s="17" t="s">
        <v>248</v>
      </c>
      <c r="CB5" s="17" t="s">
        <v>249</v>
      </c>
      <c r="CC5" s="17" t="s">
        <v>250</v>
      </c>
      <c r="CD5" s="17" t="s">
        <v>251</v>
      </c>
      <c r="CE5" s="17" t="s">
        <v>196</v>
      </c>
      <c r="CF5" s="17" t="s">
        <v>247</v>
      </c>
      <c r="CG5" s="17" t="s">
        <v>240</v>
      </c>
      <c r="CH5" s="17" t="s">
        <v>248</v>
      </c>
      <c r="CI5" s="17" t="s">
        <v>249</v>
      </c>
      <c r="CJ5" s="17" t="s">
        <v>250</v>
      </c>
      <c r="CK5" s="17" t="s">
        <v>251</v>
      </c>
      <c r="CL5" s="17" t="s">
        <v>196</v>
      </c>
      <c r="CM5" s="17" t="s">
        <v>247</v>
      </c>
      <c r="CN5" s="17" t="s">
        <v>240</v>
      </c>
      <c r="CO5" s="17" t="s">
        <v>248</v>
      </c>
      <c r="CP5" s="17" t="s">
        <v>249</v>
      </c>
      <c r="CQ5" s="17" t="s">
        <v>250</v>
      </c>
      <c r="CR5" s="17" t="s">
        <v>251</v>
      </c>
      <c r="CS5" s="17" t="s">
        <v>196</v>
      </c>
      <c r="CT5" s="17" t="s">
        <v>247</v>
      </c>
      <c r="CU5" s="17" t="s">
        <v>240</v>
      </c>
      <c r="CV5" s="17" t="s">
        <v>248</v>
      </c>
      <c r="CW5" s="17" t="s">
        <v>249</v>
      </c>
      <c r="CX5" s="17" t="s">
        <v>250</v>
      </c>
      <c r="CY5" s="17" t="s">
        <v>251</v>
      </c>
      <c r="CZ5" s="17" t="s">
        <v>196</v>
      </c>
      <c r="DA5" s="17" t="s">
        <v>247</v>
      </c>
      <c r="DB5" s="17" t="s">
        <v>240</v>
      </c>
      <c r="DC5" s="17" t="s">
        <v>248</v>
      </c>
      <c r="DD5" s="17" t="s">
        <v>249</v>
      </c>
      <c r="DE5" s="17" t="s">
        <v>250</v>
      </c>
      <c r="DF5" s="17" t="s">
        <v>251</v>
      </c>
      <c r="DG5" s="17" t="s">
        <v>196</v>
      </c>
      <c r="DH5" s="17" t="s">
        <v>247</v>
      </c>
      <c r="DI5" s="17" t="s">
        <v>240</v>
      </c>
      <c r="DJ5" s="17" t="s">
        <v>248</v>
      </c>
      <c r="DK5" s="17" t="s">
        <v>249</v>
      </c>
      <c r="DL5" s="17" t="s">
        <v>250</v>
      </c>
      <c r="DM5" s="17" t="s">
        <v>251</v>
      </c>
      <c r="DN5" s="17" t="s">
        <v>196</v>
      </c>
      <c r="DO5" s="17" t="s">
        <v>247</v>
      </c>
      <c r="DP5" s="17" t="s">
        <v>240</v>
      </c>
      <c r="DQ5" s="17" t="s">
        <v>248</v>
      </c>
      <c r="DR5" s="17" t="s">
        <v>249</v>
      </c>
      <c r="DS5" s="17" t="s">
        <v>250</v>
      </c>
      <c r="DT5" s="17" t="s">
        <v>251</v>
      </c>
      <c r="DU5" s="17" t="s">
        <v>196</v>
      </c>
      <c r="DV5" s="17" t="s">
        <v>247</v>
      </c>
      <c r="DW5" s="17" t="s">
        <v>240</v>
      </c>
      <c r="DX5" s="17" t="s">
        <v>248</v>
      </c>
      <c r="DY5" s="17" t="s">
        <v>249</v>
      </c>
      <c r="DZ5" s="17" t="s">
        <v>250</v>
      </c>
      <c r="EA5" s="17" t="s">
        <v>251</v>
      </c>
      <c r="EB5" s="17" t="s">
        <v>196</v>
      </c>
      <c r="EC5" s="17" t="s">
        <v>247</v>
      </c>
      <c r="ED5" s="17" t="s">
        <v>240</v>
      </c>
      <c r="EE5" s="17" t="s">
        <v>248</v>
      </c>
      <c r="EF5" s="17" t="s">
        <v>249</v>
      </c>
      <c r="EG5" s="17" t="s">
        <v>250</v>
      </c>
      <c r="EH5" s="17" t="s">
        <v>251</v>
      </c>
      <c r="EI5" s="17" t="s">
        <v>196</v>
      </c>
      <c r="EJ5" s="17" t="s">
        <v>247</v>
      </c>
      <c r="EK5" s="17" t="s">
        <v>240</v>
      </c>
      <c r="EL5" s="17" t="s">
        <v>248</v>
      </c>
      <c r="EM5" s="17" t="s">
        <v>249</v>
      </c>
      <c r="EN5" s="17" t="s">
        <v>250</v>
      </c>
      <c r="EO5" s="17" t="s">
        <v>251</v>
      </c>
    </row>
    <row r="6" spans="1:145" x14ac:dyDescent="0.25">
      <c r="A6" s="35" t="s">
        <v>244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</row>
    <row r="7" spans="1:145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Eq_e0+Eq_kx*$D7+Eq_ky*$C7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</row>
    <row r="8" spans="1:145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Eq_e0+Eq_kx*$D8+Eq_ky*$C8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</row>
    <row r="9" spans="1:145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Eq_e0+Eq_kx*$D9+Eq_ky*$C9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</row>
    <row r="10" spans="1:145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Eq_e0+Eq_kx*$D10+Eq_ky*$C10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</row>
    <row r="11" spans="1:145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Eq_e0+Eq_kx*$D11+Eq_ky*$C11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</row>
    <row r="12" spans="1:145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Eq_e0+Eq_kx*$D12+Eq_ky*$C12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</row>
    <row r="13" spans="1:145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Eq_e0+Eq_kx*$D13+Eq_ky*$C13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</row>
    <row r="14" spans="1:145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Eq_e0+Eq_kx*$D14+Eq_ky*$C14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</row>
    <row r="15" spans="1:145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Eq_e0+Eq_kx*$D15+Eq_ky*$C15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</row>
    <row r="16" spans="1:145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Eq_e0+Eq_kx*$D16+Eq_ky*$C16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</row>
    <row r="17" spans="1:145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Eq_e0+Eq_kx*$D17+Eq_ky*$C17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</row>
    <row r="18" spans="1:145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Eq_e0+Eq_kx*$D18+Eq_ky*$C18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</row>
    <row r="19" spans="1:145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Eq_e0+Eq_kx*$D19+Eq_ky*$C19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</row>
    <row r="20" spans="1:145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Eq_e0+Eq_kx*$D20+Eq_ky*$C20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</row>
    <row r="21" spans="1:145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Eq_e0+Eq_kx*$D21+Eq_ky*$C21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</row>
    <row r="22" spans="1:145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Eq_e0+Eq_kx*$D22+Eq_ky*$C22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</row>
    <row r="23" spans="1:145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Eq_e0+Eq_kx*$D23+Eq_ky*$C23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</row>
    <row r="24" spans="1:145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Eq_e0+Eq_kx*$D24+Eq_ky*$C24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252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253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5" t="s">
        <v>254</v>
      </c>
      <c r="C6" s="25"/>
      <c r="D6" s="25"/>
      <c r="E6" s="25"/>
      <c r="F6" s="25" t="s">
        <v>255</v>
      </c>
      <c r="G6" s="25"/>
      <c r="H6" s="25"/>
      <c r="I6" s="25" t="s">
        <v>256</v>
      </c>
      <c r="J6" s="25"/>
      <c r="K6" s="25"/>
      <c r="L6" s="25" t="s">
        <v>257</v>
      </c>
      <c r="M6" s="25"/>
      <c r="N6" s="25"/>
      <c r="O6" s="25" t="s">
        <v>258</v>
      </c>
      <c r="P6" s="25"/>
      <c r="Q6" s="25"/>
      <c r="R6" s="25" t="s">
        <v>259</v>
      </c>
      <c r="S6" s="25"/>
      <c r="T6" s="25"/>
      <c r="U6" s="25" t="s">
        <v>260</v>
      </c>
      <c r="V6" s="25"/>
      <c r="W6" s="25"/>
      <c r="X6" s="25" t="s">
        <v>261</v>
      </c>
      <c r="Y6" s="25"/>
      <c r="Z6" s="25"/>
      <c r="AA6" s="25" t="s">
        <v>262</v>
      </c>
      <c r="AB6" s="25"/>
      <c r="AC6" s="25"/>
      <c r="AD6" s="25" t="s">
        <v>263</v>
      </c>
      <c r="AE6" s="25"/>
      <c r="AF6" s="25"/>
      <c r="AG6" s="25" t="s">
        <v>264</v>
      </c>
      <c r="AH6" s="25"/>
      <c r="AI6" s="25"/>
      <c r="AJ6" s="25" t="s">
        <v>265</v>
      </c>
      <c r="AK6" s="25"/>
      <c r="AL6" s="25"/>
      <c r="AM6" s="25" t="s">
        <v>266</v>
      </c>
      <c r="AN6" s="25"/>
      <c r="AO6" s="25"/>
      <c r="AP6" s="25" t="s">
        <v>267</v>
      </c>
      <c r="AQ6" s="25"/>
      <c r="AR6" s="25"/>
      <c r="AS6" s="25" t="s">
        <v>268</v>
      </c>
      <c r="AT6" s="25"/>
      <c r="AU6" s="25"/>
      <c r="AV6" s="25" t="s">
        <v>269</v>
      </c>
      <c r="AW6" s="25"/>
      <c r="AX6" s="25"/>
      <c r="AY6" s="25" t="s">
        <v>270</v>
      </c>
      <c r="AZ6" s="25"/>
      <c r="BA6" s="25"/>
      <c r="BB6" s="25" t="s">
        <v>271</v>
      </c>
      <c r="BC6" s="25"/>
      <c r="BD6" s="25"/>
      <c r="BE6" s="25" t="s">
        <v>272</v>
      </c>
      <c r="BF6" s="25"/>
      <c r="BG6" s="25"/>
      <c r="BH6" s="25" t="s">
        <v>273</v>
      </c>
      <c r="BI6" s="25"/>
      <c r="BJ6" s="25"/>
      <c r="BK6" s="25" t="s">
        <v>274</v>
      </c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 t="s">
        <v>275</v>
      </c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 t="s">
        <v>276</v>
      </c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 t="s">
        <v>277</v>
      </c>
      <c r="DQ6" s="25"/>
      <c r="DR6" s="25"/>
      <c r="DS6" s="25"/>
      <c r="DT6" s="25"/>
      <c r="DU6" s="25" t="s">
        <v>278</v>
      </c>
      <c r="DV6" s="25"/>
      <c r="DW6" s="25"/>
      <c r="DX6" s="25"/>
      <c r="DY6" s="25"/>
      <c r="DZ6" s="25"/>
    </row>
    <row r="7" ht="26" customHeight="1" spans="2:130" x14ac:dyDescent="0.25">
      <c r="B7" s="17" t="s">
        <v>279</v>
      </c>
      <c r="C7" s="17" t="s">
        <v>280</v>
      </c>
      <c r="D7" s="17" t="s">
        <v>281</v>
      </c>
      <c r="E7" s="17" t="s">
        <v>282</v>
      </c>
      <c r="F7" s="17" t="s">
        <v>201</v>
      </c>
      <c r="G7" s="17" t="s">
        <v>283</v>
      </c>
      <c r="H7" s="17" t="s">
        <v>284</v>
      </c>
      <c r="I7" s="17" t="s">
        <v>201</v>
      </c>
      <c r="J7" s="17" t="s">
        <v>283</v>
      </c>
      <c r="K7" s="17" t="s">
        <v>284</v>
      </c>
      <c r="L7" s="17" t="s">
        <v>201</v>
      </c>
      <c r="M7" s="17" t="s">
        <v>283</v>
      </c>
      <c r="N7" s="17" t="s">
        <v>284</v>
      </c>
      <c r="O7" s="17" t="s">
        <v>201</v>
      </c>
      <c r="P7" s="17" t="s">
        <v>283</v>
      </c>
      <c r="Q7" s="17" t="s">
        <v>284</v>
      </c>
      <c r="R7" s="17" t="s">
        <v>201</v>
      </c>
      <c r="S7" s="17" t="s">
        <v>283</v>
      </c>
      <c r="T7" s="17" t="s">
        <v>284</v>
      </c>
      <c r="U7" s="17" t="s">
        <v>201</v>
      </c>
      <c r="V7" s="17" t="s">
        <v>283</v>
      </c>
      <c r="W7" s="17" t="s">
        <v>284</v>
      </c>
      <c r="X7" s="17" t="s">
        <v>201</v>
      </c>
      <c r="Y7" s="17" t="s">
        <v>283</v>
      </c>
      <c r="Z7" s="17" t="s">
        <v>284</v>
      </c>
      <c r="AA7" s="17" t="s">
        <v>201</v>
      </c>
      <c r="AB7" s="17" t="s">
        <v>283</v>
      </c>
      <c r="AC7" s="17" t="s">
        <v>284</v>
      </c>
      <c r="AD7" s="17" t="s">
        <v>201</v>
      </c>
      <c r="AE7" s="17" t="s">
        <v>283</v>
      </c>
      <c r="AF7" s="17" t="s">
        <v>284</v>
      </c>
      <c r="AG7" s="17" t="s">
        <v>201</v>
      </c>
      <c r="AH7" s="17" t="s">
        <v>283</v>
      </c>
      <c r="AI7" s="17" t="s">
        <v>284</v>
      </c>
      <c r="AJ7" s="17" t="s">
        <v>201</v>
      </c>
      <c r="AK7" s="17" t="s">
        <v>283</v>
      </c>
      <c r="AL7" s="17" t="s">
        <v>284</v>
      </c>
      <c r="AM7" s="17" t="s">
        <v>201</v>
      </c>
      <c r="AN7" s="17" t="s">
        <v>283</v>
      </c>
      <c r="AO7" s="17" t="s">
        <v>284</v>
      </c>
      <c r="AP7" s="17" t="s">
        <v>201</v>
      </c>
      <c r="AQ7" s="17" t="s">
        <v>283</v>
      </c>
      <c r="AR7" s="17" t="s">
        <v>284</v>
      </c>
      <c r="AS7" s="17" t="s">
        <v>201</v>
      </c>
      <c r="AT7" s="17" t="s">
        <v>283</v>
      </c>
      <c r="AU7" s="17" t="s">
        <v>284</v>
      </c>
      <c r="AV7" s="17" t="s">
        <v>201</v>
      </c>
      <c r="AW7" s="17" t="s">
        <v>283</v>
      </c>
      <c r="AX7" s="17" t="s">
        <v>284</v>
      </c>
      <c r="AY7" s="17" t="s">
        <v>201</v>
      </c>
      <c r="AZ7" s="17" t="s">
        <v>283</v>
      </c>
      <c r="BA7" s="17" t="s">
        <v>284</v>
      </c>
      <c r="BB7" s="17" t="s">
        <v>201</v>
      </c>
      <c r="BC7" s="17" t="s">
        <v>283</v>
      </c>
      <c r="BD7" s="17" t="s">
        <v>284</v>
      </c>
      <c r="BE7" s="17" t="s">
        <v>201</v>
      </c>
      <c r="BF7" s="17" t="s">
        <v>283</v>
      </c>
      <c r="BG7" s="17" t="s">
        <v>284</v>
      </c>
      <c r="BH7" s="17" t="s">
        <v>201</v>
      </c>
      <c r="BI7" s="17" t="s">
        <v>283</v>
      </c>
      <c r="BJ7" s="17" t="s">
        <v>284</v>
      </c>
      <c r="BK7" s="17" t="s">
        <v>210</v>
      </c>
      <c r="BL7" s="17" t="s">
        <v>212</v>
      </c>
      <c r="BM7" s="17" t="s">
        <v>213</v>
      </c>
      <c r="BN7" s="17" t="s">
        <v>214</v>
      </c>
      <c r="BO7" s="17" t="s">
        <v>215</v>
      </c>
      <c r="BP7" s="17" t="s">
        <v>216</v>
      </c>
      <c r="BQ7" s="17" t="s">
        <v>217</v>
      </c>
      <c r="BR7" s="17" t="s">
        <v>218</v>
      </c>
      <c r="BS7" s="17" t="s">
        <v>219</v>
      </c>
      <c r="BT7" s="17" t="s">
        <v>220</v>
      </c>
      <c r="BU7" s="17" t="s">
        <v>221</v>
      </c>
      <c r="BV7" s="17" t="s">
        <v>222</v>
      </c>
      <c r="BW7" s="17" t="s">
        <v>223</v>
      </c>
      <c r="BX7" s="17" t="s">
        <v>224</v>
      </c>
      <c r="BY7" s="17" t="s">
        <v>225</v>
      </c>
      <c r="BZ7" s="17" t="s">
        <v>226</v>
      </c>
      <c r="CA7" s="17" t="s">
        <v>227</v>
      </c>
      <c r="CB7" s="17" t="s">
        <v>228</v>
      </c>
      <c r="CC7" s="17" t="s">
        <v>229</v>
      </c>
      <c r="CD7" s="17" t="s">
        <v>210</v>
      </c>
      <c r="CE7" s="17" t="s">
        <v>212</v>
      </c>
      <c r="CF7" s="17" t="s">
        <v>213</v>
      </c>
      <c r="CG7" s="17" t="s">
        <v>214</v>
      </c>
      <c r="CH7" s="17" t="s">
        <v>215</v>
      </c>
      <c r="CI7" s="17" t="s">
        <v>216</v>
      </c>
      <c r="CJ7" s="17" t="s">
        <v>217</v>
      </c>
      <c r="CK7" s="17" t="s">
        <v>218</v>
      </c>
      <c r="CL7" s="17" t="s">
        <v>219</v>
      </c>
      <c r="CM7" s="17" t="s">
        <v>220</v>
      </c>
      <c r="CN7" s="17" t="s">
        <v>221</v>
      </c>
      <c r="CO7" s="17" t="s">
        <v>222</v>
      </c>
      <c r="CP7" s="17" t="s">
        <v>223</v>
      </c>
      <c r="CQ7" s="17" t="s">
        <v>224</v>
      </c>
      <c r="CR7" s="17" t="s">
        <v>225</v>
      </c>
      <c r="CS7" s="17" t="s">
        <v>226</v>
      </c>
      <c r="CT7" s="17" t="s">
        <v>227</v>
      </c>
      <c r="CU7" s="17" t="s">
        <v>228</v>
      </c>
      <c r="CV7" s="17" t="s">
        <v>229</v>
      </c>
      <c r="CW7" s="17" t="s">
        <v>210</v>
      </c>
      <c r="CX7" s="17" t="s">
        <v>212</v>
      </c>
      <c r="CY7" s="17" t="s">
        <v>213</v>
      </c>
      <c r="CZ7" s="17" t="s">
        <v>214</v>
      </c>
      <c r="DA7" s="17" t="s">
        <v>215</v>
      </c>
      <c r="DB7" s="17" t="s">
        <v>216</v>
      </c>
      <c r="DC7" s="17" t="s">
        <v>217</v>
      </c>
      <c r="DD7" s="17" t="s">
        <v>218</v>
      </c>
      <c r="DE7" s="17" t="s">
        <v>219</v>
      </c>
      <c r="DF7" s="17" t="s">
        <v>220</v>
      </c>
      <c r="DG7" s="17" t="s">
        <v>221</v>
      </c>
      <c r="DH7" s="17" t="s">
        <v>222</v>
      </c>
      <c r="DI7" s="17" t="s">
        <v>223</v>
      </c>
      <c r="DJ7" s="17" t="s">
        <v>224</v>
      </c>
      <c r="DK7" s="17" t="s">
        <v>225</v>
      </c>
      <c r="DL7" s="17" t="s">
        <v>226</v>
      </c>
      <c r="DM7" s="17" t="s">
        <v>227</v>
      </c>
      <c r="DN7" s="17" t="s">
        <v>228</v>
      </c>
      <c r="DO7" s="17" t="s">
        <v>229</v>
      </c>
      <c r="DP7" s="43" t="s">
        <v>285</v>
      </c>
      <c r="DQ7" s="43" t="s">
        <v>286</v>
      </c>
      <c r="DR7" s="43" t="s">
        <v>205</v>
      </c>
      <c r="DS7" s="43" t="s">
        <v>206</v>
      </c>
      <c r="DT7" s="43" t="s">
        <v>207</v>
      </c>
      <c r="DU7" s="43" t="s">
        <v>287</v>
      </c>
      <c r="DV7" s="43" t="s">
        <v>288</v>
      </c>
      <c r="DW7" s="43" t="s">
        <v>289</v>
      </c>
      <c r="DX7" s="43" t="s">
        <v>290</v>
      </c>
      <c r="DY7" s="43" t="s">
        <v>291</v>
      </c>
      <c r="DZ7" s="43" t="s">
        <v>292</v>
      </c>
    </row>
    <row r="8" spans="1:130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0.0027159292035398228</v>
      </c>
      <c r="J8" s="16">
        <v>9.734513274336284e-7</v>
      </c>
      <c r="K8" s="16">
        <v>0</v>
      </c>
      <c r="L8" s="16">
        <v>0.0024238938053097346</v>
      </c>
      <c r="M8" s="16">
        <v>0.0000014601769911504425</v>
      </c>
      <c r="N8" s="16">
        <v>0</v>
      </c>
      <c r="O8" s="16">
        <v>0.002131858407079646</v>
      </c>
      <c r="P8" s="16">
        <v>0.0000019469026548672567</v>
      </c>
      <c r="Q8" s="16">
        <v>0</v>
      </c>
      <c r="R8" s="16">
        <v>0.0018398230088495576</v>
      </c>
      <c r="S8" s="16">
        <v>0.0000024336283185840706</v>
      </c>
      <c r="T8" s="16">
        <v>0</v>
      </c>
      <c r="U8" s="16">
        <v>0.001547787610619469</v>
      </c>
      <c r="V8" s="16">
        <v>0.000002920353982300885</v>
      </c>
      <c r="W8" s="16">
        <v>0</v>
      </c>
      <c r="X8" s="16">
        <v>0.001282300884955752</v>
      </c>
      <c r="Y8" s="16">
        <v>0.0000033628318584070798</v>
      </c>
      <c r="Z8" s="16">
        <v>0</v>
      </c>
      <c r="AA8" s="16">
        <v>0.0010168141592920353</v>
      </c>
      <c r="AB8" s="16">
        <v>0.000003805309734513274</v>
      </c>
      <c r="AC8" s="16">
        <v>0</v>
      </c>
      <c r="AD8" s="16">
        <v>0.0007513274336283186</v>
      </c>
      <c r="AE8" s="16">
        <v>0.000004247787610619469</v>
      </c>
      <c r="AF8" s="16">
        <v>0</v>
      </c>
      <c r="AG8" s="16">
        <v>0.00048584070796460184</v>
      </c>
      <c r="AH8" s="16">
        <v>0.0000046902654867256635</v>
      </c>
      <c r="AI8" s="16">
        <v>0</v>
      </c>
      <c r="AJ8" s="16">
        <v>-0.00004513274336283204</v>
      </c>
      <c r="AK8" s="16">
        <v>0.000005575221238938053</v>
      </c>
      <c r="AL8" s="16">
        <v>0</v>
      </c>
      <c r="AM8" s="16">
        <v>-0.001107079646017699</v>
      </c>
      <c r="AN8" s="16">
        <v>0.000007345132743362832</v>
      </c>
      <c r="AO8" s="16">
        <v>0</v>
      </c>
      <c r="AP8" s="16">
        <v>-0.002434513274336284</v>
      </c>
      <c r="AQ8" s="16">
        <v>0.000009557522123893806</v>
      </c>
      <c r="AR8" s="16">
        <v>0</v>
      </c>
      <c r="AS8" s="16">
        <v>-0.003761946902654867</v>
      </c>
      <c r="AT8" s="16">
        <v>0.000011769911504424779</v>
      </c>
      <c r="AU8" s="16">
        <v>0</v>
      </c>
      <c r="AV8" s="16">
        <v>-0.006416814159292035</v>
      </c>
      <c r="AW8" s="16">
        <v>0.000016194690265486724</v>
      </c>
      <c r="AX8" s="16">
        <v>0</v>
      </c>
      <c r="AY8" s="16">
        <v>-0.01172654867256637</v>
      </c>
      <c r="AZ8" s="16">
        <v>0.00002504424778761062</v>
      </c>
      <c r="BA8" s="16">
        <v>0</v>
      </c>
      <c r="BB8" s="16">
        <v>-0.014381415929203539</v>
      </c>
      <c r="BC8" s="16">
        <v>0.000029469026548672564</v>
      </c>
      <c r="BD8" s="16">
        <v>0</v>
      </c>
      <c r="BE8" s="16">
        <v>-0.02500088495575221</v>
      </c>
      <c r="BF8" s="16">
        <v>0.00004716814159292035</v>
      </c>
      <c r="BG8" s="16">
        <v>0</v>
      </c>
      <c r="BH8" s="16">
        <v>-0.05</v>
      </c>
      <c r="BI8" s="16">
        <v>0</v>
      </c>
      <c r="BJ8" s="16">
        <v>0</v>
      </c>
      <c r="BK8" s="45">
        <v>33981.43387592912</v>
      </c>
      <c r="BL8" s="45">
        <v>33981.43387592912</v>
      </c>
      <c r="BM8" s="45">
        <v>33533.02562239545</v>
      </c>
      <c r="BN8" s="45">
        <v>31697.47383065876</v>
      </c>
      <c r="BO8" s="45">
        <v>28312.035037494865</v>
      </c>
      <c r="BP8" s="45">
        <v>23514.322248754543</v>
      </c>
      <c r="BQ8" s="45">
        <v>20124.121038215144</v>
      </c>
      <c r="BR8" s="45">
        <v>17776.353375143117</v>
      </c>
      <c r="BS8" s="45">
        <v>15800.236623069633</v>
      </c>
      <c r="BT8" s="45">
        <v>14042.955356745177</v>
      </c>
      <c r="BU8" s="45">
        <v>11780.888412913204</v>
      </c>
      <c r="BV8" s="45">
        <v>8812.745574290735</v>
      </c>
      <c r="BW8" s="45">
        <v>6581.3072504878155</v>
      </c>
      <c r="BX8" s="45">
        <v>5040.452657994034</v>
      </c>
      <c r="BY8" s="45">
        <v>2747.5191908344864</v>
      </c>
      <c r="BZ8" s="45">
        <v>174.793493880596</v>
      </c>
      <c r="CA8" s="45">
        <v>-463.19960316020206</v>
      </c>
      <c r="CB8" s="45">
        <v>-2557.031656903496</v>
      </c>
      <c r="CC8" s="45">
        <v>-5790.583579096708</v>
      </c>
      <c r="CD8" s="45">
        <v>6.55418261885643e-13</v>
      </c>
      <c r="CE8" s="45">
        <v>6.55418261885643e-13</v>
      </c>
      <c r="CF8" s="45">
        <v>234.93193860569806</v>
      </c>
      <c r="CG8" s="45">
        <v>1094.7175767922042</v>
      </c>
      <c r="CH8" s="45">
        <v>2570.457524444011</v>
      </c>
      <c r="CI8" s="45">
        <v>4530.118037670052</v>
      </c>
      <c r="CJ8" s="45">
        <v>5598.135049837574</v>
      </c>
      <c r="CK8" s="45">
        <v>6124.812619238588</v>
      </c>
      <c r="CL8" s="45">
        <v>6477.537136847315</v>
      </c>
      <c r="CM8" s="45">
        <v>6729.602944736926</v>
      </c>
      <c r="CN8" s="45">
        <v>6681.944730043465</v>
      </c>
      <c r="CO8" s="45">
        <v>6317.221588401691</v>
      </c>
      <c r="CP8" s="45">
        <v>5771.965409016144</v>
      </c>
      <c r="CQ8" s="45">
        <v>5279.5486588665335</v>
      </c>
      <c r="CR8" s="45">
        <v>4395.024835253348</v>
      </c>
      <c r="CS8" s="45">
        <v>3210.6321417933236</v>
      </c>
      <c r="CT8" s="45">
        <v>2882.44449919495</v>
      </c>
      <c r="CU8" s="45">
        <v>1779.7255448932617</v>
      </c>
      <c r="CV8" s="45">
        <v>0</v>
      </c>
      <c r="CW8" s="45">
        <v>-5.220063030719757e-12</v>
      </c>
      <c r="CX8" s="45">
        <v>-5.220063030719757e-12</v>
      </c>
      <c r="CY8" s="45">
        <v>0.0006804400412989781</v>
      </c>
      <c r="CZ8" s="45">
        <v>0.00009086627426277846</v>
      </c>
      <c r="DA8" s="45">
        <v>0.0016092189189000055</v>
      </c>
      <c r="DB8" s="45">
        <v>0.07635615567926224</v>
      </c>
      <c r="DC8" s="45">
        <v>-0.298929788221614</v>
      </c>
      <c r="DD8" s="45">
        <v>-0.036833113046715035</v>
      </c>
      <c r="DE8" s="45">
        <v>0.000766949239820242</v>
      </c>
      <c r="DF8" s="45">
        <v>0.2033703180078668</v>
      </c>
      <c r="DG8" s="45">
        <v>0.00011138413645233958</v>
      </c>
      <c r="DH8" s="45">
        <v>0.22085739108868455</v>
      </c>
      <c r="DI8" s="45">
        <v>0.1440232052281932</v>
      </c>
      <c r="DJ8" s="45">
        <v>0.3035026830671234</v>
      </c>
      <c r="DK8" s="45">
        <v>0.8146481828627189</v>
      </c>
      <c r="DL8" s="45">
        <v>-0.7463893864229912</v>
      </c>
      <c r="DM8" s="45">
        <v>1.905153586537916</v>
      </c>
      <c r="DN8" s="45">
        <v>0.17970639577396771</v>
      </c>
      <c r="DO8" s="45">
        <v>5.960464477539062e-14</v>
      </c>
      <c r="DP8" s="46">
        <f>MAX(1,MIN(18,SUMPRODUCT(--($BK8:$CC8&gt;=Pu))))</f>
      </c>
      <c r="DQ8" s="47">
        <f>(Pu-INDEX($BK8:$CC8,1,$DP8))/(INDEX($BK8:$CC8,1,$DP8+1)-INDEX($BK8:$CC8,1,$DP8))</f>
      </c>
      <c r="DR8" s="39">
        <f>INDEX($CD8:$CV8,1,$DP8)+$DQ8*(INDEX($CD8:$CV8,1,$DP8+1)-INDEX($CD8:$CV8,1,$DP8))</f>
      </c>
      <c r="DS8" s="39">
        <f>INDEX($CW8:$DO8,1,$DP8)+$DQ8*(INDEX($CW8:$DO8,1,$DP8+1)-INDEX($CW8:$DO8,1,$DP8))</f>
      </c>
      <c r="DT8" s="39">
        <f>SQRT(DR8^2+DS8^2)</f>
      </c>
      <c r="DU8" s="20">
        <f>DR9-DR8</f>
      </c>
      <c r="DV8" s="20">
        <f>DS9-DS8</f>
      </c>
      <c r="DW8" s="20">
        <f>DU8*SIN(RADIANS(theta_L))-DV8*COS(RADIANS(theta_L))</f>
      </c>
      <c r="DX8" s="47">
        <f>IF(DW8=0,"",-(DR8*SIN(RADIANS(theta_L))-DS8*COS(RADIANS(theta_L)))/DW8)</f>
      </c>
      <c r="DY8" s="20">
        <f>IF(DX8="","",(DR8+DX8*DU8)*COS(RADIANS(theta_L))+(DS8+DX8*DV8)*SIN(RADIANS(theta_L)))</f>
      </c>
      <c r="DZ8" s="20">
        <f>IF(OR(DX8="",DX8&lt;0,DX8&gt;1,DY8&lt;0),"",DY8)</f>
      </c>
    </row>
    <row r="9" spans="1:130" x14ac:dyDescent="0.25">
      <c r="A9">
        <v>2</v>
      </c>
      <c r="B9" s="44">
        <v>14.999999999999998</v>
      </c>
      <c r="C9" s="18">
        <v>721.9059705798273</v>
      </c>
      <c r="D9" s="18">
        <v>-615.4683059742146</v>
      </c>
      <c r="E9" s="18">
        <v>1337.374276554042</v>
      </c>
      <c r="F9" s="16">
        <v>0.0033</v>
      </c>
      <c r="G9" s="16">
        <v>0</v>
      </c>
      <c r="H9" s="16">
        <v>0</v>
      </c>
      <c r="I9" s="16">
        <v>0.002706227126123641</v>
      </c>
      <c r="J9" s="16">
        <v>7.944809673292979e-7</v>
      </c>
      <c r="K9" s="16">
        <v>2.1288053359778253e-7</v>
      </c>
      <c r="L9" s="16">
        <v>0.0024093406891854616</v>
      </c>
      <c r="M9" s="16">
        <v>0.0000011917214509939468</v>
      </c>
      <c r="N9" s="16">
        <v>3.1932080039667375e-7</v>
      </c>
      <c r="O9" s="16">
        <v>0.002112454252247282</v>
      </c>
      <c r="P9" s="16">
        <v>0.0000015889619346585958</v>
      </c>
      <c r="Q9" s="16">
        <v>4.2576106719556506e-7</v>
      </c>
      <c r="R9" s="16">
        <v>0.0018155678153091023</v>
      </c>
      <c r="S9" s="16">
        <v>0.000001986202418323245</v>
      </c>
      <c r="T9" s="16">
        <v>5.322013339944563e-7</v>
      </c>
      <c r="U9" s="16">
        <v>0.001518681378370923</v>
      </c>
      <c r="V9" s="16">
        <v>0.0000023834429019878937</v>
      </c>
      <c r="W9" s="16">
        <v>6.386416007933475e-7</v>
      </c>
      <c r="X9" s="16">
        <v>0.0012487846175180321</v>
      </c>
      <c r="Y9" s="16">
        <v>0.0000027445706144103018</v>
      </c>
      <c r="Z9" s="16">
        <v>7.354054797014306e-7</v>
      </c>
      <c r="AA9" s="16">
        <v>0.000978887856665142</v>
      </c>
      <c r="AB9" s="16">
        <v>0.00000310569832683271</v>
      </c>
      <c r="AC9" s="16">
        <v>8.321693586095135e-7</v>
      </c>
      <c r="AD9" s="16">
        <v>0.0007089910958122509</v>
      </c>
      <c r="AE9" s="16">
        <v>0.0000034668260392551184</v>
      </c>
      <c r="AF9" s="16">
        <v>9.289332375175965e-7</v>
      </c>
      <c r="AG9" s="16">
        <v>0.0004390943349593607</v>
      </c>
      <c r="AH9" s="16">
        <v>0.0000038279537516775265</v>
      </c>
      <c r="AI9" s="16">
        <v>0.0000010256971164256795</v>
      </c>
      <c r="AJ9" s="16">
        <v>-0.00010069918674642008</v>
      </c>
      <c r="AK9" s="16">
        <v>0.000004550209176522343</v>
      </c>
      <c r="AL9" s="16">
        <v>0.0000012192248742418454</v>
      </c>
      <c r="AM9" s="16">
        <v>-0.001180286230157982</v>
      </c>
      <c r="AN9" s="16">
        <v>0.000005994720026211975</v>
      </c>
      <c r="AO9" s="16">
        <v>0.0000016062803898741773</v>
      </c>
      <c r="AP9" s="16">
        <v>-0.002529770034422435</v>
      </c>
      <c r="AQ9" s="16">
        <v>0.000007800358588324016</v>
      </c>
      <c r="AR9" s="16">
        <v>0.0000020900997844145923</v>
      </c>
      <c r="AS9" s="16">
        <v>-0.0038792538386868856</v>
      </c>
      <c r="AT9" s="16">
        <v>0.000009605997150436054</v>
      </c>
      <c r="AU9" s="16">
        <v>0.0000025739191789550067</v>
      </c>
      <c r="AV9" s="16">
        <v>-0.006578221447215792</v>
      </c>
      <c r="AW9" s="16">
        <v>0.000013217274274660139</v>
      </c>
      <c r="AX9" s="16">
        <v>0.000003541557968035837</v>
      </c>
      <c r="AY9" s="16">
        <v>-0.011976156664273603</v>
      </c>
      <c r="AZ9" s="16">
        <v>0.0000204398285231083</v>
      </c>
      <c r="BA9" s="16">
        <v>0.0000054768355461974965</v>
      </c>
      <c r="BB9" s="16">
        <v>-0.014675124272802504</v>
      </c>
      <c r="BC9" s="16">
        <v>0.000024051105647332378</v>
      </c>
      <c r="BD9" s="16">
        <v>0.000006444474335278325</v>
      </c>
      <c r="BE9" s="16">
        <v>-0.02547099470691813</v>
      </c>
      <c r="BF9" s="16">
        <v>0.00003849621414422871</v>
      </c>
      <c r="BG9" s="16">
        <v>0.000010315029491601644</v>
      </c>
      <c r="BH9" s="16">
        <v>-0.05</v>
      </c>
      <c r="BI9" s="16">
        <v>0</v>
      </c>
      <c r="BJ9" s="16">
        <v>0</v>
      </c>
      <c r="BK9" s="45">
        <v>33981.43387592912</v>
      </c>
      <c r="BL9" s="45">
        <v>33981.43387592912</v>
      </c>
      <c r="BM9" s="45">
        <v>33683.33834920623</v>
      </c>
      <c r="BN9" s="45">
        <v>32195.887925811847</v>
      </c>
      <c r="BO9" s="45">
        <v>29291.135869918773</v>
      </c>
      <c r="BP9" s="45">
        <v>24941.453505539637</v>
      </c>
      <c r="BQ9" s="45">
        <v>21079.019157045306</v>
      </c>
      <c r="BR9" s="45">
        <v>18153.31005527712</v>
      </c>
      <c r="BS9" s="45">
        <v>15853.978475694379</v>
      </c>
      <c r="BT9" s="45">
        <v>13872.542689247419</v>
      </c>
      <c r="BU9" s="45">
        <v>10905.321204451915</v>
      </c>
      <c r="BV9" s="45">
        <v>7089.749963110848</v>
      </c>
      <c r="BW9" s="45">
        <v>3844.8512713785385</v>
      </c>
      <c r="BX9" s="45">
        <v>1694.8502135948982</v>
      </c>
      <c r="BY9" s="45">
        <v>-1005.0490032452154</v>
      </c>
      <c r="BZ9" s="45">
        <v>-3748.2840444667568</v>
      </c>
      <c r="CA9" s="45">
        <v>-4342.297402819011</v>
      </c>
      <c r="CB9" s="45">
        <v>-5310.77508325461</v>
      </c>
      <c r="CC9" s="45">
        <v>-5790.583579096708</v>
      </c>
      <c r="CD9" s="45">
        <v>6.55418261885643e-13</v>
      </c>
      <c r="CE9" s="45">
        <v>6.55418261885643e-13</v>
      </c>
      <c r="CF9" s="45">
        <v>149.46557874838848</v>
      </c>
      <c r="CG9" s="45">
        <v>824.5990209424853</v>
      </c>
      <c r="CH9" s="45">
        <v>2031.1071381478253</v>
      </c>
      <c r="CI9" s="45">
        <v>3717.817740767128</v>
      </c>
      <c r="CJ9" s="45">
        <v>4991.688802120821</v>
      </c>
      <c r="CK9" s="45">
        <v>5680.500632404483</v>
      </c>
      <c r="CL9" s="45">
        <v>6040.781104324074</v>
      </c>
      <c r="CM9" s="45">
        <v>6259.34268071864</v>
      </c>
      <c r="CN9" s="45">
        <v>6257.14251436693</v>
      </c>
      <c r="CO9" s="45">
        <v>5532.796178961822</v>
      </c>
      <c r="CP9" s="45">
        <v>4492.001523797478</v>
      </c>
      <c r="CQ9" s="45">
        <v>3622.670894359037</v>
      </c>
      <c r="CR9" s="45">
        <v>2414.300505273631</v>
      </c>
      <c r="CS9" s="45">
        <v>1090.7796210197923</v>
      </c>
      <c r="CT9" s="45">
        <v>781.5820241116746</v>
      </c>
      <c r="CU9" s="45">
        <v>265.7749105545716</v>
      </c>
      <c r="CV9" s="45">
        <v>0</v>
      </c>
      <c r="CW9" s="45">
        <v>-5.220063030719757e-12</v>
      </c>
      <c r="CX9" s="45">
        <v>-5.220063030719757e-12</v>
      </c>
      <c r="CY9" s="45">
        <v>70.21608158433838</v>
      </c>
      <c r="CZ9" s="45">
        <v>356.29888529444617</v>
      </c>
      <c r="DA9" s="45">
        <v>826.7117869994962</v>
      </c>
      <c r="DB9" s="45">
        <v>1431.5670973691053</v>
      </c>
      <c r="DC9" s="45">
        <v>1637.5475314208286</v>
      </c>
      <c r="DD9" s="45">
        <v>1663.835874467933</v>
      </c>
      <c r="DE9" s="45">
        <v>1729.1726063479675</v>
      </c>
      <c r="DF9" s="45">
        <v>1807.7254003269525</v>
      </c>
      <c r="DG9" s="45">
        <v>1872.1924485206312</v>
      </c>
      <c r="DH9" s="45">
        <v>1919.6896580092746</v>
      </c>
      <c r="DI9" s="45">
        <v>1900.6137973039279</v>
      </c>
      <c r="DJ9" s="45">
        <v>1783.9736600341982</v>
      </c>
      <c r="DK9" s="45">
        <v>1378.3547816058403</v>
      </c>
      <c r="DL9" s="45">
        <v>747.1323533186207</v>
      </c>
      <c r="DM9" s="45">
        <v>577.6653623697622</v>
      </c>
      <c r="DN9" s="45">
        <v>220.8278575618686</v>
      </c>
      <c r="DO9" s="45">
        <v>5.960464477539062e-14</v>
      </c>
      <c r="DP9" s="46">
        <f>MAX(1,MIN(18,SUMPRODUCT(--($BK9:$CC9&gt;=Pu))))</f>
      </c>
      <c r="DQ9" s="47">
        <f>(Pu-INDEX($BK9:$CC9,1,$DP9))/(INDEX($BK9:$CC9,1,$DP9+1)-INDEX($BK9:$CC9,1,$DP9))</f>
      </c>
      <c r="DR9" s="39">
        <f>INDEX($CD9:$CV9,1,$DP9)+$DQ9*(INDEX($CD9:$CV9,1,$DP9+1)-INDEX($CD9:$CV9,1,$DP9))</f>
      </c>
      <c r="DS9" s="39">
        <f>INDEX($CW9:$DO9,1,$DP9)+$DQ9*(INDEX($CW9:$DO9,1,$DP9+1)-INDEX($CW9:$DO9,1,$DP9))</f>
      </c>
      <c r="DT9" s="39">
        <f>SQRT(DR9^2+DS9^2)</f>
      </c>
      <c r="DU9" s="20">
        <f>DR10-DR9</f>
      </c>
      <c r="DV9" s="20">
        <f>DS10-DS9</f>
      </c>
      <c r="DW9" s="20">
        <f>DU9*SIN(RADIANS(theta_L))-DV9*COS(RADIANS(theta_L))</f>
      </c>
      <c r="DX9" s="47">
        <f>IF(DW9=0,"",-(DR9*SIN(RADIANS(theta_L))-DS9*COS(RADIANS(theta_L)))/DW9)</f>
      </c>
      <c r="DY9" s="20">
        <f>IF(DX9="","",(DR9+DX9*DU9)*COS(RADIANS(theta_L))+(DS9+DX9*DV9)*SIN(RADIANS(theta_L)))</f>
      </c>
      <c r="DZ9" s="20">
        <f>IF(OR(DX9="",DX9&lt;0,DX9&gt;1,DY9&lt;0),"",DY9)</f>
      </c>
    </row>
    <row r="10" spans="1:130" x14ac:dyDescent="0.25">
      <c r="A10">
        <v>3</v>
      </c>
      <c r="B10" s="44">
        <v>29.999999999999996</v>
      </c>
      <c r="C10" s="18">
        <v>794.6152422706632</v>
      </c>
      <c r="D10" s="18">
        <v>-658.9934640057525</v>
      </c>
      <c r="E10" s="18">
        <v>1453.6087062764157</v>
      </c>
      <c r="F10" s="16">
        <v>0.0033</v>
      </c>
      <c r="G10" s="16">
        <v>0</v>
      </c>
      <c r="H10" s="16">
        <v>0</v>
      </c>
      <c r="I10" s="16">
        <v>0.002698684967471902</v>
      </c>
      <c r="J10" s="16">
        <v>6.553537688991611e-7</v>
      </c>
      <c r="K10" s="16">
        <v>3.7836867488836633e-7</v>
      </c>
      <c r="L10" s="16">
        <v>0.002398027451207853</v>
      </c>
      <c r="M10" s="16">
        <v>9.830306533487415e-7</v>
      </c>
      <c r="N10" s="16">
        <v>5.675530123325495e-7</v>
      </c>
      <c r="O10" s="16">
        <v>0.0020973699349438038</v>
      </c>
      <c r="P10" s="16">
        <v>0.0000013107075377983221</v>
      </c>
      <c r="Q10" s="16">
        <v>7.567373497767327e-7</v>
      </c>
      <c r="R10" s="16">
        <v>0.0017967124186797547</v>
      </c>
      <c r="S10" s="16">
        <v>0.0000016383844222479025</v>
      </c>
      <c r="T10" s="16">
        <v>9.459216872209158e-7</v>
      </c>
      <c r="U10" s="16">
        <v>0.0014960549024157057</v>
      </c>
      <c r="V10" s="16">
        <v>0.000001966061306697483</v>
      </c>
      <c r="W10" s="16">
        <v>0.000001135106024665099</v>
      </c>
      <c r="X10" s="16">
        <v>0.0012227298876302064</v>
      </c>
      <c r="Y10" s="16">
        <v>0.000002263949383469829</v>
      </c>
      <c r="Z10" s="16">
        <v>0.0000013070917859779928</v>
      </c>
      <c r="AA10" s="16">
        <v>0.0009494048728447071</v>
      </c>
      <c r="AB10" s="16">
        <v>0.0000025618374602421753</v>
      </c>
      <c r="AC10" s="16">
        <v>0.0000014790775472908867</v>
      </c>
      <c r="AD10" s="16">
        <v>0.0006760798580592079</v>
      </c>
      <c r="AE10" s="16">
        <v>0.0000028597255370145212</v>
      </c>
      <c r="AF10" s="16">
        <v>0.0000016510633086037806</v>
      </c>
      <c r="AG10" s="16">
        <v>0.00040275484327370907</v>
      </c>
      <c r="AH10" s="16">
        <v>0.0000031576136137868667</v>
      </c>
      <c r="AI10" s="16">
        <v>0.0000018230490699166743</v>
      </c>
      <c r="AJ10" s="16">
        <v>-0.00014389518629728945</v>
      </c>
      <c r="AK10" s="16">
        <v>0.000003753389767331559</v>
      </c>
      <c r="AL10" s="16">
        <v>0.000002167020592542462</v>
      </c>
      <c r="AM10" s="16">
        <v>-0.001237195245439286</v>
      </c>
      <c r="AN10" s="16">
        <v>0.000004944942074420942</v>
      </c>
      <c r="AO10" s="16">
        <v>0.000002854963637794037</v>
      </c>
      <c r="AP10" s="16">
        <v>-0.002603820319366782</v>
      </c>
      <c r="AQ10" s="16">
        <v>0.000006434382458282672</v>
      </c>
      <c r="AR10" s="16">
        <v>0.000003714892444358506</v>
      </c>
      <c r="AS10" s="16">
        <v>-0.003970445393294277</v>
      </c>
      <c r="AT10" s="16">
        <v>0.0000079238228421444</v>
      </c>
      <c r="AU10" s="16">
        <v>0.000004574821250922974</v>
      </c>
      <c r="AV10" s="16">
        <v>-0.006703695541149268</v>
      </c>
      <c r="AW10" s="16">
        <v>0.00001090270360986786</v>
      </c>
      <c r="AX10" s="16">
        <v>0.0000062946788640519126</v>
      </c>
      <c r="AY10" s="16">
        <v>-0.012170195836859254</v>
      </c>
      <c r="AZ10" s="16">
        <v>0.00001686046514531478</v>
      </c>
      <c r="BA10" s="16">
        <v>0.000009734394090309789</v>
      </c>
      <c r="BB10" s="16">
        <v>-0.014903445984714242</v>
      </c>
      <c r="BC10" s="16">
        <v>0.00001983934591303824</v>
      </c>
      <c r="BD10" s="16">
        <v>0.000011454251703438725</v>
      </c>
      <c r="BE10" s="16">
        <v>-0.02583644657613421</v>
      </c>
      <c r="BF10" s="16">
        <v>0.000031754868983932075</v>
      </c>
      <c r="BG10" s="16">
        <v>0.000018333682155954477</v>
      </c>
      <c r="BH10" s="16">
        <v>-0.05</v>
      </c>
      <c r="BI10" s="16">
        <v>0</v>
      </c>
      <c r="BJ10" s="16">
        <v>0</v>
      </c>
      <c r="BK10" s="45">
        <v>33981.43387592912</v>
      </c>
      <c r="BL10" s="45">
        <v>33981.43387592912</v>
      </c>
      <c r="BM10" s="45">
        <v>33709.56132103513</v>
      </c>
      <c r="BN10" s="45">
        <v>32274.91253840431</v>
      </c>
      <c r="BO10" s="45">
        <v>29492.047328682416</v>
      </c>
      <c r="BP10" s="45">
        <v>25380.86323540859</v>
      </c>
      <c r="BQ10" s="45">
        <v>21708.388171722734</v>
      </c>
      <c r="BR10" s="45">
        <v>18459.098358075855</v>
      </c>
      <c r="BS10" s="45">
        <v>15698.064949720847</v>
      </c>
      <c r="BT10" s="45">
        <v>13398.558181464363</v>
      </c>
      <c r="BU10" s="45">
        <v>9856.426280410444</v>
      </c>
      <c r="BV10" s="45">
        <v>5445.897484036579</v>
      </c>
      <c r="BW10" s="45">
        <v>2370.124745874977</v>
      </c>
      <c r="BX10" s="45">
        <v>508.677244907836</v>
      </c>
      <c r="BY10" s="45">
        <v>-1808.7552903519556</v>
      </c>
      <c r="BZ10" s="45">
        <v>-3878.656213679757</v>
      </c>
      <c r="CA10" s="45">
        <v>-4446.634676915938</v>
      </c>
      <c r="CB10" s="45">
        <v>-5365.037283965969</v>
      </c>
      <c r="CC10" s="45">
        <v>-5790.583579096708</v>
      </c>
      <c r="CD10" s="45">
        <v>6.55418261885643e-13</v>
      </c>
      <c r="CE10" s="45">
        <v>6.55418261885643e-13</v>
      </c>
      <c r="CF10" s="45">
        <v>121.03172823961026</v>
      </c>
      <c r="CG10" s="45">
        <v>698.6720532678627</v>
      </c>
      <c r="CH10" s="45">
        <v>1716.140833510408</v>
      </c>
      <c r="CI10" s="45">
        <v>3127.116699800583</v>
      </c>
      <c r="CJ10" s="45">
        <v>4144.952822607358</v>
      </c>
      <c r="CK10" s="45">
        <v>4824.02175288371</v>
      </c>
      <c r="CL10" s="45">
        <v>5194.520925566539</v>
      </c>
      <c r="CM10" s="45">
        <v>5345.367703847265</v>
      </c>
      <c r="CN10" s="45">
        <v>5211.010266921576</v>
      </c>
      <c r="CO10" s="45">
        <v>4296.04868560701</v>
      </c>
      <c r="CP10" s="45">
        <v>3393.888977432251</v>
      </c>
      <c r="CQ10" s="45">
        <v>2731.3046332448416</v>
      </c>
      <c r="CR10" s="45">
        <v>1813.4055011192856</v>
      </c>
      <c r="CS10" s="45">
        <v>918.8566872839359</v>
      </c>
      <c r="CT10" s="45">
        <v>660.2286032279703</v>
      </c>
      <c r="CU10" s="45">
        <v>225.79149860372453</v>
      </c>
      <c r="CV10" s="45">
        <v>0</v>
      </c>
      <c r="CW10" s="45">
        <v>-5.220063030719757e-12</v>
      </c>
      <c r="CX10" s="45">
        <v>-5.220063030719757e-12</v>
      </c>
      <c r="CY10" s="45">
        <v>117.43745037958298</v>
      </c>
      <c r="CZ10" s="45">
        <v>599.8180994875875</v>
      </c>
      <c r="DA10" s="45">
        <v>1440.0741522887129</v>
      </c>
      <c r="DB10" s="45">
        <v>2508.5541519539247</v>
      </c>
      <c r="DC10" s="45">
        <v>3072.3243988693134</v>
      </c>
      <c r="DD10" s="45">
        <v>3317.9870544614937</v>
      </c>
      <c r="DE10" s="45">
        <v>3475.181445882785</v>
      </c>
      <c r="DF10" s="45">
        <v>3624.778026789106</v>
      </c>
      <c r="DG10" s="45">
        <v>3694.632587230479</v>
      </c>
      <c r="DH10" s="45">
        <v>3539.2938275018173</v>
      </c>
      <c r="DI10" s="45">
        <v>3018.5240917788888</v>
      </c>
      <c r="DJ10" s="45">
        <v>2575.5968664263683</v>
      </c>
      <c r="DK10" s="45">
        <v>1853.2097743702893</v>
      </c>
      <c r="DL10" s="45">
        <v>978.2807687727922</v>
      </c>
      <c r="DM10" s="45">
        <v>710.9496592867695</v>
      </c>
      <c r="DN10" s="45">
        <v>232.98650416913662</v>
      </c>
      <c r="DO10" s="45">
        <v>5.960464477539062e-14</v>
      </c>
      <c r="DP10" s="46">
        <f>MAX(1,MIN(18,SUMPRODUCT(--($BK10:$CC10&gt;=Pu))))</f>
      </c>
      <c r="DQ10" s="47">
        <f>(Pu-INDEX($BK10:$CC10,1,$DP10))/(INDEX($BK10:$CC10,1,$DP10+1)-INDEX($BK10:$CC10,1,$DP10))</f>
      </c>
      <c r="DR10" s="39">
        <f>INDEX($CD10:$CV10,1,$DP10)+$DQ10*(INDEX($CD10:$CV10,1,$DP10+1)-INDEX($CD10:$CV10,1,$DP10))</f>
      </c>
      <c r="DS10" s="39">
        <f>INDEX($CW10:$DO10,1,$DP10)+$DQ10*(INDEX($CW10:$DO10,1,$DP10+1)-INDEX($CW10:$DO10,1,$DP10))</f>
      </c>
      <c r="DT10" s="39">
        <f>SQRT(DR10^2+DS10^2)</f>
      </c>
      <c r="DU10" s="20">
        <f>DR11-DR10</f>
      </c>
      <c r="DV10" s="20">
        <f>DS11-DS10</f>
      </c>
      <c r="DW10" s="20">
        <f>DU10*SIN(RADIANS(theta_L))-DV10*COS(RADIANS(theta_L))</f>
      </c>
      <c r="DX10" s="47">
        <f>IF(DW10=0,"",-(DR10*SIN(RADIANS(theta_L))-DS10*COS(RADIANS(theta_L)))/DW10)</f>
      </c>
      <c r="DY10" s="20">
        <f>IF(DX10="","",(DR10+DX10*DU10)*COS(RADIANS(theta_L))+(DS10+DX10*DV10)*SIN(RADIANS(theta_L)))</f>
      </c>
      <c r="DZ10" s="20">
        <f>IF(OR(DX10="",DX10&lt;0,DX10&gt;1,DY10&lt;0),"",DY10)</f>
      </c>
    </row>
    <row r="11" spans="1:130" x14ac:dyDescent="0.25">
      <c r="A11">
        <v>4</v>
      </c>
      <c r="B11" s="44">
        <v>45</v>
      </c>
      <c r="C11" s="18">
        <v>813.1727983645296</v>
      </c>
      <c r="D11" s="18">
        <v>-692.9646455628165</v>
      </c>
      <c r="E11" s="18">
        <v>1506.137443927346</v>
      </c>
      <c r="F11" s="16">
        <v>0.0033</v>
      </c>
      <c r="G11" s="16">
        <v>0</v>
      </c>
      <c r="H11" s="16">
        <v>0</v>
      </c>
      <c r="I11" s="16">
        <v>0.0027061032863849766</v>
      </c>
      <c r="J11" s="16">
        <v>5.164319248826291e-7</v>
      </c>
      <c r="K11" s="16">
        <v>5.164319248826291e-7</v>
      </c>
      <c r="L11" s="16">
        <v>0.0024091549295774646</v>
      </c>
      <c r="M11" s="16">
        <v>7.746478873239438e-7</v>
      </c>
      <c r="N11" s="16">
        <v>7.746478873239437e-7</v>
      </c>
      <c r="O11" s="16">
        <v>0.002112206572769953</v>
      </c>
      <c r="P11" s="16">
        <v>0.0000010328638497652582</v>
      </c>
      <c r="Q11" s="16">
        <v>0.0000010328638497652582</v>
      </c>
      <c r="R11" s="16">
        <v>0.0018152582159624412</v>
      </c>
      <c r="S11" s="16">
        <v>0.000001291079812206573</v>
      </c>
      <c r="T11" s="16">
        <v>0.0000012910798122065728</v>
      </c>
      <c r="U11" s="16">
        <v>0.0015183098591549295</v>
      </c>
      <c r="V11" s="16">
        <v>0.0000015492957746478875</v>
      </c>
      <c r="W11" s="16">
        <v>0.0000015492957746478873</v>
      </c>
      <c r="X11" s="16">
        <v>0.0012483568075117371</v>
      </c>
      <c r="Y11" s="16">
        <v>0.0000017840375586854462</v>
      </c>
      <c r="Z11" s="16">
        <v>0.000001784037558685446</v>
      </c>
      <c r="AA11" s="16">
        <v>0.0009784037558685445</v>
      </c>
      <c r="AB11" s="16">
        <v>0.000002018779342723005</v>
      </c>
      <c r="AC11" s="16">
        <v>0.0000020187793427230047</v>
      </c>
      <c r="AD11" s="16">
        <v>0.0007084507042253519</v>
      </c>
      <c r="AE11" s="16">
        <v>0.000002253521126760564</v>
      </c>
      <c r="AF11" s="16">
        <v>0.0000022535211267605635</v>
      </c>
      <c r="AG11" s="16">
        <v>0.0004384976525821597</v>
      </c>
      <c r="AH11" s="16">
        <v>0.000002488262910798122</v>
      </c>
      <c r="AI11" s="16">
        <v>0.0000024882629107981218</v>
      </c>
      <c r="AJ11" s="16">
        <v>-0.00010140845070422512</v>
      </c>
      <c r="AK11" s="16">
        <v>0.0000029577464788732396</v>
      </c>
      <c r="AL11" s="16">
        <v>0.000002957746478873239</v>
      </c>
      <c r="AM11" s="16">
        <v>-0.0011812206572769952</v>
      </c>
      <c r="AN11" s="16">
        <v>0.000003896713615023475</v>
      </c>
      <c r="AO11" s="16">
        <v>0.000003896713615023474</v>
      </c>
      <c r="AP11" s="16">
        <v>-0.0025309859154929587</v>
      </c>
      <c r="AQ11" s="16">
        <v>0.0000050704225352112685</v>
      </c>
      <c r="AR11" s="16">
        <v>0.000005070422535211268</v>
      </c>
      <c r="AS11" s="16">
        <v>-0.0038807511737089205</v>
      </c>
      <c r="AT11" s="16">
        <v>0.000006244131455399062</v>
      </c>
      <c r="AU11" s="16">
        <v>0.000006244131455399061</v>
      </c>
      <c r="AV11" s="16">
        <v>-0.006580281690140845</v>
      </c>
      <c r="AW11" s="16">
        <v>0.000008591549295774648</v>
      </c>
      <c r="AX11" s="16">
        <v>0.000008591549295774648</v>
      </c>
      <c r="AY11" s="16">
        <v>-0.011979342723004698</v>
      </c>
      <c r="AZ11" s="16">
        <v>0.000013286384976525825</v>
      </c>
      <c r="BA11" s="16">
        <v>0.000013286384976525823</v>
      </c>
      <c r="BB11" s="16">
        <v>-0.014678873239436618</v>
      </c>
      <c r="BC11" s="16">
        <v>0.00001563380281690141</v>
      </c>
      <c r="BD11" s="16">
        <v>0.000015633802816901405</v>
      </c>
      <c r="BE11" s="16">
        <v>-0.025476995305164323</v>
      </c>
      <c r="BF11" s="16">
        <v>0.00002502347417840376</v>
      </c>
      <c r="BG11" s="16">
        <v>0.000025023474178403757</v>
      </c>
      <c r="BH11" s="16">
        <v>-0.05</v>
      </c>
      <c r="BI11" s="16">
        <v>0</v>
      </c>
      <c r="BJ11" s="16">
        <v>0</v>
      </c>
      <c r="BK11" s="45">
        <v>33981.43387592912</v>
      </c>
      <c r="BL11" s="45">
        <v>33981.43387592912</v>
      </c>
      <c r="BM11" s="45">
        <v>33711.973106443584</v>
      </c>
      <c r="BN11" s="45">
        <v>32324.754172481236</v>
      </c>
      <c r="BO11" s="45">
        <v>29645.51129999996</v>
      </c>
      <c r="BP11" s="45">
        <v>25684.929585636346</v>
      </c>
      <c r="BQ11" s="45">
        <v>22177.723029219564</v>
      </c>
      <c r="BR11" s="45">
        <v>18979.270554131403</v>
      </c>
      <c r="BS11" s="45">
        <v>16067.259929616906</v>
      </c>
      <c r="BT11" s="45">
        <v>13499.863076045342</v>
      </c>
      <c r="BU11" s="45">
        <v>9710.243938255044</v>
      </c>
      <c r="BV11" s="45">
        <v>5338.031056097862</v>
      </c>
      <c r="BW11" s="45">
        <v>2577.6886756194767</v>
      </c>
      <c r="BX11" s="45">
        <v>864.5322933090008</v>
      </c>
      <c r="BY11" s="45">
        <v>-1278.5766170011843</v>
      </c>
      <c r="BZ11" s="45">
        <v>-3360.3563598997266</v>
      </c>
      <c r="CA11" s="45">
        <v>-3850.663465060099</v>
      </c>
      <c r="CB11" s="45">
        <v>-4953.192844787607</v>
      </c>
      <c r="CC11" s="45">
        <v>-5790.583579096708</v>
      </c>
      <c r="CD11" s="45">
        <v>6.55418261885643e-13</v>
      </c>
      <c r="CE11" s="45">
        <v>6.55418261885643e-13</v>
      </c>
      <c r="CF11" s="45">
        <v>100.34397019615575</v>
      </c>
      <c r="CG11" s="45">
        <v>548.8260683219773</v>
      </c>
      <c r="CH11" s="45">
        <v>1370.2915622561723</v>
      </c>
      <c r="CI11" s="45">
        <v>2445.851549210543</v>
      </c>
      <c r="CJ11" s="45">
        <v>3130.963072793861</v>
      </c>
      <c r="CK11" s="45">
        <v>3588.988519535208</v>
      </c>
      <c r="CL11" s="45">
        <v>3894.3636690515546</v>
      </c>
      <c r="CM11" s="45">
        <v>4061.77825197449</v>
      </c>
      <c r="CN11" s="45">
        <v>3955.4069913013877</v>
      </c>
      <c r="CO11" s="45">
        <v>3386.0006801384716</v>
      </c>
      <c r="CP11" s="45">
        <v>2776.572323245784</v>
      </c>
      <c r="CQ11" s="45">
        <v>2355.4275154055426</v>
      </c>
      <c r="CR11" s="45">
        <v>1744.1074390688634</v>
      </c>
      <c r="CS11" s="45">
        <v>1020.0691747910108</v>
      </c>
      <c r="CT11" s="45">
        <v>837.6667585195916</v>
      </c>
      <c r="CU11" s="45">
        <v>366.4997807056092</v>
      </c>
      <c r="CV11" s="45">
        <v>0</v>
      </c>
      <c r="CW11" s="45">
        <v>-5.220063030719757e-12</v>
      </c>
      <c r="CX11" s="45">
        <v>-5.220063030719757e-12</v>
      </c>
      <c r="CY11" s="45">
        <v>144.9821452091707</v>
      </c>
      <c r="CZ11" s="45">
        <v>781.8724217350913</v>
      </c>
      <c r="DA11" s="45">
        <v>1853.1567537346289</v>
      </c>
      <c r="DB11" s="45">
        <v>3294.5068781674822</v>
      </c>
      <c r="DC11" s="45">
        <v>4203.795456845137</v>
      </c>
      <c r="DD11" s="45">
        <v>4733.1110542519455</v>
      </c>
      <c r="DE11" s="45">
        <v>5038.6928116182735</v>
      </c>
      <c r="DF11" s="45">
        <v>5211.059738835251</v>
      </c>
      <c r="DG11" s="45">
        <v>5242.9350645420645</v>
      </c>
      <c r="DH11" s="45">
        <v>4701.123898081748</v>
      </c>
      <c r="DI11" s="45">
        <v>3988.9655889201435</v>
      </c>
      <c r="DJ11" s="45">
        <v>3385.5099366994486</v>
      </c>
      <c r="DK11" s="45">
        <v>2465.457656913543</v>
      </c>
      <c r="DL11" s="45">
        <v>1414.8205982642025</v>
      </c>
      <c r="DM11" s="45">
        <v>1139.334476261211</v>
      </c>
      <c r="DN11" s="45">
        <v>529.8431583249051</v>
      </c>
      <c r="DO11" s="45">
        <v>5.960464477539062e-14</v>
      </c>
      <c r="DP11" s="46">
        <f>MAX(1,MIN(18,SUMPRODUCT(--($BK11:$CC11&gt;=Pu))))</f>
      </c>
      <c r="DQ11" s="47">
        <f>(Pu-INDEX($BK11:$CC11,1,$DP11))/(INDEX($BK11:$CC11,1,$DP11+1)-INDEX($BK11:$CC11,1,$DP11))</f>
      </c>
      <c r="DR11" s="39">
        <f>INDEX($CD11:$CV11,1,$DP11)+$DQ11*(INDEX($CD11:$CV11,1,$DP11+1)-INDEX($CD11:$CV11,1,$DP11))</f>
      </c>
      <c r="DS11" s="39">
        <f>INDEX($CW11:$DO11,1,$DP11)+$DQ11*(INDEX($CW11:$DO11,1,$DP11+1)-INDEX($CW11:$DO11,1,$DP11))</f>
      </c>
      <c r="DT11" s="39">
        <f>SQRT(DR11^2+DS11^2)</f>
      </c>
      <c r="DU11" s="20">
        <f>DR12-DR11</f>
      </c>
      <c r="DV11" s="20">
        <f>DS12-DS11</f>
      </c>
      <c r="DW11" s="20">
        <f>DU11*SIN(RADIANS(theta_L))-DV11*COS(RADIANS(theta_L))</f>
      </c>
      <c r="DX11" s="47">
        <f>IF(DW11=0,"",-(DR11*SIN(RADIANS(theta_L))-DS11*COS(RADIANS(theta_L)))/DW11)</f>
      </c>
      <c r="DY11" s="20">
        <f>IF(DX11="","",(DR11+DX11*DU11)*COS(RADIANS(theta_L))+(DS11+DX11*DV11)*SIN(RADIANS(theta_L)))</f>
      </c>
      <c r="DZ11" s="20">
        <f>IF(OR(DX11="",DX11&lt;0,DX11&gt;1,DY11&lt;0),"",DY11)</f>
      </c>
    </row>
    <row r="12" spans="1:130" x14ac:dyDescent="0.25">
      <c r="A12">
        <v>5</v>
      </c>
      <c r="B12" s="44">
        <v>59.99999999999999</v>
      </c>
      <c r="C12" s="18">
        <v>849.5190528383291</v>
      </c>
      <c r="D12" s="18">
        <v>-738.8972745734183</v>
      </c>
      <c r="E12" s="18">
        <v>1588.4163274117473</v>
      </c>
      <c r="F12" s="16">
        <v>0.0033</v>
      </c>
      <c r="G12" s="16">
        <v>0</v>
      </c>
      <c r="H12" s="16">
        <v>0</v>
      </c>
      <c r="I12" s="16">
        <v>0.0027116964538857137</v>
      </c>
      <c r="J12" s="16">
        <v>3.462568285835995e-7</v>
      </c>
      <c r="K12" s="16">
        <v>5.997344195744617e-7</v>
      </c>
      <c r="L12" s="16">
        <v>0.0024175446808285704</v>
      </c>
      <c r="M12" s="16">
        <v>5.193852428753993e-7</v>
      </c>
      <c r="N12" s="16">
        <v>8.996016293616926e-7</v>
      </c>
      <c r="O12" s="16">
        <v>0.0021233929077714275</v>
      </c>
      <c r="P12" s="16">
        <v>6.92513657167199e-7</v>
      </c>
      <c r="Q12" s="16">
        <v>0.0000011994688391489235</v>
      </c>
      <c r="R12" s="16">
        <v>0.0018292411347142843</v>
      </c>
      <c r="S12" s="16">
        <v>8.65642071458999e-7</v>
      </c>
      <c r="T12" s="16">
        <v>0.0000014993360489361545</v>
      </c>
      <c r="U12" s="16">
        <v>0.0015350893616571412</v>
      </c>
      <c r="V12" s="16">
        <v>0.0000010387704857507987</v>
      </c>
      <c r="W12" s="16">
        <v>0.0000017992032587233852</v>
      </c>
      <c r="X12" s="16">
        <v>0.0012676786588779205</v>
      </c>
      <c r="Y12" s="16">
        <v>0.0000011961599532887984</v>
      </c>
      <c r="Z12" s="16">
        <v>0.000002071809813075413</v>
      </c>
      <c r="AA12" s="16">
        <v>0.0010002679560986993</v>
      </c>
      <c r="AB12" s="16">
        <v>0.0000013535494208267981</v>
      </c>
      <c r="AC12" s="16">
        <v>0.0000023444163674274413</v>
      </c>
      <c r="AD12" s="16">
        <v>0.0007328572533194782</v>
      </c>
      <c r="AE12" s="16">
        <v>0.0000015109388883647983</v>
      </c>
      <c r="AF12" s="16">
        <v>0.00000261702292177947</v>
      </c>
      <c r="AG12" s="16">
        <v>0.00046544655054025705</v>
      </c>
      <c r="AH12" s="16">
        <v>0.000001668328355902798</v>
      </c>
      <c r="AI12" s="16">
        <v>0.0000028896294761314977</v>
      </c>
      <c r="AJ12" s="16">
        <v>-0.00006937485501818481</v>
      </c>
      <c r="AK12" s="16">
        <v>0.0000019831072909787975</v>
      </c>
      <c r="AL12" s="16">
        <v>0.000003434842584835554</v>
      </c>
      <c r="AM12" s="16">
        <v>-0.001139017666135069</v>
      </c>
      <c r="AN12" s="16">
        <v>0.0000026126651611307964</v>
      </c>
      <c r="AO12" s="16">
        <v>0.000004525268802243666</v>
      </c>
      <c r="AP12" s="16">
        <v>-0.002476071180031174</v>
      </c>
      <c r="AQ12" s="16">
        <v>0.000003399612498820796</v>
      </c>
      <c r="AR12" s="16">
        <v>0.000005888301574003807</v>
      </c>
      <c r="AS12" s="16">
        <v>-0.0038131246939272787</v>
      </c>
      <c r="AT12" s="16">
        <v>0.000004186559836510794</v>
      </c>
      <c r="AU12" s="16">
        <v>0.000007251334345763946</v>
      </c>
      <c r="AV12" s="16">
        <v>-0.00648723172171949</v>
      </c>
      <c r="AW12" s="16">
        <v>0.000005760454511890793</v>
      </c>
      <c r="AX12" s="16">
        <v>0.000009977399889284227</v>
      </c>
      <c r="AY12" s="16">
        <v>-0.011835445777303912</v>
      </c>
      <c r="AZ12" s="16">
        <v>0.00000890824386265079</v>
      </c>
      <c r="BA12" s="16">
        <v>0.000015429530976324792</v>
      </c>
      <c r="BB12" s="16">
        <v>-0.014509552805096117</v>
      </c>
      <c r="BC12" s="16">
        <v>0.000010482138538030784</v>
      </c>
      <c r="BD12" s="16">
        <v>0.000018155596519845067</v>
      </c>
      <c r="BE12" s="16">
        <v>-0.025205980916264956</v>
      </c>
      <c r="BF12" s="16">
        <v>0.000016777717239550777</v>
      </c>
      <c r="BG12" s="16">
        <v>0.00002905985869392619</v>
      </c>
      <c r="BH12" s="16">
        <v>-0.05</v>
      </c>
      <c r="BI12" s="16">
        <v>0</v>
      </c>
      <c r="BJ12" s="16">
        <v>0</v>
      </c>
      <c r="BK12" s="45">
        <v>33981.43387592912</v>
      </c>
      <c r="BL12" s="45">
        <v>33981.43387592912</v>
      </c>
      <c r="BM12" s="45">
        <v>33732.275164968916</v>
      </c>
      <c r="BN12" s="45">
        <v>32442.176950113164</v>
      </c>
      <c r="BO12" s="45">
        <v>29880.95614156897</v>
      </c>
      <c r="BP12" s="45">
        <v>25940.546929557837</v>
      </c>
      <c r="BQ12" s="45">
        <v>22365.056293892365</v>
      </c>
      <c r="BR12" s="45">
        <v>19282.099301619695</v>
      </c>
      <c r="BS12" s="45">
        <v>16419.912862858284</v>
      </c>
      <c r="BT12" s="45">
        <v>13726.14402666004</v>
      </c>
      <c r="BU12" s="45">
        <v>9630.539386630138</v>
      </c>
      <c r="BV12" s="45">
        <v>5508.747972884244</v>
      </c>
      <c r="BW12" s="45">
        <v>2777.9334836488993</v>
      </c>
      <c r="BX12" s="45">
        <v>1058.986334659224</v>
      </c>
      <c r="BY12" s="45">
        <v>-1196.8281060371623</v>
      </c>
      <c r="BZ12" s="45">
        <v>-3534.6438654772687</v>
      </c>
      <c r="CA12" s="45">
        <v>-4132.635296395528</v>
      </c>
      <c r="CB12" s="45">
        <v>-5099.208683086498</v>
      </c>
      <c r="CC12" s="45">
        <v>-5790.583579096708</v>
      </c>
      <c r="CD12" s="45">
        <v>6.55418261885643e-13</v>
      </c>
      <c r="CE12" s="45">
        <v>6.55418261885643e-13</v>
      </c>
      <c r="CF12" s="45">
        <v>66.5485079584105</v>
      </c>
      <c r="CG12" s="45">
        <v>372.8755059997157</v>
      </c>
      <c r="CH12" s="45">
        <v>915.4823718379813</v>
      </c>
      <c r="CI12" s="45">
        <v>1654.9809739342713</v>
      </c>
      <c r="CJ12" s="45">
        <v>2065.6607176110756</v>
      </c>
      <c r="CK12" s="45">
        <v>2293.7415307423275</v>
      </c>
      <c r="CL12" s="45">
        <v>2487.291764485568</v>
      </c>
      <c r="CM12" s="45">
        <v>2613.1907890263437</v>
      </c>
      <c r="CN12" s="45">
        <v>2568.336069400564</v>
      </c>
      <c r="CO12" s="45">
        <v>2293.6033831874665</v>
      </c>
      <c r="CP12" s="45">
        <v>2024.3906928320002</v>
      </c>
      <c r="CQ12" s="45">
        <v>1771.8188658267422</v>
      </c>
      <c r="CR12" s="45">
        <v>1356.7755011088157</v>
      </c>
      <c r="CS12" s="45">
        <v>787.8528781016951</v>
      </c>
      <c r="CT12" s="45">
        <v>582.236339251752</v>
      </c>
      <c r="CU12" s="45">
        <v>259.3208542061885</v>
      </c>
      <c r="CV12" s="45">
        <v>0</v>
      </c>
      <c r="CW12" s="45">
        <v>-5.220063030719757e-12</v>
      </c>
      <c r="CX12" s="45">
        <v>-5.220063030719757e-12</v>
      </c>
      <c r="CY12" s="45">
        <v>150.96810793890822</v>
      </c>
      <c r="CZ12" s="45">
        <v>847.7229472914362</v>
      </c>
      <c r="DA12" s="45">
        <v>2067.555436986981</v>
      </c>
      <c r="DB12" s="45">
        <v>3756.767842390123</v>
      </c>
      <c r="DC12" s="45">
        <v>4955.668609924965</v>
      </c>
      <c r="DD12" s="45">
        <v>5622.895415514314</v>
      </c>
      <c r="DE12" s="45">
        <v>6015.640819147438</v>
      </c>
      <c r="DF12" s="45">
        <v>6261.0453900840885</v>
      </c>
      <c r="DG12" s="45">
        <v>6292.813226473766</v>
      </c>
      <c r="DH12" s="45">
        <v>5625.969198198719</v>
      </c>
      <c r="DI12" s="45">
        <v>4730.789935480555</v>
      </c>
      <c r="DJ12" s="45">
        <v>3949.8309751312704</v>
      </c>
      <c r="DK12" s="45">
        <v>2781.508261019259</v>
      </c>
      <c r="DL12" s="45">
        <v>1433.9094866871567</v>
      </c>
      <c r="DM12" s="45">
        <v>1084.6129739144048</v>
      </c>
      <c r="DN12" s="45">
        <v>468.13139458585533</v>
      </c>
      <c r="DO12" s="45">
        <v>5.960464477539062e-14</v>
      </c>
      <c r="DP12" s="46">
        <f>MAX(1,MIN(18,SUMPRODUCT(--($BK12:$CC12&gt;=Pu))))</f>
      </c>
      <c r="DQ12" s="47">
        <f>(Pu-INDEX($BK12:$CC12,1,$DP12))/(INDEX($BK12:$CC12,1,$DP12+1)-INDEX($BK12:$CC12,1,$DP12))</f>
      </c>
      <c r="DR12" s="39">
        <f>INDEX($CD12:$CV12,1,$DP12)+$DQ12*(INDEX($CD12:$CV12,1,$DP12+1)-INDEX($CD12:$CV12,1,$DP12))</f>
      </c>
      <c r="DS12" s="39">
        <f>INDEX($CW12:$DO12,1,$DP12)+$DQ12*(INDEX($CW12:$DO12,1,$DP12+1)-INDEX($CW12:$DO12,1,$DP12))</f>
      </c>
      <c r="DT12" s="39">
        <f>SQRT(DR12^2+DS12^2)</f>
      </c>
      <c r="DU12" s="20">
        <f>DR13-DR12</f>
      </c>
      <c r="DV12" s="20">
        <f>DS13-DS12</f>
      </c>
      <c r="DW12" s="20">
        <f>DU12*SIN(RADIANS(theta_L))-DV12*COS(RADIANS(theta_L))</f>
      </c>
      <c r="DX12" s="47">
        <f>IF(DW12=0,"",-(DR12*SIN(RADIANS(theta_L))-DS12*COS(RADIANS(theta_L)))/DW12)</f>
      </c>
      <c r="DY12" s="20">
        <f>IF(DX12="","",(DR12+DX12*DU12)*COS(RADIANS(theta_L))+(DS12+DX12*DV12)*SIN(RADIANS(theta_L)))</f>
      </c>
      <c r="DZ12" s="20">
        <f>IF(OR(DX12="",DX12&lt;0,DX12&gt;1,DY12&lt;0),"",DY12)</f>
      </c>
    </row>
    <row r="13" spans="1:130" x14ac:dyDescent="0.25">
      <c r="A13">
        <v>6</v>
      </c>
      <c r="B13" s="44">
        <v>75.00000000000001</v>
      </c>
      <c r="C13" s="18">
        <v>827.9719877578095</v>
      </c>
      <c r="D13" s="18">
        <v>-734.4752754073227</v>
      </c>
      <c r="E13" s="18">
        <v>1562.4472631651322</v>
      </c>
      <c r="F13" s="16">
        <v>0.0033</v>
      </c>
      <c r="G13" s="16">
        <v>0</v>
      </c>
      <c r="H13" s="16">
        <v>0</v>
      </c>
      <c r="I13" s="16">
        <v>0.0027170880464223814</v>
      </c>
      <c r="J13" s="16">
        <v>1.8221475778711343e-7</v>
      </c>
      <c r="K13" s="16">
        <v>6.80034733950364e-7</v>
      </c>
      <c r="L13" s="16">
        <v>0.0024256320696335724</v>
      </c>
      <c r="M13" s="16">
        <v>2.733221366806701e-7</v>
      </c>
      <c r="N13" s="16">
        <v>0.0000010200521009255462</v>
      </c>
      <c r="O13" s="16">
        <v>0.002134176092844763</v>
      </c>
      <c r="P13" s="16">
        <v>3.6442951557422685e-7</v>
      </c>
      <c r="Q13" s="16">
        <v>0.000001360069467900728</v>
      </c>
      <c r="R13" s="16">
        <v>0.0018427201160559539</v>
      </c>
      <c r="S13" s="16">
        <v>4.5553689446778355e-7</v>
      </c>
      <c r="T13" s="16">
        <v>0.0000017000868348759101</v>
      </c>
      <c r="U13" s="16">
        <v>0.0015512641392671448</v>
      </c>
      <c r="V13" s="16">
        <v>5.466442733613402e-7</v>
      </c>
      <c r="W13" s="16">
        <v>0.0000020401042018510924</v>
      </c>
      <c r="X13" s="16">
        <v>0.0012863041603682272</v>
      </c>
      <c r="Y13" s="16">
        <v>6.294691632645736e-7</v>
      </c>
      <c r="Z13" s="16">
        <v>0.0000023492108991012574</v>
      </c>
      <c r="AA13" s="16">
        <v>0.0010213441814693096</v>
      </c>
      <c r="AB13" s="16">
        <v>7.12294053167807e-7</v>
      </c>
      <c r="AC13" s="16">
        <v>0.0000026583175963514233</v>
      </c>
      <c r="AD13" s="16">
        <v>0.000756384202570392</v>
      </c>
      <c r="AE13" s="16">
        <v>7.951189430710405e-7</v>
      </c>
      <c r="AF13" s="16">
        <v>0.000002967424293601589</v>
      </c>
      <c r="AG13" s="16">
        <v>0.0004914242236714749</v>
      </c>
      <c r="AH13" s="16">
        <v>8.779438329742738e-7</v>
      </c>
      <c r="AI13" s="16">
        <v>0.000003276530990851754</v>
      </c>
      <c r="AJ13" s="16">
        <v>-0.00003849573412636033</v>
      </c>
      <c r="AK13" s="16">
        <v>0.0000010435936127807405</v>
      </c>
      <c r="AL13" s="16">
        <v>0.000003894744385352085</v>
      </c>
      <c r="AM13" s="16">
        <v>-0.0010983356497220303</v>
      </c>
      <c r="AN13" s="16">
        <v>0.000001374893172393674</v>
      </c>
      <c r="AO13" s="16">
        <v>0.000005131171174352748</v>
      </c>
      <c r="AP13" s="16">
        <v>-0.002423135544216617</v>
      </c>
      <c r="AQ13" s="16">
        <v>0.0000017890176219098409</v>
      </c>
      <c r="AR13" s="16">
        <v>0.000006676704660603575</v>
      </c>
      <c r="AS13" s="16">
        <v>-0.0037479354387112036</v>
      </c>
      <c r="AT13" s="16">
        <v>0.0000022031420714260076</v>
      </c>
      <c r="AU13" s="16">
        <v>0.000008222238146854401</v>
      </c>
      <c r="AV13" s="16">
        <v>-0.00639753522770038</v>
      </c>
      <c r="AW13" s="16">
        <v>0.0000030313909704583413</v>
      </c>
      <c r="AX13" s="16">
        <v>0.000011313305119356057</v>
      </c>
      <c r="AY13" s="16">
        <v>-0.011696734805678729</v>
      </c>
      <c r="AZ13" s="16">
        <v>0.000004687888768523009</v>
      </c>
      <c r="BA13" s="16">
        <v>0.000017495439064359368</v>
      </c>
      <c r="BB13" s="16">
        <v>-0.0143463345946679</v>
      </c>
      <c r="BC13" s="16">
        <v>0.000005516137667555342</v>
      </c>
      <c r="BD13" s="16">
        <v>0.00002058650603686102</v>
      </c>
      <c r="BE13" s="16">
        <v>-0.0249447337506246</v>
      </c>
      <c r="BF13" s="16">
        <v>0.000008829133263684677</v>
      </c>
      <c r="BG13" s="16">
        <v>0.00003295077392686764</v>
      </c>
      <c r="BH13" s="16">
        <v>-0.05</v>
      </c>
      <c r="BI13" s="16">
        <v>0</v>
      </c>
      <c r="BJ13" s="16">
        <v>0</v>
      </c>
      <c r="BK13" s="45">
        <v>33981.43387592912</v>
      </c>
      <c r="BL13" s="45">
        <v>33981.43387592912</v>
      </c>
      <c r="BM13" s="45">
        <v>33699.951602355715</v>
      </c>
      <c r="BN13" s="45">
        <v>32362.20739742433</v>
      </c>
      <c r="BO13" s="45">
        <v>29742.711773403986</v>
      </c>
      <c r="BP13" s="45">
        <v>25715.53592304179</v>
      </c>
      <c r="BQ13" s="45">
        <v>22178.69567578829</v>
      </c>
      <c r="BR13" s="45">
        <v>19344.445001310334</v>
      </c>
      <c r="BS13" s="45">
        <v>16591.394507266497</v>
      </c>
      <c r="BT13" s="45">
        <v>13902.27678530053</v>
      </c>
      <c r="BU13" s="45">
        <v>9868.130053874122</v>
      </c>
      <c r="BV13" s="45">
        <v>6081.538411416759</v>
      </c>
      <c r="BW13" s="45">
        <v>3767.308033362811</v>
      </c>
      <c r="BX13" s="45">
        <v>2190.5626367529635</v>
      </c>
      <c r="BY13" s="45">
        <v>-129.43526123327996</v>
      </c>
      <c r="BZ13" s="45">
        <v>-2891.689713327644</v>
      </c>
      <c r="CA13" s="45">
        <v>-3653.9148278425037</v>
      </c>
      <c r="CB13" s="45">
        <v>-4971.652162684369</v>
      </c>
      <c r="CC13" s="45">
        <v>-5790.583579096708</v>
      </c>
      <c r="CD13" s="45">
        <v>6.55418261885643e-13</v>
      </c>
      <c r="CE13" s="45">
        <v>6.55418261885643e-13</v>
      </c>
      <c r="CF13" s="45">
        <v>37.38925408938144</v>
      </c>
      <c r="CG13" s="45">
        <v>206.63269187878745</v>
      </c>
      <c r="CH13" s="45">
        <v>488.9688171248982</v>
      </c>
      <c r="CI13" s="45">
        <v>873.6733742801322</v>
      </c>
      <c r="CJ13" s="45">
        <v>1025.4068104024852</v>
      </c>
      <c r="CK13" s="45">
        <v>1120.2327475234556</v>
      </c>
      <c r="CL13" s="45">
        <v>1222.593389803483</v>
      </c>
      <c r="CM13" s="45">
        <v>1297.5633454191284</v>
      </c>
      <c r="CN13" s="45">
        <v>1289.5200939282765</v>
      </c>
      <c r="CO13" s="45">
        <v>1127.9695537279463</v>
      </c>
      <c r="CP13" s="45">
        <v>1090.2383763194405</v>
      </c>
      <c r="CQ13" s="45">
        <v>1042.2648888063234</v>
      </c>
      <c r="CR13" s="45">
        <v>886.2079085439349</v>
      </c>
      <c r="CS13" s="45">
        <v>557.4304745876071</v>
      </c>
      <c r="CT13" s="45">
        <v>491.94356204758657</v>
      </c>
      <c r="CU13" s="45">
        <v>248.59554335325075</v>
      </c>
      <c r="CV13" s="45">
        <v>0</v>
      </c>
      <c r="CW13" s="45">
        <v>-5.220063030719757e-12</v>
      </c>
      <c r="CX13" s="45">
        <v>-5.220063030719757e-12</v>
      </c>
      <c r="CY13" s="45">
        <v>182.77211763475077</v>
      </c>
      <c r="CZ13" s="45">
        <v>960.051704016858</v>
      </c>
      <c r="DA13" s="45">
        <v>2327.6471822135554</v>
      </c>
      <c r="DB13" s="45">
        <v>4238.781903175671</v>
      </c>
      <c r="DC13" s="45">
        <v>5536.430944124315</v>
      </c>
      <c r="DD13" s="45">
        <v>6151.0916753733845</v>
      </c>
      <c r="DE13" s="45">
        <v>6552.682756245404</v>
      </c>
      <c r="DF13" s="45">
        <v>6841.756781317871</v>
      </c>
      <c r="DG13" s="45">
        <v>6876.649513681551</v>
      </c>
      <c r="DH13" s="45">
        <v>6368.699418538781</v>
      </c>
      <c r="DI13" s="45">
        <v>5628.931375968668</v>
      </c>
      <c r="DJ13" s="45">
        <v>4917.9073243077355</v>
      </c>
      <c r="DK13" s="45">
        <v>3659.215107917819</v>
      </c>
      <c r="DL13" s="45">
        <v>1968.091093220776</v>
      </c>
      <c r="DM13" s="45">
        <v>1462.3817565125246</v>
      </c>
      <c r="DN13" s="45">
        <v>570.4037710993287</v>
      </c>
      <c r="DO13" s="45">
        <v>5.960464477539062e-14</v>
      </c>
      <c r="DP13" s="46">
        <f>MAX(1,MIN(18,SUMPRODUCT(--($BK13:$CC13&gt;=Pu))))</f>
      </c>
      <c r="DQ13" s="47">
        <f>(Pu-INDEX($BK13:$CC13,1,$DP13))/(INDEX($BK13:$CC13,1,$DP13+1)-INDEX($BK13:$CC13,1,$DP13))</f>
      </c>
      <c r="DR13" s="39">
        <f>INDEX($CD13:$CV13,1,$DP13)+$DQ13*(INDEX($CD13:$CV13,1,$DP13+1)-INDEX($CD13:$CV13,1,$DP13))</f>
      </c>
      <c r="DS13" s="39">
        <f>INDEX($CW13:$DO13,1,$DP13)+$DQ13*(INDEX($CW13:$DO13,1,$DP13+1)-INDEX($CW13:$DO13,1,$DP13))</f>
      </c>
      <c r="DT13" s="39">
        <f>SQRT(DR13^2+DS13^2)</f>
      </c>
      <c r="DU13" s="20">
        <f>DR14-DR13</f>
      </c>
      <c r="DV13" s="20">
        <f>DS14-DS13</f>
      </c>
      <c r="DW13" s="20">
        <f>DU13*SIN(RADIANS(theta_L))-DV13*COS(RADIANS(theta_L))</f>
      </c>
      <c r="DX13" s="47">
        <f>IF(DW13=0,"",-(DR13*SIN(RADIANS(theta_L))-DS13*COS(RADIANS(theta_L)))/DW13)</f>
      </c>
      <c r="DY13" s="20">
        <f>IF(DX13="","",(DR13+DX13*DU13)*COS(RADIANS(theta_L))+(DS13+DX13*DV13)*SIN(RADIANS(theta_L)))</f>
      </c>
      <c r="DZ13" s="20">
        <f>IF(OR(DX13="",DX13&lt;0,DX13&gt;1,DY13&lt;0),"",DY13)</f>
      </c>
    </row>
    <row r="14" spans="1:130" x14ac:dyDescent="0.25">
      <c r="A14">
        <v>7</v>
      </c>
      <c r="B14" s="44">
        <v>90</v>
      </c>
      <c r="C14" s="18">
        <v>750</v>
      </c>
      <c r="D14" s="18">
        <v>-680</v>
      </c>
      <c r="E14" s="18">
        <v>1430</v>
      </c>
      <c r="F14" s="16">
        <v>0.0033</v>
      </c>
      <c r="G14" s="16">
        <v>0</v>
      </c>
      <c r="H14" s="16">
        <v>0</v>
      </c>
      <c r="I14" s="16">
        <v>0.002723076923076923</v>
      </c>
      <c r="J14" s="16">
        <v>4.7101799967205896e-23</v>
      </c>
      <c r="K14" s="16">
        <v>7.692307692307693e-7</v>
      </c>
      <c r="L14" s="16">
        <v>0.0024346153846153845</v>
      </c>
      <c r="M14" s="16">
        <v>7.065269995080884e-23</v>
      </c>
      <c r="N14" s="16">
        <v>0.0000011538461538461538</v>
      </c>
      <c r="O14" s="16">
        <v>0.0021461538461538462</v>
      </c>
      <c r="P14" s="16">
        <v>9.420359993441179e-23</v>
      </c>
      <c r="Q14" s="16">
        <v>0.0000015384615384615385</v>
      </c>
      <c r="R14" s="16">
        <v>0.0018576923076923078</v>
      </c>
      <c r="S14" s="16">
        <v>1.1775449991801472e-22</v>
      </c>
      <c r="T14" s="16">
        <v>0.000001923076923076923</v>
      </c>
      <c r="U14" s="16">
        <v>0.0015692307692307692</v>
      </c>
      <c r="V14" s="16">
        <v>1.4130539990161768e-22</v>
      </c>
      <c r="W14" s="16">
        <v>0.0000023076923076923077</v>
      </c>
      <c r="X14" s="16">
        <v>0.001306993006993007</v>
      </c>
      <c r="Y14" s="16">
        <v>1.6271530897762037e-22</v>
      </c>
      <c r="Z14" s="16">
        <v>0.0000026573426573426574</v>
      </c>
      <c r="AA14" s="16">
        <v>0.0010447552447552448</v>
      </c>
      <c r="AB14" s="16">
        <v>1.8412521805362302e-22</v>
      </c>
      <c r="AC14" s="16">
        <v>0.000003006993006993007</v>
      </c>
      <c r="AD14" s="16">
        <v>0.0007825174825174821</v>
      </c>
      <c r="AE14" s="16">
        <v>2.0553512712962574e-22</v>
      </c>
      <c r="AF14" s="16">
        <v>0.000003356643356643357</v>
      </c>
      <c r="AG14" s="16">
        <v>0.0005202797202797202</v>
      </c>
      <c r="AH14" s="16">
        <v>2.269450362056284e-22</v>
      </c>
      <c r="AI14" s="16">
        <v>0.0000037062937062937064</v>
      </c>
      <c r="AJ14" s="16">
        <v>-0.000004195804195804374</v>
      </c>
      <c r="AK14" s="16">
        <v>2.6976485435763376e-22</v>
      </c>
      <c r="AL14" s="16">
        <v>0.000004405594405594406</v>
      </c>
      <c r="AM14" s="16">
        <v>-0.001053146853146853</v>
      </c>
      <c r="AN14" s="16">
        <v>3.5540449066164445e-22</v>
      </c>
      <c r="AO14" s="16">
        <v>0.000005804195804195804</v>
      </c>
      <c r="AP14" s="16">
        <v>-0.002364335664335665</v>
      </c>
      <c r="AQ14" s="16">
        <v>4.624540360416579e-22</v>
      </c>
      <c r="AR14" s="16">
        <v>0.000007552447552447553</v>
      </c>
      <c r="AS14" s="16">
        <v>-0.0036755244755244743</v>
      </c>
      <c r="AT14" s="16">
        <v>5.695035814216712e-22</v>
      </c>
      <c r="AU14" s="16">
        <v>0.0000093006993006993</v>
      </c>
      <c r="AV14" s="16">
        <v>-0.006297902097902098</v>
      </c>
      <c r="AW14" s="16">
        <v>7.836026721816981e-22</v>
      </c>
      <c r="AX14" s="16">
        <v>0.000012797202797202797</v>
      </c>
      <c r="AY14" s="16">
        <v>-0.011542657342657345</v>
      </c>
      <c r="AZ14" s="16">
        <v>1.2118008537017517e-21</v>
      </c>
      <c r="BA14" s="16">
        <v>0.000019790209790209793</v>
      </c>
      <c r="BB14" s="16">
        <v>-0.014165034965034962</v>
      </c>
      <c r="BC14" s="16">
        <v>1.4258999444617782e-21</v>
      </c>
      <c r="BD14" s="16">
        <v>0.000023286713286713284</v>
      </c>
      <c r="BE14" s="16">
        <v>-0.024654545454545457</v>
      </c>
      <c r="BF14" s="16">
        <v>2.2822963075018856e-21</v>
      </c>
      <c r="BG14" s="16">
        <v>0.000037272727272727276</v>
      </c>
      <c r="BH14" s="16">
        <v>-0.05</v>
      </c>
      <c r="BI14" s="16">
        <v>0</v>
      </c>
      <c r="BJ14" s="16">
        <v>0</v>
      </c>
      <c r="BK14" s="45">
        <v>33981.43387592912</v>
      </c>
      <c r="BL14" s="45">
        <v>33981.43387592912</v>
      </c>
      <c r="BM14" s="45">
        <v>33616.21300519136</v>
      </c>
      <c r="BN14" s="45">
        <v>32082.97121598125</v>
      </c>
      <c r="BO14" s="45">
        <v>29220.31571547263</v>
      </c>
      <c r="BP14" s="45">
        <v>24996.6946488549</v>
      </c>
      <c r="BQ14" s="45">
        <v>21859.873675260937</v>
      </c>
      <c r="BR14" s="45">
        <v>19257.34528368032</v>
      </c>
      <c r="BS14" s="45">
        <v>16660.144228338402</v>
      </c>
      <c r="BT14" s="45">
        <v>14050.571202410852</v>
      </c>
      <c r="BU14" s="45">
        <v>10315.097752359867</v>
      </c>
      <c r="BV14" s="45">
        <v>6651.61059748359</v>
      </c>
      <c r="BW14" s="45">
        <v>4749.627560911997</v>
      </c>
      <c r="BX14" s="45">
        <v>3530.3143006987975</v>
      </c>
      <c r="BY14" s="45">
        <v>1945.3988118058605</v>
      </c>
      <c r="BZ14" s="45">
        <v>-179.45558322929776</v>
      </c>
      <c r="CA14" s="45">
        <v>-813.3007940354594</v>
      </c>
      <c r="CB14" s="45">
        <v>-2631.8866164103765</v>
      </c>
      <c r="CC14" s="45">
        <v>-5790.583579096708</v>
      </c>
      <c r="CD14" s="45">
        <v>6.55418261885643e-13</v>
      </c>
      <c r="CE14" s="45">
        <v>6.55418261885643e-13</v>
      </c>
      <c r="CF14" s="45">
        <v>-0.000006257122345501557</v>
      </c>
      <c r="CG14" s="45">
        <v>0.0014432734875117895</v>
      </c>
      <c r="CH14" s="45">
        <v>0.0021214261723121164</v>
      </c>
      <c r="CI14" s="45">
        <v>-0.009812315038196975</v>
      </c>
      <c r="CJ14" s="45">
        <v>0.0012424812019781676</v>
      </c>
      <c r="CK14" s="45">
        <v>0.05416357428831025</v>
      </c>
      <c r="CL14" s="45">
        <v>0.016425851074659964</v>
      </c>
      <c r="CM14" s="45">
        <v>-0.0007738427507265006</v>
      </c>
      <c r="CN14" s="45">
        <v>0.2546113302428105</v>
      </c>
      <c r="CO14" s="45">
        <v>0.24954921305241598</v>
      </c>
      <c r="CP14" s="45">
        <v>-0.02474801059218333</v>
      </c>
      <c r="CQ14" s="45">
        <v>0.0446924803431991</v>
      </c>
      <c r="CR14" s="45">
        <v>-0.4905368469607087</v>
      </c>
      <c r="CS14" s="45">
        <v>-1.3468460154369366</v>
      </c>
      <c r="CT14" s="45">
        <v>2.0045112151182813</v>
      </c>
      <c r="CU14" s="45">
        <v>-0.23171374057818228</v>
      </c>
      <c r="CV14" s="45">
        <v>0</v>
      </c>
      <c r="CW14" s="45">
        <v>-5.220063030719757e-12</v>
      </c>
      <c r="CX14" s="45">
        <v>-5.220063030719757e-12</v>
      </c>
      <c r="CY14" s="45">
        <v>243.0318733593437</v>
      </c>
      <c r="CZ14" s="45">
        <v>1150.33798821699</v>
      </c>
      <c r="DA14" s="45">
        <v>2698.805421524744</v>
      </c>
      <c r="DB14" s="45">
        <v>4794.5115703832125</v>
      </c>
      <c r="DC14" s="45">
        <v>5873.180220832167</v>
      </c>
      <c r="DD14" s="45">
        <v>6430.541388868624</v>
      </c>
      <c r="DE14" s="45">
        <v>6846.5319861405615</v>
      </c>
      <c r="DF14" s="45">
        <v>7177.124260039108</v>
      </c>
      <c r="DG14" s="45">
        <v>7136.0916462236155</v>
      </c>
      <c r="DH14" s="45">
        <v>6711.896942577079</v>
      </c>
      <c r="DI14" s="45">
        <v>6204.52026356509</v>
      </c>
      <c r="DJ14" s="45">
        <v>5753.063025049909</v>
      </c>
      <c r="DK14" s="45">
        <v>5001.371693863676</v>
      </c>
      <c r="DL14" s="45">
        <v>3809.795225138153</v>
      </c>
      <c r="DM14" s="45">
        <v>3403.373531683583</v>
      </c>
      <c r="DN14" s="45">
        <v>2201.112457303131</v>
      </c>
      <c r="DO14" s="45">
        <v>5.960464477539062e-14</v>
      </c>
      <c r="DP14" s="46">
        <f>MAX(1,MIN(18,SUMPRODUCT(--($BK14:$CC14&gt;=Pu))))</f>
      </c>
      <c r="DQ14" s="47">
        <f>(Pu-INDEX($BK14:$CC14,1,$DP14))/(INDEX($BK14:$CC14,1,$DP14+1)-INDEX($BK14:$CC14,1,$DP14))</f>
      </c>
      <c r="DR14" s="39">
        <f>INDEX($CD14:$CV14,1,$DP14)+$DQ14*(INDEX($CD14:$CV14,1,$DP14+1)-INDEX($CD14:$CV14,1,$DP14))</f>
      </c>
      <c r="DS14" s="39">
        <f>INDEX($CW14:$DO14,1,$DP14)+$DQ14*(INDEX($CW14:$DO14,1,$DP14+1)-INDEX($CW14:$DO14,1,$DP14))</f>
      </c>
      <c r="DT14" s="39">
        <f>SQRT(DR14^2+DS14^2)</f>
      </c>
      <c r="DU14" s="20">
        <f>DR15-DR14</f>
      </c>
      <c r="DV14" s="20">
        <f>DS15-DS14</f>
      </c>
      <c r="DW14" s="20">
        <f>DU14*SIN(RADIANS(theta_L))-DV14*COS(RADIANS(theta_L))</f>
      </c>
      <c r="DX14" s="47">
        <f>IF(DW14=0,"",-(DR14*SIN(RADIANS(theta_L))-DS14*COS(RADIANS(theta_L)))/DW14)</f>
      </c>
      <c r="DY14" s="20">
        <f>IF(DX14="","",(DR14+DX14*DU14)*COS(RADIANS(theta_L))+(DS14+DX14*DV14)*SIN(RADIANS(theta_L)))</f>
      </c>
      <c r="DZ14" s="20">
        <f>IF(OR(DX14="",DX14&lt;0,DX14&gt;1,DY14&lt;0),"",DY14)</f>
      </c>
    </row>
    <row r="15" spans="1:130" x14ac:dyDescent="0.25">
      <c r="A15">
        <v>8</v>
      </c>
      <c r="B15" s="44">
        <v>104.99999999999999</v>
      </c>
      <c r="C15" s="18">
        <v>827.9719877578095</v>
      </c>
      <c r="D15" s="18">
        <v>-734.4752754073227</v>
      </c>
      <c r="E15" s="18">
        <v>1562.4472631651322</v>
      </c>
      <c r="F15" s="16">
        <v>0.0033</v>
      </c>
      <c r="G15" s="16">
        <v>0</v>
      </c>
      <c r="H15" s="16">
        <v>0</v>
      </c>
      <c r="I15" s="16">
        <v>0.0027170880464223814</v>
      </c>
      <c r="J15" s="16">
        <v>-1.8221475778711335e-7</v>
      </c>
      <c r="K15" s="16">
        <v>6.80034733950364e-7</v>
      </c>
      <c r="L15" s="16">
        <v>0.0024256320696335724</v>
      </c>
      <c r="M15" s="16">
        <v>-2.7332213668067e-7</v>
      </c>
      <c r="N15" s="16">
        <v>0.0000010200521009255462</v>
      </c>
      <c r="O15" s="16">
        <v>0.002134176092844763</v>
      </c>
      <c r="P15" s="16">
        <v>-3.644295155742267e-7</v>
      </c>
      <c r="Q15" s="16">
        <v>0.000001360069467900728</v>
      </c>
      <c r="R15" s="16">
        <v>0.0018427201160559539</v>
      </c>
      <c r="S15" s="16">
        <v>-4.5553689446778334e-7</v>
      </c>
      <c r="T15" s="16">
        <v>0.0000017000868348759101</v>
      </c>
      <c r="U15" s="16">
        <v>0.0015512641392671448</v>
      </c>
      <c r="V15" s="16">
        <v>-5.4664427336134e-7</v>
      </c>
      <c r="W15" s="16">
        <v>0.0000020401042018510924</v>
      </c>
      <c r="X15" s="16">
        <v>0.0012863041603682272</v>
      </c>
      <c r="Y15" s="16">
        <v>-6.294691632645733e-7</v>
      </c>
      <c r="Z15" s="16">
        <v>0.0000023492108991012574</v>
      </c>
      <c r="AA15" s="16">
        <v>0.0010213441814693096</v>
      </c>
      <c r="AB15" s="16">
        <v>-7.122940531678067e-7</v>
      </c>
      <c r="AC15" s="16">
        <v>0.0000026583175963514233</v>
      </c>
      <c r="AD15" s="16">
        <v>0.000756384202570392</v>
      </c>
      <c r="AE15" s="16">
        <v>-7.9511894307104e-7</v>
      </c>
      <c r="AF15" s="16">
        <v>0.000002967424293601589</v>
      </c>
      <c r="AG15" s="16">
        <v>0.0004914242236714749</v>
      </c>
      <c r="AH15" s="16">
        <v>-8.779438329742734e-7</v>
      </c>
      <c r="AI15" s="16">
        <v>0.000003276530990851754</v>
      </c>
      <c r="AJ15" s="16">
        <v>-0.00003849573412636033</v>
      </c>
      <c r="AK15" s="16">
        <v>-0.00000104359361278074</v>
      </c>
      <c r="AL15" s="16">
        <v>0.000003894744385352085</v>
      </c>
      <c r="AM15" s="16">
        <v>-0.0010983356497220303</v>
      </c>
      <c r="AN15" s="16">
        <v>-0.0000013748931723936733</v>
      </c>
      <c r="AO15" s="16">
        <v>0.000005131171174352748</v>
      </c>
      <c r="AP15" s="16">
        <v>-0.002423135544216617</v>
      </c>
      <c r="AQ15" s="16">
        <v>-0.00000178901762190984</v>
      </c>
      <c r="AR15" s="16">
        <v>0.000006676704660603575</v>
      </c>
      <c r="AS15" s="16">
        <v>-0.0037479354387112036</v>
      </c>
      <c r="AT15" s="16">
        <v>-0.0000022031420714260063</v>
      </c>
      <c r="AU15" s="16">
        <v>0.000008222238146854401</v>
      </c>
      <c r="AV15" s="16">
        <v>-0.00639753522770038</v>
      </c>
      <c r="AW15" s="16">
        <v>-0.00000303139097045834</v>
      </c>
      <c r="AX15" s="16">
        <v>0.000011313305119356057</v>
      </c>
      <c r="AY15" s="16">
        <v>-0.011696734805678729</v>
      </c>
      <c r="AZ15" s="16">
        <v>-0.000004687888768523008</v>
      </c>
      <c r="BA15" s="16">
        <v>0.000017495439064359368</v>
      </c>
      <c r="BB15" s="16">
        <v>-0.0143463345946679</v>
      </c>
      <c r="BC15" s="16">
        <v>-0.000005516137667555339</v>
      </c>
      <c r="BD15" s="16">
        <v>0.00002058650603686102</v>
      </c>
      <c r="BE15" s="16">
        <v>-0.0249447337506246</v>
      </c>
      <c r="BF15" s="16">
        <v>-0.000008829133263684674</v>
      </c>
      <c r="BG15" s="16">
        <v>0.00003295077392686764</v>
      </c>
      <c r="BH15" s="16">
        <v>-0.05</v>
      </c>
      <c r="BI15" s="16">
        <v>0</v>
      </c>
      <c r="BJ15" s="16">
        <v>0</v>
      </c>
      <c r="BK15" s="45">
        <v>33981.43387592912</v>
      </c>
      <c r="BL15" s="45">
        <v>33981.43387592912</v>
      </c>
      <c r="BM15" s="45">
        <v>33699.952366806545</v>
      </c>
      <c r="BN15" s="45">
        <v>32362.207503100664</v>
      </c>
      <c r="BO15" s="45">
        <v>29742.71492058261</v>
      </c>
      <c r="BP15" s="45">
        <v>25715.54476915731</v>
      </c>
      <c r="BQ15" s="45">
        <v>22178.533488350957</v>
      </c>
      <c r="BR15" s="45">
        <v>19343.971950996613</v>
      </c>
      <c r="BS15" s="45">
        <v>16590.980707414503</v>
      </c>
      <c r="BT15" s="45">
        <v>13903.152056407438</v>
      </c>
      <c r="BU15" s="45">
        <v>9868.47672275745</v>
      </c>
      <c r="BV15" s="45">
        <v>6082.687415509824</v>
      </c>
      <c r="BW15" s="45">
        <v>3767.6663522523218</v>
      </c>
      <c r="BX15" s="45">
        <v>2188.792394524472</v>
      </c>
      <c r="BY15" s="45">
        <v>-130.4751633406519</v>
      </c>
      <c r="BZ15" s="45">
        <v>-2890.2108397959964</v>
      </c>
      <c r="CA15" s="45">
        <v>-3655.424394854365</v>
      </c>
      <c r="CB15" s="45">
        <v>-4974.016720301944</v>
      </c>
      <c r="CC15" s="45">
        <v>-5790.583579096708</v>
      </c>
      <c r="CD15" s="45">
        <v>6.55418261885643e-13</v>
      </c>
      <c r="CE15" s="45">
        <v>6.55418261885643e-13</v>
      </c>
      <c r="CF15" s="45">
        <v>-37.388750283198384</v>
      </c>
      <c r="CG15" s="45">
        <v>-206.63215952983475</v>
      </c>
      <c r="CH15" s="45">
        <v>-488.96712877171393</v>
      </c>
      <c r="CI15" s="45">
        <v>-873.6831478158115</v>
      </c>
      <c r="CJ15" s="45">
        <v>-1025.5281109134532</v>
      </c>
      <c r="CK15" s="45">
        <v>-1120.111053332743</v>
      </c>
      <c r="CL15" s="45">
        <v>-1222.3985019036397</v>
      </c>
      <c r="CM15" s="45">
        <v>-1297.388590833624</v>
      </c>
      <c r="CN15" s="45">
        <v>-1289.28951743428</v>
      </c>
      <c r="CO15" s="45">
        <v>-1127.9486962153396</v>
      </c>
      <c r="CP15" s="45">
        <v>-1089.714751629691</v>
      </c>
      <c r="CQ15" s="45">
        <v>-1043.1118391608532</v>
      </c>
      <c r="CR15" s="45">
        <v>-888.6228065351205</v>
      </c>
      <c r="CS15" s="45">
        <v>-557.7677023035731</v>
      </c>
      <c r="CT15" s="45">
        <v>-491.7556822262194</v>
      </c>
      <c r="CU15" s="45">
        <v>-246.71186779053087</v>
      </c>
      <c r="CV15" s="45">
        <v>0</v>
      </c>
      <c r="CW15" s="45">
        <v>-5.220063030719757e-12</v>
      </c>
      <c r="CX15" s="45">
        <v>-5.220063030719757e-12</v>
      </c>
      <c r="CY15" s="45">
        <v>182.77179024684105</v>
      </c>
      <c r="CZ15" s="45">
        <v>960.0515695834254</v>
      </c>
      <c r="DA15" s="45">
        <v>2327.647479241649</v>
      </c>
      <c r="DB15" s="45">
        <v>4238.775058798929</v>
      </c>
      <c r="DC15" s="45">
        <v>5536.473641520165</v>
      </c>
      <c r="DD15" s="45">
        <v>6151.286398126937</v>
      </c>
      <c r="DE15" s="45">
        <v>6552.852831846281</v>
      </c>
      <c r="DF15" s="45">
        <v>6841.712816582227</v>
      </c>
      <c r="DG15" s="45">
        <v>6876.743975556113</v>
      </c>
      <c r="DH15" s="45">
        <v>6368.942029264384</v>
      </c>
      <c r="DI15" s="45">
        <v>5629.238116524618</v>
      </c>
      <c r="DJ15" s="45">
        <v>4916.9521913493045</v>
      </c>
      <c r="DK15" s="45">
        <v>3658.0237966797604</v>
      </c>
      <c r="DL15" s="45">
        <v>1968.9460851050076</v>
      </c>
      <c r="DM15" s="45">
        <v>1461.3876070229592</v>
      </c>
      <c r="DN15" s="45">
        <v>569.1604316931348</v>
      </c>
      <c r="DO15" s="45">
        <v>5.960464477539062e-14</v>
      </c>
      <c r="DP15" s="46">
        <f>MAX(1,MIN(18,SUMPRODUCT(--($BK15:$CC15&gt;=Pu))))</f>
      </c>
      <c r="DQ15" s="47">
        <f>(Pu-INDEX($BK15:$CC15,1,$DP15))/(INDEX($BK15:$CC15,1,$DP15+1)-INDEX($BK15:$CC15,1,$DP15))</f>
      </c>
      <c r="DR15" s="39">
        <f>INDEX($CD15:$CV15,1,$DP15)+$DQ15*(INDEX($CD15:$CV15,1,$DP15+1)-INDEX($CD15:$CV15,1,$DP15))</f>
      </c>
      <c r="DS15" s="39">
        <f>INDEX($CW15:$DO15,1,$DP15)+$DQ15*(INDEX($CW15:$DO15,1,$DP15+1)-INDEX($CW15:$DO15,1,$DP15))</f>
      </c>
      <c r="DT15" s="39">
        <f>SQRT(DR15^2+DS15^2)</f>
      </c>
      <c r="DU15" s="20">
        <f>DR16-DR15</f>
      </c>
      <c r="DV15" s="20">
        <f>DS16-DS15</f>
      </c>
      <c r="DW15" s="20">
        <f>DU15*SIN(RADIANS(theta_L))-DV15*COS(RADIANS(theta_L))</f>
      </c>
      <c r="DX15" s="47">
        <f>IF(DW15=0,"",-(DR15*SIN(RADIANS(theta_L))-DS15*COS(RADIANS(theta_L)))/DW15)</f>
      </c>
      <c r="DY15" s="20">
        <f>IF(DX15="","",(DR15+DX15*DU15)*COS(RADIANS(theta_L))+(DS15+DX15*DV15)*SIN(RADIANS(theta_L)))</f>
      </c>
      <c r="DZ15" s="20">
        <f>IF(OR(DX15="",DX15&lt;0,DX15&gt;1,DY15&lt;0),"",DY15)</f>
      </c>
    </row>
    <row r="16" spans="1:130" x14ac:dyDescent="0.25">
      <c r="A16">
        <v>9</v>
      </c>
      <c r="B16" s="44">
        <v>119.99999999999999</v>
      </c>
      <c r="C16" s="18">
        <v>849.5190528383289</v>
      </c>
      <c r="D16" s="18">
        <v>-738.8972745734184</v>
      </c>
      <c r="E16" s="18">
        <v>1588.4163274117473</v>
      </c>
      <c r="F16" s="16">
        <v>0.0033</v>
      </c>
      <c r="G16" s="16">
        <v>0</v>
      </c>
      <c r="H16" s="16">
        <v>0</v>
      </c>
      <c r="I16" s="16">
        <v>0.002711696453885714</v>
      </c>
      <c r="J16" s="16">
        <v>-3.462568285835993e-7</v>
      </c>
      <c r="K16" s="16">
        <v>5.997344195744618e-7</v>
      </c>
      <c r="L16" s="16">
        <v>0.002417544680828571</v>
      </c>
      <c r="M16" s="16">
        <v>-5.19385242875399e-7</v>
      </c>
      <c r="N16" s="16">
        <v>8.996016293616927e-7</v>
      </c>
      <c r="O16" s="16">
        <v>0.002123392907771428</v>
      </c>
      <c r="P16" s="16">
        <v>-6.925136571671986e-7</v>
      </c>
      <c r="Q16" s="16">
        <v>0.0000011994688391489237</v>
      </c>
      <c r="R16" s="16">
        <v>0.0018292411347142848</v>
      </c>
      <c r="S16" s="16">
        <v>-8.656420714589983e-7</v>
      </c>
      <c r="T16" s="16">
        <v>0.0000014993360489361547</v>
      </c>
      <c r="U16" s="16">
        <v>0.0015350893616571418</v>
      </c>
      <c r="V16" s="16">
        <v>-0.000001038770485750798</v>
      </c>
      <c r="W16" s="16">
        <v>0.0000017992032587233854</v>
      </c>
      <c r="X16" s="16">
        <v>0.001267678658877921</v>
      </c>
      <c r="Y16" s="16">
        <v>-0.0000011961599532887976</v>
      </c>
      <c r="Z16" s="16">
        <v>0.0000020718098130754136</v>
      </c>
      <c r="AA16" s="16">
        <v>0.0010002679560986998</v>
      </c>
      <c r="AB16" s="16">
        <v>-0.0000013535494208267973</v>
      </c>
      <c r="AC16" s="16">
        <v>0.0000023444163674274418</v>
      </c>
      <c r="AD16" s="16">
        <v>0.0007328572533194786</v>
      </c>
      <c r="AE16" s="16">
        <v>-0.0000015109388883647972</v>
      </c>
      <c r="AF16" s="16">
        <v>0.00000261702292177947</v>
      </c>
      <c r="AG16" s="16">
        <v>0.0004654465505402579</v>
      </c>
      <c r="AH16" s="16">
        <v>-0.000001668328355902797</v>
      </c>
      <c r="AI16" s="16">
        <v>0.000002889629476131498</v>
      </c>
      <c r="AJ16" s="16">
        <v>-0.00006937485501818394</v>
      </c>
      <c r="AK16" s="16">
        <v>-0.0000019831072909787962</v>
      </c>
      <c r="AL16" s="16">
        <v>0.0000034348425848355544</v>
      </c>
      <c r="AM16" s="16">
        <v>-0.0011390176661350672</v>
      </c>
      <c r="AN16" s="16">
        <v>-0.0000026126651611307947</v>
      </c>
      <c r="AO16" s="16">
        <v>0.000004525268802243667</v>
      </c>
      <c r="AP16" s="16">
        <v>-0.002476071180031173</v>
      </c>
      <c r="AQ16" s="16">
        <v>-0.0000033996124988207934</v>
      </c>
      <c r="AR16" s="16">
        <v>0.0000058883015740038074</v>
      </c>
      <c r="AS16" s="16">
        <v>-0.003813124693927276</v>
      </c>
      <c r="AT16" s="16">
        <v>-0.000004186559836510792</v>
      </c>
      <c r="AU16" s="16">
        <v>0.000007251334345763947</v>
      </c>
      <c r="AV16" s="16">
        <v>-0.006487231721719487</v>
      </c>
      <c r="AW16" s="16">
        <v>-0.000005760454511890789</v>
      </c>
      <c r="AX16" s="16">
        <v>0.000009977399889284229</v>
      </c>
      <c r="AY16" s="16">
        <v>-0.011835445777303909</v>
      </c>
      <c r="AZ16" s="16">
        <v>-0.000008908243862650784</v>
      </c>
      <c r="BA16" s="16">
        <v>0.000015429530976324792</v>
      </c>
      <c r="BB16" s="16">
        <v>-0.01450955280509611</v>
      </c>
      <c r="BC16" s="16">
        <v>-0.000010482138538030778</v>
      </c>
      <c r="BD16" s="16">
        <v>0.00001815559651984507</v>
      </c>
      <c r="BE16" s="16">
        <v>-0.02520598091626495</v>
      </c>
      <c r="BF16" s="16">
        <v>-0.000016777717239550767</v>
      </c>
      <c r="BG16" s="16">
        <v>0.000029059858693926193</v>
      </c>
      <c r="BH16" s="16">
        <v>-0.05</v>
      </c>
      <c r="BI16" s="16">
        <v>0</v>
      </c>
      <c r="BJ16" s="16">
        <v>0</v>
      </c>
      <c r="BK16" s="45">
        <v>33981.43387592912</v>
      </c>
      <c r="BL16" s="45">
        <v>33981.43387592912</v>
      </c>
      <c r="BM16" s="45">
        <v>33732.27478424454</v>
      </c>
      <c r="BN16" s="45">
        <v>32442.176805526673</v>
      </c>
      <c r="BO16" s="45">
        <v>29880.953905084996</v>
      </c>
      <c r="BP16" s="45">
        <v>25940.440407992995</v>
      </c>
      <c r="BQ16" s="45">
        <v>22364.36905667349</v>
      </c>
      <c r="BR16" s="45">
        <v>19282.325347258426</v>
      </c>
      <c r="BS16" s="45">
        <v>16419.57350466651</v>
      </c>
      <c r="BT16" s="45">
        <v>13726.638239995787</v>
      </c>
      <c r="BU16" s="45">
        <v>9630.756601455381</v>
      </c>
      <c r="BV16" s="45">
        <v>5508.486912984249</v>
      </c>
      <c r="BW16" s="45">
        <v>2776.444994296962</v>
      </c>
      <c r="BX16" s="45">
        <v>1060.1483470416824</v>
      </c>
      <c r="BY16" s="45">
        <v>-1201.3762587647439</v>
      </c>
      <c r="BZ16" s="45">
        <v>-3529.8055516104355</v>
      </c>
      <c r="CA16" s="45">
        <v>-4134.65732727612</v>
      </c>
      <c r="CB16" s="45">
        <v>-5096.980044608796</v>
      </c>
      <c r="CC16" s="45">
        <v>-5790.583579096708</v>
      </c>
      <c r="CD16" s="45">
        <v>6.55418261885643e-13</v>
      </c>
      <c r="CE16" s="45">
        <v>6.55418261885643e-13</v>
      </c>
      <c r="CF16" s="45">
        <v>-66.54789962373003</v>
      </c>
      <c r="CG16" s="45">
        <v>-372.87408946273825</v>
      </c>
      <c r="CH16" s="45">
        <v>-915.4832417366878</v>
      </c>
      <c r="CI16" s="45">
        <v>-1654.9559691161162</v>
      </c>
      <c r="CJ16" s="45">
        <v>-2065.6212864672393</v>
      </c>
      <c r="CK16" s="45">
        <v>-2293.687313497708</v>
      </c>
      <c r="CL16" s="45">
        <v>-2487.086200356003</v>
      </c>
      <c r="CM16" s="45">
        <v>-2613.154528296417</v>
      </c>
      <c r="CN16" s="45">
        <v>-2567.9649924945597</v>
      </c>
      <c r="CO16" s="45">
        <v>-2293.3910412462815</v>
      </c>
      <c r="CP16" s="45">
        <v>-2024.5180784758456</v>
      </c>
      <c r="CQ16" s="45">
        <v>-1771.1022574811402</v>
      </c>
      <c r="CR16" s="45">
        <v>-1355.3945500106072</v>
      </c>
      <c r="CS16" s="45">
        <v>-788.8154644475806</v>
      </c>
      <c r="CT16" s="45">
        <v>-582.401074474618</v>
      </c>
      <c r="CU16" s="45">
        <v>-258.7068358135609</v>
      </c>
      <c r="CV16" s="45">
        <v>0</v>
      </c>
      <c r="CW16" s="45">
        <v>-5.220063030719757e-12</v>
      </c>
      <c r="CX16" s="45">
        <v>-5.220063030719757e-12</v>
      </c>
      <c r="CY16" s="45">
        <v>150.9684621707338</v>
      </c>
      <c r="CZ16" s="45">
        <v>847.7230798731882</v>
      </c>
      <c r="DA16" s="45">
        <v>2067.5537222919925</v>
      </c>
      <c r="DB16" s="45">
        <v>3756.8783198188517</v>
      </c>
      <c r="DC16" s="45">
        <v>4956.117540219163</v>
      </c>
      <c r="DD16" s="45">
        <v>5622.832205894558</v>
      </c>
      <c r="DE16" s="45">
        <v>6015.862732350805</v>
      </c>
      <c r="DF16" s="45">
        <v>6260.980502652927</v>
      </c>
      <c r="DG16" s="45">
        <v>6293.026564320863</v>
      </c>
      <c r="DH16" s="45">
        <v>5625.989011011412</v>
      </c>
      <c r="DI16" s="45">
        <v>4730.078693693278</v>
      </c>
      <c r="DJ16" s="45">
        <v>3950.832933135185</v>
      </c>
      <c r="DK16" s="45">
        <v>2779.3840947276203</v>
      </c>
      <c r="DL16" s="45">
        <v>1437.060460189174</v>
      </c>
      <c r="DM16" s="45">
        <v>1082.9659719654262</v>
      </c>
      <c r="DN16" s="45">
        <v>470.4691069599393</v>
      </c>
      <c r="DO16" s="45">
        <v>5.960464477539062e-14</v>
      </c>
      <c r="DP16" s="46">
        <f>MAX(1,MIN(18,SUMPRODUCT(--($BK16:$CC16&gt;=Pu))))</f>
      </c>
      <c r="DQ16" s="47">
        <f>(Pu-INDEX($BK16:$CC16,1,$DP16))/(INDEX($BK16:$CC16,1,$DP16+1)-INDEX($BK16:$CC16,1,$DP16))</f>
      </c>
      <c r="DR16" s="39">
        <f>INDEX($CD16:$CV16,1,$DP16)+$DQ16*(INDEX($CD16:$CV16,1,$DP16+1)-INDEX($CD16:$CV16,1,$DP16))</f>
      </c>
      <c r="DS16" s="39">
        <f>INDEX($CW16:$DO16,1,$DP16)+$DQ16*(INDEX($CW16:$DO16,1,$DP16+1)-INDEX($CW16:$DO16,1,$DP16))</f>
      </c>
      <c r="DT16" s="39">
        <f>SQRT(DR16^2+DS16^2)</f>
      </c>
      <c r="DU16" s="20">
        <f>DR17-DR16</f>
      </c>
      <c r="DV16" s="20">
        <f>DS17-DS16</f>
      </c>
      <c r="DW16" s="20">
        <f>DU16*SIN(RADIANS(theta_L))-DV16*COS(RADIANS(theta_L))</f>
      </c>
      <c r="DX16" s="47">
        <f>IF(DW16=0,"",-(DR16*SIN(RADIANS(theta_L))-DS16*COS(RADIANS(theta_L)))/DW16)</f>
      </c>
      <c r="DY16" s="20">
        <f>IF(DX16="","",(DR16+DX16*DU16)*COS(RADIANS(theta_L))+(DS16+DX16*DV16)*SIN(RADIANS(theta_L)))</f>
      </c>
      <c r="DZ16" s="20">
        <f>IF(OR(DX16="",DX16&lt;0,DX16&gt;1,DY16&lt;0),"",DY16)</f>
      </c>
    </row>
    <row r="17" spans="1:130" x14ac:dyDescent="0.25">
      <c r="A17">
        <v>10</v>
      </c>
      <c r="B17" s="44">
        <v>135</v>
      </c>
      <c r="C17" s="18">
        <v>813.1727983645296</v>
      </c>
      <c r="D17" s="18">
        <v>-692.9646455628166</v>
      </c>
      <c r="E17" s="18">
        <v>1506.1374439273463</v>
      </c>
      <c r="F17" s="16">
        <v>0.0033</v>
      </c>
      <c r="G17" s="16">
        <v>0</v>
      </c>
      <c r="H17" s="16">
        <v>0</v>
      </c>
      <c r="I17" s="16">
        <v>0.0027061032863849766</v>
      </c>
      <c r="J17" s="16">
        <v>-5.16431924882629e-7</v>
      </c>
      <c r="K17" s="16">
        <v>5.164319248826291e-7</v>
      </c>
      <c r="L17" s="16">
        <v>0.002409154929577465</v>
      </c>
      <c r="M17" s="16">
        <v>-7.746478873239434e-7</v>
      </c>
      <c r="N17" s="16">
        <v>7.746478873239437e-7</v>
      </c>
      <c r="O17" s="16">
        <v>0.002112206572769953</v>
      </c>
      <c r="P17" s="16">
        <v>-0.000001032863849765258</v>
      </c>
      <c r="Q17" s="16">
        <v>0.0000010328638497652582</v>
      </c>
      <c r="R17" s="16">
        <v>0.0018152582159624414</v>
      </c>
      <c r="S17" s="16">
        <v>-0.0000012910798122065725</v>
      </c>
      <c r="T17" s="16">
        <v>0.0000012910798122065728</v>
      </c>
      <c r="U17" s="16">
        <v>0.00151830985915493</v>
      </c>
      <c r="V17" s="16">
        <v>-0.0000015492957746478869</v>
      </c>
      <c r="W17" s="16">
        <v>0.0000015492957746478873</v>
      </c>
      <c r="X17" s="16">
        <v>0.0012483568075117371</v>
      </c>
      <c r="Y17" s="16">
        <v>-0.0000017840375586854458</v>
      </c>
      <c r="Z17" s="16">
        <v>0.000001784037558685446</v>
      </c>
      <c r="AA17" s="16">
        <v>0.000978403755868545</v>
      </c>
      <c r="AB17" s="16">
        <v>-0.0000020187793427230043</v>
      </c>
      <c r="AC17" s="16">
        <v>0.0000020187793427230047</v>
      </c>
      <c r="AD17" s="16">
        <v>0.0007084507042253523</v>
      </c>
      <c r="AE17" s="16">
        <v>-0.000002253521126760563</v>
      </c>
      <c r="AF17" s="16">
        <v>0.0000022535211267605635</v>
      </c>
      <c r="AG17" s="16">
        <v>0.0004384976525821601</v>
      </c>
      <c r="AH17" s="16">
        <v>-0.0000024882629107981218</v>
      </c>
      <c r="AI17" s="16">
        <v>0.000002488262910798122</v>
      </c>
      <c r="AJ17" s="16">
        <v>-0.00010140845070422512</v>
      </c>
      <c r="AK17" s="16">
        <v>-0.000002957746478873239</v>
      </c>
      <c r="AL17" s="16">
        <v>0.0000029577464788732396</v>
      </c>
      <c r="AM17" s="16">
        <v>-0.0011812206572769952</v>
      </c>
      <c r="AN17" s="16">
        <v>-0.000003896713615023473</v>
      </c>
      <c r="AO17" s="16">
        <v>0.000003896713615023474</v>
      </c>
      <c r="AP17" s="16">
        <v>-0.002530985915492957</v>
      </c>
      <c r="AQ17" s="16">
        <v>-0.000005070422535211267</v>
      </c>
      <c r="AR17" s="16">
        <v>0.000005070422535211268</v>
      </c>
      <c r="AS17" s="16">
        <v>-0.0038807511737089188</v>
      </c>
      <c r="AT17" s="16">
        <v>-0.00000624413145539906</v>
      </c>
      <c r="AU17" s="16">
        <v>0.0000062441314553990604</v>
      </c>
      <c r="AV17" s="16">
        <v>-0.006580281690140843</v>
      </c>
      <c r="AW17" s="16">
        <v>-0.000008591549295774647</v>
      </c>
      <c r="AX17" s="16">
        <v>0.000008591549295774648</v>
      </c>
      <c r="AY17" s="16">
        <v>-0.011979342723004695</v>
      </c>
      <c r="AZ17" s="16">
        <v>-0.00001328638497652582</v>
      </c>
      <c r="BA17" s="16">
        <v>0.000013286384976525823</v>
      </c>
      <c r="BB17" s="16">
        <v>-0.014678873239436615</v>
      </c>
      <c r="BC17" s="16">
        <v>-0.000015633802816901405</v>
      </c>
      <c r="BD17" s="16">
        <v>0.000015633802816901405</v>
      </c>
      <c r="BE17" s="16">
        <v>-0.025476995305164316</v>
      </c>
      <c r="BF17" s="16">
        <v>-0.000025023474178403754</v>
      </c>
      <c r="BG17" s="16">
        <v>0.000025023474178403757</v>
      </c>
      <c r="BH17" s="16">
        <v>-0.05</v>
      </c>
      <c r="BI17" s="16">
        <v>0</v>
      </c>
      <c r="BJ17" s="16">
        <v>0</v>
      </c>
      <c r="BK17" s="45">
        <v>33981.43387592912</v>
      </c>
      <c r="BL17" s="45">
        <v>33981.43387592912</v>
      </c>
      <c r="BM17" s="45">
        <v>33711.97731323599</v>
      </c>
      <c r="BN17" s="45">
        <v>32324.741322987833</v>
      </c>
      <c r="BO17" s="45">
        <v>29645.4821351559</v>
      </c>
      <c r="BP17" s="45">
        <v>25681.82448140092</v>
      </c>
      <c r="BQ17" s="45">
        <v>22176.410358356552</v>
      </c>
      <c r="BR17" s="45">
        <v>18981.906151950418</v>
      </c>
      <c r="BS17" s="45">
        <v>16072.309935337971</v>
      </c>
      <c r="BT17" s="45">
        <v>13497.053077480303</v>
      </c>
      <c r="BU17" s="45">
        <v>9715.489470485369</v>
      </c>
      <c r="BV17" s="45">
        <v>5344.654511804069</v>
      </c>
      <c r="BW17" s="45">
        <v>2571.268281118665</v>
      </c>
      <c r="BX17" s="45">
        <v>865.9477864834168</v>
      </c>
      <c r="BY17" s="45">
        <v>-1299.8480195269194</v>
      </c>
      <c r="BZ17" s="45">
        <v>-3345.4259190835014</v>
      </c>
      <c r="CA17" s="45">
        <v>-3881.2572847170327</v>
      </c>
      <c r="CB17" s="45">
        <v>-4953.982088426963</v>
      </c>
      <c r="CC17" s="45">
        <v>-5790.583579096708</v>
      </c>
      <c r="CD17" s="45">
        <v>6.55418261885643e-13</v>
      </c>
      <c r="CE17" s="45">
        <v>6.55418261885643e-13</v>
      </c>
      <c r="CF17" s="45">
        <v>-100.34298963015276</v>
      </c>
      <c r="CG17" s="45">
        <v>-548.826638187479</v>
      </c>
      <c r="CH17" s="45">
        <v>-1370.288636303786</v>
      </c>
      <c r="CI17" s="45">
        <v>-2447.0127315871096</v>
      </c>
      <c r="CJ17" s="45">
        <v>-3131.5148125603932</v>
      </c>
      <c r="CK17" s="45">
        <v>-3588.470290724915</v>
      </c>
      <c r="CL17" s="45">
        <v>-3893.32704461242</v>
      </c>
      <c r="CM17" s="45">
        <v>-4062.692069379836</v>
      </c>
      <c r="CN17" s="45">
        <v>-3955.817692738783</v>
      </c>
      <c r="CO17" s="45">
        <v>-3387.529204656855</v>
      </c>
      <c r="CP17" s="45">
        <v>-2774.5962962680264</v>
      </c>
      <c r="CQ17" s="45">
        <v>-2356.1224870033075</v>
      </c>
      <c r="CR17" s="45">
        <v>-1736.9638088532317</v>
      </c>
      <c r="CS17" s="45">
        <v>-1025.954176394074</v>
      </c>
      <c r="CT17" s="45">
        <v>-824.619075406173</v>
      </c>
      <c r="CU17" s="45">
        <v>-365.0099177908455</v>
      </c>
      <c r="CV17" s="45">
        <v>0</v>
      </c>
      <c r="CW17" s="45">
        <v>-5.220063030719757e-12</v>
      </c>
      <c r="CX17" s="45">
        <v>-5.220063030719757e-12</v>
      </c>
      <c r="CY17" s="45">
        <v>144.98065564426054</v>
      </c>
      <c r="CZ17" s="45">
        <v>781.8729255314995</v>
      </c>
      <c r="DA17" s="45">
        <v>1853.1545591110857</v>
      </c>
      <c r="DB17" s="45">
        <v>3296.3089405184032</v>
      </c>
      <c r="DC17" s="45">
        <v>4204.195947641396</v>
      </c>
      <c r="DD17" s="45">
        <v>4732.310672753636</v>
      </c>
      <c r="DE17" s="45">
        <v>5038.067744047726</v>
      </c>
      <c r="DF17" s="45">
        <v>5210.775792460617</v>
      </c>
      <c r="DG17" s="45">
        <v>5242.715344866334</v>
      </c>
      <c r="DH17" s="45">
        <v>4701.466830644312</v>
      </c>
      <c r="DI17" s="45">
        <v>3987.55714855979</v>
      </c>
      <c r="DJ17" s="45">
        <v>3385.8479241460523</v>
      </c>
      <c r="DK17" s="45">
        <v>2456.0406554639967</v>
      </c>
      <c r="DL17" s="45">
        <v>1422.851669947733</v>
      </c>
      <c r="DM17" s="45">
        <v>1123.2100912596723</v>
      </c>
      <c r="DN17" s="45">
        <v>529.2591998868489</v>
      </c>
      <c r="DO17" s="45">
        <v>5.960464477539062e-14</v>
      </c>
      <c r="DP17" s="46">
        <f>MAX(1,MIN(18,SUMPRODUCT(--($BK17:$CC17&gt;=Pu))))</f>
      </c>
      <c r="DQ17" s="47">
        <f>(Pu-INDEX($BK17:$CC17,1,$DP17))/(INDEX($BK17:$CC17,1,$DP17+1)-INDEX($BK17:$CC17,1,$DP17))</f>
      </c>
      <c r="DR17" s="39">
        <f>INDEX($CD17:$CV17,1,$DP17)+$DQ17*(INDEX($CD17:$CV17,1,$DP17+1)-INDEX($CD17:$CV17,1,$DP17))</f>
      </c>
      <c r="DS17" s="39">
        <f>INDEX($CW17:$DO17,1,$DP17)+$DQ17*(INDEX($CW17:$DO17,1,$DP17+1)-INDEX($CW17:$DO17,1,$DP17))</f>
      </c>
      <c r="DT17" s="39">
        <f>SQRT(DR17^2+DS17^2)</f>
      </c>
      <c r="DU17" s="20">
        <f>DR18-DR17</f>
      </c>
      <c r="DV17" s="20">
        <f>DS18-DS17</f>
      </c>
      <c r="DW17" s="20">
        <f>DU17*SIN(RADIANS(theta_L))-DV17*COS(RADIANS(theta_L))</f>
      </c>
      <c r="DX17" s="47">
        <f>IF(DW17=0,"",-(DR17*SIN(RADIANS(theta_L))-DS17*COS(RADIANS(theta_L)))/DW17)</f>
      </c>
      <c r="DY17" s="20">
        <f>IF(DX17="","",(DR17+DX17*DU17)*COS(RADIANS(theta_L))+(DS17+DX17*DV17)*SIN(RADIANS(theta_L)))</f>
      </c>
      <c r="DZ17" s="20">
        <f>IF(OR(DX17="",DX17&lt;0,DX17&gt;1,DY17&lt;0),"",DY17)</f>
      </c>
    </row>
    <row r="18" spans="1:130" x14ac:dyDescent="0.25">
      <c r="A18">
        <v>11</v>
      </c>
      <c r="B18" s="44">
        <v>150.00000000000003</v>
      </c>
      <c r="C18" s="18">
        <v>794.6152422706632</v>
      </c>
      <c r="D18" s="18">
        <v>-658.9934640057525</v>
      </c>
      <c r="E18" s="18">
        <v>1453.6087062764157</v>
      </c>
      <c r="F18" s="16">
        <v>0.0033</v>
      </c>
      <c r="G18" s="16">
        <v>0</v>
      </c>
      <c r="H18" s="16">
        <v>0</v>
      </c>
      <c r="I18" s="16">
        <v>0.002698684967471902</v>
      </c>
      <c r="J18" s="16">
        <v>-6.553537688991611e-7</v>
      </c>
      <c r="K18" s="16">
        <v>3.7836867488836633e-7</v>
      </c>
      <c r="L18" s="16">
        <v>0.002398027451207853</v>
      </c>
      <c r="M18" s="16">
        <v>-9.830306533487415e-7</v>
      </c>
      <c r="N18" s="16">
        <v>5.675530123325495e-7</v>
      </c>
      <c r="O18" s="16">
        <v>0.0020973699349438038</v>
      </c>
      <c r="P18" s="16">
        <v>-0.0000013107075377983221</v>
      </c>
      <c r="Q18" s="16">
        <v>7.567373497767327e-7</v>
      </c>
      <c r="R18" s="16">
        <v>0.0017967124186797547</v>
      </c>
      <c r="S18" s="16">
        <v>-0.0000016383844222479025</v>
      </c>
      <c r="T18" s="16">
        <v>9.459216872209158e-7</v>
      </c>
      <c r="U18" s="16">
        <v>0.0014960549024157057</v>
      </c>
      <c r="V18" s="16">
        <v>-0.000001966061306697483</v>
      </c>
      <c r="W18" s="16">
        <v>0.000001135106024665099</v>
      </c>
      <c r="X18" s="16">
        <v>0.0012227298876302064</v>
      </c>
      <c r="Y18" s="16">
        <v>-0.000002263949383469829</v>
      </c>
      <c r="Z18" s="16">
        <v>0.0000013070917859779928</v>
      </c>
      <c r="AA18" s="16">
        <v>0.0009494048728447071</v>
      </c>
      <c r="AB18" s="16">
        <v>-0.0000025618374602421753</v>
      </c>
      <c r="AC18" s="16">
        <v>0.0000014790775472908867</v>
      </c>
      <c r="AD18" s="16">
        <v>0.0006760798580592079</v>
      </c>
      <c r="AE18" s="16">
        <v>-0.0000028597255370145212</v>
      </c>
      <c r="AF18" s="16">
        <v>0.0000016510633086037806</v>
      </c>
      <c r="AG18" s="16">
        <v>0.00040275484327370907</v>
      </c>
      <c r="AH18" s="16">
        <v>-0.0000031576136137868667</v>
      </c>
      <c r="AI18" s="16">
        <v>0.0000018230490699166743</v>
      </c>
      <c r="AJ18" s="16">
        <v>-0.00014389518629728945</v>
      </c>
      <c r="AK18" s="16">
        <v>-0.000003753389767331559</v>
      </c>
      <c r="AL18" s="16">
        <v>0.000002167020592542462</v>
      </c>
      <c r="AM18" s="16">
        <v>-0.001237195245439286</v>
      </c>
      <c r="AN18" s="16">
        <v>-0.000004944942074420942</v>
      </c>
      <c r="AO18" s="16">
        <v>0.000002854963637794037</v>
      </c>
      <c r="AP18" s="16">
        <v>-0.002603820319366782</v>
      </c>
      <c r="AQ18" s="16">
        <v>-0.000006434382458282672</v>
      </c>
      <c r="AR18" s="16">
        <v>0.000003714892444358506</v>
      </c>
      <c r="AS18" s="16">
        <v>-0.003970445393294277</v>
      </c>
      <c r="AT18" s="16">
        <v>-0.0000079238228421444</v>
      </c>
      <c r="AU18" s="16">
        <v>0.000004574821250922974</v>
      </c>
      <c r="AV18" s="16">
        <v>-0.006703695541149268</v>
      </c>
      <c r="AW18" s="16">
        <v>-0.00001090270360986786</v>
      </c>
      <c r="AX18" s="16">
        <v>0.0000062946788640519126</v>
      </c>
      <c r="AY18" s="16">
        <v>-0.012170195836859254</v>
      </c>
      <c r="AZ18" s="16">
        <v>-0.00001686046514531478</v>
      </c>
      <c r="BA18" s="16">
        <v>0.000009734394090309789</v>
      </c>
      <c r="BB18" s="16">
        <v>-0.014903445984714242</v>
      </c>
      <c r="BC18" s="16">
        <v>-0.00001983934591303824</v>
      </c>
      <c r="BD18" s="16">
        <v>0.000011454251703438725</v>
      </c>
      <c r="BE18" s="16">
        <v>-0.02583644657613421</v>
      </c>
      <c r="BF18" s="16">
        <v>-0.000031754868983932075</v>
      </c>
      <c r="BG18" s="16">
        <v>0.000018333682155954477</v>
      </c>
      <c r="BH18" s="16">
        <v>-0.05</v>
      </c>
      <c r="BI18" s="16">
        <v>0</v>
      </c>
      <c r="BJ18" s="16">
        <v>0</v>
      </c>
      <c r="BK18" s="45">
        <v>33981.43387592912</v>
      </c>
      <c r="BL18" s="45">
        <v>33981.43387592912</v>
      </c>
      <c r="BM18" s="45">
        <v>33709.56331802626</v>
      </c>
      <c r="BN18" s="45">
        <v>32274.90965276333</v>
      </c>
      <c r="BO18" s="45">
        <v>29492.041774633723</v>
      </c>
      <c r="BP18" s="45">
        <v>25380.7370186226</v>
      </c>
      <c r="BQ18" s="45">
        <v>21707.52451155116</v>
      </c>
      <c r="BR18" s="45">
        <v>18459.700761717984</v>
      </c>
      <c r="BS18" s="45">
        <v>15697.191393702919</v>
      </c>
      <c r="BT18" s="45">
        <v>13400.030084134714</v>
      </c>
      <c r="BU18" s="45">
        <v>9855.756716821385</v>
      </c>
      <c r="BV18" s="45">
        <v>5445.803689066819</v>
      </c>
      <c r="BW18" s="45">
        <v>2372.5751585082944</v>
      </c>
      <c r="BX18" s="45">
        <v>509.63318282103864</v>
      </c>
      <c r="BY18" s="45">
        <v>-1807.5002700487505</v>
      </c>
      <c r="BZ18" s="45">
        <v>-3879.268977553816</v>
      </c>
      <c r="CA18" s="45">
        <v>-4444.3708477785085</v>
      </c>
      <c r="CB18" s="45">
        <v>-5370.742225579829</v>
      </c>
      <c r="CC18" s="45">
        <v>-5790.583579096708</v>
      </c>
      <c r="CD18" s="45">
        <v>6.55418261885643e-13</v>
      </c>
      <c r="CE18" s="45">
        <v>6.55418261885643e-13</v>
      </c>
      <c r="CF18" s="45">
        <v>-121.03138129123353</v>
      </c>
      <c r="CG18" s="45">
        <v>-698.6726878799619</v>
      </c>
      <c r="CH18" s="45">
        <v>-1716.1400630565543</v>
      </c>
      <c r="CI18" s="45">
        <v>-3127.0812674684607</v>
      </c>
      <c r="CJ18" s="45">
        <v>-4145.300858002724</v>
      </c>
      <c r="CK18" s="45">
        <v>-4823.786066720648</v>
      </c>
      <c r="CL18" s="45">
        <v>-5194.549653500881</v>
      </c>
      <c r="CM18" s="45">
        <v>-5345.5346577361415</v>
      </c>
      <c r="CN18" s="45">
        <v>-5211.147246092595</v>
      </c>
      <c r="CO18" s="45">
        <v>-4296.29237019711</v>
      </c>
      <c r="CP18" s="45">
        <v>-3394.857663302801</v>
      </c>
      <c r="CQ18" s="45">
        <v>-2732.10978030696</v>
      </c>
      <c r="CR18" s="45">
        <v>-1813.692983001575</v>
      </c>
      <c r="CS18" s="45">
        <v>-918.4914943018072</v>
      </c>
      <c r="CT18" s="45">
        <v>-661.864045154463</v>
      </c>
      <c r="CU18" s="45">
        <v>-223.42443509512938</v>
      </c>
      <c r="CV18" s="45">
        <v>0</v>
      </c>
      <c r="CW18" s="45">
        <v>-5.220063030719757e-12</v>
      </c>
      <c r="CX18" s="45">
        <v>-5.220063030719757e-12</v>
      </c>
      <c r="CY18" s="45">
        <v>117.4358029201542</v>
      </c>
      <c r="CZ18" s="45">
        <v>599.8164593847554</v>
      </c>
      <c r="DA18" s="45">
        <v>1440.073347711775</v>
      </c>
      <c r="DB18" s="45">
        <v>2508.794337289155</v>
      </c>
      <c r="DC18" s="45">
        <v>3072.548579039974</v>
      </c>
      <c r="DD18" s="45">
        <v>3317.9925711855344</v>
      </c>
      <c r="DE18" s="45">
        <v>3475.469780328202</v>
      </c>
      <c r="DF18" s="45">
        <v>3624.1906109761303</v>
      </c>
      <c r="DG18" s="45">
        <v>3694.35091307446</v>
      </c>
      <c r="DH18" s="45">
        <v>3538.8952098944974</v>
      </c>
      <c r="DI18" s="45">
        <v>3018.5286665192443</v>
      </c>
      <c r="DJ18" s="45">
        <v>2574.973232754141</v>
      </c>
      <c r="DK18" s="45">
        <v>1854.0928130728923</v>
      </c>
      <c r="DL18" s="45">
        <v>977.963882502246</v>
      </c>
      <c r="DM18" s="45">
        <v>711.2507825439227</v>
      </c>
      <c r="DN18" s="45">
        <v>228.8958923563229</v>
      </c>
      <c r="DO18" s="45">
        <v>5.960464477539062e-14</v>
      </c>
      <c r="DP18" s="46">
        <f>MAX(1,MIN(18,SUMPRODUCT(--($BK18:$CC18&gt;=Pu))))</f>
      </c>
      <c r="DQ18" s="47">
        <f>(Pu-INDEX($BK18:$CC18,1,$DP18))/(INDEX($BK18:$CC18,1,$DP18+1)-INDEX($BK18:$CC18,1,$DP18))</f>
      </c>
      <c r="DR18" s="39">
        <f>INDEX($CD18:$CV18,1,$DP18)+$DQ18*(INDEX($CD18:$CV18,1,$DP18+1)-INDEX($CD18:$CV18,1,$DP18))</f>
      </c>
      <c r="DS18" s="39">
        <f>INDEX($CW18:$DO18,1,$DP18)+$DQ18*(INDEX($CW18:$DO18,1,$DP18+1)-INDEX($CW18:$DO18,1,$DP18))</f>
      </c>
      <c r="DT18" s="39">
        <f>SQRT(DR18^2+DS18^2)</f>
      </c>
      <c r="DU18" s="20">
        <f>DR19-DR18</f>
      </c>
      <c r="DV18" s="20">
        <f>DS19-DS18</f>
      </c>
      <c r="DW18" s="20">
        <f>DU18*SIN(RADIANS(theta_L))-DV18*COS(RADIANS(theta_L))</f>
      </c>
      <c r="DX18" s="47">
        <f>IF(DW18=0,"",-(DR18*SIN(RADIANS(theta_L))-DS18*COS(RADIANS(theta_L)))/DW18)</f>
      </c>
      <c r="DY18" s="20">
        <f>IF(DX18="","",(DR18+DX18*DU18)*COS(RADIANS(theta_L))+(DS18+DX18*DV18)*SIN(RADIANS(theta_L)))</f>
      </c>
      <c r="DZ18" s="20">
        <f>IF(OR(DX18="",DX18&lt;0,DX18&gt;1,DY18&lt;0),"",DY18)</f>
      </c>
    </row>
    <row r="19" spans="1:130" x14ac:dyDescent="0.25">
      <c r="A19">
        <v>12</v>
      </c>
      <c r="B19" s="44">
        <v>164.99999999999997</v>
      </c>
      <c r="C19" s="18">
        <v>721.9059705798275</v>
      </c>
      <c r="D19" s="18">
        <v>-615.4683059742146</v>
      </c>
      <c r="E19" s="18">
        <v>1337.374276554042</v>
      </c>
      <c r="F19" s="16">
        <v>0.0033</v>
      </c>
      <c r="G19" s="16">
        <v>0</v>
      </c>
      <c r="H19" s="16">
        <v>0</v>
      </c>
      <c r="I19" s="16">
        <v>0.002706227126123641</v>
      </c>
      <c r="J19" s="16">
        <v>-7.944809673292978e-7</v>
      </c>
      <c r="K19" s="16">
        <v>2.1288053359778274e-7</v>
      </c>
      <c r="L19" s="16">
        <v>0.002409340689185461</v>
      </c>
      <c r="M19" s="16">
        <v>-0.0000011917214509939466</v>
      </c>
      <c r="N19" s="16">
        <v>3.193208003966741e-7</v>
      </c>
      <c r="O19" s="16">
        <v>0.002112454252247282</v>
      </c>
      <c r="P19" s="16">
        <v>-0.0000015889619346585956</v>
      </c>
      <c r="Q19" s="16">
        <v>4.257610671955655e-7</v>
      </c>
      <c r="R19" s="16">
        <v>0.001815567815309102</v>
      </c>
      <c r="S19" s="16">
        <v>-0.0000019862024183232445</v>
      </c>
      <c r="T19" s="16">
        <v>5.322013339944569e-7</v>
      </c>
      <c r="U19" s="16">
        <v>0.0015186813783709225</v>
      </c>
      <c r="V19" s="16">
        <v>-0.0000023834429019878933</v>
      </c>
      <c r="W19" s="16">
        <v>6.386416007933483e-7</v>
      </c>
      <c r="X19" s="16">
        <v>0.0012487846175180317</v>
      </c>
      <c r="Y19" s="16">
        <v>-0.0000027445706144103018</v>
      </c>
      <c r="Z19" s="16">
        <v>7.354054797014313e-7</v>
      </c>
      <c r="AA19" s="16">
        <v>0.0009788878566651415</v>
      </c>
      <c r="AB19" s="16">
        <v>-0.0000031056983268327094</v>
      </c>
      <c r="AC19" s="16">
        <v>8.321693586095144e-7</v>
      </c>
      <c r="AD19" s="16">
        <v>0.0007089910958122509</v>
      </c>
      <c r="AE19" s="16">
        <v>-0.000003466826039255118</v>
      </c>
      <c r="AF19" s="16">
        <v>9.289332375175976e-7</v>
      </c>
      <c r="AG19" s="16">
        <v>0.0004390943349593603</v>
      </c>
      <c r="AH19" s="16">
        <v>-0.000003827953751677526</v>
      </c>
      <c r="AI19" s="16">
        <v>0.0000010256971164256805</v>
      </c>
      <c r="AJ19" s="16">
        <v>-0.00010069918674642051</v>
      </c>
      <c r="AK19" s="16">
        <v>-0.000004550209176522342</v>
      </c>
      <c r="AL19" s="16">
        <v>0.0000012192248742418467</v>
      </c>
      <c r="AM19" s="16">
        <v>-0.001180286230157983</v>
      </c>
      <c r="AN19" s="16">
        <v>-0.000005994720026211974</v>
      </c>
      <c r="AO19" s="16">
        <v>0.000001606280389874179</v>
      </c>
      <c r="AP19" s="16">
        <v>-0.002529770034422436</v>
      </c>
      <c r="AQ19" s="16">
        <v>-0.000007800358588324016</v>
      </c>
      <c r="AR19" s="16">
        <v>0.0000020900997844145944</v>
      </c>
      <c r="AS19" s="16">
        <v>-0.0038792538386868873</v>
      </c>
      <c r="AT19" s="16">
        <v>-0.000009605997150436054</v>
      </c>
      <c r="AU19" s="16">
        <v>0.0000025739191789550093</v>
      </c>
      <c r="AV19" s="16">
        <v>-0.0065782214472157935</v>
      </c>
      <c r="AW19" s="16">
        <v>-0.000013217274274660137</v>
      </c>
      <c r="AX19" s="16">
        <v>0.0000035415579680358406</v>
      </c>
      <c r="AY19" s="16">
        <v>-0.011976156664273603</v>
      </c>
      <c r="AZ19" s="16">
        <v>-0.000020439828523108297</v>
      </c>
      <c r="BA19" s="16">
        <v>0.000005476835546197502</v>
      </c>
      <c r="BB19" s="16">
        <v>-0.014675124272802507</v>
      </c>
      <c r="BC19" s="16">
        <v>-0.000024051105647332378</v>
      </c>
      <c r="BD19" s="16">
        <v>0.000006444474335278332</v>
      </c>
      <c r="BE19" s="16">
        <v>-0.025470994706918132</v>
      </c>
      <c r="BF19" s="16">
        <v>-0.0000384962141442287</v>
      </c>
      <c r="BG19" s="16">
        <v>0.000010315029491601656</v>
      </c>
      <c r="BH19" s="16">
        <v>-0.05</v>
      </c>
      <c r="BI19" s="16">
        <v>0</v>
      </c>
      <c r="BJ19" s="16">
        <v>0</v>
      </c>
      <c r="BK19" s="45">
        <v>33981.43387592912</v>
      </c>
      <c r="BL19" s="45">
        <v>33981.43387592912</v>
      </c>
      <c r="BM19" s="45">
        <v>33683.33910635966</v>
      </c>
      <c r="BN19" s="45">
        <v>32195.895093642303</v>
      </c>
      <c r="BO19" s="45">
        <v>29291.15562465447</v>
      </c>
      <c r="BP19" s="45">
        <v>24941.868579438327</v>
      </c>
      <c r="BQ19" s="45">
        <v>21078.855721181946</v>
      </c>
      <c r="BR19" s="45">
        <v>18153.926660187568</v>
      </c>
      <c r="BS19" s="45">
        <v>15853.580532244026</v>
      </c>
      <c r="BT19" s="45">
        <v>13871.714854003618</v>
      </c>
      <c r="BU19" s="45">
        <v>10907.459608431664</v>
      </c>
      <c r="BV19" s="45">
        <v>7092.900276256756</v>
      </c>
      <c r="BW19" s="45">
        <v>3842.4425525354454</v>
      </c>
      <c r="BX19" s="45">
        <v>1695.2225381645048</v>
      </c>
      <c r="BY19" s="45">
        <v>-1005.3915124970521</v>
      </c>
      <c r="BZ19" s="45">
        <v>-3754.623784607241</v>
      </c>
      <c r="CA19" s="45">
        <v>-4341.029681199465</v>
      </c>
      <c r="CB19" s="45">
        <v>-5312.701835856281</v>
      </c>
      <c r="CC19" s="45">
        <v>-5790.583579096708</v>
      </c>
      <c r="CD19" s="45">
        <v>6.55418261885643e-13</v>
      </c>
      <c r="CE19" s="45">
        <v>6.55418261885643e-13</v>
      </c>
      <c r="CF19" s="45">
        <v>-149.46583919034535</v>
      </c>
      <c r="CG19" s="45">
        <v>-824.5977753052101</v>
      </c>
      <c r="CH19" s="45">
        <v>-2031.1086827179022</v>
      </c>
      <c r="CI19" s="45">
        <v>-3717.6183834373096</v>
      </c>
      <c r="CJ19" s="45">
        <v>-4991.691274454448</v>
      </c>
      <c r="CK19" s="45">
        <v>-5680.42328706619</v>
      </c>
      <c r="CL19" s="45">
        <v>-6040.821275257037</v>
      </c>
      <c r="CM19" s="45">
        <v>-6259.305674686457</v>
      </c>
      <c r="CN19" s="45">
        <v>-6257.300954612442</v>
      </c>
      <c r="CO19" s="45">
        <v>-5533.643413367421</v>
      </c>
      <c r="CP19" s="45">
        <v>-4491.297520861167</v>
      </c>
      <c r="CQ19" s="45">
        <v>-3622.8035659077923</v>
      </c>
      <c r="CR19" s="45">
        <v>-2414.448988158399</v>
      </c>
      <c r="CS19" s="45">
        <v>-1088.3209781338999</v>
      </c>
      <c r="CT19" s="45">
        <v>-782.2619863052122</v>
      </c>
      <c r="CU19" s="45">
        <v>-265.28706140321964</v>
      </c>
      <c r="CV19" s="45">
        <v>0</v>
      </c>
      <c r="CW19" s="45">
        <v>-5.220063030719757e-12</v>
      </c>
      <c r="CX19" s="45">
        <v>-5.220063030719757e-12</v>
      </c>
      <c r="CY19" s="45">
        <v>70.2125694760253</v>
      </c>
      <c r="CZ19" s="45">
        <v>356.2992392982299</v>
      </c>
      <c r="DA19" s="45">
        <v>826.7111688024075</v>
      </c>
      <c r="DB19" s="45">
        <v>1431.3415384897828</v>
      </c>
      <c r="DC19" s="45">
        <v>1637.9245392318223</v>
      </c>
      <c r="DD19" s="45">
        <v>1663.2588169031558</v>
      </c>
      <c r="DE19" s="45">
        <v>1729.1695782188071</v>
      </c>
      <c r="DF19" s="45">
        <v>1807.9529356593014</v>
      </c>
      <c r="DG19" s="45">
        <v>1871.897364088616</v>
      </c>
      <c r="DH19" s="45">
        <v>1919.110222980609</v>
      </c>
      <c r="DI19" s="45">
        <v>1899.8148989467054</v>
      </c>
      <c r="DJ19" s="45">
        <v>1784.0277858806219</v>
      </c>
      <c r="DK19" s="45">
        <v>1376.8689581276947</v>
      </c>
      <c r="DL19" s="45">
        <v>742.4160666179971</v>
      </c>
      <c r="DM19" s="45">
        <v>578.1787408987012</v>
      </c>
      <c r="DN19" s="45">
        <v>218.23571926090406</v>
      </c>
      <c r="DO19" s="45">
        <v>5.960464477539062e-14</v>
      </c>
      <c r="DP19" s="46">
        <f>MAX(1,MIN(18,SUMPRODUCT(--($BK19:$CC19&gt;=Pu))))</f>
      </c>
      <c r="DQ19" s="47">
        <f>(Pu-INDEX($BK19:$CC19,1,$DP19))/(INDEX($BK19:$CC19,1,$DP19+1)-INDEX($BK19:$CC19,1,$DP19))</f>
      </c>
      <c r="DR19" s="39">
        <f>INDEX($CD19:$CV19,1,$DP19)+$DQ19*(INDEX($CD19:$CV19,1,$DP19+1)-INDEX($CD19:$CV19,1,$DP19))</f>
      </c>
      <c r="DS19" s="39">
        <f>INDEX($CW19:$DO19,1,$DP19)+$DQ19*(INDEX($CW19:$DO19,1,$DP19+1)-INDEX($CW19:$DO19,1,$DP19))</f>
      </c>
      <c r="DT19" s="39">
        <f>SQRT(DR19^2+DS19^2)</f>
      </c>
      <c r="DU19" s="20">
        <f>DR20-DR19</f>
      </c>
      <c r="DV19" s="20">
        <f>DS20-DS19</f>
      </c>
      <c r="DW19" s="20">
        <f>DU19*SIN(RADIANS(theta_L))-DV19*COS(RADIANS(theta_L))</f>
      </c>
      <c r="DX19" s="47">
        <f>IF(DW19=0,"",-(DR19*SIN(RADIANS(theta_L))-DS19*COS(RADIANS(theta_L)))/DW19)</f>
      </c>
      <c r="DY19" s="20">
        <f>IF(DX19="","",(DR19+DX19*DU19)*COS(RADIANS(theta_L))+(DS19+DX19*DV19)*SIN(RADIANS(theta_L)))</f>
      </c>
      <c r="DZ19" s="20">
        <f>IF(OR(DX19="",DX19&lt;0,DX19&gt;1,DY19&lt;0),"",DY19)</f>
      </c>
    </row>
    <row r="20" spans="1:130" x14ac:dyDescent="0.25">
      <c r="A20">
        <v>13</v>
      </c>
      <c r="B20" s="44">
        <v>180</v>
      </c>
      <c r="C20" s="18">
        <v>600.0000000000001</v>
      </c>
      <c r="D20" s="18">
        <v>-530</v>
      </c>
      <c r="E20" s="18">
        <v>1130</v>
      </c>
      <c r="F20" s="16">
        <v>0.0033</v>
      </c>
      <c r="G20" s="16">
        <v>0</v>
      </c>
      <c r="H20" s="16">
        <v>0</v>
      </c>
      <c r="I20" s="16">
        <v>0.0027159292035398228</v>
      </c>
      <c r="J20" s="16">
        <v>-9.734513274336284e-7</v>
      </c>
      <c r="K20" s="16">
        <v>1.192134052267335e-22</v>
      </c>
      <c r="L20" s="16">
        <v>0.0024238938053097346</v>
      </c>
      <c r="M20" s="16">
        <v>-0.0000014601769911504425</v>
      </c>
      <c r="N20" s="16">
        <v>1.7882010784010024e-22</v>
      </c>
      <c r="O20" s="16">
        <v>0.0021318584070796455</v>
      </c>
      <c r="P20" s="16">
        <v>-0.0000019469026548672567</v>
      </c>
      <c r="Q20" s="16">
        <v>2.38426810453467e-22</v>
      </c>
      <c r="R20" s="16">
        <v>0.0018398230088495574</v>
      </c>
      <c r="S20" s="16">
        <v>-0.0000024336283185840706</v>
      </c>
      <c r="T20" s="16">
        <v>2.9803351306683373e-22</v>
      </c>
      <c r="U20" s="16">
        <v>0.0015477876106194687</v>
      </c>
      <c r="V20" s="16">
        <v>-0.000002920353982300885</v>
      </c>
      <c r="W20" s="16">
        <v>3.576402156802005e-22</v>
      </c>
      <c r="X20" s="16">
        <v>0.0012823008849557516</v>
      </c>
      <c r="Y20" s="16">
        <v>-0.0000033628318584070798</v>
      </c>
      <c r="Z20" s="16">
        <v>4.1182812714689754e-22</v>
      </c>
      <c r="AA20" s="16">
        <v>0.0010168141592920349</v>
      </c>
      <c r="AB20" s="16">
        <v>-0.000003805309734513274</v>
      </c>
      <c r="AC20" s="16">
        <v>4.6601603861359455e-22</v>
      </c>
      <c r="AD20" s="16">
        <v>0.0007513274336283181</v>
      </c>
      <c r="AE20" s="16">
        <v>-0.000004247787610619469</v>
      </c>
      <c r="AF20" s="16">
        <v>5.2020395008029165e-22</v>
      </c>
      <c r="AG20" s="16">
        <v>0.0004858407079646014</v>
      </c>
      <c r="AH20" s="16">
        <v>-0.0000046902654867256635</v>
      </c>
      <c r="AI20" s="16">
        <v>5.743918615469887e-22</v>
      </c>
      <c r="AJ20" s="16">
        <v>-0.00004513274336283247</v>
      </c>
      <c r="AK20" s="16">
        <v>-0.000005575221238938053</v>
      </c>
      <c r="AL20" s="16">
        <v>6.827676844803828e-22</v>
      </c>
      <c r="AM20" s="16">
        <v>-0.0011070796460176998</v>
      </c>
      <c r="AN20" s="16">
        <v>-0.000007345132743362832</v>
      </c>
      <c r="AO20" s="16">
        <v>8.99519330347171e-22</v>
      </c>
      <c r="AP20" s="16">
        <v>-0.0024345132743362847</v>
      </c>
      <c r="AQ20" s="16">
        <v>-0.000009557522123893806</v>
      </c>
      <c r="AR20" s="16">
        <v>1.1704588876806563e-21</v>
      </c>
      <c r="AS20" s="16">
        <v>-0.0037619469026548688</v>
      </c>
      <c r="AT20" s="16">
        <v>-0.000011769911504424779</v>
      </c>
      <c r="AU20" s="16">
        <v>1.4413984450141414e-21</v>
      </c>
      <c r="AV20" s="16">
        <v>-0.006416814159292037</v>
      </c>
      <c r="AW20" s="16">
        <v>-0.000016194690265486724</v>
      </c>
      <c r="AX20" s="16">
        <v>1.9832775596811117e-21</v>
      </c>
      <c r="AY20" s="16">
        <v>-0.011726548672566374</v>
      </c>
      <c r="AZ20" s="16">
        <v>-0.00002504424778761062</v>
      </c>
      <c r="BA20" s="16">
        <v>3.0670357890150526e-21</v>
      </c>
      <c r="BB20" s="16">
        <v>-0.014381415929203542</v>
      </c>
      <c r="BC20" s="16">
        <v>-0.000029469026548672564</v>
      </c>
      <c r="BD20" s="16">
        <v>3.608914903682023e-21</v>
      </c>
      <c r="BE20" s="16">
        <v>-0.025000884955752214</v>
      </c>
      <c r="BF20" s="16">
        <v>-0.00004716814159292035</v>
      </c>
      <c r="BG20" s="16">
        <v>5.776431362349905e-21</v>
      </c>
      <c r="BH20" s="16">
        <v>-0.05</v>
      </c>
      <c r="BI20" s="16">
        <v>0</v>
      </c>
      <c r="BJ20" s="16">
        <v>0</v>
      </c>
      <c r="BK20" s="45">
        <v>33981.43387592912</v>
      </c>
      <c r="BL20" s="45">
        <v>33981.43387592912</v>
      </c>
      <c r="BM20" s="45">
        <v>33533.018232195296</v>
      </c>
      <c r="BN20" s="45">
        <v>31697.504326440878</v>
      </c>
      <c r="BO20" s="45">
        <v>28312.07502534298</v>
      </c>
      <c r="BP20" s="45">
        <v>23519.3524091918</v>
      </c>
      <c r="BQ20" s="45">
        <v>20114.66988381167</v>
      </c>
      <c r="BR20" s="45">
        <v>17780.480514091738</v>
      </c>
      <c r="BS20" s="45">
        <v>15803.893722164325</v>
      </c>
      <c r="BT20" s="45">
        <v>14041.607359925214</v>
      </c>
      <c r="BU20" s="45">
        <v>11776.01047781701</v>
      </c>
      <c r="BV20" s="45">
        <v>8793.556936127505</v>
      </c>
      <c r="BW20" s="45">
        <v>6590.2069952003085</v>
      </c>
      <c r="BX20" s="45">
        <v>5010.559344086973</v>
      </c>
      <c r="BY20" s="45">
        <v>2729.644384331354</v>
      </c>
      <c r="BZ20" s="45">
        <v>298.519578432092</v>
      </c>
      <c r="CA20" s="45">
        <v>-552.7252062807148</v>
      </c>
      <c r="CB20" s="45">
        <v>-2687.51901571666</v>
      </c>
      <c r="CC20" s="45">
        <v>-5790.583579096708</v>
      </c>
      <c r="CD20" s="45">
        <v>6.55418261885643e-13</v>
      </c>
      <c r="CE20" s="45">
        <v>6.55418261885643e-13</v>
      </c>
      <c r="CF20" s="45">
        <v>-234.9352404448965</v>
      </c>
      <c r="CG20" s="45">
        <v>-1094.714202085393</v>
      </c>
      <c r="CH20" s="45">
        <v>-2570.4633772690972</v>
      </c>
      <c r="CI20" s="45">
        <v>-4527.638240543402</v>
      </c>
      <c r="CJ20" s="45">
        <v>-5601.505222312361</v>
      </c>
      <c r="CK20" s="45">
        <v>-6123.832291339832</v>
      </c>
      <c r="CL20" s="45">
        <v>-6476.8858918286005</v>
      </c>
      <c r="CM20" s="45">
        <v>-6729.91519519182</v>
      </c>
      <c r="CN20" s="45">
        <v>-6682.167593807906</v>
      </c>
      <c r="CO20" s="45">
        <v>-6314.606963418669</v>
      </c>
      <c r="CP20" s="45">
        <v>-5774.3389242916155</v>
      </c>
      <c r="CQ20" s="45">
        <v>-5269.431072035049</v>
      </c>
      <c r="CR20" s="45">
        <v>-4387.003126167122</v>
      </c>
      <c r="CS20" s="45">
        <v>-3267.4709596805556</v>
      </c>
      <c r="CT20" s="45">
        <v>-2834.7480335879404</v>
      </c>
      <c r="CU20" s="45">
        <v>-1711.5174685321883</v>
      </c>
      <c r="CV20" s="45">
        <v>0</v>
      </c>
      <c r="CW20" s="45">
        <v>-5.220063030719757e-12</v>
      </c>
      <c r="CX20" s="45">
        <v>-5.220063030719757e-12</v>
      </c>
      <c r="CY20" s="45">
        <v>-0.000010476134549826383</v>
      </c>
      <c r="CZ20" s="45">
        <v>-0.0007684419093476609</v>
      </c>
      <c r="DA20" s="45">
        <v>0.000026596271159825846</v>
      </c>
      <c r="DB20" s="45">
        <v>0.00005955687234038487</v>
      </c>
      <c r="DC20" s="45">
        <v>-0.05904518479251512</v>
      </c>
      <c r="DD20" s="45">
        <v>5.254667485132813e-12</v>
      </c>
      <c r="DE20" s="45">
        <v>-0.006030513816840743</v>
      </c>
      <c r="DF20" s="45">
        <v>-0.0009918963676331914</v>
      </c>
      <c r="DG20" s="45">
        <v>0.06463869971007738</v>
      </c>
      <c r="DH20" s="45">
        <v>0.0001150786182951415</v>
      </c>
      <c r="DI20" s="45">
        <v>-0.07385669155665708</v>
      </c>
      <c r="DJ20" s="45">
        <v>-0.23759404721924143</v>
      </c>
      <c r="DK20" s="45">
        <v>-0.4655718281849647</v>
      </c>
      <c r="DL20" s="45">
        <v>0.447768558894251</v>
      </c>
      <c r="DM20" s="45">
        <v>-1.9136967768863282</v>
      </c>
      <c r="DN20" s="45">
        <v>0.7751113991815001</v>
      </c>
      <c r="DO20" s="45">
        <v>5.960464477539062e-14</v>
      </c>
      <c r="DP20" s="46">
        <f>MAX(1,MIN(18,SUMPRODUCT(--($BK20:$CC20&gt;=Pu))))</f>
      </c>
      <c r="DQ20" s="47">
        <f>(Pu-INDEX($BK20:$CC20,1,$DP20))/(INDEX($BK20:$CC20,1,$DP20+1)-INDEX($BK20:$CC20,1,$DP20))</f>
      </c>
      <c r="DR20" s="39">
        <f>INDEX($CD20:$CV20,1,$DP20)+$DQ20*(INDEX($CD20:$CV20,1,$DP20+1)-INDEX($CD20:$CV20,1,$DP20))</f>
      </c>
      <c r="DS20" s="39">
        <f>INDEX($CW20:$DO20,1,$DP20)+$DQ20*(INDEX($CW20:$DO20,1,$DP20+1)-INDEX($CW20:$DO20,1,$DP20))</f>
      </c>
      <c r="DT20" s="39">
        <f>SQRT(DR20^2+DS20^2)</f>
      </c>
      <c r="DU20" s="20">
        <f>DR21-DR20</f>
      </c>
      <c r="DV20" s="20">
        <f>DS21-DS20</f>
      </c>
      <c r="DW20" s="20">
        <f>DU20*SIN(RADIANS(theta_L))-DV20*COS(RADIANS(theta_L))</f>
      </c>
      <c r="DX20" s="47">
        <f>IF(DW20=0,"",-(DR20*SIN(RADIANS(theta_L))-DS20*COS(RADIANS(theta_L)))/DW20)</f>
      </c>
      <c r="DY20" s="20">
        <f>IF(DX20="","",(DR20+DX20*DU20)*COS(RADIANS(theta_L))+(DS20+DX20*DV20)*SIN(RADIANS(theta_L)))</f>
      </c>
      <c r="DZ20" s="20">
        <f>IF(OR(DX20="",DX20&lt;0,DX20&gt;1,DY20&lt;0),"",DY20)</f>
      </c>
    </row>
    <row r="21" spans="1:130" x14ac:dyDescent="0.25">
      <c r="A21">
        <v>14</v>
      </c>
      <c r="B21" s="44">
        <v>195.00000000000003</v>
      </c>
      <c r="C21" s="18">
        <v>721.9059705798275</v>
      </c>
      <c r="D21" s="18">
        <v>-615.4683059742146</v>
      </c>
      <c r="E21" s="18">
        <v>1337.374276554042</v>
      </c>
      <c r="F21" s="16">
        <v>0.0033</v>
      </c>
      <c r="G21" s="16">
        <v>0</v>
      </c>
      <c r="H21" s="16">
        <v>0</v>
      </c>
      <c r="I21" s="16">
        <v>0.002706227126123641</v>
      </c>
      <c r="J21" s="16">
        <v>-7.944809673292979e-7</v>
      </c>
      <c r="K21" s="16">
        <v>-2.1288053359778258e-7</v>
      </c>
      <c r="L21" s="16">
        <v>0.002409340689185461</v>
      </c>
      <c r="M21" s="16">
        <v>-0.0000011917214509939468</v>
      </c>
      <c r="N21" s="16">
        <v>-3.1932080039667386e-7</v>
      </c>
      <c r="O21" s="16">
        <v>0.002112454252247282</v>
      </c>
      <c r="P21" s="16">
        <v>-0.0000015889619346585958</v>
      </c>
      <c r="Q21" s="16">
        <v>-4.2576106719556517e-7</v>
      </c>
      <c r="R21" s="16">
        <v>0.001815567815309102</v>
      </c>
      <c r="S21" s="16">
        <v>-0.000001986202418323245</v>
      </c>
      <c r="T21" s="16">
        <v>-5.322013339944564e-7</v>
      </c>
      <c r="U21" s="16">
        <v>0.0015186813783709225</v>
      </c>
      <c r="V21" s="16">
        <v>-0.0000023834429019878937</v>
      </c>
      <c r="W21" s="16">
        <v>-6.386416007933477e-7</v>
      </c>
      <c r="X21" s="16">
        <v>0.0012487846175180317</v>
      </c>
      <c r="Y21" s="16">
        <v>-0.0000027445706144103018</v>
      </c>
      <c r="Z21" s="16">
        <v>-7.354054797014308e-7</v>
      </c>
      <c r="AA21" s="16">
        <v>0.0009788878566651415</v>
      </c>
      <c r="AB21" s="16">
        <v>-0.00000310569832683271</v>
      </c>
      <c r="AC21" s="16">
        <v>-8.321693586095137e-7</v>
      </c>
      <c r="AD21" s="16">
        <v>0.0007089910958122509</v>
      </c>
      <c r="AE21" s="16">
        <v>-0.0000034668260392551184</v>
      </c>
      <c r="AF21" s="16">
        <v>-9.289332375175967e-7</v>
      </c>
      <c r="AG21" s="16">
        <v>0.0004390943349593603</v>
      </c>
      <c r="AH21" s="16">
        <v>-0.0000038279537516775265</v>
      </c>
      <c r="AI21" s="16">
        <v>-0.0000010256971164256797</v>
      </c>
      <c r="AJ21" s="16">
        <v>-0.00010069918674642051</v>
      </c>
      <c r="AK21" s="16">
        <v>-0.000004550209176522343</v>
      </c>
      <c r="AL21" s="16">
        <v>-0.0000012192248742418456</v>
      </c>
      <c r="AM21" s="16">
        <v>-0.001180286230157983</v>
      </c>
      <c r="AN21" s="16">
        <v>-0.000005994720026211975</v>
      </c>
      <c r="AO21" s="16">
        <v>-0.0000016062803898741777</v>
      </c>
      <c r="AP21" s="16">
        <v>-0.002529770034422436</v>
      </c>
      <c r="AQ21" s="16">
        <v>-0.000007800358588324016</v>
      </c>
      <c r="AR21" s="16">
        <v>-0.0000020900997844145927</v>
      </c>
      <c r="AS21" s="16">
        <v>-0.0038792538386868873</v>
      </c>
      <c r="AT21" s="16">
        <v>-0.000009605997150436054</v>
      </c>
      <c r="AU21" s="16">
        <v>-0.000002573919178955007</v>
      </c>
      <c r="AV21" s="16">
        <v>-0.0065782214472157935</v>
      </c>
      <c r="AW21" s="16">
        <v>-0.000013217274274660139</v>
      </c>
      <c r="AX21" s="16">
        <v>-0.0000035415579680358376</v>
      </c>
      <c r="AY21" s="16">
        <v>-0.011976156664273603</v>
      </c>
      <c r="AZ21" s="16">
        <v>-0.0000204398285231083</v>
      </c>
      <c r="BA21" s="16">
        <v>-0.000005476835546197497</v>
      </c>
      <c r="BB21" s="16">
        <v>-0.014675124272802507</v>
      </c>
      <c r="BC21" s="16">
        <v>-0.000024051105647332378</v>
      </c>
      <c r="BD21" s="16">
        <v>-0.000006444474335278326</v>
      </c>
      <c r="BE21" s="16">
        <v>-0.025470994706918132</v>
      </c>
      <c r="BF21" s="16">
        <v>-0.00003849621414422871</v>
      </c>
      <c r="BG21" s="16">
        <v>-0.000010315029491601647</v>
      </c>
      <c r="BH21" s="16">
        <v>-0.05</v>
      </c>
      <c r="BI21" s="16">
        <v>0</v>
      </c>
      <c r="BJ21" s="16">
        <v>0</v>
      </c>
      <c r="BK21" s="45">
        <v>33981.43387592912</v>
      </c>
      <c r="BL21" s="45">
        <v>33981.43387592912</v>
      </c>
      <c r="BM21" s="45">
        <v>33683.33881175829</v>
      </c>
      <c r="BN21" s="45">
        <v>32195.889200869835</v>
      </c>
      <c r="BO21" s="45">
        <v>29291.14225827117</v>
      </c>
      <c r="BP21" s="45">
        <v>24941.456400569627</v>
      </c>
      <c r="BQ21" s="45">
        <v>21078.895756835034</v>
      </c>
      <c r="BR21" s="45">
        <v>18153.287669668054</v>
      </c>
      <c r="BS21" s="45">
        <v>15852.77228715377</v>
      </c>
      <c r="BT21" s="45">
        <v>13871.428245462264</v>
      </c>
      <c r="BU21" s="45">
        <v>10906.084063199729</v>
      </c>
      <c r="BV21" s="45">
        <v>7090.620188712164</v>
      </c>
      <c r="BW21" s="45">
        <v>3844.1402138779767</v>
      </c>
      <c r="BX21" s="45">
        <v>1694.657752050911</v>
      </c>
      <c r="BY21" s="45">
        <v>-1005.852972081568</v>
      </c>
      <c r="BZ21" s="45">
        <v>-3751.0206565575468</v>
      </c>
      <c r="CA21" s="45">
        <v>-4340.921951418809</v>
      </c>
      <c r="CB21" s="45">
        <v>-5309.985532425552</v>
      </c>
      <c r="CC21" s="45">
        <v>-5790.583579096708</v>
      </c>
      <c r="CD21" s="45">
        <v>6.55418261885643e-13</v>
      </c>
      <c r="CE21" s="45">
        <v>6.55418261885643e-13</v>
      </c>
      <c r="CF21" s="45">
        <v>-149.4656936443312</v>
      </c>
      <c r="CG21" s="45">
        <v>-824.5986975641019</v>
      </c>
      <c r="CH21" s="45">
        <v>-2031.1076598529878</v>
      </c>
      <c r="CI21" s="45">
        <v>-3717.806302919977</v>
      </c>
      <c r="CJ21" s="45">
        <v>-4991.728872915196</v>
      </c>
      <c r="CK21" s="45">
        <v>-5680.623566063652</v>
      </c>
      <c r="CL21" s="45">
        <v>-6041.103963451568</v>
      </c>
      <c r="CM21" s="45">
        <v>-6259.418823507813</v>
      </c>
      <c r="CN21" s="45">
        <v>-6257.182708227135</v>
      </c>
      <c r="CO21" s="45">
        <v>-5533.010334077822</v>
      </c>
      <c r="CP21" s="45">
        <v>-4491.929706252348</v>
      </c>
      <c r="CQ21" s="45">
        <v>-3622.7489556603973</v>
      </c>
      <c r="CR21" s="45">
        <v>-2414.110291300462</v>
      </c>
      <c r="CS21" s="45">
        <v>-1089.803730962103</v>
      </c>
      <c r="CT21" s="45">
        <v>-782.2737255357682</v>
      </c>
      <c r="CU21" s="45">
        <v>-266.402245858494</v>
      </c>
      <c r="CV21" s="45">
        <v>0</v>
      </c>
      <c r="CW21" s="45">
        <v>-5.220063030719757e-12</v>
      </c>
      <c r="CX21" s="45">
        <v>-5.220063030719757e-12</v>
      </c>
      <c r="CY21" s="45">
        <v>-70.21504825457191</v>
      </c>
      <c r="CZ21" s="45">
        <v>-356.29979940474675</v>
      </c>
      <c r="DA21" s="45">
        <v>-826.7127104656059</v>
      </c>
      <c r="DB21" s="45">
        <v>-1431.5753381740208</v>
      </c>
      <c r="DC21" s="45">
        <v>-1637.6777742760873</v>
      </c>
      <c r="DD21" s="45">
        <v>-1663.3264436517252</v>
      </c>
      <c r="DE21" s="45">
        <v>-1728.867659184889</v>
      </c>
      <c r="DF21" s="45">
        <v>-1807.8599869578482</v>
      </c>
      <c r="DG21" s="45">
        <v>-1872.1332317954736</v>
      </c>
      <c r="DH21" s="45">
        <v>-1919.6185074649673</v>
      </c>
      <c r="DI21" s="45">
        <v>-1899.8690631800619</v>
      </c>
      <c r="DJ21" s="45">
        <v>-1783.3022095113504</v>
      </c>
      <c r="DK21" s="45">
        <v>-1377.5293154014932</v>
      </c>
      <c r="DL21" s="45">
        <v>-744.8247626782056</v>
      </c>
      <c r="DM21" s="45">
        <v>-578.2145218920551</v>
      </c>
      <c r="DN21" s="45">
        <v>-220.70629727684033</v>
      </c>
      <c r="DO21" s="45">
        <v>5.960464477539062e-14</v>
      </c>
      <c r="DP21" s="46">
        <f>MAX(1,MIN(18,SUMPRODUCT(--($BK21:$CC21&gt;=Pu))))</f>
      </c>
      <c r="DQ21" s="47">
        <f>(Pu-INDEX($BK21:$CC21,1,$DP21))/(INDEX($BK21:$CC21,1,$DP21+1)-INDEX($BK21:$CC21,1,$DP21))</f>
      </c>
      <c r="DR21" s="39">
        <f>INDEX($CD21:$CV21,1,$DP21)+$DQ21*(INDEX($CD21:$CV21,1,$DP21+1)-INDEX($CD21:$CV21,1,$DP21))</f>
      </c>
      <c r="DS21" s="39">
        <f>INDEX($CW21:$DO21,1,$DP21)+$DQ21*(INDEX($CW21:$DO21,1,$DP21+1)-INDEX($CW21:$DO21,1,$DP21))</f>
      </c>
      <c r="DT21" s="39">
        <f>SQRT(DR21^2+DS21^2)</f>
      </c>
      <c r="DU21" s="20">
        <f>DR22-DR21</f>
      </c>
      <c r="DV21" s="20">
        <f>DS22-DS21</f>
      </c>
      <c r="DW21" s="20">
        <f>DU21*SIN(RADIANS(theta_L))-DV21*COS(RADIANS(theta_L))</f>
      </c>
      <c r="DX21" s="47">
        <f>IF(DW21=0,"",-(DR21*SIN(RADIANS(theta_L))-DS21*COS(RADIANS(theta_L)))/DW21)</f>
      </c>
      <c r="DY21" s="20">
        <f>IF(DX21="","",(DR21+DX21*DU21)*COS(RADIANS(theta_L))+(DS21+DX21*DV21)*SIN(RADIANS(theta_L)))</f>
      </c>
      <c r="DZ21" s="20">
        <f>IF(OR(DX21="",DX21&lt;0,DX21&gt;1,DY21&lt;0),"",DY21)</f>
      </c>
    </row>
    <row r="22" spans="1:130" x14ac:dyDescent="0.25">
      <c r="A22">
        <v>15</v>
      </c>
      <c r="B22" s="44">
        <v>209.99999999999997</v>
      </c>
      <c r="C22" s="18">
        <v>794.6152422706632</v>
      </c>
      <c r="D22" s="18">
        <v>-658.9934640057525</v>
      </c>
      <c r="E22" s="18">
        <v>1453.6087062764157</v>
      </c>
      <c r="F22" s="16">
        <v>0.0033</v>
      </c>
      <c r="G22" s="16">
        <v>0</v>
      </c>
      <c r="H22" s="16">
        <v>0</v>
      </c>
      <c r="I22" s="16">
        <v>0.002698684967471902</v>
      </c>
      <c r="J22" s="16">
        <v>-6.553537688991611e-7</v>
      </c>
      <c r="K22" s="16">
        <v>-3.7836867488836617e-7</v>
      </c>
      <c r="L22" s="16">
        <v>0.002398027451207853</v>
      </c>
      <c r="M22" s="16">
        <v>-9.830306533487418e-7</v>
      </c>
      <c r="N22" s="16">
        <v>-5.675530123325493e-7</v>
      </c>
      <c r="O22" s="16">
        <v>0.0020973699349438038</v>
      </c>
      <c r="P22" s="16">
        <v>-0.0000013107075377983221</v>
      </c>
      <c r="Q22" s="16">
        <v>-7.567373497767323e-7</v>
      </c>
      <c r="R22" s="16">
        <v>0.0017967124186797547</v>
      </c>
      <c r="S22" s="16">
        <v>-0.0000016383844222479027</v>
      </c>
      <c r="T22" s="16">
        <v>-9.459216872209154e-7</v>
      </c>
      <c r="U22" s="16">
        <v>0.0014960549024157057</v>
      </c>
      <c r="V22" s="16">
        <v>-0.0000019660613066974835</v>
      </c>
      <c r="W22" s="16">
        <v>-0.0000011351060246650985</v>
      </c>
      <c r="X22" s="16">
        <v>0.0012227298876302064</v>
      </c>
      <c r="Y22" s="16">
        <v>-0.0000022639493834698294</v>
      </c>
      <c r="Z22" s="16">
        <v>-0.0000013070917859779924</v>
      </c>
      <c r="AA22" s="16">
        <v>0.0009494048728447071</v>
      </c>
      <c r="AB22" s="16">
        <v>-0.0000025618374602421753</v>
      </c>
      <c r="AC22" s="16">
        <v>-0.000001479077547290886</v>
      </c>
      <c r="AD22" s="16">
        <v>0.0006760798580592079</v>
      </c>
      <c r="AE22" s="16">
        <v>-0.0000028597255370145216</v>
      </c>
      <c r="AF22" s="16">
        <v>-0.00000165106330860378</v>
      </c>
      <c r="AG22" s="16">
        <v>0.00040275484327370907</v>
      </c>
      <c r="AH22" s="16">
        <v>-0.000003157613613786867</v>
      </c>
      <c r="AI22" s="16">
        <v>-0.0000018230490699166734</v>
      </c>
      <c r="AJ22" s="16">
        <v>-0.00014389518629728945</v>
      </c>
      <c r="AK22" s="16">
        <v>-0.0000037533897673315594</v>
      </c>
      <c r="AL22" s="16">
        <v>-0.000002167020592542461</v>
      </c>
      <c r="AM22" s="16">
        <v>-0.001237195245439286</v>
      </c>
      <c r="AN22" s="16">
        <v>-0.000004944942074420943</v>
      </c>
      <c r="AO22" s="16">
        <v>-0.0000028549636377940357</v>
      </c>
      <c r="AP22" s="16">
        <v>-0.002603820319366782</v>
      </c>
      <c r="AQ22" s="16">
        <v>-0.000006434382458282673</v>
      </c>
      <c r="AR22" s="16">
        <v>-0.0000037148924443585045</v>
      </c>
      <c r="AS22" s="16">
        <v>-0.003970445393294277</v>
      </c>
      <c r="AT22" s="16">
        <v>-0.000007923822842144402</v>
      </c>
      <c r="AU22" s="16">
        <v>-0.0000045748212509229724</v>
      </c>
      <c r="AV22" s="16">
        <v>-0.006703695541149268</v>
      </c>
      <c r="AW22" s="16">
        <v>-0.000010902703609867862</v>
      </c>
      <c r="AX22" s="16">
        <v>-0.00000629467886405191</v>
      </c>
      <c r="AY22" s="16">
        <v>-0.012170195836859254</v>
      </c>
      <c r="AZ22" s="16">
        <v>-0.000016860465145314784</v>
      </c>
      <c r="BA22" s="16">
        <v>-0.000009734394090309785</v>
      </c>
      <c r="BB22" s="16">
        <v>-0.014903445984714242</v>
      </c>
      <c r="BC22" s="16">
        <v>-0.00001983934591303824</v>
      </c>
      <c r="BD22" s="16">
        <v>-0.00001145425170343872</v>
      </c>
      <c r="BE22" s="16">
        <v>-0.02583644657613421</v>
      </c>
      <c r="BF22" s="16">
        <v>-0.00003175486898393208</v>
      </c>
      <c r="BG22" s="16">
        <v>-0.00001833368215595447</v>
      </c>
      <c r="BH22" s="16">
        <v>-0.05</v>
      </c>
      <c r="BI22" s="16">
        <v>0</v>
      </c>
      <c r="BJ22" s="16">
        <v>0</v>
      </c>
      <c r="BK22" s="45">
        <v>33981.43387592912</v>
      </c>
      <c r="BL22" s="45">
        <v>33981.43387592912</v>
      </c>
      <c r="BM22" s="45">
        <v>33709.561076479586</v>
      </c>
      <c r="BN22" s="45">
        <v>32274.910491555744</v>
      </c>
      <c r="BO22" s="45">
        <v>29492.045703041123</v>
      </c>
      <c r="BP22" s="45">
        <v>25380.973765469163</v>
      </c>
      <c r="BQ22" s="45">
        <v>21707.329253162658</v>
      </c>
      <c r="BR22" s="45">
        <v>18459.473777459072</v>
      </c>
      <c r="BS22" s="45">
        <v>15697.08036515825</v>
      </c>
      <c r="BT22" s="45">
        <v>13399.503215462622</v>
      </c>
      <c r="BU22" s="45">
        <v>9854.503094740641</v>
      </c>
      <c r="BV22" s="45">
        <v>5444.444550948746</v>
      </c>
      <c r="BW22" s="45">
        <v>2372.91586878958</v>
      </c>
      <c r="BX22" s="45">
        <v>511.262109975622</v>
      </c>
      <c r="BY22" s="45">
        <v>-1812.460497372272</v>
      </c>
      <c r="BZ22" s="45">
        <v>-3881.311777309525</v>
      </c>
      <c r="CA22" s="45">
        <v>-4440.869645626247</v>
      </c>
      <c r="CB22" s="45">
        <v>-5371.254906043922</v>
      </c>
      <c r="CC22" s="45">
        <v>-5790.583579096708</v>
      </c>
      <c r="CD22" s="45">
        <v>6.55418261885643e-13</v>
      </c>
      <c r="CE22" s="45">
        <v>6.55418261885643e-13</v>
      </c>
      <c r="CF22" s="45">
        <v>-121.0322408490825</v>
      </c>
      <c r="CG22" s="45">
        <v>-698.67257544811</v>
      </c>
      <c r="CH22" s="45">
        <v>-1716.1416737229595</v>
      </c>
      <c r="CI22" s="45">
        <v>-3126.9978216608415</v>
      </c>
      <c r="CJ22" s="45">
        <v>-4145.2788353167225</v>
      </c>
      <c r="CK22" s="45">
        <v>-4823.77019217699</v>
      </c>
      <c r="CL22" s="45">
        <v>-5194.685067884222</v>
      </c>
      <c r="CM22" s="45">
        <v>-5345.641387896187</v>
      </c>
      <c r="CN22" s="45">
        <v>-5211.073102390348</v>
      </c>
      <c r="CO22" s="45">
        <v>-4295.481529775293</v>
      </c>
      <c r="CP22" s="45">
        <v>-3394.433476262892</v>
      </c>
      <c r="CQ22" s="45">
        <v>-2732.252241335071</v>
      </c>
      <c r="CR22" s="45">
        <v>-1811.8862886257757</v>
      </c>
      <c r="CS22" s="45">
        <v>-917.4307606196827</v>
      </c>
      <c r="CT22" s="45">
        <v>-663.1739325360459</v>
      </c>
      <c r="CU22" s="45">
        <v>-222.22811742684664</v>
      </c>
      <c r="CV22" s="45">
        <v>0</v>
      </c>
      <c r="CW22" s="45">
        <v>-5.220063030719757e-12</v>
      </c>
      <c r="CX22" s="45">
        <v>-5.220063030719757e-12</v>
      </c>
      <c r="CY22" s="45">
        <v>-117.4368264216094</v>
      </c>
      <c r="CZ22" s="45">
        <v>-599.8177948148043</v>
      </c>
      <c r="DA22" s="45">
        <v>-1440.0733306440573</v>
      </c>
      <c r="DB22" s="45">
        <v>-2508.604723676954</v>
      </c>
      <c r="DC22" s="45">
        <v>-3072.75618372188</v>
      </c>
      <c r="DD22" s="45">
        <v>-3318.1563609051614</v>
      </c>
      <c r="DE22" s="45">
        <v>-3475.2731875085697</v>
      </c>
      <c r="DF22" s="45">
        <v>-3624.0803357244977</v>
      </c>
      <c r="DG22" s="45">
        <v>-3694.4573071277396</v>
      </c>
      <c r="DH22" s="45">
        <v>-3539.615758254848</v>
      </c>
      <c r="DI22" s="45">
        <v>-3019.5173266020734</v>
      </c>
      <c r="DJ22" s="45">
        <v>-2576.1224045675212</v>
      </c>
      <c r="DK22" s="45">
        <v>-1851.919106823114</v>
      </c>
      <c r="DL22" s="45">
        <v>-977.3724092320282</v>
      </c>
      <c r="DM22" s="45">
        <v>-713.3261684226309</v>
      </c>
      <c r="DN22" s="45">
        <v>-230.24418973370643</v>
      </c>
      <c r="DO22" s="45">
        <v>5.960464477539062e-14</v>
      </c>
      <c r="DP22" s="46">
        <f>MAX(1,MIN(18,SUMPRODUCT(--($BK22:$CC22&gt;=Pu))))</f>
      </c>
      <c r="DQ22" s="47">
        <f>(Pu-INDEX($BK22:$CC22,1,$DP22))/(INDEX($BK22:$CC22,1,$DP22+1)-INDEX($BK22:$CC22,1,$DP22))</f>
      </c>
      <c r="DR22" s="39">
        <f>INDEX($CD22:$CV22,1,$DP22)+$DQ22*(INDEX($CD22:$CV22,1,$DP22+1)-INDEX($CD22:$CV22,1,$DP22))</f>
      </c>
      <c r="DS22" s="39">
        <f>INDEX($CW22:$DO22,1,$DP22)+$DQ22*(INDEX($CW22:$DO22,1,$DP22+1)-INDEX($CW22:$DO22,1,$DP22))</f>
      </c>
      <c r="DT22" s="39">
        <f>SQRT(DR22^2+DS22^2)</f>
      </c>
      <c r="DU22" s="20">
        <f>DR23-DR22</f>
      </c>
      <c r="DV22" s="20">
        <f>DS23-DS22</f>
      </c>
      <c r="DW22" s="20">
        <f>DU22*SIN(RADIANS(theta_L))-DV22*COS(RADIANS(theta_L))</f>
      </c>
      <c r="DX22" s="47">
        <f>IF(DW22=0,"",-(DR22*SIN(RADIANS(theta_L))-DS22*COS(RADIANS(theta_L)))/DW22)</f>
      </c>
      <c r="DY22" s="20">
        <f>IF(DX22="","",(DR22+DX22*DU22)*COS(RADIANS(theta_L))+(DS22+DX22*DV22)*SIN(RADIANS(theta_L)))</f>
      </c>
      <c r="DZ22" s="20">
        <f>IF(OR(DX22="",DX22&lt;0,DX22&gt;1,DY22&lt;0),"",DY22)</f>
      </c>
    </row>
    <row r="23" spans="1:130" x14ac:dyDescent="0.25">
      <c r="A23">
        <v>16</v>
      </c>
      <c r="B23" s="44">
        <v>224.99999999999997</v>
      </c>
      <c r="C23" s="18">
        <v>813.1727983645296</v>
      </c>
      <c r="D23" s="18">
        <v>-692.9646455628165</v>
      </c>
      <c r="E23" s="18">
        <v>1506.137443927346</v>
      </c>
      <c r="F23" s="16">
        <v>0.0033</v>
      </c>
      <c r="G23" s="16">
        <v>0</v>
      </c>
      <c r="H23" s="16">
        <v>0</v>
      </c>
      <c r="I23" s="16">
        <v>0.0027061032863849766</v>
      </c>
      <c r="J23" s="16">
        <v>-5.164319248826294e-7</v>
      </c>
      <c r="K23" s="16">
        <v>-5.164319248826288e-7</v>
      </c>
      <c r="L23" s="16">
        <v>0.0024091549295774646</v>
      </c>
      <c r="M23" s="16">
        <v>-7.746478873239441e-7</v>
      </c>
      <c r="N23" s="16">
        <v>-7.746478873239432e-7</v>
      </c>
      <c r="O23" s="16">
        <v>0.002112206572769953</v>
      </c>
      <c r="P23" s="16">
        <v>-0.0000010328638497652588</v>
      </c>
      <c r="Q23" s="16">
        <v>-0.0000010328638497652576</v>
      </c>
      <c r="R23" s="16">
        <v>0.0018152582159624412</v>
      </c>
      <c r="S23" s="16">
        <v>-0.0000012910798122065736</v>
      </c>
      <c r="T23" s="16">
        <v>-0.0000012910798122065721</v>
      </c>
      <c r="U23" s="16">
        <v>0.0015183098591549295</v>
      </c>
      <c r="V23" s="16">
        <v>-0.0000015492957746478881</v>
      </c>
      <c r="W23" s="16">
        <v>-0.0000015492957746478865</v>
      </c>
      <c r="X23" s="16">
        <v>0.0012483568075117371</v>
      </c>
      <c r="Y23" s="16">
        <v>-0.000001784037558685447</v>
      </c>
      <c r="Z23" s="16">
        <v>-0.0000017840375586854452</v>
      </c>
      <c r="AA23" s="16">
        <v>0.0009784037558685445</v>
      </c>
      <c r="AB23" s="16">
        <v>-0.000002018779342723006</v>
      </c>
      <c r="AC23" s="16">
        <v>-0.000002018779342723004</v>
      </c>
      <c r="AD23" s="16">
        <v>0.0007084507042253519</v>
      </c>
      <c r="AE23" s="16">
        <v>-0.0000022535211267605647</v>
      </c>
      <c r="AF23" s="16">
        <v>-0.0000022535211267605626</v>
      </c>
      <c r="AG23" s="16">
        <v>0.0004384976525821597</v>
      </c>
      <c r="AH23" s="16">
        <v>-0.0000024882629107981235</v>
      </c>
      <c r="AI23" s="16">
        <v>-0.000002488262910798121</v>
      </c>
      <c r="AJ23" s="16">
        <v>-0.00010140845070422512</v>
      </c>
      <c r="AK23" s="16">
        <v>-0.000002957746478873241</v>
      </c>
      <c r="AL23" s="16">
        <v>-0.000002957746478873238</v>
      </c>
      <c r="AM23" s="16">
        <v>-0.0011812206572769952</v>
      </c>
      <c r="AN23" s="16">
        <v>-0.000003896713615023477</v>
      </c>
      <c r="AO23" s="16">
        <v>-0.000003896713615023472</v>
      </c>
      <c r="AP23" s="16">
        <v>-0.0025309859154929587</v>
      </c>
      <c r="AQ23" s="16">
        <v>-0.000005070422535211271</v>
      </c>
      <c r="AR23" s="16">
        <v>-0.000005070422535211266</v>
      </c>
      <c r="AS23" s="16">
        <v>-0.0038807511737089205</v>
      </c>
      <c r="AT23" s="16">
        <v>-0.000006244131455399065</v>
      </c>
      <c r="AU23" s="16">
        <v>-0.000006244131455399058</v>
      </c>
      <c r="AV23" s="16">
        <v>-0.006580281690140845</v>
      </c>
      <c r="AW23" s="16">
        <v>-0.000008591549295774654</v>
      </c>
      <c r="AX23" s="16">
        <v>-0.000008591549295774643</v>
      </c>
      <c r="AY23" s="16">
        <v>-0.011979342723004698</v>
      </c>
      <c r="AZ23" s="16">
        <v>-0.000013286384976525831</v>
      </c>
      <c r="BA23" s="16">
        <v>-0.000013286384976525816</v>
      </c>
      <c r="BB23" s="16">
        <v>-0.014678873239436618</v>
      </c>
      <c r="BC23" s="16">
        <v>-0.000015633802816901415</v>
      </c>
      <c r="BD23" s="16">
        <v>-0.000015633802816901398</v>
      </c>
      <c r="BE23" s="16">
        <v>-0.025476995305164323</v>
      </c>
      <c r="BF23" s="16">
        <v>-0.000025023474178403774</v>
      </c>
      <c r="BG23" s="16">
        <v>-0.000025023474178403747</v>
      </c>
      <c r="BH23" s="16">
        <v>-0.05</v>
      </c>
      <c r="BI23" s="16">
        <v>0</v>
      </c>
      <c r="BJ23" s="16">
        <v>0</v>
      </c>
      <c r="BK23" s="45">
        <v>33981.43387592912</v>
      </c>
      <c r="BL23" s="45">
        <v>33981.43387592912</v>
      </c>
      <c r="BM23" s="45">
        <v>33711.97248286597</v>
      </c>
      <c r="BN23" s="45">
        <v>32324.753713290957</v>
      </c>
      <c r="BO23" s="45">
        <v>29645.512306606935</v>
      </c>
      <c r="BP23" s="45">
        <v>25685.219129339992</v>
      </c>
      <c r="BQ23" s="45">
        <v>22177.500315357287</v>
      </c>
      <c r="BR23" s="45">
        <v>18979.591174177967</v>
      </c>
      <c r="BS23" s="45">
        <v>16068.579800815629</v>
      </c>
      <c r="BT23" s="45">
        <v>13499.406542017648</v>
      </c>
      <c r="BU23" s="45">
        <v>9711.058167471228</v>
      </c>
      <c r="BV23" s="45">
        <v>5338.825840974406</v>
      </c>
      <c r="BW23" s="45">
        <v>2579.0119739305524</v>
      </c>
      <c r="BX23" s="45">
        <v>862.0735021579536</v>
      </c>
      <c r="BY23" s="45">
        <v>-1277.041400388555</v>
      </c>
      <c r="BZ23" s="45">
        <v>-3362.657971315901</v>
      </c>
      <c r="CA23" s="45">
        <v>-3847.42857187151</v>
      </c>
      <c r="CB23" s="45">
        <v>-4957.082434327438</v>
      </c>
      <c r="CC23" s="45">
        <v>-5790.583579096708</v>
      </c>
      <c r="CD23" s="45">
        <v>6.55418261885643e-13</v>
      </c>
      <c r="CE23" s="45">
        <v>6.55418261885643e-13</v>
      </c>
      <c r="CF23" s="45">
        <v>-100.34398742908004</v>
      </c>
      <c r="CG23" s="45">
        <v>-548.8263573529148</v>
      </c>
      <c r="CH23" s="45">
        <v>-1370.2937550238357</v>
      </c>
      <c r="CI23" s="45">
        <v>-2445.738568234754</v>
      </c>
      <c r="CJ23" s="45">
        <v>-3131.099099063553</v>
      </c>
      <c r="CK23" s="45">
        <v>-3588.944718034053</v>
      </c>
      <c r="CL23" s="45">
        <v>-3894.1039629047514</v>
      </c>
      <c r="CM23" s="45">
        <v>-4061.778722478934</v>
      </c>
      <c r="CN23" s="45">
        <v>-3955.4720397139654</v>
      </c>
      <c r="CO23" s="45">
        <v>-3386.2107560737963</v>
      </c>
      <c r="CP23" s="45">
        <v>-2776.45759186821</v>
      </c>
      <c r="CQ23" s="45">
        <v>-2355.0341104407853</v>
      </c>
      <c r="CR23" s="45">
        <v>-1744.4169556690001</v>
      </c>
      <c r="CS23" s="45">
        <v>-1019.1542780575393</v>
      </c>
      <c r="CT23" s="45">
        <v>-838.6165870479767</v>
      </c>
      <c r="CU23" s="45">
        <v>-364.4260303991837</v>
      </c>
      <c r="CV23" s="45">
        <v>0</v>
      </c>
      <c r="CW23" s="45">
        <v>-5.220063030719757e-12</v>
      </c>
      <c r="CX23" s="45">
        <v>-5.220063030719757e-12</v>
      </c>
      <c r="CY23" s="45">
        <v>-144.9824829109636</v>
      </c>
      <c r="CZ23" s="45">
        <v>-781.8723647532559</v>
      </c>
      <c r="DA23" s="45">
        <v>-1853.155125636094</v>
      </c>
      <c r="DB23" s="45">
        <v>-3294.3335055269404</v>
      </c>
      <c r="DC23" s="45">
        <v>-4203.801855631572</v>
      </c>
      <c r="DD23" s="45">
        <v>-4732.999681423382</v>
      </c>
      <c r="DE23" s="45">
        <v>-5038.538040602631</v>
      </c>
      <c r="DF23" s="45">
        <v>-5211.116172103966</v>
      </c>
      <c r="DG23" s="45">
        <v>-5242.897147048909</v>
      </c>
      <c r="DH23" s="45">
        <v>-4701.153499119667</v>
      </c>
      <c r="DI23" s="45">
        <v>-3989.76155090981</v>
      </c>
      <c r="DJ23" s="45">
        <v>-3384.3584679150754</v>
      </c>
      <c r="DK23" s="45">
        <v>-2466.363515190659</v>
      </c>
      <c r="DL23" s="45">
        <v>-1413.6889661994367</v>
      </c>
      <c r="DM23" s="45">
        <v>-1141.5022006337113</v>
      </c>
      <c r="DN23" s="45">
        <v>-528.148732751928</v>
      </c>
      <c r="DO23" s="45">
        <v>5.960464477539062e-14</v>
      </c>
      <c r="DP23" s="46">
        <f>MAX(1,MIN(18,SUMPRODUCT(--($BK23:$CC23&gt;=Pu))))</f>
      </c>
      <c r="DQ23" s="47">
        <f>(Pu-INDEX($BK23:$CC23,1,$DP23))/(INDEX($BK23:$CC23,1,$DP23+1)-INDEX($BK23:$CC23,1,$DP23))</f>
      </c>
      <c r="DR23" s="39">
        <f>INDEX($CD23:$CV23,1,$DP23)+$DQ23*(INDEX($CD23:$CV23,1,$DP23+1)-INDEX($CD23:$CV23,1,$DP23))</f>
      </c>
      <c r="DS23" s="39">
        <f>INDEX($CW23:$DO23,1,$DP23)+$DQ23*(INDEX($CW23:$DO23,1,$DP23+1)-INDEX($CW23:$DO23,1,$DP23))</f>
      </c>
      <c r="DT23" s="39">
        <f>SQRT(DR23^2+DS23^2)</f>
      </c>
      <c r="DU23" s="20">
        <f>DR24-DR23</f>
      </c>
      <c r="DV23" s="20">
        <f>DS24-DS23</f>
      </c>
      <c r="DW23" s="20">
        <f>DU23*SIN(RADIANS(theta_L))-DV23*COS(RADIANS(theta_L))</f>
      </c>
      <c r="DX23" s="47">
        <f>IF(DW23=0,"",-(DR23*SIN(RADIANS(theta_L))-DS23*COS(RADIANS(theta_L)))/DW23)</f>
      </c>
      <c r="DY23" s="20">
        <f>IF(DX23="","",(DR23+DX23*DU23)*COS(RADIANS(theta_L))+(DS23+DX23*DV23)*SIN(RADIANS(theta_L)))</f>
      </c>
      <c r="DZ23" s="20">
        <f>IF(OR(DX23="",DX23&lt;0,DX23&gt;1,DY23&lt;0),"",DY23)</f>
      </c>
    </row>
    <row r="24" spans="1:130" x14ac:dyDescent="0.25">
      <c r="A24">
        <v>17</v>
      </c>
      <c r="B24" s="44">
        <v>239.99999999999997</v>
      </c>
      <c r="C24" s="18">
        <v>849.5190528383291</v>
      </c>
      <c r="D24" s="18">
        <v>-738.8972745734183</v>
      </c>
      <c r="E24" s="18">
        <v>1588.4163274117473</v>
      </c>
      <c r="F24" s="16">
        <v>0.0033</v>
      </c>
      <c r="G24" s="16">
        <v>0</v>
      </c>
      <c r="H24" s="16">
        <v>0</v>
      </c>
      <c r="I24" s="16">
        <v>0.0027116964538857137</v>
      </c>
      <c r="J24" s="16">
        <v>-3.462568285835998e-7</v>
      </c>
      <c r="K24" s="16">
        <v>-5.997344195744616e-7</v>
      </c>
      <c r="L24" s="16">
        <v>0.0024175446808285704</v>
      </c>
      <c r="M24" s="16">
        <v>-5.193852428753996e-7</v>
      </c>
      <c r="N24" s="16">
        <v>-8.996016293616925e-7</v>
      </c>
      <c r="O24" s="16">
        <v>0.0021233929077714275</v>
      </c>
      <c r="P24" s="16">
        <v>-6.925136571671996e-7</v>
      </c>
      <c r="Q24" s="16">
        <v>-0.0000011994688391489233</v>
      </c>
      <c r="R24" s="16">
        <v>0.0018292411347142843</v>
      </c>
      <c r="S24" s="16">
        <v>-8.656420714589995e-7</v>
      </c>
      <c r="T24" s="16">
        <v>-0.0000014993360489361542</v>
      </c>
      <c r="U24" s="16">
        <v>0.0015350893616571412</v>
      </c>
      <c r="V24" s="16">
        <v>-0.0000010387704857507993</v>
      </c>
      <c r="W24" s="16">
        <v>-0.000001799203258723385</v>
      </c>
      <c r="X24" s="16">
        <v>0.0012676786588779205</v>
      </c>
      <c r="Y24" s="16">
        <v>-0.0000011961599532887992</v>
      </c>
      <c r="Z24" s="16">
        <v>-0.000002071809813075413</v>
      </c>
      <c r="AA24" s="16">
        <v>0.0010002679560986993</v>
      </c>
      <c r="AB24" s="16">
        <v>-0.0000013535494208267992</v>
      </c>
      <c r="AC24" s="16">
        <v>-0.000002344416367427441</v>
      </c>
      <c r="AD24" s="16">
        <v>0.0007328572533194782</v>
      </c>
      <c r="AE24" s="16">
        <v>-0.0000015109388883647991</v>
      </c>
      <c r="AF24" s="16">
        <v>-0.0000026170229217794695</v>
      </c>
      <c r="AG24" s="16">
        <v>0.00046544655054025705</v>
      </c>
      <c r="AH24" s="16">
        <v>-0.000001668328355902799</v>
      </c>
      <c r="AI24" s="16">
        <v>-0.0000028896294761314972</v>
      </c>
      <c r="AJ24" s="16">
        <v>-0.00006937485501818481</v>
      </c>
      <c r="AK24" s="16">
        <v>-0.0000019831072909787988</v>
      </c>
      <c r="AL24" s="16">
        <v>-0.0000034348425848355536</v>
      </c>
      <c r="AM24" s="16">
        <v>-0.001139017666135069</v>
      </c>
      <c r="AN24" s="16">
        <v>-0.000002612665161130798</v>
      </c>
      <c r="AO24" s="16">
        <v>-0.000004525268802243665</v>
      </c>
      <c r="AP24" s="16">
        <v>-0.002476071180031174</v>
      </c>
      <c r="AQ24" s="16">
        <v>-0.000003399612498820798</v>
      </c>
      <c r="AR24" s="16">
        <v>-0.000005888301574003806</v>
      </c>
      <c r="AS24" s="16">
        <v>-0.0038131246939272787</v>
      </c>
      <c r="AT24" s="16">
        <v>-0.000004186559836510797</v>
      </c>
      <c r="AU24" s="16">
        <v>-0.000007251334345763945</v>
      </c>
      <c r="AV24" s="16">
        <v>-0.00648723172171949</v>
      </c>
      <c r="AW24" s="16">
        <v>-0.000005760454511890797</v>
      </c>
      <c r="AX24" s="16">
        <v>-0.000009977399889284227</v>
      </c>
      <c r="AY24" s="16">
        <v>-0.011835445777303912</v>
      </c>
      <c r="AZ24" s="16">
        <v>-0.000008908243862650796</v>
      </c>
      <c r="BA24" s="16">
        <v>-0.00001542953097632479</v>
      </c>
      <c r="BB24" s="16">
        <v>-0.014509552805096117</v>
      </c>
      <c r="BC24" s="16">
        <v>-0.000010482138538030791</v>
      </c>
      <c r="BD24" s="16">
        <v>-0.000018155596519845064</v>
      </c>
      <c r="BE24" s="16">
        <v>-0.025205980916264956</v>
      </c>
      <c r="BF24" s="16">
        <v>-0.000016777717239550787</v>
      </c>
      <c r="BG24" s="16">
        <v>-0.000029059858693926187</v>
      </c>
      <c r="BH24" s="16">
        <v>-0.05</v>
      </c>
      <c r="BI24" s="16">
        <v>0</v>
      </c>
      <c r="BJ24" s="16">
        <v>0</v>
      </c>
      <c r="BK24" s="45">
        <v>33981.43387592912</v>
      </c>
      <c r="BL24" s="45">
        <v>33981.43387592912</v>
      </c>
      <c r="BM24" s="45">
        <v>33732.27558099029</v>
      </c>
      <c r="BN24" s="45">
        <v>32442.177254178856</v>
      </c>
      <c r="BO24" s="45">
        <v>29880.954749004737</v>
      </c>
      <c r="BP24" s="45">
        <v>25940.81350928852</v>
      </c>
      <c r="BQ24" s="45">
        <v>22364.787481436968</v>
      </c>
      <c r="BR24" s="45">
        <v>19282.24082253629</v>
      </c>
      <c r="BS24" s="45">
        <v>16419.875710347947</v>
      </c>
      <c r="BT24" s="45">
        <v>13726.998365273803</v>
      </c>
      <c r="BU24" s="45">
        <v>9630.589372107817</v>
      </c>
      <c r="BV24" s="45">
        <v>5508.418715469646</v>
      </c>
      <c r="BW24" s="45">
        <v>2776.614065615689</v>
      </c>
      <c r="BX24" s="45">
        <v>1059.2605961207043</v>
      </c>
      <c r="BY24" s="45">
        <v>-1197.6390365317031</v>
      </c>
      <c r="BZ24" s="45">
        <v>-3535.2045122014174</v>
      </c>
      <c r="CA24" s="45">
        <v>-4130.9932277453645</v>
      </c>
      <c r="CB24" s="45">
        <v>-5094.604571150254</v>
      </c>
      <c r="CC24" s="45">
        <v>-5790.583579096708</v>
      </c>
      <c r="CD24" s="45">
        <v>6.55418261885643e-13</v>
      </c>
      <c r="CE24" s="45">
        <v>6.55418261885643e-13</v>
      </c>
      <c r="CF24" s="45">
        <v>-66.54863532821506</v>
      </c>
      <c r="CG24" s="45">
        <v>-372.87630402796833</v>
      </c>
      <c r="CH24" s="45">
        <v>-915.4833607364445</v>
      </c>
      <c r="CI24" s="45">
        <v>-1654.8230313272863</v>
      </c>
      <c r="CJ24" s="45">
        <v>-2065.6276586016597</v>
      </c>
      <c r="CK24" s="45">
        <v>-2293.804991342371</v>
      </c>
      <c r="CL24" s="45">
        <v>-2487.183191698188</v>
      </c>
      <c r="CM24" s="45">
        <v>-2613.407007623532</v>
      </c>
      <c r="CN24" s="45">
        <v>-2567.7418753040274</v>
      </c>
      <c r="CO24" s="45">
        <v>-2293.8549176947317</v>
      </c>
      <c r="CP24" s="45">
        <v>-2023.7405265016953</v>
      </c>
      <c r="CQ24" s="45">
        <v>-1771.9956628796792</v>
      </c>
      <c r="CR24" s="45">
        <v>-1356.320127709476</v>
      </c>
      <c r="CS24" s="45">
        <v>-786.3109702447695</v>
      </c>
      <c r="CT24" s="45">
        <v>-583.585855412613</v>
      </c>
      <c r="CU24" s="45">
        <v>-260.50028353715396</v>
      </c>
      <c r="CV24" s="45">
        <v>0</v>
      </c>
      <c r="CW24" s="45">
        <v>-5.220063030719757e-12</v>
      </c>
      <c r="CX24" s="45">
        <v>-5.220063030719757e-12</v>
      </c>
      <c r="CY24" s="45">
        <v>-150.96787618538673</v>
      </c>
      <c r="CZ24" s="45">
        <v>-847.7225461692502</v>
      </c>
      <c r="DA24" s="45">
        <v>-2067.5546885162635</v>
      </c>
      <c r="DB24" s="45">
        <v>-3756.6329151156838</v>
      </c>
      <c r="DC24" s="45">
        <v>-4955.854971681475</v>
      </c>
      <c r="DD24" s="45">
        <v>-5622.805185801681</v>
      </c>
      <c r="DE24" s="45">
        <v>-6015.697616478879</v>
      </c>
      <c r="DF24" s="45">
        <v>-6260.782085960871</v>
      </c>
      <c r="DG24" s="45">
        <v>-6293.15172440257</v>
      </c>
      <c r="DH24" s="45">
        <v>-5625.746049551829</v>
      </c>
      <c r="DI24" s="45">
        <v>-4730.606927835971</v>
      </c>
      <c r="DJ24" s="45">
        <v>-3949.8708871748354</v>
      </c>
      <c r="DK24" s="45">
        <v>-2781.265659341161</v>
      </c>
      <c r="DL24" s="45">
        <v>-1434.3848468341641</v>
      </c>
      <c r="DM24" s="45">
        <v>-1085.145523881332</v>
      </c>
      <c r="DN24" s="45">
        <v>-471.46452801439415</v>
      </c>
      <c r="DO24" s="45">
        <v>5.960464477539062e-14</v>
      </c>
      <c r="DP24" s="46">
        <f>MAX(1,MIN(18,SUMPRODUCT(--($BK24:$CC24&gt;=Pu))))</f>
      </c>
      <c r="DQ24" s="47">
        <f>(Pu-INDEX($BK24:$CC24,1,$DP24))/(INDEX($BK24:$CC24,1,$DP24+1)-INDEX($BK24:$CC24,1,$DP24))</f>
      </c>
      <c r="DR24" s="39">
        <f>INDEX($CD24:$CV24,1,$DP24)+$DQ24*(INDEX($CD24:$CV24,1,$DP24+1)-INDEX($CD24:$CV24,1,$DP24))</f>
      </c>
      <c r="DS24" s="39">
        <f>INDEX($CW24:$DO24,1,$DP24)+$DQ24*(INDEX($CW24:$DO24,1,$DP24+1)-INDEX($CW24:$DO24,1,$DP24))</f>
      </c>
      <c r="DT24" s="39">
        <f>SQRT(DR24^2+DS24^2)</f>
      </c>
      <c r="DU24" s="20">
        <f>DR25-DR24</f>
      </c>
      <c r="DV24" s="20">
        <f>DS25-DS24</f>
      </c>
      <c r="DW24" s="20">
        <f>DU24*SIN(RADIANS(theta_L))-DV24*COS(RADIANS(theta_L))</f>
      </c>
      <c r="DX24" s="47">
        <f>IF(DW24=0,"",-(DR24*SIN(RADIANS(theta_L))-DS24*COS(RADIANS(theta_L)))/DW24)</f>
      </c>
      <c r="DY24" s="20">
        <f>IF(DX24="","",(DR24+DX24*DU24)*COS(RADIANS(theta_L))+(DS24+DX24*DV24)*SIN(RADIANS(theta_L)))</f>
      </c>
      <c r="DZ24" s="20">
        <f>IF(OR(DX24="",DX24&lt;0,DX24&gt;1,DY24&lt;0),"",DY24)</f>
      </c>
    </row>
    <row r="25" spans="1:130" x14ac:dyDescent="0.25">
      <c r="A25">
        <v>18</v>
      </c>
      <c r="B25" s="44">
        <v>255</v>
      </c>
      <c r="C25" s="18">
        <v>827.9719877578095</v>
      </c>
      <c r="D25" s="18">
        <v>-734.4752754073227</v>
      </c>
      <c r="E25" s="18">
        <v>1562.4472631651322</v>
      </c>
      <c r="F25" s="16">
        <v>0.0033</v>
      </c>
      <c r="G25" s="16">
        <v>0</v>
      </c>
      <c r="H25" s="16">
        <v>0</v>
      </c>
      <c r="I25" s="16">
        <v>0.0027170880464223814</v>
      </c>
      <c r="J25" s="16">
        <v>-1.8221475778711335e-7</v>
      </c>
      <c r="K25" s="16">
        <v>-6.80034733950364e-7</v>
      </c>
      <c r="L25" s="16">
        <v>0.0024256320696335724</v>
      </c>
      <c r="M25" s="16">
        <v>-2.7332213668067e-7</v>
      </c>
      <c r="N25" s="16">
        <v>-0.0000010200521009255462</v>
      </c>
      <c r="O25" s="16">
        <v>0.002134176092844763</v>
      </c>
      <c r="P25" s="16">
        <v>-3.644295155742267e-7</v>
      </c>
      <c r="Q25" s="16">
        <v>-0.000001360069467900728</v>
      </c>
      <c r="R25" s="16">
        <v>0.0018427201160559539</v>
      </c>
      <c r="S25" s="16">
        <v>-4.5553689446778334e-7</v>
      </c>
      <c r="T25" s="16">
        <v>-0.0000017000868348759101</v>
      </c>
      <c r="U25" s="16">
        <v>0.0015512641392671448</v>
      </c>
      <c r="V25" s="16">
        <v>-5.4664427336134e-7</v>
      </c>
      <c r="W25" s="16">
        <v>-0.0000020401042018510924</v>
      </c>
      <c r="X25" s="16">
        <v>0.0012863041603682272</v>
      </c>
      <c r="Y25" s="16">
        <v>-6.294691632645733e-7</v>
      </c>
      <c r="Z25" s="16">
        <v>-0.0000023492108991012574</v>
      </c>
      <c r="AA25" s="16">
        <v>0.0010213441814693096</v>
      </c>
      <c r="AB25" s="16">
        <v>-7.122940531678067e-7</v>
      </c>
      <c r="AC25" s="16">
        <v>-0.0000026583175963514233</v>
      </c>
      <c r="AD25" s="16">
        <v>0.000756384202570392</v>
      </c>
      <c r="AE25" s="16">
        <v>-7.9511894307104e-7</v>
      </c>
      <c r="AF25" s="16">
        <v>-0.000002967424293601589</v>
      </c>
      <c r="AG25" s="16">
        <v>0.0004914242236714749</v>
      </c>
      <c r="AH25" s="16">
        <v>-8.779438329742734e-7</v>
      </c>
      <c r="AI25" s="16">
        <v>-0.000003276530990851754</v>
      </c>
      <c r="AJ25" s="16">
        <v>-0.00003849573412636033</v>
      </c>
      <c r="AK25" s="16">
        <v>-0.00000104359361278074</v>
      </c>
      <c r="AL25" s="16">
        <v>-0.000003894744385352085</v>
      </c>
      <c r="AM25" s="16">
        <v>-0.0010983356497220303</v>
      </c>
      <c r="AN25" s="16">
        <v>-0.0000013748931723936733</v>
      </c>
      <c r="AO25" s="16">
        <v>-0.000005131171174352748</v>
      </c>
      <c r="AP25" s="16">
        <v>-0.002423135544216617</v>
      </c>
      <c r="AQ25" s="16">
        <v>-0.00000178901762190984</v>
      </c>
      <c r="AR25" s="16">
        <v>-0.000006676704660603575</v>
      </c>
      <c r="AS25" s="16">
        <v>-0.0037479354387112036</v>
      </c>
      <c r="AT25" s="16">
        <v>-0.0000022031420714260063</v>
      </c>
      <c r="AU25" s="16">
        <v>-0.000008222238146854401</v>
      </c>
      <c r="AV25" s="16">
        <v>-0.00639753522770038</v>
      </c>
      <c r="AW25" s="16">
        <v>-0.00000303139097045834</v>
      </c>
      <c r="AX25" s="16">
        <v>-0.000011313305119356057</v>
      </c>
      <c r="AY25" s="16">
        <v>-0.011696734805678729</v>
      </c>
      <c r="AZ25" s="16">
        <v>-0.000004687888768523008</v>
      </c>
      <c r="BA25" s="16">
        <v>-0.000017495439064359368</v>
      </c>
      <c r="BB25" s="16">
        <v>-0.0143463345946679</v>
      </c>
      <c r="BC25" s="16">
        <v>-0.000005516137667555339</v>
      </c>
      <c r="BD25" s="16">
        <v>-0.00002058650603686102</v>
      </c>
      <c r="BE25" s="16">
        <v>-0.0249447337506246</v>
      </c>
      <c r="BF25" s="16">
        <v>-0.000008829133263684674</v>
      </c>
      <c r="BG25" s="16">
        <v>-0.00003295077392686764</v>
      </c>
      <c r="BH25" s="16">
        <v>-0.05</v>
      </c>
      <c r="BI25" s="16">
        <v>0</v>
      </c>
      <c r="BJ25" s="16">
        <v>0</v>
      </c>
      <c r="BK25" s="45">
        <v>33981.43387592912</v>
      </c>
      <c r="BL25" s="45">
        <v>33981.43387592912</v>
      </c>
      <c r="BM25" s="45">
        <v>33699.951952898584</v>
      </c>
      <c r="BN25" s="45">
        <v>32362.206453718707</v>
      </c>
      <c r="BO25" s="45">
        <v>29742.709207953154</v>
      </c>
      <c r="BP25" s="45">
        <v>25715.616334785827</v>
      </c>
      <c r="BQ25" s="45">
        <v>22178.85779751111</v>
      </c>
      <c r="BR25" s="45">
        <v>19344.517464090182</v>
      </c>
      <c r="BS25" s="45">
        <v>16591.64393229966</v>
      </c>
      <c r="BT25" s="45">
        <v>13901.988136858547</v>
      </c>
      <c r="BU25" s="45">
        <v>9867.924573657632</v>
      </c>
      <c r="BV25" s="45">
        <v>6081.0066878114185</v>
      </c>
      <c r="BW25" s="45">
        <v>3766.732344226666</v>
      </c>
      <c r="BX25" s="45">
        <v>2186.499901833181</v>
      </c>
      <c r="BY25" s="45">
        <v>-133.15244209943432</v>
      </c>
      <c r="BZ25" s="45">
        <v>-2891.7938885703015</v>
      </c>
      <c r="CA25" s="45">
        <v>-3653.235493269652</v>
      </c>
      <c r="CB25" s="45">
        <v>-4973.17714255611</v>
      </c>
      <c r="CC25" s="45">
        <v>-5790.583579096708</v>
      </c>
      <c r="CD25" s="45">
        <v>6.55418261885643e-13</v>
      </c>
      <c r="CE25" s="45">
        <v>6.55418261885643e-13</v>
      </c>
      <c r="CF25" s="45">
        <v>-37.38912686391039</v>
      </c>
      <c r="CG25" s="45">
        <v>-206.63339289764622</v>
      </c>
      <c r="CH25" s="45">
        <v>-488.9687308867567</v>
      </c>
      <c r="CI25" s="45">
        <v>-873.6286138343403</v>
      </c>
      <c r="CJ25" s="45">
        <v>-1025.3645392072249</v>
      </c>
      <c r="CK25" s="45">
        <v>-1120.0971289176298</v>
      </c>
      <c r="CL25" s="45">
        <v>-1222.5084222367623</v>
      </c>
      <c r="CM25" s="45">
        <v>-1297.5538866083166</v>
      </c>
      <c r="CN25" s="45">
        <v>-1289.4212342410758</v>
      </c>
      <c r="CO25" s="45">
        <v>-1127.8101100016331</v>
      </c>
      <c r="CP25" s="45">
        <v>-1089.7898720045514</v>
      </c>
      <c r="CQ25" s="45">
        <v>-1042.5813080039504</v>
      </c>
      <c r="CR25" s="45">
        <v>-887.107617949878</v>
      </c>
      <c r="CS25" s="45">
        <v>-556.9682711372902</v>
      </c>
      <c r="CT25" s="45">
        <v>-492.09394295321096</v>
      </c>
      <c r="CU25" s="45">
        <v>-247.64946149494878</v>
      </c>
      <c r="CV25" s="45">
        <v>0</v>
      </c>
      <c r="CW25" s="45">
        <v>-5.220063030719757e-12</v>
      </c>
      <c r="CX25" s="45">
        <v>-5.220063030719757e-12</v>
      </c>
      <c r="CY25" s="45">
        <v>-182.77199398853182</v>
      </c>
      <c r="CZ25" s="45">
        <v>-960.0514458796405</v>
      </c>
      <c r="DA25" s="45">
        <v>-2327.646719434382</v>
      </c>
      <c r="DB25" s="45">
        <v>-4238.733721010056</v>
      </c>
      <c r="DC25" s="45">
        <v>-5536.352246868099</v>
      </c>
      <c r="DD25" s="45">
        <v>-6151.105264779265</v>
      </c>
      <c r="DE25" s="45">
        <v>-6552.6282252833025</v>
      </c>
      <c r="DF25" s="45">
        <v>-6841.814186799574</v>
      </c>
      <c r="DG25" s="45">
        <v>-6876.663251552715</v>
      </c>
      <c r="DH25" s="45">
        <v>-6368.639079681201</v>
      </c>
      <c r="DI25" s="45">
        <v>-5628.830583460083</v>
      </c>
      <c r="DJ25" s="45">
        <v>-4915.949241246387</v>
      </c>
      <c r="DK25" s="45">
        <v>-3656.8816166531105</v>
      </c>
      <c r="DL25" s="45">
        <v>-1968.181409690524</v>
      </c>
      <c r="DM25" s="45">
        <v>-1462.8087413701303</v>
      </c>
      <c r="DN25" s="45">
        <v>-569.4289120053129</v>
      </c>
      <c r="DO25" s="45">
        <v>5.960464477539062e-14</v>
      </c>
      <c r="DP25" s="46">
        <f>MAX(1,MIN(18,SUMPRODUCT(--($BK25:$CC25&gt;=Pu))))</f>
      </c>
      <c r="DQ25" s="47">
        <f>(Pu-INDEX($BK25:$CC25,1,$DP25))/(INDEX($BK25:$CC25,1,$DP25+1)-INDEX($BK25:$CC25,1,$DP25))</f>
      </c>
      <c r="DR25" s="39">
        <f>INDEX($CD25:$CV25,1,$DP25)+$DQ25*(INDEX($CD25:$CV25,1,$DP25+1)-INDEX($CD25:$CV25,1,$DP25))</f>
      </c>
      <c r="DS25" s="39">
        <f>INDEX($CW25:$DO25,1,$DP25)+$DQ25*(INDEX($CW25:$DO25,1,$DP25+1)-INDEX($CW25:$DO25,1,$DP25))</f>
      </c>
      <c r="DT25" s="39">
        <f>SQRT(DR25^2+DS25^2)</f>
      </c>
      <c r="DU25" s="20">
        <f>DR26-DR25</f>
      </c>
      <c r="DV25" s="20">
        <f>DS26-DS25</f>
      </c>
      <c r="DW25" s="20">
        <f>DU25*SIN(RADIANS(theta_L))-DV25*COS(RADIANS(theta_L))</f>
      </c>
      <c r="DX25" s="47">
        <f>IF(DW25=0,"",-(DR25*SIN(RADIANS(theta_L))-DS25*COS(RADIANS(theta_L)))/DW25)</f>
      </c>
      <c r="DY25" s="20">
        <f>IF(DX25="","",(DR25+DX25*DU25)*COS(RADIANS(theta_L))+(DS25+DX25*DV25)*SIN(RADIANS(theta_L)))</f>
      </c>
      <c r="DZ25" s="20">
        <f>IF(OR(DX25="",DX25&lt;0,DX25&gt;1,DY25&lt;0),"",DY25)</f>
      </c>
    </row>
    <row r="26" spans="1:130" x14ac:dyDescent="0.25">
      <c r="A26">
        <v>19</v>
      </c>
      <c r="B26" s="44">
        <v>270</v>
      </c>
      <c r="C26" s="18">
        <v>750.0000000000001</v>
      </c>
      <c r="D26" s="18">
        <v>-680</v>
      </c>
      <c r="E26" s="18">
        <v>1430</v>
      </c>
      <c r="F26" s="16">
        <v>0.0033</v>
      </c>
      <c r="G26" s="16">
        <v>0</v>
      </c>
      <c r="H26" s="16">
        <v>0</v>
      </c>
      <c r="I26" s="16">
        <v>0.002723076923076923</v>
      </c>
      <c r="J26" s="16">
        <v>-1.4130539990161768e-22</v>
      </c>
      <c r="K26" s="16">
        <v>-7.692307692307693e-7</v>
      </c>
      <c r="L26" s="16">
        <v>0.0024346153846153845</v>
      </c>
      <c r="M26" s="16">
        <v>-2.119580998524265e-22</v>
      </c>
      <c r="N26" s="16">
        <v>-0.0000011538461538461538</v>
      </c>
      <c r="O26" s="16">
        <v>0.0021461538461538462</v>
      </c>
      <c r="P26" s="16">
        <v>-2.8261079980323535e-22</v>
      </c>
      <c r="Q26" s="16">
        <v>-0.0000015384615384615385</v>
      </c>
      <c r="R26" s="16">
        <v>0.0018576923076923076</v>
      </c>
      <c r="S26" s="16">
        <v>-3.5326349975404417e-22</v>
      </c>
      <c r="T26" s="16">
        <v>-0.000001923076923076923</v>
      </c>
      <c r="U26" s="16">
        <v>0.001569230769230769</v>
      </c>
      <c r="V26" s="16">
        <v>-4.23916199704853e-22</v>
      </c>
      <c r="W26" s="16">
        <v>-0.0000023076923076923077</v>
      </c>
      <c r="X26" s="16">
        <v>0.0013069930069930067</v>
      </c>
      <c r="Y26" s="16">
        <v>-4.88145926932861e-22</v>
      </c>
      <c r="Z26" s="16">
        <v>-0.0000026573426573426574</v>
      </c>
      <c r="AA26" s="16">
        <v>0.0010447552447552444</v>
      </c>
      <c r="AB26" s="16">
        <v>-5.52375654160869e-22</v>
      </c>
      <c r="AC26" s="16">
        <v>-0.000003006993006993007</v>
      </c>
      <c r="AD26" s="16">
        <v>0.0007825174825174816</v>
      </c>
      <c r="AE26" s="16">
        <v>-6.166053813888772e-22</v>
      </c>
      <c r="AF26" s="16">
        <v>-0.000003356643356643357</v>
      </c>
      <c r="AG26" s="16">
        <v>0.0005202797202797198</v>
      </c>
      <c r="AH26" s="16">
        <v>-6.808351086168851e-22</v>
      </c>
      <c r="AI26" s="16">
        <v>-0.0000037062937062937064</v>
      </c>
      <c r="AJ26" s="16">
        <v>-0.000004195804195804807</v>
      </c>
      <c r="AK26" s="16">
        <v>-8.092945630729013e-22</v>
      </c>
      <c r="AL26" s="16">
        <v>-0.000004405594405594406</v>
      </c>
      <c r="AM26" s="16">
        <v>-0.001053146853146854</v>
      </c>
      <c r="AN26" s="16">
        <v>-1.0662134719849333e-21</v>
      </c>
      <c r="AO26" s="16">
        <v>-0.000005804195804195804</v>
      </c>
      <c r="AP26" s="16">
        <v>-0.002364335664335666</v>
      </c>
      <c r="AQ26" s="16">
        <v>-1.3873621081249737e-21</v>
      </c>
      <c r="AR26" s="16">
        <v>-0.000007552447552447553</v>
      </c>
      <c r="AS26" s="16">
        <v>-0.003675524475524476</v>
      </c>
      <c r="AT26" s="16">
        <v>-1.7085107442650132e-21</v>
      </c>
      <c r="AU26" s="16">
        <v>-0.0000093006993006993</v>
      </c>
      <c r="AV26" s="16">
        <v>-0.0062979020979021</v>
      </c>
      <c r="AW26" s="16">
        <v>-2.350808016545094e-21</v>
      </c>
      <c r="AX26" s="16">
        <v>-0.000012797202797202797</v>
      </c>
      <c r="AY26" s="16">
        <v>-0.011542657342657348</v>
      </c>
      <c r="AZ26" s="16">
        <v>-3.635402561105255e-21</v>
      </c>
      <c r="BA26" s="16">
        <v>-0.000019790209790209793</v>
      </c>
      <c r="BB26" s="16">
        <v>-0.014165034965034965</v>
      </c>
      <c r="BC26" s="16">
        <v>-4.277699833385335e-21</v>
      </c>
      <c r="BD26" s="16">
        <v>-0.000023286713286713284</v>
      </c>
      <c r="BE26" s="16">
        <v>-0.02465454545454546</v>
      </c>
      <c r="BF26" s="16">
        <v>-6.846888922505657e-21</v>
      </c>
      <c r="BG26" s="16">
        <v>-0.000037272727272727276</v>
      </c>
      <c r="BH26" s="16">
        <v>-0.05</v>
      </c>
      <c r="BI26" s="16">
        <v>0</v>
      </c>
      <c r="BJ26" s="16">
        <v>0</v>
      </c>
      <c r="BK26" s="45">
        <v>33981.43387592912</v>
      </c>
      <c r="BL26" s="45">
        <v>33981.43387592912</v>
      </c>
      <c r="BM26" s="45">
        <v>33616.20664195629</v>
      </c>
      <c r="BN26" s="45">
        <v>32083.01089171975</v>
      </c>
      <c r="BO26" s="45">
        <v>29220.34255932352</v>
      </c>
      <c r="BP26" s="45">
        <v>25003.60781611536</v>
      </c>
      <c r="BQ26" s="45">
        <v>21858.984973550847</v>
      </c>
      <c r="BR26" s="45">
        <v>19258.022396878634</v>
      </c>
      <c r="BS26" s="45">
        <v>16660.195250385903</v>
      </c>
      <c r="BT26" s="45">
        <v>14047.573804671045</v>
      </c>
      <c r="BU26" s="45">
        <v>10316.770596158798</v>
      </c>
      <c r="BV26" s="45">
        <v>6659.639237389148</v>
      </c>
      <c r="BW26" s="45">
        <v>4755.560785714613</v>
      </c>
      <c r="BX26" s="45">
        <v>3536.3460848841037</v>
      </c>
      <c r="BY26" s="45">
        <v>1949.4624679197605</v>
      </c>
      <c r="BZ26" s="45">
        <v>-186.55368253049068</v>
      </c>
      <c r="CA26" s="45">
        <v>-834.506976289419</v>
      </c>
      <c r="CB26" s="45">
        <v>-2546.565000712317</v>
      </c>
      <c r="CC26" s="45">
        <v>-5790.583579096708</v>
      </c>
      <c r="CD26" s="45">
        <v>6.55418261885643e-13</v>
      </c>
      <c r="CE26" s="45">
        <v>6.55418261885643e-13</v>
      </c>
      <c r="CF26" s="45">
        <v>-0.00005698090743739158</v>
      </c>
      <c r="CG26" s="45">
        <v>-0.0007546265236396576</v>
      </c>
      <c r="CH26" s="45">
        <v>-0.0005222179596417117</v>
      </c>
      <c r="CI26" s="45">
        <v>-0.13900215292411713</v>
      </c>
      <c r="CJ26" s="45">
        <v>-0.10343440789202732</v>
      </c>
      <c r="CK26" s="45">
        <v>0.03986276401591755</v>
      </c>
      <c r="CL26" s="45">
        <v>-0.06892470908831869</v>
      </c>
      <c r="CM26" s="45">
        <v>-0.03484832567005872</v>
      </c>
      <c r="CN26" s="45">
        <v>0.21945209553790604</v>
      </c>
      <c r="CO26" s="45">
        <v>-0.0021061085251597687</v>
      </c>
      <c r="CP26" s="45">
        <v>-0.001477842043957673</v>
      </c>
      <c r="CQ26" s="45">
        <v>-0.02260784946891479</v>
      </c>
      <c r="CR26" s="45">
        <v>-0.03154463889460964</v>
      </c>
      <c r="CS26" s="45">
        <v>0.1391599838219292</v>
      </c>
      <c r="CT26" s="45">
        <v>0.8313640029021678</v>
      </c>
      <c r="CU26" s="45">
        <v>-0.5680287240826467</v>
      </c>
      <c r="CV26" s="45">
        <v>0</v>
      </c>
      <c r="CW26" s="45">
        <v>-5.220063030719757e-12</v>
      </c>
      <c r="CX26" s="45">
        <v>-5.220063030719757e-12</v>
      </c>
      <c r="CY26" s="45">
        <v>-243.03429744677808</v>
      </c>
      <c r="CZ26" s="45">
        <v>-1150.3350076004417</v>
      </c>
      <c r="DA26" s="45">
        <v>-2698.809376586214</v>
      </c>
      <c r="DB26" s="45">
        <v>-4789.821465961175</v>
      </c>
      <c r="DC26" s="45">
        <v>-5873.608507474756</v>
      </c>
      <c r="DD26" s="45">
        <v>-6430.374399186983</v>
      </c>
      <c r="DE26" s="45">
        <v>-6846.477090804602</v>
      </c>
      <c r="DF26" s="45">
        <v>-7177.451205986206</v>
      </c>
      <c r="DG26" s="45">
        <v>-7136.502579475227</v>
      </c>
      <c r="DH26" s="45">
        <v>-6713.624102614421</v>
      </c>
      <c r="DI26" s="45">
        <v>-6206.098632266853</v>
      </c>
      <c r="DJ26" s="45">
        <v>-5755.775289057241</v>
      </c>
      <c r="DK26" s="45">
        <v>-5002.944205954929</v>
      </c>
      <c r="DL26" s="45">
        <v>-3804.895208187666</v>
      </c>
      <c r="DM26" s="45">
        <v>-3393.1184264879867</v>
      </c>
      <c r="DN26" s="45">
        <v>-2255.583371590858</v>
      </c>
      <c r="DO26" s="45">
        <v>5.960464477539062e-14</v>
      </c>
      <c r="DP26" s="46">
        <f>MAX(1,MIN(18,SUMPRODUCT(--($BK26:$CC26&gt;=Pu))))</f>
      </c>
      <c r="DQ26" s="47">
        <f>(Pu-INDEX($BK26:$CC26,1,$DP26))/(INDEX($BK26:$CC26,1,$DP26+1)-INDEX($BK26:$CC26,1,$DP26))</f>
      </c>
      <c r="DR26" s="39">
        <f>INDEX($CD26:$CV26,1,$DP26)+$DQ26*(INDEX($CD26:$CV26,1,$DP26+1)-INDEX($CD26:$CV26,1,$DP26))</f>
      </c>
      <c r="DS26" s="39">
        <f>INDEX($CW26:$DO26,1,$DP26)+$DQ26*(INDEX($CW26:$DO26,1,$DP26+1)-INDEX($CW26:$DO26,1,$DP26))</f>
      </c>
      <c r="DT26" s="39">
        <f>SQRT(DR26^2+DS26^2)</f>
      </c>
      <c r="DU26" s="20">
        <f>DR27-DR26</f>
      </c>
      <c r="DV26" s="20">
        <f>DS27-DS26</f>
      </c>
      <c r="DW26" s="20">
        <f>DU26*SIN(RADIANS(theta_L))-DV26*COS(RADIANS(theta_L))</f>
      </c>
      <c r="DX26" s="47">
        <f>IF(DW26=0,"",-(DR26*SIN(RADIANS(theta_L))-DS26*COS(RADIANS(theta_L)))/DW26)</f>
      </c>
      <c r="DY26" s="20">
        <f>IF(DX26="","",(DR26+DX26*DU26)*COS(RADIANS(theta_L))+(DS26+DX26*DV26)*SIN(RADIANS(theta_L)))</f>
      </c>
      <c r="DZ26" s="20">
        <f>IF(OR(DX26="",DX26&lt;0,DX26&gt;1,DY26&lt;0),"",DY26)</f>
      </c>
    </row>
    <row r="27" spans="1:130" x14ac:dyDescent="0.25">
      <c r="A27">
        <v>20</v>
      </c>
      <c r="B27" s="44">
        <v>285</v>
      </c>
      <c r="C27" s="18">
        <v>827.9719877578095</v>
      </c>
      <c r="D27" s="18">
        <v>-734.4752754073227</v>
      </c>
      <c r="E27" s="18">
        <v>1562.4472631651322</v>
      </c>
      <c r="F27" s="16">
        <v>0.0033</v>
      </c>
      <c r="G27" s="16">
        <v>0</v>
      </c>
      <c r="H27" s="16">
        <v>0</v>
      </c>
      <c r="I27" s="16">
        <v>0.0027170880464223814</v>
      </c>
      <c r="J27" s="16">
        <v>1.822147577871131e-7</v>
      </c>
      <c r="K27" s="16">
        <v>-6.800347339503641e-7</v>
      </c>
      <c r="L27" s="16">
        <v>0.0024256320696335724</v>
      </c>
      <c r="M27" s="16">
        <v>2.733221366806697e-7</v>
      </c>
      <c r="N27" s="16">
        <v>-0.0000010200521009255462</v>
      </c>
      <c r="O27" s="16">
        <v>0.002134176092844763</v>
      </c>
      <c r="P27" s="16">
        <v>3.644295155742262e-7</v>
      </c>
      <c r="Q27" s="16">
        <v>-0.0000013600694679007283</v>
      </c>
      <c r="R27" s="16">
        <v>0.0018427201160559539</v>
      </c>
      <c r="S27" s="16">
        <v>4.5553689446778276e-7</v>
      </c>
      <c r="T27" s="16">
        <v>-0.0000017000868348759103</v>
      </c>
      <c r="U27" s="16">
        <v>0.0015512641392671448</v>
      </c>
      <c r="V27" s="16">
        <v>5.466442733613394e-7</v>
      </c>
      <c r="W27" s="16">
        <v>-0.0000020401042018510924</v>
      </c>
      <c r="X27" s="16">
        <v>0.0012863041603682272</v>
      </c>
      <c r="Y27" s="16">
        <v>6.294691632645725e-7</v>
      </c>
      <c r="Z27" s="16">
        <v>-0.000002349210899101258</v>
      </c>
      <c r="AA27" s="16">
        <v>0.0010213441814693096</v>
      </c>
      <c r="AB27" s="16">
        <v>7.122940531678058e-7</v>
      </c>
      <c r="AC27" s="16">
        <v>-0.0000026583175963514237</v>
      </c>
      <c r="AD27" s="16">
        <v>0.000756384202570392</v>
      </c>
      <c r="AE27" s="16">
        <v>7.951189430710391e-7</v>
      </c>
      <c r="AF27" s="16">
        <v>-0.000002967424293601589</v>
      </c>
      <c r="AG27" s="16">
        <v>0.0004914242236714749</v>
      </c>
      <c r="AH27" s="16">
        <v>8.779438329742723e-7</v>
      </c>
      <c r="AI27" s="16">
        <v>-0.0000032765309908517546</v>
      </c>
      <c r="AJ27" s="16">
        <v>-0.00003849573412636033</v>
      </c>
      <c r="AK27" s="16">
        <v>0.0000010435936127807386</v>
      </c>
      <c r="AL27" s="16">
        <v>-0.000003894744385352086</v>
      </c>
      <c r="AM27" s="16">
        <v>-0.0010983356497220303</v>
      </c>
      <c r="AN27" s="16">
        <v>0.0000013748931723936717</v>
      </c>
      <c r="AO27" s="16">
        <v>-0.000005131171174352748</v>
      </c>
      <c r="AP27" s="16">
        <v>-0.002423135544216617</v>
      </c>
      <c r="AQ27" s="16">
        <v>0.0000017890176219098377</v>
      </c>
      <c r="AR27" s="16">
        <v>-0.000006676704660603576</v>
      </c>
      <c r="AS27" s="16">
        <v>-0.0037479354387112036</v>
      </c>
      <c r="AT27" s="16">
        <v>0.0000022031420714260037</v>
      </c>
      <c r="AU27" s="16">
        <v>-0.000008222238146854403</v>
      </c>
      <c r="AV27" s="16">
        <v>-0.00639753522770038</v>
      </c>
      <c r="AW27" s="16">
        <v>0.0000030313909704583363</v>
      </c>
      <c r="AX27" s="16">
        <v>-0.000011313305119356059</v>
      </c>
      <c r="AY27" s="16">
        <v>-0.011696734805678729</v>
      </c>
      <c r="AZ27" s="16">
        <v>0.000004687888768523001</v>
      </c>
      <c r="BA27" s="16">
        <v>-0.00001749543906435937</v>
      </c>
      <c r="BB27" s="16">
        <v>-0.0143463345946679</v>
      </c>
      <c r="BC27" s="16">
        <v>0.0000055161376675553325</v>
      </c>
      <c r="BD27" s="16">
        <v>-0.00002058650603686102</v>
      </c>
      <c r="BE27" s="16">
        <v>-0.0249447337506246</v>
      </c>
      <c r="BF27" s="16">
        <v>0.000008829133263684662</v>
      </c>
      <c r="BG27" s="16">
        <v>-0.00003295077392686765</v>
      </c>
      <c r="BH27" s="16">
        <v>-0.05</v>
      </c>
      <c r="BI27" s="16">
        <v>0</v>
      </c>
      <c r="BJ27" s="16">
        <v>0</v>
      </c>
      <c r="BK27" s="45">
        <v>33981.43387592912</v>
      </c>
      <c r="BL27" s="45">
        <v>33981.43387592912</v>
      </c>
      <c r="BM27" s="45">
        <v>33699.95395466007</v>
      </c>
      <c r="BN27" s="45">
        <v>32362.20409322232</v>
      </c>
      <c r="BO27" s="45">
        <v>29742.70621151527</v>
      </c>
      <c r="BP27" s="45">
        <v>25715.557392494076</v>
      </c>
      <c r="BQ27" s="45">
        <v>22178.928015783273</v>
      </c>
      <c r="BR27" s="45">
        <v>19344.840997234107</v>
      </c>
      <c r="BS27" s="45">
        <v>16590.517460371968</v>
      </c>
      <c r="BT27" s="45">
        <v>13901.991264735814</v>
      </c>
      <c r="BU27" s="45">
        <v>9867.160135313483</v>
      </c>
      <c r="BV27" s="45">
        <v>6082.136965180094</v>
      </c>
      <c r="BW27" s="45">
        <v>3765.1319835303084</v>
      </c>
      <c r="BX27" s="45">
        <v>2185.483747097043</v>
      </c>
      <c r="BY27" s="45">
        <v>-132.51587565875565</v>
      </c>
      <c r="BZ27" s="45">
        <v>-2888.447012401715</v>
      </c>
      <c r="CA27" s="45">
        <v>-3655.7010957348493</v>
      </c>
      <c r="CB27" s="45">
        <v>-4970.328006365715</v>
      </c>
      <c r="CC27" s="45">
        <v>-5790.583579096708</v>
      </c>
      <c r="CD27" s="45">
        <v>6.55418261885643e-13</v>
      </c>
      <c r="CE27" s="45">
        <v>6.55418261885643e-13</v>
      </c>
      <c r="CF27" s="45">
        <v>37.38861917563861</v>
      </c>
      <c r="CG27" s="45">
        <v>206.63201470699147</v>
      </c>
      <c r="CH27" s="45">
        <v>488.9673270649053</v>
      </c>
      <c r="CI27" s="45">
        <v>873.690293295758</v>
      </c>
      <c r="CJ27" s="45">
        <v>1025.1920728710256</v>
      </c>
      <c r="CK27" s="45">
        <v>1119.9132494620465</v>
      </c>
      <c r="CL27" s="45">
        <v>1222.5223612381096</v>
      </c>
      <c r="CM27" s="45">
        <v>1297.2656651507405</v>
      </c>
      <c r="CN27" s="45">
        <v>1289.5225668527223</v>
      </c>
      <c r="CO27" s="45">
        <v>1127.4442403237908</v>
      </c>
      <c r="CP27" s="45">
        <v>1089.4877282291743</v>
      </c>
      <c r="CQ27" s="45">
        <v>1041.861867708983</v>
      </c>
      <c r="CR27" s="45">
        <v>887.2318220264937</v>
      </c>
      <c r="CS27" s="45">
        <v>558.2707500889745</v>
      </c>
      <c r="CT27" s="45">
        <v>491.98968065484735</v>
      </c>
      <c r="CU27" s="45">
        <v>248.81248258662166</v>
      </c>
      <c r="CV27" s="45">
        <v>0</v>
      </c>
      <c r="CW27" s="45">
        <v>-5.220063030719757e-12</v>
      </c>
      <c r="CX27" s="45">
        <v>-5.220063030719757e-12</v>
      </c>
      <c r="CY27" s="45">
        <v>-182.77117587907358</v>
      </c>
      <c r="CZ27" s="45">
        <v>-960.0513626421479</v>
      </c>
      <c r="DA27" s="45">
        <v>-2327.645817218114</v>
      </c>
      <c r="DB27" s="45">
        <v>-4238.763179375164</v>
      </c>
      <c r="DC27" s="45">
        <v>-5536.358358340088</v>
      </c>
      <c r="DD27" s="45">
        <v>-6151.033483343648</v>
      </c>
      <c r="DE27" s="45">
        <v>-6552.8925273459245</v>
      </c>
      <c r="DF27" s="45">
        <v>-6841.91874919696</v>
      </c>
      <c r="DG27" s="45">
        <v>-6876.630755819069</v>
      </c>
      <c r="DH27" s="45">
        <v>-6368.989576767917</v>
      </c>
      <c r="DI27" s="45">
        <v>-5628.31564348196</v>
      </c>
      <c r="DJ27" s="45">
        <v>-4915.654654017656</v>
      </c>
      <c r="DK27" s="45">
        <v>-3657.2398529947177</v>
      </c>
      <c r="DL27" s="45">
        <v>-1970.0832105281697</v>
      </c>
      <c r="DM27" s="45">
        <v>-1461.086418670799</v>
      </c>
      <c r="DN27" s="45">
        <v>-571.210080446862</v>
      </c>
      <c r="DO27" s="45">
        <v>5.960464477539062e-14</v>
      </c>
      <c r="DP27" s="46">
        <f>MAX(1,MIN(18,SUMPRODUCT(--($BK27:$CC27&gt;=Pu))))</f>
      </c>
      <c r="DQ27" s="47">
        <f>(Pu-INDEX($BK27:$CC27,1,$DP27))/(INDEX($BK27:$CC27,1,$DP27+1)-INDEX($BK27:$CC27,1,$DP27))</f>
      </c>
      <c r="DR27" s="39">
        <f>INDEX($CD27:$CV27,1,$DP27)+$DQ27*(INDEX($CD27:$CV27,1,$DP27+1)-INDEX($CD27:$CV27,1,$DP27))</f>
      </c>
      <c r="DS27" s="39">
        <f>INDEX($CW27:$DO27,1,$DP27)+$DQ27*(INDEX($CW27:$DO27,1,$DP27+1)-INDEX($CW27:$DO27,1,$DP27))</f>
      </c>
      <c r="DT27" s="39">
        <f>SQRT(DR27^2+DS27^2)</f>
      </c>
      <c r="DU27" s="20">
        <f>DR28-DR27</f>
      </c>
      <c r="DV27" s="20">
        <f>DS28-DS27</f>
      </c>
      <c r="DW27" s="20">
        <f>DU27*SIN(RADIANS(theta_L))-DV27*COS(RADIANS(theta_L))</f>
      </c>
      <c r="DX27" s="47">
        <f>IF(DW27=0,"",-(DR27*SIN(RADIANS(theta_L))-DS27*COS(RADIANS(theta_L)))/DW27)</f>
      </c>
      <c r="DY27" s="20">
        <f>IF(DX27="","",(DR27+DX27*DU27)*COS(RADIANS(theta_L))+(DS27+DX27*DV27)*SIN(RADIANS(theta_L)))</f>
      </c>
      <c r="DZ27" s="20">
        <f>IF(OR(DX27="",DX27&lt;0,DX27&gt;1,DY27&lt;0),"",DY27)</f>
      </c>
    </row>
    <row r="28" spans="1:130" x14ac:dyDescent="0.25">
      <c r="A28">
        <v>21</v>
      </c>
      <c r="B28" s="44">
        <v>300.00000000000006</v>
      </c>
      <c r="C28" s="18">
        <v>849.5190528383291</v>
      </c>
      <c r="D28" s="18">
        <v>-738.8972745734183</v>
      </c>
      <c r="E28" s="18">
        <v>1588.4163274117473</v>
      </c>
      <c r="F28" s="16">
        <v>0.0033</v>
      </c>
      <c r="G28" s="16">
        <v>0</v>
      </c>
      <c r="H28" s="16">
        <v>0</v>
      </c>
      <c r="I28" s="16">
        <v>0.0027116964538857137</v>
      </c>
      <c r="J28" s="16">
        <v>3.462568285835995e-7</v>
      </c>
      <c r="K28" s="16">
        <v>-5.997344195744617e-7</v>
      </c>
      <c r="L28" s="16">
        <v>0.0024175446808285704</v>
      </c>
      <c r="M28" s="16">
        <v>5.193852428753993e-7</v>
      </c>
      <c r="N28" s="16">
        <v>-8.996016293616926e-7</v>
      </c>
      <c r="O28" s="16">
        <v>0.0021233929077714275</v>
      </c>
      <c r="P28" s="16">
        <v>6.92513657167199e-7</v>
      </c>
      <c r="Q28" s="16">
        <v>-0.0000011994688391489235</v>
      </c>
      <c r="R28" s="16">
        <v>0.0018292411347142843</v>
      </c>
      <c r="S28" s="16">
        <v>8.65642071458999e-7</v>
      </c>
      <c r="T28" s="16">
        <v>-0.0000014993360489361545</v>
      </c>
      <c r="U28" s="16">
        <v>0.0015350893616571412</v>
      </c>
      <c r="V28" s="16">
        <v>0.0000010387704857507987</v>
      </c>
      <c r="W28" s="16">
        <v>-0.0000017992032587233852</v>
      </c>
      <c r="X28" s="16">
        <v>0.0012676786588779205</v>
      </c>
      <c r="Y28" s="16">
        <v>0.0000011961599532887984</v>
      </c>
      <c r="Z28" s="16">
        <v>-0.000002071809813075413</v>
      </c>
      <c r="AA28" s="16">
        <v>0.0010002679560986993</v>
      </c>
      <c r="AB28" s="16">
        <v>0.0000013535494208267981</v>
      </c>
      <c r="AC28" s="16">
        <v>-0.0000023444163674274413</v>
      </c>
      <c r="AD28" s="16">
        <v>0.0007328572533194782</v>
      </c>
      <c r="AE28" s="16">
        <v>0.0000015109388883647983</v>
      </c>
      <c r="AF28" s="16">
        <v>-0.00000261702292177947</v>
      </c>
      <c r="AG28" s="16">
        <v>0.00046544655054025705</v>
      </c>
      <c r="AH28" s="16">
        <v>0.000001668328355902798</v>
      </c>
      <c r="AI28" s="16">
        <v>-0.0000028896294761314977</v>
      </c>
      <c r="AJ28" s="16">
        <v>-0.00006937485501818481</v>
      </c>
      <c r="AK28" s="16">
        <v>0.0000019831072909787975</v>
      </c>
      <c r="AL28" s="16">
        <v>-0.000003434842584835554</v>
      </c>
      <c r="AM28" s="16">
        <v>-0.001139017666135069</v>
      </c>
      <c r="AN28" s="16">
        <v>0.0000026126651611307964</v>
      </c>
      <c r="AO28" s="16">
        <v>-0.000004525268802243666</v>
      </c>
      <c r="AP28" s="16">
        <v>-0.002476071180031174</v>
      </c>
      <c r="AQ28" s="16">
        <v>0.000003399612498820796</v>
      </c>
      <c r="AR28" s="16">
        <v>-0.000005888301574003807</v>
      </c>
      <c r="AS28" s="16">
        <v>-0.0038131246939272787</v>
      </c>
      <c r="AT28" s="16">
        <v>0.000004186559836510794</v>
      </c>
      <c r="AU28" s="16">
        <v>-0.000007251334345763946</v>
      </c>
      <c r="AV28" s="16">
        <v>-0.00648723172171949</v>
      </c>
      <c r="AW28" s="16">
        <v>0.000005760454511890793</v>
      </c>
      <c r="AX28" s="16">
        <v>-0.000009977399889284227</v>
      </c>
      <c r="AY28" s="16">
        <v>-0.011835445777303912</v>
      </c>
      <c r="AZ28" s="16">
        <v>0.00000890824386265079</v>
      </c>
      <c r="BA28" s="16">
        <v>-0.000015429530976324792</v>
      </c>
      <c r="BB28" s="16">
        <v>-0.014509552805096117</v>
      </c>
      <c r="BC28" s="16">
        <v>0.000010482138538030784</v>
      </c>
      <c r="BD28" s="16">
        <v>-0.000018155596519845067</v>
      </c>
      <c r="BE28" s="16">
        <v>-0.025205980916264956</v>
      </c>
      <c r="BF28" s="16">
        <v>0.000016777717239550777</v>
      </c>
      <c r="BG28" s="16">
        <v>-0.00002905985869392619</v>
      </c>
      <c r="BH28" s="16">
        <v>-0.05</v>
      </c>
      <c r="BI28" s="16">
        <v>0</v>
      </c>
      <c r="BJ28" s="16">
        <v>0</v>
      </c>
      <c r="BK28" s="45">
        <v>33981.43387592912</v>
      </c>
      <c r="BL28" s="45">
        <v>33981.43387592912</v>
      </c>
      <c r="BM28" s="45">
        <v>33732.27552908139</v>
      </c>
      <c r="BN28" s="45">
        <v>32442.17751813857</v>
      </c>
      <c r="BO28" s="45">
        <v>29880.95452472579</v>
      </c>
      <c r="BP28" s="45">
        <v>25940.565024424166</v>
      </c>
      <c r="BQ28" s="45">
        <v>22364.83567873184</v>
      </c>
      <c r="BR28" s="45">
        <v>19281.800206949556</v>
      </c>
      <c r="BS28" s="45">
        <v>16419.00032663844</v>
      </c>
      <c r="BT28" s="45">
        <v>13727.087588801569</v>
      </c>
      <c r="BU28" s="45">
        <v>9631.205783494566</v>
      </c>
      <c r="BV28" s="45">
        <v>5509.1426148802075</v>
      </c>
      <c r="BW28" s="45">
        <v>2777.0135771075793</v>
      </c>
      <c r="BX28" s="45">
        <v>1060.1510534396764</v>
      </c>
      <c r="BY28" s="45">
        <v>-1199.2984854576075</v>
      </c>
      <c r="BZ28" s="45">
        <v>-3535.199674511928</v>
      </c>
      <c r="CA28" s="45">
        <v>-4132.897128442837</v>
      </c>
      <c r="CB28" s="45">
        <v>-5096.918170029761</v>
      </c>
      <c r="CC28" s="45">
        <v>-5790.583579096708</v>
      </c>
      <c r="CD28" s="45">
        <v>6.55418261885643e-13</v>
      </c>
      <c r="CE28" s="45">
        <v>6.55418261885643e-13</v>
      </c>
      <c r="CF28" s="45">
        <v>66.54832916979431</v>
      </c>
      <c r="CG28" s="45">
        <v>372.875399799652</v>
      </c>
      <c r="CH28" s="45">
        <v>915.481483314708</v>
      </c>
      <c r="CI28" s="45">
        <v>1654.9197939384585</v>
      </c>
      <c r="CJ28" s="45">
        <v>2065.8286065571137</v>
      </c>
      <c r="CK28" s="45">
        <v>2293.9755009303112</v>
      </c>
      <c r="CL28" s="45">
        <v>2487.166812670949</v>
      </c>
      <c r="CM28" s="45">
        <v>2613.58401043671</v>
      </c>
      <c r="CN28" s="45">
        <v>2567.5351373556105</v>
      </c>
      <c r="CO28" s="45">
        <v>2293.242017911397</v>
      </c>
      <c r="CP28" s="45">
        <v>2024.8869492863896</v>
      </c>
      <c r="CQ28" s="45">
        <v>1771.5712298579297</v>
      </c>
      <c r="CR28" s="45">
        <v>1356.062714982958</v>
      </c>
      <c r="CS28" s="45">
        <v>787.526964688632</v>
      </c>
      <c r="CT28" s="45">
        <v>582.6295158173216</v>
      </c>
      <c r="CU28" s="45">
        <v>260.23876243696935</v>
      </c>
      <c r="CV28" s="45">
        <v>0</v>
      </c>
      <c r="CW28" s="45">
        <v>-5.220063030719757e-12</v>
      </c>
      <c r="CX28" s="45">
        <v>-5.220063030719757e-12</v>
      </c>
      <c r="CY28" s="45">
        <v>-150.9676883953116</v>
      </c>
      <c r="CZ28" s="45">
        <v>-847.7217607186296</v>
      </c>
      <c r="DA28" s="45">
        <v>-2067.5536464527277</v>
      </c>
      <c r="DB28" s="45">
        <v>-3756.7944347834764</v>
      </c>
      <c r="DC28" s="45">
        <v>-4955.701326593928</v>
      </c>
      <c r="DD28" s="45">
        <v>-5622.89026063053</v>
      </c>
      <c r="DE28" s="45">
        <v>-6015.969140119919</v>
      </c>
      <c r="DF28" s="45">
        <v>-6260.693797500235</v>
      </c>
      <c r="DG28" s="45">
        <v>-6293.298541190806</v>
      </c>
      <c r="DH28" s="45">
        <v>-5626.263820187029</v>
      </c>
      <c r="DI28" s="45">
        <v>-4730.1104890118995</v>
      </c>
      <c r="DJ28" s="45">
        <v>-3950.623724228946</v>
      </c>
      <c r="DK28" s="45">
        <v>-2780.229242728658</v>
      </c>
      <c r="DL28" s="45">
        <v>-1433.698057765399</v>
      </c>
      <c r="DM28" s="45">
        <v>-1084.1290128151284</v>
      </c>
      <c r="DN28" s="45">
        <v>-469.68281121910564</v>
      </c>
      <c r="DO28" s="45">
        <v>5.960464477539062e-14</v>
      </c>
      <c r="DP28" s="46">
        <f>MAX(1,MIN(18,SUMPRODUCT(--($BK28:$CC28&gt;=Pu))))</f>
      </c>
      <c r="DQ28" s="47">
        <f>(Pu-INDEX($BK28:$CC28,1,$DP28))/(INDEX($BK28:$CC28,1,$DP28+1)-INDEX($BK28:$CC28,1,$DP28))</f>
      </c>
      <c r="DR28" s="39">
        <f>INDEX($CD28:$CV28,1,$DP28)+$DQ28*(INDEX($CD28:$CV28,1,$DP28+1)-INDEX($CD28:$CV28,1,$DP28))</f>
      </c>
      <c r="DS28" s="39">
        <f>INDEX($CW28:$DO28,1,$DP28)+$DQ28*(INDEX($CW28:$DO28,1,$DP28+1)-INDEX($CW28:$DO28,1,$DP28))</f>
      </c>
      <c r="DT28" s="39">
        <f>SQRT(DR28^2+DS28^2)</f>
      </c>
      <c r="DU28" s="20">
        <f>DR29-DR28</f>
      </c>
      <c r="DV28" s="20">
        <f>DS29-DS28</f>
      </c>
      <c r="DW28" s="20">
        <f>DU28*SIN(RADIANS(theta_L))-DV28*COS(RADIANS(theta_L))</f>
      </c>
      <c r="DX28" s="47">
        <f>IF(DW28=0,"",-(DR28*SIN(RADIANS(theta_L))-DS28*COS(RADIANS(theta_L)))/DW28)</f>
      </c>
      <c r="DY28" s="20">
        <f>IF(DX28="","",(DR28+DX28*DU28)*COS(RADIANS(theta_L))+(DS28+DX28*DV28)*SIN(RADIANS(theta_L)))</f>
      </c>
      <c r="DZ28" s="20">
        <f>IF(OR(DX28="",DX28&lt;0,DX28&gt;1,DY28&lt;0),"",DY28)</f>
      </c>
    </row>
    <row r="29" spans="1:130" x14ac:dyDescent="0.25">
      <c r="A29">
        <v>22</v>
      </c>
      <c r="B29" s="44">
        <v>315</v>
      </c>
      <c r="C29" s="18">
        <v>813.1727983645296</v>
      </c>
      <c r="D29" s="18">
        <v>-692.9646455628167</v>
      </c>
      <c r="E29" s="18">
        <v>1506.1374439273463</v>
      </c>
      <c r="F29" s="16">
        <v>0.0033</v>
      </c>
      <c r="G29" s="16">
        <v>0</v>
      </c>
      <c r="H29" s="16">
        <v>0</v>
      </c>
      <c r="I29" s="16">
        <v>0.0027061032863849766</v>
      </c>
      <c r="J29" s="16">
        <v>5.164319248826289e-7</v>
      </c>
      <c r="K29" s="16">
        <v>-5.164319248826292e-7</v>
      </c>
      <c r="L29" s="16">
        <v>0.002409154929577465</v>
      </c>
      <c r="M29" s="16">
        <v>7.746478873239433e-7</v>
      </c>
      <c r="N29" s="16">
        <v>-7.746478873239438e-7</v>
      </c>
      <c r="O29" s="16">
        <v>0.002112206572769953</v>
      </c>
      <c r="P29" s="16">
        <v>0.0000010328638497652578</v>
      </c>
      <c r="Q29" s="16">
        <v>-0.0000010328638497652584</v>
      </c>
      <c r="R29" s="16">
        <v>0.0018152582159624414</v>
      </c>
      <c r="S29" s="16">
        <v>0.0000012910798122065723</v>
      </c>
      <c r="T29" s="16">
        <v>-0.000001291079812206573</v>
      </c>
      <c r="U29" s="16">
        <v>0.00151830985915493</v>
      </c>
      <c r="V29" s="16">
        <v>0.0000015492957746478867</v>
      </c>
      <c r="W29" s="16">
        <v>-0.0000015492957746478875</v>
      </c>
      <c r="X29" s="16">
        <v>0.0012483568075117371</v>
      </c>
      <c r="Y29" s="16">
        <v>0.0000017840375586854454</v>
      </c>
      <c r="Z29" s="16">
        <v>-0.0000017840375586854462</v>
      </c>
      <c r="AA29" s="16">
        <v>0.000978403755868545</v>
      </c>
      <c r="AB29" s="16">
        <v>0.0000020187793427230043</v>
      </c>
      <c r="AC29" s="16">
        <v>-0.000002018779342723005</v>
      </c>
      <c r="AD29" s="16">
        <v>0.0007084507042253523</v>
      </c>
      <c r="AE29" s="16">
        <v>0.000002253521126760563</v>
      </c>
      <c r="AF29" s="16">
        <v>-0.000002253521126760564</v>
      </c>
      <c r="AG29" s="16">
        <v>0.0004384976525821601</v>
      </c>
      <c r="AH29" s="16">
        <v>0.0000024882629107981213</v>
      </c>
      <c r="AI29" s="16">
        <v>-0.0000024882629107981226</v>
      </c>
      <c r="AJ29" s="16">
        <v>-0.00010140845070422512</v>
      </c>
      <c r="AK29" s="16">
        <v>0.0000029577464788732388</v>
      </c>
      <c r="AL29" s="16">
        <v>-0.00000295774647887324</v>
      </c>
      <c r="AM29" s="16">
        <v>-0.0011812206572769952</v>
      </c>
      <c r="AN29" s="16">
        <v>0.000003896713615023473</v>
      </c>
      <c r="AO29" s="16">
        <v>-0.000003896713615023475</v>
      </c>
      <c r="AP29" s="16">
        <v>-0.002530985915492957</v>
      </c>
      <c r="AQ29" s="16">
        <v>0.000005070422535211266</v>
      </c>
      <c r="AR29" s="16">
        <v>-0.0000050704225352112685</v>
      </c>
      <c r="AS29" s="16">
        <v>-0.0038807511737089188</v>
      </c>
      <c r="AT29" s="16">
        <v>0.000006244131455399059</v>
      </c>
      <c r="AU29" s="16">
        <v>-0.000006244131455399061</v>
      </c>
      <c r="AV29" s="16">
        <v>-0.006580281690140843</v>
      </c>
      <c r="AW29" s="16">
        <v>0.000008591549295774645</v>
      </c>
      <c r="AX29" s="16">
        <v>-0.000008591549295774648</v>
      </c>
      <c r="AY29" s="16">
        <v>-0.011979342723004695</v>
      </c>
      <c r="AZ29" s="16">
        <v>0.000013286384976525818</v>
      </c>
      <c r="BA29" s="16">
        <v>-0.000013286384976525825</v>
      </c>
      <c r="BB29" s="16">
        <v>-0.014678873239436615</v>
      </c>
      <c r="BC29" s="16">
        <v>0.0000156338028169014</v>
      </c>
      <c r="BD29" s="16">
        <v>-0.00001563380281690141</v>
      </c>
      <c r="BE29" s="16">
        <v>-0.025476995305164316</v>
      </c>
      <c r="BF29" s="16">
        <v>0.00002502347417840375</v>
      </c>
      <c r="BG29" s="16">
        <v>-0.00002502347417840376</v>
      </c>
      <c r="BH29" s="16">
        <v>-0.05</v>
      </c>
      <c r="BI29" s="16">
        <v>0</v>
      </c>
      <c r="BJ29" s="16">
        <v>0</v>
      </c>
      <c r="BK29" s="45">
        <v>33981.43387592912</v>
      </c>
      <c r="BL29" s="45">
        <v>33981.43387592912</v>
      </c>
      <c r="BM29" s="45">
        <v>33711.96647570993</v>
      </c>
      <c r="BN29" s="45">
        <v>32324.74766589536</v>
      </c>
      <c r="BO29" s="45">
        <v>29645.513671083783</v>
      </c>
      <c r="BP29" s="45">
        <v>25686.126064937827</v>
      </c>
      <c r="BQ29" s="45">
        <v>22177.239937367078</v>
      </c>
      <c r="BR29" s="45">
        <v>18981.142257194762</v>
      </c>
      <c r="BS29" s="45">
        <v>16069.737672960599</v>
      </c>
      <c r="BT29" s="45">
        <v>13498.398319986056</v>
      </c>
      <c r="BU29" s="45">
        <v>9711.810082266644</v>
      </c>
      <c r="BV29" s="45">
        <v>5343.0230848766705</v>
      </c>
      <c r="BW29" s="45">
        <v>2581.493770010974</v>
      </c>
      <c r="BX29" s="45">
        <v>854.2489621038125</v>
      </c>
      <c r="BY29" s="45">
        <v>-1271.25337972034</v>
      </c>
      <c r="BZ29" s="45">
        <v>-3363.1771427168796</v>
      </c>
      <c r="CA29" s="45">
        <v>-3836.3712761278553</v>
      </c>
      <c r="CB29" s="45">
        <v>-4930.501497838182</v>
      </c>
      <c r="CC29" s="45">
        <v>-5790.583579096708</v>
      </c>
      <c r="CD29" s="45">
        <v>6.55418261885643e-13</v>
      </c>
      <c r="CE29" s="45">
        <v>6.55418261885643e-13</v>
      </c>
      <c r="CF29" s="45">
        <v>100.3451923445967</v>
      </c>
      <c r="CG29" s="45">
        <v>548.826365141607</v>
      </c>
      <c r="CH29" s="45">
        <v>1370.2891953049102</v>
      </c>
      <c r="CI29" s="45">
        <v>2445.3317542984496</v>
      </c>
      <c r="CJ29" s="45">
        <v>3131.0485707558278</v>
      </c>
      <c r="CK29" s="45">
        <v>3588.5735210414036</v>
      </c>
      <c r="CL29" s="45">
        <v>3893.839361703681</v>
      </c>
      <c r="CM29" s="45">
        <v>4062.007868766298</v>
      </c>
      <c r="CN29" s="45">
        <v>3955.8493425675097</v>
      </c>
      <c r="CO29" s="45">
        <v>3387.226731117986</v>
      </c>
      <c r="CP29" s="45">
        <v>2777.3143162972683</v>
      </c>
      <c r="CQ29" s="45">
        <v>2352.6483757851697</v>
      </c>
      <c r="CR29" s="45">
        <v>1746.321392507521</v>
      </c>
      <c r="CS29" s="45">
        <v>1019.7989319777599</v>
      </c>
      <c r="CT29" s="45">
        <v>843.1878906518276</v>
      </c>
      <c r="CU29" s="45">
        <v>376.18546047349287</v>
      </c>
      <c r="CV29" s="45">
        <v>0</v>
      </c>
      <c r="CW29" s="45">
        <v>-5.220063030719757e-12</v>
      </c>
      <c r="CX29" s="45">
        <v>-5.220063030719757e-12</v>
      </c>
      <c r="CY29" s="45">
        <v>-144.98381805996283</v>
      </c>
      <c r="CZ29" s="45">
        <v>-781.8706918734522</v>
      </c>
      <c r="DA29" s="45">
        <v>-1853.1558915896564</v>
      </c>
      <c r="DB29" s="45">
        <v>-3293.8426745682013</v>
      </c>
      <c r="DC29" s="45">
        <v>-4203.941737264782</v>
      </c>
      <c r="DD29" s="45">
        <v>-4732.67490654052</v>
      </c>
      <c r="DE29" s="45">
        <v>-5038.60230583529</v>
      </c>
      <c r="DF29" s="45">
        <v>-5210.952055762618</v>
      </c>
      <c r="DG29" s="45">
        <v>-5242.690387345953</v>
      </c>
      <c r="DH29" s="45">
        <v>-4701.679418044012</v>
      </c>
      <c r="DI29" s="45">
        <v>-3990.1374076596244</v>
      </c>
      <c r="DJ29" s="45">
        <v>-3381.676783162608</v>
      </c>
      <c r="DK29" s="45">
        <v>-2468.8386556768346</v>
      </c>
      <c r="DL29" s="45">
        <v>-1413.1091787585144</v>
      </c>
      <c r="DM29" s="45">
        <v>-1147.1405328732967</v>
      </c>
      <c r="DN29" s="45">
        <v>-543.4288766982068</v>
      </c>
      <c r="DO29" s="45">
        <v>5.960464477539062e-14</v>
      </c>
      <c r="DP29" s="46">
        <f>MAX(1,MIN(18,SUMPRODUCT(--($BK29:$CC29&gt;=Pu))))</f>
      </c>
      <c r="DQ29" s="47">
        <f>(Pu-INDEX($BK29:$CC29,1,$DP29))/(INDEX($BK29:$CC29,1,$DP29+1)-INDEX($BK29:$CC29,1,$DP29))</f>
      </c>
      <c r="DR29" s="39">
        <f>INDEX($CD29:$CV29,1,$DP29)+$DQ29*(INDEX($CD29:$CV29,1,$DP29+1)-INDEX($CD29:$CV29,1,$DP29))</f>
      </c>
      <c r="DS29" s="39">
        <f>INDEX($CW29:$DO29,1,$DP29)+$DQ29*(INDEX($CW29:$DO29,1,$DP29+1)-INDEX($CW29:$DO29,1,$DP29))</f>
      </c>
      <c r="DT29" s="39">
        <f>SQRT(DR29^2+DS29^2)</f>
      </c>
      <c r="DU29" s="20">
        <f>DR30-DR29</f>
      </c>
      <c r="DV29" s="20">
        <f>DS30-DS29</f>
      </c>
      <c r="DW29" s="20">
        <f>DU29*SIN(RADIANS(theta_L))-DV29*COS(RADIANS(theta_L))</f>
      </c>
      <c r="DX29" s="47">
        <f>IF(DW29=0,"",-(DR29*SIN(RADIANS(theta_L))-DS29*COS(RADIANS(theta_L)))/DW29)</f>
      </c>
      <c r="DY29" s="20">
        <f>IF(DX29="","",(DR29+DX29*DU29)*COS(RADIANS(theta_L))+(DS29+DX29*DV29)*SIN(RADIANS(theta_L)))</f>
      </c>
      <c r="DZ29" s="20">
        <f>IF(OR(DX29="",DX29&lt;0,DX29&gt;1,DY29&lt;0),"",DY29)</f>
      </c>
    </row>
    <row r="30" spans="1:130" x14ac:dyDescent="0.25">
      <c r="A30">
        <v>23</v>
      </c>
      <c r="B30" s="44">
        <v>329.99999999999994</v>
      </c>
      <c r="C30" s="18">
        <v>794.6152422706632</v>
      </c>
      <c r="D30" s="18">
        <v>-658.9934640057525</v>
      </c>
      <c r="E30" s="18">
        <v>1453.6087062764157</v>
      </c>
      <c r="F30" s="16">
        <v>0.0033</v>
      </c>
      <c r="G30" s="16">
        <v>0</v>
      </c>
      <c r="H30" s="16">
        <v>0</v>
      </c>
      <c r="I30" s="16">
        <v>0.002698684967471902</v>
      </c>
      <c r="J30" s="16">
        <v>6.553537688991607e-7</v>
      </c>
      <c r="K30" s="16">
        <v>-3.783686748883667e-7</v>
      </c>
      <c r="L30" s="16">
        <v>0.002398027451207853</v>
      </c>
      <c r="M30" s="16">
        <v>9.830306533487411e-7</v>
      </c>
      <c r="N30" s="16">
        <v>-5.675530123325501e-7</v>
      </c>
      <c r="O30" s="16">
        <v>0.0020973699349438038</v>
      </c>
      <c r="P30" s="16">
        <v>0.0000013107075377983215</v>
      </c>
      <c r="Q30" s="16">
        <v>-7.567373497767334e-7</v>
      </c>
      <c r="R30" s="16">
        <v>0.0017967124186797547</v>
      </c>
      <c r="S30" s="16">
        <v>0.0000016383844222479019</v>
      </c>
      <c r="T30" s="16">
        <v>-9.459216872209168e-7</v>
      </c>
      <c r="U30" s="16">
        <v>0.0014960549024157057</v>
      </c>
      <c r="V30" s="16">
        <v>0.0000019660613066974822</v>
      </c>
      <c r="W30" s="16">
        <v>-0.0000011351060246651002</v>
      </c>
      <c r="X30" s="16">
        <v>0.0012227298876302064</v>
      </c>
      <c r="Y30" s="16">
        <v>0.000002263949383469828</v>
      </c>
      <c r="Z30" s="16">
        <v>-0.000001307091785977994</v>
      </c>
      <c r="AA30" s="16">
        <v>0.0009494048728447071</v>
      </c>
      <c r="AB30" s="16">
        <v>0.000002561837460242174</v>
      </c>
      <c r="AC30" s="16">
        <v>-0.0000014790775472908882</v>
      </c>
      <c r="AD30" s="16">
        <v>0.0006760798580592079</v>
      </c>
      <c r="AE30" s="16">
        <v>0.00000285972553701452</v>
      </c>
      <c r="AF30" s="16">
        <v>-0.0000016510633086037823</v>
      </c>
      <c r="AG30" s="16">
        <v>0.00040275484327370907</v>
      </c>
      <c r="AH30" s="16">
        <v>0.000003157613613786866</v>
      </c>
      <c r="AI30" s="16">
        <v>-0.0000018230490699166762</v>
      </c>
      <c r="AJ30" s="16">
        <v>-0.00014389518629728945</v>
      </c>
      <c r="AK30" s="16">
        <v>0.0000037533897673315577</v>
      </c>
      <c r="AL30" s="16">
        <v>-0.0000021670205925424644</v>
      </c>
      <c r="AM30" s="16">
        <v>-0.001237195245439286</v>
      </c>
      <c r="AN30" s="16">
        <v>0.0000049449420744209405</v>
      </c>
      <c r="AO30" s="16">
        <v>-0.00000285496363779404</v>
      </c>
      <c r="AP30" s="16">
        <v>-0.002603820319366782</v>
      </c>
      <c r="AQ30" s="16">
        <v>0.00000643438245828267</v>
      </c>
      <c r="AR30" s="16">
        <v>-0.00000371489244435851</v>
      </c>
      <c r="AS30" s="16">
        <v>-0.003970445393294277</v>
      </c>
      <c r="AT30" s="16">
        <v>0.000007923822842144397</v>
      </c>
      <c r="AU30" s="16">
        <v>-0.000004574821250922979</v>
      </c>
      <c r="AV30" s="16">
        <v>-0.006703695541149268</v>
      </c>
      <c r="AW30" s="16">
        <v>0.000010902703609867857</v>
      </c>
      <c r="AX30" s="16">
        <v>-0.000006294678864051919</v>
      </c>
      <c r="AY30" s="16">
        <v>-0.012170195836859254</v>
      </c>
      <c r="AZ30" s="16">
        <v>0.000016860465145314773</v>
      </c>
      <c r="BA30" s="16">
        <v>-0.000009734394090309799</v>
      </c>
      <c r="BB30" s="16">
        <v>-0.014903445984714242</v>
      </c>
      <c r="BC30" s="16">
        <v>0.000019839345913038228</v>
      </c>
      <c r="BD30" s="16">
        <v>-0.000011454251703438737</v>
      </c>
      <c r="BE30" s="16">
        <v>-0.02583644657613421</v>
      </c>
      <c r="BF30" s="16">
        <v>0.00003175486898393206</v>
      </c>
      <c r="BG30" s="16">
        <v>-0.000018333682155954498</v>
      </c>
      <c r="BH30" s="16">
        <v>-0.05</v>
      </c>
      <c r="BI30" s="16">
        <v>0</v>
      </c>
      <c r="BJ30" s="16">
        <v>0</v>
      </c>
      <c r="BK30" s="45">
        <v>33981.43387592912</v>
      </c>
      <c r="BL30" s="45">
        <v>33981.43387592912</v>
      </c>
      <c r="BM30" s="45">
        <v>33709.561071323005</v>
      </c>
      <c r="BN30" s="45">
        <v>32274.908170588005</v>
      </c>
      <c r="BO30" s="45">
        <v>29492.043926138835</v>
      </c>
      <c r="BP30" s="45">
        <v>25381.091793473508</v>
      </c>
      <c r="BQ30" s="45">
        <v>21708.014888095622</v>
      </c>
      <c r="BR30" s="45">
        <v>18459.43266837632</v>
      </c>
      <c r="BS30" s="45">
        <v>15697.549819149837</v>
      </c>
      <c r="BT30" s="45">
        <v>13398.360174703601</v>
      </c>
      <c r="BU30" s="45">
        <v>9856.23300416215</v>
      </c>
      <c r="BV30" s="45">
        <v>5443.634353254707</v>
      </c>
      <c r="BW30" s="45">
        <v>2372.0663073380256</v>
      </c>
      <c r="BX30" s="45">
        <v>510.4116643759739</v>
      </c>
      <c r="BY30" s="45">
        <v>-1810.5832654635674</v>
      </c>
      <c r="BZ30" s="45">
        <v>-3877.025698921125</v>
      </c>
      <c r="CA30" s="45">
        <v>-4445.170787028588</v>
      </c>
      <c r="CB30" s="45">
        <v>-5368.452436036313</v>
      </c>
      <c r="CC30" s="45">
        <v>-5790.583579096708</v>
      </c>
      <c r="CD30" s="45">
        <v>6.55418261885643e-13</v>
      </c>
      <c r="CE30" s="45">
        <v>6.55418261885643e-13</v>
      </c>
      <c r="CF30" s="45">
        <v>121.03163514619334</v>
      </c>
      <c r="CG30" s="45">
        <v>698.6714476426913</v>
      </c>
      <c r="CH30" s="45">
        <v>1716.1389745868664</v>
      </c>
      <c r="CI30" s="45">
        <v>3126.9328268338213</v>
      </c>
      <c r="CJ30" s="45">
        <v>4145.241642415053</v>
      </c>
      <c r="CK30" s="45">
        <v>4823.922499101607</v>
      </c>
      <c r="CL30" s="45">
        <v>5194.349753502195</v>
      </c>
      <c r="CM30" s="45">
        <v>5345.5186092445365</v>
      </c>
      <c r="CN30" s="45">
        <v>5210.828498784739</v>
      </c>
      <c r="CO30" s="45">
        <v>4296.0138103334175</v>
      </c>
      <c r="CP30" s="45">
        <v>3394.3292850204266</v>
      </c>
      <c r="CQ30" s="45">
        <v>2732.035656863066</v>
      </c>
      <c r="CR30" s="45">
        <v>1812.9207353365784</v>
      </c>
      <c r="CS30" s="45">
        <v>919.4469563675738</v>
      </c>
      <c r="CT30" s="45">
        <v>660.8195504884328</v>
      </c>
      <c r="CU30" s="45">
        <v>224.76603300549223</v>
      </c>
      <c r="CV30" s="45">
        <v>0</v>
      </c>
      <c r="CW30" s="45">
        <v>-5.220063030719757e-12</v>
      </c>
      <c r="CX30" s="45">
        <v>-5.220063030719757e-12</v>
      </c>
      <c r="CY30" s="45">
        <v>-117.43681184998756</v>
      </c>
      <c r="CZ30" s="45">
        <v>-599.8179890645578</v>
      </c>
      <c r="DA30" s="45">
        <v>-1440.0732561867399</v>
      </c>
      <c r="DB30" s="45">
        <v>-2508.578263704938</v>
      </c>
      <c r="DC30" s="45">
        <v>-3072.176158347</v>
      </c>
      <c r="DD30" s="45">
        <v>-3317.9653296762003</v>
      </c>
      <c r="DE30" s="45">
        <v>-3475.6414972391426</v>
      </c>
      <c r="DF30" s="45">
        <v>-3624.5755958886166</v>
      </c>
      <c r="DG30" s="45">
        <v>-3694.9682162804174</v>
      </c>
      <c r="DH30" s="45">
        <v>-3538.4099581076684</v>
      </c>
      <c r="DI30" s="45">
        <v>-3019.0191873751633</v>
      </c>
      <c r="DJ30" s="45">
        <v>-2575.752336242875</v>
      </c>
      <c r="DK30" s="45">
        <v>-1852.1643985580545</v>
      </c>
      <c r="DL30" s="45">
        <v>-979.3092029177889</v>
      </c>
      <c r="DM30" s="45">
        <v>-711.8982749515416</v>
      </c>
      <c r="DN30" s="45">
        <v>-229.93154512468607</v>
      </c>
      <c r="DO30" s="45">
        <v>5.960464477539062e-14</v>
      </c>
      <c r="DP30" s="46">
        <f>MAX(1,MIN(18,SUMPRODUCT(--($BK30:$CC30&gt;=Pu))))</f>
      </c>
      <c r="DQ30" s="47">
        <f>(Pu-INDEX($BK30:$CC30,1,$DP30))/(INDEX($BK30:$CC30,1,$DP30+1)-INDEX($BK30:$CC30,1,$DP30))</f>
      </c>
      <c r="DR30" s="39">
        <f>INDEX($CD30:$CV30,1,$DP30)+$DQ30*(INDEX($CD30:$CV30,1,$DP30+1)-INDEX($CD30:$CV30,1,$DP30))</f>
      </c>
      <c r="DS30" s="39">
        <f>INDEX($CW30:$DO30,1,$DP30)+$DQ30*(INDEX($CW30:$DO30,1,$DP30+1)-INDEX($CW30:$DO30,1,$DP30))</f>
      </c>
      <c r="DT30" s="39">
        <f>SQRT(DR30^2+DS30^2)</f>
      </c>
      <c r="DU30" s="20">
        <f>DR31-DR30</f>
      </c>
      <c r="DV30" s="20">
        <f>DS31-DS30</f>
      </c>
      <c r="DW30" s="20">
        <f>DU30*SIN(RADIANS(theta_L))-DV30*COS(RADIANS(theta_L))</f>
      </c>
      <c r="DX30" s="47">
        <f>IF(DW30=0,"",-(DR30*SIN(RADIANS(theta_L))-DS30*COS(RADIANS(theta_L)))/DW30)</f>
      </c>
      <c r="DY30" s="20">
        <f>IF(DX30="","",(DR30+DX30*DU30)*COS(RADIANS(theta_L))+(DS30+DX30*DV30)*SIN(RADIANS(theta_L)))</f>
      </c>
      <c r="DZ30" s="20">
        <f>IF(OR(DX30="",DX30&lt;0,DX30&gt;1,DY30&lt;0),"",DY30)</f>
      </c>
    </row>
    <row r="31" spans="1:130" x14ac:dyDescent="0.25">
      <c r="A31">
        <v>24</v>
      </c>
      <c r="B31" s="44">
        <v>344.99999999999994</v>
      </c>
      <c r="C31" s="18">
        <v>721.9059705798277</v>
      </c>
      <c r="D31" s="18">
        <v>-615.4683059742147</v>
      </c>
      <c r="E31" s="18">
        <v>1337.3742765540424</v>
      </c>
      <c r="F31" s="16">
        <v>0.0033</v>
      </c>
      <c r="G31" s="16">
        <v>0</v>
      </c>
      <c r="H31" s="16">
        <v>0</v>
      </c>
      <c r="I31" s="16">
        <v>0.002706227126123641</v>
      </c>
      <c r="J31" s="16">
        <v>7.944809673292974e-7</v>
      </c>
      <c r="K31" s="16">
        <v>-2.1288053359778314e-7</v>
      </c>
      <c r="L31" s="16">
        <v>0.002409340689185461</v>
      </c>
      <c r="M31" s="16">
        <v>0.000001191721450993946</v>
      </c>
      <c r="N31" s="16">
        <v>-3.193208003966747e-7</v>
      </c>
      <c r="O31" s="16">
        <v>0.002112454252247282</v>
      </c>
      <c r="P31" s="16">
        <v>0.0000015889619346585947</v>
      </c>
      <c r="Q31" s="16">
        <v>-4.257610671955663e-7</v>
      </c>
      <c r="R31" s="16">
        <v>0.0018155678153091023</v>
      </c>
      <c r="S31" s="16">
        <v>0.0000019862024183232437</v>
      </c>
      <c r="T31" s="16">
        <v>-5.322013339944578e-7</v>
      </c>
      <c r="U31" s="16">
        <v>0.0015186813783709225</v>
      </c>
      <c r="V31" s="16">
        <v>0.000002383442901987892</v>
      </c>
      <c r="W31" s="16">
        <v>-6.386416007933494e-7</v>
      </c>
      <c r="X31" s="16">
        <v>0.0012487846175180321</v>
      </c>
      <c r="Y31" s="16">
        <v>0.0000027445706144103</v>
      </c>
      <c r="Z31" s="16">
        <v>-7.354054797014326e-7</v>
      </c>
      <c r="AA31" s="16">
        <v>0.0009788878566651415</v>
      </c>
      <c r="AB31" s="16">
        <v>0.000003105698326832708</v>
      </c>
      <c r="AC31" s="16">
        <v>-8.321693586095159e-7</v>
      </c>
      <c r="AD31" s="16">
        <v>0.0007089910958122509</v>
      </c>
      <c r="AE31" s="16">
        <v>0.0000034668260392551163</v>
      </c>
      <c r="AF31" s="16">
        <v>-9.289332375175992e-7</v>
      </c>
      <c r="AG31" s="16">
        <v>0.0004390943349593607</v>
      </c>
      <c r="AH31" s="16">
        <v>0.000003827953751677524</v>
      </c>
      <c r="AI31" s="16">
        <v>-0.0000010256971164256824</v>
      </c>
      <c r="AJ31" s="16">
        <v>-0.00010069918674642051</v>
      </c>
      <c r="AK31" s="16">
        <v>0.000004550209176522339</v>
      </c>
      <c r="AL31" s="16">
        <v>-0.0000012192248742418488</v>
      </c>
      <c r="AM31" s="16">
        <v>-0.001180286230157982</v>
      </c>
      <c r="AN31" s="16">
        <v>0.000005994720026211971</v>
      </c>
      <c r="AO31" s="16">
        <v>-0.0000016062803898741817</v>
      </c>
      <c r="AP31" s="16">
        <v>-0.002529770034422435</v>
      </c>
      <c r="AQ31" s="16">
        <v>0.00000780035858832401</v>
      </c>
      <c r="AR31" s="16">
        <v>-0.000002090099784414598</v>
      </c>
      <c r="AS31" s="16">
        <v>-0.0038792538386868873</v>
      </c>
      <c r="AT31" s="16">
        <v>0.00000960599715043605</v>
      </c>
      <c r="AU31" s="16">
        <v>-0.000002573919178955014</v>
      </c>
      <c r="AV31" s="16">
        <v>-0.0065782214472157935</v>
      </c>
      <c r="AW31" s="16">
        <v>0.00001321727427466013</v>
      </c>
      <c r="AX31" s="16">
        <v>-0.000003541557968035847</v>
      </c>
      <c r="AY31" s="16">
        <v>-0.011976156664273603</v>
      </c>
      <c r="AZ31" s="16">
        <v>0.00002043982852310829</v>
      </c>
      <c r="BA31" s="16">
        <v>-0.000005476835546197512</v>
      </c>
      <c r="BB31" s="16">
        <v>-0.014675124272802504</v>
      </c>
      <c r="BC31" s="16">
        <v>0.000024051105647332365</v>
      </c>
      <c r="BD31" s="16">
        <v>-0.000006444474335278343</v>
      </c>
      <c r="BE31" s="16">
        <v>-0.025470994706918132</v>
      </c>
      <c r="BF31" s="16">
        <v>0.00003849621414422869</v>
      </c>
      <c r="BG31" s="16">
        <v>-0.000010315029491601674</v>
      </c>
      <c r="BH31" s="16">
        <v>-0.05</v>
      </c>
      <c r="BI31" s="16">
        <v>0</v>
      </c>
      <c r="BJ31" s="16">
        <v>0</v>
      </c>
      <c r="BK31" s="45">
        <v>33981.43387592912</v>
      </c>
      <c r="BL31" s="45">
        <v>33981.43387592912</v>
      </c>
      <c r="BM31" s="45">
        <v>33683.33613966646</v>
      </c>
      <c r="BN31" s="45">
        <v>32195.89234556786</v>
      </c>
      <c r="BO31" s="45">
        <v>29291.128988863627</v>
      </c>
      <c r="BP31" s="45">
        <v>24941.801710243955</v>
      </c>
      <c r="BQ31" s="45">
        <v>21079.224390080475</v>
      </c>
      <c r="BR31" s="45">
        <v>18154.21910243774</v>
      </c>
      <c r="BS31" s="45">
        <v>15854.708472398557</v>
      </c>
      <c r="BT31" s="45">
        <v>13873.769345995137</v>
      </c>
      <c r="BU31" s="45">
        <v>10903.533727329852</v>
      </c>
      <c r="BV31" s="45">
        <v>7088.510977809352</v>
      </c>
      <c r="BW31" s="45">
        <v>3845.583254058152</v>
      </c>
      <c r="BX31" s="45">
        <v>1695.0196261639176</v>
      </c>
      <c r="BY31" s="45">
        <v>-1002.4041910684132</v>
      </c>
      <c r="BZ31" s="45">
        <v>-3751.976434123208</v>
      </c>
      <c r="CA31" s="45">
        <v>-4345.841707016429</v>
      </c>
      <c r="CB31" s="45">
        <v>-5313.300141784444</v>
      </c>
      <c r="CC31" s="45">
        <v>-5790.583579096708</v>
      </c>
      <c r="CD31" s="45">
        <v>6.55418261885643e-13</v>
      </c>
      <c r="CE31" s="45">
        <v>6.55418261885643e-13</v>
      </c>
      <c r="CF31" s="45">
        <v>149.46604126262235</v>
      </c>
      <c r="CG31" s="45">
        <v>824.5987488025057</v>
      </c>
      <c r="CH31" s="45">
        <v>2031.1065582790836</v>
      </c>
      <c r="CI31" s="45">
        <v>3717.6591067367885</v>
      </c>
      <c r="CJ31" s="45">
        <v>4991.604752801753</v>
      </c>
      <c r="CK31" s="45">
        <v>5680.243953235913</v>
      </c>
      <c r="CL31" s="45">
        <v>6040.647875594467</v>
      </c>
      <c r="CM31" s="45">
        <v>6259.137766051005</v>
      </c>
      <c r="CN31" s="45">
        <v>6257.1326372285785</v>
      </c>
      <c r="CO31" s="45">
        <v>5532.826418380071</v>
      </c>
      <c r="CP31" s="45">
        <v>4492.000010995087</v>
      </c>
      <c r="CQ31" s="45">
        <v>3622.434078306978</v>
      </c>
      <c r="CR31" s="45">
        <v>2415.220847730676</v>
      </c>
      <c r="CS31" s="45">
        <v>1089.142844930438</v>
      </c>
      <c r="CT31" s="45">
        <v>779.9915530512169</v>
      </c>
      <c r="CU31" s="45">
        <v>264.57869038726346</v>
      </c>
      <c r="CV31" s="45">
        <v>0</v>
      </c>
      <c r="CW31" s="45">
        <v>-5.220063030719757e-12</v>
      </c>
      <c r="CX31" s="45">
        <v>-5.220063030719757e-12</v>
      </c>
      <c r="CY31" s="45">
        <v>-70.21606386731199</v>
      </c>
      <c r="CZ31" s="45">
        <v>-356.29761947468194</v>
      </c>
      <c r="DA31" s="45">
        <v>-826.7098370177624</v>
      </c>
      <c r="DB31" s="45">
        <v>-1431.4189920336169</v>
      </c>
      <c r="DC31" s="45">
        <v>-1637.5116436722838</v>
      </c>
      <c r="DD31" s="45">
        <v>-1663.8122140346736</v>
      </c>
      <c r="DE31" s="45">
        <v>-1729.128510008449</v>
      </c>
      <c r="DF31" s="45">
        <v>-1807.9444988997727</v>
      </c>
      <c r="DG31" s="45">
        <v>-1872.273687613317</v>
      </c>
      <c r="DH31" s="45">
        <v>-1918.943656467514</v>
      </c>
      <c r="DI31" s="45">
        <v>-1901.4301185749398</v>
      </c>
      <c r="DJ31" s="45">
        <v>-1785.2685713683636</v>
      </c>
      <c r="DK31" s="45">
        <v>-1379.7677329581823</v>
      </c>
      <c r="DL31" s="45">
        <v>-744.9797320094367</v>
      </c>
      <c r="DM31" s="45">
        <v>-575.7416150249571</v>
      </c>
      <c r="DN31" s="45">
        <v>-218.9408795942207</v>
      </c>
      <c r="DO31" s="45">
        <v>5.960464477539062e-14</v>
      </c>
      <c r="DP31" s="46">
        <f>MAX(1,MIN(18,SUMPRODUCT(--($BK31:$CC31&gt;=Pu))))</f>
      </c>
      <c r="DQ31" s="47">
        <f>(Pu-INDEX($BK31:$CC31,1,$DP31))/(INDEX($BK31:$CC31,1,$DP31+1)-INDEX($BK31:$CC31,1,$DP31))</f>
      </c>
      <c r="DR31" s="39">
        <f>INDEX($CD31:$CV31,1,$DP31)+$DQ31*(INDEX($CD31:$CV31,1,$DP31+1)-INDEX($CD31:$CV31,1,$DP31))</f>
      </c>
      <c r="DS31" s="39">
        <f>INDEX($CW31:$DO31,1,$DP31)+$DQ31*(INDEX($CW31:$DO31,1,$DP31+1)-INDEX($CW31:$DO31,1,$DP31))</f>
      </c>
      <c r="DT31" s="39">
        <f>SQRT(DR31^2+DS31^2)</f>
      </c>
      <c r="DU31" s="20">
        <f>DR32-DR31</f>
      </c>
      <c r="DV31" s="20">
        <f>DS32-DS31</f>
      </c>
      <c r="DW31" s="20">
        <f>DU31*SIN(RADIANS(theta_L))-DV31*COS(RADIANS(theta_L))</f>
      </c>
      <c r="DX31" s="47">
        <f>IF(DW31=0,"",-(DR31*SIN(RADIANS(theta_L))-DS31*COS(RADIANS(theta_L)))/DW31)</f>
      </c>
      <c r="DY31" s="20">
        <f>IF(DX31="","",(DR31+DX31*DU31)*COS(RADIANS(theta_L))+(DS31+DX31*DV31)*SIN(RADIANS(theta_L)))</f>
      </c>
      <c r="DZ31" s="20">
        <f>IF(OR(DX31="",DX31&lt;0,DX31&gt;1,DY31&lt;0),"",DY31)</f>
      </c>
    </row>
    <row r="32" spans="1:124" x14ac:dyDescent="0.25">
      <c r="A32" t="s">
        <v>293</v>
      </c>
      <c r="B32" s="44">
        <v>360</v>
      </c>
      <c r="C32" s="18">
        <v>600</v>
      </c>
      <c r="D32" s="18">
        <v>-530</v>
      </c>
      <c r="E32" s="18">
        <v>1130</v>
      </c>
      <c r="F32" s="16">
        <v>0.0033</v>
      </c>
      <c r="G32" s="16">
        <v>0</v>
      </c>
      <c r="H32" s="16">
        <v>0</v>
      </c>
      <c r="I32" s="16">
        <v>0.0027159292035398228</v>
      </c>
      <c r="J32" s="16">
        <v>9.734513274336284e-7</v>
      </c>
      <c r="K32" s="16">
        <v>0</v>
      </c>
      <c r="L32" s="16">
        <v>0.0024238938053097346</v>
      </c>
      <c r="M32" s="16">
        <v>0.0000014601769911504425</v>
      </c>
      <c r="N32" s="16">
        <v>0</v>
      </c>
      <c r="O32" s="16">
        <v>0.002131858407079646</v>
      </c>
      <c r="P32" s="16">
        <v>0.0000019469026548672567</v>
      </c>
      <c r="Q32" s="16">
        <v>0</v>
      </c>
      <c r="R32" s="16">
        <v>0.0018398230088495576</v>
      </c>
      <c r="S32" s="16">
        <v>0.0000024336283185840706</v>
      </c>
      <c r="T32" s="16">
        <v>0</v>
      </c>
      <c r="U32" s="16">
        <v>0.001547787610619469</v>
      </c>
      <c r="V32" s="16">
        <v>0.000002920353982300885</v>
      </c>
      <c r="W32" s="16">
        <v>0</v>
      </c>
      <c r="X32" s="16">
        <v>0.001282300884955752</v>
      </c>
      <c r="Y32" s="16">
        <v>0.0000033628318584070798</v>
      </c>
      <c r="Z32" s="16">
        <v>0</v>
      </c>
      <c r="AA32" s="16">
        <v>0.0010168141592920353</v>
      </c>
      <c r="AB32" s="16">
        <v>0.000003805309734513274</v>
      </c>
      <c r="AC32" s="16">
        <v>0</v>
      </c>
      <c r="AD32" s="16">
        <v>0.0007513274336283186</v>
      </c>
      <c r="AE32" s="16">
        <v>0.000004247787610619469</v>
      </c>
      <c r="AF32" s="16">
        <v>0</v>
      </c>
      <c r="AG32" s="16">
        <v>0.00048584070796460184</v>
      </c>
      <c r="AH32" s="16">
        <v>0.0000046902654867256635</v>
      </c>
      <c r="AI32" s="16">
        <v>0</v>
      </c>
      <c r="AJ32" s="16">
        <v>-0.00004513274336283204</v>
      </c>
      <c r="AK32" s="16">
        <v>0.000005575221238938053</v>
      </c>
      <c r="AL32" s="16">
        <v>0</v>
      </c>
      <c r="AM32" s="16">
        <v>-0.001107079646017699</v>
      </c>
      <c r="AN32" s="16">
        <v>0.000007345132743362832</v>
      </c>
      <c r="AO32" s="16">
        <v>0</v>
      </c>
      <c r="AP32" s="16">
        <v>-0.002434513274336284</v>
      </c>
      <c r="AQ32" s="16">
        <v>0.000009557522123893806</v>
      </c>
      <c r="AR32" s="16">
        <v>0</v>
      </c>
      <c r="AS32" s="16">
        <v>-0.003761946902654867</v>
      </c>
      <c r="AT32" s="16">
        <v>0.000011769911504424779</v>
      </c>
      <c r="AU32" s="16">
        <v>0</v>
      </c>
      <c r="AV32" s="16">
        <v>-0.006416814159292035</v>
      </c>
      <c r="AW32" s="16">
        <v>0.000016194690265486724</v>
      </c>
      <c r="AX32" s="16">
        <v>0</v>
      </c>
      <c r="AY32" s="16">
        <v>-0.01172654867256637</v>
      </c>
      <c r="AZ32" s="16">
        <v>0.00002504424778761062</v>
      </c>
      <c r="BA32" s="16">
        <v>0</v>
      </c>
      <c r="BB32" s="16">
        <v>-0.014381415929203539</v>
      </c>
      <c r="BC32" s="16">
        <v>0.000029469026548672564</v>
      </c>
      <c r="BD32" s="16">
        <v>0</v>
      </c>
      <c r="BE32" s="16">
        <v>-0.02500088495575221</v>
      </c>
      <c r="BF32" s="16">
        <v>0.00004716814159292035</v>
      </c>
      <c r="BG32" s="16">
        <v>0</v>
      </c>
      <c r="BH32" s="16">
        <v>-0.05</v>
      </c>
      <c r="BI32" s="16">
        <v>0</v>
      </c>
      <c r="BJ32" s="16">
        <v>0</v>
      </c>
      <c r="BK32" s="45">
        <v>33981.43387592912</v>
      </c>
      <c r="BL32" s="45">
        <v>33981.43387592912</v>
      </c>
      <c r="BM32" s="45">
        <v>33533.02562239545</v>
      </c>
      <c r="BN32" s="45">
        <v>31697.47383065876</v>
      </c>
      <c r="BO32" s="45">
        <v>28312.035037494865</v>
      </c>
      <c r="BP32" s="45">
        <v>23514.322248754543</v>
      </c>
      <c r="BQ32" s="45">
        <v>20124.121038215144</v>
      </c>
      <c r="BR32" s="45">
        <v>17776.353375143117</v>
      </c>
      <c r="BS32" s="45">
        <v>15800.236623069633</v>
      </c>
      <c r="BT32" s="45">
        <v>14042.955356745177</v>
      </c>
      <c r="BU32" s="45">
        <v>11780.888412913204</v>
      </c>
      <c r="BV32" s="45">
        <v>8812.745574290735</v>
      </c>
      <c r="BW32" s="45">
        <v>6581.3072504878155</v>
      </c>
      <c r="BX32" s="45">
        <v>5040.452657994034</v>
      </c>
      <c r="BY32" s="45">
        <v>2747.5191908344864</v>
      </c>
      <c r="BZ32" s="45">
        <v>174.793493880596</v>
      </c>
      <c r="CA32" s="45">
        <v>-463.19960316020206</v>
      </c>
      <c r="CB32" s="45">
        <v>-2557.031656903496</v>
      </c>
      <c r="CC32" s="45">
        <v>-5790.583579096708</v>
      </c>
      <c r="CD32" s="45">
        <v>6.55418261885643e-13</v>
      </c>
      <c r="CE32" s="45">
        <v>6.55418261885643e-13</v>
      </c>
      <c r="CF32" s="45">
        <v>234.93193860569806</v>
      </c>
      <c r="CG32" s="45">
        <v>1094.7175767922042</v>
      </c>
      <c r="CH32" s="45">
        <v>2570.457524444011</v>
      </c>
      <c r="CI32" s="45">
        <v>4530.118037670052</v>
      </c>
      <c r="CJ32" s="45">
        <v>5598.135049837574</v>
      </c>
      <c r="CK32" s="45">
        <v>6124.812619238588</v>
      </c>
      <c r="CL32" s="45">
        <v>6477.537136847315</v>
      </c>
      <c r="CM32" s="45">
        <v>6729.602944736926</v>
      </c>
      <c r="CN32" s="45">
        <v>6681.944730043465</v>
      </c>
      <c r="CO32" s="45">
        <v>6317.221588401691</v>
      </c>
      <c r="CP32" s="45">
        <v>5771.965409016144</v>
      </c>
      <c r="CQ32" s="45">
        <v>5279.5486588665335</v>
      </c>
      <c r="CR32" s="45">
        <v>4395.024835253348</v>
      </c>
      <c r="CS32" s="45">
        <v>3210.6321417933236</v>
      </c>
      <c r="CT32" s="45">
        <v>2882.44449919495</v>
      </c>
      <c r="CU32" s="45">
        <v>1779.7255448932617</v>
      </c>
      <c r="CV32" s="45">
        <v>0</v>
      </c>
      <c r="CW32" s="45">
        <v>-5.220063030719757e-12</v>
      </c>
      <c r="CX32" s="45">
        <v>-5.220063030719757e-12</v>
      </c>
      <c r="CY32" s="45">
        <v>0.0006804400412989781</v>
      </c>
      <c r="CZ32" s="45">
        <v>0.00009086627426277846</v>
      </c>
      <c r="DA32" s="45">
        <v>0.0016092189189000055</v>
      </c>
      <c r="DB32" s="45">
        <v>0.07635615567926224</v>
      </c>
      <c r="DC32" s="45">
        <v>-0.298929788221614</v>
      </c>
      <c r="DD32" s="45">
        <v>-0.036833113046715035</v>
      </c>
      <c r="DE32" s="45">
        <v>0.000766949239820242</v>
      </c>
      <c r="DF32" s="45">
        <v>0.2033703180078668</v>
      </c>
      <c r="DG32" s="45">
        <v>0.00011138413645233958</v>
      </c>
      <c r="DH32" s="45">
        <v>0.22085739108868455</v>
      </c>
      <c r="DI32" s="45">
        <v>0.1440232052281932</v>
      </c>
      <c r="DJ32" s="45">
        <v>0.3035026830671234</v>
      </c>
      <c r="DK32" s="45">
        <v>0.8146481828627189</v>
      </c>
      <c r="DL32" s="45">
        <v>-0.7463893864229912</v>
      </c>
      <c r="DM32" s="45">
        <v>1.905153586537916</v>
      </c>
      <c r="DN32" s="45">
        <v>0.17970639577396771</v>
      </c>
      <c r="DO32" s="45">
        <v>5.960464477539062e-14</v>
      </c>
      <c r="DP32" s="46">
        <f>MAX(1,MIN(18,SUMPRODUCT(--($BK32:$CC32&gt;=Pu))))</f>
      </c>
      <c r="DQ32" s="47">
        <f>(Pu-INDEX($BK32:$CC32,1,$DP32))/(INDEX($BK32:$CC32,1,$DP32+1)-INDEX($BK32:$CC32,1,$DP32))</f>
      </c>
      <c r="DR32" s="39">
        <f>INDEX($CD32:$CV32,1,$DP32)+$DQ32*(INDEX($CD32:$CV32,1,$DP32+1)-INDEX($CD32:$CV32,1,$DP32))</f>
      </c>
      <c r="DS32" s="39">
        <f>INDEX($CW32:$DO32,1,$DP32)+$DQ32*(INDEX($CW32:$DO32,1,$DP32+1)-INDEX($CW32:$DO32,1,$DP32))</f>
      </c>
      <c r="DT32" s="39">
        <f>SQRT(DR32^2+DS32^2)</f>
      </c>
    </row>
    <row r="33" spans="121:124" x14ac:dyDescent="0.25">
      <c r="DQ33" s="35" t="s">
        <v>54</v>
      </c>
      <c r="DR33" s="48">
        <f>Mux</f>
      </c>
      <c r="DS33" s="48">
        <f>Muy</f>
      </c>
      <c r="DT33" s="48">
        <f>Mu</f>
      </c>
    </row>
    <row r="34" spans="2:9" x14ac:dyDescent="0.25">
      <c r="B34" s="3" t="s">
        <v>294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295</v>
      </c>
      <c r="E35" s="10">
        <f>BK8</f>
      </c>
      <c r="F35" s="10">
        <f>PM_Angle!$S$7</f>
      </c>
      <c r="G35" s="35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296</v>
      </c>
      <c r="E36" s="10">
        <f>CC8</f>
      </c>
      <c r="F36" s="10">
        <f>PM_Angle!$S$25</f>
      </c>
      <c r="G36" s="35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297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298</v>
      </c>
      <c r="E39" s="49">
        <f>theta_L</f>
      </c>
    </row>
    <row r="40" spans="2:5" x14ac:dyDescent="0.25">
      <c r="B40" t="s">
        <v>299</v>
      </c>
      <c r="E40" s="50">
        <f>COUNT(DZ8:DZ31)</f>
      </c>
    </row>
    <row r="41" spans="2:5" x14ac:dyDescent="0.25">
      <c r="B41" t="s">
        <v>300</v>
      </c>
      <c r="E41" s="51">
        <f>IF(COUNT(DZ8:DZ31)=0,"no crossing",MIN(DZ8:DZ31))</f>
      </c>
    </row>
    <row r="42" spans="2:5" x14ac:dyDescent="0.25">
      <c r="B42" t="s">
        <v>301</v>
      </c>
      <c r="E42" s="51">
        <f>IF(ISNUMBER(Mb),Mb*COS(RADIANS(theta_L)),"n/a")</f>
      </c>
    </row>
    <row r="43" spans="2:5" x14ac:dyDescent="0.25">
      <c r="B43" t="s">
        <v>302</v>
      </c>
      <c r="E43" s="51">
        <f>IF(ISNUMBER(Mb),Mb*SIN(RADIANS(theta_L)),"n/a")</f>
      </c>
    </row>
    <row r="44" spans="2:5" x14ac:dyDescent="0.25">
      <c r="B44" t="s">
        <v>303</v>
      </c>
      <c r="E44" s="51">
        <f>Mu</f>
      </c>
    </row>
    <row r="45" spans="2:5" x14ac:dyDescent="0.25">
      <c r="B45" t="s">
        <v>304</v>
      </c>
      <c r="E45" s="52">
        <f>IF(ISNUMBER(Mb),IF(Mb&lt;=0,"n/a",Mu/Mb),"n/a")</f>
      </c>
    </row>
    <row r="46" spans="2:2" x14ac:dyDescent="0.25">
      <c r="B46" s="5" t="s">
        <v>305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306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298</v>
      </c>
      <c r="C5" s="11">
        <f>theta_L</f>
      </c>
    </row>
    <row r="6" spans="2:4" x14ac:dyDescent="0.25">
      <c r="B6" t="s">
        <v>308</v>
      </c>
      <c r="C6" s="11">
        <f>beta</f>
      </c>
      <c r="D6" s="5" t="s">
        <v>309</v>
      </c>
    </row>
    <row r="7" spans="2:4" x14ac:dyDescent="0.25">
      <c r="B7" t="s">
        <v>310</v>
      </c>
      <c r="C7" s="53">
        <f>0.000000001*MAX(MAX(MxMy_FixedP!$CD$8:$CV$32),-MIN(MxMy_FixedP!$CD$8:$CV$32),MAX(MxMy_FixedP!$CW$8:$DO$32),-MIN(MxMy_FixedP!$CW$8:$DO$32))</f>
      </c>
      <c r="D7" s="5" t="s">
        <v>311</v>
      </c>
    </row>
    <row r="8" spans="2:10" x14ac:dyDescent="0.25">
      <c r="B8" s="25" t="s">
        <v>312</v>
      </c>
      <c r="C8" s="25"/>
      <c r="D8" s="25" t="s">
        <v>313</v>
      </c>
      <c r="E8" s="25"/>
      <c r="F8" s="25"/>
      <c r="G8" s="25" t="s">
        <v>314</v>
      </c>
      <c r="H8" s="25"/>
      <c r="I8" s="25"/>
      <c r="J8" s="25" t="s">
        <v>315</v>
      </c>
    </row>
    <row r="9" ht="26" customHeight="1" spans="2:10" x14ac:dyDescent="0.25">
      <c r="B9" s="17" t="s">
        <v>193</v>
      </c>
      <c r="C9" s="17" t="s">
        <v>316</v>
      </c>
      <c r="D9" s="17" t="s">
        <v>317</v>
      </c>
      <c r="E9" s="17" t="s">
        <v>204</v>
      </c>
      <c r="F9" s="17" t="s">
        <v>318</v>
      </c>
      <c r="G9" s="17" t="s">
        <v>317</v>
      </c>
      <c r="H9" s="17" t="s">
        <v>204</v>
      </c>
      <c r="I9" s="17" t="s">
        <v>318</v>
      </c>
      <c r="J9" s="17" t="s">
        <v>319</v>
      </c>
    </row>
    <row r="10" spans="2:11" x14ac:dyDescent="0.25">
      <c r="B10" s="35" t="s">
        <v>210</v>
      </c>
      <c r="C10" s="54" t="s">
        <v>320</v>
      </c>
      <c r="D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212</v>
      </c>
      <c r="C11" s="54" t="s">
        <v>321</v>
      </c>
      <c r="D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213</v>
      </c>
      <c r="C12" s="54" t="s">
        <v>322</v>
      </c>
      <c r="D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8">
        <v>243.0342974467848</v>
      </c>
    </row>
    <row r="13" spans="2:11" x14ac:dyDescent="0.25">
      <c r="B13" s="35" t="s">
        <v>214</v>
      </c>
      <c r="C13" s="54" t="s">
        <v>323</v>
      </c>
      <c r="D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8">
        <v>1150.3379882178954</v>
      </c>
    </row>
    <row r="14" spans="2:11" x14ac:dyDescent="0.25">
      <c r="B14" s="35" t="s">
        <v>215</v>
      </c>
      <c r="C14" s="54" t="s">
        <v>324</v>
      </c>
      <c r="D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8">
        <v>2698.8093765862645</v>
      </c>
    </row>
    <row r="15" spans="2:11" x14ac:dyDescent="0.25">
      <c r="B15" s="35" t="s">
        <v>216</v>
      </c>
      <c r="C15" s="54" t="s">
        <v>325</v>
      </c>
      <c r="D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8">
        <v>4794.511570393252</v>
      </c>
    </row>
    <row r="16" spans="2:11" x14ac:dyDescent="0.25">
      <c r="B16" s="35" t="s">
        <v>217</v>
      </c>
      <c r="C16" s="54" t="s">
        <v>326</v>
      </c>
      <c r="D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8">
        <v>5873.608508385497</v>
      </c>
    </row>
    <row r="17" spans="2:11" x14ac:dyDescent="0.25">
      <c r="B17" s="35" t="s">
        <v>218</v>
      </c>
      <c r="C17" s="54" t="s">
        <v>327</v>
      </c>
      <c r="D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8">
        <v>6430.541389096731</v>
      </c>
    </row>
    <row r="18" spans="2:11" x14ac:dyDescent="0.25">
      <c r="B18" s="35" t="s">
        <v>219</v>
      </c>
      <c r="C18" s="54" t="s">
        <v>328</v>
      </c>
      <c r="D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8">
        <v>6846.531986160265</v>
      </c>
    </row>
    <row r="19" spans="2:11" x14ac:dyDescent="0.25">
      <c r="B19" s="35" t="s">
        <v>220</v>
      </c>
      <c r="C19" s="54" t="s">
        <v>329</v>
      </c>
      <c r="D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8">
        <v>7177.451206070804</v>
      </c>
    </row>
    <row r="20" spans="2:11" x14ac:dyDescent="0.25">
      <c r="B20" s="35" t="s">
        <v>221</v>
      </c>
      <c r="C20" s="54" t="s">
        <v>330</v>
      </c>
      <c r="D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8">
        <v>7136.5025828493735</v>
      </c>
    </row>
    <row r="21" spans="2:11" x14ac:dyDescent="0.25">
      <c r="B21" s="35" t="s">
        <v>222</v>
      </c>
      <c r="C21" s="54" t="s">
        <v>331</v>
      </c>
      <c r="D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8">
        <v>6713.62410261475</v>
      </c>
    </row>
    <row r="22" spans="2:11" x14ac:dyDescent="0.25">
      <c r="B22" s="35" t="s">
        <v>223</v>
      </c>
      <c r="C22" s="54" t="s">
        <v>332</v>
      </c>
      <c r="D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8">
        <v>6206.098632267029</v>
      </c>
    </row>
    <row r="23" spans="2:11" x14ac:dyDescent="0.25">
      <c r="B23" s="35" t="s">
        <v>224</v>
      </c>
      <c r="C23" s="54" t="s">
        <v>333</v>
      </c>
      <c r="D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8">
        <v>5755.775289101642</v>
      </c>
    </row>
    <row r="24" spans="2:11" x14ac:dyDescent="0.25">
      <c r="B24" s="35" t="s">
        <v>225</v>
      </c>
      <c r="C24" s="54" t="s">
        <v>334</v>
      </c>
      <c r="D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8">
        <v>5002.944206054378</v>
      </c>
    </row>
    <row r="25" spans="2:11" x14ac:dyDescent="0.25">
      <c r="B25" s="35" t="s">
        <v>226</v>
      </c>
      <c r="C25" s="54" t="s">
        <v>335</v>
      </c>
      <c r="D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8">
        <v>3809.7954632079213</v>
      </c>
    </row>
    <row r="26" spans="2:11" x14ac:dyDescent="0.25">
      <c r="B26" s="35" t="s">
        <v>227</v>
      </c>
      <c r="C26" s="54" t="s">
        <v>336</v>
      </c>
      <c r="D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8">
        <v>3403.3741219897643</v>
      </c>
    </row>
    <row r="27" spans="2:11" x14ac:dyDescent="0.25">
      <c r="B27" s="35" t="s">
        <v>228</v>
      </c>
      <c r="C27" s="54" t="s">
        <v>337</v>
      </c>
      <c r="D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8">
        <v>2255.5834431148437</v>
      </c>
    </row>
    <row r="28" spans="2:11" x14ac:dyDescent="0.25">
      <c r="B28" s="35" t="s">
        <v>229</v>
      </c>
      <c r="C28" s="54" t="s">
        <v>338</v>
      </c>
      <c r="D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8">
        <v>5.960464477539062e-14</v>
      </c>
    </row>
    <row r="30" spans="2:9" x14ac:dyDescent="0.25">
      <c r="B30" s="3" t="s">
        <v>339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340</v>
      </c>
      <c r="C31" s="51">
        <f>Pu</f>
      </c>
    </row>
    <row r="32" spans="2:3" x14ac:dyDescent="0.25">
      <c r="B32" t="s">
        <v>341</v>
      </c>
      <c r="C32" s="51">
        <f>Mu</f>
      </c>
    </row>
    <row r="33" spans="2:3" x14ac:dyDescent="0.25">
      <c r="B33" t="s">
        <v>342</v>
      </c>
      <c r="C33" s="50">
        <f>MAX(1,MIN(18,SUMPRODUCT(--($E$10:$E$28&gt;=Pu))))</f>
      </c>
    </row>
    <row r="34" spans="2:3" x14ac:dyDescent="0.25">
      <c r="B34" t="s">
        <v>286</v>
      </c>
      <c r="C34" s="55">
        <f>IF((INDEX($E$10:$E$28,C33+1,1)-INDEX($E$10:$E$28,C33,1))=0,0,(Pu-INDEX($E$10:$E$28,C33,1))/(INDEX($E$10:$E$28,C33+1,1)-INDEX($E$10:$E$28,C33,1)))</f>
      </c>
    </row>
    <row r="35" spans="2:3" x14ac:dyDescent="0.25">
      <c r="B35" t="s">
        <v>343</v>
      </c>
      <c r="C35" s="51">
        <f>INDEX($F$10:$F$28,C33,1)+C34*(INDEX($F$10:$F$28,C33+1,1)-INDEX($F$10:$F$28,C33,1))</f>
      </c>
    </row>
    <row r="36" spans="2:3" x14ac:dyDescent="0.25">
      <c r="B36" t="s">
        <v>344</v>
      </c>
      <c r="C36" s="51">
        <f>Mb</f>
      </c>
    </row>
    <row r="37" spans="2:3" x14ac:dyDescent="0.25">
      <c r="B37" t="s">
        <v>345</v>
      </c>
      <c r="C37" s="51">
        <f>3983.327895242015</f>
      </c>
    </row>
    <row r="38" spans="2:3" x14ac:dyDescent="0.25">
      <c r="B38" t="s">
        <v>346</v>
      </c>
      <c r="C38" s="55">
        <f>IF(NOT(ISNUMBER(Mb)),"n/a",(MAX(C35,Mb,C37)-MIN(C35,Mb,C37))/MAX(C35,Mb,C37)*100)</f>
      </c>
    </row>
    <row r="39" spans="2:3" x14ac:dyDescent="0.25">
      <c r="B39" t="s">
        <v>347</v>
      </c>
      <c r="C39" s="56">
        <f>IF(NOT(ISNUMBER(C38)),"n/a",IF(C38&lt;=0.5,"ok - within the configured direction-grid spread","CHECK - routes disagree beyond the sampling spread"))</f>
      </c>
    </row>
    <row r="40" spans="2:3" x14ac:dyDescent="0.25">
      <c r="B40" t="s">
        <v>304</v>
      </c>
      <c r="C40" s="52">
        <f>IF(C35&lt;=0,"n/a",Mu/C35)</f>
      </c>
    </row>
    <row r="42" spans="2:10" x14ac:dyDescent="0.25">
      <c r="B42" s="5" t="s">
        <v>348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349</v>
      </c>
      <c r="C1" s="1"/>
      <c r="D1" s="1"/>
      <c r="E1" s="1"/>
    </row>
    <row r="2" ht="16" customHeight="1" spans="2:5" x14ac:dyDescent="0.25">
      <c r="B2" s="2" t="s">
        <v>350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351</v>
      </c>
      <c r="C6" s="3"/>
      <c r="D6" s="3"/>
      <c r="E6" s="3"/>
    </row>
    <row r="7" spans="2:5" x14ac:dyDescent="0.25">
      <c r="B7" t="s">
        <v>201</v>
      </c>
      <c r="C7" s="57">
        <v>0.001516186005200579</v>
      </c>
      <c r="D7" t="s">
        <v>17</v>
      </c>
      <c r="E7" s="5" t="s">
        <v>352</v>
      </c>
    </row>
    <row r="8" spans="2:5" x14ac:dyDescent="0.25">
      <c r="B8" t="s">
        <v>283</v>
      </c>
      <c r="C8" s="57">
        <v>0.000002375892659229933</v>
      </c>
      <c r="D8" t="s">
        <v>353</v>
      </c>
      <c r="E8" s="5" t="s">
        <v>354</v>
      </c>
    </row>
    <row r="9" spans="2:5" x14ac:dyDescent="0.25">
      <c r="B9" t="s">
        <v>284</v>
      </c>
      <c r="C9" s="57">
        <v>6.374808514492822e-7</v>
      </c>
      <c r="D9" t="s">
        <v>353</v>
      </c>
      <c r="E9" s="5" t="s">
        <v>355</v>
      </c>
    </row>
    <row r="11" spans="2:5" x14ac:dyDescent="0.25">
      <c r="B11" t="s">
        <v>356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357</v>
      </c>
      <c r="C12" s="11">
        <f>MOD(DEGREES(ATAN2(-Eq_kx,Eq_ky)),180)</f>
      </c>
      <c r="D12" t="s">
        <v>41</v>
      </c>
      <c r="E12" s="5" t="s">
        <v>358</v>
      </c>
    </row>
    <row r="13" spans="2:5" x14ac:dyDescent="0.25">
      <c r="B13" t="s">
        <v>359</v>
      </c>
      <c r="C13" s="11">
        <f>IF(AND(Mux=0,Muy=0),0,MOD(DEGREES(ATAN2(-Mux,Muy)),180))</f>
      </c>
      <c r="D13" t="s">
        <v>41</v>
      </c>
      <c r="E13" s="5" t="s">
        <v>360</v>
      </c>
    </row>
    <row r="14" spans="2:5" x14ac:dyDescent="0.25">
      <c r="B14" t="s">
        <v>361</v>
      </c>
      <c r="C14" s="11">
        <f>MIN(ABS(C12-C13),180-ABS(C12-C13))</f>
      </c>
      <c r="D14" t="s">
        <v>41</v>
      </c>
      <c r="E14" s="5" t="s">
        <v>362</v>
      </c>
    </row>
    <row r="16" spans="2:5" x14ac:dyDescent="0.25">
      <c r="B16" s="3" t="s">
        <v>363</v>
      </c>
      <c r="C16" s="3"/>
      <c r="D16" s="3"/>
      <c r="E16" s="3"/>
    </row>
    <row r="17" spans="2:3" x14ac:dyDescent="0.25">
      <c r="B17" t="s">
        <v>364</v>
      </c>
      <c r="C17" s="10">
        <f>SUMPRODUCT(Concrete!$L$8:$L$1264,Mesh_A)/1000</f>
      </c>
    </row>
    <row r="18" spans="2:3" x14ac:dyDescent="0.25">
      <c r="B18" t="s">
        <v>365</v>
      </c>
      <c r="C18" s="10">
        <f>SUMPRODUCT(Concrete!$L$8:$L$1264,Mesh_A,Mesh_Y)/1000000</f>
      </c>
    </row>
    <row r="19" spans="2:3" x14ac:dyDescent="0.25">
      <c r="B19" t="s">
        <v>366</v>
      </c>
      <c r="C19" s="10">
        <f>SUMPRODUCT(Concrete!$L$8:$L$1264,Mesh_A,Mesh_X)/1000000</f>
      </c>
    </row>
    <row r="20" spans="2:3" x14ac:dyDescent="0.25">
      <c r="B20" t="s">
        <v>367</v>
      </c>
      <c r="C20" s="10">
        <f>Steel!EM6/1000</f>
      </c>
    </row>
    <row r="21" spans="2:3" x14ac:dyDescent="0.25">
      <c r="B21" t="s">
        <v>368</v>
      </c>
      <c r="C21" s="10">
        <f>Steel!EN6/1000000</f>
      </c>
    </row>
    <row r="22" spans="2:3" x14ac:dyDescent="0.25">
      <c r="B22" t="s">
        <v>369</v>
      </c>
      <c r="C22" s="10">
        <f>Steel!EO6/1000000</f>
      </c>
    </row>
    <row r="24" spans="2:5" x14ac:dyDescent="0.25">
      <c r="B24" s="3" t="s">
        <v>370</v>
      </c>
      <c r="C24" s="3"/>
      <c r="D24" s="3"/>
      <c r="E24" s="3"/>
    </row>
    <row r="25" spans="2:3" x14ac:dyDescent="0.25">
      <c r="B25" t="s">
        <v>371</v>
      </c>
      <c r="C25" s="39">
        <f>C17+C20</f>
      </c>
    </row>
    <row r="26" spans="2:3" x14ac:dyDescent="0.25">
      <c r="B26" t="s">
        <v>372</v>
      </c>
      <c r="C26" s="39">
        <f>C18+C21</f>
      </c>
    </row>
    <row r="27" spans="2:3" x14ac:dyDescent="0.25">
      <c r="B27" t="s">
        <v>373</v>
      </c>
      <c r="C27" s="39">
        <f>C19+C22</f>
      </c>
    </row>
    <row r="28" spans="2:3" x14ac:dyDescent="0.25">
      <c r="B28" t="s">
        <v>374</v>
      </c>
      <c r="C28" s="51">
        <f>Pu</f>
      </c>
    </row>
    <row r="29" spans="2:3" x14ac:dyDescent="0.25">
      <c r="B29" t="s">
        <v>375</v>
      </c>
      <c r="C29" s="51">
        <f>Mux</f>
      </c>
    </row>
    <row r="30" spans="2:3" x14ac:dyDescent="0.25">
      <c r="B30" t="s">
        <v>376</v>
      </c>
      <c r="C30" s="51">
        <f>Muy</f>
      </c>
    </row>
    <row r="32" spans="2:3" x14ac:dyDescent="0.25">
      <c r="B32" t="s">
        <v>377</v>
      </c>
      <c r="C32" s="11">
        <f>C25-C28</f>
      </c>
    </row>
    <row r="33" spans="2:3" x14ac:dyDescent="0.25">
      <c r="B33" t="s">
        <v>378</v>
      </c>
      <c r="C33" s="11">
        <f>C26-C29</f>
      </c>
    </row>
    <row r="34" spans="2:3" x14ac:dyDescent="0.25">
      <c r="B34" t="s">
        <v>379</v>
      </c>
      <c r="C34" s="11">
        <f>C27-C30</f>
      </c>
    </row>
    <row r="35" spans="2:3" x14ac:dyDescent="0.25">
      <c r="B35" t="s">
        <v>380</v>
      </c>
      <c r="C35" s="53">
        <f>MAX(ABS(C32)/MAX(ABS(Pu),1),ABS(C33)/MAX(ABS(Mux),1),ABS(C34)/MAX(ABS(Muy),1))</f>
      </c>
    </row>
    <row r="36" spans="2:5" x14ac:dyDescent="0.25">
      <c r="B36" t="s">
        <v>347</v>
      </c>
      <c r="C36" s="35">
        <f>IF(C35&lt;=0.0001,"in equilibrium","CHECK - the stored plane does not balance the demand")</f>
      </c>
      <c r="E36" s="5" t="s">
        <v>381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2026-08-04T05:55:40Z</dcterms:created>
  <dcterms:modified xsi:type="dcterms:W3CDTF">2026-08-04T05:55:40Z</dcterms:modified>
</cp:coreProperties>
</file>