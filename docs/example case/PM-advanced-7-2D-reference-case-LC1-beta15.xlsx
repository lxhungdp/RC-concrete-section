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<sst xmlns="http://schemas.openxmlformats.org/spreadsheetml/2006/main" count="831" uniqueCount="382">
  <si>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</si>
  <si>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</si>
  <si>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</si>
  <si>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</si>
  <si>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</si>
  <si>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</si>
  <si>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</si>
  <si>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2026-08-04 13:34:55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</si>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</sst>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</v>
      </c>
    </row>
    <row r="14" spans="2:5" x14ac:dyDescent="0.25">
      <c r="B14" s="3" t="s">
        <v>119</v>
      </c>
      <c r="C14" s="3"/>
      <c r="D14" s="3"/>
      <c r="E14" s="3"/>
    </row>
    <row r="15" spans="2:5" x14ac:dyDescent="0.25">
      <c r="B15" t="s">
        <v>120</v>
      </c>
      <c r="C15" s="15">
        <v>0.65</v>
      </c>
      <c r="D15" t="s">
        <v>17</v>
      </c>
      <c r="E15" t="s">
        <v>121</v>
      </c>
    </row>
    <row r="16" spans="2:5" x14ac:dyDescent="0.25">
      <c r="B16" t="s">
        <v>122</v>
      </c>
      <c r="C16" s="15">
        <v>0.7</v>
      </c>
      <c r="D16" t="s">
        <v>17</v>
      </c>
      <c r="E16" t="s">
        <v>123</v>
      </c>
    </row>
    <row r="17" spans="2:5" x14ac:dyDescent="0.25">
      <c r="B17" t="s">
        <v>124</v>
      </c>
      <c r="C17" s="15">
        <v>0.85</v>
      </c>
      <c r="D17" t="s">
        <v>17</v>
      </c>
      <c r="E17" t="s">
        <v>125</v>
      </c>
    </row>
    <row r="18" spans="2:5" x14ac:dyDescent="0.25">
      <c r="B18" t="s">
        <v>126</v>
      </c>
      <c r="C18" s="15">
        <v>0.005</v>
      </c>
      <c r="D18" t="s">
        <v>17</v>
      </c>
      <c r="E18" t="s">
        <v>127</v>
      </c>
    </row>
    <row r="19" spans="2:5" x14ac:dyDescent="0.25">
      <c r="B19" t="s">
        <v>128</v>
      </c>
      <c r="C19" s="15">
        <v>0.8</v>
      </c>
      <c r="D19" t="s">
        <v>17</v>
      </c>
      <c r="E19" t="s">
        <v>129</v>
      </c>
    </row>
    <row r="20" spans="2:5" x14ac:dyDescent="0.25">
      <c r="B20" t="s">
        <v>130</v>
      </c>
      <c r="C20" s="15">
        <v>0.85</v>
      </c>
      <c r="D20" t="s">
        <v>17</v>
      </c>
      <c r="E20" t="s">
        <v>129</v>
      </c>
    </row>
    <row r="21" spans="2:5" x14ac:dyDescent="0.25">
      <c r="B21" t="s">
        <v>131</v>
      </c>
      <c r="C21" s="16" t="s">
        <v>132</v>
      </c>
      <c r="D21" t="s">
        <v>11</v>
      </c>
      <c r="E21" t="s">
        <v>133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4" spans="2:5" x14ac:dyDescent="0.25">
      <c r="B24" s="3" t="s">
        <v>137</v>
      </c>
      <c r="C24" s="3"/>
      <c r="D24" s="3"/>
      <c r="E24" s="3"/>
    </row>
    <row r="25" spans="2:5" x14ac:dyDescent="0.25">
      <c r="B25" t="s">
        <v>138</v>
      </c>
      <c r="C25" s="16" t="s">
        <v>139</v>
      </c>
      <c r="D25" t="s">
        <v>11</v>
      </c>
      <c r="E25" t="s">
        <v>140</v>
      </c>
    </row>
    <row r="26" spans="2:5" x14ac:dyDescent="0.25">
      <c r="B26" t="s">
        <v>141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142</v>
      </c>
      <c r="C27" s="15">
        <v>1.538237698212695</v>
      </c>
      <c r="D27" t="s">
        <v>17</v>
      </c>
      <c r="E27" t="s">
        <v>143</v>
      </c>
    </row>
    <row r="28" spans="2:5" x14ac:dyDescent="0.25">
      <c r="B28" t="s">
        <v>144</v>
      </c>
      <c r="C28" s="16" t="s">
        <v>145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11</v>
      </c>
      <c r="E29" t="s">
        <v>149</v>
      </c>
    </row>
    <row r="30" spans="2:5" x14ac:dyDescent="0.25">
      <c r="B30" t="s">
        <v>150</v>
      </c>
      <c r="C30" s="15">
        <v>16215.258624485536</v>
      </c>
      <c r="D30" t="s">
        <v>56</v>
      </c>
      <c r="E30" t="s">
        <v>151</v>
      </c>
    </row>
    <row r="31" spans="2:5" x14ac:dyDescent="0.25">
      <c r="B31" t="s">
        <v>152</v>
      </c>
      <c r="C31" s="15">
        <v>2414.55917258968</v>
      </c>
      <c r="D31" t="s">
        <v>59</v>
      </c>
      <c r="E31" t="s">
        <v>151</v>
      </c>
    </row>
    <row r="32" spans="2:5" x14ac:dyDescent="0.25">
      <c r="B32" t="s">
        <v>153</v>
      </c>
      <c r="C32" s="15">
        <v>930.792899796101</v>
      </c>
      <c r="D32" t="s">
        <v>59</v>
      </c>
      <c r="E32" t="s">
        <v>151</v>
      </c>
    </row>
    <row r="33" spans="2:5" x14ac:dyDescent="0.25">
      <c r="B33" t="s">
        <v>154</v>
      </c>
      <c r="C33" s="15">
        <v>0.65</v>
      </c>
      <c r="D33" t="s">
        <v>17</v>
      </c>
      <c r="E33" t="s">
        <v>155</v>
      </c>
    </row>
    <row r="34" spans="2:5" x14ac:dyDescent="0.25">
      <c r="B34" t="s">
        <v>156</v>
      </c>
      <c r="C34" s="15">
        <v>0</v>
      </c>
      <c r="D34" t="s">
        <v>17</v>
      </c>
      <c r="E34" t="s">
        <v>157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158</v>
      </c>
      <c r="C1" s="1"/>
      <c r="D1" s="1"/>
      <c r="E1" s="1"/>
      <c r="F1" s="1"/>
      <c r="G1" s="1"/>
      <c r="H1" s="1"/>
    </row>
    <row r="2" spans="2:2" x14ac:dyDescent="0.25">
      <c r="B2" s="5" t="s">
        <v>159</v>
      </c>
    </row>
    <row r="4" spans="2:8" x14ac:dyDescent="0.25">
      <c r="B4" s="3" t="s">
        <v>160</v>
      </c>
      <c r="C4" s="3"/>
      <c r="D4" s="3"/>
      <c r="E4" s="3"/>
      <c r="F4" s="3"/>
      <c r="G4" s="3"/>
      <c r="H4" s="3"/>
    </row>
    <row r="5" spans="2:7" x14ac:dyDescent="0.25">
      <c r="B5" s="17" t="s">
        <v>161</v>
      </c>
      <c r="C5" s="17" t="s">
        <v>162</v>
      </c>
      <c r="D5" s="17" t="s">
        <v>163</v>
      </c>
      <c r="E5" s="17" t="s">
        <v>164</v>
      </c>
      <c r="F5" s="17" t="s">
        <v>165</v>
      </c>
      <c r="G5" s="17" t="s">
        <v>166</v>
      </c>
    </row>
    <row r="6" spans="2:7" x14ac:dyDescent="0.25">
      <c r="B6">
        <v>1</v>
      </c>
      <c r="C6" t="s">
        <v>160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160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160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160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160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160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160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160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167</v>
      </c>
      <c r="F14" s="21">
        <f>SUM(F6:F13)/2</f>
      </c>
    </row>
    <row r="16" spans="2:8" x14ac:dyDescent="0.25">
      <c r="B16" s="3" t="s">
        <v>168</v>
      </c>
      <c r="C16" s="3"/>
      <c r="D16" s="3"/>
      <c r="E16" s="3"/>
      <c r="F16" s="3"/>
      <c r="G16" s="3"/>
      <c r="H16" s="3"/>
    </row>
    <row r="17" spans="2:7" x14ac:dyDescent="0.25">
      <c r="B17" s="17" t="s">
        <v>161</v>
      </c>
      <c r="C17" s="17" t="s">
        <v>162</v>
      </c>
      <c r="D17" s="17" t="s">
        <v>163</v>
      </c>
      <c r="E17" s="17" t="s">
        <v>164</v>
      </c>
      <c r="F17" s="17" t="s">
        <v>165</v>
      </c>
      <c r="G17" s="17" t="s">
        <v>166</v>
      </c>
    </row>
    <row r="18" spans="2:7" x14ac:dyDescent="0.25">
      <c r="B18">
        <v>1</v>
      </c>
      <c r="C18" t="s">
        <v>168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168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168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168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168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168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168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168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167</v>
      </c>
      <c r="F26" s="21">
        <f>SUM(F18:F25)/2</f>
      </c>
    </row>
    <row r="28" spans="2:8" x14ac:dyDescent="0.25">
      <c r="B28" s="3" t="s">
        <v>169</v>
      </c>
      <c r="C28" s="3"/>
      <c r="D28" s="3"/>
      <c r="E28" s="3"/>
      <c r="F28" s="3"/>
      <c r="G28" s="3"/>
      <c r="H28" s="3"/>
    </row>
    <row r="29" spans="2:7" x14ac:dyDescent="0.25">
      <c r="B29" s="17" t="s">
        <v>161</v>
      </c>
      <c r="C29" s="17" t="s">
        <v>162</v>
      </c>
      <c r="D29" s="17" t="s">
        <v>163</v>
      </c>
      <c r="E29" s="17" t="s">
        <v>164</v>
      </c>
      <c r="F29" s="17" t="s">
        <v>165</v>
      </c>
      <c r="G29" s="17" t="s">
        <v>166</v>
      </c>
    </row>
    <row r="30" spans="2:7" x14ac:dyDescent="0.25">
      <c r="B30">
        <v>1</v>
      </c>
      <c r="C30" t="s">
        <v>169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169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169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169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169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169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169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169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167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161</v>
      </c>
      <c r="C41" s="17" t="s">
        <v>170</v>
      </c>
      <c r="D41" s="17" t="s">
        <v>163</v>
      </c>
      <c r="E41" s="17" t="s">
        <v>164</v>
      </c>
      <c r="F41" s="17" t="s">
        <v>171</v>
      </c>
      <c r="G41" s="17" t="s">
        <v>166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172</v>
      </c>
      <c r="C61" s="3"/>
      <c r="D61" s="3"/>
      <c r="E61" s="3"/>
      <c r="F61" s="3"/>
      <c r="G61" s="3"/>
      <c r="H61" s="3"/>
    </row>
    <row r="62" spans="2:7" x14ac:dyDescent="0.25">
      <c r="B62" t="s">
        <v>173</v>
      </c>
      <c r="D62" s="21">
        <f>ABS(SUM(F6:F13)/2)+-ABS(SUM(F18:F25)/2)+-ABS(SUM(F30:F37)/2)</f>
      </c>
      <c r="E62" t="s">
        <v>71</v>
      </c>
      <c r="G62" s="5" t="s">
        <v>174</v>
      </c>
    </row>
    <row r="63" spans="2:7" x14ac:dyDescent="0.25">
      <c r="B63" t="s">
        <v>175</v>
      </c>
      <c r="D63" s="22">
        <f>MAX(G6:G13)</f>
      </c>
      <c r="E63" t="s">
        <v>46</v>
      </c>
      <c r="G63" s="5" t="s">
        <v>176</v>
      </c>
    </row>
    <row r="64" spans="2:5" x14ac:dyDescent="0.25">
      <c r="B64" t="s">
        <v>177</v>
      </c>
      <c r="D64" s="22">
        <f>MIN(G6:G13)</f>
      </c>
      <c r="E64" t="s">
        <v>46</v>
      </c>
    </row>
    <row r="65" spans="2:7" x14ac:dyDescent="0.25">
      <c r="B65" t="s">
        <v>178</v>
      </c>
      <c r="D65" s="22">
        <f>MIN(G42:G59)</f>
      </c>
      <c r="E65" t="s">
        <v>46</v>
      </c>
      <c r="G65" s="5" t="s">
        <v>179</v>
      </c>
    </row>
    <row r="66" spans="2:5" x14ac:dyDescent="0.25">
      <c r="B66" t="s">
        <v>180</v>
      </c>
      <c r="D66" s="22">
        <f>u_max-u_bar</f>
      </c>
      <c r="E66" t="s">
        <v>46</v>
      </c>
    </row>
    <row r="67" spans="2:5" x14ac:dyDescent="0.25">
      <c r="B67" t="s">
        <v>181</v>
      </c>
      <c r="D67" s="22">
        <f>u_max-u_min</f>
      </c>
      <c r="E67" t="s">
        <v>46</v>
      </c>
    </row>
    <row r="68" spans="2:5" x14ac:dyDescent="0.25">
      <c r="B68" t="s">
        <v>182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183</v>
      </c>
      <c r="B1" s="23"/>
      <c r="C1" s="23"/>
      <c r="D1" s="23"/>
    </row>
    <row r="2" ht="30" customHeight="1" spans="1:4" x14ac:dyDescent="0.25">
      <c r="A2" s="2" t="s">
        <v>184</v>
      </c>
      <c r="B2" s="2"/>
      <c r="C2" s="2"/>
      <c r="D2" s="2"/>
    </row>
    <row r="4" spans="1:4" x14ac:dyDescent="0.25">
      <c r="A4" s="24" t="s">
        <v>161</v>
      </c>
      <c r="B4" s="24" t="s">
        <v>163</v>
      </c>
      <c r="C4" s="24" t="s">
        <v>164</v>
      </c>
      <c r="D4" s="24" t="s">
        <v>185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187</v>
      </c>
    </row>
    <row r="4" spans="2:24" x14ac:dyDescent="0.25">
      <c r="B4" s="25" t="s">
        <v>188</v>
      </c>
      <c r="C4" s="25"/>
      <c r="D4" s="25"/>
      <c r="E4" s="25"/>
      <c r="F4" s="25" t="s">
        <v>189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190</v>
      </c>
      <c r="Q4" s="25"/>
      <c r="R4" s="25"/>
      <c r="S4" s="25" t="s">
        <v>191</v>
      </c>
      <c r="T4" s="25"/>
      <c r="U4" s="25"/>
      <c r="V4" s="25"/>
      <c r="W4" s="25" t="s">
        <v>192</v>
      </c>
      <c r="X4" s="25"/>
    </row>
    <row r="5" ht="30" customHeight="1" spans="2:24" x14ac:dyDescent="0.25">
      <c r="B5" s="17" t="s">
        <v>193</v>
      </c>
      <c r="C5" s="17" t="s">
        <v>194</v>
      </c>
      <c r="D5" s="17" t="s">
        <v>195</v>
      </c>
      <c r="E5" s="17" t="s">
        <v>196</v>
      </c>
      <c r="F5" s="17" t="s">
        <v>197</v>
      </c>
      <c r="G5" s="17" t="s">
        <v>198</v>
      </c>
      <c r="H5" s="17" t="s">
        <v>199</v>
      </c>
      <c r="I5" s="17" t="s">
        <v>200</v>
      </c>
      <c r="J5" s="17" t="s">
        <v>201</v>
      </c>
      <c r="K5" s="17" t="s">
        <v>202</v>
      </c>
      <c r="L5" s="17" t="s">
        <v>203</v>
      </c>
      <c r="M5" s="17" t="s">
        <v>204</v>
      </c>
      <c r="N5" s="17" t="s">
        <v>205</v>
      </c>
      <c r="O5" s="17" t="s">
        <v>206</v>
      </c>
      <c r="P5" s="17" t="s">
        <v>204</v>
      </c>
      <c r="Q5" s="17" t="s">
        <v>205</v>
      </c>
      <c r="R5" s="17" t="s">
        <v>206</v>
      </c>
      <c r="S5" s="17" t="s">
        <v>204</v>
      </c>
      <c r="T5" s="17" t="s">
        <v>205</v>
      </c>
      <c r="U5" s="17" t="s">
        <v>206</v>
      </c>
      <c r="V5" s="17" t="s">
        <v>207</v>
      </c>
      <c r="W5" s="17" t="s">
        <v>208</v>
      </c>
      <c r="X5" s="17" t="s">
        <v>209</v>
      </c>
    </row>
    <row r="7" spans="2:24" x14ac:dyDescent="0.25">
      <c r="B7" s="26" t="s">
        <v>210</v>
      </c>
      <c r="C7" s="27"/>
      <c r="D7" s="27"/>
      <c r="E7" s="27"/>
      <c r="F7" s="28" t="s">
        <v>211</v>
      </c>
      <c r="G7" s="29">
        <f>ecu</f>
      </c>
      <c r="H7" s="30" t="s">
        <v>145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212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213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214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215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216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217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218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219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220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221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222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223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224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225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226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227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228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229</v>
      </c>
      <c r="C25" s="27"/>
      <c r="D25" s="27"/>
      <c r="E25" s="27"/>
      <c r="F25" s="28" t="s">
        <v>211</v>
      </c>
      <c r="G25" s="29">
        <f>etu</f>
      </c>
      <c r="H25" s="30" t="s">
        <v>145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230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231</v>
      </c>
    </row>
    <row r="29" spans="3:3" x14ac:dyDescent="0.25">
      <c r="C29" s="5" t="s">
        <v>232</v>
      </c>
    </row>
    <row r="30" spans="2:4" x14ac:dyDescent="0.25">
      <c r="B30" s="11">
        <f>beta</f>
      </c>
      <c r="C30" t="s">
        <v>233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234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235</v>
      </c>
    </row>
    <row r="3" ht="28" customHeight="1" spans="1:9" x14ac:dyDescent="0.25">
      <c r="A3" s="2" t="s">
        <v>236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237</v>
      </c>
      <c r="C4" s="41">
        <v>5</v>
      </c>
      <c r="D4" s="5">
        <f>"detail shown for station P"&amp;C4</f>
      </c>
    </row>
    <row r="5" spans="11:12" x14ac:dyDescent="0.25">
      <c r="K5" s="25" t="s">
        <v>238</v>
      </c>
      <c r="L5" s="25"/>
    </row>
    <row r="6" spans="1:12" x14ac:dyDescent="0.25">
      <c r="A6" s="17" t="s">
        <v>161</v>
      </c>
      <c r="B6" s="17" t="s">
        <v>163</v>
      </c>
      <c r="C6" s="17" t="s">
        <v>164</v>
      </c>
      <c r="D6" s="17" t="s">
        <v>185</v>
      </c>
      <c r="E6" s="17" t="s">
        <v>239</v>
      </c>
      <c r="F6" s="17" t="s">
        <v>240</v>
      </c>
      <c r="G6" s="17" t="s">
        <v>241</v>
      </c>
      <c r="H6" s="17" t="s">
        <v>242</v>
      </c>
      <c r="I6" s="17" t="s">
        <v>243</v>
      </c>
      <c r="K6" s="24" t="s">
        <v>239</v>
      </c>
      <c r="L6" s="24" t="s">
        <v>240</v>
      </c>
    </row>
    <row r="7" spans="1:9" x14ac:dyDescent="0.25">
      <c r="A7" s="35" t="s">
        <v>244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210</v>
      </c>
      <c r="G4" s="25"/>
      <c r="H4" s="25"/>
      <c r="I4" s="25"/>
      <c r="J4" s="25"/>
      <c r="K4" s="25"/>
      <c r="L4" s="25"/>
      <c r="M4" s="25" t="s">
        <v>212</v>
      </c>
      <c r="N4" s="25"/>
      <c r="O4" s="25"/>
      <c r="P4" s="25"/>
      <c r="Q4" s="25"/>
      <c r="R4" s="25"/>
      <c r="S4" s="25"/>
      <c r="T4" s="25" t="s">
        <v>213</v>
      </c>
      <c r="U4" s="25"/>
      <c r="V4" s="25"/>
      <c r="W4" s="25"/>
      <c r="X4" s="25"/>
      <c r="Y4" s="25"/>
      <c r="Z4" s="25"/>
      <c r="AA4" s="25" t="s">
        <v>214</v>
      </c>
      <c r="AB4" s="25"/>
      <c r="AC4" s="25"/>
      <c r="AD4" s="25"/>
      <c r="AE4" s="25"/>
      <c r="AF4" s="25"/>
      <c r="AG4" s="25"/>
      <c r="AH4" s="25" t="s">
        <v>215</v>
      </c>
      <c r="AI4" s="25"/>
      <c r="AJ4" s="25"/>
      <c r="AK4" s="25"/>
      <c r="AL4" s="25"/>
      <c r="AM4" s="25"/>
      <c r="AN4" s="25"/>
      <c r="AO4" s="25" t="s">
        <v>216</v>
      </c>
      <c r="AP4" s="25"/>
      <c r="AQ4" s="25"/>
      <c r="AR4" s="25"/>
      <c r="AS4" s="25"/>
      <c r="AT4" s="25"/>
      <c r="AU4" s="25"/>
      <c r="AV4" s="25" t="s">
        <v>217</v>
      </c>
      <c r="AW4" s="25"/>
      <c r="AX4" s="25"/>
      <c r="AY4" s="25"/>
      <c r="AZ4" s="25"/>
      <c r="BA4" s="25"/>
      <c r="BB4" s="25"/>
      <c r="BC4" s="25" t="s">
        <v>218</v>
      </c>
      <c r="BD4" s="25"/>
      <c r="BE4" s="25"/>
      <c r="BF4" s="25"/>
      <c r="BG4" s="25"/>
      <c r="BH4" s="25"/>
      <c r="BI4" s="25"/>
      <c r="BJ4" s="25" t="s">
        <v>219</v>
      </c>
      <c r="BK4" s="25"/>
      <c r="BL4" s="25"/>
      <c r="BM4" s="25"/>
      <c r="BN4" s="25"/>
      <c r="BO4" s="25"/>
      <c r="BP4" s="25"/>
      <c r="BQ4" s="25" t="s">
        <v>220</v>
      </c>
      <c r="BR4" s="25"/>
      <c r="BS4" s="25"/>
      <c r="BT4" s="25"/>
      <c r="BU4" s="25"/>
      <c r="BV4" s="25"/>
      <c r="BW4" s="25"/>
      <c r="BX4" s="25" t="s">
        <v>221</v>
      </c>
      <c r="BY4" s="25"/>
      <c r="BZ4" s="25"/>
      <c r="CA4" s="25"/>
      <c r="CB4" s="25"/>
      <c r="CC4" s="25"/>
      <c r="CD4" s="25"/>
      <c r="CE4" s="25" t="s">
        <v>222</v>
      </c>
      <c r="CF4" s="25"/>
      <c r="CG4" s="25"/>
      <c r="CH4" s="25"/>
      <c r="CI4" s="25"/>
      <c r="CJ4" s="25"/>
      <c r="CK4" s="25"/>
      <c r="CL4" s="25" t="s">
        <v>223</v>
      </c>
      <c r="CM4" s="25"/>
      <c r="CN4" s="25"/>
      <c r="CO4" s="25"/>
      <c r="CP4" s="25"/>
      <c r="CQ4" s="25"/>
      <c r="CR4" s="25"/>
      <c r="CS4" s="25" t="s">
        <v>224</v>
      </c>
      <c r="CT4" s="25"/>
      <c r="CU4" s="25"/>
      <c r="CV4" s="25"/>
      <c r="CW4" s="25"/>
      <c r="CX4" s="25"/>
      <c r="CY4" s="25"/>
      <c r="CZ4" s="25" t="s">
        <v>225</v>
      </c>
      <c r="DA4" s="25"/>
      <c r="DB4" s="25"/>
      <c r="DC4" s="25"/>
      <c r="DD4" s="25"/>
      <c r="DE4" s="25"/>
      <c r="DF4" s="25"/>
      <c r="DG4" s="25" t="s">
        <v>226</v>
      </c>
      <c r="DH4" s="25"/>
      <c r="DI4" s="25"/>
      <c r="DJ4" s="25"/>
      <c r="DK4" s="25"/>
      <c r="DL4" s="25"/>
      <c r="DM4" s="25"/>
      <c r="DN4" s="25" t="s">
        <v>227</v>
      </c>
      <c r="DO4" s="25"/>
      <c r="DP4" s="25"/>
      <c r="DQ4" s="25"/>
      <c r="DR4" s="25"/>
      <c r="DS4" s="25"/>
      <c r="DT4" s="25"/>
      <c r="DU4" s="25" t="s">
        <v>228</v>
      </c>
      <c r="DV4" s="25"/>
      <c r="DW4" s="25"/>
      <c r="DX4" s="25"/>
      <c r="DY4" s="25"/>
      <c r="DZ4" s="25"/>
      <c r="EA4" s="25"/>
      <c r="EB4" s="25" t="s">
        <v>229</v>
      </c>
      <c r="EC4" s="25"/>
      <c r="ED4" s="25"/>
      <c r="EE4" s="25"/>
      <c r="EF4" s="25"/>
      <c r="EG4" s="25"/>
      <c r="EH4" s="25"/>
      <c r="EI4" s="25" t="s">
        <v>238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161</v>
      </c>
      <c r="B5" s="17" t="s">
        <v>170</v>
      </c>
      <c r="C5" s="17" t="s">
        <v>163</v>
      </c>
      <c r="D5" s="17" t="s">
        <v>164</v>
      </c>
      <c r="E5" s="17" t="s">
        <v>171</v>
      </c>
      <c r="F5" s="17" t="s">
        <v>196</v>
      </c>
      <c r="G5" s="17" t="s">
        <v>247</v>
      </c>
      <c r="H5" s="17" t="s">
        <v>240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196</v>
      </c>
      <c r="N5" s="17" t="s">
        <v>247</v>
      </c>
      <c r="O5" s="17" t="s">
        <v>240</v>
      </c>
      <c r="P5" s="17" t="s">
        <v>248</v>
      </c>
      <c r="Q5" s="17" t="s">
        <v>249</v>
      </c>
      <c r="R5" s="17" t="s">
        <v>250</v>
      </c>
      <c r="S5" s="17" t="s">
        <v>251</v>
      </c>
      <c r="T5" s="17" t="s">
        <v>196</v>
      </c>
      <c r="U5" s="17" t="s">
        <v>247</v>
      </c>
      <c r="V5" s="17" t="s">
        <v>240</v>
      </c>
      <c r="W5" s="17" t="s">
        <v>248</v>
      </c>
      <c r="X5" s="17" t="s">
        <v>249</v>
      </c>
      <c r="Y5" s="17" t="s">
        <v>250</v>
      </c>
      <c r="Z5" s="17" t="s">
        <v>251</v>
      </c>
      <c r="AA5" s="17" t="s">
        <v>196</v>
      </c>
      <c r="AB5" s="17" t="s">
        <v>247</v>
      </c>
      <c r="AC5" s="17" t="s">
        <v>240</v>
      </c>
      <c r="AD5" s="17" t="s">
        <v>248</v>
      </c>
      <c r="AE5" s="17" t="s">
        <v>249</v>
      </c>
      <c r="AF5" s="17" t="s">
        <v>250</v>
      </c>
      <c r="AG5" s="17" t="s">
        <v>251</v>
      </c>
      <c r="AH5" s="17" t="s">
        <v>196</v>
      </c>
      <c r="AI5" s="17" t="s">
        <v>247</v>
      </c>
      <c r="AJ5" s="17" t="s">
        <v>240</v>
      </c>
      <c r="AK5" s="17" t="s">
        <v>248</v>
      </c>
      <c r="AL5" s="17" t="s">
        <v>249</v>
      </c>
      <c r="AM5" s="17" t="s">
        <v>250</v>
      </c>
      <c r="AN5" s="17" t="s">
        <v>251</v>
      </c>
      <c r="AO5" s="17" t="s">
        <v>196</v>
      </c>
      <c r="AP5" s="17" t="s">
        <v>247</v>
      </c>
      <c r="AQ5" s="17" t="s">
        <v>240</v>
      </c>
      <c r="AR5" s="17" t="s">
        <v>248</v>
      </c>
      <c r="AS5" s="17" t="s">
        <v>249</v>
      </c>
      <c r="AT5" s="17" t="s">
        <v>250</v>
      </c>
      <c r="AU5" s="17" t="s">
        <v>251</v>
      </c>
      <c r="AV5" s="17" t="s">
        <v>196</v>
      </c>
      <c r="AW5" s="17" t="s">
        <v>247</v>
      </c>
      <c r="AX5" s="17" t="s">
        <v>240</v>
      </c>
      <c r="AY5" s="17" t="s">
        <v>248</v>
      </c>
      <c r="AZ5" s="17" t="s">
        <v>249</v>
      </c>
      <c r="BA5" s="17" t="s">
        <v>250</v>
      </c>
      <c r="BB5" s="17" t="s">
        <v>251</v>
      </c>
      <c r="BC5" s="17" t="s">
        <v>196</v>
      </c>
      <c r="BD5" s="17" t="s">
        <v>247</v>
      </c>
      <c r="BE5" s="17" t="s">
        <v>240</v>
      </c>
      <c r="BF5" s="17" t="s">
        <v>248</v>
      </c>
      <c r="BG5" s="17" t="s">
        <v>249</v>
      </c>
      <c r="BH5" s="17" t="s">
        <v>250</v>
      </c>
      <c r="BI5" s="17" t="s">
        <v>251</v>
      </c>
      <c r="BJ5" s="17" t="s">
        <v>196</v>
      </c>
      <c r="BK5" s="17" t="s">
        <v>247</v>
      </c>
      <c r="BL5" s="17" t="s">
        <v>240</v>
      </c>
      <c r="BM5" s="17" t="s">
        <v>248</v>
      </c>
      <c r="BN5" s="17" t="s">
        <v>249</v>
      </c>
      <c r="BO5" s="17" t="s">
        <v>250</v>
      </c>
      <c r="BP5" s="17" t="s">
        <v>251</v>
      </c>
      <c r="BQ5" s="17" t="s">
        <v>196</v>
      </c>
      <c r="BR5" s="17" t="s">
        <v>247</v>
      </c>
      <c r="BS5" s="17" t="s">
        <v>240</v>
      </c>
      <c r="BT5" s="17" t="s">
        <v>248</v>
      </c>
      <c r="BU5" s="17" t="s">
        <v>249</v>
      </c>
      <c r="BV5" s="17" t="s">
        <v>250</v>
      </c>
      <c r="BW5" s="17" t="s">
        <v>251</v>
      </c>
      <c r="BX5" s="17" t="s">
        <v>196</v>
      </c>
      <c r="BY5" s="17" t="s">
        <v>247</v>
      </c>
      <c r="BZ5" s="17" t="s">
        <v>240</v>
      </c>
      <c r="CA5" s="17" t="s">
        <v>248</v>
      </c>
      <c r="CB5" s="17" t="s">
        <v>249</v>
      </c>
      <c r="CC5" s="17" t="s">
        <v>250</v>
      </c>
      <c r="CD5" s="17" t="s">
        <v>251</v>
      </c>
      <c r="CE5" s="17" t="s">
        <v>196</v>
      </c>
      <c r="CF5" s="17" t="s">
        <v>247</v>
      </c>
      <c r="CG5" s="17" t="s">
        <v>240</v>
      </c>
      <c r="CH5" s="17" t="s">
        <v>248</v>
      </c>
      <c r="CI5" s="17" t="s">
        <v>249</v>
      </c>
      <c r="CJ5" s="17" t="s">
        <v>250</v>
      </c>
      <c r="CK5" s="17" t="s">
        <v>251</v>
      </c>
      <c r="CL5" s="17" t="s">
        <v>196</v>
      </c>
      <c r="CM5" s="17" t="s">
        <v>247</v>
      </c>
      <c r="CN5" s="17" t="s">
        <v>240</v>
      </c>
      <c r="CO5" s="17" t="s">
        <v>248</v>
      </c>
      <c r="CP5" s="17" t="s">
        <v>249</v>
      </c>
      <c r="CQ5" s="17" t="s">
        <v>250</v>
      </c>
      <c r="CR5" s="17" t="s">
        <v>251</v>
      </c>
      <c r="CS5" s="17" t="s">
        <v>196</v>
      </c>
      <c r="CT5" s="17" t="s">
        <v>247</v>
      </c>
      <c r="CU5" s="17" t="s">
        <v>240</v>
      </c>
      <c r="CV5" s="17" t="s">
        <v>248</v>
      </c>
      <c r="CW5" s="17" t="s">
        <v>249</v>
      </c>
      <c r="CX5" s="17" t="s">
        <v>250</v>
      </c>
      <c r="CY5" s="17" t="s">
        <v>251</v>
      </c>
      <c r="CZ5" s="17" t="s">
        <v>196</v>
      </c>
      <c r="DA5" s="17" t="s">
        <v>247</v>
      </c>
      <c r="DB5" s="17" t="s">
        <v>240</v>
      </c>
      <c r="DC5" s="17" t="s">
        <v>248</v>
      </c>
      <c r="DD5" s="17" t="s">
        <v>249</v>
      </c>
      <c r="DE5" s="17" t="s">
        <v>250</v>
      </c>
      <c r="DF5" s="17" t="s">
        <v>251</v>
      </c>
      <c r="DG5" s="17" t="s">
        <v>196</v>
      </c>
      <c r="DH5" s="17" t="s">
        <v>247</v>
      </c>
      <c r="DI5" s="17" t="s">
        <v>240</v>
      </c>
      <c r="DJ5" s="17" t="s">
        <v>248</v>
      </c>
      <c r="DK5" s="17" t="s">
        <v>249</v>
      </c>
      <c r="DL5" s="17" t="s">
        <v>250</v>
      </c>
      <c r="DM5" s="17" t="s">
        <v>251</v>
      </c>
      <c r="DN5" s="17" t="s">
        <v>196</v>
      </c>
      <c r="DO5" s="17" t="s">
        <v>247</v>
      </c>
      <c r="DP5" s="17" t="s">
        <v>240</v>
      </c>
      <c r="DQ5" s="17" t="s">
        <v>248</v>
      </c>
      <c r="DR5" s="17" t="s">
        <v>249</v>
      </c>
      <c r="DS5" s="17" t="s">
        <v>250</v>
      </c>
      <c r="DT5" s="17" t="s">
        <v>251</v>
      </c>
      <c r="DU5" s="17" t="s">
        <v>196</v>
      </c>
      <c r="DV5" s="17" t="s">
        <v>247</v>
      </c>
      <c r="DW5" s="17" t="s">
        <v>240</v>
      </c>
      <c r="DX5" s="17" t="s">
        <v>248</v>
      </c>
      <c r="DY5" s="17" t="s">
        <v>249</v>
      </c>
      <c r="DZ5" s="17" t="s">
        <v>250</v>
      </c>
      <c r="EA5" s="17" t="s">
        <v>251</v>
      </c>
      <c r="EB5" s="17" t="s">
        <v>196</v>
      </c>
      <c r="EC5" s="17" t="s">
        <v>247</v>
      </c>
      <c r="ED5" s="17" t="s">
        <v>240</v>
      </c>
      <c r="EE5" s="17" t="s">
        <v>248</v>
      </c>
      <c r="EF5" s="17" t="s">
        <v>249</v>
      </c>
      <c r="EG5" s="17" t="s">
        <v>250</v>
      </c>
      <c r="EH5" s="17" t="s">
        <v>251</v>
      </c>
      <c r="EI5" s="17" t="s">
        <v>196</v>
      </c>
      <c r="EJ5" s="17" t="s">
        <v>247</v>
      </c>
      <c r="EK5" s="17" t="s">
        <v>240</v>
      </c>
      <c r="EL5" s="17" t="s">
        <v>248</v>
      </c>
      <c r="EM5" s="17" t="s">
        <v>249</v>
      </c>
      <c r="EN5" s="17" t="s">
        <v>250</v>
      </c>
      <c r="EO5" s="17" t="s">
        <v>251</v>
      </c>
    </row>
    <row r="6" spans="1:145" x14ac:dyDescent="0.25">
      <c r="A6" s="35" t="s">
        <v>244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254</v>
      </c>
      <c r="C6" s="25"/>
      <c r="D6" s="25"/>
      <c r="E6" s="25"/>
      <c r="F6" s="25" t="s">
        <v>255</v>
      </c>
      <c r="G6" s="25"/>
      <c r="H6" s="25"/>
      <c r="I6" s="25" t="s">
        <v>256</v>
      </c>
      <c r="J6" s="25"/>
      <c r="K6" s="25"/>
      <c r="L6" s="25" t="s">
        <v>257</v>
      </c>
      <c r="M6" s="25"/>
      <c r="N6" s="25"/>
      <c r="O6" s="25" t="s">
        <v>258</v>
      </c>
      <c r="P6" s="25"/>
      <c r="Q6" s="25"/>
      <c r="R6" s="25" t="s">
        <v>259</v>
      </c>
      <c r="S6" s="25"/>
      <c r="T6" s="25"/>
      <c r="U6" s="25" t="s">
        <v>260</v>
      </c>
      <c r="V6" s="25"/>
      <c r="W6" s="25"/>
      <c r="X6" s="25" t="s">
        <v>261</v>
      </c>
      <c r="Y6" s="25"/>
      <c r="Z6" s="25"/>
      <c r="AA6" s="25" t="s">
        <v>262</v>
      </c>
      <c r="AB6" s="25"/>
      <c r="AC6" s="25"/>
      <c r="AD6" s="25" t="s">
        <v>263</v>
      </c>
      <c r="AE6" s="25"/>
      <c r="AF6" s="25"/>
      <c r="AG6" s="25" t="s">
        <v>264</v>
      </c>
      <c r="AH6" s="25"/>
      <c r="AI6" s="25"/>
      <c r="AJ6" s="25" t="s">
        <v>265</v>
      </c>
      <c r="AK6" s="25"/>
      <c r="AL6" s="25"/>
      <c r="AM6" s="25" t="s">
        <v>266</v>
      </c>
      <c r="AN6" s="25"/>
      <c r="AO6" s="25"/>
      <c r="AP6" s="25" t="s">
        <v>267</v>
      </c>
      <c r="AQ6" s="25"/>
      <c r="AR6" s="25"/>
      <c r="AS6" s="25" t="s">
        <v>268</v>
      </c>
      <c r="AT6" s="25"/>
      <c r="AU6" s="25"/>
      <c r="AV6" s="25" t="s">
        <v>269</v>
      </c>
      <c r="AW6" s="25"/>
      <c r="AX6" s="25"/>
      <c r="AY6" s="25" t="s">
        <v>270</v>
      </c>
      <c r="AZ6" s="25"/>
      <c r="BA6" s="25"/>
      <c r="BB6" s="25" t="s">
        <v>271</v>
      </c>
      <c r="BC6" s="25"/>
      <c r="BD6" s="25"/>
      <c r="BE6" s="25" t="s">
        <v>272</v>
      </c>
      <c r="BF6" s="25"/>
      <c r="BG6" s="25"/>
      <c r="BH6" s="25" t="s">
        <v>273</v>
      </c>
      <c r="BI6" s="25"/>
      <c r="BJ6" s="25"/>
      <c r="BK6" s="25" t="s">
        <v>274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275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276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277</v>
      </c>
      <c r="DQ6" s="25"/>
      <c r="DR6" s="25"/>
      <c r="DS6" s="25"/>
      <c r="DT6" s="25"/>
      <c r="DU6" s="25" t="s">
        <v>278</v>
      </c>
      <c r="DV6" s="25"/>
      <c r="DW6" s="25"/>
      <c r="DX6" s="25"/>
      <c r="DY6" s="25"/>
      <c r="DZ6" s="25"/>
    </row>
    <row r="7" ht="26" customHeight="1" spans="2:130" x14ac:dyDescent="0.25">
      <c r="B7" s="17" t="s">
        <v>279</v>
      </c>
      <c r="C7" s="17" t="s">
        <v>280</v>
      </c>
      <c r="D7" s="17" t="s">
        <v>281</v>
      </c>
      <c r="E7" s="17" t="s">
        <v>282</v>
      </c>
      <c r="F7" s="17" t="s">
        <v>201</v>
      </c>
      <c r="G7" s="17" t="s">
        <v>283</v>
      </c>
      <c r="H7" s="17" t="s">
        <v>284</v>
      </c>
      <c r="I7" s="17" t="s">
        <v>201</v>
      </c>
      <c r="J7" s="17" t="s">
        <v>283</v>
      </c>
      <c r="K7" s="17" t="s">
        <v>284</v>
      </c>
      <c r="L7" s="17" t="s">
        <v>201</v>
      </c>
      <c r="M7" s="17" t="s">
        <v>283</v>
      </c>
      <c r="N7" s="17" t="s">
        <v>284</v>
      </c>
      <c r="O7" s="17" t="s">
        <v>201</v>
      </c>
      <c r="P7" s="17" t="s">
        <v>283</v>
      </c>
      <c r="Q7" s="17" t="s">
        <v>284</v>
      </c>
      <c r="R7" s="17" t="s">
        <v>201</v>
      </c>
      <c r="S7" s="17" t="s">
        <v>283</v>
      </c>
      <c r="T7" s="17" t="s">
        <v>284</v>
      </c>
      <c r="U7" s="17" t="s">
        <v>201</v>
      </c>
      <c r="V7" s="17" t="s">
        <v>283</v>
      </c>
      <c r="W7" s="17" t="s">
        <v>284</v>
      </c>
      <c r="X7" s="17" t="s">
        <v>201</v>
      </c>
      <c r="Y7" s="17" t="s">
        <v>283</v>
      </c>
      <c r="Z7" s="17" t="s">
        <v>284</v>
      </c>
      <c r="AA7" s="17" t="s">
        <v>201</v>
      </c>
      <c r="AB7" s="17" t="s">
        <v>283</v>
      </c>
      <c r="AC7" s="17" t="s">
        <v>284</v>
      </c>
      <c r="AD7" s="17" t="s">
        <v>201</v>
      </c>
      <c r="AE7" s="17" t="s">
        <v>283</v>
      </c>
      <c r="AF7" s="17" t="s">
        <v>284</v>
      </c>
      <c r="AG7" s="17" t="s">
        <v>201</v>
      </c>
      <c r="AH7" s="17" t="s">
        <v>283</v>
      </c>
      <c r="AI7" s="17" t="s">
        <v>284</v>
      </c>
      <c r="AJ7" s="17" t="s">
        <v>201</v>
      </c>
      <c r="AK7" s="17" t="s">
        <v>283</v>
      </c>
      <c r="AL7" s="17" t="s">
        <v>284</v>
      </c>
      <c r="AM7" s="17" t="s">
        <v>201</v>
      </c>
      <c r="AN7" s="17" t="s">
        <v>283</v>
      </c>
      <c r="AO7" s="17" t="s">
        <v>284</v>
      </c>
      <c r="AP7" s="17" t="s">
        <v>201</v>
      </c>
      <c r="AQ7" s="17" t="s">
        <v>283</v>
      </c>
      <c r="AR7" s="17" t="s">
        <v>284</v>
      </c>
      <c r="AS7" s="17" t="s">
        <v>201</v>
      </c>
      <c r="AT7" s="17" t="s">
        <v>283</v>
      </c>
      <c r="AU7" s="17" t="s">
        <v>284</v>
      </c>
      <c r="AV7" s="17" t="s">
        <v>201</v>
      </c>
      <c r="AW7" s="17" t="s">
        <v>283</v>
      </c>
      <c r="AX7" s="17" t="s">
        <v>284</v>
      </c>
      <c r="AY7" s="17" t="s">
        <v>201</v>
      </c>
      <c r="AZ7" s="17" t="s">
        <v>283</v>
      </c>
      <c r="BA7" s="17" t="s">
        <v>284</v>
      </c>
      <c r="BB7" s="17" t="s">
        <v>201</v>
      </c>
      <c r="BC7" s="17" t="s">
        <v>283</v>
      </c>
      <c r="BD7" s="17" t="s">
        <v>284</v>
      </c>
      <c r="BE7" s="17" t="s">
        <v>201</v>
      </c>
      <c r="BF7" s="17" t="s">
        <v>283</v>
      </c>
      <c r="BG7" s="17" t="s">
        <v>284</v>
      </c>
      <c r="BH7" s="17" t="s">
        <v>201</v>
      </c>
      <c r="BI7" s="17" t="s">
        <v>283</v>
      </c>
      <c r="BJ7" s="17" t="s">
        <v>284</v>
      </c>
      <c r="BK7" s="17" t="s">
        <v>210</v>
      </c>
      <c r="BL7" s="17" t="s">
        <v>212</v>
      </c>
      <c r="BM7" s="17" t="s">
        <v>213</v>
      </c>
      <c r="BN7" s="17" t="s">
        <v>214</v>
      </c>
      <c r="BO7" s="17" t="s">
        <v>215</v>
      </c>
      <c r="BP7" s="17" t="s">
        <v>216</v>
      </c>
      <c r="BQ7" s="17" t="s">
        <v>217</v>
      </c>
      <c r="BR7" s="17" t="s">
        <v>218</v>
      </c>
      <c r="BS7" s="17" t="s">
        <v>219</v>
      </c>
      <c r="BT7" s="17" t="s">
        <v>220</v>
      </c>
      <c r="BU7" s="17" t="s">
        <v>221</v>
      </c>
      <c r="BV7" s="17" t="s">
        <v>222</v>
      </c>
      <c r="BW7" s="17" t="s">
        <v>223</v>
      </c>
      <c r="BX7" s="17" t="s">
        <v>224</v>
      </c>
      <c r="BY7" s="17" t="s">
        <v>225</v>
      </c>
      <c r="BZ7" s="17" t="s">
        <v>226</v>
      </c>
      <c r="CA7" s="17" t="s">
        <v>227</v>
      </c>
      <c r="CB7" s="17" t="s">
        <v>228</v>
      </c>
      <c r="CC7" s="17" t="s">
        <v>229</v>
      </c>
      <c r="CD7" s="17" t="s">
        <v>210</v>
      </c>
      <c r="CE7" s="17" t="s">
        <v>212</v>
      </c>
      <c r="CF7" s="17" t="s">
        <v>213</v>
      </c>
      <c r="CG7" s="17" t="s">
        <v>214</v>
      </c>
      <c r="CH7" s="17" t="s">
        <v>215</v>
      </c>
      <c r="CI7" s="17" t="s">
        <v>216</v>
      </c>
      <c r="CJ7" s="17" t="s">
        <v>217</v>
      </c>
      <c r="CK7" s="17" t="s">
        <v>218</v>
      </c>
      <c r="CL7" s="17" t="s">
        <v>219</v>
      </c>
      <c r="CM7" s="17" t="s">
        <v>220</v>
      </c>
      <c r="CN7" s="17" t="s">
        <v>221</v>
      </c>
      <c r="CO7" s="17" t="s">
        <v>222</v>
      </c>
      <c r="CP7" s="17" t="s">
        <v>223</v>
      </c>
      <c r="CQ7" s="17" t="s">
        <v>224</v>
      </c>
      <c r="CR7" s="17" t="s">
        <v>225</v>
      </c>
      <c r="CS7" s="17" t="s">
        <v>226</v>
      </c>
      <c r="CT7" s="17" t="s">
        <v>227</v>
      </c>
      <c r="CU7" s="17" t="s">
        <v>228</v>
      </c>
      <c r="CV7" s="17" t="s">
        <v>229</v>
      </c>
      <c r="CW7" s="17" t="s">
        <v>210</v>
      </c>
      <c r="CX7" s="17" t="s">
        <v>212</v>
      </c>
      <c r="CY7" s="17" t="s">
        <v>213</v>
      </c>
      <c r="CZ7" s="17" t="s">
        <v>214</v>
      </c>
      <c r="DA7" s="17" t="s">
        <v>215</v>
      </c>
      <c r="DB7" s="17" t="s">
        <v>216</v>
      </c>
      <c r="DC7" s="17" t="s">
        <v>217</v>
      </c>
      <c r="DD7" s="17" t="s">
        <v>218</v>
      </c>
      <c r="DE7" s="17" t="s">
        <v>219</v>
      </c>
      <c r="DF7" s="17" t="s">
        <v>220</v>
      </c>
      <c r="DG7" s="17" t="s">
        <v>221</v>
      </c>
      <c r="DH7" s="17" t="s">
        <v>222</v>
      </c>
      <c r="DI7" s="17" t="s">
        <v>223</v>
      </c>
      <c r="DJ7" s="17" t="s">
        <v>224</v>
      </c>
      <c r="DK7" s="17" t="s">
        <v>225</v>
      </c>
      <c r="DL7" s="17" t="s">
        <v>226</v>
      </c>
      <c r="DM7" s="17" t="s">
        <v>227</v>
      </c>
      <c r="DN7" s="17" t="s">
        <v>228</v>
      </c>
      <c r="DO7" s="17" t="s">
        <v>229</v>
      </c>
      <c r="DP7" s="43" t="s">
        <v>285</v>
      </c>
      <c r="DQ7" s="43" t="s">
        <v>286</v>
      </c>
      <c r="DR7" s="43" t="s">
        <v>205</v>
      </c>
      <c r="DS7" s="43" t="s">
        <v>206</v>
      </c>
      <c r="DT7" s="43" t="s">
        <v>207</v>
      </c>
      <c r="DU7" s="43" t="s">
        <v>287</v>
      </c>
      <c r="DV7" s="43" t="s">
        <v>288</v>
      </c>
      <c r="DW7" s="43" t="s">
        <v>289</v>
      </c>
      <c r="DX7" s="43" t="s">
        <v>290</v>
      </c>
      <c r="DY7" s="43" t="s">
        <v>291</v>
      </c>
      <c r="DZ7" s="43" t="s">
        <v>292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293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294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295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296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297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298</v>
      </c>
      <c r="E39" s="49">
        <f>theta_L</f>
      </c>
    </row>
    <row r="40" spans="2:5" x14ac:dyDescent="0.25">
      <c r="B40" t="s">
        <v>299</v>
      </c>
      <c r="E40" s="50">
        <f>COUNT(DZ8:DZ31)</f>
      </c>
    </row>
    <row r="41" spans="2:5" x14ac:dyDescent="0.25">
      <c r="B41" t="s">
        <v>300</v>
      </c>
      <c r="E41" s="51">
        <f>IF(COUNT(DZ8:DZ31)=0,"no crossing",MIN(DZ8:DZ31))</f>
      </c>
    </row>
    <row r="42" spans="2:5" x14ac:dyDescent="0.25">
      <c r="B42" t="s">
        <v>301</v>
      </c>
      <c r="E42" s="51">
        <f>IF(ISNUMBER(Mb),Mb*COS(RADIANS(theta_L)),"n/a")</f>
      </c>
    </row>
    <row r="43" spans="2:5" x14ac:dyDescent="0.25">
      <c r="B43" t="s">
        <v>302</v>
      </c>
      <c r="E43" s="51">
        <f>IF(ISNUMBER(Mb),Mb*SIN(RADIANS(theta_L)),"n/a")</f>
      </c>
    </row>
    <row r="44" spans="2:5" x14ac:dyDescent="0.25">
      <c r="B44" t="s">
        <v>303</v>
      </c>
      <c r="E44" s="51">
        <f>Mu</f>
      </c>
    </row>
    <row r="45" spans="2:5" x14ac:dyDescent="0.25">
      <c r="B45" t="s">
        <v>304</v>
      </c>
      <c r="E45" s="52">
        <f>IF(ISNUMBER(Mb),IF(Mb&lt;=0,"n/a",Mu/Mb),"n/a")</f>
      </c>
    </row>
    <row r="46" spans="2:2" x14ac:dyDescent="0.25">
      <c r="B46" s="5" t="s">
        <v>305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298</v>
      </c>
      <c r="C5" s="11">
        <f>theta_L</f>
      </c>
    </row>
    <row r="6" spans="2:4" x14ac:dyDescent="0.25">
      <c r="B6" t="s">
        <v>308</v>
      </c>
      <c r="C6" s="11">
        <f>beta</f>
      </c>
      <c r="D6" s="5" t="s">
        <v>309</v>
      </c>
    </row>
    <row r="7" spans="2:4" x14ac:dyDescent="0.25">
      <c r="B7" t="s">
        <v>310</v>
      </c>
      <c r="C7" s="53">
        <f>0.000000001*MAX(MAX(MxMy_FixedP!$CD$8:$CV$32),-MIN(MxMy_FixedP!$CD$8:$CV$32),MAX(MxMy_FixedP!$CW$8:$DO$32),-MIN(MxMy_FixedP!$CW$8:$DO$32))</f>
      </c>
      <c r="D7" s="5" t="s">
        <v>311</v>
      </c>
    </row>
    <row r="8" spans="2:10" x14ac:dyDescent="0.25">
      <c r="B8" s="25" t="s">
        <v>312</v>
      </c>
      <c r="C8" s="25"/>
      <c r="D8" s="25" t="s">
        <v>313</v>
      </c>
      <c r="E8" s="25"/>
      <c r="F8" s="25"/>
      <c r="G8" s="25" t="s">
        <v>314</v>
      </c>
      <c r="H8" s="25"/>
      <c r="I8" s="25"/>
      <c r="J8" s="25" t="s">
        <v>315</v>
      </c>
    </row>
    <row r="9" ht="26" customHeight="1" spans="2:10" x14ac:dyDescent="0.25">
      <c r="B9" s="17" t="s">
        <v>193</v>
      </c>
      <c r="C9" s="17" t="s">
        <v>316</v>
      </c>
      <c r="D9" s="17" t="s">
        <v>317</v>
      </c>
      <c r="E9" s="17" t="s">
        <v>204</v>
      </c>
      <c r="F9" s="17" t="s">
        <v>318</v>
      </c>
      <c r="G9" s="17" t="s">
        <v>317</v>
      </c>
      <c r="H9" s="17" t="s">
        <v>204</v>
      </c>
      <c r="I9" s="17" t="s">
        <v>318</v>
      </c>
      <c r="J9" s="17" t="s">
        <v>319</v>
      </c>
    </row>
    <row r="10" spans="2:11" x14ac:dyDescent="0.25">
      <c r="B10" s="35" t="s">
        <v>210</v>
      </c>
      <c r="C10" s="54" t="s">
        <v>320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212</v>
      </c>
      <c r="C11" s="54" t="s">
        <v>321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213</v>
      </c>
      <c r="C12" s="54" t="s">
        <v>322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214</v>
      </c>
      <c r="C13" s="54" t="s">
        <v>323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215</v>
      </c>
      <c r="C14" s="54" t="s">
        <v>324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216</v>
      </c>
      <c r="C15" s="54" t="s">
        <v>325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217</v>
      </c>
      <c r="C16" s="54" t="s">
        <v>326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218</v>
      </c>
      <c r="C17" s="54" t="s">
        <v>327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219</v>
      </c>
      <c r="C18" s="54" t="s">
        <v>328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220</v>
      </c>
      <c r="C19" s="54" t="s">
        <v>329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221</v>
      </c>
      <c r="C20" s="54" t="s">
        <v>330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222</v>
      </c>
      <c r="C21" s="54" t="s">
        <v>331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223</v>
      </c>
      <c r="C22" s="54" t="s">
        <v>332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224</v>
      </c>
      <c r="C23" s="54" t="s">
        <v>333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225</v>
      </c>
      <c r="C24" s="54" t="s">
        <v>334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226</v>
      </c>
      <c r="C25" s="54" t="s">
        <v>335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227</v>
      </c>
      <c r="C26" s="54" t="s">
        <v>336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228</v>
      </c>
      <c r="C27" s="54" t="s">
        <v>337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229</v>
      </c>
      <c r="C28" s="54" t="s">
        <v>338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339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340</v>
      </c>
      <c r="C31" s="51">
        <f>Pu</f>
      </c>
    </row>
    <row r="32" spans="2:3" x14ac:dyDescent="0.25">
      <c r="B32" t="s">
        <v>341</v>
      </c>
      <c r="C32" s="51">
        <f>Mu</f>
      </c>
    </row>
    <row r="33" spans="2:3" x14ac:dyDescent="0.25">
      <c r="B33" t="s">
        <v>342</v>
      </c>
      <c r="C33" s="50">
        <f>MAX(1,MIN(18,SUMPRODUCT(--($E$10:$E$28&gt;=Pu))))</f>
      </c>
    </row>
    <row r="34" spans="2:3" x14ac:dyDescent="0.25">
      <c r="B34" t="s">
        <v>286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343</v>
      </c>
      <c r="C35" s="51">
        <f>INDEX($F$10:$F$28,C33,1)+C34*(INDEX($F$10:$F$28,C33+1,1)-INDEX($F$10:$F$28,C33,1))</f>
      </c>
    </row>
    <row r="36" spans="2:3" x14ac:dyDescent="0.25">
      <c r="B36" t="s">
        <v>344</v>
      </c>
      <c r="C36" s="51">
        <f>Mb</f>
      </c>
    </row>
    <row r="37" spans="2:3" x14ac:dyDescent="0.25">
      <c r="B37" t="s">
        <v>345</v>
      </c>
      <c r="C37" s="51">
        <f>3983.3278952420146</f>
      </c>
    </row>
    <row r="38" spans="2:3" x14ac:dyDescent="0.25">
      <c r="B38" t="s">
        <v>346</v>
      </c>
      <c r="C38" s="55">
        <f>IF(NOT(ISNUMBER(Mb)),"n/a",(MAX(C35,Mb,C37)-MIN(C35,Mb,C37))/MAX(C35,Mb,C37)*100)</f>
      </c>
    </row>
    <row r="39" spans="2:3" x14ac:dyDescent="0.25">
      <c r="B39" t="s">
        <v>347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304</v>
      </c>
      <c r="C40" s="52">
        <f>IF(C35&lt;=0,"n/a",Mu/C35)</f>
      </c>
    </row>
    <row r="42" spans="2:10" x14ac:dyDescent="0.25">
      <c r="B42" s="5" t="s">
        <v>348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349</v>
      </c>
      <c r="C1" s="1"/>
      <c r="D1" s="1"/>
      <c r="E1" s="1"/>
    </row>
    <row r="2" ht="16" customHeight="1" spans="2:5" x14ac:dyDescent="0.25">
      <c r="B2" s="2" t="s">
        <v>350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351</v>
      </c>
      <c r="C6" s="3"/>
      <c r="D6" s="3"/>
      <c r="E6" s="3"/>
    </row>
    <row r="7" spans="2:5" x14ac:dyDescent="0.25">
      <c r="B7" t="s">
        <v>201</v>
      </c>
      <c r="C7" s="57">
        <v>0.001516186005200579</v>
      </c>
      <c r="D7" t="s">
        <v>17</v>
      </c>
      <c r="E7" s="5" t="s">
        <v>352</v>
      </c>
    </row>
    <row r="8" spans="2:5" x14ac:dyDescent="0.25">
      <c r="B8" t="s">
        <v>283</v>
      </c>
      <c r="C8" s="57">
        <v>0.000002375892659229933</v>
      </c>
      <c r="D8" t="s">
        <v>353</v>
      </c>
      <c r="E8" s="5" t="s">
        <v>354</v>
      </c>
    </row>
    <row r="9" spans="2:5" x14ac:dyDescent="0.25">
      <c r="B9" t="s">
        <v>284</v>
      </c>
      <c r="C9" s="57">
        <v>6.374808514492822e-7</v>
      </c>
      <c r="D9" t="s">
        <v>353</v>
      </c>
      <c r="E9" s="5" t="s">
        <v>355</v>
      </c>
    </row>
    <row r="11" spans="2:5" x14ac:dyDescent="0.25">
      <c r="B11" t="s">
        <v>356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357</v>
      </c>
      <c r="C12" s="11">
        <f>MOD(DEGREES(ATAN2(-Eq_kx,Eq_ky)),180)</f>
      </c>
      <c r="D12" t="s">
        <v>41</v>
      </c>
      <c r="E12" s="5" t="s">
        <v>358</v>
      </c>
    </row>
    <row r="13" spans="2:5" x14ac:dyDescent="0.25">
      <c r="B13" t="s">
        <v>359</v>
      </c>
      <c r="C13" s="11">
        <f>IF(AND(Mux=0,Muy=0),0,MOD(DEGREES(ATAN2(-Mux,Muy)),180))</f>
      </c>
      <c r="D13" t="s">
        <v>41</v>
      </c>
      <c r="E13" s="5" t="s">
        <v>360</v>
      </c>
    </row>
    <row r="14" spans="2:5" x14ac:dyDescent="0.25">
      <c r="B14" t="s">
        <v>361</v>
      </c>
      <c r="C14" s="11">
        <f>MIN(ABS(C12-C13),180-ABS(C12-C13))</f>
      </c>
      <c r="D14" t="s">
        <v>41</v>
      </c>
      <c r="E14" s="5" t="s">
        <v>362</v>
      </c>
    </row>
    <row r="16" spans="2:5" x14ac:dyDescent="0.25">
      <c r="B16" s="3" t="s">
        <v>363</v>
      </c>
      <c r="C16" s="3"/>
      <c r="D16" s="3"/>
      <c r="E16" s="3"/>
    </row>
    <row r="17" spans="2:3" x14ac:dyDescent="0.25">
      <c r="B17" t="s">
        <v>364</v>
      </c>
      <c r="C17" s="10">
        <f>SUMPRODUCT(Concrete!$L$8:$L$1264,Mesh_A)/1000</f>
      </c>
    </row>
    <row r="18" spans="2:3" x14ac:dyDescent="0.25">
      <c r="B18" t="s">
        <v>365</v>
      </c>
      <c r="C18" s="10">
        <f>SUMPRODUCT(Concrete!$L$8:$L$1264,Mesh_A,Mesh_Y)/1000000</f>
      </c>
    </row>
    <row r="19" spans="2:3" x14ac:dyDescent="0.25">
      <c r="B19" t="s">
        <v>366</v>
      </c>
      <c r="C19" s="10">
        <f>SUMPRODUCT(Concrete!$L$8:$L$1264,Mesh_A,Mesh_X)/1000000</f>
      </c>
    </row>
    <row r="20" spans="2:3" x14ac:dyDescent="0.25">
      <c r="B20" t="s">
        <v>367</v>
      </c>
      <c r="C20" s="10">
        <f>Steel!EM6/1000</f>
      </c>
    </row>
    <row r="21" spans="2:3" x14ac:dyDescent="0.25">
      <c r="B21" t="s">
        <v>368</v>
      </c>
      <c r="C21" s="10">
        <f>Steel!EN6/1000000</f>
      </c>
    </row>
    <row r="22" spans="2:3" x14ac:dyDescent="0.25">
      <c r="B22" t="s">
        <v>369</v>
      </c>
      <c r="C22" s="10">
        <f>Steel!EO6/1000000</f>
      </c>
    </row>
    <row r="24" spans="2:5" x14ac:dyDescent="0.25">
      <c r="B24" s="3" t="s">
        <v>370</v>
      </c>
      <c r="C24" s="3"/>
      <c r="D24" s="3"/>
      <c r="E24" s="3"/>
    </row>
    <row r="25" spans="2:3" x14ac:dyDescent="0.25">
      <c r="B25" t="s">
        <v>371</v>
      </c>
      <c r="C25" s="39">
        <f>C17+C20</f>
      </c>
    </row>
    <row r="26" spans="2:3" x14ac:dyDescent="0.25">
      <c r="B26" t="s">
        <v>372</v>
      </c>
      <c r="C26" s="39">
        <f>C18+C21</f>
      </c>
    </row>
    <row r="27" spans="2:3" x14ac:dyDescent="0.25">
      <c r="B27" t="s">
        <v>373</v>
      </c>
      <c r="C27" s="39">
        <f>C19+C22</f>
      </c>
    </row>
    <row r="28" spans="2:3" x14ac:dyDescent="0.25">
      <c r="B28" t="s">
        <v>374</v>
      </c>
      <c r="C28" s="51">
        <f>Pu</f>
      </c>
    </row>
    <row r="29" spans="2:3" x14ac:dyDescent="0.25">
      <c r="B29" t="s">
        <v>375</v>
      </c>
      <c r="C29" s="51">
        <f>Mux</f>
      </c>
    </row>
    <row r="30" spans="2:3" x14ac:dyDescent="0.25">
      <c r="B30" t="s">
        <v>376</v>
      </c>
      <c r="C30" s="51">
        <f>Muy</f>
      </c>
    </row>
    <row r="32" spans="2:3" x14ac:dyDescent="0.25">
      <c r="B32" t="s">
        <v>377</v>
      </c>
      <c r="C32" s="11">
        <f>C25-C28</f>
      </c>
    </row>
    <row r="33" spans="2:3" x14ac:dyDescent="0.25">
      <c r="B33" t="s">
        <v>378</v>
      </c>
      <c r="C33" s="11">
        <f>C26-C29</f>
      </c>
    </row>
    <row r="34" spans="2:3" x14ac:dyDescent="0.25">
      <c r="B34" t="s">
        <v>379</v>
      </c>
      <c r="C34" s="11">
        <f>C27-C30</f>
      </c>
    </row>
    <row r="35" spans="2:3" x14ac:dyDescent="0.25">
      <c r="B35" t="s">
        <v>380</v>
      </c>
      <c r="C35" s="53">
        <f>MAX(ABS(C32)/MAX(ABS(Pu),1),ABS(C33)/MAX(ABS(Mux),1),ABS(C34)/MAX(ABS(Muy),1))</f>
      </c>
    </row>
    <row r="36" spans="2:5" x14ac:dyDescent="0.25">
      <c r="B36" t="s">
        <v>347</v>
      </c>
      <c r="C36" s="35">
        <f>IF(C35&lt;=0.0001,"in equilibrium","CHECK - the stored plane does not balance the demand")</f>
      </c>
      <c r="E36" s="5" t="s">
        <v>381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2026-08-04T13:34:55Z</dcterms:created>
  <dcterms:modified xsi:type="dcterms:W3CDTF">2026-08-04T13:34:55Z</dcterms:modified>
</cp:coreProperties>
</file>