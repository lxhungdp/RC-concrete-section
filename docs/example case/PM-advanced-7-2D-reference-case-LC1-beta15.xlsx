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fs/fyd.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fs/fyd.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fs/fyd.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fs/fyd.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fs/fyd.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<sst xmlns="http://schemas.openxmlformats.org/spreadsheetml/2006/main" count="831" uniqueCount="382">
  <si>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</si>
  <si>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</si>
  <si>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</si>
  <si>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</si>
  <si>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</si>
  <si>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</si>
  <si>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</si>
  <si>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2026-08-04 06:23:37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</si>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</sst>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</v>
      </c>
    </row>
    <row r="14" spans="2:5" x14ac:dyDescent="0.25">
      <c r="B14" s="3" t="s">
        <v>119</v>
      </c>
      <c r="C14" s="3"/>
      <c r="D14" s="3"/>
      <c r="E14" s="3"/>
    </row>
    <row r="15" spans="2:5" x14ac:dyDescent="0.25">
      <c r="B15" t="s">
        <v>120</v>
      </c>
      <c r="C15" s="15">
        <v>0.65</v>
      </c>
      <c r="D15" t="s">
        <v>17</v>
      </c>
      <c r="E15" t="s">
        <v>121</v>
      </c>
    </row>
    <row r="16" spans="2:5" x14ac:dyDescent="0.25">
      <c r="B16" t="s">
        <v>122</v>
      </c>
      <c r="C16" s="15">
        <v>0.7</v>
      </c>
      <c r="D16" t="s">
        <v>17</v>
      </c>
      <c r="E16" t="s">
        <v>123</v>
      </c>
    </row>
    <row r="17" spans="2:5" x14ac:dyDescent="0.25">
      <c r="B17" t="s">
        <v>124</v>
      </c>
      <c r="C17" s="15">
        <v>0.85</v>
      </c>
      <c r="D17" t="s">
        <v>17</v>
      </c>
      <c r="E17" t="s">
        <v>125</v>
      </c>
    </row>
    <row r="18" spans="2:5" x14ac:dyDescent="0.25">
      <c r="B18" t="s">
        <v>126</v>
      </c>
      <c r="C18" s="15">
        <v>0.005</v>
      </c>
      <c r="D18" t="s">
        <v>17</v>
      </c>
      <c r="E18" t="s">
        <v>127</v>
      </c>
    </row>
    <row r="19" spans="2:5" x14ac:dyDescent="0.25">
      <c r="B19" t="s">
        <v>128</v>
      </c>
      <c r="C19" s="15">
        <v>0.8</v>
      </c>
      <c r="D19" t="s">
        <v>17</v>
      </c>
      <c r="E19" t="s">
        <v>129</v>
      </c>
    </row>
    <row r="20" spans="2:5" x14ac:dyDescent="0.25">
      <c r="B20" t="s">
        <v>130</v>
      </c>
      <c r="C20" s="15">
        <v>0.85</v>
      </c>
      <c r="D20" t="s">
        <v>17</v>
      </c>
      <c r="E20" t="s">
        <v>129</v>
      </c>
    </row>
    <row r="21" spans="2:5" x14ac:dyDescent="0.25">
      <c r="B21" t="s">
        <v>131</v>
      </c>
      <c r="C21" s="16" t="s">
        <v>132</v>
      </c>
      <c r="D21" t="s">
        <v>11</v>
      </c>
      <c r="E21" t="s">
        <v>133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4" spans="2:5" x14ac:dyDescent="0.25">
      <c r="B24" s="3" t="s">
        <v>137</v>
      </c>
      <c r="C24" s="3"/>
      <c r="D24" s="3"/>
      <c r="E24" s="3"/>
    </row>
    <row r="25" spans="2:5" x14ac:dyDescent="0.25">
      <c r="B25" t="s">
        <v>138</v>
      </c>
      <c r="C25" s="16" t="s">
        <v>139</v>
      </c>
      <c r="D25" t="s">
        <v>11</v>
      </c>
      <c r="E25" t="s">
        <v>140</v>
      </c>
    </row>
    <row r="26" spans="2:5" x14ac:dyDescent="0.25">
      <c r="B26" t="s">
        <v>141</v>
      </c>
      <c r="C26" s="16" t="s">
        <v>57</v>
      </c>
      <c r="D26" t="s">
        <v>11</v>
      </c>
      <c r="E26" t="s">
        <v>11</v>
      </c>
    </row>
    <row r="27" spans="2:5" x14ac:dyDescent="0.25">
      <c r="B27" t="s">
        <v>142</v>
      </c>
      <c r="C27" s="15">
        <v>1.538237698212695</v>
      </c>
      <c r="D27" t="s">
        <v>17</v>
      </c>
      <c r="E27" t="s">
        <v>143</v>
      </c>
    </row>
    <row r="28" spans="2:5" x14ac:dyDescent="0.25">
      <c r="B28" t="s">
        <v>144</v>
      </c>
      <c r="C28" s="16" t="s">
        <v>145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11</v>
      </c>
      <c r="E29" t="s">
        <v>149</v>
      </c>
    </row>
    <row r="30" spans="2:5" x14ac:dyDescent="0.25">
      <c r="B30" t="s">
        <v>150</v>
      </c>
      <c r="C30" s="15">
        <v>16215.258624485536</v>
      </c>
      <c r="D30" t="s">
        <v>56</v>
      </c>
      <c r="E30" t="s">
        <v>151</v>
      </c>
    </row>
    <row r="31" spans="2:5" x14ac:dyDescent="0.25">
      <c r="B31" t="s">
        <v>152</v>
      </c>
      <c r="C31" s="15">
        <v>2414.55917258968</v>
      </c>
      <c r="D31" t="s">
        <v>59</v>
      </c>
      <c r="E31" t="s">
        <v>151</v>
      </c>
    </row>
    <row r="32" spans="2:5" x14ac:dyDescent="0.25">
      <c r="B32" t="s">
        <v>153</v>
      </c>
      <c r="C32" s="15">
        <v>930.792899796101</v>
      </c>
      <c r="D32" t="s">
        <v>59</v>
      </c>
      <c r="E32" t="s">
        <v>151</v>
      </c>
    </row>
    <row r="33" spans="2:5" x14ac:dyDescent="0.25">
      <c r="B33" t="s">
        <v>154</v>
      </c>
      <c r="C33" s="15">
        <v>0.65</v>
      </c>
      <c r="D33" t="s">
        <v>17</v>
      </c>
      <c r="E33" t="s">
        <v>155</v>
      </c>
    </row>
    <row r="34" spans="2:5" x14ac:dyDescent="0.25">
      <c r="B34" t="s">
        <v>156</v>
      </c>
      <c r="C34" s="15">
        <v>0</v>
      </c>
      <c r="D34" t="s">
        <v>17</v>
      </c>
      <c r="E34" t="s">
        <v>157</v>
      </c>
    </row>
  </sheetData>
  <mergeCells count="5">
    <mergeCell ref="B1:E1"/>
    <mergeCell ref="B2:E3"/>
    <mergeCell ref="B5:E5"/>
    <mergeCell ref="B14:E14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158</v>
      </c>
      <c r="C1" s="1"/>
      <c r="D1" s="1"/>
      <c r="E1" s="1"/>
      <c r="F1" s="1"/>
      <c r="G1" s="1"/>
      <c r="H1" s="1"/>
    </row>
    <row r="2" spans="2:2" x14ac:dyDescent="0.25">
      <c r="B2" s="5" t="s">
        <v>159</v>
      </c>
    </row>
    <row r="4" spans="2:8" x14ac:dyDescent="0.25">
      <c r="B4" s="3" t="s">
        <v>160</v>
      </c>
      <c r="C4" s="3"/>
      <c r="D4" s="3"/>
      <c r="E4" s="3"/>
      <c r="F4" s="3"/>
      <c r="G4" s="3"/>
      <c r="H4" s="3"/>
    </row>
    <row r="5" spans="2:7" x14ac:dyDescent="0.25">
      <c r="B5" s="17" t="s">
        <v>161</v>
      </c>
      <c r="C5" s="17" t="s">
        <v>162</v>
      </c>
      <c r="D5" s="17" t="s">
        <v>163</v>
      </c>
      <c r="E5" s="17" t="s">
        <v>164</v>
      </c>
      <c r="F5" s="17" t="s">
        <v>165</v>
      </c>
      <c r="G5" s="17" t="s">
        <v>166</v>
      </c>
    </row>
    <row r="6" spans="2:7" x14ac:dyDescent="0.25">
      <c r="B6">
        <v>1</v>
      </c>
      <c r="C6" t="s">
        <v>160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160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160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160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160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160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160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160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167</v>
      </c>
      <c r="F14" s="21">
        <f>SUM(F6:F13)/2</f>
      </c>
    </row>
    <row r="16" spans="2:8" x14ac:dyDescent="0.25">
      <c r="B16" s="3" t="s">
        <v>168</v>
      </c>
      <c r="C16" s="3"/>
      <c r="D16" s="3"/>
      <c r="E16" s="3"/>
      <c r="F16" s="3"/>
      <c r="G16" s="3"/>
      <c r="H16" s="3"/>
    </row>
    <row r="17" spans="2:7" x14ac:dyDescent="0.25">
      <c r="B17" s="17" t="s">
        <v>161</v>
      </c>
      <c r="C17" s="17" t="s">
        <v>162</v>
      </c>
      <c r="D17" s="17" t="s">
        <v>163</v>
      </c>
      <c r="E17" s="17" t="s">
        <v>164</v>
      </c>
      <c r="F17" s="17" t="s">
        <v>165</v>
      </c>
      <c r="G17" s="17" t="s">
        <v>166</v>
      </c>
    </row>
    <row r="18" spans="2:7" x14ac:dyDescent="0.25">
      <c r="B18">
        <v>1</v>
      </c>
      <c r="C18" t="s">
        <v>168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168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168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168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168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168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168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168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167</v>
      </c>
      <c r="F26" s="21">
        <f>SUM(F18:F25)/2</f>
      </c>
    </row>
    <row r="28" spans="2:8" x14ac:dyDescent="0.25">
      <c r="B28" s="3" t="s">
        <v>169</v>
      </c>
      <c r="C28" s="3"/>
      <c r="D28" s="3"/>
      <c r="E28" s="3"/>
      <c r="F28" s="3"/>
      <c r="G28" s="3"/>
      <c r="H28" s="3"/>
    </row>
    <row r="29" spans="2:7" x14ac:dyDescent="0.25">
      <c r="B29" s="17" t="s">
        <v>161</v>
      </c>
      <c r="C29" s="17" t="s">
        <v>162</v>
      </c>
      <c r="D29" s="17" t="s">
        <v>163</v>
      </c>
      <c r="E29" s="17" t="s">
        <v>164</v>
      </c>
      <c r="F29" s="17" t="s">
        <v>165</v>
      </c>
      <c r="G29" s="17" t="s">
        <v>166</v>
      </c>
    </row>
    <row r="30" spans="2:7" x14ac:dyDescent="0.25">
      <c r="B30">
        <v>1</v>
      </c>
      <c r="C30" t="s">
        <v>169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169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169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169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169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169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169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169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167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161</v>
      </c>
      <c r="C41" s="17" t="s">
        <v>170</v>
      </c>
      <c r="D41" s="17" t="s">
        <v>163</v>
      </c>
      <c r="E41" s="17" t="s">
        <v>164</v>
      </c>
      <c r="F41" s="17" t="s">
        <v>171</v>
      </c>
      <c r="G41" s="17" t="s">
        <v>166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172</v>
      </c>
      <c r="C61" s="3"/>
      <c r="D61" s="3"/>
      <c r="E61" s="3"/>
      <c r="F61" s="3"/>
      <c r="G61" s="3"/>
      <c r="H61" s="3"/>
    </row>
    <row r="62" spans="2:7" x14ac:dyDescent="0.25">
      <c r="B62" t="s">
        <v>173</v>
      </c>
      <c r="D62" s="21">
        <f>ABS(SUM(F6:F13)/2)+-ABS(SUM(F18:F25)/2)+-ABS(SUM(F30:F37)/2)</f>
      </c>
      <c r="E62" t="s">
        <v>71</v>
      </c>
      <c r="G62" s="5" t="s">
        <v>174</v>
      </c>
    </row>
    <row r="63" spans="2:7" x14ac:dyDescent="0.25">
      <c r="B63" t="s">
        <v>175</v>
      </c>
      <c r="D63" s="22">
        <f>MAX(G6:G13)</f>
      </c>
      <c r="E63" t="s">
        <v>46</v>
      </c>
      <c r="G63" s="5" t="s">
        <v>176</v>
      </c>
    </row>
    <row r="64" spans="2:5" x14ac:dyDescent="0.25">
      <c r="B64" t="s">
        <v>177</v>
      </c>
      <c r="D64" s="22">
        <f>MIN(G6:G13)</f>
      </c>
      <c r="E64" t="s">
        <v>46</v>
      </c>
    </row>
    <row r="65" spans="2:7" x14ac:dyDescent="0.25">
      <c r="B65" t="s">
        <v>178</v>
      </c>
      <c r="D65" s="22">
        <f>MIN(G42:G59)</f>
      </c>
      <c r="E65" t="s">
        <v>46</v>
      </c>
      <c r="G65" s="5" t="s">
        <v>179</v>
      </c>
    </row>
    <row r="66" spans="2:5" x14ac:dyDescent="0.25">
      <c r="B66" t="s">
        <v>180</v>
      </c>
      <c r="D66" s="22">
        <f>u_max-u_bar</f>
      </c>
      <c r="E66" t="s">
        <v>46</v>
      </c>
    </row>
    <row r="67" spans="2:5" x14ac:dyDescent="0.25">
      <c r="B67" t="s">
        <v>181</v>
      </c>
      <c r="D67" s="22">
        <f>u_max-u_min</f>
      </c>
      <c r="E67" t="s">
        <v>46</v>
      </c>
    </row>
    <row r="68" spans="2:5" x14ac:dyDescent="0.25">
      <c r="B68" t="s">
        <v>182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183</v>
      </c>
      <c r="B1" s="23"/>
      <c r="C1" s="23"/>
      <c r="D1" s="23"/>
    </row>
    <row r="2" ht="30" customHeight="1" spans="1:4" x14ac:dyDescent="0.25">
      <c r="A2" s="2" t="s">
        <v>184</v>
      </c>
      <c r="B2" s="2"/>
      <c r="C2" s="2"/>
      <c r="D2" s="2"/>
    </row>
    <row r="4" spans="1:4" x14ac:dyDescent="0.25">
      <c r="A4" s="24" t="s">
        <v>161</v>
      </c>
      <c r="B4" s="24" t="s">
        <v>163</v>
      </c>
      <c r="C4" s="24" t="s">
        <v>164</v>
      </c>
      <c r="D4" s="24" t="s">
        <v>185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187</v>
      </c>
    </row>
    <row r="4" spans="2:24" x14ac:dyDescent="0.25">
      <c r="B4" s="25" t="s">
        <v>188</v>
      </c>
      <c r="C4" s="25"/>
      <c r="D4" s="25"/>
      <c r="E4" s="25"/>
      <c r="F4" s="25" t="s">
        <v>189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190</v>
      </c>
      <c r="Q4" s="25"/>
      <c r="R4" s="25"/>
      <c r="S4" s="25" t="s">
        <v>191</v>
      </c>
      <c r="T4" s="25"/>
      <c r="U4" s="25"/>
      <c r="V4" s="25"/>
      <c r="W4" s="25" t="s">
        <v>192</v>
      </c>
      <c r="X4" s="25"/>
    </row>
    <row r="5" ht="30" customHeight="1" spans="2:24" x14ac:dyDescent="0.25">
      <c r="B5" s="17" t="s">
        <v>193</v>
      </c>
      <c r="C5" s="17" t="s">
        <v>194</v>
      </c>
      <c r="D5" s="17" t="s">
        <v>195</v>
      </c>
      <c r="E5" s="17" t="s">
        <v>196</v>
      </c>
      <c r="F5" s="17" t="s">
        <v>197</v>
      </c>
      <c r="G5" s="17" t="s">
        <v>198</v>
      </c>
      <c r="H5" s="17" t="s">
        <v>199</v>
      </c>
      <c r="I5" s="17" t="s">
        <v>200</v>
      </c>
      <c r="J5" s="17" t="s">
        <v>201</v>
      </c>
      <c r="K5" s="17" t="s">
        <v>202</v>
      </c>
      <c r="L5" s="17" t="s">
        <v>203</v>
      </c>
      <c r="M5" s="17" t="s">
        <v>204</v>
      </c>
      <c r="N5" s="17" t="s">
        <v>205</v>
      </c>
      <c r="O5" s="17" t="s">
        <v>206</v>
      </c>
      <c r="P5" s="17" t="s">
        <v>204</v>
      </c>
      <c r="Q5" s="17" t="s">
        <v>205</v>
      </c>
      <c r="R5" s="17" t="s">
        <v>206</v>
      </c>
      <c r="S5" s="17" t="s">
        <v>204</v>
      </c>
      <c r="T5" s="17" t="s">
        <v>205</v>
      </c>
      <c r="U5" s="17" t="s">
        <v>206</v>
      </c>
      <c r="V5" s="17" t="s">
        <v>207</v>
      </c>
      <c r="W5" s="17" t="s">
        <v>208</v>
      </c>
      <c r="X5" s="17" t="s">
        <v>209</v>
      </c>
    </row>
    <row r="7" spans="2:24" x14ac:dyDescent="0.25">
      <c r="B7" s="26" t="s">
        <v>210</v>
      </c>
      <c r="C7" s="27"/>
      <c r="D7" s="27"/>
      <c r="E7" s="27"/>
      <c r="F7" s="28" t="s">
        <v>211</v>
      </c>
      <c r="G7" s="29">
        <f>ecu</f>
      </c>
      <c r="H7" s="30" t="s">
        <v>145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212</v>
      </c>
      <c r="C8" s="36">
        <v>3</v>
      </c>
      <c r="D8" s="36"/>
      <c r="E8" s="36"/>
      <c r="F8" s="20">
        <f>u_max-C8*u_C1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213</v>
      </c>
      <c r="C9" s="36">
        <v>2</v>
      </c>
      <c r="D9" s="36"/>
      <c r="E9" s="36"/>
      <c r="F9" s="20">
        <f>u_max-C9*u_C1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33683.33834920623</v>
      </c>
      <c r="X9" s="40">
        <f>IF(ABS(W9)&lt;0.000000001,0,(S9-W9)/W9*100)</f>
      </c>
    </row>
    <row r="10" spans="2:24" x14ac:dyDescent="0.25">
      <c r="B10" s="35" t="s">
        <v>214</v>
      </c>
      <c r="C10" s="36">
        <v>1.5</v>
      </c>
      <c r="D10" s="36"/>
      <c r="E10" s="36"/>
      <c r="F10" s="20">
        <f>u_max-C10*u_C1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32195.887925811847</v>
      </c>
      <c r="X10" s="40">
        <f>IF(ABS(W10)&lt;0.000000001,0,(S10-W10)/W10*100)</f>
      </c>
    </row>
    <row r="11" spans="2:24" x14ac:dyDescent="0.25">
      <c r="B11" s="35" t="s">
        <v>215</v>
      </c>
      <c r="C11" s="36">
        <v>1.2</v>
      </c>
      <c r="D11" s="36"/>
      <c r="E11" s="36"/>
      <c r="F11" s="20">
        <f>u_max-C11*u_C1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29291.135869918773</v>
      </c>
      <c r="X11" s="40">
        <f>IF(ABS(W11)&lt;0.000000001,0,(S11-W11)/W11*100)</f>
      </c>
    </row>
    <row r="12" spans="2:24" x14ac:dyDescent="0.25">
      <c r="B12" s="35" t="s">
        <v>216</v>
      </c>
      <c r="C12" s="36"/>
      <c r="D12" s="36">
        <v>0</v>
      </c>
      <c r="E12" s="36"/>
      <c r="F12" s="20">
        <f>u_bar</f>
      </c>
      <c r="G12" s="15">
        <v>2.168404344971009e-19</v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24941.453505539637</v>
      </c>
      <c r="X12" s="40">
        <f>IF(ABS(W12)&lt;0.000000001,0,(S12-W12)/W12*100)</f>
      </c>
    </row>
    <row r="13" spans="2:24" x14ac:dyDescent="0.25">
      <c r="B13" s="35" t="s">
        <v>217</v>
      </c>
      <c r="C13" s="36"/>
      <c r="D13" s="36">
        <v>0.25</v>
      </c>
      <c r="E13" s="36"/>
      <c r="F13" s="20">
        <f>u_bar</f>
      </c>
      <c r="G13" s="15">
        <v>-0.0005</v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21079.019157045306</v>
      </c>
      <c r="X13" s="40">
        <f>IF(ABS(W13)&lt;0.000000001,0,(S13-W13)/W13*100)</f>
      </c>
    </row>
    <row r="14" spans="2:24" x14ac:dyDescent="0.25">
      <c r="B14" s="35" t="s">
        <v>218</v>
      </c>
      <c r="C14" s="36"/>
      <c r="D14" s="36">
        <v>0.5</v>
      </c>
      <c r="E14" s="36"/>
      <c r="F14" s="20">
        <f>u_bar</f>
      </c>
      <c r="G14" s="15">
        <v>-0.0009999999999999996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18153.31005527712</v>
      </c>
      <c r="X14" s="40">
        <f>IF(ABS(W14)&lt;0.000000001,0,(S14-W14)/W14*100)</f>
      </c>
    </row>
    <row r="15" spans="2:24" x14ac:dyDescent="0.25">
      <c r="B15" s="35" t="s">
        <v>219</v>
      </c>
      <c r="C15" s="36"/>
      <c r="D15" s="36">
        <v>0.75</v>
      </c>
      <c r="E15" s="36"/>
      <c r="F15" s="20">
        <f>u_bar</f>
      </c>
      <c r="G15" s="15">
        <v>-0.0015000000000000005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15853.978475694379</v>
      </c>
      <c r="X15" s="40">
        <f>IF(ABS(W15)&lt;0.000000001,0,(S15-W15)/W15*100)</f>
      </c>
    </row>
    <row r="16" spans="2:24" x14ac:dyDescent="0.25">
      <c r="B16" s="35" t="s">
        <v>220</v>
      </c>
      <c r="C16" s="36"/>
      <c r="D16" s="36">
        <v>1</v>
      </c>
      <c r="E16" s="36"/>
      <c r="F16" s="20">
        <f>u_bar</f>
      </c>
      <c r="G16" s="15">
        <v>-0.002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13872.542689247419</v>
      </c>
      <c r="X16" s="40">
        <f>IF(ABS(W16)&lt;0.000000001,0,(S16-W16)/W16*100)</f>
      </c>
    </row>
    <row r="17" spans="2:24" x14ac:dyDescent="0.25">
      <c r="B17" s="35" t="s">
        <v>221</v>
      </c>
      <c r="C17" s="36"/>
      <c r="D17" s="36"/>
      <c r="E17" s="36">
        <v>0.003</v>
      </c>
      <c r="F17" s="20">
        <f>u_bar</f>
      </c>
      <c r="G17" s="37">
        <f>-E17</f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10905.321204451915</v>
      </c>
      <c r="X17" s="40">
        <f>IF(ABS(W17)&lt;0.000000001,0,(S17-W17)/W17*100)</f>
      </c>
    </row>
    <row r="18" spans="2:24" x14ac:dyDescent="0.25">
      <c r="B18" s="35" t="s">
        <v>222</v>
      </c>
      <c r="C18" s="36"/>
      <c r="D18" s="36"/>
      <c r="E18" s="36">
        <v>0.005</v>
      </c>
      <c r="F18" s="20">
        <f>u_bar</f>
      </c>
      <c r="G18" s="37">
        <f>-E18</f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7089.749963110848</v>
      </c>
      <c r="X18" s="40">
        <f>IF(ABS(W18)&lt;0.000000001,0,(S18-W18)/W18*100)</f>
      </c>
    </row>
    <row r="19" spans="2:24" x14ac:dyDescent="0.25">
      <c r="B19" s="35" t="s">
        <v>223</v>
      </c>
      <c r="C19" s="36"/>
      <c r="D19" s="36"/>
      <c r="E19" s="36">
        <v>0.0075</v>
      </c>
      <c r="F19" s="20">
        <f>u_bar</f>
      </c>
      <c r="G19" s="37">
        <f>-E19</f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3844.8512713785385</v>
      </c>
      <c r="X19" s="40">
        <f>IF(ABS(W19)&lt;0.000000001,0,(S19-W19)/W19*100)</f>
      </c>
    </row>
    <row r="20" spans="2:24" x14ac:dyDescent="0.25">
      <c r="B20" s="35" t="s">
        <v>224</v>
      </c>
      <c r="C20" s="36"/>
      <c r="D20" s="36"/>
      <c r="E20" s="36">
        <v>0.01</v>
      </c>
      <c r="F20" s="20">
        <f>u_bar</f>
      </c>
      <c r="G20" s="37">
        <f>-E20</f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1694.8502135948982</v>
      </c>
      <c r="X20" s="40">
        <f>IF(ABS(W20)&lt;0.000000001,0,(S20-W20)/W20*100)</f>
      </c>
    </row>
    <row r="21" spans="2:24" x14ac:dyDescent="0.25">
      <c r="B21" s="35" t="s">
        <v>225</v>
      </c>
      <c r="C21" s="36"/>
      <c r="D21" s="36"/>
      <c r="E21" s="36">
        <v>0.015</v>
      </c>
      <c r="F21" s="20">
        <f>u_bar</f>
      </c>
      <c r="G21" s="37">
        <f>-E21</f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-1005.0490032452154</v>
      </c>
      <c r="X21" s="40">
        <f>IF(ABS(W21)&lt;0.000000001,0,(S21-W21)/W21*100)</f>
      </c>
    </row>
    <row r="22" spans="2:24" x14ac:dyDescent="0.25">
      <c r="B22" s="35" t="s">
        <v>226</v>
      </c>
      <c r="C22" s="36"/>
      <c r="D22" s="36"/>
      <c r="E22" s="36">
        <v>0.025</v>
      </c>
      <c r="F22" s="20">
        <f>u_bar</f>
      </c>
      <c r="G22" s="37">
        <f>-E22</f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-3748.2840444667568</v>
      </c>
      <c r="X22" s="40">
        <f>IF(ABS(W22)&lt;0.000000001,0,(S22-W22)/W22*100)</f>
      </c>
    </row>
    <row r="23" spans="2:24" x14ac:dyDescent="0.25">
      <c r="B23" s="35" t="s">
        <v>227</v>
      </c>
      <c r="C23" s="36"/>
      <c r="D23" s="36"/>
      <c r="E23" s="36">
        <v>0.03</v>
      </c>
      <c r="F23" s="20">
        <f>u_bar</f>
      </c>
      <c r="G23" s="37">
        <f>-E23</f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-4342.297402819011</v>
      </c>
      <c r="X23" s="40">
        <f>IF(ABS(W23)&lt;0.000000001,0,(S23-W23)/W23*100)</f>
      </c>
    </row>
    <row r="24" spans="2:24" x14ac:dyDescent="0.25">
      <c r="B24" s="35" t="s">
        <v>228</v>
      </c>
      <c r="C24" s="36"/>
      <c r="D24" s="36"/>
      <c r="E24" s="36">
        <v>0.05</v>
      </c>
      <c r="F24" s="20">
        <f>u_bar</f>
      </c>
      <c r="G24" s="37">
        <f>-E24</f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-5310.77508325461</v>
      </c>
      <c r="X24" s="40">
        <f>IF(ABS(W24)&lt;0.000000001,0,(S24-W24)/W24*100)</f>
      </c>
    </row>
    <row r="25" spans="2:24" x14ac:dyDescent="0.25">
      <c r="B25" s="26" t="s">
        <v>229</v>
      </c>
      <c r="C25" s="27"/>
      <c r="D25" s="27"/>
      <c r="E25" s="27"/>
      <c r="F25" s="28" t="s">
        <v>211</v>
      </c>
      <c r="G25" s="29">
        <f>etu</f>
      </c>
      <c r="H25" s="30" t="s">
        <v>145</v>
      </c>
      <c r="I25" s="31">
        <v>0</v>
      </c>
      <c r="J25" s="29">
        <f>etu</f>
      </c>
      <c r="K25" s="31">
        <f>I25*COS(RADIANS(beta))</f>
      </c>
      <c r="L25" s="31">
        <f>I25*SIN(RADIANS(beta))</f>
      </c>
      <c r="M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2">
        <f>Steel!EF6/1000</f>
      </c>
      <c r="Q25" s="32">
        <f>Steel!EG6/1000000</f>
      </c>
      <c r="R25" s="32">
        <f>Steel!EH6/1000000</f>
      </c>
      <c r="S25" s="33">
        <f>M25+P25</f>
      </c>
      <c r="T25" s="33">
        <f>N25+Q25</f>
      </c>
      <c r="U25" s="33">
        <f>O25+R25</f>
      </c>
      <c r="V25" s="32">
        <f>SQRT(T25^2+U25^2)</f>
      </c>
      <c r="W25" s="32">
        <v>-5790.583579096708</v>
      </c>
      <c r="X25" s="34">
        <f>IF(ABS(W25)&lt;0.000000001,0,(S25-W25)/W25*100)</f>
      </c>
    </row>
    <row r="27" spans="2:11" x14ac:dyDescent="0.25">
      <c r="B27" s="3" t="s">
        <v>230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231</v>
      </c>
    </row>
    <row r="29" spans="3:3" x14ac:dyDescent="0.25">
      <c r="C29" s="5" t="s">
        <v>232</v>
      </c>
    </row>
    <row r="30" spans="2:4" x14ac:dyDescent="0.25">
      <c r="B30" s="11">
        <f>beta</f>
      </c>
      <c r="C30" t="s">
        <v>233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234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235</v>
      </c>
    </row>
    <row r="3" ht="28" customHeight="1" spans="1:9" x14ac:dyDescent="0.25">
      <c r="A3" s="2" t="s">
        <v>236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237</v>
      </c>
      <c r="C4" s="41">
        <v>5</v>
      </c>
      <c r="D4" s="5">
        <f>"detail shown for station P"&amp;C4</f>
      </c>
    </row>
    <row r="5" spans="11:12" x14ac:dyDescent="0.25">
      <c r="K5" s="25" t="s">
        <v>238</v>
      </c>
      <c r="L5" s="25"/>
    </row>
    <row r="6" spans="1:12" x14ac:dyDescent="0.25">
      <c r="A6" s="17" t="s">
        <v>161</v>
      </c>
      <c r="B6" s="17" t="s">
        <v>163</v>
      </c>
      <c r="C6" s="17" t="s">
        <v>164</v>
      </c>
      <c r="D6" s="17" t="s">
        <v>185</v>
      </c>
      <c r="E6" s="17" t="s">
        <v>239</v>
      </c>
      <c r="F6" s="17" t="s">
        <v>240</v>
      </c>
      <c r="G6" s="17" t="s">
        <v>241</v>
      </c>
      <c r="H6" s="17" t="s">
        <v>242</v>
      </c>
      <c r="I6" s="17" t="s">
        <v>243</v>
      </c>
      <c r="K6" s="24" t="s">
        <v>239</v>
      </c>
      <c r="L6" s="24" t="s">
        <v>240</v>
      </c>
    </row>
    <row r="7" spans="1:9" x14ac:dyDescent="0.25">
      <c r="A7" s="35" t="s">
        <v>244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3" t="s">
        <v>245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246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5" t="s">
        <v>210</v>
      </c>
      <c r="G4" s="25"/>
      <c r="H4" s="25"/>
      <c r="I4" s="25"/>
      <c r="J4" s="25"/>
      <c r="K4" s="25"/>
      <c r="L4" s="25"/>
      <c r="M4" s="25" t="s">
        <v>212</v>
      </c>
      <c r="N4" s="25"/>
      <c r="O4" s="25"/>
      <c r="P4" s="25"/>
      <c r="Q4" s="25"/>
      <c r="R4" s="25"/>
      <c r="S4" s="25"/>
      <c r="T4" s="25" t="s">
        <v>213</v>
      </c>
      <c r="U4" s="25"/>
      <c r="V4" s="25"/>
      <c r="W4" s="25"/>
      <c r="X4" s="25"/>
      <c r="Y4" s="25"/>
      <c r="Z4" s="25"/>
      <c r="AA4" s="25" t="s">
        <v>214</v>
      </c>
      <c r="AB4" s="25"/>
      <c r="AC4" s="25"/>
      <c r="AD4" s="25"/>
      <c r="AE4" s="25"/>
      <c r="AF4" s="25"/>
      <c r="AG4" s="25"/>
      <c r="AH4" s="25" t="s">
        <v>215</v>
      </c>
      <c r="AI4" s="25"/>
      <c r="AJ4" s="25"/>
      <c r="AK4" s="25"/>
      <c r="AL4" s="25"/>
      <c r="AM4" s="25"/>
      <c r="AN4" s="25"/>
      <c r="AO4" s="25" t="s">
        <v>216</v>
      </c>
      <c r="AP4" s="25"/>
      <c r="AQ4" s="25"/>
      <c r="AR4" s="25"/>
      <c r="AS4" s="25"/>
      <c r="AT4" s="25"/>
      <c r="AU4" s="25"/>
      <c r="AV4" s="25" t="s">
        <v>217</v>
      </c>
      <c r="AW4" s="25"/>
      <c r="AX4" s="25"/>
      <c r="AY4" s="25"/>
      <c r="AZ4" s="25"/>
      <c r="BA4" s="25"/>
      <c r="BB4" s="25"/>
      <c r="BC4" s="25" t="s">
        <v>218</v>
      </c>
      <c r="BD4" s="25"/>
      <c r="BE4" s="25"/>
      <c r="BF4" s="25"/>
      <c r="BG4" s="25"/>
      <c r="BH4" s="25"/>
      <c r="BI4" s="25"/>
      <c r="BJ4" s="25" t="s">
        <v>219</v>
      </c>
      <c r="BK4" s="25"/>
      <c r="BL4" s="25"/>
      <c r="BM4" s="25"/>
      <c r="BN4" s="25"/>
      <c r="BO4" s="25"/>
      <c r="BP4" s="25"/>
      <c r="BQ4" s="25" t="s">
        <v>220</v>
      </c>
      <c r="BR4" s="25"/>
      <c r="BS4" s="25"/>
      <c r="BT4" s="25"/>
      <c r="BU4" s="25"/>
      <c r="BV4" s="25"/>
      <c r="BW4" s="25"/>
      <c r="BX4" s="25" t="s">
        <v>221</v>
      </c>
      <c r="BY4" s="25"/>
      <c r="BZ4" s="25"/>
      <c r="CA4" s="25"/>
      <c r="CB4" s="25"/>
      <c r="CC4" s="25"/>
      <c r="CD4" s="25"/>
      <c r="CE4" s="25" t="s">
        <v>222</v>
      </c>
      <c r="CF4" s="25"/>
      <c r="CG4" s="25"/>
      <c r="CH4" s="25"/>
      <c r="CI4" s="25"/>
      <c r="CJ4" s="25"/>
      <c r="CK4" s="25"/>
      <c r="CL4" s="25" t="s">
        <v>223</v>
      </c>
      <c r="CM4" s="25"/>
      <c r="CN4" s="25"/>
      <c r="CO4" s="25"/>
      <c r="CP4" s="25"/>
      <c r="CQ4" s="25"/>
      <c r="CR4" s="25"/>
      <c r="CS4" s="25" t="s">
        <v>224</v>
      </c>
      <c r="CT4" s="25"/>
      <c r="CU4" s="25"/>
      <c r="CV4" s="25"/>
      <c r="CW4" s="25"/>
      <c r="CX4" s="25"/>
      <c r="CY4" s="25"/>
      <c r="CZ4" s="25" t="s">
        <v>225</v>
      </c>
      <c r="DA4" s="25"/>
      <c r="DB4" s="25"/>
      <c r="DC4" s="25"/>
      <c r="DD4" s="25"/>
      <c r="DE4" s="25"/>
      <c r="DF4" s="25"/>
      <c r="DG4" s="25" t="s">
        <v>226</v>
      </c>
      <c r="DH4" s="25"/>
      <c r="DI4" s="25"/>
      <c r="DJ4" s="25"/>
      <c r="DK4" s="25"/>
      <c r="DL4" s="25"/>
      <c r="DM4" s="25"/>
      <c r="DN4" s="25" t="s">
        <v>227</v>
      </c>
      <c r="DO4" s="25"/>
      <c r="DP4" s="25"/>
      <c r="DQ4" s="25"/>
      <c r="DR4" s="25"/>
      <c r="DS4" s="25"/>
      <c r="DT4" s="25"/>
      <c r="DU4" s="25" t="s">
        <v>228</v>
      </c>
      <c r="DV4" s="25"/>
      <c r="DW4" s="25"/>
      <c r="DX4" s="25"/>
      <c r="DY4" s="25"/>
      <c r="DZ4" s="25"/>
      <c r="EA4" s="25"/>
      <c r="EB4" s="25" t="s">
        <v>229</v>
      </c>
      <c r="EC4" s="25"/>
      <c r="ED4" s="25"/>
      <c r="EE4" s="25"/>
      <c r="EF4" s="25"/>
      <c r="EG4" s="25"/>
      <c r="EH4" s="25"/>
      <c r="EI4" s="25" t="s">
        <v>238</v>
      </c>
      <c r="EJ4" s="25"/>
      <c r="EK4" s="25"/>
      <c r="EL4" s="25"/>
      <c r="EM4" s="25"/>
      <c r="EN4" s="25"/>
      <c r="EO4" s="25"/>
    </row>
    <row r="5" ht="28" customHeight="1" spans="1:145" x14ac:dyDescent="0.25">
      <c r="A5" s="17" t="s">
        <v>161</v>
      </c>
      <c r="B5" s="17" t="s">
        <v>170</v>
      </c>
      <c r="C5" s="17" t="s">
        <v>163</v>
      </c>
      <c r="D5" s="17" t="s">
        <v>164</v>
      </c>
      <c r="E5" s="17" t="s">
        <v>171</v>
      </c>
      <c r="F5" s="17" t="s">
        <v>196</v>
      </c>
      <c r="G5" s="17" t="s">
        <v>247</v>
      </c>
      <c r="H5" s="17" t="s">
        <v>240</v>
      </c>
      <c r="I5" s="17" t="s">
        <v>248</v>
      </c>
      <c r="J5" s="17" t="s">
        <v>249</v>
      </c>
      <c r="K5" s="17" t="s">
        <v>250</v>
      </c>
      <c r="L5" s="17" t="s">
        <v>251</v>
      </c>
      <c r="M5" s="17" t="s">
        <v>196</v>
      </c>
      <c r="N5" s="17" t="s">
        <v>247</v>
      </c>
      <c r="O5" s="17" t="s">
        <v>240</v>
      </c>
      <c r="P5" s="17" t="s">
        <v>248</v>
      </c>
      <c r="Q5" s="17" t="s">
        <v>249</v>
      </c>
      <c r="R5" s="17" t="s">
        <v>250</v>
      </c>
      <c r="S5" s="17" t="s">
        <v>251</v>
      </c>
      <c r="T5" s="17" t="s">
        <v>196</v>
      </c>
      <c r="U5" s="17" t="s">
        <v>247</v>
      </c>
      <c r="V5" s="17" t="s">
        <v>240</v>
      </c>
      <c r="W5" s="17" t="s">
        <v>248</v>
      </c>
      <c r="X5" s="17" t="s">
        <v>249</v>
      </c>
      <c r="Y5" s="17" t="s">
        <v>250</v>
      </c>
      <c r="Z5" s="17" t="s">
        <v>251</v>
      </c>
      <c r="AA5" s="17" t="s">
        <v>196</v>
      </c>
      <c r="AB5" s="17" t="s">
        <v>247</v>
      </c>
      <c r="AC5" s="17" t="s">
        <v>240</v>
      </c>
      <c r="AD5" s="17" t="s">
        <v>248</v>
      </c>
      <c r="AE5" s="17" t="s">
        <v>249</v>
      </c>
      <c r="AF5" s="17" t="s">
        <v>250</v>
      </c>
      <c r="AG5" s="17" t="s">
        <v>251</v>
      </c>
      <c r="AH5" s="17" t="s">
        <v>196</v>
      </c>
      <c r="AI5" s="17" t="s">
        <v>247</v>
      </c>
      <c r="AJ5" s="17" t="s">
        <v>240</v>
      </c>
      <c r="AK5" s="17" t="s">
        <v>248</v>
      </c>
      <c r="AL5" s="17" t="s">
        <v>249</v>
      </c>
      <c r="AM5" s="17" t="s">
        <v>250</v>
      </c>
      <c r="AN5" s="17" t="s">
        <v>251</v>
      </c>
      <c r="AO5" s="17" t="s">
        <v>196</v>
      </c>
      <c r="AP5" s="17" t="s">
        <v>247</v>
      </c>
      <c r="AQ5" s="17" t="s">
        <v>240</v>
      </c>
      <c r="AR5" s="17" t="s">
        <v>248</v>
      </c>
      <c r="AS5" s="17" t="s">
        <v>249</v>
      </c>
      <c r="AT5" s="17" t="s">
        <v>250</v>
      </c>
      <c r="AU5" s="17" t="s">
        <v>251</v>
      </c>
      <c r="AV5" s="17" t="s">
        <v>196</v>
      </c>
      <c r="AW5" s="17" t="s">
        <v>247</v>
      </c>
      <c r="AX5" s="17" t="s">
        <v>240</v>
      </c>
      <c r="AY5" s="17" t="s">
        <v>248</v>
      </c>
      <c r="AZ5" s="17" t="s">
        <v>249</v>
      </c>
      <c r="BA5" s="17" t="s">
        <v>250</v>
      </c>
      <c r="BB5" s="17" t="s">
        <v>251</v>
      </c>
      <c r="BC5" s="17" t="s">
        <v>196</v>
      </c>
      <c r="BD5" s="17" t="s">
        <v>247</v>
      </c>
      <c r="BE5" s="17" t="s">
        <v>240</v>
      </c>
      <c r="BF5" s="17" t="s">
        <v>248</v>
      </c>
      <c r="BG5" s="17" t="s">
        <v>249</v>
      </c>
      <c r="BH5" s="17" t="s">
        <v>250</v>
      </c>
      <c r="BI5" s="17" t="s">
        <v>251</v>
      </c>
      <c r="BJ5" s="17" t="s">
        <v>196</v>
      </c>
      <c r="BK5" s="17" t="s">
        <v>247</v>
      </c>
      <c r="BL5" s="17" t="s">
        <v>240</v>
      </c>
      <c r="BM5" s="17" t="s">
        <v>248</v>
      </c>
      <c r="BN5" s="17" t="s">
        <v>249</v>
      </c>
      <c r="BO5" s="17" t="s">
        <v>250</v>
      </c>
      <c r="BP5" s="17" t="s">
        <v>251</v>
      </c>
      <c r="BQ5" s="17" t="s">
        <v>196</v>
      </c>
      <c r="BR5" s="17" t="s">
        <v>247</v>
      </c>
      <c r="BS5" s="17" t="s">
        <v>240</v>
      </c>
      <c r="BT5" s="17" t="s">
        <v>248</v>
      </c>
      <c r="BU5" s="17" t="s">
        <v>249</v>
      </c>
      <c r="BV5" s="17" t="s">
        <v>250</v>
      </c>
      <c r="BW5" s="17" t="s">
        <v>251</v>
      </c>
      <c r="BX5" s="17" t="s">
        <v>196</v>
      </c>
      <c r="BY5" s="17" t="s">
        <v>247</v>
      </c>
      <c r="BZ5" s="17" t="s">
        <v>240</v>
      </c>
      <c r="CA5" s="17" t="s">
        <v>248</v>
      </c>
      <c r="CB5" s="17" t="s">
        <v>249</v>
      </c>
      <c r="CC5" s="17" t="s">
        <v>250</v>
      </c>
      <c r="CD5" s="17" t="s">
        <v>251</v>
      </c>
      <c r="CE5" s="17" t="s">
        <v>196</v>
      </c>
      <c r="CF5" s="17" t="s">
        <v>247</v>
      </c>
      <c r="CG5" s="17" t="s">
        <v>240</v>
      </c>
      <c r="CH5" s="17" t="s">
        <v>248</v>
      </c>
      <c r="CI5" s="17" t="s">
        <v>249</v>
      </c>
      <c r="CJ5" s="17" t="s">
        <v>250</v>
      </c>
      <c r="CK5" s="17" t="s">
        <v>251</v>
      </c>
      <c r="CL5" s="17" t="s">
        <v>196</v>
      </c>
      <c r="CM5" s="17" t="s">
        <v>247</v>
      </c>
      <c r="CN5" s="17" t="s">
        <v>240</v>
      </c>
      <c r="CO5" s="17" t="s">
        <v>248</v>
      </c>
      <c r="CP5" s="17" t="s">
        <v>249</v>
      </c>
      <c r="CQ5" s="17" t="s">
        <v>250</v>
      </c>
      <c r="CR5" s="17" t="s">
        <v>251</v>
      </c>
      <c r="CS5" s="17" t="s">
        <v>196</v>
      </c>
      <c r="CT5" s="17" t="s">
        <v>247</v>
      </c>
      <c r="CU5" s="17" t="s">
        <v>240</v>
      </c>
      <c r="CV5" s="17" t="s">
        <v>248</v>
      </c>
      <c r="CW5" s="17" t="s">
        <v>249</v>
      </c>
      <c r="CX5" s="17" t="s">
        <v>250</v>
      </c>
      <c r="CY5" s="17" t="s">
        <v>251</v>
      </c>
      <c r="CZ5" s="17" t="s">
        <v>196</v>
      </c>
      <c r="DA5" s="17" t="s">
        <v>247</v>
      </c>
      <c r="DB5" s="17" t="s">
        <v>240</v>
      </c>
      <c r="DC5" s="17" t="s">
        <v>248</v>
      </c>
      <c r="DD5" s="17" t="s">
        <v>249</v>
      </c>
      <c r="DE5" s="17" t="s">
        <v>250</v>
      </c>
      <c r="DF5" s="17" t="s">
        <v>251</v>
      </c>
      <c r="DG5" s="17" t="s">
        <v>196</v>
      </c>
      <c r="DH5" s="17" t="s">
        <v>247</v>
      </c>
      <c r="DI5" s="17" t="s">
        <v>240</v>
      </c>
      <c r="DJ5" s="17" t="s">
        <v>248</v>
      </c>
      <c r="DK5" s="17" t="s">
        <v>249</v>
      </c>
      <c r="DL5" s="17" t="s">
        <v>250</v>
      </c>
      <c r="DM5" s="17" t="s">
        <v>251</v>
      </c>
      <c r="DN5" s="17" t="s">
        <v>196</v>
      </c>
      <c r="DO5" s="17" t="s">
        <v>247</v>
      </c>
      <c r="DP5" s="17" t="s">
        <v>240</v>
      </c>
      <c r="DQ5" s="17" t="s">
        <v>248</v>
      </c>
      <c r="DR5" s="17" t="s">
        <v>249</v>
      </c>
      <c r="DS5" s="17" t="s">
        <v>250</v>
      </c>
      <c r="DT5" s="17" t="s">
        <v>251</v>
      </c>
      <c r="DU5" s="17" t="s">
        <v>196</v>
      </c>
      <c r="DV5" s="17" t="s">
        <v>247</v>
      </c>
      <c r="DW5" s="17" t="s">
        <v>240</v>
      </c>
      <c r="DX5" s="17" t="s">
        <v>248</v>
      </c>
      <c r="DY5" s="17" t="s">
        <v>249</v>
      </c>
      <c r="DZ5" s="17" t="s">
        <v>250</v>
      </c>
      <c r="EA5" s="17" t="s">
        <v>251</v>
      </c>
      <c r="EB5" s="17" t="s">
        <v>196</v>
      </c>
      <c r="EC5" s="17" t="s">
        <v>247</v>
      </c>
      <c r="ED5" s="17" t="s">
        <v>240</v>
      </c>
      <c r="EE5" s="17" t="s">
        <v>248</v>
      </c>
      <c r="EF5" s="17" t="s">
        <v>249</v>
      </c>
      <c r="EG5" s="17" t="s">
        <v>250</v>
      </c>
      <c r="EH5" s="17" t="s">
        <v>251</v>
      </c>
      <c r="EI5" s="17" t="s">
        <v>196</v>
      </c>
      <c r="EJ5" s="17" t="s">
        <v>247</v>
      </c>
      <c r="EK5" s="17" t="s">
        <v>240</v>
      </c>
      <c r="EL5" s="17" t="s">
        <v>248</v>
      </c>
      <c r="EM5" s="17" t="s">
        <v>249</v>
      </c>
      <c r="EN5" s="17" t="s">
        <v>250</v>
      </c>
      <c r="EO5" s="17" t="s">
        <v>251</v>
      </c>
    </row>
    <row r="6" spans="1:145" x14ac:dyDescent="0.25">
      <c r="A6" s="35" t="s">
        <v>244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</row>
    <row r="7" spans="1:145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Eq_e0+Eq_kx*$D7+Eq_ky*$C7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</row>
    <row r="8" spans="1:145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Eq_e0+Eq_kx*$D8+Eq_ky*$C8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</row>
    <row r="9" spans="1:145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Eq_e0+Eq_kx*$D9+Eq_ky*$C9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</row>
    <row r="10" spans="1:145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Eq_e0+Eq_kx*$D10+Eq_ky*$C10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</row>
    <row r="11" spans="1:145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Eq_e0+Eq_kx*$D11+Eq_ky*$C11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</row>
    <row r="12" spans="1:145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Eq_e0+Eq_kx*$D12+Eq_ky*$C12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</row>
    <row r="13" spans="1:145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Eq_e0+Eq_kx*$D13+Eq_ky*$C13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</row>
    <row r="14" spans="1:145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Eq_e0+Eq_kx*$D14+Eq_ky*$C14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</row>
    <row r="15" spans="1:145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Eq_e0+Eq_kx*$D15+Eq_ky*$C15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</row>
    <row r="16" spans="1:145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Eq_e0+Eq_kx*$D16+Eq_ky*$C16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</row>
    <row r="17" spans="1:145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Eq_e0+Eq_kx*$D17+Eq_ky*$C17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</row>
    <row r="18" spans="1:145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Eq_e0+Eq_kx*$D18+Eq_ky*$C18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</row>
    <row r="19" spans="1:145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Eq_e0+Eq_kx*$D19+Eq_ky*$C19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</row>
    <row r="20" spans="1:145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Eq_e0+Eq_kx*$D20+Eq_ky*$C20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</row>
    <row r="21" spans="1:145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Eq_e0+Eq_kx*$D21+Eq_ky*$C21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</row>
    <row r="22" spans="1:145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Eq_e0+Eq_kx*$D22+Eq_ky*$C22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</row>
    <row r="23" spans="1:145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Eq_e0+Eq_kx*$D23+Eq_ky*$C23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</row>
    <row r="24" spans="1:145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Eq_e0+Eq_kx*$D24+Eq_ky*$C24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252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253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5" t="s">
        <v>254</v>
      </c>
      <c r="C6" s="25"/>
      <c r="D6" s="25"/>
      <c r="E6" s="25"/>
      <c r="F6" s="25" t="s">
        <v>255</v>
      </c>
      <c r="G6" s="25"/>
      <c r="H6" s="25"/>
      <c r="I6" s="25" t="s">
        <v>256</v>
      </c>
      <c r="J6" s="25"/>
      <c r="K6" s="25"/>
      <c r="L6" s="25" t="s">
        <v>257</v>
      </c>
      <c r="M6" s="25"/>
      <c r="N6" s="25"/>
      <c r="O6" s="25" t="s">
        <v>258</v>
      </c>
      <c r="P6" s="25"/>
      <c r="Q6" s="25"/>
      <c r="R6" s="25" t="s">
        <v>259</v>
      </c>
      <c r="S6" s="25"/>
      <c r="T6" s="25"/>
      <c r="U6" s="25" t="s">
        <v>260</v>
      </c>
      <c r="V6" s="25"/>
      <c r="W6" s="25"/>
      <c r="X6" s="25" t="s">
        <v>261</v>
      </c>
      <c r="Y6" s="25"/>
      <c r="Z6" s="25"/>
      <c r="AA6" s="25" t="s">
        <v>262</v>
      </c>
      <c r="AB6" s="25"/>
      <c r="AC6" s="25"/>
      <c r="AD6" s="25" t="s">
        <v>263</v>
      </c>
      <c r="AE6" s="25"/>
      <c r="AF6" s="25"/>
      <c r="AG6" s="25" t="s">
        <v>264</v>
      </c>
      <c r="AH6" s="25"/>
      <c r="AI6" s="25"/>
      <c r="AJ6" s="25" t="s">
        <v>265</v>
      </c>
      <c r="AK6" s="25"/>
      <c r="AL6" s="25"/>
      <c r="AM6" s="25" t="s">
        <v>266</v>
      </c>
      <c r="AN6" s="25"/>
      <c r="AO6" s="25"/>
      <c r="AP6" s="25" t="s">
        <v>267</v>
      </c>
      <c r="AQ6" s="25"/>
      <c r="AR6" s="25"/>
      <c r="AS6" s="25" t="s">
        <v>268</v>
      </c>
      <c r="AT6" s="25"/>
      <c r="AU6" s="25"/>
      <c r="AV6" s="25" t="s">
        <v>269</v>
      </c>
      <c r="AW6" s="25"/>
      <c r="AX6" s="25"/>
      <c r="AY6" s="25" t="s">
        <v>270</v>
      </c>
      <c r="AZ6" s="25"/>
      <c r="BA6" s="25"/>
      <c r="BB6" s="25" t="s">
        <v>271</v>
      </c>
      <c r="BC6" s="25"/>
      <c r="BD6" s="25"/>
      <c r="BE6" s="25" t="s">
        <v>272</v>
      </c>
      <c r="BF6" s="25"/>
      <c r="BG6" s="25"/>
      <c r="BH6" s="25" t="s">
        <v>273</v>
      </c>
      <c r="BI6" s="25"/>
      <c r="BJ6" s="25"/>
      <c r="BK6" s="25" t="s">
        <v>274</v>
      </c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 t="s">
        <v>275</v>
      </c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 t="s">
        <v>276</v>
      </c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 t="s">
        <v>277</v>
      </c>
      <c r="DQ6" s="25"/>
      <c r="DR6" s="25"/>
      <c r="DS6" s="25"/>
      <c r="DT6" s="25"/>
      <c r="DU6" s="25" t="s">
        <v>278</v>
      </c>
      <c r="DV6" s="25"/>
      <c r="DW6" s="25"/>
      <c r="DX6" s="25"/>
      <c r="DY6" s="25"/>
      <c r="DZ6" s="25"/>
    </row>
    <row r="7" ht="26" customHeight="1" spans="2:130" x14ac:dyDescent="0.25">
      <c r="B7" s="17" t="s">
        <v>279</v>
      </c>
      <c r="C7" s="17" t="s">
        <v>280</v>
      </c>
      <c r="D7" s="17" t="s">
        <v>281</v>
      </c>
      <c r="E7" s="17" t="s">
        <v>282</v>
      </c>
      <c r="F7" s="17" t="s">
        <v>201</v>
      </c>
      <c r="G7" s="17" t="s">
        <v>283</v>
      </c>
      <c r="H7" s="17" t="s">
        <v>284</v>
      </c>
      <c r="I7" s="17" t="s">
        <v>201</v>
      </c>
      <c r="J7" s="17" t="s">
        <v>283</v>
      </c>
      <c r="K7" s="17" t="s">
        <v>284</v>
      </c>
      <c r="L7" s="17" t="s">
        <v>201</v>
      </c>
      <c r="M7" s="17" t="s">
        <v>283</v>
      </c>
      <c r="N7" s="17" t="s">
        <v>284</v>
      </c>
      <c r="O7" s="17" t="s">
        <v>201</v>
      </c>
      <c r="P7" s="17" t="s">
        <v>283</v>
      </c>
      <c r="Q7" s="17" t="s">
        <v>284</v>
      </c>
      <c r="R7" s="17" t="s">
        <v>201</v>
      </c>
      <c r="S7" s="17" t="s">
        <v>283</v>
      </c>
      <c r="T7" s="17" t="s">
        <v>284</v>
      </c>
      <c r="U7" s="17" t="s">
        <v>201</v>
      </c>
      <c r="V7" s="17" t="s">
        <v>283</v>
      </c>
      <c r="W7" s="17" t="s">
        <v>284</v>
      </c>
      <c r="X7" s="17" t="s">
        <v>201</v>
      </c>
      <c r="Y7" s="17" t="s">
        <v>283</v>
      </c>
      <c r="Z7" s="17" t="s">
        <v>284</v>
      </c>
      <c r="AA7" s="17" t="s">
        <v>201</v>
      </c>
      <c r="AB7" s="17" t="s">
        <v>283</v>
      </c>
      <c r="AC7" s="17" t="s">
        <v>284</v>
      </c>
      <c r="AD7" s="17" t="s">
        <v>201</v>
      </c>
      <c r="AE7" s="17" t="s">
        <v>283</v>
      </c>
      <c r="AF7" s="17" t="s">
        <v>284</v>
      </c>
      <c r="AG7" s="17" t="s">
        <v>201</v>
      </c>
      <c r="AH7" s="17" t="s">
        <v>283</v>
      </c>
      <c r="AI7" s="17" t="s">
        <v>284</v>
      </c>
      <c r="AJ7" s="17" t="s">
        <v>201</v>
      </c>
      <c r="AK7" s="17" t="s">
        <v>283</v>
      </c>
      <c r="AL7" s="17" t="s">
        <v>284</v>
      </c>
      <c r="AM7" s="17" t="s">
        <v>201</v>
      </c>
      <c r="AN7" s="17" t="s">
        <v>283</v>
      </c>
      <c r="AO7" s="17" t="s">
        <v>284</v>
      </c>
      <c r="AP7" s="17" t="s">
        <v>201</v>
      </c>
      <c r="AQ7" s="17" t="s">
        <v>283</v>
      </c>
      <c r="AR7" s="17" t="s">
        <v>284</v>
      </c>
      <c r="AS7" s="17" t="s">
        <v>201</v>
      </c>
      <c r="AT7" s="17" t="s">
        <v>283</v>
      </c>
      <c r="AU7" s="17" t="s">
        <v>284</v>
      </c>
      <c r="AV7" s="17" t="s">
        <v>201</v>
      </c>
      <c r="AW7" s="17" t="s">
        <v>283</v>
      </c>
      <c r="AX7" s="17" t="s">
        <v>284</v>
      </c>
      <c r="AY7" s="17" t="s">
        <v>201</v>
      </c>
      <c r="AZ7" s="17" t="s">
        <v>283</v>
      </c>
      <c r="BA7" s="17" t="s">
        <v>284</v>
      </c>
      <c r="BB7" s="17" t="s">
        <v>201</v>
      </c>
      <c r="BC7" s="17" t="s">
        <v>283</v>
      </c>
      <c r="BD7" s="17" t="s">
        <v>284</v>
      </c>
      <c r="BE7" s="17" t="s">
        <v>201</v>
      </c>
      <c r="BF7" s="17" t="s">
        <v>283</v>
      </c>
      <c r="BG7" s="17" t="s">
        <v>284</v>
      </c>
      <c r="BH7" s="17" t="s">
        <v>201</v>
      </c>
      <c r="BI7" s="17" t="s">
        <v>283</v>
      </c>
      <c r="BJ7" s="17" t="s">
        <v>284</v>
      </c>
      <c r="BK7" s="17" t="s">
        <v>210</v>
      </c>
      <c r="BL7" s="17" t="s">
        <v>212</v>
      </c>
      <c r="BM7" s="17" t="s">
        <v>213</v>
      </c>
      <c r="BN7" s="17" t="s">
        <v>214</v>
      </c>
      <c r="BO7" s="17" t="s">
        <v>215</v>
      </c>
      <c r="BP7" s="17" t="s">
        <v>216</v>
      </c>
      <c r="BQ7" s="17" t="s">
        <v>217</v>
      </c>
      <c r="BR7" s="17" t="s">
        <v>218</v>
      </c>
      <c r="BS7" s="17" t="s">
        <v>219</v>
      </c>
      <c r="BT7" s="17" t="s">
        <v>220</v>
      </c>
      <c r="BU7" s="17" t="s">
        <v>221</v>
      </c>
      <c r="BV7" s="17" t="s">
        <v>222</v>
      </c>
      <c r="BW7" s="17" t="s">
        <v>223</v>
      </c>
      <c r="BX7" s="17" t="s">
        <v>224</v>
      </c>
      <c r="BY7" s="17" t="s">
        <v>225</v>
      </c>
      <c r="BZ7" s="17" t="s">
        <v>226</v>
      </c>
      <c r="CA7" s="17" t="s">
        <v>227</v>
      </c>
      <c r="CB7" s="17" t="s">
        <v>228</v>
      </c>
      <c r="CC7" s="17" t="s">
        <v>229</v>
      </c>
      <c r="CD7" s="17" t="s">
        <v>210</v>
      </c>
      <c r="CE7" s="17" t="s">
        <v>212</v>
      </c>
      <c r="CF7" s="17" t="s">
        <v>213</v>
      </c>
      <c r="CG7" s="17" t="s">
        <v>214</v>
      </c>
      <c r="CH7" s="17" t="s">
        <v>215</v>
      </c>
      <c r="CI7" s="17" t="s">
        <v>216</v>
      </c>
      <c r="CJ7" s="17" t="s">
        <v>217</v>
      </c>
      <c r="CK7" s="17" t="s">
        <v>218</v>
      </c>
      <c r="CL7" s="17" t="s">
        <v>219</v>
      </c>
      <c r="CM7" s="17" t="s">
        <v>220</v>
      </c>
      <c r="CN7" s="17" t="s">
        <v>221</v>
      </c>
      <c r="CO7" s="17" t="s">
        <v>222</v>
      </c>
      <c r="CP7" s="17" t="s">
        <v>223</v>
      </c>
      <c r="CQ7" s="17" t="s">
        <v>224</v>
      </c>
      <c r="CR7" s="17" t="s">
        <v>225</v>
      </c>
      <c r="CS7" s="17" t="s">
        <v>226</v>
      </c>
      <c r="CT7" s="17" t="s">
        <v>227</v>
      </c>
      <c r="CU7" s="17" t="s">
        <v>228</v>
      </c>
      <c r="CV7" s="17" t="s">
        <v>229</v>
      </c>
      <c r="CW7" s="17" t="s">
        <v>210</v>
      </c>
      <c r="CX7" s="17" t="s">
        <v>212</v>
      </c>
      <c r="CY7" s="17" t="s">
        <v>213</v>
      </c>
      <c r="CZ7" s="17" t="s">
        <v>214</v>
      </c>
      <c r="DA7" s="17" t="s">
        <v>215</v>
      </c>
      <c r="DB7" s="17" t="s">
        <v>216</v>
      </c>
      <c r="DC7" s="17" t="s">
        <v>217</v>
      </c>
      <c r="DD7" s="17" t="s">
        <v>218</v>
      </c>
      <c r="DE7" s="17" t="s">
        <v>219</v>
      </c>
      <c r="DF7" s="17" t="s">
        <v>220</v>
      </c>
      <c r="DG7" s="17" t="s">
        <v>221</v>
      </c>
      <c r="DH7" s="17" t="s">
        <v>222</v>
      </c>
      <c r="DI7" s="17" t="s">
        <v>223</v>
      </c>
      <c r="DJ7" s="17" t="s">
        <v>224</v>
      </c>
      <c r="DK7" s="17" t="s">
        <v>225</v>
      </c>
      <c r="DL7" s="17" t="s">
        <v>226</v>
      </c>
      <c r="DM7" s="17" t="s">
        <v>227</v>
      </c>
      <c r="DN7" s="17" t="s">
        <v>228</v>
      </c>
      <c r="DO7" s="17" t="s">
        <v>229</v>
      </c>
      <c r="DP7" s="43" t="s">
        <v>285</v>
      </c>
      <c r="DQ7" s="43" t="s">
        <v>286</v>
      </c>
      <c r="DR7" s="43" t="s">
        <v>205</v>
      </c>
      <c r="DS7" s="43" t="s">
        <v>206</v>
      </c>
      <c r="DT7" s="43" t="s">
        <v>207</v>
      </c>
      <c r="DU7" s="43" t="s">
        <v>287</v>
      </c>
      <c r="DV7" s="43" t="s">
        <v>288</v>
      </c>
      <c r="DW7" s="43" t="s">
        <v>289</v>
      </c>
      <c r="DX7" s="43" t="s">
        <v>290</v>
      </c>
      <c r="DY7" s="43" t="s">
        <v>291</v>
      </c>
      <c r="DZ7" s="43" t="s">
        <v>292</v>
      </c>
    </row>
    <row r="8" spans="1:130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0.0027159292035398228</v>
      </c>
      <c r="J8" s="16">
        <v>9.734513274336284e-7</v>
      </c>
      <c r="K8" s="16">
        <v>0</v>
      </c>
      <c r="L8" s="16">
        <v>0.0024238938053097346</v>
      </c>
      <c r="M8" s="16">
        <v>0.0000014601769911504425</v>
      </c>
      <c r="N8" s="16">
        <v>0</v>
      </c>
      <c r="O8" s="16">
        <v>0.002131858407079646</v>
      </c>
      <c r="P8" s="16">
        <v>0.0000019469026548672567</v>
      </c>
      <c r="Q8" s="16">
        <v>0</v>
      </c>
      <c r="R8" s="16">
        <v>0.0018398230088495576</v>
      </c>
      <c r="S8" s="16">
        <v>0.0000024336283185840706</v>
      </c>
      <c r="T8" s="16">
        <v>0</v>
      </c>
      <c r="U8" s="16">
        <v>0.001547787610619469</v>
      </c>
      <c r="V8" s="16">
        <v>0.000002920353982300885</v>
      </c>
      <c r="W8" s="16">
        <v>0</v>
      </c>
      <c r="X8" s="16">
        <v>0.001282300884955752</v>
      </c>
      <c r="Y8" s="16">
        <v>0.0000033628318584070798</v>
      </c>
      <c r="Z8" s="16">
        <v>0</v>
      </c>
      <c r="AA8" s="16">
        <v>0.0010168141592920353</v>
      </c>
      <c r="AB8" s="16">
        <v>0.000003805309734513274</v>
      </c>
      <c r="AC8" s="16">
        <v>0</v>
      </c>
      <c r="AD8" s="16">
        <v>0.0007513274336283186</v>
      </c>
      <c r="AE8" s="16">
        <v>0.000004247787610619469</v>
      </c>
      <c r="AF8" s="16">
        <v>0</v>
      </c>
      <c r="AG8" s="16">
        <v>0.00048584070796460184</v>
      </c>
      <c r="AH8" s="16">
        <v>0.0000046902654867256635</v>
      </c>
      <c r="AI8" s="16">
        <v>0</v>
      </c>
      <c r="AJ8" s="16">
        <v>-0.00004513274336283204</v>
      </c>
      <c r="AK8" s="16">
        <v>0.000005575221238938053</v>
      </c>
      <c r="AL8" s="16">
        <v>0</v>
      </c>
      <c r="AM8" s="16">
        <v>-0.001107079646017699</v>
      </c>
      <c r="AN8" s="16">
        <v>0.000007345132743362832</v>
      </c>
      <c r="AO8" s="16">
        <v>0</v>
      </c>
      <c r="AP8" s="16">
        <v>-0.002434513274336284</v>
      </c>
      <c r="AQ8" s="16">
        <v>0.000009557522123893806</v>
      </c>
      <c r="AR8" s="16">
        <v>0</v>
      </c>
      <c r="AS8" s="16">
        <v>-0.003761946902654867</v>
      </c>
      <c r="AT8" s="16">
        <v>0.000011769911504424779</v>
      </c>
      <c r="AU8" s="16">
        <v>0</v>
      </c>
      <c r="AV8" s="16">
        <v>-0.006416814159292035</v>
      </c>
      <c r="AW8" s="16">
        <v>0.000016194690265486724</v>
      </c>
      <c r="AX8" s="16">
        <v>0</v>
      </c>
      <c r="AY8" s="16">
        <v>-0.01172654867256637</v>
      </c>
      <c r="AZ8" s="16">
        <v>0.00002504424778761062</v>
      </c>
      <c r="BA8" s="16">
        <v>0</v>
      </c>
      <c r="BB8" s="16">
        <v>-0.014381415929203539</v>
      </c>
      <c r="BC8" s="16">
        <v>0.000029469026548672564</v>
      </c>
      <c r="BD8" s="16">
        <v>0</v>
      </c>
      <c r="BE8" s="16">
        <v>-0.02500088495575221</v>
      </c>
      <c r="BF8" s="16">
        <v>0.00004716814159292035</v>
      </c>
      <c r="BG8" s="16">
        <v>0</v>
      </c>
      <c r="BH8" s="16">
        <v>-0.05</v>
      </c>
      <c r="BI8" s="16">
        <v>0</v>
      </c>
      <c r="BJ8" s="16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9">
        <f>INDEX($CD8:$CV8,1,$DP8)+$DQ8*(INDEX($CD8:$CV8,1,$DP8+1)-INDEX($CD8:$CV8,1,$DP8))</f>
      </c>
      <c r="DS8" s="39">
        <f>INDEX($CW8:$DO8,1,$DP8)+$DQ8*(INDEX($CW8:$DO8,1,$DP8+1)-INDEX($CW8:$DO8,1,$DP8))</f>
      </c>
      <c r="DT8" s="39">
        <f>SQRT(DR8^2+DS8^2)</f>
      </c>
      <c r="DU8" s="20">
        <f>DR9-DR8</f>
      </c>
      <c r="DV8" s="20">
        <f>DS9-DS8</f>
      </c>
      <c r="DW8" s="20">
        <f>DU8*SIN(RADIANS(theta_L))-DV8*COS(RADIANS(theta_L))</f>
      </c>
      <c r="DX8" s="47">
        <f>IF(DW8=0,"",-(DR8*SIN(RADIANS(theta_L))-DS8*COS(RADIANS(theta_L)))/DW8)</f>
      </c>
      <c r="DY8" s="20">
        <f>IF(DX8="","",(DR8+DX8*DU8)*COS(RADIANS(theta_L))+(DS8+DX8*DV8)*SIN(RADIANS(theta_L)))</f>
      </c>
      <c r="DZ8" s="20">
        <f>IF(OR(DX8="",DX8&lt;0,DX8&gt;1,DY8&lt;0),"",DY8)</f>
      </c>
    </row>
    <row r="9" spans="1:130" x14ac:dyDescent="0.25">
      <c r="A9">
        <v>2</v>
      </c>
      <c r="B9" s="44">
        <v>14.999999999999998</v>
      </c>
      <c r="C9" s="18">
        <v>721.9059705798273</v>
      </c>
      <c r="D9" s="18">
        <v>-615.4683059742146</v>
      </c>
      <c r="E9" s="18">
        <v>1337.374276554042</v>
      </c>
      <c r="F9" s="16">
        <v>0.0033</v>
      </c>
      <c r="G9" s="16">
        <v>0</v>
      </c>
      <c r="H9" s="16">
        <v>0</v>
      </c>
      <c r="I9" s="16">
        <v>0.002706227126123641</v>
      </c>
      <c r="J9" s="16">
        <v>7.944809673292979e-7</v>
      </c>
      <c r="K9" s="16">
        <v>2.1288053359778253e-7</v>
      </c>
      <c r="L9" s="16">
        <v>0.0024093406891854616</v>
      </c>
      <c r="M9" s="16">
        <v>0.0000011917214509939468</v>
      </c>
      <c r="N9" s="16">
        <v>3.1932080039667375e-7</v>
      </c>
      <c r="O9" s="16">
        <v>0.002112454252247282</v>
      </c>
      <c r="P9" s="16">
        <v>0.0000015889619346585958</v>
      </c>
      <c r="Q9" s="16">
        <v>4.2576106719556506e-7</v>
      </c>
      <c r="R9" s="16">
        <v>0.0018155678153091023</v>
      </c>
      <c r="S9" s="16">
        <v>0.000001986202418323245</v>
      </c>
      <c r="T9" s="16">
        <v>5.322013339944563e-7</v>
      </c>
      <c r="U9" s="16">
        <v>0.001518681378370923</v>
      </c>
      <c r="V9" s="16">
        <v>0.0000023834429019878937</v>
      </c>
      <c r="W9" s="16">
        <v>6.386416007933475e-7</v>
      </c>
      <c r="X9" s="16">
        <v>0.0012487846175180321</v>
      </c>
      <c r="Y9" s="16">
        <v>0.0000027445706144103018</v>
      </c>
      <c r="Z9" s="16">
        <v>7.354054797014306e-7</v>
      </c>
      <c r="AA9" s="16">
        <v>0.000978887856665142</v>
      </c>
      <c r="AB9" s="16">
        <v>0.00000310569832683271</v>
      </c>
      <c r="AC9" s="16">
        <v>8.321693586095135e-7</v>
      </c>
      <c r="AD9" s="16">
        <v>0.0007089910958122509</v>
      </c>
      <c r="AE9" s="16">
        <v>0.0000034668260392551184</v>
      </c>
      <c r="AF9" s="16">
        <v>9.289332375175965e-7</v>
      </c>
      <c r="AG9" s="16">
        <v>0.0004390943349593607</v>
      </c>
      <c r="AH9" s="16">
        <v>0.0000038279537516775265</v>
      </c>
      <c r="AI9" s="16">
        <v>0.0000010256971164256795</v>
      </c>
      <c r="AJ9" s="16">
        <v>-0.00010069918674642008</v>
      </c>
      <c r="AK9" s="16">
        <v>0.000004550209176522343</v>
      </c>
      <c r="AL9" s="16">
        <v>0.0000012192248742418454</v>
      </c>
      <c r="AM9" s="16">
        <v>-0.001180286230157982</v>
      </c>
      <c r="AN9" s="16">
        <v>0.000005994720026211975</v>
      </c>
      <c r="AO9" s="16">
        <v>0.0000016062803898741773</v>
      </c>
      <c r="AP9" s="16">
        <v>-0.002529770034422435</v>
      </c>
      <c r="AQ9" s="16">
        <v>0.000007800358588324016</v>
      </c>
      <c r="AR9" s="16">
        <v>0.0000020900997844145923</v>
      </c>
      <c r="AS9" s="16">
        <v>-0.0038792538386868856</v>
      </c>
      <c r="AT9" s="16">
        <v>0.000009605997150436054</v>
      </c>
      <c r="AU9" s="16">
        <v>0.0000025739191789550067</v>
      </c>
      <c r="AV9" s="16">
        <v>-0.006578221447215792</v>
      </c>
      <c r="AW9" s="16">
        <v>0.000013217274274660139</v>
      </c>
      <c r="AX9" s="16">
        <v>0.000003541557968035837</v>
      </c>
      <c r="AY9" s="16">
        <v>-0.011976156664273603</v>
      </c>
      <c r="AZ9" s="16">
        <v>0.0000204398285231083</v>
      </c>
      <c r="BA9" s="16">
        <v>0.0000054768355461974965</v>
      </c>
      <c r="BB9" s="16">
        <v>-0.014675124272802504</v>
      </c>
      <c r="BC9" s="16">
        <v>0.000024051105647332378</v>
      </c>
      <c r="BD9" s="16">
        <v>0.000006444474335278325</v>
      </c>
      <c r="BE9" s="16">
        <v>-0.02547099470691813</v>
      </c>
      <c r="BF9" s="16">
        <v>0.00003849621414422871</v>
      </c>
      <c r="BG9" s="16">
        <v>0.000010315029491601644</v>
      </c>
      <c r="BH9" s="16">
        <v>-0.05</v>
      </c>
      <c r="BI9" s="16">
        <v>0</v>
      </c>
      <c r="BJ9" s="16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9">
        <f>INDEX($CD9:$CV9,1,$DP9)+$DQ9*(INDEX($CD9:$CV9,1,$DP9+1)-INDEX($CD9:$CV9,1,$DP9))</f>
      </c>
      <c r="DS9" s="39">
        <f>INDEX($CW9:$DO9,1,$DP9)+$DQ9*(INDEX($CW9:$DO9,1,$DP9+1)-INDEX($CW9:$DO9,1,$DP9))</f>
      </c>
      <c r="DT9" s="39">
        <f>SQRT(DR9^2+DS9^2)</f>
      </c>
      <c r="DU9" s="20">
        <f>DR10-DR9</f>
      </c>
      <c r="DV9" s="20">
        <f>DS10-DS9</f>
      </c>
      <c r="DW9" s="20">
        <f>DU9*SIN(RADIANS(theta_L))-DV9*COS(RADIANS(theta_L))</f>
      </c>
      <c r="DX9" s="47">
        <f>IF(DW9=0,"",-(DR9*SIN(RADIANS(theta_L))-DS9*COS(RADIANS(theta_L)))/DW9)</f>
      </c>
      <c r="DY9" s="20">
        <f>IF(DX9="","",(DR9+DX9*DU9)*COS(RADIANS(theta_L))+(DS9+DX9*DV9)*SIN(RADIANS(theta_L)))</f>
      </c>
      <c r="DZ9" s="20">
        <f>IF(OR(DX9="",DX9&lt;0,DX9&gt;1,DY9&lt;0),"",DY9)</f>
      </c>
    </row>
    <row r="10" spans="1:130" x14ac:dyDescent="0.25">
      <c r="A10">
        <v>3</v>
      </c>
      <c r="B10" s="44">
        <v>29.999999999999996</v>
      </c>
      <c r="C10" s="18">
        <v>794.6152422706632</v>
      </c>
      <c r="D10" s="18">
        <v>-658.9934640057525</v>
      </c>
      <c r="E10" s="18">
        <v>1453.6087062764157</v>
      </c>
      <c r="F10" s="16">
        <v>0.0033</v>
      </c>
      <c r="G10" s="16">
        <v>0</v>
      </c>
      <c r="H10" s="16">
        <v>0</v>
      </c>
      <c r="I10" s="16">
        <v>0.002698684967471902</v>
      </c>
      <c r="J10" s="16">
        <v>6.553537688991611e-7</v>
      </c>
      <c r="K10" s="16">
        <v>3.7836867488836633e-7</v>
      </c>
      <c r="L10" s="16">
        <v>0.002398027451207853</v>
      </c>
      <c r="M10" s="16">
        <v>9.830306533487415e-7</v>
      </c>
      <c r="N10" s="16">
        <v>5.675530123325495e-7</v>
      </c>
      <c r="O10" s="16">
        <v>0.0020973699349438038</v>
      </c>
      <c r="P10" s="16">
        <v>0.0000013107075377983221</v>
      </c>
      <c r="Q10" s="16">
        <v>7.567373497767327e-7</v>
      </c>
      <c r="R10" s="16">
        <v>0.0017967124186797547</v>
      </c>
      <c r="S10" s="16">
        <v>0.0000016383844222479025</v>
      </c>
      <c r="T10" s="16">
        <v>9.459216872209158e-7</v>
      </c>
      <c r="U10" s="16">
        <v>0.0014960549024157057</v>
      </c>
      <c r="V10" s="16">
        <v>0.000001966061306697483</v>
      </c>
      <c r="W10" s="16">
        <v>0.000001135106024665099</v>
      </c>
      <c r="X10" s="16">
        <v>0.0012227298876302064</v>
      </c>
      <c r="Y10" s="16">
        <v>0.000002263949383469829</v>
      </c>
      <c r="Z10" s="16">
        <v>0.0000013070917859779928</v>
      </c>
      <c r="AA10" s="16">
        <v>0.0009494048728447071</v>
      </c>
      <c r="AB10" s="16">
        <v>0.0000025618374602421753</v>
      </c>
      <c r="AC10" s="16">
        <v>0.0000014790775472908867</v>
      </c>
      <c r="AD10" s="16">
        <v>0.0006760798580592079</v>
      </c>
      <c r="AE10" s="16">
        <v>0.0000028597255370145212</v>
      </c>
      <c r="AF10" s="16">
        <v>0.0000016510633086037806</v>
      </c>
      <c r="AG10" s="16">
        <v>0.00040275484327370907</v>
      </c>
      <c r="AH10" s="16">
        <v>0.0000031576136137868667</v>
      </c>
      <c r="AI10" s="16">
        <v>0.0000018230490699166743</v>
      </c>
      <c r="AJ10" s="16">
        <v>-0.00014389518629728945</v>
      </c>
      <c r="AK10" s="16">
        <v>0.000003753389767331559</v>
      </c>
      <c r="AL10" s="16">
        <v>0.000002167020592542462</v>
      </c>
      <c r="AM10" s="16">
        <v>-0.001237195245439286</v>
      </c>
      <c r="AN10" s="16">
        <v>0.000004944942074420942</v>
      </c>
      <c r="AO10" s="16">
        <v>0.000002854963637794037</v>
      </c>
      <c r="AP10" s="16">
        <v>-0.002603820319366782</v>
      </c>
      <c r="AQ10" s="16">
        <v>0.000006434382458282672</v>
      </c>
      <c r="AR10" s="16">
        <v>0.000003714892444358506</v>
      </c>
      <c r="AS10" s="16">
        <v>-0.003970445393294277</v>
      </c>
      <c r="AT10" s="16">
        <v>0.0000079238228421444</v>
      </c>
      <c r="AU10" s="16">
        <v>0.000004574821250922974</v>
      </c>
      <c r="AV10" s="16">
        <v>-0.006703695541149268</v>
      </c>
      <c r="AW10" s="16">
        <v>0.00001090270360986786</v>
      </c>
      <c r="AX10" s="16">
        <v>0.0000062946788640519126</v>
      </c>
      <c r="AY10" s="16">
        <v>-0.012170195836859254</v>
      </c>
      <c r="AZ10" s="16">
        <v>0.00001686046514531478</v>
      </c>
      <c r="BA10" s="16">
        <v>0.000009734394090309789</v>
      </c>
      <c r="BB10" s="16">
        <v>-0.014903445984714242</v>
      </c>
      <c r="BC10" s="16">
        <v>0.00001983934591303824</v>
      </c>
      <c r="BD10" s="16">
        <v>0.000011454251703438725</v>
      </c>
      <c r="BE10" s="16">
        <v>-0.02583644657613421</v>
      </c>
      <c r="BF10" s="16">
        <v>0.000031754868983932075</v>
      </c>
      <c r="BG10" s="16">
        <v>0.000018333682155954477</v>
      </c>
      <c r="BH10" s="16">
        <v>-0.05</v>
      </c>
      <c r="BI10" s="16">
        <v>0</v>
      </c>
      <c r="BJ10" s="16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9">
        <f>INDEX($CD10:$CV10,1,$DP10)+$DQ10*(INDEX($CD10:$CV10,1,$DP10+1)-INDEX($CD10:$CV10,1,$DP10))</f>
      </c>
      <c r="DS10" s="39">
        <f>INDEX($CW10:$DO10,1,$DP10)+$DQ10*(INDEX($CW10:$DO10,1,$DP10+1)-INDEX($CW10:$DO10,1,$DP10))</f>
      </c>
      <c r="DT10" s="39">
        <f>SQRT(DR10^2+DS10^2)</f>
      </c>
      <c r="DU10" s="20">
        <f>DR11-DR10</f>
      </c>
      <c r="DV10" s="20">
        <f>DS11-DS10</f>
      </c>
      <c r="DW10" s="20">
        <f>DU10*SIN(RADIANS(theta_L))-DV10*COS(RADIANS(theta_L))</f>
      </c>
      <c r="DX10" s="47">
        <f>IF(DW10=0,"",-(DR10*SIN(RADIANS(theta_L))-DS10*COS(RADIANS(theta_L)))/DW10)</f>
      </c>
      <c r="DY10" s="20">
        <f>IF(DX10="","",(DR10+DX10*DU10)*COS(RADIANS(theta_L))+(DS10+DX10*DV10)*SIN(RADIANS(theta_L)))</f>
      </c>
      <c r="DZ10" s="20">
        <f>IF(OR(DX10="",DX10&lt;0,DX10&gt;1,DY10&lt;0),"",DY10)</f>
      </c>
    </row>
    <row r="11" spans="1:130" x14ac:dyDescent="0.25">
      <c r="A11">
        <v>4</v>
      </c>
      <c r="B11" s="44">
        <v>45</v>
      </c>
      <c r="C11" s="18">
        <v>813.1727983645296</v>
      </c>
      <c r="D11" s="18">
        <v>-692.9646455628165</v>
      </c>
      <c r="E11" s="18">
        <v>1506.137443927346</v>
      </c>
      <c r="F11" s="16">
        <v>0.0033</v>
      </c>
      <c r="G11" s="16">
        <v>0</v>
      </c>
      <c r="H11" s="16">
        <v>0</v>
      </c>
      <c r="I11" s="16">
        <v>0.0027061032863849766</v>
      </c>
      <c r="J11" s="16">
        <v>5.164319248826291e-7</v>
      </c>
      <c r="K11" s="16">
        <v>5.164319248826291e-7</v>
      </c>
      <c r="L11" s="16">
        <v>0.0024091549295774646</v>
      </c>
      <c r="M11" s="16">
        <v>7.746478873239438e-7</v>
      </c>
      <c r="N11" s="16">
        <v>7.746478873239437e-7</v>
      </c>
      <c r="O11" s="16">
        <v>0.002112206572769953</v>
      </c>
      <c r="P11" s="16">
        <v>0.0000010328638497652582</v>
      </c>
      <c r="Q11" s="16">
        <v>0.0000010328638497652582</v>
      </c>
      <c r="R11" s="16">
        <v>0.0018152582159624412</v>
      </c>
      <c r="S11" s="16">
        <v>0.000001291079812206573</v>
      </c>
      <c r="T11" s="16">
        <v>0.0000012910798122065728</v>
      </c>
      <c r="U11" s="16">
        <v>0.0015183098591549295</v>
      </c>
      <c r="V11" s="16">
        <v>0.0000015492957746478875</v>
      </c>
      <c r="W11" s="16">
        <v>0.0000015492957746478873</v>
      </c>
      <c r="X11" s="16">
        <v>0.0012483568075117371</v>
      </c>
      <c r="Y11" s="16">
        <v>0.0000017840375586854462</v>
      </c>
      <c r="Z11" s="16">
        <v>0.000001784037558685446</v>
      </c>
      <c r="AA11" s="16">
        <v>0.0009784037558685445</v>
      </c>
      <c r="AB11" s="16">
        <v>0.000002018779342723005</v>
      </c>
      <c r="AC11" s="16">
        <v>0.0000020187793427230047</v>
      </c>
      <c r="AD11" s="16">
        <v>0.0007084507042253519</v>
      </c>
      <c r="AE11" s="16">
        <v>0.000002253521126760564</v>
      </c>
      <c r="AF11" s="16">
        <v>0.0000022535211267605635</v>
      </c>
      <c r="AG11" s="16">
        <v>0.0004384976525821597</v>
      </c>
      <c r="AH11" s="16">
        <v>0.000002488262910798122</v>
      </c>
      <c r="AI11" s="16">
        <v>0.0000024882629107981218</v>
      </c>
      <c r="AJ11" s="16">
        <v>-0.00010140845070422512</v>
      </c>
      <c r="AK11" s="16">
        <v>0.0000029577464788732396</v>
      </c>
      <c r="AL11" s="16">
        <v>0.000002957746478873239</v>
      </c>
      <c r="AM11" s="16">
        <v>-0.0011812206572769952</v>
      </c>
      <c r="AN11" s="16">
        <v>0.000003896713615023475</v>
      </c>
      <c r="AO11" s="16">
        <v>0.000003896713615023474</v>
      </c>
      <c r="AP11" s="16">
        <v>-0.0025309859154929587</v>
      </c>
      <c r="AQ11" s="16">
        <v>0.0000050704225352112685</v>
      </c>
      <c r="AR11" s="16">
        <v>0.000005070422535211268</v>
      </c>
      <c r="AS11" s="16">
        <v>-0.0038807511737089205</v>
      </c>
      <c r="AT11" s="16">
        <v>0.000006244131455399062</v>
      </c>
      <c r="AU11" s="16">
        <v>0.000006244131455399061</v>
      </c>
      <c r="AV11" s="16">
        <v>-0.006580281690140845</v>
      </c>
      <c r="AW11" s="16">
        <v>0.000008591549295774648</v>
      </c>
      <c r="AX11" s="16">
        <v>0.000008591549295774648</v>
      </c>
      <c r="AY11" s="16">
        <v>-0.011979342723004698</v>
      </c>
      <c r="AZ11" s="16">
        <v>0.000013286384976525825</v>
      </c>
      <c r="BA11" s="16">
        <v>0.000013286384976525823</v>
      </c>
      <c r="BB11" s="16">
        <v>-0.014678873239436618</v>
      </c>
      <c r="BC11" s="16">
        <v>0.00001563380281690141</v>
      </c>
      <c r="BD11" s="16">
        <v>0.000015633802816901405</v>
      </c>
      <c r="BE11" s="16">
        <v>-0.025476995305164323</v>
      </c>
      <c r="BF11" s="16">
        <v>0.00002502347417840376</v>
      </c>
      <c r="BG11" s="16">
        <v>0.000025023474178403757</v>
      </c>
      <c r="BH11" s="16">
        <v>-0.05</v>
      </c>
      <c r="BI11" s="16">
        <v>0</v>
      </c>
      <c r="BJ11" s="16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9">
        <f>INDEX($CD11:$CV11,1,$DP11)+$DQ11*(INDEX($CD11:$CV11,1,$DP11+1)-INDEX($CD11:$CV11,1,$DP11))</f>
      </c>
      <c r="DS11" s="39">
        <f>INDEX($CW11:$DO11,1,$DP11)+$DQ11*(INDEX($CW11:$DO11,1,$DP11+1)-INDEX($CW11:$DO11,1,$DP11))</f>
      </c>
      <c r="DT11" s="39">
        <f>SQRT(DR11^2+DS11^2)</f>
      </c>
      <c r="DU11" s="20">
        <f>DR12-DR11</f>
      </c>
      <c r="DV11" s="20">
        <f>DS12-DS11</f>
      </c>
      <c r="DW11" s="20">
        <f>DU11*SIN(RADIANS(theta_L))-DV11*COS(RADIANS(theta_L))</f>
      </c>
      <c r="DX11" s="47">
        <f>IF(DW11=0,"",-(DR11*SIN(RADIANS(theta_L))-DS11*COS(RADIANS(theta_L)))/DW11)</f>
      </c>
      <c r="DY11" s="20">
        <f>IF(DX11="","",(DR11+DX11*DU11)*COS(RADIANS(theta_L))+(DS11+DX11*DV11)*SIN(RADIANS(theta_L)))</f>
      </c>
      <c r="DZ11" s="20">
        <f>IF(OR(DX11="",DX11&lt;0,DX11&gt;1,DY11&lt;0),"",DY11)</f>
      </c>
    </row>
    <row r="12" spans="1:130" x14ac:dyDescent="0.25">
      <c r="A12">
        <v>5</v>
      </c>
      <c r="B12" s="44">
        <v>59.99999999999999</v>
      </c>
      <c r="C12" s="18">
        <v>849.5190528383291</v>
      </c>
      <c r="D12" s="18">
        <v>-738.8972745734183</v>
      </c>
      <c r="E12" s="18">
        <v>1588.4163274117473</v>
      </c>
      <c r="F12" s="16">
        <v>0.0033</v>
      </c>
      <c r="G12" s="16">
        <v>0</v>
      </c>
      <c r="H12" s="16">
        <v>0</v>
      </c>
      <c r="I12" s="16">
        <v>0.0027116964538857137</v>
      </c>
      <c r="J12" s="16">
        <v>3.462568285835995e-7</v>
      </c>
      <c r="K12" s="16">
        <v>5.997344195744617e-7</v>
      </c>
      <c r="L12" s="16">
        <v>0.0024175446808285704</v>
      </c>
      <c r="M12" s="16">
        <v>5.193852428753993e-7</v>
      </c>
      <c r="N12" s="16">
        <v>8.996016293616926e-7</v>
      </c>
      <c r="O12" s="16">
        <v>0.0021233929077714275</v>
      </c>
      <c r="P12" s="16">
        <v>6.92513657167199e-7</v>
      </c>
      <c r="Q12" s="16">
        <v>0.0000011994688391489235</v>
      </c>
      <c r="R12" s="16">
        <v>0.0018292411347142843</v>
      </c>
      <c r="S12" s="16">
        <v>8.65642071458999e-7</v>
      </c>
      <c r="T12" s="16">
        <v>0.0000014993360489361545</v>
      </c>
      <c r="U12" s="16">
        <v>0.0015350893616571412</v>
      </c>
      <c r="V12" s="16">
        <v>0.0000010387704857507987</v>
      </c>
      <c r="W12" s="16">
        <v>0.0000017992032587233852</v>
      </c>
      <c r="X12" s="16">
        <v>0.0012676786588779205</v>
      </c>
      <c r="Y12" s="16">
        <v>0.0000011961599532887984</v>
      </c>
      <c r="Z12" s="16">
        <v>0.000002071809813075413</v>
      </c>
      <c r="AA12" s="16">
        <v>0.0010002679560986993</v>
      </c>
      <c r="AB12" s="16">
        <v>0.0000013535494208267981</v>
      </c>
      <c r="AC12" s="16">
        <v>0.0000023444163674274413</v>
      </c>
      <c r="AD12" s="16">
        <v>0.0007328572533194782</v>
      </c>
      <c r="AE12" s="16">
        <v>0.0000015109388883647983</v>
      </c>
      <c r="AF12" s="16">
        <v>0.00000261702292177947</v>
      </c>
      <c r="AG12" s="16">
        <v>0.00046544655054025705</v>
      </c>
      <c r="AH12" s="16">
        <v>0.000001668328355902798</v>
      </c>
      <c r="AI12" s="16">
        <v>0.0000028896294761314977</v>
      </c>
      <c r="AJ12" s="16">
        <v>-0.00006937485501818481</v>
      </c>
      <c r="AK12" s="16">
        <v>0.0000019831072909787975</v>
      </c>
      <c r="AL12" s="16">
        <v>0.000003434842584835554</v>
      </c>
      <c r="AM12" s="16">
        <v>-0.001139017666135069</v>
      </c>
      <c r="AN12" s="16">
        <v>0.0000026126651611307964</v>
      </c>
      <c r="AO12" s="16">
        <v>0.000004525268802243666</v>
      </c>
      <c r="AP12" s="16">
        <v>-0.002476071180031174</v>
      </c>
      <c r="AQ12" s="16">
        <v>0.000003399612498820796</v>
      </c>
      <c r="AR12" s="16">
        <v>0.000005888301574003807</v>
      </c>
      <c r="AS12" s="16">
        <v>-0.0038131246939272787</v>
      </c>
      <c r="AT12" s="16">
        <v>0.000004186559836510794</v>
      </c>
      <c r="AU12" s="16">
        <v>0.000007251334345763946</v>
      </c>
      <c r="AV12" s="16">
        <v>-0.00648723172171949</v>
      </c>
      <c r="AW12" s="16">
        <v>0.000005760454511890793</v>
      </c>
      <c r="AX12" s="16">
        <v>0.000009977399889284227</v>
      </c>
      <c r="AY12" s="16">
        <v>-0.011835445777303912</v>
      </c>
      <c r="AZ12" s="16">
        <v>0.00000890824386265079</v>
      </c>
      <c r="BA12" s="16">
        <v>0.000015429530976324792</v>
      </c>
      <c r="BB12" s="16">
        <v>-0.014509552805096117</v>
      </c>
      <c r="BC12" s="16">
        <v>0.000010482138538030784</v>
      </c>
      <c r="BD12" s="16">
        <v>0.000018155596519845067</v>
      </c>
      <c r="BE12" s="16">
        <v>-0.025205980916264956</v>
      </c>
      <c r="BF12" s="16">
        <v>0.000016777717239550777</v>
      </c>
      <c r="BG12" s="16">
        <v>0.00002905985869392619</v>
      </c>
      <c r="BH12" s="16">
        <v>-0.05</v>
      </c>
      <c r="BI12" s="16">
        <v>0</v>
      </c>
      <c r="BJ12" s="16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9">
        <f>INDEX($CD12:$CV12,1,$DP12)+$DQ12*(INDEX($CD12:$CV12,1,$DP12+1)-INDEX($CD12:$CV12,1,$DP12))</f>
      </c>
      <c r="DS12" s="39">
        <f>INDEX($CW12:$DO12,1,$DP12)+$DQ12*(INDEX($CW12:$DO12,1,$DP12+1)-INDEX($CW12:$DO12,1,$DP12))</f>
      </c>
      <c r="DT12" s="39">
        <f>SQRT(DR12^2+DS12^2)</f>
      </c>
      <c r="DU12" s="20">
        <f>DR13-DR12</f>
      </c>
      <c r="DV12" s="20">
        <f>DS13-DS12</f>
      </c>
      <c r="DW12" s="20">
        <f>DU12*SIN(RADIANS(theta_L))-DV12*COS(RADIANS(theta_L))</f>
      </c>
      <c r="DX12" s="47">
        <f>IF(DW12=0,"",-(DR12*SIN(RADIANS(theta_L))-DS12*COS(RADIANS(theta_L)))/DW12)</f>
      </c>
      <c r="DY12" s="20">
        <f>IF(DX12="","",(DR12+DX12*DU12)*COS(RADIANS(theta_L))+(DS12+DX12*DV12)*SIN(RADIANS(theta_L)))</f>
      </c>
      <c r="DZ12" s="20">
        <f>IF(OR(DX12="",DX12&lt;0,DX12&gt;1,DY12&lt;0),"",DY12)</f>
      </c>
    </row>
    <row r="13" spans="1:130" x14ac:dyDescent="0.25">
      <c r="A13">
        <v>6</v>
      </c>
      <c r="B13" s="44">
        <v>75.00000000000001</v>
      </c>
      <c r="C13" s="18">
        <v>827.9719877578095</v>
      </c>
      <c r="D13" s="18">
        <v>-734.4752754073227</v>
      </c>
      <c r="E13" s="18">
        <v>1562.4472631651322</v>
      </c>
      <c r="F13" s="16">
        <v>0.0033</v>
      </c>
      <c r="G13" s="16">
        <v>0</v>
      </c>
      <c r="H13" s="16">
        <v>0</v>
      </c>
      <c r="I13" s="16">
        <v>0.0027170880464223814</v>
      </c>
      <c r="J13" s="16">
        <v>1.8221475778711343e-7</v>
      </c>
      <c r="K13" s="16">
        <v>6.80034733950364e-7</v>
      </c>
      <c r="L13" s="16">
        <v>0.0024256320696335724</v>
      </c>
      <c r="M13" s="16">
        <v>2.733221366806701e-7</v>
      </c>
      <c r="N13" s="16">
        <v>0.0000010200521009255462</v>
      </c>
      <c r="O13" s="16">
        <v>0.002134176092844763</v>
      </c>
      <c r="P13" s="16">
        <v>3.6442951557422685e-7</v>
      </c>
      <c r="Q13" s="16">
        <v>0.000001360069467900728</v>
      </c>
      <c r="R13" s="16">
        <v>0.0018427201160559539</v>
      </c>
      <c r="S13" s="16">
        <v>4.5553689446778355e-7</v>
      </c>
      <c r="T13" s="16">
        <v>0.0000017000868348759101</v>
      </c>
      <c r="U13" s="16">
        <v>0.0015512641392671448</v>
      </c>
      <c r="V13" s="16">
        <v>5.466442733613402e-7</v>
      </c>
      <c r="W13" s="16">
        <v>0.0000020401042018510924</v>
      </c>
      <c r="X13" s="16">
        <v>0.0012863041603682272</v>
      </c>
      <c r="Y13" s="16">
        <v>6.294691632645736e-7</v>
      </c>
      <c r="Z13" s="16">
        <v>0.0000023492108991012574</v>
      </c>
      <c r="AA13" s="16">
        <v>0.0010213441814693096</v>
      </c>
      <c r="AB13" s="16">
        <v>7.12294053167807e-7</v>
      </c>
      <c r="AC13" s="16">
        <v>0.0000026583175963514233</v>
      </c>
      <c r="AD13" s="16">
        <v>0.000756384202570392</v>
      </c>
      <c r="AE13" s="16">
        <v>7.951189430710405e-7</v>
      </c>
      <c r="AF13" s="16">
        <v>0.000002967424293601589</v>
      </c>
      <c r="AG13" s="16">
        <v>0.0004914242236714749</v>
      </c>
      <c r="AH13" s="16">
        <v>8.779438329742738e-7</v>
      </c>
      <c r="AI13" s="16">
        <v>0.000003276530990851754</v>
      </c>
      <c r="AJ13" s="16">
        <v>-0.00003849573412636033</v>
      </c>
      <c r="AK13" s="16">
        <v>0.0000010435936127807405</v>
      </c>
      <c r="AL13" s="16">
        <v>0.000003894744385352085</v>
      </c>
      <c r="AM13" s="16">
        <v>-0.0010983356497220303</v>
      </c>
      <c r="AN13" s="16">
        <v>0.000001374893172393674</v>
      </c>
      <c r="AO13" s="16">
        <v>0.000005131171174352748</v>
      </c>
      <c r="AP13" s="16">
        <v>-0.002423135544216617</v>
      </c>
      <c r="AQ13" s="16">
        <v>0.0000017890176219098409</v>
      </c>
      <c r="AR13" s="16">
        <v>0.000006676704660603575</v>
      </c>
      <c r="AS13" s="16">
        <v>-0.0037479354387112036</v>
      </c>
      <c r="AT13" s="16">
        <v>0.0000022031420714260076</v>
      </c>
      <c r="AU13" s="16">
        <v>0.000008222238146854401</v>
      </c>
      <c r="AV13" s="16">
        <v>-0.00639753522770038</v>
      </c>
      <c r="AW13" s="16">
        <v>0.0000030313909704583413</v>
      </c>
      <c r="AX13" s="16">
        <v>0.000011313305119356057</v>
      </c>
      <c r="AY13" s="16">
        <v>-0.011696734805678729</v>
      </c>
      <c r="AZ13" s="16">
        <v>0.000004687888768523009</v>
      </c>
      <c r="BA13" s="16">
        <v>0.000017495439064359368</v>
      </c>
      <c r="BB13" s="16">
        <v>-0.0143463345946679</v>
      </c>
      <c r="BC13" s="16">
        <v>0.000005516137667555342</v>
      </c>
      <c r="BD13" s="16">
        <v>0.00002058650603686102</v>
      </c>
      <c r="BE13" s="16">
        <v>-0.0249447337506246</v>
      </c>
      <c r="BF13" s="16">
        <v>0.000008829133263684677</v>
      </c>
      <c r="BG13" s="16">
        <v>0.00003295077392686764</v>
      </c>
      <c r="BH13" s="16">
        <v>-0.05</v>
      </c>
      <c r="BI13" s="16">
        <v>0</v>
      </c>
      <c r="BJ13" s="16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9">
        <f>INDEX($CD13:$CV13,1,$DP13)+$DQ13*(INDEX($CD13:$CV13,1,$DP13+1)-INDEX($CD13:$CV13,1,$DP13))</f>
      </c>
      <c r="DS13" s="39">
        <f>INDEX($CW13:$DO13,1,$DP13)+$DQ13*(INDEX($CW13:$DO13,1,$DP13+1)-INDEX($CW13:$DO13,1,$DP13))</f>
      </c>
      <c r="DT13" s="39">
        <f>SQRT(DR13^2+DS13^2)</f>
      </c>
      <c r="DU13" s="20">
        <f>DR14-DR13</f>
      </c>
      <c r="DV13" s="20">
        <f>DS14-DS13</f>
      </c>
      <c r="DW13" s="20">
        <f>DU13*SIN(RADIANS(theta_L))-DV13*COS(RADIANS(theta_L))</f>
      </c>
      <c r="DX13" s="47">
        <f>IF(DW13=0,"",-(DR13*SIN(RADIANS(theta_L))-DS13*COS(RADIANS(theta_L)))/DW13)</f>
      </c>
      <c r="DY13" s="20">
        <f>IF(DX13="","",(DR13+DX13*DU13)*COS(RADIANS(theta_L))+(DS13+DX13*DV13)*SIN(RADIANS(theta_L)))</f>
      </c>
      <c r="DZ13" s="20">
        <f>IF(OR(DX13="",DX13&lt;0,DX13&gt;1,DY13&lt;0),"",DY13)</f>
      </c>
    </row>
    <row r="14" spans="1:130" x14ac:dyDescent="0.25">
      <c r="A14">
        <v>7</v>
      </c>
      <c r="B14" s="44">
        <v>90</v>
      </c>
      <c r="C14" s="18">
        <v>750</v>
      </c>
      <c r="D14" s="18">
        <v>-680</v>
      </c>
      <c r="E14" s="18">
        <v>1430</v>
      </c>
      <c r="F14" s="16">
        <v>0.0033</v>
      </c>
      <c r="G14" s="16">
        <v>0</v>
      </c>
      <c r="H14" s="16">
        <v>0</v>
      </c>
      <c r="I14" s="16">
        <v>0.002723076923076923</v>
      </c>
      <c r="J14" s="16">
        <v>4.7101799967205896e-23</v>
      </c>
      <c r="K14" s="16">
        <v>7.692307692307693e-7</v>
      </c>
      <c r="L14" s="16">
        <v>0.0024346153846153845</v>
      </c>
      <c r="M14" s="16">
        <v>7.065269995080884e-23</v>
      </c>
      <c r="N14" s="16">
        <v>0.0000011538461538461538</v>
      </c>
      <c r="O14" s="16">
        <v>0.0021461538461538462</v>
      </c>
      <c r="P14" s="16">
        <v>9.420359993441179e-23</v>
      </c>
      <c r="Q14" s="16">
        <v>0.0000015384615384615385</v>
      </c>
      <c r="R14" s="16">
        <v>0.0018576923076923078</v>
      </c>
      <c r="S14" s="16">
        <v>1.1775449991801472e-22</v>
      </c>
      <c r="T14" s="16">
        <v>0.000001923076923076923</v>
      </c>
      <c r="U14" s="16">
        <v>0.0015692307692307692</v>
      </c>
      <c r="V14" s="16">
        <v>1.4130539990161768e-22</v>
      </c>
      <c r="W14" s="16">
        <v>0.0000023076923076923077</v>
      </c>
      <c r="X14" s="16">
        <v>0.001306993006993007</v>
      </c>
      <c r="Y14" s="16">
        <v>1.6271530897762037e-22</v>
      </c>
      <c r="Z14" s="16">
        <v>0.0000026573426573426574</v>
      </c>
      <c r="AA14" s="16">
        <v>0.0010447552447552448</v>
      </c>
      <c r="AB14" s="16">
        <v>1.8412521805362302e-22</v>
      </c>
      <c r="AC14" s="16">
        <v>0.000003006993006993007</v>
      </c>
      <c r="AD14" s="16">
        <v>0.0007825174825174821</v>
      </c>
      <c r="AE14" s="16">
        <v>2.0553512712962574e-22</v>
      </c>
      <c r="AF14" s="16">
        <v>0.000003356643356643357</v>
      </c>
      <c r="AG14" s="16">
        <v>0.0005202797202797202</v>
      </c>
      <c r="AH14" s="16">
        <v>2.269450362056284e-22</v>
      </c>
      <c r="AI14" s="16">
        <v>0.0000037062937062937064</v>
      </c>
      <c r="AJ14" s="16">
        <v>-0.000004195804195804374</v>
      </c>
      <c r="AK14" s="16">
        <v>2.6976485435763376e-22</v>
      </c>
      <c r="AL14" s="16">
        <v>0.000004405594405594406</v>
      </c>
      <c r="AM14" s="16">
        <v>-0.001053146853146853</v>
      </c>
      <c r="AN14" s="16">
        <v>3.5540449066164445e-22</v>
      </c>
      <c r="AO14" s="16">
        <v>0.000005804195804195804</v>
      </c>
      <c r="AP14" s="16">
        <v>-0.002364335664335665</v>
      </c>
      <c r="AQ14" s="16">
        <v>4.624540360416579e-22</v>
      </c>
      <c r="AR14" s="16">
        <v>0.000007552447552447553</v>
      </c>
      <c r="AS14" s="16">
        <v>-0.0036755244755244743</v>
      </c>
      <c r="AT14" s="16">
        <v>5.695035814216712e-22</v>
      </c>
      <c r="AU14" s="16">
        <v>0.0000093006993006993</v>
      </c>
      <c r="AV14" s="16">
        <v>-0.006297902097902098</v>
      </c>
      <c r="AW14" s="16">
        <v>7.836026721816981e-22</v>
      </c>
      <c r="AX14" s="16">
        <v>0.000012797202797202797</v>
      </c>
      <c r="AY14" s="16">
        <v>-0.011542657342657345</v>
      </c>
      <c r="AZ14" s="16">
        <v>1.2118008537017517e-21</v>
      </c>
      <c r="BA14" s="16">
        <v>0.000019790209790209793</v>
      </c>
      <c r="BB14" s="16">
        <v>-0.014165034965034962</v>
      </c>
      <c r="BC14" s="16">
        <v>1.4258999444617782e-21</v>
      </c>
      <c r="BD14" s="16">
        <v>0.000023286713286713284</v>
      </c>
      <c r="BE14" s="16">
        <v>-0.024654545454545457</v>
      </c>
      <c r="BF14" s="16">
        <v>2.2822963075018856e-21</v>
      </c>
      <c r="BG14" s="16">
        <v>0.000037272727272727276</v>
      </c>
      <c r="BH14" s="16">
        <v>-0.05</v>
      </c>
      <c r="BI14" s="16">
        <v>0</v>
      </c>
      <c r="BJ14" s="16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9">
        <f>INDEX($CD14:$CV14,1,$DP14)+$DQ14*(INDEX($CD14:$CV14,1,$DP14+1)-INDEX($CD14:$CV14,1,$DP14))</f>
      </c>
      <c r="DS14" s="39">
        <f>INDEX($CW14:$DO14,1,$DP14)+$DQ14*(INDEX($CW14:$DO14,1,$DP14+1)-INDEX($CW14:$DO14,1,$DP14))</f>
      </c>
      <c r="DT14" s="39">
        <f>SQRT(DR14^2+DS14^2)</f>
      </c>
      <c r="DU14" s="20">
        <f>DR15-DR14</f>
      </c>
      <c r="DV14" s="20">
        <f>DS15-DS14</f>
      </c>
      <c r="DW14" s="20">
        <f>DU14*SIN(RADIANS(theta_L))-DV14*COS(RADIANS(theta_L))</f>
      </c>
      <c r="DX14" s="47">
        <f>IF(DW14=0,"",-(DR14*SIN(RADIANS(theta_L))-DS14*COS(RADIANS(theta_L)))/DW14)</f>
      </c>
      <c r="DY14" s="20">
        <f>IF(DX14="","",(DR14+DX14*DU14)*COS(RADIANS(theta_L))+(DS14+DX14*DV14)*SIN(RADIANS(theta_L)))</f>
      </c>
      <c r="DZ14" s="20">
        <f>IF(OR(DX14="",DX14&lt;0,DX14&gt;1,DY14&lt;0),"",DY14)</f>
      </c>
    </row>
    <row r="15" spans="1:130" x14ac:dyDescent="0.25">
      <c r="A15">
        <v>8</v>
      </c>
      <c r="B15" s="44">
        <v>104.99999999999999</v>
      </c>
      <c r="C15" s="18">
        <v>827.9719877578095</v>
      </c>
      <c r="D15" s="18">
        <v>-734.4752754073227</v>
      </c>
      <c r="E15" s="18">
        <v>1562.4472631651322</v>
      </c>
      <c r="F15" s="16">
        <v>0.0033</v>
      </c>
      <c r="G15" s="16">
        <v>0</v>
      </c>
      <c r="H15" s="16">
        <v>0</v>
      </c>
      <c r="I15" s="16">
        <v>0.0027170880464223814</v>
      </c>
      <c r="J15" s="16">
        <v>-1.8221475778711335e-7</v>
      </c>
      <c r="K15" s="16">
        <v>6.80034733950364e-7</v>
      </c>
      <c r="L15" s="16">
        <v>0.0024256320696335724</v>
      </c>
      <c r="M15" s="16">
        <v>-2.7332213668067e-7</v>
      </c>
      <c r="N15" s="16">
        <v>0.0000010200521009255462</v>
      </c>
      <c r="O15" s="16">
        <v>0.002134176092844763</v>
      </c>
      <c r="P15" s="16">
        <v>-3.644295155742267e-7</v>
      </c>
      <c r="Q15" s="16">
        <v>0.000001360069467900728</v>
      </c>
      <c r="R15" s="16">
        <v>0.0018427201160559539</v>
      </c>
      <c r="S15" s="16">
        <v>-4.5553689446778334e-7</v>
      </c>
      <c r="T15" s="16">
        <v>0.0000017000868348759101</v>
      </c>
      <c r="U15" s="16">
        <v>0.0015512641392671448</v>
      </c>
      <c r="V15" s="16">
        <v>-5.4664427336134e-7</v>
      </c>
      <c r="W15" s="16">
        <v>0.0000020401042018510924</v>
      </c>
      <c r="X15" s="16">
        <v>0.0012863041603682272</v>
      </c>
      <c r="Y15" s="16">
        <v>-6.294691632645733e-7</v>
      </c>
      <c r="Z15" s="16">
        <v>0.0000023492108991012574</v>
      </c>
      <c r="AA15" s="16">
        <v>0.0010213441814693096</v>
      </c>
      <c r="AB15" s="16">
        <v>-7.122940531678067e-7</v>
      </c>
      <c r="AC15" s="16">
        <v>0.0000026583175963514233</v>
      </c>
      <c r="AD15" s="16">
        <v>0.000756384202570392</v>
      </c>
      <c r="AE15" s="16">
        <v>-7.9511894307104e-7</v>
      </c>
      <c r="AF15" s="16">
        <v>0.000002967424293601589</v>
      </c>
      <c r="AG15" s="16">
        <v>0.0004914242236714749</v>
      </c>
      <c r="AH15" s="16">
        <v>-8.779438329742734e-7</v>
      </c>
      <c r="AI15" s="16">
        <v>0.000003276530990851754</v>
      </c>
      <c r="AJ15" s="16">
        <v>-0.00003849573412636033</v>
      </c>
      <c r="AK15" s="16">
        <v>-0.00000104359361278074</v>
      </c>
      <c r="AL15" s="16">
        <v>0.000003894744385352085</v>
      </c>
      <c r="AM15" s="16">
        <v>-0.0010983356497220303</v>
      </c>
      <c r="AN15" s="16">
        <v>-0.0000013748931723936733</v>
      </c>
      <c r="AO15" s="16">
        <v>0.000005131171174352748</v>
      </c>
      <c r="AP15" s="16">
        <v>-0.002423135544216617</v>
      </c>
      <c r="AQ15" s="16">
        <v>-0.00000178901762190984</v>
      </c>
      <c r="AR15" s="16">
        <v>0.000006676704660603575</v>
      </c>
      <c r="AS15" s="16">
        <v>-0.0037479354387112036</v>
      </c>
      <c r="AT15" s="16">
        <v>-0.0000022031420714260063</v>
      </c>
      <c r="AU15" s="16">
        <v>0.000008222238146854401</v>
      </c>
      <c r="AV15" s="16">
        <v>-0.00639753522770038</v>
      </c>
      <c r="AW15" s="16">
        <v>-0.00000303139097045834</v>
      </c>
      <c r="AX15" s="16">
        <v>0.000011313305119356057</v>
      </c>
      <c r="AY15" s="16">
        <v>-0.011696734805678729</v>
      </c>
      <c r="AZ15" s="16">
        <v>-0.000004687888768523008</v>
      </c>
      <c r="BA15" s="16">
        <v>0.000017495439064359368</v>
      </c>
      <c r="BB15" s="16">
        <v>-0.0143463345946679</v>
      </c>
      <c r="BC15" s="16">
        <v>-0.000005516137667555339</v>
      </c>
      <c r="BD15" s="16">
        <v>0.00002058650603686102</v>
      </c>
      <c r="BE15" s="16">
        <v>-0.0249447337506246</v>
      </c>
      <c r="BF15" s="16">
        <v>-0.000008829133263684674</v>
      </c>
      <c r="BG15" s="16">
        <v>0.00003295077392686764</v>
      </c>
      <c r="BH15" s="16">
        <v>-0.05</v>
      </c>
      <c r="BI15" s="16">
        <v>0</v>
      </c>
      <c r="BJ15" s="16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9">
        <f>INDEX($CD15:$CV15,1,$DP15)+$DQ15*(INDEX($CD15:$CV15,1,$DP15+1)-INDEX($CD15:$CV15,1,$DP15))</f>
      </c>
      <c r="DS15" s="39">
        <f>INDEX($CW15:$DO15,1,$DP15)+$DQ15*(INDEX($CW15:$DO15,1,$DP15+1)-INDEX($CW15:$DO15,1,$DP15))</f>
      </c>
      <c r="DT15" s="39">
        <f>SQRT(DR15^2+DS15^2)</f>
      </c>
      <c r="DU15" s="20">
        <f>DR16-DR15</f>
      </c>
      <c r="DV15" s="20">
        <f>DS16-DS15</f>
      </c>
      <c r="DW15" s="20">
        <f>DU15*SIN(RADIANS(theta_L))-DV15*COS(RADIANS(theta_L))</f>
      </c>
      <c r="DX15" s="47">
        <f>IF(DW15=0,"",-(DR15*SIN(RADIANS(theta_L))-DS15*COS(RADIANS(theta_L)))/DW15)</f>
      </c>
      <c r="DY15" s="20">
        <f>IF(DX15="","",(DR15+DX15*DU15)*COS(RADIANS(theta_L))+(DS15+DX15*DV15)*SIN(RADIANS(theta_L)))</f>
      </c>
      <c r="DZ15" s="20">
        <f>IF(OR(DX15="",DX15&lt;0,DX15&gt;1,DY15&lt;0),"",DY15)</f>
      </c>
    </row>
    <row r="16" spans="1:130" x14ac:dyDescent="0.25">
      <c r="A16">
        <v>9</v>
      </c>
      <c r="B16" s="44">
        <v>119.99999999999999</v>
      </c>
      <c r="C16" s="18">
        <v>849.5190528383289</v>
      </c>
      <c r="D16" s="18">
        <v>-738.8972745734184</v>
      </c>
      <c r="E16" s="18">
        <v>1588.4163274117473</v>
      </c>
      <c r="F16" s="16">
        <v>0.0033</v>
      </c>
      <c r="G16" s="16">
        <v>0</v>
      </c>
      <c r="H16" s="16">
        <v>0</v>
      </c>
      <c r="I16" s="16">
        <v>0.002711696453885714</v>
      </c>
      <c r="J16" s="16">
        <v>-3.462568285835993e-7</v>
      </c>
      <c r="K16" s="16">
        <v>5.997344195744618e-7</v>
      </c>
      <c r="L16" s="16">
        <v>0.002417544680828571</v>
      </c>
      <c r="M16" s="16">
        <v>-5.19385242875399e-7</v>
      </c>
      <c r="N16" s="16">
        <v>8.996016293616927e-7</v>
      </c>
      <c r="O16" s="16">
        <v>0.002123392907771428</v>
      </c>
      <c r="P16" s="16">
        <v>-6.925136571671986e-7</v>
      </c>
      <c r="Q16" s="16">
        <v>0.0000011994688391489237</v>
      </c>
      <c r="R16" s="16">
        <v>0.0018292411347142848</v>
      </c>
      <c r="S16" s="16">
        <v>-8.656420714589983e-7</v>
      </c>
      <c r="T16" s="16">
        <v>0.0000014993360489361547</v>
      </c>
      <c r="U16" s="16">
        <v>0.0015350893616571418</v>
      </c>
      <c r="V16" s="16">
        <v>-0.000001038770485750798</v>
      </c>
      <c r="W16" s="16">
        <v>0.0000017992032587233854</v>
      </c>
      <c r="X16" s="16">
        <v>0.001267678658877921</v>
      </c>
      <c r="Y16" s="16">
        <v>-0.0000011961599532887976</v>
      </c>
      <c r="Z16" s="16">
        <v>0.0000020718098130754136</v>
      </c>
      <c r="AA16" s="16">
        <v>0.0010002679560986998</v>
      </c>
      <c r="AB16" s="16">
        <v>-0.0000013535494208267973</v>
      </c>
      <c r="AC16" s="16">
        <v>0.0000023444163674274418</v>
      </c>
      <c r="AD16" s="16">
        <v>0.0007328572533194786</v>
      </c>
      <c r="AE16" s="16">
        <v>-0.0000015109388883647972</v>
      </c>
      <c r="AF16" s="16">
        <v>0.00000261702292177947</v>
      </c>
      <c r="AG16" s="16">
        <v>0.0004654465505402579</v>
      </c>
      <c r="AH16" s="16">
        <v>-0.000001668328355902797</v>
      </c>
      <c r="AI16" s="16">
        <v>0.000002889629476131498</v>
      </c>
      <c r="AJ16" s="16">
        <v>-0.00006937485501818394</v>
      </c>
      <c r="AK16" s="16">
        <v>-0.0000019831072909787962</v>
      </c>
      <c r="AL16" s="16">
        <v>0.0000034348425848355544</v>
      </c>
      <c r="AM16" s="16">
        <v>-0.0011390176661350672</v>
      </c>
      <c r="AN16" s="16">
        <v>-0.0000026126651611307947</v>
      </c>
      <c r="AO16" s="16">
        <v>0.000004525268802243667</v>
      </c>
      <c r="AP16" s="16">
        <v>-0.002476071180031173</v>
      </c>
      <c r="AQ16" s="16">
        <v>-0.0000033996124988207934</v>
      </c>
      <c r="AR16" s="16">
        <v>0.0000058883015740038074</v>
      </c>
      <c r="AS16" s="16">
        <v>-0.003813124693927276</v>
      </c>
      <c r="AT16" s="16">
        <v>-0.000004186559836510792</v>
      </c>
      <c r="AU16" s="16">
        <v>0.000007251334345763947</v>
      </c>
      <c r="AV16" s="16">
        <v>-0.006487231721719487</v>
      </c>
      <c r="AW16" s="16">
        <v>-0.000005760454511890789</v>
      </c>
      <c r="AX16" s="16">
        <v>0.000009977399889284229</v>
      </c>
      <c r="AY16" s="16">
        <v>-0.011835445777303909</v>
      </c>
      <c r="AZ16" s="16">
        <v>-0.000008908243862650784</v>
      </c>
      <c r="BA16" s="16">
        <v>0.000015429530976324792</v>
      </c>
      <c r="BB16" s="16">
        <v>-0.01450955280509611</v>
      </c>
      <c r="BC16" s="16">
        <v>-0.000010482138538030778</v>
      </c>
      <c r="BD16" s="16">
        <v>0.00001815559651984507</v>
      </c>
      <c r="BE16" s="16">
        <v>-0.02520598091626495</v>
      </c>
      <c r="BF16" s="16">
        <v>-0.000016777717239550767</v>
      </c>
      <c r="BG16" s="16">
        <v>0.000029059858693926193</v>
      </c>
      <c r="BH16" s="16">
        <v>-0.05</v>
      </c>
      <c r="BI16" s="16">
        <v>0</v>
      </c>
      <c r="BJ16" s="16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9">
        <f>INDEX($CD16:$CV16,1,$DP16)+$DQ16*(INDEX($CD16:$CV16,1,$DP16+1)-INDEX($CD16:$CV16,1,$DP16))</f>
      </c>
      <c r="DS16" s="39">
        <f>INDEX($CW16:$DO16,1,$DP16)+$DQ16*(INDEX($CW16:$DO16,1,$DP16+1)-INDEX($CW16:$DO16,1,$DP16))</f>
      </c>
      <c r="DT16" s="39">
        <f>SQRT(DR16^2+DS16^2)</f>
      </c>
      <c r="DU16" s="20">
        <f>DR17-DR16</f>
      </c>
      <c r="DV16" s="20">
        <f>DS17-DS16</f>
      </c>
      <c r="DW16" s="20">
        <f>DU16*SIN(RADIANS(theta_L))-DV16*COS(RADIANS(theta_L))</f>
      </c>
      <c r="DX16" s="47">
        <f>IF(DW16=0,"",-(DR16*SIN(RADIANS(theta_L))-DS16*COS(RADIANS(theta_L)))/DW16)</f>
      </c>
      <c r="DY16" s="20">
        <f>IF(DX16="","",(DR16+DX16*DU16)*COS(RADIANS(theta_L))+(DS16+DX16*DV16)*SIN(RADIANS(theta_L)))</f>
      </c>
      <c r="DZ16" s="20">
        <f>IF(OR(DX16="",DX16&lt;0,DX16&gt;1,DY16&lt;0),"",DY16)</f>
      </c>
    </row>
    <row r="17" spans="1:130" x14ac:dyDescent="0.25">
      <c r="A17">
        <v>10</v>
      </c>
      <c r="B17" s="44">
        <v>135</v>
      </c>
      <c r="C17" s="18">
        <v>813.1727983645296</v>
      </c>
      <c r="D17" s="18">
        <v>-692.9646455628166</v>
      </c>
      <c r="E17" s="18">
        <v>1506.1374439273463</v>
      </c>
      <c r="F17" s="16">
        <v>0.0033</v>
      </c>
      <c r="G17" s="16">
        <v>0</v>
      </c>
      <c r="H17" s="16">
        <v>0</v>
      </c>
      <c r="I17" s="16">
        <v>0.0027061032863849766</v>
      </c>
      <c r="J17" s="16">
        <v>-5.16431924882629e-7</v>
      </c>
      <c r="K17" s="16">
        <v>5.164319248826291e-7</v>
      </c>
      <c r="L17" s="16">
        <v>0.002409154929577465</v>
      </c>
      <c r="M17" s="16">
        <v>-7.746478873239434e-7</v>
      </c>
      <c r="N17" s="16">
        <v>7.746478873239437e-7</v>
      </c>
      <c r="O17" s="16">
        <v>0.002112206572769953</v>
      </c>
      <c r="P17" s="16">
        <v>-0.000001032863849765258</v>
      </c>
      <c r="Q17" s="16">
        <v>0.0000010328638497652582</v>
      </c>
      <c r="R17" s="16">
        <v>0.0018152582159624414</v>
      </c>
      <c r="S17" s="16">
        <v>-0.0000012910798122065725</v>
      </c>
      <c r="T17" s="16">
        <v>0.0000012910798122065728</v>
      </c>
      <c r="U17" s="16">
        <v>0.00151830985915493</v>
      </c>
      <c r="V17" s="16">
        <v>-0.0000015492957746478869</v>
      </c>
      <c r="W17" s="16">
        <v>0.0000015492957746478873</v>
      </c>
      <c r="X17" s="16">
        <v>0.0012483568075117371</v>
      </c>
      <c r="Y17" s="16">
        <v>-0.0000017840375586854458</v>
      </c>
      <c r="Z17" s="16">
        <v>0.000001784037558685446</v>
      </c>
      <c r="AA17" s="16">
        <v>0.000978403755868545</v>
      </c>
      <c r="AB17" s="16">
        <v>-0.0000020187793427230043</v>
      </c>
      <c r="AC17" s="16">
        <v>0.0000020187793427230047</v>
      </c>
      <c r="AD17" s="16">
        <v>0.0007084507042253523</v>
      </c>
      <c r="AE17" s="16">
        <v>-0.000002253521126760563</v>
      </c>
      <c r="AF17" s="16">
        <v>0.0000022535211267605635</v>
      </c>
      <c r="AG17" s="16">
        <v>0.0004384976525821601</v>
      </c>
      <c r="AH17" s="16">
        <v>-0.0000024882629107981218</v>
      </c>
      <c r="AI17" s="16">
        <v>0.000002488262910798122</v>
      </c>
      <c r="AJ17" s="16">
        <v>-0.00010140845070422512</v>
      </c>
      <c r="AK17" s="16">
        <v>-0.000002957746478873239</v>
      </c>
      <c r="AL17" s="16">
        <v>0.0000029577464788732396</v>
      </c>
      <c r="AM17" s="16">
        <v>-0.0011812206572769952</v>
      </c>
      <c r="AN17" s="16">
        <v>-0.000003896713615023473</v>
      </c>
      <c r="AO17" s="16">
        <v>0.000003896713615023474</v>
      </c>
      <c r="AP17" s="16">
        <v>-0.002530985915492957</v>
      </c>
      <c r="AQ17" s="16">
        <v>-0.000005070422535211267</v>
      </c>
      <c r="AR17" s="16">
        <v>0.000005070422535211268</v>
      </c>
      <c r="AS17" s="16">
        <v>-0.0038807511737089188</v>
      </c>
      <c r="AT17" s="16">
        <v>-0.00000624413145539906</v>
      </c>
      <c r="AU17" s="16">
        <v>0.0000062441314553990604</v>
      </c>
      <c r="AV17" s="16">
        <v>-0.006580281690140843</v>
      </c>
      <c r="AW17" s="16">
        <v>-0.000008591549295774647</v>
      </c>
      <c r="AX17" s="16">
        <v>0.000008591549295774648</v>
      </c>
      <c r="AY17" s="16">
        <v>-0.011979342723004695</v>
      </c>
      <c r="AZ17" s="16">
        <v>-0.00001328638497652582</v>
      </c>
      <c r="BA17" s="16">
        <v>0.000013286384976525823</v>
      </c>
      <c r="BB17" s="16">
        <v>-0.014678873239436615</v>
      </c>
      <c r="BC17" s="16">
        <v>-0.000015633802816901405</v>
      </c>
      <c r="BD17" s="16">
        <v>0.000015633802816901405</v>
      </c>
      <c r="BE17" s="16">
        <v>-0.025476995305164316</v>
      </c>
      <c r="BF17" s="16">
        <v>-0.000025023474178403754</v>
      </c>
      <c r="BG17" s="16">
        <v>0.000025023474178403757</v>
      </c>
      <c r="BH17" s="16">
        <v>-0.05</v>
      </c>
      <c r="BI17" s="16">
        <v>0</v>
      </c>
      <c r="BJ17" s="16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9">
        <f>INDEX($CD17:$CV17,1,$DP17)+$DQ17*(INDEX($CD17:$CV17,1,$DP17+1)-INDEX($CD17:$CV17,1,$DP17))</f>
      </c>
      <c r="DS17" s="39">
        <f>INDEX($CW17:$DO17,1,$DP17)+$DQ17*(INDEX($CW17:$DO17,1,$DP17+1)-INDEX($CW17:$DO17,1,$DP17))</f>
      </c>
      <c r="DT17" s="39">
        <f>SQRT(DR17^2+DS17^2)</f>
      </c>
      <c r="DU17" s="20">
        <f>DR18-DR17</f>
      </c>
      <c r="DV17" s="20">
        <f>DS18-DS17</f>
      </c>
      <c r="DW17" s="20">
        <f>DU17*SIN(RADIANS(theta_L))-DV17*COS(RADIANS(theta_L))</f>
      </c>
      <c r="DX17" s="47">
        <f>IF(DW17=0,"",-(DR17*SIN(RADIANS(theta_L))-DS17*COS(RADIANS(theta_L)))/DW17)</f>
      </c>
      <c r="DY17" s="20">
        <f>IF(DX17="","",(DR17+DX17*DU17)*COS(RADIANS(theta_L))+(DS17+DX17*DV17)*SIN(RADIANS(theta_L)))</f>
      </c>
      <c r="DZ17" s="20">
        <f>IF(OR(DX17="",DX17&lt;0,DX17&gt;1,DY17&lt;0),"",DY17)</f>
      </c>
    </row>
    <row r="18" spans="1:130" x14ac:dyDescent="0.25">
      <c r="A18">
        <v>11</v>
      </c>
      <c r="B18" s="44">
        <v>150.00000000000003</v>
      </c>
      <c r="C18" s="18">
        <v>794.6152422706632</v>
      </c>
      <c r="D18" s="18">
        <v>-658.9934640057525</v>
      </c>
      <c r="E18" s="18">
        <v>1453.6087062764157</v>
      </c>
      <c r="F18" s="16">
        <v>0.0033</v>
      </c>
      <c r="G18" s="16">
        <v>0</v>
      </c>
      <c r="H18" s="16">
        <v>0</v>
      </c>
      <c r="I18" s="16">
        <v>0.002698684967471902</v>
      </c>
      <c r="J18" s="16">
        <v>-6.553537688991611e-7</v>
      </c>
      <c r="K18" s="16">
        <v>3.7836867488836633e-7</v>
      </c>
      <c r="L18" s="16">
        <v>0.002398027451207853</v>
      </c>
      <c r="M18" s="16">
        <v>-9.830306533487415e-7</v>
      </c>
      <c r="N18" s="16">
        <v>5.675530123325495e-7</v>
      </c>
      <c r="O18" s="16">
        <v>0.0020973699349438038</v>
      </c>
      <c r="P18" s="16">
        <v>-0.0000013107075377983221</v>
      </c>
      <c r="Q18" s="16">
        <v>7.567373497767327e-7</v>
      </c>
      <c r="R18" s="16">
        <v>0.0017967124186797547</v>
      </c>
      <c r="S18" s="16">
        <v>-0.0000016383844222479025</v>
      </c>
      <c r="T18" s="16">
        <v>9.459216872209158e-7</v>
      </c>
      <c r="U18" s="16">
        <v>0.0014960549024157057</v>
      </c>
      <c r="V18" s="16">
        <v>-0.000001966061306697483</v>
      </c>
      <c r="W18" s="16">
        <v>0.000001135106024665099</v>
      </c>
      <c r="X18" s="16">
        <v>0.0012227298876302064</v>
      </c>
      <c r="Y18" s="16">
        <v>-0.000002263949383469829</v>
      </c>
      <c r="Z18" s="16">
        <v>0.0000013070917859779928</v>
      </c>
      <c r="AA18" s="16">
        <v>0.0009494048728447071</v>
      </c>
      <c r="AB18" s="16">
        <v>-0.0000025618374602421753</v>
      </c>
      <c r="AC18" s="16">
        <v>0.0000014790775472908867</v>
      </c>
      <c r="AD18" s="16">
        <v>0.0006760798580592079</v>
      </c>
      <c r="AE18" s="16">
        <v>-0.0000028597255370145212</v>
      </c>
      <c r="AF18" s="16">
        <v>0.0000016510633086037806</v>
      </c>
      <c r="AG18" s="16">
        <v>0.00040275484327370907</v>
      </c>
      <c r="AH18" s="16">
        <v>-0.0000031576136137868667</v>
      </c>
      <c r="AI18" s="16">
        <v>0.0000018230490699166743</v>
      </c>
      <c r="AJ18" s="16">
        <v>-0.00014389518629728945</v>
      </c>
      <c r="AK18" s="16">
        <v>-0.000003753389767331559</v>
      </c>
      <c r="AL18" s="16">
        <v>0.000002167020592542462</v>
      </c>
      <c r="AM18" s="16">
        <v>-0.001237195245439286</v>
      </c>
      <c r="AN18" s="16">
        <v>-0.000004944942074420942</v>
      </c>
      <c r="AO18" s="16">
        <v>0.000002854963637794037</v>
      </c>
      <c r="AP18" s="16">
        <v>-0.002603820319366782</v>
      </c>
      <c r="AQ18" s="16">
        <v>-0.000006434382458282672</v>
      </c>
      <c r="AR18" s="16">
        <v>0.000003714892444358506</v>
      </c>
      <c r="AS18" s="16">
        <v>-0.003970445393294277</v>
      </c>
      <c r="AT18" s="16">
        <v>-0.0000079238228421444</v>
      </c>
      <c r="AU18" s="16">
        <v>0.000004574821250922974</v>
      </c>
      <c r="AV18" s="16">
        <v>-0.006703695541149268</v>
      </c>
      <c r="AW18" s="16">
        <v>-0.00001090270360986786</v>
      </c>
      <c r="AX18" s="16">
        <v>0.0000062946788640519126</v>
      </c>
      <c r="AY18" s="16">
        <v>-0.012170195836859254</v>
      </c>
      <c r="AZ18" s="16">
        <v>-0.00001686046514531478</v>
      </c>
      <c r="BA18" s="16">
        <v>0.000009734394090309789</v>
      </c>
      <c r="BB18" s="16">
        <v>-0.014903445984714242</v>
      </c>
      <c r="BC18" s="16">
        <v>-0.00001983934591303824</v>
      </c>
      <c r="BD18" s="16">
        <v>0.000011454251703438725</v>
      </c>
      <c r="BE18" s="16">
        <v>-0.02583644657613421</v>
      </c>
      <c r="BF18" s="16">
        <v>-0.000031754868983932075</v>
      </c>
      <c r="BG18" s="16">
        <v>0.000018333682155954477</v>
      </c>
      <c r="BH18" s="16">
        <v>-0.05</v>
      </c>
      <c r="BI18" s="16">
        <v>0</v>
      </c>
      <c r="BJ18" s="16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9">
        <f>INDEX($CD18:$CV18,1,$DP18)+$DQ18*(INDEX($CD18:$CV18,1,$DP18+1)-INDEX($CD18:$CV18,1,$DP18))</f>
      </c>
      <c r="DS18" s="39">
        <f>INDEX($CW18:$DO18,1,$DP18)+$DQ18*(INDEX($CW18:$DO18,1,$DP18+1)-INDEX($CW18:$DO18,1,$DP18))</f>
      </c>
      <c r="DT18" s="39">
        <f>SQRT(DR18^2+DS18^2)</f>
      </c>
      <c r="DU18" s="20">
        <f>DR19-DR18</f>
      </c>
      <c r="DV18" s="20">
        <f>DS19-DS18</f>
      </c>
      <c r="DW18" s="20">
        <f>DU18*SIN(RADIANS(theta_L))-DV18*COS(RADIANS(theta_L))</f>
      </c>
      <c r="DX18" s="47">
        <f>IF(DW18=0,"",-(DR18*SIN(RADIANS(theta_L))-DS18*COS(RADIANS(theta_L)))/DW18)</f>
      </c>
      <c r="DY18" s="20">
        <f>IF(DX18="","",(DR18+DX18*DU18)*COS(RADIANS(theta_L))+(DS18+DX18*DV18)*SIN(RADIANS(theta_L)))</f>
      </c>
      <c r="DZ18" s="20">
        <f>IF(OR(DX18="",DX18&lt;0,DX18&gt;1,DY18&lt;0),"",DY18)</f>
      </c>
    </row>
    <row r="19" spans="1:130" x14ac:dyDescent="0.25">
      <c r="A19">
        <v>12</v>
      </c>
      <c r="B19" s="44">
        <v>164.99999999999997</v>
      </c>
      <c r="C19" s="18">
        <v>721.9059705798275</v>
      </c>
      <c r="D19" s="18">
        <v>-615.4683059742146</v>
      </c>
      <c r="E19" s="18">
        <v>1337.374276554042</v>
      </c>
      <c r="F19" s="16">
        <v>0.0033</v>
      </c>
      <c r="G19" s="16">
        <v>0</v>
      </c>
      <c r="H19" s="16">
        <v>0</v>
      </c>
      <c r="I19" s="16">
        <v>0.002706227126123641</v>
      </c>
      <c r="J19" s="16">
        <v>-7.944809673292978e-7</v>
      </c>
      <c r="K19" s="16">
        <v>2.1288053359778274e-7</v>
      </c>
      <c r="L19" s="16">
        <v>0.002409340689185461</v>
      </c>
      <c r="M19" s="16">
        <v>-0.0000011917214509939466</v>
      </c>
      <c r="N19" s="16">
        <v>3.193208003966741e-7</v>
      </c>
      <c r="O19" s="16">
        <v>0.002112454252247282</v>
      </c>
      <c r="P19" s="16">
        <v>-0.0000015889619346585956</v>
      </c>
      <c r="Q19" s="16">
        <v>4.257610671955655e-7</v>
      </c>
      <c r="R19" s="16">
        <v>0.001815567815309102</v>
      </c>
      <c r="S19" s="16">
        <v>-0.0000019862024183232445</v>
      </c>
      <c r="T19" s="16">
        <v>5.322013339944569e-7</v>
      </c>
      <c r="U19" s="16">
        <v>0.0015186813783709225</v>
      </c>
      <c r="V19" s="16">
        <v>-0.0000023834429019878933</v>
      </c>
      <c r="W19" s="16">
        <v>6.386416007933483e-7</v>
      </c>
      <c r="X19" s="16">
        <v>0.0012487846175180317</v>
      </c>
      <c r="Y19" s="16">
        <v>-0.0000027445706144103018</v>
      </c>
      <c r="Z19" s="16">
        <v>7.354054797014313e-7</v>
      </c>
      <c r="AA19" s="16">
        <v>0.0009788878566651415</v>
      </c>
      <c r="AB19" s="16">
        <v>-0.0000031056983268327094</v>
      </c>
      <c r="AC19" s="16">
        <v>8.321693586095144e-7</v>
      </c>
      <c r="AD19" s="16">
        <v>0.0007089910958122509</v>
      </c>
      <c r="AE19" s="16">
        <v>-0.000003466826039255118</v>
      </c>
      <c r="AF19" s="16">
        <v>9.289332375175976e-7</v>
      </c>
      <c r="AG19" s="16">
        <v>0.0004390943349593603</v>
      </c>
      <c r="AH19" s="16">
        <v>-0.000003827953751677526</v>
      </c>
      <c r="AI19" s="16">
        <v>0.0000010256971164256805</v>
      </c>
      <c r="AJ19" s="16">
        <v>-0.00010069918674642051</v>
      </c>
      <c r="AK19" s="16">
        <v>-0.000004550209176522342</v>
      </c>
      <c r="AL19" s="16">
        <v>0.0000012192248742418467</v>
      </c>
      <c r="AM19" s="16">
        <v>-0.001180286230157983</v>
      </c>
      <c r="AN19" s="16">
        <v>-0.000005994720026211974</v>
      </c>
      <c r="AO19" s="16">
        <v>0.000001606280389874179</v>
      </c>
      <c r="AP19" s="16">
        <v>-0.002529770034422436</v>
      </c>
      <c r="AQ19" s="16">
        <v>-0.000007800358588324016</v>
      </c>
      <c r="AR19" s="16">
        <v>0.0000020900997844145944</v>
      </c>
      <c r="AS19" s="16">
        <v>-0.0038792538386868873</v>
      </c>
      <c r="AT19" s="16">
        <v>-0.000009605997150436054</v>
      </c>
      <c r="AU19" s="16">
        <v>0.0000025739191789550093</v>
      </c>
      <c r="AV19" s="16">
        <v>-0.0065782214472157935</v>
      </c>
      <c r="AW19" s="16">
        <v>-0.000013217274274660137</v>
      </c>
      <c r="AX19" s="16">
        <v>0.0000035415579680358406</v>
      </c>
      <c r="AY19" s="16">
        <v>-0.011976156664273603</v>
      </c>
      <c r="AZ19" s="16">
        <v>-0.000020439828523108297</v>
      </c>
      <c r="BA19" s="16">
        <v>0.000005476835546197502</v>
      </c>
      <c r="BB19" s="16">
        <v>-0.014675124272802507</v>
      </c>
      <c r="BC19" s="16">
        <v>-0.000024051105647332378</v>
      </c>
      <c r="BD19" s="16">
        <v>0.000006444474335278332</v>
      </c>
      <c r="BE19" s="16">
        <v>-0.025470994706918132</v>
      </c>
      <c r="BF19" s="16">
        <v>-0.0000384962141442287</v>
      </c>
      <c r="BG19" s="16">
        <v>0.000010315029491601656</v>
      </c>
      <c r="BH19" s="16">
        <v>-0.05</v>
      </c>
      <c r="BI19" s="16">
        <v>0</v>
      </c>
      <c r="BJ19" s="16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9">
        <f>INDEX($CD19:$CV19,1,$DP19)+$DQ19*(INDEX($CD19:$CV19,1,$DP19+1)-INDEX($CD19:$CV19,1,$DP19))</f>
      </c>
      <c r="DS19" s="39">
        <f>INDEX($CW19:$DO19,1,$DP19)+$DQ19*(INDEX($CW19:$DO19,1,$DP19+1)-INDEX($CW19:$DO19,1,$DP19))</f>
      </c>
      <c r="DT19" s="39">
        <f>SQRT(DR19^2+DS19^2)</f>
      </c>
      <c r="DU19" s="20">
        <f>DR20-DR19</f>
      </c>
      <c r="DV19" s="20">
        <f>DS20-DS19</f>
      </c>
      <c r="DW19" s="20">
        <f>DU19*SIN(RADIANS(theta_L))-DV19*COS(RADIANS(theta_L))</f>
      </c>
      <c r="DX19" s="47">
        <f>IF(DW19=0,"",-(DR19*SIN(RADIANS(theta_L))-DS19*COS(RADIANS(theta_L)))/DW19)</f>
      </c>
      <c r="DY19" s="20">
        <f>IF(DX19="","",(DR19+DX19*DU19)*COS(RADIANS(theta_L))+(DS19+DX19*DV19)*SIN(RADIANS(theta_L)))</f>
      </c>
      <c r="DZ19" s="20">
        <f>IF(OR(DX19="",DX19&lt;0,DX19&gt;1,DY19&lt;0),"",DY19)</f>
      </c>
    </row>
    <row r="20" spans="1:130" x14ac:dyDescent="0.25">
      <c r="A20">
        <v>13</v>
      </c>
      <c r="B20" s="44">
        <v>180</v>
      </c>
      <c r="C20" s="18">
        <v>600.0000000000001</v>
      </c>
      <c r="D20" s="18">
        <v>-530</v>
      </c>
      <c r="E20" s="18">
        <v>1130</v>
      </c>
      <c r="F20" s="16">
        <v>0.0033</v>
      </c>
      <c r="G20" s="16">
        <v>0</v>
      </c>
      <c r="H20" s="16">
        <v>0</v>
      </c>
      <c r="I20" s="16">
        <v>0.0027159292035398228</v>
      </c>
      <c r="J20" s="16">
        <v>-9.734513274336284e-7</v>
      </c>
      <c r="K20" s="16">
        <v>1.192134052267335e-22</v>
      </c>
      <c r="L20" s="16">
        <v>0.0024238938053097346</v>
      </c>
      <c r="M20" s="16">
        <v>-0.0000014601769911504425</v>
      </c>
      <c r="N20" s="16">
        <v>1.7882010784010024e-22</v>
      </c>
      <c r="O20" s="16">
        <v>0.0021318584070796455</v>
      </c>
      <c r="P20" s="16">
        <v>-0.0000019469026548672567</v>
      </c>
      <c r="Q20" s="16">
        <v>2.38426810453467e-22</v>
      </c>
      <c r="R20" s="16">
        <v>0.0018398230088495574</v>
      </c>
      <c r="S20" s="16">
        <v>-0.0000024336283185840706</v>
      </c>
      <c r="T20" s="16">
        <v>2.9803351306683373e-22</v>
      </c>
      <c r="U20" s="16">
        <v>0.0015477876106194687</v>
      </c>
      <c r="V20" s="16">
        <v>-0.000002920353982300885</v>
      </c>
      <c r="W20" s="16">
        <v>3.576402156802005e-22</v>
      </c>
      <c r="X20" s="16">
        <v>0.0012823008849557516</v>
      </c>
      <c r="Y20" s="16">
        <v>-0.0000033628318584070798</v>
      </c>
      <c r="Z20" s="16">
        <v>4.1182812714689754e-22</v>
      </c>
      <c r="AA20" s="16">
        <v>0.0010168141592920349</v>
      </c>
      <c r="AB20" s="16">
        <v>-0.000003805309734513274</v>
      </c>
      <c r="AC20" s="16">
        <v>4.6601603861359455e-22</v>
      </c>
      <c r="AD20" s="16">
        <v>0.0007513274336283181</v>
      </c>
      <c r="AE20" s="16">
        <v>-0.000004247787610619469</v>
      </c>
      <c r="AF20" s="16">
        <v>5.2020395008029165e-22</v>
      </c>
      <c r="AG20" s="16">
        <v>0.0004858407079646014</v>
      </c>
      <c r="AH20" s="16">
        <v>-0.0000046902654867256635</v>
      </c>
      <c r="AI20" s="16">
        <v>5.743918615469887e-22</v>
      </c>
      <c r="AJ20" s="16">
        <v>-0.00004513274336283247</v>
      </c>
      <c r="AK20" s="16">
        <v>-0.000005575221238938053</v>
      </c>
      <c r="AL20" s="16">
        <v>6.827676844803828e-22</v>
      </c>
      <c r="AM20" s="16">
        <v>-0.0011070796460176998</v>
      </c>
      <c r="AN20" s="16">
        <v>-0.000007345132743362832</v>
      </c>
      <c r="AO20" s="16">
        <v>8.99519330347171e-22</v>
      </c>
      <c r="AP20" s="16">
        <v>-0.0024345132743362847</v>
      </c>
      <c r="AQ20" s="16">
        <v>-0.000009557522123893806</v>
      </c>
      <c r="AR20" s="16">
        <v>1.1704588876806563e-21</v>
      </c>
      <c r="AS20" s="16">
        <v>-0.0037619469026548688</v>
      </c>
      <c r="AT20" s="16">
        <v>-0.000011769911504424779</v>
      </c>
      <c r="AU20" s="16">
        <v>1.4413984450141414e-21</v>
      </c>
      <c r="AV20" s="16">
        <v>-0.006416814159292037</v>
      </c>
      <c r="AW20" s="16">
        <v>-0.000016194690265486724</v>
      </c>
      <c r="AX20" s="16">
        <v>1.9832775596811117e-21</v>
      </c>
      <c r="AY20" s="16">
        <v>-0.011726548672566374</v>
      </c>
      <c r="AZ20" s="16">
        <v>-0.00002504424778761062</v>
      </c>
      <c r="BA20" s="16">
        <v>3.0670357890150526e-21</v>
      </c>
      <c r="BB20" s="16">
        <v>-0.014381415929203542</v>
      </c>
      <c r="BC20" s="16">
        <v>-0.000029469026548672564</v>
      </c>
      <c r="BD20" s="16">
        <v>3.608914903682023e-21</v>
      </c>
      <c r="BE20" s="16">
        <v>-0.025000884955752214</v>
      </c>
      <c r="BF20" s="16">
        <v>-0.00004716814159292035</v>
      </c>
      <c r="BG20" s="16">
        <v>5.776431362349905e-21</v>
      </c>
      <c r="BH20" s="16">
        <v>-0.05</v>
      </c>
      <c r="BI20" s="16">
        <v>0</v>
      </c>
      <c r="BJ20" s="16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9">
        <f>INDEX($CD20:$CV20,1,$DP20)+$DQ20*(INDEX($CD20:$CV20,1,$DP20+1)-INDEX($CD20:$CV20,1,$DP20))</f>
      </c>
      <c r="DS20" s="39">
        <f>INDEX($CW20:$DO20,1,$DP20)+$DQ20*(INDEX($CW20:$DO20,1,$DP20+1)-INDEX($CW20:$DO20,1,$DP20))</f>
      </c>
      <c r="DT20" s="39">
        <f>SQRT(DR20^2+DS20^2)</f>
      </c>
      <c r="DU20" s="20">
        <f>DR21-DR20</f>
      </c>
      <c r="DV20" s="20">
        <f>DS21-DS20</f>
      </c>
      <c r="DW20" s="20">
        <f>DU20*SIN(RADIANS(theta_L))-DV20*COS(RADIANS(theta_L))</f>
      </c>
      <c r="DX20" s="47">
        <f>IF(DW20=0,"",-(DR20*SIN(RADIANS(theta_L))-DS20*COS(RADIANS(theta_L)))/DW20)</f>
      </c>
      <c r="DY20" s="20">
        <f>IF(DX20="","",(DR20+DX20*DU20)*COS(RADIANS(theta_L))+(DS20+DX20*DV20)*SIN(RADIANS(theta_L)))</f>
      </c>
      <c r="DZ20" s="20">
        <f>IF(OR(DX20="",DX20&lt;0,DX20&gt;1,DY20&lt;0),"",DY20)</f>
      </c>
    </row>
    <row r="21" spans="1:130" x14ac:dyDescent="0.25">
      <c r="A21">
        <v>14</v>
      </c>
      <c r="B21" s="44">
        <v>195.00000000000003</v>
      </c>
      <c r="C21" s="18">
        <v>721.9059705798275</v>
      </c>
      <c r="D21" s="18">
        <v>-615.4683059742146</v>
      </c>
      <c r="E21" s="18">
        <v>1337.374276554042</v>
      </c>
      <c r="F21" s="16">
        <v>0.0033</v>
      </c>
      <c r="G21" s="16">
        <v>0</v>
      </c>
      <c r="H21" s="16">
        <v>0</v>
      </c>
      <c r="I21" s="16">
        <v>0.002706227126123641</v>
      </c>
      <c r="J21" s="16">
        <v>-7.944809673292979e-7</v>
      </c>
      <c r="K21" s="16">
        <v>-2.1288053359778258e-7</v>
      </c>
      <c r="L21" s="16">
        <v>0.002409340689185461</v>
      </c>
      <c r="M21" s="16">
        <v>-0.0000011917214509939468</v>
      </c>
      <c r="N21" s="16">
        <v>-3.1932080039667386e-7</v>
      </c>
      <c r="O21" s="16">
        <v>0.002112454252247282</v>
      </c>
      <c r="P21" s="16">
        <v>-0.0000015889619346585958</v>
      </c>
      <c r="Q21" s="16">
        <v>-4.2576106719556517e-7</v>
      </c>
      <c r="R21" s="16">
        <v>0.001815567815309102</v>
      </c>
      <c r="S21" s="16">
        <v>-0.000001986202418323245</v>
      </c>
      <c r="T21" s="16">
        <v>-5.322013339944564e-7</v>
      </c>
      <c r="U21" s="16">
        <v>0.0015186813783709225</v>
      </c>
      <c r="V21" s="16">
        <v>-0.0000023834429019878937</v>
      </c>
      <c r="W21" s="16">
        <v>-6.386416007933477e-7</v>
      </c>
      <c r="X21" s="16">
        <v>0.0012487846175180317</v>
      </c>
      <c r="Y21" s="16">
        <v>-0.0000027445706144103018</v>
      </c>
      <c r="Z21" s="16">
        <v>-7.354054797014308e-7</v>
      </c>
      <c r="AA21" s="16">
        <v>0.0009788878566651415</v>
      </c>
      <c r="AB21" s="16">
        <v>-0.00000310569832683271</v>
      </c>
      <c r="AC21" s="16">
        <v>-8.321693586095137e-7</v>
      </c>
      <c r="AD21" s="16">
        <v>0.0007089910958122509</v>
      </c>
      <c r="AE21" s="16">
        <v>-0.0000034668260392551184</v>
      </c>
      <c r="AF21" s="16">
        <v>-9.289332375175967e-7</v>
      </c>
      <c r="AG21" s="16">
        <v>0.0004390943349593603</v>
      </c>
      <c r="AH21" s="16">
        <v>-0.0000038279537516775265</v>
      </c>
      <c r="AI21" s="16">
        <v>-0.0000010256971164256797</v>
      </c>
      <c r="AJ21" s="16">
        <v>-0.00010069918674642051</v>
      </c>
      <c r="AK21" s="16">
        <v>-0.000004550209176522343</v>
      </c>
      <c r="AL21" s="16">
        <v>-0.0000012192248742418456</v>
      </c>
      <c r="AM21" s="16">
        <v>-0.001180286230157983</v>
      </c>
      <c r="AN21" s="16">
        <v>-0.000005994720026211975</v>
      </c>
      <c r="AO21" s="16">
        <v>-0.0000016062803898741777</v>
      </c>
      <c r="AP21" s="16">
        <v>-0.002529770034422436</v>
      </c>
      <c r="AQ21" s="16">
        <v>-0.000007800358588324016</v>
      </c>
      <c r="AR21" s="16">
        <v>-0.0000020900997844145927</v>
      </c>
      <c r="AS21" s="16">
        <v>-0.0038792538386868873</v>
      </c>
      <c r="AT21" s="16">
        <v>-0.000009605997150436054</v>
      </c>
      <c r="AU21" s="16">
        <v>-0.000002573919178955007</v>
      </c>
      <c r="AV21" s="16">
        <v>-0.0065782214472157935</v>
      </c>
      <c r="AW21" s="16">
        <v>-0.000013217274274660139</v>
      </c>
      <c r="AX21" s="16">
        <v>-0.0000035415579680358376</v>
      </c>
      <c r="AY21" s="16">
        <v>-0.011976156664273603</v>
      </c>
      <c r="AZ21" s="16">
        <v>-0.0000204398285231083</v>
      </c>
      <c r="BA21" s="16">
        <v>-0.000005476835546197497</v>
      </c>
      <c r="BB21" s="16">
        <v>-0.014675124272802507</v>
      </c>
      <c r="BC21" s="16">
        <v>-0.000024051105647332378</v>
      </c>
      <c r="BD21" s="16">
        <v>-0.000006444474335278326</v>
      </c>
      <c r="BE21" s="16">
        <v>-0.025470994706918132</v>
      </c>
      <c r="BF21" s="16">
        <v>-0.00003849621414422871</v>
      </c>
      <c r="BG21" s="16">
        <v>-0.000010315029491601647</v>
      </c>
      <c r="BH21" s="16">
        <v>-0.05</v>
      </c>
      <c r="BI21" s="16">
        <v>0</v>
      </c>
      <c r="BJ21" s="16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9">
        <f>INDEX($CD21:$CV21,1,$DP21)+$DQ21*(INDEX($CD21:$CV21,1,$DP21+1)-INDEX($CD21:$CV21,1,$DP21))</f>
      </c>
      <c r="DS21" s="39">
        <f>INDEX($CW21:$DO21,1,$DP21)+$DQ21*(INDEX($CW21:$DO21,1,$DP21+1)-INDEX($CW21:$DO21,1,$DP21))</f>
      </c>
      <c r="DT21" s="39">
        <f>SQRT(DR21^2+DS21^2)</f>
      </c>
      <c r="DU21" s="20">
        <f>DR22-DR21</f>
      </c>
      <c r="DV21" s="20">
        <f>DS22-DS21</f>
      </c>
      <c r="DW21" s="20">
        <f>DU21*SIN(RADIANS(theta_L))-DV21*COS(RADIANS(theta_L))</f>
      </c>
      <c r="DX21" s="47">
        <f>IF(DW21=0,"",-(DR21*SIN(RADIANS(theta_L))-DS21*COS(RADIANS(theta_L)))/DW21)</f>
      </c>
      <c r="DY21" s="20">
        <f>IF(DX21="","",(DR21+DX21*DU21)*COS(RADIANS(theta_L))+(DS21+DX21*DV21)*SIN(RADIANS(theta_L)))</f>
      </c>
      <c r="DZ21" s="20">
        <f>IF(OR(DX21="",DX21&lt;0,DX21&gt;1,DY21&lt;0),"",DY21)</f>
      </c>
    </row>
    <row r="22" spans="1:130" x14ac:dyDescent="0.25">
      <c r="A22">
        <v>15</v>
      </c>
      <c r="B22" s="44">
        <v>209.99999999999997</v>
      </c>
      <c r="C22" s="18">
        <v>794.6152422706632</v>
      </c>
      <c r="D22" s="18">
        <v>-658.9934640057525</v>
      </c>
      <c r="E22" s="18">
        <v>1453.6087062764157</v>
      </c>
      <c r="F22" s="16">
        <v>0.0033</v>
      </c>
      <c r="G22" s="16">
        <v>0</v>
      </c>
      <c r="H22" s="16">
        <v>0</v>
      </c>
      <c r="I22" s="16">
        <v>0.002698684967471902</v>
      </c>
      <c r="J22" s="16">
        <v>-6.553537688991611e-7</v>
      </c>
      <c r="K22" s="16">
        <v>-3.7836867488836617e-7</v>
      </c>
      <c r="L22" s="16">
        <v>0.002398027451207853</v>
      </c>
      <c r="M22" s="16">
        <v>-9.830306533487418e-7</v>
      </c>
      <c r="N22" s="16">
        <v>-5.675530123325493e-7</v>
      </c>
      <c r="O22" s="16">
        <v>0.0020973699349438038</v>
      </c>
      <c r="P22" s="16">
        <v>-0.0000013107075377983221</v>
      </c>
      <c r="Q22" s="16">
        <v>-7.567373497767323e-7</v>
      </c>
      <c r="R22" s="16">
        <v>0.0017967124186797547</v>
      </c>
      <c r="S22" s="16">
        <v>-0.0000016383844222479027</v>
      </c>
      <c r="T22" s="16">
        <v>-9.459216872209154e-7</v>
      </c>
      <c r="U22" s="16">
        <v>0.0014960549024157057</v>
      </c>
      <c r="V22" s="16">
        <v>-0.0000019660613066974835</v>
      </c>
      <c r="W22" s="16">
        <v>-0.0000011351060246650985</v>
      </c>
      <c r="X22" s="16">
        <v>0.0012227298876302064</v>
      </c>
      <c r="Y22" s="16">
        <v>-0.0000022639493834698294</v>
      </c>
      <c r="Z22" s="16">
        <v>-0.0000013070917859779924</v>
      </c>
      <c r="AA22" s="16">
        <v>0.0009494048728447071</v>
      </c>
      <c r="AB22" s="16">
        <v>-0.0000025618374602421753</v>
      </c>
      <c r="AC22" s="16">
        <v>-0.000001479077547290886</v>
      </c>
      <c r="AD22" s="16">
        <v>0.0006760798580592079</v>
      </c>
      <c r="AE22" s="16">
        <v>-0.0000028597255370145216</v>
      </c>
      <c r="AF22" s="16">
        <v>-0.00000165106330860378</v>
      </c>
      <c r="AG22" s="16">
        <v>0.00040275484327370907</v>
      </c>
      <c r="AH22" s="16">
        <v>-0.000003157613613786867</v>
      </c>
      <c r="AI22" s="16">
        <v>-0.0000018230490699166734</v>
      </c>
      <c r="AJ22" s="16">
        <v>-0.00014389518629728945</v>
      </c>
      <c r="AK22" s="16">
        <v>-0.0000037533897673315594</v>
      </c>
      <c r="AL22" s="16">
        <v>-0.000002167020592542461</v>
      </c>
      <c r="AM22" s="16">
        <v>-0.001237195245439286</v>
      </c>
      <c r="AN22" s="16">
        <v>-0.000004944942074420943</v>
      </c>
      <c r="AO22" s="16">
        <v>-0.0000028549636377940357</v>
      </c>
      <c r="AP22" s="16">
        <v>-0.002603820319366782</v>
      </c>
      <c r="AQ22" s="16">
        <v>-0.000006434382458282673</v>
      </c>
      <c r="AR22" s="16">
        <v>-0.0000037148924443585045</v>
      </c>
      <c r="AS22" s="16">
        <v>-0.003970445393294277</v>
      </c>
      <c r="AT22" s="16">
        <v>-0.000007923822842144402</v>
      </c>
      <c r="AU22" s="16">
        <v>-0.0000045748212509229724</v>
      </c>
      <c r="AV22" s="16">
        <v>-0.006703695541149268</v>
      </c>
      <c r="AW22" s="16">
        <v>-0.000010902703609867862</v>
      </c>
      <c r="AX22" s="16">
        <v>-0.00000629467886405191</v>
      </c>
      <c r="AY22" s="16">
        <v>-0.012170195836859254</v>
      </c>
      <c r="AZ22" s="16">
        <v>-0.000016860465145314784</v>
      </c>
      <c r="BA22" s="16">
        <v>-0.000009734394090309785</v>
      </c>
      <c r="BB22" s="16">
        <v>-0.014903445984714242</v>
      </c>
      <c r="BC22" s="16">
        <v>-0.00001983934591303824</v>
      </c>
      <c r="BD22" s="16">
        <v>-0.00001145425170343872</v>
      </c>
      <c r="BE22" s="16">
        <v>-0.02583644657613421</v>
      </c>
      <c r="BF22" s="16">
        <v>-0.00003175486898393208</v>
      </c>
      <c r="BG22" s="16">
        <v>-0.00001833368215595447</v>
      </c>
      <c r="BH22" s="16">
        <v>-0.05</v>
      </c>
      <c r="BI22" s="16">
        <v>0</v>
      </c>
      <c r="BJ22" s="16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9">
        <f>INDEX($CD22:$CV22,1,$DP22)+$DQ22*(INDEX($CD22:$CV22,1,$DP22+1)-INDEX($CD22:$CV22,1,$DP22))</f>
      </c>
      <c r="DS22" s="39">
        <f>INDEX($CW22:$DO22,1,$DP22)+$DQ22*(INDEX($CW22:$DO22,1,$DP22+1)-INDEX($CW22:$DO22,1,$DP22))</f>
      </c>
      <c r="DT22" s="39">
        <f>SQRT(DR22^2+DS22^2)</f>
      </c>
      <c r="DU22" s="20">
        <f>DR23-DR22</f>
      </c>
      <c r="DV22" s="20">
        <f>DS23-DS22</f>
      </c>
      <c r="DW22" s="20">
        <f>DU22*SIN(RADIANS(theta_L))-DV22*COS(RADIANS(theta_L))</f>
      </c>
      <c r="DX22" s="47">
        <f>IF(DW22=0,"",-(DR22*SIN(RADIANS(theta_L))-DS22*COS(RADIANS(theta_L)))/DW22)</f>
      </c>
      <c r="DY22" s="20">
        <f>IF(DX22="","",(DR22+DX22*DU22)*COS(RADIANS(theta_L))+(DS22+DX22*DV22)*SIN(RADIANS(theta_L)))</f>
      </c>
      <c r="DZ22" s="20">
        <f>IF(OR(DX22="",DX22&lt;0,DX22&gt;1,DY22&lt;0),"",DY22)</f>
      </c>
    </row>
    <row r="23" spans="1:130" x14ac:dyDescent="0.25">
      <c r="A23">
        <v>16</v>
      </c>
      <c r="B23" s="44">
        <v>224.99999999999997</v>
      </c>
      <c r="C23" s="18">
        <v>813.1727983645296</v>
      </c>
      <c r="D23" s="18">
        <v>-692.9646455628165</v>
      </c>
      <c r="E23" s="18">
        <v>1506.137443927346</v>
      </c>
      <c r="F23" s="16">
        <v>0.0033</v>
      </c>
      <c r="G23" s="16">
        <v>0</v>
      </c>
      <c r="H23" s="16">
        <v>0</v>
      </c>
      <c r="I23" s="16">
        <v>0.0027061032863849766</v>
      </c>
      <c r="J23" s="16">
        <v>-5.164319248826294e-7</v>
      </c>
      <c r="K23" s="16">
        <v>-5.164319248826288e-7</v>
      </c>
      <c r="L23" s="16">
        <v>0.0024091549295774646</v>
      </c>
      <c r="M23" s="16">
        <v>-7.746478873239441e-7</v>
      </c>
      <c r="N23" s="16">
        <v>-7.746478873239432e-7</v>
      </c>
      <c r="O23" s="16">
        <v>0.002112206572769953</v>
      </c>
      <c r="P23" s="16">
        <v>-0.0000010328638497652588</v>
      </c>
      <c r="Q23" s="16">
        <v>-0.0000010328638497652576</v>
      </c>
      <c r="R23" s="16">
        <v>0.0018152582159624412</v>
      </c>
      <c r="S23" s="16">
        <v>-0.0000012910798122065736</v>
      </c>
      <c r="T23" s="16">
        <v>-0.0000012910798122065721</v>
      </c>
      <c r="U23" s="16">
        <v>0.0015183098591549295</v>
      </c>
      <c r="V23" s="16">
        <v>-0.0000015492957746478881</v>
      </c>
      <c r="W23" s="16">
        <v>-0.0000015492957746478865</v>
      </c>
      <c r="X23" s="16">
        <v>0.0012483568075117371</v>
      </c>
      <c r="Y23" s="16">
        <v>-0.000001784037558685447</v>
      </c>
      <c r="Z23" s="16">
        <v>-0.0000017840375586854452</v>
      </c>
      <c r="AA23" s="16">
        <v>0.0009784037558685445</v>
      </c>
      <c r="AB23" s="16">
        <v>-0.000002018779342723006</v>
      </c>
      <c r="AC23" s="16">
        <v>-0.000002018779342723004</v>
      </c>
      <c r="AD23" s="16">
        <v>0.0007084507042253519</v>
      </c>
      <c r="AE23" s="16">
        <v>-0.0000022535211267605647</v>
      </c>
      <c r="AF23" s="16">
        <v>-0.0000022535211267605626</v>
      </c>
      <c r="AG23" s="16">
        <v>0.0004384976525821597</v>
      </c>
      <c r="AH23" s="16">
        <v>-0.0000024882629107981235</v>
      </c>
      <c r="AI23" s="16">
        <v>-0.000002488262910798121</v>
      </c>
      <c r="AJ23" s="16">
        <v>-0.00010140845070422512</v>
      </c>
      <c r="AK23" s="16">
        <v>-0.000002957746478873241</v>
      </c>
      <c r="AL23" s="16">
        <v>-0.000002957746478873238</v>
      </c>
      <c r="AM23" s="16">
        <v>-0.0011812206572769952</v>
      </c>
      <c r="AN23" s="16">
        <v>-0.000003896713615023477</v>
      </c>
      <c r="AO23" s="16">
        <v>-0.000003896713615023472</v>
      </c>
      <c r="AP23" s="16">
        <v>-0.0025309859154929587</v>
      </c>
      <c r="AQ23" s="16">
        <v>-0.000005070422535211271</v>
      </c>
      <c r="AR23" s="16">
        <v>-0.000005070422535211266</v>
      </c>
      <c r="AS23" s="16">
        <v>-0.0038807511737089205</v>
      </c>
      <c r="AT23" s="16">
        <v>-0.000006244131455399065</v>
      </c>
      <c r="AU23" s="16">
        <v>-0.000006244131455399058</v>
      </c>
      <c r="AV23" s="16">
        <v>-0.006580281690140845</v>
      </c>
      <c r="AW23" s="16">
        <v>-0.000008591549295774654</v>
      </c>
      <c r="AX23" s="16">
        <v>-0.000008591549295774643</v>
      </c>
      <c r="AY23" s="16">
        <v>-0.011979342723004698</v>
      </c>
      <c r="AZ23" s="16">
        <v>-0.000013286384976525831</v>
      </c>
      <c r="BA23" s="16">
        <v>-0.000013286384976525816</v>
      </c>
      <c r="BB23" s="16">
        <v>-0.014678873239436618</v>
      </c>
      <c r="BC23" s="16">
        <v>-0.000015633802816901415</v>
      </c>
      <c r="BD23" s="16">
        <v>-0.000015633802816901398</v>
      </c>
      <c r="BE23" s="16">
        <v>-0.025476995305164323</v>
      </c>
      <c r="BF23" s="16">
        <v>-0.000025023474178403774</v>
      </c>
      <c r="BG23" s="16">
        <v>-0.000025023474178403747</v>
      </c>
      <c r="BH23" s="16">
        <v>-0.05</v>
      </c>
      <c r="BI23" s="16">
        <v>0</v>
      </c>
      <c r="BJ23" s="16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9">
        <f>INDEX($CD23:$CV23,1,$DP23)+$DQ23*(INDEX($CD23:$CV23,1,$DP23+1)-INDEX($CD23:$CV23,1,$DP23))</f>
      </c>
      <c r="DS23" s="39">
        <f>INDEX($CW23:$DO23,1,$DP23)+$DQ23*(INDEX($CW23:$DO23,1,$DP23+1)-INDEX($CW23:$DO23,1,$DP23))</f>
      </c>
      <c r="DT23" s="39">
        <f>SQRT(DR23^2+DS23^2)</f>
      </c>
      <c r="DU23" s="20">
        <f>DR24-DR23</f>
      </c>
      <c r="DV23" s="20">
        <f>DS24-DS23</f>
      </c>
      <c r="DW23" s="20">
        <f>DU23*SIN(RADIANS(theta_L))-DV23*COS(RADIANS(theta_L))</f>
      </c>
      <c r="DX23" s="47">
        <f>IF(DW23=0,"",-(DR23*SIN(RADIANS(theta_L))-DS23*COS(RADIANS(theta_L)))/DW23)</f>
      </c>
      <c r="DY23" s="20">
        <f>IF(DX23="","",(DR23+DX23*DU23)*COS(RADIANS(theta_L))+(DS23+DX23*DV23)*SIN(RADIANS(theta_L)))</f>
      </c>
      <c r="DZ23" s="20">
        <f>IF(OR(DX23="",DX23&lt;0,DX23&gt;1,DY23&lt;0),"",DY23)</f>
      </c>
    </row>
    <row r="24" spans="1:130" x14ac:dyDescent="0.25">
      <c r="A24">
        <v>17</v>
      </c>
      <c r="B24" s="44">
        <v>239.99999999999997</v>
      </c>
      <c r="C24" s="18">
        <v>849.5190528383291</v>
      </c>
      <c r="D24" s="18">
        <v>-738.8972745734183</v>
      </c>
      <c r="E24" s="18">
        <v>1588.4163274117473</v>
      </c>
      <c r="F24" s="16">
        <v>0.0033</v>
      </c>
      <c r="G24" s="16">
        <v>0</v>
      </c>
      <c r="H24" s="16">
        <v>0</v>
      </c>
      <c r="I24" s="16">
        <v>0.0027116964538857137</v>
      </c>
      <c r="J24" s="16">
        <v>-3.462568285835998e-7</v>
      </c>
      <c r="K24" s="16">
        <v>-5.997344195744616e-7</v>
      </c>
      <c r="L24" s="16">
        <v>0.0024175446808285704</v>
      </c>
      <c r="M24" s="16">
        <v>-5.193852428753996e-7</v>
      </c>
      <c r="N24" s="16">
        <v>-8.996016293616925e-7</v>
      </c>
      <c r="O24" s="16">
        <v>0.0021233929077714275</v>
      </c>
      <c r="P24" s="16">
        <v>-6.925136571671996e-7</v>
      </c>
      <c r="Q24" s="16">
        <v>-0.0000011994688391489233</v>
      </c>
      <c r="R24" s="16">
        <v>0.0018292411347142843</v>
      </c>
      <c r="S24" s="16">
        <v>-8.656420714589995e-7</v>
      </c>
      <c r="T24" s="16">
        <v>-0.0000014993360489361542</v>
      </c>
      <c r="U24" s="16">
        <v>0.0015350893616571412</v>
      </c>
      <c r="V24" s="16">
        <v>-0.0000010387704857507993</v>
      </c>
      <c r="W24" s="16">
        <v>-0.000001799203258723385</v>
      </c>
      <c r="X24" s="16">
        <v>0.0012676786588779205</v>
      </c>
      <c r="Y24" s="16">
        <v>-0.0000011961599532887992</v>
      </c>
      <c r="Z24" s="16">
        <v>-0.000002071809813075413</v>
      </c>
      <c r="AA24" s="16">
        <v>0.0010002679560986993</v>
      </c>
      <c r="AB24" s="16">
        <v>-0.0000013535494208267992</v>
      </c>
      <c r="AC24" s="16">
        <v>-0.000002344416367427441</v>
      </c>
      <c r="AD24" s="16">
        <v>0.0007328572533194782</v>
      </c>
      <c r="AE24" s="16">
        <v>-0.0000015109388883647991</v>
      </c>
      <c r="AF24" s="16">
        <v>-0.0000026170229217794695</v>
      </c>
      <c r="AG24" s="16">
        <v>0.00046544655054025705</v>
      </c>
      <c r="AH24" s="16">
        <v>-0.000001668328355902799</v>
      </c>
      <c r="AI24" s="16">
        <v>-0.0000028896294761314972</v>
      </c>
      <c r="AJ24" s="16">
        <v>-0.00006937485501818481</v>
      </c>
      <c r="AK24" s="16">
        <v>-0.0000019831072909787988</v>
      </c>
      <c r="AL24" s="16">
        <v>-0.0000034348425848355536</v>
      </c>
      <c r="AM24" s="16">
        <v>-0.001139017666135069</v>
      </c>
      <c r="AN24" s="16">
        <v>-0.000002612665161130798</v>
      </c>
      <c r="AO24" s="16">
        <v>-0.000004525268802243665</v>
      </c>
      <c r="AP24" s="16">
        <v>-0.002476071180031174</v>
      </c>
      <c r="AQ24" s="16">
        <v>-0.000003399612498820798</v>
      </c>
      <c r="AR24" s="16">
        <v>-0.000005888301574003806</v>
      </c>
      <c r="AS24" s="16">
        <v>-0.0038131246939272787</v>
      </c>
      <c r="AT24" s="16">
        <v>-0.000004186559836510797</v>
      </c>
      <c r="AU24" s="16">
        <v>-0.000007251334345763945</v>
      </c>
      <c r="AV24" s="16">
        <v>-0.00648723172171949</v>
      </c>
      <c r="AW24" s="16">
        <v>-0.000005760454511890797</v>
      </c>
      <c r="AX24" s="16">
        <v>-0.000009977399889284227</v>
      </c>
      <c r="AY24" s="16">
        <v>-0.011835445777303912</v>
      </c>
      <c r="AZ24" s="16">
        <v>-0.000008908243862650796</v>
      </c>
      <c r="BA24" s="16">
        <v>-0.00001542953097632479</v>
      </c>
      <c r="BB24" s="16">
        <v>-0.014509552805096117</v>
      </c>
      <c r="BC24" s="16">
        <v>-0.000010482138538030791</v>
      </c>
      <c r="BD24" s="16">
        <v>-0.000018155596519845064</v>
      </c>
      <c r="BE24" s="16">
        <v>-0.025205980916264956</v>
      </c>
      <c r="BF24" s="16">
        <v>-0.000016777717239550787</v>
      </c>
      <c r="BG24" s="16">
        <v>-0.000029059858693926187</v>
      </c>
      <c r="BH24" s="16">
        <v>-0.05</v>
      </c>
      <c r="BI24" s="16">
        <v>0</v>
      </c>
      <c r="BJ24" s="16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9">
        <f>INDEX($CD24:$CV24,1,$DP24)+$DQ24*(INDEX($CD24:$CV24,1,$DP24+1)-INDEX($CD24:$CV24,1,$DP24))</f>
      </c>
      <c r="DS24" s="39">
        <f>INDEX($CW24:$DO24,1,$DP24)+$DQ24*(INDEX($CW24:$DO24,1,$DP24+1)-INDEX($CW24:$DO24,1,$DP24))</f>
      </c>
      <c r="DT24" s="39">
        <f>SQRT(DR24^2+DS24^2)</f>
      </c>
      <c r="DU24" s="20">
        <f>DR25-DR24</f>
      </c>
      <c r="DV24" s="20">
        <f>DS25-DS24</f>
      </c>
      <c r="DW24" s="20">
        <f>DU24*SIN(RADIANS(theta_L))-DV24*COS(RADIANS(theta_L))</f>
      </c>
      <c r="DX24" s="47">
        <f>IF(DW24=0,"",-(DR24*SIN(RADIANS(theta_L))-DS24*COS(RADIANS(theta_L)))/DW24)</f>
      </c>
      <c r="DY24" s="20">
        <f>IF(DX24="","",(DR24+DX24*DU24)*COS(RADIANS(theta_L))+(DS24+DX24*DV24)*SIN(RADIANS(theta_L)))</f>
      </c>
      <c r="DZ24" s="20">
        <f>IF(OR(DX24="",DX24&lt;0,DX24&gt;1,DY24&lt;0),"",DY24)</f>
      </c>
    </row>
    <row r="25" spans="1:130" x14ac:dyDescent="0.25">
      <c r="A25">
        <v>18</v>
      </c>
      <c r="B25" s="44">
        <v>255</v>
      </c>
      <c r="C25" s="18">
        <v>827.9719877578095</v>
      </c>
      <c r="D25" s="18">
        <v>-734.4752754073227</v>
      </c>
      <c r="E25" s="18">
        <v>1562.4472631651322</v>
      </c>
      <c r="F25" s="16">
        <v>0.0033</v>
      </c>
      <c r="G25" s="16">
        <v>0</v>
      </c>
      <c r="H25" s="16">
        <v>0</v>
      </c>
      <c r="I25" s="16">
        <v>0.0027170880464223814</v>
      </c>
      <c r="J25" s="16">
        <v>-1.8221475778711335e-7</v>
      </c>
      <c r="K25" s="16">
        <v>-6.80034733950364e-7</v>
      </c>
      <c r="L25" s="16">
        <v>0.0024256320696335724</v>
      </c>
      <c r="M25" s="16">
        <v>-2.7332213668067e-7</v>
      </c>
      <c r="N25" s="16">
        <v>-0.0000010200521009255462</v>
      </c>
      <c r="O25" s="16">
        <v>0.002134176092844763</v>
      </c>
      <c r="P25" s="16">
        <v>-3.644295155742267e-7</v>
      </c>
      <c r="Q25" s="16">
        <v>-0.000001360069467900728</v>
      </c>
      <c r="R25" s="16">
        <v>0.0018427201160559539</v>
      </c>
      <c r="S25" s="16">
        <v>-4.5553689446778334e-7</v>
      </c>
      <c r="T25" s="16">
        <v>-0.0000017000868348759101</v>
      </c>
      <c r="U25" s="16">
        <v>0.0015512641392671448</v>
      </c>
      <c r="V25" s="16">
        <v>-5.4664427336134e-7</v>
      </c>
      <c r="W25" s="16">
        <v>-0.0000020401042018510924</v>
      </c>
      <c r="X25" s="16">
        <v>0.0012863041603682272</v>
      </c>
      <c r="Y25" s="16">
        <v>-6.294691632645733e-7</v>
      </c>
      <c r="Z25" s="16">
        <v>-0.0000023492108991012574</v>
      </c>
      <c r="AA25" s="16">
        <v>0.0010213441814693096</v>
      </c>
      <c r="AB25" s="16">
        <v>-7.122940531678067e-7</v>
      </c>
      <c r="AC25" s="16">
        <v>-0.0000026583175963514233</v>
      </c>
      <c r="AD25" s="16">
        <v>0.000756384202570392</v>
      </c>
      <c r="AE25" s="16">
        <v>-7.9511894307104e-7</v>
      </c>
      <c r="AF25" s="16">
        <v>-0.000002967424293601589</v>
      </c>
      <c r="AG25" s="16">
        <v>0.0004914242236714749</v>
      </c>
      <c r="AH25" s="16">
        <v>-8.779438329742734e-7</v>
      </c>
      <c r="AI25" s="16">
        <v>-0.000003276530990851754</v>
      </c>
      <c r="AJ25" s="16">
        <v>-0.00003849573412636033</v>
      </c>
      <c r="AK25" s="16">
        <v>-0.00000104359361278074</v>
      </c>
      <c r="AL25" s="16">
        <v>-0.000003894744385352085</v>
      </c>
      <c r="AM25" s="16">
        <v>-0.0010983356497220303</v>
      </c>
      <c r="AN25" s="16">
        <v>-0.0000013748931723936733</v>
      </c>
      <c r="AO25" s="16">
        <v>-0.000005131171174352748</v>
      </c>
      <c r="AP25" s="16">
        <v>-0.002423135544216617</v>
      </c>
      <c r="AQ25" s="16">
        <v>-0.00000178901762190984</v>
      </c>
      <c r="AR25" s="16">
        <v>-0.000006676704660603575</v>
      </c>
      <c r="AS25" s="16">
        <v>-0.0037479354387112036</v>
      </c>
      <c r="AT25" s="16">
        <v>-0.0000022031420714260063</v>
      </c>
      <c r="AU25" s="16">
        <v>-0.000008222238146854401</v>
      </c>
      <c r="AV25" s="16">
        <v>-0.00639753522770038</v>
      </c>
      <c r="AW25" s="16">
        <v>-0.00000303139097045834</v>
      </c>
      <c r="AX25" s="16">
        <v>-0.000011313305119356057</v>
      </c>
      <c r="AY25" s="16">
        <v>-0.011696734805678729</v>
      </c>
      <c r="AZ25" s="16">
        <v>-0.000004687888768523008</v>
      </c>
      <c r="BA25" s="16">
        <v>-0.000017495439064359368</v>
      </c>
      <c r="BB25" s="16">
        <v>-0.0143463345946679</v>
      </c>
      <c r="BC25" s="16">
        <v>-0.000005516137667555339</v>
      </c>
      <c r="BD25" s="16">
        <v>-0.00002058650603686102</v>
      </c>
      <c r="BE25" s="16">
        <v>-0.0249447337506246</v>
      </c>
      <c r="BF25" s="16">
        <v>-0.000008829133263684674</v>
      </c>
      <c r="BG25" s="16">
        <v>-0.00003295077392686764</v>
      </c>
      <c r="BH25" s="16">
        <v>-0.05</v>
      </c>
      <c r="BI25" s="16">
        <v>0</v>
      </c>
      <c r="BJ25" s="16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9">
        <f>INDEX($CD25:$CV25,1,$DP25)+$DQ25*(INDEX($CD25:$CV25,1,$DP25+1)-INDEX($CD25:$CV25,1,$DP25))</f>
      </c>
      <c r="DS25" s="39">
        <f>INDEX($CW25:$DO25,1,$DP25)+$DQ25*(INDEX($CW25:$DO25,1,$DP25+1)-INDEX($CW25:$DO25,1,$DP25))</f>
      </c>
      <c r="DT25" s="39">
        <f>SQRT(DR25^2+DS25^2)</f>
      </c>
      <c r="DU25" s="20">
        <f>DR26-DR25</f>
      </c>
      <c r="DV25" s="20">
        <f>DS26-DS25</f>
      </c>
      <c r="DW25" s="20">
        <f>DU25*SIN(RADIANS(theta_L))-DV25*COS(RADIANS(theta_L))</f>
      </c>
      <c r="DX25" s="47">
        <f>IF(DW25=0,"",-(DR25*SIN(RADIANS(theta_L))-DS25*COS(RADIANS(theta_L)))/DW25)</f>
      </c>
      <c r="DY25" s="20">
        <f>IF(DX25="","",(DR25+DX25*DU25)*COS(RADIANS(theta_L))+(DS25+DX25*DV25)*SIN(RADIANS(theta_L)))</f>
      </c>
      <c r="DZ25" s="20">
        <f>IF(OR(DX25="",DX25&lt;0,DX25&gt;1,DY25&lt;0),"",DY25)</f>
      </c>
    </row>
    <row r="26" spans="1:130" x14ac:dyDescent="0.25">
      <c r="A26">
        <v>19</v>
      </c>
      <c r="B26" s="44">
        <v>270</v>
      </c>
      <c r="C26" s="18">
        <v>750.0000000000001</v>
      </c>
      <c r="D26" s="18">
        <v>-680</v>
      </c>
      <c r="E26" s="18">
        <v>1430</v>
      </c>
      <c r="F26" s="16">
        <v>0.0033</v>
      </c>
      <c r="G26" s="16">
        <v>0</v>
      </c>
      <c r="H26" s="16">
        <v>0</v>
      </c>
      <c r="I26" s="16">
        <v>0.002723076923076923</v>
      </c>
      <c r="J26" s="16">
        <v>-1.4130539990161768e-22</v>
      </c>
      <c r="K26" s="16">
        <v>-7.692307692307693e-7</v>
      </c>
      <c r="L26" s="16">
        <v>0.0024346153846153845</v>
      </c>
      <c r="M26" s="16">
        <v>-2.119580998524265e-22</v>
      </c>
      <c r="N26" s="16">
        <v>-0.0000011538461538461538</v>
      </c>
      <c r="O26" s="16">
        <v>0.0021461538461538462</v>
      </c>
      <c r="P26" s="16">
        <v>-2.8261079980323535e-22</v>
      </c>
      <c r="Q26" s="16">
        <v>-0.0000015384615384615385</v>
      </c>
      <c r="R26" s="16">
        <v>0.0018576923076923076</v>
      </c>
      <c r="S26" s="16">
        <v>-3.5326349975404417e-22</v>
      </c>
      <c r="T26" s="16">
        <v>-0.000001923076923076923</v>
      </c>
      <c r="U26" s="16">
        <v>0.001569230769230769</v>
      </c>
      <c r="V26" s="16">
        <v>-4.23916199704853e-22</v>
      </c>
      <c r="W26" s="16">
        <v>-0.0000023076923076923077</v>
      </c>
      <c r="X26" s="16">
        <v>0.0013069930069930067</v>
      </c>
      <c r="Y26" s="16">
        <v>-4.88145926932861e-22</v>
      </c>
      <c r="Z26" s="16">
        <v>-0.0000026573426573426574</v>
      </c>
      <c r="AA26" s="16">
        <v>0.0010447552447552444</v>
      </c>
      <c r="AB26" s="16">
        <v>-5.52375654160869e-22</v>
      </c>
      <c r="AC26" s="16">
        <v>-0.000003006993006993007</v>
      </c>
      <c r="AD26" s="16">
        <v>0.0007825174825174816</v>
      </c>
      <c r="AE26" s="16">
        <v>-6.166053813888772e-22</v>
      </c>
      <c r="AF26" s="16">
        <v>-0.000003356643356643357</v>
      </c>
      <c r="AG26" s="16">
        <v>0.0005202797202797198</v>
      </c>
      <c r="AH26" s="16">
        <v>-6.808351086168851e-22</v>
      </c>
      <c r="AI26" s="16">
        <v>-0.0000037062937062937064</v>
      </c>
      <c r="AJ26" s="16">
        <v>-0.000004195804195804807</v>
      </c>
      <c r="AK26" s="16">
        <v>-8.092945630729013e-22</v>
      </c>
      <c r="AL26" s="16">
        <v>-0.000004405594405594406</v>
      </c>
      <c r="AM26" s="16">
        <v>-0.001053146853146854</v>
      </c>
      <c r="AN26" s="16">
        <v>-1.0662134719849333e-21</v>
      </c>
      <c r="AO26" s="16">
        <v>-0.000005804195804195804</v>
      </c>
      <c r="AP26" s="16">
        <v>-0.002364335664335666</v>
      </c>
      <c r="AQ26" s="16">
        <v>-1.3873621081249737e-21</v>
      </c>
      <c r="AR26" s="16">
        <v>-0.000007552447552447553</v>
      </c>
      <c r="AS26" s="16">
        <v>-0.003675524475524476</v>
      </c>
      <c r="AT26" s="16">
        <v>-1.7085107442650132e-21</v>
      </c>
      <c r="AU26" s="16">
        <v>-0.0000093006993006993</v>
      </c>
      <c r="AV26" s="16">
        <v>-0.0062979020979021</v>
      </c>
      <c r="AW26" s="16">
        <v>-2.350808016545094e-21</v>
      </c>
      <c r="AX26" s="16">
        <v>-0.000012797202797202797</v>
      </c>
      <c r="AY26" s="16">
        <v>-0.011542657342657348</v>
      </c>
      <c r="AZ26" s="16">
        <v>-3.635402561105255e-21</v>
      </c>
      <c r="BA26" s="16">
        <v>-0.000019790209790209793</v>
      </c>
      <c r="BB26" s="16">
        <v>-0.014165034965034965</v>
      </c>
      <c r="BC26" s="16">
        <v>-4.277699833385335e-21</v>
      </c>
      <c r="BD26" s="16">
        <v>-0.000023286713286713284</v>
      </c>
      <c r="BE26" s="16">
        <v>-0.02465454545454546</v>
      </c>
      <c r="BF26" s="16">
        <v>-6.846888922505657e-21</v>
      </c>
      <c r="BG26" s="16">
        <v>-0.000037272727272727276</v>
      </c>
      <c r="BH26" s="16">
        <v>-0.05</v>
      </c>
      <c r="BI26" s="16">
        <v>0</v>
      </c>
      <c r="BJ26" s="16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9">
        <f>INDEX($CD26:$CV26,1,$DP26)+$DQ26*(INDEX($CD26:$CV26,1,$DP26+1)-INDEX($CD26:$CV26,1,$DP26))</f>
      </c>
      <c r="DS26" s="39">
        <f>INDEX($CW26:$DO26,1,$DP26)+$DQ26*(INDEX($CW26:$DO26,1,$DP26+1)-INDEX($CW26:$DO26,1,$DP26))</f>
      </c>
      <c r="DT26" s="39">
        <f>SQRT(DR26^2+DS26^2)</f>
      </c>
      <c r="DU26" s="20">
        <f>DR27-DR26</f>
      </c>
      <c r="DV26" s="20">
        <f>DS27-DS26</f>
      </c>
      <c r="DW26" s="20">
        <f>DU26*SIN(RADIANS(theta_L))-DV26*COS(RADIANS(theta_L))</f>
      </c>
      <c r="DX26" s="47">
        <f>IF(DW26=0,"",-(DR26*SIN(RADIANS(theta_L))-DS26*COS(RADIANS(theta_L)))/DW26)</f>
      </c>
      <c r="DY26" s="20">
        <f>IF(DX26="","",(DR26+DX26*DU26)*COS(RADIANS(theta_L))+(DS26+DX26*DV26)*SIN(RADIANS(theta_L)))</f>
      </c>
      <c r="DZ26" s="20">
        <f>IF(OR(DX26="",DX26&lt;0,DX26&gt;1,DY26&lt;0),"",DY26)</f>
      </c>
    </row>
    <row r="27" spans="1:130" x14ac:dyDescent="0.25">
      <c r="A27">
        <v>20</v>
      </c>
      <c r="B27" s="44">
        <v>285</v>
      </c>
      <c r="C27" s="18">
        <v>827.9719877578095</v>
      </c>
      <c r="D27" s="18">
        <v>-734.4752754073227</v>
      </c>
      <c r="E27" s="18">
        <v>1562.4472631651322</v>
      </c>
      <c r="F27" s="16">
        <v>0.0033</v>
      </c>
      <c r="G27" s="16">
        <v>0</v>
      </c>
      <c r="H27" s="16">
        <v>0</v>
      </c>
      <c r="I27" s="16">
        <v>0.0027170880464223814</v>
      </c>
      <c r="J27" s="16">
        <v>1.822147577871131e-7</v>
      </c>
      <c r="K27" s="16">
        <v>-6.800347339503641e-7</v>
      </c>
      <c r="L27" s="16">
        <v>0.0024256320696335724</v>
      </c>
      <c r="M27" s="16">
        <v>2.733221366806697e-7</v>
      </c>
      <c r="N27" s="16">
        <v>-0.0000010200521009255462</v>
      </c>
      <c r="O27" s="16">
        <v>0.002134176092844763</v>
      </c>
      <c r="P27" s="16">
        <v>3.644295155742262e-7</v>
      </c>
      <c r="Q27" s="16">
        <v>-0.0000013600694679007283</v>
      </c>
      <c r="R27" s="16">
        <v>0.0018427201160559539</v>
      </c>
      <c r="S27" s="16">
        <v>4.5553689446778276e-7</v>
      </c>
      <c r="T27" s="16">
        <v>-0.0000017000868348759103</v>
      </c>
      <c r="U27" s="16">
        <v>0.0015512641392671448</v>
      </c>
      <c r="V27" s="16">
        <v>5.466442733613394e-7</v>
      </c>
      <c r="W27" s="16">
        <v>-0.0000020401042018510924</v>
      </c>
      <c r="X27" s="16">
        <v>0.0012863041603682272</v>
      </c>
      <c r="Y27" s="16">
        <v>6.294691632645725e-7</v>
      </c>
      <c r="Z27" s="16">
        <v>-0.000002349210899101258</v>
      </c>
      <c r="AA27" s="16">
        <v>0.0010213441814693096</v>
      </c>
      <c r="AB27" s="16">
        <v>7.122940531678058e-7</v>
      </c>
      <c r="AC27" s="16">
        <v>-0.0000026583175963514237</v>
      </c>
      <c r="AD27" s="16">
        <v>0.000756384202570392</v>
      </c>
      <c r="AE27" s="16">
        <v>7.951189430710391e-7</v>
      </c>
      <c r="AF27" s="16">
        <v>-0.000002967424293601589</v>
      </c>
      <c r="AG27" s="16">
        <v>0.0004914242236714749</v>
      </c>
      <c r="AH27" s="16">
        <v>8.779438329742723e-7</v>
      </c>
      <c r="AI27" s="16">
        <v>-0.0000032765309908517546</v>
      </c>
      <c r="AJ27" s="16">
        <v>-0.00003849573412636033</v>
      </c>
      <c r="AK27" s="16">
        <v>0.0000010435936127807386</v>
      </c>
      <c r="AL27" s="16">
        <v>-0.000003894744385352086</v>
      </c>
      <c r="AM27" s="16">
        <v>-0.0010983356497220303</v>
      </c>
      <c r="AN27" s="16">
        <v>0.0000013748931723936717</v>
      </c>
      <c r="AO27" s="16">
        <v>-0.000005131171174352748</v>
      </c>
      <c r="AP27" s="16">
        <v>-0.002423135544216617</v>
      </c>
      <c r="AQ27" s="16">
        <v>0.0000017890176219098377</v>
      </c>
      <c r="AR27" s="16">
        <v>-0.000006676704660603576</v>
      </c>
      <c r="AS27" s="16">
        <v>-0.0037479354387112036</v>
      </c>
      <c r="AT27" s="16">
        <v>0.0000022031420714260037</v>
      </c>
      <c r="AU27" s="16">
        <v>-0.000008222238146854403</v>
      </c>
      <c r="AV27" s="16">
        <v>-0.00639753522770038</v>
      </c>
      <c r="AW27" s="16">
        <v>0.0000030313909704583363</v>
      </c>
      <c r="AX27" s="16">
        <v>-0.000011313305119356059</v>
      </c>
      <c r="AY27" s="16">
        <v>-0.011696734805678729</v>
      </c>
      <c r="AZ27" s="16">
        <v>0.000004687888768523001</v>
      </c>
      <c r="BA27" s="16">
        <v>-0.00001749543906435937</v>
      </c>
      <c r="BB27" s="16">
        <v>-0.0143463345946679</v>
      </c>
      <c r="BC27" s="16">
        <v>0.0000055161376675553325</v>
      </c>
      <c r="BD27" s="16">
        <v>-0.00002058650603686102</v>
      </c>
      <c r="BE27" s="16">
        <v>-0.0249447337506246</v>
      </c>
      <c r="BF27" s="16">
        <v>0.000008829133263684662</v>
      </c>
      <c r="BG27" s="16">
        <v>-0.00003295077392686765</v>
      </c>
      <c r="BH27" s="16">
        <v>-0.05</v>
      </c>
      <c r="BI27" s="16">
        <v>0</v>
      </c>
      <c r="BJ27" s="16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9">
        <f>INDEX($CD27:$CV27,1,$DP27)+$DQ27*(INDEX($CD27:$CV27,1,$DP27+1)-INDEX($CD27:$CV27,1,$DP27))</f>
      </c>
      <c r="DS27" s="39">
        <f>INDEX($CW27:$DO27,1,$DP27)+$DQ27*(INDEX($CW27:$DO27,1,$DP27+1)-INDEX($CW27:$DO27,1,$DP27))</f>
      </c>
      <c r="DT27" s="39">
        <f>SQRT(DR27^2+DS27^2)</f>
      </c>
      <c r="DU27" s="20">
        <f>DR28-DR27</f>
      </c>
      <c r="DV27" s="20">
        <f>DS28-DS27</f>
      </c>
      <c r="DW27" s="20">
        <f>DU27*SIN(RADIANS(theta_L))-DV27*COS(RADIANS(theta_L))</f>
      </c>
      <c r="DX27" s="47">
        <f>IF(DW27=0,"",-(DR27*SIN(RADIANS(theta_L))-DS27*COS(RADIANS(theta_L)))/DW27)</f>
      </c>
      <c r="DY27" s="20">
        <f>IF(DX27="","",(DR27+DX27*DU27)*COS(RADIANS(theta_L))+(DS27+DX27*DV27)*SIN(RADIANS(theta_L)))</f>
      </c>
      <c r="DZ27" s="20">
        <f>IF(OR(DX27="",DX27&lt;0,DX27&gt;1,DY27&lt;0),"",DY27)</f>
      </c>
    </row>
    <row r="28" spans="1:130" x14ac:dyDescent="0.25">
      <c r="A28">
        <v>21</v>
      </c>
      <c r="B28" s="44">
        <v>300.00000000000006</v>
      </c>
      <c r="C28" s="18">
        <v>849.5190528383291</v>
      </c>
      <c r="D28" s="18">
        <v>-738.8972745734183</v>
      </c>
      <c r="E28" s="18">
        <v>1588.4163274117473</v>
      </c>
      <c r="F28" s="16">
        <v>0.0033</v>
      </c>
      <c r="G28" s="16">
        <v>0</v>
      </c>
      <c r="H28" s="16">
        <v>0</v>
      </c>
      <c r="I28" s="16">
        <v>0.0027116964538857137</v>
      </c>
      <c r="J28" s="16">
        <v>3.462568285835995e-7</v>
      </c>
      <c r="K28" s="16">
        <v>-5.997344195744617e-7</v>
      </c>
      <c r="L28" s="16">
        <v>0.0024175446808285704</v>
      </c>
      <c r="M28" s="16">
        <v>5.193852428753993e-7</v>
      </c>
      <c r="N28" s="16">
        <v>-8.996016293616926e-7</v>
      </c>
      <c r="O28" s="16">
        <v>0.0021233929077714275</v>
      </c>
      <c r="P28" s="16">
        <v>6.92513657167199e-7</v>
      </c>
      <c r="Q28" s="16">
        <v>-0.0000011994688391489235</v>
      </c>
      <c r="R28" s="16">
        <v>0.0018292411347142843</v>
      </c>
      <c r="S28" s="16">
        <v>8.65642071458999e-7</v>
      </c>
      <c r="T28" s="16">
        <v>-0.0000014993360489361545</v>
      </c>
      <c r="U28" s="16">
        <v>0.0015350893616571412</v>
      </c>
      <c r="V28" s="16">
        <v>0.0000010387704857507987</v>
      </c>
      <c r="W28" s="16">
        <v>-0.0000017992032587233852</v>
      </c>
      <c r="X28" s="16">
        <v>0.0012676786588779205</v>
      </c>
      <c r="Y28" s="16">
        <v>0.0000011961599532887984</v>
      </c>
      <c r="Z28" s="16">
        <v>-0.000002071809813075413</v>
      </c>
      <c r="AA28" s="16">
        <v>0.0010002679560986993</v>
      </c>
      <c r="AB28" s="16">
        <v>0.0000013535494208267981</v>
      </c>
      <c r="AC28" s="16">
        <v>-0.0000023444163674274413</v>
      </c>
      <c r="AD28" s="16">
        <v>0.0007328572533194782</v>
      </c>
      <c r="AE28" s="16">
        <v>0.0000015109388883647983</v>
      </c>
      <c r="AF28" s="16">
        <v>-0.00000261702292177947</v>
      </c>
      <c r="AG28" s="16">
        <v>0.00046544655054025705</v>
      </c>
      <c r="AH28" s="16">
        <v>0.000001668328355902798</v>
      </c>
      <c r="AI28" s="16">
        <v>-0.0000028896294761314977</v>
      </c>
      <c r="AJ28" s="16">
        <v>-0.00006937485501818481</v>
      </c>
      <c r="AK28" s="16">
        <v>0.0000019831072909787975</v>
      </c>
      <c r="AL28" s="16">
        <v>-0.000003434842584835554</v>
      </c>
      <c r="AM28" s="16">
        <v>-0.001139017666135069</v>
      </c>
      <c r="AN28" s="16">
        <v>0.0000026126651611307964</v>
      </c>
      <c r="AO28" s="16">
        <v>-0.000004525268802243666</v>
      </c>
      <c r="AP28" s="16">
        <v>-0.002476071180031174</v>
      </c>
      <c r="AQ28" s="16">
        <v>0.000003399612498820796</v>
      </c>
      <c r="AR28" s="16">
        <v>-0.000005888301574003807</v>
      </c>
      <c r="AS28" s="16">
        <v>-0.0038131246939272787</v>
      </c>
      <c r="AT28" s="16">
        <v>0.000004186559836510794</v>
      </c>
      <c r="AU28" s="16">
        <v>-0.000007251334345763946</v>
      </c>
      <c r="AV28" s="16">
        <v>-0.00648723172171949</v>
      </c>
      <c r="AW28" s="16">
        <v>0.000005760454511890793</v>
      </c>
      <c r="AX28" s="16">
        <v>-0.000009977399889284227</v>
      </c>
      <c r="AY28" s="16">
        <v>-0.011835445777303912</v>
      </c>
      <c r="AZ28" s="16">
        <v>0.00000890824386265079</v>
      </c>
      <c r="BA28" s="16">
        <v>-0.000015429530976324792</v>
      </c>
      <c r="BB28" s="16">
        <v>-0.014509552805096117</v>
      </c>
      <c r="BC28" s="16">
        <v>0.000010482138538030784</v>
      </c>
      <c r="BD28" s="16">
        <v>-0.000018155596519845067</v>
      </c>
      <c r="BE28" s="16">
        <v>-0.025205980916264956</v>
      </c>
      <c r="BF28" s="16">
        <v>0.000016777717239550777</v>
      </c>
      <c r="BG28" s="16">
        <v>-0.00002905985869392619</v>
      </c>
      <c r="BH28" s="16">
        <v>-0.05</v>
      </c>
      <c r="BI28" s="16">
        <v>0</v>
      </c>
      <c r="BJ28" s="16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9">
        <f>INDEX($CD28:$CV28,1,$DP28)+$DQ28*(INDEX($CD28:$CV28,1,$DP28+1)-INDEX($CD28:$CV28,1,$DP28))</f>
      </c>
      <c r="DS28" s="39">
        <f>INDEX($CW28:$DO28,1,$DP28)+$DQ28*(INDEX($CW28:$DO28,1,$DP28+1)-INDEX($CW28:$DO28,1,$DP28))</f>
      </c>
      <c r="DT28" s="39">
        <f>SQRT(DR28^2+DS28^2)</f>
      </c>
      <c r="DU28" s="20">
        <f>DR29-DR28</f>
      </c>
      <c r="DV28" s="20">
        <f>DS29-DS28</f>
      </c>
      <c r="DW28" s="20">
        <f>DU28*SIN(RADIANS(theta_L))-DV28*COS(RADIANS(theta_L))</f>
      </c>
      <c r="DX28" s="47">
        <f>IF(DW28=0,"",-(DR28*SIN(RADIANS(theta_L))-DS28*COS(RADIANS(theta_L)))/DW28)</f>
      </c>
      <c r="DY28" s="20">
        <f>IF(DX28="","",(DR28+DX28*DU28)*COS(RADIANS(theta_L))+(DS28+DX28*DV28)*SIN(RADIANS(theta_L)))</f>
      </c>
      <c r="DZ28" s="20">
        <f>IF(OR(DX28="",DX28&lt;0,DX28&gt;1,DY28&lt;0),"",DY28)</f>
      </c>
    </row>
    <row r="29" spans="1:130" x14ac:dyDescent="0.25">
      <c r="A29">
        <v>22</v>
      </c>
      <c r="B29" s="44">
        <v>315</v>
      </c>
      <c r="C29" s="18">
        <v>813.1727983645296</v>
      </c>
      <c r="D29" s="18">
        <v>-692.9646455628167</v>
      </c>
      <c r="E29" s="18">
        <v>1506.1374439273463</v>
      </c>
      <c r="F29" s="16">
        <v>0.0033</v>
      </c>
      <c r="G29" s="16">
        <v>0</v>
      </c>
      <c r="H29" s="16">
        <v>0</v>
      </c>
      <c r="I29" s="16">
        <v>0.0027061032863849766</v>
      </c>
      <c r="J29" s="16">
        <v>5.164319248826289e-7</v>
      </c>
      <c r="K29" s="16">
        <v>-5.164319248826292e-7</v>
      </c>
      <c r="L29" s="16">
        <v>0.002409154929577465</v>
      </c>
      <c r="M29" s="16">
        <v>7.746478873239433e-7</v>
      </c>
      <c r="N29" s="16">
        <v>-7.746478873239438e-7</v>
      </c>
      <c r="O29" s="16">
        <v>0.002112206572769953</v>
      </c>
      <c r="P29" s="16">
        <v>0.0000010328638497652578</v>
      </c>
      <c r="Q29" s="16">
        <v>-0.0000010328638497652584</v>
      </c>
      <c r="R29" s="16">
        <v>0.0018152582159624414</v>
      </c>
      <c r="S29" s="16">
        <v>0.0000012910798122065723</v>
      </c>
      <c r="T29" s="16">
        <v>-0.000001291079812206573</v>
      </c>
      <c r="U29" s="16">
        <v>0.00151830985915493</v>
      </c>
      <c r="V29" s="16">
        <v>0.0000015492957746478867</v>
      </c>
      <c r="W29" s="16">
        <v>-0.0000015492957746478875</v>
      </c>
      <c r="X29" s="16">
        <v>0.0012483568075117371</v>
      </c>
      <c r="Y29" s="16">
        <v>0.0000017840375586854454</v>
      </c>
      <c r="Z29" s="16">
        <v>-0.0000017840375586854462</v>
      </c>
      <c r="AA29" s="16">
        <v>0.000978403755868545</v>
      </c>
      <c r="AB29" s="16">
        <v>0.0000020187793427230043</v>
      </c>
      <c r="AC29" s="16">
        <v>-0.000002018779342723005</v>
      </c>
      <c r="AD29" s="16">
        <v>0.0007084507042253523</v>
      </c>
      <c r="AE29" s="16">
        <v>0.000002253521126760563</v>
      </c>
      <c r="AF29" s="16">
        <v>-0.000002253521126760564</v>
      </c>
      <c r="AG29" s="16">
        <v>0.0004384976525821601</v>
      </c>
      <c r="AH29" s="16">
        <v>0.0000024882629107981213</v>
      </c>
      <c r="AI29" s="16">
        <v>-0.0000024882629107981226</v>
      </c>
      <c r="AJ29" s="16">
        <v>-0.00010140845070422512</v>
      </c>
      <c r="AK29" s="16">
        <v>0.0000029577464788732388</v>
      </c>
      <c r="AL29" s="16">
        <v>-0.00000295774647887324</v>
      </c>
      <c r="AM29" s="16">
        <v>-0.0011812206572769952</v>
      </c>
      <c r="AN29" s="16">
        <v>0.000003896713615023473</v>
      </c>
      <c r="AO29" s="16">
        <v>-0.000003896713615023475</v>
      </c>
      <c r="AP29" s="16">
        <v>-0.002530985915492957</v>
      </c>
      <c r="AQ29" s="16">
        <v>0.000005070422535211266</v>
      </c>
      <c r="AR29" s="16">
        <v>-0.0000050704225352112685</v>
      </c>
      <c r="AS29" s="16">
        <v>-0.0038807511737089188</v>
      </c>
      <c r="AT29" s="16">
        <v>0.000006244131455399059</v>
      </c>
      <c r="AU29" s="16">
        <v>-0.000006244131455399061</v>
      </c>
      <c r="AV29" s="16">
        <v>-0.006580281690140843</v>
      </c>
      <c r="AW29" s="16">
        <v>0.000008591549295774645</v>
      </c>
      <c r="AX29" s="16">
        <v>-0.000008591549295774648</v>
      </c>
      <c r="AY29" s="16">
        <v>-0.011979342723004695</v>
      </c>
      <c r="AZ29" s="16">
        <v>0.000013286384976525818</v>
      </c>
      <c r="BA29" s="16">
        <v>-0.000013286384976525825</v>
      </c>
      <c r="BB29" s="16">
        <v>-0.014678873239436615</v>
      </c>
      <c r="BC29" s="16">
        <v>0.0000156338028169014</v>
      </c>
      <c r="BD29" s="16">
        <v>-0.00001563380281690141</v>
      </c>
      <c r="BE29" s="16">
        <v>-0.025476995305164316</v>
      </c>
      <c r="BF29" s="16">
        <v>0.00002502347417840375</v>
      </c>
      <c r="BG29" s="16">
        <v>-0.00002502347417840376</v>
      </c>
      <c r="BH29" s="16">
        <v>-0.05</v>
      </c>
      <c r="BI29" s="16">
        <v>0</v>
      </c>
      <c r="BJ29" s="16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9">
        <f>INDEX($CD29:$CV29,1,$DP29)+$DQ29*(INDEX($CD29:$CV29,1,$DP29+1)-INDEX($CD29:$CV29,1,$DP29))</f>
      </c>
      <c r="DS29" s="39">
        <f>INDEX($CW29:$DO29,1,$DP29)+$DQ29*(INDEX($CW29:$DO29,1,$DP29+1)-INDEX($CW29:$DO29,1,$DP29))</f>
      </c>
      <c r="DT29" s="39">
        <f>SQRT(DR29^2+DS29^2)</f>
      </c>
      <c r="DU29" s="20">
        <f>DR30-DR29</f>
      </c>
      <c r="DV29" s="20">
        <f>DS30-DS29</f>
      </c>
      <c r="DW29" s="20">
        <f>DU29*SIN(RADIANS(theta_L))-DV29*COS(RADIANS(theta_L))</f>
      </c>
      <c r="DX29" s="47">
        <f>IF(DW29=0,"",-(DR29*SIN(RADIANS(theta_L))-DS29*COS(RADIANS(theta_L)))/DW29)</f>
      </c>
      <c r="DY29" s="20">
        <f>IF(DX29="","",(DR29+DX29*DU29)*COS(RADIANS(theta_L))+(DS29+DX29*DV29)*SIN(RADIANS(theta_L)))</f>
      </c>
      <c r="DZ29" s="20">
        <f>IF(OR(DX29="",DX29&lt;0,DX29&gt;1,DY29&lt;0),"",DY29)</f>
      </c>
    </row>
    <row r="30" spans="1:130" x14ac:dyDescent="0.25">
      <c r="A30">
        <v>23</v>
      </c>
      <c r="B30" s="44">
        <v>329.99999999999994</v>
      </c>
      <c r="C30" s="18">
        <v>794.6152422706632</v>
      </c>
      <c r="D30" s="18">
        <v>-658.9934640057525</v>
      </c>
      <c r="E30" s="18">
        <v>1453.6087062764157</v>
      </c>
      <c r="F30" s="16">
        <v>0.0033</v>
      </c>
      <c r="G30" s="16">
        <v>0</v>
      </c>
      <c r="H30" s="16">
        <v>0</v>
      </c>
      <c r="I30" s="16">
        <v>0.002698684967471902</v>
      </c>
      <c r="J30" s="16">
        <v>6.553537688991607e-7</v>
      </c>
      <c r="K30" s="16">
        <v>-3.783686748883667e-7</v>
      </c>
      <c r="L30" s="16">
        <v>0.002398027451207853</v>
      </c>
      <c r="M30" s="16">
        <v>9.830306533487411e-7</v>
      </c>
      <c r="N30" s="16">
        <v>-5.675530123325501e-7</v>
      </c>
      <c r="O30" s="16">
        <v>0.0020973699349438038</v>
      </c>
      <c r="P30" s="16">
        <v>0.0000013107075377983215</v>
      </c>
      <c r="Q30" s="16">
        <v>-7.567373497767334e-7</v>
      </c>
      <c r="R30" s="16">
        <v>0.0017967124186797547</v>
      </c>
      <c r="S30" s="16">
        <v>0.0000016383844222479019</v>
      </c>
      <c r="T30" s="16">
        <v>-9.459216872209168e-7</v>
      </c>
      <c r="U30" s="16">
        <v>0.0014960549024157057</v>
      </c>
      <c r="V30" s="16">
        <v>0.0000019660613066974822</v>
      </c>
      <c r="W30" s="16">
        <v>-0.0000011351060246651002</v>
      </c>
      <c r="X30" s="16">
        <v>0.0012227298876302064</v>
      </c>
      <c r="Y30" s="16">
        <v>0.000002263949383469828</v>
      </c>
      <c r="Z30" s="16">
        <v>-0.000001307091785977994</v>
      </c>
      <c r="AA30" s="16">
        <v>0.0009494048728447071</v>
      </c>
      <c r="AB30" s="16">
        <v>0.000002561837460242174</v>
      </c>
      <c r="AC30" s="16">
        <v>-0.0000014790775472908882</v>
      </c>
      <c r="AD30" s="16">
        <v>0.0006760798580592079</v>
      </c>
      <c r="AE30" s="16">
        <v>0.00000285972553701452</v>
      </c>
      <c r="AF30" s="16">
        <v>-0.0000016510633086037823</v>
      </c>
      <c r="AG30" s="16">
        <v>0.00040275484327370907</v>
      </c>
      <c r="AH30" s="16">
        <v>0.000003157613613786866</v>
      </c>
      <c r="AI30" s="16">
        <v>-0.0000018230490699166762</v>
      </c>
      <c r="AJ30" s="16">
        <v>-0.00014389518629728945</v>
      </c>
      <c r="AK30" s="16">
        <v>0.0000037533897673315577</v>
      </c>
      <c r="AL30" s="16">
        <v>-0.0000021670205925424644</v>
      </c>
      <c r="AM30" s="16">
        <v>-0.001237195245439286</v>
      </c>
      <c r="AN30" s="16">
        <v>0.0000049449420744209405</v>
      </c>
      <c r="AO30" s="16">
        <v>-0.00000285496363779404</v>
      </c>
      <c r="AP30" s="16">
        <v>-0.002603820319366782</v>
      </c>
      <c r="AQ30" s="16">
        <v>0.00000643438245828267</v>
      </c>
      <c r="AR30" s="16">
        <v>-0.00000371489244435851</v>
      </c>
      <c r="AS30" s="16">
        <v>-0.003970445393294277</v>
      </c>
      <c r="AT30" s="16">
        <v>0.000007923822842144397</v>
      </c>
      <c r="AU30" s="16">
        <v>-0.000004574821250922979</v>
      </c>
      <c r="AV30" s="16">
        <v>-0.006703695541149268</v>
      </c>
      <c r="AW30" s="16">
        <v>0.000010902703609867857</v>
      </c>
      <c r="AX30" s="16">
        <v>-0.000006294678864051919</v>
      </c>
      <c r="AY30" s="16">
        <v>-0.012170195836859254</v>
      </c>
      <c r="AZ30" s="16">
        <v>0.000016860465145314773</v>
      </c>
      <c r="BA30" s="16">
        <v>-0.000009734394090309799</v>
      </c>
      <c r="BB30" s="16">
        <v>-0.014903445984714242</v>
      </c>
      <c r="BC30" s="16">
        <v>0.000019839345913038228</v>
      </c>
      <c r="BD30" s="16">
        <v>-0.000011454251703438737</v>
      </c>
      <c r="BE30" s="16">
        <v>-0.02583644657613421</v>
      </c>
      <c r="BF30" s="16">
        <v>0.00003175486898393206</v>
      </c>
      <c r="BG30" s="16">
        <v>-0.000018333682155954498</v>
      </c>
      <c r="BH30" s="16">
        <v>-0.05</v>
      </c>
      <c r="BI30" s="16">
        <v>0</v>
      </c>
      <c r="BJ30" s="16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9">
        <f>INDEX($CD30:$CV30,1,$DP30)+$DQ30*(INDEX($CD30:$CV30,1,$DP30+1)-INDEX($CD30:$CV30,1,$DP30))</f>
      </c>
      <c r="DS30" s="39">
        <f>INDEX($CW30:$DO30,1,$DP30)+$DQ30*(INDEX($CW30:$DO30,1,$DP30+1)-INDEX($CW30:$DO30,1,$DP30))</f>
      </c>
      <c r="DT30" s="39">
        <f>SQRT(DR30^2+DS30^2)</f>
      </c>
      <c r="DU30" s="20">
        <f>DR31-DR30</f>
      </c>
      <c r="DV30" s="20">
        <f>DS31-DS30</f>
      </c>
      <c r="DW30" s="20">
        <f>DU30*SIN(RADIANS(theta_L))-DV30*COS(RADIANS(theta_L))</f>
      </c>
      <c r="DX30" s="47">
        <f>IF(DW30=0,"",-(DR30*SIN(RADIANS(theta_L))-DS30*COS(RADIANS(theta_L)))/DW30)</f>
      </c>
      <c r="DY30" s="20">
        <f>IF(DX30="","",(DR30+DX30*DU30)*COS(RADIANS(theta_L))+(DS30+DX30*DV30)*SIN(RADIANS(theta_L)))</f>
      </c>
      <c r="DZ30" s="20">
        <f>IF(OR(DX30="",DX30&lt;0,DX30&gt;1,DY30&lt;0),"",DY30)</f>
      </c>
    </row>
    <row r="31" spans="1:130" x14ac:dyDescent="0.25">
      <c r="A31">
        <v>24</v>
      </c>
      <c r="B31" s="44">
        <v>344.99999999999994</v>
      </c>
      <c r="C31" s="18">
        <v>721.9059705798277</v>
      </c>
      <c r="D31" s="18">
        <v>-615.4683059742147</v>
      </c>
      <c r="E31" s="18">
        <v>1337.3742765540424</v>
      </c>
      <c r="F31" s="16">
        <v>0.0033</v>
      </c>
      <c r="G31" s="16">
        <v>0</v>
      </c>
      <c r="H31" s="16">
        <v>0</v>
      </c>
      <c r="I31" s="16">
        <v>0.002706227126123641</v>
      </c>
      <c r="J31" s="16">
        <v>7.944809673292974e-7</v>
      </c>
      <c r="K31" s="16">
        <v>-2.1288053359778314e-7</v>
      </c>
      <c r="L31" s="16">
        <v>0.002409340689185461</v>
      </c>
      <c r="M31" s="16">
        <v>0.000001191721450993946</v>
      </c>
      <c r="N31" s="16">
        <v>-3.193208003966747e-7</v>
      </c>
      <c r="O31" s="16">
        <v>0.002112454252247282</v>
      </c>
      <c r="P31" s="16">
        <v>0.0000015889619346585947</v>
      </c>
      <c r="Q31" s="16">
        <v>-4.257610671955663e-7</v>
      </c>
      <c r="R31" s="16">
        <v>0.0018155678153091023</v>
      </c>
      <c r="S31" s="16">
        <v>0.0000019862024183232437</v>
      </c>
      <c r="T31" s="16">
        <v>-5.322013339944578e-7</v>
      </c>
      <c r="U31" s="16">
        <v>0.0015186813783709225</v>
      </c>
      <c r="V31" s="16">
        <v>0.000002383442901987892</v>
      </c>
      <c r="W31" s="16">
        <v>-6.386416007933494e-7</v>
      </c>
      <c r="X31" s="16">
        <v>0.0012487846175180321</v>
      </c>
      <c r="Y31" s="16">
        <v>0.0000027445706144103</v>
      </c>
      <c r="Z31" s="16">
        <v>-7.354054797014326e-7</v>
      </c>
      <c r="AA31" s="16">
        <v>0.0009788878566651415</v>
      </c>
      <c r="AB31" s="16">
        <v>0.000003105698326832708</v>
      </c>
      <c r="AC31" s="16">
        <v>-8.321693586095159e-7</v>
      </c>
      <c r="AD31" s="16">
        <v>0.0007089910958122509</v>
      </c>
      <c r="AE31" s="16">
        <v>0.0000034668260392551163</v>
      </c>
      <c r="AF31" s="16">
        <v>-9.289332375175992e-7</v>
      </c>
      <c r="AG31" s="16">
        <v>0.0004390943349593607</v>
      </c>
      <c r="AH31" s="16">
        <v>0.000003827953751677524</v>
      </c>
      <c r="AI31" s="16">
        <v>-0.0000010256971164256824</v>
      </c>
      <c r="AJ31" s="16">
        <v>-0.00010069918674642051</v>
      </c>
      <c r="AK31" s="16">
        <v>0.000004550209176522339</v>
      </c>
      <c r="AL31" s="16">
        <v>-0.0000012192248742418488</v>
      </c>
      <c r="AM31" s="16">
        <v>-0.001180286230157982</v>
      </c>
      <c r="AN31" s="16">
        <v>0.000005994720026211971</v>
      </c>
      <c r="AO31" s="16">
        <v>-0.0000016062803898741817</v>
      </c>
      <c r="AP31" s="16">
        <v>-0.002529770034422435</v>
      </c>
      <c r="AQ31" s="16">
        <v>0.00000780035858832401</v>
      </c>
      <c r="AR31" s="16">
        <v>-0.000002090099784414598</v>
      </c>
      <c r="AS31" s="16">
        <v>-0.0038792538386868873</v>
      </c>
      <c r="AT31" s="16">
        <v>0.00000960599715043605</v>
      </c>
      <c r="AU31" s="16">
        <v>-0.000002573919178955014</v>
      </c>
      <c r="AV31" s="16">
        <v>-0.0065782214472157935</v>
      </c>
      <c r="AW31" s="16">
        <v>0.00001321727427466013</v>
      </c>
      <c r="AX31" s="16">
        <v>-0.000003541557968035847</v>
      </c>
      <c r="AY31" s="16">
        <v>-0.011976156664273603</v>
      </c>
      <c r="AZ31" s="16">
        <v>0.00002043982852310829</v>
      </c>
      <c r="BA31" s="16">
        <v>-0.000005476835546197512</v>
      </c>
      <c r="BB31" s="16">
        <v>-0.014675124272802504</v>
      </c>
      <c r="BC31" s="16">
        <v>0.000024051105647332365</v>
      </c>
      <c r="BD31" s="16">
        <v>-0.000006444474335278343</v>
      </c>
      <c r="BE31" s="16">
        <v>-0.025470994706918132</v>
      </c>
      <c r="BF31" s="16">
        <v>0.00003849621414422869</v>
      </c>
      <c r="BG31" s="16">
        <v>-0.000010315029491601674</v>
      </c>
      <c r="BH31" s="16">
        <v>-0.05</v>
      </c>
      <c r="BI31" s="16">
        <v>0</v>
      </c>
      <c r="BJ31" s="16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9">
        <f>INDEX($CD31:$CV31,1,$DP31)+$DQ31*(INDEX($CD31:$CV31,1,$DP31+1)-INDEX($CD31:$CV31,1,$DP31))</f>
      </c>
      <c r="DS31" s="39">
        <f>INDEX($CW31:$DO31,1,$DP31)+$DQ31*(INDEX($CW31:$DO31,1,$DP31+1)-INDEX($CW31:$DO31,1,$DP31))</f>
      </c>
      <c r="DT31" s="39">
        <f>SQRT(DR31^2+DS31^2)</f>
      </c>
      <c r="DU31" s="20">
        <f>DR32-DR31</f>
      </c>
      <c r="DV31" s="20">
        <f>DS32-DS31</f>
      </c>
      <c r="DW31" s="20">
        <f>DU31*SIN(RADIANS(theta_L))-DV31*COS(RADIANS(theta_L))</f>
      </c>
      <c r="DX31" s="47">
        <f>IF(DW31=0,"",-(DR31*SIN(RADIANS(theta_L))-DS31*COS(RADIANS(theta_L)))/DW31)</f>
      </c>
      <c r="DY31" s="20">
        <f>IF(DX31="","",(DR31+DX31*DU31)*COS(RADIANS(theta_L))+(DS31+DX31*DV31)*SIN(RADIANS(theta_L)))</f>
      </c>
      <c r="DZ31" s="20">
        <f>IF(OR(DX31="",DX31&lt;0,DX31&gt;1,DY31&lt;0),"",DY31)</f>
      </c>
    </row>
    <row r="32" spans="1:124" x14ac:dyDescent="0.25">
      <c r="A32" t="s">
        <v>293</v>
      </c>
      <c r="B32" s="44">
        <v>360</v>
      </c>
      <c r="C32" s="18">
        <v>600</v>
      </c>
      <c r="D32" s="18">
        <v>-530</v>
      </c>
      <c r="E32" s="18">
        <v>1130</v>
      </c>
      <c r="F32" s="16">
        <v>0.0033</v>
      </c>
      <c r="G32" s="16">
        <v>0</v>
      </c>
      <c r="H32" s="16">
        <v>0</v>
      </c>
      <c r="I32" s="16">
        <v>0.0027159292035398228</v>
      </c>
      <c r="J32" s="16">
        <v>9.734513274336284e-7</v>
      </c>
      <c r="K32" s="16">
        <v>0</v>
      </c>
      <c r="L32" s="16">
        <v>0.0024238938053097346</v>
      </c>
      <c r="M32" s="16">
        <v>0.0000014601769911504425</v>
      </c>
      <c r="N32" s="16">
        <v>0</v>
      </c>
      <c r="O32" s="16">
        <v>0.002131858407079646</v>
      </c>
      <c r="P32" s="16">
        <v>0.0000019469026548672567</v>
      </c>
      <c r="Q32" s="16">
        <v>0</v>
      </c>
      <c r="R32" s="16">
        <v>0.0018398230088495576</v>
      </c>
      <c r="S32" s="16">
        <v>0.0000024336283185840706</v>
      </c>
      <c r="T32" s="16">
        <v>0</v>
      </c>
      <c r="U32" s="16">
        <v>0.001547787610619469</v>
      </c>
      <c r="V32" s="16">
        <v>0.000002920353982300885</v>
      </c>
      <c r="W32" s="16">
        <v>0</v>
      </c>
      <c r="X32" s="16">
        <v>0.001282300884955752</v>
      </c>
      <c r="Y32" s="16">
        <v>0.0000033628318584070798</v>
      </c>
      <c r="Z32" s="16">
        <v>0</v>
      </c>
      <c r="AA32" s="16">
        <v>0.0010168141592920353</v>
      </c>
      <c r="AB32" s="16">
        <v>0.000003805309734513274</v>
      </c>
      <c r="AC32" s="16">
        <v>0</v>
      </c>
      <c r="AD32" s="16">
        <v>0.0007513274336283186</v>
      </c>
      <c r="AE32" s="16">
        <v>0.000004247787610619469</v>
      </c>
      <c r="AF32" s="16">
        <v>0</v>
      </c>
      <c r="AG32" s="16">
        <v>0.00048584070796460184</v>
      </c>
      <c r="AH32" s="16">
        <v>0.0000046902654867256635</v>
      </c>
      <c r="AI32" s="16">
        <v>0</v>
      </c>
      <c r="AJ32" s="16">
        <v>-0.00004513274336283204</v>
      </c>
      <c r="AK32" s="16">
        <v>0.000005575221238938053</v>
      </c>
      <c r="AL32" s="16">
        <v>0</v>
      </c>
      <c r="AM32" s="16">
        <v>-0.001107079646017699</v>
      </c>
      <c r="AN32" s="16">
        <v>0.000007345132743362832</v>
      </c>
      <c r="AO32" s="16">
        <v>0</v>
      </c>
      <c r="AP32" s="16">
        <v>-0.002434513274336284</v>
      </c>
      <c r="AQ32" s="16">
        <v>0.000009557522123893806</v>
      </c>
      <c r="AR32" s="16">
        <v>0</v>
      </c>
      <c r="AS32" s="16">
        <v>-0.003761946902654867</v>
      </c>
      <c r="AT32" s="16">
        <v>0.000011769911504424779</v>
      </c>
      <c r="AU32" s="16">
        <v>0</v>
      </c>
      <c r="AV32" s="16">
        <v>-0.006416814159292035</v>
      </c>
      <c r="AW32" s="16">
        <v>0.000016194690265486724</v>
      </c>
      <c r="AX32" s="16">
        <v>0</v>
      </c>
      <c r="AY32" s="16">
        <v>-0.01172654867256637</v>
      </c>
      <c r="AZ32" s="16">
        <v>0.00002504424778761062</v>
      </c>
      <c r="BA32" s="16">
        <v>0</v>
      </c>
      <c r="BB32" s="16">
        <v>-0.014381415929203539</v>
      </c>
      <c r="BC32" s="16">
        <v>0.000029469026548672564</v>
      </c>
      <c r="BD32" s="16">
        <v>0</v>
      </c>
      <c r="BE32" s="16">
        <v>-0.02500088495575221</v>
      </c>
      <c r="BF32" s="16">
        <v>0.00004716814159292035</v>
      </c>
      <c r="BG32" s="16">
        <v>0</v>
      </c>
      <c r="BH32" s="16">
        <v>-0.05</v>
      </c>
      <c r="BI32" s="16">
        <v>0</v>
      </c>
      <c r="BJ32" s="16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9">
        <f>INDEX($CD32:$CV32,1,$DP32)+$DQ32*(INDEX($CD32:$CV32,1,$DP32+1)-INDEX($CD32:$CV32,1,$DP32))</f>
      </c>
      <c r="DS32" s="39">
        <f>INDEX($CW32:$DO32,1,$DP32)+$DQ32*(INDEX($CW32:$DO32,1,$DP32+1)-INDEX($CW32:$DO32,1,$DP32))</f>
      </c>
      <c r="DT32" s="39">
        <f>SQRT(DR32^2+DS32^2)</f>
      </c>
    </row>
    <row r="33" spans="121:124" x14ac:dyDescent="0.25">
      <c r="DQ33" s="35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294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295</v>
      </c>
      <c r="E35" s="10">
        <f>BK8</f>
      </c>
      <c r="F35" s="10">
        <f>PM_Angle!$S$7</f>
      </c>
      <c r="G35" s="35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296</v>
      </c>
      <c r="E36" s="10">
        <f>CC8</f>
      </c>
      <c r="F36" s="10">
        <f>PM_Angle!$S$25</f>
      </c>
      <c r="G36" s="35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297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298</v>
      </c>
      <c r="E39" s="49">
        <f>theta_L</f>
      </c>
    </row>
    <row r="40" spans="2:5" x14ac:dyDescent="0.25">
      <c r="B40" t="s">
        <v>299</v>
      </c>
      <c r="E40" s="50">
        <f>COUNT(DZ8:DZ31)</f>
      </c>
    </row>
    <row r="41" spans="2:5" x14ac:dyDescent="0.25">
      <c r="B41" t="s">
        <v>300</v>
      </c>
      <c r="E41" s="51">
        <f>IF(COUNT(DZ8:DZ31)=0,"no crossing",MIN(DZ8:DZ31))</f>
      </c>
    </row>
    <row r="42" spans="2:5" x14ac:dyDescent="0.25">
      <c r="B42" t="s">
        <v>301</v>
      </c>
      <c r="E42" s="51">
        <f>IF(ISNUMBER(Mb),Mb*COS(RADIANS(theta_L)),"n/a")</f>
      </c>
    </row>
    <row r="43" spans="2:5" x14ac:dyDescent="0.25">
      <c r="B43" t="s">
        <v>302</v>
      </c>
      <c r="E43" s="51">
        <f>IF(ISNUMBER(Mb),Mb*SIN(RADIANS(theta_L)),"n/a")</f>
      </c>
    </row>
    <row r="44" spans="2:5" x14ac:dyDescent="0.25">
      <c r="B44" t="s">
        <v>303</v>
      </c>
      <c r="E44" s="51">
        <f>Mu</f>
      </c>
    </row>
    <row r="45" spans="2:5" x14ac:dyDescent="0.25">
      <c r="B45" t="s">
        <v>304</v>
      </c>
      <c r="E45" s="52">
        <f>IF(ISNUMBER(Mb),IF(Mb&lt;=0,"n/a",Mu/Mb),"n/a")</f>
      </c>
    </row>
    <row r="46" spans="2:2" x14ac:dyDescent="0.25">
      <c r="B46" s="5" t="s">
        <v>305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298</v>
      </c>
      <c r="C5" s="11">
        <f>theta_L</f>
      </c>
    </row>
    <row r="6" spans="2:4" x14ac:dyDescent="0.25">
      <c r="B6" t="s">
        <v>308</v>
      </c>
      <c r="C6" s="11">
        <f>beta</f>
      </c>
      <c r="D6" s="5" t="s">
        <v>309</v>
      </c>
    </row>
    <row r="7" spans="2:4" x14ac:dyDescent="0.25">
      <c r="B7" t="s">
        <v>310</v>
      </c>
      <c r="C7" s="53">
        <f>0.000000001*MAX(MAX(MxMy_FixedP!$CD$8:$CV$32),-MIN(MxMy_FixedP!$CD$8:$CV$32),MAX(MxMy_FixedP!$CW$8:$DO$32),-MIN(MxMy_FixedP!$CW$8:$DO$32))</f>
      </c>
      <c r="D7" s="5" t="s">
        <v>311</v>
      </c>
    </row>
    <row r="8" spans="2:10" x14ac:dyDescent="0.25">
      <c r="B8" s="25" t="s">
        <v>312</v>
      </c>
      <c r="C8" s="25"/>
      <c r="D8" s="25" t="s">
        <v>313</v>
      </c>
      <c r="E8" s="25"/>
      <c r="F8" s="25"/>
      <c r="G8" s="25" t="s">
        <v>314</v>
      </c>
      <c r="H8" s="25"/>
      <c r="I8" s="25"/>
      <c r="J8" s="25" t="s">
        <v>315</v>
      </c>
    </row>
    <row r="9" ht="26" customHeight="1" spans="2:10" x14ac:dyDescent="0.25">
      <c r="B9" s="17" t="s">
        <v>193</v>
      </c>
      <c r="C9" s="17" t="s">
        <v>316</v>
      </c>
      <c r="D9" s="17" t="s">
        <v>317</v>
      </c>
      <c r="E9" s="17" t="s">
        <v>204</v>
      </c>
      <c r="F9" s="17" t="s">
        <v>318</v>
      </c>
      <c r="G9" s="17" t="s">
        <v>317</v>
      </c>
      <c r="H9" s="17" t="s">
        <v>204</v>
      </c>
      <c r="I9" s="17" t="s">
        <v>318</v>
      </c>
      <c r="J9" s="17" t="s">
        <v>319</v>
      </c>
    </row>
    <row r="10" spans="2:11" x14ac:dyDescent="0.25">
      <c r="B10" s="35" t="s">
        <v>210</v>
      </c>
      <c r="C10" s="54" t="s">
        <v>320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212</v>
      </c>
      <c r="C11" s="54" t="s">
        <v>321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213</v>
      </c>
      <c r="C12" s="54" t="s">
        <v>322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8">
        <v>243.0342974467848</v>
      </c>
    </row>
    <row r="13" spans="2:11" x14ac:dyDescent="0.25">
      <c r="B13" s="35" t="s">
        <v>214</v>
      </c>
      <c r="C13" s="54" t="s">
        <v>323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8">
        <v>1150.3379882178954</v>
      </c>
    </row>
    <row r="14" spans="2:11" x14ac:dyDescent="0.25">
      <c r="B14" s="35" t="s">
        <v>215</v>
      </c>
      <c r="C14" s="54" t="s">
        <v>324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8">
        <v>2698.8093765862645</v>
      </c>
    </row>
    <row r="15" spans="2:11" x14ac:dyDescent="0.25">
      <c r="B15" s="35" t="s">
        <v>216</v>
      </c>
      <c r="C15" s="54" t="s">
        <v>325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8">
        <v>4794.511570393252</v>
      </c>
    </row>
    <row r="16" spans="2:11" x14ac:dyDescent="0.25">
      <c r="B16" s="35" t="s">
        <v>217</v>
      </c>
      <c r="C16" s="54" t="s">
        <v>326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8">
        <v>5873.608508385497</v>
      </c>
    </row>
    <row r="17" spans="2:11" x14ac:dyDescent="0.25">
      <c r="B17" s="35" t="s">
        <v>218</v>
      </c>
      <c r="C17" s="54" t="s">
        <v>327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8">
        <v>6430.541389096731</v>
      </c>
    </row>
    <row r="18" spans="2:11" x14ac:dyDescent="0.25">
      <c r="B18" s="35" t="s">
        <v>219</v>
      </c>
      <c r="C18" s="54" t="s">
        <v>328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8">
        <v>6846.531986160265</v>
      </c>
    </row>
    <row r="19" spans="2:11" x14ac:dyDescent="0.25">
      <c r="B19" s="35" t="s">
        <v>220</v>
      </c>
      <c r="C19" s="54" t="s">
        <v>329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8">
        <v>7177.451206070804</v>
      </c>
    </row>
    <row r="20" spans="2:11" x14ac:dyDescent="0.25">
      <c r="B20" s="35" t="s">
        <v>221</v>
      </c>
      <c r="C20" s="54" t="s">
        <v>330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8">
        <v>7136.5025828493735</v>
      </c>
    </row>
    <row r="21" spans="2:11" x14ac:dyDescent="0.25">
      <c r="B21" s="35" t="s">
        <v>222</v>
      </c>
      <c r="C21" s="54" t="s">
        <v>331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8">
        <v>6713.62410261475</v>
      </c>
    </row>
    <row r="22" spans="2:11" x14ac:dyDescent="0.25">
      <c r="B22" s="35" t="s">
        <v>223</v>
      </c>
      <c r="C22" s="54" t="s">
        <v>332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8">
        <v>6206.098632267029</v>
      </c>
    </row>
    <row r="23" spans="2:11" x14ac:dyDescent="0.25">
      <c r="B23" s="35" t="s">
        <v>224</v>
      </c>
      <c r="C23" s="54" t="s">
        <v>333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8">
        <v>5755.775289101642</v>
      </c>
    </row>
    <row r="24" spans="2:11" x14ac:dyDescent="0.25">
      <c r="B24" s="35" t="s">
        <v>225</v>
      </c>
      <c r="C24" s="54" t="s">
        <v>334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8">
        <v>5002.944206054378</v>
      </c>
    </row>
    <row r="25" spans="2:11" x14ac:dyDescent="0.25">
      <c r="B25" s="35" t="s">
        <v>226</v>
      </c>
      <c r="C25" s="54" t="s">
        <v>335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8">
        <v>3809.7954632079213</v>
      </c>
    </row>
    <row r="26" spans="2:11" x14ac:dyDescent="0.25">
      <c r="B26" s="35" t="s">
        <v>227</v>
      </c>
      <c r="C26" s="54" t="s">
        <v>336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8">
        <v>3403.3741219897643</v>
      </c>
    </row>
    <row r="27" spans="2:11" x14ac:dyDescent="0.25">
      <c r="B27" s="35" t="s">
        <v>228</v>
      </c>
      <c r="C27" s="54" t="s">
        <v>337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8">
        <v>2255.5834431148437</v>
      </c>
    </row>
    <row r="28" spans="2:11" x14ac:dyDescent="0.25">
      <c r="B28" s="35" t="s">
        <v>229</v>
      </c>
      <c r="C28" s="54" t="s">
        <v>338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8">
        <v>5.960464477539062e-14</v>
      </c>
    </row>
    <row r="30" spans="2:9" x14ac:dyDescent="0.25">
      <c r="B30" s="3" t="s">
        <v>339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340</v>
      </c>
      <c r="C31" s="51">
        <f>Pu</f>
      </c>
    </row>
    <row r="32" spans="2:3" x14ac:dyDescent="0.25">
      <c r="B32" t="s">
        <v>341</v>
      </c>
      <c r="C32" s="51">
        <f>Mu</f>
      </c>
    </row>
    <row r="33" spans="2:3" x14ac:dyDescent="0.25">
      <c r="B33" t="s">
        <v>342</v>
      </c>
      <c r="C33" s="50">
        <f>MAX(1,MIN(18,SUMPRODUCT(--($E$10:$E$28&gt;=Pu))))</f>
      </c>
    </row>
    <row r="34" spans="2:3" x14ac:dyDescent="0.25">
      <c r="B34" t="s">
        <v>286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343</v>
      </c>
      <c r="C35" s="51">
        <f>INDEX($F$10:$F$28,C33,1)+C34*(INDEX($F$10:$F$28,C33+1,1)-INDEX($F$10:$F$28,C33,1))</f>
      </c>
    </row>
    <row r="36" spans="2:3" x14ac:dyDescent="0.25">
      <c r="B36" t="s">
        <v>344</v>
      </c>
      <c r="C36" s="51">
        <f>Mb</f>
      </c>
    </row>
    <row r="37" spans="2:3" x14ac:dyDescent="0.25">
      <c r="B37" t="s">
        <v>345</v>
      </c>
      <c r="C37" s="51">
        <f>3983.327895242015</f>
      </c>
    </row>
    <row r="38" spans="2:3" x14ac:dyDescent="0.25">
      <c r="B38" t="s">
        <v>346</v>
      </c>
      <c r="C38" s="55">
        <f>IF(NOT(ISNUMBER(Mb)),"n/a",(MAX(C35,Mb,C37)-MIN(C35,Mb,C37))/MAX(C35,Mb,C37)*100)</f>
      </c>
    </row>
    <row r="39" spans="2:3" x14ac:dyDescent="0.25">
      <c r="B39" t="s">
        <v>347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304</v>
      </c>
      <c r="C40" s="52">
        <f>IF(C35&lt;=0,"n/a",Mu/C35)</f>
      </c>
    </row>
    <row r="42" spans="2:10" x14ac:dyDescent="0.25">
      <c r="B42" s="5" t="s">
        <v>348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349</v>
      </c>
      <c r="C1" s="1"/>
      <c r="D1" s="1"/>
      <c r="E1" s="1"/>
    </row>
    <row r="2" ht="16" customHeight="1" spans="2:5" x14ac:dyDescent="0.25">
      <c r="B2" s="2" t="s">
        <v>350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351</v>
      </c>
      <c r="C6" s="3"/>
      <c r="D6" s="3"/>
      <c r="E6" s="3"/>
    </row>
    <row r="7" spans="2:5" x14ac:dyDescent="0.25">
      <c r="B7" t="s">
        <v>201</v>
      </c>
      <c r="C7" s="57">
        <v>0.001516186005200579</v>
      </c>
      <c r="D7" t="s">
        <v>17</v>
      </c>
      <c r="E7" s="5" t="s">
        <v>352</v>
      </c>
    </row>
    <row r="8" spans="2:5" x14ac:dyDescent="0.25">
      <c r="B8" t="s">
        <v>283</v>
      </c>
      <c r="C8" s="57">
        <v>0.000002375892659229933</v>
      </c>
      <c r="D8" t="s">
        <v>353</v>
      </c>
      <c r="E8" s="5" t="s">
        <v>354</v>
      </c>
    </row>
    <row r="9" spans="2:5" x14ac:dyDescent="0.25">
      <c r="B9" t="s">
        <v>284</v>
      </c>
      <c r="C9" s="57">
        <v>6.374808514492822e-7</v>
      </c>
      <c r="D9" t="s">
        <v>353</v>
      </c>
      <c r="E9" s="5" t="s">
        <v>355</v>
      </c>
    </row>
    <row r="11" spans="2:5" x14ac:dyDescent="0.25">
      <c r="B11" t="s">
        <v>356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357</v>
      </c>
      <c r="C12" s="11">
        <f>MOD(DEGREES(ATAN2(-Eq_kx,Eq_ky)),180)</f>
      </c>
      <c r="D12" t="s">
        <v>41</v>
      </c>
      <c r="E12" s="5" t="s">
        <v>358</v>
      </c>
    </row>
    <row r="13" spans="2:5" x14ac:dyDescent="0.25">
      <c r="B13" t="s">
        <v>359</v>
      </c>
      <c r="C13" s="11">
        <f>IF(AND(Mux=0,Muy=0),0,MOD(DEGREES(ATAN2(-Mux,Muy)),180))</f>
      </c>
      <c r="D13" t="s">
        <v>41</v>
      </c>
      <c r="E13" s="5" t="s">
        <v>360</v>
      </c>
    </row>
    <row r="14" spans="2:5" x14ac:dyDescent="0.25">
      <c r="B14" t="s">
        <v>361</v>
      </c>
      <c r="C14" s="11">
        <f>MIN(ABS(C12-C13),180-ABS(C12-C13))</f>
      </c>
      <c r="D14" t="s">
        <v>41</v>
      </c>
      <c r="E14" s="5" t="s">
        <v>362</v>
      </c>
    </row>
    <row r="16" spans="2:5" x14ac:dyDescent="0.25">
      <c r="B16" s="3" t="s">
        <v>363</v>
      </c>
      <c r="C16" s="3"/>
      <c r="D16" s="3"/>
      <c r="E16" s="3"/>
    </row>
    <row r="17" spans="2:3" x14ac:dyDescent="0.25">
      <c r="B17" t="s">
        <v>364</v>
      </c>
      <c r="C17" s="10">
        <f>SUMPRODUCT(Concrete!$L$8:$L$1264,Mesh_A)/1000</f>
      </c>
    </row>
    <row r="18" spans="2:3" x14ac:dyDescent="0.25">
      <c r="B18" t="s">
        <v>365</v>
      </c>
      <c r="C18" s="10">
        <f>SUMPRODUCT(Concrete!$L$8:$L$1264,Mesh_A,Mesh_Y)/1000000</f>
      </c>
    </row>
    <row r="19" spans="2:3" x14ac:dyDescent="0.25">
      <c r="B19" t="s">
        <v>366</v>
      </c>
      <c r="C19" s="10">
        <f>SUMPRODUCT(Concrete!$L$8:$L$1264,Mesh_A,Mesh_X)/1000000</f>
      </c>
    </row>
    <row r="20" spans="2:3" x14ac:dyDescent="0.25">
      <c r="B20" t="s">
        <v>367</v>
      </c>
      <c r="C20" s="10">
        <f>Steel!EM6/1000</f>
      </c>
    </row>
    <row r="21" spans="2:3" x14ac:dyDescent="0.25">
      <c r="B21" t="s">
        <v>368</v>
      </c>
      <c r="C21" s="10">
        <f>Steel!EN6/1000000</f>
      </c>
    </row>
    <row r="22" spans="2:3" x14ac:dyDescent="0.25">
      <c r="B22" t="s">
        <v>369</v>
      </c>
      <c r="C22" s="10">
        <f>Steel!EO6/1000000</f>
      </c>
    </row>
    <row r="24" spans="2:5" x14ac:dyDescent="0.25">
      <c r="B24" s="3" t="s">
        <v>370</v>
      </c>
      <c r="C24" s="3"/>
      <c r="D24" s="3"/>
      <c r="E24" s="3"/>
    </row>
    <row r="25" spans="2:3" x14ac:dyDescent="0.25">
      <c r="B25" t="s">
        <v>371</v>
      </c>
      <c r="C25" s="39">
        <f>C17+C20</f>
      </c>
    </row>
    <row r="26" spans="2:3" x14ac:dyDescent="0.25">
      <c r="B26" t="s">
        <v>372</v>
      </c>
      <c r="C26" s="39">
        <f>C18+C21</f>
      </c>
    </row>
    <row r="27" spans="2:3" x14ac:dyDescent="0.25">
      <c r="B27" t="s">
        <v>373</v>
      </c>
      <c r="C27" s="39">
        <f>C19+C22</f>
      </c>
    </row>
    <row r="28" spans="2:3" x14ac:dyDescent="0.25">
      <c r="B28" t="s">
        <v>374</v>
      </c>
      <c r="C28" s="51">
        <f>Pu</f>
      </c>
    </row>
    <row r="29" spans="2:3" x14ac:dyDescent="0.25">
      <c r="B29" t="s">
        <v>375</v>
      </c>
      <c r="C29" s="51">
        <f>Mux</f>
      </c>
    </row>
    <row r="30" spans="2:3" x14ac:dyDescent="0.25">
      <c r="B30" t="s">
        <v>376</v>
      </c>
      <c r="C30" s="51">
        <f>Muy</f>
      </c>
    </row>
    <row r="32" spans="2:3" x14ac:dyDescent="0.25">
      <c r="B32" t="s">
        <v>377</v>
      </c>
      <c r="C32" s="11">
        <f>C25-C28</f>
      </c>
    </row>
    <row r="33" spans="2:3" x14ac:dyDescent="0.25">
      <c r="B33" t="s">
        <v>378</v>
      </c>
      <c r="C33" s="11">
        <f>C26-C29</f>
      </c>
    </row>
    <row r="34" spans="2:3" x14ac:dyDescent="0.25">
      <c r="B34" t="s">
        <v>379</v>
      </c>
      <c r="C34" s="11">
        <f>C27-C30</f>
      </c>
    </row>
    <row r="35" spans="2:3" x14ac:dyDescent="0.25">
      <c r="B35" t="s">
        <v>380</v>
      </c>
      <c r="C35" s="53">
        <f>MAX(ABS(C32)/MAX(ABS(Pu),1),ABS(C33)/MAX(ABS(Mux),1),ABS(C34)/MAX(ABS(Muy),1))</f>
      </c>
    </row>
    <row r="36" spans="2:5" x14ac:dyDescent="0.25">
      <c r="B36" t="s">
        <v>347</v>
      </c>
      <c r="C36" s="35">
        <f>IF(C35&lt;=0.0001,"in equilibrium","CHECK - the stored plane does not balance the demand")</f>
      </c>
      <c r="E36" s="5" t="s">
        <v>381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2026-08-04T06:23:37Z</dcterms:created>
  <dcterms:modified xsi:type="dcterms:W3CDTF">2026-08-04T06:23:37Z</dcterms:modified>
</cp:coreProperties>
</file>